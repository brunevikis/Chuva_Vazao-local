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_de_trabalho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H:\TI - Sistemas\UAT\ChuvaVazao\"/>
    </mc:Choice>
  </mc:AlternateContent>
  <xr:revisionPtr revIDLastSave="0" documentId="8_{FBC079D2-5ED9-461F-8575-A2C07DFCD643}" xr6:coauthVersionLast="41" xr6:coauthVersionMax="41" xr10:uidLastSave="{00000000-0000-0000-0000-000000000000}"/>
  <bookViews>
    <workbookView xWindow="-5055" yWindow="2835" windowWidth="10320" windowHeight="5475" tabRatio="913" activeTab="1" xr2:uid="{00000000-000D-0000-FFFF-FFFF00000000}"/>
  </bookViews>
  <sheets>
    <sheet name="RESULTADOS" sheetId="2" r:id="rId1"/>
    <sheet name="PREVS_SMAP" sheetId="3" r:id="rId2"/>
    <sheet name="PREVS_SMAP_DIARIO" sheetId="10" r:id="rId3"/>
    <sheet name="PREVIVAZ" sheetId="17" r:id="rId4"/>
    <sheet name="Propagações_TOT_ITAIPU" sheetId="9" r:id="rId5"/>
    <sheet name="Propagações_TOT_IGUACU" sheetId="11" r:id="rId6"/>
    <sheet name="Propagações_TOT_URUGUAI" sheetId="15" r:id="rId7"/>
    <sheet name="Propagações_TOT_TIETE" sheetId="16" r:id="rId8"/>
    <sheet name="Propagações_TOT_GRANDE" sheetId="1" r:id="rId9"/>
    <sheet name="Propagações_TOT_PARANAIBA" sheetId="6" r:id="rId10"/>
    <sheet name="Propagações_TOT_PARANAPANEMA" sheetId="7" r:id="rId11"/>
    <sheet name="Propagações_TOT_SAOFRAN" sheetId="14" r:id="rId12"/>
    <sheet name="Propagações_TOT_TOCANTINS" sheetId="13" r:id="rId13"/>
    <sheet name="Aux" sheetId="8" r:id="rId14"/>
  </sheets>
  <functionGroups builtInGroupCount="19"/>
  <definedNames>
    <definedName name="_arqPrevivaz">Aux!$B$4</definedName>
    <definedName name="_arqPrevs">Aux!$B$3</definedName>
    <definedName name="_data">PREVS_SMAP!$B$1</definedName>
    <definedName name="_dataPrevs">Aux!$B$1</definedName>
    <definedName name="_dataSemPrevisao">PREVS_SMAP!$F$26</definedName>
    <definedName name="_xlnm._FilterDatabase" localSheetId="1" hidden="1">PREVS_SMAP!$W$27:$AP$347</definedName>
    <definedName name="_xlnm._FilterDatabase" localSheetId="2" hidden="1">PREVS_SMAP_DIARIO!$R$27:$AC$354</definedName>
    <definedName name="_xlnm._FilterDatabase" localSheetId="0" hidden="1">RESULTADOS!$A$101:$BS$172</definedName>
    <definedName name="_TO_STR" localSheetId="2">PREVS_SMAP_DIARIO!$T$28:$AG$347</definedName>
    <definedName name="_TO_STR">PREVS_SMAP!$S$28:$AB$347</definedName>
    <definedName name="_wbCen">Aux!$B$2</definedName>
    <definedName name="anscount" hidden="1">2</definedName>
    <definedName name="Consulta_de_ACOMPH_1" localSheetId="13" hidden="1">Aux!$A$23:$E$1663</definedName>
    <definedName name="limcount" hidden="1">2</definedName>
    <definedName name="sencount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3" l="1"/>
  <c r="B1" i="8" s="1"/>
  <c r="B83" i="10" l="1"/>
  <c r="D83" i="10"/>
  <c r="D84" i="10"/>
  <c r="B84" i="10"/>
  <c r="D85" i="10"/>
  <c r="B85" i="10"/>
  <c r="D86" i="10"/>
  <c r="B86" i="10"/>
  <c r="D87" i="10"/>
  <c r="B87" i="10"/>
  <c r="G24" i="8" l="1"/>
  <c r="G25" i="8"/>
  <c r="G26" i="8"/>
  <c r="G27" i="8"/>
  <c r="G28" i="8"/>
  <c r="G29" i="8"/>
  <c r="G30" i="8"/>
  <c r="G31" i="8"/>
  <c r="G32" i="8"/>
  <c r="AA49" i="3" l="1"/>
  <c r="AA61" i="3"/>
  <c r="AA124" i="3"/>
  <c r="AA125" i="3"/>
  <c r="AA126" i="3"/>
  <c r="AA128" i="3"/>
  <c r="AA137" i="3"/>
  <c r="AA138" i="3"/>
  <c r="AA139" i="3"/>
  <c r="AA140" i="3"/>
  <c r="AA141" i="3"/>
  <c r="AA142" i="3"/>
  <c r="AA147" i="3"/>
  <c r="AA148" i="3"/>
  <c r="AA149" i="3"/>
  <c r="AA150" i="3"/>
  <c r="AA152" i="3"/>
  <c r="AA156" i="3"/>
  <c r="AA157" i="3"/>
  <c r="AA161" i="3"/>
  <c r="AA162" i="3"/>
  <c r="AA163" i="3"/>
  <c r="AA164" i="3"/>
  <c r="AA165" i="3"/>
  <c r="AA168" i="3"/>
  <c r="AA171" i="3"/>
  <c r="AA172" i="3"/>
  <c r="AA175" i="3"/>
  <c r="AA176" i="3"/>
  <c r="AA182" i="3"/>
  <c r="AA183" i="3"/>
  <c r="AA196" i="3"/>
  <c r="AA199" i="3"/>
  <c r="AA200" i="3"/>
  <c r="AA205" i="3"/>
  <c r="AA210" i="3"/>
  <c r="AA215" i="3"/>
  <c r="AA217" i="3"/>
  <c r="AA218" i="3"/>
  <c r="AA223" i="3"/>
  <c r="AA224" i="3"/>
  <c r="AA225" i="3"/>
  <c r="AA228" i="3"/>
  <c r="AA229" i="3"/>
  <c r="AA231" i="3"/>
  <c r="AA249" i="3"/>
  <c r="AA256" i="3"/>
  <c r="AA257" i="3"/>
  <c r="AA268" i="3"/>
  <c r="AA270" i="3"/>
  <c r="AA272" i="3"/>
  <c r="AA273" i="3"/>
  <c r="AA274" i="3"/>
  <c r="AA275" i="3"/>
  <c r="AA280" i="3"/>
  <c r="AA281" i="3"/>
  <c r="AA282" i="3"/>
  <c r="AA284" i="3"/>
  <c r="AA286" i="3"/>
  <c r="AA288" i="3"/>
  <c r="AA289" i="3"/>
  <c r="AA290" i="3"/>
  <c r="AA296" i="3"/>
  <c r="AA298" i="3"/>
  <c r="AA300" i="3"/>
  <c r="AA302" i="3"/>
  <c r="AA304" i="3"/>
  <c r="AA305" i="3"/>
  <c r="AA306" i="3"/>
  <c r="AA307" i="3"/>
  <c r="AA308" i="3"/>
  <c r="AA310" i="3"/>
  <c r="AA311" i="3"/>
  <c r="AA312" i="3"/>
  <c r="AA314" i="3"/>
  <c r="AA315" i="3"/>
  <c r="AA317" i="3"/>
  <c r="AA318" i="3"/>
  <c r="AA321" i="3"/>
  <c r="AA322" i="3"/>
  <c r="AA323" i="3"/>
  <c r="AA324" i="3"/>
  <c r="F26" i="3" l="1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4" i="3"/>
  <c r="B45" i="3"/>
  <c r="B46" i="3"/>
  <c r="B47" i="3"/>
  <c r="B48" i="3"/>
  <c r="B49" i="3"/>
  <c r="B50" i="3"/>
  <c r="B51" i="3"/>
  <c r="B52" i="3"/>
  <c r="B53" i="3"/>
  <c r="B54" i="3"/>
  <c r="B55" i="3"/>
  <c r="B58" i="3"/>
  <c r="B59" i="3"/>
  <c r="B60" i="3"/>
  <c r="B61" i="3"/>
  <c r="B62" i="3"/>
  <c r="B63" i="3"/>
  <c r="B64" i="3"/>
  <c r="B65" i="3"/>
  <c r="B66" i="3"/>
  <c r="B67" i="3"/>
  <c r="B68" i="3"/>
  <c r="B73" i="3"/>
  <c r="B75" i="3"/>
  <c r="B76" i="3"/>
  <c r="B77" i="3"/>
  <c r="B78" i="3"/>
  <c r="B79" i="3"/>
  <c r="B80" i="3"/>
  <c r="B82" i="3"/>
  <c r="B83" i="3"/>
  <c r="B84" i="3"/>
  <c r="B85" i="3"/>
  <c r="B86" i="3"/>
  <c r="B87" i="3"/>
  <c r="B90" i="3"/>
  <c r="B91" i="3"/>
  <c r="B92" i="3"/>
  <c r="B6" i="16"/>
  <c r="C6" i="16"/>
  <c r="D6" i="16"/>
  <c r="E6" i="16"/>
  <c r="F6" i="16"/>
  <c r="G6" i="16"/>
  <c r="H6" i="16"/>
  <c r="I6" i="16"/>
  <c r="J6" i="16"/>
  <c r="K6" i="16"/>
  <c r="L6" i="16"/>
  <c r="M6" i="16"/>
  <c r="O6" i="16"/>
  <c r="P6" i="16"/>
  <c r="Q6" i="16"/>
  <c r="R6" i="16"/>
  <c r="S6" i="16"/>
  <c r="T6" i="16"/>
  <c r="U6" i="16"/>
  <c r="V6" i="16"/>
  <c r="W6" i="16"/>
  <c r="X6" i="16"/>
  <c r="Y6" i="16"/>
  <c r="Z6" i="16"/>
  <c r="A38" i="16" l="1"/>
  <c r="B38" i="16" l="1"/>
  <c r="J38" i="16"/>
  <c r="A39" i="16"/>
  <c r="I38" i="16"/>
  <c r="M38" i="16"/>
  <c r="A37" i="16"/>
  <c r="D123" i="10"/>
  <c r="B123" i="10"/>
  <c r="D122" i="10"/>
  <c r="B122" i="10"/>
  <c r="D121" i="10"/>
  <c r="B121" i="10"/>
  <c r="D116" i="10"/>
  <c r="B116" i="10"/>
  <c r="D115" i="10"/>
  <c r="B115" i="10"/>
  <c r="D114" i="10"/>
  <c r="B114" i="10"/>
  <c r="D113" i="10"/>
  <c r="B113" i="10"/>
  <c r="D112" i="10"/>
  <c r="B112" i="10"/>
  <c r="D111" i="10"/>
  <c r="B111" i="10"/>
  <c r="D110" i="10"/>
  <c r="B110" i="10"/>
  <c r="D109" i="10"/>
  <c r="B109" i="10"/>
  <c r="D108" i="10"/>
  <c r="B108" i="10"/>
  <c r="D107" i="10"/>
  <c r="B107" i="10"/>
  <c r="D105" i="10"/>
  <c r="B105" i="10"/>
  <c r="D101" i="10"/>
  <c r="B101" i="10"/>
  <c r="D100" i="10"/>
  <c r="B100" i="10"/>
  <c r="D99" i="10"/>
  <c r="B99" i="10"/>
  <c r="D98" i="10"/>
  <c r="B98" i="10"/>
  <c r="D97" i="10"/>
  <c r="B97" i="10"/>
  <c r="D96" i="10"/>
  <c r="B96" i="10"/>
  <c r="D95" i="10"/>
  <c r="B95" i="10"/>
  <c r="D92" i="10"/>
  <c r="B92" i="10"/>
  <c r="D91" i="10"/>
  <c r="B91" i="10"/>
  <c r="D90" i="10"/>
  <c r="B90" i="10"/>
  <c r="D82" i="10"/>
  <c r="B82" i="10"/>
  <c r="D81" i="10"/>
  <c r="B81" i="10"/>
  <c r="D80" i="10"/>
  <c r="B80" i="10"/>
  <c r="D79" i="10"/>
  <c r="B79" i="10"/>
  <c r="D78" i="10"/>
  <c r="B78" i="10"/>
  <c r="D77" i="10"/>
  <c r="B77" i="10"/>
  <c r="D76" i="10"/>
  <c r="B76" i="10"/>
  <c r="D73" i="10"/>
  <c r="B73" i="10"/>
  <c r="Y37" i="16" l="1"/>
  <c r="X37" i="16"/>
  <c r="AE37" i="9" s="1"/>
  <c r="L38" i="16"/>
  <c r="K38" i="16"/>
  <c r="C37" i="16"/>
  <c r="K37" i="16"/>
  <c r="T37" i="16"/>
  <c r="I37" i="16"/>
  <c r="S37" i="16"/>
  <c r="B37" i="16"/>
  <c r="L37" i="16"/>
  <c r="V37" i="16"/>
  <c r="D37" i="16"/>
  <c r="M37" i="16"/>
  <c r="W37" i="16"/>
  <c r="A36" i="16"/>
  <c r="X36" i="16" s="1"/>
  <c r="AE36" i="9" s="1"/>
  <c r="F37" i="16"/>
  <c r="J37" i="16"/>
  <c r="Z37" i="16"/>
  <c r="E37" i="16"/>
  <c r="O37" i="16"/>
  <c r="P37" i="16"/>
  <c r="R37" i="16"/>
  <c r="Q37" i="16"/>
  <c r="O38" i="16"/>
  <c r="P38" i="16"/>
  <c r="I39" i="16"/>
  <c r="A40" i="16"/>
  <c r="M39" i="16"/>
  <c r="B39" i="16"/>
  <c r="J39" i="16"/>
  <c r="C38" i="16"/>
  <c r="E38" i="16"/>
  <c r="S38" i="16" s="1"/>
  <c r="F38" i="16"/>
  <c r="T38" i="16" s="1"/>
  <c r="D38" i="16"/>
  <c r="R38" i="16" s="1"/>
  <c r="J6" i="14"/>
  <c r="K6" i="14"/>
  <c r="L6" i="14"/>
  <c r="I6" i="14"/>
  <c r="O39" i="16" l="1"/>
  <c r="P39" i="16"/>
  <c r="D36" i="16"/>
  <c r="L36" i="16"/>
  <c r="U36" i="16"/>
  <c r="F36" i="16"/>
  <c r="Q36" i="16"/>
  <c r="Z36" i="16"/>
  <c r="I36" i="16"/>
  <c r="S36" i="16"/>
  <c r="J36" i="16"/>
  <c r="T36" i="16"/>
  <c r="P36" i="16"/>
  <c r="C36" i="16"/>
  <c r="V36" i="16"/>
  <c r="E36" i="16"/>
  <c r="W36" i="16"/>
  <c r="Y36" i="16"/>
  <c r="A35" i="16"/>
  <c r="B36" i="16"/>
  <c r="K36" i="16"/>
  <c r="M36" i="16"/>
  <c r="O36" i="16"/>
  <c r="R36" i="16"/>
  <c r="U38" i="16" s="1"/>
  <c r="U39" i="16"/>
  <c r="K39" i="16"/>
  <c r="L39" i="16"/>
  <c r="E39" i="16"/>
  <c r="S39" i="16" s="1"/>
  <c r="C39" i="16"/>
  <c r="D39" i="16"/>
  <c r="F39" i="16"/>
  <c r="T39" i="16" s="1"/>
  <c r="A41" i="16"/>
  <c r="J40" i="16"/>
  <c r="B40" i="16"/>
  <c r="I40" i="16"/>
  <c r="M40" i="16"/>
  <c r="G37" i="16"/>
  <c r="H37" i="16" s="1"/>
  <c r="Q38" i="16"/>
  <c r="G38" i="16"/>
  <c r="H38" i="16" s="1"/>
  <c r="Z38" i="16" s="1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U6" i="15"/>
  <c r="V6" i="15"/>
  <c r="G39" i="16" l="1"/>
  <c r="R39" i="16" s="1"/>
  <c r="U40" i="16" s="1"/>
  <c r="Q39" i="16"/>
  <c r="P40" i="16"/>
  <c r="O40" i="16"/>
  <c r="G36" i="16"/>
  <c r="H36" i="16" s="1"/>
  <c r="K40" i="16"/>
  <c r="L40" i="16"/>
  <c r="A34" i="16"/>
  <c r="E35" i="16"/>
  <c r="M35" i="16"/>
  <c r="V35" i="16"/>
  <c r="Q35" i="16"/>
  <c r="Y35" i="16"/>
  <c r="J35" i="16"/>
  <c r="U35" i="16"/>
  <c r="B35" i="16"/>
  <c r="L35" i="16"/>
  <c r="X35" i="16"/>
  <c r="AE35" i="9" s="1"/>
  <c r="C35" i="16"/>
  <c r="O35" i="16"/>
  <c r="Z35" i="16"/>
  <c r="K35" i="16"/>
  <c r="P35" i="16"/>
  <c r="W35" i="16"/>
  <c r="D35" i="16"/>
  <c r="F35" i="16"/>
  <c r="I35" i="16"/>
  <c r="R35" i="16"/>
  <c r="U37" i="16" s="1"/>
  <c r="V38" i="16" s="1"/>
  <c r="W38" i="16" s="1"/>
  <c r="Y38" i="16" s="1"/>
  <c r="X38" i="16" s="1"/>
  <c r="AE38" i="9" s="1"/>
  <c r="T35" i="16"/>
  <c r="S35" i="16"/>
  <c r="D40" i="16"/>
  <c r="F40" i="16"/>
  <c r="T40" i="16" s="1"/>
  <c r="C40" i="16"/>
  <c r="E40" i="16"/>
  <c r="S40" i="16" s="1"/>
  <c r="V39" i="16"/>
  <c r="J41" i="16"/>
  <c r="M41" i="16"/>
  <c r="A42" i="16"/>
  <c r="B41" i="16"/>
  <c r="I41" i="16"/>
  <c r="AP264" i="3"/>
  <c r="AP265" i="3"/>
  <c r="AP266" i="3"/>
  <c r="AP267" i="3"/>
  <c r="AP268" i="3"/>
  <c r="AP269" i="3"/>
  <c r="H39" i="16" l="1"/>
  <c r="Z39" i="16" s="1"/>
  <c r="W39" i="16"/>
  <c r="Y39" i="16" s="1"/>
  <c r="X39" i="16" s="1"/>
  <c r="AE39" i="9" s="1"/>
  <c r="A33" i="16"/>
  <c r="F34" i="16"/>
  <c r="O34" i="16"/>
  <c r="W34" i="16"/>
  <c r="I34" i="16"/>
  <c r="R34" i="16"/>
  <c r="Z34" i="16"/>
  <c r="C34" i="16"/>
  <c r="M34" i="16"/>
  <c r="Y34" i="16"/>
  <c r="E34" i="16"/>
  <c r="Q34" i="16"/>
  <c r="S34" i="16"/>
  <c r="P34" i="16"/>
  <c r="B34" i="16"/>
  <c r="U34" i="16"/>
  <c r="D34" i="16"/>
  <c r="V34" i="16"/>
  <c r="X34" i="16"/>
  <c r="AE34" i="9" s="1"/>
  <c r="J34" i="16"/>
  <c r="K34" i="16"/>
  <c r="L34" i="16"/>
  <c r="T34" i="16"/>
  <c r="C41" i="16"/>
  <c r="D41" i="16"/>
  <c r="E41" i="16"/>
  <c r="S41" i="16" s="1"/>
  <c r="F41" i="16"/>
  <c r="T41" i="16" s="1"/>
  <c r="P41" i="16"/>
  <c r="O41" i="16"/>
  <c r="L41" i="16"/>
  <c r="K41" i="16"/>
  <c r="Q40" i="16"/>
  <c r="G40" i="16"/>
  <c r="H40" i="16" s="1"/>
  <c r="B42" i="16"/>
  <c r="M42" i="16"/>
  <c r="A43" i="16"/>
  <c r="I42" i="16"/>
  <c r="J42" i="16"/>
  <c r="V40" i="16"/>
  <c r="W40" i="16" s="1"/>
  <c r="G35" i="16"/>
  <c r="H35" i="16" s="1"/>
  <c r="A38" i="15"/>
  <c r="Y40" i="16" l="1"/>
  <c r="X40" i="16" s="1"/>
  <c r="AE40" i="9" s="1"/>
  <c r="F42" i="16"/>
  <c r="T42" i="16" s="1"/>
  <c r="C42" i="16"/>
  <c r="E42" i="16"/>
  <c r="S42" i="16" s="1"/>
  <c r="D42" i="16"/>
  <c r="R40" i="16"/>
  <c r="U41" i="16" s="1"/>
  <c r="V41" i="16" s="1"/>
  <c r="L42" i="16"/>
  <c r="K42" i="16"/>
  <c r="M43" i="16"/>
  <c r="A44" i="16"/>
  <c r="I43" i="16"/>
  <c r="B43" i="16"/>
  <c r="J43" i="16"/>
  <c r="G41" i="16"/>
  <c r="R41" i="16" s="1"/>
  <c r="Q41" i="16"/>
  <c r="I33" i="16"/>
  <c r="R33" i="16"/>
  <c r="Z33" i="16"/>
  <c r="B33" i="16"/>
  <c r="J33" i="16"/>
  <c r="S33" i="16"/>
  <c r="E33" i="16"/>
  <c r="M33" i="16"/>
  <c r="V33" i="16"/>
  <c r="U33" i="16"/>
  <c r="L33" i="16"/>
  <c r="Y33" i="16"/>
  <c r="A32" i="16"/>
  <c r="K33" i="16"/>
  <c r="P33" i="16"/>
  <c r="Q33" i="16"/>
  <c r="W33" i="16"/>
  <c r="C33" i="16"/>
  <c r="D33" i="16"/>
  <c r="O33" i="16"/>
  <c r="T33" i="16"/>
  <c r="X33" i="16"/>
  <c r="AE33" i="9" s="1"/>
  <c r="F33" i="16"/>
  <c r="O42" i="16"/>
  <c r="P42" i="16"/>
  <c r="G34" i="16"/>
  <c r="H34" i="16" s="1"/>
  <c r="E38" i="15"/>
  <c r="AO38" i="15"/>
  <c r="G38" i="15"/>
  <c r="Y38" i="15"/>
  <c r="I38" i="15"/>
  <c r="AE38" i="15"/>
  <c r="J38" i="15"/>
  <c r="W38" i="15"/>
  <c r="L38" i="15"/>
  <c r="AF38" i="15"/>
  <c r="AK38" i="15"/>
  <c r="AC38" i="15"/>
  <c r="F38" i="15"/>
  <c r="AJ38" i="15"/>
  <c r="H38" i="15"/>
  <c r="A39" i="15"/>
  <c r="K38" i="15"/>
  <c r="A37" i="15"/>
  <c r="B68" i="10"/>
  <c r="B67" i="10"/>
  <c r="B66" i="10"/>
  <c r="B65" i="10"/>
  <c r="B64" i="10"/>
  <c r="B63" i="10"/>
  <c r="B62" i="10"/>
  <c r="B61" i="10"/>
  <c r="B60" i="10"/>
  <c r="B59" i="10"/>
  <c r="B58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101" i="3"/>
  <c r="B100" i="3"/>
  <c r="B99" i="3"/>
  <c r="B98" i="3"/>
  <c r="B97" i="3"/>
  <c r="B96" i="3"/>
  <c r="B95" i="3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U42" i="16" l="1"/>
  <c r="V42" i="16" s="1"/>
  <c r="W42" i="16" s="1"/>
  <c r="W41" i="16"/>
  <c r="Y41" i="16" s="1"/>
  <c r="X41" i="16" s="1"/>
  <c r="AE41" i="9" s="1"/>
  <c r="G33" i="16"/>
  <c r="H33" i="16" s="1"/>
  <c r="A45" i="16"/>
  <c r="J44" i="16"/>
  <c r="B44" i="16"/>
  <c r="I44" i="16"/>
  <c r="M44" i="16"/>
  <c r="G42" i="16"/>
  <c r="H42" i="16" s="1"/>
  <c r="Q42" i="16"/>
  <c r="P43" i="16"/>
  <c r="O43" i="16"/>
  <c r="H41" i="16"/>
  <c r="Z41" i="16" s="1"/>
  <c r="E43" i="16"/>
  <c r="S43" i="16" s="1"/>
  <c r="F43" i="16"/>
  <c r="T43" i="16" s="1"/>
  <c r="D43" i="16"/>
  <c r="C43" i="16"/>
  <c r="B32" i="16"/>
  <c r="J32" i="16"/>
  <c r="S32" i="16"/>
  <c r="C32" i="16"/>
  <c r="K32" i="16"/>
  <c r="T32" i="16"/>
  <c r="F32" i="16"/>
  <c r="O32" i="16"/>
  <c r="W32" i="16"/>
  <c r="U32" i="16"/>
  <c r="L32" i="16"/>
  <c r="Y32" i="16"/>
  <c r="R32" i="16"/>
  <c r="E32" i="16"/>
  <c r="X32" i="16"/>
  <c r="AE32" i="9" s="1"/>
  <c r="Z32" i="16"/>
  <c r="Q32" i="16"/>
  <c r="A31" i="16"/>
  <c r="D32" i="16"/>
  <c r="I32" i="16"/>
  <c r="M32" i="16"/>
  <c r="P32" i="16"/>
  <c r="V32" i="16"/>
  <c r="L43" i="16"/>
  <c r="K43" i="16"/>
  <c r="Z40" i="16"/>
  <c r="K39" i="15"/>
  <c r="AJ39" i="15"/>
  <c r="E39" i="15"/>
  <c r="AO39" i="15"/>
  <c r="G39" i="15"/>
  <c r="I39" i="15"/>
  <c r="L39" i="15"/>
  <c r="Y39" i="15"/>
  <c r="AE39" i="15"/>
  <c r="W39" i="15"/>
  <c r="F39" i="15"/>
  <c r="AC39" i="15"/>
  <c r="H39" i="15"/>
  <c r="AF39" i="15"/>
  <c r="J39" i="15"/>
  <c r="AK39" i="15"/>
  <c r="A40" i="15"/>
  <c r="M38" i="15"/>
  <c r="N38" i="15" s="1"/>
  <c r="O38" i="15" s="1"/>
  <c r="P38" i="15" s="1"/>
  <c r="Q38" i="15"/>
  <c r="R38" i="15" s="1"/>
  <c r="G37" i="15"/>
  <c r="O37" i="15"/>
  <c r="W37" i="15"/>
  <c r="I37" i="15"/>
  <c r="Q37" i="15"/>
  <c r="AC37" i="15"/>
  <c r="C37" i="15"/>
  <c r="K37" i="15"/>
  <c r="S37" i="15"/>
  <c r="AF37" i="15"/>
  <c r="J37" i="15"/>
  <c r="V37" i="15"/>
  <c r="A36" i="15"/>
  <c r="M37" i="15"/>
  <c r="AE37" i="15"/>
  <c r="D37" i="15"/>
  <c r="P37" i="15"/>
  <c r="AK37" i="15"/>
  <c r="F37" i="15"/>
  <c r="AJ37" i="15"/>
  <c r="H37" i="15"/>
  <c r="L37" i="15"/>
  <c r="N37" i="15"/>
  <c r="R37" i="15"/>
  <c r="T37" i="15"/>
  <c r="U37" i="15"/>
  <c r="E37" i="15"/>
  <c r="Y37" i="15"/>
  <c r="U38" i="15"/>
  <c r="V38" i="15" s="1"/>
  <c r="B116" i="3"/>
  <c r="B115" i="3"/>
  <c r="B114" i="3"/>
  <c r="B113" i="3"/>
  <c r="B112" i="3"/>
  <c r="B111" i="3"/>
  <c r="B110" i="3"/>
  <c r="B109" i="3"/>
  <c r="B108" i="3"/>
  <c r="B107" i="3"/>
  <c r="B105" i="3"/>
  <c r="Y42" i="16" l="1"/>
  <c r="X42" i="16" s="1"/>
  <c r="AE42" i="9" s="1"/>
  <c r="D44" i="16"/>
  <c r="F44" i="16"/>
  <c r="T44" i="16" s="1"/>
  <c r="C44" i="16"/>
  <c r="E44" i="16"/>
  <c r="S44" i="16" s="1"/>
  <c r="L44" i="16"/>
  <c r="K44" i="16"/>
  <c r="R42" i="16"/>
  <c r="U43" i="16" s="1"/>
  <c r="V43" i="16" s="1"/>
  <c r="W43" i="16" s="1"/>
  <c r="Y43" i="16" s="1"/>
  <c r="J45" i="16"/>
  <c r="M45" i="16"/>
  <c r="I45" i="16"/>
  <c r="B45" i="16"/>
  <c r="A46" i="16"/>
  <c r="Q43" i="16"/>
  <c r="G43" i="16"/>
  <c r="R43" i="16" s="1"/>
  <c r="G32" i="16"/>
  <c r="H32" i="16" s="1"/>
  <c r="C31" i="16"/>
  <c r="K31" i="16"/>
  <c r="T31" i="16"/>
  <c r="D31" i="16"/>
  <c r="L31" i="16"/>
  <c r="U31" i="16"/>
  <c r="P31" i="16"/>
  <c r="X31" i="16"/>
  <c r="AE31" i="9" s="1"/>
  <c r="F31" i="16"/>
  <c r="S31" i="16"/>
  <c r="J31" i="16"/>
  <c r="Y31" i="16"/>
  <c r="A30" i="16"/>
  <c r="I31" i="16"/>
  <c r="O31" i="16"/>
  <c r="Q31" i="16"/>
  <c r="R31" i="16"/>
  <c r="W31" i="16"/>
  <c r="Z31" i="16"/>
  <c r="V31" i="16"/>
  <c r="B31" i="16"/>
  <c r="E31" i="16"/>
  <c r="M31" i="16"/>
  <c r="O44" i="16"/>
  <c r="P44" i="16"/>
  <c r="S38" i="15"/>
  <c r="Q39" i="15"/>
  <c r="R39" i="15" s="1"/>
  <c r="U39" i="15"/>
  <c r="V39" i="15" s="1"/>
  <c r="M39" i="15"/>
  <c r="N39" i="15" s="1"/>
  <c r="O39" i="15" s="1"/>
  <c r="P39" i="15" s="1"/>
  <c r="C36" i="15"/>
  <c r="K36" i="15"/>
  <c r="S36" i="15"/>
  <c r="AF36" i="15"/>
  <c r="E36" i="15"/>
  <c r="M36" i="15"/>
  <c r="U36" i="15"/>
  <c r="AK36" i="15"/>
  <c r="G36" i="15"/>
  <c r="O36" i="15"/>
  <c r="W36" i="15"/>
  <c r="A35" i="15"/>
  <c r="L36" i="15"/>
  <c r="AC36" i="15"/>
  <c r="P36" i="15"/>
  <c r="AJ36" i="15"/>
  <c r="F36" i="15"/>
  <c r="R36" i="15"/>
  <c r="N36" i="15"/>
  <c r="Q36" i="15"/>
  <c r="T36" i="15"/>
  <c r="V36" i="15"/>
  <c r="D36" i="15"/>
  <c r="Y36" i="15"/>
  <c r="H36" i="15"/>
  <c r="AE36" i="15"/>
  <c r="I36" i="15"/>
  <c r="J36" i="15"/>
  <c r="I40" i="15"/>
  <c r="AE40" i="15"/>
  <c r="K40" i="15"/>
  <c r="AJ40" i="15"/>
  <c r="E40" i="15"/>
  <c r="AF40" i="15"/>
  <c r="G40" i="15"/>
  <c r="AO40" i="15"/>
  <c r="J40" i="15"/>
  <c r="F40" i="15"/>
  <c r="Y40" i="15"/>
  <c r="H40" i="15"/>
  <c r="AC40" i="15"/>
  <c r="L40" i="15"/>
  <c r="AK40" i="15"/>
  <c r="A41" i="15"/>
  <c r="W40" i="15"/>
  <c r="X43" i="16" l="1"/>
  <c r="AE43" i="9" s="1"/>
  <c r="U44" i="16"/>
  <c r="V44" i="16" s="1"/>
  <c r="W44" i="16" s="1"/>
  <c r="Y44" i="16" s="1"/>
  <c r="X44" i="16" s="1"/>
  <c r="AE44" i="9" s="1"/>
  <c r="H43" i="16"/>
  <c r="Z43" i="16" s="1"/>
  <c r="Z42" i="16"/>
  <c r="Q44" i="16"/>
  <c r="G44" i="16"/>
  <c r="H44" i="16" s="1"/>
  <c r="O45" i="16"/>
  <c r="P45" i="16"/>
  <c r="C45" i="16"/>
  <c r="D45" i="16"/>
  <c r="E45" i="16"/>
  <c r="S45" i="16" s="1"/>
  <c r="F45" i="16"/>
  <c r="T45" i="16" s="1"/>
  <c r="D30" i="16"/>
  <c r="L30" i="16"/>
  <c r="U30" i="16"/>
  <c r="E30" i="16"/>
  <c r="M30" i="16"/>
  <c r="V30" i="16"/>
  <c r="A29" i="16"/>
  <c r="Q30" i="16"/>
  <c r="Y30" i="16"/>
  <c r="F30" i="16"/>
  <c r="S30" i="16"/>
  <c r="J30" i="16"/>
  <c r="X30" i="16"/>
  <c r="AE30" i="9" s="1"/>
  <c r="R30" i="16"/>
  <c r="C30" i="16"/>
  <c r="W30" i="16"/>
  <c r="Z30" i="16"/>
  <c r="O30" i="16"/>
  <c r="T30" i="16"/>
  <c r="B30" i="16"/>
  <c r="I30" i="16"/>
  <c r="K30" i="16"/>
  <c r="P30" i="16"/>
  <c r="K45" i="16"/>
  <c r="L45" i="16"/>
  <c r="G31" i="16"/>
  <c r="H31" i="16" s="1"/>
  <c r="B46" i="16"/>
  <c r="M46" i="16"/>
  <c r="A47" i="16"/>
  <c r="I46" i="16"/>
  <c r="J46" i="16"/>
  <c r="S39" i="15"/>
  <c r="M40" i="15"/>
  <c r="N40" i="15" s="1"/>
  <c r="O40" i="15" s="1"/>
  <c r="P40" i="15" s="1"/>
  <c r="Q40" i="15"/>
  <c r="R40" i="15" s="1"/>
  <c r="G35" i="15"/>
  <c r="O35" i="15"/>
  <c r="W35" i="15"/>
  <c r="I35" i="15"/>
  <c r="Q35" i="15"/>
  <c r="AC35" i="15"/>
  <c r="C35" i="15"/>
  <c r="K35" i="15"/>
  <c r="S35" i="15"/>
  <c r="AF35" i="15"/>
  <c r="N35" i="15"/>
  <c r="AJ35" i="15"/>
  <c r="E35" i="15"/>
  <c r="R35" i="15"/>
  <c r="H35" i="15"/>
  <c r="U35" i="15"/>
  <c r="V35" i="15"/>
  <c r="D35" i="15"/>
  <c r="Y35" i="15"/>
  <c r="F35" i="15"/>
  <c r="AE35" i="15"/>
  <c r="J35" i="15"/>
  <c r="AK35" i="15"/>
  <c r="L35" i="15"/>
  <c r="M35" i="15"/>
  <c r="A34" i="15"/>
  <c r="P35" i="15"/>
  <c r="T35" i="15"/>
  <c r="G41" i="15"/>
  <c r="Y41" i="15"/>
  <c r="I41" i="15"/>
  <c r="K41" i="15"/>
  <c r="AO41" i="15"/>
  <c r="W41" i="15"/>
  <c r="E41" i="15"/>
  <c r="AE41" i="15"/>
  <c r="AK41" i="15"/>
  <c r="A42" i="15"/>
  <c r="F41" i="15"/>
  <c r="H41" i="15"/>
  <c r="AC41" i="15"/>
  <c r="J41" i="15"/>
  <c r="AF41" i="15"/>
  <c r="L41" i="15"/>
  <c r="AJ41" i="15"/>
  <c r="U40" i="15"/>
  <c r="V40" i="15" s="1"/>
  <c r="R44" i="16" l="1"/>
  <c r="U45" i="16" s="1"/>
  <c r="V45" i="16" s="1"/>
  <c r="W45" i="16" s="1"/>
  <c r="Y45" i="16" s="1"/>
  <c r="X45" i="16" s="1"/>
  <c r="AE45" i="9" s="1"/>
  <c r="Q45" i="16"/>
  <c r="G45" i="16"/>
  <c r="H45" i="16" s="1"/>
  <c r="L46" i="16"/>
  <c r="K46" i="16"/>
  <c r="M47" i="16"/>
  <c r="A48" i="16"/>
  <c r="B47" i="16"/>
  <c r="I47" i="16"/>
  <c r="J47" i="16"/>
  <c r="D46" i="16"/>
  <c r="F46" i="16"/>
  <c r="T46" i="16" s="1"/>
  <c r="C46" i="16"/>
  <c r="E46" i="16"/>
  <c r="S46" i="16" s="1"/>
  <c r="O46" i="16"/>
  <c r="P46" i="16"/>
  <c r="G30" i="16"/>
  <c r="H30" i="16" s="1"/>
  <c r="E29" i="16"/>
  <c r="M29" i="16"/>
  <c r="V29" i="16"/>
  <c r="F29" i="16"/>
  <c r="O29" i="16"/>
  <c r="W29" i="16"/>
  <c r="I29" i="16"/>
  <c r="R29" i="16"/>
  <c r="Z29" i="16"/>
  <c r="D29" i="16"/>
  <c r="S29" i="16"/>
  <c r="J29" i="16"/>
  <c r="X29" i="16"/>
  <c r="AE29" i="9" s="1"/>
  <c r="L29" i="16"/>
  <c r="P29" i="16"/>
  <c r="K29" i="16"/>
  <c r="T29" i="16"/>
  <c r="U29" i="16"/>
  <c r="B29" i="16"/>
  <c r="C29" i="16"/>
  <c r="A28" i="16"/>
  <c r="Q29" i="16"/>
  <c r="Y29" i="16"/>
  <c r="S40" i="15"/>
  <c r="M41" i="15"/>
  <c r="N41" i="15" s="1"/>
  <c r="O41" i="15" s="1"/>
  <c r="P41" i="15" s="1"/>
  <c r="Q41" i="15"/>
  <c r="R41" i="15" s="1"/>
  <c r="C34" i="15"/>
  <c r="K34" i="15"/>
  <c r="S34" i="15"/>
  <c r="AF34" i="15"/>
  <c r="E34" i="15"/>
  <c r="M34" i="15"/>
  <c r="U34" i="15"/>
  <c r="AK34" i="15"/>
  <c r="G34" i="15"/>
  <c r="O34" i="15"/>
  <c r="W34" i="15"/>
  <c r="D34" i="15"/>
  <c r="Q34" i="15"/>
  <c r="H34" i="15"/>
  <c r="T34" i="15"/>
  <c r="J34" i="15"/>
  <c r="Y34" i="15"/>
  <c r="I34" i="15"/>
  <c r="AJ34" i="15"/>
  <c r="L34" i="15"/>
  <c r="A33" i="15"/>
  <c r="N34" i="15"/>
  <c r="P34" i="15"/>
  <c r="R34" i="15"/>
  <c r="V34" i="15"/>
  <c r="AC34" i="15"/>
  <c r="F34" i="15"/>
  <c r="AE34" i="15"/>
  <c r="E42" i="15"/>
  <c r="AO42" i="15"/>
  <c r="L42" i="15"/>
  <c r="W42" i="15"/>
  <c r="F42" i="15"/>
  <c r="H42" i="15"/>
  <c r="AF42" i="15"/>
  <c r="A43" i="15"/>
  <c r="G42" i="15"/>
  <c r="I42" i="15"/>
  <c r="Y42" i="15"/>
  <c r="J42" i="15"/>
  <c r="AC42" i="15"/>
  <c r="K42" i="15"/>
  <c r="AE42" i="15"/>
  <c r="AJ42" i="15"/>
  <c r="AK42" i="15"/>
  <c r="U41" i="15"/>
  <c r="V41" i="15" s="1"/>
  <c r="D72" i="10"/>
  <c r="R45" i="16" l="1"/>
  <c r="U46" i="16" s="1"/>
  <c r="V46" i="16" s="1"/>
  <c r="W46" i="16" s="1"/>
  <c r="Y46" i="16" s="1"/>
  <c r="X46" i="16" s="1"/>
  <c r="AE46" i="9" s="1"/>
  <c r="Z44" i="16"/>
  <c r="G46" i="16"/>
  <c r="H46" i="16" s="1"/>
  <c r="Q46" i="16"/>
  <c r="B48" i="16"/>
  <c r="J48" i="16"/>
  <c r="A49" i="16"/>
  <c r="M48" i="16"/>
  <c r="I48" i="16"/>
  <c r="O47" i="16"/>
  <c r="P47" i="16"/>
  <c r="F28" i="16"/>
  <c r="O28" i="16"/>
  <c r="W28" i="16"/>
  <c r="P28" i="16"/>
  <c r="X28" i="16"/>
  <c r="AE28" i="9" s="1"/>
  <c r="B28" i="16"/>
  <c r="J28" i="16"/>
  <c r="S28" i="16"/>
  <c r="D28" i="16"/>
  <c r="R28" i="16"/>
  <c r="I28" i="16"/>
  <c r="V28" i="16"/>
  <c r="Q28" i="16"/>
  <c r="C28" i="16"/>
  <c r="U28" i="16"/>
  <c r="E28" i="16"/>
  <c r="Y28" i="16"/>
  <c r="K28" i="16"/>
  <c r="M28" i="16"/>
  <c r="T28" i="16"/>
  <c r="L28" i="16"/>
  <c r="A27" i="16"/>
  <c r="Z28" i="16"/>
  <c r="G29" i="16"/>
  <c r="H29" i="16" s="1"/>
  <c r="K47" i="16"/>
  <c r="L47" i="16"/>
  <c r="C47" i="16"/>
  <c r="E47" i="16"/>
  <c r="S47" i="16" s="1"/>
  <c r="F47" i="16"/>
  <c r="T47" i="16" s="1"/>
  <c r="D47" i="16"/>
  <c r="S41" i="15"/>
  <c r="M42" i="15"/>
  <c r="N42" i="15" s="1"/>
  <c r="O42" i="15" s="1"/>
  <c r="P42" i="15" s="1"/>
  <c r="U42" i="15"/>
  <c r="V42" i="15" s="1"/>
  <c r="Q42" i="15"/>
  <c r="R42" i="15" s="1"/>
  <c r="G33" i="15"/>
  <c r="O33" i="15"/>
  <c r="W33" i="15"/>
  <c r="I33" i="15"/>
  <c r="Q33" i="15"/>
  <c r="AC33" i="15"/>
  <c r="C33" i="15"/>
  <c r="K33" i="15"/>
  <c r="S33" i="15"/>
  <c r="AF33" i="15"/>
  <c r="F33" i="15"/>
  <c r="T33" i="15"/>
  <c r="J33" i="15"/>
  <c r="V33" i="15"/>
  <c r="A32" i="15"/>
  <c r="M33" i="15"/>
  <c r="AE33" i="15"/>
  <c r="P33" i="15"/>
  <c r="R33" i="15"/>
  <c r="U33" i="15"/>
  <c r="D33" i="15"/>
  <c r="Y33" i="15"/>
  <c r="E33" i="15"/>
  <c r="AJ33" i="15"/>
  <c r="H33" i="15"/>
  <c r="AK33" i="15"/>
  <c r="L33" i="15"/>
  <c r="N33" i="15"/>
  <c r="K43" i="15"/>
  <c r="AJ43" i="15"/>
  <c r="E43" i="15"/>
  <c r="Y43" i="15"/>
  <c r="I43" i="15"/>
  <c r="AK43" i="15"/>
  <c r="AO43" i="15"/>
  <c r="F43" i="15"/>
  <c r="A44" i="15"/>
  <c r="G43" i="15"/>
  <c r="H43" i="15"/>
  <c r="J43" i="15"/>
  <c r="W43" i="15"/>
  <c r="L43" i="15"/>
  <c r="AC43" i="15"/>
  <c r="AE43" i="15"/>
  <c r="AF43" i="15"/>
  <c r="G6" i="14"/>
  <c r="H6" i="14"/>
  <c r="F6" i="14"/>
  <c r="A38" i="14"/>
  <c r="E6" i="14"/>
  <c r="A38" i="13"/>
  <c r="A39" i="13" s="1"/>
  <c r="B6" i="13"/>
  <c r="Z45" i="16" l="1"/>
  <c r="P27" i="16"/>
  <c r="X27" i="16"/>
  <c r="AE27" i="9" s="1"/>
  <c r="A26" i="16"/>
  <c r="Q27" i="16"/>
  <c r="Y27" i="16"/>
  <c r="C27" i="16"/>
  <c r="K27" i="16"/>
  <c r="T27" i="16"/>
  <c r="D27" i="16"/>
  <c r="R27" i="16"/>
  <c r="I27" i="16"/>
  <c r="V27" i="16"/>
  <c r="F27" i="16"/>
  <c r="Z27" i="16"/>
  <c r="L27" i="16"/>
  <c r="M27" i="16"/>
  <c r="E27" i="16"/>
  <c r="O27" i="16"/>
  <c r="S27" i="16"/>
  <c r="B27" i="16"/>
  <c r="J27" i="16"/>
  <c r="U27" i="16"/>
  <c r="W27" i="16"/>
  <c r="P48" i="16"/>
  <c r="O48" i="16"/>
  <c r="I49" i="16"/>
  <c r="B49" i="16"/>
  <c r="A50" i="16"/>
  <c r="M49" i="16"/>
  <c r="J49" i="16"/>
  <c r="L48" i="16"/>
  <c r="K48" i="16"/>
  <c r="G47" i="16"/>
  <c r="R47" i="16" s="1"/>
  <c r="Q47" i="16"/>
  <c r="D48" i="16"/>
  <c r="E48" i="16"/>
  <c r="S48" i="16" s="1"/>
  <c r="F48" i="16"/>
  <c r="T48" i="16" s="1"/>
  <c r="C48" i="16"/>
  <c r="R46" i="16"/>
  <c r="U47" i="16" s="1"/>
  <c r="V47" i="16" s="1"/>
  <c r="W47" i="16" s="1"/>
  <c r="Y47" i="16" s="1"/>
  <c r="X47" i="16" s="1"/>
  <c r="AE47" i="9" s="1"/>
  <c r="G28" i="16"/>
  <c r="H28" i="16" s="1"/>
  <c r="K38" i="14"/>
  <c r="J38" i="14"/>
  <c r="E38" i="14"/>
  <c r="G38" i="14" s="1"/>
  <c r="I38" i="14"/>
  <c r="L38" i="14" s="1"/>
  <c r="S42" i="15"/>
  <c r="Q43" i="15"/>
  <c r="R43" i="15" s="1"/>
  <c r="C32" i="15"/>
  <c r="K32" i="15"/>
  <c r="S32" i="15"/>
  <c r="AF32" i="15"/>
  <c r="E32" i="15"/>
  <c r="M32" i="15"/>
  <c r="U32" i="15"/>
  <c r="AK32" i="15"/>
  <c r="G32" i="15"/>
  <c r="O32" i="15"/>
  <c r="W32" i="15"/>
  <c r="I32" i="15"/>
  <c r="V32" i="15"/>
  <c r="L32" i="15"/>
  <c r="AC32" i="15"/>
  <c r="A31" i="15"/>
  <c r="P32" i="15"/>
  <c r="AJ32" i="15"/>
  <c r="D32" i="15"/>
  <c r="Y32" i="15"/>
  <c r="F32" i="15"/>
  <c r="AE32" i="15"/>
  <c r="H32" i="15"/>
  <c r="J32" i="15"/>
  <c r="N32" i="15"/>
  <c r="Q32" i="15"/>
  <c r="R32" i="15"/>
  <c r="T32" i="15"/>
  <c r="U43" i="15"/>
  <c r="V43" i="15" s="1"/>
  <c r="I44" i="15"/>
  <c r="AE44" i="15"/>
  <c r="F44" i="15"/>
  <c r="AC44" i="15"/>
  <c r="K44" i="15"/>
  <c r="AO44" i="15"/>
  <c r="AJ44" i="15"/>
  <c r="AK44" i="15"/>
  <c r="E44" i="15"/>
  <c r="A45" i="15"/>
  <c r="G44" i="15"/>
  <c r="H44" i="15"/>
  <c r="J44" i="15"/>
  <c r="W44" i="15"/>
  <c r="L44" i="15"/>
  <c r="Y44" i="15"/>
  <c r="AF44" i="15"/>
  <c r="M43" i="15"/>
  <c r="N43" i="15" s="1"/>
  <c r="O43" i="15" s="1"/>
  <c r="P43" i="15" s="1"/>
  <c r="A39" i="14"/>
  <c r="F38" i="14"/>
  <c r="A37" i="14"/>
  <c r="B39" i="13"/>
  <c r="A40" i="13"/>
  <c r="A37" i="13"/>
  <c r="B37" i="13" s="1"/>
  <c r="B38" i="13"/>
  <c r="H38" i="14" l="1"/>
  <c r="U48" i="16"/>
  <c r="V48" i="16" s="1"/>
  <c r="W48" i="16" s="1"/>
  <c r="Y48" i="16" s="1"/>
  <c r="X48" i="16" s="1"/>
  <c r="AE48" i="9" s="1"/>
  <c r="H47" i="16"/>
  <c r="Z47" i="16" s="1"/>
  <c r="C49" i="16"/>
  <c r="D49" i="16"/>
  <c r="F49" i="16"/>
  <c r="T49" i="16" s="1"/>
  <c r="E49" i="16"/>
  <c r="S49" i="16" s="1"/>
  <c r="G27" i="16"/>
  <c r="H27" i="16" s="1"/>
  <c r="A25" i="16"/>
  <c r="Q26" i="16"/>
  <c r="Y26" i="16"/>
  <c r="I26" i="16"/>
  <c r="R26" i="16"/>
  <c r="Z26" i="16"/>
  <c r="D26" i="16"/>
  <c r="L26" i="16"/>
  <c r="U26" i="16"/>
  <c r="C26" i="16"/>
  <c r="P26" i="16"/>
  <c r="V26" i="16"/>
  <c r="O26" i="16"/>
  <c r="B26" i="16"/>
  <c r="T26" i="16"/>
  <c r="E26" i="16"/>
  <c r="W26" i="16"/>
  <c r="F26" i="16"/>
  <c r="K26" i="16"/>
  <c r="M26" i="16"/>
  <c r="S26" i="16"/>
  <c r="X26" i="16"/>
  <c r="AE26" i="9" s="1"/>
  <c r="J26" i="16"/>
  <c r="B50" i="16"/>
  <c r="J50" i="16"/>
  <c r="A51" i="16"/>
  <c r="I50" i="16"/>
  <c r="M50" i="16"/>
  <c r="G48" i="16"/>
  <c r="R48" i="16" s="1"/>
  <c r="U49" i="16" s="1"/>
  <c r="Q48" i="16"/>
  <c r="K49" i="16"/>
  <c r="L49" i="16"/>
  <c r="P49" i="16"/>
  <c r="O49" i="16"/>
  <c r="Z46" i="16"/>
  <c r="K39" i="14"/>
  <c r="J39" i="14"/>
  <c r="K37" i="14"/>
  <c r="J37" i="14"/>
  <c r="L37" i="14"/>
  <c r="I37" i="14"/>
  <c r="A40" i="14"/>
  <c r="A41" i="14" s="1"/>
  <c r="I39" i="14"/>
  <c r="L39" i="14" s="1"/>
  <c r="S43" i="15"/>
  <c r="U44" i="15"/>
  <c r="V44" i="15" s="1"/>
  <c r="M44" i="15"/>
  <c r="N44" i="15" s="1"/>
  <c r="O44" i="15" s="1"/>
  <c r="P44" i="15" s="1"/>
  <c r="G45" i="15"/>
  <c r="Y45" i="15"/>
  <c r="H45" i="15"/>
  <c r="AF45" i="15"/>
  <c r="L45" i="15"/>
  <c r="A46" i="15"/>
  <c r="AE45" i="15"/>
  <c r="AJ45" i="15"/>
  <c r="AK45" i="15"/>
  <c r="E45" i="15"/>
  <c r="AO45" i="15"/>
  <c r="F45" i="15"/>
  <c r="I45" i="15"/>
  <c r="J45" i="15"/>
  <c r="W45" i="15"/>
  <c r="K45" i="15"/>
  <c r="AC45" i="15"/>
  <c r="I31" i="15"/>
  <c r="D31" i="15"/>
  <c r="E31" i="15"/>
  <c r="A30" i="15"/>
  <c r="F31" i="15"/>
  <c r="O31" i="15"/>
  <c r="W31" i="15"/>
  <c r="H31" i="15"/>
  <c r="Q31" i="15"/>
  <c r="AC31" i="15"/>
  <c r="K31" i="15"/>
  <c r="S31" i="15"/>
  <c r="AF31" i="15"/>
  <c r="L31" i="15"/>
  <c r="Y31" i="15"/>
  <c r="N31" i="15"/>
  <c r="AJ31" i="15"/>
  <c r="R31" i="15"/>
  <c r="J31" i="15"/>
  <c r="M31" i="15"/>
  <c r="P31" i="15"/>
  <c r="T31" i="15"/>
  <c r="U31" i="15"/>
  <c r="V31" i="15"/>
  <c r="C31" i="15"/>
  <c r="AE31" i="15"/>
  <c r="G31" i="15"/>
  <c r="AK31" i="15"/>
  <c r="Q44" i="15"/>
  <c r="R44" i="15" s="1"/>
  <c r="E37" i="14"/>
  <c r="G37" i="14"/>
  <c r="H37" i="14"/>
  <c r="F39" i="14"/>
  <c r="E39" i="14"/>
  <c r="G39" i="14" s="1"/>
  <c r="A36" i="14"/>
  <c r="F37" i="14"/>
  <c r="B40" i="13"/>
  <c r="A41" i="13"/>
  <c r="A36" i="13"/>
  <c r="B36" i="13" s="1"/>
  <c r="B120" i="3"/>
  <c r="B119" i="3"/>
  <c r="B118" i="3"/>
  <c r="W6" i="9"/>
  <c r="V6" i="9"/>
  <c r="T6" i="9"/>
  <c r="S6" i="9"/>
  <c r="E40" i="14" l="1"/>
  <c r="G40" i="14" s="1"/>
  <c r="H48" i="16"/>
  <c r="Z48" i="16" s="1"/>
  <c r="P50" i="16"/>
  <c r="O50" i="16"/>
  <c r="V49" i="16"/>
  <c r="W49" i="16" s="1"/>
  <c r="Y49" i="16" s="1"/>
  <c r="X49" i="16" s="1"/>
  <c r="AE49" i="9" s="1"/>
  <c r="I51" i="16"/>
  <c r="B51" i="16"/>
  <c r="J51" i="16"/>
  <c r="A52" i="16"/>
  <c r="M51" i="16"/>
  <c r="K50" i="16"/>
  <c r="L50" i="16"/>
  <c r="G26" i="16"/>
  <c r="H26" i="16" s="1"/>
  <c r="C50" i="16"/>
  <c r="D50" i="16"/>
  <c r="F50" i="16"/>
  <c r="T50" i="16" s="1"/>
  <c r="E50" i="16"/>
  <c r="S50" i="16" s="1"/>
  <c r="I25" i="16"/>
  <c r="R25" i="16"/>
  <c r="Z25" i="16"/>
  <c r="B25" i="16"/>
  <c r="J25" i="16"/>
  <c r="S25" i="16"/>
  <c r="E25" i="16"/>
  <c r="M25" i="16"/>
  <c r="V25" i="16"/>
  <c r="A24" i="16"/>
  <c r="C25" i="16"/>
  <c r="P25" i="16"/>
  <c r="F25" i="16"/>
  <c r="T25" i="16"/>
  <c r="U25" i="16"/>
  <c r="X25" i="16"/>
  <c r="AE25" i="9" s="1"/>
  <c r="K25" i="16"/>
  <c r="D25" i="16"/>
  <c r="L25" i="16"/>
  <c r="O25" i="16"/>
  <c r="Q25" i="16"/>
  <c r="W25" i="16"/>
  <c r="Y25" i="16"/>
  <c r="G49" i="16"/>
  <c r="R49" i="16" s="1"/>
  <c r="U50" i="16" s="1"/>
  <c r="Q49" i="16"/>
  <c r="J41" i="14"/>
  <c r="K41" i="14"/>
  <c r="J36" i="14"/>
  <c r="K36" i="14"/>
  <c r="J40" i="14"/>
  <c r="K40" i="14"/>
  <c r="I36" i="14"/>
  <c r="L36" i="14"/>
  <c r="F40" i="14"/>
  <c r="H40" i="14" s="1"/>
  <c r="I40" i="14"/>
  <c r="L40" i="14" s="1"/>
  <c r="F41" i="14"/>
  <c r="I41" i="14"/>
  <c r="L41" i="14" s="1"/>
  <c r="S44" i="15"/>
  <c r="E46" i="15"/>
  <c r="AO46" i="15"/>
  <c r="I46" i="15"/>
  <c r="AJ46" i="15"/>
  <c r="Y46" i="15"/>
  <c r="K46" i="15"/>
  <c r="AC46" i="15"/>
  <c r="L46" i="15"/>
  <c r="AE46" i="15"/>
  <c r="AF46" i="15"/>
  <c r="AK46" i="15"/>
  <c r="F46" i="15"/>
  <c r="A47" i="15"/>
  <c r="G46" i="15"/>
  <c r="H46" i="15"/>
  <c r="J46" i="15"/>
  <c r="W46" i="15"/>
  <c r="E30" i="15"/>
  <c r="M30" i="15"/>
  <c r="U30" i="15"/>
  <c r="AK30" i="15"/>
  <c r="H30" i="15"/>
  <c r="P30" i="15"/>
  <c r="Y30" i="15"/>
  <c r="I30" i="15"/>
  <c r="Q30" i="15"/>
  <c r="AC30" i="15"/>
  <c r="D30" i="15"/>
  <c r="L30" i="15"/>
  <c r="T30" i="15"/>
  <c r="AJ30" i="15"/>
  <c r="R30" i="15"/>
  <c r="A29" i="15"/>
  <c r="F30" i="15"/>
  <c r="V30" i="15"/>
  <c r="J30" i="15"/>
  <c r="AE30" i="15"/>
  <c r="O30" i="15"/>
  <c r="W30" i="15"/>
  <c r="C30" i="15"/>
  <c r="G30" i="15"/>
  <c r="K30" i="15"/>
  <c r="N30" i="15"/>
  <c r="S30" i="15"/>
  <c r="AF30" i="15"/>
  <c r="Q45" i="15"/>
  <c r="R45" i="15" s="1"/>
  <c r="U45" i="15"/>
  <c r="V45" i="15" s="1"/>
  <c r="M45" i="15"/>
  <c r="N45" i="15" s="1"/>
  <c r="O45" i="15" s="1"/>
  <c r="P45" i="15" s="1"/>
  <c r="G36" i="14"/>
  <c r="H36" i="14"/>
  <c r="E41" i="14"/>
  <c r="G41" i="14" s="1"/>
  <c r="A42" i="14"/>
  <c r="H39" i="14"/>
  <c r="F36" i="14"/>
  <c r="E36" i="14"/>
  <c r="A35" i="14"/>
  <c r="A42" i="13"/>
  <c r="B41" i="13"/>
  <c r="A35" i="13"/>
  <c r="B35" i="13" s="1"/>
  <c r="M5" i="9"/>
  <c r="M6" i="9"/>
  <c r="H41" i="14" l="1"/>
  <c r="G25" i="16"/>
  <c r="H25" i="16" s="1"/>
  <c r="H49" i="16"/>
  <c r="B24" i="16"/>
  <c r="J24" i="16"/>
  <c r="S24" i="16"/>
  <c r="C24" i="16"/>
  <c r="K24" i="16"/>
  <c r="T24" i="16"/>
  <c r="F24" i="16"/>
  <c r="O24" i="16"/>
  <c r="W24" i="16"/>
  <c r="A23" i="16"/>
  <c r="P24" i="16"/>
  <c r="E24" i="16"/>
  <c r="R24" i="16"/>
  <c r="U24" i="16"/>
  <c r="Z24" i="16"/>
  <c r="L24" i="16"/>
  <c r="M24" i="16"/>
  <c r="X24" i="16"/>
  <c r="AE24" i="9" s="1"/>
  <c r="Q24" i="16"/>
  <c r="V24" i="16"/>
  <c r="Y24" i="16"/>
  <c r="I24" i="16"/>
  <c r="D24" i="16"/>
  <c r="V50" i="16"/>
  <c r="W50" i="16" s="1"/>
  <c r="Y50" i="16" s="1"/>
  <c r="X50" i="16" s="1"/>
  <c r="AE50" i="9" s="1"/>
  <c r="P51" i="16"/>
  <c r="O51" i="16"/>
  <c r="I52" i="16"/>
  <c r="J52" i="16"/>
  <c r="B52" i="16"/>
  <c r="A53" i="16"/>
  <c r="M52" i="16"/>
  <c r="L51" i="16"/>
  <c r="K51" i="16"/>
  <c r="Q50" i="16"/>
  <c r="G50" i="16"/>
  <c r="R50" i="16" s="1"/>
  <c r="U51" i="16" s="1"/>
  <c r="D51" i="16"/>
  <c r="F51" i="16"/>
  <c r="T51" i="16" s="1"/>
  <c r="E51" i="16"/>
  <c r="S51" i="16" s="1"/>
  <c r="C51" i="16"/>
  <c r="J42" i="14"/>
  <c r="K42" i="14"/>
  <c r="J35" i="14"/>
  <c r="K35" i="14"/>
  <c r="I35" i="14"/>
  <c r="L35" i="14"/>
  <c r="F42" i="14"/>
  <c r="I42" i="14"/>
  <c r="L42" i="14" s="1"/>
  <c r="S45" i="15"/>
  <c r="M46" i="15"/>
  <c r="N46" i="15" s="1"/>
  <c r="O46" i="15" s="1"/>
  <c r="P46" i="15" s="1"/>
  <c r="Q46" i="15"/>
  <c r="R46" i="15" s="1"/>
  <c r="I29" i="15"/>
  <c r="Q29" i="15"/>
  <c r="AC29" i="15"/>
  <c r="D29" i="15"/>
  <c r="L29" i="15"/>
  <c r="T29" i="15"/>
  <c r="AJ29" i="15"/>
  <c r="E29" i="15"/>
  <c r="M29" i="15"/>
  <c r="U29" i="15"/>
  <c r="AK29" i="15"/>
  <c r="H29" i="15"/>
  <c r="P29" i="15"/>
  <c r="Y29" i="15"/>
  <c r="N29" i="15"/>
  <c r="R29" i="15"/>
  <c r="A28" i="15"/>
  <c r="F29" i="15"/>
  <c r="V29" i="15"/>
  <c r="S29" i="15"/>
  <c r="AE29" i="15"/>
  <c r="G29" i="15"/>
  <c r="AF29" i="15"/>
  <c r="C29" i="15"/>
  <c r="J29" i="15"/>
  <c r="K29" i="15"/>
  <c r="O29" i="15"/>
  <c r="W29" i="15"/>
  <c r="U46" i="15"/>
  <c r="V46" i="15" s="1"/>
  <c r="K47" i="15"/>
  <c r="J47" i="15"/>
  <c r="AJ47" i="15"/>
  <c r="F47" i="15"/>
  <c r="Y47" i="15"/>
  <c r="I47" i="15"/>
  <c r="L47" i="15"/>
  <c r="W47" i="15"/>
  <c r="AC47" i="15"/>
  <c r="AE47" i="15"/>
  <c r="AF47" i="15"/>
  <c r="E47" i="15"/>
  <c r="AK47" i="15"/>
  <c r="G47" i="15"/>
  <c r="AO47" i="15"/>
  <c r="A48" i="15"/>
  <c r="H47" i="15"/>
  <c r="G35" i="14"/>
  <c r="H35" i="14"/>
  <c r="E42" i="14"/>
  <c r="G42" i="14" s="1"/>
  <c r="A43" i="14"/>
  <c r="F35" i="14"/>
  <c r="E35" i="14"/>
  <c r="A34" i="14"/>
  <c r="A34" i="13"/>
  <c r="B34" i="13" s="1"/>
  <c r="B42" i="13"/>
  <c r="A43" i="13"/>
  <c r="Z49" i="16" l="1"/>
  <c r="H50" i="16"/>
  <c r="Z50" i="16" s="1"/>
  <c r="V51" i="16"/>
  <c r="W51" i="16" s="1"/>
  <c r="Y51" i="16" s="1"/>
  <c r="X51" i="16" s="1"/>
  <c r="AE51" i="9" s="1"/>
  <c r="G51" i="16"/>
  <c r="H51" i="16" s="1"/>
  <c r="Q51" i="16"/>
  <c r="G24" i="16"/>
  <c r="H24" i="16" s="1"/>
  <c r="C23" i="16"/>
  <c r="K23" i="16"/>
  <c r="T23" i="16"/>
  <c r="D23" i="16"/>
  <c r="L23" i="16"/>
  <c r="U23" i="16"/>
  <c r="P23" i="16"/>
  <c r="X23" i="16"/>
  <c r="AE23" i="9" s="1"/>
  <c r="A22" i="16"/>
  <c r="O23" i="16"/>
  <c r="E23" i="16"/>
  <c r="R23" i="16"/>
  <c r="F23" i="16"/>
  <c r="S23" i="16"/>
  <c r="J23" i="16"/>
  <c r="Q23" i="16"/>
  <c r="V23" i="16"/>
  <c r="M23" i="16"/>
  <c r="Y23" i="16"/>
  <c r="Z23" i="16"/>
  <c r="B23" i="16"/>
  <c r="I23" i="16"/>
  <c r="W23" i="16"/>
  <c r="O52" i="16"/>
  <c r="P52" i="16"/>
  <c r="M53" i="16"/>
  <c r="B53" i="16"/>
  <c r="A54" i="16"/>
  <c r="I53" i="16"/>
  <c r="J53" i="16"/>
  <c r="F52" i="16"/>
  <c r="T52" i="16" s="1"/>
  <c r="D52" i="16"/>
  <c r="E52" i="16"/>
  <c r="S52" i="16" s="1"/>
  <c r="C52" i="16"/>
  <c r="K52" i="16"/>
  <c r="L52" i="16"/>
  <c r="H42" i="14"/>
  <c r="J34" i="14"/>
  <c r="K34" i="14"/>
  <c r="J43" i="14"/>
  <c r="K43" i="14"/>
  <c r="F43" i="14"/>
  <c r="I43" i="14"/>
  <c r="L43" i="14" s="1"/>
  <c r="I34" i="14"/>
  <c r="L34" i="14"/>
  <c r="M47" i="15"/>
  <c r="N47" i="15" s="1"/>
  <c r="O47" i="15" s="1"/>
  <c r="P47" i="15" s="1"/>
  <c r="E28" i="15"/>
  <c r="M28" i="15"/>
  <c r="U28" i="15"/>
  <c r="AK28" i="15"/>
  <c r="H28" i="15"/>
  <c r="P28" i="15"/>
  <c r="Y28" i="15"/>
  <c r="I28" i="15"/>
  <c r="Q28" i="15"/>
  <c r="AC28" i="15"/>
  <c r="D28" i="15"/>
  <c r="L28" i="15"/>
  <c r="T28" i="15"/>
  <c r="AJ28" i="15"/>
  <c r="J28" i="15"/>
  <c r="AE28" i="15"/>
  <c r="N28" i="15"/>
  <c r="R28" i="15"/>
  <c r="V28" i="15"/>
  <c r="C28" i="15"/>
  <c r="AF28" i="15"/>
  <c r="G28" i="15"/>
  <c r="A27" i="15"/>
  <c r="O28" i="15"/>
  <c r="S28" i="15"/>
  <c r="W28" i="15"/>
  <c r="F28" i="15"/>
  <c r="K28" i="15"/>
  <c r="I48" i="15"/>
  <c r="AE48" i="15"/>
  <c r="E48" i="15"/>
  <c r="AO48" i="15"/>
  <c r="F48" i="15"/>
  <c r="AJ48" i="15"/>
  <c r="G48" i="15"/>
  <c r="AK48" i="15"/>
  <c r="H48" i="15"/>
  <c r="A49" i="15"/>
  <c r="J48" i="15"/>
  <c r="K48" i="15"/>
  <c r="W48" i="15"/>
  <c r="L48" i="15"/>
  <c r="Y48" i="15"/>
  <c r="AC48" i="15"/>
  <c r="AF48" i="15"/>
  <c r="U47" i="15"/>
  <c r="V47" i="15" s="1"/>
  <c r="Q47" i="15"/>
  <c r="R47" i="15" s="1"/>
  <c r="S46" i="15"/>
  <c r="G34" i="14"/>
  <c r="H34" i="14"/>
  <c r="E43" i="14"/>
  <c r="G43" i="14" s="1"/>
  <c r="A44" i="14"/>
  <c r="F34" i="14"/>
  <c r="E34" i="14"/>
  <c r="A33" i="14"/>
  <c r="B43" i="13"/>
  <c r="A44" i="13"/>
  <c r="A33" i="13"/>
  <c r="B33" i="13" s="1"/>
  <c r="U6" i="11"/>
  <c r="T6" i="11"/>
  <c r="O6" i="11"/>
  <c r="N6" i="11"/>
  <c r="M6" i="11"/>
  <c r="P6" i="11"/>
  <c r="F6" i="11"/>
  <c r="G6" i="11"/>
  <c r="S6" i="11"/>
  <c r="R6" i="11"/>
  <c r="Q6" i="11"/>
  <c r="L6" i="11"/>
  <c r="K6" i="11"/>
  <c r="J6" i="11"/>
  <c r="A38" i="11"/>
  <c r="E38" i="11" s="1"/>
  <c r="I6" i="11"/>
  <c r="H6" i="11"/>
  <c r="E6" i="11"/>
  <c r="R51" i="16" l="1"/>
  <c r="U52" i="16" s="1"/>
  <c r="V52" i="16" s="1"/>
  <c r="W52" i="16" s="1"/>
  <c r="Y52" i="16" s="1"/>
  <c r="X52" i="16" s="1"/>
  <c r="AE52" i="9" s="1"/>
  <c r="A55" i="16"/>
  <c r="I54" i="16"/>
  <c r="B54" i="16"/>
  <c r="J54" i="16"/>
  <c r="M54" i="16"/>
  <c r="E53" i="16"/>
  <c r="S53" i="16" s="1"/>
  <c r="C53" i="16"/>
  <c r="F53" i="16"/>
  <c r="T53" i="16" s="1"/>
  <c r="D53" i="16"/>
  <c r="Q52" i="16"/>
  <c r="G52" i="16"/>
  <c r="R52" i="16" s="1"/>
  <c r="P53" i="16"/>
  <c r="O53" i="16"/>
  <c r="D22" i="16"/>
  <c r="L22" i="16"/>
  <c r="U22" i="16"/>
  <c r="E22" i="16"/>
  <c r="M22" i="16"/>
  <c r="V22" i="16"/>
  <c r="A21" i="16"/>
  <c r="Q22" i="16"/>
  <c r="Y22" i="16"/>
  <c r="O22" i="16"/>
  <c r="C22" i="16"/>
  <c r="R22" i="16"/>
  <c r="F22" i="16"/>
  <c r="S22" i="16"/>
  <c r="P22" i="16"/>
  <c r="W22" i="16"/>
  <c r="B22" i="16"/>
  <c r="X22" i="16"/>
  <c r="AE22" i="9" s="1"/>
  <c r="I22" i="16"/>
  <c r="K22" i="16"/>
  <c r="T22" i="16"/>
  <c r="J22" i="16"/>
  <c r="Z22" i="16"/>
  <c r="G23" i="16"/>
  <c r="H23" i="16" s="1"/>
  <c r="L53" i="16"/>
  <c r="K53" i="16"/>
  <c r="H43" i="14"/>
  <c r="J33" i="14"/>
  <c r="K33" i="14"/>
  <c r="J44" i="14"/>
  <c r="K44" i="14"/>
  <c r="L33" i="14"/>
  <c r="I33" i="14"/>
  <c r="F44" i="14"/>
  <c r="I44" i="14"/>
  <c r="L44" i="14" s="1"/>
  <c r="S47" i="15"/>
  <c r="Q48" i="15"/>
  <c r="R48" i="15" s="1"/>
  <c r="M48" i="15"/>
  <c r="N48" i="15" s="1"/>
  <c r="O48" i="15" s="1"/>
  <c r="P48" i="15" s="1"/>
  <c r="U48" i="15"/>
  <c r="V48" i="15" s="1"/>
  <c r="G49" i="15"/>
  <c r="Y49" i="15"/>
  <c r="K49" i="15"/>
  <c r="AJ49" i="15"/>
  <c r="L49" i="15"/>
  <c r="W49" i="15"/>
  <c r="AC49" i="15"/>
  <c r="AE49" i="15"/>
  <c r="E49" i="15"/>
  <c r="AF49" i="15"/>
  <c r="F49" i="15"/>
  <c r="AK49" i="15"/>
  <c r="H49" i="15"/>
  <c r="AO49" i="15"/>
  <c r="I49" i="15"/>
  <c r="A50" i="15"/>
  <c r="J49" i="15"/>
  <c r="I27" i="15"/>
  <c r="Q27" i="15"/>
  <c r="AC27" i="15"/>
  <c r="D27" i="15"/>
  <c r="L27" i="15"/>
  <c r="T27" i="15"/>
  <c r="AJ27" i="15"/>
  <c r="E27" i="15"/>
  <c r="M27" i="15"/>
  <c r="U27" i="15"/>
  <c r="AK27" i="15"/>
  <c r="H27" i="15"/>
  <c r="P27" i="15"/>
  <c r="Y27" i="15"/>
  <c r="A26" i="15"/>
  <c r="F27" i="15"/>
  <c r="V27" i="15"/>
  <c r="J27" i="15"/>
  <c r="AE27" i="15"/>
  <c r="N27" i="15"/>
  <c r="W27" i="15"/>
  <c r="C27" i="15"/>
  <c r="K27" i="15"/>
  <c r="G27" i="15"/>
  <c r="O27" i="15"/>
  <c r="R27" i="15"/>
  <c r="S27" i="15"/>
  <c r="AF27" i="15"/>
  <c r="G33" i="14"/>
  <c r="H33" i="14"/>
  <c r="A45" i="14"/>
  <c r="E44" i="14"/>
  <c r="G44" i="14" s="1"/>
  <c r="F33" i="14"/>
  <c r="E33" i="14"/>
  <c r="A32" i="14"/>
  <c r="A32" i="13"/>
  <c r="B32" i="13" s="1"/>
  <c r="B44" i="13"/>
  <c r="A45" i="13"/>
  <c r="F38" i="11"/>
  <c r="H38" i="11"/>
  <c r="I38" i="11"/>
  <c r="P38" i="11"/>
  <c r="A39" i="11"/>
  <c r="F39" i="11" s="1"/>
  <c r="A37" i="11"/>
  <c r="AP257" i="3"/>
  <c r="Z51" i="16" l="1"/>
  <c r="U53" i="16"/>
  <c r="V53" i="16" s="1"/>
  <c r="W53" i="16" s="1"/>
  <c r="Y53" i="16" s="1"/>
  <c r="X53" i="16" s="1"/>
  <c r="AE53" i="9" s="1"/>
  <c r="H44" i="14"/>
  <c r="G22" i="16"/>
  <c r="H22" i="16" s="1"/>
  <c r="P54" i="16"/>
  <c r="O54" i="16"/>
  <c r="L54" i="16"/>
  <c r="K54" i="16"/>
  <c r="H52" i="16"/>
  <c r="D54" i="16"/>
  <c r="F54" i="16"/>
  <c r="T54" i="16" s="1"/>
  <c r="E54" i="16"/>
  <c r="S54" i="16" s="1"/>
  <c r="C54" i="16"/>
  <c r="E21" i="16"/>
  <c r="M21" i="16"/>
  <c r="V21" i="16"/>
  <c r="F21" i="16"/>
  <c r="O21" i="16"/>
  <c r="W21" i="16"/>
  <c r="I21" i="16"/>
  <c r="R21" i="16"/>
  <c r="Z21" i="16"/>
  <c r="L21" i="16"/>
  <c r="C21" i="16"/>
  <c r="Q21" i="16"/>
  <c r="D21" i="16"/>
  <c r="S21" i="16"/>
  <c r="U21" i="16"/>
  <c r="Y21" i="16"/>
  <c r="J21" i="16"/>
  <c r="A20" i="16"/>
  <c r="K21" i="16"/>
  <c r="B21" i="16"/>
  <c r="P21" i="16"/>
  <c r="T21" i="16"/>
  <c r="X21" i="16"/>
  <c r="AE21" i="9" s="1"/>
  <c r="A56" i="16"/>
  <c r="J55" i="16"/>
  <c r="B55" i="16"/>
  <c r="I55" i="16"/>
  <c r="M55" i="16"/>
  <c r="G53" i="16"/>
  <c r="R53" i="16" s="1"/>
  <c r="U54" i="16" s="1"/>
  <c r="Q53" i="16"/>
  <c r="K45" i="14"/>
  <c r="J45" i="14"/>
  <c r="J32" i="14"/>
  <c r="K32" i="14"/>
  <c r="L32" i="14"/>
  <c r="I32" i="14"/>
  <c r="F45" i="14"/>
  <c r="I45" i="14"/>
  <c r="L45" i="14" s="1"/>
  <c r="S48" i="15"/>
  <c r="E50" i="15"/>
  <c r="AO50" i="15"/>
  <c r="I50" i="15"/>
  <c r="AE50" i="15"/>
  <c r="G50" i="15"/>
  <c r="AK50" i="15"/>
  <c r="H50" i="15"/>
  <c r="A51" i="15"/>
  <c r="J50" i="15"/>
  <c r="K50" i="15"/>
  <c r="W50" i="15"/>
  <c r="L50" i="15"/>
  <c r="Y50" i="15"/>
  <c r="AC50" i="15"/>
  <c r="AF50" i="15"/>
  <c r="AJ50" i="15"/>
  <c r="F50" i="15"/>
  <c r="Q49" i="15"/>
  <c r="R49" i="15" s="1"/>
  <c r="E26" i="15"/>
  <c r="M26" i="15"/>
  <c r="U26" i="15"/>
  <c r="AK26" i="15"/>
  <c r="H26" i="15"/>
  <c r="P26" i="15"/>
  <c r="Y26" i="15"/>
  <c r="I26" i="15"/>
  <c r="Q26" i="15"/>
  <c r="AC26" i="15"/>
  <c r="D26" i="15"/>
  <c r="L26" i="15"/>
  <c r="T26" i="15"/>
  <c r="AJ26" i="15"/>
  <c r="R26" i="15"/>
  <c r="A25" i="15"/>
  <c r="F26" i="15"/>
  <c r="V26" i="15"/>
  <c r="J26" i="15"/>
  <c r="AE26" i="15"/>
  <c r="AF26" i="15"/>
  <c r="G26" i="15"/>
  <c r="N26" i="15"/>
  <c r="C26" i="15"/>
  <c r="K26" i="15"/>
  <c r="O26" i="15"/>
  <c r="S26" i="15"/>
  <c r="W26" i="15"/>
  <c r="U49" i="15"/>
  <c r="V49" i="15" s="1"/>
  <c r="M49" i="15"/>
  <c r="N49" i="15" s="1"/>
  <c r="O49" i="15" s="1"/>
  <c r="P49" i="15" s="1"/>
  <c r="R37" i="11"/>
  <c r="S37" i="11"/>
  <c r="F37" i="11"/>
  <c r="G38" i="11" s="1"/>
  <c r="E37" i="11"/>
  <c r="L37" i="11"/>
  <c r="O37" i="11"/>
  <c r="P37" i="11"/>
  <c r="N37" i="11"/>
  <c r="T37" i="11"/>
  <c r="U37" i="11"/>
  <c r="J37" i="11"/>
  <c r="G37" i="11"/>
  <c r="Q37" i="11"/>
  <c r="K37" i="11"/>
  <c r="H37" i="11"/>
  <c r="M37" i="11"/>
  <c r="G32" i="14"/>
  <c r="H32" i="14"/>
  <c r="E45" i="14"/>
  <c r="G45" i="14" s="1"/>
  <c r="A46" i="14"/>
  <c r="F32" i="14"/>
  <c r="E32" i="14"/>
  <c r="A31" i="14"/>
  <c r="A31" i="13"/>
  <c r="B31" i="13" s="1"/>
  <c r="A46" i="13"/>
  <c r="B45" i="13"/>
  <c r="S38" i="11"/>
  <c r="R38" i="11"/>
  <c r="Q38" i="11"/>
  <c r="K38" i="11"/>
  <c r="J38" i="11"/>
  <c r="L38" i="11"/>
  <c r="I37" i="11"/>
  <c r="A36" i="11"/>
  <c r="H39" i="11"/>
  <c r="E39" i="11"/>
  <c r="G39" i="11" s="1"/>
  <c r="A40" i="11"/>
  <c r="F40" i="11" s="1"/>
  <c r="P39" i="11"/>
  <c r="I39" i="11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8" i="10"/>
  <c r="D59" i="10"/>
  <c r="D60" i="10"/>
  <c r="D61" i="10"/>
  <c r="D62" i="10"/>
  <c r="D63" i="10"/>
  <c r="D64" i="10"/>
  <c r="D65" i="10"/>
  <c r="D66" i="10"/>
  <c r="D67" i="10"/>
  <c r="D68" i="10"/>
  <c r="D70" i="10"/>
  <c r="Z52" i="16" l="1"/>
  <c r="H45" i="14"/>
  <c r="H53" i="16"/>
  <c r="Z53" i="16" s="1"/>
  <c r="B56" i="16"/>
  <c r="J56" i="16"/>
  <c r="A57" i="16"/>
  <c r="M56" i="16"/>
  <c r="I56" i="16"/>
  <c r="F20" i="16"/>
  <c r="O20" i="16"/>
  <c r="W20" i="16"/>
  <c r="P20" i="16"/>
  <c r="X20" i="16"/>
  <c r="AE20" i="9" s="1"/>
  <c r="B20" i="16"/>
  <c r="J20" i="16"/>
  <c r="S20" i="16"/>
  <c r="L20" i="16"/>
  <c r="Z20" i="16"/>
  <c r="C20" i="16"/>
  <c r="Q20" i="16"/>
  <c r="D20" i="16"/>
  <c r="R20" i="16"/>
  <c r="E20" i="16"/>
  <c r="Y20" i="16"/>
  <c r="I20" i="16"/>
  <c r="K20" i="16"/>
  <c r="V20" i="16"/>
  <c r="M20" i="16"/>
  <c r="T20" i="16"/>
  <c r="A19" i="16"/>
  <c r="U20" i="16"/>
  <c r="Q54" i="16"/>
  <c r="G54" i="16"/>
  <c r="R54" i="16" s="1"/>
  <c r="U55" i="16" s="1"/>
  <c r="O55" i="16"/>
  <c r="P55" i="16"/>
  <c r="C55" i="16"/>
  <c r="F55" i="16"/>
  <c r="T55" i="16" s="1"/>
  <c r="E55" i="16"/>
  <c r="S55" i="16" s="1"/>
  <c r="D55" i="16"/>
  <c r="K55" i="16"/>
  <c r="L55" i="16"/>
  <c r="G21" i="16"/>
  <c r="H21" i="16" s="1"/>
  <c r="V54" i="16"/>
  <c r="W54" i="16" s="1"/>
  <c r="Y54" i="16" s="1"/>
  <c r="X54" i="16" s="1"/>
  <c r="AE54" i="9" s="1"/>
  <c r="K46" i="14"/>
  <c r="J46" i="14"/>
  <c r="K31" i="14"/>
  <c r="J31" i="14"/>
  <c r="L31" i="14"/>
  <c r="I31" i="14"/>
  <c r="F46" i="14"/>
  <c r="I46" i="14"/>
  <c r="L46" i="14" s="1"/>
  <c r="S49" i="15"/>
  <c r="K51" i="15"/>
  <c r="AJ51" i="15"/>
  <c r="G51" i="15"/>
  <c r="Y51" i="15"/>
  <c r="AC51" i="15"/>
  <c r="AE51" i="15"/>
  <c r="E51" i="15"/>
  <c r="AF51" i="15"/>
  <c r="F51" i="15"/>
  <c r="AK51" i="15"/>
  <c r="H51" i="15"/>
  <c r="AO51" i="15"/>
  <c r="I51" i="15"/>
  <c r="A52" i="15"/>
  <c r="J51" i="15"/>
  <c r="W51" i="15"/>
  <c r="L51" i="15"/>
  <c r="I25" i="15"/>
  <c r="Q25" i="15"/>
  <c r="AC25" i="15"/>
  <c r="D25" i="15"/>
  <c r="L25" i="15"/>
  <c r="T25" i="15"/>
  <c r="AJ25" i="15"/>
  <c r="E25" i="15"/>
  <c r="M25" i="15"/>
  <c r="U25" i="15"/>
  <c r="AK25" i="15"/>
  <c r="H25" i="15"/>
  <c r="P25" i="15"/>
  <c r="Y25" i="15"/>
  <c r="N25" i="15"/>
  <c r="R25" i="15"/>
  <c r="A24" i="15"/>
  <c r="F25" i="15"/>
  <c r="V25" i="15"/>
  <c r="C25" i="15"/>
  <c r="AF25" i="15"/>
  <c r="J25" i="15"/>
  <c r="O25" i="15"/>
  <c r="S25" i="15"/>
  <c r="W25" i="15"/>
  <c r="AE25" i="15"/>
  <c r="G25" i="15"/>
  <c r="K25" i="15"/>
  <c r="U50" i="15"/>
  <c r="V50" i="15" s="1"/>
  <c r="Q50" i="15"/>
  <c r="R50" i="15" s="1"/>
  <c r="M50" i="15"/>
  <c r="N50" i="15" s="1"/>
  <c r="O50" i="15" s="1"/>
  <c r="P50" i="15" s="1"/>
  <c r="H31" i="14"/>
  <c r="G31" i="14"/>
  <c r="Q36" i="11"/>
  <c r="R36" i="11"/>
  <c r="S36" i="11"/>
  <c r="F36" i="11"/>
  <c r="E36" i="11"/>
  <c r="L36" i="11"/>
  <c r="N36" i="11"/>
  <c r="O36" i="11"/>
  <c r="P36" i="11"/>
  <c r="T36" i="11"/>
  <c r="M36" i="11"/>
  <c r="U36" i="11"/>
  <c r="J36" i="11"/>
  <c r="G36" i="11"/>
  <c r="K36" i="11"/>
  <c r="H36" i="11"/>
  <c r="M38" i="11"/>
  <c r="A47" i="14"/>
  <c r="E46" i="14"/>
  <c r="G46" i="14" s="1"/>
  <c r="F31" i="14"/>
  <c r="A30" i="14"/>
  <c r="E31" i="14"/>
  <c r="B46" i="13"/>
  <c r="A47" i="13"/>
  <c r="A30" i="13"/>
  <c r="B30" i="13" s="1"/>
  <c r="O38" i="11"/>
  <c r="S39" i="11"/>
  <c r="R39" i="11"/>
  <c r="Q39" i="11"/>
  <c r="L39" i="11"/>
  <c r="O39" i="11" s="1"/>
  <c r="K39" i="11"/>
  <c r="J39" i="11"/>
  <c r="M39" i="11" s="1"/>
  <c r="I36" i="11"/>
  <c r="A35" i="11"/>
  <c r="I40" i="11"/>
  <c r="H40" i="11"/>
  <c r="E40" i="11"/>
  <c r="G40" i="11" s="1"/>
  <c r="A41" i="11"/>
  <c r="F41" i="11" s="1"/>
  <c r="P40" i="11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51" i="3"/>
  <c r="AP252" i="3"/>
  <c r="AP253" i="3"/>
  <c r="AP254" i="3"/>
  <c r="AP255" i="3"/>
  <c r="AP256" i="3"/>
  <c r="AP258" i="3"/>
  <c r="AP259" i="3"/>
  <c r="AP260" i="3"/>
  <c r="AP261" i="3"/>
  <c r="AP262" i="3"/>
  <c r="AP263" i="3"/>
  <c r="AP270" i="3"/>
  <c r="AP271" i="3"/>
  <c r="AP272" i="3"/>
  <c r="AP273" i="3"/>
  <c r="AP274" i="3"/>
  <c r="AP275" i="3"/>
  <c r="AP276" i="3"/>
  <c r="AP277" i="3"/>
  <c r="AP278" i="3"/>
  <c r="AP279" i="3"/>
  <c r="AP280" i="3"/>
  <c r="AP281" i="3"/>
  <c r="AP282" i="3"/>
  <c r="AP283" i="3"/>
  <c r="AP284" i="3"/>
  <c r="AP285" i="3"/>
  <c r="AP286" i="3"/>
  <c r="AP287" i="3"/>
  <c r="AP288" i="3"/>
  <c r="AP289" i="3"/>
  <c r="AP290" i="3"/>
  <c r="AP291" i="3"/>
  <c r="AP292" i="3"/>
  <c r="AP293" i="3"/>
  <c r="AP294" i="3"/>
  <c r="AP295" i="3"/>
  <c r="AP296" i="3"/>
  <c r="AP297" i="3"/>
  <c r="AP298" i="3"/>
  <c r="AP299" i="3"/>
  <c r="AP300" i="3"/>
  <c r="AP301" i="3"/>
  <c r="AP302" i="3"/>
  <c r="AP303" i="3"/>
  <c r="AP304" i="3"/>
  <c r="AP305" i="3"/>
  <c r="AP306" i="3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28" i="3"/>
  <c r="AP29" i="3"/>
  <c r="AP30" i="3"/>
  <c r="AP31" i="3"/>
  <c r="F26" i="10"/>
  <c r="E26" i="10" s="1"/>
  <c r="H46" i="14" l="1"/>
  <c r="H54" i="16"/>
  <c r="Z54" i="16" s="1"/>
  <c r="Q55" i="16"/>
  <c r="G55" i="16"/>
  <c r="H55" i="16" s="1"/>
  <c r="G20" i="16"/>
  <c r="H20" i="16" s="1"/>
  <c r="V55" i="16"/>
  <c r="W55" i="16" s="1"/>
  <c r="Y55" i="16" s="1"/>
  <c r="X55" i="16" s="1"/>
  <c r="AE55" i="9" s="1"/>
  <c r="O56" i="16"/>
  <c r="P56" i="16"/>
  <c r="P19" i="16"/>
  <c r="X19" i="16"/>
  <c r="AE19" i="9" s="1"/>
  <c r="A18" i="16"/>
  <c r="Q19" i="16"/>
  <c r="Y19" i="16"/>
  <c r="C19" i="16"/>
  <c r="K19" i="16"/>
  <c r="T19" i="16"/>
  <c r="L19" i="16"/>
  <c r="Z19" i="16"/>
  <c r="B19" i="16"/>
  <c r="O19" i="16"/>
  <c r="D19" i="16"/>
  <c r="R19" i="16"/>
  <c r="I19" i="16"/>
  <c r="M19" i="16"/>
  <c r="S19" i="16"/>
  <c r="U19" i="16"/>
  <c r="W19" i="16"/>
  <c r="E19" i="16"/>
  <c r="F19" i="16"/>
  <c r="J19" i="16"/>
  <c r="V19" i="16"/>
  <c r="I57" i="16"/>
  <c r="M57" i="16"/>
  <c r="A58" i="16"/>
  <c r="J57" i="16"/>
  <c r="B57" i="16"/>
  <c r="K56" i="16"/>
  <c r="L56" i="16"/>
  <c r="D56" i="16"/>
  <c r="E56" i="16"/>
  <c r="S56" i="16" s="1"/>
  <c r="C56" i="16"/>
  <c r="F56" i="16"/>
  <c r="T56" i="16" s="1"/>
  <c r="K30" i="14"/>
  <c r="J30" i="14"/>
  <c r="K47" i="14"/>
  <c r="J47" i="14"/>
  <c r="F47" i="14"/>
  <c r="I47" i="14"/>
  <c r="L47" i="14" s="1"/>
  <c r="L30" i="14"/>
  <c r="I30" i="14"/>
  <c r="S50" i="15"/>
  <c r="Q51" i="15"/>
  <c r="R51" i="15" s="1"/>
  <c r="I52" i="15"/>
  <c r="AE52" i="15"/>
  <c r="E52" i="15"/>
  <c r="AO52" i="15"/>
  <c r="H52" i="15"/>
  <c r="A53" i="15"/>
  <c r="J52" i="15"/>
  <c r="K52" i="15"/>
  <c r="W52" i="15"/>
  <c r="Y52" i="15"/>
  <c r="L52" i="15"/>
  <c r="AC52" i="15"/>
  <c r="AF52" i="15"/>
  <c r="F52" i="15"/>
  <c r="AJ52" i="15"/>
  <c r="AK52" i="15"/>
  <c r="G52" i="15"/>
  <c r="E24" i="15"/>
  <c r="M24" i="15"/>
  <c r="U24" i="15"/>
  <c r="AK24" i="15"/>
  <c r="H24" i="15"/>
  <c r="P24" i="15"/>
  <c r="Y24" i="15"/>
  <c r="I24" i="15"/>
  <c r="Q24" i="15"/>
  <c r="AC24" i="15"/>
  <c r="D24" i="15"/>
  <c r="L24" i="15"/>
  <c r="T24" i="15"/>
  <c r="AJ24" i="15"/>
  <c r="J24" i="15"/>
  <c r="AE24" i="15"/>
  <c r="N24" i="15"/>
  <c r="R24" i="15"/>
  <c r="F24" i="15"/>
  <c r="K24" i="15"/>
  <c r="S24" i="15"/>
  <c r="C24" i="15"/>
  <c r="G24" i="15"/>
  <c r="A23" i="15"/>
  <c r="O24" i="15"/>
  <c r="V24" i="15"/>
  <c r="W24" i="15"/>
  <c r="AF24" i="15"/>
  <c r="U51" i="15"/>
  <c r="V51" i="15" s="1"/>
  <c r="M51" i="15"/>
  <c r="N51" i="15" s="1"/>
  <c r="O51" i="15" s="1"/>
  <c r="P51" i="15" s="1"/>
  <c r="G30" i="14"/>
  <c r="H30" i="14"/>
  <c r="L35" i="11"/>
  <c r="Q35" i="11"/>
  <c r="R35" i="11"/>
  <c r="S35" i="11"/>
  <c r="F35" i="11"/>
  <c r="E35" i="11"/>
  <c r="M35" i="11"/>
  <c r="H35" i="11"/>
  <c r="N35" i="11"/>
  <c r="O35" i="11"/>
  <c r="P35" i="11"/>
  <c r="K35" i="11"/>
  <c r="T35" i="11"/>
  <c r="G35" i="11"/>
  <c r="U35" i="11"/>
  <c r="J35" i="11"/>
  <c r="N39" i="11"/>
  <c r="N38" i="11"/>
  <c r="T38" i="11" s="1"/>
  <c r="A48" i="14"/>
  <c r="E47" i="14"/>
  <c r="G47" i="14" s="1"/>
  <c r="F30" i="14"/>
  <c r="A29" i="14"/>
  <c r="E30" i="14"/>
  <c r="B47" i="13"/>
  <c r="A48" i="13"/>
  <c r="A29" i="13"/>
  <c r="B29" i="13" s="1"/>
  <c r="Q40" i="11"/>
  <c r="R40" i="11"/>
  <c r="S40" i="11"/>
  <c r="L40" i="11"/>
  <c r="O40" i="11" s="1"/>
  <c r="K40" i="11"/>
  <c r="J40" i="11"/>
  <c r="M40" i="11" s="1"/>
  <c r="I35" i="11"/>
  <c r="A34" i="11"/>
  <c r="P41" i="11"/>
  <c r="I41" i="11"/>
  <c r="H41" i="11"/>
  <c r="E41" i="11"/>
  <c r="G41" i="11" s="1"/>
  <c r="A42" i="11"/>
  <c r="F42" i="11" s="1"/>
  <c r="G26" i="10"/>
  <c r="F27" i="10"/>
  <c r="E27" i="10" s="1"/>
  <c r="BB27" i="3"/>
  <c r="T39" i="11" l="1"/>
  <c r="I58" i="16"/>
  <c r="J58" i="16"/>
  <c r="A59" i="16"/>
  <c r="M58" i="16"/>
  <c r="B58" i="16"/>
  <c r="Q56" i="16"/>
  <c r="G56" i="16"/>
  <c r="H56" i="16" s="1"/>
  <c r="P57" i="16"/>
  <c r="O57" i="16"/>
  <c r="R55" i="16"/>
  <c r="U56" i="16" s="1"/>
  <c r="V56" i="16" s="1"/>
  <c r="W56" i="16" s="1"/>
  <c r="Y56" i="16" s="1"/>
  <c r="X56" i="16" s="1"/>
  <c r="AE56" i="9" s="1"/>
  <c r="G19" i="16"/>
  <c r="H19" i="16" s="1"/>
  <c r="D57" i="16"/>
  <c r="F57" i="16"/>
  <c r="T57" i="16" s="1"/>
  <c r="C57" i="16"/>
  <c r="E57" i="16"/>
  <c r="S57" i="16" s="1"/>
  <c r="L57" i="16"/>
  <c r="K57" i="16"/>
  <c r="A17" i="16"/>
  <c r="Q18" i="16"/>
  <c r="Y18" i="16"/>
  <c r="I18" i="16"/>
  <c r="R18" i="16"/>
  <c r="Z18" i="16"/>
  <c r="D18" i="16"/>
  <c r="L18" i="16"/>
  <c r="U18" i="16"/>
  <c r="K18" i="16"/>
  <c r="X18" i="16"/>
  <c r="AE18" i="9" s="1"/>
  <c r="B18" i="16"/>
  <c r="O18" i="16"/>
  <c r="C18" i="16"/>
  <c r="P18" i="16"/>
  <c r="M18" i="16"/>
  <c r="T18" i="16"/>
  <c r="V18" i="16"/>
  <c r="S18" i="16"/>
  <c r="W18" i="16"/>
  <c r="F18" i="16"/>
  <c r="J18" i="16"/>
  <c r="E18" i="16"/>
  <c r="S51" i="15"/>
  <c r="V27" i="10"/>
  <c r="J48" i="14"/>
  <c r="K48" i="14"/>
  <c r="K29" i="14"/>
  <c r="J29" i="14"/>
  <c r="H47" i="14"/>
  <c r="F48" i="14"/>
  <c r="I48" i="14"/>
  <c r="L48" i="14" s="1"/>
  <c r="L29" i="14"/>
  <c r="I29" i="14"/>
  <c r="U52" i="15"/>
  <c r="V52" i="15" s="1"/>
  <c r="I23" i="15"/>
  <c r="Q23" i="15"/>
  <c r="AC23" i="15"/>
  <c r="D23" i="15"/>
  <c r="L23" i="15"/>
  <c r="T23" i="15"/>
  <c r="AJ23" i="15"/>
  <c r="E23" i="15"/>
  <c r="M23" i="15"/>
  <c r="U23" i="15"/>
  <c r="AK23" i="15"/>
  <c r="H23" i="15"/>
  <c r="P23" i="15"/>
  <c r="Y23" i="15"/>
  <c r="A22" i="15"/>
  <c r="F23" i="15"/>
  <c r="V23" i="15"/>
  <c r="J23" i="15"/>
  <c r="AE23" i="15"/>
  <c r="N23" i="15"/>
  <c r="G23" i="15"/>
  <c r="O23" i="15"/>
  <c r="S23" i="15"/>
  <c r="C23" i="15"/>
  <c r="K23" i="15"/>
  <c r="R23" i="15"/>
  <c r="W23" i="15"/>
  <c r="AF23" i="15"/>
  <c r="Q52" i="15"/>
  <c r="R52" i="15" s="1"/>
  <c r="M52" i="15"/>
  <c r="N52" i="15" s="1"/>
  <c r="O52" i="15" s="1"/>
  <c r="P52" i="15" s="1"/>
  <c r="G53" i="15"/>
  <c r="Y53" i="15"/>
  <c r="K53" i="15"/>
  <c r="AJ53" i="15"/>
  <c r="E53" i="15"/>
  <c r="AF53" i="15"/>
  <c r="F53" i="15"/>
  <c r="AK53" i="15"/>
  <c r="H53" i="15"/>
  <c r="AO53" i="15"/>
  <c r="I53" i="15"/>
  <c r="A54" i="15"/>
  <c r="J53" i="15"/>
  <c r="L53" i="15"/>
  <c r="W53" i="15"/>
  <c r="AC53" i="15"/>
  <c r="AE53" i="15"/>
  <c r="L34" i="11"/>
  <c r="Q34" i="11"/>
  <c r="R34" i="11"/>
  <c r="S34" i="11"/>
  <c r="F34" i="11"/>
  <c r="E34" i="11"/>
  <c r="K34" i="11"/>
  <c r="H34" i="11"/>
  <c r="M34" i="11"/>
  <c r="N34" i="11"/>
  <c r="G34" i="11"/>
  <c r="O34" i="11"/>
  <c r="P34" i="11"/>
  <c r="J34" i="11"/>
  <c r="T34" i="11"/>
  <c r="U34" i="11"/>
  <c r="G29" i="14"/>
  <c r="H29" i="14"/>
  <c r="N40" i="11"/>
  <c r="T40" i="11" s="1"/>
  <c r="A49" i="14"/>
  <c r="E48" i="14"/>
  <c r="G48" i="14" s="1"/>
  <c r="F29" i="14"/>
  <c r="E29" i="14"/>
  <c r="A28" i="14"/>
  <c r="B48" i="13"/>
  <c r="A49" i="13"/>
  <c r="A28" i="13"/>
  <c r="B28" i="13" s="1"/>
  <c r="S41" i="11"/>
  <c r="R41" i="11"/>
  <c r="Q41" i="11"/>
  <c r="J41" i="11"/>
  <c r="M41" i="11" s="1"/>
  <c r="L41" i="11"/>
  <c r="O41" i="11" s="1"/>
  <c r="K41" i="11"/>
  <c r="A33" i="11"/>
  <c r="I34" i="11"/>
  <c r="P42" i="11"/>
  <c r="I42" i="11"/>
  <c r="H42" i="11"/>
  <c r="E42" i="11"/>
  <c r="G42" i="11" s="1"/>
  <c r="A43" i="11"/>
  <c r="F43" i="11" s="1"/>
  <c r="H26" i="10"/>
  <c r="G27" i="10"/>
  <c r="W27" i="10" s="1"/>
  <c r="AH6" i="6"/>
  <c r="AJ6" i="6"/>
  <c r="AI6" i="6"/>
  <c r="AG6" i="6"/>
  <c r="AF6" i="6"/>
  <c r="R56" i="16" l="1"/>
  <c r="Z56" i="16" s="1"/>
  <c r="G18" i="16"/>
  <c r="H18" i="16" s="1"/>
  <c r="G57" i="16"/>
  <c r="R57" i="16" s="1"/>
  <c r="Q57" i="16"/>
  <c r="F58" i="16"/>
  <c r="T58" i="16" s="1"/>
  <c r="D58" i="16"/>
  <c r="C58" i="16"/>
  <c r="E58" i="16"/>
  <c r="S58" i="16" s="1"/>
  <c r="P58" i="16"/>
  <c r="O58" i="16"/>
  <c r="I59" i="16"/>
  <c r="B59" i="16"/>
  <c r="M59" i="16"/>
  <c r="A60" i="16"/>
  <c r="J59" i="16"/>
  <c r="I17" i="16"/>
  <c r="R17" i="16"/>
  <c r="Z17" i="16"/>
  <c r="B17" i="16"/>
  <c r="J17" i="16"/>
  <c r="S17" i="16"/>
  <c r="E17" i="16"/>
  <c r="M17" i="16"/>
  <c r="V17" i="16"/>
  <c r="K17" i="16"/>
  <c r="X17" i="16"/>
  <c r="AE17" i="9" s="1"/>
  <c r="O17" i="16"/>
  <c r="A16" i="16"/>
  <c r="C17" i="16"/>
  <c r="P17" i="16"/>
  <c r="T17" i="16"/>
  <c r="D17" i="16"/>
  <c r="W17" i="16"/>
  <c r="F17" i="16"/>
  <c r="Y17" i="16"/>
  <c r="L17" i="16"/>
  <c r="Q17" i="16"/>
  <c r="U17" i="16"/>
  <c r="K58" i="16"/>
  <c r="L58" i="16"/>
  <c r="Z55" i="16"/>
  <c r="W54" i="10"/>
  <c r="W56" i="10"/>
  <c r="W62" i="10"/>
  <c r="W64" i="10"/>
  <c r="W66" i="10"/>
  <c r="W68" i="10"/>
  <c r="W70" i="10"/>
  <c r="W72" i="10"/>
  <c r="W80" i="10"/>
  <c r="W82" i="10"/>
  <c r="W86" i="10"/>
  <c r="W92" i="10"/>
  <c r="W94" i="10"/>
  <c r="W96" i="10"/>
  <c r="W102" i="10"/>
  <c r="W106" i="10"/>
  <c r="W108" i="10"/>
  <c r="W53" i="10"/>
  <c r="W57" i="10"/>
  <c r="W63" i="10"/>
  <c r="W65" i="10"/>
  <c r="W67" i="10"/>
  <c r="W69" i="10"/>
  <c r="W71" i="10"/>
  <c r="W73" i="10"/>
  <c r="W81" i="10"/>
  <c r="W83" i="10"/>
  <c r="W85" i="10"/>
  <c r="W87" i="10"/>
  <c r="W91" i="10"/>
  <c r="W93" i="10"/>
  <c r="W95" i="10"/>
  <c r="W97" i="10"/>
  <c r="W107" i="10"/>
  <c r="W109" i="10"/>
  <c r="W111" i="10"/>
  <c r="W113" i="10"/>
  <c r="W115" i="10"/>
  <c r="W117" i="10"/>
  <c r="W123" i="10"/>
  <c r="W125" i="10"/>
  <c r="W127" i="10"/>
  <c r="W131" i="10"/>
  <c r="W133" i="10"/>
  <c r="W135" i="10"/>
  <c r="W137" i="10"/>
  <c r="W139" i="10"/>
  <c r="W141" i="10"/>
  <c r="W132" i="10"/>
  <c r="W152" i="10"/>
  <c r="W153" i="10"/>
  <c r="W122" i="10"/>
  <c r="W138" i="10"/>
  <c r="W150" i="10"/>
  <c r="W151" i="10"/>
  <c r="W154" i="10"/>
  <c r="W112" i="10"/>
  <c r="W128" i="10"/>
  <c r="W148" i="10"/>
  <c r="W149" i="10"/>
  <c r="W155" i="10"/>
  <c r="W118" i="10"/>
  <c r="W134" i="10"/>
  <c r="W156" i="10"/>
  <c r="W158" i="10"/>
  <c r="W160" i="10"/>
  <c r="W162" i="10"/>
  <c r="W164" i="10"/>
  <c r="W166" i="10"/>
  <c r="W168" i="10"/>
  <c r="W170" i="10"/>
  <c r="W172" i="10"/>
  <c r="W174" i="10"/>
  <c r="W176" i="10"/>
  <c r="W178" i="10"/>
  <c r="W180" i="10"/>
  <c r="W184" i="10"/>
  <c r="W186" i="10"/>
  <c r="W190" i="10"/>
  <c r="W192" i="10"/>
  <c r="W194" i="10"/>
  <c r="W196" i="10"/>
  <c r="W198" i="10"/>
  <c r="W200" i="10"/>
  <c r="W124" i="10"/>
  <c r="W140" i="10"/>
  <c r="W147" i="10"/>
  <c r="W114" i="10"/>
  <c r="W136" i="10"/>
  <c r="W171" i="10"/>
  <c r="W199" i="10"/>
  <c r="W202" i="10"/>
  <c r="W204" i="10"/>
  <c r="W206" i="10"/>
  <c r="W208" i="10"/>
  <c r="W210" i="10"/>
  <c r="W212" i="10"/>
  <c r="W214" i="10"/>
  <c r="W216" i="10"/>
  <c r="W218" i="10"/>
  <c r="W220" i="10"/>
  <c r="W222" i="10"/>
  <c r="W224" i="10"/>
  <c r="W226" i="10"/>
  <c r="W228" i="10"/>
  <c r="W230" i="10"/>
  <c r="W240" i="10"/>
  <c r="W110" i="10"/>
  <c r="W161" i="10"/>
  <c r="W177" i="10"/>
  <c r="W167" i="10"/>
  <c r="W157" i="10"/>
  <c r="W173" i="10"/>
  <c r="W189" i="10"/>
  <c r="W126" i="10"/>
  <c r="W163" i="10"/>
  <c r="W179" i="10"/>
  <c r="W195" i="10"/>
  <c r="W201" i="10"/>
  <c r="W203" i="10"/>
  <c r="W205" i="10"/>
  <c r="W207" i="10"/>
  <c r="W209" i="10"/>
  <c r="W211" i="10"/>
  <c r="W213" i="10"/>
  <c r="W215" i="10"/>
  <c r="W217" i="10"/>
  <c r="W219" i="10"/>
  <c r="W221" i="10"/>
  <c r="W223" i="10"/>
  <c r="W225" i="10"/>
  <c r="W227" i="10"/>
  <c r="W229" i="10"/>
  <c r="W231" i="10"/>
  <c r="W235" i="10"/>
  <c r="W237" i="10"/>
  <c r="W239" i="10"/>
  <c r="W241" i="10"/>
  <c r="W169" i="10"/>
  <c r="W159" i="10"/>
  <c r="W175" i="10"/>
  <c r="W191" i="10"/>
  <c r="W197" i="10"/>
  <c r="W142" i="10"/>
  <c r="W246" i="10"/>
  <c r="W165" i="10"/>
  <c r="W245" i="10"/>
  <c r="W248" i="10"/>
  <c r="W250" i="10"/>
  <c r="W252" i="10"/>
  <c r="W254" i="10"/>
  <c r="W256" i="10"/>
  <c r="W258" i="10"/>
  <c r="W260" i="10"/>
  <c r="W262" i="10"/>
  <c r="W268" i="10"/>
  <c r="W270" i="10"/>
  <c r="W274" i="10"/>
  <c r="W280" i="10"/>
  <c r="W282" i="10"/>
  <c r="W284" i="10"/>
  <c r="W286" i="10"/>
  <c r="W288" i="10"/>
  <c r="W290" i="10"/>
  <c r="W292" i="10"/>
  <c r="W294" i="10"/>
  <c r="W181" i="10"/>
  <c r="W261" i="10"/>
  <c r="W277" i="10"/>
  <c r="W302" i="10"/>
  <c r="W251" i="10"/>
  <c r="W283" i="10"/>
  <c r="W303" i="10"/>
  <c r="W306" i="10"/>
  <c r="W308" i="10"/>
  <c r="W310" i="10"/>
  <c r="W312" i="10"/>
  <c r="W314" i="10"/>
  <c r="W316" i="10"/>
  <c r="W318" i="10"/>
  <c r="W320" i="10"/>
  <c r="W322" i="10"/>
  <c r="W324" i="10"/>
  <c r="W326" i="10"/>
  <c r="W328" i="10"/>
  <c r="W330" i="10"/>
  <c r="W332" i="10"/>
  <c r="W334" i="10"/>
  <c r="W336" i="10"/>
  <c r="W338" i="10"/>
  <c r="W340" i="10"/>
  <c r="W342" i="10"/>
  <c r="W344" i="10"/>
  <c r="W346" i="10"/>
  <c r="W257" i="10"/>
  <c r="W289" i="10"/>
  <c r="W296" i="10"/>
  <c r="W304" i="10"/>
  <c r="W301" i="10"/>
  <c r="W263" i="10"/>
  <c r="W279" i="10"/>
  <c r="W253" i="10"/>
  <c r="W285" i="10"/>
  <c r="W295" i="10"/>
  <c r="W298" i="10"/>
  <c r="W259" i="10"/>
  <c r="W275" i="10"/>
  <c r="W291" i="10"/>
  <c r="W299" i="10"/>
  <c r="W305" i="10"/>
  <c r="W307" i="10"/>
  <c r="W309" i="10"/>
  <c r="W311" i="10"/>
  <c r="W315" i="10"/>
  <c r="W317" i="10"/>
  <c r="W319" i="10"/>
  <c r="W321" i="10"/>
  <c r="W323" i="10"/>
  <c r="W325" i="10"/>
  <c r="W327" i="10"/>
  <c r="W329" i="10"/>
  <c r="W331" i="10"/>
  <c r="W333" i="10"/>
  <c r="W335" i="10"/>
  <c r="W337" i="10"/>
  <c r="W339" i="10"/>
  <c r="W341" i="10"/>
  <c r="W343" i="10"/>
  <c r="W347" i="10"/>
  <c r="W287" i="10"/>
  <c r="W249" i="10"/>
  <c r="W281" i="10"/>
  <c r="W300" i="10"/>
  <c r="W255" i="10"/>
  <c r="W271" i="10"/>
  <c r="V54" i="10"/>
  <c r="V56" i="10"/>
  <c r="V62" i="10"/>
  <c r="V64" i="10"/>
  <c r="V66" i="10"/>
  <c r="V68" i="10"/>
  <c r="V70" i="10"/>
  <c r="V72" i="10"/>
  <c r="V80" i="10"/>
  <c r="V82" i="10"/>
  <c r="V86" i="10"/>
  <c r="V92" i="10"/>
  <c r="V94" i="10"/>
  <c r="V96" i="10"/>
  <c r="V53" i="10"/>
  <c r="V57" i="10"/>
  <c r="V63" i="10"/>
  <c r="V65" i="10"/>
  <c r="V67" i="10"/>
  <c r="V69" i="10"/>
  <c r="V71" i="10"/>
  <c r="V73" i="10"/>
  <c r="V81" i="10"/>
  <c r="V83" i="10"/>
  <c r="V85" i="10"/>
  <c r="V87" i="10"/>
  <c r="V91" i="10"/>
  <c r="V93" i="10"/>
  <c r="V95" i="10"/>
  <c r="V97" i="10"/>
  <c r="V107" i="10"/>
  <c r="V108" i="10"/>
  <c r="V106" i="10"/>
  <c r="V109" i="10"/>
  <c r="V111" i="10"/>
  <c r="V113" i="10"/>
  <c r="V115" i="10"/>
  <c r="V117" i="10"/>
  <c r="V123" i="10"/>
  <c r="V125" i="10"/>
  <c r="V127" i="10"/>
  <c r="V131" i="10"/>
  <c r="V133" i="10"/>
  <c r="V135" i="10"/>
  <c r="V137" i="10"/>
  <c r="V139" i="10"/>
  <c r="V141" i="10"/>
  <c r="V147" i="10"/>
  <c r="V149" i="10"/>
  <c r="V151" i="10"/>
  <c r="V153" i="10"/>
  <c r="V155" i="10"/>
  <c r="V102" i="10"/>
  <c r="V110" i="10"/>
  <c r="V112" i="10"/>
  <c r="V114" i="10"/>
  <c r="V118" i="10"/>
  <c r="V122" i="10"/>
  <c r="V124" i="10"/>
  <c r="V126" i="10"/>
  <c r="V128" i="10"/>
  <c r="V132" i="10"/>
  <c r="V134" i="10"/>
  <c r="V136" i="10"/>
  <c r="V138" i="10"/>
  <c r="V140" i="10"/>
  <c r="V142" i="10"/>
  <c r="V148" i="10"/>
  <c r="V150" i="10"/>
  <c r="V152" i="10"/>
  <c r="V154" i="10"/>
  <c r="V156" i="10"/>
  <c r="V158" i="10"/>
  <c r="V160" i="10"/>
  <c r="V162" i="10"/>
  <c r="V164" i="10"/>
  <c r="V166" i="10"/>
  <c r="V168" i="10"/>
  <c r="V170" i="10"/>
  <c r="V172" i="10"/>
  <c r="V174" i="10"/>
  <c r="V176" i="10"/>
  <c r="V178" i="10"/>
  <c r="V180" i="10"/>
  <c r="V184" i="10"/>
  <c r="V186" i="10"/>
  <c r="V190" i="10"/>
  <c r="V192" i="10"/>
  <c r="V194" i="10"/>
  <c r="V157" i="10"/>
  <c r="V159" i="10"/>
  <c r="V161" i="10"/>
  <c r="V163" i="10"/>
  <c r="V165" i="10"/>
  <c r="V167" i="10"/>
  <c r="V169" i="10"/>
  <c r="V171" i="10"/>
  <c r="V173" i="10"/>
  <c r="V175" i="10"/>
  <c r="V177" i="10"/>
  <c r="V179" i="10"/>
  <c r="V181" i="10"/>
  <c r="V189" i="10"/>
  <c r="V191" i="10"/>
  <c r="V195" i="10"/>
  <c r="V197" i="10"/>
  <c r="V196" i="10"/>
  <c r="V200" i="10"/>
  <c r="V201" i="10"/>
  <c r="V203" i="10"/>
  <c r="V205" i="10"/>
  <c r="V207" i="10"/>
  <c r="V209" i="10"/>
  <c r="V211" i="10"/>
  <c r="V213" i="10"/>
  <c r="V215" i="10"/>
  <c r="V217" i="10"/>
  <c r="V219" i="10"/>
  <c r="V221" i="10"/>
  <c r="V223" i="10"/>
  <c r="V225" i="10"/>
  <c r="V227" i="10"/>
  <c r="V229" i="10"/>
  <c r="V231" i="10"/>
  <c r="V235" i="10"/>
  <c r="V237" i="10"/>
  <c r="V239" i="10"/>
  <c r="V241" i="10"/>
  <c r="V245" i="10"/>
  <c r="V202" i="10"/>
  <c r="V218" i="10"/>
  <c r="V246" i="10"/>
  <c r="V208" i="10"/>
  <c r="V224" i="10"/>
  <c r="V240" i="10"/>
  <c r="V214" i="10"/>
  <c r="V230" i="10"/>
  <c r="V248" i="10"/>
  <c r="V250" i="10"/>
  <c r="V252" i="10"/>
  <c r="V254" i="10"/>
  <c r="V256" i="10"/>
  <c r="V258" i="10"/>
  <c r="V260" i="10"/>
  <c r="V262" i="10"/>
  <c r="V268" i="10"/>
  <c r="V270" i="10"/>
  <c r="V274" i="10"/>
  <c r="V280" i="10"/>
  <c r="V282" i="10"/>
  <c r="V284" i="10"/>
  <c r="V286" i="10"/>
  <c r="V288" i="10"/>
  <c r="V290" i="10"/>
  <c r="V292" i="10"/>
  <c r="V294" i="10"/>
  <c r="V296" i="10"/>
  <c r="V298" i="10"/>
  <c r="V300" i="10"/>
  <c r="V302" i="10"/>
  <c r="V304" i="10"/>
  <c r="V198" i="10"/>
  <c r="V204" i="10"/>
  <c r="V220" i="10"/>
  <c r="V199" i="10"/>
  <c r="V210" i="10"/>
  <c r="V226" i="10"/>
  <c r="V216" i="10"/>
  <c r="V206" i="10"/>
  <c r="V222" i="10"/>
  <c r="V249" i="10"/>
  <c r="V251" i="10"/>
  <c r="V253" i="10"/>
  <c r="V255" i="10"/>
  <c r="V257" i="10"/>
  <c r="V259" i="10"/>
  <c r="V261" i="10"/>
  <c r="V263" i="10"/>
  <c r="V271" i="10"/>
  <c r="V275" i="10"/>
  <c r="V277" i="10"/>
  <c r="V279" i="10"/>
  <c r="V281" i="10"/>
  <c r="V283" i="10"/>
  <c r="V285" i="10"/>
  <c r="V287" i="10"/>
  <c r="V289" i="10"/>
  <c r="V291" i="10"/>
  <c r="V295" i="10"/>
  <c r="V299" i="10"/>
  <c r="V301" i="10"/>
  <c r="V303" i="10"/>
  <c r="V306" i="10"/>
  <c r="V308" i="10"/>
  <c r="V310" i="10"/>
  <c r="V312" i="10"/>
  <c r="V314" i="10"/>
  <c r="V316" i="10"/>
  <c r="V318" i="10"/>
  <c r="V320" i="10"/>
  <c r="V322" i="10"/>
  <c r="V324" i="10"/>
  <c r="V326" i="10"/>
  <c r="V328" i="10"/>
  <c r="V330" i="10"/>
  <c r="V332" i="10"/>
  <c r="V334" i="10"/>
  <c r="V336" i="10"/>
  <c r="V338" i="10"/>
  <c r="V340" i="10"/>
  <c r="V342" i="10"/>
  <c r="V344" i="10"/>
  <c r="V346" i="10"/>
  <c r="V347" i="10"/>
  <c r="V212" i="10"/>
  <c r="V305" i="10"/>
  <c r="V307" i="10"/>
  <c r="V309" i="10"/>
  <c r="V311" i="10"/>
  <c r="V315" i="10"/>
  <c r="V317" i="10"/>
  <c r="V319" i="10"/>
  <c r="V321" i="10"/>
  <c r="V323" i="10"/>
  <c r="V325" i="10"/>
  <c r="V327" i="10"/>
  <c r="V329" i="10"/>
  <c r="V331" i="10"/>
  <c r="V333" i="10"/>
  <c r="V335" i="10"/>
  <c r="V337" i="10"/>
  <c r="V339" i="10"/>
  <c r="V341" i="10"/>
  <c r="V343" i="10"/>
  <c r="V228" i="10"/>
  <c r="W32" i="10"/>
  <c r="W30" i="10"/>
  <c r="W40" i="10"/>
  <c r="W49" i="10"/>
  <c r="W48" i="10"/>
  <c r="W47" i="10"/>
  <c r="W46" i="10"/>
  <c r="W31" i="10"/>
  <c r="V46" i="10"/>
  <c r="V48" i="10"/>
  <c r="V30" i="10"/>
  <c r="V31" i="10"/>
  <c r="V32" i="10"/>
  <c r="V40" i="10"/>
  <c r="V49" i="10"/>
  <c r="V47" i="10"/>
  <c r="J28" i="14"/>
  <c r="K28" i="14"/>
  <c r="J49" i="14"/>
  <c r="K49" i="14"/>
  <c r="L28" i="14"/>
  <c r="I28" i="14"/>
  <c r="H48" i="14"/>
  <c r="F49" i="14"/>
  <c r="I49" i="14"/>
  <c r="L49" i="14" s="1"/>
  <c r="S52" i="15"/>
  <c r="Q53" i="15"/>
  <c r="R53" i="15" s="1"/>
  <c r="E54" i="15"/>
  <c r="AO54" i="15"/>
  <c r="I54" i="15"/>
  <c r="AE54" i="15"/>
  <c r="K54" i="15"/>
  <c r="W54" i="15"/>
  <c r="L54" i="15"/>
  <c r="Y54" i="15"/>
  <c r="AC54" i="15"/>
  <c r="AF54" i="15"/>
  <c r="G54" i="15"/>
  <c r="AK54" i="15"/>
  <c r="AJ54" i="15"/>
  <c r="F54" i="15"/>
  <c r="A55" i="15"/>
  <c r="H54" i="15"/>
  <c r="J54" i="15"/>
  <c r="M53" i="15"/>
  <c r="N53" i="15" s="1"/>
  <c r="O53" i="15" s="1"/>
  <c r="P53" i="15" s="1"/>
  <c r="E22" i="15"/>
  <c r="M22" i="15"/>
  <c r="U22" i="15"/>
  <c r="AK22" i="15"/>
  <c r="H22" i="15"/>
  <c r="P22" i="15"/>
  <c r="Y22" i="15"/>
  <c r="I22" i="15"/>
  <c r="Q22" i="15"/>
  <c r="AC22" i="15"/>
  <c r="D22" i="15"/>
  <c r="L22" i="15"/>
  <c r="T22" i="15"/>
  <c r="AJ22" i="15"/>
  <c r="R22" i="15"/>
  <c r="F22" i="15"/>
  <c r="V22" i="15"/>
  <c r="A21" i="15"/>
  <c r="J22" i="15"/>
  <c r="AE22" i="15"/>
  <c r="K22" i="15"/>
  <c r="O22" i="15"/>
  <c r="W22" i="15"/>
  <c r="S22" i="15"/>
  <c r="AF22" i="15"/>
  <c r="C22" i="15"/>
  <c r="G22" i="15"/>
  <c r="N22" i="15"/>
  <c r="U53" i="15"/>
  <c r="V53" i="15" s="1"/>
  <c r="Q33" i="11"/>
  <c r="R33" i="11"/>
  <c r="S33" i="11"/>
  <c r="F33" i="11"/>
  <c r="J33" i="11"/>
  <c r="G33" i="11"/>
  <c r="L33" i="11"/>
  <c r="K33" i="11"/>
  <c r="H33" i="11"/>
  <c r="M33" i="11"/>
  <c r="U33" i="11"/>
  <c r="N33" i="11"/>
  <c r="O33" i="11"/>
  <c r="P33" i="11"/>
  <c r="E33" i="11"/>
  <c r="T33" i="11"/>
  <c r="G28" i="14"/>
  <c r="H28" i="14"/>
  <c r="U40" i="11"/>
  <c r="N41" i="11"/>
  <c r="T41" i="11" s="1"/>
  <c r="E49" i="14"/>
  <c r="G49" i="14" s="1"/>
  <c r="A50" i="14"/>
  <c r="F28" i="14"/>
  <c r="E28" i="14"/>
  <c r="A27" i="14"/>
  <c r="A27" i="13"/>
  <c r="B27" i="13" s="1"/>
  <c r="A50" i="13"/>
  <c r="B49" i="13"/>
  <c r="S42" i="11"/>
  <c r="R42" i="11"/>
  <c r="Q42" i="11"/>
  <c r="L42" i="11"/>
  <c r="O42" i="11" s="1"/>
  <c r="K42" i="11"/>
  <c r="J42" i="11"/>
  <c r="M42" i="11" s="1"/>
  <c r="P43" i="11"/>
  <c r="I43" i="11"/>
  <c r="H43" i="11"/>
  <c r="E43" i="11"/>
  <c r="G43" i="11" s="1"/>
  <c r="A44" i="11"/>
  <c r="F44" i="11" s="1"/>
  <c r="A32" i="11"/>
  <c r="I33" i="11"/>
  <c r="I26" i="10"/>
  <c r="H27" i="10"/>
  <c r="X27" i="10" s="1"/>
  <c r="J6" i="9"/>
  <c r="H6" i="9"/>
  <c r="G6" i="9"/>
  <c r="F6" i="9"/>
  <c r="E6" i="9"/>
  <c r="H49" i="14" l="1"/>
  <c r="U41" i="11"/>
  <c r="U58" i="16"/>
  <c r="H57" i="16"/>
  <c r="Z57" i="16" s="1"/>
  <c r="U57" i="16"/>
  <c r="V57" i="16" s="1"/>
  <c r="W57" i="16" s="1"/>
  <c r="Y57" i="16" s="1"/>
  <c r="X57" i="16" s="1"/>
  <c r="AE57" i="9" s="1"/>
  <c r="B60" i="16"/>
  <c r="M60" i="16"/>
  <c r="J60" i="16"/>
  <c r="A61" i="16"/>
  <c r="I60" i="16"/>
  <c r="Q58" i="16"/>
  <c r="G58" i="16"/>
  <c r="H58" i="16" s="1"/>
  <c r="G17" i="16"/>
  <c r="H17" i="16" s="1"/>
  <c r="P59" i="16"/>
  <c r="O59" i="16"/>
  <c r="B16" i="16"/>
  <c r="J16" i="16"/>
  <c r="S16" i="16"/>
  <c r="C16" i="16"/>
  <c r="K16" i="16"/>
  <c r="T16" i="16"/>
  <c r="F16" i="16"/>
  <c r="O16" i="16"/>
  <c r="W16" i="16"/>
  <c r="I16" i="16"/>
  <c r="X16" i="16"/>
  <c r="AE16" i="9" s="1"/>
  <c r="M16" i="16"/>
  <c r="Z16" i="16"/>
  <c r="A15" i="16"/>
  <c r="P16" i="16"/>
  <c r="D16" i="16"/>
  <c r="V16" i="16"/>
  <c r="Y16" i="16"/>
  <c r="E16" i="16"/>
  <c r="L16" i="16"/>
  <c r="Q16" i="16"/>
  <c r="R16" i="16"/>
  <c r="U16" i="16"/>
  <c r="C59" i="16"/>
  <c r="D59" i="16"/>
  <c r="E59" i="16"/>
  <c r="S59" i="16" s="1"/>
  <c r="F59" i="16"/>
  <c r="T59" i="16" s="1"/>
  <c r="K59" i="16"/>
  <c r="L59" i="16"/>
  <c r="X54" i="10"/>
  <c r="X56" i="10"/>
  <c r="X62" i="10"/>
  <c r="X64" i="10"/>
  <c r="X66" i="10"/>
  <c r="X68" i="10"/>
  <c r="X70" i="10"/>
  <c r="X72" i="10"/>
  <c r="X80" i="10"/>
  <c r="X82" i="10"/>
  <c r="X86" i="10"/>
  <c r="X92" i="10"/>
  <c r="X94" i="10"/>
  <c r="X96" i="10"/>
  <c r="X102" i="10"/>
  <c r="X53" i="10"/>
  <c r="X57" i="10"/>
  <c r="X63" i="10"/>
  <c r="X65" i="10"/>
  <c r="X67" i="10"/>
  <c r="X69" i="10"/>
  <c r="X71" i="10"/>
  <c r="X73" i="10"/>
  <c r="X81" i="10"/>
  <c r="X83" i="10"/>
  <c r="X85" i="10"/>
  <c r="X87" i="10"/>
  <c r="X91" i="10"/>
  <c r="X93" i="10"/>
  <c r="X95" i="10"/>
  <c r="X97" i="10"/>
  <c r="X107" i="10"/>
  <c r="X110" i="10"/>
  <c r="X112" i="10"/>
  <c r="X114" i="10"/>
  <c r="X118" i="10"/>
  <c r="X122" i="10"/>
  <c r="X124" i="10"/>
  <c r="X126" i="10"/>
  <c r="X128" i="10"/>
  <c r="X132" i="10"/>
  <c r="X134" i="10"/>
  <c r="X136" i="10"/>
  <c r="X138" i="10"/>
  <c r="X140" i="10"/>
  <c r="X142" i="10"/>
  <c r="X108" i="10"/>
  <c r="X106" i="10"/>
  <c r="X109" i="10"/>
  <c r="X111" i="10"/>
  <c r="X113" i="10"/>
  <c r="X115" i="10"/>
  <c r="X117" i="10"/>
  <c r="X123" i="10"/>
  <c r="X125" i="10"/>
  <c r="X127" i="10"/>
  <c r="X131" i="10"/>
  <c r="X133" i="10"/>
  <c r="X135" i="10"/>
  <c r="X137" i="10"/>
  <c r="X139" i="10"/>
  <c r="X141" i="10"/>
  <c r="X147" i="10"/>
  <c r="X149" i="10"/>
  <c r="X151" i="10"/>
  <c r="X157" i="10"/>
  <c r="X159" i="10"/>
  <c r="X161" i="10"/>
  <c r="X163" i="10"/>
  <c r="X165" i="10"/>
  <c r="X167" i="10"/>
  <c r="X169" i="10"/>
  <c r="X171" i="10"/>
  <c r="X173" i="10"/>
  <c r="X175" i="10"/>
  <c r="X177" i="10"/>
  <c r="X179" i="10"/>
  <c r="X181" i="10"/>
  <c r="X189" i="10"/>
  <c r="X191" i="10"/>
  <c r="X195" i="10"/>
  <c r="X152" i="10"/>
  <c r="X153" i="10"/>
  <c r="X150" i="10"/>
  <c r="X154" i="10"/>
  <c r="X148" i="10"/>
  <c r="X155" i="10"/>
  <c r="X156" i="10"/>
  <c r="X158" i="10"/>
  <c r="X160" i="10"/>
  <c r="X162" i="10"/>
  <c r="X164" i="10"/>
  <c r="X166" i="10"/>
  <c r="X168" i="10"/>
  <c r="X170" i="10"/>
  <c r="X172" i="10"/>
  <c r="X174" i="10"/>
  <c r="X176" i="10"/>
  <c r="X178" i="10"/>
  <c r="X180" i="10"/>
  <c r="X184" i="10"/>
  <c r="X186" i="10"/>
  <c r="X190" i="10"/>
  <c r="X192" i="10"/>
  <c r="X194" i="10"/>
  <c r="X196" i="10"/>
  <c r="X198" i="10"/>
  <c r="X199" i="10"/>
  <c r="X202" i="10"/>
  <c r="X204" i="10"/>
  <c r="X206" i="10"/>
  <c r="X208" i="10"/>
  <c r="X210" i="10"/>
  <c r="X212" i="10"/>
  <c r="X214" i="10"/>
  <c r="X216" i="10"/>
  <c r="X218" i="10"/>
  <c r="X220" i="10"/>
  <c r="X222" i="10"/>
  <c r="X224" i="10"/>
  <c r="X226" i="10"/>
  <c r="X228" i="10"/>
  <c r="X230" i="10"/>
  <c r="X240" i="10"/>
  <c r="X200" i="10"/>
  <c r="X201" i="10"/>
  <c r="X203" i="10"/>
  <c r="X205" i="10"/>
  <c r="X207" i="10"/>
  <c r="X209" i="10"/>
  <c r="X211" i="10"/>
  <c r="X213" i="10"/>
  <c r="X215" i="10"/>
  <c r="X217" i="10"/>
  <c r="X219" i="10"/>
  <c r="X221" i="10"/>
  <c r="X223" i="10"/>
  <c r="X225" i="10"/>
  <c r="X227" i="10"/>
  <c r="X229" i="10"/>
  <c r="X231" i="10"/>
  <c r="X235" i="10"/>
  <c r="X237" i="10"/>
  <c r="X239" i="10"/>
  <c r="X241" i="10"/>
  <c r="X249" i="10"/>
  <c r="X251" i="10"/>
  <c r="X253" i="10"/>
  <c r="X255" i="10"/>
  <c r="X257" i="10"/>
  <c r="X259" i="10"/>
  <c r="X261" i="10"/>
  <c r="X263" i="10"/>
  <c r="X271" i="10"/>
  <c r="X275" i="10"/>
  <c r="X277" i="10"/>
  <c r="X279" i="10"/>
  <c r="X281" i="10"/>
  <c r="X283" i="10"/>
  <c r="X285" i="10"/>
  <c r="X287" i="10"/>
  <c r="X289" i="10"/>
  <c r="X291" i="10"/>
  <c r="X295" i="10"/>
  <c r="X197" i="10"/>
  <c r="X246" i="10"/>
  <c r="X245" i="10"/>
  <c r="X248" i="10"/>
  <c r="X250" i="10"/>
  <c r="X252" i="10"/>
  <c r="X254" i="10"/>
  <c r="X256" i="10"/>
  <c r="X258" i="10"/>
  <c r="X260" i="10"/>
  <c r="X262" i="10"/>
  <c r="X268" i="10"/>
  <c r="X270" i="10"/>
  <c r="X274" i="10"/>
  <c r="X280" i="10"/>
  <c r="X282" i="10"/>
  <c r="X284" i="10"/>
  <c r="X286" i="10"/>
  <c r="X288" i="10"/>
  <c r="X290" i="10"/>
  <c r="X292" i="10"/>
  <c r="X294" i="10"/>
  <c r="X301" i="10"/>
  <c r="X302" i="10"/>
  <c r="X303" i="10"/>
  <c r="X306" i="10"/>
  <c r="X308" i="10"/>
  <c r="X310" i="10"/>
  <c r="X312" i="10"/>
  <c r="X314" i="10"/>
  <c r="X316" i="10"/>
  <c r="X318" i="10"/>
  <c r="X320" i="10"/>
  <c r="X322" i="10"/>
  <c r="X324" i="10"/>
  <c r="X326" i="10"/>
  <c r="X328" i="10"/>
  <c r="X330" i="10"/>
  <c r="X332" i="10"/>
  <c r="X334" i="10"/>
  <c r="X336" i="10"/>
  <c r="X338" i="10"/>
  <c r="X340" i="10"/>
  <c r="X342" i="10"/>
  <c r="X344" i="10"/>
  <c r="X346" i="10"/>
  <c r="X296" i="10"/>
  <c r="X304" i="10"/>
  <c r="X298" i="10"/>
  <c r="X299" i="10"/>
  <c r="X305" i="10"/>
  <c r="X307" i="10"/>
  <c r="X309" i="10"/>
  <c r="X311" i="10"/>
  <c r="X315" i="10"/>
  <c r="X317" i="10"/>
  <c r="X319" i="10"/>
  <c r="X321" i="10"/>
  <c r="X323" i="10"/>
  <c r="X325" i="10"/>
  <c r="X327" i="10"/>
  <c r="X329" i="10"/>
  <c r="X331" i="10"/>
  <c r="X333" i="10"/>
  <c r="X335" i="10"/>
  <c r="X337" i="10"/>
  <c r="X339" i="10"/>
  <c r="X341" i="10"/>
  <c r="X343" i="10"/>
  <c r="X347" i="10"/>
  <c r="X300" i="10"/>
  <c r="X32" i="10"/>
  <c r="X40" i="10"/>
  <c r="X49" i="10"/>
  <c r="X30" i="10"/>
  <c r="X48" i="10"/>
  <c r="X31" i="10"/>
  <c r="X47" i="10"/>
  <c r="X46" i="10"/>
  <c r="S53" i="15"/>
  <c r="J50" i="14"/>
  <c r="K50" i="14"/>
  <c r="J27" i="14"/>
  <c r="K27" i="14"/>
  <c r="F50" i="14"/>
  <c r="I50" i="14"/>
  <c r="L50" i="14" s="1"/>
  <c r="I27" i="14"/>
  <c r="L27" i="14"/>
  <c r="I21" i="15"/>
  <c r="Q21" i="15"/>
  <c r="AC21" i="15"/>
  <c r="C21" i="15"/>
  <c r="K21" i="15"/>
  <c r="D21" i="15"/>
  <c r="L21" i="15"/>
  <c r="T21" i="15"/>
  <c r="AJ21" i="15"/>
  <c r="E21" i="15"/>
  <c r="M21" i="15"/>
  <c r="U21" i="15"/>
  <c r="AK21" i="15"/>
  <c r="H21" i="15"/>
  <c r="P21" i="15"/>
  <c r="Y21" i="15"/>
  <c r="N21" i="15"/>
  <c r="R21" i="15"/>
  <c r="V21" i="15"/>
  <c r="J21" i="15"/>
  <c r="S21" i="15"/>
  <c r="AE21" i="15"/>
  <c r="F21" i="15"/>
  <c r="G21" i="15"/>
  <c r="O21" i="15"/>
  <c r="W21" i="15"/>
  <c r="A20" i="15"/>
  <c r="AF21" i="15"/>
  <c r="Q54" i="15"/>
  <c r="R54" i="15" s="1"/>
  <c r="K55" i="15"/>
  <c r="G55" i="15"/>
  <c r="F55" i="15"/>
  <c r="AF55" i="15"/>
  <c r="H55" i="15"/>
  <c r="AJ55" i="15"/>
  <c r="AK55" i="15"/>
  <c r="I55" i="15"/>
  <c r="J55" i="15"/>
  <c r="AO55" i="15"/>
  <c r="Y55" i="15"/>
  <c r="AE55" i="15"/>
  <c r="A56" i="15"/>
  <c r="W55" i="15"/>
  <c r="E55" i="15"/>
  <c r="L55" i="15"/>
  <c r="AC55" i="15"/>
  <c r="U54" i="15"/>
  <c r="V54" i="15" s="1"/>
  <c r="M54" i="15"/>
  <c r="N54" i="15" s="1"/>
  <c r="O54" i="15" s="1"/>
  <c r="P54" i="15" s="1"/>
  <c r="E32" i="11"/>
  <c r="L32" i="11"/>
  <c r="Q32" i="11"/>
  <c r="R32" i="11"/>
  <c r="S32" i="11"/>
  <c r="U32" i="11"/>
  <c r="J32" i="11"/>
  <c r="G32" i="11"/>
  <c r="F32" i="11"/>
  <c r="K32" i="11"/>
  <c r="H32" i="11"/>
  <c r="M32" i="11"/>
  <c r="N32" i="11"/>
  <c r="O32" i="11"/>
  <c r="T32" i="11"/>
  <c r="P32" i="11"/>
  <c r="G27" i="14"/>
  <c r="H27" i="14"/>
  <c r="U39" i="11"/>
  <c r="E50" i="14"/>
  <c r="G50" i="14" s="1"/>
  <c r="N42" i="11"/>
  <c r="T42" i="11" s="1"/>
  <c r="A51" i="14"/>
  <c r="F27" i="14"/>
  <c r="E27" i="14"/>
  <c r="A26" i="14"/>
  <c r="A51" i="13"/>
  <c r="B50" i="13"/>
  <c r="A26" i="13"/>
  <c r="B26" i="13" s="1"/>
  <c r="S43" i="11"/>
  <c r="R43" i="11"/>
  <c r="Q43" i="11"/>
  <c r="L43" i="11"/>
  <c r="O43" i="11" s="1"/>
  <c r="J43" i="11"/>
  <c r="M43" i="11" s="1"/>
  <c r="K43" i="11"/>
  <c r="A45" i="11"/>
  <c r="F45" i="11" s="1"/>
  <c r="P44" i="11"/>
  <c r="I44" i="11"/>
  <c r="H44" i="11"/>
  <c r="E44" i="11"/>
  <c r="G44" i="11" s="1"/>
  <c r="I32" i="11"/>
  <c r="A31" i="11"/>
  <c r="J26" i="10"/>
  <c r="I27" i="10"/>
  <c r="Y27" i="10" s="1"/>
  <c r="A38" i="1"/>
  <c r="A38" i="9"/>
  <c r="A22" i="8"/>
  <c r="A38" i="7"/>
  <c r="A38" i="6"/>
  <c r="U42" i="11" l="1"/>
  <c r="H50" i="14"/>
  <c r="V58" i="16"/>
  <c r="W58" i="16" s="1"/>
  <c r="Y58" i="16" s="1"/>
  <c r="X58" i="16" s="1"/>
  <c r="AE58" i="9" s="1"/>
  <c r="AO38" i="1"/>
  <c r="R58" i="16"/>
  <c r="U59" i="16" s="1"/>
  <c r="V59" i="16" s="1"/>
  <c r="G59" i="16"/>
  <c r="R59" i="16" s="1"/>
  <c r="Q59" i="16"/>
  <c r="M61" i="16"/>
  <c r="A62" i="16"/>
  <c r="B61" i="16"/>
  <c r="I61" i="16"/>
  <c r="J61" i="16"/>
  <c r="C15" i="16"/>
  <c r="K15" i="16"/>
  <c r="T15" i="16"/>
  <c r="D15" i="16"/>
  <c r="L15" i="16"/>
  <c r="U15" i="16"/>
  <c r="P15" i="16"/>
  <c r="X15" i="16"/>
  <c r="AE15" i="9" s="1"/>
  <c r="I15" i="16"/>
  <c r="W15" i="16"/>
  <c r="M15" i="16"/>
  <c r="Z15" i="16"/>
  <c r="O15" i="16"/>
  <c r="F15" i="16"/>
  <c r="J15" i="16"/>
  <c r="Q15" i="16"/>
  <c r="S15" i="16"/>
  <c r="Y15" i="16"/>
  <c r="A14" i="16"/>
  <c r="B15" i="16"/>
  <c r="E15" i="16"/>
  <c r="R15" i="16"/>
  <c r="V15" i="16"/>
  <c r="K60" i="16"/>
  <c r="L60" i="16"/>
  <c r="O60" i="16"/>
  <c r="P60" i="16"/>
  <c r="G16" i="16"/>
  <c r="H16" i="16" s="1"/>
  <c r="F60" i="16"/>
  <c r="T60" i="16" s="1"/>
  <c r="D60" i="16"/>
  <c r="E60" i="16"/>
  <c r="S60" i="16" s="1"/>
  <c r="C60" i="16"/>
  <c r="Y54" i="10"/>
  <c r="Y56" i="10"/>
  <c r="Y62" i="10"/>
  <c r="Y64" i="10"/>
  <c r="Y66" i="10"/>
  <c r="Y68" i="10"/>
  <c r="Y70" i="10"/>
  <c r="Y72" i="10"/>
  <c r="Y80" i="10"/>
  <c r="Y82" i="10"/>
  <c r="Y86" i="10"/>
  <c r="Y92" i="10"/>
  <c r="Y94" i="10"/>
  <c r="Y96" i="10"/>
  <c r="Y102" i="10"/>
  <c r="Y106" i="10"/>
  <c r="Y63" i="10"/>
  <c r="Y95" i="10"/>
  <c r="Y53" i="10"/>
  <c r="Y69" i="10"/>
  <c r="Y85" i="10"/>
  <c r="Y110" i="10"/>
  <c r="Y112" i="10"/>
  <c r="Y114" i="10"/>
  <c r="Y118" i="10"/>
  <c r="Y122" i="10"/>
  <c r="Y124" i="10"/>
  <c r="Y126" i="10"/>
  <c r="Y128" i="10"/>
  <c r="Y132" i="10"/>
  <c r="Y134" i="10"/>
  <c r="Y136" i="10"/>
  <c r="Y138" i="10"/>
  <c r="Y140" i="10"/>
  <c r="Y142" i="10"/>
  <c r="Y91" i="10"/>
  <c r="Y107" i="10"/>
  <c r="Y108" i="10"/>
  <c r="Y65" i="10"/>
  <c r="Y81" i="10"/>
  <c r="Y97" i="10"/>
  <c r="Y71" i="10"/>
  <c r="Y87" i="10"/>
  <c r="Y93" i="10"/>
  <c r="Y109" i="10"/>
  <c r="Y111" i="10"/>
  <c r="Y113" i="10"/>
  <c r="Y115" i="10"/>
  <c r="Y117" i="10"/>
  <c r="Y123" i="10"/>
  <c r="Y125" i="10"/>
  <c r="Y127" i="10"/>
  <c r="Y131" i="10"/>
  <c r="Y133" i="10"/>
  <c r="Y135" i="10"/>
  <c r="Y137" i="10"/>
  <c r="Y139" i="10"/>
  <c r="Y141" i="10"/>
  <c r="Y67" i="10"/>
  <c r="Y83" i="10"/>
  <c r="Y57" i="10"/>
  <c r="Y157" i="10"/>
  <c r="Y159" i="10"/>
  <c r="Y161" i="10"/>
  <c r="Y163" i="10"/>
  <c r="Y165" i="10"/>
  <c r="Y167" i="10"/>
  <c r="Y169" i="10"/>
  <c r="Y171" i="10"/>
  <c r="Y173" i="10"/>
  <c r="Y175" i="10"/>
  <c r="Y177" i="10"/>
  <c r="Y179" i="10"/>
  <c r="Y181" i="10"/>
  <c r="Y189" i="10"/>
  <c r="Y191" i="10"/>
  <c r="Y195" i="10"/>
  <c r="Y151" i="10"/>
  <c r="Y152" i="10"/>
  <c r="Y153" i="10"/>
  <c r="Y73" i="10"/>
  <c r="Y149" i="10"/>
  <c r="Y150" i="10"/>
  <c r="Y154" i="10"/>
  <c r="Y148" i="10"/>
  <c r="Y155" i="10"/>
  <c r="Y147" i="10"/>
  <c r="Y156" i="10"/>
  <c r="Y158" i="10"/>
  <c r="Y160" i="10"/>
  <c r="Y162" i="10"/>
  <c r="Y164" i="10"/>
  <c r="Y166" i="10"/>
  <c r="Y168" i="10"/>
  <c r="Y170" i="10"/>
  <c r="Y172" i="10"/>
  <c r="Y174" i="10"/>
  <c r="Y176" i="10"/>
  <c r="Y178" i="10"/>
  <c r="Y180" i="10"/>
  <c r="Y184" i="10"/>
  <c r="Y186" i="10"/>
  <c r="Y190" i="10"/>
  <c r="Y192" i="10"/>
  <c r="Y194" i="10"/>
  <c r="Y196" i="10"/>
  <c r="Y198" i="10"/>
  <c r="Y200" i="10"/>
  <c r="Y197" i="10"/>
  <c r="Y199" i="10"/>
  <c r="Y202" i="10"/>
  <c r="Y204" i="10"/>
  <c r="Y206" i="10"/>
  <c r="Y208" i="10"/>
  <c r="Y210" i="10"/>
  <c r="Y212" i="10"/>
  <c r="Y214" i="10"/>
  <c r="Y216" i="10"/>
  <c r="Y218" i="10"/>
  <c r="Y220" i="10"/>
  <c r="Y222" i="10"/>
  <c r="Y224" i="10"/>
  <c r="Y226" i="10"/>
  <c r="Y228" i="10"/>
  <c r="Y230" i="10"/>
  <c r="Y240" i="10"/>
  <c r="Y246" i="10"/>
  <c r="Y201" i="10"/>
  <c r="Y203" i="10"/>
  <c r="Y205" i="10"/>
  <c r="Y207" i="10"/>
  <c r="Y209" i="10"/>
  <c r="Y211" i="10"/>
  <c r="Y213" i="10"/>
  <c r="Y215" i="10"/>
  <c r="Y217" i="10"/>
  <c r="Y219" i="10"/>
  <c r="Y221" i="10"/>
  <c r="Y223" i="10"/>
  <c r="Y225" i="10"/>
  <c r="Y227" i="10"/>
  <c r="Y229" i="10"/>
  <c r="Y231" i="10"/>
  <c r="Y235" i="10"/>
  <c r="Y237" i="10"/>
  <c r="Y239" i="10"/>
  <c r="Y241" i="10"/>
  <c r="Y245" i="10"/>
  <c r="Y249" i="10"/>
  <c r="Y251" i="10"/>
  <c r="Y253" i="10"/>
  <c r="Y255" i="10"/>
  <c r="Y257" i="10"/>
  <c r="Y259" i="10"/>
  <c r="Y261" i="10"/>
  <c r="Y263" i="10"/>
  <c r="Y271" i="10"/>
  <c r="Y275" i="10"/>
  <c r="Y277" i="10"/>
  <c r="Y279" i="10"/>
  <c r="Y281" i="10"/>
  <c r="Y283" i="10"/>
  <c r="Y285" i="10"/>
  <c r="Y287" i="10"/>
  <c r="Y289" i="10"/>
  <c r="Y291" i="10"/>
  <c r="Y248" i="10"/>
  <c r="Y250" i="10"/>
  <c r="Y252" i="10"/>
  <c r="Y254" i="10"/>
  <c r="Y256" i="10"/>
  <c r="Y258" i="10"/>
  <c r="Y260" i="10"/>
  <c r="Y262" i="10"/>
  <c r="Y268" i="10"/>
  <c r="Y270" i="10"/>
  <c r="Y274" i="10"/>
  <c r="Y280" i="10"/>
  <c r="Y282" i="10"/>
  <c r="Y284" i="10"/>
  <c r="Y286" i="10"/>
  <c r="Y288" i="10"/>
  <c r="Y290" i="10"/>
  <c r="Y292" i="10"/>
  <c r="Y294" i="10"/>
  <c r="Y300" i="10"/>
  <c r="Y301" i="10"/>
  <c r="Y302" i="10"/>
  <c r="Y342" i="10"/>
  <c r="Y346" i="10"/>
  <c r="Y303" i="10"/>
  <c r="Y306" i="10"/>
  <c r="Y308" i="10"/>
  <c r="Y310" i="10"/>
  <c r="Y312" i="10"/>
  <c r="Y314" i="10"/>
  <c r="Y316" i="10"/>
  <c r="Y318" i="10"/>
  <c r="Y320" i="10"/>
  <c r="Y322" i="10"/>
  <c r="Y324" i="10"/>
  <c r="Y326" i="10"/>
  <c r="Y328" i="10"/>
  <c r="Y330" i="10"/>
  <c r="Y332" i="10"/>
  <c r="Y334" i="10"/>
  <c r="Y336" i="10"/>
  <c r="Y338" i="10"/>
  <c r="Y340" i="10"/>
  <c r="Y344" i="10"/>
  <c r="Y305" i="10"/>
  <c r="Y296" i="10"/>
  <c r="Y304" i="10"/>
  <c r="Y295" i="10"/>
  <c r="Y299" i="10"/>
  <c r="Y298" i="10"/>
  <c r="Y307" i="10"/>
  <c r="Y329" i="10"/>
  <c r="Y319" i="10"/>
  <c r="Y335" i="10"/>
  <c r="Y309" i="10"/>
  <c r="Y325" i="10"/>
  <c r="Y341" i="10"/>
  <c r="Y331" i="10"/>
  <c r="Y339" i="10"/>
  <c r="Y315" i="10"/>
  <c r="Y347" i="10"/>
  <c r="Y343" i="10"/>
  <c r="Y321" i="10"/>
  <c r="Y337" i="10"/>
  <c r="Y327" i="10"/>
  <c r="Y311" i="10"/>
  <c r="Y317" i="10"/>
  <c r="Y333" i="10"/>
  <c r="Y323" i="10"/>
  <c r="Y49" i="10"/>
  <c r="Y48" i="10"/>
  <c r="Y40" i="10"/>
  <c r="Y32" i="10"/>
  <c r="Y47" i="10"/>
  <c r="Y31" i="10"/>
  <c r="Y46" i="10"/>
  <c r="Y30" i="10"/>
  <c r="J51" i="14"/>
  <c r="K51" i="14"/>
  <c r="J26" i="14"/>
  <c r="K26" i="14"/>
  <c r="I26" i="14"/>
  <c r="L26" i="14"/>
  <c r="F51" i="14"/>
  <c r="I51" i="14"/>
  <c r="L51" i="14" s="1"/>
  <c r="U55" i="15"/>
  <c r="V55" i="15" s="1"/>
  <c r="H56" i="15"/>
  <c r="AC56" i="15"/>
  <c r="I56" i="15"/>
  <c r="AE56" i="15"/>
  <c r="AF56" i="15"/>
  <c r="J56" i="15"/>
  <c r="K56" i="15"/>
  <c r="AJ56" i="15"/>
  <c r="E56" i="15"/>
  <c r="AO56" i="15"/>
  <c r="W56" i="15"/>
  <c r="Y56" i="15"/>
  <c r="F56" i="15"/>
  <c r="L56" i="15"/>
  <c r="G56" i="15"/>
  <c r="AK56" i="15"/>
  <c r="A57" i="15"/>
  <c r="Q55" i="15"/>
  <c r="R55" i="15" s="1"/>
  <c r="S54" i="15"/>
  <c r="E20" i="15"/>
  <c r="M20" i="15"/>
  <c r="U20" i="15"/>
  <c r="AK20" i="15"/>
  <c r="G20" i="15"/>
  <c r="O20" i="15"/>
  <c r="W20" i="15"/>
  <c r="H20" i="15"/>
  <c r="P20" i="15"/>
  <c r="Y20" i="15"/>
  <c r="I20" i="15"/>
  <c r="Q20" i="15"/>
  <c r="AC20" i="15"/>
  <c r="D20" i="15"/>
  <c r="L20" i="15"/>
  <c r="T20" i="15"/>
  <c r="AJ20" i="15"/>
  <c r="S20" i="15"/>
  <c r="C20" i="15"/>
  <c r="AE20" i="15"/>
  <c r="J20" i="15"/>
  <c r="F20" i="15"/>
  <c r="N20" i="15"/>
  <c r="V20" i="15"/>
  <c r="A19" i="15"/>
  <c r="K20" i="15"/>
  <c r="R20" i="15"/>
  <c r="AF20" i="15"/>
  <c r="M55" i="15"/>
  <c r="N55" i="15" s="1"/>
  <c r="O55" i="15" s="1"/>
  <c r="P55" i="15" s="1"/>
  <c r="F31" i="11"/>
  <c r="E31" i="11"/>
  <c r="R31" i="11"/>
  <c r="T31" i="11"/>
  <c r="U31" i="11"/>
  <c r="P31" i="11"/>
  <c r="L31" i="11"/>
  <c r="J31" i="11"/>
  <c r="G31" i="11"/>
  <c r="K31" i="11"/>
  <c r="H31" i="11"/>
  <c r="M31" i="11"/>
  <c r="N31" i="11"/>
  <c r="S31" i="11"/>
  <c r="Q31" i="11"/>
  <c r="O31" i="11"/>
  <c r="G26" i="14"/>
  <c r="H26" i="14"/>
  <c r="U38" i="11"/>
  <c r="N43" i="11"/>
  <c r="T43" i="11" s="1"/>
  <c r="A52" i="14"/>
  <c r="E51" i="14"/>
  <c r="G51" i="14" s="1"/>
  <c r="F26" i="14"/>
  <c r="A25" i="14"/>
  <c r="E26" i="14"/>
  <c r="A25" i="13"/>
  <c r="B25" i="13" s="1"/>
  <c r="B51" i="13"/>
  <c r="A52" i="13"/>
  <c r="AF38" i="6"/>
  <c r="AE38" i="6"/>
  <c r="S44" i="11"/>
  <c r="R44" i="11"/>
  <c r="Q44" i="11"/>
  <c r="L44" i="11"/>
  <c r="O44" i="11" s="1"/>
  <c r="K44" i="11"/>
  <c r="J44" i="11"/>
  <c r="M44" i="11" s="1"/>
  <c r="I31" i="11"/>
  <c r="A30" i="11"/>
  <c r="A46" i="11"/>
  <c r="F46" i="11" s="1"/>
  <c r="P45" i="11"/>
  <c r="I45" i="11"/>
  <c r="H45" i="11"/>
  <c r="E45" i="11"/>
  <c r="G45" i="11" s="1"/>
  <c r="K26" i="10"/>
  <c r="J27" i="10"/>
  <c r="Z27" i="10" s="1"/>
  <c r="AU27" i="3"/>
  <c r="AO347" i="3"/>
  <c r="AO343" i="3"/>
  <c r="AO339" i="3"/>
  <c r="AO335" i="3"/>
  <c r="AO331" i="3"/>
  <c r="AO327" i="3"/>
  <c r="AO319" i="3"/>
  <c r="AO303" i="3"/>
  <c r="AO299" i="3"/>
  <c r="AO346" i="3"/>
  <c r="AO342" i="3"/>
  <c r="AO338" i="3"/>
  <c r="AO334" i="3"/>
  <c r="AO330" i="3"/>
  <c r="AO326" i="3"/>
  <c r="AO341" i="3"/>
  <c r="AO337" i="3"/>
  <c r="AO333" i="3"/>
  <c r="AO329" i="3"/>
  <c r="AO325" i="3"/>
  <c r="AO309" i="3"/>
  <c r="AO301" i="3"/>
  <c r="AO285" i="3"/>
  <c r="AO344" i="3"/>
  <c r="AO328" i="3"/>
  <c r="AO287" i="3"/>
  <c r="AO262" i="3"/>
  <c r="AO258" i="3"/>
  <c r="AO254" i="3"/>
  <c r="AO250" i="3"/>
  <c r="AO246" i="3"/>
  <c r="AO340" i="3"/>
  <c r="AO292" i="3"/>
  <c r="AO291" i="3"/>
  <c r="AO277" i="3"/>
  <c r="AO261" i="3"/>
  <c r="AO336" i="3"/>
  <c r="AO320" i="3"/>
  <c r="AO295" i="3"/>
  <c r="AO294" i="3"/>
  <c r="AO260" i="3"/>
  <c r="AO332" i="3"/>
  <c r="AO253" i="3"/>
  <c r="AO252" i="3"/>
  <c r="AO251" i="3"/>
  <c r="AO227" i="3"/>
  <c r="AO219" i="3"/>
  <c r="AO211" i="3"/>
  <c r="AO207" i="3"/>
  <c r="AO203" i="3"/>
  <c r="AO195" i="3"/>
  <c r="AO191" i="3"/>
  <c r="AO179" i="3"/>
  <c r="AO167" i="3"/>
  <c r="AO159" i="3"/>
  <c r="AO316" i="3"/>
  <c r="AO283" i="3"/>
  <c r="AO279" i="3"/>
  <c r="AO263" i="3"/>
  <c r="AO255" i="3"/>
  <c r="AO241" i="3"/>
  <c r="AO240" i="3"/>
  <c r="AO239" i="3"/>
  <c r="AO230" i="3"/>
  <c r="AO226" i="3"/>
  <c r="AO222" i="3"/>
  <c r="AO214" i="3"/>
  <c r="AO206" i="3"/>
  <c r="AO202" i="3"/>
  <c r="AO198" i="3"/>
  <c r="AO259" i="3"/>
  <c r="AO245" i="3"/>
  <c r="AO237" i="3"/>
  <c r="AO221" i="3"/>
  <c r="AO213" i="3"/>
  <c r="AO209" i="3"/>
  <c r="AO201" i="3"/>
  <c r="AO197" i="3"/>
  <c r="AO216" i="3"/>
  <c r="AO186" i="3"/>
  <c r="AO184" i="3"/>
  <c r="AO170" i="3"/>
  <c r="AO169" i="3"/>
  <c r="AO154" i="3"/>
  <c r="AO134" i="3"/>
  <c r="AO122" i="3"/>
  <c r="AO118" i="3"/>
  <c r="AO114" i="3"/>
  <c r="AO212" i="3"/>
  <c r="AO190" i="3"/>
  <c r="AO189" i="3"/>
  <c r="AO174" i="3"/>
  <c r="AO173" i="3"/>
  <c r="AO158" i="3"/>
  <c r="AO153" i="3"/>
  <c r="AO133" i="3"/>
  <c r="AO117" i="3"/>
  <c r="AO208" i="3"/>
  <c r="AO194" i="3"/>
  <c r="AO192" i="3"/>
  <c r="AO178" i="3"/>
  <c r="AO177" i="3"/>
  <c r="AO160" i="3"/>
  <c r="AO136" i="3"/>
  <c r="AO132" i="3"/>
  <c r="AO112" i="3"/>
  <c r="AO108" i="3"/>
  <c r="AO96" i="3"/>
  <c r="AO92" i="3"/>
  <c r="AO80" i="3"/>
  <c r="AO72" i="3"/>
  <c r="AO68" i="3"/>
  <c r="AO180" i="3"/>
  <c r="AO155" i="3"/>
  <c r="AO123" i="3"/>
  <c r="AO102" i="3"/>
  <c r="AO87" i="3"/>
  <c r="AO86" i="3"/>
  <c r="AO85" i="3"/>
  <c r="AO71" i="3"/>
  <c r="AO70" i="3"/>
  <c r="AO69" i="3"/>
  <c r="AO67" i="3"/>
  <c r="AO63" i="3"/>
  <c r="AO47" i="3"/>
  <c r="AO31" i="3"/>
  <c r="AO54" i="3"/>
  <c r="AO248" i="3"/>
  <c r="AO220" i="3"/>
  <c r="AO166" i="3"/>
  <c r="AO151" i="3"/>
  <c r="AO135" i="3"/>
  <c r="AO107" i="3"/>
  <c r="AO106" i="3"/>
  <c r="AO91" i="3"/>
  <c r="AO73" i="3"/>
  <c r="AO66" i="3"/>
  <c r="AO62" i="3"/>
  <c r="AO46" i="3"/>
  <c r="AO30" i="3"/>
  <c r="AO204" i="3"/>
  <c r="AO131" i="3"/>
  <c r="AO115" i="3"/>
  <c r="AO111" i="3"/>
  <c r="AO110" i="3"/>
  <c r="AO109" i="3"/>
  <c r="AO95" i="3"/>
  <c r="AO94" i="3"/>
  <c r="AO93" i="3"/>
  <c r="AO65" i="3"/>
  <c r="AO57" i="3"/>
  <c r="AO53" i="3"/>
  <c r="AO127" i="3"/>
  <c r="AO97" i="3"/>
  <c r="AO64" i="3"/>
  <c r="AO48" i="3"/>
  <c r="AO32" i="3"/>
  <c r="AO113" i="3"/>
  <c r="AO83" i="3"/>
  <c r="AO81" i="3"/>
  <c r="AO82" i="3"/>
  <c r="AO56" i="3"/>
  <c r="D131" i="3"/>
  <c r="D135" i="3" s="1"/>
  <c r="AJ38" i="1"/>
  <c r="AK38" i="1"/>
  <c r="AH38" i="1" s="1"/>
  <c r="Y38" i="1"/>
  <c r="AC38" i="1"/>
  <c r="J38" i="1"/>
  <c r="M38" i="1"/>
  <c r="H38" i="1"/>
  <c r="I38" i="1"/>
  <c r="B38" i="1"/>
  <c r="F38" i="1"/>
  <c r="R38" i="6"/>
  <c r="T38" i="6"/>
  <c r="J38" i="6"/>
  <c r="O38" i="6"/>
  <c r="B38" i="6"/>
  <c r="D38" i="6"/>
  <c r="G38" i="9"/>
  <c r="H38" i="9"/>
  <c r="E38" i="9"/>
  <c r="I38" i="9"/>
  <c r="F38" i="9"/>
  <c r="A37" i="9"/>
  <c r="J37" i="9" s="1"/>
  <c r="A39" i="9"/>
  <c r="A37" i="7"/>
  <c r="A39" i="7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W38" i="7"/>
  <c r="T38" i="7"/>
  <c r="U38" i="7" s="1"/>
  <c r="R38" i="7"/>
  <c r="S38" i="7" s="1"/>
  <c r="H38" i="7"/>
  <c r="C38" i="7"/>
  <c r="B38" i="7"/>
  <c r="AU349" i="3" l="1"/>
  <c r="AU350" i="3"/>
  <c r="AU351" i="3"/>
  <c r="AU352" i="3"/>
  <c r="AT27" i="3"/>
  <c r="U43" i="11"/>
  <c r="W59" i="16"/>
  <c r="Y59" i="16" s="1"/>
  <c r="X59" i="16" s="1"/>
  <c r="AE59" i="9" s="1"/>
  <c r="H51" i="14"/>
  <c r="U60" i="16"/>
  <c r="V60" i="16" s="1"/>
  <c r="W60" i="16" s="1"/>
  <c r="H59" i="16"/>
  <c r="Z59" i="16" s="1"/>
  <c r="Z58" i="16"/>
  <c r="B14" i="16"/>
  <c r="J14" i="16"/>
  <c r="D14" i="16"/>
  <c r="L14" i="16"/>
  <c r="U14" i="16"/>
  <c r="E14" i="16"/>
  <c r="M14" i="16"/>
  <c r="V14" i="16"/>
  <c r="F14" i="16"/>
  <c r="A13" i="16"/>
  <c r="Q14" i="16"/>
  <c r="Y14" i="16"/>
  <c r="W14" i="16"/>
  <c r="K14" i="16"/>
  <c r="Z14" i="16"/>
  <c r="O14" i="16"/>
  <c r="I14" i="16"/>
  <c r="R14" i="16"/>
  <c r="S14" i="16"/>
  <c r="C14" i="16"/>
  <c r="T14" i="16"/>
  <c r="X14" i="16"/>
  <c r="AE14" i="9" s="1"/>
  <c r="P14" i="16"/>
  <c r="G60" i="16"/>
  <c r="R60" i="16" s="1"/>
  <c r="U61" i="16" s="1"/>
  <c r="Q60" i="16"/>
  <c r="G15" i="16"/>
  <c r="H15" i="16" s="1"/>
  <c r="K61" i="16"/>
  <c r="L61" i="16"/>
  <c r="E61" i="16"/>
  <c r="S61" i="16" s="1"/>
  <c r="D61" i="16"/>
  <c r="F61" i="16"/>
  <c r="T61" i="16" s="1"/>
  <c r="C61" i="16"/>
  <c r="I62" i="16"/>
  <c r="J62" i="16"/>
  <c r="M62" i="16"/>
  <c r="A63" i="16"/>
  <c r="B62" i="16"/>
  <c r="O61" i="16"/>
  <c r="P61" i="16"/>
  <c r="Z53" i="10"/>
  <c r="Z57" i="10"/>
  <c r="Z63" i="10"/>
  <c r="Z65" i="10"/>
  <c r="Z67" i="10"/>
  <c r="Z69" i="10"/>
  <c r="Z71" i="10"/>
  <c r="Z73" i="10"/>
  <c r="Z81" i="10"/>
  <c r="Z83" i="10"/>
  <c r="Z85" i="10"/>
  <c r="Z87" i="10"/>
  <c r="Z91" i="10"/>
  <c r="Z93" i="10"/>
  <c r="Z95" i="10"/>
  <c r="Z97" i="10"/>
  <c r="Z54" i="10"/>
  <c r="Z56" i="10"/>
  <c r="Z62" i="10"/>
  <c r="Z64" i="10"/>
  <c r="Z66" i="10"/>
  <c r="Z68" i="10"/>
  <c r="Z70" i="10"/>
  <c r="Z72" i="10"/>
  <c r="Z80" i="10"/>
  <c r="Z82" i="10"/>
  <c r="Z86" i="10"/>
  <c r="Z92" i="10"/>
  <c r="Z94" i="10"/>
  <c r="Z96" i="10"/>
  <c r="Z102" i="10"/>
  <c r="Z110" i="10"/>
  <c r="Z112" i="10"/>
  <c r="Z114" i="10"/>
  <c r="Z118" i="10"/>
  <c r="Z122" i="10"/>
  <c r="Z124" i="10"/>
  <c r="Z126" i="10"/>
  <c r="Z128" i="10"/>
  <c r="Z132" i="10"/>
  <c r="Z134" i="10"/>
  <c r="Z136" i="10"/>
  <c r="Z138" i="10"/>
  <c r="Z140" i="10"/>
  <c r="Z142" i="10"/>
  <c r="Z148" i="10"/>
  <c r="Z150" i="10"/>
  <c r="Z152" i="10"/>
  <c r="Z154" i="10"/>
  <c r="Z107" i="10"/>
  <c r="Z108" i="10"/>
  <c r="Z106" i="10"/>
  <c r="Z109" i="10"/>
  <c r="Z111" i="10"/>
  <c r="Z113" i="10"/>
  <c r="Z115" i="10"/>
  <c r="Z117" i="10"/>
  <c r="Z123" i="10"/>
  <c r="Z125" i="10"/>
  <c r="Z127" i="10"/>
  <c r="Z131" i="10"/>
  <c r="Z133" i="10"/>
  <c r="Z135" i="10"/>
  <c r="Z137" i="10"/>
  <c r="Z139" i="10"/>
  <c r="Z141" i="10"/>
  <c r="Z147" i="10"/>
  <c r="Z149" i="10"/>
  <c r="Z151" i="10"/>
  <c r="Z153" i="10"/>
  <c r="Z155" i="10"/>
  <c r="Z157" i="10"/>
  <c r="Z159" i="10"/>
  <c r="Z161" i="10"/>
  <c r="Z163" i="10"/>
  <c r="Z165" i="10"/>
  <c r="Z167" i="10"/>
  <c r="Z169" i="10"/>
  <c r="Z171" i="10"/>
  <c r="Z173" i="10"/>
  <c r="Z175" i="10"/>
  <c r="Z177" i="10"/>
  <c r="Z179" i="10"/>
  <c r="Z181" i="10"/>
  <c r="Z189" i="10"/>
  <c r="Z191" i="10"/>
  <c r="Z156" i="10"/>
  <c r="Z158" i="10"/>
  <c r="Z160" i="10"/>
  <c r="Z162" i="10"/>
  <c r="Z164" i="10"/>
  <c r="Z166" i="10"/>
  <c r="Z168" i="10"/>
  <c r="Z170" i="10"/>
  <c r="Z172" i="10"/>
  <c r="Z174" i="10"/>
  <c r="Z176" i="10"/>
  <c r="Z178" i="10"/>
  <c r="Z180" i="10"/>
  <c r="Z184" i="10"/>
  <c r="Z186" i="10"/>
  <c r="Z190" i="10"/>
  <c r="Z192" i="10"/>
  <c r="Z194" i="10"/>
  <c r="Z196" i="10"/>
  <c r="Z197" i="10"/>
  <c r="Z198" i="10"/>
  <c r="Z199" i="10"/>
  <c r="Z200" i="10"/>
  <c r="Z202" i="10"/>
  <c r="Z204" i="10"/>
  <c r="Z206" i="10"/>
  <c r="Z208" i="10"/>
  <c r="Z210" i="10"/>
  <c r="Z212" i="10"/>
  <c r="Z214" i="10"/>
  <c r="Z216" i="10"/>
  <c r="Z218" i="10"/>
  <c r="Z220" i="10"/>
  <c r="Z222" i="10"/>
  <c r="Z224" i="10"/>
  <c r="Z226" i="10"/>
  <c r="Z228" i="10"/>
  <c r="Z230" i="10"/>
  <c r="Z240" i="10"/>
  <c r="Z246" i="10"/>
  <c r="Z195" i="10"/>
  <c r="Z207" i="10"/>
  <c r="Z223" i="10"/>
  <c r="Z239" i="10"/>
  <c r="Z213" i="10"/>
  <c r="Z229" i="10"/>
  <c r="Z203" i="10"/>
  <c r="Z219" i="10"/>
  <c r="Z235" i="10"/>
  <c r="Z249" i="10"/>
  <c r="Z251" i="10"/>
  <c r="Z253" i="10"/>
  <c r="Z255" i="10"/>
  <c r="Z257" i="10"/>
  <c r="Z259" i="10"/>
  <c r="Z261" i="10"/>
  <c r="Z263" i="10"/>
  <c r="Z271" i="10"/>
  <c r="Z275" i="10"/>
  <c r="Z277" i="10"/>
  <c r="Z279" i="10"/>
  <c r="Z281" i="10"/>
  <c r="Z283" i="10"/>
  <c r="Z285" i="10"/>
  <c r="Z287" i="10"/>
  <c r="Z289" i="10"/>
  <c r="Z291" i="10"/>
  <c r="Z295" i="10"/>
  <c r="Z299" i="10"/>
  <c r="Z301" i="10"/>
  <c r="Z303" i="10"/>
  <c r="Z209" i="10"/>
  <c r="Z225" i="10"/>
  <c r="Z241" i="10"/>
  <c r="Z215" i="10"/>
  <c r="Z231" i="10"/>
  <c r="Z205" i="10"/>
  <c r="Z221" i="10"/>
  <c r="Z237" i="10"/>
  <c r="Z245" i="10"/>
  <c r="Z211" i="10"/>
  <c r="Z227" i="10"/>
  <c r="Z248" i="10"/>
  <c r="Z250" i="10"/>
  <c r="Z252" i="10"/>
  <c r="Z254" i="10"/>
  <c r="Z256" i="10"/>
  <c r="Z258" i="10"/>
  <c r="Z260" i="10"/>
  <c r="Z262" i="10"/>
  <c r="Z268" i="10"/>
  <c r="Z270" i="10"/>
  <c r="Z274" i="10"/>
  <c r="Z280" i="10"/>
  <c r="Z282" i="10"/>
  <c r="Z284" i="10"/>
  <c r="Z286" i="10"/>
  <c r="Z288" i="10"/>
  <c r="Z290" i="10"/>
  <c r="Z292" i="10"/>
  <c r="Z294" i="10"/>
  <c r="Z296" i="10"/>
  <c r="Z298" i="10"/>
  <c r="Z300" i="10"/>
  <c r="Z302" i="10"/>
  <c r="Z304" i="10"/>
  <c r="Z305" i="10"/>
  <c r="Z307" i="10"/>
  <c r="Z309" i="10"/>
  <c r="Z311" i="10"/>
  <c r="Z315" i="10"/>
  <c r="Z317" i="10"/>
  <c r="Z319" i="10"/>
  <c r="Z321" i="10"/>
  <c r="Z323" i="10"/>
  <c r="Z325" i="10"/>
  <c r="Z327" i="10"/>
  <c r="Z329" i="10"/>
  <c r="Z331" i="10"/>
  <c r="Z333" i="10"/>
  <c r="Z335" i="10"/>
  <c r="Z337" i="10"/>
  <c r="Z339" i="10"/>
  <c r="Z341" i="10"/>
  <c r="Z343" i="10"/>
  <c r="Z201" i="10"/>
  <c r="Z217" i="10"/>
  <c r="Z306" i="10"/>
  <c r="Z308" i="10"/>
  <c r="Z310" i="10"/>
  <c r="Z312" i="10"/>
  <c r="Z314" i="10"/>
  <c r="Z316" i="10"/>
  <c r="Z318" i="10"/>
  <c r="Z320" i="10"/>
  <c r="Z322" i="10"/>
  <c r="Z324" i="10"/>
  <c r="Z326" i="10"/>
  <c r="Z328" i="10"/>
  <c r="Z330" i="10"/>
  <c r="Z332" i="10"/>
  <c r="Z334" i="10"/>
  <c r="Z336" i="10"/>
  <c r="Z338" i="10"/>
  <c r="Z340" i="10"/>
  <c r="Z342" i="10"/>
  <c r="Z344" i="10"/>
  <c r="Z346" i="10"/>
  <c r="Z347" i="10"/>
  <c r="Z32" i="10"/>
  <c r="Z49" i="10"/>
  <c r="Z48" i="10"/>
  <c r="Z40" i="10"/>
  <c r="Z47" i="10"/>
  <c r="Z31" i="10"/>
  <c r="Z46" i="10"/>
  <c r="Z30" i="10"/>
  <c r="J25" i="14"/>
  <c r="K25" i="14"/>
  <c r="J52" i="14"/>
  <c r="K52" i="14"/>
  <c r="F52" i="14"/>
  <c r="I52" i="14"/>
  <c r="L52" i="14" s="1"/>
  <c r="I25" i="14"/>
  <c r="L25" i="14"/>
  <c r="S55" i="15"/>
  <c r="I19" i="15"/>
  <c r="Q19" i="15"/>
  <c r="AC19" i="15"/>
  <c r="C19" i="15"/>
  <c r="K19" i="15"/>
  <c r="S19" i="15"/>
  <c r="AF19" i="15"/>
  <c r="D19" i="15"/>
  <c r="L19" i="15"/>
  <c r="T19" i="15"/>
  <c r="AJ19" i="15"/>
  <c r="E19" i="15"/>
  <c r="M19" i="15"/>
  <c r="U19" i="15"/>
  <c r="AK19" i="15"/>
  <c r="H19" i="15"/>
  <c r="P19" i="15"/>
  <c r="Y19" i="15"/>
  <c r="F19" i="15"/>
  <c r="AE19" i="15"/>
  <c r="J19" i="15"/>
  <c r="A18" i="15"/>
  <c r="O19" i="15"/>
  <c r="G19" i="15"/>
  <c r="R19" i="15"/>
  <c r="N19" i="15"/>
  <c r="V19" i="15"/>
  <c r="W19" i="15"/>
  <c r="M56" i="15"/>
  <c r="N56" i="15" s="1"/>
  <c r="O56" i="15" s="1"/>
  <c r="P56" i="15" s="1"/>
  <c r="Q56" i="15"/>
  <c r="R56" i="15" s="1"/>
  <c r="F57" i="15"/>
  <c r="W57" i="15"/>
  <c r="A58" i="15"/>
  <c r="G57" i="15"/>
  <c r="Y57" i="15"/>
  <c r="H57" i="15"/>
  <c r="AC57" i="15"/>
  <c r="I57" i="15"/>
  <c r="AE57" i="15"/>
  <c r="K57" i="15"/>
  <c r="AJ57" i="15"/>
  <c r="J57" i="15"/>
  <c r="AO57" i="15"/>
  <c r="L57" i="15"/>
  <c r="AK57" i="15"/>
  <c r="AF57" i="15"/>
  <c r="E57" i="15"/>
  <c r="U56" i="15"/>
  <c r="V56" i="15" s="1"/>
  <c r="AU264" i="3"/>
  <c r="AU265" i="3"/>
  <c r="AU266" i="3"/>
  <c r="AU267" i="3"/>
  <c r="AU268" i="3"/>
  <c r="AU269" i="3"/>
  <c r="AU162" i="3"/>
  <c r="AU163" i="3"/>
  <c r="AU164" i="3"/>
  <c r="G25" i="14"/>
  <c r="H25" i="14"/>
  <c r="S30" i="11"/>
  <c r="F30" i="11"/>
  <c r="E30" i="11"/>
  <c r="Q30" i="11"/>
  <c r="P30" i="11"/>
  <c r="T30" i="11"/>
  <c r="R30" i="11"/>
  <c r="U30" i="11"/>
  <c r="L30" i="11"/>
  <c r="J30" i="11"/>
  <c r="G30" i="11"/>
  <c r="O30" i="11"/>
  <c r="K30" i="11"/>
  <c r="H30" i="11"/>
  <c r="M30" i="11"/>
  <c r="N30" i="11"/>
  <c r="N37" i="7"/>
  <c r="P37" i="7"/>
  <c r="R37" i="7"/>
  <c r="U37" i="7"/>
  <c r="X37" i="7"/>
  <c r="I37" i="7"/>
  <c r="L37" i="7"/>
  <c r="A36" i="7"/>
  <c r="H36" i="7" s="1"/>
  <c r="F37" i="7"/>
  <c r="O37" i="7"/>
  <c r="M37" i="7"/>
  <c r="Q37" i="7"/>
  <c r="S37" i="7"/>
  <c r="V37" i="7"/>
  <c r="B37" i="7"/>
  <c r="Y37" i="7"/>
  <c r="E37" i="7"/>
  <c r="D37" i="7"/>
  <c r="AB37" i="7"/>
  <c r="G37" i="7"/>
  <c r="AA37" i="7"/>
  <c r="J37" i="7"/>
  <c r="R37" i="9"/>
  <c r="P37" i="9"/>
  <c r="N37" i="9"/>
  <c r="O37" i="9"/>
  <c r="Q37" i="9"/>
  <c r="X37" i="9"/>
  <c r="Z37" i="9"/>
  <c r="S37" i="9"/>
  <c r="AA37" i="9"/>
  <c r="T37" i="9"/>
  <c r="AB37" i="9"/>
  <c r="Y37" i="9"/>
  <c r="U37" i="9"/>
  <c r="W37" i="9"/>
  <c r="M37" i="9"/>
  <c r="V37" i="9"/>
  <c r="AC37" i="9"/>
  <c r="AU181" i="3"/>
  <c r="AU28" i="3"/>
  <c r="A53" i="14"/>
  <c r="E52" i="14"/>
  <c r="G52" i="14" s="1"/>
  <c r="N44" i="11"/>
  <c r="T44" i="11" s="1"/>
  <c r="F25" i="14"/>
  <c r="A24" i="14"/>
  <c r="E25" i="14"/>
  <c r="A24" i="13"/>
  <c r="B24" i="13" s="1"/>
  <c r="D134" i="3"/>
  <c r="B52" i="13"/>
  <c r="A53" i="13"/>
  <c r="AG38" i="6"/>
  <c r="R69" i="7"/>
  <c r="S69" i="7" s="1"/>
  <c r="A70" i="7"/>
  <c r="R45" i="11"/>
  <c r="Q45" i="11"/>
  <c r="S45" i="11"/>
  <c r="L45" i="11"/>
  <c r="O45" i="11" s="1"/>
  <c r="K45" i="11"/>
  <c r="J45" i="11"/>
  <c r="M45" i="11" s="1"/>
  <c r="A29" i="11"/>
  <c r="I30" i="11"/>
  <c r="E46" i="11"/>
  <c r="G46" i="11" s="1"/>
  <c r="A47" i="11"/>
  <c r="F47" i="11" s="1"/>
  <c r="P46" i="11"/>
  <c r="I46" i="11"/>
  <c r="H46" i="11"/>
  <c r="AU257" i="3"/>
  <c r="L26" i="10"/>
  <c r="K27" i="10"/>
  <c r="AA27" i="10" s="1"/>
  <c r="AU33" i="3"/>
  <c r="AU37" i="3"/>
  <c r="AU36" i="3"/>
  <c r="AU35" i="3"/>
  <c r="AU39" i="3"/>
  <c r="AU34" i="3"/>
  <c r="AU38" i="3"/>
  <c r="AU41" i="3"/>
  <c r="AU42" i="3"/>
  <c r="AU44" i="3"/>
  <c r="AU43" i="3"/>
  <c r="AV27" i="3"/>
  <c r="AV26" i="3" s="1"/>
  <c r="AU50" i="3"/>
  <c r="AU51" i="3"/>
  <c r="AU52" i="3"/>
  <c r="D132" i="3"/>
  <c r="D133" i="3"/>
  <c r="AU45" i="3"/>
  <c r="AU60" i="3"/>
  <c r="AU76" i="3"/>
  <c r="AU84" i="3"/>
  <c r="AU98" i="3"/>
  <c r="AU103" i="3"/>
  <c r="AU119" i="3"/>
  <c r="AU125" i="3"/>
  <c r="AU130" i="3"/>
  <c r="AU140" i="3"/>
  <c r="AU145" i="3"/>
  <c r="AU150" i="3"/>
  <c r="AU161" i="3"/>
  <c r="AU49" i="3"/>
  <c r="AU55" i="3"/>
  <c r="AU61" i="3"/>
  <c r="AU77" i="3"/>
  <c r="AU88" i="3"/>
  <c r="AU99" i="3"/>
  <c r="AU104" i="3"/>
  <c r="AU120" i="3"/>
  <c r="AU126" i="3"/>
  <c r="AU137" i="3"/>
  <c r="AU141" i="3"/>
  <c r="AU147" i="3"/>
  <c r="AU152" i="3"/>
  <c r="AU168" i="3"/>
  <c r="AU58" i="3"/>
  <c r="AU78" i="3"/>
  <c r="AU100" i="3"/>
  <c r="AU121" i="3"/>
  <c r="AU138" i="3"/>
  <c r="AU148" i="3"/>
  <c r="AU171" i="3"/>
  <c r="AU182" i="3"/>
  <c r="AU196" i="3"/>
  <c r="AU210" i="3"/>
  <c r="AU223" i="3"/>
  <c r="AU229" i="3"/>
  <c r="AU234" i="3"/>
  <c r="AU243" i="3"/>
  <c r="AU256" i="3"/>
  <c r="AU272" i="3"/>
  <c r="AU276" i="3"/>
  <c r="AU282" i="3"/>
  <c r="AU289" i="3"/>
  <c r="AU297" i="3"/>
  <c r="AU304" i="3"/>
  <c r="AU308" i="3"/>
  <c r="AU313" i="3"/>
  <c r="AU318" i="3"/>
  <c r="AU324" i="3"/>
  <c r="AU74" i="3"/>
  <c r="AU89" i="3"/>
  <c r="AU105" i="3"/>
  <c r="AU128" i="3"/>
  <c r="AU142" i="3"/>
  <c r="AU75" i="3"/>
  <c r="AU90" i="3"/>
  <c r="AU116" i="3"/>
  <c r="AU129" i="3"/>
  <c r="AU144" i="3"/>
  <c r="AU157" i="3"/>
  <c r="AU183" i="3"/>
  <c r="AU199" i="3"/>
  <c r="AU215" i="3"/>
  <c r="AU224" i="3"/>
  <c r="AU231" i="3"/>
  <c r="AU236" i="3"/>
  <c r="AU244" i="3"/>
  <c r="AU273" i="3"/>
  <c r="AU278" i="3"/>
  <c r="AU284" i="3"/>
  <c r="AU290" i="3"/>
  <c r="AU298" i="3"/>
  <c r="AU305" i="3"/>
  <c r="AU310" i="3"/>
  <c r="AU314" i="3"/>
  <c r="AU321" i="3"/>
  <c r="AU156" i="3"/>
  <c r="AU79" i="3"/>
  <c r="AU149" i="3"/>
  <c r="AU185" i="3"/>
  <c r="AU217" i="3"/>
  <c r="AU232" i="3"/>
  <c r="AU247" i="3"/>
  <c r="AU280" i="3"/>
  <c r="AU293" i="3"/>
  <c r="AU306" i="3"/>
  <c r="AU315" i="3"/>
  <c r="AU225" i="3"/>
  <c r="AU286" i="3"/>
  <c r="AU311" i="3"/>
  <c r="AU59" i="3"/>
  <c r="AU188" i="3"/>
  <c r="AU233" i="3"/>
  <c r="AU270" i="3"/>
  <c r="AU296" i="3"/>
  <c r="AU317" i="3"/>
  <c r="AU101" i="3"/>
  <c r="AU172" i="3"/>
  <c r="AU176" i="3"/>
  <c r="AU205" i="3"/>
  <c r="AU228" i="3"/>
  <c r="AU242" i="3"/>
  <c r="AU275" i="3"/>
  <c r="AU288" i="3"/>
  <c r="AU302" i="3"/>
  <c r="AU312" i="3"/>
  <c r="AU323" i="3"/>
  <c r="AU124" i="3"/>
  <c r="AU175" i="3"/>
  <c r="AU200" i="3"/>
  <c r="AU238" i="3"/>
  <c r="AU274" i="3"/>
  <c r="AU300" i="3"/>
  <c r="AU322" i="3"/>
  <c r="AU139" i="3"/>
  <c r="AU218" i="3"/>
  <c r="AU249" i="3"/>
  <c r="AU281" i="3"/>
  <c r="AU307" i="3"/>
  <c r="E131" i="3"/>
  <c r="C37" i="7"/>
  <c r="H37" i="9"/>
  <c r="E37" i="9"/>
  <c r="I37" i="9"/>
  <c r="F37" i="9"/>
  <c r="G37" i="9"/>
  <c r="F39" i="9"/>
  <c r="G39" i="9"/>
  <c r="H39" i="9"/>
  <c r="E39" i="9"/>
  <c r="I39" i="9"/>
  <c r="T45" i="7"/>
  <c r="U45" i="7" s="1"/>
  <c r="H37" i="7"/>
  <c r="T37" i="7"/>
  <c r="A36" i="9"/>
  <c r="J36" i="9" s="1"/>
  <c r="A40" i="9"/>
  <c r="H43" i="7"/>
  <c r="N43" i="7" s="1"/>
  <c r="R44" i="7"/>
  <c r="S44" i="7" s="1"/>
  <c r="B46" i="7"/>
  <c r="C42" i="7"/>
  <c r="D42" i="7" s="1"/>
  <c r="W37" i="7"/>
  <c r="Z37" i="7" s="1"/>
  <c r="R60" i="7"/>
  <c r="S60" i="7" s="1"/>
  <c r="T61" i="7"/>
  <c r="U61" i="7" s="1"/>
  <c r="B62" i="7"/>
  <c r="C58" i="7"/>
  <c r="D58" i="7" s="1"/>
  <c r="H59" i="7"/>
  <c r="N59" i="7" s="1"/>
  <c r="B54" i="7"/>
  <c r="C66" i="7"/>
  <c r="D66" i="7" s="1"/>
  <c r="H67" i="7"/>
  <c r="I67" i="7" s="1"/>
  <c r="R68" i="7"/>
  <c r="S68" i="7" s="1"/>
  <c r="T69" i="7"/>
  <c r="U69" i="7" s="1"/>
  <c r="C50" i="7"/>
  <c r="D50" i="7" s="1"/>
  <c r="H51" i="7"/>
  <c r="K51" i="7" s="1"/>
  <c r="L51" i="7" s="1"/>
  <c r="R52" i="7"/>
  <c r="S52" i="7" s="1"/>
  <c r="T53" i="7"/>
  <c r="U53" i="7" s="1"/>
  <c r="W54" i="7"/>
  <c r="Z54" i="7" s="1"/>
  <c r="AA54" i="7" s="1"/>
  <c r="B60" i="7"/>
  <c r="B44" i="7"/>
  <c r="B50" i="7"/>
  <c r="C46" i="7"/>
  <c r="D46" i="7" s="1"/>
  <c r="C54" i="7"/>
  <c r="D54" i="7" s="1"/>
  <c r="C62" i="7"/>
  <c r="F62" i="7" s="1"/>
  <c r="H39" i="7"/>
  <c r="P39" i="7" s="1"/>
  <c r="H47" i="7"/>
  <c r="P47" i="7" s="1"/>
  <c r="H55" i="7"/>
  <c r="P55" i="7" s="1"/>
  <c r="H63" i="7"/>
  <c r="K63" i="7" s="1"/>
  <c r="L63" i="7" s="1"/>
  <c r="R40" i="7"/>
  <c r="S40" i="7" s="1"/>
  <c r="R48" i="7"/>
  <c r="S48" i="7" s="1"/>
  <c r="R56" i="7"/>
  <c r="S56" i="7" s="1"/>
  <c r="R64" i="7"/>
  <c r="S64" i="7" s="1"/>
  <c r="T41" i="7"/>
  <c r="U41" i="7" s="1"/>
  <c r="T49" i="7"/>
  <c r="U49" i="7" s="1"/>
  <c r="T57" i="7"/>
  <c r="U57" i="7" s="1"/>
  <c r="T65" i="7"/>
  <c r="U65" i="7" s="1"/>
  <c r="W42" i="7"/>
  <c r="X42" i="7" s="1"/>
  <c r="W50" i="7"/>
  <c r="Z50" i="7" s="1"/>
  <c r="AA50" i="7" s="1"/>
  <c r="W62" i="7"/>
  <c r="X62" i="7" s="1"/>
  <c r="B68" i="7"/>
  <c r="B52" i="7"/>
  <c r="B66" i="7"/>
  <c r="B58" i="7"/>
  <c r="B42" i="7"/>
  <c r="B64" i="7"/>
  <c r="B56" i="7"/>
  <c r="B48" i="7"/>
  <c r="B40" i="7"/>
  <c r="C40" i="7"/>
  <c r="F40" i="7" s="1"/>
  <c r="C48" i="7"/>
  <c r="F48" i="7" s="1"/>
  <c r="C56" i="7"/>
  <c r="D56" i="7" s="1"/>
  <c r="C64" i="7"/>
  <c r="D64" i="7" s="1"/>
  <c r="H41" i="7"/>
  <c r="K41" i="7" s="1"/>
  <c r="L41" i="7" s="1"/>
  <c r="H49" i="7"/>
  <c r="P49" i="7" s="1"/>
  <c r="H57" i="7"/>
  <c r="N57" i="7" s="1"/>
  <c r="H65" i="7"/>
  <c r="N65" i="7" s="1"/>
  <c r="R42" i="7"/>
  <c r="S42" i="7" s="1"/>
  <c r="R50" i="7"/>
  <c r="S50" i="7" s="1"/>
  <c r="R58" i="7"/>
  <c r="S58" i="7" s="1"/>
  <c r="R66" i="7"/>
  <c r="S66" i="7" s="1"/>
  <c r="T43" i="7"/>
  <c r="U43" i="7" s="1"/>
  <c r="T51" i="7"/>
  <c r="U51" i="7" s="1"/>
  <c r="T59" i="7"/>
  <c r="U59" i="7" s="1"/>
  <c r="T67" i="7"/>
  <c r="U67" i="7" s="1"/>
  <c r="W44" i="7"/>
  <c r="X44" i="7" s="1"/>
  <c r="W52" i="7"/>
  <c r="Z52" i="7" s="1"/>
  <c r="AA52" i="7" s="1"/>
  <c r="W66" i="7"/>
  <c r="Z66" i="7" s="1"/>
  <c r="W46" i="7"/>
  <c r="Z46" i="7" s="1"/>
  <c r="AA46" i="7" s="1"/>
  <c r="C44" i="7"/>
  <c r="D44" i="7" s="1"/>
  <c r="C52" i="7"/>
  <c r="F52" i="7" s="1"/>
  <c r="C60" i="7"/>
  <c r="D60" i="7" s="1"/>
  <c r="C68" i="7"/>
  <c r="D68" i="7" s="1"/>
  <c r="H45" i="7"/>
  <c r="K45" i="7" s="1"/>
  <c r="L45" i="7" s="1"/>
  <c r="H53" i="7"/>
  <c r="N53" i="7" s="1"/>
  <c r="H61" i="7"/>
  <c r="I61" i="7" s="1"/>
  <c r="H69" i="7"/>
  <c r="P69" i="7" s="1"/>
  <c r="R46" i="7"/>
  <c r="S46" i="7" s="1"/>
  <c r="R54" i="7"/>
  <c r="S54" i="7" s="1"/>
  <c r="R62" i="7"/>
  <c r="S62" i="7" s="1"/>
  <c r="T39" i="7"/>
  <c r="U39" i="7" s="1"/>
  <c r="T47" i="7"/>
  <c r="U47" i="7" s="1"/>
  <c r="T55" i="7"/>
  <c r="U55" i="7" s="1"/>
  <c r="T63" i="7"/>
  <c r="U63" i="7" s="1"/>
  <c r="W40" i="7"/>
  <c r="Z40" i="7" s="1"/>
  <c r="AA40" i="7" s="1"/>
  <c r="W48" i="7"/>
  <c r="Z48" i="7" s="1"/>
  <c r="AA48" i="7" s="1"/>
  <c r="W58" i="7"/>
  <c r="X58" i="7" s="1"/>
  <c r="W56" i="7"/>
  <c r="X56" i="7" s="1"/>
  <c r="W60" i="7"/>
  <c r="Z60" i="7" s="1"/>
  <c r="W64" i="7"/>
  <c r="Z64" i="7" s="1"/>
  <c r="W68" i="7"/>
  <c r="Z68" i="7" s="1"/>
  <c r="B69" i="7"/>
  <c r="B65" i="7"/>
  <c r="B61" i="7"/>
  <c r="B57" i="7"/>
  <c r="B53" i="7"/>
  <c r="B49" i="7"/>
  <c r="B45" i="7"/>
  <c r="B41" i="7"/>
  <c r="C41" i="7"/>
  <c r="D41" i="7" s="1"/>
  <c r="C45" i="7"/>
  <c r="D45" i="7" s="1"/>
  <c r="C49" i="7"/>
  <c r="F49" i="7" s="1"/>
  <c r="C53" i="7"/>
  <c r="D53" i="7" s="1"/>
  <c r="C57" i="7"/>
  <c r="F57" i="7" s="1"/>
  <c r="C61" i="7"/>
  <c r="D61" i="7" s="1"/>
  <c r="C65" i="7"/>
  <c r="D65" i="7" s="1"/>
  <c r="C69" i="7"/>
  <c r="D69" i="7" s="1"/>
  <c r="H42" i="7"/>
  <c r="N42" i="7" s="1"/>
  <c r="H46" i="7"/>
  <c r="I46" i="7" s="1"/>
  <c r="H50" i="7"/>
  <c r="K50" i="7" s="1"/>
  <c r="L50" i="7" s="1"/>
  <c r="H54" i="7"/>
  <c r="P54" i="7" s="1"/>
  <c r="H58" i="7"/>
  <c r="P58" i="7" s="1"/>
  <c r="H62" i="7"/>
  <c r="I62" i="7" s="1"/>
  <c r="H66" i="7"/>
  <c r="K66" i="7" s="1"/>
  <c r="L66" i="7" s="1"/>
  <c r="R39" i="7"/>
  <c r="S39" i="7" s="1"/>
  <c r="R43" i="7"/>
  <c r="S43" i="7" s="1"/>
  <c r="R47" i="7"/>
  <c r="S47" i="7" s="1"/>
  <c r="R51" i="7"/>
  <c r="S51" i="7" s="1"/>
  <c r="R55" i="7"/>
  <c r="S55" i="7" s="1"/>
  <c r="R59" i="7"/>
  <c r="S59" i="7" s="1"/>
  <c r="R63" i="7"/>
  <c r="S63" i="7" s="1"/>
  <c r="R67" i="7"/>
  <c r="S67" i="7" s="1"/>
  <c r="T40" i="7"/>
  <c r="U40" i="7" s="1"/>
  <c r="T44" i="7"/>
  <c r="U44" i="7" s="1"/>
  <c r="T48" i="7"/>
  <c r="U48" i="7" s="1"/>
  <c r="T52" i="7"/>
  <c r="U52" i="7" s="1"/>
  <c r="T56" i="7"/>
  <c r="U56" i="7" s="1"/>
  <c r="T60" i="7"/>
  <c r="U60" i="7" s="1"/>
  <c r="T64" i="7"/>
  <c r="U64" i="7" s="1"/>
  <c r="T68" i="7"/>
  <c r="U68" i="7" s="1"/>
  <c r="W41" i="7"/>
  <c r="Z41" i="7" s="1"/>
  <c r="AA41" i="7" s="1"/>
  <c r="W45" i="7"/>
  <c r="Z45" i="7" s="1"/>
  <c r="AA45" i="7" s="1"/>
  <c r="W49" i="7"/>
  <c r="Z49" i="7" s="1"/>
  <c r="AA49" i="7" s="1"/>
  <c r="W53" i="7"/>
  <c r="Z53" i="7" s="1"/>
  <c r="AA53" i="7" s="1"/>
  <c r="W57" i="7"/>
  <c r="Z57" i="7" s="1"/>
  <c r="AA57" i="7" s="1"/>
  <c r="W61" i="7"/>
  <c r="X61" i="7" s="1"/>
  <c r="W65" i="7"/>
  <c r="Z65" i="7" s="1"/>
  <c r="W69" i="7"/>
  <c r="X69" i="7" s="1"/>
  <c r="B67" i="7"/>
  <c r="B63" i="7"/>
  <c r="B59" i="7"/>
  <c r="B55" i="7"/>
  <c r="B51" i="7"/>
  <c r="B47" i="7"/>
  <c r="B43" i="7"/>
  <c r="B39" i="7"/>
  <c r="C39" i="7"/>
  <c r="F39" i="7" s="1"/>
  <c r="C43" i="7"/>
  <c r="F43" i="7" s="1"/>
  <c r="C47" i="7"/>
  <c r="D47" i="7" s="1"/>
  <c r="C51" i="7"/>
  <c r="F51" i="7" s="1"/>
  <c r="C55" i="7"/>
  <c r="D55" i="7" s="1"/>
  <c r="C59" i="7"/>
  <c r="F59" i="7" s="1"/>
  <c r="C63" i="7"/>
  <c r="D63" i="7" s="1"/>
  <c r="C67" i="7"/>
  <c r="F67" i="7" s="1"/>
  <c r="H40" i="7"/>
  <c r="P40" i="7" s="1"/>
  <c r="H44" i="7"/>
  <c r="P44" i="7" s="1"/>
  <c r="H48" i="7"/>
  <c r="P48" i="7" s="1"/>
  <c r="H52" i="7"/>
  <c r="P52" i="7" s="1"/>
  <c r="H56" i="7"/>
  <c r="P56" i="7" s="1"/>
  <c r="H60" i="7"/>
  <c r="P60" i="7" s="1"/>
  <c r="H64" i="7"/>
  <c r="P64" i="7" s="1"/>
  <c r="H68" i="7"/>
  <c r="P68" i="7" s="1"/>
  <c r="R41" i="7"/>
  <c r="S41" i="7" s="1"/>
  <c r="R45" i="7"/>
  <c r="S45" i="7" s="1"/>
  <c r="R49" i="7"/>
  <c r="S49" i="7" s="1"/>
  <c r="R53" i="7"/>
  <c r="S53" i="7" s="1"/>
  <c r="R57" i="7"/>
  <c r="S57" i="7" s="1"/>
  <c r="R61" i="7"/>
  <c r="S61" i="7" s="1"/>
  <c r="R65" i="7"/>
  <c r="S65" i="7" s="1"/>
  <c r="T42" i="7"/>
  <c r="U42" i="7" s="1"/>
  <c r="T46" i="7"/>
  <c r="U46" i="7" s="1"/>
  <c r="T50" i="7"/>
  <c r="U50" i="7" s="1"/>
  <c r="T54" i="7"/>
  <c r="U54" i="7" s="1"/>
  <c r="T58" i="7"/>
  <c r="U58" i="7" s="1"/>
  <c r="T62" i="7"/>
  <c r="U62" i="7" s="1"/>
  <c r="T66" i="7"/>
  <c r="U66" i="7" s="1"/>
  <c r="W39" i="7"/>
  <c r="X39" i="7" s="1"/>
  <c r="W43" i="7"/>
  <c r="X43" i="7" s="1"/>
  <c r="W47" i="7"/>
  <c r="X47" i="7" s="1"/>
  <c r="W51" i="7"/>
  <c r="X51" i="7" s="1"/>
  <c r="W55" i="7"/>
  <c r="X55" i="7" s="1"/>
  <c r="W59" i="7"/>
  <c r="X59" i="7" s="1"/>
  <c r="W63" i="7"/>
  <c r="X63" i="7" s="1"/>
  <c r="W67" i="7"/>
  <c r="Z67" i="7" s="1"/>
  <c r="F38" i="7"/>
  <c r="D38" i="7"/>
  <c r="Z38" i="7"/>
  <c r="AA38" i="7" s="1"/>
  <c r="X38" i="7"/>
  <c r="P38" i="7"/>
  <c r="N38" i="7"/>
  <c r="I38" i="7"/>
  <c r="K38" i="7"/>
  <c r="L38" i="7" s="1"/>
  <c r="Z1" i="7"/>
  <c r="AB1" i="7" s="1"/>
  <c r="M1" i="9" s="1"/>
  <c r="Y1" i="7"/>
  <c r="AT349" i="3" l="1"/>
  <c r="AT352" i="3"/>
  <c r="AT351" i="3"/>
  <c r="AT350" i="3"/>
  <c r="AT324" i="3"/>
  <c r="AT289" i="3"/>
  <c r="AT244" i="3"/>
  <c r="AT164" i="3"/>
  <c r="AT79" i="3"/>
  <c r="AT302" i="3"/>
  <c r="AT266" i="3"/>
  <c r="AT182" i="3"/>
  <c r="AT100" i="3"/>
  <c r="AT34" i="3"/>
  <c r="AT322" i="3"/>
  <c r="AT311" i="3"/>
  <c r="AT300" i="3"/>
  <c r="AT286" i="3"/>
  <c r="AT274" i="3"/>
  <c r="AT265" i="3"/>
  <c r="AT242" i="3"/>
  <c r="AT228" i="3"/>
  <c r="AT205" i="3"/>
  <c r="AT181" i="3"/>
  <c r="AT162" i="3"/>
  <c r="AT147" i="3"/>
  <c r="AT137" i="3"/>
  <c r="AT120" i="3"/>
  <c r="AT99" i="3"/>
  <c r="AT77" i="3"/>
  <c r="AT55" i="3"/>
  <c r="AT42" i="3"/>
  <c r="AT33" i="3"/>
  <c r="AT318" i="3"/>
  <c r="AT297" i="3"/>
  <c r="AT282" i="3"/>
  <c r="AT257" i="3"/>
  <c r="AT236" i="3"/>
  <c r="AT199" i="3"/>
  <c r="AT157" i="3"/>
  <c r="AT144" i="3"/>
  <c r="AT116" i="3"/>
  <c r="AT75" i="3"/>
  <c r="AT39" i="3"/>
  <c r="AT307" i="3"/>
  <c r="AT296" i="3"/>
  <c r="AT270" i="3"/>
  <c r="AT234" i="3"/>
  <c r="AT196" i="3"/>
  <c r="AT156" i="3"/>
  <c r="AT105" i="3"/>
  <c r="AT74" i="3"/>
  <c r="AT50" i="3"/>
  <c r="AT304" i="3"/>
  <c r="AT231" i="3"/>
  <c r="AT183" i="3"/>
  <c r="AT101" i="3"/>
  <c r="AT323" i="3"/>
  <c r="AT163" i="3"/>
  <c r="AT78" i="3"/>
  <c r="AT321" i="3"/>
  <c r="AT310" i="3"/>
  <c r="AT298" i="3"/>
  <c r="AT284" i="3"/>
  <c r="AT273" i="3"/>
  <c r="AT264" i="3"/>
  <c r="AT238" i="3"/>
  <c r="AT225" i="3"/>
  <c r="AT200" i="3"/>
  <c r="AT176" i="3"/>
  <c r="AT161" i="3"/>
  <c r="AT145" i="3"/>
  <c r="AT130" i="3"/>
  <c r="AT119" i="3"/>
  <c r="AT98" i="3"/>
  <c r="AT76" i="3"/>
  <c r="AT52" i="3"/>
  <c r="AT41" i="3"/>
  <c r="AT28" i="3"/>
  <c r="AT308" i="3"/>
  <c r="AT272" i="3"/>
  <c r="AT224" i="3"/>
  <c r="AT175" i="3"/>
  <c r="AT129" i="3"/>
  <c r="AT90" i="3"/>
  <c r="AT51" i="3"/>
  <c r="AT317" i="3"/>
  <c r="AT281" i="3"/>
  <c r="AT256" i="3"/>
  <c r="AT223" i="3"/>
  <c r="AT172" i="3"/>
  <c r="AT142" i="3"/>
  <c r="AT89" i="3"/>
  <c r="AT38" i="3"/>
  <c r="AT276" i="3"/>
  <c r="AT124" i="3"/>
  <c r="AT35" i="3"/>
  <c r="AT275" i="3"/>
  <c r="AT210" i="3"/>
  <c r="AT121" i="3"/>
  <c r="AT128" i="3"/>
  <c r="AT267" i="3"/>
  <c r="AT149" i="3"/>
  <c r="AT59" i="3"/>
  <c r="AT312" i="3"/>
  <c r="AT229" i="3"/>
  <c r="AT138" i="3"/>
  <c r="AT43" i="3"/>
  <c r="AT315" i="3"/>
  <c r="AT306" i="3"/>
  <c r="AT293" i="3"/>
  <c r="AT280" i="3"/>
  <c r="AT269" i="3"/>
  <c r="AT249" i="3"/>
  <c r="AT233" i="3"/>
  <c r="AT218" i="3"/>
  <c r="AT188" i="3"/>
  <c r="AT171" i="3"/>
  <c r="AT152" i="3"/>
  <c r="AT141" i="3"/>
  <c r="AT126" i="3"/>
  <c r="AT104" i="3"/>
  <c r="AT88" i="3"/>
  <c r="AT61" i="3"/>
  <c r="AT49" i="3"/>
  <c r="AT37" i="3"/>
  <c r="AT314" i="3"/>
  <c r="AT305" i="3"/>
  <c r="AT290" i="3"/>
  <c r="AT278" i="3"/>
  <c r="AT268" i="3"/>
  <c r="AT247" i="3"/>
  <c r="AT232" i="3"/>
  <c r="AT217" i="3"/>
  <c r="AT185" i="3"/>
  <c r="AT168" i="3"/>
  <c r="AT150" i="3"/>
  <c r="AT140" i="3"/>
  <c r="AT125" i="3"/>
  <c r="AT103" i="3"/>
  <c r="AT84" i="3"/>
  <c r="AT60" i="3"/>
  <c r="AT45" i="3"/>
  <c r="AT36" i="3"/>
  <c r="AT313" i="3"/>
  <c r="AT215" i="3"/>
  <c r="AT139" i="3"/>
  <c r="AT44" i="3"/>
  <c r="AT288" i="3"/>
  <c r="AT243" i="3"/>
  <c r="AT148" i="3"/>
  <c r="AT58" i="3"/>
  <c r="AS27" i="3"/>
  <c r="Y60" i="16"/>
  <c r="X60" i="16" s="1"/>
  <c r="AE60" i="9" s="1"/>
  <c r="H52" i="14"/>
  <c r="U44" i="11"/>
  <c r="H60" i="16"/>
  <c r="Z60" i="16" s="1"/>
  <c r="AA66" i="7"/>
  <c r="AA68" i="7"/>
  <c r="AA64" i="7"/>
  <c r="AA65" i="7"/>
  <c r="AA60" i="7"/>
  <c r="AA67" i="7"/>
  <c r="G61" i="16"/>
  <c r="H61" i="16" s="1"/>
  <c r="Q61" i="16"/>
  <c r="D62" i="16"/>
  <c r="F62" i="16"/>
  <c r="T62" i="16" s="1"/>
  <c r="E62" i="16"/>
  <c r="S62" i="16" s="1"/>
  <c r="C62" i="16"/>
  <c r="G14" i="16"/>
  <c r="H14" i="16" s="1"/>
  <c r="I63" i="16"/>
  <c r="B63" i="16"/>
  <c r="J63" i="16"/>
  <c r="A64" i="16"/>
  <c r="M63" i="16"/>
  <c r="O62" i="16"/>
  <c r="P62" i="16"/>
  <c r="C13" i="16"/>
  <c r="K13" i="16"/>
  <c r="T13" i="16"/>
  <c r="E13" i="16"/>
  <c r="M13" i="16"/>
  <c r="V13" i="16"/>
  <c r="F13" i="16"/>
  <c r="O13" i="16"/>
  <c r="W13" i="16"/>
  <c r="P13" i="16"/>
  <c r="X13" i="16"/>
  <c r="AE13" i="9" s="1"/>
  <c r="I13" i="16"/>
  <c r="R13" i="16"/>
  <c r="Z13" i="16"/>
  <c r="J13" i="16"/>
  <c r="Q13" i="16"/>
  <c r="A12" i="16"/>
  <c r="S13" i="16"/>
  <c r="B13" i="16"/>
  <c r="L13" i="16"/>
  <c r="Y13" i="16"/>
  <c r="D13" i="16"/>
  <c r="U13" i="16"/>
  <c r="L62" i="16"/>
  <c r="K62" i="16"/>
  <c r="V61" i="16"/>
  <c r="W61" i="16" s="1"/>
  <c r="Y61" i="16" s="1"/>
  <c r="AA53" i="10"/>
  <c r="AA57" i="10"/>
  <c r="AA63" i="10"/>
  <c r="AA65" i="10"/>
  <c r="AA67" i="10"/>
  <c r="AA69" i="10"/>
  <c r="AA71" i="10"/>
  <c r="AA73" i="10"/>
  <c r="AA81" i="10"/>
  <c r="AA83" i="10"/>
  <c r="AA85" i="10"/>
  <c r="AA87" i="10"/>
  <c r="AA91" i="10"/>
  <c r="AA93" i="10"/>
  <c r="AA95" i="10"/>
  <c r="AA97" i="10"/>
  <c r="AA107" i="10"/>
  <c r="AA54" i="10"/>
  <c r="AA56" i="10"/>
  <c r="AA62" i="10"/>
  <c r="AA64" i="10"/>
  <c r="AA66" i="10"/>
  <c r="AA68" i="10"/>
  <c r="AA70" i="10"/>
  <c r="AA72" i="10"/>
  <c r="AA80" i="10"/>
  <c r="AA82" i="10"/>
  <c r="AA86" i="10"/>
  <c r="AA92" i="10"/>
  <c r="AA94" i="10"/>
  <c r="AA96" i="10"/>
  <c r="AA102" i="10"/>
  <c r="AA106" i="10"/>
  <c r="AA110" i="10"/>
  <c r="AA112" i="10"/>
  <c r="AA114" i="10"/>
  <c r="AA118" i="10"/>
  <c r="AA122" i="10"/>
  <c r="AA124" i="10"/>
  <c r="AA126" i="10"/>
  <c r="AA128" i="10"/>
  <c r="AA132" i="10"/>
  <c r="AA134" i="10"/>
  <c r="AA136" i="10"/>
  <c r="AA138" i="10"/>
  <c r="AA140" i="10"/>
  <c r="AA142" i="10"/>
  <c r="AA108" i="10"/>
  <c r="AA137" i="10"/>
  <c r="AA111" i="10"/>
  <c r="AA127" i="10"/>
  <c r="AA117" i="10"/>
  <c r="AA133" i="10"/>
  <c r="AA123" i="10"/>
  <c r="AA139" i="10"/>
  <c r="AA151" i="10"/>
  <c r="AA152" i="10"/>
  <c r="AA153" i="10"/>
  <c r="AA157" i="10"/>
  <c r="AA159" i="10"/>
  <c r="AA161" i="10"/>
  <c r="AA163" i="10"/>
  <c r="AA165" i="10"/>
  <c r="AA167" i="10"/>
  <c r="AA169" i="10"/>
  <c r="AA171" i="10"/>
  <c r="AA173" i="10"/>
  <c r="AA175" i="10"/>
  <c r="AA177" i="10"/>
  <c r="AA179" i="10"/>
  <c r="AA181" i="10"/>
  <c r="AA189" i="10"/>
  <c r="AA191" i="10"/>
  <c r="AA195" i="10"/>
  <c r="AA197" i="10"/>
  <c r="AA199" i="10"/>
  <c r="AA113" i="10"/>
  <c r="AA149" i="10"/>
  <c r="AA150" i="10"/>
  <c r="AA154" i="10"/>
  <c r="AA135" i="10"/>
  <c r="AA148" i="10"/>
  <c r="AA155" i="10"/>
  <c r="AA109" i="10"/>
  <c r="AA125" i="10"/>
  <c r="AA141" i="10"/>
  <c r="AA147" i="10"/>
  <c r="AA160" i="10"/>
  <c r="AA176" i="10"/>
  <c r="AA192" i="10"/>
  <c r="AA201" i="10"/>
  <c r="AA203" i="10"/>
  <c r="AA205" i="10"/>
  <c r="AA207" i="10"/>
  <c r="AA209" i="10"/>
  <c r="AA211" i="10"/>
  <c r="AA213" i="10"/>
  <c r="AA215" i="10"/>
  <c r="AA217" i="10"/>
  <c r="AA219" i="10"/>
  <c r="AA221" i="10"/>
  <c r="AA223" i="10"/>
  <c r="AA225" i="10"/>
  <c r="AA227" i="10"/>
  <c r="AA229" i="10"/>
  <c r="AA231" i="10"/>
  <c r="AA235" i="10"/>
  <c r="AA237" i="10"/>
  <c r="AA239" i="10"/>
  <c r="AA241" i="10"/>
  <c r="AA245" i="10"/>
  <c r="AA166" i="10"/>
  <c r="AA196" i="10"/>
  <c r="AA115" i="10"/>
  <c r="AA156" i="10"/>
  <c r="AA172" i="10"/>
  <c r="AA198" i="10"/>
  <c r="AA162" i="10"/>
  <c r="AA178" i="10"/>
  <c r="AA194" i="10"/>
  <c r="AA168" i="10"/>
  <c r="AA184" i="10"/>
  <c r="AA200" i="10"/>
  <c r="AA202" i="10"/>
  <c r="AA204" i="10"/>
  <c r="AA206" i="10"/>
  <c r="AA208" i="10"/>
  <c r="AA210" i="10"/>
  <c r="AA212" i="10"/>
  <c r="AA214" i="10"/>
  <c r="AA216" i="10"/>
  <c r="AA218" i="10"/>
  <c r="AA220" i="10"/>
  <c r="AA222" i="10"/>
  <c r="AA224" i="10"/>
  <c r="AA226" i="10"/>
  <c r="AA228" i="10"/>
  <c r="AA230" i="10"/>
  <c r="AA240" i="10"/>
  <c r="AA131" i="10"/>
  <c r="AA158" i="10"/>
  <c r="AA174" i="10"/>
  <c r="AA190" i="10"/>
  <c r="AA164" i="10"/>
  <c r="AA180" i="10"/>
  <c r="AA246" i="10"/>
  <c r="AA249" i="10"/>
  <c r="AA251" i="10"/>
  <c r="AA253" i="10"/>
  <c r="AA255" i="10"/>
  <c r="AA257" i="10"/>
  <c r="AA259" i="10"/>
  <c r="AA261" i="10"/>
  <c r="AA263" i="10"/>
  <c r="AA271" i="10"/>
  <c r="AA275" i="10"/>
  <c r="AA277" i="10"/>
  <c r="AA279" i="10"/>
  <c r="AA281" i="10"/>
  <c r="AA283" i="10"/>
  <c r="AA285" i="10"/>
  <c r="AA287" i="10"/>
  <c r="AA289" i="10"/>
  <c r="AA291" i="10"/>
  <c r="AA170" i="10"/>
  <c r="AA186" i="10"/>
  <c r="AA250" i="10"/>
  <c r="AA282" i="10"/>
  <c r="AA299" i="10"/>
  <c r="AA256" i="10"/>
  <c r="AA288" i="10"/>
  <c r="AA300" i="10"/>
  <c r="AA305" i="10"/>
  <c r="AA307" i="10"/>
  <c r="AA309" i="10"/>
  <c r="AA311" i="10"/>
  <c r="AA315" i="10"/>
  <c r="AA317" i="10"/>
  <c r="AA319" i="10"/>
  <c r="AA321" i="10"/>
  <c r="AA323" i="10"/>
  <c r="AA325" i="10"/>
  <c r="AA327" i="10"/>
  <c r="AA329" i="10"/>
  <c r="AA331" i="10"/>
  <c r="AA333" i="10"/>
  <c r="AA335" i="10"/>
  <c r="AA337" i="10"/>
  <c r="AA339" i="10"/>
  <c r="AA341" i="10"/>
  <c r="AA343" i="10"/>
  <c r="AA347" i="10"/>
  <c r="AA262" i="10"/>
  <c r="AA294" i="10"/>
  <c r="AA301" i="10"/>
  <c r="AA252" i="10"/>
  <c r="AA268" i="10"/>
  <c r="AA284" i="10"/>
  <c r="AA302" i="10"/>
  <c r="AA298" i="10"/>
  <c r="AA258" i="10"/>
  <c r="AA274" i="10"/>
  <c r="AA290" i="10"/>
  <c r="AA303" i="10"/>
  <c r="AA248" i="10"/>
  <c r="AA280" i="10"/>
  <c r="AA296" i="10"/>
  <c r="AA304" i="10"/>
  <c r="AA306" i="10"/>
  <c r="AA308" i="10"/>
  <c r="AA310" i="10"/>
  <c r="AA312" i="10"/>
  <c r="AA314" i="10"/>
  <c r="AA316" i="10"/>
  <c r="AA318" i="10"/>
  <c r="AA320" i="10"/>
  <c r="AA322" i="10"/>
  <c r="AA324" i="10"/>
  <c r="AA326" i="10"/>
  <c r="AA328" i="10"/>
  <c r="AA330" i="10"/>
  <c r="AA332" i="10"/>
  <c r="AA334" i="10"/>
  <c r="AA336" i="10"/>
  <c r="AA338" i="10"/>
  <c r="AA340" i="10"/>
  <c r="AA342" i="10"/>
  <c r="AA344" i="10"/>
  <c r="AA346" i="10"/>
  <c r="AA260" i="10"/>
  <c r="AA254" i="10"/>
  <c r="AA270" i="10"/>
  <c r="AA286" i="10"/>
  <c r="AA295" i="10"/>
  <c r="AA292" i="10"/>
  <c r="AA49" i="10"/>
  <c r="AA48" i="10"/>
  <c r="AA40" i="10"/>
  <c r="AA32" i="10"/>
  <c r="AA31" i="10"/>
  <c r="AA47" i="10"/>
  <c r="AA46" i="10"/>
  <c r="AA30" i="10"/>
  <c r="K53" i="14"/>
  <c r="J53" i="14"/>
  <c r="J24" i="14"/>
  <c r="K24" i="14"/>
  <c r="L24" i="14"/>
  <c r="I24" i="14"/>
  <c r="F53" i="14"/>
  <c r="I53" i="14"/>
  <c r="L53" i="14" s="1"/>
  <c r="Q57" i="15"/>
  <c r="R57" i="15" s="1"/>
  <c r="U57" i="15"/>
  <c r="V57" i="15" s="1"/>
  <c r="E18" i="15"/>
  <c r="M18" i="15"/>
  <c r="U18" i="15"/>
  <c r="AK18" i="15"/>
  <c r="G18" i="15"/>
  <c r="O18" i="15"/>
  <c r="W18" i="15"/>
  <c r="H18" i="15"/>
  <c r="P18" i="15"/>
  <c r="Y18" i="15"/>
  <c r="I18" i="15"/>
  <c r="Q18" i="15"/>
  <c r="AC18" i="15"/>
  <c r="D18" i="15"/>
  <c r="L18" i="15"/>
  <c r="T18" i="15"/>
  <c r="AJ18" i="15"/>
  <c r="K18" i="15"/>
  <c r="A17" i="15"/>
  <c r="R18" i="15"/>
  <c r="V18" i="15"/>
  <c r="AF18" i="15"/>
  <c r="C18" i="15"/>
  <c r="J18" i="15"/>
  <c r="F18" i="15"/>
  <c r="N18" i="15"/>
  <c r="S18" i="15"/>
  <c r="AE18" i="15"/>
  <c r="C36" i="7"/>
  <c r="W36" i="7"/>
  <c r="Z36" i="7" s="1"/>
  <c r="E58" i="15"/>
  <c r="AO58" i="15"/>
  <c r="F58" i="15"/>
  <c r="W58" i="15"/>
  <c r="A59" i="15"/>
  <c r="G58" i="15"/>
  <c r="Y58" i="15"/>
  <c r="I58" i="15"/>
  <c r="AE58" i="15"/>
  <c r="K58" i="15"/>
  <c r="AJ58" i="15"/>
  <c r="L58" i="15"/>
  <c r="AK58" i="15"/>
  <c r="H58" i="15"/>
  <c r="AC58" i="15"/>
  <c r="J58" i="15"/>
  <c r="AF58" i="15"/>
  <c r="S56" i="15"/>
  <c r="M57" i="15"/>
  <c r="N57" i="15" s="1"/>
  <c r="O57" i="15" s="1"/>
  <c r="P57" i="15" s="1"/>
  <c r="T36" i="7"/>
  <c r="G24" i="14"/>
  <c r="H24" i="14"/>
  <c r="L36" i="7"/>
  <c r="N36" i="7"/>
  <c r="P36" i="7"/>
  <c r="R36" i="7"/>
  <c r="U36" i="7"/>
  <c r="X36" i="7"/>
  <c r="I36" i="7"/>
  <c r="R29" i="11"/>
  <c r="S29" i="11"/>
  <c r="F29" i="11"/>
  <c r="E29" i="11"/>
  <c r="L29" i="11"/>
  <c r="O29" i="11"/>
  <c r="N29" i="11"/>
  <c r="P29" i="11"/>
  <c r="T29" i="11"/>
  <c r="U29" i="11"/>
  <c r="J29" i="11"/>
  <c r="G29" i="11"/>
  <c r="Q29" i="11"/>
  <c r="K29" i="11"/>
  <c r="H29" i="11"/>
  <c r="M29" i="11"/>
  <c r="A35" i="7"/>
  <c r="D36" i="7"/>
  <c r="M36" i="7"/>
  <c r="F36" i="7"/>
  <c r="O36" i="7"/>
  <c r="Q36" i="7"/>
  <c r="S36" i="7"/>
  <c r="V36" i="7"/>
  <c r="B36" i="7"/>
  <c r="Y36" i="7"/>
  <c r="E36" i="7"/>
  <c r="J36" i="7"/>
  <c r="AB36" i="7"/>
  <c r="G36" i="7"/>
  <c r="AA36" i="7"/>
  <c r="O36" i="9"/>
  <c r="P36" i="9"/>
  <c r="Q36" i="9"/>
  <c r="R36" i="9"/>
  <c r="N36" i="9"/>
  <c r="Y36" i="9"/>
  <c r="S36" i="9"/>
  <c r="AA36" i="9"/>
  <c r="T36" i="9"/>
  <c r="AB36" i="9"/>
  <c r="M36" i="9"/>
  <c r="U36" i="9"/>
  <c r="AC36" i="9"/>
  <c r="V36" i="9"/>
  <c r="W36" i="9"/>
  <c r="X36" i="9"/>
  <c r="Z36" i="9"/>
  <c r="A54" i="14"/>
  <c r="E53" i="14"/>
  <c r="G53" i="14" s="1"/>
  <c r="N45" i="11"/>
  <c r="T45" i="11" s="1"/>
  <c r="F24" i="14"/>
  <c r="E24" i="14"/>
  <c r="A23" i="14"/>
  <c r="B53" i="13"/>
  <c r="A54" i="13"/>
  <c r="A23" i="13"/>
  <c r="B23" i="13" s="1"/>
  <c r="T70" i="7"/>
  <c r="U70" i="7" s="1"/>
  <c r="A71" i="7"/>
  <c r="W70" i="7"/>
  <c r="H70" i="7"/>
  <c r="B70" i="7"/>
  <c r="R70" i="7"/>
  <c r="S70" i="7" s="1"/>
  <c r="C70" i="7"/>
  <c r="S46" i="11"/>
  <c r="R46" i="11"/>
  <c r="Q46" i="11"/>
  <c r="K46" i="11"/>
  <c r="J46" i="11"/>
  <c r="M46" i="11" s="1"/>
  <c r="L46" i="11"/>
  <c r="O46" i="11" s="1"/>
  <c r="H47" i="11"/>
  <c r="E47" i="11"/>
  <c r="G47" i="11" s="1"/>
  <c r="A48" i="11"/>
  <c r="F48" i="11" s="1"/>
  <c r="P47" i="11"/>
  <c r="I47" i="11"/>
  <c r="I29" i="11"/>
  <c r="A28" i="11"/>
  <c r="M26" i="10"/>
  <c r="L27" i="10"/>
  <c r="AB27" i="10" s="1"/>
  <c r="AW27" i="3"/>
  <c r="AW26" i="3" s="1"/>
  <c r="F131" i="3"/>
  <c r="P67" i="7"/>
  <c r="P61" i="7"/>
  <c r="Z56" i="7"/>
  <c r="AA56" i="7" s="1"/>
  <c r="P42" i="7"/>
  <c r="K42" i="7"/>
  <c r="L42" i="7" s="1"/>
  <c r="D43" i="7"/>
  <c r="Z62" i="7"/>
  <c r="K67" i="7"/>
  <c r="L67" i="7" s="1"/>
  <c r="F54" i="7"/>
  <c r="E40" i="9"/>
  <c r="I40" i="9"/>
  <c r="J40" i="9" s="1"/>
  <c r="R40" i="9" s="1"/>
  <c r="F40" i="9"/>
  <c r="G40" i="9"/>
  <c r="H40" i="9"/>
  <c r="F41" i="7"/>
  <c r="K36" i="7"/>
  <c r="K43" i="7"/>
  <c r="L43" i="7" s="1"/>
  <c r="P43" i="7"/>
  <c r="N55" i="7"/>
  <c r="E36" i="9"/>
  <c r="I36" i="9"/>
  <c r="F36" i="9"/>
  <c r="G36" i="9"/>
  <c r="H36" i="9"/>
  <c r="Z61" i="7"/>
  <c r="I51" i="7"/>
  <c r="I43" i="7"/>
  <c r="I57" i="7"/>
  <c r="F60" i="7"/>
  <c r="X66" i="7"/>
  <c r="X45" i="7"/>
  <c r="K58" i="7"/>
  <c r="L58" i="7" s="1"/>
  <c r="D59" i="7"/>
  <c r="N51" i="7"/>
  <c r="F58" i="7"/>
  <c r="P57" i="7"/>
  <c r="F56" i="7"/>
  <c r="Z51" i="7"/>
  <c r="AA51" i="7" s="1"/>
  <c r="K55" i="7"/>
  <c r="L55" i="7" s="1"/>
  <c r="K37" i="7"/>
  <c r="A41" i="9"/>
  <c r="N58" i="7"/>
  <c r="D57" i="7"/>
  <c r="E57" i="7" s="1"/>
  <c r="K44" i="7"/>
  <c r="L44" i="7" s="1"/>
  <c r="K61" i="7"/>
  <c r="L61" i="7" s="1"/>
  <c r="I53" i="7"/>
  <c r="A35" i="9"/>
  <c r="J35" i="9" s="1"/>
  <c r="K54" i="7"/>
  <c r="L54" i="7" s="1"/>
  <c r="J39" i="9"/>
  <c r="R39" i="9" s="1"/>
  <c r="I66" i="7"/>
  <c r="N60" i="7"/>
  <c r="N39" i="7"/>
  <c r="F68" i="7"/>
  <c r="F42" i="7"/>
  <c r="N69" i="7"/>
  <c r="I68" i="7"/>
  <c r="K59" i="7"/>
  <c r="L59" i="7" s="1"/>
  <c r="I63" i="7"/>
  <c r="X49" i="7"/>
  <c r="K62" i="7"/>
  <c r="L62" i="7" s="1"/>
  <c r="N46" i="7"/>
  <c r="F45" i="7"/>
  <c r="F66" i="7"/>
  <c r="I49" i="7"/>
  <c r="D48" i="7"/>
  <c r="X50" i="7"/>
  <c r="N47" i="7"/>
  <c r="X54" i="7"/>
  <c r="F50" i="7"/>
  <c r="P65" i="7"/>
  <c r="F55" i="7"/>
  <c r="I58" i="7"/>
  <c r="I42" i="7"/>
  <c r="I44" i="7"/>
  <c r="N67" i="7"/>
  <c r="P51" i="7"/>
  <c r="N61" i="7"/>
  <c r="K57" i="7"/>
  <c r="L57" i="7" s="1"/>
  <c r="I55" i="7"/>
  <c r="X67" i="7"/>
  <c r="I60" i="7"/>
  <c r="N44" i="7"/>
  <c r="N45" i="7"/>
  <c r="E47" i="7"/>
  <c r="K69" i="7"/>
  <c r="L69" i="7" s="1"/>
  <c r="K65" i="7"/>
  <c r="L65" i="7" s="1"/>
  <c r="X46" i="7"/>
  <c r="P59" i="7"/>
  <c r="X40" i="7"/>
  <c r="D62" i="7"/>
  <c r="X65" i="7"/>
  <c r="N62" i="7"/>
  <c r="F61" i="7"/>
  <c r="Z39" i="7"/>
  <c r="AA39" i="7" s="1"/>
  <c r="I59" i="7"/>
  <c r="I69" i="7"/>
  <c r="I65" i="7"/>
  <c r="F64" i="7"/>
  <c r="I48" i="7"/>
  <c r="P63" i="7"/>
  <c r="K46" i="7"/>
  <c r="L46" i="7" s="1"/>
  <c r="K60" i="7"/>
  <c r="L60" i="7" s="1"/>
  <c r="X60" i="7"/>
  <c r="F63" i="7"/>
  <c r="N63" i="7"/>
  <c r="E41" i="7"/>
  <c r="Z47" i="7"/>
  <c r="AA47" i="7" s="1"/>
  <c r="X68" i="7"/>
  <c r="X52" i="7"/>
  <c r="P53" i="7"/>
  <c r="N49" i="7"/>
  <c r="I64" i="7"/>
  <c r="N40" i="7"/>
  <c r="F47" i="7"/>
  <c r="Z58" i="7"/>
  <c r="I47" i="7"/>
  <c r="F46" i="7"/>
  <c r="K53" i="7"/>
  <c r="L53" i="7" s="1"/>
  <c r="K49" i="7"/>
  <c r="L49" i="7" s="1"/>
  <c r="D52" i="7"/>
  <c r="E52" i="7" s="1"/>
  <c r="Z63" i="7"/>
  <c r="I56" i="7"/>
  <c r="K40" i="7"/>
  <c r="L40" i="7" s="1"/>
  <c r="D39" i="7"/>
  <c r="K47" i="7"/>
  <c r="L47" i="7" s="1"/>
  <c r="E63" i="7"/>
  <c r="X57" i="7"/>
  <c r="X41" i="7"/>
  <c r="N54" i="7"/>
  <c r="F69" i="7"/>
  <c r="F53" i="7"/>
  <c r="K56" i="7"/>
  <c r="L56" i="7" s="1"/>
  <c r="I50" i="7"/>
  <c r="D51" i="7"/>
  <c r="E51" i="7" s="1"/>
  <c r="I52" i="7"/>
  <c r="D67" i="7"/>
  <c r="F44" i="7"/>
  <c r="Z69" i="7"/>
  <c r="AA69" i="7" s="1"/>
  <c r="Z55" i="7"/>
  <c r="AA55" i="7" s="1"/>
  <c r="K64" i="7"/>
  <c r="L64" i="7" s="1"/>
  <c r="K48" i="7"/>
  <c r="L48" i="7" s="1"/>
  <c r="E69" i="7"/>
  <c r="D49" i="7"/>
  <c r="Z44" i="7"/>
  <c r="AA44" i="7" s="1"/>
  <c r="I41" i="7"/>
  <c r="X53" i="7"/>
  <c r="N66" i="7"/>
  <c r="N50" i="7"/>
  <c r="K68" i="7"/>
  <c r="L68" i="7" s="1"/>
  <c r="K52" i="7"/>
  <c r="L52" i="7" s="1"/>
  <c r="X48" i="7"/>
  <c r="I45" i="7"/>
  <c r="N41" i="7"/>
  <c r="D40" i="7"/>
  <c r="E40" i="7" s="1"/>
  <c r="Z59" i="7"/>
  <c r="Z43" i="7"/>
  <c r="AA43" i="7" s="1"/>
  <c r="I39" i="7"/>
  <c r="E46" i="7"/>
  <c r="P66" i="7"/>
  <c r="P50" i="7"/>
  <c r="F65" i="7"/>
  <c r="N68" i="7"/>
  <c r="N52" i="7"/>
  <c r="Z42" i="7"/>
  <c r="AA42" i="7" s="1"/>
  <c r="X64" i="7"/>
  <c r="P45" i="7"/>
  <c r="P41" i="7"/>
  <c r="K39" i="7"/>
  <c r="L39" i="7" s="1"/>
  <c r="E53" i="7"/>
  <c r="E44" i="7"/>
  <c r="P62" i="7"/>
  <c r="I54" i="7"/>
  <c r="P46" i="7"/>
  <c r="E66" i="7"/>
  <c r="E50" i="7"/>
  <c r="N64" i="7"/>
  <c r="N56" i="7"/>
  <c r="N48" i="7"/>
  <c r="I40" i="7"/>
  <c r="E58" i="7"/>
  <c r="E42" i="7"/>
  <c r="E56" i="7"/>
  <c r="E45" i="7"/>
  <c r="E61" i="7"/>
  <c r="E60" i="7"/>
  <c r="E65" i="7"/>
  <c r="E68" i="7"/>
  <c r="E38" i="7"/>
  <c r="E54" i="7"/>
  <c r="E55" i="7"/>
  <c r="E64" i="7"/>
  <c r="AS349" i="3" l="1"/>
  <c r="AS350" i="3"/>
  <c r="AS351" i="3"/>
  <c r="AS352" i="3"/>
  <c r="AR27" i="3"/>
  <c r="X61" i="16"/>
  <c r="AE61" i="9" s="1"/>
  <c r="AS324" i="3"/>
  <c r="AS313" i="3"/>
  <c r="AS304" i="3"/>
  <c r="AS289" i="3"/>
  <c r="AS276" i="3"/>
  <c r="AS267" i="3"/>
  <c r="AS244" i="3"/>
  <c r="AS231" i="3"/>
  <c r="AS215" i="3"/>
  <c r="AS183" i="3"/>
  <c r="AS164" i="3"/>
  <c r="AS149" i="3"/>
  <c r="AS139" i="3"/>
  <c r="AS124" i="3"/>
  <c r="AS101" i="3"/>
  <c r="AS79" i="3"/>
  <c r="AS59" i="3"/>
  <c r="AS44" i="3"/>
  <c r="AS323" i="3"/>
  <c r="AS312" i="3"/>
  <c r="AS302" i="3"/>
  <c r="AS288" i="3"/>
  <c r="AS275" i="3"/>
  <c r="AS266" i="3"/>
  <c r="AS243" i="3"/>
  <c r="AS229" i="3"/>
  <c r="AS210" i="3"/>
  <c r="AS182" i="3"/>
  <c r="AS163" i="3"/>
  <c r="AS148" i="3"/>
  <c r="AS138" i="3"/>
  <c r="AS121" i="3"/>
  <c r="AS100" i="3"/>
  <c r="AS78" i="3"/>
  <c r="AS58" i="3"/>
  <c r="AS43" i="3"/>
  <c r="AS34" i="3"/>
  <c r="AS76" i="3"/>
  <c r="AS28" i="3"/>
  <c r="AS74" i="3"/>
  <c r="AS293" i="3"/>
  <c r="AS171" i="3"/>
  <c r="AS61" i="3"/>
  <c r="AS290" i="3"/>
  <c r="AS247" i="3"/>
  <c r="AS140" i="3"/>
  <c r="AS45" i="3"/>
  <c r="AS322" i="3"/>
  <c r="AS311" i="3"/>
  <c r="AS300" i="3"/>
  <c r="AS286" i="3"/>
  <c r="AS274" i="3"/>
  <c r="AS265" i="3"/>
  <c r="AS242" i="3"/>
  <c r="AS228" i="3"/>
  <c r="AS205" i="3"/>
  <c r="AS181" i="3"/>
  <c r="AS162" i="3"/>
  <c r="AS147" i="3"/>
  <c r="AS137" i="3"/>
  <c r="AS120" i="3"/>
  <c r="AS99" i="3"/>
  <c r="AS77" i="3"/>
  <c r="AS55" i="3"/>
  <c r="AS42" i="3"/>
  <c r="AS33" i="3"/>
  <c r="AS119" i="3"/>
  <c r="AS41" i="3"/>
  <c r="AS105" i="3"/>
  <c r="AS315" i="3"/>
  <c r="AS249" i="3"/>
  <c r="AS188" i="3"/>
  <c r="AS141" i="3"/>
  <c r="AS49" i="3"/>
  <c r="AS305" i="3"/>
  <c r="AS185" i="3"/>
  <c r="AS125" i="3"/>
  <c r="AS36" i="3"/>
  <c r="AS35" i="3"/>
  <c r="AS321" i="3"/>
  <c r="AS310" i="3"/>
  <c r="AS298" i="3"/>
  <c r="AS284" i="3"/>
  <c r="AS273" i="3"/>
  <c r="AS264" i="3"/>
  <c r="AS238" i="3"/>
  <c r="AS225" i="3"/>
  <c r="AS200" i="3"/>
  <c r="AS176" i="3"/>
  <c r="AS161" i="3"/>
  <c r="AS145" i="3"/>
  <c r="AS130" i="3"/>
  <c r="AS98" i="3"/>
  <c r="AS52" i="3"/>
  <c r="AS50" i="3"/>
  <c r="AS280" i="3"/>
  <c r="AS126" i="3"/>
  <c r="AS278" i="3"/>
  <c r="AS168" i="3"/>
  <c r="AS60" i="3"/>
  <c r="AS318" i="3"/>
  <c r="AS308" i="3"/>
  <c r="AS297" i="3"/>
  <c r="AS282" i="3"/>
  <c r="AS272" i="3"/>
  <c r="AS257" i="3"/>
  <c r="AS236" i="3"/>
  <c r="AS224" i="3"/>
  <c r="AS199" i="3"/>
  <c r="AS175" i="3"/>
  <c r="AS157" i="3"/>
  <c r="AS144" i="3"/>
  <c r="AS129" i="3"/>
  <c r="AS116" i="3"/>
  <c r="AS90" i="3"/>
  <c r="AS75" i="3"/>
  <c r="AS51" i="3"/>
  <c r="AS39" i="3"/>
  <c r="AS196" i="3"/>
  <c r="AS142" i="3"/>
  <c r="AS89" i="3"/>
  <c r="AS306" i="3"/>
  <c r="AS269" i="3"/>
  <c r="AS218" i="3"/>
  <c r="AS104" i="3"/>
  <c r="AS37" i="3"/>
  <c r="AS268" i="3"/>
  <c r="AS232" i="3"/>
  <c r="AS150" i="3"/>
  <c r="AS84" i="3"/>
  <c r="AS317" i="3"/>
  <c r="AS307" i="3"/>
  <c r="AS296" i="3"/>
  <c r="AS281" i="3"/>
  <c r="AS270" i="3"/>
  <c r="AS256" i="3"/>
  <c r="AS234" i="3"/>
  <c r="AS223" i="3"/>
  <c r="AS172" i="3"/>
  <c r="AS156" i="3"/>
  <c r="AS128" i="3"/>
  <c r="AS38" i="3"/>
  <c r="AS233" i="3"/>
  <c r="AS152" i="3"/>
  <c r="AS88" i="3"/>
  <c r="AS314" i="3"/>
  <c r="AS217" i="3"/>
  <c r="AS103" i="3"/>
  <c r="AR183" i="3"/>
  <c r="AR171" i="3"/>
  <c r="AR38" i="3"/>
  <c r="U45" i="11"/>
  <c r="H53" i="14"/>
  <c r="R61" i="16"/>
  <c r="U62" i="16" s="1"/>
  <c r="V62" i="16" s="1"/>
  <c r="W62" i="16" s="1"/>
  <c r="Y62" i="16" s="1"/>
  <c r="X62" i="16" s="1"/>
  <c r="AE62" i="9" s="1"/>
  <c r="AA62" i="7"/>
  <c r="AA59" i="7"/>
  <c r="AA58" i="7"/>
  <c r="AA63" i="7"/>
  <c r="AA61" i="7"/>
  <c r="E62" i="7"/>
  <c r="G63" i="7" s="1"/>
  <c r="J64" i="16"/>
  <c r="M64" i="16"/>
  <c r="B64" i="16"/>
  <c r="A65" i="16"/>
  <c r="I64" i="16"/>
  <c r="K63" i="16"/>
  <c r="L63" i="16"/>
  <c r="C63" i="16"/>
  <c r="D63" i="16"/>
  <c r="E63" i="16"/>
  <c r="S63" i="16" s="1"/>
  <c r="F63" i="16"/>
  <c r="T63" i="16" s="1"/>
  <c r="D12" i="16"/>
  <c r="L12" i="16"/>
  <c r="U12" i="16"/>
  <c r="F12" i="16"/>
  <c r="O12" i="16"/>
  <c r="W12" i="16"/>
  <c r="P12" i="16"/>
  <c r="X12" i="16"/>
  <c r="AE12" i="9" s="1"/>
  <c r="A11" i="16"/>
  <c r="Q12" i="16"/>
  <c r="Y12" i="16"/>
  <c r="B12" i="16"/>
  <c r="J12" i="16"/>
  <c r="S12" i="16"/>
  <c r="M12" i="16"/>
  <c r="T12" i="16"/>
  <c r="V12" i="16"/>
  <c r="C12" i="16"/>
  <c r="E12" i="16"/>
  <c r="I12" i="16"/>
  <c r="R12" i="16"/>
  <c r="Z12" i="16"/>
  <c r="K12" i="16"/>
  <c r="G13" i="16"/>
  <c r="H13" i="16" s="1"/>
  <c r="G62" i="16"/>
  <c r="H62" i="16" s="1"/>
  <c r="Q62" i="16"/>
  <c r="O63" i="16"/>
  <c r="P63" i="16"/>
  <c r="AB53" i="10"/>
  <c r="AB57" i="10"/>
  <c r="AB63" i="10"/>
  <c r="AB65" i="10"/>
  <c r="AB67" i="10"/>
  <c r="AB69" i="10"/>
  <c r="AB71" i="10"/>
  <c r="AB73" i="10"/>
  <c r="AB81" i="10"/>
  <c r="AB83" i="10"/>
  <c r="AB85" i="10"/>
  <c r="AB87" i="10"/>
  <c r="AB91" i="10"/>
  <c r="AB93" i="10"/>
  <c r="AB95" i="10"/>
  <c r="AB97" i="10"/>
  <c r="AB54" i="10"/>
  <c r="AB56" i="10"/>
  <c r="AB62" i="10"/>
  <c r="AB64" i="10"/>
  <c r="AB66" i="10"/>
  <c r="AB68" i="10"/>
  <c r="AB70" i="10"/>
  <c r="AB72" i="10"/>
  <c r="AB80" i="10"/>
  <c r="AB82" i="10"/>
  <c r="AB86" i="10"/>
  <c r="AB92" i="10"/>
  <c r="AB94" i="10"/>
  <c r="AB96" i="10"/>
  <c r="AB102" i="10"/>
  <c r="AB106" i="10"/>
  <c r="AB108" i="10"/>
  <c r="AB109" i="10"/>
  <c r="AB111" i="10"/>
  <c r="AB113" i="10"/>
  <c r="AB115" i="10"/>
  <c r="AB117" i="10"/>
  <c r="AB123" i="10"/>
  <c r="AB125" i="10"/>
  <c r="AB127" i="10"/>
  <c r="AB131" i="10"/>
  <c r="AB133" i="10"/>
  <c r="AB135" i="10"/>
  <c r="AB137" i="10"/>
  <c r="AB139" i="10"/>
  <c r="AB141" i="10"/>
  <c r="AB147" i="10"/>
  <c r="AB107" i="10"/>
  <c r="AB110" i="10"/>
  <c r="AB112" i="10"/>
  <c r="AB114" i="10"/>
  <c r="AB118" i="10"/>
  <c r="AB122" i="10"/>
  <c r="AB124" i="10"/>
  <c r="AB126" i="10"/>
  <c r="AB128" i="10"/>
  <c r="AB132" i="10"/>
  <c r="AB134" i="10"/>
  <c r="AB136" i="10"/>
  <c r="AB138" i="10"/>
  <c r="AB140" i="10"/>
  <c r="AB142" i="10"/>
  <c r="AB148" i="10"/>
  <c r="AB150" i="10"/>
  <c r="AB152" i="10"/>
  <c r="AB156" i="10"/>
  <c r="AB158" i="10"/>
  <c r="AB160" i="10"/>
  <c r="AB162" i="10"/>
  <c r="AB164" i="10"/>
  <c r="AB166" i="10"/>
  <c r="AB168" i="10"/>
  <c r="AB170" i="10"/>
  <c r="AB172" i="10"/>
  <c r="AB174" i="10"/>
  <c r="AB176" i="10"/>
  <c r="AB178" i="10"/>
  <c r="AB180" i="10"/>
  <c r="AB184" i="10"/>
  <c r="AB186" i="10"/>
  <c r="AB190" i="10"/>
  <c r="AB192" i="10"/>
  <c r="AB194" i="10"/>
  <c r="AB151" i="10"/>
  <c r="AB153" i="10"/>
  <c r="AB157" i="10"/>
  <c r="AB159" i="10"/>
  <c r="AB161" i="10"/>
  <c r="AB163" i="10"/>
  <c r="AB165" i="10"/>
  <c r="AB167" i="10"/>
  <c r="AB169" i="10"/>
  <c r="AB171" i="10"/>
  <c r="AB173" i="10"/>
  <c r="AB175" i="10"/>
  <c r="AB177" i="10"/>
  <c r="AB179" i="10"/>
  <c r="AB181" i="10"/>
  <c r="AB189" i="10"/>
  <c r="AB191" i="10"/>
  <c r="AB195" i="10"/>
  <c r="AB149" i="10"/>
  <c r="AB154" i="10"/>
  <c r="AB155" i="10"/>
  <c r="AB201" i="10"/>
  <c r="AB203" i="10"/>
  <c r="AB205" i="10"/>
  <c r="AB207" i="10"/>
  <c r="AB209" i="10"/>
  <c r="AB211" i="10"/>
  <c r="AB213" i="10"/>
  <c r="AB215" i="10"/>
  <c r="AB217" i="10"/>
  <c r="AB219" i="10"/>
  <c r="AB221" i="10"/>
  <c r="AB223" i="10"/>
  <c r="AB225" i="10"/>
  <c r="AB227" i="10"/>
  <c r="AB229" i="10"/>
  <c r="AB231" i="10"/>
  <c r="AB235" i="10"/>
  <c r="AB237" i="10"/>
  <c r="AB239" i="10"/>
  <c r="AB241" i="10"/>
  <c r="AB245" i="10"/>
  <c r="AB196" i="10"/>
  <c r="AB197" i="10"/>
  <c r="AB198" i="10"/>
  <c r="AB199" i="10"/>
  <c r="AB200" i="10"/>
  <c r="AB202" i="10"/>
  <c r="AB204" i="10"/>
  <c r="AB206" i="10"/>
  <c r="AB208" i="10"/>
  <c r="AB210" i="10"/>
  <c r="AB212" i="10"/>
  <c r="AB214" i="10"/>
  <c r="AB216" i="10"/>
  <c r="AB218" i="10"/>
  <c r="AB220" i="10"/>
  <c r="AB222" i="10"/>
  <c r="AB224" i="10"/>
  <c r="AB226" i="10"/>
  <c r="AB228" i="10"/>
  <c r="AB230" i="10"/>
  <c r="AB240" i="10"/>
  <c r="AB248" i="10"/>
  <c r="AB250" i="10"/>
  <c r="AB252" i="10"/>
  <c r="AB254" i="10"/>
  <c r="AB256" i="10"/>
  <c r="AB258" i="10"/>
  <c r="AB260" i="10"/>
  <c r="AB262" i="10"/>
  <c r="AB268" i="10"/>
  <c r="AB270" i="10"/>
  <c r="AB274" i="10"/>
  <c r="AB280" i="10"/>
  <c r="AB282" i="10"/>
  <c r="AB284" i="10"/>
  <c r="AB286" i="10"/>
  <c r="AB288" i="10"/>
  <c r="AB290" i="10"/>
  <c r="AB292" i="10"/>
  <c r="AB294" i="10"/>
  <c r="AB246" i="10"/>
  <c r="AB249" i="10"/>
  <c r="AB251" i="10"/>
  <c r="AB253" i="10"/>
  <c r="AB255" i="10"/>
  <c r="AB257" i="10"/>
  <c r="AB259" i="10"/>
  <c r="AB261" i="10"/>
  <c r="AB263" i="10"/>
  <c r="AB271" i="10"/>
  <c r="AB275" i="10"/>
  <c r="AB277" i="10"/>
  <c r="AB279" i="10"/>
  <c r="AB281" i="10"/>
  <c r="AB283" i="10"/>
  <c r="AB285" i="10"/>
  <c r="AB287" i="10"/>
  <c r="AB289" i="10"/>
  <c r="AB291" i="10"/>
  <c r="AB295" i="10"/>
  <c r="AB298" i="10"/>
  <c r="AB299" i="10"/>
  <c r="AB300" i="10"/>
  <c r="AB305" i="10"/>
  <c r="AB307" i="10"/>
  <c r="AB309" i="10"/>
  <c r="AB311" i="10"/>
  <c r="AB315" i="10"/>
  <c r="AB317" i="10"/>
  <c r="AB319" i="10"/>
  <c r="AB321" i="10"/>
  <c r="AB323" i="10"/>
  <c r="AB325" i="10"/>
  <c r="AB327" i="10"/>
  <c r="AB329" i="10"/>
  <c r="AB331" i="10"/>
  <c r="AB333" i="10"/>
  <c r="AB335" i="10"/>
  <c r="AB337" i="10"/>
  <c r="AB339" i="10"/>
  <c r="AB341" i="10"/>
  <c r="AB343" i="10"/>
  <c r="AB347" i="10"/>
  <c r="AB301" i="10"/>
  <c r="AB302" i="10"/>
  <c r="AB303" i="10"/>
  <c r="AB296" i="10"/>
  <c r="AB304" i="10"/>
  <c r="AB306" i="10"/>
  <c r="AB308" i="10"/>
  <c r="AB310" i="10"/>
  <c r="AB312" i="10"/>
  <c r="AB314" i="10"/>
  <c r="AB316" i="10"/>
  <c r="AB318" i="10"/>
  <c r="AB320" i="10"/>
  <c r="AB322" i="10"/>
  <c r="AB324" i="10"/>
  <c r="AB326" i="10"/>
  <c r="AB328" i="10"/>
  <c r="AB330" i="10"/>
  <c r="AB332" i="10"/>
  <c r="AB334" i="10"/>
  <c r="AB336" i="10"/>
  <c r="AB338" i="10"/>
  <c r="AB340" i="10"/>
  <c r="AB342" i="10"/>
  <c r="AB344" i="10"/>
  <c r="AB346" i="10"/>
  <c r="AB48" i="10"/>
  <c r="AB40" i="10"/>
  <c r="AB32" i="10"/>
  <c r="AB30" i="10"/>
  <c r="AB47" i="10"/>
  <c r="AB31" i="10"/>
  <c r="AB46" i="10"/>
  <c r="AB49" i="10"/>
  <c r="S57" i="15"/>
  <c r="K54" i="14"/>
  <c r="J54" i="14"/>
  <c r="K23" i="14"/>
  <c r="J23" i="14"/>
  <c r="F54" i="14"/>
  <c r="I54" i="14"/>
  <c r="L54" i="14" s="1"/>
  <c r="L23" i="14"/>
  <c r="I23" i="14"/>
  <c r="U58" i="15"/>
  <c r="V58" i="15" s="1"/>
  <c r="I17" i="15"/>
  <c r="Q17" i="15"/>
  <c r="AC17" i="15"/>
  <c r="C17" i="15"/>
  <c r="K17" i="15"/>
  <c r="S17" i="15"/>
  <c r="AF17" i="15"/>
  <c r="D17" i="15"/>
  <c r="L17" i="15"/>
  <c r="T17" i="15"/>
  <c r="AJ17" i="15"/>
  <c r="E17" i="15"/>
  <c r="M17" i="15"/>
  <c r="U17" i="15"/>
  <c r="AK17" i="15"/>
  <c r="H17" i="15"/>
  <c r="P17" i="15"/>
  <c r="Y17" i="15"/>
  <c r="R17" i="15"/>
  <c r="W17" i="15"/>
  <c r="G17" i="15"/>
  <c r="V17" i="15"/>
  <c r="F17" i="15"/>
  <c r="J17" i="15"/>
  <c r="N17" i="15"/>
  <c r="O17" i="15"/>
  <c r="A16" i="15"/>
  <c r="AE17" i="15"/>
  <c r="M58" i="15"/>
  <c r="N58" i="15" s="1"/>
  <c r="O58" i="15" s="1"/>
  <c r="P58" i="15" s="1"/>
  <c r="K59" i="15"/>
  <c r="AJ59" i="15"/>
  <c r="L59" i="15"/>
  <c r="AK59" i="15"/>
  <c r="E59" i="15"/>
  <c r="AO59" i="15"/>
  <c r="G59" i="15"/>
  <c r="Y59" i="15"/>
  <c r="J59" i="15"/>
  <c r="AF59" i="15"/>
  <c r="A60" i="15"/>
  <c r="F59" i="15"/>
  <c r="I59" i="15"/>
  <c r="W59" i="15"/>
  <c r="H59" i="15"/>
  <c r="AC59" i="15"/>
  <c r="AE59" i="15"/>
  <c r="Q58" i="15"/>
  <c r="R58" i="15" s="1"/>
  <c r="H23" i="14"/>
  <c r="G23" i="14"/>
  <c r="Q28" i="11"/>
  <c r="R28" i="11"/>
  <c r="S28" i="11"/>
  <c r="F28" i="11"/>
  <c r="E28" i="11"/>
  <c r="N28" i="11"/>
  <c r="O28" i="11"/>
  <c r="P28" i="11"/>
  <c r="T28" i="11"/>
  <c r="L28" i="11"/>
  <c r="U28" i="11"/>
  <c r="J28" i="11"/>
  <c r="G28" i="11"/>
  <c r="H28" i="11"/>
  <c r="K28" i="11"/>
  <c r="M28" i="11"/>
  <c r="I35" i="7"/>
  <c r="L35" i="7"/>
  <c r="N35" i="7"/>
  <c r="P35" i="7"/>
  <c r="R35" i="7"/>
  <c r="U35" i="7"/>
  <c r="X35" i="7"/>
  <c r="A34" i="7"/>
  <c r="AA35" i="7"/>
  <c r="J35" i="7"/>
  <c r="D35" i="7"/>
  <c r="M35" i="7"/>
  <c r="F35" i="7"/>
  <c r="O35" i="7"/>
  <c r="AB35" i="7"/>
  <c r="Q35" i="7"/>
  <c r="S35" i="7"/>
  <c r="V35" i="7"/>
  <c r="B35" i="7"/>
  <c r="Y35" i="7"/>
  <c r="E35" i="7"/>
  <c r="G35" i="7"/>
  <c r="C35" i="7"/>
  <c r="H35" i="7"/>
  <c r="T35" i="7"/>
  <c r="W35" i="7"/>
  <c r="N35" i="9"/>
  <c r="O35" i="9"/>
  <c r="P35" i="9"/>
  <c r="Q35" i="9"/>
  <c r="R35" i="9"/>
  <c r="Z35" i="9"/>
  <c r="T35" i="9"/>
  <c r="AB35" i="9"/>
  <c r="M35" i="9"/>
  <c r="U35" i="9"/>
  <c r="AC35" i="9"/>
  <c r="V35" i="9"/>
  <c r="S35" i="9"/>
  <c r="W35" i="9"/>
  <c r="Y35" i="9"/>
  <c r="X35" i="9"/>
  <c r="AA35" i="9"/>
  <c r="E54" i="14"/>
  <c r="G54" i="14" s="1"/>
  <c r="A55" i="14"/>
  <c r="N46" i="11"/>
  <c r="T46" i="11" s="1"/>
  <c r="F23" i="14"/>
  <c r="E23" i="14"/>
  <c r="A22" i="14"/>
  <c r="A22" i="13"/>
  <c r="B22" i="13" s="1"/>
  <c r="B54" i="13"/>
  <c r="A55" i="13"/>
  <c r="W39" i="9"/>
  <c r="D70" i="7"/>
  <c r="E70" i="7" s="1"/>
  <c r="F70" i="7"/>
  <c r="K70" i="7"/>
  <c r="L70" i="7" s="1"/>
  <c r="N70" i="7"/>
  <c r="I70" i="7"/>
  <c r="P70" i="7"/>
  <c r="Z70" i="7"/>
  <c r="AA70" i="7" s="1"/>
  <c r="X70" i="7"/>
  <c r="H71" i="7"/>
  <c r="T71" i="7"/>
  <c r="U71" i="7" s="1"/>
  <c r="C71" i="7"/>
  <c r="A72" i="7"/>
  <c r="B71" i="7"/>
  <c r="W71" i="7"/>
  <c r="R71" i="7"/>
  <c r="S71" i="7" s="1"/>
  <c r="S47" i="11"/>
  <c r="R47" i="11"/>
  <c r="Q47" i="11"/>
  <c r="L47" i="11"/>
  <c r="O47" i="11" s="1"/>
  <c r="K47" i="11"/>
  <c r="J47" i="11"/>
  <c r="M47" i="11" s="1"/>
  <c r="I48" i="11"/>
  <c r="H48" i="11"/>
  <c r="E48" i="11"/>
  <c r="G48" i="11" s="1"/>
  <c r="A49" i="11"/>
  <c r="F49" i="11" s="1"/>
  <c r="P48" i="11"/>
  <c r="I28" i="11"/>
  <c r="A27" i="11"/>
  <c r="N26" i="10"/>
  <c r="M27" i="10"/>
  <c r="AC27" i="10" s="1"/>
  <c r="AX27" i="3"/>
  <c r="AX26" i="3" s="1"/>
  <c r="G58" i="7"/>
  <c r="G131" i="3"/>
  <c r="G66" i="7"/>
  <c r="G64" i="7"/>
  <c r="G45" i="7"/>
  <c r="G61" i="7"/>
  <c r="G51" i="7"/>
  <c r="G47" i="7"/>
  <c r="G55" i="7"/>
  <c r="G56" i="7"/>
  <c r="G42" i="7"/>
  <c r="G53" i="7"/>
  <c r="G57" i="7"/>
  <c r="G46" i="7"/>
  <c r="G69" i="7"/>
  <c r="G41" i="7"/>
  <c r="G54" i="7"/>
  <c r="G65" i="7"/>
  <c r="G52" i="7"/>
  <c r="G38" i="7"/>
  <c r="J38" i="9"/>
  <c r="R38" i="9" s="1"/>
  <c r="E43" i="7"/>
  <c r="G43" i="7" s="1"/>
  <c r="H41" i="9"/>
  <c r="E41" i="9"/>
  <c r="I41" i="9"/>
  <c r="J41" i="9" s="1"/>
  <c r="R41" i="9" s="1"/>
  <c r="F41" i="9"/>
  <c r="G41" i="9"/>
  <c r="F35" i="9"/>
  <c r="G35" i="9"/>
  <c r="H35" i="9"/>
  <c r="E35" i="9"/>
  <c r="I35" i="9"/>
  <c r="E59" i="7"/>
  <c r="A34" i="9"/>
  <c r="J34" i="9" s="1"/>
  <c r="A42" i="9"/>
  <c r="E39" i="7"/>
  <c r="G39" i="7" s="1"/>
  <c r="E48" i="7"/>
  <c r="G48" i="7" s="1"/>
  <c r="E67" i="7"/>
  <c r="E49" i="7"/>
  <c r="G50" i="7" s="1"/>
  <c r="AR349" i="3" l="1"/>
  <c r="AR350" i="3"/>
  <c r="AR351" i="3"/>
  <c r="AR352" i="3"/>
  <c r="AR172" i="3"/>
  <c r="AR120" i="3"/>
  <c r="AR313" i="3"/>
  <c r="AR307" i="3"/>
  <c r="AR265" i="3"/>
  <c r="AR129" i="3"/>
  <c r="AR314" i="3"/>
  <c r="AR272" i="3"/>
  <c r="AR78" i="3"/>
  <c r="AR306" i="3"/>
  <c r="AR229" i="3"/>
  <c r="AR145" i="3"/>
  <c r="AR45" i="3"/>
  <c r="AR185" i="3"/>
  <c r="AR284" i="3"/>
  <c r="AR44" i="3"/>
  <c r="AR232" i="3"/>
  <c r="AR50" i="3"/>
  <c r="AR196" i="3"/>
  <c r="AR317" i="3"/>
  <c r="AR144" i="3"/>
  <c r="AR282" i="3"/>
  <c r="AR28" i="3"/>
  <c r="AR161" i="3"/>
  <c r="AR298" i="3"/>
  <c r="AR249" i="3"/>
  <c r="AR137" i="3"/>
  <c r="AR274" i="3"/>
  <c r="AR104" i="3"/>
  <c r="AR100" i="3"/>
  <c r="AR243" i="3"/>
  <c r="AR150" i="3"/>
  <c r="AR59" i="3"/>
  <c r="AR215" i="3"/>
  <c r="AR324" i="3"/>
  <c r="AR305" i="3"/>
  <c r="AR74" i="3"/>
  <c r="AR223" i="3"/>
  <c r="AR84" i="3"/>
  <c r="AR157" i="3"/>
  <c r="AR297" i="3"/>
  <c r="AR41" i="3"/>
  <c r="AR176" i="3"/>
  <c r="AR310" i="3"/>
  <c r="AR90" i="3"/>
  <c r="AR147" i="3"/>
  <c r="AR286" i="3"/>
  <c r="AR188" i="3"/>
  <c r="AR121" i="3"/>
  <c r="AR266" i="3"/>
  <c r="AR290" i="3"/>
  <c r="AR79" i="3"/>
  <c r="AR231" i="3"/>
  <c r="AR88" i="3"/>
  <c r="AR89" i="3"/>
  <c r="AR234" i="3"/>
  <c r="AR247" i="3"/>
  <c r="AR175" i="3"/>
  <c r="AR308" i="3"/>
  <c r="AR52" i="3"/>
  <c r="AR200" i="3"/>
  <c r="AR321" i="3"/>
  <c r="AR33" i="3"/>
  <c r="AR162" i="3"/>
  <c r="AR300" i="3"/>
  <c r="AR269" i="3"/>
  <c r="AR138" i="3"/>
  <c r="AR275" i="3"/>
  <c r="AR49" i="3"/>
  <c r="AR101" i="3"/>
  <c r="AR244" i="3"/>
  <c r="AQ27" i="3"/>
  <c r="AQ276" i="3" s="1"/>
  <c r="AR152" i="3"/>
  <c r="AR105" i="3"/>
  <c r="AR256" i="3"/>
  <c r="AR37" i="3"/>
  <c r="AR199" i="3"/>
  <c r="AR318" i="3"/>
  <c r="AR76" i="3"/>
  <c r="AR225" i="3"/>
  <c r="AR60" i="3"/>
  <c r="AR42" i="3"/>
  <c r="AR181" i="3"/>
  <c r="AR311" i="3"/>
  <c r="AR75" i="3"/>
  <c r="AR148" i="3"/>
  <c r="AR288" i="3"/>
  <c r="AR141" i="3"/>
  <c r="AR124" i="3"/>
  <c r="AR267" i="3"/>
  <c r="AR233" i="3"/>
  <c r="AR128" i="3"/>
  <c r="AR270" i="3"/>
  <c r="AR218" i="3"/>
  <c r="AR224" i="3"/>
  <c r="AR140" i="3"/>
  <c r="AR98" i="3"/>
  <c r="AR238" i="3"/>
  <c r="AR168" i="3"/>
  <c r="AR55" i="3"/>
  <c r="AR205" i="3"/>
  <c r="AR322" i="3"/>
  <c r="AR34" i="3"/>
  <c r="AR163" i="3"/>
  <c r="AR302" i="3"/>
  <c r="AR293" i="3"/>
  <c r="AR139" i="3"/>
  <c r="AR276" i="3"/>
  <c r="AR36" i="3"/>
  <c r="AR280" i="3"/>
  <c r="AR142" i="3"/>
  <c r="AR281" i="3"/>
  <c r="AR39" i="3"/>
  <c r="AR236" i="3"/>
  <c r="AR268" i="3"/>
  <c r="AR119" i="3"/>
  <c r="AR264" i="3"/>
  <c r="AR278" i="3"/>
  <c r="AR77" i="3"/>
  <c r="AR228" i="3"/>
  <c r="AR103" i="3"/>
  <c r="AR43" i="3"/>
  <c r="AR182" i="3"/>
  <c r="AR312" i="3"/>
  <c r="AR51" i="3"/>
  <c r="AR149" i="3"/>
  <c r="AR289" i="3"/>
  <c r="AR125" i="3"/>
  <c r="AR315" i="3"/>
  <c r="AR156" i="3"/>
  <c r="AR296" i="3"/>
  <c r="AR116" i="3"/>
  <c r="AR257" i="3"/>
  <c r="AR126" i="3"/>
  <c r="AR130" i="3"/>
  <c r="AR273" i="3"/>
  <c r="AR61" i="3"/>
  <c r="AR99" i="3"/>
  <c r="AR242" i="3"/>
  <c r="AR217" i="3"/>
  <c r="AR58" i="3"/>
  <c r="AR210" i="3"/>
  <c r="AR323" i="3"/>
  <c r="AR35" i="3"/>
  <c r="AR164" i="3"/>
  <c r="AR304" i="3"/>
  <c r="G62" i="7"/>
  <c r="J63" i="7" s="1"/>
  <c r="Z61" i="16"/>
  <c r="AQ34" i="3"/>
  <c r="AQ74" i="3"/>
  <c r="U46" i="11"/>
  <c r="G67" i="7"/>
  <c r="J67" i="7" s="1"/>
  <c r="G59" i="7"/>
  <c r="J59" i="7" s="1"/>
  <c r="G12" i="16"/>
  <c r="H12" i="16" s="1"/>
  <c r="R62" i="16"/>
  <c r="U63" i="16" s="1"/>
  <c r="E11" i="16"/>
  <c r="M11" i="16"/>
  <c r="V11" i="16"/>
  <c r="P11" i="16"/>
  <c r="X11" i="16"/>
  <c r="AE11" i="9" s="1"/>
  <c r="A10" i="16"/>
  <c r="Q11" i="16"/>
  <c r="Y11" i="16"/>
  <c r="I11" i="16"/>
  <c r="R11" i="16"/>
  <c r="Z11" i="16"/>
  <c r="C11" i="16"/>
  <c r="K11" i="16"/>
  <c r="T11" i="16"/>
  <c r="S11" i="16"/>
  <c r="B11" i="16"/>
  <c r="W11" i="16"/>
  <c r="D11" i="16"/>
  <c r="O11" i="16"/>
  <c r="F11" i="16"/>
  <c r="J11" i="16"/>
  <c r="L11" i="16"/>
  <c r="U11" i="16"/>
  <c r="V63" i="16"/>
  <c r="W63" i="16" s="1"/>
  <c r="Y63" i="16" s="1"/>
  <c r="X63" i="16" s="1"/>
  <c r="AE63" i="9" s="1"/>
  <c r="B65" i="16"/>
  <c r="M65" i="16"/>
  <c r="A66" i="16"/>
  <c r="J65" i="16"/>
  <c r="I65" i="16"/>
  <c r="C64" i="16"/>
  <c r="D64" i="16"/>
  <c r="E64" i="16"/>
  <c r="S64" i="16" s="1"/>
  <c r="F64" i="16"/>
  <c r="T64" i="16" s="1"/>
  <c r="O64" i="16"/>
  <c r="P64" i="16"/>
  <c r="Q63" i="16"/>
  <c r="G63" i="16"/>
  <c r="H63" i="16" s="1"/>
  <c r="K64" i="16"/>
  <c r="L64" i="16"/>
  <c r="AC53" i="10"/>
  <c r="AC57" i="10"/>
  <c r="AC63" i="10"/>
  <c r="AC65" i="10"/>
  <c r="AC67" i="10"/>
  <c r="AC69" i="10"/>
  <c r="AC71" i="10"/>
  <c r="AC73" i="10"/>
  <c r="AC81" i="10"/>
  <c r="AC83" i="10"/>
  <c r="AC85" i="10"/>
  <c r="AC87" i="10"/>
  <c r="AC91" i="10"/>
  <c r="AC93" i="10"/>
  <c r="AC95" i="10"/>
  <c r="AC97" i="10"/>
  <c r="AC107" i="10"/>
  <c r="AC68" i="10"/>
  <c r="AC109" i="10"/>
  <c r="AC111" i="10"/>
  <c r="AC113" i="10"/>
  <c r="AC115" i="10"/>
  <c r="AC117" i="10"/>
  <c r="AC123" i="10"/>
  <c r="AC125" i="10"/>
  <c r="AC127" i="10"/>
  <c r="AC131" i="10"/>
  <c r="AC133" i="10"/>
  <c r="AC135" i="10"/>
  <c r="AC137" i="10"/>
  <c r="AC139" i="10"/>
  <c r="AC141" i="10"/>
  <c r="AC64" i="10"/>
  <c r="AC80" i="10"/>
  <c r="AC96" i="10"/>
  <c r="AC54" i="10"/>
  <c r="AC70" i="10"/>
  <c r="AC86" i="10"/>
  <c r="AC92" i="10"/>
  <c r="AC66" i="10"/>
  <c r="AC82" i="10"/>
  <c r="AC106" i="10"/>
  <c r="AC108" i="10"/>
  <c r="AC110" i="10"/>
  <c r="AC112" i="10"/>
  <c r="AC114" i="10"/>
  <c r="AC118" i="10"/>
  <c r="AC122" i="10"/>
  <c r="AC124" i="10"/>
  <c r="AC126" i="10"/>
  <c r="AC128" i="10"/>
  <c r="AC132" i="10"/>
  <c r="AC134" i="10"/>
  <c r="AC136" i="10"/>
  <c r="AC138" i="10"/>
  <c r="AC140" i="10"/>
  <c r="AC142" i="10"/>
  <c r="AC56" i="10"/>
  <c r="AC72" i="10"/>
  <c r="AC102" i="10"/>
  <c r="AC62" i="10"/>
  <c r="AC156" i="10"/>
  <c r="AC158" i="10"/>
  <c r="AC160" i="10"/>
  <c r="AC162" i="10"/>
  <c r="AC164" i="10"/>
  <c r="AC166" i="10"/>
  <c r="AC168" i="10"/>
  <c r="AC170" i="10"/>
  <c r="AC172" i="10"/>
  <c r="AC174" i="10"/>
  <c r="AC176" i="10"/>
  <c r="AC178" i="10"/>
  <c r="AC180" i="10"/>
  <c r="AC184" i="10"/>
  <c r="AC186" i="10"/>
  <c r="AC190" i="10"/>
  <c r="AC192" i="10"/>
  <c r="AC194" i="10"/>
  <c r="AC152" i="10"/>
  <c r="AC150" i="10"/>
  <c r="AC151" i="10"/>
  <c r="AC153" i="10"/>
  <c r="AC157" i="10"/>
  <c r="AC159" i="10"/>
  <c r="AC161" i="10"/>
  <c r="AC163" i="10"/>
  <c r="AC165" i="10"/>
  <c r="AC167" i="10"/>
  <c r="AC169" i="10"/>
  <c r="AC171" i="10"/>
  <c r="AC173" i="10"/>
  <c r="AC175" i="10"/>
  <c r="AC177" i="10"/>
  <c r="AC179" i="10"/>
  <c r="AC181" i="10"/>
  <c r="AC189" i="10"/>
  <c r="AC191" i="10"/>
  <c r="AC195" i="10"/>
  <c r="AC197" i="10"/>
  <c r="AC199" i="10"/>
  <c r="AC148" i="10"/>
  <c r="AC149" i="10"/>
  <c r="AC154" i="10"/>
  <c r="AC94" i="10"/>
  <c r="AC147" i="10"/>
  <c r="AC155" i="10"/>
  <c r="AC201" i="10"/>
  <c r="AC203" i="10"/>
  <c r="AC205" i="10"/>
  <c r="AC207" i="10"/>
  <c r="AC209" i="10"/>
  <c r="AC211" i="10"/>
  <c r="AC213" i="10"/>
  <c r="AC215" i="10"/>
  <c r="AC217" i="10"/>
  <c r="AC219" i="10"/>
  <c r="AC221" i="10"/>
  <c r="AC223" i="10"/>
  <c r="AC225" i="10"/>
  <c r="AC227" i="10"/>
  <c r="AC229" i="10"/>
  <c r="AC231" i="10"/>
  <c r="AC235" i="10"/>
  <c r="AC237" i="10"/>
  <c r="AC239" i="10"/>
  <c r="AC241" i="10"/>
  <c r="AC245" i="10"/>
  <c r="AC196" i="10"/>
  <c r="AC198" i="10"/>
  <c r="AC200" i="10"/>
  <c r="AC202" i="10"/>
  <c r="AC204" i="10"/>
  <c r="AC206" i="10"/>
  <c r="AC208" i="10"/>
  <c r="AC210" i="10"/>
  <c r="AC212" i="10"/>
  <c r="AC214" i="10"/>
  <c r="AC216" i="10"/>
  <c r="AC218" i="10"/>
  <c r="AC220" i="10"/>
  <c r="AC222" i="10"/>
  <c r="AC224" i="10"/>
  <c r="AC226" i="10"/>
  <c r="AC228" i="10"/>
  <c r="AC230" i="10"/>
  <c r="AC240" i="10"/>
  <c r="AC246" i="10"/>
  <c r="AC248" i="10"/>
  <c r="AC250" i="10"/>
  <c r="AC252" i="10"/>
  <c r="AC254" i="10"/>
  <c r="AC256" i="10"/>
  <c r="AC258" i="10"/>
  <c r="AC260" i="10"/>
  <c r="AC262" i="10"/>
  <c r="AC268" i="10"/>
  <c r="AC270" i="10"/>
  <c r="AC274" i="10"/>
  <c r="AC280" i="10"/>
  <c r="AC282" i="10"/>
  <c r="AC284" i="10"/>
  <c r="AC286" i="10"/>
  <c r="AC288" i="10"/>
  <c r="AC290" i="10"/>
  <c r="AC292" i="10"/>
  <c r="AC294" i="10"/>
  <c r="AC249" i="10"/>
  <c r="AC251" i="10"/>
  <c r="AC253" i="10"/>
  <c r="AC255" i="10"/>
  <c r="AC257" i="10"/>
  <c r="AC259" i="10"/>
  <c r="AC261" i="10"/>
  <c r="AC263" i="10"/>
  <c r="AC271" i="10"/>
  <c r="AC275" i="10"/>
  <c r="AC277" i="10"/>
  <c r="AC279" i="10"/>
  <c r="AC281" i="10"/>
  <c r="AC283" i="10"/>
  <c r="AC285" i="10"/>
  <c r="AC287" i="10"/>
  <c r="AC289" i="10"/>
  <c r="AC291" i="10"/>
  <c r="AC295" i="10"/>
  <c r="AC298" i="10"/>
  <c r="AC299" i="10"/>
  <c r="AC343" i="10"/>
  <c r="AC347" i="10"/>
  <c r="AC304" i="10"/>
  <c r="AC300" i="10"/>
  <c r="AC305" i="10"/>
  <c r="AC307" i="10"/>
  <c r="AC309" i="10"/>
  <c r="AC311" i="10"/>
  <c r="AC315" i="10"/>
  <c r="AC317" i="10"/>
  <c r="AC319" i="10"/>
  <c r="AC321" i="10"/>
  <c r="AC323" i="10"/>
  <c r="AC325" i="10"/>
  <c r="AC327" i="10"/>
  <c r="AC329" i="10"/>
  <c r="AC331" i="10"/>
  <c r="AC333" i="10"/>
  <c r="AC335" i="10"/>
  <c r="AC337" i="10"/>
  <c r="AC339" i="10"/>
  <c r="AC341" i="10"/>
  <c r="AC301" i="10"/>
  <c r="AC296" i="10"/>
  <c r="AC302" i="10"/>
  <c r="AC306" i="10"/>
  <c r="AC303" i="10"/>
  <c r="AC318" i="10"/>
  <c r="AC334" i="10"/>
  <c r="AC308" i="10"/>
  <c r="AC324" i="10"/>
  <c r="AC314" i="10"/>
  <c r="AC330" i="10"/>
  <c r="AC346" i="10"/>
  <c r="AC320" i="10"/>
  <c r="AC336" i="10"/>
  <c r="AC344" i="10"/>
  <c r="AC310" i="10"/>
  <c r="AC326" i="10"/>
  <c r="AC342" i="10"/>
  <c r="AC316" i="10"/>
  <c r="AC332" i="10"/>
  <c r="AC328" i="10"/>
  <c r="AC340" i="10"/>
  <c r="AC322" i="10"/>
  <c r="AC338" i="10"/>
  <c r="AC312" i="10"/>
  <c r="AC47" i="10"/>
  <c r="AC31" i="10"/>
  <c r="AC40" i="10"/>
  <c r="AC46" i="10"/>
  <c r="AC30" i="10"/>
  <c r="AC32" i="10"/>
  <c r="AC48" i="10"/>
  <c r="AC49" i="10"/>
  <c r="K55" i="14"/>
  <c r="J55" i="14"/>
  <c r="K22" i="14"/>
  <c r="J22" i="14"/>
  <c r="F55" i="14"/>
  <c r="I55" i="14"/>
  <c r="L55" i="14" s="1"/>
  <c r="H54" i="14"/>
  <c r="L22" i="14"/>
  <c r="I22" i="14"/>
  <c r="S58" i="15"/>
  <c r="Q59" i="15"/>
  <c r="R59" i="15" s="1"/>
  <c r="E16" i="15"/>
  <c r="M16" i="15"/>
  <c r="U16" i="15"/>
  <c r="AK16" i="15"/>
  <c r="G16" i="15"/>
  <c r="O16" i="15"/>
  <c r="W16" i="15"/>
  <c r="H16" i="15"/>
  <c r="P16" i="15"/>
  <c r="Y16" i="15"/>
  <c r="I16" i="15"/>
  <c r="Q16" i="15"/>
  <c r="AC16" i="15"/>
  <c r="D16" i="15"/>
  <c r="L16" i="15"/>
  <c r="T16" i="15"/>
  <c r="AJ16" i="15"/>
  <c r="C16" i="15"/>
  <c r="AE16" i="15"/>
  <c r="J16" i="15"/>
  <c r="N16" i="15"/>
  <c r="R16" i="15"/>
  <c r="V16" i="15"/>
  <c r="F16" i="15"/>
  <c r="K16" i="15"/>
  <c r="S16" i="15"/>
  <c r="A15" i="15"/>
  <c r="AF16" i="15"/>
  <c r="M59" i="15"/>
  <c r="N59" i="15" s="1"/>
  <c r="O59" i="15" s="1"/>
  <c r="P59" i="15" s="1"/>
  <c r="I60" i="15"/>
  <c r="AE60" i="15"/>
  <c r="J60" i="15"/>
  <c r="AF60" i="15"/>
  <c r="K60" i="15"/>
  <c r="AJ60" i="15"/>
  <c r="E60" i="15"/>
  <c r="AO60" i="15"/>
  <c r="G60" i="15"/>
  <c r="Y60" i="15"/>
  <c r="H60" i="15"/>
  <c r="AC60" i="15"/>
  <c r="L60" i="15"/>
  <c r="W60" i="15"/>
  <c r="A61" i="15"/>
  <c r="F60" i="15"/>
  <c r="AK60" i="15"/>
  <c r="U59" i="15"/>
  <c r="V59" i="15" s="1"/>
  <c r="L27" i="11"/>
  <c r="Q27" i="11"/>
  <c r="R27" i="11"/>
  <c r="S27" i="11"/>
  <c r="F27" i="11"/>
  <c r="E27" i="11"/>
  <c r="M27" i="11"/>
  <c r="N27" i="11"/>
  <c r="O27" i="11"/>
  <c r="K27" i="11"/>
  <c r="P27" i="11"/>
  <c r="T27" i="11"/>
  <c r="H27" i="11"/>
  <c r="U27" i="11"/>
  <c r="G27" i="11"/>
  <c r="J27" i="11"/>
  <c r="G22" i="14"/>
  <c r="H22" i="14"/>
  <c r="I34" i="7"/>
  <c r="L34" i="7"/>
  <c r="N34" i="7"/>
  <c r="P34" i="7"/>
  <c r="R34" i="7"/>
  <c r="U34" i="7"/>
  <c r="X34" i="7"/>
  <c r="Z35" i="7"/>
  <c r="K35" i="7"/>
  <c r="A33" i="7"/>
  <c r="AB34" i="7"/>
  <c r="G34" i="7"/>
  <c r="AA34" i="7"/>
  <c r="J34" i="7"/>
  <c r="D34" i="7"/>
  <c r="M34" i="7"/>
  <c r="F34" i="7"/>
  <c r="O34" i="7"/>
  <c r="Q34" i="7"/>
  <c r="Y34" i="7"/>
  <c r="E34" i="7"/>
  <c r="S34" i="7"/>
  <c r="V34" i="7"/>
  <c r="B34" i="7"/>
  <c r="C34" i="7"/>
  <c r="W34" i="7"/>
  <c r="T34" i="7"/>
  <c r="H34" i="7"/>
  <c r="Q34" i="9"/>
  <c r="R34" i="9"/>
  <c r="N34" i="9"/>
  <c r="O34" i="9"/>
  <c r="P34" i="9"/>
  <c r="S34" i="9"/>
  <c r="AA34" i="9"/>
  <c r="M34" i="9"/>
  <c r="U34" i="9"/>
  <c r="AC34" i="9"/>
  <c r="V34" i="9"/>
  <c r="W34" i="9"/>
  <c r="Z34" i="9"/>
  <c r="T34" i="9"/>
  <c r="X34" i="9"/>
  <c r="Y34" i="9"/>
  <c r="AB34" i="9"/>
  <c r="E55" i="14"/>
  <c r="G55" i="14" s="1"/>
  <c r="A56" i="14"/>
  <c r="N47" i="11"/>
  <c r="T47" i="11" s="1"/>
  <c r="F22" i="14"/>
  <c r="E22" i="14"/>
  <c r="A21" i="14"/>
  <c r="A21" i="13"/>
  <c r="B21" i="13" s="1"/>
  <c r="B55" i="13"/>
  <c r="A56" i="13"/>
  <c r="W38" i="9"/>
  <c r="G70" i="7"/>
  <c r="J70" i="7" s="1"/>
  <c r="X71" i="7"/>
  <c r="Z71" i="7"/>
  <c r="AA71" i="7" s="1"/>
  <c r="C72" i="7"/>
  <c r="T72" i="7"/>
  <c r="U72" i="7" s="1"/>
  <c r="R72" i="7"/>
  <c r="S72" i="7" s="1"/>
  <c r="B72" i="7"/>
  <c r="W72" i="7"/>
  <c r="H72" i="7"/>
  <c r="A73" i="7"/>
  <c r="F71" i="7"/>
  <c r="D71" i="7"/>
  <c r="E71" i="7" s="1"/>
  <c r="P71" i="7"/>
  <c r="N71" i="7"/>
  <c r="K71" i="7"/>
  <c r="L71" i="7" s="1"/>
  <c r="I71" i="7"/>
  <c r="Q48" i="11"/>
  <c r="S48" i="11"/>
  <c r="R48" i="11"/>
  <c r="K48" i="11"/>
  <c r="J48" i="11"/>
  <c r="M48" i="11" s="1"/>
  <c r="L48" i="11"/>
  <c r="O48" i="11" s="1"/>
  <c r="P49" i="11"/>
  <c r="I49" i="11"/>
  <c r="H49" i="11"/>
  <c r="E49" i="11"/>
  <c r="G49" i="11" s="1"/>
  <c r="A50" i="11"/>
  <c r="F50" i="11" s="1"/>
  <c r="I27" i="11"/>
  <c r="A26" i="11"/>
  <c r="O26" i="10"/>
  <c r="N27" i="10"/>
  <c r="AD27" i="10" s="1"/>
  <c r="AY27" i="3"/>
  <c r="AY26" i="3" s="1"/>
  <c r="H131" i="3"/>
  <c r="G60" i="7"/>
  <c r="J61" i="7" s="1"/>
  <c r="G40" i="7"/>
  <c r="J40" i="7" s="1"/>
  <c r="G68" i="7"/>
  <c r="G49" i="7"/>
  <c r="J49" i="7" s="1"/>
  <c r="G44" i="7"/>
  <c r="J44" i="7" s="1"/>
  <c r="G34" i="9"/>
  <c r="H34" i="9"/>
  <c r="E34" i="9"/>
  <c r="I34" i="9"/>
  <c r="F34" i="9"/>
  <c r="G42" i="9"/>
  <c r="H42" i="9"/>
  <c r="E42" i="9"/>
  <c r="I42" i="9"/>
  <c r="J42" i="9" s="1"/>
  <c r="R42" i="9" s="1"/>
  <c r="F42" i="9"/>
  <c r="J42" i="7"/>
  <c r="A33" i="9"/>
  <c r="J33" i="9" s="1"/>
  <c r="A43" i="9"/>
  <c r="J64" i="7"/>
  <c r="J51" i="7"/>
  <c r="J43" i="7"/>
  <c r="J46" i="7"/>
  <c r="J39" i="7"/>
  <c r="J56" i="7"/>
  <c r="J48" i="7"/>
  <c r="J55" i="7"/>
  <c r="J65" i="7"/>
  <c r="J66" i="7"/>
  <c r="J52" i="7"/>
  <c r="J47" i="7"/>
  <c r="J53" i="7"/>
  <c r="J57" i="7"/>
  <c r="J54" i="7"/>
  <c r="J58" i="7"/>
  <c r="AQ75" i="3" l="1"/>
  <c r="AQ298" i="3"/>
  <c r="AQ199" i="3"/>
  <c r="AQ139" i="3"/>
  <c r="AQ282" i="3"/>
  <c r="AQ231" i="3"/>
  <c r="AQ247" i="3"/>
  <c r="AQ176" i="3"/>
  <c r="AQ324" i="3"/>
  <c r="AQ88" i="3"/>
  <c r="AQ42" i="3"/>
  <c r="AQ218" i="3"/>
  <c r="AQ162" i="3"/>
  <c r="AQ293" i="3"/>
  <c r="AQ265" i="3"/>
  <c r="AQ217" i="3"/>
  <c r="AQ119" i="3"/>
  <c r="AQ196" i="3"/>
  <c r="AQ148" i="3"/>
  <c r="AQ281" i="3"/>
  <c r="AQ243" i="3"/>
  <c r="AQ232" i="3"/>
  <c r="AQ28" i="3"/>
  <c r="AQ60" i="3"/>
  <c r="AQ152" i="3"/>
  <c r="AQ84" i="3"/>
  <c r="AQ142" i="3"/>
  <c r="AQ45" i="3"/>
  <c r="AQ144" i="3"/>
  <c r="AQ41" i="3"/>
  <c r="AQ120" i="3"/>
  <c r="AQ311" i="3"/>
  <c r="AQ100" i="3"/>
  <c r="AQ302" i="3"/>
  <c r="AQ79" i="3"/>
  <c r="AQ289" i="3"/>
  <c r="AQ125" i="3"/>
  <c r="AQ171" i="3"/>
  <c r="AQ140" i="3"/>
  <c r="AQ156" i="3"/>
  <c r="AQ103" i="3"/>
  <c r="AQ157" i="3"/>
  <c r="AQ76" i="3"/>
  <c r="AQ137" i="3"/>
  <c r="AQ322" i="3"/>
  <c r="AQ121" i="3"/>
  <c r="AQ312" i="3"/>
  <c r="AQ101" i="3"/>
  <c r="AQ304" i="3"/>
  <c r="AQ185" i="3"/>
  <c r="AQ188" i="3"/>
  <c r="AQ168" i="3"/>
  <c r="AQ172" i="3"/>
  <c r="AQ150" i="3"/>
  <c r="AQ175" i="3"/>
  <c r="AQ130" i="3"/>
  <c r="AQ147" i="3"/>
  <c r="AQ52" i="3"/>
  <c r="AQ138" i="3"/>
  <c r="AQ323" i="3"/>
  <c r="AQ124" i="3"/>
  <c r="AQ313" i="3"/>
  <c r="AQ314" i="3"/>
  <c r="AQ233" i="3"/>
  <c r="AQ268" i="3"/>
  <c r="AQ223" i="3"/>
  <c r="AQ278" i="3"/>
  <c r="AQ224" i="3"/>
  <c r="AQ238" i="3"/>
  <c r="AQ181" i="3"/>
  <c r="AQ145" i="3"/>
  <c r="AQ163" i="3"/>
  <c r="AQ98" i="3"/>
  <c r="AQ149" i="3"/>
  <c r="AQ37" i="3"/>
  <c r="AQ249" i="3"/>
  <c r="AQ290" i="3"/>
  <c r="AQ234" i="3"/>
  <c r="AQ305" i="3"/>
  <c r="AQ236" i="3"/>
  <c r="AQ273" i="3"/>
  <c r="AQ205" i="3"/>
  <c r="AQ200" i="3"/>
  <c r="AQ182" i="3"/>
  <c r="AQ161" i="3"/>
  <c r="AQ164" i="3"/>
  <c r="AQ49" i="3"/>
  <c r="AQ269" i="3"/>
  <c r="AQ38" i="3"/>
  <c r="AQ256" i="3"/>
  <c r="AQ39" i="3"/>
  <c r="AQ257" i="3"/>
  <c r="AQ321" i="3"/>
  <c r="AQ228" i="3"/>
  <c r="AQ264" i="3"/>
  <c r="AQ210" i="3"/>
  <c r="AQ225" i="3"/>
  <c r="AQ183" i="3"/>
  <c r="AQ61" i="3"/>
  <c r="AQ280" i="3"/>
  <c r="AQ50" i="3"/>
  <c r="AQ270" i="3"/>
  <c r="AQ51" i="3"/>
  <c r="AQ272" i="3"/>
  <c r="AQ33" i="3"/>
  <c r="AQ242" i="3"/>
  <c r="AQ310" i="3"/>
  <c r="AQ229" i="3"/>
  <c r="AQ284" i="3"/>
  <c r="AQ215" i="3"/>
  <c r="AQ104" i="3"/>
  <c r="AQ306" i="3"/>
  <c r="AQ89" i="3"/>
  <c r="AQ296" i="3"/>
  <c r="AQ90" i="3"/>
  <c r="AQ297" i="3"/>
  <c r="AQ55" i="3"/>
  <c r="AQ274" i="3"/>
  <c r="AQ43" i="3"/>
  <c r="AQ266" i="3"/>
  <c r="AQ35" i="3"/>
  <c r="AQ244" i="3"/>
  <c r="AQ126" i="3"/>
  <c r="AQ315" i="3"/>
  <c r="AQ105" i="3"/>
  <c r="AQ307" i="3"/>
  <c r="AQ116" i="3"/>
  <c r="AQ308" i="3"/>
  <c r="AQ77" i="3"/>
  <c r="AQ286" i="3"/>
  <c r="AQ58" i="3"/>
  <c r="AQ275" i="3"/>
  <c r="AQ44" i="3"/>
  <c r="AQ267" i="3"/>
  <c r="AQ141" i="3"/>
  <c r="AQ36" i="3"/>
  <c r="AQ128" i="3"/>
  <c r="AQ317" i="3"/>
  <c r="AQ129" i="3"/>
  <c r="AQ318" i="3"/>
  <c r="AQ99" i="3"/>
  <c r="AQ300" i="3"/>
  <c r="AQ78" i="3"/>
  <c r="AQ288" i="3"/>
  <c r="AQ59" i="3"/>
  <c r="J62" i="7"/>
  <c r="AQ349" i="3"/>
  <c r="AQ350" i="3"/>
  <c r="AQ351" i="3"/>
  <c r="AQ352" i="3"/>
  <c r="R63" i="16"/>
  <c r="U64" i="16" s="1"/>
  <c r="V64" i="16" s="1"/>
  <c r="W64" i="16" s="1"/>
  <c r="Y64" i="16" s="1"/>
  <c r="X64" i="16" s="1"/>
  <c r="AE64" i="9" s="1"/>
  <c r="U47" i="11"/>
  <c r="H55" i="14"/>
  <c r="Q64" i="16"/>
  <c r="G64" i="16"/>
  <c r="R64" i="16" s="1"/>
  <c r="K65" i="16"/>
  <c r="L65" i="16"/>
  <c r="F10" i="16"/>
  <c r="O10" i="16"/>
  <c r="W10" i="16"/>
  <c r="A9" i="16"/>
  <c r="Q10" i="16"/>
  <c r="Y10" i="16"/>
  <c r="I10" i="16"/>
  <c r="R10" i="16"/>
  <c r="Z10" i="16"/>
  <c r="B10" i="16"/>
  <c r="J10" i="16"/>
  <c r="S10" i="16"/>
  <c r="D10" i="16"/>
  <c r="L10" i="16"/>
  <c r="U10" i="16"/>
  <c r="V10" i="16"/>
  <c r="E10" i="16"/>
  <c r="K10" i="16"/>
  <c r="P10" i="16"/>
  <c r="T10" i="16"/>
  <c r="M10" i="16"/>
  <c r="X10" i="16"/>
  <c r="AE10" i="9" s="1"/>
  <c r="C10" i="16"/>
  <c r="M66" i="16"/>
  <c r="A67" i="16"/>
  <c r="I66" i="16"/>
  <c r="J66" i="16"/>
  <c r="B66" i="16"/>
  <c r="P65" i="16"/>
  <c r="O65" i="16"/>
  <c r="G11" i="16"/>
  <c r="H11" i="16" s="1"/>
  <c r="D65" i="16"/>
  <c r="E65" i="16"/>
  <c r="S65" i="16" s="1"/>
  <c r="F65" i="16"/>
  <c r="T65" i="16" s="1"/>
  <c r="C65" i="16"/>
  <c r="Z62" i="16"/>
  <c r="AD54" i="10"/>
  <c r="AD56" i="10"/>
  <c r="AD62" i="10"/>
  <c r="AD64" i="10"/>
  <c r="AD66" i="10"/>
  <c r="AD68" i="10"/>
  <c r="AD70" i="10"/>
  <c r="AD72" i="10"/>
  <c r="AD80" i="10"/>
  <c r="AD82" i="10"/>
  <c r="AD86" i="10"/>
  <c r="AD92" i="10"/>
  <c r="AD94" i="10"/>
  <c r="AD96" i="10"/>
  <c r="AD53" i="10"/>
  <c r="AD57" i="10"/>
  <c r="AD63" i="10"/>
  <c r="AD65" i="10"/>
  <c r="AD67" i="10"/>
  <c r="AD69" i="10"/>
  <c r="AD71" i="10"/>
  <c r="AD73" i="10"/>
  <c r="AD81" i="10"/>
  <c r="AD83" i="10"/>
  <c r="AD85" i="10"/>
  <c r="AD87" i="10"/>
  <c r="AD91" i="10"/>
  <c r="AD93" i="10"/>
  <c r="AD95" i="10"/>
  <c r="AD97" i="10"/>
  <c r="AD109" i="10"/>
  <c r="AD111" i="10"/>
  <c r="AD113" i="10"/>
  <c r="AD115" i="10"/>
  <c r="AD117" i="10"/>
  <c r="AD123" i="10"/>
  <c r="AD125" i="10"/>
  <c r="AD127" i="10"/>
  <c r="AD131" i="10"/>
  <c r="AD133" i="10"/>
  <c r="AD135" i="10"/>
  <c r="AD137" i="10"/>
  <c r="AD139" i="10"/>
  <c r="AD141" i="10"/>
  <c r="AD147" i="10"/>
  <c r="AD149" i="10"/>
  <c r="AD151" i="10"/>
  <c r="AD153" i="10"/>
  <c r="AD155" i="10"/>
  <c r="AD107" i="10"/>
  <c r="AD106" i="10"/>
  <c r="AD108" i="10"/>
  <c r="AD110" i="10"/>
  <c r="AD112" i="10"/>
  <c r="AD114" i="10"/>
  <c r="AD118" i="10"/>
  <c r="AD122" i="10"/>
  <c r="AD124" i="10"/>
  <c r="AD126" i="10"/>
  <c r="AD128" i="10"/>
  <c r="AD132" i="10"/>
  <c r="AD134" i="10"/>
  <c r="AD136" i="10"/>
  <c r="AD138" i="10"/>
  <c r="AD140" i="10"/>
  <c r="AD142" i="10"/>
  <c r="AD148" i="10"/>
  <c r="AD150" i="10"/>
  <c r="AD152" i="10"/>
  <c r="AD154" i="10"/>
  <c r="AD102" i="10"/>
  <c r="AD156" i="10"/>
  <c r="AD158" i="10"/>
  <c r="AD160" i="10"/>
  <c r="AD162" i="10"/>
  <c r="AD164" i="10"/>
  <c r="AD166" i="10"/>
  <c r="AD168" i="10"/>
  <c r="AD170" i="10"/>
  <c r="AD172" i="10"/>
  <c r="AD174" i="10"/>
  <c r="AD176" i="10"/>
  <c r="AD178" i="10"/>
  <c r="AD180" i="10"/>
  <c r="AD184" i="10"/>
  <c r="AD186" i="10"/>
  <c r="AD190" i="10"/>
  <c r="AD192" i="10"/>
  <c r="AD194" i="10"/>
  <c r="AD157" i="10"/>
  <c r="AD159" i="10"/>
  <c r="AD161" i="10"/>
  <c r="AD163" i="10"/>
  <c r="AD165" i="10"/>
  <c r="AD167" i="10"/>
  <c r="AD169" i="10"/>
  <c r="AD171" i="10"/>
  <c r="AD173" i="10"/>
  <c r="AD175" i="10"/>
  <c r="AD177" i="10"/>
  <c r="AD179" i="10"/>
  <c r="AD181" i="10"/>
  <c r="AD189" i="10"/>
  <c r="AD191" i="10"/>
  <c r="AD195" i="10"/>
  <c r="AD197" i="10"/>
  <c r="AD201" i="10"/>
  <c r="AD203" i="10"/>
  <c r="AD205" i="10"/>
  <c r="AD207" i="10"/>
  <c r="AD209" i="10"/>
  <c r="AD211" i="10"/>
  <c r="AD213" i="10"/>
  <c r="AD215" i="10"/>
  <c r="AD217" i="10"/>
  <c r="AD219" i="10"/>
  <c r="AD221" i="10"/>
  <c r="AD223" i="10"/>
  <c r="AD225" i="10"/>
  <c r="AD227" i="10"/>
  <c r="AD229" i="10"/>
  <c r="AD231" i="10"/>
  <c r="AD235" i="10"/>
  <c r="AD237" i="10"/>
  <c r="AD239" i="10"/>
  <c r="AD241" i="10"/>
  <c r="AD245" i="10"/>
  <c r="AD196" i="10"/>
  <c r="AD198" i="10"/>
  <c r="AD199" i="10"/>
  <c r="AD212" i="10"/>
  <c r="AD228" i="10"/>
  <c r="AD202" i="10"/>
  <c r="AD218" i="10"/>
  <c r="AD208" i="10"/>
  <c r="AD224" i="10"/>
  <c r="AD240" i="10"/>
  <c r="AD248" i="10"/>
  <c r="AD250" i="10"/>
  <c r="AD252" i="10"/>
  <c r="AD254" i="10"/>
  <c r="AD256" i="10"/>
  <c r="AD258" i="10"/>
  <c r="AD260" i="10"/>
  <c r="AD262" i="10"/>
  <c r="AD268" i="10"/>
  <c r="AD270" i="10"/>
  <c r="AD274" i="10"/>
  <c r="AD280" i="10"/>
  <c r="AD282" i="10"/>
  <c r="AD284" i="10"/>
  <c r="AD286" i="10"/>
  <c r="AD288" i="10"/>
  <c r="AD290" i="10"/>
  <c r="AD292" i="10"/>
  <c r="AD294" i="10"/>
  <c r="AD296" i="10"/>
  <c r="AD298" i="10"/>
  <c r="AD300" i="10"/>
  <c r="AD302" i="10"/>
  <c r="AD214" i="10"/>
  <c r="AD230" i="10"/>
  <c r="AD204" i="10"/>
  <c r="AD220" i="10"/>
  <c r="AD210" i="10"/>
  <c r="AD226" i="10"/>
  <c r="AD246" i="10"/>
  <c r="AD200" i="10"/>
  <c r="AD216" i="10"/>
  <c r="AD249" i="10"/>
  <c r="AD251" i="10"/>
  <c r="AD253" i="10"/>
  <c r="AD255" i="10"/>
  <c r="AD257" i="10"/>
  <c r="AD259" i="10"/>
  <c r="AD261" i="10"/>
  <c r="AD263" i="10"/>
  <c r="AD271" i="10"/>
  <c r="AD275" i="10"/>
  <c r="AD277" i="10"/>
  <c r="AD279" i="10"/>
  <c r="AD281" i="10"/>
  <c r="AD283" i="10"/>
  <c r="AD285" i="10"/>
  <c r="AD287" i="10"/>
  <c r="AD289" i="10"/>
  <c r="AD291" i="10"/>
  <c r="AD295" i="10"/>
  <c r="AD299" i="10"/>
  <c r="AD301" i="10"/>
  <c r="AD303" i="10"/>
  <c r="AD304" i="10"/>
  <c r="AD306" i="10"/>
  <c r="AD308" i="10"/>
  <c r="AD310" i="10"/>
  <c r="AD312" i="10"/>
  <c r="AD314" i="10"/>
  <c r="AD316" i="10"/>
  <c r="AD318" i="10"/>
  <c r="AD320" i="10"/>
  <c r="AD322" i="10"/>
  <c r="AD324" i="10"/>
  <c r="AD326" i="10"/>
  <c r="AD328" i="10"/>
  <c r="AD330" i="10"/>
  <c r="AD332" i="10"/>
  <c r="AD334" i="10"/>
  <c r="AD336" i="10"/>
  <c r="AD338" i="10"/>
  <c r="AD340" i="10"/>
  <c r="AD342" i="10"/>
  <c r="AD344" i="10"/>
  <c r="AD346" i="10"/>
  <c r="AD206" i="10"/>
  <c r="AD343" i="10"/>
  <c r="AD347" i="10"/>
  <c r="AD305" i="10"/>
  <c r="AD307" i="10"/>
  <c r="AD309" i="10"/>
  <c r="AD311" i="10"/>
  <c r="AD315" i="10"/>
  <c r="AD317" i="10"/>
  <c r="AD319" i="10"/>
  <c r="AD321" i="10"/>
  <c r="AD323" i="10"/>
  <c r="AD325" i="10"/>
  <c r="AD327" i="10"/>
  <c r="AD329" i="10"/>
  <c r="AD331" i="10"/>
  <c r="AD333" i="10"/>
  <c r="AD335" i="10"/>
  <c r="AD337" i="10"/>
  <c r="AD339" i="10"/>
  <c r="AD341" i="10"/>
  <c r="AD222" i="10"/>
  <c r="AD46" i="10"/>
  <c r="AD30" i="10"/>
  <c r="AD31" i="10"/>
  <c r="AD47" i="10"/>
  <c r="AD49" i="10"/>
  <c r="AD48" i="10"/>
  <c r="AD40" i="10"/>
  <c r="AD32" i="10"/>
  <c r="J56" i="14"/>
  <c r="K56" i="14"/>
  <c r="K21" i="14"/>
  <c r="J21" i="14"/>
  <c r="L21" i="14"/>
  <c r="I21" i="14"/>
  <c r="F56" i="14"/>
  <c r="I56" i="14"/>
  <c r="L56" i="14" s="1"/>
  <c r="S59" i="15"/>
  <c r="G61" i="15"/>
  <c r="Y61" i="15"/>
  <c r="H61" i="15"/>
  <c r="AC61" i="15"/>
  <c r="I61" i="15"/>
  <c r="AE61" i="15"/>
  <c r="K61" i="15"/>
  <c r="AJ61" i="15"/>
  <c r="AO61" i="15"/>
  <c r="A62" i="15"/>
  <c r="F61" i="15"/>
  <c r="W61" i="15"/>
  <c r="J61" i="15"/>
  <c r="AF61" i="15"/>
  <c r="AK61" i="15"/>
  <c r="E61" i="15"/>
  <c r="L61" i="15"/>
  <c r="U60" i="15"/>
  <c r="V60" i="15" s="1"/>
  <c r="I15" i="15"/>
  <c r="Q15" i="15"/>
  <c r="AC15" i="15"/>
  <c r="C15" i="15"/>
  <c r="K15" i="15"/>
  <c r="S15" i="15"/>
  <c r="AF15" i="15"/>
  <c r="D15" i="15"/>
  <c r="L15" i="15"/>
  <c r="T15" i="15"/>
  <c r="AJ15" i="15"/>
  <c r="E15" i="15"/>
  <c r="M15" i="15"/>
  <c r="U15" i="15"/>
  <c r="AK15" i="15"/>
  <c r="H15" i="15"/>
  <c r="P15" i="15"/>
  <c r="Y15" i="15"/>
  <c r="J15" i="15"/>
  <c r="A14" i="15"/>
  <c r="O15" i="15"/>
  <c r="V15" i="15"/>
  <c r="G15" i="15"/>
  <c r="R15" i="15"/>
  <c r="AE15" i="15"/>
  <c r="F15" i="15"/>
  <c r="N15" i="15"/>
  <c r="W15" i="15"/>
  <c r="Q60" i="15"/>
  <c r="R60" i="15" s="1"/>
  <c r="M60" i="15"/>
  <c r="N60" i="15" s="1"/>
  <c r="O60" i="15" s="1"/>
  <c r="P60" i="15" s="1"/>
  <c r="G21" i="14"/>
  <c r="H21" i="14"/>
  <c r="X33" i="7"/>
  <c r="I33" i="7"/>
  <c r="L33" i="7"/>
  <c r="N33" i="7"/>
  <c r="P33" i="7"/>
  <c r="R33" i="7"/>
  <c r="U33" i="7"/>
  <c r="R26" i="11"/>
  <c r="S26" i="11"/>
  <c r="F26" i="11"/>
  <c r="E26" i="11"/>
  <c r="Q26" i="11"/>
  <c r="K26" i="11"/>
  <c r="H26" i="11"/>
  <c r="M26" i="11"/>
  <c r="G26" i="11"/>
  <c r="N26" i="11"/>
  <c r="O26" i="11"/>
  <c r="P26" i="11"/>
  <c r="L26" i="11"/>
  <c r="T26" i="11"/>
  <c r="U26" i="11"/>
  <c r="J26" i="11"/>
  <c r="Z34" i="7"/>
  <c r="A32" i="7"/>
  <c r="Y33" i="7"/>
  <c r="E33" i="7"/>
  <c r="AB33" i="7"/>
  <c r="G33" i="7"/>
  <c r="AA33" i="7"/>
  <c r="J33" i="7"/>
  <c r="B33" i="7"/>
  <c r="D33" i="7"/>
  <c r="M33" i="7"/>
  <c r="F33" i="7"/>
  <c r="O33" i="7"/>
  <c r="Q33" i="7"/>
  <c r="V33" i="7"/>
  <c r="S33" i="7"/>
  <c r="T33" i="7"/>
  <c r="H33" i="7"/>
  <c r="W33" i="7"/>
  <c r="C33" i="7"/>
  <c r="K34" i="7"/>
  <c r="N33" i="9"/>
  <c r="O33" i="9"/>
  <c r="P33" i="9"/>
  <c r="Q33" i="9"/>
  <c r="R33" i="9"/>
  <c r="T33" i="9"/>
  <c r="AB33" i="9"/>
  <c r="V33" i="9"/>
  <c r="W33" i="9"/>
  <c r="X33" i="9"/>
  <c r="S33" i="9"/>
  <c r="U33" i="9"/>
  <c r="Y33" i="9"/>
  <c r="Z33" i="9"/>
  <c r="AA33" i="9"/>
  <c r="M33" i="9"/>
  <c r="AC33" i="9"/>
  <c r="E56" i="14"/>
  <c r="G56" i="14" s="1"/>
  <c r="H56" i="14" s="1"/>
  <c r="A57" i="14"/>
  <c r="N48" i="11"/>
  <c r="T48" i="11" s="1"/>
  <c r="F21" i="14"/>
  <c r="A20" i="14"/>
  <c r="E21" i="14"/>
  <c r="A20" i="13"/>
  <c r="B20" i="13" s="1"/>
  <c r="B56" i="13"/>
  <c r="A57" i="13"/>
  <c r="G71" i="7"/>
  <c r="J71" i="7" s="1"/>
  <c r="M71" i="7" s="1"/>
  <c r="Z72" i="7"/>
  <c r="AA72" i="7" s="1"/>
  <c r="X72" i="7"/>
  <c r="K72" i="7"/>
  <c r="L72" i="7" s="1"/>
  <c r="I72" i="7"/>
  <c r="P72" i="7"/>
  <c r="N72" i="7"/>
  <c r="F72" i="7"/>
  <c r="D72" i="7"/>
  <c r="E72" i="7" s="1"/>
  <c r="H73" i="7"/>
  <c r="W73" i="7"/>
  <c r="A74" i="7"/>
  <c r="B73" i="7"/>
  <c r="T73" i="7"/>
  <c r="U73" i="7" s="1"/>
  <c r="C73" i="7"/>
  <c r="R73" i="7"/>
  <c r="S73" i="7" s="1"/>
  <c r="S49" i="11"/>
  <c r="R49" i="11"/>
  <c r="Q49" i="11"/>
  <c r="J49" i="11"/>
  <c r="M49" i="11" s="1"/>
  <c r="L49" i="11"/>
  <c r="O49" i="11" s="1"/>
  <c r="K49" i="11"/>
  <c r="P50" i="11"/>
  <c r="I50" i="11"/>
  <c r="H50" i="11"/>
  <c r="E50" i="11"/>
  <c r="G50" i="11" s="1"/>
  <c r="A51" i="11"/>
  <c r="F51" i="11" s="1"/>
  <c r="A25" i="11"/>
  <c r="I26" i="11"/>
  <c r="I131" i="3"/>
  <c r="P26" i="10"/>
  <c r="O27" i="10"/>
  <c r="AE27" i="10" s="1"/>
  <c r="AZ27" i="3"/>
  <c r="J45" i="7"/>
  <c r="M46" i="7" s="1"/>
  <c r="M43" i="7"/>
  <c r="J60" i="7"/>
  <c r="M60" i="7" s="1"/>
  <c r="J38" i="7"/>
  <c r="M39" i="7" s="1"/>
  <c r="H33" i="9"/>
  <c r="E33" i="9"/>
  <c r="I33" i="9"/>
  <c r="F33" i="9"/>
  <c r="G33" i="9"/>
  <c r="J68" i="7"/>
  <c r="M68" i="7" s="1"/>
  <c r="F43" i="9"/>
  <c r="G43" i="9"/>
  <c r="H43" i="9"/>
  <c r="I43" i="9"/>
  <c r="J43" i="9" s="1"/>
  <c r="R43" i="9" s="1"/>
  <c r="E43" i="9"/>
  <c r="J69" i="7"/>
  <c r="M70" i="7" s="1"/>
  <c r="M66" i="7"/>
  <c r="J41" i="7"/>
  <c r="M41" i="7" s="1"/>
  <c r="M40" i="7"/>
  <c r="M64" i="7"/>
  <c r="A32" i="9"/>
  <c r="J32" i="9" s="1"/>
  <c r="M65" i="7"/>
  <c r="A44" i="9"/>
  <c r="J50" i="7"/>
  <c r="M50" i="7" s="1"/>
  <c r="M44" i="7"/>
  <c r="M49" i="7"/>
  <c r="M47" i="7"/>
  <c r="M56" i="7"/>
  <c r="M52" i="7"/>
  <c r="M57" i="7"/>
  <c r="M53" i="7"/>
  <c r="M62" i="7"/>
  <c r="M54" i="7"/>
  <c r="M48" i="7"/>
  <c r="M58" i="7"/>
  <c r="M59" i="7"/>
  <c r="M67" i="7"/>
  <c r="M63" i="7"/>
  <c r="M55" i="7"/>
  <c r="AZ26" i="3" l="1"/>
  <c r="U65" i="16"/>
  <c r="V65" i="16" s="1"/>
  <c r="W65" i="16" s="1"/>
  <c r="Y65" i="16" s="1"/>
  <c r="X65" i="16" s="1"/>
  <c r="AE65" i="9" s="1"/>
  <c r="Z63" i="16"/>
  <c r="U48" i="11"/>
  <c r="G10" i="16"/>
  <c r="H10" i="16" s="1"/>
  <c r="G65" i="16"/>
  <c r="H65" i="16" s="1"/>
  <c r="Q65" i="16"/>
  <c r="F66" i="16"/>
  <c r="T66" i="16" s="1"/>
  <c r="D66" i="16"/>
  <c r="C66" i="16"/>
  <c r="E66" i="16"/>
  <c r="S66" i="16" s="1"/>
  <c r="K66" i="16"/>
  <c r="L66" i="16"/>
  <c r="P9" i="16"/>
  <c r="X9" i="16"/>
  <c r="AE9" i="9" s="1"/>
  <c r="I9" i="16"/>
  <c r="R9" i="16"/>
  <c r="Z9" i="16"/>
  <c r="B9" i="16"/>
  <c r="J9" i="16"/>
  <c r="S9" i="16"/>
  <c r="C9" i="16"/>
  <c r="K9" i="16"/>
  <c r="T9" i="16"/>
  <c r="E9" i="16"/>
  <c r="M9" i="16"/>
  <c r="V9" i="16"/>
  <c r="D9" i="16"/>
  <c r="Y9" i="16"/>
  <c r="L9" i="16"/>
  <c r="F9" i="16"/>
  <c r="A8" i="16"/>
  <c r="O9" i="16"/>
  <c r="W9" i="16"/>
  <c r="Q9" i="16"/>
  <c r="U9" i="16"/>
  <c r="M67" i="16"/>
  <c r="J67" i="16"/>
  <c r="B67" i="16"/>
  <c r="I67" i="16"/>
  <c r="A68" i="16"/>
  <c r="H64" i="16"/>
  <c r="Z64" i="16" s="1"/>
  <c r="O66" i="16"/>
  <c r="P66" i="16"/>
  <c r="AE54" i="10"/>
  <c r="AE56" i="10"/>
  <c r="AE62" i="10"/>
  <c r="AE64" i="10"/>
  <c r="AE66" i="10"/>
  <c r="AE68" i="10"/>
  <c r="AE70" i="10"/>
  <c r="AE72" i="10"/>
  <c r="AE80" i="10"/>
  <c r="AE82" i="10"/>
  <c r="AE86" i="10"/>
  <c r="AE92" i="10"/>
  <c r="AE94" i="10"/>
  <c r="AE96" i="10"/>
  <c r="AE102" i="10"/>
  <c r="AE106" i="10"/>
  <c r="AE53" i="10"/>
  <c r="AE57" i="10"/>
  <c r="AE63" i="10"/>
  <c r="AE65" i="10"/>
  <c r="AE67" i="10"/>
  <c r="AE69" i="10"/>
  <c r="AE71" i="10"/>
  <c r="AE73" i="10"/>
  <c r="AE81" i="10"/>
  <c r="AE83" i="10"/>
  <c r="AE85" i="10"/>
  <c r="AE87" i="10"/>
  <c r="AE91" i="10"/>
  <c r="AE93" i="10"/>
  <c r="AE95" i="10"/>
  <c r="AE97" i="10"/>
  <c r="AE109" i="10"/>
  <c r="AE111" i="10"/>
  <c r="AE113" i="10"/>
  <c r="AE115" i="10"/>
  <c r="AE117" i="10"/>
  <c r="AE123" i="10"/>
  <c r="AE125" i="10"/>
  <c r="AE127" i="10"/>
  <c r="AE131" i="10"/>
  <c r="AE133" i="10"/>
  <c r="AE135" i="10"/>
  <c r="AE137" i="10"/>
  <c r="AE139" i="10"/>
  <c r="AE141" i="10"/>
  <c r="AE107" i="10"/>
  <c r="AE110" i="10"/>
  <c r="AE126" i="10"/>
  <c r="AE142" i="10"/>
  <c r="AE147" i="10"/>
  <c r="AE155" i="10"/>
  <c r="AE132" i="10"/>
  <c r="AE122" i="10"/>
  <c r="AE138" i="10"/>
  <c r="AE112" i="10"/>
  <c r="AE128" i="10"/>
  <c r="AE156" i="10"/>
  <c r="AE158" i="10"/>
  <c r="AE160" i="10"/>
  <c r="AE162" i="10"/>
  <c r="AE164" i="10"/>
  <c r="AE166" i="10"/>
  <c r="AE168" i="10"/>
  <c r="AE170" i="10"/>
  <c r="AE172" i="10"/>
  <c r="AE174" i="10"/>
  <c r="AE176" i="10"/>
  <c r="AE178" i="10"/>
  <c r="AE180" i="10"/>
  <c r="AE184" i="10"/>
  <c r="AE186" i="10"/>
  <c r="AE190" i="10"/>
  <c r="AE192" i="10"/>
  <c r="AE194" i="10"/>
  <c r="AE196" i="10"/>
  <c r="AE198" i="10"/>
  <c r="AE118" i="10"/>
  <c r="AE134" i="10"/>
  <c r="AE108" i="10"/>
  <c r="AE124" i="10"/>
  <c r="AE140" i="10"/>
  <c r="AE152" i="10"/>
  <c r="AE114" i="10"/>
  <c r="AE150" i="10"/>
  <c r="AE151" i="10"/>
  <c r="AE153" i="10"/>
  <c r="AE154" i="10"/>
  <c r="AE165" i="10"/>
  <c r="AE181" i="10"/>
  <c r="AE200" i="10"/>
  <c r="AE202" i="10"/>
  <c r="AE204" i="10"/>
  <c r="AE206" i="10"/>
  <c r="AE208" i="10"/>
  <c r="AE210" i="10"/>
  <c r="AE212" i="10"/>
  <c r="AE214" i="10"/>
  <c r="AE216" i="10"/>
  <c r="AE218" i="10"/>
  <c r="AE220" i="10"/>
  <c r="AE222" i="10"/>
  <c r="AE224" i="10"/>
  <c r="AE226" i="10"/>
  <c r="AE228" i="10"/>
  <c r="AE230" i="10"/>
  <c r="AE240" i="10"/>
  <c r="AE171" i="10"/>
  <c r="AE148" i="10"/>
  <c r="AE161" i="10"/>
  <c r="AE177" i="10"/>
  <c r="AE149" i="10"/>
  <c r="AE167" i="10"/>
  <c r="AE157" i="10"/>
  <c r="AE173" i="10"/>
  <c r="AE189" i="10"/>
  <c r="AE197" i="10"/>
  <c r="AE201" i="10"/>
  <c r="AE203" i="10"/>
  <c r="AE205" i="10"/>
  <c r="AE207" i="10"/>
  <c r="AE209" i="10"/>
  <c r="AE211" i="10"/>
  <c r="AE213" i="10"/>
  <c r="AE215" i="10"/>
  <c r="AE217" i="10"/>
  <c r="AE219" i="10"/>
  <c r="AE221" i="10"/>
  <c r="AE223" i="10"/>
  <c r="AE225" i="10"/>
  <c r="AE227" i="10"/>
  <c r="AE229" i="10"/>
  <c r="AE231" i="10"/>
  <c r="AE235" i="10"/>
  <c r="AE237" i="10"/>
  <c r="AE239" i="10"/>
  <c r="AE241" i="10"/>
  <c r="AE163" i="10"/>
  <c r="AE179" i="10"/>
  <c r="AE136" i="10"/>
  <c r="AE169" i="10"/>
  <c r="AE195" i="10"/>
  <c r="AE199" i="10"/>
  <c r="AE191" i="10"/>
  <c r="AE159" i="10"/>
  <c r="AE248" i="10"/>
  <c r="AE250" i="10"/>
  <c r="AE252" i="10"/>
  <c r="AE254" i="10"/>
  <c r="AE256" i="10"/>
  <c r="AE258" i="10"/>
  <c r="AE260" i="10"/>
  <c r="AE262" i="10"/>
  <c r="AE268" i="10"/>
  <c r="AE270" i="10"/>
  <c r="AE274" i="10"/>
  <c r="AE280" i="10"/>
  <c r="AE282" i="10"/>
  <c r="AE284" i="10"/>
  <c r="AE286" i="10"/>
  <c r="AE288" i="10"/>
  <c r="AE290" i="10"/>
  <c r="AE292" i="10"/>
  <c r="AE175" i="10"/>
  <c r="AE245" i="10"/>
  <c r="AE246" i="10"/>
  <c r="AE255" i="10"/>
  <c r="AE271" i="10"/>
  <c r="AE287" i="10"/>
  <c r="AE296" i="10"/>
  <c r="AE261" i="10"/>
  <c r="AE277" i="10"/>
  <c r="AE304" i="10"/>
  <c r="AE306" i="10"/>
  <c r="AE308" i="10"/>
  <c r="AE310" i="10"/>
  <c r="AE312" i="10"/>
  <c r="AE314" i="10"/>
  <c r="AE316" i="10"/>
  <c r="AE318" i="10"/>
  <c r="AE320" i="10"/>
  <c r="AE322" i="10"/>
  <c r="AE324" i="10"/>
  <c r="AE326" i="10"/>
  <c r="AE328" i="10"/>
  <c r="AE330" i="10"/>
  <c r="AE332" i="10"/>
  <c r="AE334" i="10"/>
  <c r="AE336" i="10"/>
  <c r="AE338" i="10"/>
  <c r="AE340" i="10"/>
  <c r="AE342" i="10"/>
  <c r="AE344" i="10"/>
  <c r="AE346" i="10"/>
  <c r="AE251" i="10"/>
  <c r="AE283" i="10"/>
  <c r="AE298" i="10"/>
  <c r="AE295" i="10"/>
  <c r="AE257" i="10"/>
  <c r="AE289" i="10"/>
  <c r="AE294" i="10"/>
  <c r="AE299" i="10"/>
  <c r="AE263" i="10"/>
  <c r="AE279" i="10"/>
  <c r="AE300" i="10"/>
  <c r="AE253" i="10"/>
  <c r="AE285" i="10"/>
  <c r="AE301" i="10"/>
  <c r="AE305" i="10"/>
  <c r="AE307" i="10"/>
  <c r="AE309" i="10"/>
  <c r="AE311" i="10"/>
  <c r="AE315" i="10"/>
  <c r="AE317" i="10"/>
  <c r="AE319" i="10"/>
  <c r="AE321" i="10"/>
  <c r="AE323" i="10"/>
  <c r="AE325" i="10"/>
  <c r="AE327" i="10"/>
  <c r="AE329" i="10"/>
  <c r="AE331" i="10"/>
  <c r="AE333" i="10"/>
  <c r="AE335" i="10"/>
  <c r="AE337" i="10"/>
  <c r="AE339" i="10"/>
  <c r="AE341" i="10"/>
  <c r="AE343" i="10"/>
  <c r="AE347" i="10"/>
  <c r="AE259" i="10"/>
  <c r="AE275" i="10"/>
  <c r="AE291" i="10"/>
  <c r="AE302" i="10"/>
  <c r="AE249" i="10"/>
  <c r="AE281" i="10"/>
  <c r="AE303" i="10"/>
  <c r="AE46" i="10"/>
  <c r="AE49" i="10"/>
  <c r="AE30" i="10"/>
  <c r="AE48" i="10"/>
  <c r="AE40" i="10"/>
  <c r="AE32" i="10"/>
  <c r="AE47" i="10"/>
  <c r="AE31" i="10"/>
  <c r="J20" i="14"/>
  <c r="K20" i="14"/>
  <c r="J57" i="14"/>
  <c r="K57" i="14"/>
  <c r="F57" i="14"/>
  <c r="I57" i="14"/>
  <c r="L57" i="14" s="1"/>
  <c r="I20" i="14"/>
  <c r="L20" i="14"/>
  <c r="S60" i="15"/>
  <c r="E14" i="15"/>
  <c r="M14" i="15"/>
  <c r="U14" i="15"/>
  <c r="AK14" i="15"/>
  <c r="A13" i="15"/>
  <c r="G14" i="15"/>
  <c r="O14" i="15"/>
  <c r="W14" i="15"/>
  <c r="H14" i="15"/>
  <c r="P14" i="15"/>
  <c r="Y14" i="15"/>
  <c r="I14" i="15"/>
  <c r="Q14" i="15"/>
  <c r="AC14" i="15"/>
  <c r="D14" i="15"/>
  <c r="L14" i="15"/>
  <c r="T14" i="15"/>
  <c r="AJ14" i="15"/>
  <c r="R14" i="15"/>
  <c r="V14" i="15"/>
  <c r="F14" i="15"/>
  <c r="AF14" i="15"/>
  <c r="C14" i="15"/>
  <c r="K14" i="15"/>
  <c r="S14" i="15"/>
  <c r="J14" i="15"/>
  <c r="N14" i="15"/>
  <c r="AE14" i="15"/>
  <c r="Q61" i="15"/>
  <c r="R61" i="15" s="1"/>
  <c r="M61" i="15"/>
  <c r="N61" i="15" s="1"/>
  <c r="O61" i="15" s="1"/>
  <c r="P61" i="15" s="1"/>
  <c r="E62" i="15"/>
  <c r="AO62" i="15"/>
  <c r="F62" i="15"/>
  <c r="G62" i="15"/>
  <c r="Y62" i="15"/>
  <c r="I62" i="15"/>
  <c r="AE62" i="15"/>
  <c r="L62" i="15"/>
  <c r="AJ62" i="15"/>
  <c r="AK62" i="15"/>
  <c r="W62" i="15"/>
  <c r="AF62" i="15"/>
  <c r="A63" i="15"/>
  <c r="H62" i="15"/>
  <c r="AC62" i="15"/>
  <c r="J62" i="15"/>
  <c r="K62" i="15"/>
  <c r="U61" i="15"/>
  <c r="V61" i="15" s="1"/>
  <c r="Q25" i="11"/>
  <c r="R25" i="11"/>
  <c r="S25" i="11"/>
  <c r="F25" i="11"/>
  <c r="J25" i="11"/>
  <c r="G25" i="11"/>
  <c r="K25" i="11"/>
  <c r="H25" i="11"/>
  <c r="E25" i="11"/>
  <c r="U25" i="11"/>
  <c r="M25" i="11"/>
  <c r="N25" i="11"/>
  <c r="O25" i="11"/>
  <c r="P25" i="11"/>
  <c r="L25" i="11"/>
  <c r="T25" i="11"/>
  <c r="G20" i="14"/>
  <c r="H20" i="14"/>
  <c r="U32" i="7"/>
  <c r="X32" i="7"/>
  <c r="I32" i="7"/>
  <c r="L32" i="7"/>
  <c r="N32" i="7"/>
  <c r="P32" i="7"/>
  <c r="R32" i="7"/>
  <c r="Z33" i="7"/>
  <c r="K33" i="7"/>
  <c r="A31" i="7"/>
  <c r="V32" i="7"/>
  <c r="B32" i="7"/>
  <c r="Y32" i="7"/>
  <c r="E32" i="7"/>
  <c r="S32" i="7"/>
  <c r="AB32" i="7"/>
  <c r="G32" i="7"/>
  <c r="AA32" i="7"/>
  <c r="J32" i="7"/>
  <c r="D32" i="7"/>
  <c r="M32" i="7"/>
  <c r="F32" i="7"/>
  <c r="O32" i="7"/>
  <c r="Q32" i="7"/>
  <c r="W32" i="7"/>
  <c r="C32" i="7"/>
  <c r="H32" i="7"/>
  <c r="T32" i="7"/>
  <c r="N32" i="9"/>
  <c r="O32" i="9"/>
  <c r="P32" i="9"/>
  <c r="Q32" i="9"/>
  <c r="R32" i="9"/>
  <c r="M32" i="9"/>
  <c r="U32" i="9"/>
  <c r="AC32" i="9"/>
  <c r="W32" i="9"/>
  <c r="X32" i="9"/>
  <c r="Y32" i="9"/>
  <c r="T32" i="9"/>
  <c r="V32" i="9"/>
  <c r="AB32" i="9"/>
  <c r="Z32" i="9"/>
  <c r="S32" i="9"/>
  <c r="AA32" i="9"/>
  <c r="E57" i="14"/>
  <c r="G57" i="14" s="1"/>
  <c r="A58" i="14"/>
  <c r="N49" i="11"/>
  <c r="T49" i="11" s="1"/>
  <c r="F20" i="14"/>
  <c r="E20" i="14"/>
  <c r="A19" i="14"/>
  <c r="A19" i="13"/>
  <c r="B19" i="13" s="1"/>
  <c r="A58" i="13"/>
  <c r="B57" i="13"/>
  <c r="G72" i="7"/>
  <c r="J72" i="7" s="1"/>
  <c r="M72" i="7" s="1"/>
  <c r="O72" i="7" s="1"/>
  <c r="Z73" i="7"/>
  <c r="AA73" i="7" s="1"/>
  <c r="X73" i="7"/>
  <c r="T74" i="7"/>
  <c r="U74" i="7" s="1"/>
  <c r="C74" i="7"/>
  <c r="R74" i="7"/>
  <c r="S74" i="7" s="1"/>
  <c r="W74" i="7"/>
  <c r="B74" i="7"/>
  <c r="H74" i="7"/>
  <c r="A75" i="7"/>
  <c r="P73" i="7"/>
  <c r="N73" i="7"/>
  <c r="K73" i="7"/>
  <c r="L73" i="7" s="1"/>
  <c r="I73" i="7"/>
  <c r="F73" i="7"/>
  <c r="D73" i="7"/>
  <c r="E73" i="7" s="1"/>
  <c r="O71" i="7"/>
  <c r="S50" i="11"/>
  <c r="R50" i="11"/>
  <c r="Q50" i="11"/>
  <c r="L50" i="11"/>
  <c r="O50" i="11" s="1"/>
  <c r="K50" i="11"/>
  <c r="J50" i="11"/>
  <c r="M50" i="11" s="1"/>
  <c r="P51" i="11"/>
  <c r="I51" i="11"/>
  <c r="H51" i="11"/>
  <c r="E51" i="11"/>
  <c r="G51" i="11" s="1"/>
  <c r="A52" i="11"/>
  <c r="F52" i="11" s="1"/>
  <c r="A24" i="11"/>
  <c r="I25" i="11"/>
  <c r="M45" i="7"/>
  <c r="O45" i="7" s="1"/>
  <c r="Q26" i="10"/>
  <c r="P27" i="10"/>
  <c r="AF27" i="10" s="1"/>
  <c r="J131" i="3"/>
  <c r="Q42" i="9" s="1"/>
  <c r="BA27" i="3"/>
  <c r="O44" i="7"/>
  <c r="M69" i="7"/>
  <c r="O69" i="7" s="1"/>
  <c r="O47" i="7"/>
  <c r="O66" i="7"/>
  <c r="M61" i="7"/>
  <c r="O62" i="7" s="1"/>
  <c r="O67" i="7"/>
  <c r="M38" i="7"/>
  <c r="O39" i="7" s="1"/>
  <c r="E32" i="9"/>
  <c r="I32" i="9"/>
  <c r="F32" i="9"/>
  <c r="G32" i="9"/>
  <c r="H32" i="9"/>
  <c r="E44" i="9"/>
  <c r="I44" i="9"/>
  <c r="J44" i="9" s="1"/>
  <c r="R44" i="9" s="1"/>
  <c r="F44" i="9"/>
  <c r="G44" i="9"/>
  <c r="H44" i="9"/>
  <c r="M42" i="7"/>
  <c r="O42" i="7" s="1"/>
  <c r="O65" i="7"/>
  <c r="O41" i="7"/>
  <c r="O40" i="7"/>
  <c r="A31" i="9"/>
  <c r="J31" i="9" s="1"/>
  <c r="A45" i="9"/>
  <c r="O50" i="7"/>
  <c r="M51" i="7"/>
  <c r="O51" i="7" s="1"/>
  <c r="O48" i="7"/>
  <c r="O53" i="7"/>
  <c r="O58" i="7"/>
  <c r="O57" i="7"/>
  <c r="O54" i="7"/>
  <c r="O55" i="7"/>
  <c r="O49" i="7"/>
  <c r="O68" i="7"/>
  <c r="O56" i="7"/>
  <c r="O63" i="7"/>
  <c r="O64" i="7"/>
  <c r="O59" i="7"/>
  <c r="O60" i="7"/>
  <c r="O43" i="9"/>
  <c r="Q43" i="9"/>
  <c r="P43" i="9"/>
  <c r="N43" i="9"/>
  <c r="P44" i="9"/>
  <c r="N44" i="9"/>
  <c r="O44" i="9"/>
  <c r="Q44" i="9"/>
  <c r="AA45" i="9"/>
  <c r="AB45" i="9"/>
  <c r="N45" i="9"/>
  <c r="AC45" i="9"/>
  <c r="P45" i="9"/>
  <c r="Q45" i="9"/>
  <c r="O45" i="9"/>
  <c r="AC43" i="9"/>
  <c r="AA43" i="9"/>
  <c r="AB43" i="9"/>
  <c r="AB44" i="9"/>
  <c r="AC44" i="9"/>
  <c r="AA44" i="9"/>
  <c r="N42" i="9" l="1"/>
  <c r="BA26" i="3"/>
  <c r="O42" i="9"/>
  <c r="BF26" i="3"/>
  <c r="R65" i="16"/>
  <c r="U66" i="16" s="1"/>
  <c r="V66" i="16" s="1"/>
  <c r="W66" i="16" s="1"/>
  <c r="Y66" i="16" s="1"/>
  <c r="X66" i="16" s="1"/>
  <c r="AE66" i="9" s="1"/>
  <c r="U49" i="11"/>
  <c r="O67" i="16"/>
  <c r="P67" i="16"/>
  <c r="G9" i="16"/>
  <c r="H9" i="16" s="1"/>
  <c r="I68" i="16"/>
  <c r="M68" i="16"/>
  <c r="A69" i="16"/>
  <c r="J68" i="16"/>
  <c r="B68" i="16"/>
  <c r="G66" i="16"/>
  <c r="H66" i="16" s="1"/>
  <c r="Q66" i="16"/>
  <c r="E67" i="16"/>
  <c r="S67" i="16" s="1"/>
  <c r="C67" i="16"/>
  <c r="F67" i="16"/>
  <c r="T67" i="16" s="1"/>
  <c r="D67" i="16"/>
  <c r="K67" i="16"/>
  <c r="L67" i="16"/>
  <c r="A7" i="16"/>
  <c r="Q8" i="16"/>
  <c r="Y8" i="16"/>
  <c r="B8" i="16"/>
  <c r="J8" i="16"/>
  <c r="S8" i="16"/>
  <c r="C8" i="16"/>
  <c r="K8" i="16"/>
  <c r="T8" i="16"/>
  <c r="D8" i="16"/>
  <c r="L8" i="16"/>
  <c r="U8" i="16"/>
  <c r="F8" i="16"/>
  <c r="O8" i="16"/>
  <c r="W8" i="16"/>
  <c r="M8" i="16"/>
  <c r="P8" i="16"/>
  <c r="X8" i="16"/>
  <c r="AE8" i="9" s="1"/>
  <c r="I8" i="16"/>
  <c r="R8" i="16"/>
  <c r="E8" i="16"/>
  <c r="V8" i="16"/>
  <c r="Z8" i="16"/>
  <c r="AF54" i="10"/>
  <c r="AF56" i="10"/>
  <c r="AF62" i="10"/>
  <c r="AF64" i="10"/>
  <c r="AF66" i="10"/>
  <c r="AF68" i="10"/>
  <c r="AF70" i="10"/>
  <c r="AF72" i="10"/>
  <c r="AF80" i="10"/>
  <c r="AF82" i="10"/>
  <c r="AF86" i="10"/>
  <c r="AF92" i="10"/>
  <c r="AF94" i="10"/>
  <c r="AF96" i="10"/>
  <c r="AF102" i="10"/>
  <c r="AF53" i="10"/>
  <c r="AF57" i="10"/>
  <c r="AF63" i="10"/>
  <c r="AF65" i="10"/>
  <c r="AF67" i="10"/>
  <c r="AF69" i="10"/>
  <c r="AF71" i="10"/>
  <c r="AF73" i="10"/>
  <c r="AF81" i="10"/>
  <c r="AF83" i="10"/>
  <c r="AF85" i="10"/>
  <c r="AF87" i="10"/>
  <c r="AF91" i="10"/>
  <c r="AF93" i="10"/>
  <c r="AF95" i="10"/>
  <c r="AF97" i="10"/>
  <c r="AF107" i="10"/>
  <c r="AF108" i="10"/>
  <c r="AF110" i="10"/>
  <c r="AF112" i="10"/>
  <c r="AF114" i="10"/>
  <c r="AF118" i="10"/>
  <c r="AF122" i="10"/>
  <c r="AF124" i="10"/>
  <c r="AF126" i="10"/>
  <c r="AF128" i="10"/>
  <c r="AF132" i="10"/>
  <c r="AF134" i="10"/>
  <c r="AF136" i="10"/>
  <c r="AF138" i="10"/>
  <c r="AF140" i="10"/>
  <c r="AF142" i="10"/>
  <c r="AF109" i="10"/>
  <c r="AF111" i="10"/>
  <c r="AF113" i="10"/>
  <c r="AF115" i="10"/>
  <c r="AF117" i="10"/>
  <c r="AF123" i="10"/>
  <c r="AF125" i="10"/>
  <c r="AF127" i="10"/>
  <c r="AF131" i="10"/>
  <c r="AF133" i="10"/>
  <c r="AF135" i="10"/>
  <c r="AF137" i="10"/>
  <c r="AF139" i="10"/>
  <c r="AF141" i="10"/>
  <c r="AF147" i="10"/>
  <c r="AF149" i="10"/>
  <c r="AF151" i="10"/>
  <c r="AF148" i="10"/>
  <c r="AF154" i="10"/>
  <c r="AF157" i="10"/>
  <c r="AF159" i="10"/>
  <c r="AF161" i="10"/>
  <c r="AF163" i="10"/>
  <c r="AF165" i="10"/>
  <c r="AF167" i="10"/>
  <c r="AF169" i="10"/>
  <c r="AF171" i="10"/>
  <c r="AF173" i="10"/>
  <c r="AF175" i="10"/>
  <c r="AF177" i="10"/>
  <c r="AF179" i="10"/>
  <c r="AF181" i="10"/>
  <c r="AF189" i="10"/>
  <c r="AF191" i="10"/>
  <c r="AF155" i="10"/>
  <c r="AF106" i="10"/>
  <c r="AF156" i="10"/>
  <c r="AF158" i="10"/>
  <c r="AF160" i="10"/>
  <c r="AF162" i="10"/>
  <c r="AF164" i="10"/>
  <c r="AF166" i="10"/>
  <c r="AF168" i="10"/>
  <c r="AF170" i="10"/>
  <c r="AF172" i="10"/>
  <c r="AF174" i="10"/>
  <c r="AF176" i="10"/>
  <c r="AF178" i="10"/>
  <c r="AF180" i="10"/>
  <c r="AF184" i="10"/>
  <c r="AF186" i="10"/>
  <c r="AF190" i="10"/>
  <c r="AF192" i="10"/>
  <c r="AF194" i="10"/>
  <c r="AF152" i="10"/>
  <c r="AF200" i="10"/>
  <c r="AF202" i="10"/>
  <c r="AF204" i="10"/>
  <c r="AF206" i="10"/>
  <c r="AF208" i="10"/>
  <c r="AF210" i="10"/>
  <c r="AF212" i="10"/>
  <c r="AF214" i="10"/>
  <c r="AF216" i="10"/>
  <c r="AF218" i="10"/>
  <c r="AF220" i="10"/>
  <c r="AF222" i="10"/>
  <c r="AF224" i="10"/>
  <c r="AF226" i="10"/>
  <c r="AF228" i="10"/>
  <c r="AF230" i="10"/>
  <c r="AF240" i="10"/>
  <c r="AF150" i="10"/>
  <c r="AF196" i="10"/>
  <c r="AF197" i="10"/>
  <c r="AF201" i="10"/>
  <c r="AF203" i="10"/>
  <c r="AF205" i="10"/>
  <c r="AF207" i="10"/>
  <c r="AF209" i="10"/>
  <c r="AF211" i="10"/>
  <c r="AF213" i="10"/>
  <c r="AF215" i="10"/>
  <c r="AF217" i="10"/>
  <c r="AF219" i="10"/>
  <c r="AF221" i="10"/>
  <c r="AF223" i="10"/>
  <c r="AF225" i="10"/>
  <c r="AF227" i="10"/>
  <c r="AF229" i="10"/>
  <c r="AF231" i="10"/>
  <c r="AF235" i="10"/>
  <c r="AF237" i="10"/>
  <c r="AF239" i="10"/>
  <c r="AF241" i="10"/>
  <c r="AF198" i="10"/>
  <c r="AF249" i="10"/>
  <c r="AF251" i="10"/>
  <c r="AF253" i="10"/>
  <c r="AF255" i="10"/>
  <c r="AF257" i="10"/>
  <c r="AF259" i="10"/>
  <c r="AF261" i="10"/>
  <c r="AF263" i="10"/>
  <c r="AF271" i="10"/>
  <c r="AF275" i="10"/>
  <c r="AF277" i="10"/>
  <c r="AF279" i="10"/>
  <c r="AF281" i="10"/>
  <c r="AF283" i="10"/>
  <c r="AF285" i="10"/>
  <c r="AF287" i="10"/>
  <c r="AF289" i="10"/>
  <c r="AF291" i="10"/>
  <c r="AF153" i="10"/>
  <c r="AF195" i="10"/>
  <c r="AF248" i="10"/>
  <c r="AF250" i="10"/>
  <c r="AF252" i="10"/>
  <c r="AF254" i="10"/>
  <c r="AF256" i="10"/>
  <c r="AF258" i="10"/>
  <c r="AF260" i="10"/>
  <c r="AF262" i="10"/>
  <c r="AF268" i="10"/>
  <c r="AF270" i="10"/>
  <c r="AF274" i="10"/>
  <c r="AF280" i="10"/>
  <c r="AF282" i="10"/>
  <c r="AF284" i="10"/>
  <c r="AF286" i="10"/>
  <c r="AF288" i="10"/>
  <c r="AF290" i="10"/>
  <c r="AF292" i="10"/>
  <c r="AF294" i="10"/>
  <c r="AF199" i="10"/>
  <c r="AF295" i="10"/>
  <c r="AF303" i="10"/>
  <c r="AF296" i="10"/>
  <c r="AF245" i="10"/>
  <c r="AF304" i="10"/>
  <c r="AF306" i="10"/>
  <c r="AF308" i="10"/>
  <c r="AF310" i="10"/>
  <c r="AF312" i="10"/>
  <c r="AF314" i="10"/>
  <c r="AF316" i="10"/>
  <c r="AF318" i="10"/>
  <c r="AF320" i="10"/>
  <c r="AF322" i="10"/>
  <c r="AF324" i="10"/>
  <c r="AF326" i="10"/>
  <c r="AF328" i="10"/>
  <c r="AF330" i="10"/>
  <c r="AF332" i="10"/>
  <c r="AF334" i="10"/>
  <c r="AF336" i="10"/>
  <c r="AF338" i="10"/>
  <c r="AF340" i="10"/>
  <c r="AF342" i="10"/>
  <c r="AF344" i="10"/>
  <c r="AF346" i="10"/>
  <c r="AF246" i="10"/>
  <c r="AF298" i="10"/>
  <c r="AF299" i="10"/>
  <c r="AF300" i="10"/>
  <c r="AF302" i="10"/>
  <c r="AF301" i="10"/>
  <c r="AF305" i="10"/>
  <c r="AF307" i="10"/>
  <c r="AF309" i="10"/>
  <c r="AF311" i="10"/>
  <c r="AF315" i="10"/>
  <c r="AF317" i="10"/>
  <c r="AF319" i="10"/>
  <c r="AF321" i="10"/>
  <c r="AF323" i="10"/>
  <c r="AF325" i="10"/>
  <c r="AF327" i="10"/>
  <c r="AF329" i="10"/>
  <c r="AF331" i="10"/>
  <c r="AF333" i="10"/>
  <c r="AF335" i="10"/>
  <c r="AF337" i="10"/>
  <c r="AF339" i="10"/>
  <c r="AF341" i="10"/>
  <c r="AF343" i="10"/>
  <c r="AF347" i="10"/>
  <c r="AF49" i="10"/>
  <c r="AF48" i="10"/>
  <c r="AF40" i="10"/>
  <c r="AF32" i="10"/>
  <c r="AF47" i="10"/>
  <c r="AF31" i="10"/>
  <c r="AF46" i="10"/>
  <c r="AF30" i="10"/>
  <c r="H57" i="14"/>
  <c r="J58" i="14"/>
  <c r="K58" i="14"/>
  <c r="J19" i="14"/>
  <c r="K19" i="14"/>
  <c r="I19" i="14"/>
  <c r="L19" i="14"/>
  <c r="F58" i="14"/>
  <c r="I58" i="14"/>
  <c r="L58" i="14" s="1"/>
  <c r="S61" i="15"/>
  <c r="Q62" i="15"/>
  <c r="R62" i="15" s="1"/>
  <c r="K63" i="15"/>
  <c r="AJ63" i="15"/>
  <c r="E63" i="15"/>
  <c r="AO63" i="15"/>
  <c r="G63" i="15"/>
  <c r="Y63" i="15"/>
  <c r="F63" i="15"/>
  <c r="H63" i="15"/>
  <c r="AF63" i="15"/>
  <c r="AK63" i="15"/>
  <c r="W63" i="15"/>
  <c r="AE63" i="15"/>
  <c r="A64" i="15"/>
  <c r="I63" i="15"/>
  <c r="AC63" i="15"/>
  <c r="J63" i="15"/>
  <c r="L63" i="15"/>
  <c r="I13" i="15"/>
  <c r="Q13" i="15"/>
  <c r="AC13" i="15"/>
  <c r="J13" i="15"/>
  <c r="C13" i="15"/>
  <c r="K13" i="15"/>
  <c r="S13" i="15"/>
  <c r="AF13" i="15"/>
  <c r="D13" i="15"/>
  <c r="L13" i="15"/>
  <c r="T13" i="15"/>
  <c r="AJ13" i="15"/>
  <c r="E13" i="15"/>
  <c r="M13" i="15"/>
  <c r="U13" i="15"/>
  <c r="AK13" i="15"/>
  <c r="A12" i="15"/>
  <c r="F13" i="15"/>
  <c r="N13" i="15"/>
  <c r="H13" i="15"/>
  <c r="P13" i="15"/>
  <c r="Y13" i="15"/>
  <c r="W13" i="15"/>
  <c r="G13" i="15"/>
  <c r="O13" i="15"/>
  <c r="R13" i="15"/>
  <c r="V13" i="15"/>
  <c r="AE13" i="15"/>
  <c r="M62" i="15"/>
  <c r="N62" i="15" s="1"/>
  <c r="O62" i="15" s="1"/>
  <c r="P62" i="15" s="1"/>
  <c r="U62" i="15"/>
  <c r="V62" i="15" s="1"/>
  <c r="G19" i="14"/>
  <c r="H19" i="14"/>
  <c r="R31" i="7"/>
  <c r="U31" i="7"/>
  <c r="X31" i="7"/>
  <c r="I31" i="7"/>
  <c r="L31" i="7"/>
  <c r="N31" i="7"/>
  <c r="P31" i="7"/>
  <c r="E24" i="11"/>
  <c r="L24" i="11"/>
  <c r="Q24" i="11"/>
  <c r="R24" i="11"/>
  <c r="S24" i="11"/>
  <c r="U24" i="11"/>
  <c r="J24" i="11"/>
  <c r="G24" i="11"/>
  <c r="K24" i="11"/>
  <c r="H24" i="11"/>
  <c r="F24" i="11"/>
  <c r="M24" i="11"/>
  <c r="T24" i="11"/>
  <c r="N24" i="11"/>
  <c r="O24" i="11"/>
  <c r="P24" i="11"/>
  <c r="K32" i="7"/>
  <c r="A30" i="7"/>
  <c r="S31" i="7"/>
  <c r="Q31" i="7"/>
  <c r="V31" i="7"/>
  <c r="B31" i="7"/>
  <c r="Y31" i="7"/>
  <c r="E31" i="7"/>
  <c r="AB31" i="7"/>
  <c r="G31" i="7"/>
  <c r="AA31" i="7"/>
  <c r="J31" i="7"/>
  <c r="D31" i="7"/>
  <c r="M31" i="7"/>
  <c r="F31" i="7"/>
  <c r="O31" i="7"/>
  <c r="W31" i="7"/>
  <c r="C31" i="7"/>
  <c r="H31" i="7"/>
  <c r="T31" i="7"/>
  <c r="Z32" i="7"/>
  <c r="P31" i="9"/>
  <c r="Q31" i="9"/>
  <c r="R31" i="9"/>
  <c r="N31" i="9"/>
  <c r="O31" i="9"/>
  <c r="V31" i="9"/>
  <c r="X31" i="9"/>
  <c r="Y31" i="9"/>
  <c r="Z31" i="9"/>
  <c r="U31" i="9"/>
  <c r="T31" i="9"/>
  <c r="W31" i="9"/>
  <c r="AA31" i="9"/>
  <c r="M31" i="9"/>
  <c r="AB31" i="9"/>
  <c r="AC31" i="9"/>
  <c r="S31" i="9"/>
  <c r="E58" i="14"/>
  <c r="G58" i="14" s="1"/>
  <c r="A59" i="14"/>
  <c r="N50" i="11"/>
  <c r="T50" i="11" s="1"/>
  <c r="F19" i="14"/>
  <c r="E19" i="14"/>
  <c r="A18" i="14"/>
  <c r="A18" i="13"/>
  <c r="B18" i="13" s="1"/>
  <c r="A59" i="13"/>
  <c r="B58" i="13"/>
  <c r="O46" i="7"/>
  <c r="Q46" i="7" s="1"/>
  <c r="Q72" i="7"/>
  <c r="Z74" i="7"/>
  <c r="AA74" i="7" s="1"/>
  <c r="X74" i="7"/>
  <c r="D74" i="7"/>
  <c r="E74" i="7" s="1"/>
  <c r="F74" i="7"/>
  <c r="C75" i="7"/>
  <c r="T75" i="7"/>
  <c r="U75" i="7" s="1"/>
  <c r="R75" i="7"/>
  <c r="S75" i="7" s="1"/>
  <c r="B75" i="7"/>
  <c r="H75" i="7"/>
  <c r="W75" i="7"/>
  <c r="A76" i="7"/>
  <c r="G73" i="7"/>
  <c r="J73" i="7" s="1"/>
  <c r="M73" i="7" s="1"/>
  <c r="O73" i="7" s="1"/>
  <c r="Q73" i="7" s="1"/>
  <c r="N74" i="7"/>
  <c r="K74" i="7"/>
  <c r="L74" i="7" s="1"/>
  <c r="I74" i="7"/>
  <c r="P74" i="7"/>
  <c r="O70" i="7"/>
  <c r="Q70" i="7" s="1"/>
  <c r="S51" i="11"/>
  <c r="R51" i="11"/>
  <c r="Q51" i="11"/>
  <c r="L51" i="11"/>
  <c r="O51" i="11" s="1"/>
  <c r="J51" i="11"/>
  <c r="M51" i="11" s="1"/>
  <c r="K51" i="11"/>
  <c r="A53" i="11"/>
  <c r="F53" i="11" s="1"/>
  <c r="P52" i="11"/>
  <c r="I52" i="11"/>
  <c r="H52" i="11"/>
  <c r="E52" i="11"/>
  <c r="G52" i="11" s="1"/>
  <c r="I24" i="11"/>
  <c r="A23" i="11"/>
  <c r="O61" i="7"/>
  <c r="Q62" i="7" s="1"/>
  <c r="Q27" i="10"/>
  <c r="AG27" i="10" s="1"/>
  <c r="Q67" i="7"/>
  <c r="O43" i="7"/>
  <c r="Q44" i="7" s="1"/>
  <c r="Q66" i="7"/>
  <c r="Q68" i="7"/>
  <c r="Q48" i="7"/>
  <c r="Q40" i="7"/>
  <c r="O38" i="7"/>
  <c r="Q39" i="7" s="1"/>
  <c r="Q42" i="7"/>
  <c r="H45" i="9"/>
  <c r="E45" i="9"/>
  <c r="I45" i="9"/>
  <c r="J45" i="9" s="1"/>
  <c r="R45" i="9" s="1"/>
  <c r="F45" i="9"/>
  <c r="G45" i="9"/>
  <c r="F31" i="9"/>
  <c r="G31" i="9"/>
  <c r="H31" i="9"/>
  <c r="E31" i="9"/>
  <c r="I31" i="9"/>
  <c r="Q63" i="7"/>
  <c r="Q41" i="7"/>
  <c r="A46" i="9"/>
  <c r="A30" i="9"/>
  <c r="J30" i="9" s="1"/>
  <c r="Q49" i="7"/>
  <c r="Q51" i="7"/>
  <c r="Q54" i="7"/>
  <c r="O52" i="7"/>
  <c r="Q52" i="7" s="1"/>
  <c r="Q45" i="7"/>
  <c r="Q58" i="7"/>
  <c r="Q59" i="7"/>
  <c r="Q55" i="7"/>
  <c r="Q56" i="7"/>
  <c r="Q50" i="7"/>
  <c r="Q64" i="7"/>
  <c r="Q65" i="7"/>
  <c r="Q69" i="7"/>
  <c r="Q57" i="7"/>
  <c r="Q60" i="7"/>
  <c r="AC42" i="9"/>
  <c r="AA46" i="9"/>
  <c r="AB46" i="9"/>
  <c r="O46" i="9"/>
  <c r="AC46" i="9"/>
  <c r="N46" i="9"/>
  <c r="Q46" i="9"/>
  <c r="P46" i="9"/>
  <c r="AB42" i="9"/>
  <c r="AA42" i="9"/>
  <c r="BF29" i="3" l="1"/>
  <c r="BF47" i="3"/>
  <c r="BF63" i="3"/>
  <c r="BF95" i="3"/>
  <c r="BF111" i="3"/>
  <c r="BF127" i="3"/>
  <c r="BF143" i="3"/>
  <c r="BF159" i="3"/>
  <c r="BF80" i="3"/>
  <c r="BF166" i="3"/>
  <c r="BF221" i="3"/>
  <c r="BF239" i="3"/>
  <c r="BF255" i="3"/>
  <c r="BF132" i="3"/>
  <c r="BF54" i="3"/>
  <c r="BF136" i="3"/>
  <c r="BF198" i="3"/>
  <c r="BF214" i="3"/>
  <c r="BF325" i="3"/>
  <c r="BF341" i="3"/>
  <c r="BF260" i="3"/>
  <c r="BF240" i="3"/>
  <c r="BF328" i="3"/>
  <c r="BF344" i="3"/>
  <c r="BF31" i="3"/>
  <c r="BF65" i="3"/>
  <c r="BF81" i="3"/>
  <c r="BF97" i="3"/>
  <c r="BF113" i="3"/>
  <c r="BF30" i="3"/>
  <c r="BF154" i="3"/>
  <c r="BF96" i="3"/>
  <c r="BF180" i="3"/>
  <c r="BF207" i="3"/>
  <c r="BF241" i="3"/>
  <c r="BF291" i="3"/>
  <c r="BF70" i="3"/>
  <c r="BF186" i="3"/>
  <c r="BF216" i="3"/>
  <c r="BF327" i="3"/>
  <c r="BF343" i="3"/>
  <c r="BF108" i="3"/>
  <c r="BF330" i="3"/>
  <c r="BF346" i="3"/>
  <c r="BF187" i="3"/>
  <c r="BF320" i="3"/>
  <c r="BF67" i="3"/>
  <c r="BF83" i="3"/>
  <c r="BF115" i="3"/>
  <c r="BF131" i="3"/>
  <c r="BF46" i="3"/>
  <c r="BF170" i="3"/>
  <c r="BF112" i="3"/>
  <c r="BF66" i="3"/>
  <c r="BF209" i="3"/>
  <c r="BF259" i="3"/>
  <c r="BF277" i="3"/>
  <c r="BF86" i="3"/>
  <c r="BF193" i="3"/>
  <c r="BF106" i="3"/>
  <c r="BF202" i="3"/>
  <c r="BF329" i="3"/>
  <c r="BF345" i="3"/>
  <c r="BF179" i="3"/>
  <c r="BF332" i="3"/>
  <c r="BF220" i="3"/>
  <c r="BF53" i="3"/>
  <c r="BF69" i="3"/>
  <c r="BF85" i="3"/>
  <c r="BF117" i="3"/>
  <c r="BF133" i="3"/>
  <c r="BF165" i="3"/>
  <c r="BF62" i="3"/>
  <c r="BF82" i="3"/>
  <c r="BF190" i="3"/>
  <c r="BF211" i="3"/>
  <c r="BF227" i="3"/>
  <c r="BF245" i="3"/>
  <c r="BF261" i="3"/>
  <c r="BF279" i="3"/>
  <c r="BF295" i="3"/>
  <c r="BF102" i="3"/>
  <c r="BF56" i="3"/>
  <c r="BF178" i="3"/>
  <c r="BF122" i="3"/>
  <c r="BF204" i="3"/>
  <c r="BF331" i="3"/>
  <c r="BF347" i="3"/>
  <c r="BF230" i="3"/>
  <c r="BF92" i="3"/>
  <c r="BF294" i="3"/>
  <c r="BF334" i="3"/>
  <c r="BF226" i="3"/>
  <c r="BE26" i="3"/>
  <c r="BF71" i="3"/>
  <c r="BF87" i="3"/>
  <c r="BF135" i="3"/>
  <c r="BF151" i="3"/>
  <c r="BF167" i="3"/>
  <c r="BF194" i="3"/>
  <c r="BF197" i="3"/>
  <c r="BF213" i="3"/>
  <c r="BF263" i="3"/>
  <c r="BF68" i="3"/>
  <c r="BF177" i="3"/>
  <c r="BF118" i="3"/>
  <c r="BF72" i="3"/>
  <c r="BF184" i="3"/>
  <c r="BF206" i="3"/>
  <c r="BF250" i="3"/>
  <c r="BF333" i="3"/>
  <c r="BF258" i="3"/>
  <c r="BF336" i="3"/>
  <c r="BF252" i="3"/>
  <c r="BF57" i="3"/>
  <c r="BF73" i="3"/>
  <c r="BF153" i="3"/>
  <c r="BF169" i="3"/>
  <c r="BF94" i="3"/>
  <c r="BF32" i="3"/>
  <c r="BF160" i="3"/>
  <c r="BF114" i="3"/>
  <c r="BF283" i="3"/>
  <c r="BF299" i="3"/>
  <c r="BF134" i="3"/>
  <c r="BF191" i="3"/>
  <c r="BF158" i="3"/>
  <c r="BF208" i="3"/>
  <c r="BF335" i="3"/>
  <c r="BF338" i="3"/>
  <c r="BF246" i="3"/>
  <c r="BF91" i="3"/>
  <c r="BF107" i="3"/>
  <c r="BF123" i="3"/>
  <c r="BF155" i="3"/>
  <c r="BF110" i="3"/>
  <c r="BF48" i="3"/>
  <c r="BF201" i="3"/>
  <c r="BF251" i="3"/>
  <c r="BF285" i="3"/>
  <c r="BF301" i="3"/>
  <c r="BF195" i="3"/>
  <c r="BF174" i="3"/>
  <c r="BF309" i="3"/>
  <c r="BF337" i="3"/>
  <c r="BF222" i="3"/>
  <c r="BF316" i="3"/>
  <c r="BF254" i="3"/>
  <c r="BF248" i="3"/>
  <c r="BF319" i="3"/>
  <c r="BF340" i="3"/>
  <c r="BF262" i="3"/>
  <c r="BF93" i="3"/>
  <c r="BF109" i="3"/>
  <c r="BF173" i="3"/>
  <c r="BF64" i="3"/>
  <c r="BF192" i="3"/>
  <c r="BF146" i="3"/>
  <c r="BF203" i="3"/>
  <c r="BF219" i="3"/>
  <c r="BF237" i="3"/>
  <c r="BF253" i="3"/>
  <c r="BF287" i="3"/>
  <c r="BF303" i="3"/>
  <c r="BF189" i="3"/>
  <c r="BF212" i="3"/>
  <c r="BF339" i="3"/>
  <c r="BF326" i="3"/>
  <c r="BF342" i="3"/>
  <c r="BF292" i="3"/>
  <c r="R66" i="16"/>
  <c r="U67" i="16" s="1"/>
  <c r="V67" i="16" s="1"/>
  <c r="W67" i="16" s="1"/>
  <c r="Y67" i="16" s="1"/>
  <c r="X67" i="16" s="1"/>
  <c r="AE67" i="9" s="1"/>
  <c r="Z65" i="16"/>
  <c r="H58" i="14"/>
  <c r="U50" i="11"/>
  <c r="G8" i="16"/>
  <c r="H8" i="16" s="1"/>
  <c r="D68" i="16"/>
  <c r="C68" i="16"/>
  <c r="E68" i="16"/>
  <c r="S68" i="16" s="1"/>
  <c r="F68" i="16"/>
  <c r="T68" i="16" s="1"/>
  <c r="L68" i="16"/>
  <c r="K68" i="16"/>
  <c r="G67" i="16"/>
  <c r="R67" i="16" s="1"/>
  <c r="Q67" i="16"/>
  <c r="B69" i="16"/>
  <c r="A70" i="16"/>
  <c r="I69" i="16"/>
  <c r="J69" i="16"/>
  <c r="M69" i="16"/>
  <c r="O68" i="16"/>
  <c r="P68" i="16"/>
  <c r="I7" i="16"/>
  <c r="R7" i="16"/>
  <c r="Z7" i="16"/>
  <c r="C7" i="16"/>
  <c r="K7" i="16"/>
  <c r="T7" i="16"/>
  <c r="D7" i="16"/>
  <c r="L7" i="16"/>
  <c r="U7" i="16"/>
  <c r="E7" i="16"/>
  <c r="M7" i="16"/>
  <c r="V7" i="16"/>
  <c r="P7" i="16"/>
  <c r="X7" i="16"/>
  <c r="AE7" i="9" s="1"/>
  <c r="J7" i="16"/>
  <c r="Q7" i="16"/>
  <c r="S7" i="16"/>
  <c r="O7" i="16"/>
  <c r="Y7" i="16"/>
  <c r="W7" i="16"/>
  <c r="B7" i="16"/>
  <c r="F7" i="16"/>
  <c r="S62" i="15"/>
  <c r="AG54" i="10"/>
  <c r="AG56" i="10"/>
  <c r="AG62" i="10"/>
  <c r="AG64" i="10"/>
  <c r="AG66" i="10"/>
  <c r="AG68" i="10"/>
  <c r="AG70" i="10"/>
  <c r="AG72" i="10"/>
  <c r="AG80" i="10"/>
  <c r="AG82" i="10"/>
  <c r="AG86" i="10"/>
  <c r="AG92" i="10"/>
  <c r="AG94" i="10"/>
  <c r="AG96" i="10"/>
  <c r="AG102" i="10"/>
  <c r="AG106" i="10"/>
  <c r="AG57" i="10"/>
  <c r="AG73" i="10"/>
  <c r="AG63" i="10"/>
  <c r="AG95" i="10"/>
  <c r="AG108" i="10"/>
  <c r="AG110" i="10"/>
  <c r="AG112" i="10"/>
  <c r="AG114" i="10"/>
  <c r="AG118" i="10"/>
  <c r="AG122" i="10"/>
  <c r="AG124" i="10"/>
  <c r="AG126" i="10"/>
  <c r="AG128" i="10"/>
  <c r="AG132" i="10"/>
  <c r="AG134" i="10"/>
  <c r="AG136" i="10"/>
  <c r="AG138" i="10"/>
  <c r="AG140" i="10"/>
  <c r="AG142" i="10"/>
  <c r="AG53" i="10"/>
  <c r="AG69" i="10"/>
  <c r="AG85" i="10"/>
  <c r="AG91" i="10"/>
  <c r="AG65" i="10"/>
  <c r="AG81" i="10"/>
  <c r="AG97" i="10"/>
  <c r="AG71" i="10"/>
  <c r="AG87" i="10"/>
  <c r="AG109" i="10"/>
  <c r="AG111" i="10"/>
  <c r="AG113" i="10"/>
  <c r="AG115" i="10"/>
  <c r="AG117" i="10"/>
  <c r="AG123" i="10"/>
  <c r="AG125" i="10"/>
  <c r="AG127" i="10"/>
  <c r="AG131" i="10"/>
  <c r="AG133" i="10"/>
  <c r="AG135" i="10"/>
  <c r="AG137" i="10"/>
  <c r="AG139" i="10"/>
  <c r="AG141" i="10"/>
  <c r="AG93" i="10"/>
  <c r="AG149" i="10"/>
  <c r="AG150" i="10"/>
  <c r="AG153" i="10"/>
  <c r="AG147" i="10"/>
  <c r="AG148" i="10"/>
  <c r="AG154" i="10"/>
  <c r="AG157" i="10"/>
  <c r="AG159" i="10"/>
  <c r="AG161" i="10"/>
  <c r="AG163" i="10"/>
  <c r="AG165" i="10"/>
  <c r="AG167" i="10"/>
  <c r="AG169" i="10"/>
  <c r="AG171" i="10"/>
  <c r="AG173" i="10"/>
  <c r="AG175" i="10"/>
  <c r="AG177" i="10"/>
  <c r="AG179" i="10"/>
  <c r="AG181" i="10"/>
  <c r="AG189" i="10"/>
  <c r="AG191" i="10"/>
  <c r="AG195" i="10"/>
  <c r="AG67" i="10"/>
  <c r="AG155" i="10"/>
  <c r="AG107" i="10"/>
  <c r="AG83" i="10"/>
  <c r="AG156" i="10"/>
  <c r="AG158" i="10"/>
  <c r="AG160" i="10"/>
  <c r="AG162" i="10"/>
  <c r="AG164" i="10"/>
  <c r="AG166" i="10"/>
  <c r="AG168" i="10"/>
  <c r="AG170" i="10"/>
  <c r="AG172" i="10"/>
  <c r="AG174" i="10"/>
  <c r="AG176" i="10"/>
  <c r="AG178" i="10"/>
  <c r="AG180" i="10"/>
  <c r="AG184" i="10"/>
  <c r="AG186" i="10"/>
  <c r="AG190" i="10"/>
  <c r="AG192" i="10"/>
  <c r="AG194" i="10"/>
  <c r="AG196" i="10"/>
  <c r="AG198" i="10"/>
  <c r="AG199" i="10"/>
  <c r="AG200" i="10"/>
  <c r="AG202" i="10"/>
  <c r="AG204" i="10"/>
  <c r="AG206" i="10"/>
  <c r="AG208" i="10"/>
  <c r="AG210" i="10"/>
  <c r="AG212" i="10"/>
  <c r="AG214" i="10"/>
  <c r="AG216" i="10"/>
  <c r="AG218" i="10"/>
  <c r="AG220" i="10"/>
  <c r="AG222" i="10"/>
  <c r="AG224" i="10"/>
  <c r="AG226" i="10"/>
  <c r="AG228" i="10"/>
  <c r="AG230" i="10"/>
  <c r="AG240" i="10"/>
  <c r="AG151" i="10"/>
  <c r="AG152" i="10"/>
  <c r="AG197" i="10"/>
  <c r="AG201" i="10"/>
  <c r="AG203" i="10"/>
  <c r="AG205" i="10"/>
  <c r="AG207" i="10"/>
  <c r="AG209" i="10"/>
  <c r="AG211" i="10"/>
  <c r="AG213" i="10"/>
  <c r="AG215" i="10"/>
  <c r="AG217" i="10"/>
  <c r="AG219" i="10"/>
  <c r="AG221" i="10"/>
  <c r="AG223" i="10"/>
  <c r="AG225" i="10"/>
  <c r="AG227" i="10"/>
  <c r="AG229" i="10"/>
  <c r="AG231" i="10"/>
  <c r="AG235" i="10"/>
  <c r="AG237" i="10"/>
  <c r="AG239" i="10"/>
  <c r="AG241" i="10"/>
  <c r="AG245" i="10"/>
  <c r="AG246" i="10"/>
  <c r="AG249" i="10"/>
  <c r="AG251" i="10"/>
  <c r="AG253" i="10"/>
  <c r="AG255" i="10"/>
  <c r="AG257" i="10"/>
  <c r="AG259" i="10"/>
  <c r="AG261" i="10"/>
  <c r="AG263" i="10"/>
  <c r="AG271" i="10"/>
  <c r="AG275" i="10"/>
  <c r="AG277" i="10"/>
  <c r="AG279" i="10"/>
  <c r="AG281" i="10"/>
  <c r="AG283" i="10"/>
  <c r="AG285" i="10"/>
  <c r="AG287" i="10"/>
  <c r="AG289" i="10"/>
  <c r="AG291" i="10"/>
  <c r="AG248" i="10"/>
  <c r="AG250" i="10"/>
  <c r="AG252" i="10"/>
  <c r="AG254" i="10"/>
  <c r="AG256" i="10"/>
  <c r="AG258" i="10"/>
  <c r="AG260" i="10"/>
  <c r="AG262" i="10"/>
  <c r="AG268" i="10"/>
  <c r="AG270" i="10"/>
  <c r="AG274" i="10"/>
  <c r="AG280" i="10"/>
  <c r="AG282" i="10"/>
  <c r="AG284" i="10"/>
  <c r="AG286" i="10"/>
  <c r="AG288" i="10"/>
  <c r="AG290" i="10"/>
  <c r="AG292" i="10"/>
  <c r="AG294" i="10"/>
  <c r="AG302" i="10"/>
  <c r="AG295" i="10"/>
  <c r="AG303" i="10"/>
  <c r="AG296" i="10"/>
  <c r="AG344" i="10"/>
  <c r="AG304" i="10"/>
  <c r="AG306" i="10"/>
  <c r="AG308" i="10"/>
  <c r="AG310" i="10"/>
  <c r="AG312" i="10"/>
  <c r="AG314" i="10"/>
  <c r="AG316" i="10"/>
  <c r="AG318" i="10"/>
  <c r="AG320" i="10"/>
  <c r="AG322" i="10"/>
  <c r="AG324" i="10"/>
  <c r="AG326" i="10"/>
  <c r="AG328" i="10"/>
  <c r="AG330" i="10"/>
  <c r="AG332" i="10"/>
  <c r="AG334" i="10"/>
  <c r="AG336" i="10"/>
  <c r="AG338" i="10"/>
  <c r="AG340" i="10"/>
  <c r="AG342" i="10"/>
  <c r="AG346" i="10"/>
  <c r="AG298" i="10"/>
  <c r="AG301" i="10"/>
  <c r="AG305" i="10"/>
  <c r="AG299" i="10"/>
  <c r="AG300" i="10"/>
  <c r="AG307" i="10"/>
  <c r="AG323" i="10"/>
  <c r="AG339" i="10"/>
  <c r="AG329" i="10"/>
  <c r="AG319" i="10"/>
  <c r="AG335" i="10"/>
  <c r="AG325" i="10"/>
  <c r="AG341" i="10"/>
  <c r="AG337" i="10"/>
  <c r="AG309" i="10"/>
  <c r="AG315" i="10"/>
  <c r="AG331" i="10"/>
  <c r="AG347" i="10"/>
  <c r="AG321" i="10"/>
  <c r="AG311" i="10"/>
  <c r="AG327" i="10"/>
  <c r="AG343" i="10"/>
  <c r="AG317" i="10"/>
  <c r="AG333" i="10"/>
  <c r="AG49" i="10"/>
  <c r="AG48" i="10"/>
  <c r="AG40" i="10"/>
  <c r="AG32" i="10"/>
  <c r="AG47" i="10"/>
  <c r="AG31" i="10"/>
  <c r="AG46" i="10"/>
  <c r="AG30" i="10"/>
  <c r="J18" i="14"/>
  <c r="K18" i="14"/>
  <c r="J59" i="14"/>
  <c r="K59" i="14"/>
  <c r="I18" i="14"/>
  <c r="L18" i="14"/>
  <c r="F59" i="14"/>
  <c r="I59" i="14"/>
  <c r="L59" i="14" s="1"/>
  <c r="Q63" i="15"/>
  <c r="R63" i="15" s="1"/>
  <c r="I64" i="15"/>
  <c r="AE64" i="15"/>
  <c r="K64" i="15"/>
  <c r="AJ64" i="15"/>
  <c r="E64" i="15"/>
  <c r="AO64" i="15"/>
  <c r="F64" i="15"/>
  <c r="G64" i="15"/>
  <c r="AF64" i="15"/>
  <c r="AK64" i="15"/>
  <c r="W64" i="15"/>
  <c r="Y64" i="15"/>
  <c r="AC64" i="15"/>
  <c r="A65" i="15"/>
  <c r="J64" i="15"/>
  <c r="L64" i="15"/>
  <c r="H64" i="15"/>
  <c r="E12" i="15"/>
  <c r="M12" i="15"/>
  <c r="U12" i="15"/>
  <c r="AK12" i="15"/>
  <c r="A11" i="15"/>
  <c r="F12" i="15"/>
  <c r="N12" i="15"/>
  <c r="V12" i="15"/>
  <c r="G12" i="15"/>
  <c r="O12" i="15"/>
  <c r="W12" i="15"/>
  <c r="H12" i="15"/>
  <c r="P12" i="15"/>
  <c r="Y12" i="15"/>
  <c r="I12" i="15"/>
  <c r="Q12" i="15"/>
  <c r="AC12" i="15"/>
  <c r="J12" i="15"/>
  <c r="R12" i="15"/>
  <c r="AE12" i="15"/>
  <c r="D12" i="15"/>
  <c r="L12" i="15"/>
  <c r="T12" i="15"/>
  <c r="AJ12" i="15"/>
  <c r="C12" i="15"/>
  <c r="S12" i="15"/>
  <c r="K12" i="15"/>
  <c r="AF12" i="15"/>
  <c r="U63" i="15"/>
  <c r="V63" i="15" s="1"/>
  <c r="M63" i="15"/>
  <c r="N63" i="15" s="1"/>
  <c r="O63" i="15" s="1"/>
  <c r="P63" i="15" s="1"/>
  <c r="G18" i="14"/>
  <c r="H18" i="14"/>
  <c r="P30" i="7"/>
  <c r="R30" i="7"/>
  <c r="U30" i="7"/>
  <c r="X30" i="7"/>
  <c r="I30" i="7"/>
  <c r="L30" i="7"/>
  <c r="N30" i="7"/>
  <c r="F23" i="11"/>
  <c r="E23" i="11"/>
  <c r="R23" i="11"/>
  <c r="T23" i="11"/>
  <c r="P23" i="11"/>
  <c r="Q23" i="11"/>
  <c r="U23" i="11"/>
  <c r="S23" i="11"/>
  <c r="J23" i="11"/>
  <c r="G23" i="11"/>
  <c r="K23" i="11"/>
  <c r="H23" i="11"/>
  <c r="M23" i="11"/>
  <c r="N23" i="11"/>
  <c r="O23" i="11"/>
  <c r="L23" i="11"/>
  <c r="V41" i="7"/>
  <c r="A29" i="7"/>
  <c r="Q30" i="7"/>
  <c r="S30" i="7"/>
  <c r="V30" i="7"/>
  <c r="B30" i="7"/>
  <c r="F30" i="7"/>
  <c r="Y30" i="7"/>
  <c r="E30" i="7"/>
  <c r="AB30" i="7"/>
  <c r="G30" i="7"/>
  <c r="AA30" i="7"/>
  <c r="J30" i="7"/>
  <c r="O30" i="7"/>
  <c r="D30" i="7"/>
  <c r="M30" i="7"/>
  <c r="T30" i="7"/>
  <c r="H30" i="7"/>
  <c r="W30" i="7"/>
  <c r="C30" i="7"/>
  <c r="K31" i="7"/>
  <c r="Z31" i="7"/>
  <c r="N30" i="9"/>
  <c r="O30" i="9"/>
  <c r="P30" i="9"/>
  <c r="Q30" i="9"/>
  <c r="R30" i="9"/>
  <c r="W30" i="9"/>
  <c r="Y30" i="9"/>
  <c r="Z30" i="9"/>
  <c r="S30" i="9"/>
  <c r="AA30" i="9"/>
  <c r="V30" i="9"/>
  <c r="X30" i="9"/>
  <c r="AB30" i="9"/>
  <c r="M30" i="9"/>
  <c r="AC30" i="9"/>
  <c r="T30" i="9"/>
  <c r="U30" i="9"/>
  <c r="A60" i="14"/>
  <c r="E59" i="14"/>
  <c r="G59" i="14" s="1"/>
  <c r="N51" i="11"/>
  <c r="T51" i="11" s="1"/>
  <c r="Q47" i="7"/>
  <c r="V48" i="7" s="1"/>
  <c r="F18" i="14"/>
  <c r="A17" i="14"/>
  <c r="E18" i="14"/>
  <c r="B59" i="13"/>
  <c r="A60" i="13"/>
  <c r="A17" i="13"/>
  <c r="B17" i="13" s="1"/>
  <c r="V73" i="7"/>
  <c r="G74" i="7"/>
  <c r="J74" i="7" s="1"/>
  <c r="M74" i="7" s="1"/>
  <c r="O74" i="7" s="1"/>
  <c r="Q74" i="7" s="1"/>
  <c r="V74" i="7" s="1"/>
  <c r="Q71" i="7"/>
  <c r="V71" i="7" s="1"/>
  <c r="F75" i="7"/>
  <c r="D75" i="7"/>
  <c r="E75" i="7" s="1"/>
  <c r="T76" i="7"/>
  <c r="U76" i="7" s="1"/>
  <c r="C76" i="7"/>
  <c r="W76" i="7"/>
  <c r="R76" i="7"/>
  <c r="S76" i="7" s="1"/>
  <c r="H76" i="7"/>
  <c r="B76" i="7"/>
  <c r="A77" i="7"/>
  <c r="Z75" i="7"/>
  <c r="AA75" i="7" s="1"/>
  <c r="X75" i="7"/>
  <c r="V70" i="7"/>
  <c r="P75" i="7"/>
  <c r="K75" i="7"/>
  <c r="L75" i="7" s="1"/>
  <c r="N75" i="7"/>
  <c r="I75" i="7"/>
  <c r="S52" i="11"/>
  <c r="R52" i="11"/>
  <c r="Q52" i="11"/>
  <c r="L52" i="11"/>
  <c r="O52" i="11" s="1"/>
  <c r="K52" i="11"/>
  <c r="J52" i="11"/>
  <c r="M52" i="11" s="1"/>
  <c r="A54" i="11"/>
  <c r="F54" i="11" s="1"/>
  <c r="P53" i="11"/>
  <c r="I53" i="11"/>
  <c r="H53" i="11"/>
  <c r="E53" i="11"/>
  <c r="G53" i="11" s="1"/>
  <c r="I23" i="11"/>
  <c r="A22" i="11"/>
  <c r="Q61" i="7"/>
  <c r="V62" i="7" s="1"/>
  <c r="V46" i="7"/>
  <c r="Q43" i="7"/>
  <c r="V43" i="7" s="1"/>
  <c r="V67" i="7"/>
  <c r="V68" i="7"/>
  <c r="V63" i="7"/>
  <c r="V42" i="7"/>
  <c r="V69" i="7"/>
  <c r="V49" i="7"/>
  <c r="Q38" i="7"/>
  <c r="V38" i="7" s="1"/>
  <c r="V64" i="7"/>
  <c r="G46" i="9"/>
  <c r="H46" i="9"/>
  <c r="E46" i="9"/>
  <c r="I46" i="9"/>
  <c r="J46" i="9" s="1"/>
  <c r="R46" i="9" s="1"/>
  <c r="F46" i="9"/>
  <c r="G30" i="9"/>
  <c r="H30" i="9"/>
  <c r="E30" i="9"/>
  <c r="I30" i="9"/>
  <c r="F30" i="9"/>
  <c r="V50" i="7"/>
  <c r="A47" i="9"/>
  <c r="A29" i="9"/>
  <c r="J29" i="9" s="1"/>
  <c r="V51" i="7"/>
  <c r="V52" i="7"/>
  <c r="V55" i="7"/>
  <c r="V59" i="7"/>
  <c r="Q53" i="7"/>
  <c r="V53" i="7" s="1"/>
  <c r="V60" i="7"/>
  <c r="V56" i="7"/>
  <c r="V57" i="7"/>
  <c r="V45" i="7"/>
  <c r="V65" i="7"/>
  <c r="V66" i="7"/>
  <c r="V40" i="7"/>
  <c r="V58" i="7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B6" i="6"/>
  <c r="AA47" i="9"/>
  <c r="AB47" i="9"/>
  <c r="P47" i="9"/>
  <c r="O47" i="9"/>
  <c r="AC47" i="9"/>
  <c r="N47" i="9"/>
  <c r="Q47" i="9"/>
  <c r="BE67" i="3" l="1"/>
  <c r="BE83" i="3"/>
  <c r="BE115" i="3"/>
  <c r="BE131" i="3"/>
  <c r="BE179" i="3"/>
  <c r="BE106" i="3"/>
  <c r="BE122" i="3"/>
  <c r="BE154" i="3"/>
  <c r="BE170" i="3"/>
  <c r="BE190" i="3"/>
  <c r="BE211" i="3"/>
  <c r="BE227" i="3"/>
  <c r="BE259" i="3"/>
  <c r="BE291" i="3"/>
  <c r="BE189" i="3"/>
  <c r="BE212" i="3"/>
  <c r="BE316" i="3"/>
  <c r="BE340" i="3"/>
  <c r="BE329" i="3"/>
  <c r="BE333" i="3"/>
  <c r="BE53" i="3"/>
  <c r="BE69" i="3"/>
  <c r="BE85" i="3"/>
  <c r="BE117" i="3"/>
  <c r="BE133" i="3"/>
  <c r="BE165" i="3"/>
  <c r="BE92" i="3"/>
  <c r="BE108" i="3"/>
  <c r="BE197" i="3"/>
  <c r="BE213" i="3"/>
  <c r="BE245" i="3"/>
  <c r="BE261" i="3"/>
  <c r="BE277" i="3"/>
  <c r="BE309" i="3"/>
  <c r="BE325" i="3"/>
  <c r="BE198" i="3"/>
  <c r="BE214" i="3"/>
  <c r="BE230" i="3"/>
  <c r="BE254" i="3"/>
  <c r="BE294" i="3"/>
  <c r="BE326" i="3"/>
  <c r="BE344" i="3"/>
  <c r="BE345" i="3"/>
  <c r="BE339" i="3"/>
  <c r="BE71" i="3"/>
  <c r="BE87" i="3"/>
  <c r="BE135" i="3"/>
  <c r="BE151" i="3"/>
  <c r="BE167" i="3"/>
  <c r="BE30" i="3"/>
  <c r="BE46" i="3"/>
  <c r="BE62" i="3"/>
  <c r="BE94" i="3"/>
  <c r="BE110" i="3"/>
  <c r="BE158" i="3"/>
  <c r="BE174" i="3"/>
  <c r="BE263" i="3"/>
  <c r="BE279" i="3"/>
  <c r="BE295" i="3"/>
  <c r="BE216" i="3"/>
  <c r="BE260" i="3"/>
  <c r="BE328" i="3"/>
  <c r="BE252" i="3"/>
  <c r="BE246" i="3"/>
  <c r="BE341" i="3"/>
  <c r="BE57" i="3"/>
  <c r="BE73" i="3"/>
  <c r="BE153" i="3"/>
  <c r="BE169" i="3"/>
  <c r="BE32" i="3"/>
  <c r="BE48" i="3"/>
  <c r="BE64" i="3"/>
  <c r="BE80" i="3"/>
  <c r="BE96" i="3"/>
  <c r="BE112" i="3"/>
  <c r="BE160" i="3"/>
  <c r="BE201" i="3"/>
  <c r="BE195" i="3"/>
  <c r="BE202" i="3"/>
  <c r="BE194" i="3"/>
  <c r="BE330" i="3"/>
  <c r="BE262" i="3"/>
  <c r="BE335" i="3"/>
  <c r="BE327" i="3"/>
  <c r="BE91" i="3"/>
  <c r="BE107" i="3"/>
  <c r="BE123" i="3"/>
  <c r="BE155" i="3"/>
  <c r="BE66" i="3"/>
  <c r="BE82" i="3"/>
  <c r="BE114" i="3"/>
  <c r="BE146" i="3"/>
  <c r="BE178" i="3"/>
  <c r="BE203" i="3"/>
  <c r="BE219" i="3"/>
  <c r="BE235" i="3"/>
  <c r="BE251" i="3"/>
  <c r="BE283" i="3"/>
  <c r="BE299" i="3"/>
  <c r="BE186" i="3"/>
  <c r="BE204" i="3"/>
  <c r="BE220" i="3"/>
  <c r="BE248" i="3"/>
  <c r="BE342" i="3"/>
  <c r="BE332" i="3"/>
  <c r="BE337" i="3"/>
  <c r="BD26" i="3"/>
  <c r="BE29" i="3"/>
  <c r="BE93" i="3"/>
  <c r="BE109" i="3"/>
  <c r="BE173" i="3"/>
  <c r="BE68" i="3"/>
  <c r="BE132" i="3"/>
  <c r="BE192" i="3"/>
  <c r="BE221" i="3"/>
  <c r="BE237" i="3"/>
  <c r="BE253" i="3"/>
  <c r="BE285" i="3"/>
  <c r="BE301" i="3"/>
  <c r="BE193" i="3"/>
  <c r="BE206" i="3"/>
  <c r="BE222" i="3"/>
  <c r="BE346" i="3"/>
  <c r="BE334" i="3"/>
  <c r="BE320" i="3"/>
  <c r="BE343" i="3"/>
  <c r="BE31" i="3"/>
  <c r="BE47" i="3"/>
  <c r="BE63" i="3"/>
  <c r="BE95" i="3"/>
  <c r="BE111" i="3"/>
  <c r="BE127" i="3"/>
  <c r="BE143" i="3"/>
  <c r="BE159" i="3"/>
  <c r="BE54" i="3"/>
  <c r="BE70" i="3"/>
  <c r="BE86" i="3"/>
  <c r="BE102" i="3"/>
  <c r="BE118" i="3"/>
  <c r="BE134" i="3"/>
  <c r="BE166" i="3"/>
  <c r="BE180" i="3"/>
  <c r="BE207" i="3"/>
  <c r="BE239" i="3"/>
  <c r="BE255" i="3"/>
  <c r="BE271" i="3"/>
  <c r="BE287" i="3"/>
  <c r="BE303" i="3"/>
  <c r="BE319" i="3"/>
  <c r="BE184" i="3"/>
  <c r="BE208" i="3"/>
  <c r="BE336" i="3"/>
  <c r="BE292" i="3"/>
  <c r="BE240" i="3"/>
  <c r="BE250" i="3"/>
  <c r="BE331" i="3"/>
  <c r="BE65" i="3"/>
  <c r="BE81" i="3"/>
  <c r="BE97" i="3"/>
  <c r="BE113" i="3"/>
  <c r="BE177" i="3"/>
  <c r="BE40" i="3"/>
  <c r="BE56" i="3"/>
  <c r="BE72" i="3"/>
  <c r="BE136" i="3"/>
  <c r="BE209" i="3"/>
  <c r="BE241" i="3"/>
  <c r="BE191" i="3"/>
  <c r="BE226" i="3"/>
  <c r="BE187" i="3"/>
  <c r="BE258" i="3"/>
  <c r="BE338" i="3"/>
  <c r="BE347" i="3"/>
  <c r="U68" i="16"/>
  <c r="V68" i="16" s="1"/>
  <c r="W68" i="16" s="1"/>
  <c r="Y68" i="16" s="1"/>
  <c r="X68" i="16" s="1"/>
  <c r="AE68" i="9" s="1"/>
  <c r="Z66" i="16"/>
  <c r="U51" i="11"/>
  <c r="H59" i="14"/>
  <c r="H67" i="16"/>
  <c r="Z67" i="16" s="1"/>
  <c r="B70" i="16"/>
  <c r="J70" i="16"/>
  <c r="A71" i="16"/>
  <c r="I70" i="16"/>
  <c r="M70" i="16"/>
  <c r="C69" i="16"/>
  <c r="F69" i="16"/>
  <c r="T69" i="16" s="1"/>
  <c r="D69" i="16"/>
  <c r="E69" i="16"/>
  <c r="S69" i="16" s="1"/>
  <c r="G68" i="16"/>
  <c r="R68" i="16" s="1"/>
  <c r="U69" i="16" s="1"/>
  <c r="Q68" i="16"/>
  <c r="P69" i="16"/>
  <c r="O69" i="16"/>
  <c r="K69" i="16"/>
  <c r="L69" i="16"/>
  <c r="G7" i="16"/>
  <c r="H7" i="16" s="1"/>
  <c r="J60" i="14"/>
  <c r="K60" i="14"/>
  <c r="J17" i="14"/>
  <c r="K17" i="14"/>
  <c r="I17" i="14"/>
  <c r="L17" i="14"/>
  <c r="F60" i="14"/>
  <c r="I60" i="14"/>
  <c r="L60" i="14" s="1"/>
  <c r="S63" i="15"/>
  <c r="G65" i="15"/>
  <c r="Y65" i="15"/>
  <c r="I65" i="15"/>
  <c r="AE65" i="15"/>
  <c r="K65" i="15"/>
  <c r="AJ65" i="15"/>
  <c r="E65" i="15"/>
  <c r="A66" i="15"/>
  <c r="F65" i="15"/>
  <c r="AF65" i="15"/>
  <c r="AK65" i="15"/>
  <c r="AC65" i="15"/>
  <c r="AO65" i="15"/>
  <c r="H65" i="15"/>
  <c r="W65" i="15"/>
  <c r="J65" i="15"/>
  <c r="L65" i="15"/>
  <c r="Q64" i="15"/>
  <c r="R64" i="15" s="1"/>
  <c r="U64" i="15"/>
  <c r="V64" i="15" s="1"/>
  <c r="I11" i="15"/>
  <c r="Q11" i="15"/>
  <c r="AC11" i="15"/>
  <c r="J11" i="15"/>
  <c r="R11" i="15"/>
  <c r="AE11" i="15"/>
  <c r="C11" i="15"/>
  <c r="K11" i="15"/>
  <c r="S11" i="15"/>
  <c r="AF11" i="15"/>
  <c r="D11" i="15"/>
  <c r="L11" i="15"/>
  <c r="T11" i="15"/>
  <c r="AJ11" i="15"/>
  <c r="E11" i="15"/>
  <c r="M11" i="15"/>
  <c r="U11" i="15"/>
  <c r="AK11" i="15"/>
  <c r="A10" i="15"/>
  <c r="F11" i="15"/>
  <c r="N11" i="15"/>
  <c r="V11" i="15"/>
  <c r="H11" i="15"/>
  <c r="P11" i="15"/>
  <c r="Y11" i="15"/>
  <c r="O11" i="15"/>
  <c r="G11" i="15"/>
  <c r="W11" i="15"/>
  <c r="M64" i="15"/>
  <c r="N64" i="15" s="1"/>
  <c r="O64" i="15" s="1"/>
  <c r="P64" i="15" s="1"/>
  <c r="E60" i="14"/>
  <c r="G60" i="14" s="1"/>
  <c r="A61" i="14"/>
  <c r="G17" i="14"/>
  <c r="H17" i="14"/>
  <c r="S22" i="11"/>
  <c r="F22" i="11"/>
  <c r="E22" i="11"/>
  <c r="Q22" i="11"/>
  <c r="L22" i="11"/>
  <c r="P22" i="11"/>
  <c r="T22" i="11"/>
  <c r="U22" i="11"/>
  <c r="R22" i="11"/>
  <c r="J22" i="11"/>
  <c r="G22" i="11"/>
  <c r="K22" i="11"/>
  <c r="H22" i="11"/>
  <c r="M22" i="11"/>
  <c r="N22" i="11"/>
  <c r="O22" i="11"/>
  <c r="N29" i="7"/>
  <c r="P29" i="7"/>
  <c r="R29" i="7"/>
  <c r="U29" i="7"/>
  <c r="X29" i="7"/>
  <c r="I29" i="7"/>
  <c r="L29" i="7"/>
  <c r="K30" i="7"/>
  <c r="Z30" i="7"/>
  <c r="A28" i="7"/>
  <c r="F29" i="7"/>
  <c r="O29" i="7"/>
  <c r="Q29" i="7"/>
  <c r="S29" i="7"/>
  <c r="V29" i="7"/>
  <c r="B29" i="7"/>
  <c r="D29" i="7"/>
  <c r="Y29" i="7"/>
  <c r="E29" i="7"/>
  <c r="AB29" i="7"/>
  <c r="G29" i="7"/>
  <c r="AA29" i="7"/>
  <c r="J29" i="7"/>
  <c r="M29" i="7"/>
  <c r="H29" i="7"/>
  <c r="T29" i="7"/>
  <c r="W29" i="7"/>
  <c r="C29" i="7"/>
  <c r="R29" i="9"/>
  <c r="N29" i="9"/>
  <c r="O29" i="9"/>
  <c r="P29" i="9"/>
  <c r="Q29" i="9"/>
  <c r="X29" i="9"/>
  <c r="Z29" i="9"/>
  <c r="S29" i="9"/>
  <c r="AA29" i="9"/>
  <c r="T29" i="9"/>
  <c r="AB29" i="9"/>
  <c r="W29" i="9"/>
  <c r="Y29" i="9"/>
  <c r="AC29" i="9"/>
  <c r="M29" i="9"/>
  <c r="V29" i="9"/>
  <c r="U29" i="9"/>
  <c r="V47" i="7"/>
  <c r="Y47" i="7" s="1"/>
  <c r="N52" i="11"/>
  <c r="T52" i="11" s="1"/>
  <c r="F17" i="14"/>
  <c r="E17" i="14"/>
  <c r="A16" i="14"/>
  <c r="A16" i="13"/>
  <c r="B16" i="13" s="1"/>
  <c r="B60" i="13"/>
  <c r="A61" i="13"/>
  <c r="Y74" i="7"/>
  <c r="G75" i="7"/>
  <c r="J75" i="7" s="1"/>
  <c r="M75" i="7" s="1"/>
  <c r="O75" i="7" s="1"/>
  <c r="Q75" i="7" s="1"/>
  <c r="V75" i="7" s="1"/>
  <c r="Y75" i="7" s="1"/>
  <c r="V72" i="7"/>
  <c r="Y72" i="7" s="1"/>
  <c r="Y70" i="7"/>
  <c r="Z76" i="7"/>
  <c r="AA76" i="7" s="1"/>
  <c r="X76" i="7"/>
  <c r="D76" i="7"/>
  <c r="E76" i="7" s="1"/>
  <c r="F76" i="7"/>
  <c r="Y71" i="7"/>
  <c r="R77" i="7"/>
  <c r="S77" i="7" s="1"/>
  <c r="B77" i="7"/>
  <c r="W77" i="7"/>
  <c r="H77" i="7"/>
  <c r="C77" i="7"/>
  <c r="T77" i="7"/>
  <c r="U77" i="7" s="1"/>
  <c r="A78" i="7"/>
  <c r="K76" i="7"/>
  <c r="L76" i="7" s="1"/>
  <c r="I76" i="7"/>
  <c r="N76" i="7"/>
  <c r="P76" i="7"/>
  <c r="R53" i="11"/>
  <c r="S53" i="11"/>
  <c r="Q53" i="11"/>
  <c r="L53" i="11"/>
  <c r="O53" i="11" s="1"/>
  <c r="K53" i="11"/>
  <c r="J53" i="11"/>
  <c r="M53" i="11" s="1"/>
  <c r="E54" i="11"/>
  <c r="G54" i="11" s="1"/>
  <c r="A55" i="11"/>
  <c r="F55" i="11" s="1"/>
  <c r="P54" i="11"/>
  <c r="I54" i="11"/>
  <c r="H54" i="11"/>
  <c r="A21" i="11"/>
  <c r="I22" i="11"/>
  <c r="V61" i="7"/>
  <c r="Y62" i="7" s="1"/>
  <c r="Y69" i="7"/>
  <c r="Y46" i="7"/>
  <c r="Y68" i="7"/>
  <c r="V44" i="7"/>
  <c r="Y44" i="7" s="1"/>
  <c r="Y43" i="7"/>
  <c r="Y64" i="7"/>
  <c r="Y42" i="7"/>
  <c r="Y50" i="7"/>
  <c r="V39" i="7"/>
  <c r="Y40" i="7" s="1"/>
  <c r="Y49" i="7"/>
  <c r="Y65" i="7"/>
  <c r="Y38" i="7"/>
  <c r="H29" i="9"/>
  <c r="E29" i="9"/>
  <c r="I29" i="9"/>
  <c r="F29" i="9"/>
  <c r="G29" i="9"/>
  <c r="F47" i="9"/>
  <c r="G47" i="9"/>
  <c r="H47" i="9"/>
  <c r="E47" i="9"/>
  <c r="I47" i="9"/>
  <c r="J47" i="9" s="1"/>
  <c r="R47" i="9" s="1"/>
  <c r="Y51" i="7"/>
  <c r="Y52" i="7"/>
  <c r="A28" i="9"/>
  <c r="J28" i="9" s="1"/>
  <c r="Y53" i="7"/>
  <c r="A48" i="9"/>
  <c r="Y56" i="7"/>
  <c r="Y60" i="7"/>
  <c r="V54" i="7"/>
  <c r="Y54" i="7" s="1"/>
  <c r="Y57" i="7"/>
  <c r="Y41" i="7"/>
  <c r="Y66" i="7"/>
  <c r="Y67" i="7"/>
  <c r="Y63" i="7"/>
  <c r="Y58" i="7"/>
  <c r="Y59" i="7"/>
  <c r="K38" i="6"/>
  <c r="S38" i="6"/>
  <c r="E38" i="6"/>
  <c r="C38" i="6"/>
  <c r="A37" i="6"/>
  <c r="A39" i="6"/>
  <c r="AA48" i="9"/>
  <c r="O48" i="9"/>
  <c r="P48" i="9"/>
  <c r="N48" i="9"/>
  <c r="Q48" i="9"/>
  <c r="AC48" i="9"/>
  <c r="AB48" i="9"/>
  <c r="BD35" i="3" l="1"/>
  <c r="BD51" i="3"/>
  <c r="BD67" i="3"/>
  <c r="BD83" i="3"/>
  <c r="BD99" i="3"/>
  <c r="BD115" i="3"/>
  <c r="BD131" i="3"/>
  <c r="BD147" i="3"/>
  <c r="BD40" i="3"/>
  <c r="BD56" i="3"/>
  <c r="BD72" i="3"/>
  <c r="BD88" i="3"/>
  <c r="BD104" i="3"/>
  <c r="BD120" i="3"/>
  <c r="BD136" i="3"/>
  <c r="BD152" i="3"/>
  <c r="BD199" i="3"/>
  <c r="BD215" i="3"/>
  <c r="BD155" i="3"/>
  <c r="BD177" i="3"/>
  <c r="BD157" i="3"/>
  <c r="BD204" i="3"/>
  <c r="BD220" i="3"/>
  <c r="BD182" i="3"/>
  <c r="BD194" i="3"/>
  <c r="BD323" i="3"/>
  <c r="BD264" i="3"/>
  <c r="BD299" i="3"/>
  <c r="BD258" i="3"/>
  <c r="BD334" i="3"/>
  <c r="BD277" i="3"/>
  <c r="BD276" i="3"/>
  <c r="BD308" i="3"/>
  <c r="BD246" i="3"/>
  <c r="BD249" i="3"/>
  <c r="BD290" i="3"/>
  <c r="BD266" i="3"/>
  <c r="BD337" i="3"/>
  <c r="BD260" i="3"/>
  <c r="BD309" i="3"/>
  <c r="BD350" i="3"/>
  <c r="BD37" i="3"/>
  <c r="BD53" i="3"/>
  <c r="BD69" i="3"/>
  <c r="BD85" i="3"/>
  <c r="BD101" i="3"/>
  <c r="BD117" i="3"/>
  <c r="BD133" i="3"/>
  <c r="BD149" i="3"/>
  <c r="BD42" i="3"/>
  <c r="BD58" i="3"/>
  <c r="BD74" i="3"/>
  <c r="BD90" i="3"/>
  <c r="BD106" i="3"/>
  <c r="BD122" i="3"/>
  <c r="BD138" i="3"/>
  <c r="BD160" i="3"/>
  <c r="BD201" i="3"/>
  <c r="BD217" i="3"/>
  <c r="BD166" i="3"/>
  <c r="BD186" i="3"/>
  <c r="BD168" i="3"/>
  <c r="BD206" i="3"/>
  <c r="BD222" i="3"/>
  <c r="BD187" i="3"/>
  <c r="BD159" i="3"/>
  <c r="BD192" i="3"/>
  <c r="BD270" i="3"/>
  <c r="BD302" i="3"/>
  <c r="BD267" i="3"/>
  <c r="BD336" i="3"/>
  <c r="BD288" i="3"/>
  <c r="BD281" i="3"/>
  <c r="BD317" i="3"/>
  <c r="BD255" i="3"/>
  <c r="BD256" i="3"/>
  <c r="BD298" i="3"/>
  <c r="BD311" i="3"/>
  <c r="BD339" i="3"/>
  <c r="BD269" i="3"/>
  <c r="BD296" i="3"/>
  <c r="BD351" i="3"/>
  <c r="BD39" i="3"/>
  <c r="BD55" i="3"/>
  <c r="BD71" i="3"/>
  <c r="BD87" i="3"/>
  <c r="BD103" i="3"/>
  <c r="BD119" i="3"/>
  <c r="BD135" i="3"/>
  <c r="BD151" i="3"/>
  <c r="BD44" i="3"/>
  <c r="BD60" i="3"/>
  <c r="BD76" i="3"/>
  <c r="BD92" i="3"/>
  <c r="BD108" i="3"/>
  <c r="BD124" i="3"/>
  <c r="BD140" i="3"/>
  <c r="BD165" i="3"/>
  <c r="BD203" i="3"/>
  <c r="BD219" i="3"/>
  <c r="BD171" i="3"/>
  <c r="BD193" i="3"/>
  <c r="BD173" i="3"/>
  <c r="BD208" i="3"/>
  <c r="BD224" i="3"/>
  <c r="BD196" i="3"/>
  <c r="BD233" i="3"/>
  <c r="BD230" i="3"/>
  <c r="BD275" i="3"/>
  <c r="BD307" i="3"/>
  <c r="BD310" i="3"/>
  <c r="BD338" i="3"/>
  <c r="BD175" i="3"/>
  <c r="BD284" i="3"/>
  <c r="BD324" i="3"/>
  <c r="BD262" i="3"/>
  <c r="BD265" i="3"/>
  <c r="BD303" i="3"/>
  <c r="BD318" i="3"/>
  <c r="BD341" i="3"/>
  <c r="BD272" i="3"/>
  <c r="BD301" i="3"/>
  <c r="BD352" i="3"/>
  <c r="BD41" i="3"/>
  <c r="BD57" i="3"/>
  <c r="BD73" i="3"/>
  <c r="BD89" i="3"/>
  <c r="BD105" i="3"/>
  <c r="BD121" i="3"/>
  <c r="BD137" i="3"/>
  <c r="BD30" i="3"/>
  <c r="BD46" i="3"/>
  <c r="BD62" i="3"/>
  <c r="BD78" i="3"/>
  <c r="BD94" i="3"/>
  <c r="BD110" i="3"/>
  <c r="BD126" i="3"/>
  <c r="BD142" i="3"/>
  <c r="BD176" i="3"/>
  <c r="BD205" i="3"/>
  <c r="BD221" i="3"/>
  <c r="BD188" i="3"/>
  <c r="BD162" i="3"/>
  <c r="BD178" i="3"/>
  <c r="BD210" i="3"/>
  <c r="BD226" i="3"/>
  <c r="BD153" i="3"/>
  <c r="BD237" i="3"/>
  <c r="BD234" i="3"/>
  <c r="BD278" i="3"/>
  <c r="BD312" i="3"/>
  <c r="BD319" i="3"/>
  <c r="BD340" i="3"/>
  <c r="BD245" i="3"/>
  <c r="BD289" i="3"/>
  <c r="BD295" i="3"/>
  <c r="BD315" i="3"/>
  <c r="BD271" i="3"/>
  <c r="BD313" i="3"/>
  <c r="BD327" i="3"/>
  <c r="BD343" i="3"/>
  <c r="BD285" i="3"/>
  <c r="BD280" i="3"/>
  <c r="BD349" i="3"/>
  <c r="BD43" i="3"/>
  <c r="BD59" i="3"/>
  <c r="BD75" i="3"/>
  <c r="BD91" i="3"/>
  <c r="BD107" i="3"/>
  <c r="BD123" i="3"/>
  <c r="BD139" i="3"/>
  <c r="BD32" i="3"/>
  <c r="BD48" i="3"/>
  <c r="BD64" i="3"/>
  <c r="BD80" i="3"/>
  <c r="BD96" i="3"/>
  <c r="BD112" i="3"/>
  <c r="BD128" i="3"/>
  <c r="BD144" i="3"/>
  <c r="BD180" i="3"/>
  <c r="BD207" i="3"/>
  <c r="BD223" i="3"/>
  <c r="BD195" i="3"/>
  <c r="BD167" i="3"/>
  <c r="BD189" i="3"/>
  <c r="BD212" i="3"/>
  <c r="BD228" i="3"/>
  <c r="BD164" i="3"/>
  <c r="BD247" i="3"/>
  <c r="BD238" i="3"/>
  <c r="BD283" i="3"/>
  <c r="BD321" i="3"/>
  <c r="BD326" i="3"/>
  <c r="BD342" i="3"/>
  <c r="BD252" i="3"/>
  <c r="BD292" i="3"/>
  <c r="BD253" i="3"/>
  <c r="BD322" i="3"/>
  <c r="BD274" i="3"/>
  <c r="BD320" i="3"/>
  <c r="BD329" i="3"/>
  <c r="BD345" i="3"/>
  <c r="BD316" i="3"/>
  <c r="BC26" i="3"/>
  <c r="BD29" i="3"/>
  <c r="BD45" i="3"/>
  <c r="BD61" i="3"/>
  <c r="BD77" i="3"/>
  <c r="BD93" i="3"/>
  <c r="BD109" i="3"/>
  <c r="BD125" i="3"/>
  <c r="BD141" i="3"/>
  <c r="BD34" i="3"/>
  <c r="BD50" i="3"/>
  <c r="BD66" i="3"/>
  <c r="BD82" i="3"/>
  <c r="BD98" i="3"/>
  <c r="BD114" i="3"/>
  <c r="BD130" i="3"/>
  <c r="BD146" i="3"/>
  <c r="BD183" i="3"/>
  <c r="BD209" i="3"/>
  <c r="BD225" i="3"/>
  <c r="BD156" i="3"/>
  <c r="BD181" i="3"/>
  <c r="BD198" i="3"/>
  <c r="BD214" i="3"/>
  <c r="BD158" i="3"/>
  <c r="BD169" i="3"/>
  <c r="BD254" i="3"/>
  <c r="BD241" i="3"/>
  <c r="BD286" i="3"/>
  <c r="BD170" i="3"/>
  <c r="BD328" i="3"/>
  <c r="BD344" i="3"/>
  <c r="BD261" i="3"/>
  <c r="BD297" i="3"/>
  <c r="BD231" i="3"/>
  <c r="BD232" i="3"/>
  <c r="BD279" i="3"/>
  <c r="BD243" i="3"/>
  <c r="BD331" i="3"/>
  <c r="BD347" i="3"/>
  <c r="BD304" i="3"/>
  <c r="BD28" i="3"/>
  <c r="BD31" i="3"/>
  <c r="BD47" i="3"/>
  <c r="BD63" i="3"/>
  <c r="BD79" i="3"/>
  <c r="BD95" i="3"/>
  <c r="BD111" i="3"/>
  <c r="BD127" i="3"/>
  <c r="BD143" i="3"/>
  <c r="BD36" i="3"/>
  <c r="BD52" i="3"/>
  <c r="BD68" i="3"/>
  <c r="BD84" i="3"/>
  <c r="BD100" i="3"/>
  <c r="BD116" i="3"/>
  <c r="BD132" i="3"/>
  <c r="BD148" i="3"/>
  <c r="BD190" i="3"/>
  <c r="BD211" i="3"/>
  <c r="BD227" i="3"/>
  <c r="BD161" i="3"/>
  <c r="BD184" i="3"/>
  <c r="BD200" i="3"/>
  <c r="BD216" i="3"/>
  <c r="BD163" i="3"/>
  <c r="BD179" i="3"/>
  <c r="BD263" i="3"/>
  <c r="BD248" i="3"/>
  <c r="BD291" i="3"/>
  <c r="BD242" i="3"/>
  <c r="BD330" i="3"/>
  <c r="BD346" i="3"/>
  <c r="BD268" i="3"/>
  <c r="BD300" i="3"/>
  <c r="BD235" i="3"/>
  <c r="BD236" i="3"/>
  <c r="BD282" i="3"/>
  <c r="BD250" i="3"/>
  <c r="BD333" i="3"/>
  <c r="BD154" i="3"/>
  <c r="BD325" i="3"/>
  <c r="BD33" i="3"/>
  <c r="BD49" i="3"/>
  <c r="BD65" i="3"/>
  <c r="BD81" i="3"/>
  <c r="BD97" i="3"/>
  <c r="BD113" i="3"/>
  <c r="BD129" i="3"/>
  <c r="BD145" i="3"/>
  <c r="BD38" i="3"/>
  <c r="BD54" i="3"/>
  <c r="BD70" i="3"/>
  <c r="BD86" i="3"/>
  <c r="BD102" i="3"/>
  <c r="BD118" i="3"/>
  <c r="BD134" i="3"/>
  <c r="BD150" i="3"/>
  <c r="BD197" i="3"/>
  <c r="BD213" i="3"/>
  <c r="BD229" i="3"/>
  <c r="BD172" i="3"/>
  <c r="BD191" i="3"/>
  <c r="BD202" i="3"/>
  <c r="BD218" i="3"/>
  <c r="BD174" i="3"/>
  <c r="BD185" i="3"/>
  <c r="BD314" i="3"/>
  <c r="BD257" i="3"/>
  <c r="BD294" i="3"/>
  <c r="BD251" i="3"/>
  <c r="BD332" i="3"/>
  <c r="BD306" i="3"/>
  <c r="BD273" i="3"/>
  <c r="BD305" i="3"/>
  <c r="BD239" i="3"/>
  <c r="BD240" i="3"/>
  <c r="BD287" i="3"/>
  <c r="BD259" i="3"/>
  <c r="BD335" i="3"/>
  <c r="BD244" i="3"/>
  <c r="BD293" i="3"/>
  <c r="U52" i="11"/>
  <c r="H68" i="16"/>
  <c r="Z68" i="16" s="1"/>
  <c r="V69" i="16"/>
  <c r="W69" i="16" s="1"/>
  <c r="Y69" i="16" s="1"/>
  <c r="X69" i="16" s="1"/>
  <c r="AE69" i="9" s="1"/>
  <c r="G69" i="16"/>
  <c r="R69" i="16" s="1"/>
  <c r="U70" i="16" s="1"/>
  <c r="Q69" i="16"/>
  <c r="O70" i="16"/>
  <c r="P70" i="16"/>
  <c r="I71" i="16"/>
  <c r="B71" i="16"/>
  <c r="M71" i="16"/>
  <c r="A72" i="16"/>
  <c r="J71" i="16"/>
  <c r="K70" i="16"/>
  <c r="L70" i="16"/>
  <c r="E70" i="16"/>
  <c r="S70" i="16" s="1"/>
  <c r="D70" i="16"/>
  <c r="C70" i="16"/>
  <c r="F70" i="16"/>
  <c r="T70" i="16" s="1"/>
  <c r="H60" i="14"/>
  <c r="S64" i="15"/>
  <c r="A62" i="14"/>
  <c r="I62" i="14" s="1"/>
  <c r="L62" i="14" s="1"/>
  <c r="K61" i="14"/>
  <c r="J61" i="14"/>
  <c r="J16" i="14"/>
  <c r="K16" i="14"/>
  <c r="L16" i="14"/>
  <c r="I16" i="14"/>
  <c r="F61" i="14"/>
  <c r="I61" i="14"/>
  <c r="L61" i="14" s="1"/>
  <c r="E61" i="14"/>
  <c r="G61" i="14" s="1"/>
  <c r="E66" i="15"/>
  <c r="AO66" i="15"/>
  <c r="G66" i="15"/>
  <c r="Y66" i="15"/>
  <c r="I66" i="15"/>
  <c r="AE66" i="15"/>
  <c r="A67" i="15"/>
  <c r="F66" i="15"/>
  <c r="L66" i="15"/>
  <c r="AF66" i="15"/>
  <c r="AJ66" i="15"/>
  <c r="W66" i="15"/>
  <c r="AC66" i="15"/>
  <c r="AK66" i="15"/>
  <c r="J66" i="15"/>
  <c r="K66" i="15"/>
  <c r="H66" i="15"/>
  <c r="Q65" i="15"/>
  <c r="R65" i="15" s="1"/>
  <c r="E10" i="15"/>
  <c r="M10" i="15"/>
  <c r="U10" i="15"/>
  <c r="AK10" i="15"/>
  <c r="A9" i="15"/>
  <c r="F10" i="15"/>
  <c r="N10" i="15"/>
  <c r="V10" i="15"/>
  <c r="G10" i="15"/>
  <c r="O10" i="15"/>
  <c r="W10" i="15"/>
  <c r="H10" i="15"/>
  <c r="P10" i="15"/>
  <c r="Y10" i="15"/>
  <c r="I10" i="15"/>
  <c r="Q10" i="15"/>
  <c r="AC10" i="15"/>
  <c r="J10" i="15"/>
  <c r="R10" i="15"/>
  <c r="AE10" i="15"/>
  <c r="D10" i="15"/>
  <c r="L10" i="15"/>
  <c r="T10" i="15"/>
  <c r="AJ10" i="15"/>
  <c r="K10" i="15"/>
  <c r="AF10" i="15"/>
  <c r="C10" i="15"/>
  <c r="S10" i="15"/>
  <c r="U65" i="15"/>
  <c r="V65" i="15" s="1"/>
  <c r="M65" i="15"/>
  <c r="N65" i="15" s="1"/>
  <c r="O65" i="15" s="1"/>
  <c r="P65" i="15" s="1"/>
  <c r="R21" i="11"/>
  <c r="S21" i="11"/>
  <c r="F21" i="11"/>
  <c r="E21" i="11"/>
  <c r="L21" i="11"/>
  <c r="O21" i="11"/>
  <c r="P21" i="11"/>
  <c r="Q21" i="11"/>
  <c r="T21" i="11"/>
  <c r="U21" i="11"/>
  <c r="J21" i="11"/>
  <c r="G21" i="11"/>
  <c r="N21" i="11"/>
  <c r="K21" i="11"/>
  <c r="H21" i="11"/>
  <c r="M21" i="11"/>
  <c r="Y37" i="6"/>
  <c r="AB37" i="6"/>
  <c r="AG37" i="6"/>
  <c r="G37" i="6"/>
  <c r="AH37" i="6"/>
  <c r="K37" i="6"/>
  <c r="R37" i="6"/>
  <c r="M37" i="6"/>
  <c r="D37" i="6"/>
  <c r="O37" i="6"/>
  <c r="U37" i="6"/>
  <c r="W37" i="6"/>
  <c r="C37" i="6"/>
  <c r="F38" i="6" s="1"/>
  <c r="X37" i="6"/>
  <c r="B37" i="6"/>
  <c r="V37" i="6"/>
  <c r="E37" i="6"/>
  <c r="S37" i="6"/>
  <c r="P37" i="6"/>
  <c r="N37" i="6"/>
  <c r="AI37" i="6"/>
  <c r="L37" i="6"/>
  <c r="AJ37" i="6"/>
  <c r="H37" i="6"/>
  <c r="AC37" i="6"/>
  <c r="Z37" i="6"/>
  <c r="F37" i="6"/>
  <c r="L28" i="7"/>
  <c r="N28" i="7"/>
  <c r="P28" i="7"/>
  <c r="R28" i="7"/>
  <c r="U28" i="7"/>
  <c r="X28" i="7"/>
  <c r="I28" i="7"/>
  <c r="G16" i="14"/>
  <c r="H16" i="14"/>
  <c r="A27" i="7"/>
  <c r="D28" i="7"/>
  <c r="M28" i="7"/>
  <c r="F28" i="7"/>
  <c r="O28" i="7"/>
  <c r="Q28" i="7"/>
  <c r="S28" i="7"/>
  <c r="V28" i="7"/>
  <c r="B28" i="7"/>
  <c r="J28" i="7"/>
  <c r="Y28" i="7"/>
  <c r="E28" i="7"/>
  <c r="AA28" i="7"/>
  <c r="AB28" i="7"/>
  <c r="G28" i="7"/>
  <c r="C28" i="7"/>
  <c r="H28" i="7"/>
  <c r="T28" i="7"/>
  <c r="W28" i="7"/>
  <c r="Z29" i="7"/>
  <c r="K29" i="7"/>
  <c r="O28" i="9"/>
  <c r="P28" i="9"/>
  <c r="Q28" i="9"/>
  <c r="R28" i="9"/>
  <c r="N28" i="9"/>
  <c r="Y28" i="9"/>
  <c r="S28" i="9"/>
  <c r="AA28" i="9"/>
  <c r="T28" i="9"/>
  <c r="AB28" i="9"/>
  <c r="M28" i="9"/>
  <c r="U28" i="9"/>
  <c r="AC28" i="9"/>
  <c r="X28" i="9"/>
  <c r="Z28" i="9"/>
  <c r="W28" i="9"/>
  <c r="V28" i="9"/>
  <c r="Y48" i="7"/>
  <c r="AB48" i="7" s="1"/>
  <c r="N53" i="11"/>
  <c r="T53" i="11" s="1"/>
  <c r="F16" i="14"/>
  <c r="E16" i="14"/>
  <c r="A15" i="14"/>
  <c r="B61" i="13"/>
  <c r="A62" i="13"/>
  <c r="A15" i="13"/>
  <c r="B15" i="13" s="1"/>
  <c r="AB75" i="7"/>
  <c r="M75" i="9" s="1"/>
  <c r="AF37" i="6"/>
  <c r="AE37" i="6"/>
  <c r="AH38" i="6" s="1"/>
  <c r="AF39" i="6"/>
  <c r="AE39" i="6"/>
  <c r="Y73" i="7"/>
  <c r="AB73" i="7" s="1"/>
  <c r="M73" i="9" s="1"/>
  <c r="AB71" i="7"/>
  <c r="M71" i="9" s="1"/>
  <c r="G76" i="7"/>
  <c r="J76" i="7" s="1"/>
  <c r="M76" i="7" s="1"/>
  <c r="O76" i="7" s="1"/>
  <c r="Q76" i="7" s="1"/>
  <c r="V76" i="7" s="1"/>
  <c r="Y76" i="7" s="1"/>
  <c r="AB76" i="7" s="1"/>
  <c r="M76" i="9" s="1"/>
  <c r="T78" i="7"/>
  <c r="U78" i="7" s="1"/>
  <c r="C78" i="7"/>
  <c r="W78" i="7"/>
  <c r="R78" i="7"/>
  <c r="S78" i="7" s="1"/>
  <c r="B78" i="7"/>
  <c r="H78" i="7"/>
  <c r="A79" i="7"/>
  <c r="AB72" i="7"/>
  <c r="M72" i="9" s="1"/>
  <c r="D77" i="7"/>
  <c r="E77" i="7" s="1"/>
  <c r="F77" i="7"/>
  <c r="Z77" i="7"/>
  <c r="AA77" i="7" s="1"/>
  <c r="X77" i="7"/>
  <c r="P77" i="7"/>
  <c r="N77" i="7"/>
  <c r="K77" i="7"/>
  <c r="L77" i="7" s="1"/>
  <c r="I77" i="7"/>
  <c r="AB70" i="7"/>
  <c r="M70" i="9" s="1"/>
  <c r="S54" i="11"/>
  <c r="R54" i="11"/>
  <c r="Q54" i="11"/>
  <c r="K54" i="11"/>
  <c r="J54" i="11"/>
  <c r="M54" i="11" s="1"/>
  <c r="L54" i="11"/>
  <c r="O54" i="11" s="1"/>
  <c r="H55" i="11"/>
  <c r="E55" i="11"/>
  <c r="G55" i="11" s="1"/>
  <c r="A56" i="11"/>
  <c r="F56" i="11" s="1"/>
  <c r="P55" i="11"/>
  <c r="I55" i="11"/>
  <c r="I21" i="11"/>
  <c r="A20" i="11"/>
  <c r="Y61" i="7"/>
  <c r="AB38" i="7"/>
  <c r="AB69" i="7"/>
  <c r="M69" i="9" s="1"/>
  <c r="AB43" i="7"/>
  <c r="AB44" i="7"/>
  <c r="AB47" i="7"/>
  <c r="Y45" i="7"/>
  <c r="AB45" i="7" s="1"/>
  <c r="AB65" i="7"/>
  <c r="M65" i="9" s="1"/>
  <c r="R39" i="6"/>
  <c r="S39" i="6" s="1"/>
  <c r="T39" i="6"/>
  <c r="AB39" i="6" s="1"/>
  <c r="T37" i="6"/>
  <c r="J37" i="6"/>
  <c r="J39" i="6"/>
  <c r="O39" i="6"/>
  <c r="B39" i="6"/>
  <c r="C39" i="6" s="1"/>
  <c r="D39" i="6"/>
  <c r="E39" i="6" s="1"/>
  <c r="AB51" i="7"/>
  <c r="M51" i="9" s="1"/>
  <c r="Y39" i="7"/>
  <c r="AB39" i="7" s="1"/>
  <c r="AB50" i="7"/>
  <c r="M50" i="9" s="1"/>
  <c r="AB66" i="7"/>
  <c r="M66" i="9" s="1"/>
  <c r="E48" i="9"/>
  <c r="I48" i="9"/>
  <c r="J48" i="9" s="1"/>
  <c r="R48" i="9" s="1"/>
  <c r="F48" i="9"/>
  <c r="G48" i="9"/>
  <c r="H48" i="9"/>
  <c r="E28" i="9"/>
  <c r="I28" i="9"/>
  <c r="F28" i="9"/>
  <c r="G28" i="9"/>
  <c r="H28" i="9"/>
  <c r="AB52" i="7"/>
  <c r="M52" i="9" s="1"/>
  <c r="AB53" i="7"/>
  <c r="M53" i="9" s="1"/>
  <c r="AB54" i="7"/>
  <c r="M54" i="9" s="1"/>
  <c r="A49" i="9"/>
  <c r="A27" i="9"/>
  <c r="J27" i="9" s="1"/>
  <c r="AB57" i="7"/>
  <c r="M57" i="9" s="1"/>
  <c r="Y55" i="7"/>
  <c r="AB58" i="7"/>
  <c r="M58" i="9" s="1"/>
  <c r="AB63" i="7"/>
  <c r="M63" i="9" s="1"/>
  <c r="AB64" i="7"/>
  <c r="M64" i="9" s="1"/>
  <c r="AB67" i="7"/>
  <c r="M67" i="9" s="1"/>
  <c r="AB68" i="7"/>
  <c r="M68" i="9" s="1"/>
  <c r="AB59" i="7"/>
  <c r="M59" i="9" s="1"/>
  <c r="AB60" i="7"/>
  <c r="M60" i="9" s="1"/>
  <c r="AB41" i="7"/>
  <c r="AB42" i="7"/>
  <c r="A40" i="6"/>
  <c r="AB38" i="6"/>
  <c r="W38" i="6"/>
  <c r="A36" i="6"/>
  <c r="L38" i="6"/>
  <c r="G38" i="6"/>
  <c r="Y38" i="6"/>
  <c r="M38" i="6"/>
  <c r="U38" i="6"/>
  <c r="AA49" i="9"/>
  <c r="P49" i="9"/>
  <c r="N49" i="9"/>
  <c r="AC49" i="9"/>
  <c r="O49" i="9"/>
  <c r="AB49" i="9"/>
  <c r="Q49" i="9"/>
  <c r="U49" i="9" l="1"/>
  <c r="BC350" i="3"/>
  <c r="BC35" i="3"/>
  <c r="BC51" i="3"/>
  <c r="BC67" i="3"/>
  <c r="BB67" i="3" s="1"/>
  <c r="BC83" i="3"/>
  <c r="BB83" i="3" s="1"/>
  <c r="BC99" i="3"/>
  <c r="BC115" i="3"/>
  <c r="BB115" i="3" s="1"/>
  <c r="BC131" i="3"/>
  <c r="BB131" i="3" s="1"/>
  <c r="BC147" i="3"/>
  <c r="BC163" i="3"/>
  <c r="BC179" i="3"/>
  <c r="BB179" i="3" s="1"/>
  <c r="BC195" i="3"/>
  <c r="BB195" i="3" s="1"/>
  <c r="BC42" i="3"/>
  <c r="BC58" i="3"/>
  <c r="BC74" i="3"/>
  <c r="BC90" i="3"/>
  <c r="BC106" i="3"/>
  <c r="BB106" i="3" s="1"/>
  <c r="BC122" i="3"/>
  <c r="BB122" i="3" s="1"/>
  <c r="BC138" i="3"/>
  <c r="BC154" i="3"/>
  <c r="BB154" i="3" s="1"/>
  <c r="BC170" i="3"/>
  <c r="BB170" i="3" s="1"/>
  <c r="BC188" i="3"/>
  <c r="BC210" i="3"/>
  <c r="BC226" i="3"/>
  <c r="BB226" i="3" s="1"/>
  <c r="BC242" i="3"/>
  <c r="BC258" i="3"/>
  <c r="BB258" i="3" s="1"/>
  <c r="BC192" i="3"/>
  <c r="BB192" i="3" s="1"/>
  <c r="BC275" i="3"/>
  <c r="BC307" i="3"/>
  <c r="BC326" i="3"/>
  <c r="BB326" i="3" s="1"/>
  <c r="BC342" i="3"/>
  <c r="BB342" i="3" s="1"/>
  <c r="BC245" i="3"/>
  <c r="BB245" i="3" s="1"/>
  <c r="BC297" i="3"/>
  <c r="BC335" i="3"/>
  <c r="BB335" i="3" s="1"/>
  <c r="BC315" i="3"/>
  <c r="BC265" i="3"/>
  <c r="BC298" i="3"/>
  <c r="BC311" i="3"/>
  <c r="BC227" i="3"/>
  <c r="BB227" i="3" s="1"/>
  <c r="BC293" i="3"/>
  <c r="BC233" i="3"/>
  <c r="BC351" i="3"/>
  <c r="BC37" i="3"/>
  <c r="BC53" i="3"/>
  <c r="BB53" i="3" s="1"/>
  <c r="BC69" i="3"/>
  <c r="BB69" i="3" s="1"/>
  <c r="BC85" i="3"/>
  <c r="BB85" i="3" s="1"/>
  <c r="BC101" i="3"/>
  <c r="BC117" i="3"/>
  <c r="BB117" i="3" s="1"/>
  <c r="BC133" i="3"/>
  <c r="BB133" i="3" s="1"/>
  <c r="BC149" i="3"/>
  <c r="BC165" i="3"/>
  <c r="BB165" i="3" s="1"/>
  <c r="BC181" i="3"/>
  <c r="BC197" i="3"/>
  <c r="BB197" i="3" s="1"/>
  <c r="BC44" i="3"/>
  <c r="BC60" i="3"/>
  <c r="BC76" i="3"/>
  <c r="BC92" i="3"/>
  <c r="BB92" i="3" s="1"/>
  <c r="BC108" i="3"/>
  <c r="BB108" i="3" s="1"/>
  <c r="BC124" i="3"/>
  <c r="BC140" i="3"/>
  <c r="BC156" i="3"/>
  <c r="BC172" i="3"/>
  <c r="BC186" i="3"/>
  <c r="BB186" i="3" s="1"/>
  <c r="BC212" i="3"/>
  <c r="BB212" i="3" s="1"/>
  <c r="BC228" i="3"/>
  <c r="BC244" i="3"/>
  <c r="BC260" i="3"/>
  <c r="BB260" i="3" s="1"/>
  <c r="BC190" i="3"/>
  <c r="BB190" i="3" s="1"/>
  <c r="BC278" i="3"/>
  <c r="BC312" i="3"/>
  <c r="BC328" i="3"/>
  <c r="BB328" i="3" s="1"/>
  <c r="BC344" i="3"/>
  <c r="BB344" i="3" s="1"/>
  <c r="BC261" i="3"/>
  <c r="BB261" i="3" s="1"/>
  <c r="BC300" i="3"/>
  <c r="BC347" i="3"/>
  <c r="BB347" i="3" s="1"/>
  <c r="BC322" i="3"/>
  <c r="BC271" i="3"/>
  <c r="BC303" i="3"/>
  <c r="BB303" i="3" s="1"/>
  <c r="BC329" i="3"/>
  <c r="BB329" i="3" s="1"/>
  <c r="BC253" i="3"/>
  <c r="BB253" i="3" s="1"/>
  <c r="BC296" i="3"/>
  <c r="BC263" i="3"/>
  <c r="BB263" i="3" s="1"/>
  <c r="BC47" i="3"/>
  <c r="BB47" i="3" s="1"/>
  <c r="BC95" i="3"/>
  <c r="BB95" i="3" s="1"/>
  <c r="BC127" i="3"/>
  <c r="BB127" i="3" s="1"/>
  <c r="BC159" i="3"/>
  <c r="BB159" i="3" s="1"/>
  <c r="BC38" i="3"/>
  <c r="BC70" i="3"/>
  <c r="BB70" i="3" s="1"/>
  <c r="BC102" i="3"/>
  <c r="BB102" i="3" s="1"/>
  <c r="BC150" i="3"/>
  <c r="BC182" i="3"/>
  <c r="BC238" i="3"/>
  <c r="BC196" i="3"/>
  <c r="BC299" i="3"/>
  <c r="BB299" i="3" s="1"/>
  <c r="BC211" i="3"/>
  <c r="BB211" i="3" s="1"/>
  <c r="BC318" i="3"/>
  <c r="BC225" i="3"/>
  <c r="BC243" i="3"/>
  <c r="BC325" i="3"/>
  <c r="BB325" i="3" s="1"/>
  <c r="BC352" i="3"/>
  <c r="BC39" i="3"/>
  <c r="BC55" i="3"/>
  <c r="BC71" i="3"/>
  <c r="BB71" i="3" s="1"/>
  <c r="BC87" i="3"/>
  <c r="BB87" i="3" s="1"/>
  <c r="BC103" i="3"/>
  <c r="BC119" i="3"/>
  <c r="BC135" i="3"/>
  <c r="BB135" i="3" s="1"/>
  <c r="BC151" i="3"/>
  <c r="BB151" i="3" s="1"/>
  <c r="BC167" i="3"/>
  <c r="BB167" i="3" s="1"/>
  <c r="BC183" i="3"/>
  <c r="BC30" i="3"/>
  <c r="BB30" i="3" s="1"/>
  <c r="BC46" i="3"/>
  <c r="BB46" i="3" s="1"/>
  <c r="BC62" i="3"/>
  <c r="BB62" i="3" s="1"/>
  <c r="BC78" i="3"/>
  <c r="BC94" i="3"/>
  <c r="BB94" i="3" s="1"/>
  <c r="BC110" i="3"/>
  <c r="BB110" i="3" s="1"/>
  <c r="BC126" i="3"/>
  <c r="BC142" i="3"/>
  <c r="BC158" i="3"/>
  <c r="BB158" i="3" s="1"/>
  <c r="BC174" i="3"/>
  <c r="BB174" i="3" s="1"/>
  <c r="BC198" i="3"/>
  <c r="BB198" i="3" s="1"/>
  <c r="BC214" i="3"/>
  <c r="BB214" i="3" s="1"/>
  <c r="BC230" i="3"/>
  <c r="BB230" i="3" s="1"/>
  <c r="BC246" i="3"/>
  <c r="BB246" i="3" s="1"/>
  <c r="BC262" i="3"/>
  <c r="BB262" i="3" s="1"/>
  <c r="BC207" i="3"/>
  <c r="BB207" i="3" s="1"/>
  <c r="BC283" i="3"/>
  <c r="BB283" i="3" s="1"/>
  <c r="BC321" i="3"/>
  <c r="BC330" i="3"/>
  <c r="BB330" i="3" s="1"/>
  <c r="BC346" i="3"/>
  <c r="BB346" i="3" s="1"/>
  <c r="BC273" i="3"/>
  <c r="BC305" i="3"/>
  <c r="BC247" i="3"/>
  <c r="BC201" i="3"/>
  <c r="BB201" i="3" s="1"/>
  <c r="BC274" i="3"/>
  <c r="BC306" i="3"/>
  <c r="BC337" i="3"/>
  <c r="BB337" i="3" s="1"/>
  <c r="BC269" i="3"/>
  <c r="BC301" i="3"/>
  <c r="BB301" i="3" s="1"/>
  <c r="BC314" i="3"/>
  <c r="BC349" i="3"/>
  <c r="BC41" i="3"/>
  <c r="BC57" i="3"/>
  <c r="BB57" i="3" s="1"/>
  <c r="BC73" i="3"/>
  <c r="BB73" i="3" s="1"/>
  <c r="BC89" i="3"/>
  <c r="BC105" i="3"/>
  <c r="BC121" i="3"/>
  <c r="BC137" i="3"/>
  <c r="BC153" i="3"/>
  <c r="BB153" i="3" s="1"/>
  <c r="BC169" i="3"/>
  <c r="BB169" i="3" s="1"/>
  <c r="BC185" i="3"/>
  <c r="BC32" i="3"/>
  <c r="BB32" i="3" s="1"/>
  <c r="BC48" i="3"/>
  <c r="BB48" i="3" s="1"/>
  <c r="BC64" i="3"/>
  <c r="BB64" i="3" s="1"/>
  <c r="BC80" i="3"/>
  <c r="BB80" i="3" s="1"/>
  <c r="BC96" i="3"/>
  <c r="BB96" i="3" s="1"/>
  <c r="BC112" i="3"/>
  <c r="BB112" i="3" s="1"/>
  <c r="BC128" i="3"/>
  <c r="BC144" i="3"/>
  <c r="BC160" i="3"/>
  <c r="BB160" i="3" s="1"/>
  <c r="BC176" i="3"/>
  <c r="BC200" i="3"/>
  <c r="BC216" i="3"/>
  <c r="BB216" i="3" s="1"/>
  <c r="BC232" i="3"/>
  <c r="BC248" i="3"/>
  <c r="BB248" i="3" s="1"/>
  <c r="BC264" i="3"/>
  <c r="BC221" i="3"/>
  <c r="BB221" i="3" s="1"/>
  <c r="BC286" i="3"/>
  <c r="BC209" i="3"/>
  <c r="BB209" i="3" s="1"/>
  <c r="BC332" i="3"/>
  <c r="BB332" i="3" s="1"/>
  <c r="BC333" i="3"/>
  <c r="BB333" i="3" s="1"/>
  <c r="BC276" i="3"/>
  <c r="BC308" i="3"/>
  <c r="BC213" i="3"/>
  <c r="BB213" i="3" s="1"/>
  <c r="BC339" i="3"/>
  <c r="BB339" i="3" s="1"/>
  <c r="BC279" i="3"/>
  <c r="BB279" i="3" s="1"/>
  <c r="BC313" i="3"/>
  <c r="BC343" i="3"/>
  <c r="BB343" i="3" s="1"/>
  <c r="BC272" i="3"/>
  <c r="BC304" i="3"/>
  <c r="BC323" i="3"/>
  <c r="BC28" i="3"/>
  <c r="BC43" i="3"/>
  <c r="BC59" i="3"/>
  <c r="BC75" i="3"/>
  <c r="BC91" i="3"/>
  <c r="BB91" i="3" s="1"/>
  <c r="BC107" i="3"/>
  <c r="BB107" i="3" s="1"/>
  <c r="BC123" i="3"/>
  <c r="BB123" i="3" s="1"/>
  <c r="BC139" i="3"/>
  <c r="BC155" i="3"/>
  <c r="BB155" i="3" s="1"/>
  <c r="BC171" i="3"/>
  <c r="BC187" i="3"/>
  <c r="BB187" i="3" s="1"/>
  <c r="BC34" i="3"/>
  <c r="BC50" i="3"/>
  <c r="BC66" i="3"/>
  <c r="BB66" i="3" s="1"/>
  <c r="BC82" i="3"/>
  <c r="BB82" i="3" s="1"/>
  <c r="BC98" i="3"/>
  <c r="BC114" i="3"/>
  <c r="BB114" i="3" s="1"/>
  <c r="BC130" i="3"/>
  <c r="BC146" i="3"/>
  <c r="BB146" i="3" s="1"/>
  <c r="BC162" i="3"/>
  <c r="BC178" i="3"/>
  <c r="BB178" i="3" s="1"/>
  <c r="BC202" i="3"/>
  <c r="BB202" i="3" s="1"/>
  <c r="BC218" i="3"/>
  <c r="BC234" i="3"/>
  <c r="BC250" i="3"/>
  <c r="BB250" i="3" s="1"/>
  <c r="BC266" i="3"/>
  <c r="BC229" i="3"/>
  <c r="BC291" i="3"/>
  <c r="BB291" i="3" s="1"/>
  <c r="BC251" i="3"/>
  <c r="BB251" i="3" s="1"/>
  <c r="BC334" i="3"/>
  <c r="BB334" i="3" s="1"/>
  <c r="BC341" i="3"/>
  <c r="BB341" i="3" s="1"/>
  <c r="BC281" i="3"/>
  <c r="BC317" i="3"/>
  <c r="BC231" i="3"/>
  <c r="BC199" i="3"/>
  <c r="BC282" i="3"/>
  <c r="BC320" i="3"/>
  <c r="BB320" i="3" s="1"/>
  <c r="BC237" i="3"/>
  <c r="BB237" i="3" s="1"/>
  <c r="BC277" i="3"/>
  <c r="BB277" i="3" s="1"/>
  <c r="BC309" i="3"/>
  <c r="BB309" i="3" s="1"/>
  <c r="BC63" i="3"/>
  <c r="BB63" i="3" s="1"/>
  <c r="BC175" i="3"/>
  <c r="BC118" i="3"/>
  <c r="BB118" i="3" s="1"/>
  <c r="BC222" i="3"/>
  <c r="BB222" i="3" s="1"/>
  <c r="BC338" i="3"/>
  <c r="BB338" i="3" s="1"/>
  <c r="BC285" i="3"/>
  <c r="BB285" i="3" s="1"/>
  <c r="BC29" i="3"/>
  <c r="BB29" i="3" s="1"/>
  <c r="BC45" i="3"/>
  <c r="BC61" i="3"/>
  <c r="BC77" i="3"/>
  <c r="BC93" i="3"/>
  <c r="BB93" i="3" s="1"/>
  <c r="BC109" i="3"/>
  <c r="BB109" i="3" s="1"/>
  <c r="BC125" i="3"/>
  <c r="BC141" i="3"/>
  <c r="BC157" i="3"/>
  <c r="BC173" i="3"/>
  <c r="BB173" i="3" s="1"/>
  <c r="BC189" i="3"/>
  <c r="BB189" i="3" s="1"/>
  <c r="BC36" i="3"/>
  <c r="BC52" i="3"/>
  <c r="BC68" i="3"/>
  <c r="BB68" i="3" s="1"/>
  <c r="BC84" i="3"/>
  <c r="BC100" i="3"/>
  <c r="BC116" i="3"/>
  <c r="BC132" i="3"/>
  <c r="BB132" i="3" s="1"/>
  <c r="BC148" i="3"/>
  <c r="BC164" i="3"/>
  <c r="BC180" i="3"/>
  <c r="BB180" i="3" s="1"/>
  <c r="BC204" i="3"/>
  <c r="BB204" i="3" s="1"/>
  <c r="BC220" i="3"/>
  <c r="BB220" i="3" s="1"/>
  <c r="BC236" i="3"/>
  <c r="BC252" i="3"/>
  <c r="BB252" i="3" s="1"/>
  <c r="BC268" i="3"/>
  <c r="BC241" i="3"/>
  <c r="BB241" i="3" s="1"/>
  <c r="BC294" i="3"/>
  <c r="BB294" i="3" s="1"/>
  <c r="BC267" i="3"/>
  <c r="BC336" i="3"/>
  <c r="BB336" i="3" s="1"/>
  <c r="BC345" i="3"/>
  <c r="BB345" i="3" s="1"/>
  <c r="BC284" i="3"/>
  <c r="BC324" i="3"/>
  <c r="BC235" i="3"/>
  <c r="BC215" i="3"/>
  <c r="BC287" i="3"/>
  <c r="BB287" i="3" s="1"/>
  <c r="BC217" i="3"/>
  <c r="BC331" i="3"/>
  <c r="BB331" i="3" s="1"/>
  <c r="BC280" i="3"/>
  <c r="BC316" i="3"/>
  <c r="BB316" i="3" s="1"/>
  <c r="BC31" i="3"/>
  <c r="BB31" i="3" s="1"/>
  <c r="BC79" i="3"/>
  <c r="BC111" i="3"/>
  <c r="BB111" i="3" s="1"/>
  <c r="BC143" i="3"/>
  <c r="BB143" i="3" s="1"/>
  <c r="BC191" i="3"/>
  <c r="BB191" i="3" s="1"/>
  <c r="BC54" i="3"/>
  <c r="BB54" i="3" s="1"/>
  <c r="BC86" i="3"/>
  <c r="BB86" i="3" s="1"/>
  <c r="BC134" i="3"/>
  <c r="BB134" i="3" s="1"/>
  <c r="BC166" i="3"/>
  <c r="BB166" i="3" s="1"/>
  <c r="BC206" i="3"/>
  <c r="BB206" i="3" s="1"/>
  <c r="BC254" i="3"/>
  <c r="BB254" i="3" s="1"/>
  <c r="BC257" i="3"/>
  <c r="BC310" i="3"/>
  <c r="BC289" i="3"/>
  <c r="BC239" i="3"/>
  <c r="BB239" i="3" s="1"/>
  <c r="BC290" i="3"/>
  <c r="BC203" i="3"/>
  <c r="BB203" i="3" s="1"/>
  <c r="BC33" i="3"/>
  <c r="BC49" i="3"/>
  <c r="BC65" i="3"/>
  <c r="BB65" i="3" s="1"/>
  <c r="BC81" i="3"/>
  <c r="BB81" i="3" s="1"/>
  <c r="BC97" i="3"/>
  <c r="BB97" i="3" s="1"/>
  <c r="BC113" i="3"/>
  <c r="BB113" i="3" s="1"/>
  <c r="BC129" i="3"/>
  <c r="BC145" i="3"/>
  <c r="BC161" i="3"/>
  <c r="BC177" i="3"/>
  <c r="BB177" i="3" s="1"/>
  <c r="BC193" i="3"/>
  <c r="BB193" i="3" s="1"/>
  <c r="BC40" i="3"/>
  <c r="BC56" i="3"/>
  <c r="BB56" i="3" s="1"/>
  <c r="BC72" i="3"/>
  <c r="BB72" i="3" s="1"/>
  <c r="BC88" i="3"/>
  <c r="BC104" i="3"/>
  <c r="BC120" i="3"/>
  <c r="BC136" i="3"/>
  <c r="BB136" i="3" s="1"/>
  <c r="BC152" i="3"/>
  <c r="BC168" i="3"/>
  <c r="BC184" i="3"/>
  <c r="BB184" i="3" s="1"/>
  <c r="BC208" i="3"/>
  <c r="BB208" i="3" s="1"/>
  <c r="BC224" i="3"/>
  <c r="BC240" i="3"/>
  <c r="BB240" i="3" s="1"/>
  <c r="BC256" i="3"/>
  <c r="BC194" i="3"/>
  <c r="BB194" i="3" s="1"/>
  <c r="BC270" i="3"/>
  <c r="BC302" i="3"/>
  <c r="BC319" i="3"/>
  <c r="BB319" i="3" s="1"/>
  <c r="BC340" i="3"/>
  <c r="BB340" i="3" s="1"/>
  <c r="BC223" i="3"/>
  <c r="BC292" i="3"/>
  <c r="BB292" i="3" s="1"/>
  <c r="BC327" i="3"/>
  <c r="BB327" i="3" s="1"/>
  <c r="BC255" i="3"/>
  <c r="BB255" i="3" s="1"/>
  <c r="BC249" i="3"/>
  <c r="BC295" i="3"/>
  <c r="BB295" i="3" s="1"/>
  <c r="BC259" i="3"/>
  <c r="BB259" i="3" s="1"/>
  <c r="BC219" i="3"/>
  <c r="BB219" i="3" s="1"/>
  <c r="BC288" i="3"/>
  <c r="BC205" i="3"/>
  <c r="E62" i="14"/>
  <c r="G62" i="14" s="1"/>
  <c r="A63" i="14"/>
  <c r="K63" i="14" s="1"/>
  <c r="U53" i="11"/>
  <c r="H69" i="16"/>
  <c r="Z69" i="16" s="1"/>
  <c r="AB61" i="7"/>
  <c r="M61" i="9" s="1"/>
  <c r="V70" i="16"/>
  <c r="W70" i="16" s="1"/>
  <c r="Y70" i="16" s="1"/>
  <c r="X70" i="16" s="1"/>
  <c r="AE70" i="9" s="1"/>
  <c r="K71" i="16"/>
  <c r="L71" i="16"/>
  <c r="G70" i="16"/>
  <c r="H70" i="16" s="1"/>
  <c r="Q70" i="16"/>
  <c r="M72" i="16"/>
  <c r="A73" i="16"/>
  <c r="J72" i="16"/>
  <c r="I72" i="16"/>
  <c r="B72" i="16"/>
  <c r="O71" i="16"/>
  <c r="P71" i="16"/>
  <c r="C71" i="16"/>
  <c r="D71" i="16"/>
  <c r="E71" i="16"/>
  <c r="S71" i="16" s="1"/>
  <c r="F71" i="16"/>
  <c r="T71" i="16" s="1"/>
  <c r="K62" i="14"/>
  <c r="J62" i="14"/>
  <c r="K15" i="14"/>
  <c r="J15" i="14"/>
  <c r="F62" i="14"/>
  <c r="H61" i="14"/>
  <c r="L15" i="14"/>
  <c r="I15" i="14"/>
  <c r="S65" i="15"/>
  <c r="M66" i="15"/>
  <c r="N66" i="15" s="1"/>
  <c r="O66" i="15" s="1"/>
  <c r="P66" i="15" s="1"/>
  <c r="K67" i="15"/>
  <c r="AJ67" i="15"/>
  <c r="E67" i="15"/>
  <c r="AO67" i="15"/>
  <c r="G67" i="15"/>
  <c r="Y67" i="15"/>
  <c r="A68" i="15"/>
  <c r="F67" i="15"/>
  <c r="L67" i="15"/>
  <c r="AE67" i="15"/>
  <c r="AF67" i="15"/>
  <c r="W67" i="15"/>
  <c r="AC67" i="15"/>
  <c r="AK67" i="15"/>
  <c r="H67" i="15"/>
  <c r="I67" i="15"/>
  <c r="J67" i="15"/>
  <c r="Q66" i="15"/>
  <c r="R66" i="15" s="1"/>
  <c r="I9" i="15"/>
  <c r="Q9" i="15"/>
  <c r="AC9" i="15"/>
  <c r="J9" i="15"/>
  <c r="R9" i="15"/>
  <c r="AE9" i="15"/>
  <c r="C9" i="15"/>
  <c r="K9" i="15"/>
  <c r="S9" i="15"/>
  <c r="AF9" i="15"/>
  <c r="D9" i="15"/>
  <c r="L9" i="15"/>
  <c r="T9" i="15"/>
  <c r="AJ9" i="15"/>
  <c r="E9" i="15"/>
  <c r="M9" i="15"/>
  <c r="U9" i="15"/>
  <c r="AK9" i="15"/>
  <c r="A8" i="15"/>
  <c r="F9" i="15"/>
  <c r="N9" i="15"/>
  <c r="V9" i="15"/>
  <c r="H9" i="15"/>
  <c r="P9" i="15"/>
  <c r="Y9" i="15"/>
  <c r="W9" i="15"/>
  <c r="O9" i="15"/>
  <c r="G9" i="15"/>
  <c r="U66" i="15"/>
  <c r="V66" i="15" s="1"/>
  <c r="W36" i="6"/>
  <c r="Y36" i="6"/>
  <c r="AB36" i="6"/>
  <c r="AG36" i="6"/>
  <c r="AH36" i="6"/>
  <c r="K36" i="6"/>
  <c r="R36" i="6"/>
  <c r="M36" i="6"/>
  <c r="D36" i="6"/>
  <c r="O36" i="6"/>
  <c r="U36" i="6"/>
  <c r="F36" i="6"/>
  <c r="Z36" i="6"/>
  <c r="C36" i="6"/>
  <c r="X36" i="6"/>
  <c r="B36" i="6"/>
  <c r="V36" i="6"/>
  <c r="E36" i="6"/>
  <c r="S36" i="6"/>
  <c r="G36" i="6"/>
  <c r="P36" i="6"/>
  <c r="N36" i="6"/>
  <c r="AI36" i="6"/>
  <c r="L36" i="6"/>
  <c r="AJ36" i="6"/>
  <c r="AC36" i="6"/>
  <c r="H36" i="6"/>
  <c r="Q20" i="11"/>
  <c r="R20" i="11"/>
  <c r="S20" i="11"/>
  <c r="F20" i="11"/>
  <c r="E20" i="11"/>
  <c r="N20" i="11"/>
  <c r="L20" i="11"/>
  <c r="O20" i="11"/>
  <c r="P20" i="11"/>
  <c r="M20" i="11"/>
  <c r="T20" i="11"/>
  <c r="H20" i="11"/>
  <c r="U20" i="11"/>
  <c r="J20" i="11"/>
  <c r="G20" i="11"/>
  <c r="K20" i="11"/>
  <c r="H15" i="14"/>
  <c r="G15" i="14"/>
  <c r="I27" i="7"/>
  <c r="L27" i="7"/>
  <c r="N27" i="7"/>
  <c r="P27" i="7"/>
  <c r="R27" i="7"/>
  <c r="U27" i="7"/>
  <c r="X27" i="7"/>
  <c r="AB49" i="7"/>
  <c r="M49" i="9" s="1"/>
  <c r="Z28" i="7"/>
  <c r="K28" i="7"/>
  <c r="A26" i="7"/>
  <c r="AA27" i="7"/>
  <c r="J27" i="7"/>
  <c r="D27" i="7"/>
  <c r="M27" i="7"/>
  <c r="F27" i="7"/>
  <c r="O27" i="7"/>
  <c r="G27" i="7"/>
  <c r="Q27" i="7"/>
  <c r="S27" i="7"/>
  <c r="V27" i="7"/>
  <c r="B27" i="7"/>
  <c r="Y27" i="7"/>
  <c r="E27" i="7"/>
  <c r="AB27" i="7"/>
  <c r="W27" i="7"/>
  <c r="C27" i="7"/>
  <c r="H27" i="7"/>
  <c r="T27" i="7"/>
  <c r="N27" i="9"/>
  <c r="O27" i="9"/>
  <c r="P27" i="9"/>
  <c r="Q27" i="9"/>
  <c r="R27" i="9"/>
  <c r="Z27" i="9"/>
  <c r="T27" i="9"/>
  <c r="AB27" i="9"/>
  <c r="M27" i="9"/>
  <c r="U27" i="9"/>
  <c r="AC27" i="9"/>
  <c r="V27" i="9"/>
  <c r="Y27" i="9"/>
  <c r="X27" i="9"/>
  <c r="AA27" i="9"/>
  <c r="S27" i="9"/>
  <c r="W27" i="9"/>
  <c r="N54" i="11"/>
  <c r="T54" i="11" s="1"/>
  <c r="F15" i="14"/>
  <c r="E15" i="14"/>
  <c r="A14" i="14"/>
  <c r="A64" i="14"/>
  <c r="E63" i="14"/>
  <c r="G63" i="14" s="1"/>
  <c r="A14" i="13"/>
  <c r="B14" i="13" s="1"/>
  <c r="M44" i="9"/>
  <c r="M38" i="9"/>
  <c r="M47" i="9"/>
  <c r="B62" i="13"/>
  <c r="A63" i="13"/>
  <c r="M41" i="9"/>
  <c r="M39" i="9"/>
  <c r="M43" i="9"/>
  <c r="M42" i="9"/>
  <c r="M45" i="9"/>
  <c r="M48" i="9"/>
  <c r="AH39" i="6"/>
  <c r="AG39" i="6"/>
  <c r="AF40" i="6"/>
  <c r="AG40" i="6" s="1"/>
  <c r="AE40" i="6"/>
  <c r="AF36" i="6"/>
  <c r="AE36" i="6"/>
  <c r="AB74" i="7"/>
  <c r="M74" i="9" s="1"/>
  <c r="G77" i="7"/>
  <c r="J77" i="7" s="1"/>
  <c r="M77" i="7" s="1"/>
  <c r="O77" i="7" s="1"/>
  <c r="Q77" i="7" s="1"/>
  <c r="V77" i="7" s="1"/>
  <c r="Y77" i="7" s="1"/>
  <c r="AB77" i="7" s="1"/>
  <c r="M77" i="9" s="1"/>
  <c r="N78" i="7"/>
  <c r="K78" i="7"/>
  <c r="L78" i="7" s="1"/>
  <c r="I78" i="7"/>
  <c r="P78" i="7"/>
  <c r="Z78" i="7"/>
  <c r="AA78" i="7" s="1"/>
  <c r="X78" i="7"/>
  <c r="D78" i="7"/>
  <c r="E78" i="7" s="1"/>
  <c r="F78" i="7"/>
  <c r="H79" i="7"/>
  <c r="W79" i="7"/>
  <c r="C79" i="7"/>
  <c r="A80" i="7"/>
  <c r="A81" i="7" s="1"/>
  <c r="T79" i="7"/>
  <c r="U79" i="7" s="1"/>
  <c r="R79" i="7"/>
  <c r="S79" i="7" s="1"/>
  <c r="B79" i="7"/>
  <c r="S55" i="11"/>
  <c r="R55" i="11"/>
  <c r="Q55" i="11"/>
  <c r="L55" i="11"/>
  <c r="O55" i="11" s="1"/>
  <c r="K55" i="11"/>
  <c r="J55" i="11"/>
  <c r="M55" i="11" s="1"/>
  <c r="I20" i="11"/>
  <c r="A19" i="11"/>
  <c r="I56" i="11"/>
  <c r="H56" i="11"/>
  <c r="E56" i="11"/>
  <c r="G56" i="11" s="1"/>
  <c r="A57" i="11"/>
  <c r="F57" i="11" s="1"/>
  <c r="P56" i="11"/>
  <c r="AB62" i="7"/>
  <c r="M62" i="9" s="1"/>
  <c r="AB46" i="7"/>
  <c r="AB40" i="7"/>
  <c r="T36" i="6"/>
  <c r="R40" i="6"/>
  <c r="S40" i="6" s="1"/>
  <c r="T40" i="6"/>
  <c r="J40" i="6"/>
  <c r="O40" i="6"/>
  <c r="J36" i="6"/>
  <c r="B40" i="6"/>
  <c r="C40" i="6" s="1"/>
  <c r="D40" i="6"/>
  <c r="H49" i="9"/>
  <c r="E49" i="9"/>
  <c r="I49" i="9"/>
  <c r="J49" i="9" s="1"/>
  <c r="R49" i="9" s="1"/>
  <c r="F49" i="9"/>
  <c r="G49" i="9"/>
  <c r="F27" i="9"/>
  <c r="G27" i="9"/>
  <c r="H27" i="9"/>
  <c r="I27" i="9"/>
  <c r="E27" i="9"/>
  <c r="A26" i="9"/>
  <c r="J26" i="9" s="1"/>
  <c r="A50" i="9"/>
  <c r="AB55" i="7"/>
  <c r="M55" i="9" s="1"/>
  <c r="AB56" i="7"/>
  <c r="M56" i="9" s="1"/>
  <c r="V38" i="6"/>
  <c r="F39" i="6"/>
  <c r="U39" i="6"/>
  <c r="V39" i="6" s="1"/>
  <c r="G39" i="6"/>
  <c r="W39" i="6"/>
  <c r="Y39" i="6"/>
  <c r="M39" i="6"/>
  <c r="K39" i="6"/>
  <c r="A41" i="6"/>
  <c r="A35" i="6"/>
  <c r="AB50" i="9"/>
  <c r="P50" i="9"/>
  <c r="AA50" i="9"/>
  <c r="AC50" i="9"/>
  <c r="Q50" i="9"/>
  <c r="N50" i="9"/>
  <c r="O50" i="9"/>
  <c r="U50" i="9" l="1"/>
  <c r="L78" i="10" a="1"/>
  <c r="L78" i="10" s="1"/>
  <c r="K87" i="10" a="1"/>
  <c r="K87" i="10" s="1"/>
  <c r="AA345" i="10" s="1"/>
  <c r="Q87" i="10" a="1"/>
  <c r="Q87" i="10" s="1"/>
  <c r="AG345" i="10" s="1"/>
  <c r="L87" i="10" a="1"/>
  <c r="L87" i="10" s="1"/>
  <c r="AB345" i="10" s="1"/>
  <c r="Q86" i="10" a="1"/>
  <c r="Q86" i="10" s="1"/>
  <c r="AG267" i="10" s="1"/>
  <c r="I85" i="10" a="1"/>
  <c r="I85" i="10" s="1"/>
  <c r="Y265" i="10" s="1"/>
  <c r="Q84" i="10" a="1"/>
  <c r="Q84" i="10" s="1"/>
  <c r="AG145" i="10" s="1"/>
  <c r="O86" i="10" a="1"/>
  <c r="O86" i="10" s="1"/>
  <c r="AE267" i="10" s="1"/>
  <c r="M83" i="10" a="1"/>
  <c r="M83" i="10" s="1"/>
  <c r="AC143" i="10" s="1"/>
  <c r="E85" i="10" a="1"/>
  <c r="E85" i="10" s="1"/>
  <c r="G83" i="10" a="1"/>
  <c r="G83" i="10" s="1"/>
  <c r="W143" i="10" s="1"/>
  <c r="G85" i="10" a="1"/>
  <c r="G85" i="10" s="1"/>
  <c r="W265" i="10" s="1"/>
  <c r="J84" i="10" a="1"/>
  <c r="J84" i="10" s="1"/>
  <c r="Z145" i="10" s="1"/>
  <c r="N87" i="10" a="1"/>
  <c r="N87" i="10" s="1"/>
  <c r="AD345" i="10" s="1"/>
  <c r="L83" i="10" a="1"/>
  <c r="L83" i="10" s="1"/>
  <c r="AB143" i="10" s="1"/>
  <c r="E83" i="10" a="1"/>
  <c r="E83" i="10" s="1"/>
  <c r="P83" i="10" a="1"/>
  <c r="P83" i="10" s="1"/>
  <c r="AF143" i="10" s="1"/>
  <c r="P84" i="10" a="1"/>
  <c r="P84" i="10" s="1"/>
  <c r="AF145" i="10" s="1"/>
  <c r="I84" i="10" a="1"/>
  <c r="I84" i="10" s="1"/>
  <c r="Y145" i="10" s="1"/>
  <c r="O87" i="10" a="1"/>
  <c r="O87" i="10" s="1"/>
  <c r="AE345" i="10" s="1"/>
  <c r="O84" i="10" a="1"/>
  <c r="O84" i="10" s="1"/>
  <c r="AE145" i="10" s="1"/>
  <c r="H85" i="10" a="1"/>
  <c r="H85" i="10" s="1"/>
  <c r="X265" i="10" s="1"/>
  <c r="M86" i="10" a="1"/>
  <c r="M86" i="10" s="1"/>
  <c r="AC267" i="10" s="1"/>
  <c r="F87" i="10" a="1"/>
  <c r="F87" i="10" s="1"/>
  <c r="V345" i="10" s="1"/>
  <c r="H83" i="10" a="1"/>
  <c r="H83" i="10" s="1"/>
  <c r="X143" i="10" s="1"/>
  <c r="H87" i="10" a="1"/>
  <c r="H87" i="10" s="1"/>
  <c r="X345" i="10" s="1"/>
  <c r="M85" i="10" a="1"/>
  <c r="M85" i="10" s="1"/>
  <c r="AC265" i="10" s="1"/>
  <c r="K85" i="10" a="1"/>
  <c r="K85" i="10" s="1"/>
  <c r="AA265" i="10" s="1"/>
  <c r="N84" i="10" a="1"/>
  <c r="N84" i="10" s="1"/>
  <c r="AD145" i="10" s="1"/>
  <c r="J85" i="10" a="1"/>
  <c r="J85" i="10" s="1"/>
  <c r="Z265" i="10" s="1"/>
  <c r="G86" i="10" a="1"/>
  <c r="G86" i="10" s="1"/>
  <c r="W267" i="10" s="1"/>
  <c r="H86" i="10" a="1"/>
  <c r="H86" i="10" s="1"/>
  <c r="X267" i="10" s="1"/>
  <c r="M84" i="10" a="1"/>
  <c r="M84" i="10" s="1"/>
  <c r="AC145" i="10" s="1"/>
  <c r="N86" i="10" a="1"/>
  <c r="N86" i="10" s="1"/>
  <c r="AD267" i="10" s="1"/>
  <c r="K86" i="10" a="1"/>
  <c r="K86" i="10" s="1"/>
  <c r="AA267" i="10" s="1"/>
  <c r="P86" i="10" a="1"/>
  <c r="P86" i="10" s="1"/>
  <c r="AF267" i="10" s="1"/>
  <c r="N85" i="10" a="1"/>
  <c r="N85" i="10" s="1"/>
  <c r="AD265" i="10" s="1"/>
  <c r="L85" i="10" a="1"/>
  <c r="L85" i="10" s="1"/>
  <c r="AB265" i="10" s="1"/>
  <c r="Q83" i="10" a="1"/>
  <c r="Q83" i="10" s="1"/>
  <c r="AG143" i="10" s="1"/>
  <c r="L84" i="10" a="1"/>
  <c r="L84" i="10" s="1"/>
  <c r="AB145" i="10" s="1"/>
  <c r="J83" i="10" a="1"/>
  <c r="J83" i="10" s="1"/>
  <c r="Z143" i="10" s="1"/>
  <c r="Q85" i="10" a="1"/>
  <c r="Q85" i="10" s="1"/>
  <c r="AG265" i="10" s="1"/>
  <c r="G87" i="10" a="1"/>
  <c r="G87" i="10" s="1"/>
  <c r="W345" i="10" s="1"/>
  <c r="G84" i="10" a="1"/>
  <c r="G84" i="10" s="1"/>
  <c r="W145" i="10" s="1"/>
  <c r="N83" i="10" a="1"/>
  <c r="N83" i="10" s="1"/>
  <c r="AD143" i="10" s="1"/>
  <c r="I83" i="10" a="1"/>
  <c r="I83" i="10" s="1"/>
  <c r="Y143" i="10" s="1"/>
  <c r="F85" i="10" a="1"/>
  <c r="F85" i="10" s="1"/>
  <c r="V265" i="10" s="1"/>
  <c r="K84" i="10" a="1"/>
  <c r="K84" i="10" s="1"/>
  <c r="AA145" i="10" s="1"/>
  <c r="H84" i="10" a="1"/>
  <c r="H84" i="10" s="1"/>
  <c r="X145" i="10" s="1"/>
  <c r="I86" i="10" a="1"/>
  <c r="I86" i="10" s="1"/>
  <c r="Y267" i="10" s="1"/>
  <c r="F83" i="10" a="1"/>
  <c r="F83" i="10" s="1"/>
  <c r="V143" i="10" s="1"/>
  <c r="F84" i="10" a="1"/>
  <c r="F84" i="10" s="1"/>
  <c r="V145" i="10" s="1"/>
  <c r="J87" i="10" a="1"/>
  <c r="J87" i="10" s="1"/>
  <c r="Z345" i="10" s="1"/>
  <c r="O85" i="10" a="1"/>
  <c r="O85" i="10" s="1"/>
  <c r="AE265" i="10" s="1"/>
  <c r="K83" i="10" a="1"/>
  <c r="K83" i="10" s="1"/>
  <c r="AA143" i="10" s="1"/>
  <c r="P87" i="10" a="1"/>
  <c r="P87" i="10" s="1"/>
  <c r="AF345" i="10" s="1"/>
  <c r="E84" i="10" a="1"/>
  <c r="E84" i="10" s="1"/>
  <c r="F86" i="10" a="1"/>
  <c r="F86" i="10" s="1"/>
  <c r="V267" i="10" s="1"/>
  <c r="O83" i="10" a="1"/>
  <c r="O83" i="10" s="1"/>
  <c r="AE143" i="10" s="1"/>
  <c r="J86" i="10" a="1"/>
  <c r="J86" i="10" s="1"/>
  <c r="Z267" i="10" s="1"/>
  <c r="I87" i="10" a="1"/>
  <c r="I87" i="10" s="1"/>
  <c r="Y345" i="10" s="1"/>
  <c r="E87" i="10" a="1"/>
  <c r="E87" i="10" s="1"/>
  <c r="E86" i="10" a="1"/>
  <c r="E86" i="10" s="1"/>
  <c r="M87" i="10" a="1"/>
  <c r="M87" i="10" s="1"/>
  <c r="AC345" i="10" s="1"/>
  <c r="P85" i="10" a="1"/>
  <c r="P85" i="10" s="1"/>
  <c r="AF265" i="10" s="1"/>
  <c r="L86" i="10" a="1"/>
  <c r="L86" i="10" s="1"/>
  <c r="AB267" i="10" s="1"/>
  <c r="H62" i="14"/>
  <c r="AV267" i="3"/>
  <c r="BE267" i="3" s="1"/>
  <c r="AV52" i="3"/>
  <c r="BE52" i="3" s="1"/>
  <c r="AV59" i="3"/>
  <c r="BE59" i="3" s="1"/>
  <c r="AV76" i="3"/>
  <c r="BE76" i="3" s="1"/>
  <c r="AV293" i="3"/>
  <c r="BE293" i="3" s="1"/>
  <c r="AV90" i="3"/>
  <c r="BE90" i="3" s="1"/>
  <c r="AV249" i="3"/>
  <c r="BE249" i="3" s="1"/>
  <c r="AV270" i="3"/>
  <c r="AV61" i="3"/>
  <c r="BE61" i="3" s="1"/>
  <c r="AV41" i="3"/>
  <c r="BE41" i="3" s="1"/>
  <c r="AV183" i="3"/>
  <c r="BE183" i="3" s="1"/>
  <c r="AV55" i="3"/>
  <c r="BE55" i="3" s="1"/>
  <c r="AV44" i="3"/>
  <c r="BE44" i="3" s="1"/>
  <c r="AV311" i="3"/>
  <c r="BE311" i="3" s="1"/>
  <c r="AV188" i="3"/>
  <c r="BE188" i="3" s="1"/>
  <c r="AV58" i="3"/>
  <c r="BE58" i="3" s="1"/>
  <c r="AV99" i="3"/>
  <c r="BE99" i="3" s="1"/>
  <c r="AV38" i="3"/>
  <c r="BE38" i="3" s="1"/>
  <c r="AV101" i="3"/>
  <c r="BE101" i="3" s="1"/>
  <c r="AV74" i="3"/>
  <c r="BE74" i="3" s="1"/>
  <c r="AV120" i="3"/>
  <c r="BE120" i="3" s="1"/>
  <c r="AV33" i="3"/>
  <c r="BE33" i="3" s="1"/>
  <c r="AV79" i="3"/>
  <c r="BE79" i="3" s="1"/>
  <c r="AV268" i="3"/>
  <c r="AV234" i="3"/>
  <c r="BE234" i="3" s="1"/>
  <c r="AV98" i="3"/>
  <c r="BE98" i="3" s="1"/>
  <c r="AV247" i="3"/>
  <c r="BE247" i="3" s="1"/>
  <c r="AV126" i="3"/>
  <c r="AV39" i="3"/>
  <c r="BE39" i="3" s="1"/>
  <c r="AV278" i="3"/>
  <c r="BE278" i="3" s="1"/>
  <c r="AV42" i="3"/>
  <c r="BE42" i="3" s="1"/>
  <c r="AV144" i="3"/>
  <c r="BE144" i="3" s="1"/>
  <c r="AV104" i="3"/>
  <c r="BE104" i="3" s="1"/>
  <c r="AV145" i="3"/>
  <c r="BE145" i="3" s="1"/>
  <c r="AV324" i="3"/>
  <c r="BE324" i="3" s="1"/>
  <c r="AV116" i="3"/>
  <c r="BE116" i="3" s="1"/>
  <c r="AV276" i="3"/>
  <c r="BE276" i="3" s="1"/>
  <c r="AV232" i="3"/>
  <c r="BE232" i="3" s="1"/>
  <c r="AV352" i="3"/>
  <c r="BE352" i="3" s="1"/>
  <c r="AV238" i="3"/>
  <c r="BE238" i="3" s="1"/>
  <c r="AV265" i="3"/>
  <c r="BE265" i="3" s="1"/>
  <c r="AV275" i="3"/>
  <c r="BE275" i="3" s="1"/>
  <c r="AV164" i="3"/>
  <c r="BE164" i="3" s="1"/>
  <c r="AV36" i="3"/>
  <c r="BE36" i="3" s="1"/>
  <c r="AV77" i="3"/>
  <c r="BE77" i="3" s="1"/>
  <c r="AV266" i="3"/>
  <c r="BE266" i="3" s="1"/>
  <c r="AV288" i="3"/>
  <c r="AV88" i="3"/>
  <c r="BE88" i="3" s="1"/>
  <c r="AV129" i="3"/>
  <c r="BE129" i="3" s="1"/>
  <c r="AV284" i="3"/>
  <c r="BE284" i="3" s="1"/>
  <c r="AV236" i="3"/>
  <c r="BE236" i="3" s="1"/>
  <c r="AV100" i="3"/>
  <c r="BE100" i="3" s="1"/>
  <c r="AV272" i="3"/>
  <c r="BE272" i="3" s="1"/>
  <c r="AV121" i="3"/>
  <c r="BE121" i="3" s="1"/>
  <c r="AV273" i="3"/>
  <c r="BE273" i="3" s="1"/>
  <c r="AV182" i="3"/>
  <c r="BE182" i="3" s="1"/>
  <c r="AV37" i="3"/>
  <c r="BE37" i="3" s="1"/>
  <c r="AV51" i="3"/>
  <c r="BE51" i="3" s="1"/>
  <c r="AV130" i="3"/>
  <c r="BE130" i="3" s="1"/>
  <c r="AV84" i="3"/>
  <c r="BE84" i="3" s="1"/>
  <c r="AV50" i="3"/>
  <c r="BE50" i="3" s="1"/>
  <c r="AV105" i="3"/>
  <c r="BE105" i="3" s="1"/>
  <c r="AV269" i="3"/>
  <c r="BE269" i="3" s="1"/>
  <c r="AV78" i="3"/>
  <c r="BE78" i="3" s="1"/>
  <c r="AV119" i="3"/>
  <c r="BE119" i="3" s="1"/>
  <c r="AV243" i="3"/>
  <c r="BE243" i="3" s="1"/>
  <c r="AV244" i="3"/>
  <c r="BE244" i="3" s="1"/>
  <c r="AV351" i="3"/>
  <c r="BE351" i="3" s="1"/>
  <c r="AV163" i="3"/>
  <c r="BE163" i="3" s="1"/>
  <c r="AV35" i="3"/>
  <c r="BE35" i="3" s="1"/>
  <c r="AV43" i="3"/>
  <c r="BE43" i="3" s="1"/>
  <c r="AV185" i="3"/>
  <c r="BE185" i="3" s="1"/>
  <c r="AV34" i="3"/>
  <c r="BE34" i="3" s="1"/>
  <c r="AV75" i="3"/>
  <c r="BE75" i="3" s="1"/>
  <c r="AV313" i="3"/>
  <c r="BE313" i="3" s="1"/>
  <c r="AV89" i="3"/>
  <c r="BE89" i="3" s="1"/>
  <c r="AV103" i="3"/>
  <c r="BE103" i="3" s="1"/>
  <c r="AV233" i="3"/>
  <c r="BE233" i="3" s="1"/>
  <c r="AV297" i="3"/>
  <c r="BE297" i="3" s="1"/>
  <c r="AV242" i="3"/>
  <c r="BE242" i="3" s="1"/>
  <c r="AV350" i="3"/>
  <c r="BE350" i="3" s="1"/>
  <c r="I63" i="14"/>
  <c r="L63" i="14" s="1"/>
  <c r="J63" i="14"/>
  <c r="F63" i="14"/>
  <c r="H63" i="14" s="1"/>
  <c r="B81" i="7"/>
  <c r="R81" i="7"/>
  <c r="S81" i="7" s="1"/>
  <c r="C81" i="7"/>
  <c r="T81" i="7"/>
  <c r="U81" i="7" s="1"/>
  <c r="A82" i="7"/>
  <c r="W81" i="7"/>
  <c r="H81" i="7"/>
  <c r="U54" i="11"/>
  <c r="E82" i="10" a="1"/>
  <c r="E82" i="10" s="1"/>
  <c r="G81" i="10" a="1"/>
  <c r="G81" i="10" s="1"/>
  <c r="Q79" i="10" a="1"/>
  <c r="Q79" i="10" s="1"/>
  <c r="J79" i="10" a="1"/>
  <c r="J79" i="10" s="1"/>
  <c r="N76" i="10" a="1"/>
  <c r="N76" i="10" s="1"/>
  <c r="M81" i="10" a="1"/>
  <c r="M81" i="10" s="1"/>
  <c r="M79" i="10" a="1"/>
  <c r="M79" i="10" s="1"/>
  <c r="Q81" i="10" a="1"/>
  <c r="Q81" i="10" s="1"/>
  <c r="E76" i="10" a="1"/>
  <c r="E76" i="10" s="1"/>
  <c r="L76" i="10" a="1"/>
  <c r="L76" i="10" s="1"/>
  <c r="I80" i="10" a="1"/>
  <c r="I80" i="10" s="1"/>
  <c r="Q77" i="10" a="1"/>
  <c r="Q77" i="10" s="1"/>
  <c r="H82" i="10" a="1"/>
  <c r="H82" i="10" s="1"/>
  <c r="P80" i="10" a="1"/>
  <c r="P80" i="10" s="1"/>
  <c r="G76" i="10" a="1"/>
  <c r="G76" i="10" s="1"/>
  <c r="P82" i="10" a="1"/>
  <c r="P82" i="10" s="1"/>
  <c r="N77" i="10" a="1"/>
  <c r="N77" i="10" s="1"/>
  <c r="O76" i="10" a="1"/>
  <c r="O76" i="10" s="1"/>
  <c r="E79" i="10" a="1"/>
  <c r="E79" i="10" s="1"/>
  <c r="H80" i="10" a="1"/>
  <c r="H80" i="10" s="1"/>
  <c r="L82" i="10" a="1"/>
  <c r="L82" i="10" s="1"/>
  <c r="J76" i="10" a="1"/>
  <c r="J76" i="10" s="1"/>
  <c r="K79" i="10" a="1"/>
  <c r="K79" i="10" s="1"/>
  <c r="J78" i="10" a="1"/>
  <c r="J78" i="10" s="1"/>
  <c r="I76" i="10" a="1"/>
  <c r="I76" i="10" s="1"/>
  <c r="O79" i="10" a="1"/>
  <c r="O79" i="10" s="1"/>
  <c r="K76" i="10" a="1"/>
  <c r="K76" i="10" s="1"/>
  <c r="N78" i="10" a="1"/>
  <c r="N78" i="10" s="1"/>
  <c r="E78" i="10" a="1"/>
  <c r="E78" i="10" s="1"/>
  <c r="Q80" i="10" a="1"/>
  <c r="Q80" i="10" s="1"/>
  <c r="H77" i="10" a="1"/>
  <c r="H77" i="10" s="1"/>
  <c r="K78" i="10" a="1"/>
  <c r="K78" i="10" s="1"/>
  <c r="P77" i="10" a="1"/>
  <c r="P77" i="10" s="1"/>
  <c r="H79" i="10" a="1"/>
  <c r="H79" i="10" s="1"/>
  <c r="O80" i="10" a="1"/>
  <c r="O80" i="10" s="1"/>
  <c r="G77" i="10" a="1"/>
  <c r="G77" i="10" s="1"/>
  <c r="P79" i="10" a="1"/>
  <c r="P79" i="10" s="1"/>
  <c r="Q78" i="10" a="1"/>
  <c r="Q78" i="10" s="1"/>
  <c r="K77" i="10" a="1"/>
  <c r="K77" i="10" s="1"/>
  <c r="I81" i="10" a="1"/>
  <c r="I81" i="10" s="1"/>
  <c r="M80" i="10" a="1"/>
  <c r="M80" i="10" s="1"/>
  <c r="N79" i="10" a="1"/>
  <c r="N79" i="10" s="1"/>
  <c r="N81" i="10" a="1"/>
  <c r="N81" i="10" s="1"/>
  <c r="K80" i="10" a="1"/>
  <c r="K80" i="10" s="1"/>
  <c r="K82" i="10" a="1"/>
  <c r="K82" i="10" s="1"/>
  <c r="L77" i="10" a="1"/>
  <c r="L77" i="10" s="1"/>
  <c r="M78" i="10" a="1"/>
  <c r="M78" i="10" s="1"/>
  <c r="M77" i="10" a="1"/>
  <c r="M77" i="10" s="1"/>
  <c r="I79" i="10" a="1"/>
  <c r="I79" i="10" s="1"/>
  <c r="L80" i="10" a="1"/>
  <c r="L80" i="10" s="1"/>
  <c r="L81" i="10" a="1"/>
  <c r="L81" i="10" s="1"/>
  <c r="E77" i="10" a="1"/>
  <c r="E77" i="10" s="1"/>
  <c r="M82" i="10" a="1"/>
  <c r="M82" i="10" s="1"/>
  <c r="J82" i="10" a="1"/>
  <c r="J82" i="10" s="1"/>
  <c r="Q76" i="10" a="1"/>
  <c r="Q76" i="10" s="1"/>
  <c r="I82" i="10" a="1"/>
  <c r="I82" i="10" s="1"/>
  <c r="N80" i="10" a="1"/>
  <c r="N80" i="10" s="1"/>
  <c r="M76" i="10" a="1"/>
  <c r="M76" i="10" s="1"/>
  <c r="O77" i="10" a="1"/>
  <c r="O77" i="10" s="1"/>
  <c r="J77" i="10" a="1"/>
  <c r="J77" i="10" s="1"/>
  <c r="H76" i="10" a="1"/>
  <c r="H76" i="10" s="1"/>
  <c r="H78" i="10" a="1"/>
  <c r="H78" i="10" s="1"/>
  <c r="E81" i="10" a="1"/>
  <c r="E81" i="10" s="1"/>
  <c r="G79" i="10" a="1"/>
  <c r="G79" i="10" s="1"/>
  <c r="K81" i="10" a="1"/>
  <c r="K81" i="10" s="1"/>
  <c r="H81" i="10" a="1"/>
  <c r="H81" i="10" s="1"/>
  <c r="O82" i="10" a="1"/>
  <c r="O82" i="10" s="1"/>
  <c r="N82" i="10" a="1"/>
  <c r="N82" i="10" s="1"/>
  <c r="P81" i="10" a="1"/>
  <c r="P81" i="10" s="1"/>
  <c r="J81" i="10" a="1"/>
  <c r="J81" i="10" s="1"/>
  <c r="I77" i="10" a="1"/>
  <c r="I77" i="10" s="1"/>
  <c r="J80" i="10" a="1"/>
  <c r="J80" i="10" s="1"/>
  <c r="G80" i="10" a="1"/>
  <c r="G80" i="10" s="1"/>
  <c r="E80" i="10" a="1"/>
  <c r="E80" i="10" s="1"/>
  <c r="G82" i="10" a="1"/>
  <c r="G82" i="10" s="1"/>
  <c r="Q82" i="10" a="1"/>
  <c r="Q82" i="10" s="1"/>
  <c r="G78" i="10" a="1"/>
  <c r="G78" i="10" s="1"/>
  <c r="I78" i="10" a="1"/>
  <c r="I78" i="10" s="1"/>
  <c r="O81" i="10" a="1"/>
  <c r="O81" i="10" s="1"/>
  <c r="O78" i="10" a="1"/>
  <c r="O78" i="10" s="1"/>
  <c r="P76" i="10" a="1"/>
  <c r="P76" i="10" s="1"/>
  <c r="P78" i="10" a="1"/>
  <c r="P78" i="10" s="1"/>
  <c r="L79" i="10" a="1"/>
  <c r="L79" i="10" s="1"/>
  <c r="F82" i="10" a="1"/>
  <c r="F82" i="10" s="1"/>
  <c r="F80" i="10" a="1"/>
  <c r="F80" i="10" s="1"/>
  <c r="F81" i="10" a="1"/>
  <c r="F81" i="10" s="1"/>
  <c r="F79" i="10" a="1"/>
  <c r="F79" i="10" s="1"/>
  <c r="F78" i="10" a="1"/>
  <c r="F78" i="10" s="1"/>
  <c r="F76" i="10" a="1"/>
  <c r="F76" i="10" s="1"/>
  <c r="F77" i="10" a="1"/>
  <c r="F77" i="10" s="1"/>
  <c r="R70" i="16"/>
  <c r="U71" i="16" s="1"/>
  <c r="V71" i="16" s="1"/>
  <c r="W71" i="16" s="1"/>
  <c r="Y71" i="16" s="1"/>
  <c r="X71" i="16" s="1"/>
  <c r="AE71" i="9" s="1"/>
  <c r="D72" i="16"/>
  <c r="E72" i="16"/>
  <c r="S72" i="16" s="1"/>
  <c r="F72" i="16"/>
  <c r="T72" i="16" s="1"/>
  <c r="C72" i="16"/>
  <c r="K72" i="16"/>
  <c r="L72" i="16"/>
  <c r="G71" i="16"/>
  <c r="R71" i="16" s="1"/>
  <c r="Q71" i="16"/>
  <c r="A74" i="16"/>
  <c r="I73" i="16"/>
  <c r="J73" i="16"/>
  <c r="B73" i="16"/>
  <c r="M73" i="16"/>
  <c r="O72" i="16"/>
  <c r="P72" i="16"/>
  <c r="J64" i="14"/>
  <c r="K64" i="14"/>
  <c r="K14" i="14"/>
  <c r="J14" i="14"/>
  <c r="F64" i="14"/>
  <c r="I64" i="14"/>
  <c r="L64" i="14" s="1"/>
  <c r="L14" i="14"/>
  <c r="I14" i="14"/>
  <c r="S66" i="15"/>
  <c r="E8" i="15"/>
  <c r="M8" i="15"/>
  <c r="U8" i="15"/>
  <c r="AK8" i="15"/>
  <c r="A7" i="15"/>
  <c r="F8" i="15"/>
  <c r="N8" i="15"/>
  <c r="V8" i="15"/>
  <c r="G8" i="15"/>
  <c r="O8" i="15"/>
  <c r="W8" i="15"/>
  <c r="H8" i="15"/>
  <c r="P8" i="15"/>
  <c r="Y8" i="15"/>
  <c r="I8" i="15"/>
  <c r="Q8" i="15"/>
  <c r="AC8" i="15"/>
  <c r="J8" i="15"/>
  <c r="R8" i="15"/>
  <c r="AE8" i="15"/>
  <c r="D8" i="15"/>
  <c r="L8" i="15"/>
  <c r="T8" i="15"/>
  <c r="AJ8" i="15"/>
  <c r="C8" i="15"/>
  <c r="S8" i="15"/>
  <c r="AF8" i="15"/>
  <c r="K8" i="15"/>
  <c r="U67" i="15"/>
  <c r="V67" i="15" s="1"/>
  <c r="Q67" i="15"/>
  <c r="R67" i="15" s="1"/>
  <c r="M67" i="15"/>
  <c r="N67" i="15" s="1"/>
  <c r="O67" i="15" s="1"/>
  <c r="P67" i="15" s="1"/>
  <c r="I68" i="15"/>
  <c r="AE68" i="15"/>
  <c r="K68" i="15"/>
  <c r="AJ68" i="15"/>
  <c r="E68" i="15"/>
  <c r="AO68" i="15"/>
  <c r="A69" i="15"/>
  <c r="F68" i="15"/>
  <c r="L68" i="15"/>
  <c r="AC68" i="15"/>
  <c r="AF68" i="15"/>
  <c r="Y68" i="15"/>
  <c r="W68" i="15"/>
  <c r="AK68" i="15"/>
  <c r="H68" i="15"/>
  <c r="J68" i="15"/>
  <c r="G68" i="15"/>
  <c r="L19" i="11"/>
  <c r="Q19" i="11"/>
  <c r="R19" i="11"/>
  <c r="S19" i="11"/>
  <c r="F19" i="11"/>
  <c r="E19" i="11"/>
  <c r="M19" i="11"/>
  <c r="N19" i="11"/>
  <c r="K19" i="11"/>
  <c r="O19" i="11"/>
  <c r="P19" i="11"/>
  <c r="G19" i="11"/>
  <c r="T19" i="11"/>
  <c r="U19" i="11"/>
  <c r="H19" i="11"/>
  <c r="J19" i="11"/>
  <c r="I26" i="7"/>
  <c r="L26" i="7"/>
  <c r="N26" i="7"/>
  <c r="P26" i="7"/>
  <c r="R26" i="7"/>
  <c r="U26" i="7"/>
  <c r="X26" i="7"/>
  <c r="U35" i="6"/>
  <c r="W35" i="6"/>
  <c r="Y35" i="6"/>
  <c r="AB35" i="6"/>
  <c r="AG35" i="6"/>
  <c r="AH35" i="6"/>
  <c r="K35" i="6"/>
  <c r="R35" i="6"/>
  <c r="M35" i="6"/>
  <c r="D35" i="6"/>
  <c r="O35" i="6"/>
  <c r="H35" i="6"/>
  <c r="AC35" i="6"/>
  <c r="F35" i="6"/>
  <c r="Z35" i="6"/>
  <c r="C35" i="6"/>
  <c r="X35" i="6"/>
  <c r="B35" i="6"/>
  <c r="V35" i="6"/>
  <c r="E35" i="6"/>
  <c r="S35" i="6"/>
  <c r="G35" i="6"/>
  <c r="P35" i="6"/>
  <c r="N35" i="6"/>
  <c r="AI35" i="6"/>
  <c r="L35" i="6"/>
  <c r="AJ35" i="6"/>
  <c r="G14" i="14"/>
  <c r="H14" i="14"/>
  <c r="K27" i="7"/>
  <c r="A25" i="7"/>
  <c r="AB26" i="7"/>
  <c r="G26" i="7"/>
  <c r="AA26" i="7"/>
  <c r="J26" i="7"/>
  <c r="D26" i="7"/>
  <c r="M26" i="7"/>
  <c r="F26" i="7"/>
  <c r="O26" i="7"/>
  <c r="E26" i="7"/>
  <c r="Q26" i="7"/>
  <c r="S26" i="7"/>
  <c r="B26" i="7"/>
  <c r="V26" i="7"/>
  <c r="Y26" i="7"/>
  <c r="W26" i="7"/>
  <c r="T26" i="7"/>
  <c r="H26" i="7"/>
  <c r="C26" i="7"/>
  <c r="Z27" i="7"/>
  <c r="Q26" i="9"/>
  <c r="R26" i="9"/>
  <c r="N26" i="9"/>
  <c r="O26" i="9"/>
  <c r="P26" i="9"/>
  <c r="S26" i="9"/>
  <c r="AA26" i="9"/>
  <c r="M26" i="9"/>
  <c r="U26" i="9"/>
  <c r="AC26" i="9"/>
  <c r="V26" i="9"/>
  <c r="W26" i="9"/>
  <c r="Z26" i="9"/>
  <c r="AB26" i="9"/>
  <c r="Y26" i="9"/>
  <c r="T26" i="9"/>
  <c r="X26" i="9"/>
  <c r="N55" i="11"/>
  <c r="T55" i="11" s="1"/>
  <c r="F14" i="14"/>
  <c r="A13" i="14"/>
  <c r="E14" i="14"/>
  <c r="E64" i="14"/>
  <c r="G64" i="14" s="1"/>
  <c r="A65" i="14"/>
  <c r="M40" i="9"/>
  <c r="B63" i="13"/>
  <c r="A64" i="13"/>
  <c r="A13" i="13"/>
  <c r="B13" i="13" s="1"/>
  <c r="M46" i="9"/>
  <c r="AH40" i="6"/>
  <c r="AF41" i="6"/>
  <c r="AG41" i="6" s="1"/>
  <c r="AE41" i="6"/>
  <c r="AF35" i="6"/>
  <c r="AE35" i="6"/>
  <c r="G78" i="7"/>
  <c r="J78" i="7" s="1"/>
  <c r="M78" i="7" s="1"/>
  <c r="O78" i="7" s="1"/>
  <c r="Q78" i="7" s="1"/>
  <c r="V78" i="7" s="1"/>
  <c r="Y78" i="7" s="1"/>
  <c r="AB78" i="7" s="1"/>
  <c r="M78" i="9" s="1"/>
  <c r="T80" i="7"/>
  <c r="U80" i="7" s="1"/>
  <c r="C80" i="7"/>
  <c r="R80" i="7"/>
  <c r="S80" i="7" s="1"/>
  <c r="B80" i="7"/>
  <c r="H80" i="7"/>
  <c r="W80" i="7"/>
  <c r="F79" i="7"/>
  <c r="D79" i="7"/>
  <c r="E79" i="7" s="1"/>
  <c r="X79" i="7"/>
  <c r="Z79" i="7"/>
  <c r="AA79" i="7" s="1"/>
  <c r="P79" i="7"/>
  <c r="K79" i="7"/>
  <c r="L79" i="7" s="1"/>
  <c r="N79" i="7"/>
  <c r="I79" i="7"/>
  <c r="Q56" i="11"/>
  <c r="S56" i="11"/>
  <c r="R56" i="11"/>
  <c r="L56" i="11"/>
  <c r="O56" i="11" s="1"/>
  <c r="K56" i="11"/>
  <c r="J56" i="11"/>
  <c r="M56" i="11" s="1"/>
  <c r="I19" i="11"/>
  <c r="A18" i="11"/>
  <c r="P57" i="11"/>
  <c r="I57" i="11"/>
  <c r="H57" i="11"/>
  <c r="E57" i="11"/>
  <c r="G57" i="11" s="1"/>
  <c r="A58" i="11"/>
  <c r="F58" i="11" s="1"/>
  <c r="T35" i="6"/>
  <c r="R41" i="6"/>
  <c r="S41" i="6" s="1"/>
  <c r="T41" i="6"/>
  <c r="J41" i="6"/>
  <c r="O41" i="6"/>
  <c r="J35" i="6"/>
  <c r="B41" i="6"/>
  <c r="C41" i="6" s="1"/>
  <c r="D41" i="6"/>
  <c r="G26" i="9"/>
  <c r="H26" i="9"/>
  <c r="E26" i="9"/>
  <c r="I26" i="9"/>
  <c r="F26" i="9"/>
  <c r="G50" i="9"/>
  <c r="H50" i="9"/>
  <c r="E50" i="9"/>
  <c r="I50" i="9"/>
  <c r="J50" i="9" s="1"/>
  <c r="R50" i="9" s="1"/>
  <c r="F50" i="9"/>
  <c r="A25" i="9"/>
  <c r="J25" i="9" s="1"/>
  <c r="A51" i="9"/>
  <c r="H39" i="6"/>
  <c r="X39" i="6"/>
  <c r="A34" i="6"/>
  <c r="A42" i="6"/>
  <c r="N38" i="6"/>
  <c r="L39" i="6"/>
  <c r="N39" i="6"/>
  <c r="W40" i="6"/>
  <c r="U40" i="6"/>
  <c r="V40" i="6" s="1"/>
  <c r="Y40" i="6"/>
  <c r="AB40" i="6"/>
  <c r="M40" i="6"/>
  <c r="K40" i="6"/>
  <c r="E40" i="6"/>
  <c r="F40" i="6" s="1"/>
  <c r="G40" i="6"/>
  <c r="AC51" i="9"/>
  <c r="Q51" i="9"/>
  <c r="O51" i="9"/>
  <c r="P51" i="9"/>
  <c r="AB51" i="9"/>
  <c r="N51" i="9"/>
  <c r="AA51" i="9"/>
  <c r="BE126" i="3" l="1"/>
  <c r="BE268" i="3"/>
  <c r="BE270" i="3"/>
  <c r="BE288" i="3"/>
  <c r="U51" i="9"/>
  <c r="E133" i="3"/>
  <c r="AW163" i="3"/>
  <c r="AW37" i="3"/>
  <c r="BF37" i="3" s="1"/>
  <c r="BB37" i="3" s="1"/>
  <c r="AW77" i="3"/>
  <c r="AW104" i="3"/>
  <c r="BF104" i="3" s="1"/>
  <c r="BB104" i="3" s="1"/>
  <c r="AW120" i="3"/>
  <c r="AW61" i="3"/>
  <c r="BF61" i="3" s="1"/>
  <c r="BB61" i="3" s="1"/>
  <c r="AW242" i="3"/>
  <c r="E134" i="3"/>
  <c r="AW182" i="3"/>
  <c r="AW36" i="3"/>
  <c r="BF36" i="3" s="1"/>
  <c r="BB36" i="3" s="1"/>
  <c r="AW144" i="3"/>
  <c r="AW74" i="3"/>
  <c r="BF74" i="3" s="1"/>
  <c r="BB74" i="3" s="1"/>
  <c r="AW297" i="3"/>
  <c r="AW244" i="3"/>
  <c r="BF244" i="3" s="1"/>
  <c r="BB244" i="3" s="1"/>
  <c r="AW273" i="3"/>
  <c r="AW164" i="3"/>
  <c r="BF164" i="3" s="1"/>
  <c r="BB164" i="3" s="1"/>
  <c r="AW42" i="3"/>
  <c r="AW101" i="3"/>
  <c r="BF101" i="3" s="1"/>
  <c r="BB101" i="3" s="1"/>
  <c r="AW249" i="3"/>
  <c r="AW233" i="3"/>
  <c r="BF233" i="3" s="1"/>
  <c r="BB233" i="3" s="1"/>
  <c r="AW243" i="3"/>
  <c r="AW121" i="3"/>
  <c r="BF121" i="3" s="1"/>
  <c r="BB121" i="3" s="1"/>
  <c r="AW275" i="3"/>
  <c r="E135" i="3"/>
  <c r="AW350" i="3"/>
  <c r="F133" i="3" s="1"/>
  <c r="AW126" i="3"/>
  <c r="BF126" i="3" s="1"/>
  <c r="BB126" i="3" s="1"/>
  <c r="AW270" i="3"/>
  <c r="BF270" i="3" s="1"/>
  <c r="BB270" i="3" s="1"/>
  <c r="AW351" i="3"/>
  <c r="F134" i="3" s="1"/>
  <c r="AW268" i="3"/>
  <c r="AW288" i="3"/>
  <c r="BF288" i="3" s="1"/>
  <c r="BB288" i="3" s="1"/>
  <c r="I81" i="7"/>
  <c r="K81" i="7"/>
  <c r="L81" i="7" s="1"/>
  <c r="N81" i="7"/>
  <c r="P81" i="7"/>
  <c r="Z81" i="7"/>
  <c r="AA81" i="7" s="1"/>
  <c r="X81" i="7"/>
  <c r="A83" i="7"/>
  <c r="W82" i="7"/>
  <c r="H82" i="7"/>
  <c r="B82" i="7"/>
  <c r="R82" i="7"/>
  <c r="S82" i="7" s="1"/>
  <c r="C82" i="7"/>
  <c r="T82" i="7"/>
  <c r="U82" i="7" s="1"/>
  <c r="D81" i="7"/>
  <c r="E81" i="7" s="1"/>
  <c r="F81" i="7"/>
  <c r="U55" i="11"/>
  <c r="U72" i="16"/>
  <c r="V72" i="16" s="1"/>
  <c r="W72" i="16" s="1"/>
  <c r="Y72" i="16" s="1"/>
  <c r="X72" i="16" s="1"/>
  <c r="AE72" i="9" s="1"/>
  <c r="H71" i="16"/>
  <c r="Z71" i="16" s="1"/>
  <c r="Z70" i="16"/>
  <c r="H64" i="14"/>
  <c r="I74" i="16"/>
  <c r="J74" i="16"/>
  <c r="B74" i="16"/>
  <c r="M74" i="16"/>
  <c r="A75" i="16"/>
  <c r="Q72" i="16"/>
  <c r="G72" i="16"/>
  <c r="H72" i="16" s="1"/>
  <c r="P73" i="16"/>
  <c r="O73" i="16"/>
  <c r="F73" i="16"/>
  <c r="T73" i="16" s="1"/>
  <c r="C73" i="16"/>
  <c r="D73" i="16"/>
  <c r="E73" i="16"/>
  <c r="S73" i="16" s="1"/>
  <c r="K73" i="16"/>
  <c r="L73" i="16"/>
  <c r="V264" i="10"/>
  <c r="J65" i="14"/>
  <c r="K65" i="14"/>
  <c r="K13" i="14"/>
  <c r="J13" i="14"/>
  <c r="L13" i="14"/>
  <c r="I13" i="14"/>
  <c r="F65" i="14"/>
  <c r="I65" i="14"/>
  <c r="L65" i="14" s="1"/>
  <c r="S67" i="15"/>
  <c r="I7" i="15"/>
  <c r="Q7" i="15"/>
  <c r="AC7" i="15"/>
  <c r="J7" i="15"/>
  <c r="R7" i="15"/>
  <c r="AE7" i="15"/>
  <c r="C7" i="15"/>
  <c r="K7" i="15"/>
  <c r="S7" i="15"/>
  <c r="AF7" i="15"/>
  <c r="D7" i="15"/>
  <c r="L7" i="15"/>
  <c r="T7" i="15"/>
  <c r="AJ7" i="15"/>
  <c r="E7" i="15"/>
  <c r="M7" i="15"/>
  <c r="U7" i="15"/>
  <c r="AK7" i="15"/>
  <c r="F7" i="15"/>
  <c r="N7" i="15"/>
  <c r="V7" i="15"/>
  <c r="H7" i="15"/>
  <c r="P7" i="15"/>
  <c r="Y7" i="15"/>
  <c r="O7" i="15"/>
  <c r="W7" i="15"/>
  <c r="G7" i="15"/>
  <c r="U68" i="15"/>
  <c r="V68" i="15" s="1"/>
  <c r="Q68" i="15"/>
  <c r="R68" i="15" s="1"/>
  <c r="M68" i="15"/>
  <c r="N68" i="15" s="1"/>
  <c r="O68" i="15" s="1"/>
  <c r="P68" i="15" s="1"/>
  <c r="G69" i="15"/>
  <c r="Y69" i="15"/>
  <c r="I69" i="15"/>
  <c r="AE69" i="15"/>
  <c r="K69" i="15"/>
  <c r="AJ69" i="15"/>
  <c r="AO69" i="15"/>
  <c r="E69" i="15"/>
  <c r="A70" i="15"/>
  <c r="L69" i="15"/>
  <c r="AC69" i="15"/>
  <c r="AF69" i="15"/>
  <c r="W69" i="15"/>
  <c r="AK69" i="15"/>
  <c r="F69" i="15"/>
  <c r="H69" i="15"/>
  <c r="J69" i="15"/>
  <c r="X25" i="7"/>
  <c r="I25" i="7"/>
  <c r="L25" i="7"/>
  <c r="N25" i="7"/>
  <c r="P25" i="7"/>
  <c r="R25" i="7"/>
  <c r="U25" i="7"/>
  <c r="D34" i="6"/>
  <c r="O34" i="6"/>
  <c r="U34" i="6"/>
  <c r="W34" i="6"/>
  <c r="Y34" i="6"/>
  <c r="AB34" i="6"/>
  <c r="AG34" i="6"/>
  <c r="AH34" i="6"/>
  <c r="K34" i="6"/>
  <c r="R34" i="6"/>
  <c r="M34" i="6"/>
  <c r="L34" i="6"/>
  <c r="AJ34" i="6"/>
  <c r="H34" i="6"/>
  <c r="AC34" i="6"/>
  <c r="F34" i="6"/>
  <c r="Z34" i="6"/>
  <c r="C34" i="6"/>
  <c r="X34" i="6"/>
  <c r="B34" i="6"/>
  <c r="V34" i="6"/>
  <c r="E34" i="6"/>
  <c r="S34" i="6"/>
  <c r="G34" i="6"/>
  <c r="P34" i="6"/>
  <c r="AI34" i="6"/>
  <c r="N34" i="6"/>
  <c r="G13" i="14"/>
  <c r="H13" i="14"/>
  <c r="R18" i="11"/>
  <c r="S18" i="11"/>
  <c r="F18" i="11"/>
  <c r="E18" i="11"/>
  <c r="K18" i="11"/>
  <c r="H18" i="11"/>
  <c r="M18" i="11"/>
  <c r="L18" i="11"/>
  <c r="N18" i="11"/>
  <c r="Q18" i="11"/>
  <c r="O18" i="11"/>
  <c r="P18" i="11"/>
  <c r="T18" i="11"/>
  <c r="J18" i="11"/>
  <c r="U18" i="11"/>
  <c r="G18" i="11"/>
  <c r="K26" i="7"/>
  <c r="A24" i="7"/>
  <c r="Y25" i="7"/>
  <c r="E25" i="7"/>
  <c r="AB25" i="7"/>
  <c r="G25" i="7"/>
  <c r="AA25" i="7"/>
  <c r="J25" i="7"/>
  <c r="D25" i="7"/>
  <c r="M25" i="7"/>
  <c r="F25" i="7"/>
  <c r="O25" i="7"/>
  <c r="V25" i="7"/>
  <c r="Q25" i="7"/>
  <c r="B25" i="7"/>
  <c r="S25" i="7"/>
  <c r="W25" i="7"/>
  <c r="C25" i="7"/>
  <c r="H25" i="7"/>
  <c r="T25" i="7"/>
  <c r="Z26" i="7"/>
  <c r="N25" i="9"/>
  <c r="O25" i="9"/>
  <c r="P25" i="9"/>
  <c r="Q25" i="9"/>
  <c r="R25" i="9"/>
  <c r="T25" i="9"/>
  <c r="AB25" i="9"/>
  <c r="V25" i="9"/>
  <c r="W25" i="9"/>
  <c r="X25" i="9"/>
  <c r="AA25" i="9"/>
  <c r="M25" i="9"/>
  <c r="AC25" i="9"/>
  <c r="Z25" i="9"/>
  <c r="S25" i="9"/>
  <c r="U25" i="9"/>
  <c r="Y25" i="9"/>
  <c r="N56" i="11"/>
  <c r="T56" i="11" s="1"/>
  <c r="F13" i="14"/>
  <c r="E13" i="14"/>
  <c r="A12" i="14"/>
  <c r="A66" i="14"/>
  <c r="E65" i="14"/>
  <c r="G65" i="14" s="1"/>
  <c r="B64" i="13"/>
  <c r="A65" i="13"/>
  <c r="A12" i="13"/>
  <c r="B12" i="13" s="1"/>
  <c r="AH41" i="6"/>
  <c r="AF42" i="6"/>
  <c r="AG42" i="6" s="1"/>
  <c r="AE42" i="6"/>
  <c r="AF34" i="6"/>
  <c r="AE34" i="6"/>
  <c r="G79" i="7"/>
  <c r="J79" i="7" s="1"/>
  <c r="M79" i="7" s="1"/>
  <c r="O79" i="7" s="1"/>
  <c r="Q79" i="7" s="1"/>
  <c r="V79" i="7" s="1"/>
  <c r="Y79" i="7" s="1"/>
  <c r="AB79" i="7" s="1"/>
  <c r="M79" i="9" s="1"/>
  <c r="X80" i="7"/>
  <c r="Z80" i="7"/>
  <c r="AA80" i="7" s="1"/>
  <c r="K80" i="7"/>
  <c r="L80" i="7" s="1"/>
  <c r="I80" i="7"/>
  <c r="P80" i="7"/>
  <c r="N80" i="7"/>
  <c r="D80" i="7"/>
  <c r="E80" i="7" s="1"/>
  <c r="F80" i="7"/>
  <c r="S57" i="11"/>
  <c r="R57" i="11"/>
  <c r="Q57" i="11"/>
  <c r="J57" i="11"/>
  <c r="M57" i="11" s="1"/>
  <c r="L57" i="11"/>
  <c r="O57" i="11" s="1"/>
  <c r="K57" i="11"/>
  <c r="P58" i="11"/>
  <c r="I58" i="11"/>
  <c r="H58" i="11"/>
  <c r="E58" i="11"/>
  <c r="G58" i="11" s="1"/>
  <c r="A59" i="11"/>
  <c r="F59" i="11" s="1"/>
  <c r="A17" i="11"/>
  <c r="I18" i="11"/>
  <c r="R42" i="6"/>
  <c r="S42" i="6" s="1"/>
  <c r="T42" i="6"/>
  <c r="T34" i="6"/>
  <c r="J34" i="6"/>
  <c r="J42" i="6"/>
  <c r="O42" i="6"/>
  <c r="B42" i="6"/>
  <c r="C42" i="6" s="1"/>
  <c r="D42" i="6"/>
  <c r="H25" i="9"/>
  <c r="E25" i="9"/>
  <c r="I25" i="9"/>
  <c r="F25" i="9"/>
  <c r="G25" i="9"/>
  <c r="F51" i="9"/>
  <c r="G51" i="9"/>
  <c r="H51" i="9"/>
  <c r="I51" i="9"/>
  <c r="J51" i="9" s="1"/>
  <c r="R51" i="9" s="1"/>
  <c r="E51" i="9"/>
  <c r="A24" i="9"/>
  <c r="J24" i="9" s="1"/>
  <c r="A52" i="9"/>
  <c r="P38" i="6"/>
  <c r="X40" i="6"/>
  <c r="Z40" i="6" s="1"/>
  <c r="H40" i="6"/>
  <c r="A33" i="6"/>
  <c r="X38" i="6"/>
  <c r="W41" i="6"/>
  <c r="Y41" i="6"/>
  <c r="U41" i="6"/>
  <c r="V41" i="6" s="1"/>
  <c r="AB41" i="6"/>
  <c r="E41" i="6"/>
  <c r="F41" i="6" s="1"/>
  <c r="G41" i="6"/>
  <c r="A43" i="6"/>
  <c r="H38" i="6"/>
  <c r="M41" i="6"/>
  <c r="K41" i="6"/>
  <c r="L40" i="6"/>
  <c r="N40" i="6"/>
  <c r="P40" i="6" s="1"/>
  <c r="P39" i="6"/>
  <c r="AC52" i="9"/>
  <c r="AB52" i="9"/>
  <c r="O52" i="9"/>
  <c r="P52" i="9"/>
  <c r="AA52" i="9"/>
  <c r="N52" i="9"/>
  <c r="Q52" i="9"/>
  <c r="AX104" i="3" l="1"/>
  <c r="AY104" i="3" s="1"/>
  <c r="AZ104" i="3" s="1"/>
  <c r="BA104" i="3" s="1"/>
  <c r="BF351" i="3"/>
  <c r="BB351" i="3" s="1"/>
  <c r="BF350" i="3"/>
  <c r="BB350" i="3" s="1"/>
  <c r="BF268" i="3"/>
  <c r="BB268" i="3" s="1"/>
  <c r="AX268" i="3" s="1"/>
  <c r="AX121" i="3"/>
  <c r="AY121" i="3" s="1"/>
  <c r="AZ121" i="3" s="1"/>
  <c r="BA121" i="3" s="1"/>
  <c r="AX233" i="3"/>
  <c r="AY233" i="3" s="1"/>
  <c r="AZ233" i="3" s="1"/>
  <c r="BA233" i="3" s="1"/>
  <c r="AX101" i="3"/>
  <c r="AY101" i="3" s="1"/>
  <c r="AZ101" i="3" s="1"/>
  <c r="BA101" i="3" s="1"/>
  <c r="AX164" i="3"/>
  <c r="AY164" i="3" s="1"/>
  <c r="AZ164" i="3" s="1"/>
  <c r="BA164" i="3" s="1"/>
  <c r="AX244" i="3"/>
  <c r="AY244" i="3" s="1"/>
  <c r="AZ244" i="3" s="1"/>
  <c r="BA244" i="3" s="1"/>
  <c r="AX74" i="3"/>
  <c r="AY74" i="3" s="1"/>
  <c r="AZ74" i="3" s="1"/>
  <c r="BA74" i="3" s="1"/>
  <c r="AX36" i="3"/>
  <c r="AY36" i="3" s="1"/>
  <c r="AZ36" i="3" s="1"/>
  <c r="BA36" i="3" s="1"/>
  <c r="AX61" i="3"/>
  <c r="AY61" i="3" s="1"/>
  <c r="AZ61" i="3" s="1"/>
  <c r="BA61" i="3" s="1"/>
  <c r="AX37" i="3"/>
  <c r="AY37" i="3" s="1"/>
  <c r="AZ37" i="3" s="1"/>
  <c r="BA37" i="3" s="1"/>
  <c r="BF275" i="3"/>
  <c r="BB275" i="3" s="1"/>
  <c r="AX275" i="3" s="1"/>
  <c r="BF243" i="3"/>
  <c r="BB243" i="3" s="1"/>
  <c r="AX243" i="3" s="1"/>
  <c r="AY243" i="3" s="1"/>
  <c r="AZ243" i="3" s="1"/>
  <c r="BA243" i="3" s="1"/>
  <c r="BF249" i="3"/>
  <c r="BB249" i="3" s="1"/>
  <c r="AX249" i="3" s="1"/>
  <c r="AY249" i="3" s="1"/>
  <c r="BF42" i="3"/>
  <c r="BB42" i="3" s="1"/>
  <c r="AX42" i="3" s="1"/>
  <c r="AY42" i="3" s="1"/>
  <c r="AZ42" i="3" s="1"/>
  <c r="BA42" i="3" s="1"/>
  <c r="BF273" i="3"/>
  <c r="BB273" i="3" s="1"/>
  <c r="AX273" i="3" s="1"/>
  <c r="AY273" i="3" s="1"/>
  <c r="AZ273" i="3" s="1"/>
  <c r="BA273" i="3" s="1"/>
  <c r="BF297" i="3"/>
  <c r="BB297" i="3" s="1"/>
  <c r="AX297" i="3" s="1"/>
  <c r="AY297" i="3" s="1"/>
  <c r="AZ297" i="3" s="1"/>
  <c r="BA297" i="3" s="1"/>
  <c r="BF144" i="3"/>
  <c r="BB144" i="3" s="1"/>
  <c r="AX144" i="3" s="1"/>
  <c r="AY144" i="3" s="1"/>
  <c r="AZ144" i="3" s="1"/>
  <c r="BA144" i="3" s="1"/>
  <c r="BF182" i="3"/>
  <c r="BB182" i="3" s="1"/>
  <c r="AX182" i="3" s="1"/>
  <c r="AY182" i="3" s="1"/>
  <c r="AZ182" i="3" s="1"/>
  <c r="BA182" i="3" s="1"/>
  <c r="BF242" i="3"/>
  <c r="BB242" i="3" s="1"/>
  <c r="AX242" i="3" s="1"/>
  <c r="AY242" i="3" s="1"/>
  <c r="AZ242" i="3" s="1"/>
  <c r="BA242" i="3" s="1"/>
  <c r="BF120" i="3"/>
  <c r="BB120" i="3" s="1"/>
  <c r="AX120" i="3" s="1"/>
  <c r="AY120" i="3" s="1"/>
  <c r="AZ120" i="3" s="1"/>
  <c r="BA120" i="3" s="1"/>
  <c r="BF77" i="3"/>
  <c r="BB77" i="3" s="1"/>
  <c r="AX77" i="3" s="1"/>
  <c r="AY77" i="3" s="1"/>
  <c r="AZ77" i="3" s="1"/>
  <c r="BA77" i="3" s="1"/>
  <c r="BF163" i="3"/>
  <c r="BB163" i="3" s="1"/>
  <c r="AX163" i="3" s="1"/>
  <c r="AY163" i="3" s="1"/>
  <c r="AZ163" i="3" s="1"/>
  <c r="BA163" i="3" s="1"/>
  <c r="U52" i="9"/>
  <c r="AX350" i="3"/>
  <c r="AY350" i="3" s="1"/>
  <c r="AX270" i="3"/>
  <c r="AX351" i="3"/>
  <c r="G134" i="3" s="1"/>
  <c r="N38" i="9" s="1"/>
  <c r="S38" i="9" s="1"/>
  <c r="W40" i="9" s="1"/>
  <c r="AX126" i="3"/>
  <c r="AA38" i="9" s="1"/>
  <c r="G133" i="3"/>
  <c r="F135" i="3"/>
  <c r="AX288" i="3"/>
  <c r="AC38" i="9" s="1"/>
  <c r="G81" i="7"/>
  <c r="X82" i="7"/>
  <c r="Z82" i="7"/>
  <c r="AA82" i="7" s="1"/>
  <c r="B83" i="7"/>
  <c r="R83" i="7"/>
  <c r="S83" i="7" s="1"/>
  <c r="C83" i="7"/>
  <c r="T83" i="7"/>
  <c r="U83" i="7" s="1"/>
  <c r="A84" i="7"/>
  <c r="W83" i="7"/>
  <c r="H83" i="7"/>
  <c r="F82" i="7"/>
  <c r="D82" i="7"/>
  <c r="E82" i="7" s="1"/>
  <c r="N82" i="7"/>
  <c r="P82" i="7"/>
  <c r="I82" i="7"/>
  <c r="K82" i="7"/>
  <c r="L82" i="7" s="1"/>
  <c r="R72" i="16"/>
  <c r="U73" i="16" s="1"/>
  <c r="V73" i="16" s="1"/>
  <c r="W73" i="16" s="1"/>
  <c r="Y73" i="16" s="1"/>
  <c r="X73" i="16" s="1"/>
  <c r="AE73" i="9" s="1"/>
  <c r="U56" i="11"/>
  <c r="M75" i="16"/>
  <c r="B75" i="16"/>
  <c r="A76" i="16"/>
  <c r="J75" i="16"/>
  <c r="I75" i="16"/>
  <c r="O74" i="16"/>
  <c r="P74" i="16"/>
  <c r="F74" i="16"/>
  <c r="T74" i="16" s="1"/>
  <c r="C74" i="16"/>
  <c r="E74" i="16"/>
  <c r="S74" i="16" s="1"/>
  <c r="D74" i="16"/>
  <c r="K74" i="16"/>
  <c r="L74" i="16"/>
  <c r="G73" i="16"/>
  <c r="R73" i="16" s="1"/>
  <c r="Q73" i="16"/>
  <c r="H65" i="14"/>
  <c r="AF266" i="10"/>
  <c r="AA264" i="10"/>
  <c r="W264" i="10"/>
  <c r="Y266" i="10"/>
  <c r="AG264" i="10"/>
  <c r="Z269" i="10"/>
  <c r="X188" i="10"/>
  <c r="AB188" i="10"/>
  <c r="X269" i="10"/>
  <c r="AE187" i="10"/>
  <c r="Y187" i="10"/>
  <c r="Y188" i="10"/>
  <c r="AD146" i="10"/>
  <c r="AC146" i="10"/>
  <c r="AA188" i="10"/>
  <c r="AD266" i="10"/>
  <c r="Z266" i="10"/>
  <c r="AA146" i="10"/>
  <c r="AB187" i="10"/>
  <c r="V269" i="10"/>
  <c r="AE146" i="10"/>
  <c r="Z144" i="10"/>
  <c r="AF144" i="10"/>
  <c r="V146" i="10"/>
  <c r="Y264" i="10"/>
  <c r="V187" i="10"/>
  <c r="Z187" i="10"/>
  <c r="AD264" i="10"/>
  <c r="AG269" i="10"/>
  <c r="Z264" i="10"/>
  <c r="Y269" i="10"/>
  <c r="W188" i="10"/>
  <c r="V188" i="10"/>
  <c r="Y146" i="10"/>
  <c r="AC188" i="10"/>
  <c r="AB144" i="10"/>
  <c r="W144" i="10"/>
  <c r="AE269" i="10"/>
  <c r="AA144" i="10"/>
  <c r="AG266" i="10"/>
  <c r="X187" i="10"/>
  <c r="AE264" i="10"/>
  <c r="AF146" i="10"/>
  <c r="AB264" i="10"/>
  <c r="V266" i="10"/>
  <c r="W269" i="10"/>
  <c r="X144" i="10"/>
  <c r="AF264" i="10"/>
  <c r="X266" i="10"/>
  <c r="AG144" i="10"/>
  <c r="AD269" i="10"/>
  <c r="W187" i="10"/>
  <c r="W266" i="10"/>
  <c r="AC144" i="10"/>
  <c r="AC187" i="10"/>
  <c r="AC266" i="10"/>
  <c r="AB146" i="10"/>
  <c r="AA187" i="10"/>
  <c r="Y144" i="10"/>
  <c r="AB266" i="10"/>
  <c r="AE144" i="10"/>
  <c r="AG146" i="10"/>
  <c r="AA266" i="10"/>
  <c r="X146" i="10"/>
  <c r="AC264" i="10"/>
  <c r="AE188" i="10"/>
  <c r="AD144" i="10"/>
  <c r="AC269" i="10"/>
  <c r="W146" i="10"/>
  <c r="AE266" i="10"/>
  <c r="AD187" i="10"/>
  <c r="AA269" i="10"/>
  <c r="Z188" i="10"/>
  <c r="AB269" i="10"/>
  <c r="X264" i="10"/>
  <c r="Z146" i="10"/>
  <c r="V144" i="10"/>
  <c r="AG187" i="10"/>
  <c r="AG188" i="10"/>
  <c r="AD188" i="10"/>
  <c r="AF187" i="10"/>
  <c r="AF269" i="10"/>
  <c r="AF188" i="10"/>
  <c r="J12" i="14"/>
  <c r="K12" i="14"/>
  <c r="J66" i="14"/>
  <c r="K66" i="14"/>
  <c r="F66" i="14"/>
  <c r="I66" i="14"/>
  <c r="L66" i="14" s="1"/>
  <c r="L12" i="14"/>
  <c r="I12" i="14"/>
  <c r="S68" i="15"/>
  <c r="Q69" i="15"/>
  <c r="R69" i="15" s="1"/>
  <c r="U69" i="15"/>
  <c r="V69" i="15" s="1"/>
  <c r="E70" i="15"/>
  <c r="AO70" i="15"/>
  <c r="G70" i="15"/>
  <c r="Y70" i="15"/>
  <c r="I70" i="15"/>
  <c r="AE70" i="15"/>
  <c r="AK70" i="15"/>
  <c r="A71" i="15"/>
  <c r="K70" i="15"/>
  <c r="AC70" i="15"/>
  <c r="L70" i="15"/>
  <c r="AF70" i="15"/>
  <c r="AJ70" i="15"/>
  <c r="W70" i="15"/>
  <c r="H70" i="15"/>
  <c r="J70" i="15"/>
  <c r="F70" i="15"/>
  <c r="M69" i="15"/>
  <c r="N69" i="15" s="1"/>
  <c r="O69" i="15" s="1"/>
  <c r="P69" i="15" s="1"/>
  <c r="U24" i="7"/>
  <c r="X24" i="7"/>
  <c r="I24" i="7"/>
  <c r="L24" i="7"/>
  <c r="N24" i="7"/>
  <c r="P24" i="7"/>
  <c r="R24" i="7"/>
  <c r="R33" i="6"/>
  <c r="M33" i="6"/>
  <c r="D33" i="6"/>
  <c r="O33" i="6"/>
  <c r="U33" i="6"/>
  <c r="W33" i="6"/>
  <c r="Y33" i="6"/>
  <c r="AB33" i="6"/>
  <c r="AG33" i="6"/>
  <c r="AH33" i="6"/>
  <c r="K33" i="6"/>
  <c r="N33" i="6"/>
  <c r="AI33" i="6"/>
  <c r="L33" i="6"/>
  <c r="AJ33" i="6"/>
  <c r="H33" i="6"/>
  <c r="AC33" i="6"/>
  <c r="F33" i="6"/>
  <c r="Z33" i="6"/>
  <c r="C33" i="6"/>
  <c r="X33" i="6"/>
  <c r="B33" i="6"/>
  <c r="V33" i="6"/>
  <c r="E33" i="6"/>
  <c r="S33" i="6"/>
  <c r="G33" i="6"/>
  <c r="P33" i="6"/>
  <c r="G12" i="14"/>
  <c r="H12" i="14"/>
  <c r="Q17" i="11"/>
  <c r="R17" i="11"/>
  <c r="S17" i="11"/>
  <c r="F17" i="11"/>
  <c r="E17" i="11"/>
  <c r="J17" i="11"/>
  <c r="G17" i="11"/>
  <c r="U17" i="11"/>
  <c r="K17" i="11"/>
  <c r="H17" i="11"/>
  <c r="M17" i="11"/>
  <c r="L17" i="11"/>
  <c r="N17" i="11"/>
  <c r="O17" i="11"/>
  <c r="P17" i="11"/>
  <c r="T17" i="11"/>
  <c r="K25" i="7"/>
  <c r="A23" i="7"/>
  <c r="V24" i="7"/>
  <c r="B24" i="7"/>
  <c r="Y24" i="7"/>
  <c r="E24" i="7"/>
  <c r="AB24" i="7"/>
  <c r="G24" i="7"/>
  <c r="AA24" i="7"/>
  <c r="J24" i="7"/>
  <c r="D24" i="7"/>
  <c r="M24" i="7"/>
  <c r="F24" i="7"/>
  <c r="O24" i="7"/>
  <c r="S24" i="7"/>
  <c r="Q24" i="7"/>
  <c r="C24" i="7"/>
  <c r="H24" i="7"/>
  <c r="T24" i="7"/>
  <c r="W24" i="7"/>
  <c r="Z25" i="7"/>
  <c r="N24" i="9"/>
  <c r="O24" i="9"/>
  <c r="P24" i="9"/>
  <c r="Q24" i="9"/>
  <c r="R24" i="9"/>
  <c r="M24" i="9"/>
  <c r="U24" i="9"/>
  <c r="AC24" i="9"/>
  <c r="W24" i="9"/>
  <c r="X24" i="9"/>
  <c r="Y24" i="9"/>
  <c r="Z24" i="9"/>
  <c r="AB24" i="9"/>
  <c r="S24" i="9"/>
  <c r="T24" i="9"/>
  <c r="V24" i="9"/>
  <c r="AA24" i="9"/>
  <c r="N57" i="11"/>
  <c r="T57" i="11" s="1"/>
  <c r="F12" i="14"/>
  <c r="A11" i="14"/>
  <c r="E12" i="14"/>
  <c r="A67" i="14"/>
  <c r="E66" i="14"/>
  <c r="G66" i="14" s="1"/>
  <c r="A66" i="13"/>
  <c r="B65" i="13"/>
  <c r="A11" i="13"/>
  <c r="B11" i="13" s="1"/>
  <c r="AH42" i="6"/>
  <c r="AF43" i="6"/>
  <c r="AE43" i="6"/>
  <c r="AF33" i="6"/>
  <c r="AE33" i="6"/>
  <c r="G80" i="7"/>
  <c r="J80" i="7" s="1"/>
  <c r="M80" i="7" s="1"/>
  <c r="O80" i="7" s="1"/>
  <c r="Q80" i="7" s="1"/>
  <c r="V80" i="7" s="1"/>
  <c r="Y80" i="7" s="1"/>
  <c r="AB80" i="7" s="1"/>
  <c r="M80" i="9" s="1"/>
  <c r="S58" i="11"/>
  <c r="R58" i="11"/>
  <c r="Q58" i="11"/>
  <c r="L58" i="11"/>
  <c r="O58" i="11" s="1"/>
  <c r="K58" i="11"/>
  <c r="J58" i="11"/>
  <c r="M58" i="11" s="1"/>
  <c r="P59" i="11"/>
  <c r="I59" i="11"/>
  <c r="H59" i="11"/>
  <c r="E59" i="11"/>
  <c r="G59" i="11" s="1"/>
  <c r="A60" i="11"/>
  <c r="F60" i="11" s="1"/>
  <c r="A16" i="11"/>
  <c r="I17" i="11"/>
  <c r="R43" i="6"/>
  <c r="S43" i="6" s="1"/>
  <c r="T43" i="6"/>
  <c r="T33" i="6"/>
  <c r="J33" i="6"/>
  <c r="J43" i="6"/>
  <c r="O43" i="6"/>
  <c r="B43" i="6"/>
  <c r="C43" i="6" s="1"/>
  <c r="D43" i="6"/>
  <c r="E24" i="9"/>
  <c r="I24" i="9"/>
  <c r="F24" i="9"/>
  <c r="G24" i="9"/>
  <c r="H24" i="9"/>
  <c r="E52" i="9"/>
  <c r="I52" i="9"/>
  <c r="J52" i="9" s="1"/>
  <c r="R52" i="9" s="1"/>
  <c r="F52" i="9"/>
  <c r="G52" i="9"/>
  <c r="H52" i="9"/>
  <c r="A53" i="9"/>
  <c r="A23" i="9"/>
  <c r="J23" i="9" s="1"/>
  <c r="X41" i="6"/>
  <c r="Z41" i="6" s="1"/>
  <c r="H41" i="6"/>
  <c r="G42" i="6"/>
  <c r="E42" i="6"/>
  <c r="F42" i="6" s="1"/>
  <c r="M42" i="6"/>
  <c r="K42" i="6"/>
  <c r="Z39" i="6"/>
  <c r="A32" i="6"/>
  <c r="N41" i="6"/>
  <c r="P41" i="6" s="1"/>
  <c r="L41" i="6"/>
  <c r="U42" i="6"/>
  <c r="V42" i="6" s="1"/>
  <c r="W42" i="6"/>
  <c r="Y42" i="6"/>
  <c r="AB42" i="6"/>
  <c r="A44" i="6"/>
  <c r="AA53" i="9"/>
  <c r="O53" i="9"/>
  <c r="N53" i="9"/>
  <c r="AB53" i="9"/>
  <c r="Q53" i="9"/>
  <c r="AC53" i="9"/>
  <c r="P53" i="9"/>
  <c r="AY268" i="3" l="1"/>
  <c r="AB39" i="9" s="1"/>
  <c r="AB38" i="9"/>
  <c r="AY275" i="3"/>
  <c r="AZ275" i="3" s="1"/>
  <c r="BA275" i="3" s="1"/>
  <c r="U53" i="9"/>
  <c r="O38" i="9"/>
  <c r="AY351" i="3"/>
  <c r="AZ351" i="3" s="1"/>
  <c r="BA351" i="3" s="1"/>
  <c r="AY270" i="3"/>
  <c r="AY126" i="3"/>
  <c r="AA39" i="9" s="1"/>
  <c r="AY288" i="3"/>
  <c r="AC39" i="9" s="1"/>
  <c r="AZ350" i="3"/>
  <c r="BA350" i="3" s="1"/>
  <c r="H133" i="3"/>
  <c r="O39" i="9" s="1"/>
  <c r="G82" i="7"/>
  <c r="J82" i="7" s="1"/>
  <c r="U74" i="16"/>
  <c r="V74" i="16" s="1"/>
  <c r="W74" i="16" s="1"/>
  <c r="Y74" i="16" s="1"/>
  <c r="X74" i="16" s="1"/>
  <c r="AE74" i="9" s="1"/>
  <c r="D83" i="7"/>
  <c r="E83" i="7" s="1"/>
  <c r="F83" i="7"/>
  <c r="A85" i="7"/>
  <c r="W84" i="7"/>
  <c r="H84" i="7"/>
  <c r="B84" i="7"/>
  <c r="R84" i="7"/>
  <c r="S84" i="7" s="1"/>
  <c r="C84" i="7"/>
  <c r="T84" i="7"/>
  <c r="U84" i="7" s="1"/>
  <c r="I83" i="7"/>
  <c r="K83" i="7"/>
  <c r="L83" i="7" s="1"/>
  <c r="N83" i="7"/>
  <c r="P83" i="7"/>
  <c r="Z83" i="7"/>
  <c r="AA83" i="7" s="1"/>
  <c r="X83" i="7"/>
  <c r="J81" i="7"/>
  <c r="M81" i="7" s="1"/>
  <c r="O81" i="7" s="1"/>
  <c r="Q81" i="7" s="1"/>
  <c r="V81" i="7" s="1"/>
  <c r="Y81" i="7" s="1"/>
  <c r="AB81" i="7" s="1"/>
  <c r="M81" i="9" s="1"/>
  <c r="Z72" i="16"/>
  <c r="U57" i="11"/>
  <c r="K75" i="16"/>
  <c r="L75" i="16"/>
  <c r="H73" i="16"/>
  <c r="Z73" i="16" s="1"/>
  <c r="M76" i="16"/>
  <c r="B76" i="16"/>
  <c r="I76" i="16"/>
  <c r="J76" i="16"/>
  <c r="A77" i="16"/>
  <c r="Q74" i="16"/>
  <c r="G74" i="16"/>
  <c r="R74" i="16" s="1"/>
  <c r="U75" i="16" s="1"/>
  <c r="E75" i="16"/>
  <c r="S75" i="16" s="1"/>
  <c r="C75" i="16"/>
  <c r="D75" i="16"/>
  <c r="F75" i="16"/>
  <c r="T75" i="16" s="1"/>
  <c r="O75" i="16"/>
  <c r="P75" i="16"/>
  <c r="J11" i="14"/>
  <c r="K11" i="14"/>
  <c r="J67" i="14"/>
  <c r="K67" i="14"/>
  <c r="H66" i="14"/>
  <c r="F67" i="14"/>
  <c r="I67" i="14"/>
  <c r="L67" i="14" s="1"/>
  <c r="I11" i="14"/>
  <c r="L11" i="14"/>
  <c r="S69" i="15"/>
  <c r="U70" i="15"/>
  <c r="V70" i="15" s="1"/>
  <c r="M70" i="15"/>
  <c r="N70" i="15" s="1"/>
  <c r="O70" i="15" s="1"/>
  <c r="P70" i="15" s="1"/>
  <c r="K71" i="15"/>
  <c r="AJ71" i="15"/>
  <c r="E71" i="15"/>
  <c r="AO71" i="15"/>
  <c r="G71" i="15"/>
  <c r="Y71" i="15"/>
  <c r="AK71" i="15"/>
  <c r="A72" i="15"/>
  <c r="J71" i="15"/>
  <c r="AC71" i="15"/>
  <c r="L71" i="15"/>
  <c r="W71" i="15"/>
  <c r="AE71" i="15"/>
  <c r="F71" i="15"/>
  <c r="AF71" i="15"/>
  <c r="H71" i="15"/>
  <c r="I71" i="15"/>
  <c r="Q70" i="15"/>
  <c r="R70" i="15" s="1"/>
  <c r="R23" i="7"/>
  <c r="U23" i="7"/>
  <c r="X23" i="7"/>
  <c r="I23" i="7"/>
  <c r="L23" i="7"/>
  <c r="N23" i="7"/>
  <c r="P23" i="7"/>
  <c r="AH32" i="6"/>
  <c r="K32" i="6"/>
  <c r="R32" i="6"/>
  <c r="M32" i="6"/>
  <c r="D32" i="6"/>
  <c r="O32" i="6"/>
  <c r="U32" i="6"/>
  <c r="W32" i="6"/>
  <c r="Y32" i="6"/>
  <c r="AB32" i="6"/>
  <c r="AG32" i="6"/>
  <c r="G32" i="6"/>
  <c r="P32" i="6"/>
  <c r="N32" i="6"/>
  <c r="AI32" i="6"/>
  <c r="L32" i="6"/>
  <c r="AJ32" i="6"/>
  <c r="H32" i="6"/>
  <c r="AC32" i="6"/>
  <c r="F32" i="6"/>
  <c r="Z32" i="6"/>
  <c r="C32" i="6"/>
  <c r="X32" i="6"/>
  <c r="B32" i="6"/>
  <c r="V32" i="6"/>
  <c r="S32" i="6"/>
  <c r="E32" i="6"/>
  <c r="E16" i="11"/>
  <c r="Q16" i="11"/>
  <c r="R16" i="11"/>
  <c r="S16" i="11"/>
  <c r="U16" i="11"/>
  <c r="J16" i="11"/>
  <c r="G16" i="11"/>
  <c r="K16" i="11"/>
  <c r="H16" i="11"/>
  <c r="M16" i="11"/>
  <c r="F16" i="11"/>
  <c r="L16" i="11"/>
  <c r="N16" i="11"/>
  <c r="O16" i="11"/>
  <c r="P16" i="11"/>
  <c r="T16" i="11"/>
  <c r="G11" i="14"/>
  <c r="H11" i="14"/>
  <c r="Z24" i="7"/>
  <c r="A22" i="7"/>
  <c r="S23" i="7"/>
  <c r="V23" i="7"/>
  <c r="B23" i="7"/>
  <c r="Y23" i="7"/>
  <c r="E23" i="7"/>
  <c r="AB23" i="7"/>
  <c r="G23" i="7"/>
  <c r="AA23" i="7"/>
  <c r="J23" i="7"/>
  <c r="D23" i="7"/>
  <c r="M23" i="7"/>
  <c r="F23" i="7"/>
  <c r="O23" i="7"/>
  <c r="Q23" i="7"/>
  <c r="C23" i="7"/>
  <c r="H23" i="7"/>
  <c r="T23" i="7"/>
  <c r="W23" i="7"/>
  <c r="K24" i="7"/>
  <c r="P23" i="9"/>
  <c r="Q23" i="9"/>
  <c r="R23" i="9"/>
  <c r="N23" i="9"/>
  <c r="O23" i="9"/>
  <c r="V23" i="9"/>
  <c r="X23" i="9"/>
  <c r="Y23" i="9"/>
  <c r="S23" i="9"/>
  <c r="Z23" i="9"/>
  <c r="AA23" i="9"/>
  <c r="W23" i="9"/>
  <c r="AB23" i="9"/>
  <c r="AC23" i="9"/>
  <c r="M23" i="9"/>
  <c r="U23" i="9"/>
  <c r="T23" i="9"/>
  <c r="N58" i="11"/>
  <c r="T58" i="11" s="1"/>
  <c r="F11" i="14"/>
  <c r="E11" i="14"/>
  <c r="A10" i="14"/>
  <c r="A68" i="14"/>
  <c r="E67" i="14"/>
  <c r="G67" i="14" s="1"/>
  <c r="A10" i="13"/>
  <c r="B10" i="13" s="1"/>
  <c r="A67" i="13"/>
  <c r="B66" i="13"/>
  <c r="AH43" i="6"/>
  <c r="AG43" i="6"/>
  <c r="AF32" i="6"/>
  <c r="AE32" i="6"/>
  <c r="AF44" i="6"/>
  <c r="AE44" i="6"/>
  <c r="S59" i="11"/>
  <c r="R59" i="11"/>
  <c r="Q59" i="11"/>
  <c r="L59" i="11"/>
  <c r="O59" i="11" s="1"/>
  <c r="J59" i="11"/>
  <c r="M59" i="11" s="1"/>
  <c r="K59" i="11"/>
  <c r="I16" i="11"/>
  <c r="A15" i="11"/>
  <c r="A61" i="11"/>
  <c r="F61" i="11" s="1"/>
  <c r="P60" i="11"/>
  <c r="I60" i="11"/>
  <c r="H60" i="11"/>
  <c r="E60" i="11"/>
  <c r="G60" i="11" s="1"/>
  <c r="R44" i="6"/>
  <c r="S44" i="6" s="1"/>
  <c r="T44" i="6"/>
  <c r="T32" i="6"/>
  <c r="J32" i="6"/>
  <c r="J44" i="6"/>
  <c r="O44" i="6"/>
  <c r="B44" i="6"/>
  <c r="C44" i="6" s="1"/>
  <c r="D44" i="6"/>
  <c r="H53" i="9"/>
  <c r="E53" i="9"/>
  <c r="I53" i="9"/>
  <c r="J53" i="9" s="1"/>
  <c r="R53" i="9" s="1"/>
  <c r="F53" i="9"/>
  <c r="G53" i="9"/>
  <c r="F23" i="9"/>
  <c r="G23" i="9"/>
  <c r="H23" i="9"/>
  <c r="E23" i="9"/>
  <c r="I23" i="9"/>
  <c r="A22" i="9"/>
  <c r="J22" i="9" s="1"/>
  <c r="A54" i="9"/>
  <c r="AC41" i="6"/>
  <c r="Z38" i="6"/>
  <c r="H42" i="6"/>
  <c r="N42" i="6"/>
  <c r="P42" i="6" s="1"/>
  <c r="L42" i="6"/>
  <c r="A31" i="6"/>
  <c r="M43" i="6"/>
  <c r="K43" i="6"/>
  <c r="AB43" i="6"/>
  <c r="Y43" i="6"/>
  <c r="U43" i="6"/>
  <c r="V43" i="6" s="1"/>
  <c r="W43" i="6"/>
  <c r="X42" i="6"/>
  <c r="Z42" i="6" s="1"/>
  <c r="A45" i="6"/>
  <c r="G43" i="6"/>
  <c r="E43" i="6"/>
  <c r="F43" i="6" s="1"/>
  <c r="AC40" i="6"/>
  <c r="N54" i="9"/>
  <c r="O54" i="9"/>
  <c r="AA54" i="9"/>
  <c r="AB54" i="9"/>
  <c r="P54" i="9"/>
  <c r="Q54" i="9"/>
  <c r="AC54" i="9"/>
  <c r="AZ268" i="3" l="1"/>
  <c r="AO275" i="3"/>
  <c r="S275" i="3" s="1"/>
  <c r="U54" i="9"/>
  <c r="H134" i="3"/>
  <c r="I134" i="3" s="1"/>
  <c r="AZ270" i="3"/>
  <c r="AZ288" i="3"/>
  <c r="AC40" i="9" s="1"/>
  <c r="AZ126" i="3"/>
  <c r="AA40" i="9" s="1"/>
  <c r="I133" i="3"/>
  <c r="BA288" i="3"/>
  <c r="AC41" i="9" s="1"/>
  <c r="G83" i="7"/>
  <c r="J83" i="7" s="1"/>
  <c r="M83" i="7" s="1"/>
  <c r="E109" i="10" a="1"/>
  <c r="E109" i="10" s="1"/>
  <c r="N84" i="7"/>
  <c r="P84" i="7"/>
  <c r="I84" i="7"/>
  <c r="K84" i="7"/>
  <c r="L84" i="7" s="1"/>
  <c r="X84" i="7"/>
  <c r="Z84" i="7"/>
  <c r="AA84" i="7" s="1"/>
  <c r="B85" i="7"/>
  <c r="R85" i="7"/>
  <c r="S85" i="7" s="1"/>
  <c r="C85" i="7"/>
  <c r="T85" i="7"/>
  <c r="U85" i="7" s="1"/>
  <c r="A86" i="7"/>
  <c r="W85" i="7"/>
  <c r="H85" i="7"/>
  <c r="M82" i="7"/>
  <c r="O82" i="7" s="1"/>
  <c r="Q82" i="7" s="1"/>
  <c r="V82" i="7" s="1"/>
  <c r="Y82" i="7" s="1"/>
  <c r="AB82" i="7" s="1"/>
  <c r="M82" i="9" s="1"/>
  <c r="F84" i="7"/>
  <c r="D84" i="7"/>
  <c r="E84" i="7" s="1"/>
  <c r="U58" i="11"/>
  <c r="E112" i="10" a="1"/>
  <c r="E112" i="10" s="1"/>
  <c r="E114" i="10" a="1"/>
  <c r="E114" i="10" s="1"/>
  <c r="E108" i="10" a="1"/>
  <c r="E108" i="10" s="1"/>
  <c r="E110" i="10" a="1"/>
  <c r="E110" i="10" s="1"/>
  <c r="E113" i="10" a="1"/>
  <c r="E113" i="10" s="1"/>
  <c r="E115" i="10" a="1"/>
  <c r="E115" i="10" s="1"/>
  <c r="E111" i="10" a="1"/>
  <c r="E111" i="10" s="1"/>
  <c r="E105" i="10" a="1"/>
  <c r="E105" i="10" s="1"/>
  <c r="E107" i="10" a="1"/>
  <c r="E107" i="10" s="1"/>
  <c r="E116" i="10" a="1"/>
  <c r="E116" i="10" s="1"/>
  <c r="Q75" i="16"/>
  <c r="G75" i="16"/>
  <c r="H75" i="16" s="1"/>
  <c r="D76" i="16"/>
  <c r="E76" i="16"/>
  <c r="S76" i="16" s="1"/>
  <c r="F76" i="16"/>
  <c r="T76" i="16" s="1"/>
  <c r="C76" i="16"/>
  <c r="O76" i="16"/>
  <c r="P76" i="16"/>
  <c r="H74" i="16"/>
  <c r="Z74" i="16" s="1"/>
  <c r="V75" i="16"/>
  <c r="W75" i="16" s="1"/>
  <c r="Y75" i="16" s="1"/>
  <c r="X75" i="16" s="1"/>
  <c r="AE75" i="9" s="1"/>
  <c r="M77" i="16"/>
  <c r="I77" i="16"/>
  <c r="J77" i="16"/>
  <c r="A78" i="16"/>
  <c r="B77" i="16"/>
  <c r="L76" i="16"/>
  <c r="K76" i="16"/>
  <c r="M116" i="10" a="1"/>
  <c r="M116" i="10" s="1"/>
  <c r="AC130" i="10" s="1"/>
  <c r="N111" i="10" a="1"/>
  <c r="N111" i="10" s="1"/>
  <c r="AD120" i="10" s="1"/>
  <c r="M111" i="10" a="1"/>
  <c r="M111" i="10" s="1"/>
  <c r="AC120" i="10" s="1"/>
  <c r="M109" i="10" a="1"/>
  <c r="M109" i="10" s="1"/>
  <c r="AC244" i="10" s="1"/>
  <c r="F105" i="10" a="1"/>
  <c r="F105" i="10" s="1"/>
  <c r="V242" i="10" s="1"/>
  <c r="J111" i="10" a="1"/>
  <c r="J111" i="10" s="1"/>
  <c r="Z120" i="10" s="1"/>
  <c r="O112" i="10" a="1"/>
  <c r="O112" i="10" s="1"/>
  <c r="AE247" i="10" s="1"/>
  <c r="H112" i="10" a="1"/>
  <c r="H112" i="10" s="1"/>
  <c r="X247" i="10" s="1"/>
  <c r="N114" i="10" a="1"/>
  <c r="N114" i="10" s="1"/>
  <c r="AD313" i="10" s="1"/>
  <c r="H114" i="10" a="1"/>
  <c r="H114" i="10" s="1"/>
  <c r="X313" i="10" s="1"/>
  <c r="M105" i="10" a="1"/>
  <c r="M105" i="10" s="1"/>
  <c r="AC242" i="10" s="1"/>
  <c r="K107" i="10" a="1"/>
  <c r="K107" i="10" s="1"/>
  <c r="AA116" i="10" s="1"/>
  <c r="G107" i="10" a="1"/>
  <c r="G107" i="10" s="1"/>
  <c r="W116" i="10" s="1"/>
  <c r="H115" i="10" a="1"/>
  <c r="H115" i="10" s="1"/>
  <c r="X129" i="10" s="1"/>
  <c r="H113" i="10" a="1"/>
  <c r="H113" i="10" s="1"/>
  <c r="X121" i="10" s="1"/>
  <c r="H110" i="10" a="1"/>
  <c r="H110" i="10" s="1"/>
  <c r="X119" i="10" s="1"/>
  <c r="Q108" i="10" a="1"/>
  <c r="Q108" i="10" s="1"/>
  <c r="AG243" i="10" s="1"/>
  <c r="J114" i="10" a="1"/>
  <c r="J114" i="10" s="1"/>
  <c r="Z313" i="10" s="1"/>
  <c r="F113" i="10" a="1"/>
  <c r="F113" i="10" s="1"/>
  <c r="V121" i="10" s="1"/>
  <c r="L115" i="10" a="1"/>
  <c r="L115" i="10" s="1"/>
  <c r="AB129" i="10" s="1"/>
  <c r="I113" i="10" a="1"/>
  <c r="I113" i="10" s="1"/>
  <c r="Y121" i="10" s="1"/>
  <c r="L116" i="10" a="1"/>
  <c r="L116" i="10" s="1"/>
  <c r="AB130" i="10" s="1"/>
  <c r="I111" i="10" a="1"/>
  <c r="I111" i="10" s="1"/>
  <c r="Y120" i="10" s="1"/>
  <c r="O113" i="10" a="1"/>
  <c r="O113" i="10" s="1"/>
  <c r="AE121" i="10" s="1"/>
  <c r="F116" i="10" a="1"/>
  <c r="F116" i="10" s="1"/>
  <c r="V130" i="10" s="1"/>
  <c r="G108" i="10" a="1"/>
  <c r="G108" i="10" s="1"/>
  <c r="W243" i="10" s="1"/>
  <c r="N105" i="10" a="1"/>
  <c r="N105" i="10" s="1"/>
  <c r="AD242" i="10" s="1"/>
  <c r="L110" i="10" a="1"/>
  <c r="L110" i="10" s="1"/>
  <c r="AB119" i="10" s="1"/>
  <c r="L108" i="10" a="1"/>
  <c r="L108" i="10" s="1"/>
  <c r="AB243" i="10" s="1"/>
  <c r="N108" i="10" a="1"/>
  <c r="N108" i="10" s="1"/>
  <c r="AD243" i="10" s="1"/>
  <c r="K108" i="10" a="1"/>
  <c r="K108" i="10" s="1"/>
  <c r="AA243" i="10" s="1"/>
  <c r="J107" i="10" a="1"/>
  <c r="J107" i="10" s="1"/>
  <c r="Z116" i="10" s="1"/>
  <c r="G113" i="10" a="1"/>
  <c r="G113" i="10" s="1"/>
  <c r="W121" i="10" s="1"/>
  <c r="N107" i="10" a="1"/>
  <c r="N107" i="10" s="1"/>
  <c r="AD116" i="10" s="1"/>
  <c r="F114" i="10" a="1"/>
  <c r="F114" i="10" s="1"/>
  <c r="V313" i="10" s="1"/>
  <c r="N116" i="10" a="1"/>
  <c r="N116" i="10" s="1"/>
  <c r="AD130" i="10" s="1"/>
  <c r="K115" i="10" a="1"/>
  <c r="K115" i="10" s="1"/>
  <c r="AA129" i="10" s="1"/>
  <c r="L109" i="10" a="1"/>
  <c r="L109" i="10" s="1"/>
  <c r="AB244" i="10" s="1"/>
  <c r="I107" i="10" a="1"/>
  <c r="I107" i="10" s="1"/>
  <c r="Y116" i="10" s="1"/>
  <c r="H109" i="10" a="1"/>
  <c r="H109" i="10" s="1"/>
  <c r="X244" i="10" s="1"/>
  <c r="Q115" i="10" a="1"/>
  <c r="Q115" i="10" s="1"/>
  <c r="AG129" i="10" s="1"/>
  <c r="J109" i="10" a="1"/>
  <c r="J109" i="10" s="1"/>
  <c r="Z244" i="10" s="1"/>
  <c r="P111" i="10" a="1"/>
  <c r="P111" i="10" s="1"/>
  <c r="AF120" i="10" s="1"/>
  <c r="G116" i="10" a="1"/>
  <c r="G116" i="10" s="1"/>
  <c r="W130" i="10" s="1"/>
  <c r="K105" i="10" a="1"/>
  <c r="K105" i="10" s="1"/>
  <c r="AA242" i="10" s="1"/>
  <c r="Q109" i="10" a="1"/>
  <c r="Q109" i="10" s="1"/>
  <c r="AG244" i="10" s="1"/>
  <c r="O108" i="10" a="1"/>
  <c r="O108" i="10" s="1"/>
  <c r="AE243" i="10" s="1"/>
  <c r="L107" i="10" a="1"/>
  <c r="L107" i="10" s="1"/>
  <c r="AB116" i="10" s="1"/>
  <c r="L113" i="10" a="1"/>
  <c r="L113" i="10" s="1"/>
  <c r="AB121" i="10" s="1"/>
  <c r="P109" i="10" a="1"/>
  <c r="P109" i="10" s="1"/>
  <c r="AF244" i="10" s="1"/>
  <c r="O115" i="10" a="1"/>
  <c r="O115" i="10" s="1"/>
  <c r="AE129" i="10" s="1"/>
  <c r="M115" i="10" a="1"/>
  <c r="M115" i="10" s="1"/>
  <c r="AC129" i="10" s="1"/>
  <c r="P113" i="10" a="1"/>
  <c r="P113" i="10" s="1"/>
  <c r="AF121" i="10" s="1"/>
  <c r="F111" i="10" a="1"/>
  <c r="F111" i="10" s="1"/>
  <c r="V120" i="10" s="1"/>
  <c r="I110" i="10" a="1"/>
  <c r="I110" i="10" s="1"/>
  <c r="Y119" i="10" s="1"/>
  <c r="I116" i="10" a="1"/>
  <c r="I116" i="10" s="1"/>
  <c r="Y130" i="10" s="1"/>
  <c r="L112" i="10" a="1"/>
  <c r="L112" i="10" s="1"/>
  <c r="AB247" i="10" s="1"/>
  <c r="O105" i="10" a="1"/>
  <c r="O105" i="10" s="1"/>
  <c r="AE242" i="10" s="1"/>
  <c r="P112" i="10" a="1"/>
  <c r="P112" i="10" s="1"/>
  <c r="AF247" i="10" s="1"/>
  <c r="I105" i="10" a="1"/>
  <c r="I105" i="10" s="1"/>
  <c r="Y242" i="10" s="1"/>
  <c r="J105" i="10" a="1"/>
  <c r="J105" i="10" s="1"/>
  <c r="Z242" i="10" s="1"/>
  <c r="H107" i="10" a="1"/>
  <c r="H107" i="10" s="1"/>
  <c r="X116" i="10" s="1"/>
  <c r="O109" i="10" a="1"/>
  <c r="O109" i="10" s="1"/>
  <c r="AE244" i="10" s="1"/>
  <c r="M107" i="10" a="1"/>
  <c r="M107" i="10" s="1"/>
  <c r="AC116" i="10" s="1"/>
  <c r="H111" i="10" a="1"/>
  <c r="H111" i="10" s="1"/>
  <c r="X120" i="10" s="1"/>
  <c r="G111" i="10" a="1"/>
  <c r="G111" i="10" s="1"/>
  <c r="W120" i="10" s="1"/>
  <c r="Q110" i="10" a="1"/>
  <c r="Q110" i="10" s="1"/>
  <c r="AG119" i="10" s="1"/>
  <c r="G109" i="10" a="1"/>
  <c r="G109" i="10" s="1"/>
  <c r="W244" i="10" s="1"/>
  <c r="F110" i="10" a="1"/>
  <c r="F110" i="10" s="1"/>
  <c r="V119" i="10" s="1"/>
  <c r="G105" i="10" a="1"/>
  <c r="G105" i="10" s="1"/>
  <c r="W242" i="10" s="1"/>
  <c r="O107" i="10" a="1"/>
  <c r="O107" i="10" s="1"/>
  <c r="AE116" i="10" s="1"/>
  <c r="G115" i="10" a="1"/>
  <c r="G115" i="10" s="1"/>
  <c r="W129" i="10" s="1"/>
  <c r="G112" i="10" a="1"/>
  <c r="G112" i="10" s="1"/>
  <c r="W247" i="10" s="1"/>
  <c r="P108" i="10" a="1"/>
  <c r="P108" i="10" s="1"/>
  <c r="AF243" i="10" s="1"/>
  <c r="F107" i="10" a="1"/>
  <c r="F107" i="10" s="1"/>
  <c r="V116" i="10" s="1"/>
  <c r="I108" i="10" a="1"/>
  <c r="I108" i="10" s="1"/>
  <c r="Y243" i="10" s="1"/>
  <c r="N115" i="10" a="1"/>
  <c r="N115" i="10" s="1"/>
  <c r="AD129" i="10" s="1"/>
  <c r="K114" i="10" a="1"/>
  <c r="K114" i="10" s="1"/>
  <c r="AA313" i="10" s="1"/>
  <c r="Q114" i="10" a="1"/>
  <c r="Q114" i="10" s="1"/>
  <c r="AG313" i="10" s="1"/>
  <c r="M110" i="10" a="1"/>
  <c r="M110" i="10" s="1"/>
  <c r="AC119" i="10" s="1"/>
  <c r="N112" i="10" a="1"/>
  <c r="N112" i="10" s="1"/>
  <c r="AD247" i="10" s="1"/>
  <c r="G114" i="10" a="1"/>
  <c r="G114" i="10" s="1"/>
  <c r="W313" i="10" s="1"/>
  <c r="K111" i="10" a="1"/>
  <c r="K111" i="10" s="1"/>
  <c r="AA120" i="10" s="1"/>
  <c r="N109" i="10" a="1"/>
  <c r="N109" i="10" s="1"/>
  <c r="AD244" i="10" s="1"/>
  <c r="F112" i="10" a="1"/>
  <c r="F112" i="10" s="1"/>
  <c r="V247" i="10" s="1"/>
  <c r="J110" i="10" a="1"/>
  <c r="J110" i="10" s="1"/>
  <c r="Z119" i="10" s="1"/>
  <c r="I109" i="10" a="1"/>
  <c r="I109" i="10" s="1"/>
  <c r="Y244" i="10" s="1"/>
  <c r="Q116" i="10" a="1"/>
  <c r="Q116" i="10" s="1"/>
  <c r="AG130" i="10" s="1"/>
  <c r="L114" i="10" a="1"/>
  <c r="L114" i="10" s="1"/>
  <c r="AB313" i="10" s="1"/>
  <c r="M112" i="10" a="1"/>
  <c r="M112" i="10" s="1"/>
  <c r="AC247" i="10" s="1"/>
  <c r="Q112" i="10" a="1"/>
  <c r="Q112" i="10" s="1"/>
  <c r="AG247" i="10" s="1"/>
  <c r="F109" i="10" a="1"/>
  <c r="F109" i="10" s="1"/>
  <c r="V244" i="10" s="1"/>
  <c r="M108" i="10" a="1"/>
  <c r="M108" i="10" s="1"/>
  <c r="AC243" i="10" s="1"/>
  <c r="P116" i="10" a="1"/>
  <c r="P116" i="10" s="1"/>
  <c r="AF130" i="10" s="1"/>
  <c r="F115" i="10" a="1"/>
  <c r="F115" i="10" s="1"/>
  <c r="V129" i="10" s="1"/>
  <c r="Q107" i="10" a="1"/>
  <c r="Q107" i="10" s="1"/>
  <c r="AG116" i="10" s="1"/>
  <c r="M113" i="10" a="1"/>
  <c r="M113" i="10" s="1"/>
  <c r="AC121" i="10" s="1"/>
  <c r="K116" i="10" a="1"/>
  <c r="K116" i="10" s="1"/>
  <c r="AA130" i="10" s="1"/>
  <c r="H116" i="10" a="1"/>
  <c r="H116" i="10" s="1"/>
  <c r="X130" i="10" s="1"/>
  <c r="K112" i="10" a="1"/>
  <c r="K112" i="10" s="1"/>
  <c r="AA247" i="10" s="1"/>
  <c r="O114" i="10" a="1"/>
  <c r="O114" i="10" s="1"/>
  <c r="AE313" i="10" s="1"/>
  <c r="K110" i="10" a="1"/>
  <c r="K110" i="10" s="1"/>
  <c r="AA119" i="10" s="1"/>
  <c r="K109" i="10" a="1"/>
  <c r="K109" i="10" s="1"/>
  <c r="AA244" i="10" s="1"/>
  <c r="N110" i="10" a="1"/>
  <c r="N110" i="10" s="1"/>
  <c r="AD119" i="10" s="1"/>
  <c r="Q113" i="10" a="1"/>
  <c r="Q113" i="10" s="1"/>
  <c r="AG121" i="10" s="1"/>
  <c r="L111" i="10" a="1"/>
  <c r="L111" i="10" s="1"/>
  <c r="AB120" i="10" s="1"/>
  <c r="P110" i="10" a="1"/>
  <c r="P110" i="10" s="1"/>
  <c r="AF119" i="10" s="1"/>
  <c r="H108" i="10" a="1"/>
  <c r="H108" i="10" s="1"/>
  <c r="X243" i="10" s="1"/>
  <c r="I114" i="10" a="1"/>
  <c r="I114" i="10" s="1"/>
  <c r="Y313" i="10" s="1"/>
  <c r="O116" i="10" a="1"/>
  <c r="O116" i="10" s="1"/>
  <c r="AE130" i="10" s="1"/>
  <c r="H105" i="10" a="1"/>
  <c r="H105" i="10" s="1"/>
  <c r="X242" i="10" s="1"/>
  <c r="K113" i="10" a="1"/>
  <c r="K113" i="10" s="1"/>
  <c r="AA121" i="10" s="1"/>
  <c r="O110" i="10" a="1"/>
  <c r="O110" i="10" s="1"/>
  <c r="AE119" i="10" s="1"/>
  <c r="P114" i="10" a="1"/>
  <c r="P114" i="10" s="1"/>
  <c r="AF313" i="10" s="1"/>
  <c r="Q105" i="10" a="1"/>
  <c r="Q105" i="10" s="1"/>
  <c r="AG242" i="10" s="1"/>
  <c r="I112" i="10" a="1"/>
  <c r="I112" i="10" s="1"/>
  <c r="Y247" i="10" s="1"/>
  <c r="J113" i="10" a="1"/>
  <c r="J113" i="10" s="1"/>
  <c r="Z121" i="10" s="1"/>
  <c r="P115" i="10" a="1"/>
  <c r="P115" i="10" s="1"/>
  <c r="AF129" i="10" s="1"/>
  <c r="J115" i="10" a="1"/>
  <c r="J115" i="10" s="1"/>
  <c r="Z129" i="10" s="1"/>
  <c r="F108" i="10" a="1"/>
  <c r="F108" i="10" s="1"/>
  <c r="V243" i="10" s="1"/>
  <c r="P105" i="10" a="1"/>
  <c r="P105" i="10" s="1"/>
  <c r="AF242" i="10" s="1"/>
  <c r="J108" i="10" a="1"/>
  <c r="J108" i="10" s="1"/>
  <c r="Z243" i="10" s="1"/>
  <c r="L105" i="10" a="1"/>
  <c r="L105" i="10" s="1"/>
  <c r="AB242" i="10" s="1"/>
  <c r="J112" i="10" a="1"/>
  <c r="J112" i="10" s="1"/>
  <c r="Z247" i="10" s="1"/>
  <c r="O111" i="10" a="1"/>
  <c r="O111" i="10" s="1"/>
  <c r="AE120" i="10" s="1"/>
  <c r="N113" i="10" a="1"/>
  <c r="N113" i="10" s="1"/>
  <c r="AD121" i="10" s="1"/>
  <c r="J116" i="10" a="1"/>
  <c r="J116" i="10" s="1"/>
  <c r="Z130" i="10" s="1"/>
  <c r="M114" i="10" a="1"/>
  <c r="M114" i="10" s="1"/>
  <c r="AC313" i="10" s="1"/>
  <c r="P107" i="10" a="1"/>
  <c r="P107" i="10" s="1"/>
  <c r="AF116" i="10" s="1"/>
  <c r="I115" i="10" a="1"/>
  <c r="I115" i="10" s="1"/>
  <c r="Y129" i="10" s="1"/>
  <c r="G110" i="10" a="1"/>
  <c r="G110" i="10" s="1"/>
  <c r="W119" i="10" s="1"/>
  <c r="Q111" i="10" a="1"/>
  <c r="Q111" i="10" s="1"/>
  <c r="AG120" i="10" s="1"/>
  <c r="J10" i="14"/>
  <c r="K10" i="14"/>
  <c r="J68" i="14"/>
  <c r="K68" i="14"/>
  <c r="H67" i="14"/>
  <c r="F68" i="14"/>
  <c r="I68" i="14"/>
  <c r="L68" i="14" s="1"/>
  <c r="I10" i="14"/>
  <c r="L10" i="14"/>
  <c r="S70" i="15"/>
  <c r="U71" i="15"/>
  <c r="V71" i="15" s="1"/>
  <c r="Q71" i="15"/>
  <c r="R71" i="15" s="1"/>
  <c r="I72" i="15"/>
  <c r="AE72" i="15"/>
  <c r="K72" i="15"/>
  <c r="AJ72" i="15"/>
  <c r="E72" i="15"/>
  <c r="AO72" i="15"/>
  <c r="AK72" i="15"/>
  <c r="A73" i="15"/>
  <c r="J72" i="15"/>
  <c r="Y72" i="15"/>
  <c r="L72" i="15"/>
  <c r="F72" i="15"/>
  <c r="AC72" i="15"/>
  <c r="G72" i="15"/>
  <c r="AF72" i="15"/>
  <c r="H72" i="15"/>
  <c r="W72" i="15"/>
  <c r="M71" i="15"/>
  <c r="N71" i="15" s="1"/>
  <c r="O71" i="15" s="1"/>
  <c r="P71" i="15" s="1"/>
  <c r="AG31" i="6"/>
  <c r="AH31" i="6"/>
  <c r="K31" i="6"/>
  <c r="R31" i="6"/>
  <c r="M31" i="6"/>
  <c r="D31" i="6"/>
  <c r="O31" i="6"/>
  <c r="U31" i="6"/>
  <c r="W31" i="6"/>
  <c r="Y31" i="6"/>
  <c r="AB31" i="6"/>
  <c r="E31" i="6"/>
  <c r="S31" i="6"/>
  <c r="G31" i="6"/>
  <c r="P31" i="6"/>
  <c r="N31" i="6"/>
  <c r="AI31" i="6"/>
  <c r="L31" i="6"/>
  <c r="AJ31" i="6"/>
  <c r="H31" i="6"/>
  <c r="AC31" i="6"/>
  <c r="F31" i="6"/>
  <c r="Z31" i="6"/>
  <c r="C31" i="6"/>
  <c r="X31" i="6"/>
  <c r="B31" i="6"/>
  <c r="V31" i="6"/>
  <c r="P22" i="7"/>
  <c r="R22" i="7"/>
  <c r="U22" i="7"/>
  <c r="X22" i="7"/>
  <c r="I22" i="7"/>
  <c r="L22" i="7"/>
  <c r="N22" i="7"/>
  <c r="F15" i="11"/>
  <c r="E15" i="11"/>
  <c r="R15" i="11"/>
  <c r="S15" i="11"/>
  <c r="T15" i="11"/>
  <c r="U15" i="11"/>
  <c r="J15" i="11"/>
  <c r="G15" i="11"/>
  <c r="K15" i="11"/>
  <c r="H15" i="11"/>
  <c r="Q15" i="11"/>
  <c r="M15" i="11"/>
  <c r="P15" i="11"/>
  <c r="L15" i="11"/>
  <c r="N15" i="11"/>
  <c r="O15" i="11"/>
  <c r="G10" i="14"/>
  <c r="H10" i="14"/>
  <c r="Z23" i="7"/>
  <c r="K23" i="7"/>
  <c r="A21" i="7"/>
  <c r="Q22" i="7"/>
  <c r="S22" i="7"/>
  <c r="V22" i="7"/>
  <c r="B22" i="7"/>
  <c r="Y22" i="7"/>
  <c r="E22" i="7"/>
  <c r="AB22" i="7"/>
  <c r="G22" i="7"/>
  <c r="O22" i="7"/>
  <c r="AA22" i="7"/>
  <c r="J22" i="7"/>
  <c r="D22" i="7"/>
  <c r="M22" i="7"/>
  <c r="F22" i="7"/>
  <c r="T22" i="7"/>
  <c r="H22" i="7"/>
  <c r="C22" i="7"/>
  <c r="W22" i="7"/>
  <c r="N22" i="9"/>
  <c r="O22" i="9"/>
  <c r="P22" i="9"/>
  <c r="Q22" i="9"/>
  <c r="R22" i="9"/>
  <c r="W22" i="9"/>
  <c r="Y22" i="9"/>
  <c r="Z22" i="9"/>
  <c r="T22" i="9"/>
  <c r="S22" i="9"/>
  <c r="AA22" i="9"/>
  <c r="AB22" i="9"/>
  <c r="U22" i="9"/>
  <c r="V22" i="9"/>
  <c r="X22" i="9"/>
  <c r="AC22" i="9"/>
  <c r="M22" i="9"/>
  <c r="N59" i="11"/>
  <c r="T59" i="11" s="1"/>
  <c r="F10" i="14"/>
  <c r="E10" i="14"/>
  <c r="A9" i="14"/>
  <c r="E68" i="14"/>
  <c r="G68" i="14" s="1"/>
  <c r="A69" i="14"/>
  <c r="A9" i="13"/>
  <c r="B9" i="13" s="1"/>
  <c r="B67" i="13"/>
  <c r="A68" i="13"/>
  <c r="AH44" i="6"/>
  <c r="AG44" i="6"/>
  <c r="AF45" i="6"/>
  <c r="AE45" i="6"/>
  <c r="AF31" i="6"/>
  <c r="AE31" i="6"/>
  <c r="S60" i="11"/>
  <c r="R60" i="11"/>
  <c r="Q60" i="11"/>
  <c r="L60" i="11"/>
  <c r="O60" i="11" s="1"/>
  <c r="K60" i="11"/>
  <c r="J60" i="11"/>
  <c r="M60" i="11" s="1"/>
  <c r="A62" i="11"/>
  <c r="F62" i="11" s="1"/>
  <c r="P61" i="11"/>
  <c r="I61" i="11"/>
  <c r="H61" i="11"/>
  <c r="E61" i="11"/>
  <c r="G61" i="11" s="1"/>
  <c r="A14" i="11"/>
  <c r="I15" i="11"/>
  <c r="AI41" i="6"/>
  <c r="AJ41" i="6" s="1"/>
  <c r="AI40" i="6"/>
  <c r="AJ40" i="6" s="1"/>
  <c r="R45" i="6"/>
  <c r="S45" i="6" s="1"/>
  <c r="T45" i="6"/>
  <c r="T31" i="6"/>
  <c r="J31" i="6"/>
  <c r="J45" i="6"/>
  <c r="O45" i="6"/>
  <c r="B45" i="6"/>
  <c r="C45" i="6" s="1"/>
  <c r="D45" i="6"/>
  <c r="G22" i="9"/>
  <c r="H22" i="9"/>
  <c r="E22" i="9"/>
  <c r="I22" i="9"/>
  <c r="F22" i="9"/>
  <c r="G54" i="9"/>
  <c r="H54" i="9"/>
  <c r="E54" i="9"/>
  <c r="I54" i="9"/>
  <c r="J54" i="9" s="1"/>
  <c r="R54" i="9" s="1"/>
  <c r="F54" i="9"/>
  <c r="A55" i="9"/>
  <c r="A21" i="9"/>
  <c r="J21" i="9" s="1"/>
  <c r="AC38" i="6"/>
  <c r="AC39" i="6"/>
  <c r="H43" i="6"/>
  <c r="X43" i="6"/>
  <c r="Z43" i="6" s="1"/>
  <c r="AC42" i="6"/>
  <c r="K44" i="6"/>
  <c r="M44" i="6"/>
  <c r="A46" i="6"/>
  <c r="N43" i="6"/>
  <c r="P43" i="6" s="1"/>
  <c r="L43" i="6"/>
  <c r="AB44" i="6"/>
  <c r="Y44" i="6"/>
  <c r="U44" i="6"/>
  <c r="V44" i="6" s="1"/>
  <c r="W44" i="6"/>
  <c r="G44" i="6"/>
  <c r="E44" i="6"/>
  <c r="A30" i="6"/>
  <c r="AA55" i="9"/>
  <c r="AC55" i="9"/>
  <c r="O55" i="9"/>
  <c r="P55" i="9"/>
  <c r="N55" i="9"/>
  <c r="AB55" i="9"/>
  <c r="Q55" i="9"/>
  <c r="AB40" i="9" l="1"/>
  <c r="BA268" i="3"/>
  <c r="U55" i="9"/>
  <c r="O40" i="9"/>
  <c r="N39" i="9"/>
  <c r="S39" i="9" s="1"/>
  <c r="W41" i="9" s="1"/>
  <c r="J134" i="3"/>
  <c r="N41" i="9" s="1"/>
  <c r="J133" i="3"/>
  <c r="O41" i="9" s="1"/>
  <c r="P42" i="9"/>
  <c r="U42" i="9" s="1"/>
  <c r="N40" i="9"/>
  <c r="AO288" i="3"/>
  <c r="S288" i="3" s="1"/>
  <c r="BA270" i="3"/>
  <c r="R75" i="16"/>
  <c r="U76" i="16" s="1"/>
  <c r="V76" i="16" s="1"/>
  <c r="W76" i="16" s="1"/>
  <c r="Y76" i="16" s="1"/>
  <c r="X76" i="16" s="1"/>
  <c r="AE76" i="9" s="1"/>
  <c r="BA126" i="3"/>
  <c r="AA41" i="9" s="1"/>
  <c r="G84" i="7"/>
  <c r="J84" i="7" s="1"/>
  <c r="M84" i="7" s="1"/>
  <c r="O84" i="7" s="1"/>
  <c r="O83" i="7"/>
  <c r="Q83" i="7" s="1"/>
  <c r="V83" i="7" s="1"/>
  <c r="Y83" i="7" s="1"/>
  <c r="AB83" i="7" s="1"/>
  <c r="M83" i="9" s="1"/>
  <c r="I85" i="7"/>
  <c r="K85" i="7"/>
  <c r="L85" i="7" s="1"/>
  <c r="N85" i="7"/>
  <c r="P85" i="7"/>
  <c r="Z85" i="7"/>
  <c r="AA85" i="7" s="1"/>
  <c r="X85" i="7"/>
  <c r="A87" i="7"/>
  <c r="W86" i="7"/>
  <c r="H86" i="7"/>
  <c r="B86" i="7"/>
  <c r="R86" i="7"/>
  <c r="S86" i="7" s="1"/>
  <c r="C86" i="7"/>
  <c r="T86" i="7"/>
  <c r="U86" i="7" s="1"/>
  <c r="D85" i="7"/>
  <c r="E85" i="7" s="1"/>
  <c r="F85" i="7"/>
  <c r="U59" i="11"/>
  <c r="H68" i="14"/>
  <c r="F44" i="6"/>
  <c r="H44" i="6" s="1"/>
  <c r="O77" i="16"/>
  <c r="P77" i="16"/>
  <c r="G76" i="16"/>
  <c r="R76" i="16" s="1"/>
  <c r="U77" i="16" s="1"/>
  <c r="Q76" i="16"/>
  <c r="C77" i="16"/>
  <c r="D77" i="16"/>
  <c r="E77" i="16"/>
  <c r="S77" i="16" s="1"/>
  <c r="F77" i="16"/>
  <c r="T77" i="16" s="1"/>
  <c r="B78" i="16"/>
  <c r="J78" i="16"/>
  <c r="A79" i="16"/>
  <c r="M78" i="16"/>
  <c r="I78" i="16"/>
  <c r="K77" i="16"/>
  <c r="L77" i="16"/>
  <c r="J9" i="14"/>
  <c r="K9" i="14"/>
  <c r="K69" i="14"/>
  <c r="J69" i="14"/>
  <c r="F69" i="14"/>
  <c r="I69" i="14"/>
  <c r="L69" i="14" s="1"/>
  <c r="I9" i="14"/>
  <c r="L9" i="14"/>
  <c r="S71" i="15"/>
  <c r="Q72" i="15"/>
  <c r="R72" i="15" s="1"/>
  <c r="G73" i="15"/>
  <c r="Y73" i="15"/>
  <c r="I73" i="15"/>
  <c r="AE73" i="15"/>
  <c r="K73" i="15"/>
  <c r="AJ73" i="15"/>
  <c r="AK73" i="15"/>
  <c r="AO73" i="15"/>
  <c r="J73" i="15"/>
  <c r="W73" i="15"/>
  <c r="F73" i="15"/>
  <c r="AF73" i="15"/>
  <c r="A74" i="15"/>
  <c r="L73" i="15"/>
  <c r="H73" i="15"/>
  <c r="E73" i="15"/>
  <c r="AC73" i="15"/>
  <c r="M72" i="15"/>
  <c r="N72" i="15" s="1"/>
  <c r="O72" i="15" s="1"/>
  <c r="P72" i="15" s="1"/>
  <c r="U72" i="15"/>
  <c r="V72" i="15" s="1"/>
  <c r="N21" i="7"/>
  <c r="P21" i="7"/>
  <c r="R21" i="7"/>
  <c r="U21" i="7"/>
  <c r="X21" i="7"/>
  <c r="I21" i="7"/>
  <c r="L21" i="7"/>
  <c r="G9" i="14"/>
  <c r="H9" i="14"/>
  <c r="AB30" i="6"/>
  <c r="AG30" i="6"/>
  <c r="AH30" i="6"/>
  <c r="K30" i="6"/>
  <c r="R30" i="6"/>
  <c r="M30" i="6"/>
  <c r="D30" i="6"/>
  <c r="O30" i="6"/>
  <c r="U30" i="6"/>
  <c r="W30" i="6"/>
  <c r="Y30" i="6"/>
  <c r="B30" i="6"/>
  <c r="V30" i="6"/>
  <c r="E30" i="6"/>
  <c r="S30" i="6"/>
  <c r="G30" i="6"/>
  <c r="P30" i="6"/>
  <c r="N30" i="6"/>
  <c r="AI30" i="6"/>
  <c r="L30" i="6"/>
  <c r="AJ30" i="6"/>
  <c r="H30" i="6"/>
  <c r="AC30" i="6"/>
  <c r="F30" i="6"/>
  <c r="Z30" i="6"/>
  <c r="X30" i="6"/>
  <c r="C30" i="6"/>
  <c r="S14" i="11"/>
  <c r="F14" i="11"/>
  <c r="E14" i="11"/>
  <c r="Q14" i="11"/>
  <c r="P14" i="11"/>
  <c r="T14" i="11"/>
  <c r="U14" i="11"/>
  <c r="O14" i="11"/>
  <c r="J14" i="11"/>
  <c r="G14" i="11"/>
  <c r="R14" i="11"/>
  <c r="K14" i="11"/>
  <c r="H14" i="11"/>
  <c r="M14" i="11"/>
  <c r="L14" i="11"/>
  <c r="N14" i="11"/>
  <c r="A20" i="7"/>
  <c r="F21" i="7"/>
  <c r="O21" i="7"/>
  <c r="Q21" i="7"/>
  <c r="S21" i="7"/>
  <c r="D21" i="7"/>
  <c r="M21" i="7"/>
  <c r="V21" i="7"/>
  <c r="B21" i="7"/>
  <c r="Y21" i="7"/>
  <c r="E21" i="7"/>
  <c r="AB21" i="7"/>
  <c r="G21" i="7"/>
  <c r="AA21" i="7"/>
  <c r="J21" i="7"/>
  <c r="W21" i="7"/>
  <c r="T21" i="7"/>
  <c r="C21" i="7"/>
  <c r="H21" i="7"/>
  <c r="K22" i="7"/>
  <c r="Z22" i="7"/>
  <c r="R21" i="9"/>
  <c r="N21" i="9"/>
  <c r="O21" i="9"/>
  <c r="P21" i="9"/>
  <c r="Q21" i="9"/>
  <c r="X21" i="9"/>
  <c r="Z21" i="9"/>
  <c r="S21" i="9"/>
  <c r="AA21" i="9"/>
  <c r="U21" i="9"/>
  <c r="T21" i="9"/>
  <c r="AB21" i="9"/>
  <c r="M21" i="9"/>
  <c r="AC21" i="9"/>
  <c r="V21" i="9"/>
  <c r="Y21" i="9"/>
  <c r="W21" i="9"/>
  <c r="N60" i="11"/>
  <c r="T60" i="11" s="1"/>
  <c r="F9" i="14"/>
  <c r="A8" i="14"/>
  <c r="E9" i="14"/>
  <c r="A70" i="14"/>
  <c r="E69" i="14"/>
  <c r="G69" i="14" s="1"/>
  <c r="H69" i="14" s="1"/>
  <c r="Z41" i="9"/>
  <c r="A8" i="13"/>
  <c r="B8" i="13" s="1"/>
  <c r="Z40" i="9"/>
  <c r="B68" i="13"/>
  <c r="A69" i="13"/>
  <c r="AH45" i="6"/>
  <c r="AG45" i="6"/>
  <c r="AF46" i="6"/>
  <c r="AG46" i="6" s="1"/>
  <c r="AE46" i="6"/>
  <c r="AF30" i="6"/>
  <c r="AE30" i="6"/>
  <c r="R61" i="11"/>
  <c r="Q61" i="11"/>
  <c r="S61" i="11"/>
  <c r="L61" i="11"/>
  <c r="O61" i="11" s="1"/>
  <c r="K61" i="11"/>
  <c r="J61" i="11"/>
  <c r="M61" i="11" s="1"/>
  <c r="E62" i="11"/>
  <c r="G62" i="11" s="1"/>
  <c r="A63" i="11"/>
  <c r="F63" i="11" s="1"/>
  <c r="P62" i="11"/>
  <c r="I62" i="11"/>
  <c r="H62" i="11"/>
  <c r="A13" i="11"/>
  <c r="I14" i="11"/>
  <c r="AI42" i="6"/>
  <c r="AJ42" i="6" s="1"/>
  <c r="AI39" i="6"/>
  <c r="AJ39" i="6" s="1"/>
  <c r="AI38" i="6"/>
  <c r="AJ38" i="6" s="1"/>
  <c r="R46" i="6"/>
  <c r="S46" i="6" s="1"/>
  <c r="T46" i="6"/>
  <c r="T30" i="6"/>
  <c r="J46" i="6"/>
  <c r="O46" i="6"/>
  <c r="J30" i="6"/>
  <c r="B46" i="6"/>
  <c r="C46" i="6" s="1"/>
  <c r="D46" i="6"/>
  <c r="F55" i="9"/>
  <c r="G55" i="9"/>
  <c r="H55" i="9"/>
  <c r="E55" i="9"/>
  <c r="I55" i="9"/>
  <c r="J55" i="9" s="1"/>
  <c r="R55" i="9" s="1"/>
  <c r="H21" i="9"/>
  <c r="E21" i="9"/>
  <c r="I21" i="9"/>
  <c r="F21" i="9"/>
  <c r="G21" i="9"/>
  <c r="A20" i="9"/>
  <c r="J20" i="9" s="1"/>
  <c r="A56" i="9"/>
  <c r="X44" i="6"/>
  <c r="AC43" i="6"/>
  <c r="AB45" i="6"/>
  <c r="U45" i="6"/>
  <c r="V45" i="6" s="1"/>
  <c r="Y45" i="6"/>
  <c r="W45" i="6"/>
  <c r="L44" i="6"/>
  <c r="N44" i="6"/>
  <c r="P44" i="6" s="1"/>
  <c r="A47" i="6"/>
  <c r="E45" i="6"/>
  <c r="G45" i="6"/>
  <c r="A29" i="6"/>
  <c r="M45" i="6"/>
  <c r="K45" i="6"/>
  <c r="N56" i="9"/>
  <c r="O56" i="9"/>
  <c r="P56" i="9"/>
  <c r="AA56" i="9"/>
  <c r="AC56" i="9"/>
  <c r="AB56" i="9"/>
  <c r="Q56" i="9"/>
  <c r="AB41" i="9" l="1"/>
  <c r="AO268" i="3"/>
  <c r="S268" i="3" s="1"/>
  <c r="U56" i="9"/>
  <c r="Z75" i="16"/>
  <c r="U43" i="9"/>
  <c r="AO270" i="3"/>
  <c r="S270" i="3" s="1"/>
  <c r="F127" i="3"/>
  <c r="AO164" i="3" s="1"/>
  <c r="S164" i="3" s="1"/>
  <c r="F126" i="3"/>
  <c r="AO163" i="3" s="1"/>
  <c r="S163" i="3" s="1"/>
  <c r="AO126" i="3"/>
  <c r="S126" i="3" s="1"/>
  <c r="G85" i="7"/>
  <c r="J85" i="7" s="1"/>
  <c r="M85" i="7" s="1"/>
  <c r="O85" i="7" s="1"/>
  <c r="Q85" i="7" s="1"/>
  <c r="F86" i="7"/>
  <c r="D86" i="7"/>
  <c r="E86" i="7" s="1"/>
  <c r="N86" i="7"/>
  <c r="P86" i="7"/>
  <c r="I86" i="7"/>
  <c r="K86" i="7"/>
  <c r="L86" i="7" s="1"/>
  <c r="X86" i="7"/>
  <c r="Z86" i="7"/>
  <c r="AA86" i="7" s="1"/>
  <c r="B87" i="7"/>
  <c r="R87" i="7"/>
  <c r="S87" i="7" s="1"/>
  <c r="C87" i="7"/>
  <c r="T87" i="7"/>
  <c r="U87" i="7" s="1"/>
  <c r="A88" i="7"/>
  <c r="W87" i="7"/>
  <c r="H87" i="7"/>
  <c r="Q84" i="7"/>
  <c r="V84" i="7" s="1"/>
  <c r="Y84" i="7" s="1"/>
  <c r="AB84" i="7" s="1"/>
  <c r="M84" i="9" s="1"/>
  <c r="U60" i="11"/>
  <c r="Z44" i="6"/>
  <c r="F45" i="6"/>
  <c r="H76" i="16"/>
  <c r="Z76" i="16" s="1"/>
  <c r="K78" i="16"/>
  <c r="L78" i="16"/>
  <c r="C78" i="16"/>
  <c r="D78" i="16"/>
  <c r="E78" i="16"/>
  <c r="S78" i="16" s="1"/>
  <c r="F78" i="16"/>
  <c r="T78" i="16" s="1"/>
  <c r="V77" i="16"/>
  <c r="W77" i="16" s="1"/>
  <c r="Y77" i="16" s="1"/>
  <c r="X77" i="16" s="1"/>
  <c r="AE77" i="9" s="1"/>
  <c r="Q77" i="16"/>
  <c r="G77" i="16"/>
  <c r="R77" i="16" s="1"/>
  <c r="U78" i="16" s="1"/>
  <c r="P78" i="16"/>
  <c r="O78" i="16"/>
  <c r="I79" i="16"/>
  <c r="B79" i="16"/>
  <c r="J79" i="16"/>
  <c r="A80" i="16"/>
  <c r="A81" i="16" s="1"/>
  <c r="M79" i="16"/>
  <c r="K70" i="14"/>
  <c r="J70" i="14"/>
  <c r="J8" i="14"/>
  <c r="K8" i="14"/>
  <c r="F70" i="14"/>
  <c r="I70" i="14"/>
  <c r="L70" i="14" s="1"/>
  <c r="L8" i="14"/>
  <c r="I8" i="14"/>
  <c r="S72" i="15"/>
  <c r="U73" i="15"/>
  <c r="V73" i="15" s="1"/>
  <c r="E74" i="15"/>
  <c r="AO74" i="15"/>
  <c r="G74" i="15"/>
  <c r="Y74" i="15"/>
  <c r="I74" i="15"/>
  <c r="AE74" i="15"/>
  <c r="AJ74" i="15"/>
  <c r="AK74" i="15"/>
  <c r="J74" i="15"/>
  <c r="W74" i="15"/>
  <c r="AC74" i="15"/>
  <c r="F74" i="15"/>
  <c r="AF74" i="15"/>
  <c r="A75" i="15"/>
  <c r="H74" i="15"/>
  <c r="L74" i="15"/>
  <c r="K74" i="15"/>
  <c r="M73" i="15"/>
  <c r="N73" i="15" s="1"/>
  <c r="O73" i="15" s="1"/>
  <c r="P73" i="15" s="1"/>
  <c r="Q73" i="15"/>
  <c r="R73" i="15" s="1"/>
  <c r="Y29" i="6"/>
  <c r="AB29" i="6"/>
  <c r="AG29" i="6"/>
  <c r="AH29" i="6"/>
  <c r="K29" i="6"/>
  <c r="R29" i="6"/>
  <c r="M29" i="6"/>
  <c r="D29" i="6"/>
  <c r="O29" i="6"/>
  <c r="U29" i="6"/>
  <c r="W29" i="6"/>
  <c r="C29" i="6"/>
  <c r="X29" i="6"/>
  <c r="B29" i="6"/>
  <c r="V29" i="6"/>
  <c r="E29" i="6"/>
  <c r="S29" i="6"/>
  <c r="G29" i="6"/>
  <c r="P29" i="6"/>
  <c r="N29" i="6"/>
  <c r="AI29" i="6"/>
  <c r="L29" i="6"/>
  <c r="AJ29" i="6"/>
  <c r="H29" i="6"/>
  <c r="AC29" i="6"/>
  <c r="F29" i="6"/>
  <c r="Z29" i="6"/>
  <c r="R13" i="11"/>
  <c r="S13" i="11"/>
  <c r="F13" i="11"/>
  <c r="E13" i="11"/>
  <c r="L13" i="11"/>
  <c r="O13" i="11"/>
  <c r="P13" i="11"/>
  <c r="T13" i="11"/>
  <c r="U13" i="11"/>
  <c r="J13" i="11"/>
  <c r="G13" i="11"/>
  <c r="Q13" i="11"/>
  <c r="K13" i="11"/>
  <c r="H13" i="11"/>
  <c r="N13" i="11"/>
  <c r="M13" i="11"/>
  <c r="L20" i="7"/>
  <c r="N20" i="7"/>
  <c r="P20" i="7"/>
  <c r="R20" i="7"/>
  <c r="U20" i="7"/>
  <c r="X20" i="7"/>
  <c r="I20" i="7"/>
  <c r="G8" i="14"/>
  <c r="H8" i="14"/>
  <c r="Z21" i="7"/>
  <c r="K21" i="7"/>
  <c r="A19" i="7"/>
  <c r="D20" i="7"/>
  <c r="M20" i="7"/>
  <c r="F20" i="7"/>
  <c r="O20" i="7"/>
  <c r="Q20" i="7"/>
  <c r="S20" i="7"/>
  <c r="B20" i="7"/>
  <c r="J20" i="7"/>
  <c r="V20" i="7"/>
  <c r="AA20" i="7"/>
  <c r="Y20" i="7"/>
  <c r="E20" i="7"/>
  <c r="AB20" i="7"/>
  <c r="G20" i="7"/>
  <c r="C20" i="7"/>
  <c r="H20" i="7"/>
  <c r="T20" i="7"/>
  <c r="W20" i="7"/>
  <c r="O20" i="9"/>
  <c r="P20" i="9"/>
  <c r="Q20" i="9"/>
  <c r="R20" i="9"/>
  <c r="N20" i="9"/>
  <c r="Y20" i="9"/>
  <c r="S20" i="9"/>
  <c r="AA20" i="9"/>
  <c r="T20" i="9"/>
  <c r="AB20" i="9"/>
  <c r="V20" i="9"/>
  <c r="M20" i="9"/>
  <c r="U20" i="9"/>
  <c r="AC20" i="9"/>
  <c r="W20" i="9"/>
  <c r="X20" i="9"/>
  <c r="Z20" i="9"/>
  <c r="N61" i="11"/>
  <c r="T61" i="11" s="1"/>
  <c r="F8" i="14"/>
  <c r="E8" i="14"/>
  <c r="A7" i="14"/>
  <c r="A71" i="14"/>
  <c r="E70" i="14"/>
  <c r="G70" i="14" s="1"/>
  <c r="Z39" i="9"/>
  <c r="A7" i="13"/>
  <c r="Z38" i="9"/>
  <c r="B69" i="13"/>
  <c r="A70" i="13"/>
  <c r="Z42" i="9"/>
  <c r="AH46" i="6"/>
  <c r="AF47" i="6"/>
  <c r="AE47" i="6"/>
  <c r="AF29" i="6"/>
  <c r="AE29" i="6"/>
  <c r="S62" i="11"/>
  <c r="R62" i="11"/>
  <c r="Q62" i="11"/>
  <c r="K62" i="11"/>
  <c r="J62" i="11"/>
  <c r="M62" i="11" s="1"/>
  <c r="L62" i="11"/>
  <c r="O62" i="11" s="1"/>
  <c r="I13" i="11"/>
  <c r="A12" i="11"/>
  <c r="H63" i="11"/>
  <c r="E63" i="11"/>
  <c r="G63" i="11" s="1"/>
  <c r="A64" i="11"/>
  <c r="F64" i="11" s="1"/>
  <c r="P63" i="11"/>
  <c r="I63" i="11"/>
  <c r="AI43" i="6"/>
  <c r="AJ43" i="6" s="1"/>
  <c r="R47" i="6"/>
  <c r="S47" i="6" s="1"/>
  <c r="T47" i="6"/>
  <c r="T29" i="6"/>
  <c r="J29" i="6"/>
  <c r="J47" i="6"/>
  <c r="O47" i="6"/>
  <c r="B47" i="6"/>
  <c r="C47" i="6" s="1"/>
  <c r="D47" i="6"/>
  <c r="E20" i="9"/>
  <c r="I20" i="9"/>
  <c r="F20" i="9"/>
  <c r="G20" i="9"/>
  <c r="H20" i="9"/>
  <c r="E56" i="9"/>
  <c r="I56" i="9"/>
  <c r="J56" i="9" s="1"/>
  <c r="R56" i="9" s="1"/>
  <c r="F56" i="9"/>
  <c r="G56" i="9"/>
  <c r="H56" i="9"/>
  <c r="A57" i="9"/>
  <c r="A19" i="9"/>
  <c r="J19" i="9" s="1"/>
  <c r="AC44" i="6"/>
  <c r="H45" i="6"/>
  <c r="X45" i="6"/>
  <c r="A28" i="6"/>
  <c r="A48" i="6"/>
  <c r="G46" i="6"/>
  <c r="E46" i="6"/>
  <c r="N45" i="6"/>
  <c r="P45" i="6" s="1"/>
  <c r="L45" i="6"/>
  <c r="K46" i="6"/>
  <c r="M46" i="6"/>
  <c r="W46" i="6"/>
  <c r="Y46" i="6"/>
  <c r="U46" i="6"/>
  <c r="V46" i="6" s="1"/>
  <c r="AB46" i="6"/>
  <c r="N57" i="9"/>
  <c r="O57" i="9"/>
  <c r="AB57" i="9"/>
  <c r="AC57" i="9"/>
  <c r="P57" i="9"/>
  <c r="Q57" i="9"/>
  <c r="AA57" i="9"/>
  <c r="U57" i="9" l="1"/>
  <c r="U44" i="9"/>
  <c r="G86" i="7"/>
  <c r="J86" i="7" s="1"/>
  <c r="M86" i="7" s="1"/>
  <c r="O86" i="7" s="1"/>
  <c r="Q86" i="7" s="1"/>
  <c r="V86" i="7" s="1"/>
  <c r="Z87" i="7"/>
  <c r="AA87" i="7" s="1"/>
  <c r="X87" i="7"/>
  <c r="A89" i="7"/>
  <c r="W88" i="7"/>
  <c r="H88" i="7"/>
  <c r="B88" i="7"/>
  <c r="R88" i="7"/>
  <c r="S88" i="7" s="1"/>
  <c r="C88" i="7"/>
  <c r="T88" i="7"/>
  <c r="U88" i="7" s="1"/>
  <c r="D87" i="7"/>
  <c r="E87" i="7" s="1"/>
  <c r="F87" i="7"/>
  <c r="I87" i="7"/>
  <c r="K87" i="7"/>
  <c r="L87" i="7" s="1"/>
  <c r="N87" i="7"/>
  <c r="P87" i="7"/>
  <c r="V85" i="7"/>
  <c r="Y85" i="7" s="1"/>
  <c r="AB85" i="7" s="1"/>
  <c r="M85" i="9" s="1"/>
  <c r="A82" i="16"/>
  <c r="B81" i="16"/>
  <c r="I81" i="16"/>
  <c r="J81" i="16"/>
  <c r="M81" i="16"/>
  <c r="U61" i="11"/>
  <c r="Z45" i="6"/>
  <c r="AC45" i="6" s="1"/>
  <c r="F46" i="6"/>
  <c r="O79" i="16"/>
  <c r="P79" i="16"/>
  <c r="B80" i="16"/>
  <c r="J80" i="16"/>
  <c r="I80" i="16"/>
  <c r="M80" i="16"/>
  <c r="K79" i="16"/>
  <c r="L79" i="16"/>
  <c r="H77" i="16"/>
  <c r="Z77" i="16" s="1"/>
  <c r="C79" i="16"/>
  <c r="D79" i="16"/>
  <c r="F79" i="16"/>
  <c r="T79" i="16" s="1"/>
  <c r="E79" i="16"/>
  <c r="S79" i="16" s="1"/>
  <c r="Q78" i="16"/>
  <c r="G78" i="16"/>
  <c r="H78" i="16" s="1"/>
  <c r="V78" i="16"/>
  <c r="W78" i="16" s="1"/>
  <c r="Y78" i="16" s="1"/>
  <c r="X78" i="16" s="1"/>
  <c r="AE78" i="9" s="1"/>
  <c r="B7" i="13"/>
  <c r="I73" i="10" s="1" a="1"/>
  <c r="I73" i="10" s="1"/>
  <c r="Y297" i="10" s="1"/>
  <c r="K71" i="14"/>
  <c r="J71" i="14"/>
  <c r="K7" i="14"/>
  <c r="J7" i="14"/>
  <c r="H70" i="14"/>
  <c r="F71" i="14"/>
  <c r="I71" i="14"/>
  <c r="L71" i="14" s="1"/>
  <c r="L7" i="14"/>
  <c r="I7" i="14"/>
  <c r="S73" i="15"/>
  <c r="K75" i="15"/>
  <c r="AJ75" i="15"/>
  <c r="E75" i="15"/>
  <c r="AO75" i="15"/>
  <c r="G75" i="15"/>
  <c r="Y75" i="15"/>
  <c r="AF75" i="15"/>
  <c r="AK75" i="15"/>
  <c r="I75" i="15"/>
  <c r="W75" i="15"/>
  <c r="AC75" i="15"/>
  <c r="F75" i="15"/>
  <c r="H75" i="15"/>
  <c r="A76" i="15"/>
  <c r="J75" i="15"/>
  <c r="L75" i="15"/>
  <c r="AE75" i="15"/>
  <c r="Q74" i="15"/>
  <c r="R74" i="15" s="1"/>
  <c r="M74" i="15"/>
  <c r="N74" i="15" s="1"/>
  <c r="O74" i="15" s="1"/>
  <c r="P74" i="15" s="1"/>
  <c r="U74" i="15"/>
  <c r="V74" i="15" s="1"/>
  <c r="Q12" i="11"/>
  <c r="R12" i="11"/>
  <c r="S12" i="11"/>
  <c r="F12" i="11"/>
  <c r="E12" i="11"/>
  <c r="N12" i="11"/>
  <c r="O12" i="11"/>
  <c r="M12" i="11"/>
  <c r="P12" i="11"/>
  <c r="T12" i="11"/>
  <c r="U12" i="11"/>
  <c r="J12" i="11"/>
  <c r="G12" i="11"/>
  <c r="L12" i="11"/>
  <c r="K12" i="11"/>
  <c r="H12" i="11"/>
  <c r="I19" i="7"/>
  <c r="L19" i="7"/>
  <c r="N19" i="7"/>
  <c r="P19" i="7"/>
  <c r="R19" i="7"/>
  <c r="U19" i="7"/>
  <c r="X19" i="7"/>
  <c r="W28" i="6"/>
  <c r="Y28" i="6"/>
  <c r="AB28" i="6"/>
  <c r="AG28" i="6"/>
  <c r="AH28" i="6"/>
  <c r="K28" i="6"/>
  <c r="R28" i="6"/>
  <c r="M28" i="6"/>
  <c r="D28" i="6"/>
  <c r="O28" i="6"/>
  <c r="U28" i="6"/>
  <c r="F28" i="6"/>
  <c r="Z28" i="6"/>
  <c r="C28" i="6"/>
  <c r="X28" i="6"/>
  <c r="B28" i="6"/>
  <c r="V28" i="6"/>
  <c r="E28" i="6"/>
  <c r="S28" i="6"/>
  <c r="G28" i="6"/>
  <c r="P28" i="6"/>
  <c r="N28" i="6"/>
  <c r="AI28" i="6"/>
  <c r="L28" i="6"/>
  <c r="AJ28" i="6"/>
  <c r="AC28" i="6"/>
  <c r="H28" i="6"/>
  <c r="H7" i="14"/>
  <c r="G7" i="14"/>
  <c r="K20" i="7"/>
  <c r="A18" i="7"/>
  <c r="AA19" i="7"/>
  <c r="J19" i="7"/>
  <c r="D19" i="7"/>
  <c r="M19" i="7"/>
  <c r="AB19" i="7"/>
  <c r="G19" i="7"/>
  <c r="F19" i="7"/>
  <c r="O19" i="7"/>
  <c r="Q19" i="7"/>
  <c r="S19" i="7"/>
  <c r="V19" i="7"/>
  <c r="B19" i="7"/>
  <c r="Y19" i="7"/>
  <c r="E19" i="7"/>
  <c r="W19" i="7"/>
  <c r="C19" i="7"/>
  <c r="H19" i="7"/>
  <c r="T19" i="7"/>
  <c r="Z20" i="7"/>
  <c r="N19" i="9"/>
  <c r="O19" i="9"/>
  <c r="P19" i="9"/>
  <c r="Q19" i="9"/>
  <c r="R19" i="9"/>
  <c r="Z19" i="9"/>
  <c r="T19" i="9"/>
  <c r="AB19" i="9"/>
  <c r="M19" i="9"/>
  <c r="U19" i="9"/>
  <c r="AC19" i="9"/>
  <c r="W19" i="9"/>
  <c r="V19" i="9"/>
  <c r="AA19" i="9"/>
  <c r="Y19" i="9"/>
  <c r="S19" i="9"/>
  <c r="X19" i="9"/>
  <c r="N62" i="11"/>
  <c r="T62" i="11" s="1"/>
  <c r="E7" i="14"/>
  <c r="F7" i="14"/>
  <c r="A72" i="14"/>
  <c r="E71" i="14"/>
  <c r="G71" i="14" s="1"/>
  <c r="B70" i="13"/>
  <c r="A71" i="13"/>
  <c r="Z43" i="9"/>
  <c r="AH47" i="6"/>
  <c r="AG47" i="6"/>
  <c r="AF48" i="6"/>
  <c r="AE48" i="6"/>
  <c r="AF28" i="6"/>
  <c r="AE28" i="6"/>
  <c r="S63" i="11"/>
  <c r="R63" i="11"/>
  <c r="Q63" i="11"/>
  <c r="K63" i="11"/>
  <c r="L63" i="11"/>
  <c r="O63" i="11" s="1"/>
  <c r="J63" i="11"/>
  <c r="M63" i="11" s="1"/>
  <c r="I12" i="11"/>
  <c r="A11" i="11"/>
  <c r="I64" i="11"/>
  <c r="H64" i="11"/>
  <c r="E64" i="11"/>
  <c r="G64" i="11" s="1"/>
  <c r="A65" i="11"/>
  <c r="F65" i="11" s="1"/>
  <c r="P64" i="11"/>
  <c r="AI44" i="6"/>
  <c r="AJ44" i="6" s="1"/>
  <c r="T28" i="6"/>
  <c r="R48" i="6"/>
  <c r="S48" i="6" s="1"/>
  <c r="T48" i="6"/>
  <c r="J28" i="6"/>
  <c r="J48" i="6"/>
  <c r="O48" i="6"/>
  <c r="B48" i="6"/>
  <c r="C48" i="6" s="1"/>
  <c r="D48" i="6"/>
  <c r="F19" i="9"/>
  <c r="G19" i="9"/>
  <c r="H19" i="9"/>
  <c r="I19" i="9"/>
  <c r="E19" i="9"/>
  <c r="H57" i="9"/>
  <c r="E57" i="9"/>
  <c r="I57" i="9"/>
  <c r="J57" i="9" s="1"/>
  <c r="R57" i="9" s="1"/>
  <c r="F57" i="9"/>
  <c r="G57" i="9"/>
  <c r="A18" i="9"/>
  <c r="J18" i="9" s="1"/>
  <c r="A58" i="9"/>
  <c r="X46" i="6"/>
  <c r="L46" i="6"/>
  <c r="N46" i="6"/>
  <c r="P46" i="6" s="1"/>
  <c r="E47" i="6"/>
  <c r="G47" i="6"/>
  <c r="A49" i="6"/>
  <c r="H46" i="6"/>
  <c r="A27" i="6"/>
  <c r="AB47" i="6"/>
  <c r="Y47" i="6"/>
  <c r="W47" i="6"/>
  <c r="U47" i="6"/>
  <c r="V47" i="6" s="1"/>
  <c r="M47" i="6"/>
  <c r="K47" i="6"/>
  <c r="P58" i="9"/>
  <c r="N58" i="9"/>
  <c r="AC58" i="9"/>
  <c r="O58" i="9"/>
  <c r="Q58" i="9"/>
  <c r="AA58" i="9"/>
  <c r="AB58" i="9"/>
  <c r="U58" i="9" l="1"/>
  <c r="U45" i="9"/>
  <c r="Y86" i="7"/>
  <c r="AB86" i="7" s="1"/>
  <c r="M86" i="9" s="1"/>
  <c r="R78" i="16"/>
  <c r="U79" i="16" s="1"/>
  <c r="G87" i="7"/>
  <c r="J87" i="7" s="1"/>
  <c r="M87" i="7" s="1"/>
  <c r="O87" i="7" s="1"/>
  <c r="Q87" i="7" s="1"/>
  <c r="V87" i="7" s="1"/>
  <c r="Y87" i="7" s="1"/>
  <c r="F88" i="7"/>
  <c r="D88" i="7"/>
  <c r="E88" i="7" s="1"/>
  <c r="N88" i="7"/>
  <c r="P88" i="7"/>
  <c r="I88" i="7"/>
  <c r="K88" i="7"/>
  <c r="L88" i="7" s="1"/>
  <c r="X88" i="7"/>
  <c r="Z88" i="7"/>
  <c r="AA88" i="7" s="1"/>
  <c r="B89" i="7"/>
  <c r="R89" i="7"/>
  <c r="S89" i="7" s="1"/>
  <c r="C89" i="7"/>
  <c r="T89" i="7"/>
  <c r="U89" i="7" s="1"/>
  <c r="A90" i="7"/>
  <c r="W89" i="7"/>
  <c r="H89" i="7"/>
  <c r="P81" i="16"/>
  <c r="O81" i="16"/>
  <c r="K81" i="16"/>
  <c r="L81" i="16"/>
  <c r="C81" i="16"/>
  <c r="D81" i="16"/>
  <c r="E81" i="16"/>
  <c r="S81" i="16" s="1"/>
  <c r="F81" i="16"/>
  <c r="T81" i="16" s="1"/>
  <c r="B82" i="16"/>
  <c r="J82" i="16"/>
  <c r="A83" i="16"/>
  <c r="I82" i="16"/>
  <c r="M82" i="16"/>
  <c r="U62" i="11"/>
  <c r="E73" i="10" a="1"/>
  <c r="E73" i="10" s="1"/>
  <c r="E91" i="10" a="1"/>
  <c r="E91" i="10" s="1"/>
  <c r="E92" i="10" a="1"/>
  <c r="E92" i="10" s="1"/>
  <c r="E90" i="10" a="1"/>
  <c r="E90" i="10" s="1"/>
  <c r="Z46" i="6"/>
  <c r="F47" i="6"/>
  <c r="H47" i="6" s="1"/>
  <c r="V79" i="16"/>
  <c r="W79" i="16" s="1"/>
  <c r="Y79" i="16" s="1"/>
  <c r="X79" i="16" s="1"/>
  <c r="AE79" i="9" s="1"/>
  <c r="O80" i="16"/>
  <c r="P80" i="16"/>
  <c r="K80" i="16"/>
  <c r="L80" i="16"/>
  <c r="C80" i="16"/>
  <c r="E80" i="16"/>
  <c r="S80" i="16" s="1"/>
  <c r="D80" i="16"/>
  <c r="F80" i="16"/>
  <c r="T80" i="16" s="1"/>
  <c r="Z78" i="16"/>
  <c r="G79" i="16"/>
  <c r="R79" i="16" s="1"/>
  <c r="U80" i="16" s="1"/>
  <c r="Q79" i="16"/>
  <c r="J92" i="10" a="1"/>
  <c r="J92" i="10" s="1"/>
  <c r="Z185" i="10" s="1"/>
  <c r="J73" i="10" a="1"/>
  <c r="J73" i="10" s="1"/>
  <c r="Z297" i="10" s="1"/>
  <c r="M73" i="10" a="1"/>
  <c r="M73" i="10" s="1"/>
  <c r="AC297" i="10" s="1"/>
  <c r="O73" i="10" a="1"/>
  <c r="O73" i="10" s="1"/>
  <c r="AE297" i="10" s="1"/>
  <c r="L73" i="10" a="1"/>
  <c r="L73" i="10" s="1"/>
  <c r="AB297" i="10" s="1"/>
  <c r="G73" i="10" a="1"/>
  <c r="G73" i="10" s="1"/>
  <c r="W297" i="10" s="1"/>
  <c r="F92" i="10" a="1"/>
  <c r="F92" i="10" s="1"/>
  <c r="V185" i="10" s="1"/>
  <c r="K91" i="10" a="1"/>
  <c r="K91" i="10" s="1"/>
  <c r="AA183" i="10" s="1"/>
  <c r="G90" i="10" a="1"/>
  <c r="G90" i="10" s="1"/>
  <c r="W182" i="10" s="1"/>
  <c r="M91" i="10" a="1"/>
  <c r="M91" i="10" s="1"/>
  <c r="AC183" i="10" s="1"/>
  <c r="O91" i="10" a="1"/>
  <c r="O91" i="10" s="1"/>
  <c r="AE183" i="10" s="1"/>
  <c r="K73" i="10" a="1"/>
  <c r="K73" i="10" s="1"/>
  <c r="AA297" i="10" s="1"/>
  <c r="J91" i="10" a="1"/>
  <c r="J91" i="10" s="1"/>
  <c r="Z183" i="10" s="1"/>
  <c r="H91" i="10" a="1"/>
  <c r="H91" i="10" s="1"/>
  <c r="X183" i="10" s="1"/>
  <c r="O92" i="10" a="1"/>
  <c r="O92" i="10" s="1"/>
  <c r="AE185" i="10" s="1"/>
  <c r="G92" i="10" a="1"/>
  <c r="G92" i="10" s="1"/>
  <c r="W185" i="10" s="1"/>
  <c r="N73" i="10" a="1"/>
  <c r="N73" i="10" s="1"/>
  <c r="AD297" i="10" s="1"/>
  <c r="O90" i="10" a="1"/>
  <c r="O90" i="10" s="1"/>
  <c r="AE182" i="10" s="1"/>
  <c r="K92" i="10" a="1"/>
  <c r="K92" i="10" s="1"/>
  <c r="AA185" i="10" s="1"/>
  <c r="P92" i="10" a="1"/>
  <c r="P92" i="10" s="1"/>
  <c r="AF185" i="10" s="1"/>
  <c r="L90" i="10" a="1"/>
  <c r="L90" i="10" s="1"/>
  <c r="AB182" i="10" s="1"/>
  <c r="F73" i="10" a="1"/>
  <c r="F73" i="10" s="1"/>
  <c r="V297" i="10" s="1"/>
  <c r="M90" i="10" a="1"/>
  <c r="M90" i="10" s="1"/>
  <c r="AC182" i="10" s="1"/>
  <c r="I91" i="10" a="1"/>
  <c r="I91" i="10" s="1"/>
  <c r="Y183" i="10" s="1"/>
  <c r="F90" i="10" a="1"/>
  <c r="F90" i="10" s="1"/>
  <c r="V182" i="10" s="1"/>
  <c r="Q90" i="10" a="1"/>
  <c r="Q90" i="10" s="1"/>
  <c r="AG182" i="10" s="1"/>
  <c r="K90" i="10" a="1"/>
  <c r="K90" i="10" s="1"/>
  <c r="AA182" i="10" s="1"/>
  <c r="Q73" i="10" a="1"/>
  <c r="Q73" i="10" s="1"/>
  <c r="AG297" i="10" s="1"/>
  <c r="H90" i="10" a="1"/>
  <c r="H90" i="10" s="1"/>
  <c r="X182" i="10" s="1"/>
  <c r="P90" i="10" a="1"/>
  <c r="P90" i="10" s="1"/>
  <c r="AF182" i="10" s="1"/>
  <c r="F91" i="10" a="1"/>
  <c r="F91" i="10" s="1"/>
  <c r="V183" i="10" s="1"/>
  <c r="I92" i="10" a="1"/>
  <c r="I92" i="10" s="1"/>
  <c r="Y185" i="10" s="1"/>
  <c r="H73" i="10" a="1"/>
  <c r="H73" i="10" s="1"/>
  <c r="X297" i="10" s="1"/>
  <c r="N90" i="10" a="1"/>
  <c r="N90" i="10" s="1"/>
  <c r="AD182" i="10" s="1"/>
  <c r="L91" i="10" a="1"/>
  <c r="L91" i="10" s="1"/>
  <c r="AB183" i="10" s="1"/>
  <c r="H92" i="10" a="1"/>
  <c r="H92" i="10" s="1"/>
  <c r="X185" i="10" s="1"/>
  <c r="Q92" i="10" a="1"/>
  <c r="Q92" i="10" s="1"/>
  <c r="AG185" i="10" s="1"/>
  <c r="P73" i="10" a="1"/>
  <c r="P73" i="10" s="1"/>
  <c r="AF297" i="10" s="1"/>
  <c r="Q91" i="10" a="1"/>
  <c r="Q91" i="10" s="1"/>
  <c r="AG183" i="10" s="1"/>
  <c r="N91" i="10" a="1"/>
  <c r="N91" i="10" s="1"/>
  <c r="AD183" i="10" s="1"/>
  <c r="M92" i="10" a="1"/>
  <c r="M92" i="10" s="1"/>
  <c r="AC185" i="10" s="1"/>
  <c r="I90" i="10" a="1"/>
  <c r="I90" i="10" s="1"/>
  <c r="Y182" i="10" s="1"/>
  <c r="G91" i="10" a="1"/>
  <c r="G91" i="10" s="1"/>
  <c r="W183" i="10" s="1"/>
  <c r="J90" i="10" a="1"/>
  <c r="J90" i="10" s="1"/>
  <c r="Z182" i="10" s="1"/>
  <c r="N92" i="10" a="1"/>
  <c r="N92" i="10" s="1"/>
  <c r="AD185" i="10" s="1"/>
  <c r="L92" i="10" a="1"/>
  <c r="L92" i="10" s="1"/>
  <c r="AB185" i="10" s="1"/>
  <c r="P91" i="10" a="1"/>
  <c r="P91" i="10" s="1"/>
  <c r="AF183" i="10" s="1"/>
  <c r="J72" i="14"/>
  <c r="K72" i="14"/>
  <c r="H71" i="14"/>
  <c r="F72" i="14"/>
  <c r="I72" i="14"/>
  <c r="L72" i="14" s="1"/>
  <c r="S74" i="15"/>
  <c r="U75" i="15"/>
  <c r="V75" i="15" s="1"/>
  <c r="I76" i="15"/>
  <c r="AE76" i="15"/>
  <c r="K76" i="15"/>
  <c r="AJ76" i="15"/>
  <c r="E76" i="15"/>
  <c r="AO76" i="15"/>
  <c r="AF76" i="15"/>
  <c r="AK76" i="15"/>
  <c r="H76" i="15"/>
  <c r="W76" i="15"/>
  <c r="J76" i="15"/>
  <c r="L76" i="15"/>
  <c r="Y76" i="15"/>
  <c r="F76" i="15"/>
  <c r="AC76" i="15"/>
  <c r="G76" i="15"/>
  <c r="A77" i="15"/>
  <c r="M75" i="15"/>
  <c r="N75" i="15" s="1"/>
  <c r="O75" i="15" s="1"/>
  <c r="P75" i="15" s="1"/>
  <c r="Q75" i="15"/>
  <c r="R75" i="15" s="1"/>
  <c r="U27" i="6"/>
  <c r="W27" i="6"/>
  <c r="Y27" i="6"/>
  <c r="AB27" i="6"/>
  <c r="AG27" i="6"/>
  <c r="AH27" i="6"/>
  <c r="K27" i="6"/>
  <c r="R27" i="6"/>
  <c r="M27" i="6"/>
  <c r="D27" i="6"/>
  <c r="O27" i="6"/>
  <c r="H27" i="6"/>
  <c r="AC27" i="6"/>
  <c r="F27" i="6"/>
  <c r="Z27" i="6"/>
  <c r="C27" i="6"/>
  <c r="X27" i="6"/>
  <c r="B27" i="6"/>
  <c r="V27" i="6"/>
  <c r="E27" i="6"/>
  <c r="S27" i="6"/>
  <c r="G27" i="6"/>
  <c r="P27" i="6"/>
  <c r="N27" i="6"/>
  <c r="AI27" i="6"/>
  <c r="L27" i="6"/>
  <c r="AJ27" i="6"/>
  <c r="Q11" i="11"/>
  <c r="R11" i="11"/>
  <c r="S11" i="11"/>
  <c r="F11" i="11"/>
  <c r="E11" i="11"/>
  <c r="L11" i="11"/>
  <c r="M11" i="11"/>
  <c r="K11" i="11"/>
  <c r="N11" i="11"/>
  <c r="G11" i="11"/>
  <c r="O11" i="11"/>
  <c r="P11" i="11"/>
  <c r="H11" i="11"/>
  <c r="T11" i="11"/>
  <c r="U11" i="11"/>
  <c r="J11" i="11"/>
  <c r="I18" i="7"/>
  <c r="L18" i="7"/>
  <c r="N18" i="7"/>
  <c r="P18" i="7"/>
  <c r="R18" i="7"/>
  <c r="U18" i="7"/>
  <c r="X18" i="7"/>
  <c r="K19" i="7"/>
  <c r="A17" i="7"/>
  <c r="AB18" i="7"/>
  <c r="G18" i="7"/>
  <c r="E18" i="7"/>
  <c r="AA18" i="7"/>
  <c r="J18" i="7"/>
  <c r="D18" i="7"/>
  <c r="M18" i="7"/>
  <c r="F18" i="7"/>
  <c r="O18" i="7"/>
  <c r="Y18" i="7"/>
  <c r="Q18" i="7"/>
  <c r="B18" i="7"/>
  <c r="S18" i="7"/>
  <c r="V18" i="7"/>
  <c r="T18" i="7"/>
  <c r="H18" i="7"/>
  <c r="C18" i="7"/>
  <c r="W18" i="7"/>
  <c r="Z19" i="7"/>
  <c r="Q18" i="9"/>
  <c r="R18" i="9"/>
  <c r="N18" i="9"/>
  <c r="O18" i="9"/>
  <c r="P18" i="9"/>
  <c r="S18" i="9"/>
  <c r="AA18" i="9"/>
  <c r="M18" i="9"/>
  <c r="U18" i="9"/>
  <c r="AC18" i="9"/>
  <c r="V18" i="9"/>
  <c r="X18" i="9"/>
  <c r="W18" i="9"/>
  <c r="Y18" i="9"/>
  <c r="Z18" i="9"/>
  <c r="AB18" i="9"/>
  <c r="T18" i="9"/>
  <c r="N63" i="11"/>
  <c r="T63" i="11" s="1"/>
  <c r="E72" i="14"/>
  <c r="G72" i="14" s="1"/>
  <c r="H72" i="14" s="1"/>
  <c r="A73" i="14"/>
  <c r="B71" i="13"/>
  <c r="A72" i="13"/>
  <c r="Z44" i="9"/>
  <c r="AH48" i="6"/>
  <c r="AG48" i="6"/>
  <c r="AF49" i="6"/>
  <c r="AG49" i="6" s="1"/>
  <c r="AE49" i="6"/>
  <c r="AF27" i="6"/>
  <c r="AE27" i="6"/>
  <c r="Q64" i="11"/>
  <c r="R64" i="11"/>
  <c r="S64" i="11"/>
  <c r="K64" i="11"/>
  <c r="J64" i="11"/>
  <c r="M64" i="11" s="1"/>
  <c r="L64" i="11"/>
  <c r="O64" i="11" s="1"/>
  <c r="A10" i="11"/>
  <c r="I11" i="11"/>
  <c r="P65" i="11"/>
  <c r="I65" i="11"/>
  <c r="H65" i="11"/>
  <c r="E65" i="11"/>
  <c r="G65" i="11" s="1"/>
  <c r="A66" i="11"/>
  <c r="F66" i="11" s="1"/>
  <c r="AI45" i="6"/>
  <c r="AJ45" i="6" s="1"/>
  <c r="T27" i="6"/>
  <c r="R49" i="6"/>
  <c r="S49" i="6" s="1"/>
  <c r="T49" i="6"/>
  <c r="J49" i="6"/>
  <c r="O49" i="6"/>
  <c r="J27" i="6"/>
  <c r="B49" i="6"/>
  <c r="C49" i="6" s="1"/>
  <c r="D49" i="6"/>
  <c r="G18" i="9"/>
  <c r="H18" i="9"/>
  <c r="E18" i="9"/>
  <c r="I18" i="9"/>
  <c r="F18" i="9"/>
  <c r="G58" i="9"/>
  <c r="H58" i="9"/>
  <c r="E58" i="9"/>
  <c r="I58" i="9"/>
  <c r="J58" i="9" s="1"/>
  <c r="R58" i="9" s="1"/>
  <c r="F58" i="9"/>
  <c r="A59" i="9"/>
  <c r="A17" i="9"/>
  <c r="J17" i="9" s="1"/>
  <c r="X47" i="6"/>
  <c r="AC46" i="6"/>
  <c r="L47" i="6"/>
  <c r="N47" i="6"/>
  <c r="P47" i="6" s="1"/>
  <c r="G48" i="6"/>
  <c r="E48" i="6"/>
  <c r="W48" i="6"/>
  <c r="U48" i="6"/>
  <c r="V48" i="6" s="1"/>
  <c r="AB48" i="6"/>
  <c r="Y48" i="6"/>
  <c r="A50" i="6"/>
  <c r="A26" i="6"/>
  <c r="M48" i="6"/>
  <c r="K48" i="6"/>
  <c r="AB59" i="9"/>
  <c r="AC59" i="9"/>
  <c r="N59" i="9"/>
  <c r="O59" i="9"/>
  <c r="P59" i="9"/>
  <c r="Q59" i="9"/>
  <c r="AA59" i="9"/>
  <c r="AB87" i="7" l="1"/>
  <c r="M87" i="9" s="1"/>
  <c r="U59" i="9"/>
  <c r="U46" i="9"/>
  <c r="G88" i="7"/>
  <c r="J88" i="7" s="1"/>
  <c r="M88" i="7" s="1"/>
  <c r="O88" i="7" s="1"/>
  <c r="Q88" i="7" s="1"/>
  <c r="V88" i="7" s="1"/>
  <c r="Y88" i="7" s="1"/>
  <c r="AB88" i="7" s="1"/>
  <c r="M88" i="9" s="1"/>
  <c r="Z89" i="7"/>
  <c r="AA89" i="7" s="1"/>
  <c r="X89" i="7"/>
  <c r="A91" i="7"/>
  <c r="W90" i="7"/>
  <c r="H90" i="7"/>
  <c r="B90" i="7"/>
  <c r="R90" i="7"/>
  <c r="S90" i="7" s="1"/>
  <c r="C90" i="7"/>
  <c r="T90" i="7"/>
  <c r="U90" i="7" s="1"/>
  <c r="D89" i="7"/>
  <c r="E89" i="7" s="1"/>
  <c r="F89" i="7"/>
  <c r="I89" i="7"/>
  <c r="K89" i="7"/>
  <c r="L89" i="7" s="1"/>
  <c r="N89" i="7"/>
  <c r="P89" i="7"/>
  <c r="O82" i="16"/>
  <c r="P82" i="16"/>
  <c r="G81" i="16"/>
  <c r="R81" i="16" s="1"/>
  <c r="Q81" i="16"/>
  <c r="I83" i="16"/>
  <c r="B83" i="16"/>
  <c r="J83" i="16"/>
  <c r="A84" i="16"/>
  <c r="M83" i="16"/>
  <c r="K82" i="16"/>
  <c r="L82" i="16"/>
  <c r="C82" i="16"/>
  <c r="F82" i="16"/>
  <c r="T82" i="16" s="1"/>
  <c r="D82" i="16"/>
  <c r="E82" i="16"/>
  <c r="S82" i="16" s="1"/>
  <c r="U63" i="11"/>
  <c r="H79" i="16"/>
  <c r="Z79" i="16" s="1"/>
  <c r="Z47" i="6"/>
  <c r="AC47" i="6" s="1"/>
  <c r="F48" i="6"/>
  <c r="H48" i="6" s="1"/>
  <c r="V80" i="16"/>
  <c r="W80" i="16" s="1"/>
  <c r="Y80" i="16" s="1"/>
  <c r="X80" i="16" s="1"/>
  <c r="AE80" i="9" s="1"/>
  <c r="Q80" i="16"/>
  <c r="G80" i="16"/>
  <c r="R80" i="16" s="1"/>
  <c r="U81" i="16" s="1"/>
  <c r="V81" i="16" s="1"/>
  <c r="J73" i="14"/>
  <c r="K73" i="14"/>
  <c r="F73" i="14"/>
  <c r="I73" i="14"/>
  <c r="L73" i="14" s="1"/>
  <c r="S75" i="15"/>
  <c r="M76" i="15"/>
  <c r="N76" i="15" s="1"/>
  <c r="O76" i="15" s="1"/>
  <c r="P76" i="15" s="1"/>
  <c r="U76" i="15"/>
  <c r="V76" i="15" s="1"/>
  <c r="G77" i="15"/>
  <c r="Y77" i="15"/>
  <c r="I77" i="15"/>
  <c r="AE77" i="15"/>
  <c r="K77" i="15"/>
  <c r="AJ77" i="15"/>
  <c r="AF77" i="15"/>
  <c r="AK77" i="15"/>
  <c r="H77" i="15"/>
  <c r="E77" i="15"/>
  <c r="AC77" i="15"/>
  <c r="F77" i="15"/>
  <c r="AO77" i="15"/>
  <c r="J77" i="15"/>
  <c r="A78" i="15"/>
  <c r="L77" i="15"/>
  <c r="W77" i="15"/>
  <c r="Q76" i="15"/>
  <c r="R76" i="15" s="1"/>
  <c r="X17" i="7"/>
  <c r="I17" i="7"/>
  <c r="L17" i="7"/>
  <c r="N17" i="7"/>
  <c r="P17" i="7"/>
  <c r="R17" i="7"/>
  <c r="U17" i="7"/>
  <c r="D26" i="6"/>
  <c r="O26" i="6"/>
  <c r="U26" i="6"/>
  <c r="W26" i="6"/>
  <c r="Y26" i="6"/>
  <c r="AB26" i="6"/>
  <c r="AG26" i="6"/>
  <c r="AH26" i="6"/>
  <c r="K26" i="6"/>
  <c r="R26" i="6"/>
  <c r="M26" i="6"/>
  <c r="L26" i="6"/>
  <c r="AJ26" i="6"/>
  <c r="H26" i="6"/>
  <c r="AC26" i="6"/>
  <c r="F26" i="6"/>
  <c r="Z26" i="6"/>
  <c r="C26" i="6"/>
  <c r="X26" i="6"/>
  <c r="B26" i="6"/>
  <c r="V26" i="6"/>
  <c r="E26" i="6"/>
  <c r="S26" i="6"/>
  <c r="G26" i="6"/>
  <c r="P26" i="6"/>
  <c r="AI26" i="6"/>
  <c r="N26" i="6"/>
  <c r="R10" i="11"/>
  <c r="S10" i="11"/>
  <c r="F10" i="11"/>
  <c r="E10" i="11"/>
  <c r="K10" i="11"/>
  <c r="H10" i="11"/>
  <c r="G10" i="11"/>
  <c r="L10" i="11"/>
  <c r="M10" i="11"/>
  <c r="N10" i="11"/>
  <c r="O10" i="11"/>
  <c r="J10" i="11"/>
  <c r="P10" i="11"/>
  <c r="T10" i="11"/>
  <c r="Q10" i="11"/>
  <c r="U10" i="11"/>
  <c r="Z18" i="7"/>
  <c r="K18" i="7"/>
  <c r="A16" i="7"/>
  <c r="Y17" i="7"/>
  <c r="E17" i="7"/>
  <c r="AB17" i="7"/>
  <c r="G17" i="7"/>
  <c r="B17" i="7"/>
  <c r="AA17" i="7"/>
  <c r="J17" i="7"/>
  <c r="D17" i="7"/>
  <c r="M17" i="7"/>
  <c r="V17" i="7"/>
  <c r="F17" i="7"/>
  <c r="O17" i="7"/>
  <c r="Q17" i="7"/>
  <c r="S17" i="7"/>
  <c r="H17" i="7"/>
  <c r="T17" i="7"/>
  <c r="C17" i="7"/>
  <c r="W17" i="7"/>
  <c r="N17" i="9"/>
  <c r="O17" i="9"/>
  <c r="P17" i="9"/>
  <c r="Q17" i="9"/>
  <c r="R17" i="9"/>
  <c r="T17" i="9"/>
  <c r="AB17" i="9"/>
  <c r="V17" i="9"/>
  <c r="W17" i="9"/>
  <c r="X17" i="9"/>
  <c r="Y17" i="9"/>
  <c r="S17" i="9"/>
  <c r="U17" i="9"/>
  <c r="Z17" i="9"/>
  <c r="AA17" i="9"/>
  <c r="AC17" i="9"/>
  <c r="M17" i="9"/>
  <c r="N64" i="11"/>
  <c r="T64" i="11" s="1"/>
  <c r="A74" i="14"/>
  <c r="E73" i="14"/>
  <c r="G73" i="14" s="1"/>
  <c r="B72" i="13"/>
  <c r="A73" i="13"/>
  <c r="Z45" i="9"/>
  <c r="AH49" i="6"/>
  <c r="AF50" i="6"/>
  <c r="AG50" i="6" s="1"/>
  <c r="AE50" i="6"/>
  <c r="AF26" i="6"/>
  <c r="AE26" i="6"/>
  <c r="S65" i="11"/>
  <c r="R65" i="11"/>
  <c r="Q65" i="11"/>
  <c r="J65" i="11"/>
  <c r="M65" i="11" s="1"/>
  <c r="L65" i="11"/>
  <c r="O65" i="11" s="1"/>
  <c r="K65" i="11"/>
  <c r="P66" i="11"/>
  <c r="I66" i="11"/>
  <c r="H66" i="11"/>
  <c r="E66" i="11"/>
  <c r="G66" i="11" s="1"/>
  <c r="A67" i="11"/>
  <c r="F67" i="11" s="1"/>
  <c r="I10" i="11"/>
  <c r="A9" i="11"/>
  <c r="AI46" i="6"/>
  <c r="AJ46" i="6" s="1"/>
  <c r="T26" i="6"/>
  <c r="R50" i="6"/>
  <c r="S50" i="6" s="1"/>
  <c r="T50" i="6"/>
  <c r="J26" i="6"/>
  <c r="J50" i="6"/>
  <c r="O50" i="6"/>
  <c r="B50" i="6"/>
  <c r="C50" i="6" s="1"/>
  <c r="D50" i="6"/>
  <c r="H17" i="9"/>
  <c r="E17" i="9"/>
  <c r="I17" i="9"/>
  <c r="F17" i="9"/>
  <c r="G17" i="9"/>
  <c r="F59" i="9"/>
  <c r="G59" i="9"/>
  <c r="H59" i="9"/>
  <c r="I59" i="9"/>
  <c r="J59" i="9" s="1"/>
  <c r="R59" i="9" s="1"/>
  <c r="E59" i="9"/>
  <c r="A16" i="9"/>
  <c r="J16" i="9" s="1"/>
  <c r="A60" i="9"/>
  <c r="A51" i="6"/>
  <c r="X48" i="6"/>
  <c r="A25" i="6"/>
  <c r="W49" i="6"/>
  <c r="AB49" i="6"/>
  <c r="U49" i="6"/>
  <c r="V49" i="6" s="1"/>
  <c r="Y49" i="6"/>
  <c r="E49" i="6"/>
  <c r="G49" i="6"/>
  <c r="N48" i="6"/>
  <c r="P48" i="6" s="1"/>
  <c r="L48" i="6"/>
  <c r="K49" i="6"/>
  <c r="L49" i="6" s="1"/>
  <c r="M49" i="6"/>
  <c r="O60" i="9"/>
  <c r="P60" i="9"/>
  <c r="AC60" i="9"/>
  <c r="N60" i="9"/>
  <c r="AB60" i="9"/>
  <c r="AA60" i="9"/>
  <c r="Q60" i="9"/>
  <c r="U60" i="9" l="1"/>
  <c r="U47" i="9"/>
  <c r="G89" i="7"/>
  <c r="W81" i="16"/>
  <c r="Y81" i="16" s="1"/>
  <c r="X81" i="16" s="1"/>
  <c r="AE81" i="9" s="1"/>
  <c r="F90" i="7"/>
  <c r="D90" i="7"/>
  <c r="E90" i="7" s="1"/>
  <c r="N90" i="7"/>
  <c r="P90" i="7"/>
  <c r="I90" i="7"/>
  <c r="K90" i="7"/>
  <c r="L90" i="7" s="1"/>
  <c r="J89" i="7"/>
  <c r="M89" i="7" s="1"/>
  <c r="O89" i="7" s="1"/>
  <c r="Q89" i="7" s="1"/>
  <c r="V89" i="7" s="1"/>
  <c r="Y89" i="7" s="1"/>
  <c r="AB89" i="7" s="1"/>
  <c r="M89" i="9" s="1"/>
  <c r="X90" i="7"/>
  <c r="Z90" i="7"/>
  <c r="AA90" i="7" s="1"/>
  <c r="B91" i="7"/>
  <c r="R91" i="7"/>
  <c r="S91" i="7" s="1"/>
  <c r="C91" i="7"/>
  <c r="T91" i="7"/>
  <c r="U91" i="7" s="1"/>
  <c r="A92" i="7"/>
  <c r="W91" i="7"/>
  <c r="H91" i="7"/>
  <c r="U82" i="16"/>
  <c r="V82" i="16" s="1"/>
  <c r="W82" i="16" s="1"/>
  <c r="H81" i="16"/>
  <c r="Z81" i="16" s="1"/>
  <c r="P83" i="16"/>
  <c r="O83" i="16"/>
  <c r="I84" i="16"/>
  <c r="J84" i="16"/>
  <c r="M84" i="16"/>
  <c r="A85" i="16"/>
  <c r="B84" i="16"/>
  <c r="K83" i="16"/>
  <c r="L83" i="16"/>
  <c r="Q82" i="16"/>
  <c r="G82" i="16"/>
  <c r="H82" i="16" s="1"/>
  <c r="E83" i="16"/>
  <c r="S83" i="16" s="1"/>
  <c r="C83" i="16"/>
  <c r="D83" i="16"/>
  <c r="F83" i="16"/>
  <c r="T83" i="16" s="1"/>
  <c r="U64" i="11"/>
  <c r="Z48" i="6"/>
  <c r="F49" i="6"/>
  <c r="H49" i="6" s="1"/>
  <c r="H80" i="16"/>
  <c r="Z80" i="16" s="1"/>
  <c r="H73" i="14"/>
  <c r="J74" i="14"/>
  <c r="K74" i="14"/>
  <c r="F74" i="14"/>
  <c r="I74" i="14"/>
  <c r="L74" i="14" s="1"/>
  <c r="S76" i="15"/>
  <c r="Q77" i="15"/>
  <c r="R77" i="15" s="1"/>
  <c r="U77" i="15"/>
  <c r="V77" i="15" s="1"/>
  <c r="E78" i="15"/>
  <c r="AO78" i="15"/>
  <c r="G78" i="15"/>
  <c r="Y78" i="15"/>
  <c r="I78" i="15"/>
  <c r="AE78" i="15"/>
  <c r="L78" i="15"/>
  <c r="AF78" i="15"/>
  <c r="AJ78" i="15"/>
  <c r="H78" i="15"/>
  <c r="W78" i="15"/>
  <c r="AC78" i="15"/>
  <c r="AK78" i="15"/>
  <c r="A79" i="15"/>
  <c r="J78" i="15"/>
  <c r="K78" i="15"/>
  <c r="F78" i="15"/>
  <c r="M77" i="15"/>
  <c r="N77" i="15" s="1"/>
  <c r="O77" i="15" s="1"/>
  <c r="P77" i="15" s="1"/>
  <c r="U16" i="7"/>
  <c r="X16" i="7"/>
  <c r="I16" i="7"/>
  <c r="L16" i="7"/>
  <c r="N16" i="7"/>
  <c r="P16" i="7"/>
  <c r="R16" i="7"/>
  <c r="R25" i="6"/>
  <c r="M25" i="6"/>
  <c r="D25" i="6"/>
  <c r="O25" i="6"/>
  <c r="U25" i="6"/>
  <c r="W25" i="6"/>
  <c r="Y25" i="6"/>
  <c r="AB25" i="6"/>
  <c r="AG25" i="6"/>
  <c r="AH25" i="6"/>
  <c r="K25" i="6"/>
  <c r="N25" i="6"/>
  <c r="AI25" i="6"/>
  <c r="L25" i="6"/>
  <c r="AJ25" i="6"/>
  <c r="H25" i="6"/>
  <c r="AC25" i="6"/>
  <c r="F25" i="6"/>
  <c r="Z25" i="6"/>
  <c r="C25" i="6"/>
  <c r="X25" i="6"/>
  <c r="B25" i="6"/>
  <c r="V25" i="6"/>
  <c r="E25" i="6"/>
  <c r="S25" i="6"/>
  <c r="P25" i="6"/>
  <c r="G25" i="6"/>
  <c r="Q9" i="11"/>
  <c r="R9" i="11"/>
  <c r="S9" i="11"/>
  <c r="F9" i="11"/>
  <c r="J9" i="11"/>
  <c r="G9" i="11"/>
  <c r="E9" i="11"/>
  <c r="K9" i="11"/>
  <c r="H9" i="11"/>
  <c r="L9" i="11"/>
  <c r="M9" i="11"/>
  <c r="N9" i="11"/>
  <c r="O9" i="11"/>
  <c r="U9" i="11"/>
  <c r="P9" i="11"/>
  <c r="T9" i="11"/>
  <c r="A15" i="7"/>
  <c r="V16" i="7"/>
  <c r="B16" i="7"/>
  <c r="Y16" i="7"/>
  <c r="E16" i="7"/>
  <c r="AB16" i="7"/>
  <c r="G16" i="7"/>
  <c r="AA16" i="7"/>
  <c r="J16" i="7"/>
  <c r="D16" i="7"/>
  <c r="M16" i="7"/>
  <c r="S16" i="7"/>
  <c r="F16" i="7"/>
  <c r="O16" i="7"/>
  <c r="Q16" i="7"/>
  <c r="W16" i="7"/>
  <c r="C16" i="7"/>
  <c r="H16" i="7"/>
  <c r="T16" i="7"/>
  <c r="K17" i="7"/>
  <c r="Z17" i="7"/>
  <c r="N16" i="9"/>
  <c r="O16" i="9"/>
  <c r="P16" i="9"/>
  <c r="Q16" i="9"/>
  <c r="R16" i="9"/>
  <c r="M16" i="9"/>
  <c r="U16" i="9"/>
  <c r="AC16" i="9"/>
  <c r="W16" i="9"/>
  <c r="X16" i="9"/>
  <c r="Y16" i="9"/>
  <c r="Z16" i="9"/>
  <c r="S16" i="9"/>
  <c r="T16" i="9"/>
  <c r="V16" i="9"/>
  <c r="AA16" i="9"/>
  <c r="AB16" i="9"/>
  <c r="N65" i="11"/>
  <c r="T65" i="11" s="1"/>
  <c r="A75" i="14"/>
  <c r="E74" i="14"/>
  <c r="G74" i="14" s="1"/>
  <c r="H74" i="14" s="1"/>
  <c r="Z46" i="9"/>
  <c r="A74" i="13"/>
  <c r="B73" i="13"/>
  <c r="AH50" i="6"/>
  <c r="AF51" i="6"/>
  <c r="AE51" i="6"/>
  <c r="AF25" i="6"/>
  <c r="AE25" i="6"/>
  <c r="S66" i="11"/>
  <c r="R66" i="11"/>
  <c r="Q66" i="11"/>
  <c r="L66" i="11"/>
  <c r="O66" i="11" s="1"/>
  <c r="K66" i="11"/>
  <c r="J66" i="11"/>
  <c r="M66" i="11" s="1"/>
  <c r="P67" i="11"/>
  <c r="I67" i="11"/>
  <c r="H67" i="11"/>
  <c r="E67" i="11"/>
  <c r="G67" i="11" s="1"/>
  <c r="A68" i="11"/>
  <c r="F68" i="11" s="1"/>
  <c r="I9" i="11"/>
  <c r="A8" i="11"/>
  <c r="AI47" i="6"/>
  <c r="AJ47" i="6" s="1"/>
  <c r="R51" i="6"/>
  <c r="S51" i="6" s="1"/>
  <c r="T51" i="6"/>
  <c r="T25" i="6"/>
  <c r="J51" i="6"/>
  <c r="O51" i="6"/>
  <c r="J25" i="6"/>
  <c r="B51" i="6"/>
  <c r="C51" i="6" s="1"/>
  <c r="D51" i="6"/>
  <c r="E16" i="9"/>
  <c r="I16" i="9"/>
  <c r="F16" i="9"/>
  <c r="G16" i="9"/>
  <c r="H16" i="9"/>
  <c r="E60" i="9"/>
  <c r="I60" i="9"/>
  <c r="J60" i="9" s="1"/>
  <c r="R60" i="9" s="1"/>
  <c r="F60" i="9"/>
  <c r="G60" i="9"/>
  <c r="H60" i="9"/>
  <c r="A15" i="9"/>
  <c r="J15" i="9" s="1"/>
  <c r="A61" i="9"/>
  <c r="A52" i="6"/>
  <c r="AC48" i="6"/>
  <c r="E50" i="6"/>
  <c r="G50" i="6"/>
  <c r="X49" i="6"/>
  <c r="A24" i="6"/>
  <c r="M50" i="6"/>
  <c r="K50" i="6"/>
  <c r="AB50" i="6"/>
  <c r="Y50" i="6"/>
  <c r="W50" i="6"/>
  <c r="U50" i="6"/>
  <c r="V50" i="6" s="1"/>
  <c r="N49" i="6"/>
  <c r="P49" i="6" s="1"/>
  <c r="Q61" i="9"/>
  <c r="N61" i="9"/>
  <c r="P61" i="9"/>
  <c r="AB61" i="9"/>
  <c r="O61" i="9"/>
  <c r="AA61" i="9"/>
  <c r="AC61" i="9"/>
  <c r="U61" i="9" l="1"/>
  <c r="U48" i="9"/>
  <c r="Y82" i="16"/>
  <c r="X82" i="16" s="1"/>
  <c r="AE82" i="9" s="1"/>
  <c r="G90" i="7"/>
  <c r="J90" i="7" s="1"/>
  <c r="M90" i="7" s="1"/>
  <c r="O90" i="7" s="1"/>
  <c r="Q90" i="7" s="1"/>
  <c r="V90" i="7" s="1"/>
  <c r="Y90" i="7" s="1"/>
  <c r="AB90" i="7" s="1"/>
  <c r="M90" i="9" s="1"/>
  <c r="A93" i="7"/>
  <c r="W92" i="7"/>
  <c r="H92" i="7"/>
  <c r="B92" i="7"/>
  <c r="R92" i="7"/>
  <c r="S92" i="7" s="1"/>
  <c r="C92" i="7"/>
  <c r="T92" i="7"/>
  <c r="U92" i="7" s="1"/>
  <c r="D91" i="7"/>
  <c r="E91" i="7" s="1"/>
  <c r="F91" i="7"/>
  <c r="I91" i="7"/>
  <c r="K91" i="7"/>
  <c r="L91" i="7" s="1"/>
  <c r="N91" i="7"/>
  <c r="P91" i="7"/>
  <c r="Z91" i="7"/>
  <c r="AA91" i="7" s="1"/>
  <c r="X91" i="7"/>
  <c r="R82" i="16"/>
  <c r="U83" i="16" s="1"/>
  <c r="V83" i="16" s="1"/>
  <c r="W83" i="16" s="1"/>
  <c r="Y83" i="16" s="1"/>
  <c r="Q83" i="16"/>
  <c r="G83" i="16"/>
  <c r="H83" i="16" s="1"/>
  <c r="D84" i="16"/>
  <c r="C84" i="16"/>
  <c r="E84" i="16"/>
  <c r="S84" i="16" s="1"/>
  <c r="F84" i="16"/>
  <c r="T84" i="16" s="1"/>
  <c r="B85" i="16"/>
  <c r="I85" i="16"/>
  <c r="J85" i="16"/>
  <c r="M85" i="16"/>
  <c r="A86" i="16"/>
  <c r="P84" i="16"/>
  <c r="O84" i="16"/>
  <c r="L84" i="16"/>
  <c r="K84" i="16"/>
  <c r="U65" i="11"/>
  <c r="Z49" i="6"/>
  <c r="F50" i="6"/>
  <c r="J75" i="14"/>
  <c r="K75" i="14"/>
  <c r="F75" i="14"/>
  <c r="I75" i="14"/>
  <c r="L75" i="14" s="1"/>
  <c r="S77" i="15"/>
  <c r="M78" i="15"/>
  <c r="N78" i="15" s="1"/>
  <c r="O78" i="15" s="1"/>
  <c r="P78" i="15" s="1"/>
  <c r="U78" i="15"/>
  <c r="V78" i="15" s="1"/>
  <c r="K79" i="15"/>
  <c r="AJ79" i="15"/>
  <c r="E79" i="15"/>
  <c r="AO79" i="15"/>
  <c r="G79" i="15"/>
  <c r="Y79" i="15"/>
  <c r="L79" i="15"/>
  <c r="AE79" i="15"/>
  <c r="AF79" i="15"/>
  <c r="H79" i="15"/>
  <c r="W79" i="15"/>
  <c r="F79" i="15"/>
  <c r="AK79" i="15"/>
  <c r="I79" i="15"/>
  <c r="A80" i="15"/>
  <c r="A81" i="15" s="1"/>
  <c r="J79" i="15"/>
  <c r="AC79" i="15"/>
  <c r="Q78" i="15"/>
  <c r="R78" i="15" s="1"/>
  <c r="AH24" i="6"/>
  <c r="K24" i="6"/>
  <c r="R24" i="6"/>
  <c r="M24" i="6"/>
  <c r="D24" i="6"/>
  <c r="O24" i="6"/>
  <c r="U24" i="6"/>
  <c r="W24" i="6"/>
  <c r="Y24" i="6"/>
  <c r="AB24" i="6"/>
  <c r="AG24" i="6"/>
  <c r="G24" i="6"/>
  <c r="P24" i="6"/>
  <c r="N24" i="6"/>
  <c r="AI24" i="6"/>
  <c r="L24" i="6"/>
  <c r="AJ24" i="6"/>
  <c r="H24" i="6"/>
  <c r="AC24" i="6"/>
  <c r="F24" i="6"/>
  <c r="Z24" i="6"/>
  <c r="C24" i="6"/>
  <c r="X24" i="6"/>
  <c r="B24" i="6"/>
  <c r="V24" i="6"/>
  <c r="S24" i="6"/>
  <c r="E24" i="6"/>
  <c r="R15" i="7"/>
  <c r="U15" i="7"/>
  <c r="X15" i="7"/>
  <c r="I15" i="7"/>
  <c r="L15" i="7"/>
  <c r="N15" i="7"/>
  <c r="P15" i="7"/>
  <c r="E8" i="11"/>
  <c r="Q8" i="11"/>
  <c r="R8" i="11"/>
  <c r="S8" i="11"/>
  <c r="U8" i="11"/>
  <c r="J8" i="11"/>
  <c r="G8" i="11"/>
  <c r="K8" i="11"/>
  <c r="H8" i="11"/>
  <c r="T8" i="11"/>
  <c r="L8" i="11"/>
  <c r="M8" i="11"/>
  <c r="N8" i="11"/>
  <c r="F8" i="11"/>
  <c r="O8" i="11"/>
  <c r="P8" i="11"/>
  <c r="Z16" i="7"/>
  <c r="K16" i="7"/>
  <c r="A14" i="7"/>
  <c r="S15" i="7"/>
  <c r="V15" i="7"/>
  <c r="B15" i="7"/>
  <c r="Y15" i="7"/>
  <c r="E15" i="7"/>
  <c r="Q15" i="7"/>
  <c r="AB15" i="7"/>
  <c r="G15" i="7"/>
  <c r="AA15" i="7"/>
  <c r="J15" i="7"/>
  <c r="D15" i="7"/>
  <c r="M15" i="7"/>
  <c r="F15" i="7"/>
  <c r="O15" i="7"/>
  <c r="C15" i="7"/>
  <c r="H15" i="7"/>
  <c r="T15" i="7"/>
  <c r="W15" i="7"/>
  <c r="P15" i="9"/>
  <c r="Q15" i="9"/>
  <c r="R15" i="9"/>
  <c r="N15" i="9"/>
  <c r="O15" i="9"/>
  <c r="V15" i="9"/>
  <c r="X15" i="9"/>
  <c r="Y15" i="9"/>
  <c r="AA15" i="9"/>
  <c r="Z15" i="9"/>
  <c r="S15" i="9"/>
  <c r="M15" i="9"/>
  <c r="T15" i="9"/>
  <c r="U15" i="9"/>
  <c r="AC15" i="9"/>
  <c r="W15" i="9"/>
  <c r="AB15" i="9"/>
  <c r="N66" i="11"/>
  <c r="T66" i="11" s="1"/>
  <c r="A76" i="14"/>
  <c r="E75" i="14"/>
  <c r="G75" i="14" s="1"/>
  <c r="Z47" i="9"/>
  <c r="A75" i="13"/>
  <c r="B74" i="13"/>
  <c r="AH51" i="6"/>
  <c r="AG51" i="6"/>
  <c r="AF24" i="6"/>
  <c r="AE24" i="6"/>
  <c r="AF52" i="6"/>
  <c r="AE52" i="6"/>
  <c r="S67" i="11"/>
  <c r="R67" i="11"/>
  <c r="Q67" i="11"/>
  <c r="L67" i="11"/>
  <c r="O67" i="11" s="1"/>
  <c r="K67" i="11"/>
  <c r="J67" i="11"/>
  <c r="M67" i="11" s="1"/>
  <c r="A69" i="11"/>
  <c r="F69" i="11" s="1"/>
  <c r="P68" i="11"/>
  <c r="I68" i="11"/>
  <c r="H68" i="11"/>
  <c r="E68" i="11"/>
  <c r="G68" i="11" s="1"/>
  <c r="A7" i="11"/>
  <c r="I8" i="11"/>
  <c r="AI48" i="6"/>
  <c r="AJ48" i="6" s="1"/>
  <c r="T24" i="6"/>
  <c r="R52" i="6"/>
  <c r="S52" i="6" s="1"/>
  <c r="T52" i="6"/>
  <c r="J52" i="6"/>
  <c r="O52" i="6"/>
  <c r="J24" i="6"/>
  <c r="B52" i="6"/>
  <c r="C52" i="6" s="1"/>
  <c r="D52" i="6"/>
  <c r="F15" i="9"/>
  <c r="G15" i="9"/>
  <c r="H15" i="9"/>
  <c r="E15" i="9"/>
  <c r="I15" i="9"/>
  <c r="H61" i="9"/>
  <c r="E61" i="9"/>
  <c r="I61" i="9"/>
  <c r="J61" i="9" s="1"/>
  <c r="R61" i="9" s="1"/>
  <c r="F61" i="9"/>
  <c r="G61" i="9"/>
  <c r="A14" i="9"/>
  <c r="J14" i="9" s="1"/>
  <c r="A62" i="9"/>
  <c r="G51" i="6"/>
  <c r="E51" i="6"/>
  <c r="Y51" i="6"/>
  <c r="U51" i="6"/>
  <c r="V51" i="6" s="1"/>
  <c r="AB51" i="6"/>
  <c r="W51" i="6"/>
  <c r="M51" i="6"/>
  <c r="K51" i="6"/>
  <c r="L51" i="6" s="1"/>
  <c r="A53" i="6"/>
  <c r="X50" i="6"/>
  <c r="H50" i="6"/>
  <c r="AC49" i="6"/>
  <c r="A23" i="6"/>
  <c r="N50" i="6"/>
  <c r="P50" i="6" s="1"/>
  <c r="L50" i="6"/>
  <c r="Q62" i="9"/>
  <c r="P62" i="9"/>
  <c r="AB62" i="9"/>
  <c r="AC62" i="9"/>
  <c r="N62" i="9"/>
  <c r="O62" i="9"/>
  <c r="AA62" i="9"/>
  <c r="X83" i="16" l="1"/>
  <c r="AE83" i="9" s="1"/>
  <c r="U62" i="9"/>
  <c r="G91" i="7"/>
  <c r="J91" i="7" s="1"/>
  <c r="M91" i="7" s="1"/>
  <c r="O91" i="7" s="1"/>
  <c r="Q91" i="7" s="1"/>
  <c r="V91" i="7" s="1"/>
  <c r="Y91" i="7" s="1"/>
  <c r="AB91" i="7" s="1"/>
  <c r="M91" i="9" s="1"/>
  <c r="F92" i="7"/>
  <c r="D92" i="7"/>
  <c r="E92" i="7" s="1"/>
  <c r="N92" i="7"/>
  <c r="P92" i="7"/>
  <c r="I92" i="7"/>
  <c r="K92" i="7"/>
  <c r="L92" i="7" s="1"/>
  <c r="X92" i="7"/>
  <c r="Z92" i="7"/>
  <c r="AA92" i="7" s="1"/>
  <c r="B93" i="7"/>
  <c r="R93" i="7"/>
  <c r="S93" i="7" s="1"/>
  <c r="C93" i="7"/>
  <c r="T93" i="7"/>
  <c r="U93" i="7" s="1"/>
  <c r="A94" i="7"/>
  <c r="W93" i="7"/>
  <c r="H93" i="7"/>
  <c r="R83" i="16"/>
  <c r="U84" i="16" s="1"/>
  <c r="V84" i="16" s="1"/>
  <c r="W84" i="16" s="1"/>
  <c r="Y84" i="16" s="1"/>
  <c r="X84" i="16" s="1"/>
  <c r="AE84" i="9" s="1"/>
  <c r="C85" i="16"/>
  <c r="D85" i="16"/>
  <c r="E85" i="16"/>
  <c r="S85" i="16" s="1"/>
  <c r="F85" i="16"/>
  <c r="T85" i="16" s="1"/>
  <c r="Q84" i="16"/>
  <c r="G84" i="16"/>
  <c r="H84" i="16" s="1"/>
  <c r="B86" i="16"/>
  <c r="J86" i="16"/>
  <c r="A87" i="16"/>
  <c r="I86" i="16"/>
  <c r="M86" i="16"/>
  <c r="P85" i="16"/>
  <c r="O85" i="16"/>
  <c r="K85" i="16"/>
  <c r="L85" i="16"/>
  <c r="Z82" i="16"/>
  <c r="L81" i="15"/>
  <c r="AK81" i="15"/>
  <c r="E81" i="15"/>
  <c r="AO81" i="15"/>
  <c r="F81" i="15"/>
  <c r="W81" i="15"/>
  <c r="A82" i="15"/>
  <c r="G81" i="15"/>
  <c r="Y81" i="15"/>
  <c r="H81" i="15"/>
  <c r="AC81" i="15"/>
  <c r="I81" i="15"/>
  <c r="AE81" i="15"/>
  <c r="J81" i="15"/>
  <c r="AF81" i="15"/>
  <c r="K81" i="15"/>
  <c r="AJ81" i="15"/>
  <c r="H75" i="14"/>
  <c r="U66" i="11"/>
  <c r="Z50" i="6"/>
  <c r="AC50" i="6" s="1"/>
  <c r="F51" i="6"/>
  <c r="H51" i="6" s="1"/>
  <c r="J76" i="14"/>
  <c r="K76" i="14"/>
  <c r="F76" i="14"/>
  <c r="I76" i="14"/>
  <c r="L76" i="14" s="1"/>
  <c r="I80" i="15"/>
  <c r="AE80" i="15"/>
  <c r="K80" i="15"/>
  <c r="AJ80" i="15"/>
  <c r="E80" i="15"/>
  <c r="AO80" i="15"/>
  <c r="L80" i="15"/>
  <c r="AC80" i="15"/>
  <c r="AF80" i="15"/>
  <c r="G80" i="15"/>
  <c r="H80" i="15"/>
  <c r="J80" i="15"/>
  <c r="W80" i="15"/>
  <c r="Y80" i="15"/>
  <c r="F80" i="15"/>
  <c r="AK80" i="15"/>
  <c r="U79" i="15"/>
  <c r="V79" i="15" s="1"/>
  <c r="Q79" i="15"/>
  <c r="R79" i="15" s="1"/>
  <c r="S78" i="15"/>
  <c r="M79" i="15"/>
  <c r="N79" i="15" s="1"/>
  <c r="O79" i="15" s="1"/>
  <c r="P79" i="15" s="1"/>
  <c r="AG23" i="6"/>
  <c r="AH23" i="6"/>
  <c r="K23" i="6"/>
  <c r="R23" i="6"/>
  <c r="M23" i="6"/>
  <c r="D23" i="6"/>
  <c r="O23" i="6"/>
  <c r="U23" i="6"/>
  <c r="W23" i="6"/>
  <c r="Y23" i="6"/>
  <c r="AB23" i="6"/>
  <c r="E23" i="6"/>
  <c r="S23" i="6"/>
  <c r="G23" i="6"/>
  <c r="P23" i="6"/>
  <c r="N23" i="6"/>
  <c r="AI23" i="6"/>
  <c r="L23" i="6"/>
  <c r="AJ23" i="6"/>
  <c r="H23" i="6"/>
  <c r="AC23" i="6"/>
  <c r="F23" i="6"/>
  <c r="Z23" i="6"/>
  <c r="C23" i="6"/>
  <c r="X23" i="6"/>
  <c r="V23" i="6"/>
  <c r="B23" i="6"/>
  <c r="F7" i="11"/>
  <c r="E7" i="11"/>
  <c r="R7" i="11"/>
  <c r="T7" i="11"/>
  <c r="Q7" i="11"/>
  <c r="S7" i="11"/>
  <c r="U7" i="11"/>
  <c r="J7" i="11"/>
  <c r="G7" i="11"/>
  <c r="K7" i="11"/>
  <c r="H7" i="11"/>
  <c r="L7" i="11"/>
  <c r="M7" i="11"/>
  <c r="N7" i="11"/>
  <c r="P7" i="11"/>
  <c r="O7" i="11"/>
  <c r="P14" i="7"/>
  <c r="R14" i="7"/>
  <c r="U14" i="7"/>
  <c r="X14" i="7"/>
  <c r="I14" i="7"/>
  <c r="L14" i="7"/>
  <c r="N14" i="7"/>
  <c r="K15" i="7"/>
  <c r="A13" i="7"/>
  <c r="Q14" i="7"/>
  <c r="S14" i="7"/>
  <c r="V14" i="7"/>
  <c r="B14" i="7"/>
  <c r="Y14" i="7"/>
  <c r="E14" i="7"/>
  <c r="O14" i="7"/>
  <c r="AB14" i="7"/>
  <c r="G14" i="7"/>
  <c r="AA14" i="7"/>
  <c r="J14" i="7"/>
  <c r="F14" i="7"/>
  <c r="D14" i="7"/>
  <c r="M14" i="7"/>
  <c r="T14" i="7"/>
  <c r="H14" i="7"/>
  <c r="C14" i="7"/>
  <c r="W14" i="7"/>
  <c r="Z15" i="7"/>
  <c r="N14" i="9"/>
  <c r="O14" i="9"/>
  <c r="P14" i="9"/>
  <c r="Q14" i="9"/>
  <c r="R14" i="9"/>
  <c r="W14" i="9"/>
  <c r="Y14" i="9"/>
  <c r="Z14" i="9"/>
  <c r="AB14" i="9"/>
  <c r="S14" i="9"/>
  <c r="AA14" i="9"/>
  <c r="T14" i="9"/>
  <c r="AC14" i="9"/>
  <c r="M14" i="9"/>
  <c r="U14" i="9"/>
  <c r="V14" i="9"/>
  <c r="X14" i="9"/>
  <c r="N67" i="11"/>
  <c r="T67" i="11" s="1"/>
  <c r="E76" i="14"/>
  <c r="G76" i="14" s="1"/>
  <c r="A77" i="14"/>
  <c r="Z48" i="9"/>
  <c r="B75" i="13"/>
  <c r="A76" i="13"/>
  <c r="AH52" i="6"/>
  <c r="AG52" i="6"/>
  <c r="AF23" i="6"/>
  <c r="AE23" i="6"/>
  <c r="AF53" i="6"/>
  <c r="AE53" i="6"/>
  <c r="S68" i="11"/>
  <c r="R68" i="11"/>
  <c r="Q68" i="11"/>
  <c r="L68" i="11"/>
  <c r="O68" i="11" s="1"/>
  <c r="K68" i="11"/>
  <c r="J68" i="11"/>
  <c r="M68" i="11" s="1"/>
  <c r="A70" i="11"/>
  <c r="F70" i="11" s="1"/>
  <c r="P69" i="11"/>
  <c r="I69" i="11"/>
  <c r="H69" i="11"/>
  <c r="E69" i="11"/>
  <c r="G69" i="11" s="1"/>
  <c r="I7" i="11"/>
  <c r="AI49" i="6"/>
  <c r="AJ49" i="6" s="1"/>
  <c r="Z49" i="9" s="1"/>
  <c r="T23" i="6"/>
  <c r="R53" i="6"/>
  <c r="S53" i="6" s="1"/>
  <c r="T53" i="6"/>
  <c r="J23" i="6"/>
  <c r="J53" i="6"/>
  <c r="O53" i="6"/>
  <c r="B53" i="6"/>
  <c r="C53" i="6" s="1"/>
  <c r="D53" i="6"/>
  <c r="G14" i="9"/>
  <c r="H14" i="9"/>
  <c r="E14" i="9"/>
  <c r="I14" i="9"/>
  <c r="F14" i="9"/>
  <c r="G62" i="9"/>
  <c r="H62" i="9"/>
  <c r="E62" i="9"/>
  <c r="I62" i="9"/>
  <c r="J62" i="9" s="1"/>
  <c r="R62" i="9" s="1"/>
  <c r="F62" i="9"/>
  <c r="A13" i="9"/>
  <c r="J13" i="9" s="1"/>
  <c r="A63" i="9"/>
  <c r="X51" i="6"/>
  <c r="A54" i="6"/>
  <c r="Y52" i="6"/>
  <c r="AB52" i="6"/>
  <c r="W52" i="6"/>
  <c r="U52" i="6"/>
  <c r="V52" i="6" s="1"/>
  <c r="K52" i="6"/>
  <c r="M52" i="6"/>
  <c r="G52" i="6"/>
  <c r="E52" i="6"/>
  <c r="N51" i="6"/>
  <c r="P51" i="6" s="1"/>
  <c r="A22" i="6"/>
  <c r="N63" i="9"/>
  <c r="AC63" i="9"/>
  <c r="Q63" i="9"/>
  <c r="O63" i="9"/>
  <c r="P63" i="9"/>
  <c r="AA63" i="9"/>
  <c r="AB63" i="9"/>
  <c r="U63" i="9" l="1"/>
  <c r="G92" i="7"/>
  <c r="Z93" i="7"/>
  <c r="AA93" i="7" s="1"/>
  <c r="X93" i="7"/>
  <c r="A95" i="7"/>
  <c r="W94" i="7"/>
  <c r="H94" i="7"/>
  <c r="B94" i="7"/>
  <c r="R94" i="7"/>
  <c r="S94" i="7" s="1"/>
  <c r="C94" i="7"/>
  <c r="T94" i="7"/>
  <c r="U94" i="7" s="1"/>
  <c r="D93" i="7"/>
  <c r="E93" i="7" s="1"/>
  <c r="F93" i="7"/>
  <c r="I93" i="7"/>
  <c r="K93" i="7"/>
  <c r="L93" i="7" s="1"/>
  <c r="N93" i="7"/>
  <c r="P93" i="7"/>
  <c r="J92" i="7"/>
  <c r="M92" i="7" s="1"/>
  <c r="O92" i="7" s="1"/>
  <c r="Q92" i="7" s="1"/>
  <c r="V92" i="7" s="1"/>
  <c r="Y92" i="7" s="1"/>
  <c r="AB92" i="7" s="1"/>
  <c r="M92" i="9" s="1"/>
  <c r="Z83" i="16"/>
  <c r="O86" i="16"/>
  <c r="P86" i="16"/>
  <c r="M87" i="16"/>
  <c r="I87" i="16"/>
  <c r="J87" i="16"/>
  <c r="A88" i="16"/>
  <c r="B87" i="16"/>
  <c r="K86" i="16"/>
  <c r="L86" i="16"/>
  <c r="F86" i="16"/>
  <c r="T86" i="16" s="1"/>
  <c r="D86" i="16"/>
  <c r="E86" i="16"/>
  <c r="S86" i="16" s="1"/>
  <c r="C86" i="16"/>
  <c r="G85" i="16"/>
  <c r="R85" i="16" s="1"/>
  <c r="Q85" i="16"/>
  <c r="R84" i="16"/>
  <c r="U85" i="16" s="1"/>
  <c r="V85" i="16" s="1"/>
  <c r="W85" i="16" s="1"/>
  <c r="Y85" i="16" s="1"/>
  <c r="X85" i="16" s="1"/>
  <c r="AE85" i="9" s="1"/>
  <c r="J82" i="15"/>
  <c r="AF82" i="15"/>
  <c r="K82" i="15"/>
  <c r="AJ82" i="15"/>
  <c r="L82" i="15"/>
  <c r="AK82" i="15"/>
  <c r="E82" i="15"/>
  <c r="AO82" i="15"/>
  <c r="F82" i="15"/>
  <c r="W82" i="15"/>
  <c r="A83" i="15"/>
  <c r="G82" i="15"/>
  <c r="Y82" i="15"/>
  <c r="H82" i="15"/>
  <c r="AC82" i="15"/>
  <c r="AE82" i="15"/>
  <c r="I82" i="15"/>
  <c r="M81" i="15"/>
  <c r="N81" i="15" s="1"/>
  <c r="O81" i="15" s="1"/>
  <c r="P81" i="15" s="1"/>
  <c r="Q81" i="15"/>
  <c r="R81" i="15" s="1"/>
  <c r="U81" i="15"/>
  <c r="V81" i="15" s="1"/>
  <c r="H76" i="14"/>
  <c r="U67" i="11"/>
  <c r="Z51" i="6"/>
  <c r="AC51" i="6" s="1"/>
  <c r="F52" i="6"/>
  <c r="K77" i="14"/>
  <c r="J77" i="14"/>
  <c r="F77" i="14"/>
  <c r="I77" i="14"/>
  <c r="L77" i="14" s="1"/>
  <c r="S79" i="15"/>
  <c r="M80" i="15"/>
  <c r="N80" i="15" s="1"/>
  <c r="O80" i="15" s="1"/>
  <c r="P80" i="15" s="1"/>
  <c r="U80" i="15"/>
  <c r="V80" i="15" s="1"/>
  <c r="Q80" i="15"/>
  <c r="R80" i="15" s="1"/>
  <c r="AB22" i="6"/>
  <c r="AG22" i="6"/>
  <c r="AH22" i="6"/>
  <c r="K22" i="6"/>
  <c r="R22" i="6"/>
  <c r="M22" i="6"/>
  <c r="D22" i="6"/>
  <c r="O22" i="6"/>
  <c r="U22" i="6"/>
  <c r="W22" i="6"/>
  <c r="Y22" i="6"/>
  <c r="B22" i="6"/>
  <c r="V22" i="6"/>
  <c r="E22" i="6"/>
  <c r="S22" i="6"/>
  <c r="G22" i="6"/>
  <c r="P22" i="6"/>
  <c r="N22" i="6"/>
  <c r="AI22" i="6"/>
  <c r="L22" i="6"/>
  <c r="AJ22" i="6"/>
  <c r="H22" i="6"/>
  <c r="AC22" i="6"/>
  <c r="F22" i="6"/>
  <c r="Z22" i="6"/>
  <c r="X22" i="6"/>
  <c r="C22" i="6"/>
  <c r="N13" i="7"/>
  <c r="P13" i="7"/>
  <c r="R13" i="7"/>
  <c r="U13" i="7"/>
  <c r="X13" i="7"/>
  <c r="I13" i="7"/>
  <c r="L13" i="7"/>
  <c r="K14" i="7"/>
  <c r="A12" i="7"/>
  <c r="F13" i="7"/>
  <c r="O13" i="7"/>
  <c r="Q13" i="7"/>
  <c r="D13" i="7"/>
  <c r="M13" i="7"/>
  <c r="S13" i="7"/>
  <c r="V13" i="7"/>
  <c r="B13" i="7"/>
  <c r="Y13" i="7"/>
  <c r="E13" i="7"/>
  <c r="AB13" i="7"/>
  <c r="G13" i="7"/>
  <c r="AA13" i="7"/>
  <c r="J13" i="7"/>
  <c r="T13" i="7"/>
  <c r="C13" i="7"/>
  <c r="W13" i="7"/>
  <c r="H13" i="7"/>
  <c r="Z14" i="7"/>
  <c r="R13" i="9"/>
  <c r="N13" i="9"/>
  <c r="O13" i="9"/>
  <c r="P13" i="9"/>
  <c r="Q13" i="9"/>
  <c r="X13" i="9"/>
  <c r="Z13" i="9"/>
  <c r="S13" i="9"/>
  <c r="AA13" i="9"/>
  <c r="M13" i="9"/>
  <c r="AC13" i="9"/>
  <c r="T13" i="9"/>
  <c r="AB13" i="9"/>
  <c r="U13" i="9"/>
  <c r="W13" i="9"/>
  <c r="Y13" i="9"/>
  <c r="V13" i="9"/>
  <c r="N68" i="11"/>
  <c r="T68" i="11" s="1"/>
  <c r="A78" i="14"/>
  <c r="E77" i="14"/>
  <c r="G77" i="14" s="1"/>
  <c r="H77" i="14" s="1"/>
  <c r="B76" i="13"/>
  <c r="A77" i="13"/>
  <c r="AH53" i="6"/>
  <c r="AG53" i="6"/>
  <c r="AF22" i="6"/>
  <c r="AE22" i="6"/>
  <c r="AF54" i="6"/>
  <c r="AE54" i="6"/>
  <c r="R69" i="11"/>
  <c r="Q69" i="11"/>
  <c r="S69" i="11"/>
  <c r="L69" i="11"/>
  <c r="O69" i="11" s="1"/>
  <c r="K69" i="11"/>
  <c r="J69" i="11"/>
  <c r="M69" i="11" s="1"/>
  <c r="E70" i="11"/>
  <c r="G70" i="11" s="1"/>
  <c r="A71" i="11"/>
  <c r="F71" i="11" s="1"/>
  <c r="P70" i="11"/>
  <c r="I70" i="11"/>
  <c r="H70" i="11"/>
  <c r="AI50" i="6"/>
  <c r="AJ50" i="6" s="1"/>
  <c r="Z50" i="9" s="1"/>
  <c r="T22" i="6"/>
  <c r="R54" i="6"/>
  <c r="S54" i="6" s="1"/>
  <c r="T54" i="6"/>
  <c r="J54" i="6"/>
  <c r="O54" i="6"/>
  <c r="J22" i="6"/>
  <c r="B54" i="6"/>
  <c r="C54" i="6" s="1"/>
  <c r="D54" i="6"/>
  <c r="F63" i="9"/>
  <c r="G63" i="9"/>
  <c r="H63" i="9"/>
  <c r="E63" i="9"/>
  <c r="I63" i="9"/>
  <c r="J63" i="9" s="1"/>
  <c r="R63" i="9" s="1"/>
  <c r="H13" i="9"/>
  <c r="E13" i="9"/>
  <c r="I13" i="9"/>
  <c r="F13" i="9"/>
  <c r="G13" i="9"/>
  <c r="A64" i="9"/>
  <c r="A12" i="9"/>
  <c r="J12" i="9" s="1"/>
  <c r="X52" i="6"/>
  <c r="H52" i="6"/>
  <c r="K53" i="6"/>
  <c r="M53" i="6"/>
  <c r="L52" i="6"/>
  <c r="N52" i="6"/>
  <c r="P52" i="6" s="1"/>
  <c r="A55" i="6"/>
  <c r="E53" i="6"/>
  <c r="G53" i="6"/>
  <c r="Y53" i="6"/>
  <c r="AB53" i="6"/>
  <c r="W53" i="6"/>
  <c r="U53" i="6"/>
  <c r="V53" i="6" s="1"/>
  <c r="A21" i="6"/>
  <c r="AC64" i="9"/>
  <c r="AB64" i="9"/>
  <c r="N64" i="9"/>
  <c r="Q64" i="9"/>
  <c r="P64" i="9"/>
  <c r="AA64" i="9"/>
  <c r="O64" i="9"/>
  <c r="U64" i="9" l="1"/>
  <c r="U86" i="16"/>
  <c r="V86" i="16" s="1"/>
  <c r="W86" i="16" s="1"/>
  <c r="Y86" i="16" s="1"/>
  <c r="X86" i="16" s="1"/>
  <c r="AE86" i="9" s="1"/>
  <c r="F94" i="7"/>
  <c r="D94" i="7"/>
  <c r="E94" i="7" s="1"/>
  <c r="N94" i="7"/>
  <c r="P94" i="7"/>
  <c r="I94" i="7"/>
  <c r="K94" i="7"/>
  <c r="L94" i="7" s="1"/>
  <c r="X94" i="7"/>
  <c r="Z94" i="7"/>
  <c r="AA94" i="7" s="1"/>
  <c r="B95" i="7"/>
  <c r="R95" i="7"/>
  <c r="S95" i="7" s="1"/>
  <c r="C95" i="7"/>
  <c r="T95" i="7"/>
  <c r="U95" i="7" s="1"/>
  <c r="A96" i="7"/>
  <c r="W95" i="7"/>
  <c r="H95" i="7"/>
  <c r="H85" i="16"/>
  <c r="Z85" i="16" s="1"/>
  <c r="G93" i="7"/>
  <c r="J93" i="7" s="1"/>
  <c r="M93" i="7" s="1"/>
  <c r="O93" i="7" s="1"/>
  <c r="Q93" i="7" s="1"/>
  <c r="V93" i="7" s="1"/>
  <c r="Y93" i="7" s="1"/>
  <c r="AB93" i="7" s="1"/>
  <c r="M93" i="9" s="1"/>
  <c r="M88" i="16"/>
  <c r="I88" i="16"/>
  <c r="J88" i="16"/>
  <c r="A89" i="16"/>
  <c r="B88" i="16"/>
  <c r="K87" i="16"/>
  <c r="L87" i="16"/>
  <c r="O87" i="16"/>
  <c r="P87" i="16"/>
  <c r="G86" i="16"/>
  <c r="R86" i="16" s="1"/>
  <c r="U87" i="16" s="1"/>
  <c r="Q86" i="16"/>
  <c r="E87" i="16"/>
  <c r="S87" i="16" s="1"/>
  <c r="F87" i="16"/>
  <c r="T87" i="16" s="1"/>
  <c r="D87" i="16"/>
  <c r="C87" i="16"/>
  <c r="Z84" i="16"/>
  <c r="S81" i="15"/>
  <c r="U82" i="15"/>
  <c r="V82" i="15" s="1"/>
  <c r="H83" i="15"/>
  <c r="AC83" i="15"/>
  <c r="I83" i="15"/>
  <c r="J83" i="15"/>
  <c r="AF83" i="15"/>
  <c r="K83" i="15"/>
  <c r="AJ83" i="15"/>
  <c r="L83" i="15"/>
  <c r="AK83" i="15"/>
  <c r="E83" i="15"/>
  <c r="F83" i="15"/>
  <c r="W83" i="15"/>
  <c r="A84" i="15"/>
  <c r="G83" i="15"/>
  <c r="Y83" i="15"/>
  <c r="AE83" i="15"/>
  <c r="AO83" i="15"/>
  <c r="Q82" i="15"/>
  <c r="R82" i="15" s="1"/>
  <c r="M82" i="15"/>
  <c r="N82" i="15" s="1"/>
  <c r="O82" i="15" s="1"/>
  <c r="P82" i="15" s="1"/>
  <c r="U68" i="11"/>
  <c r="Z52" i="6"/>
  <c r="AC52" i="6" s="1"/>
  <c r="F53" i="6"/>
  <c r="K78" i="14"/>
  <c r="J78" i="14"/>
  <c r="F78" i="14"/>
  <c r="I78" i="14"/>
  <c r="L78" i="14" s="1"/>
  <c r="S80" i="15"/>
  <c r="Y21" i="6"/>
  <c r="AB21" i="6"/>
  <c r="AG21" i="6"/>
  <c r="AH21" i="6"/>
  <c r="K21" i="6"/>
  <c r="R21" i="6"/>
  <c r="M21" i="6"/>
  <c r="D21" i="6"/>
  <c r="O21" i="6"/>
  <c r="U21" i="6"/>
  <c r="W21" i="6"/>
  <c r="C21" i="6"/>
  <c r="X21" i="6"/>
  <c r="B21" i="6"/>
  <c r="V21" i="6"/>
  <c r="E21" i="6"/>
  <c r="S21" i="6"/>
  <c r="G21" i="6"/>
  <c r="P21" i="6"/>
  <c r="N21" i="6"/>
  <c r="AI21" i="6"/>
  <c r="L21" i="6"/>
  <c r="AJ21" i="6"/>
  <c r="H21" i="6"/>
  <c r="AC21" i="6"/>
  <c r="Z21" i="6"/>
  <c r="F21" i="6"/>
  <c r="L12" i="7"/>
  <c r="N12" i="7"/>
  <c r="P12" i="7"/>
  <c r="R12" i="7"/>
  <c r="U12" i="7"/>
  <c r="X12" i="7"/>
  <c r="I12" i="7"/>
  <c r="K13" i="7"/>
  <c r="A11" i="7"/>
  <c r="D12" i="7"/>
  <c r="M12" i="7"/>
  <c r="J12" i="7"/>
  <c r="F12" i="7"/>
  <c r="O12" i="7"/>
  <c r="Q12" i="7"/>
  <c r="S12" i="7"/>
  <c r="AA12" i="7"/>
  <c r="V12" i="7"/>
  <c r="B12" i="7"/>
  <c r="Y12" i="7"/>
  <c r="E12" i="7"/>
  <c r="AB12" i="7"/>
  <c r="G12" i="7"/>
  <c r="W12" i="7"/>
  <c r="C12" i="7"/>
  <c r="H12" i="7"/>
  <c r="T12" i="7"/>
  <c r="Z13" i="7"/>
  <c r="O12" i="9"/>
  <c r="P12" i="9"/>
  <c r="Q12" i="9"/>
  <c r="R12" i="9"/>
  <c r="N12" i="9"/>
  <c r="Y12" i="9"/>
  <c r="S12" i="9"/>
  <c r="AA12" i="9"/>
  <c r="T12" i="9"/>
  <c r="AB12" i="9"/>
  <c r="M12" i="9"/>
  <c r="U12" i="9"/>
  <c r="AC12" i="9"/>
  <c r="V12" i="9"/>
  <c r="W12" i="9"/>
  <c r="X12" i="9"/>
  <c r="Z12" i="9"/>
  <c r="N69" i="11"/>
  <c r="T69" i="11" s="1"/>
  <c r="A79" i="14"/>
  <c r="E78" i="14"/>
  <c r="G78" i="14" s="1"/>
  <c r="B77" i="13"/>
  <c r="A78" i="13"/>
  <c r="AH54" i="6"/>
  <c r="AG54" i="6"/>
  <c r="AF21" i="6"/>
  <c r="AE21" i="6"/>
  <c r="AF55" i="6"/>
  <c r="AE55" i="6"/>
  <c r="S70" i="11"/>
  <c r="R70" i="11"/>
  <c r="Q70" i="11"/>
  <c r="K70" i="11"/>
  <c r="J70" i="11"/>
  <c r="M70" i="11" s="1"/>
  <c r="L70" i="11"/>
  <c r="O70" i="11" s="1"/>
  <c r="H71" i="11"/>
  <c r="E71" i="11"/>
  <c r="G71" i="11" s="1"/>
  <c r="A72" i="11"/>
  <c r="F72" i="11" s="1"/>
  <c r="P71" i="11"/>
  <c r="I71" i="11"/>
  <c r="AI51" i="6"/>
  <c r="AJ51" i="6" s="1"/>
  <c r="Z51" i="9" s="1"/>
  <c r="R55" i="6"/>
  <c r="S55" i="6" s="1"/>
  <c r="T55" i="6"/>
  <c r="T21" i="6"/>
  <c r="J55" i="6"/>
  <c r="O55" i="6"/>
  <c r="J21" i="6"/>
  <c r="B55" i="6"/>
  <c r="C55" i="6" s="1"/>
  <c r="D55" i="6"/>
  <c r="E64" i="9"/>
  <c r="I64" i="9"/>
  <c r="J64" i="9" s="1"/>
  <c r="R64" i="9" s="1"/>
  <c r="F64" i="9"/>
  <c r="G64" i="9"/>
  <c r="H64" i="9"/>
  <c r="E12" i="9"/>
  <c r="I12" i="9"/>
  <c r="F12" i="9"/>
  <c r="G12" i="9"/>
  <c r="H12" i="9"/>
  <c r="A11" i="9"/>
  <c r="J11" i="9" s="1"/>
  <c r="A65" i="9"/>
  <c r="H53" i="6"/>
  <c r="W54" i="6"/>
  <c r="Y54" i="6"/>
  <c r="AB54" i="6"/>
  <c r="U54" i="6"/>
  <c r="V54" i="6" s="1"/>
  <c r="A56" i="6"/>
  <c r="N53" i="6"/>
  <c r="P53" i="6" s="1"/>
  <c r="L53" i="6"/>
  <c r="X53" i="6"/>
  <c r="E54" i="6"/>
  <c r="G54" i="6"/>
  <c r="M54" i="6"/>
  <c r="K54" i="6"/>
  <c r="A20" i="6"/>
  <c r="AB65" i="9"/>
  <c r="AA65" i="9"/>
  <c r="AC65" i="9"/>
  <c r="Q65" i="9"/>
  <c r="P65" i="9"/>
  <c r="O65" i="9"/>
  <c r="N65" i="9"/>
  <c r="U65" i="9" l="1"/>
  <c r="G94" i="7"/>
  <c r="J94" i="7" s="1"/>
  <c r="M94" i="7" s="1"/>
  <c r="O94" i="7" s="1"/>
  <c r="Q94" i="7" s="1"/>
  <c r="V94" i="7" s="1"/>
  <c r="Y94" i="7" s="1"/>
  <c r="AB94" i="7" s="1"/>
  <c r="M94" i="9" s="1"/>
  <c r="H86" i="16"/>
  <c r="I95" i="7"/>
  <c r="K95" i="7"/>
  <c r="L95" i="7" s="1"/>
  <c r="N95" i="7"/>
  <c r="P95" i="7"/>
  <c r="Z95" i="7"/>
  <c r="AA95" i="7" s="1"/>
  <c r="X95" i="7"/>
  <c r="A97" i="7"/>
  <c r="W96" i="7"/>
  <c r="H96" i="7"/>
  <c r="B96" i="7"/>
  <c r="R96" i="7"/>
  <c r="S96" i="7" s="1"/>
  <c r="C96" i="7"/>
  <c r="T96" i="7"/>
  <c r="U96" i="7" s="1"/>
  <c r="D95" i="7"/>
  <c r="E95" i="7" s="1"/>
  <c r="F95" i="7"/>
  <c r="Z86" i="16"/>
  <c r="G87" i="16"/>
  <c r="H87" i="16" s="1"/>
  <c r="Q87" i="16"/>
  <c r="V87" i="16"/>
  <c r="W87" i="16" s="1"/>
  <c r="Y87" i="16" s="1"/>
  <c r="X87" i="16" s="1"/>
  <c r="AE87" i="9" s="1"/>
  <c r="S82" i="15"/>
  <c r="D88" i="16"/>
  <c r="E88" i="16"/>
  <c r="S88" i="16" s="1"/>
  <c r="F88" i="16"/>
  <c r="T88" i="16" s="1"/>
  <c r="C88" i="16"/>
  <c r="I89" i="16"/>
  <c r="J89" i="16"/>
  <c r="M89" i="16"/>
  <c r="A90" i="16"/>
  <c r="B89" i="16"/>
  <c r="L88" i="16"/>
  <c r="K88" i="16"/>
  <c r="O88" i="16"/>
  <c r="P88" i="16"/>
  <c r="M83" i="15"/>
  <c r="N83" i="15" s="1"/>
  <c r="O83" i="15" s="1"/>
  <c r="P83" i="15" s="1"/>
  <c r="Q83" i="15"/>
  <c r="R83" i="15" s="1"/>
  <c r="U83" i="15"/>
  <c r="V83" i="15" s="1"/>
  <c r="F84" i="15"/>
  <c r="W84" i="15"/>
  <c r="A85" i="15"/>
  <c r="H84" i="15"/>
  <c r="AC84" i="15"/>
  <c r="I84" i="15"/>
  <c r="AE84" i="15"/>
  <c r="J84" i="15"/>
  <c r="AF84" i="15"/>
  <c r="L84" i="15"/>
  <c r="AK84" i="15"/>
  <c r="K84" i="15"/>
  <c r="Y84" i="15"/>
  <c r="AJ84" i="15"/>
  <c r="G84" i="15"/>
  <c r="AO84" i="15"/>
  <c r="E84" i="15"/>
  <c r="U69" i="11"/>
  <c r="Z53" i="6"/>
  <c r="AC53" i="6" s="1"/>
  <c r="F54" i="6"/>
  <c r="H54" i="6" s="1"/>
  <c r="H78" i="14"/>
  <c r="K79" i="14"/>
  <c r="J79" i="14"/>
  <c r="F79" i="14"/>
  <c r="I79" i="14"/>
  <c r="L79" i="14" s="1"/>
  <c r="W20" i="6"/>
  <c r="Y20" i="6"/>
  <c r="AB20" i="6"/>
  <c r="AG20" i="6"/>
  <c r="AH20" i="6"/>
  <c r="K20" i="6"/>
  <c r="R20" i="6"/>
  <c r="M20" i="6"/>
  <c r="D20" i="6"/>
  <c r="O20" i="6"/>
  <c r="U20" i="6"/>
  <c r="F20" i="6"/>
  <c r="Z20" i="6"/>
  <c r="C20" i="6"/>
  <c r="X20" i="6"/>
  <c r="B20" i="6"/>
  <c r="V20" i="6"/>
  <c r="E20" i="6"/>
  <c r="S20" i="6"/>
  <c r="G20" i="6"/>
  <c r="P20" i="6"/>
  <c r="N20" i="6"/>
  <c r="AI20" i="6"/>
  <c r="L20" i="6"/>
  <c r="AJ20" i="6"/>
  <c r="AC20" i="6"/>
  <c r="H20" i="6"/>
  <c r="I11" i="7"/>
  <c r="L11" i="7"/>
  <c r="N11" i="7"/>
  <c r="P11" i="7"/>
  <c r="R11" i="7"/>
  <c r="U11" i="7"/>
  <c r="X11" i="7"/>
  <c r="A10" i="7"/>
  <c r="AA11" i="7"/>
  <c r="J11" i="7"/>
  <c r="D11" i="7"/>
  <c r="M11" i="7"/>
  <c r="F11" i="7"/>
  <c r="O11" i="7"/>
  <c r="Q11" i="7"/>
  <c r="B11" i="7"/>
  <c r="S11" i="7"/>
  <c r="V11" i="7"/>
  <c r="AB11" i="7"/>
  <c r="G11" i="7"/>
  <c r="Y11" i="7"/>
  <c r="E11" i="7"/>
  <c r="C11" i="7"/>
  <c r="H11" i="7"/>
  <c r="T11" i="7"/>
  <c r="W11" i="7"/>
  <c r="K12" i="7"/>
  <c r="Z12" i="7"/>
  <c r="N11" i="9"/>
  <c r="O11" i="9"/>
  <c r="P11" i="9"/>
  <c r="Q11" i="9"/>
  <c r="R11" i="9"/>
  <c r="Z11" i="9"/>
  <c r="T11" i="9"/>
  <c r="AB11" i="9"/>
  <c r="M11" i="9"/>
  <c r="U11" i="9"/>
  <c r="AC11" i="9"/>
  <c r="V11" i="9"/>
  <c r="W11" i="9"/>
  <c r="S11" i="9"/>
  <c r="X11" i="9"/>
  <c r="Y11" i="9"/>
  <c r="AA11" i="9"/>
  <c r="N70" i="11"/>
  <c r="T70" i="11" s="1"/>
  <c r="A80" i="14"/>
  <c r="A81" i="14" s="1"/>
  <c r="E79" i="14"/>
  <c r="G79" i="14" s="1"/>
  <c r="B78" i="13"/>
  <c r="A79" i="13"/>
  <c r="AH55" i="6"/>
  <c r="AF20" i="6"/>
  <c r="AE20" i="6"/>
  <c r="AF56" i="6"/>
  <c r="AG56" i="6" s="1"/>
  <c r="AE56" i="6"/>
  <c r="AG55" i="6"/>
  <c r="S71" i="11"/>
  <c r="R71" i="11"/>
  <c r="Q71" i="11"/>
  <c r="K71" i="11"/>
  <c r="L71" i="11"/>
  <c r="O71" i="11" s="1"/>
  <c r="J71" i="11"/>
  <c r="M71" i="11" s="1"/>
  <c r="I72" i="11"/>
  <c r="H72" i="11"/>
  <c r="E72" i="11"/>
  <c r="G72" i="11" s="1"/>
  <c r="A73" i="11"/>
  <c r="F73" i="11" s="1"/>
  <c r="P72" i="11"/>
  <c r="AI52" i="6"/>
  <c r="AJ52" i="6" s="1"/>
  <c r="Z52" i="9" s="1"/>
  <c r="R56" i="6"/>
  <c r="S56" i="6" s="1"/>
  <c r="T56" i="6"/>
  <c r="T20" i="6"/>
  <c r="J20" i="6"/>
  <c r="J56" i="6"/>
  <c r="O56" i="6"/>
  <c r="B56" i="6"/>
  <c r="C56" i="6" s="1"/>
  <c r="D56" i="6"/>
  <c r="F11" i="9"/>
  <c r="G11" i="9"/>
  <c r="H11" i="9"/>
  <c r="I11" i="9"/>
  <c r="E11" i="9"/>
  <c r="H65" i="9"/>
  <c r="E65" i="9"/>
  <c r="I65" i="9"/>
  <c r="J65" i="9" s="1"/>
  <c r="R65" i="9" s="1"/>
  <c r="F65" i="9"/>
  <c r="G65" i="9"/>
  <c r="A66" i="9"/>
  <c r="A10" i="9"/>
  <c r="J10" i="9" s="1"/>
  <c r="X54" i="6"/>
  <c r="L54" i="6"/>
  <c r="N54" i="6"/>
  <c r="P54" i="6" s="1"/>
  <c r="M55" i="6"/>
  <c r="K55" i="6"/>
  <c r="E55" i="6"/>
  <c r="G55" i="6"/>
  <c r="A57" i="6"/>
  <c r="U55" i="6"/>
  <c r="V55" i="6" s="1"/>
  <c r="AB55" i="6"/>
  <c r="Y55" i="6"/>
  <c r="W55" i="6"/>
  <c r="A19" i="6"/>
  <c r="AC66" i="9"/>
  <c r="AB66" i="9"/>
  <c r="AA66" i="9"/>
  <c r="Q66" i="9"/>
  <c r="N66" i="9"/>
  <c r="O66" i="9"/>
  <c r="P66" i="9"/>
  <c r="U66" i="9" l="1"/>
  <c r="R87" i="16"/>
  <c r="U88" i="16" s="1"/>
  <c r="E81" i="14"/>
  <c r="G81" i="14" s="1"/>
  <c r="A82" i="14"/>
  <c r="F81" i="14"/>
  <c r="I81" i="14"/>
  <c r="L81" i="14" s="1"/>
  <c r="J81" i="14"/>
  <c r="K81" i="14"/>
  <c r="G95" i="7"/>
  <c r="J95" i="7" s="1"/>
  <c r="M95" i="7" s="1"/>
  <c r="O95" i="7" s="1"/>
  <c r="Q95" i="7" s="1"/>
  <c r="V95" i="7" s="1"/>
  <c r="Y95" i="7" s="1"/>
  <c r="AB95" i="7" s="1"/>
  <c r="M95" i="9" s="1"/>
  <c r="X96" i="7"/>
  <c r="Z96" i="7"/>
  <c r="AA96" i="7" s="1"/>
  <c r="B97" i="7"/>
  <c r="R97" i="7"/>
  <c r="S97" i="7" s="1"/>
  <c r="C97" i="7"/>
  <c r="T97" i="7"/>
  <c r="U97" i="7" s="1"/>
  <c r="A98" i="7"/>
  <c r="W97" i="7"/>
  <c r="H97" i="7"/>
  <c r="F96" i="7"/>
  <c r="D96" i="7"/>
  <c r="E96" i="7" s="1"/>
  <c r="N96" i="7"/>
  <c r="P96" i="7"/>
  <c r="I96" i="7"/>
  <c r="K96" i="7"/>
  <c r="L96" i="7" s="1"/>
  <c r="S83" i="15"/>
  <c r="B90" i="16"/>
  <c r="J90" i="16"/>
  <c r="A91" i="16"/>
  <c r="I90" i="16"/>
  <c r="M90" i="16"/>
  <c r="P89" i="16"/>
  <c r="O89" i="16"/>
  <c r="K89" i="16"/>
  <c r="L89" i="16"/>
  <c r="V88" i="16"/>
  <c r="W88" i="16" s="1"/>
  <c r="Y88" i="16" s="1"/>
  <c r="X88" i="16" s="1"/>
  <c r="AE88" i="9" s="1"/>
  <c r="Q88" i="16"/>
  <c r="G88" i="16"/>
  <c r="R88" i="16" s="1"/>
  <c r="U89" i="16" s="1"/>
  <c r="Z87" i="16"/>
  <c r="C89" i="16"/>
  <c r="D89" i="16"/>
  <c r="F89" i="16"/>
  <c r="T89" i="16" s="1"/>
  <c r="E89" i="16"/>
  <c r="S89" i="16" s="1"/>
  <c r="M84" i="15"/>
  <c r="N84" i="15" s="1"/>
  <c r="O84" i="15" s="1"/>
  <c r="P84" i="15" s="1"/>
  <c r="Q84" i="15"/>
  <c r="R84" i="15" s="1"/>
  <c r="L85" i="15"/>
  <c r="AK85" i="15"/>
  <c r="F85" i="15"/>
  <c r="W85" i="15"/>
  <c r="A86" i="15"/>
  <c r="G85" i="15"/>
  <c r="Y85" i="15"/>
  <c r="H85" i="15"/>
  <c r="AC85" i="15"/>
  <c r="J85" i="15"/>
  <c r="AF85" i="15"/>
  <c r="E85" i="15"/>
  <c r="AJ85" i="15"/>
  <c r="I85" i="15"/>
  <c r="AO85" i="15"/>
  <c r="K85" i="15"/>
  <c r="AE85" i="15"/>
  <c r="U84" i="15"/>
  <c r="V84" i="15" s="1"/>
  <c r="P99" i="10" a="1"/>
  <c r="P99" i="10" s="1"/>
  <c r="AF103" i="10" s="1"/>
  <c r="E98" i="10" a="1"/>
  <c r="E98" i="10" s="1"/>
  <c r="L98" i="10" a="1"/>
  <c r="L98" i="10" s="1"/>
  <c r="AB104" i="10" s="1"/>
  <c r="F95" i="10" a="1"/>
  <c r="F95" i="10" s="1"/>
  <c r="V101" i="10" s="1"/>
  <c r="G100" i="10" a="1"/>
  <c r="G100" i="10" s="1"/>
  <c r="W98" i="10" s="1"/>
  <c r="H99" i="10" a="1"/>
  <c r="H99" i="10" s="1"/>
  <c r="X103" i="10" s="1"/>
  <c r="H100" i="10" a="1"/>
  <c r="H100" i="10" s="1"/>
  <c r="X98" i="10" s="1"/>
  <c r="M98" i="10" a="1"/>
  <c r="M98" i="10" s="1"/>
  <c r="AC104" i="10" s="1"/>
  <c r="G99" i="10" a="1"/>
  <c r="G99" i="10" s="1"/>
  <c r="W103" i="10" s="1"/>
  <c r="O100" i="10" a="1"/>
  <c r="O100" i="10" s="1"/>
  <c r="AE98" i="10" s="1"/>
  <c r="I97" i="10" a="1"/>
  <c r="I97" i="10" s="1"/>
  <c r="Y105" i="10" s="1"/>
  <c r="Q98" i="10" a="1"/>
  <c r="Q98" i="10" s="1"/>
  <c r="AG104" i="10" s="1"/>
  <c r="P101" i="10" a="1"/>
  <c r="P101" i="10" s="1"/>
  <c r="AF99" i="10" s="1"/>
  <c r="H96" i="10" a="1"/>
  <c r="H96" i="10" s="1"/>
  <c r="X100" i="10" s="1"/>
  <c r="L97" i="10" a="1"/>
  <c r="L97" i="10" s="1"/>
  <c r="AB105" i="10" s="1"/>
  <c r="H95" i="10" a="1"/>
  <c r="H95" i="10" s="1"/>
  <c r="X101" i="10" s="1"/>
  <c r="P96" i="10" a="1"/>
  <c r="P96" i="10" s="1"/>
  <c r="AF100" i="10" s="1"/>
  <c r="Q100" i="10" a="1"/>
  <c r="Q100" i="10" s="1"/>
  <c r="AG98" i="10" s="1"/>
  <c r="N98" i="10" a="1"/>
  <c r="N98" i="10" s="1"/>
  <c r="AD104" i="10" s="1"/>
  <c r="O101" i="10" a="1"/>
  <c r="O101" i="10" s="1"/>
  <c r="AE99" i="10" s="1"/>
  <c r="N96" i="10" a="1"/>
  <c r="N96" i="10" s="1"/>
  <c r="AD100" i="10" s="1"/>
  <c r="J99" i="10" a="1"/>
  <c r="J99" i="10" s="1"/>
  <c r="Z103" i="10" s="1"/>
  <c r="E95" i="10" a="1"/>
  <c r="E95" i="10" s="1"/>
  <c r="Q99" i="10" a="1"/>
  <c r="Q99" i="10" s="1"/>
  <c r="AG103" i="10" s="1"/>
  <c r="P98" i="10" a="1"/>
  <c r="P98" i="10" s="1"/>
  <c r="AF104" i="10" s="1"/>
  <c r="L96" i="10" a="1"/>
  <c r="L96" i="10" s="1"/>
  <c r="AB100" i="10" s="1"/>
  <c r="F96" i="10" a="1"/>
  <c r="F96" i="10" s="1"/>
  <c r="V100" i="10" s="1"/>
  <c r="G98" i="10" a="1"/>
  <c r="G98" i="10" s="1"/>
  <c r="W104" i="10" s="1"/>
  <c r="K95" i="10" a="1"/>
  <c r="K95" i="10" s="1"/>
  <c r="AA101" i="10" s="1"/>
  <c r="I101" i="10" a="1"/>
  <c r="I101" i="10" s="1"/>
  <c r="Y99" i="10" s="1"/>
  <c r="N100" i="10" a="1"/>
  <c r="N100" i="10" s="1"/>
  <c r="AD98" i="10" s="1"/>
  <c r="M95" i="10" a="1"/>
  <c r="M95" i="10" s="1"/>
  <c r="AC101" i="10" s="1"/>
  <c r="P97" i="10" a="1"/>
  <c r="P97" i="10" s="1"/>
  <c r="AF105" i="10" s="1"/>
  <c r="E100" i="10" a="1"/>
  <c r="E100" i="10" s="1"/>
  <c r="H97" i="10" a="1"/>
  <c r="H97" i="10" s="1"/>
  <c r="X105" i="10" s="1"/>
  <c r="I95" i="10" a="1"/>
  <c r="I95" i="10" s="1"/>
  <c r="Y101" i="10" s="1"/>
  <c r="O99" i="10" a="1"/>
  <c r="O99" i="10" s="1"/>
  <c r="AE103" i="10" s="1"/>
  <c r="J98" i="10" a="1"/>
  <c r="J98" i="10" s="1"/>
  <c r="Z104" i="10" s="1"/>
  <c r="F99" i="10" a="1"/>
  <c r="F99" i="10" s="1"/>
  <c r="V103" i="10" s="1"/>
  <c r="I99" i="10" a="1"/>
  <c r="I99" i="10" s="1"/>
  <c r="Y103" i="10" s="1"/>
  <c r="J96" i="10" a="1"/>
  <c r="J96" i="10" s="1"/>
  <c r="Z100" i="10" s="1"/>
  <c r="O95" i="10" a="1"/>
  <c r="O95" i="10" s="1"/>
  <c r="AE101" i="10" s="1"/>
  <c r="I100" i="10" a="1"/>
  <c r="I100" i="10" s="1"/>
  <c r="Y98" i="10" s="1"/>
  <c r="F97" i="10" a="1"/>
  <c r="F97" i="10" s="1"/>
  <c r="V105" i="10" s="1"/>
  <c r="F100" i="10" a="1"/>
  <c r="F100" i="10" s="1"/>
  <c r="V98" i="10" s="1"/>
  <c r="E101" i="10" a="1"/>
  <c r="E101" i="10" s="1"/>
  <c r="P100" i="10" a="1"/>
  <c r="P100" i="10" s="1"/>
  <c r="AF98" i="10" s="1"/>
  <c r="O97" i="10" a="1"/>
  <c r="O97" i="10" s="1"/>
  <c r="AE105" i="10" s="1"/>
  <c r="G96" i="10" a="1"/>
  <c r="G96" i="10" s="1"/>
  <c r="W100" i="10" s="1"/>
  <c r="K98" i="10" a="1"/>
  <c r="K98" i="10" s="1"/>
  <c r="AA104" i="10" s="1"/>
  <c r="O96" i="10" a="1"/>
  <c r="O96" i="10" s="1"/>
  <c r="AE100" i="10" s="1"/>
  <c r="G101" i="10" a="1"/>
  <c r="G101" i="10" s="1"/>
  <c r="W99" i="10" s="1"/>
  <c r="N101" i="10" a="1"/>
  <c r="N101" i="10" s="1"/>
  <c r="AD99" i="10" s="1"/>
  <c r="I98" i="10" a="1"/>
  <c r="I98" i="10" s="1"/>
  <c r="Y104" i="10" s="1"/>
  <c r="I96" i="10" a="1"/>
  <c r="I96" i="10" s="1"/>
  <c r="Y100" i="10" s="1"/>
  <c r="K99" i="10" a="1"/>
  <c r="K99" i="10" s="1"/>
  <c r="AA103" i="10" s="1"/>
  <c r="N95" i="10" a="1"/>
  <c r="N95" i="10" s="1"/>
  <c r="AD101" i="10" s="1"/>
  <c r="E96" i="10" a="1"/>
  <c r="E96" i="10" s="1"/>
  <c r="K100" i="10" a="1"/>
  <c r="K100" i="10" s="1"/>
  <c r="AA98" i="10" s="1"/>
  <c r="J100" i="10" a="1"/>
  <c r="J100" i="10" s="1"/>
  <c r="Z98" i="10" s="1"/>
  <c r="K101" i="10" a="1"/>
  <c r="K101" i="10" s="1"/>
  <c r="AA99" i="10" s="1"/>
  <c r="J97" i="10" a="1"/>
  <c r="J97" i="10" s="1"/>
  <c r="Z105" i="10" s="1"/>
  <c r="M101" i="10" a="1"/>
  <c r="M101" i="10" s="1"/>
  <c r="AC99" i="10" s="1"/>
  <c r="P95" i="10" a="1"/>
  <c r="P95" i="10" s="1"/>
  <c r="AF101" i="10" s="1"/>
  <c r="K96" i="10" a="1"/>
  <c r="K96" i="10" s="1"/>
  <c r="AA100" i="10" s="1"/>
  <c r="Q97" i="10" a="1"/>
  <c r="Q97" i="10" s="1"/>
  <c r="AG105" i="10" s="1"/>
  <c r="O98" i="10" a="1"/>
  <c r="O98" i="10" s="1"/>
  <c r="AE104" i="10" s="1"/>
  <c r="Q101" i="10" a="1"/>
  <c r="Q101" i="10" s="1"/>
  <c r="AG99" i="10" s="1"/>
  <c r="Q96" i="10" a="1"/>
  <c r="Q96" i="10" s="1"/>
  <c r="AG100" i="10" s="1"/>
  <c r="E97" i="10" a="1"/>
  <c r="E97" i="10" s="1"/>
  <c r="L100" i="10" a="1"/>
  <c r="L100" i="10" s="1"/>
  <c r="AB98" i="10" s="1"/>
  <c r="H101" i="10" a="1"/>
  <c r="H101" i="10" s="1"/>
  <c r="X99" i="10" s="1"/>
  <c r="G97" i="10" a="1"/>
  <c r="G97" i="10" s="1"/>
  <c r="W105" i="10" s="1"/>
  <c r="M100" i="10" a="1"/>
  <c r="M100" i="10" s="1"/>
  <c r="AC98" i="10" s="1"/>
  <c r="F98" i="10" a="1"/>
  <c r="F98" i="10" s="1"/>
  <c r="V104" i="10" s="1"/>
  <c r="K97" i="10" a="1"/>
  <c r="K97" i="10" s="1"/>
  <c r="AA105" i="10" s="1"/>
  <c r="Q95" i="10" a="1"/>
  <c r="Q95" i="10" s="1"/>
  <c r="AG101" i="10" s="1"/>
  <c r="M97" i="10" a="1"/>
  <c r="M97" i="10" s="1"/>
  <c r="AC105" i="10" s="1"/>
  <c r="L99" i="10" a="1"/>
  <c r="L99" i="10" s="1"/>
  <c r="AB103" i="10" s="1"/>
  <c r="L101" i="10" a="1"/>
  <c r="L101" i="10" s="1"/>
  <c r="AB99" i="10" s="1"/>
  <c r="E99" i="10" a="1"/>
  <c r="E99" i="10" s="1"/>
  <c r="M96" i="10" a="1"/>
  <c r="M96" i="10" s="1"/>
  <c r="AC100" i="10" s="1"/>
  <c r="G95" i="10" a="1"/>
  <c r="G95" i="10" s="1"/>
  <c r="W101" i="10" s="1"/>
  <c r="N97" i="10" a="1"/>
  <c r="N97" i="10" s="1"/>
  <c r="AD105" i="10" s="1"/>
  <c r="H98" i="10" a="1"/>
  <c r="H98" i="10" s="1"/>
  <c r="X104" i="10" s="1"/>
  <c r="N99" i="10" a="1"/>
  <c r="N99" i="10" s="1"/>
  <c r="AD103" i="10" s="1"/>
  <c r="J101" i="10" a="1"/>
  <c r="J101" i="10" s="1"/>
  <c r="Z99" i="10" s="1"/>
  <c r="J95" i="10" a="1"/>
  <c r="J95" i="10" s="1"/>
  <c r="Z101" i="10" s="1"/>
  <c r="F101" i="10" a="1"/>
  <c r="F101" i="10" s="1"/>
  <c r="V99" i="10" s="1"/>
  <c r="M99" i="10" a="1"/>
  <c r="M99" i="10" s="1"/>
  <c r="AC103" i="10" s="1"/>
  <c r="L95" i="10" a="1"/>
  <c r="L95" i="10" s="1"/>
  <c r="AB101" i="10" s="1"/>
  <c r="U70" i="11"/>
  <c r="Z54" i="6"/>
  <c r="AC54" i="6" s="1"/>
  <c r="F55" i="6"/>
  <c r="H55" i="6" s="1"/>
  <c r="H79" i="14"/>
  <c r="I80" i="14"/>
  <c r="L80" i="14" s="1"/>
  <c r="J80" i="14"/>
  <c r="K80" i="14"/>
  <c r="U19" i="6"/>
  <c r="W19" i="6"/>
  <c r="Y19" i="6"/>
  <c r="AB19" i="6"/>
  <c r="AG19" i="6"/>
  <c r="AH19" i="6"/>
  <c r="K19" i="6"/>
  <c r="R19" i="6"/>
  <c r="M19" i="6"/>
  <c r="D19" i="6"/>
  <c r="O19" i="6"/>
  <c r="H19" i="6"/>
  <c r="AC19" i="6"/>
  <c r="F19" i="6"/>
  <c r="Z19" i="6"/>
  <c r="C19" i="6"/>
  <c r="X19" i="6"/>
  <c r="B19" i="6"/>
  <c r="V19" i="6"/>
  <c r="E19" i="6"/>
  <c r="S19" i="6"/>
  <c r="G19" i="6"/>
  <c r="P19" i="6"/>
  <c r="N19" i="6"/>
  <c r="AI19" i="6"/>
  <c r="AJ19" i="6"/>
  <c r="L19" i="6"/>
  <c r="I10" i="7"/>
  <c r="L10" i="7"/>
  <c r="N10" i="7"/>
  <c r="P10" i="7"/>
  <c r="R10" i="7"/>
  <c r="U10" i="7"/>
  <c r="X10" i="7"/>
  <c r="Z11" i="7"/>
  <c r="K11" i="7"/>
  <c r="A9" i="7"/>
  <c r="AB10" i="7"/>
  <c r="G10" i="7"/>
  <c r="AA10" i="7"/>
  <c r="J10" i="7"/>
  <c r="Y10" i="7"/>
  <c r="D10" i="7"/>
  <c r="M10" i="7"/>
  <c r="F10" i="7"/>
  <c r="O10" i="7"/>
  <c r="B10" i="7"/>
  <c r="Q10" i="7"/>
  <c r="S10" i="7"/>
  <c r="V10" i="7"/>
  <c r="E10" i="7"/>
  <c r="H10" i="7"/>
  <c r="C10" i="7"/>
  <c r="W10" i="7"/>
  <c r="T10" i="7"/>
  <c r="Q10" i="9"/>
  <c r="R10" i="9"/>
  <c r="N10" i="9"/>
  <c r="O10" i="9"/>
  <c r="P10" i="9"/>
  <c r="S10" i="9"/>
  <c r="AA10" i="9"/>
  <c r="M10" i="9"/>
  <c r="U10" i="9"/>
  <c r="AC10" i="9"/>
  <c r="V10" i="9"/>
  <c r="W10" i="9"/>
  <c r="X10" i="9"/>
  <c r="T10" i="9"/>
  <c r="Y10" i="9"/>
  <c r="AB10" i="9"/>
  <c r="Z10" i="9"/>
  <c r="N71" i="11"/>
  <c r="T71" i="11" s="1"/>
  <c r="E80" i="14"/>
  <c r="G80" i="14" s="1"/>
  <c r="F80" i="14"/>
  <c r="B79" i="13"/>
  <c r="A80" i="13"/>
  <c r="A81" i="13" s="1"/>
  <c r="AH56" i="6"/>
  <c r="AF19" i="6"/>
  <c r="AE19" i="6"/>
  <c r="AF57" i="6"/>
  <c r="AE57" i="6"/>
  <c r="Q72" i="11"/>
  <c r="S72" i="11"/>
  <c r="R72" i="11"/>
  <c r="L72" i="11"/>
  <c r="O72" i="11" s="1"/>
  <c r="K72" i="11"/>
  <c r="J72" i="11"/>
  <c r="M72" i="11" s="1"/>
  <c r="P73" i="11"/>
  <c r="I73" i="11"/>
  <c r="H73" i="11"/>
  <c r="E73" i="11"/>
  <c r="G73" i="11" s="1"/>
  <c r="A74" i="11"/>
  <c r="F74" i="11" s="1"/>
  <c r="AI53" i="6"/>
  <c r="AJ53" i="6" s="1"/>
  <c r="Z53" i="9" s="1"/>
  <c r="T19" i="6"/>
  <c r="R57" i="6"/>
  <c r="S57" i="6" s="1"/>
  <c r="T57" i="6"/>
  <c r="J19" i="6"/>
  <c r="J57" i="6"/>
  <c r="O57" i="6"/>
  <c r="B57" i="6"/>
  <c r="C57" i="6" s="1"/>
  <c r="D57" i="6"/>
  <c r="G10" i="9"/>
  <c r="H10" i="9"/>
  <c r="E10" i="9"/>
  <c r="I10" i="9"/>
  <c r="F10" i="9"/>
  <c r="G66" i="9"/>
  <c r="H66" i="9"/>
  <c r="E66" i="9"/>
  <c r="I66" i="9"/>
  <c r="J66" i="9" s="1"/>
  <c r="R66" i="9" s="1"/>
  <c r="F66" i="9"/>
  <c r="A9" i="9"/>
  <c r="J9" i="9" s="1"/>
  <c r="A67" i="9"/>
  <c r="X55" i="6"/>
  <c r="M56" i="6"/>
  <c r="K56" i="6"/>
  <c r="L55" i="6"/>
  <c r="N55" i="6"/>
  <c r="P55" i="6" s="1"/>
  <c r="E56" i="6"/>
  <c r="F56" i="6" s="1"/>
  <c r="G56" i="6"/>
  <c r="A58" i="6"/>
  <c r="AB56" i="6"/>
  <c r="Y56" i="6"/>
  <c r="W56" i="6"/>
  <c r="U56" i="6"/>
  <c r="V56" i="6" s="1"/>
  <c r="A18" i="6"/>
  <c r="N67" i="9"/>
  <c r="AB67" i="9"/>
  <c r="AA67" i="9"/>
  <c r="AC67" i="9"/>
  <c r="O67" i="9"/>
  <c r="P67" i="9"/>
  <c r="Q67" i="9"/>
  <c r="U67" i="9" l="1"/>
  <c r="G96" i="7"/>
  <c r="J96" i="7" s="1"/>
  <c r="M96" i="7" s="1"/>
  <c r="O96" i="7" s="1"/>
  <c r="Q96" i="7" s="1"/>
  <c r="V96" i="7" s="1"/>
  <c r="Y96" i="7" s="1"/>
  <c r="AB96" i="7" s="1"/>
  <c r="M96" i="9" s="1"/>
  <c r="B81" i="13"/>
  <c r="A82" i="13"/>
  <c r="H81" i="14"/>
  <c r="K82" i="14"/>
  <c r="E82" i="14"/>
  <c r="G82" i="14" s="1"/>
  <c r="A83" i="14"/>
  <c r="J82" i="14"/>
  <c r="F82" i="14"/>
  <c r="I82" i="14"/>
  <c r="L82" i="14" s="1"/>
  <c r="Z97" i="7"/>
  <c r="AA97" i="7" s="1"/>
  <c r="X97" i="7"/>
  <c r="A99" i="7"/>
  <c r="W98" i="7"/>
  <c r="H98" i="7"/>
  <c r="C98" i="7"/>
  <c r="R98" i="7"/>
  <c r="S98" i="7" s="1"/>
  <c r="T98" i="7"/>
  <c r="U98" i="7" s="1"/>
  <c r="B98" i="7"/>
  <c r="D97" i="7"/>
  <c r="E97" i="7" s="1"/>
  <c r="F97" i="7"/>
  <c r="I97" i="7"/>
  <c r="K97" i="7"/>
  <c r="L97" i="7" s="1"/>
  <c r="N97" i="7"/>
  <c r="P97" i="7"/>
  <c r="H88" i="16"/>
  <c r="Z88" i="16" s="1"/>
  <c r="S84" i="15"/>
  <c r="O90" i="16"/>
  <c r="P90" i="16"/>
  <c r="G89" i="16"/>
  <c r="R89" i="16" s="1"/>
  <c r="U90" i="16" s="1"/>
  <c r="Q89" i="16"/>
  <c r="V89" i="16"/>
  <c r="W89" i="16" s="1"/>
  <c r="Y89" i="16" s="1"/>
  <c r="X89" i="16" s="1"/>
  <c r="AE89" i="9" s="1"/>
  <c r="I91" i="16"/>
  <c r="B91" i="16"/>
  <c r="J91" i="16"/>
  <c r="A92" i="16"/>
  <c r="M91" i="16"/>
  <c r="K90" i="16"/>
  <c r="L90" i="16"/>
  <c r="C90" i="16"/>
  <c r="F90" i="16"/>
  <c r="T90" i="16" s="1"/>
  <c r="D90" i="16"/>
  <c r="E90" i="16"/>
  <c r="S90" i="16" s="1"/>
  <c r="M85" i="15"/>
  <c r="N85" i="15" s="1"/>
  <c r="O85" i="15" s="1"/>
  <c r="P85" i="15" s="1"/>
  <c r="U85" i="15"/>
  <c r="V85" i="15" s="1"/>
  <c r="Q85" i="15"/>
  <c r="R85" i="15" s="1"/>
  <c r="J86" i="15"/>
  <c r="AF86" i="15"/>
  <c r="L86" i="15"/>
  <c r="AK86" i="15"/>
  <c r="E86" i="15"/>
  <c r="AO86" i="15"/>
  <c r="F86" i="15"/>
  <c r="W86" i="15"/>
  <c r="A87" i="15"/>
  <c r="H86" i="15"/>
  <c r="AC86" i="15"/>
  <c r="Y86" i="15"/>
  <c r="AE86" i="15"/>
  <c r="G86" i="15"/>
  <c r="AJ86" i="15"/>
  <c r="I86" i="15"/>
  <c r="K86" i="15"/>
  <c r="P130" i="10"/>
  <c r="N130" i="10"/>
  <c r="Q130" i="10"/>
  <c r="K130" i="10"/>
  <c r="G130" i="10"/>
  <c r="F130" i="10"/>
  <c r="H130" i="10"/>
  <c r="J130" i="10"/>
  <c r="U71" i="11"/>
  <c r="O130" i="10"/>
  <c r="I130" i="10"/>
  <c r="M130" i="10"/>
  <c r="L130" i="10"/>
  <c r="Z55" i="6"/>
  <c r="AC55" i="6" s="1"/>
  <c r="X9" i="7"/>
  <c r="I9" i="7"/>
  <c r="L9" i="7"/>
  <c r="N9" i="7"/>
  <c r="P9" i="7"/>
  <c r="R9" i="7"/>
  <c r="U9" i="7"/>
  <c r="D18" i="6"/>
  <c r="O18" i="6"/>
  <c r="U18" i="6"/>
  <c r="W18" i="6"/>
  <c r="Y18" i="6"/>
  <c r="AB18" i="6"/>
  <c r="AG18" i="6"/>
  <c r="AH18" i="6"/>
  <c r="K18" i="6"/>
  <c r="R18" i="6"/>
  <c r="M18" i="6"/>
  <c r="L18" i="6"/>
  <c r="AJ18" i="6"/>
  <c r="H18" i="6"/>
  <c r="AC18" i="6"/>
  <c r="F18" i="6"/>
  <c r="Z18" i="6"/>
  <c r="C18" i="6"/>
  <c r="X18" i="6"/>
  <c r="B18" i="6"/>
  <c r="V18" i="6"/>
  <c r="E18" i="6"/>
  <c r="S18" i="6"/>
  <c r="G18" i="6"/>
  <c r="P18" i="6"/>
  <c r="AI18" i="6"/>
  <c r="N18" i="6"/>
  <c r="Z10" i="7"/>
  <c r="K10" i="7"/>
  <c r="A8" i="7"/>
  <c r="Y9" i="7"/>
  <c r="E9" i="7"/>
  <c r="AB9" i="7"/>
  <c r="G9" i="7"/>
  <c r="AA9" i="7"/>
  <c r="J9" i="7"/>
  <c r="D9" i="7"/>
  <c r="M9" i="7"/>
  <c r="F9" i="7"/>
  <c r="O9" i="7"/>
  <c r="B9" i="7"/>
  <c r="Q9" i="7"/>
  <c r="S9" i="7"/>
  <c r="V9" i="7"/>
  <c r="C9" i="7"/>
  <c r="T9" i="7"/>
  <c r="H9" i="7"/>
  <c r="W9" i="7"/>
  <c r="N9" i="9"/>
  <c r="O9" i="9"/>
  <c r="P9" i="9"/>
  <c r="Q9" i="9"/>
  <c r="R9" i="9"/>
  <c r="T9" i="9"/>
  <c r="AB9" i="9"/>
  <c r="V9" i="9"/>
  <c r="W9" i="9"/>
  <c r="X9" i="9"/>
  <c r="Y9" i="9"/>
  <c r="AA9" i="9"/>
  <c r="AC9" i="9"/>
  <c r="Z9" i="9"/>
  <c r="M9" i="9"/>
  <c r="S9" i="9"/>
  <c r="U9" i="9"/>
  <c r="N72" i="11"/>
  <c r="T72" i="11" s="1"/>
  <c r="H80" i="14"/>
  <c r="B80" i="13"/>
  <c r="AH57" i="6"/>
  <c r="AG57" i="6"/>
  <c r="AF18" i="6"/>
  <c r="AE18" i="6"/>
  <c r="AF58" i="6"/>
  <c r="AG58" i="6" s="1"/>
  <c r="AE58" i="6"/>
  <c r="S73" i="11"/>
  <c r="R73" i="11"/>
  <c r="Q73" i="11"/>
  <c r="J73" i="11"/>
  <c r="M73" i="11" s="1"/>
  <c r="L73" i="11"/>
  <c r="O73" i="11" s="1"/>
  <c r="K73" i="11"/>
  <c r="P74" i="11"/>
  <c r="I74" i="11"/>
  <c r="H74" i="11"/>
  <c r="E74" i="11"/>
  <c r="G74" i="11" s="1"/>
  <c r="A75" i="11"/>
  <c r="F75" i="11" s="1"/>
  <c r="AI54" i="6"/>
  <c r="AJ54" i="6" s="1"/>
  <c r="Z54" i="9" s="1"/>
  <c r="T18" i="6"/>
  <c r="R58" i="6"/>
  <c r="S58" i="6" s="1"/>
  <c r="T58" i="6"/>
  <c r="J58" i="6"/>
  <c r="O58" i="6"/>
  <c r="J18" i="6"/>
  <c r="B58" i="6"/>
  <c r="C58" i="6" s="1"/>
  <c r="D58" i="6"/>
  <c r="H9" i="9"/>
  <c r="E9" i="9"/>
  <c r="I9" i="9"/>
  <c r="F9" i="9"/>
  <c r="G9" i="9"/>
  <c r="F67" i="9"/>
  <c r="G67" i="9"/>
  <c r="H67" i="9"/>
  <c r="E67" i="9"/>
  <c r="I67" i="9"/>
  <c r="J67" i="9" s="1"/>
  <c r="R67" i="9" s="1"/>
  <c r="A68" i="9"/>
  <c r="A8" i="9"/>
  <c r="J8" i="9" s="1"/>
  <c r="X56" i="6"/>
  <c r="Z56" i="6" s="1"/>
  <c r="H56" i="6"/>
  <c r="M57" i="6"/>
  <c r="K57" i="6"/>
  <c r="N56" i="6"/>
  <c r="P56" i="6" s="1"/>
  <c r="L56" i="6"/>
  <c r="A59" i="6"/>
  <c r="G57" i="6"/>
  <c r="E57" i="6"/>
  <c r="F57" i="6" s="1"/>
  <c r="Y57" i="6"/>
  <c r="W57" i="6"/>
  <c r="U57" i="6"/>
  <c r="V57" i="6" s="1"/>
  <c r="AB57" i="6"/>
  <c r="A17" i="6"/>
  <c r="AB68" i="9"/>
  <c r="AC68" i="9"/>
  <c r="AA68" i="9"/>
  <c r="O68" i="9"/>
  <c r="N68" i="9"/>
  <c r="Q68" i="9"/>
  <c r="P68" i="9"/>
  <c r="U68" i="9" l="1"/>
  <c r="G97" i="7"/>
  <c r="J97" i="7" s="1"/>
  <c r="M97" i="7" s="1"/>
  <c r="O97" i="7" s="1"/>
  <c r="Q97" i="7" s="1"/>
  <c r="V97" i="7" s="1"/>
  <c r="Y97" i="7" s="1"/>
  <c r="AB97" i="7" s="1"/>
  <c r="M97" i="9" s="1"/>
  <c r="H82" i="14"/>
  <c r="A83" i="13"/>
  <c r="B82" i="13"/>
  <c r="J83" i="14"/>
  <c r="K83" i="14"/>
  <c r="E83" i="14"/>
  <c r="G83" i="14" s="1"/>
  <c r="A84" i="14"/>
  <c r="F83" i="14"/>
  <c r="I83" i="14"/>
  <c r="L83" i="14" s="1"/>
  <c r="F98" i="7"/>
  <c r="D98" i="7"/>
  <c r="E98" i="7" s="1"/>
  <c r="N98" i="7"/>
  <c r="P98" i="7"/>
  <c r="I98" i="7"/>
  <c r="K98" i="7"/>
  <c r="L98" i="7" s="1"/>
  <c r="X98" i="7"/>
  <c r="Z98" i="7"/>
  <c r="AA98" i="7" s="1"/>
  <c r="B99" i="7"/>
  <c r="R99" i="7"/>
  <c r="S99" i="7" s="1"/>
  <c r="C99" i="7"/>
  <c r="T99" i="7"/>
  <c r="U99" i="7" s="1"/>
  <c r="A100" i="7"/>
  <c r="W99" i="7"/>
  <c r="H99" i="7"/>
  <c r="H89" i="16"/>
  <c r="O91" i="16"/>
  <c r="P91" i="16"/>
  <c r="I92" i="16"/>
  <c r="M92" i="16"/>
  <c r="A93" i="16"/>
  <c r="J92" i="16"/>
  <c r="B92" i="16"/>
  <c r="Z89" i="16"/>
  <c r="K91" i="16"/>
  <c r="L91" i="16"/>
  <c r="F91" i="16"/>
  <c r="T91" i="16" s="1"/>
  <c r="C91" i="16"/>
  <c r="D91" i="16"/>
  <c r="E91" i="16"/>
  <c r="S91" i="16" s="1"/>
  <c r="G90" i="16"/>
  <c r="R90" i="16" s="1"/>
  <c r="U91" i="16" s="1"/>
  <c r="Q90" i="16"/>
  <c r="V90" i="16"/>
  <c r="W90" i="16" s="1"/>
  <c r="Y90" i="16" s="1"/>
  <c r="X90" i="16" s="1"/>
  <c r="AE90" i="9" s="1"/>
  <c r="S85" i="15"/>
  <c r="H87" i="15"/>
  <c r="AC87" i="15"/>
  <c r="J87" i="15"/>
  <c r="AF87" i="15"/>
  <c r="K87" i="15"/>
  <c r="AJ87" i="15"/>
  <c r="L87" i="15"/>
  <c r="AK87" i="15"/>
  <c r="F87" i="15"/>
  <c r="W87" i="15"/>
  <c r="A88" i="15"/>
  <c r="Y87" i="15"/>
  <c r="E87" i="15"/>
  <c r="AE87" i="15"/>
  <c r="G87" i="15"/>
  <c r="AO87" i="15"/>
  <c r="I87" i="15"/>
  <c r="Q86" i="15"/>
  <c r="R86" i="15" s="1"/>
  <c r="M86" i="15"/>
  <c r="N86" i="15" s="1"/>
  <c r="O86" i="15" s="1"/>
  <c r="P86" i="15" s="1"/>
  <c r="U86" i="15"/>
  <c r="V86" i="15" s="1"/>
  <c r="AZ249" i="3"/>
  <c r="BA249" i="3" s="1"/>
  <c r="U72" i="11"/>
  <c r="U8" i="7"/>
  <c r="X8" i="7"/>
  <c r="I8" i="7"/>
  <c r="L8" i="7"/>
  <c r="N8" i="7"/>
  <c r="P8" i="7"/>
  <c r="R8" i="7"/>
  <c r="R17" i="6"/>
  <c r="M17" i="6"/>
  <c r="D17" i="6"/>
  <c r="O17" i="6"/>
  <c r="U17" i="6"/>
  <c r="W17" i="6"/>
  <c r="Y17" i="6"/>
  <c r="AB17" i="6"/>
  <c r="AG17" i="6"/>
  <c r="AH17" i="6"/>
  <c r="K17" i="6"/>
  <c r="N17" i="6"/>
  <c r="AI17" i="6"/>
  <c r="L17" i="6"/>
  <c r="AJ17" i="6"/>
  <c r="H17" i="6"/>
  <c r="AC17" i="6"/>
  <c r="F17" i="6"/>
  <c r="Z17" i="6"/>
  <c r="C17" i="6"/>
  <c r="X17" i="6"/>
  <c r="B17" i="6"/>
  <c r="V17" i="6"/>
  <c r="E17" i="6"/>
  <c r="S17" i="6"/>
  <c r="P17" i="6"/>
  <c r="G17" i="6"/>
  <c r="A7" i="7"/>
  <c r="V8" i="7"/>
  <c r="B8" i="7"/>
  <c r="Y8" i="7"/>
  <c r="E8" i="7"/>
  <c r="AB8" i="7"/>
  <c r="G8" i="7"/>
  <c r="AA8" i="7"/>
  <c r="J8" i="7"/>
  <c r="S8" i="7"/>
  <c r="D8" i="7"/>
  <c r="M8" i="7"/>
  <c r="F8" i="7"/>
  <c r="O8" i="7"/>
  <c r="Q8" i="7"/>
  <c r="W8" i="7"/>
  <c r="C8" i="7"/>
  <c r="H8" i="7"/>
  <c r="T8" i="7"/>
  <c r="K9" i="7"/>
  <c r="Z9" i="7"/>
  <c r="N8" i="9"/>
  <c r="O8" i="9"/>
  <c r="P8" i="9"/>
  <c r="Q8" i="9"/>
  <c r="R8" i="9"/>
  <c r="M8" i="9"/>
  <c r="U8" i="9"/>
  <c r="AC8" i="9"/>
  <c r="W8" i="9"/>
  <c r="X8" i="9"/>
  <c r="Y8" i="9"/>
  <c r="Z8" i="9"/>
  <c r="V8" i="9"/>
  <c r="AA8" i="9"/>
  <c r="AB8" i="9"/>
  <c r="T8" i="9"/>
  <c r="S8" i="9"/>
  <c r="N73" i="11"/>
  <c r="T73" i="11" s="1"/>
  <c r="A7" i="9"/>
  <c r="AH58" i="6"/>
  <c r="AF17" i="6"/>
  <c r="AE17" i="6"/>
  <c r="AF59" i="6"/>
  <c r="AE59" i="6"/>
  <c r="S74" i="11"/>
  <c r="R74" i="11"/>
  <c r="Q74" i="11"/>
  <c r="L74" i="11"/>
  <c r="O74" i="11" s="1"/>
  <c r="K74" i="11"/>
  <c r="J74" i="11"/>
  <c r="M74" i="11" s="1"/>
  <c r="P75" i="11"/>
  <c r="I75" i="11"/>
  <c r="H75" i="11"/>
  <c r="E75" i="11"/>
  <c r="G75" i="11" s="1"/>
  <c r="A76" i="11"/>
  <c r="F76" i="11" s="1"/>
  <c r="AI55" i="6"/>
  <c r="AJ55" i="6" s="1"/>
  <c r="Z55" i="9" s="1"/>
  <c r="R59" i="6"/>
  <c r="S59" i="6" s="1"/>
  <c r="T59" i="6"/>
  <c r="T17" i="6"/>
  <c r="J17" i="6"/>
  <c r="J59" i="6"/>
  <c r="O59" i="6"/>
  <c r="B59" i="6"/>
  <c r="C59" i="6" s="1"/>
  <c r="D59" i="6"/>
  <c r="E68" i="9"/>
  <c r="I68" i="9"/>
  <c r="J68" i="9" s="1"/>
  <c r="R68" i="9" s="1"/>
  <c r="F68" i="9"/>
  <c r="G68" i="9"/>
  <c r="H68" i="9"/>
  <c r="E8" i="9"/>
  <c r="I8" i="9"/>
  <c r="F8" i="9"/>
  <c r="G8" i="9"/>
  <c r="H8" i="9"/>
  <c r="A69" i="9"/>
  <c r="AC56" i="6"/>
  <c r="X57" i="6"/>
  <c r="Z57" i="6" s="1"/>
  <c r="A60" i="6"/>
  <c r="N57" i="6"/>
  <c r="P57" i="6" s="1"/>
  <c r="L57" i="6"/>
  <c r="H57" i="6"/>
  <c r="G58" i="6"/>
  <c r="E58" i="6"/>
  <c r="F58" i="6" s="1"/>
  <c r="M58" i="6"/>
  <c r="K58" i="6"/>
  <c r="U58" i="6"/>
  <c r="V58" i="6" s="1"/>
  <c r="AB58" i="6"/>
  <c r="W58" i="6"/>
  <c r="Y58" i="6"/>
  <c r="A16" i="6"/>
  <c r="AC69" i="9"/>
  <c r="Q69" i="9"/>
  <c r="AA69" i="9"/>
  <c r="AB69" i="9"/>
  <c r="P69" i="9"/>
  <c r="O69" i="9"/>
  <c r="N69" i="9"/>
  <c r="U69" i="9" l="1"/>
  <c r="G98" i="7"/>
  <c r="J98" i="7" s="1"/>
  <c r="M98" i="7" s="1"/>
  <c r="O98" i="7" s="1"/>
  <c r="Q98" i="7" s="1"/>
  <c r="V98" i="7" s="1"/>
  <c r="Y98" i="7" s="1"/>
  <c r="AB98" i="7" s="1"/>
  <c r="M98" i="9" s="1"/>
  <c r="S86" i="15"/>
  <c r="B83" i="13"/>
  <c r="A84" i="13"/>
  <c r="I84" i="14"/>
  <c r="L84" i="14" s="1"/>
  <c r="J84" i="14"/>
  <c r="K84" i="14"/>
  <c r="F84" i="14"/>
  <c r="E84" i="14"/>
  <c r="G84" i="14" s="1"/>
  <c r="A85" i="14"/>
  <c r="H83" i="14"/>
  <c r="Z99" i="7"/>
  <c r="AA99" i="7" s="1"/>
  <c r="X99" i="7"/>
  <c r="I99" i="7"/>
  <c r="K99" i="7"/>
  <c r="L99" i="7" s="1"/>
  <c r="P99" i="7"/>
  <c r="N99" i="7"/>
  <c r="A101" i="7"/>
  <c r="W100" i="7"/>
  <c r="H100" i="7"/>
  <c r="T100" i="7"/>
  <c r="U100" i="7" s="1"/>
  <c r="B100" i="7"/>
  <c r="C100" i="7"/>
  <c r="R100" i="7"/>
  <c r="S100" i="7" s="1"/>
  <c r="D99" i="7"/>
  <c r="E99" i="7" s="1"/>
  <c r="F99" i="7"/>
  <c r="H90" i="16"/>
  <c r="C92" i="16"/>
  <c r="D92" i="16"/>
  <c r="E92" i="16"/>
  <c r="S92" i="16" s="1"/>
  <c r="F92" i="16"/>
  <c r="T92" i="16" s="1"/>
  <c r="K92" i="16"/>
  <c r="L92" i="16"/>
  <c r="Q91" i="16"/>
  <c r="G91" i="16"/>
  <c r="H91" i="16" s="1"/>
  <c r="J93" i="16"/>
  <c r="B93" i="16"/>
  <c r="M93" i="16"/>
  <c r="A94" i="16"/>
  <c r="I93" i="16"/>
  <c r="O92" i="16"/>
  <c r="P92" i="16"/>
  <c r="Z90" i="16"/>
  <c r="V91" i="16"/>
  <c r="W91" i="16" s="1"/>
  <c r="Y91" i="16" s="1"/>
  <c r="X91" i="16" s="1"/>
  <c r="AE91" i="9" s="1"/>
  <c r="U87" i="15"/>
  <c r="V87" i="15" s="1"/>
  <c r="F88" i="15"/>
  <c r="W88" i="15"/>
  <c r="A89" i="15"/>
  <c r="H88" i="15"/>
  <c r="AC88" i="15"/>
  <c r="I88" i="15"/>
  <c r="AE88" i="15"/>
  <c r="J88" i="15"/>
  <c r="AF88" i="15"/>
  <c r="L88" i="15"/>
  <c r="AK88" i="15"/>
  <c r="E88" i="15"/>
  <c r="AO88" i="15"/>
  <c r="Y88" i="15"/>
  <c r="AJ88" i="15"/>
  <c r="G88" i="15"/>
  <c r="K88" i="15"/>
  <c r="Q87" i="15"/>
  <c r="R87" i="15" s="1"/>
  <c r="M87" i="15"/>
  <c r="N87" i="15" s="1"/>
  <c r="O87" i="15" s="1"/>
  <c r="P87" i="15" s="1"/>
  <c r="U73" i="11"/>
  <c r="J7" i="9"/>
  <c r="AO249" i="3"/>
  <c r="S249" i="3" s="1"/>
  <c r="AH16" i="6"/>
  <c r="K16" i="6"/>
  <c r="R16" i="6"/>
  <c r="M16" i="6"/>
  <c r="D16" i="6"/>
  <c r="O16" i="6"/>
  <c r="U16" i="6"/>
  <c r="W16" i="6"/>
  <c r="Y16" i="6"/>
  <c r="AB16" i="6"/>
  <c r="AG16" i="6"/>
  <c r="G16" i="6"/>
  <c r="P16" i="6"/>
  <c r="N16" i="6"/>
  <c r="AI16" i="6"/>
  <c r="L16" i="6"/>
  <c r="AJ16" i="6"/>
  <c r="H16" i="6"/>
  <c r="AC16" i="6"/>
  <c r="F16" i="6"/>
  <c r="Z16" i="6"/>
  <c r="C16" i="6"/>
  <c r="X16" i="6"/>
  <c r="B16" i="6"/>
  <c r="V16" i="6"/>
  <c r="S16" i="6"/>
  <c r="E16" i="6"/>
  <c r="R7" i="7"/>
  <c r="U7" i="7"/>
  <c r="X7" i="7"/>
  <c r="I7" i="7"/>
  <c r="L7" i="7"/>
  <c r="N7" i="7"/>
  <c r="P7" i="7"/>
  <c r="Z8" i="7"/>
  <c r="K8" i="7"/>
  <c r="S7" i="7"/>
  <c r="V7" i="7"/>
  <c r="B7" i="7"/>
  <c r="Q7" i="7"/>
  <c r="Y7" i="7"/>
  <c r="E7" i="7"/>
  <c r="AB7" i="7"/>
  <c r="G7" i="7"/>
  <c r="AA7" i="7"/>
  <c r="J7" i="7"/>
  <c r="D7" i="7"/>
  <c r="M7" i="7"/>
  <c r="F7" i="7"/>
  <c r="O7" i="7"/>
  <c r="W7" i="7"/>
  <c r="Z7" i="7" s="1"/>
  <c r="C7" i="7"/>
  <c r="H7" i="7"/>
  <c r="T7" i="7"/>
  <c r="P7" i="9"/>
  <c r="Q7" i="9"/>
  <c r="R7" i="9"/>
  <c r="N7" i="9"/>
  <c r="O7" i="9"/>
  <c r="M7" i="9"/>
  <c r="V7" i="9"/>
  <c r="X7" i="9"/>
  <c r="Y7" i="9"/>
  <c r="AA7" i="9"/>
  <c r="Z7" i="9"/>
  <c r="S7" i="9"/>
  <c r="T7" i="9"/>
  <c r="U7" i="9"/>
  <c r="W7" i="9"/>
  <c r="AB7" i="9"/>
  <c r="AC7" i="9"/>
  <c r="N74" i="11"/>
  <c r="T74" i="11" s="1"/>
  <c r="AH59" i="6"/>
  <c r="AG59" i="6"/>
  <c r="AF60" i="6"/>
  <c r="AE60" i="6"/>
  <c r="AF16" i="6"/>
  <c r="AE16" i="6"/>
  <c r="S75" i="11"/>
  <c r="R75" i="11"/>
  <c r="Q75" i="11"/>
  <c r="L75" i="11"/>
  <c r="O75" i="11" s="1"/>
  <c r="J75" i="11"/>
  <c r="M75" i="11" s="1"/>
  <c r="K75" i="11"/>
  <c r="A77" i="11"/>
  <c r="F77" i="11" s="1"/>
  <c r="P76" i="11"/>
  <c r="I76" i="11"/>
  <c r="H76" i="11"/>
  <c r="E76" i="11"/>
  <c r="G76" i="11" s="1"/>
  <c r="AI56" i="6"/>
  <c r="AJ56" i="6" s="1"/>
  <c r="Z56" i="9" s="1"/>
  <c r="T16" i="6"/>
  <c r="R60" i="6"/>
  <c r="S60" i="6" s="1"/>
  <c r="T60" i="6"/>
  <c r="J16" i="6"/>
  <c r="J60" i="6"/>
  <c r="O60" i="6"/>
  <c r="B60" i="6"/>
  <c r="C60" i="6" s="1"/>
  <c r="D60" i="6"/>
  <c r="I7" i="9"/>
  <c r="H69" i="9"/>
  <c r="E69" i="9"/>
  <c r="I69" i="9"/>
  <c r="J69" i="9" s="1"/>
  <c r="R69" i="9" s="1"/>
  <c r="F69" i="9"/>
  <c r="G69" i="9"/>
  <c r="G7" i="9"/>
  <c r="H7" i="9"/>
  <c r="E7" i="9"/>
  <c r="F7" i="9"/>
  <c r="A70" i="9"/>
  <c r="AC57" i="6"/>
  <c r="H58" i="6"/>
  <c r="X58" i="6"/>
  <c r="Z58" i="6" s="1"/>
  <c r="A61" i="6"/>
  <c r="L58" i="6"/>
  <c r="N58" i="6"/>
  <c r="P58" i="6" s="1"/>
  <c r="K59" i="6"/>
  <c r="M59" i="6"/>
  <c r="E59" i="6"/>
  <c r="F59" i="6" s="1"/>
  <c r="G59" i="6"/>
  <c r="AB59" i="6"/>
  <c r="W59" i="6"/>
  <c r="Y59" i="6"/>
  <c r="U59" i="6"/>
  <c r="V59" i="6" s="1"/>
  <c r="A15" i="6"/>
  <c r="AA70" i="9"/>
  <c r="AB70" i="9"/>
  <c r="Q70" i="9"/>
  <c r="N70" i="9"/>
  <c r="O70" i="9"/>
  <c r="AC70" i="9"/>
  <c r="P70" i="9"/>
  <c r="U70" i="9" l="1"/>
  <c r="G99" i="7"/>
  <c r="J99" i="7" s="1"/>
  <c r="M99" i="7" s="1"/>
  <c r="O99" i="7" s="1"/>
  <c r="Q99" i="7" s="1"/>
  <c r="V99" i="7" s="1"/>
  <c r="Y99" i="7" s="1"/>
  <c r="AB99" i="7" s="1"/>
  <c r="M99" i="9" s="1"/>
  <c r="A85" i="13"/>
  <c r="B84" i="13"/>
  <c r="R91" i="16"/>
  <c r="U92" i="16" s="1"/>
  <c r="V92" i="16" s="1"/>
  <c r="W92" i="16" s="1"/>
  <c r="Y92" i="16" s="1"/>
  <c r="X92" i="16" s="1"/>
  <c r="AE92" i="9" s="1"/>
  <c r="I85" i="14"/>
  <c r="L85" i="14" s="1"/>
  <c r="J85" i="14"/>
  <c r="A86" i="14"/>
  <c r="K85" i="14"/>
  <c r="E85" i="14"/>
  <c r="G85" i="14" s="1"/>
  <c r="F85" i="14"/>
  <c r="H84" i="14"/>
  <c r="C101" i="7"/>
  <c r="T101" i="7"/>
  <c r="U101" i="7" s="1"/>
  <c r="R101" i="7"/>
  <c r="S101" i="7" s="1"/>
  <c r="H101" i="7"/>
  <c r="W101" i="7"/>
  <c r="B101" i="7"/>
  <c r="A102" i="7"/>
  <c r="F100" i="7"/>
  <c r="D100" i="7"/>
  <c r="E100" i="7" s="1"/>
  <c r="X100" i="7"/>
  <c r="Z100" i="7"/>
  <c r="AA100" i="7" s="1"/>
  <c r="P100" i="7"/>
  <c r="I100" i="7"/>
  <c r="K100" i="7"/>
  <c r="L100" i="7" s="1"/>
  <c r="N100" i="7"/>
  <c r="I94" i="16"/>
  <c r="J94" i="16"/>
  <c r="B94" i="16"/>
  <c r="M94" i="16"/>
  <c r="A95" i="16"/>
  <c r="P93" i="16"/>
  <c r="O93" i="16"/>
  <c r="S87" i="15"/>
  <c r="C93" i="16"/>
  <c r="D93" i="16"/>
  <c r="E93" i="16"/>
  <c r="S93" i="16" s="1"/>
  <c r="F93" i="16"/>
  <c r="T93" i="16" s="1"/>
  <c r="K93" i="16"/>
  <c r="L93" i="16"/>
  <c r="Q92" i="16"/>
  <c r="G92" i="16"/>
  <c r="R92" i="16" s="1"/>
  <c r="L89" i="15"/>
  <c r="AK89" i="15"/>
  <c r="F89" i="15"/>
  <c r="W89" i="15"/>
  <c r="A90" i="15"/>
  <c r="G89" i="15"/>
  <c r="Y89" i="15"/>
  <c r="H89" i="15"/>
  <c r="AC89" i="15"/>
  <c r="J89" i="15"/>
  <c r="AF89" i="15"/>
  <c r="I89" i="15"/>
  <c r="AO89" i="15"/>
  <c r="AJ89" i="15"/>
  <c r="K89" i="15"/>
  <c r="E89" i="15"/>
  <c r="AE89" i="15"/>
  <c r="U88" i="15"/>
  <c r="V88" i="15" s="1"/>
  <c r="M88" i="15"/>
  <c r="N88" i="15" s="1"/>
  <c r="O88" i="15" s="1"/>
  <c r="P88" i="15" s="1"/>
  <c r="Q88" i="15"/>
  <c r="R88" i="15" s="1"/>
  <c r="U74" i="11"/>
  <c r="AG15" i="6"/>
  <c r="AH15" i="6"/>
  <c r="K15" i="6"/>
  <c r="R15" i="6"/>
  <c r="M15" i="6"/>
  <c r="D15" i="6"/>
  <c r="O15" i="6"/>
  <c r="U15" i="6"/>
  <c r="W15" i="6"/>
  <c r="Y15" i="6"/>
  <c r="AB15" i="6"/>
  <c r="E15" i="6"/>
  <c r="S15" i="6"/>
  <c r="G15" i="6"/>
  <c r="P15" i="6"/>
  <c r="N15" i="6"/>
  <c r="AI15" i="6"/>
  <c r="L15" i="6"/>
  <c r="AJ15" i="6"/>
  <c r="H15" i="6"/>
  <c r="AC15" i="6"/>
  <c r="F15" i="6"/>
  <c r="Z15" i="6"/>
  <c r="C15" i="6"/>
  <c r="X15" i="6"/>
  <c r="V15" i="6"/>
  <c r="B15" i="6"/>
  <c r="K7" i="7"/>
  <c r="E64" i="10" s="1" a="1"/>
  <c r="E64" i="10" s="1"/>
  <c r="N75" i="11"/>
  <c r="T75" i="11" s="1"/>
  <c r="AH60" i="6"/>
  <c r="AG60" i="6"/>
  <c r="AF15" i="6"/>
  <c r="AE15" i="6"/>
  <c r="AF61" i="6"/>
  <c r="AE61" i="6"/>
  <c r="S76" i="11"/>
  <c r="R76" i="11"/>
  <c r="Q76" i="11"/>
  <c r="L76" i="11"/>
  <c r="O76" i="11" s="1"/>
  <c r="K76" i="11"/>
  <c r="J76" i="11"/>
  <c r="M76" i="11" s="1"/>
  <c r="A78" i="11"/>
  <c r="F78" i="11" s="1"/>
  <c r="P77" i="11"/>
  <c r="I77" i="11"/>
  <c r="H77" i="11"/>
  <c r="E77" i="11"/>
  <c r="G77" i="11" s="1"/>
  <c r="AI57" i="6"/>
  <c r="AJ57" i="6" s="1"/>
  <c r="Z57" i="9" s="1"/>
  <c r="T15" i="6"/>
  <c r="R61" i="6"/>
  <c r="S61" i="6" s="1"/>
  <c r="T61" i="6"/>
  <c r="J15" i="6"/>
  <c r="J61" i="6"/>
  <c r="O61" i="6"/>
  <c r="B61" i="6"/>
  <c r="C61" i="6" s="1"/>
  <c r="D61" i="6"/>
  <c r="G70" i="9"/>
  <c r="H70" i="9"/>
  <c r="E70" i="9"/>
  <c r="I70" i="9"/>
  <c r="J70" i="9" s="1"/>
  <c r="R70" i="9" s="1"/>
  <c r="F70" i="9"/>
  <c r="A71" i="9"/>
  <c r="H59" i="6"/>
  <c r="M60" i="6"/>
  <c r="K60" i="6"/>
  <c r="G60" i="6"/>
  <c r="E60" i="6"/>
  <c r="F60" i="6" s="1"/>
  <c r="X59" i="6"/>
  <c r="Z59" i="6" s="1"/>
  <c r="AC58" i="6"/>
  <c r="L59" i="6"/>
  <c r="N59" i="6"/>
  <c r="P59" i="6" s="1"/>
  <c r="A62" i="6"/>
  <c r="U60" i="6"/>
  <c r="V60" i="6" s="1"/>
  <c r="AB60" i="6"/>
  <c r="W60" i="6"/>
  <c r="Y60" i="6"/>
  <c r="A14" i="6"/>
  <c r="Q71" i="9"/>
  <c r="AA71" i="9"/>
  <c r="AC71" i="9"/>
  <c r="N71" i="9"/>
  <c r="AB71" i="9"/>
  <c r="O71" i="9"/>
  <c r="P71" i="9"/>
  <c r="U71" i="9" l="1"/>
  <c r="U93" i="16"/>
  <c r="Z91" i="16"/>
  <c r="B85" i="13"/>
  <c r="A86" i="13"/>
  <c r="H85" i="14"/>
  <c r="I86" i="14"/>
  <c r="L86" i="14" s="1"/>
  <c r="J86" i="14"/>
  <c r="K86" i="14"/>
  <c r="E86" i="14"/>
  <c r="G86" i="14" s="1"/>
  <c r="A87" i="14"/>
  <c r="F86" i="14"/>
  <c r="A103" i="7"/>
  <c r="W102" i="7"/>
  <c r="H102" i="7"/>
  <c r="C102" i="7"/>
  <c r="R102" i="7"/>
  <c r="S102" i="7" s="1"/>
  <c r="T102" i="7"/>
  <c r="U102" i="7" s="1"/>
  <c r="B102" i="7"/>
  <c r="X101" i="7"/>
  <c r="Z101" i="7"/>
  <c r="AA101" i="7" s="1"/>
  <c r="G100" i="7"/>
  <c r="J100" i="7" s="1"/>
  <c r="M100" i="7" s="1"/>
  <c r="O100" i="7" s="1"/>
  <c r="Q100" i="7" s="1"/>
  <c r="V100" i="7" s="1"/>
  <c r="Y100" i="7" s="1"/>
  <c r="AB100" i="7" s="1"/>
  <c r="M100" i="9" s="1"/>
  <c r="I101" i="7"/>
  <c r="K101" i="7"/>
  <c r="L101" i="7" s="1"/>
  <c r="P101" i="7"/>
  <c r="N101" i="7"/>
  <c r="D101" i="7"/>
  <c r="E101" i="7" s="1"/>
  <c r="F101" i="7"/>
  <c r="H92" i="16"/>
  <c r="M95" i="16"/>
  <c r="B95" i="16"/>
  <c r="A96" i="16"/>
  <c r="I95" i="16"/>
  <c r="J95" i="16"/>
  <c r="O94" i="16"/>
  <c r="P94" i="16"/>
  <c r="Z92" i="16"/>
  <c r="F94" i="16"/>
  <c r="T94" i="16" s="1"/>
  <c r="E94" i="16"/>
  <c r="S94" i="16" s="1"/>
  <c r="C94" i="16"/>
  <c r="D94" i="16"/>
  <c r="G93" i="16"/>
  <c r="R93" i="16" s="1"/>
  <c r="U94" i="16" s="1"/>
  <c r="Q93" i="16"/>
  <c r="K94" i="16"/>
  <c r="L94" i="16"/>
  <c r="V93" i="16"/>
  <c r="W93" i="16" s="1"/>
  <c r="Y93" i="16" s="1"/>
  <c r="X93" i="16" s="1"/>
  <c r="AE93" i="9" s="1"/>
  <c r="S88" i="15"/>
  <c r="J90" i="15"/>
  <c r="AF90" i="15"/>
  <c r="L90" i="15"/>
  <c r="AK90" i="15"/>
  <c r="E90" i="15"/>
  <c r="AO90" i="15"/>
  <c r="F90" i="15"/>
  <c r="W90" i="15"/>
  <c r="A91" i="15"/>
  <c r="H90" i="15"/>
  <c r="AC90" i="15"/>
  <c r="AE90" i="15"/>
  <c r="G90" i="15"/>
  <c r="AJ90" i="15"/>
  <c r="I90" i="15"/>
  <c r="K90" i="15"/>
  <c r="Y90" i="15"/>
  <c r="Q89" i="15"/>
  <c r="R89" i="15" s="1"/>
  <c r="M89" i="15"/>
  <c r="N89" i="15" s="1"/>
  <c r="O89" i="15" s="1"/>
  <c r="P89" i="15" s="1"/>
  <c r="U89" i="15"/>
  <c r="V89" i="15" s="1"/>
  <c r="U75" i="11"/>
  <c r="E60" i="10" a="1"/>
  <c r="E60" i="10" s="1"/>
  <c r="E67" i="10" a="1"/>
  <c r="E67" i="10" s="1"/>
  <c r="E59" i="10" a="1"/>
  <c r="E59" i="10" s="1"/>
  <c r="E66" i="10" a="1"/>
  <c r="E66" i="10" s="1"/>
  <c r="E58" i="10" a="1"/>
  <c r="E58" i="10" s="1"/>
  <c r="E62" i="10" a="1"/>
  <c r="E62" i="10" s="1"/>
  <c r="E65" i="10" a="1"/>
  <c r="E65" i="10" s="1"/>
  <c r="E61" i="10" a="1"/>
  <c r="E61" i="10" s="1"/>
  <c r="E63" i="10" a="1"/>
  <c r="E63" i="10" s="1"/>
  <c r="E68" i="10" a="1"/>
  <c r="E68" i="10" s="1"/>
  <c r="AB14" i="6"/>
  <c r="AG14" i="6"/>
  <c r="AH14" i="6"/>
  <c r="K14" i="6"/>
  <c r="R14" i="6"/>
  <c r="M14" i="6"/>
  <c r="D14" i="6"/>
  <c r="O14" i="6"/>
  <c r="U14" i="6"/>
  <c r="W14" i="6"/>
  <c r="Y14" i="6"/>
  <c r="B14" i="6"/>
  <c r="V14" i="6"/>
  <c r="E14" i="6"/>
  <c r="S14" i="6"/>
  <c r="G14" i="6"/>
  <c r="P14" i="6"/>
  <c r="N14" i="6"/>
  <c r="AI14" i="6"/>
  <c r="L14" i="6"/>
  <c r="AJ14" i="6"/>
  <c r="H14" i="6"/>
  <c r="AC14" i="6"/>
  <c r="F14" i="6"/>
  <c r="Z14" i="6"/>
  <c r="X14" i="6"/>
  <c r="C14" i="6"/>
  <c r="F58" i="10" a="1"/>
  <c r="F58" i="10" s="1"/>
  <c r="V74" i="10" s="1"/>
  <c r="M58" i="10" a="1"/>
  <c r="M58" i="10" s="1"/>
  <c r="N58" i="10" a="1"/>
  <c r="N58" i="10" s="1"/>
  <c r="N65" i="10" a="1"/>
  <c r="N65" i="10" s="1"/>
  <c r="AD84" i="10" s="1"/>
  <c r="H58" i="10" a="1"/>
  <c r="H58" i="10" s="1"/>
  <c r="F64" i="10" a="1"/>
  <c r="F64" i="10" s="1"/>
  <c r="V79" i="10" s="1"/>
  <c r="Q65" i="10" a="1"/>
  <c r="Q65" i="10" s="1"/>
  <c r="AG84" i="10" s="1"/>
  <c r="F60" i="10" a="1"/>
  <c r="F60" i="10" s="1"/>
  <c r="V76" i="10" s="1"/>
  <c r="K58" i="10" a="1"/>
  <c r="K58" i="10" s="1"/>
  <c r="J65" i="10" a="1"/>
  <c r="J65" i="10" s="1"/>
  <c r="Z84" i="10" s="1"/>
  <c r="L65" i="10" a="1"/>
  <c r="L65" i="10" s="1"/>
  <c r="AB84" i="10" s="1"/>
  <c r="I65" i="10" a="1"/>
  <c r="I65" i="10" s="1"/>
  <c r="Y84" i="10" s="1"/>
  <c r="H65" i="10" a="1"/>
  <c r="H65" i="10" s="1"/>
  <c r="X84" i="10" s="1"/>
  <c r="L58" i="10" a="1"/>
  <c r="L58" i="10" s="1"/>
  <c r="F66" i="10" a="1"/>
  <c r="F66" i="10" s="1"/>
  <c r="V88" i="10" s="1"/>
  <c r="O58" i="10" a="1"/>
  <c r="O58" i="10" s="1"/>
  <c r="G58" i="10" a="1"/>
  <c r="G58" i="10" s="1"/>
  <c r="J58" i="10" a="1"/>
  <c r="J58" i="10" s="1"/>
  <c r="F61" i="10" a="1"/>
  <c r="F61" i="10" s="1"/>
  <c r="V276" i="10" s="1"/>
  <c r="P58" i="10" a="1"/>
  <c r="P58" i="10" s="1"/>
  <c r="F67" i="10" a="1"/>
  <c r="F67" i="10" s="1"/>
  <c r="V89" i="10" s="1"/>
  <c r="F63" i="10" a="1"/>
  <c r="F63" i="10" s="1"/>
  <c r="V78" i="10" s="1"/>
  <c r="O65" i="10" a="1"/>
  <c r="O65" i="10" s="1"/>
  <c r="AE84" i="10" s="1"/>
  <c r="P65" i="10" a="1"/>
  <c r="P65" i="10" s="1"/>
  <c r="AF84" i="10" s="1"/>
  <c r="K65" i="10" a="1"/>
  <c r="K65" i="10" s="1"/>
  <c r="AA84" i="10" s="1"/>
  <c r="F62" i="10" a="1"/>
  <c r="F62" i="10" s="1"/>
  <c r="V77" i="10" s="1"/>
  <c r="M65" i="10" a="1"/>
  <c r="M65" i="10" s="1"/>
  <c r="AC84" i="10" s="1"/>
  <c r="F65" i="10" a="1"/>
  <c r="F65" i="10" s="1"/>
  <c r="V84" i="10" s="1"/>
  <c r="F68" i="10" a="1"/>
  <c r="F68" i="10" s="1"/>
  <c r="V90" i="10" s="1"/>
  <c r="I58" i="10" a="1"/>
  <c r="I58" i="10" s="1"/>
  <c r="G65" i="10" a="1"/>
  <c r="G65" i="10" s="1"/>
  <c r="W84" i="10" s="1"/>
  <c r="Q58" i="10" a="1"/>
  <c r="Q58" i="10" s="1"/>
  <c r="F59" i="10" a="1"/>
  <c r="F59" i="10" s="1"/>
  <c r="V75" i="10" s="1"/>
  <c r="N76" i="11"/>
  <c r="T76" i="11" s="1"/>
  <c r="AH61" i="6"/>
  <c r="AG61" i="6"/>
  <c r="AF14" i="6"/>
  <c r="AE14" i="6"/>
  <c r="AF62" i="6"/>
  <c r="AG62" i="6" s="1"/>
  <c r="AE62" i="6"/>
  <c r="R77" i="11"/>
  <c r="Q77" i="11"/>
  <c r="S77" i="11"/>
  <c r="L77" i="11"/>
  <c r="O77" i="11" s="1"/>
  <c r="K77" i="11"/>
  <c r="J77" i="11"/>
  <c r="M77" i="11" s="1"/>
  <c r="E78" i="11"/>
  <c r="G78" i="11" s="1"/>
  <c r="A79" i="11"/>
  <c r="F79" i="11" s="1"/>
  <c r="P78" i="11"/>
  <c r="I78" i="11"/>
  <c r="H78" i="11"/>
  <c r="AI58" i="6"/>
  <c r="AJ58" i="6" s="1"/>
  <c r="Z58" i="9" s="1"/>
  <c r="T14" i="6"/>
  <c r="R62" i="6"/>
  <c r="S62" i="6" s="1"/>
  <c r="T62" i="6"/>
  <c r="J14" i="6"/>
  <c r="J62" i="6"/>
  <c r="O62" i="6"/>
  <c r="B62" i="6"/>
  <c r="C62" i="6" s="1"/>
  <c r="D62" i="6"/>
  <c r="F71" i="9"/>
  <c r="G71" i="9"/>
  <c r="H71" i="9"/>
  <c r="E71" i="9"/>
  <c r="I71" i="9"/>
  <c r="J71" i="9" s="1"/>
  <c r="R71" i="9" s="1"/>
  <c r="A72" i="9"/>
  <c r="Y61" i="6"/>
  <c r="U61" i="6"/>
  <c r="V61" i="6" s="1"/>
  <c r="AB61" i="6"/>
  <c r="W61" i="6"/>
  <c r="X60" i="6"/>
  <c r="Z60" i="6" s="1"/>
  <c r="A63" i="6"/>
  <c r="M61" i="6"/>
  <c r="K61" i="6"/>
  <c r="AC59" i="6"/>
  <c r="E61" i="6"/>
  <c r="F61" i="6" s="1"/>
  <c r="G61" i="6"/>
  <c r="H60" i="6"/>
  <c r="L60" i="6"/>
  <c r="N60" i="6"/>
  <c r="P60" i="6" s="1"/>
  <c r="A13" i="6"/>
  <c r="O72" i="9"/>
  <c r="AA72" i="9"/>
  <c r="N72" i="9"/>
  <c r="AB72" i="9"/>
  <c r="P72" i="9"/>
  <c r="Q72" i="9"/>
  <c r="AC72" i="9"/>
  <c r="U72" i="9" l="1"/>
  <c r="G101" i="7"/>
  <c r="J101" i="7" s="1"/>
  <c r="M101" i="7" s="1"/>
  <c r="O101" i="7" s="1"/>
  <c r="Q101" i="7" s="1"/>
  <c r="V101" i="7" s="1"/>
  <c r="Y101" i="7" s="1"/>
  <c r="AB101" i="7" s="1"/>
  <c r="M101" i="9" s="1"/>
  <c r="B86" i="13"/>
  <c r="A87" i="13"/>
  <c r="F87" i="14"/>
  <c r="K87" i="14"/>
  <c r="I87" i="14"/>
  <c r="L87" i="14" s="1"/>
  <c r="J87" i="14"/>
  <c r="E87" i="14"/>
  <c r="G87" i="14" s="1"/>
  <c r="A88" i="14"/>
  <c r="H86" i="14"/>
  <c r="D102" i="7"/>
  <c r="E102" i="7" s="1"/>
  <c r="F102" i="7"/>
  <c r="P102" i="7"/>
  <c r="N102" i="7"/>
  <c r="I102" i="7"/>
  <c r="K102" i="7"/>
  <c r="L102" i="7" s="1"/>
  <c r="Z102" i="7"/>
  <c r="AA102" i="7" s="1"/>
  <c r="X102" i="7"/>
  <c r="C103" i="7"/>
  <c r="H103" i="7"/>
  <c r="R103" i="7"/>
  <c r="S103" i="7" s="1"/>
  <c r="T103" i="7"/>
  <c r="U103" i="7" s="1"/>
  <c r="A104" i="7"/>
  <c r="B103" i="7"/>
  <c r="W103" i="7"/>
  <c r="S89" i="15"/>
  <c r="H93" i="16"/>
  <c r="Z93" i="16" s="1"/>
  <c r="L95" i="16"/>
  <c r="K95" i="16"/>
  <c r="G94" i="16"/>
  <c r="R94" i="16" s="1"/>
  <c r="U95" i="16" s="1"/>
  <c r="Q94" i="16"/>
  <c r="M96" i="16"/>
  <c r="I96" i="16"/>
  <c r="J96" i="16"/>
  <c r="B96" i="16"/>
  <c r="A97" i="16"/>
  <c r="E95" i="16"/>
  <c r="S95" i="16" s="1"/>
  <c r="F95" i="16"/>
  <c r="T95" i="16" s="1"/>
  <c r="C95" i="16"/>
  <c r="D95" i="16"/>
  <c r="V94" i="16"/>
  <c r="W94" i="16" s="1"/>
  <c r="Y94" i="16" s="1"/>
  <c r="X94" i="16" s="1"/>
  <c r="AE94" i="9" s="1"/>
  <c r="O95" i="16"/>
  <c r="P95" i="16"/>
  <c r="Q90" i="15"/>
  <c r="R90" i="15" s="1"/>
  <c r="M90" i="15"/>
  <c r="N90" i="15" s="1"/>
  <c r="O90" i="15" s="1"/>
  <c r="P90" i="15" s="1"/>
  <c r="U90" i="15"/>
  <c r="V90" i="15" s="1"/>
  <c r="H91" i="15"/>
  <c r="AC91" i="15"/>
  <c r="J91" i="15"/>
  <c r="AF91" i="15"/>
  <c r="K91" i="15"/>
  <c r="AJ91" i="15"/>
  <c r="L91" i="15"/>
  <c r="AK91" i="15"/>
  <c r="F91" i="15"/>
  <c r="W91" i="15"/>
  <c r="A92" i="15"/>
  <c r="Y91" i="15"/>
  <c r="E91" i="15"/>
  <c r="AE91" i="15"/>
  <c r="G91" i="15"/>
  <c r="AO91" i="15"/>
  <c r="I91" i="15"/>
  <c r="U76" i="11"/>
  <c r="L59" i="10" a="1"/>
  <c r="L59" i="10" s="1"/>
  <c r="AB74" i="10"/>
  <c r="M59" i="10" a="1"/>
  <c r="M59" i="10" s="1"/>
  <c r="AC74" i="10"/>
  <c r="K59" i="10" a="1"/>
  <c r="K59" i="10" s="1"/>
  <c r="AA74" i="10"/>
  <c r="Q59" i="10" a="1"/>
  <c r="Q59" i="10" s="1"/>
  <c r="AG74" i="10"/>
  <c r="P59" i="10" a="1"/>
  <c r="P59" i="10" s="1"/>
  <c r="AF74" i="10"/>
  <c r="I59" i="10" a="1"/>
  <c r="I59" i="10" s="1"/>
  <c r="Y74" i="10"/>
  <c r="J59" i="10" a="1"/>
  <c r="J59" i="10" s="1"/>
  <c r="Z74" i="10"/>
  <c r="N59" i="10" a="1"/>
  <c r="N59" i="10" s="1"/>
  <c r="AD74" i="10"/>
  <c r="G59" i="10" a="1"/>
  <c r="G59" i="10" s="1"/>
  <c r="W74" i="10"/>
  <c r="H59" i="10" a="1"/>
  <c r="H59" i="10" s="1"/>
  <c r="X74" i="10"/>
  <c r="O59" i="10" a="1"/>
  <c r="O59" i="10" s="1"/>
  <c r="AE74" i="10"/>
  <c r="Y13" i="6"/>
  <c r="AB13" i="6"/>
  <c r="AG13" i="6"/>
  <c r="AH13" i="6"/>
  <c r="K13" i="6"/>
  <c r="R13" i="6"/>
  <c r="M13" i="6"/>
  <c r="D13" i="6"/>
  <c r="O13" i="6"/>
  <c r="U13" i="6"/>
  <c r="W13" i="6"/>
  <c r="C13" i="6"/>
  <c r="X13" i="6"/>
  <c r="B13" i="6"/>
  <c r="V13" i="6"/>
  <c r="E13" i="6"/>
  <c r="S13" i="6"/>
  <c r="G13" i="6"/>
  <c r="P13" i="6"/>
  <c r="N13" i="6"/>
  <c r="AI13" i="6"/>
  <c r="L13" i="6"/>
  <c r="AJ13" i="6"/>
  <c r="H13" i="6"/>
  <c r="AC13" i="6"/>
  <c r="Z13" i="6"/>
  <c r="F13" i="6"/>
  <c r="N77" i="11"/>
  <c r="T77" i="11" s="1"/>
  <c r="AH62" i="6"/>
  <c r="AF13" i="6"/>
  <c r="AE13" i="6"/>
  <c r="AF63" i="6"/>
  <c r="AE63" i="6"/>
  <c r="S78" i="11"/>
  <c r="R78" i="11"/>
  <c r="Q78" i="11"/>
  <c r="K78" i="11"/>
  <c r="L78" i="11"/>
  <c r="O78" i="11" s="1"/>
  <c r="J78" i="11"/>
  <c r="M78" i="11" s="1"/>
  <c r="H79" i="11"/>
  <c r="E79" i="11"/>
  <c r="G79" i="11" s="1"/>
  <c r="A80" i="11"/>
  <c r="P79" i="11"/>
  <c r="I79" i="11"/>
  <c r="AI59" i="6"/>
  <c r="AJ59" i="6" s="1"/>
  <c r="Z59" i="9" s="1"/>
  <c r="R63" i="6"/>
  <c r="S63" i="6" s="1"/>
  <c r="T63" i="6"/>
  <c r="T13" i="6"/>
  <c r="J13" i="6"/>
  <c r="J63" i="6"/>
  <c r="O63" i="6"/>
  <c r="B63" i="6"/>
  <c r="C63" i="6" s="1"/>
  <c r="D63" i="6"/>
  <c r="E72" i="9"/>
  <c r="I72" i="9"/>
  <c r="J72" i="9" s="1"/>
  <c r="R72" i="9" s="1"/>
  <c r="F72" i="9"/>
  <c r="G72" i="9"/>
  <c r="H72" i="9"/>
  <c r="A73" i="9"/>
  <c r="H61" i="6"/>
  <c r="X61" i="6"/>
  <c r="Z61" i="6" s="1"/>
  <c r="A64" i="6"/>
  <c r="N61" i="6"/>
  <c r="P61" i="6" s="1"/>
  <c r="L61" i="6"/>
  <c r="G62" i="6"/>
  <c r="E62" i="6"/>
  <c r="F62" i="6" s="1"/>
  <c r="K62" i="6"/>
  <c r="M62" i="6"/>
  <c r="AC60" i="6"/>
  <c r="AB62" i="6"/>
  <c r="W62" i="6"/>
  <c r="Y62" i="6"/>
  <c r="U62" i="6"/>
  <c r="V62" i="6" s="1"/>
  <c r="A12" i="6"/>
  <c r="P73" i="9"/>
  <c r="Q73" i="9"/>
  <c r="AB73" i="9"/>
  <c r="N73" i="9"/>
  <c r="AC73" i="9"/>
  <c r="AA73" i="9"/>
  <c r="O73" i="9"/>
  <c r="U73" i="9" l="1"/>
  <c r="H87" i="14"/>
  <c r="G102" i="7"/>
  <c r="J102" i="7" s="1"/>
  <c r="M102" i="7" s="1"/>
  <c r="O102" i="7" s="1"/>
  <c r="Q102" i="7" s="1"/>
  <c r="V102" i="7" s="1"/>
  <c r="Y102" i="7" s="1"/>
  <c r="AB102" i="7" s="1"/>
  <c r="M102" i="9" s="1"/>
  <c r="B87" i="13"/>
  <c r="A88" i="13"/>
  <c r="E88" i="14"/>
  <c r="G88" i="14" s="1"/>
  <c r="A89" i="14"/>
  <c r="F88" i="14"/>
  <c r="J88" i="14"/>
  <c r="I88" i="14"/>
  <c r="L88" i="14" s="1"/>
  <c r="K88" i="14"/>
  <c r="Z103" i="7"/>
  <c r="AA103" i="7" s="1"/>
  <c r="X103" i="7"/>
  <c r="W104" i="7"/>
  <c r="H104" i="7"/>
  <c r="R104" i="7"/>
  <c r="S104" i="7" s="1"/>
  <c r="B104" i="7"/>
  <c r="T104" i="7"/>
  <c r="U104" i="7" s="1"/>
  <c r="A105" i="7"/>
  <c r="C104" i="7"/>
  <c r="K103" i="7"/>
  <c r="L103" i="7" s="1"/>
  <c r="I103" i="7"/>
  <c r="P103" i="7"/>
  <c r="N103" i="7"/>
  <c r="D103" i="7"/>
  <c r="E103" i="7" s="1"/>
  <c r="F103" i="7"/>
  <c r="H94" i="16"/>
  <c r="Z94" i="16" s="1"/>
  <c r="A98" i="16"/>
  <c r="I97" i="16"/>
  <c r="J97" i="16"/>
  <c r="M97" i="16"/>
  <c r="B97" i="16"/>
  <c r="D96" i="16"/>
  <c r="E96" i="16"/>
  <c r="S96" i="16" s="1"/>
  <c r="C96" i="16"/>
  <c r="F96" i="16"/>
  <c r="T96" i="16" s="1"/>
  <c r="V95" i="16"/>
  <c r="W95" i="16" s="1"/>
  <c r="Y95" i="16" s="1"/>
  <c r="X95" i="16" s="1"/>
  <c r="AE95" i="9" s="1"/>
  <c r="L96" i="16"/>
  <c r="K96" i="16"/>
  <c r="Q95" i="16"/>
  <c r="G95" i="16"/>
  <c r="R95" i="16" s="1"/>
  <c r="U96" i="16" s="1"/>
  <c r="O96" i="16"/>
  <c r="P96" i="16"/>
  <c r="Q91" i="15"/>
  <c r="R91" i="15" s="1"/>
  <c r="M91" i="15"/>
  <c r="N91" i="15" s="1"/>
  <c r="O91" i="15" s="1"/>
  <c r="P91" i="15" s="1"/>
  <c r="U91" i="15"/>
  <c r="V91" i="15" s="1"/>
  <c r="S90" i="15"/>
  <c r="F92" i="15"/>
  <c r="W92" i="15"/>
  <c r="A93" i="15"/>
  <c r="H92" i="15"/>
  <c r="AC92" i="15"/>
  <c r="I92" i="15"/>
  <c r="AE92" i="15"/>
  <c r="J92" i="15"/>
  <c r="AF92" i="15"/>
  <c r="L92" i="15"/>
  <c r="AK92" i="15"/>
  <c r="K92" i="15"/>
  <c r="AO92" i="15"/>
  <c r="Y92" i="15"/>
  <c r="E92" i="15"/>
  <c r="AJ92" i="15"/>
  <c r="G92" i="15"/>
  <c r="F80" i="11"/>
  <c r="A81" i="11"/>
  <c r="U77" i="11"/>
  <c r="N60" i="10" a="1"/>
  <c r="N60" i="10" s="1"/>
  <c r="AD75" i="10"/>
  <c r="Q60" i="10" a="1"/>
  <c r="Q60" i="10" s="1"/>
  <c r="AG75" i="10"/>
  <c r="O60" i="10" a="1"/>
  <c r="O60" i="10" s="1"/>
  <c r="AE75" i="10"/>
  <c r="J60" i="10" a="1"/>
  <c r="J60" i="10" s="1"/>
  <c r="Z75" i="10"/>
  <c r="K60" i="10" a="1"/>
  <c r="K60" i="10" s="1"/>
  <c r="AA75" i="10"/>
  <c r="H60" i="10" a="1"/>
  <c r="H60" i="10" s="1"/>
  <c r="X75" i="10"/>
  <c r="I60" i="10" a="1"/>
  <c r="I60" i="10" s="1"/>
  <c r="Y75" i="10"/>
  <c r="M60" i="10" a="1"/>
  <c r="M60" i="10" s="1"/>
  <c r="AC75" i="10"/>
  <c r="G60" i="10" a="1"/>
  <c r="G60" i="10" s="1"/>
  <c r="W75" i="10"/>
  <c r="P60" i="10" a="1"/>
  <c r="P60" i="10" s="1"/>
  <c r="AF75" i="10"/>
  <c r="L60" i="10" a="1"/>
  <c r="L60" i="10" s="1"/>
  <c r="AB75" i="10"/>
  <c r="W12" i="6"/>
  <c r="Y12" i="6"/>
  <c r="AB12" i="6"/>
  <c r="AG12" i="6"/>
  <c r="AH12" i="6"/>
  <c r="R12" i="6"/>
  <c r="M12" i="6"/>
  <c r="D12" i="6"/>
  <c r="O12" i="6"/>
  <c r="U12" i="6"/>
  <c r="K12" i="6"/>
  <c r="F12" i="6"/>
  <c r="Z12" i="6"/>
  <c r="C12" i="6"/>
  <c r="X12" i="6"/>
  <c r="B12" i="6"/>
  <c r="V12" i="6"/>
  <c r="E12" i="6"/>
  <c r="S12" i="6"/>
  <c r="G12" i="6"/>
  <c r="P12" i="6"/>
  <c r="N12" i="6"/>
  <c r="AI12" i="6"/>
  <c r="L12" i="6"/>
  <c r="AJ12" i="6"/>
  <c r="AC12" i="6"/>
  <c r="H12" i="6"/>
  <c r="N78" i="11"/>
  <c r="T78" i="11" s="1"/>
  <c r="AH63" i="6"/>
  <c r="AG63" i="6"/>
  <c r="AF12" i="6"/>
  <c r="AE12" i="6"/>
  <c r="AF64" i="6"/>
  <c r="AE64" i="6"/>
  <c r="S79" i="11"/>
  <c r="R79" i="11"/>
  <c r="Q79" i="11"/>
  <c r="L79" i="11"/>
  <c r="O79" i="11" s="1"/>
  <c r="K79" i="11"/>
  <c r="J79" i="11"/>
  <c r="M79" i="11" s="1"/>
  <c r="I80" i="11"/>
  <c r="H80" i="11"/>
  <c r="E80" i="11"/>
  <c r="G80" i="11" s="1"/>
  <c r="P80" i="11"/>
  <c r="AI60" i="6"/>
  <c r="AJ60" i="6" s="1"/>
  <c r="Z60" i="9" s="1"/>
  <c r="T12" i="6"/>
  <c r="R64" i="6"/>
  <c r="S64" i="6" s="1"/>
  <c r="T64" i="6"/>
  <c r="J12" i="6"/>
  <c r="J64" i="6"/>
  <c r="O64" i="6"/>
  <c r="B64" i="6"/>
  <c r="C64" i="6" s="1"/>
  <c r="D64" i="6"/>
  <c r="H73" i="9"/>
  <c r="E73" i="9"/>
  <c r="I73" i="9"/>
  <c r="J73" i="9" s="1"/>
  <c r="R73" i="9" s="1"/>
  <c r="F73" i="9"/>
  <c r="G73" i="9"/>
  <c r="A74" i="9"/>
  <c r="AC61" i="6"/>
  <c r="X62" i="6"/>
  <c r="Z62" i="6" s="1"/>
  <c r="K63" i="6"/>
  <c r="M63" i="6"/>
  <c r="L62" i="6"/>
  <c r="N62" i="6"/>
  <c r="P62" i="6" s="1"/>
  <c r="G63" i="6"/>
  <c r="E63" i="6"/>
  <c r="F63" i="6" s="1"/>
  <c r="H62" i="6"/>
  <c r="A65" i="6"/>
  <c r="AB63" i="6"/>
  <c r="W63" i="6"/>
  <c r="U63" i="6"/>
  <c r="V63" i="6" s="1"/>
  <c r="Y63" i="6"/>
  <c r="A11" i="6"/>
  <c r="Q74" i="9"/>
  <c r="AB74" i="9"/>
  <c r="P74" i="9"/>
  <c r="N74" i="9"/>
  <c r="O74" i="9"/>
  <c r="AA74" i="9"/>
  <c r="AC74" i="9"/>
  <c r="U74" i="9" l="1"/>
  <c r="H88" i="14"/>
  <c r="A89" i="13"/>
  <c r="B88" i="13"/>
  <c r="G103" i="7"/>
  <c r="J103" i="7" s="1"/>
  <c r="M103" i="7" s="1"/>
  <c r="O103" i="7" s="1"/>
  <c r="Q103" i="7" s="1"/>
  <c r="V103" i="7" s="1"/>
  <c r="Y103" i="7" s="1"/>
  <c r="AB103" i="7" s="1"/>
  <c r="M103" i="9" s="1"/>
  <c r="E89" i="14"/>
  <c r="G89" i="14" s="1"/>
  <c r="A90" i="14"/>
  <c r="F89" i="14"/>
  <c r="I89" i="14"/>
  <c r="L89" i="14" s="1"/>
  <c r="J89" i="14"/>
  <c r="K89" i="14"/>
  <c r="H95" i="16"/>
  <c r="Z95" i="16" s="1"/>
  <c r="I104" i="7"/>
  <c r="P104" i="7"/>
  <c r="K104" i="7"/>
  <c r="L104" i="7" s="1"/>
  <c r="N104" i="7"/>
  <c r="Z104" i="7"/>
  <c r="AA104" i="7" s="1"/>
  <c r="X104" i="7"/>
  <c r="D104" i="7"/>
  <c r="E104" i="7" s="1"/>
  <c r="F104" i="7"/>
  <c r="C105" i="7"/>
  <c r="W105" i="7"/>
  <c r="H105" i="7"/>
  <c r="R105" i="7"/>
  <c r="S105" i="7" s="1"/>
  <c r="B105" i="7"/>
  <c r="T105" i="7"/>
  <c r="U105" i="7" s="1"/>
  <c r="A106" i="7"/>
  <c r="V96" i="16"/>
  <c r="W96" i="16" s="1"/>
  <c r="Y96" i="16" s="1"/>
  <c r="X96" i="16" s="1"/>
  <c r="AE96" i="9" s="1"/>
  <c r="C97" i="16"/>
  <c r="D97" i="16"/>
  <c r="F97" i="16"/>
  <c r="T97" i="16" s="1"/>
  <c r="E97" i="16"/>
  <c r="S97" i="16" s="1"/>
  <c r="O97" i="16"/>
  <c r="P97" i="16"/>
  <c r="K97" i="16"/>
  <c r="L97" i="16"/>
  <c r="Q96" i="16"/>
  <c r="G96" i="16"/>
  <c r="H96" i="16" s="1"/>
  <c r="B98" i="16"/>
  <c r="J98" i="16"/>
  <c r="A99" i="16"/>
  <c r="M98" i="16"/>
  <c r="I98" i="16"/>
  <c r="S91" i="15"/>
  <c r="Q92" i="15"/>
  <c r="R92" i="15" s="1"/>
  <c r="L93" i="15"/>
  <c r="AK93" i="15"/>
  <c r="F93" i="15"/>
  <c r="W93" i="15"/>
  <c r="A94" i="15"/>
  <c r="G93" i="15"/>
  <c r="Y93" i="15"/>
  <c r="H93" i="15"/>
  <c r="AC93" i="15"/>
  <c r="J93" i="15"/>
  <c r="AF93" i="15"/>
  <c r="K93" i="15"/>
  <c r="AJ93" i="15"/>
  <c r="AO93" i="15"/>
  <c r="AE93" i="15"/>
  <c r="E93" i="15"/>
  <c r="I93" i="15"/>
  <c r="U92" i="15"/>
  <c r="V92" i="15" s="1"/>
  <c r="M92" i="15"/>
  <c r="N92" i="15" s="1"/>
  <c r="O92" i="15" s="1"/>
  <c r="P92" i="15" s="1"/>
  <c r="E81" i="11"/>
  <c r="F81" i="11"/>
  <c r="A82" i="11"/>
  <c r="H81" i="11"/>
  <c r="P81" i="11"/>
  <c r="I81" i="11"/>
  <c r="U78" i="11"/>
  <c r="M61" i="10" a="1"/>
  <c r="M61" i="10" s="1"/>
  <c r="AC76" i="10"/>
  <c r="J61" i="10" a="1"/>
  <c r="J61" i="10" s="1"/>
  <c r="Z76" i="10"/>
  <c r="L61" i="10" a="1"/>
  <c r="L61" i="10" s="1"/>
  <c r="AB76" i="10"/>
  <c r="I61" i="10" a="1"/>
  <c r="I61" i="10" s="1"/>
  <c r="Y76" i="10"/>
  <c r="O61" i="10" a="1"/>
  <c r="O61" i="10" s="1"/>
  <c r="AE76" i="10"/>
  <c r="P61" i="10" a="1"/>
  <c r="P61" i="10" s="1"/>
  <c r="AF76" i="10"/>
  <c r="H61" i="10" a="1"/>
  <c r="H61" i="10" s="1"/>
  <c r="X76" i="10"/>
  <c r="Q61" i="10" a="1"/>
  <c r="Q61" i="10" s="1"/>
  <c r="AG76" i="10"/>
  <c r="G61" i="10" a="1"/>
  <c r="G61" i="10" s="1"/>
  <c r="W76" i="10"/>
  <c r="K61" i="10" a="1"/>
  <c r="K61" i="10" s="1"/>
  <c r="AA76" i="10"/>
  <c r="N61" i="10" a="1"/>
  <c r="N61" i="10" s="1"/>
  <c r="AD76" i="10"/>
  <c r="U11" i="6"/>
  <c r="W11" i="6"/>
  <c r="Y11" i="6"/>
  <c r="AB11" i="6"/>
  <c r="AG11" i="6"/>
  <c r="AH11" i="6"/>
  <c r="R11" i="6"/>
  <c r="M11" i="6"/>
  <c r="D11" i="6"/>
  <c r="O11" i="6"/>
  <c r="H11" i="6"/>
  <c r="AC11" i="6"/>
  <c r="K11" i="6"/>
  <c r="F11" i="6"/>
  <c r="Z11" i="6"/>
  <c r="C11" i="6"/>
  <c r="X11" i="6"/>
  <c r="B11" i="6"/>
  <c r="V11" i="6"/>
  <c r="E11" i="6"/>
  <c r="S11" i="6"/>
  <c r="G11" i="6"/>
  <c r="P11" i="6"/>
  <c r="N11" i="6"/>
  <c r="AI11" i="6"/>
  <c r="AJ11" i="6"/>
  <c r="L11" i="6"/>
  <c r="N79" i="11"/>
  <c r="T79" i="11" s="1"/>
  <c r="AH64" i="6"/>
  <c r="AG64" i="6"/>
  <c r="AF11" i="6"/>
  <c r="AE11" i="6"/>
  <c r="AF65" i="6"/>
  <c r="AE65" i="6"/>
  <c r="Q80" i="11"/>
  <c r="S80" i="11"/>
  <c r="R80" i="11"/>
  <c r="L80" i="11"/>
  <c r="O80" i="11" s="1"/>
  <c r="K80" i="11"/>
  <c r="J80" i="11"/>
  <c r="M80" i="11" s="1"/>
  <c r="AI61" i="6"/>
  <c r="AJ61" i="6" s="1"/>
  <c r="Z61" i="9" s="1"/>
  <c r="T11" i="6"/>
  <c r="R65" i="6"/>
  <c r="S65" i="6" s="1"/>
  <c r="T65" i="6"/>
  <c r="J11" i="6"/>
  <c r="J65" i="6"/>
  <c r="O65" i="6"/>
  <c r="B65" i="6"/>
  <c r="C65" i="6" s="1"/>
  <c r="D65" i="6"/>
  <c r="G74" i="9"/>
  <c r="H74" i="9"/>
  <c r="E74" i="9"/>
  <c r="I74" i="9"/>
  <c r="J74" i="9" s="1"/>
  <c r="R74" i="9" s="1"/>
  <c r="F74" i="9"/>
  <c r="A75" i="9"/>
  <c r="X63" i="6"/>
  <c r="Z63" i="6" s="1"/>
  <c r="A66" i="6"/>
  <c r="Y64" i="6"/>
  <c r="U64" i="6"/>
  <c r="V64" i="6" s="1"/>
  <c r="AB64" i="6"/>
  <c r="W64" i="6"/>
  <c r="H63" i="6"/>
  <c r="M64" i="6"/>
  <c r="K64" i="6"/>
  <c r="G64" i="6"/>
  <c r="E64" i="6"/>
  <c r="F64" i="6" s="1"/>
  <c r="L63" i="6"/>
  <c r="N63" i="6"/>
  <c r="P63" i="6" s="1"/>
  <c r="AC62" i="6"/>
  <c r="A10" i="6"/>
  <c r="O75" i="9"/>
  <c r="P75" i="9"/>
  <c r="AA75" i="9"/>
  <c r="AB75" i="9"/>
  <c r="Q75" i="9"/>
  <c r="N75" i="9"/>
  <c r="AC75" i="9"/>
  <c r="U75" i="9" l="1"/>
  <c r="G81" i="11"/>
  <c r="G104" i="7"/>
  <c r="J104" i="7" s="1"/>
  <c r="M104" i="7" s="1"/>
  <c r="O104" i="7" s="1"/>
  <c r="Q104" i="7" s="1"/>
  <c r="V104" i="7" s="1"/>
  <c r="Y104" i="7" s="1"/>
  <c r="AB104" i="7" s="1"/>
  <c r="M104" i="9" s="1"/>
  <c r="B89" i="13"/>
  <c r="A90" i="13"/>
  <c r="K90" i="14"/>
  <c r="E90" i="14"/>
  <c r="G90" i="14" s="1"/>
  <c r="A91" i="14"/>
  <c r="F90" i="14"/>
  <c r="I90" i="14"/>
  <c r="L90" i="14" s="1"/>
  <c r="J90" i="14"/>
  <c r="H89" i="14"/>
  <c r="C106" i="7"/>
  <c r="T106" i="7"/>
  <c r="U106" i="7" s="1"/>
  <c r="A107" i="7"/>
  <c r="W106" i="7"/>
  <c r="B106" i="7"/>
  <c r="H106" i="7"/>
  <c r="R106" i="7"/>
  <c r="S106" i="7" s="1"/>
  <c r="R96" i="16"/>
  <c r="U97" i="16" s="1"/>
  <c r="V97" i="16" s="1"/>
  <c r="W97" i="16" s="1"/>
  <c r="Y97" i="16" s="1"/>
  <c r="X97" i="16" s="1"/>
  <c r="AE97" i="9" s="1"/>
  <c r="P105" i="7"/>
  <c r="I105" i="7"/>
  <c r="K105" i="7"/>
  <c r="L105" i="7" s="1"/>
  <c r="N105" i="7"/>
  <c r="X105" i="7"/>
  <c r="Z105" i="7"/>
  <c r="AA105" i="7" s="1"/>
  <c r="D105" i="7"/>
  <c r="E105" i="7" s="1"/>
  <c r="F105" i="7"/>
  <c r="S92" i="15"/>
  <c r="O98" i="16"/>
  <c r="P98" i="16"/>
  <c r="I99" i="16"/>
  <c r="B99" i="16"/>
  <c r="J99" i="16"/>
  <c r="A100" i="16"/>
  <c r="M99" i="16"/>
  <c r="K98" i="16"/>
  <c r="L98" i="16"/>
  <c r="Q97" i="16"/>
  <c r="G97" i="16"/>
  <c r="R97" i="16" s="1"/>
  <c r="C98" i="16"/>
  <c r="D98" i="16"/>
  <c r="E98" i="16"/>
  <c r="S98" i="16" s="1"/>
  <c r="F98" i="16"/>
  <c r="T98" i="16" s="1"/>
  <c r="J94" i="15"/>
  <c r="AF94" i="15"/>
  <c r="L94" i="15"/>
  <c r="AK94" i="15"/>
  <c r="E94" i="15"/>
  <c r="AO94" i="15"/>
  <c r="F94" i="15"/>
  <c r="W94" i="15"/>
  <c r="A95" i="15"/>
  <c r="H94" i="15"/>
  <c r="AC94" i="15"/>
  <c r="G94" i="15"/>
  <c r="AJ94" i="15"/>
  <c r="I94" i="15"/>
  <c r="K94" i="15"/>
  <c r="AE94" i="15"/>
  <c r="Y94" i="15"/>
  <c r="M93" i="15"/>
  <c r="N93" i="15" s="1"/>
  <c r="O93" i="15" s="1"/>
  <c r="P93" i="15" s="1"/>
  <c r="Q93" i="15"/>
  <c r="R93" i="15" s="1"/>
  <c r="U93" i="15"/>
  <c r="V93" i="15" s="1"/>
  <c r="L81" i="11"/>
  <c r="O81" i="11" s="1"/>
  <c r="J81" i="11"/>
  <c r="M81" i="11" s="1"/>
  <c r="K81" i="11"/>
  <c r="Q81" i="11"/>
  <c r="R81" i="11"/>
  <c r="S81" i="11"/>
  <c r="E82" i="11"/>
  <c r="F82" i="11"/>
  <c r="A83" i="11"/>
  <c r="H82" i="11"/>
  <c r="P82" i="11"/>
  <c r="I82" i="11"/>
  <c r="U79" i="11"/>
  <c r="Q62" i="10" a="1"/>
  <c r="Q62" i="10" s="1"/>
  <c r="AG276" i="10"/>
  <c r="I62" i="10" a="1"/>
  <c r="I62" i="10" s="1"/>
  <c r="Y276" i="10"/>
  <c r="N62" i="10" a="1"/>
  <c r="N62" i="10" s="1"/>
  <c r="AD276" i="10"/>
  <c r="H62" i="10" a="1"/>
  <c r="H62" i="10" s="1"/>
  <c r="X276" i="10"/>
  <c r="L62" i="10" a="1"/>
  <c r="L62" i="10" s="1"/>
  <c r="AB276" i="10"/>
  <c r="K62" i="10" a="1"/>
  <c r="K62" i="10" s="1"/>
  <c r="AA276" i="10"/>
  <c r="P62" i="10" a="1"/>
  <c r="P62" i="10" s="1"/>
  <c r="AF276" i="10"/>
  <c r="J62" i="10" a="1"/>
  <c r="J62" i="10" s="1"/>
  <c r="Z276" i="10"/>
  <c r="G62" i="10" a="1"/>
  <c r="G62" i="10" s="1"/>
  <c r="W276" i="10"/>
  <c r="O62" i="10" a="1"/>
  <c r="O62" i="10" s="1"/>
  <c r="AE276" i="10"/>
  <c r="M62" i="10" a="1"/>
  <c r="M62" i="10" s="1"/>
  <c r="AC276" i="10"/>
  <c r="D10" i="6"/>
  <c r="O10" i="6"/>
  <c r="U10" i="6"/>
  <c r="W10" i="6"/>
  <c r="Y10" i="6"/>
  <c r="AB10" i="6"/>
  <c r="AG10" i="6"/>
  <c r="AH10" i="6"/>
  <c r="R10" i="6"/>
  <c r="M10" i="6"/>
  <c r="L10" i="6"/>
  <c r="AJ10" i="6"/>
  <c r="H10" i="6"/>
  <c r="AC10" i="6"/>
  <c r="K10" i="6"/>
  <c r="F10" i="6"/>
  <c r="Z10" i="6"/>
  <c r="C10" i="6"/>
  <c r="X10" i="6"/>
  <c r="B10" i="6"/>
  <c r="V10" i="6"/>
  <c r="E10" i="6"/>
  <c r="S10" i="6"/>
  <c r="G10" i="6"/>
  <c r="P10" i="6"/>
  <c r="AI10" i="6"/>
  <c r="N10" i="6"/>
  <c r="N80" i="11"/>
  <c r="T80" i="11" s="1"/>
  <c r="AH65" i="6"/>
  <c r="AG65" i="6"/>
  <c r="AF66" i="6"/>
  <c r="AE66" i="6"/>
  <c r="AF10" i="6"/>
  <c r="AE10" i="6"/>
  <c r="AI62" i="6"/>
  <c r="AJ62" i="6" s="1"/>
  <c r="Z62" i="9" s="1"/>
  <c r="R66" i="6"/>
  <c r="S66" i="6" s="1"/>
  <c r="T66" i="6"/>
  <c r="T10" i="6"/>
  <c r="J66" i="6"/>
  <c r="O66" i="6"/>
  <c r="J10" i="6"/>
  <c r="B66" i="6"/>
  <c r="C66" i="6" s="1"/>
  <c r="D66" i="6"/>
  <c r="F75" i="9"/>
  <c r="H75" i="9"/>
  <c r="G75" i="9"/>
  <c r="E75" i="9"/>
  <c r="I75" i="9"/>
  <c r="J75" i="9" s="1"/>
  <c r="R75" i="9" s="1"/>
  <c r="A76" i="9"/>
  <c r="AC63" i="6"/>
  <c r="X64" i="6"/>
  <c r="Z64" i="6" s="1"/>
  <c r="U65" i="6"/>
  <c r="V65" i="6" s="1"/>
  <c r="AB65" i="6"/>
  <c r="W65" i="6"/>
  <c r="Y65" i="6"/>
  <c r="H64" i="6"/>
  <c r="A67" i="6"/>
  <c r="M65" i="6"/>
  <c r="K65" i="6"/>
  <c r="L64" i="6"/>
  <c r="N64" i="6"/>
  <c r="P64" i="6" s="1"/>
  <c r="E65" i="6"/>
  <c r="F65" i="6" s="1"/>
  <c r="G65" i="6"/>
  <c r="A9" i="6"/>
  <c r="Q76" i="9"/>
  <c r="AB76" i="9"/>
  <c r="AC76" i="9"/>
  <c r="P76" i="9"/>
  <c r="N76" i="9"/>
  <c r="AA76" i="9"/>
  <c r="O76" i="9"/>
  <c r="U76" i="9" l="1"/>
  <c r="A91" i="13"/>
  <c r="B90" i="13"/>
  <c r="J91" i="14"/>
  <c r="K91" i="14"/>
  <c r="E91" i="14"/>
  <c r="G91" i="14" s="1"/>
  <c r="A92" i="14"/>
  <c r="I91" i="14"/>
  <c r="L91" i="14" s="1"/>
  <c r="F91" i="14"/>
  <c r="H90" i="14"/>
  <c r="G105" i="7"/>
  <c r="J105" i="7" s="1"/>
  <c r="M105" i="7" s="1"/>
  <c r="O105" i="7" s="1"/>
  <c r="Q105" i="7" s="1"/>
  <c r="V105" i="7" s="1"/>
  <c r="Y105" i="7" s="1"/>
  <c r="AB105" i="7" s="1"/>
  <c r="M105" i="9" s="1"/>
  <c r="U98" i="16"/>
  <c r="V98" i="16" s="1"/>
  <c r="W98" i="16" s="1"/>
  <c r="Y98" i="16" s="1"/>
  <c r="X98" i="16" s="1"/>
  <c r="AE98" i="9" s="1"/>
  <c r="K106" i="7"/>
  <c r="L106" i="7" s="1"/>
  <c r="N106" i="7"/>
  <c r="P106" i="7"/>
  <c r="I106" i="7"/>
  <c r="Z106" i="7"/>
  <c r="AA106" i="7" s="1"/>
  <c r="X106" i="7"/>
  <c r="Z96" i="16"/>
  <c r="W107" i="7"/>
  <c r="H107" i="7"/>
  <c r="B107" i="7"/>
  <c r="R107" i="7"/>
  <c r="S107" i="7" s="1"/>
  <c r="C107" i="7"/>
  <c r="T107" i="7"/>
  <c r="U107" i="7" s="1"/>
  <c r="A108" i="7"/>
  <c r="D106" i="7"/>
  <c r="E106" i="7" s="1"/>
  <c r="F106" i="7"/>
  <c r="G82" i="11"/>
  <c r="S93" i="15"/>
  <c r="H97" i="16"/>
  <c r="Z97" i="16" s="1"/>
  <c r="I100" i="16"/>
  <c r="J100" i="16"/>
  <c r="B100" i="16"/>
  <c r="M100" i="16"/>
  <c r="A101" i="16"/>
  <c r="K99" i="16"/>
  <c r="L99" i="16"/>
  <c r="C99" i="16"/>
  <c r="D99" i="16"/>
  <c r="E99" i="16"/>
  <c r="S99" i="16" s="1"/>
  <c r="F99" i="16"/>
  <c r="T99" i="16" s="1"/>
  <c r="Q98" i="16"/>
  <c r="G98" i="16"/>
  <c r="R98" i="16" s="1"/>
  <c r="U99" i="16" s="1"/>
  <c r="O99" i="16"/>
  <c r="P99" i="16"/>
  <c r="M94" i="15"/>
  <c r="N94" i="15" s="1"/>
  <c r="O94" i="15" s="1"/>
  <c r="P94" i="15" s="1"/>
  <c r="Q94" i="15"/>
  <c r="R94" i="15" s="1"/>
  <c r="U94" i="15"/>
  <c r="V94" i="15" s="1"/>
  <c r="H95" i="15"/>
  <c r="AC95" i="15"/>
  <c r="J95" i="15"/>
  <c r="AF95" i="15"/>
  <c r="K95" i="15"/>
  <c r="AJ95" i="15"/>
  <c r="L95" i="15"/>
  <c r="AK95" i="15"/>
  <c r="F95" i="15"/>
  <c r="W95" i="15"/>
  <c r="A96" i="15"/>
  <c r="Y95" i="15"/>
  <c r="AE95" i="15"/>
  <c r="E95" i="15"/>
  <c r="G95" i="15"/>
  <c r="AO95" i="15"/>
  <c r="I95" i="15"/>
  <c r="J82" i="11"/>
  <c r="M82" i="11" s="1"/>
  <c r="K82" i="11"/>
  <c r="L82" i="11"/>
  <c r="R82" i="11"/>
  <c r="S82" i="11"/>
  <c r="Q82" i="11"/>
  <c r="N81" i="11"/>
  <c r="T81" i="11" s="1"/>
  <c r="U81" i="11" s="1"/>
  <c r="H83" i="11"/>
  <c r="P83" i="11"/>
  <c r="I83" i="11"/>
  <c r="E83" i="11"/>
  <c r="F83" i="11"/>
  <c r="A84" i="11"/>
  <c r="U80" i="11"/>
  <c r="J63" i="10" a="1"/>
  <c r="J63" i="10" s="1"/>
  <c r="Z77" i="10"/>
  <c r="H63" i="10" a="1"/>
  <c r="H63" i="10" s="1"/>
  <c r="X77" i="10"/>
  <c r="M63" i="10" a="1"/>
  <c r="M63" i="10" s="1"/>
  <c r="AC77" i="10"/>
  <c r="P63" i="10" a="1"/>
  <c r="P63" i="10" s="1"/>
  <c r="AF77" i="10"/>
  <c r="N63" i="10" a="1"/>
  <c r="N63" i="10" s="1"/>
  <c r="AD77" i="10"/>
  <c r="O63" i="10" a="1"/>
  <c r="O63" i="10" s="1"/>
  <c r="AE77" i="10"/>
  <c r="K63" i="10" a="1"/>
  <c r="K63" i="10" s="1"/>
  <c r="AA77" i="10"/>
  <c r="I63" i="10" a="1"/>
  <c r="I63" i="10" s="1"/>
  <c r="Y77" i="10"/>
  <c r="G63" i="10" a="1"/>
  <c r="G63" i="10" s="1"/>
  <c r="W77" i="10"/>
  <c r="L63" i="10" a="1"/>
  <c r="L63" i="10" s="1"/>
  <c r="AB77" i="10"/>
  <c r="Q63" i="10" a="1"/>
  <c r="Q63" i="10" s="1"/>
  <c r="AG77" i="10"/>
  <c r="R9" i="6"/>
  <c r="M9" i="6"/>
  <c r="D9" i="6"/>
  <c r="O9" i="6"/>
  <c r="U9" i="6"/>
  <c r="W9" i="6"/>
  <c r="Y9" i="6"/>
  <c r="AB9" i="6"/>
  <c r="AG9" i="6"/>
  <c r="AH9" i="6"/>
  <c r="N9" i="6"/>
  <c r="AI9" i="6"/>
  <c r="L9" i="6"/>
  <c r="AJ9" i="6"/>
  <c r="H9" i="6"/>
  <c r="AC9" i="6"/>
  <c r="K9" i="6"/>
  <c r="F9" i="6"/>
  <c r="Z9" i="6"/>
  <c r="C9" i="6"/>
  <c r="X9" i="6"/>
  <c r="B9" i="6"/>
  <c r="V9" i="6"/>
  <c r="E9" i="6"/>
  <c r="S9" i="6"/>
  <c r="P9" i="6"/>
  <c r="G9" i="6"/>
  <c r="AH66" i="6"/>
  <c r="AG66" i="6"/>
  <c r="AF67" i="6"/>
  <c r="AE67" i="6"/>
  <c r="AF9" i="6"/>
  <c r="AE9" i="6"/>
  <c r="AI63" i="6"/>
  <c r="AJ63" i="6" s="1"/>
  <c r="Z63" i="9" s="1"/>
  <c r="R67" i="6"/>
  <c r="S67" i="6" s="1"/>
  <c r="T67" i="6"/>
  <c r="T9" i="6"/>
  <c r="J67" i="6"/>
  <c r="O67" i="6"/>
  <c r="J9" i="6"/>
  <c r="B67" i="6"/>
  <c r="C67" i="6" s="1"/>
  <c r="D67" i="6"/>
  <c r="G76" i="9"/>
  <c r="E76" i="9"/>
  <c r="I76" i="9"/>
  <c r="J76" i="9" s="1"/>
  <c r="R76" i="9" s="1"/>
  <c r="H76" i="9"/>
  <c r="F76" i="9"/>
  <c r="A77" i="9"/>
  <c r="AC64" i="6"/>
  <c r="H65" i="6"/>
  <c r="X65" i="6"/>
  <c r="Z65" i="6" s="1"/>
  <c r="L65" i="6"/>
  <c r="N65" i="6"/>
  <c r="P65" i="6" s="1"/>
  <c r="G66" i="6"/>
  <c r="E66" i="6"/>
  <c r="F66" i="6" s="1"/>
  <c r="M66" i="6"/>
  <c r="K66" i="6"/>
  <c r="U66" i="6"/>
  <c r="V66" i="6" s="1"/>
  <c r="AB66" i="6"/>
  <c r="W66" i="6"/>
  <c r="Y66" i="6"/>
  <c r="A68" i="6"/>
  <c r="A8" i="6"/>
  <c r="AB77" i="9"/>
  <c r="O77" i="9"/>
  <c r="Q77" i="9"/>
  <c r="N77" i="9"/>
  <c r="P77" i="9"/>
  <c r="AC77" i="9"/>
  <c r="AA77" i="9"/>
  <c r="U77" i="9" l="1"/>
  <c r="G106" i="7"/>
  <c r="J106" i="7" s="1"/>
  <c r="M106" i="7" s="1"/>
  <c r="O106" i="7" s="1"/>
  <c r="Q106" i="7" s="1"/>
  <c r="V106" i="7" s="1"/>
  <c r="Y106" i="7" s="1"/>
  <c r="AB106" i="7" s="1"/>
  <c r="M106" i="9" s="1"/>
  <c r="O82" i="11"/>
  <c r="A92" i="13"/>
  <c r="B91" i="13"/>
  <c r="I92" i="14"/>
  <c r="L92" i="14" s="1"/>
  <c r="J92" i="14"/>
  <c r="K92" i="14"/>
  <c r="E92" i="14"/>
  <c r="G92" i="14" s="1"/>
  <c r="A93" i="14"/>
  <c r="F92" i="14"/>
  <c r="H91" i="14"/>
  <c r="H98" i="16"/>
  <c r="Z98" i="16" s="1"/>
  <c r="C108" i="7"/>
  <c r="T108" i="7"/>
  <c r="U108" i="7" s="1"/>
  <c r="W108" i="7"/>
  <c r="A109" i="7"/>
  <c r="H108" i="7"/>
  <c r="B108" i="7"/>
  <c r="R108" i="7"/>
  <c r="S108" i="7" s="1"/>
  <c r="F107" i="7"/>
  <c r="D107" i="7"/>
  <c r="E107" i="7" s="1"/>
  <c r="P107" i="7"/>
  <c r="I107" i="7"/>
  <c r="K107" i="7"/>
  <c r="L107" i="7" s="1"/>
  <c r="N107" i="7"/>
  <c r="X107" i="7"/>
  <c r="Z107" i="7"/>
  <c r="AA107" i="7" s="1"/>
  <c r="V99" i="16"/>
  <c r="W99" i="16" s="1"/>
  <c r="Y99" i="16" s="1"/>
  <c r="X99" i="16" s="1"/>
  <c r="AE99" i="9" s="1"/>
  <c r="B101" i="16"/>
  <c r="M101" i="16"/>
  <c r="A102" i="16"/>
  <c r="I101" i="16"/>
  <c r="J101" i="16"/>
  <c r="P100" i="16"/>
  <c r="O100" i="16"/>
  <c r="E100" i="16"/>
  <c r="S100" i="16" s="1"/>
  <c r="F100" i="16"/>
  <c r="T100" i="16" s="1"/>
  <c r="C100" i="16"/>
  <c r="D100" i="16"/>
  <c r="K100" i="16"/>
  <c r="L100" i="16"/>
  <c r="Q99" i="16"/>
  <c r="G99" i="16"/>
  <c r="R99" i="16" s="1"/>
  <c r="U100" i="16" s="1"/>
  <c r="Q95" i="15"/>
  <c r="R95" i="15" s="1"/>
  <c r="M95" i="15"/>
  <c r="N95" i="15" s="1"/>
  <c r="O95" i="15" s="1"/>
  <c r="P95" i="15" s="1"/>
  <c r="U95" i="15"/>
  <c r="V95" i="15" s="1"/>
  <c r="S94" i="15"/>
  <c r="F96" i="15"/>
  <c r="W96" i="15"/>
  <c r="A97" i="15"/>
  <c r="H96" i="15"/>
  <c r="AC96" i="15"/>
  <c r="I96" i="15"/>
  <c r="AE96" i="15"/>
  <c r="J96" i="15"/>
  <c r="AF96" i="15"/>
  <c r="L96" i="15"/>
  <c r="AK96" i="15"/>
  <c r="K96" i="15"/>
  <c r="Y96" i="15"/>
  <c r="E96" i="15"/>
  <c r="AJ96" i="15"/>
  <c r="G96" i="15"/>
  <c r="AO96" i="15"/>
  <c r="F84" i="11"/>
  <c r="A85" i="11"/>
  <c r="H84" i="11"/>
  <c r="P84" i="11"/>
  <c r="I84" i="11"/>
  <c r="E84" i="11"/>
  <c r="G83" i="11"/>
  <c r="J83" i="11"/>
  <c r="M83" i="11" s="1"/>
  <c r="K83" i="11"/>
  <c r="L83" i="11"/>
  <c r="N82" i="11"/>
  <c r="Q83" i="11"/>
  <c r="R83" i="11"/>
  <c r="S83" i="11"/>
  <c r="I64" i="10" a="1"/>
  <c r="I64" i="10" s="1"/>
  <c r="Y78" i="10"/>
  <c r="P64" i="10" a="1"/>
  <c r="P64" i="10" s="1"/>
  <c r="AF78" i="10"/>
  <c r="Q64" i="10" a="1"/>
  <c r="Q64" i="10" s="1"/>
  <c r="AG78" i="10"/>
  <c r="K64" i="10" a="1"/>
  <c r="K64" i="10" s="1"/>
  <c r="AA78" i="10"/>
  <c r="M64" i="10" a="1"/>
  <c r="M64" i="10" s="1"/>
  <c r="AC78" i="10"/>
  <c r="L64" i="10" a="1"/>
  <c r="L64" i="10" s="1"/>
  <c r="AB78" i="10"/>
  <c r="O64" i="10" a="1"/>
  <c r="O64" i="10" s="1"/>
  <c r="AE78" i="10"/>
  <c r="H64" i="10" a="1"/>
  <c r="H64" i="10" s="1"/>
  <c r="X78" i="10"/>
  <c r="G64" i="10" a="1"/>
  <c r="G64" i="10" s="1"/>
  <c r="W78" i="10"/>
  <c r="N64" i="10" a="1"/>
  <c r="N64" i="10" s="1"/>
  <c r="AD78" i="10"/>
  <c r="J64" i="10" a="1"/>
  <c r="J64" i="10" s="1"/>
  <c r="Z78" i="10"/>
  <c r="AH8" i="6"/>
  <c r="K8" i="6"/>
  <c r="R8" i="6"/>
  <c r="M8" i="6"/>
  <c r="D8" i="6"/>
  <c r="O8" i="6"/>
  <c r="U8" i="6"/>
  <c r="W8" i="6"/>
  <c r="Y8" i="6"/>
  <c r="AB8" i="6"/>
  <c r="AG8" i="6"/>
  <c r="G8" i="6"/>
  <c r="P8" i="6"/>
  <c r="N8" i="6"/>
  <c r="AI8" i="6"/>
  <c r="L8" i="6"/>
  <c r="AJ8" i="6"/>
  <c r="H8" i="6"/>
  <c r="AC8" i="6"/>
  <c r="F8" i="6"/>
  <c r="Z8" i="6"/>
  <c r="C8" i="6"/>
  <c r="X8" i="6"/>
  <c r="B8" i="6"/>
  <c r="V8" i="6"/>
  <c r="E8" i="6"/>
  <c r="S8" i="6"/>
  <c r="AH67" i="6"/>
  <c r="AG67" i="6"/>
  <c r="AF68" i="6"/>
  <c r="AE68" i="6"/>
  <c r="AF8" i="6"/>
  <c r="AE8" i="6"/>
  <c r="AI64" i="6"/>
  <c r="AJ64" i="6" s="1"/>
  <c r="Z64" i="9" s="1"/>
  <c r="T8" i="6"/>
  <c r="R68" i="6"/>
  <c r="S68" i="6" s="1"/>
  <c r="T68" i="6"/>
  <c r="J68" i="6"/>
  <c r="O68" i="6"/>
  <c r="J8" i="6"/>
  <c r="B68" i="6"/>
  <c r="C68" i="6" s="1"/>
  <c r="D68" i="6"/>
  <c r="F77" i="9"/>
  <c r="G77" i="9"/>
  <c r="H77" i="9"/>
  <c r="E77" i="9"/>
  <c r="I77" i="9"/>
  <c r="J77" i="9" s="1"/>
  <c r="R77" i="9" s="1"/>
  <c r="A78" i="9"/>
  <c r="X66" i="6"/>
  <c r="Z66" i="6" s="1"/>
  <c r="H66" i="6"/>
  <c r="AC65" i="6"/>
  <c r="E67" i="6"/>
  <c r="F67" i="6" s="1"/>
  <c r="G67" i="6"/>
  <c r="U67" i="6"/>
  <c r="V67" i="6" s="1"/>
  <c r="AB67" i="6"/>
  <c r="W67" i="6"/>
  <c r="Y67" i="6"/>
  <c r="A69" i="6"/>
  <c r="AE69" i="6" s="1"/>
  <c r="N66" i="6"/>
  <c r="P66" i="6" s="1"/>
  <c r="L66" i="6"/>
  <c r="M67" i="6"/>
  <c r="K67" i="6"/>
  <c r="A7" i="6"/>
  <c r="N78" i="9"/>
  <c r="AB78" i="9"/>
  <c r="O78" i="9"/>
  <c r="Q78" i="9"/>
  <c r="P78" i="9"/>
  <c r="AC78" i="9"/>
  <c r="AA78" i="9"/>
  <c r="U78" i="9" l="1"/>
  <c r="T82" i="11"/>
  <c r="U82" i="11" s="1"/>
  <c r="A93" i="13"/>
  <c r="B92" i="13"/>
  <c r="I93" i="14"/>
  <c r="L93" i="14" s="1"/>
  <c r="J93" i="14"/>
  <c r="E93" i="14"/>
  <c r="G93" i="14" s="1"/>
  <c r="K93" i="14"/>
  <c r="A94" i="14"/>
  <c r="F93" i="14"/>
  <c r="H92" i="14"/>
  <c r="K108" i="7"/>
  <c r="L108" i="7" s="1"/>
  <c r="P108" i="7"/>
  <c r="N108" i="7"/>
  <c r="I108" i="7"/>
  <c r="W109" i="7"/>
  <c r="H109" i="7"/>
  <c r="C109" i="7"/>
  <c r="B109" i="7"/>
  <c r="R109" i="7"/>
  <c r="S109" i="7" s="1"/>
  <c r="A110" i="7"/>
  <c r="T109" i="7"/>
  <c r="U109" i="7" s="1"/>
  <c r="Z108" i="7"/>
  <c r="AA108" i="7" s="1"/>
  <c r="X108" i="7"/>
  <c r="G107" i="7"/>
  <c r="J107" i="7" s="1"/>
  <c r="M107" i="7" s="1"/>
  <c r="O107" i="7" s="1"/>
  <c r="Q107" i="7" s="1"/>
  <c r="V107" i="7" s="1"/>
  <c r="Y107" i="7" s="1"/>
  <c r="AB107" i="7" s="1"/>
  <c r="M107" i="9" s="1"/>
  <c r="D108" i="7"/>
  <c r="E108" i="7" s="1"/>
  <c r="F108" i="7"/>
  <c r="Q100" i="16"/>
  <c r="G100" i="16"/>
  <c r="R100" i="16" s="1"/>
  <c r="U101" i="16" s="1"/>
  <c r="I102" i="16"/>
  <c r="J102" i="16"/>
  <c r="B102" i="16"/>
  <c r="M102" i="16"/>
  <c r="A103" i="16"/>
  <c r="P101" i="16"/>
  <c r="O101" i="16"/>
  <c r="H99" i="16"/>
  <c r="Z99" i="16" s="1"/>
  <c r="C101" i="16"/>
  <c r="D101" i="16"/>
  <c r="E101" i="16"/>
  <c r="S101" i="16" s="1"/>
  <c r="F101" i="16"/>
  <c r="T101" i="16" s="1"/>
  <c r="S95" i="15"/>
  <c r="V100" i="16"/>
  <c r="W100" i="16" s="1"/>
  <c r="Y100" i="16" s="1"/>
  <c r="X100" i="16" s="1"/>
  <c r="AE100" i="9" s="1"/>
  <c r="L101" i="16"/>
  <c r="K101" i="16"/>
  <c r="Q96" i="15"/>
  <c r="R96" i="15" s="1"/>
  <c r="L97" i="15"/>
  <c r="AK97" i="15"/>
  <c r="F97" i="15"/>
  <c r="W97" i="15"/>
  <c r="A98" i="15"/>
  <c r="G97" i="15"/>
  <c r="Y97" i="15"/>
  <c r="H97" i="15"/>
  <c r="AC97" i="15"/>
  <c r="J97" i="15"/>
  <c r="AF97" i="15"/>
  <c r="AO97" i="15"/>
  <c r="E97" i="15"/>
  <c r="K97" i="15"/>
  <c r="AE97" i="15"/>
  <c r="AJ97" i="15"/>
  <c r="I97" i="15"/>
  <c r="U96" i="15"/>
  <c r="V96" i="15" s="1"/>
  <c r="M96" i="15"/>
  <c r="N96" i="15" s="1"/>
  <c r="O96" i="15" s="1"/>
  <c r="P96" i="15" s="1"/>
  <c r="J84" i="11"/>
  <c r="M84" i="11" s="1"/>
  <c r="K84" i="11"/>
  <c r="L84" i="11"/>
  <c r="Q84" i="11"/>
  <c r="R84" i="11"/>
  <c r="S84" i="11"/>
  <c r="O83" i="11"/>
  <c r="E85" i="11"/>
  <c r="F85" i="11"/>
  <c r="A86" i="11"/>
  <c r="H85" i="11"/>
  <c r="P85" i="11"/>
  <c r="I85" i="11"/>
  <c r="N83" i="11"/>
  <c r="G84" i="11"/>
  <c r="X79" i="10"/>
  <c r="H66" i="10" a="1"/>
  <c r="H66" i="10" s="1"/>
  <c r="K66" i="10" a="1"/>
  <c r="K66" i="10" s="1"/>
  <c r="AA79" i="10"/>
  <c r="Z79" i="10"/>
  <c r="J66" i="10" a="1"/>
  <c r="J66" i="10" s="1"/>
  <c r="AE79" i="10"/>
  <c r="O66" i="10" a="1"/>
  <c r="O66" i="10" s="1"/>
  <c r="Q66" i="10" a="1"/>
  <c r="Q66" i="10" s="1"/>
  <c r="AG79" i="10"/>
  <c r="AD79" i="10"/>
  <c r="N66" i="10" a="1"/>
  <c r="N66" i="10" s="1"/>
  <c r="L66" i="10" a="1"/>
  <c r="L66" i="10" s="1"/>
  <c r="AB79" i="10"/>
  <c r="AF79" i="10"/>
  <c r="P66" i="10" a="1"/>
  <c r="P66" i="10" s="1"/>
  <c r="W79" i="10"/>
  <c r="G66" i="10" a="1"/>
  <c r="G66" i="10" s="1"/>
  <c r="AC79" i="10"/>
  <c r="M66" i="10" a="1"/>
  <c r="M66" i="10" s="1"/>
  <c r="Y79" i="10"/>
  <c r="I66" i="10" a="1"/>
  <c r="I66" i="10" s="1"/>
  <c r="AG7" i="6"/>
  <c r="AH7" i="6"/>
  <c r="K7" i="6"/>
  <c r="R7" i="6"/>
  <c r="M7" i="6"/>
  <c r="D7" i="6"/>
  <c r="O7" i="6"/>
  <c r="U7" i="6"/>
  <c r="W7" i="6"/>
  <c r="Y7" i="6"/>
  <c r="AB7" i="6"/>
  <c r="E7" i="6"/>
  <c r="S7" i="6"/>
  <c r="G7" i="6"/>
  <c r="P7" i="6"/>
  <c r="N7" i="6"/>
  <c r="AI7" i="6"/>
  <c r="L7" i="6"/>
  <c r="AJ7" i="6"/>
  <c r="H7" i="6"/>
  <c r="AC7" i="6"/>
  <c r="F7" i="6"/>
  <c r="Z7" i="6"/>
  <c r="C7" i="6"/>
  <c r="X7" i="6"/>
  <c r="V7" i="6"/>
  <c r="B7" i="6"/>
  <c r="AE7" i="6"/>
  <c r="AH68" i="6"/>
  <c r="AG68" i="6"/>
  <c r="AF69" i="6"/>
  <c r="AH69" i="6" s="1"/>
  <c r="A70" i="6"/>
  <c r="AE70" i="6" s="1"/>
  <c r="AI65" i="6"/>
  <c r="AJ65" i="6" s="1"/>
  <c r="Z65" i="9" s="1"/>
  <c r="AF7" i="6"/>
  <c r="R69" i="6"/>
  <c r="S69" i="6" s="1"/>
  <c r="T69" i="6"/>
  <c r="J69" i="6"/>
  <c r="O69" i="6"/>
  <c r="B69" i="6"/>
  <c r="C69" i="6" s="1"/>
  <c r="D69" i="6"/>
  <c r="T7" i="6"/>
  <c r="J7" i="6"/>
  <c r="E78" i="9"/>
  <c r="I78" i="9"/>
  <c r="J78" i="9" s="1"/>
  <c r="R78" i="9" s="1"/>
  <c r="G78" i="9"/>
  <c r="H78" i="9"/>
  <c r="F78" i="9"/>
  <c r="A79" i="9"/>
  <c r="H67" i="6"/>
  <c r="X67" i="6"/>
  <c r="Z67" i="6" s="1"/>
  <c r="AC66" i="6"/>
  <c r="M68" i="6"/>
  <c r="K68" i="6"/>
  <c r="N67" i="6"/>
  <c r="P67" i="6" s="1"/>
  <c r="L67" i="6"/>
  <c r="G68" i="6"/>
  <c r="E68" i="6"/>
  <c r="F68" i="6" s="1"/>
  <c r="AB68" i="6"/>
  <c r="W68" i="6"/>
  <c r="Y68" i="6"/>
  <c r="U68" i="6"/>
  <c r="V68" i="6" s="1"/>
  <c r="N79" i="9"/>
  <c r="O79" i="9"/>
  <c r="AA79" i="9"/>
  <c r="AB79" i="9"/>
  <c r="AC79" i="9"/>
  <c r="P79" i="9"/>
  <c r="Q79" i="9"/>
  <c r="U79" i="9" l="1"/>
  <c r="G108" i="7"/>
  <c r="J108" i="7" s="1"/>
  <c r="M108" i="7" s="1"/>
  <c r="O108" i="7" s="1"/>
  <c r="Q108" i="7" s="1"/>
  <c r="V108" i="7" s="1"/>
  <c r="Y108" i="7" s="1"/>
  <c r="AB108" i="7" s="1"/>
  <c r="M108" i="9" s="1"/>
  <c r="S96" i="15"/>
  <c r="B93" i="13"/>
  <c r="A94" i="13"/>
  <c r="I94" i="14"/>
  <c r="L94" i="14" s="1"/>
  <c r="F94" i="14"/>
  <c r="J94" i="14"/>
  <c r="K94" i="14"/>
  <c r="E94" i="14"/>
  <c r="G94" i="14" s="1"/>
  <c r="A95" i="14"/>
  <c r="H93" i="14"/>
  <c r="F109" i="7"/>
  <c r="D109" i="7"/>
  <c r="E109" i="7" s="1"/>
  <c r="P109" i="7"/>
  <c r="I109" i="7"/>
  <c r="K109" i="7"/>
  <c r="L109" i="7" s="1"/>
  <c r="N109" i="7"/>
  <c r="X109" i="7"/>
  <c r="Z109" i="7"/>
  <c r="AA109" i="7" s="1"/>
  <c r="C110" i="7"/>
  <c r="T110" i="7"/>
  <c r="U110" i="7" s="1"/>
  <c r="W110" i="7"/>
  <c r="R110" i="7"/>
  <c r="S110" i="7" s="1"/>
  <c r="H110" i="7"/>
  <c r="B110" i="7"/>
  <c r="V101" i="16"/>
  <c r="W101" i="16" s="1"/>
  <c r="Y101" i="16" s="1"/>
  <c r="X101" i="16" s="1"/>
  <c r="AE101" i="9" s="1"/>
  <c r="F102" i="16"/>
  <c r="T102" i="16" s="1"/>
  <c r="C102" i="16"/>
  <c r="D102" i="16"/>
  <c r="E102" i="16"/>
  <c r="S102" i="16" s="1"/>
  <c r="K102" i="16"/>
  <c r="L102" i="16"/>
  <c r="G101" i="16"/>
  <c r="H101" i="16" s="1"/>
  <c r="Q101" i="16"/>
  <c r="H100" i="16"/>
  <c r="Z100" i="16" s="1"/>
  <c r="M103" i="16"/>
  <c r="A104" i="16"/>
  <c r="I103" i="16"/>
  <c r="J103" i="16"/>
  <c r="B103" i="16"/>
  <c r="O102" i="16"/>
  <c r="P102" i="16"/>
  <c r="J98" i="15"/>
  <c r="AF98" i="15"/>
  <c r="L98" i="15"/>
  <c r="AK98" i="15"/>
  <c r="E98" i="15"/>
  <c r="AO98" i="15"/>
  <c r="F98" i="15"/>
  <c r="W98" i="15"/>
  <c r="A99" i="15"/>
  <c r="H98" i="15"/>
  <c r="AC98" i="15"/>
  <c r="I98" i="15"/>
  <c r="K98" i="15"/>
  <c r="AJ98" i="15"/>
  <c r="Y98" i="15"/>
  <c r="AE98" i="15"/>
  <c r="G98" i="15"/>
  <c r="M97" i="15"/>
  <c r="N97" i="15" s="1"/>
  <c r="O97" i="15" s="1"/>
  <c r="P97" i="15" s="1"/>
  <c r="Q97" i="15"/>
  <c r="R97" i="15" s="1"/>
  <c r="U97" i="15"/>
  <c r="V97" i="15" s="1"/>
  <c r="T83" i="11"/>
  <c r="U83" i="11" s="1"/>
  <c r="L85" i="11"/>
  <c r="J85" i="11"/>
  <c r="M85" i="11" s="1"/>
  <c r="K85" i="11"/>
  <c r="Q85" i="11"/>
  <c r="R85" i="11"/>
  <c r="S85" i="11"/>
  <c r="O84" i="11"/>
  <c r="E86" i="11"/>
  <c r="F86" i="11"/>
  <c r="A87" i="11"/>
  <c r="H86" i="11"/>
  <c r="P86" i="11"/>
  <c r="I86" i="11"/>
  <c r="N84" i="11"/>
  <c r="G85" i="11"/>
  <c r="O67" i="10" a="1"/>
  <c r="O67" i="10" s="1"/>
  <c r="AE88" i="10"/>
  <c r="P67" i="10" a="1"/>
  <c r="P67" i="10" s="1"/>
  <c r="AF88" i="10"/>
  <c r="I67" i="10" a="1"/>
  <c r="I67" i="10" s="1"/>
  <c r="Y88" i="10"/>
  <c r="J67" i="10" a="1"/>
  <c r="J67" i="10" s="1"/>
  <c r="Z88" i="10"/>
  <c r="L67" i="10" a="1"/>
  <c r="L67" i="10" s="1"/>
  <c r="AB88" i="10"/>
  <c r="M67" i="10" a="1"/>
  <c r="M67" i="10" s="1"/>
  <c r="AC88" i="10"/>
  <c r="N67" i="10" a="1"/>
  <c r="N67" i="10" s="1"/>
  <c r="AD88" i="10"/>
  <c r="K67" i="10" a="1"/>
  <c r="K67" i="10" s="1"/>
  <c r="AA88" i="10"/>
  <c r="G67" i="10" a="1"/>
  <c r="G67" i="10" s="1"/>
  <c r="W88" i="10"/>
  <c r="H67" i="10" a="1"/>
  <c r="H67" i="10" s="1"/>
  <c r="X88" i="10"/>
  <c r="Q67" i="10" a="1"/>
  <c r="Q67" i="10" s="1"/>
  <c r="AG88" i="10"/>
  <c r="AG69" i="6"/>
  <c r="D70" i="6"/>
  <c r="O70" i="6"/>
  <c r="A71" i="6"/>
  <c r="AE71" i="6" s="1"/>
  <c r="R70" i="6"/>
  <c r="S70" i="6" s="1"/>
  <c r="T70" i="6"/>
  <c r="AF70" i="6"/>
  <c r="AH70" i="6" s="1"/>
  <c r="J70" i="6"/>
  <c r="B70" i="6"/>
  <c r="C70" i="6" s="1"/>
  <c r="AI66" i="6"/>
  <c r="AJ66" i="6" s="1"/>
  <c r="Z66" i="9" s="1"/>
  <c r="H79" i="9"/>
  <c r="F79" i="9"/>
  <c r="E79" i="9"/>
  <c r="I79" i="9"/>
  <c r="J79" i="9" s="1"/>
  <c r="R79" i="9" s="1"/>
  <c r="G79" i="9"/>
  <c r="A80" i="9"/>
  <c r="AC67" i="6"/>
  <c r="X68" i="6"/>
  <c r="Z68" i="6" s="1"/>
  <c r="H68" i="6"/>
  <c r="K69" i="6"/>
  <c r="M69" i="6"/>
  <c r="E69" i="6"/>
  <c r="F69" i="6" s="1"/>
  <c r="G69" i="6"/>
  <c r="AB69" i="6"/>
  <c r="W69" i="6"/>
  <c r="Y69" i="6"/>
  <c r="U69" i="6"/>
  <c r="V69" i="6" s="1"/>
  <c r="L68" i="6"/>
  <c r="N68" i="6"/>
  <c r="P68" i="6" s="1"/>
  <c r="AB80" i="9"/>
  <c r="N80" i="9"/>
  <c r="AC80" i="9"/>
  <c r="Q80" i="9"/>
  <c r="P80" i="9"/>
  <c r="AA80" i="9"/>
  <c r="O80" i="9"/>
  <c r="U80" i="9" l="1"/>
  <c r="A81" i="9"/>
  <c r="H94" i="14"/>
  <c r="B94" i="13"/>
  <c r="A95" i="13"/>
  <c r="G109" i="7"/>
  <c r="J109" i="7" s="1"/>
  <c r="M109" i="7" s="1"/>
  <c r="O109" i="7" s="1"/>
  <c r="Q109" i="7" s="1"/>
  <c r="V109" i="7" s="1"/>
  <c r="Y109" i="7" s="1"/>
  <c r="AB109" i="7" s="1"/>
  <c r="M109" i="9" s="1"/>
  <c r="F95" i="14"/>
  <c r="K95" i="14"/>
  <c r="I95" i="14"/>
  <c r="L95" i="14" s="1"/>
  <c r="A96" i="14"/>
  <c r="J95" i="14"/>
  <c r="E95" i="14"/>
  <c r="G95" i="14" s="1"/>
  <c r="R101" i="16"/>
  <c r="U102" i="16" s="1"/>
  <c r="V102" i="16" s="1"/>
  <c r="W102" i="16" s="1"/>
  <c r="Y102" i="16" s="1"/>
  <c r="X102" i="16" s="1"/>
  <c r="AE102" i="9" s="1"/>
  <c r="E81" i="9"/>
  <c r="F81" i="9"/>
  <c r="G81" i="9"/>
  <c r="H81" i="9"/>
  <c r="I81" i="9"/>
  <c r="A82" i="9"/>
  <c r="K110" i="7"/>
  <c r="L110" i="7" s="1"/>
  <c r="N110" i="7"/>
  <c r="P110" i="7"/>
  <c r="I110" i="7"/>
  <c r="Z110" i="7"/>
  <c r="AA110" i="7" s="1"/>
  <c r="X110" i="7"/>
  <c r="D110" i="7"/>
  <c r="E110" i="7" s="1"/>
  <c r="F110" i="7"/>
  <c r="E103" i="16"/>
  <c r="S103" i="16" s="1"/>
  <c r="F103" i="16"/>
  <c r="T103" i="16" s="1"/>
  <c r="D103" i="16"/>
  <c r="C103" i="16"/>
  <c r="K103" i="16"/>
  <c r="L103" i="16"/>
  <c r="G102" i="16"/>
  <c r="R102" i="16" s="1"/>
  <c r="Q102" i="16"/>
  <c r="T84" i="11"/>
  <c r="U84" i="11" s="1"/>
  <c r="M104" i="16"/>
  <c r="B104" i="16"/>
  <c r="A105" i="16"/>
  <c r="I104" i="16"/>
  <c r="J104" i="16"/>
  <c r="O103" i="16"/>
  <c r="P103" i="16"/>
  <c r="S97" i="15"/>
  <c r="M98" i="15"/>
  <c r="N98" i="15" s="1"/>
  <c r="O98" i="15" s="1"/>
  <c r="P98" i="15" s="1"/>
  <c r="Q98" i="15"/>
  <c r="R98" i="15" s="1"/>
  <c r="N85" i="11"/>
  <c r="U98" i="15"/>
  <c r="V98" i="15" s="1"/>
  <c r="H99" i="15"/>
  <c r="AC99" i="15"/>
  <c r="J99" i="15"/>
  <c r="AF99" i="15"/>
  <c r="K99" i="15"/>
  <c r="AJ99" i="15"/>
  <c r="L99" i="15"/>
  <c r="AK99" i="15"/>
  <c r="F99" i="15"/>
  <c r="W99" i="15"/>
  <c r="A100" i="15"/>
  <c r="E99" i="15"/>
  <c r="AE99" i="15"/>
  <c r="G99" i="15"/>
  <c r="AO99" i="15"/>
  <c r="I99" i="15"/>
  <c r="Y99" i="15"/>
  <c r="J86" i="11"/>
  <c r="M86" i="11" s="1"/>
  <c r="K86" i="11"/>
  <c r="L86" i="11"/>
  <c r="R86" i="11"/>
  <c r="S86" i="11"/>
  <c r="Q86" i="11"/>
  <c r="H87" i="11"/>
  <c r="P87" i="11"/>
  <c r="I87" i="11"/>
  <c r="E87" i="11"/>
  <c r="F87" i="11"/>
  <c r="A88" i="11"/>
  <c r="G86" i="11"/>
  <c r="O85" i="11"/>
  <c r="G68" i="10" a="1"/>
  <c r="G68" i="10" s="1"/>
  <c r="W90" i="10" s="1"/>
  <c r="W89" i="10"/>
  <c r="J68" i="10" a="1"/>
  <c r="J68" i="10" s="1"/>
  <c r="Z90" i="10" s="1"/>
  <c r="Z89" i="10"/>
  <c r="K68" i="10" a="1"/>
  <c r="K68" i="10" s="1"/>
  <c r="AA90" i="10" s="1"/>
  <c r="AA89" i="10"/>
  <c r="Q68" i="10" a="1"/>
  <c r="Q68" i="10" s="1"/>
  <c r="AG90" i="10" s="1"/>
  <c r="AG89" i="10"/>
  <c r="I68" i="10" a="1"/>
  <c r="I68" i="10" s="1"/>
  <c r="Y90" i="10" s="1"/>
  <c r="Y89" i="10"/>
  <c r="N68" i="10" a="1"/>
  <c r="N68" i="10" s="1"/>
  <c r="AD90" i="10" s="1"/>
  <c r="AD89" i="10"/>
  <c r="H68" i="10" a="1"/>
  <c r="H68" i="10" s="1"/>
  <c r="X90" i="10" s="1"/>
  <c r="X89" i="10"/>
  <c r="P68" i="10" a="1"/>
  <c r="P68" i="10" s="1"/>
  <c r="AF90" i="10" s="1"/>
  <c r="AF89" i="10"/>
  <c r="M68" i="10" a="1"/>
  <c r="M68" i="10" s="1"/>
  <c r="AC90" i="10" s="1"/>
  <c r="AC89" i="10"/>
  <c r="L68" i="10" a="1"/>
  <c r="L68" i="10" s="1"/>
  <c r="AB90" i="10" s="1"/>
  <c r="AB89" i="10"/>
  <c r="O68" i="10" a="1"/>
  <c r="O68" i="10" s="1"/>
  <c r="AE90" i="10" s="1"/>
  <c r="AE89" i="10"/>
  <c r="AG70" i="6"/>
  <c r="AB70" i="6"/>
  <c r="Y70" i="6"/>
  <c r="W70" i="6"/>
  <c r="U70" i="6"/>
  <c r="V70" i="6" s="1"/>
  <c r="O71" i="6"/>
  <c r="T71" i="6"/>
  <c r="R71" i="6"/>
  <c r="S71" i="6" s="1"/>
  <c r="AF71" i="6"/>
  <c r="AH71" i="6" s="1"/>
  <c r="A72" i="6"/>
  <c r="AE72" i="6" s="1"/>
  <c r="J71" i="6"/>
  <c r="D71" i="6"/>
  <c r="B71" i="6"/>
  <c r="C71" i="6" s="1"/>
  <c r="G70" i="6"/>
  <c r="E70" i="6"/>
  <c r="F70" i="6" s="1"/>
  <c r="M70" i="6"/>
  <c r="K70" i="6"/>
  <c r="AI67" i="6"/>
  <c r="AJ67" i="6" s="1"/>
  <c r="Z67" i="9" s="1"/>
  <c r="G80" i="9"/>
  <c r="H80" i="9"/>
  <c r="E80" i="9"/>
  <c r="I80" i="9"/>
  <c r="J80" i="9" s="1"/>
  <c r="R80" i="9" s="1"/>
  <c r="F80" i="9"/>
  <c r="H69" i="6"/>
  <c r="X69" i="6"/>
  <c r="Z69" i="6" s="1"/>
  <c r="AC68" i="6"/>
  <c r="N69" i="6"/>
  <c r="P69" i="6" s="1"/>
  <c r="L69" i="6"/>
  <c r="AB81" i="9"/>
  <c r="Q81" i="9"/>
  <c r="AC81" i="9"/>
  <c r="AA81" i="9"/>
  <c r="N81" i="9"/>
  <c r="P81" i="9"/>
  <c r="O81" i="9"/>
  <c r="Q82" i="9"/>
  <c r="O82" i="9"/>
  <c r="AC82" i="9"/>
  <c r="N82" i="9"/>
  <c r="AB82" i="9"/>
  <c r="AA82" i="9"/>
  <c r="P82" i="9"/>
  <c r="U82" i="9" l="1"/>
  <c r="U81" i="9"/>
  <c r="T85" i="11"/>
  <c r="U85" i="11" s="1"/>
  <c r="Z101" i="16"/>
  <c r="U103" i="16"/>
  <c r="H95" i="14"/>
  <c r="B95" i="13"/>
  <c r="A96" i="13"/>
  <c r="G110" i="7"/>
  <c r="J110" i="7" s="1"/>
  <c r="M110" i="7" s="1"/>
  <c r="O110" i="7" s="1"/>
  <c r="Q110" i="7" s="1"/>
  <c r="V110" i="7" s="1"/>
  <c r="Y110" i="7" s="1"/>
  <c r="AB110" i="7" s="1"/>
  <c r="M110" i="9" s="1"/>
  <c r="E96" i="14"/>
  <c r="G96" i="14" s="1"/>
  <c r="A97" i="14"/>
  <c r="F96" i="14"/>
  <c r="J96" i="14"/>
  <c r="I96" i="14"/>
  <c r="L96" i="14" s="1"/>
  <c r="K96" i="14"/>
  <c r="H102" i="16"/>
  <c r="Z102" i="16" s="1"/>
  <c r="E82" i="9"/>
  <c r="F82" i="9"/>
  <c r="G82" i="9"/>
  <c r="H82" i="9"/>
  <c r="I82" i="9"/>
  <c r="J82" i="9" s="1"/>
  <c r="R82" i="9" s="1"/>
  <c r="A83" i="9"/>
  <c r="S98" i="15"/>
  <c r="J81" i="9"/>
  <c r="R81" i="9" s="1"/>
  <c r="V103" i="16"/>
  <c r="W103" i="16" s="1"/>
  <c r="Y103" i="16" s="1"/>
  <c r="X103" i="16" s="1"/>
  <c r="AE103" i="9" s="1"/>
  <c r="Q103" i="16"/>
  <c r="G103" i="16"/>
  <c r="H103" i="16" s="1"/>
  <c r="L104" i="16"/>
  <c r="K104" i="16"/>
  <c r="I105" i="16"/>
  <c r="J105" i="16"/>
  <c r="M105" i="16"/>
  <c r="B105" i="16"/>
  <c r="A106" i="16"/>
  <c r="D104" i="16"/>
  <c r="E104" i="16"/>
  <c r="S104" i="16" s="1"/>
  <c r="C104" i="16"/>
  <c r="F104" i="16"/>
  <c r="T104" i="16" s="1"/>
  <c r="G87" i="11"/>
  <c r="O104" i="16"/>
  <c r="P104" i="16"/>
  <c r="U99" i="15"/>
  <c r="V99" i="15" s="1"/>
  <c r="N86" i="11"/>
  <c r="F100" i="15"/>
  <c r="W100" i="15"/>
  <c r="A101" i="15"/>
  <c r="H100" i="15"/>
  <c r="AC100" i="15"/>
  <c r="I100" i="15"/>
  <c r="AE100" i="15"/>
  <c r="J100" i="15"/>
  <c r="AF100" i="15"/>
  <c r="L100" i="15"/>
  <c r="AK100" i="15"/>
  <c r="Y100" i="15"/>
  <c r="E100" i="15"/>
  <c r="AJ100" i="15"/>
  <c r="G100" i="15"/>
  <c r="AO100" i="15"/>
  <c r="K100" i="15"/>
  <c r="M99" i="15"/>
  <c r="N99" i="15" s="1"/>
  <c r="O99" i="15" s="1"/>
  <c r="P99" i="15" s="1"/>
  <c r="Q99" i="15"/>
  <c r="R99" i="15" s="1"/>
  <c r="F88" i="11"/>
  <c r="A89" i="11"/>
  <c r="H88" i="11"/>
  <c r="P88" i="11"/>
  <c r="I88" i="11"/>
  <c r="E88" i="11"/>
  <c r="O86" i="11"/>
  <c r="J87" i="11"/>
  <c r="M87" i="11" s="1"/>
  <c r="K87" i="11"/>
  <c r="L87" i="11"/>
  <c r="Q87" i="11"/>
  <c r="R87" i="11"/>
  <c r="S87" i="11"/>
  <c r="X70" i="6"/>
  <c r="Z70" i="6" s="1"/>
  <c r="H70" i="6"/>
  <c r="W71" i="6"/>
  <c r="AB71" i="6"/>
  <c r="Y71" i="6"/>
  <c r="U71" i="6"/>
  <c r="V71" i="6" s="1"/>
  <c r="G71" i="6"/>
  <c r="E71" i="6"/>
  <c r="F71" i="6" s="1"/>
  <c r="M71" i="6"/>
  <c r="K71" i="6"/>
  <c r="AF72" i="6"/>
  <c r="AH72" i="6" s="1"/>
  <c r="T72" i="6"/>
  <c r="A73" i="6"/>
  <c r="AE73" i="6" s="1"/>
  <c r="B72" i="6"/>
  <c r="C72" i="6" s="1"/>
  <c r="D72" i="6"/>
  <c r="J72" i="6"/>
  <c r="O72" i="6"/>
  <c r="R72" i="6"/>
  <c r="S72" i="6" s="1"/>
  <c r="N70" i="6"/>
  <c r="P70" i="6" s="1"/>
  <c r="L70" i="6"/>
  <c r="AG71" i="6"/>
  <c r="AI68" i="6"/>
  <c r="AJ68" i="6" s="1"/>
  <c r="Z68" i="9" s="1"/>
  <c r="AC69" i="6"/>
  <c r="AB83" i="9"/>
  <c r="AA83" i="9"/>
  <c r="AC83" i="9"/>
  <c r="Q83" i="9"/>
  <c r="N83" i="9"/>
  <c r="O83" i="9"/>
  <c r="P83" i="9"/>
  <c r="U83" i="9" l="1"/>
  <c r="T86" i="11"/>
  <c r="U86" i="11" s="1"/>
  <c r="O87" i="11"/>
  <c r="A97" i="13"/>
  <c r="B96" i="13"/>
  <c r="E97" i="14"/>
  <c r="G97" i="14" s="1"/>
  <c r="A98" i="14"/>
  <c r="F97" i="14"/>
  <c r="I97" i="14"/>
  <c r="L97" i="14" s="1"/>
  <c r="K97" i="14"/>
  <c r="J97" i="14"/>
  <c r="H96" i="14"/>
  <c r="R103" i="16"/>
  <c r="U104" i="16" s="1"/>
  <c r="V104" i="16" s="1"/>
  <c r="W104" i="16" s="1"/>
  <c r="Y104" i="16" s="1"/>
  <c r="X104" i="16" s="1"/>
  <c r="AE104" i="9" s="1"/>
  <c r="F83" i="9"/>
  <c r="G83" i="9"/>
  <c r="H83" i="9"/>
  <c r="I83" i="9"/>
  <c r="J83" i="9" s="1"/>
  <c r="R83" i="9" s="1"/>
  <c r="A84" i="9"/>
  <c r="E83" i="9"/>
  <c r="M106" i="16"/>
  <c r="A107" i="16"/>
  <c r="I106" i="16"/>
  <c r="J106" i="16"/>
  <c r="B106" i="16"/>
  <c r="C105" i="16"/>
  <c r="D105" i="16"/>
  <c r="E105" i="16"/>
  <c r="S105" i="16" s="1"/>
  <c r="F105" i="16"/>
  <c r="T105" i="16" s="1"/>
  <c r="O105" i="16"/>
  <c r="P105" i="16"/>
  <c r="K105" i="16"/>
  <c r="L105" i="16"/>
  <c r="S99" i="15"/>
  <c r="Q104" i="16"/>
  <c r="G104" i="16"/>
  <c r="H104" i="16" s="1"/>
  <c r="L101" i="15"/>
  <c r="AK101" i="15"/>
  <c r="F101" i="15"/>
  <c r="W101" i="15"/>
  <c r="A102" i="15"/>
  <c r="G101" i="15"/>
  <c r="Y101" i="15"/>
  <c r="H101" i="15"/>
  <c r="AC101" i="15"/>
  <c r="J101" i="15"/>
  <c r="AF101" i="15"/>
  <c r="I101" i="15"/>
  <c r="K101" i="15"/>
  <c r="AE101" i="15"/>
  <c r="E101" i="15"/>
  <c r="AJ101" i="15"/>
  <c r="AO101" i="15"/>
  <c r="U100" i="15"/>
  <c r="V100" i="15" s="1"/>
  <c r="M100" i="15"/>
  <c r="N100" i="15" s="1"/>
  <c r="O100" i="15" s="1"/>
  <c r="P100" i="15" s="1"/>
  <c r="Q100" i="15"/>
  <c r="R100" i="15" s="1"/>
  <c r="K88" i="11"/>
  <c r="J88" i="11"/>
  <c r="M88" i="11" s="1"/>
  <c r="L88" i="11"/>
  <c r="Q88" i="11"/>
  <c r="R88" i="11"/>
  <c r="S88" i="11"/>
  <c r="E89" i="11"/>
  <c r="F89" i="11"/>
  <c r="A90" i="11"/>
  <c r="H89" i="11"/>
  <c r="P89" i="11"/>
  <c r="I89" i="11"/>
  <c r="N87" i="11"/>
  <c r="G88" i="11"/>
  <c r="X71" i="6"/>
  <c r="Z71" i="6" s="1"/>
  <c r="M72" i="6"/>
  <c r="K72" i="6"/>
  <c r="H71" i="6"/>
  <c r="E72" i="6"/>
  <c r="F72" i="6" s="1"/>
  <c r="G72" i="6"/>
  <c r="AC70" i="6"/>
  <c r="R73" i="6"/>
  <c r="S73" i="6" s="1"/>
  <c r="J73" i="6"/>
  <c r="O73" i="6"/>
  <c r="AF73" i="6"/>
  <c r="AH73" i="6" s="1"/>
  <c r="B73" i="6"/>
  <c r="C73" i="6" s="1"/>
  <c r="D73" i="6"/>
  <c r="T73" i="6"/>
  <c r="A74" i="6"/>
  <c r="AE74" i="6" s="1"/>
  <c r="U72" i="6"/>
  <c r="V72" i="6" s="1"/>
  <c r="W72" i="6"/>
  <c r="AB72" i="6"/>
  <c r="Y72" i="6"/>
  <c r="AG72" i="6"/>
  <c r="N71" i="6"/>
  <c r="P71" i="6" s="1"/>
  <c r="L71" i="6"/>
  <c r="AI69" i="6"/>
  <c r="AJ69" i="6" s="1"/>
  <c r="Z69" i="9" s="1"/>
  <c r="E26" i="3"/>
  <c r="G26" i="3"/>
  <c r="F27" i="3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N84" i="9"/>
  <c r="Q84" i="9"/>
  <c r="AB84" i="9"/>
  <c r="AA84" i="9"/>
  <c r="AC84" i="9"/>
  <c r="O84" i="9"/>
  <c r="P84" i="9"/>
  <c r="U84" i="9" l="1"/>
  <c r="F68" i="3" a="1"/>
  <c r="F68" i="3" s="1"/>
  <c r="F65" i="3" a="1"/>
  <c r="F65" i="3" s="1"/>
  <c r="F61" i="3" a="1"/>
  <c r="F61" i="3" s="1"/>
  <c r="F62" i="3" a="1"/>
  <c r="F62" i="3" s="1"/>
  <c r="F63" i="3" a="1"/>
  <c r="F63" i="3" s="1"/>
  <c r="F58" i="3" a="1"/>
  <c r="F58" i="3" s="1"/>
  <c r="F66" i="3" a="1"/>
  <c r="F66" i="3" s="1"/>
  <c r="F64" i="3" a="1"/>
  <c r="F64" i="3" s="1"/>
  <c r="F67" i="3" a="1"/>
  <c r="F67" i="3" s="1"/>
  <c r="F60" i="3" a="1"/>
  <c r="F60" i="3" s="1"/>
  <c r="F59" i="3" a="1"/>
  <c r="F59" i="3" s="1"/>
  <c r="T87" i="11"/>
  <c r="U87" i="11" s="1"/>
  <c r="B97" i="13"/>
  <c r="A98" i="13"/>
  <c r="Z103" i="16"/>
  <c r="K98" i="14"/>
  <c r="E98" i="14"/>
  <c r="G98" i="14" s="1"/>
  <c r="A99" i="14"/>
  <c r="F98" i="14"/>
  <c r="I98" i="14"/>
  <c r="L98" i="14" s="1"/>
  <c r="J98" i="14"/>
  <c r="R104" i="16"/>
  <c r="U105" i="16" s="1"/>
  <c r="V105" i="16" s="1"/>
  <c r="W105" i="16" s="1"/>
  <c r="Y105" i="16" s="1"/>
  <c r="X105" i="16" s="1"/>
  <c r="AE105" i="9" s="1"/>
  <c r="H97" i="14"/>
  <c r="G84" i="9"/>
  <c r="H84" i="9"/>
  <c r="I84" i="9"/>
  <c r="J84" i="9" s="1"/>
  <c r="R84" i="9" s="1"/>
  <c r="E84" i="9"/>
  <c r="A85" i="9"/>
  <c r="F84" i="9"/>
  <c r="G89" i="11"/>
  <c r="Q105" i="16"/>
  <c r="G105" i="16"/>
  <c r="R105" i="16" s="1"/>
  <c r="C106" i="16"/>
  <c r="D106" i="16"/>
  <c r="E106" i="16"/>
  <c r="S106" i="16" s="1"/>
  <c r="F106" i="16"/>
  <c r="T106" i="16" s="1"/>
  <c r="K106" i="16"/>
  <c r="L106" i="16"/>
  <c r="B107" i="16"/>
  <c r="J107" i="16"/>
  <c r="A108" i="16"/>
  <c r="I107" i="16"/>
  <c r="M107" i="16"/>
  <c r="O106" i="16"/>
  <c r="P106" i="16"/>
  <c r="S100" i="15"/>
  <c r="J102" i="15"/>
  <c r="AF102" i="15"/>
  <c r="L102" i="15"/>
  <c r="AK102" i="15"/>
  <c r="E102" i="15"/>
  <c r="AO102" i="15"/>
  <c r="F102" i="15"/>
  <c r="W102" i="15"/>
  <c r="A103" i="15"/>
  <c r="H102" i="15"/>
  <c r="AC102" i="15"/>
  <c r="K102" i="15"/>
  <c r="AE102" i="15"/>
  <c r="G102" i="15"/>
  <c r="Y102" i="15"/>
  <c r="AJ102" i="15"/>
  <c r="I102" i="15"/>
  <c r="Q101" i="15"/>
  <c r="R101" i="15" s="1"/>
  <c r="M101" i="15"/>
  <c r="N101" i="15" s="1"/>
  <c r="O101" i="15" s="1"/>
  <c r="P101" i="15" s="1"/>
  <c r="U101" i="15"/>
  <c r="V101" i="15" s="1"/>
  <c r="L89" i="11"/>
  <c r="J89" i="11"/>
  <c r="M89" i="11" s="1"/>
  <c r="K89" i="11"/>
  <c r="Q89" i="11"/>
  <c r="R89" i="11"/>
  <c r="S89" i="11"/>
  <c r="O88" i="11"/>
  <c r="E90" i="11"/>
  <c r="F90" i="11"/>
  <c r="A91" i="11"/>
  <c r="H90" i="11"/>
  <c r="P90" i="11"/>
  <c r="I90" i="11"/>
  <c r="N88" i="11"/>
  <c r="E52" i="10" a="1"/>
  <c r="E52" i="10" s="1"/>
  <c r="E51" i="10" a="1"/>
  <c r="E51" i="10" s="1"/>
  <c r="E44" i="10" a="1"/>
  <c r="E44" i="10" s="1"/>
  <c r="E54" i="10" a="1"/>
  <c r="E54" i="10" s="1"/>
  <c r="E45" i="10" a="1"/>
  <c r="E45" i="10" s="1"/>
  <c r="E46" i="10" a="1"/>
  <c r="E46" i="10" s="1"/>
  <c r="E49" i="10" a="1"/>
  <c r="E49" i="10" s="1"/>
  <c r="E48" i="10" a="1"/>
  <c r="E48" i="10" s="1"/>
  <c r="E55" i="10" a="1"/>
  <c r="E55" i="10" s="1"/>
  <c r="E53" i="10" a="1"/>
  <c r="E53" i="10" s="1"/>
  <c r="E50" i="10" a="1"/>
  <c r="E50" i="10" s="1"/>
  <c r="E47" i="10" a="1"/>
  <c r="E47" i="10" s="1"/>
  <c r="B22" i="8"/>
  <c r="F54" i="10" a="1"/>
  <c r="F54" i="10" s="1"/>
  <c r="V59" i="10" s="1"/>
  <c r="X72" i="6"/>
  <c r="Z72" i="6" s="1"/>
  <c r="AC71" i="6"/>
  <c r="Y73" i="6"/>
  <c r="AB73" i="6"/>
  <c r="U73" i="6"/>
  <c r="V73" i="6" s="1"/>
  <c r="W73" i="6"/>
  <c r="AI70" i="6"/>
  <c r="AJ70" i="6" s="1"/>
  <c r="Z70" i="9" s="1"/>
  <c r="G73" i="6"/>
  <c r="E73" i="6"/>
  <c r="F73" i="6" s="1"/>
  <c r="AG73" i="6"/>
  <c r="H72" i="6"/>
  <c r="R74" i="6"/>
  <c r="S74" i="6" s="1"/>
  <c r="O74" i="6"/>
  <c r="T74" i="6"/>
  <c r="AF74" i="6"/>
  <c r="AH74" i="6" s="1"/>
  <c r="B74" i="6"/>
  <c r="C74" i="6" s="1"/>
  <c r="D74" i="6"/>
  <c r="J74" i="6"/>
  <c r="A75" i="6"/>
  <c r="AE75" i="6" s="1"/>
  <c r="M73" i="6"/>
  <c r="K73" i="6"/>
  <c r="N72" i="6"/>
  <c r="P72" i="6" s="1"/>
  <c r="L72" i="6"/>
  <c r="H26" i="3"/>
  <c r="M47" i="10" a="1"/>
  <c r="M47" i="10" s="1"/>
  <c r="F48" i="10" a="1"/>
  <c r="F48" i="10" s="1"/>
  <c r="V51" i="10" s="1"/>
  <c r="L49" i="10" a="1"/>
  <c r="L49" i="10" s="1"/>
  <c r="I47" i="10" a="1"/>
  <c r="I47" i="10" s="1"/>
  <c r="K47" i="10" a="1"/>
  <c r="K47" i="10" s="1"/>
  <c r="H44" i="10" a="1"/>
  <c r="H44" i="10" s="1"/>
  <c r="M44" i="10" a="1"/>
  <c r="M44" i="10" s="1"/>
  <c r="K44" i="10" a="1"/>
  <c r="K44" i="10" s="1"/>
  <c r="Q49" i="10" a="1"/>
  <c r="Q49" i="10" s="1"/>
  <c r="P47" i="10" a="1"/>
  <c r="P47" i="10" s="1"/>
  <c r="P49" i="10" a="1"/>
  <c r="P49" i="10" s="1"/>
  <c r="AF52" i="10" s="1"/>
  <c r="J49" i="10" a="1"/>
  <c r="J49" i="10" s="1"/>
  <c r="N47" i="10" a="1"/>
  <c r="N47" i="10" s="1"/>
  <c r="P44" i="10" a="1"/>
  <c r="P44" i="10" s="1"/>
  <c r="N49" i="10" a="1"/>
  <c r="N49" i="10" s="1"/>
  <c r="O49" i="10" a="1"/>
  <c r="O49" i="10" s="1"/>
  <c r="O44" i="10" a="1"/>
  <c r="O44" i="10" s="1"/>
  <c r="L44" i="10" a="1"/>
  <c r="L44" i="10" s="1"/>
  <c r="Q47" i="10" a="1"/>
  <c r="Q47" i="10" s="1"/>
  <c r="I49" i="10" a="1"/>
  <c r="I49" i="10" s="1"/>
  <c r="J44" i="10" a="1"/>
  <c r="J44" i="10" s="1"/>
  <c r="J47" i="10" a="1"/>
  <c r="J47" i="10" s="1"/>
  <c r="H47" i="10" a="1"/>
  <c r="H47" i="10" s="1"/>
  <c r="H49" i="10" a="1"/>
  <c r="H49" i="10" s="1"/>
  <c r="O47" i="10" a="1"/>
  <c r="O47" i="10" s="1"/>
  <c r="K49" i="10" a="1"/>
  <c r="K49" i="10" s="1"/>
  <c r="I44" i="10" a="1"/>
  <c r="I44" i="10" s="1"/>
  <c r="N44" i="10" a="1"/>
  <c r="N44" i="10" s="1"/>
  <c r="M49" i="10" a="1"/>
  <c r="M49" i="10" s="1"/>
  <c r="L47" i="10" a="1"/>
  <c r="L47" i="10" s="1"/>
  <c r="Q44" i="10" a="1"/>
  <c r="Q44" i="10" s="1"/>
  <c r="F49" i="10" a="1"/>
  <c r="F49" i="10" s="1"/>
  <c r="V52" i="10" s="1"/>
  <c r="F52" i="10" a="1"/>
  <c r="F52" i="10" s="1"/>
  <c r="V55" i="10" s="1"/>
  <c r="F53" i="10" a="1"/>
  <c r="F53" i="10" s="1"/>
  <c r="V58" i="10" s="1"/>
  <c r="F51" i="10" a="1"/>
  <c r="F51" i="10" s="1"/>
  <c r="V234" i="10" s="1"/>
  <c r="F55" i="10" a="1"/>
  <c r="F55" i="10" s="1"/>
  <c r="V60" i="10" s="1"/>
  <c r="F44" i="10" a="1"/>
  <c r="F44" i="10" s="1"/>
  <c r="V232" i="10" s="1"/>
  <c r="F45" i="10" a="1"/>
  <c r="F45" i="10" s="1"/>
  <c r="V50" i="10" s="1"/>
  <c r="G49" i="10" a="1"/>
  <c r="G49" i="10" s="1"/>
  <c r="F50" i="10" a="1"/>
  <c r="F50" i="10" s="1"/>
  <c r="V233" i="10" s="1"/>
  <c r="G44" i="10" a="1"/>
  <c r="G44" i="10" s="1"/>
  <c r="F47" i="10" a="1"/>
  <c r="F47" i="10" s="1"/>
  <c r="V278" i="10" s="1"/>
  <c r="G47" i="10" a="1"/>
  <c r="G47" i="10" s="1"/>
  <c r="F46" i="10" a="1"/>
  <c r="F46" i="10" s="1"/>
  <c r="V236" i="10" s="1"/>
  <c r="D26" i="3"/>
  <c r="E27" i="3"/>
  <c r="D27" i="3" s="1"/>
  <c r="G27" i="3"/>
  <c r="AC85" i="9"/>
  <c r="AA85" i="9"/>
  <c r="P85" i="9"/>
  <c r="Q85" i="9"/>
  <c r="AB85" i="9"/>
  <c r="O85" i="9"/>
  <c r="N85" i="9"/>
  <c r="U85" i="9" l="1"/>
  <c r="AD59" i="3" a="1"/>
  <c r="AD59" i="3" s="1"/>
  <c r="AD68" i="3" a="1"/>
  <c r="AD68" i="3" s="1"/>
  <c r="AD67" i="3" a="1"/>
  <c r="AD67" i="3" s="1"/>
  <c r="AD65" i="3" a="1"/>
  <c r="AD65" i="3" s="1"/>
  <c r="G65" i="3" s="1" a="1"/>
  <c r="G65" i="3" s="1"/>
  <c r="AD63" i="3" a="1"/>
  <c r="AD63" i="3" s="1"/>
  <c r="AD61" i="3" a="1"/>
  <c r="AD61" i="3" s="1"/>
  <c r="AD66" i="3" a="1"/>
  <c r="AD66" i="3" s="1"/>
  <c r="AD62" i="3" a="1"/>
  <c r="AD62" i="3" s="1"/>
  <c r="AD58" i="3" a="1"/>
  <c r="AD58" i="3" s="1"/>
  <c r="G58" i="3" s="1" a="1"/>
  <c r="G58" i="3" s="1"/>
  <c r="G59" i="3" s="1" a="1"/>
  <c r="G59" i="3" s="1"/>
  <c r="AD64" i="3" a="1"/>
  <c r="AD64" i="3" s="1"/>
  <c r="AD60" i="3" a="1"/>
  <c r="AD60" i="3" s="1"/>
  <c r="E66" i="3" a="1"/>
  <c r="E66" i="3" s="1"/>
  <c r="E68" i="3" a="1"/>
  <c r="E68" i="3" s="1"/>
  <c r="E58" i="3" a="1"/>
  <c r="E58" i="3" s="1"/>
  <c r="E60" i="3" a="1"/>
  <c r="E60" i="3" s="1"/>
  <c r="E65" i="3" a="1"/>
  <c r="E65" i="3" s="1"/>
  <c r="D65" i="3" a="1"/>
  <c r="D65" i="3" s="1"/>
  <c r="D58" i="3" a="1"/>
  <c r="D58" i="3" s="1"/>
  <c r="D63" i="3" a="1"/>
  <c r="D63" i="3" s="1"/>
  <c r="D66" i="3" a="1"/>
  <c r="D66" i="3" s="1"/>
  <c r="D68" i="3" a="1"/>
  <c r="D68" i="3" s="1"/>
  <c r="D59" i="3" a="1"/>
  <c r="D59" i="3" s="1"/>
  <c r="D61" i="3" a="1"/>
  <c r="D61" i="3" s="1"/>
  <c r="D67" i="3" a="1"/>
  <c r="D67" i="3" s="1"/>
  <c r="D60" i="3" a="1"/>
  <c r="D60" i="3" s="1"/>
  <c r="D62" i="3" a="1"/>
  <c r="D62" i="3" s="1"/>
  <c r="D64" i="3" a="1"/>
  <c r="D64" i="3" s="1"/>
  <c r="E61" i="3" a="1"/>
  <c r="E61" i="3" s="1"/>
  <c r="E67" i="3" a="1"/>
  <c r="E67" i="3" s="1"/>
  <c r="E64" i="3" a="1"/>
  <c r="E64" i="3" s="1"/>
  <c r="E59" i="3" a="1"/>
  <c r="E59" i="3" s="1"/>
  <c r="E62" i="3" a="1"/>
  <c r="E62" i="3" s="1"/>
  <c r="E63" i="3" a="1"/>
  <c r="E63" i="3" s="1"/>
  <c r="O89" i="11"/>
  <c r="A99" i="13"/>
  <c r="B98" i="13"/>
  <c r="U106" i="16"/>
  <c r="V106" i="16" s="1"/>
  <c r="W106" i="16" s="1"/>
  <c r="Y106" i="16" s="1"/>
  <c r="X106" i="16" s="1"/>
  <c r="AE106" i="9" s="1"/>
  <c r="J99" i="14"/>
  <c r="K99" i="14"/>
  <c r="I99" i="14"/>
  <c r="L99" i="14" s="1"/>
  <c r="E99" i="14"/>
  <c r="G99" i="14" s="1"/>
  <c r="A100" i="14"/>
  <c r="F99" i="14"/>
  <c r="H98" i="14"/>
  <c r="Z104" i="16"/>
  <c r="H85" i="9"/>
  <c r="I85" i="9"/>
  <c r="J85" i="9" s="1"/>
  <c r="R85" i="9" s="1"/>
  <c r="F85" i="9"/>
  <c r="A86" i="9"/>
  <c r="E85" i="9"/>
  <c r="G85" i="9"/>
  <c r="S101" i="15"/>
  <c r="P107" i="16"/>
  <c r="O107" i="16"/>
  <c r="H105" i="16"/>
  <c r="Z105" i="16" s="1"/>
  <c r="T88" i="11"/>
  <c r="U88" i="11" s="1"/>
  <c r="I108" i="16"/>
  <c r="B108" i="16"/>
  <c r="J108" i="16"/>
  <c r="A109" i="16"/>
  <c r="M108" i="16"/>
  <c r="K107" i="16"/>
  <c r="L107" i="16"/>
  <c r="F107" i="16"/>
  <c r="T107" i="16" s="1"/>
  <c r="C107" i="16"/>
  <c r="D107" i="16"/>
  <c r="E107" i="16"/>
  <c r="S107" i="16" s="1"/>
  <c r="Q106" i="16"/>
  <c r="G106" i="16"/>
  <c r="R106" i="16" s="1"/>
  <c r="U107" i="16" s="1"/>
  <c r="U102" i="15"/>
  <c r="V102" i="15" s="1"/>
  <c r="Q102" i="15"/>
  <c r="R102" i="15" s="1"/>
  <c r="H103" i="15"/>
  <c r="AC103" i="15"/>
  <c r="J103" i="15"/>
  <c r="AF103" i="15"/>
  <c r="K103" i="15"/>
  <c r="AJ103" i="15"/>
  <c r="L103" i="15"/>
  <c r="AK103" i="15"/>
  <c r="F103" i="15"/>
  <c r="W103" i="15"/>
  <c r="A104" i="15"/>
  <c r="G103" i="15"/>
  <c r="AO103" i="15"/>
  <c r="I103" i="15"/>
  <c r="AE103" i="15"/>
  <c r="Y103" i="15"/>
  <c r="E103" i="15"/>
  <c r="M102" i="15"/>
  <c r="N102" i="15" s="1"/>
  <c r="O102" i="15" s="1"/>
  <c r="P102" i="15" s="1"/>
  <c r="J90" i="11"/>
  <c r="M90" i="11" s="1"/>
  <c r="K90" i="11"/>
  <c r="L90" i="11"/>
  <c r="R90" i="11"/>
  <c r="S90" i="11"/>
  <c r="Q90" i="11"/>
  <c r="N89" i="11"/>
  <c r="H91" i="11"/>
  <c r="P91" i="11"/>
  <c r="I91" i="11"/>
  <c r="E91" i="11"/>
  <c r="F91" i="11"/>
  <c r="A92" i="11"/>
  <c r="G90" i="11"/>
  <c r="L48" i="10" a="1"/>
  <c r="L48" i="10" s="1"/>
  <c r="AB51" i="10" s="1"/>
  <c r="AB278" i="10"/>
  <c r="P45" i="10" a="1"/>
  <c r="P45" i="10" s="1"/>
  <c r="AF50" i="10" s="1"/>
  <c r="AF232" i="10"/>
  <c r="H45" i="10" a="1"/>
  <c r="H45" i="10" s="1"/>
  <c r="X50" i="10" s="1"/>
  <c r="X232" i="10"/>
  <c r="M50" i="10" a="1"/>
  <c r="M50" i="10" s="1"/>
  <c r="AC52" i="10"/>
  <c r="J45" i="10" a="1"/>
  <c r="J45" i="10" s="1"/>
  <c r="Z50" i="10" s="1"/>
  <c r="Z232" i="10"/>
  <c r="N48" i="10" a="1"/>
  <c r="N48" i="10" s="1"/>
  <c r="AD51" i="10" s="1"/>
  <c r="AD278" i="10"/>
  <c r="K48" i="10" a="1"/>
  <c r="K48" i="10" s="1"/>
  <c r="AA51" i="10" s="1"/>
  <c r="AA278" i="10"/>
  <c r="J48" i="10" a="1"/>
  <c r="J48" i="10" s="1"/>
  <c r="Z51" i="10" s="1"/>
  <c r="Z278" i="10"/>
  <c r="N45" i="10" a="1"/>
  <c r="N45" i="10" s="1"/>
  <c r="AD50" i="10" s="1"/>
  <c r="AD232" i="10"/>
  <c r="I50" i="10" a="1"/>
  <c r="I50" i="10" s="1"/>
  <c r="Y52" i="10"/>
  <c r="J50" i="10" a="1"/>
  <c r="J50" i="10" s="1"/>
  <c r="Z52" i="10"/>
  <c r="I48" i="10" a="1"/>
  <c r="I48" i="10" s="1"/>
  <c r="Y51" i="10" s="1"/>
  <c r="Y278" i="10"/>
  <c r="G48" i="10" a="1"/>
  <c r="G48" i="10" s="1"/>
  <c r="W51" i="10" s="1"/>
  <c r="W278" i="10"/>
  <c r="I45" i="10" a="1"/>
  <c r="I45" i="10" s="1"/>
  <c r="Y50" i="10" s="1"/>
  <c r="Y232" i="10"/>
  <c r="Q48" i="10" a="1"/>
  <c r="Q48" i="10" s="1"/>
  <c r="AG51" i="10" s="1"/>
  <c r="AG278" i="10"/>
  <c r="L50" i="10" a="1"/>
  <c r="L50" i="10" s="1"/>
  <c r="AB52" i="10"/>
  <c r="K50" i="10" a="1"/>
  <c r="K50" i="10" s="1"/>
  <c r="AA52" i="10"/>
  <c r="L45" i="10" a="1"/>
  <c r="L45" i="10" s="1"/>
  <c r="AB50" i="10" s="1"/>
  <c r="AB232" i="10"/>
  <c r="P48" i="10" a="1"/>
  <c r="P48" i="10" s="1"/>
  <c r="AF51" i="10" s="1"/>
  <c r="AF278" i="10"/>
  <c r="G45" i="10" a="1"/>
  <c r="G45" i="10" s="1"/>
  <c r="W50" i="10" s="1"/>
  <c r="W232" i="10"/>
  <c r="O48" i="10" a="1"/>
  <c r="O48" i="10" s="1"/>
  <c r="AE51" i="10" s="1"/>
  <c r="AE278" i="10"/>
  <c r="O45" i="10" a="1"/>
  <c r="O45" i="10" s="1"/>
  <c r="AE50" i="10" s="1"/>
  <c r="AE232" i="10"/>
  <c r="Q50" i="10" a="1"/>
  <c r="Q50" i="10" s="1"/>
  <c r="AG52" i="10"/>
  <c r="M48" i="10" a="1"/>
  <c r="M48" i="10" s="1"/>
  <c r="AC51" i="10" s="1"/>
  <c r="AC278" i="10"/>
  <c r="H50" i="10" a="1"/>
  <c r="H50" i="10" s="1"/>
  <c r="X52" i="10"/>
  <c r="O50" i="10" a="1"/>
  <c r="O50" i="10" s="1"/>
  <c r="AE52" i="10"/>
  <c r="K45" i="10" a="1"/>
  <c r="K45" i="10" s="1"/>
  <c r="AA50" i="10" s="1"/>
  <c r="AA232" i="10"/>
  <c r="G50" i="10" a="1"/>
  <c r="G50" i="10" s="1"/>
  <c r="W52" i="10"/>
  <c r="Q45" i="10" a="1"/>
  <c r="Q45" i="10" s="1"/>
  <c r="AG50" i="10" s="1"/>
  <c r="AG232" i="10"/>
  <c r="H48" i="10" a="1"/>
  <c r="H48" i="10" s="1"/>
  <c r="X51" i="10" s="1"/>
  <c r="X278" i="10"/>
  <c r="N50" i="10" a="1"/>
  <c r="N50" i="10" s="1"/>
  <c r="AD52" i="10"/>
  <c r="M45" i="10" a="1"/>
  <c r="M45" i="10" s="1"/>
  <c r="AC50" i="10" s="1"/>
  <c r="AC232" i="10"/>
  <c r="AC72" i="6"/>
  <c r="AI72" i="6" s="1"/>
  <c r="AJ72" i="6" s="1"/>
  <c r="Z72" i="9" s="1"/>
  <c r="AI71" i="6"/>
  <c r="I26" i="3"/>
  <c r="D75" i="6"/>
  <c r="AF75" i="6"/>
  <c r="AH75" i="6" s="1"/>
  <c r="T75" i="6"/>
  <c r="J75" i="6"/>
  <c r="B75" i="6"/>
  <c r="C75" i="6" s="1"/>
  <c r="A76" i="6"/>
  <c r="AE76" i="6" s="1"/>
  <c r="R75" i="6"/>
  <c r="S75" i="6" s="1"/>
  <c r="O75" i="6"/>
  <c r="M74" i="6"/>
  <c r="K74" i="6"/>
  <c r="G74" i="6"/>
  <c r="E74" i="6"/>
  <c r="F74" i="6" s="1"/>
  <c r="X73" i="6"/>
  <c r="Z73" i="6" s="1"/>
  <c r="AG74" i="6"/>
  <c r="N73" i="6"/>
  <c r="P73" i="6" s="1"/>
  <c r="L73" i="6"/>
  <c r="AB74" i="6"/>
  <c r="Y74" i="6"/>
  <c r="W74" i="6"/>
  <c r="U74" i="6"/>
  <c r="V74" i="6" s="1"/>
  <c r="H73" i="6"/>
  <c r="H27" i="3"/>
  <c r="AE63" i="3" s="1" a="1"/>
  <c r="AE63" i="3" s="1"/>
  <c r="P50" i="10" a="1"/>
  <c r="P50" i="10" s="1"/>
  <c r="AF233" i="10" s="1"/>
  <c r="A39" i="1"/>
  <c r="A37" i="1"/>
  <c r="AA86" i="9"/>
  <c r="Q86" i="9"/>
  <c r="AB86" i="9"/>
  <c r="AC86" i="9"/>
  <c r="P86" i="9"/>
  <c r="N86" i="9"/>
  <c r="O86" i="9"/>
  <c r="U86" i="9" l="1"/>
  <c r="G60" i="3" a="1"/>
  <c r="G60" i="3" s="1"/>
  <c r="G61" i="3" s="1" a="1"/>
  <c r="G61" i="3" s="1"/>
  <c r="G62" i="3" s="1" a="1"/>
  <c r="G62" i="3" s="1"/>
  <c r="G63" i="3" s="1" a="1"/>
  <c r="G63" i="3" s="1"/>
  <c r="G64" i="3" s="1" a="1"/>
  <c r="G64" i="3" s="1"/>
  <c r="G66" i="3" s="1" a="1"/>
  <c r="G66" i="3" s="1"/>
  <c r="G67" i="3" s="1" a="1"/>
  <c r="G67" i="3" s="1"/>
  <c r="G68" i="3" s="1" a="1"/>
  <c r="G68" i="3" s="1"/>
  <c r="P46" i="10" a="1"/>
  <c r="P46" i="10" s="1"/>
  <c r="AF236" i="10" s="1"/>
  <c r="AE60" i="3" a="1"/>
  <c r="AE60" i="3" s="1"/>
  <c r="H60" i="3" s="1" a="1"/>
  <c r="H60" i="3" s="1"/>
  <c r="AE66" i="3" a="1"/>
  <c r="AE66" i="3" s="1"/>
  <c r="H66" i="3" s="1" a="1"/>
  <c r="H66" i="3" s="1"/>
  <c r="AE65" i="3" a="1"/>
  <c r="AE65" i="3" s="1"/>
  <c r="H65" i="3" s="1" a="1"/>
  <c r="H65" i="3" s="1"/>
  <c r="AE64" i="3" a="1"/>
  <c r="AE64" i="3" s="1"/>
  <c r="H64" i="3" s="1" a="1"/>
  <c r="H64" i="3" s="1"/>
  <c r="AE61" i="3" a="1"/>
  <c r="AE61" i="3" s="1"/>
  <c r="H61" i="3" s="1" a="1"/>
  <c r="H61" i="3" s="1"/>
  <c r="AE67" i="3" a="1"/>
  <c r="AE67" i="3" s="1"/>
  <c r="H67" i="3" s="1" a="1"/>
  <c r="H67" i="3" s="1"/>
  <c r="AE68" i="3" a="1"/>
  <c r="AE68" i="3" s="1"/>
  <c r="H68" i="3" s="1" a="1"/>
  <c r="H68" i="3" s="1"/>
  <c r="AE62" i="3" a="1"/>
  <c r="AE62" i="3" s="1"/>
  <c r="H62" i="3" s="1" a="1"/>
  <c r="H62" i="3" s="1"/>
  <c r="AE59" i="3" a="1"/>
  <c r="AE59" i="3" s="1"/>
  <c r="H59" i="3" s="1" a="1"/>
  <c r="H59" i="3" s="1"/>
  <c r="AE58" i="3" a="1"/>
  <c r="AE58" i="3" s="1"/>
  <c r="H58" i="3" s="1" a="1"/>
  <c r="H58" i="3" s="1"/>
  <c r="AJ71" i="6"/>
  <c r="Z71" i="9" s="1"/>
  <c r="T89" i="11"/>
  <c r="S102" i="15"/>
  <c r="A100" i="13"/>
  <c r="B99" i="13"/>
  <c r="I100" i="14"/>
  <c r="L100" i="14" s="1"/>
  <c r="J100" i="14"/>
  <c r="K100" i="14"/>
  <c r="F100" i="14"/>
  <c r="E100" i="14"/>
  <c r="G100" i="14" s="1"/>
  <c r="A101" i="14"/>
  <c r="H99" i="14"/>
  <c r="I86" i="9"/>
  <c r="J86" i="9" s="1"/>
  <c r="R86" i="9" s="1"/>
  <c r="A87" i="9"/>
  <c r="F86" i="9"/>
  <c r="E86" i="9"/>
  <c r="G86" i="9"/>
  <c r="H86" i="9"/>
  <c r="H106" i="16"/>
  <c r="V107" i="16"/>
  <c r="W107" i="16" s="1"/>
  <c r="Y107" i="16" s="1"/>
  <c r="X107" i="16" s="1"/>
  <c r="AE107" i="9" s="1"/>
  <c r="O108" i="16"/>
  <c r="P108" i="16"/>
  <c r="I109" i="16"/>
  <c r="J109" i="16"/>
  <c r="B109" i="16"/>
  <c r="A110" i="16"/>
  <c r="M109" i="16"/>
  <c r="L108" i="16"/>
  <c r="K108" i="16"/>
  <c r="G107" i="16"/>
  <c r="H107" i="16" s="1"/>
  <c r="Q107" i="16"/>
  <c r="E108" i="16"/>
  <c r="S108" i="16" s="1"/>
  <c r="C108" i="16"/>
  <c r="D108" i="16"/>
  <c r="F108" i="16"/>
  <c r="T108" i="16" s="1"/>
  <c r="G91" i="11"/>
  <c r="F104" i="15"/>
  <c r="W104" i="15"/>
  <c r="A105" i="15"/>
  <c r="H104" i="15"/>
  <c r="AC104" i="15"/>
  <c r="I104" i="15"/>
  <c r="J104" i="15"/>
  <c r="AF104" i="15"/>
  <c r="L104" i="15"/>
  <c r="Y104" i="15"/>
  <c r="E104" i="15"/>
  <c r="AE104" i="15"/>
  <c r="G104" i="15"/>
  <c r="AJ104" i="15"/>
  <c r="K104" i="15"/>
  <c r="AK104" i="15"/>
  <c r="AO104" i="15"/>
  <c r="M103" i="15"/>
  <c r="N103" i="15" s="1"/>
  <c r="O103" i="15" s="1"/>
  <c r="P103" i="15" s="1"/>
  <c r="U103" i="15"/>
  <c r="V103" i="15" s="1"/>
  <c r="Q103" i="15"/>
  <c r="R103" i="15" s="1"/>
  <c r="N90" i="11"/>
  <c r="F92" i="11"/>
  <c r="A93" i="11"/>
  <c r="H92" i="11"/>
  <c r="P92" i="11"/>
  <c r="I92" i="11"/>
  <c r="E92" i="11"/>
  <c r="O90" i="11"/>
  <c r="J91" i="11"/>
  <c r="M91" i="11" s="1"/>
  <c r="K91" i="11"/>
  <c r="L91" i="11"/>
  <c r="Q91" i="11"/>
  <c r="R91" i="11"/>
  <c r="S91" i="11"/>
  <c r="H63" i="3" a="1"/>
  <c r="H63" i="3" s="1"/>
  <c r="H46" i="10" a="1"/>
  <c r="H46" i="10" s="1"/>
  <c r="X236" i="10" s="1"/>
  <c r="G46" i="10" a="1"/>
  <c r="G46" i="10" s="1"/>
  <c r="W236" i="10" s="1"/>
  <c r="M46" i="10" a="1"/>
  <c r="M46" i="10" s="1"/>
  <c r="AC236" i="10" s="1"/>
  <c r="L46" i="10" a="1"/>
  <c r="L46" i="10" s="1"/>
  <c r="AB236" i="10" s="1"/>
  <c r="K46" i="10" a="1"/>
  <c r="K46" i="10" s="1"/>
  <c r="AA236" i="10" s="1"/>
  <c r="N46" i="10" a="1"/>
  <c r="N46" i="10" s="1"/>
  <c r="AD236" i="10" s="1"/>
  <c r="Q46" i="10" a="1"/>
  <c r="Q46" i="10" s="1"/>
  <c r="AG236" i="10" s="1"/>
  <c r="O46" i="10" a="1"/>
  <c r="O46" i="10" s="1"/>
  <c r="AE236" i="10" s="1"/>
  <c r="I46" i="10" a="1"/>
  <c r="I46" i="10" s="1"/>
  <c r="Y236" i="10" s="1"/>
  <c r="J46" i="10" a="1"/>
  <c r="J46" i="10" s="1"/>
  <c r="Z236" i="10" s="1"/>
  <c r="G51" i="10" a="1"/>
  <c r="G51" i="10" s="1"/>
  <c r="W233" i="10"/>
  <c r="L51" i="10" a="1"/>
  <c r="L51" i="10" s="1"/>
  <c r="AB233" i="10"/>
  <c r="M51" i="10" a="1"/>
  <c r="M51" i="10" s="1"/>
  <c r="AC233" i="10"/>
  <c r="N51" i="10" a="1"/>
  <c r="N51" i="10" s="1"/>
  <c r="AD233" i="10"/>
  <c r="Q51" i="10" a="1"/>
  <c r="Q51" i="10" s="1"/>
  <c r="AG233" i="10"/>
  <c r="J51" i="10" a="1"/>
  <c r="J51" i="10" s="1"/>
  <c r="Z233" i="10"/>
  <c r="O51" i="10" a="1"/>
  <c r="O51" i="10" s="1"/>
  <c r="AE233" i="10"/>
  <c r="I51" i="10" a="1"/>
  <c r="I51" i="10" s="1"/>
  <c r="Y233" i="10"/>
  <c r="H51" i="10" a="1"/>
  <c r="H51" i="10" s="1"/>
  <c r="X233" i="10"/>
  <c r="K51" i="10" a="1"/>
  <c r="K51" i="10" s="1"/>
  <c r="AA233" i="10"/>
  <c r="AI37" i="1"/>
  <c r="AN37" i="1"/>
  <c r="AP37" i="1"/>
  <c r="AE37" i="1"/>
  <c r="K37" i="1"/>
  <c r="AG37" i="1"/>
  <c r="Q37" i="1"/>
  <c r="AH37" i="1"/>
  <c r="S37" i="1"/>
  <c r="AM37" i="1"/>
  <c r="U37" i="1"/>
  <c r="AO37" i="1"/>
  <c r="W37" i="1"/>
  <c r="C37" i="1"/>
  <c r="E37" i="1" s="1"/>
  <c r="T37" i="1"/>
  <c r="AA37" i="1"/>
  <c r="V37" i="1"/>
  <c r="G37" i="1"/>
  <c r="L37" i="1"/>
  <c r="AD37" i="1"/>
  <c r="O37" i="1"/>
  <c r="AF37" i="1"/>
  <c r="F37" i="1"/>
  <c r="D37" i="1"/>
  <c r="Z37" i="1"/>
  <c r="N37" i="1"/>
  <c r="P37" i="1"/>
  <c r="B37" i="1"/>
  <c r="R37" i="1"/>
  <c r="J26" i="3"/>
  <c r="X74" i="6"/>
  <c r="Z74" i="6" s="1"/>
  <c r="H74" i="6"/>
  <c r="M75" i="6"/>
  <c r="K75" i="6"/>
  <c r="U75" i="6"/>
  <c r="V75" i="6" s="1"/>
  <c r="AB75" i="6"/>
  <c r="Y75" i="6"/>
  <c r="W75" i="6"/>
  <c r="AC73" i="6"/>
  <c r="N74" i="6"/>
  <c r="P74" i="6" s="1"/>
  <c r="L74" i="6"/>
  <c r="AG75" i="6"/>
  <c r="G75" i="6"/>
  <c r="E75" i="6"/>
  <c r="F75" i="6" s="1"/>
  <c r="T76" i="6"/>
  <c r="B76" i="6"/>
  <c r="C76" i="6" s="1"/>
  <c r="O76" i="6"/>
  <c r="J76" i="6"/>
  <c r="A77" i="6"/>
  <c r="AE77" i="6" s="1"/>
  <c r="R76" i="6"/>
  <c r="S76" i="6" s="1"/>
  <c r="D76" i="6"/>
  <c r="AF76" i="6"/>
  <c r="AH76" i="6" s="1"/>
  <c r="I27" i="3"/>
  <c r="P51" i="10" a="1"/>
  <c r="P51" i="10" s="1"/>
  <c r="AF234" i="10" s="1"/>
  <c r="AK37" i="1"/>
  <c r="AK39" i="1"/>
  <c r="AH39" i="1" s="1"/>
  <c r="AO39" i="1"/>
  <c r="AC39" i="1"/>
  <c r="AD39" i="1" s="1"/>
  <c r="AJ39" i="1"/>
  <c r="AC37" i="1"/>
  <c r="AJ37" i="1"/>
  <c r="M37" i="1"/>
  <c r="Y37" i="1"/>
  <c r="M39" i="1"/>
  <c r="X39" i="1" s="1"/>
  <c r="Y39" i="1"/>
  <c r="I39" i="1"/>
  <c r="J39" i="1"/>
  <c r="I37" i="1"/>
  <c r="J37" i="1"/>
  <c r="H37" i="1"/>
  <c r="F39" i="1"/>
  <c r="H39" i="1"/>
  <c r="B39" i="1"/>
  <c r="C39" i="1" s="1"/>
  <c r="A40" i="1"/>
  <c r="A36" i="1"/>
  <c r="X38" i="1"/>
  <c r="N38" i="1"/>
  <c r="V38" i="1"/>
  <c r="P38" i="1"/>
  <c r="R38" i="1"/>
  <c r="AD38" i="1"/>
  <c r="T38" i="1"/>
  <c r="AF38" i="1"/>
  <c r="C38" i="1"/>
  <c r="Q87" i="9"/>
  <c r="AB87" i="9"/>
  <c r="AA87" i="9"/>
  <c r="O87" i="9"/>
  <c r="P87" i="9"/>
  <c r="AC87" i="9"/>
  <c r="N87" i="9"/>
  <c r="U87" i="9" l="1"/>
  <c r="AF62" i="3" a="1"/>
  <c r="AF62" i="3" s="1"/>
  <c r="I62" i="3" s="1" a="1"/>
  <c r="I62" i="3" s="1"/>
  <c r="AF65" i="3" a="1"/>
  <c r="AF65" i="3" s="1"/>
  <c r="I65" i="3" s="1" a="1"/>
  <c r="I65" i="3" s="1"/>
  <c r="AF59" i="3" a="1"/>
  <c r="AF59" i="3" s="1"/>
  <c r="I59" i="3" s="1" a="1"/>
  <c r="I59" i="3" s="1"/>
  <c r="AF67" i="3" a="1"/>
  <c r="AF67" i="3" s="1"/>
  <c r="I67" i="3" s="1" a="1"/>
  <c r="I67" i="3" s="1"/>
  <c r="AF63" i="3" a="1"/>
  <c r="AF63" i="3" s="1"/>
  <c r="I63" i="3" s="1" a="1"/>
  <c r="I63" i="3" s="1"/>
  <c r="U89" i="11"/>
  <c r="AF60" i="3" a="1"/>
  <c r="AF60" i="3" s="1"/>
  <c r="I60" i="3" s="1" a="1"/>
  <c r="I60" i="3" s="1"/>
  <c r="AF58" i="3" a="1"/>
  <c r="AF58" i="3" s="1"/>
  <c r="I58" i="3" s="1" a="1"/>
  <c r="I58" i="3" s="1"/>
  <c r="AF68" i="3" a="1"/>
  <c r="AF68" i="3" s="1"/>
  <c r="I68" i="3" s="1" a="1"/>
  <c r="I68" i="3" s="1"/>
  <c r="AF64" i="3" a="1"/>
  <c r="AF64" i="3" s="1"/>
  <c r="I64" i="3" s="1" a="1"/>
  <c r="I64" i="3" s="1"/>
  <c r="AF66" i="3" a="1"/>
  <c r="AF66" i="3" s="1"/>
  <c r="I66" i="3" s="1" a="1"/>
  <c r="I66" i="3" s="1"/>
  <c r="AF61" i="3" a="1"/>
  <c r="AF61" i="3" s="1"/>
  <c r="I61" i="3" s="1" a="1"/>
  <c r="I61" i="3" s="1"/>
  <c r="Z106" i="16"/>
  <c r="H100" i="14"/>
  <c r="A101" i="13"/>
  <c r="B100" i="13"/>
  <c r="O91" i="11"/>
  <c r="I101" i="14"/>
  <c r="L101" i="14" s="1"/>
  <c r="J101" i="14"/>
  <c r="E101" i="14"/>
  <c r="G101" i="14" s="1"/>
  <c r="K101" i="14"/>
  <c r="A102" i="14"/>
  <c r="F101" i="14"/>
  <c r="A88" i="9"/>
  <c r="E87" i="9"/>
  <c r="H87" i="9"/>
  <c r="F87" i="9"/>
  <c r="G87" i="9"/>
  <c r="I87" i="9"/>
  <c r="J87" i="9" s="1"/>
  <c r="R87" i="9" s="1"/>
  <c r="S103" i="15"/>
  <c r="R107" i="16"/>
  <c r="U108" i="16" s="1"/>
  <c r="V108" i="16" s="1"/>
  <c r="W108" i="16" s="1"/>
  <c r="Y108" i="16" s="1"/>
  <c r="X108" i="16" s="1"/>
  <c r="AE108" i="9" s="1"/>
  <c r="K109" i="16"/>
  <c r="L109" i="16"/>
  <c r="T90" i="11"/>
  <c r="U90" i="11" s="1"/>
  <c r="Q108" i="16"/>
  <c r="G108" i="16"/>
  <c r="H108" i="16" s="1"/>
  <c r="P109" i="16"/>
  <c r="O109" i="16"/>
  <c r="B110" i="16"/>
  <c r="I110" i="16"/>
  <c r="J110" i="16"/>
  <c r="M110" i="16"/>
  <c r="D109" i="16"/>
  <c r="C109" i="16"/>
  <c r="E109" i="16"/>
  <c r="S109" i="16" s="1"/>
  <c r="F109" i="16"/>
  <c r="T109" i="16" s="1"/>
  <c r="Q104" i="15"/>
  <c r="R104" i="15" s="1"/>
  <c r="L105" i="15"/>
  <c r="AK105" i="15"/>
  <c r="F105" i="15"/>
  <c r="H105" i="15"/>
  <c r="AC105" i="15"/>
  <c r="J105" i="15"/>
  <c r="K105" i="15"/>
  <c r="W105" i="15"/>
  <c r="E105" i="15"/>
  <c r="AJ105" i="15"/>
  <c r="AO105" i="15"/>
  <c r="A106" i="15"/>
  <c r="Y105" i="15"/>
  <c r="AE105" i="15"/>
  <c r="AF105" i="15"/>
  <c r="G105" i="15"/>
  <c r="I105" i="15"/>
  <c r="U104" i="15"/>
  <c r="V104" i="15" s="1"/>
  <c r="M104" i="15"/>
  <c r="N104" i="15" s="1"/>
  <c r="O104" i="15" s="1"/>
  <c r="P104" i="15" s="1"/>
  <c r="K92" i="11"/>
  <c r="J92" i="11"/>
  <c r="M92" i="11" s="1"/>
  <c r="L92" i="11"/>
  <c r="Q92" i="11"/>
  <c r="R92" i="11"/>
  <c r="S92" i="11"/>
  <c r="E93" i="11"/>
  <c r="F93" i="11"/>
  <c r="A94" i="11"/>
  <c r="H93" i="11"/>
  <c r="P93" i="11"/>
  <c r="I93" i="11"/>
  <c r="N91" i="11"/>
  <c r="G92" i="11"/>
  <c r="U84" i="3"/>
  <c r="I52" i="10" a="1"/>
  <c r="I52" i="10" s="1"/>
  <c r="Y234" i="10"/>
  <c r="N52" i="10" a="1"/>
  <c r="N52" i="10" s="1"/>
  <c r="AD234" i="10"/>
  <c r="O52" i="10" a="1"/>
  <c r="O52" i="10" s="1"/>
  <c r="AE234" i="10"/>
  <c r="M52" i="10" a="1"/>
  <c r="M52" i="10" s="1"/>
  <c r="AC234" i="10"/>
  <c r="K52" i="10" a="1"/>
  <c r="K52" i="10" s="1"/>
  <c r="AA234" i="10"/>
  <c r="J52" i="10" a="1"/>
  <c r="J52" i="10" s="1"/>
  <c r="Z234" i="10"/>
  <c r="L52" i="10" a="1"/>
  <c r="L52" i="10" s="1"/>
  <c r="AB234" i="10"/>
  <c r="H52" i="10" a="1"/>
  <c r="H52" i="10" s="1"/>
  <c r="X234" i="10"/>
  <c r="Q52" i="10" a="1"/>
  <c r="Q52" i="10" s="1"/>
  <c r="AG234" i="10"/>
  <c r="G52" i="10" a="1"/>
  <c r="G52" i="10" s="1"/>
  <c r="W234" i="10"/>
  <c r="AG36" i="1"/>
  <c r="AI36" i="1"/>
  <c r="AN36" i="1"/>
  <c r="AE36" i="1"/>
  <c r="O36" i="1"/>
  <c r="AF36" i="1"/>
  <c r="Q36" i="1"/>
  <c r="AH36" i="1"/>
  <c r="S36" i="1"/>
  <c r="AM36" i="1"/>
  <c r="U36" i="1"/>
  <c r="AO36" i="1"/>
  <c r="W36" i="1"/>
  <c r="C36" i="1"/>
  <c r="E36" i="1" s="1"/>
  <c r="T36" i="1"/>
  <c r="AA36" i="1"/>
  <c r="G36" i="1"/>
  <c r="Z36" i="1"/>
  <c r="AP36" i="1"/>
  <c r="L36" i="1"/>
  <c r="AD36" i="1"/>
  <c r="R36" i="1"/>
  <c r="V36" i="1"/>
  <c r="F36" i="1"/>
  <c r="D36" i="1"/>
  <c r="K36" i="1"/>
  <c r="B36" i="1"/>
  <c r="N36" i="1"/>
  <c r="P36" i="1"/>
  <c r="K26" i="3"/>
  <c r="AC74" i="6"/>
  <c r="H75" i="6"/>
  <c r="U76" i="6"/>
  <c r="V76" i="6" s="1"/>
  <c r="AB76" i="6"/>
  <c r="Y76" i="6"/>
  <c r="W76" i="6"/>
  <c r="AG76" i="6"/>
  <c r="AI73" i="6"/>
  <c r="AJ73" i="6" s="1"/>
  <c r="Z73" i="9" s="1"/>
  <c r="G76" i="6"/>
  <c r="E76" i="6"/>
  <c r="F76" i="6" s="1"/>
  <c r="J77" i="6"/>
  <c r="A78" i="6"/>
  <c r="AE78" i="6" s="1"/>
  <c r="D77" i="6"/>
  <c r="R77" i="6"/>
  <c r="S77" i="6" s="1"/>
  <c r="AF77" i="6"/>
  <c r="AH77" i="6" s="1"/>
  <c r="B77" i="6"/>
  <c r="C77" i="6" s="1"/>
  <c r="O77" i="6"/>
  <c r="T77" i="6"/>
  <c r="M76" i="6"/>
  <c r="K76" i="6"/>
  <c r="X75" i="6"/>
  <c r="Z75" i="6" s="1"/>
  <c r="L75" i="6"/>
  <c r="N75" i="6"/>
  <c r="P75" i="6" s="1"/>
  <c r="U74" i="3"/>
  <c r="J27" i="3"/>
  <c r="K27" i="3" s="1"/>
  <c r="L27" i="3" s="1"/>
  <c r="M27" i="3" s="1"/>
  <c r="N27" i="3" s="1"/>
  <c r="O27" i="3" s="1"/>
  <c r="P52" i="10" a="1"/>
  <c r="P52" i="10" s="1"/>
  <c r="AF55" i="10" s="1"/>
  <c r="AK36" i="1"/>
  <c r="AK40" i="1"/>
  <c r="AH40" i="1" s="1"/>
  <c r="AO40" i="1"/>
  <c r="AC36" i="1"/>
  <c r="AJ36" i="1"/>
  <c r="AC40" i="1"/>
  <c r="AD40" i="1" s="1"/>
  <c r="AE40" i="1" s="1"/>
  <c r="AJ40" i="1"/>
  <c r="M36" i="1"/>
  <c r="Y36" i="1"/>
  <c r="M40" i="1"/>
  <c r="V40" i="1" s="1"/>
  <c r="Y40" i="1"/>
  <c r="I36" i="1"/>
  <c r="J36" i="1"/>
  <c r="I40" i="1"/>
  <c r="J40" i="1"/>
  <c r="A41" i="1"/>
  <c r="H36" i="1"/>
  <c r="F40" i="1"/>
  <c r="H40" i="1"/>
  <c r="B40" i="1"/>
  <c r="C40" i="1" s="1"/>
  <c r="E40" i="1" s="1"/>
  <c r="K38" i="1"/>
  <c r="X37" i="1"/>
  <c r="AF39" i="1"/>
  <c r="V39" i="1"/>
  <c r="Z38" i="1"/>
  <c r="Z39" i="1"/>
  <c r="K39" i="1"/>
  <c r="N39" i="1"/>
  <c r="P39" i="1"/>
  <c r="T39" i="1"/>
  <c r="R39" i="1"/>
  <c r="A35" i="1"/>
  <c r="AE38" i="1"/>
  <c r="E38" i="1"/>
  <c r="E39" i="1"/>
  <c r="AE39" i="1"/>
  <c r="AA88" i="9"/>
  <c r="AB88" i="9"/>
  <c r="Q88" i="9"/>
  <c r="O88" i="9"/>
  <c r="AC88" i="9"/>
  <c r="N88" i="9"/>
  <c r="P88" i="9"/>
  <c r="U88" i="9" l="1"/>
  <c r="AG67" i="3" a="1"/>
  <c r="AG67" i="3" s="1"/>
  <c r="AG64" i="3" a="1"/>
  <c r="AG64" i="3" s="1"/>
  <c r="J64" i="3" s="1" a="1"/>
  <c r="J64" i="3" s="1"/>
  <c r="AG61" i="3" a="1"/>
  <c r="AG61" i="3" s="1"/>
  <c r="J61" i="3" s="1" a="1"/>
  <c r="J61" i="3" s="1"/>
  <c r="AG63" i="3" a="1"/>
  <c r="AG63" i="3" s="1"/>
  <c r="J63" i="3" s="1" a="1"/>
  <c r="J63" i="3" s="1"/>
  <c r="AG68" i="3" a="1"/>
  <c r="AG68" i="3" s="1"/>
  <c r="J68" i="3" s="1" a="1"/>
  <c r="J68" i="3" s="1"/>
  <c r="AG65" i="3" a="1"/>
  <c r="AG65" i="3" s="1"/>
  <c r="J65" i="3" s="1" a="1"/>
  <c r="J65" i="3" s="1"/>
  <c r="AG66" i="3" a="1"/>
  <c r="AG66" i="3" s="1"/>
  <c r="J66" i="3" s="1" a="1"/>
  <c r="J66" i="3" s="1"/>
  <c r="L26" i="3"/>
  <c r="AH68" i="3" a="1"/>
  <c r="AH68" i="3" s="1"/>
  <c r="AH67" i="3" a="1"/>
  <c r="AH67" i="3" s="1"/>
  <c r="AH59" i="3" a="1"/>
  <c r="AH59" i="3" s="1"/>
  <c r="AH63" i="3" a="1"/>
  <c r="AH63" i="3" s="1"/>
  <c r="AH66" i="3" a="1"/>
  <c r="AH66" i="3" s="1"/>
  <c r="AH58" i="3" a="1"/>
  <c r="AH58" i="3" s="1"/>
  <c r="AH62" i="3" a="1"/>
  <c r="AH62" i="3" s="1"/>
  <c r="AH65" i="3" a="1"/>
  <c r="AH65" i="3" s="1"/>
  <c r="AH61" i="3" a="1"/>
  <c r="AH61" i="3" s="1"/>
  <c r="AH64" i="3" a="1"/>
  <c r="AH64" i="3" s="1"/>
  <c r="AH60" i="3" a="1"/>
  <c r="AH60" i="3" s="1"/>
  <c r="AG62" i="3" a="1"/>
  <c r="AG62" i="3" s="1"/>
  <c r="J62" i="3" s="1" a="1"/>
  <c r="J62" i="3" s="1"/>
  <c r="AG59" i="3" a="1"/>
  <c r="AG59" i="3" s="1"/>
  <c r="J59" i="3" s="1" a="1"/>
  <c r="J59" i="3" s="1"/>
  <c r="AG58" i="3" a="1"/>
  <c r="AG58" i="3" s="1"/>
  <c r="J58" i="3" s="1" a="1"/>
  <c r="J58" i="3" s="1"/>
  <c r="AG60" i="3" a="1"/>
  <c r="AG60" i="3" s="1"/>
  <c r="J60" i="3" s="1" a="1"/>
  <c r="J60" i="3" s="1"/>
  <c r="M26" i="3"/>
  <c r="T91" i="11"/>
  <c r="B101" i="13"/>
  <c r="A102" i="13"/>
  <c r="I102" i="14"/>
  <c r="L102" i="14" s="1"/>
  <c r="J102" i="14"/>
  <c r="F102" i="14"/>
  <c r="K102" i="14"/>
  <c r="E102" i="14"/>
  <c r="G102" i="14" s="1"/>
  <c r="A103" i="14"/>
  <c r="H101" i="14"/>
  <c r="A89" i="9"/>
  <c r="E88" i="9"/>
  <c r="H88" i="9"/>
  <c r="I88" i="9"/>
  <c r="J88" i="9" s="1"/>
  <c r="R88" i="9" s="1"/>
  <c r="F88" i="9"/>
  <c r="G88" i="9"/>
  <c r="S104" i="15"/>
  <c r="Z107" i="16"/>
  <c r="F110" i="16"/>
  <c r="T110" i="16" s="1"/>
  <c r="C110" i="16"/>
  <c r="D110" i="16"/>
  <c r="E110" i="16"/>
  <c r="S110" i="16" s="1"/>
  <c r="R108" i="16"/>
  <c r="U109" i="16" s="1"/>
  <c r="V109" i="16" s="1"/>
  <c r="W109" i="16" s="1"/>
  <c r="Y109" i="16" s="1"/>
  <c r="X109" i="16" s="1"/>
  <c r="AE109" i="9" s="1"/>
  <c r="G109" i="16"/>
  <c r="H109" i="16" s="1"/>
  <c r="Q109" i="16"/>
  <c r="O110" i="16"/>
  <c r="P110" i="16"/>
  <c r="K110" i="16"/>
  <c r="L110" i="16"/>
  <c r="J106" i="15"/>
  <c r="AF106" i="15"/>
  <c r="F106" i="15"/>
  <c r="W106" i="15"/>
  <c r="A107" i="15"/>
  <c r="E106" i="15"/>
  <c r="AJ106" i="15"/>
  <c r="G106" i="15"/>
  <c r="AK106" i="15"/>
  <c r="Y106" i="15"/>
  <c r="H106" i="15"/>
  <c r="AO106" i="15"/>
  <c r="I106" i="15"/>
  <c r="K106" i="15"/>
  <c r="L106" i="15"/>
  <c r="AC106" i="15"/>
  <c r="AE106" i="15"/>
  <c r="M105" i="15"/>
  <c r="N105" i="15" s="1"/>
  <c r="O105" i="15" s="1"/>
  <c r="P105" i="15" s="1"/>
  <c r="Q105" i="15"/>
  <c r="R105" i="15" s="1"/>
  <c r="U105" i="15"/>
  <c r="V105" i="15" s="1"/>
  <c r="N92" i="11"/>
  <c r="G93" i="11"/>
  <c r="L93" i="11"/>
  <c r="J93" i="11"/>
  <c r="M93" i="11" s="1"/>
  <c r="K93" i="11"/>
  <c r="Q93" i="11"/>
  <c r="R93" i="11"/>
  <c r="S93" i="11"/>
  <c r="O92" i="11"/>
  <c r="E94" i="11"/>
  <c r="F94" i="11"/>
  <c r="A95" i="11"/>
  <c r="H94" i="11"/>
  <c r="P94" i="11"/>
  <c r="I94" i="11"/>
  <c r="J67" i="3" a="1"/>
  <c r="J67" i="3" s="1"/>
  <c r="A42" i="1"/>
  <c r="AO42" i="1" s="1"/>
  <c r="V84" i="3"/>
  <c r="X55" i="10"/>
  <c r="H53" i="10" a="1"/>
  <c r="H53" i="10" s="1"/>
  <c r="AC55" i="10"/>
  <c r="M53" i="10" a="1"/>
  <c r="M53" i="10" s="1"/>
  <c r="AB55" i="10"/>
  <c r="L53" i="10" a="1"/>
  <c r="L53" i="10" s="1"/>
  <c r="AE55" i="10"/>
  <c r="O53" i="10" a="1"/>
  <c r="O53" i="10" s="1"/>
  <c r="W55" i="10"/>
  <c r="G53" i="10" a="1"/>
  <c r="G53" i="10" s="1"/>
  <c r="Z55" i="10"/>
  <c r="J53" i="10" a="1"/>
  <c r="J53" i="10" s="1"/>
  <c r="AD55" i="10"/>
  <c r="N53" i="10" a="1"/>
  <c r="N53" i="10" s="1"/>
  <c r="AG55" i="10"/>
  <c r="Q53" i="10" a="1"/>
  <c r="Q53" i="10" s="1"/>
  <c r="AA55" i="10"/>
  <c r="K53" i="10" a="1"/>
  <c r="K53" i="10" s="1"/>
  <c r="Y55" i="10"/>
  <c r="I53" i="10" a="1"/>
  <c r="I53" i="10" s="1"/>
  <c r="AE35" i="1"/>
  <c r="AG35" i="1"/>
  <c r="AI35" i="1"/>
  <c r="AP35" i="1"/>
  <c r="L35" i="1"/>
  <c r="AD35" i="1"/>
  <c r="O35" i="1"/>
  <c r="AF35" i="1"/>
  <c r="Q35" i="1"/>
  <c r="AH35" i="1"/>
  <c r="S35" i="1"/>
  <c r="AM35" i="1"/>
  <c r="U35" i="1"/>
  <c r="AO35" i="1"/>
  <c r="W35" i="1"/>
  <c r="C35" i="1"/>
  <c r="E35" i="1" s="1"/>
  <c r="AA35" i="1"/>
  <c r="V35" i="1"/>
  <c r="AN35" i="1"/>
  <c r="G35" i="1"/>
  <c r="Z35" i="1"/>
  <c r="P35" i="1"/>
  <c r="T35" i="1"/>
  <c r="R35" i="1"/>
  <c r="F35" i="1"/>
  <c r="D35" i="1"/>
  <c r="B35" i="1"/>
  <c r="K35" i="1"/>
  <c r="N35" i="1"/>
  <c r="AI74" i="6"/>
  <c r="H76" i="6"/>
  <c r="AC75" i="6"/>
  <c r="AG77" i="6"/>
  <c r="G77" i="6"/>
  <c r="E77" i="6"/>
  <c r="F77" i="6" s="1"/>
  <c r="L76" i="6"/>
  <c r="N76" i="6"/>
  <c r="P76" i="6" s="1"/>
  <c r="O78" i="6"/>
  <c r="D78" i="6"/>
  <c r="AF78" i="6"/>
  <c r="AH78" i="6" s="1"/>
  <c r="R78" i="6"/>
  <c r="S78" i="6" s="1"/>
  <c r="T78" i="6"/>
  <c r="B78" i="6"/>
  <c r="C78" i="6" s="1"/>
  <c r="J78" i="6"/>
  <c r="A79" i="6"/>
  <c r="AE79" i="6" s="1"/>
  <c r="M77" i="6"/>
  <c r="K77" i="6"/>
  <c r="W77" i="6"/>
  <c r="Y77" i="6"/>
  <c r="U77" i="6"/>
  <c r="V77" i="6" s="1"/>
  <c r="AB77" i="6"/>
  <c r="X76" i="6"/>
  <c r="Z76" i="6" s="1"/>
  <c r="V74" i="3"/>
  <c r="U75" i="3"/>
  <c r="P53" i="10" a="1"/>
  <c r="P53" i="10" s="1"/>
  <c r="B41" i="1"/>
  <c r="C41" i="1" s="1"/>
  <c r="E41" i="1" s="1"/>
  <c r="AK35" i="1"/>
  <c r="AK41" i="1"/>
  <c r="AH41" i="1" s="1"/>
  <c r="AO41" i="1"/>
  <c r="AC35" i="1"/>
  <c r="AJ35" i="1"/>
  <c r="H41" i="1"/>
  <c r="AJ41" i="1"/>
  <c r="F41" i="1"/>
  <c r="AC41" i="1"/>
  <c r="AF41" i="1" s="1"/>
  <c r="M35" i="1"/>
  <c r="Y35" i="1"/>
  <c r="M41" i="1"/>
  <c r="R41" i="1" s="1"/>
  <c r="Y41" i="1"/>
  <c r="I35" i="1"/>
  <c r="J35" i="1"/>
  <c r="I41" i="1"/>
  <c r="J41" i="1"/>
  <c r="H35" i="1"/>
  <c r="AF40" i="1"/>
  <c r="AG40" i="1" s="1"/>
  <c r="N40" i="1"/>
  <c r="P40" i="1"/>
  <c r="X40" i="1"/>
  <c r="T40" i="1"/>
  <c r="R40" i="1"/>
  <c r="K40" i="1"/>
  <c r="A34" i="1"/>
  <c r="X36" i="1"/>
  <c r="AL37" i="1"/>
  <c r="AG38" i="1"/>
  <c r="G39" i="1"/>
  <c r="AG39" i="1"/>
  <c r="G38" i="1"/>
  <c r="G40" i="1"/>
  <c r="P89" i="9"/>
  <c r="Q89" i="9"/>
  <c r="AC89" i="9"/>
  <c r="O89" i="9"/>
  <c r="AA89" i="9"/>
  <c r="N89" i="9"/>
  <c r="AB89" i="9"/>
  <c r="U89" i="9" l="1"/>
  <c r="T92" i="11"/>
  <c r="U92" i="11" s="1"/>
  <c r="AJ61" i="3" a="1"/>
  <c r="AJ61" i="3" s="1"/>
  <c r="M61" i="3" s="1" a="1"/>
  <c r="M61" i="3" s="1"/>
  <c r="Z276" i="3" s="1"/>
  <c r="AJ65" i="3" a="1"/>
  <c r="AJ65" i="3" s="1"/>
  <c r="M65" i="3" s="1" a="1"/>
  <c r="M65" i="3" s="1"/>
  <c r="Z84" i="3" s="1"/>
  <c r="AJ66" i="3" a="1"/>
  <c r="AJ66" i="3" s="1"/>
  <c r="M66" i="3" s="1" a="1"/>
  <c r="M66" i="3" s="1"/>
  <c r="Z88" i="3" s="1"/>
  <c r="AJ60" i="3" a="1"/>
  <c r="AJ60" i="3" s="1"/>
  <c r="M60" i="3" s="1" a="1"/>
  <c r="M60" i="3" s="1"/>
  <c r="Z76" i="3" s="1"/>
  <c r="AJ64" i="3" a="1"/>
  <c r="AJ64" i="3" s="1"/>
  <c r="M64" i="3" s="1" a="1"/>
  <c r="M64" i="3" s="1"/>
  <c r="Z79" i="3" s="1"/>
  <c r="AJ59" i="3" a="1"/>
  <c r="AJ59" i="3" s="1"/>
  <c r="M59" i="3" s="1" a="1"/>
  <c r="M59" i="3" s="1"/>
  <c r="Z75" i="3" s="1"/>
  <c r="AJ63" i="3" a="1"/>
  <c r="AJ63" i="3" s="1"/>
  <c r="M63" i="3" s="1" a="1"/>
  <c r="M63" i="3" s="1"/>
  <c r="Z78" i="3" s="1"/>
  <c r="AJ58" i="3" a="1"/>
  <c r="AJ58" i="3" s="1"/>
  <c r="M58" i="3" s="1" a="1"/>
  <c r="M58" i="3" s="1"/>
  <c r="Z74" i="3" s="1"/>
  <c r="AJ62" i="3" a="1"/>
  <c r="AJ62" i="3" s="1"/>
  <c r="M62" i="3" s="1" a="1"/>
  <c r="M62" i="3" s="1"/>
  <c r="Z77" i="3" s="1"/>
  <c r="AJ67" i="3" a="1"/>
  <c r="AJ67" i="3" s="1"/>
  <c r="M67" i="3" s="1" a="1"/>
  <c r="M67" i="3" s="1"/>
  <c r="Z89" i="3" s="1"/>
  <c r="AJ68" i="3" a="1"/>
  <c r="AJ68" i="3" s="1"/>
  <c r="M68" i="3" s="1" a="1"/>
  <c r="M68" i="3" s="1"/>
  <c r="Z90" i="3" s="1"/>
  <c r="AJ74" i="6"/>
  <c r="Z74" i="9" s="1"/>
  <c r="AI58" i="3" a="1"/>
  <c r="AI58" i="3" s="1"/>
  <c r="L58" i="3" s="1" a="1"/>
  <c r="L58" i="3" s="1"/>
  <c r="Y74" i="3" s="1"/>
  <c r="AI60" i="3" a="1"/>
  <c r="AI60" i="3" s="1"/>
  <c r="L60" i="3" s="1" a="1"/>
  <c r="L60" i="3" s="1"/>
  <c r="Y76" i="3" s="1"/>
  <c r="AI62" i="3" a="1"/>
  <c r="AI62" i="3" s="1"/>
  <c r="L62" i="3" s="1" a="1"/>
  <c r="L62" i="3" s="1"/>
  <c r="Y77" i="3" s="1"/>
  <c r="AI66" i="3" a="1"/>
  <c r="AI66" i="3" s="1"/>
  <c r="L66" i="3" s="1" a="1"/>
  <c r="L66" i="3" s="1"/>
  <c r="Y88" i="3" s="1"/>
  <c r="AI65" i="3" a="1"/>
  <c r="AI65" i="3" s="1"/>
  <c r="L65" i="3" s="1" a="1"/>
  <c r="L65" i="3" s="1"/>
  <c r="Y84" i="3" s="1"/>
  <c r="AI61" i="3" a="1"/>
  <c r="AI61" i="3" s="1"/>
  <c r="L61" i="3" s="1" a="1"/>
  <c r="L61" i="3" s="1"/>
  <c r="Y276" i="3" s="1"/>
  <c r="AI64" i="3" a="1"/>
  <c r="AI64" i="3" s="1"/>
  <c r="L64" i="3" s="1" a="1"/>
  <c r="L64" i="3" s="1"/>
  <c r="Y79" i="3" s="1"/>
  <c r="AI68" i="3" a="1"/>
  <c r="AI68" i="3" s="1"/>
  <c r="L68" i="3" s="1" a="1"/>
  <c r="L68" i="3" s="1"/>
  <c r="Y90" i="3" s="1"/>
  <c r="AI63" i="3" a="1"/>
  <c r="AI63" i="3" s="1"/>
  <c r="L63" i="3" s="1" a="1"/>
  <c r="L63" i="3" s="1"/>
  <c r="Y78" i="3" s="1"/>
  <c r="AI67" i="3" a="1"/>
  <c r="AI67" i="3" s="1"/>
  <c r="L67" i="3" s="1" a="1"/>
  <c r="L67" i="3" s="1"/>
  <c r="Y89" i="3" s="1"/>
  <c r="AI59" i="3" a="1"/>
  <c r="AI59" i="3" s="1"/>
  <c r="L59" i="3" s="1" a="1"/>
  <c r="L59" i="3" s="1"/>
  <c r="Y75" i="3" s="1"/>
  <c r="U91" i="11"/>
  <c r="N26" i="3"/>
  <c r="K64" i="3" a="1"/>
  <c r="K64" i="3" s="1"/>
  <c r="X79" i="3" s="1"/>
  <c r="K61" i="3" a="1"/>
  <c r="K61" i="3" s="1"/>
  <c r="X276" i="3" s="1"/>
  <c r="K60" i="3" a="1"/>
  <c r="K60" i="3" s="1"/>
  <c r="X76" i="3" s="1"/>
  <c r="K67" i="3" a="1"/>
  <c r="K67" i="3" s="1"/>
  <c r="X89" i="3" s="1"/>
  <c r="K68" i="3" a="1"/>
  <c r="K68" i="3" s="1"/>
  <c r="X90" i="3" s="1"/>
  <c r="K63" i="3" a="1"/>
  <c r="K63" i="3" s="1"/>
  <c r="X78" i="3" s="1"/>
  <c r="K65" i="3" a="1"/>
  <c r="K65" i="3" s="1"/>
  <c r="X84" i="3" s="1"/>
  <c r="K59" i="3" a="1"/>
  <c r="K59" i="3" s="1"/>
  <c r="X75" i="3" s="1"/>
  <c r="K62" i="3" a="1"/>
  <c r="K62" i="3" s="1"/>
  <c r="X77" i="3" s="1"/>
  <c r="K66" i="3" a="1"/>
  <c r="K66" i="3" s="1"/>
  <c r="X88" i="3" s="1"/>
  <c r="K58" i="3" a="1"/>
  <c r="K58" i="3" s="1"/>
  <c r="X74" i="3" s="1"/>
  <c r="H102" i="14"/>
  <c r="A103" i="13"/>
  <c r="B102" i="13"/>
  <c r="F103" i="14"/>
  <c r="K103" i="14"/>
  <c r="I103" i="14"/>
  <c r="L103" i="14" s="1"/>
  <c r="J103" i="14"/>
  <c r="E103" i="14"/>
  <c r="G103" i="14" s="1"/>
  <c r="A104" i="14"/>
  <c r="E89" i="9"/>
  <c r="F89" i="9"/>
  <c r="G89" i="9"/>
  <c r="I89" i="9"/>
  <c r="J89" i="9" s="1"/>
  <c r="R89" i="9" s="1"/>
  <c r="H89" i="9"/>
  <c r="A90" i="9"/>
  <c r="R109" i="16"/>
  <c r="U110" i="16" s="1"/>
  <c r="V110" i="16" s="1"/>
  <c r="W110" i="16" s="1"/>
  <c r="Y110" i="16" s="1"/>
  <c r="X110" i="16" s="1"/>
  <c r="AE110" i="9" s="1"/>
  <c r="N93" i="11"/>
  <c r="G94" i="11"/>
  <c r="G110" i="16"/>
  <c r="R110" i="16" s="1"/>
  <c r="Q110" i="16"/>
  <c r="Z108" i="16"/>
  <c r="U106" i="15"/>
  <c r="V106" i="15" s="1"/>
  <c r="S105" i="15"/>
  <c r="Q106" i="15"/>
  <c r="R106" i="15" s="1"/>
  <c r="J107" i="15"/>
  <c r="AF107" i="15"/>
  <c r="K107" i="15"/>
  <c r="AJ107" i="15"/>
  <c r="I107" i="15"/>
  <c r="H107" i="15"/>
  <c r="L107" i="15"/>
  <c r="AK107" i="15"/>
  <c r="G107" i="15"/>
  <c r="E107" i="15"/>
  <c r="AO107" i="15"/>
  <c r="F107" i="15"/>
  <c r="W107" i="15"/>
  <c r="A108" i="15"/>
  <c r="Y107" i="15"/>
  <c r="AC107" i="15"/>
  <c r="AE107" i="15"/>
  <c r="O93" i="11"/>
  <c r="M106" i="15"/>
  <c r="N106" i="15" s="1"/>
  <c r="O106" i="15" s="1"/>
  <c r="P106" i="15" s="1"/>
  <c r="J94" i="11"/>
  <c r="M94" i="11" s="1"/>
  <c r="K94" i="11"/>
  <c r="L94" i="11"/>
  <c r="R94" i="11"/>
  <c r="S94" i="11"/>
  <c r="Q94" i="11"/>
  <c r="H95" i="11"/>
  <c r="P95" i="11"/>
  <c r="I95" i="11"/>
  <c r="E95" i="11"/>
  <c r="F95" i="11"/>
  <c r="A96" i="11"/>
  <c r="I42" i="1"/>
  <c r="F42" i="1"/>
  <c r="Y42" i="1"/>
  <c r="A43" i="1"/>
  <c r="AJ43" i="1" s="1"/>
  <c r="AJ42" i="1"/>
  <c r="AK42" i="1"/>
  <c r="AH42" i="1" s="1"/>
  <c r="M42" i="1"/>
  <c r="R42" i="1" s="1"/>
  <c r="AC42" i="1"/>
  <c r="AD42" i="1" s="1"/>
  <c r="AE42" i="1" s="1"/>
  <c r="J42" i="1"/>
  <c r="B42" i="1"/>
  <c r="C42" i="1" s="1"/>
  <c r="E42" i="1" s="1"/>
  <c r="H42" i="1"/>
  <c r="Z40" i="1"/>
  <c r="Q54" i="10" a="1"/>
  <c r="Q54" i="10" s="1"/>
  <c r="AG58" i="10"/>
  <c r="O54" i="10" a="1"/>
  <c r="O54" i="10" s="1"/>
  <c r="AE58" i="10"/>
  <c r="P54" i="10" a="1"/>
  <c r="P54" i="10" s="1"/>
  <c r="AF58" i="10"/>
  <c r="N54" i="10" a="1"/>
  <c r="N54" i="10" s="1"/>
  <c r="AD58" i="10"/>
  <c r="L54" i="10" a="1"/>
  <c r="L54" i="10" s="1"/>
  <c r="AB58" i="10"/>
  <c r="I54" i="10" a="1"/>
  <c r="I54" i="10" s="1"/>
  <c r="Y58" i="10"/>
  <c r="J54" i="10" a="1"/>
  <c r="J54" i="10" s="1"/>
  <c r="Z58" i="10"/>
  <c r="M54" i="10" a="1"/>
  <c r="M54" i="10" s="1"/>
  <c r="AC58" i="10"/>
  <c r="K54" i="10" a="1"/>
  <c r="K54" i="10" s="1"/>
  <c r="AA58" i="10"/>
  <c r="G54" i="10" a="1"/>
  <c r="G54" i="10" s="1"/>
  <c r="W58" i="10"/>
  <c r="H54" i="10" a="1"/>
  <c r="H54" i="10" s="1"/>
  <c r="X58" i="10"/>
  <c r="AE34" i="1"/>
  <c r="AN34" i="1"/>
  <c r="AP34" i="1"/>
  <c r="G34" i="1"/>
  <c r="Z34" i="1"/>
  <c r="L34" i="1"/>
  <c r="AD34" i="1"/>
  <c r="O34" i="1"/>
  <c r="AF34" i="1"/>
  <c r="Q34" i="1"/>
  <c r="AH34" i="1"/>
  <c r="S34" i="1"/>
  <c r="AM34" i="1"/>
  <c r="U34" i="1"/>
  <c r="AO34" i="1"/>
  <c r="W34" i="1"/>
  <c r="C34" i="1"/>
  <c r="E34" i="1" s="1"/>
  <c r="T34" i="1"/>
  <c r="AI34" i="1"/>
  <c r="AG34" i="1"/>
  <c r="AA34" i="1"/>
  <c r="V34" i="1"/>
  <c r="N34" i="1"/>
  <c r="P34" i="1"/>
  <c r="R34" i="1"/>
  <c r="B34" i="1"/>
  <c r="F34" i="1"/>
  <c r="D34" i="1"/>
  <c r="K34" i="1"/>
  <c r="W75" i="3"/>
  <c r="W74" i="3"/>
  <c r="AC76" i="6"/>
  <c r="H77" i="6"/>
  <c r="W84" i="3"/>
  <c r="X77" i="6"/>
  <c r="Z77" i="6" s="1"/>
  <c r="AI75" i="6"/>
  <c r="AJ75" i="6" s="1"/>
  <c r="Z75" i="9" s="1"/>
  <c r="T79" i="6"/>
  <c r="B79" i="6"/>
  <c r="C79" i="6" s="1"/>
  <c r="J79" i="6"/>
  <c r="O79" i="6"/>
  <c r="A80" i="6"/>
  <c r="R79" i="6"/>
  <c r="S79" i="6" s="1"/>
  <c r="D79" i="6"/>
  <c r="AF79" i="6"/>
  <c r="AH79" i="6" s="1"/>
  <c r="M78" i="6"/>
  <c r="K78" i="6"/>
  <c r="W78" i="6"/>
  <c r="U78" i="6"/>
  <c r="V78" i="6" s="1"/>
  <c r="AB78" i="6"/>
  <c r="Y78" i="6"/>
  <c r="L77" i="6"/>
  <c r="N77" i="6"/>
  <c r="P77" i="6" s="1"/>
  <c r="AG78" i="6"/>
  <c r="G78" i="6"/>
  <c r="E78" i="6"/>
  <c r="F78" i="6" s="1"/>
  <c r="U76" i="3"/>
  <c r="V75" i="3"/>
  <c r="G41" i="1"/>
  <c r="X41" i="1"/>
  <c r="AK34" i="1"/>
  <c r="AD41" i="1"/>
  <c r="AE41" i="1" s="1"/>
  <c r="AG41" i="1" s="1"/>
  <c r="AI41" i="1" s="1"/>
  <c r="K41" i="1"/>
  <c r="AC34" i="1"/>
  <c r="AJ34" i="1"/>
  <c r="V41" i="1"/>
  <c r="P41" i="1"/>
  <c r="N41" i="1"/>
  <c r="T41" i="1"/>
  <c r="M34" i="1"/>
  <c r="Y34" i="1"/>
  <c r="I34" i="1"/>
  <c r="J34" i="1"/>
  <c r="H34" i="1"/>
  <c r="A44" i="1"/>
  <c r="X35" i="1"/>
  <c r="A33" i="1"/>
  <c r="L38" i="1"/>
  <c r="AI39" i="1"/>
  <c r="L40" i="1"/>
  <c r="AI40" i="1"/>
  <c r="L41" i="1"/>
  <c r="L39" i="1"/>
  <c r="AI38" i="1"/>
  <c r="AB90" i="9"/>
  <c r="Q90" i="9"/>
  <c r="AA90" i="9"/>
  <c r="AC90" i="9"/>
  <c r="P90" i="9"/>
  <c r="N90" i="9"/>
  <c r="O90" i="9"/>
  <c r="U90" i="9" l="1"/>
  <c r="G42" i="1"/>
  <c r="AC43" i="1"/>
  <c r="AD43" i="1" s="1"/>
  <c r="AE43" i="1" s="1"/>
  <c r="O26" i="3"/>
  <c r="AK68" i="3" a="1"/>
  <c r="AK68" i="3" s="1"/>
  <c r="N68" i="3" s="1" a="1"/>
  <c r="N68" i="3" s="1"/>
  <c r="AA90" i="3" s="1"/>
  <c r="AK60" i="3" a="1"/>
  <c r="AK60" i="3" s="1"/>
  <c r="N60" i="3" s="1" a="1"/>
  <c r="N60" i="3" s="1"/>
  <c r="AA76" i="3" s="1"/>
  <c r="AK64" i="3" a="1"/>
  <c r="AK64" i="3" s="1"/>
  <c r="N64" i="3" s="1" a="1"/>
  <c r="N64" i="3" s="1"/>
  <c r="AA79" i="3" s="1"/>
  <c r="AK67" i="3" a="1"/>
  <c r="AK67" i="3" s="1"/>
  <c r="N67" i="3" s="1" a="1"/>
  <c r="N67" i="3" s="1"/>
  <c r="AA89" i="3" s="1"/>
  <c r="AK59" i="3" a="1"/>
  <c r="AK59" i="3" s="1"/>
  <c r="N59" i="3" s="1" a="1"/>
  <c r="N59" i="3" s="1"/>
  <c r="AA75" i="3" s="1"/>
  <c r="AK63" i="3" a="1"/>
  <c r="AK63" i="3" s="1"/>
  <c r="N63" i="3" s="1" a="1"/>
  <c r="N63" i="3" s="1"/>
  <c r="AA78" i="3" s="1"/>
  <c r="AK66" i="3" a="1"/>
  <c r="AK66" i="3" s="1"/>
  <c r="N66" i="3" s="1" a="1"/>
  <c r="N66" i="3" s="1"/>
  <c r="AA88" i="3" s="1"/>
  <c r="AK58" i="3" a="1"/>
  <c r="AK58" i="3" s="1"/>
  <c r="N58" i="3" s="1" a="1"/>
  <c r="N58" i="3" s="1"/>
  <c r="AA74" i="3" s="1"/>
  <c r="AK62" i="3" a="1"/>
  <c r="AK62" i="3" s="1"/>
  <c r="N62" i="3" s="1" a="1"/>
  <c r="N62" i="3" s="1"/>
  <c r="AA77" i="3" s="1"/>
  <c r="AK65" i="3" a="1"/>
  <c r="AK65" i="3" s="1"/>
  <c r="N65" i="3" s="1" a="1"/>
  <c r="N65" i="3" s="1"/>
  <c r="AA84" i="3" s="1"/>
  <c r="AK61" i="3" a="1"/>
  <c r="AK61" i="3" s="1"/>
  <c r="N61" i="3" s="1" a="1"/>
  <c r="N61" i="3" s="1"/>
  <c r="AA276" i="3" s="1"/>
  <c r="AO43" i="1"/>
  <c r="J43" i="1"/>
  <c r="I43" i="1"/>
  <c r="M43" i="1"/>
  <c r="N43" i="1" s="1"/>
  <c r="F43" i="1"/>
  <c r="L42" i="1"/>
  <c r="B43" i="1"/>
  <c r="C43" i="1" s="1"/>
  <c r="E43" i="1" s="1"/>
  <c r="AK43" i="1"/>
  <c r="AH43" i="1" s="1"/>
  <c r="H43" i="1"/>
  <c r="Y43" i="1"/>
  <c r="T93" i="11"/>
  <c r="O94" i="11"/>
  <c r="H103" i="14"/>
  <c r="S106" i="15"/>
  <c r="B103" i="13"/>
  <c r="A104" i="13"/>
  <c r="E104" i="14"/>
  <c r="G104" i="14" s="1"/>
  <c r="A105" i="14"/>
  <c r="F104" i="14"/>
  <c r="I104" i="14"/>
  <c r="L104" i="14" s="1"/>
  <c r="J104" i="14"/>
  <c r="K104" i="14"/>
  <c r="E90" i="9"/>
  <c r="G90" i="9"/>
  <c r="H90" i="9"/>
  <c r="I90" i="9"/>
  <c r="J90" i="9" s="1"/>
  <c r="R90" i="9" s="1"/>
  <c r="A91" i="9"/>
  <c r="F90" i="9"/>
  <c r="Z109" i="16"/>
  <c r="H110" i="16"/>
  <c r="Z110" i="16" s="1"/>
  <c r="AE80" i="6"/>
  <c r="A81" i="6"/>
  <c r="U107" i="15"/>
  <c r="V107" i="15" s="1"/>
  <c r="N94" i="11"/>
  <c r="H108" i="15"/>
  <c r="AC108" i="15"/>
  <c r="I108" i="15"/>
  <c r="AE108" i="15"/>
  <c r="E108" i="15"/>
  <c r="AO108" i="15"/>
  <c r="J108" i="15"/>
  <c r="AF108" i="15"/>
  <c r="K108" i="15"/>
  <c r="AK108" i="15"/>
  <c r="W108" i="15"/>
  <c r="AJ108" i="15"/>
  <c r="L108" i="15"/>
  <c r="F108" i="15"/>
  <c r="A109" i="15"/>
  <c r="G108" i="15"/>
  <c r="Y108" i="15"/>
  <c r="Q107" i="15"/>
  <c r="R107" i="15" s="1"/>
  <c r="M107" i="15"/>
  <c r="N107" i="15" s="1"/>
  <c r="O107" i="15" s="1"/>
  <c r="P107" i="15" s="1"/>
  <c r="F96" i="11"/>
  <c r="A97" i="11"/>
  <c r="H96" i="11"/>
  <c r="P96" i="11"/>
  <c r="I96" i="11"/>
  <c r="E96" i="11"/>
  <c r="G95" i="11"/>
  <c r="J95" i="11"/>
  <c r="M95" i="11" s="1"/>
  <c r="K95" i="11"/>
  <c r="L95" i="11"/>
  <c r="Q95" i="11"/>
  <c r="R95" i="11"/>
  <c r="S95" i="11"/>
  <c r="AF42" i="1"/>
  <c r="AG42" i="1" s="1"/>
  <c r="AI42" i="1" s="1"/>
  <c r="T42" i="1"/>
  <c r="N42" i="1"/>
  <c r="V42" i="1"/>
  <c r="X42" i="1"/>
  <c r="Z42" i="1" s="1"/>
  <c r="P42" i="1"/>
  <c r="K42" i="1"/>
  <c r="Z41" i="1"/>
  <c r="M55" i="10" a="1"/>
  <c r="M55" i="10" s="1"/>
  <c r="AC60" i="10" s="1"/>
  <c r="AC59" i="10"/>
  <c r="N55" i="10" a="1"/>
  <c r="N55" i="10" s="1"/>
  <c r="AD60" i="10" s="1"/>
  <c r="AD59" i="10"/>
  <c r="H55" i="10" a="1"/>
  <c r="H55" i="10" s="1"/>
  <c r="X60" i="10" s="1"/>
  <c r="X59" i="10"/>
  <c r="J55" i="10" a="1"/>
  <c r="J55" i="10" s="1"/>
  <c r="Z60" i="10" s="1"/>
  <c r="Z59" i="10"/>
  <c r="P55" i="10" a="1"/>
  <c r="P55" i="10" s="1"/>
  <c r="AF60" i="10" s="1"/>
  <c r="AF59" i="10"/>
  <c r="G55" i="10" a="1"/>
  <c r="G55" i="10" s="1"/>
  <c r="W60" i="10" s="1"/>
  <c r="W59" i="10"/>
  <c r="I55" i="10" a="1"/>
  <c r="I55" i="10" s="1"/>
  <c r="Y60" i="10" s="1"/>
  <c r="Y59" i="10"/>
  <c r="O55" i="10" a="1"/>
  <c r="O55" i="10" s="1"/>
  <c r="AE60" i="10" s="1"/>
  <c r="AE59" i="10"/>
  <c r="K55" i="10" a="1"/>
  <c r="K55" i="10" s="1"/>
  <c r="AA60" i="10" s="1"/>
  <c r="AA59" i="10"/>
  <c r="L55" i="10" a="1"/>
  <c r="L55" i="10" s="1"/>
  <c r="AB60" i="10" s="1"/>
  <c r="AB59" i="10"/>
  <c r="Q55" i="10" a="1"/>
  <c r="Q55" i="10" s="1"/>
  <c r="AG60" i="10" s="1"/>
  <c r="AG59" i="10"/>
  <c r="AI33" i="1"/>
  <c r="AP33" i="1"/>
  <c r="AN33" i="1"/>
  <c r="AG33" i="1"/>
  <c r="AA33" i="1"/>
  <c r="V33" i="1"/>
  <c r="G33" i="1"/>
  <c r="Z33" i="1"/>
  <c r="L33" i="1"/>
  <c r="AD33" i="1"/>
  <c r="AE33" i="1"/>
  <c r="O33" i="1"/>
  <c r="AF33" i="1"/>
  <c r="Q33" i="1"/>
  <c r="AH33" i="1"/>
  <c r="S33" i="1"/>
  <c r="AM33" i="1"/>
  <c r="U33" i="1"/>
  <c r="AO33" i="1"/>
  <c r="W33" i="1"/>
  <c r="C33" i="1"/>
  <c r="E33" i="1" s="1"/>
  <c r="T33" i="1"/>
  <c r="N33" i="1"/>
  <c r="P33" i="1"/>
  <c r="B33" i="1"/>
  <c r="R33" i="1"/>
  <c r="F33" i="1"/>
  <c r="D33" i="1"/>
  <c r="K33" i="1"/>
  <c r="AI76" i="6"/>
  <c r="AJ76" i="6" s="1"/>
  <c r="Z76" i="9" s="1"/>
  <c r="H78" i="6"/>
  <c r="AC77" i="6"/>
  <c r="X78" i="6"/>
  <c r="Z78" i="6" s="1"/>
  <c r="E79" i="6"/>
  <c r="F79" i="6" s="1"/>
  <c r="G79" i="6"/>
  <c r="AG79" i="6"/>
  <c r="R80" i="6"/>
  <c r="S80" i="6" s="1"/>
  <c r="O80" i="6"/>
  <c r="D80" i="6"/>
  <c r="AF80" i="6"/>
  <c r="B80" i="6"/>
  <c r="C80" i="6" s="1"/>
  <c r="T80" i="6"/>
  <c r="J80" i="6"/>
  <c r="M79" i="6"/>
  <c r="K79" i="6"/>
  <c r="N78" i="6"/>
  <c r="P78" i="6" s="1"/>
  <c r="L78" i="6"/>
  <c r="W79" i="6"/>
  <c r="U79" i="6"/>
  <c r="V79" i="6" s="1"/>
  <c r="AB79" i="6"/>
  <c r="Y79" i="6"/>
  <c r="U276" i="3"/>
  <c r="V76" i="3"/>
  <c r="AK44" i="1"/>
  <c r="AH44" i="1" s="1"/>
  <c r="AO44" i="1"/>
  <c r="AK33" i="1"/>
  <c r="AC44" i="1"/>
  <c r="AD44" i="1" s="1"/>
  <c r="AE44" i="1" s="1"/>
  <c r="AJ44" i="1"/>
  <c r="AC33" i="1"/>
  <c r="AJ33" i="1"/>
  <c r="M44" i="1"/>
  <c r="N44" i="1" s="1"/>
  <c r="Y44" i="1"/>
  <c r="M33" i="1"/>
  <c r="Y33" i="1"/>
  <c r="I44" i="1"/>
  <c r="J44" i="1"/>
  <c r="I33" i="1"/>
  <c r="J33" i="1"/>
  <c r="F44" i="1"/>
  <c r="H44" i="1"/>
  <c r="H33" i="1"/>
  <c r="B44" i="1"/>
  <c r="C44" i="1" s="1"/>
  <c r="E44" i="1" s="1"/>
  <c r="A45" i="1"/>
  <c r="O38" i="1"/>
  <c r="AL35" i="1"/>
  <c r="X34" i="1"/>
  <c r="A32" i="1"/>
  <c r="O41" i="1"/>
  <c r="AL39" i="1"/>
  <c r="AM39" i="1" s="1"/>
  <c r="AL42" i="1"/>
  <c r="AM42" i="1" s="1"/>
  <c r="O40" i="1"/>
  <c r="O39" i="1"/>
  <c r="AL40" i="1"/>
  <c r="AM40" i="1" s="1"/>
  <c r="AL38" i="1"/>
  <c r="AM38" i="1" s="1"/>
  <c r="AL41" i="1"/>
  <c r="AM41" i="1" s="1"/>
  <c r="AB91" i="9"/>
  <c r="O91" i="9"/>
  <c r="P91" i="9"/>
  <c r="N91" i="9"/>
  <c r="Q91" i="9"/>
  <c r="AA91" i="9"/>
  <c r="AC91" i="9"/>
  <c r="AF43" i="1" l="1"/>
  <c r="AG43" i="1" s="1"/>
  <c r="U91" i="9"/>
  <c r="R43" i="1"/>
  <c r="T43" i="1"/>
  <c r="X43" i="1"/>
  <c r="L43" i="1"/>
  <c r="O43" i="1" s="1"/>
  <c r="P43" i="1"/>
  <c r="V43" i="1"/>
  <c r="Z43" i="1"/>
  <c r="AH80" i="6"/>
  <c r="AH75" i="3" a="1"/>
  <c r="AH75" i="3" s="1"/>
  <c r="K75" i="3" s="1" a="1"/>
  <c r="K75" i="3" s="1"/>
  <c r="X143" i="3" s="1"/>
  <c r="AG77" i="3" a="1"/>
  <c r="AG77" i="3" s="1"/>
  <c r="J77" i="3" s="1" a="1"/>
  <c r="J77" i="3" s="1"/>
  <c r="W145" i="3" s="1"/>
  <c r="G43" i="1"/>
  <c r="L44" i="1" s="1"/>
  <c r="AK76" i="3" a="1"/>
  <c r="AK76" i="3" s="1"/>
  <c r="N76" i="3" s="1" a="1"/>
  <c r="N76" i="3" s="1"/>
  <c r="AA144" i="3" s="1"/>
  <c r="AK83" i="3" a="1"/>
  <c r="AK83" i="3" s="1"/>
  <c r="AJ79" i="3" a="1"/>
  <c r="AJ79" i="3" s="1"/>
  <c r="M79" i="3" s="1" a="1"/>
  <c r="M79" i="3" s="1"/>
  <c r="Z187" i="3" s="1"/>
  <c r="K43" i="1"/>
  <c r="AG87" i="3" a="1"/>
  <c r="AG87" i="3" s="1"/>
  <c r="J87" i="3" s="1" a="1"/>
  <c r="J87" i="3" s="1"/>
  <c r="W345" i="3" s="1"/>
  <c r="AI75" i="3" a="1"/>
  <c r="AI75" i="3" s="1"/>
  <c r="L75" i="3" s="1" a="1"/>
  <c r="L75" i="3" s="1"/>
  <c r="Y143" i="3" s="1"/>
  <c r="U93" i="11"/>
  <c r="AK75" i="3" a="1"/>
  <c r="AK75" i="3" s="1"/>
  <c r="N75" i="3" s="1" a="1"/>
  <c r="N75" i="3" s="1"/>
  <c r="AA143" i="3" s="1"/>
  <c r="AL87" i="3" a="1"/>
  <c r="AL87" i="3" s="1"/>
  <c r="O87" i="3" s="1" a="1"/>
  <c r="O87" i="3" s="1"/>
  <c r="AB345" i="3" s="1"/>
  <c r="AL86" i="3" a="1"/>
  <c r="AL86" i="3" s="1"/>
  <c r="AL84" i="3" a="1"/>
  <c r="AL84" i="3" s="1"/>
  <c r="AL82" i="3" a="1"/>
  <c r="AL82" i="3" s="1"/>
  <c r="AL78" i="3" a="1"/>
  <c r="AL78" i="3" s="1"/>
  <c r="O78" i="3" s="1" a="1"/>
  <c r="O78" i="3" s="1"/>
  <c r="AB146" i="3" s="1"/>
  <c r="AL85" i="3" a="1"/>
  <c r="AL85" i="3" s="1"/>
  <c r="AL76" i="3" a="1"/>
  <c r="AL76" i="3" s="1"/>
  <c r="O76" i="3" s="1" a="1"/>
  <c r="O76" i="3" s="1"/>
  <c r="AB144" i="3" s="1"/>
  <c r="AL83" i="3" a="1"/>
  <c r="AL83" i="3" s="1"/>
  <c r="AL79" i="3" a="1"/>
  <c r="AL79" i="3" s="1"/>
  <c r="O79" i="3" s="1" a="1"/>
  <c r="O79" i="3" s="1"/>
  <c r="AB187" i="3" s="1"/>
  <c r="AL75" i="3" a="1"/>
  <c r="AL75" i="3" s="1"/>
  <c r="O75" i="3" s="1" a="1"/>
  <c r="O75" i="3" s="1"/>
  <c r="AB143" i="3" s="1"/>
  <c r="AL80" i="3" a="1"/>
  <c r="AL80" i="3" s="1"/>
  <c r="O80" i="3" s="1" a="1"/>
  <c r="O80" i="3" s="1"/>
  <c r="AB188" i="3" s="1"/>
  <c r="AL77" i="3" a="1"/>
  <c r="AL77" i="3" s="1"/>
  <c r="O77" i="3" s="1" a="1"/>
  <c r="O77" i="3" s="1"/>
  <c r="AB145" i="3" s="1"/>
  <c r="AL58" i="3" a="1"/>
  <c r="AL58" i="3" s="1"/>
  <c r="O58" i="3" s="1" a="1"/>
  <c r="O58" i="3" s="1"/>
  <c r="AB74" i="3" s="1"/>
  <c r="AL61" i="3" a="1"/>
  <c r="AL61" i="3" s="1"/>
  <c r="O61" i="3" s="1" a="1"/>
  <c r="O61" i="3" s="1"/>
  <c r="AB276" i="3" s="1"/>
  <c r="AL67" i="3" a="1"/>
  <c r="AL67" i="3" s="1"/>
  <c r="O67" i="3" s="1" a="1"/>
  <c r="O67" i="3" s="1"/>
  <c r="AB89" i="3" s="1"/>
  <c r="AL60" i="3" a="1"/>
  <c r="AL60" i="3" s="1"/>
  <c r="O60" i="3" s="1" a="1"/>
  <c r="O60" i="3" s="1"/>
  <c r="AB76" i="3" s="1"/>
  <c r="AL66" i="3" a="1"/>
  <c r="AL66" i="3" s="1"/>
  <c r="O66" i="3" s="1" a="1"/>
  <c r="O66" i="3" s="1"/>
  <c r="AB88" i="3" s="1"/>
  <c r="AL65" i="3" a="1"/>
  <c r="AL65" i="3" s="1"/>
  <c r="O65" i="3" s="1" a="1"/>
  <c r="O65" i="3" s="1"/>
  <c r="AB84" i="3" s="1"/>
  <c r="AL64" i="3" a="1"/>
  <c r="AL64" i="3" s="1"/>
  <c r="O64" i="3" s="1" a="1"/>
  <c r="O64" i="3" s="1"/>
  <c r="AB79" i="3" s="1"/>
  <c r="AL68" i="3" a="1"/>
  <c r="AL68" i="3" s="1"/>
  <c r="O68" i="3" s="1" a="1"/>
  <c r="O68" i="3" s="1"/>
  <c r="AB90" i="3" s="1"/>
  <c r="AL63" i="3" a="1"/>
  <c r="AL63" i="3" s="1"/>
  <c r="O63" i="3" s="1" a="1"/>
  <c r="O63" i="3" s="1"/>
  <c r="AB78" i="3" s="1"/>
  <c r="AL59" i="3" a="1"/>
  <c r="AL59" i="3" s="1"/>
  <c r="O59" i="3" s="1" a="1"/>
  <c r="O59" i="3" s="1"/>
  <c r="AB75" i="3" s="1"/>
  <c r="AL62" i="3" a="1"/>
  <c r="AL62" i="3" s="1"/>
  <c r="O62" i="3" s="1" a="1"/>
  <c r="O62" i="3" s="1"/>
  <c r="AB77" i="3" s="1"/>
  <c r="AG84" i="3" a="1"/>
  <c r="AG84" i="3" s="1"/>
  <c r="AJ86" i="3" a="1"/>
  <c r="AJ86" i="3" s="1"/>
  <c r="AG86" i="3" a="1"/>
  <c r="AG86" i="3" s="1"/>
  <c r="AJ80" i="3" a="1"/>
  <c r="AJ80" i="3" s="1"/>
  <c r="M80" i="3" s="1" a="1"/>
  <c r="M80" i="3" s="1"/>
  <c r="Z188" i="3" s="1"/>
  <c r="AJ76" i="3" a="1"/>
  <c r="AJ76" i="3" s="1"/>
  <c r="M76" i="3" s="1" a="1"/>
  <c r="M76" i="3" s="1"/>
  <c r="Z144" i="3" s="1"/>
  <c r="AI85" i="3" a="1"/>
  <c r="AI85" i="3" s="1"/>
  <c r="AK84" i="3" a="1"/>
  <c r="AK84" i="3" s="1"/>
  <c r="AG85" i="3" a="1"/>
  <c r="AG85" i="3" s="1"/>
  <c r="AJ77" i="3" a="1"/>
  <c r="AJ77" i="3" s="1"/>
  <c r="M77" i="3" s="1" a="1"/>
  <c r="M77" i="3" s="1"/>
  <c r="Z145" i="3" s="1"/>
  <c r="AG80" i="3" a="1"/>
  <c r="AG80" i="3" s="1"/>
  <c r="J80" i="3" s="1" a="1"/>
  <c r="J80" i="3" s="1"/>
  <c r="AJ82" i="3" a="1"/>
  <c r="AJ82" i="3" s="1"/>
  <c r="AI83" i="3" a="1"/>
  <c r="AI83" i="3" s="1"/>
  <c r="AK77" i="3" a="1"/>
  <c r="AK77" i="3" s="1"/>
  <c r="N77" i="3" s="1" a="1"/>
  <c r="N77" i="3" s="1"/>
  <c r="AA145" i="3" s="1"/>
  <c r="AH86" i="3" a="1"/>
  <c r="AH86" i="3" s="1"/>
  <c r="AH87" i="3" a="1"/>
  <c r="AH87" i="3" s="1"/>
  <c r="K87" i="3" s="1" a="1"/>
  <c r="K87" i="3" s="1"/>
  <c r="X345" i="3" s="1"/>
  <c r="AI76" i="3" a="1"/>
  <c r="AI76" i="3" s="1"/>
  <c r="L76" i="3" s="1" a="1"/>
  <c r="L76" i="3" s="1"/>
  <c r="Y144" i="3" s="1"/>
  <c r="AK78" i="3" a="1"/>
  <c r="AK78" i="3" s="1"/>
  <c r="N78" i="3" s="1" a="1"/>
  <c r="N78" i="3" s="1"/>
  <c r="AA146" i="3" s="1"/>
  <c r="AG82" i="3" a="1"/>
  <c r="AG82" i="3" s="1"/>
  <c r="AI80" i="3" a="1"/>
  <c r="AI80" i="3" s="1"/>
  <c r="L80" i="3" s="1" a="1"/>
  <c r="L80" i="3" s="1"/>
  <c r="Y188" i="3" s="1"/>
  <c r="AH77" i="3" a="1"/>
  <c r="AH77" i="3" s="1"/>
  <c r="K77" i="3" s="1" a="1"/>
  <c r="K77" i="3" s="1"/>
  <c r="X145" i="3" s="1"/>
  <c r="AH83" i="3" a="1"/>
  <c r="AH83" i="3" s="1"/>
  <c r="AD82" i="3" a="1"/>
  <c r="AD82" i="3" s="1"/>
  <c r="AD78" i="3" a="1"/>
  <c r="AD78" i="3" s="1"/>
  <c r="G78" i="3" s="1" a="1"/>
  <c r="G78" i="3" s="1"/>
  <c r="T146" i="3" s="1"/>
  <c r="AD86" i="3" a="1"/>
  <c r="AD86" i="3" s="1"/>
  <c r="AD77" i="3" a="1"/>
  <c r="AD77" i="3" s="1"/>
  <c r="G77" i="3" s="1" a="1"/>
  <c r="G77" i="3" s="1"/>
  <c r="T145" i="3" s="1"/>
  <c r="AD87" i="3" a="1"/>
  <c r="AD87" i="3" s="1"/>
  <c r="G87" i="3" s="1" a="1"/>
  <c r="G87" i="3" s="1"/>
  <c r="T345" i="3" s="1"/>
  <c r="AD85" i="3" a="1"/>
  <c r="AD85" i="3" s="1"/>
  <c r="AD83" i="3" a="1"/>
  <c r="AD83" i="3" s="1"/>
  <c r="AD76" i="3" a="1"/>
  <c r="AD76" i="3" s="1"/>
  <c r="G76" i="3" s="1" a="1"/>
  <c r="G76" i="3" s="1"/>
  <c r="T144" i="3" s="1"/>
  <c r="AD75" i="3" a="1"/>
  <c r="AD75" i="3" s="1"/>
  <c r="G75" i="3" s="1" a="1"/>
  <c r="G75" i="3" s="1"/>
  <c r="T143" i="3" s="1"/>
  <c r="AE80" i="3" a="1"/>
  <c r="AE80" i="3" s="1"/>
  <c r="H80" i="3" s="1" a="1"/>
  <c r="H80" i="3" s="1"/>
  <c r="U188" i="3" s="1"/>
  <c r="AD80" i="3" a="1"/>
  <c r="AD80" i="3" s="1"/>
  <c r="G80" i="3" s="1" a="1"/>
  <c r="G80" i="3" s="1"/>
  <c r="AD84" i="3" a="1"/>
  <c r="AD84" i="3" s="1"/>
  <c r="AD79" i="3" a="1"/>
  <c r="AD79" i="3" s="1"/>
  <c r="G79" i="3" s="1" a="1"/>
  <c r="G79" i="3" s="1"/>
  <c r="T187" i="3" s="1"/>
  <c r="AE86" i="3" a="1"/>
  <c r="AE86" i="3" s="1"/>
  <c r="AE77" i="3" a="1"/>
  <c r="AE77" i="3" s="1"/>
  <c r="H77" i="3" s="1" a="1"/>
  <c r="H77" i="3" s="1"/>
  <c r="U145" i="3" s="1"/>
  <c r="AE85" i="3" a="1"/>
  <c r="AE85" i="3" s="1"/>
  <c r="AF78" i="3" a="1"/>
  <c r="AF78" i="3" s="1"/>
  <c r="I78" i="3" s="1" a="1"/>
  <c r="I78" i="3" s="1"/>
  <c r="V146" i="3" s="1"/>
  <c r="AE83" i="3" a="1"/>
  <c r="AE83" i="3" s="1"/>
  <c r="AE75" i="3" a="1"/>
  <c r="AE75" i="3" s="1"/>
  <c r="H75" i="3" s="1" a="1"/>
  <c r="H75" i="3" s="1"/>
  <c r="U143" i="3" s="1"/>
  <c r="AE82" i="3" a="1"/>
  <c r="AE82" i="3" s="1"/>
  <c r="AE84" i="3" a="1"/>
  <c r="AE84" i="3" s="1"/>
  <c r="AE87" i="3" a="1"/>
  <c r="AE87" i="3" s="1"/>
  <c r="H87" i="3" s="1" a="1"/>
  <c r="H87" i="3" s="1"/>
  <c r="U345" i="3" s="1"/>
  <c r="AE79" i="3" a="1"/>
  <c r="AE79" i="3" s="1"/>
  <c r="H79" i="3" s="1" a="1"/>
  <c r="H79" i="3" s="1"/>
  <c r="U187" i="3" s="1"/>
  <c r="AE78" i="3" a="1"/>
  <c r="AE78" i="3" s="1"/>
  <c r="H78" i="3" s="1" a="1"/>
  <c r="H78" i="3" s="1"/>
  <c r="U146" i="3" s="1"/>
  <c r="AF86" i="3" a="1"/>
  <c r="AF86" i="3" s="1"/>
  <c r="AF83" i="3" a="1"/>
  <c r="AF83" i="3" s="1"/>
  <c r="AF82" i="3" a="1"/>
  <c r="AF82" i="3" s="1"/>
  <c r="AE76" i="3" a="1"/>
  <c r="AE76" i="3" s="1"/>
  <c r="H76" i="3" s="1" a="1"/>
  <c r="H76" i="3" s="1"/>
  <c r="U144" i="3" s="1"/>
  <c r="AF77" i="3" a="1"/>
  <c r="AF77" i="3" s="1"/>
  <c r="I77" i="3" s="1" a="1"/>
  <c r="I77" i="3" s="1"/>
  <c r="V145" i="3" s="1"/>
  <c r="AF84" i="3" a="1"/>
  <c r="AF84" i="3" s="1"/>
  <c r="AF80" i="3" a="1"/>
  <c r="AF80" i="3" s="1"/>
  <c r="I80" i="3" s="1" a="1"/>
  <c r="I80" i="3" s="1"/>
  <c r="V188" i="3" s="1"/>
  <c r="AF79" i="3" a="1"/>
  <c r="AF79" i="3" s="1"/>
  <c r="I79" i="3" s="1" a="1"/>
  <c r="I79" i="3" s="1"/>
  <c r="V187" i="3" s="1"/>
  <c r="AF76" i="3" a="1"/>
  <c r="AF76" i="3" s="1"/>
  <c r="I76" i="3" s="1" a="1"/>
  <c r="I76" i="3" s="1"/>
  <c r="V144" i="3" s="1"/>
  <c r="AG79" i="3" a="1"/>
  <c r="AG79" i="3" s="1"/>
  <c r="J79" i="3" s="1" a="1"/>
  <c r="J79" i="3" s="1"/>
  <c r="W187" i="3" s="1"/>
  <c r="AK82" i="3" a="1"/>
  <c r="AK82" i="3" s="1"/>
  <c r="AK86" i="3" a="1"/>
  <c r="AK86" i="3" s="1"/>
  <c r="AH76" i="3" a="1"/>
  <c r="AH76" i="3" s="1"/>
  <c r="K76" i="3" s="1" a="1"/>
  <c r="K76" i="3" s="1"/>
  <c r="X144" i="3" s="1"/>
  <c r="AF87" i="3" a="1"/>
  <c r="AF87" i="3" s="1"/>
  <c r="I87" i="3" s="1" a="1"/>
  <c r="I87" i="3" s="1"/>
  <c r="V345" i="3" s="1"/>
  <c r="AJ78" i="3" a="1"/>
  <c r="AJ78" i="3" s="1"/>
  <c r="M78" i="3" s="1" a="1"/>
  <c r="M78" i="3" s="1"/>
  <c r="Z146" i="3" s="1"/>
  <c r="O42" i="1"/>
  <c r="Q42" i="1" s="1"/>
  <c r="AI84" i="3" a="1"/>
  <c r="AI84" i="3" s="1"/>
  <c r="AG76" i="3" a="1"/>
  <c r="AG76" i="3" s="1"/>
  <c r="J76" i="3" s="1" a="1"/>
  <c r="J76" i="3" s="1"/>
  <c r="W144" i="3" s="1"/>
  <c r="AH78" i="3" a="1"/>
  <c r="AH78" i="3" s="1"/>
  <c r="K78" i="3" s="1" a="1"/>
  <c r="K78" i="3" s="1"/>
  <c r="X146" i="3" s="1"/>
  <c r="AI82" i="3" a="1"/>
  <c r="AI82" i="3" s="1"/>
  <c r="AH82" i="3" a="1"/>
  <c r="AH82" i="3" s="1"/>
  <c r="AG75" i="3" a="1"/>
  <c r="AG75" i="3" s="1"/>
  <c r="J75" i="3" s="1" a="1"/>
  <c r="J75" i="3" s="1"/>
  <c r="W143" i="3" s="1"/>
  <c r="AI77" i="3" a="1"/>
  <c r="AI77" i="3" s="1"/>
  <c r="L77" i="3" s="1" a="1"/>
  <c r="L77" i="3" s="1"/>
  <c r="Y145" i="3" s="1"/>
  <c r="AJ83" i="3" a="1"/>
  <c r="AJ83" i="3" s="1"/>
  <c r="AF85" i="3" a="1"/>
  <c r="AF85" i="3" s="1"/>
  <c r="AK87" i="3" a="1"/>
  <c r="AK87" i="3" s="1"/>
  <c r="N87" i="3" s="1" a="1"/>
  <c r="N87" i="3" s="1"/>
  <c r="AA345" i="3" s="1"/>
  <c r="AK79" i="3" a="1"/>
  <c r="AK79" i="3" s="1"/>
  <c r="N79" i="3" s="1" a="1"/>
  <c r="N79" i="3" s="1"/>
  <c r="AA187" i="3" s="1"/>
  <c r="AJ87" i="3" a="1"/>
  <c r="AJ87" i="3" s="1"/>
  <c r="M87" i="3" s="1" a="1"/>
  <c r="M87" i="3" s="1"/>
  <c r="Z345" i="3" s="1"/>
  <c r="AF75" i="3" a="1"/>
  <c r="AF75" i="3" s="1"/>
  <c r="I75" i="3" s="1" a="1"/>
  <c r="I75" i="3" s="1"/>
  <c r="V143" i="3" s="1"/>
  <c r="AH85" i="3" a="1"/>
  <c r="AH85" i="3" s="1"/>
  <c r="AJ84" i="3" a="1"/>
  <c r="AJ84" i="3" s="1"/>
  <c r="AG78" i="3" a="1"/>
  <c r="AG78" i="3" s="1"/>
  <c r="J78" i="3" s="1" a="1"/>
  <c r="J78" i="3" s="1"/>
  <c r="W146" i="3" s="1"/>
  <c r="AI79" i="3" a="1"/>
  <c r="AI79" i="3" s="1"/>
  <c r="L79" i="3" s="1" a="1"/>
  <c r="L79" i="3" s="1"/>
  <c r="Y187" i="3" s="1"/>
  <c r="AH79" i="3" a="1"/>
  <c r="AH79" i="3" s="1"/>
  <c r="K79" i="3" s="1" a="1"/>
  <c r="K79" i="3" s="1"/>
  <c r="X187" i="3" s="1"/>
  <c r="AJ75" i="3" a="1"/>
  <c r="AJ75" i="3" s="1"/>
  <c r="M75" i="3" s="1" a="1"/>
  <c r="M75" i="3" s="1"/>
  <c r="Z143" i="3" s="1"/>
  <c r="AH80" i="3" a="1"/>
  <c r="AH80" i="3" s="1"/>
  <c r="K80" i="3" s="1" a="1"/>
  <c r="K80" i="3" s="1"/>
  <c r="AI87" i="3" a="1"/>
  <c r="AI87" i="3" s="1"/>
  <c r="L87" i="3" s="1" a="1"/>
  <c r="L87" i="3" s="1"/>
  <c r="Y345" i="3" s="1"/>
  <c r="AG83" i="3" a="1"/>
  <c r="AG83" i="3" s="1"/>
  <c r="AK80" i="3" a="1"/>
  <c r="AK80" i="3" s="1"/>
  <c r="N80" i="3" s="1" a="1"/>
  <c r="N80" i="3" s="1"/>
  <c r="AA188" i="3" s="1"/>
  <c r="AK85" i="3" a="1"/>
  <c r="AK85" i="3" s="1"/>
  <c r="AI78" i="3" a="1"/>
  <c r="AI78" i="3" s="1"/>
  <c r="L78" i="3" s="1" a="1"/>
  <c r="L78" i="3" s="1"/>
  <c r="Y146" i="3" s="1"/>
  <c r="AJ85" i="3" a="1"/>
  <c r="AJ85" i="3" s="1"/>
  <c r="AH84" i="3" a="1"/>
  <c r="AH84" i="3" s="1"/>
  <c r="AI86" i="3" a="1"/>
  <c r="AI86" i="3" s="1"/>
  <c r="T94" i="11"/>
  <c r="U94" i="11" s="1"/>
  <c r="F76" i="3" a="1"/>
  <c r="F76" i="3" s="1"/>
  <c r="E80" i="3" a="1"/>
  <c r="E80" i="3" s="1"/>
  <c r="E84" i="3" a="1"/>
  <c r="E84" i="3" s="1"/>
  <c r="F79" i="3" a="1"/>
  <c r="F79" i="3" s="1"/>
  <c r="F77" i="3" a="1"/>
  <c r="F77" i="3" s="1"/>
  <c r="F83" i="3" a="1"/>
  <c r="F83" i="3" s="1"/>
  <c r="E77" i="3" a="1"/>
  <c r="E77" i="3" s="1"/>
  <c r="F84" i="3" a="1"/>
  <c r="F84" i="3" s="1"/>
  <c r="E81" i="3" a="1"/>
  <c r="E81" i="3" s="1"/>
  <c r="E87" i="3" a="1"/>
  <c r="E87" i="3" s="1"/>
  <c r="F85" i="3" a="1"/>
  <c r="F85" i="3" s="1"/>
  <c r="F81" i="3" a="1"/>
  <c r="F81" i="3" s="1"/>
  <c r="F80" i="3" a="1"/>
  <c r="F80" i="3" s="1"/>
  <c r="E78" i="3" a="1"/>
  <c r="E78" i="3" s="1"/>
  <c r="F86" i="3" a="1"/>
  <c r="F86" i="3" s="1"/>
  <c r="E82" i="3" a="1"/>
  <c r="E82" i="3" s="1"/>
  <c r="E83" i="3" a="1"/>
  <c r="E83" i="3" s="1"/>
  <c r="F78" i="3" a="1"/>
  <c r="F78" i="3" s="1"/>
  <c r="F87" i="3" a="1"/>
  <c r="F87" i="3" s="1"/>
  <c r="E75" i="3" a="1"/>
  <c r="E75" i="3" s="1"/>
  <c r="E85" i="3" a="1"/>
  <c r="E85" i="3" s="1"/>
  <c r="F82" i="3" a="1"/>
  <c r="F82" i="3" s="1"/>
  <c r="E79" i="3" a="1"/>
  <c r="E79" i="3" s="1"/>
  <c r="F75" i="3" a="1"/>
  <c r="F75" i="3" s="1"/>
  <c r="D86" i="3" a="1"/>
  <c r="D86" i="3" s="1"/>
  <c r="D77" i="3" a="1"/>
  <c r="D77" i="3" s="1"/>
  <c r="D85" i="3" a="1"/>
  <c r="D85" i="3" s="1"/>
  <c r="D84" i="3" a="1"/>
  <c r="D84" i="3" s="1"/>
  <c r="D75" i="3" a="1"/>
  <c r="D75" i="3" s="1"/>
  <c r="D82" i="3" a="1"/>
  <c r="D82" i="3" s="1"/>
  <c r="D76" i="3" a="1"/>
  <c r="D76" i="3" s="1"/>
  <c r="D79" i="3" a="1"/>
  <c r="D79" i="3" s="1"/>
  <c r="E86" i="3" a="1"/>
  <c r="E86" i="3" s="1"/>
  <c r="D87" i="3" a="1"/>
  <c r="D87" i="3" s="1"/>
  <c r="E76" i="3" a="1"/>
  <c r="E76" i="3" s="1"/>
  <c r="D83" i="3" a="1"/>
  <c r="D83" i="3" s="1"/>
  <c r="D81" i="3" a="1"/>
  <c r="D81" i="3" s="1"/>
  <c r="D78" i="3" a="1"/>
  <c r="D78" i="3" s="1"/>
  <c r="D80" i="3" a="1"/>
  <c r="D80" i="3" s="1"/>
  <c r="H104" i="14"/>
  <c r="A105" i="13"/>
  <c r="B104" i="13"/>
  <c r="E105" i="14"/>
  <c r="G105" i="14" s="1"/>
  <c r="A106" i="14"/>
  <c r="F105" i="14"/>
  <c r="K105" i="14"/>
  <c r="I105" i="14"/>
  <c r="L105" i="14" s="1"/>
  <c r="J105" i="14"/>
  <c r="F91" i="9"/>
  <c r="G91" i="9"/>
  <c r="H91" i="9"/>
  <c r="A92" i="9"/>
  <c r="I91" i="9"/>
  <c r="J91" i="9" s="1"/>
  <c r="R91" i="9" s="1"/>
  <c r="E91" i="9"/>
  <c r="AE81" i="6"/>
  <c r="D81" i="6"/>
  <c r="AF81" i="6"/>
  <c r="O81" i="6"/>
  <c r="B81" i="6"/>
  <c r="C81" i="6" s="1"/>
  <c r="R81" i="6"/>
  <c r="S81" i="6" s="1"/>
  <c r="T81" i="6"/>
  <c r="A82" i="6"/>
  <c r="J81" i="6"/>
  <c r="S107" i="15"/>
  <c r="Q108" i="15"/>
  <c r="R108" i="15" s="1"/>
  <c r="F109" i="15"/>
  <c r="W109" i="15"/>
  <c r="A110" i="15"/>
  <c r="G109" i="15"/>
  <c r="Y109" i="15"/>
  <c r="L109" i="15"/>
  <c r="H109" i="15"/>
  <c r="AC109" i="15"/>
  <c r="I109" i="15"/>
  <c r="AE109" i="15"/>
  <c r="AK109" i="15"/>
  <c r="J109" i="15"/>
  <c r="AF109" i="15"/>
  <c r="K109" i="15"/>
  <c r="AJ109" i="15"/>
  <c r="AO109" i="15"/>
  <c r="E109" i="15"/>
  <c r="M108" i="15"/>
  <c r="N108" i="15" s="1"/>
  <c r="O108" i="15" s="1"/>
  <c r="P108" i="15" s="1"/>
  <c r="U108" i="15"/>
  <c r="V108" i="15" s="1"/>
  <c r="K96" i="11"/>
  <c r="J96" i="11"/>
  <c r="M96" i="11" s="1"/>
  <c r="L96" i="11"/>
  <c r="Q96" i="11"/>
  <c r="S96" i="11"/>
  <c r="R96" i="11"/>
  <c r="O95" i="11"/>
  <c r="F97" i="11"/>
  <c r="A98" i="11"/>
  <c r="H97" i="11"/>
  <c r="P97" i="11"/>
  <c r="I97" i="11"/>
  <c r="E97" i="11"/>
  <c r="N95" i="11"/>
  <c r="G96" i="11"/>
  <c r="AG32" i="1"/>
  <c r="AN32" i="1"/>
  <c r="AP32" i="1"/>
  <c r="AI32" i="1"/>
  <c r="W32" i="1"/>
  <c r="C32" i="1"/>
  <c r="E32" i="1" s="1"/>
  <c r="T32" i="1"/>
  <c r="AA32" i="1"/>
  <c r="G32" i="1"/>
  <c r="Z32" i="1"/>
  <c r="L32" i="1"/>
  <c r="AD32" i="1"/>
  <c r="AE32" i="1"/>
  <c r="O32" i="1"/>
  <c r="AF32" i="1"/>
  <c r="Q32" i="1"/>
  <c r="AH32" i="1"/>
  <c r="S32" i="1"/>
  <c r="AM32" i="1"/>
  <c r="U32" i="1"/>
  <c r="AO32" i="1"/>
  <c r="K32" i="1"/>
  <c r="B32" i="1"/>
  <c r="V32" i="1"/>
  <c r="N32" i="1"/>
  <c r="P32" i="1"/>
  <c r="R32" i="1"/>
  <c r="F32" i="1"/>
  <c r="D32" i="1"/>
  <c r="W76" i="3"/>
  <c r="W276" i="3"/>
  <c r="AC78" i="6"/>
  <c r="AI78" i="6" s="1"/>
  <c r="AJ78" i="6" s="1"/>
  <c r="Z78" i="9" s="1"/>
  <c r="AI77" i="6"/>
  <c r="X79" i="6"/>
  <c r="Z79" i="6" s="1"/>
  <c r="N79" i="6"/>
  <c r="P79" i="6" s="1"/>
  <c r="L79" i="6"/>
  <c r="M80" i="6"/>
  <c r="K80" i="6"/>
  <c r="AB80" i="6"/>
  <c r="Y80" i="6"/>
  <c r="W80" i="6"/>
  <c r="U80" i="6"/>
  <c r="V80" i="6" s="1"/>
  <c r="AG80" i="6"/>
  <c r="H79" i="6"/>
  <c r="G80" i="6"/>
  <c r="E80" i="6"/>
  <c r="F80" i="6" s="1"/>
  <c r="V276" i="3"/>
  <c r="U77" i="3"/>
  <c r="AI43" i="1"/>
  <c r="AK32" i="1"/>
  <c r="AK45" i="1"/>
  <c r="AH45" i="1" s="1"/>
  <c r="AO45" i="1"/>
  <c r="AC32" i="1"/>
  <c r="AJ32" i="1"/>
  <c r="AC45" i="1"/>
  <c r="AD45" i="1" s="1"/>
  <c r="AE45" i="1" s="1"/>
  <c r="AJ45" i="1"/>
  <c r="A46" i="1"/>
  <c r="M46" i="1" s="1"/>
  <c r="M32" i="1"/>
  <c r="Y32" i="1"/>
  <c r="M45" i="1"/>
  <c r="N45" i="1" s="1"/>
  <c r="Y45" i="1"/>
  <c r="I45" i="1"/>
  <c r="J45" i="1"/>
  <c r="I32" i="1"/>
  <c r="J32" i="1"/>
  <c r="F45" i="1"/>
  <c r="H45" i="1"/>
  <c r="H32" i="1"/>
  <c r="P44" i="1"/>
  <c r="B45" i="1"/>
  <c r="C45" i="1" s="1"/>
  <c r="E45" i="1" s="1"/>
  <c r="K44" i="1"/>
  <c r="G44" i="1"/>
  <c r="V44" i="1"/>
  <c r="AF44" i="1"/>
  <c r="AG44" i="1" s="1"/>
  <c r="AL44" i="1" s="1"/>
  <c r="AM44" i="1" s="1"/>
  <c r="T44" i="1"/>
  <c r="X44" i="1"/>
  <c r="Z44" i="1" s="1"/>
  <c r="R44" i="1"/>
  <c r="AL43" i="1"/>
  <c r="AM43" i="1" s="1"/>
  <c r="A31" i="1"/>
  <c r="AL36" i="1"/>
  <c r="X33" i="1"/>
  <c r="Q40" i="1"/>
  <c r="Q39" i="1"/>
  <c r="Q41" i="1"/>
  <c r="AC92" i="9"/>
  <c r="Q92" i="9"/>
  <c r="AA92" i="9"/>
  <c r="AB92" i="9"/>
  <c r="P92" i="9"/>
  <c r="O92" i="9"/>
  <c r="N92" i="9"/>
  <c r="O44" i="1" l="1"/>
  <c r="U92" i="9"/>
  <c r="L82" i="3" a="1"/>
  <c r="L82" i="3" s="1"/>
  <c r="L83" i="3" s="1" a="1"/>
  <c r="L83" i="3" s="1"/>
  <c r="Y265" i="3" s="1"/>
  <c r="Q43" i="1"/>
  <c r="S43" i="1" s="1"/>
  <c r="H82" i="3" a="1"/>
  <c r="H82" i="3" s="1"/>
  <c r="H83" i="3" s="1" a="1"/>
  <c r="H83" i="3" s="1"/>
  <c r="M82" i="3" a="1"/>
  <c r="M82" i="3" s="1"/>
  <c r="N82" i="3" a="1"/>
  <c r="N82" i="3" s="1"/>
  <c r="AA264" i="3" s="1"/>
  <c r="K82" i="3" a="1"/>
  <c r="K82" i="3" s="1"/>
  <c r="X188" i="3"/>
  <c r="I82" i="3" a="1"/>
  <c r="I82" i="3" s="1"/>
  <c r="G82" i="3" a="1"/>
  <c r="G82" i="3" s="1"/>
  <c r="T188" i="3"/>
  <c r="J82" i="3" a="1"/>
  <c r="J82" i="3" s="1"/>
  <c r="W188" i="3"/>
  <c r="AJ77" i="6"/>
  <c r="Z77" i="9" s="1"/>
  <c r="O82" i="3" a="1"/>
  <c r="O82" i="3" s="1"/>
  <c r="S108" i="15"/>
  <c r="B105" i="13"/>
  <c r="A106" i="13"/>
  <c r="K106" i="14"/>
  <c r="E106" i="14"/>
  <c r="G106" i="14" s="1"/>
  <c r="A107" i="14"/>
  <c r="F106" i="14"/>
  <c r="I106" i="14"/>
  <c r="L106" i="14" s="1"/>
  <c r="J106" i="14"/>
  <c r="H105" i="14"/>
  <c r="G92" i="9"/>
  <c r="H92" i="9"/>
  <c r="I92" i="9"/>
  <c r="J92" i="9" s="1"/>
  <c r="R92" i="9" s="1"/>
  <c r="E92" i="9"/>
  <c r="A93" i="9"/>
  <c r="F92" i="9"/>
  <c r="AE82" i="6"/>
  <c r="D82" i="6"/>
  <c r="AF82" i="6"/>
  <c r="A83" i="6"/>
  <c r="J82" i="6"/>
  <c r="O82" i="6"/>
  <c r="B82" i="6"/>
  <c r="C82" i="6" s="1"/>
  <c r="R82" i="6"/>
  <c r="S82" i="6" s="1"/>
  <c r="T82" i="6"/>
  <c r="U81" i="6"/>
  <c r="V81" i="6" s="1"/>
  <c r="Y81" i="6"/>
  <c r="W81" i="6"/>
  <c r="AB81" i="6"/>
  <c r="AG81" i="6"/>
  <c r="AH81" i="6"/>
  <c r="G81" i="6"/>
  <c r="E81" i="6"/>
  <c r="F81" i="6" s="1"/>
  <c r="M81" i="6"/>
  <c r="K81" i="6"/>
  <c r="G97" i="11"/>
  <c r="T95" i="11"/>
  <c r="U95" i="11" s="1"/>
  <c r="L110" i="15"/>
  <c r="AK110" i="15"/>
  <c r="E110" i="15"/>
  <c r="AO110" i="15"/>
  <c r="F110" i="15"/>
  <c r="W110" i="15"/>
  <c r="G110" i="15"/>
  <c r="Y110" i="15"/>
  <c r="H110" i="15"/>
  <c r="AC110" i="15"/>
  <c r="I110" i="15"/>
  <c r="AF110" i="15"/>
  <c r="AE110" i="15"/>
  <c r="J110" i="15"/>
  <c r="K110" i="15"/>
  <c r="AJ110" i="15"/>
  <c r="U109" i="15"/>
  <c r="V109" i="15" s="1"/>
  <c r="Q109" i="15"/>
  <c r="R109" i="15" s="1"/>
  <c r="M109" i="15"/>
  <c r="N109" i="15" s="1"/>
  <c r="O109" i="15" s="1"/>
  <c r="P109" i="15" s="1"/>
  <c r="L97" i="11"/>
  <c r="J97" i="11"/>
  <c r="M97" i="11" s="1"/>
  <c r="K97" i="11"/>
  <c r="Q97" i="11"/>
  <c r="R97" i="11"/>
  <c r="S97" i="11"/>
  <c r="O96" i="11"/>
  <c r="E98" i="11"/>
  <c r="F98" i="11"/>
  <c r="A99" i="11"/>
  <c r="H98" i="11"/>
  <c r="P98" i="11"/>
  <c r="I98" i="11"/>
  <c r="N96" i="11"/>
  <c r="AP31" i="1"/>
  <c r="AE31" i="1"/>
  <c r="AI31" i="1"/>
  <c r="AN31" i="1"/>
  <c r="U31" i="1"/>
  <c r="AO31" i="1"/>
  <c r="AG31" i="1"/>
  <c r="W31" i="1"/>
  <c r="C31" i="1"/>
  <c r="E31" i="1" s="1"/>
  <c r="AA31" i="1"/>
  <c r="V31" i="1"/>
  <c r="G31" i="1"/>
  <c r="Z31" i="1"/>
  <c r="L31" i="1"/>
  <c r="AD31" i="1"/>
  <c r="O31" i="1"/>
  <c r="Q31" i="1"/>
  <c r="AH31" i="1"/>
  <c r="S31" i="1"/>
  <c r="AM31" i="1"/>
  <c r="D31" i="1"/>
  <c r="B31" i="1"/>
  <c r="K31" i="1"/>
  <c r="T31" i="1"/>
  <c r="N31" i="1"/>
  <c r="P31" i="1"/>
  <c r="AF31" i="1"/>
  <c r="R31" i="1"/>
  <c r="F31" i="1"/>
  <c r="W77" i="3"/>
  <c r="X80" i="6"/>
  <c r="Z80" i="6" s="1"/>
  <c r="H80" i="6"/>
  <c r="N80" i="6"/>
  <c r="P80" i="6" s="1"/>
  <c r="L80" i="6"/>
  <c r="AC79" i="6"/>
  <c r="V77" i="3"/>
  <c r="U78" i="3"/>
  <c r="A47" i="1"/>
  <c r="AK47" i="1" s="1"/>
  <c r="AH47" i="1" s="1"/>
  <c r="B46" i="1"/>
  <c r="C46" i="1" s="1"/>
  <c r="E46" i="1" s="1"/>
  <c r="Y46" i="1"/>
  <c r="H46" i="1"/>
  <c r="J46" i="1"/>
  <c r="I46" i="1"/>
  <c r="F46" i="1"/>
  <c r="AK31" i="1"/>
  <c r="AK46" i="1"/>
  <c r="AH46" i="1" s="1"/>
  <c r="AO46" i="1"/>
  <c r="AC31" i="1"/>
  <c r="AJ31" i="1"/>
  <c r="AC46" i="1"/>
  <c r="AF46" i="1" s="1"/>
  <c r="AJ46" i="1"/>
  <c r="M31" i="1"/>
  <c r="Y31" i="1"/>
  <c r="I31" i="1"/>
  <c r="J31" i="1"/>
  <c r="H31" i="1"/>
  <c r="Q44" i="1"/>
  <c r="T45" i="1"/>
  <c r="R45" i="1"/>
  <c r="P45" i="1"/>
  <c r="AF45" i="1"/>
  <c r="AG45" i="1" s="1"/>
  <c r="AL45" i="1" s="1"/>
  <c r="AM45" i="1" s="1"/>
  <c r="V45" i="1"/>
  <c r="X45" i="1"/>
  <c r="Z45" i="1" s="1"/>
  <c r="G45" i="1"/>
  <c r="L45" i="1"/>
  <c r="O45" i="1" s="1"/>
  <c r="K45" i="1"/>
  <c r="X32" i="1"/>
  <c r="A30" i="1"/>
  <c r="AI44" i="1"/>
  <c r="AL34" i="1"/>
  <c r="N46" i="1"/>
  <c r="V46" i="1"/>
  <c r="P46" i="1"/>
  <c r="R46" i="1"/>
  <c r="X46" i="1"/>
  <c r="T46" i="1"/>
  <c r="Q38" i="1"/>
  <c r="S39" i="1" s="1"/>
  <c r="S42" i="1"/>
  <c r="S41" i="1"/>
  <c r="S40" i="1"/>
  <c r="O93" i="9"/>
  <c r="AB93" i="9"/>
  <c r="P93" i="9"/>
  <c r="AC93" i="9"/>
  <c r="Q93" i="9"/>
  <c r="N93" i="9"/>
  <c r="AA93" i="9"/>
  <c r="U93" i="9" l="1"/>
  <c r="Y264" i="3"/>
  <c r="S44" i="1"/>
  <c r="U264" i="3"/>
  <c r="L84" i="3" a="1"/>
  <c r="L84" i="3" s="1"/>
  <c r="Y266" i="3" s="1"/>
  <c r="N83" i="3" a="1"/>
  <c r="N83" i="3" s="1"/>
  <c r="AA265" i="3" s="1"/>
  <c r="Z264" i="3"/>
  <c r="M83" i="3" a="1"/>
  <c r="M83" i="3" s="1"/>
  <c r="AB264" i="3"/>
  <c r="O83" i="3" a="1"/>
  <c r="O83" i="3" s="1"/>
  <c r="G83" i="3" a="1"/>
  <c r="G83" i="3" s="1"/>
  <c r="T264" i="3"/>
  <c r="K83" i="3" a="1"/>
  <c r="K83" i="3" s="1"/>
  <c r="X264" i="3"/>
  <c r="I83" i="3" a="1"/>
  <c r="I83" i="3" s="1"/>
  <c r="V264" i="3"/>
  <c r="H84" i="3" a="1"/>
  <c r="H84" i="3" s="1"/>
  <c r="U265" i="3"/>
  <c r="J83" i="3" a="1"/>
  <c r="J83" i="3" s="1"/>
  <c r="W264" i="3"/>
  <c r="H81" i="6"/>
  <c r="X81" i="6"/>
  <c r="Z81" i="6" s="1"/>
  <c r="B106" i="13"/>
  <c r="A107" i="13"/>
  <c r="J107" i="14"/>
  <c r="K107" i="14"/>
  <c r="E107" i="14"/>
  <c r="G107" i="14" s="1"/>
  <c r="A108" i="14"/>
  <c r="F107" i="14"/>
  <c r="I107" i="14"/>
  <c r="L107" i="14" s="1"/>
  <c r="H106" i="14"/>
  <c r="H93" i="9"/>
  <c r="I93" i="9"/>
  <c r="J93" i="9" s="1"/>
  <c r="R93" i="9" s="1"/>
  <c r="A94" i="9"/>
  <c r="E93" i="9"/>
  <c r="F93" i="9"/>
  <c r="G93" i="9"/>
  <c r="S109" i="15"/>
  <c r="L81" i="6"/>
  <c r="N81" i="6"/>
  <c r="P81" i="6" s="1"/>
  <c r="M82" i="6"/>
  <c r="K82" i="6"/>
  <c r="AE83" i="6"/>
  <c r="D83" i="6"/>
  <c r="AF83" i="6"/>
  <c r="O83" i="6"/>
  <c r="B83" i="6"/>
  <c r="C83" i="6" s="1"/>
  <c r="R83" i="6"/>
  <c r="S83" i="6" s="1"/>
  <c r="T83" i="6"/>
  <c r="A84" i="6"/>
  <c r="J83" i="6"/>
  <c r="O97" i="11"/>
  <c r="AG82" i="6"/>
  <c r="AH82" i="6"/>
  <c r="G82" i="6"/>
  <c r="E82" i="6"/>
  <c r="F82" i="6" s="1"/>
  <c r="U82" i="6"/>
  <c r="V82" i="6" s="1"/>
  <c r="Y82" i="6"/>
  <c r="W82" i="6"/>
  <c r="AB82" i="6"/>
  <c r="T96" i="11"/>
  <c r="U96" i="11" s="1"/>
  <c r="M110" i="15"/>
  <c r="N110" i="15" s="1"/>
  <c r="O110" i="15" s="1"/>
  <c r="P110" i="15" s="1"/>
  <c r="Q110" i="15"/>
  <c r="R110" i="15" s="1"/>
  <c r="U110" i="15"/>
  <c r="V110" i="15" s="1"/>
  <c r="J98" i="11"/>
  <c r="M98" i="11" s="1"/>
  <c r="L98" i="11"/>
  <c r="K98" i="11"/>
  <c r="R98" i="11"/>
  <c r="Q98" i="11"/>
  <c r="S98" i="11"/>
  <c r="N97" i="11"/>
  <c r="H99" i="11"/>
  <c r="P99" i="11"/>
  <c r="E99" i="11"/>
  <c r="F99" i="11"/>
  <c r="A100" i="11"/>
  <c r="I99" i="11"/>
  <c r="G98" i="11"/>
  <c r="AN30" i="1"/>
  <c r="AP30" i="1"/>
  <c r="AG30" i="1"/>
  <c r="AI30" i="1"/>
  <c r="S30" i="1"/>
  <c r="AM30" i="1"/>
  <c r="U30" i="1"/>
  <c r="AO30" i="1"/>
  <c r="W30" i="1"/>
  <c r="C30" i="1"/>
  <c r="E30" i="1" s="1"/>
  <c r="T30" i="1"/>
  <c r="AA30" i="1"/>
  <c r="V30" i="1"/>
  <c r="G30" i="1"/>
  <c r="Z30" i="1"/>
  <c r="AE30" i="1"/>
  <c r="L30" i="1"/>
  <c r="O30" i="1"/>
  <c r="AF30" i="1"/>
  <c r="Q30" i="1"/>
  <c r="AH30" i="1"/>
  <c r="F30" i="1"/>
  <c r="AD30" i="1"/>
  <c r="D30" i="1"/>
  <c r="K30" i="1"/>
  <c r="N30" i="1"/>
  <c r="P30" i="1"/>
  <c r="R30" i="1"/>
  <c r="B30" i="1"/>
  <c r="W78" i="3"/>
  <c r="AC80" i="6"/>
  <c r="AI79" i="6"/>
  <c r="U79" i="3"/>
  <c r="V78" i="3"/>
  <c r="I47" i="1"/>
  <c r="A48" i="1"/>
  <c r="M48" i="1" s="1"/>
  <c r="Y47" i="1"/>
  <c r="AJ47" i="1"/>
  <c r="F47" i="1"/>
  <c r="M47" i="1"/>
  <c r="T47" i="1" s="1"/>
  <c r="AC47" i="1"/>
  <c r="AF47" i="1" s="1"/>
  <c r="B47" i="1"/>
  <c r="C47" i="1" s="1"/>
  <c r="E47" i="1" s="1"/>
  <c r="H47" i="1"/>
  <c r="AO47" i="1"/>
  <c r="J47" i="1"/>
  <c r="K46" i="1"/>
  <c r="AD46" i="1"/>
  <c r="AE46" i="1" s="1"/>
  <c r="AG46" i="1" s="1"/>
  <c r="G46" i="1"/>
  <c r="L46" i="1"/>
  <c r="O46" i="1" s="1"/>
  <c r="Q46" i="1" s="1"/>
  <c r="Z46" i="1"/>
  <c r="AK30" i="1"/>
  <c r="AC30" i="1"/>
  <c r="AJ30" i="1"/>
  <c r="M30" i="1"/>
  <c r="Y30" i="1"/>
  <c r="I30" i="1"/>
  <c r="J30" i="1"/>
  <c r="H30" i="1"/>
  <c r="Q45" i="1"/>
  <c r="S45" i="1" s="1"/>
  <c r="U45" i="1" s="1"/>
  <c r="AL33" i="1"/>
  <c r="AI45" i="1"/>
  <c r="X31" i="1"/>
  <c r="A29" i="1"/>
  <c r="S38" i="1"/>
  <c r="U39" i="1" s="1"/>
  <c r="U42" i="1"/>
  <c r="U44" i="1"/>
  <c r="U40" i="1"/>
  <c r="U41" i="1"/>
  <c r="U43" i="1"/>
  <c r="AC94" i="9"/>
  <c r="N94" i="9"/>
  <c r="O94" i="9"/>
  <c r="AB94" i="9"/>
  <c r="Q94" i="9"/>
  <c r="P94" i="9"/>
  <c r="AA94" i="9"/>
  <c r="U94" i="9" l="1"/>
  <c r="L85" i="3" a="1"/>
  <c r="L85" i="3" s="1"/>
  <c r="Y267" i="3" s="1"/>
  <c r="N84" i="3" a="1"/>
  <c r="N84" i="3" s="1"/>
  <c r="Z265" i="3"/>
  <c r="M84" i="3" a="1"/>
  <c r="M84" i="3" s="1"/>
  <c r="H85" i="3" a="1"/>
  <c r="H85" i="3" s="1"/>
  <c r="U266" i="3"/>
  <c r="J84" i="3" a="1"/>
  <c r="J84" i="3" s="1"/>
  <c r="W265" i="3"/>
  <c r="G84" i="3" a="1"/>
  <c r="G84" i="3" s="1"/>
  <c r="T265" i="3"/>
  <c r="AJ79" i="6"/>
  <c r="Z79" i="9" s="1"/>
  <c r="L86" i="3" a="1"/>
  <c r="L86" i="3" s="1"/>
  <c r="Y269" i="3" s="1"/>
  <c r="I84" i="3" a="1"/>
  <c r="I84" i="3" s="1"/>
  <c r="V265" i="3"/>
  <c r="K84" i="3" a="1"/>
  <c r="K84" i="3" s="1"/>
  <c r="X265" i="3"/>
  <c r="O84" i="3" a="1"/>
  <c r="O84" i="3" s="1"/>
  <c r="AB265" i="3"/>
  <c r="H107" i="14"/>
  <c r="A108" i="13"/>
  <c r="B107" i="13"/>
  <c r="I108" i="14"/>
  <c r="L108" i="14" s="1"/>
  <c r="J108" i="14"/>
  <c r="K108" i="14"/>
  <c r="F108" i="14"/>
  <c r="E108" i="14"/>
  <c r="G108" i="14" s="1"/>
  <c r="A109" i="14"/>
  <c r="I94" i="9"/>
  <c r="J94" i="9" s="1"/>
  <c r="R94" i="9" s="1"/>
  <c r="A95" i="9"/>
  <c r="F94" i="9"/>
  <c r="G94" i="9"/>
  <c r="E94" i="9"/>
  <c r="H94" i="9"/>
  <c r="X82" i="6"/>
  <c r="Z82" i="6" s="1"/>
  <c r="T97" i="11"/>
  <c r="U97" i="11" s="1"/>
  <c r="H82" i="6"/>
  <c r="AE84" i="6"/>
  <c r="D84" i="6"/>
  <c r="AF84" i="6"/>
  <c r="A85" i="6"/>
  <c r="J84" i="6"/>
  <c r="O84" i="6"/>
  <c r="B84" i="6"/>
  <c r="C84" i="6" s="1"/>
  <c r="R84" i="6"/>
  <c r="S84" i="6" s="1"/>
  <c r="T84" i="6"/>
  <c r="L82" i="6"/>
  <c r="N82" i="6"/>
  <c r="P82" i="6" s="1"/>
  <c r="U83" i="6"/>
  <c r="V83" i="6" s="1"/>
  <c r="Y83" i="6"/>
  <c r="W83" i="6"/>
  <c r="AB83" i="6"/>
  <c r="AC81" i="6"/>
  <c r="AI81" i="6" s="1"/>
  <c r="AJ81" i="6" s="1"/>
  <c r="Z81" i="9" s="1"/>
  <c r="AG83" i="6"/>
  <c r="AH83" i="6"/>
  <c r="G83" i="6"/>
  <c r="E83" i="6"/>
  <c r="F83" i="6" s="1"/>
  <c r="M83" i="6"/>
  <c r="K83" i="6"/>
  <c r="S110" i="15"/>
  <c r="AL112" i="3" s="1" a="1"/>
  <c r="AL112" i="3" s="1"/>
  <c r="O112" i="3" s="1" a="1"/>
  <c r="O112" i="3" s="1"/>
  <c r="AB247" i="3" s="1"/>
  <c r="G99" i="11"/>
  <c r="J99" i="11"/>
  <c r="M99" i="11" s="1"/>
  <c r="K99" i="11"/>
  <c r="L99" i="11"/>
  <c r="F100" i="11"/>
  <c r="A101" i="11"/>
  <c r="H100" i="11"/>
  <c r="P100" i="11"/>
  <c r="I100" i="11"/>
  <c r="E100" i="11"/>
  <c r="N98" i="11"/>
  <c r="O98" i="11"/>
  <c r="R99" i="11"/>
  <c r="S99" i="11"/>
  <c r="Q99" i="11"/>
  <c r="AI29" i="1"/>
  <c r="AN29" i="1"/>
  <c r="AP29" i="1"/>
  <c r="AE29" i="1"/>
  <c r="AG29" i="1"/>
  <c r="Q29" i="1"/>
  <c r="AH29" i="1"/>
  <c r="S29" i="1"/>
  <c r="AM29" i="1"/>
  <c r="U29" i="1"/>
  <c r="AO29" i="1"/>
  <c r="W29" i="1"/>
  <c r="C29" i="1"/>
  <c r="E29" i="1" s="1"/>
  <c r="T29" i="1"/>
  <c r="AA29" i="1"/>
  <c r="V29" i="1"/>
  <c r="G29" i="1"/>
  <c r="L29" i="1"/>
  <c r="AD29" i="1"/>
  <c r="O29" i="1"/>
  <c r="AF29" i="1"/>
  <c r="F29" i="1"/>
  <c r="D29" i="1"/>
  <c r="K29" i="1"/>
  <c r="Z29" i="1"/>
  <c r="N29" i="1"/>
  <c r="P29" i="1"/>
  <c r="B29" i="1"/>
  <c r="R29" i="1"/>
  <c r="W79" i="3"/>
  <c r="AI80" i="6"/>
  <c r="AJ80" i="6" s="1"/>
  <c r="Z80" i="9" s="1"/>
  <c r="V79" i="3"/>
  <c r="U88" i="3"/>
  <c r="V47" i="1"/>
  <c r="AC48" i="1"/>
  <c r="AF48" i="1" s="1"/>
  <c r="B48" i="1"/>
  <c r="C48" i="1" s="1"/>
  <c r="E48" i="1" s="1"/>
  <c r="H48" i="1"/>
  <c r="AK48" i="1"/>
  <c r="AH48" i="1" s="1"/>
  <c r="N47" i="1"/>
  <c r="P47" i="1"/>
  <c r="J48" i="1"/>
  <c r="AJ48" i="1"/>
  <c r="AO48" i="1"/>
  <c r="A49" i="1"/>
  <c r="AK49" i="1" s="1"/>
  <c r="AH49" i="1" s="1"/>
  <c r="X47" i="1"/>
  <c r="Z47" i="1" s="1"/>
  <c r="Y48" i="1"/>
  <c r="R47" i="1"/>
  <c r="F48" i="1"/>
  <c r="I48" i="1"/>
  <c r="AD47" i="1"/>
  <c r="AE47" i="1" s="1"/>
  <c r="AG47" i="1" s="1"/>
  <c r="K47" i="1"/>
  <c r="G47" i="1"/>
  <c r="L47" i="1"/>
  <c r="AK29" i="1"/>
  <c r="AC29" i="1"/>
  <c r="AJ29" i="1"/>
  <c r="M29" i="1"/>
  <c r="Y29" i="1"/>
  <c r="I29" i="1"/>
  <c r="J29" i="1"/>
  <c r="H29" i="1"/>
  <c r="S46" i="1"/>
  <c r="U46" i="1" s="1"/>
  <c r="W46" i="1" s="1"/>
  <c r="AL32" i="1"/>
  <c r="A28" i="1"/>
  <c r="X30" i="1"/>
  <c r="T48" i="1"/>
  <c r="V48" i="1"/>
  <c r="X48" i="1"/>
  <c r="P48" i="1"/>
  <c r="N48" i="1"/>
  <c r="R48" i="1"/>
  <c r="AI46" i="1"/>
  <c r="AL46" i="1"/>
  <c r="AM46" i="1" s="1"/>
  <c r="W43" i="1"/>
  <c r="W44" i="1"/>
  <c r="W42" i="1"/>
  <c r="W45" i="1"/>
  <c r="W41" i="1"/>
  <c r="W40" i="1"/>
  <c r="AB95" i="9"/>
  <c r="AA95" i="9"/>
  <c r="Q95" i="9"/>
  <c r="AC95" i="9"/>
  <c r="O95" i="9"/>
  <c r="P95" i="9"/>
  <c r="N95" i="9"/>
  <c r="U95" i="9" l="1"/>
  <c r="AG111" i="3" a="1"/>
  <c r="AG111" i="3" s="1"/>
  <c r="J111" i="3" s="1" a="1"/>
  <c r="J111" i="3" s="1"/>
  <c r="AA266" i="3"/>
  <c r="N85" i="3" a="1"/>
  <c r="N85" i="3" s="1"/>
  <c r="Z266" i="3"/>
  <c r="M85" i="3" a="1"/>
  <c r="M85" i="3" s="1"/>
  <c r="AD110" i="3" a="1"/>
  <c r="AD110" i="3" s="1"/>
  <c r="G110" i="3" s="1" a="1"/>
  <c r="G110" i="3" s="1"/>
  <c r="AE109" i="3" a="1"/>
  <c r="AE109" i="3" s="1"/>
  <c r="H109" i="3" s="1" a="1"/>
  <c r="H109" i="3" s="1"/>
  <c r="AF116" i="3" a="1"/>
  <c r="AF116" i="3" s="1"/>
  <c r="I116" i="3" s="1" a="1"/>
  <c r="I116" i="3" s="1"/>
  <c r="AH105" i="3" a="1"/>
  <c r="AH105" i="3" s="1"/>
  <c r="K105" i="3" s="1" a="1"/>
  <c r="K105" i="3" s="1"/>
  <c r="AF105" i="3" a="1"/>
  <c r="AF105" i="3" s="1"/>
  <c r="I105" i="3" s="1" a="1"/>
  <c r="I105" i="3" s="1"/>
  <c r="AK112" i="3" a="1"/>
  <c r="AK112" i="3" s="1"/>
  <c r="N112" i="3" s="1" a="1"/>
  <c r="N112" i="3" s="1"/>
  <c r="AA247" i="3" s="1"/>
  <c r="AE113" i="3" a="1"/>
  <c r="AE113" i="3" s="1"/>
  <c r="H113" i="3" s="1" a="1"/>
  <c r="H113" i="3" s="1"/>
  <c r="AD116" i="3" a="1"/>
  <c r="AD116" i="3" s="1"/>
  <c r="G116" i="3" s="1" a="1"/>
  <c r="G116" i="3" s="1"/>
  <c r="AL105" i="3" a="1"/>
  <c r="AL105" i="3" s="1"/>
  <c r="O105" i="3" s="1" a="1"/>
  <c r="O105" i="3" s="1"/>
  <c r="AB242" i="3" s="1"/>
  <c r="AI113" i="3" a="1"/>
  <c r="AI113" i="3" s="1"/>
  <c r="L113" i="3" s="1" a="1"/>
  <c r="L113" i="3" s="1"/>
  <c r="AF114" i="3" a="1"/>
  <c r="AF114" i="3" s="1"/>
  <c r="I114" i="3" s="1" a="1"/>
  <c r="I114" i="3" s="1"/>
  <c r="AI116" i="3" a="1"/>
  <c r="AI116" i="3" s="1"/>
  <c r="L116" i="3" s="1" a="1"/>
  <c r="L116" i="3" s="1"/>
  <c r="AH114" i="3" a="1"/>
  <c r="AH114" i="3" s="1"/>
  <c r="K114" i="3" s="1" a="1"/>
  <c r="K114" i="3" s="1"/>
  <c r="AK106" i="3" a="1"/>
  <c r="AK106" i="3" s="1"/>
  <c r="AF106" i="3" a="1"/>
  <c r="AF106" i="3" s="1"/>
  <c r="D112" i="3" a="1"/>
  <c r="D112" i="3" s="1"/>
  <c r="AK116" i="3" a="1"/>
  <c r="AK116" i="3" s="1"/>
  <c r="N116" i="3" s="1" a="1"/>
  <c r="N116" i="3" s="1"/>
  <c r="AA130" i="3" s="1"/>
  <c r="AK110" i="3" a="1"/>
  <c r="AK110" i="3" s="1"/>
  <c r="N110" i="3" s="1" a="1"/>
  <c r="N110" i="3" s="1"/>
  <c r="AA119" i="3" s="1"/>
  <c r="AK108" i="3" a="1"/>
  <c r="AK108" i="3" s="1"/>
  <c r="N108" i="3" s="1" a="1"/>
  <c r="N108" i="3" s="1"/>
  <c r="AA243" i="3" s="1"/>
  <c r="AI110" i="3" a="1"/>
  <c r="AI110" i="3" s="1"/>
  <c r="L110" i="3" s="1" a="1"/>
  <c r="L110" i="3" s="1"/>
  <c r="AK105" i="3" a="1"/>
  <c r="AK105" i="3" s="1"/>
  <c r="N105" i="3" s="1" a="1"/>
  <c r="N105" i="3" s="1"/>
  <c r="AA242" i="3" s="1"/>
  <c r="AE110" i="3" a="1"/>
  <c r="AE110" i="3" s="1"/>
  <c r="H110" i="3" s="1" a="1"/>
  <c r="H110" i="3" s="1"/>
  <c r="K85" i="3" a="1"/>
  <c r="K85" i="3" s="1"/>
  <c r="X266" i="3"/>
  <c r="AG113" i="3" a="1"/>
  <c r="AG113" i="3" s="1"/>
  <c r="J113" i="3" s="1" a="1"/>
  <c r="J113" i="3" s="1"/>
  <c r="AK114" i="3" a="1"/>
  <c r="AK114" i="3" s="1"/>
  <c r="N114" i="3" s="1" a="1"/>
  <c r="N114" i="3" s="1"/>
  <c r="AA313" i="3" s="1"/>
  <c r="AF115" i="3" a="1"/>
  <c r="AF115" i="3" s="1"/>
  <c r="I115" i="3" s="1" a="1"/>
  <c r="I115" i="3" s="1"/>
  <c r="AF108" i="3" a="1"/>
  <c r="AF108" i="3" s="1"/>
  <c r="I108" i="3" s="1" a="1"/>
  <c r="I108" i="3" s="1"/>
  <c r="AE106" i="3" a="1"/>
  <c r="AE106" i="3" s="1"/>
  <c r="AK109" i="3" a="1"/>
  <c r="AK109" i="3" s="1"/>
  <c r="N109" i="3" s="1" a="1"/>
  <c r="N109" i="3" s="1"/>
  <c r="AA244" i="3" s="1"/>
  <c r="AK115" i="3" a="1"/>
  <c r="AK115" i="3" s="1"/>
  <c r="N115" i="3" s="1" a="1"/>
  <c r="N115" i="3" s="1"/>
  <c r="AA129" i="3" s="1"/>
  <c r="AH112" i="3" a="1"/>
  <c r="AH112" i="3" s="1"/>
  <c r="K112" i="3" s="1" a="1"/>
  <c r="K112" i="3" s="1"/>
  <c r="AD106" i="3" a="1"/>
  <c r="AD106" i="3" s="1"/>
  <c r="AJ112" i="3" a="1"/>
  <c r="AJ112" i="3" s="1"/>
  <c r="M112" i="3" s="1" a="1"/>
  <c r="M112" i="3" s="1"/>
  <c r="AH110" i="3" a="1"/>
  <c r="AH110" i="3" s="1"/>
  <c r="K110" i="3" s="1" a="1"/>
  <c r="K110" i="3" s="1"/>
  <c r="AJ105" i="3" a="1"/>
  <c r="AJ105" i="3" s="1"/>
  <c r="M105" i="3" s="1" a="1"/>
  <c r="M105" i="3" s="1"/>
  <c r="O85" i="3" a="1"/>
  <c r="O85" i="3" s="1"/>
  <c r="AB266" i="3"/>
  <c r="AH113" i="3" a="1"/>
  <c r="AH113" i="3" s="1"/>
  <c r="K113" i="3" s="1" a="1"/>
  <c r="K113" i="3" s="1"/>
  <c r="AG112" i="3" a="1"/>
  <c r="AG112" i="3" s="1"/>
  <c r="J112" i="3" s="1" a="1"/>
  <c r="J112" i="3" s="1"/>
  <c r="AF112" i="3" a="1"/>
  <c r="AF112" i="3" s="1"/>
  <c r="I112" i="3" s="1" a="1"/>
  <c r="I112" i="3" s="1"/>
  <c r="AF109" i="3" a="1"/>
  <c r="AF109" i="3" s="1"/>
  <c r="I109" i="3" s="1" a="1"/>
  <c r="I109" i="3" s="1"/>
  <c r="AL115" i="3" a="1"/>
  <c r="AL115" i="3" s="1"/>
  <c r="O115" i="3" s="1" a="1"/>
  <c r="O115" i="3" s="1"/>
  <c r="AB129" i="3" s="1"/>
  <c r="AJ107" i="3" a="1"/>
  <c r="AJ107" i="3" s="1"/>
  <c r="M107" i="3" s="1" a="1"/>
  <c r="M107" i="3" s="1"/>
  <c r="AJ108" i="3" a="1"/>
  <c r="AJ108" i="3" s="1"/>
  <c r="M108" i="3" s="1" a="1"/>
  <c r="M108" i="3" s="1"/>
  <c r="AD105" i="3" a="1"/>
  <c r="AD105" i="3" s="1"/>
  <c r="G105" i="3" s="1" a="1"/>
  <c r="G105" i="3" s="1"/>
  <c r="AL111" i="3" a="1"/>
  <c r="AL111" i="3" s="1"/>
  <c r="O111" i="3" s="1" a="1"/>
  <c r="O111" i="3" s="1"/>
  <c r="AB120" i="3" s="1"/>
  <c r="AJ116" i="3" a="1"/>
  <c r="AJ116" i="3" s="1"/>
  <c r="M116" i="3" s="1" a="1"/>
  <c r="M116" i="3" s="1"/>
  <c r="AL108" i="3" a="1"/>
  <c r="AL108" i="3" s="1"/>
  <c r="O108" i="3" s="1" a="1"/>
  <c r="O108" i="3" s="1"/>
  <c r="AB243" i="3" s="1"/>
  <c r="AJ111" i="3" a="1"/>
  <c r="AJ111" i="3" s="1"/>
  <c r="M111" i="3" s="1" a="1"/>
  <c r="M111" i="3" s="1"/>
  <c r="AE115" i="3" a="1"/>
  <c r="AE115" i="3" s="1"/>
  <c r="H115" i="3" s="1" a="1"/>
  <c r="H115" i="3" s="1"/>
  <c r="AI115" i="3" a="1"/>
  <c r="AI115" i="3" s="1"/>
  <c r="L115" i="3" s="1" a="1"/>
  <c r="L115" i="3" s="1"/>
  <c r="I85" i="3" a="1"/>
  <c r="I85" i="3" s="1"/>
  <c r="V266" i="3"/>
  <c r="AH106" i="3" a="1"/>
  <c r="AH106" i="3" s="1"/>
  <c r="AH111" i="3" a="1"/>
  <c r="AH111" i="3" s="1"/>
  <c r="K111" i="3" s="1" a="1"/>
  <c r="K111" i="3" s="1"/>
  <c r="AI106" i="3" a="1"/>
  <c r="AI106" i="3" s="1"/>
  <c r="AF111" i="3" a="1"/>
  <c r="AF111" i="3" s="1"/>
  <c r="I111" i="3" s="1" a="1"/>
  <c r="I111" i="3" s="1"/>
  <c r="AG116" i="3" a="1"/>
  <c r="AG116" i="3" s="1"/>
  <c r="J116" i="3" s="1" a="1"/>
  <c r="J116" i="3" s="1"/>
  <c r="AI107" i="3" a="1"/>
  <c r="AI107" i="3" s="1"/>
  <c r="L107" i="3" s="1" a="1"/>
  <c r="L107" i="3" s="1"/>
  <c r="AD113" i="3" a="1"/>
  <c r="AD113" i="3" s="1"/>
  <c r="G113" i="3" s="1" a="1"/>
  <c r="G113" i="3" s="1"/>
  <c r="AE112" i="3" a="1"/>
  <c r="AE112" i="3" s="1"/>
  <c r="H112" i="3" s="1" a="1"/>
  <c r="H112" i="3" s="1"/>
  <c r="AI105" i="3" a="1"/>
  <c r="AI105" i="3" s="1"/>
  <c r="L105" i="3" s="1" a="1"/>
  <c r="L105" i="3" s="1"/>
  <c r="AD111" i="3" a="1"/>
  <c r="AD111" i="3" s="1"/>
  <c r="G111" i="3" s="1" a="1"/>
  <c r="G111" i="3" s="1"/>
  <c r="AK113" i="3" a="1"/>
  <c r="AK113" i="3" s="1"/>
  <c r="N113" i="3" s="1" a="1"/>
  <c r="N113" i="3" s="1"/>
  <c r="AA121" i="3" s="1"/>
  <c r="AL113" i="3" a="1"/>
  <c r="AL113" i="3" s="1"/>
  <c r="O113" i="3" s="1" a="1"/>
  <c r="O113" i="3" s="1"/>
  <c r="AB121" i="3" s="1"/>
  <c r="AH116" i="3" a="1"/>
  <c r="AH116" i="3" s="1"/>
  <c r="K116" i="3" s="1" a="1"/>
  <c r="K116" i="3" s="1"/>
  <c r="AI114" i="3" a="1"/>
  <c r="AI114" i="3" s="1"/>
  <c r="L114" i="3" s="1" a="1"/>
  <c r="L114" i="3" s="1"/>
  <c r="AG108" i="3" a="1"/>
  <c r="AG108" i="3" s="1"/>
  <c r="J108" i="3" s="1" a="1"/>
  <c r="J108" i="3" s="1"/>
  <c r="AG109" i="3" a="1"/>
  <c r="AG109" i="3" s="1"/>
  <c r="J109" i="3" s="1" a="1"/>
  <c r="J109" i="3" s="1"/>
  <c r="AI108" i="3" a="1"/>
  <c r="AI108" i="3" s="1"/>
  <c r="L108" i="3" s="1" a="1"/>
  <c r="L108" i="3" s="1"/>
  <c r="AD109" i="3" a="1"/>
  <c r="AD109" i="3" s="1"/>
  <c r="G109" i="3" s="1" a="1"/>
  <c r="G109" i="3" s="1"/>
  <c r="G85" i="3" a="1"/>
  <c r="G85" i="3" s="1"/>
  <c r="T266" i="3"/>
  <c r="AE111" i="3" a="1"/>
  <c r="AE111" i="3" s="1"/>
  <c r="H111" i="3" s="1" a="1"/>
  <c r="H111" i="3" s="1"/>
  <c r="AE107" i="3" a="1"/>
  <c r="AE107" i="3" s="1"/>
  <c r="H107" i="3" s="1" a="1"/>
  <c r="H107" i="3" s="1"/>
  <c r="AJ114" i="3" a="1"/>
  <c r="AJ114" i="3" s="1"/>
  <c r="M114" i="3" s="1" a="1"/>
  <c r="M114" i="3" s="1"/>
  <c r="AJ115" i="3" a="1"/>
  <c r="AJ115" i="3" s="1"/>
  <c r="M115" i="3" s="1" a="1"/>
  <c r="M115" i="3" s="1"/>
  <c r="AH108" i="3" a="1"/>
  <c r="AH108" i="3" s="1"/>
  <c r="K108" i="3" s="1" a="1"/>
  <c r="K108" i="3" s="1"/>
  <c r="AL116" i="3" a="1"/>
  <c r="AL116" i="3" s="1"/>
  <c r="O116" i="3" s="1" a="1"/>
  <c r="O116" i="3" s="1"/>
  <c r="AB130" i="3" s="1"/>
  <c r="AD108" i="3" a="1"/>
  <c r="AD108" i="3" s="1"/>
  <c r="G108" i="3" s="1" a="1"/>
  <c r="G108" i="3" s="1"/>
  <c r="AJ113" i="3" a="1"/>
  <c r="AJ113" i="3" s="1"/>
  <c r="M113" i="3" s="1" a="1"/>
  <c r="M113" i="3" s="1"/>
  <c r="AK111" i="3" a="1"/>
  <c r="AK111" i="3" s="1"/>
  <c r="N111" i="3" s="1" a="1"/>
  <c r="N111" i="3" s="1"/>
  <c r="AA120" i="3" s="1"/>
  <c r="AH115" i="3" a="1"/>
  <c r="AH115" i="3" s="1"/>
  <c r="K115" i="3" s="1" a="1"/>
  <c r="K115" i="3" s="1"/>
  <c r="AH107" i="3" a="1"/>
  <c r="AH107" i="3" s="1"/>
  <c r="K107" i="3" s="1" a="1"/>
  <c r="K107" i="3" s="1"/>
  <c r="AE114" i="3" a="1"/>
  <c r="AE114" i="3" s="1"/>
  <c r="H114" i="3" s="1" a="1"/>
  <c r="H114" i="3" s="1"/>
  <c r="AL110" i="3" a="1"/>
  <c r="AL110" i="3" s="1"/>
  <c r="O110" i="3" s="1" a="1"/>
  <c r="O110" i="3" s="1"/>
  <c r="AB119" i="3" s="1"/>
  <c r="AG105" i="3" a="1"/>
  <c r="AG105" i="3" s="1"/>
  <c r="J105" i="3" s="1" a="1"/>
  <c r="J105" i="3" s="1"/>
  <c r="AF107" i="3" a="1"/>
  <c r="AF107" i="3" s="1"/>
  <c r="I107" i="3" s="1" a="1"/>
  <c r="I107" i="3" s="1"/>
  <c r="AG106" i="3" a="1"/>
  <c r="AG106" i="3" s="1"/>
  <c r="AE116" i="3" a="1"/>
  <c r="AE116" i="3" s="1"/>
  <c r="H116" i="3" s="1" a="1"/>
  <c r="H116" i="3" s="1"/>
  <c r="AJ109" i="3" a="1"/>
  <c r="AJ109" i="3" s="1"/>
  <c r="M109" i="3" s="1" a="1"/>
  <c r="M109" i="3" s="1"/>
  <c r="AD114" i="3" a="1"/>
  <c r="AD114" i="3" s="1"/>
  <c r="G114" i="3" s="1" a="1"/>
  <c r="G114" i="3" s="1"/>
  <c r="AD112" i="3" a="1"/>
  <c r="AD112" i="3" s="1"/>
  <c r="G112" i="3" s="1" a="1"/>
  <c r="G112" i="3" s="1"/>
  <c r="AI109" i="3" a="1"/>
  <c r="AI109" i="3" s="1"/>
  <c r="L109" i="3" s="1" a="1"/>
  <c r="L109" i="3" s="1"/>
  <c r="AH109" i="3" a="1"/>
  <c r="AH109" i="3" s="1"/>
  <c r="K109" i="3" s="1" a="1"/>
  <c r="K109" i="3" s="1"/>
  <c r="AF113" i="3" a="1"/>
  <c r="AF113" i="3" s="1"/>
  <c r="I113" i="3" s="1" a="1"/>
  <c r="I113" i="3" s="1"/>
  <c r="AL114" i="3" a="1"/>
  <c r="AL114" i="3" s="1"/>
  <c r="O114" i="3" s="1" a="1"/>
  <c r="O114" i="3" s="1"/>
  <c r="AB313" i="3" s="1"/>
  <c r="AG110" i="3" a="1"/>
  <c r="AG110" i="3" s="1"/>
  <c r="J110" i="3" s="1" a="1"/>
  <c r="J110" i="3" s="1"/>
  <c r="AF110" i="3" a="1"/>
  <c r="AF110" i="3" s="1"/>
  <c r="I110" i="3" s="1" a="1"/>
  <c r="I110" i="3" s="1"/>
  <c r="H86" i="3" a="1"/>
  <c r="H86" i="3" s="1"/>
  <c r="U269" i="3" s="1"/>
  <c r="U267" i="3"/>
  <c r="AK107" i="3" a="1"/>
  <c r="AK107" i="3" s="1"/>
  <c r="N107" i="3" s="1" a="1"/>
  <c r="N107" i="3" s="1"/>
  <c r="AA116" i="3" s="1"/>
  <c r="AI112" i="3" a="1"/>
  <c r="AI112" i="3" s="1"/>
  <c r="L112" i="3" s="1" a="1"/>
  <c r="L112" i="3" s="1"/>
  <c r="AI111" i="3" a="1"/>
  <c r="AI111" i="3" s="1"/>
  <c r="L111" i="3" s="1" a="1"/>
  <c r="L111" i="3" s="1"/>
  <c r="AL109" i="3" a="1"/>
  <c r="AL109" i="3" s="1"/>
  <c r="O109" i="3" s="1" a="1"/>
  <c r="O109" i="3" s="1"/>
  <c r="AB244" i="3" s="1"/>
  <c r="AE105" i="3" a="1"/>
  <c r="AE105" i="3" s="1"/>
  <c r="H105" i="3" s="1" a="1"/>
  <c r="H105" i="3" s="1"/>
  <c r="AL106" i="3" a="1"/>
  <c r="AL106" i="3" s="1"/>
  <c r="AE108" i="3" a="1"/>
  <c r="AE108" i="3" s="1"/>
  <c r="H108" i="3" s="1" a="1"/>
  <c r="H108" i="3" s="1"/>
  <c r="AJ110" i="3" a="1"/>
  <c r="AJ110" i="3" s="1"/>
  <c r="M110" i="3" s="1" a="1"/>
  <c r="M110" i="3" s="1"/>
  <c r="AD115" i="3" a="1"/>
  <c r="AD115" i="3" s="1"/>
  <c r="G115" i="3" s="1" a="1"/>
  <c r="G115" i="3" s="1"/>
  <c r="AD107" i="3" a="1"/>
  <c r="AD107" i="3" s="1"/>
  <c r="G107" i="3" s="1" a="1"/>
  <c r="G107" i="3" s="1"/>
  <c r="AL107" i="3" a="1"/>
  <c r="AL107" i="3" s="1"/>
  <c r="O107" i="3" s="1" a="1"/>
  <c r="O107" i="3" s="1"/>
  <c r="AB116" i="3" s="1"/>
  <c r="AG114" i="3" a="1"/>
  <c r="AG114" i="3" s="1"/>
  <c r="J114" i="3" s="1" a="1"/>
  <c r="J114" i="3" s="1"/>
  <c r="AG107" i="3" a="1"/>
  <c r="AG107" i="3" s="1"/>
  <c r="J107" i="3" s="1" a="1"/>
  <c r="J107" i="3" s="1"/>
  <c r="J85" i="3" a="1"/>
  <c r="J85" i="3" s="1"/>
  <c r="W266" i="3"/>
  <c r="AG115" i="3" a="1"/>
  <c r="AG115" i="3" s="1"/>
  <c r="J115" i="3" s="1" a="1"/>
  <c r="J115" i="3" s="1"/>
  <c r="AJ106" i="3" a="1"/>
  <c r="AJ106" i="3" s="1"/>
  <c r="F108" i="3" a="1"/>
  <c r="F108" i="3" s="1"/>
  <c r="E115" i="3" a="1"/>
  <c r="E115" i="3" s="1"/>
  <c r="E105" i="3" a="1"/>
  <c r="E105" i="3" s="1"/>
  <c r="E114" i="3" a="1"/>
  <c r="E114" i="3" s="1"/>
  <c r="F112" i="3" a="1"/>
  <c r="F112" i="3" s="1"/>
  <c r="AO247" i="3" s="1"/>
  <c r="S247" i="3" s="1"/>
  <c r="E110" i="3" a="1"/>
  <c r="E110" i="3" s="1"/>
  <c r="E108" i="3" a="1"/>
  <c r="E108" i="3" s="1"/>
  <c r="F115" i="3" a="1"/>
  <c r="F115" i="3" s="1"/>
  <c r="AO129" i="3" s="1"/>
  <c r="S129" i="3" s="1"/>
  <c r="D107" i="3" a="1"/>
  <c r="D107" i="3" s="1"/>
  <c r="D113" i="3" a="1"/>
  <c r="D113" i="3" s="1"/>
  <c r="D114" i="3" a="1"/>
  <c r="D114" i="3" s="1"/>
  <c r="D110" i="3" a="1"/>
  <c r="D110" i="3" s="1"/>
  <c r="F105" i="3" a="1"/>
  <c r="F105" i="3" s="1"/>
  <c r="F107" i="3" a="1"/>
  <c r="F107" i="3" s="1"/>
  <c r="AO116" i="3" s="1"/>
  <c r="S116" i="3" s="1"/>
  <c r="F116" i="3" a="1"/>
  <c r="F116" i="3" s="1"/>
  <c r="AO130" i="3" s="1"/>
  <c r="S130" i="3" s="1"/>
  <c r="D108" i="3" a="1"/>
  <c r="D108" i="3" s="1"/>
  <c r="F113" i="3" a="1"/>
  <c r="F113" i="3" s="1"/>
  <c r="AO121" i="3" s="1"/>
  <c r="S121" i="3" s="1"/>
  <c r="E116" i="3" a="1"/>
  <c r="E116" i="3" s="1"/>
  <c r="F109" i="3" a="1"/>
  <c r="F109" i="3" s="1"/>
  <c r="AO244" i="3" s="1"/>
  <c r="S244" i="3" s="1"/>
  <c r="E113" i="3" a="1"/>
  <c r="E113" i="3" s="1"/>
  <c r="E109" i="3" a="1"/>
  <c r="E109" i="3" s="1"/>
  <c r="E111" i="3" a="1"/>
  <c r="E111" i="3" s="1"/>
  <c r="E112" i="3" a="1"/>
  <c r="E112" i="3" s="1"/>
  <c r="D111" i="3" a="1"/>
  <c r="D111" i="3" s="1"/>
  <c r="D115" i="3" a="1"/>
  <c r="D115" i="3" s="1"/>
  <c r="D105" i="3" a="1"/>
  <c r="D105" i="3" s="1"/>
  <c r="D109" i="3" a="1"/>
  <c r="D109" i="3" s="1"/>
  <c r="D116" i="3" a="1"/>
  <c r="D116" i="3" s="1"/>
  <c r="F110" i="3" a="1"/>
  <c r="F110" i="3" s="1"/>
  <c r="E107" i="3" a="1"/>
  <c r="E107" i="3" s="1"/>
  <c r="F114" i="3" a="1"/>
  <c r="F114" i="3" s="1"/>
  <c r="AO313" i="3" s="1"/>
  <c r="S313" i="3" s="1"/>
  <c r="F111" i="3" a="1"/>
  <c r="F111" i="3" s="1"/>
  <c r="AO120" i="3" s="1"/>
  <c r="S120" i="3" s="1"/>
  <c r="AC82" i="6"/>
  <c r="AI82" i="6" s="1"/>
  <c r="AJ82" i="6" s="1"/>
  <c r="Z82" i="9" s="1"/>
  <c r="A109" i="13"/>
  <c r="B108" i="13"/>
  <c r="I109" i="14"/>
  <c r="L109" i="14" s="1"/>
  <c r="J109" i="14"/>
  <c r="E109" i="14"/>
  <c r="G109" i="14" s="1"/>
  <c r="K109" i="14"/>
  <c r="A110" i="14"/>
  <c r="F109" i="14"/>
  <c r="H108" i="14"/>
  <c r="H83" i="6"/>
  <c r="A96" i="9"/>
  <c r="E95" i="9"/>
  <c r="F95" i="9"/>
  <c r="G95" i="9"/>
  <c r="H95" i="9"/>
  <c r="I95" i="9"/>
  <c r="J95" i="9" s="1"/>
  <c r="R95" i="9" s="1"/>
  <c r="O99" i="11"/>
  <c r="M84" i="6"/>
  <c r="K84" i="6"/>
  <c r="AE85" i="6"/>
  <c r="D85" i="6"/>
  <c r="AF85" i="6"/>
  <c r="O85" i="6"/>
  <c r="B85" i="6"/>
  <c r="C85" i="6" s="1"/>
  <c r="R85" i="6"/>
  <c r="S85" i="6" s="1"/>
  <c r="T85" i="6"/>
  <c r="A86" i="6"/>
  <c r="J85" i="6"/>
  <c r="AG84" i="6"/>
  <c r="AH84" i="6"/>
  <c r="L83" i="6"/>
  <c r="N83" i="6"/>
  <c r="P83" i="6" s="1"/>
  <c r="G84" i="6"/>
  <c r="E84" i="6"/>
  <c r="F84" i="6" s="1"/>
  <c r="U84" i="6"/>
  <c r="V84" i="6" s="1"/>
  <c r="Y84" i="6"/>
  <c r="W84" i="6"/>
  <c r="AB84" i="6"/>
  <c r="X83" i="6"/>
  <c r="Z83" i="6" s="1"/>
  <c r="G100" i="11"/>
  <c r="J100" i="11"/>
  <c r="M100" i="11" s="1"/>
  <c r="L100" i="11"/>
  <c r="K100" i="11"/>
  <c r="Q100" i="11"/>
  <c r="R100" i="11"/>
  <c r="S100" i="11"/>
  <c r="F101" i="11"/>
  <c r="A102" i="11"/>
  <c r="H101" i="11"/>
  <c r="P101" i="11"/>
  <c r="E101" i="11"/>
  <c r="I101" i="11"/>
  <c r="T98" i="11"/>
  <c r="U98" i="11" s="1"/>
  <c r="N99" i="11"/>
  <c r="AG28" i="1"/>
  <c r="AI28" i="1"/>
  <c r="AN28" i="1"/>
  <c r="AE28" i="1"/>
  <c r="O28" i="1"/>
  <c r="AF28" i="1"/>
  <c r="AP28" i="1"/>
  <c r="Q28" i="1"/>
  <c r="AH28" i="1"/>
  <c r="S28" i="1"/>
  <c r="AM28" i="1"/>
  <c r="U28" i="1"/>
  <c r="AO28" i="1"/>
  <c r="W28" i="1"/>
  <c r="C28" i="1"/>
  <c r="E28" i="1" s="1"/>
  <c r="T28" i="1"/>
  <c r="AA28" i="1"/>
  <c r="G28" i="1"/>
  <c r="Z28" i="1"/>
  <c r="L28" i="1"/>
  <c r="AD28" i="1"/>
  <c r="R28" i="1"/>
  <c r="F28" i="1"/>
  <c r="V28" i="1"/>
  <c r="D28" i="1"/>
  <c r="K28" i="1"/>
  <c r="B28" i="1"/>
  <c r="N28" i="1"/>
  <c r="P28" i="1"/>
  <c r="W88" i="3"/>
  <c r="U90" i="3"/>
  <c r="U89" i="3"/>
  <c r="V88" i="3"/>
  <c r="K48" i="1"/>
  <c r="AD48" i="1"/>
  <c r="AE48" i="1" s="1"/>
  <c r="AG48" i="1" s="1"/>
  <c r="J49" i="1"/>
  <c r="G48" i="1"/>
  <c r="H49" i="1"/>
  <c r="AO49" i="1"/>
  <c r="Y49" i="1"/>
  <c r="A50" i="1"/>
  <c r="AO50" i="1" s="1"/>
  <c r="AJ49" i="1"/>
  <c r="B49" i="1"/>
  <c r="C49" i="1" s="1"/>
  <c r="E49" i="1" s="1"/>
  <c r="F49" i="1"/>
  <c r="I49" i="1"/>
  <c r="M49" i="1"/>
  <c r="V49" i="1" s="1"/>
  <c r="AC49" i="1"/>
  <c r="AF49" i="1" s="1"/>
  <c r="O47" i="1"/>
  <c r="Q47" i="1" s="1"/>
  <c r="S47" i="1" s="1"/>
  <c r="U47" i="1" s="1"/>
  <c r="W47" i="1" s="1"/>
  <c r="AA47" i="1" s="1"/>
  <c r="L48" i="1"/>
  <c r="O48" i="1" s="1"/>
  <c r="Z48" i="1"/>
  <c r="AK28" i="1"/>
  <c r="AC28" i="1"/>
  <c r="AJ28" i="1"/>
  <c r="M28" i="1"/>
  <c r="Y28" i="1"/>
  <c r="I28" i="1"/>
  <c r="J28" i="1"/>
  <c r="H28" i="1"/>
  <c r="A27" i="1"/>
  <c r="X29" i="1"/>
  <c r="AL47" i="1"/>
  <c r="AM47" i="1" s="1"/>
  <c r="AA42" i="1"/>
  <c r="AA41" i="1"/>
  <c r="AA45" i="1"/>
  <c r="AA44" i="1"/>
  <c r="AA43" i="1"/>
  <c r="AA46" i="1"/>
  <c r="AC96" i="9"/>
  <c r="Q96" i="9"/>
  <c r="O96" i="9"/>
  <c r="P96" i="9"/>
  <c r="N96" i="9"/>
  <c r="AB96" i="9"/>
  <c r="AA96" i="9"/>
  <c r="U96" i="9" l="1"/>
  <c r="AA267" i="3"/>
  <c r="N86" i="3" a="1"/>
  <c r="N86" i="3" s="1"/>
  <c r="AA269" i="3" s="1"/>
  <c r="Z267" i="3"/>
  <c r="M86" i="3" a="1"/>
  <c r="M86" i="3" s="1"/>
  <c r="Z269" i="3" s="1"/>
  <c r="G86" i="3" a="1"/>
  <c r="G86" i="3" s="1"/>
  <c r="T267" i="3"/>
  <c r="J86" i="3" a="1"/>
  <c r="J86" i="3" s="1"/>
  <c r="W269" i="3" s="1"/>
  <c r="W267" i="3"/>
  <c r="K86" i="3" a="1"/>
  <c r="K86" i="3" s="1"/>
  <c r="X269" i="3" s="1"/>
  <c r="X267" i="3"/>
  <c r="I86" i="3" a="1"/>
  <c r="I86" i="3" s="1"/>
  <c r="V269" i="3" s="1"/>
  <c r="V267" i="3"/>
  <c r="O86" i="3" a="1"/>
  <c r="O86" i="3" s="1"/>
  <c r="AB269" i="3" s="1"/>
  <c r="AB267" i="3"/>
  <c r="T99" i="11"/>
  <c r="U99" i="11" s="1"/>
  <c r="G101" i="11"/>
  <c r="B109" i="13"/>
  <c r="A110" i="13"/>
  <c r="B110" i="13" s="1"/>
  <c r="X84" i="6"/>
  <c r="Z84" i="6" s="1"/>
  <c r="I110" i="14"/>
  <c r="L110" i="14" s="1"/>
  <c r="J110" i="14"/>
  <c r="K110" i="14"/>
  <c r="E110" i="14"/>
  <c r="G110" i="14" s="1"/>
  <c r="F110" i="14"/>
  <c r="H109" i="14"/>
  <c r="A97" i="9"/>
  <c r="E96" i="9"/>
  <c r="F96" i="9"/>
  <c r="H96" i="9"/>
  <c r="I96" i="9"/>
  <c r="J96" i="9" s="1"/>
  <c r="R96" i="9" s="1"/>
  <c r="G96" i="9"/>
  <c r="H84" i="6"/>
  <c r="O100" i="11"/>
  <c r="G85" i="6"/>
  <c r="E85" i="6"/>
  <c r="F85" i="6" s="1"/>
  <c r="M85" i="6"/>
  <c r="K85" i="6"/>
  <c r="AE86" i="6"/>
  <c r="D86" i="6"/>
  <c r="AF86" i="6"/>
  <c r="A87" i="6"/>
  <c r="J86" i="6"/>
  <c r="O86" i="6"/>
  <c r="B86" i="6"/>
  <c r="C86" i="6" s="1"/>
  <c r="R86" i="6"/>
  <c r="S86" i="6" s="1"/>
  <c r="T86" i="6"/>
  <c r="L84" i="6"/>
  <c r="N84" i="6"/>
  <c r="P84" i="6" s="1"/>
  <c r="U85" i="6"/>
  <c r="V85" i="6" s="1"/>
  <c r="Y85" i="6"/>
  <c r="W85" i="6"/>
  <c r="AB85" i="6"/>
  <c r="AC83" i="6"/>
  <c r="AI83" i="6" s="1"/>
  <c r="AJ83" i="6" s="1"/>
  <c r="Z83" i="9" s="1"/>
  <c r="AG85" i="6"/>
  <c r="AH85" i="6"/>
  <c r="E102" i="11"/>
  <c r="F102" i="11"/>
  <c r="A103" i="11"/>
  <c r="H102" i="11"/>
  <c r="P102" i="11"/>
  <c r="I102" i="11"/>
  <c r="L101" i="11"/>
  <c r="J101" i="11"/>
  <c r="M101" i="11" s="1"/>
  <c r="K101" i="11"/>
  <c r="N100" i="11"/>
  <c r="T100" i="11" s="1"/>
  <c r="R101" i="11"/>
  <c r="S101" i="11"/>
  <c r="Q101" i="11"/>
  <c r="AE27" i="1"/>
  <c r="AG27" i="1"/>
  <c r="AI27" i="1"/>
  <c r="AP27" i="1"/>
  <c r="L27" i="1"/>
  <c r="AD27" i="1"/>
  <c r="AN27" i="1"/>
  <c r="O27" i="1"/>
  <c r="AF27" i="1"/>
  <c r="Q27" i="1"/>
  <c r="AH27" i="1"/>
  <c r="S27" i="1"/>
  <c r="AM27" i="1"/>
  <c r="U27" i="1"/>
  <c r="AO27" i="1"/>
  <c r="W27" i="1"/>
  <c r="C27" i="1"/>
  <c r="E27" i="1" s="1"/>
  <c r="AA27" i="1"/>
  <c r="V27" i="1"/>
  <c r="G27" i="1"/>
  <c r="Z27" i="1"/>
  <c r="P27" i="1"/>
  <c r="R27" i="1"/>
  <c r="T27" i="1"/>
  <c r="F27" i="1"/>
  <c r="D27" i="1"/>
  <c r="B27" i="1"/>
  <c r="K27" i="1"/>
  <c r="N27" i="1"/>
  <c r="W90" i="3"/>
  <c r="W89" i="3"/>
  <c r="V90" i="3"/>
  <c r="V89" i="3"/>
  <c r="AK50" i="1"/>
  <c r="AH50" i="1" s="1"/>
  <c r="AD49" i="1"/>
  <c r="AE49" i="1" s="1"/>
  <c r="AG49" i="1" s="1"/>
  <c r="AL49" i="1" s="1"/>
  <c r="AM49" i="1" s="1"/>
  <c r="T49" i="1"/>
  <c r="M50" i="1"/>
  <c r="P50" i="1" s="1"/>
  <c r="F50" i="1"/>
  <c r="N49" i="1"/>
  <c r="K49" i="1"/>
  <c r="Q48" i="1"/>
  <c r="S48" i="1" s="1"/>
  <c r="U48" i="1" s="1"/>
  <c r="W48" i="1" s="1"/>
  <c r="AA48" i="1" s="1"/>
  <c r="G49" i="1"/>
  <c r="AJ50" i="1"/>
  <c r="B50" i="1"/>
  <c r="C50" i="1" s="1"/>
  <c r="E50" i="1" s="1"/>
  <c r="I50" i="1"/>
  <c r="AC50" i="1"/>
  <c r="AD50" i="1" s="1"/>
  <c r="AE50" i="1" s="1"/>
  <c r="J50" i="1"/>
  <c r="A51" i="1"/>
  <c r="AO51" i="1" s="1"/>
  <c r="H50" i="1"/>
  <c r="Y50" i="1"/>
  <c r="R49" i="1"/>
  <c r="P49" i="1"/>
  <c r="L49" i="1"/>
  <c r="X49" i="1"/>
  <c r="Z49" i="1" s="1"/>
  <c r="AK27" i="1"/>
  <c r="AC27" i="1"/>
  <c r="AJ27" i="1"/>
  <c r="M27" i="1"/>
  <c r="Y27" i="1"/>
  <c r="I27" i="1"/>
  <c r="J27" i="1"/>
  <c r="H27" i="1"/>
  <c r="AI47" i="1"/>
  <c r="AL30" i="1"/>
  <c r="X28" i="1"/>
  <c r="AL31" i="1"/>
  <c r="A26" i="1"/>
  <c r="AL29" i="1"/>
  <c r="AI48" i="1"/>
  <c r="AL48" i="1"/>
  <c r="AM48" i="1" s="1"/>
  <c r="U38" i="1"/>
  <c r="AN46" i="1"/>
  <c r="AN44" i="1"/>
  <c r="AN42" i="1"/>
  <c r="AN47" i="1"/>
  <c r="AN43" i="1"/>
  <c r="AN45" i="1"/>
  <c r="N97" i="9"/>
  <c r="AB97" i="9"/>
  <c r="Q97" i="9"/>
  <c r="P97" i="9"/>
  <c r="AC97" i="9"/>
  <c r="AA97" i="9"/>
  <c r="O97" i="9"/>
  <c r="U97" i="9" l="1"/>
  <c r="T269" i="3"/>
  <c r="G146" i="3"/>
  <c r="O101" i="11"/>
  <c r="U100" i="11"/>
  <c r="AD73" i="3" a="1"/>
  <c r="AD73" i="3" s="1"/>
  <c r="G73" i="3" s="1" a="1"/>
  <c r="G73" i="3" s="1"/>
  <c r="T297" i="3" s="1"/>
  <c r="AE73" i="3" a="1"/>
  <c r="AE73" i="3" s="1"/>
  <c r="H73" i="3" s="1" a="1"/>
  <c r="H73" i="3" s="1"/>
  <c r="U297" i="3" s="1"/>
  <c r="AF73" i="3" a="1"/>
  <c r="AF73" i="3" s="1"/>
  <c r="I73" i="3" s="1" a="1"/>
  <c r="I73" i="3" s="1"/>
  <c r="V297" i="3" s="1"/>
  <c r="AG73" i="3" a="1"/>
  <c r="AG73" i="3" s="1"/>
  <c r="J73" i="3" s="1" a="1"/>
  <c r="J73" i="3" s="1"/>
  <c r="W297" i="3" s="1"/>
  <c r="AH73" i="3" a="1"/>
  <c r="AH73" i="3" s="1"/>
  <c r="K73" i="3" s="1" a="1"/>
  <c r="K73" i="3" s="1"/>
  <c r="X297" i="3" s="1"/>
  <c r="AI73" i="3" a="1"/>
  <c r="AI73" i="3" s="1"/>
  <c r="L73" i="3" s="1" a="1"/>
  <c r="L73" i="3" s="1"/>
  <c r="Y297" i="3" s="1"/>
  <c r="AJ73" i="3" a="1"/>
  <c r="AJ73" i="3" s="1"/>
  <c r="M73" i="3" s="1" a="1"/>
  <c r="M73" i="3" s="1"/>
  <c r="Z297" i="3" s="1"/>
  <c r="AL73" i="3" a="1"/>
  <c r="AL73" i="3" s="1"/>
  <c r="O73" i="3" s="1" a="1"/>
  <c r="O73" i="3" s="1"/>
  <c r="AB297" i="3" s="1"/>
  <c r="AK73" i="3" a="1"/>
  <c r="AK73" i="3" s="1"/>
  <c r="N73" i="3" s="1" a="1"/>
  <c r="N73" i="3" s="1"/>
  <c r="AA297" i="3" s="1"/>
  <c r="H85" i="6"/>
  <c r="F73" i="3" a="1"/>
  <c r="F73" i="3" s="1"/>
  <c r="D73" i="3" a="1"/>
  <c r="D73" i="3" s="1"/>
  <c r="E73" i="3" a="1"/>
  <c r="E73" i="3" s="1"/>
  <c r="X85" i="6"/>
  <c r="Z85" i="6" s="1"/>
  <c r="H110" i="14"/>
  <c r="F91" i="3" s="1" a="1"/>
  <c r="F91" i="3" s="1"/>
  <c r="AC84" i="6"/>
  <c r="AI84" i="6" s="1"/>
  <c r="AJ84" i="6" s="1"/>
  <c r="Z84" i="9" s="1"/>
  <c r="G102" i="11"/>
  <c r="E97" i="9"/>
  <c r="F97" i="9"/>
  <c r="I97" i="9"/>
  <c r="J97" i="9" s="1"/>
  <c r="R97" i="9" s="1"/>
  <c r="G97" i="9"/>
  <c r="H97" i="9"/>
  <c r="A98" i="9"/>
  <c r="AG86" i="6"/>
  <c r="AH86" i="6"/>
  <c r="G86" i="6"/>
  <c r="E86" i="6"/>
  <c r="F86" i="6" s="1"/>
  <c r="U86" i="6"/>
  <c r="V86" i="6" s="1"/>
  <c r="Y86" i="6"/>
  <c r="W86" i="6"/>
  <c r="AB86" i="6"/>
  <c r="L85" i="6"/>
  <c r="N85" i="6"/>
  <c r="P85" i="6" s="1"/>
  <c r="M86" i="6"/>
  <c r="K86" i="6"/>
  <c r="AE87" i="6"/>
  <c r="D87" i="6"/>
  <c r="AF87" i="6"/>
  <c r="O87" i="6"/>
  <c r="B87" i="6"/>
  <c r="C87" i="6" s="1"/>
  <c r="R87" i="6"/>
  <c r="S87" i="6" s="1"/>
  <c r="T87" i="6"/>
  <c r="A88" i="6"/>
  <c r="J87" i="6"/>
  <c r="J102" i="11"/>
  <c r="M102" i="11" s="1"/>
  <c r="L102" i="11"/>
  <c r="K102" i="11"/>
  <c r="R102" i="11"/>
  <c r="Q102" i="11"/>
  <c r="S102" i="11"/>
  <c r="H103" i="11"/>
  <c r="P103" i="11"/>
  <c r="F103" i="11"/>
  <c r="A104" i="11"/>
  <c r="I103" i="11"/>
  <c r="E103" i="11"/>
  <c r="N101" i="11"/>
  <c r="T101" i="11" s="1"/>
  <c r="U101" i="11" s="1"/>
  <c r="AE26" i="1"/>
  <c r="AN26" i="1"/>
  <c r="G26" i="1"/>
  <c r="Z26" i="1"/>
  <c r="AI26" i="1"/>
  <c r="L26" i="1"/>
  <c r="AD26" i="1"/>
  <c r="AP26" i="1"/>
  <c r="AG26" i="1"/>
  <c r="O26" i="1"/>
  <c r="AF26" i="1"/>
  <c r="Q26" i="1"/>
  <c r="AH26" i="1"/>
  <c r="S26" i="1"/>
  <c r="AM26" i="1"/>
  <c r="U26" i="1"/>
  <c r="AO26" i="1"/>
  <c r="W26" i="1"/>
  <c r="C26" i="1"/>
  <c r="E26" i="1" s="1"/>
  <c r="T26" i="1"/>
  <c r="AA26" i="1"/>
  <c r="V26" i="1"/>
  <c r="N26" i="1"/>
  <c r="P26" i="1"/>
  <c r="R26" i="1"/>
  <c r="B26" i="1"/>
  <c r="F26" i="1"/>
  <c r="D26" i="1"/>
  <c r="K26" i="1"/>
  <c r="X50" i="1"/>
  <c r="Z50" i="1" s="1"/>
  <c r="N50" i="1"/>
  <c r="T50" i="1"/>
  <c r="R50" i="1"/>
  <c r="V50" i="1"/>
  <c r="AF50" i="1"/>
  <c r="AG50" i="1" s="1"/>
  <c r="G50" i="1"/>
  <c r="O49" i="1"/>
  <c r="Q49" i="1" s="1"/>
  <c r="S49" i="1" s="1"/>
  <c r="U49" i="1" s="1"/>
  <c r="W49" i="1" s="1"/>
  <c r="AA49" i="1" s="1"/>
  <c r="AN49" i="1" s="1"/>
  <c r="H51" i="1"/>
  <c r="J51" i="1"/>
  <c r="I51" i="1"/>
  <c r="L50" i="1"/>
  <c r="K50" i="1"/>
  <c r="A52" i="1"/>
  <c r="AJ52" i="1" s="1"/>
  <c r="B51" i="1"/>
  <c r="C51" i="1" s="1"/>
  <c r="E51" i="1" s="1"/>
  <c r="M51" i="1"/>
  <c r="V51" i="1" s="1"/>
  <c r="AC51" i="1"/>
  <c r="AD51" i="1" s="1"/>
  <c r="AE51" i="1" s="1"/>
  <c r="AK51" i="1"/>
  <c r="AH51" i="1" s="1"/>
  <c r="F51" i="1"/>
  <c r="Y51" i="1"/>
  <c r="AJ51" i="1"/>
  <c r="AK26" i="1"/>
  <c r="AC26" i="1"/>
  <c r="AJ26" i="1"/>
  <c r="M26" i="1"/>
  <c r="Y26" i="1"/>
  <c r="I26" i="1"/>
  <c r="J26" i="1"/>
  <c r="H26" i="1"/>
  <c r="AN48" i="1"/>
  <c r="AP49" i="1" s="1"/>
  <c r="Y49" i="9" s="1"/>
  <c r="X27" i="1"/>
  <c r="AI49" i="1"/>
  <c r="A25" i="1"/>
  <c r="W38" i="1"/>
  <c r="W39" i="1"/>
  <c r="AP48" i="1"/>
  <c r="AP44" i="1"/>
  <c r="AP46" i="1"/>
  <c r="AP47" i="1"/>
  <c r="AP45" i="1"/>
  <c r="P98" i="9"/>
  <c r="AC98" i="9"/>
  <c r="Q98" i="9"/>
  <c r="N98" i="9"/>
  <c r="O98" i="9"/>
  <c r="AA98" i="9"/>
  <c r="AB98" i="9"/>
  <c r="U98" i="9" l="1"/>
  <c r="AC85" i="6"/>
  <c r="AI85" i="6" s="1"/>
  <c r="AJ85" i="6" s="1"/>
  <c r="Z85" i="9" s="1"/>
  <c r="AK91" i="3" a="1"/>
  <c r="AK91" i="3" s="1"/>
  <c r="N91" i="3" s="1" a="1"/>
  <c r="N91" i="3" s="1"/>
  <c r="AH92" i="3" a="1"/>
  <c r="AH92" i="3" s="1"/>
  <c r="K92" i="3" s="1" a="1"/>
  <c r="K92" i="3" s="1"/>
  <c r="X185" i="3" s="1"/>
  <c r="AF91" i="3" a="1"/>
  <c r="AF91" i="3" s="1"/>
  <c r="I91" i="3" s="1" a="1"/>
  <c r="I91" i="3" s="1"/>
  <c r="AL90" i="3" a="1"/>
  <c r="AL90" i="3" s="1"/>
  <c r="O90" i="3" s="1" a="1"/>
  <c r="O90" i="3" s="1"/>
  <c r="AI92" i="3" a="1"/>
  <c r="AI92" i="3" s="1"/>
  <c r="L92" i="3" s="1" a="1"/>
  <c r="L92" i="3" s="1"/>
  <c r="Y185" i="3" s="1"/>
  <c r="AF90" i="3" a="1"/>
  <c r="AF90" i="3" s="1"/>
  <c r="I90" i="3" s="1" a="1"/>
  <c r="I90" i="3" s="1"/>
  <c r="AK90" i="3" a="1"/>
  <c r="AK90" i="3" s="1"/>
  <c r="N90" i="3" s="1" a="1"/>
  <c r="N90" i="3" s="1"/>
  <c r="AH90" i="3" a="1"/>
  <c r="AH90" i="3" s="1"/>
  <c r="K90" i="3" s="1" a="1"/>
  <c r="K90" i="3" s="1"/>
  <c r="AE90" i="3" a="1"/>
  <c r="AE90" i="3" s="1"/>
  <c r="H90" i="3" s="1" a="1"/>
  <c r="H90" i="3" s="1"/>
  <c r="AI91" i="3" a="1"/>
  <c r="AI91" i="3" s="1"/>
  <c r="L91" i="3" s="1" a="1"/>
  <c r="L91" i="3" s="1"/>
  <c r="AG90" i="3" a="1"/>
  <c r="AG90" i="3" s="1"/>
  <c r="J90" i="3" s="1" a="1"/>
  <c r="J90" i="3" s="1"/>
  <c r="AE91" i="3" a="1"/>
  <c r="AE91" i="3" s="1"/>
  <c r="H91" i="3" s="1" a="1"/>
  <c r="H91" i="3" s="1"/>
  <c r="AJ92" i="3" a="1"/>
  <c r="AJ92" i="3" s="1"/>
  <c r="M92" i="3" s="1" a="1"/>
  <c r="M92" i="3" s="1"/>
  <c r="Z185" i="3" s="1"/>
  <c r="AG91" i="3" a="1"/>
  <c r="AG91" i="3" s="1"/>
  <c r="J91" i="3" s="1" a="1"/>
  <c r="J91" i="3" s="1"/>
  <c r="AD91" i="3" a="1"/>
  <c r="AD91" i="3" s="1"/>
  <c r="G91" i="3" s="1" a="1"/>
  <c r="G91" i="3" s="1"/>
  <c r="T183" i="3" s="1"/>
  <c r="AL92" i="3" a="1"/>
  <c r="AL92" i="3" s="1"/>
  <c r="O92" i="3" s="1" a="1"/>
  <c r="O92" i="3" s="1"/>
  <c r="AB185" i="3" s="1"/>
  <c r="AI90" i="3" a="1"/>
  <c r="AI90" i="3" s="1"/>
  <c r="L90" i="3" s="1" a="1"/>
  <c r="L90" i="3" s="1"/>
  <c r="AG92" i="3" a="1"/>
  <c r="AG92" i="3" s="1"/>
  <c r="J92" i="3" s="1" a="1"/>
  <c r="J92" i="3" s="1"/>
  <c r="W185" i="3" s="1"/>
  <c r="AE92" i="3" a="1"/>
  <c r="AE92" i="3" s="1"/>
  <c r="H92" i="3" s="1" a="1"/>
  <c r="H92" i="3" s="1"/>
  <c r="U185" i="3" s="1"/>
  <c r="AL91" i="3" a="1"/>
  <c r="AL91" i="3" s="1"/>
  <c r="O91" i="3" s="1" a="1"/>
  <c r="O91" i="3" s="1"/>
  <c r="AJ90" i="3" a="1"/>
  <c r="AJ90" i="3" s="1"/>
  <c r="M90" i="3" s="1" a="1"/>
  <c r="M90" i="3" s="1"/>
  <c r="AH91" i="3" a="1"/>
  <c r="AH91" i="3" s="1"/>
  <c r="K91" i="3" s="1" a="1"/>
  <c r="K91" i="3" s="1"/>
  <c r="AD92" i="3" a="1"/>
  <c r="AD92" i="3" s="1"/>
  <c r="G92" i="3" s="1" a="1"/>
  <c r="G92" i="3" s="1"/>
  <c r="T185" i="3" s="1"/>
  <c r="AK92" i="3" a="1"/>
  <c r="AK92" i="3" s="1"/>
  <c r="N92" i="3" s="1" a="1"/>
  <c r="N92" i="3" s="1"/>
  <c r="AA185" i="3" s="1"/>
  <c r="AJ91" i="3" a="1"/>
  <c r="AJ91" i="3" s="1"/>
  <c r="M91" i="3" s="1" a="1"/>
  <c r="M91" i="3" s="1"/>
  <c r="AF92" i="3" a="1"/>
  <c r="AF92" i="3" s="1"/>
  <c r="I92" i="3" s="1" a="1"/>
  <c r="I92" i="3" s="1"/>
  <c r="V185" i="3" s="1"/>
  <c r="AD90" i="3" a="1"/>
  <c r="AD90" i="3" s="1"/>
  <c r="G90" i="3" s="1" a="1"/>
  <c r="G90" i="3" s="1"/>
  <c r="T182" i="3" s="1"/>
  <c r="D90" i="3" a="1"/>
  <c r="D90" i="3" s="1"/>
  <c r="F90" i="3" a="1"/>
  <c r="F90" i="3" s="1"/>
  <c r="E92" i="3" a="1"/>
  <c r="E92" i="3" s="1"/>
  <c r="O102" i="11"/>
  <c r="D92" i="3" a="1"/>
  <c r="D92" i="3" s="1"/>
  <c r="E90" i="3" a="1"/>
  <c r="E90" i="3" s="1"/>
  <c r="E91" i="3" a="1"/>
  <c r="E91" i="3" s="1"/>
  <c r="F92" i="3" a="1"/>
  <c r="F92" i="3" s="1"/>
  <c r="D91" i="3" a="1"/>
  <c r="D91" i="3" s="1"/>
  <c r="H86" i="6"/>
  <c r="E98" i="9"/>
  <c r="G98" i="9"/>
  <c r="A99" i="9"/>
  <c r="H98" i="9"/>
  <c r="I98" i="9"/>
  <c r="J98" i="9" s="1"/>
  <c r="R98" i="9" s="1"/>
  <c r="F98" i="9"/>
  <c r="X86" i="6"/>
  <c r="Z86" i="6" s="1"/>
  <c r="U87" i="6"/>
  <c r="V87" i="6" s="1"/>
  <c r="Y87" i="6"/>
  <c r="W87" i="6"/>
  <c r="AB87" i="6"/>
  <c r="AG87" i="6"/>
  <c r="AH87" i="6"/>
  <c r="G87" i="6"/>
  <c r="E87" i="6"/>
  <c r="F87" i="6" s="1"/>
  <c r="M87" i="6"/>
  <c r="K87" i="6"/>
  <c r="AE88" i="6"/>
  <c r="D88" i="6"/>
  <c r="AF88" i="6"/>
  <c r="A89" i="6"/>
  <c r="J88" i="6"/>
  <c r="O88" i="6"/>
  <c r="B88" i="6"/>
  <c r="C88" i="6" s="1"/>
  <c r="R88" i="6"/>
  <c r="S88" i="6" s="1"/>
  <c r="T88" i="6"/>
  <c r="L86" i="6"/>
  <c r="N86" i="6"/>
  <c r="P86" i="6" s="1"/>
  <c r="R103" i="11"/>
  <c r="S103" i="11"/>
  <c r="Q103" i="11"/>
  <c r="J103" i="11"/>
  <c r="M103" i="11" s="1"/>
  <c r="K103" i="11"/>
  <c r="L103" i="11"/>
  <c r="N102" i="11"/>
  <c r="F104" i="11"/>
  <c r="A105" i="11"/>
  <c r="H104" i="11"/>
  <c r="P104" i="11"/>
  <c r="I104" i="11"/>
  <c r="E104" i="11"/>
  <c r="G103" i="11"/>
  <c r="AI25" i="1"/>
  <c r="AP25" i="1"/>
  <c r="AA25" i="1"/>
  <c r="V25" i="1"/>
  <c r="G25" i="1"/>
  <c r="Z25" i="1"/>
  <c r="AN25" i="1"/>
  <c r="L25" i="1"/>
  <c r="AD25" i="1"/>
  <c r="AG25" i="1"/>
  <c r="O25" i="1"/>
  <c r="AF25" i="1"/>
  <c r="Q25" i="1"/>
  <c r="AH25" i="1"/>
  <c r="S25" i="1"/>
  <c r="AM25" i="1"/>
  <c r="AE25" i="1"/>
  <c r="U25" i="1"/>
  <c r="AO25" i="1"/>
  <c r="W25" i="1"/>
  <c r="C25" i="1"/>
  <c r="E25" i="1" s="1"/>
  <c r="N25" i="1"/>
  <c r="P25" i="1"/>
  <c r="B25" i="1"/>
  <c r="R25" i="1"/>
  <c r="T25" i="1"/>
  <c r="F25" i="1"/>
  <c r="D25" i="1"/>
  <c r="K25" i="1"/>
  <c r="Y48" i="9"/>
  <c r="V49" i="9" s="1"/>
  <c r="Y47" i="9"/>
  <c r="Y45" i="9"/>
  <c r="Y46" i="9"/>
  <c r="Y44" i="9"/>
  <c r="O50" i="1"/>
  <c r="Q50" i="1" s="1"/>
  <c r="S50" i="1" s="1"/>
  <c r="U50" i="1" s="1"/>
  <c r="W50" i="1" s="1"/>
  <c r="AA50" i="1" s="1"/>
  <c r="R51" i="1"/>
  <c r="F52" i="1"/>
  <c r="AK52" i="1"/>
  <c r="AH52" i="1" s="1"/>
  <c r="T51" i="1"/>
  <c r="AF51" i="1"/>
  <c r="AG51" i="1" s="1"/>
  <c r="AL51" i="1" s="1"/>
  <c r="AM51" i="1" s="1"/>
  <c r="K51" i="1"/>
  <c r="Y52" i="1"/>
  <c r="M52" i="1"/>
  <c r="P52" i="1" s="1"/>
  <c r="A53" i="1"/>
  <c r="AK53" i="1" s="1"/>
  <c r="AH53" i="1" s="1"/>
  <c r="H52" i="1"/>
  <c r="AO52" i="1"/>
  <c r="L51" i="1"/>
  <c r="P51" i="1"/>
  <c r="X51" i="1"/>
  <c r="Z51" i="1" s="1"/>
  <c r="N51" i="1"/>
  <c r="G51" i="1"/>
  <c r="I52" i="1"/>
  <c r="AC52" i="1"/>
  <c r="AF52" i="1" s="1"/>
  <c r="B52" i="1"/>
  <c r="C52" i="1" s="1"/>
  <c r="E52" i="1" s="1"/>
  <c r="J52" i="1"/>
  <c r="AK25" i="1"/>
  <c r="AC25" i="1"/>
  <c r="AJ25" i="1"/>
  <c r="M25" i="1"/>
  <c r="Y25" i="1"/>
  <c r="I25" i="1"/>
  <c r="J25" i="1"/>
  <c r="AP50" i="1"/>
  <c r="Y50" i="9" s="1"/>
  <c r="V50" i="9" s="1"/>
  <c r="H25" i="1"/>
  <c r="AA38" i="1"/>
  <c r="A24" i="1"/>
  <c r="AL27" i="1"/>
  <c r="X26" i="1"/>
  <c r="AL50" i="1"/>
  <c r="AM50" i="1" s="1"/>
  <c r="AI50" i="1"/>
  <c r="AA40" i="1"/>
  <c r="AA39" i="1"/>
  <c r="P99" i="9"/>
  <c r="AA99" i="9"/>
  <c r="Q99" i="9"/>
  <c r="O99" i="9"/>
  <c r="AC99" i="9"/>
  <c r="AB99" i="9"/>
  <c r="N99" i="9"/>
  <c r="U99" i="9" l="1"/>
  <c r="T50" i="9"/>
  <c r="S52" i="9" s="1"/>
  <c r="T102" i="11"/>
  <c r="U102" i="11" s="1"/>
  <c r="X87" i="6"/>
  <c r="Z87" i="6" s="1"/>
  <c r="H87" i="6"/>
  <c r="AC86" i="6"/>
  <c r="AI86" i="6" s="1"/>
  <c r="AJ86" i="6" s="1"/>
  <c r="Z86" i="9" s="1"/>
  <c r="F99" i="9"/>
  <c r="G99" i="9"/>
  <c r="H99" i="9"/>
  <c r="I99" i="9"/>
  <c r="J99" i="9" s="1"/>
  <c r="R99" i="9" s="1"/>
  <c r="A100" i="9"/>
  <c r="E99" i="9"/>
  <c r="G88" i="6"/>
  <c r="E88" i="6"/>
  <c r="F88" i="6" s="1"/>
  <c r="U88" i="6"/>
  <c r="V88" i="6" s="1"/>
  <c r="Y88" i="6"/>
  <c r="W88" i="6"/>
  <c r="AB88" i="6"/>
  <c r="L87" i="6"/>
  <c r="N87" i="6"/>
  <c r="P87" i="6" s="1"/>
  <c r="M88" i="6"/>
  <c r="K88" i="6"/>
  <c r="G104" i="11"/>
  <c r="AE89" i="6"/>
  <c r="D89" i="6"/>
  <c r="AF89" i="6"/>
  <c r="O89" i="6"/>
  <c r="B89" i="6"/>
  <c r="C89" i="6" s="1"/>
  <c r="R89" i="6"/>
  <c r="S89" i="6" s="1"/>
  <c r="T89" i="6"/>
  <c r="A90" i="6"/>
  <c r="J89" i="6"/>
  <c r="AG88" i="6"/>
  <c r="AH88" i="6"/>
  <c r="O103" i="11"/>
  <c r="N103" i="11"/>
  <c r="J104" i="11"/>
  <c r="M104" i="11" s="1"/>
  <c r="L104" i="11"/>
  <c r="K104" i="11"/>
  <c r="Q104" i="11"/>
  <c r="R104" i="11"/>
  <c r="S104" i="11"/>
  <c r="F105" i="11"/>
  <c r="A106" i="11"/>
  <c r="H105" i="11"/>
  <c r="P105" i="11"/>
  <c r="E105" i="11"/>
  <c r="I105" i="11"/>
  <c r="AG24" i="1"/>
  <c r="AN24" i="1"/>
  <c r="AP24" i="1"/>
  <c r="W24" i="1"/>
  <c r="C24" i="1"/>
  <c r="E24" i="1" s="1"/>
  <c r="T24" i="1"/>
  <c r="AA24" i="1"/>
  <c r="AI24" i="1"/>
  <c r="G24" i="1"/>
  <c r="Z24" i="1"/>
  <c r="L24" i="1"/>
  <c r="AD24" i="1"/>
  <c r="O24" i="1"/>
  <c r="AF24" i="1"/>
  <c r="Q24" i="1"/>
  <c r="S24" i="1"/>
  <c r="AM24" i="1"/>
  <c r="AE24" i="1"/>
  <c r="U24" i="1"/>
  <c r="AO24" i="1"/>
  <c r="K24" i="1"/>
  <c r="B24" i="1"/>
  <c r="AH24" i="1"/>
  <c r="N24" i="1"/>
  <c r="P24" i="1"/>
  <c r="V24" i="1"/>
  <c r="R24" i="1"/>
  <c r="F24" i="1"/>
  <c r="D24" i="1"/>
  <c r="G52" i="1"/>
  <c r="H53" i="1"/>
  <c r="AD52" i="1"/>
  <c r="AE52" i="1" s="1"/>
  <c r="AG52" i="1" s="1"/>
  <c r="AL52" i="1" s="1"/>
  <c r="AM52" i="1" s="1"/>
  <c r="F53" i="1"/>
  <c r="J53" i="1"/>
  <c r="Y53" i="1"/>
  <c r="AJ53" i="1"/>
  <c r="AO53" i="1"/>
  <c r="K52" i="1"/>
  <c r="A54" i="1"/>
  <c r="AK54" i="1" s="1"/>
  <c r="AH54" i="1" s="1"/>
  <c r="B53" i="1"/>
  <c r="C53" i="1" s="1"/>
  <c r="E53" i="1" s="1"/>
  <c r="I53" i="1"/>
  <c r="M53" i="1"/>
  <c r="P53" i="1" s="1"/>
  <c r="AC53" i="1"/>
  <c r="AD53" i="1" s="1"/>
  <c r="AE53" i="1" s="1"/>
  <c r="R52" i="1"/>
  <c r="X52" i="1"/>
  <c r="Z52" i="1" s="1"/>
  <c r="T52" i="1"/>
  <c r="V52" i="1"/>
  <c r="N52" i="1"/>
  <c r="L52" i="1"/>
  <c r="O51" i="1"/>
  <c r="Q51" i="1" s="1"/>
  <c r="S51" i="1" s="1"/>
  <c r="U51" i="1" s="1"/>
  <c r="W51" i="1" s="1"/>
  <c r="AA51" i="1" s="1"/>
  <c r="AN51" i="1" s="1"/>
  <c r="AN50" i="1"/>
  <c r="AP51" i="1" s="1"/>
  <c r="Y51" i="9" s="1"/>
  <c r="V51" i="9" s="1"/>
  <c r="T51" i="9" s="1"/>
  <c r="S53" i="9" s="1"/>
  <c r="AK24" i="1"/>
  <c r="AC24" i="1"/>
  <c r="AJ24" i="1"/>
  <c r="M24" i="1"/>
  <c r="Y24" i="1"/>
  <c r="I24" i="1"/>
  <c r="J24" i="1"/>
  <c r="H24" i="1"/>
  <c r="AN39" i="1"/>
  <c r="AI51" i="1"/>
  <c r="AL28" i="1"/>
  <c r="A23" i="1"/>
  <c r="X25" i="1"/>
  <c r="AN40" i="1"/>
  <c r="AN41" i="1"/>
  <c r="P100" i="9"/>
  <c r="AA100" i="9"/>
  <c r="N100" i="9"/>
  <c r="Q100" i="9"/>
  <c r="AC100" i="9"/>
  <c r="O100" i="9"/>
  <c r="AB100" i="9"/>
  <c r="U100" i="9" l="1"/>
  <c r="W55" i="9"/>
  <c r="H88" i="6"/>
  <c r="AC87" i="6"/>
  <c r="AI87" i="6" s="1"/>
  <c r="AJ87" i="6" s="1"/>
  <c r="Z87" i="9" s="1"/>
  <c r="X88" i="6"/>
  <c r="Z88" i="6" s="1"/>
  <c r="O104" i="11"/>
  <c r="G100" i="9"/>
  <c r="I100" i="9"/>
  <c r="J100" i="9" s="1"/>
  <c r="R100" i="9" s="1"/>
  <c r="A101" i="9"/>
  <c r="F100" i="9"/>
  <c r="H100" i="9"/>
  <c r="E100" i="9"/>
  <c r="N104" i="11"/>
  <c r="M89" i="6"/>
  <c r="K89" i="6"/>
  <c r="AE90" i="6"/>
  <c r="D90" i="6"/>
  <c r="AF90" i="6"/>
  <c r="A91" i="6"/>
  <c r="J90" i="6"/>
  <c r="O90" i="6"/>
  <c r="B90" i="6"/>
  <c r="C90" i="6" s="1"/>
  <c r="R90" i="6"/>
  <c r="S90" i="6" s="1"/>
  <c r="T90" i="6"/>
  <c r="U89" i="6"/>
  <c r="V89" i="6" s="1"/>
  <c r="Y89" i="6"/>
  <c r="W89" i="6"/>
  <c r="AB89" i="6"/>
  <c r="L88" i="6"/>
  <c r="N88" i="6"/>
  <c r="P88" i="6" s="1"/>
  <c r="T103" i="11"/>
  <c r="U103" i="11" s="1"/>
  <c r="AG89" i="6"/>
  <c r="AH89" i="6"/>
  <c r="G89" i="6"/>
  <c r="E89" i="6"/>
  <c r="F89" i="6" s="1"/>
  <c r="L105" i="11"/>
  <c r="J105" i="11"/>
  <c r="M105" i="11" s="1"/>
  <c r="K105" i="11"/>
  <c r="R105" i="11"/>
  <c r="Q105" i="11"/>
  <c r="S105" i="11"/>
  <c r="E106" i="11"/>
  <c r="F106" i="11"/>
  <c r="A107" i="11"/>
  <c r="H106" i="11"/>
  <c r="P106" i="11"/>
  <c r="I106" i="11"/>
  <c r="G105" i="11"/>
  <c r="AP23" i="1"/>
  <c r="AE23" i="1"/>
  <c r="AI23" i="1"/>
  <c r="AN23" i="1"/>
  <c r="U23" i="1"/>
  <c r="AO23" i="1"/>
  <c r="W23" i="1"/>
  <c r="C23" i="1"/>
  <c r="E23" i="1" s="1"/>
  <c r="AA23" i="1"/>
  <c r="V23" i="1"/>
  <c r="G23" i="1"/>
  <c r="Z23" i="1"/>
  <c r="AG23" i="1"/>
  <c r="L23" i="1"/>
  <c r="AD23" i="1"/>
  <c r="O23" i="1"/>
  <c r="Q23" i="1"/>
  <c r="AH23" i="1"/>
  <c r="S23" i="1"/>
  <c r="AM23" i="1"/>
  <c r="D23" i="1"/>
  <c r="B23" i="1"/>
  <c r="K23" i="1"/>
  <c r="N23" i="1"/>
  <c r="P23" i="1"/>
  <c r="T23" i="1"/>
  <c r="R23" i="1"/>
  <c r="AF23" i="1"/>
  <c r="F23" i="1"/>
  <c r="O52" i="1"/>
  <c r="Q52" i="1" s="1"/>
  <c r="S52" i="1" s="1"/>
  <c r="U52" i="1" s="1"/>
  <c r="W52" i="1" s="1"/>
  <c r="AA52" i="1" s="1"/>
  <c r="AN52" i="1" s="1"/>
  <c r="AP53" i="1" s="1"/>
  <c r="Y53" i="9" s="1"/>
  <c r="X53" i="1"/>
  <c r="Z53" i="1" s="1"/>
  <c r="AF53" i="1"/>
  <c r="AG53" i="1" s="1"/>
  <c r="AL53" i="1" s="1"/>
  <c r="AM53" i="1" s="1"/>
  <c r="L53" i="1"/>
  <c r="G53" i="1"/>
  <c r="T53" i="1"/>
  <c r="R53" i="1"/>
  <c r="K53" i="1"/>
  <c r="V53" i="1"/>
  <c r="B54" i="1"/>
  <c r="C54" i="1" s="1"/>
  <c r="E54" i="1" s="1"/>
  <c r="H54" i="1"/>
  <c r="J54" i="1"/>
  <c r="Y54" i="1"/>
  <c r="AJ54" i="1"/>
  <c r="AO54" i="1"/>
  <c r="A55" i="1"/>
  <c r="Y55" i="1" s="1"/>
  <c r="N53" i="1"/>
  <c r="F54" i="1"/>
  <c r="I54" i="1"/>
  <c r="M54" i="1"/>
  <c r="R54" i="1" s="1"/>
  <c r="AC54" i="1"/>
  <c r="AF54" i="1" s="1"/>
  <c r="AP52" i="1"/>
  <c r="Y52" i="9" s="1"/>
  <c r="V52" i="9" s="1"/>
  <c r="T52" i="9" s="1"/>
  <c r="S54" i="9" s="1"/>
  <c r="W56" i="9" s="1"/>
  <c r="AK23" i="1"/>
  <c r="AC23" i="1"/>
  <c r="AJ23" i="1"/>
  <c r="M23" i="1"/>
  <c r="Y23" i="1"/>
  <c r="I23" i="1"/>
  <c r="J23" i="1"/>
  <c r="H23" i="1"/>
  <c r="AP41" i="1"/>
  <c r="X24" i="1"/>
  <c r="AI52" i="1"/>
  <c r="A22" i="1"/>
  <c r="AP42" i="1"/>
  <c r="AP43" i="1"/>
  <c r="AA101" i="9"/>
  <c r="AC101" i="9"/>
  <c r="O101" i="9"/>
  <c r="N101" i="9"/>
  <c r="AB101" i="9"/>
  <c r="P101" i="9"/>
  <c r="Q101" i="9"/>
  <c r="U101" i="9" l="1"/>
  <c r="V53" i="9"/>
  <c r="T53" i="9" s="1"/>
  <c r="S55" i="9" s="1"/>
  <c r="W57" i="9" s="1"/>
  <c r="AC88" i="6"/>
  <c r="AI88" i="6" s="1"/>
  <c r="AJ88" i="6" s="1"/>
  <c r="Z88" i="9" s="1"/>
  <c r="T104" i="11"/>
  <c r="U104" i="11" s="1"/>
  <c r="H89" i="6"/>
  <c r="X89" i="6"/>
  <c r="Z89" i="6" s="1"/>
  <c r="H101" i="9"/>
  <c r="E101" i="9"/>
  <c r="A102" i="9"/>
  <c r="F101" i="9"/>
  <c r="G101" i="9"/>
  <c r="I101" i="9"/>
  <c r="J101" i="9" s="1"/>
  <c r="R101" i="9" s="1"/>
  <c r="N105" i="11"/>
  <c r="M90" i="6"/>
  <c r="K90" i="6"/>
  <c r="AE91" i="6"/>
  <c r="D91" i="6"/>
  <c r="AF91" i="6"/>
  <c r="O91" i="6"/>
  <c r="B91" i="6"/>
  <c r="C91" i="6" s="1"/>
  <c r="R91" i="6"/>
  <c r="S91" i="6" s="1"/>
  <c r="T91" i="6"/>
  <c r="A92" i="6"/>
  <c r="J91" i="6"/>
  <c r="AG90" i="6"/>
  <c r="AH90" i="6"/>
  <c r="G90" i="6"/>
  <c r="E90" i="6"/>
  <c r="F90" i="6" s="1"/>
  <c r="U90" i="6"/>
  <c r="V90" i="6" s="1"/>
  <c r="Y90" i="6"/>
  <c r="W90" i="6"/>
  <c r="AB90" i="6"/>
  <c r="L89" i="6"/>
  <c r="N89" i="6"/>
  <c r="P89" i="6" s="1"/>
  <c r="J106" i="11"/>
  <c r="M106" i="11" s="1"/>
  <c r="L106" i="11"/>
  <c r="K106" i="11"/>
  <c r="R106" i="11"/>
  <c r="S106" i="11"/>
  <c r="Q106" i="11"/>
  <c r="H107" i="11"/>
  <c r="P107" i="11"/>
  <c r="F107" i="11"/>
  <c r="A108" i="11"/>
  <c r="E107" i="11"/>
  <c r="I107" i="11"/>
  <c r="G106" i="11"/>
  <c r="O105" i="11"/>
  <c r="AN22" i="1"/>
  <c r="AP22" i="1"/>
  <c r="AG22" i="1"/>
  <c r="AI22" i="1"/>
  <c r="AE22" i="1"/>
  <c r="S22" i="1"/>
  <c r="AM22" i="1"/>
  <c r="U22" i="1"/>
  <c r="AO22" i="1"/>
  <c r="W22" i="1"/>
  <c r="C22" i="1"/>
  <c r="E22" i="1" s="1"/>
  <c r="AA22" i="1"/>
  <c r="V22" i="1"/>
  <c r="G22" i="1"/>
  <c r="Z22" i="1"/>
  <c r="L22" i="1"/>
  <c r="O22" i="1"/>
  <c r="AF22" i="1"/>
  <c r="Q22" i="1"/>
  <c r="AH22" i="1"/>
  <c r="F22" i="1"/>
  <c r="D22" i="1"/>
  <c r="AD22" i="1"/>
  <c r="K22" i="1"/>
  <c r="N22" i="1"/>
  <c r="P22" i="1"/>
  <c r="T22" i="1"/>
  <c r="R22" i="1"/>
  <c r="B22" i="1"/>
  <c r="Y42" i="9"/>
  <c r="Y43" i="9"/>
  <c r="Y41" i="9"/>
  <c r="M55" i="1"/>
  <c r="X55" i="1" s="1"/>
  <c r="Z55" i="1" s="1"/>
  <c r="O53" i="1"/>
  <c r="Q53" i="1" s="1"/>
  <c r="S53" i="1" s="1"/>
  <c r="U53" i="1" s="1"/>
  <c r="W53" i="1" s="1"/>
  <c r="AA53" i="1" s="1"/>
  <c r="AN53" i="1" s="1"/>
  <c r="AP54" i="1" s="1"/>
  <c r="Y54" i="9" s="1"/>
  <c r="V54" i="9" s="1"/>
  <c r="T54" i="9" s="1"/>
  <c r="S56" i="9" s="1"/>
  <c r="W58" i="9" s="1"/>
  <c r="AD54" i="1"/>
  <c r="AE54" i="1" s="1"/>
  <c r="AG54" i="1" s="1"/>
  <c r="AL54" i="1" s="1"/>
  <c r="AM54" i="1" s="1"/>
  <c r="K54" i="1"/>
  <c r="P54" i="1"/>
  <c r="L54" i="1"/>
  <c r="I55" i="1"/>
  <c r="X54" i="1"/>
  <c r="Z54" i="1" s="1"/>
  <c r="F55" i="1"/>
  <c r="G54" i="1"/>
  <c r="V54" i="1"/>
  <c r="AC55" i="1"/>
  <c r="AD55" i="1" s="1"/>
  <c r="AE55" i="1" s="1"/>
  <c r="AK55" i="1"/>
  <c r="AH55" i="1" s="1"/>
  <c r="N54" i="1"/>
  <c r="AJ55" i="1"/>
  <c r="AO55" i="1"/>
  <c r="A56" i="1"/>
  <c r="AK56" i="1" s="1"/>
  <c r="AH56" i="1" s="1"/>
  <c r="T54" i="1"/>
  <c r="B55" i="1"/>
  <c r="C55" i="1" s="1"/>
  <c r="E55" i="1" s="1"/>
  <c r="H55" i="1"/>
  <c r="J55" i="1"/>
  <c r="AK22" i="1"/>
  <c r="AC22" i="1"/>
  <c r="AJ22" i="1"/>
  <c r="M22" i="1"/>
  <c r="Y22" i="1"/>
  <c r="I22" i="1"/>
  <c r="J22" i="1"/>
  <c r="H22" i="1"/>
  <c r="AL25" i="1"/>
  <c r="AL24" i="1"/>
  <c r="AI53" i="1"/>
  <c r="A21" i="1"/>
  <c r="X23" i="1"/>
  <c r="AL26" i="1"/>
  <c r="AA102" i="9"/>
  <c r="AB102" i="9"/>
  <c r="P102" i="9"/>
  <c r="N102" i="9"/>
  <c r="O102" i="9"/>
  <c r="AC102" i="9"/>
  <c r="Q102" i="9"/>
  <c r="U102" i="9" l="1"/>
  <c r="T105" i="11"/>
  <c r="U105" i="11" s="1"/>
  <c r="X90" i="6"/>
  <c r="Z90" i="6" s="1"/>
  <c r="I102" i="9"/>
  <c r="J102" i="9" s="1"/>
  <c r="R102" i="9" s="1"/>
  <c r="A103" i="9"/>
  <c r="E102" i="9"/>
  <c r="F102" i="9"/>
  <c r="G102" i="9"/>
  <c r="H102" i="9"/>
  <c r="AC89" i="6"/>
  <c r="AI89" i="6" s="1"/>
  <c r="AJ89" i="6" s="1"/>
  <c r="Z89" i="9" s="1"/>
  <c r="H90" i="6"/>
  <c r="AG91" i="6"/>
  <c r="AH91" i="6"/>
  <c r="G91" i="6"/>
  <c r="E91" i="6"/>
  <c r="F91" i="6" s="1"/>
  <c r="M91" i="6"/>
  <c r="K91" i="6"/>
  <c r="AE92" i="6"/>
  <c r="D92" i="6"/>
  <c r="AF92" i="6"/>
  <c r="A93" i="6"/>
  <c r="J92" i="6"/>
  <c r="O92" i="6"/>
  <c r="B92" i="6"/>
  <c r="C92" i="6" s="1"/>
  <c r="R92" i="6"/>
  <c r="S92" i="6" s="1"/>
  <c r="T92" i="6"/>
  <c r="U91" i="6"/>
  <c r="V91" i="6" s="1"/>
  <c r="Y91" i="6"/>
  <c r="W91" i="6"/>
  <c r="AB91" i="6"/>
  <c r="L90" i="6"/>
  <c r="N90" i="6"/>
  <c r="P90" i="6" s="1"/>
  <c r="J107" i="11"/>
  <c r="M107" i="11" s="1"/>
  <c r="K107" i="11"/>
  <c r="L107" i="11"/>
  <c r="F108" i="11"/>
  <c r="A109" i="11"/>
  <c r="H108" i="11"/>
  <c r="P108" i="11"/>
  <c r="I108" i="11"/>
  <c r="E108" i="11"/>
  <c r="N106" i="11"/>
  <c r="G107" i="11"/>
  <c r="O106" i="11"/>
  <c r="R107" i="11"/>
  <c r="S107" i="11"/>
  <c r="Q107" i="11"/>
  <c r="AI21" i="1"/>
  <c r="AN21" i="1"/>
  <c r="AP21" i="1"/>
  <c r="AE21" i="1"/>
  <c r="AG21" i="1"/>
  <c r="Q21" i="1"/>
  <c r="AH21" i="1"/>
  <c r="S21" i="1"/>
  <c r="AM21" i="1"/>
  <c r="U21" i="1"/>
  <c r="AO21" i="1"/>
  <c r="W21" i="1"/>
  <c r="C21" i="1"/>
  <c r="E21" i="1" s="1"/>
  <c r="T21" i="1"/>
  <c r="AA21" i="1"/>
  <c r="V21" i="1"/>
  <c r="G21" i="1"/>
  <c r="L21" i="1"/>
  <c r="AD21" i="1"/>
  <c r="O21" i="1"/>
  <c r="AF21" i="1"/>
  <c r="F21" i="1"/>
  <c r="D21" i="1"/>
  <c r="K21" i="1"/>
  <c r="N21" i="1"/>
  <c r="Z21" i="1"/>
  <c r="P21" i="1"/>
  <c r="B21" i="1"/>
  <c r="R21" i="1"/>
  <c r="V55" i="1"/>
  <c r="R55" i="1"/>
  <c r="T55" i="1"/>
  <c r="P55" i="1"/>
  <c r="N55" i="1"/>
  <c r="G55" i="1"/>
  <c r="Y56" i="1"/>
  <c r="H56" i="1"/>
  <c r="AJ56" i="1"/>
  <c r="O54" i="1"/>
  <c r="Q54" i="1" s="1"/>
  <c r="S54" i="1" s="1"/>
  <c r="U54" i="1" s="1"/>
  <c r="W54" i="1" s="1"/>
  <c r="AA54" i="1" s="1"/>
  <c r="AN54" i="1" s="1"/>
  <c r="AP55" i="1" s="1"/>
  <c r="Y55" i="9" s="1"/>
  <c r="V55" i="9" s="1"/>
  <c r="T55" i="9" s="1"/>
  <c r="S57" i="9" s="1"/>
  <c r="W59" i="9" s="1"/>
  <c r="K55" i="1"/>
  <c r="F56" i="1"/>
  <c r="M56" i="1"/>
  <c r="X56" i="1" s="1"/>
  <c r="AC56" i="1"/>
  <c r="AF56" i="1" s="1"/>
  <c r="L55" i="1"/>
  <c r="J56" i="1"/>
  <c r="AO56" i="1"/>
  <c r="A57" i="1"/>
  <c r="AK57" i="1" s="1"/>
  <c r="AH57" i="1" s="1"/>
  <c r="B56" i="1"/>
  <c r="C56" i="1" s="1"/>
  <c r="E56" i="1" s="1"/>
  <c r="I56" i="1"/>
  <c r="AF55" i="1"/>
  <c r="AG55" i="1" s="1"/>
  <c r="AK21" i="1"/>
  <c r="AC21" i="1"/>
  <c r="AJ21" i="1"/>
  <c r="M21" i="1"/>
  <c r="Y21" i="1"/>
  <c r="I21" i="1"/>
  <c r="J21" i="1"/>
  <c r="H21" i="1"/>
  <c r="A20" i="1"/>
  <c r="AL23" i="1"/>
  <c r="AI54" i="1"/>
  <c r="X22" i="1"/>
  <c r="AN38" i="1"/>
  <c r="O103" i="9"/>
  <c r="AB103" i="9"/>
  <c r="P103" i="9"/>
  <c r="AA103" i="9"/>
  <c r="AC103" i="9"/>
  <c r="Q103" i="9"/>
  <c r="N103" i="9"/>
  <c r="U103" i="9" l="1"/>
  <c r="AC90" i="6"/>
  <c r="AI90" i="6" s="1"/>
  <c r="AJ90" i="6" s="1"/>
  <c r="Z90" i="9" s="1"/>
  <c r="X91" i="6"/>
  <c r="Z91" i="6" s="1"/>
  <c r="H91" i="6"/>
  <c r="G108" i="11"/>
  <c r="E103" i="9"/>
  <c r="G103" i="9"/>
  <c r="H103" i="9"/>
  <c r="F103" i="9"/>
  <c r="I103" i="9"/>
  <c r="J103" i="9" s="1"/>
  <c r="R103" i="9" s="1"/>
  <c r="A104" i="9"/>
  <c r="N107" i="11"/>
  <c r="M92" i="6"/>
  <c r="K92" i="6"/>
  <c r="AE93" i="6"/>
  <c r="D93" i="6"/>
  <c r="AF93" i="6"/>
  <c r="O93" i="6"/>
  <c r="B93" i="6"/>
  <c r="C93" i="6" s="1"/>
  <c r="R93" i="6"/>
  <c r="S93" i="6" s="1"/>
  <c r="T93" i="6"/>
  <c r="A94" i="6"/>
  <c r="J93" i="6"/>
  <c r="AG92" i="6"/>
  <c r="AH92" i="6"/>
  <c r="G92" i="6"/>
  <c r="E92" i="6"/>
  <c r="F92" i="6" s="1"/>
  <c r="U92" i="6"/>
  <c r="V92" i="6" s="1"/>
  <c r="Y92" i="6"/>
  <c r="W92" i="6"/>
  <c r="AB92" i="6"/>
  <c r="L91" i="6"/>
  <c r="N91" i="6"/>
  <c r="P91" i="6" s="1"/>
  <c r="J108" i="11"/>
  <c r="M108" i="11" s="1"/>
  <c r="L108" i="11"/>
  <c r="K108" i="11"/>
  <c r="Q108" i="11"/>
  <c r="R108" i="11"/>
  <c r="S108" i="11"/>
  <c r="F109" i="11"/>
  <c r="A110" i="11"/>
  <c r="H109" i="11"/>
  <c r="P109" i="11"/>
  <c r="I109" i="11"/>
  <c r="E109" i="11"/>
  <c r="O107" i="11"/>
  <c r="T106" i="11"/>
  <c r="U106" i="11" s="1"/>
  <c r="AG20" i="1"/>
  <c r="AI20" i="1"/>
  <c r="AN20" i="1"/>
  <c r="O20" i="1"/>
  <c r="AF20" i="1"/>
  <c r="AE20" i="1"/>
  <c r="Q20" i="1"/>
  <c r="AH20" i="1"/>
  <c r="S20" i="1"/>
  <c r="AM20" i="1"/>
  <c r="AP20" i="1"/>
  <c r="U20" i="1"/>
  <c r="AO20" i="1"/>
  <c r="W20" i="1"/>
  <c r="C20" i="1"/>
  <c r="E20" i="1" s="1"/>
  <c r="T20" i="1"/>
  <c r="AA20" i="1"/>
  <c r="G20" i="1"/>
  <c r="Z20" i="1"/>
  <c r="L20" i="1"/>
  <c r="AD20" i="1"/>
  <c r="R20" i="1"/>
  <c r="F20" i="1"/>
  <c r="D20" i="1"/>
  <c r="K20" i="1"/>
  <c r="V20" i="1"/>
  <c r="B20" i="1"/>
  <c r="N20" i="1"/>
  <c r="P20" i="1"/>
  <c r="I57" i="1"/>
  <c r="O55" i="1"/>
  <c r="Q55" i="1" s="1"/>
  <c r="S55" i="1" s="1"/>
  <c r="U55" i="1" s="1"/>
  <c r="W55" i="1" s="1"/>
  <c r="AA55" i="1" s="1"/>
  <c r="L56" i="1"/>
  <c r="Z56" i="1"/>
  <c r="G56" i="1"/>
  <c r="K56" i="1"/>
  <c r="AD56" i="1"/>
  <c r="AE56" i="1" s="1"/>
  <c r="AG56" i="1" s="1"/>
  <c r="AL56" i="1" s="1"/>
  <c r="AM56" i="1" s="1"/>
  <c r="M57" i="1"/>
  <c r="T57" i="1" s="1"/>
  <c r="AO57" i="1"/>
  <c r="B57" i="1"/>
  <c r="C57" i="1" s="1"/>
  <c r="E57" i="1" s="1"/>
  <c r="H57" i="1"/>
  <c r="A58" i="1"/>
  <c r="AO58" i="1" s="1"/>
  <c r="F57" i="1"/>
  <c r="J57" i="1"/>
  <c r="Y57" i="1"/>
  <c r="AJ57" i="1"/>
  <c r="AC57" i="1"/>
  <c r="AF57" i="1" s="1"/>
  <c r="R56" i="1"/>
  <c r="N56" i="1"/>
  <c r="P56" i="1"/>
  <c r="V56" i="1"/>
  <c r="T56" i="1"/>
  <c r="AK20" i="1"/>
  <c r="AC20" i="1"/>
  <c r="AJ20" i="1"/>
  <c r="M20" i="1"/>
  <c r="Y20" i="1"/>
  <c r="I20" i="1"/>
  <c r="J20" i="1"/>
  <c r="H20" i="1"/>
  <c r="AP38" i="1"/>
  <c r="A19" i="1"/>
  <c r="X21" i="1"/>
  <c r="AL55" i="1"/>
  <c r="AM55" i="1" s="1"/>
  <c r="AP39" i="1"/>
  <c r="AP40" i="1"/>
  <c r="AA104" i="9"/>
  <c r="Q104" i="9"/>
  <c r="N104" i="9"/>
  <c r="AB104" i="9"/>
  <c r="O104" i="9"/>
  <c r="P104" i="9"/>
  <c r="AC104" i="9"/>
  <c r="U104" i="9" l="1"/>
  <c r="O108" i="11"/>
  <c r="X92" i="6"/>
  <c r="Z92" i="6" s="1"/>
  <c r="H92" i="6"/>
  <c r="T107" i="11"/>
  <c r="U107" i="11" s="1"/>
  <c r="A105" i="9"/>
  <c r="E104" i="9"/>
  <c r="H104" i="9"/>
  <c r="I104" i="9"/>
  <c r="J104" i="9" s="1"/>
  <c r="R104" i="9" s="1"/>
  <c r="F104" i="9"/>
  <c r="G104" i="9"/>
  <c r="AC91" i="6"/>
  <c r="AI91" i="6" s="1"/>
  <c r="AJ91" i="6" s="1"/>
  <c r="Z91" i="9" s="1"/>
  <c r="AG93" i="6"/>
  <c r="AH93" i="6"/>
  <c r="G93" i="6"/>
  <c r="E93" i="6"/>
  <c r="F93" i="6" s="1"/>
  <c r="M93" i="6"/>
  <c r="K93" i="6"/>
  <c r="AE94" i="6"/>
  <c r="D94" i="6"/>
  <c r="AF94" i="6"/>
  <c r="A95" i="6"/>
  <c r="J94" i="6"/>
  <c r="O94" i="6"/>
  <c r="B94" i="6"/>
  <c r="C94" i="6" s="1"/>
  <c r="R94" i="6"/>
  <c r="S94" i="6" s="1"/>
  <c r="T94" i="6"/>
  <c r="L92" i="6"/>
  <c r="N92" i="6"/>
  <c r="P92" i="6" s="1"/>
  <c r="U93" i="6"/>
  <c r="V93" i="6" s="1"/>
  <c r="Y93" i="6"/>
  <c r="W93" i="6"/>
  <c r="AB93" i="6"/>
  <c r="G109" i="11"/>
  <c r="E110" i="11"/>
  <c r="F110" i="11"/>
  <c r="H110" i="11"/>
  <c r="P110" i="11"/>
  <c r="I110" i="11"/>
  <c r="L109" i="11"/>
  <c r="J109" i="11"/>
  <c r="M109" i="11" s="1"/>
  <c r="K109" i="11"/>
  <c r="N108" i="11"/>
  <c r="T108" i="11" s="1"/>
  <c r="R109" i="11"/>
  <c r="Q109" i="11"/>
  <c r="S109" i="11"/>
  <c r="AE19" i="1"/>
  <c r="AG19" i="1"/>
  <c r="AI19" i="1"/>
  <c r="AP19" i="1"/>
  <c r="L19" i="1"/>
  <c r="AD19" i="1"/>
  <c r="O19" i="1"/>
  <c r="AF19" i="1"/>
  <c r="Q19" i="1"/>
  <c r="AH19" i="1"/>
  <c r="AN19" i="1"/>
  <c r="S19" i="1"/>
  <c r="AM19" i="1"/>
  <c r="U19" i="1"/>
  <c r="AO19" i="1"/>
  <c r="W19" i="1"/>
  <c r="C19" i="1"/>
  <c r="E19" i="1" s="1"/>
  <c r="AA19" i="1"/>
  <c r="V19" i="1"/>
  <c r="G19" i="1"/>
  <c r="Z19" i="1"/>
  <c r="P19" i="1"/>
  <c r="R19" i="1"/>
  <c r="F19" i="1"/>
  <c r="D19" i="1"/>
  <c r="B19" i="1"/>
  <c r="K19" i="1"/>
  <c r="T19" i="1"/>
  <c r="N19" i="1"/>
  <c r="Y40" i="9"/>
  <c r="Y38" i="9"/>
  <c r="Y39" i="9"/>
  <c r="O56" i="1"/>
  <c r="Q56" i="1" s="1"/>
  <c r="S56" i="1" s="1"/>
  <c r="U56" i="1" s="1"/>
  <c r="W56" i="1" s="1"/>
  <c r="AA56" i="1" s="1"/>
  <c r="AN56" i="1" s="1"/>
  <c r="AK58" i="1"/>
  <c r="AH58" i="1" s="1"/>
  <c r="P57" i="1"/>
  <c r="V57" i="1"/>
  <c r="B58" i="1"/>
  <c r="C58" i="1" s="1"/>
  <c r="E58" i="1" s="1"/>
  <c r="X57" i="1"/>
  <c r="Z57" i="1" s="1"/>
  <c r="M58" i="1"/>
  <c r="P58" i="1" s="1"/>
  <c r="AN55" i="1"/>
  <c r="AP56" i="1" s="1"/>
  <c r="Y56" i="9" s="1"/>
  <c r="V56" i="9" s="1"/>
  <c r="T56" i="9" s="1"/>
  <c r="S58" i="9" s="1"/>
  <c r="W60" i="9" s="1"/>
  <c r="N57" i="1"/>
  <c r="R57" i="1"/>
  <c r="L57" i="1"/>
  <c r="G57" i="1"/>
  <c r="K57" i="1"/>
  <c r="AD57" i="1"/>
  <c r="AE57" i="1" s="1"/>
  <c r="AG57" i="1" s="1"/>
  <c r="H58" i="1"/>
  <c r="J58" i="1"/>
  <c r="F58" i="1"/>
  <c r="I58" i="1"/>
  <c r="AC58" i="1"/>
  <c r="AD58" i="1" s="1"/>
  <c r="AE58" i="1" s="1"/>
  <c r="A59" i="1"/>
  <c r="AJ59" i="1" s="1"/>
  <c r="AJ58" i="1"/>
  <c r="Y58" i="1"/>
  <c r="AK19" i="1"/>
  <c r="AC19" i="1"/>
  <c r="AJ19" i="1"/>
  <c r="M19" i="1"/>
  <c r="Y19" i="1"/>
  <c r="I19" i="1"/>
  <c r="J19" i="1"/>
  <c r="H19" i="1"/>
  <c r="AI55" i="1"/>
  <c r="AI56" i="1"/>
  <c r="X20" i="1"/>
  <c r="A18" i="1"/>
  <c r="AL21" i="1"/>
  <c r="O105" i="9"/>
  <c r="AC105" i="9"/>
  <c r="AA105" i="9"/>
  <c r="N105" i="9"/>
  <c r="P105" i="9"/>
  <c r="AB105" i="9"/>
  <c r="Q105" i="9"/>
  <c r="U105" i="9" l="1"/>
  <c r="U108" i="11"/>
  <c r="AC92" i="6"/>
  <c r="AI92" i="6" s="1"/>
  <c r="AJ92" i="6" s="1"/>
  <c r="Z92" i="9" s="1"/>
  <c r="G110" i="11"/>
  <c r="H93" i="6"/>
  <c r="E105" i="9"/>
  <c r="F105" i="9"/>
  <c r="G105" i="9"/>
  <c r="H105" i="9"/>
  <c r="I105" i="9"/>
  <c r="J105" i="9" s="1"/>
  <c r="R105" i="9" s="1"/>
  <c r="A106" i="9"/>
  <c r="M94" i="6"/>
  <c r="K94" i="6"/>
  <c r="AE95" i="6"/>
  <c r="D95" i="6"/>
  <c r="AF95" i="6"/>
  <c r="O95" i="6"/>
  <c r="B95" i="6"/>
  <c r="C95" i="6" s="1"/>
  <c r="R95" i="6"/>
  <c r="S95" i="6" s="1"/>
  <c r="T95" i="6"/>
  <c r="A96" i="6"/>
  <c r="J95" i="6"/>
  <c r="AG94" i="6"/>
  <c r="AH94" i="6"/>
  <c r="G94" i="6"/>
  <c r="E94" i="6"/>
  <c r="F94" i="6" s="1"/>
  <c r="X93" i="6"/>
  <c r="Z93" i="6" s="1"/>
  <c r="U94" i="6"/>
  <c r="V94" i="6" s="1"/>
  <c r="Y94" i="6"/>
  <c r="W94" i="6"/>
  <c r="AB94" i="6"/>
  <c r="L93" i="6"/>
  <c r="N93" i="6"/>
  <c r="P93" i="6" s="1"/>
  <c r="O109" i="11"/>
  <c r="N109" i="11"/>
  <c r="J110" i="11"/>
  <c r="M110" i="11" s="1"/>
  <c r="L110" i="11"/>
  <c r="K110" i="11"/>
  <c r="R110" i="11"/>
  <c r="Q110" i="11"/>
  <c r="S110" i="11"/>
  <c r="AE18" i="1"/>
  <c r="AN18" i="1"/>
  <c r="G18" i="1"/>
  <c r="Z18" i="1"/>
  <c r="L18" i="1"/>
  <c r="AD18" i="1"/>
  <c r="O18" i="1"/>
  <c r="AF18" i="1"/>
  <c r="AI18" i="1"/>
  <c r="Q18" i="1"/>
  <c r="AH18" i="1"/>
  <c r="AP18" i="1"/>
  <c r="S18" i="1"/>
  <c r="AM18" i="1"/>
  <c r="AG18" i="1"/>
  <c r="U18" i="1"/>
  <c r="AO18" i="1"/>
  <c r="W18" i="1"/>
  <c r="C18" i="1"/>
  <c r="E18" i="1" s="1"/>
  <c r="T18" i="1"/>
  <c r="AA18" i="1"/>
  <c r="V18" i="1"/>
  <c r="N18" i="1"/>
  <c r="P18" i="1"/>
  <c r="R18" i="1"/>
  <c r="B18" i="1"/>
  <c r="F18" i="1"/>
  <c r="D18" i="1"/>
  <c r="K18" i="1"/>
  <c r="AK59" i="1"/>
  <c r="AH59" i="1" s="1"/>
  <c r="V58" i="1"/>
  <c r="G58" i="1"/>
  <c r="I59" i="1"/>
  <c r="B59" i="1"/>
  <c r="C59" i="1" s="1"/>
  <c r="E59" i="1" s="1"/>
  <c r="M59" i="1"/>
  <c r="N59" i="1" s="1"/>
  <c r="F59" i="1"/>
  <c r="AC59" i="1"/>
  <c r="AF59" i="1" s="1"/>
  <c r="H59" i="1"/>
  <c r="J59" i="1"/>
  <c r="Y59" i="1"/>
  <c r="AO59" i="1"/>
  <c r="A60" i="1"/>
  <c r="AO60" i="1" s="1"/>
  <c r="AP57" i="1"/>
  <c r="Y57" i="9" s="1"/>
  <c r="V57" i="9" s="1"/>
  <c r="T57" i="9" s="1"/>
  <c r="S59" i="9" s="1"/>
  <c r="W61" i="9" s="1"/>
  <c r="R58" i="1"/>
  <c r="T58" i="1"/>
  <c r="O57" i="1"/>
  <c r="Q57" i="1" s="1"/>
  <c r="S57" i="1" s="1"/>
  <c r="U57" i="1" s="1"/>
  <c r="W57" i="1" s="1"/>
  <c r="AA57" i="1" s="1"/>
  <c r="X58" i="1"/>
  <c r="Z58" i="1" s="1"/>
  <c r="N58" i="1"/>
  <c r="K58" i="1"/>
  <c r="AF58" i="1"/>
  <c r="AG58" i="1" s="1"/>
  <c r="AL58" i="1" s="1"/>
  <c r="AM58" i="1" s="1"/>
  <c r="L58" i="1"/>
  <c r="AK18" i="1"/>
  <c r="AC18" i="1"/>
  <c r="AJ18" i="1"/>
  <c r="M18" i="1"/>
  <c r="Y18" i="1"/>
  <c r="I18" i="1"/>
  <c r="J18" i="1"/>
  <c r="H18" i="1"/>
  <c r="A17" i="1"/>
  <c r="AL57" i="1"/>
  <c r="AM57" i="1" s="1"/>
  <c r="AL22" i="1"/>
  <c r="X19" i="1"/>
  <c r="AB106" i="9"/>
  <c r="P106" i="9"/>
  <c r="AA106" i="9"/>
  <c r="N106" i="9"/>
  <c r="O106" i="9"/>
  <c r="AC106" i="9"/>
  <c r="Q106" i="9"/>
  <c r="U106" i="9" l="1"/>
  <c r="O110" i="11"/>
  <c r="E106" i="9"/>
  <c r="A107" i="9"/>
  <c r="G106" i="9"/>
  <c r="H106" i="9"/>
  <c r="I106" i="9"/>
  <c r="J106" i="9" s="1"/>
  <c r="R106" i="9" s="1"/>
  <c r="F106" i="9"/>
  <c r="H94" i="6"/>
  <c r="X94" i="6"/>
  <c r="Z94" i="6" s="1"/>
  <c r="T109" i="11"/>
  <c r="U109" i="11" s="1"/>
  <c r="AG95" i="6"/>
  <c r="AH95" i="6"/>
  <c r="G95" i="6"/>
  <c r="E95" i="6"/>
  <c r="F95" i="6" s="1"/>
  <c r="M95" i="6"/>
  <c r="K95" i="6"/>
  <c r="AC93" i="6"/>
  <c r="AI93" i="6" s="1"/>
  <c r="AJ93" i="6" s="1"/>
  <c r="Z93" i="9" s="1"/>
  <c r="AE96" i="6"/>
  <c r="D96" i="6"/>
  <c r="AF96" i="6"/>
  <c r="A97" i="6"/>
  <c r="J96" i="6"/>
  <c r="O96" i="6"/>
  <c r="B96" i="6"/>
  <c r="C96" i="6" s="1"/>
  <c r="R96" i="6"/>
  <c r="S96" i="6" s="1"/>
  <c r="T96" i="6"/>
  <c r="L94" i="6"/>
  <c r="N94" i="6"/>
  <c r="P94" i="6" s="1"/>
  <c r="U95" i="6"/>
  <c r="V95" i="6" s="1"/>
  <c r="Y95" i="6"/>
  <c r="W95" i="6"/>
  <c r="AB95" i="6"/>
  <c r="N110" i="11"/>
  <c r="T110" i="11" s="1"/>
  <c r="AI17" i="1"/>
  <c r="AP17" i="1"/>
  <c r="AA17" i="1"/>
  <c r="V17" i="1"/>
  <c r="G17" i="1"/>
  <c r="Z17" i="1"/>
  <c r="AE17" i="1"/>
  <c r="L17" i="1"/>
  <c r="AD17" i="1"/>
  <c r="O17" i="1"/>
  <c r="AF17" i="1"/>
  <c r="AN17" i="1"/>
  <c r="Q17" i="1"/>
  <c r="AH17" i="1"/>
  <c r="S17" i="1"/>
  <c r="AM17" i="1"/>
  <c r="AG17" i="1"/>
  <c r="U17" i="1"/>
  <c r="AO17" i="1"/>
  <c r="W17" i="1"/>
  <c r="C17" i="1"/>
  <c r="E17" i="1" s="1"/>
  <c r="T17" i="1"/>
  <c r="N17" i="1"/>
  <c r="P17" i="1"/>
  <c r="B17" i="1"/>
  <c r="R17" i="1"/>
  <c r="F17" i="1"/>
  <c r="D17" i="1"/>
  <c r="K17" i="1"/>
  <c r="AD59" i="1"/>
  <c r="AE59" i="1" s="1"/>
  <c r="AG59" i="1" s="1"/>
  <c r="P59" i="1"/>
  <c r="R59" i="1"/>
  <c r="T59" i="1"/>
  <c r="F60" i="1"/>
  <c r="AC60" i="1"/>
  <c r="AD60" i="1" s="1"/>
  <c r="AE60" i="1" s="1"/>
  <c r="G59" i="1"/>
  <c r="M60" i="1"/>
  <c r="V60" i="1" s="1"/>
  <c r="V59" i="1"/>
  <c r="X59" i="1"/>
  <c r="Z59" i="1" s="1"/>
  <c r="L59" i="1"/>
  <c r="O59" i="1" s="1"/>
  <c r="K59" i="1"/>
  <c r="I60" i="1"/>
  <c r="AK60" i="1"/>
  <c r="AH60" i="1" s="1"/>
  <c r="H60" i="1"/>
  <c r="Y60" i="1"/>
  <c r="AJ60" i="1"/>
  <c r="O58" i="1"/>
  <c r="Q58" i="1" s="1"/>
  <c r="S58" i="1" s="1"/>
  <c r="U58" i="1" s="1"/>
  <c r="W58" i="1" s="1"/>
  <c r="AA58" i="1" s="1"/>
  <c r="AN58" i="1" s="1"/>
  <c r="A61" i="1"/>
  <c r="AK61" i="1" s="1"/>
  <c r="AH61" i="1" s="1"/>
  <c r="B60" i="1"/>
  <c r="C60" i="1" s="1"/>
  <c r="E60" i="1" s="1"/>
  <c r="J60" i="1"/>
  <c r="AN57" i="1"/>
  <c r="AP58" i="1" s="1"/>
  <c r="Y58" i="9" s="1"/>
  <c r="V58" i="9" s="1"/>
  <c r="T58" i="9" s="1"/>
  <c r="S60" i="9" s="1"/>
  <c r="AK17" i="1"/>
  <c r="AC17" i="1"/>
  <c r="AJ17" i="1"/>
  <c r="M17" i="1"/>
  <c r="Y17" i="1"/>
  <c r="I17" i="1"/>
  <c r="J17" i="1"/>
  <c r="H17" i="1"/>
  <c r="AI57" i="1"/>
  <c r="A16" i="1"/>
  <c r="AL20" i="1"/>
  <c r="AI58" i="1"/>
  <c r="X18" i="1"/>
  <c r="N107" i="9"/>
  <c r="Q107" i="9"/>
  <c r="AB107" i="9"/>
  <c r="AA107" i="9"/>
  <c r="O107" i="9"/>
  <c r="P107" i="9"/>
  <c r="AC107" i="9"/>
  <c r="U107" i="9" l="1"/>
  <c r="W62" i="9"/>
  <c r="U110" i="11"/>
  <c r="AC94" i="6"/>
  <c r="AI94" i="6" s="1"/>
  <c r="AJ94" i="6" s="1"/>
  <c r="Z94" i="9" s="1"/>
  <c r="F107" i="9"/>
  <c r="G107" i="9"/>
  <c r="H107" i="9"/>
  <c r="A108" i="9"/>
  <c r="I107" i="9"/>
  <c r="J107" i="9" s="1"/>
  <c r="R107" i="9" s="1"/>
  <c r="E107" i="9"/>
  <c r="X95" i="6"/>
  <c r="Z95" i="6" s="1"/>
  <c r="AE97" i="6"/>
  <c r="D97" i="6"/>
  <c r="AF97" i="6"/>
  <c r="O97" i="6"/>
  <c r="B97" i="6"/>
  <c r="C97" i="6" s="1"/>
  <c r="R97" i="6"/>
  <c r="S97" i="6" s="1"/>
  <c r="T97" i="6"/>
  <c r="A98" i="6"/>
  <c r="J97" i="6"/>
  <c r="AG96" i="6"/>
  <c r="AH96" i="6"/>
  <c r="G96" i="6"/>
  <c r="E96" i="6"/>
  <c r="F96" i="6" s="1"/>
  <c r="U96" i="6"/>
  <c r="V96" i="6" s="1"/>
  <c r="Y96" i="6"/>
  <c r="W96" i="6"/>
  <c r="AB96" i="6"/>
  <c r="L95" i="6"/>
  <c r="N95" i="6"/>
  <c r="P95" i="6" s="1"/>
  <c r="H95" i="6"/>
  <c r="M96" i="6"/>
  <c r="K96" i="6"/>
  <c r="AG16" i="1"/>
  <c r="AN16" i="1"/>
  <c r="AP16" i="1"/>
  <c r="W16" i="1"/>
  <c r="C16" i="1"/>
  <c r="E16" i="1" s="1"/>
  <c r="T16" i="1"/>
  <c r="AA16" i="1"/>
  <c r="G16" i="1"/>
  <c r="Z16" i="1"/>
  <c r="AE16" i="1"/>
  <c r="L16" i="1"/>
  <c r="AD16" i="1"/>
  <c r="AI16" i="1"/>
  <c r="O16" i="1"/>
  <c r="AF16" i="1"/>
  <c r="Q16" i="1"/>
  <c r="S16" i="1"/>
  <c r="AM16" i="1"/>
  <c r="U16" i="1"/>
  <c r="AO16" i="1"/>
  <c r="K16" i="1"/>
  <c r="B16" i="1"/>
  <c r="N16" i="1"/>
  <c r="AH16" i="1"/>
  <c r="P16" i="1"/>
  <c r="R16" i="1"/>
  <c r="V16" i="1"/>
  <c r="F16" i="1"/>
  <c r="D16" i="1"/>
  <c r="AO61" i="1"/>
  <c r="X60" i="1"/>
  <c r="Z60" i="1" s="1"/>
  <c r="T60" i="1"/>
  <c r="R60" i="1"/>
  <c r="P60" i="1"/>
  <c r="G60" i="1"/>
  <c r="N60" i="1"/>
  <c r="AF60" i="1"/>
  <c r="AG60" i="1" s="1"/>
  <c r="AL60" i="1" s="1"/>
  <c r="AM60" i="1" s="1"/>
  <c r="Y61" i="1"/>
  <c r="H61" i="1"/>
  <c r="J61" i="1"/>
  <c r="AJ61" i="1"/>
  <c r="Q59" i="1"/>
  <c r="S59" i="1" s="1"/>
  <c r="U59" i="1" s="1"/>
  <c r="W59" i="1" s="1"/>
  <c r="AA59" i="1" s="1"/>
  <c r="L60" i="1"/>
  <c r="K60" i="1"/>
  <c r="I61" i="1"/>
  <c r="AP59" i="1"/>
  <c r="Y59" i="9" s="1"/>
  <c r="V59" i="9" s="1"/>
  <c r="T59" i="9" s="1"/>
  <c r="S61" i="9" s="1"/>
  <c r="W63" i="9" s="1"/>
  <c r="A62" i="1"/>
  <c r="AO62" i="1" s="1"/>
  <c r="B61" i="1"/>
  <c r="C61" i="1" s="1"/>
  <c r="E61" i="1" s="1"/>
  <c r="F61" i="1"/>
  <c r="M61" i="1"/>
  <c r="T61" i="1" s="1"/>
  <c r="AC61" i="1"/>
  <c r="AF61" i="1" s="1"/>
  <c r="AK16" i="1"/>
  <c r="AC16" i="1"/>
  <c r="AJ16" i="1"/>
  <c r="M16" i="1"/>
  <c r="Y16" i="1"/>
  <c r="I16" i="1"/>
  <c r="J16" i="1"/>
  <c r="H16" i="1"/>
  <c r="AL19" i="1"/>
  <c r="AL59" i="1"/>
  <c r="AM59" i="1" s="1"/>
  <c r="A15" i="1"/>
  <c r="X17" i="1"/>
  <c r="AC108" i="9"/>
  <c r="O108" i="9"/>
  <c r="AA108" i="9"/>
  <c r="P108" i="9"/>
  <c r="N108" i="9"/>
  <c r="Q108" i="9"/>
  <c r="AB108" i="9"/>
  <c r="U108" i="9" l="1"/>
  <c r="AD101" i="3" a="1"/>
  <c r="AD101" i="3" s="1"/>
  <c r="G101" i="3" s="1" a="1"/>
  <c r="G101" i="3" s="1"/>
  <c r="AD95" i="3" a="1"/>
  <c r="AD95" i="3" s="1"/>
  <c r="G95" i="3" s="1" a="1"/>
  <c r="G95" i="3" s="1"/>
  <c r="AD99" i="3" a="1"/>
  <c r="AD99" i="3" s="1"/>
  <c r="AD96" i="3" a="1"/>
  <c r="AD96" i="3" s="1"/>
  <c r="G96" i="3" s="1" a="1"/>
  <c r="G96" i="3" s="1"/>
  <c r="AE101" i="3" a="1"/>
  <c r="AE101" i="3" s="1"/>
  <c r="H101" i="3" s="1" a="1"/>
  <c r="H101" i="3" s="1"/>
  <c r="AD100" i="3" a="1"/>
  <c r="AD100" i="3" s="1"/>
  <c r="G100" i="3" s="1" a="1"/>
  <c r="G100" i="3" s="1"/>
  <c r="AD98" i="3" a="1"/>
  <c r="AD98" i="3" s="1"/>
  <c r="AD97" i="3" a="1"/>
  <c r="AD97" i="3" s="1"/>
  <c r="AF97" i="3" a="1"/>
  <c r="AF97" i="3" s="1"/>
  <c r="AE98" i="3" a="1"/>
  <c r="AE98" i="3" s="1"/>
  <c r="AE100" i="3" a="1"/>
  <c r="AE100" i="3" s="1"/>
  <c r="H100" i="3" s="1" a="1"/>
  <c r="H100" i="3" s="1"/>
  <c r="AE95" i="3" a="1"/>
  <c r="AE95" i="3" s="1"/>
  <c r="H95" i="3" s="1" a="1"/>
  <c r="H95" i="3" s="1"/>
  <c r="AE99" i="3" a="1"/>
  <c r="AE99" i="3" s="1"/>
  <c r="AE96" i="3" a="1"/>
  <c r="AE96" i="3" s="1"/>
  <c r="H96" i="3" s="1" a="1"/>
  <c r="H96" i="3" s="1"/>
  <c r="AF98" i="3" a="1"/>
  <c r="AF98" i="3" s="1"/>
  <c r="AF95" i="3" a="1"/>
  <c r="AF95" i="3" s="1"/>
  <c r="I95" i="3" s="1" a="1"/>
  <c r="I95" i="3" s="1"/>
  <c r="AE97" i="3" a="1"/>
  <c r="AE97" i="3" s="1"/>
  <c r="AF101" i="3" a="1"/>
  <c r="AF101" i="3" s="1"/>
  <c r="I101" i="3" s="1" a="1"/>
  <c r="I101" i="3" s="1"/>
  <c r="AF99" i="3" a="1"/>
  <c r="AF99" i="3" s="1"/>
  <c r="AG99" i="3" a="1"/>
  <c r="AG99" i="3" s="1"/>
  <c r="AG95" i="3" a="1"/>
  <c r="AG95" i="3" s="1"/>
  <c r="J95" i="3" s="1" a="1"/>
  <c r="J95" i="3" s="1"/>
  <c r="AG98" i="3" a="1"/>
  <c r="AG98" i="3" s="1"/>
  <c r="AF100" i="3" a="1"/>
  <c r="AF100" i="3" s="1"/>
  <c r="I100" i="3" s="1" a="1"/>
  <c r="I100" i="3" s="1"/>
  <c r="AG96" i="3" a="1"/>
  <c r="AG96" i="3" s="1"/>
  <c r="J96" i="3" s="1" a="1"/>
  <c r="J96" i="3" s="1"/>
  <c r="AH101" i="3" a="1"/>
  <c r="AH101" i="3" s="1"/>
  <c r="K101" i="3" s="1" a="1"/>
  <c r="K101" i="3" s="1"/>
  <c r="AG97" i="3" a="1"/>
  <c r="AG97" i="3" s="1"/>
  <c r="AH99" i="3" a="1"/>
  <c r="AH99" i="3" s="1"/>
  <c r="AG101" i="3" a="1"/>
  <c r="AG101" i="3" s="1"/>
  <c r="J101" i="3" s="1" a="1"/>
  <c r="J101" i="3" s="1"/>
  <c r="AG100" i="3" a="1"/>
  <c r="AG100" i="3" s="1"/>
  <c r="J100" i="3" s="1" a="1"/>
  <c r="J100" i="3" s="1"/>
  <c r="AH100" i="3" a="1"/>
  <c r="AH100" i="3" s="1"/>
  <c r="K100" i="3" s="1" a="1"/>
  <c r="K100" i="3" s="1"/>
  <c r="AH97" i="3" a="1"/>
  <c r="AH97" i="3" s="1"/>
  <c r="AF96" i="3" a="1"/>
  <c r="AF96" i="3" s="1"/>
  <c r="I96" i="3" s="1" a="1"/>
  <c r="I96" i="3" s="1"/>
  <c r="AH98" i="3" a="1"/>
  <c r="AH98" i="3" s="1"/>
  <c r="AH96" i="3" a="1"/>
  <c r="AH96" i="3" s="1"/>
  <c r="K96" i="3" s="1" a="1"/>
  <c r="K96" i="3" s="1"/>
  <c r="AJ96" i="3" a="1"/>
  <c r="AJ96" i="3" s="1"/>
  <c r="M96" i="3" s="1" a="1"/>
  <c r="M96" i="3" s="1"/>
  <c r="AI97" i="3" a="1"/>
  <c r="AI97" i="3" s="1"/>
  <c r="AI98" i="3" a="1"/>
  <c r="AI98" i="3" s="1"/>
  <c r="AH95" i="3" a="1"/>
  <c r="AH95" i="3" s="1"/>
  <c r="K95" i="3" s="1" a="1"/>
  <c r="K95" i="3" s="1"/>
  <c r="AJ98" i="3" a="1"/>
  <c r="AJ98" i="3" s="1"/>
  <c r="AJ99" i="3" a="1"/>
  <c r="AJ99" i="3" s="1"/>
  <c r="AI95" i="3" a="1"/>
  <c r="AI95" i="3" s="1"/>
  <c r="L95" i="3" s="1" a="1"/>
  <c r="L95" i="3" s="1"/>
  <c r="AJ100" i="3" a="1"/>
  <c r="AJ100" i="3" s="1"/>
  <c r="M100" i="3" s="1" a="1"/>
  <c r="M100" i="3" s="1"/>
  <c r="AJ97" i="3" a="1"/>
  <c r="AJ97" i="3" s="1"/>
  <c r="AI96" i="3" a="1"/>
  <c r="AI96" i="3" s="1"/>
  <c r="L96" i="3" s="1" a="1"/>
  <c r="L96" i="3" s="1"/>
  <c r="AJ95" i="3" a="1"/>
  <c r="AJ95" i="3" s="1"/>
  <c r="M95" i="3" s="1" a="1"/>
  <c r="M95" i="3" s="1"/>
  <c r="AJ101" i="3" a="1"/>
  <c r="AJ101" i="3" s="1"/>
  <c r="M101" i="3" s="1" a="1"/>
  <c r="M101" i="3" s="1"/>
  <c r="AK101" i="3" a="1"/>
  <c r="AK101" i="3" s="1"/>
  <c r="N101" i="3" s="1" a="1"/>
  <c r="N101" i="3" s="1"/>
  <c r="AA99" i="3" s="1"/>
  <c r="AK97" i="3" a="1"/>
  <c r="AK97" i="3" s="1"/>
  <c r="AK98" i="3" a="1"/>
  <c r="AK98" i="3" s="1"/>
  <c r="AK100" i="3" a="1"/>
  <c r="AK100" i="3" s="1"/>
  <c r="N100" i="3" s="1" a="1"/>
  <c r="N100" i="3" s="1"/>
  <c r="AA98" i="3" s="1"/>
  <c r="AK96" i="3" a="1"/>
  <c r="AK96" i="3" s="1"/>
  <c r="N96" i="3" s="1" a="1"/>
  <c r="N96" i="3" s="1"/>
  <c r="AI100" i="3" a="1"/>
  <c r="AI100" i="3" s="1"/>
  <c r="L100" i="3" s="1" a="1"/>
  <c r="L100" i="3" s="1"/>
  <c r="AI99" i="3" a="1"/>
  <c r="AI99" i="3" s="1"/>
  <c r="AK99" i="3" a="1"/>
  <c r="AK99" i="3" s="1"/>
  <c r="AI101" i="3" a="1"/>
  <c r="AI101" i="3" s="1"/>
  <c r="L101" i="3" s="1" a="1"/>
  <c r="L101" i="3" s="1"/>
  <c r="AK95" i="3" a="1"/>
  <c r="AK95" i="3" s="1"/>
  <c r="N95" i="3" s="1" a="1"/>
  <c r="N95" i="3" s="1"/>
  <c r="AL101" i="3" a="1"/>
  <c r="AL101" i="3" s="1"/>
  <c r="O101" i="3" s="1" a="1"/>
  <c r="O101" i="3" s="1"/>
  <c r="AB99" i="3" s="1"/>
  <c r="AL100" i="3" a="1"/>
  <c r="AL100" i="3" s="1"/>
  <c r="O100" i="3" s="1" a="1"/>
  <c r="O100" i="3" s="1"/>
  <c r="AB98" i="3" s="1"/>
  <c r="AL96" i="3" a="1"/>
  <c r="AL96" i="3" s="1"/>
  <c r="O96" i="3" s="1" a="1"/>
  <c r="O96" i="3" s="1"/>
  <c r="AB100" i="3" s="1"/>
  <c r="AL98" i="3" a="1"/>
  <c r="AL98" i="3" s="1"/>
  <c r="AL95" i="3" a="1"/>
  <c r="AL95" i="3" s="1"/>
  <c r="O95" i="3" s="1" a="1"/>
  <c r="O95" i="3" s="1"/>
  <c r="AB101" i="3" s="1"/>
  <c r="AL99" i="3" a="1"/>
  <c r="AL99" i="3" s="1"/>
  <c r="AL97" i="3" a="1"/>
  <c r="AL97" i="3" s="1"/>
  <c r="F97" i="3" a="1"/>
  <c r="F97" i="3" s="1"/>
  <c r="F96" i="3" a="1"/>
  <c r="F96" i="3" s="1"/>
  <c r="E101" i="3" a="1"/>
  <c r="E101" i="3" s="1"/>
  <c r="E96" i="3" a="1"/>
  <c r="E96" i="3" s="1"/>
  <c r="F99" i="3" a="1"/>
  <c r="F99" i="3" s="1"/>
  <c r="F101" i="3" a="1"/>
  <c r="F101" i="3" s="1"/>
  <c r="AO99" i="3" s="1"/>
  <c r="S99" i="3" s="1"/>
  <c r="E95" i="3" a="1"/>
  <c r="E95" i="3" s="1"/>
  <c r="F98" i="3" a="1"/>
  <c r="F98" i="3" s="1"/>
  <c r="F100" i="3" a="1"/>
  <c r="F100" i="3" s="1"/>
  <c r="AO98" i="3" s="1"/>
  <c r="S98" i="3" s="1"/>
  <c r="E100" i="3" a="1"/>
  <c r="E100" i="3" s="1"/>
  <c r="E97" i="3" a="1"/>
  <c r="E97" i="3" s="1"/>
  <c r="F95" i="3" a="1"/>
  <c r="F95" i="3" s="1"/>
  <c r="E99" i="3" a="1"/>
  <c r="E99" i="3" s="1"/>
  <c r="E98" i="3" a="1"/>
  <c r="E98" i="3" s="1"/>
  <c r="D98" i="3" a="1"/>
  <c r="D98" i="3" s="1"/>
  <c r="D99" i="3" a="1"/>
  <c r="D99" i="3" s="1"/>
  <c r="D100" i="3" a="1"/>
  <c r="D100" i="3" s="1"/>
  <c r="D95" i="3" a="1"/>
  <c r="D95" i="3" s="1"/>
  <c r="D96" i="3" a="1"/>
  <c r="D96" i="3" s="1"/>
  <c r="D101" i="3" a="1"/>
  <c r="D101" i="3" s="1"/>
  <c r="D97" i="3" a="1"/>
  <c r="D97" i="3" s="1"/>
  <c r="X96" i="6"/>
  <c r="Z96" i="6" s="1"/>
  <c r="AC95" i="6"/>
  <c r="AI95" i="6" s="1"/>
  <c r="AJ95" i="6" s="1"/>
  <c r="Z95" i="9" s="1"/>
  <c r="H96" i="6"/>
  <c r="G108" i="9"/>
  <c r="I108" i="9"/>
  <c r="J108" i="9" s="1"/>
  <c r="R108" i="9" s="1"/>
  <c r="A109" i="9"/>
  <c r="E108" i="9"/>
  <c r="F108" i="9"/>
  <c r="H108" i="9"/>
  <c r="U97" i="6"/>
  <c r="V97" i="6" s="1"/>
  <c r="Y97" i="6"/>
  <c r="W97" i="6"/>
  <c r="AB97" i="6"/>
  <c r="AG97" i="6"/>
  <c r="AH97" i="6"/>
  <c r="L96" i="6"/>
  <c r="N96" i="6"/>
  <c r="P96" i="6" s="1"/>
  <c r="G97" i="6"/>
  <c r="E97" i="6"/>
  <c r="F97" i="6" s="1"/>
  <c r="M97" i="6"/>
  <c r="K97" i="6"/>
  <c r="AE98" i="6"/>
  <c r="D98" i="6"/>
  <c r="AF98" i="6"/>
  <c r="A99" i="6"/>
  <c r="J98" i="6"/>
  <c r="O98" i="6"/>
  <c r="B98" i="6"/>
  <c r="C98" i="6" s="1"/>
  <c r="R98" i="6"/>
  <c r="S98" i="6" s="1"/>
  <c r="T98" i="6"/>
  <c r="AP15" i="1"/>
  <c r="AI15" i="1"/>
  <c r="AN15" i="1"/>
  <c r="U15" i="1"/>
  <c r="AO15" i="1"/>
  <c r="W15" i="1"/>
  <c r="C15" i="1"/>
  <c r="E15" i="1" s="1"/>
  <c r="AA15" i="1"/>
  <c r="V15" i="1"/>
  <c r="G15" i="1"/>
  <c r="Z15" i="1"/>
  <c r="AE15" i="1"/>
  <c r="L15" i="1"/>
  <c r="AD15" i="1"/>
  <c r="O15" i="1"/>
  <c r="Q15" i="1"/>
  <c r="AH15" i="1"/>
  <c r="AG15" i="1"/>
  <c r="S15" i="1"/>
  <c r="AM15" i="1"/>
  <c r="D15" i="1"/>
  <c r="B15" i="1"/>
  <c r="T15" i="1"/>
  <c r="K15" i="1"/>
  <c r="N15" i="1"/>
  <c r="P15" i="1"/>
  <c r="R15" i="1"/>
  <c r="AF15" i="1"/>
  <c r="F15" i="1"/>
  <c r="AK62" i="1"/>
  <c r="AH62" i="1" s="1"/>
  <c r="N61" i="1"/>
  <c r="O60" i="1"/>
  <c r="Q60" i="1" s="1"/>
  <c r="S60" i="1" s="1"/>
  <c r="U60" i="1" s="1"/>
  <c r="W60" i="1" s="1"/>
  <c r="AA60" i="1" s="1"/>
  <c r="AN60" i="1" s="1"/>
  <c r="R61" i="1"/>
  <c r="V61" i="1"/>
  <c r="P61" i="1"/>
  <c r="X61" i="1"/>
  <c r="Z61" i="1" s="1"/>
  <c r="F62" i="1"/>
  <c r="A63" i="1"/>
  <c r="AC63" i="1" s="1"/>
  <c r="M62" i="1"/>
  <c r="N62" i="1" s="1"/>
  <c r="AN59" i="1"/>
  <c r="AP60" i="1" s="1"/>
  <c r="Y60" i="9" s="1"/>
  <c r="V60" i="9" s="1"/>
  <c r="T60" i="9" s="1"/>
  <c r="S62" i="9" s="1"/>
  <c r="W64" i="9" s="1"/>
  <c r="G61" i="1"/>
  <c r="L61" i="1"/>
  <c r="AC62" i="1"/>
  <c r="AD62" i="1" s="1"/>
  <c r="AE62" i="1" s="1"/>
  <c r="AD61" i="1"/>
  <c r="AE61" i="1" s="1"/>
  <c r="AG61" i="1" s="1"/>
  <c r="AL61" i="1" s="1"/>
  <c r="AM61" i="1" s="1"/>
  <c r="B62" i="1"/>
  <c r="C62" i="1" s="1"/>
  <c r="E62" i="1" s="1"/>
  <c r="I62" i="1"/>
  <c r="K61" i="1"/>
  <c r="H62" i="1"/>
  <c r="J62" i="1"/>
  <c r="Y62" i="1"/>
  <c r="AJ62" i="1"/>
  <c r="AK15" i="1"/>
  <c r="AC15" i="1"/>
  <c r="AJ15" i="1"/>
  <c r="M15" i="1"/>
  <c r="Y15" i="1"/>
  <c r="I15" i="1"/>
  <c r="J15" i="1"/>
  <c r="H15" i="1"/>
  <c r="AI59" i="1"/>
  <c r="X16" i="1"/>
  <c r="AL17" i="1"/>
  <c r="AI60" i="1"/>
  <c r="A14" i="1"/>
  <c r="AB109" i="9"/>
  <c r="Q109" i="9"/>
  <c r="N109" i="9"/>
  <c r="O109" i="9"/>
  <c r="AC109" i="9"/>
  <c r="AA109" i="9"/>
  <c r="P109" i="9"/>
  <c r="U109" i="9" l="1"/>
  <c r="L146" i="3"/>
  <c r="K145" i="3"/>
  <c r="I146" i="3"/>
  <c r="L145" i="3"/>
  <c r="I99" i="3" a="1"/>
  <c r="I99" i="3" s="1"/>
  <c r="I98" i="3" s="1" a="1"/>
  <c r="I98" i="3" s="1"/>
  <c r="I97" i="3" s="1" a="1"/>
  <c r="I97" i="3" s="1"/>
  <c r="K146" i="3"/>
  <c r="H99" i="3" a="1"/>
  <c r="H99" i="3" s="1"/>
  <c r="H98" i="3" s="1" a="1"/>
  <c r="H98" i="3" s="1"/>
  <c r="H97" i="3" s="1" a="1"/>
  <c r="H97" i="3" s="1"/>
  <c r="M146" i="3"/>
  <c r="G99" i="3" a="1"/>
  <c r="G99" i="3" s="1"/>
  <c r="G98" i="3" s="1" a="1"/>
  <c r="G98" i="3" s="1"/>
  <c r="G97" i="3" s="1" a="1"/>
  <c r="G97" i="3" s="1"/>
  <c r="H146" i="3" s="1"/>
  <c r="N145" i="3"/>
  <c r="AA101" i="3"/>
  <c r="M99" i="3" a="1"/>
  <c r="M99" i="3" s="1"/>
  <c r="M98" i="3" s="1" a="1"/>
  <c r="M98" i="3" s="1"/>
  <c r="M97" i="3" s="1" a="1"/>
  <c r="M97" i="3" s="1"/>
  <c r="J146" i="3"/>
  <c r="O99" i="3" a="1"/>
  <c r="O99" i="3" s="1"/>
  <c r="AB103" i="3" s="1"/>
  <c r="N99" i="3" a="1"/>
  <c r="N99" i="3" s="1"/>
  <c r="AA103" i="3" s="1"/>
  <c r="L99" i="3" a="1"/>
  <c r="L99" i="3" s="1"/>
  <c r="L98" i="3" s="1" a="1"/>
  <c r="L98" i="3" s="1"/>
  <c r="L97" i="3" s="1" a="1"/>
  <c r="L97" i="3" s="1"/>
  <c r="M145" i="3"/>
  <c r="J99" i="3" a="1"/>
  <c r="J99" i="3" s="1"/>
  <c r="J98" i="3" s="1" a="1"/>
  <c r="J98" i="3" s="1"/>
  <c r="J97" i="3" s="1" a="1"/>
  <c r="J97" i="3" s="1"/>
  <c r="K99" i="3" a="1"/>
  <c r="K99" i="3" s="1"/>
  <c r="K98" i="3" s="1" a="1"/>
  <c r="K98" i="3" s="1"/>
  <c r="K97" i="3" s="1" a="1"/>
  <c r="K97" i="3" s="1"/>
  <c r="AA100" i="3"/>
  <c r="N146" i="3"/>
  <c r="X97" i="6"/>
  <c r="Z97" i="6" s="1"/>
  <c r="AC96" i="6"/>
  <c r="AI96" i="6" s="1"/>
  <c r="AJ96" i="6" s="1"/>
  <c r="Z96" i="9" s="1"/>
  <c r="H97" i="6"/>
  <c r="H109" i="9"/>
  <c r="I109" i="9"/>
  <c r="J109" i="9" s="1"/>
  <c r="R109" i="9" s="1"/>
  <c r="A110" i="9"/>
  <c r="F109" i="9"/>
  <c r="E109" i="9"/>
  <c r="G109" i="9"/>
  <c r="M98" i="6"/>
  <c r="K98" i="6"/>
  <c r="AE99" i="6"/>
  <c r="D99" i="6"/>
  <c r="AF99" i="6"/>
  <c r="O99" i="6"/>
  <c r="B99" i="6"/>
  <c r="C99" i="6" s="1"/>
  <c r="R99" i="6"/>
  <c r="S99" i="6" s="1"/>
  <c r="T99" i="6"/>
  <c r="A100" i="6"/>
  <c r="J99" i="6"/>
  <c r="AG98" i="6"/>
  <c r="AH98" i="6"/>
  <c r="G98" i="6"/>
  <c r="E98" i="6"/>
  <c r="F98" i="6" s="1"/>
  <c r="U98" i="6"/>
  <c r="V98" i="6" s="1"/>
  <c r="Y98" i="6"/>
  <c r="W98" i="6"/>
  <c r="AB98" i="6"/>
  <c r="L97" i="6"/>
  <c r="N97" i="6"/>
  <c r="P97" i="6" s="1"/>
  <c r="AJ63" i="1"/>
  <c r="AN14" i="1"/>
  <c r="AP14" i="1"/>
  <c r="AG14" i="1"/>
  <c r="AI14" i="1"/>
  <c r="S14" i="1"/>
  <c r="AM14" i="1"/>
  <c r="U14" i="1"/>
  <c r="AO14" i="1"/>
  <c r="W14" i="1"/>
  <c r="C14" i="1"/>
  <c r="E14" i="1" s="1"/>
  <c r="AA14" i="1"/>
  <c r="V14" i="1"/>
  <c r="G14" i="1"/>
  <c r="Z14" i="1"/>
  <c r="AE14" i="1"/>
  <c r="L14" i="1"/>
  <c r="O14" i="1"/>
  <c r="AF14" i="1"/>
  <c r="Q14" i="1"/>
  <c r="AH14" i="1"/>
  <c r="F14" i="1"/>
  <c r="D14" i="1"/>
  <c r="T14" i="1"/>
  <c r="K14" i="1"/>
  <c r="AD14" i="1"/>
  <c r="N14" i="1"/>
  <c r="P14" i="1"/>
  <c r="R14" i="1"/>
  <c r="B14" i="1"/>
  <c r="AF62" i="1"/>
  <c r="AG62" i="1" s="1"/>
  <c r="AL62" i="1" s="1"/>
  <c r="AM62" i="1" s="1"/>
  <c r="O61" i="1"/>
  <c r="Q61" i="1" s="1"/>
  <c r="S61" i="1" s="1"/>
  <c r="U61" i="1" s="1"/>
  <c r="W61" i="1" s="1"/>
  <c r="AA61" i="1" s="1"/>
  <c r="AN61" i="1" s="1"/>
  <c r="AP62" i="1" s="1"/>
  <c r="Y62" i="9" s="1"/>
  <c r="B63" i="1"/>
  <c r="C63" i="1" s="1"/>
  <c r="E63" i="1" s="1"/>
  <c r="Y63" i="1"/>
  <c r="AP61" i="1"/>
  <c r="Y61" i="9" s="1"/>
  <c r="V61" i="9" s="1"/>
  <c r="T61" i="9" s="1"/>
  <c r="S63" i="9" s="1"/>
  <c r="W65" i="9" s="1"/>
  <c r="P62" i="1"/>
  <c r="R62" i="1"/>
  <c r="V62" i="1"/>
  <c r="X62" i="1"/>
  <c r="Z62" i="1" s="1"/>
  <c r="T62" i="1"/>
  <c r="G62" i="1"/>
  <c r="A64" i="1"/>
  <c r="Y64" i="1" s="1"/>
  <c r="H63" i="1"/>
  <c r="J63" i="1"/>
  <c r="AO63" i="1"/>
  <c r="F63" i="1"/>
  <c r="I63" i="1"/>
  <c r="AK63" i="1"/>
  <c r="AH63" i="1" s="1"/>
  <c r="M63" i="1"/>
  <c r="X63" i="1" s="1"/>
  <c r="L62" i="1"/>
  <c r="O62" i="1" s="1"/>
  <c r="K62" i="1"/>
  <c r="AK14" i="1"/>
  <c r="AC14" i="1"/>
  <c r="AJ14" i="1"/>
  <c r="M14" i="1"/>
  <c r="Y14" i="1"/>
  <c r="I14" i="1"/>
  <c r="J14" i="1"/>
  <c r="H14" i="1"/>
  <c r="AD63" i="1"/>
  <c r="AE63" i="1" s="1"/>
  <c r="AF63" i="1"/>
  <c r="X15" i="1"/>
  <c r="AL18" i="1"/>
  <c r="AI61" i="1"/>
  <c r="A13" i="1"/>
  <c r="AC110" i="9"/>
  <c r="Q110" i="9"/>
  <c r="P110" i="9"/>
  <c r="AB110" i="9"/>
  <c r="N110" i="9"/>
  <c r="O110" i="9"/>
  <c r="AA110" i="9"/>
  <c r="U110" i="9" l="1"/>
  <c r="V62" i="9"/>
  <c r="T62" i="9" s="1"/>
  <c r="S64" i="9" s="1"/>
  <c r="W66" i="9" s="1"/>
  <c r="N98" i="3" a="1"/>
  <c r="N98" i="3" s="1"/>
  <c r="AA104" i="3" s="1"/>
  <c r="O98" i="3" a="1"/>
  <c r="O98" i="3" s="1"/>
  <c r="AB104" i="3" s="1"/>
  <c r="X98" i="6"/>
  <c r="Z98" i="6" s="1"/>
  <c r="AC97" i="6"/>
  <c r="AI97" i="6" s="1"/>
  <c r="AJ97" i="6" s="1"/>
  <c r="Z97" i="9" s="1"/>
  <c r="H98" i="6"/>
  <c r="I110" i="9"/>
  <c r="J110" i="9" s="1"/>
  <c r="R110" i="9" s="1"/>
  <c r="F110" i="9"/>
  <c r="G110" i="9"/>
  <c r="E110" i="9"/>
  <c r="H110" i="9"/>
  <c r="AG99" i="6"/>
  <c r="AH99" i="6"/>
  <c r="G99" i="6"/>
  <c r="E99" i="6"/>
  <c r="F99" i="6" s="1"/>
  <c r="M99" i="6"/>
  <c r="K99" i="6"/>
  <c r="AE100" i="6"/>
  <c r="D100" i="6"/>
  <c r="AF100" i="6"/>
  <c r="A101" i="6"/>
  <c r="J100" i="6"/>
  <c r="O100" i="6"/>
  <c r="B100" i="6"/>
  <c r="C100" i="6" s="1"/>
  <c r="R100" i="6"/>
  <c r="S100" i="6" s="1"/>
  <c r="T100" i="6"/>
  <c r="U99" i="6"/>
  <c r="V99" i="6" s="1"/>
  <c r="Y99" i="6"/>
  <c r="W99" i="6"/>
  <c r="AB99" i="6"/>
  <c r="L98" i="6"/>
  <c r="N98" i="6"/>
  <c r="P98" i="6" s="1"/>
  <c r="AI13" i="1"/>
  <c r="AN13" i="1"/>
  <c r="AP13" i="1"/>
  <c r="AG13" i="1"/>
  <c r="Q13" i="1"/>
  <c r="AH13" i="1"/>
  <c r="S13" i="1"/>
  <c r="AM13" i="1"/>
  <c r="U13" i="1"/>
  <c r="AO13" i="1"/>
  <c r="W13" i="1"/>
  <c r="C13" i="1"/>
  <c r="E13" i="1" s="1"/>
  <c r="AA13" i="1"/>
  <c r="V13" i="1"/>
  <c r="G13" i="1"/>
  <c r="AE13" i="1"/>
  <c r="L13" i="1"/>
  <c r="AD13" i="1"/>
  <c r="O13" i="1"/>
  <c r="AF13" i="1"/>
  <c r="F13" i="1"/>
  <c r="D13" i="1"/>
  <c r="T13" i="1"/>
  <c r="K13" i="1"/>
  <c r="N13" i="1"/>
  <c r="P13" i="1"/>
  <c r="B13" i="1"/>
  <c r="Z13" i="1"/>
  <c r="R13" i="1"/>
  <c r="Z63" i="1"/>
  <c r="T63" i="1"/>
  <c r="AO64" i="1"/>
  <c r="J64" i="1"/>
  <c r="A65" i="1"/>
  <c r="AJ65" i="1" s="1"/>
  <c r="B64" i="1"/>
  <c r="C64" i="1" s="1"/>
  <c r="E64" i="1" s="1"/>
  <c r="H64" i="1"/>
  <c r="AJ64" i="1"/>
  <c r="G63" i="1"/>
  <c r="K63" i="1"/>
  <c r="Q62" i="1"/>
  <c r="S62" i="1" s="1"/>
  <c r="U62" i="1" s="1"/>
  <c r="W62" i="1" s="1"/>
  <c r="AA62" i="1" s="1"/>
  <c r="AN62" i="1" s="1"/>
  <c r="AP63" i="1" s="1"/>
  <c r="Y63" i="9" s="1"/>
  <c r="V63" i="9" s="1"/>
  <c r="T63" i="9" s="1"/>
  <c r="S65" i="9" s="1"/>
  <c r="W67" i="9" s="1"/>
  <c r="L63" i="1"/>
  <c r="R63" i="1"/>
  <c r="N63" i="1"/>
  <c r="V63" i="1"/>
  <c r="M64" i="1"/>
  <c r="X64" i="1" s="1"/>
  <c r="Z64" i="1" s="1"/>
  <c r="F64" i="1"/>
  <c r="I64" i="1"/>
  <c r="AC64" i="1"/>
  <c r="AD64" i="1" s="1"/>
  <c r="AE64" i="1" s="1"/>
  <c r="AK64" i="1"/>
  <c r="AH64" i="1" s="1"/>
  <c r="P63" i="1"/>
  <c r="AK13" i="1"/>
  <c r="AC13" i="1"/>
  <c r="AJ13" i="1"/>
  <c r="M13" i="1"/>
  <c r="Y13" i="1"/>
  <c r="I13" i="1"/>
  <c r="J13" i="1"/>
  <c r="H13" i="1"/>
  <c r="AI62" i="1"/>
  <c r="X14" i="1"/>
  <c r="A12" i="1"/>
  <c r="AG63" i="1"/>
  <c r="N97" i="3" l="1" a="1"/>
  <c r="N97" i="3" s="1"/>
  <c r="AA105" i="3" s="1"/>
  <c r="O97" i="3" a="1"/>
  <c r="O97" i="3" s="1"/>
  <c r="AB105" i="3" s="1"/>
  <c r="AC98" i="6"/>
  <c r="AI98" i="6" s="1"/>
  <c r="AJ98" i="6" s="1"/>
  <c r="Z98" i="9" s="1"/>
  <c r="X99" i="6"/>
  <c r="Z99" i="6" s="1"/>
  <c r="H99" i="6"/>
  <c r="M100" i="6"/>
  <c r="K100" i="6"/>
  <c r="AE101" i="6"/>
  <c r="D101" i="6"/>
  <c r="AF101" i="6"/>
  <c r="O101" i="6"/>
  <c r="B101" i="6"/>
  <c r="C101" i="6" s="1"/>
  <c r="R101" i="6"/>
  <c r="S101" i="6" s="1"/>
  <c r="T101" i="6"/>
  <c r="A102" i="6"/>
  <c r="J101" i="6"/>
  <c r="AG100" i="6"/>
  <c r="AH100" i="6"/>
  <c r="G100" i="6"/>
  <c r="E100" i="6"/>
  <c r="F100" i="6" s="1"/>
  <c r="U100" i="6"/>
  <c r="V100" i="6" s="1"/>
  <c r="Y100" i="6"/>
  <c r="W100" i="6"/>
  <c r="AB100" i="6"/>
  <c r="L99" i="6"/>
  <c r="N99" i="6"/>
  <c r="P99" i="6" s="1"/>
  <c r="AG12" i="1"/>
  <c r="AI12" i="1"/>
  <c r="AN12" i="1"/>
  <c r="O12" i="1"/>
  <c r="AF12" i="1"/>
  <c r="Q12" i="1"/>
  <c r="AH12" i="1"/>
  <c r="S12" i="1"/>
  <c r="AM12" i="1"/>
  <c r="U12" i="1"/>
  <c r="AO12" i="1"/>
  <c r="W12" i="1"/>
  <c r="C12" i="1"/>
  <c r="E12" i="1" s="1"/>
  <c r="T12" i="1"/>
  <c r="AP12" i="1"/>
  <c r="AA12" i="1"/>
  <c r="G12" i="1"/>
  <c r="Z12" i="1"/>
  <c r="AE12" i="1"/>
  <c r="L12" i="1"/>
  <c r="AD12" i="1"/>
  <c r="R12" i="1"/>
  <c r="F12" i="1"/>
  <c r="D12" i="1"/>
  <c r="K12" i="1"/>
  <c r="B12" i="1"/>
  <c r="N12" i="1"/>
  <c r="V12" i="1"/>
  <c r="P12" i="1"/>
  <c r="G64" i="1"/>
  <c r="A66" i="1"/>
  <c r="AK66" i="1" s="1"/>
  <c r="AH66" i="1" s="1"/>
  <c r="I65" i="1"/>
  <c r="F65" i="1"/>
  <c r="AC65" i="1"/>
  <c r="AD65" i="1" s="1"/>
  <c r="AE65" i="1" s="1"/>
  <c r="Y65" i="1"/>
  <c r="M65" i="1"/>
  <c r="X65" i="1" s="1"/>
  <c r="AK65" i="1"/>
  <c r="AH65" i="1" s="1"/>
  <c r="AO65" i="1"/>
  <c r="B65" i="1"/>
  <c r="C65" i="1" s="1"/>
  <c r="E65" i="1" s="1"/>
  <c r="H65" i="1"/>
  <c r="J65" i="1"/>
  <c r="O63" i="1"/>
  <c r="Q63" i="1" s="1"/>
  <c r="S63" i="1" s="1"/>
  <c r="U63" i="1" s="1"/>
  <c r="W63" i="1" s="1"/>
  <c r="AA63" i="1" s="1"/>
  <c r="K64" i="1"/>
  <c r="L64" i="1"/>
  <c r="AF64" i="1"/>
  <c r="AG64" i="1" s="1"/>
  <c r="N64" i="1"/>
  <c r="T64" i="1"/>
  <c r="V64" i="1"/>
  <c r="R64" i="1"/>
  <c r="P64" i="1"/>
  <c r="AK12" i="1"/>
  <c r="AC12" i="1"/>
  <c r="AJ12" i="1"/>
  <c r="M12" i="1"/>
  <c r="Y12" i="1"/>
  <c r="I12" i="1"/>
  <c r="J12" i="1"/>
  <c r="H12" i="1"/>
  <c r="AL63" i="1"/>
  <c r="AM63" i="1" s="1"/>
  <c r="A11" i="1"/>
  <c r="X13" i="1"/>
  <c r="AL16" i="1"/>
  <c r="AL15" i="1"/>
  <c r="X100" i="6" l="1"/>
  <c r="Z100" i="6" s="1"/>
  <c r="H100" i="6"/>
  <c r="AC99" i="6"/>
  <c r="AI99" i="6" s="1"/>
  <c r="AJ99" i="6" s="1"/>
  <c r="Z99" i="9" s="1"/>
  <c r="AG101" i="6"/>
  <c r="AH101" i="6"/>
  <c r="G101" i="6"/>
  <c r="E101" i="6"/>
  <c r="F101" i="6" s="1"/>
  <c r="M101" i="6"/>
  <c r="K101" i="6"/>
  <c r="D102" i="6"/>
  <c r="R102" i="6"/>
  <c r="S102" i="6" s="1"/>
  <c r="J102" i="6"/>
  <c r="A103" i="6"/>
  <c r="T102" i="6"/>
  <c r="AE102" i="6"/>
  <c r="AF102" i="6"/>
  <c r="B102" i="6"/>
  <c r="C102" i="6" s="1"/>
  <c r="O102" i="6"/>
  <c r="L100" i="6"/>
  <c r="N100" i="6"/>
  <c r="P100" i="6" s="1"/>
  <c r="U101" i="6"/>
  <c r="V101" i="6" s="1"/>
  <c r="Y101" i="6"/>
  <c r="W101" i="6"/>
  <c r="AB101" i="6"/>
  <c r="AE11" i="1"/>
  <c r="AG11" i="1"/>
  <c r="AI11" i="1"/>
  <c r="AP11" i="1"/>
  <c r="L11" i="1"/>
  <c r="AD11" i="1"/>
  <c r="O11" i="1"/>
  <c r="AF11" i="1"/>
  <c r="Q11" i="1"/>
  <c r="AH11" i="1"/>
  <c r="S11" i="1"/>
  <c r="AM11" i="1"/>
  <c r="U11" i="1"/>
  <c r="AO11" i="1"/>
  <c r="AN11" i="1"/>
  <c r="W11" i="1"/>
  <c r="C11" i="1"/>
  <c r="E11" i="1" s="1"/>
  <c r="AA11" i="1"/>
  <c r="V11" i="1"/>
  <c r="G11" i="1"/>
  <c r="Z11" i="1"/>
  <c r="P11" i="1"/>
  <c r="R11" i="1"/>
  <c r="F11" i="1"/>
  <c r="T11" i="1"/>
  <c r="D11" i="1"/>
  <c r="B11" i="1"/>
  <c r="K11" i="1"/>
  <c r="N11" i="1"/>
  <c r="Y66" i="1"/>
  <c r="H66" i="1"/>
  <c r="AJ66" i="1"/>
  <c r="J66" i="1"/>
  <c r="I66" i="1"/>
  <c r="M66" i="1"/>
  <c r="X66" i="1" s="1"/>
  <c r="AC66" i="1"/>
  <c r="AF66" i="1" s="1"/>
  <c r="B66" i="1"/>
  <c r="C66" i="1" s="1"/>
  <c r="E66" i="1" s="1"/>
  <c r="F66" i="1"/>
  <c r="AO66" i="1"/>
  <c r="A67" i="1"/>
  <c r="AJ67" i="1" s="1"/>
  <c r="Z65" i="1"/>
  <c r="R65" i="1"/>
  <c r="AF65" i="1"/>
  <c r="AG65" i="1" s="1"/>
  <c r="AL65" i="1" s="1"/>
  <c r="AM65" i="1" s="1"/>
  <c r="T65" i="1"/>
  <c r="L65" i="1"/>
  <c r="G65" i="1"/>
  <c r="K65" i="1"/>
  <c r="P65" i="1"/>
  <c r="V65" i="1"/>
  <c r="N65" i="1"/>
  <c r="O64" i="1"/>
  <c r="Q64" i="1" s="1"/>
  <c r="S64" i="1" s="1"/>
  <c r="U64" i="1" s="1"/>
  <c r="W64" i="1" s="1"/>
  <c r="AA64" i="1" s="1"/>
  <c r="AN63" i="1"/>
  <c r="AP64" i="1" s="1"/>
  <c r="Y64" i="9" s="1"/>
  <c r="V64" i="9" s="1"/>
  <c r="T64" i="9" s="1"/>
  <c r="S66" i="9" s="1"/>
  <c r="W68" i="9" s="1"/>
  <c r="AK11" i="1"/>
  <c r="AC11" i="1"/>
  <c r="AJ11" i="1"/>
  <c r="M11" i="1"/>
  <c r="Y11" i="1"/>
  <c r="I11" i="1"/>
  <c r="J11" i="1"/>
  <c r="H11" i="1"/>
  <c r="AI63" i="1"/>
  <c r="A10" i="1"/>
  <c r="X12" i="1"/>
  <c r="AL14" i="1"/>
  <c r="AL64" i="1"/>
  <c r="AM64" i="1" s="1"/>
  <c r="AC100" i="6" l="1"/>
  <c r="AI100" i="6" s="1"/>
  <c r="AJ100" i="6" s="1"/>
  <c r="Z100" i="9" s="1"/>
  <c r="H101" i="6"/>
  <c r="X101" i="6"/>
  <c r="Z101" i="6" s="1"/>
  <c r="AB102" i="6"/>
  <c r="U102" i="6"/>
  <c r="V102" i="6" s="1"/>
  <c r="W102" i="6"/>
  <c r="Y102" i="6"/>
  <c r="R103" i="6"/>
  <c r="S103" i="6" s="1"/>
  <c r="J103" i="6"/>
  <c r="A104" i="6"/>
  <c r="B103" i="6"/>
  <c r="C103" i="6" s="1"/>
  <c r="T103" i="6"/>
  <c r="AE103" i="6"/>
  <c r="D103" i="6"/>
  <c r="AF103" i="6"/>
  <c r="O103" i="6"/>
  <c r="K102" i="6"/>
  <c r="M102" i="6"/>
  <c r="G102" i="6"/>
  <c r="E102" i="6"/>
  <c r="F102" i="6" s="1"/>
  <c r="L101" i="6"/>
  <c r="N101" i="6"/>
  <c r="P101" i="6" s="1"/>
  <c r="AG102" i="6"/>
  <c r="AH102" i="6"/>
  <c r="AN10" i="1"/>
  <c r="AG10" i="1"/>
  <c r="AE10" i="1"/>
  <c r="G10" i="1"/>
  <c r="Z10" i="1"/>
  <c r="L10" i="1"/>
  <c r="AD10" i="1"/>
  <c r="O10" i="1"/>
  <c r="AF10" i="1"/>
  <c r="Q10" i="1"/>
  <c r="AH10" i="1"/>
  <c r="S10" i="1"/>
  <c r="AM10" i="1"/>
  <c r="AI10" i="1"/>
  <c r="U10" i="1"/>
  <c r="AO10" i="1"/>
  <c r="AP10" i="1"/>
  <c r="W10" i="1"/>
  <c r="C10" i="1"/>
  <c r="E10" i="1" s="1"/>
  <c r="T10" i="1"/>
  <c r="AA10" i="1"/>
  <c r="V10" i="1"/>
  <c r="N10" i="1"/>
  <c r="P10" i="1"/>
  <c r="R10" i="1"/>
  <c r="B10" i="1"/>
  <c r="F10" i="1"/>
  <c r="D10" i="1"/>
  <c r="K10" i="1"/>
  <c r="Z66" i="1"/>
  <c r="Y67" i="1"/>
  <c r="G66" i="1"/>
  <c r="O65" i="1"/>
  <c r="Q65" i="1" s="1"/>
  <c r="S65" i="1" s="1"/>
  <c r="U65" i="1" s="1"/>
  <c r="W65" i="1" s="1"/>
  <c r="AA65" i="1" s="1"/>
  <c r="AN65" i="1" s="1"/>
  <c r="P66" i="1"/>
  <c r="K66" i="1"/>
  <c r="L66" i="1"/>
  <c r="H67" i="1"/>
  <c r="AD66" i="1"/>
  <c r="AE66" i="1" s="1"/>
  <c r="AG66" i="1" s="1"/>
  <c r="AO67" i="1"/>
  <c r="A68" i="1"/>
  <c r="AO68" i="1" s="1"/>
  <c r="B67" i="1"/>
  <c r="C67" i="1" s="1"/>
  <c r="E67" i="1" s="1"/>
  <c r="I67" i="1"/>
  <c r="AC67" i="1"/>
  <c r="AD67" i="1" s="1"/>
  <c r="AE67" i="1" s="1"/>
  <c r="M67" i="1"/>
  <c r="T67" i="1" s="1"/>
  <c r="AK67" i="1"/>
  <c r="AH67" i="1" s="1"/>
  <c r="F67" i="1"/>
  <c r="J67" i="1"/>
  <c r="T66" i="1"/>
  <c r="R66" i="1"/>
  <c r="N66" i="1"/>
  <c r="V66" i="1"/>
  <c r="AN64" i="1"/>
  <c r="AP65" i="1" s="1"/>
  <c r="Y65" i="9" s="1"/>
  <c r="V65" i="9" s="1"/>
  <c r="T65" i="9" s="1"/>
  <c r="S67" i="9" s="1"/>
  <c r="W69" i="9" s="1"/>
  <c r="AK10" i="1"/>
  <c r="AC10" i="1"/>
  <c r="AJ10" i="1"/>
  <c r="M10" i="1"/>
  <c r="Y10" i="1"/>
  <c r="I10" i="1"/>
  <c r="J10" i="1"/>
  <c r="H10" i="1"/>
  <c r="AL13" i="1"/>
  <c r="AL12" i="1"/>
  <c r="AI64" i="1"/>
  <c r="X11" i="1"/>
  <c r="AI65" i="1"/>
  <c r="A9" i="1"/>
  <c r="AC101" i="6" l="1"/>
  <c r="AI101" i="6" s="1"/>
  <c r="AJ101" i="6" s="1"/>
  <c r="Z101" i="9" s="1"/>
  <c r="H102" i="6"/>
  <c r="X102" i="6"/>
  <c r="Z102" i="6" s="1"/>
  <c r="R104" i="6"/>
  <c r="S104" i="6" s="1"/>
  <c r="J104" i="6"/>
  <c r="A105" i="6"/>
  <c r="B104" i="6"/>
  <c r="C104" i="6" s="1"/>
  <c r="T104" i="6"/>
  <c r="AE104" i="6"/>
  <c r="D104" i="6"/>
  <c r="AF104" i="6"/>
  <c r="O104" i="6"/>
  <c r="L102" i="6"/>
  <c r="N102" i="6"/>
  <c r="P102" i="6" s="1"/>
  <c r="K103" i="6"/>
  <c r="M103" i="6"/>
  <c r="AG103" i="6"/>
  <c r="AH103" i="6"/>
  <c r="E103" i="6"/>
  <c r="F103" i="6" s="1"/>
  <c r="G103" i="6"/>
  <c r="AB103" i="6"/>
  <c r="U103" i="6"/>
  <c r="V103" i="6" s="1"/>
  <c r="W103" i="6"/>
  <c r="Y103" i="6"/>
  <c r="AI9" i="1"/>
  <c r="AP9" i="1"/>
  <c r="AA9" i="1"/>
  <c r="V9" i="1"/>
  <c r="AG9" i="1"/>
  <c r="AE9" i="1"/>
  <c r="G9" i="1"/>
  <c r="L9" i="1"/>
  <c r="AD9" i="1"/>
  <c r="O9" i="1"/>
  <c r="AF9" i="1"/>
  <c r="Q9" i="1"/>
  <c r="AH9" i="1"/>
  <c r="S9" i="1"/>
  <c r="AM9" i="1"/>
  <c r="AN9" i="1"/>
  <c r="U9" i="1"/>
  <c r="AO9" i="1"/>
  <c r="W9" i="1"/>
  <c r="C9" i="1"/>
  <c r="E9" i="1" s="1"/>
  <c r="Z9" i="1"/>
  <c r="N9" i="1"/>
  <c r="P9" i="1"/>
  <c r="B9" i="1"/>
  <c r="R9" i="1"/>
  <c r="T9" i="1"/>
  <c r="F9" i="1"/>
  <c r="D9" i="1"/>
  <c r="K9" i="1"/>
  <c r="A69" i="1"/>
  <c r="M69" i="1" s="1"/>
  <c r="R67" i="1"/>
  <c r="O66" i="1"/>
  <c r="Q66" i="1" s="1"/>
  <c r="S66" i="1" s="1"/>
  <c r="U66" i="1" s="1"/>
  <c r="W66" i="1" s="1"/>
  <c r="AA66" i="1" s="1"/>
  <c r="X67" i="1"/>
  <c r="Z67" i="1" s="1"/>
  <c r="H68" i="1"/>
  <c r="AK68" i="1"/>
  <c r="AH68" i="1" s="1"/>
  <c r="G67" i="1"/>
  <c r="AF67" i="1"/>
  <c r="AG67" i="1" s="1"/>
  <c r="AL67" i="1" s="1"/>
  <c r="AM67" i="1" s="1"/>
  <c r="P67" i="1"/>
  <c r="L67" i="1"/>
  <c r="V67" i="1"/>
  <c r="N67" i="1"/>
  <c r="B68" i="1"/>
  <c r="C68" i="1" s="1"/>
  <c r="E68" i="1" s="1"/>
  <c r="F68" i="1"/>
  <c r="J68" i="1"/>
  <c r="Y68" i="1"/>
  <c r="AJ68" i="1"/>
  <c r="I68" i="1"/>
  <c r="M68" i="1"/>
  <c r="R68" i="1" s="1"/>
  <c r="AC68" i="1"/>
  <c r="AF68" i="1" s="1"/>
  <c r="K67" i="1"/>
  <c r="AP66" i="1"/>
  <c r="Y66" i="9" s="1"/>
  <c r="V66" i="9" s="1"/>
  <c r="T66" i="9" s="1"/>
  <c r="S68" i="9" s="1"/>
  <c r="W70" i="9" s="1"/>
  <c r="AK9" i="1"/>
  <c r="AC9" i="1"/>
  <c r="AJ9" i="1"/>
  <c r="M9" i="1"/>
  <c r="Y9" i="1"/>
  <c r="I9" i="1"/>
  <c r="J9" i="1"/>
  <c r="H9" i="1"/>
  <c r="A8" i="1"/>
  <c r="X10" i="1"/>
  <c r="AL11" i="1"/>
  <c r="AL66" i="1"/>
  <c r="AM66" i="1" s="1"/>
  <c r="AC102" i="6" l="1"/>
  <c r="AI102" i="6" s="1"/>
  <c r="AJ102" i="6" s="1"/>
  <c r="Z102" i="9" s="1"/>
  <c r="H103" i="6"/>
  <c r="X103" i="6"/>
  <c r="Z103" i="6" s="1"/>
  <c r="AG104" i="6"/>
  <c r="AH104" i="6"/>
  <c r="E104" i="6"/>
  <c r="F104" i="6" s="1"/>
  <c r="G104" i="6"/>
  <c r="AB104" i="6"/>
  <c r="U104" i="6"/>
  <c r="V104" i="6" s="1"/>
  <c r="W104" i="6"/>
  <c r="Y104" i="6"/>
  <c r="L103" i="6"/>
  <c r="N103" i="6"/>
  <c r="P103" i="6" s="1"/>
  <c r="R105" i="6"/>
  <c r="S105" i="6" s="1"/>
  <c r="J105" i="6"/>
  <c r="A106" i="6"/>
  <c r="B105" i="6"/>
  <c r="C105" i="6" s="1"/>
  <c r="T105" i="6"/>
  <c r="AE105" i="6"/>
  <c r="D105" i="6"/>
  <c r="AF105" i="6"/>
  <c r="O105" i="6"/>
  <c r="K104" i="6"/>
  <c r="M104" i="6"/>
  <c r="AK69" i="1"/>
  <c r="AH69" i="1" s="1"/>
  <c r="AG8" i="1"/>
  <c r="AN8" i="1"/>
  <c r="AP8" i="1"/>
  <c r="W8" i="1"/>
  <c r="C8" i="1"/>
  <c r="E8" i="1" s="1"/>
  <c r="T8" i="1"/>
  <c r="AA8" i="1"/>
  <c r="AE8" i="1"/>
  <c r="G8" i="1"/>
  <c r="Z8" i="1"/>
  <c r="L8" i="1"/>
  <c r="AD8" i="1"/>
  <c r="O8" i="1"/>
  <c r="AF8" i="1"/>
  <c r="Q8" i="1"/>
  <c r="AI8" i="1"/>
  <c r="S8" i="1"/>
  <c r="AM8" i="1"/>
  <c r="U8" i="1"/>
  <c r="AO8" i="1"/>
  <c r="V8" i="1"/>
  <c r="K8" i="1"/>
  <c r="B8" i="1"/>
  <c r="N8" i="1"/>
  <c r="P8" i="1"/>
  <c r="AH8" i="1"/>
  <c r="R8" i="1"/>
  <c r="F8" i="1"/>
  <c r="D8" i="1"/>
  <c r="B69" i="1"/>
  <c r="C69" i="1" s="1"/>
  <c r="E69" i="1" s="1"/>
  <c r="A70" i="1"/>
  <c r="F69" i="1"/>
  <c r="P68" i="1"/>
  <c r="AJ69" i="1"/>
  <c r="J69" i="1"/>
  <c r="I69" i="1"/>
  <c r="AC69" i="1"/>
  <c r="AD69" i="1" s="1"/>
  <c r="AE69" i="1" s="1"/>
  <c r="H69" i="1"/>
  <c r="Y69" i="1"/>
  <c r="AO69" i="1"/>
  <c r="AD68" i="1"/>
  <c r="AE68" i="1" s="1"/>
  <c r="AG68" i="1" s="1"/>
  <c r="AL68" i="1" s="1"/>
  <c r="AM68" i="1" s="1"/>
  <c r="O67" i="1"/>
  <c r="Q67" i="1" s="1"/>
  <c r="S67" i="1" s="1"/>
  <c r="U67" i="1" s="1"/>
  <c r="W67" i="1" s="1"/>
  <c r="AA67" i="1" s="1"/>
  <c r="AN67" i="1" s="1"/>
  <c r="X68" i="1"/>
  <c r="Z68" i="1" s="1"/>
  <c r="T68" i="1"/>
  <c r="N68" i="1"/>
  <c r="V68" i="1"/>
  <c r="K68" i="1"/>
  <c r="L68" i="1"/>
  <c r="G68" i="1"/>
  <c r="AN66" i="1"/>
  <c r="AP67" i="1" s="1"/>
  <c r="Y67" i="9" s="1"/>
  <c r="V67" i="9" s="1"/>
  <c r="T67" i="9" s="1"/>
  <c r="S69" i="9" s="1"/>
  <c r="W71" i="9" s="1"/>
  <c r="AK8" i="1"/>
  <c r="AC8" i="1"/>
  <c r="AJ8" i="1"/>
  <c r="M8" i="1"/>
  <c r="Y8" i="1"/>
  <c r="I8" i="1"/>
  <c r="J8" i="1"/>
  <c r="H8" i="1"/>
  <c r="A7" i="1"/>
  <c r="X9" i="1"/>
  <c r="X69" i="1"/>
  <c r="N69" i="1"/>
  <c r="T69" i="1"/>
  <c r="P69" i="1"/>
  <c r="R69" i="1"/>
  <c r="V69" i="1"/>
  <c r="AI66" i="1"/>
  <c r="AI67" i="1"/>
  <c r="X104" i="6" l="1"/>
  <c r="AC103" i="6"/>
  <c r="AI103" i="6" s="1"/>
  <c r="AJ103" i="6" s="1"/>
  <c r="Z103" i="9" s="1"/>
  <c r="Z104" i="6"/>
  <c r="L104" i="6"/>
  <c r="N104" i="6"/>
  <c r="P104" i="6" s="1"/>
  <c r="K105" i="6"/>
  <c r="M105" i="6"/>
  <c r="AG105" i="6"/>
  <c r="AH105" i="6"/>
  <c r="H104" i="6"/>
  <c r="E105" i="6"/>
  <c r="F105" i="6" s="1"/>
  <c r="G105" i="6"/>
  <c r="AB105" i="6"/>
  <c r="U105" i="6"/>
  <c r="V105" i="6" s="1"/>
  <c r="W105" i="6"/>
  <c r="Y105" i="6"/>
  <c r="R106" i="6"/>
  <c r="S106" i="6" s="1"/>
  <c r="J106" i="6"/>
  <c r="A107" i="6"/>
  <c r="B106" i="6"/>
  <c r="C106" i="6" s="1"/>
  <c r="T106" i="6"/>
  <c r="AE106" i="6"/>
  <c r="D106" i="6"/>
  <c r="AF106" i="6"/>
  <c r="O106" i="6"/>
  <c r="AP7" i="1"/>
  <c r="AI7" i="1"/>
  <c r="AN7" i="1"/>
  <c r="U7" i="1"/>
  <c r="AO7" i="1"/>
  <c r="W7" i="1"/>
  <c r="C7" i="1"/>
  <c r="E7" i="1" s="1"/>
  <c r="AG7" i="1"/>
  <c r="AA7" i="1"/>
  <c r="V7" i="1"/>
  <c r="AE7" i="1"/>
  <c r="G7" i="1"/>
  <c r="Z7" i="1"/>
  <c r="L7" i="1"/>
  <c r="AD7" i="1"/>
  <c r="O7" i="1"/>
  <c r="Q7" i="1"/>
  <c r="AH7" i="1"/>
  <c r="S7" i="1"/>
  <c r="AM7" i="1"/>
  <c r="AF7" i="1"/>
  <c r="D7" i="1"/>
  <c r="B7" i="1"/>
  <c r="K7" i="1"/>
  <c r="N7" i="1"/>
  <c r="P7" i="1"/>
  <c r="R7" i="1"/>
  <c r="T7" i="1"/>
  <c r="F7" i="1"/>
  <c r="G69" i="1"/>
  <c r="AJ70" i="1"/>
  <c r="A71" i="1"/>
  <c r="AK70" i="1"/>
  <c r="J70" i="1"/>
  <c r="AC70" i="1"/>
  <c r="F70" i="1"/>
  <c r="B70" i="1"/>
  <c r="C70" i="1" s="1"/>
  <c r="E70" i="1" s="1"/>
  <c r="AO70" i="1"/>
  <c r="H70" i="1"/>
  <c r="M70" i="1"/>
  <c r="Y70" i="1"/>
  <c r="I70" i="1"/>
  <c r="K69" i="1"/>
  <c r="Z69" i="1"/>
  <c r="L69" i="1"/>
  <c r="O69" i="1" s="1"/>
  <c r="AF69" i="1"/>
  <c r="AG69" i="1" s="1"/>
  <c r="AL69" i="1" s="1"/>
  <c r="AM69" i="1" s="1"/>
  <c r="O68" i="1"/>
  <c r="Q68" i="1" s="1"/>
  <c r="S68" i="1" s="1"/>
  <c r="U68" i="1" s="1"/>
  <c r="W68" i="1" s="1"/>
  <c r="AA68" i="1" s="1"/>
  <c r="AN68" i="1" s="1"/>
  <c r="AP69" i="1" s="1"/>
  <c r="Y69" i="9" s="1"/>
  <c r="V69" i="9" s="1"/>
  <c r="T69" i="9" s="1"/>
  <c r="S71" i="9" s="1"/>
  <c r="W73" i="9" s="1"/>
  <c r="AP68" i="1"/>
  <c r="Y68" i="9" s="1"/>
  <c r="V68" i="9" s="1"/>
  <c r="T68" i="9" s="1"/>
  <c r="S70" i="9" s="1"/>
  <c r="W72" i="9" s="1"/>
  <c r="AJ7" i="1"/>
  <c r="AK7" i="1"/>
  <c r="Y7" i="1"/>
  <c r="AC7" i="1"/>
  <c r="J7" i="1"/>
  <c r="M7" i="1"/>
  <c r="H7" i="1"/>
  <c r="I7" i="1"/>
  <c r="AI68" i="1"/>
  <c r="AL10" i="1"/>
  <c r="X8" i="1"/>
  <c r="H105" i="6" l="1"/>
  <c r="X105" i="6"/>
  <c r="Z105" i="6" s="1"/>
  <c r="AC104" i="6"/>
  <c r="AI104" i="6" s="1"/>
  <c r="AJ104" i="6" s="1"/>
  <c r="Z104" i="9" s="1"/>
  <c r="AB106" i="6"/>
  <c r="U106" i="6"/>
  <c r="V106" i="6" s="1"/>
  <c r="W106" i="6"/>
  <c r="Y106" i="6"/>
  <c r="R107" i="6"/>
  <c r="S107" i="6" s="1"/>
  <c r="J107" i="6"/>
  <c r="A108" i="6"/>
  <c r="B107" i="6"/>
  <c r="C107" i="6" s="1"/>
  <c r="T107" i="6"/>
  <c r="AE107" i="6"/>
  <c r="D107" i="6"/>
  <c r="AF107" i="6"/>
  <c r="O107" i="6"/>
  <c r="K106" i="6"/>
  <c r="M106" i="6"/>
  <c r="L105" i="6"/>
  <c r="N105" i="6"/>
  <c r="P105" i="6" s="1"/>
  <c r="AG106" i="6"/>
  <c r="AH106" i="6"/>
  <c r="E106" i="6"/>
  <c r="F106" i="6" s="1"/>
  <c r="G106" i="6"/>
  <c r="G70" i="1"/>
  <c r="AD70" i="1"/>
  <c r="AE70" i="1" s="1"/>
  <c r="AF70" i="1"/>
  <c r="L70" i="1"/>
  <c r="K70" i="1"/>
  <c r="AH70" i="1"/>
  <c r="AL70" i="1" s="1"/>
  <c r="AM70" i="1" s="1"/>
  <c r="T70" i="1"/>
  <c r="V70" i="1"/>
  <c r="R70" i="1"/>
  <c r="X70" i="1"/>
  <c r="Z70" i="1" s="1"/>
  <c r="N70" i="1"/>
  <c r="P70" i="1"/>
  <c r="A72" i="1"/>
  <c r="B71" i="1"/>
  <c r="C71" i="1" s="1"/>
  <c r="E71" i="1" s="1"/>
  <c r="F71" i="1"/>
  <c r="H71" i="1"/>
  <c r="AC71" i="1"/>
  <c r="J71" i="1"/>
  <c r="AJ71" i="1"/>
  <c r="I71" i="1"/>
  <c r="Y71" i="1"/>
  <c r="M71" i="1"/>
  <c r="AO71" i="1"/>
  <c r="AK71" i="1"/>
  <c r="AH71" i="1" s="1"/>
  <c r="AL71" i="1" s="1"/>
  <c r="Q69" i="1"/>
  <c r="S69" i="1" s="1"/>
  <c r="U69" i="1" s="1"/>
  <c r="W69" i="1" s="1"/>
  <c r="AA69" i="1" s="1"/>
  <c r="AN69" i="1" s="1"/>
  <c r="AP70" i="1" s="1"/>
  <c r="Y70" i="9" s="1"/>
  <c r="V70" i="9" s="1"/>
  <c r="T70" i="9" s="1"/>
  <c r="S72" i="9" s="1"/>
  <c r="W74" i="9" s="1"/>
  <c r="X7" i="1"/>
  <c r="AI69" i="1"/>
  <c r="AL8" i="1"/>
  <c r="AC105" i="6" l="1"/>
  <c r="AI105" i="6" s="1"/>
  <c r="AJ105" i="6" s="1"/>
  <c r="Z105" i="9" s="1"/>
  <c r="X106" i="6"/>
  <c r="Z106" i="6" s="1"/>
  <c r="H106" i="6"/>
  <c r="AG107" i="6"/>
  <c r="AH107" i="6"/>
  <c r="E107" i="6"/>
  <c r="F107" i="6" s="1"/>
  <c r="G107" i="6"/>
  <c r="AB107" i="6"/>
  <c r="U107" i="6"/>
  <c r="V107" i="6" s="1"/>
  <c r="W107" i="6"/>
  <c r="Y107" i="6"/>
  <c r="R108" i="6"/>
  <c r="S108" i="6" s="1"/>
  <c r="J108" i="6"/>
  <c r="A109" i="6"/>
  <c r="B108" i="6"/>
  <c r="C108" i="6" s="1"/>
  <c r="T108" i="6"/>
  <c r="AE108" i="6"/>
  <c r="D108" i="6"/>
  <c r="AF108" i="6"/>
  <c r="O108" i="6"/>
  <c r="L106" i="6"/>
  <c r="N106" i="6"/>
  <c r="P106" i="6" s="1"/>
  <c r="K107" i="6"/>
  <c r="M107" i="6"/>
  <c r="AM71" i="1"/>
  <c r="AG70" i="1"/>
  <c r="AI70" i="1" s="1"/>
  <c r="X71" i="1"/>
  <c r="Z71" i="1" s="1"/>
  <c r="P71" i="1"/>
  <c r="V71" i="1"/>
  <c r="N71" i="1"/>
  <c r="T71" i="1"/>
  <c r="R71" i="1"/>
  <c r="G71" i="1"/>
  <c r="M72" i="1"/>
  <c r="Y72" i="1"/>
  <c r="AK72" i="1"/>
  <c r="AH72" i="1" s="1"/>
  <c r="AL72" i="1" s="1"/>
  <c r="J72" i="1"/>
  <c r="AJ72" i="1"/>
  <c r="F72" i="1"/>
  <c r="AO72" i="1"/>
  <c r="B72" i="1"/>
  <c r="C72" i="1" s="1"/>
  <c r="E72" i="1" s="1"/>
  <c r="H72" i="1"/>
  <c r="A73" i="1"/>
  <c r="I72" i="1"/>
  <c r="AC72" i="1"/>
  <c r="K71" i="1"/>
  <c r="L71" i="1"/>
  <c r="O70" i="1"/>
  <c r="Q70" i="1" s="1"/>
  <c r="S70" i="1" s="1"/>
  <c r="U70" i="1" s="1"/>
  <c r="W70" i="1" s="1"/>
  <c r="AA70" i="1" s="1"/>
  <c r="AN70" i="1" s="1"/>
  <c r="AP71" i="1" s="1"/>
  <c r="Y71" i="9" s="1"/>
  <c r="V71" i="9" s="1"/>
  <c r="T71" i="9" s="1"/>
  <c r="S73" i="9" s="1"/>
  <c r="W75" i="9" s="1"/>
  <c r="AD71" i="1"/>
  <c r="AE71" i="1" s="1"/>
  <c r="AF71" i="1"/>
  <c r="AL9" i="1"/>
  <c r="E29" i="10" s="1" a="1"/>
  <c r="E29" i="10" s="1"/>
  <c r="O31" i="10" l="1" a="1"/>
  <c r="O31" i="10" s="1"/>
  <c r="J38" i="10" a="1"/>
  <c r="J38" i="10" s="1"/>
  <c r="F34" i="10" a="1"/>
  <c r="F34" i="10" s="1"/>
  <c r="G39" i="10" a="1"/>
  <c r="G39" i="10" s="1"/>
  <c r="H29" i="10" a="1"/>
  <c r="H29" i="10" s="1"/>
  <c r="I34" i="10" a="1"/>
  <c r="I34" i="10" s="1"/>
  <c r="J39" i="10" a="1"/>
  <c r="J39" i="10" s="1"/>
  <c r="K29" i="10" a="1"/>
  <c r="K29" i="10" s="1"/>
  <c r="L34" i="10" a="1"/>
  <c r="L34" i="10" s="1"/>
  <c r="M39" i="10" a="1"/>
  <c r="M39" i="10" s="1"/>
  <c r="J29" i="10" a="1"/>
  <c r="J29" i="10" s="1"/>
  <c r="K34" i="10" a="1"/>
  <c r="K34" i="10" s="1"/>
  <c r="L39" i="10" a="1"/>
  <c r="L39" i="10" s="1"/>
  <c r="H32" i="10" a="1"/>
  <c r="H32" i="10" s="1"/>
  <c r="I37" i="10" a="1"/>
  <c r="I37" i="10" s="1"/>
  <c r="J42" i="10" a="1"/>
  <c r="J42" i="10" s="1"/>
  <c r="K32" i="10" a="1"/>
  <c r="K32" i="10" s="1"/>
  <c r="L37" i="10" a="1"/>
  <c r="L37" i="10" s="1"/>
  <c r="M42" i="10" a="1"/>
  <c r="M42" i="10" s="1"/>
  <c r="N32" i="10" a="1"/>
  <c r="N32" i="10" s="1"/>
  <c r="O37" i="10" a="1"/>
  <c r="O37" i="10" s="1"/>
  <c r="P42" i="10" a="1"/>
  <c r="P42" i="10" s="1"/>
  <c r="M32" i="10" a="1"/>
  <c r="M32" i="10" s="1"/>
  <c r="N37" i="10" a="1"/>
  <c r="N37" i="10" s="1"/>
  <c r="O42" i="10" a="1"/>
  <c r="O42" i="10" s="1"/>
  <c r="G31" i="10" a="1"/>
  <c r="G31" i="10" s="1"/>
  <c r="H36" i="10" a="1"/>
  <c r="H36" i="10" s="1"/>
  <c r="I41" i="10" a="1"/>
  <c r="I41" i="10" s="1"/>
  <c r="J31" i="10" a="1"/>
  <c r="J31" i="10" s="1"/>
  <c r="K36" i="10" a="1"/>
  <c r="K36" i="10" s="1"/>
  <c r="L41" i="10" a="1"/>
  <c r="L41" i="10" s="1"/>
  <c r="M31" i="10" a="1"/>
  <c r="M31" i="10" s="1"/>
  <c r="N36" i="10" a="1"/>
  <c r="N36" i="10" s="1"/>
  <c r="O41" i="10" a="1"/>
  <c r="O41" i="10" s="1"/>
  <c r="L31" i="10" a="1"/>
  <c r="L31" i="10" s="1"/>
  <c r="M36" i="10" a="1"/>
  <c r="M36" i="10" s="1"/>
  <c r="N41" i="10" a="1"/>
  <c r="N41" i="10" s="1"/>
  <c r="P32" i="10" a="1"/>
  <c r="P32" i="10" s="1"/>
  <c r="Q37" i="10" a="1"/>
  <c r="Q37" i="10" s="1"/>
  <c r="E41" i="10" a="1"/>
  <c r="E41" i="10" s="1"/>
  <c r="F31" i="10" a="1"/>
  <c r="F31" i="10" s="1"/>
  <c r="G36" i="10" a="1"/>
  <c r="G36" i="10" s="1"/>
  <c r="H41" i="10" a="1"/>
  <c r="H41" i="10" s="1"/>
  <c r="I31" i="10" a="1"/>
  <c r="I31" i="10" s="1"/>
  <c r="J36" i="10" a="1"/>
  <c r="J36" i="10" s="1"/>
  <c r="K41" i="10" a="1"/>
  <c r="K41" i="10" s="1"/>
  <c r="H31" i="10" a="1"/>
  <c r="H31" i="10" s="1"/>
  <c r="I36" i="10" a="1"/>
  <c r="I36" i="10" s="1"/>
  <c r="J41" i="10" a="1"/>
  <c r="J41" i="10" s="1"/>
  <c r="P36" i="10" a="1"/>
  <c r="P36" i="10" s="1"/>
  <c r="Q41" i="10" a="1"/>
  <c r="Q41" i="10" s="1"/>
  <c r="E30" i="10" a="1"/>
  <c r="E30" i="10" s="1"/>
  <c r="F35" i="10" a="1"/>
  <c r="F35" i="10" s="1"/>
  <c r="G40" i="10" a="1"/>
  <c r="G40" i="10" s="1"/>
  <c r="H30" i="10" a="1"/>
  <c r="H30" i="10" s="1"/>
  <c r="I35" i="10" a="1"/>
  <c r="I35" i="10" s="1"/>
  <c r="J40" i="10" a="1"/>
  <c r="J40" i="10" s="1"/>
  <c r="G30" i="10" a="1"/>
  <c r="G30" i="10" s="1"/>
  <c r="H35" i="10" a="1"/>
  <c r="H35" i="10" s="1"/>
  <c r="I40" i="10" a="1"/>
  <c r="I40" i="10" s="1"/>
  <c r="Q29" i="10" a="1"/>
  <c r="Q29" i="10" s="1"/>
  <c r="E33" i="10" a="1"/>
  <c r="E33" i="10" s="1"/>
  <c r="F38" i="10" a="1"/>
  <c r="F38" i="10" s="1"/>
  <c r="Q28" i="10" a="1"/>
  <c r="Q28" i="10" s="1"/>
  <c r="H33" i="10" a="1"/>
  <c r="H33" i="10" s="1"/>
  <c r="I38" i="10" a="1"/>
  <c r="I38" i="10" s="1"/>
  <c r="N28" i="10" a="1"/>
  <c r="N28" i="10" s="1"/>
  <c r="K33" i="10" a="1"/>
  <c r="K33" i="10" s="1"/>
  <c r="L38" i="10" a="1"/>
  <c r="L38" i="10" s="1"/>
  <c r="K28" i="10" a="1"/>
  <c r="K28" i="10" s="1"/>
  <c r="J33" i="10" a="1"/>
  <c r="J33" i="10" s="1"/>
  <c r="K38" i="10" a="1"/>
  <c r="K38" i="10" s="1"/>
  <c r="L28" i="10" a="1"/>
  <c r="L28" i="10" s="1"/>
  <c r="Q33" i="10" a="1"/>
  <c r="Q33" i="10" s="1"/>
  <c r="E37" i="10" a="1"/>
  <c r="E37" i="10" s="1"/>
  <c r="F42" i="10" a="1"/>
  <c r="F42" i="10" s="1"/>
  <c r="G32" i="10" a="1"/>
  <c r="G32" i="10" s="1"/>
  <c r="H37" i="10" a="1"/>
  <c r="H37" i="10" s="1"/>
  <c r="I42" i="10" a="1"/>
  <c r="I42" i="10" s="1"/>
  <c r="J32" i="10" a="1"/>
  <c r="J32" i="10" s="1"/>
  <c r="K37" i="10" a="1"/>
  <c r="K37" i="10" s="1"/>
  <c r="L42" i="10" a="1"/>
  <c r="L42" i="10" s="1"/>
  <c r="I32" i="10" a="1"/>
  <c r="I32" i="10" s="1"/>
  <c r="J37" i="10" a="1"/>
  <c r="J37" i="10" s="1"/>
  <c r="K42" i="10" a="1"/>
  <c r="K42" i="10" s="1"/>
  <c r="M33" i="10" a="1"/>
  <c r="M33" i="10" s="1"/>
  <c r="N38" i="10" a="1"/>
  <c r="N38" i="10" s="1"/>
  <c r="I28" i="10" a="1"/>
  <c r="I28" i="10" s="1"/>
  <c r="P33" i="10" a="1"/>
  <c r="P33" i="10" s="1"/>
  <c r="Q38" i="10" a="1"/>
  <c r="Q38" i="10" s="1"/>
  <c r="E42" i="10" a="1"/>
  <c r="E42" i="10" s="1"/>
  <c r="F32" i="10" a="1"/>
  <c r="F32" i="10" s="1"/>
  <c r="G37" i="10" a="1"/>
  <c r="G37" i="10" s="1"/>
  <c r="H42" i="10" a="1"/>
  <c r="H42" i="10" s="1"/>
  <c r="E32" i="10" a="1"/>
  <c r="E32" i="10" s="1"/>
  <c r="F37" i="10" a="1"/>
  <c r="F37" i="10" s="1"/>
  <c r="G42" i="10" a="1"/>
  <c r="G42" i="10" s="1"/>
  <c r="L32" i="10" a="1"/>
  <c r="L32" i="10" s="1"/>
  <c r="M37" i="10" a="1"/>
  <c r="M37" i="10" s="1"/>
  <c r="N42" i="10" a="1"/>
  <c r="N42" i="10" s="1"/>
  <c r="O32" i="10" a="1"/>
  <c r="O32" i="10" s="1"/>
  <c r="P37" i="10" a="1"/>
  <c r="P37" i="10" s="1"/>
  <c r="Q42" i="10" a="1"/>
  <c r="Q42" i="10" s="1"/>
  <c r="E31" i="10" a="1"/>
  <c r="E31" i="10" s="1"/>
  <c r="F36" i="10" a="1"/>
  <c r="F36" i="10" s="1"/>
  <c r="G41" i="10" a="1"/>
  <c r="G41" i="10" s="1"/>
  <c r="Q32" i="10" a="1"/>
  <c r="Q32" i="10" s="1"/>
  <c r="E36" i="10" a="1"/>
  <c r="E36" i="10" s="1"/>
  <c r="F41" i="10" a="1"/>
  <c r="F41" i="10" s="1"/>
  <c r="N30" i="10" a="1"/>
  <c r="N30" i="10" s="1"/>
  <c r="O35" i="10" a="1"/>
  <c r="O35" i="10" s="1"/>
  <c r="P40" i="10" a="1"/>
  <c r="P40" i="10" s="1"/>
  <c r="Q30" i="10" a="1"/>
  <c r="Q30" i="10" s="1"/>
  <c r="E34" i="10" a="1"/>
  <c r="E34" i="10" s="1"/>
  <c r="F39" i="10" a="1"/>
  <c r="F39" i="10" s="1"/>
  <c r="G29" i="10" a="1"/>
  <c r="G29" i="10" s="1"/>
  <c r="H34" i="10" a="1"/>
  <c r="H34" i="10" s="1"/>
  <c r="I39" i="10" a="1"/>
  <c r="I39" i="10" s="1"/>
  <c r="F29" i="10" a="1"/>
  <c r="F29" i="10" s="1"/>
  <c r="G34" i="10" a="1"/>
  <c r="G34" i="10" s="1"/>
  <c r="H39" i="10" a="1"/>
  <c r="H39" i="10" s="1"/>
  <c r="M29" i="10" a="1"/>
  <c r="M29" i="10" s="1"/>
  <c r="N34" i="10" a="1"/>
  <c r="N34" i="10" s="1"/>
  <c r="O39" i="10" a="1"/>
  <c r="O39" i="10" s="1"/>
  <c r="P29" i="10" a="1"/>
  <c r="P29" i="10" s="1"/>
  <c r="Q34" i="10" a="1"/>
  <c r="Q34" i="10" s="1"/>
  <c r="E38" i="10" a="1"/>
  <c r="E38" i="10" s="1"/>
  <c r="F28" i="10" a="1"/>
  <c r="F28" i="10" s="1"/>
  <c r="G33" i="10" a="1"/>
  <c r="G33" i="10" s="1"/>
  <c r="H38" i="10" a="1"/>
  <c r="H38" i="10" s="1"/>
  <c r="O28" i="10" a="1"/>
  <c r="O28" i="10" s="1"/>
  <c r="F33" i="10" a="1"/>
  <c r="F33" i="10" s="1"/>
  <c r="G38" i="10" a="1"/>
  <c r="G38" i="10" s="1"/>
  <c r="I29" i="10" a="1"/>
  <c r="I29" i="10" s="1"/>
  <c r="J34" i="10" a="1"/>
  <c r="J34" i="10" s="1"/>
  <c r="K39" i="10" a="1"/>
  <c r="K39" i="10" s="1"/>
  <c r="L29" i="10" a="1"/>
  <c r="L29" i="10" s="1"/>
  <c r="M34" i="10" a="1"/>
  <c r="M34" i="10" s="1"/>
  <c r="N39" i="10" a="1"/>
  <c r="N39" i="10" s="1"/>
  <c r="O29" i="10" a="1"/>
  <c r="O29" i="10" s="1"/>
  <c r="P34" i="10" a="1"/>
  <c r="P34" i="10" s="1"/>
  <c r="Q39" i="10" a="1"/>
  <c r="Q39" i="10" s="1"/>
  <c r="N29" i="10" a="1"/>
  <c r="N29" i="10" s="1"/>
  <c r="O34" i="10" a="1"/>
  <c r="O34" i="10" s="1"/>
  <c r="P39" i="10" a="1"/>
  <c r="P39" i="10" s="1"/>
  <c r="P28" i="10" a="1"/>
  <c r="P28" i="10" s="1"/>
  <c r="I33" i="10" a="1"/>
  <c r="I33" i="10" s="1"/>
  <c r="M28" i="10" a="1"/>
  <c r="M28" i="10" s="1"/>
  <c r="L33" i="10" a="1"/>
  <c r="L33" i="10" s="1"/>
  <c r="M38" i="10" a="1"/>
  <c r="M38" i="10" s="1"/>
  <c r="J28" i="10" a="1"/>
  <c r="J28" i="10" s="1"/>
  <c r="O33" i="10" a="1"/>
  <c r="O33" i="10" s="1"/>
  <c r="P38" i="10" a="1"/>
  <c r="P38" i="10" s="1"/>
  <c r="G28" i="10" a="1"/>
  <c r="G28" i="10" s="1"/>
  <c r="N33" i="10" a="1"/>
  <c r="N33" i="10" s="1"/>
  <c r="O38" i="10" a="1"/>
  <c r="O38" i="10" s="1"/>
  <c r="H28" i="10" a="1"/>
  <c r="H28" i="10" s="1"/>
  <c r="K31" i="10" a="1"/>
  <c r="K31" i="10" s="1"/>
  <c r="L36" i="10" a="1"/>
  <c r="L36" i="10" s="1"/>
  <c r="M41" i="10" a="1"/>
  <c r="M41" i="10" s="1"/>
  <c r="N31" i="10" a="1"/>
  <c r="N31" i="10" s="1"/>
  <c r="O36" i="10" a="1"/>
  <c r="O36" i="10" s="1"/>
  <c r="P41" i="10" a="1"/>
  <c r="P41" i="10" s="1"/>
  <c r="Q31" i="10" a="1"/>
  <c r="Q31" i="10" s="1"/>
  <c r="E35" i="10" a="1"/>
  <c r="E35" i="10" s="1"/>
  <c r="F40" i="10" a="1"/>
  <c r="F40" i="10" s="1"/>
  <c r="P31" i="10" a="1"/>
  <c r="P31" i="10" s="1"/>
  <c r="Q36" i="10" a="1"/>
  <c r="Q36" i="10" s="1"/>
  <c r="E40" i="10" a="1"/>
  <c r="E40" i="10" s="1"/>
  <c r="J30" i="10" a="1"/>
  <c r="J30" i="10" s="1"/>
  <c r="K35" i="10" a="1"/>
  <c r="K35" i="10" s="1"/>
  <c r="L40" i="10" a="1"/>
  <c r="L40" i="10" s="1"/>
  <c r="M30" i="10" a="1"/>
  <c r="M30" i="10" s="1"/>
  <c r="N35" i="10" a="1"/>
  <c r="N35" i="10" s="1"/>
  <c r="O40" i="10" a="1"/>
  <c r="O40" i="10" s="1"/>
  <c r="P30" i="10" a="1"/>
  <c r="P30" i="10" s="1"/>
  <c r="Q35" i="10" a="1"/>
  <c r="Q35" i="10" s="1"/>
  <c r="E39" i="10" a="1"/>
  <c r="E39" i="10" s="1"/>
  <c r="O30" i="10" a="1"/>
  <c r="O30" i="10" s="1"/>
  <c r="P35" i="10" a="1"/>
  <c r="P35" i="10" s="1"/>
  <c r="Q40" i="10" a="1"/>
  <c r="Q40" i="10" s="1"/>
  <c r="F30" i="10" a="1"/>
  <c r="F30" i="10" s="1"/>
  <c r="G35" i="10" a="1"/>
  <c r="G35" i="10" s="1"/>
  <c r="H40" i="10" a="1"/>
  <c r="H40" i="10" s="1"/>
  <c r="I30" i="10" a="1"/>
  <c r="I30" i="10" s="1"/>
  <c r="J35" i="10" a="1"/>
  <c r="J35" i="10" s="1"/>
  <c r="K40" i="10" a="1"/>
  <c r="K40" i="10" s="1"/>
  <c r="L30" i="10" a="1"/>
  <c r="L30" i="10" s="1"/>
  <c r="M35" i="10" a="1"/>
  <c r="M35" i="10" s="1"/>
  <c r="N40" i="10" a="1"/>
  <c r="N40" i="10" s="1"/>
  <c r="K30" i="10" a="1"/>
  <c r="K30" i="10" s="1"/>
  <c r="L35" i="10" a="1"/>
  <c r="L35" i="10" s="1"/>
  <c r="M40" i="10" a="1"/>
  <c r="M40" i="10" s="1"/>
  <c r="AC106" i="6"/>
  <c r="AI106" i="6" s="1"/>
  <c r="AJ106" i="6" s="1"/>
  <c r="Z106" i="9" s="1"/>
  <c r="X107" i="6"/>
  <c r="Z107" i="6" s="1"/>
  <c r="H107" i="6"/>
  <c r="L107" i="6"/>
  <c r="N107" i="6"/>
  <c r="P107" i="6" s="1"/>
  <c r="R109" i="6"/>
  <c r="S109" i="6" s="1"/>
  <c r="J109" i="6"/>
  <c r="B109" i="6"/>
  <c r="C109" i="6" s="1"/>
  <c r="D109" i="6"/>
  <c r="O109" i="6"/>
  <c r="AE109" i="6"/>
  <c r="T109" i="6"/>
  <c r="AF109" i="6"/>
  <c r="A110" i="6"/>
  <c r="K108" i="6"/>
  <c r="M108" i="6"/>
  <c r="AG108" i="6"/>
  <c r="AH108" i="6"/>
  <c r="E108" i="6"/>
  <c r="F108" i="6" s="1"/>
  <c r="G108" i="6"/>
  <c r="AB108" i="6"/>
  <c r="U108" i="6"/>
  <c r="V108" i="6" s="1"/>
  <c r="W108" i="6"/>
  <c r="Y108" i="6"/>
  <c r="E28" i="10" a="1"/>
  <c r="E28" i="10" s="1"/>
  <c r="V41" i="10"/>
  <c r="V28" i="10"/>
  <c r="O71" i="1"/>
  <c r="Q71" i="1" s="1"/>
  <c r="S71" i="1" s="1"/>
  <c r="U71" i="1" s="1"/>
  <c r="W71" i="1" s="1"/>
  <c r="AA71" i="1" s="1"/>
  <c r="AN71" i="1" s="1"/>
  <c r="AP72" i="1" s="1"/>
  <c r="Y72" i="9" s="1"/>
  <c r="V72" i="9" s="1"/>
  <c r="T72" i="9" s="1"/>
  <c r="S74" i="9" s="1"/>
  <c r="W76" i="9" s="1"/>
  <c r="AG71" i="1"/>
  <c r="AI71" i="1" s="1"/>
  <c r="K72" i="1"/>
  <c r="G72" i="1"/>
  <c r="L72" i="1"/>
  <c r="AF72" i="1"/>
  <c r="AD72" i="1"/>
  <c r="AE72" i="1" s="1"/>
  <c r="AM72" i="1"/>
  <c r="AO73" i="1"/>
  <c r="AJ73" i="1"/>
  <c r="F73" i="1"/>
  <c r="H73" i="1"/>
  <c r="B73" i="1"/>
  <c r="C73" i="1" s="1"/>
  <c r="E73" i="1" s="1"/>
  <c r="I73" i="1"/>
  <c r="M73" i="1"/>
  <c r="AK73" i="1"/>
  <c r="AC73" i="1"/>
  <c r="Y73" i="1"/>
  <c r="A74" i="1"/>
  <c r="J73" i="1"/>
  <c r="X72" i="1"/>
  <c r="Z72" i="1" s="1"/>
  <c r="P72" i="1"/>
  <c r="V72" i="1"/>
  <c r="T72" i="1"/>
  <c r="R72" i="1"/>
  <c r="N72" i="1"/>
  <c r="H108" i="6" l="1"/>
  <c r="AC107" i="6"/>
  <c r="AI107" i="6" s="1"/>
  <c r="AJ107" i="6" s="1"/>
  <c r="Z107" i="9" s="1"/>
  <c r="X108" i="6"/>
  <c r="Z108" i="6" s="1"/>
  <c r="E109" i="6"/>
  <c r="F109" i="6" s="1"/>
  <c r="G109" i="6"/>
  <c r="L108" i="6"/>
  <c r="N108" i="6"/>
  <c r="P108" i="6" s="1"/>
  <c r="K109" i="6"/>
  <c r="M109" i="6"/>
  <c r="D110" i="6"/>
  <c r="AF110" i="6"/>
  <c r="O110" i="6"/>
  <c r="AE110" i="6"/>
  <c r="R110" i="6"/>
  <c r="S110" i="6" s="1"/>
  <c r="T110" i="6"/>
  <c r="J110" i="6"/>
  <c r="B110" i="6"/>
  <c r="C110" i="6" s="1"/>
  <c r="AH109" i="6"/>
  <c r="AG109" i="6"/>
  <c r="U109" i="6"/>
  <c r="V109" i="6" s="1"/>
  <c r="AB109" i="6"/>
  <c r="W109" i="6"/>
  <c r="Y109" i="6"/>
  <c r="AG41" i="10"/>
  <c r="Z28" i="10"/>
  <c r="AA28" i="10"/>
  <c r="AA41" i="10"/>
  <c r="AD28" i="10"/>
  <c r="AF28" i="10"/>
  <c r="Z41" i="10"/>
  <c r="Y28" i="10"/>
  <c r="AB28" i="10"/>
  <c r="AB41" i="10"/>
  <c r="AE28" i="10"/>
  <c r="AE41" i="10"/>
  <c r="AF41" i="10"/>
  <c r="AC28" i="10"/>
  <c r="Y41" i="10"/>
  <c r="AG28" i="10"/>
  <c r="AD41" i="10"/>
  <c r="AC41" i="10"/>
  <c r="AG43" i="10"/>
  <c r="AG42" i="10"/>
  <c r="X28" i="10"/>
  <c r="X41" i="10"/>
  <c r="W41" i="10"/>
  <c r="W28" i="10"/>
  <c r="V29" i="10"/>
  <c r="V42" i="10"/>
  <c r="AG72" i="1"/>
  <c r="AI72" i="1" s="1"/>
  <c r="I74" i="1"/>
  <c r="B74" i="1"/>
  <c r="C74" i="1" s="1"/>
  <c r="E74" i="1" s="1"/>
  <c r="AO74" i="1"/>
  <c r="AJ74" i="1"/>
  <c r="A75" i="1"/>
  <c r="H74" i="1"/>
  <c r="J74" i="1"/>
  <c r="M74" i="1"/>
  <c r="F74" i="1"/>
  <c r="AK74" i="1"/>
  <c r="AH74" i="1" s="1"/>
  <c r="AL74" i="1" s="1"/>
  <c r="AC74" i="1"/>
  <c r="Y74" i="1"/>
  <c r="AD73" i="1"/>
  <c r="AE73" i="1" s="1"/>
  <c r="AF73" i="1"/>
  <c r="AH73" i="1"/>
  <c r="AL73" i="1" s="1"/>
  <c r="AM73" i="1" s="1"/>
  <c r="X73" i="1"/>
  <c r="Z73" i="1" s="1"/>
  <c r="P73" i="1"/>
  <c r="N73" i="1"/>
  <c r="V73" i="1"/>
  <c r="T73" i="1"/>
  <c r="R73" i="1"/>
  <c r="K73" i="1"/>
  <c r="L73" i="1"/>
  <c r="G73" i="1"/>
  <c r="O72" i="1"/>
  <c r="Q72" i="1" s="1"/>
  <c r="S72" i="1" s="1"/>
  <c r="U72" i="1" s="1"/>
  <c r="W72" i="1" s="1"/>
  <c r="AA72" i="1" s="1"/>
  <c r="AN72" i="1" s="1"/>
  <c r="AP73" i="1" s="1"/>
  <c r="Y73" i="9" s="1"/>
  <c r="V73" i="9" s="1"/>
  <c r="T73" i="9" s="1"/>
  <c r="S75" i="9" s="1"/>
  <c r="W77" i="9" s="1"/>
  <c r="AC108" i="6" l="1"/>
  <c r="AI108" i="6" s="1"/>
  <c r="AJ108" i="6" s="1"/>
  <c r="Z108" i="9" s="1"/>
  <c r="H109" i="6"/>
  <c r="X109" i="6"/>
  <c r="Z109" i="6" s="1"/>
  <c r="M110" i="6"/>
  <c r="K110" i="6"/>
  <c r="L109" i="6"/>
  <c r="N109" i="6"/>
  <c r="P109" i="6" s="1"/>
  <c r="W110" i="6"/>
  <c r="Y110" i="6"/>
  <c r="AB110" i="6"/>
  <c r="U110" i="6"/>
  <c r="V110" i="6" s="1"/>
  <c r="AG110" i="6"/>
  <c r="AH110" i="6"/>
  <c r="E110" i="6"/>
  <c r="F110" i="6" s="1"/>
  <c r="G110" i="6"/>
  <c r="AC43" i="10"/>
  <c r="AC42" i="10"/>
  <c r="AB42" i="10"/>
  <c r="AD43" i="10"/>
  <c r="AD42" i="10"/>
  <c r="AB29" i="10"/>
  <c r="AD29" i="10"/>
  <c r="AF43" i="10"/>
  <c r="AF42" i="10"/>
  <c r="AE42" i="10"/>
  <c r="AA43" i="10"/>
  <c r="AA42" i="10"/>
  <c r="AG29" i="10"/>
  <c r="Y29" i="10"/>
  <c r="AE29" i="10"/>
  <c r="AA29" i="10"/>
  <c r="Y42" i="10"/>
  <c r="Z42" i="10"/>
  <c r="AC29" i="10"/>
  <c r="AF29" i="10"/>
  <c r="Z29" i="10"/>
  <c r="X43" i="10"/>
  <c r="X42" i="10"/>
  <c r="X29" i="10"/>
  <c r="W29" i="10"/>
  <c r="W42" i="10"/>
  <c r="V43" i="10"/>
  <c r="AM74" i="1"/>
  <c r="T74" i="1"/>
  <c r="V74" i="1"/>
  <c r="N74" i="1"/>
  <c r="R74" i="1"/>
  <c r="X74" i="1"/>
  <c r="Z74" i="1" s="1"/>
  <c r="P74" i="1"/>
  <c r="AG73" i="1"/>
  <c r="AI73" i="1" s="1"/>
  <c r="F75" i="1"/>
  <c r="I75" i="1"/>
  <c r="M75" i="1"/>
  <c r="J75" i="1"/>
  <c r="AK75" i="1"/>
  <c r="AH75" i="1" s="1"/>
  <c r="AL75" i="1" s="1"/>
  <c r="AC75" i="1"/>
  <c r="Y75" i="1"/>
  <c r="A76" i="1"/>
  <c r="B75" i="1"/>
  <c r="C75" i="1" s="1"/>
  <c r="E75" i="1" s="1"/>
  <c r="AO75" i="1"/>
  <c r="AJ75" i="1"/>
  <c r="H75" i="1"/>
  <c r="AF74" i="1"/>
  <c r="AD74" i="1"/>
  <c r="AE74" i="1" s="1"/>
  <c r="G74" i="1"/>
  <c r="O73" i="1"/>
  <c r="Q73" i="1" s="1"/>
  <c r="S73" i="1" s="1"/>
  <c r="U73" i="1" s="1"/>
  <c r="W73" i="1" s="1"/>
  <c r="AA73" i="1" s="1"/>
  <c r="AN73" i="1" s="1"/>
  <c r="AP74" i="1" s="1"/>
  <c r="Y74" i="9" s="1"/>
  <c r="V74" i="9" s="1"/>
  <c r="T74" i="9" s="1"/>
  <c r="S76" i="9" s="1"/>
  <c r="W78" i="9" s="1"/>
  <c r="K74" i="1"/>
  <c r="L74" i="1"/>
  <c r="AC109" i="6" l="1"/>
  <c r="AI109" i="6" s="1"/>
  <c r="AJ109" i="6" s="1"/>
  <c r="Z109" i="9" s="1"/>
  <c r="H110" i="6"/>
  <c r="N110" i="6"/>
  <c r="P110" i="6" s="1"/>
  <c r="L110" i="6"/>
  <c r="X110" i="6"/>
  <c r="Z110" i="6" s="1"/>
  <c r="AD238" i="10"/>
  <c r="W33" i="10"/>
  <c r="W238" i="10"/>
  <c r="AA33" i="10"/>
  <c r="AA238" i="10"/>
  <c r="AB33" i="10"/>
  <c r="AB238" i="10"/>
  <c r="AF33" i="10"/>
  <c r="AF238" i="10"/>
  <c r="X33" i="10"/>
  <c r="X238" i="10"/>
  <c r="AC33" i="10"/>
  <c r="AC238" i="10"/>
  <c r="AE238" i="10"/>
  <c r="V33" i="10"/>
  <c r="V238" i="10"/>
  <c r="Y238" i="10"/>
  <c r="Z33" i="10"/>
  <c r="Z238" i="10"/>
  <c r="AG33" i="10"/>
  <c r="AG238" i="10"/>
  <c r="AE43" i="10"/>
  <c r="AB43" i="10"/>
  <c r="Z43" i="10"/>
  <c r="Y43" i="10"/>
  <c r="W43" i="10"/>
  <c r="G75" i="1"/>
  <c r="O74" i="1"/>
  <c r="Q74" i="1" s="1"/>
  <c r="S74" i="1" s="1"/>
  <c r="U74" i="1" s="1"/>
  <c r="W74" i="1" s="1"/>
  <c r="AA74" i="1" s="1"/>
  <c r="AN74" i="1" s="1"/>
  <c r="AP75" i="1" s="1"/>
  <c r="Y75" i="9" s="1"/>
  <c r="V75" i="9" s="1"/>
  <c r="T75" i="9" s="1"/>
  <c r="S77" i="9" s="1"/>
  <c r="W79" i="9" s="1"/>
  <c r="AG74" i="1"/>
  <c r="AI74" i="1" s="1"/>
  <c r="H76" i="1"/>
  <c r="B76" i="1"/>
  <c r="C76" i="1" s="1"/>
  <c r="E76" i="1" s="1"/>
  <c r="F76" i="1"/>
  <c r="AJ76" i="1"/>
  <c r="M76" i="1"/>
  <c r="AK76" i="1"/>
  <c r="AC76" i="1"/>
  <c r="Y76" i="1"/>
  <c r="A77" i="1"/>
  <c r="I76" i="1"/>
  <c r="J76" i="1"/>
  <c r="AO76" i="1"/>
  <c r="AF75" i="1"/>
  <c r="AD75" i="1"/>
  <c r="AE75" i="1" s="1"/>
  <c r="AM75" i="1"/>
  <c r="V75" i="1"/>
  <c r="X75" i="1"/>
  <c r="Z75" i="1" s="1"/>
  <c r="P75" i="1"/>
  <c r="R75" i="1"/>
  <c r="N75" i="1"/>
  <c r="T75" i="1"/>
  <c r="K75" i="1"/>
  <c r="L75" i="1"/>
  <c r="AC110" i="6" l="1"/>
  <c r="AI110" i="6" s="1"/>
  <c r="AJ110" i="6" s="1"/>
  <c r="Z110" i="9" s="1"/>
  <c r="F47" i="3" a="1"/>
  <c r="F47" i="3" s="1"/>
  <c r="E53" i="3" a="1"/>
  <c r="E53" i="3" s="1"/>
  <c r="E45" i="3" a="1"/>
  <c r="E45" i="3" s="1"/>
  <c r="F52" i="3" a="1"/>
  <c r="F52" i="3" s="1"/>
  <c r="F54" i="3" a="1"/>
  <c r="F54" i="3" s="1"/>
  <c r="F50" i="3" a="1"/>
  <c r="F50" i="3" s="1"/>
  <c r="F51" i="3" a="1"/>
  <c r="F51" i="3" s="1"/>
  <c r="F53" i="3" a="1"/>
  <c r="F53" i="3" s="1"/>
  <c r="F45" i="3" a="1"/>
  <c r="F45" i="3" s="1"/>
  <c r="E55" i="3" a="1"/>
  <c r="E55" i="3" s="1"/>
  <c r="E51" i="3" a="1"/>
  <c r="E51" i="3" s="1"/>
  <c r="E48" i="3" a="1"/>
  <c r="E48" i="3" s="1"/>
  <c r="E47" i="3" a="1"/>
  <c r="E47" i="3" s="1"/>
  <c r="F46" i="3" a="1"/>
  <c r="F46" i="3" s="1"/>
  <c r="E46" i="3" a="1"/>
  <c r="E46" i="3" s="1"/>
  <c r="E52" i="3" a="1"/>
  <c r="E52" i="3" s="1"/>
  <c r="E49" i="3" a="1"/>
  <c r="E49" i="3" s="1"/>
  <c r="E44" i="3" a="1"/>
  <c r="E44" i="3" s="1"/>
  <c r="E50" i="3" a="1"/>
  <c r="E50" i="3" s="1"/>
  <c r="F44" i="3" a="1"/>
  <c r="F44" i="3" s="1"/>
  <c r="E54" i="3" a="1"/>
  <c r="E54" i="3" s="1"/>
  <c r="F48" i="3" a="1"/>
  <c r="F48" i="3" s="1"/>
  <c r="F49" i="3" a="1"/>
  <c r="F49" i="3" s="1"/>
  <c r="D47" i="3" a="1"/>
  <c r="D47" i="3" s="1"/>
  <c r="D45" i="3" a="1"/>
  <c r="D45" i="3" s="1"/>
  <c r="D53" i="3" a="1"/>
  <c r="D53" i="3" s="1"/>
  <c r="D51" i="3" a="1"/>
  <c r="D51" i="3" s="1"/>
  <c r="D44" i="3" a="1"/>
  <c r="D44" i="3" s="1"/>
  <c r="D50" i="3" a="1"/>
  <c r="D50" i="3" s="1"/>
  <c r="D52" i="3" a="1"/>
  <c r="D52" i="3" s="1"/>
  <c r="D55" i="3" a="1"/>
  <c r="D55" i="3" s="1"/>
  <c r="D54" i="3" a="1"/>
  <c r="D54" i="3" s="1"/>
  <c r="F55" i="3" a="1"/>
  <c r="F55" i="3" s="1"/>
  <c r="D46" i="3" a="1"/>
  <c r="D46" i="3" s="1"/>
  <c r="D48" i="3" a="1"/>
  <c r="D48" i="3" s="1"/>
  <c r="D49" i="3" a="1"/>
  <c r="D49" i="3" s="1"/>
  <c r="AD33" i="10"/>
  <c r="AA34" i="10"/>
  <c r="X34" i="10"/>
  <c r="AB34" i="10"/>
  <c r="AE33" i="10"/>
  <c r="AC34" i="10"/>
  <c r="AG34" i="10"/>
  <c r="Y33" i="10"/>
  <c r="V34" i="10"/>
  <c r="AE34" i="10"/>
  <c r="Y34" i="10"/>
  <c r="AD34" i="10"/>
  <c r="W34" i="10"/>
  <c r="AG75" i="1"/>
  <c r="AI75" i="1" s="1"/>
  <c r="O75" i="1"/>
  <c r="AF76" i="1"/>
  <c r="AD76" i="1"/>
  <c r="AE76" i="1" s="1"/>
  <c r="AH76" i="1"/>
  <c r="AL76" i="1" s="1"/>
  <c r="AM76" i="1" s="1"/>
  <c r="N76" i="1"/>
  <c r="X76" i="1"/>
  <c r="Z76" i="1" s="1"/>
  <c r="T76" i="1"/>
  <c r="R76" i="1"/>
  <c r="P76" i="1"/>
  <c r="V76" i="1"/>
  <c r="L76" i="1"/>
  <c r="K76" i="1"/>
  <c r="G76" i="1"/>
  <c r="M77" i="1"/>
  <c r="AK77" i="1"/>
  <c r="AH77" i="1" s="1"/>
  <c r="AL77" i="1" s="1"/>
  <c r="J77" i="1"/>
  <c r="AJ77" i="1"/>
  <c r="AC77" i="1"/>
  <c r="Y77" i="1"/>
  <c r="A78" i="1"/>
  <c r="I77" i="1"/>
  <c r="AO77" i="1"/>
  <c r="H77" i="1"/>
  <c r="B77" i="1"/>
  <c r="C77" i="1" s="1"/>
  <c r="E77" i="1" s="1"/>
  <c r="F77" i="1"/>
  <c r="AD51" i="3" l="1" a="1"/>
  <c r="AD51" i="3" s="1"/>
  <c r="AD54" i="3" a="1"/>
  <c r="AD54" i="3" s="1"/>
  <c r="AD49" i="3" a="1"/>
  <c r="AD49" i="3" s="1"/>
  <c r="G49" i="3" s="1" a="1"/>
  <c r="G49" i="3" s="1"/>
  <c r="AD55" i="3" a="1"/>
  <c r="AD55" i="3" s="1"/>
  <c r="AD46" i="3" a="1"/>
  <c r="AD46" i="3" s="1"/>
  <c r="AD50" i="3" a="1"/>
  <c r="AD50" i="3" s="1"/>
  <c r="AD48" i="3" a="1"/>
  <c r="AD48" i="3" s="1"/>
  <c r="AD44" i="3" a="1"/>
  <c r="AD44" i="3" s="1"/>
  <c r="G44" i="3" s="1" a="1"/>
  <c r="G44" i="3" s="1"/>
  <c r="AD45" i="3" a="1"/>
  <c r="AD45" i="3" s="1"/>
  <c r="AE44" i="3" a="1"/>
  <c r="AE44" i="3" s="1"/>
  <c r="H44" i="3" s="1" a="1"/>
  <c r="H44" i="3" s="1"/>
  <c r="U232" i="3" s="1"/>
  <c r="AE47" i="3" a="1"/>
  <c r="AE47" i="3" s="1"/>
  <c r="H47" i="3" s="1" a="1"/>
  <c r="H47" i="3" s="1"/>
  <c r="U278" i="3" s="1"/>
  <c r="AD52" i="3" a="1"/>
  <c r="AD52" i="3" s="1"/>
  <c r="AE49" i="3" a="1"/>
  <c r="AE49" i="3" s="1"/>
  <c r="H49" i="3" s="1" a="1"/>
  <c r="H49" i="3" s="1"/>
  <c r="U52" i="3" s="1"/>
  <c r="AE50" i="3" a="1"/>
  <c r="AE50" i="3" s="1"/>
  <c r="H50" i="3" s="1" a="1"/>
  <c r="H50" i="3" s="1"/>
  <c r="U233" i="3" s="1"/>
  <c r="AE52" i="3" a="1"/>
  <c r="AE52" i="3" s="1"/>
  <c r="H52" i="3" s="1" a="1"/>
  <c r="H52" i="3" s="1"/>
  <c r="U55" i="3" s="1"/>
  <c r="AE48" i="3" a="1"/>
  <c r="AE48" i="3" s="1"/>
  <c r="H48" i="3" s="1" a="1"/>
  <c r="H48" i="3" s="1"/>
  <c r="U51" i="3" s="1"/>
  <c r="AE45" i="3" a="1"/>
  <c r="AE45" i="3" s="1"/>
  <c r="H45" i="3" s="1" a="1"/>
  <c r="H45" i="3" s="1"/>
  <c r="U50" i="3" s="1"/>
  <c r="AE55" i="3" a="1"/>
  <c r="AE55" i="3" s="1"/>
  <c r="H55" i="3" s="1" a="1"/>
  <c r="H55" i="3" s="1"/>
  <c r="U60" i="3" s="1"/>
  <c r="AE53" i="3" a="1"/>
  <c r="AE53" i="3" s="1"/>
  <c r="H53" i="3" s="1" a="1"/>
  <c r="H53" i="3" s="1"/>
  <c r="U58" i="3" s="1"/>
  <c r="AE54" i="3" a="1"/>
  <c r="AE54" i="3" s="1"/>
  <c r="H54" i="3" s="1" a="1"/>
  <c r="H54" i="3" s="1"/>
  <c r="U59" i="3" s="1"/>
  <c r="AD53" i="3" a="1"/>
  <c r="AD53" i="3" s="1"/>
  <c r="AD47" i="3" a="1"/>
  <c r="AD47" i="3" s="1"/>
  <c r="G47" i="3" s="1" a="1"/>
  <c r="G47" i="3" s="1"/>
  <c r="AE51" i="3" a="1"/>
  <c r="AE51" i="3" s="1"/>
  <c r="H51" i="3" s="1" a="1"/>
  <c r="H51" i="3" s="1"/>
  <c r="U234" i="3" s="1"/>
  <c r="AF53" i="3" a="1"/>
  <c r="AF53" i="3" s="1"/>
  <c r="I53" i="3" s="1" a="1"/>
  <c r="I53" i="3" s="1"/>
  <c r="V58" i="3" s="1"/>
  <c r="AF52" i="3" a="1"/>
  <c r="AF52" i="3" s="1"/>
  <c r="I52" i="3" s="1" a="1"/>
  <c r="I52" i="3" s="1"/>
  <c r="V55" i="3" s="1"/>
  <c r="AF51" i="3" a="1"/>
  <c r="AF51" i="3" s="1"/>
  <c r="I51" i="3" s="1" a="1"/>
  <c r="I51" i="3" s="1"/>
  <c r="V234" i="3" s="1"/>
  <c r="AF45" i="3" a="1"/>
  <c r="AF45" i="3" s="1"/>
  <c r="I45" i="3" s="1" a="1"/>
  <c r="I45" i="3" s="1"/>
  <c r="V50" i="3" s="1"/>
  <c r="AF54" i="3" a="1"/>
  <c r="AF54" i="3" s="1"/>
  <c r="I54" i="3" s="1" a="1"/>
  <c r="I54" i="3" s="1"/>
  <c r="V59" i="3" s="1"/>
  <c r="AF44" i="3" a="1"/>
  <c r="AF44" i="3" s="1"/>
  <c r="I44" i="3" s="1" a="1"/>
  <c r="I44" i="3" s="1"/>
  <c r="V232" i="3" s="1"/>
  <c r="AF48" i="3" a="1"/>
  <c r="AF48" i="3" s="1"/>
  <c r="I48" i="3" s="1" a="1"/>
  <c r="I48" i="3" s="1"/>
  <c r="V51" i="3" s="1"/>
  <c r="AF50" i="3" a="1"/>
  <c r="AF50" i="3" s="1"/>
  <c r="I50" i="3" s="1" a="1"/>
  <c r="I50" i="3" s="1"/>
  <c r="V233" i="3" s="1"/>
  <c r="AE46" i="3" a="1"/>
  <c r="AE46" i="3" s="1"/>
  <c r="H46" i="3" s="1" a="1"/>
  <c r="H46" i="3" s="1"/>
  <c r="U236" i="3" s="1"/>
  <c r="AF47" i="3" a="1"/>
  <c r="AF47" i="3" s="1"/>
  <c r="I47" i="3" s="1" a="1"/>
  <c r="I47" i="3" s="1"/>
  <c r="V278" i="3" s="1"/>
  <c r="AF55" i="3" a="1"/>
  <c r="AF55" i="3" s="1"/>
  <c r="I55" i="3" s="1" a="1"/>
  <c r="I55" i="3" s="1"/>
  <c r="V60" i="3" s="1"/>
  <c r="AG48" i="3" a="1"/>
  <c r="AG48" i="3" s="1"/>
  <c r="J48" i="3" s="1" a="1"/>
  <c r="J48" i="3" s="1"/>
  <c r="W51" i="3" s="1"/>
  <c r="AH50" i="3" a="1"/>
  <c r="AH50" i="3" s="1"/>
  <c r="K50" i="3" s="1" a="1"/>
  <c r="K50" i="3" s="1"/>
  <c r="X233" i="3" s="1"/>
  <c r="AG50" i="3" a="1"/>
  <c r="AG50" i="3" s="1"/>
  <c r="J50" i="3" s="1" a="1"/>
  <c r="J50" i="3" s="1"/>
  <c r="W233" i="3" s="1"/>
  <c r="AG45" i="3" a="1"/>
  <c r="AG45" i="3" s="1"/>
  <c r="J45" i="3" s="1" a="1"/>
  <c r="J45" i="3" s="1"/>
  <c r="W50" i="3" s="1"/>
  <c r="AH49" i="3" a="1"/>
  <c r="AH49" i="3" s="1"/>
  <c r="K49" i="3" s="1" a="1"/>
  <c r="K49" i="3" s="1"/>
  <c r="X52" i="3" s="1"/>
  <c r="AG47" i="3" a="1"/>
  <c r="AG47" i="3" s="1"/>
  <c r="J47" i="3" s="1" a="1"/>
  <c r="J47" i="3" s="1"/>
  <c r="W278" i="3" s="1"/>
  <c r="AF46" i="3" a="1"/>
  <c r="AF46" i="3" s="1"/>
  <c r="I46" i="3" s="1" a="1"/>
  <c r="I46" i="3" s="1"/>
  <c r="V236" i="3" s="1"/>
  <c r="AG53" i="3" a="1"/>
  <c r="AG53" i="3" s="1"/>
  <c r="J53" i="3" s="1" a="1"/>
  <c r="J53" i="3" s="1"/>
  <c r="W58" i="3" s="1"/>
  <c r="AG55" i="3" a="1"/>
  <c r="AG55" i="3" s="1"/>
  <c r="J55" i="3" s="1" a="1"/>
  <c r="J55" i="3" s="1"/>
  <c r="W60" i="3" s="1"/>
  <c r="AF49" i="3" a="1"/>
  <c r="AF49" i="3" s="1"/>
  <c r="I49" i="3" s="1" a="1"/>
  <c r="I49" i="3" s="1"/>
  <c r="V52" i="3" s="1"/>
  <c r="AH48" i="3" a="1"/>
  <c r="AH48" i="3" s="1"/>
  <c r="K48" i="3" s="1" a="1"/>
  <c r="K48" i="3" s="1"/>
  <c r="X51" i="3" s="1"/>
  <c r="AH46" i="3" a="1"/>
  <c r="AH46" i="3" s="1"/>
  <c r="K46" i="3" s="1" a="1"/>
  <c r="K46" i="3" s="1"/>
  <c r="X236" i="3" s="1"/>
  <c r="AH53" i="3" a="1"/>
  <c r="AH53" i="3" s="1"/>
  <c r="K53" i="3" s="1" a="1"/>
  <c r="K53" i="3" s="1"/>
  <c r="X58" i="3" s="1"/>
  <c r="AH47" i="3" a="1"/>
  <c r="AH47" i="3" s="1"/>
  <c r="K47" i="3" s="1" a="1"/>
  <c r="K47" i="3" s="1"/>
  <c r="X278" i="3" s="1"/>
  <c r="AG44" i="3" a="1"/>
  <c r="AG44" i="3" s="1"/>
  <c r="J44" i="3" s="1" a="1"/>
  <c r="J44" i="3" s="1"/>
  <c r="W232" i="3" s="1"/>
  <c r="AG46" i="3" a="1"/>
  <c r="AG46" i="3" s="1"/>
  <c r="J46" i="3" s="1" a="1"/>
  <c r="J46" i="3" s="1"/>
  <c r="W236" i="3" s="1"/>
  <c r="AG54" i="3" a="1"/>
  <c r="AG54" i="3" s="1"/>
  <c r="J54" i="3" s="1" a="1"/>
  <c r="J54" i="3" s="1"/>
  <c r="W59" i="3" s="1"/>
  <c r="AH45" i="3" a="1"/>
  <c r="AH45" i="3" s="1"/>
  <c r="K45" i="3" s="1" a="1"/>
  <c r="K45" i="3" s="1"/>
  <c r="X50" i="3" s="1"/>
  <c r="AG52" i="3" a="1"/>
  <c r="AG52" i="3" s="1"/>
  <c r="J52" i="3" s="1" a="1"/>
  <c r="J52" i="3" s="1"/>
  <c r="W55" i="3" s="1"/>
  <c r="AH54" i="3" a="1"/>
  <c r="AH54" i="3" s="1"/>
  <c r="K54" i="3" s="1" a="1"/>
  <c r="K54" i="3" s="1"/>
  <c r="X59" i="3" s="1"/>
  <c r="AH44" i="3" a="1"/>
  <c r="AH44" i="3" s="1"/>
  <c r="K44" i="3" s="1" a="1"/>
  <c r="K44" i="3" s="1"/>
  <c r="X232" i="3" s="1"/>
  <c r="AH55" i="3" a="1"/>
  <c r="AH55" i="3" s="1"/>
  <c r="K55" i="3" s="1" a="1"/>
  <c r="K55" i="3" s="1"/>
  <c r="X60" i="3" s="1"/>
  <c r="AG51" i="3" a="1"/>
  <c r="AG51" i="3" s="1"/>
  <c r="J51" i="3" s="1" a="1"/>
  <c r="J51" i="3" s="1"/>
  <c r="W234" i="3" s="1"/>
  <c r="AH51" i="3" a="1"/>
  <c r="AH51" i="3" s="1"/>
  <c r="K51" i="3" s="1" a="1"/>
  <c r="K51" i="3" s="1"/>
  <c r="X234" i="3" s="1"/>
  <c r="AG49" i="3" a="1"/>
  <c r="AG49" i="3" s="1"/>
  <c r="J49" i="3" s="1" a="1"/>
  <c r="J49" i="3" s="1"/>
  <c r="W52" i="3" s="1"/>
  <c r="AJ54" i="3" a="1"/>
  <c r="AJ54" i="3" s="1"/>
  <c r="M54" i="3" s="1" a="1"/>
  <c r="M54" i="3" s="1"/>
  <c r="Z59" i="3" s="1"/>
  <c r="AI49" i="3" a="1"/>
  <c r="AI49" i="3" s="1"/>
  <c r="L49" i="3" s="1" a="1"/>
  <c r="L49" i="3" s="1"/>
  <c r="Y52" i="3" s="1"/>
  <c r="AI45" i="3" a="1"/>
  <c r="AI45" i="3" s="1"/>
  <c r="L45" i="3" s="1" a="1"/>
  <c r="L45" i="3" s="1"/>
  <c r="Y50" i="3" s="1"/>
  <c r="AI54" i="3" a="1"/>
  <c r="AI54" i="3" s="1"/>
  <c r="L54" i="3" s="1" a="1"/>
  <c r="L54" i="3" s="1"/>
  <c r="Y59" i="3" s="1"/>
  <c r="AI53" i="3" a="1"/>
  <c r="AI53" i="3" s="1"/>
  <c r="L53" i="3" s="1" a="1"/>
  <c r="L53" i="3" s="1"/>
  <c r="Y58" i="3" s="1"/>
  <c r="AJ52" i="3" a="1"/>
  <c r="AJ52" i="3" s="1"/>
  <c r="M52" i="3" s="1" a="1"/>
  <c r="M52" i="3" s="1"/>
  <c r="Z55" i="3" s="1"/>
  <c r="AJ49" i="3" a="1"/>
  <c r="AJ49" i="3" s="1"/>
  <c r="M49" i="3" s="1" a="1"/>
  <c r="M49" i="3" s="1"/>
  <c r="Z52" i="3" s="1"/>
  <c r="AJ53" i="3" a="1"/>
  <c r="AJ53" i="3" s="1"/>
  <c r="M53" i="3" s="1" a="1"/>
  <c r="M53" i="3" s="1"/>
  <c r="Z58" i="3" s="1"/>
  <c r="AJ55" i="3" a="1"/>
  <c r="AJ55" i="3" s="1"/>
  <c r="M55" i="3" s="1" a="1"/>
  <c r="M55" i="3" s="1"/>
  <c r="Z60" i="3" s="1"/>
  <c r="AI46" i="3" a="1"/>
  <c r="AI46" i="3" s="1"/>
  <c r="L46" i="3" s="1" a="1"/>
  <c r="L46" i="3" s="1"/>
  <c r="Y236" i="3" s="1"/>
  <c r="AJ50" i="3" a="1"/>
  <c r="AJ50" i="3" s="1"/>
  <c r="M50" i="3" s="1" a="1"/>
  <c r="M50" i="3" s="1"/>
  <c r="Z233" i="3" s="1"/>
  <c r="AI51" i="3" a="1"/>
  <c r="AI51" i="3" s="1"/>
  <c r="L51" i="3" s="1" a="1"/>
  <c r="L51" i="3" s="1"/>
  <c r="Y234" i="3" s="1"/>
  <c r="AI47" i="3" a="1"/>
  <c r="AI47" i="3" s="1"/>
  <c r="L47" i="3" s="1" a="1"/>
  <c r="L47" i="3" s="1"/>
  <c r="Y278" i="3" s="1"/>
  <c r="AJ44" i="3" a="1"/>
  <c r="AJ44" i="3" s="1"/>
  <c r="M44" i="3" s="1" a="1"/>
  <c r="M44" i="3" s="1"/>
  <c r="Z232" i="3" s="1"/>
  <c r="AJ45" i="3" a="1"/>
  <c r="AJ45" i="3" s="1"/>
  <c r="M45" i="3" s="1" a="1"/>
  <c r="M45" i="3" s="1"/>
  <c r="Z50" i="3" s="1"/>
  <c r="AH52" i="3" a="1"/>
  <c r="AH52" i="3" s="1"/>
  <c r="K52" i="3" s="1" a="1"/>
  <c r="K52" i="3" s="1"/>
  <c r="X55" i="3" s="1"/>
  <c r="AJ47" i="3" a="1"/>
  <c r="AJ47" i="3" s="1"/>
  <c r="M47" i="3" s="1" a="1"/>
  <c r="M47" i="3" s="1"/>
  <c r="Z278" i="3" s="1"/>
  <c r="AJ46" i="3" a="1"/>
  <c r="AJ46" i="3" s="1"/>
  <c r="M46" i="3" s="1" a="1"/>
  <c r="M46" i="3" s="1"/>
  <c r="Z236" i="3" s="1"/>
  <c r="AI44" i="3" a="1"/>
  <c r="AI44" i="3" s="1"/>
  <c r="L44" i="3" s="1" a="1"/>
  <c r="L44" i="3" s="1"/>
  <c r="Y232" i="3" s="1"/>
  <c r="AI55" i="3" a="1"/>
  <c r="AI55" i="3" s="1"/>
  <c r="L55" i="3" s="1" a="1"/>
  <c r="L55" i="3" s="1"/>
  <c r="Y60" i="3" s="1"/>
  <c r="AJ48" i="3" a="1"/>
  <c r="AJ48" i="3" s="1"/>
  <c r="M48" i="3" s="1" a="1"/>
  <c r="M48" i="3" s="1"/>
  <c r="Z51" i="3" s="1"/>
  <c r="AI52" i="3" a="1"/>
  <c r="AI52" i="3" s="1"/>
  <c r="L52" i="3" s="1" a="1"/>
  <c r="L52" i="3" s="1"/>
  <c r="Y55" i="3" s="1"/>
  <c r="AI50" i="3" a="1"/>
  <c r="AI50" i="3" s="1"/>
  <c r="L50" i="3" s="1" a="1"/>
  <c r="L50" i="3" s="1"/>
  <c r="Y233" i="3" s="1"/>
  <c r="AJ51" i="3" a="1"/>
  <c r="AJ51" i="3" s="1"/>
  <c r="M51" i="3" s="1" a="1"/>
  <c r="M51" i="3" s="1"/>
  <c r="Z234" i="3" s="1"/>
  <c r="AK49" i="3" a="1"/>
  <c r="AK49" i="3" s="1"/>
  <c r="N49" i="3" s="1" a="1"/>
  <c r="N49" i="3" s="1"/>
  <c r="AA52" i="3" s="1"/>
  <c r="AK53" i="3" a="1"/>
  <c r="AK53" i="3" s="1"/>
  <c r="N53" i="3" s="1" a="1"/>
  <c r="N53" i="3" s="1"/>
  <c r="AA58" i="3" s="1"/>
  <c r="AI48" i="3" a="1"/>
  <c r="AI48" i="3" s="1"/>
  <c r="L48" i="3" s="1" a="1"/>
  <c r="L48" i="3" s="1"/>
  <c r="Y51" i="3" s="1"/>
  <c r="AK52" i="3" a="1"/>
  <c r="AK52" i="3" s="1"/>
  <c r="N52" i="3" s="1" a="1"/>
  <c r="N52" i="3" s="1"/>
  <c r="AA55" i="3" s="1"/>
  <c r="AL48" i="3" a="1"/>
  <c r="AL48" i="3" s="1"/>
  <c r="O48" i="3" s="1" a="1"/>
  <c r="O48" i="3" s="1"/>
  <c r="AB51" i="3" s="1"/>
  <c r="AK55" i="3" a="1"/>
  <c r="AK55" i="3" s="1"/>
  <c r="N55" i="3" s="1" a="1"/>
  <c r="N55" i="3" s="1"/>
  <c r="AA60" i="3" s="1"/>
  <c r="AK47" i="3" a="1"/>
  <c r="AK47" i="3" s="1"/>
  <c r="N47" i="3" s="1" a="1"/>
  <c r="N47" i="3" s="1"/>
  <c r="AA278" i="3" s="1"/>
  <c r="AK50" i="3" a="1"/>
  <c r="AK50" i="3" s="1"/>
  <c r="N50" i="3" s="1" a="1"/>
  <c r="N50" i="3" s="1"/>
  <c r="AA233" i="3" s="1"/>
  <c r="AK45" i="3" a="1"/>
  <c r="AK45" i="3" s="1"/>
  <c r="N45" i="3" s="1" a="1"/>
  <c r="N45" i="3" s="1"/>
  <c r="AA50" i="3" s="1"/>
  <c r="AK51" i="3" a="1"/>
  <c r="AK51" i="3" s="1"/>
  <c r="N51" i="3" s="1" a="1"/>
  <c r="N51" i="3" s="1"/>
  <c r="AA234" i="3" s="1"/>
  <c r="AL54" i="3" a="1"/>
  <c r="AL54" i="3" s="1"/>
  <c r="O54" i="3" s="1" a="1"/>
  <c r="O54" i="3" s="1"/>
  <c r="AB59" i="3" s="1"/>
  <c r="AK48" i="3" a="1"/>
  <c r="AK48" i="3" s="1"/>
  <c r="N48" i="3" s="1" a="1"/>
  <c r="N48" i="3" s="1"/>
  <c r="AA51" i="3" s="1"/>
  <c r="AK46" i="3" a="1"/>
  <c r="AK46" i="3" s="1"/>
  <c r="N46" i="3" s="1" a="1"/>
  <c r="N46" i="3" s="1"/>
  <c r="AA236" i="3" s="1"/>
  <c r="AK44" i="3" a="1"/>
  <c r="AK44" i="3" s="1"/>
  <c r="N44" i="3" s="1" a="1"/>
  <c r="N44" i="3" s="1"/>
  <c r="AA232" i="3" s="1"/>
  <c r="AL49" i="3" a="1"/>
  <c r="AL49" i="3" s="1"/>
  <c r="O49" i="3" s="1" a="1"/>
  <c r="O49" i="3" s="1"/>
  <c r="AB52" i="3" s="1"/>
  <c r="AL53" i="3" a="1"/>
  <c r="AL53" i="3" s="1"/>
  <c r="O53" i="3" s="1" a="1"/>
  <c r="O53" i="3" s="1"/>
  <c r="AB58" i="3" s="1"/>
  <c r="AL47" i="3" a="1"/>
  <c r="AL47" i="3" s="1"/>
  <c r="O47" i="3" s="1" a="1"/>
  <c r="O47" i="3" s="1"/>
  <c r="AB278" i="3" s="1"/>
  <c r="AL45" i="3" a="1"/>
  <c r="AL45" i="3" s="1"/>
  <c r="O45" i="3" s="1" a="1"/>
  <c r="O45" i="3" s="1"/>
  <c r="AB50" i="3" s="1"/>
  <c r="AK54" i="3" a="1"/>
  <c r="AK54" i="3" s="1"/>
  <c r="N54" i="3" s="1" a="1"/>
  <c r="N54" i="3" s="1"/>
  <c r="AA59" i="3" s="1"/>
  <c r="AL50" i="3" a="1"/>
  <c r="AL50" i="3" s="1"/>
  <c r="O50" i="3" s="1" a="1"/>
  <c r="O50" i="3" s="1"/>
  <c r="AB233" i="3" s="1"/>
  <c r="AL46" i="3" a="1"/>
  <c r="AL46" i="3" s="1"/>
  <c r="O46" i="3" s="1" a="1"/>
  <c r="O46" i="3" s="1"/>
  <c r="AB236" i="3" s="1"/>
  <c r="AL44" i="3" a="1"/>
  <c r="AL44" i="3" s="1"/>
  <c r="O44" i="3" s="1" a="1"/>
  <c r="O44" i="3" s="1"/>
  <c r="AB232" i="3" s="1"/>
  <c r="AL52" i="3" a="1"/>
  <c r="AL52" i="3" s="1"/>
  <c r="O52" i="3" s="1" a="1"/>
  <c r="O52" i="3" s="1"/>
  <c r="AB55" i="3" s="1"/>
  <c r="AL55" i="3" a="1"/>
  <c r="AL55" i="3" s="1"/>
  <c r="O55" i="3" s="1" a="1"/>
  <c r="O55" i="3" s="1"/>
  <c r="AB60" i="3" s="1"/>
  <c r="AL51" i="3" a="1"/>
  <c r="AL51" i="3" s="1"/>
  <c r="O51" i="3" s="1" a="1"/>
  <c r="O51" i="3" s="1"/>
  <c r="AB234" i="3" s="1"/>
  <c r="Q75" i="1"/>
  <c r="S75" i="1" s="1"/>
  <c r="U75" i="1" s="1"/>
  <c r="W75" i="1" s="1"/>
  <c r="AA75" i="1" s="1"/>
  <c r="AN75" i="1" s="1"/>
  <c r="AP76" i="1" s="1"/>
  <c r="Y76" i="9" s="1"/>
  <c r="V76" i="9" s="1"/>
  <c r="T76" i="9" s="1"/>
  <c r="S78" i="9" s="1"/>
  <c r="W80" i="9" s="1"/>
  <c r="Z34" i="10"/>
  <c r="V35" i="10"/>
  <c r="AC35" i="10"/>
  <c r="AF34" i="10"/>
  <c r="Y35" i="10"/>
  <c r="AA35" i="10"/>
  <c r="AF35" i="10"/>
  <c r="Z35" i="10"/>
  <c r="AD35" i="10"/>
  <c r="AB35" i="10"/>
  <c r="AG35" i="10"/>
  <c r="AE35" i="10"/>
  <c r="X35" i="10"/>
  <c r="W35" i="10"/>
  <c r="V36" i="10"/>
  <c r="AG76" i="1"/>
  <c r="AI76" i="1" s="1"/>
  <c r="O76" i="1"/>
  <c r="Q76" i="1" s="1"/>
  <c r="K77" i="1"/>
  <c r="L77" i="1"/>
  <c r="AC78" i="1"/>
  <c r="Y78" i="1"/>
  <c r="A79" i="1"/>
  <c r="H78" i="1"/>
  <c r="F78" i="1"/>
  <c r="I78" i="1"/>
  <c r="J78" i="1"/>
  <c r="AO78" i="1"/>
  <c r="AJ78" i="1"/>
  <c r="B78" i="1"/>
  <c r="C78" i="1" s="1"/>
  <c r="E78" i="1" s="1"/>
  <c r="AK78" i="1"/>
  <c r="M78" i="1"/>
  <c r="AD77" i="1"/>
  <c r="AE77" i="1" s="1"/>
  <c r="AF77" i="1"/>
  <c r="G77" i="1"/>
  <c r="AM77" i="1"/>
  <c r="N77" i="1"/>
  <c r="T77" i="1"/>
  <c r="R77" i="1"/>
  <c r="V77" i="1"/>
  <c r="X77" i="1"/>
  <c r="Z77" i="1" s="1"/>
  <c r="P77" i="1"/>
  <c r="G50" i="3" l="1" a="1"/>
  <c r="G50" i="3" s="1"/>
  <c r="G51" i="3" s="1" a="1"/>
  <c r="G51" i="3" s="1"/>
  <c r="G52" i="3" s="1" a="1"/>
  <c r="G52" i="3" s="1"/>
  <c r="G45" i="3" a="1"/>
  <c r="G45" i="3" s="1"/>
  <c r="G46" i="3" s="1" a="1"/>
  <c r="G46" i="3" s="1"/>
  <c r="G48" i="3" a="1"/>
  <c r="G48" i="3" s="1"/>
  <c r="S76" i="1"/>
  <c r="U76" i="1" s="1"/>
  <c r="W76" i="1" s="1"/>
  <c r="AA76" i="1" s="1"/>
  <c r="AN76" i="1" s="1"/>
  <c r="AP77" i="1" s="1"/>
  <c r="Y77" i="9" s="1"/>
  <c r="V77" i="9" s="1"/>
  <c r="T77" i="9" s="1"/>
  <c r="S79" i="9" s="1"/>
  <c r="W81" i="9" s="1"/>
  <c r="Z36" i="10"/>
  <c r="AE36" i="10"/>
  <c r="AG36" i="10"/>
  <c r="AF36" i="10"/>
  <c r="AC36" i="10"/>
  <c r="AA36" i="10"/>
  <c r="AB36" i="10"/>
  <c r="AD36" i="10"/>
  <c r="Y36" i="10"/>
  <c r="X36" i="10"/>
  <c r="W36" i="10"/>
  <c r="V37" i="10"/>
  <c r="G78" i="1"/>
  <c r="AG77" i="1"/>
  <c r="AI77" i="1" s="1"/>
  <c r="L78" i="1"/>
  <c r="K78" i="1"/>
  <c r="T78" i="1"/>
  <c r="R78" i="1"/>
  <c r="N78" i="1"/>
  <c r="X78" i="1"/>
  <c r="Z78" i="1" s="1"/>
  <c r="P78" i="1"/>
  <c r="V78" i="1"/>
  <c r="AH78" i="1"/>
  <c r="AL78" i="1" s="1"/>
  <c r="AM78" i="1" s="1"/>
  <c r="M79" i="1"/>
  <c r="F79" i="1"/>
  <c r="AK79" i="1"/>
  <c r="AC79" i="1"/>
  <c r="Y79" i="1"/>
  <c r="A80" i="1"/>
  <c r="A81" i="1" s="1"/>
  <c r="I79" i="1"/>
  <c r="J79" i="1"/>
  <c r="AO79" i="1"/>
  <c r="AJ79" i="1"/>
  <c r="H79" i="1"/>
  <c r="B79" i="1"/>
  <c r="C79" i="1" s="1"/>
  <c r="E79" i="1" s="1"/>
  <c r="AF78" i="1"/>
  <c r="AD78" i="1"/>
  <c r="AE78" i="1" s="1"/>
  <c r="O77" i="1"/>
  <c r="Q77" i="1" s="1"/>
  <c r="S77" i="1" s="1"/>
  <c r="U77" i="1" l="1"/>
  <c r="W77" i="1" s="1"/>
  <c r="AA77" i="1" s="1"/>
  <c r="AN77" i="1" s="1"/>
  <c r="AP78" i="1" s="1"/>
  <c r="Y78" i="9" s="1"/>
  <c r="V78" i="9" s="1"/>
  <c r="T78" i="9" s="1"/>
  <c r="S80" i="9" s="1"/>
  <c r="W82" i="9" s="1"/>
  <c r="G53" i="3" a="1"/>
  <c r="G53" i="3" s="1"/>
  <c r="G54" i="3" s="1" a="1"/>
  <c r="G54" i="3" s="1"/>
  <c r="T59" i="3" s="1"/>
  <c r="J81" i="1"/>
  <c r="A82" i="1"/>
  <c r="B81" i="1"/>
  <c r="C81" i="1" s="1"/>
  <c r="E81" i="1" s="1"/>
  <c r="AJ81" i="1"/>
  <c r="AC81" i="1"/>
  <c r="AK81" i="1"/>
  <c r="M81" i="1"/>
  <c r="F81" i="1"/>
  <c r="H81" i="1"/>
  <c r="AO81" i="1"/>
  <c r="I81" i="1"/>
  <c r="Y81" i="1"/>
  <c r="AD37" i="10"/>
  <c r="AF37" i="10"/>
  <c r="AB37" i="10"/>
  <c r="AG37" i="10"/>
  <c r="AA37" i="10"/>
  <c r="AE37" i="10"/>
  <c r="Y37" i="10"/>
  <c r="AC37" i="10"/>
  <c r="Z37" i="10"/>
  <c r="X37" i="10"/>
  <c r="W37" i="10"/>
  <c r="V38" i="10"/>
  <c r="AG78" i="1"/>
  <c r="AI78" i="1" s="1"/>
  <c r="G79" i="1"/>
  <c r="AC80" i="1"/>
  <c r="AK80" i="1"/>
  <c r="AH80" i="1" s="1"/>
  <c r="AL80" i="1" s="1"/>
  <c r="Y80" i="1"/>
  <c r="AJ80" i="1"/>
  <c r="H80" i="1"/>
  <c r="I80" i="1"/>
  <c r="J80" i="1"/>
  <c r="AO80" i="1"/>
  <c r="B80" i="1"/>
  <c r="C80" i="1" s="1"/>
  <c r="E80" i="1" s="1"/>
  <c r="F80" i="1"/>
  <c r="M80" i="1"/>
  <c r="AF79" i="1"/>
  <c r="AD79" i="1"/>
  <c r="AE79" i="1" s="1"/>
  <c r="AH79" i="1"/>
  <c r="AL79" i="1" s="1"/>
  <c r="AM79" i="1" s="1"/>
  <c r="R79" i="1"/>
  <c r="V79" i="1"/>
  <c r="X79" i="1"/>
  <c r="Z79" i="1" s="1"/>
  <c r="P79" i="1"/>
  <c r="N79" i="1"/>
  <c r="T79" i="1"/>
  <c r="L79" i="1"/>
  <c r="K79" i="1"/>
  <c r="O78" i="1"/>
  <c r="Q78" i="1" s="1"/>
  <c r="S78" i="1" s="1"/>
  <c r="U78" i="1" s="1"/>
  <c r="W78" i="1" s="1"/>
  <c r="AA78" i="1" s="1"/>
  <c r="AN78" i="1" s="1"/>
  <c r="AP79" i="1" s="1"/>
  <c r="Y79" i="9" s="1"/>
  <c r="V79" i="9" s="1"/>
  <c r="T79" i="9" s="1"/>
  <c r="S81" i="9" s="1"/>
  <c r="W83" i="9" s="1"/>
  <c r="G55" i="3" l="1" a="1"/>
  <c r="G55" i="3" s="1"/>
  <c r="T60" i="3" s="1"/>
  <c r="R81" i="1"/>
  <c r="T81" i="1"/>
  <c r="N81" i="1"/>
  <c r="V81" i="1"/>
  <c r="P81" i="1"/>
  <c r="X81" i="1"/>
  <c r="Z81" i="1" s="1"/>
  <c r="AH81" i="1"/>
  <c r="AL81" i="1" s="1"/>
  <c r="AM81" i="1" s="1"/>
  <c r="AD81" i="1"/>
  <c r="AE81" i="1" s="1"/>
  <c r="AF81" i="1"/>
  <c r="K81" i="1"/>
  <c r="G81" i="1"/>
  <c r="J82" i="1"/>
  <c r="A83" i="1"/>
  <c r="B82" i="1"/>
  <c r="C82" i="1" s="1"/>
  <c r="E82" i="1" s="1"/>
  <c r="AJ82" i="1"/>
  <c r="AC82" i="1"/>
  <c r="AK82" i="1"/>
  <c r="M82" i="1"/>
  <c r="F82" i="1"/>
  <c r="H82" i="1"/>
  <c r="AO82" i="1"/>
  <c r="Y82" i="1"/>
  <c r="I82" i="1"/>
  <c r="AG38" i="10"/>
  <c r="AC38" i="10"/>
  <c r="Y38" i="10"/>
  <c r="AB38" i="10"/>
  <c r="Z38" i="10"/>
  <c r="AF38" i="10"/>
  <c r="AE38" i="10"/>
  <c r="AA38" i="10"/>
  <c r="AD38" i="10"/>
  <c r="X38" i="10"/>
  <c r="W38" i="10"/>
  <c r="V39" i="10"/>
  <c r="G80" i="1"/>
  <c r="L81" i="1" s="1"/>
  <c r="O79" i="1"/>
  <c r="Q79" i="1" s="1"/>
  <c r="S79" i="1" s="1"/>
  <c r="U79" i="1" s="1"/>
  <c r="W79" i="1" s="1"/>
  <c r="AA79" i="1" s="1"/>
  <c r="AN79" i="1" s="1"/>
  <c r="AP80" i="1" s="1"/>
  <c r="Y80" i="9" s="1"/>
  <c r="V80" i="9" s="1"/>
  <c r="T80" i="9" s="1"/>
  <c r="S82" i="9" s="1"/>
  <c r="W84" i="9" s="1"/>
  <c r="AG79" i="1"/>
  <c r="AI79" i="1" s="1"/>
  <c r="L80" i="1"/>
  <c r="K80" i="1"/>
  <c r="R80" i="1"/>
  <c r="X80" i="1"/>
  <c r="Z80" i="1" s="1"/>
  <c r="P80" i="1"/>
  <c r="V80" i="1"/>
  <c r="N80" i="1"/>
  <c r="T80" i="1"/>
  <c r="AM80" i="1"/>
  <c r="AF80" i="1"/>
  <c r="AD80" i="1"/>
  <c r="AE80" i="1" s="1"/>
  <c r="O81" i="1" l="1"/>
  <c r="R82" i="1"/>
  <c r="T82" i="1"/>
  <c r="N82" i="1"/>
  <c r="V82" i="1"/>
  <c r="P82" i="1"/>
  <c r="X82" i="1"/>
  <c r="Z82" i="1" s="1"/>
  <c r="AH82" i="1"/>
  <c r="AL82" i="1" s="1"/>
  <c r="AM82" i="1" s="1"/>
  <c r="AD82" i="1"/>
  <c r="AE82" i="1" s="1"/>
  <c r="AF82" i="1"/>
  <c r="K82" i="1"/>
  <c r="L82" i="1"/>
  <c r="G82" i="1"/>
  <c r="J83" i="1"/>
  <c r="A84" i="1"/>
  <c r="B83" i="1"/>
  <c r="C83" i="1" s="1"/>
  <c r="E83" i="1" s="1"/>
  <c r="AJ83" i="1"/>
  <c r="AC83" i="1"/>
  <c r="AK83" i="1"/>
  <c r="M83" i="1"/>
  <c r="F83" i="1"/>
  <c r="H83" i="1"/>
  <c r="AO83" i="1"/>
  <c r="I83" i="1"/>
  <c r="Y83" i="1"/>
  <c r="AG81" i="1"/>
  <c r="AB39" i="10"/>
  <c r="AA39" i="10"/>
  <c r="Y39" i="10"/>
  <c r="AD39" i="10"/>
  <c r="AE39" i="10"/>
  <c r="AC39" i="10"/>
  <c r="AF39" i="10"/>
  <c r="Z39" i="10"/>
  <c r="AG39" i="10"/>
  <c r="X39" i="10"/>
  <c r="W39" i="10"/>
  <c r="V44" i="10"/>
  <c r="AG80" i="1"/>
  <c r="AI80" i="1" s="1"/>
  <c r="O80" i="1"/>
  <c r="Q80" i="1" s="1"/>
  <c r="S80" i="1" s="1"/>
  <c r="U80" i="1" s="1"/>
  <c r="W80" i="1" s="1"/>
  <c r="AA80" i="1" s="1"/>
  <c r="AN80" i="1" s="1"/>
  <c r="AP81" i="1" s="1"/>
  <c r="Y81" i="9" s="1"/>
  <c r="V81" i="9" s="1"/>
  <c r="T81" i="9" s="1"/>
  <c r="S83" i="9" s="1"/>
  <c r="W85" i="9" s="1"/>
  <c r="O82" i="1" l="1"/>
  <c r="Q82" i="1" s="1"/>
  <c r="G83" i="1"/>
  <c r="AH83" i="1"/>
  <c r="AL83" i="1" s="1"/>
  <c r="AM83" i="1" s="1"/>
  <c r="AI81" i="1"/>
  <c r="AD83" i="1"/>
  <c r="AE83" i="1" s="1"/>
  <c r="AF83" i="1"/>
  <c r="K83" i="1"/>
  <c r="L83" i="1"/>
  <c r="J84" i="1"/>
  <c r="A85" i="1"/>
  <c r="B84" i="1"/>
  <c r="C84" i="1" s="1"/>
  <c r="E84" i="1" s="1"/>
  <c r="AJ84" i="1"/>
  <c r="AC84" i="1"/>
  <c r="AK84" i="1"/>
  <c r="M84" i="1"/>
  <c r="F84" i="1"/>
  <c r="H84" i="1"/>
  <c r="AO84" i="1"/>
  <c r="Y84" i="1"/>
  <c r="I84" i="1"/>
  <c r="R83" i="1"/>
  <c r="T83" i="1"/>
  <c r="N83" i="1"/>
  <c r="V83" i="1"/>
  <c r="P83" i="1"/>
  <c r="X83" i="1"/>
  <c r="Z83" i="1" s="1"/>
  <c r="AG82" i="1"/>
  <c r="AI82" i="1" s="1"/>
  <c r="Q81" i="1"/>
  <c r="S81" i="1" s="1"/>
  <c r="U81" i="1" s="1"/>
  <c r="W81" i="1" s="1"/>
  <c r="AA81" i="1" s="1"/>
  <c r="AN81" i="1" s="1"/>
  <c r="AP82" i="1" s="1"/>
  <c r="Y82" i="9" s="1"/>
  <c r="V82" i="9" s="1"/>
  <c r="T82" i="9" s="1"/>
  <c r="S84" i="9" s="1"/>
  <c r="W86" i="9" s="1"/>
  <c r="Z44" i="10"/>
  <c r="AD44" i="10"/>
  <c r="Y45" i="10"/>
  <c r="Y44" i="10"/>
  <c r="AF44" i="10"/>
  <c r="AC45" i="10"/>
  <c r="AC44" i="10"/>
  <c r="AA44" i="10"/>
  <c r="AE44" i="10"/>
  <c r="AB44" i="10"/>
  <c r="AG44" i="10"/>
  <c r="X44" i="10"/>
  <c r="W44" i="10"/>
  <c r="V45" i="10"/>
  <c r="S82" i="1" l="1"/>
  <c r="U82" i="1" s="1"/>
  <c r="W82" i="1" s="1"/>
  <c r="AA82" i="1" s="1"/>
  <c r="AN82" i="1" s="1"/>
  <c r="AP83" i="1" s="1"/>
  <c r="Y83" i="9" s="1"/>
  <c r="V83" i="9" s="1"/>
  <c r="T83" i="9" s="1"/>
  <c r="S85" i="9" s="1"/>
  <c r="W87" i="9" s="1"/>
  <c r="AG83" i="1"/>
  <c r="G84" i="1"/>
  <c r="AD84" i="1"/>
  <c r="AE84" i="1" s="1"/>
  <c r="AF84" i="1"/>
  <c r="K84" i="1"/>
  <c r="L84" i="1"/>
  <c r="J85" i="1"/>
  <c r="A86" i="1"/>
  <c r="B85" i="1"/>
  <c r="C85" i="1" s="1"/>
  <c r="E85" i="1" s="1"/>
  <c r="AJ85" i="1"/>
  <c r="AC85" i="1"/>
  <c r="AK85" i="1"/>
  <c r="M85" i="1"/>
  <c r="F85" i="1"/>
  <c r="H85" i="1"/>
  <c r="AO85" i="1"/>
  <c r="I85" i="1"/>
  <c r="Y85" i="1"/>
  <c r="AI83" i="1"/>
  <c r="AH84" i="1"/>
  <c r="AL84" i="1" s="1"/>
  <c r="AM84" i="1" s="1"/>
  <c r="O83" i="1"/>
  <c r="Q83" i="1" s="1"/>
  <c r="S83" i="1" s="1"/>
  <c r="U83" i="1" s="1"/>
  <c r="W83" i="1" s="1"/>
  <c r="AA83" i="1" s="1"/>
  <c r="AN83" i="1" s="1"/>
  <c r="AP84" i="1" s="1"/>
  <c r="Y84" i="9" s="1"/>
  <c r="V84" i="9" s="1"/>
  <c r="T84" i="9" s="1"/>
  <c r="S86" i="9" s="1"/>
  <c r="W88" i="9" s="1"/>
  <c r="R84" i="1"/>
  <c r="T84" i="1"/>
  <c r="N84" i="1"/>
  <c r="V84" i="1"/>
  <c r="P84" i="1"/>
  <c r="X84" i="1"/>
  <c r="Z84" i="1" s="1"/>
  <c r="AB45" i="10"/>
  <c r="AF45" i="10"/>
  <c r="AE45" i="10"/>
  <c r="AA45" i="10"/>
  <c r="AD45" i="10"/>
  <c r="AG45" i="10"/>
  <c r="Z45" i="10"/>
  <c r="X45" i="10"/>
  <c r="W45" i="10"/>
  <c r="R85" i="1" l="1"/>
  <c r="T85" i="1"/>
  <c r="N85" i="1"/>
  <c r="V85" i="1"/>
  <c r="P85" i="1"/>
  <c r="X85" i="1"/>
  <c r="Z85" i="1" s="1"/>
  <c r="AH85" i="1"/>
  <c r="AL85" i="1" s="1"/>
  <c r="AM85" i="1" s="1"/>
  <c r="O84" i="1"/>
  <c r="Q84" i="1" s="1"/>
  <c r="S84" i="1" s="1"/>
  <c r="U84" i="1" s="1"/>
  <c r="W84" i="1" s="1"/>
  <c r="AA84" i="1" s="1"/>
  <c r="AN84" i="1" s="1"/>
  <c r="AP85" i="1" s="1"/>
  <c r="Y85" i="9" s="1"/>
  <c r="V85" i="9" s="1"/>
  <c r="T85" i="9" s="1"/>
  <c r="S87" i="9" s="1"/>
  <c r="W89" i="9" s="1"/>
  <c r="AD85" i="1"/>
  <c r="AE85" i="1" s="1"/>
  <c r="AF85" i="1"/>
  <c r="K85" i="1"/>
  <c r="L85" i="1"/>
  <c r="O85" i="1" s="1"/>
  <c r="G85" i="1"/>
  <c r="J86" i="1"/>
  <c r="A87" i="1"/>
  <c r="B86" i="1"/>
  <c r="C86" i="1" s="1"/>
  <c r="E86" i="1" s="1"/>
  <c r="AJ86" i="1"/>
  <c r="AC86" i="1"/>
  <c r="AK86" i="1"/>
  <c r="M86" i="1"/>
  <c r="F86" i="1"/>
  <c r="H86" i="1"/>
  <c r="AO86" i="1"/>
  <c r="I86" i="1"/>
  <c r="Y86" i="1"/>
  <c r="AG84" i="1"/>
  <c r="AI84" i="1" s="1"/>
  <c r="Q85" i="1" l="1"/>
  <c r="S85" i="1" s="1"/>
  <c r="U85" i="1" s="1"/>
  <c r="W85" i="1" s="1"/>
  <c r="AA85" i="1" s="1"/>
  <c r="AN85" i="1" s="1"/>
  <c r="AP86" i="1" s="1"/>
  <c r="Y86" i="9" s="1"/>
  <c r="V86" i="9" s="1"/>
  <c r="T86" i="9" s="1"/>
  <c r="S88" i="9" s="1"/>
  <c r="W90" i="9" s="1"/>
  <c r="AH86" i="1"/>
  <c r="AL86" i="1" s="1"/>
  <c r="AM86" i="1" s="1"/>
  <c r="AD86" i="1"/>
  <c r="AE86" i="1" s="1"/>
  <c r="AF86" i="1"/>
  <c r="R86" i="1"/>
  <c r="T86" i="1"/>
  <c r="N86" i="1"/>
  <c r="V86" i="1"/>
  <c r="P86" i="1"/>
  <c r="X86" i="1"/>
  <c r="Z86" i="1" s="1"/>
  <c r="G86" i="1"/>
  <c r="K86" i="1"/>
  <c r="L86" i="1"/>
  <c r="J87" i="1"/>
  <c r="A88" i="1"/>
  <c r="B87" i="1"/>
  <c r="C87" i="1" s="1"/>
  <c r="E87" i="1" s="1"/>
  <c r="AJ87" i="1"/>
  <c r="AC87" i="1"/>
  <c r="AK87" i="1"/>
  <c r="M87" i="1"/>
  <c r="F87" i="1"/>
  <c r="H87" i="1"/>
  <c r="AO87" i="1"/>
  <c r="Y87" i="1"/>
  <c r="I87" i="1"/>
  <c r="AG85" i="1"/>
  <c r="AI85" i="1" s="1"/>
  <c r="G87" i="1" l="1"/>
  <c r="AH87" i="1"/>
  <c r="AL87" i="1" s="1"/>
  <c r="AM87" i="1" s="1"/>
  <c r="AD87" i="1"/>
  <c r="AE87" i="1" s="1"/>
  <c r="AF87" i="1"/>
  <c r="K87" i="1"/>
  <c r="L87" i="1"/>
  <c r="AG86" i="1"/>
  <c r="AI86" i="1" s="1"/>
  <c r="R87" i="1"/>
  <c r="T87" i="1"/>
  <c r="N87" i="1"/>
  <c r="V87" i="1"/>
  <c r="P87" i="1"/>
  <c r="X87" i="1"/>
  <c r="Z87" i="1" s="1"/>
  <c r="J88" i="1"/>
  <c r="A89" i="1"/>
  <c r="B88" i="1"/>
  <c r="C88" i="1" s="1"/>
  <c r="E88" i="1" s="1"/>
  <c r="AJ88" i="1"/>
  <c r="AC88" i="1"/>
  <c r="AK88" i="1"/>
  <c r="M88" i="1"/>
  <c r="F88" i="1"/>
  <c r="H88" i="1"/>
  <c r="AO88" i="1"/>
  <c r="I88" i="1"/>
  <c r="Y88" i="1"/>
  <c r="O86" i="1"/>
  <c r="Q86" i="1" s="1"/>
  <c r="S86" i="1" s="1"/>
  <c r="U86" i="1" s="1"/>
  <c r="W86" i="1" s="1"/>
  <c r="AA86" i="1" s="1"/>
  <c r="AN86" i="1" s="1"/>
  <c r="AP87" i="1" s="1"/>
  <c r="Y87" i="9" s="1"/>
  <c r="V87" i="9" s="1"/>
  <c r="T87" i="9" s="1"/>
  <c r="S89" i="9" s="1"/>
  <c r="W91" i="9" s="1"/>
  <c r="O87" i="1" l="1"/>
  <c r="Q87" i="1" s="1"/>
  <c r="S87" i="1" s="1"/>
  <c r="U87" i="1" s="1"/>
  <c r="W87" i="1" s="1"/>
  <c r="AA87" i="1" s="1"/>
  <c r="AN87" i="1" s="1"/>
  <c r="AP88" i="1" s="1"/>
  <c r="Y88" i="9" s="1"/>
  <c r="V88" i="9" s="1"/>
  <c r="T88" i="9" s="1"/>
  <c r="S90" i="9" s="1"/>
  <c r="W92" i="9" s="1"/>
  <c r="AH88" i="1"/>
  <c r="AL88" i="1" s="1"/>
  <c r="AM88" i="1" s="1"/>
  <c r="AD88" i="1"/>
  <c r="AE88" i="1" s="1"/>
  <c r="AF88" i="1"/>
  <c r="AG87" i="1"/>
  <c r="AI87" i="1" s="1"/>
  <c r="R88" i="1"/>
  <c r="T88" i="1"/>
  <c r="N88" i="1"/>
  <c r="V88" i="1"/>
  <c r="P88" i="1"/>
  <c r="X88" i="1"/>
  <c r="Z88" i="1" s="1"/>
  <c r="G88" i="1"/>
  <c r="K88" i="1"/>
  <c r="L88" i="1"/>
  <c r="J89" i="1"/>
  <c r="A90" i="1"/>
  <c r="B89" i="1"/>
  <c r="C89" i="1" s="1"/>
  <c r="E89" i="1" s="1"/>
  <c r="AJ89" i="1"/>
  <c r="AC89" i="1"/>
  <c r="AK89" i="1"/>
  <c r="M89" i="1"/>
  <c r="F89" i="1"/>
  <c r="H89" i="1"/>
  <c r="AO89" i="1"/>
  <c r="I89" i="1"/>
  <c r="Y89" i="1"/>
  <c r="O88" i="1" l="1"/>
  <c r="Q88" i="1" s="1"/>
  <c r="S88" i="1" s="1"/>
  <c r="U88" i="1" s="1"/>
  <c r="W88" i="1" s="1"/>
  <c r="AA88" i="1" s="1"/>
  <c r="AN88" i="1" s="1"/>
  <c r="AP89" i="1" s="1"/>
  <c r="Y89" i="9" s="1"/>
  <c r="V89" i="9" s="1"/>
  <c r="T89" i="9" s="1"/>
  <c r="S91" i="9" s="1"/>
  <c r="W93" i="9" s="1"/>
  <c r="AG88" i="1"/>
  <c r="AH89" i="1"/>
  <c r="AL89" i="1" s="1"/>
  <c r="AM89" i="1" s="1"/>
  <c r="AD89" i="1"/>
  <c r="AE89" i="1" s="1"/>
  <c r="AF89" i="1"/>
  <c r="G89" i="1"/>
  <c r="AI88" i="1"/>
  <c r="R89" i="1"/>
  <c r="T89" i="1"/>
  <c r="N89" i="1"/>
  <c r="V89" i="1"/>
  <c r="P89" i="1"/>
  <c r="X89" i="1"/>
  <c r="Z89" i="1" s="1"/>
  <c r="K89" i="1"/>
  <c r="L89" i="1"/>
  <c r="J90" i="1"/>
  <c r="A91" i="1"/>
  <c r="B90" i="1"/>
  <c r="C90" i="1" s="1"/>
  <c r="E90" i="1" s="1"/>
  <c r="AJ90" i="1"/>
  <c r="AC90" i="1"/>
  <c r="AK90" i="1"/>
  <c r="M90" i="1"/>
  <c r="F90" i="1"/>
  <c r="H90" i="1"/>
  <c r="AO90" i="1"/>
  <c r="Y90" i="1"/>
  <c r="I90" i="1"/>
  <c r="O89" i="1" l="1"/>
  <c r="Q89" i="1" s="1"/>
  <c r="S89" i="1" s="1"/>
  <c r="U89" i="1" s="1"/>
  <c r="W89" i="1" s="1"/>
  <c r="AA89" i="1" s="1"/>
  <c r="AN89" i="1" s="1"/>
  <c r="AP90" i="1" s="1"/>
  <c r="Y90" i="9" s="1"/>
  <c r="V90" i="9" s="1"/>
  <c r="T90" i="9" s="1"/>
  <c r="S92" i="9" s="1"/>
  <c r="W94" i="9" s="1"/>
  <c r="R90" i="1"/>
  <c r="T90" i="1"/>
  <c r="N90" i="1"/>
  <c r="V90" i="1"/>
  <c r="P90" i="1"/>
  <c r="X90" i="1"/>
  <c r="Z90" i="1" s="1"/>
  <c r="AH90" i="1"/>
  <c r="AL90" i="1" s="1"/>
  <c r="AM90" i="1" s="1"/>
  <c r="AD90" i="1"/>
  <c r="AE90" i="1" s="1"/>
  <c r="AF90" i="1"/>
  <c r="K90" i="1"/>
  <c r="L90" i="1"/>
  <c r="G90" i="1"/>
  <c r="AG89" i="1"/>
  <c r="AI89" i="1" s="1"/>
  <c r="J91" i="1"/>
  <c r="A92" i="1"/>
  <c r="B91" i="1"/>
  <c r="C91" i="1" s="1"/>
  <c r="E91" i="1" s="1"/>
  <c r="AJ91" i="1"/>
  <c r="AC91" i="1"/>
  <c r="AK91" i="1"/>
  <c r="M91" i="1"/>
  <c r="F91" i="1"/>
  <c r="H91" i="1"/>
  <c r="AO91" i="1"/>
  <c r="Y91" i="1"/>
  <c r="I91" i="1"/>
  <c r="O90" i="1" l="1"/>
  <c r="Q90" i="1" s="1"/>
  <c r="S90" i="1" s="1"/>
  <c r="U90" i="1" s="1"/>
  <c r="W90" i="1" s="1"/>
  <c r="AA90" i="1" s="1"/>
  <c r="AN90" i="1" s="1"/>
  <c r="AP91" i="1" s="1"/>
  <c r="Y91" i="9" s="1"/>
  <c r="V91" i="9" s="1"/>
  <c r="T91" i="9" s="1"/>
  <c r="S93" i="9" s="1"/>
  <c r="W95" i="9" s="1"/>
  <c r="G91" i="1"/>
  <c r="AH91" i="1"/>
  <c r="AL91" i="1" s="1"/>
  <c r="AM91" i="1" s="1"/>
  <c r="R91" i="1"/>
  <c r="T91" i="1"/>
  <c r="N91" i="1"/>
  <c r="V91" i="1"/>
  <c r="P91" i="1"/>
  <c r="X91" i="1"/>
  <c r="Z91" i="1" s="1"/>
  <c r="AD91" i="1"/>
  <c r="AE91" i="1" s="1"/>
  <c r="AF91" i="1"/>
  <c r="K91" i="1"/>
  <c r="L91" i="1"/>
  <c r="J92" i="1"/>
  <c r="A93" i="1"/>
  <c r="B92" i="1"/>
  <c r="C92" i="1" s="1"/>
  <c r="E92" i="1" s="1"/>
  <c r="AJ92" i="1"/>
  <c r="AC92" i="1"/>
  <c r="AK92" i="1"/>
  <c r="M92" i="1"/>
  <c r="F92" i="1"/>
  <c r="H92" i="1"/>
  <c r="AO92" i="1"/>
  <c r="Y92" i="1"/>
  <c r="I92" i="1"/>
  <c r="AG90" i="1"/>
  <c r="AI90" i="1" s="1"/>
  <c r="O91" i="1" l="1"/>
  <c r="Q91" i="1" s="1"/>
  <c r="S91" i="1" s="1"/>
  <c r="U91" i="1" s="1"/>
  <c r="W91" i="1" s="1"/>
  <c r="AA91" i="1" s="1"/>
  <c r="AN91" i="1" s="1"/>
  <c r="AP92" i="1" s="1"/>
  <c r="Y92" i="9" s="1"/>
  <c r="V92" i="9" s="1"/>
  <c r="T92" i="9" s="1"/>
  <c r="S94" i="9" s="1"/>
  <c r="W96" i="9" s="1"/>
  <c r="AG91" i="1"/>
  <c r="AI91" i="1" s="1"/>
  <c r="R92" i="1"/>
  <c r="T92" i="1"/>
  <c r="N92" i="1"/>
  <c r="V92" i="1"/>
  <c r="P92" i="1"/>
  <c r="X92" i="1"/>
  <c r="Z92" i="1" s="1"/>
  <c r="AH92" i="1"/>
  <c r="AL92" i="1" s="1"/>
  <c r="AM92" i="1" s="1"/>
  <c r="AD92" i="1"/>
  <c r="AE92" i="1" s="1"/>
  <c r="AF92" i="1"/>
  <c r="K92" i="1"/>
  <c r="L92" i="1"/>
  <c r="G92" i="1"/>
  <c r="J93" i="1"/>
  <c r="A94" i="1"/>
  <c r="B93" i="1"/>
  <c r="C93" i="1" s="1"/>
  <c r="E93" i="1" s="1"/>
  <c r="AJ93" i="1"/>
  <c r="AC93" i="1"/>
  <c r="AK93" i="1"/>
  <c r="M93" i="1"/>
  <c r="F93" i="1"/>
  <c r="H93" i="1"/>
  <c r="AO93" i="1"/>
  <c r="I93" i="1"/>
  <c r="Y93" i="1"/>
  <c r="O92" i="1" l="1"/>
  <c r="Q92" i="1" s="1"/>
  <c r="S92" i="1" s="1"/>
  <c r="U92" i="1" s="1"/>
  <c r="W92" i="1" s="1"/>
  <c r="AA92" i="1" s="1"/>
  <c r="AN92" i="1" s="1"/>
  <c r="AP93" i="1" s="1"/>
  <c r="Y93" i="9" s="1"/>
  <c r="V93" i="9" s="1"/>
  <c r="T93" i="9" s="1"/>
  <c r="S95" i="9" s="1"/>
  <c r="W97" i="9" s="1"/>
  <c r="G93" i="1"/>
  <c r="AG92" i="1"/>
  <c r="AD93" i="1"/>
  <c r="AE93" i="1" s="1"/>
  <c r="AF93" i="1"/>
  <c r="AH93" i="1"/>
  <c r="AL93" i="1" s="1"/>
  <c r="AM93" i="1" s="1"/>
  <c r="K93" i="1"/>
  <c r="L93" i="1"/>
  <c r="J94" i="1"/>
  <c r="A95" i="1"/>
  <c r="B94" i="1"/>
  <c r="C94" i="1" s="1"/>
  <c r="E94" i="1" s="1"/>
  <c r="AJ94" i="1"/>
  <c r="AC94" i="1"/>
  <c r="AK94" i="1"/>
  <c r="M94" i="1"/>
  <c r="F94" i="1"/>
  <c r="H94" i="1"/>
  <c r="I94" i="1"/>
  <c r="AO94" i="1"/>
  <c r="Y94" i="1"/>
  <c r="AI92" i="1"/>
  <c r="R93" i="1"/>
  <c r="T93" i="1"/>
  <c r="N93" i="1"/>
  <c r="V93" i="1"/>
  <c r="P93" i="1"/>
  <c r="X93" i="1"/>
  <c r="Z93" i="1" s="1"/>
  <c r="G94" i="1" l="1"/>
  <c r="AG93" i="1"/>
  <c r="AD94" i="1"/>
  <c r="AE94" i="1" s="1"/>
  <c r="AF94" i="1"/>
  <c r="R94" i="1"/>
  <c r="T94" i="1"/>
  <c r="N94" i="1"/>
  <c r="V94" i="1"/>
  <c r="P94" i="1"/>
  <c r="X94" i="1"/>
  <c r="Z94" i="1" s="1"/>
  <c r="K94" i="1"/>
  <c r="L94" i="1"/>
  <c r="J95" i="1"/>
  <c r="A96" i="1"/>
  <c r="B95" i="1"/>
  <c r="C95" i="1" s="1"/>
  <c r="E95" i="1" s="1"/>
  <c r="AJ95" i="1"/>
  <c r="AC95" i="1"/>
  <c r="AK95" i="1"/>
  <c r="M95" i="1"/>
  <c r="F95" i="1"/>
  <c r="I95" i="1"/>
  <c r="AO95" i="1"/>
  <c r="Y95" i="1"/>
  <c r="H95" i="1"/>
  <c r="AH94" i="1"/>
  <c r="AL94" i="1" s="1"/>
  <c r="AM94" i="1" s="1"/>
  <c r="AI93" i="1"/>
  <c r="O93" i="1"/>
  <c r="Q93" i="1" s="1"/>
  <c r="S93" i="1" s="1"/>
  <c r="U93" i="1" s="1"/>
  <c r="W93" i="1" s="1"/>
  <c r="AA93" i="1" s="1"/>
  <c r="AN93" i="1" s="1"/>
  <c r="AP94" i="1" s="1"/>
  <c r="Y94" i="9" s="1"/>
  <c r="V94" i="9" s="1"/>
  <c r="T94" i="9" s="1"/>
  <c r="S96" i="9" s="1"/>
  <c r="W98" i="9" s="1"/>
  <c r="G95" i="1" l="1"/>
  <c r="O94" i="1"/>
  <c r="J96" i="1"/>
  <c r="A97" i="1"/>
  <c r="B96" i="1"/>
  <c r="C96" i="1" s="1"/>
  <c r="E96" i="1" s="1"/>
  <c r="AJ96" i="1"/>
  <c r="AC96" i="1"/>
  <c r="AK96" i="1"/>
  <c r="M96" i="1"/>
  <c r="F96" i="1"/>
  <c r="AO96" i="1"/>
  <c r="H96" i="1"/>
  <c r="I96" i="1"/>
  <c r="Y96" i="1"/>
  <c r="Q94" i="1"/>
  <c r="S94" i="1" s="1"/>
  <c r="U94" i="1" s="1"/>
  <c r="W94" i="1" s="1"/>
  <c r="AA94" i="1" s="1"/>
  <c r="AN94" i="1" s="1"/>
  <c r="AP95" i="1" s="1"/>
  <c r="Y95" i="9" s="1"/>
  <c r="V95" i="9" s="1"/>
  <c r="T95" i="9" s="1"/>
  <c r="S97" i="9" s="1"/>
  <c r="W99" i="9" s="1"/>
  <c r="AH95" i="1"/>
  <c r="AL95" i="1" s="1"/>
  <c r="AM95" i="1" s="1"/>
  <c r="K95" i="1"/>
  <c r="L95" i="1"/>
  <c r="R95" i="1"/>
  <c r="T95" i="1"/>
  <c r="N95" i="1"/>
  <c r="V95" i="1"/>
  <c r="P95" i="1"/>
  <c r="X95" i="1"/>
  <c r="Z95" i="1" s="1"/>
  <c r="AD95" i="1"/>
  <c r="AE95" i="1" s="1"/>
  <c r="AF95" i="1"/>
  <c r="AG94" i="1"/>
  <c r="AI94" i="1" s="1"/>
  <c r="R96" i="1" l="1"/>
  <c r="T96" i="1"/>
  <c r="N96" i="1"/>
  <c r="V96" i="1"/>
  <c r="P96" i="1"/>
  <c r="X96" i="1"/>
  <c r="Z96" i="1" s="1"/>
  <c r="AH96" i="1"/>
  <c r="AL96" i="1" s="1"/>
  <c r="AM96" i="1" s="1"/>
  <c r="AD96" i="1"/>
  <c r="AE96" i="1" s="1"/>
  <c r="AF96" i="1"/>
  <c r="K96" i="1"/>
  <c r="L96" i="1"/>
  <c r="O96" i="1" s="1"/>
  <c r="G96" i="1"/>
  <c r="O95" i="1"/>
  <c r="Q95" i="1" s="1"/>
  <c r="S95" i="1" s="1"/>
  <c r="U95" i="1" s="1"/>
  <c r="W95" i="1" s="1"/>
  <c r="AA95" i="1" s="1"/>
  <c r="AN95" i="1" s="1"/>
  <c r="AP96" i="1" s="1"/>
  <c r="Y96" i="9" s="1"/>
  <c r="V96" i="9" s="1"/>
  <c r="T96" i="9" s="1"/>
  <c r="S98" i="9" s="1"/>
  <c r="W100" i="9" s="1"/>
  <c r="B97" i="1"/>
  <c r="C97" i="1" s="1"/>
  <c r="E97" i="1" s="1"/>
  <c r="AJ97" i="1"/>
  <c r="AC97" i="1"/>
  <c r="AK97" i="1"/>
  <c r="M97" i="1"/>
  <c r="F97" i="1"/>
  <c r="Y97" i="1"/>
  <c r="AO97" i="1"/>
  <c r="A98" i="1"/>
  <c r="I97" i="1"/>
  <c r="J97" i="1"/>
  <c r="H97" i="1"/>
  <c r="AG95" i="1"/>
  <c r="AI95" i="1" s="1"/>
  <c r="AG96" i="1" l="1"/>
  <c r="AI96" i="1" s="1"/>
  <c r="Q96" i="1"/>
  <c r="S96" i="1" s="1"/>
  <c r="U96" i="1" s="1"/>
  <c r="W96" i="1" s="1"/>
  <c r="AA96" i="1" s="1"/>
  <c r="AN96" i="1" s="1"/>
  <c r="AP97" i="1" s="1"/>
  <c r="Y97" i="9" s="1"/>
  <c r="V97" i="9" s="1"/>
  <c r="T97" i="9" s="1"/>
  <c r="S99" i="9" s="1"/>
  <c r="W101" i="9" s="1"/>
  <c r="AH97" i="1"/>
  <c r="AL97" i="1" s="1"/>
  <c r="AM97" i="1" s="1"/>
  <c r="T97" i="1"/>
  <c r="N97" i="1"/>
  <c r="P97" i="1"/>
  <c r="R97" i="1"/>
  <c r="X97" i="1"/>
  <c r="Z97" i="1" s="1"/>
  <c r="V97" i="1"/>
  <c r="AD97" i="1"/>
  <c r="AE97" i="1" s="1"/>
  <c r="AF97" i="1"/>
  <c r="K97" i="1"/>
  <c r="L97" i="1"/>
  <c r="H98" i="1"/>
  <c r="AO98" i="1"/>
  <c r="I98" i="1"/>
  <c r="Y98" i="1"/>
  <c r="J98" i="1"/>
  <c r="A99" i="1"/>
  <c r="B98" i="1"/>
  <c r="C98" i="1" s="1"/>
  <c r="E98" i="1" s="1"/>
  <c r="AJ98" i="1"/>
  <c r="M98" i="1"/>
  <c r="F98" i="1"/>
  <c r="AC98" i="1"/>
  <c r="AK98" i="1"/>
  <c r="G97" i="1"/>
  <c r="O97" i="1" l="1"/>
  <c r="Q97" i="1" s="1"/>
  <c r="S97" i="1" s="1"/>
  <c r="U97" i="1" s="1"/>
  <c r="W97" i="1" s="1"/>
  <c r="AA97" i="1" s="1"/>
  <c r="AN97" i="1" s="1"/>
  <c r="AP98" i="1" s="1"/>
  <c r="Y98" i="9" s="1"/>
  <c r="V98" i="9" s="1"/>
  <c r="T98" i="9" s="1"/>
  <c r="S100" i="9" s="1"/>
  <c r="W102" i="9" s="1"/>
  <c r="G98" i="1"/>
  <c r="H99" i="1"/>
  <c r="AO99" i="1"/>
  <c r="I99" i="1"/>
  <c r="Y99" i="1"/>
  <c r="J99" i="1"/>
  <c r="A100" i="1"/>
  <c r="B99" i="1"/>
  <c r="C99" i="1" s="1"/>
  <c r="E99" i="1" s="1"/>
  <c r="AJ99" i="1"/>
  <c r="M99" i="1"/>
  <c r="F99" i="1"/>
  <c r="AC99" i="1"/>
  <c r="AK99" i="1"/>
  <c r="AH98" i="1"/>
  <c r="AL98" i="1" s="1"/>
  <c r="AM98" i="1" s="1"/>
  <c r="AF98" i="1"/>
  <c r="AD98" i="1"/>
  <c r="AE98" i="1" s="1"/>
  <c r="K98" i="1"/>
  <c r="L98" i="1"/>
  <c r="AG97" i="1"/>
  <c r="AI97" i="1" s="1"/>
  <c r="P98" i="1"/>
  <c r="X98" i="1"/>
  <c r="Z98" i="1" s="1"/>
  <c r="R98" i="1"/>
  <c r="N98" i="1"/>
  <c r="V98" i="1"/>
  <c r="T98" i="1"/>
  <c r="O98" i="1" l="1"/>
  <c r="Q98" i="1" s="1"/>
  <c r="S98" i="1" s="1"/>
  <c r="U98" i="1" s="1"/>
  <c r="W98" i="1" s="1"/>
  <c r="AA98" i="1" s="1"/>
  <c r="AN98" i="1" s="1"/>
  <c r="AP99" i="1" s="1"/>
  <c r="Y99" i="9" s="1"/>
  <c r="V99" i="9" s="1"/>
  <c r="T99" i="9" s="1"/>
  <c r="S101" i="9" s="1"/>
  <c r="W103" i="9" s="1"/>
  <c r="AG98" i="1"/>
  <c r="AH99" i="1"/>
  <c r="AL99" i="1" s="1"/>
  <c r="AM99" i="1" s="1"/>
  <c r="K99" i="1"/>
  <c r="L99" i="1"/>
  <c r="H100" i="1"/>
  <c r="AO100" i="1"/>
  <c r="I100" i="1"/>
  <c r="Y100" i="1"/>
  <c r="J100" i="1"/>
  <c r="A101" i="1"/>
  <c r="B100" i="1"/>
  <c r="C100" i="1" s="1"/>
  <c r="E100" i="1" s="1"/>
  <c r="AJ100" i="1"/>
  <c r="M100" i="1"/>
  <c r="F100" i="1"/>
  <c r="AK100" i="1"/>
  <c r="AC100" i="1"/>
  <c r="AI98" i="1"/>
  <c r="P99" i="1"/>
  <c r="X99" i="1"/>
  <c r="Z99" i="1" s="1"/>
  <c r="R99" i="1"/>
  <c r="N99" i="1"/>
  <c r="V99" i="1"/>
  <c r="T99" i="1"/>
  <c r="AF99" i="1"/>
  <c r="AD99" i="1"/>
  <c r="AE99" i="1" s="1"/>
  <c r="G99" i="1"/>
  <c r="AO100" i="3"/>
  <c r="AO101" i="3"/>
  <c r="AO103" i="3"/>
  <c r="AO104" i="3"/>
  <c r="AO105" i="3"/>
  <c r="AO119" i="3"/>
  <c r="S119" i="3" s="1"/>
  <c r="AO242" i="3"/>
  <c r="S242" i="3" s="1"/>
  <c r="AO243" i="3"/>
  <c r="S243" i="3" s="1"/>
  <c r="T276" i="3"/>
  <c r="T90" i="3"/>
  <c r="T89" i="3"/>
  <c r="T76" i="3"/>
  <c r="T79" i="3"/>
  <c r="T78" i="3"/>
  <c r="T88" i="3"/>
  <c r="T77" i="3"/>
  <c r="T84" i="3"/>
  <c r="T75" i="3"/>
  <c r="T74" i="3"/>
  <c r="T232" i="3"/>
  <c r="T234" i="3"/>
  <c r="T52" i="3"/>
  <c r="T51" i="3"/>
  <c r="T236" i="3"/>
  <c r="T278" i="3"/>
  <c r="T233" i="3"/>
  <c r="T58" i="3"/>
  <c r="T50" i="3"/>
  <c r="T55" i="3"/>
  <c r="AH100" i="1" l="1"/>
  <c r="AL100" i="1" s="1"/>
  <c r="AM100" i="1" s="1"/>
  <c r="K100" i="1"/>
  <c r="L100" i="1"/>
  <c r="P100" i="1"/>
  <c r="X100" i="1"/>
  <c r="Z100" i="1" s="1"/>
  <c r="R100" i="1"/>
  <c r="N100" i="1"/>
  <c r="V100" i="1"/>
  <c r="T100" i="1"/>
  <c r="AG99" i="1"/>
  <c r="AI99" i="1" s="1"/>
  <c r="O99" i="1"/>
  <c r="Q99" i="1" s="1"/>
  <c r="S99" i="1" s="1"/>
  <c r="U99" i="1" s="1"/>
  <c r="W99" i="1" s="1"/>
  <c r="AA99" i="1" s="1"/>
  <c r="AN99" i="1" s="1"/>
  <c r="AP100" i="1" s="1"/>
  <c r="Y100" i="9" s="1"/>
  <c r="V100" i="9" s="1"/>
  <c r="T100" i="9" s="1"/>
  <c r="S102" i="9" s="1"/>
  <c r="W104" i="9" s="1"/>
  <c r="G100" i="1"/>
  <c r="AF100" i="1"/>
  <c r="AD100" i="1"/>
  <c r="AE100" i="1" s="1"/>
  <c r="H101" i="1"/>
  <c r="AO101" i="1"/>
  <c r="I101" i="1"/>
  <c r="Y101" i="1"/>
  <c r="J101" i="1"/>
  <c r="A102" i="1"/>
  <c r="B101" i="1"/>
  <c r="C101" i="1" s="1"/>
  <c r="E101" i="1" s="1"/>
  <c r="AJ101" i="1"/>
  <c r="M101" i="1"/>
  <c r="F101" i="1"/>
  <c r="AK101" i="1"/>
  <c r="AC101" i="1"/>
  <c r="S103" i="3"/>
  <c r="S101" i="3"/>
  <c r="S105" i="3"/>
  <c r="S100" i="3"/>
  <c r="S104" i="3"/>
  <c r="AG100" i="1" l="1"/>
  <c r="O100" i="1"/>
  <c r="H102" i="1"/>
  <c r="AO102" i="1"/>
  <c r="I102" i="1"/>
  <c r="Y102" i="1"/>
  <c r="J102" i="1"/>
  <c r="A103" i="1"/>
  <c r="B102" i="1"/>
  <c r="C102" i="1" s="1"/>
  <c r="E102" i="1" s="1"/>
  <c r="AJ102" i="1"/>
  <c r="M102" i="1"/>
  <c r="F102" i="1"/>
  <c r="AC102" i="1"/>
  <c r="AK102" i="1"/>
  <c r="AH101" i="1"/>
  <c r="AL101" i="1" s="1"/>
  <c r="AM101" i="1" s="1"/>
  <c r="K101" i="1"/>
  <c r="L101" i="1"/>
  <c r="Q100" i="1"/>
  <c r="S100" i="1" s="1"/>
  <c r="U100" i="1" s="1"/>
  <c r="W100" i="1" s="1"/>
  <c r="AA100" i="1" s="1"/>
  <c r="AN100" i="1" s="1"/>
  <c r="AP101" i="1" s="1"/>
  <c r="Y101" i="9" s="1"/>
  <c r="V101" i="9" s="1"/>
  <c r="T101" i="9" s="1"/>
  <c r="S103" i="9" s="1"/>
  <c r="W105" i="9" s="1"/>
  <c r="P101" i="1"/>
  <c r="X101" i="1"/>
  <c r="Z101" i="1" s="1"/>
  <c r="R101" i="1"/>
  <c r="N101" i="1"/>
  <c r="V101" i="1"/>
  <c r="T101" i="1"/>
  <c r="AF101" i="1"/>
  <c r="AD101" i="1"/>
  <c r="AE101" i="1" s="1"/>
  <c r="AI100" i="1"/>
  <c r="G101" i="1"/>
  <c r="H145" i="3"/>
  <c r="I145" i="3"/>
  <c r="G145" i="3"/>
  <c r="J145" i="3"/>
  <c r="AG101" i="1" l="1"/>
  <c r="AI101" i="1" s="1"/>
  <c r="AV60" i="3"/>
  <c r="BE60" i="3" s="1"/>
  <c r="G102" i="1"/>
  <c r="H103" i="1"/>
  <c r="AO103" i="1"/>
  <c r="I103" i="1"/>
  <c r="Y103" i="1"/>
  <c r="J103" i="1"/>
  <c r="A104" i="1"/>
  <c r="B103" i="1"/>
  <c r="C103" i="1" s="1"/>
  <c r="E103" i="1" s="1"/>
  <c r="AJ103" i="1"/>
  <c r="M103" i="1"/>
  <c r="AK103" i="1"/>
  <c r="F103" i="1"/>
  <c r="AC103" i="1"/>
  <c r="AH102" i="1"/>
  <c r="AL102" i="1" s="1"/>
  <c r="AM102" i="1" s="1"/>
  <c r="AF102" i="1"/>
  <c r="AD102" i="1"/>
  <c r="AE102" i="1" s="1"/>
  <c r="K102" i="1"/>
  <c r="L102" i="1"/>
  <c r="O101" i="1"/>
  <c r="Q101" i="1" s="1"/>
  <c r="S101" i="1" s="1"/>
  <c r="U101" i="1" s="1"/>
  <c r="W101" i="1" s="1"/>
  <c r="AA101" i="1" s="1"/>
  <c r="AN101" i="1" s="1"/>
  <c r="AP102" i="1" s="1"/>
  <c r="Y102" i="9" s="1"/>
  <c r="V102" i="9" s="1"/>
  <c r="T102" i="9" s="1"/>
  <c r="S104" i="9" s="1"/>
  <c r="W106" i="9" s="1"/>
  <c r="P102" i="1"/>
  <c r="X102" i="1"/>
  <c r="Z102" i="1" s="1"/>
  <c r="R102" i="1"/>
  <c r="N102" i="1"/>
  <c r="T102" i="1"/>
  <c r="V102" i="1"/>
  <c r="AW60" i="3" l="1"/>
  <c r="BF60" i="3" s="1"/>
  <c r="BB60" i="3" s="1"/>
  <c r="G103" i="1"/>
  <c r="O102" i="1"/>
  <c r="Q102" i="1" s="1"/>
  <c r="S102" i="1" s="1"/>
  <c r="U102" i="1" s="1"/>
  <c r="W102" i="1" s="1"/>
  <c r="AA102" i="1" s="1"/>
  <c r="AN102" i="1" s="1"/>
  <c r="AP103" i="1" s="1"/>
  <c r="Y103" i="9" s="1"/>
  <c r="V103" i="9" s="1"/>
  <c r="T103" i="9" s="1"/>
  <c r="S105" i="9" s="1"/>
  <c r="W107" i="9" s="1"/>
  <c r="H104" i="1"/>
  <c r="AO104" i="1"/>
  <c r="I104" i="1"/>
  <c r="Y104" i="1"/>
  <c r="J104" i="1"/>
  <c r="A105" i="1"/>
  <c r="B104" i="1"/>
  <c r="C104" i="1" s="1"/>
  <c r="E104" i="1" s="1"/>
  <c r="AJ104" i="1"/>
  <c r="M104" i="1"/>
  <c r="AK104" i="1"/>
  <c r="AC104" i="1"/>
  <c r="F104" i="1"/>
  <c r="K103" i="1"/>
  <c r="L103" i="1"/>
  <c r="AG102" i="1"/>
  <c r="AI102" i="1" s="1"/>
  <c r="AH103" i="1"/>
  <c r="AL103" i="1" s="1"/>
  <c r="AM103" i="1" s="1"/>
  <c r="AF103" i="1"/>
  <c r="AD103" i="1"/>
  <c r="AE103" i="1" s="1"/>
  <c r="P103" i="1"/>
  <c r="X103" i="1"/>
  <c r="Z103" i="1" s="1"/>
  <c r="R103" i="1"/>
  <c r="T103" i="1"/>
  <c r="N103" i="1"/>
  <c r="V103" i="1"/>
  <c r="AX60" i="3" l="1"/>
  <c r="AY60" i="3" s="1"/>
  <c r="AZ60" i="3" s="1"/>
  <c r="BA60" i="3" s="1"/>
  <c r="AG103" i="1"/>
  <c r="AI103" i="1" s="1"/>
  <c r="O103" i="1"/>
  <c r="Q103" i="1" s="1"/>
  <c r="S103" i="1" s="1"/>
  <c r="U103" i="1" s="1"/>
  <c r="W103" i="1" s="1"/>
  <c r="AA103" i="1" s="1"/>
  <c r="AN103" i="1" s="1"/>
  <c r="AP104" i="1" s="1"/>
  <c r="Y104" i="9" s="1"/>
  <c r="V104" i="9" s="1"/>
  <c r="T104" i="9" s="1"/>
  <c r="S106" i="9" s="1"/>
  <c r="W108" i="9" s="1"/>
  <c r="G104" i="1"/>
  <c r="H105" i="1"/>
  <c r="AO105" i="1"/>
  <c r="I105" i="1"/>
  <c r="Y105" i="1"/>
  <c r="J105" i="1"/>
  <c r="A106" i="1"/>
  <c r="B105" i="1"/>
  <c r="C105" i="1" s="1"/>
  <c r="E105" i="1" s="1"/>
  <c r="AJ105" i="1"/>
  <c r="AC105" i="1"/>
  <c r="F105" i="1"/>
  <c r="M105" i="1"/>
  <c r="AK105" i="1"/>
  <c r="AF104" i="1"/>
  <c r="AD104" i="1"/>
  <c r="AE104" i="1" s="1"/>
  <c r="K104" i="1"/>
  <c r="L104" i="1"/>
  <c r="AH104" i="1"/>
  <c r="AL104" i="1" s="1"/>
  <c r="AM104" i="1" s="1"/>
  <c r="P104" i="1"/>
  <c r="X104" i="1"/>
  <c r="Z104" i="1" s="1"/>
  <c r="R104" i="1"/>
  <c r="V104" i="1"/>
  <c r="N104" i="1"/>
  <c r="T104" i="1"/>
  <c r="G105" i="1" l="1"/>
  <c r="AG104" i="1"/>
  <c r="AI104" i="1" s="1"/>
  <c r="O104" i="1"/>
  <c r="Q104" i="1" s="1"/>
  <c r="S104" i="1" s="1"/>
  <c r="U104" i="1" s="1"/>
  <c r="W104" i="1" s="1"/>
  <c r="AA104" i="1" s="1"/>
  <c r="AN104" i="1" s="1"/>
  <c r="AP105" i="1" s="1"/>
  <c r="Y105" i="9" s="1"/>
  <c r="V105" i="9" s="1"/>
  <c r="T105" i="9" s="1"/>
  <c r="S107" i="9" s="1"/>
  <c r="W109" i="9" s="1"/>
  <c r="H106" i="1"/>
  <c r="AO106" i="1"/>
  <c r="J106" i="1"/>
  <c r="A107" i="1"/>
  <c r="B106" i="1"/>
  <c r="C106" i="1" s="1"/>
  <c r="E106" i="1" s="1"/>
  <c r="AC106" i="1"/>
  <c r="AK106" i="1"/>
  <c r="F106" i="1"/>
  <c r="I106" i="1"/>
  <c r="AJ106" i="1"/>
  <c r="Y106" i="1"/>
  <c r="M106" i="1"/>
  <c r="AH105" i="1"/>
  <c r="AL105" i="1" s="1"/>
  <c r="AM105" i="1" s="1"/>
  <c r="P105" i="1"/>
  <c r="X105" i="1"/>
  <c r="Z105" i="1" s="1"/>
  <c r="R105" i="1"/>
  <c r="V105" i="1"/>
  <c r="N105" i="1"/>
  <c r="T105" i="1"/>
  <c r="K105" i="1"/>
  <c r="L105" i="1"/>
  <c r="AF105" i="1"/>
  <c r="AD105" i="1"/>
  <c r="AE105" i="1" s="1"/>
  <c r="AG105" i="1" l="1"/>
  <c r="AI105" i="1" s="1"/>
  <c r="O105" i="1"/>
  <c r="Q105" i="1" s="1"/>
  <c r="S105" i="1" s="1"/>
  <c r="U105" i="1" s="1"/>
  <c r="W105" i="1" s="1"/>
  <c r="AA105" i="1" s="1"/>
  <c r="AN105" i="1" s="1"/>
  <c r="AP106" i="1" s="1"/>
  <c r="Y106" i="9" s="1"/>
  <c r="V106" i="9" s="1"/>
  <c r="T106" i="9" s="1"/>
  <c r="S108" i="9" s="1"/>
  <c r="W110" i="9" s="1"/>
  <c r="AH106" i="1"/>
  <c r="AL106" i="1" s="1"/>
  <c r="AM106" i="1" s="1"/>
  <c r="AF106" i="1"/>
  <c r="AD106" i="1"/>
  <c r="AE106" i="1" s="1"/>
  <c r="G106" i="1"/>
  <c r="P106" i="1"/>
  <c r="X106" i="1"/>
  <c r="Z106" i="1" s="1"/>
  <c r="R106" i="1"/>
  <c r="N106" i="1"/>
  <c r="T106" i="1"/>
  <c r="V106" i="1"/>
  <c r="H107" i="1"/>
  <c r="AO107" i="1"/>
  <c r="J107" i="1"/>
  <c r="A108" i="1"/>
  <c r="M107" i="1"/>
  <c r="AJ107" i="1"/>
  <c r="B107" i="1"/>
  <c r="C107" i="1" s="1"/>
  <c r="E107" i="1" s="1"/>
  <c r="AC107" i="1"/>
  <c r="I107" i="1"/>
  <c r="F107" i="1"/>
  <c r="AK107" i="1"/>
  <c r="Y107" i="1"/>
  <c r="K106" i="1"/>
  <c r="L106" i="1"/>
  <c r="O106" i="1" l="1"/>
  <c r="Q106" i="1" s="1"/>
  <c r="S106" i="1" s="1"/>
  <c r="U106" i="1" s="1"/>
  <c r="W106" i="1" s="1"/>
  <c r="AA106" i="1" s="1"/>
  <c r="AN106" i="1" s="1"/>
  <c r="AP107" i="1" s="1"/>
  <c r="Y107" i="9" s="1"/>
  <c r="V107" i="9" s="1"/>
  <c r="T107" i="9" s="1"/>
  <c r="S109" i="9" s="1"/>
  <c r="G107" i="1"/>
  <c r="H108" i="1"/>
  <c r="AO108" i="1"/>
  <c r="J108" i="1"/>
  <c r="A109" i="1"/>
  <c r="Y108" i="1"/>
  <c r="AC108" i="1"/>
  <c r="M108" i="1"/>
  <c r="F108" i="1"/>
  <c r="B108" i="1"/>
  <c r="C108" i="1" s="1"/>
  <c r="E108" i="1" s="1"/>
  <c r="I108" i="1"/>
  <c r="AJ108" i="1"/>
  <c r="AK108" i="1"/>
  <c r="K107" i="1"/>
  <c r="L107" i="1"/>
  <c r="AG106" i="1"/>
  <c r="AI106" i="1" s="1"/>
  <c r="AF107" i="1"/>
  <c r="AD107" i="1"/>
  <c r="AE107" i="1" s="1"/>
  <c r="AG107" i="1" s="1"/>
  <c r="AH107" i="1"/>
  <c r="AL107" i="1" s="1"/>
  <c r="AM107" i="1" s="1"/>
  <c r="P107" i="1"/>
  <c r="X107" i="1"/>
  <c r="Z107" i="1" s="1"/>
  <c r="R107" i="1"/>
  <c r="N107" i="1"/>
  <c r="T107" i="1"/>
  <c r="V107" i="1"/>
  <c r="O107" i="1" l="1"/>
  <c r="Q107" i="1" s="1"/>
  <c r="S107" i="1" s="1"/>
  <c r="U107" i="1" s="1"/>
  <c r="W107" i="1" s="1"/>
  <c r="AA107" i="1" s="1"/>
  <c r="AN107" i="1" s="1"/>
  <c r="AP108" i="1" s="1"/>
  <c r="Y108" i="9" s="1"/>
  <c r="V108" i="9" s="1"/>
  <c r="T108" i="9" s="1"/>
  <c r="S110" i="9" s="1"/>
  <c r="G108" i="1"/>
  <c r="P108" i="1"/>
  <c r="X108" i="1"/>
  <c r="Z108" i="1" s="1"/>
  <c r="R108" i="1"/>
  <c r="N108" i="1"/>
  <c r="T108" i="1"/>
  <c r="V108" i="1"/>
  <c r="AF108" i="1"/>
  <c r="AD108" i="1"/>
  <c r="AE108" i="1" s="1"/>
  <c r="AH108" i="1"/>
  <c r="AL108" i="1" s="1"/>
  <c r="AM108" i="1" s="1"/>
  <c r="H109" i="1"/>
  <c r="J109" i="1"/>
  <c r="AK109" i="1"/>
  <c r="AC109" i="1"/>
  <c r="Y109" i="1"/>
  <c r="AJ109" i="1"/>
  <c r="M109" i="1"/>
  <c r="AO109" i="1"/>
  <c r="B109" i="1"/>
  <c r="C109" i="1" s="1"/>
  <c r="E109" i="1" s="1"/>
  <c r="F109" i="1"/>
  <c r="I109" i="1"/>
  <c r="A110" i="1"/>
  <c r="L108" i="1"/>
  <c r="K108" i="1"/>
  <c r="AI107" i="1"/>
  <c r="O108" i="1" l="1"/>
  <c r="Q108" i="1" s="1"/>
  <c r="S108" i="1" s="1"/>
  <c r="U108" i="1" s="1"/>
  <c r="W108" i="1" s="1"/>
  <c r="AA108" i="1" s="1"/>
  <c r="AN108" i="1" s="1"/>
  <c r="AP109" i="1" s="1"/>
  <c r="Y109" i="9" s="1"/>
  <c r="V109" i="9" s="1"/>
  <c r="T109" i="9" s="1"/>
  <c r="G109" i="1"/>
  <c r="AG108" i="1"/>
  <c r="AI108" i="1" s="1"/>
  <c r="K109" i="1"/>
  <c r="L109" i="1"/>
  <c r="P109" i="1"/>
  <c r="X109" i="1"/>
  <c r="Z109" i="1" s="1"/>
  <c r="R109" i="1"/>
  <c r="V109" i="1"/>
  <c r="N109" i="1"/>
  <c r="T109" i="1"/>
  <c r="AH109" i="1"/>
  <c r="AL109" i="1" s="1"/>
  <c r="AM109" i="1" s="1"/>
  <c r="B110" i="1"/>
  <c r="C110" i="1" s="1"/>
  <c r="E110" i="1" s="1"/>
  <c r="AO110" i="1"/>
  <c r="AK110" i="1"/>
  <c r="M110" i="1"/>
  <c r="F110" i="1"/>
  <c r="Y110" i="1"/>
  <c r="H110" i="1"/>
  <c r="AJ110" i="1"/>
  <c r="I110" i="1"/>
  <c r="J110" i="1"/>
  <c r="AC110" i="1"/>
  <c r="AF109" i="1"/>
  <c r="AD109" i="1"/>
  <c r="AE109" i="1" s="1"/>
  <c r="O109" i="1" l="1"/>
  <c r="G110" i="1"/>
  <c r="Q109" i="1"/>
  <c r="S109" i="1" s="1"/>
  <c r="U109" i="1" s="1"/>
  <c r="W109" i="1" s="1"/>
  <c r="AA109" i="1" s="1"/>
  <c r="AN109" i="1" s="1"/>
  <c r="AP110" i="1" s="1"/>
  <c r="Y110" i="9" s="1"/>
  <c r="V110" i="9" s="1"/>
  <c r="T110" i="9" s="1"/>
  <c r="L110" i="1"/>
  <c r="K110" i="1"/>
  <c r="AG109" i="1"/>
  <c r="AI109" i="1" s="1"/>
  <c r="AF110" i="1"/>
  <c r="AD110" i="1"/>
  <c r="AE110" i="1" s="1"/>
  <c r="AH110" i="1"/>
  <c r="AL110" i="1" s="1"/>
  <c r="AM110" i="1" s="1"/>
  <c r="P110" i="1"/>
  <c r="V110" i="1"/>
  <c r="X110" i="1"/>
  <c r="Z110" i="1" s="1"/>
  <c r="R110" i="1"/>
  <c r="N110" i="1"/>
  <c r="T110" i="1"/>
  <c r="O110" i="1" l="1"/>
  <c r="Q110" i="1" s="1"/>
  <c r="S110" i="1" s="1"/>
  <c r="U110" i="1" s="1"/>
  <c r="W110" i="1" s="1"/>
  <c r="AA110" i="1" s="1"/>
  <c r="AN110" i="1" s="1"/>
  <c r="AG110" i="1"/>
  <c r="AI110" i="1" s="1"/>
  <c r="AG34" i="3" l="1" a="1"/>
  <c r="AG34" i="3" s="1"/>
  <c r="J34" i="3" s="1" a="1"/>
  <c r="J34" i="3" s="1"/>
  <c r="W36" i="3" s="1"/>
  <c r="AI33" i="3" a="1"/>
  <c r="AI33" i="3" s="1"/>
  <c r="L33" i="3" s="1" a="1"/>
  <c r="L33" i="3" s="1"/>
  <c r="Y35" i="3" s="1"/>
  <c r="AF40" i="3" a="1"/>
  <c r="AF40" i="3" s="1"/>
  <c r="I40" i="3" s="1" a="1"/>
  <c r="I40" i="3" s="1"/>
  <c r="V43" i="3" s="1"/>
  <c r="AE37" i="3" a="1"/>
  <c r="AE37" i="3" s="1"/>
  <c r="H37" i="3" s="1" a="1"/>
  <c r="H37" i="3" s="1"/>
  <c r="U39" i="3" s="1"/>
  <c r="AK29" i="3" a="1"/>
  <c r="AK29" i="3" s="1"/>
  <c r="AH31" i="3" a="1"/>
  <c r="AH31" i="3" s="1"/>
  <c r="K31" i="3" s="1" a="1"/>
  <c r="K31" i="3" s="1"/>
  <c r="X33" i="3" s="1"/>
  <c r="AK40" i="3" a="1"/>
  <c r="AK40" i="3" s="1"/>
  <c r="N40" i="3" s="1" a="1"/>
  <c r="N40" i="3" s="1"/>
  <c r="AA43" i="3" s="1"/>
  <c r="AI40" i="3" a="1"/>
  <c r="AI40" i="3" s="1"/>
  <c r="L40" i="3" s="1" a="1"/>
  <c r="L40" i="3" s="1"/>
  <c r="Y43" i="3" s="1"/>
  <c r="AK28" i="3" a="1"/>
  <c r="AK28" i="3" s="1"/>
  <c r="N28" i="3" s="1" a="1"/>
  <c r="N28" i="3" s="1"/>
  <c r="AH38" i="3" a="1"/>
  <c r="AH38" i="3" s="1"/>
  <c r="K38" i="3" s="1" a="1"/>
  <c r="K38" i="3" s="1"/>
  <c r="X41" i="3" s="1"/>
  <c r="AI41" i="3" a="1"/>
  <c r="AI41" i="3" s="1"/>
  <c r="L41" i="3" s="1" a="1"/>
  <c r="L41" i="3" s="1"/>
  <c r="Y44" i="3" s="1"/>
  <c r="AL34" i="3" a="1"/>
  <c r="AL34" i="3" s="1"/>
  <c r="O34" i="3" s="1" a="1"/>
  <c r="O34" i="3" s="1"/>
  <c r="AB36" i="3" s="1"/>
  <c r="AJ30" i="3" a="1"/>
  <c r="AJ30" i="3" s="1"/>
  <c r="M30" i="3" s="1" a="1"/>
  <c r="M30" i="3" s="1"/>
  <c r="Z238" i="3" s="1"/>
  <c r="AD34" i="3" a="1"/>
  <c r="AD34" i="3" s="1"/>
  <c r="AK39" i="3" a="1"/>
  <c r="AK39" i="3" s="1"/>
  <c r="N39" i="3" s="1" a="1"/>
  <c r="N39" i="3" s="1"/>
  <c r="AA42" i="3" s="1"/>
  <c r="AL35" i="3" a="1"/>
  <c r="AL35" i="3" s="1"/>
  <c r="O35" i="3" s="1" a="1"/>
  <c r="O35" i="3" s="1"/>
  <c r="AB37" i="3" s="1"/>
  <c r="AK30" i="3" a="1"/>
  <c r="AK30" i="3" s="1"/>
  <c r="N30" i="3" s="1" a="1"/>
  <c r="N30" i="3" s="1"/>
  <c r="AA238" i="3" s="1"/>
  <c r="AJ29" i="3" a="1"/>
  <c r="AJ29" i="3" s="1"/>
  <c r="AI35" i="3" a="1"/>
  <c r="AI35" i="3" s="1"/>
  <c r="L35" i="3" s="1" a="1"/>
  <c r="L35" i="3" s="1"/>
  <c r="Y37" i="3" s="1"/>
  <c r="AF28" i="3" a="1"/>
  <c r="AF28" i="3" s="1"/>
  <c r="I28" i="3" s="1" a="1"/>
  <c r="I28" i="3" s="1"/>
  <c r="AJ39" i="3" a="1"/>
  <c r="AJ39" i="3" s="1"/>
  <c r="M39" i="3" s="1" a="1"/>
  <c r="M39" i="3" s="1"/>
  <c r="Z42" i="3" s="1"/>
  <c r="AG38" i="3" a="1"/>
  <c r="AG38" i="3" s="1"/>
  <c r="J38" i="3" s="1" a="1"/>
  <c r="J38" i="3" s="1"/>
  <c r="W41" i="3" s="1"/>
  <c r="AI34" i="3" a="1"/>
  <c r="AI34" i="3" s="1"/>
  <c r="L34" i="3" s="1" a="1"/>
  <c r="L34" i="3" s="1"/>
  <c r="Y36" i="3" s="1"/>
  <c r="AG33" i="3" a="1"/>
  <c r="AG33" i="3" s="1"/>
  <c r="J33" i="3" s="1" a="1"/>
  <c r="J33" i="3" s="1"/>
  <c r="W35" i="3" s="1"/>
  <c r="AK38" i="3" a="1"/>
  <c r="AK38" i="3" s="1"/>
  <c r="N38" i="3" s="1" a="1"/>
  <c r="N38" i="3" s="1"/>
  <c r="AA41" i="3" s="1"/>
  <c r="AL38" i="3" a="1"/>
  <c r="AL38" i="3" s="1"/>
  <c r="O38" i="3" s="1" a="1"/>
  <c r="O38" i="3" s="1"/>
  <c r="AB41" i="3" s="1"/>
  <c r="AG36" i="3" a="1"/>
  <c r="AG36" i="3" s="1"/>
  <c r="J36" i="3" s="1" a="1"/>
  <c r="J36" i="3" s="1"/>
  <c r="W38" i="3" s="1"/>
  <c r="AG32" i="3" a="1"/>
  <c r="AG32" i="3" s="1"/>
  <c r="J32" i="3" s="1" a="1"/>
  <c r="J32" i="3" s="1"/>
  <c r="W34" i="3" s="1"/>
  <c r="AG37" i="3" a="1"/>
  <c r="AG37" i="3" s="1"/>
  <c r="J37" i="3" s="1" a="1"/>
  <c r="J37" i="3" s="1"/>
  <c r="W39" i="3" s="1"/>
  <c r="AH36" i="3" a="1"/>
  <c r="AH36" i="3" s="1"/>
  <c r="K36" i="3" s="1" a="1"/>
  <c r="K36" i="3" s="1"/>
  <c r="X38" i="3" s="1"/>
  <c r="AE40" i="3" a="1"/>
  <c r="AE40" i="3" s="1"/>
  <c r="H40" i="3" s="1" a="1"/>
  <c r="H40" i="3" s="1"/>
  <c r="U43" i="3" s="1"/>
  <c r="AL31" i="3" a="1"/>
  <c r="AL31" i="3" s="1"/>
  <c r="O31" i="3" s="1" a="1"/>
  <c r="O31" i="3" s="1"/>
  <c r="AB33" i="3" s="1"/>
  <c r="AL40" i="3" a="1"/>
  <c r="AL40" i="3" s="1"/>
  <c r="O40" i="3" s="1" a="1"/>
  <c r="O40" i="3" s="1"/>
  <c r="AB43" i="3" s="1"/>
  <c r="AF29" i="3" a="1"/>
  <c r="AF29" i="3" s="1"/>
  <c r="AD28" i="3" a="1"/>
  <c r="AD28" i="3" s="1"/>
  <c r="G28" i="3" s="1" a="1"/>
  <c r="G28" i="3" s="1"/>
  <c r="T28" i="3" s="1"/>
  <c r="AI31" i="3" a="1"/>
  <c r="AI31" i="3" s="1"/>
  <c r="L31" i="3" s="1" a="1"/>
  <c r="L31" i="3" s="1"/>
  <c r="Y33" i="3" s="1"/>
  <c r="AK41" i="3" a="1"/>
  <c r="AK41" i="3" s="1"/>
  <c r="N41" i="3" s="1" a="1"/>
  <c r="N41" i="3" s="1"/>
  <c r="AA44" i="3" s="1"/>
  <c r="AG39" i="3" a="1"/>
  <c r="AG39" i="3" s="1"/>
  <c r="J39" i="3" s="1" a="1"/>
  <c r="J39" i="3" s="1"/>
  <c r="W42" i="3" s="1"/>
  <c r="AJ37" i="3" a="1"/>
  <c r="AJ37" i="3" s="1"/>
  <c r="M37" i="3" s="1" a="1"/>
  <c r="M37" i="3" s="1"/>
  <c r="Z39" i="3" s="1"/>
  <c r="AG42" i="3" a="1"/>
  <c r="AG42" i="3" s="1"/>
  <c r="J42" i="3" s="1" a="1"/>
  <c r="J42" i="3" s="1"/>
  <c r="AE29" i="3" a="1"/>
  <c r="AE29" i="3" s="1"/>
  <c r="AF32" i="3" a="1"/>
  <c r="AF32" i="3" s="1"/>
  <c r="I32" i="3" s="1" a="1"/>
  <c r="I32" i="3" s="1"/>
  <c r="V34" i="3" s="1"/>
  <c r="AJ35" i="3" a="1"/>
  <c r="AJ35" i="3" s="1"/>
  <c r="M35" i="3" s="1" a="1"/>
  <c r="M35" i="3" s="1"/>
  <c r="Z37" i="3" s="1"/>
  <c r="AE36" i="3" a="1"/>
  <c r="AE36" i="3" s="1"/>
  <c r="H36" i="3" s="1" a="1"/>
  <c r="H36" i="3" s="1"/>
  <c r="U38" i="3" s="1"/>
  <c r="AI38" i="3" a="1"/>
  <c r="AI38" i="3" s="1"/>
  <c r="L38" i="3" s="1" a="1"/>
  <c r="L38" i="3" s="1"/>
  <c r="Y41" i="3" s="1"/>
  <c r="AJ36" i="3" a="1"/>
  <c r="AJ36" i="3" s="1"/>
  <c r="M36" i="3" s="1" a="1"/>
  <c r="M36" i="3" s="1"/>
  <c r="Z38" i="3" s="1"/>
  <c r="AE32" i="3" a="1"/>
  <c r="AE32" i="3" s="1"/>
  <c r="H32" i="3" s="1" a="1"/>
  <c r="H32" i="3" s="1"/>
  <c r="U34" i="3" s="1"/>
  <c r="AH30" i="3" a="1"/>
  <c r="AH30" i="3" s="1"/>
  <c r="K30" i="3" s="1" a="1"/>
  <c r="K30" i="3" s="1"/>
  <c r="X238" i="3" s="1"/>
  <c r="AJ32" i="3" a="1"/>
  <c r="AJ32" i="3" s="1"/>
  <c r="M32" i="3" s="1" a="1"/>
  <c r="M32" i="3" s="1"/>
  <c r="Z34" i="3" s="1"/>
  <c r="AD29" i="3" a="1"/>
  <c r="AD29" i="3" s="1"/>
  <c r="AK37" i="3" a="1"/>
  <c r="AK37" i="3" s="1"/>
  <c r="N37" i="3" s="1" a="1"/>
  <c r="N37" i="3" s="1"/>
  <c r="AA39" i="3" s="1"/>
  <c r="AJ40" i="3" a="1"/>
  <c r="AJ40" i="3" s="1"/>
  <c r="M40" i="3" s="1" a="1"/>
  <c r="M40" i="3" s="1"/>
  <c r="Z43" i="3" s="1"/>
  <c r="AF31" i="3" a="1"/>
  <c r="AF31" i="3" s="1"/>
  <c r="I31" i="3" s="1" a="1"/>
  <c r="I31" i="3" s="1"/>
  <c r="V33" i="3" s="1"/>
  <c r="AI37" i="3" a="1"/>
  <c r="AI37" i="3" s="1"/>
  <c r="L37" i="3" s="1" a="1"/>
  <c r="L37" i="3" s="1"/>
  <c r="Y39" i="3" s="1"/>
  <c r="AF38" i="3" a="1"/>
  <c r="AF38" i="3" s="1"/>
  <c r="I38" i="3" s="1" a="1"/>
  <c r="I38" i="3" s="1"/>
  <c r="V41" i="3" s="1"/>
  <c r="AJ34" i="3" a="1"/>
  <c r="AJ34" i="3" s="1"/>
  <c r="M34" i="3" s="1" a="1"/>
  <c r="M34" i="3" s="1"/>
  <c r="Z36" i="3" s="1"/>
  <c r="AL29" i="3" a="1"/>
  <c r="AL29" i="3" s="1"/>
  <c r="AD30" i="3" a="1"/>
  <c r="AD30" i="3" s="1"/>
  <c r="AI42" i="3" a="1"/>
  <c r="AI42" i="3" s="1"/>
  <c r="L42" i="3" s="1" a="1"/>
  <c r="L42" i="3" s="1"/>
  <c r="AD38" i="3" a="1"/>
  <c r="AD38" i="3" s="1"/>
  <c r="G38" i="3" s="1" a="1"/>
  <c r="G38" i="3" s="1"/>
  <c r="T41" i="3" s="1"/>
  <c r="AE41" i="3" a="1"/>
  <c r="AE41" i="3" s="1"/>
  <c r="H41" i="3" s="1" a="1"/>
  <c r="H41" i="3" s="1"/>
  <c r="U44" i="3" s="1"/>
  <c r="AD33" i="3" a="1"/>
  <c r="AD33" i="3" s="1"/>
  <c r="AK31" i="3" a="1"/>
  <c r="AK31" i="3" s="1"/>
  <c r="N31" i="3" s="1" a="1"/>
  <c r="N31" i="3" s="1"/>
  <c r="AA33" i="3" s="1"/>
  <c r="AE35" i="3" a="1"/>
  <c r="AE35" i="3" s="1"/>
  <c r="H35" i="3" s="1" a="1"/>
  <c r="H35" i="3" s="1"/>
  <c r="U37" i="3" s="1"/>
  <c r="AK42" i="3" a="1"/>
  <c r="AK42" i="3" s="1"/>
  <c r="N42" i="3" s="1" a="1"/>
  <c r="N42" i="3" s="1"/>
  <c r="AE34" i="3" a="1"/>
  <c r="AE34" i="3" s="1"/>
  <c r="H34" i="3" s="1" a="1"/>
  <c r="H34" i="3" s="1"/>
  <c r="U36" i="3" s="1"/>
  <c r="AL36" i="3" a="1"/>
  <c r="AL36" i="3" s="1"/>
  <c r="O36" i="3" s="1" a="1"/>
  <c r="O36" i="3" s="1"/>
  <c r="AB38" i="3" s="1"/>
  <c r="AF41" i="3" a="1"/>
  <c r="AF41" i="3" s="1"/>
  <c r="I41" i="3" s="1" a="1"/>
  <c r="I41" i="3" s="1"/>
  <c r="V44" i="3" s="1"/>
  <c r="AD41" i="3" a="1"/>
  <c r="AD41" i="3" s="1"/>
  <c r="AG28" i="3" a="1"/>
  <c r="AG28" i="3" s="1"/>
  <c r="J28" i="3" s="1" a="1"/>
  <c r="J28" i="3" s="1"/>
  <c r="AE31" i="3" a="1"/>
  <c r="AE31" i="3" s="1"/>
  <c r="H31" i="3" s="1" a="1"/>
  <c r="H31" i="3" s="1"/>
  <c r="U33" i="3" s="1"/>
  <c r="AH39" i="3" a="1"/>
  <c r="AH39" i="3" s="1"/>
  <c r="K39" i="3" s="1" a="1"/>
  <c r="K39" i="3" s="1"/>
  <c r="X42" i="3" s="1"/>
  <c r="AJ33" i="3" a="1"/>
  <c r="AJ33" i="3" s="1"/>
  <c r="M33" i="3" s="1" a="1"/>
  <c r="M33" i="3" s="1"/>
  <c r="Z35" i="3" s="1"/>
  <c r="AE33" i="3" a="1"/>
  <c r="AE33" i="3" s="1"/>
  <c r="H33" i="3" s="1" a="1"/>
  <c r="H33" i="3" s="1"/>
  <c r="U35" i="3" s="1"/>
  <c r="AG29" i="3" a="1"/>
  <c r="AG29" i="3" s="1"/>
  <c r="AL30" i="3" a="1"/>
  <c r="AL30" i="3" s="1"/>
  <c r="O30" i="3" s="1" a="1"/>
  <c r="O30" i="3" s="1"/>
  <c r="AB238" i="3" s="1"/>
  <c r="AE39" i="3" a="1"/>
  <c r="AE39" i="3" s="1"/>
  <c r="H39" i="3" s="1" a="1"/>
  <c r="H39" i="3" s="1"/>
  <c r="U42" i="3" s="1"/>
  <c r="AI29" i="3" a="1"/>
  <c r="AI29" i="3" s="1"/>
  <c r="AK32" i="3" a="1"/>
  <c r="AK32" i="3" s="1"/>
  <c r="N32" i="3" s="1" a="1"/>
  <c r="N32" i="3" s="1"/>
  <c r="AA34" i="3" s="1"/>
  <c r="AG30" i="3" a="1"/>
  <c r="AG30" i="3" s="1"/>
  <c r="J30" i="3" s="1" a="1"/>
  <c r="J30" i="3" s="1"/>
  <c r="W238" i="3" s="1"/>
  <c r="AD36" i="3" a="1"/>
  <c r="AD36" i="3" s="1"/>
  <c r="AI36" i="3" a="1"/>
  <c r="AI36" i="3" s="1"/>
  <c r="L36" i="3" s="1" a="1"/>
  <c r="L36" i="3" s="1"/>
  <c r="Y38" i="3" s="1"/>
  <c r="AD37" i="3" a="1"/>
  <c r="AD37" i="3" s="1"/>
  <c r="AL37" i="3" a="1"/>
  <c r="AL37" i="3" s="1"/>
  <c r="O37" i="3" s="1" a="1"/>
  <c r="O37" i="3" s="1"/>
  <c r="AB39" i="3" s="1"/>
  <c r="AH41" i="3" a="1"/>
  <c r="AH41" i="3" s="1"/>
  <c r="K41" i="3" s="1" a="1"/>
  <c r="K41" i="3" s="1"/>
  <c r="X44" i="3" s="1"/>
  <c r="AH33" i="3" a="1"/>
  <c r="AH33" i="3" s="1"/>
  <c r="K33" i="3" s="1" a="1"/>
  <c r="K33" i="3" s="1"/>
  <c r="X35" i="3" s="1"/>
  <c r="AF35" i="3" a="1"/>
  <c r="AF35" i="3" s="1"/>
  <c r="I35" i="3" s="1" a="1"/>
  <c r="I35" i="3" s="1"/>
  <c r="V37" i="3" s="1"/>
  <c r="AD32" i="3" a="1"/>
  <c r="AD32" i="3" s="1"/>
  <c r="AH37" i="3" a="1"/>
  <c r="AH37" i="3" s="1"/>
  <c r="K37" i="3" s="1" a="1"/>
  <c r="K37" i="3" s="1"/>
  <c r="X39" i="3" s="1"/>
  <c r="AL32" i="3" a="1"/>
  <c r="AL32" i="3" s="1"/>
  <c r="O32" i="3" s="1" a="1"/>
  <c r="O32" i="3" s="1"/>
  <c r="AB34" i="3" s="1"/>
  <c r="AK34" i="3" a="1"/>
  <c r="AK34" i="3" s="1"/>
  <c r="N34" i="3" s="1" a="1"/>
  <c r="N34" i="3" s="1"/>
  <c r="AA36" i="3" s="1"/>
  <c r="AF34" i="3" a="1"/>
  <c r="AF34" i="3" s="1"/>
  <c r="I34" i="3" s="1" a="1"/>
  <c r="I34" i="3" s="1"/>
  <c r="V36" i="3" s="1"/>
  <c r="AJ31" i="3" a="1"/>
  <c r="AJ31" i="3" s="1"/>
  <c r="M31" i="3" s="1" a="1"/>
  <c r="M31" i="3" s="1"/>
  <c r="Z33" i="3" s="1"/>
  <c r="AK36" i="3" a="1"/>
  <c r="AK36" i="3" s="1"/>
  <c r="N36" i="3" s="1" a="1"/>
  <c r="N36" i="3" s="1"/>
  <c r="AA38" i="3" s="1"/>
  <c r="AF37" i="3" a="1"/>
  <c r="AF37" i="3" s="1"/>
  <c r="I37" i="3" s="1" a="1"/>
  <c r="I37" i="3" s="1"/>
  <c r="V39" i="3" s="1"/>
  <c r="AH42" i="3" a="1"/>
  <c r="AH42" i="3" s="1"/>
  <c r="K42" i="3" s="1" a="1"/>
  <c r="K42" i="3" s="1"/>
  <c r="AL41" i="3" a="1"/>
  <c r="AL41" i="3" s="1"/>
  <c r="O41" i="3" s="1" a="1"/>
  <c r="O41" i="3" s="1"/>
  <c r="AB44" i="3" s="1"/>
  <c r="AG40" i="3" a="1"/>
  <c r="AG40" i="3" s="1"/>
  <c r="J40" i="3" s="1" a="1"/>
  <c r="J40" i="3" s="1"/>
  <c r="W43" i="3" s="1"/>
  <c r="AI32" i="3" a="1"/>
  <c r="AI32" i="3" s="1"/>
  <c r="L32" i="3" s="1" a="1"/>
  <c r="L32" i="3" s="1"/>
  <c r="Y34" i="3" s="1"/>
  <c r="AG41" i="3" a="1"/>
  <c r="AG41" i="3" s="1"/>
  <c r="J41" i="3" s="1" a="1"/>
  <c r="J41" i="3" s="1"/>
  <c r="W44" i="3" s="1"/>
  <c r="AD42" i="3" a="1"/>
  <c r="AD42" i="3" s="1"/>
  <c r="AH35" i="3" a="1"/>
  <c r="AH35" i="3" s="1"/>
  <c r="K35" i="3" s="1" a="1"/>
  <c r="K35" i="3" s="1"/>
  <c r="X37" i="3" s="1"/>
  <c r="AF39" i="3" a="1"/>
  <c r="AF39" i="3" s="1"/>
  <c r="I39" i="3" s="1" a="1"/>
  <c r="I39" i="3" s="1"/>
  <c r="V42" i="3" s="1"/>
  <c r="AJ42" i="3" a="1"/>
  <c r="AJ42" i="3" s="1"/>
  <c r="M42" i="3" s="1" a="1"/>
  <c r="M42" i="3" s="1"/>
  <c r="AH34" i="3" a="1"/>
  <c r="AH34" i="3" s="1"/>
  <c r="K34" i="3" s="1" a="1"/>
  <c r="K34" i="3" s="1"/>
  <c r="X36" i="3" s="1"/>
  <c r="AH28" i="3" a="1"/>
  <c r="AH28" i="3" s="1"/>
  <c r="K28" i="3" s="1" a="1"/>
  <c r="K28" i="3" s="1"/>
  <c r="AG31" i="3" a="1"/>
  <c r="AG31" i="3" s="1"/>
  <c r="J31" i="3" s="1" a="1"/>
  <c r="J31" i="3" s="1"/>
  <c r="W33" i="3" s="1"/>
  <c r="AL33" i="3" a="1"/>
  <c r="AL33" i="3" s="1"/>
  <c r="O33" i="3" s="1" a="1"/>
  <c r="O33" i="3" s="1"/>
  <c r="AB35" i="3" s="1"/>
  <c r="AE42" i="3" a="1"/>
  <c r="AE42" i="3" s="1"/>
  <c r="H42" i="3" s="1" a="1"/>
  <c r="H42" i="3" s="1"/>
  <c r="AH29" i="3" a="1"/>
  <c r="AH29" i="3" s="1"/>
  <c r="AJ38" i="3" a="1"/>
  <c r="AJ38" i="3" s="1"/>
  <c r="M38" i="3" s="1" a="1"/>
  <c r="M38" i="3" s="1"/>
  <c r="Z41" i="3" s="1"/>
  <c r="AE30" i="3" a="1"/>
  <c r="AE30" i="3" s="1"/>
  <c r="H30" i="3" s="1" a="1"/>
  <c r="H30" i="3" s="1"/>
  <c r="U238" i="3" s="1"/>
  <c r="AF30" i="3" a="1"/>
  <c r="AF30" i="3" s="1"/>
  <c r="I30" i="3" s="1" a="1"/>
  <c r="I30" i="3" s="1"/>
  <c r="V238" i="3" s="1"/>
  <c r="AF33" i="3" a="1"/>
  <c r="AF33" i="3" s="1"/>
  <c r="I33" i="3" s="1" a="1"/>
  <c r="I33" i="3" s="1"/>
  <c r="V35" i="3" s="1"/>
  <c r="AF42" i="3" a="1"/>
  <c r="AF42" i="3" s="1"/>
  <c r="I42" i="3" s="1" a="1"/>
  <c r="I42" i="3" s="1"/>
  <c r="AL28" i="3" a="1"/>
  <c r="AL28" i="3" s="1"/>
  <c r="O28" i="3" s="1" a="1"/>
  <c r="O28" i="3" s="1"/>
  <c r="AB28" i="3" s="1"/>
  <c r="AD31" i="3" a="1"/>
  <c r="AD31" i="3" s="1"/>
  <c r="AF36" i="3" a="1"/>
  <c r="AF36" i="3" s="1"/>
  <c r="I36" i="3" s="1" a="1"/>
  <c r="I36" i="3" s="1"/>
  <c r="V38" i="3" s="1"/>
  <c r="AH40" i="3" a="1"/>
  <c r="AH40" i="3" s="1"/>
  <c r="K40" i="3" s="1" a="1"/>
  <c r="K40" i="3" s="1"/>
  <c r="X43" i="3" s="1"/>
  <c r="AG35" i="3" a="1"/>
  <c r="AG35" i="3" s="1"/>
  <c r="J35" i="3" s="1" a="1"/>
  <c r="J35" i="3" s="1"/>
  <c r="W37" i="3" s="1"/>
  <c r="AD39" i="3" a="1"/>
  <c r="AD39" i="3" s="1"/>
  <c r="G39" i="3" s="1" a="1"/>
  <c r="G39" i="3" s="1"/>
  <c r="T42" i="3" s="1"/>
  <c r="AI39" i="3" a="1"/>
  <c r="AI39" i="3" s="1"/>
  <c r="L39" i="3" s="1" a="1"/>
  <c r="L39" i="3" s="1"/>
  <c r="Y42" i="3" s="1"/>
  <c r="AH32" i="3" a="1"/>
  <c r="AH32" i="3" s="1"/>
  <c r="K32" i="3" s="1" a="1"/>
  <c r="K32" i="3" s="1"/>
  <c r="X34" i="3" s="1"/>
  <c r="AJ28" i="3" a="1"/>
  <c r="AJ28" i="3" s="1"/>
  <c r="M28" i="3" s="1" a="1"/>
  <c r="M28" i="3" s="1"/>
  <c r="AE28" i="3" a="1"/>
  <c r="AE28" i="3" s="1"/>
  <c r="H28" i="3" s="1" a="1"/>
  <c r="H28" i="3" s="1"/>
  <c r="AE38" i="3" a="1"/>
  <c r="AE38" i="3" s="1"/>
  <c r="H38" i="3" s="1" a="1"/>
  <c r="H38" i="3" s="1"/>
  <c r="U41" i="3" s="1"/>
  <c r="AD35" i="3" a="1"/>
  <c r="AD35" i="3" s="1"/>
  <c r="AL39" i="3" a="1"/>
  <c r="AL39" i="3" s="1"/>
  <c r="O39" i="3" s="1" a="1"/>
  <c r="O39" i="3" s="1"/>
  <c r="AB42" i="3" s="1"/>
  <c r="AL42" i="3" a="1"/>
  <c r="AL42" i="3" s="1"/>
  <c r="O42" i="3" s="1" a="1"/>
  <c r="O42" i="3" s="1"/>
  <c r="AB45" i="3" s="1"/>
  <c r="AK35" i="3" a="1"/>
  <c r="AK35" i="3" s="1"/>
  <c r="N35" i="3" s="1" a="1"/>
  <c r="N35" i="3" s="1"/>
  <c r="AA37" i="3" s="1"/>
  <c r="AD40" i="3" a="1"/>
  <c r="AD40" i="3" s="1"/>
  <c r="AI30" i="3" a="1"/>
  <c r="AI30" i="3" s="1"/>
  <c r="L30" i="3" s="1" a="1"/>
  <c r="L30" i="3" s="1"/>
  <c r="Y238" i="3" s="1"/>
  <c r="AK33" i="3" a="1"/>
  <c r="AK33" i="3" s="1"/>
  <c r="N33" i="3" s="1" a="1"/>
  <c r="N33" i="3" s="1"/>
  <c r="AA35" i="3" s="1"/>
  <c r="AJ41" i="3" a="1"/>
  <c r="AJ41" i="3" s="1"/>
  <c r="M41" i="3" s="1" a="1"/>
  <c r="M41" i="3" s="1"/>
  <c r="Z44" i="3" s="1"/>
  <c r="AI28" i="3" a="1"/>
  <c r="AI28" i="3" s="1"/>
  <c r="L28" i="3" s="1" a="1"/>
  <c r="L28" i="3" s="1"/>
  <c r="D42" i="3" a="1"/>
  <c r="D42" i="3" s="1"/>
  <c r="D31" i="3" a="1"/>
  <c r="D31" i="3" s="1"/>
  <c r="D40" i="3" a="1"/>
  <c r="D40" i="3" s="1"/>
  <c r="D39" i="3" a="1"/>
  <c r="D39" i="3" s="1"/>
  <c r="E30" i="3" a="1"/>
  <c r="E30" i="3" s="1"/>
  <c r="F39" i="3" a="1"/>
  <c r="F39" i="3" s="1"/>
  <c r="D28" i="3" a="1"/>
  <c r="D28" i="3" s="1"/>
  <c r="D32" i="3" a="1"/>
  <c r="D32" i="3" s="1"/>
  <c r="E32" i="3" a="1"/>
  <c r="E32" i="3" s="1"/>
  <c r="E38" i="3" a="1"/>
  <c r="E38" i="3" s="1"/>
  <c r="I29" i="3" a="1"/>
  <c r="I29" i="3" s="1"/>
  <c r="F34" i="3" a="1"/>
  <c r="F34" i="3" s="1"/>
  <c r="F35" i="3" a="1"/>
  <c r="F35" i="3" s="1"/>
  <c r="D41" i="3" a="1"/>
  <c r="D41" i="3" s="1"/>
  <c r="D34" i="3" a="1"/>
  <c r="D34" i="3" s="1"/>
  <c r="F31" i="3" a="1"/>
  <c r="F31" i="3" s="1"/>
  <c r="D35" i="3" a="1"/>
  <c r="D35" i="3" s="1"/>
  <c r="E37" i="3" a="1"/>
  <c r="E37" i="3" s="1"/>
  <c r="E36" i="3" a="1"/>
  <c r="E36" i="3" s="1"/>
  <c r="E34" i="3" a="1"/>
  <c r="E34" i="3" s="1"/>
  <c r="E33" i="3" a="1"/>
  <c r="E33" i="3" s="1"/>
  <c r="E39" i="3" a="1"/>
  <c r="E39" i="3" s="1"/>
  <c r="E31" i="3" a="1"/>
  <c r="E31" i="3" s="1"/>
  <c r="F38" i="3" a="1"/>
  <c r="F38" i="3" s="1"/>
  <c r="F37" i="3" a="1"/>
  <c r="F37" i="3" s="1"/>
  <c r="D29" i="3" a="1"/>
  <c r="D29" i="3" s="1"/>
  <c r="D38" i="3" a="1"/>
  <c r="D38" i="3" s="1"/>
  <c r="E41" i="3" a="1"/>
  <c r="E41" i="3" s="1"/>
  <c r="E35" i="3" a="1"/>
  <c r="E35" i="3" s="1"/>
  <c r="F36" i="3" a="1"/>
  <c r="F36" i="3" s="1"/>
  <c r="D36" i="3" a="1"/>
  <c r="D36" i="3" s="1"/>
  <c r="F32" i="3" a="1"/>
  <c r="F32" i="3" s="1"/>
  <c r="F40" i="3" a="1"/>
  <c r="F40" i="3" s="1"/>
  <c r="D30" i="3" a="1"/>
  <c r="D30" i="3" s="1"/>
  <c r="F33" i="3" a="1"/>
  <c r="F33" i="3" s="1"/>
  <c r="F29" i="3" a="1"/>
  <c r="F29" i="3" s="1"/>
  <c r="F30" i="3" a="1"/>
  <c r="F30" i="3" s="1"/>
  <c r="F41" i="3" a="1"/>
  <c r="F41" i="3" s="1"/>
  <c r="E42" i="3" a="1"/>
  <c r="E42" i="3" s="1"/>
  <c r="E29" i="3" a="1"/>
  <c r="E29" i="3" s="1"/>
  <c r="E28" i="3" a="1"/>
  <c r="E28" i="3" s="1"/>
  <c r="F42" i="3" a="1"/>
  <c r="F42" i="3" s="1"/>
  <c r="F28" i="3" a="1"/>
  <c r="F28" i="3" s="1"/>
  <c r="D37" i="3" a="1"/>
  <c r="D37" i="3" s="1"/>
  <c r="D33" i="3" a="1"/>
  <c r="D33" i="3" s="1"/>
  <c r="E40" i="3" a="1"/>
  <c r="E40" i="3" s="1"/>
  <c r="AO143" i="3"/>
  <c r="S143" i="3" s="1"/>
  <c r="AO267" i="3"/>
  <c r="S267" i="3" s="1"/>
  <c r="AO187" i="3"/>
  <c r="S187" i="3" s="1"/>
  <c r="AO188" i="3"/>
  <c r="S188" i="3" s="1"/>
  <c r="AO146" i="3"/>
  <c r="S146" i="3" s="1"/>
  <c r="AO144" i="3"/>
  <c r="S144" i="3" s="1"/>
  <c r="AO145" i="3"/>
  <c r="S145" i="3" s="1"/>
  <c r="AO265" i="3"/>
  <c r="S265" i="3" s="1"/>
  <c r="AO345" i="3"/>
  <c r="S345" i="3" s="1"/>
  <c r="AO182" i="3"/>
  <c r="S182" i="3" s="1"/>
  <c r="AO297" i="3"/>
  <c r="S297" i="3" s="1"/>
  <c r="AO185" i="3"/>
  <c r="S185" i="3" s="1"/>
  <c r="AO183" i="3"/>
  <c r="S183" i="3" s="1"/>
  <c r="AO76" i="3"/>
  <c r="S76" i="3" s="1"/>
  <c r="AO75" i="3"/>
  <c r="S75" i="3" s="1"/>
  <c r="AO84" i="3"/>
  <c r="S84" i="3" s="1"/>
  <c r="AO74" i="3"/>
  <c r="S74" i="3" s="1"/>
  <c r="AO276" i="3"/>
  <c r="S276" i="3" s="1"/>
  <c r="AO77" i="3"/>
  <c r="S77" i="3" s="1"/>
  <c r="AO79" i="3"/>
  <c r="S79" i="3" s="1"/>
  <c r="AO89" i="3"/>
  <c r="S89" i="3" s="1"/>
  <c r="AO78" i="3"/>
  <c r="S78" i="3" s="1"/>
  <c r="AO88" i="3"/>
  <c r="S88" i="3" s="1"/>
  <c r="AO90" i="3"/>
  <c r="S90" i="3" s="1"/>
  <c r="AO236" i="3"/>
  <c r="S236" i="3" s="1"/>
  <c r="AO50" i="3"/>
  <c r="S50" i="3" s="1"/>
  <c r="AO55" i="3"/>
  <c r="S55" i="3" s="1"/>
  <c r="AO233" i="3"/>
  <c r="S233" i="3" s="1"/>
  <c r="AO60" i="3"/>
  <c r="S60" i="3" s="1"/>
  <c r="AO232" i="3"/>
  <c r="S232" i="3" s="1"/>
  <c r="AO52" i="3"/>
  <c r="S52" i="3" s="1"/>
  <c r="AO278" i="3"/>
  <c r="S278" i="3" s="1"/>
  <c r="AO59" i="3"/>
  <c r="S59" i="3" s="1"/>
  <c r="AO234" i="3"/>
  <c r="S234" i="3" s="1"/>
  <c r="AO51" i="3"/>
  <c r="S51" i="3" s="1"/>
  <c r="AO58" i="3"/>
  <c r="S58" i="3" s="1"/>
  <c r="G40" i="3" l="1" a="1"/>
  <c r="G40" i="3" s="1"/>
  <c r="T43" i="3" s="1"/>
  <c r="G29" i="3" a="1"/>
  <c r="G29" i="3" s="1"/>
  <c r="G30" i="3" s="1" a="1"/>
  <c r="G30" i="3" s="1"/>
  <c r="J29" i="3" a="1"/>
  <c r="J29" i="3" s="1"/>
  <c r="H29" i="3" a="1"/>
  <c r="H29" i="3" s="1"/>
  <c r="K29" i="3" a="1"/>
  <c r="K29" i="3" s="1"/>
  <c r="X29" i="3" s="1"/>
  <c r="Z45" i="3"/>
  <c r="X45" i="3"/>
  <c r="W45" i="3"/>
  <c r="Y28" i="3"/>
  <c r="L143" i="3"/>
  <c r="L29" i="3" a="1"/>
  <c r="L29" i="3" s="1"/>
  <c r="Y29" i="3" s="1"/>
  <c r="W28" i="3"/>
  <c r="J143" i="3"/>
  <c r="U28" i="3"/>
  <c r="U45" i="3"/>
  <c r="N29" i="3" a="1"/>
  <c r="N29" i="3" s="1"/>
  <c r="AA29" i="3" s="1"/>
  <c r="M143" i="3"/>
  <c r="Z28" i="3"/>
  <c r="V28" i="3"/>
  <c r="I143" i="3"/>
  <c r="V45" i="3"/>
  <c r="Y45" i="3"/>
  <c r="X28" i="3"/>
  <c r="K143" i="3"/>
  <c r="M29" i="3" a="1"/>
  <c r="M29" i="3" s="1"/>
  <c r="Z29" i="3" s="1"/>
  <c r="AA45" i="3"/>
  <c r="O29" i="3" a="1"/>
  <c r="O29" i="3" s="1"/>
  <c r="AB29" i="3" s="1"/>
  <c r="AA28" i="3"/>
  <c r="N143" i="3"/>
  <c r="AO264" i="3"/>
  <c r="S264" i="3" s="1"/>
  <c r="T238" i="3" l="1"/>
  <c r="G31" i="3" a="1"/>
  <c r="G31" i="3" s="1"/>
  <c r="X152" i="3"/>
  <c r="X200" i="3"/>
  <c r="X281" i="3"/>
  <c r="X183" i="3"/>
  <c r="X182" i="3"/>
  <c r="X314" i="3"/>
  <c r="X272" i="3"/>
  <c r="X150" i="3"/>
  <c r="X321" i="3"/>
  <c r="X315" i="3"/>
  <c r="X121" i="3"/>
  <c r="X313" i="3"/>
  <c r="X322" i="3"/>
  <c r="X142" i="3"/>
  <c r="X120" i="3"/>
  <c r="X168" i="3"/>
  <c r="X138" i="3"/>
  <c r="X296" i="3"/>
  <c r="X205" i="3"/>
  <c r="X225" i="3"/>
  <c r="X124" i="3"/>
  <c r="X282" i="3"/>
  <c r="X210" i="3"/>
  <c r="X137" i="3"/>
  <c r="X148" i="3"/>
  <c r="X247" i="3"/>
  <c r="X129" i="3"/>
  <c r="X270" i="3"/>
  <c r="X257" i="3"/>
  <c r="X306" i="3"/>
  <c r="X215" i="3"/>
  <c r="X161" i="3"/>
  <c r="X307" i="3"/>
  <c r="X228" i="3"/>
  <c r="X156" i="3"/>
  <c r="X139" i="3"/>
  <c r="X308" i="3"/>
  <c r="X229" i="3"/>
  <c r="X157" i="3"/>
  <c r="X273" i="3"/>
  <c r="X101" i="3"/>
  <c r="X98" i="3"/>
  <c r="X317" i="3"/>
  <c r="X305" i="3"/>
  <c r="X323" i="3"/>
  <c r="X100" i="3"/>
  <c r="X231" i="3"/>
  <c r="X175" i="3"/>
  <c r="X49" i="3"/>
  <c r="X274" i="3"/>
  <c r="X171" i="3"/>
  <c r="X147" i="3"/>
  <c r="X318" i="3"/>
  <c r="X275" i="3"/>
  <c r="X172" i="3"/>
  <c r="X284" i="3"/>
  <c r="X243" i="3"/>
  <c r="X103" i="3"/>
  <c r="X289" i="3"/>
  <c r="X196" i="3"/>
  <c r="X61" i="3"/>
  <c r="X286" i="3"/>
  <c r="X217" i="3"/>
  <c r="X176" i="3"/>
  <c r="X125" i="3"/>
  <c r="X288" i="3"/>
  <c r="X218" i="3"/>
  <c r="X298" i="3"/>
  <c r="X244" i="3"/>
  <c r="X104" i="3"/>
  <c r="X304" i="3"/>
  <c r="X223" i="3"/>
  <c r="X126" i="3"/>
  <c r="X300" i="3"/>
  <c r="X268" i="3"/>
  <c r="X199" i="3"/>
  <c r="X140" i="3"/>
  <c r="X302" i="3"/>
  <c r="X249" i="3"/>
  <c r="X310" i="3"/>
  <c r="X130" i="3"/>
  <c r="X105" i="3"/>
  <c r="X324" i="3"/>
  <c r="X256" i="3"/>
  <c r="X141" i="3"/>
  <c r="X311" i="3"/>
  <c r="X290" i="3"/>
  <c r="X224" i="3"/>
  <c r="X128" i="3"/>
  <c r="X312" i="3"/>
  <c r="X280" i="3"/>
  <c r="X99" i="3"/>
  <c r="X119" i="3"/>
  <c r="X149" i="3"/>
  <c r="X242" i="3"/>
  <c r="X116" i="3"/>
  <c r="Z128" i="3"/>
  <c r="Z318" i="3"/>
  <c r="Z296" i="3"/>
  <c r="Z298" i="3"/>
  <c r="Z147" i="3"/>
  <c r="Z268" i="3"/>
  <c r="Z274" i="3"/>
  <c r="Z284" i="3"/>
  <c r="Z176" i="3"/>
  <c r="Z273" i="3"/>
  <c r="Z101" i="3"/>
  <c r="Z119" i="3"/>
  <c r="Z281" i="3"/>
  <c r="Z105" i="3"/>
  <c r="Z148" i="3"/>
  <c r="Z218" i="3"/>
  <c r="Z321" i="3"/>
  <c r="Z310" i="3"/>
  <c r="Z289" i="3"/>
  <c r="Z282" i="3"/>
  <c r="Z61" i="3"/>
  <c r="Z302" i="3"/>
  <c r="Z317" i="3"/>
  <c r="Z288" i="3"/>
  <c r="Z247" i="3"/>
  <c r="Z99" i="3"/>
  <c r="Z256" i="3"/>
  <c r="Z229" i="3"/>
  <c r="Z182" i="3"/>
  <c r="Z280" i="3"/>
  <c r="Z138" i="3"/>
  <c r="Z322" i="3"/>
  <c r="Z49" i="3"/>
  <c r="Z300" i="3"/>
  <c r="Z140" i="3"/>
  <c r="Z312" i="3"/>
  <c r="Z125" i="3"/>
  <c r="Z305" i="3"/>
  <c r="Z98" i="3"/>
  <c r="Z129" i="3"/>
  <c r="Z314" i="3"/>
  <c r="Z205" i="3"/>
  <c r="Z217" i="3"/>
  <c r="Z308" i="3"/>
  <c r="Z150" i="3"/>
  <c r="Z124" i="3"/>
  <c r="Z139" i="3"/>
  <c r="Z311" i="3"/>
  <c r="Z156" i="3"/>
  <c r="Z324" i="3"/>
  <c r="Z142" i="3"/>
  <c r="Z315" i="3"/>
  <c r="Z103" i="3"/>
  <c r="Z116" i="3"/>
  <c r="Z307" i="3"/>
  <c r="Z130" i="3"/>
  <c r="Z249" i="3"/>
  <c r="Z137" i="3"/>
  <c r="Z196" i="3"/>
  <c r="Z172" i="3"/>
  <c r="Z152" i="3"/>
  <c r="Z323" i="3"/>
  <c r="Z171" i="3"/>
  <c r="Z157" i="3"/>
  <c r="Z161" i="3"/>
  <c r="Z231" i="3"/>
  <c r="Z120" i="3"/>
  <c r="Z244" i="3"/>
  <c r="Z275" i="3"/>
  <c r="Z149" i="3"/>
  <c r="Z223" i="3"/>
  <c r="Z228" i="3"/>
  <c r="Z168" i="3"/>
  <c r="Z141" i="3"/>
  <c r="Z200" i="3"/>
  <c r="Z272" i="3"/>
  <c r="Z175" i="3"/>
  <c r="Z306" i="3"/>
  <c r="Z243" i="3"/>
  <c r="Z121" i="3"/>
  <c r="Z126" i="3"/>
  <c r="Z290" i="3"/>
  <c r="Z183" i="3"/>
  <c r="Z257" i="3"/>
  <c r="Z304" i="3"/>
  <c r="Z199" i="3"/>
  <c r="Z286" i="3"/>
  <c r="Z225" i="3"/>
  <c r="Z215" i="3"/>
  <c r="Z210" i="3"/>
  <c r="Z242" i="3"/>
  <c r="Z100" i="3"/>
  <c r="Z104" i="3"/>
  <c r="Z224" i="3"/>
  <c r="Z270" i="3"/>
  <c r="Z313" i="3"/>
  <c r="U243" i="3"/>
  <c r="U257" i="3"/>
  <c r="U124" i="3"/>
  <c r="U286" i="3"/>
  <c r="U210" i="3"/>
  <c r="U322" i="3"/>
  <c r="U305" i="3"/>
  <c r="U225" i="3"/>
  <c r="U310" i="3"/>
  <c r="U280" i="3"/>
  <c r="U126" i="3"/>
  <c r="U298" i="3"/>
  <c r="U121" i="3"/>
  <c r="U99" i="3"/>
  <c r="U139" i="3"/>
  <c r="U296" i="3"/>
  <c r="U229" i="3"/>
  <c r="U137" i="3"/>
  <c r="U314" i="3"/>
  <c r="U273" i="3"/>
  <c r="U161" i="3"/>
  <c r="U312" i="3"/>
  <c r="U141" i="3"/>
  <c r="U217" i="3"/>
  <c r="U120" i="3"/>
  <c r="U98" i="3"/>
  <c r="U149" i="3"/>
  <c r="U307" i="3"/>
  <c r="U275" i="3"/>
  <c r="U147" i="3"/>
  <c r="U49" i="3"/>
  <c r="U288" i="3"/>
  <c r="U308" i="3"/>
  <c r="U138" i="3"/>
  <c r="U152" i="3"/>
  <c r="U268" i="3"/>
  <c r="U247" i="3"/>
  <c r="U172" i="3"/>
  <c r="U317" i="3"/>
  <c r="U290" i="3"/>
  <c r="U168" i="3"/>
  <c r="U125" i="3"/>
  <c r="U302" i="3"/>
  <c r="U318" i="3"/>
  <c r="U223" i="3"/>
  <c r="U176" i="3"/>
  <c r="U130" i="3"/>
  <c r="U313" i="3"/>
  <c r="U199" i="3"/>
  <c r="U128" i="3"/>
  <c r="U321" i="3"/>
  <c r="U218" i="3"/>
  <c r="U140" i="3"/>
  <c r="U323" i="3"/>
  <c r="U157" i="3"/>
  <c r="U249" i="3"/>
  <c r="U205" i="3"/>
  <c r="U242" i="3"/>
  <c r="U244" i="3"/>
  <c r="U224" i="3"/>
  <c r="U142" i="3"/>
  <c r="U281" i="3"/>
  <c r="U282" i="3"/>
  <c r="U150" i="3"/>
  <c r="U148" i="3"/>
  <c r="U183" i="3"/>
  <c r="U306" i="3"/>
  <c r="U228" i="3"/>
  <c r="U129" i="3"/>
  <c r="U119" i="3"/>
  <c r="U304" i="3"/>
  <c r="U256" i="3"/>
  <c r="U156" i="3"/>
  <c r="U300" i="3"/>
  <c r="U270" i="3"/>
  <c r="U175" i="3"/>
  <c r="U171" i="3"/>
  <c r="U215" i="3"/>
  <c r="U315" i="3"/>
  <c r="U274" i="3"/>
  <c r="U116" i="3"/>
  <c r="U324" i="3"/>
  <c r="U272" i="3"/>
  <c r="U182" i="3"/>
  <c r="U311" i="3"/>
  <c r="U284" i="3"/>
  <c r="U200" i="3"/>
  <c r="U196" i="3"/>
  <c r="U231" i="3"/>
  <c r="U61" i="3"/>
  <c r="U289" i="3"/>
  <c r="U103" i="3"/>
  <c r="U104" i="3"/>
  <c r="U105" i="3"/>
  <c r="U100" i="3"/>
  <c r="U101" i="3"/>
  <c r="V244" i="3"/>
  <c r="V150" i="3"/>
  <c r="V172" i="3"/>
  <c r="V218" i="3"/>
  <c r="V304" i="3"/>
  <c r="V200" i="3"/>
  <c r="V138" i="3"/>
  <c r="V312" i="3"/>
  <c r="V148" i="3"/>
  <c r="V305" i="3"/>
  <c r="V124" i="3"/>
  <c r="V157" i="3"/>
  <c r="V311" i="3"/>
  <c r="V317" i="3"/>
  <c r="V272" i="3"/>
  <c r="V199" i="3"/>
  <c r="V290" i="3"/>
  <c r="V275" i="3"/>
  <c r="V217" i="3"/>
  <c r="V286" i="3"/>
  <c r="V125" i="3"/>
  <c r="V225" i="3"/>
  <c r="V140" i="3"/>
  <c r="V302" i="3"/>
  <c r="V147" i="3"/>
  <c r="V296" i="3"/>
  <c r="V324" i="3"/>
  <c r="V247" i="3"/>
  <c r="V156" i="3"/>
  <c r="V256" i="3"/>
  <c r="V183" i="3"/>
  <c r="V196" i="3"/>
  <c r="V168" i="3"/>
  <c r="V315" i="3"/>
  <c r="V281" i="3"/>
  <c r="V171" i="3"/>
  <c r="V130" i="3"/>
  <c r="V288" i="3"/>
  <c r="V224" i="3"/>
  <c r="V228" i="3"/>
  <c r="V129" i="3"/>
  <c r="V116" i="3"/>
  <c r="V141" i="3"/>
  <c r="V139" i="3"/>
  <c r="V268" i="3"/>
  <c r="V307" i="3"/>
  <c r="V161" i="3"/>
  <c r="V137" i="3"/>
  <c r="V257" i="3"/>
  <c r="V313" i="3"/>
  <c r="V119" i="3"/>
  <c r="V300" i="3"/>
  <c r="V306" i="3"/>
  <c r="V273" i="3"/>
  <c r="V298" i="3"/>
  <c r="V176" i="3"/>
  <c r="V215" i="3"/>
  <c r="V175" i="3"/>
  <c r="V205" i="3"/>
  <c r="V282" i="3"/>
  <c r="V289" i="3"/>
  <c r="V242" i="3"/>
  <c r="V314" i="3"/>
  <c r="V249" i="3"/>
  <c r="V229" i="3"/>
  <c r="V321" i="3"/>
  <c r="V152" i="3"/>
  <c r="V318" i="3"/>
  <c r="V49" i="3"/>
  <c r="V323" i="3"/>
  <c r="V243" i="3"/>
  <c r="V98" i="3"/>
  <c r="V128" i="3"/>
  <c r="V231" i="3"/>
  <c r="V210" i="3"/>
  <c r="V142" i="3"/>
  <c r="V223" i="3"/>
  <c r="V308" i="3"/>
  <c r="V61" i="3"/>
  <c r="V280" i="3"/>
  <c r="V126" i="3"/>
  <c r="V121" i="3"/>
  <c r="V120" i="3"/>
  <c r="V99" i="3"/>
  <c r="V310" i="3"/>
  <c r="V322" i="3"/>
  <c r="V182" i="3"/>
  <c r="V284" i="3"/>
  <c r="V270" i="3"/>
  <c r="V149" i="3"/>
  <c r="V274" i="3"/>
  <c r="V103" i="3"/>
  <c r="V100" i="3"/>
  <c r="V104" i="3"/>
  <c r="V105" i="3"/>
  <c r="V101" i="3"/>
  <c r="Y200" i="3"/>
  <c r="Y218" i="3"/>
  <c r="Y138" i="3"/>
  <c r="Y296" i="3"/>
  <c r="Y141" i="3"/>
  <c r="Y311" i="3"/>
  <c r="Y314" i="3"/>
  <c r="Y224" i="3"/>
  <c r="Y142" i="3"/>
  <c r="Y323" i="3"/>
  <c r="Y129" i="3"/>
  <c r="Y99" i="3"/>
  <c r="Y324" i="3"/>
  <c r="Y225" i="3"/>
  <c r="Y152" i="3"/>
  <c r="Y161" i="3"/>
  <c r="Y307" i="3"/>
  <c r="Y149" i="3"/>
  <c r="Y137" i="3"/>
  <c r="Y249" i="3"/>
  <c r="Y257" i="3"/>
  <c r="Y150" i="3"/>
  <c r="Y172" i="3"/>
  <c r="Y120" i="3"/>
  <c r="Y103" i="3"/>
  <c r="Y182" i="3"/>
  <c r="Y312" i="3"/>
  <c r="Y273" i="3"/>
  <c r="Y168" i="3"/>
  <c r="Y175" i="3"/>
  <c r="Y317" i="3"/>
  <c r="Y183" i="3"/>
  <c r="Y156" i="3"/>
  <c r="Y315" i="3"/>
  <c r="Y272" i="3"/>
  <c r="Y210" i="3"/>
  <c r="Y130" i="3"/>
  <c r="Y247" i="3"/>
  <c r="Y104" i="3"/>
  <c r="Y157" i="3"/>
  <c r="Y300" i="3"/>
  <c r="Y305" i="3"/>
  <c r="Y199" i="3"/>
  <c r="Y128" i="3"/>
  <c r="Y284" i="3"/>
  <c r="Y215" i="3"/>
  <c r="Y196" i="3"/>
  <c r="Y322" i="3"/>
  <c r="Y205" i="3"/>
  <c r="Y171" i="3"/>
  <c r="Y124" i="3"/>
  <c r="Y282" i="3"/>
  <c r="Y229" i="3"/>
  <c r="Y121" i="3"/>
  <c r="Y242" i="3"/>
  <c r="Y105" i="3"/>
  <c r="Y125" i="3"/>
  <c r="Y298" i="3"/>
  <c r="Y231" i="3"/>
  <c r="Y223" i="3"/>
  <c r="Y306" i="3"/>
  <c r="Y228" i="3"/>
  <c r="Y217" i="3"/>
  <c r="Y139" i="3"/>
  <c r="Y308" i="3"/>
  <c r="Y275" i="3"/>
  <c r="Y244" i="3"/>
  <c r="Y313" i="3"/>
  <c r="Y126" i="3"/>
  <c r="Y243" i="3"/>
  <c r="Y140" i="3"/>
  <c r="Y310" i="3"/>
  <c r="Y289" i="3"/>
  <c r="Y256" i="3"/>
  <c r="Y49" i="3"/>
  <c r="Y274" i="3"/>
  <c r="Y268" i="3"/>
  <c r="Y147" i="3"/>
  <c r="Y318" i="3"/>
  <c r="Y288" i="3"/>
  <c r="Y119" i="3"/>
  <c r="Y100" i="3"/>
  <c r="Y281" i="3"/>
  <c r="Y98" i="3"/>
  <c r="Y148" i="3"/>
  <c r="Y321" i="3"/>
  <c r="Y304" i="3"/>
  <c r="Y270" i="3"/>
  <c r="Y61" i="3"/>
  <c r="Y286" i="3"/>
  <c r="Y290" i="3"/>
  <c r="Y176" i="3"/>
  <c r="Y280" i="3"/>
  <c r="Y302" i="3"/>
  <c r="Y116" i="3"/>
  <c r="Y101" i="3"/>
  <c r="W289" i="3"/>
  <c r="W315" i="3"/>
  <c r="W141" i="3"/>
  <c r="W172" i="3"/>
  <c r="W270" i="3"/>
  <c r="W310" i="3"/>
  <c r="W318" i="3"/>
  <c r="W126" i="3"/>
  <c r="W148" i="3"/>
  <c r="W199" i="3"/>
  <c r="W129" i="3"/>
  <c r="W101" i="3"/>
  <c r="W274" i="3"/>
  <c r="W305" i="3"/>
  <c r="W124" i="3"/>
  <c r="W156" i="3"/>
  <c r="W225" i="3"/>
  <c r="W298" i="3"/>
  <c r="W307" i="3"/>
  <c r="W321" i="3"/>
  <c r="W128" i="3"/>
  <c r="W168" i="3"/>
  <c r="W313" i="3"/>
  <c r="W103" i="3"/>
  <c r="W125" i="3"/>
  <c r="W205" i="3"/>
  <c r="W137" i="3"/>
  <c r="W183" i="3"/>
  <c r="W119" i="3"/>
  <c r="W231" i="3"/>
  <c r="W288" i="3"/>
  <c r="W314" i="3"/>
  <c r="W140" i="3"/>
  <c r="W200" i="3"/>
  <c r="W281" i="3"/>
  <c r="W290" i="3"/>
  <c r="W308" i="3"/>
  <c r="W323" i="3"/>
  <c r="W150" i="3"/>
  <c r="W243" i="3"/>
  <c r="W98" i="3"/>
  <c r="W215" i="3"/>
  <c r="W273" i="3"/>
  <c r="W304" i="3"/>
  <c r="W61" i="3"/>
  <c r="W171" i="3"/>
  <c r="W257" i="3"/>
  <c r="W275" i="3"/>
  <c r="W296" i="3"/>
  <c r="W311" i="3"/>
  <c r="W138" i="3"/>
  <c r="W100" i="3"/>
  <c r="W99" i="3"/>
  <c r="W284" i="3"/>
  <c r="W176" i="3"/>
  <c r="W229" i="3"/>
  <c r="W286" i="3"/>
  <c r="W324" i="3"/>
  <c r="W152" i="3"/>
  <c r="W223" i="3"/>
  <c r="W249" i="3"/>
  <c r="W280" i="3"/>
  <c r="W300" i="3"/>
  <c r="W244" i="3"/>
  <c r="W121" i="3"/>
  <c r="W104" i="3"/>
  <c r="W161" i="3"/>
  <c r="W210" i="3"/>
  <c r="W272" i="3"/>
  <c r="W312" i="3"/>
  <c r="W139" i="3"/>
  <c r="W196" i="3"/>
  <c r="W217" i="3"/>
  <c r="W256" i="3"/>
  <c r="W282" i="3"/>
  <c r="W247" i="3"/>
  <c r="W130" i="3"/>
  <c r="W105" i="3"/>
  <c r="W224" i="3"/>
  <c r="W317" i="3"/>
  <c r="W142" i="3"/>
  <c r="W175" i="3"/>
  <c r="W228" i="3"/>
  <c r="W302" i="3"/>
  <c r="W49" i="3"/>
  <c r="W149" i="3"/>
  <c r="W182" i="3"/>
  <c r="W218" i="3"/>
  <c r="W268" i="3"/>
  <c r="W120" i="3"/>
  <c r="W242" i="3"/>
  <c r="W306" i="3"/>
  <c r="W157" i="3"/>
  <c r="W322" i="3"/>
  <c r="W147" i="3"/>
  <c r="W116" i="3"/>
  <c r="AO266" i="3"/>
  <c r="S266" i="3" s="1"/>
  <c r="T33" i="3" l="1"/>
  <c r="G32" i="3" a="1"/>
  <c r="G32" i="3" s="1"/>
  <c r="AO269" i="3"/>
  <c r="S269" i="3" s="1"/>
  <c r="T34" i="3" l="1"/>
  <c r="G33" i="3" a="1"/>
  <c r="G33" i="3" s="1"/>
  <c r="AO38" i="3"/>
  <c r="S38" i="3" s="1"/>
  <c r="AO39" i="3"/>
  <c r="S39" i="3" s="1"/>
  <c r="AO37" i="3"/>
  <c r="S37" i="3" s="1"/>
  <c r="T29" i="3"/>
  <c r="AO34" i="3"/>
  <c r="S34" i="3" s="1"/>
  <c r="AO36" i="3"/>
  <c r="S36" i="3" s="1"/>
  <c r="AO33" i="3"/>
  <c r="S33" i="3" s="1"/>
  <c r="AO29" i="3"/>
  <c r="S29" i="3" s="1"/>
  <c r="AO43" i="3"/>
  <c r="S43" i="3" s="1"/>
  <c r="AO42" i="3"/>
  <c r="S42" i="3" s="1"/>
  <c r="U29" i="3"/>
  <c r="AO35" i="3"/>
  <c r="S35" i="3" s="1"/>
  <c r="V29" i="3"/>
  <c r="AO41" i="3"/>
  <c r="S41" i="3" s="1"/>
  <c r="AO238" i="3"/>
  <c r="S238" i="3" s="1"/>
  <c r="AO44" i="3"/>
  <c r="S44" i="3" s="1"/>
  <c r="T35" i="3" l="1"/>
  <c r="G34" i="3" a="1"/>
  <c r="G34" i="3" s="1"/>
  <c r="AO28" i="3"/>
  <c r="S28" i="3" s="1"/>
  <c r="AO45" i="3"/>
  <c r="S45" i="3" s="1"/>
  <c r="T36" i="3" l="1"/>
  <c r="G35" i="3" a="1"/>
  <c r="G35" i="3" s="1"/>
  <c r="W29" i="3"/>
  <c r="T37" i="3" l="1"/>
  <c r="G36" i="3" a="1"/>
  <c r="G36" i="3" s="1"/>
  <c r="T38" i="3" l="1"/>
  <c r="G37" i="3" a="1"/>
  <c r="G37" i="3" s="1"/>
  <c r="BF40" i="3"/>
  <c r="BB40" i="3" s="1"/>
  <c r="AO40" i="3"/>
  <c r="T39" i="3" l="1"/>
  <c r="G41" i="3" a="1"/>
  <c r="G41" i="3" s="1"/>
  <c r="AV45" i="3"/>
  <c r="BE45" i="3" s="1"/>
  <c r="AO235" i="3"/>
  <c r="BF235" i="3"/>
  <c r="BB235" i="3" s="1"/>
  <c r="AO271" i="3"/>
  <c r="BF271" i="3"/>
  <c r="BB271" i="3" s="1"/>
  <c r="AW45" i="3" l="1"/>
  <c r="BF45" i="3" s="1"/>
  <c r="BB45" i="3" s="1"/>
  <c r="T44" i="3"/>
  <c r="G42" i="3" a="1"/>
  <c r="G42" i="3" s="1"/>
  <c r="T45" i="3" s="1"/>
  <c r="AV349" i="3"/>
  <c r="BE349" i="3" s="1"/>
  <c r="AX45" i="3" l="1"/>
  <c r="AY45" i="3" s="1"/>
  <c r="AZ45" i="3" s="1"/>
  <c r="BA45" i="3" s="1"/>
  <c r="E132" i="3"/>
  <c r="AW349" i="3"/>
  <c r="BF349" i="3" s="1"/>
  <c r="BB349" i="3" s="1"/>
  <c r="F132" i="3" l="1"/>
  <c r="AX349" i="3"/>
  <c r="AY349" i="3" l="1"/>
  <c r="G132" i="3"/>
  <c r="Q38" i="9" l="1"/>
  <c r="V38" i="9" s="1"/>
  <c r="AZ349" i="3"/>
  <c r="BA349" i="3" s="1"/>
  <c r="H132" i="3"/>
  <c r="Q39" i="9" s="1"/>
  <c r="V39" i="9" s="1"/>
  <c r="I132" i="3" l="1"/>
  <c r="J132" i="3" s="1"/>
  <c r="Q40" i="9" l="1"/>
  <c r="V40" i="9" s="1"/>
  <c r="F125" i="3"/>
  <c r="V42" i="9"/>
  <c r="V43" i="9"/>
  <c r="Q41" i="9"/>
  <c r="V41" i="9" s="1"/>
  <c r="AO162" i="3"/>
  <c r="S162" i="3" s="1"/>
  <c r="V44" i="9" l="1"/>
  <c r="T44" i="9" s="1"/>
  <c r="S46" i="9" s="1"/>
  <c r="T43" i="9"/>
  <c r="S45" i="9" s="1"/>
  <c r="V45" i="9" l="1"/>
  <c r="T45" i="9" s="1"/>
  <c r="S47" i="9" s="1"/>
  <c r="W49" i="9" s="1"/>
  <c r="W48" i="9"/>
  <c r="V46" i="9" l="1"/>
  <c r="T46" i="9" s="1"/>
  <c r="S48" i="9" s="1"/>
  <c r="W50" i="9" s="1"/>
  <c r="V48" i="9" l="1"/>
  <c r="T49" i="9" s="1"/>
  <c r="S51" i="9" s="1"/>
  <c r="V47" i="9"/>
  <c r="T47" i="9" s="1"/>
  <c r="S49" i="9" s="1"/>
  <c r="W51" i="9" s="1"/>
  <c r="AV28" i="3"/>
  <c r="AV125" i="3"/>
  <c r="AV124" i="3"/>
  <c r="AV139" i="3"/>
  <c r="AV137" i="3"/>
  <c r="AV140" i="3"/>
  <c r="AV141" i="3"/>
  <c r="AV138" i="3"/>
  <c r="AV257" i="3"/>
  <c r="AV176" i="3"/>
  <c r="AV147" i="3"/>
  <c r="BE147" i="3" s="1"/>
  <c r="AV256" i="3"/>
  <c r="AV315" i="3"/>
  <c r="AV298" i="3"/>
  <c r="AV280" i="3"/>
  <c r="AV308" i="3"/>
  <c r="AV318" i="3"/>
  <c r="AV156" i="3"/>
  <c r="AV152" i="3"/>
  <c r="AV229" i="3"/>
  <c r="AV290" i="3"/>
  <c r="AV305" i="3"/>
  <c r="AV225" i="3"/>
  <c r="AV149" i="3"/>
  <c r="AV223" i="3"/>
  <c r="AV200" i="3"/>
  <c r="AV224" i="3"/>
  <c r="AV296" i="3"/>
  <c r="AV312" i="3"/>
  <c r="AV286" i="3"/>
  <c r="AV172" i="3"/>
  <c r="AV148" i="3"/>
  <c r="AV196" i="3"/>
  <c r="AV171" i="3"/>
  <c r="AV304" i="3"/>
  <c r="AV300" i="3"/>
  <c r="AV274" i="3"/>
  <c r="AV310" i="3"/>
  <c r="BE310" i="3" s="1"/>
  <c r="AV289" i="3"/>
  <c r="AV142" i="3"/>
  <c r="BE142" i="3" s="1"/>
  <c r="AV231" i="3"/>
  <c r="AV218" i="3"/>
  <c r="BE218" i="3" s="1"/>
  <c r="AV323" i="3"/>
  <c r="BE323" i="3" s="1"/>
  <c r="AV161" i="3"/>
  <c r="AV199" i="3"/>
  <c r="AV264" i="3"/>
  <c r="AV181" i="3"/>
  <c r="AV168" i="3"/>
  <c r="AV321" i="3"/>
  <c r="AV322" i="3"/>
  <c r="AV307" i="3"/>
  <c r="AV314" i="3"/>
  <c r="AV317" i="3"/>
  <c r="AV217" i="3"/>
  <c r="AV282" i="3"/>
  <c r="AV128" i="3"/>
  <c r="BE128" i="3" s="1"/>
  <c r="AV162" i="3"/>
  <c r="AV215" i="3"/>
  <c r="AV306" i="3"/>
  <c r="BE306" i="3" s="1"/>
  <c r="AV228" i="3"/>
  <c r="AV175" i="3"/>
  <c r="AV157" i="3"/>
  <c r="AV281" i="3"/>
  <c r="AV49" i="3"/>
  <c r="BE49" i="3" s="1"/>
  <c r="AV302" i="3"/>
  <c r="AV150" i="3"/>
  <c r="AV210" i="3"/>
  <c r="AV205" i="3"/>
  <c r="AW125" i="3"/>
  <c r="AW124" i="3"/>
  <c r="BE205" i="3" l="1"/>
  <c r="BE157" i="3"/>
  <c r="BE215" i="3"/>
  <c r="BE217" i="3"/>
  <c r="BE314" i="3"/>
  <c r="BE168" i="3"/>
  <c r="BE161" i="3"/>
  <c r="BE274" i="3"/>
  <c r="BE196" i="3"/>
  <c r="BE312" i="3"/>
  <c r="BE223" i="3"/>
  <c r="BE290" i="3"/>
  <c r="BE318" i="3"/>
  <c r="BE315" i="3"/>
  <c r="BE176" i="3"/>
  <c r="BE140" i="3"/>
  <c r="BF125" i="3"/>
  <c r="BE125" i="3"/>
  <c r="BE302" i="3"/>
  <c r="BE175" i="3"/>
  <c r="BE162" i="3"/>
  <c r="BE317" i="3"/>
  <c r="BE307" i="3"/>
  <c r="BE181" i="3"/>
  <c r="BE300" i="3"/>
  <c r="BE148" i="3"/>
  <c r="BE296" i="3"/>
  <c r="BE149" i="3"/>
  <c r="BE229" i="3"/>
  <c r="BE308" i="3"/>
  <c r="BE256" i="3"/>
  <c r="BE257" i="3"/>
  <c r="AW137" i="3"/>
  <c r="BF137" i="3" s="1"/>
  <c r="BB137" i="3" s="1"/>
  <c r="BE137" i="3"/>
  <c r="BE28" i="3"/>
  <c r="BE210" i="3"/>
  <c r="BE228" i="3"/>
  <c r="BE322" i="3"/>
  <c r="BE264" i="3"/>
  <c r="BE289" i="3"/>
  <c r="BE304" i="3"/>
  <c r="BE172" i="3"/>
  <c r="BE224" i="3"/>
  <c r="BE225" i="3"/>
  <c r="BE152" i="3"/>
  <c r="BE280" i="3"/>
  <c r="AW138" i="3"/>
  <c r="AX138" i="3" s="1"/>
  <c r="AY138" i="3" s="1"/>
  <c r="AZ138" i="3" s="1"/>
  <c r="BA138" i="3" s="1"/>
  <c r="BE138" i="3"/>
  <c r="AW139" i="3"/>
  <c r="BE139" i="3"/>
  <c r="BE150" i="3"/>
  <c r="BE281" i="3"/>
  <c r="BE282" i="3"/>
  <c r="BE321" i="3"/>
  <c r="BE199" i="3"/>
  <c r="BE231" i="3"/>
  <c r="BE171" i="3"/>
  <c r="BE286" i="3"/>
  <c r="BE200" i="3"/>
  <c r="BE305" i="3"/>
  <c r="BE156" i="3"/>
  <c r="BE298" i="3"/>
  <c r="AW141" i="3"/>
  <c r="BF141" i="3" s="1"/>
  <c r="BE141" i="3"/>
  <c r="BF124" i="3"/>
  <c r="BB124" i="3" s="1"/>
  <c r="BE124" i="3"/>
  <c r="BF138" i="3"/>
  <c r="W54" i="9"/>
  <c r="T48" i="9"/>
  <c r="AW280" i="3"/>
  <c r="AW140" i="3"/>
  <c r="AX140" i="3" s="1"/>
  <c r="AY140" i="3" s="1"/>
  <c r="AZ140" i="3" s="1"/>
  <c r="BA140" i="3" s="1"/>
  <c r="AX137" i="3"/>
  <c r="AY137" i="3" s="1"/>
  <c r="AZ137" i="3" s="1"/>
  <c r="BA137" i="3" s="1"/>
  <c r="AW317" i="3"/>
  <c r="BF317" i="3" s="1"/>
  <c r="BB317" i="3" s="1"/>
  <c r="AX124" i="3"/>
  <c r="AY124" i="3" s="1"/>
  <c r="AZ124" i="3" s="1"/>
  <c r="BA124" i="3" s="1"/>
  <c r="AX125" i="3"/>
  <c r="AY125" i="3" s="1"/>
  <c r="AZ125" i="3" s="1"/>
  <c r="BA125" i="3" s="1"/>
  <c r="AW264" i="3"/>
  <c r="AW215" i="3"/>
  <c r="BF215" i="3" s="1"/>
  <c r="BB215" i="3" s="1"/>
  <c r="BB138" i="3" l="1"/>
  <c r="BB141" i="3"/>
  <c r="AO138" i="3"/>
  <c r="S138" i="3" s="1"/>
  <c r="AX280" i="3"/>
  <c r="AX139" i="3"/>
  <c r="AY139" i="3" s="1"/>
  <c r="AZ139" i="3" s="1"/>
  <c r="BA139" i="3" s="1"/>
  <c r="BF139" i="3"/>
  <c r="BB139" i="3" s="1"/>
  <c r="BF280" i="3"/>
  <c r="BB280" i="3" s="1"/>
  <c r="BF140" i="3"/>
  <c r="BB140" i="3" s="1"/>
  <c r="AX141" i="3"/>
  <c r="AY141" i="3" s="1"/>
  <c r="AZ141" i="3" s="1"/>
  <c r="BA141" i="3" s="1"/>
  <c r="BF264" i="3"/>
  <c r="BB264" i="3" s="1"/>
  <c r="AX264" i="3" s="1"/>
  <c r="AY264" i="3" s="1"/>
  <c r="AZ264" i="3" s="1"/>
  <c r="BA264" i="3" s="1"/>
  <c r="BB125" i="3"/>
  <c r="AO140" i="3"/>
  <c r="S140" i="3" s="1"/>
  <c r="S50" i="9"/>
  <c r="AO137" i="3"/>
  <c r="S137" i="3" s="1"/>
  <c r="AO125" i="3"/>
  <c r="S125" i="3" s="1"/>
  <c r="AX215" i="3"/>
  <c r="AY215" i="3" s="1"/>
  <c r="AZ215" i="3" s="1"/>
  <c r="BA215" i="3" s="1"/>
  <c r="AO139" i="3"/>
  <c r="S139" i="3" s="1"/>
  <c r="AO124" i="3"/>
  <c r="S124" i="3" s="1"/>
  <c r="AX317" i="3"/>
  <c r="AY317" i="3" s="1"/>
  <c r="AZ317" i="3" s="1"/>
  <c r="BA317" i="3" s="1"/>
  <c r="AO141" i="3" l="1"/>
  <c r="S141" i="3" s="1"/>
  <c r="AY280" i="3"/>
  <c r="AZ280" i="3" s="1"/>
  <c r="BA280" i="3" s="1"/>
  <c r="W52" i="9"/>
  <c r="W53" i="9"/>
  <c r="AO215" i="3"/>
  <c r="S215" i="3" s="1"/>
  <c r="AO317" i="3"/>
  <c r="S317" i="3" s="1"/>
  <c r="AO280" i="3" l="1"/>
  <c r="S280" i="3" s="1"/>
  <c r="H143" i="3" l="1"/>
  <c r="T129" i="3" l="1"/>
  <c r="T130" i="3"/>
  <c r="T116" i="3"/>
  <c r="T104" i="3"/>
  <c r="T242" i="3"/>
  <c r="T98" i="3"/>
  <c r="T247" i="3"/>
  <c r="T105" i="3"/>
  <c r="T120" i="3"/>
  <c r="T119" i="3"/>
  <c r="T121" i="3"/>
  <c r="T99" i="3"/>
  <c r="T100" i="3"/>
  <c r="T243" i="3"/>
  <c r="T313" i="3"/>
  <c r="T244" i="3"/>
  <c r="T103" i="3"/>
  <c r="T101" i="3"/>
  <c r="T306" i="3"/>
  <c r="T318" i="3"/>
  <c r="T286" i="3"/>
  <c r="T150" i="3"/>
  <c r="T199" i="3"/>
  <c r="T139" i="3"/>
  <c r="T307" i="3"/>
  <c r="T142" i="3"/>
  <c r="T176" i="3"/>
  <c r="T317" i="3"/>
  <c r="T49" i="3"/>
  <c r="T124" i="3"/>
  <c r="T171" i="3"/>
  <c r="T284" i="3"/>
  <c r="T249" i="3"/>
  <c r="T275" i="3"/>
  <c r="T215" i="3"/>
  <c r="T156" i="3"/>
  <c r="T172" i="3"/>
  <c r="T289" i="3"/>
  <c r="T296" i="3"/>
  <c r="T281" i="3"/>
  <c r="T323" i="3"/>
  <c r="T148" i="3"/>
  <c r="T228" i="3"/>
  <c r="T321" i="3"/>
  <c r="T200" i="3"/>
  <c r="T175" i="3"/>
  <c r="T196" i="3"/>
  <c r="T290" i="3"/>
  <c r="T168" i="3"/>
  <c r="T268" i="3"/>
  <c r="T324" i="3"/>
  <c r="T273" i="3"/>
  <c r="T161" i="3"/>
  <c r="T225" i="3"/>
  <c r="T229" i="3"/>
  <c r="T272" i="3"/>
  <c r="T314" i="3"/>
  <c r="T205" i="3"/>
  <c r="T217" i="3"/>
  <c r="T147" i="3"/>
  <c r="T304" i="3"/>
  <c r="T224" i="3"/>
  <c r="T322" i="3"/>
  <c r="T311" i="3"/>
  <c r="T141" i="3"/>
  <c r="T149" i="3"/>
  <c r="T282" i="3"/>
  <c r="T300" i="3"/>
  <c r="T298" i="3"/>
  <c r="T231" i="3"/>
  <c r="T274" i="3"/>
  <c r="T140" i="3"/>
  <c r="T138" i="3"/>
  <c r="T137" i="3"/>
  <c r="T152" i="3"/>
  <c r="T305" i="3"/>
  <c r="T210" i="3"/>
  <c r="T223" i="3"/>
  <c r="T218" i="3"/>
  <c r="T157" i="3"/>
  <c r="T257" i="3"/>
  <c r="T288" i="3"/>
  <c r="T310" i="3"/>
  <c r="T312" i="3"/>
  <c r="T302" i="3"/>
  <c r="T270" i="3"/>
  <c r="T125" i="3"/>
  <c r="T126" i="3"/>
  <c r="T61" i="3"/>
  <c r="T280" i="3"/>
  <c r="T128" i="3"/>
  <c r="T315" i="3"/>
  <c r="T256" i="3"/>
  <c r="T308" i="3"/>
  <c r="AW352" i="3" l="1"/>
  <c r="BF352" i="3" s="1"/>
  <c r="BB352" i="3" s="1"/>
  <c r="AX352" i="3" s="1"/>
  <c r="AW224" i="3"/>
  <c r="BF224" i="3" s="1"/>
  <c r="BB224" i="3" s="1"/>
  <c r="AX224" i="3" s="1"/>
  <c r="AW218" i="3"/>
  <c r="BF218" i="3" s="1"/>
  <c r="BB218" i="3" s="1"/>
  <c r="AW128" i="3"/>
  <c r="BF128" i="3" s="1"/>
  <c r="BB128" i="3" s="1"/>
  <c r="AX128" i="3" s="1"/>
  <c r="AW298" i="3"/>
  <c r="AW286" i="3"/>
  <c r="AW231" i="3"/>
  <c r="AW321" i="3"/>
  <c r="BF321" i="3" s="1"/>
  <c r="BB321" i="3" s="1"/>
  <c r="AX321" i="3" s="1"/>
  <c r="AW225" i="3"/>
  <c r="AW172" i="3"/>
  <c r="AW322" i="3"/>
  <c r="AW229" i="3"/>
  <c r="BF229" i="3" s="1"/>
  <c r="BB229" i="3" s="1"/>
  <c r="AX229" i="3" s="1"/>
  <c r="AW296" i="3"/>
  <c r="AW162" i="3"/>
  <c r="AW302" i="3"/>
  <c r="AW315" i="3"/>
  <c r="BF315" i="3" s="1"/>
  <c r="BB315" i="3" s="1"/>
  <c r="AX315" i="3" s="1"/>
  <c r="AY315" i="3" s="1"/>
  <c r="AZ315" i="3" s="1"/>
  <c r="BA315" i="3" s="1"/>
  <c r="AW312" i="3"/>
  <c r="AW274" i="3"/>
  <c r="BF274" i="3" s="1"/>
  <c r="BB274" i="3" s="1"/>
  <c r="AX274" i="3" s="1"/>
  <c r="AW290" i="3"/>
  <c r="AW217" i="3"/>
  <c r="AW310" i="3"/>
  <c r="BF310" i="3" s="1"/>
  <c r="BB310" i="3" s="1"/>
  <c r="AW49" i="3"/>
  <c r="BF49" i="3" s="1"/>
  <c r="BB49" i="3" s="1"/>
  <c r="AX49" i="3" s="1"/>
  <c r="AW323" i="3"/>
  <c r="BF323" i="3"/>
  <c r="BB323" i="3" s="1"/>
  <c r="AW281" i="3"/>
  <c r="BF281" i="3" s="1"/>
  <c r="BB281" i="3" s="1"/>
  <c r="AX281" i="3" s="1"/>
  <c r="AY281" i="3" s="1"/>
  <c r="AZ281" i="3" s="1"/>
  <c r="BA281" i="3" s="1"/>
  <c r="AW305" i="3"/>
  <c r="BF305" i="3" s="1"/>
  <c r="BB305" i="3" s="1"/>
  <c r="AW289" i="3"/>
  <c r="BF289" i="3" s="1"/>
  <c r="BB289" i="3" s="1"/>
  <c r="AX289" i="3" s="1"/>
  <c r="AW210" i="3"/>
  <c r="BF210" i="3" s="1"/>
  <c r="BB210" i="3" s="1"/>
  <c r="AW256" i="3"/>
  <c r="BF256" i="3" s="1"/>
  <c r="BB256" i="3" s="1"/>
  <c r="AX256" i="3" s="1"/>
  <c r="AY256" i="3" s="1"/>
  <c r="AZ256" i="3" s="1"/>
  <c r="BA256" i="3" s="1"/>
  <c r="AW157" i="3"/>
  <c r="BF157" i="3" s="1"/>
  <c r="BB157" i="3" s="1"/>
  <c r="AW306" i="3"/>
  <c r="BF306" i="3" s="1"/>
  <c r="BB306" i="3" s="1"/>
  <c r="AX306" i="3" s="1"/>
  <c r="AW168" i="3"/>
  <c r="BF168" i="3" s="1"/>
  <c r="BB168" i="3" s="1"/>
  <c r="AW307" i="3"/>
  <c r="BF307" i="3" s="1"/>
  <c r="BB307" i="3" s="1"/>
  <c r="AX307" i="3" s="1"/>
  <c r="AY307" i="3" s="1"/>
  <c r="AZ307" i="3" s="1"/>
  <c r="BA307" i="3" s="1"/>
  <c r="AW300" i="3"/>
  <c r="BF300" i="3" s="1"/>
  <c r="BB300" i="3" s="1"/>
  <c r="AW156" i="3"/>
  <c r="BF156" i="3" s="1"/>
  <c r="BB156" i="3" s="1"/>
  <c r="AW200" i="3"/>
  <c r="BF200" i="3" s="1"/>
  <c r="BB200" i="3" s="1"/>
  <c r="AW171" i="3"/>
  <c r="BF171" i="3" s="1"/>
  <c r="BB171" i="3" s="1"/>
  <c r="AX171" i="3" s="1"/>
  <c r="AW199" i="3"/>
  <c r="BF199" i="3" s="1"/>
  <c r="BB199" i="3" s="1"/>
  <c r="AX199" i="3" s="1"/>
  <c r="AW282" i="3"/>
  <c r="BF282" i="3" s="1"/>
  <c r="BB282" i="3" s="1"/>
  <c r="AW150" i="3"/>
  <c r="BF150" i="3" s="1"/>
  <c r="BB150" i="3" s="1"/>
  <c r="AW152" i="3"/>
  <c r="BF152" i="3" s="1"/>
  <c r="BB152" i="3" s="1"/>
  <c r="AX152" i="3" s="1"/>
  <c r="AW304" i="3"/>
  <c r="BF304" i="3" s="1"/>
  <c r="BB304" i="3" s="1"/>
  <c r="AX304" i="3" s="1"/>
  <c r="AW228" i="3"/>
  <c r="BF228" i="3" s="1"/>
  <c r="BB228" i="3" s="1"/>
  <c r="AW28" i="3"/>
  <c r="BF28" i="3" s="1"/>
  <c r="BB28" i="3" s="1"/>
  <c r="AW257" i="3"/>
  <c r="AW308" i="3"/>
  <c r="AW149" i="3"/>
  <c r="BF149" i="3" s="1"/>
  <c r="BB149" i="3" s="1"/>
  <c r="AX149" i="3" s="1"/>
  <c r="AW148" i="3"/>
  <c r="BF148" i="3" s="1"/>
  <c r="BB148" i="3" s="1"/>
  <c r="AX148" i="3" s="1"/>
  <c r="AW181" i="3"/>
  <c r="BF181" i="3" s="1"/>
  <c r="BB181" i="3" s="1"/>
  <c r="AW175" i="3"/>
  <c r="BF175" i="3" s="1"/>
  <c r="BB175" i="3" s="1"/>
  <c r="AW176" i="3"/>
  <c r="BF176" i="3" s="1"/>
  <c r="BB176" i="3"/>
  <c r="AX176" i="3" s="1"/>
  <c r="AW318" i="3"/>
  <c r="BF318" i="3" s="1"/>
  <c r="BB318" i="3" s="1"/>
  <c r="AX318" i="3" s="1"/>
  <c r="AW223" i="3"/>
  <c r="BF223" i="3" s="1"/>
  <c r="BB223" i="3" s="1"/>
  <c r="AW196" i="3"/>
  <c r="BF196" i="3" s="1"/>
  <c r="BB196" i="3" s="1"/>
  <c r="AW161" i="3"/>
  <c r="BF161" i="3" s="1"/>
  <c r="BB161" i="3" s="1"/>
  <c r="AX161" i="3" s="1"/>
  <c r="AW314" i="3"/>
  <c r="BF314" i="3" s="1"/>
  <c r="BB314" i="3" s="1"/>
  <c r="AX314" i="3" s="1"/>
  <c r="AW205" i="3"/>
  <c r="BF205" i="3" s="1"/>
  <c r="BB205" i="3" s="1"/>
  <c r="AX205" i="3" s="1"/>
  <c r="AW142" i="3"/>
  <c r="AW147" i="3"/>
  <c r="BF147" i="3" s="1"/>
  <c r="BB147" i="3" s="1"/>
  <c r="AX147" i="3" s="1"/>
  <c r="AW311" i="3"/>
  <c r="AW266" i="3"/>
  <c r="BF266" i="3" s="1"/>
  <c r="BB266" i="3" s="1"/>
  <c r="AX266" i="3" s="1"/>
  <c r="AY266" i="3" s="1"/>
  <c r="AZ266" i="3" s="1"/>
  <c r="BA266" i="3" s="1"/>
  <c r="AW79" i="3"/>
  <c r="AW55" i="3"/>
  <c r="BF55" i="3" s="1"/>
  <c r="BB55" i="3" s="1"/>
  <c r="AX55" i="3" s="1"/>
  <c r="AY55" i="3" s="1"/>
  <c r="AZ55" i="3" s="1"/>
  <c r="BA55" i="3" s="1"/>
  <c r="AW185" i="3"/>
  <c r="BF185" i="3" s="1"/>
  <c r="BB185" i="3" s="1"/>
  <c r="AW276" i="3"/>
  <c r="BF276" i="3" s="1"/>
  <c r="BB276" i="3" s="1"/>
  <c r="AX276" i="3" s="1"/>
  <c r="AY276" i="3" s="1"/>
  <c r="AZ276" i="3" s="1"/>
  <c r="BA276" i="3" s="1"/>
  <c r="AW52" i="3"/>
  <c r="AW284" i="3"/>
  <c r="BF284" i="3" s="1"/>
  <c r="BB284" i="3" s="1"/>
  <c r="AX284" i="3" s="1"/>
  <c r="AW188" i="3"/>
  <c r="AW236" i="3"/>
  <c r="BF236" i="3" s="1"/>
  <c r="BB236" i="3" s="1"/>
  <c r="AX236" i="3" s="1"/>
  <c r="AY236" i="3" s="1"/>
  <c r="AZ236" i="3" s="1"/>
  <c r="BA236" i="3" s="1"/>
  <c r="AW58" i="3"/>
  <c r="BF58" i="3" s="1"/>
  <c r="BB58" i="3" s="1"/>
  <c r="AW89" i="3"/>
  <c r="BF89" i="3" s="1"/>
  <c r="BB89" i="3" s="1"/>
  <c r="AX89" i="3" s="1"/>
  <c r="AY89" i="3" s="1"/>
  <c r="AZ89" i="3" s="1"/>
  <c r="BA89" i="3" s="1"/>
  <c r="AW265" i="3"/>
  <c r="AW90" i="3"/>
  <c r="BF90" i="3" s="1"/>
  <c r="BB90" i="3" s="1"/>
  <c r="AX90" i="3" s="1"/>
  <c r="AY90" i="3" s="1"/>
  <c r="AZ90" i="3" s="1"/>
  <c r="BA90" i="3" s="1"/>
  <c r="AW41" i="3"/>
  <c r="BF41" i="3" s="1"/>
  <c r="BB41" i="3" s="1"/>
  <c r="AW51" i="3"/>
  <c r="BF51" i="3"/>
  <c r="BB51" i="3" s="1"/>
  <c r="AX51" i="3" s="1"/>
  <c r="AY51" i="3" s="1"/>
  <c r="AZ51" i="3" s="1"/>
  <c r="BA51" i="3" s="1"/>
  <c r="AW324" i="3"/>
  <c r="AW116" i="3"/>
  <c r="BF116" i="3" s="1"/>
  <c r="BB116" i="3" s="1"/>
  <c r="AX116" i="3" s="1"/>
  <c r="AY116" i="3" s="1"/>
  <c r="AZ116" i="3" s="1"/>
  <c r="BA116" i="3" s="1"/>
  <c r="AW267" i="3"/>
  <c r="AW129" i="3"/>
  <c r="BF129" i="3" s="1"/>
  <c r="BB129" i="3" s="1"/>
  <c r="AX129" i="3" s="1"/>
  <c r="AY129" i="3" s="1"/>
  <c r="AZ129" i="3" s="1"/>
  <c r="BA129" i="3" s="1"/>
  <c r="AW105" i="3"/>
  <c r="AW247" i="3"/>
  <c r="BF247" i="3" s="1"/>
  <c r="BB247" i="3" s="1"/>
  <c r="AX247" i="3" s="1"/>
  <c r="AY247" i="3" s="1"/>
  <c r="AZ247" i="3" s="1"/>
  <c r="BA247" i="3" s="1"/>
  <c r="AW269" i="3"/>
  <c r="BF269" i="3" s="1"/>
  <c r="BB269" i="3" s="1"/>
  <c r="AW238" i="3"/>
  <c r="BF238" i="3" s="1"/>
  <c r="BB238" i="3" s="1"/>
  <c r="AX238" i="3" s="1"/>
  <c r="AY238" i="3" s="1"/>
  <c r="AZ238" i="3" s="1"/>
  <c r="BA238" i="3" s="1"/>
  <c r="AW293" i="3"/>
  <c r="AW272" i="3"/>
  <c r="BF272" i="3" s="1"/>
  <c r="BB272" i="3" s="1"/>
  <c r="AX272" i="3" s="1"/>
  <c r="AY272" i="3" s="1"/>
  <c r="AZ272" i="3" s="1"/>
  <c r="BA272" i="3" s="1"/>
  <c r="AW38" i="3"/>
  <c r="BF38" i="3" s="1"/>
  <c r="BB38" i="3" s="1"/>
  <c r="AW33" i="3"/>
  <c r="BF33" i="3" s="1"/>
  <c r="BB33" i="3" s="1"/>
  <c r="AX33" i="3" s="1"/>
  <c r="AY33" i="3" s="1"/>
  <c r="AZ33" i="3" s="1"/>
  <c r="BA33" i="3" s="1"/>
  <c r="AW35" i="3"/>
  <c r="AW130" i="3"/>
  <c r="BF130" i="3" s="1"/>
  <c r="BB130" i="3" s="1"/>
  <c r="AX130" i="3" s="1"/>
  <c r="AY130" i="3" s="1"/>
  <c r="AZ130" i="3" s="1"/>
  <c r="BA130" i="3" s="1"/>
  <c r="AW88" i="3"/>
  <c r="BF88" i="3" s="1"/>
  <c r="BB88" i="3" s="1"/>
  <c r="AW44" i="3"/>
  <c r="BF44" i="3" s="1"/>
  <c r="BB44" i="3" s="1"/>
  <c r="AX44" i="3" s="1"/>
  <c r="AY44" i="3" s="1"/>
  <c r="AZ44" i="3" s="1"/>
  <c r="BA44" i="3" s="1"/>
  <c r="AW50" i="3"/>
  <c r="AW98" i="3"/>
  <c r="BF98" i="3" s="1"/>
  <c r="BB98" i="3" s="1"/>
  <c r="AX98" i="3" s="1"/>
  <c r="AY98" i="3" s="1"/>
  <c r="AZ98" i="3" s="1"/>
  <c r="BA98" i="3" s="1"/>
  <c r="AW75" i="3"/>
  <c r="BF75" i="3" s="1"/>
  <c r="BB75" i="3" s="1"/>
  <c r="AW313" i="3"/>
  <c r="BF313" i="3" s="1"/>
  <c r="BB313" i="3" s="1"/>
  <c r="AX313" i="3" s="1"/>
  <c r="AY313" i="3" s="1"/>
  <c r="AZ313" i="3" s="1"/>
  <c r="BA313" i="3" s="1"/>
  <c r="AW100" i="3"/>
  <c r="AW99" i="3"/>
  <c r="BF99" i="3" s="1"/>
  <c r="BB99" i="3" s="1"/>
  <c r="AX99" i="3" s="1"/>
  <c r="AY99" i="3" s="1"/>
  <c r="AZ99" i="3" s="1"/>
  <c r="BA99" i="3" s="1"/>
  <c r="AW119" i="3"/>
  <c r="BF119" i="3" s="1"/>
  <c r="BB119" i="3" s="1"/>
  <c r="AW278" i="3"/>
  <c r="BF278" i="3" s="1"/>
  <c r="BB278" i="3" s="1"/>
  <c r="AX278" i="3" s="1"/>
  <c r="AY278" i="3" s="1"/>
  <c r="AZ278" i="3" s="1"/>
  <c r="BA278" i="3" s="1"/>
  <c r="AW145" i="3"/>
  <c r="AW183" i="3"/>
  <c r="BF183" i="3" s="1"/>
  <c r="BB183" i="3" s="1"/>
  <c r="AX183" i="3" s="1"/>
  <c r="AY183" i="3" s="1"/>
  <c r="AZ183" i="3" s="1"/>
  <c r="BA183" i="3" s="1"/>
  <c r="AW43" i="3"/>
  <c r="BF43" i="3" s="1"/>
  <c r="BB43" i="3" s="1"/>
  <c r="AW84" i="3"/>
  <c r="BF84" i="3" s="1"/>
  <c r="BB84" i="3" s="1"/>
  <c r="AX84" i="3" s="1"/>
  <c r="AY84" i="3" s="1"/>
  <c r="AZ84" i="3" s="1"/>
  <c r="BA84" i="3" s="1"/>
  <c r="AW234" i="3"/>
  <c r="AW34" i="3"/>
  <c r="BF34" i="3" s="1"/>
  <c r="BB34" i="3" s="1"/>
  <c r="AX34" i="3" s="1"/>
  <c r="AY34" i="3" s="1"/>
  <c r="AZ34" i="3" s="1"/>
  <c r="BA34" i="3" s="1"/>
  <c r="AW232" i="3"/>
  <c r="BF232" i="3" s="1"/>
  <c r="BB232" i="3" s="1"/>
  <c r="AW59" i="3"/>
  <c r="BF59" i="3" s="1"/>
  <c r="BB59" i="3" s="1"/>
  <c r="AX59" i="3" s="1"/>
  <c r="AY59" i="3" s="1"/>
  <c r="AZ59" i="3" s="1"/>
  <c r="BA59" i="3" s="1"/>
  <c r="AW76" i="3"/>
  <c r="AW78" i="3"/>
  <c r="BF78" i="3" s="1"/>
  <c r="BB78" i="3" s="1"/>
  <c r="AX78" i="3" s="1"/>
  <c r="AY78" i="3" s="1"/>
  <c r="AZ78" i="3" s="1"/>
  <c r="BA78" i="3" s="1"/>
  <c r="AW39" i="3"/>
  <c r="BF39" i="3" s="1"/>
  <c r="BB39" i="3" s="1"/>
  <c r="AW103" i="3"/>
  <c r="BF103" i="3" s="1"/>
  <c r="BB103" i="3" s="1"/>
  <c r="AX217" i="3" l="1"/>
  <c r="AY217" i="3" s="1"/>
  <c r="AZ217" i="3" s="1"/>
  <c r="BA217" i="3" s="1"/>
  <c r="BF217" i="3"/>
  <c r="BB217" i="3" s="1"/>
  <c r="BF162" i="3"/>
  <c r="BB162" i="3" s="1"/>
  <c r="AX162" i="3" s="1"/>
  <c r="AY162" i="3" s="1"/>
  <c r="AZ162" i="3" s="1"/>
  <c r="BA162" i="3" s="1"/>
  <c r="BF172" i="3"/>
  <c r="BB172" i="3" s="1"/>
  <c r="AX172" i="3" s="1"/>
  <c r="BF286" i="3"/>
  <c r="BB286" i="3" s="1"/>
  <c r="AX286" i="3" s="1"/>
  <c r="AX103" i="3"/>
  <c r="AY103" i="3" s="1"/>
  <c r="AZ103" i="3" s="1"/>
  <c r="BA103" i="3" s="1"/>
  <c r="AX156" i="3"/>
  <c r="AY156" i="3" s="1"/>
  <c r="AZ156" i="3" s="1"/>
  <c r="BA156" i="3" s="1"/>
  <c r="BF257" i="3"/>
  <c r="BB257" i="3" s="1"/>
  <c r="AX257" i="3" s="1"/>
  <c r="AX228" i="3"/>
  <c r="AY228" i="3" s="1"/>
  <c r="AZ228" i="3" s="1"/>
  <c r="BA228" i="3" s="1"/>
  <c r="AY205" i="3"/>
  <c r="AZ205" i="3" s="1"/>
  <c r="BA205" i="3" s="1"/>
  <c r="AY161" i="3"/>
  <c r="AZ161" i="3" s="1"/>
  <c r="BA161" i="3" s="1"/>
  <c r="AY176" i="3"/>
  <c r="AZ176" i="3" s="1"/>
  <c r="BA176" i="3" s="1"/>
  <c r="AO176" i="3" s="1"/>
  <c r="S176" i="3" s="1"/>
  <c r="AY149" i="3"/>
  <c r="AZ149" i="3" s="1"/>
  <c r="BA149" i="3" s="1"/>
  <c r="AY284" i="3"/>
  <c r="AZ284" i="3" s="1"/>
  <c r="BA284" i="3" s="1"/>
  <c r="AO147" i="3"/>
  <c r="S147" i="3" s="1"/>
  <c r="AY147" i="3"/>
  <c r="AZ147" i="3" s="1"/>
  <c r="BA147" i="3" s="1"/>
  <c r="AX39" i="3"/>
  <c r="AY39" i="3" s="1"/>
  <c r="AZ39" i="3" s="1"/>
  <c r="BA39" i="3" s="1"/>
  <c r="BF76" i="3"/>
  <c r="BB76" i="3" s="1"/>
  <c r="AX76" i="3" s="1"/>
  <c r="AY76" i="3" s="1"/>
  <c r="AZ76" i="3" s="1"/>
  <c r="BA76" i="3" s="1"/>
  <c r="AX232" i="3"/>
  <c r="AY232" i="3" s="1"/>
  <c r="AZ232" i="3" s="1"/>
  <c r="BA232" i="3" s="1"/>
  <c r="BF234" i="3"/>
  <c r="BB234" i="3" s="1"/>
  <c r="AX234" i="3" s="1"/>
  <c r="AY234" i="3" s="1"/>
  <c r="AZ234" i="3" s="1"/>
  <c r="BA234" i="3" s="1"/>
  <c r="AX43" i="3"/>
  <c r="AY43" i="3" s="1"/>
  <c r="AZ43" i="3" s="1"/>
  <c r="BA43" i="3" s="1"/>
  <c r="BF145" i="3"/>
  <c r="BB145" i="3" s="1"/>
  <c r="AX145" i="3" s="1"/>
  <c r="AY145" i="3" s="1"/>
  <c r="AZ145" i="3" s="1"/>
  <c r="BA145" i="3" s="1"/>
  <c r="AX119" i="3"/>
  <c r="AY119" i="3" s="1"/>
  <c r="AZ119" i="3" s="1"/>
  <c r="BA119" i="3" s="1"/>
  <c r="BF100" i="3"/>
  <c r="BB100" i="3" s="1"/>
  <c r="AX100" i="3" s="1"/>
  <c r="AY100" i="3" s="1"/>
  <c r="AZ100" i="3" s="1"/>
  <c r="BA100" i="3" s="1"/>
  <c r="AX75" i="3"/>
  <c r="AY75" i="3" s="1"/>
  <c r="AZ75" i="3" s="1"/>
  <c r="BA75" i="3" s="1"/>
  <c r="BF50" i="3"/>
  <c r="BB50" i="3" s="1"/>
  <c r="AX50" i="3" s="1"/>
  <c r="AY50" i="3" s="1"/>
  <c r="AZ50" i="3" s="1"/>
  <c r="BA50" i="3" s="1"/>
  <c r="AX88" i="3"/>
  <c r="AY88" i="3" s="1"/>
  <c r="AZ88" i="3" s="1"/>
  <c r="BA88" i="3" s="1"/>
  <c r="BF35" i="3"/>
  <c r="BB35" i="3" s="1"/>
  <c r="AX35" i="3" s="1"/>
  <c r="AY35" i="3" s="1"/>
  <c r="AZ35" i="3" s="1"/>
  <c r="BA35" i="3" s="1"/>
  <c r="AX38" i="3"/>
  <c r="AY38" i="3" s="1"/>
  <c r="AZ38" i="3" s="1"/>
  <c r="BA38" i="3" s="1"/>
  <c r="BF293" i="3"/>
  <c r="BB293" i="3" s="1"/>
  <c r="AX293" i="3" s="1"/>
  <c r="AY293" i="3" s="1"/>
  <c r="AZ293" i="3" s="1"/>
  <c r="BA293" i="3" s="1"/>
  <c r="AX269" i="3"/>
  <c r="AY269" i="3" s="1"/>
  <c r="AZ269" i="3" s="1"/>
  <c r="BA269" i="3" s="1"/>
  <c r="BF105" i="3"/>
  <c r="BB105" i="3" s="1"/>
  <c r="AX105" i="3" s="1"/>
  <c r="AY105" i="3" s="1"/>
  <c r="AZ105" i="3" s="1"/>
  <c r="BA105" i="3" s="1"/>
  <c r="BF267" i="3"/>
  <c r="BB267" i="3" s="1"/>
  <c r="AX267" i="3" s="1"/>
  <c r="AY267" i="3" s="1"/>
  <c r="AZ267" i="3" s="1"/>
  <c r="BA267" i="3" s="1"/>
  <c r="BF324" i="3"/>
  <c r="BB324" i="3" s="1"/>
  <c r="AX324" i="3" s="1"/>
  <c r="AX41" i="3"/>
  <c r="AY41" i="3" s="1"/>
  <c r="AZ41" i="3" s="1"/>
  <c r="BA41" i="3" s="1"/>
  <c r="BF265" i="3"/>
  <c r="BB265" i="3" s="1"/>
  <c r="AX265" i="3" s="1"/>
  <c r="AY265" i="3" s="1"/>
  <c r="AZ265" i="3" s="1"/>
  <c r="BA265" i="3" s="1"/>
  <c r="AX58" i="3"/>
  <c r="AY58" i="3" s="1"/>
  <c r="AZ58" i="3" s="1"/>
  <c r="BA58" i="3" s="1"/>
  <c r="BF188" i="3"/>
  <c r="BB188" i="3" s="1"/>
  <c r="AX188" i="3" s="1"/>
  <c r="AY188" i="3" s="1"/>
  <c r="AZ188" i="3" s="1"/>
  <c r="BA188" i="3" s="1"/>
  <c r="BF52" i="3"/>
  <c r="BB52" i="3" s="1"/>
  <c r="AX52" i="3" s="1"/>
  <c r="AY52" i="3" s="1"/>
  <c r="AZ52" i="3" s="1"/>
  <c r="BA52" i="3" s="1"/>
  <c r="AX185" i="3"/>
  <c r="AY185" i="3" s="1"/>
  <c r="AZ185" i="3" s="1"/>
  <c r="BA185" i="3" s="1"/>
  <c r="BF79" i="3"/>
  <c r="BB79" i="3" s="1"/>
  <c r="AX79" i="3" s="1"/>
  <c r="AY79" i="3" s="1"/>
  <c r="AZ79" i="3" s="1"/>
  <c r="BA79" i="3" s="1"/>
  <c r="BF311" i="3"/>
  <c r="BB311" i="3" s="1"/>
  <c r="AX311" i="3" s="1"/>
  <c r="BF142" i="3"/>
  <c r="BB142" i="3" s="1"/>
  <c r="AX142" i="3" s="1"/>
  <c r="AX196" i="3"/>
  <c r="AY196" i="3" s="1"/>
  <c r="AZ196" i="3" s="1"/>
  <c r="BA196" i="3" s="1"/>
  <c r="AX175" i="3"/>
  <c r="AY175" i="3" s="1"/>
  <c r="AZ175" i="3" s="1"/>
  <c r="BA175" i="3" s="1"/>
  <c r="AY148" i="3"/>
  <c r="AZ148" i="3" s="1"/>
  <c r="BA148" i="3" s="1"/>
  <c r="BF308" i="3"/>
  <c r="BB308" i="3" s="1"/>
  <c r="AX308" i="3" s="1"/>
  <c r="AY308" i="3" s="1"/>
  <c r="AZ308" i="3" s="1"/>
  <c r="BA308" i="3" s="1"/>
  <c r="AY304" i="3"/>
  <c r="AZ304" i="3" s="1"/>
  <c r="BA304" i="3" s="1"/>
  <c r="AO307" i="3"/>
  <c r="S307" i="3" s="1"/>
  <c r="AY49" i="3"/>
  <c r="AZ49" i="3" s="1"/>
  <c r="BA49" i="3" s="1"/>
  <c r="AY314" i="3"/>
  <c r="AZ314" i="3" s="1"/>
  <c r="BA314" i="3" s="1"/>
  <c r="AY318" i="3"/>
  <c r="AZ318" i="3" s="1"/>
  <c r="BA318" i="3" s="1"/>
  <c r="AY289" i="3"/>
  <c r="AZ289" i="3" s="1"/>
  <c r="BA289" i="3" s="1"/>
  <c r="AX223" i="3"/>
  <c r="AY223" i="3" s="1"/>
  <c r="AZ223" i="3" s="1"/>
  <c r="BA223" i="3" s="1"/>
  <c r="AO175" i="3"/>
  <c r="S175" i="3" s="1"/>
  <c r="AX181" i="3"/>
  <c r="AY181" i="3" s="1"/>
  <c r="AZ181" i="3" s="1"/>
  <c r="BA181" i="3" s="1"/>
  <c r="AX282" i="3"/>
  <c r="AY282" i="3" s="1"/>
  <c r="AZ282" i="3" s="1"/>
  <c r="BA282" i="3" s="1"/>
  <c r="AY171" i="3"/>
  <c r="AZ171" i="3" s="1"/>
  <c r="BA171" i="3" s="1"/>
  <c r="AY306" i="3"/>
  <c r="AZ306" i="3" s="1"/>
  <c r="BA306" i="3" s="1"/>
  <c r="AY152" i="3"/>
  <c r="AZ152" i="3" s="1"/>
  <c r="BA152" i="3" s="1"/>
  <c r="AY199" i="3"/>
  <c r="AZ199" i="3" s="1"/>
  <c r="BA199" i="3" s="1"/>
  <c r="AY274" i="3"/>
  <c r="AZ274" i="3" s="1"/>
  <c r="BA274" i="3" s="1"/>
  <c r="AY229" i="3"/>
  <c r="AZ229" i="3" s="1"/>
  <c r="BA229" i="3" s="1"/>
  <c r="AY321" i="3"/>
  <c r="AZ321" i="3" s="1"/>
  <c r="BA321" i="3" s="1"/>
  <c r="AY128" i="3"/>
  <c r="AZ128" i="3" s="1"/>
  <c r="BA128" i="3" s="1"/>
  <c r="AY224" i="3"/>
  <c r="AZ224" i="3" s="1"/>
  <c r="BA224" i="3" s="1"/>
  <c r="BF296" i="3"/>
  <c r="BB296" i="3" s="1"/>
  <c r="AX296" i="3" s="1"/>
  <c r="BF225" i="3"/>
  <c r="BB225" i="3" s="1"/>
  <c r="AX225" i="3" s="1"/>
  <c r="BF298" i="3"/>
  <c r="BB298" i="3" s="1"/>
  <c r="AX298" i="3" s="1"/>
  <c r="AX28" i="3"/>
  <c r="AY28" i="3" s="1"/>
  <c r="AZ28" i="3" s="1"/>
  <c r="BA28" i="3" s="1"/>
  <c r="AX150" i="3"/>
  <c r="AY150" i="3" s="1"/>
  <c r="AZ150" i="3" s="1"/>
  <c r="BA150" i="3" s="1"/>
  <c r="AX200" i="3"/>
  <c r="AY200" i="3" s="1"/>
  <c r="AZ200" i="3" s="1"/>
  <c r="BA200" i="3" s="1"/>
  <c r="BF312" i="3"/>
  <c r="BB312" i="3" s="1"/>
  <c r="AX312" i="3" s="1"/>
  <c r="AY312" i="3" s="1"/>
  <c r="AZ312" i="3" s="1"/>
  <c r="BA312" i="3" s="1"/>
  <c r="AO181" i="3"/>
  <c r="S181" i="3" s="1"/>
  <c r="AO228" i="3"/>
  <c r="S228" i="3" s="1"/>
  <c r="AX300" i="3"/>
  <c r="AY300" i="3" s="1"/>
  <c r="AZ300" i="3" s="1"/>
  <c r="BA300" i="3" s="1"/>
  <c r="AX168" i="3"/>
  <c r="AY168" i="3" s="1"/>
  <c r="AZ168" i="3" s="1"/>
  <c r="BA168" i="3" s="1"/>
  <c r="AX157" i="3"/>
  <c r="AY157" i="3" s="1"/>
  <c r="AZ157" i="3" s="1"/>
  <c r="BA157" i="3" s="1"/>
  <c r="AO256" i="3"/>
  <c r="S256" i="3" s="1"/>
  <c r="AX210" i="3"/>
  <c r="AY210" i="3" s="1"/>
  <c r="AZ210" i="3" s="1"/>
  <c r="BA210" i="3" s="1"/>
  <c r="AX305" i="3"/>
  <c r="AY305" i="3" s="1"/>
  <c r="AZ305" i="3" s="1"/>
  <c r="BA305" i="3" s="1"/>
  <c r="AO281" i="3"/>
  <c r="S281" i="3" s="1"/>
  <c r="AX323" i="3"/>
  <c r="AY323" i="3" s="1"/>
  <c r="AZ323" i="3" s="1"/>
  <c r="BA323" i="3" s="1"/>
  <c r="AX310" i="3"/>
  <c r="AY310" i="3" s="1"/>
  <c r="AZ310" i="3" s="1"/>
  <c r="BA310" i="3" s="1"/>
  <c r="AO217" i="3"/>
  <c r="S217" i="3" s="1"/>
  <c r="AO315" i="3"/>
  <c r="S315" i="3" s="1"/>
  <c r="BF322" i="3"/>
  <c r="BB322" i="3" s="1"/>
  <c r="AX322" i="3"/>
  <c r="AY322" i="3" s="1"/>
  <c r="AZ322" i="3" s="1"/>
  <c r="BA322" i="3" s="1"/>
  <c r="BF231" i="3"/>
  <c r="BB231" i="3" s="1"/>
  <c r="AX231" i="3" s="1"/>
  <c r="BF290" i="3"/>
  <c r="BB290" i="3" s="1"/>
  <c r="AX290" i="3" s="1"/>
  <c r="BF302" i="3"/>
  <c r="BB302" i="3" s="1"/>
  <c r="AX302" i="3" s="1"/>
  <c r="AY302" i="3" s="1"/>
  <c r="AZ302" i="3" s="1"/>
  <c r="BA302" i="3" s="1"/>
  <c r="AX218" i="3"/>
  <c r="AY218" i="3" s="1"/>
  <c r="AZ218" i="3" s="1"/>
  <c r="BA218" i="3" s="1"/>
  <c r="G135" i="3"/>
  <c r="AY352" i="3"/>
  <c r="AO156" i="3" l="1"/>
  <c r="S156" i="3" s="1"/>
  <c r="AO196" i="3"/>
  <c r="S196" i="3" s="1"/>
  <c r="AO229" i="3"/>
  <c r="S229" i="3" s="1"/>
  <c r="AY172" i="3"/>
  <c r="AZ172" i="3" s="1"/>
  <c r="BA172" i="3" s="1"/>
  <c r="AY257" i="3"/>
  <c r="AZ257" i="3" s="1"/>
  <c r="BA257" i="3" s="1"/>
  <c r="AO306" i="3"/>
  <c r="S306" i="3" s="1"/>
  <c r="AY296" i="3"/>
  <c r="AZ296" i="3" s="1"/>
  <c r="BA296" i="3" s="1"/>
  <c r="AY286" i="3"/>
  <c r="AZ286" i="3" s="1"/>
  <c r="BA286" i="3" s="1"/>
  <c r="AO128" i="3"/>
  <c r="S128" i="3" s="1"/>
  <c r="AO289" i="3"/>
  <c r="S289" i="3" s="1"/>
  <c r="AO49" i="3"/>
  <c r="S49" i="3" s="1"/>
  <c r="AO304" i="3"/>
  <c r="S304" i="3" s="1"/>
  <c r="AO300" i="3"/>
  <c r="S300" i="3" s="1"/>
  <c r="AO152" i="3"/>
  <c r="S152" i="3" s="1"/>
  <c r="AO171" i="3"/>
  <c r="S171" i="3" s="1"/>
  <c r="AO224" i="3"/>
  <c r="S224" i="3" s="1"/>
  <c r="AO321" i="3"/>
  <c r="S321" i="3" s="1"/>
  <c r="AO274" i="3"/>
  <c r="S274" i="3" s="1"/>
  <c r="AY290" i="3"/>
  <c r="AZ290" i="3" s="1"/>
  <c r="BA290" i="3" s="1"/>
  <c r="AY311" i="3"/>
  <c r="AZ311" i="3" s="1"/>
  <c r="BA311" i="3" s="1"/>
  <c r="AY324" i="3"/>
  <c r="AZ324" i="3" s="1"/>
  <c r="BA324" i="3" s="1"/>
  <c r="AY298" i="3"/>
  <c r="AZ298" i="3" s="1"/>
  <c r="BA298" i="3" s="1"/>
  <c r="AO298" i="3" s="1"/>
  <c r="S298" i="3" s="1"/>
  <c r="AY231" i="3"/>
  <c r="AZ231" i="3" s="1"/>
  <c r="BA231" i="3" s="1"/>
  <c r="AY225" i="3"/>
  <c r="AZ225" i="3" s="1"/>
  <c r="BA225" i="3" s="1"/>
  <c r="AO225" i="3" s="1"/>
  <c r="S225" i="3" s="1"/>
  <c r="AY142" i="3"/>
  <c r="AZ142" i="3" s="1"/>
  <c r="BA142" i="3" s="1"/>
  <c r="P38" i="9"/>
  <c r="AO305" i="3"/>
  <c r="S305" i="3" s="1"/>
  <c r="AO323" i="3"/>
  <c r="S323" i="3" s="1"/>
  <c r="AO210" i="3"/>
  <c r="S210" i="3" s="1"/>
  <c r="AO168" i="3"/>
  <c r="S168" i="3" s="1"/>
  <c r="AO282" i="3"/>
  <c r="S282" i="3" s="1"/>
  <c r="AO312" i="3"/>
  <c r="S312" i="3" s="1"/>
  <c r="AO200" i="3"/>
  <c r="S200" i="3" s="1"/>
  <c r="AO199" i="3"/>
  <c r="S199" i="3" s="1"/>
  <c r="AO314" i="3"/>
  <c r="S314" i="3" s="1"/>
  <c r="AO284" i="3"/>
  <c r="S284" i="3" s="1"/>
  <c r="AO149" i="3"/>
  <c r="S149" i="3" s="1"/>
  <c r="AO161" i="3"/>
  <c r="S161" i="3" s="1"/>
  <c r="H135" i="3"/>
  <c r="P39" i="9" s="1"/>
  <c r="U39" i="9" s="1"/>
  <c r="AZ352" i="3"/>
  <c r="BA352" i="3" s="1"/>
  <c r="AO157" i="3"/>
  <c r="S157" i="3" s="1"/>
  <c r="AO218" i="3"/>
  <c r="S218" i="3" s="1"/>
  <c r="AO302" i="3"/>
  <c r="S302" i="3" s="1"/>
  <c r="AO322" i="3"/>
  <c r="S322" i="3" s="1"/>
  <c r="AO150" i="3"/>
  <c r="S150" i="3" s="1"/>
  <c r="AO223" i="3"/>
  <c r="S223" i="3" s="1"/>
  <c r="AO318" i="3"/>
  <c r="S318" i="3" s="1"/>
  <c r="AO308" i="3"/>
  <c r="S308" i="3" s="1"/>
  <c r="AO148" i="3"/>
  <c r="S148" i="3" s="1"/>
  <c r="AO310" i="3"/>
  <c r="S310" i="3" s="1"/>
  <c r="AO205" i="3"/>
  <c r="S205" i="3" s="1"/>
  <c r="AO257" i="3" l="1"/>
  <c r="S257" i="3" s="1"/>
  <c r="AO172" i="3"/>
  <c r="S172" i="3" s="1"/>
  <c r="AO286" i="3"/>
  <c r="S286" i="3" s="1"/>
  <c r="I135" i="3"/>
  <c r="P40" i="9" s="1"/>
  <c r="U40" i="9" s="1"/>
  <c r="T40" i="9" s="1"/>
  <c r="S42" i="9" s="1"/>
  <c r="AO296" i="3"/>
  <c r="S296" i="3" s="1"/>
  <c r="U38" i="9"/>
  <c r="T38" i="9" s="1"/>
  <c r="S40" i="9" s="1"/>
  <c r="W42" i="9" s="1"/>
  <c r="J135" i="3"/>
  <c r="P41" i="9" s="1"/>
  <c r="U41" i="9" s="1"/>
  <c r="AO311" i="3"/>
  <c r="S311" i="3" s="1"/>
  <c r="AO142" i="3"/>
  <c r="S142" i="3" s="1"/>
  <c r="AO231" i="3"/>
  <c r="S231" i="3" s="1"/>
  <c r="AO324" i="3"/>
  <c r="S324" i="3" s="1"/>
  <c r="AO290" i="3"/>
  <c r="S290" i="3" s="1"/>
  <c r="T39" i="9" l="1"/>
  <c r="S41" i="9" s="1"/>
  <c r="W43" i="9" s="1"/>
  <c r="T41" i="9"/>
  <c r="S43" i="9" s="1"/>
  <c r="W45" i="9" s="1"/>
  <c r="T42" i="9"/>
  <c r="S44" i="9" s="1"/>
  <c r="F128" i="3"/>
  <c r="W44" i="9"/>
  <c r="AO165" i="3" l="1"/>
  <c r="S165" i="3" s="1"/>
  <c r="G128" i="3"/>
  <c r="H128" i="3" s="1"/>
  <c r="I128" i="3" s="1"/>
  <c r="J128" i="3" s="1"/>
  <c r="K128" i="3" s="1"/>
  <c r="L128" i="3" s="1"/>
  <c r="M128" i="3" s="1"/>
  <c r="AD71" i="3" a="1"/>
  <c r="AD71" i="3" s="1"/>
  <c r="G71" i="3" s="1" a="1"/>
  <c r="G71" i="3" s="1"/>
  <c r="H71" i="10" a="1"/>
  <c r="H71" i="10" s="1"/>
  <c r="H72" i="10" s="1"/>
  <c r="X293" i="10" s="1"/>
  <c r="W46" i="9"/>
  <c r="M120" i="10" s="1" a="1"/>
  <c r="M120" i="10" s="1"/>
  <c r="M123" i="10" s="1"/>
  <c r="AC273" i="10" s="1"/>
  <c r="W47" i="9"/>
  <c r="H120" i="10" a="1"/>
  <c r="H120" i="10" s="1"/>
  <c r="H123" i="10" s="1"/>
  <c r="X273" i="10" s="1"/>
  <c r="AI70" i="3" a="1"/>
  <c r="AI70" i="3" s="1"/>
  <c r="L70" i="3" s="1" a="1"/>
  <c r="L70" i="3" s="1"/>
  <c r="AI118" i="3" a="1"/>
  <c r="AI118" i="3" s="1"/>
  <c r="L118" i="3" s="1" a="1"/>
  <c r="L118" i="3" s="1"/>
  <c r="AF118" i="3" a="1"/>
  <c r="AF118" i="3" s="1"/>
  <c r="I118" i="3" s="1" a="1"/>
  <c r="I118" i="3" s="1"/>
  <c r="L118" i="10" a="1"/>
  <c r="L118" i="10" s="1"/>
  <c r="L121" i="10" s="1"/>
  <c r="AB61" i="10" s="1"/>
  <c r="E70" i="3" a="1"/>
  <c r="E70" i="3" s="1"/>
  <c r="AG70" i="3" a="1"/>
  <c r="AG70" i="3" s="1"/>
  <c r="J70" i="3" s="1" a="1"/>
  <c r="J70" i="3" s="1"/>
  <c r="F119" i="10" a="1"/>
  <c r="F119" i="10" s="1"/>
  <c r="F122" i="10" s="1"/>
  <c r="V272" i="10" s="1"/>
  <c r="J71" i="10" a="1"/>
  <c r="J71" i="10" s="1"/>
  <c r="J72" i="10" s="1"/>
  <c r="O120" i="10" a="1"/>
  <c r="O120" i="10" s="1"/>
  <c r="O123" i="10" s="1"/>
  <c r="AE273" i="10" s="1"/>
  <c r="M70" i="10" a="1"/>
  <c r="M70" i="10" s="1"/>
  <c r="AG119" i="3" a="1"/>
  <c r="AG119" i="3" s="1"/>
  <c r="J119" i="3" s="1" a="1"/>
  <c r="J119" i="3" s="1"/>
  <c r="AG118" i="3" a="1"/>
  <c r="AG118" i="3" s="1"/>
  <c r="J118" i="3" s="1" a="1"/>
  <c r="J118" i="3" s="1"/>
  <c r="AD119" i="3" a="1"/>
  <c r="AD119" i="3" s="1"/>
  <c r="G119" i="3" s="1" a="1"/>
  <c r="G119" i="3" s="1"/>
  <c r="J118" i="10" a="1"/>
  <c r="J118" i="10" s="1"/>
  <c r="J121" i="10" s="1"/>
  <c r="Z61" i="10" s="1"/>
  <c r="Q71" i="10" a="1"/>
  <c r="Q71" i="10" s="1"/>
  <c r="Q72" i="10" s="1"/>
  <c r="I71" i="10" a="1"/>
  <c r="I71" i="10" s="1"/>
  <c r="I72" i="10" s="1"/>
  <c r="M71" i="10" a="1"/>
  <c r="M71" i="10" s="1"/>
  <c r="M72" i="10" s="1"/>
  <c r="K119" i="10" a="1"/>
  <c r="K119" i="10" s="1"/>
  <c r="K122" i="10" s="1"/>
  <c r="AA272" i="10" s="1"/>
  <c r="D70" i="3" a="1"/>
  <c r="D70" i="3" s="1"/>
  <c r="AF120" i="3" a="1"/>
  <c r="AF120" i="3" s="1"/>
  <c r="I120" i="3" s="1" a="1"/>
  <c r="I120" i="3" s="1"/>
  <c r="AK120" i="3" a="1"/>
  <c r="AK120" i="3" s="1"/>
  <c r="N120" i="3" s="1" a="1"/>
  <c r="N120" i="3" s="1"/>
  <c r="L119" i="10" a="1"/>
  <c r="L119" i="10" s="1"/>
  <c r="L122" i="10" s="1"/>
  <c r="AB272" i="10" s="1"/>
  <c r="AK70" i="3" a="1"/>
  <c r="AK70" i="3" s="1"/>
  <c r="N70" i="3" s="1" a="1"/>
  <c r="N70" i="3" s="1"/>
  <c r="Q70" i="10" a="1"/>
  <c r="Q70" i="10" s="1"/>
  <c r="P119" i="10" a="1"/>
  <c r="P119" i="10" s="1"/>
  <c r="P122" i="10" s="1"/>
  <c r="AF272" i="10" s="1"/>
  <c r="G118" i="10" a="1"/>
  <c r="G118" i="10" s="1"/>
  <c r="G121" i="10" s="1"/>
  <c r="W61" i="10" s="1"/>
  <c r="I119" i="10" a="1"/>
  <c r="I119" i="10" s="1"/>
  <c r="I122" i="10" s="1"/>
  <c r="Y272" i="10" s="1"/>
  <c r="O118" i="10" a="1"/>
  <c r="O118" i="10" s="1"/>
  <c r="O121" i="10" s="1"/>
  <c r="AE61" i="10" s="1"/>
  <c r="F119" i="3" a="1"/>
  <c r="F119" i="3" s="1"/>
  <c r="AO272" i="3" s="1"/>
  <c r="S272" i="3" s="1"/>
  <c r="AK118" i="3" a="1"/>
  <c r="AK118" i="3" s="1"/>
  <c r="N118" i="3" s="1" a="1"/>
  <c r="N118" i="3" s="1"/>
  <c r="P70" i="10" a="1"/>
  <c r="P70" i="10" s="1"/>
  <c r="N120" i="10" a="1"/>
  <c r="N120" i="10" s="1"/>
  <c r="N123" i="10" s="1"/>
  <c r="AD273" i="10" s="1"/>
  <c r="O71" i="10" a="1"/>
  <c r="O71" i="10" s="1"/>
  <c r="O72" i="10" s="1"/>
  <c r="P118" i="10" a="1"/>
  <c r="P118" i="10" s="1"/>
  <c r="P121" i="10" s="1"/>
  <c r="AF61" i="10" s="1"/>
  <c r="E118" i="10" a="1"/>
  <c r="E118" i="10" s="1"/>
  <c r="E121" i="10" s="1"/>
  <c r="AE118" i="3" a="1"/>
  <c r="AE118" i="3" s="1"/>
  <c r="H118" i="3" s="1" a="1"/>
  <c r="H118" i="3" s="1"/>
  <c r="E118" i="3" a="1"/>
  <c r="E118" i="3" s="1"/>
  <c r="G71" i="10" a="1"/>
  <c r="G71" i="10" s="1"/>
  <c r="G72" i="10" s="1"/>
  <c r="W293" i="10" s="1"/>
  <c r="K71" i="10" a="1"/>
  <c r="K71" i="10" s="1"/>
  <c r="K72" i="10" s="1"/>
  <c r="D120" i="3" a="1"/>
  <c r="D120" i="3" s="1"/>
  <c r="AH119" i="3" a="1"/>
  <c r="AH119" i="3" s="1"/>
  <c r="K119" i="3" s="1" a="1"/>
  <c r="K119" i="3" s="1"/>
  <c r="AH71" i="3" a="1"/>
  <c r="AH71" i="3" s="1"/>
  <c r="K71" i="3" s="1" a="1"/>
  <c r="K71" i="3" s="1"/>
  <c r="F71" i="10" a="1"/>
  <c r="F71" i="10" s="1"/>
  <c r="F72" i="10" s="1"/>
  <c r="V293" i="10" s="1"/>
  <c r="M118" i="10" a="1"/>
  <c r="M118" i="10" s="1"/>
  <c r="M121" i="10" s="1"/>
  <c r="AC61" i="10" s="1"/>
  <c r="F70" i="3" a="1"/>
  <c r="F70" i="3" s="1"/>
  <c r="AD70" i="3" a="1"/>
  <c r="AD70" i="3" s="1"/>
  <c r="G70" i="3" s="1" a="1"/>
  <c r="G70" i="3" s="1"/>
  <c r="K118" i="10" a="1"/>
  <c r="K118" i="10" s="1"/>
  <c r="K121" i="10" s="1"/>
  <c r="AA61" i="10" s="1"/>
  <c r="F71" i="3" a="1"/>
  <c r="F71" i="3" s="1"/>
  <c r="AO293" i="3" s="1"/>
  <c r="S293" i="3" s="1"/>
  <c r="N118" i="10" a="1"/>
  <c r="N118" i="10" s="1"/>
  <c r="N121" i="10" s="1"/>
  <c r="AD61" i="10" s="1"/>
  <c r="D118" i="3" a="1"/>
  <c r="D118" i="3" s="1"/>
  <c r="AK71" i="3" a="1"/>
  <c r="AK71" i="3" s="1"/>
  <c r="N71" i="3" s="1" a="1"/>
  <c r="N71" i="3" s="1"/>
  <c r="AH118" i="3" a="1"/>
  <c r="AH118" i="3" s="1"/>
  <c r="K118" i="3" s="1" a="1"/>
  <c r="K118" i="3" s="1"/>
  <c r="H70" i="10" a="1"/>
  <c r="H70" i="10" s="1"/>
  <c r="G70" i="10" a="1"/>
  <c r="G70" i="10" s="1"/>
  <c r="F70" i="10" a="1"/>
  <c r="F70" i="10" s="1"/>
  <c r="AJ71" i="3" a="1"/>
  <c r="AJ71" i="3" s="1"/>
  <c r="M71" i="3" s="1" a="1"/>
  <c r="M71" i="3" s="1"/>
  <c r="AH120" i="3" a="1"/>
  <c r="AH120" i="3" s="1"/>
  <c r="K120" i="3" s="1" a="1"/>
  <c r="K120" i="3" s="1"/>
  <c r="H119" i="10" a="1"/>
  <c r="H119" i="10" s="1"/>
  <c r="H122" i="10" s="1"/>
  <c r="X272" i="10" s="1"/>
  <c r="E120" i="3" a="1"/>
  <c r="E120" i="3" s="1"/>
  <c r="E119" i="3" a="1"/>
  <c r="E119" i="3" s="1"/>
  <c r="L120" i="10" a="1"/>
  <c r="L120" i="10" s="1"/>
  <c r="L123" i="10" s="1"/>
  <c r="AB273" i="10" s="1"/>
  <c r="N71" i="10" a="1"/>
  <c r="N71" i="10" s="1"/>
  <c r="N72" i="10" s="1"/>
  <c r="E70" i="10" a="1"/>
  <c r="E70" i="10" s="1"/>
  <c r="AL120" i="3" a="1"/>
  <c r="AL120" i="3" s="1"/>
  <c r="O120" i="3" s="1" a="1"/>
  <c r="O120" i="3" s="1"/>
  <c r="Q119" i="10" a="1"/>
  <c r="Q119" i="10" s="1"/>
  <c r="Q122" i="10" s="1"/>
  <c r="AG272" i="10" s="1"/>
  <c r="H118" i="10" a="1"/>
  <c r="H118" i="10" s="1"/>
  <c r="H121" i="10" s="1"/>
  <c r="X61" i="10" s="1"/>
  <c r="J119" i="10" a="1"/>
  <c r="J119" i="10" s="1"/>
  <c r="J122" i="10" s="1"/>
  <c r="Z272" i="10" s="1"/>
  <c r="AJ118" i="3" a="1"/>
  <c r="AJ118" i="3" s="1"/>
  <c r="M118" i="3" s="1" a="1"/>
  <c r="M118" i="3" s="1"/>
  <c r="Q132" i="10" l="1"/>
  <c r="AG193" i="10"/>
  <c r="N119" i="10" a="1"/>
  <c r="N119" i="10" s="1"/>
  <c r="N122" i="10" s="1"/>
  <c r="AD272" i="10" s="1"/>
  <c r="G120" i="10" a="1"/>
  <c r="G120" i="10" s="1"/>
  <c r="G123" i="10" s="1"/>
  <c r="W273" i="10" s="1"/>
  <c r="AI71" i="3" a="1"/>
  <c r="AI71" i="3" s="1"/>
  <c r="L71" i="3" s="1" a="1"/>
  <c r="L71" i="3" s="1"/>
  <c r="AL70" i="3" a="1"/>
  <c r="AL70" i="3" s="1"/>
  <c r="O70" i="3" s="1" a="1"/>
  <c r="O70" i="3" s="1"/>
  <c r="AB193" i="3" s="1"/>
  <c r="AB293" i="3" s="1"/>
  <c r="AF71" i="3" a="1"/>
  <c r="AF71" i="3" s="1"/>
  <c r="I71" i="3" s="1" a="1"/>
  <c r="I71" i="3" s="1"/>
  <c r="M119" i="10" a="1"/>
  <c r="M119" i="10" s="1"/>
  <c r="M122" i="10" s="1"/>
  <c r="AC272" i="10" s="1"/>
  <c r="AJ120" i="3" a="1"/>
  <c r="AJ120" i="3" s="1"/>
  <c r="M120" i="3" s="1" a="1"/>
  <c r="M120" i="3" s="1"/>
  <c r="AE71" i="3" a="1"/>
  <c r="AE71" i="3" s="1"/>
  <c r="H71" i="3" s="1" a="1"/>
  <c r="H71" i="3" s="1"/>
  <c r="AF70" i="3" a="1"/>
  <c r="AF70" i="3" s="1"/>
  <c r="I70" i="3" s="1" a="1"/>
  <c r="I70" i="3" s="1"/>
  <c r="F120" i="3" a="1"/>
  <c r="F120" i="3" s="1"/>
  <c r="AO273" i="3" s="1"/>
  <c r="S273" i="3" s="1"/>
  <c r="D119" i="3" a="1"/>
  <c r="D119" i="3" s="1"/>
  <c r="Q120" i="10" a="1"/>
  <c r="Q120" i="10" s="1"/>
  <c r="Q123" i="10" s="1"/>
  <c r="AG273" i="10" s="1"/>
  <c r="V193" i="10"/>
  <c r="F132" i="10"/>
  <c r="AF193" i="10"/>
  <c r="AA193" i="3"/>
  <c r="AA293" i="3" s="1"/>
  <c r="AG293" i="10"/>
  <c r="Y193" i="3"/>
  <c r="Y293" i="3" s="1"/>
  <c r="AJ119" i="3" a="1"/>
  <c r="AJ119" i="3" s="1"/>
  <c r="M119" i="3" s="1" a="1"/>
  <c r="M119" i="3" s="1"/>
  <c r="AL71" i="3" a="1"/>
  <c r="AL71" i="3" s="1"/>
  <c r="O71" i="3" s="1" a="1"/>
  <c r="O71" i="3" s="1"/>
  <c r="AD120" i="3" a="1"/>
  <c r="AD120" i="3" s="1"/>
  <c r="G120" i="3" s="1" a="1"/>
  <c r="G120" i="3" s="1"/>
  <c r="AL118" i="3" a="1"/>
  <c r="AL118" i="3" s="1"/>
  <c r="O118" i="3" s="1" a="1"/>
  <c r="O118" i="3" s="1"/>
  <c r="AH70" i="3" a="1"/>
  <c r="AH70" i="3" s="1"/>
  <c r="K70" i="3" s="1" a="1"/>
  <c r="K70" i="3" s="1"/>
  <c r="D71" i="3" a="1"/>
  <c r="D71" i="3" s="1"/>
  <c r="I120" i="10" a="1"/>
  <c r="I120" i="10" s="1"/>
  <c r="I123" i="10" s="1"/>
  <c r="Y273" i="10" s="1"/>
  <c r="AI120" i="3" a="1"/>
  <c r="AI120" i="3" s="1"/>
  <c r="L120" i="3" s="1" a="1"/>
  <c r="L120" i="3" s="1"/>
  <c r="J70" i="10" a="1"/>
  <c r="J70" i="10" s="1"/>
  <c r="AE119" i="3" a="1"/>
  <c r="AE119" i="3" s="1"/>
  <c r="H119" i="3" s="1" a="1"/>
  <c r="H119" i="3" s="1"/>
  <c r="J120" i="10" a="1"/>
  <c r="J120" i="10" s="1"/>
  <c r="J123" i="10" s="1"/>
  <c r="Z273" i="10" s="1"/>
  <c r="G119" i="10" a="1"/>
  <c r="G119" i="10" s="1"/>
  <c r="G122" i="10" s="1"/>
  <c r="W272" i="10" s="1"/>
  <c r="I70" i="10" a="1"/>
  <c r="I70" i="10" s="1"/>
  <c r="W193" i="10"/>
  <c r="G132" i="10"/>
  <c r="G144" i="3"/>
  <c r="T193" i="3"/>
  <c r="T293" i="3" s="1"/>
  <c r="AC193" i="10"/>
  <c r="J144" i="3"/>
  <c r="W193" i="3"/>
  <c r="W293" i="3" s="1"/>
  <c r="L71" i="10" a="1"/>
  <c r="L71" i="10" s="1"/>
  <c r="L72" i="10" s="1"/>
  <c r="E120" i="10" a="1"/>
  <c r="E120" i="10" s="1"/>
  <c r="E123" i="10" s="1"/>
  <c r="F120" i="10" a="1"/>
  <c r="F120" i="10" s="1"/>
  <c r="F123" i="10" s="1"/>
  <c r="V273" i="10" s="1"/>
  <c r="AF119" i="3" a="1"/>
  <c r="AF119" i="3" s="1"/>
  <c r="I119" i="3" s="1" a="1"/>
  <c r="I119" i="3" s="1"/>
  <c r="AJ70" i="3" a="1"/>
  <c r="AJ70" i="3" s="1"/>
  <c r="M70" i="3" s="1" a="1"/>
  <c r="M70" i="3" s="1"/>
  <c r="N144" i="3" s="1"/>
  <c r="E71" i="3" a="1"/>
  <c r="E71" i="3" s="1"/>
  <c r="AE70" i="3" a="1"/>
  <c r="AE70" i="3" s="1"/>
  <c r="H70" i="3" s="1" a="1"/>
  <c r="H70" i="3" s="1"/>
  <c r="AE120" i="3" a="1"/>
  <c r="AE120" i="3" s="1"/>
  <c r="H120" i="3" s="1" a="1"/>
  <c r="H120" i="3" s="1"/>
  <c r="F118" i="10" a="1"/>
  <c r="F118" i="10" s="1"/>
  <c r="F121" i="10" s="1"/>
  <c r="V61" i="10" s="1"/>
  <c r="AL119" i="3" a="1"/>
  <c r="AL119" i="3" s="1"/>
  <c r="O119" i="3" s="1" a="1"/>
  <c r="O119" i="3" s="1"/>
  <c r="K120" i="10" a="1"/>
  <c r="K120" i="10" s="1"/>
  <c r="K123" i="10" s="1"/>
  <c r="AA273" i="10" s="1"/>
  <c r="AC293" i="10" s="1"/>
  <c r="AG120" i="3" a="1"/>
  <c r="AG120" i="3" s="1"/>
  <c r="J120" i="3" s="1" a="1"/>
  <c r="J120" i="3" s="1"/>
  <c r="K70" i="10" a="1"/>
  <c r="K70" i="10" s="1"/>
  <c r="X193" i="10"/>
  <c r="H132" i="10"/>
  <c r="G143" i="3"/>
  <c r="AO193" i="3"/>
  <c r="S193" i="3" s="1"/>
  <c r="AD118" i="3" a="1"/>
  <c r="AD118" i="3" s="1"/>
  <c r="G118" i="3" s="1" a="1"/>
  <c r="G118" i="3" s="1"/>
  <c r="I118" i="10" a="1"/>
  <c r="I118" i="10" s="1"/>
  <c r="I121" i="10" s="1"/>
  <c r="Y61" i="10" s="1"/>
  <c r="O119" i="10" a="1"/>
  <c r="O119" i="10" s="1"/>
  <c r="O122" i="10" s="1"/>
  <c r="AE272" i="10" s="1"/>
  <c r="P71" i="10" a="1"/>
  <c r="P71" i="10" s="1"/>
  <c r="P72" i="10" s="1"/>
  <c r="AF293" i="10" s="1"/>
  <c r="AI119" i="3" a="1"/>
  <c r="AI119" i="3" s="1"/>
  <c r="L119" i="3" s="1" a="1"/>
  <c r="L119" i="3" s="1"/>
  <c r="O70" i="10" a="1"/>
  <c r="O70" i="10" s="1"/>
  <c r="P120" i="10" a="1"/>
  <c r="P120" i="10" s="1"/>
  <c r="P123" i="10" s="1"/>
  <c r="AF273" i="10" s="1"/>
  <c r="F118" i="3" a="1"/>
  <c r="F118" i="3" s="1"/>
  <c r="AO61" i="3" s="1"/>
  <c r="S61" i="3" s="1"/>
  <c r="AK119" i="3" a="1"/>
  <c r="AK119" i="3" s="1"/>
  <c r="N119" i="3" s="1" a="1"/>
  <c r="N119" i="3" s="1"/>
  <c r="E71" i="10" a="1"/>
  <c r="E71" i="10" s="1"/>
  <c r="E72" i="10" s="1"/>
  <c r="N70" i="10" a="1"/>
  <c r="N70" i="10" s="1"/>
  <c r="E119" i="10" a="1"/>
  <c r="E119" i="10" s="1"/>
  <c r="E122" i="10" s="1"/>
  <c r="L70" i="10" a="1"/>
  <c r="L70" i="10" s="1"/>
  <c r="AG71" i="3" a="1"/>
  <c r="AG71" i="3" s="1"/>
  <c r="J71" i="3" s="1" a="1"/>
  <c r="J71" i="3" s="1"/>
  <c r="Q118" i="10" a="1"/>
  <c r="Q118" i="10" s="1"/>
  <c r="Q121" i="10" s="1"/>
  <c r="AG61" i="10" s="1"/>
  <c r="Z164" i="3" l="1"/>
  <c r="Z165" i="3"/>
  <c r="Z163" i="3"/>
  <c r="Z162" i="3"/>
  <c r="H144" i="3"/>
  <c r="U193" i="3"/>
  <c r="U293" i="3" s="1"/>
  <c r="V163" i="3"/>
  <c r="V164" i="3"/>
  <c r="V165" i="3"/>
  <c r="V162" i="3"/>
  <c r="G127" i="3"/>
  <c r="G126" i="3"/>
  <c r="G125" i="3"/>
  <c r="H125" i="3" s="1"/>
  <c r="I132" i="10"/>
  <c r="Y193" i="10"/>
  <c r="Y293" i="10" s="1"/>
  <c r="Z193" i="10"/>
  <c r="Z293" i="10" s="1"/>
  <c r="J132" i="10"/>
  <c r="K144" i="3"/>
  <c r="X193" i="3"/>
  <c r="X293" i="3" s="1"/>
  <c r="AB193" i="10"/>
  <c r="AB293" i="10" s="1"/>
  <c r="L132" i="10"/>
  <c r="N132" i="10"/>
  <c r="AD193" i="10"/>
  <c r="AD293" i="10" s="1"/>
  <c r="L144" i="3"/>
  <c r="AE193" i="10"/>
  <c r="AE293" i="10" s="1"/>
  <c r="O132" i="10"/>
  <c r="K132" i="10"/>
  <c r="AA193" i="10"/>
  <c r="AA293" i="10" s="1"/>
  <c r="M144" i="3"/>
  <c r="Z193" i="3"/>
  <c r="Z293" i="3" s="1"/>
  <c r="M132" i="10"/>
  <c r="P132" i="10"/>
  <c r="I144" i="3"/>
  <c r="V193" i="3"/>
  <c r="V293" i="3" s="1"/>
  <c r="H126" i="3" l="1"/>
  <c r="H127" i="3"/>
  <c r="X164" i="3"/>
  <c r="X165" i="3"/>
  <c r="X162" i="3"/>
  <c r="X163" i="3"/>
  <c r="I126" i="3"/>
  <c r="J126" i="3" s="1"/>
  <c r="K126" i="3" s="1"/>
  <c r="L126" i="3" s="1"/>
  <c r="M126" i="3" s="1"/>
  <c r="I127" i="3"/>
  <c r="J127" i="3" s="1"/>
  <c r="K127" i="3" s="1"/>
  <c r="L127" i="3" s="1"/>
  <c r="M127" i="3" s="1"/>
  <c r="W162" i="3"/>
  <c r="W165" i="3"/>
  <c r="W163" i="3"/>
  <c r="W164" i="3"/>
  <c r="U165" i="3"/>
  <c r="U163" i="3"/>
  <c r="U164" i="3"/>
  <c r="U162" i="3"/>
  <c r="Y162" i="3"/>
  <c r="Y163" i="3"/>
  <c r="Y164" i="3"/>
  <c r="Y165" i="3"/>
  <c r="I125" i="3"/>
  <c r="J125" i="3" s="1"/>
  <c r="K125" i="3" s="1"/>
  <c r="L125" i="3" s="1"/>
  <c r="M125" i="3" s="1"/>
  <c r="T164" i="3"/>
  <c r="T165" i="3"/>
  <c r="T162" i="3"/>
  <c r="T16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ONS</author>
  </authors>
  <commentList>
    <comment ref="AL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ONS:</t>
        </r>
        <r>
          <rPr>
            <sz val="8"/>
            <color indexed="81"/>
            <rFont val="Tahoma"/>
            <family val="2"/>
          </rPr>
          <t xml:space="preserve">
Menos Limoeiro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A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Operador Nacional do Sistema Elétrico: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CONSULTA DO SADHI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P:\RISCO\IPDO\Consulta de Vazoes.odc" name="Consulta de Vazoes" type="1" refreshedVersion="6" savePassword="1" saveData="1">
    <dbPr connection="DRIVER=SQL Server;SERVER=AETHERSPRITE;UID=consulta;PWD=;APP=Microsoft Office 2010;WSID=CPSDEV16;DATABASE=IPDO" command="SELECT [Data], [Posto], [qnat], [qinc], [fonte] FROM [IPDO].[dbo].[CONSULTA_VAZAO] WHERE ([Data] BETWEEN ? AND ? )  ORDER BY [Data]"/>
    <parameters count="2">
      <parameter name="DataInicial" parameterType="cell" refreshOnChange="1" cell="Aux!$A$22"/>
      <parameter name="DataFinal" parameterType="cell" refreshOnChange="1" cell="Aux!$B$22"/>
    </parameters>
  </connection>
</connections>
</file>

<file path=xl/sharedStrings.xml><?xml version="1.0" encoding="utf-8"?>
<sst xmlns="http://schemas.openxmlformats.org/spreadsheetml/2006/main" count="629" uniqueCount="228">
  <si>
    <t>Itutinga</t>
  </si>
  <si>
    <t>Código BDT</t>
  </si>
  <si>
    <t>TV</t>
  </si>
  <si>
    <t>-</t>
  </si>
  <si>
    <t>FATORES</t>
  </si>
  <si>
    <t>- Limoeiro</t>
  </si>
  <si>
    <t>VNA</t>
  </si>
  <si>
    <t>VNI</t>
  </si>
  <si>
    <t>FLU</t>
  </si>
  <si>
    <t>VNS</t>
  </si>
  <si>
    <t>VNI_parcela</t>
  </si>
  <si>
    <t>VNI_Total</t>
  </si>
  <si>
    <t>VNI_Parcial</t>
  </si>
  <si>
    <t>VNI_Parcial'</t>
  </si>
  <si>
    <t>Marimbondo</t>
  </si>
  <si>
    <t>Água Vermelha</t>
  </si>
  <si>
    <t>AGUAVERMELHA</t>
  </si>
  <si>
    <t>CAMARGOS</t>
  </si>
  <si>
    <t>EUCLIDESDACUNHA</t>
  </si>
  <si>
    <t>FUNIL</t>
  </si>
  <si>
    <t>FURNAS</t>
  </si>
  <si>
    <t>MARIMBONDO</t>
  </si>
  <si>
    <t>PARAGUACU</t>
  </si>
  <si>
    <t>PASSAGEM</t>
  </si>
  <si>
    <t>PORTOCOLOMBIA</t>
  </si>
  <si>
    <t>CORUMBAI</t>
  </si>
  <si>
    <t>CORUMBAIV</t>
  </si>
  <si>
    <t>EMBORCACAO</t>
  </si>
  <si>
    <t>ITUMBIARA</t>
  </si>
  <si>
    <t>NOVAPONTE</t>
  </si>
  <si>
    <t>SERRADOFACAO</t>
  </si>
  <si>
    <t>CANOASI</t>
  </si>
  <si>
    <t>CAPIVARA</t>
  </si>
  <si>
    <t>CHAVANTES</t>
  </si>
  <si>
    <t>JURUMIRIM</t>
  </si>
  <si>
    <t>ROSANA</t>
  </si>
  <si>
    <t>Camargos</t>
  </si>
  <si>
    <t>Funil</t>
  </si>
  <si>
    <t>Furnas</t>
  </si>
  <si>
    <t>Capão Escuro</t>
  </si>
  <si>
    <t>ITUTINGA</t>
  </si>
  <si>
    <t>M. MORAES</t>
  </si>
  <si>
    <t>L. C. BARRETO</t>
  </si>
  <si>
    <t>JAGUARA</t>
  </si>
  <si>
    <t>IGARAPAVA</t>
  </si>
  <si>
    <t>VOLTA GRANDE</t>
  </si>
  <si>
    <t>CACONDE</t>
  </si>
  <si>
    <t>LIMOEIRO</t>
  </si>
  <si>
    <t>ITA</t>
  </si>
  <si>
    <t>Corumbá III</t>
  </si>
  <si>
    <t>Batalha</t>
  </si>
  <si>
    <t>Miranda</t>
  </si>
  <si>
    <t>C. Branco 1</t>
  </si>
  <si>
    <t>C. Branco 2</t>
  </si>
  <si>
    <t>COCORU</t>
  </si>
  <si>
    <t>PNUHSF</t>
  </si>
  <si>
    <t>PRITUM</t>
  </si>
  <si>
    <t>VNI_Agrupada</t>
  </si>
  <si>
    <t>CORUMBÁ III</t>
  </si>
  <si>
    <t>MIRANDA</t>
  </si>
  <si>
    <t>CAPIM BRANCO 1</t>
  </si>
  <si>
    <t>CAPIM BRANCO 2</t>
  </si>
  <si>
    <t>PIRAJU</t>
  </si>
  <si>
    <t>PPCHAV</t>
  </si>
  <si>
    <t>OURINHOS</t>
  </si>
  <si>
    <t>PPSGCS</t>
  </si>
  <si>
    <t>SALTO GRANDE</t>
  </si>
  <si>
    <t>CANOAS 2</t>
  </si>
  <si>
    <t>PPCNO1</t>
  </si>
  <si>
    <t>MAUÁ</t>
  </si>
  <si>
    <t>PPCAPI</t>
  </si>
  <si>
    <t>TAQUARUÇU</t>
  </si>
  <si>
    <t>PPROSA</t>
  </si>
  <si>
    <t>Piraju</t>
  </si>
  <si>
    <t>Ourinhos</t>
  </si>
  <si>
    <t>L. N. Garcez</t>
  </si>
  <si>
    <t>Canoas II</t>
  </si>
  <si>
    <t>Canoas I</t>
  </si>
  <si>
    <t>Mauá</t>
  </si>
  <si>
    <t>Capivara</t>
  </si>
  <si>
    <t>Rosana</t>
  </si>
  <si>
    <t>Taquaruçu</t>
  </si>
  <si>
    <t>Foz da Areia</t>
  </si>
  <si>
    <t>Jordão</t>
  </si>
  <si>
    <t>Salto Osorio</t>
  </si>
  <si>
    <t>Salto Santiago</t>
  </si>
  <si>
    <t>Segredo</t>
  </si>
  <si>
    <t>AVERMELHA</t>
  </si>
  <si>
    <t>CAPESCURO</t>
  </si>
  <si>
    <t>EDACUNHA</t>
  </si>
  <si>
    <t>FUNIL MG</t>
  </si>
  <si>
    <t>PBUENOS</t>
  </si>
  <si>
    <t>PCOLOMBIA</t>
  </si>
  <si>
    <t>CORUMBA1</t>
  </si>
  <si>
    <t>SDOFACAO</t>
  </si>
  <si>
    <t>Sem Prevs</t>
  </si>
  <si>
    <t>Sem C-V</t>
  </si>
  <si>
    <t>plan Cen</t>
  </si>
  <si>
    <t>prev</t>
  </si>
  <si>
    <t>arqEntrada</t>
  </si>
  <si>
    <t>Corumbá IV</t>
  </si>
  <si>
    <t>Corumbá I</t>
  </si>
  <si>
    <t>Serra do Facão</t>
  </si>
  <si>
    <t>Emborcação</t>
  </si>
  <si>
    <t>Nova Ponte</t>
  </si>
  <si>
    <t>Itumbiara</t>
  </si>
  <si>
    <t>MAUA</t>
  </si>
  <si>
    <t>Chavantes</t>
  </si>
  <si>
    <t>Balsa</t>
  </si>
  <si>
    <t>FLOR+ESTRA</t>
  </si>
  <si>
    <t>Ivinhema</t>
  </si>
  <si>
    <t>PTAQUARA</t>
  </si>
  <si>
    <t>Itaipu</t>
  </si>
  <si>
    <t>PPBALS</t>
  </si>
  <si>
    <t>PPFLOR</t>
  </si>
  <si>
    <t>PPIVIN</t>
  </si>
  <si>
    <t>PPPTAQU</t>
  </si>
  <si>
    <t>PPITAI</t>
  </si>
  <si>
    <t>ITAIPU INC</t>
  </si>
  <si>
    <t>SSIMAO</t>
  </si>
  <si>
    <t>CDOUR</t>
  </si>
  <si>
    <t>BACIA PARANA - AJUSTE MANUAL</t>
  </si>
  <si>
    <t>I.SOLTEIRA</t>
  </si>
  <si>
    <t>JUPIA</t>
  </si>
  <si>
    <t>P.PRIMAVEIRA</t>
  </si>
  <si>
    <t>INC_MEDIO</t>
  </si>
  <si>
    <t>I Solteira INC</t>
  </si>
  <si>
    <t>Jupia INC</t>
  </si>
  <si>
    <t>P Primaveira INC</t>
  </si>
  <si>
    <t>CH</t>
  </si>
  <si>
    <t>MEDIA</t>
  </si>
  <si>
    <t>PARANA</t>
  </si>
  <si>
    <t>FATOR EXTENSOES</t>
  </si>
  <si>
    <t>TOTAL</t>
  </si>
  <si>
    <t>PROJETAR POSTOS PREVIVAZ?</t>
  </si>
  <si>
    <t>SUL</t>
  </si>
  <si>
    <t>FOA</t>
  </si>
  <si>
    <t>JordSeg</t>
  </si>
  <si>
    <t>SCaxias</t>
  </si>
  <si>
    <t>StaClara</t>
  </si>
  <si>
    <t>UVitoria</t>
  </si>
  <si>
    <t>SSIMAO2</t>
  </si>
  <si>
    <t>FDAAREIA</t>
  </si>
  <si>
    <t>Fundao</t>
  </si>
  <si>
    <t>Jordao</t>
  </si>
  <si>
    <t>SltOsorio</t>
  </si>
  <si>
    <t>SltCaxias</t>
  </si>
  <si>
    <t>SltSantiago</t>
  </si>
  <si>
    <t>Santa Clara</t>
  </si>
  <si>
    <t>CORREÇÃO SUL</t>
  </si>
  <si>
    <t>CORREÇÃO PARANÁ</t>
  </si>
  <si>
    <t>RVERDE</t>
  </si>
  <si>
    <t>JUP</t>
  </si>
  <si>
    <t>I.SOLT</t>
  </si>
  <si>
    <t>P.PRIM</t>
  </si>
  <si>
    <t>3.IRM</t>
  </si>
  <si>
    <t>posto:</t>
  </si>
  <si>
    <t>ITAIPU</t>
  </si>
  <si>
    <t>266_VN</t>
  </si>
  <si>
    <t>RB-SMAP</t>
  </si>
  <si>
    <t>TM-SMAP</t>
  </si>
  <si>
    <t>SMesa</t>
  </si>
  <si>
    <t>SERRA DA MESA</t>
  </si>
  <si>
    <t>Retiro Baixo</t>
  </si>
  <si>
    <t>São Francisco</t>
  </si>
  <si>
    <t>CAMPOSNOVOS</t>
  </si>
  <si>
    <t>MACHADINHO</t>
  </si>
  <si>
    <t>MONJOLINHO</t>
  </si>
  <si>
    <t>FOZDOCHAPECO</t>
  </si>
  <si>
    <t>PASSOSAOJOAO</t>
  </si>
  <si>
    <t>GARIBALDI</t>
  </si>
  <si>
    <t>PASSOFUNDO</t>
  </si>
  <si>
    <t>SAOJOSE</t>
  </si>
  <si>
    <t>B. GRANDE</t>
  </si>
  <si>
    <t>C. NOVOS</t>
  </si>
  <si>
    <t>ITÁ</t>
  </si>
  <si>
    <t>PASSO FUNDO</t>
  </si>
  <si>
    <t>FOZ DO CHAPECÓ</t>
  </si>
  <si>
    <t>Q. QUEIXO</t>
  </si>
  <si>
    <t>SÃO JOSÉ</t>
  </si>
  <si>
    <t>PASSO SÃO JOÃO</t>
  </si>
  <si>
    <t>P Colombia</t>
  </si>
  <si>
    <t>Volta Grande</t>
  </si>
  <si>
    <t>Igarapava</t>
  </si>
  <si>
    <t>Jaguara</t>
  </si>
  <si>
    <t>LC Barreto</t>
  </si>
  <si>
    <t>M Moraes</t>
  </si>
  <si>
    <t>BG</t>
  </si>
  <si>
    <t>CN</t>
  </si>
  <si>
    <t>FOZCHAPECO</t>
  </si>
  <si>
    <t>QQUEIXO</t>
  </si>
  <si>
    <t>SJOAO</t>
  </si>
  <si>
    <t>QM</t>
  </si>
  <si>
    <t>SFR2</t>
  </si>
  <si>
    <t>SRM2</t>
  </si>
  <si>
    <t>BBonita</t>
  </si>
  <si>
    <t>ESouza</t>
  </si>
  <si>
    <t>Ibitinga</t>
  </si>
  <si>
    <t>NAvanhanda</t>
  </si>
  <si>
    <t>Bill e Pedras</t>
  </si>
  <si>
    <t>E. S. + Pinheiros</t>
  </si>
  <si>
    <t>Guarapiranga</t>
  </si>
  <si>
    <t>Ponte Nova</t>
  </si>
  <si>
    <t>Bariri</t>
  </si>
  <si>
    <t>N. Avanhandava</t>
  </si>
  <si>
    <t>Promissão</t>
  </si>
  <si>
    <t>Queimado</t>
  </si>
  <si>
    <t xml:space="preserve">GUARAPIRANGA  </t>
  </si>
  <si>
    <t>E.SOUZA</t>
  </si>
  <si>
    <t xml:space="preserve">BARRA BONITA   </t>
  </si>
  <si>
    <t>IBITINGA</t>
  </si>
  <si>
    <t>BILLINGS_PEDRAS</t>
  </si>
  <si>
    <t>N. AVANHANDAVA</t>
  </si>
  <si>
    <t>ALTO TIETÊ</t>
  </si>
  <si>
    <t>BILLINGS</t>
  </si>
  <si>
    <t>PEDRAS</t>
  </si>
  <si>
    <t>E. S.</t>
  </si>
  <si>
    <t>HBORDEN</t>
  </si>
  <si>
    <t>BARIRI</t>
  </si>
  <si>
    <t>PROMISSAO</t>
  </si>
  <si>
    <t>3 Irmaos INC</t>
  </si>
  <si>
    <t>TIETE</t>
  </si>
  <si>
    <t>3 irmaos</t>
  </si>
  <si>
    <t>Semana Prevs Base</t>
  </si>
  <si>
    <t>H:\Middle - Preço\Acompanhamento de vazões\01_2020\Dados_de_Entrada_e_Saida_202001_RV1\Gevazp\prevs.RV1</t>
  </si>
  <si>
    <t>H:\Middle - Preço\Acompanhamento de vazões\01_2020\Dados_de_Entrada_e_Saida_202001_RV1\Previvaz\Arq_Entrada</t>
  </si>
  <si>
    <t>navanhandava</t>
  </si>
  <si>
    <t>Gera_e_Avalia_Cenarios_Men_Sem1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</si>
</sst>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"/>
    <numFmt numFmtId="166" formatCode="_([$€]* #,##0.00_);_([$€]* \(#,##0.00\);_([$€]* &quot;-&quot;??_);_(@_)"/>
    <numFmt numFmtId="167" formatCode="_-* #,##0_-;\-* #,##0_-;_-* &quot;-&quot;??_-;_-@_-"/>
    <numFmt numFmtId="168" formatCode="0.000"/>
    <numFmt numFmtId="169" formatCode="_-* #,##0.000_-;\-* #,##0.000_-;_-* &quot;-&quot;??_-;_-@_-"/>
    <numFmt numFmtId="170" formatCode="_-* #,##0.000_-;\-* #,##0.000_-;_-* &quot;-&quot;???_-;_-@_-"/>
    <numFmt numFmtId="171" formatCode="000"/>
    <numFmt numFmtId="172" formatCode="_(* #,##0.0000_);_(* \(#,##0.0000\);_(* &quot;-&quot;??_);_(@_)"/>
  </numFmts>
  <fonts count="3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0000FF"/>
      <name val="Arial"/>
      <family val="2"/>
    </font>
    <font>
      <b/>
      <sz val="8"/>
      <color indexed="10"/>
      <name val="Tahoma"/>
      <family val="2"/>
    </font>
    <font>
      <u/>
      <sz val="10"/>
      <name val="Arial"/>
      <family val="2"/>
    </font>
    <font>
      <b/>
      <sz val="12"/>
      <color rgb="FFFF0000"/>
      <name val="Arial"/>
      <family val="2"/>
    </font>
    <font>
      <b/>
      <sz val="20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sz val="16"/>
      <name val="Arial"/>
      <family val="2"/>
    </font>
    <font>
      <b/>
      <sz val="16"/>
      <color theme="9" tint="0.79998168889431442"/>
      <name val="Arial"/>
      <family val="2"/>
    </font>
    <font>
      <sz val="1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6" tint="-0.249977111117893"/>
      </left>
      <right/>
      <top/>
      <bottom style="thin">
        <color theme="6"/>
      </bottom>
      <diagonal/>
    </border>
    <border>
      <left style="thick">
        <color theme="6" tint="-0.249977111117893"/>
      </left>
      <right/>
      <top style="thin">
        <color theme="6"/>
      </top>
      <bottom style="thin">
        <color theme="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6327">
    <xf numFmtId="0" fontId="0" fillId="0" borderId="0"/>
    <xf numFmtId="164" fontId="16" fillId="0" borderId="0" applyFont="0" applyFill="0" applyBorder="0" applyAlignment="0" applyProtection="0"/>
    <xf numFmtId="166" fontId="17" fillId="0" borderId="0" applyFont="0" applyFill="0" applyBorder="0" applyAlignment="0" applyProtection="0"/>
    <xf numFmtId="0" fontId="15" fillId="0" borderId="0"/>
    <xf numFmtId="164" fontId="14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/>
    <xf numFmtId="0" fontId="9" fillId="0" borderId="0"/>
    <xf numFmtId="164" fontId="8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7" fillId="0" borderId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17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</cellStyleXfs>
  <cellXfs count="332"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7" fillId="0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1" fontId="19" fillId="0" borderId="0" xfId="0" applyNumberFormat="1" applyFont="1" applyAlignment="1">
      <alignment horizontal="center"/>
    </xf>
    <xf numFmtId="1" fontId="19" fillId="0" borderId="0" xfId="0" applyNumberFormat="1" applyFont="1" applyFill="1" applyAlignment="1">
      <alignment horizontal="center"/>
    </xf>
    <xf numFmtId="1" fontId="20" fillId="2" borderId="0" xfId="0" applyNumberFormat="1" applyFont="1" applyFill="1" applyAlignment="1">
      <alignment horizontal="center"/>
    </xf>
    <xf numFmtId="1" fontId="20" fillId="0" borderId="0" xfId="0" applyNumberFormat="1" applyFont="1" applyAlignment="1">
      <alignment horizontal="center"/>
    </xf>
    <xf numFmtId="1" fontId="20" fillId="0" borderId="0" xfId="0" applyNumberFormat="1" applyFont="1" applyFill="1" applyAlignment="1">
      <alignment horizontal="center"/>
    </xf>
    <xf numFmtId="1" fontId="21" fillId="0" borderId="0" xfId="0" applyNumberFormat="1" applyFont="1" applyFill="1" applyAlignment="1">
      <alignment horizontal="center"/>
    </xf>
    <xf numFmtId="1" fontId="21" fillId="2" borderId="0" xfId="0" applyNumberFormat="1" applyFont="1" applyFill="1" applyAlignment="1">
      <alignment horizontal="center"/>
    </xf>
    <xf numFmtId="165" fontId="20" fillId="2" borderId="0" xfId="0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0" fontId="17" fillId="8" borderId="0" xfId="0" applyFont="1" applyFill="1" applyAlignment="1">
      <alignment horizontal="center"/>
    </xf>
    <xf numFmtId="14" fontId="0" fillId="8" borderId="2" xfId="0" applyNumberFormat="1" applyFill="1" applyBorder="1"/>
    <xf numFmtId="0" fontId="0" fillId="4" borderId="3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17" fillId="9" borderId="0" xfId="0" applyFont="1" applyFill="1" applyAlignment="1">
      <alignment horizontal="center"/>
    </xf>
    <xf numFmtId="167" fontId="0" fillId="0" borderId="0" xfId="1" applyNumberFormat="1" applyFont="1"/>
    <xf numFmtId="16" fontId="0" fillId="0" borderId="0" xfId="0" applyNumberFormat="1"/>
    <xf numFmtId="16" fontId="0" fillId="10" borderId="0" xfId="0" applyNumberFormat="1" applyFill="1"/>
    <xf numFmtId="16" fontId="0" fillId="11" borderId="0" xfId="0" applyNumberFormat="1" applyFill="1"/>
    <xf numFmtId="49" fontId="0" fillId="0" borderId="0" xfId="0" applyNumberFormat="1"/>
    <xf numFmtId="0" fontId="0" fillId="13" borderId="0" xfId="0" applyFill="1" applyAlignment="1">
      <alignment horizontal="center"/>
    </xf>
    <xf numFmtId="0" fontId="24" fillId="2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1" fontId="19" fillId="13" borderId="0" xfId="0" applyNumberFormat="1" applyFont="1" applyFill="1" applyAlignment="1">
      <alignment horizontal="center"/>
    </xf>
    <xf numFmtId="1" fontId="20" fillId="13" borderId="0" xfId="0" applyNumberFormat="1" applyFont="1" applyFill="1" applyAlignment="1">
      <alignment horizontal="center"/>
    </xf>
    <xf numFmtId="1" fontId="21" fillId="13" borderId="0" xfId="0" applyNumberFormat="1" applyFont="1" applyFill="1" applyAlignment="1">
      <alignment horizontal="center"/>
    </xf>
    <xf numFmtId="1" fontId="20" fillId="2" borderId="0" xfId="0" applyNumberFormat="1" applyFont="1" applyFill="1" applyBorder="1" applyAlignment="1">
      <alignment horizontal="center"/>
    </xf>
    <xf numFmtId="0" fontId="0" fillId="6" borderId="0" xfId="0" applyFill="1"/>
    <xf numFmtId="0" fontId="0" fillId="0" borderId="5" xfId="0" applyBorder="1"/>
    <xf numFmtId="0" fontId="0" fillId="0" borderId="0" xfId="0" applyBorder="1"/>
    <xf numFmtId="0" fontId="0" fillId="0" borderId="10" xfId="0" applyBorder="1"/>
    <xf numFmtId="0" fontId="26" fillId="0" borderId="0" xfId="0" applyFont="1"/>
    <xf numFmtId="0" fontId="0" fillId="16" borderId="0" xfId="0" applyFill="1"/>
    <xf numFmtId="0" fontId="18" fillId="17" borderId="0" xfId="0" applyFont="1" applyFill="1"/>
    <xf numFmtId="0" fontId="27" fillId="0" borderId="0" xfId="0" applyFont="1"/>
    <xf numFmtId="1" fontId="0" fillId="0" borderId="0" xfId="0" applyNumberFormat="1"/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7" fillId="0" borderId="0" xfId="0" applyFont="1" applyFill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1" fontId="19" fillId="2" borderId="0" xfId="0" applyNumberFormat="1" applyFont="1" applyFill="1" applyAlignment="1">
      <alignment horizontal="center"/>
    </xf>
    <xf numFmtId="1" fontId="19" fillId="0" borderId="0" xfId="0" applyNumberFormat="1" applyFont="1" applyFill="1" applyAlignment="1">
      <alignment horizontal="center"/>
    </xf>
    <xf numFmtId="1" fontId="20" fillId="2" borderId="0" xfId="0" applyNumberFormat="1" applyFont="1" applyFill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2" xfId="0" applyNumberFormat="1" applyFill="1" applyBorder="1"/>
    <xf numFmtId="1" fontId="19" fillId="2" borderId="0" xfId="0" applyNumberFormat="1" applyFont="1" applyFill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7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8" borderId="0" xfId="0" applyFill="1" applyAlignment="1">
      <alignment horizontal="center"/>
    </xf>
    <xf numFmtId="1" fontId="19" fillId="18" borderId="0" xfId="0" applyNumberFormat="1" applyFont="1" applyFill="1" applyAlignment="1">
      <alignment horizontal="center"/>
    </xf>
    <xf numFmtId="0" fontId="0" fillId="18" borderId="0" xfId="0" applyFill="1"/>
    <xf numFmtId="1" fontId="19" fillId="18" borderId="0" xfId="0" applyNumberFormat="1" applyFont="1" applyFill="1" applyBorder="1" applyAlignment="1">
      <alignment horizontal="center"/>
    </xf>
    <xf numFmtId="0" fontId="17" fillId="18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1" fontId="19" fillId="19" borderId="0" xfId="0" applyNumberFormat="1" applyFont="1" applyFill="1" applyAlignment="1">
      <alignment horizontal="center"/>
    </xf>
    <xf numFmtId="1" fontId="20" fillId="0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0" fillId="5" borderId="0" xfId="0" applyFill="1"/>
    <xf numFmtId="2" fontId="20" fillId="2" borderId="0" xfId="0" applyNumberFormat="1" applyFont="1" applyFill="1" applyAlignment="1">
      <alignment horizontal="center"/>
    </xf>
    <xf numFmtId="1" fontId="20" fillId="5" borderId="0" xfId="0" applyNumberFormat="1" applyFont="1" applyFill="1" applyAlignment="1">
      <alignment horizontal="center"/>
    </xf>
    <xf numFmtId="1" fontId="19" fillId="5" borderId="0" xfId="0" applyNumberFormat="1" applyFont="1" applyFill="1" applyAlignment="1">
      <alignment horizontal="center"/>
    </xf>
    <xf numFmtId="2" fontId="20" fillId="5" borderId="0" xfId="0" applyNumberFormat="1" applyFont="1" applyFill="1" applyAlignment="1">
      <alignment horizontal="center"/>
    </xf>
    <xf numFmtId="165" fontId="20" fillId="5" borderId="0" xfId="0" applyNumberFormat="1" applyFont="1" applyFill="1" applyAlignment="1">
      <alignment horizontal="center"/>
    </xf>
    <xf numFmtId="1" fontId="21" fillId="5" borderId="0" xfId="0" applyNumberFormat="1" applyFont="1" applyFill="1" applyAlignment="1">
      <alignment horizontal="center"/>
    </xf>
    <xf numFmtId="1" fontId="19" fillId="5" borderId="0" xfId="0" applyNumberFormat="1" applyFont="1" applyFill="1" applyBorder="1" applyAlignment="1">
      <alignment horizontal="center"/>
    </xf>
    <xf numFmtId="2" fontId="19" fillId="5" borderId="0" xfId="0" applyNumberFormat="1" applyFont="1" applyFill="1" applyBorder="1" applyAlignment="1">
      <alignment horizontal="center"/>
    </xf>
    <xf numFmtId="2" fontId="19" fillId="2" borderId="0" xfId="0" applyNumberFormat="1" applyFont="1" applyFill="1" applyBorder="1" applyAlignment="1">
      <alignment horizontal="center"/>
    </xf>
    <xf numFmtId="2" fontId="19" fillId="0" borderId="0" xfId="0" applyNumberFormat="1" applyFont="1" applyFill="1" applyBorder="1" applyAlignment="1">
      <alignment horizontal="center"/>
    </xf>
    <xf numFmtId="0" fontId="0" fillId="14" borderId="0" xfId="0" applyFont="1" applyFill="1" applyAlignment="1">
      <alignment horizontal="center"/>
    </xf>
    <xf numFmtId="14" fontId="0" fillId="0" borderId="13" xfId="0" applyNumberFormat="1" applyBorder="1"/>
    <xf numFmtId="1" fontId="19" fillId="0" borderId="13" xfId="0" applyNumberFormat="1" applyFont="1" applyFill="1" applyBorder="1" applyAlignment="1">
      <alignment horizontal="center"/>
    </xf>
    <xf numFmtId="1" fontId="19" fillId="2" borderId="13" xfId="0" applyNumberFormat="1" applyFont="1" applyFill="1" applyBorder="1" applyAlignment="1">
      <alignment horizontal="center"/>
    </xf>
    <xf numFmtId="0" fontId="0" fillId="0" borderId="13" xfId="0" applyBorder="1"/>
    <xf numFmtId="1" fontId="0" fillId="0" borderId="13" xfId="0" applyNumberFormat="1" applyBorder="1"/>
    <xf numFmtId="1" fontId="20" fillId="0" borderId="13" xfId="0" applyNumberFormat="1" applyFont="1" applyFill="1" applyBorder="1" applyAlignment="1">
      <alignment horizontal="center"/>
    </xf>
    <xf numFmtId="1" fontId="20" fillId="2" borderId="13" xfId="0" applyNumberFormat="1" applyFont="1" applyFill="1" applyBorder="1" applyAlignment="1">
      <alignment horizontal="center"/>
    </xf>
    <xf numFmtId="1" fontId="20" fillId="5" borderId="13" xfId="0" applyNumberFormat="1" applyFont="1" applyFill="1" applyBorder="1" applyAlignment="1">
      <alignment horizontal="center"/>
    </xf>
    <xf numFmtId="1" fontId="0" fillId="5" borderId="13" xfId="0" applyNumberFormat="1" applyFill="1" applyBorder="1"/>
    <xf numFmtId="14" fontId="0" fillId="0" borderId="14" xfId="0" applyNumberFormat="1" applyBorder="1"/>
    <xf numFmtId="1" fontId="20" fillId="0" borderId="14" xfId="0" applyNumberFormat="1" applyFont="1" applyFill="1" applyBorder="1" applyAlignment="1">
      <alignment horizontal="center"/>
    </xf>
    <xf numFmtId="1" fontId="20" fillId="2" borderId="14" xfId="0" applyNumberFormat="1" applyFont="1" applyFill="1" applyBorder="1" applyAlignment="1">
      <alignment horizontal="center"/>
    </xf>
    <xf numFmtId="1" fontId="19" fillId="0" borderId="14" xfId="0" applyNumberFormat="1" applyFont="1" applyFill="1" applyBorder="1" applyAlignment="1">
      <alignment horizontal="center"/>
    </xf>
    <xf numFmtId="0" fontId="0" fillId="0" borderId="14" xfId="0" applyBorder="1"/>
    <xf numFmtId="0" fontId="0" fillId="5" borderId="14" xfId="0" applyFill="1" applyBorder="1"/>
    <xf numFmtId="0" fontId="18" fillId="11" borderId="0" xfId="0" applyFont="1" applyFill="1"/>
    <xf numFmtId="1" fontId="0" fillId="0" borderId="0" xfId="0" applyNumberFormat="1"/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7" fillId="0" borderId="0" xfId="0" quotePrefix="1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" fontId="19" fillId="2" borderId="0" xfId="0" applyNumberFormat="1" applyFont="1" applyFill="1" applyAlignment="1">
      <alignment horizontal="center"/>
    </xf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68" fontId="0" fillId="13" borderId="0" xfId="0" applyNumberFormat="1" applyFill="1" applyAlignment="1">
      <alignment horizontal="center"/>
    </xf>
    <xf numFmtId="0" fontId="0" fillId="0" borderId="0" xfId="0"/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18" borderId="0" xfId="0" applyFill="1" applyAlignment="1">
      <alignment horizontal="center"/>
    </xf>
    <xf numFmtId="2" fontId="0" fillId="18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68" fontId="0" fillId="0" borderId="0" xfId="0" applyNumberFormat="1" applyFill="1" applyAlignment="1">
      <alignment horizontal="center"/>
    </xf>
    <xf numFmtId="0" fontId="18" fillId="17" borderId="0" xfId="0" applyFont="1" applyFill="1"/>
    <xf numFmtId="167" fontId="0" fillId="0" borderId="0" xfId="1" applyNumberFormat="1" applyFont="1" applyBorder="1"/>
    <xf numFmtId="0" fontId="0" fillId="4" borderId="18" xfId="0" applyFill="1" applyBorder="1" applyAlignment="1">
      <alignment horizontal="center"/>
    </xf>
    <xf numFmtId="167" fontId="0" fillId="10" borderId="0" xfId="1" applyNumberFormat="1" applyFont="1" applyFill="1" applyBorder="1"/>
    <xf numFmtId="167" fontId="0" fillId="0" borderId="5" xfId="1" applyNumberFormat="1" applyFont="1" applyBorder="1"/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7" fillId="4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4" borderId="15" xfId="0" applyFill="1" applyBorder="1" applyAlignment="1">
      <alignment horizontal="center"/>
    </xf>
    <xf numFmtId="0" fontId="0" fillId="10" borderId="0" xfId="0" applyFill="1" applyBorder="1"/>
    <xf numFmtId="49" fontId="0" fillId="0" borderId="0" xfId="0" applyNumberFormat="1" applyBorder="1"/>
    <xf numFmtId="0" fontId="0" fillId="7" borderId="15" xfId="0" applyFill="1" applyBorder="1" applyAlignment="1">
      <alignment horizontal="center"/>
    </xf>
    <xf numFmtId="0" fontId="0" fillId="0" borderId="1" xfId="0" applyBorder="1"/>
    <xf numFmtId="16" fontId="0" fillId="11" borderId="19" xfId="0" applyNumberFormat="1" applyFill="1" applyBorder="1"/>
    <xf numFmtId="16" fontId="0" fillId="0" borderId="20" xfId="0" applyNumberFormat="1" applyBorder="1"/>
    <xf numFmtId="0" fontId="0" fillId="0" borderId="0" xfId="0" applyNumberFormat="1" applyBorder="1"/>
    <xf numFmtId="16" fontId="0" fillId="21" borderId="20" xfId="0" applyNumberFormat="1" applyFill="1" applyBorder="1"/>
    <xf numFmtId="16" fontId="0" fillId="21" borderId="21" xfId="0" applyNumberFormat="1" applyFill="1" applyBorder="1"/>
    <xf numFmtId="0" fontId="0" fillId="21" borderId="0" xfId="0" applyFill="1"/>
    <xf numFmtId="0" fontId="0" fillId="22" borderId="0" xfId="0" applyNumberFormat="1" applyFill="1" applyBorder="1"/>
    <xf numFmtId="0" fontId="0" fillId="23" borderId="0" xfId="0" applyFont="1" applyFill="1"/>
    <xf numFmtId="0" fontId="0" fillId="24" borderId="0" xfId="0" applyFill="1"/>
    <xf numFmtId="14" fontId="28" fillId="24" borderId="1" xfId="0" applyNumberFormat="1" applyFont="1" applyFill="1" applyBorder="1" applyAlignment="1">
      <alignment horizontal="center" vertical="center"/>
    </xf>
    <xf numFmtId="0" fontId="0" fillId="25" borderId="0" xfId="0" applyFill="1"/>
    <xf numFmtId="0" fontId="18" fillId="25" borderId="0" xfId="0" applyFont="1" applyFill="1"/>
    <xf numFmtId="0" fontId="0" fillId="25" borderId="0" xfId="0" applyFont="1" applyFill="1"/>
    <xf numFmtId="169" fontId="0" fillId="0" borderId="1" xfId="1" applyNumberFormat="1" applyFont="1" applyBorder="1"/>
    <xf numFmtId="170" fontId="0" fillId="26" borderId="0" xfId="0" applyNumberFormat="1" applyFill="1" applyBorder="1"/>
    <xf numFmtId="0" fontId="30" fillId="24" borderId="23" xfId="0" applyFont="1" applyFill="1" applyBorder="1" applyAlignment="1">
      <alignment horizontal="center" vertical="center"/>
    </xf>
    <xf numFmtId="0" fontId="29" fillId="21" borderId="22" xfId="0" applyFont="1" applyFill="1" applyBorder="1" applyAlignment="1">
      <alignment horizontal="center" vertical="center" wrapText="1"/>
    </xf>
    <xf numFmtId="0" fontId="18" fillId="7" borderId="0" xfId="0" applyFont="1" applyFill="1"/>
    <xf numFmtId="0" fontId="0" fillId="22" borderId="7" xfId="0" applyFill="1" applyBorder="1"/>
    <xf numFmtId="0" fontId="0" fillId="22" borderId="1" xfId="0" applyFill="1" applyBorder="1"/>
    <xf numFmtId="0" fontId="0" fillId="22" borderId="0" xfId="0" applyFill="1" applyBorder="1"/>
    <xf numFmtId="1" fontId="0" fillId="22" borderId="0" xfId="0" applyNumberFormat="1" applyFill="1" applyBorder="1"/>
    <xf numFmtId="0" fontId="18" fillId="22" borderId="0" xfId="0" applyFont="1" applyFill="1"/>
    <xf numFmtId="0" fontId="0" fillId="0" borderId="0" xfId="0" applyFill="1" applyBorder="1"/>
    <xf numFmtId="0" fontId="9" fillId="0" borderId="24" xfId="55" applyBorder="1" applyAlignment="1">
      <alignment vertical="center"/>
    </xf>
    <xf numFmtId="0" fontId="9" fillId="28" borderId="25" xfId="55" applyFill="1" applyBorder="1" applyAlignment="1">
      <alignment vertical="center"/>
    </xf>
    <xf numFmtId="1" fontId="19" fillId="23" borderId="0" xfId="0" applyNumberFormat="1" applyFont="1" applyFill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0" fillId="29" borderId="3" xfId="0" applyFill="1" applyBorder="1" applyAlignment="1">
      <alignment horizontal="center"/>
    </xf>
    <xf numFmtId="167" fontId="0" fillId="29" borderId="0" xfId="1" applyNumberFormat="1" applyFont="1" applyFill="1" applyBorder="1"/>
    <xf numFmtId="1" fontId="20" fillId="30" borderId="0" xfId="0" applyNumberFormat="1" applyFont="1" applyFill="1" applyAlignment="1">
      <alignment horizontal="center"/>
    </xf>
    <xf numFmtId="1" fontId="19" fillId="30" borderId="0" xfId="0" applyNumberFormat="1" applyFont="1" applyFill="1" applyAlignment="1">
      <alignment horizontal="center"/>
    </xf>
    <xf numFmtId="14" fontId="0" fillId="30" borderId="2" xfId="0" applyNumberFormat="1" applyFill="1" applyBorder="1"/>
    <xf numFmtId="14" fontId="0" fillId="0" borderId="0" xfId="0" applyNumberFormat="1" applyBorder="1"/>
    <xf numFmtId="14" fontId="0" fillId="0" borderId="28" xfId="0" applyNumberFormat="1" applyBorder="1"/>
    <xf numFmtId="1" fontId="19" fillId="19" borderId="13" xfId="0" applyNumberFormat="1" applyFont="1" applyFill="1" applyBorder="1" applyAlignment="1">
      <alignment horizontal="center"/>
    </xf>
    <xf numFmtId="1" fontId="19" fillId="13" borderId="13" xfId="0" applyNumberFormat="1" applyFont="1" applyFill="1" applyBorder="1" applyAlignment="1">
      <alignment horizontal="center"/>
    </xf>
    <xf numFmtId="1" fontId="19" fillId="23" borderId="13" xfId="0" applyNumberFormat="1" applyFont="1" applyFill="1" applyBorder="1" applyAlignment="1">
      <alignment horizontal="center"/>
    </xf>
    <xf numFmtId="14" fontId="0" fillId="0" borderId="27" xfId="0" applyNumberFormat="1" applyBorder="1"/>
    <xf numFmtId="1" fontId="19" fillId="19" borderId="0" xfId="0" applyNumberFormat="1" applyFont="1" applyFill="1" applyBorder="1" applyAlignment="1">
      <alignment horizontal="center"/>
    </xf>
    <xf numFmtId="1" fontId="19" fillId="13" borderId="0" xfId="0" applyNumberFormat="1" applyFont="1" applyFill="1" applyBorder="1" applyAlignment="1">
      <alignment horizontal="center"/>
    </xf>
    <xf numFmtId="1" fontId="19" fillId="23" borderId="0" xfId="0" applyNumberFormat="1" applyFont="1" applyFill="1" applyBorder="1" applyAlignment="1">
      <alignment horizontal="center"/>
    </xf>
    <xf numFmtId="14" fontId="0" fillId="0" borderId="29" xfId="0" applyNumberFormat="1" applyBorder="1"/>
    <xf numFmtId="1" fontId="19" fillId="19" borderId="14" xfId="0" applyNumberFormat="1" applyFont="1" applyFill="1" applyBorder="1" applyAlignment="1">
      <alignment horizontal="center"/>
    </xf>
    <xf numFmtId="1" fontId="19" fillId="13" borderId="14" xfId="0" applyNumberFormat="1" applyFont="1" applyFill="1" applyBorder="1" applyAlignment="1">
      <alignment horizontal="center"/>
    </xf>
    <xf numFmtId="1" fontId="19" fillId="23" borderId="14" xfId="0" applyNumberFormat="1" applyFont="1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31" borderId="0" xfId="0" applyFill="1"/>
    <xf numFmtId="0" fontId="0" fillId="27" borderId="0" xfId="0" applyFill="1"/>
    <xf numFmtId="0" fontId="0" fillId="32" borderId="0" xfId="0" applyFill="1"/>
    <xf numFmtId="0" fontId="0" fillId="8" borderId="0" xfId="0" applyFill="1" applyAlignment="1">
      <alignment horizontal="center"/>
    </xf>
    <xf numFmtId="0" fontId="17" fillId="8" borderId="0" xfId="0" applyFont="1" applyFill="1" applyAlignment="1">
      <alignment horizontal="center"/>
    </xf>
    <xf numFmtId="49" fontId="0" fillId="0" borderId="0" xfId="0" applyNumberFormat="1"/>
    <xf numFmtId="1" fontId="19" fillId="19" borderId="0" xfId="0" applyNumberFormat="1" applyFont="1" applyFill="1" applyAlignment="1">
      <alignment horizontal="center"/>
    </xf>
    <xf numFmtId="0" fontId="0" fillId="23" borderId="0" xfId="0" applyFill="1"/>
    <xf numFmtId="0" fontId="0" fillId="33" borderId="0" xfId="0" applyFill="1"/>
    <xf numFmtId="1" fontId="19" fillId="18" borderId="0" xfId="0" applyNumberFormat="1" applyFont="1" applyFill="1" applyAlignment="1">
      <alignment horizontal="center" vertical="center"/>
    </xf>
    <xf numFmtId="1" fontId="19" fillId="0" borderId="0" xfId="0" applyNumberFormat="1" applyFont="1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1" fontId="0" fillId="8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8" borderId="13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0" fillId="8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2" fillId="20" borderId="15" xfId="0" applyFont="1" applyFill="1" applyBorder="1"/>
    <xf numFmtId="0" fontId="31" fillId="0" borderId="1" xfId="0" applyFont="1" applyBorder="1"/>
    <xf numFmtId="0" fontId="32" fillId="0" borderId="15" xfId="0" applyFont="1" applyBorder="1"/>
    <xf numFmtId="1" fontId="31" fillId="0" borderId="1" xfId="0" applyNumberFormat="1" applyFont="1" applyBorder="1" applyAlignment="1">
      <alignment horizontal="center" vertical="center"/>
    </xf>
    <xf numFmtId="1" fontId="31" fillId="21" borderId="1" xfId="0" applyNumberFormat="1" applyFont="1" applyFill="1" applyBorder="1" applyAlignment="1">
      <alignment horizontal="center" vertical="center"/>
    </xf>
    <xf numFmtId="16" fontId="33" fillId="0" borderId="16" xfId="0" applyNumberFormat="1" applyFont="1" applyBorder="1"/>
    <xf numFmtId="16" fontId="33" fillId="0" borderId="17" xfId="0" applyNumberFormat="1" applyFont="1" applyBorder="1"/>
    <xf numFmtId="0" fontId="0" fillId="5" borderId="13" xfId="0" applyFill="1" applyBorder="1"/>
    <xf numFmtId="0" fontId="0" fillId="0" borderId="0" xfId="0"/>
    <xf numFmtId="1" fontId="0" fillId="0" borderId="0" xfId="0" applyNumberFormat="1"/>
    <xf numFmtId="0" fontId="34" fillId="34" borderId="30" xfId="0" applyFont="1" applyFill="1" applyBorder="1" applyAlignment="1">
      <alignment horizontal="center"/>
    </xf>
    <xf numFmtId="0" fontId="34" fillId="34" borderId="31" xfId="0" applyFont="1" applyFill="1" applyBorder="1" applyAlignment="1">
      <alignment horizontal="center"/>
    </xf>
    <xf numFmtId="0" fontId="34" fillId="34" borderId="3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0" fillId="8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0" borderId="0" xfId="0"/>
    <xf numFmtId="0" fontId="0" fillId="0" borderId="0" xfId="0" applyBorder="1"/>
    <xf numFmtId="167" fontId="0" fillId="0" borderId="0" xfId="770" applyNumberFormat="1" applyFont="1" applyBorder="1"/>
    <xf numFmtId="0" fontId="0" fillId="4" borderId="1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167" fontId="0" fillId="5" borderId="0" xfId="1" applyNumberFormat="1" applyFont="1" applyFill="1" applyBorder="1"/>
    <xf numFmtId="0" fontId="0" fillId="6" borderId="0" xfId="0" applyFill="1"/>
    <xf numFmtId="0" fontId="18" fillId="27" borderId="0" xfId="0" applyFont="1" applyFill="1"/>
    <xf numFmtId="0" fontId="0" fillId="0" borderId="0" xfId="0"/>
    <xf numFmtId="0" fontId="0" fillId="6" borderId="0" xfId="0" applyFill="1"/>
    <xf numFmtId="0" fontId="0" fillId="0" borderId="7" xfId="0" applyBorder="1"/>
    <xf numFmtId="1" fontId="19" fillId="21" borderId="0" xfId="0" applyNumberFormat="1" applyFont="1" applyFill="1" applyAlignment="1">
      <alignment horizontal="center"/>
    </xf>
    <xf numFmtId="16" fontId="0" fillId="0" borderId="0" xfId="0" applyNumberFormat="1" applyBorder="1"/>
    <xf numFmtId="16" fontId="0" fillId="11" borderId="0" xfId="0" applyNumberFormat="1" applyFill="1" applyBorder="1"/>
    <xf numFmtId="16" fontId="0" fillId="0" borderId="10" xfId="0" applyNumberFormat="1" applyBorder="1"/>
    <xf numFmtId="16" fontId="0" fillId="10" borderId="10" xfId="0" applyNumberFormat="1" applyFill="1" applyBorder="1"/>
    <xf numFmtId="21" fontId="0" fillId="0" borderId="0" xfId="0" applyNumberFormat="1"/>
    <xf numFmtId="0" fontId="0" fillId="15" borderId="0" xfId="0" applyNumberFormat="1" applyFill="1"/>
    <xf numFmtId="1" fontId="0" fillId="27" borderId="0" xfId="0" applyNumberFormat="1" applyFill="1"/>
    <xf numFmtId="1" fontId="0" fillId="0" borderId="0" xfId="6892" applyNumberFormat="1" applyFont="1"/>
    <xf numFmtId="2" fontId="0" fillId="5" borderId="0" xfId="0" applyNumberFormat="1" applyFill="1"/>
    <xf numFmtId="2" fontId="0" fillId="0" borderId="0" xfId="0" applyNumberFormat="1"/>
    <xf numFmtId="0" fontId="0" fillId="12" borderId="16" xfId="0" applyFill="1" applyBorder="1" applyAlignment="1">
      <alignment horizontal="center"/>
    </xf>
    <xf numFmtId="0" fontId="0" fillId="31" borderId="7" xfId="0" applyFill="1" applyBorder="1" applyAlignment="1">
      <alignment horizontal="center"/>
    </xf>
    <xf numFmtId="0" fontId="0" fillId="12" borderId="4" xfId="0" applyFill="1" applyBorder="1"/>
    <xf numFmtId="0" fontId="0" fillId="12" borderId="0" xfId="0" applyFill="1"/>
    <xf numFmtId="0" fontId="0" fillId="31" borderId="1" xfId="0" applyFill="1" applyBorder="1" applyAlignment="1">
      <alignment horizontal="center"/>
    </xf>
    <xf numFmtId="0" fontId="0" fillId="31" borderId="15" xfId="0" applyFill="1" applyBorder="1" applyAlignment="1">
      <alignment horizontal="center"/>
    </xf>
    <xf numFmtId="0" fontId="0" fillId="31" borderId="3" xfId="0" applyFill="1" applyBorder="1" applyAlignment="1">
      <alignment horizontal="center"/>
    </xf>
    <xf numFmtId="0" fontId="0" fillId="12" borderId="7" xfId="0" applyFill="1" applyBorder="1"/>
    <xf numFmtId="0" fontId="0" fillId="31" borderId="26" xfId="0" applyFill="1" applyBorder="1" applyAlignment="1">
      <alignment horizontal="center"/>
    </xf>
    <xf numFmtId="0" fontId="0" fillId="31" borderId="27" xfId="0" applyFill="1" applyBorder="1" applyAlignment="1">
      <alignment horizontal="center"/>
    </xf>
    <xf numFmtId="0" fontId="0" fillId="12" borderId="9" xfId="0" applyFill="1" applyBorder="1"/>
    <xf numFmtId="0" fontId="0" fillId="0" borderId="0" xfId="0"/>
    <xf numFmtId="14" fontId="0" fillId="0" borderId="0" xfId="0" applyNumberFormat="1"/>
    <xf numFmtId="0" fontId="0" fillId="8" borderId="0" xfId="0" applyFill="1" applyAlignment="1">
      <alignment horizontal="center"/>
    </xf>
    <xf numFmtId="49" fontId="0" fillId="0" borderId="0" xfId="0" applyNumberFormat="1"/>
    <xf numFmtId="0" fontId="0" fillId="13" borderId="0" xfId="0" applyFill="1" applyAlignment="1">
      <alignment horizontal="center"/>
    </xf>
    <xf numFmtId="0" fontId="0" fillId="15" borderId="0" xfId="0" applyFill="1"/>
    <xf numFmtId="1" fontId="0" fillId="0" borderId="0" xfId="0" applyNumberFormat="1"/>
    <xf numFmtId="1" fontId="19" fillId="19" borderId="0" xfId="0" applyNumberFormat="1" applyFont="1" applyFill="1" applyAlignment="1">
      <alignment horizontal="center"/>
    </xf>
    <xf numFmtId="14" fontId="0" fillId="5" borderId="0" xfId="0" applyNumberFormat="1" applyFill="1"/>
    <xf numFmtId="0" fontId="0" fillId="5" borderId="0" xfId="0" applyFill="1"/>
    <xf numFmtId="0" fontId="0" fillId="4" borderId="1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23" borderId="0" xfId="0" applyFill="1"/>
    <xf numFmtId="0" fontId="0" fillId="33" borderId="0" xfId="0" applyFill="1"/>
    <xf numFmtId="0" fontId="0" fillId="4" borderId="0" xfId="0" applyFill="1" applyBorder="1" applyAlignment="1">
      <alignment horizontal="center"/>
    </xf>
    <xf numFmtId="0" fontId="0" fillId="0" borderId="0" xfId="0" applyNumberFormat="1"/>
    <xf numFmtId="1" fontId="0" fillId="15" borderId="0" xfId="0" applyNumberFormat="1" applyFill="1"/>
    <xf numFmtId="1" fontId="0" fillId="6" borderId="0" xfId="0" applyNumberFormat="1" applyFill="1"/>
    <xf numFmtId="1" fontId="0" fillId="5" borderId="0" xfId="0" applyNumberFormat="1" applyFill="1"/>
    <xf numFmtId="0" fontId="0" fillId="4" borderId="15" xfId="0" applyFill="1" applyBorder="1" applyAlignment="1">
      <alignment horizontal="center"/>
    </xf>
    <xf numFmtId="1" fontId="19" fillId="33" borderId="0" xfId="0" applyNumberFormat="1" applyFont="1" applyFill="1" applyBorder="1" applyAlignment="1">
      <alignment horizontal="center"/>
    </xf>
    <xf numFmtId="0" fontId="0" fillId="28" borderId="25" xfId="0" applyFill="1" applyBorder="1" applyAlignment="1">
      <alignment vertical="center"/>
    </xf>
    <xf numFmtId="0" fontId="0" fillId="0" borderId="24" xfId="0" applyBorder="1" applyAlignment="1">
      <alignment vertical="center"/>
    </xf>
    <xf numFmtId="171" fontId="0" fillId="28" borderId="33" xfId="0" applyNumberFormat="1" applyFill="1" applyBorder="1" applyAlignment="1">
      <alignment horizontal="center" vertical="center"/>
    </xf>
    <xf numFmtId="171" fontId="0" fillId="0" borderId="34" xfId="0" applyNumberFormat="1" applyBorder="1" applyAlignment="1">
      <alignment horizontal="center" vertical="center"/>
    </xf>
    <xf numFmtId="168" fontId="0" fillId="28" borderId="25" xfId="0" applyNumberFormat="1" applyFill="1" applyBorder="1" applyAlignment="1">
      <alignment horizontal="center" vertical="center"/>
    </xf>
    <xf numFmtId="168" fontId="0" fillId="0" borderId="24" xfId="0" applyNumberFormat="1" applyBorder="1" applyAlignment="1">
      <alignment horizontal="center" vertical="center"/>
    </xf>
    <xf numFmtId="0" fontId="0" fillId="35" borderId="25" xfId="0" applyFill="1" applyBorder="1" applyAlignment="1">
      <alignment vertical="center"/>
    </xf>
    <xf numFmtId="0" fontId="0" fillId="35" borderId="24" xfId="0" applyFill="1" applyBorder="1" applyAlignment="1">
      <alignment vertical="center"/>
    </xf>
    <xf numFmtId="1" fontId="19" fillId="30" borderId="13" xfId="0" applyNumberFormat="1" applyFont="1" applyFill="1" applyBorder="1" applyAlignment="1">
      <alignment horizontal="center"/>
    </xf>
    <xf numFmtId="1" fontId="19" fillId="21" borderId="13" xfId="0" applyNumberFormat="1" applyFont="1" applyFill="1" applyBorder="1" applyAlignment="1">
      <alignment horizontal="center"/>
    </xf>
    <xf numFmtId="0" fontId="0" fillId="33" borderId="13" xfId="0" applyFill="1" applyBorder="1"/>
    <xf numFmtId="0" fontId="0" fillId="31" borderId="0" xfId="0" applyFill="1" applyBorder="1"/>
    <xf numFmtId="167" fontId="0" fillId="31" borderId="0" xfId="1" applyNumberFormat="1" applyFont="1" applyFill="1" applyBorder="1"/>
    <xf numFmtId="164" fontId="0" fillId="27" borderId="0" xfId="1" applyNumberFormat="1" applyFont="1" applyFill="1"/>
    <xf numFmtId="164" fontId="0" fillId="0" borderId="0" xfId="1" applyNumberFormat="1" applyFont="1"/>
    <xf numFmtId="0" fontId="0" fillId="22" borderId="0" xfId="0" applyFill="1"/>
    <xf numFmtId="14" fontId="0" fillId="22" borderId="0" xfId="0" applyNumberFormat="1" applyFill="1"/>
    <xf numFmtId="0" fontId="0" fillId="29" borderId="28" xfId="0" applyFill="1" applyBorder="1"/>
    <xf numFmtId="0" fontId="0" fillId="29" borderId="13" xfId="0" applyFill="1" applyBorder="1"/>
    <xf numFmtId="0" fontId="0" fillId="29" borderId="27" xfId="0" applyFill="1" applyBorder="1"/>
    <xf numFmtId="0" fontId="0" fillId="29" borderId="0" xfId="0" applyFill="1" applyBorder="1"/>
    <xf numFmtId="0" fontId="0" fillId="29" borderId="0" xfId="0" applyFill="1" applyBorder="1" applyAlignment="1">
      <alignment vertical="center"/>
    </xf>
    <xf numFmtId="1" fontId="0" fillId="29" borderId="0" xfId="0" applyNumberFormat="1" applyFill="1" applyBorder="1"/>
    <xf numFmtId="0" fontId="0" fillId="29" borderId="29" xfId="0" applyFill="1" applyBorder="1"/>
    <xf numFmtId="0" fontId="0" fillId="29" borderId="14" xfId="0" applyFill="1" applyBorder="1"/>
    <xf numFmtId="0" fontId="0" fillId="4" borderId="35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7" fontId="0" fillId="0" borderId="0" xfId="1" applyNumberFormat="1" applyFont="1" applyFill="1" applyBorder="1"/>
    <xf numFmtId="0" fontId="0" fillId="23" borderId="0" xfId="0" applyNumberFormat="1" applyFont="1" applyFill="1"/>
    <xf numFmtId="0" fontId="0" fillId="21" borderId="0" xfId="0" applyNumberFormat="1" applyFill="1"/>
    <xf numFmtId="167" fontId="0" fillId="0" borderId="0" xfId="0" applyNumberFormat="1"/>
    <xf numFmtId="0" fontId="0" fillId="36" borderId="0" xfId="1" applyNumberFormat="1" applyFont="1" applyFill="1" applyBorder="1" applyAlignment="1">
      <alignment horizontal="center"/>
    </xf>
    <xf numFmtId="0" fontId="0" fillId="36" borderId="26" xfId="1" applyNumberFormat="1" applyFont="1" applyFill="1" applyBorder="1" applyAlignment="1">
      <alignment horizontal="center"/>
    </xf>
    <xf numFmtId="0" fontId="0" fillId="36" borderId="0" xfId="1" applyNumberFormat="1" applyFont="1" applyFill="1" applyAlignment="1">
      <alignment horizontal="center"/>
    </xf>
    <xf numFmtId="172" fontId="0" fillId="0" borderId="0" xfId="1" applyNumberFormat="1" applyFont="1"/>
  </cellXfs>
  <cellStyles count="16327">
    <cellStyle name="Comma 10" xfId="8167" xr:uid="{00000000-0005-0000-0000-000014200000}"/>
    <cellStyle name="Comma 2" xfId="56" xr:uid="{00000000-0005-0000-0000-000065000000}"/>
    <cellStyle name="Comma 2 10" xfId="8218" xr:uid="{00000000-0005-0000-0000-000065000000}"/>
    <cellStyle name="Comma 2 2" xfId="158" xr:uid="{00000000-0005-0000-0000-000065000000}"/>
    <cellStyle name="Comma 2 2 2" xfId="362" xr:uid="{00000000-0005-0000-0000-000065000000}"/>
    <cellStyle name="Comma 2 2 2 2" xfId="770" xr:uid="{00000000-0005-0000-0000-000065000000}"/>
    <cellStyle name="Comma 2 2 2 2 2" xfId="2811" xr:uid="{00000000-0005-0000-0000-000065000000}"/>
    <cellStyle name="Comma 2 2 2 2 2 2" xfId="6892" xr:uid="{00000000-0005-0000-0000-000065000000}"/>
    <cellStyle name="Comma 2 2 2 2 2 2 2" xfId="15052" xr:uid="{00000000-0005-0000-0000-000065000000}"/>
    <cellStyle name="Comma 2 2 2 2 2 3" xfId="10972" xr:uid="{00000000-0005-0000-0000-000065000000}"/>
    <cellStyle name="Comma 2 2 2 2 3" xfId="1791" xr:uid="{00000000-0005-0000-0000-000065000000}"/>
    <cellStyle name="Comma 2 2 2 2 3 2" xfId="5872" xr:uid="{00000000-0005-0000-0000-000065000000}"/>
    <cellStyle name="Comma 2 2 2 2 3 2 2" xfId="14032" xr:uid="{00000000-0005-0000-0000-000065000000}"/>
    <cellStyle name="Comma 2 2 2 2 3 3" xfId="9952" xr:uid="{00000000-0005-0000-0000-000065000000}"/>
    <cellStyle name="Comma 2 2 2 2 4" xfId="3831" xr:uid="{00000000-0005-0000-0000-000065000000}"/>
    <cellStyle name="Comma 2 2 2 2 4 2" xfId="7912" xr:uid="{00000000-0005-0000-0000-000065000000}"/>
    <cellStyle name="Comma 2 2 2 2 4 2 2" xfId="16072" xr:uid="{00000000-0005-0000-0000-000065000000}"/>
    <cellStyle name="Comma 2 2 2 2 4 3" xfId="11992" xr:uid="{00000000-0005-0000-0000-000065000000}"/>
    <cellStyle name="Comma 2 2 2 2 5" xfId="4851" xr:uid="{00000000-0005-0000-0000-000065000000}"/>
    <cellStyle name="Comma 2 2 2 2 5 2" xfId="13012" xr:uid="{00000000-0005-0000-0000-000065000000}"/>
    <cellStyle name="Comma 2 2 2 2 6" xfId="8932" xr:uid="{00000000-0005-0000-0000-000065000000}"/>
    <cellStyle name="Comma 2 2 2 3" xfId="2403" xr:uid="{00000000-0005-0000-0000-000065000000}"/>
    <cellStyle name="Comma 2 2 2 3 2" xfId="6484" xr:uid="{00000000-0005-0000-0000-000065000000}"/>
    <cellStyle name="Comma 2 2 2 3 2 2" xfId="14644" xr:uid="{00000000-0005-0000-0000-000065000000}"/>
    <cellStyle name="Comma 2 2 2 3 3" xfId="10564" xr:uid="{00000000-0005-0000-0000-000065000000}"/>
    <cellStyle name="Comma 2 2 2 4" xfId="1383" xr:uid="{00000000-0005-0000-0000-000065000000}"/>
    <cellStyle name="Comma 2 2 2 4 2" xfId="5464" xr:uid="{00000000-0005-0000-0000-000065000000}"/>
    <cellStyle name="Comma 2 2 2 4 2 2" xfId="13624" xr:uid="{00000000-0005-0000-0000-000065000000}"/>
    <cellStyle name="Comma 2 2 2 4 3" xfId="9544" xr:uid="{00000000-0005-0000-0000-000065000000}"/>
    <cellStyle name="Comma 2 2 2 5" xfId="3423" xr:uid="{00000000-0005-0000-0000-000065000000}"/>
    <cellStyle name="Comma 2 2 2 5 2" xfId="7504" xr:uid="{00000000-0005-0000-0000-000065000000}"/>
    <cellStyle name="Comma 2 2 2 5 2 2" xfId="15664" xr:uid="{00000000-0005-0000-0000-000065000000}"/>
    <cellStyle name="Comma 2 2 2 5 3" xfId="11584" xr:uid="{00000000-0005-0000-0000-000065000000}"/>
    <cellStyle name="Comma 2 2 2 6" xfId="4443" xr:uid="{00000000-0005-0000-0000-000065000000}"/>
    <cellStyle name="Comma 2 2 2 6 2" xfId="12604" xr:uid="{00000000-0005-0000-0000-000065000000}"/>
    <cellStyle name="Comma 2 2 2 7" xfId="8524" xr:uid="{00000000-0005-0000-0000-000065000000}"/>
    <cellStyle name="Comma 2 2 3" xfId="974" xr:uid="{00000000-0005-0000-0000-000065000000}"/>
    <cellStyle name="Comma 2 2 3 2" xfId="3015" xr:uid="{00000000-0005-0000-0000-000065000000}"/>
    <cellStyle name="Comma 2 2 3 2 2" xfId="7096" xr:uid="{00000000-0005-0000-0000-000065000000}"/>
    <cellStyle name="Comma 2 2 3 2 2 2" xfId="15256" xr:uid="{00000000-0005-0000-0000-000065000000}"/>
    <cellStyle name="Comma 2 2 3 2 3" xfId="11176" xr:uid="{00000000-0005-0000-0000-000065000000}"/>
    <cellStyle name="Comma 2 2 3 3" xfId="1995" xr:uid="{00000000-0005-0000-0000-000065000000}"/>
    <cellStyle name="Comma 2 2 3 3 2" xfId="6076" xr:uid="{00000000-0005-0000-0000-000065000000}"/>
    <cellStyle name="Comma 2 2 3 3 2 2" xfId="14236" xr:uid="{00000000-0005-0000-0000-000065000000}"/>
    <cellStyle name="Comma 2 2 3 3 3" xfId="10156" xr:uid="{00000000-0005-0000-0000-000065000000}"/>
    <cellStyle name="Comma 2 2 3 4" xfId="4035" xr:uid="{00000000-0005-0000-0000-000065000000}"/>
    <cellStyle name="Comma 2 2 3 4 2" xfId="8116" xr:uid="{00000000-0005-0000-0000-000065000000}"/>
    <cellStyle name="Comma 2 2 3 4 2 2" xfId="16276" xr:uid="{00000000-0005-0000-0000-000065000000}"/>
    <cellStyle name="Comma 2 2 3 4 3" xfId="12196" xr:uid="{00000000-0005-0000-0000-000065000000}"/>
    <cellStyle name="Comma 2 2 3 5" xfId="5055" xr:uid="{00000000-0005-0000-0000-000065000000}"/>
    <cellStyle name="Comma 2 2 3 5 2" xfId="13216" xr:uid="{00000000-0005-0000-0000-000065000000}"/>
    <cellStyle name="Comma 2 2 3 6" xfId="9136" xr:uid="{00000000-0005-0000-0000-000065000000}"/>
    <cellStyle name="Comma 2 2 4" xfId="566" xr:uid="{00000000-0005-0000-0000-000065000000}"/>
    <cellStyle name="Comma 2 2 4 2" xfId="2607" xr:uid="{00000000-0005-0000-0000-000065000000}"/>
    <cellStyle name="Comma 2 2 4 2 2" xfId="6688" xr:uid="{00000000-0005-0000-0000-000065000000}"/>
    <cellStyle name="Comma 2 2 4 2 2 2" xfId="14848" xr:uid="{00000000-0005-0000-0000-000065000000}"/>
    <cellStyle name="Comma 2 2 4 2 3" xfId="10768" xr:uid="{00000000-0005-0000-0000-000065000000}"/>
    <cellStyle name="Comma 2 2 4 3" xfId="1587" xr:uid="{00000000-0005-0000-0000-000065000000}"/>
    <cellStyle name="Comma 2 2 4 3 2" xfId="5668" xr:uid="{00000000-0005-0000-0000-000065000000}"/>
    <cellStyle name="Comma 2 2 4 3 2 2" xfId="13828" xr:uid="{00000000-0005-0000-0000-000065000000}"/>
    <cellStyle name="Comma 2 2 4 3 3" xfId="9748" xr:uid="{00000000-0005-0000-0000-000065000000}"/>
    <cellStyle name="Comma 2 2 4 4" xfId="3627" xr:uid="{00000000-0005-0000-0000-000065000000}"/>
    <cellStyle name="Comma 2 2 4 4 2" xfId="7708" xr:uid="{00000000-0005-0000-0000-000065000000}"/>
    <cellStyle name="Comma 2 2 4 4 2 2" xfId="15868" xr:uid="{00000000-0005-0000-0000-000065000000}"/>
    <cellStyle name="Comma 2 2 4 4 3" xfId="11788" xr:uid="{00000000-0005-0000-0000-000065000000}"/>
    <cellStyle name="Comma 2 2 4 5" xfId="4647" xr:uid="{00000000-0005-0000-0000-000065000000}"/>
    <cellStyle name="Comma 2 2 4 5 2" xfId="12808" xr:uid="{00000000-0005-0000-0000-000065000000}"/>
    <cellStyle name="Comma 2 2 4 6" xfId="8728" xr:uid="{00000000-0005-0000-0000-000065000000}"/>
    <cellStyle name="Comma 2 2 5" xfId="2199" xr:uid="{00000000-0005-0000-0000-000065000000}"/>
    <cellStyle name="Comma 2 2 5 2" xfId="6280" xr:uid="{00000000-0005-0000-0000-000065000000}"/>
    <cellStyle name="Comma 2 2 5 2 2" xfId="14440" xr:uid="{00000000-0005-0000-0000-000065000000}"/>
    <cellStyle name="Comma 2 2 5 3" xfId="10360" xr:uid="{00000000-0005-0000-0000-000065000000}"/>
    <cellStyle name="Comma 2 2 6" xfId="1179" xr:uid="{00000000-0005-0000-0000-000065000000}"/>
    <cellStyle name="Comma 2 2 6 2" xfId="5260" xr:uid="{00000000-0005-0000-0000-000065000000}"/>
    <cellStyle name="Comma 2 2 6 2 2" xfId="13420" xr:uid="{00000000-0005-0000-0000-000065000000}"/>
    <cellStyle name="Comma 2 2 6 3" xfId="9340" xr:uid="{00000000-0005-0000-0000-000065000000}"/>
    <cellStyle name="Comma 2 2 7" xfId="3219" xr:uid="{00000000-0005-0000-0000-000065000000}"/>
    <cellStyle name="Comma 2 2 7 2" xfId="7300" xr:uid="{00000000-0005-0000-0000-000065000000}"/>
    <cellStyle name="Comma 2 2 7 2 2" xfId="15460" xr:uid="{00000000-0005-0000-0000-000065000000}"/>
    <cellStyle name="Comma 2 2 7 3" xfId="11380" xr:uid="{00000000-0005-0000-0000-000065000000}"/>
    <cellStyle name="Comma 2 2 8" xfId="4239" xr:uid="{00000000-0005-0000-0000-000065000000}"/>
    <cellStyle name="Comma 2 2 8 2" xfId="12400" xr:uid="{00000000-0005-0000-0000-000065000000}"/>
    <cellStyle name="Comma 2 2 9" xfId="8320" xr:uid="{00000000-0005-0000-0000-000065000000}"/>
    <cellStyle name="Comma 2 3" xfId="260" xr:uid="{00000000-0005-0000-0000-000065000000}"/>
    <cellStyle name="Comma 2 3 2" xfId="668" xr:uid="{00000000-0005-0000-0000-000065000000}"/>
    <cellStyle name="Comma 2 3 2 2" xfId="2709" xr:uid="{00000000-0005-0000-0000-000065000000}"/>
    <cellStyle name="Comma 2 3 2 2 2" xfId="6790" xr:uid="{00000000-0005-0000-0000-000065000000}"/>
    <cellStyle name="Comma 2 3 2 2 2 2" xfId="14950" xr:uid="{00000000-0005-0000-0000-000065000000}"/>
    <cellStyle name="Comma 2 3 2 2 3" xfId="10870" xr:uid="{00000000-0005-0000-0000-000065000000}"/>
    <cellStyle name="Comma 2 3 2 3" xfId="1689" xr:uid="{00000000-0005-0000-0000-000065000000}"/>
    <cellStyle name="Comma 2 3 2 3 2" xfId="5770" xr:uid="{00000000-0005-0000-0000-000065000000}"/>
    <cellStyle name="Comma 2 3 2 3 2 2" xfId="13930" xr:uid="{00000000-0005-0000-0000-000065000000}"/>
    <cellStyle name="Comma 2 3 2 3 3" xfId="9850" xr:uid="{00000000-0005-0000-0000-000065000000}"/>
    <cellStyle name="Comma 2 3 2 4" xfId="3729" xr:uid="{00000000-0005-0000-0000-000065000000}"/>
    <cellStyle name="Comma 2 3 2 4 2" xfId="7810" xr:uid="{00000000-0005-0000-0000-000065000000}"/>
    <cellStyle name="Comma 2 3 2 4 2 2" xfId="15970" xr:uid="{00000000-0005-0000-0000-000065000000}"/>
    <cellStyle name="Comma 2 3 2 4 3" xfId="11890" xr:uid="{00000000-0005-0000-0000-000065000000}"/>
    <cellStyle name="Comma 2 3 2 5" xfId="4749" xr:uid="{00000000-0005-0000-0000-000065000000}"/>
    <cellStyle name="Comma 2 3 2 5 2" xfId="12910" xr:uid="{00000000-0005-0000-0000-000065000000}"/>
    <cellStyle name="Comma 2 3 2 6" xfId="8830" xr:uid="{00000000-0005-0000-0000-000065000000}"/>
    <cellStyle name="Comma 2 3 3" xfId="2301" xr:uid="{00000000-0005-0000-0000-000065000000}"/>
    <cellStyle name="Comma 2 3 3 2" xfId="6382" xr:uid="{00000000-0005-0000-0000-000065000000}"/>
    <cellStyle name="Comma 2 3 3 2 2" xfId="14542" xr:uid="{00000000-0005-0000-0000-000065000000}"/>
    <cellStyle name="Comma 2 3 3 3" xfId="10462" xr:uid="{00000000-0005-0000-0000-000065000000}"/>
    <cellStyle name="Comma 2 3 4" xfId="1281" xr:uid="{00000000-0005-0000-0000-000065000000}"/>
    <cellStyle name="Comma 2 3 4 2" xfId="5362" xr:uid="{00000000-0005-0000-0000-000065000000}"/>
    <cellStyle name="Comma 2 3 4 2 2" xfId="13522" xr:uid="{00000000-0005-0000-0000-000065000000}"/>
    <cellStyle name="Comma 2 3 4 3" xfId="9442" xr:uid="{00000000-0005-0000-0000-000065000000}"/>
    <cellStyle name="Comma 2 3 5" xfId="3321" xr:uid="{00000000-0005-0000-0000-000065000000}"/>
    <cellStyle name="Comma 2 3 5 2" xfId="7402" xr:uid="{00000000-0005-0000-0000-000065000000}"/>
    <cellStyle name="Comma 2 3 5 2 2" xfId="15562" xr:uid="{00000000-0005-0000-0000-000065000000}"/>
    <cellStyle name="Comma 2 3 5 3" xfId="11482" xr:uid="{00000000-0005-0000-0000-000065000000}"/>
    <cellStyle name="Comma 2 3 6" xfId="4341" xr:uid="{00000000-0005-0000-0000-000065000000}"/>
    <cellStyle name="Comma 2 3 6 2" xfId="12502" xr:uid="{00000000-0005-0000-0000-000065000000}"/>
    <cellStyle name="Comma 2 3 7" xfId="8422" xr:uid="{00000000-0005-0000-0000-000065000000}"/>
    <cellStyle name="Comma 2 4" xfId="872" xr:uid="{00000000-0005-0000-0000-000065000000}"/>
    <cellStyle name="Comma 2 4 2" xfId="2913" xr:uid="{00000000-0005-0000-0000-000065000000}"/>
    <cellStyle name="Comma 2 4 2 2" xfId="6994" xr:uid="{00000000-0005-0000-0000-000065000000}"/>
    <cellStyle name="Comma 2 4 2 2 2" xfId="15154" xr:uid="{00000000-0005-0000-0000-000065000000}"/>
    <cellStyle name="Comma 2 4 2 3" xfId="11074" xr:uid="{00000000-0005-0000-0000-000065000000}"/>
    <cellStyle name="Comma 2 4 3" xfId="1893" xr:uid="{00000000-0005-0000-0000-000065000000}"/>
    <cellStyle name="Comma 2 4 3 2" xfId="5974" xr:uid="{00000000-0005-0000-0000-000065000000}"/>
    <cellStyle name="Comma 2 4 3 2 2" xfId="14134" xr:uid="{00000000-0005-0000-0000-000065000000}"/>
    <cellStyle name="Comma 2 4 3 3" xfId="10054" xr:uid="{00000000-0005-0000-0000-000065000000}"/>
    <cellStyle name="Comma 2 4 4" xfId="3933" xr:uid="{00000000-0005-0000-0000-000065000000}"/>
    <cellStyle name="Comma 2 4 4 2" xfId="8014" xr:uid="{00000000-0005-0000-0000-000065000000}"/>
    <cellStyle name="Comma 2 4 4 2 2" xfId="16174" xr:uid="{00000000-0005-0000-0000-000065000000}"/>
    <cellStyle name="Comma 2 4 4 3" xfId="12094" xr:uid="{00000000-0005-0000-0000-000065000000}"/>
    <cellStyle name="Comma 2 4 5" xfId="4953" xr:uid="{00000000-0005-0000-0000-000065000000}"/>
    <cellStyle name="Comma 2 4 5 2" xfId="13114" xr:uid="{00000000-0005-0000-0000-000065000000}"/>
    <cellStyle name="Comma 2 4 6" xfId="9034" xr:uid="{00000000-0005-0000-0000-000065000000}"/>
    <cellStyle name="Comma 2 5" xfId="464" xr:uid="{00000000-0005-0000-0000-000065000000}"/>
    <cellStyle name="Comma 2 5 2" xfId="2505" xr:uid="{00000000-0005-0000-0000-000065000000}"/>
    <cellStyle name="Comma 2 5 2 2" xfId="6586" xr:uid="{00000000-0005-0000-0000-000065000000}"/>
    <cellStyle name="Comma 2 5 2 2 2" xfId="14746" xr:uid="{00000000-0005-0000-0000-000065000000}"/>
    <cellStyle name="Comma 2 5 2 3" xfId="10666" xr:uid="{00000000-0005-0000-0000-000065000000}"/>
    <cellStyle name="Comma 2 5 3" xfId="1485" xr:uid="{00000000-0005-0000-0000-000065000000}"/>
    <cellStyle name="Comma 2 5 3 2" xfId="5566" xr:uid="{00000000-0005-0000-0000-000065000000}"/>
    <cellStyle name="Comma 2 5 3 2 2" xfId="13726" xr:uid="{00000000-0005-0000-0000-000065000000}"/>
    <cellStyle name="Comma 2 5 3 3" xfId="9646" xr:uid="{00000000-0005-0000-0000-000065000000}"/>
    <cellStyle name="Comma 2 5 4" xfId="3525" xr:uid="{00000000-0005-0000-0000-000065000000}"/>
    <cellStyle name="Comma 2 5 4 2" xfId="7606" xr:uid="{00000000-0005-0000-0000-000065000000}"/>
    <cellStyle name="Comma 2 5 4 2 2" xfId="15766" xr:uid="{00000000-0005-0000-0000-000065000000}"/>
    <cellStyle name="Comma 2 5 4 3" xfId="11686" xr:uid="{00000000-0005-0000-0000-000065000000}"/>
    <cellStyle name="Comma 2 5 5" xfId="4545" xr:uid="{00000000-0005-0000-0000-000065000000}"/>
    <cellStyle name="Comma 2 5 5 2" xfId="12706" xr:uid="{00000000-0005-0000-0000-000065000000}"/>
    <cellStyle name="Comma 2 5 6" xfId="8626" xr:uid="{00000000-0005-0000-0000-000065000000}"/>
    <cellStyle name="Comma 2 6" xfId="2097" xr:uid="{00000000-0005-0000-0000-000065000000}"/>
    <cellStyle name="Comma 2 6 2" xfId="6178" xr:uid="{00000000-0005-0000-0000-000065000000}"/>
    <cellStyle name="Comma 2 6 2 2" xfId="14338" xr:uid="{00000000-0005-0000-0000-000065000000}"/>
    <cellStyle name="Comma 2 6 3" xfId="10258" xr:uid="{00000000-0005-0000-0000-000065000000}"/>
    <cellStyle name="Comma 2 7" xfId="1077" xr:uid="{00000000-0005-0000-0000-000065000000}"/>
    <cellStyle name="Comma 2 7 2" xfId="5158" xr:uid="{00000000-0005-0000-0000-000065000000}"/>
    <cellStyle name="Comma 2 7 2 2" xfId="13318" xr:uid="{00000000-0005-0000-0000-000065000000}"/>
    <cellStyle name="Comma 2 7 3" xfId="9238" xr:uid="{00000000-0005-0000-0000-000065000000}"/>
    <cellStyle name="Comma 2 8" xfId="3117" xr:uid="{00000000-0005-0000-0000-000065000000}"/>
    <cellStyle name="Comma 2 8 2" xfId="7198" xr:uid="{00000000-0005-0000-0000-000065000000}"/>
    <cellStyle name="Comma 2 8 2 2" xfId="15358" xr:uid="{00000000-0005-0000-0000-000065000000}"/>
    <cellStyle name="Comma 2 8 3" xfId="11278" xr:uid="{00000000-0005-0000-0000-000065000000}"/>
    <cellStyle name="Comma 2 9" xfId="4137" xr:uid="{00000000-0005-0000-0000-000065000000}"/>
    <cellStyle name="Comma 2 9 2" xfId="12298" xr:uid="{00000000-0005-0000-0000-000065000000}"/>
    <cellStyle name="Comma 3" xfId="209" xr:uid="{00000000-0005-0000-0000-0000FE000000}"/>
    <cellStyle name="Comma 3 2" xfId="617" xr:uid="{00000000-0005-0000-0000-0000FE000000}"/>
    <cellStyle name="Comma 3 2 2" xfId="2658" xr:uid="{00000000-0005-0000-0000-0000FE000000}"/>
    <cellStyle name="Comma 3 2 2 2" xfId="6739" xr:uid="{00000000-0005-0000-0000-0000FE000000}"/>
    <cellStyle name="Comma 3 2 2 2 2" xfId="14899" xr:uid="{00000000-0005-0000-0000-0000FE000000}"/>
    <cellStyle name="Comma 3 2 2 3" xfId="10819" xr:uid="{00000000-0005-0000-0000-0000FE000000}"/>
    <cellStyle name="Comma 3 2 3" xfId="1638" xr:uid="{00000000-0005-0000-0000-0000FE000000}"/>
    <cellStyle name="Comma 3 2 3 2" xfId="5719" xr:uid="{00000000-0005-0000-0000-0000FE000000}"/>
    <cellStyle name="Comma 3 2 3 2 2" xfId="13879" xr:uid="{00000000-0005-0000-0000-0000FE000000}"/>
    <cellStyle name="Comma 3 2 3 3" xfId="9799" xr:uid="{00000000-0005-0000-0000-0000FE000000}"/>
    <cellStyle name="Comma 3 2 4" xfId="3678" xr:uid="{00000000-0005-0000-0000-0000FE000000}"/>
    <cellStyle name="Comma 3 2 4 2" xfId="7759" xr:uid="{00000000-0005-0000-0000-0000FE000000}"/>
    <cellStyle name="Comma 3 2 4 2 2" xfId="15919" xr:uid="{00000000-0005-0000-0000-0000FE000000}"/>
    <cellStyle name="Comma 3 2 4 3" xfId="11839" xr:uid="{00000000-0005-0000-0000-0000FE000000}"/>
    <cellStyle name="Comma 3 2 5" xfId="4698" xr:uid="{00000000-0005-0000-0000-0000FE000000}"/>
    <cellStyle name="Comma 3 2 5 2" xfId="12859" xr:uid="{00000000-0005-0000-0000-0000FE000000}"/>
    <cellStyle name="Comma 3 2 6" xfId="8779" xr:uid="{00000000-0005-0000-0000-0000FE000000}"/>
    <cellStyle name="Comma 3 3" xfId="2250" xr:uid="{00000000-0005-0000-0000-0000FE000000}"/>
    <cellStyle name="Comma 3 3 2" xfId="6331" xr:uid="{00000000-0005-0000-0000-0000FE000000}"/>
    <cellStyle name="Comma 3 3 2 2" xfId="14491" xr:uid="{00000000-0005-0000-0000-0000FE000000}"/>
    <cellStyle name="Comma 3 3 3" xfId="10411" xr:uid="{00000000-0005-0000-0000-0000FE000000}"/>
    <cellStyle name="Comma 3 4" xfId="1230" xr:uid="{00000000-0005-0000-0000-0000FE000000}"/>
    <cellStyle name="Comma 3 4 2" xfId="5311" xr:uid="{00000000-0005-0000-0000-0000FE000000}"/>
    <cellStyle name="Comma 3 4 2 2" xfId="13471" xr:uid="{00000000-0005-0000-0000-0000FE000000}"/>
    <cellStyle name="Comma 3 4 3" xfId="9391" xr:uid="{00000000-0005-0000-0000-0000FE000000}"/>
    <cellStyle name="Comma 3 5" xfId="3270" xr:uid="{00000000-0005-0000-0000-0000FE000000}"/>
    <cellStyle name="Comma 3 5 2" xfId="7351" xr:uid="{00000000-0005-0000-0000-0000FE000000}"/>
    <cellStyle name="Comma 3 5 2 2" xfId="15511" xr:uid="{00000000-0005-0000-0000-0000FE000000}"/>
    <cellStyle name="Comma 3 5 3" xfId="11431" xr:uid="{00000000-0005-0000-0000-0000FE000000}"/>
    <cellStyle name="Comma 3 6" xfId="4290" xr:uid="{00000000-0005-0000-0000-0000FE000000}"/>
    <cellStyle name="Comma 3 6 2" xfId="12451" xr:uid="{00000000-0005-0000-0000-0000FE000000}"/>
    <cellStyle name="Comma 3 7" xfId="8371" xr:uid="{00000000-0005-0000-0000-0000FE000000}"/>
    <cellStyle name="Comma 4" xfId="821" xr:uid="{00000000-0005-0000-0000-0000CA010000}"/>
    <cellStyle name="Comma 4 2" xfId="2862" xr:uid="{00000000-0005-0000-0000-0000CA010000}"/>
    <cellStyle name="Comma 4 2 2" xfId="6943" xr:uid="{00000000-0005-0000-0000-0000CA010000}"/>
    <cellStyle name="Comma 4 2 2 2" xfId="15103" xr:uid="{00000000-0005-0000-0000-0000CA010000}"/>
    <cellStyle name="Comma 4 2 3" xfId="11023" xr:uid="{00000000-0005-0000-0000-0000CA010000}"/>
    <cellStyle name="Comma 4 3" xfId="1842" xr:uid="{00000000-0005-0000-0000-0000CA010000}"/>
    <cellStyle name="Comma 4 3 2" xfId="5923" xr:uid="{00000000-0005-0000-0000-0000CA010000}"/>
    <cellStyle name="Comma 4 3 2 2" xfId="14083" xr:uid="{00000000-0005-0000-0000-0000CA010000}"/>
    <cellStyle name="Comma 4 3 3" xfId="10003" xr:uid="{00000000-0005-0000-0000-0000CA010000}"/>
    <cellStyle name="Comma 4 4" xfId="3882" xr:uid="{00000000-0005-0000-0000-0000CA010000}"/>
    <cellStyle name="Comma 4 4 2" xfId="7963" xr:uid="{00000000-0005-0000-0000-0000CA010000}"/>
    <cellStyle name="Comma 4 4 2 2" xfId="16123" xr:uid="{00000000-0005-0000-0000-0000CA010000}"/>
    <cellStyle name="Comma 4 4 3" xfId="12043" xr:uid="{00000000-0005-0000-0000-0000CA010000}"/>
    <cellStyle name="Comma 4 5" xfId="4902" xr:uid="{00000000-0005-0000-0000-0000CA010000}"/>
    <cellStyle name="Comma 4 5 2" xfId="13063" xr:uid="{00000000-0005-0000-0000-0000CA010000}"/>
    <cellStyle name="Comma 4 6" xfId="8983" xr:uid="{00000000-0005-0000-0000-0000CA010000}"/>
    <cellStyle name="Comma 5" xfId="413" xr:uid="{00000000-0005-0000-0000-0000CA010000}"/>
    <cellStyle name="Comma 5 2" xfId="2454" xr:uid="{00000000-0005-0000-0000-0000CA010000}"/>
    <cellStyle name="Comma 5 2 2" xfId="6535" xr:uid="{00000000-0005-0000-0000-0000CA010000}"/>
    <cellStyle name="Comma 5 2 2 2" xfId="14695" xr:uid="{00000000-0005-0000-0000-0000CA010000}"/>
    <cellStyle name="Comma 5 2 3" xfId="10615" xr:uid="{00000000-0005-0000-0000-0000CA010000}"/>
    <cellStyle name="Comma 5 3" xfId="1434" xr:uid="{00000000-0005-0000-0000-0000CA010000}"/>
    <cellStyle name="Comma 5 3 2" xfId="5515" xr:uid="{00000000-0005-0000-0000-0000CA010000}"/>
    <cellStyle name="Comma 5 3 2 2" xfId="13675" xr:uid="{00000000-0005-0000-0000-0000CA010000}"/>
    <cellStyle name="Comma 5 3 3" xfId="9595" xr:uid="{00000000-0005-0000-0000-0000CA010000}"/>
    <cellStyle name="Comma 5 4" xfId="3474" xr:uid="{00000000-0005-0000-0000-0000CA010000}"/>
    <cellStyle name="Comma 5 4 2" xfId="7555" xr:uid="{00000000-0005-0000-0000-0000CA010000}"/>
    <cellStyle name="Comma 5 4 2 2" xfId="15715" xr:uid="{00000000-0005-0000-0000-0000CA010000}"/>
    <cellStyle name="Comma 5 4 3" xfId="11635" xr:uid="{00000000-0005-0000-0000-0000CA010000}"/>
    <cellStyle name="Comma 5 5" xfId="4494" xr:uid="{00000000-0005-0000-0000-0000CA010000}"/>
    <cellStyle name="Comma 5 5 2" xfId="12655" xr:uid="{00000000-0005-0000-0000-0000CA010000}"/>
    <cellStyle name="Comma 5 6" xfId="8575" xr:uid="{00000000-0005-0000-0000-0000CA010000}"/>
    <cellStyle name="Comma 6" xfId="2046" xr:uid="{00000000-0005-0000-0000-00002E040000}"/>
    <cellStyle name="Comma 6 2" xfId="6127" xr:uid="{00000000-0005-0000-0000-00002E040000}"/>
    <cellStyle name="Comma 6 2 2" xfId="14287" xr:uid="{00000000-0005-0000-0000-00002E040000}"/>
    <cellStyle name="Comma 6 3" xfId="10207" xr:uid="{00000000-0005-0000-0000-00002E040000}"/>
    <cellStyle name="Comma 7" xfId="1026" xr:uid="{00000000-0005-0000-0000-00002F040000}"/>
    <cellStyle name="Comma 7 2" xfId="5107" xr:uid="{00000000-0005-0000-0000-00002F040000}"/>
    <cellStyle name="Comma 7 2 2" xfId="13267" xr:uid="{00000000-0005-0000-0000-00002F040000}"/>
    <cellStyle name="Comma 7 3" xfId="9187" xr:uid="{00000000-0005-0000-0000-00002F040000}"/>
    <cellStyle name="Comma 8" xfId="3066" xr:uid="{00000000-0005-0000-0000-0000270C0000}"/>
    <cellStyle name="Comma 8 2" xfId="7147" xr:uid="{00000000-0005-0000-0000-0000270C0000}"/>
    <cellStyle name="Comma 8 2 2" xfId="15307" xr:uid="{00000000-0005-0000-0000-0000270C0000}"/>
    <cellStyle name="Comma 8 3" xfId="11227" xr:uid="{00000000-0005-0000-0000-0000270C0000}"/>
    <cellStyle name="Comma 9" xfId="4086" xr:uid="{00000000-0005-0000-0000-000023100000}"/>
    <cellStyle name="Comma 9 2" xfId="12247" xr:uid="{00000000-0005-0000-0000-000023100000}"/>
    <cellStyle name="Euro" xfId="2" xr:uid="{00000000-0005-0000-0000-000000000000}"/>
    <cellStyle name="Normal" xfId="0" builtinId="0"/>
    <cellStyle name="Normal 2" xfId="3" xr:uid="{00000000-0005-0000-0000-000002000000}"/>
    <cellStyle name="Normal 2 10" xfId="822" xr:uid="{00000000-0005-0000-0000-000002000000}"/>
    <cellStyle name="Normal 2 10 2" xfId="2863" xr:uid="{00000000-0005-0000-0000-000002000000}"/>
    <cellStyle name="Normal 2 10 2 2" xfId="6944" xr:uid="{00000000-0005-0000-0000-000002000000}"/>
    <cellStyle name="Normal 2 10 2 2 2" xfId="15104" xr:uid="{00000000-0005-0000-0000-000002000000}"/>
    <cellStyle name="Normal 2 10 2 3" xfId="11024" xr:uid="{00000000-0005-0000-0000-000002000000}"/>
    <cellStyle name="Normal 2 10 3" xfId="1843" xr:uid="{00000000-0005-0000-0000-000002000000}"/>
    <cellStyle name="Normal 2 10 3 2" xfId="5924" xr:uid="{00000000-0005-0000-0000-000002000000}"/>
    <cellStyle name="Normal 2 10 3 2 2" xfId="14084" xr:uid="{00000000-0005-0000-0000-000002000000}"/>
    <cellStyle name="Normal 2 10 3 3" xfId="10004" xr:uid="{00000000-0005-0000-0000-000002000000}"/>
    <cellStyle name="Normal 2 10 4" xfId="3883" xr:uid="{00000000-0005-0000-0000-000002000000}"/>
    <cellStyle name="Normal 2 10 4 2" xfId="7964" xr:uid="{00000000-0005-0000-0000-000002000000}"/>
    <cellStyle name="Normal 2 10 4 2 2" xfId="16124" xr:uid="{00000000-0005-0000-0000-000002000000}"/>
    <cellStyle name="Normal 2 10 4 3" xfId="12044" xr:uid="{00000000-0005-0000-0000-000002000000}"/>
    <cellStyle name="Normal 2 10 5" xfId="4903" xr:uid="{00000000-0005-0000-0000-000002000000}"/>
    <cellStyle name="Normal 2 10 5 2" xfId="13064" xr:uid="{00000000-0005-0000-0000-000002000000}"/>
    <cellStyle name="Normal 2 10 6" xfId="8984" xr:uid="{00000000-0005-0000-0000-000002000000}"/>
    <cellStyle name="Normal 2 11" xfId="414" xr:uid="{00000000-0005-0000-0000-000002000000}"/>
    <cellStyle name="Normal 2 11 2" xfId="2455" xr:uid="{00000000-0005-0000-0000-000002000000}"/>
    <cellStyle name="Normal 2 11 2 2" xfId="6536" xr:uid="{00000000-0005-0000-0000-000002000000}"/>
    <cellStyle name="Normal 2 11 2 2 2" xfId="14696" xr:uid="{00000000-0005-0000-0000-000002000000}"/>
    <cellStyle name="Normal 2 11 2 3" xfId="10616" xr:uid="{00000000-0005-0000-0000-000002000000}"/>
    <cellStyle name="Normal 2 11 3" xfId="1435" xr:uid="{00000000-0005-0000-0000-000002000000}"/>
    <cellStyle name="Normal 2 11 3 2" xfId="5516" xr:uid="{00000000-0005-0000-0000-000002000000}"/>
    <cellStyle name="Normal 2 11 3 2 2" xfId="13676" xr:uid="{00000000-0005-0000-0000-000002000000}"/>
    <cellStyle name="Normal 2 11 3 3" xfId="9596" xr:uid="{00000000-0005-0000-0000-000002000000}"/>
    <cellStyle name="Normal 2 11 4" xfId="3475" xr:uid="{00000000-0005-0000-0000-000002000000}"/>
    <cellStyle name="Normal 2 11 4 2" xfId="7556" xr:uid="{00000000-0005-0000-0000-000002000000}"/>
    <cellStyle name="Normal 2 11 4 2 2" xfId="15716" xr:uid="{00000000-0005-0000-0000-000002000000}"/>
    <cellStyle name="Normal 2 11 4 3" xfId="11636" xr:uid="{00000000-0005-0000-0000-000002000000}"/>
    <cellStyle name="Normal 2 11 5" xfId="4495" xr:uid="{00000000-0005-0000-0000-000002000000}"/>
    <cellStyle name="Normal 2 11 5 2" xfId="12656" xr:uid="{00000000-0005-0000-0000-000002000000}"/>
    <cellStyle name="Normal 2 11 6" xfId="8576" xr:uid="{00000000-0005-0000-0000-000002000000}"/>
    <cellStyle name="Normal 2 12" xfId="2047" xr:uid="{00000000-0005-0000-0000-000002000000}"/>
    <cellStyle name="Normal 2 12 2" xfId="6128" xr:uid="{00000000-0005-0000-0000-000002000000}"/>
    <cellStyle name="Normal 2 12 2 2" xfId="14288" xr:uid="{00000000-0005-0000-0000-000002000000}"/>
    <cellStyle name="Normal 2 12 3" xfId="10208" xr:uid="{00000000-0005-0000-0000-000002000000}"/>
    <cellStyle name="Normal 2 13" xfId="1027" xr:uid="{00000000-0005-0000-0000-000002000000}"/>
    <cellStyle name="Normal 2 13 2" xfId="5108" xr:uid="{00000000-0005-0000-0000-000002000000}"/>
    <cellStyle name="Normal 2 13 2 2" xfId="13268" xr:uid="{00000000-0005-0000-0000-000002000000}"/>
    <cellStyle name="Normal 2 13 3" xfId="9188" xr:uid="{00000000-0005-0000-0000-000002000000}"/>
    <cellStyle name="Normal 2 14" xfId="3067" xr:uid="{00000000-0005-0000-0000-000002000000}"/>
    <cellStyle name="Normal 2 14 2" xfId="7148" xr:uid="{00000000-0005-0000-0000-000002000000}"/>
    <cellStyle name="Normal 2 14 2 2" xfId="15308" xr:uid="{00000000-0005-0000-0000-000002000000}"/>
    <cellStyle name="Normal 2 14 3" xfId="11228" xr:uid="{00000000-0005-0000-0000-000002000000}"/>
    <cellStyle name="Normal 2 15" xfId="4087" xr:uid="{00000000-0005-0000-0000-000002000000}"/>
    <cellStyle name="Normal 2 15 2" xfId="12248" xr:uid="{00000000-0005-0000-0000-000002000000}"/>
    <cellStyle name="Normal 2 16" xfId="8168" xr:uid="{00000000-0005-0000-0000-000002000000}"/>
    <cellStyle name="Normal 2 2" xfId="5" xr:uid="{00000000-0005-0000-0000-000003000000}"/>
    <cellStyle name="Normal 2 2 10" xfId="416" xr:uid="{00000000-0005-0000-0000-000003000000}"/>
    <cellStyle name="Normal 2 2 10 2" xfId="2457" xr:uid="{00000000-0005-0000-0000-000003000000}"/>
    <cellStyle name="Normal 2 2 10 2 2" xfId="6538" xr:uid="{00000000-0005-0000-0000-000003000000}"/>
    <cellStyle name="Normal 2 2 10 2 2 2" xfId="14698" xr:uid="{00000000-0005-0000-0000-000003000000}"/>
    <cellStyle name="Normal 2 2 10 2 3" xfId="10618" xr:uid="{00000000-0005-0000-0000-000003000000}"/>
    <cellStyle name="Normal 2 2 10 3" xfId="1437" xr:uid="{00000000-0005-0000-0000-000003000000}"/>
    <cellStyle name="Normal 2 2 10 3 2" xfId="5518" xr:uid="{00000000-0005-0000-0000-000003000000}"/>
    <cellStyle name="Normal 2 2 10 3 2 2" xfId="13678" xr:uid="{00000000-0005-0000-0000-000003000000}"/>
    <cellStyle name="Normal 2 2 10 3 3" xfId="9598" xr:uid="{00000000-0005-0000-0000-000003000000}"/>
    <cellStyle name="Normal 2 2 10 4" xfId="3477" xr:uid="{00000000-0005-0000-0000-000003000000}"/>
    <cellStyle name="Normal 2 2 10 4 2" xfId="7558" xr:uid="{00000000-0005-0000-0000-000003000000}"/>
    <cellStyle name="Normal 2 2 10 4 2 2" xfId="15718" xr:uid="{00000000-0005-0000-0000-000003000000}"/>
    <cellStyle name="Normal 2 2 10 4 3" xfId="11638" xr:uid="{00000000-0005-0000-0000-000003000000}"/>
    <cellStyle name="Normal 2 2 10 5" xfId="4497" xr:uid="{00000000-0005-0000-0000-000003000000}"/>
    <cellStyle name="Normal 2 2 10 5 2" xfId="12658" xr:uid="{00000000-0005-0000-0000-000003000000}"/>
    <cellStyle name="Normal 2 2 10 6" xfId="8578" xr:uid="{00000000-0005-0000-0000-000003000000}"/>
    <cellStyle name="Normal 2 2 11" xfId="2049" xr:uid="{00000000-0005-0000-0000-000003000000}"/>
    <cellStyle name="Normal 2 2 11 2" xfId="6130" xr:uid="{00000000-0005-0000-0000-000003000000}"/>
    <cellStyle name="Normal 2 2 11 2 2" xfId="14290" xr:uid="{00000000-0005-0000-0000-000003000000}"/>
    <cellStyle name="Normal 2 2 11 3" xfId="10210" xr:uid="{00000000-0005-0000-0000-000003000000}"/>
    <cellStyle name="Normal 2 2 12" xfId="1029" xr:uid="{00000000-0005-0000-0000-000003000000}"/>
    <cellStyle name="Normal 2 2 12 2" xfId="5110" xr:uid="{00000000-0005-0000-0000-000003000000}"/>
    <cellStyle name="Normal 2 2 12 2 2" xfId="13270" xr:uid="{00000000-0005-0000-0000-000003000000}"/>
    <cellStyle name="Normal 2 2 12 3" xfId="9190" xr:uid="{00000000-0005-0000-0000-000003000000}"/>
    <cellStyle name="Normal 2 2 13" xfId="3069" xr:uid="{00000000-0005-0000-0000-000003000000}"/>
    <cellStyle name="Normal 2 2 13 2" xfId="7150" xr:uid="{00000000-0005-0000-0000-000003000000}"/>
    <cellStyle name="Normal 2 2 13 2 2" xfId="15310" xr:uid="{00000000-0005-0000-0000-000003000000}"/>
    <cellStyle name="Normal 2 2 13 3" xfId="11230" xr:uid="{00000000-0005-0000-0000-000003000000}"/>
    <cellStyle name="Normal 2 2 14" xfId="4089" xr:uid="{00000000-0005-0000-0000-000003000000}"/>
    <cellStyle name="Normal 2 2 14 2" xfId="12250" xr:uid="{00000000-0005-0000-0000-000003000000}"/>
    <cellStyle name="Normal 2 2 15" xfId="8170" xr:uid="{00000000-0005-0000-0000-000003000000}"/>
    <cellStyle name="Normal 2 2 2" xfId="6" xr:uid="{00000000-0005-0000-0000-000004000000}"/>
    <cellStyle name="Normal 2 2 2 10" xfId="2050" xr:uid="{00000000-0005-0000-0000-000004000000}"/>
    <cellStyle name="Normal 2 2 2 10 2" xfId="6131" xr:uid="{00000000-0005-0000-0000-000004000000}"/>
    <cellStyle name="Normal 2 2 2 10 2 2" xfId="14291" xr:uid="{00000000-0005-0000-0000-000004000000}"/>
    <cellStyle name="Normal 2 2 2 10 3" xfId="10211" xr:uid="{00000000-0005-0000-0000-000004000000}"/>
    <cellStyle name="Normal 2 2 2 11" xfId="1030" xr:uid="{00000000-0005-0000-0000-000004000000}"/>
    <cellStyle name="Normal 2 2 2 11 2" xfId="5111" xr:uid="{00000000-0005-0000-0000-000004000000}"/>
    <cellStyle name="Normal 2 2 2 11 2 2" xfId="13271" xr:uid="{00000000-0005-0000-0000-000004000000}"/>
    <cellStyle name="Normal 2 2 2 11 3" xfId="9191" xr:uid="{00000000-0005-0000-0000-000004000000}"/>
    <cellStyle name="Normal 2 2 2 12" xfId="3070" xr:uid="{00000000-0005-0000-0000-000004000000}"/>
    <cellStyle name="Normal 2 2 2 12 2" xfId="7151" xr:uid="{00000000-0005-0000-0000-000004000000}"/>
    <cellStyle name="Normal 2 2 2 12 2 2" xfId="15311" xr:uid="{00000000-0005-0000-0000-000004000000}"/>
    <cellStyle name="Normal 2 2 2 12 3" xfId="11231" xr:uid="{00000000-0005-0000-0000-000004000000}"/>
    <cellStyle name="Normal 2 2 2 13" xfId="4090" xr:uid="{00000000-0005-0000-0000-000004000000}"/>
    <cellStyle name="Normal 2 2 2 13 2" xfId="12251" xr:uid="{00000000-0005-0000-0000-000004000000}"/>
    <cellStyle name="Normal 2 2 2 14" xfId="8171" xr:uid="{00000000-0005-0000-0000-000004000000}"/>
    <cellStyle name="Normal 2 2 2 2" xfId="14" xr:uid="{00000000-0005-0000-0000-000005000000}"/>
    <cellStyle name="Normal 2 2 2 2 10" xfId="3078" xr:uid="{00000000-0005-0000-0000-000005000000}"/>
    <cellStyle name="Normal 2 2 2 2 10 2" xfId="7159" xr:uid="{00000000-0005-0000-0000-000005000000}"/>
    <cellStyle name="Normal 2 2 2 2 10 2 2" xfId="15319" xr:uid="{00000000-0005-0000-0000-000005000000}"/>
    <cellStyle name="Normal 2 2 2 2 10 3" xfId="11239" xr:uid="{00000000-0005-0000-0000-000005000000}"/>
    <cellStyle name="Normal 2 2 2 2 11" xfId="4098" xr:uid="{00000000-0005-0000-0000-000005000000}"/>
    <cellStyle name="Normal 2 2 2 2 11 2" xfId="12259" xr:uid="{00000000-0005-0000-0000-000005000000}"/>
    <cellStyle name="Normal 2 2 2 2 12" xfId="8179" xr:uid="{00000000-0005-0000-0000-000005000000}"/>
    <cellStyle name="Normal 2 2 2 2 2" xfId="42" xr:uid="{00000000-0005-0000-0000-000006000000}"/>
    <cellStyle name="Normal 2 2 2 2 2 10" xfId="4123" xr:uid="{00000000-0005-0000-0000-000006000000}"/>
    <cellStyle name="Normal 2 2 2 2 2 10 2" xfId="12284" xr:uid="{00000000-0005-0000-0000-000006000000}"/>
    <cellStyle name="Normal 2 2 2 2 2 11" xfId="8204" xr:uid="{00000000-0005-0000-0000-000006000000}"/>
    <cellStyle name="Normal 2 2 2 2 2 2" xfId="93" xr:uid="{00000000-0005-0000-0000-000006000000}"/>
    <cellStyle name="Normal 2 2 2 2 2 2 10" xfId="8255" xr:uid="{00000000-0005-0000-0000-000006000000}"/>
    <cellStyle name="Normal 2 2 2 2 2 2 2" xfId="195" xr:uid="{00000000-0005-0000-0000-000006000000}"/>
    <cellStyle name="Normal 2 2 2 2 2 2 2 2" xfId="399" xr:uid="{00000000-0005-0000-0000-000006000000}"/>
    <cellStyle name="Normal 2 2 2 2 2 2 2 2 2" xfId="807" xr:uid="{00000000-0005-0000-0000-000006000000}"/>
    <cellStyle name="Normal 2 2 2 2 2 2 2 2 2 2" xfId="2848" xr:uid="{00000000-0005-0000-0000-000006000000}"/>
    <cellStyle name="Normal 2 2 2 2 2 2 2 2 2 2 2" xfId="6929" xr:uid="{00000000-0005-0000-0000-000006000000}"/>
    <cellStyle name="Normal 2 2 2 2 2 2 2 2 2 2 2 2" xfId="15089" xr:uid="{00000000-0005-0000-0000-000006000000}"/>
    <cellStyle name="Normal 2 2 2 2 2 2 2 2 2 2 3" xfId="11009" xr:uid="{00000000-0005-0000-0000-000006000000}"/>
    <cellStyle name="Normal 2 2 2 2 2 2 2 2 2 3" xfId="1828" xr:uid="{00000000-0005-0000-0000-000006000000}"/>
    <cellStyle name="Normal 2 2 2 2 2 2 2 2 2 3 2" xfId="5909" xr:uid="{00000000-0005-0000-0000-000006000000}"/>
    <cellStyle name="Normal 2 2 2 2 2 2 2 2 2 3 2 2" xfId="14069" xr:uid="{00000000-0005-0000-0000-000006000000}"/>
    <cellStyle name="Normal 2 2 2 2 2 2 2 2 2 3 3" xfId="9989" xr:uid="{00000000-0005-0000-0000-000006000000}"/>
    <cellStyle name="Normal 2 2 2 2 2 2 2 2 2 4" xfId="3868" xr:uid="{00000000-0005-0000-0000-000006000000}"/>
    <cellStyle name="Normal 2 2 2 2 2 2 2 2 2 4 2" xfId="7949" xr:uid="{00000000-0005-0000-0000-000006000000}"/>
    <cellStyle name="Normal 2 2 2 2 2 2 2 2 2 4 2 2" xfId="16109" xr:uid="{00000000-0005-0000-0000-000006000000}"/>
    <cellStyle name="Normal 2 2 2 2 2 2 2 2 2 4 3" xfId="12029" xr:uid="{00000000-0005-0000-0000-000006000000}"/>
    <cellStyle name="Normal 2 2 2 2 2 2 2 2 2 5" xfId="4888" xr:uid="{00000000-0005-0000-0000-000006000000}"/>
    <cellStyle name="Normal 2 2 2 2 2 2 2 2 2 5 2" xfId="13049" xr:uid="{00000000-0005-0000-0000-000006000000}"/>
    <cellStyle name="Normal 2 2 2 2 2 2 2 2 2 6" xfId="8969" xr:uid="{00000000-0005-0000-0000-000006000000}"/>
    <cellStyle name="Normal 2 2 2 2 2 2 2 2 3" xfId="2440" xr:uid="{00000000-0005-0000-0000-000006000000}"/>
    <cellStyle name="Normal 2 2 2 2 2 2 2 2 3 2" xfId="6521" xr:uid="{00000000-0005-0000-0000-000006000000}"/>
    <cellStyle name="Normal 2 2 2 2 2 2 2 2 3 2 2" xfId="14681" xr:uid="{00000000-0005-0000-0000-000006000000}"/>
    <cellStyle name="Normal 2 2 2 2 2 2 2 2 3 3" xfId="10601" xr:uid="{00000000-0005-0000-0000-000006000000}"/>
    <cellStyle name="Normal 2 2 2 2 2 2 2 2 4" xfId="1420" xr:uid="{00000000-0005-0000-0000-000006000000}"/>
    <cellStyle name="Normal 2 2 2 2 2 2 2 2 4 2" xfId="5501" xr:uid="{00000000-0005-0000-0000-000006000000}"/>
    <cellStyle name="Normal 2 2 2 2 2 2 2 2 4 2 2" xfId="13661" xr:uid="{00000000-0005-0000-0000-000006000000}"/>
    <cellStyle name="Normal 2 2 2 2 2 2 2 2 4 3" xfId="9581" xr:uid="{00000000-0005-0000-0000-000006000000}"/>
    <cellStyle name="Normal 2 2 2 2 2 2 2 2 5" xfId="3460" xr:uid="{00000000-0005-0000-0000-000006000000}"/>
    <cellStyle name="Normal 2 2 2 2 2 2 2 2 5 2" xfId="7541" xr:uid="{00000000-0005-0000-0000-000006000000}"/>
    <cellStyle name="Normal 2 2 2 2 2 2 2 2 5 2 2" xfId="15701" xr:uid="{00000000-0005-0000-0000-000006000000}"/>
    <cellStyle name="Normal 2 2 2 2 2 2 2 2 5 3" xfId="11621" xr:uid="{00000000-0005-0000-0000-000006000000}"/>
    <cellStyle name="Normal 2 2 2 2 2 2 2 2 6" xfId="4480" xr:uid="{00000000-0005-0000-0000-000006000000}"/>
    <cellStyle name="Normal 2 2 2 2 2 2 2 2 6 2" xfId="12641" xr:uid="{00000000-0005-0000-0000-000006000000}"/>
    <cellStyle name="Normal 2 2 2 2 2 2 2 2 7" xfId="8561" xr:uid="{00000000-0005-0000-0000-000006000000}"/>
    <cellStyle name="Normal 2 2 2 2 2 2 2 3" xfId="1011" xr:uid="{00000000-0005-0000-0000-000006000000}"/>
    <cellStyle name="Normal 2 2 2 2 2 2 2 3 2" xfId="3052" xr:uid="{00000000-0005-0000-0000-000006000000}"/>
    <cellStyle name="Normal 2 2 2 2 2 2 2 3 2 2" xfId="7133" xr:uid="{00000000-0005-0000-0000-000006000000}"/>
    <cellStyle name="Normal 2 2 2 2 2 2 2 3 2 2 2" xfId="15293" xr:uid="{00000000-0005-0000-0000-000006000000}"/>
    <cellStyle name="Normal 2 2 2 2 2 2 2 3 2 3" xfId="11213" xr:uid="{00000000-0005-0000-0000-000006000000}"/>
    <cellStyle name="Normal 2 2 2 2 2 2 2 3 3" xfId="2032" xr:uid="{00000000-0005-0000-0000-000006000000}"/>
    <cellStyle name="Normal 2 2 2 2 2 2 2 3 3 2" xfId="6113" xr:uid="{00000000-0005-0000-0000-000006000000}"/>
    <cellStyle name="Normal 2 2 2 2 2 2 2 3 3 2 2" xfId="14273" xr:uid="{00000000-0005-0000-0000-000006000000}"/>
    <cellStyle name="Normal 2 2 2 2 2 2 2 3 3 3" xfId="10193" xr:uid="{00000000-0005-0000-0000-000006000000}"/>
    <cellStyle name="Normal 2 2 2 2 2 2 2 3 4" xfId="4072" xr:uid="{00000000-0005-0000-0000-000006000000}"/>
    <cellStyle name="Normal 2 2 2 2 2 2 2 3 4 2" xfId="8153" xr:uid="{00000000-0005-0000-0000-000006000000}"/>
    <cellStyle name="Normal 2 2 2 2 2 2 2 3 4 2 2" xfId="16313" xr:uid="{00000000-0005-0000-0000-000006000000}"/>
    <cellStyle name="Normal 2 2 2 2 2 2 2 3 4 3" xfId="12233" xr:uid="{00000000-0005-0000-0000-000006000000}"/>
    <cellStyle name="Normal 2 2 2 2 2 2 2 3 5" xfId="5092" xr:uid="{00000000-0005-0000-0000-000006000000}"/>
    <cellStyle name="Normal 2 2 2 2 2 2 2 3 5 2" xfId="13253" xr:uid="{00000000-0005-0000-0000-000006000000}"/>
    <cellStyle name="Normal 2 2 2 2 2 2 2 3 6" xfId="9173" xr:uid="{00000000-0005-0000-0000-000006000000}"/>
    <cellStyle name="Normal 2 2 2 2 2 2 2 4" xfId="603" xr:uid="{00000000-0005-0000-0000-000006000000}"/>
    <cellStyle name="Normal 2 2 2 2 2 2 2 4 2" xfId="2644" xr:uid="{00000000-0005-0000-0000-000006000000}"/>
    <cellStyle name="Normal 2 2 2 2 2 2 2 4 2 2" xfId="6725" xr:uid="{00000000-0005-0000-0000-000006000000}"/>
    <cellStyle name="Normal 2 2 2 2 2 2 2 4 2 2 2" xfId="14885" xr:uid="{00000000-0005-0000-0000-000006000000}"/>
    <cellStyle name="Normal 2 2 2 2 2 2 2 4 2 3" xfId="10805" xr:uid="{00000000-0005-0000-0000-000006000000}"/>
    <cellStyle name="Normal 2 2 2 2 2 2 2 4 3" xfId="1624" xr:uid="{00000000-0005-0000-0000-000006000000}"/>
    <cellStyle name="Normal 2 2 2 2 2 2 2 4 3 2" xfId="5705" xr:uid="{00000000-0005-0000-0000-000006000000}"/>
    <cellStyle name="Normal 2 2 2 2 2 2 2 4 3 2 2" xfId="13865" xr:uid="{00000000-0005-0000-0000-000006000000}"/>
    <cellStyle name="Normal 2 2 2 2 2 2 2 4 3 3" xfId="9785" xr:uid="{00000000-0005-0000-0000-000006000000}"/>
    <cellStyle name="Normal 2 2 2 2 2 2 2 4 4" xfId="3664" xr:uid="{00000000-0005-0000-0000-000006000000}"/>
    <cellStyle name="Normal 2 2 2 2 2 2 2 4 4 2" xfId="7745" xr:uid="{00000000-0005-0000-0000-000006000000}"/>
    <cellStyle name="Normal 2 2 2 2 2 2 2 4 4 2 2" xfId="15905" xr:uid="{00000000-0005-0000-0000-000006000000}"/>
    <cellStyle name="Normal 2 2 2 2 2 2 2 4 4 3" xfId="11825" xr:uid="{00000000-0005-0000-0000-000006000000}"/>
    <cellStyle name="Normal 2 2 2 2 2 2 2 4 5" xfId="4684" xr:uid="{00000000-0005-0000-0000-000006000000}"/>
    <cellStyle name="Normal 2 2 2 2 2 2 2 4 5 2" xfId="12845" xr:uid="{00000000-0005-0000-0000-000006000000}"/>
    <cellStyle name="Normal 2 2 2 2 2 2 2 4 6" xfId="8765" xr:uid="{00000000-0005-0000-0000-000006000000}"/>
    <cellStyle name="Normal 2 2 2 2 2 2 2 5" xfId="2236" xr:uid="{00000000-0005-0000-0000-000006000000}"/>
    <cellStyle name="Normal 2 2 2 2 2 2 2 5 2" xfId="6317" xr:uid="{00000000-0005-0000-0000-000006000000}"/>
    <cellStyle name="Normal 2 2 2 2 2 2 2 5 2 2" xfId="14477" xr:uid="{00000000-0005-0000-0000-000006000000}"/>
    <cellStyle name="Normal 2 2 2 2 2 2 2 5 3" xfId="10397" xr:uid="{00000000-0005-0000-0000-000006000000}"/>
    <cellStyle name="Normal 2 2 2 2 2 2 2 6" xfId="1216" xr:uid="{00000000-0005-0000-0000-000006000000}"/>
    <cellStyle name="Normal 2 2 2 2 2 2 2 6 2" xfId="5297" xr:uid="{00000000-0005-0000-0000-000006000000}"/>
    <cellStyle name="Normal 2 2 2 2 2 2 2 6 2 2" xfId="13457" xr:uid="{00000000-0005-0000-0000-000006000000}"/>
    <cellStyle name="Normal 2 2 2 2 2 2 2 6 3" xfId="9377" xr:uid="{00000000-0005-0000-0000-000006000000}"/>
    <cellStyle name="Normal 2 2 2 2 2 2 2 7" xfId="3256" xr:uid="{00000000-0005-0000-0000-000006000000}"/>
    <cellStyle name="Normal 2 2 2 2 2 2 2 7 2" xfId="7337" xr:uid="{00000000-0005-0000-0000-000006000000}"/>
    <cellStyle name="Normal 2 2 2 2 2 2 2 7 2 2" xfId="15497" xr:uid="{00000000-0005-0000-0000-000006000000}"/>
    <cellStyle name="Normal 2 2 2 2 2 2 2 7 3" xfId="11417" xr:uid="{00000000-0005-0000-0000-000006000000}"/>
    <cellStyle name="Normal 2 2 2 2 2 2 2 8" xfId="4276" xr:uid="{00000000-0005-0000-0000-000006000000}"/>
    <cellStyle name="Normal 2 2 2 2 2 2 2 8 2" xfId="12437" xr:uid="{00000000-0005-0000-0000-000006000000}"/>
    <cellStyle name="Normal 2 2 2 2 2 2 2 9" xfId="8357" xr:uid="{00000000-0005-0000-0000-000006000000}"/>
    <cellStyle name="Normal 2 2 2 2 2 2 3" xfId="297" xr:uid="{00000000-0005-0000-0000-000006000000}"/>
    <cellStyle name="Normal 2 2 2 2 2 2 3 2" xfId="705" xr:uid="{00000000-0005-0000-0000-000006000000}"/>
    <cellStyle name="Normal 2 2 2 2 2 2 3 2 2" xfId="2746" xr:uid="{00000000-0005-0000-0000-000006000000}"/>
    <cellStyle name="Normal 2 2 2 2 2 2 3 2 2 2" xfId="6827" xr:uid="{00000000-0005-0000-0000-000006000000}"/>
    <cellStyle name="Normal 2 2 2 2 2 2 3 2 2 2 2" xfId="14987" xr:uid="{00000000-0005-0000-0000-000006000000}"/>
    <cellStyle name="Normal 2 2 2 2 2 2 3 2 2 3" xfId="10907" xr:uid="{00000000-0005-0000-0000-000006000000}"/>
    <cellStyle name="Normal 2 2 2 2 2 2 3 2 3" xfId="1726" xr:uid="{00000000-0005-0000-0000-000006000000}"/>
    <cellStyle name="Normal 2 2 2 2 2 2 3 2 3 2" xfId="5807" xr:uid="{00000000-0005-0000-0000-000006000000}"/>
    <cellStyle name="Normal 2 2 2 2 2 2 3 2 3 2 2" xfId="13967" xr:uid="{00000000-0005-0000-0000-000006000000}"/>
    <cellStyle name="Normal 2 2 2 2 2 2 3 2 3 3" xfId="9887" xr:uid="{00000000-0005-0000-0000-000006000000}"/>
    <cellStyle name="Normal 2 2 2 2 2 2 3 2 4" xfId="3766" xr:uid="{00000000-0005-0000-0000-000006000000}"/>
    <cellStyle name="Normal 2 2 2 2 2 2 3 2 4 2" xfId="7847" xr:uid="{00000000-0005-0000-0000-000006000000}"/>
    <cellStyle name="Normal 2 2 2 2 2 2 3 2 4 2 2" xfId="16007" xr:uid="{00000000-0005-0000-0000-000006000000}"/>
    <cellStyle name="Normal 2 2 2 2 2 2 3 2 4 3" xfId="11927" xr:uid="{00000000-0005-0000-0000-000006000000}"/>
    <cellStyle name="Normal 2 2 2 2 2 2 3 2 5" xfId="4786" xr:uid="{00000000-0005-0000-0000-000006000000}"/>
    <cellStyle name="Normal 2 2 2 2 2 2 3 2 5 2" xfId="12947" xr:uid="{00000000-0005-0000-0000-000006000000}"/>
    <cellStyle name="Normal 2 2 2 2 2 2 3 2 6" xfId="8867" xr:uid="{00000000-0005-0000-0000-000006000000}"/>
    <cellStyle name="Normal 2 2 2 2 2 2 3 3" xfId="2338" xr:uid="{00000000-0005-0000-0000-000006000000}"/>
    <cellStyle name="Normal 2 2 2 2 2 2 3 3 2" xfId="6419" xr:uid="{00000000-0005-0000-0000-000006000000}"/>
    <cellStyle name="Normal 2 2 2 2 2 2 3 3 2 2" xfId="14579" xr:uid="{00000000-0005-0000-0000-000006000000}"/>
    <cellStyle name="Normal 2 2 2 2 2 2 3 3 3" xfId="10499" xr:uid="{00000000-0005-0000-0000-000006000000}"/>
    <cellStyle name="Normal 2 2 2 2 2 2 3 4" xfId="1318" xr:uid="{00000000-0005-0000-0000-000006000000}"/>
    <cellStyle name="Normal 2 2 2 2 2 2 3 4 2" xfId="5399" xr:uid="{00000000-0005-0000-0000-000006000000}"/>
    <cellStyle name="Normal 2 2 2 2 2 2 3 4 2 2" xfId="13559" xr:uid="{00000000-0005-0000-0000-000006000000}"/>
    <cellStyle name="Normal 2 2 2 2 2 2 3 4 3" xfId="9479" xr:uid="{00000000-0005-0000-0000-000006000000}"/>
    <cellStyle name="Normal 2 2 2 2 2 2 3 5" xfId="3358" xr:uid="{00000000-0005-0000-0000-000006000000}"/>
    <cellStyle name="Normal 2 2 2 2 2 2 3 5 2" xfId="7439" xr:uid="{00000000-0005-0000-0000-000006000000}"/>
    <cellStyle name="Normal 2 2 2 2 2 2 3 5 2 2" xfId="15599" xr:uid="{00000000-0005-0000-0000-000006000000}"/>
    <cellStyle name="Normal 2 2 2 2 2 2 3 5 3" xfId="11519" xr:uid="{00000000-0005-0000-0000-000006000000}"/>
    <cellStyle name="Normal 2 2 2 2 2 2 3 6" xfId="4378" xr:uid="{00000000-0005-0000-0000-000006000000}"/>
    <cellStyle name="Normal 2 2 2 2 2 2 3 6 2" xfId="12539" xr:uid="{00000000-0005-0000-0000-000006000000}"/>
    <cellStyle name="Normal 2 2 2 2 2 2 3 7" xfId="8459" xr:uid="{00000000-0005-0000-0000-000006000000}"/>
    <cellStyle name="Normal 2 2 2 2 2 2 4" xfId="909" xr:uid="{00000000-0005-0000-0000-000006000000}"/>
    <cellStyle name="Normal 2 2 2 2 2 2 4 2" xfId="2950" xr:uid="{00000000-0005-0000-0000-000006000000}"/>
    <cellStyle name="Normal 2 2 2 2 2 2 4 2 2" xfId="7031" xr:uid="{00000000-0005-0000-0000-000006000000}"/>
    <cellStyle name="Normal 2 2 2 2 2 2 4 2 2 2" xfId="15191" xr:uid="{00000000-0005-0000-0000-000006000000}"/>
    <cellStyle name="Normal 2 2 2 2 2 2 4 2 3" xfId="11111" xr:uid="{00000000-0005-0000-0000-000006000000}"/>
    <cellStyle name="Normal 2 2 2 2 2 2 4 3" xfId="1930" xr:uid="{00000000-0005-0000-0000-000006000000}"/>
    <cellStyle name="Normal 2 2 2 2 2 2 4 3 2" xfId="6011" xr:uid="{00000000-0005-0000-0000-000006000000}"/>
    <cellStyle name="Normal 2 2 2 2 2 2 4 3 2 2" xfId="14171" xr:uid="{00000000-0005-0000-0000-000006000000}"/>
    <cellStyle name="Normal 2 2 2 2 2 2 4 3 3" xfId="10091" xr:uid="{00000000-0005-0000-0000-000006000000}"/>
    <cellStyle name="Normal 2 2 2 2 2 2 4 4" xfId="3970" xr:uid="{00000000-0005-0000-0000-000006000000}"/>
    <cellStyle name="Normal 2 2 2 2 2 2 4 4 2" xfId="8051" xr:uid="{00000000-0005-0000-0000-000006000000}"/>
    <cellStyle name="Normal 2 2 2 2 2 2 4 4 2 2" xfId="16211" xr:uid="{00000000-0005-0000-0000-000006000000}"/>
    <cellStyle name="Normal 2 2 2 2 2 2 4 4 3" xfId="12131" xr:uid="{00000000-0005-0000-0000-000006000000}"/>
    <cellStyle name="Normal 2 2 2 2 2 2 4 5" xfId="4990" xr:uid="{00000000-0005-0000-0000-000006000000}"/>
    <cellStyle name="Normal 2 2 2 2 2 2 4 5 2" xfId="13151" xr:uid="{00000000-0005-0000-0000-000006000000}"/>
    <cellStyle name="Normal 2 2 2 2 2 2 4 6" xfId="9071" xr:uid="{00000000-0005-0000-0000-000006000000}"/>
    <cellStyle name="Normal 2 2 2 2 2 2 5" xfId="501" xr:uid="{00000000-0005-0000-0000-000006000000}"/>
    <cellStyle name="Normal 2 2 2 2 2 2 5 2" xfId="2542" xr:uid="{00000000-0005-0000-0000-000006000000}"/>
    <cellStyle name="Normal 2 2 2 2 2 2 5 2 2" xfId="6623" xr:uid="{00000000-0005-0000-0000-000006000000}"/>
    <cellStyle name="Normal 2 2 2 2 2 2 5 2 2 2" xfId="14783" xr:uid="{00000000-0005-0000-0000-000006000000}"/>
    <cellStyle name="Normal 2 2 2 2 2 2 5 2 3" xfId="10703" xr:uid="{00000000-0005-0000-0000-000006000000}"/>
    <cellStyle name="Normal 2 2 2 2 2 2 5 3" xfId="1522" xr:uid="{00000000-0005-0000-0000-000006000000}"/>
    <cellStyle name="Normal 2 2 2 2 2 2 5 3 2" xfId="5603" xr:uid="{00000000-0005-0000-0000-000006000000}"/>
    <cellStyle name="Normal 2 2 2 2 2 2 5 3 2 2" xfId="13763" xr:uid="{00000000-0005-0000-0000-000006000000}"/>
    <cellStyle name="Normal 2 2 2 2 2 2 5 3 3" xfId="9683" xr:uid="{00000000-0005-0000-0000-000006000000}"/>
    <cellStyle name="Normal 2 2 2 2 2 2 5 4" xfId="3562" xr:uid="{00000000-0005-0000-0000-000006000000}"/>
    <cellStyle name="Normal 2 2 2 2 2 2 5 4 2" xfId="7643" xr:uid="{00000000-0005-0000-0000-000006000000}"/>
    <cellStyle name="Normal 2 2 2 2 2 2 5 4 2 2" xfId="15803" xr:uid="{00000000-0005-0000-0000-000006000000}"/>
    <cellStyle name="Normal 2 2 2 2 2 2 5 4 3" xfId="11723" xr:uid="{00000000-0005-0000-0000-000006000000}"/>
    <cellStyle name="Normal 2 2 2 2 2 2 5 5" xfId="4582" xr:uid="{00000000-0005-0000-0000-000006000000}"/>
    <cellStyle name="Normal 2 2 2 2 2 2 5 5 2" xfId="12743" xr:uid="{00000000-0005-0000-0000-000006000000}"/>
    <cellStyle name="Normal 2 2 2 2 2 2 5 6" xfId="8663" xr:uid="{00000000-0005-0000-0000-000006000000}"/>
    <cellStyle name="Normal 2 2 2 2 2 2 6" xfId="2134" xr:uid="{00000000-0005-0000-0000-000006000000}"/>
    <cellStyle name="Normal 2 2 2 2 2 2 6 2" xfId="6215" xr:uid="{00000000-0005-0000-0000-000006000000}"/>
    <cellStyle name="Normal 2 2 2 2 2 2 6 2 2" xfId="14375" xr:uid="{00000000-0005-0000-0000-000006000000}"/>
    <cellStyle name="Normal 2 2 2 2 2 2 6 3" xfId="10295" xr:uid="{00000000-0005-0000-0000-000006000000}"/>
    <cellStyle name="Normal 2 2 2 2 2 2 7" xfId="1114" xr:uid="{00000000-0005-0000-0000-000006000000}"/>
    <cellStyle name="Normal 2 2 2 2 2 2 7 2" xfId="5195" xr:uid="{00000000-0005-0000-0000-000006000000}"/>
    <cellStyle name="Normal 2 2 2 2 2 2 7 2 2" xfId="13355" xr:uid="{00000000-0005-0000-0000-000006000000}"/>
    <cellStyle name="Normal 2 2 2 2 2 2 7 3" xfId="9275" xr:uid="{00000000-0005-0000-0000-000006000000}"/>
    <cellStyle name="Normal 2 2 2 2 2 2 8" xfId="3154" xr:uid="{00000000-0005-0000-0000-000006000000}"/>
    <cellStyle name="Normal 2 2 2 2 2 2 8 2" xfId="7235" xr:uid="{00000000-0005-0000-0000-000006000000}"/>
    <cellStyle name="Normal 2 2 2 2 2 2 8 2 2" xfId="15395" xr:uid="{00000000-0005-0000-0000-000006000000}"/>
    <cellStyle name="Normal 2 2 2 2 2 2 8 3" xfId="11315" xr:uid="{00000000-0005-0000-0000-000006000000}"/>
    <cellStyle name="Normal 2 2 2 2 2 2 9" xfId="4174" xr:uid="{00000000-0005-0000-0000-000006000000}"/>
    <cellStyle name="Normal 2 2 2 2 2 2 9 2" xfId="12335" xr:uid="{00000000-0005-0000-0000-000006000000}"/>
    <cellStyle name="Normal 2 2 2 2 2 3" xfId="144" xr:uid="{00000000-0005-0000-0000-000006000000}"/>
    <cellStyle name="Normal 2 2 2 2 2 3 2" xfId="348" xr:uid="{00000000-0005-0000-0000-000006000000}"/>
    <cellStyle name="Normal 2 2 2 2 2 3 2 2" xfId="756" xr:uid="{00000000-0005-0000-0000-000006000000}"/>
    <cellStyle name="Normal 2 2 2 2 2 3 2 2 2" xfId="2797" xr:uid="{00000000-0005-0000-0000-000006000000}"/>
    <cellStyle name="Normal 2 2 2 2 2 3 2 2 2 2" xfId="6878" xr:uid="{00000000-0005-0000-0000-000006000000}"/>
    <cellStyle name="Normal 2 2 2 2 2 3 2 2 2 2 2" xfId="15038" xr:uid="{00000000-0005-0000-0000-000006000000}"/>
    <cellStyle name="Normal 2 2 2 2 2 3 2 2 2 3" xfId="10958" xr:uid="{00000000-0005-0000-0000-000006000000}"/>
    <cellStyle name="Normal 2 2 2 2 2 3 2 2 3" xfId="1777" xr:uid="{00000000-0005-0000-0000-000006000000}"/>
    <cellStyle name="Normal 2 2 2 2 2 3 2 2 3 2" xfId="5858" xr:uid="{00000000-0005-0000-0000-000006000000}"/>
    <cellStyle name="Normal 2 2 2 2 2 3 2 2 3 2 2" xfId="14018" xr:uid="{00000000-0005-0000-0000-000006000000}"/>
    <cellStyle name="Normal 2 2 2 2 2 3 2 2 3 3" xfId="9938" xr:uid="{00000000-0005-0000-0000-000006000000}"/>
    <cellStyle name="Normal 2 2 2 2 2 3 2 2 4" xfId="3817" xr:uid="{00000000-0005-0000-0000-000006000000}"/>
    <cellStyle name="Normal 2 2 2 2 2 3 2 2 4 2" xfId="7898" xr:uid="{00000000-0005-0000-0000-000006000000}"/>
    <cellStyle name="Normal 2 2 2 2 2 3 2 2 4 2 2" xfId="16058" xr:uid="{00000000-0005-0000-0000-000006000000}"/>
    <cellStyle name="Normal 2 2 2 2 2 3 2 2 4 3" xfId="11978" xr:uid="{00000000-0005-0000-0000-000006000000}"/>
    <cellStyle name="Normal 2 2 2 2 2 3 2 2 5" xfId="4837" xr:uid="{00000000-0005-0000-0000-000006000000}"/>
    <cellStyle name="Normal 2 2 2 2 2 3 2 2 5 2" xfId="12998" xr:uid="{00000000-0005-0000-0000-000006000000}"/>
    <cellStyle name="Normal 2 2 2 2 2 3 2 2 6" xfId="8918" xr:uid="{00000000-0005-0000-0000-000006000000}"/>
    <cellStyle name="Normal 2 2 2 2 2 3 2 3" xfId="2389" xr:uid="{00000000-0005-0000-0000-000006000000}"/>
    <cellStyle name="Normal 2 2 2 2 2 3 2 3 2" xfId="6470" xr:uid="{00000000-0005-0000-0000-000006000000}"/>
    <cellStyle name="Normal 2 2 2 2 2 3 2 3 2 2" xfId="14630" xr:uid="{00000000-0005-0000-0000-000006000000}"/>
    <cellStyle name="Normal 2 2 2 2 2 3 2 3 3" xfId="10550" xr:uid="{00000000-0005-0000-0000-000006000000}"/>
    <cellStyle name="Normal 2 2 2 2 2 3 2 4" xfId="1369" xr:uid="{00000000-0005-0000-0000-000006000000}"/>
    <cellStyle name="Normal 2 2 2 2 2 3 2 4 2" xfId="5450" xr:uid="{00000000-0005-0000-0000-000006000000}"/>
    <cellStyle name="Normal 2 2 2 2 2 3 2 4 2 2" xfId="13610" xr:uid="{00000000-0005-0000-0000-000006000000}"/>
    <cellStyle name="Normal 2 2 2 2 2 3 2 4 3" xfId="9530" xr:uid="{00000000-0005-0000-0000-000006000000}"/>
    <cellStyle name="Normal 2 2 2 2 2 3 2 5" xfId="3409" xr:uid="{00000000-0005-0000-0000-000006000000}"/>
    <cellStyle name="Normal 2 2 2 2 2 3 2 5 2" xfId="7490" xr:uid="{00000000-0005-0000-0000-000006000000}"/>
    <cellStyle name="Normal 2 2 2 2 2 3 2 5 2 2" xfId="15650" xr:uid="{00000000-0005-0000-0000-000006000000}"/>
    <cellStyle name="Normal 2 2 2 2 2 3 2 5 3" xfId="11570" xr:uid="{00000000-0005-0000-0000-000006000000}"/>
    <cellStyle name="Normal 2 2 2 2 2 3 2 6" xfId="4429" xr:uid="{00000000-0005-0000-0000-000006000000}"/>
    <cellStyle name="Normal 2 2 2 2 2 3 2 6 2" xfId="12590" xr:uid="{00000000-0005-0000-0000-000006000000}"/>
    <cellStyle name="Normal 2 2 2 2 2 3 2 7" xfId="8510" xr:uid="{00000000-0005-0000-0000-000006000000}"/>
    <cellStyle name="Normal 2 2 2 2 2 3 3" xfId="960" xr:uid="{00000000-0005-0000-0000-000006000000}"/>
    <cellStyle name="Normal 2 2 2 2 2 3 3 2" xfId="3001" xr:uid="{00000000-0005-0000-0000-000006000000}"/>
    <cellStyle name="Normal 2 2 2 2 2 3 3 2 2" xfId="7082" xr:uid="{00000000-0005-0000-0000-000006000000}"/>
    <cellStyle name="Normal 2 2 2 2 2 3 3 2 2 2" xfId="15242" xr:uid="{00000000-0005-0000-0000-000006000000}"/>
    <cellStyle name="Normal 2 2 2 2 2 3 3 2 3" xfId="11162" xr:uid="{00000000-0005-0000-0000-000006000000}"/>
    <cellStyle name="Normal 2 2 2 2 2 3 3 3" xfId="1981" xr:uid="{00000000-0005-0000-0000-000006000000}"/>
    <cellStyle name="Normal 2 2 2 2 2 3 3 3 2" xfId="6062" xr:uid="{00000000-0005-0000-0000-000006000000}"/>
    <cellStyle name="Normal 2 2 2 2 2 3 3 3 2 2" xfId="14222" xr:uid="{00000000-0005-0000-0000-000006000000}"/>
    <cellStyle name="Normal 2 2 2 2 2 3 3 3 3" xfId="10142" xr:uid="{00000000-0005-0000-0000-000006000000}"/>
    <cellStyle name="Normal 2 2 2 2 2 3 3 4" xfId="4021" xr:uid="{00000000-0005-0000-0000-000006000000}"/>
    <cellStyle name="Normal 2 2 2 2 2 3 3 4 2" xfId="8102" xr:uid="{00000000-0005-0000-0000-000006000000}"/>
    <cellStyle name="Normal 2 2 2 2 2 3 3 4 2 2" xfId="16262" xr:uid="{00000000-0005-0000-0000-000006000000}"/>
    <cellStyle name="Normal 2 2 2 2 2 3 3 4 3" xfId="12182" xr:uid="{00000000-0005-0000-0000-000006000000}"/>
    <cellStyle name="Normal 2 2 2 2 2 3 3 5" xfId="5041" xr:uid="{00000000-0005-0000-0000-000006000000}"/>
    <cellStyle name="Normal 2 2 2 2 2 3 3 5 2" xfId="13202" xr:uid="{00000000-0005-0000-0000-000006000000}"/>
    <cellStyle name="Normal 2 2 2 2 2 3 3 6" xfId="9122" xr:uid="{00000000-0005-0000-0000-000006000000}"/>
    <cellStyle name="Normal 2 2 2 2 2 3 4" xfId="552" xr:uid="{00000000-0005-0000-0000-000006000000}"/>
    <cellStyle name="Normal 2 2 2 2 2 3 4 2" xfId="2593" xr:uid="{00000000-0005-0000-0000-000006000000}"/>
    <cellStyle name="Normal 2 2 2 2 2 3 4 2 2" xfId="6674" xr:uid="{00000000-0005-0000-0000-000006000000}"/>
    <cellStyle name="Normal 2 2 2 2 2 3 4 2 2 2" xfId="14834" xr:uid="{00000000-0005-0000-0000-000006000000}"/>
    <cellStyle name="Normal 2 2 2 2 2 3 4 2 3" xfId="10754" xr:uid="{00000000-0005-0000-0000-000006000000}"/>
    <cellStyle name="Normal 2 2 2 2 2 3 4 3" xfId="1573" xr:uid="{00000000-0005-0000-0000-000006000000}"/>
    <cellStyle name="Normal 2 2 2 2 2 3 4 3 2" xfId="5654" xr:uid="{00000000-0005-0000-0000-000006000000}"/>
    <cellStyle name="Normal 2 2 2 2 2 3 4 3 2 2" xfId="13814" xr:uid="{00000000-0005-0000-0000-000006000000}"/>
    <cellStyle name="Normal 2 2 2 2 2 3 4 3 3" xfId="9734" xr:uid="{00000000-0005-0000-0000-000006000000}"/>
    <cellStyle name="Normal 2 2 2 2 2 3 4 4" xfId="3613" xr:uid="{00000000-0005-0000-0000-000006000000}"/>
    <cellStyle name="Normal 2 2 2 2 2 3 4 4 2" xfId="7694" xr:uid="{00000000-0005-0000-0000-000006000000}"/>
    <cellStyle name="Normal 2 2 2 2 2 3 4 4 2 2" xfId="15854" xr:uid="{00000000-0005-0000-0000-000006000000}"/>
    <cellStyle name="Normal 2 2 2 2 2 3 4 4 3" xfId="11774" xr:uid="{00000000-0005-0000-0000-000006000000}"/>
    <cellStyle name="Normal 2 2 2 2 2 3 4 5" xfId="4633" xr:uid="{00000000-0005-0000-0000-000006000000}"/>
    <cellStyle name="Normal 2 2 2 2 2 3 4 5 2" xfId="12794" xr:uid="{00000000-0005-0000-0000-000006000000}"/>
    <cellStyle name="Normal 2 2 2 2 2 3 4 6" xfId="8714" xr:uid="{00000000-0005-0000-0000-000006000000}"/>
    <cellStyle name="Normal 2 2 2 2 2 3 5" xfId="2185" xr:uid="{00000000-0005-0000-0000-000006000000}"/>
    <cellStyle name="Normal 2 2 2 2 2 3 5 2" xfId="6266" xr:uid="{00000000-0005-0000-0000-000006000000}"/>
    <cellStyle name="Normal 2 2 2 2 2 3 5 2 2" xfId="14426" xr:uid="{00000000-0005-0000-0000-000006000000}"/>
    <cellStyle name="Normal 2 2 2 2 2 3 5 3" xfId="10346" xr:uid="{00000000-0005-0000-0000-000006000000}"/>
    <cellStyle name="Normal 2 2 2 2 2 3 6" xfId="1165" xr:uid="{00000000-0005-0000-0000-000006000000}"/>
    <cellStyle name="Normal 2 2 2 2 2 3 6 2" xfId="5246" xr:uid="{00000000-0005-0000-0000-000006000000}"/>
    <cellStyle name="Normal 2 2 2 2 2 3 6 2 2" xfId="13406" xr:uid="{00000000-0005-0000-0000-000006000000}"/>
    <cellStyle name="Normal 2 2 2 2 2 3 6 3" xfId="9326" xr:uid="{00000000-0005-0000-0000-000006000000}"/>
    <cellStyle name="Normal 2 2 2 2 2 3 7" xfId="3205" xr:uid="{00000000-0005-0000-0000-000006000000}"/>
    <cellStyle name="Normal 2 2 2 2 2 3 7 2" xfId="7286" xr:uid="{00000000-0005-0000-0000-000006000000}"/>
    <cellStyle name="Normal 2 2 2 2 2 3 7 2 2" xfId="15446" xr:uid="{00000000-0005-0000-0000-000006000000}"/>
    <cellStyle name="Normal 2 2 2 2 2 3 7 3" xfId="11366" xr:uid="{00000000-0005-0000-0000-000006000000}"/>
    <cellStyle name="Normal 2 2 2 2 2 3 8" xfId="4225" xr:uid="{00000000-0005-0000-0000-000006000000}"/>
    <cellStyle name="Normal 2 2 2 2 2 3 8 2" xfId="12386" xr:uid="{00000000-0005-0000-0000-000006000000}"/>
    <cellStyle name="Normal 2 2 2 2 2 3 9" xfId="8306" xr:uid="{00000000-0005-0000-0000-000006000000}"/>
    <cellStyle name="Normal 2 2 2 2 2 4" xfId="246" xr:uid="{00000000-0005-0000-0000-000006000000}"/>
    <cellStyle name="Normal 2 2 2 2 2 4 2" xfId="654" xr:uid="{00000000-0005-0000-0000-000006000000}"/>
    <cellStyle name="Normal 2 2 2 2 2 4 2 2" xfId="2695" xr:uid="{00000000-0005-0000-0000-000006000000}"/>
    <cellStyle name="Normal 2 2 2 2 2 4 2 2 2" xfId="6776" xr:uid="{00000000-0005-0000-0000-000006000000}"/>
    <cellStyle name="Normal 2 2 2 2 2 4 2 2 2 2" xfId="14936" xr:uid="{00000000-0005-0000-0000-000006000000}"/>
    <cellStyle name="Normal 2 2 2 2 2 4 2 2 3" xfId="10856" xr:uid="{00000000-0005-0000-0000-000006000000}"/>
    <cellStyle name="Normal 2 2 2 2 2 4 2 3" xfId="1675" xr:uid="{00000000-0005-0000-0000-000006000000}"/>
    <cellStyle name="Normal 2 2 2 2 2 4 2 3 2" xfId="5756" xr:uid="{00000000-0005-0000-0000-000006000000}"/>
    <cellStyle name="Normal 2 2 2 2 2 4 2 3 2 2" xfId="13916" xr:uid="{00000000-0005-0000-0000-000006000000}"/>
    <cellStyle name="Normal 2 2 2 2 2 4 2 3 3" xfId="9836" xr:uid="{00000000-0005-0000-0000-000006000000}"/>
    <cellStyle name="Normal 2 2 2 2 2 4 2 4" xfId="3715" xr:uid="{00000000-0005-0000-0000-000006000000}"/>
    <cellStyle name="Normal 2 2 2 2 2 4 2 4 2" xfId="7796" xr:uid="{00000000-0005-0000-0000-000006000000}"/>
    <cellStyle name="Normal 2 2 2 2 2 4 2 4 2 2" xfId="15956" xr:uid="{00000000-0005-0000-0000-000006000000}"/>
    <cellStyle name="Normal 2 2 2 2 2 4 2 4 3" xfId="11876" xr:uid="{00000000-0005-0000-0000-000006000000}"/>
    <cellStyle name="Normal 2 2 2 2 2 4 2 5" xfId="4735" xr:uid="{00000000-0005-0000-0000-000006000000}"/>
    <cellStyle name="Normal 2 2 2 2 2 4 2 5 2" xfId="12896" xr:uid="{00000000-0005-0000-0000-000006000000}"/>
    <cellStyle name="Normal 2 2 2 2 2 4 2 6" xfId="8816" xr:uid="{00000000-0005-0000-0000-000006000000}"/>
    <cellStyle name="Normal 2 2 2 2 2 4 3" xfId="2287" xr:uid="{00000000-0005-0000-0000-000006000000}"/>
    <cellStyle name="Normal 2 2 2 2 2 4 3 2" xfId="6368" xr:uid="{00000000-0005-0000-0000-000006000000}"/>
    <cellStyle name="Normal 2 2 2 2 2 4 3 2 2" xfId="14528" xr:uid="{00000000-0005-0000-0000-000006000000}"/>
    <cellStyle name="Normal 2 2 2 2 2 4 3 3" xfId="10448" xr:uid="{00000000-0005-0000-0000-000006000000}"/>
    <cellStyle name="Normal 2 2 2 2 2 4 4" xfId="1267" xr:uid="{00000000-0005-0000-0000-000006000000}"/>
    <cellStyle name="Normal 2 2 2 2 2 4 4 2" xfId="5348" xr:uid="{00000000-0005-0000-0000-000006000000}"/>
    <cellStyle name="Normal 2 2 2 2 2 4 4 2 2" xfId="13508" xr:uid="{00000000-0005-0000-0000-000006000000}"/>
    <cellStyle name="Normal 2 2 2 2 2 4 4 3" xfId="9428" xr:uid="{00000000-0005-0000-0000-000006000000}"/>
    <cellStyle name="Normal 2 2 2 2 2 4 5" xfId="3307" xr:uid="{00000000-0005-0000-0000-000006000000}"/>
    <cellStyle name="Normal 2 2 2 2 2 4 5 2" xfId="7388" xr:uid="{00000000-0005-0000-0000-000006000000}"/>
    <cellStyle name="Normal 2 2 2 2 2 4 5 2 2" xfId="15548" xr:uid="{00000000-0005-0000-0000-000006000000}"/>
    <cellStyle name="Normal 2 2 2 2 2 4 5 3" xfId="11468" xr:uid="{00000000-0005-0000-0000-000006000000}"/>
    <cellStyle name="Normal 2 2 2 2 2 4 6" xfId="4327" xr:uid="{00000000-0005-0000-0000-000006000000}"/>
    <cellStyle name="Normal 2 2 2 2 2 4 6 2" xfId="12488" xr:uid="{00000000-0005-0000-0000-000006000000}"/>
    <cellStyle name="Normal 2 2 2 2 2 4 7" xfId="8408" xr:uid="{00000000-0005-0000-0000-000006000000}"/>
    <cellStyle name="Normal 2 2 2 2 2 5" xfId="858" xr:uid="{00000000-0005-0000-0000-000006000000}"/>
    <cellStyle name="Normal 2 2 2 2 2 5 2" xfId="2899" xr:uid="{00000000-0005-0000-0000-000006000000}"/>
    <cellStyle name="Normal 2 2 2 2 2 5 2 2" xfId="6980" xr:uid="{00000000-0005-0000-0000-000006000000}"/>
    <cellStyle name="Normal 2 2 2 2 2 5 2 2 2" xfId="15140" xr:uid="{00000000-0005-0000-0000-000006000000}"/>
    <cellStyle name="Normal 2 2 2 2 2 5 2 3" xfId="11060" xr:uid="{00000000-0005-0000-0000-000006000000}"/>
    <cellStyle name="Normal 2 2 2 2 2 5 3" xfId="1879" xr:uid="{00000000-0005-0000-0000-000006000000}"/>
    <cellStyle name="Normal 2 2 2 2 2 5 3 2" xfId="5960" xr:uid="{00000000-0005-0000-0000-000006000000}"/>
    <cellStyle name="Normal 2 2 2 2 2 5 3 2 2" xfId="14120" xr:uid="{00000000-0005-0000-0000-000006000000}"/>
    <cellStyle name="Normal 2 2 2 2 2 5 3 3" xfId="10040" xr:uid="{00000000-0005-0000-0000-000006000000}"/>
    <cellStyle name="Normal 2 2 2 2 2 5 4" xfId="3919" xr:uid="{00000000-0005-0000-0000-000006000000}"/>
    <cellStyle name="Normal 2 2 2 2 2 5 4 2" xfId="8000" xr:uid="{00000000-0005-0000-0000-000006000000}"/>
    <cellStyle name="Normal 2 2 2 2 2 5 4 2 2" xfId="16160" xr:uid="{00000000-0005-0000-0000-000006000000}"/>
    <cellStyle name="Normal 2 2 2 2 2 5 4 3" xfId="12080" xr:uid="{00000000-0005-0000-0000-000006000000}"/>
    <cellStyle name="Normal 2 2 2 2 2 5 5" xfId="4939" xr:uid="{00000000-0005-0000-0000-000006000000}"/>
    <cellStyle name="Normal 2 2 2 2 2 5 5 2" xfId="13100" xr:uid="{00000000-0005-0000-0000-000006000000}"/>
    <cellStyle name="Normal 2 2 2 2 2 5 6" xfId="9020" xr:uid="{00000000-0005-0000-0000-000006000000}"/>
    <cellStyle name="Normal 2 2 2 2 2 6" xfId="450" xr:uid="{00000000-0005-0000-0000-000006000000}"/>
    <cellStyle name="Normal 2 2 2 2 2 6 2" xfId="2491" xr:uid="{00000000-0005-0000-0000-000006000000}"/>
    <cellStyle name="Normal 2 2 2 2 2 6 2 2" xfId="6572" xr:uid="{00000000-0005-0000-0000-000006000000}"/>
    <cellStyle name="Normal 2 2 2 2 2 6 2 2 2" xfId="14732" xr:uid="{00000000-0005-0000-0000-000006000000}"/>
    <cellStyle name="Normal 2 2 2 2 2 6 2 3" xfId="10652" xr:uid="{00000000-0005-0000-0000-000006000000}"/>
    <cellStyle name="Normal 2 2 2 2 2 6 3" xfId="1471" xr:uid="{00000000-0005-0000-0000-000006000000}"/>
    <cellStyle name="Normal 2 2 2 2 2 6 3 2" xfId="5552" xr:uid="{00000000-0005-0000-0000-000006000000}"/>
    <cellStyle name="Normal 2 2 2 2 2 6 3 2 2" xfId="13712" xr:uid="{00000000-0005-0000-0000-000006000000}"/>
    <cellStyle name="Normal 2 2 2 2 2 6 3 3" xfId="9632" xr:uid="{00000000-0005-0000-0000-000006000000}"/>
    <cellStyle name="Normal 2 2 2 2 2 6 4" xfId="3511" xr:uid="{00000000-0005-0000-0000-000006000000}"/>
    <cellStyle name="Normal 2 2 2 2 2 6 4 2" xfId="7592" xr:uid="{00000000-0005-0000-0000-000006000000}"/>
    <cellStyle name="Normal 2 2 2 2 2 6 4 2 2" xfId="15752" xr:uid="{00000000-0005-0000-0000-000006000000}"/>
    <cellStyle name="Normal 2 2 2 2 2 6 4 3" xfId="11672" xr:uid="{00000000-0005-0000-0000-000006000000}"/>
    <cellStyle name="Normal 2 2 2 2 2 6 5" xfId="4531" xr:uid="{00000000-0005-0000-0000-000006000000}"/>
    <cellStyle name="Normal 2 2 2 2 2 6 5 2" xfId="12692" xr:uid="{00000000-0005-0000-0000-000006000000}"/>
    <cellStyle name="Normal 2 2 2 2 2 6 6" xfId="8612" xr:uid="{00000000-0005-0000-0000-000006000000}"/>
    <cellStyle name="Normal 2 2 2 2 2 7" xfId="2083" xr:uid="{00000000-0005-0000-0000-000006000000}"/>
    <cellStyle name="Normal 2 2 2 2 2 7 2" xfId="6164" xr:uid="{00000000-0005-0000-0000-000006000000}"/>
    <cellStyle name="Normal 2 2 2 2 2 7 2 2" xfId="14324" xr:uid="{00000000-0005-0000-0000-000006000000}"/>
    <cellStyle name="Normal 2 2 2 2 2 7 3" xfId="10244" xr:uid="{00000000-0005-0000-0000-000006000000}"/>
    <cellStyle name="Normal 2 2 2 2 2 8" xfId="1063" xr:uid="{00000000-0005-0000-0000-000006000000}"/>
    <cellStyle name="Normal 2 2 2 2 2 8 2" xfId="5144" xr:uid="{00000000-0005-0000-0000-000006000000}"/>
    <cellStyle name="Normal 2 2 2 2 2 8 2 2" xfId="13304" xr:uid="{00000000-0005-0000-0000-000006000000}"/>
    <cellStyle name="Normal 2 2 2 2 2 8 3" xfId="9224" xr:uid="{00000000-0005-0000-0000-000006000000}"/>
    <cellStyle name="Normal 2 2 2 2 2 9" xfId="3103" xr:uid="{00000000-0005-0000-0000-000006000000}"/>
    <cellStyle name="Normal 2 2 2 2 2 9 2" xfId="7184" xr:uid="{00000000-0005-0000-0000-000006000000}"/>
    <cellStyle name="Normal 2 2 2 2 2 9 2 2" xfId="15344" xr:uid="{00000000-0005-0000-0000-000006000000}"/>
    <cellStyle name="Normal 2 2 2 2 2 9 3" xfId="11264" xr:uid="{00000000-0005-0000-0000-000006000000}"/>
    <cellStyle name="Normal 2 2 2 2 3" xfId="68" xr:uid="{00000000-0005-0000-0000-000005000000}"/>
    <cellStyle name="Normal 2 2 2 2 3 10" xfId="8230" xr:uid="{00000000-0005-0000-0000-000005000000}"/>
    <cellStyle name="Normal 2 2 2 2 3 2" xfId="170" xr:uid="{00000000-0005-0000-0000-000005000000}"/>
    <cellStyle name="Normal 2 2 2 2 3 2 2" xfId="374" xr:uid="{00000000-0005-0000-0000-000005000000}"/>
    <cellStyle name="Normal 2 2 2 2 3 2 2 2" xfId="782" xr:uid="{00000000-0005-0000-0000-000005000000}"/>
    <cellStyle name="Normal 2 2 2 2 3 2 2 2 2" xfId="2823" xr:uid="{00000000-0005-0000-0000-000005000000}"/>
    <cellStyle name="Normal 2 2 2 2 3 2 2 2 2 2" xfId="6904" xr:uid="{00000000-0005-0000-0000-000005000000}"/>
    <cellStyle name="Normal 2 2 2 2 3 2 2 2 2 2 2" xfId="15064" xr:uid="{00000000-0005-0000-0000-000005000000}"/>
    <cellStyle name="Normal 2 2 2 2 3 2 2 2 2 3" xfId="10984" xr:uid="{00000000-0005-0000-0000-000005000000}"/>
    <cellStyle name="Normal 2 2 2 2 3 2 2 2 3" xfId="1803" xr:uid="{00000000-0005-0000-0000-000005000000}"/>
    <cellStyle name="Normal 2 2 2 2 3 2 2 2 3 2" xfId="5884" xr:uid="{00000000-0005-0000-0000-000005000000}"/>
    <cellStyle name="Normal 2 2 2 2 3 2 2 2 3 2 2" xfId="14044" xr:uid="{00000000-0005-0000-0000-000005000000}"/>
    <cellStyle name="Normal 2 2 2 2 3 2 2 2 3 3" xfId="9964" xr:uid="{00000000-0005-0000-0000-000005000000}"/>
    <cellStyle name="Normal 2 2 2 2 3 2 2 2 4" xfId="3843" xr:uid="{00000000-0005-0000-0000-000005000000}"/>
    <cellStyle name="Normal 2 2 2 2 3 2 2 2 4 2" xfId="7924" xr:uid="{00000000-0005-0000-0000-000005000000}"/>
    <cellStyle name="Normal 2 2 2 2 3 2 2 2 4 2 2" xfId="16084" xr:uid="{00000000-0005-0000-0000-000005000000}"/>
    <cellStyle name="Normal 2 2 2 2 3 2 2 2 4 3" xfId="12004" xr:uid="{00000000-0005-0000-0000-000005000000}"/>
    <cellStyle name="Normal 2 2 2 2 3 2 2 2 5" xfId="4863" xr:uid="{00000000-0005-0000-0000-000005000000}"/>
    <cellStyle name="Normal 2 2 2 2 3 2 2 2 5 2" xfId="13024" xr:uid="{00000000-0005-0000-0000-000005000000}"/>
    <cellStyle name="Normal 2 2 2 2 3 2 2 2 6" xfId="8944" xr:uid="{00000000-0005-0000-0000-000005000000}"/>
    <cellStyle name="Normal 2 2 2 2 3 2 2 3" xfId="2415" xr:uid="{00000000-0005-0000-0000-000005000000}"/>
    <cellStyle name="Normal 2 2 2 2 3 2 2 3 2" xfId="6496" xr:uid="{00000000-0005-0000-0000-000005000000}"/>
    <cellStyle name="Normal 2 2 2 2 3 2 2 3 2 2" xfId="14656" xr:uid="{00000000-0005-0000-0000-000005000000}"/>
    <cellStyle name="Normal 2 2 2 2 3 2 2 3 3" xfId="10576" xr:uid="{00000000-0005-0000-0000-000005000000}"/>
    <cellStyle name="Normal 2 2 2 2 3 2 2 4" xfId="1395" xr:uid="{00000000-0005-0000-0000-000005000000}"/>
    <cellStyle name="Normal 2 2 2 2 3 2 2 4 2" xfId="5476" xr:uid="{00000000-0005-0000-0000-000005000000}"/>
    <cellStyle name="Normal 2 2 2 2 3 2 2 4 2 2" xfId="13636" xr:uid="{00000000-0005-0000-0000-000005000000}"/>
    <cellStyle name="Normal 2 2 2 2 3 2 2 4 3" xfId="9556" xr:uid="{00000000-0005-0000-0000-000005000000}"/>
    <cellStyle name="Normal 2 2 2 2 3 2 2 5" xfId="3435" xr:uid="{00000000-0005-0000-0000-000005000000}"/>
    <cellStyle name="Normal 2 2 2 2 3 2 2 5 2" xfId="7516" xr:uid="{00000000-0005-0000-0000-000005000000}"/>
    <cellStyle name="Normal 2 2 2 2 3 2 2 5 2 2" xfId="15676" xr:uid="{00000000-0005-0000-0000-000005000000}"/>
    <cellStyle name="Normal 2 2 2 2 3 2 2 5 3" xfId="11596" xr:uid="{00000000-0005-0000-0000-000005000000}"/>
    <cellStyle name="Normal 2 2 2 2 3 2 2 6" xfId="4455" xr:uid="{00000000-0005-0000-0000-000005000000}"/>
    <cellStyle name="Normal 2 2 2 2 3 2 2 6 2" xfId="12616" xr:uid="{00000000-0005-0000-0000-000005000000}"/>
    <cellStyle name="Normal 2 2 2 2 3 2 2 7" xfId="8536" xr:uid="{00000000-0005-0000-0000-000005000000}"/>
    <cellStyle name="Normal 2 2 2 2 3 2 3" xfId="986" xr:uid="{00000000-0005-0000-0000-000005000000}"/>
    <cellStyle name="Normal 2 2 2 2 3 2 3 2" xfId="3027" xr:uid="{00000000-0005-0000-0000-000005000000}"/>
    <cellStyle name="Normal 2 2 2 2 3 2 3 2 2" xfId="7108" xr:uid="{00000000-0005-0000-0000-000005000000}"/>
    <cellStyle name="Normal 2 2 2 2 3 2 3 2 2 2" xfId="15268" xr:uid="{00000000-0005-0000-0000-000005000000}"/>
    <cellStyle name="Normal 2 2 2 2 3 2 3 2 3" xfId="11188" xr:uid="{00000000-0005-0000-0000-000005000000}"/>
    <cellStyle name="Normal 2 2 2 2 3 2 3 3" xfId="2007" xr:uid="{00000000-0005-0000-0000-000005000000}"/>
    <cellStyle name="Normal 2 2 2 2 3 2 3 3 2" xfId="6088" xr:uid="{00000000-0005-0000-0000-000005000000}"/>
    <cellStyle name="Normal 2 2 2 2 3 2 3 3 2 2" xfId="14248" xr:uid="{00000000-0005-0000-0000-000005000000}"/>
    <cellStyle name="Normal 2 2 2 2 3 2 3 3 3" xfId="10168" xr:uid="{00000000-0005-0000-0000-000005000000}"/>
    <cellStyle name="Normal 2 2 2 2 3 2 3 4" xfId="4047" xr:uid="{00000000-0005-0000-0000-000005000000}"/>
    <cellStyle name="Normal 2 2 2 2 3 2 3 4 2" xfId="8128" xr:uid="{00000000-0005-0000-0000-000005000000}"/>
    <cellStyle name="Normal 2 2 2 2 3 2 3 4 2 2" xfId="16288" xr:uid="{00000000-0005-0000-0000-000005000000}"/>
    <cellStyle name="Normal 2 2 2 2 3 2 3 4 3" xfId="12208" xr:uid="{00000000-0005-0000-0000-000005000000}"/>
    <cellStyle name="Normal 2 2 2 2 3 2 3 5" xfId="5067" xr:uid="{00000000-0005-0000-0000-000005000000}"/>
    <cellStyle name="Normal 2 2 2 2 3 2 3 5 2" xfId="13228" xr:uid="{00000000-0005-0000-0000-000005000000}"/>
    <cellStyle name="Normal 2 2 2 2 3 2 3 6" xfId="9148" xr:uid="{00000000-0005-0000-0000-000005000000}"/>
    <cellStyle name="Normal 2 2 2 2 3 2 4" xfId="578" xr:uid="{00000000-0005-0000-0000-000005000000}"/>
    <cellStyle name="Normal 2 2 2 2 3 2 4 2" xfId="2619" xr:uid="{00000000-0005-0000-0000-000005000000}"/>
    <cellStyle name="Normal 2 2 2 2 3 2 4 2 2" xfId="6700" xr:uid="{00000000-0005-0000-0000-000005000000}"/>
    <cellStyle name="Normal 2 2 2 2 3 2 4 2 2 2" xfId="14860" xr:uid="{00000000-0005-0000-0000-000005000000}"/>
    <cellStyle name="Normal 2 2 2 2 3 2 4 2 3" xfId="10780" xr:uid="{00000000-0005-0000-0000-000005000000}"/>
    <cellStyle name="Normal 2 2 2 2 3 2 4 3" xfId="1599" xr:uid="{00000000-0005-0000-0000-000005000000}"/>
    <cellStyle name="Normal 2 2 2 2 3 2 4 3 2" xfId="5680" xr:uid="{00000000-0005-0000-0000-000005000000}"/>
    <cellStyle name="Normal 2 2 2 2 3 2 4 3 2 2" xfId="13840" xr:uid="{00000000-0005-0000-0000-000005000000}"/>
    <cellStyle name="Normal 2 2 2 2 3 2 4 3 3" xfId="9760" xr:uid="{00000000-0005-0000-0000-000005000000}"/>
    <cellStyle name="Normal 2 2 2 2 3 2 4 4" xfId="3639" xr:uid="{00000000-0005-0000-0000-000005000000}"/>
    <cellStyle name="Normal 2 2 2 2 3 2 4 4 2" xfId="7720" xr:uid="{00000000-0005-0000-0000-000005000000}"/>
    <cellStyle name="Normal 2 2 2 2 3 2 4 4 2 2" xfId="15880" xr:uid="{00000000-0005-0000-0000-000005000000}"/>
    <cellStyle name="Normal 2 2 2 2 3 2 4 4 3" xfId="11800" xr:uid="{00000000-0005-0000-0000-000005000000}"/>
    <cellStyle name="Normal 2 2 2 2 3 2 4 5" xfId="4659" xr:uid="{00000000-0005-0000-0000-000005000000}"/>
    <cellStyle name="Normal 2 2 2 2 3 2 4 5 2" xfId="12820" xr:uid="{00000000-0005-0000-0000-000005000000}"/>
    <cellStyle name="Normal 2 2 2 2 3 2 4 6" xfId="8740" xr:uid="{00000000-0005-0000-0000-000005000000}"/>
    <cellStyle name="Normal 2 2 2 2 3 2 5" xfId="2211" xr:uid="{00000000-0005-0000-0000-000005000000}"/>
    <cellStyle name="Normal 2 2 2 2 3 2 5 2" xfId="6292" xr:uid="{00000000-0005-0000-0000-000005000000}"/>
    <cellStyle name="Normal 2 2 2 2 3 2 5 2 2" xfId="14452" xr:uid="{00000000-0005-0000-0000-000005000000}"/>
    <cellStyle name="Normal 2 2 2 2 3 2 5 3" xfId="10372" xr:uid="{00000000-0005-0000-0000-000005000000}"/>
    <cellStyle name="Normal 2 2 2 2 3 2 6" xfId="1191" xr:uid="{00000000-0005-0000-0000-000005000000}"/>
    <cellStyle name="Normal 2 2 2 2 3 2 6 2" xfId="5272" xr:uid="{00000000-0005-0000-0000-000005000000}"/>
    <cellStyle name="Normal 2 2 2 2 3 2 6 2 2" xfId="13432" xr:uid="{00000000-0005-0000-0000-000005000000}"/>
    <cellStyle name="Normal 2 2 2 2 3 2 6 3" xfId="9352" xr:uid="{00000000-0005-0000-0000-000005000000}"/>
    <cellStyle name="Normal 2 2 2 2 3 2 7" xfId="3231" xr:uid="{00000000-0005-0000-0000-000005000000}"/>
    <cellStyle name="Normal 2 2 2 2 3 2 7 2" xfId="7312" xr:uid="{00000000-0005-0000-0000-000005000000}"/>
    <cellStyle name="Normal 2 2 2 2 3 2 7 2 2" xfId="15472" xr:uid="{00000000-0005-0000-0000-000005000000}"/>
    <cellStyle name="Normal 2 2 2 2 3 2 7 3" xfId="11392" xr:uid="{00000000-0005-0000-0000-000005000000}"/>
    <cellStyle name="Normal 2 2 2 2 3 2 8" xfId="4251" xr:uid="{00000000-0005-0000-0000-000005000000}"/>
    <cellStyle name="Normal 2 2 2 2 3 2 8 2" xfId="12412" xr:uid="{00000000-0005-0000-0000-000005000000}"/>
    <cellStyle name="Normal 2 2 2 2 3 2 9" xfId="8332" xr:uid="{00000000-0005-0000-0000-000005000000}"/>
    <cellStyle name="Normal 2 2 2 2 3 3" xfId="272" xr:uid="{00000000-0005-0000-0000-000005000000}"/>
    <cellStyle name="Normal 2 2 2 2 3 3 2" xfId="680" xr:uid="{00000000-0005-0000-0000-000005000000}"/>
    <cellStyle name="Normal 2 2 2 2 3 3 2 2" xfId="2721" xr:uid="{00000000-0005-0000-0000-000005000000}"/>
    <cellStyle name="Normal 2 2 2 2 3 3 2 2 2" xfId="6802" xr:uid="{00000000-0005-0000-0000-000005000000}"/>
    <cellStyle name="Normal 2 2 2 2 3 3 2 2 2 2" xfId="14962" xr:uid="{00000000-0005-0000-0000-000005000000}"/>
    <cellStyle name="Normal 2 2 2 2 3 3 2 2 3" xfId="10882" xr:uid="{00000000-0005-0000-0000-000005000000}"/>
    <cellStyle name="Normal 2 2 2 2 3 3 2 3" xfId="1701" xr:uid="{00000000-0005-0000-0000-000005000000}"/>
    <cellStyle name="Normal 2 2 2 2 3 3 2 3 2" xfId="5782" xr:uid="{00000000-0005-0000-0000-000005000000}"/>
    <cellStyle name="Normal 2 2 2 2 3 3 2 3 2 2" xfId="13942" xr:uid="{00000000-0005-0000-0000-000005000000}"/>
    <cellStyle name="Normal 2 2 2 2 3 3 2 3 3" xfId="9862" xr:uid="{00000000-0005-0000-0000-000005000000}"/>
    <cellStyle name="Normal 2 2 2 2 3 3 2 4" xfId="3741" xr:uid="{00000000-0005-0000-0000-000005000000}"/>
    <cellStyle name="Normal 2 2 2 2 3 3 2 4 2" xfId="7822" xr:uid="{00000000-0005-0000-0000-000005000000}"/>
    <cellStyle name="Normal 2 2 2 2 3 3 2 4 2 2" xfId="15982" xr:uid="{00000000-0005-0000-0000-000005000000}"/>
    <cellStyle name="Normal 2 2 2 2 3 3 2 4 3" xfId="11902" xr:uid="{00000000-0005-0000-0000-000005000000}"/>
    <cellStyle name="Normal 2 2 2 2 3 3 2 5" xfId="4761" xr:uid="{00000000-0005-0000-0000-000005000000}"/>
    <cellStyle name="Normal 2 2 2 2 3 3 2 5 2" xfId="12922" xr:uid="{00000000-0005-0000-0000-000005000000}"/>
    <cellStyle name="Normal 2 2 2 2 3 3 2 6" xfId="8842" xr:uid="{00000000-0005-0000-0000-000005000000}"/>
    <cellStyle name="Normal 2 2 2 2 3 3 3" xfId="2313" xr:uid="{00000000-0005-0000-0000-000005000000}"/>
    <cellStyle name="Normal 2 2 2 2 3 3 3 2" xfId="6394" xr:uid="{00000000-0005-0000-0000-000005000000}"/>
    <cellStyle name="Normal 2 2 2 2 3 3 3 2 2" xfId="14554" xr:uid="{00000000-0005-0000-0000-000005000000}"/>
    <cellStyle name="Normal 2 2 2 2 3 3 3 3" xfId="10474" xr:uid="{00000000-0005-0000-0000-000005000000}"/>
    <cellStyle name="Normal 2 2 2 2 3 3 4" xfId="1293" xr:uid="{00000000-0005-0000-0000-000005000000}"/>
    <cellStyle name="Normal 2 2 2 2 3 3 4 2" xfId="5374" xr:uid="{00000000-0005-0000-0000-000005000000}"/>
    <cellStyle name="Normal 2 2 2 2 3 3 4 2 2" xfId="13534" xr:uid="{00000000-0005-0000-0000-000005000000}"/>
    <cellStyle name="Normal 2 2 2 2 3 3 4 3" xfId="9454" xr:uid="{00000000-0005-0000-0000-000005000000}"/>
    <cellStyle name="Normal 2 2 2 2 3 3 5" xfId="3333" xr:uid="{00000000-0005-0000-0000-000005000000}"/>
    <cellStyle name="Normal 2 2 2 2 3 3 5 2" xfId="7414" xr:uid="{00000000-0005-0000-0000-000005000000}"/>
    <cellStyle name="Normal 2 2 2 2 3 3 5 2 2" xfId="15574" xr:uid="{00000000-0005-0000-0000-000005000000}"/>
    <cellStyle name="Normal 2 2 2 2 3 3 5 3" xfId="11494" xr:uid="{00000000-0005-0000-0000-000005000000}"/>
    <cellStyle name="Normal 2 2 2 2 3 3 6" xfId="4353" xr:uid="{00000000-0005-0000-0000-000005000000}"/>
    <cellStyle name="Normal 2 2 2 2 3 3 6 2" xfId="12514" xr:uid="{00000000-0005-0000-0000-000005000000}"/>
    <cellStyle name="Normal 2 2 2 2 3 3 7" xfId="8434" xr:uid="{00000000-0005-0000-0000-000005000000}"/>
    <cellStyle name="Normal 2 2 2 2 3 4" xfId="884" xr:uid="{00000000-0005-0000-0000-000005000000}"/>
    <cellStyle name="Normal 2 2 2 2 3 4 2" xfId="2925" xr:uid="{00000000-0005-0000-0000-000005000000}"/>
    <cellStyle name="Normal 2 2 2 2 3 4 2 2" xfId="7006" xr:uid="{00000000-0005-0000-0000-000005000000}"/>
    <cellStyle name="Normal 2 2 2 2 3 4 2 2 2" xfId="15166" xr:uid="{00000000-0005-0000-0000-000005000000}"/>
    <cellStyle name="Normal 2 2 2 2 3 4 2 3" xfId="11086" xr:uid="{00000000-0005-0000-0000-000005000000}"/>
    <cellStyle name="Normal 2 2 2 2 3 4 3" xfId="1905" xr:uid="{00000000-0005-0000-0000-000005000000}"/>
    <cellStyle name="Normal 2 2 2 2 3 4 3 2" xfId="5986" xr:uid="{00000000-0005-0000-0000-000005000000}"/>
    <cellStyle name="Normal 2 2 2 2 3 4 3 2 2" xfId="14146" xr:uid="{00000000-0005-0000-0000-000005000000}"/>
    <cellStyle name="Normal 2 2 2 2 3 4 3 3" xfId="10066" xr:uid="{00000000-0005-0000-0000-000005000000}"/>
    <cellStyle name="Normal 2 2 2 2 3 4 4" xfId="3945" xr:uid="{00000000-0005-0000-0000-000005000000}"/>
    <cellStyle name="Normal 2 2 2 2 3 4 4 2" xfId="8026" xr:uid="{00000000-0005-0000-0000-000005000000}"/>
    <cellStyle name="Normal 2 2 2 2 3 4 4 2 2" xfId="16186" xr:uid="{00000000-0005-0000-0000-000005000000}"/>
    <cellStyle name="Normal 2 2 2 2 3 4 4 3" xfId="12106" xr:uid="{00000000-0005-0000-0000-000005000000}"/>
    <cellStyle name="Normal 2 2 2 2 3 4 5" xfId="4965" xr:uid="{00000000-0005-0000-0000-000005000000}"/>
    <cellStyle name="Normal 2 2 2 2 3 4 5 2" xfId="13126" xr:uid="{00000000-0005-0000-0000-000005000000}"/>
    <cellStyle name="Normal 2 2 2 2 3 4 6" xfId="9046" xr:uid="{00000000-0005-0000-0000-000005000000}"/>
    <cellStyle name="Normal 2 2 2 2 3 5" xfId="476" xr:uid="{00000000-0005-0000-0000-000005000000}"/>
    <cellStyle name="Normal 2 2 2 2 3 5 2" xfId="2517" xr:uid="{00000000-0005-0000-0000-000005000000}"/>
    <cellStyle name="Normal 2 2 2 2 3 5 2 2" xfId="6598" xr:uid="{00000000-0005-0000-0000-000005000000}"/>
    <cellStyle name="Normal 2 2 2 2 3 5 2 2 2" xfId="14758" xr:uid="{00000000-0005-0000-0000-000005000000}"/>
    <cellStyle name="Normal 2 2 2 2 3 5 2 3" xfId="10678" xr:uid="{00000000-0005-0000-0000-000005000000}"/>
    <cellStyle name="Normal 2 2 2 2 3 5 3" xfId="1497" xr:uid="{00000000-0005-0000-0000-000005000000}"/>
    <cellStyle name="Normal 2 2 2 2 3 5 3 2" xfId="5578" xr:uid="{00000000-0005-0000-0000-000005000000}"/>
    <cellStyle name="Normal 2 2 2 2 3 5 3 2 2" xfId="13738" xr:uid="{00000000-0005-0000-0000-000005000000}"/>
    <cellStyle name="Normal 2 2 2 2 3 5 3 3" xfId="9658" xr:uid="{00000000-0005-0000-0000-000005000000}"/>
    <cellStyle name="Normal 2 2 2 2 3 5 4" xfId="3537" xr:uid="{00000000-0005-0000-0000-000005000000}"/>
    <cellStyle name="Normal 2 2 2 2 3 5 4 2" xfId="7618" xr:uid="{00000000-0005-0000-0000-000005000000}"/>
    <cellStyle name="Normal 2 2 2 2 3 5 4 2 2" xfId="15778" xr:uid="{00000000-0005-0000-0000-000005000000}"/>
    <cellStyle name="Normal 2 2 2 2 3 5 4 3" xfId="11698" xr:uid="{00000000-0005-0000-0000-000005000000}"/>
    <cellStyle name="Normal 2 2 2 2 3 5 5" xfId="4557" xr:uid="{00000000-0005-0000-0000-000005000000}"/>
    <cellStyle name="Normal 2 2 2 2 3 5 5 2" xfId="12718" xr:uid="{00000000-0005-0000-0000-000005000000}"/>
    <cellStyle name="Normal 2 2 2 2 3 5 6" xfId="8638" xr:uid="{00000000-0005-0000-0000-000005000000}"/>
    <cellStyle name="Normal 2 2 2 2 3 6" xfId="2109" xr:uid="{00000000-0005-0000-0000-000005000000}"/>
    <cellStyle name="Normal 2 2 2 2 3 6 2" xfId="6190" xr:uid="{00000000-0005-0000-0000-000005000000}"/>
    <cellStyle name="Normal 2 2 2 2 3 6 2 2" xfId="14350" xr:uid="{00000000-0005-0000-0000-000005000000}"/>
    <cellStyle name="Normal 2 2 2 2 3 6 3" xfId="10270" xr:uid="{00000000-0005-0000-0000-000005000000}"/>
    <cellStyle name="Normal 2 2 2 2 3 7" xfId="1089" xr:uid="{00000000-0005-0000-0000-000005000000}"/>
    <cellStyle name="Normal 2 2 2 2 3 7 2" xfId="5170" xr:uid="{00000000-0005-0000-0000-000005000000}"/>
    <cellStyle name="Normal 2 2 2 2 3 7 2 2" xfId="13330" xr:uid="{00000000-0005-0000-0000-000005000000}"/>
    <cellStyle name="Normal 2 2 2 2 3 7 3" xfId="9250" xr:uid="{00000000-0005-0000-0000-000005000000}"/>
    <cellStyle name="Normal 2 2 2 2 3 8" xfId="3129" xr:uid="{00000000-0005-0000-0000-000005000000}"/>
    <cellStyle name="Normal 2 2 2 2 3 8 2" xfId="7210" xr:uid="{00000000-0005-0000-0000-000005000000}"/>
    <cellStyle name="Normal 2 2 2 2 3 8 2 2" xfId="15370" xr:uid="{00000000-0005-0000-0000-000005000000}"/>
    <cellStyle name="Normal 2 2 2 2 3 8 3" xfId="11290" xr:uid="{00000000-0005-0000-0000-000005000000}"/>
    <cellStyle name="Normal 2 2 2 2 3 9" xfId="4149" xr:uid="{00000000-0005-0000-0000-000005000000}"/>
    <cellStyle name="Normal 2 2 2 2 3 9 2" xfId="12310" xr:uid="{00000000-0005-0000-0000-000005000000}"/>
    <cellStyle name="Normal 2 2 2 2 4" xfId="119" xr:uid="{00000000-0005-0000-0000-000005000000}"/>
    <cellStyle name="Normal 2 2 2 2 4 2" xfId="323" xr:uid="{00000000-0005-0000-0000-000005000000}"/>
    <cellStyle name="Normal 2 2 2 2 4 2 2" xfId="731" xr:uid="{00000000-0005-0000-0000-000005000000}"/>
    <cellStyle name="Normal 2 2 2 2 4 2 2 2" xfId="2772" xr:uid="{00000000-0005-0000-0000-000005000000}"/>
    <cellStyle name="Normal 2 2 2 2 4 2 2 2 2" xfId="6853" xr:uid="{00000000-0005-0000-0000-000005000000}"/>
    <cellStyle name="Normal 2 2 2 2 4 2 2 2 2 2" xfId="15013" xr:uid="{00000000-0005-0000-0000-000005000000}"/>
    <cellStyle name="Normal 2 2 2 2 4 2 2 2 3" xfId="10933" xr:uid="{00000000-0005-0000-0000-000005000000}"/>
    <cellStyle name="Normal 2 2 2 2 4 2 2 3" xfId="1752" xr:uid="{00000000-0005-0000-0000-000005000000}"/>
    <cellStyle name="Normal 2 2 2 2 4 2 2 3 2" xfId="5833" xr:uid="{00000000-0005-0000-0000-000005000000}"/>
    <cellStyle name="Normal 2 2 2 2 4 2 2 3 2 2" xfId="13993" xr:uid="{00000000-0005-0000-0000-000005000000}"/>
    <cellStyle name="Normal 2 2 2 2 4 2 2 3 3" xfId="9913" xr:uid="{00000000-0005-0000-0000-000005000000}"/>
    <cellStyle name="Normal 2 2 2 2 4 2 2 4" xfId="3792" xr:uid="{00000000-0005-0000-0000-000005000000}"/>
    <cellStyle name="Normal 2 2 2 2 4 2 2 4 2" xfId="7873" xr:uid="{00000000-0005-0000-0000-000005000000}"/>
    <cellStyle name="Normal 2 2 2 2 4 2 2 4 2 2" xfId="16033" xr:uid="{00000000-0005-0000-0000-000005000000}"/>
    <cellStyle name="Normal 2 2 2 2 4 2 2 4 3" xfId="11953" xr:uid="{00000000-0005-0000-0000-000005000000}"/>
    <cellStyle name="Normal 2 2 2 2 4 2 2 5" xfId="4812" xr:uid="{00000000-0005-0000-0000-000005000000}"/>
    <cellStyle name="Normal 2 2 2 2 4 2 2 5 2" xfId="12973" xr:uid="{00000000-0005-0000-0000-000005000000}"/>
    <cellStyle name="Normal 2 2 2 2 4 2 2 6" xfId="8893" xr:uid="{00000000-0005-0000-0000-000005000000}"/>
    <cellStyle name="Normal 2 2 2 2 4 2 3" xfId="2364" xr:uid="{00000000-0005-0000-0000-000005000000}"/>
    <cellStyle name="Normal 2 2 2 2 4 2 3 2" xfId="6445" xr:uid="{00000000-0005-0000-0000-000005000000}"/>
    <cellStyle name="Normal 2 2 2 2 4 2 3 2 2" xfId="14605" xr:uid="{00000000-0005-0000-0000-000005000000}"/>
    <cellStyle name="Normal 2 2 2 2 4 2 3 3" xfId="10525" xr:uid="{00000000-0005-0000-0000-000005000000}"/>
    <cellStyle name="Normal 2 2 2 2 4 2 4" xfId="1344" xr:uid="{00000000-0005-0000-0000-000005000000}"/>
    <cellStyle name="Normal 2 2 2 2 4 2 4 2" xfId="5425" xr:uid="{00000000-0005-0000-0000-000005000000}"/>
    <cellStyle name="Normal 2 2 2 2 4 2 4 2 2" xfId="13585" xr:uid="{00000000-0005-0000-0000-000005000000}"/>
    <cellStyle name="Normal 2 2 2 2 4 2 4 3" xfId="9505" xr:uid="{00000000-0005-0000-0000-000005000000}"/>
    <cellStyle name="Normal 2 2 2 2 4 2 5" xfId="3384" xr:uid="{00000000-0005-0000-0000-000005000000}"/>
    <cellStyle name="Normal 2 2 2 2 4 2 5 2" xfId="7465" xr:uid="{00000000-0005-0000-0000-000005000000}"/>
    <cellStyle name="Normal 2 2 2 2 4 2 5 2 2" xfId="15625" xr:uid="{00000000-0005-0000-0000-000005000000}"/>
    <cellStyle name="Normal 2 2 2 2 4 2 5 3" xfId="11545" xr:uid="{00000000-0005-0000-0000-000005000000}"/>
    <cellStyle name="Normal 2 2 2 2 4 2 6" xfId="4404" xr:uid="{00000000-0005-0000-0000-000005000000}"/>
    <cellStyle name="Normal 2 2 2 2 4 2 6 2" xfId="12565" xr:uid="{00000000-0005-0000-0000-000005000000}"/>
    <cellStyle name="Normal 2 2 2 2 4 2 7" xfId="8485" xr:uid="{00000000-0005-0000-0000-000005000000}"/>
    <cellStyle name="Normal 2 2 2 2 4 3" xfId="935" xr:uid="{00000000-0005-0000-0000-000005000000}"/>
    <cellStyle name="Normal 2 2 2 2 4 3 2" xfId="2976" xr:uid="{00000000-0005-0000-0000-000005000000}"/>
    <cellStyle name="Normal 2 2 2 2 4 3 2 2" xfId="7057" xr:uid="{00000000-0005-0000-0000-000005000000}"/>
    <cellStyle name="Normal 2 2 2 2 4 3 2 2 2" xfId="15217" xr:uid="{00000000-0005-0000-0000-000005000000}"/>
    <cellStyle name="Normal 2 2 2 2 4 3 2 3" xfId="11137" xr:uid="{00000000-0005-0000-0000-000005000000}"/>
    <cellStyle name="Normal 2 2 2 2 4 3 3" xfId="1956" xr:uid="{00000000-0005-0000-0000-000005000000}"/>
    <cellStyle name="Normal 2 2 2 2 4 3 3 2" xfId="6037" xr:uid="{00000000-0005-0000-0000-000005000000}"/>
    <cellStyle name="Normal 2 2 2 2 4 3 3 2 2" xfId="14197" xr:uid="{00000000-0005-0000-0000-000005000000}"/>
    <cellStyle name="Normal 2 2 2 2 4 3 3 3" xfId="10117" xr:uid="{00000000-0005-0000-0000-000005000000}"/>
    <cellStyle name="Normal 2 2 2 2 4 3 4" xfId="3996" xr:uid="{00000000-0005-0000-0000-000005000000}"/>
    <cellStyle name="Normal 2 2 2 2 4 3 4 2" xfId="8077" xr:uid="{00000000-0005-0000-0000-000005000000}"/>
    <cellStyle name="Normal 2 2 2 2 4 3 4 2 2" xfId="16237" xr:uid="{00000000-0005-0000-0000-000005000000}"/>
    <cellStyle name="Normal 2 2 2 2 4 3 4 3" xfId="12157" xr:uid="{00000000-0005-0000-0000-000005000000}"/>
    <cellStyle name="Normal 2 2 2 2 4 3 5" xfId="5016" xr:uid="{00000000-0005-0000-0000-000005000000}"/>
    <cellStyle name="Normal 2 2 2 2 4 3 5 2" xfId="13177" xr:uid="{00000000-0005-0000-0000-000005000000}"/>
    <cellStyle name="Normal 2 2 2 2 4 3 6" xfId="9097" xr:uid="{00000000-0005-0000-0000-000005000000}"/>
    <cellStyle name="Normal 2 2 2 2 4 4" xfId="527" xr:uid="{00000000-0005-0000-0000-000005000000}"/>
    <cellStyle name="Normal 2 2 2 2 4 4 2" xfId="2568" xr:uid="{00000000-0005-0000-0000-000005000000}"/>
    <cellStyle name="Normal 2 2 2 2 4 4 2 2" xfId="6649" xr:uid="{00000000-0005-0000-0000-000005000000}"/>
    <cellStyle name="Normal 2 2 2 2 4 4 2 2 2" xfId="14809" xr:uid="{00000000-0005-0000-0000-000005000000}"/>
    <cellStyle name="Normal 2 2 2 2 4 4 2 3" xfId="10729" xr:uid="{00000000-0005-0000-0000-000005000000}"/>
    <cellStyle name="Normal 2 2 2 2 4 4 3" xfId="1548" xr:uid="{00000000-0005-0000-0000-000005000000}"/>
    <cellStyle name="Normal 2 2 2 2 4 4 3 2" xfId="5629" xr:uid="{00000000-0005-0000-0000-000005000000}"/>
    <cellStyle name="Normal 2 2 2 2 4 4 3 2 2" xfId="13789" xr:uid="{00000000-0005-0000-0000-000005000000}"/>
    <cellStyle name="Normal 2 2 2 2 4 4 3 3" xfId="9709" xr:uid="{00000000-0005-0000-0000-000005000000}"/>
    <cellStyle name="Normal 2 2 2 2 4 4 4" xfId="3588" xr:uid="{00000000-0005-0000-0000-000005000000}"/>
    <cellStyle name="Normal 2 2 2 2 4 4 4 2" xfId="7669" xr:uid="{00000000-0005-0000-0000-000005000000}"/>
    <cellStyle name="Normal 2 2 2 2 4 4 4 2 2" xfId="15829" xr:uid="{00000000-0005-0000-0000-000005000000}"/>
    <cellStyle name="Normal 2 2 2 2 4 4 4 3" xfId="11749" xr:uid="{00000000-0005-0000-0000-000005000000}"/>
    <cellStyle name="Normal 2 2 2 2 4 4 5" xfId="4608" xr:uid="{00000000-0005-0000-0000-000005000000}"/>
    <cellStyle name="Normal 2 2 2 2 4 4 5 2" xfId="12769" xr:uid="{00000000-0005-0000-0000-000005000000}"/>
    <cellStyle name="Normal 2 2 2 2 4 4 6" xfId="8689" xr:uid="{00000000-0005-0000-0000-000005000000}"/>
    <cellStyle name="Normal 2 2 2 2 4 5" xfId="2160" xr:uid="{00000000-0005-0000-0000-000005000000}"/>
    <cellStyle name="Normal 2 2 2 2 4 5 2" xfId="6241" xr:uid="{00000000-0005-0000-0000-000005000000}"/>
    <cellStyle name="Normal 2 2 2 2 4 5 2 2" xfId="14401" xr:uid="{00000000-0005-0000-0000-000005000000}"/>
    <cellStyle name="Normal 2 2 2 2 4 5 3" xfId="10321" xr:uid="{00000000-0005-0000-0000-000005000000}"/>
    <cellStyle name="Normal 2 2 2 2 4 6" xfId="1140" xr:uid="{00000000-0005-0000-0000-000005000000}"/>
    <cellStyle name="Normal 2 2 2 2 4 6 2" xfId="5221" xr:uid="{00000000-0005-0000-0000-000005000000}"/>
    <cellStyle name="Normal 2 2 2 2 4 6 2 2" xfId="13381" xr:uid="{00000000-0005-0000-0000-000005000000}"/>
    <cellStyle name="Normal 2 2 2 2 4 6 3" xfId="9301" xr:uid="{00000000-0005-0000-0000-000005000000}"/>
    <cellStyle name="Normal 2 2 2 2 4 7" xfId="3180" xr:uid="{00000000-0005-0000-0000-000005000000}"/>
    <cellStyle name="Normal 2 2 2 2 4 7 2" xfId="7261" xr:uid="{00000000-0005-0000-0000-000005000000}"/>
    <cellStyle name="Normal 2 2 2 2 4 7 2 2" xfId="15421" xr:uid="{00000000-0005-0000-0000-000005000000}"/>
    <cellStyle name="Normal 2 2 2 2 4 7 3" xfId="11341" xr:uid="{00000000-0005-0000-0000-000005000000}"/>
    <cellStyle name="Normal 2 2 2 2 4 8" xfId="4200" xr:uid="{00000000-0005-0000-0000-000005000000}"/>
    <cellStyle name="Normal 2 2 2 2 4 8 2" xfId="12361" xr:uid="{00000000-0005-0000-0000-000005000000}"/>
    <cellStyle name="Normal 2 2 2 2 4 9" xfId="8281" xr:uid="{00000000-0005-0000-0000-000005000000}"/>
    <cellStyle name="Normal 2 2 2 2 5" xfId="221" xr:uid="{00000000-0005-0000-0000-000005000000}"/>
    <cellStyle name="Normal 2 2 2 2 5 2" xfId="629" xr:uid="{00000000-0005-0000-0000-000005000000}"/>
    <cellStyle name="Normal 2 2 2 2 5 2 2" xfId="2670" xr:uid="{00000000-0005-0000-0000-000005000000}"/>
    <cellStyle name="Normal 2 2 2 2 5 2 2 2" xfId="6751" xr:uid="{00000000-0005-0000-0000-000005000000}"/>
    <cellStyle name="Normal 2 2 2 2 5 2 2 2 2" xfId="14911" xr:uid="{00000000-0005-0000-0000-000005000000}"/>
    <cellStyle name="Normal 2 2 2 2 5 2 2 3" xfId="10831" xr:uid="{00000000-0005-0000-0000-000005000000}"/>
    <cellStyle name="Normal 2 2 2 2 5 2 3" xfId="1650" xr:uid="{00000000-0005-0000-0000-000005000000}"/>
    <cellStyle name="Normal 2 2 2 2 5 2 3 2" xfId="5731" xr:uid="{00000000-0005-0000-0000-000005000000}"/>
    <cellStyle name="Normal 2 2 2 2 5 2 3 2 2" xfId="13891" xr:uid="{00000000-0005-0000-0000-000005000000}"/>
    <cellStyle name="Normal 2 2 2 2 5 2 3 3" xfId="9811" xr:uid="{00000000-0005-0000-0000-000005000000}"/>
    <cellStyle name="Normal 2 2 2 2 5 2 4" xfId="3690" xr:uid="{00000000-0005-0000-0000-000005000000}"/>
    <cellStyle name="Normal 2 2 2 2 5 2 4 2" xfId="7771" xr:uid="{00000000-0005-0000-0000-000005000000}"/>
    <cellStyle name="Normal 2 2 2 2 5 2 4 2 2" xfId="15931" xr:uid="{00000000-0005-0000-0000-000005000000}"/>
    <cellStyle name="Normal 2 2 2 2 5 2 4 3" xfId="11851" xr:uid="{00000000-0005-0000-0000-000005000000}"/>
    <cellStyle name="Normal 2 2 2 2 5 2 5" xfId="4710" xr:uid="{00000000-0005-0000-0000-000005000000}"/>
    <cellStyle name="Normal 2 2 2 2 5 2 5 2" xfId="12871" xr:uid="{00000000-0005-0000-0000-000005000000}"/>
    <cellStyle name="Normal 2 2 2 2 5 2 6" xfId="8791" xr:uid="{00000000-0005-0000-0000-000005000000}"/>
    <cellStyle name="Normal 2 2 2 2 5 3" xfId="2262" xr:uid="{00000000-0005-0000-0000-000005000000}"/>
    <cellStyle name="Normal 2 2 2 2 5 3 2" xfId="6343" xr:uid="{00000000-0005-0000-0000-000005000000}"/>
    <cellStyle name="Normal 2 2 2 2 5 3 2 2" xfId="14503" xr:uid="{00000000-0005-0000-0000-000005000000}"/>
    <cellStyle name="Normal 2 2 2 2 5 3 3" xfId="10423" xr:uid="{00000000-0005-0000-0000-000005000000}"/>
    <cellStyle name="Normal 2 2 2 2 5 4" xfId="1242" xr:uid="{00000000-0005-0000-0000-000005000000}"/>
    <cellStyle name="Normal 2 2 2 2 5 4 2" xfId="5323" xr:uid="{00000000-0005-0000-0000-000005000000}"/>
    <cellStyle name="Normal 2 2 2 2 5 4 2 2" xfId="13483" xr:uid="{00000000-0005-0000-0000-000005000000}"/>
    <cellStyle name="Normal 2 2 2 2 5 4 3" xfId="9403" xr:uid="{00000000-0005-0000-0000-000005000000}"/>
    <cellStyle name="Normal 2 2 2 2 5 5" xfId="3282" xr:uid="{00000000-0005-0000-0000-000005000000}"/>
    <cellStyle name="Normal 2 2 2 2 5 5 2" xfId="7363" xr:uid="{00000000-0005-0000-0000-000005000000}"/>
    <cellStyle name="Normal 2 2 2 2 5 5 2 2" xfId="15523" xr:uid="{00000000-0005-0000-0000-000005000000}"/>
    <cellStyle name="Normal 2 2 2 2 5 5 3" xfId="11443" xr:uid="{00000000-0005-0000-0000-000005000000}"/>
    <cellStyle name="Normal 2 2 2 2 5 6" xfId="4302" xr:uid="{00000000-0005-0000-0000-000005000000}"/>
    <cellStyle name="Normal 2 2 2 2 5 6 2" xfId="12463" xr:uid="{00000000-0005-0000-0000-000005000000}"/>
    <cellStyle name="Normal 2 2 2 2 5 7" xfId="8383" xr:uid="{00000000-0005-0000-0000-000005000000}"/>
    <cellStyle name="Normal 2 2 2 2 6" xfId="833" xr:uid="{00000000-0005-0000-0000-000005000000}"/>
    <cellStyle name="Normal 2 2 2 2 6 2" xfId="2874" xr:uid="{00000000-0005-0000-0000-000005000000}"/>
    <cellStyle name="Normal 2 2 2 2 6 2 2" xfId="6955" xr:uid="{00000000-0005-0000-0000-000005000000}"/>
    <cellStyle name="Normal 2 2 2 2 6 2 2 2" xfId="15115" xr:uid="{00000000-0005-0000-0000-000005000000}"/>
    <cellStyle name="Normal 2 2 2 2 6 2 3" xfId="11035" xr:uid="{00000000-0005-0000-0000-000005000000}"/>
    <cellStyle name="Normal 2 2 2 2 6 3" xfId="1854" xr:uid="{00000000-0005-0000-0000-000005000000}"/>
    <cellStyle name="Normal 2 2 2 2 6 3 2" xfId="5935" xr:uid="{00000000-0005-0000-0000-000005000000}"/>
    <cellStyle name="Normal 2 2 2 2 6 3 2 2" xfId="14095" xr:uid="{00000000-0005-0000-0000-000005000000}"/>
    <cellStyle name="Normal 2 2 2 2 6 3 3" xfId="10015" xr:uid="{00000000-0005-0000-0000-000005000000}"/>
    <cellStyle name="Normal 2 2 2 2 6 4" xfId="3894" xr:uid="{00000000-0005-0000-0000-000005000000}"/>
    <cellStyle name="Normal 2 2 2 2 6 4 2" xfId="7975" xr:uid="{00000000-0005-0000-0000-000005000000}"/>
    <cellStyle name="Normal 2 2 2 2 6 4 2 2" xfId="16135" xr:uid="{00000000-0005-0000-0000-000005000000}"/>
    <cellStyle name="Normal 2 2 2 2 6 4 3" xfId="12055" xr:uid="{00000000-0005-0000-0000-000005000000}"/>
    <cellStyle name="Normal 2 2 2 2 6 5" xfId="4914" xr:uid="{00000000-0005-0000-0000-000005000000}"/>
    <cellStyle name="Normal 2 2 2 2 6 5 2" xfId="13075" xr:uid="{00000000-0005-0000-0000-000005000000}"/>
    <cellStyle name="Normal 2 2 2 2 6 6" xfId="8995" xr:uid="{00000000-0005-0000-0000-000005000000}"/>
    <cellStyle name="Normal 2 2 2 2 7" xfId="425" xr:uid="{00000000-0005-0000-0000-000005000000}"/>
    <cellStyle name="Normal 2 2 2 2 7 2" xfId="2466" xr:uid="{00000000-0005-0000-0000-000005000000}"/>
    <cellStyle name="Normal 2 2 2 2 7 2 2" xfId="6547" xr:uid="{00000000-0005-0000-0000-000005000000}"/>
    <cellStyle name="Normal 2 2 2 2 7 2 2 2" xfId="14707" xr:uid="{00000000-0005-0000-0000-000005000000}"/>
    <cellStyle name="Normal 2 2 2 2 7 2 3" xfId="10627" xr:uid="{00000000-0005-0000-0000-000005000000}"/>
    <cellStyle name="Normal 2 2 2 2 7 3" xfId="1446" xr:uid="{00000000-0005-0000-0000-000005000000}"/>
    <cellStyle name="Normal 2 2 2 2 7 3 2" xfId="5527" xr:uid="{00000000-0005-0000-0000-000005000000}"/>
    <cellStyle name="Normal 2 2 2 2 7 3 2 2" xfId="13687" xr:uid="{00000000-0005-0000-0000-000005000000}"/>
    <cellStyle name="Normal 2 2 2 2 7 3 3" xfId="9607" xr:uid="{00000000-0005-0000-0000-000005000000}"/>
    <cellStyle name="Normal 2 2 2 2 7 4" xfId="3486" xr:uid="{00000000-0005-0000-0000-000005000000}"/>
    <cellStyle name="Normal 2 2 2 2 7 4 2" xfId="7567" xr:uid="{00000000-0005-0000-0000-000005000000}"/>
    <cellStyle name="Normal 2 2 2 2 7 4 2 2" xfId="15727" xr:uid="{00000000-0005-0000-0000-000005000000}"/>
    <cellStyle name="Normal 2 2 2 2 7 4 3" xfId="11647" xr:uid="{00000000-0005-0000-0000-000005000000}"/>
    <cellStyle name="Normal 2 2 2 2 7 5" xfId="4506" xr:uid="{00000000-0005-0000-0000-000005000000}"/>
    <cellStyle name="Normal 2 2 2 2 7 5 2" xfId="12667" xr:uid="{00000000-0005-0000-0000-000005000000}"/>
    <cellStyle name="Normal 2 2 2 2 7 6" xfId="8587" xr:uid="{00000000-0005-0000-0000-000005000000}"/>
    <cellStyle name="Normal 2 2 2 2 8" xfId="2058" xr:uid="{00000000-0005-0000-0000-000005000000}"/>
    <cellStyle name="Normal 2 2 2 2 8 2" xfId="6139" xr:uid="{00000000-0005-0000-0000-000005000000}"/>
    <cellStyle name="Normal 2 2 2 2 8 2 2" xfId="14299" xr:uid="{00000000-0005-0000-0000-000005000000}"/>
    <cellStyle name="Normal 2 2 2 2 8 3" xfId="10219" xr:uid="{00000000-0005-0000-0000-000005000000}"/>
    <cellStyle name="Normal 2 2 2 2 9" xfId="1038" xr:uid="{00000000-0005-0000-0000-000005000000}"/>
    <cellStyle name="Normal 2 2 2 2 9 2" xfId="5119" xr:uid="{00000000-0005-0000-0000-000005000000}"/>
    <cellStyle name="Normal 2 2 2 2 9 2 2" xfId="13279" xr:uid="{00000000-0005-0000-0000-000005000000}"/>
    <cellStyle name="Normal 2 2 2 2 9 3" xfId="9199" xr:uid="{00000000-0005-0000-0000-000005000000}"/>
    <cellStyle name="Normal 2 2 2 3" xfId="22" xr:uid="{00000000-0005-0000-0000-000007000000}"/>
    <cellStyle name="Normal 2 2 2 3 10" xfId="3086" xr:uid="{00000000-0005-0000-0000-000007000000}"/>
    <cellStyle name="Normal 2 2 2 3 10 2" xfId="7167" xr:uid="{00000000-0005-0000-0000-000007000000}"/>
    <cellStyle name="Normal 2 2 2 3 10 2 2" xfId="15327" xr:uid="{00000000-0005-0000-0000-000007000000}"/>
    <cellStyle name="Normal 2 2 2 3 10 3" xfId="11247" xr:uid="{00000000-0005-0000-0000-000007000000}"/>
    <cellStyle name="Normal 2 2 2 3 11" xfId="4106" xr:uid="{00000000-0005-0000-0000-000007000000}"/>
    <cellStyle name="Normal 2 2 2 3 11 2" xfId="12267" xr:uid="{00000000-0005-0000-0000-000007000000}"/>
    <cellStyle name="Normal 2 2 2 3 12" xfId="8187" xr:uid="{00000000-0005-0000-0000-000007000000}"/>
    <cellStyle name="Normal 2 2 2 3 2" xfId="50" xr:uid="{00000000-0005-0000-0000-000008000000}"/>
    <cellStyle name="Normal 2 2 2 3 2 10" xfId="4131" xr:uid="{00000000-0005-0000-0000-000008000000}"/>
    <cellStyle name="Normal 2 2 2 3 2 10 2" xfId="12292" xr:uid="{00000000-0005-0000-0000-000008000000}"/>
    <cellStyle name="Normal 2 2 2 3 2 11" xfId="8212" xr:uid="{00000000-0005-0000-0000-000008000000}"/>
    <cellStyle name="Normal 2 2 2 3 2 2" xfId="101" xr:uid="{00000000-0005-0000-0000-000008000000}"/>
    <cellStyle name="Normal 2 2 2 3 2 2 10" xfId="8263" xr:uid="{00000000-0005-0000-0000-000008000000}"/>
    <cellStyle name="Normal 2 2 2 3 2 2 2" xfId="203" xr:uid="{00000000-0005-0000-0000-000008000000}"/>
    <cellStyle name="Normal 2 2 2 3 2 2 2 2" xfId="407" xr:uid="{00000000-0005-0000-0000-000008000000}"/>
    <cellStyle name="Normal 2 2 2 3 2 2 2 2 2" xfId="815" xr:uid="{00000000-0005-0000-0000-000008000000}"/>
    <cellStyle name="Normal 2 2 2 3 2 2 2 2 2 2" xfId="2856" xr:uid="{00000000-0005-0000-0000-000008000000}"/>
    <cellStyle name="Normal 2 2 2 3 2 2 2 2 2 2 2" xfId="6937" xr:uid="{00000000-0005-0000-0000-000008000000}"/>
    <cellStyle name="Normal 2 2 2 3 2 2 2 2 2 2 2 2" xfId="15097" xr:uid="{00000000-0005-0000-0000-000008000000}"/>
    <cellStyle name="Normal 2 2 2 3 2 2 2 2 2 2 3" xfId="11017" xr:uid="{00000000-0005-0000-0000-000008000000}"/>
    <cellStyle name="Normal 2 2 2 3 2 2 2 2 2 3" xfId="1836" xr:uid="{00000000-0005-0000-0000-000008000000}"/>
    <cellStyle name="Normal 2 2 2 3 2 2 2 2 2 3 2" xfId="5917" xr:uid="{00000000-0005-0000-0000-000008000000}"/>
    <cellStyle name="Normal 2 2 2 3 2 2 2 2 2 3 2 2" xfId="14077" xr:uid="{00000000-0005-0000-0000-000008000000}"/>
    <cellStyle name="Normal 2 2 2 3 2 2 2 2 2 3 3" xfId="9997" xr:uid="{00000000-0005-0000-0000-000008000000}"/>
    <cellStyle name="Normal 2 2 2 3 2 2 2 2 2 4" xfId="3876" xr:uid="{00000000-0005-0000-0000-000008000000}"/>
    <cellStyle name="Normal 2 2 2 3 2 2 2 2 2 4 2" xfId="7957" xr:uid="{00000000-0005-0000-0000-000008000000}"/>
    <cellStyle name="Normal 2 2 2 3 2 2 2 2 2 4 2 2" xfId="16117" xr:uid="{00000000-0005-0000-0000-000008000000}"/>
    <cellStyle name="Normal 2 2 2 3 2 2 2 2 2 4 3" xfId="12037" xr:uid="{00000000-0005-0000-0000-000008000000}"/>
    <cellStyle name="Normal 2 2 2 3 2 2 2 2 2 5" xfId="4896" xr:uid="{00000000-0005-0000-0000-000008000000}"/>
    <cellStyle name="Normal 2 2 2 3 2 2 2 2 2 5 2" xfId="13057" xr:uid="{00000000-0005-0000-0000-000008000000}"/>
    <cellStyle name="Normal 2 2 2 3 2 2 2 2 2 6" xfId="8977" xr:uid="{00000000-0005-0000-0000-000008000000}"/>
    <cellStyle name="Normal 2 2 2 3 2 2 2 2 3" xfId="2448" xr:uid="{00000000-0005-0000-0000-000008000000}"/>
    <cellStyle name="Normal 2 2 2 3 2 2 2 2 3 2" xfId="6529" xr:uid="{00000000-0005-0000-0000-000008000000}"/>
    <cellStyle name="Normal 2 2 2 3 2 2 2 2 3 2 2" xfId="14689" xr:uid="{00000000-0005-0000-0000-000008000000}"/>
    <cellStyle name="Normal 2 2 2 3 2 2 2 2 3 3" xfId="10609" xr:uid="{00000000-0005-0000-0000-000008000000}"/>
    <cellStyle name="Normal 2 2 2 3 2 2 2 2 4" xfId="1428" xr:uid="{00000000-0005-0000-0000-000008000000}"/>
    <cellStyle name="Normal 2 2 2 3 2 2 2 2 4 2" xfId="5509" xr:uid="{00000000-0005-0000-0000-000008000000}"/>
    <cellStyle name="Normal 2 2 2 3 2 2 2 2 4 2 2" xfId="13669" xr:uid="{00000000-0005-0000-0000-000008000000}"/>
    <cellStyle name="Normal 2 2 2 3 2 2 2 2 4 3" xfId="9589" xr:uid="{00000000-0005-0000-0000-000008000000}"/>
    <cellStyle name="Normal 2 2 2 3 2 2 2 2 5" xfId="3468" xr:uid="{00000000-0005-0000-0000-000008000000}"/>
    <cellStyle name="Normal 2 2 2 3 2 2 2 2 5 2" xfId="7549" xr:uid="{00000000-0005-0000-0000-000008000000}"/>
    <cellStyle name="Normal 2 2 2 3 2 2 2 2 5 2 2" xfId="15709" xr:uid="{00000000-0005-0000-0000-000008000000}"/>
    <cellStyle name="Normal 2 2 2 3 2 2 2 2 5 3" xfId="11629" xr:uid="{00000000-0005-0000-0000-000008000000}"/>
    <cellStyle name="Normal 2 2 2 3 2 2 2 2 6" xfId="4488" xr:uid="{00000000-0005-0000-0000-000008000000}"/>
    <cellStyle name="Normal 2 2 2 3 2 2 2 2 6 2" xfId="12649" xr:uid="{00000000-0005-0000-0000-000008000000}"/>
    <cellStyle name="Normal 2 2 2 3 2 2 2 2 7" xfId="8569" xr:uid="{00000000-0005-0000-0000-000008000000}"/>
    <cellStyle name="Normal 2 2 2 3 2 2 2 3" xfId="1019" xr:uid="{00000000-0005-0000-0000-000008000000}"/>
    <cellStyle name="Normal 2 2 2 3 2 2 2 3 2" xfId="3060" xr:uid="{00000000-0005-0000-0000-000008000000}"/>
    <cellStyle name="Normal 2 2 2 3 2 2 2 3 2 2" xfId="7141" xr:uid="{00000000-0005-0000-0000-000008000000}"/>
    <cellStyle name="Normal 2 2 2 3 2 2 2 3 2 2 2" xfId="15301" xr:uid="{00000000-0005-0000-0000-000008000000}"/>
    <cellStyle name="Normal 2 2 2 3 2 2 2 3 2 3" xfId="11221" xr:uid="{00000000-0005-0000-0000-000008000000}"/>
    <cellStyle name="Normal 2 2 2 3 2 2 2 3 3" xfId="2040" xr:uid="{00000000-0005-0000-0000-000008000000}"/>
    <cellStyle name="Normal 2 2 2 3 2 2 2 3 3 2" xfId="6121" xr:uid="{00000000-0005-0000-0000-000008000000}"/>
    <cellStyle name="Normal 2 2 2 3 2 2 2 3 3 2 2" xfId="14281" xr:uid="{00000000-0005-0000-0000-000008000000}"/>
    <cellStyle name="Normal 2 2 2 3 2 2 2 3 3 3" xfId="10201" xr:uid="{00000000-0005-0000-0000-000008000000}"/>
    <cellStyle name="Normal 2 2 2 3 2 2 2 3 4" xfId="4080" xr:uid="{00000000-0005-0000-0000-000008000000}"/>
    <cellStyle name="Normal 2 2 2 3 2 2 2 3 4 2" xfId="8161" xr:uid="{00000000-0005-0000-0000-000008000000}"/>
    <cellStyle name="Normal 2 2 2 3 2 2 2 3 4 2 2" xfId="16321" xr:uid="{00000000-0005-0000-0000-000008000000}"/>
    <cellStyle name="Normal 2 2 2 3 2 2 2 3 4 3" xfId="12241" xr:uid="{00000000-0005-0000-0000-000008000000}"/>
    <cellStyle name="Normal 2 2 2 3 2 2 2 3 5" xfId="5100" xr:uid="{00000000-0005-0000-0000-000008000000}"/>
    <cellStyle name="Normal 2 2 2 3 2 2 2 3 5 2" xfId="13261" xr:uid="{00000000-0005-0000-0000-000008000000}"/>
    <cellStyle name="Normal 2 2 2 3 2 2 2 3 6" xfId="9181" xr:uid="{00000000-0005-0000-0000-000008000000}"/>
    <cellStyle name="Normal 2 2 2 3 2 2 2 4" xfId="611" xr:uid="{00000000-0005-0000-0000-000008000000}"/>
    <cellStyle name="Normal 2 2 2 3 2 2 2 4 2" xfId="2652" xr:uid="{00000000-0005-0000-0000-000008000000}"/>
    <cellStyle name="Normal 2 2 2 3 2 2 2 4 2 2" xfId="6733" xr:uid="{00000000-0005-0000-0000-000008000000}"/>
    <cellStyle name="Normal 2 2 2 3 2 2 2 4 2 2 2" xfId="14893" xr:uid="{00000000-0005-0000-0000-000008000000}"/>
    <cellStyle name="Normal 2 2 2 3 2 2 2 4 2 3" xfId="10813" xr:uid="{00000000-0005-0000-0000-000008000000}"/>
    <cellStyle name="Normal 2 2 2 3 2 2 2 4 3" xfId="1632" xr:uid="{00000000-0005-0000-0000-000008000000}"/>
    <cellStyle name="Normal 2 2 2 3 2 2 2 4 3 2" xfId="5713" xr:uid="{00000000-0005-0000-0000-000008000000}"/>
    <cellStyle name="Normal 2 2 2 3 2 2 2 4 3 2 2" xfId="13873" xr:uid="{00000000-0005-0000-0000-000008000000}"/>
    <cellStyle name="Normal 2 2 2 3 2 2 2 4 3 3" xfId="9793" xr:uid="{00000000-0005-0000-0000-000008000000}"/>
    <cellStyle name="Normal 2 2 2 3 2 2 2 4 4" xfId="3672" xr:uid="{00000000-0005-0000-0000-000008000000}"/>
    <cellStyle name="Normal 2 2 2 3 2 2 2 4 4 2" xfId="7753" xr:uid="{00000000-0005-0000-0000-000008000000}"/>
    <cellStyle name="Normal 2 2 2 3 2 2 2 4 4 2 2" xfId="15913" xr:uid="{00000000-0005-0000-0000-000008000000}"/>
    <cellStyle name="Normal 2 2 2 3 2 2 2 4 4 3" xfId="11833" xr:uid="{00000000-0005-0000-0000-000008000000}"/>
    <cellStyle name="Normal 2 2 2 3 2 2 2 4 5" xfId="4692" xr:uid="{00000000-0005-0000-0000-000008000000}"/>
    <cellStyle name="Normal 2 2 2 3 2 2 2 4 5 2" xfId="12853" xr:uid="{00000000-0005-0000-0000-000008000000}"/>
    <cellStyle name="Normal 2 2 2 3 2 2 2 4 6" xfId="8773" xr:uid="{00000000-0005-0000-0000-000008000000}"/>
    <cellStyle name="Normal 2 2 2 3 2 2 2 5" xfId="2244" xr:uid="{00000000-0005-0000-0000-000008000000}"/>
    <cellStyle name="Normal 2 2 2 3 2 2 2 5 2" xfId="6325" xr:uid="{00000000-0005-0000-0000-000008000000}"/>
    <cellStyle name="Normal 2 2 2 3 2 2 2 5 2 2" xfId="14485" xr:uid="{00000000-0005-0000-0000-000008000000}"/>
    <cellStyle name="Normal 2 2 2 3 2 2 2 5 3" xfId="10405" xr:uid="{00000000-0005-0000-0000-000008000000}"/>
    <cellStyle name="Normal 2 2 2 3 2 2 2 6" xfId="1224" xr:uid="{00000000-0005-0000-0000-000008000000}"/>
    <cellStyle name="Normal 2 2 2 3 2 2 2 6 2" xfId="5305" xr:uid="{00000000-0005-0000-0000-000008000000}"/>
    <cellStyle name="Normal 2 2 2 3 2 2 2 6 2 2" xfId="13465" xr:uid="{00000000-0005-0000-0000-000008000000}"/>
    <cellStyle name="Normal 2 2 2 3 2 2 2 6 3" xfId="9385" xr:uid="{00000000-0005-0000-0000-000008000000}"/>
    <cellStyle name="Normal 2 2 2 3 2 2 2 7" xfId="3264" xr:uid="{00000000-0005-0000-0000-000008000000}"/>
    <cellStyle name="Normal 2 2 2 3 2 2 2 7 2" xfId="7345" xr:uid="{00000000-0005-0000-0000-000008000000}"/>
    <cellStyle name="Normal 2 2 2 3 2 2 2 7 2 2" xfId="15505" xr:uid="{00000000-0005-0000-0000-000008000000}"/>
    <cellStyle name="Normal 2 2 2 3 2 2 2 7 3" xfId="11425" xr:uid="{00000000-0005-0000-0000-000008000000}"/>
    <cellStyle name="Normal 2 2 2 3 2 2 2 8" xfId="4284" xr:uid="{00000000-0005-0000-0000-000008000000}"/>
    <cellStyle name="Normal 2 2 2 3 2 2 2 8 2" xfId="12445" xr:uid="{00000000-0005-0000-0000-000008000000}"/>
    <cellStyle name="Normal 2 2 2 3 2 2 2 9" xfId="8365" xr:uid="{00000000-0005-0000-0000-000008000000}"/>
    <cellStyle name="Normal 2 2 2 3 2 2 3" xfId="305" xr:uid="{00000000-0005-0000-0000-000008000000}"/>
    <cellStyle name="Normal 2 2 2 3 2 2 3 2" xfId="713" xr:uid="{00000000-0005-0000-0000-000008000000}"/>
    <cellStyle name="Normal 2 2 2 3 2 2 3 2 2" xfId="2754" xr:uid="{00000000-0005-0000-0000-000008000000}"/>
    <cellStyle name="Normal 2 2 2 3 2 2 3 2 2 2" xfId="6835" xr:uid="{00000000-0005-0000-0000-000008000000}"/>
    <cellStyle name="Normal 2 2 2 3 2 2 3 2 2 2 2" xfId="14995" xr:uid="{00000000-0005-0000-0000-000008000000}"/>
    <cellStyle name="Normal 2 2 2 3 2 2 3 2 2 3" xfId="10915" xr:uid="{00000000-0005-0000-0000-000008000000}"/>
    <cellStyle name="Normal 2 2 2 3 2 2 3 2 3" xfId="1734" xr:uid="{00000000-0005-0000-0000-000008000000}"/>
    <cellStyle name="Normal 2 2 2 3 2 2 3 2 3 2" xfId="5815" xr:uid="{00000000-0005-0000-0000-000008000000}"/>
    <cellStyle name="Normal 2 2 2 3 2 2 3 2 3 2 2" xfId="13975" xr:uid="{00000000-0005-0000-0000-000008000000}"/>
    <cellStyle name="Normal 2 2 2 3 2 2 3 2 3 3" xfId="9895" xr:uid="{00000000-0005-0000-0000-000008000000}"/>
    <cellStyle name="Normal 2 2 2 3 2 2 3 2 4" xfId="3774" xr:uid="{00000000-0005-0000-0000-000008000000}"/>
    <cellStyle name="Normal 2 2 2 3 2 2 3 2 4 2" xfId="7855" xr:uid="{00000000-0005-0000-0000-000008000000}"/>
    <cellStyle name="Normal 2 2 2 3 2 2 3 2 4 2 2" xfId="16015" xr:uid="{00000000-0005-0000-0000-000008000000}"/>
    <cellStyle name="Normal 2 2 2 3 2 2 3 2 4 3" xfId="11935" xr:uid="{00000000-0005-0000-0000-000008000000}"/>
    <cellStyle name="Normal 2 2 2 3 2 2 3 2 5" xfId="4794" xr:uid="{00000000-0005-0000-0000-000008000000}"/>
    <cellStyle name="Normal 2 2 2 3 2 2 3 2 5 2" xfId="12955" xr:uid="{00000000-0005-0000-0000-000008000000}"/>
    <cellStyle name="Normal 2 2 2 3 2 2 3 2 6" xfId="8875" xr:uid="{00000000-0005-0000-0000-000008000000}"/>
    <cellStyle name="Normal 2 2 2 3 2 2 3 3" xfId="2346" xr:uid="{00000000-0005-0000-0000-000008000000}"/>
    <cellStyle name="Normal 2 2 2 3 2 2 3 3 2" xfId="6427" xr:uid="{00000000-0005-0000-0000-000008000000}"/>
    <cellStyle name="Normal 2 2 2 3 2 2 3 3 2 2" xfId="14587" xr:uid="{00000000-0005-0000-0000-000008000000}"/>
    <cellStyle name="Normal 2 2 2 3 2 2 3 3 3" xfId="10507" xr:uid="{00000000-0005-0000-0000-000008000000}"/>
    <cellStyle name="Normal 2 2 2 3 2 2 3 4" xfId="1326" xr:uid="{00000000-0005-0000-0000-000008000000}"/>
    <cellStyle name="Normal 2 2 2 3 2 2 3 4 2" xfId="5407" xr:uid="{00000000-0005-0000-0000-000008000000}"/>
    <cellStyle name="Normal 2 2 2 3 2 2 3 4 2 2" xfId="13567" xr:uid="{00000000-0005-0000-0000-000008000000}"/>
    <cellStyle name="Normal 2 2 2 3 2 2 3 4 3" xfId="9487" xr:uid="{00000000-0005-0000-0000-000008000000}"/>
    <cellStyle name="Normal 2 2 2 3 2 2 3 5" xfId="3366" xr:uid="{00000000-0005-0000-0000-000008000000}"/>
    <cellStyle name="Normal 2 2 2 3 2 2 3 5 2" xfId="7447" xr:uid="{00000000-0005-0000-0000-000008000000}"/>
    <cellStyle name="Normal 2 2 2 3 2 2 3 5 2 2" xfId="15607" xr:uid="{00000000-0005-0000-0000-000008000000}"/>
    <cellStyle name="Normal 2 2 2 3 2 2 3 5 3" xfId="11527" xr:uid="{00000000-0005-0000-0000-000008000000}"/>
    <cellStyle name="Normal 2 2 2 3 2 2 3 6" xfId="4386" xr:uid="{00000000-0005-0000-0000-000008000000}"/>
    <cellStyle name="Normal 2 2 2 3 2 2 3 6 2" xfId="12547" xr:uid="{00000000-0005-0000-0000-000008000000}"/>
    <cellStyle name="Normal 2 2 2 3 2 2 3 7" xfId="8467" xr:uid="{00000000-0005-0000-0000-000008000000}"/>
    <cellStyle name="Normal 2 2 2 3 2 2 4" xfId="917" xr:uid="{00000000-0005-0000-0000-000008000000}"/>
    <cellStyle name="Normal 2 2 2 3 2 2 4 2" xfId="2958" xr:uid="{00000000-0005-0000-0000-000008000000}"/>
    <cellStyle name="Normal 2 2 2 3 2 2 4 2 2" xfId="7039" xr:uid="{00000000-0005-0000-0000-000008000000}"/>
    <cellStyle name="Normal 2 2 2 3 2 2 4 2 2 2" xfId="15199" xr:uid="{00000000-0005-0000-0000-000008000000}"/>
    <cellStyle name="Normal 2 2 2 3 2 2 4 2 3" xfId="11119" xr:uid="{00000000-0005-0000-0000-000008000000}"/>
    <cellStyle name="Normal 2 2 2 3 2 2 4 3" xfId="1938" xr:uid="{00000000-0005-0000-0000-000008000000}"/>
    <cellStyle name="Normal 2 2 2 3 2 2 4 3 2" xfId="6019" xr:uid="{00000000-0005-0000-0000-000008000000}"/>
    <cellStyle name="Normal 2 2 2 3 2 2 4 3 2 2" xfId="14179" xr:uid="{00000000-0005-0000-0000-000008000000}"/>
    <cellStyle name="Normal 2 2 2 3 2 2 4 3 3" xfId="10099" xr:uid="{00000000-0005-0000-0000-000008000000}"/>
    <cellStyle name="Normal 2 2 2 3 2 2 4 4" xfId="3978" xr:uid="{00000000-0005-0000-0000-000008000000}"/>
    <cellStyle name="Normal 2 2 2 3 2 2 4 4 2" xfId="8059" xr:uid="{00000000-0005-0000-0000-000008000000}"/>
    <cellStyle name="Normal 2 2 2 3 2 2 4 4 2 2" xfId="16219" xr:uid="{00000000-0005-0000-0000-000008000000}"/>
    <cellStyle name="Normal 2 2 2 3 2 2 4 4 3" xfId="12139" xr:uid="{00000000-0005-0000-0000-000008000000}"/>
    <cellStyle name="Normal 2 2 2 3 2 2 4 5" xfId="4998" xr:uid="{00000000-0005-0000-0000-000008000000}"/>
    <cellStyle name="Normal 2 2 2 3 2 2 4 5 2" xfId="13159" xr:uid="{00000000-0005-0000-0000-000008000000}"/>
    <cellStyle name="Normal 2 2 2 3 2 2 4 6" xfId="9079" xr:uid="{00000000-0005-0000-0000-000008000000}"/>
    <cellStyle name="Normal 2 2 2 3 2 2 5" xfId="509" xr:uid="{00000000-0005-0000-0000-000008000000}"/>
    <cellStyle name="Normal 2 2 2 3 2 2 5 2" xfId="2550" xr:uid="{00000000-0005-0000-0000-000008000000}"/>
    <cellStyle name="Normal 2 2 2 3 2 2 5 2 2" xfId="6631" xr:uid="{00000000-0005-0000-0000-000008000000}"/>
    <cellStyle name="Normal 2 2 2 3 2 2 5 2 2 2" xfId="14791" xr:uid="{00000000-0005-0000-0000-000008000000}"/>
    <cellStyle name="Normal 2 2 2 3 2 2 5 2 3" xfId="10711" xr:uid="{00000000-0005-0000-0000-000008000000}"/>
    <cellStyle name="Normal 2 2 2 3 2 2 5 3" xfId="1530" xr:uid="{00000000-0005-0000-0000-000008000000}"/>
    <cellStyle name="Normal 2 2 2 3 2 2 5 3 2" xfId="5611" xr:uid="{00000000-0005-0000-0000-000008000000}"/>
    <cellStyle name="Normal 2 2 2 3 2 2 5 3 2 2" xfId="13771" xr:uid="{00000000-0005-0000-0000-000008000000}"/>
    <cellStyle name="Normal 2 2 2 3 2 2 5 3 3" xfId="9691" xr:uid="{00000000-0005-0000-0000-000008000000}"/>
    <cellStyle name="Normal 2 2 2 3 2 2 5 4" xfId="3570" xr:uid="{00000000-0005-0000-0000-000008000000}"/>
    <cellStyle name="Normal 2 2 2 3 2 2 5 4 2" xfId="7651" xr:uid="{00000000-0005-0000-0000-000008000000}"/>
    <cellStyle name="Normal 2 2 2 3 2 2 5 4 2 2" xfId="15811" xr:uid="{00000000-0005-0000-0000-000008000000}"/>
    <cellStyle name="Normal 2 2 2 3 2 2 5 4 3" xfId="11731" xr:uid="{00000000-0005-0000-0000-000008000000}"/>
    <cellStyle name="Normal 2 2 2 3 2 2 5 5" xfId="4590" xr:uid="{00000000-0005-0000-0000-000008000000}"/>
    <cellStyle name="Normal 2 2 2 3 2 2 5 5 2" xfId="12751" xr:uid="{00000000-0005-0000-0000-000008000000}"/>
    <cellStyle name="Normal 2 2 2 3 2 2 5 6" xfId="8671" xr:uid="{00000000-0005-0000-0000-000008000000}"/>
    <cellStyle name="Normal 2 2 2 3 2 2 6" xfId="2142" xr:uid="{00000000-0005-0000-0000-000008000000}"/>
    <cellStyle name="Normal 2 2 2 3 2 2 6 2" xfId="6223" xr:uid="{00000000-0005-0000-0000-000008000000}"/>
    <cellStyle name="Normal 2 2 2 3 2 2 6 2 2" xfId="14383" xr:uid="{00000000-0005-0000-0000-000008000000}"/>
    <cellStyle name="Normal 2 2 2 3 2 2 6 3" xfId="10303" xr:uid="{00000000-0005-0000-0000-000008000000}"/>
    <cellStyle name="Normal 2 2 2 3 2 2 7" xfId="1122" xr:uid="{00000000-0005-0000-0000-000008000000}"/>
    <cellStyle name="Normal 2 2 2 3 2 2 7 2" xfId="5203" xr:uid="{00000000-0005-0000-0000-000008000000}"/>
    <cellStyle name="Normal 2 2 2 3 2 2 7 2 2" xfId="13363" xr:uid="{00000000-0005-0000-0000-000008000000}"/>
    <cellStyle name="Normal 2 2 2 3 2 2 7 3" xfId="9283" xr:uid="{00000000-0005-0000-0000-000008000000}"/>
    <cellStyle name="Normal 2 2 2 3 2 2 8" xfId="3162" xr:uid="{00000000-0005-0000-0000-000008000000}"/>
    <cellStyle name="Normal 2 2 2 3 2 2 8 2" xfId="7243" xr:uid="{00000000-0005-0000-0000-000008000000}"/>
    <cellStyle name="Normal 2 2 2 3 2 2 8 2 2" xfId="15403" xr:uid="{00000000-0005-0000-0000-000008000000}"/>
    <cellStyle name="Normal 2 2 2 3 2 2 8 3" xfId="11323" xr:uid="{00000000-0005-0000-0000-000008000000}"/>
    <cellStyle name="Normal 2 2 2 3 2 2 9" xfId="4182" xr:uid="{00000000-0005-0000-0000-000008000000}"/>
    <cellStyle name="Normal 2 2 2 3 2 2 9 2" xfId="12343" xr:uid="{00000000-0005-0000-0000-000008000000}"/>
    <cellStyle name="Normal 2 2 2 3 2 3" xfId="152" xr:uid="{00000000-0005-0000-0000-000008000000}"/>
    <cellStyle name="Normal 2 2 2 3 2 3 2" xfId="356" xr:uid="{00000000-0005-0000-0000-000008000000}"/>
    <cellStyle name="Normal 2 2 2 3 2 3 2 2" xfId="764" xr:uid="{00000000-0005-0000-0000-000008000000}"/>
    <cellStyle name="Normal 2 2 2 3 2 3 2 2 2" xfId="2805" xr:uid="{00000000-0005-0000-0000-000008000000}"/>
    <cellStyle name="Normal 2 2 2 3 2 3 2 2 2 2" xfId="6886" xr:uid="{00000000-0005-0000-0000-000008000000}"/>
    <cellStyle name="Normal 2 2 2 3 2 3 2 2 2 2 2" xfId="15046" xr:uid="{00000000-0005-0000-0000-000008000000}"/>
    <cellStyle name="Normal 2 2 2 3 2 3 2 2 2 3" xfId="10966" xr:uid="{00000000-0005-0000-0000-000008000000}"/>
    <cellStyle name="Normal 2 2 2 3 2 3 2 2 3" xfId="1785" xr:uid="{00000000-0005-0000-0000-000008000000}"/>
    <cellStyle name="Normal 2 2 2 3 2 3 2 2 3 2" xfId="5866" xr:uid="{00000000-0005-0000-0000-000008000000}"/>
    <cellStyle name="Normal 2 2 2 3 2 3 2 2 3 2 2" xfId="14026" xr:uid="{00000000-0005-0000-0000-000008000000}"/>
    <cellStyle name="Normal 2 2 2 3 2 3 2 2 3 3" xfId="9946" xr:uid="{00000000-0005-0000-0000-000008000000}"/>
    <cellStyle name="Normal 2 2 2 3 2 3 2 2 4" xfId="3825" xr:uid="{00000000-0005-0000-0000-000008000000}"/>
    <cellStyle name="Normal 2 2 2 3 2 3 2 2 4 2" xfId="7906" xr:uid="{00000000-0005-0000-0000-000008000000}"/>
    <cellStyle name="Normal 2 2 2 3 2 3 2 2 4 2 2" xfId="16066" xr:uid="{00000000-0005-0000-0000-000008000000}"/>
    <cellStyle name="Normal 2 2 2 3 2 3 2 2 4 3" xfId="11986" xr:uid="{00000000-0005-0000-0000-000008000000}"/>
    <cellStyle name="Normal 2 2 2 3 2 3 2 2 5" xfId="4845" xr:uid="{00000000-0005-0000-0000-000008000000}"/>
    <cellStyle name="Normal 2 2 2 3 2 3 2 2 5 2" xfId="13006" xr:uid="{00000000-0005-0000-0000-000008000000}"/>
    <cellStyle name="Normal 2 2 2 3 2 3 2 2 6" xfId="8926" xr:uid="{00000000-0005-0000-0000-000008000000}"/>
    <cellStyle name="Normal 2 2 2 3 2 3 2 3" xfId="2397" xr:uid="{00000000-0005-0000-0000-000008000000}"/>
    <cellStyle name="Normal 2 2 2 3 2 3 2 3 2" xfId="6478" xr:uid="{00000000-0005-0000-0000-000008000000}"/>
    <cellStyle name="Normal 2 2 2 3 2 3 2 3 2 2" xfId="14638" xr:uid="{00000000-0005-0000-0000-000008000000}"/>
    <cellStyle name="Normal 2 2 2 3 2 3 2 3 3" xfId="10558" xr:uid="{00000000-0005-0000-0000-000008000000}"/>
    <cellStyle name="Normal 2 2 2 3 2 3 2 4" xfId="1377" xr:uid="{00000000-0005-0000-0000-000008000000}"/>
    <cellStyle name="Normal 2 2 2 3 2 3 2 4 2" xfId="5458" xr:uid="{00000000-0005-0000-0000-000008000000}"/>
    <cellStyle name="Normal 2 2 2 3 2 3 2 4 2 2" xfId="13618" xr:uid="{00000000-0005-0000-0000-000008000000}"/>
    <cellStyle name="Normal 2 2 2 3 2 3 2 4 3" xfId="9538" xr:uid="{00000000-0005-0000-0000-000008000000}"/>
    <cellStyle name="Normal 2 2 2 3 2 3 2 5" xfId="3417" xr:uid="{00000000-0005-0000-0000-000008000000}"/>
    <cellStyle name="Normal 2 2 2 3 2 3 2 5 2" xfId="7498" xr:uid="{00000000-0005-0000-0000-000008000000}"/>
    <cellStyle name="Normal 2 2 2 3 2 3 2 5 2 2" xfId="15658" xr:uid="{00000000-0005-0000-0000-000008000000}"/>
    <cellStyle name="Normal 2 2 2 3 2 3 2 5 3" xfId="11578" xr:uid="{00000000-0005-0000-0000-000008000000}"/>
    <cellStyle name="Normal 2 2 2 3 2 3 2 6" xfId="4437" xr:uid="{00000000-0005-0000-0000-000008000000}"/>
    <cellStyle name="Normal 2 2 2 3 2 3 2 6 2" xfId="12598" xr:uid="{00000000-0005-0000-0000-000008000000}"/>
    <cellStyle name="Normal 2 2 2 3 2 3 2 7" xfId="8518" xr:uid="{00000000-0005-0000-0000-000008000000}"/>
    <cellStyle name="Normal 2 2 2 3 2 3 3" xfId="968" xr:uid="{00000000-0005-0000-0000-000008000000}"/>
    <cellStyle name="Normal 2 2 2 3 2 3 3 2" xfId="3009" xr:uid="{00000000-0005-0000-0000-000008000000}"/>
    <cellStyle name="Normal 2 2 2 3 2 3 3 2 2" xfId="7090" xr:uid="{00000000-0005-0000-0000-000008000000}"/>
    <cellStyle name="Normal 2 2 2 3 2 3 3 2 2 2" xfId="15250" xr:uid="{00000000-0005-0000-0000-000008000000}"/>
    <cellStyle name="Normal 2 2 2 3 2 3 3 2 3" xfId="11170" xr:uid="{00000000-0005-0000-0000-000008000000}"/>
    <cellStyle name="Normal 2 2 2 3 2 3 3 3" xfId="1989" xr:uid="{00000000-0005-0000-0000-000008000000}"/>
    <cellStyle name="Normal 2 2 2 3 2 3 3 3 2" xfId="6070" xr:uid="{00000000-0005-0000-0000-000008000000}"/>
    <cellStyle name="Normal 2 2 2 3 2 3 3 3 2 2" xfId="14230" xr:uid="{00000000-0005-0000-0000-000008000000}"/>
    <cellStyle name="Normal 2 2 2 3 2 3 3 3 3" xfId="10150" xr:uid="{00000000-0005-0000-0000-000008000000}"/>
    <cellStyle name="Normal 2 2 2 3 2 3 3 4" xfId="4029" xr:uid="{00000000-0005-0000-0000-000008000000}"/>
    <cellStyle name="Normal 2 2 2 3 2 3 3 4 2" xfId="8110" xr:uid="{00000000-0005-0000-0000-000008000000}"/>
    <cellStyle name="Normal 2 2 2 3 2 3 3 4 2 2" xfId="16270" xr:uid="{00000000-0005-0000-0000-000008000000}"/>
    <cellStyle name="Normal 2 2 2 3 2 3 3 4 3" xfId="12190" xr:uid="{00000000-0005-0000-0000-000008000000}"/>
    <cellStyle name="Normal 2 2 2 3 2 3 3 5" xfId="5049" xr:uid="{00000000-0005-0000-0000-000008000000}"/>
    <cellStyle name="Normal 2 2 2 3 2 3 3 5 2" xfId="13210" xr:uid="{00000000-0005-0000-0000-000008000000}"/>
    <cellStyle name="Normal 2 2 2 3 2 3 3 6" xfId="9130" xr:uid="{00000000-0005-0000-0000-000008000000}"/>
    <cellStyle name="Normal 2 2 2 3 2 3 4" xfId="560" xr:uid="{00000000-0005-0000-0000-000008000000}"/>
    <cellStyle name="Normal 2 2 2 3 2 3 4 2" xfId="2601" xr:uid="{00000000-0005-0000-0000-000008000000}"/>
    <cellStyle name="Normal 2 2 2 3 2 3 4 2 2" xfId="6682" xr:uid="{00000000-0005-0000-0000-000008000000}"/>
    <cellStyle name="Normal 2 2 2 3 2 3 4 2 2 2" xfId="14842" xr:uid="{00000000-0005-0000-0000-000008000000}"/>
    <cellStyle name="Normal 2 2 2 3 2 3 4 2 3" xfId="10762" xr:uid="{00000000-0005-0000-0000-000008000000}"/>
    <cellStyle name="Normal 2 2 2 3 2 3 4 3" xfId="1581" xr:uid="{00000000-0005-0000-0000-000008000000}"/>
    <cellStyle name="Normal 2 2 2 3 2 3 4 3 2" xfId="5662" xr:uid="{00000000-0005-0000-0000-000008000000}"/>
    <cellStyle name="Normal 2 2 2 3 2 3 4 3 2 2" xfId="13822" xr:uid="{00000000-0005-0000-0000-000008000000}"/>
    <cellStyle name="Normal 2 2 2 3 2 3 4 3 3" xfId="9742" xr:uid="{00000000-0005-0000-0000-000008000000}"/>
    <cellStyle name="Normal 2 2 2 3 2 3 4 4" xfId="3621" xr:uid="{00000000-0005-0000-0000-000008000000}"/>
    <cellStyle name="Normal 2 2 2 3 2 3 4 4 2" xfId="7702" xr:uid="{00000000-0005-0000-0000-000008000000}"/>
    <cellStyle name="Normal 2 2 2 3 2 3 4 4 2 2" xfId="15862" xr:uid="{00000000-0005-0000-0000-000008000000}"/>
    <cellStyle name="Normal 2 2 2 3 2 3 4 4 3" xfId="11782" xr:uid="{00000000-0005-0000-0000-000008000000}"/>
    <cellStyle name="Normal 2 2 2 3 2 3 4 5" xfId="4641" xr:uid="{00000000-0005-0000-0000-000008000000}"/>
    <cellStyle name="Normal 2 2 2 3 2 3 4 5 2" xfId="12802" xr:uid="{00000000-0005-0000-0000-000008000000}"/>
    <cellStyle name="Normal 2 2 2 3 2 3 4 6" xfId="8722" xr:uid="{00000000-0005-0000-0000-000008000000}"/>
    <cellStyle name="Normal 2 2 2 3 2 3 5" xfId="2193" xr:uid="{00000000-0005-0000-0000-000008000000}"/>
    <cellStyle name="Normal 2 2 2 3 2 3 5 2" xfId="6274" xr:uid="{00000000-0005-0000-0000-000008000000}"/>
    <cellStyle name="Normal 2 2 2 3 2 3 5 2 2" xfId="14434" xr:uid="{00000000-0005-0000-0000-000008000000}"/>
    <cellStyle name="Normal 2 2 2 3 2 3 5 3" xfId="10354" xr:uid="{00000000-0005-0000-0000-000008000000}"/>
    <cellStyle name="Normal 2 2 2 3 2 3 6" xfId="1173" xr:uid="{00000000-0005-0000-0000-000008000000}"/>
    <cellStyle name="Normal 2 2 2 3 2 3 6 2" xfId="5254" xr:uid="{00000000-0005-0000-0000-000008000000}"/>
    <cellStyle name="Normal 2 2 2 3 2 3 6 2 2" xfId="13414" xr:uid="{00000000-0005-0000-0000-000008000000}"/>
    <cellStyle name="Normal 2 2 2 3 2 3 6 3" xfId="9334" xr:uid="{00000000-0005-0000-0000-000008000000}"/>
    <cellStyle name="Normal 2 2 2 3 2 3 7" xfId="3213" xr:uid="{00000000-0005-0000-0000-000008000000}"/>
    <cellStyle name="Normal 2 2 2 3 2 3 7 2" xfId="7294" xr:uid="{00000000-0005-0000-0000-000008000000}"/>
    <cellStyle name="Normal 2 2 2 3 2 3 7 2 2" xfId="15454" xr:uid="{00000000-0005-0000-0000-000008000000}"/>
    <cellStyle name="Normal 2 2 2 3 2 3 7 3" xfId="11374" xr:uid="{00000000-0005-0000-0000-000008000000}"/>
    <cellStyle name="Normal 2 2 2 3 2 3 8" xfId="4233" xr:uid="{00000000-0005-0000-0000-000008000000}"/>
    <cellStyle name="Normal 2 2 2 3 2 3 8 2" xfId="12394" xr:uid="{00000000-0005-0000-0000-000008000000}"/>
    <cellStyle name="Normal 2 2 2 3 2 3 9" xfId="8314" xr:uid="{00000000-0005-0000-0000-000008000000}"/>
    <cellStyle name="Normal 2 2 2 3 2 4" xfId="254" xr:uid="{00000000-0005-0000-0000-000008000000}"/>
    <cellStyle name="Normal 2 2 2 3 2 4 2" xfId="662" xr:uid="{00000000-0005-0000-0000-000008000000}"/>
    <cellStyle name="Normal 2 2 2 3 2 4 2 2" xfId="2703" xr:uid="{00000000-0005-0000-0000-000008000000}"/>
    <cellStyle name="Normal 2 2 2 3 2 4 2 2 2" xfId="6784" xr:uid="{00000000-0005-0000-0000-000008000000}"/>
    <cellStyle name="Normal 2 2 2 3 2 4 2 2 2 2" xfId="14944" xr:uid="{00000000-0005-0000-0000-000008000000}"/>
    <cellStyle name="Normal 2 2 2 3 2 4 2 2 3" xfId="10864" xr:uid="{00000000-0005-0000-0000-000008000000}"/>
    <cellStyle name="Normal 2 2 2 3 2 4 2 3" xfId="1683" xr:uid="{00000000-0005-0000-0000-000008000000}"/>
    <cellStyle name="Normal 2 2 2 3 2 4 2 3 2" xfId="5764" xr:uid="{00000000-0005-0000-0000-000008000000}"/>
    <cellStyle name="Normal 2 2 2 3 2 4 2 3 2 2" xfId="13924" xr:uid="{00000000-0005-0000-0000-000008000000}"/>
    <cellStyle name="Normal 2 2 2 3 2 4 2 3 3" xfId="9844" xr:uid="{00000000-0005-0000-0000-000008000000}"/>
    <cellStyle name="Normal 2 2 2 3 2 4 2 4" xfId="3723" xr:uid="{00000000-0005-0000-0000-000008000000}"/>
    <cellStyle name="Normal 2 2 2 3 2 4 2 4 2" xfId="7804" xr:uid="{00000000-0005-0000-0000-000008000000}"/>
    <cellStyle name="Normal 2 2 2 3 2 4 2 4 2 2" xfId="15964" xr:uid="{00000000-0005-0000-0000-000008000000}"/>
    <cellStyle name="Normal 2 2 2 3 2 4 2 4 3" xfId="11884" xr:uid="{00000000-0005-0000-0000-000008000000}"/>
    <cellStyle name="Normal 2 2 2 3 2 4 2 5" xfId="4743" xr:uid="{00000000-0005-0000-0000-000008000000}"/>
    <cellStyle name="Normal 2 2 2 3 2 4 2 5 2" xfId="12904" xr:uid="{00000000-0005-0000-0000-000008000000}"/>
    <cellStyle name="Normal 2 2 2 3 2 4 2 6" xfId="8824" xr:uid="{00000000-0005-0000-0000-000008000000}"/>
    <cellStyle name="Normal 2 2 2 3 2 4 3" xfId="2295" xr:uid="{00000000-0005-0000-0000-000008000000}"/>
    <cellStyle name="Normal 2 2 2 3 2 4 3 2" xfId="6376" xr:uid="{00000000-0005-0000-0000-000008000000}"/>
    <cellStyle name="Normal 2 2 2 3 2 4 3 2 2" xfId="14536" xr:uid="{00000000-0005-0000-0000-000008000000}"/>
    <cellStyle name="Normal 2 2 2 3 2 4 3 3" xfId="10456" xr:uid="{00000000-0005-0000-0000-000008000000}"/>
    <cellStyle name="Normal 2 2 2 3 2 4 4" xfId="1275" xr:uid="{00000000-0005-0000-0000-000008000000}"/>
    <cellStyle name="Normal 2 2 2 3 2 4 4 2" xfId="5356" xr:uid="{00000000-0005-0000-0000-000008000000}"/>
    <cellStyle name="Normal 2 2 2 3 2 4 4 2 2" xfId="13516" xr:uid="{00000000-0005-0000-0000-000008000000}"/>
    <cellStyle name="Normal 2 2 2 3 2 4 4 3" xfId="9436" xr:uid="{00000000-0005-0000-0000-000008000000}"/>
    <cellStyle name="Normal 2 2 2 3 2 4 5" xfId="3315" xr:uid="{00000000-0005-0000-0000-000008000000}"/>
    <cellStyle name="Normal 2 2 2 3 2 4 5 2" xfId="7396" xr:uid="{00000000-0005-0000-0000-000008000000}"/>
    <cellStyle name="Normal 2 2 2 3 2 4 5 2 2" xfId="15556" xr:uid="{00000000-0005-0000-0000-000008000000}"/>
    <cellStyle name="Normal 2 2 2 3 2 4 5 3" xfId="11476" xr:uid="{00000000-0005-0000-0000-000008000000}"/>
    <cellStyle name="Normal 2 2 2 3 2 4 6" xfId="4335" xr:uid="{00000000-0005-0000-0000-000008000000}"/>
    <cellStyle name="Normal 2 2 2 3 2 4 6 2" xfId="12496" xr:uid="{00000000-0005-0000-0000-000008000000}"/>
    <cellStyle name="Normal 2 2 2 3 2 4 7" xfId="8416" xr:uid="{00000000-0005-0000-0000-000008000000}"/>
    <cellStyle name="Normal 2 2 2 3 2 5" xfId="866" xr:uid="{00000000-0005-0000-0000-000008000000}"/>
    <cellStyle name="Normal 2 2 2 3 2 5 2" xfId="2907" xr:uid="{00000000-0005-0000-0000-000008000000}"/>
    <cellStyle name="Normal 2 2 2 3 2 5 2 2" xfId="6988" xr:uid="{00000000-0005-0000-0000-000008000000}"/>
    <cellStyle name="Normal 2 2 2 3 2 5 2 2 2" xfId="15148" xr:uid="{00000000-0005-0000-0000-000008000000}"/>
    <cellStyle name="Normal 2 2 2 3 2 5 2 3" xfId="11068" xr:uid="{00000000-0005-0000-0000-000008000000}"/>
    <cellStyle name="Normal 2 2 2 3 2 5 3" xfId="1887" xr:uid="{00000000-0005-0000-0000-000008000000}"/>
    <cellStyle name="Normal 2 2 2 3 2 5 3 2" xfId="5968" xr:uid="{00000000-0005-0000-0000-000008000000}"/>
    <cellStyle name="Normal 2 2 2 3 2 5 3 2 2" xfId="14128" xr:uid="{00000000-0005-0000-0000-000008000000}"/>
    <cellStyle name="Normal 2 2 2 3 2 5 3 3" xfId="10048" xr:uid="{00000000-0005-0000-0000-000008000000}"/>
    <cellStyle name="Normal 2 2 2 3 2 5 4" xfId="3927" xr:uid="{00000000-0005-0000-0000-000008000000}"/>
    <cellStyle name="Normal 2 2 2 3 2 5 4 2" xfId="8008" xr:uid="{00000000-0005-0000-0000-000008000000}"/>
    <cellStyle name="Normal 2 2 2 3 2 5 4 2 2" xfId="16168" xr:uid="{00000000-0005-0000-0000-000008000000}"/>
    <cellStyle name="Normal 2 2 2 3 2 5 4 3" xfId="12088" xr:uid="{00000000-0005-0000-0000-000008000000}"/>
    <cellStyle name="Normal 2 2 2 3 2 5 5" xfId="4947" xr:uid="{00000000-0005-0000-0000-000008000000}"/>
    <cellStyle name="Normal 2 2 2 3 2 5 5 2" xfId="13108" xr:uid="{00000000-0005-0000-0000-000008000000}"/>
    <cellStyle name="Normal 2 2 2 3 2 5 6" xfId="9028" xr:uid="{00000000-0005-0000-0000-000008000000}"/>
    <cellStyle name="Normal 2 2 2 3 2 6" xfId="458" xr:uid="{00000000-0005-0000-0000-000008000000}"/>
    <cellStyle name="Normal 2 2 2 3 2 6 2" xfId="2499" xr:uid="{00000000-0005-0000-0000-000008000000}"/>
    <cellStyle name="Normal 2 2 2 3 2 6 2 2" xfId="6580" xr:uid="{00000000-0005-0000-0000-000008000000}"/>
    <cellStyle name="Normal 2 2 2 3 2 6 2 2 2" xfId="14740" xr:uid="{00000000-0005-0000-0000-000008000000}"/>
    <cellStyle name="Normal 2 2 2 3 2 6 2 3" xfId="10660" xr:uid="{00000000-0005-0000-0000-000008000000}"/>
    <cellStyle name="Normal 2 2 2 3 2 6 3" xfId="1479" xr:uid="{00000000-0005-0000-0000-000008000000}"/>
    <cellStyle name="Normal 2 2 2 3 2 6 3 2" xfId="5560" xr:uid="{00000000-0005-0000-0000-000008000000}"/>
    <cellStyle name="Normal 2 2 2 3 2 6 3 2 2" xfId="13720" xr:uid="{00000000-0005-0000-0000-000008000000}"/>
    <cellStyle name="Normal 2 2 2 3 2 6 3 3" xfId="9640" xr:uid="{00000000-0005-0000-0000-000008000000}"/>
    <cellStyle name="Normal 2 2 2 3 2 6 4" xfId="3519" xr:uid="{00000000-0005-0000-0000-000008000000}"/>
    <cellStyle name="Normal 2 2 2 3 2 6 4 2" xfId="7600" xr:uid="{00000000-0005-0000-0000-000008000000}"/>
    <cellStyle name="Normal 2 2 2 3 2 6 4 2 2" xfId="15760" xr:uid="{00000000-0005-0000-0000-000008000000}"/>
    <cellStyle name="Normal 2 2 2 3 2 6 4 3" xfId="11680" xr:uid="{00000000-0005-0000-0000-000008000000}"/>
    <cellStyle name="Normal 2 2 2 3 2 6 5" xfId="4539" xr:uid="{00000000-0005-0000-0000-000008000000}"/>
    <cellStyle name="Normal 2 2 2 3 2 6 5 2" xfId="12700" xr:uid="{00000000-0005-0000-0000-000008000000}"/>
    <cellStyle name="Normal 2 2 2 3 2 6 6" xfId="8620" xr:uid="{00000000-0005-0000-0000-000008000000}"/>
    <cellStyle name="Normal 2 2 2 3 2 7" xfId="2091" xr:uid="{00000000-0005-0000-0000-000008000000}"/>
    <cellStyle name="Normal 2 2 2 3 2 7 2" xfId="6172" xr:uid="{00000000-0005-0000-0000-000008000000}"/>
    <cellStyle name="Normal 2 2 2 3 2 7 2 2" xfId="14332" xr:uid="{00000000-0005-0000-0000-000008000000}"/>
    <cellStyle name="Normal 2 2 2 3 2 7 3" xfId="10252" xr:uid="{00000000-0005-0000-0000-000008000000}"/>
    <cellStyle name="Normal 2 2 2 3 2 8" xfId="1071" xr:uid="{00000000-0005-0000-0000-000008000000}"/>
    <cellStyle name="Normal 2 2 2 3 2 8 2" xfId="5152" xr:uid="{00000000-0005-0000-0000-000008000000}"/>
    <cellStyle name="Normal 2 2 2 3 2 8 2 2" xfId="13312" xr:uid="{00000000-0005-0000-0000-000008000000}"/>
    <cellStyle name="Normal 2 2 2 3 2 8 3" xfId="9232" xr:uid="{00000000-0005-0000-0000-000008000000}"/>
    <cellStyle name="Normal 2 2 2 3 2 9" xfId="3111" xr:uid="{00000000-0005-0000-0000-000008000000}"/>
    <cellStyle name="Normal 2 2 2 3 2 9 2" xfId="7192" xr:uid="{00000000-0005-0000-0000-000008000000}"/>
    <cellStyle name="Normal 2 2 2 3 2 9 2 2" xfId="15352" xr:uid="{00000000-0005-0000-0000-000008000000}"/>
    <cellStyle name="Normal 2 2 2 3 2 9 3" xfId="11272" xr:uid="{00000000-0005-0000-0000-000008000000}"/>
    <cellStyle name="Normal 2 2 2 3 3" xfId="76" xr:uid="{00000000-0005-0000-0000-000007000000}"/>
    <cellStyle name="Normal 2 2 2 3 3 10" xfId="8238" xr:uid="{00000000-0005-0000-0000-000007000000}"/>
    <cellStyle name="Normal 2 2 2 3 3 2" xfId="178" xr:uid="{00000000-0005-0000-0000-000007000000}"/>
    <cellStyle name="Normal 2 2 2 3 3 2 2" xfId="382" xr:uid="{00000000-0005-0000-0000-000007000000}"/>
    <cellStyle name="Normal 2 2 2 3 3 2 2 2" xfId="790" xr:uid="{00000000-0005-0000-0000-000007000000}"/>
    <cellStyle name="Normal 2 2 2 3 3 2 2 2 2" xfId="2831" xr:uid="{00000000-0005-0000-0000-000007000000}"/>
    <cellStyle name="Normal 2 2 2 3 3 2 2 2 2 2" xfId="6912" xr:uid="{00000000-0005-0000-0000-000007000000}"/>
    <cellStyle name="Normal 2 2 2 3 3 2 2 2 2 2 2" xfId="15072" xr:uid="{00000000-0005-0000-0000-000007000000}"/>
    <cellStyle name="Normal 2 2 2 3 3 2 2 2 2 3" xfId="10992" xr:uid="{00000000-0005-0000-0000-000007000000}"/>
    <cellStyle name="Normal 2 2 2 3 3 2 2 2 3" xfId="1811" xr:uid="{00000000-0005-0000-0000-000007000000}"/>
    <cellStyle name="Normal 2 2 2 3 3 2 2 2 3 2" xfId="5892" xr:uid="{00000000-0005-0000-0000-000007000000}"/>
    <cellStyle name="Normal 2 2 2 3 3 2 2 2 3 2 2" xfId="14052" xr:uid="{00000000-0005-0000-0000-000007000000}"/>
    <cellStyle name="Normal 2 2 2 3 3 2 2 2 3 3" xfId="9972" xr:uid="{00000000-0005-0000-0000-000007000000}"/>
    <cellStyle name="Normal 2 2 2 3 3 2 2 2 4" xfId="3851" xr:uid="{00000000-0005-0000-0000-000007000000}"/>
    <cellStyle name="Normal 2 2 2 3 3 2 2 2 4 2" xfId="7932" xr:uid="{00000000-0005-0000-0000-000007000000}"/>
    <cellStyle name="Normal 2 2 2 3 3 2 2 2 4 2 2" xfId="16092" xr:uid="{00000000-0005-0000-0000-000007000000}"/>
    <cellStyle name="Normal 2 2 2 3 3 2 2 2 4 3" xfId="12012" xr:uid="{00000000-0005-0000-0000-000007000000}"/>
    <cellStyle name="Normal 2 2 2 3 3 2 2 2 5" xfId="4871" xr:uid="{00000000-0005-0000-0000-000007000000}"/>
    <cellStyle name="Normal 2 2 2 3 3 2 2 2 5 2" xfId="13032" xr:uid="{00000000-0005-0000-0000-000007000000}"/>
    <cellStyle name="Normal 2 2 2 3 3 2 2 2 6" xfId="8952" xr:uid="{00000000-0005-0000-0000-000007000000}"/>
    <cellStyle name="Normal 2 2 2 3 3 2 2 3" xfId="2423" xr:uid="{00000000-0005-0000-0000-000007000000}"/>
    <cellStyle name="Normal 2 2 2 3 3 2 2 3 2" xfId="6504" xr:uid="{00000000-0005-0000-0000-000007000000}"/>
    <cellStyle name="Normal 2 2 2 3 3 2 2 3 2 2" xfId="14664" xr:uid="{00000000-0005-0000-0000-000007000000}"/>
    <cellStyle name="Normal 2 2 2 3 3 2 2 3 3" xfId="10584" xr:uid="{00000000-0005-0000-0000-000007000000}"/>
    <cellStyle name="Normal 2 2 2 3 3 2 2 4" xfId="1403" xr:uid="{00000000-0005-0000-0000-000007000000}"/>
    <cellStyle name="Normal 2 2 2 3 3 2 2 4 2" xfId="5484" xr:uid="{00000000-0005-0000-0000-000007000000}"/>
    <cellStyle name="Normal 2 2 2 3 3 2 2 4 2 2" xfId="13644" xr:uid="{00000000-0005-0000-0000-000007000000}"/>
    <cellStyle name="Normal 2 2 2 3 3 2 2 4 3" xfId="9564" xr:uid="{00000000-0005-0000-0000-000007000000}"/>
    <cellStyle name="Normal 2 2 2 3 3 2 2 5" xfId="3443" xr:uid="{00000000-0005-0000-0000-000007000000}"/>
    <cellStyle name="Normal 2 2 2 3 3 2 2 5 2" xfId="7524" xr:uid="{00000000-0005-0000-0000-000007000000}"/>
    <cellStyle name="Normal 2 2 2 3 3 2 2 5 2 2" xfId="15684" xr:uid="{00000000-0005-0000-0000-000007000000}"/>
    <cellStyle name="Normal 2 2 2 3 3 2 2 5 3" xfId="11604" xr:uid="{00000000-0005-0000-0000-000007000000}"/>
    <cellStyle name="Normal 2 2 2 3 3 2 2 6" xfId="4463" xr:uid="{00000000-0005-0000-0000-000007000000}"/>
    <cellStyle name="Normal 2 2 2 3 3 2 2 6 2" xfId="12624" xr:uid="{00000000-0005-0000-0000-000007000000}"/>
    <cellStyle name="Normal 2 2 2 3 3 2 2 7" xfId="8544" xr:uid="{00000000-0005-0000-0000-000007000000}"/>
    <cellStyle name="Normal 2 2 2 3 3 2 3" xfId="994" xr:uid="{00000000-0005-0000-0000-000007000000}"/>
    <cellStyle name="Normal 2 2 2 3 3 2 3 2" xfId="3035" xr:uid="{00000000-0005-0000-0000-000007000000}"/>
    <cellStyle name="Normal 2 2 2 3 3 2 3 2 2" xfId="7116" xr:uid="{00000000-0005-0000-0000-000007000000}"/>
    <cellStyle name="Normal 2 2 2 3 3 2 3 2 2 2" xfId="15276" xr:uid="{00000000-0005-0000-0000-000007000000}"/>
    <cellStyle name="Normal 2 2 2 3 3 2 3 2 3" xfId="11196" xr:uid="{00000000-0005-0000-0000-000007000000}"/>
    <cellStyle name="Normal 2 2 2 3 3 2 3 3" xfId="2015" xr:uid="{00000000-0005-0000-0000-000007000000}"/>
    <cellStyle name="Normal 2 2 2 3 3 2 3 3 2" xfId="6096" xr:uid="{00000000-0005-0000-0000-000007000000}"/>
    <cellStyle name="Normal 2 2 2 3 3 2 3 3 2 2" xfId="14256" xr:uid="{00000000-0005-0000-0000-000007000000}"/>
    <cellStyle name="Normal 2 2 2 3 3 2 3 3 3" xfId="10176" xr:uid="{00000000-0005-0000-0000-000007000000}"/>
    <cellStyle name="Normal 2 2 2 3 3 2 3 4" xfId="4055" xr:uid="{00000000-0005-0000-0000-000007000000}"/>
    <cellStyle name="Normal 2 2 2 3 3 2 3 4 2" xfId="8136" xr:uid="{00000000-0005-0000-0000-000007000000}"/>
    <cellStyle name="Normal 2 2 2 3 3 2 3 4 2 2" xfId="16296" xr:uid="{00000000-0005-0000-0000-000007000000}"/>
    <cellStyle name="Normal 2 2 2 3 3 2 3 4 3" xfId="12216" xr:uid="{00000000-0005-0000-0000-000007000000}"/>
    <cellStyle name="Normal 2 2 2 3 3 2 3 5" xfId="5075" xr:uid="{00000000-0005-0000-0000-000007000000}"/>
    <cellStyle name="Normal 2 2 2 3 3 2 3 5 2" xfId="13236" xr:uid="{00000000-0005-0000-0000-000007000000}"/>
    <cellStyle name="Normal 2 2 2 3 3 2 3 6" xfId="9156" xr:uid="{00000000-0005-0000-0000-000007000000}"/>
    <cellStyle name="Normal 2 2 2 3 3 2 4" xfId="586" xr:uid="{00000000-0005-0000-0000-000007000000}"/>
    <cellStyle name="Normal 2 2 2 3 3 2 4 2" xfId="2627" xr:uid="{00000000-0005-0000-0000-000007000000}"/>
    <cellStyle name="Normal 2 2 2 3 3 2 4 2 2" xfId="6708" xr:uid="{00000000-0005-0000-0000-000007000000}"/>
    <cellStyle name="Normal 2 2 2 3 3 2 4 2 2 2" xfId="14868" xr:uid="{00000000-0005-0000-0000-000007000000}"/>
    <cellStyle name="Normal 2 2 2 3 3 2 4 2 3" xfId="10788" xr:uid="{00000000-0005-0000-0000-000007000000}"/>
    <cellStyle name="Normal 2 2 2 3 3 2 4 3" xfId="1607" xr:uid="{00000000-0005-0000-0000-000007000000}"/>
    <cellStyle name="Normal 2 2 2 3 3 2 4 3 2" xfId="5688" xr:uid="{00000000-0005-0000-0000-000007000000}"/>
    <cellStyle name="Normal 2 2 2 3 3 2 4 3 2 2" xfId="13848" xr:uid="{00000000-0005-0000-0000-000007000000}"/>
    <cellStyle name="Normal 2 2 2 3 3 2 4 3 3" xfId="9768" xr:uid="{00000000-0005-0000-0000-000007000000}"/>
    <cellStyle name="Normal 2 2 2 3 3 2 4 4" xfId="3647" xr:uid="{00000000-0005-0000-0000-000007000000}"/>
    <cellStyle name="Normal 2 2 2 3 3 2 4 4 2" xfId="7728" xr:uid="{00000000-0005-0000-0000-000007000000}"/>
    <cellStyle name="Normal 2 2 2 3 3 2 4 4 2 2" xfId="15888" xr:uid="{00000000-0005-0000-0000-000007000000}"/>
    <cellStyle name="Normal 2 2 2 3 3 2 4 4 3" xfId="11808" xr:uid="{00000000-0005-0000-0000-000007000000}"/>
    <cellStyle name="Normal 2 2 2 3 3 2 4 5" xfId="4667" xr:uid="{00000000-0005-0000-0000-000007000000}"/>
    <cellStyle name="Normal 2 2 2 3 3 2 4 5 2" xfId="12828" xr:uid="{00000000-0005-0000-0000-000007000000}"/>
    <cellStyle name="Normal 2 2 2 3 3 2 4 6" xfId="8748" xr:uid="{00000000-0005-0000-0000-000007000000}"/>
    <cellStyle name="Normal 2 2 2 3 3 2 5" xfId="2219" xr:uid="{00000000-0005-0000-0000-000007000000}"/>
    <cellStyle name="Normal 2 2 2 3 3 2 5 2" xfId="6300" xr:uid="{00000000-0005-0000-0000-000007000000}"/>
    <cellStyle name="Normal 2 2 2 3 3 2 5 2 2" xfId="14460" xr:uid="{00000000-0005-0000-0000-000007000000}"/>
    <cellStyle name="Normal 2 2 2 3 3 2 5 3" xfId="10380" xr:uid="{00000000-0005-0000-0000-000007000000}"/>
    <cellStyle name="Normal 2 2 2 3 3 2 6" xfId="1199" xr:uid="{00000000-0005-0000-0000-000007000000}"/>
    <cellStyle name="Normal 2 2 2 3 3 2 6 2" xfId="5280" xr:uid="{00000000-0005-0000-0000-000007000000}"/>
    <cellStyle name="Normal 2 2 2 3 3 2 6 2 2" xfId="13440" xr:uid="{00000000-0005-0000-0000-000007000000}"/>
    <cellStyle name="Normal 2 2 2 3 3 2 6 3" xfId="9360" xr:uid="{00000000-0005-0000-0000-000007000000}"/>
    <cellStyle name="Normal 2 2 2 3 3 2 7" xfId="3239" xr:uid="{00000000-0005-0000-0000-000007000000}"/>
    <cellStyle name="Normal 2 2 2 3 3 2 7 2" xfId="7320" xr:uid="{00000000-0005-0000-0000-000007000000}"/>
    <cellStyle name="Normal 2 2 2 3 3 2 7 2 2" xfId="15480" xr:uid="{00000000-0005-0000-0000-000007000000}"/>
    <cellStyle name="Normal 2 2 2 3 3 2 7 3" xfId="11400" xr:uid="{00000000-0005-0000-0000-000007000000}"/>
    <cellStyle name="Normal 2 2 2 3 3 2 8" xfId="4259" xr:uid="{00000000-0005-0000-0000-000007000000}"/>
    <cellStyle name="Normal 2 2 2 3 3 2 8 2" xfId="12420" xr:uid="{00000000-0005-0000-0000-000007000000}"/>
    <cellStyle name="Normal 2 2 2 3 3 2 9" xfId="8340" xr:uid="{00000000-0005-0000-0000-000007000000}"/>
    <cellStyle name="Normal 2 2 2 3 3 3" xfId="280" xr:uid="{00000000-0005-0000-0000-000007000000}"/>
    <cellStyle name="Normal 2 2 2 3 3 3 2" xfId="688" xr:uid="{00000000-0005-0000-0000-000007000000}"/>
    <cellStyle name="Normal 2 2 2 3 3 3 2 2" xfId="2729" xr:uid="{00000000-0005-0000-0000-000007000000}"/>
    <cellStyle name="Normal 2 2 2 3 3 3 2 2 2" xfId="6810" xr:uid="{00000000-0005-0000-0000-000007000000}"/>
    <cellStyle name="Normal 2 2 2 3 3 3 2 2 2 2" xfId="14970" xr:uid="{00000000-0005-0000-0000-000007000000}"/>
    <cellStyle name="Normal 2 2 2 3 3 3 2 2 3" xfId="10890" xr:uid="{00000000-0005-0000-0000-000007000000}"/>
    <cellStyle name="Normal 2 2 2 3 3 3 2 3" xfId="1709" xr:uid="{00000000-0005-0000-0000-000007000000}"/>
    <cellStyle name="Normal 2 2 2 3 3 3 2 3 2" xfId="5790" xr:uid="{00000000-0005-0000-0000-000007000000}"/>
    <cellStyle name="Normal 2 2 2 3 3 3 2 3 2 2" xfId="13950" xr:uid="{00000000-0005-0000-0000-000007000000}"/>
    <cellStyle name="Normal 2 2 2 3 3 3 2 3 3" xfId="9870" xr:uid="{00000000-0005-0000-0000-000007000000}"/>
    <cellStyle name="Normal 2 2 2 3 3 3 2 4" xfId="3749" xr:uid="{00000000-0005-0000-0000-000007000000}"/>
    <cellStyle name="Normal 2 2 2 3 3 3 2 4 2" xfId="7830" xr:uid="{00000000-0005-0000-0000-000007000000}"/>
    <cellStyle name="Normal 2 2 2 3 3 3 2 4 2 2" xfId="15990" xr:uid="{00000000-0005-0000-0000-000007000000}"/>
    <cellStyle name="Normal 2 2 2 3 3 3 2 4 3" xfId="11910" xr:uid="{00000000-0005-0000-0000-000007000000}"/>
    <cellStyle name="Normal 2 2 2 3 3 3 2 5" xfId="4769" xr:uid="{00000000-0005-0000-0000-000007000000}"/>
    <cellStyle name="Normal 2 2 2 3 3 3 2 5 2" xfId="12930" xr:uid="{00000000-0005-0000-0000-000007000000}"/>
    <cellStyle name="Normal 2 2 2 3 3 3 2 6" xfId="8850" xr:uid="{00000000-0005-0000-0000-000007000000}"/>
    <cellStyle name="Normal 2 2 2 3 3 3 3" xfId="2321" xr:uid="{00000000-0005-0000-0000-000007000000}"/>
    <cellStyle name="Normal 2 2 2 3 3 3 3 2" xfId="6402" xr:uid="{00000000-0005-0000-0000-000007000000}"/>
    <cellStyle name="Normal 2 2 2 3 3 3 3 2 2" xfId="14562" xr:uid="{00000000-0005-0000-0000-000007000000}"/>
    <cellStyle name="Normal 2 2 2 3 3 3 3 3" xfId="10482" xr:uid="{00000000-0005-0000-0000-000007000000}"/>
    <cellStyle name="Normal 2 2 2 3 3 3 4" xfId="1301" xr:uid="{00000000-0005-0000-0000-000007000000}"/>
    <cellStyle name="Normal 2 2 2 3 3 3 4 2" xfId="5382" xr:uid="{00000000-0005-0000-0000-000007000000}"/>
    <cellStyle name="Normal 2 2 2 3 3 3 4 2 2" xfId="13542" xr:uid="{00000000-0005-0000-0000-000007000000}"/>
    <cellStyle name="Normal 2 2 2 3 3 3 4 3" xfId="9462" xr:uid="{00000000-0005-0000-0000-000007000000}"/>
    <cellStyle name="Normal 2 2 2 3 3 3 5" xfId="3341" xr:uid="{00000000-0005-0000-0000-000007000000}"/>
    <cellStyle name="Normal 2 2 2 3 3 3 5 2" xfId="7422" xr:uid="{00000000-0005-0000-0000-000007000000}"/>
    <cellStyle name="Normal 2 2 2 3 3 3 5 2 2" xfId="15582" xr:uid="{00000000-0005-0000-0000-000007000000}"/>
    <cellStyle name="Normal 2 2 2 3 3 3 5 3" xfId="11502" xr:uid="{00000000-0005-0000-0000-000007000000}"/>
    <cellStyle name="Normal 2 2 2 3 3 3 6" xfId="4361" xr:uid="{00000000-0005-0000-0000-000007000000}"/>
    <cellStyle name="Normal 2 2 2 3 3 3 6 2" xfId="12522" xr:uid="{00000000-0005-0000-0000-000007000000}"/>
    <cellStyle name="Normal 2 2 2 3 3 3 7" xfId="8442" xr:uid="{00000000-0005-0000-0000-000007000000}"/>
    <cellStyle name="Normal 2 2 2 3 3 4" xfId="892" xr:uid="{00000000-0005-0000-0000-000007000000}"/>
    <cellStyle name="Normal 2 2 2 3 3 4 2" xfId="2933" xr:uid="{00000000-0005-0000-0000-000007000000}"/>
    <cellStyle name="Normal 2 2 2 3 3 4 2 2" xfId="7014" xr:uid="{00000000-0005-0000-0000-000007000000}"/>
    <cellStyle name="Normal 2 2 2 3 3 4 2 2 2" xfId="15174" xr:uid="{00000000-0005-0000-0000-000007000000}"/>
    <cellStyle name="Normal 2 2 2 3 3 4 2 3" xfId="11094" xr:uid="{00000000-0005-0000-0000-000007000000}"/>
    <cellStyle name="Normal 2 2 2 3 3 4 3" xfId="1913" xr:uid="{00000000-0005-0000-0000-000007000000}"/>
    <cellStyle name="Normal 2 2 2 3 3 4 3 2" xfId="5994" xr:uid="{00000000-0005-0000-0000-000007000000}"/>
    <cellStyle name="Normal 2 2 2 3 3 4 3 2 2" xfId="14154" xr:uid="{00000000-0005-0000-0000-000007000000}"/>
    <cellStyle name="Normal 2 2 2 3 3 4 3 3" xfId="10074" xr:uid="{00000000-0005-0000-0000-000007000000}"/>
    <cellStyle name="Normal 2 2 2 3 3 4 4" xfId="3953" xr:uid="{00000000-0005-0000-0000-000007000000}"/>
    <cellStyle name="Normal 2 2 2 3 3 4 4 2" xfId="8034" xr:uid="{00000000-0005-0000-0000-000007000000}"/>
    <cellStyle name="Normal 2 2 2 3 3 4 4 2 2" xfId="16194" xr:uid="{00000000-0005-0000-0000-000007000000}"/>
    <cellStyle name="Normal 2 2 2 3 3 4 4 3" xfId="12114" xr:uid="{00000000-0005-0000-0000-000007000000}"/>
    <cellStyle name="Normal 2 2 2 3 3 4 5" xfId="4973" xr:uid="{00000000-0005-0000-0000-000007000000}"/>
    <cellStyle name="Normal 2 2 2 3 3 4 5 2" xfId="13134" xr:uid="{00000000-0005-0000-0000-000007000000}"/>
    <cellStyle name="Normal 2 2 2 3 3 4 6" xfId="9054" xr:uid="{00000000-0005-0000-0000-000007000000}"/>
    <cellStyle name="Normal 2 2 2 3 3 5" xfId="484" xr:uid="{00000000-0005-0000-0000-000007000000}"/>
    <cellStyle name="Normal 2 2 2 3 3 5 2" xfId="2525" xr:uid="{00000000-0005-0000-0000-000007000000}"/>
    <cellStyle name="Normal 2 2 2 3 3 5 2 2" xfId="6606" xr:uid="{00000000-0005-0000-0000-000007000000}"/>
    <cellStyle name="Normal 2 2 2 3 3 5 2 2 2" xfId="14766" xr:uid="{00000000-0005-0000-0000-000007000000}"/>
    <cellStyle name="Normal 2 2 2 3 3 5 2 3" xfId="10686" xr:uid="{00000000-0005-0000-0000-000007000000}"/>
    <cellStyle name="Normal 2 2 2 3 3 5 3" xfId="1505" xr:uid="{00000000-0005-0000-0000-000007000000}"/>
    <cellStyle name="Normal 2 2 2 3 3 5 3 2" xfId="5586" xr:uid="{00000000-0005-0000-0000-000007000000}"/>
    <cellStyle name="Normal 2 2 2 3 3 5 3 2 2" xfId="13746" xr:uid="{00000000-0005-0000-0000-000007000000}"/>
    <cellStyle name="Normal 2 2 2 3 3 5 3 3" xfId="9666" xr:uid="{00000000-0005-0000-0000-000007000000}"/>
    <cellStyle name="Normal 2 2 2 3 3 5 4" xfId="3545" xr:uid="{00000000-0005-0000-0000-000007000000}"/>
    <cellStyle name="Normal 2 2 2 3 3 5 4 2" xfId="7626" xr:uid="{00000000-0005-0000-0000-000007000000}"/>
    <cellStyle name="Normal 2 2 2 3 3 5 4 2 2" xfId="15786" xr:uid="{00000000-0005-0000-0000-000007000000}"/>
    <cellStyle name="Normal 2 2 2 3 3 5 4 3" xfId="11706" xr:uid="{00000000-0005-0000-0000-000007000000}"/>
    <cellStyle name="Normal 2 2 2 3 3 5 5" xfId="4565" xr:uid="{00000000-0005-0000-0000-000007000000}"/>
    <cellStyle name="Normal 2 2 2 3 3 5 5 2" xfId="12726" xr:uid="{00000000-0005-0000-0000-000007000000}"/>
    <cellStyle name="Normal 2 2 2 3 3 5 6" xfId="8646" xr:uid="{00000000-0005-0000-0000-000007000000}"/>
    <cellStyle name="Normal 2 2 2 3 3 6" xfId="2117" xr:uid="{00000000-0005-0000-0000-000007000000}"/>
    <cellStyle name="Normal 2 2 2 3 3 6 2" xfId="6198" xr:uid="{00000000-0005-0000-0000-000007000000}"/>
    <cellStyle name="Normal 2 2 2 3 3 6 2 2" xfId="14358" xr:uid="{00000000-0005-0000-0000-000007000000}"/>
    <cellStyle name="Normal 2 2 2 3 3 6 3" xfId="10278" xr:uid="{00000000-0005-0000-0000-000007000000}"/>
    <cellStyle name="Normal 2 2 2 3 3 7" xfId="1097" xr:uid="{00000000-0005-0000-0000-000007000000}"/>
    <cellStyle name="Normal 2 2 2 3 3 7 2" xfId="5178" xr:uid="{00000000-0005-0000-0000-000007000000}"/>
    <cellStyle name="Normal 2 2 2 3 3 7 2 2" xfId="13338" xr:uid="{00000000-0005-0000-0000-000007000000}"/>
    <cellStyle name="Normal 2 2 2 3 3 7 3" xfId="9258" xr:uid="{00000000-0005-0000-0000-000007000000}"/>
    <cellStyle name="Normal 2 2 2 3 3 8" xfId="3137" xr:uid="{00000000-0005-0000-0000-000007000000}"/>
    <cellStyle name="Normal 2 2 2 3 3 8 2" xfId="7218" xr:uid="{00000000-0005-0000-0000-000007000000}"/>
    <cellStyle name="Normal 2 2 2 3 3 8 2 2" xfId="15378" xr:uid="{00000000-0005-0000-0000-000007000000}"/>
    <cellStyle name="Normal 2 2 2 3 3 8 3" xfId="11298" xr:uid="{00000000-0005-0000-0000-000007000000}"/>
    <cellStyle name="Normal 2 2 2 3 3 9" xfId="4157" xr:uid="{00000000-0005-0000-0000-000007000000}"/>
    <cellStyle name="Normal 2 2 2 3 3 9 2" xfId="12318" xr:uid="{00000000-0005-0000-0000-000007000000}"/>
    <cellStyle name="Normal 2 2 2 3 4" xfId="127" xr:uid="{00000000-0005-0000-0000-000007000000}"/>
    <cellStyle name="Normal 2 2 2 3 4 2" xfId="331" xr:uid="{00000000-0005-0000-0000-000007000000}"/>
    <cellStyle name="Normal 2 2 2 3 4 2 2" xfId="739" xr:uid="{00000000-0005-0000-0000-000007000000}"/>
    <cellStyle name="Normal 2 2 2 3 4 2 2 2" xfId="2780" xr:uid="{00000000-0005-0000-0000-000007000000}"/>
    <cellStyle name="Normal 2 2 2 3 4 2 2 2 2" xfId="6861" xr:uid="{00000000-0005-0000-0000-000007000000}"/>
    <cellStyle name="Normal 2 2 2 3 4 2 2 2 2 2" xfId="15021" xr:uid="{00000000-0005-0000-0000-000007000000}"/>
    <cellStyle name="Normal 2 2 2 3 4 2 2 2 3" xfId="10941" xr:uid="{00000000-0005-0000-0000-000007000000}"/>
    <cellStyle name="Normal 2 2 2 3 4 2 2 3" xfId="1760" xr:uid="{00000000-0005-0000-0000-000007000000}"/>
    <cellStyle name="Normal 2 2 2 3 4 2 2 3 2" xfId="5841" xr:uid="{00000000-0005-0000-0000-000007000000}"/>
    <cellStyle name="Normal 2 2 2 3 4 2 2 3 2 2" xfId="14001" xr:uid="{00000000-0005-0000-0000-000007000000}"/>
    <cellStyle name="Normal 2 2 2 3 4 2 2 3 3" xfId="9921" xr:uid="{00000000-0005-0000-0000-000007000000}"/>
    <cellStyle name="Normal 2 2 2 3 4 2 2 4" xfId="3800" xr:uid="{00000000-0005-0000-0000-000007000000}"/>
    <cellStyle name="Normal 2 2 2 3 4 2 2 4 2" xfId="7881" xr:uid="{00000000-0005-0000-0000-000007000000}"/>
    <cellStyle name="Normal 2 2 2 3 4 2 2 4 2 2" xfId="16041" xr:uid="{00000000-0005-0000-0000-000007000000}"/>
    <cellStyle name="Normal 2 2 2 3 4 2 2 4 3" xfId="11961" xr:uid="{00000000-0005-0000-0000-000007000000}"/>
    <cellStyle name="Normal 2 2 2 3 4 2 2 5" xfId="4820" xr:uid="{00000000-0005-0000-0000-000007000000}"/>
    <cellStyle name="Normal 2 2 2 3 4 2 2 5 2" xfId="12981" xr:uid="{00000000-0005-0000-0000-000007000000}"/>
    <cellStyle name="Normal 2 2 2 3 4 2 2 6" xfId="8901" xr:uid="{00000000-0005-0000-0000-000007000000}"/>
    <cellStyle name="Normal 2 2 2 3 4 2 3" xfId="2372" xr:uid="{00000000-0005-0000-0000-000007000000}"/>
    <cellStyle name="Normal 2 2 2 3 4 2 3 2" xfId="6453" xr:uid="{00000000-0005-0000-0000-000007000000}"/>
    <cellStyle name="Normal 2 2 2 3 4 2 3 2 2" xfId="14613" xr:uid="{00000000-0005-0000-0000-000007000000}"/>
    <cellStyle name="Normal 2 2 2 3 4 2 3 3" xfId="10533" xr:uid="{00000000-0005-0000-0000-000007000000}"/>
    <cellStyle name="Normal 2 2 2 3 4 2 4" xfId="1352" xr:uid="{00000000-0005-0000-0000-000007000000}"/>
    <cellStyle name="Normal 2 2 2 3 4 2 4 2" xfId="5433" xr:uid="{00000000-0005-0000-0000-000007000000}"/>
    <cellStyle name="Normal 2 2 2 3 4 2 4 2 2" xfId="13593" xr:uid="{00000000-0005-0000-0000-000007000000}"/>
    <cellStyle name="Normal 2 2 2 3 4 2 4 3" xfId="9513" xr:uid="{00000000-0005-0000-0000-000007000000}"/>
    <cellStyle name="Normal 2 2 2 3 4 2 5" xfId="3392" xr:uid="{00000000-0005-0000-0000-000007000000}"/>
    <cellStyle name="Normal 2 2 2 3 4 2 5 2" xfId="7473" xr:uid="{00000000-0005-0000-0000-000007000000}"/>
    <cellStyle name="Normal 2 2 2 3 4 2 5 2 2" xfId="15633" xr:uid="{00000000-0005-0000-0000-000007000000}"/>
    <cellStyle name="Normal 2 2 2 3 4 2 5 3" xfId="11553" xr:uid="{00000000-0005-0000-0000-000007000000}"/>
    <cellStyle name="Normal 2 2 2 3 4 2 6" xfId="4412" xr:uid="{00000000-0005-0000-0000-000007000000}"/>
    <cellStyle name="Normal 2 2 2 3 4 2 6 2" xfId="12573" xr:uid="{00000000-0005-0000-0000-000007000000}"/>
    <cellStyle name="Normal 2 2 2 3 4 2 7" xfId="8493" xr:uid="{00000000-0005-0000-0000-000007000000}"/>
    <cellStyle name="Normal 2 2 2 3 4 3" xfId="943" xr:uid="{00000000-0005-0000-0000-000007000000}"/>
    <cellStyle name="Normal 2 2 2 3 4 3 2" xfId="2984" xr:uid="{00000000-0005-0000-0000-000007000000}"/>
    <cellStyle name="Normal 2 2 2 3 4 3 2 2" xfId="7065" xr:uid="{00000000-0005-0000-0000-000007000000}"/>
    <cellStyle name="Normal 2 2 2 3 4 3 2 2 2" xfId="15225" xr:uid="{00000000-0005-0000-0000-000007000000}"/>
    <cellStyle name="Normal 2 2 2 3 4 3 2 3" xfId="11145" xr:uid="{00000000-0005-0000-0000-000007000000}"/>
    <cellStyle name="Normal 2 2 2 3 4 3 3" xfId="1964" xr:uid="{00000000-0005-0000-0000-000007000000}"/>
    <cellStyle name="Normal 2 2 2 3 4 3 3 2" xfId="6045" xr:uid="{00000000-0005-0000-0000-000007000000}"/>
    <cellStyle name="Normal 2 2 2 3 4 3 3 2 2" xfId="14205" xr:uid="{00000000-0005-0000-0000-000007000000}"/>
    <cellStyle name="Normal 2 2 2 3 4 3 3 3" xfId="10125" xr:uid="{00000000-0005-0000-0000-000007000000}"/>
    <cellStyle name="Normal 2 2 2 3 4 3 4" xfId="4004" xr:uid="{00000000-0005-0000-0000-000007000000}"/>
    <cellStyle name="Normal 2 2 2 3 4 3 4 2" xfId="8085" xr:uid="{00000000-0005-0000-0000-000007000000}"/>
    <cellStyle name="Normal 2 2 2 3 4 3 4 2 2" xfId="16245" xr:uid="{00000000-0005-0000-0000-000007000000}"/>
    <cellStyle name="Normal 2 2 2 3 4 3 4 3" xfId="12165" xr:uid="{00000000-0005-0000-0000-000007000000}"/>
    <cellStyle name="Normal 2 2 2 3 4 3 5" xfId="5024" xr:uid="{00000000-0005-0000-0000-000007000000}"/>
    <cellStyle name="Normal 2 2 2 3 4 3 5 2" xfId="13185" xr:uid="{00000000-0005-0000-0000-000007000000}"/>
    <cellStyle name="Normal 2 2 2 3 4 3 6" xfId="9105" xr:uid="{00000000-0005-0000-0000-000007000000}"/>
    <cellStyle name="Normal 2 2 2 3 4 4" xfId="535" xr:uid="{00000000-0005-0000-0000-000007000000}"/>
    <cellStyle name="Normal 2 2 2 3 4 4 2" xfId="2576" xr:uid="{00000000-0005-0000-0000-000007000000}"/>
    <cellStyle name="Normal 2 2 2 3 4 4 2 2" xfId="6657" xr:uid="{00000000-0005-0000-0000-000007000000}"/>
    <cellStyle name="Normal 2 2 2 3 4 4 2 2 2" xfId="14817" xr:uid="{00000000-0005-0000-0000-000007000000}"/>
    <cellStyle name="Normal 2 2 2 3 4 4 2 3" xfId="10737" xr:uid="{00000000-0005-0000-0000-000007000000}"/>
    <cellStyle name="Normal 2 2 2 3 4 4 3" xfId="1556" xr:uid="{00000000-0005-0000-0000-000007000000}"/>
    <cellStyle name="Normal 2 2 2 3 4 4 3 2" xfId="5637" xr:uid="{00000000-0005-0000-0000-000007000000}"/>
    <cellStyle name="Normal 2 2 2 3 4 4 3 2 2" xfId="13797" xr:uid="{00000000-0005-0000-0000-000007000000}"/>
    <cellStyle name="Normal 2 2 2 3 4 4 3 3" xfId="9717" xr:uid="{00000000-0005-0000-0000-000007000000}"/>
    <cellStyle name="Normal 2 2 2 3 4 4 4" xfId="3596" xr:uid="{00000000-0005-0000-0000-000007000000}"/>
    <cellStyle name="Normal 2 2 2 3 4 4 4 2" xfId="7677" xr:uid="{00000000-0005-0000-0000-000007000000}"/>
    <cellStyle name="Normal 2 2 2 3 4 4 4 2 2" xfId="15837" xr:uid="{00000000-0005-0000-0000-000007000000}"/>
    <cellStyle name="Normal 2 2 2 3 4 4 4 3" xfId="11757" xr:uid="{00000000-0005-0000-0000-000007000000}"/>
    <cellStyle name="Normal 2 2 2 3 4 4 5" xfId="4616" xr:uid="{00000000-0005-0000-0000-000007000000}"/>
    <cellStyle name="Normal 2 2 2 3 4 4 5 2" xfId="12777" xr:uid="{00000000-0005-0000-0000-000007000000}"/>
    <cellStyle name="Normal 2 2 2 3 4 4 6" xfId="8697" xr:uid="{00000000-0005-0000-0000-000007000000}"/>
    <cellStyle name="Normal 2 2 2 3 4 5" xfId="2168" xr:uid="{00000000-0005-0000-0000-000007000000}"/>
    <cellStyle name="Normal 2 2 2 3 4 5 2" xfId="6249" xr:uid="{00000000-0005-0000-0000-000007000000}"/>
    <cellStyle name="Normal 2 2 2 3 4 5 2 2" xfId="14409" xr:uid="{00000000-0005-0000-0000-000007000000}"/>
    <cellStyle name="Normal 2 2 2 3 4 5 3" xfId="10329" xr:uid="{00000000-0005-0000-0000-000007000000}"/>
    <cellStyle name="Normal 2 2 2 3 4 6" xfId="1148" xr:uid="{00000000-0005-0000-0000-000007000000}"/>
    <cellStyle name="Normal 2 2 2 3 4 6 2" xfId="5229" xr:uid="{00000000-0005-0000-0000-000007000000}"/>
    <cellStyle name="Normal 2 2 2 3 4 6 2 2" xfId="13389" xr:uid="{00000000-0005-0000-0000-000007000000}"/>
    <cellStyle name="Normal 2 2 2 3 4 6 3" xfId="9309" xr:uid="{00000000-0005-0000-0000-000007000000}"/>
    <cellStyle name="Normal 2 2 2 3 4 7" xfId="3188" xr:uid="{00000000-0005-0000-0000-000007000000}"/>
    <cellStyle name="Normal 2 2 2 3 4 7 2" xfId="7269" xr:uid="{00000000-0005-0000-0000-000007000000}"/>
    <cellStyle name="Normal 2 2 2 3 4 7 2 2" xfId="15429" xr:uid="{00000000-0005-0000-0000-000007000000}"/>
    <cellStyle name="Normal 2 2 2 3 4 7 3" xfId="11349" xr:uid="{00000000-0005-0000-0000-000007000000}"/>
    <cellStyle name="Normal 2 2 2 3 4 8" xfId="4208" xr:uid="{00000000-0005-0000-0000-000007000000}"/>
    <cellStyle name="Normal 2 2 2 3 4 8 2" xfId="12369" xr:uid="{00000000-0005-0000-0000-000007000000}"/>
    <cellStyle name="Normal 2 2 2 3 4 9" xfId="8289" xr:uid="{00000000-0005-0000-0000-000007000000}"/>
    <cellStyle name="Normal 2 2 2 3 5" xfId="229" xr:uid="{00000000-0005-0000-0000-000007000000}"/>
    <cellStyle name="Normal 2 2 2 3 5 2" xfId="637" xr:uid="{00000000-0005-0000-0000-000007000000}"/>
    <cellStyle name="Normal 2 2 2 3 5 2 2" xfId="2678" xr:uid="{00000000-0005-0000-0000-000007000000}"/>
    <cellStyle name="Normal 2 2 2 3 5 2 2 2" xfId="6759" xr:uid="{00000000-0005-0000-0000-000007000000}"/>
    <cellStyle name="Normal 2 2 2 3 5 2 2 2 2" xfId="14919" xr:uid="{00000000-0005-0000-0000-000007000000}"/>
    <cellStyle name="Normal 2 2 2 3 5 2 2 3" xfId="10839" xr:uid="{00000000-0005-0000-0000-000007000000}"/>
    <cellStyle name="Normal 2 2 2 3 5 2 3" xfId="1658" xr:uid="{00000000-0005-0000-0000-000007000000}"/>
    <cellStyle name="Normal 2 2 2 3 5 2 3 2" xfId="5739" xr:uid="{00000000-0005-0000-0000-000007000000}"/>
    <cellStyle name="Normal 2 2 2 3 5 2 3 2 2" xfId="13899" xr:uid="{00000000-0005-0000-0000-000007000000}"/>
    <cellStyle name="Normal 2 2 2 3 5 2 3 3" xfId="9819" xr:uid="{00000000-0005-0000-0000-000007000000}"/>
    <cellStyle name="Normal 2 2 2 3 5 2 4" xfId="3698" xr:uid="{00000000-0005-0000-0000-000007000000}"/>
    <cellStyle name="Normal 2 2 2 3 5 2 4 2" xfId="7779" xr:uid="{00000000-0005-0000-0000-000007000000}"/>
    <cellStyle name="Normal 2 2 2 3 5 2 4 2 2" xfId="15939" xr:uid="{00000000-0005-0000-0000-000007000000}"/>
    <cellStyle name="Normal 2 2 2 3 5 2 4 3" xfId="11859" xr:uid="{00000000-0005-0000-0000-000007000000}"/>
    <cellStyle name="Normal 2 2 2 3 5 2 5" xfId="4718" xr:uid="{00000000-0005-0000-0000-000007000000}"/>
    <cellStyle name="Normal 2 2 2 3 5 2 5 2" xfId="12879" xr:uid="{00000000-0005-0000-0000-000007000000}"/>
    <cellStyle name="Normal 2 2 2 3 5 2 6" xfId="8799" xr:uid="{00000000-0005-0000-0000-000007000000}"/>
    <cellStyle name="Normal 2 2 2 3 5 3" xfId="2270" xr:uid="{00000000-0005-0000-0000-000007000000}"/>
    <cellStyle name="Normal 2 2 2 3 5 3 2" xfId="6351" xr:uid="{00000000-0005-0000-0000-000007000000}"/>
    <cellStyle name="Normal 2 2 2 3 5 3 2 2" xfId="14511" xr:uid="{00000000-0005-0000-0000-000007000000}"/>
    <cellStyle name="Normal 2 2 2 3 5 3 3" xfId="10431" xr:uid="{00000000-0005-0000-0000-000007000000}"/>
    <cellStyle name="Normal 2 2 2 3 5 4" xfId="1250" xr:uid="{00000000-0005-0000-0000-000007000000}"/>
    <cellStyle name="Normal 2 2 2 3 5 4 2" xfId="5331" xr:uid="{00000000-0005-0000-0000-000007000000}"/>
    <cellStyle name="Normal 2 2 2 3 5 4 2 2" xfId="13491" xr:uid="{00000000-0005-0000-0000-000007000000}"/>
    <cellStyle name="Normal 2 2 2 3 5 4 3" xfId="9411" xr:uid="{00000000-0005-0000-0000-000007000000}"/>
    <cellStyle name="Normal 2 2 2 3 5 5" xfId="3290" xr:uid="{00000000-0005-0000-0000-000007000000}"/>
    <cellStyle name="Normal 2 2 2 3 5 5 2" xfId="7371" xr:uid="{00000000-0005-0000-0000-000007000000}"/>
    <cellStyle name="Normal 2 2 2 3 5 5 2 2" xfId="15531" xr:uid="{00000000-0005-0000-0000-000007000000}"/>
    <cellStyle name="Normal 2 2 2 3 5 5 3" xfId="11451" xr:uid="{00000000-0005-0000-0000-000007000000}"/>
    <cellStyle name="Normal 2 2 2 3 5 6" xfId="4310" xr:uid="{00000000-0005-0000-0000-000007000000}"/>
    <cellStyle name="Normal 2 2 2 3 5 6 2" xfId="12471" xr:uid="{00000000-0005-0000-0000-000007000000}"/>
    <cellStyle name="Normal 2 2 2 3 5 7" xfId="8391" xr:uid="{00000000-0005-0000-0000-000007000000}"/>
    <cellStyle name="Normal 2 2 2 3 6" xfId="841" xr:uid="{00000000-0005-0000-0000-000007000000}"/>
    <cellStyle name="Normal 2 2 2 3 6 2" xfId="2882" xr:uid="{00000000-0005-0000-0000-000007000000}"/>
    <cellStyle name="Normal 2 2 2 3 6 2 2" xfId="6963" xr:uid="{00000000-0005-0000-0000-000007000000}"/>
    <cellStyle name="Normal 2 2 2 3 6 2 2 2" xfId="15123" xr:uid="{00000000-0005-0000-0000-000007000000}"/>
    <cellStyle name="Normal 2 2 2 3 6 2 3" xfId="11043" xr:uid="{00000000-0005-0000-0000-000007000000}"/>
    <cellStyle name="Normal 2 2 2 3 6 3" xfId="1862" xr:uid="{00000000-0005-0000-0000-000007000000}"/>
    <cellStyle name="Normal 2 2 2 3 6 3 2" xfId="5943" xr:uid="{00000000-0005-0000-0000-000007000000}"/>
    <cellStyle name="Normal 2 2 2 3 6 3 2 2" xfId="14103" xr:uid="{00000000-0005-0000-0000-000007000000}"/>
    <cellStyle name="Normal 2 2 2 3 6 3 3" xfId="10023" xr:uid="{00000000-0005-0000-0000-000007000000}"/>
    <cellStyle name="Normal 2 2 2 3 6 4" xfId="3902" xr:uid="{00000000-0005-0000-0000-000007000000}"/>
    <cellStyle name="Normal 2 2 2 3 6 4 2" xfId="7983" xr:uid="{00000000-0005-0000-0000-000007000000}"/>
    <cellStyle name="Normal 2 2 2 3 6 4 2 2" xfId="16143" xr:uid="{00000000-0005-0000-0000-000007000000}"/>
    <cellStyle name="Normal 2 2 2 3 6 4 3" xfId="12063" xr:uid="{00000000-0005-0000-0000-000007000000}"/>
    <cellStyle name="Normal 2 2 2 3 6 5" xfId="4922" xr:uid="{00000000-0005-0000-0000-000007000000}"/>
    <cellStyle name="Normal 2 2 2 3 6 5 2" xfId="13083" xr:uid="{00000000-0005-0000-0000-000007000000}"/>
    <cellStyle name="Normal 2 2 2 3 6 6" xfId="9003" xr:uid="{00000000-0005-0000-0000-000007000000}"/>
    <cellStyle name="Normal 2 2 2 3 7" xfId="433" xr:uid="{00000000-0005-0000-0000-000007000000}"/>
    <cellStyle name="Normal 2 2 2 3 7 2" xfId="2474" xr:uid="{00000000-0005-0000-0000-000007000000}"/>
    <cellStyle name="Normal 2 2 2 3 7 2 2" xfId="6555" xr:uid="{00000000-0005-0000-0000-000007000000}"/>
    <cellStyle name="Normal 2 2 2 3 7 2 2 2" xfId="14715" xr:uid="{00000000-0005-0000-0000-000007000000}"/>
    <cellStyle name="Normal 2 2 2 3 7 2 3" xfId="10635" xr:uid="{00000000-0005-0000-0000-000007000000}"/>
    <cellStyle name="Normal 2 2 2 3 7 3" xfId="1454" xr:uid="{00000000-0005-0000-0000-000007000000}"/>
    <cellStyle name="Normal 2 2 2 3 7 3 2" xfId="5535" xr:uid="{00000000-0005-0000-0000-000007000000}"/>
    <cellStyle name="Normal 2 2 2 3 7 3 2 2" xfId="13695" xr:uid="{00000000-0005-0000-0000-000007000000}"/>
    <cellStyle name="Normal 2 2 2 3 7 3 3" xfId="9615" xr:uid="{00000000-0005-0000-0000-000007000000}"/>
    <cellStyle name="Normal 2 2 2 3 7 4" xfId="3494" xr:uid="{00000000-0005-0000-0000-000007000000}"/>
    <cellStyle name="Normal 2 2 2 3 7 4 2" xfId="7575" xr:uid="{00000000-0005-0000-0000-000007000000}"/>
    <cellStyle name="Normal 2 2 2 3 7 4 2 2" xfId="15735" xr:uid="{00000000-0005-0000-0000-000007000000}"/>
    <cellStyle name="Normal 2 2 2 3 7 4 3" xfId="11655" xr:uid="{00000000-0005-0000-0000-000007000000}"/>
    <cellStyle name="Normal 2 2 2 3 7 5" xfId="4514" xr:uid="{00000000-0005-0000-0000-000007000000}"/>
    <cellStyle name="Normal 2 2 2 3 7 5 2" xfId="12675" xr:uid="{00000000-0005-0000-0000-000007000000}"/>
    <cellStyle name="Normal 2 2 2 3 7 6" xfId="8595" xr:uid="{00000000-0005-0000-0000-000007000000}"/>
    <cellStyle name="Normal 2 2 2 3 8" xfId="2066" xr:uid="{00000000-0005-0000-0000-000007000000}"/>
    <cellStyle name="Normal 2 2 2 3 8 2" xfId="6147" xr:uid="{00000000-0005-0000-0000-000007000000}"/>
    <cellStyle name="Normal 2 2 2 3 8 2 2" xfId="14307" xr:uid="{00000000-0005-0000-0000-000007000000}"/>
    <cellStyle name="Normal 2 2 2 3 8 3" xfId="10227" xr:uid="{00000000-0005-0000-0000-000007000000}"/>
    <cellStyle name="Normal 2 2 2 3 9" xfId="1046" xr:uid="{00000000-0005-0000-0000-000007000000}"/>
    <cellStyle name="Normal 2 2 2 3 9 2" xfId="5127" xr:uid="{00000000-0005-0000-0000-000007000000}"/>
    <cellStyle name="Normal 2 2 2 3 9 2 2" xfId="13287" xr:uid="{00000000-0005-0000-0000-000007000000}"/>
    <cellStyle name="Normal 2 2 2 3 9 3" xfId="9207" xr:uid="{00000000-0005-0000-0000-000007000000}"/>
    <cellStyle name="Normal 2 2 2 4" xfId="34" xr:uid="{00000000-0005-0000-0000-000009000000}"/>
    <cellStyle name="Normal 2 2 2 4 10" xfId="4115" xr:uid="{00000000-0005-0000-0000-000009000000}"/>
    <cellStyle name="Normal 2 2 2 4 10 2" xfId="12276" xr:uid="{00000000-0005-0000-0000-000009000000}"/>
    <cellStyle name="Normal 2 2 2 4 11" xfId="8196" xr:uid="{00000000-0005-0000-0000-000009000000}"/>
    <cellStyle name="Normal 2 2 2 4 2" xfId="85" xr:uid="{00000000-0005-0000-0000-000009000000}"/>
    <cellStyle name="Normal 2 2 2 4 2 10" xfId="8247" xr:uid="{00000000-0005-0000-0000-000009000000}"/>
    <cellStyle name="Normal 2 2 2 4 2 2" xfId="187" xr:uid="{00000000-0005-0000-0000-000009000000}"/>
    <cellStyle name="Normal 2 2 2 4 2 2 2" xfId="391" xr:uid="{00000000-0005-0000-0000-000009000000}"/>
    <cellStyle name="Normal 2 2 2 4 2 2 2 2" xfId="799" xr:uid="{00000000-0005-0000-0000-000009000000}"/>
    <cellStyle name="Normal 2 2 2 4 2 2 2 2 2" xfId="2840" xr:uid="{00000000-0005-0000-0000-000009000000}"/>
    <cellStyle name="Normal 2 2 2 4 2 2 2 2 2 2" xfId="6921" xr:uid="{00000000-0005-0000-0000-000009000000}"/>
    <cellStyle name="Normal 2 2 2 4 2 2 2 2 2 2 2" xfId="15081" xr:uid="{00000000-0005-0000-0000-000009000000}"/>
    <cellStyle name="Normal 2 2 2 4 2 2 2 2 2 3" xfId="11001" xr:uid="{00000000-0005-0000-0000-000009000000}"/>
    <cellStyle name="Normal 2 2 2 4 2 2 2 2 3" xfId="1820" xr:uid="{00000000-0005-0000-0000-000009000000}"/>
    <cellStyle name="Normal 2 2 2 4 2 2 2 2 3 2" xfId="5901" xr:uid="{00000000-0005-0000-0000-000009000000}"/>
    <cellStyle name="Normal 2 2 2 4 2 2 2 2 3 2 2" xfId="14061" xr:uid="{00000000-0005-0000-0000-000009000000}"/>
    <cellStyle name="Normal 2 2 2 4 2 2 2 2 3 3" xfId="9981" xr:uid="{00000000-0005-0000-0000-000009000000}"/>
    <cellStyle name="Normal 2 2 2 4 2 2 2 2 4" xfId="3860" xr:uid="{00000000-0005-0000-0000-000009000000}"/>
    <cellStyle name="Normal 2 2 2 4 2 2 2 2 4 2" xfId="7941" xr:uid="{00000000-0005-0000-0000-000009000000}"/>
    <cellStyle name="Normal 2 2 2 4 2 2 2 2 4 2 2" xfId="16101" xr:uid="{00000000-0005-0000-0000-000009000000}"/>
    <cellStyle name="Normal 2 2 2 4 2 2 2 2 4 3" xfId="12021" xr:uid="{00000000-0005-0000-0000-000009000000}"/>
    <cellStyle name="Normal 2 2 2 4 2 2 2 2 5" xfId="4880" xr:uid="{00000000-0005-0000-0000-000009000000}"/>
    <cellStyle name="Normal 2 2 2 4 2 2 2 2 5 2" xfId="13041" xr:uid="{00000000-0005-0000-0000-000009000000}"/>
    <cellStyle name="Normal 2 2 2 4 2 2 2 2 6" xfId="8961" xr:uid="{00000000-0005-0000-0000-000009000000}"/>
    <cellStyle name="Normal 2 2 2 4 2 2 2 3" xfId="2432" xr:uid="{00000000-0005-0000-0000-000009000000}"/>
    <cellStyle name="Normal 2 2 2 4 2 2 2 3 2" xfId="6513" xr:uid="{00000000-0005-0000-0000-000009000000}"/>
    <cellStyle name="Normal 2 2 2 4 2 2 2 3 2 2" xfId="14673" xr:uid="{00000000-0005-0000-0000-000009000000}"/>
    <cellStyle name="Normal 2 2 2 4 2 2 2 3 3" xfId="10593" xr:uid="{00000000-0005-0000-0000-000009000000}"/>
    <cellStyle name="Normal 2 2 2 4 2 2 2 4" xfId="1412" xr:uid="{00000000-0005-0000-0000-000009000000}"/>
    <cellStyle name="Normal 2 2 2 4 2 2 2 4 2" xfId="5493" xr:uid="{00000000-0005-0000-0000-000009000000}"/>
    <cellStyle name="Normal 2 2 2 4 2 2 2 4 2 2" xfId="13653" xr:uid="{00000000-0005-0000-0000-000009000000}"/>
    <cellStyle name="Normal 2 2 2 4 2 2 2 4 3" xfId="9573" xr:uid="{00000000-0005-0000-0000-000009000000}"/>
    <cellStyle name="Normal 2 2 2 4 2 2 2 5" xfId="3452" xr:uid="{00000000-0005-0000-0000-000009000000}"/>
    <cellStyle name="Normal 2 2 2 4 2 2 2 5 2" xfId="7533" xr:uid="{00000000-0005-0000-0000-000009000000}"/>
    <cellStyle name="Normal 2 2 2 4 2 2 2 5 2 2" xfId="15693" xr:uid="{00000000-0005-0000-0000-000009000000}"/>
    <cellStyle name="Normal 2 2 2 4 2 2 2 5 3" xfId="11613" xr:uid="{00000000-0005-0000-0000-000009000000}"/>
    <cellStyle name="Normal 2 2 2 4 2 2 2 6" xfId="4472" xr:uid="{00000000-0005-0000-0000-000009000000}"/>
    <cellStyle name="Normal 2 2 2 4 2 2 2 6 2" xfId="12633" xr:uid="{00000000-0005-0000-0000-000009000000}"/>
    <cellStyle name="Normal 2 2 2 4 2 2 2 7" xfId="8553" xr:uid="{00000000-0005-0000-0000-000009000000}"/>
    <cellStyle name="Normal 2 2 2 4 2 2 3" xfId="1003" xr:uid="{00000000-0005-0000-0000-000009000000}"/>
    <cellStyle name="Normal 2 2 2 4 2 2 3 2" xfId="3044" xr:uid="{00000000-0005-0000-0000-000009000000}"/>
    <cellStyle name="Normal 2 2 2 4 2 2 3 2 2" xfId="7125" xr:uid="{00000000-0005-0000-0000-000009000000}"/>
    <cellStyle name="Normal 2 2 2 4 2 2 3 2 2 2" xfId="15285" xr:uid="{00000000-0005-0000-0000-000009000000}"/>
    <cellStyle name="Normal 2 2 2 4 2 2 3 2 3" xfId="11205" xr:uid="{00000000-0005-0000-0000-000009000000}"/>
    <cellStyle name="Normal 2 2 2 4 2 2 3 3" xfId="2024" xr:uid="{00000000-0005-0000-0000-000009000000}"/>
    <cellStyle name="Normal 2 2 2 4 2 2 3 3 2" xfId="6105" xr:uid="{00000000-0005-0000-0000-000009000000}"/>
    <cellStyle name="Normal 2 2 2 4 2 2 3 3 2 2" xfId="14265" xr:uid="{00000000-0005-0000-0000-000009000000}"/>
    <cellStyle name="Normal 2 2 2 4 2 2 3 3 3" xfId="10185" xr:uid="{00000000-0005-0000-0000-000009000000}"/>
    <cellStyle name="Normal 2 2 2 4 2 2 3 4" xfId="4064" xr:uid="{00000000-0005-0000-0000-000009000000}"/>
    <cellStyle name="Normal 2 2 2 4 2 2 3 4 2" xfId="8145" xr:uid="{00000000-0005-0000-0000-000009000000}"/>
    <cellStyle name="Normal 2 2 2 4 2 2 3 4 2 2" xfId="16305" xr:uid="{00000000-0005-0000-0000-000009000000}"/>
    <cellStyle name="Normal 2 2 2 4 2 2 3 4 3" xfId="12225" xr:uid="{00000000-0005-0000-0000-000009000000}"/>
    <cellStyle name="Normal 2 2 2 4 2 2 3 5" xfId="5084" xr:uid="{00000000-0005-0000-0000-000009000000}"/>
    <cellStyle name="Normal 2 2 2 4 2 2 3 5 2" xfId="13245" xr:uid="{00000000-0005-0000-0000-000009000000}"/>
    <cellStyle name="Normal 2 2 2 4 2 2 3 6" xfId="9165" xr:uid="{00000000-0005-0000-0000-000009000000}"/>
    <cellStyle name="Normal 2 2 2 4 2 2 4" xfId="595" xr:uid="{00000000-0005-0000-0000-000009000000}"/>
    <cellStyle name="Normal 2 2 2 4 2 2 4 2" xfId="2636" xr:uid="{00000000-0005-0000-0000-000009000000}"/>
    <cellStyle name="Normal 2 2 2 4 2 2 4 2 2" xfId="6717" xr:uid="{00000000-0005-0000-0000-000009000000}"/>
    <cellStyle name="Normal 2 2 2 4 2 2 4 2 2 2" xfId="14877" xr:uid="{00000000-0005-0000-0000-000009000000}"/>
    <cellStyle name="Normal 2 2 2 4 2 2 4 2 3" xfId="10797" xr:uid="{00000000-0005-0000-0000-000009000000}"/>
    <cellStyle name="Normal 2 2 2 4 2 2 4 3" xfId="1616" xr:uid="{00000000-0005-0000-0000-000009000000}"/>
    <cellStyle name="Normal 2 2 2 4 2 2 4 3 2" xfId="5697" xr:uid="{00000000-0005-0000-0000-000009000000}"/>
    <cellStyle name="Normal 2 2 2 4 2 2 4 3 2 2" xfId="13857" xr:uid="{00000000-0005-0000-0000-000009000000}"/>
    <cellStyle name="Normal 2 2 2 4 2 2 4 3 3" xfId="9777" xr:uid="{00000000-0005-0000-0000-000009000000}"/>
    <cellStyle name="Normal 2 2 2 4 2 2 4 4" xfId="3656" xr:uid="{00000000-0005-0000-0000-000009000000}"/>
    <cellStyle name="Normal 2 2 2 4 2 2 4 4 2" xfId="7737" xr:uid="{00000000-0005-0000-0000-000009000000}"/>
    <cellStyle name="Normal 2 2 2 4 2 2 4 4 2 2" xfId="15897" xr:uid="{00000000-0005-0000-0000-000009000000}"/>
    <cellStyle name="Normal 2 2 2 4 2 2 4 4 3" xfId="11817" xr:uid="{00000000-0005-0000-0000-000009000000}"/>
    <cellStyle name="Normal 2 2 2 4 2 2 4 5" xfId="4676" xr:uid="{00000000-0005-0000-0000-000009000000}"/>
    <cellStyle name="Normal 2 2 2 4 2 2 4 5 2" xfId="12837" xr:uid="{00000000-0005-0000-0000-000009000000}"/>
    <cellStyle name="Normal 2 2 2 4 2 2 4 6" xfId="8757" xr:uid="{00000000-0005-0000-0000-000009000000}"/>
    <cellStyle name="Normal 2 2 2 4 2 2 5" xfId="2228" xr:uid="{00000000-0005-0000-0000-000009000000}"/>
    <cellStyle name="Normal 2 2 2 4 2 2 5 2" xfId="6309" xr:uid="{00000000-0005-0000-0000-000009000000}"/>
    <cellStyle name="Normal 2 2 2 4 2 2 5 2 2" xfId="14469" xr:uid="{00000000-0005-0000-0000-000009000000}"/>
    <cellStyle name="Normal 2 2 2 4 2 2 5 3" xfId="10389" xr:uid="{00000000-0005-0000-0000-000009000000}"/>
    <cellStyle name="Normal 2 2 2 4 2 2 6" xfId="1208" xr:uid="{00000000-0005-0000-0000-000009000000}"/>
    <cellStyle name="Normal 2 2 2 4 2 2 6 2" xfId="5289" xr:uid="{00000000-0005-0000-0000-000009000000}"/>
    <cellStyle name="Normal 2 2 2 4 2 2 6 2 2" xfId="13449" xr:uid="{00000000-0005-0000-0000-000009000000}"/>
    <cellStyle name="Normal 2 2 2 4 2 2 6 3" xfId="9369" xr:uid="{00000000-0005-0000-0000-000009000000}"/>
    <cellStyle name="Normal 2 2 2 4 2 2 7" xfId="3248" xr:uid="{00000000-0005-0000-0000-000009000000}"/>
    <cellStyle name="Normal 2 2 2 4 2 2 7 2" xfId="7329" xr:uid="{00000000-0005-0000-0000-000009000000}"/>
    <cellStyle name="Normal 2 2 2 4 2 2 7 2 2" xfId="15489" xr:uid="{00000000-0005-0000-0000-000009000000}"/>
    <cellStyle name="Normal 2 2 2 4 2 2 7 3" xfId="11409" xr:uid="{00000000-0005-0000-0000-000009000000}"/>
    <cellStyle name="Normal 2 2 2 4 2 2 8" xfId="4268" xr:uid="{00000000-0005-0000-0000-000009000000}"/>
    <cellStyle name="Normal 2 2 2 4 2 2 8 2" xfId="12429" xr:uid="{00000000-0005-0000-0000-000009000000}"/>
    <cellStyle name="Normal 2 2 2 4 2 2 9" xfId="8349" xr:uid="{00000000-0005-0000-0000-000009000000}"/>
    <cellStyle name="Normal 2 2 2 4 2 3" xfId="289" xr:uid="{00000000-0005-0000-0000-000009000000}"/>
    <cellStyle name="Normal 2 2 2 4 2 3 2" xfId="697" xr:uid="{00000000-0005-0000-0000-000009000000}"/>
    <cellStyle name="Normal 2 2 2 4 2 3 2 2" xfId="2738" xr:uid="{00000000-0005-0000-0000-000009000000}"/>
    <cellStyle name="Normal 2 2 2 4 2 3 2 2 2" xfId="6819" xr:uid="{00000000-0005-0000-0000-000009000000}"/>
    <cellStyle name="Normal 2 2 2 4 2 3 2 2 2 2" xfId="14979" xr:uid="{00000000-0005-0000-0000-000009000000}"/>
    <cellStyle name="Normal 2 2 2 4 2 3 2 2 3" xfId="10899" xr:uid="{00000000-0005-0000-0000-000009000000}"/>
    <cellStyle name="Normal 2 2 2 4 2 3 2 3" xfId="1718" xr:uid="{00000000-0005-0000-0000-000009000000}"/>
    <cellStyle name="Normal 2 2 2 4 2 3 2 3 2" xfId="5799" xr:uid="{00000000-0005-0000-0000-000009000000}"/>
    <cellStyle name="Normal 2 2 2 4 2 3 2 3 2 2" xfId="13959" xr:uid="{00000000-0005-0000-0000-000009000000}"/>
    <cellStyle name="Normal 2 2 2 4 2 3 2 3 3" xfId="9879" xr:uid="{00000000-0005-0000-0000-000009000000}"/>
    <cellStyle name="Normal 2 2 2 4 2 3 2 4" xfId="3758" xr:uid="{00000000-0005-0000-0000-000009000000}"/>
    <cellStyle name="Normal 2 2 2 4 2 3 2 4 2" xfId="7839" xr:uid="{00000000-0005-0000-0000-000009000000}"/>
    <cellStyle name="Normal 2 2 2 4 2 3 2 4 2 2" xfId="15999" xr:uid="{00000000-0005-0000-0000-000009000000}"/>
    <cellStyle name="Normal 2 2 2 4 2 3 2 4 3" xfId="11919" xr:uid="{00000000-0005-0000-0000-000009000000}"/>
    <cellStyle name="Normal 2 2 2 4 2 3 2 5" xfId="4778" xr:uid="{00000000-0005-0000-0000-000009000000}"/>
    <cellStyle name="Normal 2 2 2 4 2 3 2 5 2" xfId="12939" xr:uid="{00000000-0005-0000-0000-000009000000}"/>
    <cellStyle name="Normal 2 2 2 4 2 3 2 6" xfId="8859" xr:uid="{00000000-0005-0000-0000-000009000000}"/>
    <cellStyle name="Normal 2 2 2 4 2 3 3" xfId="2330" xr:uid="{00000000-0005-0000-0000-000009000000}"/>
    <cellStyle name="Normal 2 2 2 4 2 3 3 2" xfId="6411" xr:uid="{00000000-0005-0000-0000-000009000000}"/>
    <cellStyle name="Normal 2 2 2 4 2 3 3 2 2" xfId="14571" xr:uid="{00000000-0005-0000-0000-000009000000}"/>
    <cellStyle name="Normal 2 2 2 4 2 3 3 3" xfId="10491" xr:uid="{00000000-0005-0000-0000-000009000000}"/>
    <cellStyle name="Normal 2 2 2 4 2 3 4" xfId="1310" xr:uid="{00000000-0005-0000-0000-000009000000}"/>
    <cellStyle name="Normal 2 2 2 4 2 3 4 2" xfId="5391" xr:uid="{00000000-0005-0000-0000-000009000000}"/>
    <cellStyle name="Normal 2 2 2 4 2 3 4 2 2" xfId="13551" xr:uid="{00000000-0005-0000-0000-000009000000}"/>
    <cellStyle name="Normal 2 2 2 4 2 3 4 3" xfId="9471" xr:uid="{00000000-0005-0000-0000-000009000000}"/>
    <cellStyle name="Normal 2 2 2 4 2 3 5" xfId="3350" xr:uid="{00000000-0005-0000-0000-000009000000}"/>
    <cellStyle name="Normal 2 2 2 4 2 3 5 2" xfId="7431" xr:uid="{00000000-0005-0000-0000-000009000000}"/>
    <cellStyle name="Normal 2 2 2 4 2 3 5 2 2" xfId="15591" xr:uid="{00000000-0005-0000-0000-000009000000}"/>
    <cellStyle name="Normal 2 2 2 4 2 3 5 3" xfId="11511" xr:uid="{00000000-0005-0000-0000-000009000000}"/>
    <cellStyle name="Normal 2 2 2 4 2 3 6" xfId="4370" xr:uid="{00000000-0005-0000-0000-000009000000}"/>
    <cellStyle name="Normal 2 2 2 4 2 3 6 2" xfId="12531" xr:uid="{00000000-0005-0000-0000-000009000000}"/>
    <cellStyle name="Normal 2 2 2 4 2 3 7" xfId="8451" xr:uid="{00000000-0005-0000-0000-000009000000}"/>
    <cellStyle name="Normal 2 2 2 4 2 4" xfId="901" xr:uid="{00000000-0005-0000-0000-000009000000}"/>
    <cellStyle name="Normal 2 2 2 4 2 4 2" xfId="2942" xr:uid="{00000000-0005-0000-0000-000009000000}"/>
    <cellStyle name="Normal 2 2 2 4 2 4 2 2" xfId="7023" xr:uid="{00000000-0005-0000-0000-000009000000}"/>
    <cellStyle name="Normal 2 2 2 4 2 4 2 2 2" xfId="15183" xr:uid="{00000000-0005-0000-0000-000009000000}"/>
    <cellStyle name="Normal 2 2 2 4 2 4 2 3" xfId="11103" xr:uid="{00000000-0005-0000-0000-000009000000}"/>
    <cellStyle name="Normal 2 2 2 4 2 4 3" xfId="1922" xr:uid="{00000000-0005-0000-0000-000009000000}"/>
    <cellStyle name="Normal 2 2 2 4 2 4 3 2" xfId="6003" xr:uid="{00000000-0005-0000-0000-000009000000}"/>
    <cellStyle name="Normal 2 2 2 4 2 4 3 2 2" xfId="14163" xr:uid="{00000000-0005-0000-0000-000009000000}"/>
    <cellStyle name="Normal 2 2 2 4 2 4 3 3" xfId="10083" xr:uid="{00000000-0005-0000-0000-000009000000}"/>
    <cellStyle name="Normal 2 2 2 4 2 4 4" xfId="3962" xr:uid="{00000000-0005-0000-0000-000009000000}"/>
    <cellStyle name="Normal 2 2 2 4 2 4 4 2" xfId="8043" xr:uid="{00000000-0005-0000-0000-000009000000}"/>
    <cellStyle name="Normal 2 2 2 4 2 4 4 2 2" xfId="16203" xr:uid="{00000000-0005-0000-0000-000009000000}"/>
    <cellStyle name="Normal 2 2 2 4 2 4 4 3" xfId="12123" xr:uid="{00000000-0005-0000-0000-000009000000}"/>
    <cellStyle name="Normal 2 2 2 4 2 4 5" xfId="4982" xr:uid="{00000000-0005-0000-0000-000009000000}"/>
    <cellStyle name="Normal 2 2 2 4 2 4 5 2" xfId="13143" xr:uid="{00000000-0005-0000-0000-000009000000}"/>
    <cellStyle name="Normal 2 2 2 4 2 4 6" xfId="9063" xr:uid="{00000000-0005-0000-0000-000009000000}"/>
    <cellStyle name="Normal 2 2 2 4 2 5" xfId="493" xr:uid="{00000000-0005-0000-0000-000009000000}"/>
    <cellStyle name="Normal 2 2 2 4 2 5 2" xfId="2534" xr:uid="{00000000-0005-0000-0000-000009000000}"/>
    <cellStyle name="Normal 2 2 2 4 2 5 2 2" xfId="6615" xr:uid="{00000000-0005-0000-0000-000009000000}"/>
    <cellStyle name="Normal 2 2 2 4 2 5 2 2 2" xfId="14775" xr:uid="{00000000-0005-0000-0000-000009000000}"/>
    <cellStyle name="Normal 2 2 2 4 2 5 2 3" xfId="10695" xr:uid="{00000000-0005-0000-0000-000009000000}"/>
    <cellStyle name="Normal 2 2 2 4 2 5 3" xfId="1514" xr:uid="{00000000-0005-0000-0000-000009000000}"/>
    <cellStyle name="Normal 2 2 2 4 2 5 3 2" xfId="5595" xr:uid="{00000000-0005-0000-0000-000009000000}"/>
    <cellStyle name="Normal 2 2 2 4 2 5 3 2 2" xfId="13755" xr:uid="{00000000-0005-0000-0000-000009000000}"/>
    <cellStyle name="Normal 2 2 2 4 2 5 3 3" xfId="9675" xr:uid="{00000000-0005-0000-0000-000009000000}"/>
    <cellStyle name="Normal 2 2 2 4 2 5 4" xfId="3554" xr:uid="{00000000-0005-0000-0000-000009000000}"/>
    <cellStyle name="Normal 2 2 2 4 2 5 4 2" xfId="7635" xr:uid="{00000000-0005-0000-0000-000009000000}"/>
    <cellStyle name="Normal 2 2 2 4 2 5 4 2 2" xfId="15795" xr:uid="{00000000-0005-0000-0000-000009000000}"/>
    <cellStyle name="Normal 2 2 2 4 2 5 4 3" xfId="11715" xr:uid="{00000000-0005-0000-0000-000009000000}"/>
    <cellStyle name="Normal 2 2 2 4 2 5 5" xfId="4574" xr:uid="{00000000-0005-0000-0000-000009000000}"/>
    <cellStyle name="Normal 2 2 2 4 2 5 5 2" xfId="12735" xr:uid="{00000000-0005-0000-0000-000009000000}"/>
    <cellStyle name="Normal 2 2 2 4 2 5 6" xfId="8655" xr:uid="{00000000-0005-0000-0000-000009000000}"/>
    <cellStyle name="Normal 2 2 2 4 2 6" xfId="2126" xr:uid="{00000000-0005-0000-0000-000009000000}"/>
    <cellStyle name="Normal 2 2 2 4 2 6 2" xfId="6207" xr:uid="{00000000-0005-0000-0000-000009000000}"/>
    <cellStyle name="Normal 2 2 2 4 2 6 2 2" xfId="14367" xr:uid="{00000000-0005-0000-0000-000009000000}"/>
    <cellStyle name="Normal 2 2 2 4 2 6 3" xfId="10287" xr:uid="{00000000-0005-0000-0000-000009000000}"/>
    <cellStyle name="Normal 2 2 2 4 2 7" xfId="1106" xr:uid="{00000000-0005-0000-0000-000009000000}"/>
    <cellStyle name="Normal 2 2 2 4 2 7 2" xfId="5187" xr:uid="{00000000-0005-0000-0000-000009000000}"/>
    <cellStyle name="Normal 2 2 2 4 2 7 2 2" xfId="13347" xr:uid="{00000000-0005-0000-0000-000009000000}"/>
    <cellStyle name="Normal 2 2 2 4 2 7 3" xfId="9267" xr:uid="{00000000-0005-0000-0000-000009000000}"/>
    <cellStyle name="Normal 2 2 2 4 2 8" xfId="3146" xr:uid="{00000000-0005-0000-0000-000009000000}"/>
    <cellStyle name="Normal 2 2 2 4 2 8 2" xfId="7227" xr:uid="{00000000-0005-0000-0000-000009000000}"/>
    <cellStyle name="Normal 2 2 2 4 2 8 2 2" xfId="15387" xr:uid="{00000000-0005-0000-0000-000009000000}"/>
    <cellStyle name="Normal 2 2 2 4 2 8 3" xfId="11307" xr:uid="{00000000-0005-0000-0000-000009000000}"/>
    <cellStyle name="Normal 2 2 2 4 2 9" xfId="4166" xr:uid="{00000000-0005-0000-0000-000009000000}"/>
    <cellStyle name="Normal 2 2 2 4 2 9 2" xfId="12327" xr:uid="{00000000-0005-0000-0000-000009000000}"/>
    <cellStyle name="Normal 2 2 2 4 3" xfId="136" xr:uid="{00000000-0005-0000-0000-000009000000}"/>
    <cellStyle name="Normal 2 2 2 4 3 2" xfId="340" xr:uid="{00000000-0005-0000-0000-000009000000}"/>
    <cellStyle name="Normal 2 2 2 4 3 2 2" xfId="748" xr:uid="{00000000-0005-0000-0000-000009000000}"/>
    <cellStyle name="Normal 2 2 2 4 3 2 2 2" xfId="2789" xr:uid="{00000000-0005-0000-0000-000009000000}"/>
    <cellStyle name="Normal 2 2 2 4 3 2 2 2 2" xfId="6870" xr:uid="{00000000-0005-0000-0000-000009000000}"/>
    <cellStyle name="Normal 2 2 2 4 3 2 2 2 2 2" xfId="15030" xr:uid="{00000000-0005-0000-0000-000009000000}"/>
    <cellStyle name="Normal 2 2 2 4 3 2 2 2 3" xfId="10950" xr:uid="{00000000-0005-0000-0000-000009000000}"/>
    <cellStyle name="Normal 2 2 2 4 3 2 2 3" xfId="1769" xr:uid="{00000000-0005-0000-0000-000009000000}"/>
    <cellStyle name="Normal 2 2 2 4 3 2 2 3 2" xfId="5850" xr:uid="{00000000-0005-0000-0000-000009000000}"/>
    <cellStyle name="Normal 2 2 2 4 3 2 2 3 2 2" xfId="14010" xr:uid="{00000000-0005-0000-0000-000009000000}"/>
    <cellStyle name="Normal 2 2 2 4 3 2 2 3 3" xfId="9930" xr:uid="{00000000-0005-0000-0000-000009000000}"/>
    <cellStyle name="Normal 2 2 2 4 3 2 2 4" xfId="3809" xr:uid="{00000000-0005-0000-0000-000009000000}"/>
    <cellStyle name="Normal 2 2 2 4 3 2 2 4 2" xfId="7890" xr:uid="{00000000-0005-0000-0000-000009000000}"/>
    <cellStyle name="Normal 2 2 2 4 3 2 2 4 2 2" xfId="16050" xr:uid="{00000000-0005-0000-0000-000009000000}"/>
    <cellStyle name="Normal 2 2 2 4 3 2 2 4 3" xfId="11970" xr:uid="{00000000-0005-0000-0000-000009000000}"/>
    <cellStyle name="Normal 2 2 2 4 3 2 2 5" xfId="4829" xr:uid="{00000000-0005-0000-0000-000009000000}"/>
    <cellStyle name="Normal 2 2 2 4 3 2 2 5 2" xfId="12990" xr:uid="{00000000-0005-0000-0000-000009000000}"/>
    <cellStyle name="Normal 2 2 2 4 3 2 2 6" xfId="8910" xr:uid="{00000000-0005-0000-0000-000009000000}"/>
    <cellStyle name="Normal 2 2 2 4 3 2 3" xfId="2381" xr:uid="{00000000-0005-0000-0000-000009000000}"/>
    <cellStyle name="Normal 2 2 2 4 3 2 3 2" xfId="6462" xr:uid="{00000000-0005-0000-0000-000009000000}"/>
    <cellStyle name="Normal 2 2 2 4 3 2 3 2 2" xfId="14622" xr:uid="{00000000-0005-0000-0000-000009000000}"/>
    <cellStyle name="Normal 2 2 2 4 3 2 3 3" xfId="10542" xr:uid="{00000000-0005-0000-0000-000009000000}"/>
    <cellStyle name="Normal 2 2 2 4 3 2 4" xfId="1361" xr:uid="{00000000-0005-0000-0000-000009000000}"/>
    <cellStyle name="Normal 2 2 2 4 3 2 4 2" xfId="5442" xr:uid="{00000000-0005-0000-0000-000009000000}"/>
    <cellStyle name="Normal 2 2 2 4 3 2 4 2 2" xfId="13602" xr:uid="{00000000-0005-0000-0000-000009000000}"/>
    <cellStyle name="Normal 2 2 2 4 3 2 4 3" xfId="9522" xr:uid="{00000000-0005-0000-0000-000009000000}"/>
    <cellStyle name="Normal 2 2 2 4 3 2 5" xfId="3401" xr:uid="{00000000-0005-0000-0000-000009000000}"/>
    <cellStyle name="Normal 2 2 2 4 3 2 5 2" xfId="7482" xr:uid="{00000000-0005-0000-0000-000009000000}"/>
    <cellStyle name="Normal 2 2 2 4 3 2 5 2 2" xfId="15642" xr:uid="{00000000-0005-0000-0000-000009000000}"/>
    <cellStyle name="Normal 2 2 2 4 3 2 5 3" xfId="11562" xr:uid="{00000000-0005-0000-0000-000009000000}"/>
    <cellStyle name="Normal 2 2 2 4 3 2 6" xfId="4421" xr:uid="{00000000-0005-0000-0000-000009000000}"/>
    <cellStyle name="Normal 2 2 2 4 3 2 6 2" xfId="12582" xr:uid="{00000000-0005-0000-0000-000009000000}"/>
    <cellStyle name="Normal 2 2 2 4 3 2 7" xfId="8502" xr:uid="{00000000-0005-0000-0000-000009000000}"/>
    <cellStyle name="Normal 2 2 2 4 3 3" xfId="952" xr:uid="{00000000-0005-0000-0000-000009000000}"/>
    <cellStyle name="Normal 2 2 2 4 3 3 2" xfId="2993" xr:uid="{00000000-0005-0000-0000-000009000000}"/>
    <cellStyle name="Normal 2 2 2 4 3 3 2 2" xfId="7074" xr:uid="{00000000-0005-0000-0000-000009000000}"/>
    <cellStyle name="Normal 2 2 2 4 3 3 2 2 2" xfId="15234" xr:uid="{00000000-0005-0000-0000-000009000000}"/>
    <cellStyle name="Normal 2 2 2 4 3 3 2 3" xfId="11154" xr:uid="{00000000-0005-0000-0000-000009000000}"/>
    <cellStyle name="Normal 2 2 2 4 3 3 3" xfId="1973" xr:uid="{00000000-0005-0000-0000-000009000000}"/>
    <cellStyle name="Normal 2 2 2 4 3 3 3 2" xfId="6054" xr:uid="{00000000-0005-0000-0000-000009000000}"/>
    <cellStyle name="Normal 2 2 2 4 3 3 3 2 2" xfId="14214" xr:uid="{00000000-0005-0000-0000-000009000000}"/>
    <cellStyle name="Normal 2 2 2 4 3 3 3 3" xfId="10134" xr:uid="{00000000-0005-0000-0000-000009000000}"/>
    <cellStyle name="Normal 2 2 2 4 3 3 4" xfId="4013" xr:uid="{00000000-0005-0000-0000-000009000000}"/>
    <cellStyle name="Normal 2 2 2 4 3 3 4 2" xfId="8094" xr:uid="{00000000-0005-0000-0000-000009000000}"/>
    <cellStyle name="Normal 2 2 2 4 3 3 4 2 2" xfId="16254" xr:uid="{00000000-0005-0000-0000-000009000000}"/>
    <cellStyle name="Normal 2 2 2 4 3 3 4 3" xfId="12174" xr:uid="{00000000-0005-0000-0000-000009000000}"/>
    <cellStyle name="Normal 2 2 2 4 3 3 5" xfId="5033" xr:uid="{00000000-0005-0000-0000-000009000000}"/>
    <cellStyle name="Normal 2 2 2 4 3 3 5 2" xfId="13194" xr:uid="{00000000-0005-0000-0000-000009000000}"/>
    <cellStyle name="Normal 2 2 2 4 3 3 6" xfId="9114" xr:uid="{00000000-0005-0000-0000-000009000000}"/>
    <cellStyle name="Normal 2 2 2 4 3 4" xfId="544" xr:uid="{00000000-0005-0000-0000-000009000000}"/>
    <cellStyle name="Normal 2 2 2 4 3 4 2" xfId="2585" xr:uid="{00000000-0005-0000-0000-000009000000}"/>
    <cellStyle name="Normal 2 2 2 4 3 4 2 2" xfId="6666" xr:uid="{00000000-0005-0000-0000-000009000000}"/>
    <cellStyle name="Normal 2 2 2 4 3 4 2 2 2" xfId="14826" xr:uid="{00000000-0005-0000-0000-000009000000}"/>
    <cellStyle name="Normal 2 2 2 4 3 4 2 3" xfId="10746" xr:uid="{00000000-0005-0000-0000-000009000000}"/>
    <cellStyle name="Normal 2 2 2 4 3 4 3" xfId="1565" xr:uid="{00000000-0005-0000-0000-000009000000}"/>
    <cellStyle name="Normal 2 2 2 4 3 4 3 2" xfId="5646" xr:uid="{00000000-0005-0000-0000-000009000000}"/>
    <cellStyle name="Normal 2 2 2 4 3 4 3 2 2" xfId="13806" xr:uid="{00000000-0005-0000-0000-000009000000}"/>
    <cellStyle name="Normal 2 2 2 4 3 4 3 3" xfId="9726" xr:uid="{00000000-0005-0000-0000-000009000000}"/>
    <cellStyle name="Normal 2 2 2 4 3 4 4" xfId="3605" xr:uid="{00000000-0005-0000-0000-000009000000}"/>
    <cellStyle name="Normal 2 2 2 4 3 4 4 2" xfId="7686" xr:uid="{00000000-0005-0000-0000-000009000000}"/>
    <cellStyle name="Normal 2 2 2 4 3 4 4 2 2" xfId="15846" xr:uid="{00000000-0005-0000-0000-000009000000}"/>
    <cellStyle name="Normal 2 2 2 4 3 4 4 3" xfId="11766" xr:uid="{00000000-0005-0000-0000-000009000000}"/>
    <cellStyle name="Normal 2 2 2 4 3 4 5" xfId="4625" xr:uid="{00000000-0005-0000-0000-000009000000}"/>
    <cellStyle name="Normal 2 2 2 4 3 4 5 2" xfId="12786" xr:uid="{00000000-0005-0000-0000-000009000000}"/>
    <cellStyle name="Normal 2 2 2 4 3 4 6" xfId="8706" xr:uid="{00000000-0005-0000-0000-000009000000}"/>
    <cellStyle name="Normal 2 2 2 4 3 5" xfId="2177" xr:uid="{00000000-0005-0000-0000-000009000000}"/>
    <cellStyle name="Normal 2 2 2 4 3 5 2" xfId="6258" xr:uid="{00000000-0005-0000-0000-000009000000}"/>
    <cellStyle name="Normal 2 2 2 4 3 5 2 2" xfId="14418" xr:uid="{00000000-0005-0000-0000-000009000000}"/>
    <cellStyle name="Normal 2 2 2 4 3 5 3" xfId="10338" xr:uid="{00000000-0005-0000-0000-000009000000}"/>
    <cellStyle name="Normal 2 2 2 4 3 6" xfId="1157" xr:uid="{00000000-0005-0000-0000-000009000000}"/>
    <cellStyle name="Normal 2 2 2 4 3 6 2" xfId="5238" xr:uid="{00000000-0005-0000-0000-000009000000}"/>
    <cellStyle name="Normal 2 2 2 4 3 6 2 2" xfId="13398" xr:uid="{00000000-0005-0000-0000-000009000000}"/>
    <cellStyle name="Normal 2 2 2 4 3 6 3" xfId="9318" xr:uid="{00000000-0005-0000-0000-000009000000}"/>
    <cellStyle name="Normal 2 2 2 4 3 7" xfId="3197" xr:uid="{00000000-0005-0000-0000-000009000000}"/>
    <cellStyle name="Normal 2 2 2 4 3 7 2" xfId="7278" xr:uid="{00000000-0005-0000-0000-000009000000}"/>
    <cellStyle name="Normal 2 2 2 4 3 7 2 2" xfId="15438" xr:uid="{00000000-0005-0000-0000-000009000000}"/>
    <cellStyle name="Normal 2 2 2 4 3 7 3" xfId="11358" xr:uid="{00000000-0005-0000-0000-000009000000}"/>
    <cellStyle name="Normal 2 2 2 4 3 8" xfId="4217" xr:uid="{00000000-0005-0000-0000-000009000000}"/>
    <cellStyle name="Normal 2 2 2 4 3 8 2" xfId="12378" xr:uid="{00000000-0005-0000-0000-000009000000}"/>
    <cellStyle name="Normal 2 2 2 4 3 9" xfId="8298" xr:uid="{00000000-0005-0000-0000-000009000000}"/>
    <cellStyle name="Normal 2 2 2 4 4" xfId="238" xr:uid="{00000000-0005-0000-0000-000009000000}"/>
    <cellStyle name="Normal 2 2 2 4 4 2" xfId="646" xr:uid="{00000000-0005-0000-0000-000009000000}"/>
    <cellStyle name="Normal 2 2 2 4 4 2 2" xfId="2687" xr:uid="{00000000-0005-0000-0000-000009000000}"/>
    <cellStyle name="Normal 2 2 2 4 4 2 2 2" xfId="6768" xr:uid="{00000000-0005-0000-0000-000009000000}"/>
    <cellStyle name="Normal 2 2 2 4 4 2 2 2 2" xfId="14928" xr:uid="{00000000-0005-0000-0000-000009000000}"/>
    <cellStyle name="Normal 2 2 2 4 4 2 2 3" xfId="10848" xr:uid="{00000000-0005-0000-0000-000009000000}"/>
    <cellStyle name="Normal 2 2 2 4 4 2 3" xfId="1667" xr:uid="{00000000-0005-0000-0000-000009000000}"/>
    <cellStyle name="Normal 2 2 2 4 4 2 3 2" xfId="5748" xr:uid="{00000000-0005-0000-0000-000009000000}"/>
    <cellStyle name="Normal 2 2 2 4 4 2 3 2 2" xfId="13908" xr:uid="{00000000-0005-0000-0000-000009000000}"/>
    <cellStyle name="Normal 2 2 2 4 4 2 3 3" xfId="9828" xr:uid="{00000000-0005-0000-0000-000009000000}"/>
    <cellStyle name="Normal 2 2 2 4 4 2 4" xfId="3707" xr:uid="{00000000-0005-0000-0000-000009000000}"/>
    <cellStyle name="Normal 2 2 2 4 4 2 4 2" xfId="7788" xr:uid="{00000000-0005-0000-0000-000009000000}"/>
    <cellStyle name="Normal 2 2 2 4 4 2 4 2 2" xfId="15948" xr:uid="{00000000-0005-0000-0000-000009000000}"/>
    <cellStyle name="Normal 2 2 2 4 4 2 4 3" xfId="11868" xr:uid="{00000000-0005-0000-0000-000009000000}"/>
    <cellStyle name="Normal 2 2 2 4 4 2 5" xfId="4727" xr:uid="{00000000-0005-0000-0000-000009000000}"/>
    <cellStyle name="Normal 2 2 2 4 4 2 5 2" xfId="12888" xr:uid="{00000000-0005-0000-0000-000009000000}"/>
    <cellStyle name="Normal 2 2 2 4 4 2 6" xfId="8808" xr:uid="{00000000-0005-0000-0000-000009000000}"/>
    <cellStyle name="Normal 2 2 2 4 4 3" xfId="2279" xr:uid="{00000000-0005-0000-0000-000009000000}"/>
    <cellStyle name="Normal 2 2 2 4 4 3 2" xfId="6360" xr:uid="{00000000-0005-0000-0000-000009000000}"/>
    <cellStyle name="Normal 2 2 2 4 4 3 2 2" xfId="14520" xr:uid="{00000000-0005-0000-0000-000009000000}"/>
    <cellStyle name="Normal 2 2 2 4 4 3 3" xfId="10440" xr:uid="{00000000-0005-0000-0000-000009000000}"/>
    <cellStyle name="Normal 2 2 2 4 4 4" xfId="1259" xr:uid="{00000000-0005-0000-0000-000009000000}"/>
    <cellStyle name="Normal 2 2 2 4 4 4 2" xfId="5340" xr:uid="{00000000-0005-0000-0000-000009000000}"/>
    <cellStyle name="Normal 2 2 2 4 4 4 2 2" xfId="13500" xr:uid="{00000000-0005-0000-0000-000009000000}"/>
    <cellStyle name="Normal 2 2 2 4 4 4 3" xfId="9420" xr:uid="{00000000-0005-0000-0000-000009000000}"/>
    <cellStyle name="Normal 2 2 2 4 4 5" xfId="3299" xr:uid="{00000000-0005-0000-0000-000009000000}"/>
    <cellStyle name="Normal 2 2 2 4 4 5 2" xfId="7380" xr:uid="{00000000-0005-0000-0000-000009000000}"/>
    <cellStyle name="Normal 2 2 2 4 4 5 2 2" xfId="15540" xr:uid="{00000000-0005-0000-0000-000009000000}"/>
    <cellStyle name="Normal 2 2 2 4 4 5 3" xfId="11460" xr:uid="{00000000-0005-0000-0000-000009000000}"/>
    <cellStyle name="Normal 2 2 2 4 4 6" xfId="4319" xr:uid="{00000000-0005-0000-0000-000009000000}"/>
    <cellStyle name="Normal 2 2 2 4 4 6 2" xfId="12480" xr:uid="{00000000-0005-0000-0000-000009000000}"/>
    <cellStyle name="Normal 2 2 2 4 4 7" xfId="8400" xr:uid="{00000000-0005-0000-0000-000009000000}"/>
    <cellStyle name="Normal 2 2 2 4 5" xfId="850" xr:uid="{00000000-0005-0000-0000-000009000000}"/>
    <cellStyle name="Normal 2 2 2 4 5 2" xfId="2891" xr:uid="{00000000-0005-0000-0000-000009000000}"/>
    <cellStyle name="Normal 2 2 2 4 5 2 2" xfId="6972" xr:uid="{00000000-0005-0000-0000-000009000000}"/>
    <cellStyle name="Normal 2 2 2 4 5 2 2 2" xfId="15132" xr:uid="{00000000-0005-0000-0000-000009000000}"/>
    <cellStyle name="Normal 2 2 2 4 5 2 3" xfId="11052" xr:uid="{00000000-0005-0000-0000-000009000000}"/>
    <cellStyle name="Normal 2 2 2 4 5 3" xfId="1871" xr:uid="{00000000-0005-0000-0000-000009000000}"/>
    <cellStyle name="Normal 2 2 2 4 5 3 2" xfId="5952" xr:uid="{00000000-0005-0000-0000-000009000000}"/>
    <cellStyle name="Normal 2 2 2 4 5 3 2 2" xfId="14112" xr:uid="{00000000-0005-0000-0000-000009000000}"/>
    <cellStyle name="Normal 2 2 2 4 5 3 3" xfId="10032" xr:uid="{00000000-0005-0000-0000-000009000000}"/>
    <cellStyle name="Normal 2 2 2 4 5 4" xfId="3911" xr:uid="{00000000-0005-0000-0000-000009000000}"/>
    <cellStyle name="Normal 2 2 2 4 5 4 2" xfId="7992" xr:uid="{00000000-0005-0000-0000-000009000000}"/>
    <cellStyle name="Normal 2 2 2 4 5 4 2 2" xfId="16152" xr:uid="{00000000-0005-0000-0000-000009000000}"/>
    <cellStyle name="Normal 2 2 2 4 5 4 3" xfId="12072" xr:uid="{00000000-0005-0000-0000-000009000000}"/>
    <cellStyle name="Normal 2 2 2 4 5 5" xfId="4931" xr:uid="{00000000-0005-0000-0000-000009000000}"/>
    <cellStyle name="Normal 2 2 2 4 5 5 2" xfId="13092" xr:uid="{00000000-0005-0000-0000-000009000000}"/>
    <cellStyle name="Normal 2 2 2 4 5 6" xfId="9012" xr:uid="{00000000-0005-0000-0000-000009000000}"/>
    <cellStyle name="Normal 2 2 2 4 6" xfId="442" xr:uid="{00000000-0005-0000-0000-000009000000}"/>
    <cellStyle name="Normal 2 2 2 4 6 2" xfId="2483" xr:uid="{00000000-0005-0000-0000-000009000000}"/>
    <cellStyle name="Normal 2 2 2 4 6 2 2" xfId="6564" xr:uid="{00000000-0005-0000-0000-000009000000}"/>
    <cellStyle name="Normal 2 2 2 4 6 2 2 2" xfId="14724" xr:uid="{00000000-0005-0000-0000-000009000000}"/>
    <cellStyle name="Normal 2 2 2 4 6 2 3" xfId="10644" xr:uid="{00000000-0005-0000-0000-000009000000}"/>
    <cellStyle name="Normal 2 2 2 4 6 3" xfId="1463" xr:uid="{00000000-0005-0000-0000-000009000000}"/>
    <cellStyle name="Normal 2 2 2 4 6 3 2" xfId="5544" xr:uid="{00000000-0005-0000-0000-000009000000}"/>
    <cellStyle name="Normal 2 2 2 4 6 3 2 2" xfId="13704" xr:uid="{00000000-0005-0000-0000-000009000000}"/>
    <cellStyle name="Normal 2 2 2 4 6 3 3" xfId="9624" xr:uid="{00000000-0005-0000-0000-000009000000}"/>
    <cellStyle name="Normal 2 2 2 4 6 4" xfId="3503" xr:uid="{00000000-0005-0000-0000-000009000000}"/>
    <cellStyle name="Normal 2 2 2 4 6 4 2" xfId="7584" xr:uid="{00000000-0005-0000-0000-000009000000}"/>
    <cellStyle name="Normal 2 2 2 4 6 4 2 2" xfId="15744" xr:uid="{00000000-0005-0000-0000-000009000000}"/>
    <cellStyle name="Normal 2 2 2 4 6 4 3" xfId="11664" xr:uid="{00000000-0005-0000-0000-000009000000}"/>
    <cellStyle name="Normal 2 2 2 4 6 5" xfId="4523" xr:uid="{00000000-0005-0000-0000-000009000000}"/>
    <cellStyle name="Normal 2 2 2 4 6 5 2" xfId="12684" xr:uid="{00000000-0005-0000-0000-000009000000}"/>
    <cellStyle name="Normal 2 2 2 4 6 6" xfId="8604" xr:uid="{00000000-0005-0000-0000-000009000000}"/>
    <cellStyle name="Normal 2 2 2 4 7" xfId="2075" xr:uid="{00000000-0005-0000-0000-000009000000}"/>
    <cellStyle name="Normal 2 2 2 4 7 2" xfId="6156" xr:uid="{00000000-0005-0000-0000-000009000000}"/>
    <cellStyle name="Normal 2 2 2 4 7 2 2" xfId="14316" xr:uid="{00000000-0005-0000-0000-000009000000}"/>
    <cellStyle name="Normal 2 2 2 4 7 3" xfId="10236" xr:uid="{00000000-0005-0000-0000-000009000000}"/>
    <cellStyle name="Normal 2 2 2 4 8" xfId="1055" xr:uid="{00000000-0005-0000-0000-000009000000}"/>
    <cellStyle name="Normal 2 2 2 4 8 2" xfId="5136" xr:uid="{00000000-0005-0000-0000-000009000000}"/>
    <cellStyle name="Normal 2 2 2 4 8 2 2" xfId="13296" xr:uid="{00000000-0005-0000-0000-000009000000}"/>
    <cellStyle name="Normal 2 2 2 4 8 3" xfId="9216" xr:uid="{00000000-0005-0000-0000-000009000000}"/>
    <cellStyle name="Normal 2 2 2 4 9" xfId="3095" xr:uid="{00000000-0005-0000-0000-000009000000}"/>
    <cellStyle name="Normal 2 2 2 4 9 2" xfId="7176" xr:uid="{00000000-0005-0000-0000-000009000000}"/>
    <cellStyle name="Normal 2 2 2 4 9 2 2" xfId="15336" xr:uid="{00000000-0005-0000-0000-000009000000}"/>
    <cellStyle name="Normal 2 2 2 4 9 3" xfId="11256" xr:uid="{00000000-0005-0000-0000-000009000000}"/>
    <cellStyle name="Normal 2 2 2 5" xfId="60" xr:uid="{00000000-0005-0000-0000-000004000000}"/>
    <cellStyle name="Normal 2 2 2 5 10" xfId="8222" xr:uid="{00000000-0005-0000-0000-000004000000}"/>
    <cellStyle name="Normal 2 2 2 5 2" xfId="162" xr:uid="{00000000-0005-0000-0000-000004000000}"/>
    <cellStyle name="Normal 2 2 2 5 2 2" xfId="366" xr:uid="{00000000-0005-0000-0000-000004000000}"/>
    <cellStyle name="Normal 2 2 2 5 2 2 2" xfId="774" xr:uid="{00000000-0005-0000-0000-000004000000}"/>
    <cellStyle name="Normal 2 2 2 5 2 2 2 2" xfId="2815" xr:uid="{00000000-0005-0000-0000-000004000000}"/>
    <cellStyle name="Normal 2 2 2 5 2 2 2 2 2" xfId="6896" xr:uid="{00000000-0005-0000-0000-000004000000}"/>
    <cellStyle name="Normal 2 2 2 5 2 2 2 2 2 2" xfId="15056" xr:uid="{00000000-0005-0000-0000-000004000000}"/>
    <cellStyle name="Normal 2 2 2 5 2 2 2 2 3" xfId="10976" xr:uid="{00000000-0005-0000-0000-000004000000}"/>
    <cellStyle name="Normal 2 2 2 5 2 2 2 3" xfId="1795" xr:uid="{00000000-0005-0000-0000-000004000000}"/>
    <cellStyle name="Normal 2 2 2 5 2 2 2 3 2" xfId="5876" xr:uid="{00000000-0005-0000-0000-000004000000}"/>
    <cellStyle name="Normal 2 2 2 5 2 2 2 3 2 2" xfId="14036" xr:uid="{00000000-0005-0000-0000-000004000000}"/>
    <cellStyle name="Normal 2 2 2 5 2 2 2 3 3" xfId="9956" xr:uid="{00000000-0005-0000-0000-000004000000}"/>
    <cellStyle name="Normal 2 2 2 5 2 2 2 4" xfId="3835" xr:uid="{00000000-0005-0000-0000-000004000000}"/>
    <cellStyle name="Normal 2 2 2 5 2 2 2 4 2" xfId="7916" xr:uid="{00000000-0005-0000-0000-000004000000}"/>
    <cellStyle name="Normal 2 2 2 5 2 2 2 4 2 2" xfId="16076" xr:uid="{00000000-0005-0000-0000-000004000000}"/>
    <cellStyle name="Normal 2 2 2 5 2 2 2 4 3" xfId="11996" xr:uid="{00000000-0005-0000-0000-000004000000}"/>
    <cellStyle name="Normal 2 2 2 5 2 2 2 5" xfId="4855" xr:uid="{00000000-0005-0000-0000-000004000000}"/>
    <cellStyle name="Normal 2 2 2 5 2 2 2 5 2" xfId="13016" xr:uid="{00000000-0005-0000-0000-000004000000}"/>
    <cellStyle name="Normal 2 2 2 5 2 2 2 6" xfId="8936" xr:uid="{00000000-0005-0000-0000-000004000000}"/>
    <cellStyle name="Normal 2 2 2 5 2 2 3" xfId="2407" xr:uid="{00000000-0005-0000-0000-000004000000}"/>
    <cellStyle name="Normal 2 2 2 5 2 2 3 2" xfId="6488" xr:uid="{00000000-0005-0000-0000-000004000000}"/>
    <cellStyle name="Normal 2 2 2 5 2 2 3 2 2" xfId="14648" xr:uid="{00000000-0005-0000-0000-000004000000}"/>
    <cellStyle name="Normal 2 2 2 5 2 2 3 3" xfId="10568" xr:uid="{00000000-0005-0000-0000-000004000000}"/>
    <cellStyle name="Normal 2 2 2 5 2 2 4" xfId="1387" xr:uid="{00000000-0005-0000-0000-000004000000}"/>
    <cellStyle name="Normal 2 2 2 5 2 2 4 2" xfId="5468" xr:uid="{00000000-0005-0000-0000-000004000000}"/>
    <cellStyle name="Normal 2 2 2 5 2 2 4 2 2" xfId="13628" xr:uid="{00000000-0005-0000-0000-000004000000}"/>
    <cellStyle name="Normal 2 2 2 5 2 2 4 3" xfId="9548" xr:uid="{00000000-0005-0000-0000-000004000000}"/>
    <cellStyle name="Normal 2 2 2 5 2 2 5" xfId="3427" xr:uid="{00000000-0005-0000-0000-000004000000}"/>
    <cellStyle name="Normal 2 2 2 5 2 2 5 2" xfId="7508" xr:uid="{00000000-0005-0000-0000-000004000000}"/>
    <cellStyle name="Normal 2 2 2 5 2 2 5 2 2" xfId="15668" xr:uid="{00000000-0005-0000-0000-000004000000}"/>
    <cellStyle name="Normal 2 2 2 5 2 2 5 3" xfId="11588" xr:uid="{00000000-0005-0000-0000-000004000000}"/>
    <cellStyle name="Normal 2 2 2 5 2 2 6" xfId="4447" xr:uid="{00000000-0005-0000-0000-000004000000}"/>
    <cellStyle name="Normal 2 2 2 5 2 2 6 2" xfId="12608" xr:uid="{00000000-0005-0000-0000-000004000000}"/>
    <cellStyle name="Normal 2 2 2 5 2 2 7" xfId="8528" xr:uid="{00000000-0005-0000-0000-000004000000}"/>
    <cellStyle name="Normal 2 2 2 5 2 3" xfId="978" xr:uid="{00000000-0005-0000-0000-000004000000}"/>
    <cellStyle name="Normal 2 2 2 5 2 3 2" xfId="3019" xr:uid="{00000000-0005-0000-0000-000004000000}"/>
    <cellStyle name="Normal 2 2 2 5 2 3 2 2" xfId="7100" xr:uid="{00000000-0005-0000-0000-000004000000}"/>
    <cellStyle name="Normal 2 2 2 5 2 3 2 2 2" xfId="15260" xr:uid="{00000000-0005-0000-0000-000004000000}"/>
    <cellStyle name="Normal 2 2 2 5 2 3 2 3" xfId="11180" xr:uid="{00000000-0005-0000-0000-000004000000}"/>
    <cellStyle name="Normal 2 2 2 5 2 3 3" xfId="1999" xr:uid="{00000000-0005-0000-0000-000004000000}"/>
    <cellStyle name="Normal 2 2 2 5 2 3 3 2" xfId="6080" xr:uid="{00000000-0005-0000-0000-000004000000}"/>
    <cellStyle name="Normal 2 2 2 5 2 3 3 2 2" xfId="14240" xr:uid="{00000000-0005-0000-0000-000004000000}"/>
    <cellStyle name="Normal 2 2 2 5 2 3 3 3" xfId="10160" xr:uid="{00000000-0005-0000-0000-000004000000}"/>
    <cellStyle name="Normal 2 2 2 5 2 3 4" xfId="4039" xr:uid="{00000000-0005-0000-0000-000004000000}"/>
    <cellStyle name="Normal 2 2 2 5 2 3 4 2" xfId="8120" xr:uid="{00000000-0005-0000-0000-000004000000}"/>
    <cellStyle name="Normal 2 2 2 5 2 3 4 2 2" xfId="16280" xr:uid="{00000000-0005-0000-0000-000004000000}"/>
    <cellStyle name="Normal 2 2 2 5 2 3 4 3" xfId="12200" xr:uid="{00000000-0005-0000-0000-000004000000}"/>
    <cellStyle name="Normal 2 2 2 5 2 3 5" xfId="5059" xr:uid="{00000000-0005-0000-0000-000004000000}"/>
    <cellStyle name="Normal 2 2 2 5 2 3 5 2" xfId="13220" xr:uid="{00000000-0005-0000-0000-000004000000}"/>
    <cellStyle name="Normal 2 2 2 5 2 3 6" xfId="9140" xr:uid="{00000000-0005-0000-0000-000004000000}"/>
    <cellStyle name="Normal 2 2 2 5 2 4" xfId="570" xr:uid="{00000000-0005-0000-0000-000004000000}"/>
    <cellStyle name="Normal 2 2 2 5 2 4 2" xfId="2611" xr:uid="{00000000-0005-0000-0000-000004000000}"/>
    <cellStyle name="Normal 2 2 2 5 2 4 2 2" xfId="6692" xr:uid="{00000000-0005-0000-0000-000004000000}"/>
    <cellStyle name="Normal 2 2 2 5 2 4 2 2 2" xfId="14852" xr:uid="{00000000-0005-0000-0000-000004000000}"/>
    <cellStyle name="Normal 2 2 2 5 2 4 2 3" xfId="10772" xr:uid="{00000000-0005-0000-0000-000004000000}"/>
    <cellStyle name="Normal 2 2 2 5 2 4 3" xfId="1591" xr:uid="{00000000-0005-0000-0000-000004000000}"/>
    <cellStyle name="Normal 2 2 2 5 2 4 3 2" xfId="5672" xr:uid="{00000000-0005-0000-0000-000004000000}"/>
    <cellStyle name="Normal 2 2 2 5 2 4 3 2 2" xfId="13832" xr:uid="{00000000-0005-0000-0000-000004000000}"/>
    <cellStyle name="Normal 2 2 2 5 2 4 3 3" xfId="9752" xr:uid="{00000000-0005-0000-0000-000004000000}"/>
    <cellStyle name="Normal 2 2 2 5 2 4 4" xfId="3631" xr:uid="{00000000-0005-0000-0000-000004000000}"/>
    <cellStyle name="Normal 2 2 2 5 2 4 4 2" xfId="7712" xr:uid="{00000000-0005-0000-0000-000004000000}"/>
    <cellStyle name="Normal 2 2 2 5 2 4 4 2 2" xfId="15872" xr:uid="{00000000-0005-0000-0000-000004000000}"/>
    <cellStyle name="Normal 2 2 2 5 2 4 4 3" xfId="11792" xr:uid="{00000000-0005-0000-0000-000004000000}"/>
    <cellStyle name="Normal 2 2 2 5 2 4 5" xfId="4651" xr:uid="{00000000-0005-0000-0000-000004000000}"/>
    <cellStyle name="Normal 2 2 2 5 2 4 5 2" xfId="12812" xr:uid="{00000000-0005-0000-0000-000004000000}"/>
    <cellStyle name="Normal 2 2 2 5 2 4 6" xfId="8732" xr:uid="{00000000-0005-0000-0000-000004000000}"/>
    <cellStyle name="Normal 2 2 2 5 2 5" xfId="2203" xr:uid="{00000000-0005-0000-0000-000004000000}"/>
    <cellStyle name="Normal 2 2 2 5 2 5 2" xfId="6284" xr:uid="{00000000-0005-0000-0000-000004000000}"/>
    <cellStyle name="Normal 2 2 2 5 2 5 2 2" xfId="14444" xr:uid="{00000000-0005-0000-0000-000004000000}"/>
    <cellStyle name="Normal 2 2 2 5 2 5 3" xfId="10364" xr:uid="{00000000-0005-0000-0000-000004000000}"/>
    <cellStyle name="Normal 2 2 2 5 2 6" xfId="1183" xr:uid="{00000000-0005-0000-0000-000004000000}"/>
    <cellStyle name="Normal 2 2 2 5 2 6 2" xfId="5264" xr:uid="{00000000-0005-0000-0000-000004000000}"/>
    <cellStyle name="Normal 2 2 2 5 2 6 2 2" xfId="13424" xr:uid="{00000000-0005-0000-0000-000004000000}"/>
    <cellStyle name="Normal 2 2 2 5 2 6 3" xfId="9344" xr:uid="{00000000-0005-0000-0000-000004000000}"/>
    <cellStyle name="Normal 2 2 2 5 2 7" xfId="3223" xr:uid="{00000000-0005-0000-0000-000004000000}"/>
    <cellStyle name="Normal 2 2 2 5 2 7 2" xfId="7304" xr:uid="{00000000-0005-0000-0000-000004000000}"/>
    <cellStyle name="Normal 2 2 2 5 2 7 2 2" xfId="15464" xr:uid="{00000000-0005-0000-0000-000004000000}"/>
    <cellStyle name="Normal 2 2 2 5 2 7 3" xfId="11384" xr:uid="{00000000-0005-0000-0000-000004000000}"/>
    <cellStyle name="Normal 2 2 2 5 2 8" xfId="4243" xr:uid="{00000000-0005-0000-0000-000004000000}"/>
    <cellStyle name="Normal 2 2 2 5 2 8 2" xfId="12404" xr:uid="{00000000-0005-0000-0000-000004000000}"/>
    <cellStyle name="Normal 2 2 2 5 2 9" xfId="8324" xr:uid="{00000000-0005-0000-0000-000004000000}"/>
    <cellStyle name="Normal 2 2 2 5 3" xfId="264" xr:uid="{00000000-0005-0000-0000-000004000000}"/>
    <cellStyle name="Normal 2 2 2 5 3 2" xfId="672" xr:uid="{00000000-0005-0000-0000-000004000000}"/>
    <cellStyle name="Normal 2 2 2 5 3 2 2" xfId="2713" xr:uid="{00000000-0005-0000-0000-000004000000}"/>
    <cellStyle name="Normal 2 2 2 5 3 2 2 2" xfId="6794" xr:uid="{00000000-0005-0000-0000-000004000000}"/>
    <cellStyle name="Normal 2 2 2 5 3 2 2 2 2" xfId="14954" xr:uid="{00000000-0005-0000-0000-000004000000}"/>
    <cellStyle name="Normal 2 2 2 5 3 2 2 3" xfId="10874" xr:uid="{00000000-0005-0000-0000-000004000000}"/>
    <cellStyle name="Normal 2 2 2 5 3 2 3" xfId="1693" xr:uid="{00000000-0005-0000-0000-000004000000}"/>
    <cellStyle name="Normal 2 2 2 5 3 2 3 2" xfId="5774" xr:uid="{00000000-0005-0000-0000-000004000000}"/>
    <cellStyle name="Normal 2 2 2 5 3 2 3 2 2" xfId="13934" xr:uid="{00000000-0005-0000-0000-000004000000}"/>
    <cellStyle name="Normal 2 2 2 5 3 2 3 3" xfId="9854" xr:uid="{00000000-0005-0000-0000-000004000000}"/>
    <cellStyle name="Normal 2 2 2 5 3 2 4" xfId="3733" xr:uid="{00000000-0005-0000-0000-000004000000}"/>
    <cellStyle name="Normal 2 2 2 5 3 2 4 2" xfId="7814" xr:uid="{00000000-0005-0000-0000-000004000000}"/>
    <cellStyle name="Normal 2 2 2 5 3 2 4 2 2" xfId="15974" xr:uid="{00000000-0005-0000-0000-000004000000}"/>
    <cellStyle name="Normal 2 2 2 5 3 2 4 3" xfId="11894" xr:uid="{00000000-0005-0000-0000-000004000000}"/>
    <cellStyle name="Normal 2 2 2 5 3 2 5" xfId="4753" xr:uid="{00000000-0005-0000-0000-000004000000}"/>
    <cellStyle name="Normal 2 2 2 5 3 2 5 2" xfId="12914" xr:uid="{00000000-0005-0000-0000-000004000000}"/>
    <cellStyle name="Normal 2 2 2 5 3 2 6" xfId="8834" xr:uid="{00000000-0005-0000-0000-000004000000}"/>
    <cellStyle name="Normal 2 2 2 5 3 3" xfId="2305" xr:uid="{00000000-0005-0000-0000-000004000000}"/>
    <cellStyle name="Normal 2 2 2 5 3 3 2" xfId="6386" xr:uid="{00000000-0005-0000-0000-000004000000}"/>
    <cellStyle name="Normal 2 2 2 5 3 3 2 2" xfId="14546" xr:uid="{00000000-0005-0000-0000-000004000000}"/>
    <cellStyle name="Normal 2 2 2 5 3 3 3" xfId="10466" xr:uid="{00000000-0005-0000-0000-000004000000}"/>
    <cellStyle name="Normal 2 2 2 5 3 4" xfId="1285" xr:uid="{00000000-0005-0000-0000-000004000000}"/>
    <cellStyle name="Normal 2 2 2 5 3 4 2" xfId="5366" xr:uid="{00000000-0005-0000-0000-000004000000}"/>
    <cellStyle name="Normal 2 2 2 5 3 4 2 2" xfId="13526" xr:uid="{00000000-0005-0000-0000-000004000000}"/>
    <cellStyle name="Normal 2 2 2 5 3 4 3" xfId="9446" xr:uid="{00000000-0005-0000-0000-000004000000}"/>
    <cellStyle name="Normal 2 2 2 5 3 5" xfId="3325" xr:uid="{00000000-0005-0000-0000-000004000000}"/>
    <cellStyle name="Normal 2 2 2 5 3 5 2" xfId="7406" xr:uid="{00000000-0005-0000-0000-000004000000}"/>
    <cellStyle name="Normal 2 2 2 5 3 5 2 2" xfId="15566" xr:uid="{00000000-0005-0000-0000-000004000000}"/>
    <cellStyle name="Normal 2 2 2 5 3 5 3" xfId="11486" xr:uid="{00000000-0005-0000-0000-000004000000}"/>
    <cellStyle name="Normal 2 2 2 5 3 6" xfId="4345" xr:uid="{00000000-0005-0000-0000-000004000000}"/>
    <cellStyle name="Normal 2 2 2 5 3 6 2" xfId="12506" xr:uid="{00000000-0005-0000-0000-000004000000}"/>
    <cellStyle name="Normal 2 2 2 5 3 7" xfId="8426" xr:uid="{00000000-0005-0000-0000-000004000000}"/>
    <cellStyle name="Normal 2 2 2 5 4" xfId="876" xr:uid="{00000000-0005-0000-0000-000004000000}"/>
    <cellStyle name="Normal 2 2 2 5 4 2" xfId="2917" xr:uid="{00000000-0005-0000-0000-000004000000}"/>
    <cellStyle name="Normal 2 2 2 5 4 2 2" xfId="6998" xr:uid="{00000000-0005-0000-0000-000004000000}"/>
    <cellStyle name="Normal 2 2 2 5 4 2 2 2" xfId="15158" xr:uid="{00000000-0005-0000-0000-000004000000}"/>
    <cellStyle name="Normal 2 2 2 5 4 2 3" xfId="11078" xr:uid="{00000000-0005-0000-0000-000004000000}"/>
    <cellStyle name="Normal 2 2 2 5 4 3" xfId="1897" xr:uid="{00000000-0005-0000-0000-000004000000}"/>
    <cellStyle name="Normal 2 2 2 5 4 3 2" xfId="5978" xr:uid="{00000000-0005-0000-0000-000004000000}"/>
    <cellStyle name="Normal 2 2 2 5 4 3 2 2" xfId="14138" xr:uid="{00000000-0005-0000-0000-000004000000}"/>
    <cellStyle name="Normal 2 2 2 5 4 3 3" xfId="10058" xr:uid="{00000000-0005-0000-0000-000004000000}"/>
    <cellStyle name="Normal 2 2 2 5 4 4" xfId="3937" xr:uid="{00000000-0005-0000-0000-000004000000}"/>
    <cellStyle name="Normal 2 2 2 5 4 4 2" xfId="8018" xr:uid="{00000000-0005-0000-0000-000004000000}"/>
    <cellStyle name="Normal 2 2 2 5 4 4 2 2" xfId="16178" xr:uid="{00000000-0005-0000-0000-000004000000}"/>
    <cellStyle name="Normal 2 2 2 5 4 4 3" xfId="12098" xr:uid="{00000000-0005-0000-0000-000004000000}"/>
    <cellStyle name="Normal 2 2 2 5 4 5" xfId="4957" xr:uid="{00000000-0005-0000-0000-000004000000}"/>
    <cellStyle name="Normal 2 2 2 5 4 5 2" xfId="13118" xr:uid="{00000000-0005-0000-0000-000004000000}"/>
    <cellStyle name="Normal 2 2 2 5 4 6" xfId="9038" xr:uid="{00000000-0005-0000-0000-000004000000}"/>
    <cellStyle name="Normal 2 2 2 5 5" xfId="468" xr:uid="{00000000-0005-0000-0000-000004000000}"/>
    <cellStyle name="Normal 2 2 2 5 5 2" xfId="2509" xr:uid="{00000000-0005-0000-0000-000004000000}"/>
    <cellStyle name="Normal 2 2 2 5 5 2 2" xfId="6590" xr:uid="{00000000-0005-0000-0000-000004000000}"/>
    <cellStyle name="Normal 2 2 2 5 5 2 2 2" xfId="14750" xr:uid="{00000000-0005-0000-0000-000004000000}"/>
    <cellStyle name="Normal 2 2 2 5 5 2 3" xfId="10670" xr:uid="{00000000-0005-0000-0000-000004000000}"/>
    <cellStyle name="Normal 2 2 2 5 5 3" xfId="1489" xr:uid="{00000000-0005-0000-0000-000004000000}"/>
    <cellStyle name="Normal 2 2 2 5 5 3 2" xfId="5570" xr:uid="{00000000-0005-0000-0000-000004000000}"/>
    <cellStyle name="Normal 2 2 2 5 5 3 2 2" xfId="13730" xr:uid="{00000000-0005-0000-0000-000004000000}"/>
    <cellStyle name="Normal 2 2 2 5 5 3 3" xfId="9650" xr:uid="{00000000-0005-0000-0000-000004000000}"/>
    <cellStyle name="Normal 2 2 2 5 5 4" xfId="3529" xr:uid="{00000000-0005-0000-0000-000004000000}"/>
    <cellStyle name="Normal 2 2 2 5 5 4 2" xfId="7610" xr:uid="{00000000-0005-0000-0000-000004000000}"/>
    <cellStyle name="Normal 2 2 2 5 5 4 2 2" xfId="15770" xr:uid="{00000000-0005-0000-0000-000004000000}"/>
    <cellStyle name="Normal 2 2 2 5 5 4 3" xfId="11690" xr:uid="{00000000-0005-0000-0000-000004000000}"/>
    <cellStyle name="Normal 2 2 2 5 5 5" xfId="4549" xr:uid="{00000000-0005-0000-0000-000004000000}"/>
    <cellStyle name="Normal 2 2 2 5 5 5 2" xfId="12710" xr:uid="{00000000-0005-0000-0000-000004000000}"/>
    <cellStyle name="Normal 2 2 2 5 5 6" xfId="8630" xr:uid="{00000000-0005-0000-0000-000004000000}"/>
    <cellStyle name="Normal 2 2 2 5 6" xfId="2101" xr:uid="{00000000-0005-0000-0000-000004000000}"/>
    <cellStyle name="Normal 2 2 2 5 6 2" xfId="6182" xr:uid="{00000000-0005-0000-0000-000004000000}"/>
    <cellStyle name="Normal 2 2 2 5 6 2 2" xfId="14342" xr:uid="{00000000-0005-0000-0000-000004000000}"/>
    <cellStyle name="Normal 2 2 2 5 6 3" xfId="10262" xr:uid="{00000000-0005-0000-0000-000004000000}"/>
    <cellStyle name="Normal 2 2 2 5 7" xfId="1081" xr:uid="{00000000-0005-0000-0000-000004000000}"/>
    <cellStyle name="Normal 2 2 2 5 7 2" xfId="5162" xr:uid="{00000000-0005-0000-0000-000004000000}"/>
    <cellStyle name="Normal 2 2 2 5 7 2 2" xfId="13322" xr:uid="{00000000-0005-0000-0000-000004000000}"/>
    <cellStyle name="Normal 2 2 2 5 7 3" xfId="9242" xr:uid="{00000000-0005-0000-0000-000004000000}"/>
    <cellStyle name="Normal 2 2 2 5 8" xfId="3121" xr:uid="{00000000-0005-0000-0000-000004000000}"/>
    <cellStyle name="Normal 2 2 2 5 8 2" xfId="7202" xr:uid="{00000000-0005-0000-0000-000004000000}"/>
    <cellStyle name="Normal 2 2 2 5 8 2 2" xfId="15362" xr:uid="{00000000-0005-0000-0000-000004000000}"/>
    <cellStyle name="Normal 2 2 2 5 8 3" xfId="11282" xr:uid="{00000000-0005-0000-0000-000004000000}"/>
    <cellStyle name="Normal 2 2 2 5 9" xfId="4141" xr:uid="{00000000-0005-0000-0000-000004000000}"/>
    <cellStyle name="Normal 2 2 2 5 9 2" xfId="12302" xr:uid="{00000000-0005-0000-0000-000004000000}"/>
    <cellStyle name="Normal 2 2 2 6" xfId="111" xr:uid="{00000000-0005-0000-0000-000004000000}"/>
    <cellStyle name="Normal 2 2 2 6 2" xfId="315" xr:uid="{00000000-0005-0000-0000-000004000000}"/>
    <cellStyle name="Normal 2 2 2 6 2 2" xfId="723" xr:uid="{00000000-0005-0000-0000-000004000000}"/>
    <cellStyle name="Normal 2 2 2 6 2 2 2" xfId="2764" xr:uid="{00000000-0005-0000-0000-000004000000}"/>
    <cellStyle name="Normal 2 2 2 6 2 2 2 2" xfId="6845" xr:uid="{00000000-0005-0000-0000-000004000000}"/>
    <cellStyle name="Normal 2 2 2 6 2 2 2 2 2" xfId="15005" xr:uid="{00000000-0005-0000-0000-000004000000}"/>
    <cellStyle name="Normal 2 2 2 6 2 2 2 3" xfId="10925" xr:uid="{00000000-0005-0000-0000-000004000000}"/>
    <cellStyle name="Normal 2 2 2 6 2 2 3" xfId="1744" xr:uid="{00000000-0005-0000-0000-000004000000}"/>
    <cellStyle name="Normal 2 2 2 6 2 2 3 2" xfId="5825" xr:uid="{00000000-0005-0000-0000-000004000000}"/>
    <cellStyle name="Normal 2 2 2 6 2 2 3 2 2" xfId="13985" xr:uid="{00000000-0005-0000-0000-000004000000}"/>
    <cellStyle name="Normal 2 2 2 6 2 2 3 3" xfId="9905" xr:uid="{00000000-0005-0000-0000-000004000000}"/>
    <cellStyle name="Normal 2 2 2 6 2 2 4" xfId="3784" xr:uid="{00000000-0005-0000-0000-000004000000}"/>
    <cellStyle name="Normal 2 2 2 6 2 2 4 2" xfId="7865" xr:uid="{00000000-0005-0000-0000-000004000000}"/>
    <cellStyle name="Normal 2 2 2 6 2 2 4 2 2" xfId="16025" xr:uid="{00000000-0005-0000-0000-000004000000}"/>
    <cellStyle name="Normal 2 2 2 6 2 2 4 3" xfId="11945" xr:uid="{00000000-0005-0000-0000-000004000000}"/>
    <cellStyle name="Normal 2 2 2 6 2 2 5" xfId="4804" xr:uid="{00000000-0005-0000-0000-000004000000}"/>
    <cellStyle name="Normal 2 2 2 6 2 2 5 2" xfId="12965" xr:uid="{00000000-0005-0000-0000-000004000000}"/>
    <cellStyle name="Normal 2 2 2 6 2 2 6" xfId="8885" xr:uid="{00000000-0005-0000-0000-000004000000}"/>
    <cellStyle name="Normal 2 2 2 6 2 3" xfId="2356" xr:uid="{00000000-0005-0000-0000-000004000000}"/>
    <cellStyle name="Normal 2 2 2 6 2 3 2" xfId="6437" xr:uid="{00000000-0005-0000-0000-000004000000}"/>
    <cellStyle name="Normal 2 2 2 6 2 3 2 2" xfId="14597" xr:uid="{00000000-0005-0000-0000-000004000000}"/>
    <cellStyle name="Normal 2 2 2 6 2 3 3" xfId="10517" xr:uid="{00000000-0005-0000-0000-000004000000}"/>
    <cellStyle name="Normal 2 2 2 6 2 4" xfId="1336" xr:uid="{00000000-0005-0000-0000-000004000000}"/>
    <cellStyle name="Normal 2 2 2 6 2 4 2" xfId="5417" xr:uid="{00000000-0005-0000-0000-000004000000}"/>
    <cellStyle name="Normal 2 2 2 6 2 4 2 2" xfId="13577" xr:uid="{00000000-0005-0000-0000-000004000000}"/>
    <cellStyle name="Normal 2 2 2 6 2 4 3" xfId="9497" xr:uid="{00000000-0005-0000-0000-000004000000}"/>
    <cellStyle name="Normal 2 2 2 6 2 5" xfId="3376" xr:uid="{00000000-0005-0000-0000-000004000000}"/>
    <cellStyle name="Normal 2 2 2 6 2 5 2" xfId="7457" xr:uid="{00000000-0005-0000-0000-000004000000}"/>
    <cellStyle name="Normal 2 2 2 6 2 5 2 2" xfId="15617" xr:uid="{00000000-0005-0000-0000-000004000000}"/>
    <cellStyle name="Normal 2 2 2 6 2 5 3" xfId="11537" xr:uid="{00000000-0005-0000-0000-000004000000}"/>
    <cellStyle name="Normal 2 2 2 6 2 6" xfId="4396" xr:uid="{00000000-0005-0000-0000-000004000000}"/>
    <cellStyle name="Normal 2 2 2 6 2 6 2" xfId="12557" xr:uid="{00000000-0005-0000-0000-000004000000}"/>
    <cellStyle name="Normal 2 2 2 6 2 7" xfId="8477" xr:uid="{00000000-0005-0000-0000-000004000000}"/>
    <cellStyle name="Normal 2 2 2 6 3" xfId="927" xr:uid="{00000000-0005-0000-0000-000004000000}"/>
    <cellStyle name="Normal 2 2 2 6 3 2" xfId="2968" xr:uid="{00000000-0005-0000-0000-000004000000}"/>
    <cellStyle name="Normal 2 2 2 6 3 2 2" xfId="7049" xr:uid="{00000000-0005-0000-0000-000004000000}"/>
    <cellStyle name="Normal 2 2 2 6 3 2 2 2" xfId="15209" xr:uid="{00000000-0005-0000-0000-000004000000}"/>
    <cellStyle name="Normal 2 2 2 6 3 2 3" xfId="11129" xr:uid="{00000000-0005-0000-0000-000004000000}"/>
    <cellStyle name="Normal 2 2 2 6 3 3" xfId="1948" xr:uid="{00000000-0005-0000-0000-000004000000}"/>
    <cellStyle name="Normal 2 2 2 6 3 3 2" xfId="6029" xr:uid="{00000000-0005-0000-0000-000004000000}"/>
    <cellStyle name="Normal 2 2 2 6 3 3 2 2" xfId="14189" xr:uid="{00000000-0005-0000-0000-000004000000}"/>
    <cellStyle name="Normal 2 2 2 6 3 3 3" xfId="10109" xr:uid="{00000000-0005-0000-0000-000004000000}"/>
    <cellStyle name="Normal 2 2 2 6 3 4" xfId="3988" xr:uid="{00000000-0005-0000-0000-000004000000}"/>
    <cellStyle name="Normal 2 2 2 6 3 4 2" xfId="8069" xr:uid="{00000000-0005-0000-0000-000004000000}"/>
    <cellStyle name="Normal 2 2 2 6 3 4 2 2" xfId="16229" xr:uid="{00000000-0005-0000-0000-000004000000}"/>
    <cellStyle name="Normal 2 2 2 6 3 4 3" xfId="12149" xr:uid="{00000000-0005-0000-0000-000004000000}"/>
    <cellStyle name="Normal 2 2 2 6 3 5" xfId="5008" xr:uid="{00000000-0005-0000-0000-000004000000}"/>
    <cellStyle name="Normal 2 2 2 6 3 5 2" xfId="13169" xr:uid="{00000000-0005-0000-0000-000004000000}"/>
    <cellStyle name="Normal 2 2 2 6 3 6" xfId="9089" xr:uid="{00000000-0005-0000-0000-000004000000}"/>
    <cellStyle name="Normal 2 2 2 6 4" xfId="519" xr:uid="{00000000-0005-0000-0000-000004000000}"/>
    <cellStyle name="Normal 2 2 2 6 4 2" xfId="2560" xr:uid="{00000000-0005-0000-0000-000004000000}"/>
    <cellStyle name="Normal 2 2 2 6 4 2 2" xfId="6641" xr:uid="{00000000-0005-0000-0000-000004000000}"/>
    <cellStyle name="Normal 2 2 2 6 4 2 2 2" xfId="14801" xr:uid="{00000000-0005-0000-0000-000004000000}"/>
    <cellStyle name="Normal 2 2 2 6 4 2 3" xfId="10721" xr:uid="{00000000-0005-0000-0000-000004000000}"/>
    <cellStyle name="Normal 2 2 2 6 4 3" xfId="1540" xr:uid="{00000000-0005-0000-0000-000004000000}"/>
    <cellStyle name="Normal 2 2 2 6 4 3 2" xfId="5621" xr:uid="{00000000-0005-0000-0000-000004000000}"/>
    <cellStyle name="Normal 2 2 2 6 4 3 2 2" xfId="13781" xr:uid="{00000000-0005-0000-0000-000004000000}"/>
    <cellStyle name="Normal 2 2 2 6 4 3 3" xfId="9701" xr:uid="{00000000-0005-0000-0000-000004000000}"/>
    <cellStyle name="Normal 2 2 2 6 4 4" xfId="3580" xr:uid="{00000000-0005-0000-0000-000004000000}"/>
    <cellStyle name="Normal 2 2 2 6 4 4 2" xfId="7661" xr:uid="{00000000-0005-0000-0000-000004000000}"/>
    <cellStyle name="Normal 2 2 2 6 4 4 2 2" xfId="15821" xr:uid="{00000000-0005-0000-0000-000004000000}"/>
    <cellStyle name="Normal 2 2 2 6 4 4 3" xfId="11741" xr:uid="{00000000-0005-0000-0000-000004000000}"/>
    <cellStyle name="Normal 2 2 2 6 4 5" xfId="4600" xr:uid="{00000000-0005-0000-0000-000004000000}"/>
    <cellStyle name="Normal 2 2 2 6 4 5 2" xfId="12761" xr:uid="{00000000-0005-0000-0000-000004000000}"/>
    <cellStyle name="Normal 2 2 2 6 4 6" xfId="8681" xr:uid="{00000000-0005-0000-0000-000004000000}"/>
    <cellStyle name="Normal 2 2 2 6 5" xfId="2152" xr:uid="{00000000-0005-0000-0000-000004000000}"/>
    <cellStyle name="Normal 2 2 2 6 5 2" xfId="6233" xr:uid="{00000000-0005-0000-0000-000004000000}"/>
    <cellStyle name="Normal 2 2 2 6 5 2 2" xfId="14393" xr:uid="{00000000-0005-0000-0000-000004000000}"/>
    <cellStyle name="Normal 2 2 2 6 5 3" xfId="10313" xr:uid="{00000000-0005-0000-0000-000004000000}"/>
    <cellStyle name="Normal 2 2 2 6 6" xfId="1132" xr:uid="{00000000-0005-0000-0000-000004000000}"/>
    <cellStyle name="Normal 2 2 2 6 6 2" xfId="5213" xr:uid="{00000000-0005-0000-0000-000004000000}"/>
    <cellStyle name="Normal 2 2 2 6 6 2 2" xfId="13373" xr:uid="{00000000-0005-0000-0000-000004000000}"/>
    <cellStyle name="Normal 2 2 2 6 6 3" xfId="9293" xr:uid="{00000000-0005-0000-0000-000004000000}"/>
    <cellStyle name="Normal 2 2 2 6 7" xfId="3172" xr:uid="{00000000-0005-0000-0000-000004000000}"/>
    <cellStyle name="Normal 2 2 2 6 7 2" xfId="7253" xr:uid="{00000000-0005-0000-0000-000004000000}"/>
    <cellStyle name="Normal 2 2 2 6 7 2 2" xfId="15413" xr:uid="{00000000-0005-0000-0000-000004000000}"/>
    <cellStyle name="Normal 2 2 2 6 7 3" xfId="11333" xr:uid="{00000000-0005-0000-0000-000004000000}"/>
    <cellStyle name="Normal 2 2 2 6 8" xfId="4192" xr:uid="{00000000-0005-0000-0000-000004000000}"/>
    <cellStyle name="Normal 2 2 2 6 8 2" xfId="12353" xr:uid="{00000000-0005-0000-0000-000004000000}"/>
    <cellStyle name="Normal 2 2 2 6 9" xfId="8273" xr:uid="{00000000-0005-0000-0000-000004000000}"/>
    <cellStyle name="Normal 2 2 2 7" xfId="213" xr:uid="{00000000-0005-0000-0000-000004000000}"/>
    <cellStyle name="Normal 2 2 2 7 2" xfId="621" xr:uid="{00000000-0005-0000-0000-000004000000}"/>
    <cellStyle name="Normal 2 2 2 7 2 2" xfId="2662" xr:uid="{00000000-0005-0000-0000-000004000000}"/>
    <cellStyle name="Normal 2 2 2 7 2 2 2" xfId="6743" xr:uid="{00000000-0005-0000-0000-000004000000}"/>
    <cellStyle name="Normal 2 2 2 7 2 2 2 2" xfId="14903" xr:uid="{00000000-0005-0000-0000-000004000000}"/>
    <cellStyle name="Normal 2 2 2 7 2 2 3" xfId="10823" xr:uid="{00000000-0005-0000-0000-000004000000}"/>
    <cellStyle name="Normal 2 2 2 7 2 3" xfId="1642" xr:uid="{00000000-0005-0000-0000-000004000000}"/>
    <cellStyle name="Normal 2 2 2 7 2 3 2" xfId="5723" xr:uid="{00000000-0005-0000-0000-000004000000}"/>
    <cellStyle name="Normal 2 2 2 7 2 3 2 2" xfId="13883" xr:uid="{00000000-0005-0000-0000-000004000000}"/>
    <cellStyle name="Normal 2 2 2 7 2 3 3" xfId="9803" xr:uid="{00000000-0005-0000-0000-000004000000}"/>
    <cellStyle name="Normal 2 2 2 7 2 4" xfId="3682" xr:uid="{00000000-0005-0000-0000-000004000000}"/>
    <cellStyle name="Normal 2 2 2 7 2 4 2" xfId="7763" xr:uid="{00000000-0005-0000-0000-000004000000}"/>
    <cellStyle name="Normal 2 2 2 7 2 4 2 2" xfId="15923" xr:uid="{00000000-0005-0000-0000-000004000000}"/>
    <cellStyle name="Normal 2 2 2 7 2 4 3" xfId="11843" xr:uid="{00000000-0005-0000-0000-000004000000}"/>
    <cellStyle name="Normal 2 2 2 7 2 5" xfId="4702" xr:uid="{00000000-0005-0000-0000-000004000000}"/>
    <cellStyle name="Normal 2 2 2 7 2 5 2" xfId="12863" xr:uid="{00000000-0005-0000-0000-000004000000}"/>
    <cellStyle name="Normal 2 2 2 7 2 6" xfId="8783" xr:uid="{00000000-0005-0000-0000-000004000000}"/>
    <cellStyle name="Normal 2 2 2 7 3" xfId="2254" xr:uid="{00000000-0005-0000-0000-000004000000}"/>
    <cellStyle name="Normal 2 2 2 7 3 2" xfId="6335" xr:uid="{00000000-0005-0000-0000-000004000000}"/>
    <cellStyle name="Normal 2 2 2 7 3 2 2" xfId="14495" xr:uid="{00000000-0005-0000-0000-000004000000}"/>
    <cellStyle name="Normal 2 2 2 7 3 3" xfId="10415" xr:uid="{00000000-0005-0000-0000-000004000000}"/>
    <cellStyle name="Normal 2 2 2 7 4" xfId="1234" xr:uid="{00000000-0005-0000-0000-000004000000}"/>
    <cellStyle name="Normal 2 2 2 7 4 2" xfId="5315" xr:uid="{00000000-0005-0000-0000-000004000000}"/>
    <cellStyle name="Normal 2 2 2 7 4 2 2" xfId="13475" xr:uid="{00000000-0005-0000-0000-000004000000}"/>
    <cellStyle name="Normal 2 2 2 7 4 3" xfId="9395" xr:uid="{00000000-0005-0000-0000-000004000000}"/>
    <cellStyle name="Normal 2 2 2 7 5" xfId="3274" xr:uid="{00000000-0005-0000-0000-000004000000}"/>
    <cellStyle name="Normal 2 2 2 7 5 2" xfId="7355" xr:uid="{00000000-0005-0000-0000-000004000000}"/>
    <cellStyle name="Normal 2 2 2 7 5 2 2" xfId="15515" xr:uid="{00000000-0005-0000-0000-000004000000}"/>
    <cellStyle name="Normal 2 2 2 7 5 3" xfId="11435" xr:uid="{00000000-0005-0000-0000-000004000000}"/>
    <cellStyle name="Normal 2 2 2 7 6" xfId="4294" xr:uid="{00000000-0005-0000-0000-000004000000}"/>
    <cellStyle name="Normal 2 2 2 7 6 2" xfId="12455" xr:uid="{00000000-0005-0000-0000-000004000000}"/>
    <cellStyle name="Normal 2 2 2 7 7" xfId="8375" xr:uid="{00000000-0005-0000-0000-000004000000}"/>
    <cellStyle name="Normal 2 2 2 8" xfId="825" xr:uid="{00000000-0005-0000-0000-000004000000}"/>
    <cellStyle name="Normal 2 2 2 8 2" xfId="2866" xr:uid="{00000000-0005-0000-0000-000004000000}"/>
    <cellStyle name="Normal 2 2 2 8 2 2" xfId="6947" xr:uid="{00000000-0005-0000-0000-000004000000}"/>
    <cellStyle name="Normal 2 2 2 8 2 2 2" xfId="15107" xr:uid="{00000000-0005-0000-0000-000004000000}"/>
    <cellStyle name="Normal 2 2 2 8 2 3" xfId="11027" xr:uid="{00000000-0005-0000-0000-000004000000}"/>
    <cellStyle name="Normal 2 2 2 8 3" xfId="1846" xr:uid="{00000000-0005-0000-0000-000004000000}"/>
    <cellStyle name="Normal 2 2 2 8 3 2" xfId="5927" xr:uid="{00000000-0005-0000-0000-000004000000}"/>
    <cellStyle name="Normal 2 2 2 8 3 2 2" xfId="14087" xr:uid="{00000000-0005-0000-0000-000004000000}"/>
    <cellStyle name="Normal 2 2 2 8 3 3" xfId="10007" xr:uid="{00000000-0005-0000-0000-000004000000}"/>
    <cellStyle name="Normal 2 2 2 8 4" xfId="3886" xr:uid="{00000000-0005-0000-0000-000004000000}"/>
    <cellStyle name="Normal 2 2 2 8 4 2" xfId="7967" xr:uid="{00000000-0005-0000-0000-000004000000}"/>
    <cellStyle name="Normal 2 2 2 8 4 2 2" xfId="16127" xr:uid="{00000000-0005-0000-0000-000004000000}"/>
    <cellStyle name="Normal 2 2 2 8 4 3" xfId="12047" xr:uid="{00000000-0005-0000-0000-000004000000}"/>
    <cellStyle name="Normal 2 2 2 8 5" xfId="4906" xr:uid="{00000000-0005-0000-0000-000004000000}"/>
    <cellStyle name="Normal 2 2 2 8 5 2" xfId="13067" xr:uid="{00000000-0005-0000-0000-000004000000}"/>
    <cellStyle name="Normal 2 2 2 8 6" xfId="8987" xr:uid="{00000000-0005-0000-0000-000004000000}"/>
    <cellStyle name="Normal 2 2 2 9" xfId="417" xr:uid="{00000000-0005-0000-0000-000004000000}"/>
    <cellStyle name="Normal 2 2 2 9 2" xfId="2458" xr:uid="{00000000-0005-0000-0000-000004000000}"/>
    <cellStyle name="Normal 2 2 2 9 2 2" xfId="6539" xr:uid="{00000000-0005-0000-0000-000004000000}"/>
    <cellStyle name="Normal 2 2 2 9 2 2 2" xfId="14699" xr:uid="{00000000-0005-0000-0000-000004000000}"/>
    <cellStyle name="Normal 2 2 2 9 2 3" xfId="10619" xr:uid="{00000000-0005-0000-0000-000004000000}"/>
    <cellStyle name="Normal 2 2 2 9 3" xfId="1438" xr:uid="{00000000-0005-0000-0000-000004000000}"/>
    <cellStyle name="Normal 2 2 2 9 3 2" xfId="5519" xr:uid="{00000000-0005-0000-0000-000004000000}"/>
    <cellStyle name="Normal 2 2 2 9 3 2 2" xfId="13679" xr:uid="{00000000-0005-0000-0000-000004000000}"/>
    <cellStyle name="Normal 2 2 2 9 3 3" xfId="9599" xr:uid="{00000000-0005-0000-0000-000004000000}"/>
    <cellStyle name="Normal 2 2 2 9 4" xfId="3478" xr:uid="{00000000-0005-0000-0000-000004000000}"/>
    <cellStyle name="Normal 2 2 2 9 4 2" xfId="7559" xr:uid="{00000000-0005-0000-0000-000004000000}"/>
    <cellStyle name="Normal 2 2 2 9 4 2 2" xfId="15719" xr:uid="{00000000-0005-0000-0000-000004000000}"/>
    <cellStyle name="Normal 2 2 2 9 4 3" xfId="11639" xr:uid="{00000000-0005-0000-0000-000004000000}"/>
    <cellStyle name="Normal 2 2 2 9 5" xfId="4498" xr:uid="{00000000-0005-0000-0000-000004000000}"/>
    <cellStyle name="Normal 2 2 2 9 5 2" xfId="12659" xr:uid="{00000000-0005-0000-0000-000004000000}"/>
    <cellStyle name="Normal 2 2 2 9 6" xfId="8579" xr:uid="{00000000-0005-0000-0000-000004000000}"/>
    <cellStyle name="Normal 2 2 3" xfId="13" xr:uid="{00000000-0005-0000-0000-00000A000000}"/>
    <cellStyle name="Normal 2 2 3 10" xfId="1037" xr:uid="{00000000-0005-0000-0000-00000A000000}"/>
    <cellStyle name="Normal 2 2 3 10 2" xfId="5118" xr:uid="{00000000-0005-0000-0000-00000A000000}"/>
    <cellStyle name="Normal 2 2 3 10 2 2" xfId="13278" xr:uid="{00000000-0005-0000-0000-00000A000000}"/>
    <cellStyle name="Normal 2 2 3 10 3" xfId="9198" xr:uid="{00000000-0005-0000-0000-00000A000000}"/>
    <cellStyle name="Normal 2 2 3 11" xfId="3077" xr:uid="{00000000-0005-0000-0000-00000A000000}"/>
    <cellStyle name="Normal 2 2 3 11 2" xfId="7158" xr:uid="{00000000-0005-0000-0000-00000A000000}"/>
    <cellStyle name="Normal 2 2 3 11 2 2" xfId="15318" xr:uid="{00000000-0005-0000-0000-00000A000000}"/>
    <cellStyle name="Normal 2 2 3 11 3" xfId="11238" xr:uid="{00000000-0005-0000-0000-00000A000000}"/>
    <cellStyle name="Normal 2 2 3 12" xfId="4097" xr:uid="{00000000-0005-0000-0000-00000A000000}"/>
    <cellStyle name="Normal 2 2 3 12 2" xfId="12258" xr:uid="{00000000-0005-0000-0000-00000A000000}"/>
    <cellStyle name="Normal 2 2 3 13" xfId="8178" xr:uid="{00000000-0005-0000-0000-00000A000000}"/>
    <cellStyle name="Normal 2 2 3 2" xfId="28" xr:uid="{00000000-0005-0000-0000-00000B000000}"/>
    <cellStyle name="Normal 2 2 3 3" xfId="41" xr:uid="{00000000-0005-0000-0000-00000C000000}"/>
    <cellStyle name="Normal 2 2 3 3 10" xfId="4122" xr:uid="{00000000-0005-0000-0000-00000C000000}"/>
    <cellStyle name="Normal 2 2 3 3 10 2" xfId="12283" xr:uid="{00000000-0005-0000-0000-00000C000000}"/>
    <cellStyle name="Normal 2 2 3 3 11" xfId="8203" xr:uid="{00000000-0005-0000-0000-00000C000000}"/>
    <cellStyle name="Normal 2 2 3 3 2" xfId="92" xr:uid="{00000000-0005-0000-0000-00000C000000}"/>
    <cellStyle name="Normal 2 2 3 3 2 10" xfId="8254" xr:uid="{00000000-0005-0000-0000-00000C000000}"/>
    <cellStyle name="Normal 2 2 3 3 2 2" xfId="194" xr:uid="{00000000-0005-0000-0000-00000C000000}"/>
    <cellStyle name="Normal 2 2 3 3 2 2 2" xfId="398" xr:uid="{00000000-0005-0000-0000-00000C000000}"/>
    <cellStyle name="Normal 2 2 3 3 2 2 2 2" xfId="806" xr:uid="{00000000-0005-0000-0000-00000C000000}"/>
    <cellStyle name="Normal 2 2 3 3 2 2 2 2 2" xfId="2847" xr:uid="{00000000-0005-0000-0000-00000C000000}"/>
    <cellStyle name="Normal 2 2 3 3 2 2 2 2 2 2" xfId="6928" xr:uid="{00000000-0005-0000-0000-00000C000000}"/>
    <cellStyle name="Normal 2 2 3 3 2 2 2 2 2 2 2" xfId="15088" xr:uid="{00000000-0005-0000-0000-00000C000000}"/>
    <cellStyle name="Normal 2 2 3 3 2 2 2 2 2 3" xfId="11008" xr:uid="{00000000-0005-0000-0000-00000C000000}"/>
    <cellStyle name="Normal 2 2 3 3 2 2 2 2 3" xfId="1827" xr:uid="{00000000-0005-0000-0000-00000C000000}"/>
    <cellStyle name="Normal 2 2 3 3 2 2 2 2 3 2" xfId="5908" xr:uid="{00000000-0005-0000-0000-00000C000000}"/>
    <cellStyle name="Normal 2 2 3 3 2 2 2 2 3 2 2" xfId="14068" xr:uid="{00000000-0005-0000-0000-00000C000000}"/>
    <cellStyle name="Normal 2 2 3 3 2 2 2 2 3 3" xfId="9988" xr:uid="{00000000-0005-0000-0000-00000C000000}"/>
    <cellStyle name="Normal 2 2 3 3 2 2 2 2 4" xfId="3867" xr:uid="{00000000-0005-0000-0000-00000C000000}"/>
    <cellStyle name="Normal 2 2 3 3 2 2 2 2 4 2" xfId="7948" xr:uid="{00000000-0005-0000-0000-00000C000000}"/>
    <cellStyle name="Normal 2 2 3 3 2 2 2 2 4 2 2" xfId="16108" xr:uid="{00000000-0005-0000-0000-00000C000000}"/>
    <cellStyle name="Normal 2 2 3 3 2 2 2 2 4 3" xfId="12028" xr:uid="{00000000-0005-0000-0000-00000C000000}"/>
    <cellStyle name="Normal 2 2 3 3 2 2 2 2 5" xfId="4887" xr:uid="{00000000-0005-0000-0000-00000C000000}"/>
    <cellStyle name="Normal 2 2 3 3 2 2 2 2 5 2" xfId="13048" xr:uid="{00000000-0005-0000-0000-00000C000000}"/>
    <cellStyle name="Normal 2 2 3 3 2 2 2 2 6" xfId="8968" xr:uid="{00000000-0005-0000-0000-00000C000000}"/>
    <cellStyle name="Normal 2 2 3 3 2 2 2 3" xfId="2439" xr:uid="{00000000-0005-0000-0000-00000C000000}"/>
    <cellStyle name="Normal 2 2 3 3 2 2 2 3 2" xfId="6520" xr:uid="{00000000-0005-0000-0000-00000C000000}"/>
    <cellStyle name="Normal 2 2 3 3 2 2 2 3 2 2" xfId="14680" xr:uid="{00000000-0005-0000-0000-00000C000000}"/>
    <cellStyle name="Normal 2 2 3 3 2 2 2 3 3" xfId="10600" xr:uid="{00000000-0005-0000-0000-00000C000000}"/>
    <cellStyle name="Normal 2 2 3 3 2 2 2 4" xfId="1419" xr:uid="{00000000-0005-0000-0000-00000C000000}"/>
    <cellStyle name="Normal 2 2 3 3 2 2 2 4 2" xfId="5500" xr:uid="{00000000-0005-0000-0000-00000C000000}"/>
    <cellStyle name="Normal 2 2 3 3 2 2 2 4 2 2" xfId="13660" xr:uid="{00000000-0005-0000-0000-00000C000000}"/>
    <cellStyle name="Normal 2 2 3 3 2 2 2 4 3" xfId="9580" xr:uid="{00000000-0005-0000-0000-00000C000000}"/>
    <cellStyle name="Normal 2 2 3 3 2 2 2 5" xfId="3459" xr:uid="{00000000-0005-0000-0000-00000C000000}"/>
    <cellStyle name="Normal 2 2 3 3 2 2 2 5 2" xfId="7540" xr:uid="{00000000-0005-0000-0000-00000C000000}"/>
    <cellStyle name="Normal 2 2 3 3 2 2 2 5 2 2" xfId="15700" xr:uid="{00000000-0005-0000-0000-00000C000000}"/>
    <cellStyle name="Normal 2 2 3 3 2 2 2 5 3" xfId="11620" xr:uid="{00000000-0005-0000-0000-00000C000000}"/>
    <cellStyle name="Normal 2 2 3 3 2 2 2 6" xfId="4479" xr:uid="{00000000-0005-0000-0000-00000C000000}"/>
    <cellStyle name="Normal 2 2 3 3 2 2 2 6 2" xfId="12640" xr:uid="{00000000-0005-0000-0000-00000C000000}"/>
    <cellStyle name="Normal 2 2 3 3 2 2 2 7" xfId="8560" xr:uid="{00000000-0005-0000-0000-00000C000000}"/>
    <cellStyle name="Normal 2 2 3 3 2 2 3" xfId="1010" xr:uid="{00000000-0005-0000-0000-00000C000000}"/>
    <cellStyle name="Normal 2 2 3 3 2 2 3 2" xfId="3051" xr:uid="{00000000-0005-0000-0000-00000C000000}"/>
    <cellStyle name="Normal 2 2 3 3 2 2 3 2 2" xfId="7132" xr:uid="{00000000-0005-0000-0000-00000C000000}"/>
    <cellStyle name="Normal 2 2 3 3 2 2 3 2 2 2" xfId="15292" xr:uid="{00000000-0005-0000-0000-00000C000000}"/>
    <cellStyle name="Normal 2 2 3 3 2 2 3 2 3" xfId="11212" xr:uid="{00000000-0005-0000-0000-00000C000000}"/>
    <cellStyle name="Normal 2 2 3 3 2 2 3 3" xfId="2031" xr:uid="{00000000-0005-0000-0000-00000C000000}"/>
    <cellStyle name="Normal 2 2 3 3 2 2 3 3 2" xfId="6112" xr:uid="{00000000-0005-0000-0000-00000C000000}"/>
    <cellStyle name="Normal 2 2 3 3 2 2 3 3 2 2" xfId="14272" xr:uid="{00000000-0005-0000-0000-00000C000000}"/>
    <cellStyle name="Normal 2 2 3 3 2 2 3 3 3" xfId="10192" xr:uid="{00000000-0005-0000-0000-00000C000000}"/>
    <cellStyle name="Normal 2 2 3 3 2 2 3 4" xfId="4071" xr:uid="{00000000-0005-0000-0000-00000C000000}"/>
    <cellStyle name="Normal 2 2 3 3 2 2 3 4 2" xfId="8152" xr:uid="{00000000-0005-0000-0000-00000C000000}"/>
    <cellStyle name="Normal 2 2 3 3 2 2 3 4 2 2" xfId="16312" xr:uid="{00000000-0005-0000-0000-00000C000000}"/>
    <cellStyle name="Normal 2 2 3 3 2 2 3 4 3" xfId="12232" xr:uid="{00000000-0005-0000-0000-00000C000000}"/>
    <cellStyle name="Normal 2 2 3 3 2 2 3 5" xfId="5091" xr:uid="{00000000-0005-0000-0000-00000C000000}"/>
    <cellStyle name="Normal 2 2 3 3 2 2 3 5 2" xfId="13252" xr:uid="{00000000-0005-0000-0000-00000C000000}"/>
    <cellStyle name="Normal 2 2 3 3 2 2 3 6" xfId="9172" xr:uid="{00000000-0005-0000-0000-00000C000000}"/>
    <cellStyle name="Normal 2 2 3 3 2 2 4" xfId="602" xr:uid="{00000000-0005-0000-0000-00000C000000}"/>
    <cellStyle name="Normal 2 2 3 3 2 2 4 2" xfId="2643" xr:uid="{00000000-0005-0000-0000-00000C000000}"/>
    <cellStyle name="Normal 2 2 3 3 2 2 4 2 2" xfId="6724" xr:uid="{00000000-0005-0000-0000-00000C000000}"/>
    <cellStyle name="Normal 2 2 3 3 2 2 4 2 2 2" xfId="14884" xr:uid="{00000000-0005-0000-0000-00000C000000}"/>
    <cellStyle name="Normal 2 2 3 3 2 2 4 2 3" xfId="10804" xr:uid="{00000000-0005-0000-0000-00000C000000}"/>
    <cellStyle name="Normal 2 2 3 3 2 2 4 3" xfId="1623" xr:uid="{00000000-0005-0000-0000-00000C000000}"/>
    <cellStyle name="Normal 2 2 3 3 2 2 4 3 2" xfId="5704" xr:uid="{00000000-0005-0000-0000-00000C000000}"/>
    <cellStyle name="Normal 2 2 3 3 2 2 4 3 2 2" xfId="13864" xr:uid="{00000000-0005-0000-0000-00000C000000}"/>
    <cellStyle name="Normal 2 2 3 3 2 2 4 3 3" xfId="9784" xr:uid="{00000000-0005-0000-0000-00000C000000}"/>
    <cellStyle name="Normal 2 2 3 3 2 2 4 4" xfId="3663" xr:uid="{00000000-0005-0000-0000-00000C000000}"/>
    <cellStyle name="Normal 2 2 3 3 2 2 4 4 2" xfId="7744" xr:uid="{00000000-0005-0000-0000-00000C000000}"/>
    <cellStyle name="Normal 2 2 3 3 2 2 4 4 2 2" xfId="15904" xr:uid="{00000000-0005-0000-0000-00000C000000}"/>
    <cellStyle name="Normal 2 2 3 3 2 2 4 4 3" xfId="11824" xr:uid="{00000000-0005-0000-0000-00000C000000}"/>
    <cellStyle name="Normal 2 2 3 3 2 2 4 5" xfId="4683" xr:uid="{00000000-0005-0000-0000-00000C000000}"/>
    <cellStyle name="Normal 2 2 3 3 2 2 4 5 2" xfId="12844" xr:uid="{00000000-0005-0000-0000-00000C000000}"/>
    <cellStyle name="Normal 2 2 3 3 2 2 4 6" xfId="8764" xr:uid="{00000000-0005-0000-0000-00000C000000}"/>
    <cellStyle name="Normal 2 2 3 3 2 2 5" xfId="2235" xr:uid="{00000000-0005-0000-0000-00000C000000}"/>
    <cellStyle name="Normal 2 2 3 3 2 2 5 2" xfId="6316" xr:uid="{00000000-0005-0000-0000-00000C000000}"/>
    <cellStyle name="Normal 2 2 3 3 2 2 5 2 2" xfId="14476" xr:uid="{00000000-0005-0000-0000-00000C000000}"/>
    <cellStyle name="Normal 2 2 3 3 2 2 5 3" xfId="10396" xr:uid="{00000000-0005-0000-0000-00000C000000}"/>
    <cellStyle name="Normal 2 2 3 3 2 2 6" xfId="1215" xr:uid="{00000000-0005-0000-0000-00000C000000}"/>
    <cellStyle name="Normal 2 2 3 3 2 2 6 2" xfId="5296" xr:uid="{00000000-0005-0000-0000-00000C000000}"/>
    <cellStyle name="Normal 2 2 3 3 2 2 6 2 2" xfId="13456" xr:uid="{00000000-0005-0000-0000-00000C000000}"/>
    <cellStyle name="Normal 2 2 3 3 2 2 6 3" xfId="9376" xr:uid="{00000000-0005-0000-0000-00000C000000}"/>
    <cellStyle name="Normal 2 2 3 3 2 2 7" xfId="3255" xr:uid="{00000000-0005-0000-0000-00000C000000}"/>
    <cellStyle name="Normal 2 2 3 3 2 2 7 2" xfId="7336" xr:uid="{00000000-0005-0000-0000-00000C000000}"/>
    <cellStyle name="Normal 2 2 3 3 2 2 7 2 2" xfId="15496" xr:uid="{00000000-0005-0000-0000-00000C000000}"/>
    <cellStyle name="Normal 2 2 3 3 2 2 7 3" xfId="11416" xr:uid="{00000000-0005-0000-0000-00000C000000}"/>
    <cellStyle name="Normal 2 2 3 3 2 2 8" xfId="4275" xr:uid="{00000000-0005-0000-0000-00000C000000}"/>
    <cellStyle name="Normal 2 2 3 3 2 2 8 2" xfId="12436" xr:uid="{00000000-0005-0000-0000-00000C000000}"/>
    <cellStyle name="Normal 2 2 3 3 2 2 9" xfId="8356" xr:uid="{00000000-0005-0000-0000-00000C000000}"/>
    <cellStyle name="Normal 2 2 3 3 2 3" xfId="296" xr:uid="{00000000-0005-0000-0000-00000C000000}"/>
    <cellStyle name="Normal 2 2 3 3 2 3 2" xfId="704" xr:uid="{00000000-0005-0000-0000-00000C000000}"/>
    <cellStyle name="Normal 2 2 3 3 2 3 2 2" xfId="2745" xr:uid="{00000000-0005-0000-0000-00000C000000}"/>
    <cellStyle name="Normal 2 2 3 3 2 3 2 2 2" xfId="6826" xr:uid="{00000000-0005-0000-0000-00000C000000}"/>
    <cellStyle name="Normal 2 2 3 3 2 3 2 2 2 2" xfId="14986" xr:uid="{00000000-0005-0000-0000-00000C000000}"/>
    <cellStyle name="Normal 2 2 3 3 2 3 2 2 3" xfId="10906" xr:uid="{00000000-0005-0000-0000-00000C000000}"/>
    <cellStyle name="Normal 2 2 3 3 2 3 2 3" xfId="1725" xr:uid="{00000000-0005-0000-0000-00000C000000}"/>
    <cellStyle name="Normal 2 2 3 3 2 3 2 3 2" xfId="5806" xr:uid="{00000000-0005-0000-0000-00000C000000}"/>
    <cellStyle name="Normal 2 2 3 3 2 3 2 3 2 2" xfId="13966" xr:uid="{00000000-0005-0000-0000-00000C000000}"/>
    <cellStyle name="Normal 2 2 3 3 2 3 2 3 3" xfId="9886" xr:uid="{00000000-0005-0000-0000-00000C000000}"/>
    <cellStyle name="Normal 2 2 3 3 2 3 2 4" xfId="3765" xr:uid="{00000000-0005-0000-0000-00000C000000}"/>
    <cellStyle name="Normal 2 2 3 3 2 3 2 4 2" xfId="7846" xr:uid="{00000000-0005-0000-0000-00000C000000}"/>
    <cellStyle name="Normal 2 2 3 3 2 3 2 4 2 2" xfId="16006" xr:uid="{00000000-0005-0000-0000-00000C000000}"/>
    <cellStyle name="Normal 2 2 3 3 2 3 2 4 3" xfId="11926" xr:uid="{00000000-0005-0000-0000-00000C000000}"/>
    <cellStyle name="Normal 2 2 3 3 2 3 2 5" xfId="4785" xr:uid="{00000000-0005-0000-0000-00000C000000}"/>
    <cellStyle name="Normal 2 2 3 3 2 3 2 5 2" xfId="12946" xr:uid="{00000000-0005-0000-0000-00000C000000}"/>
    <cellStyle name="Normal 2 2 3 3 2 3 2 6" xfId="8866" xr:uid="{00000000-0005-0000-0000-00000C000000}"/>
    <cellStyle name="Normal 2 2 3 3 2 3 3" xfId="2337" xr:uid="{00000000-0005-0000-0000-00000C000000}"/>
    <cellStyle name="Normal 2 2 3 3 2 3 3 2" xfId="6418" xr:uid="{00000000-0005-0000-0000-00000C000000}"/>
    <cellStyle name="Normal 2 2 3 3 2 3 3 2 2" xfId="14578" xr:uid="{00000000-0005-0000-0000-00000C000000}"/>
    <cellStyle name="Normal 2 2 3 3 2 3 3 3" xfId="10498" xr:uid="{00000000-0005-0000-0000-00000C000000}"/>
    <cellStyle name="Normal 2 2 3 3 2 3 4" xfId="1317" xr:uid="{00000000-0005-0000-0000-00000C000000}"/>
    <cellStyle name="Normal 2 2 3 3 2 3 4 2" xfId="5398" xr:uid="{00000000-0005-0000-0000-00000C000000}"/>
    <cellStyle name="Normal 2 2 3 3 2 3 4 2 2" xfId="13558" xr:uid="{00000000-0005-0000-0000-00000C000000}"/>
    <cellStyle name="Normal 2 2 3 3 2 3 4 3" xfId="9478" xr:uid="{00000000-0005-0000-0000-00000C000000}"/>
    <cellStyle name="Normal 2 2 3 3 2 3 5" xfId="3357" xr:uid="{00000000-0005-0000-0000-00000C000000}"/>
    <cellStyle name="Normal 2 2 3 3 2 3 5 2" xfId="7438" xr:uid="{00000000-0005-0000-0000-00000C000000}"/>
    <cellStyle name="Normal 2 2 3 3 2 3 5 2 2" xfId="15598" xr:uid="{00000000-0005-0000-0000-00000C000000}"/>
    <cellStyle name="Normal 2 2 3 3 2 3 5 3" xfId="11518" xr:uid="{00000000-0005-0000-0000-00000C000000}"/>
    <cellStyle name="Normal 2 2 3 3 2 3 6" xfId="4377" xr:uid="{00000000-0005-0000-0000-00000C000000}"/>
    <cellStyle name="Normal 2 2 3 3 2 3 6 2" xfId="12538" xr:uid="{00000000-0005-0000-0000-00000C000000}"/>
    <cellStyle name="Normal 2 2 3 3 2 3 7" xfId="8458" xr:uid="{00000000-0005-0000-0000-00000C000000}"/>
    <cellStyle name="Normal 2 2 3 3 2 4" xfId="908" xr:uid="{00000000-0005-0000-0000-00000C000000}"/>
    <cellStyle name="Normal 2 2 3 3 2 4 2" xfId="2949" xr:uid="{00000000-0005-0000-0000-00000C000000}"/>
    <cellStyle name="Normal 2 2 3 3 2 4 2 2" xfId="7030" xr:uid="{00000000-0005-0000-0000-00000C000000}"/>
    <cellStyle name="Normal 2 2 3 3 2 4 2 2 2" xfId="15190" xr:uid="{00000000-0005-0000-0000-00000C000000}"/>
    <cellStyle name="Normal 2 2 3 3 2 4 2 3" xfId="11110" xr:uid="{00000000-0005-0000-0000-00000C000000}"/>
    <cellStyle name="Normal 2 2 3 3 2 4 3" xfId="1929" xr:uid="{00000000-0005-0000-0000-00000C000000}"/>
    <cellStyle name="Normal 2 2 3 3 2 4 3 2" xfId="6010" xr:uid="{00000000-0005-0000-0000-00000C000000}"/>
    <cellStyle name="Normal 2 2 3 3 2 4 3 2 2" xfId="14170" xr:uid="{00000000-0005-0000-0000-00000C000000}"/>
    <cellStyle name="Normal 2 2 3 3 2 4 3 3" xfId="10090" xr:uid="{00000000-0005-0000-0000-00000C000000}"/>
    <cellStyle name="Normal 2 2 3 3 2 4 4" xfId="3969" xr:uid="{00000000-0005-0000-0000-00000C000000}"/>
    <cellStyle name="Normal 2 2 3 3 2 4 4 2" xfId="8050" xr:uid="{00000000-0005-0000-0000-00000C000000}"/>
    <cellStyle name="Normal 2 2 3 3 2 4 4 2 2" xfId="16210" xr:uid="{00000000-0005-0000-0000-00000C000000}"/>
    <cellStyle name="Normal 2 2 3 3 2 4 4 3" xfId="12130" xr:uid="{00000000-0005-0000-0000-00000C000000}"/>
    <cellStyle name="Normal 2 2 3 3 2 4 5" xfId="4989" xr:uid="{00000000-0005-0000-0000-00000C000000}"/>
    <cellStyle name="Normal 2 2 3 3 2 4 5 2" xfId="13150" xr:uid="{00000000-0005-0000-0000-00000C000000}"/>
    <cellStyle name="Normal 2 2 3 3 2 4 6" xfId="9070" xr:uid="{00000000-0005-0000-0000-00000C000000}"/>
    <cellStyle name="Normal 2 2 3 3 2 5" xfId="500" xr:uid="{00000000-0005-0000-0000-00000C000000}"/>
    <cellStyle name="Normal 2 2 3 3 2 5 2" xfId="2541" xr:uid="{00000000-0005-0000-0000-00000C000000}"/>
    <cellStyle name="Normal 2 2 3 3 2 5 2 2" xfId="6622" xr:uid="{00000000-0005-0000-0000-00000C000000}"/>
    <cellStyle name="Normal 2 2 3 3 2 5 2 2 2" xfId="14782" xr:uid="{00000000-0005-0000-0000-00000C000000}"/>
    <cellStyle name="Normal 2 2 3 3 2 5 2 3" xfId="10702" xr:uid="{00000000-0005-0000-0000-00000C000000}"/>
    <cellStyle name="Normal 2 2 3 3 2 5 3" xfId="1521" xr:uid="{00000000-0005-0000-0000-00000C000000}"/>
    <cellStyle name="Normal 2 2 3 3 2 5 3 2" xfId="5602" xr:uid="{00000000-0005-0000-0000-00000C000000}"/>
    <cellStyle name="Normal 2 2 3 3 2 5 3 2 2" xfId="13762" xr:uid="{00000000-0005-0000-0000-00000C000000}"/>
    <cellStyle name="Normal 2 2 3 3 2 5 3 3" xfId="9682" xr:uid="{00000000-0005-0000-0000-00000C000000}"/>
    <cellStyle name="Normal 2 2 3 3 2 5 4" xfId="3561" xr:uid="{00000000-0005-0000-0000-00000C000000}"/>
    <cellStyle name="Normal 2 2 3 3 2 5 4 2" xfId="7642" xr:uid="{00000000-0005-0000-0000-00000C000000}"/>
    <cellStyle name="Normal 2 2 3 3 2 5 4 2 2" xfId="15802" xr:uid="{00000000-0005-0000-0000-00000C000000}"/>
    <cellStyle name="Normal 2 2 3 3 2 5 4 3" xfId="11722" xr:uid="{00000000-0005-0000-0000-00000C000000}"/>
    <cellStyle name="Normal 2 2 3 3 2 5 5" xfId="4581" xr:uid="{00000000-0005-0000-0000-00000C000000}"/>
    <cellStyle name="Normal 2 2 3 3 2 5 5 2" xfId="12742" xr:uid="{00000000-0005-0000-0000-00000C000000}"/>
    <cellStyle name="Normal 2 2 3 3 2 5 6" xfId="8662" xr:uid="{00000000-0005-0000-0000-00000C000000}"/>
    <cellStyle name="Normal 2 2 3 3 2 6" xfId="2133" xr:uid="{00000000-0005-0000-0000-00000C000000}"/>
    <cellStyle name="Normal 2 2 3 3 2 6 2" xfId="6214" xr:uid="{00000000-0005-0000-0000-00000C000000}"/>
    <cellStyle name="Normal 2 2 3 3 2 6 2 2" xfId="14374" xr:uid="{00000000-0005-0000-0000-00000C000000}"/>
    <cellStyle name="Normal 2 2 3 3 2 6 3" xfId="10294" xr:uid="{00000000-0005-0000-0000-00000C000000}"/>
    <cellStyle name="Normal 2 2 3 3 2 7" xfId="1113" xr:uid="{00000000-0005-0000-0000-00000C000000}"/>
    <cellStyle name="Normal 2 2 3 3 2 7 2" xfId="5194" xr:uid="{00000000-0005-0000-0000-00000C000000}"/>
    <cellStyle name="Normal 2 2 3 3 2 7 2 2" xfId="13354" xr:uid="{00000000-0005-0000-0000-00000C000000}"/>
    <cellStyle name="Normal 2 2 3 3 2 7 3" xfId="9274" xr:uid="{00000000-0005-0000-0000-00000C000000}"/>
    <cellStyle name="Normal 2 2 3 3 2 8" xfId="3153" xr:uid="{00000000-0005-0000-0000-00000C000000}"/>
    <cellStyle name="Normal 2 2 3 3 2 8 2" xfId="7234" xr:uid="{00000000-0005-0000-0000-00000C000000}"/>
    <cellStyle name="Normal 2 2 3 3 2 8 2 2" xfId="15394" xr:uid="{00000000-0005-0000-0000-00000C000000}"/>
    <cellStyle name="Normal 2 2 3 3 2 8 3" xfId="11314" xr:uid="{00000000-0005-0000-0000-00000C000000}"/>
    <cellStyle name="Normal 2 2 3 3 2 9" xfId="4173" xr:uid="{00000000-0005-0000-0000-00000C000000}"/>
    <cellStyle name="Normal 2 2 3 3 2 9 2" xfId="12334" xr:uid="{00000000-0005-0000-0000-00000C000000}"/>
    <cellStyle name="Normal 2 2 3 3 3" xfId="143" xr:uid="{00000000-0005-0000-0000-00000C000000}"/>
    <cellStyle name="Normal 2 2 3 3 3 2" xfId="347" xr:uid="{00000000-0005-0000-0000-00000C000000}"/>
    <cellStyle name="Normal 2 2 3 3 3 2 2" xfId="755" xr:uid="{00000000-0005-0000-0000-00000C000000}"/>
    <cellStyle name="Normal 2 2 3 3 3 2 2 2" xfId="2796" xr:uid="{00000000-0005-0000-0000-00000C000000}"/>
    <cellStyle name="Normal 2 2 3 3 3 2 2 2 2" xfId="6877" xr:uid="{00000000-0005-0000-0000-00000C000000}"/>
    <cellStyle name="Normal 2 2 3 3 3 2 2 2 2 2" xfId="15037" xr:uid="{00000000-0005-0000-0000-00000C000000}"/>
    <cellStyle name="Normal 2 2 3 3 3 2 2 2 3" xfId="10957" xr:uid="{00000000-0005-0000-0000-00000C000000}"/>
    <cellStyle name="Normal 2 2 3 3 3 2 2 3" xfId="1776" xr:uid="{00000000-0005-0000-0000-00000C000000}"/>
    <cellStyle name="Normal 2 2 3 3 3 2 2 3 2" xfId="5857" xr:uid="{00000000-0005-0000-0000-00000C000000}"/>
    <cellStyle name="Normal 2 2 3 3 3 2 2 3 2 2" xfId="14017" xr:uid="{00000000-0005-0000-0000-00000C000000}"/>
    <cellStyle name="Normal 2 2 3 3 3 2 2 3 3" xfId="9937" xr:uid="{00000000-0005-0000-0000-00000C000000}"/>
    <cellStyle name="Normal 2 2 3 3 3 2 2 4" xfId="3816" xr:uid="{00000000-0005-0000-0000-00000C000000}"/>
    <cellStyle name="Normal 2 2 3 3 3 2 2 4 2" xfId="7897" xr:uid="{00000000-0005-0000-0000-00000C000000}"/>
    <cellStyle name="Normal 2 2 3 3 3 2 2 4 2 2" xfId="16057" xr:uid="{00000000-0005-0000-0000-00000C000000}"/>
    <cellStyle name="Normal 2 2 3 3 3 2 2 4 3" xfId="11977" xr:uid="{00000000-0005-0000-0000-00000C000000}"/>
    <cellStyle name="Normal 2 2 3 3 3 2 2 5" xfId="4836" xr:uid="{00000000-0005-0000-0000-00000C000000}"/>
    <cellStyle name="Normal 2 2 3 3 3 2 2 5 2" xfId="12997" xr:uid="{00000000-0005-0000-0000-00000C000000}"/>
    <cellStyle name="Normal 2 2 3 3 3 2 2 6" xfId="8917" xr:uid="{00000000-0005-0000-0000-00000C000000}"/>
    <cellStyle name="Normal 2 2 3 3 3 2 3" xfId="2388" xr:uid="{00000000-0005-0000-0000-00000C000000}"/>
    <cellStyle name="Normal 2 2 3 3 3 2 3 2" xfId="6469" xr:uid="{00000000-0005-0000-0000-00000C000000}"/>
    <cellStyle name="Normal 2 2 3 3 3 2 3 2 2" xfId="14629" xr:uid="{00000000-0005-0000-0000-00000C000000}"/>
    <cellStyle name="Normal 2 2 3 3 3 2 3 3" xfId="10549" xr:uid="{00000000-0005-0000-0000-00000C000000}"/>
    <cellStyle name="Normal 2 2 3 3 3 2 4" xfId="1368" xr:uid="{00000000-0005-0000-0000-00000C000000}"/>
    <cellStyle name="Normal 2 2 3 3 3 2 4 2" xfId="5449" xr:uid="{00000000-0005-0000-0000-00000C000000}"/>
    <cellStyle name="Normal 2 2 3 3 3 2 4 2 2" xfId="13609" xr:uid="{00000000-0005-0000-0000-00000C000000}"/>
    <cellStyle name="Normal 2 2 3 3 3 2 4 3" xfId="9529" xr:uid="{00000000-0005-0000-0000-00000C000000}"/>
    <cellStyle name="Normal 2 2 3 3 3 2 5" xfId="3408" xr:uid="{00000000-0005-0000-0000-00000C000000}"/>
    <cellStyle name="Normal 2 2 3 3 3 2 5 2" xfId="7489" xr:uid="{00000000-0005-0000-0000-00000C000000}"/>
    <cellStyle name="Normal 2 2 3 3 3 2 5 2 2" xfId="15649" xr:uid="{00000000-0005-0000-0000-00000C000000}"/>
    <cellStyle name="Normal 2 2 3 3 3 2 5 3" xfId="11569" xr:uid="{00000000-0005-0000-0000-00000C000000}"/>
    <cellStyle name="Normal 2 2 3 3 3 2 6" xfId="4428" xr:uid="{00000000-0005-0000-0000-00000C000000}"/>
    <cellStyle name="Normal 2 2 3 3 3 2 6 2" xfId="12589" xr:uid="{00000000-0005-0000-0000-00000C000000}"/>
    <cellStyle name="Normal 2 2 3 3 3 2 7" xfId="8509" xr:uid="{00000000-0005-0000-0000-00000C000000}"/>
    <cellStyle name="Normal 2 2 3 3 3 3" xfId="959" xr:uid="{00000000-0005-0000-0000-00000C000000}"/>
    <cellStyle name="Normal 2 2 3 3 3 3 2" xfId="3000" xr:uid="{00000000-0005-0000-0000-00000C000000}"/>
    <cellStyle name="Normal 2 2 3 3 3 3 2 2" xfId="7081" xr:uid="{00000000-0005-0000-0000-00000C000000}"/>
    <cellStyle name="Normal 2 2 3 3 3 3 2 2 2" xfId="15241" xr:uid="{00000000-0005-0000-0000-00000C000000}"/>
    <cellStyle name="Normal 2 2 3 3 3 3 2 3" xfId="11161" xr:uid="{00000000-0005-0000-0000-00000C000000}"/>
    <cellStyle name="Normal 2 2 3 3 3 3 3" xfId="1980" xr:uid="{00000000-0005-0000-0000-00000C000000}"/>
    <cellStyle name="Normal 2 2 3 3 3 3 3 2" xfId="6061" xr:uid="{00000000-0005-0000-0000-00000C000000}"/>
    <cellStyle name="Normal 2 2 3 3 3 3 3 2 2" xfId="14221" xr:uid="{00000000-0005-0000-0000-00000C000000}"/>
    <cellStyle name="Normal 2 2 3 3 3 3 3 3" xfId="10141" xr:uid="{00000000-0005-0000-0000-00000C000000}"/>
    <cellStyle name="Normal 2 2 3 3 3 3 4" xfId="4020" xr:uid="{00000000-0005-0000-0000-00000C000000}"/>
    <cellStyle name="Normal 2 2 3 3 3 3 4 2" xfId="8101" xr:uid="{00000000-0005-0000-0000-00000C000000}"/>
    <cellStyle name="Normal 2 2 3 3 3 3 4 2 2" xfId="16261" xr:uid="{00000000-0005-0000-0000-00000C000000}"/>
    <cellStyle name="Normal 2 2 3 3 3 3 4 3" xfId="12181" xr:uid="{00000000-0005-0000-0000-00000C000000}"/>
    <cellStyle name="Normal 2 2 3 3 3 3 5" xfId="5040" xr:uid="{00000000-0005-0000-0000-00000C000000}"/>
    <cellStyle name="Normal 2 2 3 3 3 3 5 2" xfId="13201" xr:uid="{00000000-0005-0000-0000-00000C000000}"/>
    <cellStyle name="Normal 2 2 3 3 3 3 6" xfId="9121" xr:uid="{00000000-0005-0000-0000-00000C000000}"/>
    <cellStyle name="Normal 2 2 3 3 3 4" xfId="551" xr:uid="{00000000-0005-0000-0000-00000C000000}"/>
    <cellStyle name="Normal 2 2 3 3 3 4 2" xfId="2592" xr:uid="{00000000-0005-0000-0000-00000C000000}"/>
    <cellStyle name="Normal 2 2 3 3 3 4 2 2" xfId="6673" xr:uid="{00000000-0005-0000-0000-00000C000000}"/>
    <cellStyle name="Normal 2 2 3 3 3 4 2 2 2" xfId="14833" xr:uid="{00000000-0005-0000-0000-00000C000000}"/>
    <cellStyle name="Normal 2 2 3 3 3 4 2 3" xfId="10753" xr:uid="{00000000-0005-0000-0000-00000C000000}"/>
    <cellStyle name="Normal 2 2 3 3 3 4 3" xfId="1572" xr:uid="{00000000-0005-0000-0000-00000C000000}"/>
    <cellStyle name="Normal 2 2 3 3 3 4 3 2" xfId="5653" xr:uid="{00000000-0005-0000-0000-00000C000000}"/>
    <cellStyle name="Normal 2 2 3 3 3 4 3 2 2" xfId="13813" xr:uid="{00000000-0005-0000-0000-00000C000000}"/>
    <cellStyle name="Normal 2 2 3 3 3 4 3 3" xfId="9733" xr:uid="{00000000-0005-0000-0000-00000C000000}"/>
    <cellStyle name="Normal 2 2 3 3 3 4 4" xfId="3612" xr:uid="{00000000-0005-0000-0000-00000C000000}"/>
    <cellStyle name="Normal 2 2 3 3 3 4 4 2" xfId="7693" xr:uid="{00000000-0005-0000-0000-00000C000000}"/>
    <cellStyle name="Normal 2 2 3 3 3 4 4 2 2" xfId="15853" xr:uid="{00000000-0005-0000-0000-00000C000000}"/>
    <cellStyle name="Normal 2 2 3 3 3 4 4 3" xfId="11773" xr:uid="{00000000-0005-0000-0000-00000C000000}"/>
    <cellStyle name="Normal 2 2 3 3 3 4 5" xfId="4632" xr:uid="{00000000-0005-0000-0000-00000C000000}"/>
    <cellStyle name="Normal 2 2 3 3 3 4 5 2" xfId="12793" xr:uid="{00000000-0005-0000-0000-00000C000000}"/>
    <cellStyle name="Normal 2 2 3 3 3 4 6" xfId="8713" xr:uid="{00000000-0005-0000-0000-00000C000000}"/>
    <cellStyle name="Normal 2 2 3 3 3 5" xfId="2184" xr:uid="{00000000-0005-0000-0000-00000C000000}"/>
    <cellStyle name="Normal 2 2 3 3 3 5 2" xfId="6265" xr:uid="{00000000-0005-0000-0000-00000C000000}"/>
    <cellStyle name="Normal 2 2 3 3 3 5 2 2" xfId="14425" xr:uid="{00000000-0005-0000-0000-00000C000000}"/>
    <cellStyle name="Normal 2 2 3 3 3 5 3" xfId="10345" xr:uid="{00000000-0005-0000-0000-00000C000000}"/>
    <cellStyle name="Normal 2 2 3 3 3 6" xfId="1164" xr:uid="{00000000-0005-0000-0000-00000C000000}"/>
    <cellStyle name="Normal 2 2 3 3 3 6 2" xfId="5245" xr:uid="{00000000-0005-0000-0000-00000C000000}"/>
    <cellStyle name="Normal 2 2 3 3 3 6 2 2" xfId="13405" xr:uid="{00000000-0005-0000-0000-00000C000000}"/>
    <cellStyle name="Normal 2 2 3 3 3 6 3" xfId="9325" xr:uid="{00000000-0005-0000-0000-00000C000000}"/>
    <cellStyle name="Normal 2 2 3 3 3 7" xfId="3204" xr:uid="{00000000-0005-0000-0000-00000C000000}"/>
    <cellStyle name="Normal 2 2 3 3 3 7 2" xfId="7285" xr:uid="{00000000-0005-0000-0000-00000C000000}"/>
    <cellStyle name="Normal 2 2 3 3 3 7 2 2" xfId="15445" xr:uid="{00000000-0005-0000-0000-00000C000000}"/>
    <cellStyle name="Normal 2 2 3 3 3 7 3" xfId="11365" xr:uid="{00000000-0005-0000-0000-00000C000000}"/>
    <cellStyle name="Normal 2 2 3 3 3 8" xfId="4224" xr:uid="{00000000-0005-0000-0000-00000C000000}"/>
    <cellStyle name="Normal 2 2 3 3 3 8 2" xfId="12385" xr:uid="{00000000-0005-0000-0000-00000C000000}"/>
    <cellStyle name="Normal 2 2 3 3 3 9" xfId="8305" xr:uid="{00000000-0005-0000-0000-00000C000000}"/>
    <cellStyle name="Normal 2 2 3 3 4" xfId="245" xr:uid="{00000000-0005-0000-0000-00000C000000}"/>
    <cellStyle name="Normal 2 2 3 3 4 2" xfId="653" xr:uid="{00000000-0005-0000-0000-00000C000000}"/>
    <cellStyle name="Normal 2 2 3 3 4 2 2" xfId="2694" xr:uid="{00000000-0005-0000-0000-00000C000000}"/>
    <cellStyle name="Normal 2 2 3 3 4 2 2 2" xfId="6775" xr:uid="{00000000-0005-0000-0000-00000C000000}"/>
    <cellStyle name="Normal 2 2 3 3 4 2 2 2 2" xfId="14935" xr:uid="{00000000-0005-0000-0000-00000C000000}"/>
    <cellStyle name="Normal 2 2 3 3 4 2 2 3" xfId="10855" xr:uid="{00000000-0005-0000-0000-00000C000000}"/>
    <cellStyle name="Normal 2 2 3 3 4 2 3" xfId="1674" xr:uid="{00000000-0005-0000-0000-00000C000000}"/>
    <cellStyle name="Normal 2 2 3 3 4 2 3 2" xfId="5755" xr:uid="{00000000-0005-0000-0000-00000C000000}"/>
    <cellStyle name="Normal 2 2 3 3 4 2 3 2 2" xfId="13915" xr:uid="{00000000-0005-0000-0000-00000C000000}"/>
    <cellStyle name="Normal 2 2 3 3 4 2 3 3" xfId="9835" xr:uid="{00000000-0005-0000-0000-00000C000000}"/>
    <cellStyle name="Normal 2 2 3 3 4 2 4" xfId="3714" xr:uid="{00000000-0005-0000-0000-00000C000000}"/>
    <cellStyle name="Normal 2 2 3 3 4 2 4 2" xfId="7795" xr:uid="{00000000-0005-0000-0000-00000C000000}"/>
    <cellStyle name="Normal 2 2 3 3 4 2 4 2 2" xfId="15955" xr:uid="{00000000-0005-0000-0000-00000C000000}"/>
    <cellStyle name="Normal 2 2 3 3 4 2 4 3" xfId="11875" xr:uid="{00000000-0005-0000-0000-00000C000000}"/>
    <cellStyle name="Normal 2 2 3 3 4 2 5" xfId="4734" xr:uid="{00000000-0005-0000-0000-00000C000000}"/>
    <cellStyle name="Normal 2 2 3 3 4 2 5 2" xfId="12895" xr:uid="{00000000-0005-0000-0000-00000C000000}"/>
    <cellStyle name="Normal 2 2 3 3 4 2 6" xfId="8815" xr:uid="{00000000-0005-0000-0000-00000C000000}"/>
    <cellStyle name="Normal 2 2 3 3 4 3" xfId="2286" xr:uid="{00000000-0005-0000-0000-00000C000000}"/>
    <cellStyle name="Normal 2 2 3 3 4 3 2" xfId="6367" xr:uid="{00000000-0005-0000-0000-00000C000000}"/>
    <cellStyle name="Normal 2 2 3 3 4 3 2 2" xfId="14527" xr:uid="{00000000-0005-0000-0000-00000C000000}"/>
    <cellStyle name="Normal 2 2 3 3 4 3 3" xfId="10447" xr:uid="{00000000-0005-0000-0000-00000C000000}"/>
    <cellStyle name="Normal 2 2 3 3 4 4" xfId="1266" xr:uid="{00000000-0005-0000-0000-00000C000000}"/>
    <cellStyle name="Normal 2 2 3 3 4 4 2" xfId="5347" xr:uid="{00000000-0005-0000-0000-00000C000000}"/>
    <cellStyle name="Normal 2 2 3 3 4 4 2 2" xfId="13507" xr:uid="{00000000-0005-0000-0000-00000C000000}"/>
    <cellStyle name="Normal 2 2 3 3 4 4 3" xfId="9427" xr:uid="{00000000-0005-0000-0000-00000C000000}"/>
    <cellStyle name="Normal 2 2 3 3 4 5" xfId="3306" xr:uid="{00000000-0005-0000-0000-00000C000000}"/>
    <cellStyle name="Normal 2 2 3 3 4 5 2" xfId="7387" xr:uid="{00000000-0005-0000-0000-00000C000000}"/>
    <cellStyle name="Normal 2 2 3 3 4 5 2 2" xfId="15547" xr:uid="{00000000-0005-0000-0000-00000C000000}"/>
    <cellStyle name="Normal 2 2 3 3 4 5 3" xfId="11467" xr:uid="{00000000-0005-0000-0000-00000C000000}"/>
    <cellStyle name="Normal 2 2 3 3 4 6" xfId="4326" xr:uid="{00000000-0005-0000-0000-00000C000000}"/>
    <cellStyle name="Normal 2 2 3 3 4 6 2" xfId="12487" xr:uid="{00000000-0005-0000-0000-00000C000000}"/>
    <cellStyle name="Normal 2 2 3 3 4 7" xfId="8407" xr:uid="{00000000-0005-0000-0000-00000C000000}"/>
    <cellStyle name="Normal 2 2 3 3 5" xfId="857" xr:uid="{00000000-0005-0000-0000-00000C000000}"/>
    <cellStyle name="Normal 2 2 3 3 5 2" xfId="2898" xr:uid="{00000000-0005-0000-0000-00000C000000}"/>
    <cellStyle name="Normal 2 2 3 3 5 2 2" xfId="6979" xr:uid="{00000000-0005-0000-0000-00000C000000}"/>
    <cellStyle name="Normal 2 2 3 3 5 2 2 2" xfId="15139" xr:uid="{00000000-0005-0000-0000-00000C000000}"/>
    <cellStyle name="Normal 2 2 3 3 5 2 3" xfId="11059" xr:uid="{00000000-0005-0000-0000-00000C000000}"/>
    <cellStyle name="Normal 2 2 3 3 5 3" xfId="1878" xr:uid="{00000000-0005-0000-0000-00000C000000}"/>
    <cellStyle name="Normal 2 2 3 3 5 3 2" xfId="5959" xr:uid="{00000000-0005-0000-0000-00000C000000}"/>
    <cellStyle name="Normal 2 2 3 3 5 3 2 2" xfId="14119" xr:uid="{00000000-0005-0000-0000-00000C000000}"/>
    <cellStyle name="Normal 2 2 3 3 5 3 3" xfId="10039" xr:uid="{00000000-0005-0000-0000-00000C000000}"/>
    <cellStyle name="Normal 2 2 3 3 5 4" xfId="3918" xr:uid="{00000000-0005-0000-0000-00000C000000}"/>
    <cellStyle name="Normal 2 2 3 3 5 4 2" xfId="7999" xr:uid="{00000000-0005-0000-0000-00000C000000}"/>
    <cellStyle name="Normal 2 2 3 3 5 4 2 2" xfId="16159" xr:uid="{00000000-0005-0000-0000-00000C000000}"/>
    <cellStyle name="Normal 2 2 3 3 5 4 3" xfId="12079" xr:uid="{00000000-0005-0000-0000-00000C000000}"/>
    <cellStyle name="Normal 2 2 3 3 5 5" xfId="4938" xr:uid="{00000000-0005-0000-0000-00000C000000}"/>
    <cellStyle name="Normal 2 2 3 3 5 5 2" xfId="13099" xr:uid="{00000000-0005-0000-0000-00000C000000}"/>
    <cellStyle name="Normal 2 2 3 3 5 6" xfId="9019" xr:uid="{00000000-0005-0000-0000-00000C000000}"/>
    <cellStyle name="Normal 2 2 3 3 6" xfId="449" xr:uid="{00000000-0005-0000-0000-00000C000000}"/>
    <cellStyle name="Normal 2 2 3 3 6 2" xfId="2490" xr:uid="{00000000-0005-0000-0000-00000C000000}"/>
    <cellStyle name="Normal 2 2 3 3 6 2 2" xfId="6571" xr:uid="{00000000-0005-0000-0000-00000C000000}"/>
    <cellStyle name="Normal 2 2 3 3 6 2 2 2" xfId="14731" xr:uid="{00000000-0005-0000-0000-00000C000000}"/>
    <cellStyle name="Normal 2 2 3 3 6 2 3" xfId="10651" xr:uid="{00000000-0005-0000-0000-00000C000000}"/>
    <cellStyle name="Normal 2 2 3 3 6 3" xfId="1470" xr:uid="{00000000-0005-0000-0000-00000C000000}"/>
    <cellStyle name="Normal 2 2 3 3 6 3 2" xfId="5551" xr:uid="{00000000-0005-0000-0000-00000C000000}"/>
    <cellStyle name="Normal 2 2 3 3 6 3 2 2" xfId="13711" xr:uid="{00000000-0005-0000-0000-00000C000000}"/>
    <cellStyle name="Normal 2 2 3 3 6 3 3" xfId="9631" xr:uid="{00000000-0005-0000-0000-00000C000000}"/>
    <cellStyle name="Normal 2 2 3 3 6 4" xfId="3510" xr:uid="{00000000-0005-0000-0000-00000C000000}"/>
    <cellStyle name="Normal 2 2 3 3 6 4 2" xfId="7591" xr:uid="{00000000-0005-0000-0000-00000C000000}"/>
    <cellStyle name="Normal 2 2 3 3 6 4 2 2" xfId="15751" xr:uid="{00000000-0005-0000-0000-00000C000000}"/>
    <cellStyle name="Normal 2 2 3 3 6 4 3" xfId="11671" xr:uid="{00000000-0005-0000-0000-00000C000000}"/>
    <cellStyle name="Normal 2 2 3 3 6 5" xfId="4530" xr:uid="{00000000-0005-0000-0000-00000C000000}"/>
    <cellStyle name="Normal 2 2 3 3 6 5 2" xfId="12691" xr:uid="{00000000-0005-0000-0000-00000C000000}"/>
    <cellStyle name="Normal 2 2 3 3 6 6" xfId="8611" xr:uid="{00000000-0005-0000-0000-00000C000000}"/>
    <cellStyle name="Normal 2 2 3 3 7" xfId="2082" xr:uid="{00000000-0005-0000-0000-00000C000000}"/>
    <cellStyle name="Normal 2 2 3 3 7 2" xfId="6163" xr:uid="{00000000-0005-0000-0000-00000C000000}"/>
    <cellStyle name="Normal 2 2 3 3 7 2 2" xfId="14323" xr:uid="{00000000-0005-0000-0000-00000C000000}"/>
    <cellStyle name="Normal 2 2 3 3 7 3" xfId="10243" xr:uid="{00000000-0005-0000-0000-00000C000000}"/>
    <cellStyle name="Normal 2 2 3 3 8" xfId="1062" xr:uid="{00000000-0005-0000-0000-00000C000000}"/>
    <cellStyle name="Normal 2 2 3 3 8 2" xfId="5143" xr:uid="{00000000-0005-0000-0000-00000C000000}"/>
    <cellStyle name="Normal 2 2 3 3 8 2 2" xfId="13303" xr:uid="{00000000-0005-0000-0000-00000C000000}"/>
    <cellStyle name="Normal 2 2 3 3 8 3" xfId="9223" xr:uid="{00000000-0005-0000-0000-00000C000000}"/>
    <cellStyle name="Normal 2 2 3 3 9" xfId="3102" xr:uid="{00000000-0005-0000-0000-00000C000000}"/>
    <cellStyle name="Normal 2 2 3 3 9 2" xfId="7183" xr:uid="{00000000-0005-0000-0000-00000C000000}"/>
    <cellStyle name="Normal 2 2 3 3 9 2 2" xfId="15343" xr:uid="{00000000-0005-0000-0000-00000C000000}"/>
    <cellStyle name="Normal 2 2 3 3 9 3" xfId="11263" xr:uid="{00000000-0005-0000-0000-00000C000000}"/>
    <cellStyle name="Normal 2 2 3 4" xfId="67" xr:uid="{00000000-0005-0000-0000-00000A000000}"/>
    <cellStyle name="Normal 2 2 3 4 10" xfId="8229" xr:uid="{00000000-0005-0000-0000-00000A000000}"/>
    <cellStyle name="Normal 2 2 3 4 2" xfId="169" xr:uid="{00000000-0005-0000-0000-00000A000000}"/>
    <cellStyle name="Normal 2 2 3 4 2 2" xfId="373" xr:uid="{00000000-0005-0000-0000-00000A000000}"/>
    <cellStyle name="Normal 2 2 3 4 2 2 2" xfId="781" xr:uid="{00000000-0005-0000-0000-00000A000000}"/>
    <cellStyle name="Normal 2 2 3 4 2 2 2 2" xfId="2822" xr:uid="{00000000-0005-0000-0000-00000A000000}"/>
    <cellStyle name="Normal 2 2 3 4 2 2 2 2 2" xfId="6903" xr:uid="{00000000-0005-0000-0000-00000A000000}"/>
    <cellStyle name="Normal 2 2 3 4 2 2 2 2 2 2" xfId="15063" xr:uid="{00000000-0005-0000-0000-00000A000000}"/>
    <cellStyle name="Normal 2 2 3 4 2 2 2 2 3" xfId="10983" xr:uid="{00000000-0005-0000-0000-00000A000000}"/>
    <cellStyle name="Normal 2 2 3 4 2 2 2 3" xfId="1802" xr:uid="{00000000-0005-0000-0000-00000A000000}"/>
    <cellStyle name="Normal 2 2 3 4 2 2 2 3 2" xfId="5883" xr:uid="{00000000-0005-0000-0000-00000A000000}"/>
    <cellStyle name="Normal 2 2 3 4 2 2 2 3 2 2" xfId="14043" xr:uid="{00000000-0005-0000-0000-00000A000000}"/>
    <cellStyle name="Normal 2 2 3 4 2 2 2 3 3" xfId="9963" xr:uid="{00000000-0005-0000-0000-00000A000000}"/>
    <cellStyle name="Normal 2 2 3 4 2 2 2 4" xfId="3842" xr:uid="{00000000-0005-0000-0000-00000A000000}"/>
    <cellStyle name="Normal 2 2 3 4 2 2 2 4 2" xfId="7923" xr:uid="{00000000-0005-0000-0000-00000A000000}"/>
    <cellStyle name="Normal 2 2 3 4 2 2 2 4 2 2" xfId="16083" xr:uid="{00000000-0005-0000-0000-00000A000000}"/>
    <cellStyle name="Normal 2 2 3 4 2 2 2 4 3" xfId="12003" xr:uid="{00000000-0005-0000-0000-00000A000000}"/>
    <cellStyle name="Normal 2 2 3 4 2 2 2 5" xfId="4862" xr:uid="{00000000-0005-0000-0000-00000A000000}"/>
    <cellStyle name="Normal 2 2 3 4 2 2 2 5 2" xfId="13023" xr:uid="{00000000-0005-0000-0000-00000A000000}"/>
    <cellStyle name="Normal 2 2 3 4 2 2 2 6" xfId="8943" xr:uid="{00000000-0005-0000-0000-00000A000000}"/>
    <cellStyle name="Normal 2 2 3 4 2 2 3" xfId="2414" xr:uid="{00000000-0005-0000-0000-00000A000000}"/>
    <cellStyle name="Normal 2 2 3 4 2 2 3 2" xfId="6495" xr:uid="{00000000-0005-0000-0000-00000A000000}"/>
    <cellStyle name="Normal 2 2 3 4 2 2 3 2 2" xfId="14655" xr:uid="{00000000-0005-0000-0000-00000A000000}"/>
    <cellStyle name="Normal 2 2 3 4 2 2 3 3" xfId="10575" xr:uid="{00000000-0005-0000-0000-00000A000000}"/>
    <cellStyle name="Normal 2 2 3 4 2 2 4" xfId="1394" xr:uid="{00000000-0005-0000-0000-00000A000000}"/>
    <cellStyle name="Normal 2 2 3 4 2 2 4 2" xfId="5475" xr:uid="{00000000-0005-0000-0000-00000A000000}"/>
    <cellStyle name="Normal 2 2 3 4 2 2 4 2 2" xfId="13635" xr:uid="{00000000-0005-0000-0000-00000A000000}"/>
    <cellStyle name="Normal 2 2 3 4 2 2 4 3" xfId="9555" xr:uid="{00000000-0005-0000-0000-00000A000000}"/>
    <cellStyle name="Normal 2 2 3 4 2 2 5" xfId="3434" xr:uid="{00000000-0005-0000-0000-00000A000000}"/>
    <cellStyle name="Normal 2 2 3 4 2 2 5 2" xfId="7515" xr:uid="{00000000-0005-0000-0000-00000A000000}"/>
    <cellStyle name="Normal 2 2 3 4 2 2 5 2 2" xfId="15675" xr:uid="{00000000-0005-0000-0000-00000A000000}"/>
    <cellStyle name="Normal 2 2 3 4 2 2 5 3" xfId="11595" xr:uid="{00000000-0005-0000-0000-00000A000000}"/>
    <cellStyle name="Normal 2 2 3 4 2 2 6" xfId="4454" xr:uid="{00000000-0005-0000-0000-00000A000000}"/>
    <cellStyle name="Normal 2 2 3 4 2 2 6 2" xfId="12615" xr:uid="{00000000-0005-0000-0000-00000A000000}"/>
    <cellStyle name="Normal 2 2 3 4 2 2 7" xfId="8535" xr:uid="{00000000-0005-0000-0000-00000A000000}"/>
    <cellStyle name="Normal 2 2 3 4 2 3" xfId="985" xr:uid="{00000000-0005-0000-0000-00000A000000}"/>
    <cellStyle name="Normal 2 2 3 4 2 3 2" xfId="3026" xr:uid="{00000000-0005-0000-0000-00000A000000}"/>
    <cellStyle name="Normal 2 2 3 4 2 3 2 2" xfId="7107" xr:uid="{00000000-0005-0000-0000-00000A000000}"/>
    <cellStyle name="Normal 2 2 3 4 2 3 2 2 2" xfId="15267" xr:uid="{00000000-0005-0000-0000-00000A000000}"/>
    <cellStyle name="Normal 2 2 3 4 2 3 2 3" xfId="11187" xr:uid="{00000000-0005-0000-0000-00000A000000}"/>
    <cellStyle name="Normal 2 2 3 4 2 3 3" xfId="2006" xr:uid="{00000000-0005-0000-0000-00000A000000}"/>
    <cellStyle name="Normal 2 2 3 4 2 3 3 2" xfId="6087" xr:uid="{00000000-0005-0000-0000-00000A000000}"/>
    <cellStyle name="Normal 2 2 3 4 2 3 3 2 2" xfId="14247" xr:uid="{00000000-0005-0000-0000-00000A000000}"/>
    <cellStyle name="Normal 2 2 3 4 2 3 3 3" xfId="10167" xr:uid="{00000000-0005-0000-0000-00000A000000}"/>
    <cellStyle name="Normal 2 2 3 4 2 3 4" xfId="4046" xr:uid="{00000000-0005-0000-0000-00000A000000}"/>
    <cellStyle name="Normal 2 2 3 4 2 3 4 2" xfId="8127" xr:uid="{00000000-0005-0000-0000-00000A000000}"/>
    <cellStyle name="Normal 2 2 3 4 2 3 4 2 2" xfId="16287" xr:uid="{00000000-0005-0000-0000-00000A000000}"/>
    <cellStyle name="Normal 2 2 3 4 2 3 4 3" xfId="12207" xr:uid="{00000000-0005-0000-0000-00000A000000}"/>
    <cellStyle name="Normal 2 2 3 4 2 3 5" xfId="5066" xr:uid="{00000000-0005-0000-0000-00000A000000}"/>
    <cellStyle name="Normal 2 2 3 4 2 3 5 2" xfId="13227" xr:uid="{00000000-0005-0000-0000-00000A000000}"/>
    <cellStyle name="Normal 2 2 3 4 2 3 6" xfId="9147" xr:uid="{00000000-0005-0000-0000-00000A000000}"/>
    <cellStyle name="Normal 2 2 3 4 2 4" xfId="577" xr:uid="{00000000-0005-0000-0000-00000A000000}"/>
    <cellStyle name="Normal 2 2 3 4 2 4 2" xfId="2618" xr:uid="{00000000-0005-0000-0000-00000A000000}"/>
    <cellStyle name="Normal 2 2 3 4 2 4 2 2" xfId="6699" xr:uid="{00000000-0005-0000-0000-00000A000000}"/>
    <cellStyle name="Normal 2 2 3 4 2 4 2 2 2" xfId="14859" xr:uid="{00000000-0005-0000-0000-00000A000000}"/>
    <cellStyle name="Normal 2 2 3 4 2 4 2 3" xfId="10779" xr:uid="{00000000-0005-0000-0000-00000A000000}"/>
    <cellStyle name="Normal 2 2 3 4 2 4 3" xfId="1598" xr:uid="{00000000-0005-0000-0000-00000A000000}"/>
    <cellStyle name="Normal 2 2 3 4 2 4 3 2" xfId="5679" xr:uid="{00000000-0005-0000-0000-00000A000000}"/>
    <cellStyle name="Normal 2 2 3 4 2 4 3 2 2" xfId="13839" xr:uid="{00000000-0005-0000-0000-00000A000000}"/>
    <cellStyle name="Normal 2 2 3 4 2 4 3 3" xfId="9759" xr:uid="{00000000-0005-0000-0000-00000A000000}"/>
    <cellStyle name="Normal 2 2 3 4 2 4 4" xfId="3638" xr:uid="{00000000-0005-0000-0000-00000A000000}"/>
    <cellStyle name="Normal 2 2 3 4 2 4 4 2" xfId="7719" xr:uid="{00000000-0005-0000-0000-00000A000000}"/>
    <cellStyle name="Normal 2 2 3 4 2 4 4 2 2" xfId="15879" xr:uid="{00000000-0005-0000-0000-00000A000000}"/>
    <cellStyle name="Normal 2 2 3 4 2 4 4 3" xfId="11799" xr:uid="{00000000-0005-0000-0000-00000A000000}"/>
    <cellStyle name="Normal 2 2 3 4 2 4 5" xfId="4658" xr:uid="{00000000-0005-0000-0000-00000A000000}"/>
    <cellStyle name="Normal 2 2 3 4 2 4 5 2" xfId="12819" xr:uid="{00000000-0005-0000-0000-00000A000000}"/>
    <cellStyle name="Normal 2 2 3 4 2 4 6" xfId="8739" xr:uid="{00000000-0005-0000-0000-00000A000000}"/>
    <cellStyle name="Normal 2 2 3 4 2 5" xfId="2210" xr:uid="{00000000-0005-0000-0000-00000A000000}"/>
    <cellStyle name="Normal 2 2 3 4 2 5 2" xfId="6291" xr:uid="{00000000-0005-0000-0000-00000A000000}"/>
    <cellStyle name="Normal 2 2 3 4 2 5 2 2" xfId="14451" xr:uid="{00000000-0005-0000-0000-00000A000000}"/>
    <cellStyle name="Normal 2 2 3 4 2 5 3" xfId="10371" xr:uid="{00000000-0005-0000-0000-00000A000000}"/>
    <cellStyle name="Normal 2 2 3 4 2 6" xfId="1190" xr:uid="{00000000-0005-0000-0000-00000A000000}"/>
    <cellStyle name="Normal 2 2 3 4 2 6 2" xfId="5271" xr:uid="{00000000-0005-0000-0000-00000A000000}"/>
    <cellStyle name="Normal 2 2 3 4 2 6 2 2" xfId="13431" xr:uid="{00000000-0005-0000-0000-00000A000000}"/>
    <cellStyle name="Normal 2 2 3 4 2 6 3" xfId="9351" xr:uid="{00000000-0005-0000-0000-00000A000000}"/>
    <cellStyle name="Normal 2 2 3 4 2 7" xfId="3230" xr:uid="{00000000-0005-0000-0000-00000A000000}"/>
    <cellStyle name="Normal 2 2 3 4 2 7 2" xfId="7311" xr:uid="{00000000-0005-0000-0000-00000A000000}"/>
    <cellStyle name="Normal 2 2 3 4 2 7 2 2" xfId="15471" xr:uid="{00000000-0005-0000-0000-00000A000000}"/>
    <cellStyle name="Normal 2 2 3 4 2 7 3" xfId="11391" xr:uid="{00000000-0005-0000-0000-00000A000000}"/>
    <cellStyle name="Normal 2 2 3 4 2 8" xfId="4250" xr:uid="{00000000-0005-0000-0000-00000A000000}"/>
    <cellStyle name="Normal 2 2 3 4 2 8 2" xfId="12411" xr:uid="{00000000-0005-0000-0000-00000A000000}"/>
    <cellStyle name="Normal 2 2 3 4 2 9" xfId="8331" xr:uid="{00000000-0005-0000-0000-00000A000000}"/>
    <cellStyle name="Normal 2 2 3 4 3" xfId="271" xr:uid="{00000000-0005-0000-0000-00000A000000}"/>
    <cellStyle name="Normal 2 2 3 4 3 2" xfId="679" xr:uid="{00000000-0005-0000-0000-00000A000000}"/>
    <cellStyle name="Normal 2 2 3 4 3 2 2" xfId="2720" xr:uid="{00000000-0005-0000-0000-00000A000000}"/>
    <cellStyle name="Normal 2 2 3 4 3 2 2 2" xfId="6801" xr:uid="{00000000-0005-0000-0000-00000A000000}"/>
    <cellStyle name="Normal 2 2 3 4 3 2 2 2 2" xfId="14961" xr:uid="{00000000-0005-0000-0000-00000A000000}"/>
    <cellStyle name="Normal 2 2 3 4 3 2 2 3" xfId="10881" xr:uid="{00000000-0005-0000-0000-00000A000000}"/>
    <cellStyle name="Normal 2 2 3 4 3 2 3" xfId="1700" xr:uid="{00000000-0005-0000-0000-00000A000000}"/>
    <cellStyle name="Normal 2 2 3 4 3 2 3 2" xfId="5781" xr:uid="{00000000-0005-0000-0000-00000A000000}"/>
    <cellStyle name="Normal 2 2 3 4 3 2 3 2 2" xfId="13941" xr:uid="{00000000-0005-0000-0000-00000A000000}"/>
    <cellStyle name="Normal 2 2 3 4 3 2 3 3" xfId="9861" xr:uid="{00000000-0005-0000-0000-00000A000000}"/>
    <cellStyle name="Normal 2 2 3 4 3 2 4" xfId="3740" xr:uid="{00000000-0005-0000-0000-00000A000000}"/>
    <cellStyle name="Normal 2 2 3 4 3 2 4 2" xfId="7821" xr:uid="{00000000-0005-0000-0000-00000A000000}"/>
    <cellStyle name="Normal 2 2 3 4 3 2 4 2 2" xfId="15981" xr:uid="{00000000-0005-0000-0000-00000A000000}"/>
    <cellStyle name="Normal 2 2 3 4 3 2 4 3" xfId="11901" xr:uid="{00000000-0005-0000-0000-00000A000000}"/>
    <cellStyle name="Normal 2 2 3 4 3 2 5" xfId="4760" xr:uid="{00000000-0005-0000-0000-00000A000000}"/>
    <cellStyle name="Normal 2 2 3 4 3 2 5 2" xfId="12921" xr:uid="{00000000-0005-0000-0000-00000A000000}"/>
    <cellStyle name="Normal 2 2 3 4 3 2 6" xfId="8841" xr:uid="{00000000-0005-0000-0000-00000A000000}"/>
    <cellStyle name="Normal 2 2 3 4 3 3" xfId="2312" xr:uid="{00000000-0005-0000-0000-00000A000000}"/>
    <cellStyle name="Normal 2 2 3 4 3 3 2" xfId="6393" xr:uid="{00000000-0005-0000-0000-00000A000000}"/>
    <cellStyle name="Normal 2 2 3 4 3 3 2 2" xfId="14553" xr:uid="{00000000-0005-0000-0000-00000A000000}"/>
    <cellStyle name="Normal 2 2 3 4 3 3 3" xfId="10473" xr:uid="{00000000-0005-0000-0000-00000A000000}"/>
    <cellStyle name="Normal 2 2 3 4 3 4" xfId="1292" xr:uid="{00000000-0005-0000-0000-00000A000000}"/>
    <cellStyle name="Normal 2 2 3 4 3 4 2" xfId="5373" xr:uid="{00000000-0005-0000-0000-00000A000000}"/>
    <cellStyle name="Normal 2 2 3 4 3 4 2 2" xfId="13533" xr:uid="{00000000-0005-0000-0000-00000A000000}"/>
    <cellStyle name="Normal 2 2 3 4 3 4 3" xfId="9453" xr:uid="{00000000-0005-0000-0000-00000A000000}"/>
    <cellStyle name="Normal 2 2 3 4 3 5" xfId="3332" xr:uid="{00000000-0005-0000-0000-00000A000000}"/>
    <cellStyle name="Normal 2 2 3 4 3 5 2" xfId="7413" xr:uid="{00000000-0005-0000-0000-00000A000000}"/>
    <cellStyle name="Normal 2 2 3 4 3 5 2 2" xfId="15573" xr:uid="{00000000-0005-0000-0000-00000A000000}"/>
    <cellStyle name="Normal 2 2 3 4 3 5 3" xfId="11493" xr:uid="{00000000-0005-0000-0000-00000A000000}"/>
    <cellStyle name="Normal 2 2 3 4 3 6" xfId="4352" xr:uid="{00000000-0005-0000-0000-00000A000000}"/>
    <cellStyle name="Normal 2 2 3 4 3 6 2" xfId="12513" xr:uid="{00000000-0005-0000-0000-00000A000000}"/>
    <cellStyle name="Normal 2 2 3 4 3 7" xfId="8433" xr:uid="{00000000-0005-0000-0000-00000A000000}"/>
    <cellStyle name="Normal 2 2 3 4 4" xfId="883" xr:uid="{00000000-0005-0000-0000-00000A000000}"/>
    <cellStyle name="Normal 2 2 3 4 4 2" xfId="2924" xr:uid="{00000000-0005-0000-0000-00000A000000}"/>
    <cellStyle name="Normal 2 2 3 4 4 2 2" xfId="7005" xr:uid="{00000000-0005-0000-0000-00000A000000}"/>
    <cellStyle name="Normal 2 2 3 4 4 2 2 2" xfId="15165" xr:uid="{00000000-0005-0000-0000-00000A000000}"/>
    <cellStyle name="Normal 2 2 3 4 4 2 3" xfId="11085" xr:uid="{00000000-0005-0000-0000-00000A000000}"/>
    <cellStyle name="Normal 2 2 3 4 4 3" xfId="1904" xr:uid="{00000000-0005-0000-0000-00000A000000}"/>
    <cellStyle name="Normal 2 2 3 4 4 3 2" xfId="5985" xr:uid="{00000000-0005-0000-0000-00000A000000}"/>
    <cellStyle name="Normal 2 2 3 4 4 3 2 2" xfId="14145" xr:uid="{00000000-0005-0000-0000-00000A000000}"/>
    <cellStyle name="Normal 2 2 3 4 4 3 3" xfId="10065" xr:uid="{00000000-0005-0000-0000-00000A000000}"/>
    <cellStyle name="Normal 2 2 3 4 4 4" xfId="3944" xr:uid="{00000000-0005-0000-0000-00000A000000}"/>
    <cellStyle name="Normal 2 2 3 4 4 4 2" xfId="8025" xr:uid="{00000000-0005-0000-0000-00000A000000}"/>
    <cellStyle name="Normal 2 2 3 4 4 4 2 2" xfId="16185" xr:uid="{00000000-0005-0000-0000-00000A000000}"/>
    <cellStyle name="Normal 2 2 3 4 4 4 3" xfId="12105" xr:uid="{00000000-0005-0000-0000-00000A000000}"/>
    <cellStyle name="Normal 2 2 3 4 4 5" xfId="4964" xr:uid="{00000000-0005-0000-0000-00000A000000}"/>
    <cellStyle name="Normal 2 2 3 4 4 5 2" xfId="13125" xr:uid="{00000000-0005-0000-0000-00000A000000}"/>
    <cellStyle name="Normal 2 2 3 4 4 6" xfId="9045" xr:uid="{00000000-0005-0000-0000-00000A000000}"/>
    <cellStyle name="Normal 2 2 3 4 5" xfId="475" xr:uid="{00000000-0005-0000-0000-00000A000000}"/>
    <cellStyle name="Normal 2 2 3 4 5 2" xfId="2516" xr:uid="{00000000-0005-0000-0000-00000A000000}"/>
    <cellStyle name="Normal 2 2 3 4 5 2 2" xfId="6597" xr:uid="{00000000-0005-0000-0000-00000A000000}"/>
    <cellStyle name="Normal 2 2 3 4 5 2 2 2" xfId="14757" xr:uid="{00000000-0005-0000-0000-00000A000000}"/>
    <cellStyle name="Normal 2 2 3 4 5 2 3" xfId="10677" xr:uid="{00000000-0005-0000-0000-00000A000000}"/>
    <cellStyle name="Normal 2 2 3 4 5 3" xfId="1496" xr:uid="{00000000-0005-0000-0000-00000A000000}"/>
    <cellStyle name="Normal 2 2 3 4 5 3 2" xfId="5577" xr:uid="{00000000-0005-0000-0000-00000A000000}"/>
    <cellStyle name="Normal 2 2 3 4 5 3 2 2" xfId="13737" xr:uid="{00000000-0005-0000-0000-00000A000000}"/>
    <cellStyle name="Normal 2 2 3 4 5 3 3" xfId="9657" xr:uid="{00000000-0005-0000-0000-00000A000000}"/>
    <cellStyle name="Normal 2 2 3 4 5 4" xfId="3536" xr:uid="{00000000-0005-0000-0000-00000A000000}"/>
    <cellStyle name="Normal 2 2 3 4 5 4 2" xfId="7617" xr:uid="{00000000-0005-0000-0000-00000A000000}"/>
    <cellStyle name="Normal 2 2 3 4 5 4 2 2" xfId="15777" xr:uid="{00000000-0005-0000-0000-00000A000000}"/>
    <cellStyle name="Normal 2 2 3 4 5 4 3" xfId="11697" xr:uid="{00000000-0005-0000-0000-00000A000000}"/>
    <cellStyle name="Normal 2 2 3 4 5 5" xfId="4556" xr:uid="{00000000-0005-0000-0000-00000A000000}"/>
    <cellStyle name="Normal 2 2 3 4 5 5 2" xfId="12717" xr:uid="{00000000-0005-0000-0000-00000A000000}"/>
    <cellStyle name="Normal 2 2 3 4 5 6" xfId="8637" xr:uid="{00000000-0005-0000-0000-00000A000000}"/>
    <cellStyle name="Normal 2 2 3 4 6" xfId="2108" xr:uid="{00000000-0005-0000-0000-00000A000000}"/>
    <cellStyle name="Normal 2 2 3 4 6 2" xfId="6189" xr:uid="{00000000-0005-0000-0000-00000A000000}"/>
    <cellStyle name="Normal 2 2 3 4 6 2 2" xfId="14349" xr:uid="{00000000-0005-0000-0000-00000A000000}"/>
    <cellStyle name="Normal 2 2 3 4 6 3" xfId="10269" xr:uid="{00000000-0005-0000-0000-00000A000000}"/>
    <cellStyle name="Normal 2 2 3 4 7" xfId="1088" xr:uid="{00000000-0005-0000-0000-00000A000000}"/>
    <cellStyle name="Normal 2 2 3 4 7 2" xfId="5169" xr:uid="{00000000-0005-0000-0000-00000A000000}"/>
    <cellStyle name="Normal 2 2 3 4 7 2 2" xfId="13329" xr:uid="{00000000-0005-0000-0000-00000A000000}"/>
    <cellStyle name="Normal 2 2 3 4 7 3" xfId="9249" xr:uid="{00000000-0005-0000-0000-00000A000000}"/>
    <cellStyle name="Normal 2 2 3 4 8" xfId="3128" xr:uid="{00000000-0005-0000-0000-00000A000000}"/>
    <cellStyle name="Normal 2 2 3 4 8 2" xfId="7209" xr:uid="{00000000-0005-0000-0000-00000A000000}"/>
    <cellStyle name="Normal 2 2 3 4 8 2 2" xfId="15369" xr:uid="{00000000-0005-0000-0000-00000A000000}"/>
    <cellStyle name="Normal 2 2 3 4 8 3" xfId="11289" xr:uid="{00000000-0005-0000-0000-00000A000000}"/>
    <cellStyle name="Normal 2 2 3 4 9" xfId="4148" xr:uid="{00000000-0005-0000-0000-00000A000000}"/>
    <cellStyle name="Normal 2 2 3 4 9 2" xfId="12309" xr:uid="{00000000-0005-0000-0000-00000A000000}"/>
    <cellStyle name="Normal 2 2 3 5" xfId="118" xr:uid="{00000000-0005-0000-0000-00000A000000}"/>
    <cellStyle name="Normal 2 2 3 5 2" xfId="322" xr:uid="{00000000-0005-0000-0000-00000A000000}"/>
    <cellStyle name="Normal 2 2 3 5 2 2" xfId="730" xr:uid="{00000000-0005-0000-0000-00000A000000}"/>
    <cellStyle name="Normal 2 2 3 5 2 2 2" xfId="2771" xr:uid="{00000000-0005-0000-0000-00000A000000}"/>
    <cellStyle name="Normal 2 2 3 5 2 2 2 2" xfId="6852" xr:uid="{00000000-0005-0000-0000-00000A000000}"/>
    <cellStyle name="Normal 2 2 3 5 2 2 2 2 2" xfId="15012" xr:uid="{00000000-0005-0000-0000-00000A000000}"/>
    <cellStyle name="Normal 2 2 3 5 2 2 2 3" xfId="10932" xr:uid="{00000000-0005-0000-0000-00000A000000}"/>
    <cellStyle name="Normal 2 2 3 5 2 2 3" xfId="1751" xr:uid="{00000000-0005-0000-0000-00000A000000}"/>
    <cellStyle name="Normal 2 2 3 5 2 2 3 2" xfId="5832" xr:uid="{00000000-0005-0000-0000-00000A000000}"/>
    <cellStyle name="Normal 2 2 3 5 2 2 3 2 2" xfId="13992" xr:uid="{00000000-0005-0000-0000-00000A000000}"/>
    <cellStyle name="Normal 2 2 3 5 2 2 3 3" xfId="9912" xr:uid="{00000000-0005-0000-0000-00000A000000}"/>
    <cellStyle name="Normal 2 2 3 5 2 2 4" xfId="3791" xr:uid="{00000000-0005-0000-0000-00000A000000}"/>
    <cellStyle name="Normal 2 2 3 5 2 2 4 2" xfId="7872" xr:uid="{00000000-0005-0000-0000-00000A000000}"/>
    <cellStyle name="Normal 2 2 3 5 2 2 4 2 2" xfId="16032" xr:uid="{00000000-0005-0000-0000-00000A000000}"/>
    <cellStyle name="Normal 2 2 3 5 2 2 4 3" xfId="11952" xr:uid="{00000000-0005-0000-0000-00000A000000}"/>
    <cellStyle name="Normal 2 2 3 5 2 2 5" xfId="4811" xr:uid="{00000000-0005-0000-0000-00000A000000}"/>
    <cellStyle name="Normal 2 2 3 5 2 2 5 2" xfId="12972" xr:uid="{00000000-0005-0000-0000-00000A000000}"/>
    <cellStyle name="Normal 2 2 3 5 2 2 6" xfId="8892" xr:uid="{00000000-0005-0000-0000-00000A000000}"/>
    <cellStyle name="Normal 2 2 3 5 2 3" xfId="2363" xr:uid="{00000000-0005-0000-0000-00000A000000}"/>
    <cellStyle name="Normal 2 2 3 5 2 3 2" xfId="6444" xr:uid="{00000000-0005-0000-0000-00000A000000}"/>
    <cellStyle name="Normal 2 2 3 5 2 3 2 2" xfId="14604" xr:uid="{00000000-0005-0000-0000-00000A000000}"/>
    <cellStyle name="Normal 2 2 3 5 2 3 3" xfId="10524" xr:uid="{00000000-0005-0000-0000-00000A000000}"/>
    <cellStyle name="Normal 2 2 3 5 2 4" xfId="1343" xr:uid="{00000000-0005-0000-0000-00000A000000}"/>
    <cellStyle name="Normal 2 2 3 5 2 4 2" xfId="5424" xr:uid="{00000000-0005-0000-0000-00000A000000}"/>
    <cellStyle name="Normal 2 2 3 5 2 4 2 2" xfId="13584" xr:uid="{00000000-0005-0000-0000-00000A000000}"/>
    <cellStyle name="Normal 2 2 3 5 2 4 3" xfId="9504" xr:uid="{00000000-0005-0000-0000-00000A000000}"/>
    <cellStyle name="Normal 2 2 3 5 2 5" xfId="3383" xr:uid="{00000000-0005-0000-0000-00000A000000}"/>
    <cellStyle name="Normal 2 2 3 5 2 5 2" xfId="7464" xr:uid="{00000000-0005-0000-0000-00000A000000}"/>
    <cellStyle name="Normal 2 2 3 5 2 5 2 2" xfId="15624" xr:uid="{00000000-0005-0000-0000-00000A000000}"/>
    <cellStyle name="Normal 2 2 3 5 2 5 3" xfId="11544" xr:uid="{00000000-0005-0000-0000-00000A000000}"/>
    <cellStyle name="Normal 2 2 3 5 2 6" xfId="4403" xr:uid="{00000000-0005-0000-0000-00000A000000}"/>
    <cellStyle name="Normal 2 2 3 5 2 6 2" xfId="12564" xr:uid="{00000000-0005-0000-0000-00000A000000}"/>
    <cellStyle name="Normal 2 2 3 5 2 7" xfId="8484" xr:uid="{00000000-0005-0000-0000-00000A000000}"/>
    <cellStyle name="Normal 2 2 3 5 3" xfId="934" xr:uid="{00000000-0005-0000-0000-00000A000000}"/>
    <cellStyle name="Normal 2 2 3 5 3 2" xfId="2975" xr:uid="{00000000-0005-0000-0000-00000A000000}"/>
    <cellStyle name="Normal 2 2 3 5 3 2 2" xfId="7056" xr:uid="{00000000-0005-0000-0000-00000A000000}"/>
    <cellStyle name="Normal 2 2 3 5 3 2 2 2" xfId="15216" xr:uid="{00000000-0005-0000-0000-00000A000000}"/>
    <cellStyle name="Normal 2 2 3 5 3 2 3" xfId="11136" xr:uid="{00000000-0005-0000-0000-00000A000000}"/>
    <cellStyle name="Normal 2 2 3 5 3 3" xfId="1955" xr:uid="{00000000-0005-0000-0000-00000A000000}"/>
    <cellStyle name="Normal 2 2 3 5 3 3 2" xfId="6036" xr:uid="{00000000-0005-0000-0000-00000A000000}"/>
    <cellStyle name="Normal 2 2 3 5 3 3 2 2" xfId="14196" xr:uid="{00000000-0005-0000-0000-00000A000000}"/>
    <cellStyle name="Normal 2 2 3 5 3 3 3" xfId="10116" xr:uid="{00000000-0005-0000-0000-00000A000000}"/>
    <cellStyle name="Normal 2 2 3 5 3 4" xfId="3995" xr:uid="{00000000-0005-0000-0000-00000A000000}"/>
    <cellStyle name="Normal 2 2 3 5 3 4 2" xfId="8076" xr:uid="{00000000-0005-0000-0000-00000A000000}"/>
    <cellStyle name="Normal 2 2 3 5 3 4 2 2" xfId="16236" xr:uid="{00000000-0005-0000-0000-00000A000000}"/>
    <cellStyle name="Normal 2 2 3 5 3 4 3" xfId="12156" xr:uid="{00000000-0005-0000-0000-00000A000000}"/>
    <cellStyle name="Normal 2 2 3 5 3 5" xfId="5015" xr:uid="{00000000-0005-0000-0000-00000A000000}"/>
    <cellStyle name="Normal 2 2 3 5 3 5 2" xfId="13176" xr:uid="{00000000-0005-0000-0000-00000A000000}"/>
    <cellStyle name="Normal 2 2 3 5 3 6" xfId="9096" xr:uid="{00000000-0005-0000-0000-00000A000000}"/>
    <cellStyle name="Normal 2 2 3 5 4" xfId="526" xr:uid="{00000000-0005-0000-0000-00000A000000}"/>
    <cellStyle name="Normal 2 2 3 5 4 2" xfId="2567" xr:uid="{00000000-0005-0000-0000-00000A000000}"/>
    <cellStyle name="Normal 2 2 3 5 4 2 2" xfId="6648" xr:uid="{00000000-0005-0000-0000-00000A000000}"/>
    <cellStyle name="Normal 2 2 3 5 4 2 2 2" xfId="14808" xr:uid="{00000000-0005-0000-0000-00000A000000}"/>
    <cellStyle name="Normal 2 2 3 5 4 2 3" xfId="10728" xr:uid="{00000000-0005-0000-0000-00000A000000}"/>
    <cellStyle name="Normal 2 2 3 5 4 3" xfId="1547" xr:uid="{00000000-0005-0000-0000-00000A000000}"/>
    <cellStyle name="Normal 2 2 3 5 4 3 2" xfId="5628" xr:uid="{00000000-0005-0000-0000-00000A000000}"/>
    <cellStyle name="Normal 2 2 3 5 4 3 2 2" xfId="13788" xr:uid="{00000000-0005-0000-0000-00000A000000}"/>
    <cellStyle name="Normal 2 2 3 5 4 3 3" xfId="9708" xr:uid="{00000000-0005-0000-0000-00000A000000}"/>
    <cellStyle name="Normal 2 2 3 5 4 4" xfId="3587" xr:uid="{00000000-0005-0000-0000-00000A000000}"/>
    <cellStyle name="Normal 2 2 3 5 4 4 2" xfId="7668" xr:uid="{00000000-0005-0000-0000-00000A000000}"/>
    <cellStyle name="Normal 2 2 3 5 4 4 2 2" xfId="15828" xr:uid="{00000000-0005-0000-0000-00000A000000}"/>
    <cellStyle name="Normal 2 2 3 5 4 4 3" xfId="11748" xr:uid="{00000000-0005-0000-0000-00000A000000}"/>
    <cellStyle name="Normal 2 2 3 5 4 5" xfId="4607" xr:uid="{00000000-0005-0000-0000-00000A000000}"/>
    <cellStyle name="Normal 2 2 3 5 4 5 2" xfId="12768" xr:uid="{00000000-0005-0000-0000-00000A000000}"/>
    <cellStyle name="Normal 2 2 3 5 4 6" xfId="8688" xr:uid="{00000000-0005-0000-0000-00000A000000}"/>
    <cellStyle name="Normal 2 2 3 5 5" xfId="2159" xr:uid="{00000000-0005-0000-0000-00000A000000}"/>
    <cellStyle name="Normal 2 2 3 5 5 2" xfId="6240" xr:uid="{00000000-0005-0000-0000-00000A000000}"/>
    <cellStyle name="Normal 2 2 3 5 5 2 2" xfId="14400" xr:uid="{00000000-0005-0000-0000-00000A000000}"/>
    <cellStyle name="Normal 2 2 3 5 5 3" xfId="10320" xr:uid="{00000000-0005-0000-0000-00000A000000}"/>
    <cellStyle name="Normal 2 2 3 5 6" xfId="1139" xr:uid="{00000000-0005-0000-0000-00000A000000}"/>
    <cellStyle name="Normal 2 2 3 5 6 2" xfId="5220" xr:uid="{00000000-0005-0000-0000-00000A000000}"/>
    <cellStyle name="Normal 2 2 3 5 6 2 2" xfId="13380" xr:uid="{00000000-0005-0000-0000-00000A000000}"/>
    <cellStyle name="Normal 2 2 3 5 6 3" xfId="9300" xr:uid="{00000000-0005-0000-0000-00000A000000}"/>
    <cellStyle name="Normal 2 2 3 5 7" xfId="3179" xr:uid="{00000000-0005-0000-0000-00000A000000}"/>
    <cellStyle name="Normal 2 2 3 5 7 2" xfId="7260" xr:uid="{00000000-0005-0000-0000-00000A000000}"/>
    <cellStyle name="Normal 2 2 3 5 7 2 2" xfId="15420" xr:uid="{00000000-0005-0000-0000-00000A000000}"/>
    <cellStyle name="Normal 2 2 3 5 7 3" xfId="11340" xr:uid="{00000000-0005-0000-0000-00000A000000}"/>
    <cellStyle name="Normal 2 2 3 5 8" xfId="4199" xr:uid="{00000000-0005-0000-0000-00000A000000}"/>
    <cellStyle name="Normal 2 2 3 5 8 2" xfId="12360" xr:uid="{00000000-0005-0000-0000-00000A000000}"/>
    <cellStyle name="Normal 2 2 3 5 9" xfId="8280" xr:uid="{00000000-0005-0000-0000-00000A000000}"/>
    <cellStyle name="Normal 2 2 3 6" xfId="220" xr:uid="{00000000-0005-0000-0000-00000A000000}"/>
    <cellStyle name="Normal 2 2 3 6 2" xfId="628" xr:uid="{00000000-0005-0000-0000-00000A000000}"/>
    <cellStyle name="Normal 2 2 3 6 2 2" xfId="2669" xr:uid="{00000000-0005-0000-0000-00000A000000}"/>
    <cellStyle name="Normal 2 2 3 6 2 2 2" xfId="6750" xr:uid="{00000000-0005-0000-0000-00000A000000}"/>
    <cellStyle name="Normal 2 2 3 6 2 2 2 2" xfId="14910" xr:uid="{00000000-0005-0000-0000-00000A000000}"/>
    <cellStyle name="Normal 2 2 3 6 2 2 3" xfId="10830" xr:uid="{00000000-0005-0000-0000-00000A000000}"/>
    <cellStyle name="Normal 2 2 3 6 2 3" xfId="1649" xr:uid="{00000000-0005-0000-0000-00000A000000}"/>
    <cellStyle name="Normal 2 2 3 6 2 3 2" xfId="5730" xr:uid="{00000000-0005-0000-0000-00000A000000}"/>
    <cellStyle name="Normal 2 2 3 6 2 3 2 2" xfId="13890" xr:uid="{00000000-0005-0000-0000-00000A000000}"/>
    <cellStyle name="Normal 2 2 3 6 2 3 3" xfId="9810" xr:uid="{00000000-0005-0000-0000-00000A000000}"/>
    <cellStyle name="Normal 2 2 3 6 2 4" xfId="3689" xr:uid="{00000000-0005-0000-0000-00000A000000}"/>
    <cellStyle name="Normal 2 2 3 6 2 4 2" xfId="7770" xr:uid="{00000000-0005-0000-0000-00000A000000}"/>
    <cellStyle name="Normal 2 2 3 6 2 4 2 2" xfId="15930" xr:uid="{00000000-0005-0000-0000-00000A000000}"/>
    <cellStyle name="Normal 2 2 3 6 2 4 3" xfId="11850" xr:uid="{00000000-0005-0000-0000-00000A000000}"/>
    <cellStyle name="Normal 2 2 3 6 2 5" xfId="4709" xr:uid="{00000000-0005-0000-0000-00000A000000}"/>
    <cellStyle name="Normal 2 2 3 6 2 5 2" xfId="12870" xr:uid="{00000000-0005-0000-0000-00000A000000}"/>
    <cellStyle name="Normal 2 2 3 6 2 6" xfId="8790" xr:uid="{00000000-0005-0000-0000-00000A000000}"/>
    <cellStyle name="Normal 2 2 3 6 3" xfId="2261" xr:uid="{00000000-0005-0000-0000-00000A000000}"/>
    <cellStyle name="Normal 2 2 3 6 3 2" xfId="6342" xr:uid="{00000000-0005-0000-0000-00000A000000}"/>
    <cellStyle name="Normal 2 2 3 6 3 2 2" xfId="14502" xr:uid="{00000000-0005-0000-0000-00000A000000}"/>
    <cellStyle name="Normal 2 2 3 6 3 3" xfId="10422" xr:uid="{00000000-0005-0000-0000-00000A000000}"/>
    <cellStyle name="Normal 2 2 3 6 4" xfId="1241" xr:uid="{00000000-0005-0000-0000-00000A000000}"/>
    <cellStyle name="Normal 2 2 3 6 4 2" xfId="5322" xr:uid="{00000000-0005-0000-0000-00000A000000}"/>
    <cellStyle name="Normal 2 2 3 6 4 2 2" xfId="13482" xr:uid="{00000000-0005-0000-0000-00000A000000}"/>
    <cellStyle name="Normal 2 2 3 6 4 3" xfId="9402" xr:uid="{00000000-0005-0000-0000-00000A000000}"/>
    <cellStyle name="Normal 2 2 3 6 5" xfId="3281" xr:uid="{00000000-0005-0000-0000-00000A000000}"/>
    <cellStyle name="Normal 2 2 3 6 5 2" xfId="7362" xr:uid="{00000000-0005-0000-0000-00000A000000}"/>
    <cellStyle name="Normal 2 2 3 6 5 2 2" xfId="15522" xr:uid="{00000000-0005-0000-0000-00000A000000}"/>
    <cellStyle name="Normal 2 2 3 6 5 3" xfId="11442" xr:uid="{00000000-0005-0000-0000-00000A000000}"/>
    <cellStyle name="Normal 2 2 3 6 6" xfId="4301" xr:uid="{00000000-0005-0000-0000-00000A000000}"/>
    <cellStyle name="Normal 2 2 3 6 6 2" xfId="12462" xr:uid="{00000000-0005-0000-0000-00000A000000}"/>
    <cellStyle name="Normal 2 2 3 6 7" xfId="8382" xr:uid="{00000000-0005-0000-0000-00000A000000}"/>
    <cellStyle name="Normal 2 2 3 7" xfId="832" xr:uid="{00000000-0005-0000-0000-00000A000000}"/>
    <cellStyle name="Normal 2 2 3 7 2" xfId="2873" xr:uid="{00000000-0005-0000-0000-00000A000000}"/>
    <cellStyle name="Normal 2 2 3 7 2 2" xfId="6954" xr:uid="{00000000-0005-0000-0000-00000A000000}"/>
    <cellStyle name="Normal 2 2 3 7 2 2 2" xfId="15114" xr:uid="{00000000-0005-0000-0000-00000A000000}"/>
    <cellStyle name="Normal 2 2 3 7 2 3" xfId="11034" xr:uid="{00000000-0005-0000-0000-00000A000000}"/>
    <cellStyle name="Normal 2 2 3 7 3" xfId="1853" xr:uid="{00000000-0005-0000-0000-00000A000000}"/>
    <cellStyle name="Normal 2 2 3 7 3 2" xfId="5934" xr:uid="{00000000-0005-0000-0000-00000A000000}"/>
    <cellStyle name="Normal 2 2 3 7 3 2 2" xfId="14094" xr:uid="{00000000-0005-0000-0000-00000A000000}"/>
    <cellStyle name="Normal 2 2 3 7 3 3" xfId="10014" xr:uid="{00000000-0005-0000-0000-00000A000000}"/>
    <cellStyle name="Normal 2 2 3 7 4" xfId="3893" xr:uid="{00000000-0005-0000-0000-00000A000000}"/>
    <cellStyle name="Normal 2 2 3 7 4 2" xfId="7974" xr:uid="{00000000-0005-0000-0000-00000A000000}"/>
    <cellStyle name="Normal 2 2 3 7 4 2 2" xfId="16134" xr:uid="{00000000-0005-0000-0000-00000A000000}"/>
    <cellStyle name="Normal 2 2 3 7 4 3" xfId="12054" xr:uid="{00000000-0005-0000-0000-00000A000000}"/>
    <cellStyle name="Normal 2 2 3 7 5" xfId="4913" xr:uid="{00000000-0005-0000-0000-00000A000000}"/>
    <cellStyle name="Normal 2 2 3 7 5 2" xfId="13074" xr:uid="{00000000-0005-0000-0000-00000A000000}"/>
    <cellStyle name="Normal 2 2 3 7 6" xfId="8994" xr:uid="{00000000-0005-0000-0000-00000A000000}"/>
    <cellStyle name="Normal 2 2 3 8" xfId="424" xr:uid="{00000000-0005-0000-0000-00000A000000}"/>
    <cellStyle name="Normal 2 2 3 8 2" xfId="2465" xr:uid="{00000000-0005-0000-0000-00000A000000}"/>
    <cellStyle name="Normal 2 2 3 8 2 2" xfId="6546" xr:uid="{00000000-0005-0000-0000-00000A000000}"/>
    <cellStyle name="Normal 2 2 3 8 2 2 2" xfId="14706" xr:uid="{00000000-0005-0000-0000-00000A000000}"/>
    <cellStyle name="Normal 2 2 3 8 2 3" xfId="10626" xr:uid="{00000000-0005-0000-0000-00000A000000}"/>
    <cellStyle name="Normal 2 2 3 8 3" xfId="1445" xr:uid="{00000000-0005-0000-0000-00000A000000}"/>
    <cellStyle name="Normal 2 2 3 8 3 2" xfId="5526" xr:uid="{00000000-0005-0000-0000-00000A000000}"/>
    <cellStyle name="Normal 2 2 3 8 3 2 2" xfId="13686" xr:uid="{00000000-0005-0000-0000-00000A000000}"/>
    <cellStyle name="Normal 2 2 3 8 3 3" xfId="9606" xr:uid="{00000000-0005-0000-0000-00000A000000}"/>
    <cellStyle name="Normal 2 2 3 8 4" xfId="3485" xr:uid="{00000000-0005-0000-0000-00000A000000}"/>
    <cellStyle name="Normal 2 2 3 8 4 2" xfId="7566" xr:uid="{00000000-0005-0000-0000-00000A000000}"/>
    <cellStyle name="Normal 2 2 3 8 4 2 2" xfId="15726" xr:uid="{00000000-0005-0000-0000-00000A000000}"/>
    <cellStyle name="Normal 2 2 3 8 4 3" xfId="11646" xr:uid="{00000000-0005-0000-0000-00000A000000}"/>
    <cellStyle name="Normal 2 2 3 8 5" xfId="4505" xr:uid="{00000000-0005-0000-0000-00000A000000}"/>
    <cellStyle name="Normal 2 2 3 8 5 2" xfId="12666" xr:uid="{00000000-0005-0000-0000-00000A000000}"/>
    <cellStyle name="Normal 2 2 3 8 6" xfId="8586" xr:uid="{00000000-0005-0000-0000-00000A000000}"/>
    <cellStyle name="Normal 2 2 3 9" xfId="2057" xr:uid="{00000000-0005-0000-0000-00000A000000}"/>
    <cellStyle name="Normal 2 2 3 9 2" xfId="6138" xr:uid="{00000000-0005-0000-0000-00000A000000}"/>
    <cellStyle name="Normal 2 2 3 9 2 2" xfId="14298" xr:uid="{00000000-0005-0000-0000-00000A000000}"/>
    <cellStyle name="Normal 2 2 3 9 3" xfId="10218" xr:uid="{00000000-0005-0000-0000-00000A000000}"/>
    <cellStyle name="Normal 2 2 4" xfId="21" xr:uid="{00000000-0005-0000-0000-00000D000000}"/>
    <cellStyle name="Normal 2 2 4 10" xfId="3085" xr:uid="{00000000-0005-0000-0000-00000D000000}"/>
    <cellStyle name="Normal 2 2 4 10 2" xfId="7166" xr:uid="{00000000-0005-0000-0000-00000D000000}"/>
    <cellStyle name="Normal 2 2 4 10 2 2" xfId="15326" xr:uid="{00000000-0005-0000-0000-00000D000000}"/>
    <cellStyle name="Normal 2 2 4 10 3" xfId="11246" xr:uid="{00000000-0005-0000-0000-00000D000000}"/>
    <cellStyle name="Normal 2 2 4 11" xfId="4105" xr:uid="{00000000-0005-0000-0000-00000D000000}"/>
    <cellStyle name="Normal 2 2 4 11 2" xfId="12266" xr:uid="{00000000-0005-0000-0000-00000D000000}"/>
    <cellStyle name="Normal 2 2 4 12" xfId="8186" xr:uid="{00000000-0005-0000-0000-00000D000000}"/>
    <cellStyle name="Normal 2 2 4 2" xfId="49" xr:uid="{00000000-0005-0000-0000-00000E000000}"/>
    <cellStyle name="Normal 2 2 4 2 10" xfId="4130" xr:uid="{00000000-0005-0000-0000-00000E000000}"/>
    <cellStyle name="Normal 2 2 4 2 10 2" xfId="12291" xr:uid="{00000000-0005-0000-0000-00000E000000}"/>
    <cellStyle name="Normal 2 2 4 2 11" xfId="8211" xr:uid="{00000000-0005-0000-0000-00000E000000}"/>
    <cellStyle name="Normal 2 2 4 2 2" xfId="100" xr:uid="{00000000-0005-0000-0000-00000E000000}"/>
    <cellStyle name="Normal 2 2 4 2 2 10" xfId="8262" xr:uid="{00000000-0005-0000-0000-00000E000000}"/>
    <cellStyle name="Normal 2 2 4 2 2 2" xfId="202" xr:uid="{00000000-0005-0000-0000-00000E000000}"/>
    <cellStyle name="Normal 2 2 4 2 2 2 2" xfId="406" xr:uid="{00000000-0005-0000-0000-00000E000000}"/>
    <cellStyle name="Normal 2 2 4 2 2 2 2 2" xfId="814" xr:uid="{00000000-0005-0000-0000-00000E000000}"/>
    <cellStyle name="Normal 2 2 4 2 2 2 2 2 2" xfId="2855" xr:uid="{00000000-0005-0000-0000-00000E000000}"/>
    <cellStyle name="Normal 2 2 4 2 2 2 2 2 2 2" xfId="6936" xr:uid="{00000000-0005-0000-0000-00000E000000}"/>
    <cellStyle name="Normal 2 2 4 2 2 2 2 2 2 2 2" xfId="15096" xr:uid="{00000000-0005-0000-0000-00000E000000}"/>
    <cellStyle name="Normal 2 2 4 2 2 2 2 2 2 3" xfId="11016" xr:uid="{00000000-0005-0000-0000-00000E000000}"/>
    <cellStyle name="Normal 2 2 4 2 2 2 2 2 3" xfId="1835" xr:uid="{00000000-0005-0000-0000-00000E000000}"/>
    <cellStyle name="Normal 2 2 4 2 2 2 2 2 3 2" xfId="5916" xr:uid="{00000000-0005-0000-0000-00000E000000}"/>
    <cellStyle name="Normal 2 2 4 2 2 2 2 2 3 2 2" xfId="14076" xr:uid="{00000000-0005-0000-0000-00000E000000}"/>
    <cellStyle name="Normal 2 2 4 2 2 2 2 2 3 3" xfId="9996" xr:uid="{00000000-0005-0000-0000-00000E000000}"/>
    <cellStyle name="Normal 2 2 4 2 2 2 2 2 4" xfId="3875" xr:uid="{00000000-0005-0000-0000-00000E000000}"/>
    <cellStyle name="Normal 2 2 4 2 2 2 2 2 4 2" xfId="7956" xr:uid="{00000000-0005-0000-0000-00000E000000}"/>
    <cellStyle name="Normal 2 2 4 2 2 2 2 2 4 2 2" xfId="16116" xr:uid="{00000000-0005-0000-0000-00000E000000}"/>
    <cellStyle name="Normal 2 2 4 2 2 2 2 2 4 3" xfId="12036" xr:uid="{00000000-0005-0000-0000-00000E000000}"/>
    <cellStyle name="Normal 2 2 4 2 2 2 2 2 5" xfId="4895" xr:uid="{00000000-0005-0000-0000-00000E000000}"/>
    <cellStyle name="Normal 2 2 4 2 2 2 2 2 5 2" xfId="13056" xr:uid="{00000000-0005-0000-0000-00000E000000}"/>
    <cellStyle name="Normal 2 2 4 2 2 2 2 2 6" xfId="8976" xr:uid="{00000000-0005-0000-0000-00000E000000}"/>
    <cellStyle name="Normal 2 2 4 2 2 2 2 3" xfId="2447" xr:uid="{00000000-0005-0000-0000-00000E000000}"/>
    <cellStyle name="Normal 2 2 4 2 2 2 2 3 2" xfId="6528" xr:uid="{00000000-0005-0000-0000-00000E000000}"/>
    <cellStyle name="Normal 2 2 4 2 2 2 2 3 2 2" xfId="14688" xr:uid="{00000000-0005-0000-0000-00000E000000}"/>
    <cellStyle name="Normal 2 2 4 2 2 2 2 3 3" xfId="10608" xr:uid="{00000000-0005-0000-0000-00000E000000}"/>
    <cellStyle name="Normal 2 2 4 2 2 2 2 4" xfId="1427" xr:uid="{00000000-0005-0000-0000-00000E000000}"/>
    <cellStyle name="Normal 2 2 4 2 2 2 2 4 2" xfId="5508" xr:uid="{00000000-0005-0000-0000-00000E000000}"/>
    <cellStyle name="Normal 2 2 4 2 2 2 2 4 2 2" xfId="13668" xr:uid="{00000000-0005-0000-0000-00000E000000}"/>
    <cellStyle name="Normal 2 2 4 2 2 2 2 4 3" xfId="9588" xr:uid="{00000000-0005-0000-0000-00000E000000}"/>
    <cellStyle name="Normal 2 2 4 2 2 2 2 5" xfId="3467" xr:uid="{00000000-0005-0000-0000-00000E000000}"/>
    <cellStyle name="Normal 2 2 4 2 2 2 2 5 2" xfId="7548" xr:uid="{00000000-0005-0000-0000-00000E000000}"/>
    <cellStyle name="Normal 2 2 4 2 2 2 2 5 2 2" xfId="15708" xr:uid="{00000000-0005-0000-0000-00000E000000}"/>
    <cellStyle name="Normal 2 2 4 2 2 2 2 5 3" xfId="11628" xr:uid="{00000000-0005-0000-0000-00000E000000}"/>
    <cellStyle name="Normal 2 2 4 2 2 2 2 6" xfId="4487" xr:uid="{00000000-0005-0000-0000-00000E000000}"/>
    <cellStyle name="Normal 2 2 4 2 2 2 2 6 2" xfId="12648" xr:uid="{00000000-0005-0000-0000-00000E000000}"/>
    <cellStyle name="Normal 2 2 4 2 2 2 2 7" xfId="8568" xr:uid="{00000000-0005-0000-0000-00000E000000}"/>
    <cellStyle name="Normal 2 2 4 2 2 2 3" xfId="1018" xr:uid="{00000000-0005-0000-0000-00000E000000}"/>
    <cellStyle name="Normal 2 2 4 2 2 2 3 2" xfId="3059" xr:uid="{00000000-0005-0000-0000-00000E000000}"/>
    <cellStyle name="Normal 2 2 4 2 2 2 3 2 2" xfId="7140" xr:uid="{00000000-0005-0000-0000-00000E000000}"/>
    <cellStyle name="Normal 2 2 4 2 2 2 3 2 2 2" xfId="15300" xr:uid="{00000000-0005-0000-0000-00000E000000}"/>
    <cellStyle name="Normal 2 2 4 2 2 2 3 2 3" xfId="11220" xr:uid="{00000000-0005-0000-0000-00000E000000}"/>
    <cellStyle name="Normal 2 2 4 2 2 2 3 3" xfId="2039" xr:uid="{00000000-0005-0000-0000-00000E000000}"/>
    <cellStyle name="Normal 2 2 4 2 2 2 3 3 2" xfId="6120" xr:uid="{00000000-0005-0000-0000-00000E000000}"/>
    <cellStyle name="Normal 2 2 4 2 2 2 3 3 2 2" xfId="14280" xr:uid="{00000000-0005-0000-0000-00000E000000}"/>
    <cellStyle name="Normal 2 2 4 2 2 2 3 3 3" xfId="10200" xr:uid="{00000000-0005-0000-0000-00000E000000}"/>
    <cellStyle name="Normal 2 2 4 2 2 2 3 4" xfId="4079" xr:uid="{00000000-0005-0000-0000-00000E000000}"/>
    <cellStyle name="Normal 2 2 4 2 2 2 3 4 2" xfId="8160" xr:uid="{00000000-0005-0000-0000-00000E000000}"/>
    <cellStyle name="Normal 2 2 4 2 2 2 3 4 2 2" xfId="16320" xr:uid="{00000000-0005-0000-0000-00000E000000}"/>
    <cellStyle name="Normal 2 2 4 2 2 2 3 4 3" xfId="12240" xr:uid="{00000000-0005-0000-0000-00000E000000}"/>
    <cellStyle name="Normal 2 2 4 2 2 2 3 5" xfId="5099" xr:uid="{00000000-0005-0000-0000-00000E000000}"/>
    <cellStyle name="Normal 2 2 4 2 2 2 3 5 2" xfId="13260" xr:uid="{00000000-0005-0000-0000-00000E000000}"/>
    <cellStyle name="Normal 2 2 4 2 2 2 3 6" xfId="9180" xr:uid="{00000000-0005-0000-0000-00000E000000}"/>
    <cellStyle name="Normal 2 2 4 2 2 2 4" xfId="610" xr:uid="{00000000-0005-0000-0000-00000E000000}"/>
    <cellStyle name="Normal 2 2 4 2 2 2 4 2" xfId="2651" xr:uid="{00000000-0005-0000-0000-00000E000000}"/>
    <cellStyle name="Normal 2 2 4 2 2 2 4 2 2" xfId="6732" xr:uid="{00000000-0005-0000-0000-00000E000000}"/>
    <cellStyle name="Normal 2 2 4 2 2 2 4 2 2 2" xfId="14892" xr:uid="{00000000-0005-0000-0000-00000E000000}"/>
    <cellStyle name="Normal 2 2 4 2 2 2 4 2 3" xfId="10812" xr:uid="{00000000-0005-0000-0000-00000E000000}"/>
    <cellStyle name="Normal 2 2 4 2 2 2 4 3" xfId="1631" xr:uid="{00000000-0005-0000-0000-00000E000000}"/>
    <cellStyle name="Normal 2 2 4 2 2 2 4 3 2" xfId="5712" xr:uid="{00000000-0005-0000-0000-00000E000000}"/>
    <cellStyle name="Normal 2 2 4 2 2 2 4 3 2 2" xfId="13872" xr:uid="{00000000-0005-0000-0000-00000E000000}"/>
    <cellStyle name="Normal 2 2 4 2 2 2 4 3 3" xfId="9792" xr:uid="{00000000-0005-0000-0000-00000E000000}"/>
    <cellStyle name="Normal 2 2 4 2 2 2 4 4" xfId="3671" xr:uid="{00000000-0005-0000-0000-00000E000000}"/>
    <cellStyle name="Normal 2 2 4 2 2 2 4 4 2" xfId="7752" xr:uid="{00000000-0005-0000-0000-00000E000000}"/>
    <cellStyle name="Normal 2 2 4 2 2 2 4 4 2 2" xfId="15912" xr:uid="{00000000-0005-0000-0000-00000E000000}"/>
    <cellStyle name="Normal 2 2 4 2 2 2 4 4 3" xfId="11832" xr:uid="{00000000-0005-0000-0000-00000E000000}"/>
    <cellStyle name="Normal 2 2 4 2 2 2 4 5" xfId="4691" xr:uid="{00000000-0005-0000-0000-00000E000000}"/>
    <cellStyle name="Normal 2 2 4 2 2 2 4 5 2" xfId="12852" xr:uid="{00000000-0005-0000-0000-00000E000000}"/>
    <cellStyle name="Normal 2 2 4 2 2 2 4 6" xfId="8772" xr:uid="{00000000-0005-0000-0000-00000E000000}"/>
    <cellStyle name="Normal 2 2 4 2 2 2 5" xfId="2243" xr:uid="{00000000-0005-0000-0000-00000E000000}"/>
    <cellStyle name="Normal 2 2 4 2 2 2 5 2" xfId="6324" xr:uid="{00000000-0005-0000-0000-00000E000000}"/>
    <cellStyle name="Normal 2 2 4 2 2 2 5 2 2" xfId="14484" xr:uid="{00000000-0005-0000-0000-00000E000000}"/>
    <cellStyle name="Normal 2 2 4 2 2 2 5 3" xfId="10404" xr:uid="{00000000-0005-0000-0000-00000E000000}"/>
    <cellStyle name="Normal 2 2 4 2 2 2 6" xfId="1223" xr:uid="{00000000-0005-0000-0000-00000E000000}"/>
    <cellStyle name="Normal 2 2 4 2 2 2 6 2" xfId="5304" xr:uid="{00000000-0005-0000-0000-00000E000000}"/>
    <cellStyle name="Normal 2 2 4 2 2 2 6 2 2" xfId="13464" xr:uid="{00000000-0005-0000-0000-00000E000000}"/>
    <cellStyle name="Normal 2 2 4 2 2 2 6 3" xfId="9384" xr:uid="{00000000-0005-0000-0000-00000E000000}"/>
    <cellStyle name="Normal 2 2 4 2 2 2 7" xfId="3263" xr:uid="{00000000-0005-0000-0000-00000E000000}"/>
    <cellStyle name="Normal 2 2 4 2 2 2 7 2" xfId="7344" xr:uid="{00000000-0005-0000-0000-00000E000000}"/>
    <cellStyle name="Normal 2 2 4 2 2 2 7 2 2" xfId="15504" xr:uid="{00000000-0005-0000-0000-00000E000000}"/>
    <cellStyle name="Normal 2 2 4 2 2 2 7 3" xfId="11424" xr:uid="{00000000-0005-0000-0000-00000E000000}"/>
    <cellStyle name="Normal 2 2 4 2 2 2 8" xfId="4283" xr:uid="{00000000-0005-0000-0000-00000E000000}"/>
    <cellStyle name="Normal 2 2 4 2 2 2 8 2" xfId="12444" xr:uid="{00000000-0005-0000-0000-00000E000000}"/>
    <cellStyle name="Normal 2 2 4 2 2 2 9" xfId="8364" xr:uid="{00000000-0005-0000-0000-00000E000000}"/>
    <cellStyle name="Normal 2 2 4 2 2 3" xfId="304" xr:uid="{00000000-0005-0000-0000-00000E000000}"/>
    <cellStyle name="Normal 2 2 4 2 2 3 2" xfId="712" xr:uid="{00000000-0005-0000-0000-00000E000000}"/>
    <cellStyle name="Normal 2 2 4 2 2 3 2 2" xfId="2753" xr:uid="{00000000-0005-0000-0000-00000E000000}"/>
    <cellStyle name="Normal 2 2 4 2 2 3 2 2 2" xfId="6834" xr:uid="{00000000-0005-0000-0000-00000E000000}"/>
    <cellStyle name="Normal 2 2 4 2 2 3 2 2 2 2" xfId="14994" xr:uid="{00000000-0005-0000-0000-00000E000000}"/>
    <cellStyle name="Normal 2 2 4 2 2 3 2 2 3" xfId="10914" xr:uid="{00000000-0005-0000-0000-00000E000000}"/>
    <cellStyle name="Normal 2 2 4 2 2 3 2 3" xfId="1733" xr:uid="{00000000-0005-0000-0000-00000E000000}"/>
    <cellStyle name="Normal 2 2 4 2 2 3 2 3 2" xfId="5814" xr:uid="{00000000-0005-0000-0000-00000E000000}"/>
    <cellStyle name="Normal 2 2 4 2 2 3 2 3 2 2" xfId="13974" xr:uid="{00000000-0005-0000-0000-00000E000000}"/>
    <cellStyle name="Normal 2 2 4 2 2 3 2 3 3" xfId="9894" xr:uid="{00000000-0005-0000-0000-00000E000000}"/>
    <cellStyle name="Normal 2 2 4 2 2 3 2 4" xfId="3773" xr:uid="{00000000-0005-0000-0000-00000E000000}"/>
    <cellStyle name="Normal 2 2 4 2 2 3 2 4 2" xfId="7854" xr:uid="{00000000-0005-0000-0000-00000E000000}"/>
    <cellStyle name="Normal 2 2 4 2 2 3 2 4 2 2" xfId="16014" xr:uid="{00000000-0005-0000-0000-00000E000000}"/>
    <cellStyle name="Normal 2 2 4 2 2 3 2 4 3" xfId="11934" xr:uid="{00000000-0005-0000-0000-00000E000000}"/>
    <cellStyle name="Normal 2 2 4 2 2 3 2 5" xfId="4793" xr:uid="{00000000-0005-0000-0000-00000E000000}"/>
    <cellStyle name="Normal 2 2 4 2 2 3 2 5 2" xfId="12954" xr:uid="{00000000-0005-0000-0000-00000E000000}"/>
    <cellStyle name="Normal 2 2 4 2 2 3 2 6" xfId="8874" xr:uid="{00000000-0005-0000-0000-00000E000000}"/>
    <cellStyle name="Normal 2 2 4 2 2 3 3" xfId="2345" xr:uid="{00000000-0005-0000-0000-00000E000000}"/>
    <cellStyle name="Normal 2 2 4 2 2 3 3 2" xfId="6426" xr:uid="{00000000-0005-0000-0000-00000E000000}"/>
    <cellStyle name="Normal 2 2 4 2 2 3 3 2 2" xfId="14586" xr:uid="{00000000-0005-0000-0000-00000E000000}"/>
    <cellStyle name="Normal 2 2 4 2 2 3 3 3" xfId="10506" xr:uid="{00000000-0005-0000-0000-00000E000000}"/>
    <cellStyle name="Normal 2 2 4 2 2 3 4" xfId="1325" xr:uid="{00000000-0005-0000-0000-00000E000000}"/>
    <cellStyle name="Normal 2 2 4 2 2 3 4 2" xfId="5406" xr:uid="{00000000-0005-0000-0000-00000E000000}"/>
    <cellStyle name="Normal 2 2 4 2 2 3 4 2 2" xfId="13566" xr:uid="{00000000-0005-0000-0000-00000E000000}"/>
    <cellStyle name="Normal 2 2 4 2 2 3 4 3" xfId="9486" xr:uid="{00000000-0005-0000-0000-00000E000000}"/>
    <cellStyle name="Normal 2 2 4 2 2 3 5" xfId="3365" xr:uid="{00000000-0005-0000-0000-00000E000000}"/>
    <cellStyle name="Normal 2 2 4 2 2 3 5 2" xfId="7446" xr:uid="{00000000-0005-0000-0000-00000E000000}"/>
    <cellStyle name="Normal 2 2 4 2 2 3 5 2 2" xfId="15606" xr:uid="{00000000-0005-0000-0000-00000E000000}"/>
    <cellStyle name="Normal 2 2 4 2 2 3 5 3" xfId="11526" xr:uid="{00000000-0005-0000-0000-00000E000000}"/>
    <cellStyle name="Normal 2 2 4 2 2 3 6" xfId="4385" xr:uid="{00000000-0005-0000-0000-00000E000000}"/>
    <cellStyle name="Normal 2 2 4 2 2 3 6 2" xfId="12546" xr:uid="{00000000-0005-0000-0000-00000E000000}"/>
    <cellStyle name="Normal 2 2 4 2 2 3 7" xfId="8466" xr:uid="{00000000-0005-0000-0000-00000E000000}"/>
    <cellStyle name="Normal 2 2 4 2 2 4" xfId="916" xr:uid="{00000000-0005-0000-0000-00000E000000}"/>
    <cellStyle name="Normal 2 2 4 2 2 4 2" xfId="2957" xr:uid="{00000000-0005-0000-0000-00000E000000}"/>
    <cellStyle name="Normal 2 2 4 2 2 4 2 2" xfId="7038" xr:uid="{00000000-0005-0000-0000-00000E000000}"/>
    <cellStyle name="Normal 2 2 4 2 2 4 2 2 2" xfId="15198" xr:uid="{00000000-0005-0000-0000-00000E000000}"/>
    <cellStyle name="Normal 2 2 4 2 2 4 2 3" xfId="11118" xr:uid="{00000000-0005-0000-0000-00000E000000}"/>
    <cellStyle name="Normal 2 2 4 2 2 4 3" xfId="1937" xr:uid="{00000000-0005-0000-0000-00000E000000}"/>
    <cellStyle name="Normal 2 2 4 2 2 4 3 2" xfId="6018" xr:uid="{00000000-0005-0000-0000-00000E000000}"/>
    <cellStyle name="Normal 2 2 4 2 2 4 3 2 2" xfId="14178" xr:uid="{00000000-0005-0000-0000-00000E000000}"/>
    <cellStyle name="Normal 2 2 4 2 2 4 3 3" xfId="10098" xr:uid="{00000000-0005-0000-0000-00000E000000}"/>
    <cellStyle name="Normal 2 2 4 2 2 4 4" xfId="3977" xr:uid="{00000000-0005-0000-0000-00000E000000}"/>
    <cellStyle name="Normal 2 2 4 2 2 4 4 2" xfId="8058" xr:uid="{00000000-0005-0000-0000-00000E000000}"/>
    <cellStyle name="Normal 2 2 4 2 2 4 4 2 2" xfId="16218" xr:uid="{00000000-0005-0000-0000-00000E000000}"/>
    <cellStyle name="Normal 2 2 4 2 2 4 4 3" xfId="12138" xr:uid="{00000000-0005-0000-0000-00000E000000}"/>
    <cellStyle name="Normal 2 2 4 2 2 4 5" xfId="4997" xr:uid="{00000000-0005-0000-0000-00000E000000}"/>
    <cellStyle name="Normal 2 2 4 2 2 4 5 2" xfId="13158" xr:uid="{00000000-0005-0000-0000-00000E000000}"/>
    <cellStyle name="Normal 2 2 4 2 2 4 6" xfId="9078" xr:uid="{00000000-0005-0000-0000-00000E000000}"/>
    <cellStyle name="Normal 2 2 4 2 2 5" xfId="508" xr:uid="{00000000-0005-0000-0000-00000E000000}"/>
    <cellStyle name="Normal 2 2 4 2 2 5 2" xfId="2549" xr:uid="{00000000-0005-0000-0000-00000E000000}"/>
    <cellStyle name="Normal 2 2 4 2 2 5 2 2" xfId="6630" xr:uid="{00000000-0005-0000-0000-00000E000000}"/>
    <cellStyle name="Normal 2 2 4 2 2 5 2 2 2" xfId="14790" xr:uid="{00000000-0005-0000-0000-00000E000000}"/>
    <cellStyle name="Normal 2 2 4 2 2 5 2 3" xfId="10710" xr:uid="{00000000-0005-0000-0000-00000E000000}"/>
    <cellStyle name="Normal 2 2 4 2 2 5 3" xfId="1529" xr:uid="{00000000-0005-0000-0000-00000E000000}"/>
    <cellStyle name="Normal 2 2 4 2 2 5 3 2" xfId="5610" xr:uid="{00000000-0005-0000-0000-00000E000000}"/>
    <cellStyle name="Normal 2 2 4 2 2 5 3 2 2" xfId="13770" xr:uid="{00000000-0005-0000-0000-00000E000000}"/>
    <cellStyle name="Normal 2 2 4 2 2 5 3 3" xfId="9690" xr:uid="{00000000-0005-0000-0000-00000E000000}"/>
    <cellStyle name="Normal 2 2 4 2 2 5 4" xfId="3569" xr:uid="{00000000-0005-0000-0000-00000E000000}"/>
    <cellStyle name="Normal 2 2 4 2 2 5 4 2" xfId="7650" xr:uid="{00000000-0005-0000-0000-00000E000000}"/>
    <cellStyle name="Normal 2 2 4 2 2 5 4 2 2" xfId="15810" xr:uid="{00000000-0005-0000-0000-00000E000000}"/>
    <cellStyle name="Normal 2 2 4 2 2 5 4 3" xfId="11730" xr:uid="{00000000-0005-0000-0000-00000E000000}"/>
    <cellStyle name="Normal 2 2 4 2 2 5 5" xfId="4589" xr:uid="{00000000-0005-0000-0000-00000E000000}"/>
    <cellStyle name="Normal 2 2 4 2 2 5 5 2" xfId="12750" xr:uid="{00000000-0005-0000-0000-00000E000000}"/>
    <cellStyle name="Normal 2 2 4 2 2 5 6" xfId="8670" xr:uid="{00000000-0005-0000-0000-00000E000000}"/>
    <cellStyle name="Normal 2 2 4 2 2 6" xfId="2141" xr:uid="{00000000-0005-0000-0000-00000E000000}"/>
    <cellStyle name="Normal 2 2 4 2 2 6 2" xfId="6222" xr:uid="{00000000-0005-0000-0000-00000E000000}"/>
    <cellStyle name="Normal 2 2 4 2 2 6 2 2" xfId="14382" xr:uid="{00000000-0005-0000-0000-00000E000000}"/>
    <cellStyle name="Normal 2 2 4 2 2 6 3" xfId="10302" xr:uid="{00000000-0005-0000-0000-00000E000000}"/>
    <cellStyle name="Normal 2 2 4 2 2 7" xfId="1121" xr:uid="{00000000-0005-0000-0000-00000E000000}"/>
    <cellStyle name="Normal 2 2 4 2 2 7 2" xfId="5202" xr:uid="{00000000-0005-0000-0000-00000E000000}"/>
    <cellStyle name="Normal 2 2 4 2 2 7 2 2" xfId="13362" xr:uid="{00000000-0005-0000-0000-00000E000000}"/>
    <cellStyle name="Normal 2 2 4 2 2 7 3" xfId="9282" xr:uid="{00000000-0005-0000-0000-00000E000000}"/>
    <cellStyle name="Normal 2 2 4 2 2 8" xfId="3161" xr:uid="{00000000-0005-0000-0000-00000E000000}"/>
    <cellStyle name="Normal 2 2 4 2 2 8 2" xfId="7242" xr:uid="{00000000-0005-0000-0000-00000E000000}"/>
    <cellStyle name="Normal 2 2 4 2 2 8 2 2" xfId="15402" xr:uid="{00000000-0005-0000-0000-00000E000000}"/>
    <cellStyle name="Normal 2 2 4 2 2 8 3" xfId="11322" xr:uid="{00000000-0005-0000-0000-00000E000000}"/>
    <cellStyle name="Normal 2 2 4 2 2 9" xfId="4181" xr:uid="{00000000-0005-0000-0000-00000E000000}"/>
    <cellStyle name="Normal 2 2 4 2 2 9 2" xfId="12342" xr:uid="{00000000-0005-0000-0000-00000E000000}"/>
    <cellStyle name="Normal 2 2 4 2 3" xfId="151" xr:uid="{00000000-0005-0000-0000-00000E000000}"/>
    <cellStyle name="Normal 2 2 4 2 3 2" xfId="355" xr:uid="{00000000-0005-0000-0000-00000E000000}"/>
    <cellStyle name="Normal 2 2 4 2 3 2 2" xfId="763" xr:uid="{00000000-0005-0000-0000-00000E000000}"/>
    <cellStyle name="Normal 2 2 4 2 3 2 2 2" xfId="2804" xr:uid="{00000000-0005-0000-0000-00000E000000}"/>
    <cellStyle name="Normal 2 2 4 2 3 2 2 2 2" xfId="6885" xr:uid="{00000000-0005-0000-0000-00000E000000}"/>
    <cellStyle name="Normal 2 2 4 2 3 2 2 2 2 2" xfId="15045" xr:uid="{00000000-0005-0000-0000-00000E000000}"/>
    <cellStyle name="Normal 2 2 4 2 3 2 2 2 3" xfId="10965" xr:uid="{00000000-0005-0000-0000-00000E000000}"/>
    <cellStyle name="Normal 2 2 4 2 3 2 2 3" xfId="1784" xr:uid="{00000000-0005-0000-0000-00000E000000}"/>
    <cellStyle name="Normal 2 2 4 2 3 2 2 3 2" xfId="5865" xr:uid="{00000000-0005-0000-0000-00000E000000}"/>
    <cellStyle name="Normal 2 2 4 2 3 2 2 3 2 2" xfId="14025" xr:uid="{00000000-0005-0000-0000-00000E000000}"/>
    <cellStyle name="Normal 2 2 4 2 3 2 2 3 3" xfId="9945" xr:uid="{00000000-0005-0000-0000-00000E000000}"/>
    <cellStyle name="Normal 2 2 4 2 3 2 2 4" xfId="3824" xr:uid="{00000000-0005-0000-0000-00000E000000}"/>
    <cellStyle name="Normal 2 2 4 2 3 2 2 4 2" xfId="7905" xr:uid="{00000000-0005-0000-0000-00000E000000}"/>
    <cellStyle name="Normal 2 2 4 2 3 2 2 4 2 2" xfId="16065" xr:uid="{00000000-0005-0000-0000-00000E000000}"/>
    <cellStyle name="Normal 2 2 4 2 3 2 2 4 3" xfId="11985" xr:uid="{00000000-0005-0000-0000-00000E000000}"/>
    <cellStyle name="Normal 2 2 4 2 3 2 2 5" xfId="4844" xr:uid="{00000000-0005-0000-0000-00000E000000}"/>
    <cellStyle name="Normal 2 2 4 2 3 2 2 5 2" xfId="13005" xr:uid="{00000000-0005-0000-0000-00000E000000}"/>
    <cellStyle name="Normal 2 2 4 2 3 2 2 6" xfId="8925" xr:uid="{00000000-0005-0000-0000-00000E000000}"/>
    <cellStyle name="Normal 2 2 4 2 3 2 3" xfId="2396" xr:uid="{00000000-0005-0000-0000-00000E000000}"/>
    <cellStyle name="Normal 2 2 4 2 3 2 3 2" xfId="6477" xr:uid="{00000000-0005-0000-0000-00000E000000}"/>
    <cellStyle name="Normal 2 2 4 2 3 2 3 2 2" xfId="14637" xr:uid="{00000000-0005-0000-0000-00000E000000}"/>
    <cellStyle name="Normal 2 2 4 2 3 2 3 3" xfId="10557" xr:uid="{00000000-0005-0000-0000-00000E000000}"/>
    <cellStyle name="Normal 2 2 4 2 3 2 4" xfId="1376" xr:uid="{00000000-0005-0000-0000-00000E000000}"/>
    <cellStyle name="Normal 2 2 4 2 3 2 4 2" xfId="5457" xr:uid="{00000000-0005-0000-0000-00000E000000}"/>
    <cellStyle name="Normal 2 2 4 2 3 2 4 2 2" xfId="13617" xr:uid="{00000000-0005-0000-0000-00000E000000}"/>
    <cellStyle name="Normal 2 2 4 2 3 2 4 3" xfId="9537" xr:uid="{00000000-0005-0000-0000-00000E000000}"/>
    <cellStyle name="Normal 2 2 4 2 3 2 5" xfId="3416" xr:uid="{00000000-0005-0000-0000-00000E000000}"/>
    <cellStyle name="Normal 2 2 4 2 3 2 5 2" xfId="7497" xr:uid="{00000000-0005-0000-0000-00000E000000}"/>
    <cellStyle name="Normal 2 2 4 2 3 2 5 2 2" xfId="15657" xr:uid="{00000000-0005-0000-0000-00000E000000}"/>
    <cellStyle name="Normal 2 2 4 2 3 2 5 3" xfId="11577" xr:uid="{00000000-0005-0000-0000-00000E000000}"/>
    <cellStyle name="Normal 2 2 4 2 3 2 6" xfId="4436" xr:uid="{00000000-0005-0000-0000-00000E000000}"/>
    <cellStyle name="Normal 2 2 4 2 3 2 6 2" xfId="12597" xr:uid="{00000000-0005-0000-0000-00000E000000}"/>
    <cellStyle name="Normal 2 2 4 2 3 2 7" xfId="8517" xr:uid="{00000000-0005-0000-0000-00000E000000}"/>
    <cellStyle name="Normal 2 2 4 2 3 3" xfId="967" xr:uid="{00000000-0005-0000-0000-00000E000000}"/>
    <cellStyle name="Normal 2 2 4 2 3 3 2" xfId="3008" xr:uid="{00000000-0005-0000-0000-00000E000000}"/>
    <cellStyle name="Normal 2 2 4 2 3 3 2 2" xfId="7089" xr:uid="{00000000-0005-0000-0000-00000E000000}"/>
    <cellStyle name="Normal 2 2 4 2 3 3 2 2 2" xfId="15249" xr:uid="{00000000-0005-0000-0000-00000E000000}"/>
    <cellStyle name="Normal 2 2 4 2 3 3 2 3" xfId="11169" xr:uid="{00000000-0005-0000-0000-00000E000000}"/>
    <cellStyle name="Normal 2 2 4 2 3 3 3" xfId="1988" xr:uid="{00000000-0005-0000-0000-00000E000000}"/>
    <cellStyle name="Normal 2 2 4 2 3 3 3 2" xfId="6069" xr:uid="{00000000-0005-0000-0000-00000E000000}"/>
    <cellStyle name="Normal 2 2 4 2 3 3 3 2 2" xfId="14229" xr:uid="{00000000-0005-0000-0000-00000E000000}"/>
    <cellStyle name="Normal 2 2 4 2 3 3 3 3" xfId="10149" xr:uid="{00000000-0005-0000-0000-00000E000000}"/>
    <cellStyle name="Normal 2 2 4 2 3 3 4" xfId="4028" xr:uid="{00000000-0005-0000-0000-00000E000000}"/>
    <cellStyle name="Normal 2 2 4 2 3 3 4 2" xfId="8109" xr:uid="{00000000-0005-0000-0000-00000E000000}"/>
    <cellStyle name="Normal 2 2 4 2 3 3 4 2 2" xfId="16269" xr:uid="{00000000-0005-0000-0000-00000E000000}"/>
    <cellStyle name="Normal 2 2 4 2 3 3 4 3" xfId="12189" xr:uid="{00000000-0005-0000-0000-00000E000000}"/>
    <cellStyle name="Normal 2 2 4 2 3 3 5" xfId="5048" xr:uid="{00000000-0005-0000-0000-00000E000000}"/>
    <cellStyle name="Normal 2 2 4 2 3 3 5 2" xfId="13209" xr:uid="{00000000-0005-0000-0000-00000E000000}"/>
    <cellStyle name="Normal 2 2 4 2 3 3 6" xfId="9129" xr:uid="{00000000-0005-0000-0000-00000E000000}"/>
    <cellStyle name="Normal 2 2 4 2 3 4" xfId="559" xr:uid="{00000000-0005-0000-0000-00000E000000}"/>
    <cellStyle name="Normal 2 2 4 2 3 4 2" xfId="2600" xr:uid="{00000000-0005-0000-0000-00000E000000}"/>
    <cellStyle name="Normal 2 2 4 2 3 4 2 2" xfId="6681" xr:uid="{00000000-0005-0000-0000-00000E000000}"/>
    <cellStyle name="Normal 2 2 4 2 3 4 2 2 2" xfId="14841" xr:uid="{00000000-0005-0000-0000-00000E000000}"/>
    <cellStyle name="Normal 2 2 4 2 3 4 2 3" xfId="10761" xr:uid="{00000000-0005-0000-0000-00000E000000}"/>
    <cellStyle name="Normal 2 2 4 2 3 4 3" xfId="1580" xr:uid="{00000000-0005-0000-0000-00000E000000}"/>
    <cellStyle name="Normal 2 2 4 2 3 4 3 2" xfId="5661" xr:uid="{00000000-0005-0000-0000-00000E000000}"/>
    <cellStyle name="Normal 2 2 4 2 3 4 3 2 2" xfId="13821" xr:uid="{00000000-0005-0000-0000-00000E000000}"/>
    <cellStyle name="Normal 2 2 4 2 3 4 3 3" xfId="9741" xr:uid="{00000000-0005-0000-0000-00000E000000}"/>
    <cellStyle name="Normal 2 2 4 2 3 4 4" xfId="3620" xr:uid="{00000000-0005-0000-0000-00000E000000}"/>
    <cellStyle name="Normal 2 2 4 2 3 4 4 2" xfId="7701" xr:uid="{00000000-0005-0000-0000-00000E000000}"/>
    <cellStyle name="Normal 2 2 4 2 3 4 4 2 2" xfId="15861" xr:uid="{00000000-0005-0000-0000-00000E000000}"/>
    <cellStyle name="Normal 2 2 4 2 3 4 4 3" xfId="11781" xr:uid="{00000000-0005-0000-0000-00000E000000}"/>
    <cellStyle name="Normal 2 2 4 2 3 4 5" xfId="4640" xr:uid="{00000000-0005-0000-0000-00000E000000}"/>
    <cellStyle name="Normal 2 2 4 2 3 4 5 2" xfId="12801" xr:uid="{00000000-0005-0000-0000-00000E000000}"/>
    <cellStyle name="Normal 2 2 4 2 3 4 6" xfId="8721" xr:uid="{00000000-0005-0000-0000-00000E000000}"/>
    <cellStyle name="Normal 2 2 4 2 3 5" xfId="2192" xr:uid="{00000000-0005-0000-0000-00000E000000}"/>
    <cellStyle name="Normal 2 2 4 2 3 5 2" xfId="6273" xr:uid="{00000000-0005-0000-0000-00000E000000}"/>
    <cellStyle name="Normal 2 2 4 2 3 5 2 2" xfId="14433" xr:uid="{00000000-0005-0000-0000-00000E000000}"/>
    <cellStyle name="Normal 2 2 4 2 3 5 3" xfId="10353" xr:uid="{00000000-0005-0000-0000-00000E000000}"/>
    <cellStyle name="Normal 2 2 4 2 3 6" xfId="1172" xr:uid="{00000000-0005-0000-0000-00000E000000}"/>
    <cellStyle name="Normal 2 2 4 2 3 6 2" xfId="5253" xr:uid="{00000000-0005-0000-0000-00000E000000}"/>
    <cellStyle name="Normal 2 2 4 2 3 6 2 2" xfId="13413" xr:uid="{00000000-0005-0000-0000-00000E000000}"/>
    <cellStyle name="Normal 2 2 4 2 3 6 3" xfId="9333" xr:uid="{00000000-0005-0000-0000-00000E000000}"/>
    <cellStyle name="Normal 2 2 4 2 3 7" xfId="3212" xr:uid="{00000000-0005-0000-0000-00000E000000}"/>
    <cellStyle name="Normal 2 2 4 2 3 7 2" xfId="7293" xr:uid="{00000000-0005-0000-0000-00000E000000}"/>
    <cellStyle name="Normal 2 2 4 2 3 7 2 2" xfId="15453" xr:uid="{00000000-0005-0000-0000-00000E000000}"/>
    <cellStyle name="Normal 2 2 4 2 3 7 3" xfId="11373" xr:uid="{00000000-0005-0000-0000-00000E000000}"/>
    <cellStyle name="Normal 2 2 4 2 3 8" xfId="4232" xr:uid="{00000000-0005-0000-0000-00000E000000}"/>
    <cellStyle name="Normal 2 2 4 2 3 8 2" xfId="12393" xr:uid="{00000000-0005-0000-0000-00000E000000}"/>
    <cellStyle name="Normal 2 2 4 2 3 9" xfId="8313" xr:uid="{00000000-0005-0000-0000-00000E000000}"/>
    <cellStyle name="Normal 2 2 4 2 4" xfId="253" xr:uid="{00000000-0005-0000-0000-00000E000000}"/>
    <cellStyle name="Normal 2 2 4 2 4 2" xfId="661" xr:uid="{00000000-0005-0000-0000-00000E000000}"/>
    <cellStyle name="Normal 2 2 4 2 4 2 2" xfId="2702" xr:uid="{00000000-0005-0000-0000-00000E000000}"/>
    <cellStyle name="Normal 2 2 4 2 4 2 2 2" xfId="6783" xr:uid="{00000000-0005-0000-0000-00000E000000}"/>
    <cellStyle name="Normal 2 2 4 2 4 2 2 2 2" xfId="14943" xr:uid="{00000000-0005-0000-0000-00000E000000}"/>
    <cellStyle name="Normal 2 2 4 2 4 2 2 3" xfId="10863" xr:uid="{00000000-0005-0000-0000-00000E000000}"/>
    <cellStyle name="Normal 2 2 4 2 4 2 3" xfId="1682" xr:uid="{00000000-0005-0000-0000-00000E000000}"/>
    <cellStyle name="Normal 2 2 4 2 4 2 3 2" xfId="5763" xr:uid="{00000000-0005-0000-0000-00000E000000}"/>
    <cellStyle name="Normal 2 2 4 2 4 2 3 2 2" xfId="13923" xr:uid="{00000000-0005-0000-0000-00000E000000}"/>
    <cellStyle name="Normal 2 2 4 2 4 2 3 3" xfId="9843" xr:uid="{00000000-0005-0000-0000-00000E000000}"/>
    <cellStyle name="Normal 2 2 4 2 4 2 4" xfId="3722" xr:uid="{00000000-0005-0000-0000-00000E000000}"/>
    <cellStyle name="Normal 2 2 4 2 4 2 4 2" xfId="7803" xr:uid="{00000000-0005-0000-0000-00000E000000}"/>
    <cellStyle name="Normal 2 2 4 2 4 2 4 2 2" xfId="15963" xr:uid="{00000000-0005-0000-0000-00000E000000}"/>
    <cellStyle name="Normal 2 2 4 2 4 2 4 3" xfId="11883" xr:uid="{00000000-0005-0000-0000-00000E000000}"/>
    <cellStyle name="Normal 2 2 4 2 4 2 5" xfId="4742" xr:uid="{00000000-0005-0000-0000-00000E000000}"/>
    <cellStyle name="Normal 2 2 4 2 4 2 5 2" xfId="12903" xr:uid="{00000000-0005-0000-0000-00000E000000}"/>
    <cellStyle name="Normal 2 2 4 2 4 2 6" xfId="8823" xr:uid="{00000000-0005-0000-0000-00000E000000}"/>
    <cellStyle name="Normal 2 2 4 2 4 3" xfId="2294" xr:uid="{00000000-0005-0000-0000-00000E000000}"/>
    <cellStyle name="Normal 2 2 4 2 4 3 2" xfId="6375" xr:uid="{00000000-0005-0000-0000-00000E000000}"/>
    <cellStyle name="Normal 2 2 4 2 4 3 2 2" xfId="14535" xr:uid="{00000000-0005-0000-0000-00000E000000}"/>
    <cellStyle name="Normal 2 2 4 2 4 3 3" xfId="10455" xr:uid="{00000000-0005-0000-0000-00000E000000}"/>
    <cellStyle name="Normal 2 2 4 2 4 4" xfId="1274" xr:uid="{00000000-0005-0000-0000-00000E000000}"/>
    <cellStyle name="Normal 2 2 4 2 4 4 2" xfId="5355" xr:uid="{00000000-0005-0000-0000-00000E000000}"/>
    <cellStyle name="Normal 2 2 4 2 4 4 2 2" xfId="13515" xr:uid="{00000000-0005-0000-0000-00000E000000}"/>
    <cellStyle name="Normal 2 2 4 2 4 4 3" xfId="9435" xr:uid="{00000000-0005-0000-0000-00000E000000}"/>
    <cellStyle name="Normal 2 2 4 2 4 5" xfId="3314" xr:uid="{00000000-0005-0000-0000-00000E000000}"/>
    <cellStyle name="Normal 2 2 4 2 4 5 2" xfId="7395" xr:uid="{00000000-0005-0000-0000-00000E000000}"/>
    <cellStyle name="Normal 2 2 4 2 4 5 2 2" xfId="15555" xr:uid="{00000000-0005-0000-0000-00000E000000}"/>
    <cellStyle name="Normal 2 2 4 2 4 5 3" xfId="11475" xr:uid="{00000000-0005-0000-0000-00000E000000}"/>
    <cellStyle name="Normal 2 2 4 2 4 6" xfId="4334" xr:uid="{00000000-0005-0000-0000-00000E000000}"/>
    <cellStyle name="Normal 2 2 4 2 4 6 2" xfId="12495" xr:uid="{00000000-0005-0000-0000-00000E000000}"/>
    <cellStyle name="Normal 2 2 4 2 4 7" xfId="8415" xr:uid="{00000000-0005-0000-0000-00000E000000}"/>
    <cellStyle name="Normal 2 2 4 2 5" xfId="865" xr:uid="{00000000-0005-0000-0000-00000E000000}"/>
    <cellStyle name="Normal 2 2 4 2 5 2" xfId="2906" xr:uid="{00000000-0005-0000-0000-00000E000000}"/>
    <cellStyle name="Normal 2 2 4 2 5 2 2" xfId="6987" xr:uid="{00000000-0005-0000-0000-00000E000000}"/>
    <cellStyle name="Normal 2 2 4 2 5 2 2 2" xfId="15147" xr:uid="{00000000-0005-0000-0000-00000E000000}"/>
    <cellStyle name="Normal 2 2 4 2 5 2 3" xfId="11067" xr:uid="{00000000-0005-0000-0000-00000E000000}"/>
    <cellStyle name="Normal 2 2 4 2 5 3" xfId="1886" xr:uid="{00000000-0005-0000-0000-00000E000000}"/>
    <cellStyle name="Normal 2 2 4 2 5 3 2" xfId="5967" xr:uid="{00000000-0005-0000-0000-00000E000000}"/>
    <cellStyle name="Normal 2 2 4 2 5 3 2 2" xfId="14127" xr:uid="{00000000-0005-0000-0000-00000E000000}"/>
    <cellStyle name="Normal 2 2 4 2 5 3 3" xfId="10047" xr:uid="{00000000-0005-0000-0000-00000E000000}"/>
    <cellStyle name="Normal 2 2 4 2 5 4" xfId="3926" xr:uid="{00000000-0005-0000-0000-00000E000000}"/>
    <cellStyle name="Normal 2 2 4 2 5 4 2" xfId="8007" xr:uid="{00000000-0005-0000-0000-00000E000000}"/>
    <cellStyle name="Normal 2 2 4 2 5 4 2 2" xfId="16167" xr:uid="{00000000-0005-0000-0000-00000E000000}"/>
    <cellStyle name="Normal 2 2 4 2 5 4 3" xfId="12087" xr:uid="{00000000-0005-0000-0000-00000E000000}"/>
    <cellStyle name="Normal 2 2 4 2 5 5" xfId="4946" xr:uid="{00000000-0005-0000-0000-00000E000000}"/>
    <cellStyle name="Normal 2 2 4 2 5 5 2" xfId="13107" xr:uid="{00000000-0005-0000-0000-00000E000000}"/>
    <cellStyle name="Normal 2 2 4 2 5 6" xfId="9027" xr:uid="{00000000-0005-0000-0000-00000E000000}"/>
    <cellStyle name="Normal 2 2 4 2 6" xfId="457" xr:uid="{00000000-0005-0000-0000-00000E000000}"/>
    <cellStyle name="Normal 2 2 4 2 6 2" xfId="2498" xr:uid="{00000000-0005-0000-0000-00000E000000}"/>
    <cellStyle name="Normal 2 2 4 2 6 2 2" xfId="6579" xr:uid="{00000000-0005-0000-0000-00000E000000}"/>
    <cellStyle name="Normal 2 2 4 2 6 2 2 2" xfId="14739" xr:uid="{00000000-0005-0000-0000-00000E000000}"/>
    <cellStyle name="Normal 2 2 4 2 6 2 3" xfId="10659" xr:uid="{00000000-0005-0000-0000-00000E000000}"/>
    <cellStyle name="Normal 2 2 4 2 6 3" xfId="1478" xr:uid="{00000000-0005-0000-0000-00000E000000}"/>
    <cellStyle name="Normal 2 2 4 2 6 3 2" xfId="5559" xr:uid="{00000000-0005-0000-0000-00000E000000}"/>
    <cellStyle name="Normal 2 2 4 2 6 3 2 2" xfId="13719" xr:uid="{00000000-0005-0000-0000-00000E000000}"/>
    <cellStyle name="Normal 2 2 4 2 6 3 3" xfId="9639" xr:uid="{00000000-0005-0000-0000-00000E000000}"/>
    <cellStyle name="Normal 2 2 4 2 6 4" xfId="3518" xr:uid="{00000000-0005-0000-0000-00000E000000}"/>
    <cellStyle name="Normal 2 2 4 2 6 4 2" xfId="7599" xr:uid="{00000000-0005-0000-0000-00000E000000}"/>
    <cellStyle name="Normal 2 2 4 2 6 4 2 2" xfId="15759" xr:uid="{00000000-0005-0000-0000-00000E000000}"/>
    <cellStyle name="Normal 2 2 4 2 6 4 3" xfId="11679" xr:uid="{00000000-0005-0000-0000-00000E000000}"/>
    <cellStyle name="Normal 2 2 4 2 6 5" xfId="4538" xr:uid="{00000000-0005-0000-0000-00000E000000}"/>
    <cellStyle name="Normal 2 2 4 2 6 5 2" xfId="12699" xr:uid="{00000000-0005-0000-0000-00000E000000}"/>
    <cellStyle name="Normal 2 2 4 2 6 6" xfId="8619" xr:uid="{00000000-0005-0000-0000-00000E000000}"/>
    <cellStyle name="Normal 2 2 4 2 7" xfId="2090" xr:uid="{00000000-0005-0000-0000-00000E000000}"/>
    <cellStyle name="Normal 2 2 4 2 7 2" xfId="6171" xr:uid="{00000000-0005-0000-0000-00000E000000}"/>
    <cellStyle name="Normal 2 2 4 2 7 2 2" xfId="14331" xr:uid="{00000000-0005-0000-0000-00000E000000}"/>
    <cellStyle name="Normal 2 2 4 2 7 3" xfId="10251" xr:uid="{00000000-0005-0000-0000-00000E000000}"/>
    <cellStyle name="Normal 2 2 4 2 8" xfId="1070" xr:uid="{00000000-0005-0000-0000-00000E000000}"/>
    <cellStyle name="Normal 2 2 4 2 8 2" xfId="5151" xr:uid="{00000000-0005-0000-0000-00000E000000}"/>
    <cellStyle name="Normal 2 2 4 2 8 2 2" xfId="13311" xr:uid="{00000000-0005-0000-0000-00000E000000}"/>
    <cellStyle name="Normal 2 2 4 2 8 3" xfId="9231" xr:uid="{00000000-0005-0000-0000-00000E000000}"/>
    <cellStyle name="Normal 2 2 4 2 9" xfId="3110" xr:uid="{00000000-0005-0000-0000-00000E000000}"/>
    <cellStyle name="Normal 2 2 4 2 9 2" xfId="7191" xr:uid="{00000000-0005-0000-0000-00000E000000}"/>
    <cellStyle name="Normal 2 2 4 2 9 2 2" xfId="15351" xr:uid="{00000000-0005-0000-0000-00000E000000}"/>
    <cellStyle name="Normal 2 2 4 2 9 3" xfId="11271" xr:uid="{00000000-0005-0000-0000-00000E000000}"/>
    <cellStyle name="Normal 2 2 4 3" xfId="75" xr:uid="{00000000-0005-0000-0000-00000D000000}"/>
    <cellStyle name="Normal 2 2 4 3 10" xfId="8237" xr:uid="{00000000-0005-0000-0000-00000D000000}"/>
    <cellStyle name="Normal 2 2 4 3 2" xfId="177" xr:uid="{00000000-0005-0000-0000-00000D000000}"/>
    <cellStyle name="Normal 2 2 4 3 2 2" xfId="381" xr:uid="{00000000-0005-0000-0000-00000D000000}"/>
    <cellStyle name="Normal 2 2 4 3 2 2 2" xfId="789" xr:uid="{00000000-0005-0000-0000-00000D000000}"/>
    <cellStyle name="Normal 2 2 4 3 2 2 2 2" xfId="2830" xr:uid="{00000000-0005-0000-0000-00000D000000}"/>
    <cellStyle name="Normal 2 2 4 3 2 2 2 2 2" xfId="6911" xr:uid="{00000000-0005-0000-0000-00000D000000}"/>
    <cellStyle name="Normal 2 2 4 3 2 2 2 2 2 2" xfId="15071" xr:uid="{00000000-0005-0000-0000-00000D000000}"/>
    <cellStyle name="Normal 2 2 4 3 2 2 2 2 3" xfId="10991" xr:uid="{00000000-0005-0000-0000-00000D000000}"/>
    <cellStyle name="Normal 2 2 4 3 2 2 2 3" xfId="1810" xr:uid="{00000000-0005-0000-0000-00000D000000}"/>
    <cellStyle name="Normal 2 2 4 3 2 2 2 3 2" xfId="5891" xr:uid="{00000000-0005-0000-0000-00000D000000}"/>
    <cellStyle name="Normal 2 2 4 3 2 2 2 3 2 2" xfId="14051" xr:uid="{00000000-0005-0000-0000-00000D000000}"/>
    <cellStyle name="Normal 2 2 4 3 2 2 2 3 3" xfId="9971" xr:uid="{00000000-0005-0000-0000-00000D000000}"/>
    <cellStyle name="Normal 2 2 4 3 2 2 2 4" xfId="3850" xr:uid="{00000000-0005-0000-0000-00000D000000}"/>
    <cellStyle name="Normal 2 2 4 3 2 2 2 4 2" xfId="7931" xr:uid="{00000000-0005-0000-0000-00000D000000}"/>
    <cellStyle name="Normal 2 2 4 3 2 2 2 4 2 2" xfId="16091" xr:uid="{00000000-0005-0000-0000-00000D000000}"/>
    <cellStyle name="Normal 2 2 4 3 2 2 2 4 3" xfId="12011" xr:uid="{00000000-0005-0000-0000-00000D000000}"/>
    <cellStyle name="Normal 2 2 4 3 2 2 2 5" xfId="4870" xr:uid="{00000000-0005-0000-0000-00000D000000}"/>
    <cellStyle name="Normal 2 2 4 3 2 2 2 5 2" xfId="13031" xr:uid="{00000000-0005-0000-0000-00000D000000}"/>
    <cellStyle name="Normal 2 2 4 3 2 2 2 6" xfId="8951" xr:uid="{00000000-0005-0000-0000-00000D000000}"/>
    <cellStyle name="Normal 2 2 4 3 2 2 3" xfId="2422" xr:uid="{00000000-0005-0000-0000-00000D000000}"/>
    <cellStyle name="Normal 2 2 4 3 2 2 3 2" xfId="6503" xr:uid="{00000000-0005-0000-0000-00000D000000}"/>
    <cellStyle name="Normal 2 2 4 3 2 2 3 2 2" xfId="14663" xr:uid="{00000000-0005-0000-0000-00000D000000}"/>
    <cellStyle name="Normal 2 2 4 3 2 2 3 3" xfId="10583" xr:uid="{00000000-0005-0000-0000-00000D000000}"/>
    <cellStyle name="Normal 2 2 4 3 2 2 4" xfId="1402" xr:uid="{00000000-0005-0000-0000-00000D000000}"/>
    <cellStyle name="Normal 2 2 4 3 2 2 4 2" xfId="5483" xr:uid="{00000000-0005-0000-0000-00000D000000}"/>
    <cellStyle name="Normal 2 2 4 3 2 2 4 2 2" xfId="13643" xr:uid="{00000000-0005-0000-0000-00000D000000}"/>
    <cellStyle name="Normal 2 2 4 3 2 2 4 3" xfId="9563" xr:uid="{00000000-0005-0000-0000-00000D000000}"/>
    <cellStyle name="Normal 2 2 4 3 2 2 5" xfId="3442" xr:uid="{00000000-0005-0000-0000-00000D000000}"/>
    <cellStyle name="Normal 2 2 4 3 2 2 5 2" xfId="7523" xr:uid="{00000000-0005-0000-0000-00000D000000}"/>
    <cellStyle name="Normal 2 2 4 3 2 2 5 2 2" xfId="15683" xr:uid="{00000000-0005-0000-0000-00000D000000}"/>
    <cellStyle name="Normal 2 2 4 3 2 2 5 3" xfId="11603" xr:uid="{00000000-0005-0000-0000-00000D000000}"/>
    <cellStyle name="Normal 2 2 4 3 2 2 6" xfId="4462" xr:uid="{00000000-0005-0000-0000-00000D000000}"/>
    <cellStyle name="Normal 2 2 4 3 2 2 6 2" xfId="12623" xr:uid="{00000000-0005-0000-0000-00000D000000}"/>
    <cellStyle name="Normal 2 2 4 3 2 2 7" xfId="8543" xr:uid="{00000000-0005-0000-0000-00000D000000}"/>
    <cellStyle name="Normal 2 2 4 3 2 3" xfId="993" xr:uid="{00000000-0005-0000-0000-00000D000000}"/>
    <cellStyle name="Normal 2 2 4 3 2 3 2" xfId="3034" xr:uid="{00000000-0005-0000-0000-00000D000000}"/>
    <cellStyle name="Normal 2 2 4 3 2 3 2 2" xfId="7115" xr:uid="{00000000-0005-0000-0000-00000D000000}"/>
    <cellStyle name="Normal 2 2 4 3 2 3 2 2 2" xfId="15275" xr:uid="{00000000-0005-0000-0000-00000D000000}"/>
    <cellStyle name="Normal 2 2 4 3 2 3 2 3" xfId="11195" xr:uid="{00000000-0005-0000-0000-00000D000000}"/>
    <cellStyle name="Normal 2 2 4 3 2 3 3" xfId="2014" xr:uid="{00000000-0005-0000-0000-00000D000000}"/>
    <cellStyle name="Normal 2 2 4 3 2 3 3 2" xfId="6095" xr:uid="{00000000-0005-0000-0000-00000D000000}"/>
    <cellStyle name="Normal 2 2 4 3 2 3 3 2 2" xfId="14255" xr:uid="{00000000-0005-0000-0000-00000D000000}"/>
    <cellStyle name="Normal 2 2 4 3 2 3 3 3" xfId="10175" xr:uid="{00000000-0005-0000-0000-00000D000000}"/>
    <cellStyle name="Normal 2 2 4 3 2 3 4" xfId="4054" xr:uid="{00000000-0005-0000-0000-00000D000000}"/>
    <cellStyle name="Normal 2 2 4 3 2 3 4 2" xfId="8135" xr:uid="{00000000-0005-0000-0000-00000D000000}"/>
    <cellStyle name="Normal 2 2 4 3 2 3 4 2 2" xfId="16295" xr:uid="{00000000-0005-0000-0000-00000D000000}"/>
    <cellStyle name="Normal 2 2 4 3 2 3 4 3" xfId="12215" xr:uid="{00000000-0005-0000-0000-00000D000000}"/>
    <cellStyle name="Normal 2 2 4 3 2 3 5" xfId="5074" xr:uid="{00000000-0005-0000-0000-00000D000000}"/>
    <cellStyle name="Normal 2 2 4 3 2 3 5 2" xfId="13235" xr:uid="{00000000-0005-0000-0000-00000D000000}"/>
    <cellStyle name="Normal 2 2 4 3 2 3 6" xfId="9155" xr:uid="{00000000-0005-0000-0000-00000D000000}"/>
    <cellStyle name="Normal 2 2 4 3 2 4" xfId="585" xr:uid="{00000000-0005-0000-0000-00000D000000}"/>
    <cellStyle name="Normal 2 2 4 3 2 4 2" xfId="2626" xr:uid="{00000000-0005-0000-0000-00000D000000}"/>
    <cellStyle name="Normal 2 2 4 3 2 4 2 2" xfId="6707" xr:uid="{00000000-0005-0000-0000-00000D000000}"/>
    <cellStyle name="Normal 2 2 4 3 2 4 2 2 2" xfId="14867" xr:uid="{00000000-0005-0000-0000-00000D000000}"/>
    <cellStyle name="Normal 2 2 4 3 2 4 2 3" xfId="10787" xr:uid="{00000000-0005-0000-0000-00000D000000}"/>
    <cellStyle name="Normal 2 2 4 3 2 4 3" xfId="1606" xr:uid="{00000000-0005-0000-0000-00000D000000}"/>
    <cellStyle name="Normal 2 2 4 3 2 4 3 2" xfId="5687" xr:uid="{00000000-0005-0000-0000-00000D000000}"/>
    <cellStyle name="Normal 2 2 4 3 2 4 3 2 2" xfId="13847" xr:uid="{00000000-0005-0000-0000-00000D000000}"/>
    <cellStyle name="Normal 2 2 4 3 2 4 3 3" xfId="9767" xr:uid="{00000000-0005-0000-0000-00000D000000}"/>
    <cellStyle name="Normal 2 2 4 3 2 4 4" xfId="3646" xr:uid="{00000000-0005-0000-0000-00000D000000}"/>
    <cellStyle name="Normal 2 2 4 3 2 4 4 2" xfId="7727" xr:uid="{00000000-0005-0000-0000-00000D000000}"/>
    <cellStyle name="Normal 2 2 4 3 2 4 4 2 2" xfId="15887" xr:uid="{00000000-0005-0000-0000-00000D000000}"/>
    <cellStyle name="Normal 2 2 4 3 2 4 4 3" xfId="11807" xr:uid="{00000000-0005-0000-0000-00000D000000}"/>
    <cellStyle name="Normal 2 2 4 3 2 4 5" xfId="4666" xr:uid="{00000000-0005-0000-0000-00000D000000}"/>
    <cellStyle name="Normal 2 2 4 3 2 4 5 2" xfId="12827" xr:uid="{00000000-0005-0000-0000-00000D000000}"/>
    <cellStyle name="Normal 2 2 4 3 2 4 6" xfId="8747" xr:uid="{00000000-0005-0000-0000-00000D000000}"/>
    <cellStyle name="Normal 2 2 4 3 2 5" xfId="2218" xr:uid="{00000000-0005-0000-0000-00000D000000}"/>
    <cellStyle name="Normal 2 2 4 3 2 5 2" xfId="6299" xr:uid="{00000000-0005-0000-0000-00000D000000}"/>
    <cellStyle name="Normal 2 2 4 3 2 5 2 2" xfId="14459" xr:uid="{00000000-0005-0000-0000-00000D000000}"/>
    <cellStyle name="Normal 2 2 4 3 2 5 3" xfId="10379" xr:uid="{00000000-0005-0000-0000-00000D000000}"/>
    <cellStyle name="Normal 2 2 4 3 2 6" xfId="1198" xr:uid="{00000000-0005-0000-0000-00000D000000}"/>
    <cellStyle name="Normal 2 2 4 3 2 6 2" xfId="5279" xr:uid="{00000000-0005-0000-0000-00000D000000}"/>
    <cellStyle name="Normal 2 2 4 3 2 6 2 2" xfId="13439" xr:uid="{00000000-0005-0000-0000-00000D000000}"/>
    <cellStyle name="Normal 2 2 4 3 2 6 3" xfId="9359" xr:uid="{00000000-0005-0000-0000-00000D000000}"/>
    <cellStyle name="Normal 2 2 4 3 2 7" xfId="3238" xr:uid="{00000000-0005-0000-0000-00000D000000}"/>
    <cellStyle name="Normal 2 2 4 3 2 7 2" xfId="7319" xr:uid="{00000000-0005-0000-0000-00000D000000}"/>
    <cellStyle name="Normal 2 2 4 3 2 7 2 2" xfId="15479" xr:uid="{00000000-0005-0000-0000-00000D000000}"/>
    <cellStyle name="Normal 2 2 4 3 2 7 3" xfId="11399" xr:uid="{00000000-0005-0000-0000-00000D000000}"/>
    <cellStyle name="Normal 2 2 4 3 2 8" xfId="4258" xr:uid="{00000000-0005-0000-0000-00000D000000}"/>
    <cellStyle name="Normal 2 2 4 3 2 8 2" xfId="12419" xr:uid="{00000000-0005-0000-0000-00000D000000}"/>
    <cellStyle name="Normal 2 2 4 3 2 9" xfId="8339" xr:uid="{00000000-0005-0000-0000-00000D000000}"/>
    <cellStyle name="Normal 2 2 4 3 3" xfId="279" xr:uid="{00000000-0005-0000-0000-00000D000000}"/>
    <cellStyle name="Normal 2 2 4 3 3 2" xfId="687" xr:uid="{00000000-0005-0000-0000-00000D000000}"/>
    <cellStyle name="Normal 2 2 4 3 3 2 2" xfId="2728" xr:uid="{00000000-0005-0000-0000-00000D000000}"/>
    <cellStyle name="Normal 2 2 4 3 3 2 2 2" xfId="6809" xr:uid="{00000000-0005-0000-0000-00000D000000}"/>
    <cellStyle name="Normal 2 2 4 3 3 2 2 2 2" xfId="14969" xr:uid="{00000000-0005-0000-0000-00000D000000}"/>
    <cellStyle name="Normal 2 2 4 3 3 2 2 3" xfId="10889" xr:uid="{00000000-0005-0000-0000-00000D000000}"/>
    <cellStyle name="Normal 2 2 4 3 3 2 3" xfId="1708" xr:uid="{00000000-0005-0000-0000-00000D000000}"/>
    <cellStyle name="Normal 2 2 4 3 3 2 3 2" xfId="5789" xr:uid="{00000000-0005-0000-0000-00000D000000}"/>
    <cellStyle name="Normal 2 2 4 3 3 2 3 2 2" xfId="13949" xr:uid="{00000000-0005-0000-0000-00000D000000}"/>
    <cellStyle name="Normal 2 2 4 3 3 2 3 3" xfId="9869" xr:uid="{00000000-0005-0000-0000-00000D000000}"/>
    <cellStyle name="Normal 2 2 4 3 3 2 4" xfId="3748" xr:uid="{00000000-0005-0000-0000-00000D000000}"/>
    <cellStyle name="Normal 2 2 4 3 3 2 4 2" xfId="7829" xr:uid="{00000000-0005-0000-0000-00000D000000}"/>
    <cellStyle name="Normal 2 2 4 3 3 2 4 2 2" xfId="15989" xr:uid="{00000000-0005-0000-0000-00000D000000}"/>
    <cellStyle name="Normal 2 2 4 3 3 2 4 3" xfId="11909" xr:uid="{00000000-0005-0000-0000-00000D000000}"/>
    <cellStyle name="Normal 2 2 4 3 3 2 5" xfId="4768" xr:uid="{00000000-0005-0000-0000-00000D000000}"/>
    <cellStyle name="Normal 2 2 4 3 3 2 5 2" xfId="12929" xr:uid="{00000000-0005-0000-0000-00000D000000}"/>
    <cellStyle name="Normal 2 2 4 3 3 2 6" xfId="8849" xr:uid="{00000000-0005-0000-0000-00000D000000}"/>
    <cellStyle name="Normal 2 2 4 3 3 3" xfId="2320" xr:uid="{00000000-0005-0000-0000-00000D000000}"/>
    <cellStyle name="Normal 2 2 4 3 3 3 2" xfId="6401" xr:uid="{00000000-0005-0000-0000-00000D000000}"/>
    <cellStyle name="Normal 2 2 4 3 3 3 2 2" xfId="14561" xr:uid="{00000000-0005-0000-0000-00000D000000}"/>
    <cellStyle name="Normal 2 2 4 3 3 3 3" xfId="10481" xr:uid="{00000000-0005-0000-0000-00000D000000}"/>
    <cellStyle name="Normal 2 2 4 3 3 4" xfId="1300" xr:uid="{00000000-0005-0000-0000-00000D000000}"/>
    <cellStyle name="Normal 2 2 4 3 3 4 2" xfId="5381" xr:uid="{00000000-0005-0000-0000-00000D000000}"/>
    <cellStyle name="Normal 2 2 4 3 3 4 2 2" xfId="13541" xr:uid="{00000000-0005-0000-0000-00000D000000}"/>
    <cellStyle name="Normal 2 2 4 3 3 4 3" xfId="9461" xr:uid="{00000000-0005-0000-0000-00000D000000}"/>
    <cellStyle name="Normal 2 2 4 3 3 5" xfId="3340" xr:uid="{00000000-0005-0000-0000-00000D000000}"/>
    <cellStyle name="Normal 2 2 4 3 3 5 2" xfId="7421" xr:uid="{00000000-0005-0000-0000-00000D000000}"/>
    <cellStyle name="Normal 2 2 4 3 3 5 2 2" xfId="15581" xr:uid="{00000000-0005-0000-0000-00000D000000}"/>
    <cellStyle name="Normal 2 2 4 3 3 5 3" xfId="11501" xr:uid="{00000000-0005-0000-0000-00000D000000}"/>
    <cellStyle name="Normal 2 2 4 3 3 6" xfId="4360" xr:uid="{00000000-0005-0000-0000-00000D000000}"/>
    <cellStyle name="Normal 2 2 4 3 3 6 2" xfId="12521" xr:uid="{00000000-0005-0000-0000-00000D000000}"/>
    <cellStyle name="Normal 2 2 4 3 3 7" xfId="8441" xr:uid="{00000000-0005-0000-0000-00000D000000}"/>
    <cellStyle name="Normal 2 2 4 3 4" xfId="891" xr:uid="{00000000-0005-0000-0000-00000D000000}"/>
    <cellStyle name="Normal 2 2 4 3 4 2" xfId="2932" xr:uid="{00000000-0005-0000-0000-00000D000000}"/>
    <cellStyle name="Normal 2 2 4 3 4 2 2" xfId="7013" xr:uid="{00000000-0005-0000-0000-00000D000000}"/>
    <cellStyle name="Normal 2 2 4 3 4 2 2 2" xfId="15173" xr:uid="{00000000-0005-0000-0000-00000D000000}"/>
    <cellStyle name="Normal 2 2 4 3 4 2 3" xfId="11093" xr:uid="{00000000-0005-0000-0000-00000D000000}"/>
    <cellStyle name="Normal 2 2 4 3 4 3" xfId="1912" xr:uid="{00000000-0005-0000-0000-00000D000000}"/>
    <cellStyle name="Normal 2 2 4 3 4 3 2" xfId="5993" xr:uid="{00000000-0005-0000-0000-00000D000000}"/>
    <cellStyle name="Normal 2 2 4 3 4 3 2 2" xfId="14153" xr:uid="{00000000-0005-0000-0000-00000D000000}"/>
    <cellStyle name="Normal 2 2 4 3 4 3 3" xfId="10073" xr:uid="{00000000-0005-0000-0000-00000D000000}"/>
    <cellStyle name="Normal 2 2 4 3 4 4" xfId="3952" xr:uid="{00000000-0005-0000-0000-00000D000000}"/>
    <cellStyle name="Normal 2 2 4 3 4 4 2" xfId="8033" xr:uid="{00000000-0005-0000-0000-00000D000000}"/>
    <cellStyle name="Normal 2 2 4 3 4 4 2 2" xfId="16193" xr:uid="{00000000-0005-0000-0000-00000D000000}"/>
    <cellStyle name="Normal 2 2 4 3 4 4 3" xfId="12113" xr:uid="{00000000-0005-0000-0000-00000D000000}"/>
    <cellStyle name="Normal 2 2 4 3 4 5" xfId="4972" xr:uid="{00000000-0005-0000-0000-00000D000000}"/>
    <cellStyle name="Normal 2 2 4 3 4 5 2" xfId="13133" xr:uid="{00000000-0005-0000-0000-00000D000000}"/>
    <cellStyle name="Normal 2 2 4 3 4 6" xfId="9053" xr:uid="{00000000-0005-0000-0000-00000D000000}"/>
    <cellStyle name="Normal 2 2 4 3 5" xfId="483" xr:uid="{00000000-0005-0000-0000-00000D000000}"/>
    <cellStyle name="Normal 2 2 4 3 5 2" xfId="2524" xr:uid="{00000000-0005-0000-0000-00000D000000}"/>
    <cellStyle name="Normal 2 2 4 3 5 2 2" xfId="6605" xr:uid="{00000000-0005-0000-0000-00000D000000}"/>
    <cellStyle name="Normal 2 2 4 3 5 2 2 2" xfId="14765" xr:uid="{00000000-0005-0000-0000-00000D000000}"/>
    <cellStyle name="Normal 2 2 4 3 5 2 3" xfId="10685" xr:uid="{00000000-0005-0000-0000-00000D000000}"/>
    <cellStyle name="Normal 2 2 4 3 5 3" xfId="1504" xr:uid="{00000000-0005-0000-0000-00000D000000}"/>
    <cellStyle name="Normal 2 2 4 3 5 3 2" xfId="5585" xr:uid="{00000000-0005-0000-0000-00000D000000}"/>
    <cellStyle name="Normal 2 2 4 3 5 3 2 2" xfId="13745" xr:uid="{00000000-0005-0000-0000-00000D000000}"/>
    <cellStyle name="Normal 2 2 4 3 5 3 3" xfId="9665" xr:uid="{00000000-0005-0000-0000-00000D000000}"/>
    <cellStyle name="Normal 2 2 4 3 5 4" xfId="3544" xr:uid="{00000000-0005-0000-0000-00000D000000}"/>
    <cellStyle name="Normal 2 2 4 3 5 4 2" xfId="7625" xr:uid="{00000000-0005-0000-0000-00000D000000}"/>
    <cellStyle name="Normal 2 2 4 3 5 4 2 2" xfId="15785" xr:uid="{00000000-0005-0000-0000-00000D000000}"/>
    <cellStyle name="Normal 2 2 4 3 5 4 3" xfId="11705" xr:uid="{00000000-0005-0000-0000-00000D000000}"/>
    <cellStyle name="Normal 2 2 4 3 5 5" xfId="4564" xr:uid="{00000000-0005-0000-0000-00000D000000}"/>
    <cellStyle name="Normal 2 2 4 3 5 5 2" xfId="12725" xr:uid="{00000000-0005-0000-0000-00000D000000}"/>
    <cellStyle name="Normal 2 2 4 3 5 6" xfId="8645" xr:uid="{00000000-0005-0000-0000-00000D000000}"/>
    <cellStyle name="Normal 2 2 4 3 6" xfId="2116" xr:uid="{00000000-0005-0000-0000-00000D000000}"/>
    <cellStyle name="Normal 2 2 4 3 6 2" xfId="6197" xr:uid="{00000000-0005-0000-0000-00000D000000}"/>
    <cellStyle name="Normal 2 2 4 3 6 2 2" xfId="14357" xr:uid="{00000000-0005-0000-0000-00000D000000}"/>
    <cellStyle name="Normal 2 2 4 3 6 3" xfId="10277" xr:uid="{00000000-0005-0000-0000-00000D000000}"/>
    <cellStyle name="Normal 2 2 4 3 7" xfId="1096" xr:uid="{00000000-0005-0000-0000-00000D000000}"/>
    <cellStyle name="Normal 2 2 4 3 7 2" xfId="5177" xr:uid="{00000000-0005-0000-0000-00000D000000}"/>
    <cellStyle name="Normal 2 2 4 3 7 2 2" xfId="13337" xr:uid="{00000000-0005-0000-0000-00000D000000}"/>
    <cellStyle name="Normal 2 2 4 3 7 3" xfId="9257" xr:uid="{00000000-0005-0000-0000-00000D000000}"/>
    <cellStyle name="Normal 2 2 4 3 8" xfId="3136" xr:uid="{00000000-0005-0000-0000-00000D000000}"/>
    <cellStyle name="Normal 2 2 4 3 8 2" xfId="7217" xr:uid="{00000000-0005-0000-0000-00000D000000}"/>
    <cellStyle name="Normal 2 2 4 3 8 2 2" xfId="15377" xr:uid="{00000000-0005-0000-0000-00000D000000}"/>
    <cellStyle name="Normal 2 2 4 3 8 3" xfId="11297" xr:uid="{00000000-0005-0000-0000-00000D000000}"/>
    <cellStyle name="Normal 2 2 4 3 9" xfId="4156" xr:uid="{00000000-0005-0000-0000-00000D000000}"/>
    <cellStyle name="Normal 2 2 4 3 9 2" xfId="12317" xr:uid="{00000000-0005-0000-0000-00000D000000}"/>
    <cellStyle name="Normal 2 2 4 4" xfId="126" xr:uid="{00000000-0005-0000-0000-00000D000000}"/>
    <cellStyle name="Normal 2 2 4 4 2" xfId="330" xr:uid="{00000000-0005-0000-0000-00000D000000}"/>
    <cellStyle name="Normal 2 2 4 4 2 2" xfId="738" xr:uid="{00000000-0005-0000-0000-00000D000000}"/>
    <cellStyle name="Normal 2 2 4 4 2 2 2" xfId="2779" xr:uid="{00000000-0005-0000-0000-00000D000000}"/>
    <cellStyle name="Normal 2 2 4 4 2 2 2 2" xfId="6860" xr:uid="{00000000-0005-0000-0000-00000D000000}"/>
    <cellStyle name="Normal 2 2 4 4 2 2 2 2 2" xfId="15020" xr:uid="{00000000-0005-0000-0000-00000D000000}"/>
    <cellStyle name="Normal 2 2 4 4 2 2 2 3" xfId="10940" xr:uid="{00000000-0005-0000-0000-00000D000000}"/>
    <cellStyle name="Normal 2 2 4 4 2 2 3" xfId="1759" xr:uid="{00000000-0005-0000-0000-00000D000000}"/>
    <cellStyle name="Normal 2 2 4 4 2 2 3 2" xfId="5840" xr:uid="{00000000-0005-0000-0000-00000D000000}"/>
    <cellStyle name="Normal 2 2 4 4 2 2 3 2 2" xfId="14000" xr:uid="{00000000-0005-0000-0000-00000D000000}"/>
    <cellStyle name="Normal 2 2 4 4 2 2 3 3" xfId="9920" xr:uid="{00000000-0005-0000-0000-00000D000000}"/>
    <cellStyle name="Normal 2 2 4 4 2 2 4" xfId="3799" xr:uid="{00000000-0005-0000-0000-00000D000000}"/>
    <cellStyle name="Normal 2 2 4 4 2 2 4 2" xfId="7880" xr:uid="{00000000-0005-0000-0000-00000D000000}"/>
    <cellStyle name="Normal 2 2 4 4 2 2 4 2 2" xfId="16040" xr:uid="{00000000-0005-0000-0000-00000D000000}"/>
    <cellStyle name="Normal 2 2 4 4 2 2 4 3" xfId="11960" xr:uid="{00000000-0005-0000-0000-00000D000000}"/>
    <cellStyle name="Normal 2 2 4 4 2 2 5" xfId="4819" xr:uid="{00000000-0005-0000-0000-00000D000000}"/>
    <cellStyle name="Normal 2 2 4 4 2 2 5 2" xfId="12980" xr:uid="{00000000-0005-0000-0000-00000D000000}"/>
    <cellStyle name="Normal 2 2 4 4 2 2 6" xfId="8900" xr:uid="{00000000-0005-0000-0000-00000D000000}"/>
    <cellStyle name="Normal 2 2 4 4 2 3" xfId="2371" xr:uid="{00000000-0005-0000-0000-00000D000000}"/>
    <cellStyle name="Normal 2 2 4 4 2 3 2" xfId="6452" xr:uid="{00000000-0005-0000-0000-00000D000000}"/>
    <cellStyle name="Normal 2 2 4 4 2 3 2 2" xfId="14612" xr:uid="{00000000-0005-0000-0000-00000D000000}"/>
    <cellStyle name="Normal 2 2 4 4 2 3 3" xfId="10532" xr:uid="{00000000-0005-0000-0000-00000D000000}"/>
    <cellStyle name="Normal 2 2 4 4 2 4" xfId="1351" xr:uid="{00000000-0005-0000-0000-00000D000000}"/>
    <cellStyle name="Normal 2 2 4 4 2 4 2" xfId="5432" xr:uid="{00000000-0005-0000-0000-00000D000000}"/>
    <cellStyle name="Normal 2 2 4 4 2 4 2 2" xfId="13592" xr:uid="{00000000-0005-0000-0000-00000D000000}"/>
    <cellStyle name="Normal 2 2 4 4 2 4 3" xfId="9512" xr:uid="{00000000-0005-0000-0000-00000D000000}"/>
    <cellStyle name="Normal 2 2 4 4 2 5" xfId="3391" xr:uid="{00000000-0005-0000-0000-00000D000000}"/>
    <cellStyle name="Normal 2 2 4 4 2 5 2" xfId="7472" xr:uid="{00000000-0005-0000-0000-00000D000000}"/>
    <cellStyle name="Normal 2 2 4 4 2 5 2 2" xfId="15632" xr:uid="{00000000-0005-0000-0000-00000D000000}"/>
    <cellStyle name="Normal 2 2 4 4 2 5 3" xfId="11552" xr:uid="{00000000-0005-0000-0000-00000D000000}"/>
    <cellStyle name="Normal 2 2 4 4 2 6" xfId="4411" xr:uid="{00000000-0005-0000-0000-00000D000000}"/>
    <cellStyle name="Normal 2 2 4 4 2 6 2" xfId="12572" xr:uid="{00000000-0005-0000-0000-00000D000000}"/>
    <cellStyle name="Normal 2 2 4 4 2 7" xfId="8492" xr:uid="{00000000-0005-0000-0000-00000D000000}"/>
    <cellStyle name="Normal 2 2 4 4 3" xfId="942" xr:uid="{00000000-0005-0000-0000-00000D000000}"/>
    <cellStyle name="Normal 2 2 4 4 3 2" xfId="2983" xr:uid="{00000000-0005-0000-0000-00000D000000}"/>
    <cellStyle name="Normal 2 2 4 4 3 2 2" xfId="7064" xr:uid="{00000000-0005-0000-0000-00000D000000}"/>
    <cellStyle name="Normal 2 2 4 4 3 2 2 2" xfId="15224" xr:uid="{00000000-0005-0000-0000-00000D000000}"/>
    <cellStyle name="Normal 2 2 4 4 3 2 3" xfId="11144" xr:uid="{00000000-0005-0000-0000-00000D000000}"/>
    <cellStyle name="Normal 2 2 4 4 3 3" xfId="1963" xr:uid="{00000000-0005-0000-0000-00000D000000}"/>
    <cellStyle name="Normal 2 2 4 4 3 3 2" xfId="6044" xr:uid="{00000000-0005-0000-0000-00000D000000}"/>
    <cellStyle name="Normal 2 2 4 4 3 3 2 2" xfId="14204" xr:uid="{00000000-0005-0000-0000-00000D000000}"/>
    <cellStyle name="Normal 2 2 4 4 3 3 3" xfId="10124" xr:uid="{00000000-0005-0000-0000-00000D000000}"/>
    <cellStyle name="Normal 2 2 4 4 3 4" xfId="4003" xr:uid="{00000000-0005-0000-0000-00000D000000}"/>
    <cellStyle name="Normal 2 2 4 4 3 4 2" xfId="8084" xr:uid="{00000000-0005-0000-0000-00000D000000}"/>
    <cellStyle name="Normal 2 2 4 4 3 4 2 2" xfId="16244" xr:uid="{00000000-0005-0000-0000-00000D000000}"/>
    <cellStyle name="Normal 2 2 4 4 3 4 3" xfId="12164" xr:uid="{00000000-0005-0000-0000-00000D000000}"/>
    <cellStyle name="Normal 2 2 4 4 3 5" xfId="5023" xr:uid="{00000000-0005-0000-0000-00000D000000}"/>
    <cellStyle name="Normal 2 2 4 4 3 5 2" xfId="13184" xr:uid="{00000000-0005-0000-0000-00000D000000}"/>
    <cellStyle name="Normal 2 2 4 4 3 6" xfId="9104" xr:uid="{00000000-0005-0000-0000-00000D000000}"/>
    <cellStyle name="Normal 2 2 4 4 4" xfId="534" xr:uid="{00000000-0005-0000-0000-00000D000000}"/>
    <cellStyle name="Normal 2 2 4 4 4 2" xfId="2575" xr:uid="{00000000-0005-0000-0000-00000D000000}"/>
    <cellStyle name="Normal 2 2 4 4 4 2 2" xfId="6656" xr:uid="{00000000-0005-0000-0000-00000D000000}"/>
    <cellStyle name="Normal 2 2 4 4 4 2 2 2" xfId="14816" xr:uid="{00000000-0005-0000-0000-00000D000000}"/>
    <cellStyle name="Normal 2 2 4 4 4 2 3" xfId="10736" xr:uid="{00000000-0005-0000-0000-00000D000000}"/>
    <cellStyle name="Normal 2 2 4 4 4 3" xfId="1555" xr:uid="{00000000-0005-0000-0000-00000D000000}"/>
    <cellStyle name="Normal 2 2 4 4 4 3 2" xfId="5636" xr:uid="{00000000-0005-0000-0000-00000D000000}"/>
    <cellStyle name="Normal 2 2 4 4 4 3 2 2" xfId="13796" xr:uid="{00000000-0005-0000-0000-00000D000000}"/>
    <cellStyle name="Normal 2 2 4 4 4 3 3" xfId="9716" xr:uid="{00000000-0005-0000-0000-00000D000000}"/>
    <cellStyle name="Normal 2 2 4 4 4 4" xfId="3595" xr:uid="{00000000-0005-0000-0000-00000D000000}"/>
    <cellStyle name="Normal 2 2 4 4 4 4 2" xfId="7676" xr:uid="{00000000-0005-0000-0000-00000D000000}"/>
    <cellStyle name="Normal 2 2 4 4 4 4 2 2" xfId="15836" xr:uid="{00000000-0005-0000-0000-00000D000000}"/>
    <cellStyle name="Normal 2 2 4 4 4 4 3" xfId="11756" xr:uid="{00000000-0005-0000-0000-00000D000000}"/>
    <cellStyle name="Normal 2 2 4 4 4 5" xfId="4615" xr:uid="{00000000-0005-0000-0000-00000D000000}"/>
    <cellStyle name="Normal 2 2 4 4 4 5 2" xfId="12776" xr:uid="{00000000-0005-0000-0000-00000D000000}"/>
    <cellStyle name="Normal 2 2 4 4 4 6" xfId="8696" xr:uid="{00000000-0005-0000-0000-00000D000000}"/>
    <cellStyle name="Normal 2 2 4 4 5" xfId="2167" xr:uid="{00000000-0005-0000-0000-00000D000000}"/>
    <cellStyle name="Normal 2 2 4 4 5 2" xfId="6248" xr:uid="{00000000-0005-0000-0000-00000D000000}"/>
    <cellStyle name="Normal 2 2 4 4 5 2 2" xfId="14408" xr:uid="{00000000-0005-0000-0000-00000D000000}"/>
    <cellStyle name="Normal 2 2 4 4 5 3" xfId="10328" xr:uid="{00000000-0005-0000-0000-00000D000000}"/>
    <cellStyle name="Normal 2 2 4 4 6" xfId="1147" xr:uid="{00000000-0005-0000-0000-00000D000000}"/>
    <cellStyle name="Normal 2 2 4 4 6 2" xfId="5228" xr:uid="{00000000-0005-0000-0000-00000D000000}"/>
    <cellStyle name="Normal 2 2 4 4 6 2 2" xfId="13388" xr:uid="{00000000-0005-0000-0000-00000D000000}"/>
    <cellStyle name="Normal 2 2 4 4 6 3" xfId="9308" xr:uid="{00000000-0005-0000-0000-00000D000000}"/>
    <cellStyle name="Normal 2 2 4 4 7" xfId="3187" xr:uid="{00000000-0005-0000-0000-00000D000000}"/>
    <cellStyle name="Normal 2 2 4 4 7 2" xfId="7268" xr:uid="{00000000-0005-0000-0000-00000D000000}"/>
    <cellStyle name="Normal 2 2 4 4 7 2 2" xfId="15428" xr:uid="{00000000-0005-0000-0000-00000D000000}"/>
    <cellStyle name="Normal 2 2 4 4 7 3" xfId="11348" xr:uid="{00000000-0005-0000-0000-00000D000000}"/>
    <cellStyle name="Normal 2 2 4 4 8" xfId="4207" xr:uid="{00000000-0005-0000-0000-00000D000000}"/>
    <cellStyle name="Normal 2 2 4 4 8 2" xfId="12368" xr:uid="{00000000-0005-0000-0000-00000D000000}"/>
    <cellStyle name="Normal 2 2 4 4 9" xfId="8288" xr:uid="{00000000-0005-0000-0000-00000D000000}"/>
    <cellStyle name="Normal 2 2 4 5" xfId="228" xr:uid="{00000000-0005-0000-0000-00000D000000}"/>
    <cellStyle name="Normal 2 2 4 5 2" xfId="636" xr:uid="{00000000-0005-0000-0000-00000D000000}"/>
    <cellStyle name="Normal 2 2 4 5 2 2" xfId="2677" xr:uid="{00000000-0005-0000-0000-00000D000000}"/>
    <cellStyle name="Normal 2 2 4 5 2 2 2" xfId="6758" xr:uid="{00000000-0005-0000-0000-00000D000000}"/>
    <cellStyle name="Normal 2 2 4 5 2 2 2 2" xfId="14918" xr:uid="{00000000-0005-0000-0000-00000D000000}"/>
    <cellStyle name="Normal 2 2 4 5 2 2 3" xfId="10838" xr:uid="{00000000-0005-0000-0000-00000D000000}"/>
    <cellStyle name="Normal 2 2 4 5 2 3" xfId="1657" xr:uid="{00000000-0005-0000-0000-00000D000000}"/>
    <cellStyle name="Normal 2 2 4 5 2 3 2" xfId="5738" xr:uid="{00000000-0005-0000-0000-00000D000000}"/>
    <cellStyle name="Normal 2 2 4 5 2 3 2 2" xfId="13898" xr:uid="{00000000-0005-0000-0000-00000D000000}"/>
    <cellStyle name="Normal 2 2 4 5 2 3 3" xfId="9818" xr:uid="{00000000-0005-0000-0000-00000D000000}"/>
    <cellStyle name="Normal 2 2 4 5 2 4" xfId="3697" xr:uid="{00000000-0005-0000-0000-00000D000000}"/>
    <cellStyle name="Normal 2 2 4 5 2 4 2" xfId="7778" xr:uid="{00000000-0005-0000-0000-00000D000000}"/>
    <cellStyle name="Normal 2 2 4 5 2 4 2 2" xfId="15938" xr:uid="{00000000-0005-0000-0000-00000D000000}"/>
    <cellStyle name="Normal 2 2 4 5 2 4 3" xfId="11858" xr:uid="{00000000-0005-0000-0000-00000D000000}"/>
    <cellStyle name="Normal 2 2 4 5 2 5" xfId="4717" xr:uid="{00000000-0005-0000-0000-00000D000000}"/>
    <cellStyle name="Normal 2 2 4 5 2 5 2" xfId="12878" xr:uid="{00000000-0005-0000-0000-00000D000000}"/>
    <cellStyle name="Normal 2 2 4 5 2 6" xfId="8798" xr:uid="{00000000-0005-0000-0000-00000D000000}"/>
    <cellStyle name="Normal 2 2 4 5 3" xfId="2269" xr:uid="{00000000-0005-0000-0000-00000D000000}"/>
    <cellStyle name="Normal 2 2 4 5 3 2" xfId="6350" xr:uid="{00000000-0005-0000-0000-00000D000000}"/>
    <cellStyle name="Normal 2 2 4 5 3 2 2" xfId="14510" xr:uid="{00000000-0005-0000-0000-00000D000000}"/>
    <cellStyle name="Normal 2 2 4 5 3 3" xfId="10430" xr:uid="{00000000-0005-0000-0000-00000D000000}"/>
    <cellStyle name="Normal 2 2 4 5 4" xfId="1249" xr:uid="{00000000-0005-0000-0000-00000D000000}"/>
    <cellStyle name="Normal 2 2 4 5 4 2" xfId="5330" xr:uid="{00000000-0005-0000-0000-00000D000000}"/>
    <cellStyle name="Normal 2 2 4 5 4 2 2" xfId="13490" xr:uid="{00000000-0005-0000-0000-00000D000000}"/>
    <cellStyle name="Normal 2 2 4 5 4 3" xfId="9410" xr:uid="{00000000-0005-0000-0000-00000D000000}"/>
    <cellStyle name="Normal 2 2 4 5 5" xfId="3289" xr:uid="{00000000-0005-0000-0000-00000D000000}"/>
    <cellStyle name="Normal 2 2 4 5 5 2" xfId="7370" xr:uid="{00000000-0005-0000-0000-00000D000000}"/>
    <cellStyle name="Normal 2 2 4 5 5 2 2" xfId="15530" xr:uid="{00000000-0005-0000-0000-00000D000000}"/>
    <cellStyle name="Normal 2 2 4 5 5 3" xfId="11450" xr:uid="{00000000-0005-0000-0000-00000D000000}"/>
    <cellStyle name="Normal 2 2 4 5 6" xfId="4309" xr:uid="{00000000-0005-0000-0000-00000D000000}"/>
    <cellStyle name="Normal 2 2 4 5 6 2" xfId="12470" xr:uid="{00000000-0005-0000-0000-00000D000000}"/>
    <cellStyle name="Normal 2 2 4 5 7" xfId="8390" xr:uid="{00000000-0005-0000-0000-00000D000000}"/>
    <cellStyle name="Normal 2 2 4 6" xfId="840" xr:uid="{00000000-0005-0000-0000-00000D000000}"/>
    <cellStyle name="Normal 2 2 4 6 2" xfId="2881" xr:uid="{00000000-0005-0000-0000-00000D000000}"/>
    <cellStyle name="Normal 2 2 4 6 2 2" xfId="6962" xr:uid="{00000000-0005-0000-0000-00000D000000}"/>
    <cellStyle name="Normal 2 2 4 6 2 2 2" xfId="15122" xr:uid="{00000000-0005-0000-0000-00000D000000}"/>
    <cellStyle name="Normal 2 2 4 6 2 3" xfId="11042" xr:uid="{00000000-0005-0000-0000-00000D000000}"/>
    <cellStyle name="Normal 2 2 4 6 3" xfId="1861" xr:uid="{00000000-0005-0000-0000-00000D000000}"/>
    <cellStyle name="Normal 2 2 4 6 3 2" xfId="5942" xr:uid="{00000000-0005-0000-0000-00000D000000}"/>
    <cellStyle name="Normal 2 2 4 6 3 2 2" xfId="14102" xr:uid="{00000000-0005-0000-0000-00000D000000}"/>
    <cellStyle name="Normal 2 2 4 6 3 3" xfId="10022" xr:uid="{00000000-0005-0000-0000-00000D000000}"/>
    <cellStyle name="Normal 2 2 4 6 4" xfId="3901" xr:uid="{00000000-0005-0000-0000-00000D000000}"/>
    <cellStyle name="Normal 2 2 4 6 4 2" xfId="7982" xr:uid="{00000000-0005-0000-0000-00000D000000}"/>
    <cellStyle name="Normal 2 2 4 6 4 2 2" xfId="16142" xr:uid="{00000000-0005-0000-0000-00000D000000}"/>
    <cellStyle name="Normal 2 2 4 6 4 3" xfId="12062" xr:uid="{00000000-0005-0000-0000-00000D000000}"/>
    <cellStyle name="Normal 2 2 4 6 5" xfId="4921" xr:uid="{00000000-0005-0000-0000-00000D000000}"/>
    <cellStyle name="Normal 2 2 4 6 5 2" xfId="13082" xr:uid="{00000000-0005-0000-0000-00000D000000}"/>
    <cellStyle name="Normal 2 2 4 6 6" xfId="9002" xr:uid="{00000000-0005-0000-0000-00000D000000}"/>
    <cellStyle name="Normal 2 2 4 7" xfId="432" xr:uid="{00000000-0005-0000-0000-00000D000000}"/>
    <cellStyle name="Normal 2 2 4 7 2" xfId="2473" xr:uid="{00000000-0005-0000-0000-00000D000000}"/>
    <cellStyle name="Normal 2 2 4 7 2 2" xfId="6554" xr:uid="{00000000-0005-0000-0000-00000D000000}"/>
    <cellStyle name="Normal 2 2 4 7 2 2 2" xfId="14714" xr:uid="{00000000-0005-0000-0000-00000D000000}"/>
    <cellStyle name="Normal 2 2 4 7 2 3" xfId="10634" xr:uid="{00000000-0005-0000-0000-00000D000000}"/>
    <cellStyle name="Normal 2 2 4 7 3" xfId="1453" xr:uid="{00000000-0005-0000-0000-00000D000000}"/>
    <cellStyle name="Normal 2 2 4 7 3 2" xfId="5534" xr:uid="{00000000-0005-0000-0000-00000D000000}"/>
    <cellStyle name="Normal 2 2 4 7 3 2 2" xfId="13694" xr:uid="{00000000-0005-0000-0000-00000D000000}"/>
    <cellStyle name="Normal 2 2 4 7 3 3" xfId="9614" xr:uid="{00000000-0005-0000-0000-00000D000000}"/>
    <cellStyle name="Normal 2 2 4 7 4" xfId="3493" xr:uid="{00000000-0005-0000-0000-00000D000000}"/>
    <cellStyle name="Normal 2 2 4 7 4 2" xfId="7574" xr:uid="{00000000-0005-0000-0000-00000D000000}"/>
    <cellStyle name="Normal 2 2 4 7 4 2 2" xfId="15734" xr:uid="{00000000-0005-0000-0000-00000D000000}"/>
    <cellStyle name="Normal 2 2 4 7 4 3" xfId="11654" xr:uid="{00000000-0005-0000-0000-00000D000000}"/>
    <cellStyle name="Normal 2 2 4 7 5" xfId="4513" xr:uid="{00000000-0005-0000-0000-00000D000000}"/>
    <cellStyle name="Normal 2 2 4 7 5 2" xfId="12674" xr:uid="{00000000-0005-0000-0000-00000D000000}"/>
    <cellStyle name="Normal 2 2 4 7 6" xfId="8594" xr:uid="{00000000-0005-0000-0000-00000D000000}"/>
    <cellStyle name="Normal 2 2 4 8" xfId="2065" xr:uid="{00000000-0005-0000-0000-00000D000000}"/>
    <cellStyle name="Normal 2 2 4 8 2" xfId="6146" xr:uid="{00000000-0005-0000-0000-00000D000000}"/>
    <cellStyle name="Normal 2 2 4 8 2 2" xfId="14306" xr:uid="{00000000-0005-0000-0000-00000D000000}"/>
    <cellStyle name="Normal 2 2 4 8 3" xfId="10226" xr:uid="{00000000-0005-0000-0000-00000D000000}"/>
    <cellStyle name="Normal 2 2 4 9" xfId="1045" xr:uid="{00000000-0005-0000-0000-00000D000000}"/>
    <cellStyle name="Normal 2 2 4 9 2" xfId="5126" xr:uid="{00000000-0005-0000-0000-00000D000000}"/>
    <cellStyle name="Normal 2 2 4 9 2 2" xfId="13286" xr:uid="{00000000-0005-0000-0000-00000D000000}"/>
    <cellStyle name="Normal 2 2 4 9 3" xfId="9206" xr:uid="{00000000-0005-0000-0000-00000D000000}"/>
    <cellStyle name="Normal 2 2 5" xfId="33" xr:uid="{00000000-0005-0000-0000-00000F000000}"/>
    <cellStyle name="Normal 2 2 5 10" xfId="4114" xr:uid="{00000000-0005-0000-0000-00000F000000}"/>
    <cellStyle name="Normal 2 2 5 10 2" xfId="12275" xr:uid="{00000000-0005-0000-0000-00000F000000}"/>
    <cellStyle name="Normal 2 2 5 11" xfId="8195" xr:uid="{00000000-0005-0000-0000-00000F000000}"/>
    <cellStyle name="Normal 2 2 5 2" xfId="84" xr:uid="{00000000-0005-0000-0000-00000F000000}"/>
    <cellStyle name="Normal 2 2 5 2 10" xfId="8246" xr:uid="{00000000-0005-0000-0000-00000F000000}"/>
    <cellStyle name="Normal 2 2 5 2 2" xfId="186" xr:uid="{00000000-0005-0000-0000-00000F000000}"/>
    <cellStyle name="Normal 2 2 5 2 2 2" xfId="390" xr:uid="{00000000-0005-0000-0000-00000F000000}"/>
    <cellStyle name="Normal 2 2 5 2 2 2 2" xfId="798" xr:uid="{00000000-0005-0000-0000-00000F000000}"/>
    <cellStyle name="Normal 2 2 5 2 2 2 2 2" xfId="2839" xr:uid="{00000000-0005-0000-0000-00000F000000}"/>
    <cellStyle name="Normal 2 2 5 2 2 2 2 2 2" xfId="6920" xr:uid="{00000000-0005-0000-0000-00000F000000}"/>
    <cellStyle name="Normal 2 2 5 2 2 2 2 2 2 2" xfId="15080" xr:uid="{00000000-0005-0000-0000-00000F000000}"/>
    <cellStyle name="Normal 2 2 5 2 2 2 2 2 3" xfId="11000" xr:uid="{00000000-0005-0000-0000-00000F000000}"/>
    <cellStyle name="Normal 2 2 5 2 2 2 2 3" xfId="1819" xr:uid="{00000000-0005-0000-0000-00000F000000}"/>
    <cellStyle name="Normal 2 2 5 2 2 2 2 3 2" xfId="5900" xr:uid="{00000000-0005-0000-0000-00000F000000}"/>
    <cellStyle name="Normal 2 2 5 2 2 2 2 3 2 2" xfId="14060" xr:uid="{00000000-0005-0000-0000-00000F000000}"/>
    <cellStyle name="Normal 2 2 5 2 2 2 2 3 3" xfId="9980" xr:uid="{00000000-0005-0000-0000-00000F000000}"/>
    <cellStyle name="Normal 2 2 5 2 2 2 2 4" xfId="3859" xr:uid="{00000000-0005-0000-0000-00000F000000}"/>
    <cellStyle name="Normal 2 2 5 2 2 2 2 4 2" xfId="7940" xr:uid="{00000000-0005-0000-0000-00000F000000}"/>
    <cellStyle name="Normal 2 2 5 2 2 2 2 4 2 2" xfId="16100" xr:uid="{00000000-0005-0000-0000-00000F000000}"/>
    <cellStyle name="Normal 2 2 5 2 2 2 2 4 3" xfId="12020" xr:uid="{00000000-0005-0000-0000-00000F000000}"/>
    <cellStyle name="Normal 2 2 5 2 2 2 2 5" xfId="4879" xr:uid="{00000000-0005-0000-0000-00000F000000}"/>
    <cellStyle name="Normal 2 2 5 2 2 2 2 5 2" xfId="13040" xr:uid="{00000000-0005-0000-0000-00000F000000}"/>
    <cellStyle name="Normal 2 2 5 2 2 2 2 6" xfId="8960" xr:uid="{00000000-0005-0000-0000-00000F000000}"/>
    <cellStyle name="Normal 2 2 5 2 2 2 3" xfId="2431" xr:uid="{00000000-0005-0000-0000-00000F000000}"/>
    <cellStyle name="Normal 2 2 5 2 2 2 3 2" xfId="6512" xr:uid="{00000000-0005-0000-0000-00000F000000}"/>
    <cellStyle name="Normal 2 2 5 2 2 2 3 2 2" xfId="14672" xr:uid="{00000000-0005-0000-0000-00000F000000}"/>
    <cellStyle name="Normal 2 2 5 2 2 2 3 3" xfId="10592" xr:uid="{00000000-0005-0000-0000-00000F000000}"/>
    <cellStyle name="Normal 2 2 5 2 2 2 4" xfId="1411" xr:uid="{00000000-0005-0000-0000-00000F000000}"/>
    <cellStyle name="Normal 2 2 5 2 2 2 4 2" xfId="5492" xr:uid="{00000000-0005-0000-0000-00000F000000}"/>
    <cellStyle name="Normal 2 2 5 2 2 2 4 2 2" xfId="13652" xr:uid="{00000000-0005-0000-0000-00000F000000}"/>
    <cellStyle name="Normal 2 2 5 2 2 2 4 3" xfId="9572" xr:uid="{00000000-0005-0000-0000-00000F000000}"/>
    <cellStyle name="Normal 2 2 5 2 2 2 5" xfId="3451" xr:uid="{00000000-0005-0000-0000-00000F000000}"/>
    <cellStyle name="Normal 2 2 5 2 2 2 5 2" xfId="7532" xr:uid="{00000000-0005-0000-0000-00000F000000}"/>
    <cellStyle name="Normal 2 2 5 2 2 2 5 2 2" xfId="15692" xr:uid="{00000000-0005-0000-0000-00000F000000}"/>
    <cellStyle name="Normal 2 2 5 2 2 2 5 3" xfId="11612" xr:uid="{00000000-0005-0000-0000-00000F000000}"/>
    <cellStyle name="Normal 2 2 5 2 2 2 6" xfId="4471" xr:uid="{00000000-0005-0000-0000-00000F000000}"/>
    <cellStyle name="Normal 2 2 5 2 2 2 6 2" xfId="12632" xr:uid="{00000000-0005-0000-0000-00000F000000}"/>
    <cellStyle name="Normal 2 2 5 2 2 2 7" xfId="8552" xr:uid="{00000000-0005-0000-0000-00000F000000}"/>
    <cellStyle name="Normal 2 2 5 2 2 3" xfId="1002" xr:uid="{00000000-0005-0000-0000-00000F000000}"/>
    <cellStyle name="Normal 2 2 5 2 2 3 2" xfId="3043" xr:uid="{00000000-0005-0000-0000-00000F000000}"/>
    <cellStyle name="Normal 2 2 5 2 2 3 2 2" xfId="7124" xr:uid="{00000000-0005-0000-0000-00000F000000}"/>
    <cellStyle name="Normal 2 2 5 2 2 3 2 2 2" xfId="15284" xr:uid="{00000000-0005-0000-0000-00000F000000}"/>
    <cellStyle name="Normal 2 2 5 2 2 3 2 3" xfId="11204" xr:uid="{00000000-0005-0000-0000-00000F000000}"/>
    <cellStyle name="Normal 2 2 5 2 2 3 3" xfId="2023" xr:uid="{00000000-0005-0000-0000-00000F000000}"/>
    <cellStyle name="Normal 2 2 5 2 2 3 3 2" xfId="6104" xr:uid="{00000000-0005-0000-0000-00000F000000}"/>
    <cellStyle name="Normal 2 2 5 2 2 3 3 2 2" xfId="14264" xr:uid="{00000000-0005-0000-0000-00000F000000}"/>
    <cellStyle name="Normal 2 2 5 2 2 3 3 3" xfId="10184" xr:uid="{00000000-0005-0000-0000-00000F000000}"/>
    <cellStyle name="Normal 2 2 5 2 2 3 4" xfId="4063" xr:uid="{00000000-0005-0000-0000-00000F000000}"/>
    <cellStyle name="Normal 2 2 5 2 2 3 4 2" xfId="8144" xr:uid="{00000000-0005-0000-0000-00000F000000}"/>
    <cellStyle name="Normal 2 2 5 2 2 3 4 2 2" xfId="16304" xr:uid="{00000000-0005-0000-0000-00000F000000}"/>
    <cellStyle name="Normal 2 2 5 2 2 3 4 3" xfId="12224" xr:uid="{00000000-0005-0000-0000-00000F000000}"/>
    <cellStyle name="Normal 2 2 5 2 2 3 5" xfId="5083" xr:uid="{00000000-0005-0000-0000-00000F000000}"/>
    <cellStyle name="Normal 2 2 5 2 2 3 5 2" xfId="13244" xr:uid="{00000000-0005-0000-0000-00000F000000}"/>
    <cellStyle name="Normal 2 2 5 2 2 3 6" xfId="9164" xr:uid="{00000000-0005-0000-0000-00000F000000}"/>
    <cellStyle name="Normal 2 2 5 2 2 4" xfId="594" xr:uid="{00000000-0005-0000-0000-00000F000000}"/>
    <cellStyle name="Normal 2 2 5 2 2 4 2" xfId="2635" xr:uid="{00000000-0005-0000-0000-00000F000000}"/>
    <cellStyle name="Normal 2 2 5 2 2 4 2 2" xfId="6716" xr:uid="{00000000-0005-0000-0000-00000F000000}"/>
    <cellStyle name="Normal 2 2 5 2 2 4 2 2 2" xfId="14876" xr:uid="{00000000-0005-0000-0000-00000F000000}"/>
    <cellStyle name="Normal 2 2 5 2 2 4 2 3" xfId="10796" xr:uid="{00000000-0005-0000-0000-00000F000000}"/>
    <cellStyle name="Normal 2 2 5 2 2 4 3" xfId="1615" xr:uid="{00000000-0005-0000-0000-00000F000000}"/>
    <cellStyle name="Normal 2 2 5 2 2 4 3 2" xfId="5696" xr:uid="{00000000-0005-0000-0000-00000F000000}"/>
    <cellStyle name="Normal 2 2 5 2 2 4 3 2 2" xfId="13856" xr:uid="{00000000-0005-0000-0000-00000F000000}"/>
    <cellStyle name="Normal 2 2 5 2 2 4 3 3" xfId="9776" xr:uid="{00000000-0005-0000-0000-00000F000000}"/>
    <cellStyle name="Normal 2 2 5 2 2 4 4" xfId="3655" xr:uid="{00000000-0005-0000-0000-00000F000000}"/>
    <cellStyle name="Normal 2 2 5 2 2 4 4 2" xfId="7736" xr:uid="{00000000-0005-0000-0000-00000F000000}"/>
    <cellStyle name="Normal 2 2 5 2 2 4 4 2 2" xfId="15896" xr:uid="{00000000-0005-0000-0000-00000F000000}"/>
    <cellStyle name="Normal 2 2 5 2 2 4 4 3" xfId="11816" xr:uid="{00000000-0005-0000-0000-00000F000000}"/>
    <cellStyle name="Normal 2 2 5 2 2 4 5" xfId="4675" xr:uid="{00000000-0005-0000-0000-00000F000000}"/>
    <cellStyle name="Normal 2 2 5 2 2 4 5 2" xfId="12836" xr:uid="{00000000-0005-0000-0000-00000F000000}"/>
    <cellStyle name="Normal 2 2 5 2 2 4 6" xfId="8756" xr:uid="{00000000-0005-0000-0000-00000F000000}"/>
    <cellStyle name="Normal 2 2 5 2 2 5" xfId="2227" xr:uid="{00000000-0005-0000-0000-00000F000000}"/>
    <cellStyle name="Normal 2 2 5 2 2 5 2" xfId="6308" xr:uid="{00000000-0005-0000-0000-00000F000000}"/>
    <cellStyle name="Normal 2 2 5 2 2 5 2 2" xfId="14468" xr:uid="{00000000-0005-0000-0000-00000F000000}"/>
    <cellStyle name="Normal 2 2 5 2 2 5 3" xfId="10388" xr:uid="{00000000-0005-0000-0000-00000F000000}"/>
    <cellStyle name="Normal 2 2 5 2 2 6" xfId="1207" xr:uid="{00000000-0005-0000-0000-00000F000000}"/>
    <cellStyle name="Normal 2 2 5 2 2 6 2" xfId="5288" xr:uid="{00000000-0005-0000-0000-00000F000000}"/>
    <cellStyle name="Normal 2 2 5 2 2 6 2 2" xfId="13448" xr:uid="{00000000-0005-0000-0000-00000F000000}"/>
    <cellStyle name="Normal 2 2 5 2 2 6 3" xfId="9368" xr:uid="{00000000-0005-0000-0000-00000F000000}"/>
    <cellStyle name="Normal 2 2 5 2 2 7" xfId="3247" xr:uid="{00000000-0005-0000-0000-00000F000000}"/>
    <cellStyle name="Normal 2 2 5 2 2 7 2" xfId="7328" xr:uid="{00000000-0005-0000-0000-00000F000000}"/>
    <cellStyle name="Normal 2 2 5 2 2 7 2 2" xfId="15488" xr:uid="{00000000-0005-0000-0000-00000F000000}"/>
    <cellStyle name="Normal 2 2 5 2 2 7 3" xfId="11408" xr:uid="{00000000-0005-0000-0000-00000F000000}"/>
    <cellStyle name="Normal 2 2 5 2 2 8" xfId="4267" xr:uid="{00000000-0005-0000-0000-00000F000000}"/>
    <cellStyle name="Normal 2 2 5 2 2 8 2" xfId="12428" xr:uid="{00000000-0005-0000-0000-00000F000000}"/>
    <cellStyle name="Normal 2 2 5 2 2 9" xfId="8348" xr:uid="{00000000-0005-0000-0000-00000F000000}"/>
    <cellStyle name="Normal 2 2 5 2 3" xfId="288" xr:uid="{00000000-0005-0000-0000-00000F000000}"/>
    <cellStyle name="Normal 2 2 5 2 3 2" xfId="696" xr:uid="{00000000-0005-0000-0000-00000F000000}"/>
    <cellStyle name="Normal 2 2 5 2 3 2 2" xfId="2737" xr:uid="{00000000-0005-0000-0000-00000F000000}"/>
    <cellStyle name="Normal 2 2 5 2 3 2 2 2" xfId="6818" xr:uid="{00000000-0005-0000-0000-00000F000000}"/>
    <cellStyle name="Normal 2 2 5 2 3 2 2 2 2" xfId="14978" xr:uid="{00000000-0005-0000-0000-00000F000000}"/>
    <cellStyle name="Normal 2 2 5 2 3 2 2 3" xfId="10898" xr:uid="{00000000-0005-0000-0000-00000F000000}"/>
    <cellStyle name="Normal 2 2 5 2 3 2 3" xfId="1717" xr:uid="{00000000-0005-0000-0000-00000F000000}"/>
    <cellStyle name="Normal 2 2 5 2 3 2 3 2" xfId="5798" xr:uid="{00000000-0005-0000-0000-00000F000000}"/>
    <cellStyle name="Normal 2 2 5 2 3 2 3 2 2" xfId="13958" xr:uid="{00000000-0005-0000-0000-00000F000000}"/>
    <cellStyle name="Normal 2 2 5 2 3 2 3 3" xfId="9878" xr:uid="{00000000-0005-0000-0000-00000F000000}"/>
    <cellStyle name="Normal 2 2 5 2 3 2 4" xfId="3757" xr:uid="{00000000-0005-0000-0000-00000F000000}"/>
    <cellStyle name="Normal 2 2 5 2 3 2 4 2" xfId="7838" xr:uid="{00000000-0005-0000-0000-00000F000000}"/>
    <cellStyle name="Normal 2 2 5 2 3 2 4 2 2" xfId="15998" xr:uid="{00000000-0005-0000-0000-00000F000000}"/>
    <cellStyle name="Normal 2 2 5 2 3 2 4 3" xfId="11918" xr:uid="{00000000-0005-0000-0000-00000F000000}"/>
    <cellStyle name="Normal 2 2 5 2 3 2 5" xfId="4777" xr:uid="{00000000-0005-0000-0000-00000F000000}"/>
    <cellStyle name="Normal 2 2 5 2 3 2 5 2" xfId="12938" xr:uid="{00000000-0005-0000-0000-00000F000000}"/>
    <cellStyle name="Normal 2 2 5 2 3 2 6" xfId="8858" xr:uid="{00000000-0005-0000-0000-00000F000000}"/>
    <cellStyle name="Normal 2 2 5 2 3 3" xfId="2329" xr:uid="{00000000-0005-0000-0000-00000F000000}"/>
    <cellStyle name="Normal 2 2 5 2 3 3 2" xfId="6410" xr:uid="{00000000-0005-0000-0000-00000F000000}"/>
    <cellStyle name="Normal 2 2 5 2 3 3 2 2" xfId="14570" xr:uid="{00000000-0005-0000-0000-00000F000000}"/>
    <cellStyle name="Normal 2 2 5 2 3 3 3" xfId="10490" xr:uid="{00000000-0005-0000-0000-00000F000000}"/>
    <cellStyle name="Normal 2 2 5 2 3 4" xfId="1309" xr:uid="{00000000-0005-0000-0000-00000F000000}"/>
    <cellStyle name="Normal 2 2 5 2 3 4 2" xfId="5390" xr:uid="{00000000-0005-0000-0000-00000F000000}"/>
    <cellStyle name="Normal 2 2 5 2 3 4 2 2" xfId="13550" xr:uid="{00000000-0005-0000-0000-00000F000000}"/>
    <cellStyle name="Normal 2 2 5 2 3 4 3" xfId="9470" xr:uid="{00000000-0005-0000-0000-00000F000000}"/>
    <cellStyle name="Normal 2 2 5 2 3 5" xfId="3349" xr:uid="{00000000-0005-0000-0000-00000F000000}"/>
    <cellStyle name="Normal 2 2 5 2 3 5 2" xfId="7430" xr:uid="{00000000-0005-0000-0000-00000F000000}"/>
    <cellStyle name="Normal 2 2 5 2 3 5 2 2" xfId="15590" xr:uid="{00000000-0005-0000-0000-00000F000000}"/>
    <cellStyle name="Normal 2 2 5 2 3 5 3" xfId="11510" xr:uid="{00000000-0005-0000-0000-00000F000000}"/>
    <cellStyle name="Normal 2 2 5 2 3 6" xfId="4369" xr:uid="{00000000-0005-0000-0000-00000F000000}"/>
    <cellStyle name="Normal 2 2 5 2 3 6 2" xfId="12530" xr:uid="{00000000-0005-0000-0000-00000F000000}"/>
    <cellStyle name="Normal 2 2 5 2 3 7" xfId="8450" xr:uid="{00000000-0005-0000-0000-00000F000000}"/>
    <cellStyle name="Normal 2 2 5 2 4" xfId="900" xr:uid="{00000000-0005-0000-0000-00000F000000}"/>
    <cellStyle name="Normal 2 2 5 2 4 2" xfId="2941" xr:uid="{00000000-0005-0000-0000-00000F000000}"/>
    <cellStyle name="Normal 2 2 5 2 4 2 2" xfId="7022" xr:uid="{00000000-0005-0000-0000-00000F000000}"/>
    <cellStyle name="Normal 2 2 5 2 4 2 2 2" xfId="15182" xr:uid="{00000000-0005-0000-0000-00000F000000}"/>
    <cellStyle name="Normal 2 2 5 2 4 2 3" xfId="11102" xr:uid="{00000000-0005-0000-0000-00000F000000}"/>
    <cellStyle name="Normal 2 2 5 2 4 3" xfId="1921" xr:uid="{00000000-0005-0000-0000-00000F000000}"/>
    <cellStyle name="Normal 2 2 5 2 4 3 2" xfId="6002" xr:uid="{00000000-0005-0000-0000-00000F000000}"/>
    <cellStyle name="Normal 2 2 5 2 4 3 2 2" xfId="14162" xr:uid="{00000000-0005-0000-0000-00000F000000}"/>
    <cellStyle name="Normal 2 2 5 2 4 3 3" xfId="10082" xr:uid="{00000000-0005-0000-0000-00000F000000}"/>
    <cellStyle name="Normal 2 2 5 2 4 4" xfId="3961" xr:uid="{00000000-0005-0000-0000-00000F000000}"/>
    <cellStyle name="Normal 2 2 5 2 4 4 2" xfId="8042" xr:uid="{00000000-0005-0000-0000-00000F000000}"/>
    <cellStyle name="Normal 2 2 5 2 4 4 2 2" xfId="16202" xr:uid="{00000000-0005-0000-0000-00000F000000}"/>
    <cellStyle name="Normal 2 2 5 2 4 4 3" xfId="12122" xr:uid="{00000000-0005-0000-0000-00000F000000}"/>
    <cellStyle name="Normal 2 2 5 2 4 5" xfId="4981" xr:uid="{00000000-0005-0000-0000-00000F000000}"/>
    <cellStyle name="Normal 2 2 5 2 4 5 2" xfId="13142" xr:uid="{00000000-0005-0000-0000-00000F000000}"/>
    <cellStyle name="Normal 2 2 5 2 4 6" xfId="9062" xr:uid="{00000000-0005-0000-0000-00000F000000}"/>
    <cellStyle name="Normal 2 2 5 2 5" xfId="492" xr:uid="{00000000-0005-0000-0000-00000F000000}"/>
    <cellStyle name="Normal 2 2 5 2 5 2" xfId="2533" xr:uid="{00000000-0005-0000-0000-00000F000000}"/>
    <cellStyle name="Normal 2 2 5 2 5 2 2" xfId="6614" xr:uid="{00000000-0005-0000-0000-00000F000000}"/>
    <cellStyle name="Normal 2 2 5 2 5 2 2 2" xfId="14774" xr:uid="{00000000-0005-0000-0000-00000F000000}"/>
    <cellStyle name="Normal 2 2 5 2 5 2 3" xfId="10694" xr:uid="{00000000-0005-0000-0000-00000F000000}"/>
    <cellStyle name="Normal 2 2 5 2 5 3" xfId="1513" xr:uid="{00000000-0005-0000-0000-00000F000000}"/>
    <cellStyle name="Normal 2 2 5 2 5 3 2" xfId="5594" xr:uid="{00000000-0005-0000-0000-00000F000000}"/>
    <cellStyle name="Normal 2 2 5 2 5 3 2 2" xfId="13754" xr:uid="{00000000-0005-0000-0000-00000F000000}"/>
    <cellStyle name="Normal 2 2 5 2 5 3 3" xfId="9674" xr:uid="{00000000-0005-0000-0000-00000F000000}"/>
    <cellStyle name="Normal 2 2 5 2 5 4" xfId="3553" xr:uid="{00000000-0005-0000-0000-00000F000000}"/>
    <cellStyle name="Normal 2 2 5 2 5 4 2" xfId="7634" xr:uid="{00000000-0005-0000-0000-00000F000000}"/>
    <cellStyle name="Normal 2 2 5 2 5 4 2 2" xfId="15794" xr:uid="{00000000-0005-0000-0000-00000F000000}"/>
    <cellStyle name="Normal 2 2 5 2 5 4 3" xfId="11714" xr:uid="{00000000-0005-0000-0000-00000F000000}"/>
    <cellStyle name="Normal 2 2 5 2 5 5" xfId="4573" xr:uid="{00000000-0005-0000-0000-00000F000000}"/>
    <cellStyle name="Normal 2 2 5 2 5 5 2" xfId="12734" xr:uid="{00000000-0005-0000-0000-00000F000000}"/>
    <cellStyle name="Normal 2 2 5 2 5 6" xfId="8654" xr:uid="{00000000-0005-0000-0000-00000F000000}"/>
    <cellStyle name="Normal 2 2 5 2 6" xfId="2125" xr:uid="{00000000-0005-0000-0000-00000F000000}"/>
    <cellStyle name="Normal 2 2 5 2 6 2" xfId="6206" xr:uid="{00000000-0005-0000-0000-00000F000000}"/>
    <cellStyle name="Normal 2 2 5 2 6 2 2" xfId="14366" xr:uid="{00000000-0005-0000-0000-00000F000000}"/>
    <cellStyle name="Normal 2 2 5 2 6 3" xfId="10286" xr:uid="{00000000-0005-0000-0000-00000F000000}"/>
    <cellStyle name="Normal 2 2 5 2 7" xfId="1105" xr:uid="{00000000-0005-0000-0000-00000F000000}"/>
    <cellStyle name="Normal 2 2 5 2 7 2" xfId="5186" xr:uid="{00000000-0005-0000-0000-00000F000000}"/>
    <cellStyle name="Normal 2 2 5 2 7 2 2" xfId="13346" xr:uid="{00000000-0005-0000-0000-00000F000000}"/>
    <cellStyle name="Normal 2 2 5 2 7 3" xfId="9266" xr:uid="{00000000-0005-0000-0000-00000F000000}"/>
    <cellStyle name="Normal 2 2 5 2 8" xfId="3145" xr:uid="{00000000-0005-0000-0000-00000F000000}"/>
    <cellStyle name="Normal 2 2 5 2 8 2" xfId="7226" xr:uid="{00000000-0005-0000-0000-00000F000000}"/>
    <cellStyle name="Normal 2 2 5 2 8 2 2" xfId="15386" xr:uid="{00000000-0005-0000-0000-00000F000000}"/>
    <cellStyle name="Normal 2 2 5 2 8 3" xfId="11306" xr:uid="{00000000-0005-0000-0000-00000F000000}"/>
    <cellStyle name="Normal 2 2 5 2 9" xfId="4165" xr:uid="{00000000-0005-0000-0000-00000F000000}"/>
    <cellStyle name="Normal 2 2 5 2 9 2" xfId="12326" xr:uid="{00000000-0005-0000-0000-00000F000000}"/>
    <cellStyle name="Normal 2 2 5 3" xfId="135" xr:uid="{00000000-0005-0000-0000-00000F000000}"/>
    <cellStyle name="Normal 2 2 5 3 2" xfId="339" xr:uid="{00000000-0005-0000-0000-00000F000000}"/>
    <cellStyle name="Normal 2 2 5 3 2 2" xfId="747" xr:uid="{00000000-0005-0000-0000-00000F000000}"/>
    <cellStyle name="Normal 2 2 5 3 2 2 2" xfId="2788" xr:uid="{00000000-0005-0000-0000-00000F000000}"/>
    <cellStyle name="Normal 2 2 5 3 2 2 2 2" xfId="6869" xr:uid="{00000000-0005-0000-0000-00000F000000}"/>
    <cellStyle name="Normal 2 2 5 3 2 2 2 2 2" xfId="15029" xr:uid="{00000000-0005-0000-0000-00000F000000}"/>
    <cellStyle name="Normal 2 2 5 3 2 2 2 3" xfId="10949" xr:uid="{00000000-0005-0000-0000-00000F000000}"/>
    <cellStyle name="Normal 2 2 5 3 2 2 3" xfId="1768" xr:uid="{00000000-0005-0000-0000-00000F000000}"/>
    <cellStyle name="Normal 2 2 5 3 2 2 3 2" xfId="5849" xr:uid="{00000000-0005-0000-0000-00000F000000}"/>
    <cellStyle name="Normal 2 2 5 3 2 2 3 2 2" xfId="14009" xr:uid="{00000000-0005-0000-0000-00000F000000}"/>
    <cellStyle name="Normal 2 2 5 3 2 2 3 3" xfId="9929" xr:uid="{00000000-0005-0000-0000-00000F000000}"/>
    <cellStyle name="Normal 2 2 5 3 2 2 4" xfId="3808" xr:uid="{00000000-0005-0000-0000-00000F000000}"/>
    <cellStyle name="Normal 2 2 5 3 2 2 4 2" xfId="7889" xr:uid="{00000000-0005-0000-0000-00000F000000}"/>
    <cellStyle name="Normal 2 2 5 3 2 2 4 2 2" xfId="16049" xr:uid="{00000000-0005-0000-0000-00000F000000}"/>
    <cellStyle name="Normal 2 2 5 3 2 2 4 3" xfId="11969" xr:uid="{00000000-0005-0000-0000-00000F000000}"/>
    <cellStyle name="Normal 2 2 5 3 2 2 5" xfId="4828" xr:uid="{00000000-0005-0000-0000-00000F000000}"/>
    <cellStyle name="Normal 2 2 5 3 2 2 5 2" xfId="12989" xr:uid="{00000000-0005-0000-0000-00000F000000}"/>
    <cellStyle name="Normal 2 2 5 3 2 2 6" xfId="8909" xr:uid="{00000000-0005-0000-0000-00000F000000}"/>
    <cellStyle name="Normal 2 2 5 3 2 3" xfId="2380" xr:uid="{00000000-0005-0000-0000-00000F000000}"/>
    <cellStyle name="Normal 2 2 5 3 2 3 2" xfId="6461" xr:uid="{00000000-0005-0000-0000-00000F000000}"/>
    <cellStyle name="Normal 2 2 5 3 2 3 2 2" xfId="14621" xr:uid="{00000000-0005-0000-0000-00000F000000}"/>
    <cellStyle name="Normal 2 2 5 3 2 3 3" xfId="10541" xr:uid="{00000000-0005-0000-0000-00000F000000}"/>
    <cellStyle name="Normal 2 2 5 3 2 4" xfId="1360" xr:uid="{00000000-0005-0000-0000-00000F000000}"/>
    <cellStyle name="Normal 2 2 5 3 2 4 2" xfId="5441" xr:uid="{00000000-0005-0000-0000-00000F000000}"/>
    <cellStyle name="Normal 2 2 5 3 2 4 2 2" xfId="13601" xr:uid="{00000000-0005-0000-0000-00000F000000}"/>
    <cellStyle name="Normal 2 2 5 3 2 4 3" xfId="9521" xr:uid="{00000000-0005-0000-0000-00000F000000}"/>
    <cellStyle name="Normal 2 2 5 3 2 5" xfId="3400" xr:uid="{00000000-0005-0000-0000-00000F000000}"/>
    <cellStyle name="Normal 2 2 5 3 2 5 2" xfId="7481" xr:uid="{00000000-0005-0000-0000-00000F000000}"/>
    <cellStyle name="Normal 2 2 5 3 2 5 2 2" xfId="15641" xr:uid="{00000000-0005-0000-0000-00000F000000}"/>
    <cellStyle name="Normal 2 2 5 3 2 5 3" xfId="11561" xr:uid="{00000000-0005-0000-0000-00000F000000}"/>
    <cellStyle name="Normal 2 2 5 3 2 6" xfId="4420" xr:uid="{00000000-0005-0000-0000-00000F000000}"/>
    <cellStyle name="Normal 2 2 5 3 2 6 2" xfId="12581" xr:uid="{00000000-0005-0000-0000-00000F000000}"/>
    <cellStyle name="Normal 2 2 5 3 2 7" xfId="8501" xr:uid="{00000000-0005-0000-0000-00000F000000}"/>
    <cellStyle name="Normal 2 2 5 3 3" xfId="951" xr:uid="{00000000-0005-0000-0000-00000F000000}"/>
    <cellStyle name="Normal 2 2 5 3 3 2" xfId="2992" xr:uid="{00000000-0005-0000-0000-00000F000000}"/>
    <cellStyle name="Normal 2 2 5 3 3 2 2" xfId="7073" xr:uid="{00000000-0005-0000-0000-00000F000000}"/>
    <cellStyle name="Normal 2 2 5 3 3 2 2 2" xfId="15233" xr:uid="{00000000-0005-0000-0000-00000F000000}"/>
    <cellStyle name="Normal 2 2 5 3 3 2 3" xfId="11153" xr:uid="{00000000-0005-0000-0000-00000F000000}"/>
    <cellStyle name="Normal 2 2 5 3 3 3" xfId="1972" xr:uid="{00000000-0005-0000-0000-00000F000000}"/>
    <cellStyle name="Normal 2 2 5 3 3 3 2" xfId="6053" xr:uid="{00000000-0005-0000-0000-00000F000000}"/>
    <cellStyle name="Normal 2 2 5 3 3 3 2 2" xfId="14213" xr:uid="{00000000-0005-0000-0000-00000F000000}"/>
    <cellStyle name="Normal 2 2 5 3 3 3 3" xfId="10133" xr:uid="{00000000-0005-0000-0000-00000F000000}"/>
    <cellStyle name="Normal 2 2 5 3 3 4" xfId="4012" xr:uid="{00000000-0005-0000-0000-00000F000000}"/>
    <cellStyle name="Normal 2 2 5 3 3 4 2" xfId="8093" xr:uid="{00000000-0005-0000-0000-00000F000000}"/>
    <cellStyle name="Normal 2 2 5 3 3 4 2 2" xfId="16253" xr:uid="{00000000-0005-0000-0000-00000F000000}"/>
    <cellStyle name="Normal 2 2 5 3 3 4 3" xfId="12173" xr:uid="{00000000-0005-0000-0000-00000F000000}"/>
    <cellStyle name="Normal 2 2 5 3 3 5" xfId="5032" xr:uid="{00000000-0005-0000-0000-00000F000000}"/>
    <cellStyle name="Normal 2 2 5 3 3 5 2" xfId="13193" xr:uid="{00000000-0005-0000-0000-00000F000000}"/>
    <cellStyle name="Normal 2 2 5 3 3 6" xfId="9113" xr:uid="{00000000-0005-0000-0000-00000F000000}"/>
    <cellStyle name="Normal 2 2 5 3 4" xfId="543" xr:uid="{00000000-0005-0000-0000-00000F000000}"/>
    <cellStyle name="Normal 2 2 5 3 4 2" xfId="2584" xr:uid="{00000000-0005-0000-0000-00000F000000}"/>
    <cellStyle name="Normal 2 2 5 3 4 2 2" xfId="6665" xr:uid="{00000000-0005-0000-0000-00000F000000}"/>
    <cellStyle name="Normal 2 2 5 3 4 2 2 2" xfId="14825" xr:uid="{00000000-0005-0000-0000-00000F000000}"/>
    <cellStyle name="Normal 2 2 5 3 4 2 3" xfId="10745" xr:uid="{00000000-0005-0000-0000-00000F000000}"/>
    <cellStyle name="Normal 2 2 5 3 4 3" xfId="1564" xr:uid="{00000000-0005-0000-0000-00000F000000}"/>
    <cellStyle name="Normal 2 2 5 3 4 3 2" xfId="5645" xr:uid="{00000000-0005-0000-0000-00000F000000}"/>
    <cellStyle name="Normal 2 2 5 3 4 3 2 2" xfId="13805" xr:uid="{00000000-0005-0000-0000-00000F000000}"/>
    <cellStyle name="Normal 2 2 5 3 4 3 3" xfId="9725" xr:uid="{00000000-0005-0000-0000-00000F000000}"/>
    <cellStyle name="Normal 2 2 5 3 4 4" xfId="3604" xr:uid="{00000000-0005-0000-0000-00000F000000}"/>
    <cellStyle name="Normal 2 2 5 3 4 4 2" xfId="7685" xr:uid="{00000000-0005-0000-0000-00000F000000}"/>
    <cellStyle name="Normal 2 2 5 3 4 4 2 2" xfId="15845" xr:uid="{00000000-0005-0000-0000-00000F000000}"/>
    <cellStyle name="Normal 2 2 5 3 4 4 3" xfId="11765" xr:uid="{00000000-0005-0000-0000-00000F000000}"/>
    <cellStyle name="Normal 2 2 5 3 4 5" xfId="4624" xr:uid="{00000000-0005-0000-0000-00000F000000}"/>
    <cellStyle name="Normal 2 2 5 3 4 5 2" xfId="12785" xr:uid="{00000000-0005-0000-0000-00000F000000}"/>
    <cellStyle name="Normal 2 2 5 3 4 6" xfId="8705" xr:uid="{00000000-0005-0000-0000-00000F000000}"/>
    <cellStyle name="Normal 2 2 5 3 5" xfId="2176" xr:uid="{00000000-0005-0000-0000-00000F000000}"/>
    <cellStyle name="Normal 2 2 5 3 5 2" xfId="6257" xr:uid="{00000000-0005-0000-0000-00000F000000}"/>
    <cellStyle name="Normal 2 2 5 3 5 2 2" xfId="14417" xr:uid="{00000000-0005-0000-0000-00000F000000}"/>
    <cellStyle name="Normal 2 2 5 3 5 3" xfId="10337" xr:uid="{00000000-0005-0000-0000-00000F000000}"/>
    <cellStyle name="Normal 2 2 5 3 6" xfId="1156" xr:uid="{00000000-0005-0000-0000-00000F000000}"/>
    <cellStyle name="Normal 2 2 5 3 6 2" xfId="5237" xr:uid="{00000000-0005-0000-0000-00000F000000}"/>
    <cellStyle name="Normal 2 2 5 3 6 2 2" xfId="13397" xr:uid="{00000000-0005-0000-0000-00000F000000}"/>
    <cellStyle name="Normal 2 2 5 3 6 3" xfId="9317" xr:uid="{00000000-0005-0000-0000-00000F000000}"/>
    <cellStyle name="Normal 2 2 5 3 7" xfId="3196" xr:uid="{00000000-0005-0000-0000-00000F000000}"/>
    <cellStyle name="Normal 2 2 5 3 7 2" xfId="7277" xr:uid="{00000000-0005-0000-0000-00000F000000}"/>
    <cellStyle name="Normal 2 2 5 3 7 2 2" xfId="15437" xr:uid="{00000000-0005-0000-0000-00000F000000}"/>
    <cellStyle name="Normal 2 2 5 3 7 3" xfId="11357" xr:uid="{00000000-0005-0000-0000-00000F000000}"/>
    <cellStyle name="Normal 2 2 5 3 8" xfId="4216" xr:uid="{00000000-0005-0000-0000-00000F000000}"/>
    <cellStyle name="Normal 2 2 5 3 8 2" xfId="12377" xr:uid="{00000000-0005-0000-0000-00000F000000}"/>
    <cellStyle name="Normal 2 2 5 3 9" xfId="8297" xr:uid="{00000000-0005-0000-0000-00000F000000}"/>
    <cellStyle name="Normal 2 2 5 4" xfId="237" xr:uid="{00000000-0005-0000-0000-00000F000000}"/>
    <cellStyle name="Normal 2 2 5 4 2" xfId="645" xr:uid="{00000000-0005-0000-0000-00000F000000}"/>
    <cellStyle name="Normal 2 2 5 4 2 2" xfId="2686" xr:uid="{00000000-0005-0000-0000-00000F000000}"/>
    <cellStyle name="Normal 2 2 5 4 2 2 2" xfId="6767" xr:uid="{00000000-0005-0000-0000-00000F000000}"/>
    <cellStyle name="Normal 2 2 5 4 2 2 2 2" xfId="14927" xr:uid="{00000000-0005-0000-0000-00000F000000}"/>
    <cellStyle name="Normal 2 2 5 4 2 2 3" xfId="10847" xr:uid="{00000000-0005-0000-0000-00000F000000}"/>
    <cellStyle name="Normal 2 2 5 4 2 3" xfId="1666" xr:uid="{00000000-0005-0000-0000-00000F000000}"/>
    <cellStyle name="Normal 2 2 5 4 2 3 2" xfId="5747" xr:uid="{00000000-0005-0000-0000-00000F000000}"/>
    <cellStyle name="Normal 2 2 5 4 2 3 2 2" xfId="13907" xr:uid="{00000000-0005-0000-0000-00000F000000}"/>
    <cellStyle name="Normal 2 2 5 4 2 3 3" xfId="9827" xr:uid="{00000000-0005-0000-0000-00000F000000}"/>
    <cellStyle name="Normal 2 2 5 4 2 4" xfId="3706" xr:uid="{00000000-0005-0000-0000-00000F000000}"/>
    <cellStyle name="Normal 2 2 5 4 2 4 2" xfId="7787" xr:uid="{00000000-0005-0000-0000-00000F000000}"/>
    <cellStyle name="Normal 2 2 5 4 2 4 2 2" xfId="15947" xr:uid="{00000000-0005-0000-0000-00000F000000}"/>
    <cellStyle name="Normal 2 2 5 4 2 4 3" xfId="11867" xr:uid="{00000000-0005-0000-0000-00000F000000}"/>
    <cellStyle name="Normal 2 2 5 4 2 5" xfId="4726" xr:uid="{00000000-0005-0000-0000-00000F000000}"/>
    <cellStyle name="Normal 2 2 5 4 2 5 2" xfId="12887" xr:uid="{00000000-0005-0000-0000-00000F000000}"/>
    <cellStyle name="Normal 2 2 5 4 2 6" xfId="8807" xr:uid="{00000000-0005-0000-0000-00000F000000}"/>
    <cellStyle name="Normal 2 2 5 4 3" xfId="2278" xr:uid="{00000000-0005-0000-0000-00000F000000}"/>
    <cellStyle name="Normal 2 2 5 4 3 2" xfId="6359" xr:uid="{00000000-0005-0000-0000-00000F000000}"/>
    <cellStyle name="Normal 2 2 5 4 3 2 2" xfId="14519" xr:uid="{00000000-0005-0000-0000-00000F000000}"/>
    <cellStyle name="Normal 2 2 5 4 3 3" xfId="10439" xr:uid="{00000000-0005-0000-0000-00000F000000}"/>
    <cellStyle name="Normal 2 2 5 4 4" xfId="1258" xr:uid="{00000000-0005-0000-0000-00000F000000}"/>
    <cellStyle name="Normal 2 2 5 4 4 2" xfId="5339" xr:uid="{00000000-0005-0000-0000-00000F000000}"/>
    <cellStyle name="Normal 2 2 5 4 4 2 2" xfId="13499" xr:uid="{00000000-0005-0000-0000-00000F000000}"/>
    <cellStyle name="Normal 2 2 5 4 4 3" xfId="9419" xr:uid="{00000000-0005-0000-0000-00000F000000}"/>
    <cellStyle name="Normal 2 2 5 4 5" xfId="3298" xr:uid="{00000000-0005-0000-0000-00000F000000}"/>
    <cellStyle name="Normal 2 2 5 4 5 2" xfId="7379" xr:uid="{00000000-0005-0000-0000-00000F000000}"/>
    <cellStyle name="Normal 2 2 5 4 5 2 2" xfId="15539" xr:uid="{00000000-0005-0000-0000-00000F000000}"/>
    <cellStyle name="Normal 2 2 5 4 5 3" xfId="11459" xr:uid="{00000000-0005-0000-0000-00000F000000}"/>
    <cellStyle name="Normal 2 2 5 4 6" xfId="4318" xr:uid="{00000000-0005-0000-0000-00000F000000}"/>
    <cellStyle name="Normal 2 2 5 4 6 2" xfId="12479" xr:uid="{00000000-0005-0000-0000-00000F000000}"/>
    <cellStyle name="Normal 2 2 5 4 7" xfId="8399" xr:uid="{00000000-0005-0000-0000-00000F000000}"/>
    <cellStyle name="Normal 2 2 5 5" xfId="849" xr:uid="{00000000-0005-0000-0000-00000F000000}"/>
    <cellStyle name="Normal 2 2 5 5 2" xfId="2890" xr:uid="{00000000-0005-0000-0000-00000F000000}"/>
    <cellStyle name="Normal 2 2 5 5 2 2" xfId="6971" xr:uid="{00000000-0005-0000-0000-00000F000000}"/>
    <cellStyle name="Normal 2 2 5 5 2 2 2" xfId="15131" xr:uid="{00000000-0005-0000-0000-00000F000000}"/>
    <cellStyle name="Normal 2 2 5 5 2 3" xfId="11051" xr:uid="{00000000-0005-0000-0000-00000F000000}"/>
    <cellStyle name="Normal 2 2 5 5 3" xfId="1870" xr:uid="{00000000-0005-0000-0000-00000F000000}"/>
    <cellStyle name="Normal 2 2 5 5 3 2" xfId="5951" xr:uid="{00000000-0005-0000-0000-00000F000000}"/>
    <cellStyle name="Normal 2 2 5 5 3 2 2" xfId="14111" xr:uid="{00000000-0005-0000-0000-00000F000000}"/>
    <cellStyle name="Normal 2 2 5 5 3 3" xfId="10031" xr:uid="{00000000-0005-0000-0000-00000F000000}"/>
    <cellStyle name="Normal 2 2 5 5 4" xfId="3910" xr:uid="{00000000-0005-0000-0000-00000F000000}"/>
    <cellStyle name="Normal 2 2 5 5 4 2" xfId="7991" xr:uid="{00000000-0005-0000-0000-00000F000000}"/>
    <cellStyle name="Normal 2 2 5 5 4 2 2" xfId="16151" xr:uid="{00000000-0005-0000-0000-00000F000000}"/>
    <cellStyle name="Normal 2 2 5 5 4 3" xfId="12071" xr:uid="{00000000-0005-0000-0000-00000F000000}"/>
    <cellStyle name="Normal 2 2 5 5 5" xfId="4930" xr:uid="{00000000-0005-0000-0000-00000F000000}"/>
    <cellStyle name="Normal 2 2 5 5 5 2" xfId="13091" xr:uid="{00000000-0005-0000-0000-00000F000000}"/>
    <cellStyle name="Normal 2 2 5 5 6" xfId="9011" xr:uid="{00000000-0005-0000-0000-00000F000000}"/>
    <cellStyle name="Normal 2 2 5 6" xfId="441" xr:uid="{00000000-0005-0000-0000-00000F000000}"/>
    <cellStyle name="Normal 2 2 5 6 2" xfId="2482" xr:uid="{00000000-0005-0000-0000-00000F000000}"/>
    <cellStyle name="Normal 2 2 5 6 2 2" xfId="6563" xr:uid="{00000000-0005-0000-0000-00000F000000}"/>
    <cellStyle name="Normal 2 2 5 6 2 2 2" xfId="14723" xr:uid="{00000000-0005-0000-0000-00000F000000}"/>
    <cellStyle name="Normal 2 2 5 6 2 3" xfId="10643" xr:uid="{00000000-0005-0000-0000-00000F000000}"/>
    <cellStyle name="Normal 2 2 5 6 3" xfId="1462" xr:uid="{00000000-0005-0000-0000-00000F000000}"/>
    <cellStyle name="Normal 2 2 5 6 3 2" xfId="5543" xr:uid="{00000000-0005-0000-0000-00000F000000}"/>
    <cellStyle name="Normal 2 2 5 6 3 2 2" xfId="13703" xr:uid="{00000000-0005-0000-0000-00000F000000}"/>
    <cellStyle name="Normal 2 2 5 6 3 3" xfId="9623" xr:uid="{00000000-0005-0000-0000-00000F000000}"/>
    <cellStyle name="Normal 2 2 5 6 4" xfId="3502" xr:uid="{00000000-0005-0000-0000-00000F000000}"/>
    <cellStyle name="Normal 2 2 5 6 4 2" xfId="7583" xr:uid="{00000000-0005-0000-0000-00000F000000}"/>
    <cellStyle name="Normal 2 2 5 6 4 2 2" xfId="15743" xr:uid="{00000000-0005-0000-0000-00000F000000}"/>
    <cellStyle name="Normal 2 2 5 6 4 3" xfId="11663" xr:uid="{00000000-0005-0000-0000-00000F000000}"/>
    <cellStyle name="Normal 2 2 5 6 5" xfId="4522" xr:uid="{00000000-0005-0000-0000-00000F000000}"/>
    <cellStyle name="Normal 2 2 5 6 5 2" xfId="12683" xr:uid="{00000000-0005-0000-0000-00000F000000}"/>
    <cellStyle name="Normal 2 2 5 6 6" xfId="8603" xr:uid="{00000000-0005-0000-0000-00000F000000}"/>
    <cellStyle name="Normal 2 2 5 7" xfId="2074" xr:uid="{00000000-0005-0000-0000-00000F000000}"/>
    <cellStyle name="Normal 2 2 5 7 2" xfId="6155" xr:uid="{00000000-0005-0000-0000-00000F000000}"/>
    <cellStyle name="Normal 2 2 5 7 2 2" xfId="14315" xr:uid="{00000000-0005-0000-0000-00000F000000}"/>
    <cellStyle name="Normal 2 2 5 7 3" xfId="10235" xr:uid="{00000000-0005-0000-0000-00000F000000}"/>
    <cellStyle name="Normal 2 2 5 8" xfId="1054" xr:uid="{00000000-0005-0000-0000-00000F000000}"/>
    <cellStyle name="Normal 2 2 5 8 2" xfId="5135" xr:uid="{00000000-0005-0000-0000-00000F000000}"/>
    <cellStyle name="Normal 2 2 5 8 2 2" xfId="13295" xr:uid="{00000000-0005-0000-0000-00000F000000}"/>
    <cellStyle name="Normal 2 2 5 8 3" xfId="9215" xr:uid="{00000000-0005-0000-0000-00000F000000}"/>
    <cellStyle name="Normal 2 2 5 9" xfId="3094" xr:uid="{00000000-0005-0000-0000-00000F000000}"/>
    <cellStyle name="Normal 2 2 5 9 2" xfId="7175" xr:uid="{00000000-0005-0000-0000-00000F000000}"/>
    <cellStyle name="Normal 2 2 5 9 2 2" xfId="15335" xr:uid="{00000000-0005-0000-0000-00000F000000}"/>
    <cellStyle name="Normal 2 2 5 9 3" xfId="11255" xr:uid="{00000000-0005-0000-0000-00000F000000}"/>
    <cellStyle name="Normal 2 2 6" xfId="59" xr:uid="{00000000-0005-0000-0000-000003000000}"/>
    <cellStyle name="Normal 2 2 6 10" xfId="8221" xr:uid="{00000000-0005-0000-0000-000003000000}"/>
    <cellStyle name="Normal 2 2 6 2" xfId="161" xr:uid="{00000000-0005-0000-0000-000003000000}"/>
    <cellStyle name="Normal 2 2 6 2 2" xfId="365" xr:uid="{00000000-0005-0000-0000-000003000000}"/>
    <cellStyle name="Normal 2 2 6 2 2 2" xfId="773" xr:uid="{00000000-0005-0000-0000-000003000000}"/>
    <cellStyle name="Normal 2 2 6 2 2 2 2" xfId="2814" xr:uid="{00000000-0005-0000-0000-000003000000}"/>
    <cellStyle name="Normal 2 2 6 2 2 2 2 2" xfId="6895" xr:uid="{00000000-0005-0000-0000-000003000000}"/>
    <cellStyle name="Normal 2 2 6 2 2 2 2 2 2" xfId="15055" xr:uid="{00000000-0005-0000-0000-000003000000}"/>
    <cellStyle name="Normal 2 2 6 2 2 2 2 3" xfId="10975" xr:uid="{00000000-0005-0000-0000-000003000000}"/>
    <cellStyle name="Normal 2 2 6 2 2 2 3" xfId="1794" xr:uid="{00000000-0005-0000-0000-000003000000}"/>
    <cellStyle name="Normal 2 2 6 2 2 2 3 2" xfId="5875" xr:uid="{00000000-0005-0000-0000-000003000000}"/>
    <cellStyle name="Normal 2 2 6 2 2 2 3 2 2" xfId="14035" xr:uid="{00000000-0005-0000-0000-000003000000}"/>
    <cellStyle name="Normal 2 2 6 2 2 2 3 3" xfId="9955" xr:uid="{00000000-0005-0000-0000-000003000000}"/>
    <cellStyle name="Normal 2 2 6 2 2 2 4" xfId="3834" xr:uid="{00000000-0005-0000-0000-000003000000}"/>
    <cellStyle name="Normal 2 2 6 2 2 2 4 2" xfId="7915" xr:uid="{00000000-0005-0000-0000-000003000000}"/>
    <cellStyle name="Normal 2 2 6 2 2 2 4 2 2" xfId="16075" xr:uid="{00000000-0005-0000-0000-000003000000}"/>
    <cellStyle name="Normal 2 2 6 2 2 2 4 3" xfId="11995" xr:uid="{00000000-0005-0000-0000-000003000000}"/>
    <cellStyle name="Normal 2 2 6 2 2 2 5" xfId="4854" xr:uid="{00000000-0005-0000-0000-000003000000}"/>
    <cellStyle name="Normal 2 2 6 2 2 2 5 2" xfId="13015" xr:uid="{00000000-0005-0000-0000-000003000000}"/>
    <cellStyle name="Normal 2 2 6 2 2 2 6" xfId="8935" xr:uid="{00000000-0005-0000-0000-000003000000}"/>
    <cellStyle name="Normal 2 2 6 2 2 3" xfId="2406" xr:uid="{00000000-0005-0000-0000-000003000000}"/>
    <cellStyle name="Normal 2 2 6 2 2 3 2" xfId="6487" xr:uid="{00000000-0005-0000-0000-000003000000}"/>
    <cellStyle name="Normal 2 2 6 2 2 3 2 2" xfId="14647" xr:uid="{00000000-0005-0000-0000-000003000000}"/>
    <cellStyle name="Normal 2 2 6 2 2 3 3" xfId="10567" xr:uid="{00000000-0005-0000-0000-000003000000}"/>
    <cellStyle name="Normal 2 2 6 2 2 4" xfId="1386" xr:uid="{00000000-0005-0000-0000-000003000000}"/>
    <cellStyle name="Normal 2 2 6 2 2 4 2" xfId="5467" xr:uid="{00000000-0005-0000-0000-000003000000}"/>
    <cellStyle name="Normal 2 2 6 2 2 4 2 2" xfId="13627" xr:uid="{00000000-0005-0000-0000-000003000000}"/>
    <cellStyle name="Normal 2 2 6 2 2 4 3" xfId="9547" xr:uid="{00000000-0005-0000-0000-000003000000}"/>
    <cellStyle name="Normal 2 2 6 2 2 5" xfId="3426" xr:uid="{00000000-0005-0000-0000-000003000000}"/>
    <cellStyle name="Normal 2 2 6 2 2 5 2" xfId="7507" xr:uid="{00000000-0005-0000-0000-000003000000}"/>
    <cellStyle name="Normal 2 2 6 2 2 5 2 2" xfId="15667" xr:uid="{00000000-0005-0000-0000-000003000000}"/>
    <cellStyle name="Normal 2 2 6 2 2 5 3" xfId="11587" xr:uid="{00000000-0005-0000-0000-000003000000}"/>
    <cellStyle name="Normal 2 2 6 2 2 6" xfId="4446" xr:uid="{00000000-0005-0000-0000-000003000000}"/>
    <cellStyle name="Normal 2 2 6 2 2 6 2" xfId="12607" xr:uid="{00000000-0005-0000-0000-000003000000}"/>
    <cellStyle name="Normal 2 2 6 2 2 7" xfId="8527" xr:uid="{00000000-0005-0000-0000-000003000000}"/>
    <cellStyle name="Normal 2 2 6 2 3" xfId="977" xr:uid="{00000000-0005-0000-0000-000003000000}"/>
    <cellStyle name="Normal 2 2 6 2 3 2" xfId="3018" xr:uid="{00000000-0005-0000-0000-000003000000}"/>
    <cellStyle name="Normal 2 2 6 2 3 2 2" xfId="7099" xr:uid="{00000000-0005-0000-0000-000003000000}"/>
    <cellStyle name="Normal 2 2 6 2 3 2 2 2" xfId="15259" xr:uid="{00000000-0005-0000-0000-000003000000}"/>
    <cellStyle name="Normal 2 2 6 2 3 2 3" xfId="11179" xr:uid="{00000000-0005-0000-0000-000003000000}"/>
    <cellStyle name="Normal 2 2 6 2 3 3" xfId="1998" xr:uid="{00000000-0005-0000-0000-000003000000}"/>
    <cellStyle name="Normal 2 2 6 2 3 3 2" xfId="6079" xr:uid="{00000000-0005-0000-0000-000003000000}"/>
    <cellStyle name="Normal 2 2 6 2 3 3 2 2" xfId="14239" xr:uid="{00000000-0005-0000-0000-000003000000}"/>
    <cellStyle name="Normal 2 2 6 2 3 3 3" xfId="10159" xr:uid="{00000000-0005-0000-0000-000003000000}"/>
    <cellStyle name="Normal 2 2 6 2 3 4" xfId="4038" xr:uid="{00000000-0005-0000-0000-000003000000}"/>
    <cellStyle name="Normal 2 2 6 2 3 4 2" xfId="8119" xr:uid="{00000000-0005-0000-0000-000003000000}"/>
    <cellStyle name="Normal 2 2 6 2 3 4 2 2" xfId="16279" xr:uid="{00000000-0005-0000-0000-000003000000}"/>
    <cellStyle name="Normal 2 2 6 2 3 4 3" xfId="12199" xr:uid="{00000000-0005-0000-0000-000003000000}"/>
    <cellStyle name="Normal 2 2 6 2 3 5" xfId="5058" xr:uid="{00000000-0005-0000-0000-000003000000}"/>
    <cellStyle name="Normal 2 2 6 2 3 5 2" xfId="13219" xr:uid="{00000000-0005-0000-0000-000003000000}"/>
    <cellStyle name="Normal 2 2 6 2 3 6" xfId="9139" xr:uid="{00000000-0005-0000-0000-000003000000}"/>
    <cellStyle name="Normal 2 2 6 2 4" xfId="569" xr:uid="{00000000-0005-0000-0000-000003000000}"/>
    <cellStyle name="Normal 2 2 6 2 4 2" xfId="2610" xr:uid="{00000000-0005-0000-0000-000003000000}"/>
    <cellStyle name="Normal 2 2 6 2 4 2 2" xfId="6691" xr:uid="{00000000-0005-0000-0000-000003000000}"/>
    <cellStyle name="Normal 2 2 6 2 4 2 2 2" xfId="14851" xr:uid="{00000000-0005-0000-0000-000003000000}"/>
    <cellStyle name="Normal 2 2 6 2 4 2 3" xfId="10771" xr:uid="{00000000-0005-0000-0000-000003000000}"/>
    <cellStyle name="Normal 2 2 6 2 4 3" xfId="1590" xr:uid="{00000000-0005-0000-0000-000003000000}"/>
    <cellStyle name="Normal 2 2 6 2 4 3 2" xfId="5671" xr:uid="{00000000-0005-0000-0000-000003000000}"/>
    <cellStyle name="Normal 2 2 6 2 4 3 2 2" xfId="13831" xr:uid="{00000000-0005-0000-0000-000003000000}"/>
    <cellStyle name="Normal 2 2 6 2 4 3 3" xfId="9751" xr:uid="{00000000-0005-0000-0000-000003000000}"/>
    <cellStyle name="Normal 2 2 6 2 4 4" xfId="3630" xr:uid="{00000000-0005-0000-0000-000003000000}"/>
    <cellStyle name="Normal 2 2 6 2 4 4 2" xfId="7711" xr:uid="{00000000-0005-0000-0000-000003000000}"/>
    <cellStyle name="Normal 2 2 6 2 4 4 2 2" xfId="15871" xr:uid="{00000000-0005-0000-0000-000003000000}"/>
    <cellStyle name="Normal 2 2 6 2 4 4 3" xfId="11791" xr:uid="{00000000-0005-0000-0000-000003000000}"/>
    <cellStyle name="Normal 2 2 6 2 4 5" xfId="4650" xr:uid="{00000000-0005-0000-0000-000003000000}"/>
    <cellStyle name="Normal 2 2 6 2 4 5 2" xfId="12811" xr:uid="{00000000-0005-0000-0000-000003000000}"/>
    <cellStyle name="Normal 2 2 6 2 4 6" xfId="8731" xr:uid="{00000000-0005-0000-0000-000003000000}"/>
    <cellStyle name="Normal 2 2 6 2 5" xfId="2202" xr:uid="{00000000-0005-0000-0000-000003000000}"/>
    <cellStyle name="Normal 2 2 6 2 5 2" xfId="6283" xr:uid="{00000000-0005-0000-0000-000003000000}"/>
    <cellStyle name="Normal 2 2 6 2 5 2 2" xfId="14443" xr:uid="{00000000-0005-0000-0000-000003000000}"/>
    <cellStyle name="Normal 2 2 6 2 5 3" xfId="10363" xr:uid="{00000000-0005-0000-0000-000003000000}"/>
    <cellStyle name="Normal 2 2 6 2 6" xfId="1182" xr:uid="{00000000-0005-0000-0000-000003000000}"/>
    <cellStyle name="Normal 2 2 6 2 6 2" xfId="5263" xr:uid="{00000000-0005-0000-0000-000003000000}"/>
    <cellStyle name="Normal 2 2 6 2 6 2 2" xfId="13423" xr:uid="{00000000-0005-0000-0000-000003000000}"/>
    <cellStyle name="Normal 2 2 6 2 6 3" xfId="9343" xr:uid="{00000000-0005-0000-0000-000003000000}"/>
    <cellStyle name="Normal 2 2 6 2 7" xfId="3222" xr:uid="{00000000-0005-0000-0000-000003000000}"/>
    <cellStyle name="Normal 2 2 6 2 7 2" xfId="7303" xr:uid="{00000000-0005-0000-0000-000003000000}"/>
    <cellStyle name="Normal 2 2 6 2 7 2 2" xfId="15463" xr:uid="{00000000-0005-0000-0000-000003000000}"/>
    <cellStyle name="Normal 2 2 6 2 7 3" xfId="11383" xr:uid="{00000000-0005-0000-0000-000003000000}"/>
    <cellStyle name="Normal 2 2 6 2 8" xfId="4242" xr:uid="{00000000-0005-0000-0000-000003000000}"/>
    <cellStyle name="Normal 2 2 6 2 8 2" xfId="12403" xr:uid="{00000000-0005-0000-0000-000003000000}"/>
    <cellStyle name="Normal 2 2 6 2 9" xfId="8323" xr:uid="{00000000-0005-0000-0000-000003000000}"/>
    <cellStyle name="Normal 2 2 6 3" xfId="263" xr:uid="{00000000-0005-0000-0000-000003000000}"/>
    <cellStyle name="Normal 2 2 6 3 2" xfId="671" xr:uid="{00000000-0005-0000-0000-000003000000}"/>
    <cellStyle name="Normal 2 2 6 3 2 2" xfId="2712" xr:uid="{00000000-0005-0000-0000-000003000000}"/>
    <cellStyle name="Normal 2 2 6 3 2 2 2" xfId="6793" xr:uid="{00000000-0005-0000-0000-000003000000}"/>
    <cellStyle name="Normal 2 2 6 3 2 2 2 2" xfId="14953" xr:uid="{00000000-0005-0000-0000-000003000000}"/>
    <cellStyle name="Normal 2 2 6 3 2 2 3" xfId="10873" xr:uid="{00000000-0005-0000-0000-000003000000}"/>
    <cellStyle name="Normal 2 2 6 3 2 3" xfId="1692" xr:uid="{00000000-0005-0000-0000-000003000000}"/>
    <cellStyle name="Normal 2 2 6 3 2 3 2" xfId="5773" xr:uid="{00000000-0005-0000-0000-000003000000}"/>
    <cellStyle name="Normal 2 2 6 3 2 3 2 2" xfId="13933" xr:uid="{00000000-0005-0000-0000-000003000000}"/>
    <cellStyle name="Normal 2 2 6 3 2 3 3" xfId="9853" xr:uid="{00000000-0005-0000-0000-000003000000}"/>
    <cellStyle name="Normal 2 2 6 3 2 4" xfId="3732" xr:uid="{00000000-0005-0000-0000-000003000000}"/>
    <cellStyle name="Normal 2 2 6 3 2 4 2" xfId="7813" xr:uid="{00000000-0005-0000-0000-000003000000}"/>
    <cellStyle name="Normal 2 2 6 3 2 4 2 2" xfId="15973" xr:uid="{00000000-0005-0000-0000-000003000000}"/>
    <cellStyle name="Normal 2 2 6 3 2 4 3" xfId="11893" xr:uid="{00000000-0005-0000-0000-000003000000}"/>
    <cellStyle name="Normal 2 2 6 3 2 5" xfId="4752" xr:uid="{00000000-0005-0000-0000-000003000000}"/>
    <cellStyle name="Normal 2 2 6 3 2 5 2" xfId="12913" xr:uid="{00000000-0005-0000-0000-000003000000}"/>
    <cellStyle name="Normal 2 2 6 3 2 6" xfId="8833" xr:uid="{00000000-0005-0000-0000-000003000000}"/>
    <cellStyle name="Normal 2 2 6 3 3" xfId="2304" xr:uid="{00000000-0005-0000-0000-000003000000}"/>
    <cellStyle name="Normal 2 2 6 3 3 2" xfId="6385" xr:uid="{00000000-0005-0000-0000-000003000000}"/>
    <cellStyle name="Normal 2 2 6 3 3 2 2" xfId="14545" xr:uid="{00000000-0005-0000-0000-000003000000}"/>
    <cellStyle name="Normal 2 2 6 3 3 3" xfId="10465" xr:uid="{00000000-0005-0000-0000-000003000000}"/>
    <cellStyle name="Normal 2 2 6 3 4" xfId="1284" xr:uid="{00000000-0005-0000-0000-000003000000}"/>
    <cellStyle name="Normal 2 2 6 3 4 2" xfId="5365" xr:uid="{00000000-0005-0000-0000-000003000000}"/>
    <cellStyle name="Normal 2 2 6 3 4 2 2" xfId="13525" xr:uid="{00000000-0005-0000-0000-000003000000}"/>
    <cellStyle name="Normal 2 2 6 3 4 3" xfId="9445" xr:uid="{00000000-0005-0000-0000-000003000000}"/>
    <cellStyle name="Normal 2 2 6 3 5" xfId="3324" xr:uid="{00000000-0005-0000-0000-000003000000}"/>
    <cellStyle name="Normal 2 2 6 3 5 2" xfId="7405" xr:uid="{00000000-0005-0000-0000-000003000000}"/>
    <cellStyle name="Normal 2 2 6 3 5 2 2" xfId="15565" xr:uid="{00000000-0005-0000-0000-000003000000}"/>
    <cellStyle name="Normal 2 2 6 3 5 3" xfId="11485" xr:uid="{00000000-0005-0000-0000-000003000000}"/>
    <cellStyle name="Normal 2 2 6 3 6" xfId="4344" xr:uid="{00000000-0005-0000-0000-000003000000}"/>
    <cellStyle name="Normal 2 2 6 3 6 2" xfId="12505" xr:uid="{00000000-0005-0000-0000-000003000000}"/>
    <cellStyle name="Normal 2 2 6 3 7" xfId="8425" xr:uid="{00000000-0005-0000-0000-000003000000}"/>
    <cellStyle name="Normal 2 2 6 4" xfId="875" xr:uid="{00000000-0005-0000-0000-000003000000}"/>
    <cellStyle name="Normal 2 2 6 4 2" xfId="2916" xr:uid="{00000000-0005-0000-0000-000003000000}"/>
    <cellStyle name="Normal 2 2 6 4 2 2" xfId="6997" xr:uid="{00000000-0005-0000-0000-000003000000}"/>
    <cellStyle name="Normal 2 2 6 4 2 2 2" xfId="15157" xr:uid="{00000000-0005-0000-0000-000003000000}"/>
    <cellStyle name="Normal 2 2 6 4 2 3" xfId="11077" xr:uid="{00000000-0005-0000-0000-000003000000}"/>
    <cellStyle name="Normal 2 2 6 4 3" xfId="1896" xr:uid="{00000000-0005-0000-0000-000003000000}"/>
    <cellStyle name="Normal 2 2 6 4 3 2" xfId="5977" xr:uid="{00000000-0005-0000-0000-000003000000}"/>
    <cellStyle name="Normal 2 2 6 4 3 2 2" xfId="14137" xr:uid="{00000000-0005-0000-0000-000003000000}"/>
    <cellStyle name="Normal 2 2 6 4 3 3" xfId="10057" xr:uid="{00000000-0005-0000-0000-000003000000}"/>
    <cellStyle name="Normal 2 2 6 4 4" xfId="3936" xr:uid="{00000000-0005-0000-0000-000003000000}"/>
    <cellStyle name="Normal 2 2 6 4 4 2" xfId="8017" xr:uid="{00000000-0005-0000-0000-000003000000}"/>
    <cellStyle name="Normal 2 2 6 4 4 2 2" xfId="16177" xr:uid="{00000000-0005-0000-0000-000003000000}"/>
    <cellStyle name="Normal 2 2 6 4 4 3" xfId="12097" xr:uid="{00000000-0005-0000-0000-000003000000}"/>
    <cellStyle name="Normal 2 2 6 4 5" xfId="4956" xr:uid="{00000000-0005-0000-0000-000003000000}"/>
    <cellStyle name="Normal 2 2 6 4 5 2" xfId="13117" xr:uid="{00000000-0005-0000-0000-000003000000}"/>
    <cellStyle name="Normal 2 2 6 4 6" xfId="9037" xr:uid="{00000000-0005-0000-0000-000003000000}"/>
    <cellStyle name="Normal 2 2 6 5" xfId="467" xr:uid="{00000000-0005-0000-0000-000003000000}"/>
    <cellStyle name="Normal 2 2 6 5 2" xfId="2508" xr:uid="{00000000-0005-0000-0000-000003000000}"/>
    <cellStyle name="Normal 2 2 6 5 2 2" xfId="6589" xr:uid="{00000000-0005-0000-0000-000003000000}"/>
    <cellStyle name="Normal 2 2 6 5 2 2 2" xfId="14749" xr:uid="{00000000-0005-0000-0000-000003000000}"/>
    <cellStyle name="Normal 2 2 6 5 2 3" xfId="10669" xr:uid="{00000000-0005-0000-0000-000003000000}"/>
    <cellStyle name="Normal 2 2 6 5 3" xfId="1488" xr:uid="{00000000-0005-0000-0000-000003000000}"/>
    <cellStyle name="Normal 2 2 6 5 3 2" xfId="5569" xr:uid="{00000000-0005-0000-0000-000003000000}"/>
    <cellStyle name="Normal 2 2 6 5 3 2 2" xfId="13729" xr:uid="{00000000-0005-0000-0000-000003000000}"/>
    <cellStyle name="Normal 2 2 6 5 3 3" xfId="9649" xr:uid="{00000000-0005-0000-0000-000003000000}"/>
    <cellStyle name="Normal 2 2 6 5 4" xfId="3528" xr:uid="{00000000-0005-0000-0000-000003000000}"/>
    <cellStyle name="Normal 2 2 6 5 4 2" xfId="7609" xr:uid="{00000000-0005-0000-0000-000003000000}"/>
    <cellStyle name="Normal 2 2 6 5 4 2 2" xfId="15769" xr:uid="{00000000-0005-0000-0000-000003000000}"/>
    <cellStyle name="Normal 2 2 6 5 4 3" xfId="11689" xr:uid="{00000000-0005-0000-0000-000003000000}"/>
    <cellStyle name="Normal 2 2 6 5 5" xfId="4548" xr:uid="{00000000-0005-0000-0000-000003000000}"/>
    <cellStyle name="Normal 2 2 6 5 5 2" xfId="12709" xr:uid="{00000000-0005-0000-0000-000003000000}"/>
    <cellStyle name="Normal 2 2 6 5 6" xfId="8629" xr:uid="{00000000-0005-0000-0000-000003000000}"/>
    <cellStyle name="Normal 2 2 6 6" xfId="2100" xr:uid="{00000000-0005-0000-0000-000003000000}"/>
    <cellStyle name="Normal 2 2 6 6 2" xfId="6181" xr:uid="{00000000-0005-0000-0000-000003000000}"/>
    <cellStyle name="Normal 2 2 6 6 2 2" xfId="14341" xr:uid="{00000000-0005-0000-0000-000003000000}"/>
    <cellStyle name="Normal 2 2 6 6 3" xfId="10261" xr:uid="{00000000-0005-0000-0000-000003000000}"/>
    <cellStyle name="Normal 2 2 6 7" xfId="1080" xr:uid="{00000000-0005-0000-0000-000003000000}"/>
    <cellStyle name="Normal 2 2 6 7 2" xfId="5161" xr:uid="{00000000-0005-0000-0000-000003000000}"/>
    <cellStyle name="Normal 2 2 6 7 2 2" xfId="13321" xr:uid="{00000000-0005-0000-0000-000003000000}"/>
    <cellStyle name="Normal 2 2 6 7 3" xfId="9241" xr:uid="{00000000-0005-0000-0000-000003000000}"/>
    <cellStyle name="Normal 2 2 6 8" xfId="3120" xr:uid="{00000000-0005-0000-0000-000003000000}"/>
    <cellStyle name="Normal 2 2 6 8 2" xfId="7201" xr:uid="{00000000-0005-0000-0000-000003000000}"/>
    <cellStyle name="Normal 2 2 6 8 2 2" xfId="15361" xr:uid="{00000000-0005-0000-0000-000003000000}"/>
    <cellStyle name="Normal 2 2 6 8 3" xfId="11281" xr:uid="{00000000-0005-0000-0000-000003000000}"/>
    <cellStyle name="Normal 2 2 6 9" xfId="4140" xr:uid="{00000000-0005-0000-0000-000003000000}"/>
    <cellStyle name="Normal 2 2 6 9 2" xfId="12301" xr:uid="{00000000-0005-0000-0000-000003000000}"/>
    <cellStyle name="Normal 2 2 7" xfId="110" xr:uid="{00000000-0005-0000-0000-000003000000}"/>
    <cellStyle name="Normal 2 2 7 2" xfId="314" xr:uid="{00000000-0005-0000-0000-000003000000}"/>
    <cellStyle name="Normal 2 2 7 2 2" xfId="722" xr:uid="{00000000-0005-0000-0000-000003000000}"/>
    <cellStyle name="Normal 2 2 7 2 2 2" xfId="2763" xr:uid="{00000000-0005-0000-0000-000003000000}"/>
    <cellStyle name="Normal 2 2 7 2 2 2 2" xfId="6844" xr:uid="{00000000-0005-0000-0000-000003000000}"/>
    <cellStyle name="Normal 2 2 7 2 2 2 2 2" xfId="15004" xr:uid="{00000000-0005-0000-0000-000003000000}"/>
    <cellStyle name="Normal 2 2 7 2 2 2 3" xfId="10924" xr:uid="{00000000-0005-0000-0000-000003000000}"/>
    <cellStyle name="Normal 2 2 7 2 2 3" xfId="1743" xr:uid="{00000000-0005-0000-0000-000003000000}"/>
    <cellStyle name="Normal 2 2 7 2 2 3 2" xfId="5824" xr:uid="{00000000-0005-0000-0000-000003000000}"/>
    <cellStyle name="Normal 2 2 7 2 2 3 2 2" xfId="13984" xr:uid="{00000000-0005-0000-0000-000003000000}"/>
    <cellStyle name="Normal 2 2 7 2 2 3 3" xfId="9904" xr:uid="{00000000-0005-0000-0000-000003000000}"/>
    <cellStyle name="Normal 2 2 7 2 2 4" xfId="3783" xr:uid="{00000000-0005-0000-0000-000003000000}"/>
    <cellStyle name="Normal 2 2 7 2 2 4 2" xfId="7864" xr:uid="{00000000-0005-0000-0000-000003000000}"/>
    <cellStyle name="Normal 2 2 7 2 2 4 2 2" xfId="16024" xr:uid="{00000000-0005-0000-0000-000003000000}"/>
    <cellStyle name="Normal 2 2 7 2 2 4 3" xfId="11944" xr:uid="{00000000-0005-0000-0000-000003000000}"/>
    <cellStyle name="Normal 2 2 7 2 2 5" xfId="4803" xr:uid="{00000000-0005-0000-0000-000003000000}"/>
    <cellStyle name="Normal 2 2 7 2 2 5 2" xfId="12964" xr:uid="{00000000-0005-0000-0000-000003000000}"/>
    <cellStyle name="Normal 2 2 7 2 2 6" xfId="8884" xr:uid="{00000000-0005-0000-0000-000003000000}"/>
    <cellStyle name="Normal 2 2 7 2 3" xfId="2355" xr:uid="{00000000-0005-0000-0000-000003000000}"/>
    <cellStyle name="Normal 2 2 7 2 3 2" xfId="6436" xr:uid="{00000000-0005-0000-0000-000003000000}"/>
    <cellStyle name="Normal 2 2 7 2 3 2 2" xfId="14596" xr:uid="{00000000-0005-0000-0000-000003000000}"/>
    <cellStyle name="Normal 2 2 7 2 3 3" xfId="10516" xr:uid="{00000000-0005-0000-0000-000003000000}"/>
    <cellStyle name="Normal 2 2 7 2 4" xfId="1335" xr:uid="{00000000-0005-0000-0000-000003000000}"/>
    <cellStyle name="Normal 2 2 7 2 4 2" xfId="5416" xr:uid="{00000000-0005-0000-0000-000003000000}"/>
    <cellStyle name="Normal 2 2 7 2 4 2 2" xfId="13576" xr:uid="{00000000-0005-0000-0000-000003000000}"/>
    <cellStyle name="Normal 2 2 7 2 4 3" xfId="9496" xr:uid="{00000000-0005-0000-0000-000003000000}"/>
    <cellStyle name="Normal 2 2 7 2 5" xfId="3375" xr:uid="{00000000-0005-0000-0000-000003000000}"/>
    <cellStyle name="Normal 2 2 7 2 5 2" xfId="7456" xr:uid="{00000000-0005-0000-0000-000003000000}"/>
    <cellStyle name="Normal 2 2 7 2 5 2 2" xfId="15616" xr:uid="{00000000-0005-0000-0000-000003000000}"/>
    <cellStyle name="Normal 2 2 7 2 5 3" xfId="11536" xr:uid="{00000000-0005-0000-0000-000003000000}"/>
    <cellStyle name="Normal 2 2 7 2 6" xfId="4395" xr:uid="{00000000-0005-0000-0000-000003000000}"/>
    <cellStyle name="Normal 2 2 7 2 6 2" xfId="12556" xr:uid="{00000000-0005-0000-0000-000003000000}"/>
    <cellStyle name="Normal 2 2 7 2 7" xfId="8476" xr:uid="{00000000-0005-0000-0000-000003000000}"/>
    <cellStyle name="Normal 2 2 7 3" xfId="926" xr:uid="{00000000-0005-0000-0000-000003000000}"/>
    <cellStyle name="Normal 2 2 7 3 2" xfId="2967" xr:uid="{00000000-0005-0000-0000-000003000000}"/>
    <cellStyle name="Normal 2 2 7 3 2 2" xfId="7048" xr:uid="{00000000-0005-0000-0000-000003000000}"/>
    <cellStyle name="Normal 2 2 7 3 2 2 2" xfId="15208" xr:uid="{00000000-0005-0000-0000-000003000000}"/>
    <cellStyle name="Normal 2 2 7 3 2 3" xfId="11128" xr:uid="{00000000-0005-0000-0000-000003000000}"/>
    <cellStyle name="Normal 2 2 7 3 3" xfId="1947" xr:uid="{00000000-0005-0000-0000-000003000000}"/>
    <cellStyle name="Normal 2 2 7 3 3 2" xfId="6028" xr:uid="{00000000-0005-0000-0000-000003000000}"/>
    <cellStyle name="Normal 2 2 7 3 3 2 2" xfId="14188" xr:uid="{00000000-0005-0000-0000-000003000000}"/>
    <cellStyle name="Normal 2 2 7 3 3 3" xfId="10108" xr:uid="{00000000-0005-0000-0000-000003000000}"/>
    <cellStyle name="Normal 2 2 7 3 4" xfId="3987" xr:uid="{00000000-0005-0000-0000-000003000000}"/>
    <cellStyle name="Normal 2 2 7 3 4 2" xfId="8068" xr:uid="{00000000-0005-0000-0000-000003000000}"/>
    <cellStyle name="Normal 2 2 7 3 4 2 2" xfId="16228" xr:uid="{00000000-0005-0000-0000-000003000000}"/>
    <cellStyle name="Normal 2 2 7 3 4 3" xfId="12148" xr:uid="{00000000-0005-0000-0000-000003000000}"/>
    <cellStyle name="Normal 2 2 7 3 5" xfId="5007" xr:uid="{00000000-0005-0000-0000-000003000000}"/>
    <cellStyle name="Normal 2 2 7 3 5 2" xfId="13168" xr:uid="{00000000-0005-0000-0000-000003000000}"/>
    <cellStyle name="Normal 2 2 7 3 6" xfId="9088" xr:uid="{00000000-0005-0000-0000-000003000000}"/>
    <cellStyle name="Normal 2 2 7 4" xfId="518" xr:uid="{00000000-0005-0000-0000-000003000000}"/>
    <cellStyle name="Normal 2 2 7 4 2" xfId="2559" xr:uid="{00000000-0005-0000-0000-000003000000}"/>
    <cellStyle name="Normal 2 2 7 4 2 2" xfId="6640" xr:uid="{00000000-0005-0000-0000-000003000000}"/>
    <cellStyle name="Normal 2 2 7 4 2 2 2" xfId="14800" xr:uid="{00000000-0005-0000-0000-000003000000}"/>
    <cellStyle name="Normal 2 2 7 4 2 3" xfId="10720" xr:uid="{00000000-0005-0000-0000-000003000000}"/>
    <cellStyle name="Normal 2 2 7 4 3" xfId="1539" xr:uid="{00000000-0005-0000-0000-000003000000}"/>
    <cellStyle name="Normal 2 2 7 4 3 2" xfId="5620" xr:uid="{00000000-0005-0000-0000-000003000000}"/>
    <cellStyle name="Normal 2 2 7 4 3 2 2" xfId="13780" xr:uid="{00000000-0005-0000-0000-000003000000}"/>
    <cellStyle name="Normal 2 2 7 4 3 3" xfId="9700" xr:uid="{00000000-0005-0000-0000-000003000000}"/>
    <cellStyle name="Normal 2 2 7 4 4" xfId="3579" xr:uid="{00000000-0005-0000-0000-000003000000}"/>
    <cellStyle name="Normal 2 2 7 4 4 2" xfId="7660" xr:uid="{00000000-0005-0000-0000-000003000000}"/>
    <cellStyle name="Normal 2 2 7 4 4 2 2" xfId="15820" xr:uid="{00000000-0005-0000-0000-000003000000}"/>
    <cellStyle name="Normal 2 2 7 4 4 3" xfId="11740" xr:uid="{00000000-0005-0000-0000-000003000000}"/>
    <cellStyle name="Normal 2 2 7 4 5" xfId="4599" xr:uid="{00000000-0005-0000-0000-000003000000}"/>
    <cellStyle name="Normal 2 2 7 4 5 2" xfId="12760" xr:uid="{00000000-0005-0000-0000-000003000000}"/>
    <cellStyle name="Normal 2 2 7 4 6" xfId="8680" xr:uid="{00000000-0005-0000-0000-000003000000}"/>
    <cellStyle name="Normal 2 2 7 5" xfId="2151" xr:uid="{00000000-0005-0000-0000-000003000000}"/>
    <cellStyle name="Normal 2 2 7 5 2" xfId="6232" xr:uid="{00000000-0005-0000-0000-000003000000}"/>
    <cellStyle name="Normal 2 2 7 5 2 2" xfId="14392" xr:uid="{00000000-0005-0000-0000-000003000000}"/>
    <cellStyle name="Normal 2 2 7 5 3" xfId="10312" xr:uid="{00000000-0005-0000-0000-000003000000}"/>
    <cellStyle name="Normal 2 2 7 6" xfId="1131" xr:uid="{00000000-0005-0000-0000-000003000000}"/>
    <cellStyle name="Normal 2 2 7 6 2" xfId="5212" xr:uid="{00000000-0005-0000-0000-000003000000}"/>
    <cellStyle name="Normal 2 2 7 6 2 2" xfId="13372" xr:uid="{00000000-0005-0000-0000-000003000000}"/>
    <cellStyle name="Normal 2 2 7 6 3" xfId="9292" xr:uid="{00000000-0005-0000-0000-000003000000}"/>
    <cellStyle name="Normal 2 2 7 7" xfId="3171" xr:uid="{00000000-0005-0000-0000-000003000000}"/>
    <cellStyle name="Normal 2 2 7 7 2" xfId="7252" xr:uid="{00000000-0005-0000-0000-000003000000}"/>
    <cellStyle name="Normal 2 2 7 7 2 2" xfId="15412" xr:uid="{00000000-0005-0000-0000-000003000000}"/>
    <cellStyle name="Normal 2 2 7 7 3" xfId="11332" xr:uid="{00000000-0005-0000-0000-000003000000}"/>
    <cellStyle name="Normal 2 2 7 8" xfId="4191" xr:uid="{00000000-0005-0000-0000-000003000000}"/>
    <cellStyle name="Normal 2 2 7 8 2" xfId="12352" xr:uid="{00000000-0005-0000-0000-000003000000}"/>
    <cellStyle name="Normal 2 2 7 9" xfId="8272" xr:uid="{00000000-0005-0000-0000-000003000000}"/>
    <cellStyle name="Normal 2 2 8" xfId="212" xr:uid="{00000000-0005-0000-0000-000003000000}"/>
    <cellStyle name="Normal 2 2 8 2" xfId="620" xr:uid="{00000000-0005-0000-0000-000003000000}"/>
    <cellStyle name="Normal 2 2 8 2 2" xfId="2661" xr:uid="{00000000-0005-0000-0000-000003000000}"/>
    <cellStyle name="Normal 2 2 8 2 2 2" xfId="6742" xr:uid="{00000000-0005-0000-0000-000003000000}"/>
    <cellStyle name="Normal 2 2 8 2 2 2 2" xfId="14902" xr:uid="{00000000-0005-0000-0000-000003000000}"/>
    <cellStyle name="Normal 2 2 8 2 2 3" xfId="10822" xr:uid="{00000000-0005-0000-0000-000003000000}"/>
    <cellStyle name="Normal 2 2 8 2 3" xfId="1641" xr:uid="{00000000-0005-0000-0000-000003000000}"/>
    <cellStyle name="Normal 2 2 8 2 3 2" xfId="5722" xr:uid="{00000000-0005-0000-0000-000003000000}"/>
    <cellStyle name="Normal 2 2 8 2 3 2 2" xfId="13882" xr:uid="{00000000-0005-0000-0000-000003000000}"/>
    <cellStyle name="Normal 2 2 8 2 3 3" xfId="9802" xr:uid="{00000000-0005-0000-0000-000003000000}"/>
    <cellStyle name="Normal 2 2 8 2 4" xfId="3681" xr:uid="{00000000-0005-0000-0000-000003000000}"/>
    <cellStyle name="Normal 2 2 8 2 4 2" xfId="7762" xr:uid="{00000000-0005-0000-0000-000003000000}"/>
    <cellStyle name="Normal 2 2 8 2 4 2 2" xfId="15922" xr:uid="{00000000-0005-0000-0000-000003000000}"/>
    <cellStyle name="Normal 2 2 8 2 4 3" xfId="11842" xr:uid="{00000000-0005-0000-0000-000003000000}"/>
    <cellStyle name="Normal 2 2 8 2 5" xfId="4701" xr:uid="{00000000-0005-0000-0000-000003000000}"/>
    <cellStyle name="Normal 2 2 8 2 5 2" xfId="12862" xr:uid="{00000000-0005-0000-0000-000003000000}"/>
    <cellStyle name="Normal 2 2 8 2 6" xfId="8782" xr:uid="{00000000-0005-0000-0000-000003000000}"/>
    <cellStyle name="Normal 2 2 8 3" xfId="2253" xr:uid="{00000000-0005-0000-0000-000003000000}"/>
    <cellStyle name="Normal 2 2 8 3 2" xfId="6334" xr:uid="{00000000-0005-0000-0000-000003000000}"/>
    <cellStyle name="Normal 2 2 8 3 2 2" xfId="14494" xr:uid="{00000000-0005-0000-0000-000003000000}"/>
    <cellStyle name="Normal 2 2 8 3 3" xfId="10414" xr:uid="{00000000-0005-0000-0000-000003000000}"/>
    <cellStyle name="Normal 2 2 8 4" xfId="1233" xr:uid="{00000000-0005-0000-0000-000003000000}"/>
    <cellStyle name="Normal 2 2 8 4 2" xfId="5314" xr:uid="{00000000-0005-0000-0000-000003000000}"/>
    <cellStyle name="Normal 2 2 8 4 2 2" xfId="13474" xr:uid="{00000000-0005-0000-0000-000003000000}"/>
    <cellStyle name="Normal 2 2 8 4 3" xfId="9394" xr:uid="{00000000-0005-0000-0000-000003000000}"/>
    <cellStyle name="Normal 2 2 8 5" xfId="3273" xr:uid="{00000000-0005-0000-0000-000003000000}"/>
    <cellStyle name="Normal 2 2 8 5 2" xfId="7354" xr:uid="{00000000-0005-0000-0000-000003000000}"/>
    <cellStyle name="Normal 2 2 8 5 2 2" xfId="15514" xr:uid="{00000000-0005-0000-0000-000003000000}"/>
    <cellStyle name="Normal 2 2 8 5 3" xfId="11434" xr:uid="{00000000-0005-0000-0000-000003000000}"/>
    <cellStyle name="Normal 2 2 8 6" xfId="4293" xr:uid="{00000000-0005-0000-0000-000003000000}"/>
    <cellStyle name="Normal 2 2 8 6 2" xfId="12454" xr:uid="{00000000-0005-0000-0000-000003000000}"/>
    <cellStyle name="Normal 2 2 8 7" xfId="8374" xr:uid="{00000000-0005-0000-0000-000003000000}"/>
    <cellStyle name="Normal 2 2 9" xfId="824" xr:uid="{00000000-0005-0000-0000-000003000000}"/>
    <cellStyle name="Normal 2 2 9 2" xfId="2865" xr:uid="{00000000-0005-0000-0000-000003000000}"/>
    <cellStyle name="Normal 2 2 9 2 2" xfId="6946" xr:uid="{00000000-0005-0000-0000-000003000000}"/>
    <cellStyle name="Normal 2 2 9 2 2 2" xfId="15106" xr:uid="{00000000-0005-0000-0000-000003000000}"/>
    <cellStyle name="Normal 2 2 9 2 3" xfId="11026" xr:uid="{00000000-0005-0000-0000-000003000000}"/>
    <cellStyle name="Normal 2 2 9 3" xfId="1845" xr:uid="{00000000-0005-0000-0000-000003000000}"/>
    <cellStyle name="Normal 2 2 9 3 2" xfId="5926" xr:uid="{00000000-0005-0000-0000-000003000000}"/>
    <cellStyle name="Normal 2 2 9 3 2 2" xfId="14086" xr:uid="{00000000-0005-0000-0000-000003000000}"/>
    <cellStyle name="Normal 2 2 9 3 3" xfId="10006" xr:uid="{00000000-0005-0000-0000-000003000000}"/>
    <cellStyle name="Normal 2 2 9 4" xfId="3885" xr:uid="{00000000-0005-0000-0000-000003000000}"/>
    <cellStyle name="Normal 2 2 9 4 2" xfId="7966" xr:uid="{00000000-0005-0000-0000-000003000000}"/>
    <cellStyle name="Normal 2 2 9 4 2 2" xfId="16126" xr:uid="{00000000-0005-0000-0000-000003000000}"/>
    <cellStyle name="Normal 2 2 9 4 3" xfId="12046" xr:uid="{00000000-0005-0000-0000-000003000000}"/>
    <cellStyle name="Normal 2 2 9 5" xfId="4905" xr:uid="{00000000-0005-0000-0000-000003000000}"/>
    <cellStyle name="Normal 2 2 9 5 2" xfId="13066" xr:uid="{00000000-0005-0000-0000-000003000000}"/>
    <cellStyle name="Normal 2 2 9 6" xfId="8986" xr:uid="{00000000-0005-0000-0000-000003000000}"/>
    <cellStyle name="Normal 2 3" xfId="7" xr:uid="{00000000-0005-0000-0000-000010000000}"/>
    <cellStyle name="Normal 2 3 10" xfId="2051" xr:uid="{00000000-0005-0000-0000-000010000000}"/>
    <cellStyle name="Normal 2 3 10 2" xfId="6132" xr:uid="{00000000-0005-0000-0000-000010000000}"/>
    <cellStyle name="Normal 2 3 10 2 2" xfId="14292" xr:uid="{00000000-0005-0000-0000-000010000000}"/>
    <cellStyle name="Normal 2 3 10 3" xfId="10212" xr:uid="{00000000-0005-0000-0000-000010000000}"/>
    <cellStyle name="Normal 2 3 11" xfId="1031" xr:uid="{00000000-0005-0000-0000-000010000000}"/>
    <cellStyle name="Normal 2 3 11 2" xfId="5112" xr:uid="{00000000-0005-0000-0000-000010000000}"/>
    <cellStyle name="Normal 2 3 11 2 2" xfId="13272" xr:uid="{00000000-0005-0000-0000-000010000000}"/>
    <cellStyle name="Normal 2 3 11 3" xfId="9192" xr:uid="{00000000-0005-0000-0000-000010000000}"/>
    <cellStyle name="Normal 2 3 12" xfId="3071" xr:uid="{00000000-0005-0000-0000-000010000000}"/>
    <cellStyle name="Normal 2 3 12 2" xfId="7152" xr:uid="{00000000-0005-0000-0000-000010000000}"/>
    <cellStyle name="Normal 2 3 12 2 2" xfId="15312" xr:uid="{00000000-0005-0000-0000-000010000000}"/>
    <cellStyle name="Normal 2 3 12 3" xfId="11232" xr:uid="{00000000-0005-0000-0000-000010000000}"/>
    <cellStyle name="Normal 2 3 13" xfId="4091" xr:uid="{00000000-0005-0000-0000-000010000000}"/>
    <cellStyle name="Normal 2 3 13 2" xfId="12252" xr:uid="{00000000-0005-0000-0000-000010000000}"/>
    <cellStyle name="Normal 2 3 14" xfId="8172" xr:uid="{00000000-0005-0000-0000-000010000000}"/>
    <cellStyle name="Normal 2 3 2" xfId="15" xr:uid="{00000000-0005-0000-0000-000011000000}"/>
    <cellStyle name="Normal 2 3 2 10" xfId="3079" xr:uid="{00000000-0005-0000-0000-000011000000}"/>
    <cellStyle name="Normal 2 3 2 10 2" xfId="7160" xr:uid="{00000000-0005-0000-0000-000011000000}"/>
    <cellStyle name="Normal 2 3 2 10 2 2" xfId="15320" xr:uid="{00000000-0005-0000-0000-000011000000}"/>
    <cellStyle name="Normal 2 3 2 10 3" xfId="11240" xr:uid="{00000000-0005-0000-0000-000011000000}"/>
    <cellStyle name="Normal 2 3 2 11" xfId="4099" xr:uid="{00000000-0005-0000-0000-000011000000}"/>
    <cellStyle name="Normal 2 3 2 11 2" xfId="12260" xr:uid="{00000000-0005-0000-0000-000011000000}"/>
    <cellStyle name="Normal 2 3 2 12" xfId="8180" xr:uid="{00000000-0005-0000-0000-000011000000}"/>
    <cellStyle name="Normal 2 3 2 2" xfId="43" xr:uid="{00000000-0005-0000-0000-000012000000}"/>
    <cellStyle name="Normal 2 3 2 2 10" xfId="4124" xr:uid="{00000000-0005-0000-0000-000012000000}"/>
    <cellStyle name="Normal 2 3 2 2 10 2" xfId="12285" xr:uid="{00000000-0005-0000-0000-000012000000}"/>
    <cellStyle name="Normal 2 3 2 2 11" xfId="8205" xr:uid="{00000000-0005-0000-0000-000012000000}"/>
    <cellStyle name="Normal 2 3 2 2 2" xfId="94" xr:uid="{00000000-0005-0000-0000-000012000000}"/>
    <cellStyle name="Normal 2 3 2 2 2 10" xfId="8256" xr:uid="{00000000-0005-0000-0000-000012000000}"/>
    <cellStyle name="Normal 2 3 2 2 2 2" xfId="196" xr:uid="{00000000-0005-0000-0000-000012000000}"/>
    <cellStyle name="Normal 2 3 2 2 2 2 2" xfId="400" xr:uid="{00000000-0005-0000-0000-000012000000}"/>
    <cellStyle name="Normal 2 3 2 2 2 2 2 2" xfId="808" xr:uid="{00000000-0005-0000-0000-000012000000}"/>
    <cellStyle name="Normal 2 3 2 2 2 2 2 2 2" xfId="2849" xr:uid="{00000000-0005-0000-0000-000012000000}"/>
    <cellStyle name="Normal 2 3 2 2 2 2 2 2 2 2" xfId="6930" xr:uid="{00000000-0005-0000-0000-000012000000}"/>
    <cellStyle name="Normal 2 3 2 2 2 2 2 2 2 2 2" xfId="15090" xr:uid="{00000000-0005-0000-0000-000012000000}"/>
    <cellStyle name="Normal 2 3 2 2 2 2 2 2 2 3" xfId="11010" xr:uid="{00000000-0005-0000-0000-000012000000}"/>
    <cellStyle name="Normal 2 3 2 2 2 2 2 2 3" xfId="1829" xr:uid="{00000000-0005-0000-0000-000012000000}"/>
    <cellStyle name="Normal 2 3 2 2 2 2 2 2 3 2" xfId="5910" xr:uid="{00000000-0005-0000-0000-000012000000}"/>
    <cellStyle name="Normal 2 3 2 2 2 2 2 2 3 2 2" xfId="14070" xr:uid="{00000000-0005-0000-0000-000012000000}"/>
    <cellStyle name="Normal 2 3 2 2 2 2 2 2 3 3" xfId="9990" xr:uid="{00000000-0005-0000-0000-000012000000}"/>
    <cellStyle name="Normal 2 3 2 2 2 2 2 2 4" xfId="3869" xr:uid="{00000000-0005-0000-0000-000012000000}"/>
    <cellStyle name="Normal 2 3 2 2 2 2 2 2 4 2" xfId="7950" xr:uid="{00000000-0005-0000-0000-000012000000}"/>
    <cellStyle name="Normal 2 3 2 2 2 2 2 2 4 2 2" xfId="16110" xr:uid="{00000000-0005-0000-0000-000012000000}"/>
    <cellStyle name="Normal 2 3 2 2 2 2 2 2 4 3" xfId="12030" xr:uid="{00000000-0005-0000-0000-000012000000}"/>
    <cellStyle name="Normal 2 3 2 2 2 2 2 2 5" xfId="4889" xr:uid="{00000000-0005-0000-0000-000012000000}"/>
    <cellStyle name="Normal 2 3 2 2 2 2 2 2 5 2" xfId="13050" xr:uid="{00000000-0005-0000-0000-000012000000}"/>
    <cellStyle name="Normal 2 3 2 2 2 2 2 2 6" xfId="8970" xr:uid="{00000000-0005-0000-0000-000012000000}"/>
    <cellStyle name="Normal 2 3 2 2 2 2 2 3" xfId="2441" xr:uid="{00000000-0005-0000-0000-000012000000}"/>
    <cellStyle name="Normal 2 3 2 2 2 2 2 3 2" xfId="6522" xr:uid="{00000000-0005-0000-0000-000012000000}"/>
    <cellStyle name="Normal 2 3 2 2 2 2 2 3 2 2" xfId="14682" xr:uid="{00000000-0005-0000-0000-000012000000}"/>
    <cellStyle name="Normal 2 3 2 2 2 2 2 3 3" xfId="10602" xr:uid="{00000000-0005-0000-0000-000012000000}"/>
    <cellStyle name="Normal 2 3 2 2 2 2 2 4" xfId="1421" xr:uid="{00000000-0005-0000-0000-000012000000}"/>
    <cellStyle name="Normal 2 3 2 2 2 2 2 4 2" xfId="5502" xr:uid="{00000000-0005-0000-0000-000012000000}"/>
    <cellStyle name="Normal 2 3 2 2 2 2 2 4 2 2" xfId="13662" xr:uid="{00000000-0005-0000-0000-000012000000}"/>
    <cellStyle name="Normal 2 3 2 2 2 2 2 4 3" xfId="9582" xr:uid="{00000000-0005-0000-0000-000012000000}"/>
    <cellStyle name="Normal 2 3 2 2 2 2 2 5" xfId="3461" xr:uid="{00000000-0005-0000-0000-000012000000}"/>
    <cellStyle name="Normal 2 3 2 2 2 2 2 5 2" xfId="7542" xr:uid="{00000000-0005-0000-0000-000012000000}"/>
    <cellStyle name="Normal 2 3 2 2 2 2 2 5 2 2" xfId="15702" xr:uid="{00000000-0005-0000-0000-000012000000}"/>
    <cellStyle name="Normal 2 3 2 2 2 2 2 5 3" xfId="11622" xr:uid="{00000000-0005-0000-0000-000012000000}"/>
    <cellStyle name="Normal 2 3 2 2 2 2 2 6" xfId="4481" xr:uid="{00000000-0005-0000-0000-000012000000}"/>
    <cellStyle name="Normal 2 3 2 2 2 2 2 6 2" xfId="12642" xr:uid="{00000000-0005-0000-0000-000012000000}"/>
    <cellStyle name="Normal 2 3 2 2 2 2 2 7" xfId="8562" xr:uid="{00000000-0005-0000-0000-000012000000}"/>
    <cellStyle name="Normal 2 3 2 2 2 2 3" xfId="1012" xr:uid="{00000000-0005-0000-0000-000012000000}"/>
    <cellStyle name="Normal 2 3 2 2 2 2 3 2" xfId="3053" xr:uid="{00000000-0005-0000-0000-000012000000}"/>
    <cellStyle name="Normal 2 3 2 2 2 2 3 2 2" xfId="7134" xr:uid="{00000000-0005-0000-0000-000012000000}"/>
    <cellStyle name="Normal 2 3 2 2 2 2 3 2 2 2" xfId="15294" xr:uid="{00000000-0005-0000-0000-000012000000}"/>
    <cellStyle name="Normal 2 3 2 2 2 2 3 2 3" xfId="11214" xr:uid="{00000000-0005-0000-0000-000012000000}"/>
    <cellStyle name="Normal 2 3 2 2 2 2 3 3" xfId="2033" xr:uid="{00000000-0005-0000-0000-000012000000}"/>
    <cellStyle name="Normal 2 3 2 2 2 2 3 3 2" xfId="6114" xr:uid="{00000000-0005-0000-0000-000012000000}"/>
    <cellStyle name="Normal 2 3 2 2 2 2 3 3 2 2" xfId="14274" xr:uid="{00000000-0005-0000-0000-000012000000}"/>
    <cellStyle name="Normal 2 3 2 2 2 2 3 3 3" xfId="10194" xr:uid="{00000000-0005-0000-0000-000012000000}"/>
    <cellStyle name="Normal 2 3 2 2 2 2 3 4" xfId="4073" xr:uid="{00000000-0005-0000-0000-000012000000}"/>
    <cellStyle name="Normal 2 3 2 2 2 2 3 4 2" xfId="8154" xr:uid="{00000000-0005-0000-0000-000012000000}"/>
    <cellStyle name="Normal 2 3 2 2 2 2 3 4 2 2" xfId="16314" xr:uid="{00000000-0005-0000-0000-000012000000}"/>
    <cellStyle name="Normal 2 3 2 2 2 2 3 4 3" xfId="12234" xr:uid="{00000000-0005-0000-0000-000012000000}"/>
    <cellStyle name="Normal 2 3 2 2 2 2 3 5" xfId="5093" xr:uid="{00000000-0005-0000-0000-000012000000}"/>
    <cellStyle name="Normal 2 3 2 2 2 2 3 5 2" xfId="13254" xr:uid="{00000000-0005-0000-0000-000012000000}"/>
    <cellStyle name="Normal 2 3 2 2 2 2 3 6" xfId="9174" xr:uid="{00000000-0005-0000-0000-000012000000}"/>
    <cellStyle name="Normal 2 3 2 2 2 2 4" xfId="604" xr:uid="{00000000-0005-0000-0000-000012000000}"/>
    <cellStyle name="Normal 2 3 2 2 2 2 4 2" xfId="2645" xr:uid="{00000000-0005-0000-0000-000012000000}"/>
    <cellStyle name="Normal 2 3 2 2 2 2 4 2 2" xfId="6726" xr:uid="{00000000-0005-0000-0000-000012000000}"/>
    <cellStyle name="Normal 2 3 2 2 2 2 4 2 2 2" xfId="14886" xr:uid="{00000000-0005-0000-0000-000012000000}"/>
    <cellStyle name="Normal 2 3 2 2 2 2 4 2 3" xfId="10806" xr:uid="{00000000-0005-0000-0000-000012000000}"/>
    <cellStyle name="Normal 2 3 2 2 2 2 4 3" xfId="1625" xr:uid="{00000000-0005-0000-0000-000012000000}"/>
    <cellStyle name="Normal 2 3 2 2 2 2 4 3 2" xfId="5706" xr:uid="{00000000-0005-0000-0000-000012000000}"/>
    <cellStyle name="Normal 2 3 2 2 2 2 4 3 2 2" xfId="13866" xr:uid="{00000000-0005-0000-0000-000012000000}"/>
    <cellStyle name="Normal 2 3 2 2 2 2 4 3 3" xfId="9786" xr:uid="{00000000-0005-0000-0000-000012000000}"/>
    <cellStyle name="Normal 2 3 2 2 2 2 4 4" xfId="3665" xr:uid="{00000000-0005-0000-0000-000012000000}"/>
    <cellStyle name="Normal 2 3 2 2 2 2 4 4 2" xfId="7746" xr:uid="{00000000-0005-0000-0000-000012000000}"/>
    <cellStyle name="Normal 2 3 2 2 2 2 4 4 2 2" xfId="15906" xr:uid="{00000000-0005-0000-0000-000012000000}"/>
    <cellStyle name="Normal 2 3 2 2 2 2 4 4 3" xfId="11826" xr:uid="{00000000-0005-0000-0000-000012000000}"/>
    <cellStyle name="Normal 2 3 2 2 2 2 4 5" xfId="4685" xr:uid="{00000000-0005-0000-0000-000012000000}"/>
    <cellStyle name="Normal 2 3 2 2 2 2 4 5 2" xfId="12846" xr:uid="{00000000-0005-0000-0000-000012000000}"/>
    <cellStyle name="Normal 2 3 2 2 2 2 4 6" xfId="8766" xr:uid="{00000000-0005-0000-0000-000012000000}"/>
    <cellStyle name="Normal 2 3 2 2 2 2 5" xfId="2237" xr:uid="{00000000-0005-0000-0000-000012000000}"/>
    <cellStyle name="Normal 2 3 2 2 2 2 5 2" xfId="6318" xr:uid="{00000000-0005-0000-0000-000012000000}"/>
    <cellStyle name="Normal 2 3 2 2 2 2 5 2 2" xfId="14478" xr:uid="{00000000-0005-0000-0000-000012000000}"/>
    <cellStyle name="Normal 2 3 2 2 2 2 5 3" xfId="10398" xr:uid="{00000000-0005-0000-0000-000012000000}"/>
    <cellStyle name="Normal 2 3 2 2 2 2 6" xfId="1217" xr:uid="{00000000-0005-0000-0000-000012000000}"/>
    <cellStyle name="Normal 2 3 2 2 2 2 6 2" xfId="5298" xr:uid="{00000000-0005-0000-0000-000012000000}"/>
    <cellStyle name="Normal 2 3 2 2 2 2 6 2 2" xfId="13458" xr:uid="{00000000-0005-0000-0000-000012000000}"/>
    <cellStyle name="Normal 2 3 2 2 2 2 6 3" xfId="9378" xr:uid="{00000000-0005-0000-0000-000012000000}"/>
    <cellStyle name="Normal 2 3 2 2 2 2 7" xfId="3257" xr:uid="{00000000-0005-0000-0000-000012000000}"/>
    <cellStyle name="Normal 2 3 2 2 2 2 7 2" xfId="7338" xr:uid="{00000000-0005-0000-0000-000012000000}"/>
    <cellStyle name="Normal 2 3 2 2 2 2 7 2 2" xfId="15498" xr:uid="{00000000-0005-0000-0000-000012000000}"/>
    <cellStyle name="Normal 2 3 2 2 2 2 7 3" xfId="11418" xr:uid="{00000000-0005-0000-0000-000012000000}"/>
    <cellStyle name="Normal 2 3 2 2 2 2 8" xfId="4277" xr:uid="{00000000-0005-0000-0000-000012000000}"/>
    <cellStyle name="Normal 2 3 2 2 2 2 8 2" xfId="12438" xr:uid="{00000000-0005-0000-0000-000012000000}"/>
    <cellStyle name="Normal 2 3 2 2 2 2 9" xfId="8358" xr:uid="{00000000-0005-0000-0000-000012000000}"/>
    <cellStyle name="Normal 2 3 2 2 2 3" xfId="298" xr:uid="{00000000-0005-0000-0000-000012000000}"/>
    <cellStyle name="Normal 2 3 2 2 2 3 2" xfId="706" xr:uid="{00000000-0005-0000-0000-000012000000}"/>
    <cellStyle name="Normal 2 3 2 2 2 3 2 2" xfId="2747" xr:uid="{00000000-0005-0000-0000-000012000000}"/>
    <cellStyle name="Normal 2 3 2 2 2 3 2 2 2" xfId="6828" xr:uid="{00000000-0005-0000-0000-000012000000}"/>
    <cellStyle name="Normal 2 3 2 2 2 3 2 2 2 2" xfId="14988" xr:uid="{00000000-0005-0000-0000-000012000000}"/>
    <cellStyle name="Normal 2 3 2 2 2 3 2 2 3" xfId="10908" xr:uid="{00000000-0005-0000-0000-000012000000}"/>
    <cellStyle name="Normal 2 3 2 2 2 3 2 3" xfId="1727" xr:uid="{00000000-0005-0000-0000-000012000000}"/>
    <cellStyle name="Normal 2 3 2 2 2 3 2 3 2" xfId="5808" xr:uid="{00000000-0005-0000-0000-000012000000}"/>
    <cellStyle name="Normal 2 3 2 2 2 3 2 3 2 2" xfId="13968" xr:uid="{00000000-0005-0000-0000-000012000000}"/>
    <cellStyle name="Normal 2 3 2 2 2 3 2 3 3" xfId="9888" xr:uid="{00000000-0005-0000-0000-000012000000}"/>
    <cellStyle name="Normal 2 3 2 2 2 3 2 4" xfId="3767" xr:uid="{00000000-0005-0000-0000-000012000000}"/>
    <cellStyle name="Normal 2 3 2 2 2 3 2 4 2" xfId="7848" xr:uid="{00000000-0005-0000-0000-000012000000}"/>
    <cellStyle name="Normal 2 3 2 2 2 3 2 4 2 2" xfId="16008" xr:uid="{00000000-0005-0000-0000-000012000000}"/>
    <cellStyle name="Normal 2 3 2 2 2 3 2 4 3" xfId="11928" xr:uid="{00000000-0005-0000-0000-000012000000}"/>
    <cellStyle name="Normal 2 3 2 2 2 3 2 5" xfId="4787" xr:uid="{00000000-0005-0000-0000-000012000000}"/>
    <cellStyle name="Normal 2 3 2 2 2 3 2 5 2" xfId="12948" xr:uid="{00000000-0005-0000-0000-000012000000}"/>
    <cellStyle name="Normal 2 3 2 2 2 3 2 6" xfId="8868" xr:uid="{00000000-0005-0000-0000-000012000000}"/>
    <cellStyle name="Normal 2 3 2 2 2 3 3" xfId="2339" xr:uid="{00000000-0005-0000-0000-000012000000}"/>
    <cellStyle name="Normal 2 3 2 2 2 3 3 2" xfId="6420" xr:uid="{00000000-0005-0000-0000-000012000000}"/>
    <cellStyle name="Normal 2 3 2 2 2 3 3 2 2" xfId="14580" xr:uid="{00000000-0005-0000-0000-000012000000}"/>
    <cellStyle name="Normal 2 3 2 2 2 3 3 3" xfId="10500" xr:uid="{00000000-0005-0000-0000-000012000000}"/>
    <cellStyle name="Normal 2 3 2 2 2 3 4" xfId="1319" xr:uid="{00000000-0005-0000-0000-000012000000}"/>
    <cellStyle name="Normal 2 3 2 2 2 3 4 2" xfId="5400" xr:uid="{00000000-0005-0000-0000-000012000000}"/>
    <cellStyle name="Normal 2 3 2 2 2 3 4 2 2" xfId="13560" xr:uid="{00000000-0005-0000-0000-000012000000}"/>
    <cellStyle name="Normal 2 3 2 2 2 3 4 3" xfId="9480" xr:uid="{00000000-0005-0000-0000-000012000000}"/>
    <cellStyle name="Normal 2 3 2 2 2 3 5" xfId="3359" xr:uid="{00000000-0005-0000-0000-000012000000}"/>
    <cellStyle name="Normal 2 3 2 2 2 3 5 2" xfId="7440" xr:uid="{00000000-0005-0000-0000-000012000000}"/>
    <cellStyle name="Normal 2 3 2 2 2 3 5 2 2" xfId="15600" xr:uid="{00000000-0005-0000-0000-000012000000}"/>
    <cellStyle name="Normal 2 3 2 2 2 3 5 3" xfId="11520" xr:uid="{00000000-0005-0000-0000-000012000000}"/>
    <cellStyle name="Normal 2 3 2 2 2 3 6" xfId="4379" xr:uid="{00000000-0005-0000-0000-000012000000}"/>
    <cellStyle name="Normal 2 3 2 2 2 3 6 2" xfId="12540" xr:uid="{00000000-0005-0000-0000-000012000000}"/>
    <cellStyle name="Normal 2 3 2 2 2 3 7" xfId="8460" xr:uid="{00000000-0005-0000-0000-000012000000}"/>
    <cellStyle name="Normal 2 3 2 2 2 4" xfId="910" xr:uid="{00000000-0005-0000-0000-000012000000}"/>
    <cellStyle name="Normal 2 3 2 2 2 4 2" xfId="2951" xr:uid="{00000000-0005-0000-0000-000012000000}"/>
    <cellStyle name="Normal 2 3 2 2 2 4 2 2" xfId="7032" xr:uid="{00000000-0005-0000-0000-000012000000}"/>
    <cellStyle name="Normal 2 3 2 2 2 4 2 2 2" xfId="15192" xr:uid="{00000000-0005-0000-0000-000012000000}"/>
    <cellStyle name="Normal 2 3 2 2 2 4 2 3" xfId="11112" xr:uid="{00000000-0005-0000-0000-000012000000}"/>
    <cellStyle name="Normal 2 3 2 2 2 4 3" xfId="1931" xr:uid="{00000000-0005-0000-0000-000012000000}"/>
    <cellStyle name="Normal 2 3 2 2 2 4 3 2" xfId="6012" xr:uid="{00000000-0005-0000-0000-000012000000}"/>
    <cellStyle name="Normal 2 3 2 2 2 4 3 2 2" xfId="14172" xr:uid="{00000000-0005-0000-0000-000012000000}"/>
    <cellStyle name="Normal 2 3 2 2 2 4 3 3" xfId="10092" xr:uid="{00000000-0005-0000-0000-000012000000}"/>
    <cellStyle name="Normal 2 3 2 2 2 4 4" xfId="3971" xr:uid="{00000000-0005-0000-0000-000012000000}"/>
    <cellStyle name="Normal 2 3 2 2 2 4 4 2" xfId="8052" xr:uid="{00000000-0005-0000-0000-000012000000}"/>
    <cellStyle name="Normal 2 3 2 2 2 4 4 2 2" xfId="16212" xr:uid="{00000000-0005-0000-0000-000012000000}"/>
    <cellStyle name="Normal 2 3 2 2 2 4 4 3" xfId="12132" xr:uid="{00000000-0005-0000-0000-000012000000}"/>
    <cellStyle name="Normal 2 3 2 2 2 4 5" xfId="4991" xr:uid="{00000000-0005-0000-0000-000012000000}"/>
    <cellStyle name="Normal 2 3 2 2 2 4 5 2" xfId="13152" xr:uid="{00000000-0005-0000-0000-000012000000}"/>
    <cellStyle name="Normal 2 3 2 2 2 4 6" xfId="9072" xr:uid="{00000000-0005-0000-0000-000012000000}"/>
    <cellStyle name="Normal 2 3 2 2 2 5" xfId="502" xr:uid="{00000000-0005-0000-0000-000012000000}"/>
    <cellStyle name="Normal 2 3 2 2 2 5 2" xfId="2543" xr:uid="{00000000-0005-0000-0000-000012000000}"/>
    <cellStyle name="Normal 2 3 2 2 2 5 2 2" xfId="6624" xr:uid="{00000000-0005-0000-0000-000012000000}"/>
    <cellStyle name="Normal 2 3 2 2 2 5 2 2 2" xfId="14784" xr:uid="{00000000-0005-0000-0000-000012000000}"/>
    <cellStyle name="Normal 2 3 2 2 2 5 2 3" xfId="10704" xr:uid="{00000000-0005-0000-0000-000012000000}"/>
    <cellStyle name="Normal 2 3 2 2 2 5 3" xfId="1523" xr:uid="{00000000-0005-0000-0000-000012000000}"/>
    <cellStyle name="Normal 2 3 2 2 2 5 3 2" xfId="5604" xr:uid="{00000000-0005-0000-0000-000012000000}"/>
    <cellStyle name="Normal 2 3 2 2 2 5 3 2 2" xfId="13764" xr:uid="{00000000-0005-0000-0000-000012000000}"/>
    <cellStyle name="Normal 2 3 2 2 2 5 3 3" xfId="9684" xr:uid="{00000000-0005-0000-0000-000012000000}"/>
    <cellStyle name="Normal 2 3 2 2 2 5 4" xfId="3563" xr:uid="{00000000-0005-0000-0000-000012000000}"/>
    <cellStyle name="Normal 2 3 2 2 2 5 4 2" xfId="7644" xr:uid="{00000000-0005-0000-0000-000012000000}"/>
    <cellStyle name="Normal 2 3 2 2 2 5 4 2 2" xfId="15804" xr:uid="{00000000-0005-0000-0000-000012000000}"/>
    <cellStyle name="Normal 2 3 2 2 2 5 4 3" xfId="11724" xr:uid="{00000000-0005-0000-0000-000012000000}"/>
    <cellStyle name="Normal 2 3 2 2 2 5 5" xfId="4583" xr:uid="{00000000-0005-0000-0000-000012000000}"/>
    <cellStyle name="Normal 2 3 2 2 2 5 5 2" xfId="12744" xr:uid="{00000000-0005-0000-0000-000012000000}"/>
    <cellStyle name="Normal 2 3 2 2 2 5 6" xfId="8664" xr:uid="{00000000-0005-0000-0000-000012000000}"/>
    <cellStyle name="Normal 2 3 2 2 2 6" xfId="2135" xr:uid="{00000000-0005-0000-0000-000012000000}"/>
    <cellStyle name="Normal 2 3 2 2 2 6 2" xfId="6216" xr:uid="{00000000-0005-0000-0000-000012000000}"/>
    <cellStyle name="Normal 2 3 2 2 2 6 2 2" xfId="14376" xr:uid="{00000000-0005-0000-0000-000012000000}"/>
    <cellStyle name="Normal 2 3 2 2 2 6 3" xfId="10296" xr:uid="{00000000-0005-0000-0000-000012000000}"/>
    <cellStyle name="Normal 2 3 2 2 2 7" xfId="1115" xr:uid="{00000000-0005-0000-0000-000012000000}"/>
    <cellStyle name="Normal 2 3 2 2 2 7 2" xfId="5196" xr:uid="{00000000-0005-0000-0000-000012000000}"/>
    <cellStyle name="Normal 2 3 2 2 2 7 2 2" xfId="13356" xr:uid="{00000000-0005-0000-0000-000012000000}"/>
    <cellStyle name="Normal 2 3 2 2 2 7 3" xfId="9276" xr:uid="{00000000-0005-0000-0000-000012000000}"/>
    <cellStyle name="Normal 2 3 2 2 2 8" xfId="3155" xr:uid="{00000000-0005-0000-0000-000012000000}"/>
    <cellStyle name="Normal 2 3 2 2 2 8 2" xfId="7236" xr:uid="{00000000-0005-0000-0000-000012000000}"/>
    <cellStyle name="Normal 2 3 2 2 2 8 2 2" xfId="15396" xr:uid="{00000000-0005-0000-0000-000012000000}"/>
    <cellStyle name="Normal 2 3 2 2 2 8 3" xfId="11316" xr:uid="{00000000-0005-0000-0000-000012000000}"/>
    <cellStyle name="Normal 2 3 2 2 2 9" xfId="4175" xr:uid="{00000000-0005-0000-0000-000012000000}"/>
    <cellStyle name="Normal 2 3 2 2 2 9 2" xfId="12336" xr:uid="{00000000-0005-0000-0000-000012000000}"/>
    <cellStyle name="Normal 2 3 2 2 3" xfId="145" xr:uid="{00000000-0005-0000-0000-000012000000}"/>
    <cellStyle name="Normal 2 3 2 2 3 2" xfId="349" xr:uid="{00000000-0005-0000-0000-000012000000}"/>
    <cellStyle name="Normal 2 3 2 2 3 2 2" xfId="757" xr:uid="{00000000-0005-0000-0000-000012000000}"/>
    <cellStyle name="Normal 2 3 2 2 3 2 2 2" xfId="2798" xr:uid="{00000000-0005-0000-0000-000012000000}"/>
    <cellStyle name="Normal 2 3 2 2 3 2 2 2 2" xfId="6879" xr:uid="{00000000-0005-0000-0000-000012000000}"/>
    <cellStyle name="Normal 2 3 2 2 3 2 2 2 2 2" xfId="15039" xr:uid="{00000000-0005-0000-0000-000012000000}"/>
    <cellStyle name="Normal 2 3 2 2 3 2 2 2 3" xfId="10959" xr:uid="{00000000-0005-0000-0000-000012000000}"/>
    <cellStyle name="Normal 2 3 2 2 3 2 2 3" xfId="1778" xr:uid="{00000000-0005-0000-0000-000012000000}"/>
    <cellStyle name="Normal 2 3 2 2 3 2 2 3 2" xfId="5859" xr:uid="{00000000-0005-0000-0000-000012000000}"/>
    <cellStyle name="Normal 2 3 2 2 3 2 2 3 2 2" xfId="14019" xr:uid="{00000000-0005-0000-0000-000012000000}"/>
    <cellStyle name="Normal 2 3 2 2 3 2 2 3 3" xfId="9939" xr:uid="{00000000-0005-0000-0000-000012000000}"/>
    <cellStyle name="Normal 2 3 2 2 3 2 2 4" xfId="3818" xr:uid="{00000000-0005-0000-0000-000012000000}"/>
    <cellStyle name="Normal 2 3 2 2 3 2 2 4 2" xfId="7899" xr:uid="{00000000-0005-0000-0000-000012000000}"/>
    <cellStyle name="Normal 2 3 2 2 3 2 2 4 2 2" xfId="16059" xr:uid="{00000000-0005-0000-0000-000012000000}"/>
    <cellStyle name="Normal 2 3 2 2 3 2 2 4 3" xfId="11979" xr:uid="{00000000-0005-0000-0000-000012000000}"/>
    <cellStyle name="Normal 2 3 2 2 3 2 2 5" xfId="4838" xr:uid="{00000000-0005-0000-0000-000012000000}"/>
    <cellStyle name="Normal 2 3 2 2 3 2 2 5 2" xfId="12999" xr:uid="{00000000-0005-0000-0000-000012000000}"/>
    <cellStyle name="Normal 2 3 2 2 3 2 2 6" xfId="8919" xr:uid="{00000000-0005-0000-0000-000012000000}"/>
    <cellStyle name="Normal 2 3 2 2 3 2 3" xfId="2390" xr:uid="{00000000-0005-0000-0000-000012000000}"/>
    <cellStyle name="Normal 2 3 2 2 3 2 3 2" xfId="6471" xr:uid="{00000000-0005-0000-0000-000012000000}"/>
    <cellStyle name="Normal 2 3 2 2 3 2 3 2 2" xfId="14631" xr:uid="{00000000-0005-0000-0000-000012000000}"/>
    <cellStyle name="Normal 2 3 2 2 3 2 3 3" xfId="10551" xr:uid="{00000000-0005-0000-0000-000012000000}"/>
    <cellStyle name="Normal 2 3 2 2 3 2 4" xfId="1370" xr:uid="{00000000-0005-0000-0000-000012000000}"/>
    <cellStyle name="Normal 2 3 2 2 3 2 4 2" xfId="5451" xr:uid="{00000000-0005-0000-0000-000012000000}"/>
    <cellStyle name="Normal 2 3 2 2 3 2 4 2 2" xfId="13611" xr:uid="{00000000-0005-0000-0000-000012000000}"/>
    <cellStyle name="Normal 2 3 2 2 3 2 4 3" xfId="9531" xr:uid="{00000000-0005-0000-0000-000012000000}"/>
    <cellStyle name="Normal 2 3 2 2 3 2 5" xfId="3410" xr:uid="{00000000-0005-0000-0000-000012000000}"/>
    <cellStyle name="Normal 2 3 2 2 3 2 5 2" xfId="7491" xr:uid="{00000000-0005-0000-0000-000012000000}"/>
    <cellStyle name="Normal 2 3 2 2 3 2 5 2 2" xfId="15651" xr:uid="{00000000-0005-0000-0000-000012000000}"/>
    <cellStyle name="Normal 2 3 2 2 3 2 5 3" xfId="11571" xr:uid="{00000000-0005-0000-0000-000012000000}"/>
    <cellStyle name="Normal 2 3 2 2 3 2 6" xfId="4430" xr:uid="{00000000-0005-0000-0000-000012000000}"/>
    <cellStyle name="Normal 2 3 2 2 3 2 6 2" xfId="12591" xr:uid="{00000000-0005-0000-0000-000012000000}"/>
    <cellStyle name="Normal 2 3 2 2 3 2 7" xfId="8511" xr:uid="{00000000-0005-0000-0000-000012000000}"/>
    <cellStyle name="Normal 2 3 2 2 3 3" xfId="961" xr:uid="{00000000-0005-0000-0000-000012000000}"/>
    <cellStyle name="Normal 2 3 2 2 3 3 2" xfId="3002" xr:uid="{00000000-0005-0000-0000-000012000000}"/>
    <cellStyle name="Normal 2 3 2 2 3 3 2 2" xfId="7083" xr:uid="{00000000-0005-0000-0000-000012000000}"/>
    <cellStyle name="Normal 2 3 2 2 3 3 2 2 2" xfId="15243" xr:uid="{00000000-0005-0000-0000-000012000000}"/>
    <cellStyle name="Normal 2 3 2 2 3 3 2 3" xfId="11163" xr:uid="{00000000-0005-0000-0000-000012000000}"/>
    <cellStyle name="Normal 2 3 2 2 3 3 3" xfId="1982" xr:uid="{00000000-0005-0000-0000-000012000000}"/>
    <cellStyle name="Normal 2 3 2 2 3 3 3 2" xfId="6063" xr:uid="{00000000-0005-0000-0000-000012000000}"/>
    <cellStyle name="Normal 2 3 2 2 3 3 3 2 2" xfId="14223" xr:uid="{00000000-0005-0000-0000-000012000000}"/>
    <cellStyle name="Normal 2 3 2 2 3 3 3 3" xfId="10143" xr:uid="{00000000-0005-0000-0000-000012000000}"/>
    <cellStyle name="Normal 2 3 2 2 3 3 4" xfId="4022" xr:uid="{00000000-0005-0000-0000-000012000000}"/>
    <cellStyle name="Normal 2 3 2 2 3 3 4 2" xfId="8103" xr:uid="{00000000-0005-0000-0000-000012000000}"/>
    <cellStyle name="Normal 2 3 2 2 3 3 4 2 2" xfId="16263" xr:uid="{00000000-0005-0000-0000-000012000000}"/>
    <cellStyle name="Normal 2 3 2 2 3 3 4 3" xfId="12183" xr:uid="{00000000-0005-0000-0000-000012000000}"/>
    <cellStyle name="Normal 2 3 2 2 3 3 5" xfId="5042" xr:uid="{00000000-0005-0000-0000-000012000000}"/>
    <cellStyle name="Normal 2 3 2 2 3 3 5 2" xfId="13203" xr:uid="{00000000-0005-0000-0000-000012000000}"/>
    <cellStyle name="Normal 2 3 2 2 3 3 6" xfId="9123" xr:uid="{00000000-0005-0000-0000-000012000000}"/>
    <cellStyle name="Normal 2 3 2 2 3 4" xfId="553" xr:uid="{00000000-0005-0000-0000-000012000000}"/>
    <cellStyle name="Normal 2 3 2 2 3 4 2" xfId="2594" xr:uid="{00000000-0005-0000-0000-000012000000}"/>
    <cellStyle name="Normal 2 3 2 2 3 4 2 2" xfId="6675" xr:uid="{00000000-0005-0000-0000-000012000000}"/>
    <cellStyle name="Normal 2 3 2 2 3 4 2 2 2" xfId="14835" xr:uid="{00000000-0005-0000-0000-000012000000}"/>
    <cellStyle name="Normal 2 3 2 2 3 4 2 3" xfId="10755" xr:uid="{00000000-0005-0000-0000-000012000000}"/>
    <cellStyle name="Normal 2 3 2 2 3 4 3" xfId="1574" xr:uid="{00000000-0005-0000-0000-000012000000}"/>
    <cellStyle name="Normal 2 3 2 2 3 4 3 2" xfId="5655" xr:uid="{00000000-0005-0000-0000-000012000000}"/>
    <cellStyle name="Normal 2 3 2 2 3 4 3 2 2" xfId="13815" xr:uid="{00000000-0005-0000-0000-000012000000}"/>
    <cellStyle name="Normal 2 3 2 2 3 4 3 3" xfId="9735" xr:uid="{00000000-0005-0000-0000-000012000000}"/>
    <cellStyle name="Normal 2 3 2 2 3 4 4" xfId="3614" xr:uid="{00000000-0005-0000-0000-000012000000}"/>
    <cellStyle name="Normal 2 3 2 2 3 4 4 2" xfId="7695" xr:uid="{00000000-0005-0000-0000-000012000000}"/>
    <cellStyle name="Normal 2 3 2 2 3 4 4 2 2" xfId="15855" xr:uid="{00000000-0005-0000-0000-000012000000}"/>
    <cellStyle name="Normal 2 3 2 2 3 4 4 3" xfId="11775" xr:uid="{00000000-0005-0000-0000-000012000000}"/>
    <cellStyle name="Normal 2 3 2 2 3 4 5" xfId="4634" xr:uid="{00000000-0005-0000-0000-000012000000}"/>
    <cellStyle name="Normal 2 3 2 2 3 4 5 2" xfId="12795" xr:uid="{00000000-0005-0000-0000-000012000000}"/>
    <cellStyle name="Normal 2 3 2 2 3 4 6" xfId="8715" xr:uid="{00000000-0005-0000-0000-000012000000}"/>
    <cellStyle name="Normal 2 3 2 2 3 5" xfId="2186" xr:uid="{00000000-0005-0000-0000-000012000000}"/>
    <cellStyle name="Normal 2 3 2 2 3 5 2" xfId="6267" xr:uid="{00000000-0005-0000-0000-000012000000}"/>
    <cellStyle name="Normal 2 3 2 2 3 5 2 2" xfId="14427" xr:uid="{00000000-0005-0000-0000-000012000000}"/>
    <cellStyle name="Normal 2 3 2 2 3 5 3" xfId="10347" xr:uid="{00000000-0005-0000-0000-000012000000}"/>
    <cellStyle name="Normal 2 3 2 2 3 6" xfId="1166" xr:uid="{00000000-0005-0000-0000-000012000000}"/>
    <cellStyle name="Normal 2 3 2 2 3 6 2" xfId="5247" xr:uid="{00000000-0005-0000-0000-000012000000}"/>
    <cellStyle name="Normal 2 3 2 2 3 6 2 2" xfId="13407" xr:uid="{00000000-0005-0000-0000-000012000000}"/>
    <cellStyle name="Normal 2 3 2 2 3 6 3" xfId="9327" xr:uid="{00000000-0005-0000-0000-000012000000}"/>
    <cellStyle name="Normal 2 3 2 2 3 7" xfId="3206" xr:uid="{00000000-0005-0000-0000-000012000000}"/>
    <cellStyle name="Normal 2 3 2 2 3 7 2" xfId="7287" xr:uid="{00000000-0005-0000-0000-000012000000}"/>
    <cellStyle name="Normal 2 3 2 2 3 7 2 2" xfId="15447" xr:uid="{00000000-0005-0000-0000-000012000000}"/>
    <cellStyle name="Normal 2 3 2 2 3 7 3" xfId="11367" xr:uid="{00000000-0005-0000-0000-000012000000}"/>
    <cellStyle name="Normal 2 3 2 2 3 8" xfId="4226" xr:uid="{00000000-0005-0000-0000-000012000000}"/>
    <cellStyle name="Normal 2 3 2 2 3 8 2" xfId="12387" xr:uid="{00000000-0005-0000-0000-000012000000}"/>
    <cellStyle name="Normal 2 3 2 2 3 9" xfId="8307" xr:uid="{00000000-0005-0000-0000-000012000000}"/>
    <cellStyle name="Normal 2 3 2 2 4" xfId="247" xr:uid="{00000000-0005-0000-0000-000012000000}"/>
    <cellStyle name="Normal 2 3 2 2 4 2" xfId="655" xr:uid="{00000000-0005-0000-0000-000012000000}"/>
    <cellStyle name="Normal 2 3 2 2 4 2 2" xfId="2696" xr:uid="{00000000-0005-0000-0000-000012000000}"/>
    <cellStyle name="Normal 2 3 2 2 4 2 2 2" xfId="6777" xr:uid="{00000000-0005-0000-0000-000012000000}"/>
    <cellStyle name="Normal 2 3 2 2 4 2 2 2 2" xfId="14937" xr:uid="{00000000-0005-0000-0000-000012000000}"/>
    <cellStyle name="Normal 2 3 2 2 4 2 2 3" xfId="10857" xr:uid="{00000000-0005-0000-0000-000012000000}"/>
    <cellStyle name="Normal 2 3 2 2 4 2 3" xfId="1676" xr:uid="{00000000-0005-0000-0000-000012000000}"/>
    <cellStyle name="Normal 2 3 2 2 4 2 3 2" xfId="5757" xr:uid="{00000000-0005-0000-0000-000012000000}"/>
    <cellStyle name="Normal 2 3 2 2 4 2 3 2 2" xfId="13917" xr:uid="{00000000-0005-0000-0000-000012000000}"/>
    <cellStyle name="Normal 2 3 2 2 4 2 3 3" xfId="9837" xr:uid="{00000000-0005-0000-0000-000012000000}"/>
    <cellStyle name="Normal 2 3 2 2 4 2 4" xfId="3716" xr:uid="{00000000-0005-0000-0000-000012000000}"/>
    <cellStyle name="Normal 2 3 2 2 4 2 4 2" xfId="7797" xr:uid="{00000000-0005-0000-0000-000012000000}"/>
    <cellStyle name="Normal 2 3 2 2 4 2 4 2 2" xfId="15957" xr:uid="{00000000-0005-0000-0000-000012000000}"/>
    <cellStyle name="Normal 2 3 2 2 4 2 4 3" xfId="11877" xr:uid="{00000000-0005-0000-0000-000012000000}"/>
    <cellStyle name="Normal 2 3 2 2 4 2 5" xfId="4736" xr:uid="{00000000-0005-0000-0000-000012000000}"/>
    <cellStyle name="Normal 2 3 2 2 4 2 5 2" xfId="12897" xr:uid="{00000000-0005-0000-0000-000012000000}"/>
    <cellStyle name="Normal 2 3 2 2 4 2 6" xfId="8817" xr:uid="{00000000-0005-0000-0000-000012000000}"/>
    <cellStyle name="Normal 2 3 2 2 4 3" xfId="2288" xr:uid="{00000000-0005-0000-0000-000012000000}"/>
    <cellStyle name="Normal 2 3 2 2 4 3 2" xfId="6369" xr:uid="{00000000-0005-0000-0000-000012000000}"/>
    <cellStyle name="Normal 2 3 2 2 4 3 2 2" xfId="14529" xr:uid="{00000000-0005-0000-0000-000012000000}"/>
    <cellStyle name="Normal 2 3 2 2 4 3 3" xfId="10449" xr:uid="{00000000-0005-0000-0000-000012000000}"/>
    <cellStyle name="Normal 2 3 2 2 4 4" xfId="1268" xr:uid="{00000000-0005-0000-0000-000012000000}"/>
    <cellStyle name="Normal 2 3 2 2 4 4 2" xfId="5349" xr:uid="{00000000-0005-0000-0000-000012000000}"/>
    <cellStyle name="Normal 2 3 2 2 4 4 2 2" xfId="13509" xr:uid="{00000000-0005-0000-0000-000012000000}"/>
    <cellStyle name="Normal 2 3 2 2 4 4 3" xfId="9429" xr:uid="{00000000-0005-0000-0000-000012000000}"/>
    <cellStyle name="Normal 2 3 2 2 4 5" xfId="3308" xr:uid="{00000000-0005-0000-0000-000012000000}"/>
    <cellStyle name="Normal 2 3 2 2 4 5 2" xfId="7389" xr:uid="{00000000-0005-0000-0000-000012000000}"/>
    <cellStyle name="Normal 2 3 2 2 4 5 2 2" xfId="15549" xr:uid="{00000000-0005-0000-0000-000012000000}"/>
    <cellStyle name="Normal 2 3 2 2 4 5 3" xfId="11469" xr:uid="{00000000-0005-0000-0000-000012000000}"/>
    <cellStyle name="Normal 2 3 2 2 4 6" xfId="4328" xr:uid="{00000000-0005-0000-0000-000012000000}"/>
    <cellStyle name="Normal 2 3 2 2 4 6 2" xfId="12489" xr:uid="{00000000-0005-0000-0000-000012000000}"/>
    <cellStyle name="Normal 2 3 2 2 4 7" xfId="8409" xr:uid="{00000000-0005-0000-0000-000012000000}"/>
    <cellStyle name="Normal 2 3 2 2 5" xfId="859" xr:uid="{00000000-0005-0000-0000-000012000000}"/>
    <cellStyle name="Normal 2 3 2 2 5 2" xfId="2900" xr:uid="{00000000-0005-0000-0000-000012000000}"/>
    <cellStyle name="Normal 2 3 2 2 5 2 2" xfId="6981" xr:uid="{00000000-0005-0000-0000-000012000000}"/>
    <cellStyle name="Normal 2 3 2 2 5 2 2 2" xfId="15141" xr:uid="{00000000-0005-0000-0000-000012000000}"/>
    <cellStyle name="Normal 2 3 2 2 5 2 3" xfId="11061" xr:uid="{00000000-0005-0000-0000-000012000000}"/>
    <cellStyle name="Normal 2 3 2 2 5 3" xfId="1880" xr:uid="{00000000-0005-0000-0000-000012000000}"/>
    <cellStyle name="Normal 2 3 2 2 5 3 2" xfId="5961" xr:uid="{00000000-0005-0000-0000-000012000000}"/>
    <cellStyle name="Normal 2 3 2 2 5 3 2 2" xfId="14121" xr:uid="{00000000-0005-0000-0000-000012000000}"/>
    <cellStyle name="Normal 2 3 2 2 5 3 3" xfId="10041" xr:uid="{00000000-0005-0000-0000-000012000000}"/>
    <cellStyle name="Normal 2 3 2 2 5 4" xfId="3920" xr:uid="{00000000-0005-0000-0000-000012000000}"/>
    <cellStyle name="Normal 2 3 2 2 5 4 2" xfId="8001" xr:uid="{00000000-0005-0000-0000-000012000000}"/>
    <cellStyle name="Normal 2 3 2 2 5 4 2 2" xfId="16161" xr:uid="{00000000-0005-0000-0000-000012000000}"/>
    <cellStyle name="Normal 2 3 2 2 5 4 3" xfId="12081" xr:uid="{00000000-0005-0000-0000-000012000000}"/>
    <cellStyle name="Normal 2 3 2 2 5 5" xfId="4940" xr:uid="{00000000-0005-0000-0000-000012000000}"/>
    <cellStyle name="Normal 2 3 2 2 5 5 2" xfId="13101" xr:uid="{00000000-0005-0000-0000-000012000000}"/>
    <cellStyle name="Normal 2 3 2 2 5 6" xfId="9021" xr:uid="{00000000-0005-0000-0000-000012000000}"/>
    <cellStyle name="Normal 2 3 2 2 6" xfId="451" xr:uid="{00000000-0005-0000-0000-000012000000}"/>
    <cellStyle name="Normal 2 3 2 2 6 2" xfId="2492" xr:uid="{00000000-0005-0000-0000-000012000000}"/>
    <cellStyle name="Normal 2 3 2 2 6 2 2" xfId="6573" xr:uid="{00000000-0005-0000-0000-000012000000}"/>
    <cellStyle name="Normal 2 3 2 2 6 2 2 2" xfId="14733" xr:uid="{00000000-0005-0000-0000-000012000000}"/>
    <cellStyle name="Normal 2 3 2 2 6 2 3" xfId="10653" xr:uid="{00000000-0005-0000-0000-000012000000}"/>
    <cellStyle name="Normal 2 3 2 2 6 3" xfId="1472" xr:uid="{00000000-0005-0000-0000-000012000000}"/>
    <cellStyle name="Normal 2 3 2 2 6 3 2" xfId="5553" xr:uid="{00000000-0005-0000-0000-000012000000}"/>
    <cellStyle name="Normal 2 3 2 2 6 3 2 2" xfId="13713" xr:uid="{00000000-0005-0000-0000-000012000000}"/>
    <cellStyle name="Normal 2 3 2 2 6 3 3" xfId="9633" xr:uid="{00000000-0005-0000-0000-000012000000}"/>
    <cellStyle name="Normal 2 3 2 2 6 4" xfId="3512" xr:uid="{00000000-0005-0000-0000-000012000000}"/>
    <cellStyle name="Normal 2 3 2 2 6 4 2" xfId="7593" xr:uid="{00000000-0005-0000-0000-000012000000}"/>
    <cellStyle name="Normal 2 3 2 2 6 4 2 2" xfId="15753" xr:uid="{00000000-0005-0000-0000-000012000000}"/>
    <cellStyle name="Normal 2 3 2 2 6 4 3" xfId="11673" xr:uid="{00000000-0005-0000-0000-000012000000}"/>
    <cellStyle name="Normal 2 3 2 2 6 5" xfId="4532" xr:uid="{00000000-0005-0000-0000-000012000000}"/>
    <cellStyle name="Normal 2 3 2 2 6 5 2" xfId="12693" xr:uid="{00000000-0005-0000-0000-000012000000}"/>
    <cellStyle name="Normal 2 3 2 2 6 6" xfId="8613" xr:uid="{00000000-0005-0000-0000-000012000000}"/>
    <cellStyle name="Normal 2 3 2 2 7" xfId="2084" xr:uid="{00000000-0005-0000-0000-000012000000}"/>
    <cellStyle name="Normal 2 3 2 2 7 2" xfId="6165" xr:uid="{00000000-0005-0000-0000-000012000000}"/>
    <cellStyle name="Normal 2 3 2 2 7 2 2" xfId="14325" xr:uid="{00000000-0005-0000-0000-000012000000}"/>
    <cellStyle name="Normal 2 3 2 2 7 3" xfId="10245" xr:uid="{00000000-0005-0000-0000-000012000000}"/>
    <cellStyle name="Normal 2 3 2 2 8" xfId="1064" xr:uid="{00000000-0005-0000-0000-000012000000}"/>
    <cellStyle name="Normal 2 3 2 2 8 2" xfId="5145" xr:uid="{00000000-0005-0000-0000-000012000000}"/>
    <cellStyle name="Normal 2 3 2 2 8 2 2" xfId="13305" xr:uid="{00000000-0005-0000-0000-000012000000}"/>
    <cellStyle name="Normal 2 3 2 2 8 3" xfId="9225" xr:uid="{00000000-0005-0000-0000-000012000000}"/>
    <cellStyle name="Normal 2 3 2 2 9" xfId="3104" xr:uid="{00000000-0005-0000-0000-000012000000}"/>
    <cellStyle name="Normal 2 3 2 2 9 2" xfId="7185" xr:uid="{00000000-0005-0000-0000-000012000000}"/>
    <cellStyle name="Normal 2 3 2 2 9 2 2" xfId="15345" xr:uid="{00000000-0005-0000-0000-000012000000}"/>
    <cellStyle name="Normal 2 3 2 2 9 3" xfId="11265" xr:uid="{00000000-0005-0000-0000-000012000000}"/>
    <cellStyle name="Normal 2 3 2 3" xfId="69" xr:uid="{00000000-0005-0000-0000-000011000000}"/>
    <cellStyle name="Normal 2 3 2 3 10" xfId="8231" xr:uid="{00000000-0005-0000-0000-000011000000}"/>
    <cellStyle name="Normal 2 3 2 3 2" xfId="171" xr:uid="{00000000-0005-0000-0000-000011000000}"/>
    <cellStyle name="Normal 2 3 2 3 2 2" xfId="375" xr:uid="{00000000-0005-0000-0000-000011000000}"/>
    <cellStyle name="Normal 2 3 2 3 2 2 2" xfId="783" xr:uid="{00000000-0005-0000-0000-000011000000}"/>
    <cellStyle name="Normal 2 3 2 3 2 2 2 2" xfId="2824" xr:uid="{00000000-0005-0000-0000-000011000000}"/>
    <cellStyle name="Normal 2 3 2 3 2 2 2 2 2" xfId="6905" xr:uid="{00000000-0005-0000-0000-000011000000}"/>
    <cellStyle name="Normal 2 3 2 3 2 2 2 2 2 2" xfId="15065" xr:uid="{00000000-0005-0000-0000-000011000000}"/>
    <cellStyle name="Normal 2 3 2 3 2 2 2 2 3" xfId="10985" xr:uid="{00000000-0005-0000-0000-000011000000}"/>
    <cellStyle name="Normal 2 3 2 3 2 2 2 3" xfId="1804" xr:uid="{00000000-0005-0000-0000-000011000000}"/>
    <cellStyle name="Normal 2 3 2 3 2 2 2 3 2" xfId="5885" xr:uid="{00000000-0005-0000-0000-000011000000}"/>
    <cellStyle name="Normal 2 3 2 3 2 2 2 3 2 2" xfId="14045" xr:uid="{00000000-0005-0000-0000-000011000000}"/>
    <cellStyle name="Normal 2 3 2 3 2 2 2 3 3" xfId="9965" xr:uid="{00000000-0005-0000-0000-000011000000}"/>
    <cellStyle name="Normal 2 3 2 3 2 2 2 4" xfId="3844" xr:uid="{00000000-0005-0000-0000-000011000000}"/>
    <cellStyle name="Normal 2 3 2 3 2 2 2 4 2" xfId="7925" xr:uid="{00000000-0005-0000-0000-000011000000}"/>
    <cellStyle name="Normal 2 3 2 3 2 2 2 4 2 2" xfId="16085" xr:uid="{00000000-0005-0000-0000-000011000000}"/>
    <cellStyle name="Normal 2 3 2 3 2 2 2 4 3" xfId="12005" xr:uid="{00000000-0005-0000-0000-000011000000}"/>
    <cellStyle name="Normal 2 3 2 3 2 2 2 5" xfId="4864" xr:uid="{00000000-0005-0000-0000-000011000000}"/>
    <cellStyle name="Normal 2 3 2 3 2 2 2 5 2" xfId="13025" xr:uid="{00000000-0005-0000-0000-000011000000}"/>
    <cellStyle name="Normal 2 3 2 3 2 2 2 6" xfId="8945" xr:uid="{00000000-0005-0000-0000-000011000000}"/>
    <cellStyle name="Normal 2 3 2 3 2 2 3" xfId="2416" xr:uid="{00000000-0005-0000-0000-000011000000}"/>
    <cellStyle name="Normal 2 3 2 3 2 2 3 2" xfId="6497" xr:uid="{00000000-0005-0000-0000-000011000000}"/>
    <cellStyle name="Normal 2 3 2 3 2 2 3 2 2" xfId="14657" xr:uid="{00000000-0005-0000-0000-000011000000}"/>
    <cellStyle name="Normal 2 3 2 3 2 2 3 3" xfId="10577" xr:uid="{00000000-0005-0000-0000-000011000000}"/>
    <cellStyle name="Normal 2 3 2 3 2 2 4" xfId="1396" xr:uid="{00000000-0005-0000-0000-000011000000}"/>
    <cellStyle name="Normal 2 3 2 3 2 2 4 2" xfId="5477" xr:uid="{00000000-0005-0000-0000-000011000000}"/>
    <cellStyle name="Normal 2 3 2 3 2 2 4 2 2" xfId="13637" xr:uid="{00000000-0005-0000-0000-000011000000}"/>
    <cellStyle name="Normal 2 3 2 3 2 2 4 3" xfId="9557" xr:uid="{00000000-0005-0000-0000-000011000000}"/>
    <cellStyle name="Normal 2 3 2 3 2 2 5" xfId="3436" xr:uid="{00000000-0005-0000-0000-000011000000}"/>
    <cellStyle name="Normal 2 3 2 3 2 2 5 2" xfId="7517" xr:uid="{00000000-0005-0000-0000-000011000000}"/>
    <cellStyle name="Normal 2 3 2 3 2 2 5 2 2" xfId="15677" xr:uid="{00000000-0005-0000-0000-000011000000}"/>
    <cellStyle name="Normal 2 3 2 3 2 2 5 3" xfId="11597" xr:uid="{00000000-0005-0000-0000-000011000000}"/>
    <cellStyle name="Normal 2 3 2 3 2 2 6" xfId="4456" xr:uid="{00000000-0005-0000-0000-000011000000}"/>
    <cellStyle name="Normal 2 3 2 3 2 2 6 2" xfId="12617" xr:uid="{00000000-0005-0000-0000-000011000000}"/>
    <cellStyle name="Normal 2 3 2 3 2 2 7" xfId="8537" xr:uid="{00000000-0005-0000-0000-000011000000}"/>
    <cellStyle name="Normal 2 3 2 3 2 3" xfId="987" xr:uid="{00000000-0005-0000-0000-000011000000}"/>
    <cellStyle name="Normal 2 3 2 3 2 3 2" xfId="3028" xr:uid="{00000000-0005-0000-0000-000011000000}"/>
    <cellStyle name="Normal 2 3 2 3 2 3 2 2" xfId="7109" xr:uid="{00000000-0005-0000-0000-000011000000}"/>
    <cellStyle name="Normal 2 3 2 3 2 3 2 2 2" xfId="15269" xr:uid="{00000000-0005-0000-0000-000011000000}"/>
    <cellStyle name="Normal 2 3 2 3 2 3 2 3" xfId="11189" xr:uid="{00000000-0005-0000-0000-000011000000}"/>
    <cellStyle name="Normal 2 3 2 3 2 3 3" xfId="2008" xr:uid="{00000000-0005-0000-0000-000011000000}"/>
    <cellStyle name="Normal 2 3 2 3 2 3 3 2" xfId="6089" xr:uid="{00000000-0005-0000-0000-000011000000}"/>
    <cellStyle name="Normal 2 3 2 3 2 3 3 2 2" xfId="14249" xr:uid="{00000000-0005-0000-0000-000011000000}"/>
    <cellStyle name="Normal 2 3 2 3 2 3 3 3" xfId="10169" xr:uid="{00000000-0005-0000-0000-000011000000}"/>
    <cellStyle name="Normal 2 3 2 3 2 3 4" xfId="4048" xr:uid="{00000000-0005-0000-0000-000011000000}"/>
    <cellStyle name="Normal 2 3 2 3 2 3 4 2" xfId="8129" xr:uid="{00000000-0005-0000-0000-000011000000}"/>
    <cellStyle name="Normal 2 3 2 3 2 3 4 2 2" xfId="16289" xr:uid="{00000000-0005-0000-0000-000011000000}"/>
    <cellStyle name="Normal 2 3 2 3 2 3 4 3" xfId="12209" xr:uid="{00000000-0005-0000-0000-000011000000}"/>
    <cellStyle name="Normal 2 3 2 3 2 3 5" xfId="5068" xr:uid="{00000000-0005-0000-0000-000011000000}"/>
    <cellStyle name="Normal 2 3 2 3 2 3 5 2" xfId="13229" xr:uid="{00000000-0005-0000-0000-000011000000}"/>
    <cellStyle name="Normal 2 3 2 3 2 3 6" xfId="9149" xr:uid="{00000000-0005-0000-0000-000011000000}"/>
    <cellStyle name="Normal 2 3 2 3 2 4" xfId="579" xr:uid="{00000000-0005-0000-0000-000011000000}"/>
    <cellStyle name="Normal 2 3 2 3 2 4 2" xfId="2620" xr:uid="{00000000-0005-0000-0000-000011000000}"/>
    <cellStyle name="Normal 2 3 2 3 2 4 2 2" xfId="6701" xr:uid="{00000000-0005-0000-0000-000011000000}"/>
    <cellStyle name="Normal 2 3 2 3 2 4 2 2 2" xfId="14861" xr:uid="{00000000-0005-0000-0000-000011000000}"/>
    <cellStyle name="Normal 2 3 2 3 2 4 2 3" xfId="10781" xr:uid="{00000000-0005-0000-0000-000011000000}"/>
    <cellStyle name="Normal 2 3 2 3 2 4 3" xfId="1600" xr:uid="{00000000-0005-0000-0000-000011000000}"/>
    <cellStyle name="Normal 2 3 2 3 2 4 3 2" xfId="5681" xr:uid="{00000000-0005-0000-0000-000011000000}"/>
    <cellStyle name="Normal 2 3 2 3 2 4 3 2 2" xfId="13841" xr:uid="{00000000-0005-0000-0000-000011000000}"/>
    <cellStyle name="Normal 2 3 2 3 2 4 3 3" xfId="9761" xr:uid="{00000000-0005-0000-0000-000011000000}"/>
    <cellStyle name="Normal 2 3 2 3 2 4 4" xfId="3640" xr:uid="{00000000-0005-0000-0000-000011000000}"/>
    <cellStyle name="Normal 2 3 2 3 2 4 4 2" xfId="7721" xr:uid="{00000000-0005-0000-0000-000011000000}"/>
    <cellStyle name="Normal 2 3 2 3 2 4 4 2 2" xfId="15881" xr:uid="{00000000-0005-0000-0000-000011000000}"/>
    <cellStyle name="Normal 2 3 2 3 2 4 4 3" xfId="11801" xr:uid="{00000000-0005-0000-0000-000011000000}"/>
    <cellStyle name="Normal 2 3 2 3 2 4 5" xfId="4660" xr:uid="{00000000-0005-0000-0000-000011000000}"/>
    <cellStyle name="Normal 2 3 2 3 2 4 5 2" xfId="12821" xr:uid="{00000000-0005-0000-0000-000011000000}"/>
    <cellStyle name="Normal 2 3 2 3 2 4 6" xfId="8741" xr:uid="{00000000-0005-0000-0000-000011000000}"/>
    <cellStyle name="Normal 2 3 2 3 2 5" xfId="2212" xr:uid="{00000000-0005-0000-0000-000011000000}"/>
    <cellStyle name="Normal 2 3 2 3 2 5 2" xfId="6293" xr:uid="{00000000-0005-0000-0000-000011000000}"/>
    <cellStyle name="Normal 2 3 2 3 2 5 2 2" xfId="14453" xr:uid="{00000000-0005-0000-0000-000011000000}"/>
    <cellStyle name="Normal 2 3 2 3 2 5 3" xfId="10373" xr:uid="{00000000-0005-0000-0000-000011000000}"/>
    <cellStyle name="Normal 2 3 2 3 2 6" xfId="1192" xr:uid="{00000000-0005-0000-0000-000011000000}"/>
    <cellStyle name="Normal 2 3 2 3 2 6 2" xfId="5273" xr:uid="{00000000-0005-0000-0000-000011000000}"/>
    <cellStyle name="Normal 2 3 2 3 2 6 2 2" xfId="13433" xr:uid="{00000000-0005-0000-0000-000011000000}"/>
    <cellStyle name="Normal 2 3 2 3 2 6 3" xfId="9353" xr:uid="{00000000-0005-0000-0000-000011000000}"/>
    <cellStyle name="Normal 2 3 2 3 2 7" xfId="3232" xr:uid="{00000000-0005-0000-0000-000011000000}"/>
    <cellStyle name="Normal 2 3 2 3 2 7 2" xfId="7313" xr:uid="{00000000-0005-0000-0000-000011000000}"/>
    <cellStyle name="Normal 2 3 2 3 2 7 2 2" xfId="15473" xr:uid="{00000000-0005-0000-0000-000011000000}"/>
    <cellStyle name="Normal 2 3 2 3 2 7 3" xfId="11393" xr:uid="{00000000-0005-0000-0000-000011000000}"/>
    <cellStyle name="Normal 2 3 2 3 2 8" xfId="4252" xr:uid="{00000000-0005-0000-0000-000011000000}"/>
    <cellStyle name="Normal 2 3 2 3 2 8 2" xfId="12413" xr:uid="{00000000-0005-0000-0000-000011000000}"/>
    <cellStyle name="Normal 2 3 2 3 2 9" xfId="8333" xr:uid="{00000000-0005-0000-0000-000011000000}"/>
    <cellStyle name="Normal 2 3 2 3 3" xfId="273" xr:uid="{00000000-0005-0000-0000-000011000000}"/>
    <cellStyle name="Normal 2 3 2 3 3 2" xfId="681" xr:uid="{00000000-0005-0000-0000-000011000000}"/>
    <cellStyle name="Normal 2 3 2 3 3 2 2" xfId="2722" xr:uid="{00000000-0005-0000-0000-000011000000}"/>
    <cellStyle name="Normal 2 3 2 3 3 2 2 2" xfId="6803" xr:uid="{00000000-0005-0000-0000-000011000000}"/>
    <cellStyle name="Normal 2 3 2 3 3 2 2 2 2" xfId="14963" xr:uid="{00000000-0005-0000-0000-000011000000}"/>
    <cellStyle name="Normal 2 3 2 3 3 2 2 3" xfId="10883" xr:uid="{00000000-0005-0000-0000-000011000000}"/>
    <cellStyle name="Normal 2 3 2 3 3 2 3" xfId="1702" xr:uid="{00000000-0005-0000-0000-000011000000}"/>
    <cellStyle name="Normal 2 3 2 3 3 2 3 2" xfId="5783" xr:uid="{00000000-0005-0000-0000-000011000000}"/>
    <cellStyle name="Normal 2 3 2 3 3 2 3 2 2" xfId="13943" xr:uid="{00000000-0005-0000-0000-000011000000}"/>
    <cellStyle name="Normal 2 3 2 3 3 2 3 3" xfId="9863" xr:uid="{00000000-0005-0000-0000-000011000000}"/>
    <cellStyle name="Normal 2 3 2 3 3 2 4" xfId="3742" xr:uid="{00000000-0005-0000-0000-000011000000}"/>
    <cellStyle name="Normal 2 3 2 3 3 2 4 2" xfId="7823" xr:uid="{00000000-0005-0000-0000-000011000000}"/>
    <cellStyle name="Normal 2 3 2 3 3 2 4 2 2" xfId="15983" xr:uid="{00000000-0005-0000-0000-000011000000}"/>
    <cellStyle name="Normal 2 3 2 3 3 2 4 3" xfId="11903" xr:uid="{00000000-0005-0000-0000-000011000000}"/>
    <cellStyle name="Normal 2 3 2 3 3 2 5" xfId="4762" xr:uid="{00000000-0005-0000-0000-000011000000}"/>
    <cellStyle name="Normal 2 3 2 3 3 2 5 2" xfId="12923" xr:uid="{00000000-0005-0000-0000-000011000000}"/>
    <cellStyle name="Normal 2 3 2 3 3 2 6" xfId="8843" xr:uid="{00000000-0005-0000-0000-000011000000}"/>
    <cellStyle name="Normal 2 3 2 3 3 3" xfId="2314" xr:uid="{00000000-0005-0000-0000-000011000000}"/>
    <cellStyle name="Normal 2 3 2 3 3 3 2" xfId="6395" xr:uid="{00000000-0005-0000-0000-000011000000}"/>
    <cellStyle name="Normal 2 3 2 3 3 3 2 2" xfId="14555" xr:uid="{00000000-0005-0000-0000-000011000000}"/>
    <cellStyle name="Normal 2 3 2 3 3 3 3" xfId="10475" xr:uid="{00000000-0005-0000-0000-000011000000}"/>
    <cellStyle name="Normal 2 3 2 3 3 4" xfId="1294" xr:uid="{00000000-0005-0000-0000-000011000000}"/>
    <cellStyle name="Normal 2 3 2 3 3 4 2" xfId="5375" xr:uid="{00000000-0005-0000-0000-000011000000}"/>
    <cellStyle name="Normal 2 3 2 3 3 4 2 2" xfId="13535" xr:uid="{00000000-0005-0000-0000-000011000000}"/>
    <cellStyle name="Normal 2 3 2 3 3 4 3" xfId="9455" xr:uid="{00000000-0005-0000-0000-000011000000}"/>
    <cellStyle name="Normal 2 3 2 3 3 5" xfId="3334" xr:uid="{00000000-0005-0000-0000-000011000000}"/>
    <cellStyle name="Normal 2 3 2 3 3 5 2" xfId="7415" xr:uid="{00000000-0005-0000-0000-000011000000}"/>
    <cellStyle name="Normal 2 3 2 3 3 5 2 2" xfId="15575" xr:uid="{00000000-0005-0000-0000-000011000000}"/>
    <cellStyle name="Normal 2 3 2 3 3 5 3" xfId="11495" xr:uid="{00000000-0005-0000-0000-000011000000}"/>
    <cellStyle name="Normal 2 3 2 3 3 6" xfId="4354" xr:uid="{00000000-0005-0000-0000-000011000000}"/>
    <cellStyle name="Normal 2 3 2 3 3 6 2" xfId="12515" xr:uid="{00000000-0005-0000-0000-000011000000}"/>
    <cellStyle name="Normal 2 3 2 3 3 7" xfId="8435" xr:uid="{00000000-0005-0000-0000-000011000000}"/>
    <cellStyle name="Normal 2 3 2 3 4" xfId="885" xr:uid="{00000000-0005-0000-0000-000011000000}"/>
    <cellStyle name="Normal 2 3 2 3 4 2" xfId="2926" xr:uid="{00000000-0005-0000-0000-000011000000}"/>
    <cellStyle name="Normal 2 3 2 3 4 2 2" xfId="7007" xr:uid="{00000000-0005-0000-0000-000011000000}"/>
    <cellStyle name="Normal 2 3 2 3 4 2 2 2" xfId="15167" xr:uid="{00000000-0005-0000-0000-000011000000}"/>
    <cellStyle name="Normal 2 3 2 3 4 2 3" xfId="11087" xr:uid="{00000000-0005-0000-0000-000011000000}"/>
    <cellStyle name="Normal 2 3 2 3 4 3" xfId="1906" xr:uid="{00000000-0005-0000-0000-000011000000}"/>
    <cellStyle name="Normal 2 3 2 3 4 3 2" xfId="5987" xr:uid="{00000000-0005-0000-0000-000011000000}"/>
    <cellStyle name="Normal 2 3 2 3 4 3 2 2" xfId="14147" xr:uid="{00000000-0005-0000-0000-000011000000}"/>
    <cellStyle name="Normal 2 3 2 3 4 3 3" xfId="10067" xr:uid="{00000000-0005-0000-0000-000011000000}"/>
    <cellStyle name="Normal 2 3 2 3 4 4" xfId="3946" xr:uid="{00000000-0005-0000-0000-000011000000}"/>
    <cellStyle name="Normal 2 3 2 3 4 4 2" xfId="8027" xr:uid="{00000000-0005-0000-0000-000011000000}"/>
    <cellStyle name="Normal 2 3 2 3 4 4 2 2" xfId="16187" xr:uid="{00000000-0005-0000-0000-000011000000}"/>
    <cellStyle name="Normal 2 3 2 3 4 4 3" xfId="12107" xr:uid="{00000000-0005-0000-0000-000011000000}"/>
    <cellStyle name="Normal 2 3 2 3 4 5" xfId="4966" xr:uid="{00000000-0005-0000-0000-000011000000}"/>
    <cellStyle name="Normal 2 3 2 3 4 5 2" xfId="13127" xr:uid="{00000000-0005-0000-0000-000011000000}"/>
    <cellStyle name="Normal 2 3 2 3 4 6" xfId="9047" xr:uid="{00000000-0005-0000-0000-000011000000}"/>
    <cellStyle name="Normal 2 3 2 3 5" xfId="477" xr:uid="{00000000-0005-0000-0000-000011000000}"/>
    <cellStyle name="Normal 2 3 2 3 5 2" xfId="2518" xr:uid="{00000000-0005-0000-0000-000011000000}"/>
    <cellStyle name="Normal 2 3 2 3 5 2 2" xfId="6599" xr:uid="{00000000-0005-0000-0000-000011000000}"/>
    <cellStyle name="Normal 2 3 2 3 5 2 2 2" xfId="14759" xr:uid="{00000000-0005-0000-0000-000011000000}"/>
    <cellStyle name="Normal 2 3 2 3 5 2 3" xfId="10679" xr:uid="{00000000-0005-0000-0000-000011000000}"/>
    <cellStyle name="Normal 2 3 2 3 5 3" xfId="1498" xr:uid="{00000000-0005-0000-0000-000011000000}"/>
    <cellStyle name="Normal 2 3 2 3 5 3 2" xfId="5579" xr:uid="{00000000-0005-0000-0000-000011000000}"/>
    <cellStyle name="Normal 2 3 2 3 5 3 2 2" xfId="13739" xr:uid="{00000000-0005-0000-0000-000011000000}"/>
    <cellStyle name="Normal 2 3 2 3 5 3 3" xfId="9659" xr:uid="{00000000-0005-0000-0000-000011000000}"/>
    <cellStyle name="Normal 2 3 2 3 5 4" xfId="3538" xr:uid="{00000000-0005-0000-0000-000011000000}"/>
    <cellStyle name="Normal 2 3 2 3 5 4 2" xfId="7619" xr:uid="{00000000-0005-0000-0000-000011000000}"/>
    <cellStyle name="Normal 2 3 2 3 5 4 2 2" xfId="15779" xr:uid="{00000000-0005-0000-0000-000011000000}"/>
    <cellStyle name="Normal 2 3 2 3 5 4 3" xfId="11699" xr:uid="{00000000-0005-0000-0000-000011000000}"/>
    <cellStyle name="Normal 2 3 2 3 5 5" xfId="4558" xr:uid="{00000000-0005-0000-0000-000011000000}"/>
    <cellStyle name="Normal 2 3 2 3 5 5 2" xfId="12719" xr:uid="{00000000-0005-0000-0000-000011000000}"/>
    <cellStyle name="Normal 2 3 2 3 5 6" xfId="8639" xr:uid="{00000000-0005-0000-0000-000011000000}"/>
    <cellStyle name="Normal 2 3 2 3 6" xfId="2110" xr:uid="{00000000-0005-0000-0000-000011000000}"/>
    <cellStyle name="Normal 2 3 2 3 6 2" xfId="6191" xr:uid="{00000000-0005-0000-0000-000011000000}"/>
    <cellStyle name="Normal 2 3 2 3 6 2 2" xfId="14351" xr:uid="{00000000-0005-0000-0000-000011000000}"/>
    <cellStyle name="Normal 2 3 2 3 6 3" xfId="10271" xr:uid="{00000000-0005-0000-0000-000011000000}"/>
    <cellStyle name="Normal 2 3 2 3 7" xfId="1090" xr:uid="{00000000-0005-0000-0000-000011000000}"/>
    <cellStyle name="Normal 2 3 2 3 7 2" xfId="5171" xr:uid="{00000000-0005-0000-0000-000011000000}"/>
    <cellStyle name="Normal 2 3 2 3 7 2 2" xfId="13331" xr:uid="{00000000-0005-0000-0000-000011000000}"/>
    <cellStyle name="Normal 2 3 2 3 7 3" xfId="9251" xr:uid="{00000000-0005-0000-0000-000011000000}"/>
    <cellStyle name="Normal 2 3 2 3 8" xfId="3130" xr:uid="{00000000-0005-0000-0000-000011000000}"/>
    <cellStyle name="Normal 2 3 2 3 8 2" xfId="7211" xr:uid="{00000000-0005-0000-0000-000011000000}"/>
    <cellStyle name="Normal 2 3 2 3 8 2 2" xfId="15371" xr:uid="{00000000-0005-0000-0000-000011000000}"/>
    <cellStyle name="Normal 2 3 2 3 8 3" xfId="11291" xr:uid="{00000000-0005-0000-0000-000011000000}"/>
    <cellStyle name="Normal 2 3 2 3 9" xfId="4150" xr:uid="{00000000-0005-0000-0000-000011000000}"/>
    <cellStyle name="Normal 2 3 2 3 9 2" xfId="12311" xr:uid="{00000000-0005-0000-0000-000011000000}"/>
    <cellStyle name="Normal 2 3 2 4" xfId="120" xr:uid="{00000000-0005-0000-0000-000011000000}"/>
    <cellStyle name="Normal 2 3 2 4 2" xfId="324" xr:uid="{00000000-0005-0000-0000-000011000000}"/>
    <cellStyle name="Normal 2 3 2 4 2 2" xfId="732" xr:uid="{00000000-0005-0000-0000-000011000000}"/>
    <cellStyle name="Normal 2 3 2 4 2 2 2" xfId="2773" xr:uid="{00000000-0005-0000-0000-000011000000}"/>
    <cellStyle name="Normal 2 3 2 4 2 2 2 2" xfId="6854" xr:uid="{00000000-0005-0000-0000-000011000000}"/>
    <cellStyle name="Normal 2 3 2 4 2 2 2 2 2" xfId="15014" xr:uid="{00000000-0005-0000-0000-000011000000}"/>
    <cellStyle name="Normal 2 3 2 4 2 2 2 3" xfId="10934" xr:uid="{00000000-0005-0000-0000-000011000000}"/>
    <cellStyle name="Normal 2 3 2 4 2 2 3" xfId="1753" xr:uid="{00000000-0005-0000-0000-000011000000}"/>
    <cellStyle name="Normal 2 3 2 4 2 2 3 2" xfId="5834" xr:uid="{00000000-0005-0000-0000-000011000000}"/>
    <cellStyle name="Normal 2 3 2 4 2 2 3 2 2" xfId="13994" xr:uid="{00000000-0005-0000-0000-000011000000}"/>
    <cellStyle name="Normal 2 3 2 4 2 2 3 3" xfId="9914" xr:uid="{00000000-0005-0000-0000-000011000000}"/>
    <cellStyle name="Normal 2 3 2 4 2 2 4" xfId="3793" xr:uid="{00000000-0005-0000-0000-000011000000}"/>
    <cellStyle name="Normal 2 3 2 4 2 2 4 2" xfId="7874" xr:uid="{00000000-0005-0000-0000-000011000000}"/>
    <cellStyle name="Normal 2 3 2 4 2 2 4 2 2" xfId="16034" xr:uid="{00000000-0005-0000-0000-000011000000}"/>
    <cellStyle name="Normal 2 3 2 4 2 2 4 3" xfId="11954" xr:uid="{00000000-0005-0000-0000-000011000000}"/>
    <cellStyle name="Normal 2 3 2 4 2 2 5" xfId="4813" xr:uid="{00000000-0005-0000-0000-000011000000}"/>
    <cellStyle name="Normal 2 3 2 4 2 2 5 2" xfId="12974" xr:uid="{00000000-0005-0000-0000-000011000000}"/>
    <cellStyle name="Normal 2 3 2 4 2 2 6" xfId="8894" xr:uid="{00000000-0005-0000-0000-000011000000}"/>
    <cellStyle name="Normal 2 3 2 4 2 3" xfId="2365" xr:uid="{00000000-0005-0000-0000-000011000000}"/>
    <cellStyle name="Normal 2 3 2 4 2 3 2" xfId="6446" xr:uid="{00000000-0005-0000-0000-000011000000}"/>
    <cellStyle name="Normal 2 3 2 4 2 3 2 2" xfId="14606" xr:uid="{00000000-0005-0000-0000-000011000000}"/>
    <cellStyle name="Normal 2 3 2 4 2 3 3" xfId="10526" xr:uid="{00000000-0005-0000-0000-000011000000}"/>
    <cellStyle name="Normal 2 3 2 4 2 4" xfId="1345" xr:uid="{00000000-0005-0000-0000-000011000000}"/>
    <cellStyle name="Normal 2 3 2 4 2 4 2" xfId="5426" xr:uid="{00000000-0005-0000-0000-000011000000}"/>
    <cellStyle name="Normal 2 3 2 4 2 4 2 2" xfId="13586" xr:uid="{00000000-0005-0000-0000-000011000000}"/>
    <cellStyle name="Normal 2 3 2 4 2 4 3" xfId="9506" xr:uid="{00000000-0005-0000-0000-000011000000}"/>
    <cellStyle name="Normal 2 3 2 4 2 5" xfId="3385" xr:uid="{00000000-0005-0000-0000-000011000000}"/>
    <cellStyle name="Normal 2 3 2 4 2 5 2" xfId="7466" xr:uid="{00000000-0005-0000-0000-000011000000}"/>
    <cellStyle name="Normal 2 3 2 4 2 5 2 2" xfId="15626" xr:uid="{00000000-0005-0000-0000-000011000000}"/>
    <cellStyle name="Normal 2 3 2 4 2 5 3" xfId="11546" xr:uid="{00000000-0005-0000-0000-000011000000}"/>
    <cellStyle name="Normal 2 3 2 4 2 6" xfId="4405" xr:uid="{00000000-0005-0000-0000-000011000000}"/>
    <cellStyle name="Normal 2 3 2 4 2 6 2" xfId="12566" xr:uid="{00000000-0005-0000-0000-000011000000}"/>
    <cellStyle name="Normal 2 3 2 4 2 7" xfId="8486" xr:uid="{00000000-0005-0000-0000-000011000000}"/>
    <cellStyle name="Normal 2 3 2 4 3" xfId="936" xr:uid="{00000000-0005-0000-0000-000011000000}"/>
    <cellStyle name="Normal 2 3 2 4 3 2" xfId="2977" xr:uid="{00000000-0005-0000-0000-000011000000}"/>
    <cellStyle name="Normal 2 3 2 4 3 2 2" xfId="7058" xr:uid="{00000000-0005-0000-0000-000011000000}"/>
    <cellStyle name="Normal 2 3 2 4 3 2 2 2" xfId="15218" xr:uid="{00000000-0005-0000-0000-000011000000}"/>
    <cellStyle name="Normal 2 3 2 4 3 2 3" xfId="11138" xr:uid="{00000000-0005-0000-0000-000011000000}"/>
    <cellStyle name="Normal 2 3 2 4 3 3" xfId="1957" xr:uid="{00000000-0005-0000-0000-000011000000}"/>
    <cellStyle name="Normal 2 3 2 4 3 3 2" xfId="6038" xr:uid="{00000000-0005-0000-0000-000011000000}"/>
    <cellStyle name="Normal 2 3 2 4 3 3 2 2" xfId="14198" xr:uid="{00000000-0005-0000-0000-000011000000}"/>
    <cellStyle name="Normal 2 3 2 4 3 3 3" xfId="10118" xr:uid="{00000000-0005-0000-0000-000011000000}"/>
    <cellStyle name="Normal 2 3 2 4 3 4" xfId="3997" xr:uid="{00000000-0005-0000-0000-000011000000}"/>
    <cellStyle name="Normal 2 3 2 4 3 4 2" xfId="8078" xr:uid="{00000000-0005-0000-0000-000011000000}"/>
    <cellStyle name="Normal 2 3 2 4 3 4 2 2" xfId="16238" xr:uid="{00000000-0005-0000-0000-000011000000}"/>
    <cellStyle name="Normal 2 3 2 4 3 4 3" xfId="12158" xr:uid="{00000000-0005-0000-0000-000011000000}"/>
    <cellStyle name="Normal 2 3 2 4 3 5" xfId="5017" xr:uid="{00000000-0005-0000-0000-000011000000}"/>
    <cellStyle name="Normal 2 3 2 4 3 5 2" xfId="13178" xr:uid="{00000000-0005-0000-0000-000011000000}"/>
    <cellStyle name="Normal 2 3 2 4 3 6" xfId="9098" xr:uid="{00000000-0005-0000-0000-000011000000}"/>
    <cellStyle name="Normal 2 3 2 4 4" xfId="528" xr:uid="{00000000-0005-0000-0000-000011000000}"/>
    <cellStyle name="Normal 2 3 2 4 4 2" xfId="2569" xr:uid="{00000000-0005-0000-0000-000011000000}"/>
    <cellStyle name="Normal 2 3 2 4 4 2 2" xfId="6650" xr:uid="{00000000-0005-0000-0000-000011000000}"/>
    <cellStyle name="Normal 2 3 2 4 4 2 2 2" xfId="14810" xr:uid="{00000000-0005-0000-0000-000011000000}"/>
    <cellStyle name="Normal 2 3 2 4 4 2 3" xfId="10730" xr:uid="{00000000-0005-0000-0000-000011000000}"/>
    <cellStyle name="Normal 2 3 2 4 4 3" xfId="1549" xr:uid="{00000000-0005-0000-0000-000011000000}"/>
    <cellStyle name="Normal 2 3 2 4 4 3 2" xfId="5630" xr:uid="{00000000-0005-0000-0000-000011000000}"/>
    <cellStyle name="Normal 2 3 2 4 4 3 2 2" xfId="13790" xr:uid="{00000000-0005-0000-0000-000011000000}"/>
    <cellStyle name="Normal 2 3 2 4 4 3 3" xfId="9710" xr:uid="{00000000-0005-0000-0000-000011000000}"/>
    <cellStyle name="Normal 2 3 2 4 4 4" xfId="3589" xr:uid="{00000000-0005-0000-0000-000011000000}"/>
    <cellStyle name="Normal 2 3 2 4 4 4 2" xfId="7670" xr:uid="{00000000-0005-0000-0000-000011000000}"/>
    <cellStyle name="Normal 2 3 2 4 4 4 2 2" xfId="15830" xr:uid="{00000000-0005-0000-0000-000011000000}"/>
    <cellStyle name="Normal 2 3 2 4 4 4 3" xfId="11750" xr:uid="{00000000-0005-0000-0000-000011000000}"/>
    <cellStyle name="Normal 2 3 2 4 4 5" xfId="4609" xr:uid="{00000000-0005-0000-0000-000011000000}"/>
    <cellStyle name="Normal 2 3 2 4 4 5 2" xfId="12770" xr:uid="{00000000-0005-0000-0000-000011000000}"/>
    <cellStyle name="Normal 2 3 2 4 4 6" xfId="8690" xr:uid="{00000000-0005-0000-0000-000011000000}"/>
    <cellStyle name="Normal 2 3 2 4 5" xfId="2161" xr:uid="{00000000-0005-0000-0000-000011000000}"/>
    <cellStyle name="Normal 2 3 2 4 5 2" xfId="6242" xr:uid="{00000000-0005-0000-0000-000011000000}"/>
    <cellStyle name="Normal 2 3 2 4 5 2 2" xfId="14402" xr:uid="{00000000-0005-0000-0000-000011000000}"/>
    <cellStyle name="Normal 2 3 2 4 5 3" xfId="10322" xr:uid="{00000000-0005-0000-0000-000011000000}"/>
    <cellStyle name="Normal 2 3 2 4 6" xfId="1141" xr:uid="{00000000-0005-0000-0000-000011000000}"/>
    <cellStyle name="Normal 2 3 2 4 6 2" xfId="5222" xr:uid="{00000000-0005-0000-0000-000011000000}"/>
    <cellStyle name="Normal 2 3 2 4 6 2 2" xfId="13382" xr:uid="{00000000-0005-0000-0000-000011000000}"/>
    <cellStyle name="Normal 2 3 2 4 6 3" xfId="9302" xr:uid="{00000000-0005-0000-0000-000011000000}"/>
    <cellStyle name="Normal 2 3 2 4 7" xfId="3181" xr:uid="{00000000-0005-0000-0000-000011000000}"/>
    <cellStyle name="Normal 2 3 2 4 7 2" xfId="7262" xr:uid="{00000000-0005-0000-0000-000011000000}"/>
    <cellStyle name="Normal 2 3 2 4 7 2 2" xfId="15422" xr:uid="{00000000-0005-0000-0000-000011000000}"/>
    <cellStyle name="Normal 2 3 2 4 7 3" xfId="11342" xr:uid="{00000000-0005-0000-0000-000011000000}"/>
    <cellStyle name="Normal 2 3 2 4 8" xfId="4201" xr:uid="{00000000-0005-0000-0000-000011000000}"/>
    <cellStyle name="Normal 2 3 2 4 8 2" xfId="12362" xr:uid="{00000000-0005-0000-0000-000011000000}"/>
    <cellStyle name="Normal 2 3 2 4 9" xfId="8282" xr:uid="{00000000-0005-0000-0000-000011000000}"/>
    <cellStyle name="Normal 2 3 2 5" xfId="222" xr:uid="{00000000-0005-0000-0000-000011000000}"/>
    <cellStyle name="Normal 2 3 2 5 2" xfId="630" xr:uid="{00000000-0005-0000-0000-000011000000}"/>
    <cellStyle name="Normal 2 3 2 5 2 2" xfId="2671" xr:uid="{00000000-0005-0000-0000-000011000000}"/>
    <cellStyle name="Normal 2 3 2 5 2 2 2" xfId="6752" xr:uid="{00000000-0005-0000-0000-000011000000}"/>
    <cellStyle name="Normal 2 3 2 5 2 2 2 2" xfId="14912" xr:uid="{00000000-0005-0000-0000-000011000000}"/>
    <cellStyle name="Normal 2 3 2 5 2 2 3" xfId="10832" xr:uid="{00000000-0005-0000-0000-000011000000}"/>
    <cellStyle name="Normal 2 3 2 5 2 3" xfId="1651" xr:uid="{00000000-0005-0000-0000-000011000000}"/>
    <cellStyle name="Normal 2 3 2 5 2 3 2" xfId="5732" xr:uid="{00000000-0005-0000-0000-000011000000}"/>
    <cellStyle name="Normal 2 3 2 5 2 3 2 2" xfId="13892" xr:uid="{00000000-0005-0000-0000-000011000000}"/>
    <cellStyle name="Normal 2 3 2 5 2 3 3" xfId="9812" xr:uid="{00000000-0005-0000-0000-000011000000}"/>
    <cellStyle name="Normal 2 3 2 5 2 4" xfId="3691" xr:uid="{00000000-0005-0000-0000-000011000000}"/>
    <cellStyle name="Normal 2 3 2 5 2 4 2" xfId="7772" xr:uid="{00000000-0005-0000-0000-000011000000}"/>
    <cellStyle name="Normal 2 3 2 5 2 4 2 2" xfId="15932" xr:uid="{00000000-0005-0000-0000-000011000000}"/>
    <cellStyle name="Normal 2 3 2 5 2 4 3" xfId="11852" xr:uid="{00000000-0005-0000-0000-000011000000}"/>
    <cellStyle name="Normal 2 3 2 5 2 5" xfId="4711" xr:uid="{00000000-0005-0000-0000-000011000000}"/>
    <cellStyle name="Normal 2 3 2 5 2 5 2" xfId="12872" xr:uid="{00000000-0005-0000-0000-000011000000}"/>
    <cellStyle name="Normal 2 3 2 5 2 6" xfId="8792" xr:uid="{00000000-0005-0000-0000-000011000000}"/>
    <cellStyle name="Normal 2 3 2 5 3" xfId="2263" xr:uid="{00000000-0005-0000-0000-000011000000}"/>
    <cellStyle name="Normal 2 3 2 5 3 2" xfId="6344" xr:uid="{00000000-0005-0000-0000-000011000000}"/>
    <cellStyle name="Normal 2 3 2 5 3 2 2" xfId="14504" xr:uid="{00000000-0005-0000-0000-000011000000}"/>
    <cellStyle name="Normal 2 3 2 5 3 3" xfId="10424" xr:uid="{00000000-0005-0000-0000-000011000000}"/>
    <cellStyle name="Normal 2 3 2 5 4" xfId="1243" xr:uid="{00000000-0005-0000-0000-000011000000}"/>
    <cellStyle name="Normal 2 3 2 5 4 2" xfId="5324" xr:uid="{00000000-0005-0000-0000-000011000000}"/>
    <cellStyle name="Normal 2 3 2 5 4 2 2" xfId="13484" xr:uid="{00000000-0005-0000-0000-000011000000}"/>
    <cellStyle name="Normal 2 3 2 5 4 3" xfId="9404" xr:uid="{00000000-0005-0000-0000-000011000000}"/>
    <cellStyle name="Normal 2 3 2 5 5" xfId="3283" xr:uid="{00000000-0005-0000-0000-000011000000}"/>
    <cellStyle name="Normal 2 3 2 5 5 2" xfId="7364" xr:uid="{00000000-0005-0000-0000-000011000000}"/>
    <cellStyle name="Normal 2 3 2 5 5 2 2" xfId="15524" xr:uid="{00000000-0005-0000-0000-000011000000}"/>
    <cellStyle name="Normal 2 3 2 5 5 3" xfId="11444" xr:uid="{00000000-0005-0000-0000-000011000000}"/>
    <cellStyle name="Normal 2 3 2 5 6" xfId="4303" xr:uid="{00000000-0005-0000-0000-000011000000}"/>
    <cellStyle name="Normal 2 3 2 5 6 2" xfId="12464" xr:uid="{00000000-0005-0000-0000-000011000000}"/>
    <cellStyle name="Normal 2 3 2 5 7" xfId="8384" xr:uid="{00000000-0005-0000-0000-000011000000}"/>
    <cellStyle name="Normal 2 3 2 6" xfId="834" xr:uid="{00000000-0005-0000-0000-000011000000}"/>
    <cellStyle name="Normal 2 3 2 6 2" xfId="2875" xr:uid="{00000000-0005-0000-0000-000011000000}"/>
    <cellStyle name="Normal 2 3 2 6 2 2" xfId="6956" xr:uid="{00000000-0005-0000-0000-000011000000}"/>
    <cellStyle name="Normal 2 3 2 6 2 2 2" xfId="15116" xr:uid="{00000000-0005-0000-0000-000011000000}"/>
    <cellStyle name="Normal 2 3 2 6 2 3" xfId="11036" xr:uid="{00000000-0005-0000-0000-000011000000}"/>
    <cellStyle name="Normal 2 3 2 6 3" xfId="1855" xr:uid="{00000000-0005-0000-0000-000011000000}"/>
    <cellStyle name="Normal 2 3 2 6 3 2" xfId="5936" xr:uid="{00000000-0005-0000-0000-000011000000}"/>
    <cellStyle name="Normal 2 3 2 6 3 2 2" xfId="14096" xr:uid="{00000000-0005-0000-0000-000011000000}"/>
    <cellStyle name="Normal 2 3 2 6 3 3" xfId="10016" xr:uid="{00000000-0005-0000-0000-000011000000}"/>
    <cellStyle name="Normal 2 3 2 6 4" xfId="3895" xr:uid="{00000000-0005-0000-0000-000011000000}"/>
    <cellStyle name="Normal 2 3 2 6 4 2" xfId="7976" xr:uid="{00000000-0005-0000-0000-000011000000}"/>
    <cellStyle name="Normal 2 3 2 6 4 2 2" xfId="16136" xr:uid="{00000000-0005-0000-0000-000011000000}"/>
    <cellStyle name="Normal 2 3 2 6 4 3" xfId="12056" xr:uid="{00000000-0005-0000-0000-000011000000}"/>
    <cellStyle name="Normal 2 3 2 6 5" xfId="4915" xr:uid="{00000000-0005-0000-0000-000011000000}"/>
    <cellStyle name="Normal 2 3 2 6 5 2" xfId="13076" xr:uid="{00000000-0005-0000-0000-000011000000}"/>
    <cellStyle name="Normal 2 3 2 6 6" xfId="8996" xr:uid="{00000000-0005-0000-0000-000011000000}"/>
    <cellStyle name="Normal 2 3 2 7" xfId="426" xr:uid="{00000000-0005-0000-0000-000011000000}"/>
    <cellStyle name="Normal 2 3 2 7 2" xfId="2467" xr:uid="{00000000-0005-0000-0000-000011000000}"/>
    <cellStyle name="Normal 2 3 2 7 2 2" xfId="6548" xr:uid="{00000000-0005-0000-0000-000011000000}"/>
    <cellStyle name="Normal 2 3 2 7 2 2 2" xfId="14708" xr:uid="{00000000-0005-0000-0000-000011000000}"/>
    <cellStyle name="Normal 2 3 2 7 2 3" xfId="10628" xr:uid="{00000000-0005-0000-0000-000011000000}"/>
    <cellStyle name="Normal 2 3 2 7 3" xfId="1447" xr:uid="{00000000-0005-0000-0000-000011000000}"/>
    <cellStyle name="Normal 2 3 2 7 3 2" xfId="5528" xr:uid="{00000000-0005-0000-0000-000011000000}"/>
    <cellStyle name="Normal 2 3 2 7 3 2 2" xfId="13688" xr:uid="{00000000-0005-0000-0000-000011000000}"/>
    <cellStyle name="Normal 2 3 2 7 3 3" xfId="9608" xr:uid="{00000000-0005-0000-0000-000011000000}"/>
    <cellStyle name="Normal 2 3 2 7 4" xfId="3487" xr:uid="{00000000-0005-0000-0000-000011000000}"/>
    <cellStyle name="Normal 2 3 2 7 4 2" xfId="7568" xr:uid="{00000000-0005-0000-0000-000011000000}"/>
    <cellStyle name="Normal 2 3 2 7 4 2 2" xfId="15728" xr:uid="{00000000-0005-0000-0000-000011000000}"/>
    <cellStyle name="Normal 2 3 2 7 4 3" xfId="11648" xr:uid="{00000000-0005-0000-0000-000011000000}"/>
    <cellStyle name="Normal 2 3 2 7 5" xfId="4507" xr:uid="{00000000-0005-0000-0000-000011000000}"/>
    <cellStyle name="Normal 2 3 2 7 5 2" xfId="12668" xr:uid="{00000000-0005-0000-0000-000011000000}"/>
    <cellStyle name="Normal 2 3 2 7 6" xfId="8588" xr:uid="{00000000-0005-0000-0000-000011000000}"/>
    <cellStyle name="Normal 2 3 2 8" xfId="2059" xr:uid="{00000000-0005-0000-0000-000011000000}"/>
    <cellStyle name="Normal 2 3 2 8 2" xfId="6140" xr:uid="{00000000-0005-0000-0000-000011000000}"/>
    <cellStyle name="Normal 2 3 2 8 2 2" xfId="14300" xr:uid="{00000000-0005-0000-0000-000011000000}"/>
    <cellStyle name="Normal 2 3 2 8 3" xfId="10220" xr:uid="{00000000-0005-0000-0000-000011000000}"/>
    <cellStyle name="Normal 2 3 2 9" xfId="1039" xr:uid="{00000000-0005-0000-0000-000011000000}"/>
    <cellStyle name="Normal 2 3 2 9 2" xfId="5120" xr:uid="{00000000-0005-0000-0000-000011000000}"/>
    <cellStyle name="Normal 2 3 2 9 2 2" xfId="13280" xr:uid="{00000000-0005-0000-0000-000011000000}"/>
    <cellStyle name="Normal 2 3 2 9 3" xfId="9200" xr:uid="{00000000-0005-0000-0000-000011000000}"/>
    <cellStyle name="Normal 2 3 3" xfId="23" xr:uid="{00000000-0005-0000-0000-000013000000}"/>
    <cellStyle name="Normal 2 3 3 10" xfId="3087" xr:uid="{00000000-0005-0000-0000-000013000000}"/>
    <cellStyle name="Normal 2 3 3 10 2" xfId="7168" xr:uid="{00000000-0005-0000-0000-000013000000}"/>
    <cellStyle name="Normal 2 3 3 10 2 2" xfId="15328" xr:uid="{00000000-0005-0000-0000-000013000000}"/>
    <cellStyle name="Normal 2 3 3 10 3" xfId="11248" xr:uid="{00000000-0005-0000-0000-000013000000}"/>
    <cellStyle name="Normal 2 3 3 11" xfId="4107" xr:uid="{00000000-0005-0000-0000-000013000000}"/>
    <cellStyle name="Normal 2 3 3 11 2" xfId="12268" xr:uid="{00000000-0005-0000-0000-000013000000}"/>
    <cellStyle name="Normal 2 3 3 12" xfId="8188" xr:uid="{00000000-0005-0000-0000-000013000000}"/>
    <cellStyle name="Normal 2 3 3 2" xfId="51" xr:uid="{00000000-0005-0000-0000-000014000000}"/>
    <cellStyle name="Normal 2 3 3 2 10" xfId="4132" xr:uid="{00000000-0005-0000-0000-000014000000}"/>
    <cellStyle name="Normal 2 3 3 2 10 2" xfId="12293" xr:uid="{00000000-0005-0000-0000-000014000000}"/>
    <cellStyle name="Normal 2 3 3 2 11" xfId="8213" xr:uid="{00000000-0005-0000-0000-000014000000}"/>
    <cellStyle name="Normal 2 3 3 2 2" xfId="102" xr:uid="{00000000-0005-0000-0000-000014000000}"/>
    <cellStyle name="Normal 2 3 3 2 2 10" xfId="8264" xr:uid="{00000000-0005-0000-0000-000014000000}"/>
    <cellStyle name="Normal 2 3 3 2 2 2" xfId="204" xr:uid="{00000000-0005-0000-0000-000014000000}"/>
    <cellStyle name="Normal 2 3 3 2 2 2 2" xfId="408" xr:uid="{00000000-0005-0000-0000-000014000000}"/>
    <cellStyle name="Normal 2 3 3 2 2 2 2 2" xfId="816" xr:uid="{00000000-0005-0000-0000-000014000000}"/>
    <cellStyle name="Normal 2 3 3 2 2 2 2 2 2" xfId="2857" xr:uid="{00000000-0005-0000-0000-000014000000}"/>
    <cellStyle name="Normal 2 3 3 2 2 2 2 2 2 2" xfId="6938" xr:uid="{00000000-0005-0000-0000-000014000000}"/>
    <cellStyle name="Normal 2 3 3 2 2 2 2 2 2 2 2" xfId="15098" xr:uid="{00000000-0005-0000-0000-000014000000}"/>
    <cellStyle name="Normal 2 3 3 2 2 2 2 2 2 3" xfId="11018" xr:uid="{00000000-0005-0000-0000-000014000000}"/>
    <cellStyle name="Normal 2 3 3 2 2 2 2 2 3" xfId="1837" xr:uid="{00000000-0005-0000-0000-000014000000}"/>
    <cellStyle name="Normal 2 3 3 2 2 2 2 2 3 2" xfId="5918" xr:uid="{00000000-0005-0000-0000-000014000000}"/>
    <cellStyle name="Normal 2 3 3 2 2 2 2 2 3 2 2" xfId="14078" xr:uid="{00000000-0005-0000-0000-000014000000}"/>
    <cellStyle name="Normal 2 3 3 2 2 2 2 2 3 3" xfId="9998" xr:uid="{00000000-0005-0000-0000-000014000000}"/>
    <cellStyle name="Normal 2 3 3 2 2 2 2 2 4" xfId="3877" xr:uid="{00000000-0005-0000-0000-000014000000}"/>
    <cellStyle name="Normal 2 3 3 2 2 2 2 2 4 2" xfId="7958" xr:uid="{00000000-0005-0000-0000-000014000000}"/>
    <cellStyle name="Normal 2 3 3 2 2 2 2 2 4 2 2" xfId="16118" xr:uid="{00000000-0005-0000-0000-000014000000}"/>
    <cellStyle name="Normal 2 3 3 2 2 2 2 2 4 3" xfId="12038" xr:uid="{00000000-0005-0000-0000-000014000000}"/>
    <cellStyle name="Normal 2 3 3 2 2 2 2 2 5" xfId="4897" xr:uid="{00000000-0005-0000-0000-000014000000}"/>
    <cellStyle name="Normal 2 3 3 2 2 2 2 2 5 2" xfId="13058" xr:uid="{00000000-0005-0000-0000-000014000000}"/>
    <cellStyle name="Normal 2 3 3 2 2 2 2 2 6" xfId="8978" xr:uid="{00000000-0005-0000-0000-000014000000}"/>
    <cellStyle name="Normal 2 3 3 2 2 2 2 3" xfId="2449" xr:uid="{00000000-0005-0000-0000-000014000000}"/>
    <cellStyle name="Normal 2 3 3 2 2 2 2 3 2" xfId="6530" xr:uid="{00000000-0005-0000-0000-000014000000}"/>
    <cellStyle name="Normal 2 3 3 2 2 2 2 3 2 2" xfId="14690" xr:uid="{00000000-0005-0000-0000-000014000000}"/>
    <cellStyle name="Normal 2 3 3 2 2 2 2 3 3" xfId="10610" xr:uid="{00000000-0005-0000-0000-000014000000}"/>
    <cellStyle name="Normal 2 3 3 2 2 2 2 4" xfId="1429" xr:uid="{00000000-0005-0000-0000-000014000000}"/>
    <cellStyle name="Normal 2 3 3 2 2 2 2 4 2" xfId="5510" xr:uid="{00000000-0005-0000-0000-000014000000}"/>
    <cellStyle name="Normal 2 3 3 2 2 2 2 4 2 2" xfId="13670" xr:uid="{00000000-0005-0000-0000-000014000000}"/>
    <cellStyle name="Normal 2 3 3 2 2 2 2 4 3" xfId="9590" xr:uid="{00000000-0005-0000-0000-000014000000}"/>
    <cellStyle name="Normal 2 3 3 2 2 2 2 5" xfId="3469" xr:uid="{00000000-0005-0000-0000-000014000000}"/>
    <cellStyle name="Normal 2 3 3 2 2 2 2 5 2" xfId="7550" xr:uid="{00000000-0005-0000-0000-000014000000}"/>
    <cellStyle name="Normal 2 3 3 2 2 2 2 5 2 2" xfId="15710" xr:uid="{00000000-0005-0000-0000-000014000000}"/>
    <cellStyle name="Normal 2 3 3 2 2 2 2 5 3" xfId="11630" xr:uid="{00000000-0005-0000-0000-000014000000}"/>
    <cellStyle name="Normal 2 3 3 2 2 2 2 6" xfId="4489" xr:uid="{00000000-0005-0000-0000-000014000000}"/>
    <cellStyle name="Normal 2 3 3 2 2 2 2 6 2" xfId="12650" xr:uid="{00000000-0005-0000-0000-000014000000}"/>
    <cellStyle name="Normal 2 3 3 2 2 2 2 7" xfId="8570" xr:uid="{00000000-0005-0000-0000-000014000000}"/>
    <cellStyle name="Normal 2 3 3 2 2 2 3" xfId="1020" xr:uid="{00000000-0005-0000-0000-000014000000}"/>
    <cellStyle name="Normal 2 3 3 2 2 2 3 2" xfId="3061" xr:uid="{00000000-0005-0000-0000-000014000000}"/>
    <cellStyle name="Normal 2 3 3 2 2 2 3 2 2" xfId="7142" xr:uid="{00000000-0005-0000-0000-000014000000}"/>
    <cellStyle name="Normal 2 3 3 2 2 2 3 2 2 2" xfId="15302" xr:uid="{00000000-0005-0000-0000-000014000000}"/>
    <cellStyle name="Normal 2 3 3 2 2 2 3 2 3" xfId="11222" xr:uid="{00000000-0005-0000-0000-000014000000}"/>
    <cellStyle name="Normal 2 3 3 2 2 2 3 3" xfId="2041" xr:uid="{00000000-0005-0000-0000-000014000000}"/>
    <cellStyle name="Normal 2 3 3 2 2 2 3 3 2" xfId="6122" xr:uid="{00000000-0005-0000-0000-000014000000}"/>
    <cellStyle name="Normal 2 3 3 2 2 2 3 3 2 2" xfId="14282" xr:uid="{00000000-0005-0000-0000-000014000000}"/>
    <cellStyle name="Normal 2 3 3 2 2 2 3 3 3" xfId="10202" xr:uid="{00000000-0005-0000-0000-000014000000}"/>
    <cellStyle name="Normal 2 3 3 2 2 2 3 4" xfId="4081" xr:uid="{00000000-0005-0000-0000-000014000000}"/>
    <cellStyle name="Normal 2 3 3 2 2 2 3 4 2" xfId="8162" xr:uid="{00000000-0005-0000-0000-000014000000}"/>
    <cellStyle name="Normal 2 3 3 2 2 2 3 4 2 2" xfId="16322" xr:uid="{00000000-0005-0000-0000-000014000000}"/>
    <cellStyle name="Normal 2 3 3 2 2 2 3 4 3" xfId="12242" xr:uid="{00000000-0005-0000-0000-000014000000}"/>
    <cellStyle name="Normal 2 3 3 2 2 2 3 5" xfId="5101" xr:uid="{00000000-0005-0000-0000-000014000000}"/>
    <cellStyle name="Normal 2 3 3 2 2 2 3 5 2" xfId="13262" xr:uid="{00000000-0005-0000-0000-000014000000}"/>
    <cellStyle name="Normal 2 3 3 2 2 2 3 6" xfId="9182" xr:uid="{00000000-0005-0000-0000-000014000000}"/>
    <cellStyle name="Normal 2 3 3 2 2 2 4" xfId="612" xr:uid="{00000000-0005-0000-0000-000014000000}"/>
    <cellStyle name="Normal 2 3 3 2 2 2 4 2" xfId="2653" xr:uid="{00000000-0005-0000-0000-000014000000}"/>
    <cellStyle name="Normal 2 3 3 2 2 2 4 2 2" xfId="6734" xr:uid="{00000000-0005-0000-0000-000014000000}"/>
    <cellStyle name="Normal 2 3 3 2 2 2 4 2 2 2" xfId="14894" xr:uid="{00000000-0005-0000-0000-000014000000}"/>
    <cellStyle name="Normal 2 3 3 2 2 2 4 2 3" xfId="10814" xr:uid="{00000000-0005-0000-0000-000014000000}"/>
    <cellStyle name="Normal 2 3 3 2 2 2 4 3" xfId="1633" xr:uid="{00000000-0005-0000-0000-000014000000}"/>
    <cellStyle name="Normal 2 3 3 2 2 2 4 3 2" xfId="5714" xr:uid="{00000000-0005-0000-0000-000014000000}"/>
    <cellStyle name="Normal 2 3 3 2 2 2 4 3 2 2" xfId="13874" xr:uid="{00000000-0005-0000-0000-000014000000}"/>
    <cellStyle name="Normal 2 3 3 2 2 2 4 3 3" xfId="9794" xr:uid="{00000000-0005-0000-0000-000014000000}"/>
    <cellStyle name="Normal 2 3 3 2 2 2 4 4" xfId="3673" xr:uid="{00000000-0005-0000-0000-000014000000}"/>
    <cellStyle name="Normal 2 3 3 2 2 2 4 4 2" xfId="7754" xr:uid="{00000000-0005-0000-0000-000014000000}"/>
    <cellStyle name="Normal 2 3 3 2 2 2 4 4 2 2" xfId="15914" xr:uid="{00000000-0005-0000-0000-000014000000}"/>
    <cellStyle name="Normal 2 3 3 2 2 2 4 4 3" xfId="11834" xr:uid="{00000000-0005-0000-0000-000014000000}"/>
    <cellStyle name="Normal 2 3 3 2 2 2 4 5" xfId="4693" xr:uid="{00000000-0005-0000-0000-000014000000}"/>
    <cellStyle name="Normal 2 3 3 2 2 2 4 5 2" xfId="12854" xr:uid="{00000000-0005-0000-0000-000014000000}"/>
    <cellStyle name="Normal 2 3 3 2 2 2 4 6" xfId="8774" xr:uid="{00000000-0005-0000-0000-000014000000}"/>
    <cellStyle name="Normal 2 3 3 2 2 2 5" xfId="2245" xr:uid="{00000000-0005-0000-0000-000014000000}"/>
    <cellStyle name="Normal 2 3 3 2 2 2 5 2" xfId="6326" xr:uid="{00000000-0005-0000-0000-000014000000}"/>
    <cellStyle name="Normal 2 3 3 2 2 2 5 2 2" xfId="14486" xr:uid="{00000000-0005-0000-0000-000014000000}"/>
    <cellStyle name="Normal 2 3 3 2 2 2 5 3" xfId="10406" xr:uid="{00000000-0005-0000-0000-000014000000}"/>
    <cellStyle name="Normal 2 3 3 2 2 2 6" xfId="1225" xr:uid="{00000000-0005-0000-0000-000014000000}"/>
    <cellStyle name="Normal 2 3 3 2 2 2 6 2" xfId="5306" xr:uid="{00000000-0005-0000-0000-000014000000}"/>
    <cellStyle name="Normal 2 3 3 2 2 2 6 2 2" xfId="13466" xr:uid="{00000000-0005-0000-0000-000014000000}"/>
    <cellStyle name="Normal 2 3 3 2 2 2 6 3" xfId="9386" xr:uid="{00000000-0005-0000-0000-000014000000}"/>
    <cellStyle name="Normal 2 3 3 2 2 2 7" xfId="3265" xr:uid="{00000000-0005-0000-0000-000014000000}"/>
    <cellStyle name="Normal 2 3 3 2 2 2 7 2" xfId="7346" xr:uid="{00000000-0005-0000-0000-000014000000}"/>
    <cellStyle name="Normal 2 3 3 2 2 2 7 2 2" xfId="15506" xr:uid="{00000000-0005-0000-0000-000014000000}"/>
    <cellStyle name="Normal 2 3 3 2 2 2 7 3" xfId="11426" xr:uid="{00000000-0005-0000-0000-000014000000}"/>
    <cellStyle name="Normal 2 3 3 2 2 2 8" xfId="4285" xr:uid="{00000000-0005-0000-0000-000014000000}"/>
    <cellStyle name="Normal 2 3 3 2 2 2 8 2" xfId="12446" xr:uid="{00000000-0005-0000-0000-000014000000}"/>
    <cellStyle name="Normal 2 3 3 2 2 2 9" xfId="8366" xr:uid="{00000000-0005-0000-0000-000014000000}"/>
    <cellStyle name="Normal 2 3 3 2 2 3" xfId="306" xr:uid="{00000000-0005-0000-0000-000014000000}"/>
    <cellStyle name="Normal 2 3 3 2 2 3 2" xfId="714" xr:uid="{00000000-0005-0000-0000-000014000000}"/>
    <cellStyle name="Normal 2 3 3 2 2 3 2 2" xfId="2755" xr:uid="{00000000-0005-0000-0000-000014000000}"/>
    <cellStyle name="Normal 2 3 3 2 2 3 2 2 2" xfId="6836" xr:uid="{00000000-0005-0000-0000-000014000000}"/>
    <cellStyle name="Normal 2 3 3 2 2 3 2 2 2 2" xfId="14996" xr:uid="{00000000-0005-0000-0000-000014000000}"/>
    <cellStyle name="Normal 2 3 3 2 2 3 2 2 3" xfId="10916" xr:uid="{00000000-0005-0000-0000-000014000000}"/>
    <cellStyle name="Normal 2 3 3 2 2 3 2 3" xfId="1735" xr:uid="{00000000-0005-0000-0000-000014000000}"/>
    <cellStyle name="Normal 2 3 3 2 2 3 2 3 2" xfId="5816" xr:uid="{00000000-0005-0000-0000-000014000000}"/>
    <cellStyle name="Normal 2 3 3 2 2 3 2 3 2 2" xfId="13976" xr:uid="{00000000-0005-0000-0000-000014000000}"/>
    <cellStyle name="Normal 2 3 3 2 2 3 2 3 3" xfId="9896" xr:uid="{00000000-0005-0000-0000-000014000000}"/>
    <cellStyle name="Normal 2 3 3 2 2 3 2 4" xfId="3775" xr:uid="{00000000-0005-0000-0000-000014000000}"/>
    <cellStyle name="Normal 2 3 3 2 2 3 2 4 2" xfId="7856" xr:uid="{00000000-0005-0000-0000-000014000000}"/>
    <cellStyle name="Normal 2 3 3 2 2 3 2 4 2 2" xfId="16016" xr:uid="{00000000-0005-0000-0000-000014000000}"/>
    <cellStyle name="Normal 2 3 3 2 2 3 2 4 3" xfId="11936" xr:uid="{00000000-0005-0000-0000-000014000000}"/>
    <cellStyle name="Normal 2 3 3 2 2 3 2 5" xfId="4795" xr:uid="{00000000-0005-0000-0000-000014000000}"/>
    <cellStyle name="Normal 2 3 3 2 2 3 2 5 2" xfId="12956" xr:uid="{00000000-0005-0000-0000-000014000000}"/>
    <cellStyle name="Normal 2 3 3 2 2 3 2 6" xfId="8876" xr:uid="{00000000-0005-0000-0000-000014000000}"/>
    <cellStyle name="Normal 2 3 3 2 2 3 3" xfId="2347" xr:uid="{00000000-0005-0000-0000-000014000000}"/>
    <cellStyle name="Normal 2 3 3 2 2 3 3 2" xfId="6428" xr:uid="{00000000-0005-0000-0000-000014000000}"/>
    <cellStyle name="Normal 2 3 3 2 2 3 3 2 2" xfId="14588" xr:uid="{00000000-0005-0000-0000-000014000000}"/>
    <cellStyle name="Normal 2 3 3 2 2 3 3 3" xfId="10508" xr:uid="{00000000-0005-0000-0000-000014000000}"/>
    <cellStyle name="Normal 2 3 3 2 2 3 4" xfId="1327" xr:uid="{00000000-0005-0000-0000-000014000000}"/>
    <cellStyle name="Normal 2 3 3 2 2 3 4 2" xfId="5408" xr:uid="{00000000-0005-0000-0000-000014000000}"/>
    <cellStyle name="Normal 2 3 3 2 2 3 4 2 2" xfId="13568" xr:uid="{00000000-0005-0000-0000-000014000000}"/>
    <cellStyle name="Normal 2 3 3 2 2 3 4 3" xfId="9488" xr:uid="{00000000-0005-0000-0000-000014000000}"/>
    <cellStyle name="Normal 2 3 3 2 2 3 5" xfId="3367" xr:uid="{00000000-0005-0000-0000-000014000000}"/>
    <cellStyle name="Normal 2 3 3 2 2 3 5 2" xfId="7448" xr:uid="{00000000-0005-0000-0000-000014000000}"/>
    <cellStyle name="Normal 2 3 3 2 2 3 5 2 2" xfId="15608" xr:uid="{00000000-0005-0000-0000-000014000000}"/>
    <cellStyle name="Normal 2 3 3 2 2 3 5 3" xfId="11528" xr:uid="{00000000-0005-0000-0000-000014000000}"/>
    <cellStyle name="Normal 2 3 3 2 2 3 6" xfId="4387" xr:uid="{00000000-0005-0000-0000-000014000000}"/>
    <cellStyle name="Normal 2 3 3 2 2 3 6 2" xfId="12548" xr:uid="{00000000-0005-0000-0000-000014000000}"/>
    <cellStyle name="Normal 2 3 3 2 2 3 7" xfId="8468" xr:uid="{00000000-0005-0000-0000-000014000000}"/>
    <cellStyle name="Normal 2 3 3 2 2 4" xfId="918" xr:uid="{00000000-0005-0000-0000-000014000000}"/>
    <cellStyle name="Normal 2 3 3 2 2 4 2" xfId="2959" xr:uid="{00000000-0005-0000-0000-000014000000}"/>
    <cellStyle name="Normal 2 3 3 2 2 4 2 2" xfId="7040" xr:uid="{00000000-0005-0000-0000-000014000000}"/>
    <cellStyle name="Normal 2 3 3 2 2 4 2 2 2" xfId="15200" xr:uid="{00000000-0005-0000-0000-000014000000}"/>
    <cellStyle name="Normal 2 3 3 2 2 4 2 3" xfId="11120" xr:uid="{00000000-0005-0000-0000-000014000000}"/>
    <cellStyle name="Normal 2 3 3 2 2 4 3" xfId="1939" xr:uid="{00000000-0005-0000-0000-000014000000}"/>
    <cellStyle name="Normal 2 3 3 2 2 4 3 2" xfId="6020" xr:uid="{00000000-0005-0000-0000-000014000000}"/>
    <cellStyle name="Normal 2 3 3 2 2 4 3 2 2" xfId="14180" xr:uid="{00000000-0005-0000-0000-000014000000}"/>
    <cellStyle name="Normal 2 3 3 2 2 4 3 3" xfId="10100" xr:uid="{00000000-0005-0000-0000-000014000000}"/>
    <cellStyle name="Normal 2 3 3 2 2 4 4" xfId="3979" xr:uid="{00000000-0005-0000-0000-000014000000}"/>
    <cellStyle name="Normal 2 3 3 2 2 4 4 2" xfId="8060" xr:uid="{00000000-0005-0000-0000-000014000000}"/>
    <cellStyle name="Normal 2 3 3 2 2 4 4 2 2" xfId="16220" xr:uid="{00000000-0005-0000-0000-000014000000}"/>
    <cellStyle name="Normal 2 3 3 2 2 4 4 3" xfId="12140" xr:uid="{00000000-0005-0000-0000-000014000000}"/>
    <cellStyle name="Normal 2 3 3 2 2 4 5" xfId="4999" xr:uid="{00000000-0005-0000-0000-000014000000}"/>
    <cellStyle name="Normal 2 3 3 2 2 4 5 2" xfId="13160" xr:uid="{00000000-0005-0000-0000-000014000000}"/>
    <cellStyle name="Normal 2 3 3 2 2 4 6" xfId="9080" xr:uid="{00000000-0005-0000-0000-000014000000}"/>
    <cellStyle name="Normal 2 3 3 2 2 5" xfId="510" xr:uid="{00000000-0005-0000-0000-000014000000}"/>
    <cellStyle name="Normal 2 3 3 2 2 5 2" xfId="2551" xr:uid="{00000000-0005-0000-0000-000014000000}"/>
    <cellStyle name="Normal 2 3 3 2 2 5 2 2" xfId="6632" xr:uid="{00000000-0005-0000-0000-000014000000}"/>
    <cellStyle name="Normal 2 3 3 2 2 5 2 2 2" xfId="14792" xr:uid="{00000000-0005-0000-0000-000014000000}"/>
    <cellStyle name="Normal 2 3 3 2 2 5 2 3" xfId="10712" xr:uid="{00000000-0005-0000-0000-000014000000}"/>
    <cellStyle name="Normal 2 3 3 2 2 5 3" xfId="1531" xr:uid="{00000000-0005-0000-0000-000014000000}"/>
    <cellStyle name="Normal 2 3 3 2 2 5 3 2" xfId="5612" xr:uid="{00000000-0005-0000-0000-000014000000}"/>
    <cellStyle name="Normal 2 3 3 2 2 5 3 2 2" xfId="13772" xr:uid="{00000000-0005-0000-0000-000014000000}"/>
    <cellStyle name="Normal 2 3 3 2 2 5 3 3" xfId="9692" xr:uid="{00000000-0005-0000-0000-000014000000}"/>
    <cellStyle name="Normal 2 3 3 2 2 5 4" xfId="3571" xr:uid="{00000000-0005-0000-0000-000014000000}"/>
    <cellStyle name="Normal 2 3 3 2 2 5 4 2" xfId="7652" xr:uid="{00000000-0005-0000-0000-000014000000}"/>
    <cellStyle name="Normal 2 3 3 2 2 5 4 2 2" xfId="15812" xr:uid="{00000000-0005-0000-0000-000014000000}"/>
    <cellStyle name="Normal 2 3 3 2 2 5 4 3" xfId="11732" xr:uid="{00000000-0005-0000-0000-000014000000}"/>
    <cellStyle name="Normal 2 3 3 2 2 5 5" xfId="4591" xr:uid="{00000000-0005-0000-0000-000014000000}"/>
    <cellStyle name="Normal 2 3 3 2 2 5 5 2" xfId="12752" xr:uid="{00000000-0005-0000-0000-000014000000}"/>
    <cellStyle name="Normal 2 3 3 2 2 5 6" xfId="8672" xr:uid="{00000000-0005-0000-0000-000014000000}"/>
    <cellStyle name="Normal 2 3 3 2 2 6" xfId="2143" xr:uid="{00000000-0005-0000-0000-000014000000}"/>
    <cellStyle name="Normal 2 3 3 2 2 6 2" xfId="6224" xr:uid="{00000000-0005-0000-0000-000014000000}"/>
    <cellStyle name="Normal 2 3 3 2 2 6 2 2" xfId="14384" xr:uid="{00000000-0005-0000-0000-000014000000}"/>
    <cellStyle name="Normal 2 3 3 2 2 6 3" xfId="10304" xr:uid="{00000000-0005-0000-0000-000014000000}"/>
    <cellStyle name="Normal 2 3 3 2 2 7" xfId="1123" xr:uid="{00000000-0005-0000-0000-000014000000}"/>
    <cellStyle name="Normal 2 3 3 2 2 7 2" xfId="5204" xr:uid="{00000000-0005-0000-0000-000014000000}"/>
    <cellStyle name="Normal 2 3 3 2 2 7 2 2" xfId="13364" xr:uid="{00000000-0005-0000-0000-000014000000}"/>
    <cellStyle name="Normal 2 3 3 2 2 7 3" xfId="9284" xr:uid="{00000000-0005-0000-0000-000014000000}"/>
    <cellStyle name="Normal 2 3 3 2 2 8" xfId="3163" xr:uid="{00000000-0005-0000-0000-000014000000}"/>
    <cellStyle name="Normal 2 3 3 2 2 8 2" xfId="7244" xr:uid="{00000000-0005-0000-0000-000014000000}"/>
    <cellStyle name="Normal 2 3 3 2 2 8 2 2" xfId="15404" xr:uid="{00000000-0005-0000-0000-000014000000}"/>
    <cellStyle name="Normal 2 3 3 2 2 8 3" xfId="11324" xr:uid="{00000000-0005-0000-0000-000014000000}"/>
    <cellStyle name="Normal 2 3 3 2 2 9" xfId="4183" xr:uid="{00000000-0005-0000-0000-000014000000}"/>
    <cellStyle name="Normal 2 3 3 2 2 9 2" xfId="12344" xr:uid="{00000000-0005-0000-0000-000014000000}"/>
    <cellStyle name="Normal 2 3 3 2 3" xfId="153" xr:uid="{00000000-0005-0000-0000-000014000000}"/>
    <cellStyle name="Normal 2 3 3 2 3 2" xfId="357" xr:uid="{00000000-0005-0000-0000-000014000000}"/>
    <cellStyle name="Normal 2 3 3 2 3 2 2" xfId="765" xr:uid="{00000000-0005-0000-0000-000014000000}"/>
    <cellStyle name="Normal 2 3 3 2 3 2 2 2" xfId="2806" xr:uid="{00000000-0005-0000-0000-000014000000}"/>
    <cellStyle name="Normal 2 3 3 2 3 2 2 2 2" xfId="6887" xr:uid="{00000000-0005-0000-0000-000014000000}"/>
    <cellStyle name="Normal 2 3 3 2 3 2 2 2 2 2" xfId="15047" xr:uid="{00000000-0005-0000-0000-000014000000}"/>
    <cellStyle name="Normal 2 3 3 2 3 2 2 2 3" xfId="10967" xr:uid="{00000000-0005-0000-0000-000014000000}"/>
    <cellStyle name="Normal 2 3 3 2 3 2 2 3" xfId="1786" xr:uid="{00000000-0005-0000-0000-000014000000}"/>
    <cellStyle name="Normal 2 3 3 2 3 2 2 3 2" xfId="5867" xr:uid="{00000000-0005-0000-0000-000014000000}"/>
    <cellStyle name="Normal 2 3 3 2 3 2 2 3 2 2" xfId="14027" xr:uid="{00000000-0005-0000-0000-000014000000}"/>
    <cellStyle name="Normal 2 3 3 2 3 2 2 3 3" xfId="9947" xr:uid="{00000000-0005-0000-0000-000014000000}"/>
    <cellStyle name="Normal 2 3 3 2 3 2 2 4" xfId="3826" xr:uid="{00000000-0005-0000-0000-000014000000}"/>
    <cellStyle name="Normal 2 3 3 2 3 2 2 4 2" xfId="7907" xr:uid="{00000000-0005-0000-0000-000014000000}"/>
    <cellStyle name="Normal 2 3 3 2 3 2 2 4 2 2" xfId="16067" xr:uid="{00000000-0005-0000-0000-000014000000}"/>
    <cellStyle name="Normal 2 3 3 2 3 2 2 4 3" xfId="11987" xr:uid="{00000000-0005-0000-0000-000014000000}"/>
    <cellStyle name="Normal 2 3 3 2 3 2 2 5" xfId="4846" xr:uid="{00000000-0005-0000-0000-000014000000}"/>
    <cellStyle name="Normal 2 3 3 2 3 2 2 5 2" xfId="13007" xr:uid="{00000000-0005-0000-0000-000014000000}"/>
    <cellStyle name="Normal 2 3 3 2 3 2 2 6" xfId="8927" xr:uid="{00000000-0005-0000-0000-000014000000}"/>
    <cellStyle name="Normal 2 3 3 2 3 2 3" xfId="2398" xr:uid="{00000000-0005-0000-0000-000014000000}"/>
    <cellStyle name="Normal 2 3 3 2 3 2 3 2" xfId="6479" xr:uid="{00000000-0005-0000-0000-000014000000}"/>
    <cellStyle name="Normal 2 3 3 2 3 2 3 2 2" xfId="14639" xr:uid="{00000000-0005-0000-0000-000014000000}"/>
    <cellStyle name="Normal 2 3 3 2 3 2 3 3" xfId="10559" xr:uid="{00000000-0005-0000-0000-000014000000}"/>
    <cellStyle name="Normal 2 3 3 2 3 2 4" xfId="1378" xr:uid="{00000000-0005-0000-0000-000014000000}"/>
    <cellStyle name="Normal 2 3 3 2 3 2 4 2" xfId="5459" xr:uid="{00000000-0005-0000-0000-000014000000}"/>
    <cellStyle name="Normal 2 3 3 2 3 2 4 2 2" xfId="13619" xr:uid="{00000000-0005-0000-0000-000014000000}"/>
    <cellStyle name="Normal 2 3 3 2 3 2 4 3" xfId="9539" xr:uid="{00000000-0005-0000-0000-000014000000}"/>
    <cellStyle name="Normal 2 3 3 2 3 2 5" xfId="3418" xr:uid="{00000000-0005-0000-0000-000014000000}"/>
    <cellStyle name="Normal 2 3 3 2 3 2 5 2" xfId="7499" xr:uid="{00000000-0005-0000-0000-000014000000}"/>
    <cellStyle name="Normal 2 3 3 2 3 2 5 2 2" xfId="15659" xr:uid="{00000000-0005-0000-0000-000014000000}"/>
    <cellStyle name="Normal 2 3 3 2 3 2 5 3" xfId="11579" xr:uid="{00000000-0005-0000-0000-000014000000}"/>
    <cellStyle name="Normal 2 3 3 2 3 2 6" xfId="4438" xr:uid="{00000000-0005-0000-0000-000014000000}"/>
    <cellStyle name="Normal 2 3 3 2 3 2 6 2" xfId="12599" xr:uid="{00000000-0005-0000-0000-000014000000}"/>
    <cellStyle name="Normal 2 3 3 2 3 2 7" xfId="8519" xr:uid="{00000000-0005-0000-0000-000014000000}"/>
    <cellStyle name="Normal 2 3 3 2 3 3" xfId="969" xr:uid="{00000000-0005-0000-0000-000014000000}"/>
    <cellStyle name="Normal 2 3 3 2 3 3 2" xfId="3010" xr:uid="{00000000-0005-0000-0000-000014000000}"/>
    <cellStyle name="Normal 2 3 3 2 3 3 2 2" xfId="7091" xr:uid="{00000000-0005-0000-0000-000014000000}"/>
    <cellStyle name="Normal 2 3 3 2 3 3 2 2 2" xfId="15251" xr:uid="{00000000-0005-0000-0000-000014000000}"/>
    <cellStyle name="Normal 2 3 3 2 3 3 2 3" xfId="11171" xr:uid="{00000000-0005-0000-0000-000014000000}"/>
    <cellStyle name="Normal 2 3 3 2 3 3 3" xfId="1990" xr:uid="{00000000-0005-0000-0000-000014000000}"/>
    <cellStyle name="Normal 2 3 3 2 3 3 3 2" xfId="6071" xr:uid="{00000000-0005-0000-0000-000014000000}"/>
    <cellStyle name="Normal 2 3 3 2 3 3 3 2 2" xfId="14231" xr:uid="{00000000-0005-0000-0000-000014000000}"/>
    <cellStyle name="Normal 2 3 3 2 3 3 3 3" xfId="10151" xr:uid="{00000000-0005-0000-0000-000014000000}"/>
    <cellStyle name="Normal 2 3 3 2 3 3 4" xfId="4030" xr:uid="{00000000-0005-0000-0000-000014000000}"/>
    <cellStyle name="Normal 2 3 3 2 3 3 4 2" xfId="8111" xr:uid="{00000000-0005-0000-0000-000014000000}"/>
    <cellStyle name="Normal 2 3 3 2 3 3 4 2 2" xfId="16271" xr:uid="{00000000-0005-0000-0000-000014000000}"/>
    <cellStyle name="Normal 2 3 3 2 3 3 4 3" xfId="12191" xr:uid="{00000000-0005-0000-0000-000014000000}"/>
    <cellStyle name="Normal 2 3 3 2 3 3 5" xfId="5050" xr:uid="{00000000-0005-0000-0000-000014000000}"/>
    <cellStyle name="Normal 2 3 3 2 3 3 5 2" xfId="13211" xr:uid="{00000000-0005-0000-0000-000014000000}"/>
    <cellStyle name="Normal 2 3 3 2 3 3 6" xfId="9131" xr:uid="{00000000-0005-0000-0000-000014000000}"/>
    <cellStyle name="Normal 2 3 3 2 3 4" xfId="561" xr:uid="{00000000-0005-0000-0000-000014000000}"/>
    <cellStyle name="Normal 2 3 3 2 3 4 2" xfId="2602" xr:uid="{00000000-0005-0000-0000-000014000000}"/>
    <cellStyle name="Normal 2 3 3 2 3 4 2 2" xfId="6683" xr:uid="{00000000-0005-0000-0000-000014000000}"/>
    <cellStyle name="Normal 2 3 3 2 3 4 2 2 2" xfId="14843" xr:uid="{00000000-0005-0000-0000-000014000000}"/>
    <cellStyle name="Normal 2 3 3 2 3 4 2 3" xfId="10763" xr:uid="{00000000-0005-0000-0000-000014000000}"/>
    <cellStyle name="Normal 2 3 3 2 3 4 3" xfId="1582" xr:uid="{00000000-0005-0000-0000-000014000000}"/>
    <cellStyle name="Normal 2 3 3 2 3 4 3 2" xfId="5663" xr:uid="{00000000-0005-0000-0000-000014000000}"/>
    <cellStyle name="Normal 2 3 3 2 3 4 3 2 2" xfId="13823" xr:uid="{00000000-0005-0000-0000-000014000000}"/>
    <cellStyle name="Normal 2 3 3 2 3 4 3 3" xfId="9743" xr:uid="{00000000-0005-0000-0000-000014000000}"/>
    <cellStyle name="Normal 2 3 3 2 3 4 4" xfId="3622" xr:uid="{00000000-0005-0000-0000-000014000000}"/>
    <cellStyle name="Normal 2 3 3 2 3 4 4 2" xfId="7703" xr:uid="{00000000-0005-0000-0000-000014000000}"/>
    <cellStyle name="Normal 2 3 3 2 3 4 4 2 2" xfId="15863" xr:uid="{00000000-0005-0000-0000-000014000000}"/>
    <cellStyle name="Normal 2 3 3 2 3 4 4 3" xfId="11783" xr:uid="{00000000-0005-0000-0000-000014000000}"/>
    <cellStyle name="Normal 2 3 3 2 3 4 5" xfId="4642" xr:uid="{00000000-0005-0000-0000-000014000000}"/>
    <cellStyle name="Normal 2 3 3 2 3 4 5 2" xfId="12803" xr:uid="{00000000-0005-0000-0000-000014000000}"/>
    <cellStyle name="Normal 2 3 3 2 3 4 6" xfId="8723" xr:uid="{00000000-0005-0000-0000-000014000000}"/>
    <cellStyle name="Normal 2 3 3 2 3 5" xfId="2194" xr:uid="{00000000-0005-0000-0000-000014000000}"/>
    <cellStyle name="Normal 2 3 3 2 3 5 2" xfId="6275" xr:uid="{00000000-0005-0000-0000-000014000000}"/>
    <cellStyle name="Normal 2 3 3 2 3 5 2 2" xfId="14435" xr:uid="{00000000-0005-0000-0000-000014000000}"/>
    <cellStyle name="Normal 2 3 3 2 3 5 3" xfId="10355" xr:uid="{00000000-0005-0000-0000-000014000000}"/>
    <cellStyle name="Normal 2 3 3 2 3 6" xfId="1174" xr:uid="{00000000-0005-0000-0000-000014000000}"/>
    <cellStyle name="Normal 2 3 3 2 3 6 2" xfId="5255" xr:uid="{00000000-0005-0000-0000-000014000000}"/>
    <cellStyle name="Normal 2 3 3 2 3 6 2 2" xfId="13415" xr:uid="{00000000-0005-0000-0000-000014000000}"/>
    <cellStyle name="Normal 2 3 3 2 3 6 3" xfId="9335" xr:uid="{00000000-0005-0000-0000-000014000000}"/>
    <cellStyle name="Normal 2 3 3 2 3 7" xfId="3214" xr:uid="{00000000-0005-0000-0000-000014000000}"/>
    <cellStyle name="Normal 2 3 3 2 3 7 2" xfId="7295" xr:uid="{00000000-0005-0000-0000-000014000000}"/>
    <cellStyle name="Normal 2 3 3 2 3 7 2 2" xfId="15455" xr:uid="{00000000-0005-0000-0000-000014000000}"/>
    <cellStyle name="Normal 2 3 3 2 3 7 3" xfId="11375" xr:uid="{00000000-0005-0000-0000-000014000000}"/>
    <cellStyle name="Normal 2 3 3 2 3 8" xfId="4234" xr:uid="{00000000-0005-0000-0000-000014000000}"/>
    <cellStyle name="Normal 2 3 3 2 3 8 2" xfId="12395" xr:uid="{00000000-0005-0000-0000-000014000000}"/>
    <cellStyle name="Normal 2 3 3 2 3 9" xfId="8315" xr:uid="{00000000-0005-0000-0000-000014000000}"/>
    <cellStyle name="Normal 2 3 3 2 4" xfId="255" xr:uid="{00000000-0005-0000-0000-000014000000}"/>
    <cellStyle name="Normal 2 3 3 2 4 2" xfId="663" xr:uid="{00000000-0005-0000-0000-000014000000}"/>
    <cellStyle name="Normal 2 3 3 2 4 2 2" xfId="2704" xr:uid="{00000000-0005-0000-0000-000014000000}"/>
    <cellStyle name="Normal 2 3 3 2 4 2 2 2" xfId="6785" xr:uid="{00000000-0005-0000-0000-000014000000}"/>
    <cellStyle name="Normal 2 3 3 2 4 2 2 2 2" xfId="14945" xr:uid="{00000000-0005-0000-0000-000014000000}"/>
    <cellStyle name="Normal 2 3 3 2 4 2 2 3" xfId="10865" xr:uid="{00000000-0005-0000-0000-000014000000}"/>
    <cellStyle name="Normal 2 3 3 2 4 2 3" xfId="1684" xr:uid="{00000000-0005-0000-0000-000014000000}"/>
    <cellStyle name="Normal 2 3 3 2 4 2 3 2" xfId="5765" xr:uid="{00000000-0005-0000-0000-000014000000}"/>
    <cellStyle name="Normal 2 3 3 2 4 2 3 2 2" xfId="13925" xr:uid="{00000000-0005-0000-0000-000014000000}"/>
    <cellStyle name="Normal 2 3 3 2 4 2 3 3" xfId="9845" xr:uid="{00000000-0005-0000-0000-000014000000}"/>
    <cellStyle name="Normal 2 3 3 2 4 2 4" xfId="3724" xr:uid="{00000000-0005-0000-0000-000014000000}"/>
    <cellStyle name="Normal 2 3 3 2 4 2 4 2" xfId="7805" xr:uid="{00000000-0005-0000-0000-000014000000}"/>
    <cellStyle name="Normal 2 3 3 2 4 2 4 2 2" xfId="15965" xr:uid="{00000000-0005-0000-0000-000014000000}"/>
    <cellStyle name="Normal 2 3 3 2 4 2 4 3" xfId="11885" xr:uid="{00000000-0005-0000-0000-000014000000}"/>
    <cellStyle name="Normal 2 3 3 2 4 2 5" xfId="4744" xr:uid="{00000000-0005-0000-0000-000014000000}"/>
    <cellStyle name="Normal 2 3 3 2 4 2 5 2" xfId="12905" xr:uid="{00000000-0005-0000-0000-000014000000}"/>
    <cellStyle name="Normal 2 3 3 2 4 2 6" xfId="8825" xr:uid="{00000000-0005-0000-0000-000014000000}"/>
    <cellStyle name="Normal 2 3 3 2 4 3" xfId="2296" xr:uid="{00000000-0005-0000-0000-000014000000}"/>
    <cellStyle name="Normal 2 3 3 2 4 3 2" xfId="6377" xr:uid="{00000000-0005-0000-0000-000014000000}"/>
    <cellStyle name="Normal 2 3 3 2 4 3 2 2" xfId="14537" xr:uid="{00000000-0005-0000-0000-000014000000}"/>
    <cellStyle name="Normal 2 3 3 2 4 3 3" xfId="10457" xr:uid="{00000000-0005-0000-0000-000014000000}"/>
    <cellStyle name="Normal 2 3 3 2 4 4" xfId="1276" xr:uid="{00000000-0005-0000-0000-000014000000}"/>
    <cellStyle name="Normal 2 3 3 2 4 4 2" xfId="5357" xr:uid="{00000000-0005-0000-0000-000014000000}"/>
    <cellStyle name="Normal 2 3 3 2 4 4 2 2" xfId="13517" xr:uid="{00000000-0005-0000-0000-000014000000}"/>
    <cellStyle name="Normal 2 3 3 2 4 4 3" xfId="9437" xr:uid="{00000000-0005-0000-0000-000014000000}"/>
    <cellStyle name="Normal 2 3 3 2 4 5" xfId="3316" xr:uid="{00000000-0005-0000-0000-000014000000}"/>
    <cellStyle name="Normal 2 3 3 2 4 5 2" xfId="7397" xr:uid="{00000000-0005-0000-0000-000014000000}"/>
    <cellStyle name="Normal 2 3 3 2 4 5 2 2" xfId="15557" xr:uid="{00000000-0005-0000-0000-000014000000}"/>
    <cellStyle name="Normal 2 3 3 2 4 5 3" xfId="11477" xr:uid="{00000000-0005-0000-0000-000014000000}"/>
    <cellStyle name="Normal 2 3 3 2 4 6" xfId="4336" xr:uid="{00000000-0005-0000-0000-000014000000}"/>
    <cellStyle name="Normal 2 3 3 2 4 6 2" xfId="12497" xr:uid="{00000000-0005-0000-0000-000014000000}"/>
    <cellStyle name="Normal 2 3 3 2 4 7" xfId="8417" xr:uid="{00000000-0005-0000-0000-000014000000}"/>
    <cellStyle name="Normal 2 3 3 2 5" xfId="867" xr:uid="{00000000-0005-0000-0000-000014000000}"/>
    <cellStyle name="Normal 2 3 3 2 5 2" xfId="2908" xr:uid="{00000000-0005-0000-0000-000014000000}"/>
    <cellStyle name="Normal 2 3 3 2 5 2 2" xfId="6989" xr:uid="{00000000-0005-0000-0000-000014000000}"/>
    <cellStyle name="Normal 2 3 3 2 5 2 2 2" xfId="15149" xr:uid="{00000000-0005-0000-0000-000014000000}"/>
    <cellStyle name="Normal 2 3 3 2 5 2 3" xfId="11069" xr:uid="{00000000-0005-0000-0000-000014000000}"/>
    <cellStyle name="Normal 2 3 3 2 5 3" xfId="1888" xr:uid="{00000000-0005-0000-0000-000014000000}"/>
    <cellStyle name="Normal 2 3 3 2 5 3 2" xfId="5969" xr:uid="{00000000-0005-0000-0000-000014000000}"/>
    <cellStyle name="Normal 2 3 3 2 5 3 2 2" xfId="14129" xr:uid="{00000000-0005-0000-0000-000014000000}"/>
    <cellStyle name="Normal 2 3 3 2 5 3 3" xfId="10049" xr:uid="{00000000-0005-0000-0000-000014000000}"/>
    <cellStyle name="Normal 2 3 3 2 5 4" xfId="3928" xr:uid="{00000000-0005-0000-0000-000014000000}"/>
    <cellStyle name="Normal 2 3 3 2 5 4 2" xfId="8009" xr:uid="{00000000-0005-0000-0000-000014000000}"/>
    <cellStyle name="Normal 2 3 3 2 5 4 2 2" xfId="16169" xr:uid="{00000000-0005-0000-0000-000014000000}"/>
    <cellStyle name="Normal 2 3 3 2 5 4 3" xfId="12089" xr:uid="{00000000-0005-0000-0000-000014000000}"/>
    <cellStyle name="Normal 2 3 3 2 5 5" xfId="4948" xr:uid="{00000000-0005-0000-0000-000014000000}"/>
    <cellStyle name="Normal 2 3 3 2 5 5 2" xfId="13109" xr:uid="{00000000-0005-0000-0000-000014000000}"/>
    <cellStyle name="Normal 2 3 3 2 5 6" xfId="9029" xr:uid="{00000000-0005-0000-0000-000014000000}"/>
    <cellStyle name="Normal 2 3 3 2 6" xfId="459" xr:uid="{00000000-0005-0000-0000-000014000000}"/>
    <cellStyle name="Normal 2 3 3 2 6 2" xfId="2500" xr:uid="{00000000-0005-0000-0000-000014000000}"/>
    <cellStyle name="Normal 2 3 3 2 6 2 2" xfId="6581" xr:uid="{00000000-0005-0000-0000-000014000000}"/>
    <cellStyle name="Normal 2 3 3 2 6 2 2 2" xfId="14741" xr:uid="{00000000-0005-0000-0000-000014000000}"/>
    <cellStyle name="Normal 2 3 3 2 6 2 3" xfId="10661" xr:uid="{00000000-0005-0000-0000-000014000000}"/>
    <cellStyle name="Normal 2 3 3 2 6 3" xfId="1480" xr:uid="{00000000-0005-0000-0000-000014000000}"/>
    <cellStyle name="Normal 2 3 3 2 6 3 2" xfId="5561" xr:uid="{00000000-0005-0000-0000-000014000000}"/>
    <cellStyle name="Normal 2 3 3 2 6 3 2 2" xfId="13721" xr:uid="{00000000-0005-0000-0000-000014000000}"/>
    <cellStyle name="Normal 2 3 3 2 6 3 3" xfId="9641" xr:uid="{00000000-0005-0000-0000-000014000000}"/>
    <cellStyle name="Normal 2 3 3 2 6 4" xfId="3520" xr:uid="{00000000-0005-0000-0000-000014000000}"/>
    <cellStyle name="Normal 2 3 3 2 6 4 2" xfId="7601" xr:uid="{00000000-0005-0000-0000-000014000000}"/>
    <cellStyle name="Normal 2 3 3 2 6 4 2 2" xfId="15761" xr:uid="{00000000-0005-0000-0000-000014000000}"/>
    <cellStyle name="Normal 2 3 3 2 6 4 3" xfId="11681" xr:uid="{00000000-0005-0000-0000-000014000000}"/>
    <cellStyle name="Normal 2 3 3 2 6 5" xfId="4540" xr:uid="{00000000-0005-0000-0000-000014000000}"/>
    <cellStyle name="Normal 2 3 3 2 6 5 2" xfId="12701" xr:uid="{00000000-0005-0000-0000-000014000000}"/>
    <cellStyle name="Normal 2 3 3 2 6 6" xfId="8621" xr:uid="{00000000-0005-0000-0000-000014000000}"/>
    <cellStyle name="Normal 2 3 3 2 7" xfId="2092" xr:uid="{00000000-0005-0000-0000-000014000000}"/>
    <cellStyle name="Normal 2 3 3 2 7 2" xfId="6173" xr:uid="{00000000-0005-0000-0000-000014000000}"/>
    <cellStyle name="Normal 2 3 3 2 7 2 2" xfId="14333" xr:uid="{00000000-0005-0000-0000-000014000000}"/>
    <cellStyle name="Normal 2 3 3 2 7 3" xfId="10253" xr:uid="{00000000-0005-0000-0000-000014000000}"/>
    <cellStyle name="Normal 2 3 3 2 8" xfId="1072" xr:uid="{00000000-0005-0000-0000-000014000000}"/>
    <cellStyle name="Normal 2 3 3 2 8 2" xfId="5153" xr:uid="{00000000-0005-0000-0000-000014000000}"/>
    <cellStyle name="Normal 2 3 3 2 8 2 2" xfId="13313" xr:uid="{00000000-0005-0000-0000-000014000000}"/>
    <cellStyle name="Normal 2 3 3 2 8 3" xfId="9233" xr:uid="{00000000-0005-0000-0000-000014000000}"/>
    <cellStyle name="Normal 2 3 3 2 9" xfId="3112" xr:uid="{00000000-0005-0000-0000-000014000000}"/>
    <cellStyle name="Normal 2 3 3 2 9 2" xfId="7193" xr:uid="{00000000-0005-0000-0000-000014000000}"/>
    <cellStyle name="Normal 2 3 3 2 9 2 2" xfId="15353" xr:uid="{00000000-0005-0000-0000-000014000000}"/>
    <cellStyle name="Normal 2 3 3 2 9 3" xfId="11273" xr:uid="{00000000-0005-0000-0000-000014000000}"/>
    <cellStyle name="Normal 2 3 3 3" xfId="77" xr:uid="{00000000-0005-0000-0000-000013000000}"/>
    <cellStyle name="Normal 2 3 3 3 10" xfId="8239" xr:uid="{00000000-0005-0000-0000-000013000000}"/>
    <cellStyle name="Normal 2 3 3 3 2" xfId="179" xr:uid="{00000000-0005-0000-0000-000013000000}"/>
    <cellStyle name="Normal 2 3 3 3 2 2" xfId="383" xr:uid="{00000000-0005-0000-0000-000013000000}"/>
    <cellStyle name="Normal 2 3 3 3 2 2 2" xfId="791" xr:uid="{00000000-0005-0000-0000-000013000000}"/>
    <cellStyle name="Normal 2 3 3 3 2 2 2 2" xfId="2832" xr:uid="{00000000-0005-0000-0000-000013000000}"/>
    <cellStyle name="Normal 2 3 3 3 2 2 2 2 2" xfId="6913" xr:uid="{00000000-0005-0000-0000-000013000000}"/>
    <cellStyle name="Normal 2 3 3 3 2 2 2 2 2 2" xfId="15073" xr:uid="{00000000-0005-0000-0000-000013000000}"/>
    <cellStyle name="Normal 2 3 3 3 2 2 2 2 3" xfId="10993" xr:uid="{00000000-0005-0000-0000-000013000000}"/>
    <cellStyle name="Normal 2 3 3 3 2 2 2 3" xfId="1812" xr:uid="{00000000-0005-0000-0000-000013000000}"/>
    <cellStyle name="Normal 2 3 3 3 2 2 2 3 2" xfId="5893" xr:uid="{00000000-0005-0000-0000-000013000000}"/>
    <cellStyle name="Normal 2 3 3 3 2 2 2 3 2 2" xfId="14053" xr:uid="{00000000-0005-0000-0000-000013000000}"/>
    <cellStyle name="Normal 2 3 3 3 2 2 2 3 3" xfId="9973" xr:uid="{00000000-0005-0000-0000-000013000000}"/>
    <cellStyle name="Normal 2 3 3 3 2 2 2 4" xfId="3852" xr:uid="{00000000-0005-0000-0000-000013000000}"/>
    <cellStyle name="Normal 2 3 3 3 2 2 2 4 2" xfId="7933" xr:uid="{00000000-0005-0000-0000-000013000000}"/>
    <cellStyle name="Normal 2 3 3 3 2 2 2 4 2 2" xfId="16093" xr:uid="{00000000-0005-0000-0000-000013000000}"/>
    <cellStyle name="Normal 2 3 3 3 2 2 2 4 3" xfId="12013" xr:uid="{00000000-0005-0000-0000-000013000000}"/>
    <cellStyle name="Normal 2 3 3 3 2 2 2 5" xfId="4872" xr:uid="{00000000-0005-0000-0000-000013000000}"/>
    <cellStyle name="Normal 2 3 3 3 2 2 2 5 2" xfId="13033" xr:uid="{00000000-0005-0000-0000-000013000000}"/>
    <cellStyle name="Normal 2 3 3 3 2 2 2 6" xfId="8953" xr:uid="{00000000-0005-0000-0000-000013000000}"/>
    <cellStyle name="Normal 2 3 3 3 2 2 3" xfId="2424" xr:uid="{00000000-0005-0000-0000-000013000000}"/>
    <cellStyle name="Normal 2 3 3 3 2 2 3 2" xfId="6505" xr:uid="{00000000-0005-0000-0000-000013000000}"/>
    <cellStyle name="Normal 2 3 3 3 2 2 3 2 2" xfId="14665" xr:uid="{00000000-0005-0000-0000-000013000000}"/>
    <cellStyle name="Normal 2 3 3 3 2 2 3 3" xfId="10585" xr:uid="{00000000-0005-0000-0000-000013000000}"/>
    <cellStyle name="Normal 2 3 3 3 2 2 4" xfId="1404" xr:uid="{00000000-0005-0000-0000-000013000000}"/>
    <cellStyle name="Normal 2 3 3 3 2 2 4 2" xfId="5485" xr:uid="{00000000-0005-0000-0000-000013000000}"/>
    <cellStyle name="Normal 2 3 3 3 2 2 4 2 2" xfId="13645" xr:uid="{00000000-0005-0000-0000-000013000000}"/>
    <cellStyle name="Normal 2 3 3 3 2 2 4 3" xfId="9565" xr:uid="{00000000-0005-0000-0000-000013000000}"/>
    <cellStyle name="Normal 2 3 3 3 2 2 5" xfId="3444" xr:uid="{00000000-0005-0000-0000-000013000000}"/>
    <cellStyle name="Normal 2 3 3 3 2 2 5 2" xfId="7525" xr:uid="{00000000-0005-0000-0000-000013000000}"/>
    <cellStyle name="Normal 2 3 3 3 2 2 5 2 2" xfId="15685" xr:uid="{00000000-0005-0000-0000-000013000000}"/>
    <cellStyle name="Normal 2 3 3 3 2 2 5 3" xfId="11605" xr:uid="{00000000-0005-0000-0000-000013000000}"/>
    <cellStyle name="Normal 2 3 3 3 2 2 6" xfId="4464" xr:uid="{00000000-0005-0000-0000-000013000000}"/>
    <cellStyle name="Normal 2 3 3 3 2 2 6 2" xfId="12625" xr:uid="{00000000-0005-0000-0000-000013000000}"/>
    <cellStyle name="Normal 2 3 3 3 2 2 7" xfId="8545" xr:uid="{00000000-0005-0000-0000-000013000000}"/>
    <cellStyle name="Normal 2 3 3 3 2 3" xfId="995" xr:uid="{00000000-0005-0000-0000-000013000000}"/>
    <cellStyle name="Normal 2 3 3 3 2 3 2" xfId="3036" xr:uid="{00000000-0005-0000-0000-000013000000}"/>
    <cellStyle name="Normal 2 3 3 3 2 3 2 2" xfId="7117" xr:uid="{00000000-0005-0000-0000-000013000000}"/>
    <cellStyle name="Normal 2 3 3 3 2 3 2 2 2" xfId="15277" xr:uid="{00000000-0005-0000-0000-000013000000}"/>
    <cellStyle name="Normal 2 3 3 3 2 3 2 3" xfId="11197" xr:uid="{00000000-0005-0000-0000-000013000000}"/>
    <cellStyle name="Normal 2 3 3 3 2 3 3" xfId="2016" xr:uid="{00000000-0005-0000-0000-000013000000}"/>
    <cellStyle name="Normal 2 3 3 3 2 3 3 2" xfId="6097" xr:uid="{00000000-0005-0000-0000-000013000000}"/>
    <cellStyle name="Normal 2 3 3 3 2 3 3 2 2" xfId="14257" xr:uid="{00000000-0005-0000-0000-000013000000}"/>
    <cellStyle name="Normal 2 3 3 3 2 3 3 3" xfId="10177" xr:uid="{00000000-0005-0000-0000-000013000000}"/>
    <cellStyle name="Normal 2 3 3 3 2 3 4" xfId="4056" xr:uid="{00000000-0005-0000-0000-000013000000}"/>
    <cellStyle name="Normal 2 3 3 3 2 3 4 2" xfId="8137" xr:uid="{00000000-0005-0000-0000-000013000000}"/>
    <cellStyle name="Normal 2 3 3 3 2 3 4 2 2" xfId="16297" xr:uid="{00000000-0005-0000-0000-000013000000}"/>
    <cellStyle name="Normal 2 3 3 3 2 3 4 3" xfId="12217" xr:uid="{00000000-0005-0000-0000-000013000000}"/>
    <cellStyle name="Normal 2 3 3 3 2 3 5" xfId="5076" xr:uid="{00000000-0005-0000-0000-000013000000}"/>
    <cellStyle name="Normal 2 3 3 3 2 3 5 2" xfId="13237" xr:uid="{00000000-0005-0000-0000-000013000000}"/>
    <cellStyle name="Normal 2 3 3 3 2 3 6" xfId="9157" xr:uid="{00000000-0005-0000-0000-000013000000}"/>
    <cellStyle name="Normal 2 3 3 3 2 4" xfId="587" xr:uid="{00000000-0005-0000-0000-000013000000}"/>
    <cellStyle name="Normal 2 3 3 3 2 4 2" xfId="2628" xr:uid="{00000000-0005-0000-0000-000013000000}"/>
    <cellStyle name="Normal 2 3 3 3 2 4 2 2" xfId="6709" xr:uid="{00000000-0005-0000-0000-000013000000}"/>
    <cellStyle name="Normal 2 3 3 3 2 4 2 2 2" xfId="14869" xr:uid="{00000000-0005-0000-0000-000013000000}"/>
    <cellStyle name="Normal 2 3 3 3 2 4 2 3" xfId="10789" xr:uid="{00000000-0005-0000-0000-000013000000}"/>
    <cellStyle name="Normal 2 3 3 3 2 4 3" xfId="1608" xr:uid="{00000000-0005-0000-0000-000013000000}"/>
    <cellStyle name="Normal 2 3 3 3 2 4 3 2" xfId="5689" xr:uid="{00000000-0005-0000-0000-000013000000}"/>
    <cellStyle name="Normal 2 3 3 3 2 4 3 2 2" xfId="13849" xr:uid="{00000000-0005-0000-0000-000013000000}"/>
    <cellStyle name="Normal 2 3 3 3 2 4 3 3" xfId="9769" xr:uid="{00000000-0005-0000-0000-000013000000}"/>
    <cellStyle name="Normal 2 3 3 3 2 4 4" xfId="3648" xr:uid="{00000000-0005-0000-0000-000013000000}"/>
    <cellStyle name="Normal 2 3 3 3 2 4 4 2" xfId="7729" xr:uid="{00000000-0005-0000-0000-000013000000}"/>
    <cellStyle name="Normal 2 3 3 3 2 4 4 2 2" xfId="15889" xr:uid="{00000000-0005-0000-0000-000013000000}"/>
    <cellStyle name="Normal 2 3 3 3 2 4 4 3" xfId="11809" xr:uid="{00000000-0005-0000-0000-000013000000}"/>
    <cellStyle name="Normal 2 3 3 3 2 4 5" xfId="4668" xr:uid="{00000000-0005-0000-0000-000013000000}"/>
    <cellStyle name="Normal 2 3 3 3 2 4 5 2" xfId="12829" xr:uid="{00000000-0005-0000-0000-000013000000}"/>
    <cellStyle name="Normal 2 3 3 3 2 4 6" xfId="8749" xr:uid="{00000000-0005-0000-0000-000013000000}"/>
    <cellStyle name="Normal 2 3 3 3 2 5" xfId="2220" xr:uid="{00000000-0005-0000-0000-000013000000}"/>
    <cellStyle name="Normal 2 3 3 3 2 5 2" xfId="6301" xr:uid="{00000000-0005-0000-0000-000013000000}"/>
    <cellStyle name="Normal 2 3 3 3 2 5 2 2" xfId="14461" xr:uid="{00000000-0005-0000-0000-000013000000}"/>
    <cellStyle name="Normal 2 3 3 3 2 5 3" xfId="10381" xr:uid="{00000000-0005-0000-0000-000013000000}"/>
    <cellStyle name="Normal 2 3 3 3 2 6" xfId="1200" xr:uid="{00000000-0005-0000-0000-000013000000}"/>
    <cellStyle name="Normal 2 3 3 3 2 6 2" xfId="5281" xr:uid="{00000000-0005-0000-0000-000013000000}"/>
    <cellStyle name="Normal 2 3 3 3 2 6 2 2" xfId="13441" xr:uid="{00000000-0005-0000-0000-000013000000}"/>
    <cellStyle name="Normal 2 3 3 3 2 6 3" xfId="9361" xr:uid="{00000000-0005-0000-0000-000013000000}"/>
    <cellStyle name="Normal 2 3 3 3 2 7" xfId="3240" xr:uid="{00000000-0005-0000-0000-000013000000}"/>
    <cellStyle name="Normal 2 3 3 3 2 7 2" xfId="7321" xr:uid="{00000000-0005-0000-0000-000013000000}"/>
    <cellStyle name="Normal 2 3 3 3 2 7 2 2" xfId="15481" xr:uid="{00000000-0005-0000-0000-000013000000}"/>
    <cellStyle name="Normal 2 3 3 3 2 7 3" xfId="11401" xr:uid="{00000000-0005-0000-0000-000013000000}"/>
    <cellStyle name="Normal 2 3 3 3 2 8" xfId="4260" xr:uid="{00000000-0005-0000-0000-000013000000}"/>
    <cellStyle name="Normal 2 3 3 3 2 8 2" xfId="12421" xr:uid="{00000000-0005-0000-0000-000013000000}"/>
    <cellStyle name="Normal 2 3 3 3 2 9" xfId="8341" xr:uid="{00000000-0005-0000-0000-000013000000}"/>
    <cellStyle name="Normal 2 3 3 3 3" xfId="281" xr:uid="{00000000-0005-0000-0000-000013000000}"/>
    <cellStyle name="Normal 2 3 3 3 3 2" xfId="689" xr:uid="{00000000-0005-0000-0000-000013000000}"/>
    <cellStyle name="Normal 2 3 3 3 3 2 2" xfId="2730" xr:uid="{00000000-0005-0000-0000-000013000000}"/>
    <cellStyle name="Normal 2 3 3 3 3 2 2 2" xfId="6811" xr:uid="{00000000-0005-0000-0000-000013000000}"/>
    <cellStyle name="Normal 2 3 3 3 3 2 2 2 2" xfId="14971" xr:uid="{00000000-0005-0000-0000-000013000000}"/>
    <cellStyle name="Normal 2 3 3 3 3 2 2 3" xfId="10891" xr:uid="{00000000-0005-0000-0000-000013000000}"/>
    <cellStyle name="Normal 2 3 3 3 3 2 3" xfId="1710" xr:uid="{00000000-0005-0000-0000-000013000000}"/>
    <cellStyle name="Normal 2 3 3 3 3 2 3 2" xfId="5791" xr:uid="{00000000-0005-0000-0000-000013000000}"/>
    <cellStyle name="Normal 2 3 3 3 3 2 3 2 2" xfId="13951" xr:uid="{00000000-0005-0000-0000-000013000000}"/>
    <cellStyle name="Normal 2 3 3 3 3 2 3 3" xfId="9871" xr:uid="{00000000-0005-0000-0000-000013000000}"/>
    <cellStyle name="Normal 2 3 3 3 3 2 4" xfId="3750" xr:uid="{00000000-0005-0000-0000-000013000000}"/>
    <cellStyle name="Normal 2 3 3 3 3 2 4 2" xfId="7831" xr:uid="{00000000-0005-0000-0000-000013000000}"/>
    <cellStyle name="Normal 2 3 3 3 3 2 4 2 2" xfId="15991" xr:uid="{00000000-0005-0000-0000-000013000000}"/>
    <cellStyle name="Normal 2 3 3 3 3 2 4 3" xfId="11911" xr:uid="{00000000-0005-0000-0000-000013000000}"/>
    <cellStyle name="Normal 2 3 3 3 3 2 5" xfId="4770" xr:uid="{00000000-0005-0000-0000-000013000000}"/>
    <cellStyle name="Normal 2 3 3 3 3 2 5 2" xfId="12931" xr:uid="{00000000-0005-0000-0000-000013000000}"/>
    <cellStyle name="Normal 2 3 3 3 3 2 6" xfId="8851" xr:uid="{00000000-0005-0000-0000-000013000000}"/>
    <cellStyle name="Normal 2 3 3 3 3 3" xfId="2322" xr:uid="{00000000-0005-0000-0000-000013000000}"/>
    <cellStyle name="Normal 2 3 3 3 3 3 2" xfId="6403" xr:uid="{00000000-0005-0000-0000-000013000000}"/>
    <cellStyle name="Normal 2 3 3 3 3 3 2 2" xfId="14563" xr:uid="{00000000-0005-0000-0000-000013000000}"/>
    <cellStyle name="Normal 2 3 3 3 3 3 3" xfId="10483" xr:uid="{00000000-0005-0000-0000-000013000000}"/>
    <cellStyle name="Normal 2 3 3 3 3 4" xfId="1302" xr:uid="{00000000-0005-0000-0000-000013000000}"/>
    <cellStyle name="Normal 2 3 3 3 3 4 2" xfId="5383" xr:uid="{00000000-0005-0000-0000-000013000000}"/>
    <cellStyle name="Normal 2 3 3 3 3 4 2 2" xfId="13543" xr:uid="{00000000-0005-0000-0000-000013000000}"/>
    <cellStyle name="Normal 2 3 3 3 3 4 3" xfId="9463" xr:uid="{00000000-0005-0000-0000-000013000000}"/>
    <cellStyle name="Normal 2 3 3 3 3 5" xfId="3342" xr:uid="{00000000-0005-0000-0000-000013000000}"/>
    <cellStyle name="Normal 2 3 3 3 3 5 2" xfId="7423" xr:uid="{00000000-0005-0000-0000-000013000000}"/>
    <cellStyle name="Normal 2 3 3 3 3 5 2 2" xfId="15583" xr:uid="{00000000-0005-0000-0000-000013000000}"/>
    <cellStyle name="Normal 2 3 3 3 3 5 3" xfId="11503" xr:uid="{00000000-0005-0000-0000-000013000000}"/>
    <cellStyle name="Normal 2 3 3 3 3 6" xfId="4362" xr:uid="{00000000-0005-0000-0000-000013000000}"/>
    <cellStyle name="Normal 2 3 3 3 3 6 2" xfId="12523" xr:uid="{00000000-0005-0000-0000-000013000000}"/>
    <cellStyle name="Normal 2 3 3 3 3 7" xfId="8443" xr:uid="{00000000-0005-0000-0000-000013000000}"/>
    <cellStyle name="Normal 2 3 3 3 4" xfId="893" xr:uid="{00000000-0005-0000-0000-000013000000}"/>
    <cellStyle name="Normal 2 3 3 3 4 2" xfId="2934" xr:uid="{00000000-0005-0000-0000-000013000000}"/>
    <cellStyle name="Normal 2 3 3 3 4 2 2" xfId="7015" xr:uid="{00000000-0005-0000-0000-000013000000}"/>
    <cellStyle name="Normal 2 3 3 3 4 2 2 2" xfId="15175" xr:uid="{00000000-0005-0000-0000-000013000000}"/>
    <cellStyle name="Normal 2 3 3 3 4 2 3" xfId="11095" xr:uid="{00000000-0005-0000-0000-000013000000}"/>
    <cellStyle name="Normal 2 3 3 3 4 3" xfId="1914" xr:uid="{00000000-0005-0000-0000-000013000000}"/>
    <cellStyle name="Normal 2 3 3 3 4 3 2" xfId="5995" xr:uid="{00000000-0005-0000-0000-000013000000}"/>
    <cellStyle name="Normal 2 3 3 3 4 3 2 2" xfId="14155" xr:uid="{00000000-0005-0000-0000-000013000000}"/>
    <cellStyle name="Normal 2 3 3 3 4 3 3" xfId="10075" xr:uid="{00000000-0005-0000-0000-000013000000}"/>
    <cellStyle name="Normal 2 3 3 3 4 4" xfId="3954" xr:uid="{00000000-0005-0000-0000-000013000000}"/>
    <cellStyle name="Normal 2 3 3 3 4 4 2" xfId="8035" xr:uid="{00000000-0005-0000-0000-000013000000}"/>
    <cellStyle name="Normal 2 3 3 3 4 4 2 2" xfId="16195" xr:uid="{00000000-0005-0000-0000-000013000000}"/>
    <cellStyle name="Normal 2 3 3 3 4 4 3" xfId="12115" xr:uid="{00000000-0005-0000-0000-000013000000}"/>
    <cellStyle name="Normal 2 3 3 3 4 5" xfId="4974" xr:uid="{00000000-0005-0000-0000-000013000000}"/>
    <cellStyle name="Normal 2 3 3 3 4 5 2" xfId="13135" xr:uid="{00000000-0005-0000-0000-000013000000}"/>
    <cellStyle name="Normal 2 3 3 3 4 6" xfId="9055" xr:uid="{00000000-0005-0000-0000-000013000000}"/>
    <cellStyle name="Normal 2 3 3 3 5" xfId="485" xr:uid="{00000000-0005-0000-0000-000013000000}"/>
    <cellStyle name="Normal 2 3 3 3 5 2" xfId="2526" xr:uid="{00000000-0005-0000-0000-000013000000}"/>
    <cellStyle name="Normal 2 3 3 3 5 2 2" xfId="6607" xr:uid="{00000000-0005-0000-0000-000013000000}"/>
    <cellStyle name="Normal 2 3 3 3 5 2 2 2" xfId="14767" xr:uid="{00000000-0005-0000-0000-000013000000}"/>
    <cellStyle name="Normal 2 3 3 3 5 2 3" xfId="10687" xr:uid="{00000000-0005-0000-0000-000013000000}"/>
    <cellStyle name="Normal 2 3 3 3 5 3" xfId="1506" xr:uid="{00000000-0005-0000-0000-000013000000}"/>
    <cellStyle name="Normal 2 3 3 3 5 3 2" xfId="5587" xr:uid="{00000000-0005-0000-0000-000013000000}"/>
    <cellStyle name="Normal 2 3 3 3 5 3 2 2" xfId="13747" xr:uid="{00000000-0005-0000-0000-000013000000}"/>
    <cellStyle name="Normal 2 3 3 3 5 3 3" xfId="9667" xr:uid="{00000000-0005-0000-0000-000013000000}"/>
    <cellStyle name="Normal 2 3 3 3 5 4" xfId="3546" xr:uid="{00000000-0005-0000-0000-000013000000}"/>
    <cellStyle name="Normal 2 3 3 3 5 4 2" xfId="7627" xr:uid="{00000000-0005-0000-0000-000013000000}"/>
    <cellStyle name="Normal 2 3 3 3 5 4 2 2" xfId="15787" xr:uid="{00000000-0005-0000-0000-000013000000}"/>
    <cellStyle name="Normal 2 3 3 3 5 4 3" xfId="11707" xr:uid="{00000000-0005-0000-0000-000013000000}"/>
    <cellStyle name="Normal 2 3 3 3 5 5" xfId="4566" xr:uid="{00000000-0005-0000-0000-000013000000}"/>
    <cellStyle name="Normal 2 3 3 3 5 5 2" xfId="12727" xr:uid="{00000000-0005-0000-0000-000013000000}"/>
    <cellStyle name="Normal 2 3 3 3 5 6" xfId="8647" xr:uid="{00000000-0005-0000-0000-000013000000}"/>
    <cellStyle name="Normal 2 3 3 3 6" xfId="2118" xr:uid="{00000000-0005-0000-0000-000013000000}"/>
    <cellStyle name="Normal 2 3 3 3 6 2" xfId="6199" xr:uid="{00000000-0005-0000-0000-000013000000}"/>
    <cellStyle name="Normal 2 3 3 3 6 2 2" xfId="14359" xr:uid="{00000000-0005-0000-0000-000013000000}"/>
    <cellStyle name="Normal 2 3 3 3 6 3" xfId="10279" xr:uid="{00000000-0005-0000-0000-000013000000}"/>
    <cellStyle name="Normal 2 3 3 3 7" xfId="1098" xr:uid="{00000000-0005-0000-0000-000013000000}"/>
    <cellStyle name="Normal 2 3 3 3 7 2" xfId="5179" xr:uid="{00000000-0005-0000-0000-000013000000}"/>
    <cellStyle name="Normal 2 3 3 3 7 2 2" xfId="13339" xr:uid="{00000000-0005-0000-0000-000013000000}"/>
    <cellStyle name="Normal 2 3 3 3 7 3" xfId="9259" xr:uid="{00000000-0005-0000-0000-000013000000}"/>
    <cellStyle name="Normal 2 3 3 3 8" xfId="3138" xr:uid="{00000000-0005-0000-0000-000013000000}"/>
    <cellStyle name="Normal 2 3 3 3 8 2" xfId="7219" xr:uid="{00000000-0005-0000-0000-000013000000}"/>
    <cellStyle name="Normal 2 3 3 3 8 2 2" xfId="15379" xr:uid="{00000000-0005-0000-0000-000013000000}"/>
    <cellStyle name="Normal 2 3 3 3 8 3" xfId="11299" xr:uid="{00000000-0005-0000-0000-000013000000}"/>
    <cellStyle name="Normal 2 3 3 3 9" xfId="4158" xr:uid="{00000000-0005-0000-0000-000013000000}"/>
    <cellStyle name="Normal 2 3 3 3 9 2" xfId="12319" xr:uid="{00000000-0005-0000-0000-000013000000}"/>
    <cellStyle name="Normal 2 3 3 4" xfId="128" xr:uid="{00000000-0005-0000-0000-000013000000}"/>
    <cellStyle name="Normal 2 3 3 4 2" xfId="332" xr:uid="{00000000-0005-0000-0000-000013000000}"/>
    <cellStyle name="Normal 2 3 3 4 2 2" xfId="740" xr:uid="{00000000-0005-0000-0000-000013000000}"/>
    <cellStyle name="Normal 2 3 3 4 2 2 2" xfId="2781" xr:uid="{00000000-0005-0000-0000-000013000000}"/>
    <cellStyle name="Normal 2 3 3 4 2 2 2 2" xfId="6862" xr:uid="{00000000-0005-0000-0000-000013000000}"/>
    <cellStyle name="Normal 2 3 3 4 2 2 2 2 2" xfId="15022" xr:uid="{00000000-0005-0000-0000-000013000000}"/>
    <cellStyle name="Normal 2 3 3 4 2 2 2 3" xfId="10942" xr:uid="{00000000-0005-0000-0000-000013000000}"/>
    <cellStyle name="Normal 2 3 3 4 2 2 3" xfId="1761" xr:uid="{00000000-0005-0000-0000-000013000000}"/>
    <cellStyle name="Normal 2 3 3 4 2 2 3 2" xfId="5842" xr:uid="{00000000-0005-0000-0000-000013000000}"/>
    <cellStyle name="Normal 2 3 3 4 2 2 3 2 2" xfId="14002" xr:uid="{00000000-0005-0000-0000-000013000000}"/>
    <cellStyle name="Normal 2 3 3 4 2 2 3 3" xfId="9922" xr:uid="{00000000-0005-0000-0000-000013000000}"/>
    <cellStyle name="Normal 2 3 3 4 2 2 4" xfId="3801" xr:uid="{00000000-0005-0000-0000-000013000000}"/>
    <cellStyle name="Normal 2 3 3 4 2 2 4 2" xfId="7882" xr:uid="{00000000-0005-0000-0000-000013000000}"/>
    <cellStyle name="Normal 2 3 3 4 2 2 4 2 2" xfId="16042" xr:uid="{00000000-0005-0000-0000-000013000000}"/>
    <cellStyle name="Normal 2 3 3 4 2 2 4 3" xfId="11962" xr:uid="{00000000-0005-0000-0000-000013000000}"/>
    <cellStyle name="Normal 2 3 3 4 2 2 5" xfId="4821" xr:uid="{00000000-0005-0000-0000-000013000000}"/>
    <cellStyle name="Normal 2 3 3 4 2 2 5 2" xfId="12982" xr:uid="{00000000-0005-0000-0000-000013000000}"/>
    <cellStyle name="Normal 2 3 3 4 2 2 6" xfId="8902" xr:uid="{00000000-0005-0000-0000-000013000000}"/>
    <cellStyle name="Normal 2 3 3 4 2 3" xfId="2373" xr:uid="{00000000-0005-0000-0000-000013000000}"/>
    <cellStyle name="Normal 2 3 3 4 2 3 2" xfId="6454" xr:uid="{00000000-0005-0000-0000-000013000000}"/>
    <cellStyle name="Normal 2 3 3 4 2 3 2 2" xfId="14614" xr:uid="{00000000-0005-0000-0000-000013000000}"/>
    <cellStyle name="Normal 2 3 3 4 2 3 3" xfId="10534" xr:uid="{00000000-0005-0000-0000-000013000000}"/>
    <cellStyle name="Normal 2 3 3 4 2 4" xfId="1353" xr:uid="{00000000-0005-0000-0000-000013000000}"/>
    <cellStyle name="Normal 2 3 3 4 2 4 2" xfId="5434" xr:uid="{00000000-0005-0000-0000-000013000000}"/>
    <cellStyle name="Normal 2 3 3 4 2 4 2 2" xfId="13594" xr:uid="{00000000-0005-0000-0000-000013000000}"/>
    <cellStyle name="Normal 2 3 3 4 2 4 3" xfId="9514" xr:uid="{00000000-0005-0000-0000-000013000000}"/>
    <cellStyle name="Normal 2 3 3 4 2 5" xfId="3393" xr:uid="{00000000-0005-0000-0000-000013000000}"/>
    <cellStyle name="Normal 2 3 3 4 2 5 2" xfId="7474" xr:uid="{00000000-0005-0000-0000-000013000000}"/>
    <cellStyle name="Normal 2 3 3 4 2 5 2 2" xfId="15634" xr:uid="{00000000-0005-0000-0000-000013000000}"/>
    <cellStyle name="Normal 2 3 3 4 2 5 3" xfId="11554" xr:uid="{00000000-0005-0000-0000-000013000000}"/>
    <cellStyle name="Normal 2 3 3 4 2 6" xfId="4413" xr:uid="{00000000-0005-0000-0000-000013000000}"/>
    <cellStyle name="Normal 2 3 3 4 2 6 2" xfId="12574" xr:uid="{00000000-0005-0000-0000-000013000000}"/>
    <cellStyle name="Normal 2 3 3 4 2 7" xfId="8494" xr:uid="{00000000-0005-0000-0000-000013000000}"/>
    <cellStyle name="Normal 2 3 3 4 3" xfId="944" xr:uid="{00000000-0005-0000-0000-000013000000}"/>
    <cellStyle name="Normal 2 3 3 4 3 2" xfId="2985" xr:uid="{00000000-0005-0000-0000-000013000000}"/>
    <cellStyle name="Normal 2 3 3 4 3 2 2" xfId="7066" xr:uid="{00000000-0005-0000-0000-000013000000}"/>
    <cellStyle name="Normal 2 3 3 4 3 2 2 2" xfId="15226" xr:uid="{00000000-0005-0000-0000-000013000000}"/>
    <cellStyle name="Normal 2 3 3 4 3 2 3" xfId="11146" xr:uid="{00000000-0005-0000-0000-000013000000}"/>
    <cellStyle name="Normal 2 3 3 4 3 3" xfId="1965" xr:uid="{00000000-0005-0000-0000-000013000000}"/>
    <cellStyle name="Normal 2 3 3 4 3 3 2" xfId="6046" xr:uid="{00000000-0005-0000-0000-000013000000}"/>
    <cellStyle name="Normal 2 3 3 4 3 3 2 2" xfId="14206" xr:uid="{00000000-0005-0000-0000-000013000000}"/>
    <cellStyle name="Normal 2 3 3 4 3 3 3" xfId="10126" xr:uid="{00000000-0005-0000-0000-000013000000}"/>
    <cellStyle name="Normal 2 3 3 4 3 4" xfId="4005" xr:uid="{00000000-0005-0000-0000-000013000000}"/>
    <cellStyle name="Normal 2 3 3 4 3 4 2" xfId="8086" xr:uid="{00000000-0005-0000-0000-000013000000}"/>
    <cellStyle name="Normal 2 3 3 4 3 4 2 2" xfId="16246" xr:uid="{00000000-0005-0000-0000-000013000000}"/>
    <cellStyle name="Normal 2 3 3 4 3 4 3" xfId="12166" xr:uid="{00000000-0005-0000-0000-000013000000}"/>
    <cellStyle name="Normal 2 3 3 4 3 5" xfId="5025" xr:uid="{00000000-0005-0000-0000-000013000000}"/>
    <cellStyle name="Normal 2 3 3 4 3 5 2" xfId="13186" xr:uid="{00000000-0005-0000-0000-000013000000}"/>
    <cellStyle name="Normal 2 3 3 4 3 6" xfId="9106" xr:uid="{00000000-0005-0000-0000-000013000000}"/>
    <cellStyle name="Normal 2 3 3 4 4" xfId="536" xr:uid="{00000000-0005-0000-0000-000013000000}"/>
    <cellStyle name="Normal 2 3 3 4 4 2" xfId="2577" xr:uid="{00000000-0005-0000-0000-000013000000}"/>
    <cellStyle name="Normal 2 3 3 4 4 2 2" xfId="6658" xr:uid="{00000000-0005-0000-0000-000013000000}"/>
    <cellStyle name="Normal 2 3 3 4 4 2 2 2" xfId="14818" xr:uid="{00000000-0005-0000-0000-000013000000}"/>
    <cellStyle name="Normal 2 3 3 4 4 2 3" xfId="10738" xr:uid="{00000000-0005-0000-0000-000013000000}"/>
    <cellStyle name="Normal 2 3 3 4 4 3" xfId="1557" xr:uid="{00000000-0005-0000-0000-000013000000}"/>
    <cellStyle name="Normal 2 3 3 4 4 3 2" xfId="5638" xr:uid="{00000000-0005-0000-0000-000013000000}"/>
    <cellStyle name="Normal 2 3 3 4 4 3 2 2" xfId="13798" xr:uid="{00000000-0005-0000-0000-000013000000}"/>
    <cellStyle name="Normal 2 3 3 4 4 3 3" xfId="9718" xr:uid="{00000000-0005-0000-0000-000013000000}"/>
    <cellStyle name="Normal 2 3 3 4 4 4" xfId="3597" xr:uid="{00000000-0005-0000-0000-000013000000}"/>
    <cellStyle name="Normal 2 3 3 4 4 4 2" xfId="7678" xr:uid="{00000000-0005-0000-0000-000013000000}"/>
    <cellStyle name="Normal 2 3 3 4 4 4 2 2" xfId="15838" xr:uid="{00000000-0005-0000-0000-000013000000}"/>
    <cellStyle name="Normal 2 3 3 4 4 4 3" xfId="11758" xr:uid="{00000000-0005-0000-0000-000013000000}"/>
    <cellStyle name="Normal 2 3 3 4 4 5" xfId="4617" xr:uid="{00000000-0005-0000-0000-000013000000}"/>
    <cellStyle name="Normal 2 3 3 4 4 5 2" xfId="12778" xr:uid="{00000000-0005-0000-0000-000013000000}"/>
    <cellStyle name="Normal 2 3 3 4 4 6" xfId="8698" xr:uid="{00000000-0005-0000-0000-000013000000}"/>
    <cellStyle name="Normal 2 3 3 4 5" xfId="2169" xr:uid="{00000000-0005-0000-0000-000013000000}"/>
    <cellStyle name="Normal 2 3 3 4 5 2" xfId="6250" xr:uid="{00000000-0005-0000-0000-000013000000}"/>
    <cellStyle name="Normal 2 3 3 4 5 2 2" xfId="14410" xr:uid="{00000000-0005-0000-0000-000013000000}"/>
    <cellStyle name="Normal 2 3 3 4 5 3" xfId="10330" xr:uid="{00000000-0005-0000-0000-000013000000}"/>
    <cellStyle name="Normal 2 3 3 4 6" xfId="1149" xr:uid="{00000000-0005-0000-0000-000013000000}"/>
    <cellStyle name="Normal 2 3 3 4 6 2" xfId="5230" xr:uid="{00000000-0005-0000-0000-000013000000}"/>
    <cellStyle name="Normal 2 3 3 4 6 2 2" xfId="13390" xr:uid="{00000000-0005-0000-0000-000013000000}"/>
    <cellStyle name="Normal 2 3 3 4 6 3" xfId="9310" xr:uid="{00000000-0005-0000-0000-000013000000}"/>
    <cellStyle name="Normal 2 3 3 4 7" xfId="3189" xr:uid="{00000000-0005-0000-0000-000013000000}"/>
    <cellStyle name="Normal 2 3 3 4 7 2" xfId="7270" xr:uid="{00000000-0005-0000-0000-000013000000}"/>
    <cellStyle name="Normal 2 3 3 4 7 2 2" xfId="15430" xr:uid="{00000000-0005-0000-0000-000013000000}"/>
    <cellStyle name="Normal 2 3 3 4 7 3" xfId="11350" xr:uid="{00000000-0005-0000-0000-000013000000}"/>
    <cellStyle name="Normal 2 3 3 4 8" xfId="4209" xr:uid="{00000000-0005-0000-0000-000013000000}"/>
    <cellStyle name="Normal 2 3 3 4 8 2" xfId="12370" xr:uid="{00000000-0005-0000-0000-000013000000}"/>
    <cellStyle name="Normal 2 3 3 4 9" xfId="8290" xr:uid="{00000000-0005-0000-0000-000013000000}"/>
    <cellStyle name="Normal 2 3 3 5" xfId="230" xr:uid="{00000000-0005-0000-0000-000013000000}"/>
    <cellStyle name="Normal 2 3 3 5 2" xfId="638" xr:uid="{00000000-0005-0000-0000-000013000000}"/>
    <cellStyle name="Normal 2 3 3 5 2 2" xfId="2679" xr:uid="{00000000-0005-0000-0000-000013000000}"/>
    <cellStyle name="Normal 2 3 3 5 2 2 2" xfId="6760" xr:uid="{00000000-0005-0000-0000-000013000000}"/>
    <cellStyle name="Normal 2 3 3 5 2 2 2 2" xfId="14920" xr:uid="{00000000-0005-0000-0000-000013000000}"/>
    <cellStyle name="Normal 2 3 3 5 2 2 3" xfId="10840" xr:uid="{00000000-0005-0000-0000-000013000000}"/>
    <cellStyle name="Normal 2 3 3 5 2 3" xfId="1659" xr:uid="{00000000-0005-0000-0000-000013000000}"/>
    <cellStyle name="Normal 2 3 3 5 2 3 2" xfId="5740" xr:uid="{00000000-0005-0000-0000-000013000000}"/>
    <cellStyle name="Normal 2 3 3 5 2 3 2 2" xfId="13900" xr:uid="{00000000-0005-0000-0000-000013000000}"/>
    <cellStyle name="Normal 2 3 3 5 2 3 3" xfId="9820" xr:uid="{00000000-0005-0000-0000-000013000000}"/>
    <cellStyle name="Normal 2 3 3 5 2 4" xfId="3699" xr:uid="{00000000-0005-0000-0000-000013000000}"/>
    <cellStyle name="Normal 2 3 3 5 2 4 2" xfId="7780" xr:uid="{00000000-0005-0000-0000-000013000000}"/>
    <cellStyle name="Normal 2 3 3 5 2 4 2 2" xfId="15940" xr:uid="{00000000-0005-0000-0000-000013000000}"/>
    <cellStyle name="Normal 2 3 3 5 2 4 3" xfId="11860" xr:uid="{00000000-0005-0000-0000-000013000000}"/>
    <cellStyle name="Normal 2 3 3 5 2 5" xfId="4719" xr:uid="{00000000-0005-0000-0000-000013000000}"/>
    <cellStyle name="Normal 2 3 3 5 2 5 2" xfId="12880" xr:uid="{00000000-0005-0000-0000-000013000000}"/>
    <cellStyle name="Normal 2 3 3 5 2 6" xfId="8800" xr:uid="{00000000-0005-0000-0000-000013000000}"/>
    <cellStyle name="Normal 2 3 3 5 3" xfId="2271" xr:uid="{00000000-0005-0000-0000-000013000000}"/>
    <cellStyle name="Normal 2 3 3 5 3 2" xfId="6352" xr:uid="{00000000-0005-0000-0000-000013000000}"/>
    <cellStyle name="Normal 2 3 3 5 3 2 2" xfId="14512" xr:uid="{00000000-0005-0000-0000-000013000000}"/>
    <cellStyle name="Normal 2 3 3 5 3 3" xfId="10432" xr:uid="{00000000-0005-0000-0000-000013000000}"/>
    <cellStyle name="Normal 2 3 3 5 4" xfId="1251" xr:uid="{00000000-0005-0000-0000-000013000000}"/>
    <cellStyle name="Normal 2 3 3 5 4 2" xfId="5332" xr:uid="{00000000-0005-0000-0000-000013000000}"/>
    <cellStyle name="Normal 2 3 3 5 4 2 2" xfId="13492" xr:uid="{00000000-0005-0000-0000-000013000000}"/>
    <cellStyle name="Normal 2 3 3 5 4 3" xfId="9412" xr:uid="{00000000-0005-0000-0000-000013000000}"/>
    <cellStyle name="Normal 2 3 3 5 5" xfId="3291" xr:uid="{00000000-0005-0000-0000-000013000000}"/>
    <cellStyle name="Normal 2 3 3 5 5 2" xfId="7372" xr:uid="{00000000-0005-0000-0000-000013000000}"/>
    <cellStyle name="Normal 2 3 3 5 5 2 2" xfId="15532" xr:uid="{00000000-0005-0000-0000-000013000000}"/>
    <cellStyle name="Normal 2 3 3 5 5 3" xfId="11452" xr:uid="{00000000-0005-0000-0000-000013000000}"/>
    <cellStyle name="Normal 2 3 3 5 6" xfId="4311" xr:uid="{00000000-0005-0000-0000-000013000000}"/>
    <cellStyle name="Normal 2 3 3 5 6 2" xfId="12472" xr:uid="{00000000-0005-0000-0000-000013000000}"/>
    <cellStyle name="Normal 2 3 3 5 7" xfId="8392" xr:uid="{00000000-0005-0000-0000-000013000000}"/>
    <cellStyle name="Normal 2 3 3 6" xfId="842" xr:uid="{00000000-0005-0000-0000-000013000000}"/>
    <cellStyle name="Normal 2 3 3 6 2" xfId="2883" xr:uid="{00000000-0005-0000-0000-000013000000}"/>
    <cellStyle name="Normal 2 3 3 6 2 2" xfId="6964" xr:uid="{00000000-0005-0000-0000-000013000000}"/>
    <cellStyle name="Normal 2 3 3 6 2 2 2" xfId="15124" xr:uid="{00000000-0005-0000-0000-000013000000}"/>
    <cellStyle name="Normal 2 3 3 6 2 3" xfId="11044" xr:uid="{00000000-0005-0000-0000-000013000000}"/>
    <cellStyle name="Normal 2 3 3 6 3" xfId="1863" xr:uid="{00000000-0005-0000-0000-000013000000}"/>
    <cellStyle name="Normal 2 3 3 6 3 2" xfId="5944" xr:uid="{00000000-0005-0000-0000-000013000000}"/>
    <cellStyle name="Normal 2 3 3 6 3 2 2" xfId="14104" xr:uid="{00000000-0005-0000-0000-000013000000}"/>
    <cellStyle name="Normal 2 3 3 6 3 3" xfId="10024" xr:uid="{00000000-0005-0000-0000-000013000000}"/>
    <cellStyle name="Normal 2 3 3 6 4" xfId="3903" xr:uid="{00000000-0005-0000-0000-000013000000}"/>
    <cellStyle name="Normal 2 3 3 6 4 2" xfId="7984" xr:uid="{00000000-0005-0000-0000-000013000000}"/>
    <cellStyle name="Normal 2 3 3 6 4 2 2" xfId="16144" xr:uid="{00000000-0005-0000-0000-000013000000}"/>
    <cellStyle name="Normal 2 3 3 6 4 3" xfId="12064" xr:uid="{00000000-0005-0000-0000-000013000000}"/>
    <cellStyle name="Normal 2 3 3 6 5" xfId="4923" xr:uid="{00000000-0005-0000-0000-000013000000}"/>
    <cellStyle name="Normal 2 3 3 6 5 2" xfId="13084" xr:uid="{00000000-0005-0000-0000-000013000000}"/>
    <cellStyle name="Normal 2 3 3 6 6" xfId="9004" xr:uid="{00000000-0005-0000-0000-000013000000}"/>
    <cellStyle name="Normal 2 3 3 7" xfId="434" xr:uid="{00000000-0005-0000-0000-000013000000}"/>
    <cellStyle name="Normal 2 3 3 7 2" xfId="2475" xr:uid="{00000000-0005-0000-0000-000013000000}"/>
    <cellStyle name="Normal 2 3 3 7 2 2" xfId="6556" xr:uid="{00000000-0005-0000-0000-000013000000}"/>
    <cellStyle name="Normal 2 3 3 7 2 2 2" xfId="14716" xr:uid="{00000000-0005-0000-0000-000013000000}"/>
    <cellStyle name="Normal 2 3 3 7 2 3" xfId="10636" xr:uid="{00000000-0005-0000-0000-000013000000}"/>
    <cellStyle name="Normal 2 3 3 7 3" xfId="1455" xr:uid="{00000000-0005-0000-0000-000013000000}"/>
    <cellStyle name="Normal 2 3 3 7 3 2" xfId="5536" xr:uid="{00000000-0005-0000-0000-000013000000}"/>
    <cellStyle name="Normal 2 3 3 7 3 2 2" xfId="13696" xr:uid="{00000000-0005-0000-0000-000013000000}"/>
    <cellStyle name="Normal 2 3 3 7 3 3" xfId="9616" xr:uid="{00000000-0005-0000-0000-000013000000}"/>
    <cellStyle name="Normal 2 3 3 7 4" xfId="3495" xr:uid="{00000000-0005-0000-0000-000013000000}"/>
    <cellStyle name="Normal 2 3 3 7 4 2" xfId="7576" xr:uid="{00000000-0005-0000-0000-000013000000}"/>
    <cellStyle name="Normal 2 3 3 7 4 2 2" xfId="15736" xr:uid="{00000000-0005-0000-0000-000013000000}"/>
    <cellStyle name="Normal 2 3 3 7 4 3" xfId="11656" xr:uid="{00000000-0005-0000-0000-000013000000}"/>
    <cellStyle name="Normal 2 3 3 7 5" xfId="4515" xr:uid="{00000000-0005-0000-0000-000013000000}"/>
    <cellStyle name="Normal 2 3 3 7 5 2" xfId="12676" xr:uid="{00000000-0005-0000-0000-000013000000}"/>
    <cellStyle name="Normal 2 3 3 7 6" xfId="8596" xr:uid="{00000000-0005-0000-0000-000013000000}"/>
    <cellStyle name="Normal 2 3 3 8" xfId="2067" xr:uid="{00000000-0005-0000-0000-000013000000}"/>
    <cellStyle name="Normal 2 3 3 8 2" xfId="6148" xr:uid="{00000000-0005-0000-0000-000013000000}"/>
    <cellStyle name="Normal 2 3 3 8 2 2" xfId="14308" xr:uid="{00000000-0005-0000-0000-000013000000}"/>
    <cellStyle name="Normal 2 3 3 8 3" xfId="10228" xr:uid="{00000000-0005-0000-0000-000013000000}"/>
    <cellStyle name="Normal 2 3 3 9" xfId="1047" xr:uid="{00000000-0005-0000-0000-000013000000}"/>
    <cellStyle name="Normal 2 3 3 9 2" xfId="5128" xr:uid="{00000000-0005-0000-0000-000013000000}"/>
    <cellStyle name="Normal 2 3 3 9 2 2" xfId="13288" xr:uid="{00000000-0005-0000-0000-000013000000}"/>
    <cellStyle name="Normal 2 3 3 9 3" xfId="9208" xr:uid="{00000000-0005-0000-0000-000013000000}"/>
    <cellStyle name="Normal 2 3 4" xfId="35" xr:uid="{00000000-0005-0000-0000-000015000000}"/>
    <cellStyle name="Normal 2 3 4 10" xfId="4116" xr:uid="{00000000-0005-0000-0000-000015000000}"/>
    <cellStyle name="Normal 2 3 4 10 2" xfId="12277" xr:uid="{00000000-0005-0000-0000-000015000000}"/>
    <cellStyle name="Normal 2 3 4 11" xfId="8197" xr:uid="{00000000-0005-0000-0000-000015000000}"/>
    <cellStyle name="Normal 2 3 4 2" xfId="86" xr:uid="{00000000-0005-0000-0000-000015000000}"/>
    <cellStyle name="Normal 2 3 4 2 10" xfId="8248" xr:uid="{00000000-0005-0000-0000-000015000000}"/>
    <cellStyle name="Normal 2 3 4 2 2" xfId="188" xr:uid="{00000000-0005-0000-0000-000015000000}"/>
    <cellStyle name="Normal 2 3 4 2 2 2" xfId="392" xr:uid="{00000000-0005-0000-0000-000015000000}"/>
    <cellStyle name="Normal 2 3 4 2 2 2 2" xfId="800" xr:uid="{00000000-0005-0000-0000-000015000000}"/>
    <cellStyle name="Normal 2 3 4 2 2 2 2 2" xfId="2841" xr:uid="{00000000-0005-0000-0000-000015000000}"/>
    <cellStyle name="Normal 2 3 4 2 2 2 2 2 2" xfId="6922" xr:uid="{00000000-0005-0000-0000-000015000000}"/>
    <cellStyle name="Normal 2 3 4 2 2 2 2 2 2 2" xfId="15082" xr:uid="{00000000-0005-0000-0000-000015000000}"/>
    <cellStyle name="Normal 2 3 4 2 2 2 2 2 3" xfId="11002" xr:uid="{00000000-0005-0000-0000-000015000000}"/>
    <cellStyle name="Normal 2 3 4 2 2 2 2 3" xfId="1821" xr:uid="{00000000-0005-0000-0000-000015000000}"/>
    <cellStyle name="Normal 2 3 4 2 2 2 2 3 2" xfId="5902" xr:uid="{00000000-0005-0000-0000-000015000000}"/>
    <cellStyle name="Normal 2 3 4 2 2 2 2 3 2 2" xfId="14062" xr:uid="{00000000-0005-0000-0000-000015000000}"/>
    <cellStyle name="Normal 2 3 4 2 2 2 2 3 3" xfId="9982" xr:uid="{00000000-0005-0000-0000-000015000000}"/>
    <cellStyle name="Normal 2 3 4 2 2 2 2 4" xfId="3861" xr:uid="{00000000-0005-0000-0000-000015000000}"/>
    <cellStyle name="Normal 2 3 4 2 2 2 2 4 2" xfId="7942" xr:uid="{00000000-0005-0000-0000-000015000000}"/>
    <cellStyle name="Normal 2 3 4 2 2 2 2 4 2 2" xfId="16102" xr:uid="{00000000-0005-0000-0000-000015000000}"/>
    <cellStyle name="Normal 2 3 4 2 2 2 2 4 3" xfId="12022" xr:uid="{00000000-0005-0000-0000-000015000000}"/>
    <cellStyle name="Normal 2 3 4 2 2 2 2 5" xfId="4881" xr:uid="{00000000-0005-0000-0000-000015000000}"/>
    <cellStyle name="Normal 2 3 4 2 2 2 2 5 2" xfId="13042" xr:uid="{00000000-0005-0000-0000-000015000000}"/>
    <cellStyle name="Normal 2 3 4 2 2 2 2 6" xfId="8962" xr:uid="{00000000-0005-0000-0000-000015000000}"/>
    <cellStyle name="Normal 2 3 4 2 2 2 3" xfId="2433" xr:uid="{00000000-0005-0000-0000-000015000000}"/>
    <cellStyle name="Normal 2 3 4 2 2 2 3 2" xfId="6514" xr:uid="{00000000-0005-0000-0000-000015000000}"/>
    <cellStyle name="Normal 2 3 4 2 2 2 3 2 2" xfId="14674" xr:uid="{00000000-0005-0000-0000-000015000000}"/>
    <cellStyle name="Normal 2 3 4 2 2 2 3 3" xfId="10594" xr:uid="{00000000-0005-0000-0000-000015000000}"/>
    <cellStyle name="Normal 2 3 4 2 2 2 4" xfId="1413" xr:uid="{00000000-0005-0000-0000-000015000000}"/>
    <cellStyle name="Normal 2 3 4 2 2 2 4 2" xfId="5494" xr:uid="{00000000-0005-0000-0000-000015000000}"/>
    <cellStyle name="Normal 2 3 4 2 2 2 4 2 2" xfId="13654" xr:uid="{00000000-0005-0000-0000-000015000000}"/>
    <cellStyle name="Normal 2 3 4 2 2 2 4 3" xfId="9574" xr:uid="{00000000-0005-0000-0000-000015000000}"/>
    <cellStyle name="Normal 2 3 4 2 2 2 5" xfId="3453" xr:uid="{00000000-0005-0000-0000-000015000000}"/>
    <cellStyle name="Normal 2 3 4 2 2 2 5 2" xfId="7534" xr:uid="{00000000-0005-0000-0000-000015000000}"/>
    <cellStyle name="Normal 2 3 4 2 2 2 5 2 2" xfId="15694" xr:uid="{00000000-0005-0000-0000-000015000000}"/>
    <cellStyle name="Normal 2 3 4 2 2 2 5 3" xfId="11614" xr:uid="{00000000-0005-0000-0000-000015000000}"/>
    <cellStyle name="Normal 2 3 4 2 2 2 6" xfId="4473" xr:uid="{00000000-0005-0000-0000-000015000000}"/>
    <cellStyle name="Normal 2 3 4 2 2 2 6 2" xfId="12634" xr:uid="{00000000-0005-0000-0000-000015000000}"/>
    <cellStyle name="Normal 2 3 4 2 2 2 7" xfId="8554" xr:uid="{00000000-0005-0000-0000-000015000000}"/>
    <cellStyle name="Normal 2 3 4 2 2 3" xfId="1004" xr:uid="{00000000-0005-0000-0000-000015000000}"/>
    <cellStyle name="Normal 2 3 4 2 2 3 2" xfId="3045" xr:uid="{00000000-0005-0000-0000-000015000000}"/>
    <cellStyle name="Normal 2 3 4 2 2 3 2 2" xfId="7126" xr:uid="{00000000-0005-0000-0000-000015000000}"/>
    <cellStyle name="Normal 2 3 4 2 2 3 2 2 2" xfId="15286" xr:uid="{00000000-0005-0000-0000-000015000000}"/>
    <cellStyle name="Normal 2 3 4 2 2 3 2 3" xfId="11206" xr:uid="{00000000-0005-0000-0000-000015000000}"/>
    <cellStyle name="Normal 2 3 4 2 2 3 3" xfId="2025" xr:uid="{00000000-0005-0000-0000-000015000000}"/>
    <cellStyle name="Normal 2 3 4 2 2 3 3 2" xfId="6106" xr:uid="{00000000-0005-0000-0000-000015000000}"/>
    <cellStyle name="Normal 2 3 4 2 2 3 3 2 2" xfId="14266" xr:uid="{00000000-0005-0000-0000-000015000000}"/>
    <cellStyle name="Normal 2 3 4 2 2 3 3 3" xfId="10186" xr:uid="{00000000-0005-0000-0000-000015000000}"/>
    <cellStyle name="Normal 2 3 4 2 2 3 4" xfId="4065" xr:uid="{00000000-0005-0000-0000-000015000000}"/>
    <cellStyle name="Normal 2 3 4 2 2 3 4 2" xfId="8146" xr:uid="{00000000-0005-0000-0000-000015000000}"/>
    <cellStyle name="Normal 2 3 4 2 2 3 4 2 2" xfId="16306" xr:uid="{00000000-0005-0000-0000-000015000000}"/>
    <cellStyle name="Normal 2 3 4 2 2 3 4 3" xfId="12226" xr:uid="{00000000-0005-0000-0000-000015000000}"/>
    <cellStyle name="Normal 2 3 4 2 2 3 5" xfId="5085" xr:uid="{00000000-0005-0000-0000-000015000000}"/>
    <cellStyle name="Normal 2 3 4 2 2 3 5 2" xfId="13246" xr:uid="{00000000-0005-0000-0000-000015000000}"/>
    <cellStyle name="Normal 2 3 4 2 2 3 6" xfId="9166" xr:uid="{00000000-0005-0000-0000-000015000000}"/>
    <cellStyle name="Normal 2 3 4 2 2 4" xfId="596" xr:uid="{00000000-0005-0000-0000-000015000000}"/>
    <cellStyle name="Normal 2 3 4 2 2 4 2" xfId="2637" xr:uid="{00000000-0005-0000-0000-000015000000}"/>
    <cellStyle name="Normal 2 3 4 2 2 4 2 2" xfId="6718" xr:uid="{00000000-0005-0000-0000-000015000000}"/>
    <cellStyle name="Normal 2 3 4 2 2 4 2 2 2" xfId="14878" xr:uid="{00000000-0005-0000-0000-000015000000}"/>
    <cellStyle name="Normal 2 3 4 2 2 4 2 3" xfId="10798" xr:uid="{00000000-0005-0000-0000-000015000000}"/>
    <cellStyle name="Normal 2 3 4 2 2 4 3" xfId="1617" xr:uid="{00000000-0005-0000-0000-000015000000}"/>
    <cellStyle name="Normal 2 3 4 2 2 4 3 2" xfId="5698" xr:uid="{00000000-0005-0000-0000-000015000000}"/>
    <cellStyle name="Normal 2 3 4 2 2 4 3 2 2" xfId="13858" xr:uid="{00000000-0005-0000-0000-000015000000}"/>
    <cellStyle name="Normal 2 3 4 2 2 4 3 3" xfId="9778" xr:uid="{00000000-0005-0000-0000-000015000000}"/>
    <cellStyle name="Normal 2 3 4 2 2 4 4" xfId="3657" xr:uid="{00000000-0005-0000-0000-000015000000}"/>
    <cellStyle name="Normal 2 3 4 2 2 4 4 2" xfId="7738" xr:uid="{00000000-0005-0000-0000-000015000000}"/>
    <cellStyle name="Normal 2 3 4 2 2 4 4 2 2" xfId="15898" xr:uid="{00000000-0005-0000-0000-000015000000}"/>
    <cellStyle name="Normal 2 3 4 2 2 4 4 3" xfId="11818" xr:uid="{00000000-0005-0000-0000-000015000000}"/>
    <cellStyle name="Normal 2 3 4 2 2 4 5" xfId="4677" xr:uid="{00000000-0005-0000-0000-000015000000}"/>
    <cellStyle name="Normal 2 3 4 2 2 4 5 2" xfId="12838" xr:uid="{00000000-0005-0000-0000-000015000000}"/>
    <cellStyle name="Normal 2 3 4 2 2 4 6" xfId="8758" xr:uid="{00000000-0005-0000-0000-000015000000}"/>
    <cellStyle name="Normal 2 3 4 2 2 5" xfId="2229" xr:uid="{00000000-0005-0000-0000-000015000000}"/>
    <cellStyle name="Normal 2 3 4 2 2 5 2" xfId="6310" xr:uid="{00000000-0005-0000-0000-000015000000}"/>
    <cellStyle name="Normal 2 3 4 2 2 5 2 2" xfId="14470" xr:uid="{00000000-0005-0000-0000-000015000000}"/>
    <cellStyle name="Normal 2 3 4 2 2 5 3" xfId="10390" xr:uid="{00000000-0005-0000-0000-000015000000}"/>
    <cellStyle name="Normal 2 3 4 2 2 6" xfId="1209" xr:uid="{00000000-0005-0000-0000-000015000000}"/>
    <cellStyle name="Normal 2 3 4 2 2 6 2" xfId="5290" xr:uid="{00000000-0005-0000-0000-000015000000}"/>
    <cellStyle name="Normal 2 3 4 2 2 6 2 2" xfId="13450" xr:uid="{00000000-0005-0000-0000-000015000000}"/>
    <cellStyle name="Normal 2 3 4 2 2 6 3" xfId="9370" xr:uid="{00000000-0005-0000-0000-000015000000}"/>
    <cellStyle name="Normal 2 3 4 2 2 7" xfId="3249" xr:uid="{00000000-0005-0000-0000-000015000000}"/>
    <cellStyle name="Normal 2 3 4 2 2 7 2" xfId="7330" xr:uid="{00000000-0005-0000-0000-000015000000}"/>
    <cellStyle name="Normal 2 3 4 2 2 7 2 2" xfId="15490" xr:uid="{00000000-0005-0000-0000-000015000000}"/>
    <cellStyle name="Normal 2 3 4 2 2 7 3" xfId="11410" xr:uid="{00000000-0005-0000-0000-000015000000}"/>
    <cellStyle name="Normal 2 3 4 2 2 8" xfId="4269" xr:uid="{00000000-0005-0000-0000-000015000000}"/>
    <cellStyle name="Normal 2 3 4 2 2 8 2" xfId="12430" xr:uid="{00000000-0005-0000-0000-000015000000}"/>
    <cellStyle name="Normal 2 3 4 2 2 9" xfId="8350" xr:uid="{00000000-0005-0000-0000-000015000000}"/>
    <cellStyle name="Normal 2 3 4 2 3" xfId="290" xr:uid="{00000000-0005-0000-0000-000015000000}"/>
    <cellStyle name="Normal 2 3 4 2 3 2" xfId="698" xr:uid="{00000000-0005-0000-0000-000015000000}"/>
    <cellStyle name="Normal 2 3 4 2 3 2 2" xfId="2739" xr:uid="{00000000-0005-0000-0000-000015000000}"/>
    <cellStyle name="Normal 2 3 4 2 3 2 2 2" xfId="6820" xr:uid="{00000000-0005-0000-0000-000015000000}"/>
    <cellStyle name="Normal 2 3 4 2 3 2 2 2 2" xfId="14980" xr:uid="{00000000-0005-0000-0000-000015000000}"/>
    <cellStyle name="Normal 2 3 4 2 3 2 2 3" xfId="10900" xr:uid="{00000000-0005-0000-0000-000015000000}"/>
    <cellStyle name="Normal 2 3 4 2 3 2 3" xfId="1719" xr:uid="{00000000-0005-0000-0000-000015000000}"/>
    <cellStyle name="Normal 2 3 4 2 3 2 3 2" xfId="5800" xr:uid="{00000000-0005-0000-0000-000015000000}"/>
    <cellStyle name="Normal 2 3 4 2 3 2 3 2 2" xfId="13960" xr:uid="{00000000-0005-0000-0000-000015000000}"/>
    <cellStyle name="Normal 2 3 4 2 3 2 3 3" xfId="9880" xr:uid="{00000000-0005-0000-0000-000015000000}"/>
    <cellStyle name="Normal 2 3 4 2 3 2 4" xfId="3759" xr:uid="{00000000-0005-0000-0000-000015000000}"/>
    <cellStyle name="Normal 2 3 4 2 3 2 4 2" xfId="7840" xr:uid="{00000000-0005-0000-0000-000015000000}"/>
    <cellStyle name="Normal 2 3 4 2 3 2 4 2 2" xfId="16000" xr:uid="{00000000-0005-0000-0000-000015000000}"/>
    <cellStyle name="Normal 2 3 4 2 3 2 4 3" xfId="11920" xr:uid="{00000000-0005-0000-0000-000015000000}"/>
    <cellStyle name="Normal 2 3 4 2 3 2 5" xfId="4779" xr:uid="{00000000-0005-0000-0000-000015000000}"/>
    <cellStyle name="Normal 2 3 4 2 3 2 5 2" xfId="12940" xr:uid="{00000000-0005-0000-0000-000015000000}"/>
    <cellStyle name="Normal 2 3 4 2 3 2 6" xfId="8860" xr:uid="{00000000-0005-0000-0000-000015000000}"/>
    <cellStyle name="Normal 2 3 4 2 3 3" xfId="2331" xr:uid="{00000000-0005-0000-0000-000015000000}"/>
    <cellStyle name="Normal 2 3 4 2 3 3 2" xfId="6412" xr:uid="{00000000-0005-0000-0000-000015000000}"/>
    <cellStyle name="Normal 2 3 4 2 3 3 2 2" xfId="14572" xr:uid="{00000000-0005-0000-0000-000015000000}"/>
    <cellStyle name="Normal 2 3 4 2 3 3 3" xfId="10492" xr:uid="{00000000-0005-0000-0000-000015000000}"/>
    <cellStyle name="Normal 2 3 4 2 3 4" xfId="1311" xr:uid="{00000000-0005-0000-0000-000015000000}"/>
    <cellStyle name="Normal 2 3 4 2 3 4 2" xfId="5392" xr:uid="{00000000-0005-0000-0000-000015000000}"/>
    <cellStyle name="Normal 2 3 4 2 3 4 2 2" xfId="13552" xr:uid="{00000000-0005-0000-0000-000015000000}"/>
    <cellStyle name="Normal 2 3 4 2 3 4 3" xfId="9472" xr:uid="{00000000-0005-0000-0000-000015000000}"/>
    <cellStyle name="Normal 2 3 4 2 3 5" xfId="3351" xr:uid="{00000000-0005-0000-0000-000015000000}"/>
    <cellStyle name="Normal 2 3 4 2 3 5 2" xfId="7432" xr:uid="{00000000-0005-0000-0000-000015000000}"/>
    <cellStyle name="Normal 2 3 4 2 3 5 2 2" xfId="15592" xr:uid="{00000000-0005-0000-0000-000015000000}"/>
    <cellStyle name="Normal 2 3 4 2 3 5 3" xfId="11512" xr:uid="{00000000-0005-0000-0000-000015000000}"/>
    <cellStyle name="Normal 2 3 4 2 3 6" xfId="4371" xr:uid="{00000000-0005-0000-0000-000015000000}"/>
    <cellStyle name="Normal 2 3 4 2 3 6 2" xfId="12532" xr:uid="{00000000-0005-0000-0000-000015000000}"/>
    <cellStyle name="Normal 2 3 4 2 3 7" xfId="8452" xr:uid="{00000000-0005-0000-0000-000015000000}"/>
    <cellStyle name="Normal 2 3 4 2 4" xfId="902" xr:uid="{00000000-0005-0000-0000-000015000000}"/>
    <cellStyle name="Normal 2 3 4 2 4 2" xfId="2943" xr:uid="{00000000-0005-0000-0000-000015000000}"/>
    <cellStyle name="Normal 2 3 4 2 4 2 2" xfId="7024" xr:uid="{00000000-0005-0000-0000-000015000000}"/>
    <cellStyle name="Normal 2 3 4 2 4 2 2 2" xfId="15184" xr:uid="{00000000-0005-0000-0000-000015000000}"/>
    <cellStyle name="Normal 2 3 4 2 4 2 3" xfId="11104" xr:uid="{00000000-0005-0000-0000-000015000000}"/>
    <cellStyle name="Normal 2 3 4 2 4 3" xfId="1923" xr:uid="{00000000-0005-0000-0000-000015000000}"/>
    <cellStyle name="Normal 2 3 4 2 4 3 2" xfId="6004" xr:uid="{00000000-0005-0000-0000-000015000000}"/>
    <cellStyle name="Normal 2 3 4 2 4 3 2 2" xfId="14164" xr:uid="{00000000-0005-0000-0000-000015000000}"/>
    <cellStyle name="Normal 2 3 4 2 4 3 3" xfId="10084" xr:uid="{00000000-0005-0000-0000-000015000000}"/>
    <cellStyle name="Normal 2 3 4 2 4 4" xfId="3963" xr:uid="{00000000-0005-0000-0000-000015000000}"/>
    <cellStyle name="Normal 2 3 4 2 4 4 2" xfId="8044" xr:uid="{00000000-0005-0000-0000-000015000000}"/>
    <cellStyle name="Normal 2 3 4 2 4 4 2 2" xfId="16204" xr:uid="{00000000-0005-0000-0000-000015000000}"/>
    <cellStyle name="Normal 2 3 4 2 4 4 3" xfId="12124" xr:uid="{00000000-0005-0000-0000-000015000000}"/>
    <cellStyle name="Normal 2 3 4 2 4 5" xfId="4983" xr:uid="{00000000-0005-0000-0000-000015000000}"/>
    <cellStyle name="Normal 2 3 4 2 4 5 2" xfId="13144" xr:uid="{00000000-0005-0000-0000-000015000000}"/>
    <cellStyle name="Normal 2 3 4 2 4 6" xfId="9064" xr:uid="{00000000-0005-0000-0000-000015000000}"/>
    <cellStyle name="Normal 2 3 4 2 5" xfId="494" xr:uid="{00000000-0005-0000-0000-000015000000}"/>
    <cellStyle name="Normal 2 3 4 2 5 2" xfId="2535" xr:uid="{00000000-0005-0000-0000-000015000000}"/>
    <cellStyle name="Normal 2 3 4 2 5 2 2" xfId="6616" xr:uid="{00000000-0005-0000-0000-000015000000}"/>
    <cellStyle name="Normal 2 3 4 2 5 2 2 2" xfId="14776" xr:uid="{00000000-0005-0000-0000-000015000000}"/>
    <cellStyle name="Normal 2 3 4 2 5 2 3" xfId="10696" xr:uid="{00000000-0005-0000-0000-000015000000}"/>
    <cellStyle name="Normal 2 3 4 2 5 3" xfId="1515" xr:uid="{00000000-0005-0000-0000-000015000000}"/>
    <cellStyle name="Normal 2 3 4 2 5 3 2" xfId="5596" xr:uid="{00000000-0005-0000-0000-000015000000}"/>
    <cellStyle name="Normal 2 3 4 2 5 3 2 2" xfId="13756" xr:uid="{00000000-0005-0000-0000-000015000000}"/>
    <cellStyle name="Normal 2 3 4 2 5 3 3" xfId="9676" xr:uid="{00000000-0005-0000-0000-000015000000}"/>
    <cellStyle name="Normal 2 3 4 2 5 4" xfId="3555" xr:uid="{00000000-0005-0000-0000-000015000000}"/>
    <cellStyle name="Normal 2 3 4 2 5 4 2" xfId="7636" xr:uid="{00000000-0005-0000-0000-000015000000}"/>
    <cellStyle name="Normal 2 3 4 2 5 4 2 2" xfId="15796" xr:uid="{00000000-0005-0000-0000-000015000000}"/>
    <cellStyle name="Normal 2 3 4 2 5 4 3" xfId="11716" xr:uid="{00000000-0005-0000-0000-000015000000}"/>
    <cellStyle name="Normal 2 3 4 2 5 5" xfId="4575" xr:uid="{00000000-0005-0000-0000-000015000000}"/>
    <cellStyle name="Normal 2 3 4 2 5 5 2" xfId="12736" xr:uid="{00000000-0005-0000-0000-000015000000}"/>
    <cellStyle name="Normal 2 3 4 2 5 6" xfId="8656" xr:uid="{00000000-0005-0000-0000-000015000000}"/>
    <cellStyle name="Normal 2 3 4 2 6" xfId="2127" xr:uid="{00000000-0005-0000-0000-000015000000}"/>
    <cellStyle name="Normal 2 3 4 2 6 2" xfId="6208" xr:uid="{00000000-0005-0000-0000-000015000000}"/>
    <cellStyle name="Normal 2 3 4 2 6 2 2" xfId="14368" xr:uid="{00000000-0005-0000-0000-000015000000}"/>
    <cellStyle name="Normal 2 3 4 2 6 3" xfId="10288" xr:uid="{00000000-0005-0000-0000-000015000000}"/>
    <cellStyle name="Normal 2 3 4 2 7" xfId="1107" xr:uid="{00000000-0005-0000-0000-000015000000}"/>
    <cellStyle name="Normal 2 3 4 2 7 2" xfId="5188" xr:uid="{00000000-0005-0000-0000-000015000000}"/>
    <cellStyle name="Normal 2 3 4 2 7 2 2" xfId="13348" xr:uid="{00000000-0005-0000-0000-000015000000}"/>
    <cellStyle name="Normal 2 3 4 2 7 3" xfId="9268" xr:uid="{00000000-0005-0000-0000-000015000000}"/>
    <cellStyle name="Normal 2 3 4 2 8" xfId="3147" xr:uid="{00000000-0005-0000-0000-000015000000}"/>
    <cellStyle name="Normal 2 3 4 2 8 2" xfId="7228" xr:uid="{00000000-0005-0000-0000-000015000000}"/>
    <cellStyle name="Normal 2 3 4 2 8 2 2" xfId="15388" xr:uid="{00000000-0005-0000-0000-000015000000}"/>
    <cellStyle name="Normal 2 3 4 2 8 3" xfId="11308" xr:uid="{00000000-0005-0000-0000-000015000000}"/>
    <cellStyle name="Normal 2 3 4 2 9" xfId="4167" xr:uid="{00000000-0005-0000-0000-000015000000}"/>
    <cellStyle name="Normal 2 3 4 2 9 2" xfId="12328" xr:uid="{00000000-0005-0000-0000-000015000000}"/>
    <cellStyle name="Normal 2 3 4 3" xfId="137" xr:uid="{00000000-0005-0000-0000-000015000000}"/>
    <cellStyle name="Normal 2 3 4 3 2" xfId="341" xr:uid="{00000000-0005-0000-0000-000015000000}"/>
    <cellStyle name="Normal 2 3 4 3 2 2" xfId="749" xr:uid="{00000000-0005-0000-0000-000015000000}"/>
    <cellStyle name="Normal 2 3 4 3 2 2 2" xfId="2790" xr:uid="{00000000-0005-0000-0000-000015000000}"/>
    <cellStyle name="Normal 2 3 4 3 2 2 2 2" xfId="6871" xr:uid="{00000000-0005-0000-0000-000015000000}"/>
    <cellStyle name="Normal 2 3 4 3 2 2 2 2 2" xfId="15031" xr:uid="{00000000-0005-0000-0000-000015000000}"/>
    <cellStyle name="Normal 2 3 4 3 2 2 2 3" xfId="10951" xr:uid="{00000000-0005-0000-0000-000015000000}"/>
    <cellStyle name="Normal 2 3 4 3 2 2 3" xfId="1770" xr:uid="{00000000-0005-0000-0000-000015000000}"/>
    <cellStyle name="Normal 2 3 4 3 2 2 3 2" xfId="5851" xr:uid="{00000000-0005-0000-0000-000015000000}"/>
    <cellStyle name="Normal 2 3 4 3 2 2 3 2 2" xfId="14011" xr:uid="{00000000-0005-0000-0000-000015000000}"/>
    <cellStyle name="Normal 2 3 4 3 2 2 3 3" xfId="9931" xr:uid="{00000000-0005-0000-0000-000015000000}"/>
    <cellStyle name="Normal 2 3 4 3 2 2 4" xfId="3810" xr:uid="{00000000-0005-0000-0000-000015000000}"/>
    <cellStyle name="Normal 2 3 4 3 2 2 4 2" xfId="7891" xr:uid="{00000000-0005-0000-0000-000015000000}"/>
    <cellStyle name="Normal 2 3 4 3 2 2 4 2 2" xfId="16051" xr:uid="{00000000-0005-0000-0000-000015000000}"/>
    <cellStyle name="Normal 2 3 4 3 2 2 4 3" xfId="11971" xr:uid="{00000000-0005-0000-0000-000015000000}"/>
    <cellStyle name="Normal 2 3 4 3 2 2 5" xfId="4830" xr:uid="{00000000-0005-0000-0000-000015000000}"/>
    <cellStyle name="Normal 2 3 4 3 2 2 5 2" xfId="12991" xr:uid="{00000000-0005-0000-0000-000015000000}"/>
    <cellStyle name="Normal 2 3 4 3 2 2 6" xfId="8911" xr:uid="{00000000-0005-0000-0000-000015000000}"/>
    <cellStyle name="Normal 2 3 4 3 2 3" xfId="2382" xr:uid="{00000000-0005-0000-0000-000015000000}"/>
    <cellStyle name="Normal 2 3 4 3 2 3 2" xfId="6463" xr:uid="{00000000-0005-0000-0000-000015000000}"/>
    <cellStyle name="Normal 2 3 4 3 2 3 2 2" xfId="14623" xr:uid="{00000000-0005-0000-0000-000015000000}"/>
    <cellStyle name="Normal 2 3 4 3 2 3 3" xfId="10543" xr:uid="{00000000-0005-0000-0000-000015000000}"/>
    <cellStyle name="Normal 2 3 4 3 2 4" xfId="1362" xr:uid="{00000000-0005-0000-0000-000015000000}"/>
    <cellStyle name="Normal 2 3 4 3 2 4 2" xfId="5443" xr:uid="{00000000-0005-0000-0000-000015000000}"/>
    <cellStyle name="Normal 2 3 4 3 2 4 2 2" xfId="13603" xr:uid="{00000000-0005-0000-0000-000015000000}"/>
    <cellStyle name="Normal 2 3 4 3 2 4 3" xfId="9523" xr:uid="{00000000-0005-0000-0000-000015000000}"/>
    <cellStyle name="Normal 2 3 4 3 2 5" xfId="3402" xr:uid="{00000000-0005-0000-0000-000015000000}"/>
    <cellStyle name="Normal 2 3 4 3 2 5 2" xfId="7483" xr:uid="{00000000-0005-0000-0000-000015000000}"/>
    <cellStyle name="Normal 2 3 4 3 2 5 2 2" xfId="15643" xr:uid="{00000000-0005-0000-0000-000015000000}"/>
    <cellStyle name="Normal 2 3 4 3 2 5 3" xfId="11563" xr:uid="{00000000-0005-0000-0000-000015000000}"/>
    <cellStyle name="Normal 2 3 4 3 2 6" xfId="4422" xr:uid="{00000000-0005-0000-0000-000015000000}"/>
    <cellStyle name="Normal 2 3 4 3 2 6 2" xfId="12583" xr:uid="{00000000-0005-0000-0000-000015000000}"/>
    <cellStyle name="Normal 2 3 4 3 2 7" xfId="8503" xr:uid="{00000000-0005-0000-0000-000015000000}"/>
    <cellStyle name="Normal 2 3 4 3 3" xfId="953" xr:uid="{00000000-0005-0000-0000-000015000000}"/>
    <cellStyle name="Normal 2 3 4 3 3 2" xfId="2994" xr:uid="{00000000-0005-0000-0000-000015000000}"/>
    <cellStyle name="Normal 2 3 4 3 3 2 2" xfId="7075" xr:uid="{00000000-0005-0000-0000-000015000000}"/>
    <cellStyle name="Normal 2 3 4 3 3 2 2 2" xfId="15235" xr:uid="{00000000-0005-0000-0000-000015000000}"/>
    <cellStyle name="Normal 2 3 4 3 3 2 3" xfId="11155" xr:uid="{00000000-0005-0000-0000-000015000000}"/>
    <cellStyle name="Normal 2 3 4 3 3 3" xfId="1974" xr:uid="{00000000-0005-0000-0000-000015000000}"/>
    <cellStyle name="Normal 2 3 4 3 3 3 2" xfId="6055" xr:uid="{00000000-0005-0000-0000-000015000000}"/>
    <cellStyle name="Normal 2 3 4 3 3 3 2 2" xfId="14215" xr:uid="{00000000-0005-0000-0000-000015000000}"/>
    <cellStyle name="Normal 2 3 4 3 3 3 3" xfId="10135" xr:uid="{00000000-0005-0000-0000-000015000000}"/>
    <cellStyle name="Normal 2 3 4 3 3 4" xfId="4014" xr:uid="{00000000-0005-0000-0000-000015000000}"/>
    <cellStyle name="Normal 2 3 4 3 3 4 2" xfId="8095" xr:uid="{00000000-0005-0000-0000-000015000000}"/>
    <cellStyle name="Normal 2 3 4 3 3 4 2 2" xfId="16255" xr:uid="{00000000-0005-0000-0000-000015000000}"/>
    <cellStyle name="Normal 2 3 4 3 3 4 3" xfId="12175" xr:uid="{00000000-0005-0000-0000-000015000000}"/>
    <cellStyle name="Normal 2 3 4 3 3 5" xfId="5034" xr:uid="{00000000-0005-0000-0000-000015000000}"/>
    <cellStyle name="Normal 2 3 4 3 3 5 2" xfId="13195" xr:uid="{00000000-0005-0000-0000-000015000000}"/>
    <cellStyle name="Normal 2 3 4 3 3 6" xfId="9115" xr:uid="{00000000-0005-0000-0000-000015000000}"/>
    <cellStyle name="Normal 2 3 4 3 4" xfId="545" xr:uid="{00000000-0005-0000-0000-000015000000}"/>
    <cellStyle name="Normal 2 3 4 3 4 2" xfId="2586" xr:uid="{00000000-0005-0000-0000-000015000000}"/>
    <cellStyle name="Normal 2 3 4 3 4 2 2" xfId="6667" xr:uid="{00000000-0005-0000-0000-000015000000}"/>
    <cellStyle name="Normal 2 3 4 3 4 2 2 2" xfId="14827" xr:uid="{00000000-0005-0000-0000-000015000000}"/>
    <cellStyle name="Normal 2 3 4 3 4 2 3" xfId="10747" xr:uid="{00000000-0005-0000-0000-000015000000}"/>
    <cellStyle name="Normal 2 3 4 3 4 3" xfId="1566" xr:uid="{00000000-0005-0000-0000-000015000000}"/>
    <cellStyle name="Normal 2 3 4 3 4 3 2" xfId="5647" xr:uid="{00000000-0005-0000-0000-000015000000}"/>
    <cellStyle name="Normal 2 3 4 3 4 3 2 2" xfId="13807" xr:uid="{00000000-0005-0000-0000-000015000000}"/>
    <cellStyle name="Normal 2 3 4 3 4 3 3" xfId="9727" xr:uid="{00000000-0005-0000-0000-000015000000}"/>
    <cellStyle name="Normal 2 3 4 3 4 4" xfId="3606" xr:uid="{00000000-0005-0000-0000-000015000000}"/>
    <cellStyle name="Normal 2 3 4 3 4 4 2" xfId="7687" xr:uid="{00000000-0005-0000-0000-000015000000}"/>
    <cellStyle name="Normal 2 3 4 3 4 4 2 2" xfId="15847" xr:uid="{00000000-0005-0000-0000-000015000000}"/>
    <cellStyle name="Normal 2 3 4 3 4 4 3" xfId="11767" xr:uid="{00000000-0005-0000-0000-000015000000}"/>
    <cellStyle name="Normal 2 3 4 3 4 5" xfId="4626" xr:uid="{00000000-0005-0000-0000-000015000000}"/>
    <cellStyle name="Normal 2 3 4 3 4 5 2" xfId="12787" xr:uid="{00000000-0005-0000-0000-000015000000}"/>
    <cellStyle name="Normal 2 3 4 3 4 6" xfId="8707" xr:uid="{00000000-0005-0000-0000-000015000000}"/>
    <cellStyle name="Normal 2 3 4 3 5" xfId="2178" xr:uid="{00000000-0005-0000-0000-000015000000}"/>
    <cellStyle name="Normal 2 3 4 3 5 2" xfId="6259" xr:uid="{00000000-0005-0000-0000-000015000000}"/>
    <cellStyle name="Normal 2 3 4 3 5 2 2" xfId="14419" xr:uid="{00000000-0005-0000-0000-000015000000}"/>
    <cellStyle name="Normal 2 3 4 3 5 3" xfId="10339" xr:uid="{00000000-0005-0000-0000-000015000000}"/>
    <cellStyle name="Normal 2 3 4 3 6" xfId="1158" xr:uid="{00000000-0005-0000-0000-000015000000}"/>
    <cellStyle name="Normal 2 3 4 3 6 2" xfId="5239" xr:uid="{00000000-0005-0000-0000-000015000000}"/>
    <cellStyle name="Normal 2 3 4 3 6 2 2" xfId="13399" xr:uid="{00000000-0005-0000-0000-000015000000}"/>
    <cellStyle name="Normal 2 3 4 3 6 3" xfId="9319" xr:uid="{00000000-0005-0000-0000-000015000000}"/>
    <cellStyle name="Normal 2 3 4 3 7" xfId="3198" xr:uid="{00000000-0005-0000-0000-000015000000}"/>
    <cellStyle name="Normal 2 3 4 3 7 2" xfId="7279" xr:uid="{00000000-0005-0000-0000-000015000000}"/>
    <cellStyle name="Normal 2 3 4 3 7 2 2" xfId="15439" xr:uid="{00000000-0005-0000-0000-000015000000}"/>
    <cellStyle name="Normal 2 3 4 3 7 3" xfId="11359" xr:uid="{00000000-0005-0000-0000-000015000000}"/>
    <cellStyle name="Normal 2 3 4 3 8" xfId="4218" xr:uid="{00000000-0005-0000-0000-000015000000}"/>
    <cellStyle name="Normal 2 3 4 3 8 2" xfId="12379" xr:uid="{00000000-0005-0000-0000-000015000000}"/>
    <cellStyle name="Normal 2 3 4 3 9" xfId="8299" xr:uid="{00000000-0005-0000-0000-000015000000}"/>
    <cellStyle name="Normal 2 3 4 4" xfId="239" xr:uid="{00000000-0005-0000-0000-000015000000}"/>
    <cellStyle name="Normal 2 3 4 4 2" xfId="647" xr:uid="{00000000-0005-0000-0000-000015000000}"/>
    <cellStyle name="Normal 2 3 4 4 2 2" xfId="2688" xr:uid="{00000000-0005-0000-0000-000015000000}"/>
    <cellStyle name="Normal 2 3 4 4 2 2 2" xfId="6769" xr:uid="{00000000-0005-0000-0000-000015000000}"/>
    <cellStyle name="Normal 2 3 4 4 2 2 2 2" xfId="14929" xr:uid="{00000000-0005-0000-0000-000015000000}"/>
    <cellStyle name="Normal 2 3 4 4 2 2 3" xfId="10849" xr:uid="{00000000-0005-0000-0000-000015000000}"/>
    <cellStyle name="Normal 2 3 4 4 2 3" xfId="1668" xr:uid="{00000000-0005-0000-0000-000015000000}"/>
    <cellStyle name="Normal 2 3 4 4 2 3 2" xfId="5749" xr:uid="{00000000-0005-0000-0000-000015000000}"/>
    <cellStyle name="Normal 2 3 4 4 2 3 2 2" xfId="13909" xr:uid="{00000000-0005-0000-0000-000015000000}"/>
    <cellStyle name="Normal 2 3 4 4 2 3 3" xfId="9829" xr:uid="{00000000-0005-0000-0000-000015000000}"/>
    <cellStyle name="Normal 2 3 4 4 2 4" xfId="3708" xr:uid="{00000000-0005-0000-0000-000015000000}"/>
    <cellStyle name="Normal 2 3 4 4 2 4 2" xfId="7789" xr:uid="{00000000-0005-0000-0000-000015000000}"/>
    <cellStyle name="Normal 2 3 4 4 2 4 2 2" xfId="15949" xr:uid="{00000000-0005-0000-0000-000015000000}"/>
    <cellStyle name="Normal 2 3 4 4 2 4 3" xfId="11869" xr:uid="{00000000-0005-0000-0000-000015000000}"/>
    <cellStyle name="Normal 2 3 4 4 2 5" xfId="4728" xr:uid="{00000000-0005-0000-0000-000015000000}"/>
    <cellStyle name="Normal 2 3 4 4 2 5 2" xfId="12889" xr:uid="{00000000-0005-0000-0000-000015000000}"/>
    <cellStyle name="Normal 2 3 4 4 2 6" xfId="8809" xr:uid="{00000000-0005-0000-0000-000015000000}"/>
    <cellStyle name="Normal 2 3 4 4 3" xfId="2280" xr:uid="{00000000-0005-0000-0000-000015000000}"/>
    <cellStyle name="Normal 2 3 4 4 3 2" xfId="6361" xr:uid="{00000000-0005-0000-0000-000015000000}"/>
    <cellStyle name="Normal 2 3 4 4 3 2 2" xfId="14521" xr:uid="{00000000-0005-0000-0000-000015000000}"/>
    <cellStyle name="Normal 2 3 4 4 3 3" xfId="10441" xr:uid="{00000000-0005-0000-0000-000015000000}"/>
    <cellStyle name="Normal 2 3 4 4 4" xfId="1260" xr:uid="{00000000-0005-0000-0000-000015000000}"/>
    <cellStyle name="Normal 2 3 4 4 4 2" xfId="5341" xr:uid="{00000000-0005-0000-0000-000015000000}"/>
    <cellStyle name="Normal 2 3 4 4 4 2 2" xfId="13501" xr:uid="{00000000-0005-0000-0000-000015000000}"/>
    <cellStyle name="Normal 2 3 4 4 4 3" xfId="9421" xr:uid="{00000000-0005-0000-0000-000015000000}"/>
    <cellStyle name="Normal 2 3 4 4 5" xfId="3300" xr:uid="{00000000-0005-0000-0000-000015000000}"/>
    <cellStyle name="Normal 2 3 4 4 5 2" xfId="7381" xr:uid="{00000000-0005-0000-0000-000015000000}"/>
    <cellStyle name="Normal 2 3 4 4 5 2 2" xfId="15541" xr:uid="{00000000-0005-0000-0000-000015000000}"/>
    <cellStyle name="Normal 2 3 4 4 5 3" xfId="11461" xr:uid="{00000000-0005-0000-0000-000015000000}"/>
    <cellStyle name="Normal 2 3 4 4 6" xfId="4320" xr:uid="{00000000-0005-0000-0000-000015000000}"/>
    <cellStyle name="Normal 2 3 4 4 6 2" xfId="12481" xr:uid="{00000000-0005-0000-0000-000015000000}"/>
    <cellStyle name="Normal 2 3 4 4 7" xfId="8401" xr:uid="{00000000-0005-0000-0000-000015000000}"/>
    <cellStyle name="Normal 2 3 4 5" xfId="851" xr:uid="{00000000-0005-0000-0000-000015000000}"/>
    <cellStyle name="Normal 2 3 4 5 2" xfId="2892" xr:uid="{00000000-0005-0000-0000-000015000000}"/>
    <cellStyle name="Normal 2 3 4 5 2 2" xfId="6973" xr:uid="{00000000-0005-0000-0000-000015000000}"/>
    <cellStyle name="Normal 2 3 4 5 2 2 2" xfId="15133" xr:uid="{00000000-0005-0000-0000-000015000000}"/>
    <cellStyle name="Normal 2 3 4 5 2 3" xfId="11053" xr:uid="{00000000-0005-0000-0000-000015000000}"/>
    <cellStyle name="Normal 2 3 4 5 3" xfId="1872" xr:uid="{00000000-0005-0000-0000-000015000000}"/>
    <cellStyle name="Normal 2 3 4 5 3 2" xfId="5953" xr:uid="{00000000-0005-0000-0000-000015000000}"/>
    <cellStyle name="Normal 2 3 4 5 3 2 2" xfId="14113" xr:uid="{00000000-0005-0000-0000-000015000000}"/>
    <cellStyle name="Normal 2 3 4 5 3 3" xfId="10033" xr:uid="{00000000-0005-0000-0000-000015000000}"/>
    <cellStyle name="Normal 2 3 4 5 4" xfId="3912" xr:uid="{00000000-0005-0000-0000-000015000000}"/>
    <cellStyle name="Normal 2 3 4 5 4 2" xfId="7993" xr:uid="{00000000-0005-0000-0000-000015000000}"/>
    <cellStyle name="Normal 2 3 4 5 4 2 2" xfId="16153" xr:uid="{00000000-0005-0000-0000-000015000000}"/>
    <cellStyle name="Normal 2 3 4 5 4 3" xfId="12073" xr:uid="{00000000-0005-0000-0000-000015000000}"/>
    <cellStyle name="Normal 2 3 4 5 5" xfId="4932" xr:uid="{00000000-0005-0000-0000-000015000000}"/>
    <cellStyle name="Normal 2 3 4 5 5 2" xfId="13093" xr:uid="{00000000-0005-0000-0000-000015000000}"/>
    <cellStyle name="Normal 2 3 4 5 6" xfId="9013" xr:uid="{00000000-0005-0000-0000-000015000000}"/>
    <cellStyle name="Normal 2 3 4 6" xfId="443" xr:uid="{00000000-0005-0000-0000-000015000000}"/>
    <cellStyle name="Normal 2 3 4 6 2" xfId="2484" xr:uid="{00000000-0005-0000-0000-000015000000}"/>
    <cellStyle name="Normal 2 3 4 6 2 2" xfId="6565" xr:uid="{00000000-0005-0000-0000-000015000000}"/>
    <cellStyle name="Normal 2 3 4 6 2 2 2" xfId="14725" xr:uid="{00000000-0005-0000-0000-000015000000}"/>
    <cellStyle name="Normal 2 3 4 6 2 3" xfId="10645" xr:uid="{00000000-0005-0000-0000-000015000000}"/>
    <cellStyle name="Normal 2 3 4 6 3" xfId="1464" xr:uid="{00000000-0005-0000-0000-000015000000}"/>
    <cellStyle name="Normal 2 3 4 6 3 2" xfId="5545" xr:uid="{00000000-0005-0000-0000-000015000000}"/>
    <cellStyle name="Normal 2 3 4 6 3 2 2" xfId="13705" xr:uid="{00000000-0005-0000-0000-000015000000}"/>
    <cellStyle name="Normal 2 3 4 6 3 3" xfId="9625" xr:uid="{00000000-0005-0000-0000-000015000000}"/>
    <cellStyle name="Normal 2 3 4 6 4" xfId="3504" xr:uid="{00000000-0005-0000-0000-000015000000}"/>
    <cellStyle name="Normal 2 3 4 6 4 2" xfId="7585" xr:uid="{00000000-0005-0000-0000-000015000000}"/>
    <cellStyle name="Normal 2 3 4 6 4 2 2" xfId="15745" xr:uid="{00000000-0005-0000-0000-000015000000}"/>
    <cellStyle name="Normal 2 3 4 6 4 3" xfId="11665" xr:uid="{00000000-0005-0000-0000-000015000000}"/>
    <cellStyle name="Normal 2 3 4 6 5" xfId="4524" xr:uid="{00000000-0005-0000-0000-000015000000}"/>
    <cellStyle name="Normal 2 3 4 6 5 2" xfId="12685" xr:uid="{00000000-0005-0000-0000-000015000000}"/>
    <cellStyle name="Normal 2 3 4 6 6" xfId="8605" xr:uid="{00000000-0005-0000-0000-000015000000}"/>
    <cellStyle name="Normal 2 3 4 7" xfId="2076" xr:uid="{00000000-0005-0000-0000-000015000000}"/>
    <cellStyle name="Normal 2 3 4 7 2" xfId="6157" xr:uid="{00000000-0005-0000-0000-000015000000}"/>
    <cellStyle name="Normal 2 3 4 7 2 2" xfId="14317" xr:uid="{00000000-0005-0000-0000-000015000000}"/>
    <cellStyle name="Normal 2 3 4 7 3" xfId="10237" xr:uid="{00000000-0005-0000-0000-000015000000}"/>
    <cellStyle name="Normal 2 3 4 8" xfId="1056" xr:uid="{00000000-0005-0000-0000-000015000000}"/>
    <cellStyle name="Normal 2 3 4 8 2" xfId="5137" xr:uid="{00000000-0005-0000-0000-000015000000}"/>
    <cellStyle name="Normal 2 3 4 8 2 2" xfId="13297" xr:uid="{00000000-0005-0000-0000-000015000000}"/>
    <cellStyle name="Normal 2 3 4 8 3" xfId="9217" xr:uid="{00000000-0005-0000-0000-000015000000}"/>
    <cellStyle name="Normal 2 3 4 9" xfId="3096" xr:uid="{00000000-0005-0000-0000-000015000000}"/>
    <cellStyle name="Normal 2 3 4 9 2" xfId="7177" xr:uid="{00000000-0005-0000-0000-000015000000}"/>
    <cellStyle name="Normal 2 3 4 9 2 2" xfId="15337" xr:uid="{00000000-0005-0000-0000-000015000000}"/>
    <cellStyle name="Normal 2 3 4 9 3" xfId="11257" xr:uid="{00000000-0005-0000-0000-000015000000}"/>
    <cellStyle name="Normal 2 3 5" xfId="61" xr:uid="{00000000-0005-0000-0000-000010000000}"/>
    <cellStyle name="Normal 2 3 5 10" xfId="8223" xr:uid="{00000000-0005-0000-0000-000010000000}"/>
    <cellStyle name="Normal 2 3 5 2" xfId="163" xr:uid="{00000000-0005-0000-0000-000010000000}"/>
    <cellStyle name="Normal 2 3 5 2 2" xfId="367" xr:uid="{00000000-0005-0000-0000-000010000000}"/>
    <cellStyle name="Normal 2 3 5 2 2 2" xfId="775" xr:uid="{00000000-0005-0000-0000-000010000000}"/>
    <cellStyle name="Normal 2 3 5 2 2 2 2" xfId="2816" xr:uid="{00000000-0005-0000-0000-000010000000}"/>
    <cellStyle name="Normal 2 3 5 2 2 2 2 2" xfId="6897" xr:uid="{00000000-0005-0000-0000-000010000000}"/>
    <cellStyle name="Normal 2 3 5 2 2 2 2 2 2" xfId="15057" xr:uid="{00000000-0005-0000-0000-000010000000}"/>
    <cellStyle name="Normal 2 3 5 2 2 2 2 3" xfId="10977" xr:uid="{00000000-0005-0000-0000-000010000000}"/>
    <cellStyle name="Normal 2 3 5 2 2 2 3" xfId="1796" xr:uid="{00000000-0005-0000-0000-000010000000}"/>
    <cellStyle name="Normal 2 3 5 2 2 2 3 2" xfId="5877" xr:uid="{00000000-0005-0000-0000-000010000000}"/>
    <cellStyle name="Normal 2 3 5 2 2 2 3 2 2" xfId="14037" xr:uid="{00000000-0005-0000-0000-000010000000}"/>
    <cellStyle name="Normal 2 3 5 2 2 2 3 3" xfId="9957" xr:uid="{00000000-0005-0000-0000-000010000000}"/>
    <cellStyle name="Normal 2 3 5 2 2 2 4" xfId="3836" xr:uid="{00000000-0005-0000-0000-000010000000}"/>
    <cellStyle name="Normal 2 3 5 2 2 2 4 2" xfId="7917" xr:uid="{00000000-0005-0000-0000-000010000000}"/>
    <cellStyle name="Normal 2 3 5 2 2 2 4 2 2" xfId="16077" xr:uid="{00000000-0005-0000-0000-000010000000}"/>
    <cellStyle name="Normal 2 3 5 2 2 2 4 3" xfId="11997" xr:uid="{00000000-0005-0000-0000-000010000000}"/>
    <cellStyle name="Normal 2 3 5 2 2 2 5" xfId="4856" xr:uid="{00000000-0005-0000-0000-000010000000}"/>
    <cellStyle name="Normal 2 3 5 2 2 2 5 2" xfId="13017" xr:uid="{00000000-0005-0000-0000-000010000000}"/>
    <cellStyle name="Normal 2 3 5 2 2 2 6" xfId="8937" xr:uid="{00000000-0005-0000-0000-000010000000}"/>
    <cellStyle name="Normal 2 3 5 2 2 3" xfId="2408" xr:uid="{00000000-0005-0000-0000-000010000000}"/>
    <cellStyle name="Normal 2 3 5 2 2 3 2" xfId="6489" xr:uid="{00000000-0005-0000-0000-000010000000}"/>
    <cellStyle name="Normal 2 3 5 2 2 3 2 2" xfId="14649" xr:uid="{00000000-0005-0000-0000-000010000000}"/>
    <cellStyle name="Normal 2 3 5 2 2 3 3" xfId="10569" xr:uid="{00000000-0005-0000-0000-000010000000}"/>
    <cellStyle name="Normal 2 3 5 2 2 4" xfId="1388" xr:uid="{00000000-0005-0000-0000-000010000000}"/>
    <cellStyle name="Normal 2 3 5 2 2 4 2" xfId="5469" xr:uid="{00000000-0005-0000-0000-000010000000}"/>
    <cellStyle name="Normal 2 3 5 2 2 4 2 2" xfId="13629" xr:uid="{00000000-0005-0000-0000-000010000000}"/>
    <cellStyle name="Normal 2 3 5 2 2 4 3" xfId="9549" xr:uid="{00000000-0005-0000-0000-000010000000}"/>
    <cellStyle name="Normal 2 3 5 2 2 5" xfId="3428" xr:uid="{00000000-0005-0000-0000-000010000000}"/>
    <cellStyle name="Normal 2 3 5 2 2 5 2" xfId="7509" xr:uid="{00000000-0005-0000-0000-000010000000}"/>
    <cellStyle name="Normal 2 3 5 2 2 5 2 2" xfId="15669" xr:uid="{00000000-0005-0000-0000-000010000000}"/>
    <cellStyle name="Normal 2 3 5 2 2 5 3" xfId="11589" xr:uid="{00000000-0005-0000-0000-000010000000}"/>
    <cellStyle name="Normal 2 3 5 2 2 6" xfId="4448" xr:uid="{00000000-0005-0000-0000-000010000000}"/>
    <cellStyle name="Normal 2 3 5 2 2 6 2" xfId="12609" xr:uid="{00000000-0005-0000-0000-000010000000}"/>
    <cellStyle name="Normal 2 3 5 2 2 7" xfId="8529" xr:uid="{00000000-0005-0000-0000-000010000000}"/>
    <cellStyle name="Normal 2 3 5 2 3" xfId="979" xr:uid="{00000000-0005-0000-0000-000010000000}"/>
    <cellStyle name="Normal 2 3 5 2 3 2" xfId="3020" xr:uid="{00000000-0005-0000-0000-000010000000}"/>
    <cellStyle name="Normal 2 3 5 2 3 2 2" xfId="7101" xr:uid="{00000000-0005-0000-0000-000010000000}"/>
    <cellStyle name="Normal 2 3 5 2 3 2 2 2" xfId="15261" xr:uid="{00000000-0005-0000-0000-000010000000}"/>
    <cellStyle name="Normal 2 3 5 2 3 2 3" xfId="11181" xr:uid="{00000000-0005-0000-0000-000010000000}"/>
    <cellStyle name="Normal 2 3 5 2 3 3" xfId="2000" xr:uid="{00000000-0005-0000-0000-000010000000}"/>
    <cellStyle name="Normal 2 3 5 2 3 3 2" xfId="6081" xr:uid="{00000000-0005-0000-0000-000010000000}"/>
    <cellStyle name="Normal 2 3 5 2 3 3 2 2" xfId="14241" xr:uid="{00000000-0005-0000-0000-000010000000}"/>
    <cellStyle name="Normal 2 3 5 2 3 3 3" xfId="10161" xr:uid="{00000000-0005-0000-0000-000010000000}"/>
    <cellStyle name="Normal 2 3 5 2 3 4" xfId="4040" xr:uid="{00000000-0005-0000-0000-000010000000}"/>
    <cellStyle name="Normal 2 3 5 2 3 4 2" xfId="8121" xr:uid="{00000000-0005-0000-0000-000010000000}"/>
    <cellStyle name="Normal 2 3 5 2 3 4 2 2" xfId="16281" xr:uid="{00000000-0005-0000-0000-000010000000}"/>
    <cellStyle name="Normal 2 3 5 2 3 4 3" xfId="12201" xr:uid="{00000000-0005-0000-0000-000010000000}"/>
    <cellStyle name="Normal 2 3 5 2 3 5" xfId="5060" xr:uid="{00000000-0005-0000-0000-000010000000}"/>
    <cellStyle name="Normal 2 3 5 2 3 5 2" xfId="13221" xr:uid="{00000000-0005-0000-0000-000010000000}"/>
    <cellStyle name="Normal 2 3 5 2 3 6" xfId="9141" xr:uid="{00000000-0005-0000-0000-000010000000}"/>
    <cellStyle name="Normal 2 3 5 2 4" xfId="571" xr:uid="{00000000-0005-0000-0000-000010000000}"/>
    <cellStyle name="Normal 2 3 5 2 4 2" xfId="2612" xr:uid="{00000000-0005-0000-0000-000010000000}"/>
    <cellStyle name="Normal 2 3 5 2 4 2 2" xfId="6693" xr:uid="{00000000-0005-0000-0000-000010000000}"/>
    <cellStyle name="Normal 2 3 5 2 4 2 2 2" xfId="14853" xr:uid="{00000000-0005-0000-0000-000010000000}"/>
    <cellStyle name="Normal 2 3 5 2 4 2 3" xfId="10773" xr:uid="{00000000-0005-0000-0000-000010000000}"/>
    <cellStyle name="Normal 2 3 5 2 4 3" xfId="1592" xr:uid="{00000000-0005-0000-0000-000010000000}"/>
    <cellStyle name="Normal 2 3 5 2 4 3 2" xfId="5673" xr:uid="{00000000-0005-0000-0000-000010000000}"/>
    <cellStyle name="Normal 2 3 5 2 4 3 2 2" xfId="13833" xr:uid="{00000000-0005-0000-0000-000010000000}"/>
    <cellStyle name="Normal 2 3 5 2 4 3 3" xfId="9753" xr:uid="{00000000-0005-0000-0000-000010000000}"/>
    <cellStyle name="Normal 2 3 5 2 4 4" xfId="3632" xr:uid="{00000000-0005-0000-0000-000010000000}"/>
    <cellStyle name="Normal 2 3 5 2 4 4 2" xfId="7713" xr:uid="{00000000-0005-0000-0000-000010000000}"/>
    <cellStyle name="Normal 2 3 5 2 4 4 2 2" xfId="15873" xr:uid="{00000000-0005-0000-0000-000010000000}"/>
    <cellStyle name="Normal 2 3 5 2 4 4 3" xfId="11793" xr:uid="{00000000-0005-0000-0000-000010000000}"/>
    <cellStyle name="Normal 2 3 5 2 4 5" xfId="4652" xr:uid="{00000000-0005-0000-0000-000010000000}"/>
    <cellStyle name="Normal 2 3 5 2 4 5 2" xfId="12813" xr:uid="{00000000-0005-0000-0000-000010000000}"/>
    <cellStyle name="Normal 2 3 5 2 4 6" xfId="8733" xr:uid="{00000000-0005-0000-0000-000010000000}"/>
    <cellStyle name="Normal 2 3 5 2 5" xfId="2204" xr:uid="{00000000-0005-0000-0000-000010000000}"/>
    <cellStyle name="Normal 2 3 5 2 5 2" xfId="6285" xr:uid="{00000000-0005-0000-0000-000010000000}"/>
    <cellStyle name="Normal 2 3 5 2 5 2 2" xfId="14445" xr:uid="{00000000-0005-0000-0000-000010000000}"/>
    <cellStyle name="Normal 2 3 5 2 5 3" xfId="10365" xr:uid="{00000000-0005-0000-0000-000010000000}"/>
    <cellStyle name="Normal 2 3 5 2 6" xfId="1184" xr:uid="{00000000-0005-0000-0000-000010000000}"/>
    <cellStyle name="Normal 2 3 5 2 6 2" xfId="5265" xr:uid="{00000000-0005-0000-0000-000010000000}"/>
    <cellStyle name="Normal 2 3 5 2 6 2 2" xfId="13425" xr:uid="{00000000-0005-0000-0000-000010000000}"/>
    <cellStyle name="Normal 2 3 5 2 6 3" xfId="9345" xr:uid="{00000000-0005-0000-0000-000010000000}"/>
    <cellStyle name="Normal 2 3 5 2 7" xfId="3224" xr:uid="{00000000-0005-0000-0000-000010000000}"/>
    <cellStyle name="Normal 2 3 5 2 7 2" xfId="7305" xr:uid="{00000000-0005-0000-0000-000010000000}"/>
    <cellStyle name="Normal 2 3 5 2 7 2 2" xfId="15465" xr:uid="{00000000-0005-0000-0000-000010000000}"/>
    <cellStyle name="Normal 2 3 5 2 7 3" xfId="11385" xr:uid="{00000000-0005-0000-0000-000010000000}"/>
    <cellStyle name="Normal 2 3 5 2 8" xfId="4244" xr:uid="{00000000-0005-0000-0000-000010000000}"/>
    <cellStyle name="Normal 2 3 5 2 8 2" xfId="12405" xr:uid="{00000000-0005-0000-0000-000010000000}"/>
    <cellStyle name="Normal 2 3 5 2 9" xfId="8325" xr:uid="{00000000-0005-0000-0000-000010000000}"/>
    <cellStyle name="Normal 2 3 5 3" xfId="265" xr:uid="{00000000-0005-0000-0000-000010000000}"/>
    <cellStyle name="Normal 2 3 5 3 2" xfId="673" xr:uid="{00000000-0005-0000-0000-000010000000}"/>
    <cellStyle name="Normal 2 3 5 3 2 2" xfId="2714" xr:uid="{00000000-0005-0000-0000-000010000000}"/>
    <cellStyle name="Normal 2 3 5 3 2 2 2" xfId="6795" xr:uid="{00000000-0005-0000-0000-000010000000}"/>
    <cellStyle name="Normal 2 3 5 3 2 2 2 2" xfId="14955" xr:uid="{00000000-0005-0000-0000-000010000000}"/>
    <cellStyle name="Normal 2 3 5 3 2 2 3" xfId="10875" xr:uid="{00000000-0005-0000-0000-000010000000}"/>
    <cellStyle name="Normal 2 3 5 3 2 3" xfId="1694" xr:uid="{00000000-0005-0000-0000-000010000000}"/>
    <cellStyle name="Normal 2 3 5 3 2 3 2" xfId="5775" xr:uid="{00000000-0005-0000-0000-000010000000}"/>
    <cellStyle name="Normal 2 3 5 3 2 3 2 2" xfId="13935" xr:uid="{00000000-0005-0000-0000-000010000000}"/>
    <cellStyle name="Normal 2 3 5 3 2 3 3" xfId="9855" xr:uid="{00000000-0005-0000-0000-000010000000}"/>
    <cellStyle name="Normal 2 3 5 3 2 4" xfId="3734" xr:uid="{00000000-0005-0000-0000-000010000000}"/>
    <cellStyle name="Normal 2 3 5 3 2 4 2" xfId="7815" xr:uid="{00000000-0005-0000-0000-000010000000}"/>
    <cellStyle name="Normal 2 3 5 3 2 4 2 2" xfId="15975" xr:uid="{00000000-0005-0000-0000-000010000000}"/>
    <cellStyle name="Normal 2 3 5 3 2 4 3" xfId="11895" xr:uid="{00000000-0005-0000-0000-000010000000}"/>
    <cellStyle name="Normal 2 3 5 3 2 5" xfId="4754" xr:uid="{00000000-0005-0000-0000-000010000000}"/>
    <cellStyle name="Normal 2 3 5 3 2 5 2" xfId="12915" xr:uid="{00000000-0005-0000-0000-000010000000}"/>
    <cellStyle name="Normal 2 3 5 3 2 6" xfId="8835" xr:uid="{00000000-0005-0000-0000-000010000000}"/>
    <cellStyle name="Normal 2 3 5 3 3" xfId="2306" xr:uid="{00000000-0005-0000-0000-000010000000}"/>
    <cellStyle name="Normal 2 3 5 3 3 2" xfId="6387" xr:uid="{00000000-0005-0000-0000-000010000000}"/>
    <cellStyle name="Normal 2 3 5 3 3 2 2" xfId="14547" xr:uid="{00000000-0005-0000-0000-000010000000}"/>
    <cellStyle name="Normal 2 3 5 3 3 3" xfId="10467" xr:uid="{00000000-0005-0000-0000-000010000000}"/>
    <cellStyle name="Normal 2 3 5 3 4" xfId="1286" xr:uid="{00000000-0005-0000-0000-000010000000}"/>
    <cellStyle name="Normal 2 3 5 3 4 2" xfId="5367" xr:uid="{00000000-0005-0000-0000-000010000000}"/>
    <cellStyle name="Normal 2 3 5 3 4 2 2" xfId="13527" xr:uid="{00000000-0005-0000-0000-000010000000}"/>
    <cellStyle name="Normal 2 3 5 3 4 3" xfId="9447" xr:uid="{00000000-0005-0000-0000-000010000000}"/>
    <cellStyle name="Normal 2 3 5 3 5" xfId="3326" xr:uid="{00000000-0005-0000-0000-000010000000}"/>
    <cellStyle name="Normal 2 3 5 3 5 2" xfId="7407" xr:uid="{00000000-0005-0000-0000-000010000000}"/>
    <cellStyle name="Normal 2 3 5 3 5 2 2" xfId="15567" xr:uid="{00000000-0005-0000-0000-000010000000}"/>
    <cellStyle name="Normal 2 3 5 3 5 3" xfId="11487" xr:uid="{00000000-0005-0000-0000-000010000000}"/>
    <cellStyle name="Normal 2 3 5 3 6" xfId="4346" xr:uid="{00000000-0005-0000-0000-000010000000}"/>
    <cellStyle name="Normal 2 3 5 3 6 2" xfId="12507" xr:uid="{00000000-0005-0000-0000-000010000000}"/>
    <cellStyle name="Normal 2 3 5 3 7" xfId="8427" xr:uid="{00000000-0005-0000-0000-000010000000}"/>
    <cellStyle name="Normal 2 3 5 4" xfId="877" xr:uid="{00000000-0005-0000-0000-000010000000}"/>
    <cellStyle name="Normal 2 3 5 4 2" xfId="2918" xr:uid="{00000000-0005-0000-0000-000010000000}"/>
    <cellStyle name="Normal 2 3 5 4 2 2" xfId="6999" xr:uid="{00000000-0005-0000-0000-000010000000}"/>
    <cellStyle name="Normal 2 3 5 4 2 2 2" xfId="15159" xr:uid="{00000000-0005-0000-0000-000010000000}"/>
    <cellStyle name="Normal 2 3 5 4 2 3" xfId="11079" xr:uid="{00000000-0005-0000-0000-000010000000}"/>
    <cellStyle name="Normal 2 3 5 4 3" xfId="1898" xr:uid="{00000000-0005-0000-0000-000010000000}"/>
    <cellStyle name="Normal 2 3 5 4 3 2" xfId="5979" xr:uid="{00000000-0005-0000-0000-000010000000}"/>
    <cellStyle name="Normal 2 3 5 4 3 2 2" xfId="14139" xr:uid="{00000000-0005-0000-0000-000010000000}"/>
    <cellStyle name="Normal 2 3 5 4 3 3" xfId="10059" xr:uid="{00000000-0005-0000-0000-000010000000}"/>
    <cellStyle name="Normal 2 3 5 4 4" xfId="3938" xr:uid="{00000000-0005-0000-0000-000010000000}"/>
    <cellStyle name="Normal 2 3 5 4 4 2" xfId="8019" xr:uid="{00000000-0005-0000-0000-000010000000}"/>
    <cellStyle name="Normal 2 3 5 4 4 2 2" xfId="16179" xr:uid="{00000000-0005-0000-0000-000010000000}"/>
    <cellStyle name="Normal 2 3 5 4 4 3" xfId="12099" xr:uid="{00000000-0005-0000-0000-000010000000}"/>
    <cellStyle name="Normal 2 3 5 4 5" xfId="4958" xr:uid="{00000000-0005-0000-0000-000010000000}"/>
    <cellStyle name="Normal 2 3 5 4 5 2" xfId="13119" xr:uid="{00000000-0005-0000-0000-000010000000}"/>
    <cellStyle name="Normal 2 3 5 4 6" xfId="9039" xr:uid="{00000000-0005-0000-0000-000010000000}"/>
    <cellStyle name="Normal 2 3 5 5" xfId="469" xr:uid="{00000000-0005-0000-0000-000010000000}"/>
    <cellStyle name="Normal 2 3 5 5 2" xfId="2510" xr:uid="{00000000-0005-0000-0000-000010000000}"/>
    <cellStyle name="Normal 2 3 5 5 2 2" xfId="6591" xr:uid="{00000000-0005-0000-0000-000010000000}"/>
    <cellStyle name="Normal 2 3 5 5 2 2 2" xfId="14751" xr:uid="{00000000-0005-0000-0000-000010000000}"/>
    <cellStyle name="Normal 2 3 5 5 2 3" xfId="10671" xr:uid="{00000000-0005-0000-0000-000010000000}"/>
    <cellStyle name="Normal 2 3 5 5 3" xfId="1490" xr:uid="{00000000-0005-0000-0000-000010000000}"/>
    <cellStyle name="Normal 2 3 5 5 3 2" xfId="5571" xr:uid="{00000000-0005-0000-0000-000010000000}"/>
    <cellStyle name="Normal 2 3 5 5 3 2 2" xfId="13731" xr:uid="{00000000-0005-0000-0000-000010000000}"/>
    <cellStyle name="Normal 2 3 5 5 3 3" xfId="9651" xr:uid="{00000000-0005-0000-0000-000010000000}"/>
    <cellStyle name="Normal 2 3 5 5 4" xfId="3530" xr:uid="{00000000-0005-0000-0000-000010000000}"/>
    <cellStyle name="Normal 2 3 5 5 4 2" xfId="7611" xr:uid="{00000000-0005-0000-0000-000010000000}"/>
    <cellStyle name="Normal 2 3 5 5 4 2 2" xfId="15771" xr:uid="{00000000-0005-0000-0000-000010000000}"/>
    <cellStyle name="Normal 2 3 5 5 4 3" xfId="11691" xr:uid="{00000000-0005-0000-0000-000010000000}"/>
    <cellStyle name="Normal 2 3 5 5 5" xfId="4550" xr:uid="{00000000-0005-0000-0000-000010000000}"/>
    <cellStyle name="Normal 2 3 5 5 5 2" xfId="12711" xr:uid="{00000000-0005-0000-0000-000010000000}"/>
    <cellStyle name="Normal 2 3 5 5 6" xfId="8631" xr:uid="{00000000-0005-0000-0000-000010000000}"/>
    <cellStyle name="Normal 2 3 5 6" xfId="2102" xr:uid="{00000000-0005-0000-0000-000010000000}"/>
    <cellStyle name="Normal 2 3 5 6 2" xfId="6183" xr:uid="{00000000-0005-0000-0000-000010000000}"/>
    <cellStyle name="Normal 2 3 5 6 2 2" xfId="14343" xr:uid="{00000000-0005-0000-0000-000010000000}"/>
    <cellStyle name="Normal 2 3 5 6 3" xfId="10263" xr:uid="{00000000-0005-0000-0000-000010000000}"/>
    <cellStyle name="Normal 2 3 5 7" xfId="1082" xr:uid="{00000000-0005-0000-0000-000010000000}"/>
    <cellStyle name="Normal 2 3 5 7 2" xfId="5163" xr:uid="{00000000-0005-0000-0000-000010000000}"/>
    <cellStyle name="Normal 2 3 5 7 2 2" xfId="13323" xr:uid="{00000000-0005-0000-0000-000010000000}"/>
    <cellStyle name="Normal 2 3 5 7 3" xfId="9243" xr:uid="{00000000-0005-0000-0000-000010000000}"/>
    <cellStyle name="Normal 2 3 5 8" xfId="3122" xr:uid="{00000000-0005-0000-0000-000010000000}"/>
    <cellStyle name="Normal 2 3 5 8 2" xfId="7203" xr:uid="{00000000-0005-0000-0000-000010000000}"/>
    <cellStyle name="Normal 2 3 5 8 2 2" xfId="15363" xr:uid="{00000000-0005-0000-0000-000010000000}"/>
    <cellStyle name="Normal 2 3 5 8 3" xfId="11283" xr:uid="{00000000-0005-0000-0000-000010000000}"/>
    <cellStyle name="Normal 2 3 5 9" xfId="4142" xr:uid="{00000000-0005-0000-0000-000010000000}"/>
    <cellStyle name="Normal 2 3 5 9 2" xfId="12303" xr:uid="{00000000-0005-0000-0000-000010000000}"/>
    <cellStyle name="Normal 2 3 6" xfId="112" xr:uid="{00000000-0005-0000-0000-000010000000}"/>
    <cellStyle name="Normal 2 3 6 2" xfId="316" xr:uid="{00000000-0005-0000-0000-000010000000}"/>
    <cellStyle name="Normal 2 3 6 2 2" xfId="724" xr:uid="{00000000-0005-0000-0000-000010000000}"/>
    <cellStyle name="Normal 2 3 6 2 2 2" xfId="2765" xr:uid="{00000000-0005-0000-0000-000010000000}"/>
    <cellStyle name="Normal 2 3 6 2 2 2 2" xfId="6846" xr:uid="{00000000-0005-0000-0000-000010000000}"/>
    <cellStyle name="Normal 2 3 6 2 2 2 2 2" xfId="15006" xr:uid="{00000000-0005-0000-0000-000010000000}"/>
    <cellStyle name="Normal 2 3 6 2 2 2 3" xfId="10926" xr:uid="{00000000-0005-0000-0000-000010000000}"/>
    <cellStyle name="Normal 2 3 6 2 2 3" xfId="1745" xr:uid="{00000000-0005-0000-0000-000010000000}"/>
    <cellStyle name="Normal 2 3 6 2 2 3 2" xfId="5826" xr:uid="{00000000-0005-0000-0000-000010000000}"/>
    <cellStyle name="Normal 2 3 6 2 2 3 2 2" xfId="13986" xr:uid="{00000000-0005-0000-0000-000010000000}"/>
    <cellStyle name="Normal 2 3 6 2 2 3 3" xfId="9906" xr:uid="{00000000-0005-0000-0000-000010000000}"/>
    <cellStyle name="Normal 2 3 6 2 2 4" xfId="3785" xr:uid="{00000000-0005-0000-0000-000010000000}"/>
    <cellStyle name="Normal 2 3 6 2 2 4 2" xfId="7866" xr:uid="{00000000-0005-0000-0000-000010000000}"/>
    <cellStyle name="Normal 2 3 6 2 2 4 2 2" xfId="16026" xr:uid="{00000000-0005-0000-0000-000010000000}"/>
    <cellStyle name="Normal 2 3 6 2 2 4 3" xfId="11946" xr:uid="{00000000-0005-0000-0000-000010000000}"/>
    <cellStyle name="Normal 2 3 6 2 2 5" xfId="4805" xr:uid="{00000000-0005-0000-0000-000010000000}"/>
    <cellStyle name="Normal 2 3 6 2 2 5 2" xfId="12966" xr:uid="{00000000-0005-0000-0000-000010000000}"/>
    <cellStyle name="Normal 2 3 6 2 2 6" xfId="8886" xr:uid="{00000000-0005-0000-0000-000010000000}"/>
    <cellStyle name="Normal 2 3 6 2 3" xfId="2357" xr:uid="{00000000-0005-0000-0000-000010000000}"/>
    <cellStyle name="Normal 2 3 6 2 3 2" xfId="6438" xr:uid="{00000000-0005-0000-0000-000010000000}"/>
    <cellStyle name="Normal 2 3 6 2 3 2 2" xfId="14598" xr:uid="{00000000-0005-0000-0000-000010000000}"/>
    <cellStyle name="Normal 2 3 6 2 3 3" xfId="10518" xr:uid="{00000000-0005-0000-0000-000010000000}"/>
    <cellStyle name="Normal 2 3 6 2 4" xfId="1337" xr:uid="{00000000-0005-0000-0000-000010000000}"/>
    <cellStyle name="Normal 2 3 6 2 4 2" xfId="5418" xr:uid="{00000000-0005-0000-0000-000010000000}"/>
    <cellStyle name="Normal 2 3 6 2 4 2 2" xfId="13578" xr:uid="{00000000-0005-0000-0000-000010000000}"/>
    <cellStyle name="Normal 2 3 6 2 4 3" xfId="9498" xr:uid="{00000000-0005-0000-0000-000010000000}"/>
    <cellStyle name="Normal 2 3 6 2 5" xfId="3377" xr:uid="{00000000-0005-0000-0000-000010000000}"/>
    <cellStyle name="Normal 2 3 6 2 5 2" xfId="7458" xr:uid="{00000000-0005-0000-0000-000010000000}"/>
    <cellStyle name="Normal 2 3 6 2 5 2 2" xfId="15618" xr:uid="{00000000-0005-0000-0000-000010000000}"/>
    <cellStyle name="Normal 2 3 6 2 5 3" xfId="11538" xr:uid="{00000000-0005-0000-0000-000010000000}"/>
    <cellStyle name="Normal 2 3 6 2 6" xfId="4397" xr:uid="{00000000-0005-0000-0000-000010000000}"/>
    <cellStyle name="Normal 2 3 6 2 6 2" xfId="12558" xr:uid="{00000000-0005-0000-0000-000010000000}"/>
    <cellStyle name="Normal 2 3 6 2 7" xfId="8478" xr:uid="{00000000-0005-0000-0000-000010000000}"/>
    <cellStyle name="Normal 2 3 6 3" xfId="928" xr:uid="{00000000-0005-0000-0000-000010000000}"/>
    <cellStyle name="Normal 2 3 6 3 2" xfId="2969" xr:uid="{00000000-0005-0000-0000-000010000000}"/>
    <cellStyle name="Normal 2 3 6 3 2 2" xfId="7050" xr:uid="{00000000-0005-0000-0000-000010000000}"/>
    <cellStyle name="Normal 2 3 6 3 2 2 2" xfId="15210" xr:uid="{00000000-0005-0000-0000-000010000000}"/>
    <cellStyle name="Normal 2 3 6 3 2 3" xfId="11130" xr:uid="{00000000-0005-0000-0000-000010000000}"/>
    <cellStyle name="Normal 2 3 6 3 3" xfId="1949" xr:uid="{00000000-0005-0000-0000-000010000000}"/>
    <cellStyle name="Normal 2 3 6 3 3 2" xfId="6030" xr:uid="{00000000-0005-0000-0000-000010000000}"/>
    <cellStyle name="Normal 2 3 6 3 3 2 2" xfId="14190" xr:uid="{00000000-0005-0000-0000-000010000000}"/>
    <cellStyle name="Normal 2 3 6 3 3 3" xfId="10110" xr:uid="{00000000-0005-0000-0000-000010000000}"/>
    <cellStyle name="Normal 2 3 6 3 4" xfId="3989" xr:uid="{00000000-0005-0000-0000-000010000000}"/>
    <cellStyle name="Normal 2 3 6 3 4 2" xfId="8070" xr:uid="{00000000-0005-0000-0000-000010000000}"/>
    <cellStyle name="Normal 2 3 6 3 4 2 2" xfId="16230" xr:uid="{00000000-0005-0000-0000-000010000000}"/>
    <cellStyle name="Normal 2 3 6 3 4 3" xfId="12150" xr:uid="{00000000-0005-0000-0000-000010000000}"/>
    <cellStyle name="Normal 2 3 6 3 5" xfId="5009" xr:uid="{00000000-0005-0000-0000-000010000000}"/>
    <cellStyle name="Normal 2 3 6 3 5 2" xfId="13170" xr:uid="{00000000-0005-0000-0000-000010000000}"/>
    <cellStyle name="Normal 2 3 6 3 6" xfId="9090" xr:uid="{00000000-0005-0000-0000-000010000000}"/>
    <cellStyle name="Normal 2 3 6 4" xfId="520" xr:uid="{00000000-0005-0000-0000-000010000000}"/>
    <cellStyle name="Normal 2 3 6 4 2" xfId="2561" xr:uid="{00000000-0005-0000-0000-000010000000}"/>
    <cellStyle name="Normal 2 3 6 4 2 2" xfId="6642" xr:uid="{00000000-0005-0000-0000-000010000000}"/>
    <cellStyle name="Normal 2 3 6 4 2 2 2" xfId="14802" xr:uid="{00000000-0005-0000-0000-000010000000}"/>
    <cellStyle name="Normal 2 3 6 4 2 3" xfId="10722" xr:uid="{00000000-0005-0000-0000-000010000000}"/>
    <cellStyle name="Normal 2 3 6 4 3" xfId="1541" xr:uid="{00000000-0005-0000-0000-000010000000}"/>
    <cellStyle name="Normal 2 3 6 4 3 2" xfId="5622" xr:uid="{00000000-0005-0000-0000-000010000000}"/>
    <cellStyle name="Normal 2 3 6 4 3 2 2" xfId="13782" xr:uid="{00000000-0005-0000-0000-000010000000}"/>
    <cellStyle name="Normal 2 3 6 4 3 3" xfId="9702" xr:uid="{00000000-0005-0000-0000-000010000000}"/>
    <cellStyle name="Normal 2 3 6 4 4" xfId="3581" xr:uid="{00000000-0005-0000-0000-000010000000}"/>
    <cellStyle name="Normal 2 3 6 4 4 2" xfId="7662" xr:uid="{00000000-0005-0000-0000-000010000000}"/>
    <cellStyle name="Normal 2 3 6 4 4 2 2" xfId="15822" xr:uid="{00000000-0005-0000-0000-000010000000}"/>
    <cellStyle name="Normal 2 3 6 4 4 3" xfId="11742" xr:uid="{00000000-0005-0000-0000-000010000000}"/>
    <cellStyle name="Normal 2 3 6 4 5" xfId="4601" xr:uid="{00000000-0005-0000-0000-000010000000}"/>
    <cellStyle name="Normal 2 3 6 4 5 2" xfId="12762" xr:uid="{00000000-0005-0000-0000-000010000000}"/>
    <cellStyle name="Normal 2 3 6 4 6" xfId="8682" xr:uid="{00000000-0005-0000-0000-000010000000}"/>
    <cellStyle name="Normal 2 3 6 5" xfId="2153" xr:uid="{00000000-0005-0000-0000-000010000000}"/>
    <cellStyle name="Normal 2 3 6 5 2" xfId="6234" xr:uid="{00000000-0005-0000-0000-000010000000}"/>
    <cellStyle name="Normal 2 3 6 5 2 2" xfId="14394" xr:uid="{00000000-0005-0000-0000-000010000000}"/>
    <cellStyle name="Normal 2 3 6 5 3" xfId="10314" xr:uid="{00000000-0005-0000-0000-000010000000}"/>
    <cellStyle name="Normal 2 3 6 6" xfId="1133" xr:uid="{00000000-0005-0000-0000-000010000000}"/>
    <cellStyle name="Normal 2 3 6 6 2" xfId="5214" xr:uid="{00000000-0005-0000-0000-000010000000}"/>
    <cellStyle name="Normal 2 3 6 6 2 2" xfId="13374" xr:uid="{00000000-0005-0000-0000-000010000000}"/>
    <cellStyle name="Normal 2 3 6 6 3" xfId="9294" xr:uid="{00000000-0005-0000-0000-000010000000}"/>
    <cellStyle name="Normal 2 3 6 7" xfId="3173" xr:uid="{00000000-0005-0000-0000-000010000000}"/>
    <cellStyle name="Normal 2 3 6 7 2" xfId="7254" xr:uid="{00000000-0005-0000-0000-000010000000}"/>
    <cellStyle name="Normal 2 3 6 7 2 2" xfId="15414" xr:uid="{00000000-0005-0000-0000-000010000000}"/>
    <cellStyle name="Normal 2 3 6 7 3" xfId="11334" xr:uid="{00000000-0005-0000-0000-000010000000}"/>
    <cellStyle name="Normal 2 3 6 8" xfId="4193" xr:uid="{00000000-0005-0000-0000-000010000000}"/>
    <cellStyle name="Normal 2 3 6 8 2" xfId="12354" xr:uid="{00000000-0005-0000-0000-000010000000}"/>
    <cellStyle name="Normal 2 3 6 9" xfId="8274" xr:uid="{00000000-0005-0000-0000-000010000000}"/>
    <cellStyle name="Normal 2 3 7" xfId="214" xr:uid="{00000000-0005-0000-0000-000010000000}"/>
    <cellStyle name="Normal 2 3 7 2" xfId="622" xr:uid="{00000000-0005-0000-0000-000010000000}"/>
    <cellStyle name="Normal 2 3 7 2 2" xfId="2663" xr:uid="{00000000-0005-0000-0000-000010000000}"/>
    <cellStyle name="Normal 2 3 7 2 2 2" xfId="6744" xr:uid="{00000000-0005-0000-0000-000010000000}"/>
    <cellStyle name="Normal 2 3 7 2 2 2 2" xfId="14904" xr:uid="{00000000-0005-0000-0000-000010000000}"/>
    <cellStyle name="Normal 2 3 7 2 2 3" xfId="10824" xr:uid="{00000000-0005-0000-0000-000010000000}"/>
    <cellStyle name="Normal 2 3 7 2 3" xfId="1643" xr:uid="{00000000-0005-0000-0000-000010000000}"/>
    <cellStyle name="Normal 2 3 7 2 3 2" xfId="5724" xr:uid="{00000000-0005-0000-0000-000010000000}"/>
    <cellStyle name="Normal 2 3 7 2 3 2 2" xfId="13884" xr:uid="{00000000-0005-0000-0000-000010000000}"/>
    <cellStyle name="Normal 2 3 7 2 3 3" xfId="9804" xr:uid="{00000000-0005-0000-0000-000010000000}"/>
    <cellStyle name="Normal 2 3 7 2 4" xfId="3683" xr:uid="{00000000-0005-0000-0000-000010000000}"/>
    <cellStyle name="Normal 2 3 7 2 4 2" xfId="7764" xr:uid="{00000000-0005-0000-0000-000010000000}"/>
    <cellStyle name="Normal 2 3 7 2 4 2 2" xfId="15924" xr:uid="{00000000-0005-0000-0000-000010000000}"/>
    <cellStyle name="Normal 2 3 7 2 4 3" xfId="11844" xr:uid="{00000000-0005-0000-0000-000010000000}"/>
    <cellStyle name="Normal 2 3 7 2 5" xfId="4703" xr:uid="{00000000-0005-0000-0000-000010000000}"/>
    <cellStyle name="Normal 2 3 7 2 5 2" xfId="12864" xr:uid="{00000000-0005-0000-0000-000010000000}"/>
    <cellStyle name="Normal 2 3 7 2 6" xfId="8784" xr:uid="{00000000-0005-0000-0000-000010000000}"/>
    <cellStyle name="Normal 2 3 7 3" xfId="2255" xr:uid="{00000000-0005-0000-0000-000010000000}"/>
    <cellStyle name="Normal 2 3 7 3 2" xfId="6336" xr:uid="{00000000-0005-0000-0000-000010000000}"/>
    <cellStyle name="Normal 2 3 7 3 2 2" xfId="14496" xr:uid="{00000000-0005-0000-0000-000010000000}"/>
    <cellStyle name="Normal 2 3 7 3 3" xfId="10416" xr:uid="{00000000-0005-0000-0000-000010000000}"/>
    <cellStyle name="Normal 2 3 7 4" xfId="1235" xr:uid="{00000000-0005-0000-0000-000010000000}"/>
    <cellStyle name="Normal 2 3 7 4 2" xfId="5316" xr:uid="{00000000-0005-0000-0000-000010000000}"/>
    <cellStyle name="Normal 2 3 7 4 2 2" xfId="13476" xr:uid="{00000000-0005-0000-0000-000010000000}"/>
    <cellStyle name="Normal 2 3 7 4 3" xfId="9396" xr:uid="{00000000-0005-0000-0000-000010000000}"/>
    <cellStyle name="Normal 2 3 7 5" xfId="3275" xr:uid="{00000000-0005-0000-0000-000010000000}"/>
    <cellStyle name="Normal 2 3 7 5 2" xfId="7356" xr:uid="{00000000-0005-0000-0000-000010000000}"/>
    <cellStyle name="Normal 2 3 7 5 2 2" xfId="15516" xr:uid="{00000000-0005-0000-0000-000010000000}"/>
    <cellStyle name="Normal 2 3 7 5 3" xfId="11436" xr:uid="{00000000-0005-0000-0000-000010000000}"/>
    <cellStyle name="Normal 2 3 7 6" xfId="4295" xr:uid="{00000000-0005-0000-0000-000010000000}"/>
    <cellStyle name="Normal 2 3 7 6 2" xfId="12456" xr:uid="{00000000-0005-0000-0000-000010000000}"/>
    <cellStyle name="Normal 2 3 7 7" xfId="8376" xr:uid="{00000000-0005-0000-0000-000010000000}"/>
    <cellStyle name="Normal 2 3 8" xfId="826" xr:uid="{00000000-0005-0000-0000-000010000000}"/>
    <cellStyle name="Normal 2 3 8 2" xfId="2867" xr:uid="{00000000-0005-0000-0000-000010000000}"/>
    <cellStyle name="Normal 2 3 8 2 2" xfId="6948" xr:uid="{00000000-0005-0000-0000-000010000000}"/>
    <cellStyle name="Normal 2 3 8 2 2 2" xfId="15108" xr:uid="{00000000-0005-0000-0000-000010000000}"/>
    <cellStyle name="Normal 2 3 8 2 3" xfId="11028" xr:uid="{00000000-0005-0000-0000-000010000000}"/>
    <cellStyle name="Normal 2 3 8 3" xfId="1847" xr:uid="{00000000-0005-0000-0000-000010000000}"/>
    <cellStyle name="Normal 2 3 8 3 2" xfId="5928" xr:uid="{00000000-0005-0000-0000-000010000000}"/>
    <cellStyle name="Normal 2 3 8 3 2 2" xfId="14088" xr:uid="{00000000-0005-0000-0000-000010000000}"/>
    <cellStyle name="Normal 2 3 8 3 3" xfId="10008" xr:uid="{00000000-0005-0000-0000-000010000000}"/>
    <cellStyle name="Normal 2 3 8 4" xfId="3887" xr:uid="{00000000-0005-0000-0000-000010000000}"/>
    <cellStyle name="Normal 2 3 8 4 2" xfId="7968" xr:uid="{00000000-0005-0000-0000-000010000000}"/>
    <cellStyle name="Normal 2 3 8 4 2 2" xfId="16128" xr:uid="{00000000-0005-0000-0000-000010000000}"/>
    <cellStyle name="Normal 2 3 8 4 3" xfId="12048" xr:uid="{00000000-0005-0000-0000-000010000000}"/>
    <cellStyle name="Normal 2 3 8 5" xfId="4907" xr:uid="{00000000-0005-0000-0000-000010000000}"/>
    <cellStyle name="Normal 2 3 8 5 2" xfId="13068" xr:uid="{00000000-0005-0000-0000-000010000000}"/>
    <cellStyle name="Normal 2 3 8 6" xfId="8988" xr:uid="{00000000-0005-0000-0000-000010000000}"/>
    <cellStyle name="Normal 2 3 9" xfId="418" xr:uid="{00000000-0005-0000-0000-000010000000}"/>
    <cellStyle name="Normal 2 3 9 2" xfId="2459" xr:uid="{00000000-0005-0000-0000-000010000000}"/>
    <cellStyle name="Normal 2 3 9 2 2" xfId="6540" xr:uid="{00000000-0005-0000-0000-000010000000}"/>
    <cellStyle name="Normal 2 3 9 2 2 2" xfId="14700" xr:uid="{00000000-0005-0000-0000-000010000000}"/>
    <cellStyle name="Normal 2 3 9 2 3" xfId="10620" xr:uid="{00000000-0005-0000-0000-000010000000}"/>
    <cellStyle name="Normal 2 3 9 3" xfId="1439" xr:uid="{00000000-0005-0000-0000-000010000000}"/>
    <cellStyle name="Normal 2 3 9 3 2" xfId="5520" xr:uid="{00000000-0005-0000-0000-000010000000}"/>
    <cellStyle name="Normal 2 3 9 3 2 2" xfId="13680" xr:uid="{00000000-0005-0000-0000-000010000000}"/>
    <cellStyle name="Normal 2 3 9 3 3" xfId="9600" xr:uid="{00000000-0005-0000-0000-000010000000}"/>
    <cellStyle name="Normal 2 3 9 4" xfId="3479" xr:uid="{00000000-0005-0000-0000-000010000000}"/>
    <cellStyle name="Normal 2 3 9 4 2" xfId="7560" xr:uid="{00000000-0005-0000-0000-000010000000}"/>
    <cellStyle name="Normal 2 3 9 4 2 2" xfId="15720" xr:uid="{00000000-0005-0000-0000-000010000000}"/>
    <cellStyle name="Normal 2 3 9 4 3" xfId="11640" xr:uid="{00000000-0005-0000-0000-000010000000}"/>
    <cellStyle name="Normal 2 3 9 5" xfId="4499" xr:uid="{00000000-0005-0000-0000-000010000000}"/>
    <cellStyle name="Normal 2 3 9 5 2" xfId="12660" xr:uid="{00000000-0005-0000-0000-000010000000}"/>
    <cellStyle name="Normal 2 3 9 6" xfId="8580" xr:uid="{00000000-0005-0000-0000-000010000000}"/>
    <cellStyle name="Normal 2 4" xfId="11" xr:uid="{00000000-0005-0000-0000-000016000000}"/>
    <cellStyle name="Normal 2 4 10" xfId="1035" xr:uid="{00000000-0005-0000-0000-000016000000}"/>
    <cellStyle name="Normal 2 4 10 2" xfId="5116" xr:uid="{00000000-0005-0000-0000-000016000000}"/>
    <cellStyle name="Normal 2 4 10 2 2" xfId="13276" xr:uid="{00000000-0005-0000-0000-000016000000}"/>
    <cellStyle name="Normal 2 4 10 3" xfId="9196" xr:uid="{00000000-0005-0000-0000-000016000000}"/>
    <cellStyle name="Normal 2 4 11" xfId="3075" xr:uid="{00000000-0005-0000-0000-000016000000}"/>
    <cellStyle name="Normal 2 4 11 2" xfId="7156" xr:uid="{00000000-0005-0000-0000-000016000000}"/>
    <cellStyle name="Normal 2 4 11 2 2" xfId="15316" xr:uid="{00000000-0005-0000-0000-000016000000}"/>
    <cellStyle name="Normal 2 4 11 3" xfId="11236" xr:uid="{00000000-0005-0000-0000-000016000000}"/>
    <cellStyle name="Normal 2 4 12" xfId="4095" xr:uid="{00000000-0005-0000-0000-000016000000}"/>
    <cellStyle name="Normal 2 4 12 2" xfId="12256" xr:uid="{00000000-0005-0000-0000-000016000000}"/>
    <cellStyle name="Normal 2 4 13" xfId="8176" xr:uid="{00000000-0005-0000-0000-000016000000}"/>
    <cellStyle name="Normal 2 4 2" xfId="27" xr:uid="{00000000-0005-0000-0000-000017000000}"/>
    <cellStyle name="Normal 2 4 3" xfId="39" xr:uid="{00000000-0005-0000-0000-000018000000}"/>
    <cellStyle name="Normal 2 4 3 10" xfId="4120" xr:uid="{00000000-0005-0000-0000-000018000000}"/>
    <cellStyle name="Normal 2 4 3 10 2" xfId="12281" xr:uid="{00000000-0005-0000-0000-000018000000}"/>
    <cellStyle name="Normal 2 4 3 11" xfId="8201" xr:uid="{00000000-0005-0000-0000-000018000000}"/>
    <cellStyle name="Normal 2 4 3 2" xfId="90" xr:uid="{00000000-0005-0000-0000-000018000000}"/>
    <cellStyle name="Normal 2 4 3 2 10" xfId="8252" xr:uid="{00000000-0005-0000-0000-000018000000}"/>
    <cellStyle name="Normal 2 4 3 2 2" xfId="192" xr:uid="{00000000-0005-0000-0000-000018000000}"/>
    <cellStyle name="Normal 2 4 3 2 2 2" xfId="396" xr:uid="{00000000-0005-0000-0000-000018000000}"/>
    <cellStyle name="Normal 2 4 3 2 2 2 2" xfId="804" xr:uid="{00000000-0005-0000-0000-000018000000}"/>
    <cellStyle name="Normal 2 4 3 2 2 2 2 2" xfId="2845" xr:uid="{00000000-0005-0000-0000-000018000000}"/>
    <cellStyle name="Normal 2 4 3 2 2 2 2 2 2" xfId="6926" xr:uid="{00000000-0005-0000-0000-000018000000}"/>
    <cellStyle name="Normal 2 4 3 2 2 2 2 2 2 2" xfId="15086" xr:uid="{00000000-0005-0000-0000-000018000000}"/>
    <cellStyle name="Normal 2 4 3 2 2 2 2 2 3" xfId="11006" xr:uid="{00000000-0005-0000-0000-000018000000}"/>
    <cellStyle name="Normal 2 4 3 2 2 2 2 3" xfId="1825" xr:uid="{00000000-0005-0000-0000-000018000000}"/>
    <cellStyle name="Normal 2 4 3 2 2 2 2 3 2" xfId="5906" xr:uid="{00000000-0005-0000-0000-000018000000}"/>
    <cellStyle name="Normal 2 4 3 2 2 2 2 3 2 2" xfId="14066" xr:uid="{00000000-0005-0000-0000-000018000000}"/>
    <cellStyle name="Normal 2 4 3 2 2 2 2 3 3" xfId="9986" xr:uid="{00000000-0005-0000-0000-000018000000}"/>
    <cellStyle name="Normal 2 4 3 2 2 2 2 4" xfId="3865" xr:uid="{00000000-0005-0000-0000-000018000000}"/>
    <cellStyle name="Normal 2 4 3 2 2 2 2 4 2" xfId="7946" xr:uid="{00000000-0005-0000-0000-000018000000}"/>
    <cellStyle name="Normal 2 4 3 2 2 2 2 4 2 2" xfId="16106" xr:uid="{00000000-0005-0000-0000-000018000000}"/>
    <cellStyle name="Normal 2 4 3 2 2 2 2 4 3" xfId="12026" xr:uid="{00000000-0005-0000-0000-000018000000}"/>
    <cellStyle name="Normal 2 4 3 2 2 2 2 5" xfId="4885" xr:uid="{00000000-0005-0000-0000-000018000000}"/>
    <cellStyle name="Normal 2 4 3 2 2 2 2 5 2" xfId="13046" xr:uid="{00000000-0005-0000-0000-000018000000}"/>
    <cellStyle name="Normal 2 4 3 2 2 2 2 6" xfId="8966" xr:uid="{00000000-0005-0000-0000-000018000000}"/>
    <cellStyle name="Normal 2 4 3 2 2 2 3" xfId="2437" xr:uid="{00000000-0005-0000-0000-000018000000}"/>
    <cellStyle name="Normal 2 4 3 2 2 2 3 2" xfId="6518" xr:uid="{00000000-0005-0000-0000-000018000000}"/>
    <cellStyle name="Normal 2 4 3 2 2 2 3 2 2" xfId="14678" xr:uid="{00000000-0005-0000-0000-000018000000}"/>
    <cellStyle name="Normal 2 4 3 2 2 2 3 3" xfId="10598" xr:uid="{00000000-0005-0000-0000-000018000000}"/>
    <cellStyle name="Normal 2 4 3 2 2 2 4" xfId="1417" xr:uid="{00000000-0005-0000-0000-000018000000}"/>
    <cellStyle name="Normal 2 4 3 2 2 2 4 2" xfId="5498" xr:uid="{00000000-0005-0000-0000-000018000000}"/>
    <cellStyle name="Normal 2 4 3 2 2 2 4 2 2" xfId="13658" xr:uid="{00000000-0005-0000-0000-000018000000}"/>
    <cellStyle name="Normal 2 4 3 2 2 2 4 3" xfId="9578" xr:uid="{00000000-0005-0000-0000-000018000000}"/>
    <cellStyle name="Normal 2 4 3 2 2 2 5" xfId="3457" xr:uid="{00000000-0005-0000-0000-000018000000}"/>
    <cellStyle name="Normal 2 4 3 2 2 2 5 2" xfId="7538" xr:uid="{00000000-0005-0000-0000-000018000000}"/>
    <cellStyle name="Normal 2 4 3 2 2 2 5 2 2" xfId="15698" xr:uid="{00000000-0005-0000-0000-000018000000}"/>
    <cellStyle name="Normal 2 4 3 2 2 2 5 3" xfId="11618" xr:uid="{00000000-0005-0000-0000-000018000000}"/>
    <cellStyle name="Normal 2 4 3 2 2 2 6" xfId="4477" xr:uid="{00000000-0005-0000-0000-000018000000}"/>
    <cellStyle name="Normal 2 4 3 2 2 2 6 2" xfId="12638" xr:uid="{00000000-0005-0000-0000-000018000000}"/>
    <cellStyle name="Normal 2 4 3 2 2 2 7" xfId="8558" xr:uid="{00000000-0005-0000-0000-000018000000}"/>
    <cellStyle name="Normal 2 4 3 2 2 3" xfId="1008" xr:uid="{00000000-0005-0000-0000-000018000000}"/>
    <cellStyle name="Normal 2 4 3 2 2 3 2" xfId="3049" xr:uid="{00000000-0005-0000-0000-000018000000}"/>
    <cellStyle name="Normal 2 4 3 2 2 3 2 2" xfId="7130" xr:uid="{00000000-0005-0000-0000-000018000000}"/>
    <cellStyle name="Normal 2 4 3 2 2 3 2 2 2" xfId="15290" xr:uid="{00000000-0005-0000-0000-000018000000}"/>
    <cellStyle name="Normal 2 4 3 2 2 3 2 3" xfId="11210" xr:uid="{00000000-0005-0000-0000-000018000000}"/>
    <cellStyle name="Normal 2 4 3 2 2 3 3" xfId="2029" xr:uid="{00000000-0005-0000-0000-000018000000}"/>
    <cellStyle name="Normal 2 4 3 2 2 3 3 2" xfId="6110" xr:uid="{00000000-0005-0000-0000-000018000000}"/>
    <cellStyle name="Normal 2 4 3 2 2 3 3 2 2" xfId="14270" xr:uid="{00000000-0005-0000-0000-000018000000}"/>
    <cellStyle name="Normal 2 4 3 2 2 3 3 3" xfId="10190" xr:uid="{00000000-0005-0000-0000-000018000000}"/>
    <cellStyle name="Normal 2 4 3 2 2 3 4" xfId="4069" xr:uid="{00000000-0005-0000-0000-000018000000}"/>
    <cellStyle name="Normal 2 4 3 2 2 3 4 2" xfId="8150" xr:uid="{00000000-0005-0000-0000-000018000000}"/>
    <cellStyle name="Normal 2 4 3 2 2 3 4 2 2" xfId="16310" xr:uid="{00000000-0005-0000-0000-000018000000}"/>
    <cellStyle name="Normal 2 4 3 2 2 3 4 3" xfId="12230" xr:uid="{00000000-0005-0000-0000-000018000000}"/>
    <cellStyle name="Normal 2 4 3 2 2 3 5" xfId="5089" xr:uid="{00000000-0005-0000-0000-000018000000}"/>
    <cellStyle name="Normal 2 4 3 2 2 3 5 2" xfId="13250" xr:uid="{00000000-0005-0000-0000-000018000000}"/>
    <cellStyle name="Normal 2 4 3 2 2 3 6" xfId="9170" xr:uid="{00000000-0005-0000-0000-000018000000}"/>
    <cellStyle name="Normal 2 4 3 2 2 4" xfId="600" xr:uid="{00000000-0005-0000-0000-000018000000}"/>
    <cellStyle name="Normal 2 4 3 2 2 4 2" xfId="2641" xr:uid="{00000000-0005-0000-0000-000018000000}"/>
    <cellStyle name="Normal 2 4 3 2 2 4 2 2" xfId="6722" xr:uid="{00000000-0005-0000-0000-000018000000}"/>
    <cellStyle name="Normal 2 4 3 2 2 4 2 2 2" xfId="14882" xr:uid="{00000000-0005-0000-0000-000018000000}"/>
    <cellStyle name="Normal 2 4 3 2 2 4 2 3" xfId="10802" xr:uid="{00000000-0005-0000-0000-000018000000}"/>
    <cellStyle name="Normal 2 4 3 2 2 4 3" xfId="1621" xr:uid="{00000000-0005-0000-0000-000018000000}"/>
    <cellStyle name="Normal 2 4 3 2 2 4 3 2" xfId="5702" xr:uid="{00000000-0005-0000-0000-000018000000}"/>
    <cellStyle name="Normal 2 4 3 2 2 4 3 2 2" xfId="13862" xr:uid="{00000000-0005-0000-0000-000018000000}"/>
    <cellStyle name="Normal 2 4 3 2 2 4 3 3" xfId="9782" xr:uid="{00000000-0005-0000-0000-000018000000}"/>
    <cellStyle name="Normal 2 4 3 2 2 4 4" xfId="3661" xr:uid="{00000000-0005-0000-0000-000018000000}"/>
    <cellStyle name="Normal 2 4 3 2 2 4 4 2" xfId="7742" xr:uid="{00000000-0005-0000-0000-000018000000}"/>
    <cellStyle name="Normal 2 4 3 2 2 4 4 2 2" xfId="15902" xr:uid="{00000000-0005-0000-0000-000018000000}"/>
    <cellStyle name="Normal 2 4 3 2 2 4 4 3" xfId="11822" xr:uid="{00000000-0005-0000-0000-000018000000}"/>
    <cellStyle name="Normal 2 4 3 2 2 4 5" xfId="4681" xr:uid="{00000000-0005-0000-0000-000018000000}"/>
    <cellStyle name="Normal 2 4 3 2 2 4 5 2" xfId="12842" xr:uid="{00000000-0005-0000-0000-000018000000}"/>
    <cellStyle name="Normal 2 4 3 2 2 4 6" xfId="8762" xr:uid="{00000000-0005-0000-0000-000018000000}"/>
    <cellStyle name="Normal 2 4 3 2 2 5" xfId="2233" xr:uid="{00000000-0005-0000-0000-000018000000}"/>
    <cellStyle name="Normal 2 4 3 2 2 5 2" xfId="6314" xr:uid="{00000000-0005-0000-0000-000018000000}"/>
    <cellStyle name="Normal 2 4 3 2 2 5 2 2" xfId="14474" xr:uid="{00000000-0005-0000-0000-000018000000}"/>
    <cellStyle name="Normal 2 4 3 2 2 5 3" xfId="10394" xr:uid="{00000000-0005-0000-0000-000018000000}"/>
    <cellStyle name="Normal 2 4 3 2 2 6" xfId="1213" xr:uid="{00000000-0005-0000-0000-000018000000}"/>
    <cellStyle name="Normal 2 4 3 2 2 6 2" xfId="5294" xr:uid="{00000000-0005-0000-0000-000018000000}"/>
    <cellStyle name="Normal 2 4 3 2 2 6 2 2" xfId="13454" xr:uid="{00000000-0005-0000-0000-000018000000}"/>
    <cellStyle name="Normal 2 4 3 2 2 6 3" xfId="9374" xr:uid="{00000000-0005-0000-0000-000018000000}"/>
    <cellStyle name="Normal 2 4 3 2 2 7" xfId="3253" xr:uid="{00000000-0005-0000-0000-000018000000}"/>
    <cellStyle name="Normal 2 4 3 2 2 7 2" xfId="7334" xr:uid="{00000000-0005-0000-0000-000018000000}"/>
    <cellStyle name="Normal 2 4 3 2 2 7 2 2" xfId="15494" xr:uid="{00000000-0005-0000-0000-000018000000}"/>
    <cellStyle name="Normal 2 4 3 2 2 7 3" xfId="11414" xr:uid="{00000000-0005-0000-0000-000018000000}"/>
    <cellStyle name="Normal 2 4 3 2 2 8" xfId="4273" xr:uid="{00000000-0005-0000-0000-000018000000}"/>
    <cellStyle name="Normal 2 4 3 2 2 8 2" xfId="12434" xr:uid="{00000000-0005-0000-0000-000018000000}"/>
    <cellStyle name="Normal 2 4 3 2 2 9" xfId="8354" xr:uid="{00000000-0005-0000-0000-000018000000}"/>
    <cellStyle name="Normal 2 4 3 2 3" xfId="294" xr:uid="{00000000-0005-0000-0000-000018000000}"/>
    <cellStyle name="Normal 2 4 3 2 3 2" xfId="702" xr:uid="{00000000-0005-0000-0000-000018000000}"/>
    <cellStyle name="Normal 2 4 3 2 3 2 2" xfId="2743" xr:uid="{00000000-0005-0000-0000-000018000000}"/>
    <cellStyle name="Normal 2 4 3 2 3 2 2 2" xfId="6824" xr:uid="{00000000-0005-0000-0000-000018000000}"/>
    <cellStyle name="Normal 2 4 3 2 3 2 2 2 2" xfId="14984" xr:uid="{00000000-0005-0000-0000-000018000000}"/>
    <cellStyle name="Normal 2 4 3 2 3 2 2 3" xfId="10904" xr:uid="{00000000-0005-0000-0000-000018000000}"/>
    <cellStyle name="Normal 2 4 3 2 3 2 3" xfId="1723" xr:uid="{00000000-0005-0000-0000-000018000000}"/>
    <cellStyle name="Normal 2 4 3 2 3 2 3 2" xfId="5804" xr:uid="{00000000-0005-0000-0000-000018000000}"/>
    <cellStyle name="Normal 2 4 3 2 3 2 3 2 2" xfId="13964" xr:uid="{00000000-0005-0000-0000-000018000000}"/>
    <cellStyle name="Normal 2 4 3 2 3 2 3 3" xfId="9884" xr:uid="{00000000-0005-0000-0000-000018000000}"/>
    <cellStyle name="Normal 2 4 3 2 3 2 4" xfId="3763" xr:uid="{00000000-0005-0000-0000-000018000000}"/>
    <cellStyle name="Normal 2 4 3 2 3 2 4 2" xfId="7844" xr:uid="{00000000-0005-0000-0000-000018000000}"/>
    <cellStyle name="Normal 2 4 3 2 3 2 4 2 2" xfId="16004" xr:uid="{00000000-0005-0000-0000-000018000000}"/>
    <cellStyle name="Normal 2 4 3 2 3 2 4 3" xfId="11924" xr:uid="{00000000-0005-0000-0000-000018000000}"/>
    <cellStyle name="Normal 2 4 3 2 3 2 5" xfId="4783" xr:uid="{00000000-0005-0000-0000-000018000000}"/>
    <cellStyle name="Normal 2 4 3 2 3 2 5 2" xfId="12944" xr:uid="{00000000-0005-0000-0000-000018000000}"/>
    <cellStyle name="Normal 2 4 3 2 3 2 6" xfId="8864" xr:uid="{00000000-0005-0000-0000-000018000000}"/>
    <cellStyle name="Normal 2 4 3 2 3 3" xfId="2335" xr:uid="{00000000-0005-0000-0000-000018000000}"/>
    <cellStyle name="Normal 2 4 3 2 3 3 2" xfId="6416" xr:uid="{00000000-0005-0000-0000-000018000000}"/>
    <cellStyle name="Normal 2 4 3 2 3 3 2 2" xfId="14576" xr:uid="{00000000-0005-0000-0000-000018000000}"/>
    <cellStyle name="Normal 2 4 3 2 3 3 3" xfId="10496" xr:uid="{00000000-0005-0000-0000-000018000000}"/>
    <cellStyle name="Normal 2 4 3 2 3 4" xfId="1315" xr:uid="{00000000-0005-0000-0000-000018000000}"/>
    <cellStyle name="Normal 2 4 3 2 3 4 2" xfId="5396" xr:uid="{00000000-0005-0000-0000-000018000000}"/>
    <cellStyle name="Normal 2 4 3 2 3 4 2 2" xfId="13556" xr:uid="{00000000-0005-0000-0000-000018000000}"/>
    <cellStyle name="Normal 2 4 3 2 3 4 3" xfId="9476" xr:uid="{00000000-0005-0000-0000-000018000000}"/>
    <cellStyle name="Normal 2 4 3 2 3 5" xfId="3355" xr:uid="{00000000-0005-0000-0000-000018000000}"/>
    <cellStyle name="Normal 2 4 3 2 3 5 2" xfId="7436" xr:uid="{00000000-0005-0000-0000-000018000000}"/>
    <cellStyle name="Normal 2 4 3 2 3 5 2 2" xfId="15596" xr:uid="{00000000-0005-0000-0000-000018000000}"/>
    <cellStyle name="Normal 2 4 3 2 3 5 3" xfId="11516" xr:uid="{00000000-0005-0000-0000-000018000000}"/>
    <cellStyle name="Normal 2 4 3 2 3 6" xfId="4375" xr:uid="{00000000-0005-0000-0000-000018000000}"/>
    <cellStyle name="Normal 2 4 3 2 3 6 2" xfId="12536" xr:uid="{00000000-0005-0000-0000-000018000000}"/>
    <cellStyle name="Normal 2 4 3 2 3 7" xfId="8456" xr:uid="{00000000-0005-0000-0000-000018000000}"/>
    <cellStyle name="Normal 2 4 3 2 4" xfId="906" xr:uid="{00000000-0005-0000-0000-000018000000}"/>
    <cellStyle name="Normal 2 4 3 2 4 2" xfId="2947" xr:uid="{00000000-0005-0000-0000-000018000000}"/>
    <cellStyle name="Normal 2 4 3 2 4 2 2" xfId="7028" xr:uid="{00000000-0005-0000-0000-000018000000}"/>
    <cellStyle name="Normal 2 4 3 2 4 2 2 2" xfId="15188" xr:uid="{00000000-0005-0000-0000-000018000000}"/>
    <cellStyle name="Normal 2 4 3 2 4 2 3" xfId="11108" xr:uid="{00000000-0005-0000-0000-000018000000}"/>
    <cellStyle name="Normal 2 4 3 2 4 3" xfId="1927" xr:uid="{00000000-0005-0000-0000-000018000000}"/>
    <cellStyle name="Normal 2 4 3 2 4 3 2" xfId="6008" xr:uid="{00000000-0005-0000-0000-000018000000}"/>
    <cellStyle name="Normal 2 4 3 2 4 3 2 2" xfId="14168" xr:uid="{00000000-0005-0000-0000-000018000000}"/>
    <cellStyle name="Normal 2 4 3 2 4 3 3" xfId="10088" xr:uid="{00000000-0005-0000-0000-000018000000}"/>
    <cellStyle name="Normal 2 4 3 2 4 4" xfId="3967" xr:uid="{00000000-0005-0000-0000-000018000000}"/>
    <cellStyle name="Normal 2 4 3 2 4 4 2" xfId="8048" xr:uid="{00000000-0005-0000-0000-000018000000}"/>
    <cellStyle name="Normal 2 4 3 2 4 4 2 2" xfId="16208" xr:uid="{00000000-0005-0000-0000-000018000000}"/>
    <cellStyle name="Normal 2 4 3 2 4 4 3" xfId="12128" xr:uid="{00000000-0005-0000-0000-000018000000}"/>
    <cellStyle name="Normal 2 4 3 2 4 5" xfId="4987" xr:uid="{00000000-0005-0000-0000-000018000000}"/>
    <cellStyle name="Normal 2 4 3 2 4 5 2" xfId="13148" xr:uid="{00000000-0005-0000-0000-000018000000}"/>
    <cellStyle name="Normal 2 4 3 2 4 6" xfId="9068" xr:uid="{00000000-0005-0000-0000-000018000000}"/>
    <cellStyle name="Normal 2 4 3 2 5" xfId="498" xr:uid="{00000000-0005-0000-0000-000018000000}"/>
    <cellStyle name="Normal 2 4 3 2 5 2" xfId="2539" xr:uid="{00000000-0005-0000-0000-000018000000}"/>
    <cellStyle name="Normal 2 4 3 2 5 2 2" xfId="6620" xr:uid="{00000000-0005-0000-0000-000018000000}"/>
    <cellStyle name="Normal 2 4 3 2 5 2 2 2" xfId="14780" xr:uid="{00000000-0005-0000-0000-000018000000}"/>
    <cellStyle name="Normal 2 4 3 2 5 2 3" xfId="10700" xr:uid="{00000000-0005-0000-0000-000018000000}"/>
    <cellStyle name="Normal 2 4 3 2 5 3" xfId="1519" xr:uid="{00000000-0005-0000-0000-000018000000}"/>
    <cellStyle name="Normal 2 4 3 2 5 3 2" xfId="5600" xr:uid="{00000000-0005-0000-0000-000018000000}"/>
    <cellStyle name="Normal 2 4 3 2 5 3 2 2" xfId="13760" xr:uid="{00000000-0005-0000-0000-000018000000}"/>
    <cellStyle name="Normal 2 4 3 2 5 3 3" xfId="9680" xr:uid="{00000000-0005-0000-0000-000018000000}"/>
    <cellStyle name="Normal 2 4 3 2 5 4" xfId="3559" xr:uid="{00000000-0005-0000-0000-000018000000}"/>
    <cellStyle name="Normal 2 4 3 2 5 4 2" xfId="7640" xr:uid="{00000000-0005-0000-0000-000018000000}"/>
    <cellStyle name="Normal 2 4 3 2 5 4 2 2" xfId="15800" xr:uid="{00000000-0005-0000-0000-000018000000}"/>
    <cellStyle name="Normal 2 4 3 2 5 4 3" xfId="11720" xr:uid="{00000000-0005-0000-0000-000018000000}"/>
    <cellStyle name="Normal 2 4 3 2 5 5" xfId="4579" xr:uid="{00000000-0005-0000-0000-000018000000}"/>
    <cellStyle name="Normal 2 4 3 2 5 5 2" xfId="12740" xr:uid="{00000000-0005-0000-0000-000018000000}"/>
    <cellStyle name="Normal 2 4 3 2 5 6" xfId="8660" xr:uid="{00000000-0005-0000-0000-000018000000}"/>
    <cellStyle name="Normal 2 4 3 2 6" xfId="2131" xr:uid="{00000000-0005-0000-0000-000018000000}"/>
    <cellStyle name="Normal 2 4 3 2 6 2" xfId="6212" xr:uid="{00000000-0005-0000-0000-000018000000}"/>
    <cellStyle name="Normal 2 4 3 2 6 2 2" xfId="14372" xr:uid="{00000000-0005-0000-0000-000018000000}"/>
    <cellStyle name="Normal 2 4 3 2 6 3" xfId="10292" xr:uid="{00000000-0005-0000-0000-000018000000}"/>
    <cellStyle name="Normal 2 4 3 2 7" xfId="1111" xr:uid="{00000000-0005-0000-0000-000018000000}"/>
    <cellStyle name="Normal 2 4 3 2 7 2" xfId="5192" xr:uid="{00000000-0005-0000-0000-000018000000}"/>
    <cellStyle name="Normal 2 4 3 2 7 2 2" xfId="13352" xr:uid="{00000000-0005-0000-0000-000018000000}"/>
    <cellStyle name="Normal 2 4 3 2 7 3" xfId="9272" xr:uid="{00000000-0005-0000-0000-000018000000}"/>
    <cellStyle name="Normal 2 4 3 2 8" xfId="3151" xr:uid="{00000000-0005-0000-0000-000018000000}"/>
    <cellStyle name="Normal 2 4 3 2 8 2" xfId="7232" xr:uid="{00000000-0005-0000-0000-000018000000}"/>
    <cellStyle name="Normal 2 4 3 2 8 2 2" xfId="15392" xr:uid="{00000000-0005-0000-0000-000018000000}"/>
    <cellStyle name="Normal 2 4 3 2 8 3" xfId="11312" xr:uid="{00000000-0005-0000-0000-000018000000}"/>
    <cellStyle name="Normal 2 4 3 2 9" xfId="4171" xr:uid="{00000000-0005-0000-0000-000018000000}"/>
    <cellStyle name="Normal 2 4 3 2 9 2" xfId="12332" xr:uid="{00000000-0005-0000-0000-000018000000}"/>
    <cellStyle name="Normal 2 4 3 3" xfId="141" xr:uid="{00000000-0005-0000-0000-000018000000}"/>
    <cellStyle name="Normal 2 4 3 3 2" xfId="345" xr:uid="{00000000-0005-0000-0000-000018000000}"/>
    <cellStyle name="Normal 2 4 3 3 2 2" xfId="753" xr:uid="{00000000-0005-0000-0000-000018000000}"/>
    <cellStyle name="Normal 2 4 3 3 2 2 2" xfId="2794" xr:uid="{00000000-0005-0000-0000-000018000000}"/>
    <cellStyle name="Normal 2 4 3 3 2 2 2 2" xfId="6875" xr:uid="{00000000-0005-0000-0000-000018000000}"/>
    <cellStyle name="Normal 2 4 3 3 2 2 2 2 2" xfId="15035" xr:uid="{00000000-0005-0000-0000-000018000000}"/>
    <cellStyle name="Normal 2 4 3 3 2 2 2 3" xfId="10955" xr:uid="{00000000-0005-0000-0000-000018000000}"/>
    <cellStyle name="Normal 2 4 3 3 2 2 3" xfId="1774" xr:uid="{00000000-0005-0000-0000-000018000000}"/>
    <cellStyle name="Normal 2 4 3 3 2 2 3 2" xfId="5855" xr:uid="{00000000-0005-0000-0000-000018000000}"/>
    <cellStyle name="Normal 2 4 3 3 2 2 3 2 2" xfId="14015" xr:uid="{00000000-0005-0000-0000-000018000000}"/>
    <cellStyle name="Normal 2 4 3 3 2 2 3 3" xfId="9935" xr:uid="{00000000-0005-0000-0000-000018000000}"/>
    <cellStyle name="Normal 2 4 3 3 2 2 4" xfId="3814" xr:uid="{00000000-0005-0000-0000-000018000000}"/>
    <cellStyle name="Normal 2 4 3 3 2 2 4 2" xfId="7895" xr:uid="{00000000-0005-0000-0000-000018000000}"/>
    <cellStyle name="Normal 2 4 3 3 2 2 4 2 2" xfId="16055" xr:uid="{00000000-0005-0000-0000-000018000000}"/>
    <cellStyle name="Normal 2 4 3 3 2 2 4 3" xfId="11975" xr:uid="{00000000-0005-0000-0000-000018000000}"/>
    <cellStyle name="Normal 2 4 3 3 2 2 5" xfId="4834" xr:uid="{00000000-0005-0000-0000-000018000000}"/>
    <cellStyle name="Normal 2 4 3 3 2 2 5 2" xfId="12995" xr:uid="{00000000-0005-0000-0000-000018000000}"/>
    <cellStyle name="Normal 2 4 3 3 2 2 6" xfId="8915" xr:uid="{00000000-0005-0000-0000-000018000000}"/>
    <cellStyle name="Normal 2 4 3 3 2 3" xfId="2386" xr:uid="{00000000-0005-0000-0000-000018000000}"/>
    <cellStyle name="Normal 2 4 3 3 2 3 2" xfId="6467" xr:uid="{00000000-0005-0000-0000-000018000000}"/>
    <cellStyle name="Normal 2 4 3 3 2 3 2 2" xfId="14627" xr:uid="{00000000-0005-0000-0000-000018000000}"/>
    <cellStyle name="Normal 2 4 3 3 2 3 3" xfId="10547" xr:uid="{00000000-0005-0000-0000-000018000000}"/>
    <cellStyle name="Normal 2 4 3 3 2 4" xfId="1366" xr:uid="{00000000-0005-0000-0000-000018000000}"/>
    <cellStyle name="Normal 2 4 3 3 2 4 2" xfId="5447" xr:uid="{00000000-0005-0000-0000-000018000000}"/>
    <cellStyle name="Normal 2 4 3 3 2 4 2 2" xfId="13607" xr:uid="{00000000-0005-0000-0000-000018000000}"/>
    <cellStyle name="Normal 2 4 3 3 2 4 3" xfId="9527" xr:uid="{00000000-0005-0000-0000-000018000000}"/>
    <cellStyle name="Normal 2 4 3 3 2 5" xfId="3406" xr:uid="{00000000-0005-0000-0000-000018000000}"/>
    <cellStyle name="Normal 2 4 3 3 2 5 2" xfId="7487" xr:uid="{00000000-0005-0000-0000-000018000000}"/>
    <cellStyle name="Normal 2 4 3 3 2 5 2 2" xfId="15647" xr:uid="{00000000-0005-0000-0000-000018000000}"/>
    <cellStyle name="Normal 2 4 3 3 2 5 3" xfId="11567" xr:uid="{00000000-0005-0000-0000-000018000000}"/>
    <cellStyle name="Normal 2 4 3 3 2 6" xfId="4426" xr:uid="{00000000-0005-0000-0000-000018000000}"/>
    <cellStyle name="Normal 2 4 3 3 2 6 2" xfId="12587" xr:uid="{00000000-0005-0000-0000-000018000000}"/>
    <cellStyle name="Normal 2 4 3 3 2 7" xfId="8507" xr:uid="{00000000-0005-0000-0000-000018000000}"/>
    <cellStyle name="Normal 2 4 3 3 3" xfId="957" xr:uid="{00000000-0005-0000-0000-000018000000}"/>
    <cellStyle name="Normal 2 4 3 3 3 2" xfId="2998" xr:uid="{00000000-0005-0000-0000-000018000000}"/>
    <cellStyle name="Normal 2 4 3 3 3 2 2" xfId="7079" xr:uid="{00000000-0005-0000-0000-000018000000}"/>
    <cellStyle name="Normal 2 4 3 3 3 2 2 2" xfId="15239" xr:uid="{00000000-0005-0000-0000-000018000000}"/>
    <cellStyle name="Normal 2 4 3 3 3 2 3" xfId="11159" xr:uid="{00000000-0005-0000-0000-000018000000}"/>
    <cellStyle name="Normal 2 4 3 3 3 3" xfId="1978" xr:uid="{00000000-0005-0000-0000-000018000000}"/>
    <cellStyle name="Normal 2 4 3 3 3 3 2" xfId="6059" xr:uid="{00000000-0005-0000-0000-000018000000}"/>
    <cellStyle name="Normal 2 4 3 3 3 3 2 2" xfId="14219" xr:uid="{00000000-0005-0000-0000-000018000000}"/>
    <cellStyle name="Normal 2 4 3 3 3 3 3" xfId="10139" xr:uid="{00000000-0005-0000-0000-000018000000}"/>
    <cellStyle name="Normal 2 4 3 3 3 4" xfId="4018" xr:uid="{00000000-0005-0000-0000-000018000000}"/>
    <cellStyle name="Normal 2 4 3 3 3 4 2" xfId="8099" xr:uid="{00000000-0005-0000-0000-000018000000}"/>
    <cellStyle name="Normal 2 4 3 3 3 4 2 2" xfId="16259" xr:uid="{00000000-0005-0000-0000-000018000000}"/>
    <cellStyle name="Normal 2 4 3 3 3 4 3" xfId="12179" xr:uid="{00000000-0005-0000-0000-000018000000}"/>
    <cellStyle name="Normal 2 4 3 3 3 5" xfId="5038" xr:uid="{00000000-0005-0000-0000-000018000000}"/>
    <cellStyle name="Normal 2 4 3 3 3 5 2" xfId="13199" xr:uid="{00000000-0005-0000-0000-000018000000}"/>
    <cellStyle name="Normal 2 4 3 3 3 6" xfId="9119" xr:uid="{00000000-0005-0000-0000-000018000000}"/>
    <cellStyle name="Normal 2 4 3 3 4" xfId="549" xr:uid="{00000000-0005-0000-0000-000018000000}"/>
    <cellStyle name="Normal 2 4 3 3 4 2" xfId="2590" xr:uid="{00000000-0005-0000-0000-000018000000}"/>
    <cellStyle name="Normal 2 4 3 3 4 2 2" xfId="6671" xr:uid="{00000000-0005-0000-0000-000018000000}"/>
    <cellStyle name="Normal 2 4 3 3 4 2 2 2" xfId="14831" xr:uid="{00000000-0005-0000-0000-000018000000}"/>
    <cellStyle name="Normal 2 4 3 3 4 2 3" xfId="10751" xr:uid="{00000000-0005-0000-0000-000018000000}"/>
    <cellStyle name="Normal 2 4 3 3 4 3" xfId="1570" xr:uid="{00000000-0005-0000-0000-000018000000}"/>
    <cellStyle name="Normal 2 4 3 3 4 3 2" xfId="5651" xr:uid="{00000000-0005-0000-0000-000018000000}"/>
    <cellStyle name="Normal 2 4 3 3 4 3 2 2" xfId="13811" xr:uid="{00000000-0005-0000-0000-000018000000}"/>
    <cellStyle name="Normal 2 4 3 3 4 3 3" xfId="9731" xr:uid="{00000000-0005-0000-0000-000018000000}"/>
    <cellStyle name="Normal 2 4 3 3 4 4" xfId="3610" xr:uid="{00000000-0005-0000-0000-000018000000}"/>
    <cellStyle name="Normal 2 4 3 3 4 4 2" xfId="7691" xr:uid="{00000000-0005-0000-0000-000018000000}"/>
    <cellStyle name="Normal 2 4 3 3 4 4 2 2" xfId="15851" xr:uid="{00000000-0005-0000-0000-000018000000}"/>
    <cellStyle name="Normal 2 4 3 3 4 4 3" xfId="11771" xr:uid="{00000000-0005-0000-0000-000018000000}"/>
    <cellStyle name="Normal 2 4 3 3 4 5" xfId="4630" xr:uid="{00000000-0005-0000-0000-000018000000}"/>
    <cellStyle name="Normal 2 4 3 3 4 5 2" xfId="12791" xr:uid="{00000000-0005-0000-0000-000018000000}"/>
    <cellStyle name="Normal 2 4 3 3 4 6" xfId="8711" xr:uid="{00000000-0005-0000-0000-000018000000}"/>
    <cellStyle name="Normal 2 4 3 3 5" xfId="2182" xr:uid="{00000000-0005-0000-0000-000018000000}"/>
    <cellStyle name="Normal 2 4 3 3 5 2" xfId="6263" xr:uid="{00000000-0005-0000-0000-000018000000}"/>
    <cellStyle name="Normal 2 4 3 3 5 2 2" xfId="14423" xr:uid="{00000000-0005-0000-0000-000018000000}"/>
    <cellStyle name="Normal 2 4 3 3 5 3" xfId="10343" xr:uid="{00000000-0005-0000-0000-000018000000}"/>
    <cellStyle name="Normal 2 4 3 3 6" xfId="1162" xr:uid="{00000000-0005-0000-0000-000018000000}"/>
    <cellStyle name="Normal 2 4 3 3 6 2" xfId="5243" xr:uid="{00000000-0005-0000-0000-000018000000}"/>
    <cellStyle name="Normal 2 4 3 3 6 2 2" xfId="13403" xr:uid="{00000000-0005-0000-0000-000018000000}"/>
    <cellStyle name="Normal 2 4 3 3 6 3" xfId="9323" xr:uid="{00000000-0005-0000-0000-000018000000}"/>
    <cellStyle name="Normal 2 4 3 3 7" xfId="3202" xr:uid="{00000000-0005-0000-0000-000018000000}"/>
    <cellStyle name="Normal 2 4 3 3 7 2" xfId="7283" xr:uid="{00000000-0005-0000-0000-000018000000}"/>
    <cellStyle name="Normal 2 4 3 3 7 2 2" xfId="15443" xr:uid="{00000000-0005-0000-0000-000018000000}"/>
    <cellStyle name="Normal 2 4 3 3 7 3" xfId="11363" xr:uid="{00000000-0005-0000-0000-000018000000}"/>
    <cellStyle name="Normal 2 4 3 3 8" xfId="4222" xr:uid="{00000000-0005-0000-0000-000018000000}"/>
    <cellStyle name="Normal 2 4 3 3 8 2" xfId="12383" xr:uid="{00000000-0005-0000-0000-000018000000}"/>
    <cellStyle name="Normal 2 4 3 3 9" xfId="8303" xr:uid="{00000000-0005-0000-0000-000018000000}"/>
    <cellStyle name="Normal 2 4 3 4" xfId="243" xr:uid="{00000000-0005-0000-0000-000018000000}"/>
    <cellStyle name="Normal 2 4 3 4 2" xfId="651" xr:uid="{00000000-0005-0000-0000-000018000000}"/>
    <cellStyle name="Normal 2 4 3 4 2 2" xfId="2692" xr:uid="{00000000-0005-0000-0000-000018000000}"/>
    <cellStyle name="Normal 2 4 3 4 2 2 2" xfId="6773" xr:uid="{00000000-0005-0000-0000-000018000000}"/>
    <cellStyle name="Normal 2 4 3 4 2 2 2 2" xfId="14933" xr:uid="{00000000-0005-0000-0000-000018000000}"/>
    <cellStyle name="Normal 2 4 3 4 2 2 3" xfId="10853" xr:uid="{00000000-0005-0000-0000-000018000000}"/>
    <cellStyle name="Normal 2 4 3 4 2 3" xfId="1672" xr:uid="{00000000-0005-0000-0000-000018000000}"/>
    <cellStyle name="Normal 2 4 3 4 2 3 2" xfId="5753" xr:uid="{00000000-0005-0000-0000-000018000000}"/>
    <cellStyle name="Normal 2 4 3 4 2 3 2 2" xfId="13913" xr:uid="{00000000-0005-0000-0000-000018000000}"/>
    <cellStyle name="Normal 2 4 3 4 2 3 3" xfId="9833" xr:uid="{00000000-0005-0000-0000-000018000000}"/>
    <cellStyle name="Normal 2 4 3 4 2 4" xfId="3712" xr:uid="{00000000-0005-0000-0000-000018000000}"/>
    <cellStyle name="Normal 2 4 3 4 2 4 2" xfId="7793" xr:uid="{00000000-0005-0000-0000-000018000000}"/>
    <cellStyle name="Normal 2 4 3 4 2 4 2 2" xfId="15953" xr:uid="{00000000-0005-0000-0000-000018000000}"/>
    <cellStyle name="Normal 2 4 3 4 2 4 3" xfId="11873" xr:uid="{00000000-0005-0000-0000-000018000000}"/>
    <cellStyle name="Normal 2 4 3 4 2 5" xfId="4732" xr:uid="{00000000-0005-0000-0000-000018000000}"/>
    <cellStyle name="Normal 2 4 3 4 2 5 2" xfId="12893" xr:uid="{00000000-0005-0000-0000-000018000000}"/>
    <cellStyle name="Normal 2 4 3 4 2 6" xfId="8813" xr:uid="{00000000-0005-0000-0000-000018000000}"/>
    <cellStyle name="Normal 2 4 3 4 3" xfId="2284" xr:uid="{00000000-0005-0000-0000-000018000000}"/>
    <cellStyle name="Normal 2 4 3 4 3 2" xfId="6365" xr:uid="{00000000-0005-0000-0000-000018000000}"/>
    <cellStyle name="Normal 2 4 3 4 3 2 2" xfId="14525" xr:uid="{00000000-0005-0000-0000-000018000000}"/>
    <cellStyle name="Normal 2 4 3 4 3 3" xfId="10445" xr:uid="{00000000-0005-0000-0000-000018000000}"/>
    <cellStyle name="Normal 2 4 3 4 4" xfId="1264" xr:uid="{00000000-0005-0000-0000-000018000000}"/>
    <cellStyle name="Normal 2 4 3 4 4 2" xfId="5345" xr:uid="{00000000-0005-0000-0000-000018000000}"/>
    <cellStyle name="Normal 2 4 3 4 4 2 2" xfId="13505" xr:uid="{00000000-0005-0000-0000-000018000000}"/>
    <cellStyle name="Normal 2 4 3 4 4 3" xfId="9425" xr:uid="{00000000-0005-0000-0000-000018000000}"/>
    <cellStyle name="Normal 2 4 3 4 5" xfId="3304" xr:uid="{00000000-0005-0000-0000-000018000000}"/>
    <cellStyle name="Normal 2 4 3 4 5 2" xfId="7385" xr:uid="{00000000-0005-0000-0000-000018000000}"/>
    <cellStyle name="Normal 2 4 3 4 5 2 2" xfId="15545" xr:uid="{00000000-0005-0000-0000-000018000000}"/>
    <cellStyle name="Normal 2 4 3 4 5 3" xfId="11465" xr:uid="{00000000-0005-0000-0000-000018000000}"/>
    <cellStyle name="Normal 2 4 3 4 6" xfId="4324" xr:uid="{00000000-0005-0000-0000-000018000000}"/>
    <cellStyle name="Normal 2 4 3 4 6 2" xfId="12485" xr:uid="{00000000-0005-0000-0000-000018000000}"/>
    <cellStyle name="Normal 2 4 3 4 7" xfId="8405" xr:uid="{00000000-0005-0000-0000-000018000000}"/>
    <cellStyle name="Normal 2 4 3 5" xfId="855" xr:uid="{00000000-0005-0000-0000-000018000000}"/>
    <cellStyle name="Normal 2 4 3 5 2" xfId="2896" xr:uid="{00000000-0005-0000-0000-000018000000}"/>
    <cellStyle name="Normal 2 4 3 5 2 2" xfId="6977" xr:uid="{00000000-0005-0000-0000-000018000000}"/>
    <cellStyle name="Normal 2 4 3 5 2 2 2" xfId="15137" xr:uid="{00000000-0005-0000-0000-000018000000}"/>
    <cellStyle name="Normal 2 4 3 5 2 3" xfId="11057" xr:uid="{00000000-0005-0000-0000-000018000000}"/>
    <cellStyle name="Normal 2 4 3 5 3" xfId="1876" xr:uid="{00000000-0005-0000-0000-000018000000}"/>
    <cellStyle name="Normal 2 4 3 5 3 2" xfId="5957" xr:uid="{00000000-0005-0000-0000-000018000000}"/>
    <cellStyle name="Normal 2 4 3 5 3 2 2" xfId="14117" xr:uid="{00000000-0005-0000-0000-000018000000}"/>
    <cellStyle name="Normal 2 4 3 5 3 3" xfId="10037" xr:uid="{00000000-0005-0000-0000-000018000000}"/>
    <cellStyle name="Normal 2 4 3 5 4" xfId="3916" xr:uid="{00000000-0005-0000-0000-000018000000}"/>
    <cellStyle name="Normal 2 4 3 5 4 2" xfId="7997" xr:uid="{00000000-0005-0000-0000-000018000000}"/>
    <cellStyle name="Normal 2 4 3 5 4 2 2" xfId="16157" xr:uid="{00000000-0005-0000-0000-000018000000}"/>
    <cellStyle name="Normal 2 4 3 5 4 3" xfId="12077" xr:uid="{00000000-0005-0000-0000-000018000000}"/>
    <cellStyle name="Normal 2 4 3 5 5" xfId="4936" xr:uid="{00000000-0005-0000-0000-000018000000}"/>
    <cellStyle name="Normal 2 4 3 5 5 2" xfId="13097" xr:uid="{00000000-0005-0000-0000-000018000000}"/>
    <cellStyle name="Normal 2 4 3 5 6" xfId="9017" xr:uid="{00000000-0005-0000-0000-000018000000}"/>
    <cellStyle name="Normal 2 4 3 6" xfId="447" xr:uid="{00000000-0005-0000-0000-000018000000}"/>
    <cellStyle name="Normal 2 4 3 6 2" xfId="2488" xr:uid="{00000000-0005-0000-0000-000018000000}"/>
    <cellStyle name="Normal 2 4 3 6 2 2" xfId="6569" xr:uid="{00000000-0005-0000-0000-000018000000}"/>
    <cellStyle name="Normal 2 4 3 6 2 2 2" xfId="14729" xr:uid="{00000000-0005-0000-0000-000018000000}"/>
    <cellStyle name="Normal 2 4 3 6 2 3" xfId="10649" xr:uid="{00000000-0005-0000-0000-000018000000}"/>
    <cellStyle name="Normal 2 4 3 6 3" xfId="1468" xr:uid="{00000000-0005-0000-0000-000018000000}"/>
    <cellStyle name="Normal 2 4 3 6 3 2" xfId="5549" xr:uid="{00000000-0005-0000-0000-000018000000}"/>
    <cellStyle name="Normal 2 4 3 6 3 2 2" xfId="13709" xr:uid="{00000000-0005-0000-0000-000018000000}"/>
    <cellStyle name="Normal 2 4 3 6 3 3" xfId="9629" xr:uid="{00000000-0005-0000-0000-000018000000}"/>
    <cellStyle name="Normal 2 4 3 6 4" xfId="3508" xr:uid="{00000000-0005-0000-0000-000018000000}"/>
    <cellStyle name="Normal 2 4 3 6 4 2" xfId="7589" xr:uid="{00000000-0005-0000-0000-000018000000}"/>
    <cellStyle name="Normal 2 4 3 6 4 2 2" xfId="15749" xr:uid="{00000000-0005-0000-0000-000018000000}"/>
    <cellStyle name="Normal 2 4 3 6 4 3" xfId="11669" xr:uid="{00000000-0005-0000-0000-000018000000}"/>
    <cellStyle name="Normal 2 4 3 6 5" xfId="4528" xr:uid="{00000000-0005-0000-0000-000018000000}"/>
    <cellStyle name="Normal 2 4 3 6 5 2" xfId="12689" xr:uid="{00000000-0005-0000-0000-000018000000}"/>
    <cellStyle name="Normal 2 4 3 6 6" xfId="8609" xr:uid="{00000000-0005-0000-0000-000018000000}"/>
    <cellStyle name="Normal 2 4 3 7" xfId="2080" xr:uid="{00000000-0005-0000-0000-000018000000}"/>
    <cellStyle name="Normal 2 4 3 7 2" xfId="6161" xr:uid="{00000000-0005-0000-0000-000018000000}"/>
    <cellStyle name="Normal 2 4 3 7 2 2" xfId="14321" xr:uid="{00000000-0005-0000-0000-000018000000}"/>
    <cellStyle name="Normal 2 4 3 7 3" xfId="10241" xr:uid="{00000000-0005-0000-0000-000018000000}"/>
    <cellStyle name="Normal 2 4 3 8" xfId="1060" xr:uid="{00000000-0005-0000-0000-000018000000}"/>
    <cellStyle name="Normal 2 4 3 8 2" xfId="5141" xr:uid="{00000000-0005-0000-0000-000018000000}"/>
    <cellStyle name="Normal 2 4 3 8 2 2" xfId="13301" xr:uid="{00000000-0005-0000-0000-000018000000}"/>
    <cellStyle name="Normal 2 4 3 8 3" xfId="9221" xr:uid="{00000000-0005-0000-0000-000018000000}"/>
    <cellStyle name="Normal 2 4 3 9" xfId="3100" xr:uid="{00000000-0005-0000-0000-000018000000}"/>
    <cellStyle name="Normal 2 4 3 9 2" xfId="7181" xr:uid="{00000000-0005-0000-0000-000018000000}"/>
    <cellStyle name="Normal 2 4 3 9 2 2" xfId="15341" xr:uid="{00000000-0005-0000-0000-000018000000}"/>
    <cellStyle name="Normal 2 4 3 9 3" xfId="11261" xr:uid="{00000000-0005-0000-0000-000018000000}"/>
    <cellStyle name="Normal 2 4 4" xfId="65" xr:uid="{00000000-0005-0000-0000-000016000000}"/>
    <cellStyle name="Normal 2 4 4 10" xfId="8227" xr:uid="{00000000-0005-0000-0000-000016000000}"/>
    <cellStyle name="Normal 2 4 4 2" xfId="167" xr:uid="{00000000-0005-0000-0000-000016000000}"/>
    <cellStyle name="Normal 2 4 4 2 2" xfId="371" xr:uid="{00000000-0005-0000-0000-000016000000}"/>
    <cellStyle name="Normal 2 4 4 2 2 2" xfId="779" xr:uid="{00000000-0005-0000-0000-000016000000}"/>
    <cellStyle name="Normal 2 4 4 2 2 2 2" xfId="2820" xr:uid="{00000000-0005-0000-0000-000016000000}"/>
    <cellStyle name="Normal 2 4 4 2 2 2 2 2" xfId="6901" xr:uid="{00000000-0005-0000-0000-000016000000}"/>
    <cellStyle name="Normal 2 4 4 2 2 2 2 2 2" xfId="15061" xr:uid="{00000000-0005-0000-0000-000016000000}"/>
    <cellStyle name="Normal 2 4 4 2 2 2 2 3" xfId="10981" xr:uid="{00000000-0005-0000-0000-000016000000}"/>
    <cellStyle name="Normal 2 4 4 2 2 2 3" xfId="1800" xr:uid="{00000000-0005-0000-0000-000016000000}"/>
    <cellStyle name="Normal 2 4 4 2 2 2 3 2" xfId="5881" xr:uid="{00000000-0005-0000-0000-000016000000}"/>
    <cellStyle name="Normal 2 4 4 2 2 2 3 2 2" xfId="14041" xr:uid="{00000000-0005-0000-0000-000016000000}"/>
    <cellStyle name="Normal 2 4 4 2 2 2 3 3" xfId="9961" xr:uid="{00000000-0005-0000-0000-000016000000}"/>
    <cellStyle name="Normal 2 4 4 2 2 2 4" xfId="3840" xr:uid="{00000000-0005-0000-0000-000016000000}"/>
    <cellStyle name="Normal 2 4 4 2 2 2 4 2" xfId="7921" xr:uid="{00000000-0005-0000-0000-000016000000}"/>
    <cellStyle name="Normal 2 4 4 2 2 2 4 2 2" xfId="16081" xr:uid="{00000000-0005-0000-0000-000016000000}"/>
    <cellStyle name="Normal 2 4 4 2 2 2 4 3" xfId="12001" xr:uid="{00000000-0005-0000-0000-000016000000}"/>
    <cellStyle name="Normal 2 4 4 2 2 2 5" xfId="4860" xr:uid="{00000000-0005-0000-0000-000016000000}"/>
    <cellStyle name="Normal 2 4 4 2 2 2 5 2" xfId="13021" xr:uid="{00000000-0005-0000-0000-000016000000}"/>
    <cellStyle name="Normal 2 4 4 2 2 2 6" xfId="8941" xr:uid="{00000000-0005-0000-0000-000016000000}"/>
    <cellStyle name="Normal 2 4 4 2 2 3" xfId="2412" xr:uid="{00000000-0005-0000-0000-000016000000}"/>
    <cellStyle name="Normal 2 4 4 2 2 3 2" xfId="6493" xr:uid="{00000000-0005-0000-0000-000016000000}"/>
    <cellStyle name="Normal 2 4 4 2 2 3 2 2" xfId="14653" xr:uid="{00000000-0005-0000-0000-000016000000}"/>
    <cellStyle name="Normal 2 4 4 2 2 3 3" xfId="10573" xr:uid="{00000000-0005-0000-0000-000016000000}"/>
    <cellStyle name="Normal 2 4 4 2 2 4" xfId="1392" xr:uid="{00000000-0005-0000-0000-000016000000}"/>
    <cellStyle name="Normal 2 4 4 2 2 4 2" xfId="5473" xr:uid="{00000000-0005-0000-0000-000016000000}"/>
    <cellStyle name="Normal 2 4 4 2 2 4 2 2" xfId="13633" xr:uid="{00000000-0005-0000-0000-000016000000}"/>
    <cellStyle name="Normal 2 4 4 2 2 4 3" xfId="9553" xr:uid="{00000000-0005-0000-0000-000016000000}"/>
    <cellStyle name="Normal 2 4 4 2 2 5" xfId="3432" xr:uid="{00000000-0005-0000-0000-000016000000}"/>
    <cellStyle name="Normal 2 4 4 2 2 5 2" xfId="7513" xr:uid="{00000000-0005-0000-0000-000016000000}"/>
    <cellStyle name="Normal 2 4 4 2 2 5 2 2" xfId="15673" xr:uid="{00000000-0005-0000-0000-000016000000}"/>
    <cellStyle name="Normal 2 4 4 2 2 5 3" xfId="11593" xr:uid="{00000000-0005-0000-0000-000016000000}"/>
    <cellStyle name="Normal 2 4 4 2 2 6" xfId="4452" xr:uid="{00000000-0005-0000-0000-000016000000}"/>
    <cellStyle name="Normal 2 4 4 2 2 6 2" xfId="12613" xr:uid="{00000000-0005-0000-0000-000016000000}"/>
    <cellStyle name="Normal 2 4 4 2 2 7" xfId="8533" xr:uid="{00000000-0005-0000-0000-000016000000}"/>
    <cellStyle name="Normal 2 4 4 2 3" xfId="983" xr:uid="{00000000-0005-0000-0000-000016000000}"/>
    <cellStyle name="Normal 2 4 4 2 3 2" xfId="3024" xr:uid="{00000000-0005-0000-0000-000016000000}"/>
    <cellStyle name="Normal 2 4 4 2 3 2 2" xfId="7105" xr:uid="{00000000-0005-0000-0000-000016000000}"/>
    <cellStyle name="Normal 2 4 4 2 3 2 2 2" xfId="15265" xr:uid="{00000000-0005-0000-0000-000016000000}"/>
    <cellStyle name="Normal 2 4 4 2 3 2 3" xfId="11185" xr:uid="{00000000-0005-0000-0000-000016000000}"/>
    <cellStyle name="Normal 2 4 4 2 3 3" xfId="2004" xr:uid="{00000000-0005-0000-0000-000016000000}"/>
    <cellStyle name="Normal 2 4 4 2 3 3 2" xfId="6085" xr:uid="{00000000-0005-0000-0000-000016000000}"/>
    <cellStyle name="Normal 2 4 4 2 3 3 2 2" xfId="14245" xr:uid="{00000000-0005-0000-0000-000016000000}"/>
    <cellStyle name="Normal 2 4 4 2 3 3 3" xfId="10165" xr:uid="{00000000-0005-0000-0000-000016000000}"/>
    <cellStyle name="Normal 2 4 4 2 3 4" xfId="4044" xr:uid="{00000000-0005-0000-0000-000016000000}"/>
    <cellStyle name="Normal 2 4 4 2 3 4 2" xfId="8125" xr:uid="{00000000-0005-0000-0000-000016000000}"/>
    <cellStyle name="Normal 2 4 4 2 3 4 2 2" xfId="16285" xr:uid="{00000000-0005-0000-0000-000016000000}"/>
    <cellStyle name="Normal 2 4 4 2 3 4 3" xfId="12205" xr:uid="{00000000-0005-0000-0000-000016000000}"/>
    <cellStyle name="Normal 2 4 4 2 3 5" xfId="5064" xr:uid="{00000000-0005-0000-0000-000016000000}"/>
    <cellStyle name="Normal 2 4 4 2 3 5 2" xfId="13225" xr:uid="{00000000-0005-0000-0000-000016000000}"/>
    <cellStyle name="Normal 2 4 4 2 3 6" xfId="9145" xr:uid="{00000000-0005-0000-0000-000016000000}"/>
    <cellStyle name="Normal 2 4 4 2 4" xfId="575" xr:uid="{00000000-0005-0000-0000-000016000000}"/>
    <cellStyle name="Normal 2 4 4 2 4 2" xfId="2616" xr:uid="{00000000-0005-0000-0000-000016000000}"/>
    <cellStyle name="Normal 2 4 4 2 4 2 2" xfId="6697" xr:uid="{00000000-0005-0000-0000-000016000000}"/>
    <cellStyle name="Normal 2 4 4 2 4 2 2 2" xfId="14857" xr:uid="{00000000-0005-0000-0000-000016000000}"/>
    <cellStyle name="Normal 2 4 4 2 4 2 3" xfId="10777" xr:uid="{00000000-0005-0000-0000-000016000000}"/>
    <cellStyle name="Normal 2 4 4 2 4 3" xfId="1596" xr:uid="{00000000-0005-0000-0000-000016000000}"/>
    <cellStyle name="Normal 2 4 4 2 4 3 2" xfId="5677" xr:uid="{00000000-0005-0000-0000-000016000000}"/>
    <cellStyle name="Normal 2 4 4 2 4 3 2 2" xfId="13837" xr:uid="{00000000-0005-0000-0000-000016000000}"/>
    <cellStyle name="Normal 2 4 4 2 4 3 3" xfId="9757" xr:uid="{00000000-0005-0000-0000-000016000000}"/>
    <cellStyle name="Normal 2 4 4 2 4 4" xfId="3636" xr:uid="{00000000-0005-0000-0000-000016000000}"/>
    <cellStyle name="Normal 2 4 4 2 4 4 2" xfId="7717" xr:uid="{00000000-0005-0000-0000-000016000000}"/>
    <cellStyle name="Normal 2 4 4 2 4 4 2 2" xfId="15877" xr:uid="{00000000-0005-0000-0000-000016000000}"/>
    <cellStyle name="Normal 2 4 4 2 4 4 3" xfId="11797" xr:uid="{00000000-0005-0000-0000-000016000000}"/>
    <cellStyle name="Normal 2 4 4 2 4 5" xfId="4656" xr:uid="{00000000-0005-0000-0000-000016000000}"/>
    <cellStyle name="Normal 2 4 4 2 4 5 2" xfId="12817" xr:uid="{00000000-0005-0000-0000-000016000000}"/>
    <cellStyle name="Normal 2 4 4 2 4 6" xfId="8737" xr:uid="{00000000-0005-0000-0000-000016000000}"/>
    <cellStyle name="Normal 2 4 4 2 5" xfId="2208" xr:uid="{00000000-0005-0000-0000-000016000000}"/>
    <cellStyle name="Normal 2 4 4 2 5 2" xfId="6289" xr:uid="{00000000-0005-0000-0000-000016000000}"/>
    <cellStyle name="Normal 2 4 4 2 5 2 2" xfId="14449" xr:uid="{00000000-0005-0000-0000-000016000000}"/>
    <cellStyle name="Normal 2 4 4 2 5 3" xfId="10369" xr:uid="{00000000-0005-0000-0000-000016000000}"/>
    <cellStyle name="Normal 2 4 4 2 6" xfId="1188" xr:uid="{00000000-0005-0000-0000-000016000000}"/>
    <cellStyle name="Normal 2 4 4 2 6 2" xfId="5269" xr:uid="{00000000-0005-0000-0000-000016000000}"/>
    <cellStyle name="Normal 2 4 4 2 6 2 2" xfId="13429" xr:uid="{00000000-0005-0000-0000-000016000000}"/>
    <cellStyle name="Normal 2 4 4 2 6 3" xfId="9349" xr:uid="{00000000-0005-0000-0000-000016000000}"/>
    <cellStyle name="Normal 2 4 4 2 7" xfId="3228" xr:uid="{00000000-0005-0000-0000-000016000000}"/>
    <cellStyle name="Normal 2 4 4 2 7 2" xfId="7309" xr:uid="{00000000-0005-0000-0000-000016000000}"/>
    <cellStyle name="Normal 2 4 4 2 7 2 2" xfId="15469" xr:uid="{00000000-0005-0000-0000-000016000000}"/>
    <cellStyle name="Normal 2 4 4 2 7 3" xfId="11389" xr:uid="{00000000-0005-0000-0000-000016000000}"/>
    <cellStyle name="Normal 2 4 4 2 8" xfId="4248" xr:uid="{00000000-0005-0000-0000-000016000000}"/>
    <cellStyle name="Normal 2 4 4 2 8 2" xfId="12409" xr:uid="{00000000-0005-0000-0000-000016000000}"/>
    <cellStyle name="Normal 2 4 4 2 9" xfId="8329" xr:uid="{00000000-0005-0000-0000-000016000000}"/>
    <cellStyle name="Normal 2 4 4 3" xfId="269" xr:uid="{00000000-0005-0000-0000-000016000000}"/>
    <cellStyle name="Normal 2 4 4 3 2" xfId="677" xr:uid="{00000000-0005-0000-0000-000016000000}"/>
    <cellStyle name="Normal 2 4 4 3 2 2" xfId="2718" xr:uid="{00000000-0005-0000-0000-000016000000}"/>
    <cellStyle name="Normal 2 4 4 3 2 2 2" xfId="6799" xr:uid="{00000000-0005-0000-0000-000016000000}"/>
    <cellStyle name="Normal 2 4 4 3 2 2 2 2" xfId="14959" xr:uid="{00000000-0005-0000-0000-000016000000}"/>
    <cellStyle name="Normal 2 4 4 3 2 2 3" xfId="10879" xr:uid="{00000000-0005-0000-0000-000016000000}"/>
    <cellStyle name="Normal 2 4 4 3 2 3" xfId="1698" xr:uid="{00000000-0005-0000-0000-000016000000}"/>
    <cellStyle name="Normal 2 4 4 3 2 3 2" xfId="5779" xr:uid="{00000000-0005-0000-0000-000016000000}"/>
    <cellStyle name="Normal 2 4 4 3 2 3 2 2" xfId="13939" xr:uid="{00000000-0005-0000-0000-000016000000}"/>
    <cellStyle name="Normal 2 4 4 3 2 3 3" xfId="9859" xr:uid="{00000000-0005-0000-0000-000016000000}"/>
    <cellStyle name="Normal 2 4 4 3 2 4" xfId="3738" xr:uid="{00000000-0005-0000-0000-000016000000}"/>
    <cellStyle name="Normal 2 4 4 3 2 4 2" xfId="7819" xr:uid="{00000000-0005-0000-0000-000016000000}"/>
    <cellStyle name="Normal 2 4 4 3 2 4 2 2" xfId="15979" xr:uid="{00000000-0005-0000-0000-000016000000}"/>
    <cellStyle name="Normal 2 4 4 3 2 4 3" xfId="11899" xr:uid="{00000000-0005-0000-0000-000016000000}"/>
    <cellStyle name="Normal 2 4 4 3 2 5" xfId="4758" xr:uid="{00000000-0005-0000-0000-000016000000}"/>
    <cellStyle name="Normal 2 4 4 3 2 5 2" xfId="12919" xr:uid="{00000000-0005-0000-0000-000016000000}"/>
    <cellStyle name="Normal 2 4 4 3 2 6" xfId="8839" xr:uid="{00000000-0005-0000-0000-000016000000}"/>
    <cellStyle name="Normal 2 4 4 3 3" xfId="2310" xr:uid="{00000000-0005-0000-0000-000016000000}"/>
    <cellStyle name="Normal 2 4 4 3 3 2" xfId="6391" xr:uid="{00000000-0005-0000-0000-000016000000}"/>
    <cellStyle name="Normal 2 4 4 3 3 2 2" xfId="14551" xr:uid="{00000000-0005-0000-0000-000016000000}"/>
    <cellStyle name="Normal 2 4 4 3 3 3" xfId="10471" xr:uid="{00000000-0005-0000-0000-000016000000}"/>
    <cellStyle name="Normal 2 4 4 3 4" xfId="1290" xr:uid="{00000000-0005-0000-0000-000016000000}"/>
    <cellStyle name="Normal 2 4 4 3 4 2" xfId="5371" xr:uid="{00000000-0005-0000-0000-000016000000}"/>
    <cellStyle name="Normal 2 4 4 3 4 2 2" xfId="13531" xr:uid="{00000000-0005-0000-0000-000016000000}"/>
    <cellStyle name="Normal 2 4 4 3 4 3" xfId="9451" xr:uid="{00000000-0005-0000-0000-000016000000}"/>
    <cellStyle name="Normal 2 4 4 3 5" xfId="3330" xr:uid="{00000000-0005-0000-0000-000016000000}"/>
    <cellStyle name="Normal 2 4 4 3 5 2" xfId="7411" xr:uid="{00000000-0005-0000-0000-000016000000}"/>
    <cellStyle name="Normal 2 4 4 3 5 2 2" xfId="15571" xr:uid="{00000000-0005-0000-0000-000016000000}"/>
    <cellStyle name="Normal 2 4 4 3 5 3" xfId="11491" xr:uid="{00000000-0005-0000-0000-000016000000}"/>
    <cellStyle name="Normal 2 4 4 3 6" xfId="4350" xr:uid="{00000000-0005-0000-0000-000016000000}"/>
    <cellStyle name="Normal 2 4 4 3 6 2" xfId="12511" xr:uid="{00000000-0005-0000-0000-000016000000}"/>
    <cellStyle name="Normal 2 4 4 3 7" xfId="8431" xr:uid="{00000000-0005-0000-0000-000016000000}"/>
    <cellStyle name="Normal 2 4 4 4" xfId="881" xr:uid="{00000000-0005-0000-0000-000016000000}"/>
    <cellStyle name="Normal 2 4 4 4 2" xfId="2922" xr:uid="{00000000-0005-0000-0000-000016000000}"/>
    <cellStyle name="Normal 2 4 4 4 2 2" xfId="7003" xr:uid="{00000000-0005-0000-0000-000016000000}"/>
    <cellStyle name="Normal 2 4 4 4 2 2 2" xfId="15163" xr:uid="{00000000-0005-0000-0000-000016000000}"/>
    <cellStyle name="Normal 2 4 4 4 2 3" xfId="11083" xr:uid="{00000000-0005-0000-0000-000016000000}"/>
    <cellStyle name="Normal 2 4 4 4 3" xfId="1902" xr:uid="{00000000-0005-0000-0000-000016000000}"/>
    <cellStyle name="Normal 2 4 4 4 3 2" xfId="5983" xr:uid="{00000000-0005-0000-0000-000016000000}"/>
    <cellStyle name="Normal 2 4 4 4 3 2 2" xfId="14143" xr:uid="{00000000-0005-0000-0000-000016000000}"/>
    <cellStyle name="Normal 2 4 4 4 3 3" xfId="10063" xr:uid="{00000000-0005-0000-0000-000016000000}"/>
    <cellStyle name="Normal 2 4 4 4 4" xfId="3942" xr:uid="{00000000-0005-0000-0000-000016000000}"/>
    <cellStyle name="Normal 2 4 4 4 4 2" xfId="8023" xr:uid="{00000000-0005-0000-0000-000016000000}"/>
    <cellStyle name="Normal 2 4 4 4 4 2 2" xfId="16183" xr:uid="{00000000-0005-0000-0000-000016000000}"/>
    <cellStyle name="Normal 2 4 4 4 4 3" xfId="12103" xr:uid="{00000000-0005-0000-0000-000016000000}"/>
    <cellStyle name="Normal 2 4 4 4 5" xfId="4962" xr:uid="{00000000-0005-0000-0000-000016000000}"/>
    <cellStyle name="Normal 2 4 4 4 5 2" xfId="13123" xr:uid="{00000000-0005-0000-0000-000016000000}"/>
    <cellStyle name="Normal 2 4 4 4 6" xfId="9043" xr:uid="{00000000-0005-0000-0000-000016000000}"/>
    <cellStyle name="Normal 2 4 4 5" xfId="473" xr:uid="{00000000-0005-0000-0000-000016000000}"/>
    <cellStyle name="Normal 2 4 4 5 2" xfId="2514" xr:uid="{00000000-0005-0000-0000-000016000000}"/>
    <cellStyle name="Normal 2 4 4 5 2 2" xfId="6595" xr:uid="{00000000-0005-0000-0000-000016000000}"/>
    <cellStyle name="Normal 2 4 4 5 2 2 2" xfId="14755" xr:uid="{00000000-0005-0000-0000-000016000000}"/>
    <cellStyle name="Normal 2 4 4 5 2 3" xfId="10675" xr:uid="{00000000-0005-0000-0000-000016000000}"/>
    <cellStyle name="Normal 2 4 4 5 3" xfId="1494" xr:uid="{00000000-0005-0000-0000-000016000000}"/>
    <cellStyle name="Normal 2 4 4 5 3 2" xfId="5575" xr:uid="{00000000-0005-0000-0000-000016000000}"/>
    <cellStyle name="Normal 2 4 4 5 3 2 2" xfId="13735" xr:uid="{00000000-0005-0000-0000-000016000000}"/>
    <cellStyle name="Normal 2 4 4 5 3 3" xfId="9655" xr:uid="{00000000-0005-0000-0000-000016000000}"/>
    <cellStyle name="Normal 2 4 4 5 4" xfId="3534" xr:uid="{00000000-0005-0000-0000-000016000000}"/>
    <cellStyle name="Normal 2 4 4 5 4 2" xfId="7615" xr:uid="{00000000-0005-0000-0000-000016000000}"/>
    <cellStyle name="Normal 2 4 4 5 4 2 2" xfId="15775" xr:uid="{00000000-0005-0000-0000-000016000000}"/>
    <cellStyle name="Normal 2 4 4 5 4 3" xfId="11695" xr:uid="{00000000-0005-0000-0000-000016000000}"/>
    <cellStyle name="Normal 2 4 4 5 5" xfId="4554" xr:uid="{00000000-0005-0000-0000-000016000000}"/>
    <cellStyle name="Normal 2 4 4 5 5 2" xfId="12715" xr:uid="{00000000-0005-0000-0000-000016000000}"/>
    <cellStyle name="Normal 2 4 4 5 6" xfId="8635" xr:uid="{00000000-0005-0000-0000-000016000000}"/>
    <cellStyle name="Normal 2 4 4 6" xfId="2106" xr:uid="{00000000-0005-0000-0000-000016000000}"/>
    <cellStyle name="Normal 2 4 4 6 2" xfId="6187" xr:uid="{00000000-0005-0000-0000-000016000000}"/>
    <cellStyle name="Normal 2 4 4 6 2 2" xfId="14347" xr:uid="{00000000-0005-0000-0000-000016000000}"/>
    <cellStyle name="Normal 2 4 4 6 3" xfId="10267" xr:uid="{00000000-0005-0000-0000-000016000000}"/>
    <cellStyle name="Normal 2 4 4 7" xfId="1086" xr:uid="{00000000-0005-0000-0000-000016000000}"/>
    <cellStyle name="Normal 2 4 4 7 2" xfId="5167" xr:uid="{00000000-0005-0000-0000-000016000000}"/>
    <cellStyle name="Normal 2 4 4 7 2 2" xfId="13327" xr:uid="{00000000-0005-0000-0000-000016000000}"/>
    <cellStyle name="Normal 2 4 4 7 3" xfId="9247" xr:uid="{00000000-0005-0000-0000-000016000000}"/>
    <cellStyle name="Normal 2 4 4 8" xfId="3126" xr:uid="{00000000-0005-0000-0000-000016000000}"/>
    <cellStyle name="Normal 2 4 4 8 2" xfId="7207" xr:uid="{00000000-0005-0000-0000-000016000000}"/>
    <cellStyle name="Normal 2 4 4 8 2 2" xfId="15367" xr:uid="{00000000-0005-0000-0000-000016000000}"/>
    <cellStyle name="Normal 2 4 4 8 3" xfId="11287" xr:uid="{00000000-0005-0000-0000-000016000000}"/>
    <cellStyle name="Normal 2 4 4 9" xfId="4146" xr:uid="{00000000-0005-0000-0000-000016000000}"/>
    <cellStyle name="Normal 2 4 4 9 2" xfId="12307" xr:uid="{00000000-0005-0000-0000-000016000000}"/>
    <cellStyle name="Normal 2 4 5" xfId="116" xr:uid="{00000000-0005-0000-0000-000016000000}"/>
    <cellStyle name="Normal 2 4 5 2" xfId="320" xr:uid="{00000000-0005-0000-0000-000016000000}"/>
    <cellStyle name="Normal 2 4 5 2 2" xfId="728" xr:uid="{00000000-0005-0000-0000-000016000000}"/>
    <cellStyle name="Normal 2 4 5 2 2 2" xfId="2769" xr:uid="{00000000-0005-0000-0000-000016000000}"/>
    <cellStyle name="Normal 2 4 5 2 2 2 2" xfId="6850" xr:uid="{00000000-0005-0000-0000-000016000000}"/>
    <cellStyle name="Normal 2 4 5 2 2 2 2 2" xfId="15010" xr:uid="{00000000-0005-0000-0000-000016000000}"/>
    <cellStyle name="Normal 2 4 5 2 2 2 3" xfId="10930" xr:uid="{00000000-0005-0000-0000-000016000000}"/>
    <cellStyle name="Normal 2 4 5 2 2 3" xfId="1749" xr:uid="{00000000-0005-0000-0000-000016000000}"/>
    <cellStyle name="Normal 2 4 5 2 2 3 2" xfId="5830" xr:uid="{00000000-0005-0000-0000-000016000000}"/>
    <cellStyle name="Normal 2 4 5 2 2 3 2 2" xfId="13990" xr:uid="{00000000-0005-0000-0000-000016000000}"/>
    <cellStyle name="Normal 2 4 5 2 2 3 3" xfId="9910" xr:uid="{00000000-0005-0000-0000-000016000000}"/>
    <cellStyle name="Normal 2 4 5 2 2 4" xfId="3789" xr:uid="{00000000-0005-0000-0000-000016000000}"/>
    <cellStyle name="Normal 2 4 5 2 2 4 2" xfId="7870" xr:uid="{00000000-0005-0000-0000-000016000000}"/>
    <cellStyle name="Normal 2 4 5 2 2 4 2 2" xfId="16030" xr:uid="{00000000-0005-0000-0000-000016000000}"/>
    <cellStyle name="Normal 2 4 5 2 2 4 3" xfId="11950" xr:uid="{00000000-0005-0000-0000-000016000000}"/>
    <cellStyle name="Normal 2 4 5 2 2 5" xfId="4809" xr:uid="{00000000-0005-0000-0000-000016000000}"/>
    <cellStyle name="Normal 2 4 5 2 2 5 2" xfId="12970" xr:uid="{00000000-0005-0000-0000-000016000000}"/>
    <cellStyle name="Normal 2 4 5 2 2 6" xfId="8890" xr:uid="{00000000-0005-0000-0000-000016000000}"/>
    <cellStyle name="Normal 2 4 5 2 3" xfId="2361" xr:uid="{00000000-0005-0000-0000-000016000000}"/>
    <cellStyle name="Normal 2 4 5 2 3 2" xfId="6442" xr:uid="{00000000-0005-0000-0000-000016000000}"/>
    <cellStyle name="Normal 2 4 5 2 3 2 2" xfId="14602" xr:uid="{00000000-0005-0000-0000-000016000000}"/>
    <cellStyle name="Normal 2 4 5 2 3 3" xfId="10522" xr:uid="{00000000-0005-0000-0000-000016000000}"/>
    <cellStyle name="Normal 2 4 5 2 4" xfId="1341" xr:uid="{00000000-0005-0000-0000-000016000000}"/>
    <cellStyle name="Normal 2 4 5 2 4 2" xfId="5422" xr:uid="{00000000-0005-0000-0000-000016000000}"/>
    <cellStyle name="Normal 2 4 5 2 4 2 2" xfId="13582" xr:uid="{00000000-0005-0000-0000-000016000000}"/>
    <cellStyle name="Normal 2 4 5 2 4 3" xfId="9502" xr:uid="{00000000-0005-0000-0000-000016000000}"/>
    <cellStyle name="Normal 2 4 5 2 5" xfId="3381" xr:uid="{00000000-0005-0000-0000-000016000000}"/>
    <cellStyle name="Normal 2 4 5 2 5 2" xfId="7462" xr:uid="{00000000-0005-0000-0000-000016000000}"/>
    <cellStyle name="Normal 2 4 5 2 5 2 2" xfId="15622" xr:uid="{00000000-0005-0000-0000-000016000000}"/>
    <cellStyle name="Normal 2 4 5 2 5 3" xfId="11542" xr:uid="{00000000-0005-0000-0000-000016000000}"/>
    <cellStyle name="Normal 2 4 5 2 6" xfId="4401" xr:uid="{00000000-0005-0000-0000-000016000000}"/>
    <cellStyle name="Normal 2 4 5 2 6 2" xfId="12562" xr:uid="{00000000-0005-0000-0000-000016000000}"/>
    <cellStyle name="Normal 2 4 5 2 7" xfId="8482" xr:uid="{00000000-0005-0000-0000-000016000000}"/>
    <cellStyle name="Normal 2 4 5 3" xfId="932" xr:uid="{00000000-0005-0000-0000-000016000000}"/>
    <cellStyle name="Normal 2 4 5 3 2" xfId="2973" xr:uid="{00000000-0005-0000-0000-000016000000}"/>
    <cellStyle name="Normal 2 4 5 3 2 2" xfId="7054" xr:uid="{00000000-0005-0000-0000-000016000000}"/>
    <cellStyle name="Normal 2 4 5 3 2 2 2" xfId="15214" xr:uid="{00000000-0005-0000-0000-000016000000}"/>
    <cellStyle name="Normal 2 4 5 3 2 3" xfId="11134" xr:uid="{00000000-0005-0000-0000-000016000000}"/>
    <cellStyle name="Normal 2 4 5 3 3" xfId="1953" xr:uid="{00000000-0005-0000-0000-000016000000}"/>
    <cellStyle name="Normal 2 4 5 3 3 2" xfId="6034" xr:uid="{00000000-0005-0000-0000-000016000000}"/>
    <cellStyle name="Normal 2 4 5 3 3 2 2" xfId="14194" xr:uid="{00000000-0005-0000-0000-000016000000}"/>
    <cellStyle name="Normal 2 4 5 3 3 3" xfId="10114" xr:uid="{00000000-0005-0000-0000-000016000000}"/>
    <cellStyle name="Normal 2 4 5 3 4" xfId="3993" xr:uid="{00000000-0005-0000-0000-000016000000}"/>
    <cellStyle name="Normal 2 4 5 3 4 2" xfId="8074" xr:uid="{00000000-0005-0000-0000-000016000000}"/>
    <cellStyle name="Normal 2 4 5 3 4 2 2" xfId="16234" xr:uid="{00000000-0005-0000-0000-000016000000}"/>
    <cellStyle name="Normal 2 4 5 3 4 3" xfId="12154" xr:uid="{00000000-0005-0000-0000-000016000000}"/>
    <cellStyle name="Normal 2 4 5 3 5" xfId="5013" xr:uid="{00000000-0005-0000-0000-000016000000}"/>
    <cellStyle name="Normal 2 4 5 3 5 2" xfId="13174" xr:uid="{00000000-0005-0000-0000-000016000000}"/>
    <cellStyle name="Normal 2 4 5 3 6" xfId="9094" xr:uid="{00000000-0005-0000-0000-000016000000}"/>
    <cellStyle name="Normal 2 4 5 4" xfId="524" xr:uid="{00000000-0005-0000-0000-000016000000}"/>
    <cellStyle name="Normal 2 4 5 4 2" xfId="2565" xr:uid="{00000000-0005-0000-0000-000016000000}"/>
    <cellStyle name="Normal 2 4 5 4 2 2" xfId="6646" xr:uid="{00000000-0005-0000-0000-000016000000}"/>
    <cellStyle name="Normal 2 4 5 4 2 2 2" xfId="14806" xr:uid="{00000000-0005-0000-0000-000016000000}"/>
    <cellStyle name="Normal 2 4 5 4 2 3" xfId="10726" xr:uid="{00000000-0005-0000-0000-000016000000}"/>
    <cellStyle name="Normal 2 4 5 4 3" xfId="1545" xr:uid="{00000000-0005-0000-0000-000016000000}"/>
    <cellStyle name="Normal 2 4 5 4 3 2" xfId="5626" xr:uid="{00000000-0005-0000-0000-000016000000}"/>
    <cellStyle name="Normal 2 4 5 4 3 2 2" xfId="13786" xr:uid="{00000000-0005-0000-0000-000016000000}"/>
    <cellStyle name="Normal 2 4 5 4 3 3" xfId="9706" xr:uid="{00000000-0005-0000-0000-000016000000}"/>
    <cellStyle name="Normal 2 4 5 4 4" xfId="3585" xr:uid="{00000000-0005-0000-0000-000016000000}"/>
    <cellStyle name="Normal 2 4 5 4 4 2" xfId="7666" xr:uid="{00000000-0005-0000-0000-000016000000}"/>
    <cellStyle name="Normal 2 4 5 4 4 2 2" xfId="15826" xr:uid="{00000000-0005-0000-0000-000016000000}"/>
    <cellStyle name="Normal 2 4 5 4 4 3" xfId="11746" xr:uid="{00000000-0005-0000-0000-000016000000}"/>
    <cellStyle name="Normal 2 4 5 4 5" xfId="4605" xr:uid="{00000000-0005-0000-0000-000016000000}"/>
    <cellStyle name="Normal 2 4 5 4 5 2" xfId="12766" xr:uid="{00000000-0005-0000-0000-000016000000}"/>
    <cellStyle name="Normal 2 4 5 4 6" xfId="8686" xr:uid="{00000000-0005-0000-0000-000016000000}"/>
    <cellStyle name="Normal 2 4 5 5" xfId="2157" xr:uid="{00000000-0005-0000-0000-000016000000}"/>
    <cellStyle name="Normal 2 4 5 5 2" xfId="6238" xr:uid="{00000000-0005-0000-0000-000016000000}"/>
    <cellStyle name="Normal 2 4 5 5 2 2" xfId="14398" xr:uid="{00000000-0005-0000-0000-000016000000}"/>
    <cellStyle name="Normal 2 4 5 5 3" xfId="10318" xr:uid="{00000000-0005-0000-0000-000016000000}"/>
    <cellStyle name="Normal 2 4 5 6" xfId="1137" xr:uid="{00000000-0005-0000-0000-000016000000}"/>
    <cellStyle name="Normal 2 4 5 6 2" xfId="5218" xr:uid="{00000000-0005-0000-0000-000016000000}"/>
    <cellStyle name="Normal 2 4 5 6 2 2" xfId="13378" xr:uid="{00000000-0005-0000-0000-000016000000}"/>
    <cellStyle name="Normal 2 4 5 6 3" xfId="9298" xr:uid="{00000000-0005-0000-0000-000016000000}"/>
    <cellStyle name="Normal 2 4 5 7" xfId="3177" xr:uid="{00000000-0005-0000-0000-000016000000}"/>
    <cellStyle name="Normal 2 4 5 7 2" xfId="7258" xr:uid="{00000000-0005-0000-0000-000016000000}"/>
    <cellStyle name="Normal 2 4 5 7 2 2" xfId="15418" xr:uid="{00000000-0005-0000-0000-000016000000}"/>
    <cellStyle name="Normal 2 4 5 7 3" xfId="11338" xr:uid="{00000000-0005-0000-0000-000016000000}"/>
    <cellStyle name="Normal 2 4 5 8" xfId="4197" xr:uid="{00000000-0005-0000-0000-000016000000}"/>
    <cellStyle name="Normal 2 4 5 8 2" xfId="12358" xr:uid="{00000000-0005-0000-0000-000016000000}"/>
    <cellStyle name="Normal 2 4 5 9" xfId="8278" xr:uid="{00000000-0005-0000-0000-000016000000}"/>
    <cellStyle name="Normal 2 4 6" xfId="218" xr:uid="{00000000-0005-0000-0000-000016000000}"/>
    <cellStyle name="Normal 2 4 6 2" xfId="626" xr:uid="{00000000-0005-0000-0000-000016000000}"/>
    <cellStyle name="Normal 2 4 6 2 2" xfId="2667" xr:uid="{00000000-0005-0000-0000-000016000000}"/>
    <cellStyle name="Normal 2 4 6 2 2 2" xfId="6748" xr:uid="{00000000-0005-0000-0000-000016000000}"/>
    <cellStyle name="Normal 2 4 6 2 2 2 2" xfId="14908" xr:uid="{00000000-0005-0000-0000-000016000000}"/>
    <cellStyle name="Normal 2 4 6 2 2 3" xfId="10828" xr:uid="{00000000-0005-0000-0000-000016000000}"/>
    <cellStyle name="Normal 2 4 6 2 3" xfId="1647" xr:uid="{00000000-0005-0000-0000-000016000000}"/>
    <cellStyle name="Normal 2 4 6 2 3 2" xfId="5728" xr:uid="{00000000-0005-0000-0000-000016000000}"/>
    <cellStyle name="Normal 2 4 6 2 3 2 2" xfId="13888" xr:uid="{00000000-0005-0000-0000-000016000000}"/>
    <cellStyle name="Normal 2 4 6 2 3 3" xfId="9808" xr:uid="{00000000-0005-0000-0000-000016000000}"/>
    <cellStyle name="Normal 2 4 6 2 4" xfId="3687" xr:uid="{00000000-0005-0000-0000-000016000000}"/>
    <cellStyle name="Normal 2 4 6 2 4 2" xfId="7768" xr:uid="{00000000-0005-0000-0000-000016000000}"/>
    <cellStyle name="Normal 2 4 6 2 4 2 2" xfId="15928" xr:uid="{00000000-0005-0000-0000-000016000000}"/>
    <cellStyle name="Normal 2 4 6 2 4 3" xfId="11848" xr:uid="{00000000-0005-0000-0000-000016000000}"/>
    <cellStyle name="Normal 2 4 6 2 5" xfId="4707" xr:uid="{00000000-0005-0000-0000-000016000000}"/>
    <cellStyle name="Normal 2 4 6 2 5 2" xfId="12868" xr:uid="{00000000-0005-0000-0000-000016000000}"/>
    <cellStyle name="Normal 2 4 6 2 6" xfId="8788" xr:uid="{00000000-0005-0000-0000-000016000000}"/>
    <cellStyle name="Normal 2 4 6 3" xfId="2259" xr:uid="{00000000-0005-0000-0000-000016000000}"/>
    <cellStyle name="Normal 2 4 6 3 2" xfId="6340" xr:uid="{00000000-0005-0000-0000-000016000000}"/>
    <cellStyle name="Normal 2 4 6 3 2 2" xfId="14500" xr:uid="{00000000-0005-0000-0000-000016000000}"/>
    <cellStyle name="Normal 2 4 6 3 3" xfId="10420" xr:uid="{00000000-0005-0000-0000-000016000000}"/>
    <cellStyle name="Normal 2 4 6 4" xfId="1239" xr:uid="{00000000-0005-0000-0000-000016000000}"/>
    <cellStyle name="Normal 2 4 6 4 2" xfId="5320" xr:uid="{00000000-0005-0000-0000-000016000000}"/>
    <cellStyle name="Normal 2 4 6 4 2 2" xfId="13480" xr:uid="{00000000-0005-0000-0000-000016000000}"/>
    <cellStyle name="Normal 2 4 6 4 3" xfId="9400" xr:uid="{00000000-0005-0000-0000-000016000000}"/>
    <cellStyle name="Normal 2 4 6 5" xfId="3279" xr:uid="{00000000-0005-0000-0000-000016000000}"/>
    <cellStyle name="Normal 2 4 6 5 2" xfId="7360" xr:uid="{00000000-0005-0000-0000-000016000000}"/>
    <cellStyle name="Normal 2 4 6 5 2 2" xfId="15520" xr:uid="{00000000-0005-0000-0000-000016000000}"/>
    <cellStyle name="Normal 2 4 6 5 3" xfId="11440" xr:uid="{00000000-0005-0000-0000-000016000000}"/>
    <cellStyle name="Normal 2 4 6 6" xfId="4299" xr:uid="{00000000-0005-0000-0000-000016000000}"/>
    <cellStyle name="Normal 2 4 6 6 2" xfId="12460" xr:uid="{00000000-0005-0000-0000-000016000000}"/>
    <cellStyle name="Normal 2 4 6 7" xfId="8380" xr:uid="{00000000-0005-0000-0000-000016000000}"/>
    <cellStyle name="Normal 2 4 7" xfId="830" xr:uid="{00000000-0005-0000-0000-000016000000}"/>
    <cellStyle name="Normal 2 4 7 2" xfId="2871" xr:uid="{00000000-0005-0000-0000-000016000000}"/>
    <cellStyle name="Normal 2 4 7 2 2" xfId="6952" xr:uid="{00000000-0005-0000-0000-000016000000}"/>
    <cellStyle name="Normal 2 4 7 2 2 2" xfId="15112" xr:uid="{00000000-0005-0000-0000-000016000000}"/>
    <cellStyle name="Normal 2 4 7 2 3" xfId="11032" xr:uid="{00000000-0005-0000-0000-000016000000}"/>
    <cellStyle name="Normal 2 4 7 3" xfId="1851" xr:uid="{00000000-0005-0000-0000-000016000000}"/>
    <cellStyle name="Normal 2 4 7 3 2" xfId="5932" xr:uid="{00000000-0005-0000-0000-000016000000}"/>
    <cellStyle name="Normal 2 4 7 3 2 2" xfId="14092" xr:uid="{00000000-0005-0000-0000-000016000000}"/>
    <cellStyle name="Normal 2 4 7 3 3" xfId="10012" xr:uid="{00000000-0005-0000-0000-000016000000}"/>
    <cellStyle name="Normal 2 4 7 4" xfId="3891" xr:uid="{00000000-0005-0000-0000-000016000000}"/>
    <cellStyle name="Normal 2 4 7 4 2" xfId="7972" xr:uid="{00000000-0005-0000-0000-000016000000}"/>
    <cellStyle name="Normal 2 4 7 4 2 2" xfId="16132" xr:uid="{00000000-0005-0000-0000-000016000000}"/>
    <cellStyle name="Normal 2 4 7 4 3" xfId="12052" xr:uid="{00000000-0005-0000-0000-000016000000}"/>
    <cellStyle name="Normal 2 4 7 5" xfId="4911" xr:uid="{00000000-0005-0000-0000-000016000000}"/>
    <cellStyle name="Normal 2 4 7 5 2" xfId="13072" xr:uid="{00000000-0005-0000-0000-000016000000}"/>
    <cellStyle name="Normal 2 4 7 6" xfId="8992" xr:uid="{00000000-0005-0000-0000-000016000000}"/>
    <cellStyle name="Normal 2 4 8" xfId="422" xr:uid="{00000000-0005-0000-0000-000016000000}"/>
    <cellStyle name="Normal 2 4 8 2" xfId="2463" xr:uid="{00000000-0005-0000-0000-000016000000}"/>
    <cellStyle name="Normal 2 4 8 2 2" xfId="6544" xr:uid="{00000000-0005-0000-0000-000016000000}"/>
    <cellStyle name="Normal 2 4 8 2 2 2" xfId="14704" xr:uid="{00000000-0005-0000-0000-000016000000}"/>
    <cellStyle name="Normal 2 4 8 2 3" xfId="10624" xr:uid="{00000000-0005-0000-0000-000016000000}"/>
    <cellStyle name="Normal 2 4 8 3" xfId="1443" xr:uid="{00000000-0005-0000-0000-000016000000}"/>
    <cellStyle name="Normal 2 4 8 3 2" xfId="5524" xr:uid="{00000000-0005-0000-0000-000016000000}"/>
    <cellStyle name="Normal 2 4 8 3 2 2" xfId="13684" xr:uid="{00000000-0005-0000-0000-000016000000}"/>
    <cellStyle name="Normal 2 4 8 3 3" xfId="9604" xr:uid="{00000000-0005-0000-0000-000016000000}"/>
    <cellStyle name="Normal 2 4 8 4" xfId="3483" xr:uid="{00000000-0005-0000-0000-000016000000}"/>
    <cellStyle name="Normal 2 4 8 4 2" xfId="7564" xr:uid="{00000000-0005-0000-0000-000016000000}"/>
    <cellStyle name="Normal 2 4 8 4 2 2" xfId="15724" xr:uid="{00000000-0005-0000-0000-000016000000}"/>
    <cellStyle name="Normal 2 4 8 4 3" xfId="11644" xr:uid="{00000000-0005-0000-0000-000016000000}"/>
    <cellStyle name="Normal 2 4 8 5" xfId="4503" xr:uid="{00000000-0005-0000-0000-000016000000}"/>
    <cellStyle name="Normal 2 4 8 5 2" xfId="12664" xr:uid="{00000000-0005-0000-0000-000016000000}"/>
    <cellStyle name="Normal 2 4 8 6" xfId="8584" xr:uid="{00000000-0005-0000-0000-000016000000}"/>
    <cellStyle name="Normal 2 4 9" xfId="2055" xr:uid="{00000000-0005-0000-0000-000016000000}"/>
    <cellStyle name="Normal 2 4 9 2" xfId="6136" xr:uid="{00000000-0005-0000-0000-000016000000}"/>
    <cellStyle name="Normal 2 4 9 2 2" xfId="14296" xr:uid="{00000000-0005-0000-0000-000016000000}"/>
    <cellStyle name="Normal 2 4 9 3" xfId="10216" xr:uid="{00000000-0005-0000-0000-000016000000}"/>
    <cellStyle name="Normal 2 5" xfId="19" xr:uid="{00000000-0005-0000-0000-000019000000}"/>
    <cellStyle name="Normal 2 5 10" xfId="3083" xr:uid="{00000000-0005-0000-0000-000019000000}"/>
    <cellStyle name="Normal 2 5 10 2" xfId="7164" xr:uid="{00000000-0005-0000-0000-000019000000}"/>
    <cellStyle name="Normal 2 5 10 2 2" xfId="15324" xr:uid="{00000000-0005-0000-0000-000019000000}"/>
    <cellStyle name="Normal 2 5 10 3" xfId="11244" xr:uid="{00000000-0005-0000-0000-000019000000}"/>
    <cellStyle name="Normal 2 5 11" xfId="4103" xr:uid="{00000000-0005-0000-0000-000019000000}"/>
    <cellStyle name="Normal 2 5 11 2" xfId="12264" xr:uid="{00000000-0005-0000-0000-000019000000}"/>
    <cellStyle name="Normal 2 5 12" xfId="8184" xr:uid="{00000000-0005-0000-0000-000019000000}"/>
    <cellStyle name="Normal 2 5 2" xfId="47" xr:uid="{00000000-0005-0000-0000-00001A000000}"/>
    <cellStyle name="Normal 2 5 2 10" xfId="4128" xr:uid="{00000000-0005-0000-0000-00001A000000}"/>
    <cellStyle name="Normal 2 5 2 10 2" xfId="12289" xr:uid="{00000000-0005-0000-0000-00001A000000}"/>
    <cellStyle name="Normal 2 5 2 11" xfId="8209" xr:uid="{00000000-0005-0000-0000-00001A000000}"/>
    <cellStyle name="Normal 2 5 2 2" xfId="98" xr:uid="{00000000-0005-0000-0000-00001A000000}"/>
    <cellStyle name="Normal 2 5 2 2 10" xfId="8260" xr:uid="{00000000-0005-0000-0000-00001A000000}"/>
    <cellStyle name="Normal 2 5 2 2 2" xfId="200" xr:uid="{00000000-0005-0000-0000-00001A000000}"/>
    <cellStyle name="Normal 2 5 2 2 2 2" xfId="404" xr:uid="{00000000-0005-0000-0000-00001A000000}"/>
    <cellStyle name="Normal 2 5 2 2 2 2 2" xfId="812" xr:uid="{00000000-0005-0000-0000-00001A000000}"/>
    <cellStyle name="Normal 2 5 2 2 2 2 2 2" xfId="2853" xr:uid="{00000000-0005-0000-0000-00001A000000}"/>
    <cellStyle name="Normal 2 5 2 2 2 2 2 2 2" xfId="6934" xr:uid="{00000000-0005-0000-0000-00001A000000}"/>
    <cellStyle name="Normal 2 5 2 2 2 2 2 2 2 2" xfId="15094" xr:uid="{00000000-0005-0000-0000-00001A000000}"/>
    <cellStyle name="Normal 2 5 2 2 2 2 2 2 3" xfId="11014" xr:uid="{00000000-0005-0000-0000-00001A000000}"/>
    <cellStyle name="Normal 2 5 2 2 2 2 2 3" xfId="1833" xr:uid="{00000000-0005-0000-0000-00001A000000}"/>
    <cellStyle name="Normal 2 5 2 2 2 2 2 3 2" xfId="5914" xr:uid="{00000000-0005-0000-0000-00001A000000}"/>
    <cellStyle name="Normal 2 5 2 2 2 2 2 3 2 2" xfId="14074" xr:uid="{00000000-0005-0000-0000-00001A000000}"/>
    <cellStyle name="Normal 2 5 2 2 2 2 2 3 3" xfId="9994" xr:uid="{00000000-0005-0000-0000-00001A000000}"/>
    <cellStyle name="Normal 2 5 2 2 2 2 2 4" xfId="3873" xr:uid="{00000000-0005-0000-0000-00001A000000}"/>
    <cellStyle name="Normal 2 5 2 2 2 2 2 4 2" xfId="7954" xr:uid="{00000000-0005-0000-0000-00001A000000}"/>
    <cellStyle name="Normal 2 5 2 2 2 2 2 4 2 2" xfId="16114" xr:uid="{00000000-0005-0000-0000-00001A000000}"/>
    <cellStyle name="Normal 2 5 2 2 2 2 2 4 3" xfId="12034" xr:uid="{00000000-0005-0000-0000-00001A000000}"/>
    <cellStyle name="Normal 2 5 2 2 2 2 2 5" xfId="4893" xr:uid="{00000000-0005-0000-0000-00001A000000}"/>
    <cellStyle name="Normal 2 5 2 2 2 2 2 5 2" xfId="13054" xr:uid="{00000000-0005-0000-0000-00001A000000}"/>
    <cellStyle name="Normal 2 5 2 2 2 2 2 6" xfId="8974" xr:uid="{00000000-0005-0000-0000-00001A000000}"/>
    <cellStyle name="Normal 2 5 2 2 2 2 3" xfId="2445" xr:uid="{00000000-0005-0000-0000-00001A000000}"/>
    <cellStyle name="Normal 2 5 2 2 2 2 3 2" xfId="6526" xr:uid="{00000000-0005-0000-0000-00001A000000}"/>
    <cellStyle name="Normal 2 5 2 2 2 2 3 2 2" xfId="14686" xr:uid="{00000000-0005-0000-0000-00001A000000}"/>
    <cellStyle name="Normal 2 5 2 2 2 2 3 3" xfId="10606" xr:uid="{00000000-0005-0000-0000-00001A000000}"/>
    <cellStyle name="Normal 2 5 2 2 2 2 4" xfId="1425" xr:uid="{00000000-0005-0000-0000-00001A000000}"/>
    <cellStyle name="Normal 2 5 2 2 2 2 4 2" xfId="5506" xr:uid="{00000000-0005-0000-0000-00001A000000}"/>
    <cellStyle name="Normal 2 5 2 2 2 2 4 2 2" xfId="13666" xr:uid="{00000000-0005-0000-0000-00001A000000}"/>
    <cellStyle name="Normal 2 5 2 2 2 2 4 3" xfId="9586" xr:uid="{00000000-0005-0000-0000-00001A000000}"/>
    <cellStyle name="Normal 2 5 2 2 2 2 5" xfId="3465" xr:uid="{00000000-0005-0000-0000-00001A000000}"/>
    <cellStyle name="Normal 2 5 2 2 2 2 5 2" xfId="7546" xr:uid="{00000000-0005-0000-0000-00001A000000}"/>
    <cellStyle name="Normal 2 5 2 2 2 2 5 2 2" xfId="15706" xr:uid="{00000000-0005-0000-0000-00001A000000}"/>
    <cellStyle name="Normal 2 5 2 2 2 2 5 3" xfId="11626" xr:uid="{00000000-0005-0000-0000-00001A000000}"/>
    <cellStyle name="Normal 2 5 2 2 2 2 6" xfId="4485" xr:uid="{00000000-0005-0000-0000-00001A000000}"/>
    <cellStyle name="Normal 2 5 2 2 2 2 6 2" xfId="12646" xr:uid="{00000000-0005-0000-0000-00001A000000}"/>
    <cellStyle name="Normal 2 5 2 2 2 2 7" xfId="8566" xr:uid="{00000000-0005-0000-0000-00001A000000}"/>
    <cellStyle name="Normal 2 5 2 2 2 3" xfId="1016" xr:uid="{00000000-0005-0000-0000-00001A000000}"/>
    <cellStyle name="Normal 2 5 2 2 2 3 2" xfId="3057" xr:uid="{00000000-0005-0000-0000-00001A000000}"/>
    <cellStyle name="Normal 2 5 2 2 2 3 2 2" xfId="7138" xr:uid="{00000000-0005-0000-0000-00001A000000}"/>
    <cellStyle name="Normal 2 5 2 2 2 3 2 2 2" xfId="15298" xr:uid="{00000000-0005-0000-0000-00001A000000}"/>
    <cellStyle name="Normal 2 5 2 2 2 3 2 3" xfId="11218" xr:uid="{00000000-0005-0000-0000-00001A000000}"/>
    <cellStyle name="Normal 2 5 2 2 2 3 3" xfId="2037" xr:uid="{00000000-0005-0000-0000-00001A000000}"/>
    <cellStyle name="Normal 2 5 2 2 2 3 3 2" xfId="6118" xr:uid="{00000000-0005-0000-0000-00001A000000}"/>
    <cellStyle name="Normal 2 5 2 2 2 3 3 2 2" xfId="14278" xr:uid="{00000000-0005-0000-0000-00001A000000}"/>
    <cellStyle name="Normal 2 5 2 2 2 3 3 3" xfId="10198" xr:uid="{00000000-0005-0000-0000-00001A000000}"/>
    <cellStyle name="Normal 2 5 2 2 2 3 4" xfId="4077" xr:uid="{00000000-0005-0000-0000-00001A000000}"/>
    <cellStyle name="Normal 2 5 2 2 2 3 4 2" xfId="8158" xr:uid="{00000000-0005-0000-0000-00001A000000}"/>
    <cellStyle name="Normal 2 5 2 2 2 3 4 2 2" xfId="16318" xr:uid="{00000000-0005-0000-0000-00001A000000}"/>
    <cellStyle name="Normal 2 5 2 2 2 3 4 3" xfId="12238" xr:uid="{00000000-0005-0000-0000-00001A000000}"/>
    <cellStyle name="Normal 2 5 2 2 2 3 5" xfId="5097" xr:uid="{00000000-0005-0000-0000-00001A000000}"/>
    <cellStyle name="Normal 2 5 2 2 2 3 5 2" xfId="13258" xr:uid="{00000000-0005-0000-0000-00001A000000}"/>
    <cellStyle name="Normal 2 5 2 2 2 3 6" xfId="9178" xr:uid="{00000000-0005-0000-0000-00001A000000}"/>
    <cellStyle name="Normal 2 5 2 2 2 4" xfId="608" xr:uid="{00000000-0005-0000-0000-00001A000000}"/>
    <cellStyle name="Normal 2 5 2 2 2 4 2" xfId="2649" xr:uid="{00000000-0005-0000-0000-00001A000000}"/>
    <cellStyle name="Normal 2 5 2 2 2 4 2 2" xfId="6730" xr:uid="{00000000-0005-0000-0000-00001A000000}"/>
    <cellStyle name="Normal 2 5 2 2 2 4 2 2 2" xfId="14890" xr:uid="{00000000-0005-0000-0000-00001A000000}"/>
    <cellStyle name="Normal 2 5 2 2 2 4 2 3" xfId="10810" xr:uid="{00000000-0005-0000-0000-00001A000000}"/>
    <cellStyle name="Normal 2 5 2 2 2 4 3" xfId="1629" xr:uid="{00000000-0005-0000-0000-00001A000000}"/>
    <cellStyle name="Normal 2 5 2 2 2 4 3 2" xfId="5710" xr:uid="{00000000-0005-0000-0000-00001A000000}"/>
    <cellStyle name="Normal 2 5 2 2 2 4 3 2 2" xfId="13870" xr:uid="{00000000-0005-0000-0000-00001A000000}"/>
    <cellStyle name="Normal 2 5 2 2 2 4 3 3" xfId="9790" xr:uid="{00000000-0005-0000-0000-00001A000000}"/>
    <cellStyle name="Normal 2 5 2 2 2 4 4" xfId="3669" xr:uid="{00000000-0005-0000-0000-00001A000000}"/>
    <cellStyle name="Normal 2 5 2 2 2 4 4 2" xfId="7750" xr:uid="{00000000-0005-0000-0000-00001A000000}"/>
    <cellStyle name="Normal 2 5 2 2 2 4 4 2 2" xfId="15910" xr:uid="{00000000-0005-0000-0000-00001A000000}"/>
    <cellStyle name="Normal 2 5 2 2 2 4 4 3" xfId="11830" xr:uid="{00000000-0005-0000-0000-00001A000000}"/>
    <cellStyle name="Normal 2 5 2 2 2 4 5" xfId="4689" xr:uid="{00000000-0005-0000-0000-00001A000000}"/>
    <cellStyle name="Normal 2 5 2 2 2 4 5 2" xfId="12850" xr:uid="{00000000-0005-0000-0000-00001A000000}"/>
    <cellStyle name="Normal 2 5 2 2 2 4 6" xfId="8770" xr:uid="{00000000-0005-0000-0000-00001A000000}"/>
    <cellStyle name="Normal 2 5 2 2 2 5" xfId="2241" xr:uid="{00000000-0005-0000-0000-00001A000000}"/>
    <cellStyle name="Normal 2 5 2 2 2 5 2" xfId="6322" xr:uid="{00000000-0005-0000-0000-00001A000000}"/>
    <cellStyle name="Normal 2 5 2 2 2 5 2 2" xfId="14482" xr:uid="{00000000-0005-0000-0000-00001A000000}"/>
    <cellStyle name="Normal 2 5 2 2 2 5 3" xfId="10402" xr:uid="{00000000-0005-0000-0000-00001A000000}"/>
    <cellStyle name="Normal 2 5 2 2 2 6" xfId="1221" xr:uid="{00000000-0005-0000-0000-00001A000000}"/>
    <cellStyle name="Normal 2 5 2 2 2 6 2" xfId="5302" xr:uid="{00000000-0005-0000-0000-00001A000000}"/>
    <cellStyle name="Normal 2 5 2 2 2 6 2 2" xfId="13462" xr:uid="{00000000-0005-0000-0000-00001A000000}"/>
    <cellStyle name="Normal 2 5 2 2 2 6 3" xfId="9382" xr:uid="{00000000-0005-0000-0000-00001A000000}"/>
    <cellStyle name="Normal 2 5 2 2 2 7" xfId="3261" xr:uid="{00000000-0005-0000-0000-00001A000000}"/>
    <cellStyle name="Normal 2 5 2 2 2 7 2" xfId="7342" xr:uid="{00000000-0005-0000-0000-00001A000000}"/>
    <cellStyle name="Normal 2 5 2 2 2 7 2 2" xfId="15502" xr:uid="{00000000-0005-0000-0000-00001A000000}"/>
    <cellStyle name="Normal 2 5 2 2 2 7 3" xfId="11422" xr:uid="{00000000-0005-0000-0000-00001A000000}"/>
    <cellStyle name="Normal 2 5 2 2 2 8" xfId="4281" xr:uid="{00000000-0005-0000-0000-00001A000000}"/>
    <cellStyle name="Normal 2 5 2 2 2 8 2" xfId="12442" xr:uid="{00000000-0005-0000-0000-00001A000000}"/>
    <cellStyle name="Normal 2 5 2 2 2 9" xfId="8362" xr:uid="{00000000-0005-0000-0000-00001A000000}"/>
    <cellStyle name="Normal 2 5 2 2 3" xfId="302" xr:uid="{00000000-0005-0000-0000-00001A000000}"/>
    <cellStyle name="Normal 2 5 2 2 3 2" xfId="710" xr:uid="{00000000-0005-0000-0000-00001A000000}"/>
    <cellStyle name="Normal 2 5 2 2 3 2 2" xfId="2751" xr:uid="{00000000-0005-0000-0000-00001A000000}"/>
    <cellStyle name="Normal 2 5 2 2 3 2 2 2" xfId="6832" xr:uid="{00000000-0005-0000-0000-00001A000000}"/>
    <cellStyle name="Normal 2 5 2 2 3 2 2 2 2" xfId="14992" xr:uid="{00000000-0005-0000-0000-00001A000000}"/>
    <cellStyle name="Normal 2 5 2 2 3 2 2 3" xfId="10912" xr:uid="{00000000-0005-0000-0000-00001A000000}"/>
    <cellStyle name="Normal 2 5 2 2 3 2 3" xfId="1731" xr:uid="{00000000-0005-0000-0000-00001A000000}"/>
    <cellStyle name="Normal 2 5 2 2 3 2 3 2" xfId="5812" xr:uid="{00000000-0005-0000-0000-00001A000000}"/>
    <cellStyle name="Normal 2 5 2 2 3 2 3 2 2" xfId="13972" xr:uid="{00000000-0005-0000-0000-00001A000000}"/>
    <cellStyle name="Normal 2 5 2 2 3 2 3 3" xfId="9892" xr:uid="{00000000-0005-0000-0000-00001A000000}"/>
    <cellStyle name="Normal 2 5 2 2 3 2 4" xfId="3771" xr:uid="{00000000-0005-0000-0000-00001A000000}"/>
    <cellStyle name="Normal 2 5 2 2 3 2 4 2" xfId="7852" xr:uid="{00000000-0005-0000-0000-00001A000000}"/>
    <cellStyle name="Normal 2 5 2 2 3 2 4 2 2" xfId="16012" xr:uid="{00000000-0005-0000-0000-00001A000000}"/>
    <cellStyle name="Normal 2 5 2 2 3 2 4 3" xfId="11932" xr:uid="{00000000-0005-0000-0000-00001A000000}"/>
    <cellStyle name="Normal 2 5 2 2 3 2 5" xfId="4791" xr:uid="{00000000-0005-0000-0000-00001A000000}"/>
    <cellStyle name="Normal 2 5 2 2 3 2 5 2" xfId="12952" xr:uid="{00000000-0005-0000-0000-00001A000000}"/>
    <cellStyle name="Normal 2 5 2 2 3 2 6" xfId="8872" xr:uid="{00000000-0005-0000-0000-00001A000000}"/>
    <cellStyle name="Normal 2 5 2 2 3 3" xfId="2343" xr:uid="{00000000-0005-0000-0000-00001A000000}"/>
    <cellStyle name="Normal 2 5 2 2 3 3 2" xfId="6424" xr:uid="{00000000-0005-0000-0000-00001A000000}"/>
    <cellStyle name="Normal 2 5 2 2 3 3 2 2" xfId="14584" xr:uid="{00000000-0005-0000-0000-00001A000000}"/>
    <cellStyle name="Normal 2 5 2 2 3 3 3" xfId="10504" xr:uid="{00000000-0005-0000-0000-00001A000000}"/>
    <cellStyle name="Normal 2 5 2 2 3 4" xfId="1323" xr:uid="{00000000-0005-0000-0000-00001A000000}"/>
    <cellStyle name="Normal 2 5 2 2 3 4 2" xfId="5404" xr:uid="{00000000-0005-0000-0000-00001A000000}"/>
    <cellStyle name="Normal 2 5 2 2 3 4 2 2" xfId="13564" xr:uid="{00000000-0005-0000-0000-00001A000000}"/>
    <cellStyle name="Normal 2 5 2 2 3 4 3" xfId="9484" xr:uid="{00000000-0005-0000-0000-00001A000000}"/>
    <cellStyle name="Normal 2 5 2 2 3 5" xfId="3363" xr:uid="{00000000-0005-0000-0000-00001A000000}"/>
    <cellStyle name="Normal 2 5 2 2 3 5 2" xfId="7444" xr:uid="{00000000-0005-0000-0000-00001A000000}"/>
    <cellStyle name="Normal 2 5 2 2 3 5 2 2" xfId="15604" xr:uid="{00000000-0005-0000-0000-00001A000000}"/>
    <cellStyle name="Normal 2 5 2 2 3 5 3" xfId="11524" xr:uid="{00000000-0005-0000-0000-00001A000000}"/>
    <cellStyle name="Normal 2 5 2 2 3 6" xfId="4383" xr:uid="{00000000-0005-0000-0000-00001A000000}"/>
    <cellStyle name="Normal 2 5 2 2 3 6 2" xfId="12544" xr:uid="{00000000-0005-0000-0000-00001A000000}"/>
    <cellStyle name="Normal 2 5 2 2 3 7" xfId="8464" xr:uid="{00000000-0005-0000-0000-00001A000000}"/>
    <cellStyle name="Normal 2 5 2 2 4" xfId="914" xr:uid="{00000000-0005-0000-0000-00001A000000}"/>
    <cellStyle name="Normal 2 5 2 2 4 2" xfId="2955" xr:uid="{00000000-0005-0000-0000-00001A000000}"/>
    <cellStyle name="Normal 2 5 2 2 4 2 2" xfId="7036" xr:uid="{00000000-0005-0000-0000-00001A000000}"/>
    <cellStyle name="Normal 2 5 2 2 4 2 2 2" xfId="15196" xr:uid="{00000000-0005-0000-0000-00001A000000}"/>
    <cellStyle name="Normal 2 5 2 2 4 2 3" xfId="11116" xr:uid="{00000000-0005-0000-0000-00001A000000}"/>
    <cellStyle name="Normal 2 5 2 2 4 3" xfId="1935" xr:uid="{00000000-0005-0000-0000-00001A000000}"/>
    <cellStyle name="Normal 2 5 2 2 4 3 2" xfId="6016" xr:uid="{00000000-0005-0000-0000-00001A000000}"/>
    <cellStyle name="Normal 2 5 2 2 4 3 2 2" xfId="14176" xr:uid="{00000000-0005-0000-0000-00001A000000}"/>
    <cellStyle name="Normal 2 5 2 2 4 3 3" xfId="10096" xr:uid="{00000000-0005-0000-0000-00001A000000}"/>
    <cellStyle name="Normal 2 5 2 2 4 4" xfId="3975" xr:uid="{00000000-0005-0000-0000-00001A000000}"/>
    <cellStyle name="Normal 2 5 2 2 4 4 2" xfId="8056" xr:uid="{00000000-0005-0000-0000-00001A000000}"/>
    <cellStyle name="Normal 2 5 2 2 4 4 2 2" xfId="16216" xr:uid="{00000000-0005-0000-0000-00001A000000}"/>
    <cellStyle name="Normal 2 5 2 2 4 4 3" xfId="12136" xr:uid="{00000000-0005-0000-0000-00001A000000}"/>
    <cellStyle name="Normal 2 5 2 2 4 5" xfId="4995" xr:uid="{00000000-0005-0000-0000-00001A000000}"/>
    <cellStyle name="Normal 2 5 2 2 4 5 2" xfId="13156" xr:uid="{00000000-0005-0000-0000-00001A000000}"/>
    <cellStyle name="Normal 2 5 2 2 4 6" xfId="9076" xr:uid="{00000000-0005-0000-0000-00001A000000}"/>
    <cellStyle name="Normal 2 5 2 2 5" xfId="506" xr:uid="{00000000-0005-0000-0000-00001A000000}"/>
    <cellStyle name="Normal 2 5 2 2 5 2" xfId="2547" xr:uid="{00000000-0005-0000-0000-00001A000000}"/>
    <cellStyle name="Normal 2 5 2 2 5 2 2" xfId="6628" xr:uid="{00000000-0005-0000-0000-00001A000000}"/>
    <cellStyle name="Normal 2 5 2 2 5 2 2 2" xfId="14788" xr:uid="{00000000-0005-0000-0000-00001A000000}"/>
    <cellStyle name="Normal 2 5 2 2 5 2 3" xfId="10708" xr:uid="{00000000-0005-0000-0000-00001A000000}"/>
    <cellStyle name="Normal 2 5 2 2 5 3" xfId="1527" xr:uid="{00000000-0005-0000-0000-00001A000000}"/>
    <cellStyle name="Normal 2 5 2 2 5 3 2" xfId="5608" xr:uid="{00000000-0005-0000-0000-00001A000000}"/>
    <cellStyle name="Normal 2 5 2 2 5 3 2 2" xfId="13768" xr:uid="{00000000-0005-0000-0000-00001A000000}"/>
    <cellStyle name="Normal 2 5 2 2 5 3 3" xfId="9688" xr:uid="{00000000-0005-0000-0000-00001A000000}"/>
    <cellStyle name="Normal 2 5 2 2 5 4" xfId="3567" xr:uid="{00000000-0005-0000-0000-00001A000000}"/>
    <cellStyle name="Normal 2 5 2 2 5 4 2" xfId="7648" xr:uid="{00000000-0005-0000-0000-00001A000000}"/>
    <cellStyle name="Normal 2 5 2 2 5 4 2 2" xfId="15808" xr:uid="{00000000-0005-0000-0000-00001A000000}"/>
    <cellStyle name="Normal 2 5 2 2 5 4 3" xfId="11728" xr:uid="{00000000-0005-0000-0000-00001A000000}"/>
    <cellStyle name="Normal 2 5 2 2 5 5" xfId="4587" xr:uid="{00000000-0005-0000-0000-00001A000000}"/>
    <cellStyle name="Normal 2 5 2 2 5 5 2" xfId="12748" xr:uid="{00000000-0005-0000-0000-00001A000000}"/>
    <cellStyle name="Normal 2 5 2 2 5 6" xfId="8668" xr:uid="{00000000-0005-0000-0000-00001A000000}"/>
    <cellStyle name="Normal 2 5 2 2 6" xfId="2139" xr:uid="{00000000-0005-0000-0000-00001A000000}"/>
    <cellStyle name="Normal 2 5 2 2 6 2" xfId="6220" xr:uid="{00000000-0005-0000-0000-00001A000000}"/>
    <cellStyle name="Normal 2 5 2 2 6 2 2" xfId="14380" xr:uid="{00000000-0005-0000-0000-00001A000000}"/>
    <cellStyle name="Normal 2 5 2 2 6 3" xfId="10300" xr:uid="{00000000-0005-0000-0000-00001A000000}"/>
    <cellStyle name="Normal 2 5 2 2 7" xfId="1119" xr:uid="{00000000-0005-0000-0000-00001A000000}"/>
    <cellStyle name="Normal 2 5 2 2 7 2" xfId="5200" xr:uid="{00000000-0005-0000-0000-00001A000000}"/>
    <cellStyle name="Normal 2 5 2 2 7 2 2" xfId="13360" xr:uid="{00000000-0005-0000-0000-00001A000000}"/>
    <cellStyle name="Normal 2 5 2 2 7 3" xfId="9280" xr:uid="{00000000-0005-0000-0000-00001A000000}"/>
    <cellStyle name="Normal 2 5 2 2 8" xfId="3159" xr:uid="{00000000-0005-0000-0000-00001A000000}"/>
    <cellStyle name="Normal 2 5 2 2 8 2" xfId="7240" xr:uid="{00000000-0005-0000-0000-00001A000000}"/>
    <cellStyle name="Normal 2 5 2 2 8 2 2" xfId="15400" xr:uid="{00000000-0005-0000-0000-00001A000000}"/>
    <cellStyle name="Normal 2 5 2 2 8 3" xfId="11320" xr:uid="{00000000-0005-0000-0000-00001A000000}"/>
    <cellStyle name="Normal 2 5 2 2 9" xfId="4179" xr:uid="{00000000-0005-0000-0000-00001A000000}"/>
    <cellStyle name="Normal 2 5 2 2 9 2" xfId="12340" xr:uid="{00000000-0005-0000-0000-00001A000000}"/>
    <cellStyle name="Normal 2 5 2 3" xfId="149" xr:uid="{00000000-0005-0000-0000-00001A000000}"/>
    <cellStyle name="Normal 2 5 2 3 2" xfId="353" xr:uid="{00000000-0005-0000-0000-00001A000000}"/>
    <cellStyle name="Normal 2 5 2 3 2 2" xfId="761" xr:uid="{00000000-0005-0000-0000-00001A000000}"/>
    <cellStyle name="Normal 2 5 2 3 2 2 2" xfId="2802" xr:uid="{00000000-0005-0000-0000-00001A000000}"/>
    <cellStyle name="Normal 2 5 2 3 2 2 2 2" xfId="6883" xr:uid="{00000000-0005-0000-0000-00001A000000}"/>
    <cellStyle name="Normal 2 5 2 3 2 2 2 2 2" xfId="15043" xr:uid="{00000000-0005-0000-0000-00001A000000}"/>
    <cellStyle name="Normal 2 5 2 3 2 2 2 3" xfId="10963" xr:uid="{00000000-0005-0000-0000-00001A000000}"/>
    <cellStyle name="Normal 2 5 2 3 2 2 3" xfId="1782" xr:uid="{00000000-0005-0000-0000-00001A000000}"/>
    <cellStyle name="Normal 2 5 2 3 2 2 3 2" xfId="5863" xr:uid="{00000000-0005-0000-0000-00001A000000}"/>
    <cellStyle name="Normal 2 5 2 3 2 2 3 2 2" xfId="14023" xr:uid="{00000000-0005-0000-0000-00001A000000}"/>
    <cellStyle name="Normal 2 5 2 3 2 2 3 3" xfId="9943" xr:uid="{00000000-0005-0000-0000-00001A000000}"/>
    <cellStyle name="Normal 2 5 2 3 2 2 4" xfId="3822" xr:uid="{00000000-0005-0000-0000-00001A000000}"/>
    <cellStyle name="Normal 2 5 2 3 2 2 4 2" xfId="7903" xr:uid="{00000000-0005-0000-0000-00001A000000}"/>
    <cellStyle name="Normal 2 5 2 3 2 2 4 2 2" xfId="16063" xr:uid="{00000000-0005-0000-0000-00001A000000}"/>
    <cellStyle name="Normal 2 5 2 3 2 2 4 3" xfId="11983" xr:uid="{00000000-0005-0000-0000-00001A000000}"/>
    <cellStyle name="Normal 2 5 2 3 2 2 5" xfId="4842" xr:uid="{00000000-0005-0000-0000-00001A000000}"/>
    <cellStyle name="Normal 2 5 2 3 2 2 5 2" xfId="13003" xr:uid="{00000000-0005-0000-0000-00001A000000}"/>
    <cellStyle name="Normal 2 5 2 3 2 2 6" xfId="8923" xr:uid="{00000000-0005-0000-0000-00001A000000}"/>
    <cellStyle name="Normal 2 5 2 3 2 3" xfId="2394" xr:uid="{00000000-0005-0000-0000-00001A000000}"/>
    <cellStyle name="Normal 2 5 2 3 2 3 2" xfId="6475" xr:uid="{00000000-0005-0000-0000-00001A000000}"/>
    <cellStyle name="Normal 2 5 2 3 2 3 2 2" xfId="14635" xr:uid="{00000000-0005-0000-0000-00001A000000}"/>
    <cellStyle name="Normal 2 5 2 3 2 3 3" xfId="10555" xr:uid="{00000000-0005-0000-0000-00001A000000}"/>
    <cellStyle name="Normal 2 5 2 3 2 4" xfId="1374" xr:uid="{00000000-0005-0000-0000-00001A000000}"/>
    <cellStyle name="Normal 2 5 2 3 2 4 2" xfId="5455" xr:uid="{00000000-0005-0000-0000-00001A000000}"/>
    <cellStyle name="Normal 2 5 2 3 2 4 2 2" xfId="13615" xr:uid="{00000000-0005-0000-0000-00001A000000}"/>
    <cellStyle name="Normal 2 5 2 3 2 4 3" xfId="9535" xr:uid="{00000000-0005-0000-0000-00001A000000}"/>
    <cellStyle name="Normal 2 5 2 3 2 5" xfId="3414" xr:uid="{00000000-0005-0000-0000-00001A000000}"/>
    <cellStyle name="Normal 2 5 2 3 2 5 2" xfId="7495" xr:uid="{00000000-0005-0000-0000-00001A000000}"/>
    <cellStyle name="Normal 2 5 2 3 2 5 2 2" xfId="15655" xr:uid="{00000000-0005-0000-0000-00001A000000}"/>
    <cellStyle name="Normal 2 5 2 3 2 5 3" xfId="11575" xr:uid="{00000000-0005-0000-0000-00001A000000}"/>
    <cellStyle name="Normal 2 5 2 3 2 6" xfId="4434" xr:uid="{00000000-0005-0000-0000-00001A000000}"/>
    <cellStyle name="Normal 2 5 2 3 2 6 2" xfId="12595" xr:uid="{00000000-0005-0000-0000-00001A000000}"/>
    <cellStyle name="Normal 2 5 2 3 2 7" xfId="8515" xr:uid="{00000000-0005-0000-0000-00001A000000}"/>
    <cellStyle name="Normal 2 5 2 3 3" xfId="965" xr:uid="{00000000-0005-0000-0000-00001A000000}"/>
    <cellStyle name="Normal 2 5 2 3 3 2" xfId="3006" xr:uid="{00000000-0005-0000-0000-00001A000000}"/>
    <cellStyle name="Normal 2 5 2 3 3 2 2" xfId="7087" xr:uid="{00000000-0005-0000-0000-00001A000000}"/>
    <cellStyle name="Normal 2 5 2 3 3 2 2 2" xfId="15247" xr:uid="{00000000-0005-0000-0000-00001A000000}"/>
    <cellStyle name="Normal 2 5 2 3 3 2 3" xfId="11167" xr:uid="{00000000-0005-0000-0000-00001A000000}"/>
    <cellStyle name="Normal 2 5 2 3 3 3" xfId="1986" xr:uid="{00000000-0005-0000-0000-00001A000000}"/>
    <cellStyle name="Normal 2 5 2 3 3 3 2" xfId="6067" xr:uid="{00000000-0005-0000-0000-00001A000000}"/>
    <cellStyle name="Normal 2 5 2 3 3 3 2 2" xfId="14227" xr:uid="{00000000-0005-0000-0000-00001A000000}"/>
    <cellStyle name="Normal 2 5 2 3 3 3 3" xfId="10147" xr:uid="{00000000-0005-0000-0000-00001A000000}"/>
    <cellStyle name="Normal 2 5 2 3 3 4" xfId="4026" xr:uid="{00000000-0005-0000-0000-00001A000000}"/>
    <cellStyle name="Normal 2 5 2 3 3 4 2" xfId="8107" xr:uid="{00000000-0005-0000-0000-00001A000000}"/>
    <cellStyle name="Normal 2 5 2 3 3 4 2 2" xfId="16267" xr:uid="{00000000-0005-0000-0000-00001A000000}"/>
    <cellStyle name="Normal 2 5 2 3 3 4 3" xfId="12187" xr:uid="{00000000-0005-0000-0000-00001A000000}"/>
    <cellStyle name="Normal 2 5 2 3 3 5" xfId="5046" xr:uid="{00000000-0005-0000-0000-00001A000000}"/>
    <cellStyle name="Normal 2 5 2 3 3 5 2" xfId="13207" xr:uid="{00000000-0005-0000-0000-00001A000000}"/>
    <cellStyle name="Normal 2 5 2 3 3 6" xfId="9127" xr:uid="{00000000-0005-0000-0000-00001A000000}"/>
    <cellStyle name="Normal 2 5 2 3 4" xfId="557" xr:uid="{00000000-0005-0000-0000-00001A000000}"/>
    <cellStyle name="Normal 2 5 2 3 4 2" xfId="2598" xr:uid="{00000000-0005-0000-0000-00001A000000}"/>
    <cellStyle name="Normal 2 5 2 3 4 2 2" xfId="6679" xr:uid="{00000000-0005-0000-0000-00001A000000}"/>
    <cellStyle name="Normal 2 5 2 3 4 2 2 2" xfId="14839" xr:uid="{00000000-0005-0000-0000-00001A000000}"/>
    <cellStyle name="Normal 2 5 2 3 4 2 3" xfId="10759" xr:uid="{00000000-0005-0000-0000-00001A000000}"/>
    <cellStyle name="Normal 2 5 2 3 4 3" xfId="1578" xr:uid="{00000000-0005-0000-0000-00001A000000}"/>
    <cellStyle name="Normal 2 5 2 3 4 3 2" xfId="5659" xr:uid="{00000000-0005-0000-0000-00001A000000}"/>
    <cellStyle name="Normal 2 5 2 3 4 3 2 2" xfId="13819" xr:uid="{00000000-0005-0000-0000-00001A000000}"/>
    <cellStyle name="Normal 2 5 2 3 4 3 3" xfId="9739" xr:uid="{00000000-0005-0000-0000-00001A000000}"/>
    <cellStyle name="Normal 2 5 2 3 4 4" xfId="3618" xr:uid="{00000000-0005-0000-0000-00001A000000}"/>
    <cellStyle name="Normal 2 5 2 3 4 4 2" xfId="7699" xr:uid="{00000000-0005-0000-0000-00001A000000}"/>
    <cellStyle name="Normal 2 5 2 3 4 4 2 2" xfId="15859" xr:uid="{00000000-0005-0000-0000-00001A000000}"/>
    <cellStyle name="Normal 2 5 2 3 4 4 3" xfId="11779" xr:uid="{00000000-0005-0000-0000-00001A000000}"/>
    <cellStyle name="Normal 2 5 2 3 4 5" xfId="4638" xr:uid="{00000000-0005-0000-0000-00001A000000}"/>
    <cellStyle name="Normal 2 5 2 3 4 5 2" xfId="12799" xr:uid="{00000000-0005-0000-0000-00001A000000}"/>
    <cellStyle name="Normal 2 5 2 3 4 6" xfId="8719" xr:uid="{00000000-0005-0000-0000-00001A000000}"/>
    <cellStyle name="Normal 2 5 2 3 5" xfId="2190" xr:uid="{00000000-0005-0000-0000-00001A000000}"/>
    <cellStyle name="Normal 2 5 2 3 5 2" xfId="6271" xr:uid="{00000000-0005-0000-0000-00001A000000}"/>
    <cellStyle name="Normal 2 5 2 3 5 2 2" xfId="14431" xr:uid="{00000000-0005-0000-0000-00001A000000}"/>
    <cellStyle name="Normal 2 5 2 3 5 3" xfId="10351" xr:uid="{00000000-0005-0000-0000-00001A000000}"/>
    <cellStyle name="Normal 2 5 2 3 6" xfId="1170" xr:uid="{00000000-0005-0000-0000-00001A000000}"/>
    <cellStyle name="Normal 2 5 2 3 6 2" xfId="5251" xr:uid="{00000000-0005-0000-0000-00001A000000}"/>
    <cellStyle name="Normal 2 5 2 3 6 2 2" xfId="13411" xr:uid="{00000000-0005-0000-0000-00001A000000}"/>
    <cellStyle name="Normal 2 5 2 3 6 3" xfId="9331" xr:uid="{00000000-0005-0000-0000-00001A000000}"/>
    <cellStyle name="Normal 2 5 2 3 7" xfId="3210" xr:uid="{00000000-0005-0000-0000-00001A000000}"/>
    <cellStyle name="Normal 2 5 2 3 7 2" xfId="7291" xr:uid="{00000000-0005-0000-0000-00001A000000}"/>
    <cellStyle name="Normal 2 5 2 3 7 2 2" xfId="15451" xr:uid="{00000000-0005-0000-0000-00001A000000}"/>
    <cellStyle name="Normal 2 5 2 3 7 3" xfId="11371" xr:uid="{00000000-0005-0000-0000-00001A000000}"/>
    <cellStyle name="Normal 2 5 2 3 8" xfId="4230" xr:uid="{00000000-0005-0000-0000-00001A000000}"/>
    <cellStyle name="Normal 2 5 2 3 8 2" xfId="12391" xr:uid="{00000000-0005-0000-0000-00001A000000}"/>
    <cellStyle name="Normal 2 5 2 3 9" xfId="8311" xr:uid="{00000000-0005-0000-0000-00001A000000}"/>
    <cellStyle name="Normal 2 5 2 4" xfId="251" xr:uid="{00000000-0005-0000-0000-00001A000000}"/>
    <cellStyle name="Normal 2 5 2 4 2" xfId="659" xr:uid="{00000000-0005-0000-0000-00001A000000}"/>
    <cellStyle name="Normal 2 5 2 4 2 2" xfId="2700" xr:uid="{00000000-0005-0000-0000-00001A000000}"/>
    <cellStyle name="Normal 2 5 2 4 2 2 2" xfId="6781" xr:uid="{00000000-0005-0000-0000-00001A000000}"/>
    <cellStyle name="Normal 2 5 2 4 2 2 2 2" xfId="14941" xr:uid="{00000000-0005-0000-0000-00001A000000}"/>
    <cellStyle name="Normal 2 5 2 4 2 2 3" xfId="10861" xr:uid="{00000000-0005-0000-0000-00001A000000}"/>
    <cellStyle name="Normal 2 5 2 4 2 3" xfId="1680" xr:uid="{00000000-0005-0000-0000-00001A000000}"/>
    <cellStyle name="Normal 2 5 2 4 2 3 2" xfId="5761" xr:uid="{00000000-0005-0000-0000-00001A000000}"/>
    <cellStyle name="Normal 2 5 2 4 2 3 2 2" xfId="13921" xr:uid="{00000000-0005-0000-0000-00001A000000}"/>
    <cellStyle name="Normal 2 5 2 4 2 3 3" xfId="9841" xr:uid="{00000000-0005-0000-0000-00001A000000}"/>
    <cellStyle name="Normal 2 5 2 4 2 4" xfId="3720" xr:uid="{00000000-0005-0000-0000-00001A000000}"/>
    <cellStyle name="Normal 2 5 2 4 2 4 2" xfId="7801" xr:uid="{00000000-0005-0000-0000-00001A000000}"/>
    <cellStyle name="Normal 2 5 2 4 2 4 2 2" xfId="15961" xr:uid="{00000000-0005-0000-0000-00001A000000}"/>
    <cellStyle name="Normal 2 5 2 4 2 4 3" xfId="11881" xr:uid="{00000000-0005-0000-0000-00001A000000}"/>
    <cellStyle name="Normal 2 5 2 4 2 5" xfId="4740" xr:uid="{00000000-0005-0000-0000-00001A000000}"/>
    <cellStyle name="Normal 2 5 2 4 2 5 2" xfId="12901" xr:uid="{00000000-0005-0000-0000-00001A000000}"/>
    <cellStyle name="Normal 2 5 2 4 2 6" xfId="8821" xr:uid="{00000000-0005-0000-0000-00001A000000}"/>
    <cellStyle name="Normal 2 5 2 4 3" xfId="2292" xr:uid="{00000000-0005-0000-0000-00001A000000}"/>
    <cellStyle name="Normal 2 5 2 4 3 2" xfId="6373" xr:uid="{00000000-0005-0000-0000-00001A000000}"/>
    <cellStyle name="Normal 2 5 2 4 3 2 2" xfId="14533" xr:uid="{00000000-0005-0000-0000-00001A000000}"/>
    <cellStyle name="Normal 2 5 2 4 3 3" xfId="10453" xr:uid="{00000000-0005-0000-0000-00001A000000}"/>
    <cellStyle name="Normal 2 5 2 4 4" xfId="1272" xr:uid="{00000000-0005-0000-0000-00001A000000}"/>
    <cellStyle name="Normal 2 5 2 4 4 2" xfId="5353" xr:uid="{00000000-0005-0000-0000-00001A000000}"/>
    <cellStyle name="Normal 2 5 2 4 4 2 2" xfId="13513" xr:uid="{00000000-0005-0000-0000-00001A000000}"/>
    <cellStyle name="Normal 2 5 2 4 4 3" xfId="9433" xr:uid="{00000000-0005-0000-0000-00001A000000}"/>
    <cellStyle name="Normal 2 5 2 4 5" xfId="3312" xr:uid="{00000000-0005-0000-0000-00001A000000}"/>
    <cellStyle name="Normal 2 5 2 4 5 2" xfId="7393" xr:uid="{00000000-0005-0000-0000-00001A000000}"/>
    <cellStyle name="Normal 2 5 2 4 5 2 2" xfId="15553" xr:uid="{00000000-0005-0000-0000-00001A000000}"/>
    <cellStyle name="Normal 2 5 2 4 5 3" xfId="11473" xr:uid="{00000000-0005-0000-0000-00001A000000}"/>
    <cellStyle name="Normal 2 5 2 4 6" xfId="4332" xr:uid="{00000000-0005-0000-0000-00001A000000}"/>
    <cellStyle name="Normal 2 5 2 4 6 2" xfId="12493" xr:uid="{00000000-0005-0000-0000-00001A000000}"/>
    <cellStyle name="Normal 2 5 2 4 7" xfId="8413" xr:uid="{00000000-0005-0000-0000-00001A000000}"/>
    <cellStyle name="Normal 2 5 2 5" xfId="863" xr:uid="{00000000-0005-0000-0000-00001A000000}"/>
    <cellStyle name="Normal 2 5 2 5 2" xfId="2904" xr:uid="{00000000-0005-0000-0000-00001A000000}"/>
    <cellStyle name="Normal 2 5 2 5 2 2" xfId="6985" xr:uid="{00000000-0005-0000-0000-00001A000000}"/>
    <cellStyle name="Normal 2 5 2 5 2 2 2" xfId="15145" xr:uid="{00000000-0005-0000-0000-00001A000000}"/>
    <cellStyle name="Normal 2 5 2 5 2 3" xfId="11065" xr:uid="{00000000-0005-0000-0000-00001A000000}"/>
    <cellStyle name="Normal 2 5 2 5 3" xfId="1884" xr:uid="{00000000-0005-0000-0000-00001A000000}"/>
    <cellStyle name="Normal 2 5 2 5 3 2" xfId="5965" xr:uid="{00000000-0005-0000-0000-00001A000000}"/>
    <cellStyle name="Normal 2 5 2 5 3 2 2" xfId="14125" xr:uid="{00000000-0005-0000-0000-00001A000000}"/>
    <cellStyle name="Normal 2 5 2 5 3 3" xfId="10045" xr:uid="{00000000-0005-0000-0000-00001A000000}"/>
    <cellStyle name="Normal 2 5 2 5 4" xfId="3924" xr:uid="{00000000-0005-0000-0000-00001A000000}"/>
    <cellStyle name="Normal 2 5 2 5 4 2" xfId="8005" xr:uid="{00000000-0005-0000-0000-00001A000000}"/>
    <cellStyle name="Normal 2 5 2 5 4 2 2" xfId="16165" xr:uid="{00000000-0005-0000-0000-00001A000000}"/>
    <cellStyle name="Normal 2 5 2 5 4 3" xfId="12085" xr:uid="{00000000-0005-0000-0000-00001A000000}"/>
    <cellStyle name="Normal 2 5 2 5 5" xfId="4944" xr:uid="{00000000-0005-0000-0000-00001A000000}"/>
    <cellStyle name="Normal 2 5 2 5 5 2" xfId="13105" xr:uid="{00000000-0005-0000-0000-00001A000000}"/>
    <cellStyle name="Normal 2 5 2 5 6" xfId="9025" xr:uid="{00000000-0005-0000-0000-00001A000000}"/>
    <cellStyle name="Normal 2 5 2 6" xfId="455" xr:uid="{00000000-0005-0000-0000-00001A000000}"/>
    <cellStyle name="Normal 2 5 2 6 2" xfId="2496" xr:uid="{00000000-0005-0000-0000-00001A000000}"/>
    <cellStyle name="Normal 2 5 2 6 2 2" xfId="6577" xr:uid="{00000000-0005-0000-0000-00001A000000}"/>
    <cellStyle name="Normal 2 5 2 6 2 2 2" xfId="14737" xr:uid="{00000000-0005-0000-0000-00001A000000}"/>
    <cellStyle name="Normal 2 5 2 6 2 3" xfId="10657" xr:uid="{00000000-0005-0000-0000-00001A000000}"/>
    <cellStyle name="Normal 2 5 2 6 3" xfId="1476" xr:uid="{00000000-0005-0000-0000-00001A000000}"/>
    <cellStyle name="Normal 2 5 2 6 3 2" xfId="5557" xr:uid="{00000000-0005-0000-0000-00001A000000}"/>
    <cellStyle name="Normal 2 5 2 6 3 2 2" xfId="13717" xr:uid="{00000000-0005-0000-0000-00001A000000}"/>
    <cellStyle name="Normal 2 5 2 6 3 3" xfId="9637" xr:uid="{00000000-0005-0000-0000-00001A000000}"/>
    <cellStyle name="Normal 2 5 2 6 4" xfId="3516" xr:uid="{00000000-0005-0000-0000-00001A000000}"/>
    <cellStyle name="Normal 2 5 2 6 4 2" xfId="7597" xr:uid="{00000000-0005-0000-0000-00001A000000}"/>
    <cellStyle name="Normal 2 5 2 6 4 2 2" xfId="15757" xr:uid="{00000000-0005-0000-0000-00001A000000}"/>
    <cellStyle name="Normal 2 5 2 6 4 3" xfId="11677" xr:uid="{00000000-0005-0000-0000-00001A000000}"/>
    <cellStyle name="Normal 2 5 2 6 5" xfId="4536" xr:uid="{00000000-0005-0000-0000-00001A000000}"/>
    <cellStyle name="Normal 2 5 2 6 5 2" xfId="12697" xr:uid="{00000000-0005-0000-0000-00001A000000}"/>
    <cellStyle name="Normal 2 5 2 6 6" xfId="8617" xr:uid="{00000000-0005-0000-0000-00001A000000}"/>
    <cellStyle name="Normal 2 5 2 7" xfId="2088" xr:uid="{00000000-0005-0000-0000-00001A000000}"/>
    <cellStyle name="Normal 2 5 2 7 2" xfId="6169" xr:uid="{00000000-0005-0000-0000-00001A000000}"/>
    <cellStyle name="Normal 2 5 2 7 2 2" xfId="14329" xr:uid="{00000000-0005-0000-0000-00001A000000}"/>
    <cellStyle name="Normal 2 5 2 7 3" xfId="10249" xr:uid="{00000000-0005-0000-0000-00001A000000}"/>
    <cellStyle name="Normal 2 5 2 8" xfId="1068" xr:uid="{00000000-0005-0000-0000-00001A000000}"/>
    <cellStyle name="Normal 2 5 2 8 2" xfId="5149" xr:uid="{00000000-0005-0000-0000-00001A000000}"/>
    <cellStyle name="Normal 2 5 2 8 2 2" xfId="13309" xr:uid="{00000000-0005-0000-0000-00001A000000}"/>
    <cellStyle name="Normal 2 5 2 8 3" xfId="9229" xr:uid="{00000000-0005-0000-0000-00001A000000}"/>
    <cellStyle name="Normal 2 5 2 9" xfId="3108" xr:uid="{00000000-0005-0000-0000-00001A000000}"/>
    <cellStyle name="Normal 2 5 2 9 2" xfId="7189" xr:uid="{00000000-0005-0000-0000-00001A000000}"/>
    <cellStyle name="Normal 2 5 2 9 2 2" xfId="15349" xr:uid="{00000000-0005-0000-0000-00001A000000}"/>
    <cellStyle name="Normal 2 5 2 9 3" xfId="11269" xr:uid="{00000000-0005-0000-0000-00001A000000}"/>
    <cellStyle name="Normal 2 5 3" xfId="73" xr:uid="{00000000-0005-0000-0000-000019000000}"/>
    <cellStyle name="Normal 2 5 3 10" xfId="8235" xr:uid="{00000000-0005-0000-0000-000019000000}"/>
    <cellStyle name="Normal 2 5 3 2" xfId="175" xr:uid="{00000000-0005-0000-0000-000019000000}"/>
    <cellStyle name="Normal 2 5 3 2 2" xfId="379" xr:uid="{00000000-0005-0000-0000-000019000000}"/>
    <cellStyle name="Normal 2 5 3 2 2 2" xfId="787" xr:uid="{00000000-0005-0000-0000-000019000000}"/>
    <cellStyle name="Normal 2 5 3 2 2 2 2" xfId="2828" xr:uid="{00000000-0005-0000-0000-000019000000}"/>
    <cellStyle name="Normal 2 5 3 2 2 2 2 2" xfId="6909" xr:uid="{00000000-0005-0000-0000-000019000000}"/>
    <cellStyle name="Normal 2 5 3 2 2 2 2 2 2" xfId="15069" xr:uid="{00000000-0005-0000-0000-000019000000}"/>
    <cellStyle name="Normal 2 5 3 2 2 2 2 3" xfId="10989" xr:uid="{00000000-0005-0000-0000-000019000000}"/>
    <cellStyle name="Normal 2 5 3 2 2 2 3" xfId="1808" xr:uid="{00000000-0005-0000-0000-000019000000}"/>
    <cellStyle name="Normal 2 5 3 2 2 2 3 2" xfId="5889" xr:uid="{00000000-0005-0000-0000-000019000000}"/>
    <cellStyle name="Normal 2 5 3 2 2 2 3 2 2" xfId="14049" xr:uid="{00000000-0005-0000-0000-000019000000}"/>
    <cellStyle name="Normal 2 5 3 2 2 2 3 3" xfId="9969" xr:uid="{00000000-0005-0000-0000-000019000000}"/>
    <cellStyle name="Normal 2 5 3 2 2 2 4" xfId="3848" xr:uid="{00000000-0005-0000-0000-000019000000}"/>
    <cellStyle name="Normal 2 5 3 2 2 2 4 2" xfId="7929" xr:uid="{00000000-0005-0000-0000-000019000000}"/>
    <cellStyle name="Normal 2 5 3 2 2 2 4 2 2" xfId="16089" xr:uid="{00000000-0005-0000-0000-000019000000}"/>
    <cellStyle name="Normal 2 5 3 2 2 2 4 3" xfId="12009" xr:uid="{00000000-0005-0000-0000-000019000000}"/>
    <cellStyle name="Normal 2 5 3 2 2 2 5" xfId="4868" xr:uid="{00000000-0005-0000-0000-000019000000}"/>
    <cellStyle name="Normal 2 5 3 2 2 2 5 2" xfId="13029" xr:uid="{00000000-0005-0000-0000-000019000000}"/>
    <cellStyle name="Normal 2 5 3 2 2 2 6" xfId="8949" xr:uid="{00000000-0005-0000-0000-000019000000}"/>
    <cellStyle name="Normal 2 5 3 2 2 3" xfId="2420" xr:uid="{00000000-0005-0000-0000-000019000000}"/>
    <cellStyle name="Normal 2 5 3 2 2 3 2" xfId="6501" xr:uid="{00000000-0005-0000-0000-000019000000}"/>
    <cellStyle name="Normal 2 5 3 2 2 3 2 2" xfId="14661" xr:uid="{00000000-0005-0000-0000-000019000000}"/>
    <cellStyle name="Normal 2 5 3 2 2 3 3" xfId="10581" xr:uid="{00000000-0005-0000-0000-000019000000}"/>
    <cellStyle name="Normal 2 5 3 2 2 4" xfId="1400" xr:uid="{00000000-0005-0000-0000-000019000000}"/>
    <cellStyle name="Normal 2 5 3 2 2 4 2" xfId="5481" xr:uid="{00000000-0005-0000-0000-000019000000}"/>
    <cellStyle name="Normal 2 5 3 2 2 4 2 2" xfId="13641" xr:uid="{00000000-0005-0000-0000-000019000000}"/>
    <cellStyle name="Normal 2 5 3 2 2 4 3" xfId="9561" xr:uid="{00000000-0005-0000-0000-000019000000}"/>
    <cellStyle name="Normal 2 5 3 2 2 5" xfId="3440" xr:uid="{00000000-0005-0000-0000-000019000000}"/>
    <cellStyle name="Normal 2 5 3 2 2 5 2" xfId="7521" xr:uid="{00000000-0005-0000-0000-000019000000}"/>
    <cellStyle name="Normal 2 5 3 2 2 5 2 2" xfId="15681" xr:uid="{00000000-0005-0000-0000-000019000000}"/>
    <cellStyle name="Normal 2 5 3 2 2 5 3" xfId="11601" xr:uid="{00000000-0005-0000-0000-000019000000}"/>
    <cellStyle name="Normal 2 5 3 2 2 6" xfId="4460" xr:uid="{00000000-0005-0000-0000-000019000000}"/>
    <cellStyle name="Normal 2 5 3 2 2 6 2" xfId="12621" xr:uid="{00000000-0005-0000-0000-000019000000}"/>
    <cellStyle name="Normal 2 5 3 2 2 7" xfId="8541" xr:uid="{00000000-0005-0000-0000-000019000000}"/>
    <cellStyle name="Normal 2 5 3 2 3" xfId="991" xr:uid="{00000000-0005-0000-0000-000019000000}"/>
    <cellStyle name="Normal 2 5 3 2 3 2" xfId="3032" xr:uid="{00000000-0005-0000-0000-000019000000}"/>
    <cellStyle name="Normal 2 5 3 2 3 2 2" xfId="7113" xr:uid="{00000000-0005-0000-0000-000019000000}"/>
    <cellStyle name="Normal 2 5 3 2 3 2 2 2" xfId="15273" xr:uid="{00000000-0005-0000-0000-000019000000}"/>
    <cellStyle name="Normal 2 5 3 2 3 2 3" xfId="11193" xr:uid="{00000000-0005-0000-0000-000019000000}"/>
    <cellStyle name="Normal 2 5 3 2 3 3" xfId="2012" xr:uid="{00000000-0005-0000-0000-000019000000}"/>
    <cellStyle name="Normal 2 5 3 2 3 3 2" xfId="6093" xr:uid="{00000000-0005-0000-0000-000019000000}"/>
    <cellStyle name="Normal 2 5 3 2 3 3 2 2" xfId="14253" xr:uid="{00000000-0005-0000-0000-000019000000}"/>
    <cellStyle name="Normal 2 5 3 2 3 3 3" xfId="10173" xr:uid="{00000000-0005-0000-0000-000019000000}"/>
    <cellStyle name="Normal 2 5 3 2 3 4" xfId="4052" xr:uid="{00000000-0005-0000-0000-000019000000}"/>
    <cellStyle name="Normal 2 5 3 2 3 4 2" xfId="8133" xr:uid="{00000000-0005-0000-0000-000019000000}"/>
    <cellStyle name="Normal 2 5 3 2 3 4 2 2" xfId="16293" xr:uid="{00000000-0005-0000-0000-000019000000}"/>
    <cellStyle name="Normal 2 5 3 2 3 4 3" xfId="12213" xr:uid="{00000000-0005-0000-0000-000019000000}"/>
    <cellStyle name="Normal 2 5 3 2 3 5" xfId="5072" xr:uid="{00000000-0005-0000-0000-000019000000}"/>
    <cellStyle name="Normal 2 5 3 2 3 5 2" xfId="13233" xr:uid="{00000000-0005-0000-0000-000019000000}"/>
    <cellStyle name="Normal 2 5 3 2 3 6" xfId="9153" xr:uid="{00000000-0005-0000-0000-000019000000}"/>
    <cellStyle name="Normal 2 5 3 2 4" xfId="583" xr:uid="{00000000-0005-0000-0000-000019000000}"/>
    <cellStyle name="Normal 2 5 3 2 4 2" xfId="2624" xr:uid="{00000000-0005-0000-0000-000019000000}"/>
    <cellStyle name="Normal 2 5 3 2 4 2 2" xfId="6705" xr:uid="{00000000-0005-0000-0000-000019000000}"/>
    <cellStyle name="Normal 2 5 3 2 4 2 2 2" xfId="14865" xr:uid="{00000000-0005-0000-0000-000019000000}"/>
    <cellStyle name="Normal 2 5 3 2 4 2 3" xfId="10785" xr:uid="{00000000-0005-0000-0000-000019000000}"/>
    <cellStyle name="Normal 2 5 3 2 4 3" xfId="1604" xr:uid="{00000000-0005-0000-0000-000019000000}"/>
    <cellStyle name="Normal 2 5 3 2 4 3 2" xfId="5685" xr:uid="{00000000-0005-0000-0000-000019000000}"/>
    <cellStyle name="Normal 2 5 3 2 4 3 2 2" xfId="13845" xr:uid="{00000000-0005-0000-0000-000019000000}"/>
    <cellStyle name="Normal 2 5 3 2 4 3 3" xfId="9765" xr:uid="{00000000-0005-0000-0000-000019000000}"/>
    <cellStyle name="Normal 2 5 3 2 4 4" xfId="3644" xr:uid="{00000000-0005-0000-0000-000019000000}"/>
    <cellStyle name="Normal 2 5 3 2 4 4 2" xfId="7725" xr:uid="{00000000-0005-0000-0000-000019000000}"/>
    <cellStyle name="Normal 2 5 3 2 4 4 2 2" xfId="15885" xr:uid="{00000000-0005-0000-0000-000019000000}"/>
    <cellStyle name="Normal 2 5 3 2 4 4 3" xfId="11805" xr:uid="{00000000-0005-0000-0000-000019000000}"/>
    <cellStyle name="Normal 2 5 3 2 4 5" xfId="4664" xr:uid="{00000000-0005-0000-0000-000019000000}"/>
    <cellStyle name="Normal 2 5 3 2 4 5 2" xfId="12825" xr:uid="{00000000-0005-0000-0000-000019000000}"/>
    <cellStyle name="Normal 2 5 3 2 4 6" xfId="8745" xr:uid="{00000000-0005-0000-0000-000019000000}"/>
    <cellStyle name="Normal 2 5 3 2 5" xfId="2216" xr:uid="{00000000-0005-0000-0000-000019000000}"/>
    <cellStyle name="Normal 2 5 3 2 5 2" xfId="6297" xr:uid="{00000000-0005-0000-0000-000019000000}"/>
    <cellStyle name="Normal 2 5 3 2 5 2 2" xfId="14457" xr:uid="{00000000-0005-0000-0000-000019000000}"/>
    <cellStyle name="Normal 2 5 3 2 5 3" xfId="10377" xr:uid="{00000000-0005-0000-0000-000019000000}"/>
    <cellStyle name="Normal 2 5 3 2 6" xfId="1196" xr:uid="{00000000-0005-0000-0000-000019000000}"/>
    <cellStyle name="Normal 2 5 3 2 6 2" xfId="5277" xr:uid="{00000000-0005-0000-0000-000019000000}"/>
    <cellStyle name="Normal 2 5 3 2 6 2 2" xfId="13437" xr:uid="{00000000-0005-0000-0000-000019000000}"/>
    <cellStyle name="Normal 2 5 3 2 6 3" xfId="9357" xr:uid="{00000000-0005-0000-0000-000019000000}"/>
    <cellStyle name="Normal 2 5 3 2 7" xfId="3236" xr:uid="{00000000-0005-0000-0000-000019000000}"/>
    <cellStyle name="Normal 2 5 3 2 7 2" xfId="7317" xr:uid="{00000000-0005-0000-0000-000019000000}"/>
    <cellStyle name="Normal 2 5 3 2 7 2 2" xfId="15477" xr:uid="{00000000-0005-0000-0000-000019000000}"/>
    <cellStyle name="Normal 2 5 3 2 7 3" xfId="11397" xr:uid="{00000000-0005-0000-0000-000019000000}"/>
    <cellStyle name="Normal 2 5 3 2 8" xfId="4256" xr:uid="{00000000-0005-0000-0000-000019000000}"/>
    <cellStyle name="Normal 2 5 3 2 8 2" xfId="12417" xr:uid="{00000000-0005-0000-0000-000019000000}"/>
    <cellStyle name="Normal 2 5 3 2 9" xfId="8337" xr:uid="{00000000-0005-0000-0000-000019000000}"/>
    <cellStyle name="Normal 2 5 3 3" xfId="277" xr:uid="{00000000-0005-0000-0000-000019000000}"/>
    <cellStyle name="Normal 2 5 3 3 2" xfId="685" xr:uid="{00000000-0005-0000-0000-000019000000}"/>
    <cellStyle name="Normal 2 5 3 3 2 2" xfId="2726" xr:uid="{00000000-0005-0000-0000-000019000000}"/>
    <cellStyle name="Normal 2 5 3 3 2 2 2" xfId="6807" xr:uid="{00000000-0005-0000-0000-000019000000}"/>
    <cellStyle name="Normal 2 5 3 3 2 2 2 2" xfId="14967" xr:uid="{00000000-0005-0000-0000-000019000000}"/>
    <cellStyle name="Normal 2 5 3 3 2 2 3" xfId="10887" xr:uid="{00000000-0005-0000-0000-000019000000}"/>
    <cellStyle name="Normal 2 5 3 3 2 3" xfId="1706" xr:uid="{00000000-0005-0000-0000-000019000000}"/>
    <cellStyle name="Normal 2 5 3 3 2 3 2" xfId="5787" xr:uid="{00000000-0005-0000-0000-000019000000}"/>
    <cellStyle name="Normal 2 5 3 3 2 3 2 2" xfId="13947" xr:uid="{00000000-0005-0000-0000-000019000000}"/>
    <cellStyle name="Normal 2 5 3 3 2 3 3" xfId="9867" xr:uid="{00000000-0005-0000-0000-000019000000}"/>
    <cellStyle name="Normal 2 5 3 3 2 4" xfId="3746" xr:uid="{00000000-0005-0000-0000-000019000000}"/>
    <cellStyle name="Normal 2 5 3 3 2 4 2" xfId="7827" xr:uid="{00000000-0005-0000-0000-000019000000}"/>
    <cellStyle name="Normal 2 5 3 3 2 4 2 2" xfId="15987" xr:uid="{00000000-0005-0000-0000-000019000000}"/>
    <cellStyle name="Normal 2 5 3 3 2 4 3" xfId="11907" xr:uid="{00000000-0005-0000-0000-000019000000}"/>
    <cellStyle name="Normal 2 5 3 3 2 5" xfId="4766" xr:uid="{00000000-0005-0000-0000-000019000000}"/>
    <cellStyle name="Normal 2 5 3 3 2 5 2" xfId="12927" xr:uid="{00000000-0005-0000-0000-000019000000}"/>
    <cellStyle name="Normal 2 5 3 3 2 6" xfId="8847" xr:uid="{00000000-0005-0000-0000-000019000000}"/>
    <cellStyle name="Normal 2 5 3 3 3" xfId="2318" xr:uid="{00000000-0005-0000-0000-000019000000}"/>
    <cellStyle name="Normal 2 5 3 3 3 2" xfId="6399" xr:uid="{00000000-0005-0000-0000-000019000000}"/>
    <cellStyle name="Normal 2 5 3 3 3 2 2" xfId="14559" xr:uid="{00000000-0005-0000-0000-000019000000}"/>
    <cellStyle name="Normal 2 5 3 3 3 3" xfId="10479" xr:uid="{00000000-0005-0000-0000-000019000000}"/>
    <cellStyle name="Normal 2 5 3 3 4" xfId="1298" xr:uid="{00000000-0005-0000-0000-000019000000}"/>
    <cellStyle name="Normal 2 5 3 3 4 2" xfId="5379" xr:uid="{00000000-0005-0000-0000-000019000000}"/>
    <cellStyle name="Normal 2 5 3 3 4 2 2" xfId="13539" xr:uid="{00000000-0005-0000-0000-000019000000}"/>
    <cellStyle name="Normal 2 5 3 3 4 3" xfId="9459" xr:uid="{00000000-0005-0000-0000-000019000000}"/>
    <cellStyle name="Normal 2 5 3 3 5" xfId="3338" xr:uid="{00000000-0005-0000-0000-000019000000}"/>
    <cellStyle name="Normal 2 5 3 3 5 2" xfId="7419" xr:uid="{00000000-0005-0000-0000-000019000000}"/>
    <cellStyle name="Normal 2 5 3 3 5 2 2" xfId="15579" xr:uid="{00000000-0005-0000-0000-000019000000}"/>
    <cellStyle name="Normal 2 5 3 3 5 3" xfId="11499" xr:uid="{00000000-0005-0000-0000-000019000000}"/>
    <cellStyle name="Normal 2 5 3 3 6" xfId="4358" xr:uid="{00000000-0005-0000-0000-000019000000}"/>
    <cellStyle name="Normal 2 5 3 3 6 2" xfId="12519" xr:uid="{00000000-0005-0000-0000-000019000000}"/>
    <cellStyle name="Normal 2 5 3 3 7" xfId="8439" xr:uid="{00000000-0005-0000-0000-000019000000}"/>
    <cellStyle name="Normal 2 5 3 4" xfId="889" xr:uid="{00000000-0005-0000-0000-000019000000}"/>
    <cellStyle name="Normal 2 5 3 4 2" xfId="2930" xr:uid="{00000000-0005-0000-0000-000019000000}"/>
    <cellStyle name="Normal 2 5 3 4 2 2" xfId="7011" xr:uid="{00000000-0005-0000-0000-000019000000}"/>
    <cellStyle name="Normal 2 5 3 4 2 2 2" xfId="15171" xr:uid="{00000000-0005-0000-0000-000019000000}"/>
    <cellStyle name="Normal 2 5 3 4 2 3" xfId="11091" xr:uid="{00000000-0005-0000-0000-000019000000}"/>
    <cellStyle name="Normal 2 5 3 4 3" xfId="1910" xr:uid="{00000000-0005-0000-0000-000019000000}"/>
    <cellStyle name="Normal 2 5 3 4 3 2" xfId="5991" xr:uid="{00000000-0005-0000-0000-000019000000}"/>
    <cellStyle name="Normal 2 5 3 4 3 2 2" xfId="14151" xr:uid="{00000000-0005-0000-0000-000019000000}"/>
    <cellStyle name="Normal 2 5 3 4 3 3" xfId="10071" xr:uid="{00000000-0005-0000-0000-000019000000}"/>
    <cellStyle name="Normal 2 5 3 4 4" xfId="3950" xr:uid="{00000000-0005-0000-0000-000019000000}"/>
    <cellStyle name="Normal 2 5 3 4 4 2" xfId="8031" xr:uid="{00000000-0005-0000-0000-000019000000}"/>
    <cellStyle name="Normal 2 5 3 4 4 2 2" xfId="16191" xr:uid="{00000000-0005-0000-0000-000019000000}"/>
    <cellStyle name="Normal 2 5 3 4 4 3" xfId="12111" xr:uid="{00000000-0005-0000-0000-000019000000}"/>
    <cellStyle name="Normal 2 5 3 4 5" xfId="4970" xr:uid="{00000000-0005-0000-0000-000019000000}"/>
    <cellStyle name="Normal 2 5 3 4 5 2" xfId="13131" xr:uid="{00000000-0005-0000-0000-000019000000}"/>
    <cellStyle name="Normal 2 5 3 4 6" xfId="9051" xr:uid="{00000000-0005-0000-0000-000019000000}"/>
    <cellStyle name="Normal 2 5 3 5" xfId="481" xr:uid="{00000000-0005-0000-0000-000019000000}"/>
    <cellStyle name="Normal 2 5 3 5 2" xfId="2522" xr:uid="{00000000-0005-0000-0000-000019000000}"/>
    <cellStyle name="Normal 2 5 3 5 2 2" xfId="6603" xr:uid="{00000000-0005-0000-0000-000019000000}"/>
    <cellStyle name="Normal 2 5 3 5 2 2 2" xfId="14763" xr:uid="{00000000-0005-0000-0000-000019000000}"/>
    <cellStyle name="Normal 2 5 3 5 2 3" xfId="10683" xr:uid="{00000000-0005-0000-0000-000019000000}"/>
    <cellStyle name="Normal 2 5 3 5 3" xfId="1502" xr:uid="{00000000-0005-0000-0000-000019000000}"/>
    <cellStyle name="Normal 2 5 3 5 3 2" xfId="5583" xr:uid="{00000000-0005-0000-0000-000019000000}"/>
    <cellStyle name="Normal 2 5 3 5 3 2 2" xfId="13743" xr:uid="{00000000-0005-0000-0000-000019000000}"/>
    <cellStyle name="Normal 2 5 3 5 3 3" xfId="9663" xr:uid="{00000000-0005-0000-0000-000019000000}"/>
    <cellStyle name="Normal 2 5 3 5 4" xfId="3542" xr:uid="{00000000-0005-0000-0000-000019000000}"/>
    <cellStyle name="Normal 2 5 3 5 4 2" xfId="7623" xr:uid="{00000000-0005-0000-0000-000019000000}"/>
    <cellStyle name="Normal 2 5 3 5 4 2 2" xfId="15783" xr:uid="{00000000-0005-0000-0000-000019000000}"/>
    <cellStyle name="Normal 2 5 3 5 4 3" xfId="11703" xr:uid="{00000000-0005-0000-0000-000019000000}"/>
    <cellStyle name="Normal 2 5 3 5 5" xfId="4562" xr:uid="{00000000-0005-0000-0000-000019000000}"/>
    <cellStyle name="Normal 2 5 3 5 5 2" xfId="12723" xr:uid="{00000000-0005-0000-0000-000019000000}"/>
    <cellStyle name="Normal 2 5 3 5 6" xfId="8643" xr:uid="{00000000-0005-0000-0000-000019000000}"/>
    <cellStyle name="Normal 2 5 3 6" xfId="2114" xr:uid="{00000000-0005-0000-0000-000019000000}"/>
    <cellStyle name="Normal 2 5 3 6 2" xfId="6195" xr:uid="{00000000-0005-0000-0000-000019000000}"/>
    <cellStyle name="Normal 2 5 3 6 2 2" xfId="14355" xr:uid="{00000000-0005-0000-0000-000019000000}"/>
    <cellStyle name="Normal 2 5 3 6 3" xfId="10275" xr:uid="{00000000-0005-0000-0000-000019000000}"/>
    <cellStyle name="Normal 2 5 3 7" xfId="1094" xr:uid="{00000000-0005-0000-0000-000019000000}"/>
    <cellStyle name="Normal 2 5 3 7 2" xfId="5175" xr:uid="{00000000-0005-0000-0000-000019000000}"/>
    <cellStyle name="Normal 2 5 3 7 2 2" xfId="13335" xr:uid="{00000000-0005-0000-0000-000019000000}"/>
    <cellStyle name="Normal 2 5 3 7 3" xfId="9255" xr:uid="{00000000-0005-0000-0000-000019000000}"/>
    <cellStyle name="Normal 2 5 3 8" xfId="3134" xr:uid="{00000000-0005-0000-0000-000019000000}"/>
    <cellStyle name="Normal 2 5 3 8 2" xfId="7215" xr:uid="{00000000-0005-0000-0000-000019000000}"/>
    <cellStyle name="Normal 2 5 3 8 2 2" xfId="15375" xr:uid="{00000000-0005-0000-0000-000019000000}"/>
    <cellStyle name="Normal 2 5 3 8 3" xfId="11295" xr:uid="{00000000-0005-0000-0000-000019000000}"/>
    <cellStyle name="Normal 2 5 3 9" xfId="4154" xr:uid="{00000000-0005-0000-0000-000019000000}"/>
    <cellStyle name="Normal 2 5 3 9 2" xfId="12315" xr:uid="{00000000-0005-0000-0000-000019000000}"/>
    <cellStyle name="Normal 2 5 4" xfId="124" xr:uid="{00000000-0005-0000-0000-000019000000}"/>
    <cellStyle name="Normal 2 5 4 2" xfId="328" xr:uid="{00000000-0005-0000-0000-000019000000}"/>
    <cellStyle name="Normal 2 5 4 2 2" xfId="736" xr:uid="{00000000-0005-0000-0000-000019000000}"/>
    <cellStyle name="Normal 2 5 4 2 2 2" xfId="2777" xr:uid="{00000000-0005-0000-0000-000019000000}"/>
    <cellStyle name="Normal 2 5 4 2 2 2 2" xfId="6858" xr:uid="{00000000-0005-0000-0000-000019000000}"/>
    <cellStyle name="Normal 2 5 4 2 2 2 2 2" xfId="15018" xr:uid="{00000000-0005-0000-0000-000019000000}"/>
    <cellStyle name="Normal 2 5 4 2 2 2 3" xfId="10938" xr:uid="{00000000-0005-0000-0000-000019000000}"/>
    <cellStyle name="Normal 2 5 4 2 2 3" xfId="1757" xr:uid="{00000000-0005-0000-0000-000019000000}"/>
    <cellStyle name="Normal 2 5 4 2 2 3 2" xfId="5838" xr:uid="{00000000-0005-0000-0000-000019000000}"/>
    <cellStyle name="Normal 2 5 4 2 2 3 2 2" xfId="13998" xr:uid="{00000000-0005-0000-0000-000019000000}"/>
    <cellStyle name="Normal 2 5 4 2 2 3 3" xfId="9918" xr:uid="{00000000-0005-0000-0000-000019000000}"/>
    <cellStyle name="Normal 2 5 4 2 2 4" xfId="3797" xr:uid="{00000000-0005-0000-0000-000019000000}"/>
    <cellStyle name="Normal 2 5 4 2 2 4 2" xfId="7878" xr:uid="{00000000-0005-0000-0000-000019000000}"/>
    <cellStyle name="Normal 2 5 4 2 2 4 2 2" xfId="16038" xr:uid="{00000000-0005-0000-0000-000019000000}"/>
    <cellStyle name="Normal 2 5 4 2 2 4 3" xfId="11958" xr:uid="{00000000-0005-0000-0000-000019000000}"/>
    <cellStyle name="Normal 2 5 4 2 2 5" xfId="4817" xr:uid="{00000000-0005-0000-0000-000019000000}"/>
    <cellStyle name="Normal 2 5 4 2 2 5 2" xfId="12978" xr:uid="{00000000-0005-0000-0000-000019000000}"/>
    <cellStyle name="Normal 2 5 4 2 2 6" xfId="8898" xr:uid="{00000000-0005-0000-0000-000019000000}"/>
    <cellStyle name="Normal 2 5 4 2 3" xfId="2369" xr:uid="{00000000-0005-0000-0000-000019000000}"/>
    <cellStyle name="Normal 2 5 4 2 3 2" xfId="6450" xr:uid="{00000000-0005-0000-0000-000019000000}"/>
    <cellStyle name="Normal 2 5 4 2 3 2 2" xfId="14610" xr:uid="{00000000-0005-0000-0000-000019000000}"/>
    <cellStyle name="Normal 2 5 4 2 3 3" xfId="10530" xr:uid="{00000000-0005-0000-0000-000019000000}"/>
    <cellStyle name="Normal 2 5 4 2 4" xfId="1349" xr:uid="{00000000-0005-0000-0000-000019000000}"/>
    <cellStyle name="Normal 2 5 4 2 4 2" xfId="5430" xr:uid="{00000000-0005-0000-0000-000019000000}"/>
    <cellStyle name="Normal 2 5 4 2 4 2 2" xfId="13590" xr:uid="{00000000-0005-0000-0000-000019000000}"/>
    <cellStyle name="Normal 2 5 4 2 4 3" xfId="9510" xr:uid="{00000000-0005-0000-0000-000019000000}"/>
    <cellStyle name="Normal 2 5 4 2 5" xfId="3389" xr:uid="{00000000-0005-0000-0000-000019000000}"/>
    <cellStyle name="Normal 2 5 4 2 5 2" xfId="7470" xr:uid="{00000000-0005-0000-0000-000019000000}"/>
    <cellStyle name="Normal 2 5 4 2 5 2 2" xfId="15630" xr:uid="{00000000-0005-0000-0000-000019000000}"/>
    <cellStyle name="Normal 2 5 4 2 5 3" xfId="11550" xr:uid="{00000000-0005-0000-0000-000019000000}"/>
    <cellStyle name="Normal 2 5 4 2 6" xfId="4409" xr:uid="{00000000-0005-0000-0000-000019000000}"/>
    <cellStyle name="Normal 2 5 4 2 6 2" xfId="12570" xr:uid="{00000000-0005-0000-0000-000019000000}"/>
    <cellStyle name="Normal 2 5 4 2 7" xfId="8490" xr:uid="{00000000-0005-0000-0000-000019000000}"/>
    <cellStyle name="Normal 2 5 4 3" xfId="940" xr:uid="{00000000-0005-0000-0000-000019000000}"/>
    <cellStyle name="Normal 2 5 4 3 2" xfId="2981" xr:uid="{00000000-0005-0000-0000-000019000000}"/>
    <cellStyle name="Normal 2 5 4 3 2 2" xfId="7062" xr:uid="{00000000-0005-0000-0000-000019000000}"/>
    <cellStyle name="Normal 2 5 4 3 2 2 2" xfId="15222" xr:uid="{00000000-0005-0000-0000-000019000000}"/>
    <cellStyle name="Normal 2 5 4 3 2 3" xfId="11142" xr:uid="{00000000-0005-0000-0000-000019000000}"/>
    <cellStyle name="Normal 2 5 4 3 3" xfId="1961" xr:uid="{00000000-0005-0000-0000-000019000000}"/>
    <cellStyle name="Normal 2 5 4 3 3 2" xfId="6042" xr:uid="{00000000-0005-0000-0000-000019000000}"/>
    <cellStyle name="Normal 2 5 4 3 3 2 2" xfId="14202" xr:uid="{00000000-0005-0000-0000-000019000000}"/>
    <cellStyle name="Normal 2 5 4 3 3 3" xfId="10122" xr:uid="{00000000-0005-0000-0000-000019000000}"/>
    <cellStyle name="Normal 2 5 4 3 4" xfId="4001" xr:uid="{00000000-0005-0000-0000-000019000000}"/>
    <cellStyle name="Normal 2 5 4 3 4 2" xfId="8082" xr:uid="{00000000-0005-0000-0000-000019000000}"/>
    <cellStyle name="Normal 2 5 4 3 4 2 2" xfId="16242" xr:uid="{00000000-0005-0000-0000-000019000000}"/>
    <cellStyle name="Normal 2 5 4 3 4 3" xfId="12162" xr:uid="{00000000-0005-0000-0000-000019000000}"/>
    <cellStyle name="Normal 2 5 4 3 5" xfId="5021" xr:uid="{00000000-0005-0000-0000-000019000000}"/>
    <cellStyle name="Normal 2 5 4 3 5 2" xfId="13182" xr:uid="{00000000-0005-0000-0000-000019000000}"/>
    <cellStyle name="Normal 2 5 4 3 6" xfId="9102" xr:uid="{00000000-0005-0000-0000-000019000000}"/>
    <cellStyle name="Normal 2 5 4 4" xfId="532" xr:uid="{00000000-0005-0000-0000-000019000000}"/>
    <cellStyle name="Normal 2 5 4 4 2" xfId="2573" xr:uid="{00000000-0005-0000-0000-000019000000}"/>
    <cellStyle name="Normal 2 5 4 4 2 2" xfId="6654" xr:uid="{00000000-0005-0000-0000-000019000000}"/>
    <cellStyle name="Normal 2 5 4 4 2 2 2" xfId="14814" xr:uid="{00000000-0005-0000-0000-000019000000}"/>
    <cellStyle name="Normal 2 5 4 4 2 3" xfId="10734" xr:uid="{00000000-0005-0000-0000-000019000000}"/>
    <cellStyle name="Normal 2 5 4 4 3" xfId="1553" xr:uid="{00000000-0005-0000-0000-000019000000}"/>
    <cellStyle name="Normal 2 5 4 4 3 2" xfId="5634" xr:uid="{00000000-0005-0000-0000-000019000000}"/>
    <cellStyle name="Normal 2 5 4 4 3 2 2" xfId="13794" xr:uid="{00000000-0005-0000-0000-000019000000}"/>
    <cellStyle name="Normal 2 5 4 4 3 3" xfId="9714" xr:uid="{00000000-0005-0000-0000-000019000000}"/>
    <cellStyle name="Normal 2 5 4 4 4" xfId="3593" xr:uid="{00000000-0005-0000-0000-000019000000}"/>
    <cellStyle name="Normal 2 5 4 4 4 2" xfId="7674" xr:uid="{00000000-0005-0000-0000-000019000000}"/>
    <cellStyle name="Normal 2 5 4 4 4 2 2" xfId="15834" xr:uid="{00000000-0005-0000-0000-000019000000}"/>
    <cellStyle name="Normal 2 5 4 4 4 3" xfId="11754" xr:uid="{00000000-0005-0000-0000-000019000000}"/>
    <cellStyle name="Normal 2 5 4 4 5" xfId="4613" xr:uid="{00000000-0005-0000-0000-000019000000}"/>
    <cellStyle name="Normal 2 5 4 4 5 2" xfId="12774" xr:uid="{00000000-0005-0000-0000-000019000000}"/>
    <cellStyle name="Normal 2 5 4 4 6" xfId="8694" xr:uid="{00000000-0005-0000-0000-000019000000}"/>
    <cellStyle name="Normal 2 5 4 5" xfId="2165" xr:uid="{00000000-0005-0000-0000-000019000000}"/>
    <cellStyle name="Normal 2 5 4 5 2" xfId="6246" xr:uid="{00000000-0005-0000-0000-000019000000}"/>
    <cellStyle name="Normal 2 5 4 5 2 2" xfId="14406" xr:uid="{00000000-0005-0000-0000-000019000000}"/>
    <cellStyle name="Normal 2 5 4 5 3" xfId="10326" xr:uid="{00000000-0005-0000-0000-000019000000}"/>
    <cellStyle name="Normal 2 5 4 6" xfId="1145" xr:uid="{00000000-0005-0000-0000-000019000000}"/>
    <cellStyle name="Normal 2 5 4 6 2" xfId="5226" xr:uid="{00000000-0005-0000-0000-000019000000}"/>
    <cellStyle name="Normal 2 5 4 6 2 2" xfId="13386" xr:uid="{00000000-0005-0000-0000-000019000000}"/>
    <cellStyle name="Normal 2 5 4 6 3" xfId="9306" xr:uid="{00000000-0005-0000-0000-000019000000}"/>
    <cellStyle name="Normal 2 5 4 7" xfId="3185" xr:uid="{00000000-0005-0000-0000-000019000000}"/>
    <cellStyle name="Normal 2 5 4 7 2" xfId="7266" xr:uid="{00000000-0005-0000-0000-000019000000}"/>
    <cellStyle name="Normal 2 5 4 7 2 2" xfId="15426" xr:uid="{00000000-0005-0000-0000-000019000000}"/>
    <cellStyle name="Normal 2 5 4 7 3" xfId="11346" xr:uid="{00000000-0005-0000-0000-000019000000}"/>
    <cellStyle name="Normal 2 5 4 8" xfId="4205" xr:uid="{00000000-0005-0000-0000-000019000000}"/>
    <cellStyle name="Normal 2 5 4 8 2" xfId="12366" xr:uid="{00000000-0005-0000-0000-000019000000}"/>
    <cellStyle name="Normal 2 5 4 9" xfId="8286" xr:uid="{00000000-0005-0000-0000-000019000000}"/>
    <cellStyle name="Normal 2 5 5" xfId="226" xr:uid="{00000000-0005-0000-0000-000019000000}"/>
    <cellStyle name="Normal 2 5 5 2" xfId="634" xr:uid="{00000000-0005-0000-0000-000019000000}"/>
    <cellStyle name="Normal 2 5 5 2 2" xfId="2675" xr:uid="{00000000-0005-0000-0000-000019000000}"/>
    <cellStyle name="Normal 2 5 5 2 2 2" xfId="6756" xr:uid="{00000000-0005-0000-0000-000019000000}"/>
    <cellStyle name="Normal 2 5 5 2 2 2 2" xfId="14916" xr:uid="{00000000-0005-0000-0000-000019000000}"/>
    <cellStyle name="Normal 2 5 5 2 2 3" xfId="10836" xr:uid="{00000000-0005-0000-0000-000019000000}"/>
    <cellStyle name="Normal 2 5 5 2 3" xfId="1655" xr:uid="{00000000-0005-0000-0000-000019000000}"/>
    <cellStyle name="Normal 2 5 5 2 3 2" xfId="5736" xr:uid="{00000000-0005-0000-0000-000019000000}"/>
    <cellStyle name="Normal 2 5 5 2 3 2 2" xfId="13896" xr:uid="{00000000-0005-0000-0000-000019000000}"/>
    <cellStyle name="Normal 2 5 5 2 3 3" xfId="9816" xr:uid="{00000000-0005-0000-0000-000019000000}"/>
    <cellStyle name="Normal 2 5 5 2 4" xfId="3695" xr:uid="{00000000-0005-0000-0000-000019000000}"/>
    <cellStyle name="Normal 2 5 5 2 4 2" xfId="7776" xr:uid="{00000000-0005-0000-0000-000019000000}"/>
    <cellStyle name="Normal 2 5 5 2 4 2 2" xfId="15936" xr:uid="{00000000-0005-0000-0000-000019000000}"/>
    <cellStyle name="Normal 2 5 5 2 4 3" xfId="11856" xr:uid="{00000000-0005-0000-0000-000019000000}"/>
    <cellStyle name="Normal 2 5 5 2 5" xfId="4715" xr:uid="{00000000-0005-0000-0000-000019000000}"/>
    <cellStyle name="Normal 2 5 5 2 5 2" xfId="12876" xr:uid="{00000000-0005-0000-0000-000019000000}"/>
    <cellStyle name="Normal 2 5 5 2 6" xfId="8796" xr:uid="{00000000-0005-0000-0000-000019000000}"/>
    <cellStyle name="Normal 2 5 5 3" xfId="2267" xr:uid="{00000000-0005-0000-0000-000019000000}"/>
    <cellStyle name="Normal 2 5 5 3 2" xfId="6348" xr:uid="{00000000-0005-0000-0000-000019000000}"/>
    <cellStyle name="Normal 2 5 5 3 2 2" xfId="14508" xr:uid="{00000000-0005-0000-0000-000019000000}"/>
    <cellStyle name="Normal 2 5 5 3 3" xfId="10428" xr:uid="{00000000-0005-0000-0000-000019000000}"/>
    <cellStyle name="Normal 2 5 5 4" xfId="1247" xr:uid="{00000000-0005-0000-0000-000019000000}"/>
    <cellStyle name="Normal 2 5 5 4 2" xfId="5328" xr:uid="{00000000-0005-0000-0000-000019000000}"/>
    <cellStyle name="Normal 2 5 5 4 2 2" xfId="13488" xr:uid="{00000000-0005-0000-0000-000019000000}"/>
    <cellStyle name="Normal 2 5 5 4 3" xfId="9408" xr:uid="{00000000-0005-0000-0000-000019000000}"/>
    <cellStyle name="Normal 2 5 5 5" xfId="3287" xr:uid="{00000000-0005-0000-0000-000019000000}"/>
    <cellStyle name="Normal 2 5 5 5 2" xfId="7368" xr:uid="{00000000-0005-0000-0000-000019000000}"/>
    <cellStyle name="Normal 2 5 5 5 2 2" xfId="15528" xr:uid="{00000000-0005-0000-0000-000019000000}"/>
    <cellStyle name="Normal 2 5 5 5 3" xfId="11448" xr:uid="{00000000-0005-0000-0000-000019000000}"/>
    <cellStyle name="Normal 2 5 5 6" xfId="4307" xr:uid="{00000000-0005-0000-0000-000019000000}"/>
    <cellStyle name="Normal 2 5 5 6 2" xfId="12468" xr:uid="{00000000-0005-0000-0000-000019000000}"/>
    <cellStyle name="Normal 2 5 5 7" xfId="8388" xr:uid="{00000000-0005-0000-0000-000019000000}"/>
    <cellStyle name="Normal 2 5 6" xfId="838" xr:uid="{00000000-0005-0000-0000-000019000000}"/>
    <cellStyle name="Normal 2 5 6 2" xfId="2879" xr:uid="{00000000-0005-0000-0000-000019000000}"/>
    <cellStyle name="Normal 2 5 6 2 2" xfId="6960" xr:uid="{00000000-0005-0000-0000-000019000000}"/>
    <cellStyle name="Normal 2 5 6 2 2 2" xfId="15120" xr:uid="{00000000-0005-0000-0000-000019000000}"/>
    <cellStyle name="Normal 2 5 6 2 3" xfId="11040" xr:uid="{00000000-0005-0000-0000-000019000000}"/>
    <cellStyle name="Normal 2 5 6 3" xfId="1859" xr:uid="{00000000-0005-0000-0000-000019000000}"/>
    <cellStyle name="Normal 2 5 6 3 2" xfId="5940" xr:uid="{00000000-0005-0000-0000-000019000000}"/>
    <cellStyle name="Normal 2 5 6 3 2 2" xfId="14100" xr:uid="{00000000-0005-0000-0000-000019000000}"/>
    <cellStyle name="Normal 2 5 6 3 3" xfId="10020" xr:uid="{00000000-0005-0000-0000-000019000000}"/>
    <cellStyle name="Normal 2 5 6 4" xfId="3899" xr:uid="{00000000-0005-0000-0000-000019000000}"/>
    <cellStyle name="Normal 2 5 6 4 2" xfId="7980" xr:uid="{00000000-0005-0000-0000-000019000000}"/>
    <cellStyle name="Normal 2 5 6 4 2 2" xfId="16140" xr:uid="{00000000-0005-0000-0000-000019000000}"/>
    <cellStyle name="Normal 2 5 6 4 3" xfId="12060" xr:uid="{00000000-0005-0000-0000-000019000000}"/>
    <cellStyle name="Normal 2 5 6 5" xfId="4919" xr:uid="{00000000-0005-0000-0000-000019000000}"/>
    <cellStyle name="Normal 2 5 6 5 2" xfId="13080" xr:uid="{00000000-0005-0000-0000-000019000000}"/>
    <cellStyle name="Normal 2 5 6 6" xfId="9000" xr:uid="{00000000-0005-0000-0000-000019000000}"/>
    <cellStyle name="Normal 2 5 7" xfId="430" xr:uid="{00000000-0005-0000-0000-000019000000}"/>
    <cellStyle name="Normal 2 5 7 2" xfId="2471" xr:uid="{00000000-0005-0000-0000-000019000000}"/>
    <cellStyle name="Normal 2 5 7 2 2" xfId="6552" xr:uid="{00000000-0005-0000-0000-000019000000}"/>
    <cellStyle name="Normal 2 5 7 2 2 2" xfId="14712" xr:uid="{00000000-0005-0000-0000-000019000000}"/>
    <cellStyle name="Normal 2 5 7 2 3" xfId="10632" xr:uid="{00000000-0005-0000-0000-000019000000}"/>
    <cellStyle name="Normal 2 5 7 3" xfId="1451" xr:uid="{00000000-0005-0000-0000-000019000000}"/>
    <cellStyle name="Normal 2 5 7 3 2" xfId="5532" xr:uid="{00000000-0005-0000-0000-000019000000}"/>
    <cellStyle name="Normal 2 5 7 3 2 2" xfId="13692" xr:uid="{00000000-0005-0000-0000-000019000000}"/>
    <cellStyle name="Normal 2 5 7 3 3" xfId="9612" xr:uid="{00000000-0005-0000-0000-000019000000}"/>
    <cellStyle name="Normal 2 5 7 4" xfId="3491" xr:uid="{00000000-0005-0000-0000-000019000000}"/>
    <cellStyle name="Normal 2 5 7 4 2" xfId="7572" xr:uid="{00000000-0005-0000-0000-000019000000}"/>
    <cellStyle name="Normal 2 5 7 4 2 2" xfId="15732" xr:uid="{00000000-0005-0000-0000-000019000000}"/>
    <cellStyle name="Normal 2 5 7 4 3" xfId="11652" xr:uid="{00000000-0005-0000-0000-000019000000}"/>
    <cellStyle name="Normal 2 5 7 5" xfId="4511" xr:uid="{00000000-0005-0000-0000-000019000000}"/>
    <cellStyle name="Normal 2 5 7 5 2" xfId="12672" xr:uid="{00000000-0005-0000-0000-000019000000}"/>
    <cellStyle name="Normal 2 5 7 6" xfId="8592" xr:uid="{00000000-0005-0000-0000-000019000000}"/>
    <cellStyle name="Normal 2 5 8" xfId="2063" xr:uid="{00000000-0005-0000-0000-000019000000}"/>
    <cellStyle name="Normal 2 5 8 2" xfId="6144" xr:uid="{00000000-0005-0000-0000-000019000000}"/>
    <cellStyle name="Normal 2 5 8 2 2" xfId="14304" xr:uid="{00000000-0005-0000-0000-000019000000}"/>
    <cellStyle name="Normal 2 5 8 3" xfId="10224" xr:uid="{00000000-0005-0000-0000-000019000000}"/>
    <cellStyle name="Normal 2 5 9" xfId="1043" xr:uid="{00000000-0005-0000-0000-000019000000}"/>
    <cellStyle name="Normal 2 5 9 2" xfId="5124" xr:uid="{00000000-0005-0000-0000-000019000000}"/>
    <cellStyle name="Normal 2 5 9 2 2" xfId="13284" xr:uid="{00000000-0005-0000-0000-000019000000}"/>
    <cellStyle name="Normal 2 5 9 3" xfId="9204" xr:uid="{00000000-0005-0000-0000-000019000000}"/>
    <cellStyle name="Normal 2 6" xfId="31" xr:uid="{00000000-0005-0000-0000-00001B000000}"/>
    <cellStyle name="Normal 2 6 10" xfId="4112" xr:uid="{00000000-0005-0000-0000-00001B000000}"/>
    <cellStyle name="Normal 2 6 10 2" xfId="12273" xr:uid="{00000000-0005-0000-0000-00001B000000}"/>
    <cellStyle name="Normal 2 6 11" xfId="8193" xr:uid="{00000000-0005-0000-0000-00001B000000}"/>
    <cellStyle name="Normal 2 6 2" xfId="82" xr:uid="{00000000-0005-0000-0000-00001B000000}"/>
    <cellStyle name="Normal 2 6 2 10" xfId="8244" xr:uid="{00000000-0005-0000-0000-00001B000000}"/>
    <cellStyle name="Normal 2 6 2 2" xfId="184" xr:uid="{00000000-0005-0000-0000-00001B000000}"/>
    <cellStyle name="Normal 2 6 2 2 2" xfId="388" xr:uid="{00000000-0005-0000-0000-00001B000000}"/>
    <cellStyle name="Normal 2 6 2 2 2 2" xfId="796" xr:uid="{00000000-0005-0000-0000-00001B000000}"/>
    <cellStyle name="Normal 2 6 2 2 2 2 2" xfId="2837" xr:uid="{00000000-0005-0000-0000-00001B000000}"/>
    <cellStyle name="Normal 2 6 2 2 2 2 2 2" xfId="6918" xr:uid="{00000000-0005-0000-0000-00001B000000}"/>
    <cellStyle name="Normal 2 6 2 2 2 2 2 2 2" xfId="15078" xr:uid="{00000000-0005-0000-0000-00001B000000}"/>
    <cellStyle name="Normal 2 6 2 2 2 2 2 3" xfId="10998" xr:uid="{00000000-0005-0000-0000-00001B000000}"/>
    <cellStyle name="Normal 2 6 2 2 2 2 3" xfId="1817" xr:uid="{00000000-0005-0000-0000-00001B000000}"/>
    <cellStyle name="Normal 2 6 2 2 2 2 3 2" xfId="5898" xr:uid="{00000000-0005-0000-0000-00001B000000}"/>
    <cellStyle name="Normal 2 6 2 2 2 2 3 2 2" xfId="14058" xr:uid="{00000000-0005-0000-0000-00001B000000}"/>
    <cellStyle name="Normal 2 6 2 2 2 2 3 3" xfId="9978" xr:uid="{00000000-0005-0000-0000-00001B000000}"/>
    <cellStyle name="Normal 2 6 2 2 2 2 4" xfId="3857" xr:uid="{00000000-0005-0000-0000-00001B000000}"/>
    <cellStyle name="Normal 2 6 2 2 2 2 4 2" xfId="7938" xr:uid="{00000000-0005-0000-0000-00001B000000}"/>
    <cellStyle name="Normal 2 6 2 2 2 2 4 2 2" xfId="16098" xr:uid="{00000000-0005-0000-0000-00001B000000}"/>
    <cellStyle name="Normal 2 6 2 2 2 2 4 3" xfId="12018" xr:uid="{00000000-0005-0000-0000-00001B000000}"/>
    <cellStyle name="Normal 2 6 2 2 2 2 5" xfId="4877" xr:uid="{00000000-0005-0000-0000-00001B000000}"/>
    <cellStyle name="Normal 2 6 2 2 2 2 5 2" xfId="13038" xr:uid="{00000000-0005-0000-0000-00001B000000}"/>
    <cellStyle name="Normal 2 6 2 2 2 2 6" xfId="8958" xr:uid="{00000000-0005-0000-0000-00001B000000}"/>
    <cellStyle name="Normal 2 6 2 2 2 3" xfId="2429" xr:uid="{00000000-0005-0000-0000-00001B000000}"/>
    <cellStyle name="Normal 2 6 2 2 2 3 2" xfId="6510" xr:uid="{00000000-0005-0000-0000-00001B000000}"/>
    <cellStyle name="Normal 2 6 2 2 2 3 2 2" xfId="14670" xr:uid="{00000000-0005-0000-0000-00001B000000}"/>
    <cellStyle name="Normal 2 6 2 2 2 3 3" xfId="10590" xr:uid="{00000000-0005-0000-0000-00001B000000}"/>
    <cellStyle name="Normal 2 6 2 2 2 4" xfId="1409" xr:uid="{00000000-0005-0000-0000-00001B000000}"/>
    <cellStyle name="Normal 2 6 2 2 2 4 2" xfId="5490" xr:uid="{00000000-0005-0000-0000-00001B000000}"/>
    <cellStyle name="Normal 2 6 2 2 2 4 2 2" xfId="13650" xr:uid="{00000000-0005-0000-0000-00001B000000}"/>
    <cellStyle name="Normal 2 6 2 2 2 4 3" xfId="9570" xr:uid="{00000000-0005-0000-0000-00001B000000}"/>
    <cellStyle name="Normal 2 6 2 2 2 5" xfId="3449" xr:uid="{00000000-0005-0000-0000-00001B000000}"/>
    <cellStyle name="Normal 2 6 2 2 2 5 2" xfId="7530" xr:uid="{00000000-0005-0000-0000-00001B000000}"/>
    <cellStyle name="Normal 2 6 2 2 2 5 2 2" xfId="15690" xr:uid="{00000000-0005-0000-0000-00001B000000}"/>
    <cellStyle name="Normal 2 6 2 2 2 5 3" xfId="11610" xr:uid="{00000000-0005-0000-0000-00001B000000}"/>
    <cellStyle name="Normal 2 6 2 2 2 6" xfId="4469" xr:uid="{00000000-0005-0000-0000-00001B000000}"/>
    <cellStyle name="Normal 2 6 2 2 2 6 2" xfId="12630" xr:uid="{00000000-0005-0000-0000-00001B000000}"/>
    <cellStyle name="Normal 2 6 2 2 2 7" xfId="8550" xr:uid="{00000000-0005-0000-0000-00001B000000}"/>
    <cellStyle name="Normal 2 6 2 2 3" xfId="1000" xr:uid="{00000000-0005-0000-0000-00001B000000}"/>
    <cellStyle name="Normal 2 6 2 2 3 2" xfId="3041" xr:uid="{00000000-0005-0000-0000-00001B000000}"/>
    <cellStyle name="Normal 2 6 2 2 3 2 2" xfId="7122" xr:uid="{00000000-0005-0000-0000-00001B000000}"/>
    <cellStyle name="Normal 2 6 2 2 3 2 2 2" xfId="15282" xr:uid="{00000000-0005-0000-0000-00001B000000}"/>
    <cellStyle name="Normal 2 6 2 2 3 2 3" xfId="11202" xr:uid="{00000000-0005-0000-0000-00001B000000}"/>
    <cellStyle name="Normal 2 6 2 2 3 3" xfId="2021" xr:uid="{00000000-0005-0000-0000-00001B000000}"/>
    <cellStyle name="Normal 2 6 2 2 3 3 2" xfId="6102" xr:uid="{00000000-0005-0000-0000-00001B000000}"/>
    <cellStyle name="Normal 2 6 2 2 3 3 2 2" xfId="14262" xr:uid="{00000000-0005-0000-0000-00001B000000}"/>
    <cellStyle name="Normal 2 6 2 2 3 3 3" xfId="10182" xr:uid="{00000000-0005-0000-0000-00001B000000}"/>
    <cellStyle name="Normal 2 6 2 2 3 4" xfId="4061" xr:uid="{00000000-0005-0000-0000-00001B000000}"/>
    <cellStyle name="Normal 2 6 2 2 3 4 2" xfId="8142" xr:uid="{00000000-0005-0000-0000-00001B000000}"/>
    <cellStyle name="Normal 2 6 2 2 3 4 2 2" xfId="16302" xr:uid="{00000000-0005-0000-0000-00001B000000}"/>
    <cellStyle name="Normal 2 6 2 2 3 4 3" xfId="12222" xr:uid="{00000000-0005-0000-0000-00001B000000}"/>
    <cellStyle name="Normal 2 6 2 2 3 5" xfId="5081" xr:uid="{00000000-0005-0000-0000-00001B000000}"/>
    <cellStyle name="Normal 2 6 2 2 3 5 2" xfId="13242" xr:uid="{00000000-0005-0000-0000-00001B000000}"/>
    <cellStyle name="Normal 2 6 2 2 3 6" xfId="9162" xr:uid="{00000000-0005-0000-0000-00001B000000}"/>
    <cellStyle name="Normal 2 6 2 2 4" xfId="592" xr:uid="{00000000-0005-0000-0000-00001B000000}"/>
    <cellStyle name="Normal 2 6 2 2 4 2" xfId="2633" xr:uid="{00000000-0005-0000-0000-00001B000000}"/>
    <cellStyle name="Normal 2 6 2 2 4 2 2" xfId="6714" xr:uid="{00000000-0005-0000-0000-00001B000000}"/>
    <cellStyle name="Normal 2 6 2 2 4 2 2 2" xfId="14874" xr:uid="{00000000-0005-0000-0000-00001B000000}"/>
    <cellStyle name="Normal 2 6 2 2 4 2 3" xfId="10794" xr:uid="{00000000-0005-0000-0000-00001B000000}"/>
    <cellStyle name="Normal 2 6 2 2 4 3" xfId="1613" xr:uid="{00000000-0005-0000-0000-00001B000000}"/>
    <cellStyle name="Normal 2 6 2 2 4 3 2" xfId="5694" xr:uid="{00000000-0005-0000-0000-00001B000000}"/>
    <cellStyle name="Normal 2 6 2 2 4 3 2 2" xfId="13854" xr:uid="{00000000-0005-0000-0000-00001B000000}"/>
    <cellStyle name="Normal 2 6 2 2 4 3 3" xfId="9774" xr:uid="{00000000-0005-0000-0000-00001B000000}"/>
    <cellStyle name="Normal 2 6 2 2 4 4" xfId="3653" xr:uid="{00000000-0005-0000-0000-00001B000000}"/>
    <cellStyle name="Normal 2 6 2 2 4 4 2" xfId="7734" xr:uid="{00000000-0005-0000-0000-00001B000000}"/>
    <cellStyle name="Normal 2 6 2 2 4 4 2 2" xfId="15894" xr:uid="{00000000-0005-0000-0000-00001B000000}"/>
    <cellStyle name="Normal 2 6 2 2 4 4 3" xfId="11814" xr:uid="{00000000-0005-0000-0000-00001B000000}"/>
    <cellStyle name="Normal 2 6 2 2 4 5" xfId="4673" xr:uid="{00000000-0005-0000-0000-00001B000000}"/>
    <cellStyle name="Normal 2 6 2 2 4 5 2" xfId="12834" xr:uid="{00000000-0005-0000-0000-00001B000000}"/>
    <cellStyle name="Normal 2 6 2 2 4 6" xfId="8754" xr:uid="{00000000-0005-0000-0000-00001B000000}"/>
    <cellStyle name="Normal 2 6 2 2 5" xfId="2225" xr:uid="{00000000-0005-0000-0000-00001B000000}"/>
    <cellStyle name="Normal 2 6 2 2 5 2" xfId="6306" xr:uid="{00000000-0005-0000-0000-00001B000000}"/>
    <cellStyle name="Normal 2 6 2 2 5 2 2" xfId="14466" xr:uid="{00000000-0005-0000-0000-00001B000000}"/>
    <cellStyle name="Normal 2 6 2 2 5 3" xfId="10386" xr:uid="{00000000-0005-0000-0000-00001B000000}"/>
    <cellStyle name="Normal 2 6 2 2 6" xfId="1205" xr:uid="{00000000-0005-0000-0000-00001B000000}"/>
    <cellStyle name="Normal 2 6 2 2 6 2" xfId="5286" xr:uid="{00000000-0005-0000-0000-00001B000000}"/>
    <cellStyle name="Normal 2 6 2 2 6 2 2" xfId="13446" xr:uid="{00000000-0005-0000-0000-00001B000000}"/>
    <cellStyle name="Normal 2 6 2 2 6 3" xfId="9366" xr:uid="{00000000-0005-0000-0000-00001B000000}"/>
    <cellStyle name="Normal 2 6 2 2 7" xfId="3245" xr:uid="{00000000-0005-0000-0000-00001B000000}"/>
    <cellStyle name="Normal 2 6 2 2 7 2" xfId="7326" xr:uid="{00000000-0005-0000-0000-00001B000000}"/>
    <cellStyle name="Normal 2 6 2 2 7 2 2" xfId="15486" xr:uid="{00000000-0005-0000-0000-00001B000000}"/>
    <cellStyle name="Normal 2 6 2 2 7 3" xfId="11406" xr:uid="{00000000-0005-0000-0000-00001B000000}"/>
    <cellStyle name="Normal 2 6 2 2 8" xfId="4265" xr:uid="{00000000-0005-0000-0000-00001B000000}"/>
    <cellStyle name="Normal 2 6 2 2 8 2" xfId="12426" xr:uid="{00000000-0005-0000-0000-00001B000000}"/>
    <cellStyle name="Normal 2 6 2 2 9" xfId="8346" xr:uid="{00000000-0005-0000-0000-00001B000000}"/>
    <cellStyle name="Normal 2 6 2 3" xfId="286" xr:uid="{00000000-0005-0000-0000-00001B000000}"/>
    <cellStyle name="Normal 2 6 2 3 2" xfId="694" xr:uid="{00000000-0005-0000-0000-00001B000000}"/>
    <cellStyle name="Normal 2 6 2 3 2 2" xfId="2735" xr:uid="{00000000-0005-0000-0000-00001B000000}"/>
    <cellStyle name="Normal 2 6 2 3 2 2 2" xfId="6816" xr:uid="{00000000-0005-0000-0000-00001B000000}"/>
    <cellStyle name="Normal 2 6 2 3 2 2 2 2" xfId="14976" xr:uid="{00000000-0005-0000-0000-00001B000000}"/>
    <cellStyle name="Normal 2 6 2 3 2 2 3" xfId="10896" xr:uid="{00000000-0005-0000-0000-00001B000000}"/>
    <cellStyle name="Normal 2 6 2 3 2 3" xfId="1715" xr:uid="{00000000-0005-0000-0000-00001B000000}"/>
    <cellStyle name="Normal 2 6 2 3 2 3 2" xfId="5796" xr:uid="{00000000-0005-0000-0000-00001B000000}"/>
    <cellStyle name="Normal 2 6 2 3 2 3 2 2" xfId="13956" xr:uid="{00000000-0005-0000-0000-00001B000000}"/>
    <cellStyle name="Normal 2 6 2 3 2 3 3" xfId="9876" xr:uid="{00000000-0005-0000-0000-00001B000000}"/>
    <cellStyle name="Normal 2 6 2 3 2 4" xfId="3755" xr:uid="{00000000-0005-0000-0000-00001B000000}"/>
    <cellStyle name="Normal 2 6 2 3 2 4 2" xfId="7836" xr:uid="{00000000-0005-0000-0000-00001B000000}"/>
    <cellStyle name="Normal 2 6 2 3 2 4 2 2" xfId="15996" xr:uid="{00000000-0005-0000-0000-00001B000000}"/>
    <cellStyle name="Normal 2 6 2 3 2 4 3" xfId="11916" xr:uid="{00000000-0005-0000-0000-00001B000000}"/>
    <cellStyle name="Normal 2 6 2 3 2 5" xfId="4775" xr:uid="{00000000-0005-0000-0000-00001B000000}"/>
    <cellStyle name="Normal 2 6 2 3 2 5 2" xfId="12936" xr:uid="{00000000-0005-0000-0000-00001B000000}"/>
    <cellStyle name="Normal 2 6 2 3 2 6" xfId="8856" xr:uid="{00000000-0005-0000-0000-00001B000000}"/>
    <cellStyle name="Normal 2 6 2 3 3" xfId="2327" xr:uid="{00000000-0005-0000-0000-00001B000000}"/>
    <cellStyle name="Normal 2 6 2 3 3 2" xfId="6408" xr:uid="{00000000-0005-0000-0000-00001B000000}"/>
    <cellStyle name="Normal 2 6 2 3 3 2 2" xfId="14568" xr:uid="{00000000-0005-0000-0000-00001B000000}"/>
    <cellStyle name="Normal 2 6 2 3 3 3" xfId="10488" xr:uid="{00000000-0005-0000-0000-00001B000000}"/>
    <cellStyle name="Normal 2 6 2 3 4" xfId="1307" xr:uid="{00000000-0005-0000-0000-00001B000000}"/>
    <cellStyle name="Normal 2 6 2 3 4 2" xfId="5388" xr:uid="{00000000-0005-0000-0000-00001B000000}"/>
    <cellStyle name="Normal 2 6 2 3 4 2 2" xfId="13548" xr:uid="{00000000-0005-0000-0000-00001B000000}"/>
    <cellStyle name="Normal 2 6 2 3 4 3" xfId="9468" xr:uid="{00000000-0005-0000-0000-00001B000000}"/>
    <cellStyle name="Normal 2 6 2 3 5" xfId="3347" xr:uid="{00000000-0005-0000-0000-00001B000000}"/>
    <cellStyle name="Normal 2 6 2 3 5 2" xfId="7428" xr:uid="{00000000-0005-0000-0000-00001B000000}"/>
    <cellStyle name="Normal 2 6 2 3 5 2 2" xfId="15588" xr:uid="{00000000-0005-0000-0000-00001B000000}"/>
    <cellStyle name="Normal 2 6 2 3 5 3" xfId="11508" xr:uid="{00000000-0005-0000-0000-00001B000000}"/>
    <cellStyle name="Normal 2 6 2 3 6" xfId="4367" xr:uid="{00000000-0005-0000-0000-00001B000000}"/>
    <cellStyle name="Normal 2 6 2 3 6 2" xfId="12528" xr:uid="{00000000-0005-0000-0000-00001B000000}"/>
    <cellStyle name="Normal 2 6 2 3 7" xfId="8448" xr:uid="{00000000-0005-0000-0000-00001B000000}"/>
    <cellStyle name="Normal 2 6 2 4" xfId="898" xr:uid="{00000000-0005-0000-0000-00001B000000}"/>
    <cellStyle name="Normal 2 6 2 4 2" xfId="2939" xr:uid="{00000000-0005-0000-0000-00001B000000}"/>
    <cellStyle name="Normal 2 6 2 4 2 2" xfId="7020" xr:uid="{00000000-0005-0000-0000-00001B000000}"/>
    <cellStyle name="Normal 2 6 2 4 2 2 2" xfId="15180" xr:uid="{00000000-0005-0000-0000-00001B000000}"/>
    <cellStyle name="Normal 2 6 2 4 2 3" xfId="11100" xr:uid="{00000000-0005-0000-0000-00001B000000}"/>
    <cellStyle name="Normal 2 6 2 4 3" xfId="1919" xr:uid="{00000000-0005-0000-0000-00001B000000}"/>
    <cellStyle name="Normal 2 6 2 4 3 2" xfId="6000" xr:uid="{00000000-0005-0000-0000-00001B000000}"/>
    <cellStyle name="Normal 2 6 2 4 3 2 2" xfId="14160" xr:uid="{00000000-0005-0000-0000-00001B000000}"/>
    <cellStyle name="Normal 2 6 2 4 3 3" xfId="10080" xr:uid="{00000000-0005-0000-0000-00001B000000}"/>
    <cellStyle name="Normal 2 6 2 4 4" xfId="3959" xr:uid="{00000000-0005-0000-0000-00001B000000}"/>
    <cellStyle name="Normal 2 6 2 4 4 2" xfId="8040" xr:uid="{00000000-0005-0000-0000-00001B000000}"/>
    <cellStyle name="Normal 2 6 2 4 4 2 2" xfId="16200" xr:uid="{00000000-0005-0000-0000-00001B000000}"/>
    <cellStyle name="Normal 2 6 2 4 4 3" xfId="12120" xr:uid="{00000000-0005-0000-0000-00001B000000}"/>
    <cellStyle name="Normal 2 6 2 4 5" xfId="4979" xr:uid="{00000000-0005-0000-0000-00001B000000}"/>
    <cellStyle name="Normal 2 6 2 4 5 2" xfId="13140" xr:uid="{00000000-0005-0000-0000-00001B000000}"/>
    <cellStyle name="Normal 2 6 2 4 6" xfId="9060" xr:uid="{00000000-0005-0000-0000-00001B000000}"/>
    <cellStyle name="Normal 2 6 2 5" xfId="490" xr:uid="{00000000-0005-0000-0000-00001B000000}"/>
    <cellStyle name="Normal 2 6 2 5 2" xfId="2531" xr:uid="{00000000-0005-0000-0000-00001B000000}"/>
    <cellStyle name="Normal 2 6 2 5 2 2" xfId="6612" xr:uid="{00000000-0005-0000-0000-00001B000000}"/>
    <cellStyle name="Normal 2 6 2 5 2 2 2" xfId="14772" xr:uid="{00000000-0005-0000-0000-00001B000000}"/>
    <cellStyle name="Normal 2 6 2 5 2 3" xfId="10692" xr:uid="{00000000-0005-0000-0000-00001B000000}"/>
    <cellStyle name="Normal 2 6 2 5 3" xfId="1511" xr:uid="{00000000-0005-0000-0000-00001B000000}"/>
    <cellStyle name="Normal 2 6 2 5 3 2" xfId="5592" xr:uid="{00000000-0005-0000-0000-00001B000000}"/>
    <cellStyle name="Normal 2 6 2 5 3 2 2" xfId="13752" xr:uid="{00000000-0005-0000-0000-00001B000000}"/>
    <cellStyle name="Normal 2 6 2 5 3 3" xfId="9672" xr:uid="{00000000-0005-0000-0000-00001B000000}"/>
    <cellStyle name="Normal 2 6 2 5 4" xfId="3551" xr:uid="{00000000-0005-0000-0000-00001B000000}"/>
    <cellStyle name="Normal 2 6 2 5 4 2" xfId="7632" xr:uid="{00000000-0005-0000-0000-00001B000000}"/>
    <cellStyle name="Normal 2 6 2 5 4 2 2" xfId="15792" xr:uid="{00000000-0005-0000-0000-00001B000000}"/>
    <cellStyle name="Normal 2 6 2 5 4 3" xfId="11712" xr:uid="{00000000-0005-0000-0000-00001B000000}"/>
    <cellStyle name="Normal 2 6 2 5 5" xfId="4571" xr:uid="{00000000-0005-0000-0000-00001B000000}"/>
    <cellStyle name="Normal 2 6 2 5 5 2" xfId="12732" xr:uid="{00000000-0005-0000-0000-00001B000000}"/>
    <cellStyle name="Normal 2 6 2 5 6" xfId="8652" xr:uid="{00000000-0005-0000-0000-00001B000000}"/>
    <cellStyle name="Normal 2 6 2 6" xfId="2123" xr:uid="{00000000-0005-0000-0000-00001B000000}"/>
    <cellStyle name="Normal 2 6 2 6 2" xfId="6204" xr:uid="{00000000-0005-0000-0000-00001B000000}"/>
    <cellStyle name="Normal 2 6 2 6 2 2" xfId="14364" xr:uid="{00000000-0005-0000-0000-00001B000000}"/>
    <cellStyle name="Normal 2 6 2 6 3" xfId="10284" xr:uid="{00000000-0005-0000-0000-00001B000000}"/>
    <cellStyle name="Normal 2 6 2 7" xfId="1103" xr:uid="{00000000-0005-0000-0000-00001B000000}"/>
    <cellStyle name="Normal 2 6 2 7 2" xfId="5184" xr:uid="{00000000-0005-0000-0000-00001B000000}"/>
    <cellStyle name="Normal 2 6 2 7 2 2" xfId="13344" xr:uid="{00000000-0005-0000-0000-00001B000000}"/>
    <cellStyle name="Normal 2 6 2 7 3" xfId="9264" xr:uid="{00000000-0005-0000-0000-00001B000000}"/>
    <cellStyle name="Normal 2 6 2 8" xfId="3143" xr:uid="{00000000-0005-0000-0000-00001B000000}"/>
    <cellStyle name="Normal 2 6 2 8 2" xfId="7224" xr:uid="{00000000-0005-0000-0000-00001B000000}"/>
    <cellStyle name="Normal 2 6 2 8 2 2" xfId="15384" xr:uid="{00000000-0005-0000-0000-00001B000000}"/>
    <cellStyle name="Normal 2 6 2 8 3" xfId="11304" xr:uid="{00000000-0005-0000-0000-00001B000000}"/>
    <cellStyle name="Normal 2 6 2 9" xfId="4163" xr:uid="{00000000-0005-0000-0000-00001B000000}"/>
    <cellStyle name="Normal 2 6 2 9 2" xfId="12324" xr:uid="{00000000-0005-0000-0000-00001B000000}"/>
    <cellStyle name="Normal 2 6 3" xfId="133" xr:uid="{00000000-0005-0000-0000-00001B000000}"/>
    <cellStyle name="Normal 2 6 3 2" xfId="337" xr:uid="{00000000-0005-0000-0000-00001B000000}"/>
    <cellStyle name="Normal 2 6 3 2 2" xfId="745" xr:uid="{00000000-0005-0000-0000-00001B000000}"/>
    <cellStyle name="Normal 2 6 3 2 2 2" xfId="2786" xr:uid="{00000000-0005-0000-0000-00001B000000}"/>
    <cellStyle name="Normal 2 6 3 2 2 2 2" xfId="6867" xr:uid="{00000000-0005-0000-0000-00001B000000}"/>
    <cellStyle name="Normal 2 6 3 2 2 2 2 2" xfId="15027" xr:uid="{00000000-0005-0000-0000-00001B000000}"/>
    <cellStyle name="Normal 2 6 3 2 2 2 3" xfId="10947" xr:uid="{00000000-0005-0000-0000-00001B000000}"/>
    <cellStyle name="Normal 2 6 3 2 2 3" xfId="1766" xr:uid="{00000000-0005-0000-0000-00001B000000}"/>
    <cellStyle name="Normal 2 6 3 2 2 3 2" xfId="5847" xr:uid="{00000000-0005-0000-0000-00001B000000}"/>
    <cellStyle name="Normal 2 6 3 2 2 3 2 2" xfId="14007" xr:uid="{00000000-0005-0000-0000-00001B000000}"/>
    <cellStyle name="Normal 2 6 3 2 2 3 3" xfId="9927" xr:uid="{00000000-0005-0000-0000-00001B000000}"/>
    <cellStyle name="Normal 2 6 3 2 2 4" xfId="3806" xr:uid="{00000000-0005-0000-0000-00001B000000}"/>
    <cellStyle name="Normal 2 6 3 2 2 4 2" xfId="7887" xr:uid="{00000000-0005-0000-0000-00001B000000}"/>
    <cellStyle name="Normal 2 6 3 2 2 4 2 2" xfId="16047" xr:uid="{00000000-0005-0000-0000-00001B000000}"/>
    <cellStyle name="Normal 2 6 3 2 2 4 3" xfId="11967" xr:uid="{00000000-0005-0000-0000-00001B000000}"/>
    <cellStyle name="Normal 2 6 3 2 2 5" xfId="4826" xr:uid="{00000000-0005-0000-0000-00001B000000}"/>
    <cellStyle name="Normal 2 6 3 2 2 5 2" xfId="12987" xr:uid="{00000000-0005-0000-0000-00001B000000}"/>
    <cellStyle name="Normal 2 6 3 2 2 6" xfId="8907" xr:uid="{00000000-0005-0000-0000-00001B000000}"/>
    <cellStyle name="Normal 2 6 3 2 3" xfId="2378" xr:uid="{00000000-0005-0000-0000-00001B000000}"/>
    <cellStyle name="Normal 2 6 3 2 3 2" xfId="6459" xr:uid="{00000000-0005-0000-0000-00001B000000}"/>
    <cellStyle name="Normal 2 6 3 2 3 2 2" xfId="14619" xr:uid="{00000000-0005-0000-0000-00001B000000}"/>
    <cellStyle name="Normal 2 6 3 2 3 3" xfId="10539" xr:uid="{00000000-0005-0000-0000-00001B000000}"/>
    <cellStyle name="Normal 2 6 3 2 4" xfId="1358" xr:uid="{00000000-0005-0000-0000-00001B000000}"/>
    <cellStyle name="Normal 2 6 3 2 4 2" xfId="5439" xr:uid="{00000000-0005-0000-0000-00001B000000}"/>
    <cellStyle name="Normal 2 6 3 2 4 2 2" xfId="13599" xr:uid="{00000000-0005-0000-0000-00001B000000}"/>
    <cellStyle name="Normal 2 6 3 2 4 3" xfId="9519" xr:uid="{00000000-0005-0000-0000-00001B000000}"/>
    <cellStyle name="Normal 2 6 3 2 5" xfId="3398" xr:uid="{00000000-0005-0000-0000-00001B000000}"/>
    <cellStyle name="Normal 2 6 3 2 5 2" xfId="7479" xr:uid="{00000000-0005-0000-0000-00001B000000}"/>
    <cellStyle name="Normal 2 6 3 2 5 2 2" xfId="15639" xr:uid="{00000000-0005-0000-0000-00001B000000}"/>
    <cellStyle name="Normal 2 6 3 2 5 3" xfId="11559" xr:uid="{00000000-0005-0000-0000-00001B000000}"/>
    <cellStyle name="Normal 2 6 3 2 6" xfId="4418" xr:uid="{00000000-0005-0000-0000-00001B000000}"/>
    <cellStyle name="Normal 2 6 3 2 6 2" xfId="12579" xr:uid="{00000000-0005-0000-0000-00001B000000}"/>
    <cellStyle name="Normal 2 6 3 2 7" xfId="8499" xr:uid="{00000000-0005-0000-0000-00001B000000}"/>
    <cellStyle name="Normal 2 6 3 3" xfId="949" xr:uid="{00000000-0005-0000-0000-00001B000000}"/>
    <cellStyle name="Normal 2 6 3 3 2" xfId="2990" xr:uid="{00000000-0005-0000-0000-00001B000000}"/>
    <cellStyle name="Normal 2 6 3 3 2 2" xfId="7071" xr:uid="{00000000-0005-0000-0000-00001B000000}"/>
    <cellStyle name="Normal 2 6 3 3 2 2 2" xfId="15231" xr:uid="{00000000-0005-0000-0000-00001B000000}"/>
    <cellStyle name="Normal 2 6 3 3 2 3" xfId="11151" xr:uid="{00000000-0005-0000-0000-00001B000000}"/>
    <cellStyle name="Normal 2 6 3 3 3" xfId="1970" xr:uid="{00000000-0005-0000-0000-00001B000000}"/>
    <cellStyle name="Normal 2 6 3 3 3 2" xfId="6051" xr:uid="{00000000-0005-0000-0000-00001B000000}"/>
    <cellStyle name="Normal 2 6 3 3 3 2 2" xfId="14211" xr:uid="{00000000-0005-0000-0000-00001B000000}"/>
    <cellStyle name="Normal 2 6 3 3 3 3" xfId="10131" xr:uid="{00000000-0005-0000-0000-00001B000000}"/>
    <cellStyle name="Normal 2 6 3 3 4" xfId="4010" xr:uid="{00000000-0005-0000-0000-00001B000000}"/>
    <cellStyle name="Normal 2 6 3 3 4 2" xfId="8091" xr:uid="{00000000-0005-0000-0000-00001B000000}"/>
    <cellStyle name="Normal 2 6 3 3 4 2 2" xfId="16251" xr:uid="{00000000-0005-0000-0000-00001B000000}"/>
    <cellStyle name="Normal 2 6 3 3 4 3" xfId="12171" xr:uid="{00000000-0005-0000-0000-00001B000000}"/>
    <cellStyle name="Normal 2 6 3 3 5" xfId="5030" xr:uid="{00000000-0005-0000-0000-00001B000000}"/>
    <cellStyle name="Normal 2 6 3 3 5 2" xfId="13191" xr:uid="{00000000-0005-0000-0000-00001B000000}"/>
    <cellStyle name="Normal 2 6 3 3 6" xfId="9111" xr:uid="{00000000-0005-0000-0000-00001B000000}"/>
    <cellStyle name="Normal 2 6 3 4" xfId="541" xr:uid="{00000000-0005-0000-0000-00001B000000}"/>
    <cellStyle name="Normal 2 6 3 4 2" xfId="2582" xr:uid="{00000000-0005-0000-0000-00001B000000}"/>
    <cellStyle name="Normal 2 6 3 4 2 2" xfId="6663" xr:uid="{00000000-0005-0000-0000-00001B000000}"/>
    <cellStyle name="Normal 2 6 3 4 2 2 2" xfId="14823" xr:uid="{00000000-0005-0000-0000-00001B000000}"/>
    <cellStyle name="Normal 2 6 3 4 2 3" xfId="10743" xr:uid="{00000000-0005-0000-0000-00001B000000}"/>
    <cellStyle name="Normal 2 6 3 4 3" xfId="1562" xr:uid="{00000000-0005-0000-0000-00001B000000}"/>
    <cellStyle name="Normal 2 6 3 4 3 2" xfId="5643" xr:uid="{00000000-0005-0000-0000-00001B000000}"/>
    <cellStyle name="Normal 2 6 3 4 3 2 2" xfId="13803" xr:uid="{00000000-0005-0000-0000-00001B000000}"/>
    <cellStyle name="Normal 2 6 3 4 3 3" xfId="9723" xr:uid="{00000000-0005-0000-0000-00001B000000}"/>
    <cellStyle name="Normal 2 6 3 4 4" xfId="3602" xr:uid="{00000000-0005-0000-0000-00001B000000}"/>
    <cellStyle name="Normal 2 6 3 4 4 2" xfId="7683" xr:uid="{00000000-0005-0000-0000-00001B000000}"/>
    <cellStyle name="Normal 2 6 3 4 4 2 2" xfId="15843" xr:uid="{00000000-0005-0000-0000-00001B000000}"/>
    <cellStyle name="Normal 2 6 3 4 4 3" xfId="11763" xr:uid="{00000000-0005-0000-0000-00001B000000}"/>
    <cellStyle name="Normal 2 6 3 4 5" xfId="4622" xr:uid="{00000000-0005-0000-0000-00001B000000}"/>
    <cellStyle name="Normal 2 6 3 4 5 2" xfId="12783" xr:uid="{00000000-0005-0000-0000-00001B000000}"/>
    <cellStyle name="Normal 2 6 3 4 6" xfId="8703" xr:uid="{00000000-0005-0000-0000-00001B000000}"/>
    <cellStyle name="Normal 2 6 3 5" xfId="2174" xr:uid="{00000000-0005-0000-0000-00001B000000}"/>
    <cellStyle name="Normal 2 6 3 5 2" xfId="6255" xr:uid="{00000000-0005-0000-0000-00001B000000}"/>
    <cellStyle name="Normal 2 6 3 5 2 2" xfId="14415" xr:uid="{00000000-0005-0000-0000-00001B000000}"/>
    <cellStyle name="Normal 2 6 3 5 3" xfId="10335" xr:uid="{00000000-0005-0000-0000-00001B000000}"/>
    <cellStyle name="Normal 2 6 3 6" xfId="1154" xr:uid="{00000000-0005-0000-0000-00001B000000}"/>
    <cellStyle name="Normal 2 6 3 6 2" xfId="5235" xr:uid="{00000000-0005-0000-0000-00001B000000}"/>
    <cellStyle name="Normal 2 6 3 6 2 2" xfId="13395" xr:uid="{00000000-0005-0000-0000-00001B000000}"/>
    <cellStyle name="Normal 2 6 3 6 3" xfId="9315" xr:uid="{00000000-0005-0000-0000-00001B000000}"/>
    <cellStyle name="Normal 2 6 3 7" xfId="3194" xr:uid="{00000000-0005-0000-0000-00001B000000}"/>
    <cellStyle name="Normal 2 6 3 7 2" xfId="7275" xr:uid="{00000000-0005-0000-0000-00001B000000}"/>
    <cellStyle name="Normal 2 6 3 7 2 2" xfId="15435" xr:uid="{00000000-0005-0000-0000-00001B000000}"/>
    <cellStyle name="Normal 2 6 3 7 3" xfId="11355" xr:uid="{00000000-0005-0000-0000-00001B000000}"/>
    <cellStyle name="Normal 2 6 3 8" xfId="4214" xr:uid="{00000000-0005-0000-0000-00001B000000}"/>
    <cellStyle name="Normal 2 6 3 8 2" xfId="12375" xr:uid="{00000000-0005-0000-0000-00001B000000}"/>
    <cellStyle name="Normal 2 6 3 9" xfId="8295" xr:uid="{00000000-0005-0000-0000-00001B000000}"/>
    <cellStyle name="Normal 2 6 4" xfId="235" xr:uid="{00000000-0005-0000-0000-00001B000000}"/>
    <cellStyle name="Normal 2 6 4 2" xfId="643" xr:uid="{00000000-0005-0000-0000-00001B000000}"/>
    <cellStyle name="Normal 2 6 4 2 2" xfId="2684" xr:uid="{00000000-0005-0000-0000-00001B000000}"/>
    <cellStyle name="Normal 2 6 4 2 2 2" xfId="6765" xr:uid="{00000000-0005-0000-0000-00001B000000}"/>
    <cellStyle name="Normal 2 6 4 2 2 2 2" xfId="14925" xr:uid="{00000000-0005-0000-0000-00001B000000}"/>
    <cellStyle name="Normal 2 6 4 2 2 3" xfId="10845" xr:uid="{00000000-0005-0000-0000-00001B000000}"/>
    <cellStyle name="Normal 2 6 4 2 3" xfId="1664" xr:uid="{00000000-0005-0000-0000-00001B000000}"/>
    <cellStyle name="Normal 2 6 4 2 3 2" xfId="5745" xr:uid="{00000000-0005-0000-0000-00001B000000}"/>
    <cellStyle name="Normal 2 6 4 2 3 2 2" xfId="13905" xr:uid="{00000000-0005-0000-0000-00001B000000}"/>
    <cellStyle name="Normal 2 6 4 2 3 3" xfId="9825" xr:uid="{00000000-0005-0000-0000-00001B000000}"/>
    <cellStyle name="Normal 2 6 4 2 4" xfId="3704" xr:uid="{00000000-0005-0000-0000-00001B000000}"/>
    <cellStyle name="Normal 2 6 4 2 4 2" xfId="7785" xr:uid="{00000000-0005-0000-0000-00001B000000}"/>
    <cellStyle name="Normal 2 6 4 2 4 2 2" xfId="15945" xr:uid="{00000000-0005-0000-0000-00001B000000}"/>
    <cellStyle name="Normal 2 6 4 2 4 3" xfId="11865" xr:uid="{00000000-0005-0000-0000-00001B000000}"/>
    <cellStyle name="Normal 2 6 4 2 5" xfId="4724" xr:uid="{00000000-0005-0000-0000-00001B000000}"/>
    <cellStyle name="Normal 2 6 4 2 5 2" xfId="12885" xr:uid="{00000000-0005-0000-0000-00001B000000}"/>
    <cellStyle name="Normal 2 6 4 2 6" xfId="8805" xr:uid="{00000000-0005-0000-0000-00001B000000}"/>
    <cellStyle name="Normal 2 6 4 3" xfId="2276" xr:uid="{00000000-0005-0000-0000-00001B000000}"/>
    <cellStyle name="Normal 2 6 4 3 2" xfId="6357" xr:uid="{00000000-0005-0000-0000-00001B000000}"/>
    <cellStyle name="Normal 2 6 4 3 2 2" xfId="14517" xr:uid="{00000000-0005-0000-0000-00001B000000}"/>
    <cellStyle name="Normal 2 6 4 3 3" xfId="10437" xr:uid="{00000000-0005-0000-0000-00001B000000}"/>
    <cellStyle name="Normal 2 6 4 4" xfId="1256" xr:uid="{00000000-0005-0000-0000-00001B000000}"/>
    <cellStyle name="Normal 2 6 4 4 2" xfId="5337" xr:uid="{00000000-0005-0000-0000-00001B000000}"/>
    <cellStyle name="Normal 2 6 4 4 2 2" xfId="13497" xr:uid="{00000000-0005-0000-0000-00001B000000}"/>
    <cellStyle name="Normal 2 6 4 4 3" xfId="9417" xr:uid="{00000000-0005-0000-0000-00001B000000}"/>
    <cellStyle name="Normal 2 6 4 5" xfId="3296" xr:uid="{00000000-0005-0000-0000-00001B000000}"/>
    <cellStyle name="Normal 2 6 4 5 2" xfId="7377" xr:uid="{00000000-0005-0000-0000-00001B000000}"/>
    <cellStyle name="Normal 2 6 4 5 2 2" xfId="15537" xr:uid="{00000000-0005-0000-0000-00001B000000}"/>
    <cellStyle name="Normal 2 6 4 5 3" xfId="11457" xr:uid="{00000000-0005-0000-0000-00001B000000}"/>
    <cellStyle name="Normal 2 6 4 6" xfId="4316" xr:uid="{00000000-0005-0000-0000-00001B000000}"/>
    <cellStyle name="Normal 2 6 4 6 2" xfId="12477" xr:uid="{00000000-0005-0000-0000-00001B000000}"/>
    <cellStyle name="Normal 2 6 4 7" xfId="8397" xr:uid="{00000000-0005-0000-0000-00001B000000}"/>
    <cellStyle name="Normal 2 6 5" xfId="847" xr:uid="{00000000-0005-0000-0000-00001B000000}"/>
    <cellStyle name="Normal 2 6 5 2" xfId="2888" xr:uid="{00000000-0005-0000-0000-00001B000000}"/>
    <cellStyle name="Normal 2 6 5 2 2" xfId="6969" xr:uid="{00000000-0005-0000-0000-00001B000000}"/>
    <cellStyle name="Normal 2 6 5 2 2 2" xfId="15129" xr:uid="{00000000-0005-0000-0000-00001B000000}"/>
    <cellStyle name="Normal 2 6 5 2 3" xfId="11049" xr:uid="{00000000-0005-0000-0000-00001B000000}"/>
    <cellStyle name="Normal 2 6 5 3" xfId="1868" xr:uid="{00000000-0005-0000-0000-00001B000000}"/>
    <cellStyle name="Normal 2 6 5 3 2" xfId="5949" xr:uid="{00000000-0005-0000-0000-00001B000000}"/>
    <cellStyle name="Normal 2 6 5 3 2 2" xfId="14109" xr:uid="{00000000-0005-0000-0000-00001B000000}"/>
    <cellStyle name="Normal 2 6 5 3 3" xfId="10029" xr:uid="{00000000-0005-0000-0000-00001B000000}"/>
    <cellStyle name="Normal 2 6 5 4" xfId="3908" xr:uid="{00000000-0005-0000-0000-00001B000000}"/>
    <cellStyle name="Normal 2 6 5 4 2" xfId="7989" xr:uid="{00000000-0005-0000-0000-00001B000000}"/>
    <cellStyle name="Normal 2 6 5 4 2 2" xfId="16149" xr:uid="{00000000-0005-0000-0000-00001B000000}"/>
    <cellStyle name="Normal 2 6 5 4 3" xfId="12069" xr:uid="{00000000-0005-0000-0000-00001B000000}"/>
    <cellStyle name="Normal 2 6 5 5" xfId="4928" xr:uid="{00000000-0005-0000-0000-00001B000000}"/>
    <cellStyle name="Normal 2 6 5 5 2" xfId="13089" xr:uid="{00000000-0005-0000-0000-00001B000000}"/>
    <cellStyle name="Normal 2 6 5 6" xfId="9009" xr:uid="{00000000-0005-0000-0000-00001B000000}"/>
    <cellStyle name="Normal 2 6 6" xfId="439" xr:uid="{00000000-0005-0000-0000-00001B000000}"/>
    <cellStyle name="Normal 2 6 6 2" xfId="2480" xr:uid="{00000000-0005-0000-0000-00001B000000}"/>
    <cellStyle name="Normal 2 6 6 2 2" xfId="6561" xr:uid="{00000000-0005-0000-0000-00001B000000}"/>
    <cellStyle name="Normal 2 6 6 2 2 2" xfId="14721" xr:uid="{00000000-0005-0000-0000-00001B000000}"/>
    <cellStyle name="Normal 2 6 6 2 3" xfId="10641" xr:uid="{00000000-0005-0000-0000-00001B000000}"/>
    <cellStyle name="Normal 2 6 6 3" xfId="1460" xr:uid="{00000000-0005-0000-0000-00001B000000}"/>
    <cellStyle name="Normal 2 6 6 3 2" xfId="5541" xr:uid="{00000000-0005-0000-0000-00001B000000}"/>
    <cellStyle name="Normal 2 6 6 3 2 2" xfId="13701" xr:uid="{00000000-0005-0000-0000-00001B000000}"/>
    <cellStyle name="Normal 2 6 6 3 3" xfId="9621" xr:uid="{00000000-0005-0000-0000-00001B000000}"/>
    <cellStyle name="Normal 2 6 6 4" xfId="3500" xr:uid="{00000000-0005-0000-0000-00001B000000}"/>
    <cellStyle name="Normal 2 6 6 4 2" xfId="7581" xr:uid="{00000000-0005-0000-0000-00001B000000}"/>
    <cellStyle name="Normal 2 6 6 4 2 2" xfId="15741" xr:uid="{00000000-0005-0000-0000-00001B000000}"/>
    <cellStyle name="Normal 2 6 6 4 3" xfId="11661" xr:uid="{00000000-0005-0000-0000-00001B000000}"/>
    <cellStyle name="Normal 2 6 6 5" xfId="4520" xr:uid="{00000000-0005-0000-0000-00001B000000}"/>
    <cellStyle name="Normal 2 6 6 5 2" xfId="12681" xr:uid="{00000000-0005-0000-0000-00001B000000}"/>
    <cellStyle name="Normal 2 6 6 6" xfId="8601" xr:uid="{00000000-0005-0000-0000-00001B000000}"/>
    <cellStyle name="Normal 2 6 7" xfId="2072" xr:uid="{00000000-0005-0000-0000-00001B000000}"/>
    <cellStyle name="Normal 2 6 7 2" xfId="6153" xr:uid="{00000000-0005-0000-0000-00001B000000}"/>
    <cellStyle name="Normal 2 6 7 2 2" xfId="14313" xr:uid="{00000000-0005-0000-0000-00001B000000}"/>
    <cellStyle name="Normal 2 6 7 3" xfId="10233" xr:uid="{00000000-0005-0000-0000-00001B000000}"/>
    <cellStyle name="Normal 2 6 8" xfId="1052" xr:uid="{00000000-0005-0000-0000-00001B000000}"/>
    <cellStyle name="Normal 2 6 8 2" xfId="5133" xr:uid="{00000000-0005-0000-0000-00001B000000}"/>
    <cellStyle name="Normal 2 6 8 2 2" xfId="13293" xr:uid="{00000000-0005-0000-0000-00001B000000}"/>
    <cellStyle name="Normal 2 6 8 3" xfId="9213" xr:uid="{00000000-0005-0000-0000-00001B000000}"/>
    <cellStyle name="Normal 2 6 9" xfId="3092" xr:uid="{00000000-0005-0000-0000-00001B000000}"/>
    <cellStyle name="Normal 2 6 9 2" xfId="7173" xr:uid="{00000000-0005-0000-0000-00001B000000}"/>
    <cellStyle name="Normal 2 6 9 2 2" xfId="15333" xr:uid="{00000000-0005-0000-0000-00001B000000}"/>
    <cellStyle name="Normal 2 6 9 3" xfId="11253" xr:uid="{00000000-0005-0000-0000-00001B000000}"/>
    <cellStyle name="Normal 2 7" xfId="57" xr:uid="{00000000-0005-0000-0000-000002000000}"/>
    <cellStyle name="Normal 2 7 10" xfId="8219" xr:uid="{00000000-0005-0000-0000-000002000000}"/>
    <cellStyle name="Normal 2 7 2" xfId="159" xr:uid="{00000000-0005-0000-0000-000002000000}"/>
    <cellStyle name="Normal 2 7 2 2" xfId="363" xr:uid="{00000000-0005-0000-0000-000002000000}"/>
    <cellStyle name="Normal 2 7 2 2 2" xfId="771" xr:uid="{00000000-0005-0000-0000-000002000000}"/>
    <cellStyle name="Normal 2 7 2 2 2 2" xfId="2812" xr:uid="{00000000-0005-0000-0000-000002000000}"/>
    <cellStyle name="Normal 2 7 2 2 2 2 2" xfId="6893" xr:uid="{00000000-0005-0000-0000-000002000000}"/>
    <cellStyle name="Normal 2 7 2 2 2 2 2 2" xfId="15053" xr:uid="{00000000-0005-0000-0000-000002000000}"/>
    <cellStyle name="Normal 2 7 2 2 2 2 3" xfId="10973" xr:uid="{00000000-0005-0000-0000-000002000000}"/>
    <cellStyle name="Normal 2 7 2 2 2 3" xfId="1792" xr:uid="{00000000-0005-0000-0000-000002000000}"/>
    <cellStyle name="Normal 2 7 2 2 2 3 2" xfId="5873" xr:uid="{00000000-0005-0000-0000-000002000000}"/>
    <cellStyle name="Normal 2 7 2 2 2 3 2 2" xfId="14033" xr:uid="{00000000-0005-0000-0000-000002000000}"/>
    <cellStyle name="Normal 2 7 2 2 2 3 3" xfId="9953" xr:uid="{00000000-0005-0000-0000-000002000000}"/>
    <cellStyle name="Normal 2 7 2 2 2 4" xfId="3832" xr:uid="{00000000-0005-0000-0000-000002000000}"/>
    <cellStyle name="Normal 2 7 2 2 2 4 2" xfId="7913" xr:uid="{00000000-0005-0000-0000-000002000000}"/>
    <cellStyle name="Normal 2 7 2 2 2 4 2 2" xfId="16073" xr:uid="{00000000-0005-0000-0000-000002000000}"/>
    <cellStyle name="Normal 2 7 2 2 2 4 3" xfId="11993" xr:uid="{00000000-0005-0000-0000-000002000000}"/>
    <cellStyle name="Normal 2 7 2 2 2 5" xfId="4852" xr:uid="{00000000-0005-0000-0000-000002000000}"/>
    <cellStyle name="Normal 2 7 2 2 2 5 2" xfId="13013" xr:uid="{00000000-0005-0000-0000-000002000000}"/>
    <cellStyle name="Normal 2 7 2 2 2 6" xfId="8933" xr:uid="{00000000-0005-0000-0000-000002000000}"/>
    <cellStyle name="Normal 2 7 2 2 3" xfId="2404" xr:uid="{00000000-0005-0000-0000-000002000000}"/>
    <cellStyle name="Normal 2 7 2 2 3 2" xfId="6485" xr:uid="{00000000-0005-0000-0000-000002000000}"/>
    <cellStyle name="Normal 2 7 2 2 3 2 2" xfId="14645" xr:uid="{00000000-0005-0000-0000-000002000000}"/>
    <cellStyle name="Normal 2 7 2 2 3 3" xfId="10565" xr:uid="{00000000-0005-0000-0000-000002000000}"/>
    <cellStyle name="Normal 2 7 2 2 4" xfId="1384" xr:uid="{00000000-0005-0000-0000-000002000000}"/>
    <cellStyle name="Normal 2 7 2 2 4 2" xfId="5465" xr:uid="{00000000-0005-0000-0000-000002000000}"/>
    <cellStyle name="Normal 2 7 2 2 4 2 2" xfId="13625" xr:uid="{00000000-0005-0000-0000-000002000000}"/>
    <cellStyle name="Normal 2 7 2 2 4 3" xfId="9545" xr:uid="{00000000-0005-0000-0000-000002000000}"/>
    <cellStyle name="Normal 2 7 2 2 5" xfId="3424" xr:uid="{00000000-0005-0000-0000-000002000000}"/>
    <cellStyle name="Normal 2 7 2 2 5 2" xfId="7505" xr:uid="{00000000-0005-0000-0000-000002000000}"/>
    <cellStyle name="Normal 2 7 2 2 5 2 2" xfId="15665" xr:uid="{00000000-0005-0000-0000-000002000000}"/>
    <cellStyle name="Normal 2 7 2 2 5 3" xfId="11585" xr:uid="{00000000-0005-0000-0000-000002000000}"/>
    <cellStyle name="Normal 2 7 2 2 6" xfId="4444" xr:uid="{00000000-0005-0000-0000-000002000000}"/>
    <cellStyle name="Normal 2 7 2 2 6 2" xfId="12605" xr:uid="{00000000-0005-0000-0000-000002000000}"/>
    <cellStyle name="Normal 2 7 2 2 7" xfId="8525" xr:uid="{00000000-0005-0000-0000-000002000000}"/>
    <cellStyle name="Normal 2 7 2 3" xfId="975" xr:uid="{00000000-0005-0000-0000-000002000000}"/>
    <cellStyle name="Normal 2 7 2 3 2" xfId="3016" xr:uid="{00000000-0005-0000-0000-000002000000}"/>
    <cellStyle name="Normal 2 7 2 3 2 2" xfId="7097" xr:uid="{00000000-0005-0000-0000-000002000000}"/>
    <cellStyle name="Normal 2 7 2 3 2 2 2" xfId="15257" xr:uid="{00000000-0005-0000-0000-000002000000}"/>
    <cellStyle name="Normal 2 7 2 3 2 3" xfId="11177" xr:uid="{00000000-0005-0000-0000-000002000000}"/>
    <cellStyle name="Normal 2 7 2 3 3" xfId="1996" xr:uid="{00000000-0005-0000-0000-000002000000}"/>
    <cellStyle name="Normal 2 7 2 3 3 2" xfId="6077" xr:uid="{00000000-0005-0000-0000-000002000000}"/>
    <cellStyle name="Normal 2 7 2 3 3 2 2" xfId="14237" xr:uid="{00000000-0005-0000-0000-000002000000}"/>
    <cellStyle name="Normal 2 7 2 3 3 3" xfId="10157" xr:uid="{00000000-0005-0000-0000-000002000000}"/>
    <cellStyle name="Normal 2 7 2 3 4" xfId="4036" xr:uid="{00000000-0005-0000-0000-000002000000}"/>
    <cellStyle name="Normal 2 7 2 3 4 2" xfId="8117" xr:uid="{00000000-0005-0000-0000-000002000000}"/>
    <cellStyle name="Normal 2 7 2 3 4 2 2" xfId="16277" xr:uid="{00000000-0005-0000-0000-000002000000}"/>
    <cellStyle name="Normal 2 7 2 3 4 3" xfId="12197" xr:uid="{00000000-0005-0000-0000-000002000000}"/>
    <cellStyle name="Normal 2 7 2 3 5" xfId="5056" xr:uid="{00000000-0005-0000-0000-000002000000}"/>
    <cellStyle name="Normal 2 7 2 3 5 2" xfId="13217" xr:uid="{00000000-0005-0000-0000-000002000000}"/>
    <cellStyle name="Normal 2 7 2 3 6" xfId="9137" xr:uid="{00000000-0005-0000-0000-000002000000}"/>
    <cellStyle name="Normal 2 7 2 4" xfId="567" xr:uid="{00000000-0005-0000-0000-000002000000}"/>
    <cellStyle name="Normal 2 7 2 4 2" xfId="2608" xr:uid="{00000000-0005-0000-0000-000002000000}"/>
    <cellStyle name="Normal 2 7 2 4 2 2" xfId="6689" xr:uid="{00000000-0005-0000-0000-000002000000}"/>
    <cellStyle name="Normal 2 7 2 4 2 2 2" xfId="14849" xr:uid="{00000000-0005-0000-0000-000002000000}"/>
    <cellStyle name="Normal 2 7 2 4 2 3" xfId="10769" xr:uid="{00000000-0005-0000-0000-000002000000}"/>
    <cellStyle name="Normal 2 7 2 4 3" xfId="1588" xr:uid="{00000000-0005-0000-0000-000002000000}"/>
    <cellStyle name="Normal 2 7 2 4 3 2" xfId="5669" xr:uid="{00000000-0005-0000-0000-000002000000}"/>
    <cellStyle name="Normal 2 7 2 4 3 2 2" xfId="13829" xr:uid="{00000000-0005-0000-0000-000002000000}"/>
    <cellStyle name="Normal 2 7 2 4 3 3" xfId="9749" xr:uid="{00000000-0005-0000-0000-000002000000}"/>
    <cellStyle name="Normal 2 7 2 4 4" xfId="3628" xr:uid="{00000000-0005-0000-0000-000002000000}"/>
    <cellStyle name="Normal 2 7 2 4 4 2" xfId="7709" xr:uid="{00000000-0005-0000-0000-000002000000}"/>
    <cellStyle name="Normal 2 7 2 4 4 2 2" xfId="15869" xr:uid="{00000000-0005-0000-0000-000002000000}"/>
    <cellStyle name="Normal 2 7 2 4 4 3" xfId="11789" xr:uid="{00000000-0005-0000-0000-000002000000}"/>
    <cellStyle name="Normal 2 7 2 4 5" xfId="4648" xr:uid="{00000000-0005-0000-0000-000002000000}"/>
    <cellStyle name="Normal 2 7 2 4 5 2" xfId="12809" xr:uid="{00000000-0005-0000-0000-000002000000}"/>
    <cellStyle name="Normal 2 7 2 4 6" xfId="8729" xr:uid="{00000000-0005-0000-0000-000002000000}"/>
    <cellStyle name="Normal 2 7 2 5" xfId="2200" xr:uid="{00000000-0005-0000-0000-000002000000}"/>
    <cellStyle name="Normal 2 7 2 5 2" xfId="6281" xr:uid="{00000000-0005-0000-0000-000002000000}"/>
    <cellStyle name="Normal 2 7 2 5 2 2" xfId="14441" xr:uid="{00000000-0005-0000-0000-000002000000}"/>
    <cellStyle name="Normal 2 7 2 5 3" xfId="10361" xr:uid="{00000000-0005-0000-0000-000002000000}"/>
    <cellStyle name="Normal 2 7 2 6" xfId="1180" xr:uid="{00000000-0005-0000-0000-000002000000}"/>
    <cellStyle name="Normal 2 7 2 6 2" xfId="5261" xr:uid="{00000000-0005-0000-0000-000002000000}"/>
    <cellStyle name="Normal 2 7 2 6 2 2" xfId="13421" xr:uid="{00000000-0005-0000-0000-000002000000}"/>
    <cellStyle name="Normal 2 7 2 6 3" xfId="9341" xr:uid="{00000000-0005-0000-0000-000002000000}"/>
    <cellStyle name="Normal 2 7 2 7" xfId="3220" xr:uid="{00000000-0005-0000-0000-000002000000}"/>
    <cellStyle name="Normal 2 7 2 7 2" xfId="7301" xr:uid="{00000000-0005-0000-0000-000002000000}"/>
    <cellStyle name="Normal 2 7 2 7 2 2" xfId="15461" xr:uid="{00000000-0005-0000-0000-000002000000}"/>
    <cellStyle name="Normal 2 7 2 7 3" xfId="11381" xr:uid="{00000000-0005-0000-0000-000002000000}"/>
    <cellStyle name="Normal 2 7 2 8" xfId="4240" xr:uid="{00000000-0005-0000-0000-000002000000}"/>
    <cellStyle name="Normal 2 7 2 8 2" xfId="12401" xr:uid="{00000000-0005-0000-0000-000002000000}"/>
    <cellStyle name="Normal 2 7 2 9" xfId="8321" xr:uid="{00000000-0005-0000-0000-000002000000}"/>
    <cellStyle name="Normal 2 7 3" xfId="261" xr:uid="{00000000-0005-0000-0000-000002000000}"/>
    <cellStyle name="Normal 2 7 3 2" xfId="669" xr:uid="{00000000-0005-0000-0000-000002000000}"/>
    <cellStyle name="Normal 2 7 3 2 2" xfId="2710" xr:uid="{00000000-0005-0000-0000-000002000000}"/>
    <cellStyle name="Normal 2 7 3 2 2 2" xfId="6791" xr:uid="{00000000-0005-0000-0000-000002000000}"/>
    <cellStyle name="Normal 2 7 3 2 2 2 2" xfId="14951" xr:uid="{00000000-0005-0000-0000-000002000000}"/>
    <cellStyle name="Normal 2 7 3 2 2 3" xfId="10871" xr:uid="{00000000-0005-0000-0000-000002000000}"/>
    <cellStyle name="Normal 2 7 3 2 3" xfId="1690" xr:uid="{00000000-0005-0000-0000-000002000000}"/>
    <cellStyle name="Normal 2 7 3 2 3 2" xfId="5771" xr:uid="{00000000-0005-0000-0000-000002000000}"/>
    <cellStyle name="Normal 2 7 3 2 3 2 2" xfId="13931" xr:uid="{00000000-0005-0000-0000-000002000000}"/>
    <cellStyle name="Normal 2 7 3 2 3 3" xfId="9851" xr:uid="{00000000-0005-0000-0000-000002000000}"/>
    <cellStyle name="Normal 2 7 3 2 4" xfId="3730" xr:uid="{00000000-0005-0000-0000-000002000000}"/>
    <cellStyle name="Normal 2 7 3 2 4 2" xfId="7811" xr:uid="{00000000-0005-0000-0000-000002000000}"/>
    <cellStyle name="Normal 2 7 3 2 4 2 2" xfId="15971" xr:uid="{00000000-0005-0000-0000-000002000000}"/>
    <cellStyle name="Normal 2 7 3 2 4 3" xfId="11891" xr:uid="{00000000-0005-0000-0000-000002000000}"/>
    <cellStyle name="Normal 2 7 3 2 5" xfId="4750" xr:uid="{00000000-0005-0000-0000-000002000000}"/>
    <cellStyle name="Normal 2 7 3 2 5 2" xfId="12911" xr:uid="{00000000-0005-0000-0000-000002000000}"/>
    <cellStyle name="Normal 2 7 3 2 6" xfId="8831" xr:uid="{00000000-0005-0000-0000-000002000000}"/>
    <cellStyle name="Normal 2 7 3 3" xfId="2302" xr:uid="{00000000-0005-0000-0000-000002000000}"/>
    <cellStyle name="Normal 2 7 3 3 2" xfId="6383" xr:uid="{00000000-0005-0000-0000-000002000000}"/>
    <cellStyle name="Normal 2 7 3 3 2 2" xfId="14543" xr:uid="{00000000-0005-0000-0000-000002000000}"/>
    <cellStyle name="Normal 2 7 3 3 3" xfId="10463" xr:uid="{00000000-0005-0000-0000-000002000000}"/>
    <cellStyle name="Normal 2 7 3 4" xfId="1282" xr:uid="{00000000-0005-0000-0000-000002000000}"/>
    <cellStyle name="Normal 2 7 3 4 2" xfId="5363" xr:uid="{00000000-0005-0000-0000-000002000000}"/>
    <cellStyle name="Normal 2 7 3 4 2 2" xfId="13523" xr:uid="{00000000-0005-0000-0000-000002000000}"/>
    <cellStyle name="Normal 2 7 3 4 3" xfId="9443" xr:uid="{00000000-0005-0000-0000-000002000000}"/>
    <cellStyle name="Normal 2 7 3 5" xfId="3322" xr:uid="{00000000-0005-0000-0000-000002000000}"/>
    <cellStyle name="Normal 2 7 3 5 2" xfId="7403" xr:uid="{00000000-0005-0000-0000-000002000000}"/>
    <cellStyle name="Normal 2 7 3 5 2 2" xfId="15563" xr:uid="{00000000-0005-0000-0000-000002000000}"/>
    <cellStyle name="Normal 2 7 3 5 3" xfId="11483" xr:uid="{00000000-0005-0000-0000-000002000000}"/>
    <cellStyle name="Normal 2 7 3 6" xfId="4342" xr:uid="{00000000-0005-0000-0000-000002000000}"/>
    <cellStyle name="Normal 2 7 3 6 2" xfId="12503" xr:uid="{00000000-0005-0000-0000-000002000000}"/>
    <cellStyle name="Normal 2 7 3 7" xfId="8423" xr:uid="{00000000-0005-0000-0000-000002000000}"/>
    <cellStyle name="Normal 2 7 4" xfId="873" xr:uid="{00000000-0005-0000-0000-000002000000}"/>
    <cellStyle name="Normal 2 7 4 2" xfId="2914" xr:uid="{00000000-0005-0000-0000-000002000000}"/>
    <cellStyle name="Normal 2 7 4 2 2" xfId="6995" xr:uid="{00000000-0005-0000-0000-000002000000}"/>
    <cellStyle name="Normal 2 7 4 2 2 2" xfId="15155" xr:uid="{00000000-0005-0000-0000-000002000000}"/>
    <cellStyle name="Normal 2 7 4 2 3" xfId="11075" xr:uid="{00000000-0005-0000-0000-000002000000}"/>
    <cellStyle name="Normal 2 7 4 3" xfId="1894" xr:uid="{00000000-0005-0000-0000-000002000000}"/>
    <cellStyle name="Normal 2 7 4 3 2" xfId="5975" xr:uid="{00000000-0005-0000-0000-000002000000}"/>
    <cellStyle name="Normal 2 7 4 3 2 2" xfId="14135" xr:uid="{00000000-0005-0000-0000-000002000000}"/>
    <cellStyle name="Normal 2 7 4 3 3" xfId="10055" xr:uid="{00000000-0005-0000-0000-000002000000}"/>
    <cellStyle name="Normal 2 7 4 4" xfId="3934" xr:uid="{00000000-0005-0000-0000-000002000000}"/>
    <cellStyle name="Normal 2 7 4 4 2" xfId="8015" xr:uid="{00000000-0005-0000-0000-000002000000}"/>
    <cellStyle name="Normal 2 7 4 4 2 2" xfId="16175" xr:uid="{00000000-0005-0000-0000-000002000000}"/>
    <cellStyle name="Normal 2 7 4 4 3" xfId="12095" xr:uid="{00000000-0005-0000-0000-000002000000}"/>
    <cellStyle name="Normal 2 7 4 5" xfId="4954" xr:uid="{00000000-0005-0000-0000-000002000000}"/>
    <cellStyle name="Normal 2 7 4 5 2" xfId="13115" xr:uid="{00000000-0005-0000-0000-000002000000}"/>
    <cellStyle name="Normal 2 7 4 6" xfId="9035" xr:uid="{00000000-0005-0000-0000-000002000000}"/>
    <cellStyle name="Normal 2 7 5" xfId="465" xr:uid="{00000000-0005-0000-0000-000002000000}"/>
    <cellStyle name="Normal 2 7 5 2" xfId="2506" xr:uid="{00000000-0005-0000-0000-000002000000}"/>
    <cellStyle name="Normal 2 7 5 2 2" xfId="6587" xr:uid="{00000000-0005-0000-0000-000002000000}"/>
    <cellStyle name="Normal 2 7 5 2 2 2" xfId="14747" xr:uid="{00000000-0005-0000-0000-000002000000}"/>
    <cellStyle name="Normal 2 7 5 2 3" xfId="10667" xr:uid="{00000000-0005-0000-0000-000002000000}"/>
    <cellStyle name="Normal 2 7 5 3" xfId="1486" xr:uid="{00000000-0005-0000-0000-000002000000}"/>
    <cellStyle name="Normal 2 7 5 3 2" xfId="5567" xr:uid="{00000000-0005-0000-0000-000002000000}"/>
    <cellStyle name="Normal 2 7 5 3 2 2" xfId="13727" xr:uid="{00000000-0005-0000-0000-000002000000}"/>
    <cellStyle name="Normal 2 7 5 3 3" xfId="9647" xr:uid="{00000000-0005-0000-0000-000002000000}"/>
    <cellStyle name="Normal 2 7 5 4" xfId="3526" xr:uid="{00000000-0005-0000-0000-000002000000}"/>
    <cellStyle name="Normal 2 7 5 4 2" xfId="7607" xr:uid="{00000000-0005-0000-0000-000002000000}"/>
    <cellStyle name="Normal 2 7 5 4 2 2" xfId="15767" xr:uid="{00000000-0005-0000-0000-000002000000}"/>
    <cellStyle name="Normal 2 7 5 4 3" xfId="11687" xr:uid="{00000000-0005-0000-0000-000002000000}"/>
    <cellStyle name="Normal 2 7 5 5" xfId="4546" xr:uid="{00000000-0005-0000-0000-000002000000}"/>
    <cellStyle name="Normal 2 7 5 5 2" xfId="12707" xr:uid="{00000000-0005-0000-0000-000002000000}"/>
    <cellStyle name="Normal 2 7 5 6" xfId="8627" xr:uid="{00000000-0005-0000-0000-000002000000}"/>
    <cellStyle name="Normal 2 7 6" xfId="2098" xr:uid="{00000000-0005-0000-0000-000002000000}"/>
    <cellStyle name="Normal 2 7 6 2" xfId="6179" xr:uid="{00000000-0005-0000-0000-000002000000}"/>
    <cellStyle name="Normal 2 7 6 2 2" xfId="14339" xr:uid="{00000000-0005-0000-0000-000002000000}"/>
    <cellStyle name="Normal 2 7 6 3" xfId="10259" xr:uid="{00000000-0005-0000-0000-000002000000}"/>
    <cellStyle name="Normal 2 7 7" xfId="1078" xr:uid="{00000000-0005-0000-0000-000002000000}"/>
    <cellStyle name="Normal 2 7 7 2" xfId="5159" xr:uid="{00000000-0005-0000-0000-000002000000}"/>
    <cellStyle name="Normal 2 7 7 2 2" xfId="13319" xr:uid="{00000000-0005-0000-0000-000002000000}"/>
    <cellStyle name="Normal 2 7 7 3" xfId="9239" xr:uid="{00000000-0005-0000-0000-000002000000}"/>
    <cellStyle name="Normal 2 7 8" xfId="3118" xr:uid="{00000000-0005-0000-0000-000002000000}"/>
    <cellStyle name="Normal 2 7 8 2" xfId="7199" xr:uid="{00000000-0005-0000-0000-000002000000}"/>
    <cellStyle name="Normal 2 7 8 2 2" xfId="15359" xr:uid="{00000000-0005-0000-0000-000002000000}"/>
    <cellStyle name="Normal 2 7 8 3" xfId="11279" xr:uid="{00000000-0005-0000-0000-000002000000}"/>
    <cellStyle name="Normal 2 7 9" xfId="4138" xr:uid="{00000000-0005-0000-0000-000002000000}"/>
    <cellStyle name="Normal 2 7 9 2" xfId="12299" xr:uid="{00000000-0005-0000-0000-000002000000}"/>
    <cellStyle name="Normal 2 8" xfId="108" xr:uid="{00000000-0005-0000-0000-000002000000}"/>
    <cellStyle name="Normal 2 8 2" xfId="312" xr:uid="{00000000-0005-0000-0000-000002000000}"/>
    <cellStyle name="Normal 2 8 2 2" xfId="720" xr:uid="{00000000-0005-0000-0000-000002000000}"/>
    <cellStyle name="Normal 2 8 2 2 2" xfId="2761" xr:uid="{00000000-0005-0000-0000-000002000000}"/>
    <cellStyle name="Normal 2 8 2 2 2 2" xfId="6842" xr:uid="{00000000-0005-0000-0000-000002000000}"/>
    <cellStyle name="Normal 2 8 2 2 2 2 2" xfId="15002" xr:uid="{00000000-0005-0000-0000-000002000000}"/>
    <cellStyle name="Normal 2 8 2 2 2 3" xfId="10922" xr:uid="{00000000-0005-0000-0000-000002000000}"/>
    <cellStyle name="Normal 2 8 2 2 3" xfId="1741" xr:uid="{00000000-0005-0000-0000-000002000000}"/>
    <cellStyle name="Normal 2 8 2 2 3 2" xfId="5822" xr:uid="{00000000-0005-0000-0000-000002000000}"/>
    <cellStyle name="Normal 2 8 2 2 3 2 2" xfId="13982" xr:uid="{00000000-0005-0000-0000-000002000000}"/>
    <cellStyle name="Normal 2 8 2 2 3 3" xfId="9902" xr:uid="{00000000-0005-0000-0000-000002000000}"/>
    <cellStyle name="Normal 2 8 2 2 4" xfId="3781" xr:uid="{00000000-0005-0000-0000-000002000000}"/>
    <cellStyle name="Normal 2 8 2 2 4 2" xfId="7862" xr:uid="{00000000-0005-0000-0000-000002000000}"/>
    <cellStyle name="Normal 2 8 2 2 4 2 2" xfId="16022" xr:uid="{00000000-0005-0000-0000-000002000000}"/>
    <cellStyle name="Normal 2 8 2 2 4 3" xfId="11942" xr:uid="{00000000-0005-0000-0000-000002000000}"/>
    <cellStyle name="Normal 2 8 2 2 5" xfId="4801" xr:uid="{00000000-0005-0000-0000-000002000000}"/>
    <cellStyle name="Normal 2 8 2 2 5 2" xfId="12962" xr:uid="{00000000-0005-0000-0000-000002000000}"/>
    <cellStyle name="Normal 2 8 2 2 6" xfId="8882" xr:uid="{00000000-0005-0000-0000-000002000000}"/>
    <cellStyle name="Normal 2 8 2 3" xfId="2353" xr:uid="{00000000-0005-0000-0000-000002000000}"/>
    <cellStyle name="Normal 2 8 2 3 2" xfId="6434" xr:uid="{00000000-0005-0000-0000-000002000000}"/>
    <cellStyle name="Normal 2 8 2 3 2 2" xfId="14594" xr:uid="{00000000-0005-0000-0000-000002000000}"/>
    <cellStyle name="Normal 2 8 2 3 3" xfId="10514" xr:uid="{00000000-0005-0000-0000-000002000000}"/>
    <cellStyle name="Normal 2 8 2 4" xfId="1333" xr:uid="{00000000-0005-0000-0000-000002000000}"/>
    <cellStyle name="Normal 2 8 2 4 2" xfId="5414" xr:uid="{00000000-0005-0000-0000-000002000000}"/>
    <cellStyle name="Normal 2 8 2 4 2 2" xfId="13574" xr:uid="{00000000-0005-0000-0000-000002000000}"/>
    <cellStyle name="Normal 2 8 2 4 3" xfId="9494" xr:uid="{00000000-0005-0000-0000-000002000000}"/>
    <cellStyle name="Normal 2 8 2 5" xfId="3373" xr:uid="{00000000-0005-0000-0000-000002000000}"/>
    <cellStyle name="Normal 2 8 2 5 2" xfId="7454" xr:uid="{00000000-0005-0000-0000-000002000000}"/>
    <cellStyle name="Normal 2 8 2 5 2 2" xfId="15614" xr:uid="{00000000-0005-0000-0000-000002000000}"/>
    <cellStyle name="Normal 2 8 2 5 3" xfId="11534" xr:uid="{00000000-0005-0000-0000-000002000000}"/>
    <cellStyle name="Normal 2 8 2 6" xfId="4393" xr:uid="{00000000-0005-0000-0000-000002000000}"/>
    <cellStyle name="Normal 2 8 2 6 2" xfId="12554" xr:uid="{00000000-0005-0000-0000-000002000000}"/>
    <cellStyle name="Normal 2 8 2 7" xfId="8474" xr:uid="{00000000-0005-0000-0000-000002000000}"/>
    <cellStyle name="Normal 2 8 3" xfId="924" xr:uid="{00000000-0005-0000-0000-000002000000}"/>
    <cellStyle name="Normal 2 8 3 2" xfId="2965" xr:uid="{00000000-0005-0000-0000-000002000000}"/>
    <cellStyle name="Normal 2 8 3 2 2" xfId="7046" xr:uid="{00000000-0005-0000-0000-000002000000}"/>
    <cellStyle name="Normal 2 8 3 2 2 2" xfId="15206" xr:uid="{00000000-0005-0000-0000-000002000000}"/>
    <cellStyle name="Normal 2 8 3 2 3" xfId="11126" xr:uid="{00000000-0005-0000-0000-000002000000}"/>
    <cellStyle name="Normal 2 8 3 3" xfId="1945" xr:uid="{00000000-0005-0000-0000-000002000000}"/>
    <cellStyle name="Normal 2 8 3 3 2" xfId="6026" xr:uid="{00000000-0005-0000-0000-000002000000}"/>
    <cellStyle name="Normal 2 8 3 3 2 2" xfId="14186" xr:uid="{00000000-0005-0000-0000-000002000000}"/>
    <cellStyle name="Normal 2 8 3 3 3" xfId="10106" xr:uid="{00000000-0005-0000-0000-000002000000}"/>
    <cellStyle name="Normal 2 8 3 4" xfId="3985" xr:uid="{00000000-0005-0000-0000-000002000000}"/>
    <cellStyle name="Normal 2 8 3 4 2" xfId="8066" xr:uid="{00000000-0005-0000-0000-000002000000}"/>
    <cellStyle name="Normal 2 8 3 4 2 2" xfId="16226" xr:uid="{00000000-0005-0000-0000-000002000000}"/>
    <cellStyle name="Normal 2 8 3 4 3" xfId="12146" xr:uid="{00000000-0005-0000-0000-000002000000}"/>
    <cellStyle name="Normal 2 8 3 5" xfId="5005" xr:uid="{00000000-0005-0000-0000-000002000000}"/>
    <cellStyle name="Normal 2 8 3 5 2" xfId="13166" xr:uid="{00000000-0005-0000-0000-000002000000}"/>
    <cellStyle name="Normal 2 8 3 6" xfId="9086" xr:uid="{00000000-0005-0000-0000-000002000000}"/>
    <cellStyle name="Normal 2 8 4" xfId="516" xr:uid="{00000000-0005-0000-0000-000002000000}"/>
    <cellStyle name="Normal 2 8 4 2" xfId="2557" xr:uid="{00000000-0005-0000-0000-000002000000}"/>
    <cellStyle name="Normal 2 8 4 2 2" xfId="6638" xr:uid="{00000000-0005-0000-0000-000002000000}"/>
    <cellStyle name="Normal 2 8 4 2 2 2" xfId="14798" xr:uid="{00000000-0005-0000-0000-000002000000}"/>
    <cellStyle name="Normal 2 8 4 2 3" xfId="10718" xr:uid="{00000000-0005-0000-0000-000002000000}"/>
    <cellStyle name="Normal 2 8 4 3" xfId="1537" xr:uid="{00000000-0005-0000-0000-000002000000}"/>
    <cellStyle name="Normal 2 8 4 3 2" xfId="5618" xr:uid="{00000000-0005-0000-0000-000002000000}"/>
    <cellStyle name="Normal 2 8 4 3 2 2" xfId="13778" xr:uid="{00000000-0005-0000-0000-000002000000}"/>
    <cellStyle name="Normal 2 8 4 3 3" xfId="9698" xr:uid="{00000000-0005-0000-0000-000002000000}"/>
    <cellStyle name="Normal 2 8 4 4" xfId="3577" xr:uid="{00000000-0005-0000-0000-000002000000}"/>
    <cellStyle name="Normal 2 8 4 4 2" xfId="7658" xr:uid="{00000000-0005-0000-0000-000002000000}"/>
    <cellStyle name="Normal 2 8 4 4 2 2" xfId="15818" xr:uid="{00000000-0005-0000-0000-000002000000}"/>
    <cellStyle name="Normal 2 8 4 4 3" xfId="11738" xr:uid="{00000000-0005-0000-0000-000002000000}"/>
    <cellStyle name="Normal 2 8 4 5" xfId="4597" xr:uid="{00000000-0005-0000-0000-000002000000}"/>
    <cellStyle name="Normal 2 8 4 5 2" xfId="12758" xr:uid="{00000000-0005-0000-0000-000002000000}"/>
    <cellStyle name="Normal 2 8 4 6" xfId="8678" xr:uid="{00000000-0005-0000-0000-000002000000}"/>
    <cellStyle name="Normal 2 8 5" xfId="2149" xr:uid="{00000000-0005-0000-0000-000002000000}"/>
    <cellStyle name="Normal 2 8 5 2" xfId="6230" xr:uid="{00000000-0005-0000-0000-000002000000}"/>
    <cellStyle name="Normal 2 8 5 2 2" xfId="14390" xr:uid="{00000000-0005-0000-0000-000002000000}"/>
    <cellStyle name="Normal 2 8 5 3" xfId="10310" xr:uid="{00000000-0005-0000-0000-000002000000}"/>
    <cellStyle name="Normal 2 8 6" xfId="1129" xr:uid="{00000000-0005-0000-0000-000002000000}"/>
    <cellStyle name="Normal 2 8 6 2" xfId="5210" xr:uid="{00000000-0005-0000-0000-000002000000}"/>
    <cellStyle name="Normal 2 8 6 2 2" xfId="13370" xr:uid="{00000000-0005-0000-0000-000002000000}"/>
    <cellStyle name="Normal 2 8 6 3" xfId="9290" xr:uid="{00000000-0005-0000-0000-000002000000}"/>
    <cellStyle name="Normal 2 8 7" xfId="3169" xr:uid="{00000000-0005-0000-0000-000002000000}"/>
    <cellStyle name="Normal 2 8 7 2" xfId="7250" xr:uid="{00000000-0005-0000-0000-000002000000}"/>
    <cellStyle name="Normal 2 8 7 2 2" xfId="15410" xr:uid="{00000000-0005-0000-0000-000002000000}"/>
    <cellStyle name="Normal 2 8 7 3" xfId="11330" xr:uid="{00000000-0005-0000-0000-000002000000}"/>
    <cellStyle name="Normal 2 8 8" xfId="4189" xr:uid="{00000000-0005-0000-0000-000002000000}"/>
    <cellStyle name="Normal 2 8 8 2" xfId="12350" xr:uid="{00000000-0005-0000-0000-000002000000}"/>
    <cellStyle name="Normal 2 8 9" xfId="8270" xr:uid="{00000000-0005-0000-0000-000002000000}"/>
    <cellStyle name="Normal 2 9" xfId="210" xr:uid="{00000000-0005-0000-0000-000002000000}"/>
    <cellStyle name="Normal 2 9 2" xfId="618" xr:uid="{00000000-0005-0000-0000-000002000000}"/>
    <cellStyle name="Normal 2 9 2 2" xfId="2659" xr:uid="{00000000-0005-0000-0000-000002000000}"/>
    <cellStyle name="Normal 2 9 2 2 2" xfId="6740" xr:uid="{00000000-0005-0000-0000-000002000000}"/>
    <cellStyle name="Normal 2 9 2 2 2 2" xfId="14900" xr:uid="{00000000-0005-0000-0000-000002000000}"/>
    <cellStyle name="Normal 2 9 2 2 3" xfId="10820" xr:uid="{00000000-0005-0000-0000-000002000000}"/>
    <cellStyle name="Normal 2 9 2 3" xfId="1639" xr:uid="{00000000-0005-0000-0000-000002000000}"/>
    <cellStyle name="Normal 2 9 2 3 2" xfId="5720" xr:uid="{00000000-0005-0000-0000-000002000000}"/>
    <cellStyle name="Normal 2 9 2 3 2 2" xfId="13880" xr:uid="{00000000-0005-0000-0000-000002000000}"/>
    <cellStyle name="Normal 2 9 2 3 3" xfId="9800" xr:uid="{00000000-0005-0000-0000-000002000000}"/>
    <cellStyle name="Normal 2 9 2 4" xfId="3679" xr:uid="{00000000-0005-0000-0000-000002000000}"/>
    <cellStyle name="Normal 2 9 2 4 2" xfId="7760" xr:uid="{00000000-0005-0000-0000-000002000000}"/>
    <cellStyle name="Normal 2 9 2 4 2 2" xfId="15920" xr:uid="{00000000-0005-0000-0000-000002000000}"/>
    <cellStyle name="Normal 2 9 2 4 3" xfId="11840" xr:uid="{00000000-0005-0000-0000-000002000000}"/>
    <cellStyle name="Normal 2 9 2 5" xfId="4699" xr:uid="{00000000-0005-0000-0000-000002000000}"/>
    <cellStyle name="Normal 2 9 2 5 2" xfId="12860" xr:uid="{00000000-0005-0000-0000-000002000000}"/>
    <cellStyle name="Normal 2 9 2 6" xfId="8780" xr:uid="{00000000-0005-0000-0000-000002000000}"/>
    <cellStyle name="Normal 2 9 3" xfId="2251" xr:uid="{00000000-0005-0000-0000-000002000000}"/>
    <cellStyle name="Normal 2 9 3 2" xfId="6332" xr:uid="{00000000-0005-0000-0000-000002000000}"/>
    <cellStyle name="Normal 2 9 3 2 2" xfId="14492" xr:uid="{00000000-0005-0000-0000-000002000000}"/>
    <cellStyle name="Normal 2 9 3 3" xfId="10412" xr:uid="{00000000-0005-0000-0000-000002000000}"/>
    <cellStyle name="Normal 2 9 4" xfId="1231" xr:uid="{00000000-0005-0000-0000-000002000000}"/>
    <cellStyle name="Normal 2 9 4 2" xfId="5312" xr:uid="{00000000-0005-0000-0000-000002000000}"/>
    <cellStyle name="Normal 2 9 4 2 2" xfId="13472" xr:uid="{00000000-0005-0000-0000-000002000000}"/>
    <cellStyle name="Normal 2 9 4 3" xfId="9392" xr:uid="{00000000-0005-0000-0000-000002000000}"/>
    <cellStyle name="Normal 2 9 5" xfId="3271" xr:uid="{00000000-0005-0000-0000-000002000000}"/>
    <cellStyle name="Normal 2 9 5 2" xfId="7352" xr:uid="{00000000-0005-0000-0000-000002000000}"/>
    <cellStyle name="Normal 2 9 5 2 2" xfId="15512" xr:uid="{00000000-0005-0000-0000-000002000000}"/>
    <cellStyle name="Normal 2 9 5 3" xfId="11432" xr:uid="{00000000-0005-0000-0000-000002000000}"/>
    <cellStyle name="Normal 2 9 6" xfId="4291" xr:uid="{00000000-0005-0000-0000-000002000000}"/>
    <cellStyle name="Normal 2 9 6 2" xfId="12452" xr:uid="{00000000-0005-0000-0000-000002000000}"/>
    <cellStyle name="Normal 2 9 7" xfId="8372" xr:uid="{00000000-0005-0000-0000-000002000000}"/>
    <cellStyle name="Normal 3" xfId="26" xr:uid="{00000000-0005-0000-0000-00001C000000}"/>
    <cellStyle name="Normal 3 10" xfId="3090" xr:uid="{00000000-0005-0000-0000-00001C000000}"/>
    <cellStyle name="Normal 3 10 2" xfId="7171" xr:uid="{00000000-0005-0000-0000-00001C000000}"/>
    <cellStyle name="Normal 3 10 2 2" xfId="15331" xr:uid="{00000000-0005-0000-0000-00001C000000}"/>
    <cellStyle name="Normal 3 10 3" xfId="11251" xr:uid="{00000000-0005-0000-0000-00001C000000}"/>
    <cellStyle name="Normal 3 11" xfId="4110" xr:uid="{00000000-0005-0000-0000-00001C000000}"/>
    <cellStyle name="Normal 3 11 2" xfId="12271" xr:uid="{00000000-0005-0000-0000-00001C000000}"/>
    <cellStyle name="Normal 3 12" xfId="8191" xr:uid="{00000000-0005-0000-0000-00001C000000}"/>
    <cellStyle name="Normal 3 2" xfId="54" xr:uid="{00000000-0005-0000-0000-00001D000000}"/>
    <cellStyle name="Normal 3 2 10" xfId="4135" xr:uid="{00000000-0005-0000-0000-00001D000000}"/>
    <cellStyle name="Normal 3 2 10 2" xfId="12296" xr:uid="{00000000-0005-0000-0000-00001D000000}"/>
    <cellStyle name="Normal 3 2 11" xfId="8216" xr:uid="{00000000-0005-0000-0000-00001D000000}"/>
    <cellStyle name="Normal 3 2 2" xfId="105" xr:uid="{00000000-0005-0000-0000-00001D000000}"/>
    <cellStyle name="Normal 3 2 2 10" xfId="8267" xr:uid="{00000000-0005-0000-0000-00001D000000}"/>
    <cellStyle name="Normal 3 2 2 2" xfId="207" xr:uid="{00000000-0005-0000-0000-00001D000000}"/>
    <cellStyle name="Normal 3 2 2 2 2" xfId="411" xr:uid="{00000000-0005-0000-0000-00001D000000}"/>
    <cellStyle name="Normal 3 2 2 2 2 2" xfId="819" xr:uid="{00000000-0005-0000-0000-00001D000000}"/>
    <cellStyle name="Normal 3 2 2 2 2 2 2" xfId="2860" xr:uid="{00000000-0005-0000-0000-00001D000000}"/>
    <cellStyle name="Normal 3 2 2 2 2 2 2 2" xfId="6941" xr:uid="{00000000-0005-0000-0000-00001D000000}"/>
    <cellStyle name="Normal 3 2 2 2 2 2 2 2 2" xfId="15101" xr:uid="{00000000-0005-0000-0000-00001D000000}"/>
    <cellStyle name="Normal 3 2 2 2 2 2 2 3" xfId="11021" xr:uid="{00000000-0005-0000-0000-00001D000000}"/>
    <cellStyle name="Normal 3 2 2 2 2 2 3" xfId="1840" xr:uid="{00000000-0005-0000-0000-00001D000000}"/>
    <cellStyle name="Normal 3 2 2 2 2 2 3 2" xfId="5921" xr:uid="{00000000-0005-0000-0000-00001D000000}"/>
    <cellStyle name="Normal 3 2 2 2 2 2 3 2 2" xfId="14081" xr:uid="{00000000-0005-0000-0000-00001D000000}"/>
    <cellStyle name="Normal 3 2 2 2 2 2 3 3" xfId="10001" xr:uid="{00000000-0005-0000-0000-00001D000000}"/>
    <cellStyle name="Normal 3 2 2 2 2 2 4" xfId="3880" xr:uid="{00000000-0005-0000-0000-00001D000000}"/>
    <cellStyle name="Normal 3 2 2 2 2 2 4 2" xfId="7961" xr:uid="{00000000-0005-0000-0000-00001D000000}"/>
    <cellStyle name="Normal 3 2 2 2 2 2 4 2 2" xfId="16121" xr:uid="{00000000-0005-0000-0000-00001D000000}"/>
    <cellStyle name="Normal 3 2 2 2 2 2 4 3" xfId="12041" xr:uid="{00000000-0005-0000-0000-00001D000000}"/>
    <cellStyle name="Normal 3 2 2 2 2 2 5" xfId="4900" xr:uid="{00000000-0005-0000-0000-00001D000000}"/>
    <cellStyle name="Normal 3 2 2 2 2 2 5 2" xfId="13061" xr:uid="{00000000-0005-0000-0000-00001D000000}"/>
    <cellStyle name="Normal 3 2 2 2 2 2 6" xfId="8981" xr:uid="{00000000-0005-0000-0000-00001D000000}"/>
    <cellStyle name="Normal 3 2 2 2 2 3" xfId="2452" xr:uid="{00000000-0005-0000-0000-00001D000000}"/>
    <cellStyle name="Normal 3 2 2 2 2 3 2" xfId="6533" xr:uid="{00000000-0005-0000-0000-00001D000000}"/>
    <cellStyle name="Normal 3 2 2 2 2 3 2 2" xfId="14693" xr:uid="{00000000-0005-0000-0000-00001D000000}"/>
    <cellStyle name="Normal 3 2 2 2 2 3 3" xfId="10613" xr:uid="{00000000-0005-0000-0000-00001D000000}"/>
    <cellStyle name="Normal 3 2 2 2 2 4" xfId="1432" xr:uid="{00000000-0005-0000-0000-00001D000000}"/>
    <cellStyle name="Normal 3 2 2 2 2 4 2" xfId="5513" xr:uid="{00000000-0005-0000-0000-00001D000000}"/>
    <cellStyle name="Normal 3 2 2 2 2 4 2 2" xfId="13673" xr:uid="{00000000-0005-0000-0000-00001D000000}"/>
    <cellStyle name="Normal 3 2 2 2 2 4 3" xfId="9593" xr:uid="{00000000-0005-0000-0000-00001D000000}"/>
    <cellStyle name="Normal 3 2 2 2 2 5" xfId="3472" xr:uid="{00000000-0005-0000-0000-00001D000000}"/>
    <cellStyle name="Normal 3 2 2 2 2 5 2" xfId="7553" xr:uid="{00000000-0005-0000-0000-00001D000000}"/>
    <cellStyle name="Normal 3 2 2 2 2 5 2 2" xfId="15713" xr:uid="{00000000-0005-0000-0000-00001D000000}"/>
    <cellStyle name="Normal 3 2 2 2 2 5 3" xfId="11633" xr:uid="{00000000-0005-0000-0000-00001D000000}"/>
    <cellStyle name="Normal 3 2 2 2 2 6" xfId="4492" xr:uid="{00000000-0005-0000-0000-00001D000000}"/>
    <cellStyle name="Normal 3 2 2 2 2 6 2" xfId="12653" xr:uid="{00000000-0005-0000-0000-00001D000000}"/>
    <cellStyle name="Normal 3 2 2 2 2 7" xfId="8573" xr:uid="{00000000-0005-0000-0000-00001D000000}"/>
    <cellStyle name="Normal 3 2 2 2 3" xfId="1023" xr:uid="{00000000-0005-0000-0000-00001D000000}"/>
    <cellStyle name="Normal 3 2 2 2 3 2" xfId="3064" xr:uid="{00000000-0005-0000-0000-00001D000000}"/>
    <cellStyle name="Normal 3 2 2 2 3 2 2" xfId="7145" xr:uid="{00000000-0005-0000-0000-00001D000000}"/>
    <cellStyle name="Normal 3 2 2 2 3 2 2 2" xfId="15305" xr:uid="{00000000-0005-0000-0000-00001D000000}"/>
    <cellStyle name="Normal 3 2 2 2 3 2 3" xfId="11225" xr:uid="{00000000-0005-0000-0000-00001D000000}"/>
    <cellStyle name="Normal 3 2 2 2 3 3" xfId="2044" xr:uid="{00000000-0005-0000-0000-00001D000000}"/>
    <cellStyle name="Normal 3 2 2 2 3 3 2" xfId="6125" xr:uid="{00000000-0005-0000-0000-00001D000000}"/>
    <cellStyle name="Normal 3 2 2 2 3 3 2 2" xfId="14285" xr:uid="{00000000-0005-0000-0000-00001D000000}"/>
    <cellStyle name="Normal 3 2 2 2 3 3 3" xfId="10205" xr:uid="{00000000-0005-0000-0000-00001D000000}"/>
    <cellStyle name="Normal 3 2 2 2 3 4" xfId="4084" xr:uid="{00000000-0005-0000-0000-00001D000000}"/>
    <cellStyle name="Normal 3 2 2 2 3 4 2" xfId="8165" xr:uid="{00000000-0005-0000-0000-00001D000000}"/>
    <cellStyle name="Normal 3 2 2 2 3 4 2 2" xfId="16325" xr:uid="{00000000-0005-0000-0000-00001D000000}"/>
    <cellStyle name="Normal 3 2 2 2 3 4 3" xfId="12245" xr:uid="{00000000-0005-0000-0000-00001D000000}"/>
    <cellStyle name="Normal 3 2 2 2 3 5" xfId="5104" xr:uid="{00000000-0005-0000-0000-00001D000000}"/>
    <cellStyle name="Normal 3 2 2 2 3 5 2" xfId="13265" xr:uid="{00000000-0005-0000-0000-00001D000000}"/>
    <cellStyle name="Normal 3 2 2 2 3 6" xfId="9185" xr:uid="{00000000-0005-0000-0000-00001D000000}"/>
    <cellStyle name="Normal 3 2 2 2 4" xfId="615" xr:uid="{00000000-0005-0000-0000-00001D000000}"/>
    <cellStyle name="Normal 3 2 2 2 4 2" xfId="2656" xr:uid="{00000000-0005-0000-0000-00001D000000}"/>
    <cellStyle name="Normal 3 2 2 2 4 2 2" xfId="6737" xr:uid="{00000000-0005-0000-0000-00001D000000}"/>
    <cellStyle name="Normal 3 2 2 2 4 2 2 2" xfId="14897" xr:uid="{00000000-0005-0000-0000-00001D000000}"/>
    <cellStyle name="Normal 3 2 2 2 4 2 3" xfId="10817" xr:uid="{00000000-0005-0000-0000-00001D000000}"/>
    <cellStyle name="Normal 3 2 2 2 4 3" xfId="1636" xr:uid="{00000000-0005-0000-0000-00001D000000}"/>
    <cellStyle name="Normal 3 2 2 2 4 3 2" xfId="5717" xr:uid="{00000000-0005-0000-0000-00001D000000}"/>
    <cellStyle name="Normal 3 2 2 2 4 3 2 2" xfId="13877" xr:uid="{00000000-0005-0000-0000-00001D000000}"/>
    <cellStyle name="Normal 3 2 2 2 4 3 3" xfId="9797" xr:uid="{00000000-0005-0000-0000-00001D000000}"/>
    <cellStyle name="Normal 3 2 2 2 4 4" xfId="3676" xr:uid="{00000000-0005-0000-0000-00001D000000}"/>
    <cellStyle name="Normal 3 2 2 2 4 4 2" xfId="7757" xr:uid="{00000000-0005-0000-0000-00001D000000}"/>
    <cellStyle name="Normal 3 2 2 2 4 4 2 2" xfId="15917" xr:uid="{00000000-0005-0000-0000-00001D000000}"/>
    <cellStyle name="Normal 3 2 2 2 4 4 3" xfId="11837" xr:uid="{00000000-0005-0000-0000-00001D000000}"/>
    <cellStyle name="Normal 3 2 2 2 4 5" xfId="4696" xr:uid="{00000000-0005-0000-0000-00001D000000}"/>
    <cellStyle name="Normal 3 2 2 2 4 5 2" xfId="12857" xr:uid="{00000000-0005-0000-0000-00001D000000}"/>
    <cellStyle name="Normal 3 2 2 2 4 6" xfId="8777" xr:uid="{00000000-0005-0000-0000-00001D000000}"/>
    <cellStyle name="Normal 3 2 2 2 5" xfId="2248" xr:uid="{00000000-0005-0000-0000-00001D000000}"/>
    <cellStyle name="Normal 3 2 2 2 5 2" xfId="6329" xr:uid="{00000000-0005-0000-0000-00001D000000}"/>
    <cellStyle name="Normal 3 2 2 2 5 2 2" xfId="14489" xr:uid="{00000000-0005-0000-0000-00001D000000}"/>
    <cellStyle name="Normal 3 2 2 2 5 3" xfId="10409" xr:uid="{00000000-0005-0000-0000-00001D000000}"/>
    <cellStyle name="Normal 3 2 2 2 6" xfId="1228" xr:uid="{00000000-0005-0000-0000-00001D000000}"/>
    <cellStyle name="Normal 3 2 2 2 6 2" xfId="5309" xr:uid="{00000000-0005-0000-0000-00001D000000}"/>
    <cellStyle name="Normal 3 2 2 2 6 2 2" xfId="13469" xr:uid="{00000000-0005-0000-0000-00001D000000}"/>
    <cellStyle name="Normal 3 2 2 2 6 3" xfId="9389" xr:uid="{00000000-0005-0000-0000-00001D000000}"/>
    <cellStyle name="Normal 3 2 2 2 7" xfId="3268" xr:uid="{00000000-0005-0000-0000-00001D000000}"/>
    <cellStyle name="Normal 3 2 2 2 7 2" xfId="7349" xr:uid="{00000000-0005-0000-0000-00001D000000}"/>
    <cellStyle name="Normal 3 2 2 2 7 2 2" xfId="15509" xr:uid="{00000000-0005-0000-0000-00001D000000}"/>
    <cellStyle name="Normal 3 2 2 2 7 3" xfId="11429" xr:uid="{00000000-0005-0000-0000-00001D000000}"/>
    <cellStyle name="Normal 3 2 2 2 8" xfId="4288" xr:uid="{00000000-0005-0000-0000-00001D000000}"/>
    <cellStyle name="Normal 3 2 2 2 8 2" xfId="12449" xr:uid="{00000000-0005-0000-0000-00001D000000}"/>
    <cellStyle name="Normal 3 2 2 2 9" xfId="8369" xr:uid="{00000000-0005-0000-0000-00001D000000}"/>
    <cellStyle name="Normal 3 2 2 3" xfId="309" xr:uid="{00000000-0005-0000-0000-00001D000000}"/>
    <cellStyle name="Normal 3 2 2 3 2" xfId="717" xr:uid="{00000000-0005-0000-0000-00001D000000}"/>
    <cellStyle name="Normal 3 2 2 3 2 2" xfId="2758" xr:uid="{00000000-0005-0000-0000-00001D000000}"/>
    <cellStyle name="Normal 3 2 2 3 2 2 2" xfId="6839" xr:uid="{00000000-0005-0000-0000-00001D000000}"/>
    <cellStyle name="Normal 3 2 2 3 2 2 2 2" xfId="14999" xr:uid="{00000000-0005-0000-0000-00001D000000}"/>
    <cellStyle name="Normal 3 2 2 3 2 2 3" xfId="10919" xr:uid="{00000000-0005-0000-0000-00001D000000}"/>
    <cellStyle name="Normal 3 2 2 3 2 3" xfId="1738" xr:uid="{00000000-0005-0000-0000-00001D000000}"/>
    <cellStyle name="Normal 3 2 2 3 2 3 2" xfId="5819" xr:uid="{00000000-0005-0000-0000-00001D000000}"/>
    <cellStyle name="Normal 3 2 2 3 2 3 2 2" xfId="13979" xr:uid="{00000000-0005-0000-0000-00001D000000}"/>
    <cellStyle name="Normal 3 2 2 3 2 3 3" xfId="9899" xr:uid="{00000000-0005-0000-0000-00001D000000}"/>
    <cellStyle name="Normal 3 2 2 3 2 4" xfId="3778" xr:uid="{00000000-0005-0000-0000-00001D000000}"/>
    <cellStyle name="Normal 3 2 2 3 2 4 2" xfId="7859" xr:uid="{00000000-0005-0000-0000-00001D000000}"/>
    <cellStyle name="Normal 3 2 2 3 2 4 2 2" xfId="16019" xr:uid="{00000000-0005-0000-0000-00001D000000}"/>
    <cellStyle name="Normal 3 2 2 3 2 4 3" xfId="11939" xr:uid="{00000000-0005-0000-0000-00001D000000}"/>
    <cellStyle name="Normal 3 2 2 3 2 5" xfId="4798" xr:uid="{00000000-0005-0000-0000-00001D000000}"/>
    <cellStyle name="Normal 3 2 2 3 2 5 2" xfId="12959" xr:uid="{00000000-0005-0000-0000-00001D000000}"/>
    <cellStyle name="Normal 3 2 2 3 2 6" xfId="8879" xr:uid="{00000000-0005-0000-0000-00001D000000}"/>
    <cellStyle name="Normal 3 2 2 3 3" xfId="2350" xr:uid="{00000000-0005-0000-0000-00001D000000}"/>
    <cellStyle name="Normal 3 2 2 3 3 2" xfId="6431" xr:uid="{00000000-0005-0000-0000-00001D000000}"/>
    <cellStyle name="Normal 3 2 2 3 3 2 2" xfId="14591" xr:uid="{00000000-0005-0000-0000-00001D000000}"/>
    <cellStyle name="Normal 3 2 2 3 3 3" xfId="10511" xr:uid="{00000000-0005-0000-0000-00001D000000}"/>
    <cellStyle name="Normal 3 2 2 3 4" xfId="1330" xr:uid="{00000000-0005-0000-0000-00001D000000}"/>
    <cellStyle name="Normal 3 2 2 3 4 2" xfId="5411" xr:uid="{00000000-0005-0000-0000-00001D000000}"/>
    <cellStyle name="Normal 3 2 2 3 4 2 2" xfId="13571" xr:uid="{00000000-0005-0000-0000-00001D000000}"/>
    <cellStyle name="Normal 3 2 2 3 4 3" xfId="9491" xr:uid="{00000000-0005-0000-0000-00001D000000}"/>
    <cellStyle name="Normal 3 2 2 3 5" xfId="3370" xr:uid="{00000000-0005-0000-0000-00001D000000}"/>
    <cellStyle name="Normal 3 2 2 3 5 2" xfId="7451" xr:uid="{00000000-0005-0000-0000-00001D000000}"/>
    <cellStyle name="Normal 3 2 2 3 5 2 2" xfId="15611" xr:uid="{00000000-0005-0000-0000-00001D000000}"/>
    <cellStyle name="Normal 3 2 2 3 5 3" xfId="11531" xr:uid="{00000000-0005-0000-0000-00001D000000}"/>
    <cellStyle name="Normal 3 2 2 3 6" xfId="4390" xr:uid="{00000000-0005-0000-0000-00001D000000}"/>
    <cellStyle name="Normal 3 2 2 3 6 2" xfId="12551" xr:uid="{00000000-0005-0000-0000-00001D000000}"/>
    <cellStyle name="Normal 3 2 2 3 7" xfId="8471" xr:uid="{00000000-0005-0000-0000-00001D000000}"/>
    <cellStyle name="Normal 3 2 2 4" xfId="921" xr:uid="{00000000-0005-0000-0000-00001D000000}"/>
    <cellStyle name="Normal 3 2 2 4 2" xfId="2962" xr:uid="{00000000-0005-0000-0000-00001D000000}"/>
    <cellStyle name="Normal 3 2 2 4 2 2" xfId="7043" xr:uid="{00000000-0005-0000-0000-00001D000000}"/>
    <cellStyle name="Normal 3 2 2 4 2 2 2" xfId="15203" xr:uid="{00000000-0005-0000-0000-00001D000000}"/>
    <cellStyle name="Normal 3 2 2 4 2 3" xfId="11123" xr:uid="{00000000-0005-0000-0000-00001D000000}"/>
    <cellStyle name="Normal 3 2 2 4 3" xfId="1942" xr:uid="{00000000-0005-0000-0000-00001D000000}"/>
    <cellStyle name="Normal 3 2 2 4 3 2" xfId="6023" xr:uid="{00000000-0005-0000-0000-00001D000000}"/>
    <cellStyle name="Normal 3 2 2 4 3 2 2" xfId="14183" xr:uid="{00000000-0005-0000-0000-00001D000000}"/>
    <cellStyle name="Normal 3 2 2 4 3 3" xfId="10103" xr:uid="{00000000-0005-0000-0000-00001D000000}"/>
    <cellStyle name="Normal 3 2 2 4 4" xfId="3982" xr:uid="{00000000-0005-0000-0000-00001D000000}"/>
    <cellStyle name="Normal 3 2 2 4 4 2" xfId="8063" xr:uid="{00000000-0005-0000-0000-00001D000000}"/>
    <cellStyle name="Normal 3 2 2 4 4 2 2" xfId="16223" xr:uid="{00000000-0005-0000-0000-00001D000000}"/>
    <cellStyle name="Normal 3 2 2 4 4 3" xfId="12143" xr:uid="{00000000-0005-0000-0000-00001D000000}"/>
    <cellStyle name="Normal 3 2 2 4 5" xfId="5002" xr:uid="{00000000-0005-0000-0000-00001D000000}"/>
    <cellStyle name="Normal 3 2 2 4 5 2" xfId="13163" xr:uid="{00000000-0005-0000-0000-00001D000000}"/>
    <cellStyle name="Normal 3 2 2 4 6" xfId="9083" xr:uid="{00000000-0005-0000-0000-00001D000000}"/>
    <cellStyle name="Normal 3 2 2 5" xfId="513" xr:uid="{00000000-0005-0000-0000-00001D000000}"/>
    <cellStyle name="Normal 3 2 2 5 2" xfId="2554" xr:uid="{00000000-0005-0000-0000-00001D000000}"/>
    <cellStyle name="Normal 3 2 2 5 2 2" xfId="6635" xr:uid="{00000000-0005-0000-0000-00001D000000}"/>
    <cellStyle name="Normal 3 2 2 5 2 2 2" xfId="14795" xr:uid="{00000000-0005-0000-0000-00001D000000}"/>
    <cellStyle name="Normal 3 2 2 5 2 3" xfId="10715" xr:uid="{00000000-0005-0000-0000-00001D000000}"/>
    <cellStyle name="Normal 3 2 2 5 3" xfId="1534" xr:uid="{00000000-0005-0000-0000-00001D000000}"/>
    <cellStyle name="Normal 3 2 2 5 3 2" xfId="5615" xr:uid="{00000000-0005-0000-0000-00001D000000}"/>
    <cellStyle name="Normal 3 2 2 5 3 2 2" xfId="13775" xr:uid="{00000000-0005-0000-0000-00001D000000}"/>
    <cellStyle name="Normal 3 2 2 5 3 3" xfId="9695" xr:uid="{00000000-0005-0000-0000-00001D000000}"/>
    <cellStyle name="Normal 3 2 2 5 4" xfId="3574" xr:uid="{00000000-0005-0000-0000-00001D000000}"/>
    <cellStyle name="Normal 3 2 2 5 4 2" xfId="7655" xr:uid="{00000000-0005-0000-0000-00001D000000}"/>
    <cellStyle name="Normal 3 2 2 5 4 2 2" xfId="15815" xr:uid="{00000000-0005-0000-0000-00001D000000}"/>
    <cellStyle name="Normal 3 2 2 5 4 3" xfId="11735" xr:uid="{00000000-0005-0000-0000-00001D000000}"/>
    <cellStyle name="Normal 3 2 2 5 5" xfId="4594" xr:uid="{00000000-0005-0000-0000-00001D000000}"/>
    <cellStyle name="Normal 3 2 2 5 5 2" xfId="12755" xr:uid="{00000000-0005-0000-0000-00001D000000}"/>
    <cellStyle name="Normal 3 2 2 5 6" xfId="8675" xr:uid="{00000000-0005-0000-0000-00001D000000}"/>
    <cellStyle name="Normal 3 2 2 6" xfId="2146" xr:uid="{00000000-0005-0000-0000-00001D000000}"/>
    <cellStyle name="Normal 3 2 2 6 2" xfId="6227" xr:uid="{00000000-0005-0000-0000-00001D000000}"/>
    <cellStyle name="Normal 3 2 2 6 2 2" xfId="14387" xr:uid="{00000000-0005-0000-0000-00001D000000}"/>
    <cellStyle name="Normal 3 2 2 6 3" xfId="10307" xr:uid="{00000000-0005-0000-0000-00001D000000}"/>
    <cellStyle name="Normal 3 2 2 7" xfId="1126" xr:uid="{00000000-0005-0000-0000-00001D000000}"/>
    <cellStyle name="Normal 3 2 2 7 2" xfId="5207" xr:uid="{00000000-0005-0000-0000-00001D000000}"/>
    <cellStyle name="Normal 3 2 2 7 2 2" xfId="13367" xr:uid="{00000000-0005-0000-0000-00001D000000}"/>
    <cellStyle name="Normal 3 2 2 7 3" xfId="9287" xr:uid="{00000000-0005-0000-0000-00001D000000}"/>
    <cellStyle name="Normal 3 2 2 8" xfId="3166" xr:uid="{00000000-0005-0000-0000-00001D000000}"/>
    <cellStyle name="Normal 3 2 2 8 2" xfId="7247" xr:uid="{00000000-0005-0000-0000-00001D000000}"/>
    <cellStyle name="Normal 3 2 2 8 2 2" xfId="15407" xr:uid="{00000000-0005-0000-0000-00001D000000}"/>
    <cellStyle name="Normal 3 2 2 8 3" xfId="11327" xr:uid="{00000000-0005-0000-0000-00001D000000}"/>
    <cellStyle name="Normal 3 2 2 9" xfId="4186" xr:uid="{00000000-0005-0000-0000-00001D000000}"/>
    <cellStyle name="Normal 3 2 2 9 2" xfId="12347" xr:uid="{00000000-0005-0000-0000-00001D000000}"/>
    <cellStyle name="Normal 3 2 3" xfId="156" xr:uid="{00000000-0005-0000-0000-00001D000000}"/>
    <cellStyle name="Normal 3 2 3 2" xfId="360" xr:uid="{00000000-0005-0000-0000-00001D000000}"/>
    <cellStyle name="Normal 3 2 3 2 2" xfId="768" xr:uid="{00000000-0005-0000-0000-00001D000000}"/>
    <cellStyle name="Normal 3 2 3 2 2 2" xfId="2809" xr:uid="{00000000-0005-0000-0000-00001D000000}"/>
    <cellStyle name="Normal 3 2 3 2 2 2 2" xfId="6890" xr:uid="{00000000-0005-0000-0000-00001D000000}"/>
    <cellStyle name="Normal 3 2 3 2 2 2 2 2" xfId="15050" xr:uid="{00000000-0005-0000-0000-00001D000000}"/>
    <cellStyle name="Normal 3 2 3 2 2 2 3" xfId="10970" xr:uid="{00000000-0005-0000-0000-00001D000000}"/>
    <cellStyle name="Normal 3 2 3 2 2 3" xfId="1789" xr:uid="{00000000-0005-0000-0000-00001D000000}"/>
    <cellStyle name="Normal 3 2 3 2 2 3 2" xfId="5870" xr:uid="{00000000-0005-0000-0000-00001D000000}"/>
    <cellStyle name="Normal 3 2 3 2 2 3 2 2" xfId="14030" xr:uid="{00000000-0005-0000-0000-00001D000000}"/>
    <cellStyle name="Normal 3 2 3 2 2 3 3" xfId="9950" xr:uid="{00000000-0005-0000-0000-00001D000000}"/>
    <cellStyle name="Normal 3 2 3 2 2 4" xfId="3829" xr:uid="{00000000-0005-0000-0000-00001D000000}"/>
    <cellStyle name="Normal 3 2 3 2 2 4 2" xfId="7910" xr:uid="{00000000-0005-0000-0000-00001D000000}"/>
    <cellStyle name="Normal 3 2 3 2 2 4 2 2" xfId="16070" xr:uid="{00000000-0005-0000-0000-00001D000000}"/>
    <cellStyle name="Normal 3 2 3 2 2 4 3" xfId="11990" xr:uid="{00000000-0005-0000-0000-00001D000000}"/>
    <cellStyle name="Normal 3 2 3 2 2 5" xfId="4849" xr:uid="{00000000-0005-0000-0000-00001D000000}"/>
    <cellStyle name="Normal 3 2 3 2 2 5 2" xfId="13010" xr:uid="{00000000-0005-0000-0000-00001D000000}"/>
    <cellStyle name="Normal 3 2 3 2 2 6" xfId="8930" xr:uid="{00000000-0005-0000-0000-00001D000000}"/>
    <cellStyle name="Normal 3 2 3 2 3" xfId="2401" xr:uid="{00000000-0005-0000-0000-00001D000000}"/>
    <cellStyle name="Normal 3 2 3 2 3 2" xfId="6482" xr:uid="{00000000-0005-0000-0000-00001D000000}"/>
    <cellStyle name="Normal 3 2 3 2 3 2 2" xfId="14642" xr:uid="{00000000-0005-0000-0000-00001D000000}"/>
    <cellStyle name="Normal 3 2 3 2 3 3" xfId="10562" xr:uid="{00000000-0005-0000-0000-00001D000000}"/>
    <cellStyle name="Normal 3 2 3 2 4" xfId="1381" xr:uid="{00000000-0005-0000-0000-00001D000000}"/>
    <cellStyle name="Normal 3 2 3 2 4 2" xfId="5462" xr:uid="{00000000-0005-0000-0000-00001D000000}"/>
    <cellStyle name="Normal 3 2 3 2 4 2 2" xfId="13622" xr:uid="{00000000-0005-0000-0000-00001D000000}"/>
    <cellStyle name="Normal 3 2 3 2 4 3" xfId="9542" xr:uid="{00000000-0005-0000-0000-00001D000000}"/>
    <cellStyle name="Normal 3 2 3 2 5" xfId="3421" xr:uid="{00000000-0005-0000-0000-00001D000000}"/>
    <cellStyle name="Normal 3 2 3 2 5 2" xfId="7502" xr:uid="{00000000-0005-0000-0000-00001D000000}"/>
    <cellStyle name="Normal 3 2 3 2 5 2 2" xfId="15662" xr:uid="{00000000-0005-0000-0000-00001D000000}"/>
    <cellStyle name="Normal 3 2 3 2 5 3" xfId="11582" xr:uid="{00000000-0005-0000-0000-00001D000000}"/>
    <cellStyle name="Normal 3 2 3 2 6" xfId="4441" xr:uid="{00000000-0005-0000-0000-00001D000000}"/>
    <cellStyle name="Normal 3 2 3 2 6 2" xfId="12602" xr:uid="{00000000-0005-0000-0000-00001D000000}"/>
    <cellStyle name="Normal 3 2 3 2 7" xfId="8522" xr:uid="{00000000-0005-0000-0000-00001D000000}"/>
    <cellStyle name="Normal 3 2 3 3" xfId="972" xr:uid="{00000000-0005-0000-0000-00001D000000}"/>
    <cellStyle name="Normal 3 2 3 3 2" xfId="3013" xr:uid="{00000000-0005-0000-0000-00001D000000}"/>
    <cellStyle name="Normal 3 2 3 3 2 2" xfId="7094" xr:uid="{00000000-0005-0000-0000-00001D000000}"/>
    <cellStyle name="Normal 3 2 3 3 2 2 2" xfId="15254" xr:uid="{00000000-0005-0000-0000-00001D000000}"/>
    <cellStyle name="Normal 3 2 3 3 2 3" xfId="11174" xr:uid="{00000000-0005-0000-0000-00001D000000}"/>
    <cellStyle name="Normal 3 2 3 3 3" xfId="1993" xr:uid="{00000000-0005-0000-0000-00001D000000}"/>
    <cellStyle name="Normal 3 2 3 3 3 2" xfId="6074" xr:uid="{00000000-0005-0000-0000-00001D000000}"/>
    <cellStyle name="Normal 3 2 3 3 3 2 2" xfId="14234" xr:uid="{00000000-0005-0000-0000-00001D000000}"/>
    <cellStyle name="Normal 3 2 3 3 3 3" xfId="10154" xr:uid="{00000000-0005-0000-0000-00001D000000}"/>
    <cellStyle name="Normal 3 2 3 3 4" xfId="4033" xr:uid="{00000000-0005-0000-0000-00001D000000}"/>
    <cellStyle name="Normal 3 2 3 3 4 2" xfId="8114" xr:uid="{00000000-0005-0000-0000-00001D000000}"/>
    <cellStyle name="Normal 3 2 3 3 4 2 2" xfId="16274" xr:uid="{00000000-0005-0000-0000-00001D000000}"/>
    <cellStyle name="Normal 3 2 3 3 4 3" xfId="12194" xr:uid="{00000000-0005-0000-0000-00001D000000}"/>
    <cellStyle name="Normal 3 2 3 3 5" xfId="5053" xr:uid="{00000000-0005-0000-0000-00001D000000}"/>
    <cellStyle name="Normal 3 2 3 3 5 2" xfId="13214" xr:uid="{00000000-0005-0000-0000-00001D000000}"/>
    <cellStyle name="Normal 3 2 3 3 6" xfId="9134" xr:uid="{00000000-0005-0000-0000-00001D000000}"/>
    <cellStyle name="Normal 3 2 3 4" xfId="564" xr:uid="{00000000-0005-0000-0000-00001D000000}"/>
    <cellStyle name="Normal 3 2 3 4 2" xfId="2605" xr:uid="{00000000-0005-0000-0000-00001D000000}"/>
    <cellStyle name="Normal 3 2 3 4 2 2" xfId="6686" xr:uid="{00000000-0005-0000-0000-00001D000000}"/>
    <cellStyle name="Normal 3 2 3 4 2 2 2" xfId="14846" xr:uid="{00000000-0005-0000-0000-00001D000000}"/>
    <cellStyle name="Normal 3 2 3 4 2 3" xfId="10766" xr:uid="{00000000-0005-0000-0000-00001D000000}"/>
    <cellStyle name="Normal 3 2 3 4 3" xfId="1585" xr:uid="{00000000-0005-0000-0000-00001D000000}"/>
    <cellStyle name="Normal 3 2 3 4 3 2" xfId="5666" xr:uid="{00000000-0005-0000-0000-00001D000000}"/>
    <cellStyle name="Normal 3 2 3 4 3 2 2" xfId="13826" xr:uid="{00000000-0005-0000-0000-00001D000000}"/>
    <cellStyle name="Normal 3 2 3 4 3 3" xfId="9746" xr:uid="{00000000-0005-0000-0000-00001D000000}"/>
    <cellStyle name="Normal 3 2 3 4 4" xfId="3625" xr:uid="{00000000-0005-0000-0000-00001D000000}"/>
    <cellStyle name="Normal 3 2 3 4 4 2" xfId="7706" xr:uid="{00000000-0005-0000-0000-00001D000000}"/>
    <cellStyle name="Normal 3 2 3 4 4 2 2" xfId="15866" xr:uid="{00000000-0005-0000-0000-00001D000000}"/>
    <cellStyle name="Normal 3 2 3 4 4 3" xfId="11786" xr:uid="{00000000-0005-0000-0000-00001D000000}"/>
    <cellStyle name="Normal 3 2 3 4 5" xfId="4645" xr:uid="{00000000-0005-0000-0000-00001D000000}"/>
    <cellStyle name="Normal 3 2 3 4 5 2" xfId="12806" xr:uid="{00000000-0005-0000-0000-00001D000000}"/>
    <cellStyle name="Normal 3 2 3 4 6" xfId="8726" xr:uid="{00000000-0005-0000-0000-00001D000000}"/>
    <cellStyle name="Normal 3 2 3 5" xfId="2197" xr:uid="{00000000-0005-0000-0000-00001D000000}"/>
    <cellStyle name="Normal 3 2 3 5 2" xfId="6278" xr:uid="{00000000-0005-0000-0000-00001D000000}"/>
    <cellStyle name="Normal 3 2 3 5 2 2" xfId="14438" xr:uid="{00000000-0005-0000-0000-00001D000000}"/>
    <cellStyle name="Normal 3 2 3 5 3" xfId="10358" xr:uid="{00000000-0005-0000-0000-00001D000000}"/>
    <cellStyle name="Normal 3 2 3 6" xfId="1177" xr:uid="{00000000-0005-0000-0000-00001D000000}"/>
    <cellStyle name="Normal 3 2 3 6 2" xfId="5258" xr:uid="{00000000-0005-0000-0000-00001D000000}"/>
    <cellStyle name="Normal 3 2 3 6 2 2" xfId="13418" xr:uid="{00000000-0005-0000-0000-00001D000000}"/>
    <cellStyle name="Normal 3 2 3 6 3" xfId="9338" xr:uid="{00000000-0005-0000-0000-00001D000000}"/>
    <cellStyle name="Normal 3 2 3 7" xfId="3217" xr:uid="{00000000-0005-0000-0000-00001D000000}"/>
    <cellStyle name="Normal 3 2 3 7 2" xfId="7298" xr:uid="{00000000-0005-0000-0000-00001D000000}"/>
    <cellStyle name="Normal 3 2 3 7 2 2" xfId="15458" xr:uid="{00000000-0005-0000-0000-00001D000000}"/>
    <cellStyle name="Normal 3 2 3 7 3" xfId="11378" xr:uid="{00000000-0005-0000-0000-00001D000000}"/>
    <cellStyle name="Normal 3 2 3 8" xfId="4237" xr:uid="{00000000-0005-0000-0000-00001D000000}"/>
    <cellStyle name="Normal 3 2 3 8 2" xfId="12398" xr:uid="{00000000-0005-0000-0000-00001D000000}"/>
    <cellStyle name="Normal 3 2 3 9" xfId="8318" xr:uid="{00000000-0005-0000-0000-00001D000000}"/>
    <cellStyle name="Normal 3 2 4" xfId="258" xr:uid="{00000000-0005-0000-0000-00001D000000}"/>
    <cellStyle name="Normal 3 2 4 2" xfId="666" xr:uid="{00000000-0005-0000-0000-00001D000000}"/>
    <cellStyle name="Normal 3 2 4 2 2" xfId="2707" xr:uid="{00000000-0005-0000-0000-00001D000000}"/>
    <cellStyle name="Normal 3 2 4 2 2 2" xfId="6788" xr:uid="{00000000-0005-0000-0000-00001D000000}"/>
    <cellStyle name="Normal 3 2 4 2 2 2 2" xfId="14948" xr:uid="{00000000-0005-0000-0000-00001D000000}"/>
    <cellStyle name="Normal 3 2 4 2 2 3" xfId="10868" xr:uid="{00000000-0005-0000-0000-00001D000000}"/>
    <cellStyle name="Normal 3 2 4 2 3" xfId="1687" xr:uid="{00000000-0005-0000-0000-00001D000000}"/>
    <cellStyle name="Normal 3 2 4 2 3 2" xfId="5768" xr:uid="{00000000-0005-0000-0000-00001D000000}"/>
    <cellStyle name="Normal 3 2 4 2 3 2 2" xfId="13928" xr:uid="{00000000-0005-0000-0000-00001D000000}"/>
    <cellStyle name="Normal 3 2 4 2 3 3" xfId="9848" xr:uid="{00000000-0005-0000-0000-00001D000000}"/>
    <cellStyle name="Normal 3 2 4 2 4" xfId="3727" xr:uid="{00000000-0005-0000-0000-00001D000000}"/>
    <cellStyle name="Normal 3 2 4 2 4 2" xfId="7808" xr:uid="{00000000-0005-0000-0000-00001D000000}"/>
    <cellStyle name="Normal 3 2 4 2 4 2 2" xfId="15968" xr:uid="{00000000-0005-0000-0000-00001D000000}"/>
    <cellStyle name="Normal 3 2 4 2 4 3" xfId="11888" xr:uid="{00000000-0005-0000-0000-00001D000000}"/>
    <cellStyle name="Normal 3 2 4 2 5" xfId="4747" xr:uid="{00000000-0005-0000-0000-00001D000000}"/>
    <cellStyle name="Normal 3 2 4 2 5 2" xfId="12908" xr:uid="{00000000-0005-0000-0000-00001D000000}"/>
    <cellStyle name="Normal 3 2 4 2 6" xfId="8828" xr:uid="{00000000-0005-0000-0000-00001D000000}"/>
    <cellStyle name="Normal 3 2 4 3" xfId="2299" xr:uid="{00000000-0005-0000-0000-00001D000000}"/>
    <cellStyle name="Normal 3 2 4 3 2" xfId="6380" xr:uid="{00000000-0005-0000-0000-00001D000000}"/>
    <cellStyle name="Normal 3 2 4 3 2 2" xfId="14540" xr:uid="{00000000-0005-0000-0000-00001D000000}"/>
    <cellStyle name="Normal 3 2 4 3 3" xfId="10460" xr:uid="{00000000-0005-0000-0000-00001D000000}"/>
    <cellStyle name="Normal 3 2 4 4" xfId="1279" xr:uid="{00000000-0005-0000-0000-00001D000000}"/>
    <cellStyle name="Normal 3 2 4 4 2" xfId="5360" xr:uid="{00000000-0005-0000-0000-00001D000000}"/>
    <cellStyle name="Normal 3 2 4 4 2 2" xfId="13520" xr:uid="{00000000-0005-0000-0000-00001D000000}"/>
    <cellStyle name="Normal 3 2 4 4 3" xfId="9440" xr:uid="{00000000-0005-0000-0000-00001D000000}"/>
    <cellStyle name="Normal 3 2 4 5" xfId="3319" xr:uid="{00000000-0005-0000-0000-00001D000000}"/>
    <cellStyle name="Normal 3 2 4 5 2" xfId="7400" xr:uid="{00000000-0005-0000-0000-00001D000000}"/>
    <cellStyle name="Normal 3 2 4 5 2 2" xfId="15560" xr:uid="{00000000-0005-0000-0000-00001D000000}"/>
    <cellStyle name="Normal 3 2 4 5 3" xfId="11480" xr:uid="{00000000-0005-0000-0000-00001D000000}"/>
    <cellStyle name="Normal 3 2 4 6" xfId="4339" xr:uid="{00000000-0005-0000-0000-00001D000000}"/>
    <cellStyle name="Normal 3 2 4 6 2" xfId="12500" xr:uid="{00000000-0005-0000-0000-00001D000000}"/>
    <cellStyle name="Normal 3 2 4 7" xfId="8420" xr:uid="{00000000-0005-0000-0000-00001D000000}"/>
    <cellStyle name="Normal 3 2 5" xfId="870" xr:uid="{00000000-0005-0000-0000-00001D000000}"/>
    <cellStyle name="Normal 3 2 5 2" xfId="2911" xr:uid="{00000000-0005-0000-0000-00001D000000}"/>
    <cellStyle name="Normal 3 2 5 2 2" xfId="6992" xr:uid="{00000000-0005-0000-0000-00001D000000}"/>
    <cellStyle name="Normal 3 2 5 2 2 2" xfId="15152" xr:uid="{00000000-0005-0000-0000-00001D000000}"/>
    <cellStyle name="Normal 3 2 5 2 3" xfId="11072" xr:uid="{00000000-0005-0000-0000-00001D000000}"/>
    <cellStyle name="Normal 3 2 5 3" xfId="1891" xr:uid="{00000000-0005-0000-0000-00001D000000}"/>
    <cellStyle name="Normal 3 2 5 3 2" xfId="5972" xr:uid="{00000000-0005-0000-0000-00001D000000}"/>
    <cellStyle name="Normal 3 2 5 3 2 2" xfId="14132" xr:uid="{00000000-0005-0000-0000-00001D000000}"/>
    <cellStyle name="Normal 3 2 5 3 3" xfId="10052" xr:uid="{00000000-0005-0000-0000-00001D000000}"/>
    <cellStyle name="Normal 3 2 5 4" xfId="3931" xr:uid="{00000000-0005-0000-0000-00001D000000}"/>
    <cellStyle name="Normal 3 2 5 4 2" xfId="8012" xr:uid="{00000000-0005-0000-0000-00001D000000}"/>
    <cellStyle name="Normal 3 2 5 4 2 2" xfId="16172" xr:uid="{00000000-0005-0000-0000-00001D000000}"/>
    <cellStyle name="Normal 3 2 5 4 3" xfId="12092" xr:uid="{00000000-0005-0000-0000-00001D000000}"/>
    <cellStyle name="Normal 3 2 5 5" xfId="4951" xr:uid="{00000000-0005-0000-0000-00001D000000}"/>
    <cellStyle name="Normal 3 2 5 5 2" xfId="13112" xr:uid="{00000000-0005-0000-0000-00001D000000}"/>
    <cellStyle name="Normal 3 2 5 6" xfId="9032" xr:uid="{00000000-0005-0000-0000-00001D000000}"/>
    <cellStyle name="Normal 3 2 6" xfId="462" xr:uid="{00000000-0005-0000-0000-00001D000000}"/>
    <cellStyle name="Normal 3 2 6 2" xfId="2503" xr:uid="{00000000-0005-0000-0000-00001D000000}"/>
    <cellStyle name="Normal 3 2 6 2 2" xfId="6584" xr:uid="{00000000-0005-0000-0000-00001D000000}"/>
    <cellStyle name="Normal 3 2 6 2 2 2" xfId="14744" xr:uid="{00000000-0005-0000-0000-00001D000000}"/>
    <cellStyle name="Normal 3 2 6 2 3" xfId="10664" xr:uid="{00000000-0005-0000-0000-00001D000000}"/>
    <cellStyle name="Normal 3 2 6 3" xfId="1483" xr:uid="{00000000-0005-0000-0000-00001D000000}"/>
    <cellStyle name="Normal 3 2 6 3 2" xfId="5564" xr:uid="{00000000-0005-0000-0000-00001D000000}"/>
    <cellStyle name="Normal 3 2 6 3 2 2" xfId="13724" xr:uid="{00000000-0005-0000-0000-00001D000000}"/>
    <cellStyle name="Normal 3 2 6 3 3" xfId="9644" xr:uid="{00000000-0005-0000-0000-00001D000000}"/>
    <cellStyle name="Normal 3 2 6 4" xfId="3523" xr:uid="{00000000-0005-0000-0000-00001D000000}"/>
    <cellStyle name="Normal 3 2 6 4 2" xfId="7604" xr:uid="{00000000-0005-0000-0000-00001D000000}"/>
    <cellStyle name="Normal 3 2 6 4 2 2" xfId="15764" xr:uid="{00000000-0005-0000-0000-00001D000000}"/>
    <cellStyle name="Normal 3 2 6 4 3" xfId="11684" xr:uid="{00000000-0005-0000-0000-00001D000000}"/>
    <cellStyle name="Normal 3 2 6 5" xfId="4543" xr:uid="{00000000-0005-0000-0000-00001D000000}"/>
    <cellStyle name="Normal 3 2 6 5 2" xfId="12704" xr:uid="{00000000-0005-0000-0000-00001D000000}"/>
    <cellStyle name="Normal 3 2 6 6" xfId="8624" xr:uid="{00000000-0005-0000-0000-00001D000000}"/>
    <cellStyle name="Normal 3 2 7" xfId="2095" xr:uid="{00000000-0005-0000-0000-00001D000000}"/>
    <cellStyle name="Normal 3 2 7 2" xfId="6176" xr:uid="{00000000-0005-0000-0000-00001D000000}"/>
    <cellStyle name="Normal 3 2 7 2 2" xfId="14336" xr:uid="{00000000-0005-0000-0000-00001D000000}"/>
    <cellStyle name="Normal 3 2 7 3" xfId="10256" xr:uid="{00000000-0005-0000-0000-00001D000000}"/>
    <cellStyle name="Normal 3 2 8" xfId="1075" xr:uid="{00000000-0005-0000-0000-00001D000000}"/>
    <cellStyle name="Normal 3 2 8 2" xfId="5156" xr:uid="{00000000-0005-0000-0000-00001D000000}"/>
    <cellStyle name="Normal 3 2 8 2 2" xfId="13316" xr:uid="{00000000-0005-0000-0000-00001D000000}"/>
    <cellStyle name="Normal 3 2 8 3" xfId="9236" xr:uid="{00000000-0005-0000-0000-00001D000000}"/>
    <cellStyle name="Normal 3 2 9" xfId="3115" xr:uid="{00000000-0005-0000-0000-00001D000000}"/>
    <cellStyle name="Normal 3 2 9 2" xfId="7196" xr:uid="{00000000-0005-0000-0000-00001D000000}"/>
    <cellStyle name="Normal 3 2 9 2 2" xfId="15356" xr:uid="{00000000-0005-0000-0000-00001D000000}"/>
    <cellStyle name="Normal 3 2 9 3" xfId="11276" xr:uid="{00000000-0005-0000-0000-00001D000000}"/>
    <cellStyle name="Normal 3 3" xfId="80" xr:uid="{00000000-0005-0000-0000-00001C000000}"/>
    <cellStyle name="Normal 3 3 10" xfId="8242" xr:uid="{00000000-0005-0000-0000-00001C000000}"/>
    <cellStyle name="Normal 3 3 2" xfId="182" xr:uid="{00000000-0005-0000-0000-00001C000000}"/>
    <cellStyle name="Normal 3 3 2 2" xfId="386" xr:uid="{00000000-0005-0000-0000-00001C000000}"/>
    <cellStyle name="Normal 3 3 2 2 2" xfId="794" xr:uid="{00000000-0005-0000-0000-00001C000000}"/>
    <cellStyle name="Normal 3 3 2 2 2 2" xfId="2835" xr:uid="{00000000-0005-0000-0000-00001C000000}"/>
    <cellStyle name="Normal 3 3 2 2 2 2 2" xfId="6916" xr:uid="{00000000-0005-0000-0000-00001C000000}"/>
    <cellStyle name="Normal 3 3 2 2 2 2 2 2" xfId="15076" xr:uid="{00000000-0005-0000-0000-00001C000000}"/>
    <cellStyle name="Normal 3 3 2 2 2 2 3" xfId="10996" xr:uid="{00000000-0005-0000-0000-00001C000000}"/>
    <cellStyle name="Normal 3 3 2 2 2 3" xfId="1815" xr:uid="{00000000-0005-0000-0000-00001C000000}"/>
    <cellStyle name="Normal 3 3 2 2 2 3 2" xfId="5896" xr:uid="{00000000-0005-0000-0000-00001C000000}"/>
    <cellStyle name="Normal 3 3 2 2 2 3 2 2" xfId="14056" xr:uid="{00000000-0005-0000-0000-00001C000000}"/>
    <cellStyle name="Normal 3 3 2 2 2 3 3" xfId="9976" xr:uid="{00000000-0005-0000-0000-00001C000000}"/>
    <cellStyle name="Normal 3 3 2 2 2 4" xfId="3855" xr:uid="{00000000-0005-0000-0000-00001C000000}"/>
    <cellStyle name="Normal 3 3 2 2 2 4 2" xfId="7936" xr:uid="{00000000-0005-0000-0000-00001C000000}"/>
    <cellStyle name="Normal 3 3 2 2 2 4 2 2" xfId="16096" xr:uid="{00000000-0005-0000-0000-00001C000000}"/>
    <cellStyle name="Normal 3 3 2 2 2 4 3" xfId="12016" xr:uid="{00000000-0005-0000-0000-00001C000000}"/>
    <cellStyle name="Normal 3 3 2 2 2 5" xfId="4875" xr:uid="{00000000-0005-0000-0000-00001C000000}"/>
    <cellStyle name="Normal 3 3 2 2 2 5 2" xfId="13036" xr:uid="{00000000-0005-0000-0000-00001C000000}"/>
    <cellStyle name="Normal 3 3 2 2 2 6" xfId="8956" xr:uid="{00000000-0005-0000-0000-00001C000000}"/>
    <cellStyle name="Normal 3 3 2 2 3" xfId="2427" xr:uid="{00000000-0005-0000-0000-00001C000000}"/>
    <cellStyle name="Normal 3 3 2 2 3 2" xfId="6508" xr:uid="{00000000-0005-0000-0000-00001C000000}"/>
    <cellStyle name="Normal 3 3 2 2 3 2 2" xfId="14668" xr:uid="{00000000-0005-0000-0000-00001C000000}"/>
    <cellStyle name="Normal 3 3 2 2 3 3" xfId="10588" xr:uid="{00000000-0005-0000-0000-00001C000000}"/>
    <cellStyle name="Normal 3 3 2 2 4" xfId="1407" xr:uid="{00000000-0005-0000-0000-00001C000000}"/>
    <cellStyle name="Normal 3 3 2 2 4 2" xfId="5488" xr:uid="{00000000-0005-0000-0000-00001C000000}"/>
    <cellStyle name="Normal 3 3 2 2 4 2 2" xfId="13648" xr:uid="{00000000-0005-0000-0000-00001C000000}"/>
    <cellStyle name="Normal 3 3 2 2 4 3" xfId="9568" xr:uid="{00000000-0005-0000-0000-00001C000000}"/>
    <cellStyle name="Normal 3 3 2 2 5" xfId="3447" xr:uid="{00000000-0005-0000-0000-00001C000000}"/>
    <cellStyle name="Normal 3 3 2 2 5 2" xfId="7528" xr:uid="{00000000-0005-0000-0000-00001C000000}"/>
    <cellStyle name="Normal 3 3 2 2 5 2 2" xfId="15688" xr:uid="{00000000-0005-0000-0000-00001C000000}"/>
    <cellStyle name="Normal 3 3 2 2 5 3" xfId="11608" xr:uid="{00000000-0005-0000-0000-00001C000000}"/>
    <cellStyle name="Normal 3 3 2 2 6" xfId="4467" xr:uid="{00000000-0005-0000-0000-00001C000000}"/>
    <cellStyle name="Normal 3 3 2 2 6 2" xfId="12628" xr:uid="{00000000-0005-0000-0000-00001C000000}"/>
    <cellStyle name="Normal 3 3 2 2 7" xfId="8548" xr:uid="{00000000-0005-0000-0000-00001C000000}"/>
    <cellStyle name="Normal 3 3 2 3" xfId="998" xr:uid="{00000000-0005-0000-0000-00001C000000}"/>
    <cellStyle name="Normal 3 3 2 3 2" xfId="3039" xr:uid="{00000000-0005-0000-0000-00001C000000}"/>
    <cellStyle name="Normal 3 3 2 3 2 2" xfId="7120" xr:uid="{00000000-0005-0000-0000-00001C000000}"/>
    <cellStyle name="Normal 3 3 2 3 2 2 2" xfId="15280" xr:uid="{00000000-0005-0000-0000-00001C000000}"/>
    <cellStyle name="Normal 3 3 2 3 2 3" xfId="11200" xr:uid="{00000000-0005-0000-0000-00001C000000}"/>
    <cellStyle name="Normal 3 3 2 3 3" xfId="2019" xr:uid="{00000000-0005-0000-0000-00001C000000}"/>
    <cellStyle name="Normal 3 3 2 3 3 2" xfId="6100" xr:uid="{00000000-0005-0000-0000-00001C000000}"/>
    <cellStyle name="Normal 3 3 2 3 3 2 2" xfId="14260" xr:uid="{00000000-0005-0000-0000-00001C000000}"/>
    <cellStyle name="Normal 3 3 2 3 3 3" xfId="10180" xr:uid="{00000000-0005-0000-0000-00001C000000}"/>
    <cellStyle name="Normal 3 3 2 3 4" xfId="4059" xr:uid="{00000000-0005-0000-0000-00001C000000}"/>
    <cellStyle name="Normal 3 3 2 3 4 2" xfId="8140" xr:uid="{00000000-0005-0000-0000-00001C000000}"/>
    <cellStyle name="Normal 3 3 2 3 4 2 2" xfId="16300" xr:uid="{00000000-0005-0000-0000-00001C000000}"/>
    <cellStyle name="Normal 3 3 2 3 4 3" xfId="12220" xr:uid="{00000000-0005-0000-0000-00001C000000}"/>
    <cellStyle name="Normal 3 3 2 3 5" xfId="5079" xr:uid="{00000000-0005-0000-0000-00001C000000}"/>
    <cellStyle name="Normal 3 3 2 3 5 2" xfId="13240" xr:uid="{00000000-0005-0000-0000-00001C000000}"/>
    <cellStyle name="Normal 3 3 2 3 6" xfId="9160" xr:uid="{00000000-0005-0000-0000-00001C000000}"/>
    <cellStyle name="Normal 3 3 2 4" xfId="590" xr:uid="{00000000-0005-0000-0000-00001C000000}"/>
    <cellStyle name="Normal 3 3 2 4 2" xfId="2631" xr:uid="{00000000-0005-0000-0000-00001C000000}"/>
    <cellStyle name="Normal 3 3 2 4 2 2" xfId="6712" xr:uid="{00000000-0005-0000-0000-00001C000000}"/>
    <cellStyle name="Normal 3 3 2 4 2 2 2" xfId="14872" xr:uid="{00000000-0005-0000-0000-00001C000000}"/>
    <cellStyle name="Normal 3 3 2 4 2 3" xfId="10792" xr:uid="{00000000-0005-0000-0000-00001C000000}"/>
    <cellStyle name="Normal 3 3 2 4 3" xfId="1611" xr:uid="{00000000-0005-0000-0000-00001C000000}"/>
    <cellStyle name="Normal 3 3 2 4 3 2" xfId="5692" xr:uid="{00000000-0005-0000-0000-00001C000000}"/>
    <cellStyle name="Normal 3 3 2 4 3 2 2" xfId="13852" xr:uid="{00000000-0005-0000-0000-00001C000000}"/>
    <cellStyle name="Normal 3 3 2 4 3 3" xfId="9772" xr:uid="{00000000-0005-0000-0000-00001C000000}"/>
    <cellStyle name="Normal 3 3 2 4 4" xfId="3651" xr:uid="{00000000-0005-0000-0000-00001C000000}"/>
    <cellStyle name="Normal 3 3 2 4 4 2" xfId="7732" xr:uid="{00000000-0005-0000-0000-00001C000000}"/>
    <cellStyle name="Normal 3 3 2 4 4 2 2" xfId="15892" xr:uid="{00000000-0005-0000-0000-00001C000000}"/>
    <cellStyle name="Normal 3 3 2 4 4 3" xfId="11812" xr:uid="{00000000-0005-0000-0000-00001C000000}"/>
    <cellStyle name="Normal 3 3 2 4 5" xfId="4671" xr:uid="{00000000-0005-0000-0000-00001C000000}"/>
    <cellStyle name="Normal 3 3 2 4 5 2" xfId="12832" xr:uid="{00000000-0005-0000-0000-00001C000000}"/>
    <cellStyle name="Normal 3 3 2 4 6" xfId="8752" xr:uid="{00000000-0005-0000-0000-00001C000000}"/>
    <cellStyle name="Normal 3 3 2 5" xfId="2223" xr:uid="{00000000-0005-0000-0000-00001C000000}"/>
    <cellStyle name="Normal 3 3 2 5 2" xfId="6304" xr:uid="{00000000-0005-0000-0000-00001C000000}"/>
    <cellStyle name="Normal 3 3 2 5 2 2" xfId="14464" xr:uid="{00000000-0005-0000-0000-00001C000000}"/>
    <cellStyle name="Normal 3 3 2 5 3" xfId="10384" xr:uid="{00000000-0005-0000-0000-00001C000000}"/>
    <cellStyle name="Normal 3 3 2 6" xfId="1203" xr:uid="{00000000-0005-0000-0000-00001C000000}"/>
    <cellStyle name="Normal 3 3 2 6 2" xfId="5284" xr:uid="{00000000-0005-0000-0000-00001C000000}"/>
    <cellStyle name="Normal 3 3 2 6 2 2" xfId="13444" xr:uid="{00000000-0005-0000-0000-00001C000000}"/>
    <cellStyle name="Normal 3 3 2 6 3" xfId="9364" xr:uid="{00000000-0005-0000-0000-00001C000000}"/>
    <cellStyle name="Normal 3 3 2 7" xfId="3243" xr:uid="{00000000-0005-0000-0000-00001C000000}"/>
    <cellStyle name="Normal 3 3 2 7 2" xfId="7324" xr:uid="{00000000-0005-0000-0000-00001C000000}"/>
    <cellStyle name="Normal 3 3 2 7 2 2" xfId="15484" xr:uid="{00000000-0005-0000-0000-00001C000000}"/>
    <cellStyle name="Normal 3 3 2 7 3" xfId="11404" xr:uid="{00000000-0005-0000-0000-00001C000000}"/>
    <cellStyle name="Normal 3 3 2 8" xfId="4263" xr:uid="{00000000-0005-0000-0000-00001C000000}"/>
    <cellStyle name="Normal 3 3 2 8 2" xfId="12424" xr:uid="{00000000-0005-0000-0000-00001C000000}"/>
    <cellStyle name="Normal 3 3 2 9" xfId="8344" xr:uid="{00000000-0005-0000-0000-00001C000000}"/>
    <cellStyle name="Normal 3 3 3" xfId="284" xr:uid="{00000000-0005-0000-0000-00001C000000}"/>
    <cellStyle name="Normal 3 3 3 2" xfId="692" xr:uid="{00000000-0005-0000-0000-00001C000000}"/>
    <cellStyle name="Normal 3 3 3 2 2" xfId="2733" xr:uid="{00000000-0005-0000-0000-00001C000000}"/>
    <cellStyle name="Normal 3 3 3 2 2 2" xfId="6814" xr:uid="{00000000-0005-0000-0000-00001C000000}"/>
    <cellStyle name="Normal 3 3 3 2 2 2 2" xfId="14974" xr:uid="{00000000-0005-0000-0000-00001C000000}"/>
    <cellStyle name="Normal 3 3 3 2 2 3" xfId="10894" xr:uid="{00000000-0005-0000-0000-00001C000000}"/>
    <cellStyle name="Normal 3 3 3 2 3" xfId="1713" xr:uid="{00000000-0005-0000-0000-00001C000000}"/>
    <cellStyle name="Normal 3 3 3 2 3 2" xfId="5794" xr:uid="{00000000-0005-0000-0000-00001C000000}"/>
    <cellStyle name="Normal 3 3 3 2 3 2 2" xfId="13954" xr:uid="{00000000-0005-0000-0000-00001C000000}"/>
    <cellStyle name="Normal 3 3 3 2 3 3" xfId="9874" xr:uid="{00000000-0005-0000-0000-00001C000000}"/>
    <cellStyle name="Normal 3 3 3 2 4" xfId="3753" xr:uid="{00000000-0005-0000-0000-00001C000000}"/>
    <cellStyle name="Normal 3 3 3 2 4 2" xfId="7834" xr:uid="{00000000-0005-0000-0000-00001C000000}"/>
    <cellStyle name="Normal 3 3 3 2 4 2 2" xfId="15994" xr:uid="{00000000-0005-0000-0000-00001C000000}"/>
    <cellStyle name="Normal 3 3 3 2 4 3" xfId="11914" xr:uid="{00000000-0005-0000-0000-00001C000000}"/>
    <cellStyle name="Normal 3 3 3 2 5" xfId="4773" xr:uid="{00000000-0005-0000-0000-00001C000000}"/>
    <cellStyle name="Normal 3 3 3 2 5 2" xfId="12934" xr:uid="{00000000-0005-0000-0000-00001C000000}"/>
    <cellStyle name="Normal 3 3 3 2 6" xfId="8854" xr:uid="{00000000-0005-0000-0000-00001C000000}"/>
    <cellStyle name="Normal 3 3 3 3" xfId="2325" xr:uid="{00000000-0005-0000-0000-00001C000000}"/>
    <cellStyle name="Normal 3 3 3 3 2" xfId="6406" xr:uid="{00000000-0005-0000-0000-00001C000000}"/>
    <cellStyle name="Normal 3 3 3 3 2 2" xfId="14566" xr:uid="{00000000-0005-0000-0000-00001C000000}"/>
    <cellStyle name="Normal 3 3 3 3 3" xfId="10486" xr:uid="{00000000-0005-0000-0000-00001C000000}"/>
    <cellStyle name="Normal 3 3 3 4" xfId="1305" xr:uid="{00000000-0005-0000-0000-00001C000000}"/>
    <cellStyle name="Normal 3 3 3 4 2" xfId="5386" xr:uid="{00000000-0005-0000-0000-00001C000000}"/>
    <cellStyle name="Normal 3 3 3 4 2 2" xfId="13546" xr:uid="{00000000-0005-0000-0000-00001C000000}"/>
    <cellStyle name="Normal 3 3 3 4 3" xfId="9466" xr:uid="{00000000-0005-0000-0000-00001C000000}"/>
    <cellStyle name="Normal 3 3 3 5" xfId="3345" xr:uid="{00000000-0005-0000-0000-00001C000000}"/>
    <cellStyle name="Normal 3 3 3 5 2" xfId="7426" xr:uid="{00000000-0005-0000-0000-00001C000000}"/>
    <cellStyle name="Normal 3 3 3 5 2 2" xfId="15586" xr:uid="{00000000-0005-0000-0000-00001C000000}"/>
    <cellStyle name="Normal 3 3 3 5 3" xfId="11506" xr:uid="{00000000-0005-0000-0000-00001C000000}"/>
    <cellStyle name="Normal 3 3 3 6" xfId="4365" xr:uid="{00000000-0005-0000-0000-00001C000000}"/>
    <cellStyle name="Normal 3 3 3 6 2" xfId="12526" xr:uid="{00000000-0005-0000-0000-00001C000000}"/>
    <cellStyle name="Normal 3 3 3 7" xfId="8446" xr:uid="{00000000-0005-0000-0000-00001C000000}"/>
    <cellStyle name="Normal 3 3 4" xfId="896" xr:uid="{00000000-0005-0000-0000-00001C000000}"/>
    <cellStyle name="Normal 3 3 4 2" xfId="2937" xr:uid="{00000000-0005-0000-0000-00001C000000}"/>
    <cellStyle name="Normal 3 3 4 2 2" xfId="7018" xr:uid="{00000000-0005-0000-0000-00001C000000}"/>
    <cellStyle name="Normal 3 3 4 2 2 2" xfId="15178" xr:uid="{00000000-0005-0000-0000-00001C000000}"/>
    <cellStyle name="Normal 3 3 4 2 3" xfId="11098" xr:uid="{00000000-0005-0000-0000-00001C000000}"/>
    <cellStyle name="Normal 3 3 4 3" xfId="1917" xr:uid="{00000000-0005-0000-0000-00001C000000}"/>
    <cellStyle name="Normal 3 3 4 3 2" xfId="5998" xr:uid="{00000000-0005-0000-0000-00001C000000}"/>
    <cellStyle name="Normal 3 3 4 3 2 2" xfId="14158" xr:uid="{00000000-0005-0000-0000-00001C000000}"/>
    <cellStyle name="Normal 3 3 4 3 3" xfId="10078" xr:uid="{00000000-0005-0000-0000-00001C000000}"/>
    <cellStyle name="Normal 3 3 4 4" xfId="3957" xr:uid="{00000000-0005-0000-0000-00001C000000}"/>
    <cellStyle name="Normal 3 3 4 4 2" xfId="8038" xr:uid="{00000000-0005-0000-0000-00001C000000}"/>
    <cellStyle name="Normal 3 3 4 4 2 2" xfId="16198" xr:uid="{00000000-0005-0000-0000-00001C000000}"/>
    <cellStyle name="Normal 3 3 4 4 3" xfId="12118" xr:uid="{00000000-0005-0000-0000-00001C000000}"/>
    <cellStyle name="Normal 3 3 4 5" xfId="4977" xr:uid="{00000000-0005-0000-0000-00001C000000}"/>
    <cellStyle name="Normal 3 3 4 5 2" xfId="13138" xr:uid="{00000000-0005-0000-0000-00001C000000}"/>
    <cellStyle name="Normal 3 3 4 6" xfId="9058" xr:uid="{00000000-0005-0000-0000-00001C000000}"/>
    <cellStyle name="Normal 3 3 5" xfId="488" xr:uid="{00000000-0005-0000-0000-00001C000000}"/>
    <cellStyle name="Normal 3 3 5 2" xfId="2529" xr:uid="{00000000-0005-0000-0000-00001C000000}"/>
    <cellStyle name="Normal 3 3 5 2 2" xfId="6610" xr:uid="{00000000-0005-0000-0000-00001C000000}"/>
    <cellStyle name="Normal 3 3 5 2 2 2" xfId="14770" xr:uid="{00000000-0005-0000-0000-00001C000000}"/>
    <cellStyle name="Normal 3 3 5 2 3" xfId="10690" xr:uid="{00000000-0005-0000-0000-00001C000000}"/>
    <cellStyle name="Normal 3 3 5 3" xfId="1509" xr:uid="{00000000-0005-0000-0000-00001C000000}"/>
    <cellStyle name="Normal 3 3 5 3 2" xfId="5590" xr:uid="{00000000-0005-0000-0000-00001C000000}"/>
    <cellStyle name="Normal 3 3 5 3 2 2" xfId="13750" xr:uid="{00000000-0005-0000-0000-00001C000000}"/>
    <cellStyle name="Normal 3 3 5 3 3" xfId="9670" xr:uid="{00000000-0005-0000-0000-00001C000000}"/>
    <cellStyle name="Normal 3 3 5 4" xfId="3549" xr:uid="{00000000-0005-0000-0000-00001C000000}"/>
    <cellStyle name="Normal 3 3 5 4 2" xfId="7630" xr:uid="{00000000-0005-0000-0000-00001C000000}"/>
    <cellStyle name="Normal 3 3 5 4 2 2" xfId="15790" xr:uid="{00000000-0005-0000-0000-00001C000000}"/>
    <cellStyle name="Normal 3 3 5 4 3" xfId="11710" xr:uid="{00000000-0005-0000-0000-00001C000000}"/>
    <cellStyle name="Normal 3 3 5 5" xfId="4569" xr:uid="{00000000-0005-0000-0000-00001C000000}"/>
    <cellStyle name="Normal 3 3 5 5 2" xfId="12730" xr:uid="{00000000-0005-0000-0000-00001C000000}"/>
    <cellStyle name="Normal 3 3 5 6" xfId="8650" xr:uid="{00000000-0005-0000-0000-00001C000000}"/>
    <cellStyle name="Normal 3 3 6" xfId="2121" xr:uid="{00000000-0005-0000-0000-00001C000000}"/>
    <cellStyle name="Normal 3 3 6 2" xfId="6202" xr:uid="{00000000-0005-0000-0000-00001C000000}"/>
    <cellStyle name="Normal 3 3 6 2 2" xfId="14362" xr:uid="{00000000-0005-0000-0000-00001C000000}"/>
    <cellStyle name="Normal 3 3 6 3" xfId="10282" xr:uid="{00000000-0005-0000-0000-00001C000000}"/>
    <cellStyle name="Normal 3 3 7" xfId="1101" xr:uid="{00000000-0005-0000-0000-00001C000000}"/>
    <cellStyle name="Normal 3 3 7 2" xfId="5182" xr:uid="{00000000-0005-0000-0000-00001C000000}"/>
    <cellStyle name="Normal 3 3 7 2 2" xfId="13342" xr:uid="{00000000-0005-0000-0000-00001C000000}"/>
    <cellStyle name="Normal 3 3 7 3" xfId="9262" xr:uid="{00000000-0005-0000-0000-00001C000000}"/>
    <cellStyle name="Normal 3 3 8" xfId="3141" xr:uid="{00000000-0005-0000-0000-00001C000000}"/>
    <cellStyle name="Normal 3 3 8 2" xfId="7222" xr:uid="{00000000-0005-0000-0000-00001C000000}"/>
    <cellStyle name="Normal 3 3 8 2 2" xfId="15382" xr:uid="{00000000-0005-0000-0000-00001C000000}"/>
    <cellStyle name="Normal 3 3 8 3" xfId="11302" xr:uid="{00000000-0005-0000-0000-00001C000000}"/>
    <cellStyle name="Normal 3 3 9" xfId="4161" xr:uid="{00000000-0005-0000-0000-00001C000000}"/>
    <cellStyle name="Normal 3 3 9 2" xfId="12322" xr:uid="{00000000-0005-0000-0000-00001C000000}"/>
    <cellStyle name="Normal 3 4" xfId="131" xr:uid="{00000000-0005-0000-0000-00001C000000}"/>
    <cellStyle name="Normal 3 4 2" xfId="335" xr:uid="{00000000-0005-0000-0000-00001C000000}"/>
    <cellStyle name="Normal 3 4 2 2" xfId="743" xr:uid="{00000000-0005-0000-0000-00001C000000}"/>
    <cellStyle name="Normal 3 4 2 2 2" xfId="2784" xr:uid="{00000000-0005-0000-0000-00001C000000}"/>
    <cellStyle name="Normal 3 4 2 2 2 2" xfId="6865" xr:uid="{00000000-0005-0000-0000-00001C000000}"/>
    <cellStyle name="Normal 3 4 2 2 2 2 2" xfId="15025" xr:uid="{00000000-0005-0000-0000-00001C000000}"/>
    <cellStyle name="Normal 3 4 2 2 2 3" xfId="10945" xr:uid="{00000000-0005-0000-0000-00001C000000}"/>
    <cellStyle name="Normal 3 4 2 2 3" xfId="1764" xr:uid="{00000000-0005-0000-0000-00001C000000}"/>
    <cellStyle name="Normal 3 4 2 2 3 2" xfId="5845" xr:uid="{00000000-0005-0000-0000-00001C000000}"/>
    <cellStyle name="Normal 3 4 2 2 3 2 2" xfId="14005" xr:uid="{00000000-0005-0000-0000-00001C000000}"/>
    <cellStyle name="Normal 3 4 2 2 3 3" xfId="9925" xr:uid="{00000000-0005-0000-0000-00001C000000}"/>
    <cellStyle name="Normal 3 4 2 2 4" xfId="3804" xr:uid="{00000000-0005-0000-0000-00001C000000}"/>
    <cellStyle name="Normal 3 4 2 2 4 2" xfId="7885" xr:uid="{00000000-0005-0000-0000-00001C000000}"/>
    <cellStyle name="Normal 3 4 2 2 4 2 2" xfId="16045" xr:uid="{00000000-0005-0000-0000-00001C000000}"/>
    <cellStyle name="Normal 3 4 2 2 4 3" xfId="11965" xr:uid="{00000000-0005-0000-0000-00001C000000}"/>
    <cellStyle name="Normal 3 4 2 2 5" xfId="4824" xr:uid="{00000000-0005-0000-0000-00001C000000}"/>
    <cellStyle name="Normal 3 4 2 2 5 2" xfId="12985" xr:uid="{00000000-0005-0000-0000-00001C000000}"/>
    <cellStyle name="Normal 3 4 2 2 6" xfId="8905" xr:uid="{00000000-0005-0000-0000-00001C000000}"/>
    <cellStyle name="Normal 3 4 2 3" xfId="2376" xr:uid="{00000000-0005-0000-0000-00001C000000}"/>
    <cellStyle name="Normal 3 4 2 3 2" xfId="6457" xr:uid="{00000000-0005-0000-0000-00001C000000}"/>
    <cellStyle name="Normal 3 4 2 3 2 2" xfId="14617" xr:uid="{00000000-0005-0000-0000-00001C000000}"/>
    <cellStyle name="Normal 3 4 2 3 3" xfId="10537" xr:uid="{00000000-0005-0000-0000-00001C000000}"/>
    <cellStyle name="Normal 3 4 2 4" xfId="1356" xr:uid="{00000000-0005-0000-0000-00001C000000}"/>
    <cellStyle name="Normal 3 4 2 4 2" xfId="5437" xr:uid="{00000000-0005-0000-0000-00001C000000}"/>
    <cellStyle name="Normal 3 4 2 4 2 2" xfId="13597" xr:uid="{00000000-0005-0000-0000-00001C000000}"/>
    <cellStyle name="Normal 3 4 2 4 3" xfId="9517" xr:uid="{00000000-0005-0000-0000-00001C000000}"/>
    <cellStyle name="Normal 3 4 2 5" xfId="3396" xr:uid="{00000000-0005-0000-0000-00001C000000}"/>
    <cellStyle name="Normal 3 4 2 5 2" xfId="7477" xr:uid="{00000000-0005-0000-0000-00001C000000}"/>
    <cellStyle name="Normal 3 4 2 5 2 2" xfId="15637" xr:uid="{00000000-0005-0000-0000-00001C000000}"/>
    <cellStyle name="Normal 3 4 2 5 3" xfId="11557" xr:uid="{00000000-0005-0000-0000-00001C000000}"/>
    <cellStyle name="Normal 3 4 2 6" xfId="4416" xr:uid="{00000000-0005-0000-0000-00001C000000}"/>
    <cellStyle name="Normal 3 4 2 6 2" xfId="12577" xr:uid="{00000000-0005-0000-0000-00001C000000}"/>
    <cellStyle name="Normal 3 4 2 7" xfId="8497" xr:uid="{00000000-0005-0000-0000-00001C000000}"/>
    <cellStyle name="Normal 3 4 3" xfId="947" xr:uid="{00000000-0005-0000-0000-00001C000000}"/>
    <cellStyle name="Normal 3 4 3 2" xfId="2988" xr:uid="{00000000-0005-0000-0000-00001C000000}"/>
    <cellStyle name="Normal 3 4 3 2 2" xfId="7069" xr:uid="{00000000-0005-0000-0000-00001C000000}"/>
    <cellStyle name="Normal 3 4 3 2 2 2" xfId="15229" xr:uid="{00000000-0005-0000-0000-00001C000000}"/>
    <cellStyle name="Normal 3 4 3 2 3" xfId="11149" xr:uid="{00000000-0005-0000-0000-00001C000000}"/>
    <cellStyle name="Normal 3 4 3 3" xfId="1968" xr:uid="{00000000-0005-0000-0000-00001C000000}"/>
    <cellStyle name="Normal 3 4 3 3 2" xfId="6049" xr:uid="{00000000-0005-0000-0000-00001C000000}"/>
    <cellStyle name="Normal 3 4 3 3 2 2" xfId="14209" xr:uid="{00000000-0005-0000-0000-00001C000000}"/>
    <cellStyle name="Normal 3 4 3 3 3" xfId="10129" xr:uid="{00000000-0005-0000-0000-00001C000000}"/>
    <cellStyle name="Normal 3 4 3 4" xfId="4008" xr:uid="{00000000-0005-0000-0000-00001C000000}"/>
    <cellStyle name="Normal 3 4 3 4 2" xfId="8089" xr:uid="{00000000-0005-0000-0000-00001C000000}"/>
    <cellStyle name="Normal 3 4 3 4 2 2" xfId="16249" xr:uid="{00000000-0005-0000-0000-00001C000000}"/>
    <cellStyle name="Normal 3 4 3 4 3" xfId="12169" xr:uid="{00000000-0005-0000-0000-00001C000000}"/>
    <cellStyle name="Normal 3 4 3 5" xfId="5028" xr:uid="{00000000-0005-0000-0000-00001C000000}"/>
    <cellStyle name="Normal 3 4 3 5 2" xfId="13189" xr:uid="{00000000-0005-0000-0000-00001C000000}"/>
    <cellStyle name="Normal 3 4 3 6" xfId="9109" xr:uid="{00000000-0005-0000-0000-00001C000000}"/>
    <cellStyle name="Normal 3 4 4" xfId="539" xr:uid="{00000000-0005-0000-0000-00001C000000}"/>
    <cellStyle name="Normal 3 4 4 2" xfId="2580" xr:uid="{00000000-0005-0000-0000-00001C000000}"/>
    <cellStyle name="Normal 3 4 4 2 2" xfId="6661" xr:uid="{00000000-0005-0000-0000-00001C000000}"/>
    <cellStyle name="Normal 3 4 4 2 2 2" xfId="14821" xr:uid="{00000000-0005-0000-0000-00001C000000}"/>
    <cellStyle name="Normal 3 4 4 2 3" xfId="10741" xr:uid="{00000000-0005-0000-0000-00001C000000}"/>
    <cellStyle name="Normal 3 4 4 3" xfId="1560" xr:uid="{00000000-0005-0000-0000-00001C000000}"/>
    <cellStyle name="Normal 3 4 4 3 2" xfId="5641" xr:uid="{00000000-0005-0000-0000-00001C000000}"/>
    <cellStyle name="Normal 3 4 4 3 2 2" xfId="13801" xr:uid="{00000000-0005-0000-0000-00001C000000}"/>
    <cellStyle name="Normal 3 4 4 3 3" xfId="9721" xr:uid="{00000000-0005-0000-0000-00001C000000}"/>
    <cellStyle name="Normal 3 4 4 4" xfId="3600" xr:uid="{00000000-0005-0000-0000-00001C000000}"/>
    <cellStyle name="Normal 3 4 4 4 2" xfId="7681" xr:uid="{00000000-0005-0000-0000-00001C000000}"/>
    <cellStyle name="Normal 3 4 4 4 2 2" xfId="15841" xr:uid="{00000000-0005-0000-0000-00001C000000}"/>
    <cellStyle name="Normal 3 4 4 4 3" xfId="11761" xr:uid="{00000000-0005-0000-0000-00001C000000}"/>
    <cellStyle name="Normal 3 4 4 5" xfId="4620" xr:uid="{00000000-0005-0000-0000-00001C000000}"/>
    <cellStyle name="Normal 3 4 4 5 2" xfId="12781" xr:uid="{00000000-0005-0000-0000-00001C000000}"/>
    <cellStyle name="Normal 3 4 4 6" xfId="8701" xr:uid="{00000000-0005-0000-0000-00001C000000}"/>
    <cellStyle name="Normal 3 4 5" xfId="2172" xr:uid="{00000000-0005-0000-0000-00001C000000}"/>
    <cellStyle name="Normal 3 4 5 2" xfId="6253" xr:uid="{00000000-0005-0000-0000-00001C000000}"/>
    <cellStyle name="Normal 3 4 5 2 2" xfId="14413" xr:uid="{00000000-0005-0000-0000-00001C000000}"/>
    <cellStyle name="Normal 3 4 5 3" xfId="10333" xr:uid="{00000000-0005-0000-0000-00001C000000}"/>
    <cellStyle name="Normal 3 4 6" xfId="1152" xr:uid="{00000000-0005-0000-0000-00001C000000}"/>
    <cellStyle name="Normal 3 4 6 2" xfId="5233" xr:uid="{00000000-0005-0000-0000-00001C000000}"/>
    <cellStyle name="Normal 3 4 6 2 2" xfId="13393" xr:uid="{00000000-0005-0000-0000-00001C000000}"/>
    <cellStyle name="Normal 3 4 6 3" xfId="9313" xr:uid="{00000000-0005-0000-0000-00001C000000}"/>
    <cellStyle name="Normal 3 4 7" xfId="3192" xr:uid="{00000000-0005-0000-0000-00001C000000}"/>
    <cellStyle name="Normal 3 4 7 2" xfId="7273" xr:uid="{00000000-0005-0000-0000-00001C000000}"/>
    <cellStyle name="Normal 3 4 7 2 2" xfId="15433" xr:uid="{00000000-0005-0000-0000-00001C000000}"/>
    <cellStyle name="Normal 3 4 7 3" xfId="11353" xr:uid="{00000000-0005-0000-0000-00001C000000}"/>
    <cellStyle name="Normal 3 4 8" xfId="4212" xr:uid="{00000000-0005-0000-0000-00001C000000}"/>
    <cellStyle name="Normal 3 4 8 2" xfId="12373" xr:uid="{00000000-0005-0000-0000-00001C000000}"/>
    <cellStyle name="Normal 3 4 9" xfId="8293" xr:uid="{00000000-0005-0000-0000-00001C000000}"/>
    <cellStyle name="Normal 3 5" xfId="233" xr:uid="{00000000-0005-0000-0000-00001C000000}"/>
    <cellStyle name="Normal 3 5 2" xfId="641" xr:uid="{00000000-0005-0000-0000-00001C000000}"/>
    <cellStyle name="Normal 3 5 2 2" xfId="2682" xr:uid="{00000000-0005-0000-0000-00001C000000}"/>
    <cellStyle name="Normal 3 5 2 2 2" xfId="6763" xr:uid="{00000000-0005-0000-0000-00001C000000}"/>
    <cellStyle name="Normal 3 5 2 2 2 2" xfId="14923" xr:uid="{00000000-0005-0000-0000-00001C000000}"/>
    <cellStyle name="Normal 3 5 2 2 3" xfId="10843" xr:uid="{00000000-0005-0000-0000-00001C000000}"/>
    <cellStyle name="Normal 3 5 2 3" xfId="1662" xr:uid="{00000000-0005-0000-0000-00001C000000}"/>
    <cellStyle name="Normal 3 5 2 3 2" xfId="5743" xr:uid="{00000000-0005-0000-0000-00001C000000}"/>
    <cellStyle name="Normal 3 5 2 3 2 2" xfId="13903" xr:uid="{00000000-0005-0000-0000-00001C000000}"/>
    <cellStyle name="Normal 3 5 2 3 3" xfId="9823" xr:uid="{00000000-0005-0000-0000-00001C000000}"/>
    <cellStyle name="Normal 3 5 2 4" xfId="3702" xr:uid="{00000000-0005-0000-0000-00001C000000}"/>
    <cellStyle name="Normal 3 5 2 4 2" xfId="7783" xr:uid="{00000000-0005-0000-0000-00001C000000}"/>
    <cellStyle name="Normal 3 5 2 4 2 2" xfId="15943" xr:uid="{00000000-0005-0000-0000-00001C000000}"/>
    <cellStyle name="Normal 3 5 2 4 3" xfId="11863" xr:uid="{00000000-0005-0000-0000-00001C000000}"/>
    <cellStyle name="Normal 3 5 2 5" xfId="4722" xr:uid="{00000000-0005-0000-0000-00001C000000}"/>
    <cellStyle name="Normal 3 5 2 5 2" xfId="12883" xr:uid="{00000000-0005-0000-0000-00001C000000}"/>
    <cellStyle name="Normal 3 5 2 6" xfId="8803" xr:uid="{00000000-0005-0000-0000-00001C000000}"/>
    <cellStyle name="Normal 3 5 3" xfId="2274" xr:uid="{00000000-0005-0000-0000-00001C000000}"/>
    <cellStyle name="Normal 3 5 3 2" xfId="6355" xr:uid="{00000000-0005-0000-0000-00001C000000}"/>
    <cellStyle name="Normal 3 5 3 2 2" xfId="14515" xr:uid="{00000000-0005-0000-0000-00001C000000}"/>
    <cellStyle name="Normal 3 5 3 3" xfId="10435" xr:uid="{00000000-0005-0000-0000-00001C000000}"/>
    <cellStyle name="Normal 3 5 4" xfId="1254" xr:uid="{00000000-0005-0000-0000-00001C000000}"/>
    <cellStyle name="Normal 3 5 4 2" xfId="5335" xr:uid="{00000000-0005-0000-0000-00001C000000}"/>
    <cellStyle name="Normal 3 5 4 2 2" xfId="13495" xr:uid="{00000000-0005-0000-0000-00001C000000}"/>
    <cellStyle name="Normal 3 5 4 3" xfId="9415" xr:uid="{00000000-0005-0000-0000-00001C000000}"/>
    <cellStyle name="Normal 3 5 5" xfId="3294" xr:uid="{00000000-0005-0000-0000-00001C000000}"/>
    <cellStyle name="Normal 3 5 5 2" xfId="7375" xr:uid="{00000000-0005-0000-0000-00001C000000}"/>
    <cellStyle name="Normal 3 5 5 2 2" xfId="15535" xr:uid="{00000000-0005-0000-0000-00001C000000}"/>
    <cellStyle name="Normal 3 5 5 3" xfId="11455" xr:uid="{00000000-0005-0000-0000-00001C000000}"/>
    <cellStyle name="Normal 3 5 6" xfId="4314" xr:uid="{00000000-0005-0000-0000-00001C000000}"/>
    <cellStyle name="Normal 3 5 6 2" xfId="12475" xr:uid="{00000000-0005-0000-0000-00001C000000}"/>
    <cellStyle name="Normal 3 5 7" xfId="8395" xr:uid="{00000000-0005-0000-0000-00001C000000}"/>
    <cellStyle name="Normal 3 6" xfId="845" xr:uid="{00000000-0005-0000-0000-00001C000000}"/>
    <cellStyle name="Normal 3 6 2" xfId="2886" xr:uid="{00000000-0005-0000-0000-00001C000000}"/>
    <cellStyle name="Normal 3 6 2 2" xfId="6967" xr:uid="{00000000-0005-0000-0000-00001C000000}"/>
    <cellStyle name="Normal 3 6 2 2 2" xfId="15127" xr:uid="{00000000-0005-0000-0000-00001C000000}"/>
    <cellStyle name="Normal 3 6 2 3" xfId="11047" xr:uid="{00000000-0005-0000-0000-00001C000000}"/>
    <cellStyle name="Normal 3 6 3" xfId="1866" xr:uid="{00000000-0005-0000-0000-00001C000000}"/>
    <cellStyle name="Normal 3 6 3 2" xfId="5947" xr:uid="{00000000-0005-0000-0000-00001C000000}"/>
    <cellStyle name="Normal 3 6 3 2 2" xfId="14107" xr:uid="{00000000-0005-0000-0000-00001C000000}"/>
    <cellStyle name="Normal 3 6 3 3" xfId="10027" xr:uid="{00000000-0005-0000-0000-00001C000000}"/>
    <cellStyle name="Normal 3 6 4" xfId="3906" xr:uid="{00000000-0005-0000-0000-00001C000000}"/>
    <cellStyle name="Normal 3 6 4 2" xfId="7987" xr:uid="{00000000-0005-0000-0000-00001C000000}"/>
    <cellStyle name="Normal 3 6 4 2 2" xfId="16147" xr:uid="{00000000-0005-0000-0000-00001C000000}"/>
    <cellStyle name="Normal 3 6 4 3" xfId="12067" xr:uid="{00000000-0005-0000-0000-00001C000000}"/>
    <cellStyle name="Normal 3 6 5" xfId="4926" xr:uid="{00000000-0005-0000-0000-00001C000000}"/>
    <cellStyle name="Normal 3 6 5 2" xfId="13087" xr:uid="{00000000-0005-0000-0000-00001C000000}"/>
    <cellStyle name="Normal 3 6 6" xfId="9007" xr:uid="{00000000-0005-0000-0000-00001C000000}"/>
    <cellStyle name="Normal 3 7" xfId="437" xr:uid="{00000000-0005-0000-0000-00001C000000}"/>
    <cellStyle name="Normal 3 7 2" xfId="2478" xr:uid="{00000000-0005-0000-0000-00001C000000}"/>
    <cellStyle name="Normal 3 7 2 2" xfId="6559" xr:uid="{00000000-0005-0000-0000-00001C000000}"/>
    <cellStyle name="Normal 3 7 2 2 2" xfId="14719" xr:uid="{00000000-0005-0000-0000-00001C000000}"/>
    <cellStyle name="Normal 3 7 2 3" xfId="10639" xr:uid="{00000000-0005-0000-0000-00001C000000}"/>
    <cellStyle name="Normal 3 7 3" xfId="1458" xr:uid="{00000000-0005-0000-0000-00001C000000}"/>
    <cellStyle name="Normal 3 7 3 2" xfId="5539" xr:uid="{00000000-0005-0000-0000-00001C000000}"/>
    <cellStyle name="Normal 3 7 3 2 2" xfId="13699" xr:uid="{00000000-0005-0000-0000-00001C000000}"/>
    <cellStyle name="Normal 3 7 3 3" xfId="9619" xr:uid="{00000000-0005-0000-0000-00001C000000}"/>
    <cellStyle name="Normal 3 7 4" xfId="3498" xr:uid="{00000000-0005-0000-0000-00001C000000}"/>
    <cellStyle name="Normal 3 7 4 2" xfId="7579" xr:uid="{00000000-0005-0000-0000-00001C000000}"/>
    <cellStyle name="Normal 3 7 4 2 2" xfId="15739" xr:uid="{00000000-0005-0000-0000-00001C000000}"/>
    <cellStyle name="Normal 3 7 4 3" xfId="11659" xr:uid="{00000000-0005-0000-0000-00001C000000}"/>
    <cellStyle name="Normal 3 7 5" xfId="4518" xr:uid="{00000000-0005-0000-0000-00001C000000}"/>
    <cellStyle name="Normal 3 7 5 2" xfId="12679" xr:uid="{00000000-0005-0000-0000-00001C000000}"/>
    <cellStyle name="Normal 3 7 6" xfId="8599" xr:uid="{00000000-0005-0000-0000-00001C000000}"/>
    <cellStyle name="Normal 3 8" xfId="2070" xr:uid="{00000000-0005-0000-0000-00001C000000}"/>
    <cellStyle name="Normal 3 8 2" xfId="6151" xr:uid="{00000000-0005-0000-0000-00001C000000}"/>
    <cellStyle name="Normal 3 8 2 2" xfId="14311" xr:uid="{00000000-0005-0000-0000-00001C000000}"/>
    <cellStyle name="Normal 3 8 3" xfId="10231" xr:uid="{00000000-0005-0000-0000-00001C000000}"/>
    <cellStyle name="Normal 3 9" xfId="1050" xr:uid="{00000000-0005-0000-0000-00001C000000}"/>
    <cellStyle name="Normal 3 9 2" xfId="5131" xr:uid="{00000000-0005-0000-0000-00001C000000}"/>
    <cellStyle name="Normal 3 9 2 2" xfId="13291" xr:uid="{00000000-0005-0000-0000-00001C000000}"/>
    <cellStyle name="Normal 3 9 3" xfId="9211" xr:uid="{00000000-0005-0000-0000-00001C000000}"/>
    <cellStyle name="Normal 4" xfId="55" xr:uid="{00000000-0005-0000-0000-000064000000}"/>
    <cellStyle name="Normal 4 10" xfId="4136" xr:uid="{00000000-0005-0000-0000-000064000000}"/>
    <cellStyle name="Normal 4 10 2" xfId="12297" xr:uid="{00000000-0005-0000-0000-000064000000}"/>
    <cellStyle name="Normal 4 11" xfId="8217" xr:uid="{00000000-0005-0000-0000-000064000000}"/>
    <cellStyle name="Normal 4 2" xfId="106" xr:uid="{00000000-0005-0000-0000-000064000000}"/>
    <cellStyle name="Normal 4 2 10" xfId="8268" xr:uid="{00000000-0005-0000-0000-000064000000}"/>
    <cellStyle name="Normal 4 2 2" xfId="208" xr:uid="{00000000-0005-0000-0000-000064000000}"/>
    <cellStyle name="Normal 4 2 2 2" xfId="412" xr:uid="{00000000-0005-0000-0000-000064000000}"/>
    <cellStyle name="Normal 4 2 2 2 2" xfId="820" xr:uid="{00000000-0005-0000-0000-000064000000}"/>
    <cellStyle name="Normal 4 2 2 2 2 2" xfId="2861" xr:uid="{00000000-0005-0000-0000-000064000000}"/>
    <cellStyle name="Normal 4 2 2 2 2 2 2" xfId="6942" xr:uid="{00000000-0005-0000-0000-000064000000}"/>
    <cellStyle name="Normal 4 2 2 2 2 2 2 2" xfId="15102" xr:uid="{00000000-0005-0000-0000-000064000000}"/>
    <cellStyle name="Normal 4 2 2 2 2 2 3" xfId="11022" xr:uid="{00000000-0005-0000-0000-000064000000}"/>
    <cellStyle name="Normal 4 2 2 2 2 3" xfId="1841" xr:uid="{00000000-0005-0000-0000-000064000000}"/>
    <cellStyle name="Normal 4 2 2 2 2 3 2" xfId="5922" xr:uid="{00000000-0005-0000-0000-000064000000}"/>
    <cellStyle name="Normal 4 2 2 2 2 3 2 2" xfId="14082" xr:uid="{00000000-0005-0000-0000-000064000000}"/>
    <cellStyle name="Normal 4 2 2 2 2 3 3" xfId="10002" xr:uid="{00000000-0005-0000-0000-000064000000}"/>
    <cellStyle name="Normal 4 2 2 2 2 4" xfId="3881" xr:uid="{00000000-0005-0000-0000-000064000000}"/>
    <cellStyle name="Normal 4 2 2 2 2 4 2" xfId="7962" xr:uid="{00000000-0005-0000-0000-000064000000}"/>
    <cellStyle name="Normal 4 2 2 2 2 4 2 2" xfId="16122" xr:uid="{00000000-0005-0000-0000-000064000000}"/>
    <cellStyle name="Normal 4 2 2 2 2 4 3" xfId="12042" xr:uid="{00000000-0005-0000-0000-000064000000}"/>
    <cellStyle name="Normal 4 2 2 2 2 5" xfId="4901" xr:uid="{00000000-0005-0000-0000-000064000000}"/>
    <cellStyle name="Normal 4 2 2 2 2 5 2" xfId="13062" xr:uid="{00000000-0005-0000-0000-000064000000}"/>
    <cellStyle name="Normal 4 2 2 2 2 6" xfId="8982" xr:uid="{00000000-0005-0000-0000-000064000000}"/>
    <cellStyle name="Normal 4 2 2 2 3" xfId="2453" xr:uid="{00000000-0005-0000-0000-000064000000}"/>
    <cellStyle name="Normal 4 2 2 2 3 2" xfId="6534" xr:uid="{00000000-0005-0000-0000-000064000000}"/>
    <cellStyle name="Normal 4 2 2 2 3 2 2" xfId="14694" xr:uid="{00000000-0005-0000-0000-000064000000}"/>
    <cellStyle name="Normal 4 2 2 2 3 3" xfId="10614" xr:uid="{00000000-0005-0000-0000-000064000000}"/>
    <cellStyle name="Normal 4 2 2 2 4" xfId="1433" xr:uid="{00000000-0005-0000-0000-000064000000}"/>
    <cellStyle name="Normal 4 2 2 2 4 2" xfId="5514" xr:uid="{00000000-0005-0000-0000-000064000000}"/>
    <cellStyle name="Normal 4 2 2 2 4 2 2" xfId="13674" xr:uid="{00000000-0005-0000-0000-000064000000}"/>
    <cellStyle name="Normal 4 2 2 2 4 3" xfId="9594" xr:uid="{00000000-0005-0000-0000-000064000000}"/>
    <cellStyle name="Normal 4 2 2 2 5" xfId="3473" xr:uid="{00000000-0005-0000-0000-000064000000}"/>
    <cellStyle name="Normal 4 2 2 2 5 2" xfId="7554" xr:uid="{00000000-0005-0000-0000-000064000000}"/>
    <cellStyle name="Normal 4 2 2 2 5 2 2" xfId="15714" xr:uid="{00000000-0005-0000-0000-000064000000}"/>
    <cellStyle name="Normal 4 2 2 2 5 3" xfId="11634" xr:uid="{00000000-0005-0000-0000-000064000000}"/>
    <cellStyle name="Normal 4 2 2 2 6" xfId="4493" xr:uid="{00000000-0005-0000-0000-000064000000}"/>
    <cellStyle name="Normal 4 2 2 2 6 2" xfId="12654" xr:uid="{00000000-0005-0000-0000-000064000000}"/>
    <cellStyle name="Normal 4 2 2 2 7" xfId="8574" xr:uid="{00000000-0005-0000-0000-000064000000}"/>
    <cellStyle name="Normal 4 2 2 3" xfId="1024" xr:uid="{00000000-0005-0000-0000-000064000000}"/>
    <cellStyle name="Normal 4 2 2 3 2" xfId="3065" xr:uid="{00000000-0005-0000-0000-000064000000}"/>
    <cellStyle name="Normal 4 2 2 3 2 2" xfId="7146" xr:uid="{00000000-0005-0000-0000-000064000000}"/>
    <cellStyle name="Normal 4 2 2 3 2 2 2" xfId="15306" xr:uid="{00000000-0005-0000-0000-000064000000}"/>
    <cellStyle name="Normal 4 2 2 3 2 3" xfId="11226" xr:uid="{00000000-0005-0000-0000-000064000000}"/>
    <cellStyle name="Normal 4 2 2 3 3" xfId="2045" xr:uid="{00000000-0005-0000-0000-000064000000}"/>
    <cellStyle name="Normal 4 2 2 3 3 2" xfId="6126" xr:uid="{00000000-0005-0000-0000-000064000000}"/>
    <cellStyle name="Normal 4 2 2 3 3 2 2" xfId="14286" xr:uid="{00000000-0005-0000-0000-000064000000}"/>
    <cellStyle name="Normal 4 2 2 3 3 3" xfId="10206" xr:uid="{00000000-0005-0000-0000-000064000000}"/>
    <cellStyle name="Normal 4 2 2 3 4" xfId="4085" xr:uid="{00000000-0005-0000-0000-000064000000}"/>
    <cellStyle name="Normal 4 2 2 3 4 2" xfId="8166" xr:uid="{00000000-0005-0000-0000-000064000000}"/>
    <cellStyle name="Normal 4 2 2 3 4 2 2" xfId="16326" xr:uid="{00000000-0005-0000-0000-000064000000}"/>
    <cellStyle name="Normal 4 2 2 3 4 3" xfId="12246" xr:uid="{00000000-0005-0000-0000-000064000000}"/>
    <cellStyle name="Normal 4 2 2 3 5" xfId="5105" xr:uid="{00000000-0005-0000-0000-000064000000}"/>
    <cellStyle name="Normal 4 2 2 3 5 2" xfId="13266" xr:uid="{00000000-0005-0000-0000-000064000000}"/>
    <cellStyle name="Normal 4 2 2 3 6" xfId="9186" xr:uid="{00000000-0005-0000-0000-000064000000}"/>
    <cellStyle name="Normal 4 2 2 4" xfId="616" xr:uid="{00000000-0005-0000-0000-000064000000}"/>
    <cellStyle name="Normal 4 2 2 4 2" xfId="2657" xr:uid="{00000000-0005-0000-0000-000064000000}"/>
    <cellStyle name="Normal 4 2 2 4 2 2" xfId="6738" xr:uid="{00000000-0005-0000-0000-000064000000}"/>
    <cellStyle name="Normal 4 2 2 4 2 2 2" xfId="14898" xr:uid="{00000000-0005-0000-0000-000064000000}"/>
    <cellStyle name="Normal 4 2 2 4 2 3" xfId="10818" xr:uid="{00000000-0005-0000-0000-000064000000}"/>
    <cellStyle name="Normal 4 2 2 4 3" xfId="1637" xr:uid="{00000000-0005-0000-0000-000064000000}"/>
    <cellStyle name="Normal 4 2 2 4 3 2" xfId="5718" xr:uid="{00000000-0005-0000-0000-000064000000}"/>
    <cellStyle name="Normal 4 2 2 4 3 2 2" xfId="13878" xr:uid="{00000000-0005-0000-0000-000064000000}"/>
    <cellStyle name="Normal 4 2 2 4 3 3" xfId="9798" xr:uid="{00000000-0005-0000-0000-000064000000}"/>
    <cellStyle name="Normal 4 2 2 4 4" xfId="3677" xr:uid="{00000000-0005-0000-0000-000064000000}"/>
    <cellStyle name="Normal 4 2 2 4 4 2" xfId="7758" xr:uid="{00000000-0005-0000-0000-000064000000}"/>
    <cellStyle name="Normal 4 2 2 4 4 2 2" xfId="15918" xr:uid="{00000000-0005-0000-0000-000064000000}"/>
    <cellStyle name="Normal 4 2 2 4 4 3" xfId="11838" xr:uid="{00000000-0005-0000-0000-000064000000}"/>
    <cellStyle name="Normal 4 2 2 4 5" xfId="4697" xr:uid="{00000000-0005-0000-0000-000064000000}"/>
    <cellStyle name="Normal 4 2 2 4 5 2" xfId="12858" xr:uid="{00000000-0005-0000-0000-000064000000}"/>
    <cellStyle name="Normal 4 2 2 4 6" xfId="8778" xr:uid="{00000000-0005-0000-0000-000064000000}"/>
    <cellStyle name="Normal 4 2 2 5" xfId="2249" xr:uid="{00000000-0005-0000-0000-000064000000}"/>
    <cellStyle name="Normal 4 2 2 5 2" xfId="6330" xr:uid="{00000000-0005-0000-0000-000064000000}"/>
    <cellStyle name="Normal 4 2 2 5 2 2" xfId="14490" xr:uid="{00000000-0005-0000-0000-000064000000}"/>
    <cellStyle name="Normal 4 2 2 5 3" xfId="10410" xr:uid="{00000000-0005-0000-0000-000064000000}"/>
    <cellStyle name="Normal 4 2 2 6" xfId="1229" xr:uid="{00000000-0005-0000-0000-000064000000}"/>
    <cellStyle name="Normal 4 2 2 6 2" xfId="5310" xr:uid="{00000000-0005-0000-0000-000064000000}"/>
    <cellStyle name="Normal 4 2 2 6 2 2" xfId="13470" xr:uid="{00000000-0005-0000-0000-000064000000}"/>
    <cellStyle name="Normal 4 2 2 6 3" xfId="9390" xr:uid="{00000000-0005-0000-0000-000064000000}"/>
    <cellStyle name="Normal 4 2 2 7" xfId="3269" xr:uid="{00000000-0005-0000-0000-000064000000}"/>
    <cellStyle name="Normal 4 2 2 7 2" xfId="7350" xr:uid="{00000000-0005-0000-0000-000064000000}"/>
    <cellStyle name="Normal 4 2 2 7 2 2" xfId="15510" xr:uid="{00000000-0005-0000-0000-000064000000}"/>
    <cellStyle name="Normal 4 2 2 7 3" xfId="11430" xr:uid="{00000000-0005-0000-0000-000064000000}"/>
    <cellStyle name="Normal 4 2 2 8" xfId="4289" xr:uid="{00000000-0005-0000-0000-000064000000}"/>
    <cellStyle name="Normal 4 2 2 8 2" xfId="12450" xr:uid="{00000000-0005-0000-0000-000064000000}"/>
    <cellStyle name="Normal 4 2 2 9" xfId="8370" xr:uid="{00000000-0005-0000-0000-000064000000}"/>
    <cellStyle name="Normal 4 2 3" xfId="310" xr:uid="{00000000-0005-0000-0000-000064000000}"/>
    <cellStyle name="Normal 4 2 3 2" xfId="718" xr:uid="{00000000-0005-0000-0000-000064000000}"/>
    <cellStyle name="Normal 4 2 3 2 2" xfId="2759" xr:uid="{00000000-0005-0000-0000-000064000000}"/>
    <cellStyle name="Normal 4 2 3 2 2 2" xfId="6840" xr:uid="{00000000-0005-0000-0000-000064000000}"/>
    <cellStyle name="Normal 4 2 3 2 2 2 2" xfId="15000" xr:uid="{00000000-0005-0000-0000-000064000000}"/>
    <cellStyle name="Normal 4 2 3 2 2 3" xfId="10920" xr:uid="{00000000-0005-0000-0000-000064000000}"/>
    <cellStyle name="Normal 4 2 3 2 3" xfId="1739" xr:uid="{00000000-0005-0000-0000-000064000000}"/>
    <cellStyle name="Normal 4 2 3 2 3 2" xfId="5820" xr:uid="{00000000-0005-0000-0000-000064000000}"/>
    <cellStyle name="Normal 4 2 3 2 3 2 2" xfId="13980" xr:uid="{00000000-0005-0000-0000-000064000000}"/>
    <cellStyle name="Normal 4 2 3 2 3 3" xfId="9900" xr:uid="{00000000-0005-0000-0000-000064000000}"/>
    <cellStyle name="Normal 4 2 3 2 4" xfId="3779" xr:uid="{00000000-0005-0000-0000-000064000000}"/>
    <cellStyle name="Normal 4 2 3 2 4 2" xfId="7860" xr:uid="{00000000-0005-0000-0000-000064000000}"/>
    <cellStyle name="Normal 4 2 3 2 4 2 2" xfId="16020" xr:uid="{00000000-0005-0000-0000-000064000000}"/>
    <cellStyle name="Normal 4 2 3 2 4 3" xfId="11940" xr:uid="{00000000-0005-0000-0000-000064000000}"/>
    <cellStyle name="Normal 4 2 3 2 5" xfId="4799" xr:uid="{00000000-0005-0000-0000-000064000000}"/>
    <cellStyle name="Normal 4 2 3 2 5 2" xfId="12960" xr:uid="{00000000-0005-0000-0000-000064000000}"/>
    <cellStyle name="Normal 4 2 3 2 6" xfId="8880" xr:uid="{00000000-0005-0000-0000-000064000000}"/>
    <cellStyle name="Normal 4 2 3 3" xfId="2351" xr:uid="{00000000-0005-0000-0000-000064000000}"/>
    <cellStyle name="Normal 4 2 3 3 2" xfId="6432" xr:uid="{00000000-0005-0000-0000-000064000000}"/>
    <cellStyle name="Normal 4 2 3 3 2 2" xfId="14592" xr:uid="{00000000-0005-0000-0000-000064000000}"/>
    <cellStyle name="Normal 4 2 3 3 3" xfId="10512" xr:uid="{00000000-0005-0000-0000-000064000000}"/>
    <cellStyle name="Normal 4 2 3 4" xfId="1331" xr:uid="{00000000-0005-0000-0000-000064000000}"/>
    <cellStyle name="Normal 4 2 3 4 2" xfId="5412" xr:uid="{00000000-0005-0000-0000-000064000000}"/>
    <cellStyle name="Normal 4 2 3 4 2 2" xfId="13572" xr:uid="{00000000-0005-0000-0000-000064000000}"/>
    <cellStyle name="Normal 4 2 3 4 3" xfId="9492" xr:uid="{00000000-0005-0000-0000-000064000000}"/>
    <cellStyle name="Normal 4 2 3 5" xfId="3371" xr:uid="{00000000-0005-0000-0000-000064000000}"/>
    <cellStyle name="Normal 4 2 3 5 2" xfId="7452" xr:uid="{00000000-0005-0000-0000-000064000000}"/>
    <cellStyle name="Normal 4 2 3 5 2 2" xfId="15612" xr:uid="{00000000-0005-0000-0000-000064000000}"/>
    <cellStyle name="Normal 4 2 3 5 3" xfId="11532" xr:uid="{00000000-0005-0000-0000-000064000000}"/>
    <cellStyle name="Normal 4 2 3 6" xfId="4391" xr:uid="{00000000-0005-0000-0000-000064000000}"/>
    <cellStyle name="Normal 4 2 3 6 2" xfId="12552" xr:uid="{00000000-0005-0000-0000-000064000000}"/>
    <cellStyle name="Normal 4 2 3 7" xfId="8472" xr:uid="{00000000-0005-0000-0000-000064000000}"/>
    <cellStyle name="Normal 4 2 4" xfId="922" xr:uid="{00000000-0005-0000-0000-000064000000}"/>
    <cellStyle name="Normal 4 2 4 2" xfId="2963" xr:uid="{00000000-0005-0000-0000-000064000000}"/>
    <cellStyle name="Normal 4 2 4 2 2" xfId="7044" xr:uid="{00000000-0005-0000-0000-000064000000}"/>
    <cellStyle name="Normal 4 2 4 2 2 2" xfId="15204" xr:uid="{00000000-0005-0000-0000-000064000000}"/>
    <cellStyle name="Normal 4 2 4 2 3" xfId="11124" xr:uid="{00000000-0005-0000-0000-000064000000}"/>
    <cellStyle name="Normal 4 2 4 3" xfId="1943" xr:uid="{00000000-0005-0000-0000-000064000000}"/>
    <cellStyle name="Normal 4 2 4 3 2" xfId="6024" xr:uid="{00000000-0005-0000-0000-000064000000}"/>
    <cellStyle name="Normal 4 2 4 3 2 2" xfId="14184" xr:uid="{00000000-0005-0000-0000-000064000000}"/>
    <cellStyle name="Normal 4 2 4 3 3" xfId="10104" xr:uid="{00000000-0005-0000-0000-000064000000}"/>
    <cellStyle name="Normal 4 2 4 4" xfId="3983" xr:uid="{00000000-0005-0000-0000-000064000000}"/>
    <cellStyle name="Normal 4 2 4 4 2" xfId="8064" xr:uid="{00000000-0005-0000-0000-000064000000}"/>
    <cellStyle name="Normal 4 2 4 4 2 2" xfId="16224" xr:uid="{00000000-0005-0000-0000-000064000000}"/>
    <cellStyle name="Normal 4 2 4 4 3" xfId="12144" xr:uid="{00000000-0005-0000-0000-000064000000}"/>
    <cellStyle name="Normal 4 2 4 5" xfId="5003" xr:uid="{00000000-0005-0000-0000-000064000000}"/>
    <cellStyle name="Normal 4 2 4 5 2" xfId="13164" xr:uid="{00000000-0005-0000-0000-000064000000}"/>
    <cellStyle name="Normal 4 2 4 6" xfId="9084" xr:uid="{00000000-0005-0000-0000-000064000000}"/>
    <cellStyle name="Normal 4 2 5" xfId="514" xr:uid="{00000000-0005-0000-0000-000064000000}"/>
    <cellStyle name="Normal 4 2 5 2" xfId="2555" xr:uid="{00000000-0005-0000-0000-000064000000}"/>
    <cellStyle name="Normal 4 2 5 2 2" xfId="6636" xr:uid="{00000000-0005-0000-0000-000064000000}"/>
    <cellStyle name="Normal 4 2 5 2 2 2" xfId="14796" xr:uid="{00000000-0005-0000-0000-000064000000}"/>
    <cellStyle name="Normal 4 2 5 2 3" xfId="10716" xr:uid="{00000000-0005-0000-0000-000064000000}"/>
    <cellStyle name="Normal 4 2 5 3" xfId="1535" xr:uid="{00000000-0005-0000-0000-000064000000}"/>
    <cellStyle name="Normal 4 2 5 3 2" xfId="5616" xr:uid="{00000000-0005-0000-0000-000064000000}"/>
    <cellStyle name="Normal 4 2 5 3 2 2" xfId="13776" xr:uid="{00000000-0005-0000-0000-000064000000}"/>
    <cellStyle name="Normal 4 2 5 3 3" xfId="9696" xr:uid="{00000000-0005-0000-0000-000064000000}"/>
    <cellStyle name="Normal 4 2 5 4" xfId="3575" xr:uid="{00000000-0005-0000-0000-000064000000}"/>
    <cellStyle name="Normal 4 2 5 4 2" xfId="7656" xr:uid="{00000000-0005-0000-0000-000064000000}"/>
    <cellStyle name="Normal 4 2 5 4 2 2" xfId="15816" xr:uid="{00000000-0005-0000-0000-000064000000}"/>
    <cellStyle name="Normal 4 2 5 4 3" xfId="11736" xr:uid="{00000000-0005-0000-0000-000064000000}"/>
    <cellStyle name="Normal 4 2 5 5" xfId="4595" xr:uid="{00000000-0005-0000-0000-000064000000}"/>
    <cellStyle name="Normal 4 2 5 5 2" xfId="12756" xr:uid="{00000000-0005-0000-0000-000064000000}"/>
    <cellStyle name="Normal 4 2 5 6" xfId="8676" xr:uid="{00000000-0005-0000-0000-000064000000}"/>
    <cellStyle name="Normal 4 2 6" xfId="2147" xr:uid="{00000000-0005-0000-0000-000064000000}"/>
    <cellStyle name="Normal 4 2 6 2" xfId="6228" xr:uid="{00000000-0005-0000-0000-000064000000}"/>
    <cellStyle name="Normal 4 2 6 2 2" xfId="14388" xr:uid="{00000000-0005-0000-0000-000064000000}"/>
    <cellStyle name="Normal 4 2 6 3" xfId="10308" xr:uid="{00000000-0005-0000-0000-000064000000}"/>
    <cellStyle name="Normal 4 2 7" xfId="1127" xr:uid="{00000000-0005-0000-0000-000064000000}"/>
    <cellStyle name="Normal 4 2 7 2" xfId="5208" xr:uid="{00000000-0005-0000-0000-000064000000}"/>
    <cellStyle name="Normal 4 2 7 2 2" xfId="13368" xr:uid="{00000000-0005-0000-0000-000064000000}"/>
    <cellStyle name="Normal 4 2 7 3" xfId="9288" xr:uid="{00000000-0005-0000-0000-000064000000}"/>
    <cellStyle name="Normal 4 2 8" xfId="3167" xr:uid="{00000000-0005-0000-0000-000064000000}"/>
    <cellStyle name="Normal 4 2 8 2" xfId="7248" xr:uid="{00000000-0005-0000-0000-000064000000}"/>
    <cellStyle name="Normal 4 2 8 2 2" xfId="15408" xr:uid="{00000000-0005-0000-0000-000064000000}"/>
    <cellStyle name="Normal 4 2 8 3" xfId="11328" xr:uid="{00000000-0005-0000-0000-000064000000}"/>
    <cellStyle name="Normal 4 2 9" xfId="4187" xr:uid="{00000000-0005-0000-0000-000064000000}"/>
    <cellStyle name="Normal 4 2 9 2" xfId="12348" xr:uid="{00000000-0005-0000-0000-000064000000}"/>
    <cellStyle name="Normal 4 3" xfId="157" xr:uid="{00000000-0005-0000-0000-000064000000}"/>
    <cellStyle name="Normal 4 3 2" xfId="361" xr:uid="{00000000-0005-0000-0000-000064000000}"/>
    <cellStyle name="Normal 4 3 2 2" xfId="769" xr:uid="{00000000-0005-0000-0000-000064000000}"/>
    <cellStyle name="Normal 4 3 2 2 2" xfId="2810" xr:uid="{00000000-0005-0000-0000-000064000000}"/>
    <cellStyle name="Normal 4 3 2 2 2 2" xfId="6891" xr:uid="{00000000-0005-0000-0000-000064000000}"/>
    <cellStyle name="Normal 4 3 2 2 2 2 2" xfId="15051" xr:uid="{00000000-0005-0000-0000-000064000000}"/>
    <cellStyle name="Normal 4 3 2 2 2 3" xfId="10971" xr:uid="{00000000-0005-0000-0000-000064000000}"/>
    <cellStyle name="Normal 4 3 2 2 3" xfId="1790" xr:uid="{00000000-0005-0000-0000-000064000000}"/>
    <cellStyle name="Normal 4 3 2 2 3 2" xfId="5871" xr:uid="{00000000-0005-0000-0000-000064000000}"/>
    <cellStyle name="Normal 4 3 2 2 3 2 2" xfId="14031" xr:uid="{00000000-0005-0000-0000-000064000000}"/>
    <cellStyle name="Normal 4 3 2 2 3 3" xfId="9951" xr:uid="{00000000-0005-0000-0000-000064000000}"/>
    <cellStyle name="Normal 4 3 2 2 4" xfId="3830" xr:uid="{00000000-0005-0000-0000-000064000000}"/>
    <cellStyle name="Normal 4 3 2 2 4 2" xfId="7911" xr:uid="{00000000-0005-0000-0000-000064000000}"/>
    <cellStyle name="Normal 4 3 2 2 4 2 2" xfId="16071" xr:uid="{00000000-0005-0000-0000-000064000000}"/>
    <cellStyle name="Normal 4 3 2 2 4 3" xfId="11991" xr:uid="{00000000-0005-0000-0000-000064000000}"/>
    <cellStyle name="Normal 4 3 2 2 5" xfId="4850" xr:uid="{00000000-0005-0000-0000-000064000000}"/>
    <cellStyle name="Normal 4 3 2 2 5 2" xfId="13011" xr:uid="{00000000-0005-0000-0000-000064000000}"/>
    <cellStyle name="Normal 4 3 2 2 6" xfId="8931" xr:uid="{00000000-0005-0000-0000-000064000000}"/>
    <cellStyle name="Normal 4 3 2 3" xfId="2402" xr:uid="{00000000-0005-0000-0000-000064000000}"/>
    <cellStyle name="Normal 4 3 2 3 2" xfId="6483" xr:uid="{00000000-0005-0000-0000-000064000000}"/>
    <cellStyle name="Normal 4 3 2 3 2 2" xfId="14643" xr:uid="{00000000-0005-0000-0000-000064000000}"/>
    <cellStyle name="Normal 4 3 2 3 3" xfId="10563" xr:uid="{00000000-0005-0000-0000-000064000000}"/>
    <cellStyle name="Normal 4 3 2 4" xfId="1382" xr:uid="{00000000-0005-0000-0000-000064000000}"/>
    <cellStyle name="Normal 4 3 2 4 2" xfId="5463" xr:uid="{00000000-0005-0000-0000-000064000000}"/>
    <cellStyle name="Normal 4 3 2 4 2 2" xfId="13623" xr:uid="{00000000-0005-0000-0000-000064000000}"/>
    <cellStyle name="Normal 4 3 2 4 3" xfId="9543" xr:uid="{00000000-0005-0000-0000-000064000000}"/>
    <cellStyle name="Normal 4 3 2 5" xfId="3422" xr:uid="{00000000-0005-0000-0000-000064000000}"/>
    <cellStyle name="Normal 4 3 2 5 2" xfId="7503" xr:uid="{00000000-0005-0000-0000-000064000000}"/>
    <cellStyle name="Normal 4 3 2 5 2 2" xfId="15663" xr:uid="{00000000-0005-0000-0000-000064000000}"/>
    <cellStyle name="Normal 4 3 2 5 3" xfId="11583" xr:uid="{00000000-0005-0000-0000-000064000000}"/>
    <cellStyle name="Normal 4 3 2 6" xfId="4442" xr:uid="{00000000-0005-0000-0000-000064000000}"/>
    <cellStyle name="Normal 4 3 2 6 2" xfId="12603" xr:uid="{00000000-0005-0000-0000-000064000000}"/>
    <cellStyle name="Normal 4 3 2 7" xfId="8523" xr:uid="{00000000-0005-0000-0000-000064000000}"/>
    <cellStyle name="Normal 4 3 3" xfId="973" xr:uid="{00000000-0005-0000-0000-000064000000}"/>
    <cellStyle name="Normal 4 3 3 2" xfId="3014" xr:uid="{00000000-0005-0000-0000-000064000000}"/>
    <cellStyle name="Normal 4 3 3 2 2" xfId="7095" xr:uid="{00000000-0005-0000-0000-000064000000}"/>
    <cellStyle name="Normal 4 3 3 2 2 2" xfId="15255" xr:uid="{00000000-0005-0000-0000-000064000000}"/>
    <cellStyle name="Normal 4 3 3 2 3" xfId="11175" xr:uid="{00000000-0005-0000-0000-000064000000}"/>
    <cellStyle name="Normal 4 3 3 3" xfId="1994" xr:uid="{00000000-0005-0000-0000-000064000000}"/>
    <cellStyle name="Normal 4 3 3 3 2" xfId="6075" xr:uid="{00000000-0005-0000-0000-000064000000}"/>
    <cellStyle name="Normal 4 3 3 3 2 2" xfId="14235" xr:uid="{00000000-0005-0000-0000-000064000000}"/>
    <cellStyle name="Normal 4 3 3 3 3" xfId="10155" xr:uid="{00000000-0005-0000-0000-000064000000}"/>
    <cellStyle name="Normal 4 3 3 4" xfId="4034" xr:uid="{00000000-0005-0000-0000-000064000000}"/>
    <cellStyle name="Normal 4 3 3 4 2" xfId="8115" xr:uid="{00000000-0005-0000-0000-000064000000}"/>
    <cellStyle name="Normal 4 3 3 4 2 2" xfId="16275" xr:uid="{00000000-0005-0000-0000-000064000000}"/>
    <cellStyle name="Normal 4 3 3 4 3" xfId="12195" xr:uid="{00000000-0005-0000-0000-000064000000}"/>
    <cellStyle name="Normal 4 3 3 5" xfId="5054" xr:uid="{00000000-0005-0000-0000-000064000000}"/>
    <cellStyle name="Normal 4 3 3 5 2" xfId="13215" xr:uid="{00000000-0005-0000-0000-000064000000}"/>
    <cellStyle name="Normal 4 3 3 6" xfId="9135" xr:uid="{00000000-0005-0000-0000-000064000000}"/>
    <cellStyle name="Normal 4 3 4" xfId="565" xr:uid="{00000000-0005-0000-0000-000064000000}"/>
    <cellStyle name="Normal 4 3 4 2" xfId="2606" xr:uid="{00000000-0005-0000-0000-000064000000}"/>
    <cellStyle name="Normal 4 3 4 2 2" xfId="6687" xr:uid="{00000000-0005-0000-0000-000064000000}"/>
    <cellStyle name="Normal 4 3 4 2 2 2" xfId="14847" xr:uid="{00000000-0005-0000-0000-000064000000}"/>
    <cellStyle name="Normal 4 3 4 2 3" xfId="10767" xr:uid="{00000000-0005-0000-0000-000064000000}"/>
    <cellStyle name="Normal 4 3 4 3" xfId="1586" xr:uid="{00000000-0005-0000-0000-000064000000}"/>
    <cellStyle name="Normal 4 3 4 3 2" xfId="5667" xr:uid="{00000000-0005-0000-0000-000064000000}"/>
    <cellStyle name="Normal 4 3 4 3 2 2" xfId="13827" xr:uid="{00000000-0005-0000-0000-000064000000}"/>
    <cellStyle name="Normal 4 3 4 3 3" xfId="9747" xr:uid="{00000000-0005-0000-0000-000064000000}"/>
    <cellStyle name="Normal 4 3 4 4" xfId="3626" xr:uid="{00000000-0005-0000-0000-000064000000}"/>
    <cellStyle name="Normal 4 3 4 4 2" xfId="7707" xr:uid="{00000000-0005-0000-0000-000064000000}"/>
    <cellStyle name="Normal 4 3 4 4 2 2" xfId="15867" xr:uid="{00000000-0005-0000-0000-000064000000}"/>
    <cellStyle name="Normal 4 3 4 4 3" xfId="11787" xr:uid="{00000000-0005-0000-0000-000064000000}"/>
    <cellStyle name="Normal 4 3 4 5" xfId="4646" xr:uid="{00000000-0005-0000-0000-000064000000}"/>
    <cellStyle name="Normal 4 3 4 5 2" xfId="12807" xr:uid="{00000000-0005-0000-0000-000064000000}"/>
    <cellStyle name="Normal 4 3 4 6" xfId="8727" xr:uid="{00000000-0005-0000-0000-000064000000}"/>
    <cellStyle name="Normal 4 3 5" xfId="2198" xr:uid="{00000000-0005-0000-0000-000064000000}"/>
    <cellStyle name="Normal 4 3 5 2" xfId="6279" xr:uid="{00000000-0005-0000-0000-000064000000}"/>
    <cellStyle name="Normal 4 3 5 2 2" xfId="14439" xr:uid="{00000000-0005-0000-0000-000064000000}"/>
    <cellStyle name="Normal 4 3 5 3" xfId="10359" xr:uid="{00000000-0005-0000-0000-000064000000}"/>
    <cellStyle name="Normal 4 3 6" xfId="1178" xr:uid="{00000000-0005-0000-0000-000064000000}"/>
    <cellStyle name="Normal 4 3 6 2" xfId="5259" xr:uid="{00000000-0005-0000-0000-000064000000}"/>
    <cellStyle name="Normal 4 3 6 2 2" xfId="13419" xr:uid="{00000000-0005-0000-0000-000064000000}"/>
    <cellStyle name="Normal 4 3 6 3" xfId="9339" xr:uid="{00000000-0005-0000-0000-000064000000}"/>
    <cellStyle name="Normal 4 3 7" xfId="3218" xr:uid="{00000000-0005-0000-0000-000064000000}"/>
    <cellStyle name="Normal 4 3 7 2" xfId="7299" xr:uid="{00000000-0005-0000-0000-000064000000}"/>
    <cellStyle name="Normal 4 3 7 2 2" xfId="15459" xr:uid="{00000000-0005-0000-0000-000064000000}"/>
    <cellStyle name="Normal 4 3 7 3" xfId="11379" xr:uid="{00000000-0005-0000-0000-000064000000}"/>
    <cellStyle name="Normal 4 3 8" xfId="4238" xr:uid="{00000000-0005-0000-0000-000064000000}"/>
    <cellStyle name="Normal 4 3 8 2" xfId="12399" xr:uid="{00000000-0005-0000-0000-000064000000}"/>
    <cellStyle name="Normal 4 3 9" xfId="8319" xr:uid="{00000000-0005-0000-0000-000064000000}"/>
    <cellStyle name="Normal 4 4" xfId="259" xr:uid="{00000000-0005-0000-0000-000064000000}"/>
    <cellStyle name="Normal 4 4 2" xfId="667" xr:uid="{00000000-0005-0000-0000-000064000000}"/>
    <cellStyle name="Normal 4 4 2 2" xfId="2708" xr:uid="{00000000-0005-0000-0000-000064000000}"/>
    <cellStyle name="Normal 4 4 2 2 2" xfId="6789" xr:uid="{00000000-0005-0000-0000-000064000000}"/>
    <cellStyle name="Normal 4 4 2 2 2 2" xfId="14949" xr:uid="{00000000-0005-0000-0000-000064000000}"/>
    <cellStyle name="Normal 4 4 2 2 3" xfId="10869" xr:uid="{00000000-0005-0000-0000-000064000000}"/>
    <cellStyle name="Normal 4 4 2 3" xfId="1688" xr:uid="{00000000-0005-0000-0000-000064000000}"/>
    <cellStyle name="Normal 4 4 2 3 2" xfId="5769" xr:uid="{00000000-0005-0000-0000-000064000000}"/>
    <cellStyle name="Normal 4 4 2 3 2 2" xfId="13929" xr:uid="{00000000-0005-0000-0000-000064000000}"/>
    <cellStyle name="Normal 4 4 2 3 3" xfId="9849" xr:uid="{00000000-0005-0000-0000-000064000000}"/>
    <cellStyle name="Normal 4 4 2 4" xfId="3728" xr:uid="{00000000-0005-0000-0000-000064000000}"/>
    <cellStyle name="Normal 4 4 2 4 2" xfId="7809" xr:uid="{00000000-0005-0000-0000-000064000000}"/>
    <cellStyle name="Normal 4 4 2 4 2 2" xfId="15969" xr:uid="{00000000-0005-0000-0000-000064000000}"/>
    <cellStyle name="Normal 4 4 2 4 3" xfId="11889" xr:uid="{00000000-0005-0000-0000-000064000000}"/>
    <cellStyle name="Normal 4 4 2 5" xfId="4748" xr:uid="{00000000-0005-0000-0000-000064000000}"/>
    <cellStyle name="Normal 4 4 2 5 2" xfId="12909" xr:uid="{00000000-0005-0000-0000-000064000000}"/>
    <cellStyle name="Normal 4 4 2 6" xfId="8829" xr:uid="{00000000-0005-0000-0000-000064000000}"/>
    <cellStyle name="Normal 4 4 3" xfId="2300" xr:uid="{00000000-0005-0000-0000-000064000000}"/>
    <cellStyle name="Normal 4 4 3 2" xfId="6381" xr:uid="{00000000-0005-0000-0000-000064000000}"/>
    <cellStyle name="Normal 4 4 3 2 2" xfId="14541" xr:uid="{00000000-0005-0000-0000-000064000000}"/>
    <cellStyle name="Normal 4 4 3 3" xfId="10461" xr:uid="{00000000-0005-0000-0000-000064000000}"/>
    <cellStyle name="Normal 4 4 4" xfId="1280" xr:uid="{00000000-0005-0000-0000-000064000000}"/>
    <cellStyle name="Normal 4 4 4 2" xfId="5361" xr:uid="{00000000-0005-0000-0000-000064000000}"/>
    <cellStyle name="Normal 4 4 4 2 2" xfId="13521" xr:uid="{00000000-0005-0000-0000-000064000000}"/>
    <cellStyle name="Normal 4 4 4 3" xfId="9441" xr:uid="{00000000-0005-0000-0000-000064000000}"/>
    <cellStyle name="Normal 4 4 5" xfId="3320" xr:uid="{00000000-0005-0000-0000-000064000000}"/>
    <cellStyle name="Normal 4 4 5 2" xfId="7401" xr:uid="{00000000-0005-0000-0000-000064000000}"/>
    <cellStyle name="Normal 4 4 5 2 2" xfId="15561" xr:uid="{00000000-0005-0000-0000-000064000000}"/>
    <cellStyle name="Normal 4 4 5 3" xfId="11481" xr:uid="{00000000-0005-0000-0000-000064000000}"/>
    <cellStyle name="Normal 4 4 6" xfId="4340" xr:uid="{00000000-0005-0000-0000-000064000000}"/>
    <cellStyle name="Normal 4 4 6 2" xfId="12501" xr:uid="{00000000-0005-0000-0000-000064000000}"/>
    <cellStyle name="Normal 4 4 7" xfId="8421" xr:uid="{00000000-0005-0000-0000-000064000000}"/>
    <cellStyle name="Normal 4 5" xfId="871" xr:uid="{00000000-0005-0000-0000-000064000000}"/>
    <cellStyle name="Normal 4 5 2" xfId="2912" xr:uid="{00000000-0005-0000-0000-000064000000}"/>
    <cellStyle name="Normal 4 5 2 2" xfId="6993" xr:uid="{00000000-0005-0000-0000-000064000000}"/>
    <cellStyle name="Normal 4 5 2 2 2" xfId="15153" xr:uid="{00000000-0005-0000-0000-000064000000}"/>
    <cellStyle name="Normal 4 5 2 3" xfId="11073" xr:uid="{00000000-0005-0000-0000-000064000000}"/>
    <cellStyle name="Normal 4 5 3" xfId="1892" xr:uid="{00000000-0005-0000-0000-000064000000}"/>
    <cellStyle name="Normal 4 5 3 2" xfId="5973" xr:uid="{00000000-0005-0000-0000-000064000000}"/>
    <cellStyle name="Normal 4 5 3 2 2" xfId="14133" xr:uid="{00000000-0005-0000-0000-000064000000}"/>
    <cellStyle name="Normal 4 5 3 3" xfId="10053" xr:uid="{00000000-0005-0000-0000-000064000000}"/>
    <cellStyle name="Normal 4 5 4" xfId="3932" xr:uid="{00000000-0005-0000-0000-000064000000}"/>
    <cellStyle name="Normal 4 5 4 2" xfId="8013" xr:uid="{00000000-0005-0000-0000-000064000000}"/>
    <cellStyle name="Normal 4 5 4 2 2" xfId="16173" xr:uid="{00000000-0005-0000-0000-000064000000}"/>
    <cellStyle name="Normal 4 5 4 3" xfId="12093" xr:uid="{00000000-0005-0000-0000-000064000000}"/>
    <cellStyle name="Normal 4 5 5" xfId="4952" xr:uid="{00000000-0005-0000-0000-000064000000}"/>
    <cellStyle name="Normal 4 5 5 2" xfId="13113" xr:uid="{00000000-0005-0000-0000-000064000000}"/>
    <cellStyle name="Normal 4 5 6" xfId="9033" xr:uid="{00000000-0005-0000-0000-000064000000}"/>
    <cellStyle name="Normal 4 6" xfId="463" xr:uid="{00000000-0005-0000-0000-000064000000}"/>
    <cellStyle name="Normal 4 6 2" xfId="2504" xr:uid="{00000000-0005-0000-0000-000064000000}"/>
    <cellStyle name="Normal 4 6 2 2" xfId="6585" xr:uid="{00000000-0005-0000-0000-000064000000}"/>
    <cellStyle name="Normal 4 6 2 2 2" xfId="14745" xr:uid="{00000000-0005-0000-0000-000064000000}"/>
    <cellStyle name="Normal 4 6 2 3" xfId="10665" xr:uid="{00000000-0005-0000-0000-000064000000}"/>
    <cellStyle name="Normal 4 6 3" xfId="1484" xr:uid="{00000000-0005-0000-0000-000064000000}"/>
    <cellStyle name="Normal 4 6 3 2" xfId="5565" xr:uid="{00000000-0005-0000-0000-000064000000}"/>
    <cellStyle name="Normal 4 6 3 2 2" xfId="13725" xr:uid="{00000000-0005-0000-0000-000064000000}"/>
    <cellStyle name="Normal 4 6 3 3" xfId="9645" xr:uid="{00000000-0005-0000-0000-000064000000}"/>
    <cellStyle name="Normal 4 6 4" xfId="3524" xr:uid="{00000000-0005-0000-0000-000064000000}"/>
    <cellStyle name="Normal 4 6 4 2" xfId="7605" xr:uid="{00000000-0005-0000-0000-000064000000}"/>
    <cellStyle name="Normal 4 6 4 2 2" xfId="15765" xr:uid="{00000000-0005-0000-0000-000064000000}"/>
    <cellStyle name="Normal 4 6 4 3" xfId="11685" xr:uid="{00000000-0005-0000-0000-000064000000}"/>
    <cellStyle name="Normal 4 6 5" xfId="4544" xr:uid="{00000000-0005-0000-0000-000064000000}"/>
    <cellStyle name="Normal 4 6 5 2" xfId="12705" xr:uid="{00000000-0005-0000-0000-000064000000}"/>
    <cellStyle name="Normal 4 6 6" xfId="8625" xr:uid="{00000000-0005-0000-0000-000064000000}"/>
    <cellStyle name="Normal 4 7" xfId="2096" xr:uid="{00000000-0005-0000-0000-000064000000}"/>
    <cellStyle name="Normal 4 7 2" xfId="6177" xr:uid="{00000000-0005-0000-0000-000064000000}"/>
    <cellStyle name="Normal 4 7 2 2" xfId="14337" xr:uid="{00000000-0005-0000-0000-000064000000}"/>
    <cellStyle name="Normal 4 7 3" xfId="10257" xr:uid="{00000000-0005-0000-0000-000064000000}"/>
    <cellStyle name="Normal 4 8" xfId="1076" xr:uid="{00000000-0005-0000-0000-000064000000}"/>
    <cellStyle name="Normal 4 8 2" xfId="5157" xr:uid="{00000000-0005-0000-0000-000064000000}"/>
    <cellStyle name="Normal 4 8 2 2" xfId="13317" xr:uid="{00000000-0005-0000-0000-000064000000}"/>
    <cellStyle name="Normal 4 8 3" xfId="9237" xr:uid="{00000000-0005-0000-0000-000064000000}"/>
    <cellStyle name="Normal 4 9" xfId="3116" xr:uid="{00000000-0005-0000-0000-000064000000}"/>
    <cellStyle name="Normal 4 9 2" xfId="7197" xr:uid="{00000000-0005-0000-0000-000064000000}"/>
    <cellStyle name="Normal 4 9 2 2" xfId="15357" xr:uid="{00000000-0005-0000-0000-000064000000}"/>
    <cellStyle name="Normal 4 9 3" xfId="11277" xr:uid="{00000000-0005-0000-0000-000064000000}"/>
    <cellStyle name="Normal 5" xfId="1025" xr:uid="{00000000-0005-0000-0000-00002E040000}"/>
    <cellStyle name="Normal 5 2" xfId="5106" xr:uid="{00000000-0005-0000-0000-00002E040000}"/>
    <cellStyle name="Porcentagem 2" xfId="29" xr:uid="{00000000-0005-0000-0000-00001E000000}"/>
    <cellStyle name="Vírgula" xfId="1" builtinId="3"/>
    <cellStyle name="Vírgula 2" xfId="4" xr:uid="{00000000-0005-0000-0000-000020000000}"/>
    <cellStyle name="Vírgula 2 10" xfId="415" xr:uid="{00000000-0005-0000-0000-000020000000}"/>
    <cellStyle name="Vírgula 2 10 2" xfId="2456" xr:uid="{00000000-0005-0000-0000-000020000000}"/>
    <cellStyle name="Vírgula 2 10 2 2" xfId="6537" xr:uid="{00000000-0005-0000-0000-000020000000}"/>
    <cellStyle name="Vírgula 2 10 2 2 2" xfId="14697" xr:uid="{00000000-0005-0000-0000-000020000000}"/>
    <cellStyle name="Vírgula 2 10 2 3" xfId="10617" xr:uid="{00000000-0005-0000-0000-000020000000}"/>
    <cellStyle name="Vírgula 2 10 3" xfId="1436" xr:uid="{00000000-0005-0000-0000-000020000000}"/>
    <cellStyle name="Vírgula 2 10 3 2" xfId="5517" xr:uid="{00000000-0005-0000-0000-000020000000}"/>
    <cellStyle name="Vírgula 2 10 3 2 2" xfId="13677" xr:uid="{00000000-0005-0000-0000-000020000000}"/>
    <cellStyle name="Vírgula 2 10 3 3" xfId="9597" xr:uid="{00000000-0005-0000-0000-000020000000}"/>
    <cellStyle name="Vírgula 2 10 4" xfId="3476" xr:uid="{00000000-0005-0000-0000-000020000000}"/>
    <cellStyle name="Vírgula 2 10 4 2" xfId="7557" xr:uid="{00000000-0005-0000-0000-000020000000}"/>
    <cellStyle name="Vírgula 2 10 4 2 2" xfId="15717" xr:uid="{00000000-0005-0000-0000-000020000000}"/>
    <cellStyle name="Vírgula 2 10 4 3" xfId="11637" xr:uid="{00000000-0005-0000-0000-000020000000}"/>
    <cellStyle name="Vírgula 2 10 5" xfId="4496" xr:uid="{00000000-0005-0000-0000-000020000000}"/>
    <cellStyle name="Vírgula 2 10 5 2" xfId="12657" xr:uid="{00000000-0005-0000-0000-000020000000}"/>
    <cellStyle name="Vírgula 2 10 6" xfId="8577" xr:uid="{00000000-0005-0000-0000-000020000000}"/>
    <cellStyle name="Vírgula 2 11" xfId="2048" xr:uid="{00000000-0005-0000-0000-000020000000}"/>
    <cellStyle name="Vírgula 2 11 2" xfId="6129" xr:uid="{00000000-0005-0000-0000-000020000000}"/>
    <cellStyle name="Vírgula 2 11 2 2" xfId="14289" xr:uid="{00000000-0005-0000-0000-000020000000}"/>
    <cellStyle name="Vírgula 2 11 3" xfId="10209" xr:uid="{00000000-0005-0000-0000-000020000000}"/>
    <cellStyle name="Vírgula 2 12" xfId="1028" xr:uid="{00000000-0005-0000-0000-000020000000}"/>
    <cellStyle name="Vírgula 2 12 2" xfId="5109" xr:uid="{00000000-0005-0000-0000-000020000000}"/>
    <cellStyle name="Vírgula 2 12 2 2" xfId="13269" xr:uid="{00000000-0005-0000-0000-000020000000}"/>
    <cellStyle name="Vírgula 2 12 3" xfId="9189" xr:uid="{00000000-0005-0000-0000-000020000000}"/>
    <cellStyle name="Vírgula 2 13" xfId="3068" xr:uid="{00000000-0005-0000-0000-000020000000}"/>
    <cellStyle name="Vírgula 2 13 2" xfId="7149" xr:uid="{00000000-0005-0000-0000-000020000000}"/>
    <cellStyle name="Vírgula 2 13 2 2" xfId="15309" xr:uid="{00000000-0005-0000-0000-000020000000}"/>
    <cellStyle name="Vírgula 2 13 3" xfId="11229" xr:uid="{00000000-0005-0000-0000-000020000000}"/>
    <cellStyle name="Vírgula 2 14" xfId="4088" xr:uid="{00000000-0005-0000-0000-000020000000}"/>
    <cellStyle name="Vírgula 2 14 2" xfId="12249" xr:uid="{00000000-0005-0000-0000-000020000000}"/>
    <cellStyle name="Vírgula 2 15" xfId="8169" xr:uid="{00000000-0005-0000-0000-000020000000}"/>
    <cellStyle name="Vírgula 2 2" xfId="8" xr:uid="{00000000-0005-0000-0000-000021000000}"/>
    <cellStyle name="Vírgula 2 2 10" xfId="2052" xr:uid="{00000000-0005-0000-0000-000021000000}"/>
    <cellStyle name="Vírgula 2 2 10 2" xfId="6133" xr:uid="{00000000-0005-0000-0000-000021000000}"/>
    <cellStyle name="Vírgula 2 2 10 2 2" xfId="14293" xr:uid="{00000000-0005-0000-0000-000021000000}"/>
    <cellStyle name="Vírgula 2 2 10 3" xfId="10213" xr:uid="{00000000-0005-0000-0000-000021000000}"/>
    <cellStyle name="Vírgula 2 2 11" xfId="1032" xr:uid="{00000000-0005-0000-0000-000021000000}"/>
    <cellStyle name="Vírgula 2 2 11 2" xfId="5113" xr:uid="{00000000-0005-0000-0000-000021000000}"/>
    <cellStyle name="Vírgula 2 2 11 2 2" xfId="13273" xr:uid="{00000000-0005-0000-0000-000021000000}"/>
    <cellStyle name="Vírgula 2 2 11 3" xfId="9193" xr:uid="{00000000-0005-0000-0000-000021000000}"/>
    <cellStyle name="Vírgula 2 2 12" xfId="3072" xr:uid="{00000000-0005-0000-0000-000021000000}"/>
    <cellStyle name="Vírgula 2 2 12 2" xfId="7153" xr:uid="{00000000-0005-0000-0000-000021000000}"/>
    <cellStyle name="Vírgula 2 2 12 2 2" xfId="15313" xr:uid="{00000000-0005-0000-0000-000021000000}"/>
    <cellStyle name="Vírgula 2 2 12 3" xfId="11233" xr:uid="{00000000-0005-0000-0000-000021000000}"/>
    <cellStyle name="Vírgula 2 2 13" xfId="4092" xr:uid="{00000000-0005-0000-0000-000021000000}"/>
    <cellStyle name="Vírgula 2 2 13 2" xfId="12253" xr:uid="{00000000-0005-0000-0000-000021000000}"/>
    <cellStyle name="Vírgula 2 2 14" xfId="8173" xr:uid="{00000000-0005-0000-0000-000021000000}"/>
    <cellStyle name="Vírgula 2 2 2" xfId="16" xr:uid="{00000000-0005-0000-0000-000022000000}"/>
    <cellStyle name="Vírgula 2 2 2 10" xfId="3080" xr:uid="{00000000-0005-0000-0000-000022000000}"/>
    <cellStyle name="Vírgula 2 2 2 10 2" xfId="7161" xr:uid="{00000000-0005-0000-0000-000022000000}"/>
    <cellStyle name="Vírgula 2 2 2 10 2 2" xfId="15321" xr:uid="{00000000-0005-0000-0000-000022000000}"/>
    <cellStyle name="Vírgula 2 2 2 10 3" xfId="11241" xr:uid="{00000000-0005-0000-0000-000022000000}"/>
    <cellStyle name="Vírgula 2 2 2 11" xfId="4100" xr:uid="{00000000-0005-0000-0000-000022000000}"/>
    <cellStyle name="Vírgula 2 2 2 11 2" xfId="12261" xr:uid="{00000000-0005-0000-0000-000022000000}"/>
    <cellStyle name="Vírgula 2 2 2 12" xfId="8181" xr:uid="{00000000-0005-0000-0000-000022000000}"/>
    <cellStyle name="Vírgula 2 2 2 2" xfId="44" xr:uid="{00000000-0005-0000-0000-000023000000}"/>
    <cellStyle name="Vírgula 2 2 2 2 10" xfId="4125" xr:uid="{00000000-0005-0000-0000-000023000000}"/>
    <cellStyle name="Vírgula 2 2 2 2 10 2" xfId="12286" xr:uid="{00000000-0005-0000-0000-000023000000}"/>
    <cellStyle name="Vírgula 2 2 2 2 11" xfId="8206" xr:uid="{00000000-0005-0000-0000-000023000000}"/>
    <cellStyle name="Vírgula 2 2 2 2 2" xfId="95" xr:uid="{00000000-0005-0000-0000-000023000000}"/>
    <cellStyle name="Vírgula 2 2 2 2 2 10" xfId="8257" xr:uid="{00000000-0005-0000-0000-000023000000}"/>
    <cellStyle name="Vírgula 2 2 2 2 2 2" xfId="197" xr:uid="{00000000-0005-0000-0000-000023000000}"/>
    <cellStyle name="Vírgula 2 2 2 2 2 2 2" xfId="401" xr:uid="{00000000-0005-0000-0000-000023000000}"/>
    <cellStyle name="Vírgula 2 2 2 2 2 2 2 2" xfId="809" xr:uid="{00000000-0005-0000-0000-000023000000}"/>
    <cellStyle name="Vírgula 2 2 2 2 2 2 2 2 2" xfId="2850" xr:uid="{00000000-0005-0000-0000-000023000000}"/>
    <cellStyle name="Vírgula 2 2 2 2 2 2 2 2 2 2" xfId="6931" xr:uid="{00000000-0005-0000-0000-000023000000}"/>
    <cellStyle name="Vírgula 2 2 2 2 2 2 2 2 2 2 2" xfId="15091" xr:uid="{00000000-0005-0000-0000-000023000000}"/>
    <cellStyle name="Vírgula 2 2 2 2 2 2 2 2 2 3" xfId="11011" xr:uid="{00000000-0005-0000-0000-000023000000}"/>
    <cellStyle name="Vírgula 2 2 2 2 2 2 2 2 3" xfId="1830" xr:uid="{00000000-0005-0000-0000-000023000000}"/>
    <cellStyle name="Vírgula 2 2 2 2 2 2 2 2 3 2" xfId="5911" xr:uid="{00000000-0005-0000-0000-000023000000}"/>
    <cellStyle name="Vírgula 2 2 2 2 2 2 2 2 3 2 2" xfId="14071" xr:uid="{00000000-0005-0000-0000-000023000000}"/>
    <cellStyle name="Vírgula 2 2 2 2 2 2 2 2 3 3" xfId="9991" xr:uid="{00000000-0005-0000-0000-000023000000}"/>
    <cellStyle name="Vírgula 2 2 2 2 2 2 2 2 4" xfId="3870" xr:uid="{00000000-0005-0000-0000-000023000000}"/>
    <cellStyle name="Vírgula 2 2 2 2 2 2 2 2 4 2" xfId="7951" xr:uid="{00000000-0005-0000-0000-000023000000}"/>
    <cellStyle name="Vírgula 2 2 2 2 2 2 2 2 4 2 2" xfId="16111" xr:uid="{00000000-0005-0000-0000-000023000000}"/>
    <cellStyle name="Vírgula 2 2 2 2 2 2 2 2 4 3" xfId="12031" xr:uid="{00000000-0005-0000-0000-000023000000}"/>
    <cellStyle name="Vírgula 2 2 2 2 2 2 2 2 5" xfId="4890" xr:uid="{00000000-0005-0000-0000-000023000000}"/>
    <cellStyle name="Vírgula 2 2 2 2 2 2 2 2 5 2" xfId="13051" xr:uid="{00000000-0005-0000-0000-000023000000}"/>
    <cellStyle name="Vírgula 2 2 2 2 2 2 2 2 6" xfId="8971" xr:uid="{00000000-0005-0000-0000-000023000000}"/>
    <cellStyle name="Vírgula 2 2 2 2 2 2 2 3" xfId="2442" xr:uid="{00000000-0005-0000-0000-000023000000}"/>
    <cellStyle name="Vírgula 2 2 2 2 2 2 2 3 2" xfId="6523" xr:uid="{00000000-0005-0000-0000-000023000000}"/>
    <cellStyle name="Vírgula 2 2 2 2 2 2 2 3 2 2" xfId="14683" xr:uid="{00000000-0005-0000-0000-000023000000}"/>
    <cellStyle name="Vírgula 2 2 2 2 2 2 2 3 3" xfId="10603" xr:uid="{00000000-0005-0000-0000-000023000000}"/>
    <cellStyle name="Vírgula 2 2 2 2 2 2 2 4" xfId="1422" xr:uid="{00000000-0005-0000-0000-000023000000}"/>
    <cellStyle name="Vírgula 2 2 2 2 2 2 2 4 2" xfId="5503" xr:uid="{00000000-0005-0000-0000-000023000000}"/>
    <cellStyle name="Vírgula 2 2 2 2 2 2 2 4 2 2" xfId="13663" xr:uid="{00000000-0005-0000-0000-000023000000}"/>
    <cellStyle name="Vírgula 2 2 2 2 2 2 2 4 3" xfId="9583" xr:uid="{00000000-0005-0000-0000-000023000000}"/>
    <cellStyle name="Vírgula 2 2 2 2 2 2 2 5" xfId="3462" xr:uid="{00000000-0005-0000-0000-000023000000}"/>
    <cellStyle name="Vírgula 2 2 2 2 2 2 2 5 2" xfId="7543" xr:uid="{00000000-0005-0000-0000-000023000000}"/>
    <cellStyle name="Vírgula 2 2 2 2 2 2 2 5 2 2" xfId="15703" xr:uid="{00000000-0005-0000-0000-000023000000}"/>
    <cellStyle name="Vírgula 2 2 2 2 2 2 2 5 3" xfId="11623" xr:uid="{00000000-0005-0000-0000-000023000000}"/>
    <cellStyle name="Vírgula 2 2 2 2 2 2 2 6" xfId="4482" xr:uid="{00000000-0005-0000-0000-000023000000}"/>
    <cellStyle name="Vírgula 2 2 2 2 2 2 2 6 2" xfId="12643" xr:uid="{00000000-0005-0000-0000-000023000000}"/>
    <cellStyle name="Vírgula 2 2 2 2 2 2 2 7" xfId="8563" xr:uid="{00000000-0005-0000-0000-000023000000}"/>
    <cellStyle name="Vírgula 2 2 2 2 2 2 3" xfId="1013" xr:uid="{00000000-0005-0000-0000-000023000000}"/>
    <cellStyle name="Vírgula 2 2 2 2 2 2 3 2" xfId="3054" xr:uid="{00000000-0005-0000-0000-000023000000}"/>
    <cellStyle name="Vírgula 2 2 2 2 2 2 3 2 2" xfId="7135" xr:uid="{00000000-0005-0000-0000-000023000000}"/>
    <cellStyle name="Vírgula 2 2 2 2 2 2 3 2 2 2" xfId="15295" xr:uid="{00000000-0005-0000-0000-000023000000}"/>
    <cellStyle name="Vírgula 2 2 2 2 2 2 3 2 3" xfId="11215" xr:uid="{00000000-0005-0000-0000-000023000000}"/>
    <cellStyle name="Vírgula 2 2 2 2 2 2 3 3" xfId="2034" xr:uid="{00000000-0005-0000-0000-000023000000}"/>
    <cellStyle name="Vírgula 2 2 2 2 2 2 3 3 2" xfId="6115" xr:uid="{00000000-0005-0000-0000-000023000000}"/>
    <cellStyle name="Vírgula 2 2 2 2 2 2 3 3 2 2" xfId="14275" xr:uid="{00000000-0005-0000-0000-000023000000}"/>
    <cellStyle name="Vírgula 2 2 2 2 2 2 3 3 3" xfId="10195" xr:uid="{00000000-0005-0000-0000-000023000000}"/>
    <cellStyle name="Vírgula 2 2 2 2 2 2 3 4" xfId="4074" xr:uid="{00000000-0005-0000-0000-000023000000}"/>
    <cellStyle name="Vírgula 2 2 2 2 2 2 3 4 2" xfId="8155" xr:uid="{00000000-0005-0000-0000-000023000000}"/>
    <cellStyle name="Vírgula 2 2 2 2 2 2 3 4 2 2" xfId="16315" xr:uid="{00000000-0005-0000-0000-000023000000}"/>
    <cellStyle name="Vírgula 2 2 2 2 2 2 3 4 3" xfId="12235" xr:uid="{00000000-0005-0000-0000-000023000000}"/>
    <cellStyle name="Vírgula 2 2 2 2 2 2 3 5" xfId="5094" xr:uid="{00000000-0005-0000-0000-000023000000}"/>
    <cellStyle name="Vírgula 2 2 2 2 2 2 3 5 2" xfId="13255" xr:uid="{00000000-0005-0000-0000-000023000000}"/>
    <cellStyle name="Vírgula 2 2 2 2 2 2 3 6" xfId="9175" xr:uid="{00000000-0005-0000-0000-000023000000}"/>
    <cellStyle name="Vírgula 2 2 2 2 2 2 4" xfId="605" xr:uid="{00000000-0005-0000-0000-000023000000}"/>
    <cellStyle name="Vírgula 2 2 2 2 2 2 4 2" xfId="2646" xr:uid="{00000000-0005-0000-0000-000023000000}"/>
    <cellStyle name="Vírgula 2 2 2 2 2 2 4 2 2" xfId="6727" xr:uid="{00000000-0005-0000-0000-000023000000}"/>
    <cellStyle name="Vírgula 2 2 2 2 2 2 4 2 2 2" xfId="14887" xr:uid="{00000000-0005-0000-0000-000023000000}"/>
    <cellStyle name="Vírgula 2 2 2 2 2 2 4 2 3" xfId="10807" xr:uid="{00000000-0005-0000-0000-000023000000}"/>
    <cellStyle name="Vírgula 2 2 2 2 2 2 4 3" xfId="1626" xr:uid="{00000000-0005-0000-0000-000023000000}"/>
    <cellStyle name="Vírgula 2 2 2 2 2 2 4 3 2" xfId="5707" xr:uid="{00000000-0005-0000-0000-000023000000}"/>
    <cellStyle name="Vírgula 2 2 2 2 2 2 4 3 2 2" xfId="13867" xr:uid="{00000000-0005-0000-0000-000023000000}"/>
    <cellStyle name="Vírgula 2 2 2 2 2 2 4 3 3" xfId="9787" xr:uid="{00000000-0005-0000-0000-000023000000}"/>
    <cellStyle name="Vírgula 2 2 2 2 2 2 4 4" xfId="3666" xr:uid="{00000000-0005-0000-0000-000023000000}"/>
    <cellStyle name="Vírgula 2 2 2 2 2 2 4 4 2" xfId="7747" xr:uid="{00000000-0005-0000-0000-000023000000}"/>
    <cellStyle name="Vírgula 2 2 2 2 2 2 4 4 2 2" xfId="15907" xr:uid="{00000000-0005-0000-0000-000023000000}"/>
    <cellStyle name="Vírgula 2 2 2 2 2 2 4 4 3" xfId="11827" xr:uid="{00000000-0005-0000-0000-000023000000}"/>
    <cellStyle name="Vírgula 2 2 2 2 2 2 4 5" xfId="4686" xr:uid="{00000000-0005-0000-0000-000023000000}"/>
    <cellStyle name="Vírgula 2 2 2 2 2 2 4 5 2" xfId="12847" xr:uid="{00000000-0005-0000-0000-000023000000}"/>
    <cellStyle name="Vírgula 2 2 2 2 2 2 4 6" xfId="8767" xr:uid="{00000000-0005-0000-0000-000023000000}"/>
    <cellStyle name="Vírgula 2 2 2 2 2 2 5" xfId="2238" xr:uid="{00000000-0005-0000-0000-000023000000}"/>
    <cellStyle name="Vírgula 2 2 2 2 2 2 5 2" xfId="6319" xr:uid="{00000000-0005-0000-0000-000023000000}"/>
    <cellStyle name="Vírgula 2 2 2 2 2 2 5 2 2" xfId="14479" xr:uid="{00000000-0005-0000-0000-000023000000}"/>
    <cellStyle name="Vírgula 2 2 2 2 2 2 5 3" xfId="10399" xr:uid="{00000000-0005-0000-0000-000023000000}"/>
    <cellStyle name="Vírgula 2 2 2 2 2 2 6" xfId="1218" xr:uid="{00000000-0005-0000-0000-000023000000}"/>
    <cellStyle name="Vírgula 2 2 2 2 2 2 6 2" xfId="5299" xr:uid="{00000000-0005-0000-0000-000023000000}"/>
    <cellStyle name="Vírgula 2 2 2 2 2 2 6 2 2" xfId="13459" xr:uid="{00000000-0005-0000-0000-000023000000}"/>
    <cellStyle name="Vírgula 2 2 2 2 2 2 6 3" xfId="9379" xr:uid="{00000000-0005-0000-0000-000023000000}"/>
    <cellStyle name="Vírgula 2 2 2 2 2 2 7" xfId="3258" xr:uid="{00000000-0005-0000-0000-000023000000}"/>
    <cellStyle name="Vírgula 2 2 2 2 2 2 7 2" xfId="7339" xr:uid="{00000000-0005-0000-0000-000023000000}"/>
    <cellStyle name="Vírgula 2 2 2 2 2 2 7 2 2" xfId="15499" xr:uid="{00000000-0005-0000-0000-000023000000}"/>
    <cellStyle name="Vírgula 2 2 2 2 2 2 7 3" xfId="11419" xr:uid="{00000000-0005-0000-0000-000023000000}"/>
    <cellStyle name="Vírgula 2 2 2 2 2 2 8" xfId="4278" xr:uid="{00000000-0005-0000-0000-000023000000}"/>
    <cellStyle name="Vírgula 2 2 2 2 2 2 8 2" xfId="12439" xr:uid="{00000000-0005-0000-0000-000023000000}"/>
    <cellStyle name="Vírgula 2 2 2 2 2 2 9" xfId="8359" xr:uid="{00000000-0005-0000-0000-000023000000}"/>
    <cellStyle name="Vírgula 2 2 2 2 2 3" xfId="299" xr:uid="{00000000-0005-0000-0000-000023000000}"/>
    <cellStyle name="Vírgula 2 2 2 2 2 3 2" xfId="707" xr:uid="{00000000-0005-0000-0000-000023000000}"/>
    <cellStyle name="Vírgula 2 2 2 2 2 3 2 2" xfId="2748" xr:uid="{00000000-0005-0000-0000-000023000000}"/>
    <cellStyle name="Vírgula 2 2 2 2 2 3 2 2 2" xfId="6829" xr:uid="{00000000-0005-0000-0000-000023000000}"/>
    <cellStyle name="Vírgula 2 2 2 2 2 3 2 2 2 2" xfId="14989" xr:uid="{00000000-0005-0000-0000-000023000000}"/>
    <cellStyle name="Vírgula 2 2 2 2 2 3 2 2 3" xfId="10909" xr:uid="{00000000-0005-0000-0000-000023000000}"/>
    <cellStyle name="Vírgula 2 2 2 2 2 3 2 3" xfId="1728" xr:uid="{00000000-0005-0000-0000-000023000000}"/>
    <cellStyle name="Vírgula 2 2 2 2 2 3 2 3 2" xfId="5809" xr:uid="{00000000-0005-0000-0000-000023000000}"/>
    <cellStyle name="Vírgula 2 2 2 2 2 3 2 3 2 2" xfId="13969" xr:uid="{00000000-0005-0000-0000-000023000000}"/>
    <cellStyle name="Vírgula 2 2 2 2 2 3 2 3 3" xfId="9889" xr:uid="{00000000-0005-0000-0000-000023000000}"/>
    <cellStyle name="Vírgula 2 2 2 2 2 3 2 4" xfId="3768" xr:uid="{00000000-0005-0000-0000-000023000000}"/>
    <cellStyle name="Vírgula 2 2 2 2 2 3 2 4 2" xfId="7849" xr:uid="{00000000-0005-0000-0000-000023000000}"/>
    <cellStyle name="Vírgula 2 2 2 2 2 3 2 4 2 2" xfId="16009" xr:uid="{00000000-0005-0000-0000-000023000000}"/>
    <cellStyle name="Vírgula 2 2 2 2 2 3 2 4 3" xfId="11929" xr:uid="{00000000-0005-0000-0000-000023000000}"/>
    <cellStyle name="Vírgula 2 2 2 2 2 3 2 5" xfId="4788" xr:uid="{00000000-0005-0000-0000-000023000000}"/>
    <cellStyle name="Vírgula 2 2 2 2 2 3 2 5 2" xfId="12949" xr:uid="{00000000-0005-0000-0000-000023000000}"/>
    <cellStyle name="Vírgula 2 2 2 2 2 3 2 6" xfId="8869" xr:uid="{00000000-0005-0000-0000-000023000000}"/>
    <cellStyle name="Vírgula 2 2 2 2 2 3 3" xfId="2340" xr:uid="{00000000-0005-0000-0000-000023000000}"/>
    <cellStyle name="Vírgula 2 2 2 2 2 3 3 2" xfId="6421" xr:uid="{00000000-0005-0000-0000-000023000000}"/>
    <cellStyle name="Vírgula 2 2 2 2 2 3 3 2 2" xfId="14581" xr:uid="{00000000-0005-0000-0000-000023000000}"/>
    <cellStyle name="Vírgula 2 2 2 2 2 3 3 3" xfId="10501" xr:uid="{00000000-0005-0000-0000-000023000000}"/>
    <cellStyle name="Vírgula 2 2 2 2 2 3 4" xfId="1320" xr:uid="{00000000-0005-0000-0000-000023000000}"/>
    <cellStyle name="Vírgula 2 2 2 2 2 3 4 2" xfId="5401" xr:uid="{00000000-0005-0000-0000-000023000000}"/>
    <cellStyle name="Vírgula 2 2 2 2 2 3 4 2 2" xfId="13561" xr:uid="{00000000-0005-0000-0000-000023000000}"/>
    <cellStyle name="Vírgula 2 2 2 2 2 3 4 3" xfId="9481" xr:uid="{00000000-0005-0000-0000-000023000000}"/>
    <cellStyle name="Vírgula 2 2 2 2 2 3 5" xfId="3360" xr:uid="{00000000-0005-0000-0000-000023000000}"/>
    <cellStyle name="Vírgula 2 2 2 2 2 3 5 2" xfId="7441" xr:uid="{00000000-0005-0000-0000-000023000000}"/>
    <cellStyle name="Vírgula 2 2 2 2 2 3 5 2 2" xfId="15601" xr:uid="{00000000-0005-0000-0000-000023000000}"/>
    <cellStyle name="Vírgula 2 2 2 2 2 3 5 3" xfId="11521" xr:uid="{00000000-0005-0000-0000-000023000000}"/>
    <cellStyle name="Vírgula 2 2 2 2 2 3 6" xfId="4380" xr:uid="{00000000-0005-0000-0000-000023000000}"/>
    <cellStyle name="Vírgula 2 2 2 2 2 3 6 2" xfId="12541" xr:uid="{00000000-0005-0000-0000-000023000000}"/>
    <cellStyle name="Vírgula 2 2 2 2 2 3 7" xfId="8461" xr:uid="{00000000-0005-0000-0000-000023000000}"/>
    <cellStyle name="Vírgula 2 2 2 2 2 4" xfId="911" xr:uid="{00000000-0005-0000-0000-000023000000}"/>
    <cellStyle name="Vírgula 2 2 2 2 2 4 2" xfId="2952" xr:uid="{00000000-0005-0000-0000-000023000000}"/>
    <cellStyle name="Vírgula 2 2 2 2 2 4 2 2" xfId="7033" xr:uid="{00000000-0005-0000-0000-000023000000}"/>
    <cellStyle name="Vírgula 2 2 2 2 2 4 2 2 2" xfId="15193" xr:uid="{00000000-0005-0000-0000-000023000000}"/>
    <cellStyle name="Vírgula 2 2 2 2 2 4 2 3" xfId="11113" xr:uid="{00000000-0005-0000-0000-000023000000}"/>
    <cellStyle name="Vírgula 2 2 2 2 2 4 3" xfId="1932" xr:uid="{00000000-0005-0000-0000-000023000000}"/>
    <cellStyle name="Vírgula 2 2 2 2 2 4 3 2" xfId="6013" xr:uid="{00000000-0005-0000-0000-000023000000}"/>
    <cellStyle name="Vírgula 2 2 2 2 2 4 3 2 2" xfId="14173" xr:uid="{00000000-0005-0000-0000-000023000000}"/>
    <cellStyle name="Vírgula 2 2 2 2 2 4 3 3" xfId="10093" xr:uid="{00000000-0005-0000-0000-000023000000}"/>
    <cellStyle name="Vírgula 2 2 2 2 2 4 4" xfId="3972" xr:uid="{00000000-0005-0000-0000-000023000000}"/>
    <cellStyle name="Vírgula 2 2 2 2 2 4 4 2" xfId="8053" xr:uid="{00000000-0005-0000-0000-000023000000}"/>
    <cellStyle name="Vírgula 2 2 2 2 2 4 4 2 2" xfId="16213" xr:uid="{00000000-0005-0000-0000-000023000000}"/>
    <cellStyle name="Vírgula 2 2 2 2 2 4 4 3" xfId="12133" xr:uid="{00000000-0005-0000-0000-000023000000}"/>
    <cellStyle name="Vírgula 2 2 2 2 2 4 5" xfId="4992" xr:uid="{00000000-0005-0000-0000-000023000000}"/>
    <cellStyle name="Vírgula 2 2 2 2 2 4 5 2" xfId="13153" xr:uid="{00000000-0005-0000-0000-000023000000}"/>
    <cellStyle name="Vírgula 2 2 2 2 2 4 6" xfId="9073" xr:uid="{00000000-0005-0000-0000-000023000000}"/>
    <cellStyle name="Vírgula 2 2 2 2 2 5" xfId="503" xr:uid="{00000000-0005-0000-0000-000023000000}"/>
    <cellStyle name="Vírgula 2 2 2 2 2 5 2" xfId="2544" xr:uid="{00000000-0005-0000-0000-000023000000}"/>
    <cellStyle name="Vírgula 2 2 2 2 2 5 2 2" xfId="6625" xr:uid="{00000000-0005-0000-0000-000023000000}"/>
    <cellStyle name="Vírgula 2 2 2 2 2 5 2 2 2" xfId="14785" xr:uid="{00000000-0005-0000-0000-000023000000}"/>
    <cellStyle name="Vírgula 2 2 2 2 2 5 2 3" xfId="10705" xr:uid="{00000000-0005-0000-0000-000023000000}"/>
    <cellStyle name="Vírgula 2 2 2 2 2 5 3" xfId="1524" xr:uid="{00000000-0005-0000-0000-000023000000}"/>
    <cellStyle name="Vírgula 2 2 2 2 2 5 3 2" xfId="5605" xr:uid="{00000000-0005-0000-0000-000023000000}"/>
    <cellStyle name="Vírgula 2 2 2 2 2 5 3 2 2" xfId="13765" xr:uid="{00000000-0005-0000-0000-000023000000}"/>
    <cellStyle name="Vírgula 2 2 2 2 2 5 3 3" xfId="9685" xr:uid="{00000000-0005-0000-0000-000023000000}"/>
    <cellStyle name="Vírgula 2 2 2 2 2 5 4" xfId="3564" xr:uid="{00000000-0005-0000-0000-000023000000}"/>
    <cellStyle name="Vírgula 2 2 2 2 2 5 4 2" xfId="7645" xr:uid="{00000000-0005-0000-0000-000023000000}"/>
    <cellStyle name="Vírgula 2 2 2 2 2 5 4 2 2" xfId="15805" xr:uid="{00000000-0005-0000-0000-000023000000}"/>
    <cellStyle name="Vírgula 2 2 2 2 2 5 4 3" xfId="11725" xr:uid="{00000000-0005-0000-0000-000023000000}"/>
    <cellStyle name="Vírgula 2 2 2 2 2 5 5" xfId="4584" xr:uid="{00000000-0005-0000-0000-000023000000}"/>
    <cellStyle name="Vírgula 2 2 2 2 2 5 5 2" xfId="12745" xr:uid="{00000000-0005-0000-0000-000023000000}"/>
    <cellStyle name="Vírgula 2 2 2 2 2 5 6" xfId="8665" xr:uid="{00000000-0005-0000-0000-000023000000}"/>
    <cellStyle name="Vírgula 2 2 2 2 2 6" xfId="2136" xr:uid="{00000000-0005-0000-0000-000023000000}"/>
    <cellStyle name="Vírgula 2 2 2 2 2 6 2" xfId="6217" xr:uid="{00000000-0005-0000-0000-000023000000}"/>
    <cellStyle name="Vírgula 2 2 2 2 2 6 2 2" xfId="14377" xr:uid="{00000000-0005-0000-0000-000023000000}"/>
    <cellStyle name="Vírgula 2 2 2 2 2 6 3" xfId="10297" xr:uid="{00000000-0005-0000-0000-000023000000}"/>
    <cellStyle name="Vírgula 2 2 2 2 2 7" xfId="1116" xr:uid="{00000000-0005-0000-0000-000023000000}"/>
    <cellStyle name="Vírgula 2 2 2 2 2 7 2" xfId="5197" xr:uid="{00000000-0005-0000-0000-000023000000}"/>
    <cellStyle name="Vírgula 2 2 2 2 2 7 2 2" xfId="13357" xr:uid="{00000000-0005-0000-0000-000023000000}"/>
    <cellStyle name="Vírgula 2 2 2 2 2 7 3" xfId="9277" xr:uid="{00000000-0005-0000-0000-000023000000}"/>
    <cellStyle name="Vírgula 2 2 2 2 2 8" xfId="3156" xr:uid="{00000000-0005-0000-0000-000023000000}"/>
    <cellStyle name="Vírgula 2 2 2 2 2 8 2" xfId="7237" xr:uid="{00000000-0005-0000-0000-000023000000}"/>
    <cellStyle name="Vírgula 2 2 2 2 2 8 2 2" xfId="15397" xr:uid="{00000000-0005-0000-0000-000023000000}"/>
    <cellStyle name="Vírgula 2 2 2 2 2 8 3" xfId="11317" xr:uid="{00000000-0005-0000-0000-000023000000}"/>
    <cellStyle name="Vírgula 2 2 2 2 2 9" xfId="4176" xr:uid="{00000000-0005-0000-0000-000023000000}"/>
    <cellStyle name="Vírgula 2 2 2 2 2 9 2" xfId="12337" xr:uid="{00000000-0005-0000-0000-000023000000}"/>
    <cellStyle name="Vírgula 2 2 2 2 3" xfId="146" xr:uid="{00000000-0005-0000-0000-000023000000}"/>
    <cellStyle name="Vírgula 2 2 2 2 3 2" xfId="350" xr:uid="{00000000-0005-0000-0000-000023000000}"/>
    <cellStyle name="Vírgula 2 2 2 2 3 2 2" xfId="758" xr:uid="{00000000-0005-0000-0000-000023000000}"/>
    <cellStyle name="Vírgula 2 2 2 2 3 2 2 2" xfId="2799" xr:uid="{00000000-0005-0000-0000-000023000000}"/>
    <cellStyle name="Vírgula 2 2 2 2 3 2 2 2 2" xfId="6880" xr:uid="{00000000-0005-0000-0000-000023000000}"/>
    <cellStyle name="Vírgula 2 2 2 2 3 2 2 2 2 2" xfId="15040" xr:uid="{00000000-0005-0000-0000-000023000000}"/>
    <cellStyle name="Vírgula 2 2 2 2 3 2 2 2 3" xfId="10960" xr:uid="{00000000-0005-0000-0000-000023000000}"/>
    <cellStyle name="Vírgula 2 2 2 2 3 2 2 3" xfId="1779" xr:uid="{00000000-0005-0000-0000-000023000000}"/>
    <cellStyle name="Vírgula 2 2 2 2 3 2 2 3 2" xfId="5860" xr:uid="{00000000-0005-0000-0000-000023000000}"/>
    <cellStyle name="Vírgula 2 2 2 2 3 2 2 3 2 2" xfId="14020" xr:uid="{00000000-0005-0000-0000-000023000000}"/>
    <cellStyle name="Vírgula 2 2 2 2 3 2 2 3 3" xfId="9940" xr:uid="{00000000-0005-0000-0000-000023000000}"/>
    <cellStyle name="Vírgula 2 2 2 2 3 2 2 4" xfId="3819" xr:uid="{00000000-0005-0000-0000-000023000000}"/>
    <cellStyle name="Vírgula 2 2 2 2 3 2 2 4 2" xfId="7900" xr:uid="{00000000-0005-0000-0000-000023000000}"/>
    <cellStyle name="Vírgula 2 2 2 2 3 2 2 4 2 2" xfId="16060" xr:uid="{00000000-0005-0000-0000-000023000000}"/>
    <cellStyle name="Vírgula 2 2 2 2 3 2 2 4 3" xfId="11980" xr:uid="{00000000-0005-0000-0000-000023000000}"/>
    <cellStyle name="Vírgula 2 2 2 2 3 2 2 5" xfId="4839" xr:uid="{00000000-0005-0000-0000-000023000000}"/>
    <cellStyle name="Vírgula 2 2 2 2 3 2 2 5 2" xfId="13000" xr:uid="{00000000-0005-0000-0000-000023000000}"/>
    <cellStyle name="Vírgula 2 2 2 2 3 2 2 6" xfId="8920" xr:uid="{00000000-0005-0000-0000-000023000000}"/>
    <cellStyle name="Vírgula 2 2 2 2 3 2 3" xfId="2391" xr:uid="{00000000-0005-0000-0000-000023000000}"/>
    <cellStyle name="Vírgula 2 2 2 2 3 2 3 2" xfId="6472" xr:uid="{00000000-0005-0000-0000-000023000000}"/>
    <cellStyle name="Vírgula 2 2 2 2 3 2 3 2 2" xfId="14632" xr:uid="{00000000-0005-0000-0000-000023000000}"/>
    <cellStyle name="Vírgula 2 2 2 2 3 2 3 3" xfId="10552" xr:uid="{00000000-0005-0000-0000-000023000000}"/>
    <cellStyle name="Vírgula 2 2 2 2 3 2 4" xfId="1371" xr:uid="{00000000-0005-0000-0000-000023000000}"/>
    <cellStyle name="Vírgula 2 2 2 2 3 2 4 2" xfId="5452" xr:uid="{00000000-0005-0000-0000-000023000000}"/>
    <cellStyle name="Vírgula 2 2 2 2 3 2 4 2 2" xfId="13612" xr:uid="{00000000-0005-0000-0000-000023000000}"/>
    <cellStyle name="Vírgula 2 2 2 2 3 2 4 3" xfId="9532" xr:uid="{00000000-0005-0000-0000-000023000000}"/>
    <cellStyle name="Vírgula 2 2 2 2 3 2 5" xfId="3411" xr:uid="{00000000-0005-0000-0000-000023000000}"/>
    <cellStyle name="Vírgula 2 2 2 2 3 2 5 2" xfId="7492" xr:uid="{00000000-0005-0000-0000-000023000000}"/>
    <cellStyle name="Vírgula 2 2 2 2 3 2 5 2 2" xfId="15652" xr:uid="{00000000-0005-0000-0000-000023000000}"/>
    <cellStyle name="Vírgula 2 2 2 2 3 2 5 3" xfId="11572" xr:uid="{00000000-0005-0000-0000-000023000000}"/>
    <cellStyle name="Vírgula 2 2 2 2 3 2 6" xfId="4431" xr:uid="{00000000-0005-0000-0000-000023000000}"/>
    <cellStyle name="Vírgula 2 2 2 2 3 2 6 2" xfId="12592" xr:uid="{00000000-0005-0000-0000-000023000000}"/>
    <cellStyle name="Vírgula 2 2 2 2 3 2 7" xfId="8512" xr:uid="{00000000-0005-0000-0000-000023000000}"/>
    <cellStyle name="Vírgula 2 2 2 2 3 3" xfId="962" xr:uid="{00000000-0005-0000-0000-000023000000}"/>
    <cellStyle name="Vírgula 2 2 2 2 3 3 2" xfId="3003" xr:uid="{00000000-0005-0000-0000-000023000000}"/>
    <cellStyle name="Vírgula 2 2 2 2 3 3 2 2" xfId="7084" xr:uid="{00000000-0005-0000-0000-000023000000}"/>
    <cellStyle name="Vírgula 2 2 2 2 3 3 2 2 2" xfId="15244" xr:uid="{00000000-0005-0000-0000-000023000000}"/>
    <cellStyle name="Vírgula 2 2 2 2 3 3 2 3" xfId="11164" xr:uid="{00000000-0005-0000-0000-000023000000}"/>
    <cellStyle name="Vírgula 2 2 2 2 3 3 3" xfId="1983" xr:uid="{00000000-0005-0000-0000-000023000000}"/>
    <cellStyle name="Vírgula 2 2 2 2 3 3 3 2" xfId="6064" xr:uid="{00000000-0005-0000-0000-000023000000}"/>
    <cellStyle name="Vírgula 2 2 2 2 3 3 3 2 2" xfId="14224" xr:uid="{00000000-0005-0000-0000-000023000000}"/>
    <cellStyle name="Vírgula 2 2 2 2 3 3 3 3" xfId="10144" xr:uid="{00000000-0005-0000-0000-000023000000}"/>
    <cellStyle name="Vírgula 2 2 2 2 3 3 4" xfId="4023" xr:uid="{00000000-0005-0000-0000-000023000000}"/>
    <cellStyle name="Vírgula 2 2 2 2 3 3 4 2" xfId="8104" xr:uid="{00000000-0005-0000-0000-000023000000}"/>
    <cellStyle name="Vírgula 2 2 2 2 3 3 4 2 2" xfId="16264" xr:uid="{00000000-0005-0000-0000-000023000000}"/>
    <cellStyle name="Vírgula 2 2 2 2 3 3 4 3" xfId="12184" xr:uid="{00000000-0005-0000-0000-000023000000}"/>
    <cellStyle name="Vírgula 2 2 2 2 3 3 5" xfId="5043" xr:uid="{00000000-0005-0000-0000-000023000000}"/>
    <cellStyle name="Vírgula 2 2 2 2 3 3 5 2" xfId="13204" xr:uid="{00000000-0005-0000-0000-000023000000}"/>
    <cellStyle name="Vírgula 2 2 2 2 3 3 6" xfId="9124" xr:uid="{00000000-0005-0000-0000-000023000000}"/>
    <cellStyle name="Vírgula 2 2 2 2 3 4" xfId="554" xr:uid="{00000000-0005-0000-0000-000023000000}"/>
    <cellStyle name="Vírgula 2 2 2 2 3 4 2" xfId="2595" xr:uid="{00000000-0005-0000-0000-000023000000}"/>
    <cellStyle name="Vírgula 2 2 2 2 3 4 2 2" xfId="6676" xr:uid="{00000000-0005-0000-0000-000023000000}"/>
    <cellStyle name="Vírgula 2 2 2 2 3 4 2 2 2" xfId="14836" xr:uid="{00000000-0005-0000-0000-000023000000}"/>
    <cellStyle name="Vírgula 2 2 2 2 3 4 2 3" xfId="10756" xr:uid="{00000000-0005-0000-0000-000023000000}"/>
    <cellStyle name="Vírgula 2 2 2 2 3 4 3" xfId="1575" xr:uid="{00000000-0005-0000-0000-000023000000}"/>
    <cellStyle name="Vírgula 2 2 2 2 3 4 3 2" xfId="5656" xr:uid="{00000000-0005-0000-0000-000023000000}"/>
    <cellStyle name="Vírgula 2 2 2 2 3 4 3 2 2" xfId="13816" xr:uid="{00000000-0005-0000-0000-000023000000}"/>
    <cellStyle name="Vírgula 2 2 2 2 3 4 3 3" xfId="9736" xr:uid="{00000000-0005-0000-0000-000023000000}"/>
    <cellStyle name="Vírgula 2 2 2 2 3 4 4" xfId="3615" xr:uid="{00000000-0005-0000-0000-000023000000}"/>
    <cellStyle name="Vírgula 2 2 2 2 3 4 4 2" xfId="7696" xr:uid="{00000000-0005-0000-0000-000023000000}"/>
    <cellStyle name="Vírgula 2 2 2 2 3 4 4 2 2" xfId="15856" xr:uid="{00000000-0005-0000-0000-000023000000}"/>
    <cellStyle name="Vírgula 2 2 2 2 3 4 4 3" xfId="11776" xr:uid="{00000000-0005-0000-0000-000023000000}"/>
    <cellStyle name="Vírgula 2 2 2 2 3 4 5" xfId="4635" xr:uid="{00000000-0005-0000-0000-000023000000}"/>
    <cellStyle name="Vírgula 2 2 2 2 3 4 5 2" xfId="12796" xr:uid="{00000000-0005-0000-0000-000023000000}"/>
    <cellStyle name="Vírgula 2 2 2 2 3 4 6" xfId="8716" xr:uid="{00000000-0005-0000-0000-000023000000}"/>
    <cellStyle name="Vírgula 2 2 2 2 3 5" xfId="2187" xr:uid="{00000000-0005-0000-0000-000023000000}"/>
    <cellStyle name="Vírgula 2 2 2 2 3 5 2" xfId="6268" xr:uid="{00000000-0005-0000-0000-000023000000}"/>
    <cellStyle name="Vírgula 2 2 2 2 3 5 2 2" xfId="14428" xr:uid="{00000000-0005-0000-0000-000023000000}"/>
    <cellStyle name="Vírgula 2 2 2 2 3 5 3" xfId="10348" xr:uid="{00000000-0005-0000-0000-000023000000}"/>
    <cellStyle name="Vírgula 2 2 2 2 3 6" xfId="1167" xr:uid="{00000000-0005-0000-0000-000023000000}"/>
    <cellStyle name="Vírgula 2 2 2 2 3 6 2" xfId="5248" xr:uid="{00000000-0005-0000-0000-000023000000}"/>
    <cellStyle name="Vírgula 2 2 2 2 3 6 2 2" xfId="13408" xr:uid="{00000000-0005-0000-0000-000023000000}"/>
    <cellStyle name="Vírgula 2 2 2 2 3 6 3" xfId="9328" xr:uid="{00000000-0005-0000-0000-000023000000}"/>
    <cellStyle name="Vírgula 2 2 2 2 3 7" xfId="3207" xr:uid="{00000000-0005-0000-0000-000023000000}"/>
    <cellStyle name="Vírgula 2 2 2 2 3 7 2" xfId="7288" xr:uid="{00000000-0005-0000-0000-000023000000}"/>
    <cellStyle name="Vírgula 2 2 2 2 3 7 2 2" xfId="15448" xr:uid="{00000000-0005-0000-0000-000023000000}"/>
    <cellStyle name="Vírgula 2 2 2 2 3 7 3" xfId="11368" xr:uid="{00000000-0005-0000-0000-000023000000}"/>
    <cellStyle name="Vírgula 2 2 2 2 3 8" xfId="4227" xr:uid="{00000000-0005-0000-0000-000023000000}"/>
    <cellStyle name="Vírgula 2 2 2 2 3 8 2" xfId="12388" xr:uid="{00000000-0005-0000-0000-000023000000}"/>
    <cellStyle name="Vírgula 2 2 2 2 3 9" xfId="8308" xr:uid="{00000000-0005-0000-0000-000023000000}"/>
    <cellStyle name="Vírgula 2 2 2 2 4" xfId="248" xr:uid="{00000000-0005-0000-0000-000023000000}"/>
    <cellStyle name="Vírgula 2 2 2 2 4 2" xfId="656" xr:uid="{00000000-0005-0000-0000-000023000000}"/>
    <cellStyle name="Vírgula 2 2 2 2 4 2 2" xfId="2697" xr:uid="{00000000-0005-0000-0000-000023000000}"/>
    <cellStyle name="Vírgula 2 2 2 2 4 2 2 2" xfId="6778" xr:uid="{00000000-0005-0000-0000-000023000000}"/>
    <cellStyle name="Vírgula 2 2 2 2 4 2 2 2 2" xfId="14938" xr:uid="{00000000-0005-0000-0000-000023000000}"/>
    <cellStyle name="Vírgula 2 2 2 2 4 2 2 3" xfId="10858" xr:uid="{00000000-0005-0000-0000-000023000000}"/>
    <cellStyle name="Vírgula 2 2 2 2 4 2 3" xfId="1677" xr:uid="{00000000-0005-0000-0000-000023000000}"/>
    <cellStyle name="Vírgula 2 2 2 2 4 2 3 2" xfId="5758" xr:uid="{00000000-0005-0000-0000-000023000000}"/>
    <cellStyle name="Vírgula 2 2 2 2 4 2 3 2 2" xfId="13918" xr:uid="{00000000-0005-0000-0000-000023000000}"/>
    <cellStyle name="Vírgula 2 2 2 2 4 2 3 3" xfId="9838" xr:uid="{00000000-0005-0000-0000-000023000000}"/>
    <cellStyle name="Vírgula 2 2 2 2 4 2 4" xfId="3717" xr:uid="{00000000-0005-0000-0000-000023000000}"/>
    <cellStyle name="Vírgula 2 2 2 2 4 2 4 2" xfId="7798" xr:uid="{00000000-0005-0000-0000-000023000000}"/>
    <cellStyle name="Vírgula 2 2 2 2 4 2 4 2 2" xfId="15958" xr:uid="{00000000-0005-0000-0000-000023000000}"/>
    <cellStyle name="Vírgula 2 2 2 2 4 2 4 3" xfId="11878" xr:uid="{00000000-0005-0000-0000-000023000000}"/>
    <cellStyle name="Vírgula 2 2 2 2 4 2 5" xfId="4737" xr:uid="{00000000-0005-0000-0000-000023000000}"/>
    <cellStyle name="Vírgula 2 2 2 2 4 2 5 2" xfId="12898" xr:uid="{00000000-0005-0000-0000-000023000000}"/>
    <cellStyle name="Vírgula 2 2 2 2 4 2 6" xfId="8818" xr:uid="{00000000-0005-0000-0000-000023000000}"/>
    <cellStyle name="Vírgula 2 2 2 2 4 3" xfId="2289" xr:uid="{00000000-0005-0000-0000-000023000000}"/>
    <cellStyle name="Vírgula 2 2 2 2 4 3 2" xfId="6370" xr:uid="{00000000-0005-0000-0000-000023000000}"/>
    <cellStyle name="Vírgula 2 2 2 2 4 3 2 2" xfId="14530" xr:uid="{00000000-0005-0000-0000-000023000000}"/>
    <cellStyle name="Vírgula 2 2 2 2 4 3 3" xfId="10450" xr:uid="{00000000-0005-0000-0000-000023000000}"/>
    <cellStyle name="Vírgula 2 2 2 2 4 4" xfId="1269" xr:uid="{00000000-0005-0000-0000-000023000000}"/>
    <cellStyle name="Vírgula 2 2 2 2 4 4 2" xfId="5350" xr:uid="{00000000-0005-0000-0000-000023000000}"/>
    <cellStyle name="Vírgula 2 2 2 2 4 4 2 2" xfId="13510" xr:uid="{00000000-0005-0000-0000-000023000000}"/>
    <cellStyle name="Vírgula 2 2 2 2 4 4 3" xfId="9430" xr:uid="{00000000-0005-0000-0000-000023000000}"/>
    <cellStyle name="Vírgula 2 2 2 2 4 5" xfId="3309" xr:uid="{00000000-0005-0000-0000-000023000000}"/>
    <cellStyle name="Vírgula 2 2 2 2 4 5 2" xfId="7390" xr:uid="{00000000-0005-0000-0000-000023000000}"/>
    <cellStyle name="Vírgula 2 2 2 2 4 5 2 2" xfId="15550" xr:uid="{00000000-0005-0000-0000-000023000000}"/>
    <cellStyle name="Vírgula 2 2 2 2 4 5 3" xfId="11470" xr:uid="{00000000-0005-0000-0000-000023000000}"/>
    <cellStyle name="Vírgula 2 2 2 2 4 6" xfId="4329" xr:uid="{00000000-0005-0000-0000-000023000000}"/>
    <cellStyle name="Vírgula 2 2 2 2 4 6 2" xfId="12490" xr:uid="{00000000-0005-0000-0000-000023000000}"/>
    <cellStyle name="Vírgula 2 2 2 2 4 7" xfId="8410" xr:uid="{00000000-0005-0000-0000-000023000000}"/>
    <cellStyle name="Vírgula 2 2 2 2 5" xfId="860" xr:uid="{00000000-0005-0000-0000-000023000000}"/>
    <cellStyle name="Vírgula 2 2 2 2 5 2" xfId="2901" xr:uid="{00000000-0005-0000-0000-000023000000}"/>
    <cellStyle name="Vírgula 2 2 2 2 5 2 2" xfId="6982" xr:uid="{00000000-0005-0000-0000-000023000000}"/>
    <cellStyle name="Vírgula 2 2 2 2 5 2 2 2" xfId="15142" xr:uid="{00000000-0005-0000-0000-000023000000}"/>
    <cellStyle name="Vírgula 2 2 2 2 5 2 3" xfId="11062" xr:uid="{00000000-0005-0000-0000-000023000000}"/>
    <cellStyle name="Vírgula 2 2 2 2 5 3" xfId="1881" xr:uid="{00000000-0005-0000-0000-000023000000}"/>
    <cellStyle name="Vírgula 2 2 2 2 5 3 2" xfId="5962" xr:uid="{00000000-0005-0000-0000-000023000000}"/>
    <cellStyle name="Vírgula 2 2 2 2 5 3 2 2" xfId="14122" xr:uid="{00000000-0005-0000-0000-000023000000}"/>
    <cellStyle name="Vírgula 2 2 2 2 5 3 3" xfId="10042" xr:uid="{00000000-0005-0000-0000-000023000000}"/>
    <cellStyle name="Vírgula 2 2 2 2 5 4" xfId="3921" xr:uid="{00000000-0005-0000-0000-000023000000}"/>
    <cellStyle name="Vírgula 2 2 2 2 5 4 2" xfId="8002" xr:uid="{00000000-0005-0000-0000-000023000000}"/>
    <cellStyle name="Vírgula 2 2 2 2 5 4 2 2" xfId="16162" xr:uid="{00000000-0005-0000-0000-000023000000}"/>
    <cellStyle name="Vírgula 2 2 2 2 5 4 3" xfId="12082" xr:uid="{00000000-0005-0000-0000-000023000000}"/>
    <cellStyle name="Vírgula 2 2 2 2 5 5" xfId="4941" xr:uid="{00000000-0005-0000-0000-000023000000}"/>
    <cellStyle name="Vírgula 2 2 2 2 5 5 2" xfId="13102" xr:uid="{00000000-0005-0000-0000-000023000000}"/>
    <cellStyle name="Vírgula 2 2 2 2 5 6" xfId="9022" xr:uid="{00000000-0005-0000-0000-000023000000}"/>
    <cellStyle name="Vírgula 2 2 2 2 6" xfId="452" xr:uid="{00000000-0005-0000-0000-000023000000}"/>
    <cellStyle name="Vírgula 2 2 2 2 6 2" xfId="2493" xr:uid="{00000000-0005-0000-0000-000023000000}"/>
    <cellStyle name="Vírgula 2 2 2 2 6 2 2" xfId="6574" xr:uid="{00000000-0005-0000-0000-000023000000}"/>
    <cellStyle name="Vírgula 2 2 2 2 6 2 2 2" xfId="14734" xr:uid="{00000000-0005-0000-0000-000023000000}"/>
    <cellStyle name="Vírgula 2 2 2 2 6 2 3" xfId="10654" xr:uid="{00000000-0005-0000-0000-000023000000}"/>
    <cellStyle name="Vírgula 2 2 2 2 6 3" xfId="1473" xr:uid="{00000000-0005-0000-0000-000023000000}"/>
    <cellStyle name="Vírgula 2 2 2 2 6 3 2" xfId="5554" xr:uid="{00000000-0005-0000-0000-000023000000}"/>
    <cellStyle name="Vírgula 2 2 2 2 6 3 2 2" xfId="13714" xr:uid="{00000000-0005-0000-0000-000023000000}"/>
    <cellStyle name="Vírgula 2 2 2 2 6 3 3" xfId="9634" xr:uid="{00000000-0005-0000-0000-000023000000}"/>
    <cellStyle name="Vírgula 2 2 2 2 6 4" xfId="3513" xr:uid="{00000000-0005-0000-0000-000023000000}"/>
    <cellStyle name="Vírgula 2 2 2 2 6 4 2" xfId="7594" xr:uid="{00000000-0005-0000-0000-000023000000}"/>
    <cellStyle name="Vírgula 2 2 2 2 6 4 2 2" xfId="15754" xr:uid="{00000000-0005-0000-0000-000023000000}"/>
    <cellStyle name="Vírgula 2 2 2 2 6 4 3" xfId="11674" xr:uid="{00000000-0005-0000-0000-000023000000}"/>
    <cellStyle name="Vírgula 2 2 2 2 6 5" xfId="4533" xr:uid="{00000000-0005-0000-0000-000023000000}"/>
    <cellStyle name="Vírgula 2 2 2 2 6 5 2" xfId="12694" xr:uid="{00000000-0005-0000-0000-000023000000}"/>
    <cellStyle name="Vírgula 2 2 2 2 6 6" xfId="8614" xr:uid="{00000000-0005-0000-0000-000023000000}"/>
    <cellStyle name="Vírgula 2 2 2 2 7" xfId="2085" xr:uid="{00000000-0005-0000-0000-000023000000}"/>
    <cellStyle name="Vírgula 2 2 2 2 7 2" xfId="6166" xr:uid="{00000000-0005-0000-0000-000023000000}"/>
    <cellStyle name="Vírgula 2 2 2 2 7 2 2" xfId="14326" xr:uid="{00000000-0005-0000-0000-000023000000}"/>
    <cellStyle name="Vírgula 2 2 2 2 7 3" xfId="10246" xr:uid="{00000000-0005-0000-0000-000023000000}"/>
    <cellStyle name="Vírgula 2 2 2 2 8" xfId="1065" xr:uid="{00000000-0005-0000-0000-000023000000}"/>
    <cellStyle name="Vírgula 2 2 2 2 8 2" xfId="5146" xr:uid="{00000000-0005-0000-0000-000023000000}"/>
    <cellStyle name="Vírgula 2 2 2 2 8 2 2" xfId="13306" xr:uid="{00000000-0005-0000-0000-000023000000}"/>
    <cellStyle name="Vírgula 2 2 2 2 8 3" xfId="9226" xr:uid="{00000000-0005-0000-0000-000023000000}"/>
    <cellStyle name="Vírgula 2 2 2 2 9" xfId="3105" xr:uid="{00000000-0005-0000-0000-000023000000}"/>
    <cellStyle name="Vírgula 2 2 2 2 9 2" xfId="7186" xr:uid="{00000000-0005-0000-0000-000023000000}"/>
    <cellStyle name="Vírgula 2 2 2 2 9 2 2" xfId="15346" xr:uid="{00000000-0005-0000-0000-000023000000}"/>
    <cellStyle name="Vírgula 2 2 2 2 9 3" xfId="11266" xr:uid="{00000000-0005-0000-0000-000023000000}"/>
    <cellStyle name="Vírgula 2 2 2 3" xfId="70" xr:uid="{00000000-0005-0000-0000-000022000000}"/>
    <cellStyle name="Vírgula 2 2 2 3 10" xfId="8232" xr:uid="{00000000-0005-0000-0000-000022000000}"/>
    <cellStyle name="Vírgula 2 2 2 3 2" xfId="172" xr:uid="{00000000-0005-0000-0000-000022000000}"/>
    <cellStyle name="Vírgula 2 2 2 3 2 2" xfId="376" xr:uid="{00000000-0005-0000-0000-000022000000}"/>
    <cellStyle name="Vírgula 2 2 2 3 2 2 2" xfId="784" xr:uid="{00000000-0005-0000-0000-000022000000}"/>
    <cellStyle name="Vírgula 2 2 2 3 2 2 2 2" xfId="2825" xr:uid="{00000000-0005-0000-0000-000022000000}"/>
    <cellStyle name="Vírgula 2 2 2 3 2 2 2 2 2" xfId="6906" xr:uid="{00000000-0005-0000-0000-000022000000}"/>
    <cellStyle name="Vírgula 2 2 2 3 2 2 2 2 2 2" xfId="15066" xr:uid="{00000000-0005-0000-0000-000022000000}"/>
    <cellStyle name="Vírgula 2 2 2 3 2 2 2 2 3" xfId="10986" xr:uid="{00000000-0005-0000-0000-000022000000}"/>
    <cellStyle name="Vírgula 2 2 2 3 2 2 2 3" xfId="1805" xr:uid="{00000000-0005-0000-0000-000022000000}"/>
    <cellStyle name="Vírgula 2 2 2 3 2 2 2 3 2" xfId="5886" xr:uid="{00000000-0005-0000-0000-000022000000}"/>
    <cellStyle name="Vírgula 2 2 2 3 2 2 2 3 2 2" xfId="14046" xr:uid="{00000000-0005-0000-0000-000022000000}"/>
    <cellStyle name="Vírgula 2 2 2 3 2 2 2 3 3" xfId="9966" xr:uid="{00000000-0005-0000-0000-000022000000}"/>
    <cellStyle name="Vírgula 2 2 2 3 2 2 2 4" xfId="3845" xr:uid="{00000000-0005-0000-0000-000022000000}"/>
    <cellStyle name="Vírgula 2 2 2 3 2 2 2 4 2" xfId="7926" xr:uid="{00000000-0005-0000-0000-000022000000}"/>
    <cellStyle name="Vírgula 2 2 2 3 2 2 2 4 2 2" xfId="16086" xr:uid="{00000000-0005-0000-0000-000022000000}"/>
    <cellStyle name="Vírgula 2 2 2 3 2 2 2 4 3" xfId="12006" xr:uid="{00000000-0005-0000-0000-000022000000}"/>
    <cellStyle name="Vírgula 2 2 2 3 2 2 2 5" xfId="4865" xr:uid="{00000000-0005-0000-0000-000022000000}"/>
    <cellStyle name="Vírgula 2 2 2 3 2 2 2 5 2" xfId="13026" xr:uid="{00000000-0005-0000-0000-000022000000}"/>
    <cellStyle name="Vírgula 2 2 2 3 2 2 2 6" xfId="8946" xr:uid="{00000000-0005-0000-0000-000022000000}"/>
    <cellStyle name="Vírgula 2 2 2 3 2 2 3" xfId="2417" xr:uid="{00000000-0005-0000-0000-000022000000}"/>
    <cellStyle name="Vírgula 2 2 2 3 2 2 3 2" xfId="6498" xr:uid="{00000000-0005-0000-0000-000022000000}"/>
    <cellStyle name="Vírgula 2 2 2 3 2 2 3 2 2" xfId="14658" xr:uid="{00000000-0005-0000-0000-000022000000}"/>
    <cellStyle name="Vírgula 2 2 2 3 2 2 3 3" xfId="10578" xr:uid="{00000000-0005-0000-0000-000022000000}"/>
    <cellStyle name="Vírgula 2 2 2 3 2 2 4" xfId="1397" xr:uid="{00000000-0005-0000-0000-000022000000}"/>
    <cellStyle name="Vírgula 2 2 2 3 2 2 4 2" xfId="5478" xr:uid="{00000000-0005-0000-0000-000022000000}"/>
    <cellStyle name="Vírgula 2 2 2 3 2 2 4 2 2" xfId="13638" xr:uid="{00000000-0005-0000-0000-000022000000}"/>
    <cellStyle name="Vírgula 2 2 2 3 2 2 4 3" xfId="9558" xr:uid="{00000000-0005-0000-0000-000022000000}"/>
    <cellStyle name="Vírgula 2 2 2 3 2 2 5" xfId="3437" xr:uid="{00000000-0005-0000-0000-000022000000}"/>
    <cellStyle name="Vírgula 2 2 2 3 2 2 5 2" xfId="7518" xr:uid="{00000000-0005-0000-0000-000022000000}"/>
    <cellStyle name="Vírgula 2 2 2 3 2 2 5 2 2" xfId="15678" xr:uid="{00000000-0005-0000-0000-000022000000}"/>
    <cellStyle name="Vírgula 2 2 2 3 2 2 5 3" xfId="11598" xr:uid="{00000000-0005-0000-0000-000022000000}"/>
    <cellStyle name="Vírgula 2 2 2 3 2 2 6" xfId="4457" xr:uid="{00000000-0005-0000-0000-000022000000}"/>
    <cellStyle name="Vírgula 2 2 2 3 2 2 6 2" xfId="12618" xr:uid="{00000000-0005-0000-0000-000022000000}"/>
    <cellStyle name="Vírgula 2 2 2 3 2 2 7" xfId="8538" xr:uid="{00000000-0005-0000-0000-000022000000}"/>
    <cellStyle name="Vírgula 2 2 2 3 2 3" xfId="988" xr:uid="{00000000-0005-0000-0000-000022000000}"/>
    <cellStyle name="Vírgula 2 2 2 3 2 3 2" xfId="3029" xr:uid="{00000000-0005-0000-0000-000022000000}"/>
    <cellStyle name="Vírgula 2 2 2 3 2 3 2 2" xfId="7110" xr:uid="{00000000-0005-0000-0000-000022000000}"/>
    <cellStyle name="Vírgula 2 2 2 3 2 3 2 2 2" xfId="15270" xr:uid="{00000000-0005-0000-0000-000022000000}"/>
    <cellStyle name="Vírgula 2 2 2 3 2 3 2 3" xfId="11190" xr:uid="{00000000-0005-0000-0000-000022000000}"/>
    <cellStyle name="Vírgula 2 2 2 3 2 3 3" xfId="2009" xr:uid="{00000000-0005-0000-0000-000022000000}"/>
    <cellStyle name="Vírgula 2 2 2 3 2 3 3 2" xfId="6090" xr:uid="{00000000-0005-0000-0000-000022000000}"/>
    <cellStyle name="Vírgula 2 2 2 3 2 3 3 2 2" xfId="14250" xr:uid="{00000000-0005-0000-0000-000022000000}"/>
    <cellStyle name="Vírgula 2 2 2 3 2 3 3 3" xfId="10170" xr:uid="{00000000-0005-0000-0000-000022000000}"/>
    <cellStyle name="Vírgula 2 2 2 3 2 3 4" xfId="4049" xr:uid="{00000000-0005-0000-0000-000022000000}"/>
    <cellStyle name="Vírgula 2 2 2 3 2 3 4 2" xfId="8130" xr:uid="{00000000-0005-0000-0000-000022000000}"/>
    <cellStyle name="Vírgula 2 2 2 3 2 3 4 2 2" xfId="16290" xr:uid="{00000000-0005-0000-0000-000022000000}"/>
    <cellStyle name="Vírgula 2 2 2 3 2 3 4 3" xfId="12210" xr:uid="{00000000-0005-0000-0000-000022000000}"/>
    <cellStyle name="Vírgula 2 2 2 3 2 3 5" xfId="5069" xr:uid="{00000000-0005-0000-0000-000022000000}"/>
    <cellStyle name="Vírgula 2 2 2 3 2 3 5 2" xfId="13230" xr:uid="{00000000-0005-0000-0000-000022000000}"/>
    <cellStyle name="Vírgula 2 2 2 3 2 3 6" xfId="9150" xr:uid="{00000000-0005-0000-0000-000022000000}"/>
    <cellStyle name="Vírgula 2 2 2 3 2 4" xfId="580" xr:uid="{00000000-0005-0000-0000-000022000000}"/>
    <cellStyle name="Vírgula 2 2 2 3 2 4 2" xfId="2621" xr:uid="{00000000-0005-0000-0000-000022000000}"/>
    <cellStyle name="Vírgula 2 2 2 3 2 4 2 2" xfId="6702" xr:uid="{00000000-0005-0000-0000-000022000000}"/>
    <cellStyle name="Vírgula 2 2 2 3 2 4 2 2 2" xfId="14862" xr:uid="{00000000-0005-0000-0000-000022000000}"/>
    <cellStyle name="Vírgula 2 2 2 3 2 4 2 3" xfId="10782" xr:uid="{00000000-0005-0000-0000-000022000000}"/>
    <cellStyle name="Vírgula 2 2 2 3 2 4 3" xfId="1601" xr:uid="{00000000-0005-0000-0000-000022000000}"/>
    <cellStyle name="Vírgula 2 2 2 3 2 4 3 2" xfId="5682" xr:uid="{00000000-0005-0000-0000-000022000000}"/>
    <cellStyle name="Vírgula 2 2 2 3 2 4 3 2 2" xfId="13842" xr:uid="{00000000-0005-0000-0000-000022000000}"/>
    <cellStyle name="Vírgula 2 2 2 3 2 4 3 3" xfId="9762" xr:uid="{00000000-0005-0000-0000-000022000000}"/>
    <cellStyle name="Vírgula 2 2 2 3 2 4 4" xfId="3641" xr:uid="{00000000-0005-0000-0000-000022000000}"/>
    <cellStyle name="Vírgula 2 2 2 3 2 4 4 2" xfId="7722" xr:uid="{00000000-0005-0000-0000-000022000000}"/>
    <cellStyle name="Vírgula 2 2 2 3 2 4 4 2 2" xfId="15882" xr:uid="{00000000-0005-0000-0000-000022000000}"/>
    <cellStyle name="Vírgula 2 2 2 3 2 4 4 3" xfId="11802" xr:uid="{00000000-0005-0000-0000-000022000000}"/>
    <cellStyle name="Vírgula 2 2 2 3 2 4 5" xfId="4661" xr:uid="{00000000-0005-0000-0000-000022000000}"/>
    <cellStyle name="Vírgula 2 2 2 3 2 4 5 2" xfId="12822" xr:uid="{00000000-0005-0000-0000-000022000000}"/>
    <cellStyle name="Vírgula 2 2 2 3 2 4 6" xfId="8742" xr:uid="{00000000-0005-0000-0000-000022000000}"/>
    <cellStyle name="Vírgula 2 2 2 3 2 5" xfId="2213" xr:uid="{00000000-0005-0000-0000-000022000000}"/>
    <cellStyle name="Vírgula 2 2 2 3 2 5 2" xfId="6294" xr:uid="{00000000-0005-0000-0000-000022000000}"/>
    <cellStyle name="Vírgula 2 2 2 3 2 5 2 2" xfId="14454" xr:uid="{00000000-0005-0000-0000-000022000000}"/>
    <cellStyle name="Vírgula 2 2 2 3 2 5 3" xfId="10374" xr:uid="{00000000-0005-0000-0000-000022000000}"/>
    <cellStyle name="Vírgula 2 2 2 3 2 6" xfId="1193" xr:uid="{00000000-0005-0000-0000-000022000000}"/>
    <cellStyle name="Vírgula 2 2 2 3 2 6 2" xfId="5274" xr:uid="{00000000-0005-0000-0000-000022000000}"/>
    <cellStyle name="Vírgula 2 2 2 3 2 6 2 2" xfId="13434" xr:uid="{00000000-0005-0000-0000-000022000000}"/>
    <cellStyle name="Vírgula 2 2 2 3 2 6 3" xfId="9354" xr:uid="{00000000-0005-0000-0000-000022000000}"/>
    <cellStyle name="Vírgula 2 2 2 3 2 7" xfId="3233" xr:uid="{00000000-0005-0000-0000-000022000000}"/>
    <cellStyle name="Vírgula 2 2 2 3 2 7 2" xfId="7314" xr:uid="{00000000-0005-0000-0000-000022000000}"/>
    <cellStyle name="Vírgula 2 2 2 3 2 7 2 2" xfId="15474" xr:uid="{00000000-0005-0000-0000-000022000000}"/>
    <cellStyle name="Vírgula 2 2 2 3 2 7 3" xfId="11394" xr:uid="{00000000-0005-0000-0000-000022000000}"/>
    <cellStyle name="Vírgula 2 2 2 3 2 8" xfId="4253" xr:uid="{00000000-0005-0000-0000-000022000000}"/>
    <cellStyle name="Vírgula 2 2 2 3 2 8 2" xfId="12414" xr:uid="{00000000-0005-0000-0000-000022000000}"/>
    <cellStyle name="Vírgula 2 2 2 3 2 9" xfId="8334" xr:uid="{00000000-0005-0000-0000-000022000000}"/>
    <cellStyle name="Vírgula 2 2 2 3 3" xfId="274" xr:uid="{00000000-0005-0000-0000-000022000000}"/>
    <cellStyle name="Vírgula 2 2 2 3 3 2" xfId="682" xr:uid="{00000000-0005-0000-0000-000022000000}"/>
    <cellStyle name="Vírgula 2 2 2 3 3 2 2" xfId="2723" xr:uid="{00000000-0005-0000-0000-000022000000}"/>
    <cellStyle name="Vírgula 2 2 2 3 3 2 2 2" xfId="6804" xr:uid="{00000000-0005-0000-0000-000022000000}"/>
    <cellStyle name="Vírgula 2 2 2 3 3 2 2 2 2" xfId="14964" xr:uid="{00000000-0005-0000-0000-000022000000}"/>
    <cellStyle name="Vírgula 2 2 2 3 3 2 2 3" xfId="10884" xr:uid="{00000000-0005-0000-0000-000022000000}"/>
    <cellStyle name="Vírgula 2 2 2 3 3 2 3" xfId="1703" xr:uid="{00000000-0005-0000-0000-000022000000}"/>
    <cellStyle name="Vírgula 2 2 2 3 3 2 3 2" xfId="5784" xr:uid="{00000000-0005-0000-0000-000022000000}"/>
    <cellStyle name="Vírgula 2 2 2 3 3 2 3 2 2" xfId="13944" xr:uid="{00000000-0005-0000-0000-000022000000}"/>
    <cellStyle name="Vírgula 2 2 2 3 3 2 3 3" xfId="9864" xr:uid="{00000000-0005-0000-0000-000022000000}"/>
    <cellStyle name="Vírgula 2 2 2 3 3 2 4" xfId="3743" xr:uid="{00000000-0005-0000-0000-000022000000}"/>
    <cellStyle name="Vírgula 2 2 2 3 3 2 4 2" xfId="7824" xr:uid="{00000000-0005-0000-0000-000022000000}"/>
    <cellStyle name="Vírgula 2 2 2 3 3 2 4 2 2" xfId="15984" xr:uid="{00000000-0005-0000-0000-000022000000}"/>
    <cellStyle name="Vírgula 2 2 2 3 3 2 4 3" xfId="11904" xr:uid="{00000000-0005-0000-0000-000022000000}"/>
    <cellStyle name="Vírgula 2 2 2 3 3 2 5" xfId="4763" xr:uid="{00000000-0005-0000-0000-000022000000}"/>
    <cellStyle name="Vírgula 2 2 2 3 3 2 5 2" xfId="12924" xr:uid="{00000000-0005-0000-0000-000022000000}"/>
    <cellStyle name="Vírgula 2 2 2 3 3 2 6" xfId="8844" xr:uid="{00000000-0005-0000-0000-000022000000}"/>
    <cellStyle name="Vírgula 2 2 2 3 3 3" xfId="2315" xr:uid="{00000000-0005-0000-0000-000022000000}"/>
    <cellStyle name="Vírgula 2 2 2 3 3 3 2" xfId="6396" xr:uid="{00000000-0005-0000-0000-000022000000}"/>
    <cellStyle name="Vírgula 2 2 2 3 3 3 2 2" xfId="14556" xr:uid="{00000000-0005-0000-0000-000022000000}"/>
    <cellStyle name="Vírgula 2 2 2 3 3 3 3" xfId="10476" xr:uid="{00000000-0005-0000-0000-000022000000}"/>
    <cellStyle name="Vírgula 2 2 2 3 3 4" xfId="1295" xr:uid="{00000000-0005-0000-0000-000022000000}"/>
    <cellStyle name="Vírgula 2 2 2 3 3 4 2" xfId="5376" xr:uid="{00000000-0005-0000-0000-000022000000}"/>
    <cellStyle name="Vírgula 2 2 2 3 3 4 2 2" xfId="13536" xr:uid="{00000000-0005-0000-0000-000022000000}"/>
    <cellStyle name="Vírgula 2 2 2 3 3 4 3" xfId="9456" xr:uid="{00000000-0005-0000-0000-000022000000}"/>
    <cellStyle name="Vírgula 2 2 2 3 3 5" xfId="3335" xr:uid="{00000000-0005-0000-0000-000022000000}"/>
    <cellStyle name="Vírgula 2 2 2 3 3 5 2" xfId="7416" xr:uid="{00000000-0005-0000-0000-000022000000}"/>
    <cellStyle name="Vírgula 2 2 2 3 3 5 2 2" xfId="15576" xr:uid="{00000000-0005-0000-0000-000022000000}"/>
    <cellStyle name="Vírgula 2 2 2 3 3 5 3" xfId="11496" xr:uid="{00000000-0005-0000-0000-000022000000}"/>
    <cellStyle name="Vírgula 2 2 2 3 3 6" xfId="4355" xr:uid="{00000000-0005-0000-0000-000022000000}"/>
    <cellStyle name="Vírgula 2 2 2 3 3 6 2" xfId="12516" xr:uid="{00000000-0005-0000-0000-000022000000}"/>
    <cellStyle name="Vírgula 2 2 2 3 3 7" xfId="8436" xr:uid="{00000000-0005-0000-0000-000022000000}"/>
    <cellStyle name="Vírgula 2 2 2 3 4" xfId="886" xr:uid="{00000000-0005-0000-0000-000022000000}"/>
    <cellStyle name="Vírgula 2 2 2 3 4 2" xfId="2927" xr:uid="{00000000-0005-0000-0000-000022000000}"/>
    <cellStyle name="Vírgula 2 2 2 3 4 2 2" xfId="7008" xr:uid="{00000000-0005-0000-0000-000022000000}"/>
    <cellStyle name="Vírgula 2 2 2 3 4 2 2 2" xfId="15168" xr:uid="{00000000-0005-0000-0000-000022000000}"/>
    <cellStyle name="Vírgula 2 2 2 3 4 2 3" xfId="11088" xr:uid="{00000000-0005-0000-0000-000022000000}"/>
    <cellStyle name="Vírgula 2 2 2 3 4 3" xfId="1907" xr:uid="{00000000-0005-0000-0000-000022000000}"/>
    <cellStyle name="Vírgula 2 2 2 3 4 3 2" xfId="5988" xr:uid="{00000000-0005-0000-0000-000022000000}"/>
    <cellStyle name="Vírgula 2 2 2 3 4 3 2 2" xfId="14148" xr:uid="{00000000-0005-0000-0000-000022000000}"/>
    <cellStyle name="Vírgula 2 2 2 3 4 3 3" xfId="10068" xr:uid="{00000000-0005-0000-0000-000022000000}"/>
    <cellStyle name="Vírgula 2 2 2 3 4 4" xfId="3947" xr:uid="{00000000-0005-0000-0000-000022000000}"/>
    <cellStyle name="Vírgula 2 2 2 3 4 4 2" xfId="8028" xr:uid="{00000000-0005-0000-0000-000022000000}"/>
    <cellStyle name="Vírgula 2 2 2 3 4 4 2 2" xfId="16188" xr:uid="{00000000-0005-0000-0000-000022000000}"/>
    <cellStyle name="Vírgula 2 2 2 3 4 4 3" xfId="12108" xr:uid="{00000000-0005-0000-0000-000022000000}"/>
    <cellStyle name="Vírgula 2 2 2 3 4 5" xfId="4967" xr:uid="{00000000-0005-0000-0000-000022000000}"/>
    <cellStyle name="Vírgula 2 2 2 3 4 5 2" xfId="13128" xr:uid="{00000000-0005-0000-0000-000022000000}"/>
    <cellStyle name="Vírgula 2 2 2 3 4 6" xfId="9048" xr:uid="{00000000-0005-0000-0000-000022000000}"/>
    <cellStyle name="Vírgula 2 2 2 3 5" xfId="478" xr:uid="{00000000-0005-0000-0000-000022000000}"/>
    <cellStyle name="Vírgula 2 2 2 3 5 2" xfId="2519" xr:uid="{00000000-0005-0000-0000-000022000000}"/>
    <cellStyle name="Vírgula 2 2 2 3 5 2 2" xfId="6600" xr:uid="{00000000-0005-0000-0000-000022000000}"/>
    <cellStyle name="Vírgula 2 2 2 3 5 2 2 2" xfId="14760" xr:uid="{00000000-0005-0000-0000-000022000000}"/>
    <cellStyle name="Vírgula 2 2 2 3 5 2 3" xfId="10680" xr:uid="{00000000-0005-0000-0000-000022000000}"/>
    <cellStyle name="Vírgula 2 2 2 3 5 3" xfId="1499" xr:uid="{00000000-0005-0000-0000-000022000000}"/>
    <cellStyle name="Vírgula 2 2 2 3 5 3 2" xfId="5580" xr:uid="{00000000-0005-0000-0000-000022000000}"/>
    <cellStyle name="Vírgula 2 2 2 3 5 3 2 2" xfId="13740" xr:uid="{00000000-0005-0000-0000-000022000000}"/>
    <cellStyle name="Vírgula 2 2 2 3 5 3 3" xfId="9660" xr:uid="{00000000-0005-0000-0000-000022000000}"/>
    <cellStyle name="Vírgula 2 2 2 3 5 4" xfId="3539" xr:uid="{00000000-0005-0000-0000-000022000000}"/>
    <cellStyle name="Vírgula 2 2 2 3 5 4 2" xfId="7620" xr:uid="{00000000-0005-0000-0000-000022000000}"/>
    <cellStyle name="Vírgula 2 2 2 3 5 4 2 2" xfId="15780" xr:uid="{00000000-0005-0000-0000-000022000000}"/>
    <cellStyle name="Vírgula 2 2 2 3 5 4 3" xfId="11700" xr:uid="{00000000-0005-0000-0000-000022000000}"/>
    <cellStyle name="Vírgula 2 2 2 3 5 5" xfId="4559" xr:uid="{00000000-0005-0000-0000-000022000000}"/>
    <cellStyle name="Vírgula 2 2 2 3 5 5 2" xfId="12720" xr:uid="{00000000-0005-0000-0000-000022000000}"/>
    <cellStyle name="Vírgula 2 2 2 3 5 6" xfId="8640" xr:uid="{00000000-0005-0000-0000-000022000000}"/>
    <cellStyle name="Vírgula 2 2 2 3 6" xfId="2111" xr:uid="{00000000-0005-0000-0000-000022000000}"/>
    <cellStyle name="Vírgula 2 2 2 3 6 2" xfId="6192" xr:uid="{00000000-0005-0000-0000-000022000000}"/>
    <cellStyle name="Vírgula 2 2 2 3 6 2 2" xfId="14352" xr:uid="{00000000-0005-0000-0000-000022000000}"/>
    <cellStyle name="Vírgula 2 2 2 3 6 3" xfId="10272" xr:uid="{00000000-0005-0000-0000-000022000000}"/>
    <cellStyle name="Vírgula 2 2 2 3 7" xfId="1091" xr:uid="{00000000-0005-0000-0000-000022000000}"/>
    <cellStyle name="Vírgula 2 2 2 3 7 2" xfId="5172" xr:uid="{00000000-0005-0000-0000-000022000000}"/>
    <cellStyle name="Vírgula 2 2 2 3 7 2 2" xfId="13332" xr:uid="{00000000-0005-0000-0000-000022000000}"/>
    <cellStyle name="Vírgula 2 2 2 3 7 3" xfId="9252" xr:uid="{00000000-0005-0000-0000-000022000000}"/>
    <cellStyle name="Vírgula 2 2 2 3 8" xfId="3131" xr:uid="{00000000-0005-0000-0000-000022000000}"/>
    <cellStyle name="Vírgula 2 2 2 3 8 2" xfId="7212" xr:uid="{00000000-0005-0000-0000-000022000000}"/>
    <cellStyle name="Vírgula 2 2 2 3 8 2 2" xfId="15372" xr:uid="{00000000-0005-0000-0000-000022000000}"/>
    <cellStyle name="Vírgula 2 2 2 3 8 3" xfId="11292" xr:uid="{00000000-0005-0000-0000-000022000000}"/>
    <cellStyle name="Vírgula 2 2 2 3 9" xfId="4151" xr:uid="{00000000-0005-0000-0000-000022000000}"/>
    <cellStyle name="Vírgula 2 2 2 3 9 2" xfId="12312" xr:uid="{00000000-0005-0000-0000-000022000000}"/>
    <cellStyle name="Vírgula 2 2 2 4" xfId="121" xr:uid="{00000000-0005-0000-0000-000022000000}"/>
    <cellStyle name="Vírgula 2 2 2 4 2" xfId="325" xr:uid="{00000000-0005-0000-0000-000022000000}"/>
    <cellStyle name="Vírgula 2 2 2 4 2 2" xfId="733" xr:uid="{00000000-0005-0000-0000-000022000000}"/>
    <cellStyle name="Vírgula 2 2 2 4 2 2 2" xfId="2774" xr:uid="{00000000-0005-0000-0000-000022000000}"/>
    <cellStyle name="Vírgula 2 2 2 4 2 2 2 2" xfId="6855" xr:uid="{00000000-0005-0000-0000-000022000000}"/>
    <cellStyle name="Vírgula 2 2 2 4 2 2 2 2 2" xfId="15015" xr:uid="{00000000-0005-0000-0000-000022000000}"/>
    <cellStyle name="Vírgula 2 2 2 4 2 2 2 3" xfId="10935" xr:uid="{00000000-0005-0000-0000-000022000000}"/>
    <cellStyle name="Vírgula 2 2 2 4 2 2 3" xfId="1754" xr:uid="{00000000-0005-0000-0000-000022000000}"/>
    <cellStyle name="Vírgula 2 2 2 4 2 2 3 2" xfId="5835" xr:uid="{00000000-0005-0000-0000-000022000000}"/>
    <cellStyle name="Vírgula 2 2 2 4 2 2 3 2 2" xfId="13995" xr:uid="{00000000-0005-0000-0000-000022000000}"/>
    <cellStyle name="Vírgula 2 2 2 4 2 2 3 3" xfId="9915" xr:uid="{00000000-0005-0000-0000-000022000000}"/>
    <cellStyle name="Vírgula 2 2 2 4 2 2 4" xfId="3794" xr:uid="{00000000-0005-0000-0000-000022000000}"/>
    <cellStyle name="Vírgula 2 2 2 4 2 2 4 2" xfId="7875" xr:uid="{00000000-0005-0000-0000-000022000000}"/>
    <cellStyle name="Vírgula 2 2 2 4 2 2 4 2 2" xfId="16035" xr:uid="{00000000-0005-0000-0000-000022000000}"/>
    <cellStyle name="Vírgula 2 2 2 4 2 2 4 3" xfId="11955" xr:uid="{00000000-0005-0000-0000-000022000000}"/>
    <cellStyle name="Vírgula 2 2 2 4 2 2 5" xfId="4814" xr:uid="{00000000-0005-0000-0000-000022000000}"/>
    <cellStyle name="Vírgula 2 2 2 4 2 2 5 2" xfId="12975" xr:uid="{00000000-0005-0000-0000-000022000000}"/>
    <cellStyle name="Vírgula 2 2 2 4 2 2 6" xfId="8895" xr:uid="{00000000-0005-0000-0000-000022000000}"/>
    <cellStyle name="Vírgula 2 2 2 4 2 3" xfId="2366" xr:uid="{00000000-0005-0000-0000-000022000000}"/>
    <cellStyle name="Vírgula 2 2 2 4 2 3 2" xfId="6447" xr:uid="{00000000-0005-0000-0000-000022000000}"/>
    <cellStyle name="Vírgula 2 2 2 4 2 3 2 2" xfId="14607" xr:uid="{00000000-0005-0000-0000-000022000000}"/>
    <cellStyle name="Vírgula 2 2 2 4 2 3 3" xfId="10527" xr:uid="{00000000-0005-0000-0000-000022000000}"/>
    <cellStyle name="Vírgula 2 2 2 4 2 4" xfId="1346" xr:uid="{00000000-0005-0000-0000-000022000000}"/>
    <cellStyle name="Vírgula 2 2 2 4 2 4 2" xfId="5427" xr:uid="{00000000-0005-0000-0000-000022000000}"/>
    <cellStyle name="Vírgula 2 2 2 4 2 4 2 2" xfId="13587" xr:uid="{00000000-0005-0000-0000-000022000000}"/>
    <cellStyle name="Vírgula 2 2 2 4 2 4 3" xfId="9507" xr:uid="{00000000-0005-0000-0000-000022000000}"/>
    <cellStyle name="Vírgula 2 2 2 4 2 5" xfId="3386" xr:uid="{00000000-0005-0000-0000-000022000000}"/>
    <cellStyle name="Vírgula 2 2 2 4 2 5 2" xfId="7467" xr:uid="{00000000-0005-0000-0000-000022000000}"/>
    <cellStyle name="Vírgula 2 2 2 4 2 5 2 2" xfId="15627" xr:uid="{00000000-0005-0000-0000-000022000000}"/>
    <cellStyle name="Vírgula 2 2 2 4 2 5 3" xfId="11547" xr:uid="{00000000-0005-0000-0000-000022000000}"/>
    <cellStyle name="Vírgula 2 2 2 4 2 6" xfId="4406" xr:uid="{00000000-0005-0000-0000-000022000000}"/>
    <cellStyle name="Vírgula 2 2 2 4 2 6 2" xfId="12567" xr:uid="{00000000-0005-0000-0000-000022000000}"/>
    <cellStyle name="Vírgula 2 2 2 4 2 7" xfId="8487" xr:uid="{00000000-0005-0000-0000-000022000000}"/>
    <cellStyle name="Vírgula 2 2 2 4 3" xfId="937" xr:uid="{00000000-0005-0000-0000-000022000000}"/>
    <cellStyle name="Vírgula 2 2 2 4 3 2" xfId="2978" xr:uid="{00000000-0005-0000-0000-000022000000}"/>
    <cellStyle name="Vírgula 2 2 2 4 3 2 2" xfId="7059" xr:uid="{00000000-0005-0000-0000-000022000000}"/>
    <cellStyle name="Vírgula 2 2 2 4 3 2 2 2" xfId="15219" xr:uid="{00000000-0005-0000-0000-000022000000}"/>
    <cellStyle name="Vírgula 2 2 2 4 3 2 3" xfId="11139" xr:uid="{00000000-0005-0000-0000-000022000000}"/>
    <cellStyle name="Vírgula 2 2 2 4 3 3" xfId="1958" xr:uid="{00000000-0005-0000-0000-000022000000}"/>
    <cellStyle name="Vírgula 2 2 2 4 3 3 2" xfId="6039" xr:uid="{00000000-0005-0000-0000-000022000000}"/>
    <cellStyle name="Vírgula 2 2 2 4 3 3 2 2" xfId="14199" xr:uid="{00000000-0005-0000-0000-000022000000}"/>
    <cellStyle name="Vírgula 2 2 2 4 3 3 3" xfId="10119" xr:uid="{00000000-0005-0000-0000-000022000000}"/>
    <cellStyle name="Vírgula 2 2 2 4 3 4" xfId="3998" xr:uid="{00000000-0005-0000-0000-000022000000}"/>
    <cellStyle name="Vírgula 2 2 2 4 3 4 2" xfId="8079" xr:uid="{00000000-0005-0000-0000-000022000000}"/>
    <cellStyle name="Vírgula 2 2 2 4 3 4 2 2" xfId="16239" xr:uid="{00000000-0005-0000-0000-000022000000}"/>
    <cellStyle name="Vírgula 2 2 2 4 3 4 3" xfId="12159" xr:uid="{00000000-0005-0000-0000-000022000000}"/>
    <cellStyle name="Vírgula 2 2 2 4 3 5" xfId="5018" xr:uid="{00000000-0005-0000-0000-000022000000}"/>
    <cellStyle name="Vírgula 2 2 2 4 3 5 2" xfId="13179" xr:uid="{00000000-0005-0000-0000-000022000000}"/>
    <cellStyle name="Vírgula 2 2 2 4 3 6" xfId="9099" xr:uid="{00000000-0005-0000-0000-000022000000}"/>
    <cellStyle name="Vírgula 2 2 2 4 4" xfId="529" xr:uid="{00000000-0005-0000-0000-000022000000}"/>
    <cellStyle name="Vírgula 2 2 2 4 4 2" xfId="2570" xr:uid="{00000000-0005-0000-0000-000022000000}"/>
    <cellStyle name="Vírgula 2 2 2 4 4 2 2" xfId="6651" xr:uid="{00000000-0005-0000-0000-000022000000}"/>
    <cellStyle name="Vírgula 2 2 2 4 4 2 2 2" xfId="14811" xr:uid="{00000000-0005-0000-0000-000022000000}"/>
    <cellStyle name="Vírgula 2 2 2 4 4 2 3" xfId="10731" xr:uid="{00000000-0005-0000-0000-000022000000}"/>
    <cellStyle name="Vírgula 2 2 2 4 4 3" xfId="1550" xr:uid="{00000000-0005-0000-0000-000022000000}"/>
    <cellStyle name="Vírgula 2 2 2 4 4 3 2" xfId="5631" xr:uid="{00000000-0005-0000-0000-000022000000}"/>
    <cellStyle name="Vírgula 2 2 2 4 4 3 2 2" xfId="13791" xr:uid="{00000000-0005-0000-0000-000022000000}"/>
    <cellStyle name="Vírgula 2 2 2 4 4 3 3" xfId="9711" xr:uid="{00000000-0005-0000-0000-000022000000}"/>
    <cellStyle name="Vírgula 2 2 2 4 4 4" xfId="3590" xr:uid="{00000000-0005-0000-0000-000022000000}"/>
    <cellStyle name="Vírgula 2 2 2 4 4 4 2" xfId="7671" xr:uid="{00000000-0005-0000-0000-000022000000}"/>
    <cellStyle name="Vírgula 2 2 2 4 4 4 2 2" xfId="15831" xr:uid="{00000000-0005-0000-0000-000022000000}"/>
    <cellStyle name="Vírgula 2 2 2 4 4 4 3" xfId="11751" xr:uid="{00000000-0005-0000-0000-000022000000}"/>
    <cellStyle name="Vírgula 2 2 2 4 4 5" xfId="4610" xr:uid="{00000000-0005-0000-0000-000022000000}"/>
    <cellStyle name="Vírgula 2 2 2 4 4 5 2" xfId="12771" xr:uid="{00000000-0005-0000-0000-000022000000}"/>
    <cellStyle name="Vírgula 2 2 2 4 4 6" xfId="8691" xr:uid="{00000000-0005-0000-0000-000022000000}"/>
    <cellStyle name="Vírgula 2 2 2 4 5" xfId="2162" xr:uid="{00000000-0005-0000-0000-000022000000}"/>
    <cellStyle name="Vírgula 2 2 2 4 5 2" xfId="6243" xr:uid="{00000000-0005-0000-0000-000022000000}"/>
    <cellStyle name="Vírgula 2 2 2 4 5 2 2" xfId="14403" xr:uid="{00000000-0005-0000-0000-000022000000}"/>
    <cellStyle name="Vírgula 2 2 2 4 5 3" xfId="10323" xr:uid="{00000000-0005-0000-0000-000022000000}"/>
    <cellStyle name="Vírgula 2 2 2 4 6" xfId="1142" xr:uid="{00000000-0005-0000-0000-000022000000}"/>
    <cellStyle name="Vírgula 2 2 2 4 6 2" xfId="5223" xr:uid="{00000000-0005-0000-0000-000022000000}"/>
    <cellStyle name="Vírgula 2 2 2 4 6 2 2" xfId="13383" xr:uid="{00000000-0005-0000-0000-000022000000}"/>
    <cellStyle name="Vírgula 2 2 2 4 6 3" xfId="9303" xr:uid="{00000000-0005-0000-0000-000022000000}"/>
    <cellStyle name="Vírgula 2 2 2 4 7" xfId="3182" xr:uid="{00000000-0005-0000-0000-000022000000}"/>
    <cellStyle name="Vírgula 2 2 2 4 7 2" xfId="7263" xr:uid="{00000000-0005-0000-0000-000022000000}"/>
    <cellStyle name="Vírgula 2 2 2 4 7 2 2" xfId="15423" xr:uid="{00000000-0005-0000-0000-000022000000}"/>
    <cellStyle name="Vírgula 2 2 2 4 7 3" xfId="11343" xr:uid="{00000000-0005-0000-0000-000022000000}"/>
    <cellStyle name="Vírgula 2 2 2 4 8" xfId="4202" xr:uid="{00000000-0005-0000-0000-000022000000}"/>
    <cellStyle name="Vírgula 2 2 2 4 8 2" xfId="12363" xr:uid="{00000000-0005-0000-0000-000022000000}"/>
    <cellStyle name="Vírgula 2 2 2 4 9" xfId="8283" xr:uid="{00000000-0005-0000-0000-000022000000}"/>
    <cellStyle name="Vírgula 2 2 2 5" xfId="223" xr:uid="{00000000-0005-0000-0000-000022000000}"/>
    <cellStyle name="Vírgula 2 2 2 5 2" xfId="631" xr:uid="{00000000-0005-0000-0000-000022000000}"/>
    <cellStyle name="Vírgula 2 2 2 5 2 2" xfId="2672" xr:uid="{00000000-0005-0000-0000-000022000000}"/>
    <cellStyle name="Vírgula 2 2 2 5 2 2 2" xfId="6753" xr:uid="{00000000-0005-0000-0000-000022000000}"/>
    <cellStyle name="Vírgula 2 2 2 5 2 2 2 2" xfId="14913" xr:uid="{00000000-0005-0000-0000-000022000000}"/>
    <cellStyle name="Vírgula 2 2 2 5 2 2 3" xfId="10833" xr:uid="{00000000-0005-0000-0000-000022000000}"/>
    <cellStyle name="Vírgula 2 2 2 5 2 3" xfId="1652" xr:uid="{00000000-0005-0000-0000-000022000000}"/>
    <cellStyle name="Vírgula 2 2 2 5 2 3 2" xfId="5733" xr:uid="{00000000-0005-0000-0000-000022000000}"/>
    <cellStyle name="Vírgula 2 2 2 5 2 3 2 2" xfId="13893" xr:uid="{00000000-0005-0000-0000-000022000000}"/>
    <cellStyle name="Vírgula 2 2 2 5 2 3 3" xfId="9813" xr:uid="{00000000-0005-0000-0000-000022000000}"/>
    <cellStyle name="Vírgula 2 2 2 5 2 4" xfId="3692" xr:uid="{00000000-0005-0000-0000-000022000000}"/>
    <cellStyle name="Vírgula 2 2 2 5 2 4 2" xfId="7773" xr:uid="{00000000-0005-0000-0000-000022000000}"/>
    <cellStyle name="Vírgula 2 2 2 5 2 4 2 2" xfId="15933" xr:uid="{00000000-0005-0000-0000-000022000000}"/>
    <cellStyle name="Vírgula 2 2 2 5 2 4 3" xfId="11853" xr:uid="{00000000-0005-0000-0000-000022000000}"/>
    <cellStyle name="Vírgula 2 2 2 5 2 5" xfId="4712" xr:uid="{00000000-0005-0000-0000-000022000000}"/>
    <cellStyle name="Vírgula 2 2 2 5 2 5 2" xfId="12873" xr:uid="{00000000-0005-0000-0000-000022000000}"/>
    <cellStyle name="Vírgula 2 2 2 5 2 6" xfId="8793" xr:uid="{00000000-0005-0000-0000-000022000000}"/>
    <cellStyle name="Vírgula 2 2 2 5 3" xfId="2264" xr:uid="{00000000-0005-0000-0000-000022000000}"/>
    <cellStyle name="Vírgula 2 2 2 5 3 2" xfId="6345" xr:uid="{00000000-0005-0000-0000-000022000000}"/>
    <cellStyle name="Vírgula 2 2 2 5 3 2 2" xfId="14505" xr:uid="{00000000-0005-0000-0000-000022000000}"/>
    <cellStyle name="Vírgula 2 2 2 5 3 3" xfId="10425" xr:uid="{00000000-0005-0000-0000-000022000000}"/>
    <cellStyle name="Vírgula 2 2 2 5 4" xfId="1244" xr:uid="{00000000-0005-0000-0000-000022000000}"/>
    <cellStyle name="Vírgula 2 2 2 5 4 2" xfId="5325" xr:uid="{00000000-0005-0000-0000-000022000000}"/>
    <cellStyle name="Vírgula 2 2 2 5 4 2 2" xfId="13485" xr:uid="{00000000-0005-0000-0000-000022000000}"/>
    <cellStyle name="Vírgula 2 2 2 5 4 3" xfId="9405" xr:uid="{00000000-0005-0000-0000-000022000000}"/>
    <cellStyle name="Vírgula 2 2 2 5 5" xfId="3284" xr:uid="{00000000-0005-0000-0000-000022000000}"/>
    <cellStyle name="Vírgula 2 2 2 5 5 2" xfId="7365" xr:uid="{00000000-0005-0000-0000-000022000000}"/>
    <cellStyle name="Vírgula 2 2 2 5 5 2 2" xfId="15525" xr:uid="{00000000-0005-0000-0000-000022000000}"/>
    <cellStyle name="Vírgula 2 2 2 5 5 3" xfId="11445" xr:uid="{00000000-0005-0000-0000-000022000000}"/>
    <cellStyle name="Vírgula 2 2 2 5 6" xfId="4304" xr:uid="{00000000-0005-0000-0000-000022000000}"/>
    <cellStyle name="Vírgula 2 2 2 5 6 2" xfId="12465" xr:uid="{00000000-0005-0000-0000-000022000000}"/>
    <cellStyle name="Vírgula 2 2 2 5 7" xfId="8385" xr:uid="{00000000-0005-0000-0000-000022000000}"/>
    <cellStyle name="Vírgula 2 2 2 6" xfId="835" xr:uid="{00000000-0005-0000-0000-000022000000}"/>
    <cellStyle name="Vírgula 2 2 2 6 2" xfId="2876" xr:uid="{00000000-0005-0000-0000-000022000000}"/>
    <cellStyle name="Vírgula 2 2 2 6 2 2" xfId="6957" xr:uid="{00000000-0005-0000-0000-000022000000}"/>
    <cellStyle name="Vírgula 2 2 2 6 2 2 2" xfId="15117" xr:uid="{00000000-0005-0000-0000-000022000000}"/>
    <cellStyle name="Vírgula 2 2 2 6 2 3" xfId="11037" xr:uid="{00000000-0005-0000-0000-000022000000}"/>
    <cellStyle name="Vírgula 2 2 2 6 3" xfId="1856" xr:uid="{00000000-0005-0000-0000-000022000000}"/>
    <cellStyle name="Vírgula 2 2 2 6 3 2" xfId="5937" xr:uid="{00000000-0005-0000-0000-000022000000}"/>
    <cellStyle name="Vírgula 2 2 2 6 3 2 2" xfId="14097" xr:uid="{00000000-0005-0000-0000-000022000000}"/>
    <cellStyle name="Vírgula 2 2 2 6 3 3" xfId="10017" xr:uid="{00000000-0005-0000-0000-000022000000}"/>
    <cellStyle name="Vírgula 2 2 2 6 4" xfId="3896" xr:uid="{00000000-0005-0000-0000-000022000000}"/>
    <cellStyle name="Vírgula 2 2 2 6 4 2" xfId="7977" xr:uid="{00000000-0005-0000-0000-000022000000}"/>
    <cellStyle name="Vírgula 2 2 2 6 4 2 2" xfId="16137" xr:uid="{00000000-0005-0000-0000-000022000000}"/>
    <cellStyle name="Vírgula 2 2 2 6 4 3" xfId="12057" xr:uid="{00000000-0005-0000-0000-000022000000}"/>
    <cellStyle name="Vírgula 2 2 2 6 5" xfId="4916" xr:uid="{00000000-0005-0000-0000-000022000000}"/>
    <cellStyle name="Vírgula 2 2 2 6 5 2" xfId="13077" xr:uid="{00000000-0005-0000-0000-000022000000}"/>
    <cellStyle name="Vírgula 2 2 2 6 6" xfId="8997" xr:uid="{00000000-0005-0000-0000-000022000000}"/>
    <cellStyle name="Vírgula 2 2 2 7" xfId="427" xr:uid="{00000000-0005-0000-0000-000022000000}"/>
    <cellStyle name="Vírgula 2 2 2 7 2" xfId="2468" xr:uid="{00000000-0005-0000-0000-000022000000}"/>
    <cellStyle name="Vírgula 2 2 2 7 2 2" xfId="6549" xr:uid="{00000000-0005-0000-0000-000022000000}"/>
    <cellStyle name="Vírgula 2 2 2 7 2 2 2" xfId="14709" xr:uid="{00000000-0005-0000-0000-000022000000}"/>
    <cellStyle name="Vírgula 2 2 2 7 2 3" xfId="10629" xr:uid="{00000000-0005-0000-0000-000022000000}"/>
    <cellStyle name="Vírgula 2 2 2 7 3" xfId="1448" xr:uid="{00000000-0005-0000-0000-000022000000}"/>
    <cellStyle name="Vírgula 2 2 2 7 3 2" xfId="5529" xr:uid="{00000000-0005-0000-0000-000022000000}"/>
    <cellStyle name="Vírgula 2 2 2 7 3 2 2" xfId="13689" xr:uid="{00000000-0005-0000-0000-000022000000}"/>
    <cellStyle name="Vírgula 2 2 2 7 3 3" xfId="9609" xr:uid="{00000000-0005-0000-0000-000022000000}"/>
    <cellStyle name="Vírgula 2 2 2 7 4" xfId="3488" xr:uid="{00000000-0005-0000-0000-000022000000}"/>
    <cellStyle name="Vírgula 2 2 2 7 4 2" xfId="7569" xr:uid="{00000000-0005-0000-0000-000022000000}"/>
    <cellStyle name="Vírgula 2 2 2 7 4 2 2" xfId="15729" xr:uid="{00000000-0005-0000-0000-000022000000}"/>
    <cellStyle name="Vírgula 2 2 2 7 4 3" xfId="11649" xr:uid="{00000000-0005-0000-0000-000022000000}"/>
    <cellStyle name="Vírgula 2 2 2 7 5" xfId="4508" xr:uid="{00000000-0005-0000-0000-000022000000}"/>
    <cellStyle name="Vírgula 2 2 2 7 5 2" xfId="12669" xr:uid="{00000000-0005-0000-0000-000022000000}"/>
    <cellStyle name="Vírgula 2 2 2 7 6" xfId="8589" xr:uid="{00000000-0005-0000-0000-000022000000}"/>
    <cellStyle name="Vírgula 2 2 2 8" xfId="2060" xr:uid="{00000000-0005-0000-0000-000022000000}"/>
    <cellStyle name="Vírgula 2 2 2 8 2" xfId="6141" xr:uid="{00000000-0005-0000-0000-000022000000}"/>
    <cellStyle name="Vírgula 2 2 2 8 2 2" xfId="14301" xr:uid="{00000000-0005-0000-0000-000022000000}"/>
    <cellStyle name="Vírgula 2 2 2 8 3" xfId="10221" xr:uid="{00000000-0005-0000-0000-000022000000}"/>
    <cellStyle name="Vírgula 2 2 2 9" xfId="1040" xr:uid="{00000000-0005-0000-0000-000022000000}"/>
    <cellStyle name="Vírgula 2 2 2 9 2" xfId="5121" xr:uid="{00000000-0005-0000-0000-000022000000}"/>
    <cellStyle name="Vírgula 2 2 2 9 2 2" xfId="13281" xr:uid="{00000000-0005-0000-0000-000022000000}"/>
    <cellStyle name="Vírgula 2 2 2 9 3" xfId="9201" xr:uid="{00000000-0005-0000-0000-000022000000}"/>
    <cellStyle name="Vírgula 2 2 3" xfId="24" xr:uid="{00000000-0005-0000-0000-000024000000}"/>
    <cellStyle name="Vírgula 2 2 3 10" xfId="3088" xr:uid="{00000000-0005-0000-0000-000024000000}"/>
    <cellStyle name="Vírgula 2 2 3 10 2" xfId="7169" xr:uid="{00000000-0005-0000-0000-000024000000}"/>
    <cellStyle name="Vírgula 2 2 3 10 2 2" xfId="15329" xr:uid="{00000000-0005-0000-0000-000024000000}"/>
    <cellStyle name="Vírgula 2 2 3 10 3" xfId="11249" xr:uid="{00000000-0005-0000-0000-000024000000}"/>
    <cellStyle name="Vírgula 2 2 3 11" xfId="4108" xr:uid="{00000000-0005-0000-0000-000024000000}"/>
    <cellStyle name="Vírgula 2 2 3 11 2" xfId="12269" xr:uid="{00000000-0005-0000-0000-000024000000}"/>
    <cellStyle name="Vírgula 2 2 3 12" xfId="8189" xr:uid="{00000000-0005-0000-0000-000024000000}"/>
    <cellStyle name="Vírgula 2 2 3 2" xfId="52" xr:uid="{00000000-0005-0000-0000-000025000000}"/>
    <cellStyle name="Vírgula 2 2 3 2 10" xfId="4133" xr:uid="{00000000-0005-0000-0000-000025000000}"/>
    <cellStyle name="Vírgula 2 2 3 2 10 2" xfId="12294" xr:uid="{00000000-0005-0000-0000-000025000000}"/>
    <cellStyle name="Vírgula 2 2 3 2 11" xfId="8214" xr:uid="{00000000-0005-0000-0000-000025000000}"/>
    <cellStyle name="Vírgula 2 2 3 2 2" xfId="103" xr:uid="{00000000-0005-0000-0000-000025000000}"/>
    <cellStyle name="Vírgula 2 2 3 2 2 10" xfId="8265" xr:uid="{00000000-0005-0000-0000-000025000000}"/>
    <cellStyle name="Vírgula 2 2 3 2 2 2" xfId="205" xr:uid="{00000000-0005-0000-0000-000025000000}"/>
    <cellStyle name="Vírgula 2 2 3 2 2 2 2" xfId="409" xr:uid="{00000000-0005-0000-0000-000025000000}"/>
    <cellStyle name="Vírgula 2 2 3 2 2 2 2 2" xfId="817" xr:uid="{00000000-0005-0000-0000-000025000000}"/>
    <cellStyle name="Vírgula 2 2 3 2 2 2 2 2 2" xfId="2858" xr:uid="{00000000-0005-0000-0000-000025000000}"/>
    <cellStyle name="Vírgula 2 2 3 2 2 2 2 2 2 2" xfId="6939" xr:uid="{00000000-0005-0000-0000-000025000000}"/>
    <cellStyle name="Vírgula 2 2 3 2 2 2 2 2 2 2 2" xfId="15099" xr:uid="{00000000-0005-0000-0000-000025000000}"/>
    <cellStyle name="Vírgula 2 2 3 2 2 2 2 2 2 3" xfId="11019" xr:uid="{00000000-0005-0000-0000-000025000000}"/>
    <cellStyle name="Vírgula 2 2 3 2 2 2 2 2 3" xfId="1838" xr:uid="{00000000-0005-0000-0000-000025000000}"/>
    <cellStyle name="Vírgula 2 2 3 2 2 2 2 2 3 2" xfId="5919" xr:uid="{00000000-0005-0000-0000-000025000000}"/>
    <cellStyle name="Vírgula 2 2 3 2 2 2 2 2 3 2 2" xfId="14079" xr:uid="{00000000-0005-0000-0000-000025000000}"/>
    <cellStyle name="Vírgula 2 2 3 2 2 2 2 2 3 3" xfId="9999" xr:uid="{00000000-0005-0000-0000-000025000000}"/>
    <cellStyle name="Vírgula 2 2 3 2 2 2 2 2 4" xfId="3878" xr:uid="{00000000-0005-0000-0000-000025000000}"/>
    <cellStyle name="Vírgula 2 2 3 2 2 2 2 2 4 2" xfId="7959" xr:uid="{00000000-0005-0000-0000-000025000000}"/>
    <cellStyle name="Vírgula 2 2 3 2 2 2 2 2 4 2 2" xfId="16119" xr:uid="{00000000-0005-0000-0000-000025000000}"/>
    <cellStyle name="Vírgula 2 2 3 2 2 2 2 2 4 3" xfId="12039" xr:uid="{00000000-0005-0000-0000-000025000000}"/>
    <cellStyle name="Vírgula 2 2 3 2 2 2 2 2 5" xfId="4898" xr:uid="{00000000-0005-0000-0000-000025000000}"/>
    <cellStyle name="Vírgula 2 2 3 2 2 2 2 2 5 2" xfId="13059" xr:uid="{00000000-0005-0000-0000-000025000000}"/>
    <cellStyle name="Vírgula 2 2 3 2 2 2 2 2 6" xfId="8979" xr:uid="{00000000-0005-0000-0000-000025000000}"/>
    <cellStyle name="Vírgula 2 2 3 2 2 2 2 3" xfId="2450" xr:uid="{00000000-0005-0000-0000-000025000000}"/>
    <cellStyle name="Vírgula 2 2 3 2 2 2 2 3 2" xfId="6531" xr:uid="{00000000-0005-0000-0000-000025000000}"/>
    <cellStyle name="Vírgula 2 2 3 2 2 2 2 3 2 2" xfId="14691" xr:uid="{00000000-0005-0000-0000-000025000000}"/>
    <cellStyle name="Vírgula 2 2 3 2 2 2 2 3 3" xfId="10611" xr:uid="{00000000-0005-0000-0000-000025000000}"/>
    <cellStyle name="Vírgula 2 2 3 2 2 2 2 4" xfId="1430" xr:uid="{00000000-0005-0000-0000-000025000000}"/>
    <cellStyle name="Vírgula 2 2 3 2 2 2 2 4 2" xfId="5511" xr:uid="{00000000-0005-0000-0000-000025000000}"/>
    <cellStyle name="Vírgula 2 2 3 2 2 2 2 4 2 2" xfId="13671" xr:uid="{00000000-0005-0000-0000-000025000000}"/>
    <cellStyle name="Vírgula 2 2 3 2 2 2 2 4 3" xfId="9591" xr:uid="{00000000-0005-0000-0000-000025000000}"/>
    <cellStyle name="Vírgula 2 2 3 2 2 2 2 5" xfId="3470" xr:uid="{00000000-0005-0000-0000-000025000000}"/>
    <cellStyle name="Vírgula 2 2 3 2 2 2 2 5 2" xfId="7551" xr:uid="{00000000-0005-0000-0000-000025000000}"/>
    <cellStyle name="Vírgula 2 2 3 2 2 2 2 5 2 2" xfId="15711" xr:uid="{00000000-0005-0000-0000-000025000000}"/>
    <cellStyle name="Vírgula 2 2 3 2 2 2 2 5 3" xfId="11631" xr:uid="{00000000-0005-0000-0000-000025000000}"/>
    <cellStyle name="Vírgula 2 2 3 2 2 2 2 6" xfId="4490" xr:uid="{00000000-0005-0000-0000-000025000000}"/>
    <cellStyle name="Vírgula 2 2 3 2 2 2 2 6 2" xfId="12651" xr:uid="{00000000-0005-0000-0000-000025000000}"/>
    <cellStyle name="Vírgula 2 2 3 2 2 2 2 7" xfId="8571" xr:uid="{00000000-0005-0000-0000-000025000000}"/>
    <cellStyle name="Vírgula 2 2 3 2 2 2 3" xfId="1021" xr:uid="{00000000-0005-0000-0000-000025000000}"/>
    <cellStyle name="Vírgula 2 2 3 2 2 2 3 2" xfId="3062" xr:uid="{00000000-0005-0000-0000-000025000000}"/>
    <cellStyle name="Vírgula 2 2 3 2 2 2 3 2 2" xfId="7143" xr:uid="{00000000-0005-0000-0000-000025000000}"/>
    <cellStyle name="Vírgula 2 2 3 2 2 2 3 2 2 2" xfId="15303" xr:uid="{00000000-0005-0000-0000-000025000000}"/>
    <cellStyle name="Vírgula 2 2 3 2 2 2 3 2 3" xfId="11223" xr:uid="{00000000-0005-0000-0000-000025000000}"/>
    <cellStyle name="Vírgula 2 2 3 2 2 2 3 3" xfId="2042" xr:uid="{00000000-0005-0000-0000-000025000000}"/>
    <cellStyle name="Vírgula 2 2 3 2 2 2 3 3 2" xfId="6123" xr:uid="{00000000-0005-0000-0000-000025000000}"/>
    <cellStyle name="Vírgula 2 2 3 2 2 2 3 3 2 2" xfId="14283" xr:uid="{00000000-0005-0000-0000-000025000000}"/>
    <cellStyle name="Vírgula 2 2 3 2 2 2 3 3 3" xfId="10203" xr:uid="{00000000-0005-0000-0000-000025000000}"/>
    <cellStyle name="Vírgula 2 2 3 2 2 2 3 4" xfId="4082" xr:uid="{00000000-0005-0000-0000-000025000000}"/>
    <cellStyle name="Vírgula 2 2 3 2 2 2 3 4 2" xfId="8163" xr:uid="{00000000-0005-0000-0000-000025000000}"/>
    <cellStyle name="Vírgula 2 2 3 2 2 2 3 4 2 2" xfId="16323" xr:uid="{00000000-0005-0000-0000-000025000000}"/>
    <cellStyle name="Vírgula 2 2 3 2 2 2 3 4 3" xfId="12243" xr:uid="{00000000-0005-0000-0000-000025000000}"/>
    <cellStyle name="Vírgula 2 2 3 2 2 2 3 5" xfId="5102" xr:uid="{00000000-0005-0000-0000-000025000000}"/>
    <cellStyle name="Vírgula 2 2 3 2 2 2 3 5 2" xfId="13263" xr:uid="{00000000-0005-0000-0000-000025000000}"/>
    <cellStyle name="Vírgula 2 2 3 2 2 2 3 6" xfId="9183" xr:uid="{00000000-0005-0000-0000-000025000000}"/>
    <cellStyle name="Vírgula 2 2 3 2 2 2 4" xfId="613" xr:uid="{00000000-0005-0000-0000-000025000000}"/>
    <cellStyle name="Vírgula 2 2 3 2 2 2 4 2" xfId="2654" xr:uid="{00000000-0005-0000-0000-000025000000}"/>
    <cellStyle name="Vírgula 2 2 3 2 2 2 4 2 2" xfId="6735" xr:uid="{00000000-0005-0000-0000-000025000000}"/>
    <cellStyle name="Vírgula 2 2 3 2 2 2 4 2 2 2" xfId="14895" xr:uid="{00000000-0005-0000-0000-000025000000}"/>
    <cellStyle name="Vírgula 2 2 3 2 2 2 4 2 3" xfId="10815" xr:uid="{00000000-0005-0000-0000-000025000000}"/>
    <cellStyle name="Vírgula 2 2 3 2 2 2 4 3" xfId="1634" xr:uid="{00000000-0005-0000-0000-000025000000}"/>
    <cellStyle name="Vírgula 2 2 3 2 2 2 4 3 2" xfId="5715" xr:uid="{00000000-0005-0000-0000-000025000000}"/>
    <cellStyle name="Vírgula 2 2 3 2 2 2 4 3 2 2" xfId="13875" xr:uid="{00000000-0005-0000-0000-000025000000}"/>
    <cellStyle name="Vírgula 2 2 3 2 2 2 4 3 3" xfId="9795" xr:uid="{00000000-0005-0000-0000-000025000000}"/>
    <cellStyle name="Vírgula 2 2 3 2 2 2 4 4" xfId="3674" xr:uid="{00000000-0005-0000-0000-000025000000}"/>
    <cellStyle name="Vírgula 2 2 3 2 2 2 4 4 2" xfId="7755" xr:uid="{00000000-0005-0000-0000-000025000000}"/>
    <cellStyle name="Vírgula 2 2 3 2 2 2 4 4 2 2" xfId="15915" xr:uid="{00000000-0005-0000-0000-000025000000}"/>
    <cellStyle name="Vírgula 2 2 3 2 2 2 4 4 3" xfId="11835" xr:uid="{00000000-0005-0000-0000-000025000000}"/>
    <cellStyle name="Vírgula 2 2 3 2 2 2 4 5" xfId="4694" xr:uid="{00000000-0005-0000-0000-000025000000}"/>
    <cellStyle name="Vírgula 2 2 3 2 2 2 4 5 2" xfId="12855" xr:uid="{00000000-0005-0000-0000-000025000000}"/>
    <cellStyle name="Vírgula 2 2 3 2 2 2 4 6" xfId="8775" xr:uid="{00000000-0005-0000-0000-000025000000}"/>
    <cellStyle name="Vírgula 2 2 3 2 2 2 5" xfId="2246" xr:uid="{00000000-0005-0000-0000-000025000000}"/>
    <cellStyle name="Vírgula 2 2 3 2 2 2 5 2" xfId="6327" xr:uid="{00000000-0005-0000-0000-000025000000}"/>
    <cellStyle name="Vírgula 2 2 3 2 2 2 5 2 2" xfId="14487" xr:uid="{00000000-0005-0000-0000-000025000000}"/>
    <cellStyle name="Vírgula 2 2 3 2 2 2 5 3" xfId="10407" xr:uid="{00000000-0005-0000-0000-000025000000}"/>
    <cellStyle name="Vírgula 2 2 3 2 2 2 6" xfId="1226" xr:uid="{00000000-0005-0000-0000-000025000000}"/>
    <cellStyle name="Vírgula 2 2 3 2 2 2 6 2" xfId="5307" xr:uid="{00000000-0005-0000-0000-000025000000}"/>
    <cellStyle name="Vírgula 2 2 3 2 2 2 6 2 2" xfId="13467" xr:uid="{00000000-0005-0000-0000-000025000000}"/>
    <cellStyle name="Vírgula 2 2 3 2 2 2 6 3" xfId="9387" xr:uid="{00000000-0005-0000-0000-000025000000}"/>
    <cellStyle name="Vírgula 2 2 3 2 2 2 7" xfId="3266" xr:uid="{00000000-0005-0000-0000-000025000000}"/>
    <cellStyle name="Vírgula 2 2 3 2 2 2 7 2" xfId="7347" xr:uid="{00000000-0005-0000-0000-000025000000}"/>
    <cellStyle name="Vírgula 2 2 3 2 2 2 7 2 2" xfId="15507" xr:uid="{00000000-0005-0000-0000-000025000000}"/>
    <cellStyle name="Vírgula 2 2 3 2 2 2 7 3" xfId="11427" xr:uid="{00000000-0005-0000-0000-000025000000}"/>
    <cellStyle name="Vírgula 2 2 3 2 2 2 8" xfId="4286" xr:uid="{00000000-0005-0000-0000-000025000000}"/>
    <cellStyle name="Vírgula 2 2 3 2 2 2 8 2" xfId="12447" xr:uid="{00000000-0005-0000-0000-000025000000}"/>
    <cellStyle name="Vírgula 2 2 3 2 2 2 9" xfId="8367" xr:uid="{00000000-0005-0000-0000-000025000000}"/>
    <cellStyle name="Vírgula 2 2 3 2 2 3" xfId="307" xr:uid="{00000000-0005-0000-0000-000025000000}"/>
    <cellStyle name="Vírgula 2 2 3 2 2 3 2" xfId="715" xr:uid="{00000000-0005-0000-0000-000025000000}"/>
    <cellStyle name="Vírgula 2 2 3 2 2 3 2 2" xfId="2756" xr:uid="{00000000-0005-0000-0000-000025000000}"/>
    <cellStyle name="Vírgula 2 2 3 2 2 3 2 2 2" xfId="6837" xr:uid="{00000000-0005-0000-0000-000025000000}"/>
    <cellStyle name="Vírgula 2 2 3 2 2 3 2 2 2 2" xfId="14997" xr:uid="{00000000-0005-0000-0000-000025000000}"/>
    <cellStyle name="Vírgula 2 2 3 2 2 3 2 2 3" xfId="10917" xr:uid="{00000000-0005-0000-0000-000025000000}"/>
    <cellStyle name="Vírgula 2 2 3 2 2 3 2 3" xfId="1736" xr:uid="{00000000-0005-0000-0000-000025000000}"/>
    <cellStyle name="Vírgula 2 2 3 2 2 3 2 3 2" xfId="5817" xr:uid="{00000000-0005-0000-0000-000025000000}"/>
    <cellStyle name="Vírgula 2 2 3 2 2 3 2 3 2 2" xfId="13977" xr:uid="{00000000-0005-0000-0000-000025000000}"/>
    <cellStyle name="Vírgula 2 2 3 2 2 3 2 3 3" xfId="9897" xr:uid="{00000000-0005-0000-0000-000025000000}"/>
    <cellStyle name="Vírgula 2 2 3 2 2 3 2 4" xfId="3776" xr:uid="{00000000-0005-0000-0000-000025000000}"/>
    <cellStyle name="Vírgula 2 2 3 2 2 3 2 4 2" xfId="7857" xr:uid="{00000000-0005-0000-0000-000025000000}"/>
    <cellStyle name="Vírgula 2 2 3 2 2 3 2 4 2 2" xfId="16017" xr:uid="{00000000-0005-0000-0000-000025000000}"/>
    <cellStyle name="Vírgula 2 2 3 2 2 3 2 4 3" xfId="11937" xr:uid="{00000000-0005-0000-0000-000025000000}"/>
    <cellStyle name="Vírgula 2 2 3 2 2 3 2 5" xfId="4796" xr:uid="{00000000-0005-0000-0000-000025000000}"/>
    <cellStyle name="Vírgula 2 2 3 2 2 3 2 5 2" xfId="12957" xr:uid="{00000000-0005-0000-0000-000025000000}"/>
    <cellStyle name="Vírgula 2 2 3 2 2 3 2 6" xfId="8877" xr:uid="{00000000-0005-0000-0000-000025000000}"/>
    <cellStyle name="Vírgula 2 2 3 2 2 3 3" xfId="2348" xr:uid="{00000000-0005-0000-0000-000025000000}"/>
    <cellStyle name="Vírgula 2 2 3 2 2 3 3 2" xfId="6429" xr:uid="{00000000-0005-0000-0000-000025000000}"/>
    <cellStyle name="Vírgula 2 2 3 2 2 3 3 2 2" xfId="14589" xr:uid="{00000000-0005-0000-0000-000025000000}"/>
    <cellStyle name="Vírgula 2 2 3 2 2 3 3 3" xfId="10509" xr:uid="{00000000-0005-0000-0000-000025000000}"/>
    <cellStyle name="Vírgula 2 2 3 2 2 3 4" xfId="1328" xr:uid="{00000000-0005-0000-0000-000025000000}"/>
    <cellStyle name="Vírgula 2 2 3 2 2 3 4 2" xfId="5409" xr:uid="{00000000-0005-0000-0000-000025000000}"/>
    <cellStyle name="Vírgula 2 2 3 2 2 3 4 2 2" xfId="13569" xr:uid="{00000000-0005-0000-0000-000025000000}"/>
    <cellStyle name="Vírgula 2 2 3 2 2 3 4 3" xfId="9489" xr:uid="{00000000-0005-0000-0000-000025000000}"/>
    <cellStyle name="Vírgula 2 2 3 2 2 3 5" xfId="3368" xr:uid="{00000000-0005-0000-0000-000025000000}"/>
    <cellStyle name="Vírgula 2 2 3 2 2 3 5 2" xfId="7449" xr:uid="{00000000-0005-0000-0000-000025000000}"/>
    <cellStyle name="Vírgula 2 2 3 2 2 3 5 2 2" xfId="15609" xr:uid="{00000000-0005-0000-0000-000025000000}"/>
    <cellStyle name="Vírgula 2 2 3 2 2 3 5 3" xfId="11529" xr:uid="{00000000-0005-0000-0000-000025000000}"/>
    <cellStyle name="Vírgula 2 2 3 2 2 3 6" xfId="4388" xr:uid="{00000000-0005-0000-0000-000025000000}"/>
    <cellStyle name="Vírgula 2 2 3 2 2 3 6 2" xfId="12549" xr:uid="{00000000-0005-0000-0000-000025000000}"/>
    <cellStyle name="Vírgula 2 2 3 2 2 3 7" xfId="8469" xr:uid="{00000000-0005-0000-0000-000025000000}"/>
    <cellStyle name="Vírgula 2 2 3 2 2 4" xfId="919" xr:uid="{00000000-0005-0000-0000-000025000000}"/>
    <cellStyle name="Vírgula 2 2 3 2 2 4 2" xfId="2960" xr:uid="{00000000-0005-0000-0000-000025000000}"/>
    <cellStyle name="Vírgula 2 2 3 2 2 4 2 2" xfId="7041" xr:uid="{00000000-0005-0000-0000-000025000000}"/>
    <cellStyle name="Vírgula 2 2 3 2 2 4 2 2 2" xfId="15201" xr:uid="{00000000-0005-0000-0000-000025000000}"/>
    <cellStyle name="Vírgula 2 2 3 2 2 4 2 3" xfId="11121" xr:uid="{00000000-0005-0000-0000-000025000000}"/>
    <cellStyle name="Vírgula 2 2 3 2 2 4 3" xfId="1940" xr:uid="{00000000-0005-0000-0000-000025000000}"/>
    <cellStyle name="Vírgula 2 2 3 2 2 4 3 2" xfId="6021" xr:uid="{00000000-0005-0000-0000-000025000000}"/>
    <cellStyle name="Vírgula 2 2 3 2 2 4 3 2 2" xfId="14181" xr:uid="{00000000-0005-0000-0000-000025000000}"/>
    <cellStyle name="Vírgula 2 2 3 2 2 4 3 3" xfId="10101" xr:uid="{00000000-0005-0000-0000-000025000000}"/>
    <cellStyle name="Vírgula 2 2 3 2 2 4 4" xfId="3980" xr:uid="{00000000-0005-0000-0000-000025000000}"/>
    <cellStyle name="Vírgula 2 2 3 2 2 4 4 2" xfId="8061" xr:uid="{00000000-0005-0000-0000-000025000000}"/>
    <cellStyle name="Vírgula 2 2 3 2 2 4 4 2 2" xfId="16221" xr:uid="{00000000-0005-0000-0000-000025000000}"/>
    <cellStyle name="Vírgula 2 2 3 2 2 4 4 3" xfId="12141" xr:uid="{00000000-0005-0000-0000-000025000000}"/>
    <cellStyle name="Vírgula 2 2 3 2 2 4 5" xfId="5000" xr:uid="{00000000-0005-0000-0000-000025000000}"/>
    <cellStyle name="Vírgula 2 2 3 2 2 4 5 2" xfId="13161" xr:uid="{00000000-0005-0000-0000-000025000000}"/>
    <cellStyle name="Vírgula 2 2 3 2 2 4 6" xfId="9081" xr:uid="{00000000-0005-0000-0000-000025000000}"/>
    <cellStyle name="Vírgula 2 2 3 2 2 5" xfId="511" xr:uid="{00000000-0005-0000-0000-000025000000}"/>
    <cellStyle name="Vírgula 2 2 3 2 2 5 2" xfId="2552" xr:uid="{00000000-0005-0000-0000-000025000000}"/>
    <cellStyle name="Vírgula 2 2 3 2 2 5 2 2" xfId="6633" xr:uid="{00000000-0005-0000-0000-000025000000}"/>
    <cellStyle name="Vírgula 2 2 3 2 2 5 2 2 2" xfId="14793" xr:uid="{00000000-0005-0000-0000-000025000000}"/>
    <cellStyle name="Vírgula 2 2 3 2 2 5 2 3" xfId="10713" xr:uid="{00000000-0005-0000-0000-000025000000}"/>
    <cellStyle name="Vírgula 2 2 3 2 2 5 3" xfId="1532" xr:uid="{00000000-0005-0000-0000-000025000000}"/>
    <cellStyle name="Vírgula 2 2 3 2 2 5 3 2" xfId="5613" xr:uid="{00000000-0005-0000-0000-000025000000}"/>
    <cellStyle name="Vírgula 2 2 3 2 2 5 3 2 2" xfId="13773" xr:uid="{00000000-0005-0000-0000-000025000000}"/>
    <cellStyle name="Vírgula 2 2 3 2 2 5 3 3" xfId="9693" xr:uid="{00000000-0005-0000-0000-000025000000}"/>
    <cellStyle name="Vírgula 2 2 3 2 2 5 4" xfId="3572" xr:uid="{00000000-0005-0000-0000-000025000000}"/>
    <cellStyle name="Vírgula 2 2 3 2 2 5 4 2" xfId="7653" xr:uid="{00000000-0005-0000-0000-000025000000}"/>
    <cellStyle name="Vírgula 2 2 3 2 2 5 4 2 2" xfId="15813" xr:uid="{00000000-0005-0000-0000-000025000000}"/>
    <cellStyle name="Vírgula 2 2 3 2 2 5 4 3" xfId="11733" xr:uid="{00000000-0005-0000-0000-000025000000}"/>
    <cellStyle name="Vírgula 2 2 3 2 2 5 5" xfId="4592" xr:uid="{00000000-0005-0000-0000-000025000000}"/>
    <cellStyle name="Vírgula 2 2 3 2 2 5 5 2" xfId="12753" xr:uid="{00000000-0005-0000-0000-000025000000}"/>
    <cellStyle name="Vírgula 2 2 3 2 2 5 6" xfId="8673" xr:uid="{00000000-0005-0000-0000-000025000000}"/>
    <cellStyle name="Vírgula 2 2 3 2 2 6" xfId="2144" xr:uid="{00000000-0005-0000-0000-000025000000}"/>
    <cellStyle name="Vírgula 2 2 3 2 2 6 2" xfId="6225" xr:uid="{00000000-0005-0000-0000-000025000000}"/>
    <cellStyle name="Vírgula 2 2 3 2 2 6 2 2" xfId="14385" xr:uid="{00000000-0005-0000-0000-000025000000}"/>
    <cellStyle name="Vírgula 2 2 3 2 2 6 3" xfId="10305" xr:uid="{00000000-0005-0000-0000-000025000000}"/>
    <cellStyle name="Vírgula 2 2 3 2 2 7" xfId="1124" xr:uid="{00000000-0005-0000-0000-000025000000}"/>
    <cellStyle name="Vírgula 2 2 3 2 2 7 2" xfId="5205" xr:uid="{00000000-0005-0000-0000-000025000000}"/>
    <cellStyle name="Vírgula 2 2 3 2 2 7 2 2" xfId="13365" xr:uid="{00000000-0005-0000-0000-000025000000}"/>
    <cellStyle name="Vírgula 2 2 3 2 2 7 3" xfId="9285" xr:uid="{00000000-0005-0000-0000-000025000000}"/>
    <cellStyle name="Vírgula 2 2 3 2 2 8" xfId="3164" xr:uid="{00000000-0005-0000-0000-000025000000}"/>
    <cellStyle name="Vírgula 2 2 3 2 2 8 2" xfId="7245" xr:uid="{00000000-0005-0000-0000-000025000000}"/>
    <cellStyle name="Vírgula 2 2 3 2 2 8 2 2" xfId="15405" xr:uid="{00000000-0005-0000-0000-000025000000}"/>
    <cellStyle name="Vírgula 2 2 3 2 2 8 3" xfId="11325" xr:uid="{00000000-0005-0000-0000-000025000000}"/>
    <cellStyle name="Vírgula 2 2 3 2 2 9" xfId="4184" xr:uid="{00000000-0005-0000-0000-000025000000}"/>
    <cellStyle name="Vírgula 2 2 3 2 2 9 2" xfId="12345" xr:uid="{00000000-0005-0000-0000-000025000000}"/>
    <cellStyle name="Vírgula 2 2 3 2 3" xfId="154" xr:uid="{00000000-0005-0000-0000-000025000000}"/>
    <cellStyle name="Vírgula 2 2 3 2 3 2" xfId="358" xr:uid="{00000000-0005-0000-0000-000025000000}"/>
    <cellStyle name="Vírgula 2 2 3 2 3 2 2" xfId="766" xr:uid="{00000000-0005-0000-0000-000025000000}"/>
    <cellStyle name="Vírgula 2 2 3 2 3 2 2 2" xfId="2807" xr:uid="{00000000-0005-0000-0000-000025000000}"/>
    <cellStyle name="Vírgula 2 2 3 2 3 2 2 2 2" xfId="6888" xr:uid="{00000000-0005-0000-0000-000025000000}"/>
    <cellStyle name="Vírgula 2 2 3 2 3 2 2 2 2 2" xfId="15048" xr:uid="{00000000-0005-0000-0000-000025000000}"/>
    <cellStyle name="Vírgula 2 2 3 2 3 2 2 2 3" xfId="10968" xr:uid="{00000000-0005-0000-0000-000025000000}"/>
    <cellStyle name="Vírgula 2 2 3 2 3 2 2 3" xfId="1787" xr:uid="{00000000-0005-0000-0000-000025000000}"/>
    <cellStyle name="Vírgula 2 2 3 2 3 2 2 3 2" xfId="5868" xr:uid="{00000000-0005-0000-0000-000025000000}"/>
    <cellStyle name="Vírgula 2 2 3 2 3 2 2 3 2 2" xfId="14028" xr:uid="{00000000-0005-0000-0000-000025000000}"/>
    <cellStyle name="Vírgula 2 2 3 2 3 2 2 3 3" xfId="9948" xr:uid="{00000000-0005-0000-0000-000025000000}"/>
    <cellStyle name="Vírgula 2 2 3 2 3 2 2 4" xfId="3827" xr:uid="{00000000-0005-0000-0000-000025000000}"/>
    <cellStyle name="Vírgula 2 2 3 2 3 2 2 4 2" xfId="7908" xr:uid="{00000000-0005-0000-0000-000025000000}"/>
    <cellStyle name="Vírgula 2 2 3 2 3 2 2 4 2 2" xfId="16068" xr:uid="{00000000-0005-0000-0000-000025000000}"/>
    <cellStyle name="Vírgula 2 2 3 2 3 2 2 4 3" xfId="11988" xr:uid="{00000000-0005-0000-0000-000025000000}"/>
    <cellStyle name="Vírgula 2 2 3 2 3 2 2 5" xfId="4847" xr:uid="{00000000-0005-0000-0000-000025000000}"/>
    <cellStyle name="Vírgula 2 2 3 2 3 2 2 5 2" xfId="13008" xr:uid="{00000000-0005-0000-0000-000025000000}"/>
    <cellStyle name="Vírgula 2 2 3 2 3 2 2 6" xfId="8928" xr:uid="{00000000-0005-0000-0000-000025000000}"/>
    <cellStyle name="Vírgula 2 2 3 2 3 2 3" xfId="2399" xr:uid="{00000000-0005-0000-0000-000025000000}"/>
    <cellStyle name="Vírgula 2 2 3 2 3 2 3 2" xfId="6480" xr:uid="{00000000-0005-0000-0000-000025000000}"/>
    <cellStyle name="Vírgula 2 2 3 2 3 2 3 2 2" xfId="14640" xr:uid="{00000000-0005-0000-0000-000025000000}"/>
    <cellStyle name="Vírgula 2 2 3 2 3 2 3 3" xfId="10560" xr:uid="{00000000-0005-0000-0000-000025000000}"/>
    <cellStyle name="Vírgula 2 2 3 2 3 2 4" xfId="1379" xr:uid="{00000000-0005-0000-0000-000025000000}"/>
    <cellStyle name="Vírgula 2 2 3 2 3 2 4 2" xfId="5460" xr:uid="{00000000-0005-0000-0000-000025000000}"/>
    <cellStyle name="Vírgula 2 2 3 2 3 2 4 2 2" xfId="13620" xr:uid="{00000000-0005-0000-0000-000025000000}"/>
    <cellStyle name="Vírgula 2 2 3 2 3 2 4 3" xfId="9540" xr:uid="{00000000-0005-0000-0000-000025000000}"/>
    <cellStyle name="Vírgula 2 2 3 2 3 2 5" xfId="3419" xr:uid="{00000000-0005-0000-0000-000025000000}"/>
    <cellStyle name="Vírgula 2 2 3 2 3 2 5 2" xfId="7500" xr:uid="{00000000-0005-0000-0000-000025000000}"/>
    <cellStyle name="Vírgula 2 2 3 2 3 2 5 2 2" xfId="15660" xr:uid="{00000000-0005-0000-0000-000025000000}"/>
    <cellStyle name="Vírgula 2 2 3 2 3 2 5 3" xfId="11580" xr:uid="{00000000-0005-0000-0000-000025000000}"/>
    <cellStyle name="Vírgula 2 2 3 2 3 2 6" xfId="4439" xr:uid="{00000000-0005-0000-0000-000025000000}"/>
    <cellStyle name="Vírgula 2 2 3 2 3 2 6 2" xfId="12600" xr:uid="{00000000-0005-0000-0000-000025000000}"/>
    <cellStyle name="Vírgula 2 2 3 2 3 2 7" xfId="8520" xr:uid="{00000000-0005-0000-0000-000025000000}"/>
    <cellStyle name="Vírgula 2 2 3 2 3 3" xfId="970" xr:uid="{00000000-0005-0000-0000-000025000000}"/>
    <cellStyle name="Vírgula 2 2 3 2 3 3 2" xfId="3011" xr:uid="{00000000-0005-0000-0000-000025000000}"/>
    <cellStyle name="Vírgula 2 2 3 2 3 3 2 2" xfId="7092" xr:uid="{00000000-0005-0000-0000-000025000000}"/>
    <cellStyle name="Vírgula 2 2 3 2 3 3 2 2 2" xfId="15252" xr:uid="{00000000-0005-0000-0000-000025000000}"/>
    <cellStyle name="Vírgula 2 2 3 2 3 3 2 3" xfId="11172" xr:uid="{00000000-0005-0000-0000-000025000000}"/>
    <cellStyle name="Vírgula 2 2 3 2 3 3 3" xfId="1991" xr:uid="{00000000-0005-0000-0000-000025000000}"/>
    <cellStyle name="Vírgula 2 2 3 2 3 3 3 2" xfId="6072" xr:uid="{00000000-0005-0000-0000-000025000000}"/>
    <cellStyle name="Vírgula 2 2 3 2 3 3 3 2 2" xfId="14232" xr:uid="{00000000-0005-0000-0000-000025000000}"/>
    <cellStyle name="Vírgula 2 2 3 2 3 3 3 3" xfId="10152" xr:uid="{00000000-0005-0000-0000-000025000000}"/>
    <cellStyle name="Vírgula 2 2 3 2 3 3 4" xfId="4031" xr:uid="{00000000-0005-0000-0000-000025000000}"/>
    <cellStyle name="Vírgula 2 2 3 2 3 3 4 2" xfId="8112" xr:uid="{00000000-0005-0000-0000-000025000000}"/>
    <cellStyle name="Vírgula 2 2 3 2 3 3 4 2 2" xfId="16272" xr:uid="{00000000-0005-0000-0000-000025000000}"/>
    <cellStyle name="Vírgula 2 2 3 2 3 3 4 3" xfId="12192" xr:uid="{00000000-0005-0000-0000-000025000000}"/>
    <cellStyle name="Vírgula 2 2 3 2 3 3 5" xfId="5051" xr:uid="{00000000-0005-0000-0000-000025000000}"/>
    <cellStyle name="Vírgula 2 2 3 2 3 3 5 2" xfId="13212" xr:uid="{00000000-0005-0000-0000-000025000000}"/>
    <cellStyle name="Vírgula 2 2 3 2 3 3 6" xfId="9132" xr:uid="{00000000-0005-0000-0000-000025000000}"/>
    <cellStyle name="Vírgula 2 2 3 2 3 4" xfId="562" xr:uid="{00000000-0005-0000-0000-000025000000}"/>
    <cellStyle name="Vírgula 2 2 3 2 3 4 2" xfId="2603" xr:uid="{00000000-0005-0000-0000-000025000000}"/>
    <cellStyle name="Vírgula 2 2 3 2 3 4 2 2" xfId="6684" xr:uid="{00000000-0005-0000-0000-000025000000}"/>
    <cellStyle name="Vírgula 2 2 3 2 3 4 2 2 2" xfId="14844" xr:uid="{00000000-0005-0000-0000-000025000000}"/>
    <cellStyle name="Vírgula 2 2 3 2 3 4 2 3" xfId="10764" xr:uid="{00000000-0005-0000-0000-000025000000}"/>
    <cellStyle name="Vírgula 2 2 3 2 3 4 3" xfId="1583" xr:uid="{00000000-0005-0000-0000-000025000000}"/>
    <cellStyle name="Vírgula 2 2 3 2 3 4 3 2" xfId="5664" xr:uid="{00000000-0005-0000-0000-000025000000}"/>
    <cellStyle name="Vírgula 2 2 3 2 3 4 3 2 2" xfId="13824" xr:uid="{00000000-0005-0000-0000-000025000000}"/>
    <cellStyle name="Vírgula 2 2 3 2 3 4 3 3" xfId="9744" xr:uid="{00000000-0005-0000-0000-000025000000}"/>
    <cellStyle name="Vírgula 2 2 3 2 3 4 4" xfId="3623" xr:uid="{00000000-0005-0000-0000-000025000000}"/>
    <cellStyle name="Vírgula 2 2 3 2 3 4 4 2" xfId="7704" xr:uid="{00000000-0005-0000-0000-000025000000}"/>
    <cellStyle name="Vírgula 2 2 3 2 3 4 4 2 2" xfId="15864" xr:uid="{00000000-0005-0000-0000-000025000000}"/>
    <cellStyle name="Vírgula 2 2 3 2 3 4 4 3" xfId="11784" xr:uid="{00000000-0005-0000-0000-000025000000}"/>
    <cellStyle name="Vírgula 2 2 3 2 3 4 5" xfId="4643" xr:uid="{00000000-0005-0000-0000-000025000000}"/>
    <cellStyle name="Vírgula 2 2 3 2 3 4 5 2" xfId="12804" xr:uid="{00000000-0005-0000-0000-000025000000}"/>
    <cellStyle name="Vírgula 2 2 3 2 3 4 6" xfId="8724" xr:uid="{00000000-0005-0000-0000-000025000000}"/>
    <cellStyle name="Vírgula 2 2 3 2 3 5" xfId="2195" xr:uid="{00000000-0005-0000-0000-000025000000}"/>
    <cellStyle name="Vírgula 2 2 3 2 3 5 2" xfId="6276" xr:uid="{00000000-0005-0000-0000-000025000000}"/>
    <cellStyle name="Vírgula 2 2 3 2 3 5 2 2" xfId="14436" xr:uid="{00000000-0005-0000-0000-000025000000}"/>
    <cellStyle name="Vírgula 2 2 3 2 3 5 3" xfId="10356" xr:uid="{00000000-0005-0000-0000-000025000000}"/>
    <cellStyle name="Vírgula 2 2 3 2 3 6" xfId="1175" xr:uid="{00000000-0005-0000-0000-000025000000}"/>
    <cellStyle name="Vírgula 2 2 3 2 3 6 2" xfId="5256" xr:uid="{00000000-0005-0000-0000-000025000000}"/>
    <cellStyle name="Vírgula 2 2 3 2 3 6 2 2" xfId="13416" xr:uid="{00000000-0005-0000-0000-000025000000}"/>
    <cellStyle name="Vírgula 2 2 3 2 3 6 3" xfId="9336" xr:uid="{00000000-0005-0000-0000-000025000000}"/>
    <cellStyle name="Vírgula 2 2 3 2 3 7" xfId="3215" xr:uid="{00000000-0005-0000-0000-000025000000}"/>
    <cellStyle name="Vírgula 2 2 3 2 3 7 2" xfId="7296" xr:uid="{00000000-0005-0000-0000-000025000000}"/>
    <cellStyle name="Vírgula 2 2 3 2 3 7 2 2" xfId="15456" xr:uid="{00000000-0005-0000-0000-000025000000}"/>
    <cellStyle name="Vírgula 2 2 3 2 3 7 3" xfId="11376" xr:uid="{00000000-0005-0000-0000-000025000000}"/>
    <cellStyle name="Vírgula 2 2 3 2 3 8" xfId="4235" xr:uid="{00000000-0005-0000-0000-000025000000}"/>
    <cellStyle name="Vírgula 2 2 3 2 3 8 2" xfId="12396" xr:uid="{00000000-0005-0000-0000-000025000000}"/>
    <cellStyle name="Vírgula 2 2 3 2 3 9" xfId="8316" xr:uid="{00000000-0005-0000-0000-000025000000}"/>
    <cellStyle name="Vírgula 2 2 3 2 4" xfId="256" xr:uid="{00000000-0005-0000-0000-000025000000}"/>
    <cellStyle name="Vírgula 2 2 3 2 4 2" xfId="664" xr:uid="{00000000-0005-0000-0000-000025000000}"/>
    <cellStyle name="Vírgula 2 2 3 2 4 2 2" xfId="2705" xr:uid="{00000000-0005-0000-0000-000025000000}"/>
    <cellStyle name="Vírgula 2 2 3 2 4 2 2 2" xfId="6786" xr:uid="{00000000-0005-0000-0000-000025000000}"/>
    <cellStyle name="Vírgula 2 2 3 2 4 2 2 2 2" xfId="14946" xr:uid="{00000000-0005-0000-0000-000025000000}"/>
    <cellStyle name="Vírgula 2 2 3 2 4 2 2 3" xfId="10866" xr:uid="{00000000-0005-0000-0000-000025000000}"/>
    <cellStyle name="Vírgula 2 2 3 2 4 2 3" xfId="1685" xr:uid="{00000000-0005-0000-0000-000025000000}"/>
    <cellStyle name="Vírgula 2 2 3 2 4 2 3 2" xfId="5766" xr:uid="{00000000-0005-0000-0000-000025000000}"/>
    <cellStyle name="Vírgula 2 2 3 2 4 2 3 2 2" xfId="13926" xr:uid="{00000000-0005-0000-0000-000025000000}"/>
    <cellStyle name="Vírgula 2 2 3 2 4 2 3 3" xfId="9846" xr:uid="{00000000-0005-0000-0000-000025000000}"/>
    <cellStyle name="Vírgula 2 2 3 2 4 2 4" xfId="3725" xr:uid="{00000000-0005-0000-0000-000025000000}"/>
    <cellStyle name="Vírgula 2 2 3 2 4 2 4 2" xfId="7806" xr:uid="{00000000-0005-0000-0000-000025000000}"/>
    <cellStyle name="Vírgula 2 2 3 2 4 2 4 2 2" xfId="15966" xr:uid="{00000000-0005-0000-0000-000025000000}"/>
    <cellStyle name="Vírgula 2 2 3 2 4 2 4 3" xfId="11886" xr:uid="{00000000-0005-0000-0000-000025000000}"/>
    <cellStyle name="Vírgula 2 2 3 2 4 2 5" xfId="4745" xr:uid="{00000000-0005-0000-0000-000025000000}"/>
    <cellStyle name="Vírgula 2 2 3 2 4 2 5 2" xfId="12906" xr:uid="{00000000-0005-0000-0000-000025000000}"/>
    <cellStyle name="Vírgula 2 2 3 2 4 2 6" xfId="8826" xr:uid="{00000000-0005-0000-0000-000025000000}"/>
    <cellStyle name="Vírgula 2 2 3 2 4 3" xfId="2297" xr:uid="{00000000-0005-0000-0000-000025000000}"/>
    <cellStyle name="Vírgula 2 2 3 2 4 3 2" xfId="6378" xr:uid="{00000000-0005-0000-0000-000025000000}"/>
    <cellStyle name="Vírgula 2 2 3 2 4 3 2 2" xfId="14538" xr:uid="{00000000-0005-0000-0000-000025000000}"/>
    <cellStyle name="Vírgula 2 2 3 2 4 3 3" xfId="10458" xr:uid="{00000000-0005-0000-0000-000025000000}"/>
    <cellStyle name="Vírgula 2 2 3 2 4 4" xfId="1277" xr:uid="{00000000-0005-0000-0000-000025000000}"/>
    <cellStyle name="Vírgula 2 2 3 2 4 4 2" xfId="5358" xr:uid="{00000000-0005-0000-0000-000025000000}"/>
    <cellStyle name="Vírgula 2 2 3 2 4 4 2 2" xfId="13518" xr:uid="{00000000-0005-0000-0000-000025000000}"/>
    <cellStyle name="Vírgula 2 2 3 2 4 4 3" xfId="9438" xr:uid="{00000000-0005-0000-0000-000025000000}"/>
    <cellStyle name="Vírgula 2 2 3 2 4 5" xfId="3317" xr:uid="{00000000-0005-0000-0000-000025000000}"/>
    <cellStyle name="Vírgula 2 2 3 2 4 5 2" xfId="7398" xr:uid="{00000000-0005-0000-0000-000025000000}"/>
    <cellStyle name="Vírgula 2 2 3 2 4 5 2 2" xfId="15558" xr:uid="{00000000-0005-0000-0000-000025000000}"/>
    <cellStyle name="Vírgula 2 2 3 2 4 5 3" xfId="11478" xr:uid="{00000000-0005-0000-0000-000025000000}"/>
    <cellStyle name="Vírgula 2 2 3 2 4 6" xfId="4337" xr:uid="{00000000-0005-0000-0000-000025000000}"/>
    <cellStyle name="Vírgula 2 2 3 2 4 6 2" xfId="12498" xr:uid="{00000000-0005-0000-0000-000025000000}"/>
    <cellStyle name="Vírgula 2 2 3 2 4 7" xfId="8418" xr:uid="{00000000-0005-0000-0000-000025000000}"/>
    <cellStyle name="Vírgula 2 2 3 2 5" xfId="868" xr:uid="{00000000-0005-0000-0000-000025000000}"/>
    <cellStyle name="Vírgula 2 2 3 2 5 2" xfId="2909" xr:uid="{00000000-0005-0000-0000-000025000000}"/>
    <cellStyle name="Vírgula 2 2 3 2 5 2 2" xfId="6990" xr:uid="{00000000-0005-0000-0000-000025000000}"/>
    <cellStyle name="Vírgula 2 2 3 2 5 2 2 2" xfId="15150" xr:uid="{00000000-0005-0000-0000-000025000000}"/>
    <cellStyle name="Vírgula 2 2 3 2 5 2 3" xfId="11070" xr:uid="{00000000-0005-0000-0000-000025000000}"/>
    <cellStyle name="Vírgula 2 2 3 2 5 3" xfId="1889" xr:uid="{00000000-0005-0000-0000-000025000000}"/>
    <cellStyle name="Vírgula 2 2 3 2 5 3 2" xfId="5970" xr:uid="{00000000-0005-0000-0000-000025000000}"/>
    <cellStyle name="Vírgula 2 2 3 2 5 3 2 2" xfId="14130" xr:uid="{00000000-0005-0000-0000-000025000000}"/>
    <cellStyle name="Vírgula 2 2 3 2 5 3 3" xfId="10050" xr:uid="{00000000-0005-0000-0000-000025000000}"/>
    <cellStyle name="Vírgula 2 2 3 2 5 4" xfId="3929" xr:uid="{00000000-0005-0000-0000-000025000000}"/>
    <cellStyle name="Vírgula 2 2 3 2 5 4 2" xfId="8010" xr:uid="{00000000-0005-0000-0000-000025000000}"/>
    <cellStyle name="Vírgula 2 2 3 2 5 4 2 2" xfId="16170" xr:uid="{00000000-0005-0000-0000-000025000000}"/>
    <cellStyle name="Vírgula 2 2 3 2 5 4 3" xfId="12090" xr:uid="{00000000-0005-0000-0000-000025000000}"/>
    <cellStyle name="Vírgula 2 2 3 2 5 5" xfId="4949" xr:uid="{00000000-0005-0000-0000-000025000000}"/>
    <cellStyle name="Vírgula 2 2 3 2 5 5 2" xfId="13110" xr:uid="{00000000-0005-0000-0000-000025000000}"/>
    <cellStyle name="Vírgula 2 2 3 2 5 6" xfId="9030" xr:uid="{00000000-0005-0000-0000-000025000000}"/>
    <cellStyle name="Vírgula 2 2 3 2 6" xfId="460" xr:uid="{00000000-0005-0000-0000-000025000000}"/>
    <cellStyle name="Vírgula 2 2 3 2 6 2" xfId="2501" xr:uid="{00000000-0005-0000-0000-000025000000}"/>
    <cellStyle name="Vírgula 2 2 3 2 6 2 2" xfId="6582" xr:uid="{00000000-0005-0000-0000-000025000000}"/>
    <cellStyle name="Vírgula 2 2 3 2 6 2 2 2" xfId="14742" xr:uid="{00000000-0005-0000-0000-000025000000}"/>
    <cellStyle name="Vírgula 2 2 3 2 6 2 3" xfId="10662" xr:uid="{00000000-0005-0000-0000-000025000000}"/>
    <cellStyle name="Vírgula 2 2 3 2 6 3" xfId="1481" xr:uid="{00000000-0005-0000-0000-000025000000}"/>
    <cellStyle name="Vírgula 2 2 3 2 6 3 2" xfId="5562" xr:uid="{00000000-0005-0000-0000-000025000000}"/>
    <cellStyle name="Vírgula 2 2 3 2 6 3 2 2" xfId="13722" xr:uid="{00000000-0005-0000-0000-000025000000}"/>
    <cellStyle name="Vírgula 2 2 3 2 6 3 3" xfId="9642" xr:uid="{00000000-0005-0000-0000-000025000000}"/>
    <cellStyle name="Vírgula 2 2 3 2 6 4" xfId="3521" xr:uid="{00000000-0005-0000-0000-000025000000}"/>
    <cellStyle name="Vírgula 2 2 3 2 6 4 2" xfId="7602" xr:uid="{00000000-0005-0000-0000-000025000000}"/>
    <cellStyle name="Vírgula 2 2 3 2 6 4 2 2" xfId="15762" xr:uid="{00000000-0005-0000-0000-000025000000}"/>
    <cellStyle name="Vírgula 2 2 3 2 6 4 3" xfId="11682" xr:uid="{00000000-0005-0000-0000-000025000000}"/>
    <cellStyle name="Vírgula 2 2 3 2 6 5" xfId="4541" xr:uid="{00000000-0005-0000-0000-000025000000}"/>
    <cellStyle name="Vírgula 2 2 3 2 6 5 2" xfId="12702" xr:uid="{00000000-0005-0000-0000-000025000000}"/>
    <cellStyle name="Vírgula 2 2 3 2 6 6" xfId="8622" xr:uid="{00000000-0005-0000-0000-000025000000}"/>
    <cellStyle name="Vírgula 2 2 3 2 7" xfId="2093" xr:uid="{00000000-0005-0000-0000-000025000000}"/>
    <cellStyle name="Vírgula 2 2 3 2 7 2" xfId="6174" xr:uid="{00000000-0005-0000-0000-000025000000}"/>
    <cellStyle name="Vírgula 2 2 3 2 7 2 2" xfId="14334" xr:uid="{00000000-0005-0000-0000-000025000000}"/>
    <cellStyle name="Vírgula 2 2 3 2 7 3" xfId="10254" xr:uid="{00000000-0005-0000-0000-000025000000}"/>
    <cellStyle name="Vírgula 2 2 3 2 8" xfId="1073" xr:uid="{00000000-0005-0000-0000-000025000000}"/>
    <cellStyle name="Vírgula 2 2 3 2 8 2" xfId="5154" xr:uid="{00000000-0005-0000-0000-000025000000}"/>
    <cellStyle name="Vírgula 2 2 3 2 8 2 2" xfId="13314" xr:uid="{00000000-0005-0000-0000-000025000000}"/>
    <cellStyle name="Vírgula 2 2 3 2 8 3" xfId="9234" xr:uid="{00000000-0005-0000-0000-000025000000}"/>
    <cellStyle name="Vírgula 2 2 3 2 9" xfId="3113" xr:uid="{00000000-0005-0000-0000-000025000000}"/>
    <cellStyle name="Vírgula 2 2 3 2 9 2" xfId="7194" xr:uid="{00000000-0005-0000-0000-000025000000}"/>
    <cellStyle name="Vírgula 2 2 3 2 9 2 2" xfId="15354" xr:uid="{00000000-0005-0000-0000-000025000000}"/>
    <cellStyle name="Vírgula 2 2 3 2 9 3" xfId="11274" xr:uid="{00000000-0005-0000-0000-000025000000}"/>
    <cellStyle name="Vírgula 2 2 3 3" xfId="78" xr:uid="{00000000-0005-0000-0000-000024000000}"/>
    <cellStyle name="Vírgula 2 2 3 3 10" xfId="8240" xr:uid="{00000000-0005-0000-0000-000024000000}"/>
    <cellStyle name="Vírgula 2 2 3 3 2" xfId="180" xr:uid="{00000000-0005-0000-0000-000024000000}"/>
    <cellStyle name="Vírgula 2 2 3 3 2 2" xfId="384" xr:uid="{00000000-0005-0000-0000-000024000000}"/>
    <cellStyle name="Vírgula 2 2 3 3 2 2 2" xfId="792" xr:uid="{00000000-0005-0000-0000-000024000000}"/>
    <cellStyle name="Vírgula 2 2 3 3 2 2 2 2" xfId="2833" xr:uid="{00000000-0005-0000-0000-000024000000}"/>
    <cellStyle name="Vírgula 2 2 3 3 2 2 2 2 2" xfId="6914" xr:uid="{00000000-0005-0000-0000-000024000000}"/>
    <cellStyle name="Vírgula 2 2 3 3 2 2 2 2 2 2" xfId="15074" xr:uid="{00000000-0005-0000-0000-000024000000}"/>
    <cellStyle name="Vírgula 2 2 3 3 2 2 2 2 3" xfId="10994" xr:uid="{00000000-0005-0000-0000-000024000000}"/>
    <cellStyle name="Vírgula 2 2 3 3 2 2 2 3" xfId="1813" xr:uid="{00000000-0005-0000-0000-000024000000}"/>
    <cellStyle name="Vírgula 2 2 3 3 2 2 2 3 2" xfId="5894" xr:uid="{00000000-0005-0000-0000-000024000000}"/>
    <cellStyle name="Vírgula 2 2 3 3 2 2 2 3 2 2" xfId="14054" xr:uid="{00000000-0005-0000-0000-000024000000}"/>
    <cellStyle name="Vírgula 2 2 3 3 2 2 2 3 3" xfId="9974" xr:uid="{00000000-0005-0000-0000-000024000000}"/>
    <cellStyle name="Vírgula 2 2 3 3 2 2 2 4" xfId="3853" xr:uid="{00000000-0005-0000-0000-000024000000}"/>
    <cellStyle name="Vírgula 2 2 3 3 2 2 2 4 2" xfId="7934" xr:uid="{00000000-0005-0000-0000-000024000000}"/>
    <cellStyle name="Vírgula 2 2 3 3 2 2 2 4 2 2" xfId="16094" xr:uid="{00000000-0005-0000-0000-000024000000}"/>
    <cellStyle name="Vírgula 2 2 3 3 2 2 2 4 3" xfId="12014" xr:uid="{00000000-0005-0000-0000-000024000000}"/>
    <cellStyle name="Vírgula 2 2 3 3 2 2 2 5" xfId="4873" xr:uid="{00000000-0005-0000-0000-000024000000}"/>
    <cellStyle name="Vírgula 2 2 3 3 2 2 2 5 2" xfId="13034" xr:uid="{00000000-0005-0000-0000-000024000000}"/>
    <cellStyle name="Vírgula 2 2 3 3 2 2 2 6" xfId="8954" xr:uid="{00000000-0005-0000-0000-000024000000}"/>
    <cellStyle name="Vírgula 2 2 3 3 2 2 3" xfId="2425" xr:uid="{00000000-0005-0000-0000-000024000000}"/>
    <cellStyle name="Vírgula 2 2 3 3 2 2 3 2" xfId="6506" xr:uid="{00000000-0005-0000-0000-000024000000}"/>
    <cellStyle name="Vírgula 2 2 3 3 2 2 3 2 2" xfId="14666" xr:uid="{00000000-0005-0000-0000-000024000000}"/>
    <cellStyle name="Vírgula 2 2 3 3 2 2 3 3" xfId="10586" xr:uid="{00000000-0005-0000-0000-000024000000}"/>
    <cellStyle name="Vírgula 2 2 3 3 2 2 4" xfId="1405" xr:uid="{00000000-0005-0000-0000-000024000000}"/>
    <cellStyle name="Vírgula 2 2 3 3 2 2 4 2" xfId="5486" xr:uid="{00000000-0005-0000-0000-000024000000}"/>
    <cellStyle name="Vírgula 2 2 3 3 2 2 4 2 2" xfId="13646" xr:uid="{00000000-0005-0000-0000-000024000000}"/>
    <cellStyle name="Vírgula 2 2 3 3 2 2 4 3" xfId="9566" xr:uid="{00000000-0005-0000-0000-000024000000}"/>
    <cellStyle name="Vírgula 2 2 3 3 2 2 5" xfId="3445" xr:uid="{00000000-0005-0000-0000-000024000000}"/>
    <cellStyle name="Vírgula 2 2 3 3 2 2 5 2" xfId="7526" xr:uid="{00000000-0005-0000-0000-000024000000}"/>
    <cellStyle name="Vírgula 2 2 3 3 2 2 5 2 2" xfId="15686" xr:uid="{00000000-0005-0000-0000-000024000000}"/>
    <cellStyle name="Vírgula 2 2 3 3 2 2 5 3" xfId="11606" xr:uid="{00000000-0005-0000-0000-000024000000}"/>
    <cellStyle name="Vírgula 2 2 3 3 2 2 6" xfId="4465" xr:uid="{00000000-0005-0000-0000-000024000000}"/>
    <cellStyle name="Vírgula 2 2 3 3 2 2 6 2" xfId="12626" xr:uid="{00000000-0005-0000-0000-000024000000}"/>
    <cellStyle name="Vírgula 2 2 3 3 2 2 7" xfId="8546" xr:uid="{00000000-0005-0000-0000-000024000000}"/>
    <cellStyle name="Vírgula 2 2 3 3 2 3" xfId="996" xr:uid="{00000000-0005-0000-0000-000024000000}"/>
    <cellStyle name="Vírgula 2 2 3 3 2 3 2" xfId="3037" xr:uid="{00000000-0005-0000-0000-000024000000}"/>
    <cellStyle name="Vírgula 2 2 3 3 2 3 2 2" xfId="7118" xr:uid="{00000000-0005-0000-0000-000024000000}"/>
    <cellStyle name="Vírgula 2 2 3 3 2 3 2 2 2" xfId="15278" xr:uid="{00000000-0005-0000-0000-000024000000}"/>
    <cellStyle name="Vírgula 2 2 3 3 2 3 2 3" xfId="11198" xr:uid="{00000000-0005-0000-0000-000024000000}"/>
    <cellStyle name="Vírgula 2 2 3 3 2 3 3" xfId="2017" xr:uid="{00000000-0005-0000-0000-000024000000}"/>
    <cellStyle name="Vírgula 2 2 3 3 2 3 3 2" xfId="6098" xr:uid="{00000000-0005-0000-0000-000024000000}"/>
    <cellStyle name="Vírgula 2 2 3 3 2 3 3 2 2" xfId="14258" xr:uid="{00000000-0005-0000-0000-000024000000}"/>
    <cellStyle name="Vírgula 2 2 3 3 2 3 3 3" xfId="10178" xr:uid="{00000000-0005-0000-0000-000024000000}"/>
    <cellStyle name="Vírgula 2 2 3 3 2 3 4" xfId="4057" xr:uid="{00000000-0005-0000-0000-000024000000}"/>
    <cellStyle name="Vírgula 2 2 3 3 2 3 4 2" xfId="8138" xr:uid="{00000000-0005-0000-0000-000024000000}"/>
    <cellStyle name="Vírgula 2 2 3 3 2 3 4 2 2" xfId="16298" xr:uid="{00000000-0005-0000-0000-000024000000}"/>
    <cellStyle name="Vírgula 2 2 3 3 2 3 4 3" xfId="12218" xr:uid="{00000000-0005-0000-0000-000024000000}"/>
    <cellStyle name="Vírgula 2 2 3 3 2 3 5" xfId="5077" xr:uid="{00000000-0005-0000-0000-000024000000}"/>
    <cellStyle name="Vírgula 2 2 3 3 2 3 5 2" xfId="13238" xr:uid="{00000000-0005-0000-0000-000024000000}"/>
    <cellStyle name="Vírgula 2 2 3 3 2 3 6" xfId="9158" xr:uid="{00000000-0005-0000-0000-000024000000}"/>
    <cellStyle name="Vírgula 2 2 3 3 2 4" xfId="588" xr:uid="{00000000-0005-0000-0000-000024000000}"/>
    <cellStyle name="Vírgula 2 2 3 3 2 4 2" xfId="2629" xr:uid="{00000000-0005-0000-0000-000024000000}"/>
    <cellStyle name="Vírgula 2 2 3 3 2 4 2 2" xfId="6710" xr:uid="{00000000-0005-0000-0000-000024000000}"/>
    <cellStyle name="Vírgula 2 2 3 3 2 4 2 2 2" xfId="14870" xr:uid="{00000000-0005-0000-0000-000024000000}"/>
    <cellStyle name="Vírgula 2 2 3 3 2 4 2 3" xfId="10790" xr:uid="{00000000-0005-0000-0000-000024000000}"/>
    <cellStyle name="Vírgula 2 2 3 3 2 4 3" xfId="1609" xr:uid="{00000000-0005-0000-0000-000024000000}"/>
    <cellStyle name="Vírgula 2 2 3 3 2 4 3 2" xfId="5690" xr:uid="{00000000-0005-0000-0000-000024000000}"/>
    <cellStyle name="Vírgula 2 2 3 3 2 4 3 2 2" xfId="13850" xr:uid="{00000000-0005-0000-0000-000024000000}"/>
    <cellStyle name="Vírgula 2 2 3 3 2 4 3 3" xfId="9770" xr:uid="{00000000-0005-0000-0000-000024000000}"/>
    <cellStyle name="Vírgula 2 2 3 3 2 4 4" xfId="3649" xr:uid="{00000000-0005-0000-0000-000024000000}"/>
    <cellStyle name="Vírgula 2 2 3 3 2 4 4 2" xfId="7730" xr:uid="{00000000-0005-0000-0000-000024000000}"/>
    <cellStyle name="Vírgula 2 2 3 3 2 4 4 2 2" xfId="15890" xr:uid="{00000000-0005-0000-0000-000024000000}"/>
    <cellStyle name="Vírgula 2 2 3 3 2 4 4 3" xfId="11810" xr:uid="{00000000-0005-0000-0000-000024000000}"/>
    <cellStyle name="Vírgula 2 2 3 3 2 4 5" xfId="4669" xr:uid="{00000000-0005-0000-0000-000024000000}"/>
    <cellStyle name="Vírgula 2 2 3 3 2 4 5 2" xfId="12830" xr:uid="{00000000-0005-0000-0000-000024000000}"/>
    <cellStyle name="Vírgula 2 2 3 3 2 4 6" xfId="8750" xr:uid="{00000000-0005-0000-0000-000024000000}"/>
    <cellStyle name="Vírgula 2 2 3 3 2 5" xfId="2221" xr:uid="{00000000-0005-0000-0000-000024000000}"/>
    <cellStyle name="Vírgula 2 2 3 3 2 5 2" xfId="6302" xr:uid="{00000000-0005-0000-0000-000024000000}"/>
    <cellStyle name="Vírgula 2 2 3 3 2 5 2 2" xfId="14462" xr:uid="{00000000-0005-0000-0000-000024000000}"/>
    <cellStyle name="Vírgula 2 2 3 3 2 5 3" xfId="10382" xr:uid="{00000000-0005-0000-0000-000024000000}"/>
    <cellStyle name="Vírgula 2 2 3 3 2 6" xfId="1201" xr:uid="{00000000-0005-0000-0000-000024000000}"/>
    <cellStyle name="Vírgula 2 2 3 3 2 6 2" xfId="5282" xr:uid="{00000000-0005-0000-0000-000024000000}"/>
    <cellStyle name="Vírgula 2 2 3 3 2 6 2 2" xfId="13442" xr:uid="{00000000-0005-0000-0000-000024000000}"/>
    <cellStyle name="Vírgula 2 2 3 3 2 6 3" xfId="9362" xr:uid="{00000000-0005-0000-0000-000024000000}"/>
    <cellStyle name="Vírgula 2 2 3 3 2 7" xfId="3241" xr:uid="{00000000-0005-0000-0000-000024000000}"/>
    <cellStyle name="Vírgula 2 2 3 3 2 7 2" xfId="7322" xr:uid="{00000000-0005-0000-0000-000024000000}"/>
    <cellStyle name="Vírgula 2 2 3 3 2 7 2 2" xfId="15482" xr:uid="{00000000-0005-0000-0000-000024000000}"/>
    <cellStyle name="Vírgula 2 2 3 3 2 7 3" xfId="11402" xr:uid="{00000000-0005-0000-0000-000024000000}"/>
    <cellStyle name="Vírgula 2 2 3 3 2 8" xfId="4261" xr:uid="{00000000-0005-0000-0000-000024000000}"/>
    <cellStyle name="Vírgula 2 2 3 3 2 8 2" xfId="12422" xr:uid="{00000000-0005-0000-0000-000024000000}"/>
    <cellStyle name="Vírgula 2 2 3 3 2 9" xfId="8342" xr:uid="{00000000-0005-0000-0000-000024000000}"/>
    <cellStyle name="Vírgula 2 2 3 3 3" xfId="282" xr:uid="{00000000-0005-0000-0000-000024000000}"/>
    <cellStyle name="Vírgula 2 2 3 3 3 2" xfId="690" xr:uid="{00000000-0005-0000-0000-000024000000}"/>
    <cellStyle name="Vírgula 2 2 3 3 3 2 2" xfId="2731" xr:uid="{00000000-0005-0000-0000-000024000000}"/>
    <cellStyle name="Vírgula 2 2 3 3 3 2 2 2" xfId="6812" xr:uid="{00000000-0005-0000-0000-000024000000}"/>
    <cellStyle name="Vírgula 2 2 3 3 3 2 2 2 2" xfId="14972" xr:uid="{00000000-0005-0000-0000-000024000000}"/>
    <cellStyle name="Vírgula 2 2 3 3 3 2 2 3" xfId="10892" xr:uid="{00000000-0005-0000-0000-000024000000}"/>
    <cellStyle name="Vírgula 2 2 3 3 3 2 3" xfId="1711" xr:uid="{00000000-0005-0000-0000-000024000000}"/>
    <cellStyle name="Vírgula 2 2 3 3 3 2 3 2" xfId="5792" xr:uid="{00000000-0005-0000-0000-000024000000}"/>
    <cellStyle name="Vírgula 2 2 3 3 3 2 3 2 2" xfId="13952" xr:uid="{00000000-0005-0000-0000-000024000000}"/>
    <cellStyle name="Vírgula 2 2 3 3 3 2 3 3" xfId="9872" xr:uid="{00000000-0005-0000-0000-000024000000}"/>
    <cellStyle name="Vírgula 2 2 3 3 3 2 4" xfId="3751" xr:uid="{00000000-0005-0000-0000-000024000000}"/>
    <cellStyle name="Vírgula 2 2 3 3 3 2 4 2" xfId="7832" xr:uid="{00000000-0005-0000-0000-000024000000}"/>
    <cellStyle name="Vírgula 2 2 3 3 3 2 4 2 2" xfId="15992" xr:uid="{00000000-0005-0000-0000-000024000000}"/>
    <cellStyle name="Vírgula 2 2 3 3 3 2 4 3" xfId="11912" xr:uid="{00000000-0005-0000-0000-000024000000}"/>
    <cellStyle name="Vírgula 2 2 3 3 3 2 5" xfId="4771" xr:uid="{00000000-0005-0000-0000-000024000000}"/>
    <cellStyle name="Vírgula 2 2 3 3 3 2 5 2" xfId="12932" xr:uid="{00000000-0005-0000-0000-000024000000}"/>
    <cellStyle name="Vírgula 2 2 3 3 3 2 6" xfId="8852" xr:uid="{00000000-0005-0000-0000-000024000000}"/>
    <cellStyle name="Vírgula 2 2 3 3 3 3" xfId="2323" xr:uid="{00000000-0005-0000-0000-000024000000}"/>
    <cellStyle name="Vírgula 2 2 3 3 3 3 2" xfId="6404" xr:uid="{00000000-0005-0000-0000-000024000000}"/>
    <cellStyle name="Vírgula 2 2 3 3 3 3 2 2" xfId="14564" xr:uid="{00000000-0005-0000-0000-000024000000}"/>
    <cellStyle name="Vírgula 2 2 3 3 3 3 3" xfId="10484" xr:uid="{00000000-0005-0000-0000-000024000000}"/>
    <cellStyle name="Vírgula 2 2 3 3 3 4" xfId="1303" xr:uid="{00000000-0005-0000-0000-000024000000}"/>
    <cellStyle name="Vírgula 2 2 3 3 3 4 2" xfId="5384" xr:uid="{00000000-0005-0000-0000-000024000000}"/>
    <cellStyle name="Vírgula 2 2 3 3 3 4 2 2" xfId="13544" xr:uid="{00000000-0005-0000-0000-000024000000}"/>
    <cellStyle name="Vírgula 2 2 3 3 3 4 3" xfId="9464" xr:uid="{00000000-0005-0000-0000-000024000000}"/>
    <cellStyle name="Vírgula 2 2 3 3 3 5" xfId="3343" xr:uid="{00000000-0005-0000-0000-000024000000}"/>
    <cellStyle name="Vírgula 2 2 3 3 3 5 2" xfId="7424" xr:uid="{00000000-0005-0000-0000-000024000000}"/>
    <cellStyle name="Vírgula 2 2 3 3 3 5 2 2" xfId="15584" xr:uid="{00000000-0005-0000-0000-000024000000}"/>
    <cellStyle name="Vírgula 2 2 3 3 3 5 3" xfId="11504" xr:uid="{00000000-0005-0000-0000-000024000000}"/>
    <cellStyle name="Vírgula 2 2 3 3 3 6" xfId="4363" xr:uid="{00000000-0005-0000-0000-000024000000}"/>
    <cellStyle name="Vírgula 2 2 3 3 3 6 2" xfId="12524" xr:uid="{00000000-0005-0000-0000-000024000000}"/>
    <cellStyle name="Vírgula 2 2 3 3 3 7" xfId="8444" xr:uid="{00000000-0005-0000-0000-000024000000}"/>
    <cellStyle name="Vírgula 2 2 3 3 4" xfId="894" xr:uid="{00000000-0005-0000-0000-000024000000}"/>
    <cellStyle name="Vírgula 2 2 3 3 4 2" xfId="2935" xr:uid="{00000000-0005-0000-0000-000024000000}"/>
    <cellStyle name="Vírgula 2 2 3 3 4 2 2" xfId="7016" xr:uid="{00000000-0005-0000-0000-000024000000}"/>
    <cellStyle name="Vírgula 2 2 3 3 4 2 2 2" xfId="15176" xr:uid="{00000000-0005-0000-0000-000024000000}"/>
    <cellStyle name="Vírgula 2 2 3 3 4 2 3" xfId="11096" xr:uid="{00000000-0005-0000-0000-000024000000}"/>
    <cellStyle name="Vírgula 2 2 3 3 4 3" xfId="1915" xr:uid="{00000000-0005-0000-0000-000024000000}"/>
    <cellStyle name="Vírgula 2 2 3 3 4 3 2" xfId="5996" xr:uid="{00000000-0005-0000-0000-000024000000}"/>
    <cellStyle name="Vírgula 2 2 3 3 4 3 2 2" xfId="14156" xr:uid="{00000000-0005-0000-0000-000024000000}"/>
    <cellStyle name="Vírgula 2 2 3 3 4 3 3" xfId="10076" xr:uid="{00000000-0005-0000-0000-000024000000}"/>
    <cellStyle name="Vírgula 2 2 3 3 4 4" xfId="3955" xr:uid="{00000000-0005-0000-0000-000024000000}"/>
    <cellStyle name="Vírgula 2 2 3 3 4 4 2" xfId="8036" xr:uid="{00000000-0005-0000-0000-000024000000}"/>
    <cellStyle name="Vírgula 2 2 3 3 4 4 2 2" xfId="16196" xr:uid="{00000000-0005-0000-0000-000024000000}"/>
    <cellStyle name="Vírgula 2 2 3 3 4 4 3" xfId="12116" xr:uid="{00000000-0005-0000-0000-000024000000}"/>
    <cellStyle name="Vírgula 2 2 3 3 4 5" xfId="4975" xr:uid="{00000000-0005-0000-0000-000024000000}"/>
    <cellStyle name="Vírgula 2 2 3 3 4 5 2" xfId="13136" xr:uid="{00000000-0005-0000-0000-000024000000}"/>
    <cellStyle name="Vírgula 2 2 3 3 4 6" xfId="9056" xr:uid="{00000000-0005-0000-0000-000024000000}"/>
    <cellStyle name="Vírgula 2 2 3 3 5" xfId="486" xr:uid="{00000000-0005-0000-0000-000024000000}"/>
    <cellStyle name="Vírgula 2 2 3 3 5 2" xfId="2527" xr:uid="{00000000-0005-0000-0000-000024000000}"/>
    <cellStyle name="Vírgula 2 2 3 3 5 2 2" xfId="6608" xr:uid="{00000000-0005-0000-0000-000024000000}"/>
    <cellStyle name="Vírgula 2 2 3 3 5 2 2 2" xfId="14768" xr:uid="{00000000-0005-0000-0000-000024000000}"/>
    <cellStyle name="Vírgula 2 2 3 3 5 2 3" xfId="10688" xr:uid="{00000000-0005-0000-0000-000024000000}"/>
    <cellStyle name="Vírgula 2 2 3 3 5 3" xfId="1507" xr:uid="{00000000-0005-0000-0000-000024000000}"/>
    <cellStyle name="Vírgula 2 2 3 3 5 3 2" xfId="5588" xr:uid="{00000000-0005-0000-0000-000024000000}"/>
    <cellStyle name="Vírgula 2 2 3 3 5 3 2 2" xfId="13748" xr:uid="{00000000-0005-0000-0000-000024000000}"/>
    <cellStyle name="Vírgula 2 2 3 3 5 3 3" xfId="9668" xr:uid="{00000000-0005-0000-0000-000024000000}"/>
    <cellStyle name="Vírgula 2 2 3 3 5 4" xfId="3547" xr:uid="{00000000-0005-0000-0000-000024000000}"/>
    <cellStyle name="Vírgula 2 2 3 3 5 4 2" xfId="7628" xr:uid="{00000000-0005-0000-0000-000024000000}"/>
    <cellStyle name="Vírgula 2 2 3 3 5 4 2 2" xfId="15788" xr:uid="{00000000-0005-0000-0000-000024000000}"/>
    <cellStyle name="Vírgula 2 2 3 3 5 4 3" xfId="11708" xr:uid="{00000000-0005-0000-0000-000024000000}"/>
    <cellStyle name="Vírgula 2 2 3 3 5 5" xfId="4567" xr:uid="{00000000-0005-0000-0000-000024000000}"/>
    <cellStyle name="Vírgula 2 2 3 3 5 5 2" xfId="12728" xr:uid="{00000000-0005-0000-0000-000024000000}"/>
    <cellStyle name="Vírgula 2 2 3 3 5 6" xfId="8648" xr:uid="{00000000-0005-0000-0000-000024000000}"/>
    <cellStyle name="Vírgula 2 2 3 3 6" xfId="2119" xr:uid="{00000000-0005-0000-0000-000024000000}"/>
    <cellStyle name="Vírgula 2 2 3 3 6 2" xfId="6200" xr:uid="{00000000-0005-0000-0000-000024000000}"/>
    <cellStyle name="Vírgula 2 2 3 3 6 2 2" xfId="14360" xr:uid="{00000000-0005-0000-0000-000024000000}"/>
    <cellStyle name="Vírgula 2 2 3 3 6 3" xfId="10280" xr:uid="{00000000-0005-0000-0000-000024000000}"/>
    <cellStyle name="Vírgula 2 2 3 3 7" xfId="1099" xr:uid="{00000000-0005-0000-0000-000024000000}"/>
    <cellStyle name="Vírgula 2 2 3 3 7 2" xfId="5180" xr:uid="{00000000-0005-0000-0000-000024000000}"/>
    <cellStyle name="Vírgula 2 2 3 3 7 2 2" xfId="13340" xr:uid="{00000000-0005-0000-0000-000024000000}"/>
    <cellStyle name="Vírgula 2 2 3 3 7 3" xfId="9260" xr:uid="{00000000-0005-0000-0000-000024000000}"/>
    <cellStyle name="Vírgula 2 2 3 3 8" xfId="3139" xr:uid="{00000000-0005-0000-0000-000024000000}"/>
    <cellStyle name="Vírgula 2 2 3 3 8 2" xfId="7220" xr:uid="{00000000-0005-0000-0000-000024000000}"/>
    <cellStyle name="Vírgula 2 2 3 3 8 2 2" xfId="15380" xr:uid="{00000000-0005-0000-0000-000024000000}"/>
    <cellStyle name="Vírgula 2 2 3 3 8 3" xfId="11300" xr:uid="{00000000-0005-0000-0000-000024000000}"/>
    <cellStyle name="Vírgula 2 2 3 3 9" xfId="4159" xr:uid="{00000000-0005-0000-0000-000024000000}"/>
    <cellStyle name="Vírgula 2 2 3 3 9 2" xfId="12320" xr:uid="{00000000-0005-0000-0000-000024000000}"/>
    <cellStyle name="Vírgula 2 2 3 4" xfId="129" xr:uid="{00000000-0005-0000-0000-000024000000}"/>
    <cellStyle name="Vírgula 2 2 3 4 2" xfId="333" xr:uid="{00000000-0005-0000-0000-000024000000}"/>
    <cellStyle name="Vírgula 2 2 3 4 2 2" xfId="741" xr:uid="{00000000-0005-0000-0000-000024000000}"/>
    <cellStyle name="Vírgula 2 2 3 4 2 2 2" xfId="2782" xr:uid="{00000000-0005-0000-0000-000024000000}"/>
    <cellStyle name="Vírgula 2 2 3 4 2 2 2 2" xfId="6863" xr:uid="{00000000-0005-0000-0000-000024000000}"/>
    <cellStyle name="Vírgula 2 2 3 4 2 2 2 2 2" xfId="15023" xr:uid="{00000000-0005-0000-0000-000024000000}"/>
    <cellStyle name="Vírgula 2 2 3 4 2 2 2 3" xfId="10943" xr:uid="{00000000-0005-0000-0000-000024000000}"/>
    <cellStyle name="Vírgula 2 2 3 4 2 2 3" xfId="1762" xr:uid="{00000000-0005-0000-0000-000024000000}"/>
    <cellStyle name="Vírgula 2 2 3 4 2 2 3 2" xfId="5843" xr:uid="{00000000-0005-0000-0000-000024000000}"/>
    <cellStyle name="Vírgula 2 2 3 4 2 2 3 2 2" xfId="14003" xr:uid="{00000000-0005-0000-0000-000024000000}"/>
    <cellStyle name="Vírgula 2 2 3 4 2 2 3 3" xfId="9923" xr:uid="{00000000-0005-0000-0000-000024000000}"/>
    <cellStyle name="Vírgula 2 2 3 4 2 2 4" xfId="3802" xr:uid="{00000000-0005-0000-0000-000024000000}"/>
    <cellStyle name="Vírgula 2 2 3 4 2 2 4 2" xfId="7883" xr:uid="{00000000-0005-0000-0000-000024000000}"/>
    <cellStyle name="Vírgula 2 2 3 4 2 2 4 2 2" xfId="16043" xr:uid="{00000000-0005-0000-0000-000024000000}"/>
    <cellStyle name="Vírgula 2 2 3 4 2 2 4 3" xfId="11963" xr:uid="{00000000-0005-0000-0000-000024000000}"/>
    <cellStyle name="Vírgula 2 2 3 4 2 2 5" xfId="4822" xr:uid="{00000000-0005-0000-0000-000024000000}"/>
    <cellStyle name="Vírgula 2 2 3 4 2 2 5 2" xfId="12983" xr:uid="{00000000-0005-0000-0000-000024000000}"/>
    <cellStyle name="Vírgula 2 2 3 4 2 2 6" xfId="8903" xr:uid="{00000000-0005-0000-0000-000024000000}"/>
    <cellStyle name="Vírgula 2 2 3 4 2 3" xfId="2374" xr:uid="{00000000-0005-0000-0000-000024000000}"/>
    <cellStyle name="Vírgula 2 2 3 4 2 3 2" xfId="6455" xr:uid="{00000000-0005-0000-0000-000024000000}"/>
    <cellStyle name="Vírgula 2 2 3 4 2 3 2 2" xfId="14615" xr:uid="{00000000-0005-0000-0000-000024000000}"/>
    <cellStyle name="Vírgula 2 2 3 4 2 3 3" xfId="10535" xr:uid="{00000000-0005-0000-0000-000024000000}"/>
    <cellStyle name="Vírgula 2 2 3 4 2 4" xfId="1354" xr:uid="{00000000-0005-0000-0000-000024000000}"/>
    <cellStyle name="Vírgula 2 2 3 4 2 4 2" xfId="5435" xr:uid="{00000000-0005-0000-0000-000024000000}"/>
    <cellStyle name="Vírgula 2 2 3 4 2 4 2 2" xfId="13595" xr:uid="{00000000-0005-0000-0000-000024000000}"/>
    <cellStyle name="Vírgula 2 2 3 4 2 4 3" xfId="9515" xr:uid="{00000000-0005-0000-0000-000024000000}"/>
    <cellStyle name="Vírgula 2 2 3 4 2 5" xfId="3394" xr:uid="{00000000-0005-0000-0000-000024000000}"/>
    <cellStyle name="Vírgula 2 2 3 4 2 5 2" xfId="7475" xr:uid="{00000000-0005-0000-0000-000024000000}"/>
    <cellStyle name="Vírgula 2 2 3 4 2 5 2 2" xfId="15635" xr:uid="{00000000-0005-0000-0000-000024000000}"/>
    <cellStyle name="Vírgula 2 2 3 4 2 5 3" xfId="11555" xr:uid="{00000000-0005-0000-0000-000024000000}"/>
    <cellStyle name="Vírgula 2 2 3 4 2 6" xfId="4414" xr:uid="{00000000-0005-0000-0000-000024000000}"/>
    <cellStyle name="Vírgula 2 2 3 4 2 6 2" xfId="12575" xr:uid="{00000000-0005-0000-0000-000024000000}"/>
    <cellStyle name="Vírgula 2 2 3 4 2 7" xfId="8495" xr:uid="{00000000-0005-0000-0000-000024000000}"/>
    <cellStyle name="Vírgula 2 2 3 4 3" xfId="945" xr:uid="{00000000-0005-0000-0000-000024000000}"/>
    <cellStyle name="Vírgula 2 2 3 4 3 2" xfId="2986" xr:uid="{00000000-0005-0000-0000-000024000000}"/>
    <cellStyle name="Vírgula 2 2 3 4 3 2 2" xfId="7067" xr:uid="{00000000-0005-0000-0000-000024000000}"/>
    <cellStyle name="Vírgula 2 2 3 4 3 2 2 2" xfId="15227" xr:uid="{00000000-0005-0000-0000-000024000000}"/>
    <cellStyle name="Vírgula 2 2 3 4 3 2 3" xfId="11147" xr:uid="{00000000-0005-0000-0000-000024000000}"/>
    <cellStyle name="Vírgula 2 2 3 4 3 3" xfId="1966" xr:uid="{00000000-0005-0000-0000-000024000000}"/>
    <cellStyle name="Vírgula 2 2 3 4 3 3 2" xfId="6047" xr:uid="{00000000-0005-0000-0000-000024000000}"/>
    <cellStyle name="Vírgula 2 2 3 4 3 3 2 2" xfId="14207" xr:uid="{00000000-0005-0000-0000-000024000000}"/>
    <cellStyle name="Vírgula 2 2 3 4 3 3 3" xfId="10127" xr:uid="{00000000-0005-0000-0000-000024000000}"/>
    <cellStyle name="Vírgula 2 2 3 4 3 4" xfId="4006" xr:uid="{00000000-0005-0000-0000-000024000000}"/>
    <cellStyle name="Vírgula 2 2 3 4 3 4 2" xfId="8087" xr:uid="{00000000-0005-0000-0000-000024000000}"/>
    <cellStyle name="Vírgula 2 2 3 4 3 4 2 2" xfId="16247" xr:uid="{00000000-0005-0000-0000-000024000000}"/>
    <cellStyle name="Vírgula 2 2 3 4 3 4 3" xfId="12167" xr:uid="{00000000-0005-0000-0000-000024000000}"/>
    <cellStyle name="Vírgula 2 2 3 4 3 5" xfId="5026" xr:uid="{00000000-0005-0000-0000-000024000000}"/>
    <cellStyle name="Vírgula 2 2 3 4 3 5 2" xfId="13187" xr:uid="{00000000-0005-0000-0000-000024000000}"/>
    <cellStyle name="Vírgula 2 2 3 4 3 6" xfId="9107" xr:uid="{00000000-0005-0000-0000-000024000000}"/>
    <cellStyle name="Vírgula 2 2 3 4 4" xfId="537" xr:uid="{00000000-0005-0000-0000-000024000000}"/>
    <cellStyle name="Vírgula 2 2 3 4 4 2" xfId="2578" xr:uid="{00000000-0005-0000-0000-000024000000}"/>
    <cellStyle name="Vírgula 2 2 3 4 4 2 2" xfId="6659" xr:uid="{00000000-0005-0000-0000-000024000000}"/>
    <cellStyle name="Vírgula 2 2 3 4 4 2 2 2" xfId="14819" xr:uid="{00000000-0005-0000-0000-000024000000}"/>
    <cellStyle name="Vírgula 2 2 3 4 4 2 3" xfId="10739" xr:uid="{00000000-0005-0000-0000-000024000000}"/>
    <cellStyle name="Vírgula 2 2 3 4 4 3" xfId="1558" xr:uid="{00000000-0005-0000-0000-000024000000}"/>
    <cellStyle name="Vírgula 2 2 3 4 4 3 2" xfId="5639" xr:uid="{00000000-0005-0000-0000-000024000000}"/>
    <cellStyle name="Vírgula 2 2 3 4 4 3 2 2" xfId="13799" xr:uid="{00000000-0005-0000-0000-000024000000}"/>
    <cellStyle name="Vírgula 2 2 3 4 4 3 3" xfId="9719" xr:uid="{00000000-0005-0000-0000-000024000000}"/>
    <cellStyle name="Vírgula 2 2 3 4 4 4" xfId="3598" xr:uid="{00000000-0005-0000-0000-000024000000}"/>
    <cellStyle name="Vírgula 2 2 3 4 4 4 2" xfId="7679" xr:uid="{00000000-0005-0000-0000-000024000000}"/>
    <cellStyle name="Vírgula 2 2 3 4 4 4 2 2" xfId="15839" xr:uid="{00000000-0005-0000-0000-000024000000}"/>
    <cellStyle name="Vírgula 2 2 3 4 4 4 3" xfId="11759" xr:uid="{00000000-0005-0000-0000-000024000000}"/>
    <cellStyle name="Vírgula 2 2 3 4 4 5" xfId="4618" xr:uid="{00000000-0005-0000-0000-000024000000}"/>
    <cellStyle name="Vírgula 2 2 3 4 4 5 2" xfId="12779" xr:uid="{00000000-0005-0000-0000-000024000000}"/>
    <cellStyle name="Vírgula 2 2 3 4 4 6" xfId="8699" xr:uid="{00000000-0005-0000-0000-000024000000}"/>
    <cellStyle name="Vírgula 2 2 3 4 5" xfId="2170" xr:uid="{00000000-0005-0000-0000-000024000000}"/>
    <cellStyle name="Vírgula 2 2 3 4 5 2" xfId="6251" xr:uid="{00000000-0005-0000-0000-000024000000}"/>
    <cellStyle name="Vírgula 2 2 3 4 5 2 2" xfId="14411" xr:uid="{00000000-0005-0000-0000-000024000000}"/>
    <cellStyle name="Vírgula 2 2 3 4 5 3" xfId="10331" xr:uid="{00000000-0005-0000-0000-000024000000}"/>
    <cellStyle name="Vírgula 2 2 3 4 6" xfId="1150" xr:uid="{00000000-0005-0000-0000-000024000000}"/>
    <cellStyle name="Vírgula 2 2 3 4 6 2" xfId="5231" xr:uid="{00000000-0005-0000-0000-000024000000}"/>
    <cellStyle name="Vírgula 2 2 3 4 6 2 2" xfId="13391" xr:uid="{00000000-0005-0000-0000-000024000000}"/>
    <cellStyle name="Vírgula 2 2 3 4 6 3" xfId="9311" xr:uid="{00000000-0005-0000-0000-000024000000}"/>
    <cellStyle name="Vírgula 2 2 3 4 7" xfId="3190" xr:uid="{00000000-0005-0000-0000-000024000000}"/>
    <cellStyle name="Vírgula 2 2 3 4 7 2" xfId="7271" xr:uid="{00000000-0005-0000-0000-000024000000}"/>
    <cellStyle name="Vírgula 2 2 3 4 7 2 2" xfId="15431" xr:uid="{00000000-0005-0000-0000-000024000000}"/>
    <cellStyle name="Vírgula 2 2 3 4 7 3" xfId="11351" xr:uid="{00000000-0005-0000-0000-000024000000}"/>
    <cellStyle name="Vírgula 2 2 3 4 8" xfId="4210" xr:uid="{00000000-0005-0000-0000-000024000000}"/>
    <cellStyle name="Vírgula 2 2 3 4 8 2" xfId="12371" xr:uid="{00000000-0005-0000-0000-000024000000}"/>
    <cellStyle name="Vírgula 2 2 3 4 9" xfId="8291" xr:uid="{00000000-0005-0000-0000-000024000000}"/>
    <cellStyle name="Vírgula 2 2 3 5" xfId="231" xr:uid="{00000000-0005-0000-0000-000024000000}"/>
    <cellStyle name="Vírgula 2 2 3 5 2" xfId="639" xr:uid="{00000000-0005-0000-0000-000024000000}"/>
    <cellStyle name="Vírgula 2 2 3 5 2 2" xfId="2680" xr:uid="{00000000-0005-0000-0000-000024000000}"/>
    <cellStyle name="Vírgula 2 2 3 5 2 2 2" xfId="6761" xr:uid="{00000000-0005-0000-0000-000024000000}"/>
    <cellStyle name="Vírgula 2 2 3 5 2 2 2 2" xfId="14921" xr:uid="{00000000-0005-0000-0000-000024000000}"/>
    <cellStyle name="Vírgula 2 2 3 5 2 2 3" xfId="10841" xr:uid="{00000000-0005-0000-0000-000024000000}"/>
    <cellStyle name="Vírgula 2 2 3 5 2 3" xfId="1660" xr:uid="{00000000-0005-0000-0000-000024000000}"/>
    <cellStyle name="Vírgula 2 2 3 5 2 3 2" xfId="5741" xr:uid="{00000000-0005-0000-0000-000024000000}"/>
    <cellStyle name="Vírgula 2 2 3 5 2 3 2 2" xfId="13901" xr:uid="{00000000-0005-0000-0000-000024000000}"/>
    <cellStyle name="Vírgula 2 2 3 5 2 3 3" xfId="9821" xr:uid="{00000000-0005-0000-0000-000024000000}"/>
    <cellStyle name="Vírgula 2 2 3 5 2 4" xfId="3700" xr:uid="{00000000-0005-0000-0000-000024000000}"/>
    <cellStyle name="Vírgula 2 2 3 5 2 4 2" xfId="7781" xr:uid="{00000000-0005-0000-0000-000024000000}"/>
    <cellStyle name="Vírgula 2 2 3 5 2 4 2 2" xfId="15941" xr:uid="{00000000-0005-0000-0000-000024000000}"/>
    <cellStyle name="Vírgula 2 2 3 5 2 4 3" xfId="11861" xr:uid="{00000000-0005-0000-0000-000024000000}"/>
    <cellStyle name="Vírgula 2 2 3 5 2 5" xfId="4720" xr:uid="{00000000-0005-0000-0000-000024000000}"/>
    <cellStyle name="Vírgula 2 2 3 5 2 5 2" xfId="12881" xr:uid="{00000000-0005-0000-0000-000024000000}"/>
    <cellStyle name="Vírgula 2 2 3 5 2 6" xfId="8801" xr:uid="{00000000-0005-0000-0000-000024000000}"/>
    <cellStyle name="Vírgula 2 2 3 5 3" xfId="2272" xr:uid="{00000000-0005-0000-0000-000024000000}"/>
    <cellStyle name="Vírgula 2 2 3 5 3 2" xfId="6353" xr:uid="{00000000-0005-0000-0000-000024000000}"/>
    <cellStyle name="Vírgula 2 2 3 5 3 2 2" xfId="14513" xr:uid="{00000000-0005-0000-0000-000024000000}"/>
    <cellStyle name="Vírgula 2 2 3 5 3 3" xfId="10433" xr:uid="{00000000-0005-0000-0000-000024000000}"/>
    <cellStyle name="Vírgula 2 2 3 5 4" xfId="1252" xr:uid="{00000000-0005-0000-0000-000024000000}"/>
    <cellStyle name="Vírgula 2 2 3 5 4 2" xfId="5333" xr:uid="{00000000-0005-0000-0000-000024000000}"/>
    <cellStyle name="Vírgula 2 2 3 5 4 2 2" xfId="13493" xr:uid="{00000000-0005-0000-0000-000024000000}"/>
    <cellStyle name="Vírgula 2 2 3 5 4 3" xfId="9413" xr:uid="{00000000-0005-0000-0000-000024000000}"/>
    <cellStyle name="Vírgula 2 2 3 5 5" xfId="3292" xr:uid="{00000000-0005-0000-0000-000024000000}"/>
    <cellStyle name="Vírgula 2 2 3 5 5 2" xfId="7373" xr:uid="{00000000-0005-0000-0000-000024000000}"/>
    <cellStyle name="Vírgula 2 2 3 5 5 2 2" xfId="15533" xr:uid="{00000000-0005-0000-0000-000024000000}"/>
    <cellStyle name="Vírgula 2 2 3 5 5 3" xfId="11453" xr:uid="{00000000-0005-0000-0000-000024000000}"/>
    <cellStyle name="Vírgula 2 2 3 5 6" xfId="4312" xr:uid="{00000000-0005-0000-0000-000024000000}"/>
    <cellStyle name="Vírgula 2 2 3 5 6 2" xfId="12473" xr:uid="{00000000-0005-0000-0000-000024000000}"/>
    <cellStyle name="Vírgula 2 2 3 5 7" xfId="8393" xr:uid="{00000000-0005-0000-0000-000024000000}"/>
    <cellStyle name="Vírgula 2 2 3 6" xfId="843" xr:uid="{00000000-0005-0000-0000-000024000000}"/>
    <cellStyle name="Vírgula 2 2 3 6 2" xfId="2884" xr:uid="{00000000-0005-0000-0000-000024000000}"/>
    <cellStyle name="Vírgula 2 2 3 6 2 2" xfId="6965" xr:uid="{00000000-0005-0000-0000-000024000000}"/>
    <cellStyle name="Vírgula 2 2 3 6 2 2 2" xfId="15125" xr:uid="{00000000-0005-0000-0000-000024000000}"/>
    <cellStyle name="Vírgula 2 2 3 6 2 3" xfId="11045" xr:uid="{00000000-0005-0000-0000-000024000000}"/>
    <cellStyle name="Vírgula 2 2 3 6 3" xfId="1864" xr:uid="{00000000-0005-0000-0000-000024000000}"/>
    <cellStyle name="Vírgula 2 2 3 6 3 2" xfId="5945" xr:uid="{00000000-0005-0000-0000-000024000000}"/>
    <cellStyle name="Vírgula 2 2 3 6 3 2 2" xfId="14105" xr:uid="{00000000-0005-0000-0000-000024000000}"/>
    <cellStyle name="Vírgula 2 2 3 6 3 3" xfId="10025" xr:uid="{00000000-0005-0000-0000-000024000000}"/>
    <cellStyle name="Vírgula 2 2 3 6 4" xfId="3904" xr:uid="{00000000-0005-0000-0000-000024000000}"/>
    <cellStyle name="Vírgula 2 2 3 6 4 2" xfId="7985" xr:uid="{00000000-0005-0000-0000-000024000000}"/>
    <cellStyle name="Vírgula 2 2 3 6 4 2 2" xfId="16145" xr:uid="{00000000-0005-0000-0000-000024000000}"/>
    <cellStyle name="Vírgula 2 2 3 6 4 3" xfId="12065" xr:uid="{00000000-0005-0000-0000-000024000000}"/>
    <cellStyle name="Vírgula 2 2 3 6 5" xfId="4924" xr:uid="{00000000-0005-0000-0000-000024000000}"/>
    <cellStyle name="Vírgula 2 2 3 6 5 2" xfId="13085" xr:uid="{00000000-0005-0000-0000-000024000000}"/>
    <cellStyle name="Vírgula 2 2 3 6 6" xfId="9005" xr:uid="{00000000-0005-0000-0000-000024000000}"/>
    <cellStyle name="Vírgula 2 2 3 7" xfId="435" xr:uid="{00000000-0005-0000-0000-000024000000}"/>
    <cellStyle name="Vírgula 2 2 3 7 2" xfId="2476" xr:uid="{00000000-0005-0000-0000-000024000000}"/>
    <cellStyle name="Vírgula 2 2 3 7 2 2" xfId="6557" xr:uid="{00000000-0005-0000-0000-000024000000}"/>
    <cellStyle name="Vírgula 2 2 3 7 2 2 2" xfId="14717" xr:uid="{00000000-0005-0000-0000-000024000000}"/>
    <cellStyle name="Vírgula 2 2 3 7 2 3" xfId="10637" xr:uid="{00000000-0005-0000-0000-000024000000}"/>
    <cellStyle name="Vírgula 2 2 3 7 3" xfId="1456" xr:uid="{00000000-0005-0000-0000-000024000000}"/>
    <cellStyle name="Vírgula 2 2 3 7 3 2" xfId="5537" xr:uid="{00000000-0005-0000-0000-000024000000}"/>
    <cellStyle name="Vírgula 2 2 3 7 3 2 2" xfId="13697" xr:uid="{00000000-0005-0000-0000-000024000000}"/>
    <cellStyle name="Vírgula 2 2 3 7 3 3" xfId="9617" xr:uid="{00000000-0005-0000-0000-000024000000}"/>
    <cellStyle name="Vírgula 2 2 3 7 4" xfId="3496" xr:uid="{00000000-0005-0000-0000-000024000000}"/>
    <cellStyle name="Vírgula 2 2 3 7 4 2" xfId="7577" xr:uid="{00000000-0005-0000-0000-000024000000}"/>
    <cellStyle name="Vírgula 2 2 3 7 4 2 2" xfId="15737" xr:uid="{00000000-0005-0000-0000-000024000000}"/>
    <cellStyle name="Vírgula 2 2 3 7 4 3" xfId="11657" xr:uid="{00000000-0005-0000-0000-000024000000}"/>
    <cellStyle name="Vírgula 2 2 3 7 5" xfId="4516" xr:uid="{00000000-0005-0000-0000-000024000000}"/>
    <cellStyle name="Vírgula 2 2 3 7 5 2" xfId="12677" xr:uid="{00000000-0005-0000-0000-000024000000}"/>
    <cellStyle name="Vírgula 2 2 3 7 6" xfId="8597" xr:uid="{00000000-0005-0000-0000-000024000000}"/>
    <cellStyle name="Vírgula 2 2 3 8" xfId="2068" xr:uid="{00000000-0005-0000-0000-000024000000}"/>
    <cellStyle name="Vírgula 2 2 3 8 2" xfId="6149" xr:uid="{00000000-0005-0000-0000-000024000000}"/>
    <cellStyle name="Vírgula 2 2 3 8 2 2" xfId="14309" xr:uid="{00000000-0005-0000-0000-000024000000}"/>
    <cellStyle name="Vírgula 2 2 3 8 3" xfId="10229" xr:uid="{00000000-0005-0000-0000-000024000000}"/>
    <cellStyle name="Vírgula 2 2 3 9" xfId="1048" xr:uid="{00000000-0005-0000-0000-000024000000}"/>
    <cellStyle name="Vírgula 2 2 3 9 2" xfId="5129" xr:uid="{00000000-0005-0000-0000-000024000000}"/>
    <cellStyle name="Vírgula 2 2 3 9 2 2" xfId="13289" xr:uid="{00000000-0005-0000-0000-000024000000}"/>
    <cellStyle name="Vírgula 2 2 3 9 3" xfId="9209" xr:uid="{00000000-0005-0000-0000-000024000000}"/>
    <cellStyle name="Vírgula 2 2 4" xfId="36" xr:uid="{00000000-0005-0000-0000-000026000000}"/>
    <cellStyle name="Vírgula 2 2 4 10" xfId="4117" xr:uid="{00000000-0005-0000-0000-000026000000}"/>
    <cellStyle name="Vírgula 2 2 4 10 2" xfId="12278" xr:uid="{00000000-0005-0000-0000-000026000000}"/>
    <cellStyle name="Vírgula 2 2 4 11" xfId="8198" xr:uid="{00000000-0005-0000-0000-000026000000}"/>
    <cellStyle name="Vírgula 2 2 4 2" xfId="87" xr:uid="{00000000-0005-0000-0000-000026000000}"/>
    <cellStyle name="Vírgula 2 2 4 2 10" xfId="8249" xr:uid="{00000000-0005-0000-0000-000026000000}"/>
    <cellStyle name="Vírgula 2 2 4 2 2" xfId="189" xr:uid="{00000000-0005-0000-0000-000026000000}"/>
    <cellStyle name="Vírgula 2 2 4 2 2 2" xfId="393" xr:uid="{00000000-0005-0000-0000-000026000000}"/>
    <cellStyle name="Vírgula 2 2 4 2 2 2 2" xfId="801" xr:uid="{00000000-0005-0000-0000-000026000000}"/>
    <cellStyle name="Vírgula 2 2 4 2 2 2 2 2" xfId="2842" xr:uid="{00000000-0005-0000-0000-000026000000}"/>
    <cellStyle name="Vírgula 2 2 4 2 2 2 2 2 2" xfId="6923" xr:uid="{00000000-0005-0000-0000-000026000000}"/>
    <cellStyle name="Vírgula 2 2 4 2 2 2 2 2 2 2" xfId="15083" xr:uid="{00000000-0005-0000-0000-000026000000}"/>
    <cellStyle name="Vírgula 2 2 4 2 2 2 2 2 3" xfId="11003" xr:uid="{00000000-0005-0000-0000-000026000000}"/>
    <cellStyle name="Vírgula 2 2 4 2 2 2 2 3" xfId="1822" xr:uid="{00000000-0005-0000-0000-000026000000}"/>
    <cellStyle name="Vírgula 2 2 4 2 2 2 2 3 2" xfId="5903" xr:uid="{00000000-0005-0000-0000-000026000000}"/>
    <cellStyle name="Vírgula 2 2 4 2 2 2 2 3 2 2" xfId="14063" xr:uid="{00000000-0005-0000-0000-000026000000}"/>
    <cellStyle name="Vírgula 2 2 4 2 2 2 2 3 3" xfId="9983" xr:uid="{00000000-0005-0000-0000-000026000000}"/>
    <cellStyle name="Vírgula 2 2 4 2 2 2 2 4" xfId="3862" xr:uid="{00000000-0005-0000-0000-000026000000}"/>
    <cellStyle name="Vírgula 2 2 4 2 2 2 2 4 2" xfId="7943" xr:uid="{00000000-0005-0000-0000-000026000000}"/>
    <cellStyle name="Vírgula 2 2 4 2 2 2 2 4 2 2" xfId="16103" xr:uid="{00000000-0005-0000-0000-000026000000}"/>
    <cellStyle name="Vírgula 2 2 4 2 2 2 2 4 3" xfId="12023" xr:uid="{00000000-0005-0000-0000-000026000000}"/>
    <cellStyle name="Vírgula 2 2 4 2 2 2 2 5" xfId="4882" xr:uid="{00000000-0005-0000-0000-000026000000}"/>
    <cellStyle name="Vírgula 2 2 4 2 2 2 2 5 2" xfId="13043" xr:uid="{00000000-0005-0000-0000-000026000000}"/>
    <cellStyle name="Vírgula 2 2 4 2 2 2 2 6" xfId="8963" xr:uid="{00000000-0005-0000-0000-000026000000}"/>
    <cellStyle name="Vírgula 2 2 4 2 2 2 3" xfId="2434" xr:uid="{00000000-0005-0000-0000-000026000000}"/>
    <cellStyle name="Vírgula 2 2 4 2 2 2 3 2" xfId="6515" xr:uid="{00000000-0005-0000-0000-000026000000}"/>
    <cellStyle name="Vírgula 2 2 4 2 2 2 3 2 2" xfId="14675" xr:uid="{00000000-0005-0000-0000-000026000000}"/>
    <cellStyle name="Vírgula 2 2 4 2 2 2 3 3" xfId="10595" xr:uid="{00000000-0005-0000-0000-000026000000}"/>
    <cellStyle name="Vírgula 2 2 4 2 2 2 4" xfId="1414" xr:uid="{00000000-0005-0000-0000-000026000000}"/>
    <cellStyle name="Vírgula 2 2 4 2 2 2 4 2" xfId="5495" xr:uid="{00000000-0005-0000-0000-000026000000}"/>
    <cellStyle name="Vírgula 2 2 4 2 2 2 4 2 2" xfId="13655" xr:uid="{00000000-0005-0000-0000-000026000000}"/>
    <cellStyle name="Vírgula 2 2 4 2 2 2 4 3" xfId="9575" xr:uid="{00000000-0005-0000-0000-000026000000}"/>
    <cellStyle name="Vírgula 2 2 4 2 2 2 5" xfId="3454" xr:uid="{00000000-0005-0000-0000-000026000000}"/>
    <cellStyle name="Vírgula 2 2 4 2 2 2 5 2" xfId="7535" xr:uid="{00000000-0005-0000-0000-000026000000}"/>
    <cellStyle name="Vírgula 2 2 4 2 2 2 5 2 2" xfId="15695" xr:uid="{00000000-0005-0000-0000-000026000000}"/>
    <cellStyle name="Vírgula 2 2 4 2 2 2 5 3" xfId="11615" xr:uid="{00000000-0005-0000-0000-000026000000}"/>
    <cellStyle name="Vírgula 2 2 4 2 2 2 6" xfId="4474" xr:uid="{00000000-0005-0000-0000-000026000000}"/>
    <cellStyle name="Vírgula 2 2 4 2 2 2 6 2" xfId="12635" xr:uid="{00000000-0005-0000-0000-000026000000}"/>
    <cellStyle name="Vírgula 2 2 4 2 2 2 7" xfId="8555" xr:uid="{00000000-0005-0000-0000-000026000000}"/>
    <cellStyle name="Vírgula 2 2 4 2 2 3" xfId="1005" xr:uid="{00000000-0005-0000-0000-000026000000}"/>
    <cellStyle name="Vírgula 2 2 4 2 2 3 2" xfId="3046" xr:uid="{00000000-0005-0000-0000-000026000000}"/>
    <cellStyle name="Vírgula 2 2 4 2 2 3 2 2" xfId="7127" xr:uid="{00000000-0005-0000-0000-000026000000}"/>
    <cellStyle name="Vírgula 2 2 4 2 2 3 2 2 2" xfId="15287" xr:uid="{00000000-0005-0000-0000-000026000000}"/>
    <cellStyle name="Vírgula 2 2 4 2 2 3 2 3" xfId="11207" xr:uid="{00000000-0005-0000-0000-000026000000}"/>
    <cellStyle name="Vírgula 2 2 4 2 2 3 3" xfId="2026" xr:uid="{00000000-0005-0000-0000-000026000000}"/>
    <cellStyle name="Vírgula 2 2 4 2 2 3 3 2" xfId="6107" xr:uid="{00000000-0005-0000-0000-000026000000}"/>
    <cellStyle name="Vírgula 2 2 4 2 2 3 3 2 2" xfId="14267" xr:uid="{00000000-0005-0000-0000-000026000000}"/>
    <cellStyle name="Vírgula 2 2 4 2 2 3 3 3" xfId="10187" xr:uid="{00000000-0005-0000-0000-000026000000}"/>
    <cellStyle name="Vírgula 2 2 4 2 2 3 4" xfId="4066" xr:uid="{00000000-0005-0000-0000-000026000000}"/>
    <cellStyle name="Vírgula 2 2 4 2 2 3 4 2" xfId="8147" xr:uid="{00000000-0005-0000-0000-000026000000}"/>
    <cellStyle name="Vírgula 2 2 4 2 2 3 4 2 2" xfId="16307" xr:uid="{00000000-0005-0000-0000-000026000000}"/>
    <cellStyle name="Vírgula 2 2 4 2 2 3 4 3" xfId="12227" xr:uid="{00000000-0005-0000-0000-000026000000}"/>
    <cellStyle name="Vírgula 2 2 4 2 2 3 5" xfId="5086" xr:uid="{00000000-0005-0000-0000-000026000000}"/>
    <cellStyle name="Vírgula 2 2 4 2 2 3 5 2" xfId="13247" xr:uid="{00000000-0005-0000-0000-000026000000}"/>
    <cellStyle name="Vírgula 2 2 4 2 2 3 6" xfId="9167" xr:uid="{00000000-0005-0000-0000-000026000000}"/>
    <cellStyle name="Vírgula 2 2 4 2 2 4" xfId="597" xr:uid="{00000000-0005-0000-0000-000026000000}"/>
    <cellStyle name="Vírgula 2 2 4 2 2 4 2" xfId="2638" xr:uid="{00000000-0005-0000-0000-000026000000}"/>
    <cellStyle name="Vírgula 2 2 4 2 2 4 2 2" xfId="6719" xr:uid="{00000000-0005-0000-0000-000026000000}"/>
    <cellStyle name="Vírgula 2 2 4 2 2 4 2 2 2" xfId="14879" xr:uid="{00000000-0005-0000-0000-000026000000}"/>
    <cellStyle name="Vírgula 2 2 4 2 2 4 2 3" xfId="10799" xr:uid="{00000000-0005-0000-0000-000026000000}"/>
    <cellStyle name="Vírgula 2 2 4 2 2 4 3" xfId="1618" xr:uid="{00000000-0005-0000-0000-000026000000}"/>
    <cellStyle name="Vírgula 2 2 4 2 2 4 3 2" xfId="5699" xr:uid="{00000000-0005-0000-0000-000026000000}"/>
    <cellStyle name="Vírgula 2 2 4 2 2 4 3 2 2" xfId="13859" xr:uid="{00000000-0005-0000-0000-000026000000}"/>
    <cellStyle name="Vírgula 2 2 4 2 2 4 3 3" xfId="9779" xr:uid="{00000000-0005-0000-0000-000026000000}"/>
    <cellStyle name="Vírgula 2 2 4 2 2 4 4" xfId="3658" xr:uid="{00000000-0005-0000-0000-000026000000}"/>
    <cellStyle name="Vírgula 2 2 4 2 2 4 4 2" xfId="7739" xr:uid="{00000000-0005-0000-0000-000026000000}"/>
    <cellStyle name="Vírgula 2 2 4 2 2 4 4 2 2" xfId="15899" xr:uid="{00000000-0005-0000-0000-000026000000}"/>
    <cellStyle name="Vírgula 2 2 4 2 2 4 4 3" xfId="11819" xr:uid="{00000000-0005-0000-0000-000026000000}"/>
    <cellStyle name="Vírgula 2 2 4 2 2 4 5" xfId="4678" xr:uid="{00000000-0005-0000-0000-000026000000}"/>
    <cellStyle name="Vírgula 2 2 4 2 2 4 5 2" xfId="12839" xr:uid="{00000000-0005-0000-0000-000026000000}"/>
    <cellStyle name="Vírgula 2 2 4 2 2 4 6" xfId="8759" xr:uid="{00000000-0005-0000-0000-000026000000}"/>
    <cellStyle name="Vírgula 2 2 4 2 2 5" xfId="2230" xr:uid="{00000000-0005-0000-0000-000026000000}"/>
    <cellStyle name="Vírgula 2 2 4 2 2 5 2" xfId="6311" xr:uid="{00000000-0005-0000-0000-000026000000}"/>
    <cellStyle name="Vírgula 2 2 4 2 2 5 2 2" xfId="14471" xr:uid="{00000000-0005-0000-0000-000026000000}"/>
    <cellStyle name="Vírgula 2 2 4 2 2 5 3" xfId="10391" xr:uid="{00000000-0005-0000-0000-000026000000}"/>
    <cellStyle name="Vírgula 2 2 4 2 2 6" xfId="1210" xr:uid="{00000000-0005-0000-0000-000026000000}"/>
    <cellStyle name="Vírgula 2 2 4 2 2 6 2" xfId="5291" xr:uid="{00000000-0005-0000-0000-000026000000}"/>
    <cellStyle name="Vírgula 2 2 4 2 2 6 2 2" xfId="13451" xr:uid="{00000000-0005-0000-0000-000026000000}"/>
    <cellStyle name="Vírgula 2 2 4 2 2 6 3" xfId="9371" xr:uid="{00000000-0005-0000-0000-000026000000}"/>
    <cellStyle name="Vírgula 2 2 4 2 2 7" xfId="3250" xr:uid="{00000000-0005-0000-0000-000026000000}"/>
    <cellStyle name="Vírgula 2 2 4 2 2 7 2" xfId="7331" xr:uid="{00000000-0005-0000-0000-000026000000}"/>
    <cellStyle name="Vírgula 2 2 4 2 2 7 2 2" xfId="15491" xr:uid="{00000000-0005-0000-0000-000026000000}"/>
    <cellStyle name="Vírgula 2 2 4 2 2 7 3" xfId="11411" xr:uid="{00000000-0005-0000-0000-000026000000}"/>
    <cellStyle name="Vírgula 2 2 4 2 2 8" xfId="4270" xr:uid="{00000000-0005-0000-0000-000026000000}"/>
    <cellStyle name="Vírgula 2 2 4 2 2 8 2" xfId="12431" xr:uid="{00000000-0005-0000-0000-000026000000}"/>
    <cellStyle name="Vírgula 2 2 4 2 2 9" xfId="8351" xr:uid="{00000000-0005-0000-0000-000026000000}"/>
    <cellStyle name="Vírgula 2 2 4 2 3" xfId="291" xr:uid="{00000000-0005-0000-0000-000026000000}"/>
    <cellStyle name="Vírgula 2 2 4 2 3 2" xfId="699" xr:uid="{00000000-0005-0000-0000-000026000000}"/>
    <cellStyle name="Vírgula 2 2 4 2 3 2 2" xfId="2740" xr:uid="{00000000-0005-0000-0000-000026000000}"/>
    <cellStyle name="Vírgula 2 2 4 2 3 2 2 2" xfId="6821" xr:uid="{00000000-0005-0000-0000-000026000000}"/>
    <cellStyle name="Vírgula 2 2 4 2 3 2 2 2 2" xfId="14981" xr:uid="{00000000-0005-0000-0000-000026000000}"/>
    <cellStyle name="Vírgula 2 2 4 2 3 2 2 3" xfId="10901" xr:uid="{00000000-0005-0000-0000-000026000000}"/>
    <cellStyle name="Vírgula 2 2 4 2 3 2 3" xfId="1720" xr:uid="{00000000-0005-0000-0000-000026000000}"/>
    <cellStyle name="Vírgula 2 2 4 2 3 2 3 2" xfId="5801" xr:uid="{00000000-0005-0000-0000-000026000000}"/>
    <cellStyle name="Vírgula 2 2 4 2 3 2 3 2 2" xfId="13961" xr:uid="{00000000-0005-0000-0000-000026000000}"/>
    <cellStyle name="Vírgula 2 2 4 2 3 2 3 3" xfId="9881" xr:uid="{00000000-0005-0000-0000-000026000000}"/>
    <cellStyle name="Vírgula 2 2 4 2 3 2 4" xfId="3760" xr:uid="{00000000-0005-0000-0000-000026000000}"/>
    <cellStyle name="Vírgula 2 2 4 2 3 2 4 2" xfId="7841" xr:uid="{00000000-0005-0000-0000-000026000000}"/>
    <cellStyle name="Vírgula 2 2 4 2 3 2 4 2 2" xfId="16001" xr:uid="{00000000-0005-0000-0000-000026000000}"/>
    <cellStyle name="Vírgula 2 2 4 2 3 2 4 3" xfId="11921" xr:uid="{00000000-0005-0000-0000-000026000000}"/>
    <cellStyle name="Vírgula 2 2 4 2 3 2 5" xfId="4780" xr:uid="{00000000-0005-0000-0000-000026000000}"/>
    <cellStyle name="Vírgula 2 2 4 2 3 2 5 2" xfId="12941" xr:uid="{00000000-0005-0000-0000-000026000000}"/>
    <cellStyle name="Vírgula 2 2 4 2 3 2 6" xfId="8861" xr:uid="{00000000-0005-0000-0000-000026000000}"/>
    <cellStyle name="Vírgula 2 2 4 2 3 3" xfId="2332" xr:uid="{00000000-0005-0000-0000-000026000000}"/>
    <cellStyle name="Vírgula 2 2 4 2 3 3 2" xfId="6413" xr:uid="{00000000-0005-0000-0000-000026000000}"/>
    <cellStyle name="Vírgula 2 2 4 2 3 3 2 2" xfId="14573" xr:uid="{00000000-0005-0000-0000-000026000000}"/>
    <cellStyle name="Vírgula 2 2 4 2 3 3 3" xfId="10493" xr:uid="{00000000-0005-0000-0000-000026000000}"/>
    <cellStyle name="Vírgula 2 2 4 2 3 4" xfId="1312" xr:uid="{00000000-0005-0000-0000-000026000000}"/>
    <cellStyle name="Vírgula 2 2 4 2 3 4 2" xfId="5393" xr:uid="{00000000-0005-0000-0000-000026000000}"/>
    <cellStyle name="Vírgula 2 2 4 2 3 4 2 2" xfId="13553" xr:uid="{00000000-0005-0000-0000-000026000000}"/>
    <cellStyle name="Vírgula 2 2 4 2 3 4 3" xfId="9473" xr:uid="{00000000-0005-0000-0000-000026000000}"/>
    <cellStyle name="Vírgula 2 2 4 2 3 5" xfId="3352" xr:uid="{00000000-0005-0000-0000-000026000000}"/>
    <cellStyle name="Vírgula 2 2 4 2 3 5 2" xfId="7433" xr:uid="{00000000-0005-0000-0000-000026000000}"/>
    <cellStyle name="Vírgula 2 2 4 2 3 5 2 2" xfId="15593" xr:uid="{00000000-0005-0000-0000-000026000000}"/>
    <cellStyle name="Vírgula 2 2 4 2 3 5 3" xfId="11513" xr:uid="{00000000-0005-0000-0000-000026000000}"/>
    <cellStyle name="Vírgula 2 2 4 2 3 6" xfId="4372" xr:uid="{00000000-0005-0000-0000-000026000000}"/>
    <cellStyle name="Vírgula 2 2 4 2 3 6 2" xfId="12533" xr:uid="{00000000-0005-0000-0000-000026000000}"/>
    <cellStyle name="Vírgula 2 2 4 2 3 7" xfId="8453" xr:uid="{00000000-0005-0000-0000-000026000000}"/>
    <cellStyle name="Vírgula 2 2 4 2 4" xfId="903" xr:uid="{00000000-0005-0000-0000-000026000000}"/>
    <cellStyle name="Vírgula 2 2 4 2 4 2" xfId="2944" xr:uid="{00000000-0005-0000-0000-000026000000}"/>
    <cellStyle name="Vírgula 2 2 4 2 4 2 2" xfId="7025" xr:uid="{00000000-0005-0000-0000-000026000000}"/>
    <cellStyle name="Vírgula 2 2 4 2 4 2 2 2" xfId="15185" xr:uid="{00000000-0005-0000-0000-000026000000}"/>
    <cellStyle name="Vírgula 2 2 4 2 4 2 3" xfId="11105" xr:uid="{00000000-0005-0000-0000-000026000000}"/>
    <cellStyle name="Vírgula 2 2 4 2 4 3" xfId="1924" xr:uid="{00000000-0005-0000-0000-000026000000}"/>
    <cellStyle name="Vírgula 2 2 4 2 4 3 2" xfId="6005" xr:uid="{00000000-0005-0000-0000-000026000000}"/>
    <cellStyle name="Vírgula 2 2 4 2 4 3 2 2" xfId="14165" xr:uid="{00000000-0005-0000-0000-000026000000}"/>
    <cellStyle name="Vírgula 2 2 4 2 4 3 3" xfId="10085" xr:uid="{00000000-0005-0000-0000-000026000000}"/>
    <cellStyle name="Vírgula 2 2 4 2 4 4" xfId="3964" xr:uid="{00000000-0005-0000-0000-000026000000}"/>
    <cellStyle name="Vírgula 2 2 4 2 4 4 2" xfId="8045" xr:uid="{00000000-0005-0000-0000-000026000000}"/>
    <cellStyle name="Vírgula 2 2 4 2 4 4 2 2" xfId="16205" xr:uid="{00000000-0005-0000-0000-000026000000}"/>
    <cellStyle name="Vírgula 2 2 4 2 4 4 3" xfId="12125" xr:uid="{00000000-0005-0000-0000-000026000000}"/>
    <cellStyle name="Vírgula 2 2 4 2 4 5" xfId="4984" xr:uid="{00000000-0005-0000-0000-000026000000}"/>
    <cellStyle name="Vírgula 2 2 4 2 4 5 2" xfId="13145" xr:uid="{00000000-0005-0000-0000-000026000000}"/>
    <cellStyle name="Vírgula 2 2 4 2 4 6" xfId="9065" xr:uid="{00000000-0005-0000-0000-000026000000}"/>
    <cellStyle name="Vírgula 2 2 4 2 5" xfId="495" xr:uid="{00000000-0005-0000-0000-000026000000}"/>
    <cellStyle name="Vírgula 2 2 4 2 5 2" xfId="2536" xr:uid="{00000000-0005-0000-0000-000026000000}"/>
    <cellStyle name="Vírgula 2 2 4 2 5 2 2" xfId="6617" xr:uid="{00000000-0005-0000-0000-000026000000}"/>
    <cellStyle name="Vírgula 2 2 4 2 5 2 2 2" xfId="14777" xr:uid="{00000000-0005-0000-0000-000026000000}"/>
    <cellStyle name="Vírgula 2 2 4 2 5 2 3" xfId="10697" xr:uid="{00000000-0005-0000-0000-000026000000}"/>
    <cellStyle name="Vírgula 2 2 4 2 5 3" xfId="1516" xr:uid="{00000000-0005-0000-0000-000026000000}"/>
    <cellStyle name="Vírgula 2 2 4 2 5 3 2" xfId="5597" xr:uid="{00000000-0005-0000-0000-000026000000}"/>
    <cellStyle name="Vírgula 2 2 4 2 5 3 2 2" xfId="13757" xr:uid="{00000000-0005-0000-0000-000026000000}"/>
    <cellStyle name="Vírgula 2 2 4 2 5 3 3" xfId="9677" xr:uid="{00000000-0005-0000-0000-000026000000}"/>
    <cellStyle name="Vírgula 2 2 4 2 5 4" xfId="3556" xr:uid="{00000000-0005-0000-0000-000026000000}"/>
    <cellStyle name="Vírgula 2 2 4 2 5 4 2" xfId="7637" xr:uid="{00000000-0005-0000-0000-000026000000}"/>
    <cellStyle name="Vírgula 2 2 4 2 5 4 2 2" xfId="15797" xr:uid="{00000000-0005-0000-0000-000026000000}"/>
    <cellStyle name="Vírgula 2 2 4 2 5 4 3" xfId="11717" xr:uid="{00000000-0005-0000-0000-000026000000}"/>
    <cellStyle name="Vírgula 2 2 4 2 5 5" xfId="4576" xr:uid="{00000000-0005-0000-0000-000026000000}"/>
    <cellStyle name="Vírgula 2 2 4 2 5 5 2" xfId="12737" xr:uid="{00000000-0005-0000-0000-000026000000}"/>
    <cellStyle name="Vírgula 2 2 4 2 5 6" xfId="8657" xr:uid="{00000000-0005-0000-0000-000026000000}"/>
    <cellStyle name="Vírgula 2 2 4 2 6" xfId="2128" xr:uid="{00000000-0005-0000-0000-000026000000}"/>
    <cellStyle name="Vírgula 2 2 4 2 6 2" xfId="6209" xr:uid="{00000000-0005-0000-0000-000026000000}"/>
    <cellStyle name="Vírgula 2 2 4 2 6 2 2" xfId="14369" xr:uid="{00000000-0005-0000-0000-000026000000}"/>
    <cellStyle name="Vírgula 2 2 4 2 6 3" xfId="10289" xr:uid="{00000000-0005-0000-0000-000026000000}"/>
    <cellStyle name="Vírgula 2 2 4 2 7" xfId="1108" xr:uid="{00000000-0005-0000-0000-000026000000}"/>
    <cellStyle name="Vírgula 2 2 4 2 7 2" xfId="5189" xr:uid="{00000000-0005-0000-0000-000026000000}"/>
    <cellStyle name="Vírgula 2 2 4 2 7 2 2" xfId="13349" xr:uid="{00000000-0005-0000-0000-000026000000}"/>
    <cellStyle name="Vírgula 2 2 4 2 7 3" xfId="9269" xr:uid="{00000000-0005-0000-0000-000026000000}"/>
    <cellStyle name="Vírgula 2 2 4 2 8" xfId="3148" xr:uid="{00000000-0005-0000-0000-000026000000}"/>
    <cellStyle name="Vírgula 2 2 4 2 8 2" xfId="7229" xr:uid="{00000000-0005-0000-0000-000026000000}"/>
    <cellStyle name="Vírgula 2 2 4 2 8 2 2" xfId="15389" xr:uid="{00000000-0005-0000-0000-000026000000}"/>
    <cellStyle name="Vírgula 2 2 4 2 8 3" xfId="11309" xr:uid="{00000000-0005-0000-0000-000026000000}"/>
    <cellStyle name="Vírgula 2 2 4 2 9" xfId="4168" xr:uid="{00000000-0005-0000-0000-000026000000}"/>
    <cellStyle name="Vírgula 2 2 4 2 9 2" xfId="12329" xr:uid="{00000000-0005-0000-0000-000026000000}"/>
    <cellStyle name="Vírgula 2 2 4 3" xfId="138" xr:uid="{00000000-0005-0000-0000-000026000000}"/>
    <cellStyle name="Vírgula 2 2 4 3 2" xfId="342" xr:uid="{00000000-0005-0000-0000-000026000000}"/>
    <cellStyle name="Vírgula 2 2 4 3 2 2" xfId="750" xr:uid="{00000000-0005-0000-0000-000026000000}"/>
    <cellStyle name="Vírgula 2 2 4 3 2 2 2" xfId="2791" xr:uid="{00000000-0005-0000-0000-000026000000}"/>
    <cellStyle name="Vírgula 2 2 4 3 2 2 2 2" xfId="6872" xr:uid="{00000000-0005-0000-0000-000026000000}"/>
    <cellStyle name="Vírgula 2 2 4 3 2 2 2 2 2" xfId="15032" xr:uid="{00000000-0005-0000-0000-000026000000}"/>
    <cellStyle name="Vírgula 2 2 4 3 2 2 2 3" xfId="10952" xr:uid="{00000000-0005-0000-0000-000026000000}"/>
    <cellStyle name="Vírgula 2 2 4 3 2 2 3" xfId="1771" xr:uid="{00000000-0005-0000-0000-000026000000}"/>
    <cellStyle name="Vírgula 2 2 4 3 2 2 3 2" xfId="5852" xr:uid="{00000000-0005-0000-0000-000026000000}"/>
    <cellStyle name="Vírgula 2 2 4 3 2 2 3 2 2" xfId="14012" xr:uid="{00000000-0005-0000-0000-000026000000}"/>
    <cellStyle name="Vírgula 2 2 4 3 2 2 3 3" xfId="9932" xr:uid="{00000000-0005-0000-0000-000026000000}"/>
    <cellStyle name="Vírgula 2 2 4 3 2 2 4" xfId="3811" xr:uid="{00000000-0005-0000-0000-000026000000}"/>
    <cellStyle name="Vírgula 2 2 4 3 2 2 4 2" xfId="7892" xr:uid="{00000000-0005-0000-0000-000026000000}"/>
    <cellStyle name="Vírgula 2 2 4 3 2 2 4 2 2" xfId="16052" xr:uid="{00000000-0005-0000-0000-000026000000}"/>
    <cellStyle name="Vírgula 2 2 4 3 2 2 4 3" xfId="11972" xr:uid="{00000000-0005-0000-0000-000026000000}"/>
    <cellStyle name="Vírgula 2 2 4 3 2 2 5" xfId="4831" xr:uid="{00000000-0005-0000-0000-000026000000}"/>
    <cellStyle name="Vírgula 2 2 4 3 2 2 5 2" xfId="12992" xr:uid="{00000000-0005-0000-0000-000026000000}"/>
    <cellStyle name="Vírgula 2 2 4 3 2 2 6" xfId="8912" xr:uid="{00000000-0005-0000-0000-000026000000}"/>
    <cellStyle name="Vírgula 2 2 4 3 2 3" xfId="2383" xr:uid="{00000000-0005-0000-0000-000026000000}"/>
    <cellStyle name="Vírgula 2 2 4 3 2 3 2" xfId="6464" xr:uid="{00000000-0005-0000-0000-000026000000}"/>
    <cellStyle name="Vírgula 2 2 4 3 2 3 2 2" xfId="14624" xr:uid="{00000000-0005-0000-0000-000026000000}"/>
    <cellStyle name="Vírgula 2 2 4 3 2 3 3" xfId="10544" xr:uid="{00000000-0005-0000-0000-000026000000}"/>
    <cellStyle name="Vírgula 2 2 4 3 2 4" xfId="1363" xr:uid="{00000000-0005-0000-0000-000026000000}"/>
    <cellStyle name="Vírgula 2 2 4 3 2 4 2" xfId="5444" xr:uid="{00000000-0005-0000-0000-000026000000}"/>
    <cellStyle name="Vírgula 2 2 4 3 2 4 2 2" xfId="13604" xr:uid="{00000000-0005-0000-0000-000026000000}"/>
    <cellStyle name="Vírgula 2 2 4 3 2 4 3" xfId="9524" xr:uid="{00000000-0005-0000-0000-000026000000}"/>
    <cellStyle name="Vírgula 2 2 4 3 2 5" xfId="3403" xr:uid="{00000000-0005-0000-0000-000026000000}"/>
    <cellStyle name="Vírgula 2 2 4 3 2 5 2" xfId="7484" xr:uid="{00000000-0005-0000-0000-000026000000}"/>
    <cellStyle name="Vírgula 2 2 4 3 2 5 2 2" xfId="15644" xr:uid="{00000000-0005-0000-0000-000026000000}"/>
    <cellStyle name="Vírgula 2 2 4 3 2 5 3" xfId="11564" xr:uid="{00000000-0005-0000-0000-000026000000}"/>
    <cellStyle name="Vírgula 2 2 4 3 2 6" xfId="4423" xr:uid="{00000000-0005-0000-0000-000026000000}"/>
    <cellStyle name="Vírgula 2 2 4 3 2 6 2" xfId="12584" xr:uid="{00000000-0005-0000-0000-000026000000}"/>
    <cellStyle name="Vírgula 2 2 4 3 2 7" xfId="8504" xr:uid="{00000000-0005-0000-0000-000026000000}"/>
    <cellStyle name="Vírgula 2 2 4 3 3" xfId="954" xr:uid="{00000000-0005-0000-0000-000026000000}"/>
    <cellStyle name="Vírgula 2 2 4 3 3 2" xfId="2995" xr:uid="{00000000-0005-0000-0000-000026000000}"/>
    <cellStyle name="Vírgula 2 2 4 3 3 2 2" xfId="7076" xr:uid="{00000000-0005-0000-0000-000026000000}"/>
    <cellStyle name="Vírgula 2 2 4 3 3 2 2 2" xfId="15236" xr:uid="{00000000-0005-0000-0000-000026000000}"/>
    <cellStyle name="Vírgula 2 2 4 3 3 2 3" xfId="11156" xr:uid="{00000000-0005-0000-0000-000026000000}"/>
    <cellStyle name="Vírgula 2 2 4 3 3 3" xfId="1975" xr:uid="{00000000-0005-0000-0000-000026000000}"/>
    <cellStyle name="Vírgula 2 2 4 3 3 3 2" xfId="6056" xr:uid="{00000000-0005-0000-0000-000026000000}"/>
    <cellStyle name="Vírgula 2 2 4 3 3 3 2 2" xfId="14216" xr:uid="{00000000-0005-0000-0000-000026000000}"/>
    <cellStyle name="Vírgula 2 2 4 3 3 3 3" xfId="10136" xr:uid="{00000000-0005-0000-0000-000026000000}"/>
    <cellStyle name="Vírgula 2 2 4 3 3 4" xfId="4015" xr:uid="{00000000-0005-0000-0000-000026000000}"/>
    <cellStyle name="Vírgula 2 2 4 3 3 4 2" xfId="8096" xr:uid="{00000000-0005-0000-0000-000026000000}"/>
    <cellStyle name="Vírgula 2 2 4 3 3 4 2 2" xfId="16256" xr:uid="{00000000-0005-0000-0000-000026000000}"/>
    <cellStyle name="Vírgula 2 2 4 3 3 4 3" xfId="12176" xr:uid="{00000000-0005-0000-0000-000026000000}"/>
    <cellStyle name="Vírgula 2 2 4 3 3 5" xfId="5035" xr:uid="{00000000-0005-0000-0000-000026000000}"/>
    <cellStyle name="Vírgula 2 2 4 3 3 5 2" xfId="13196" xr:uid="{00000000-0005-0000-0000-000026000000}"/>
    <cellStyle name="Vírgula 2 2 4 3 3 6" xfId="9116" xr:uid="{00000000-0005-0000-0000-000026000000}"/>
    <cellStyle name="Vírgula 2 2 4 3 4" xfId="546" xr:uid="{00000000-0005-0000-0000-000026000000}"/>
    <cellStyle name="Vírgula 2 2 4 3 4 2" xfId="2587" xr:uid="{00000000-0005-0000-0000-000026000000}"/>
    <cellStyle name="Vírgula 2 2 4 3 4 2 2" xfId="6668" xr:uid="{00000000-0005-0000-0000-000026000000}"/>
    <cellStyle name="Vírgula 2 2 4 3 4 2 2 2" xfId="14828" xr:uid="{00000000-0005-0000-0000-000026000000}"/>
    <cellStyle name="Vírgula 2 2 4 3 4 2 3" xfId="10748" xr:uid="{00000000-0005-0000-0000-000026000000}"/>
    <cellStyle name="Vírgula 2 2 4 3 4 3" xfId="1567" xr:uid="{00000000-0005-0000-0000-000026000000}"/>
    <cellStyle name="Vírgula 2 2 4 3 4 3 2" xfId="5648" xr:uid="{00000000-0005-0000-0000-000026000000}"/>
    <cellStyle name="Vírgula 2 2 4 3 4 3 2 2" xfId="13808" xr:uid="{00000000-0005-0000-0000-000026000000}"/>
    <cellStyle name="Vírgula 2 2 4 3 4 3 3" xfId="9728" xr:uid="{00000000-0005-0000-0000-000026000000}"/>
    <cellStyle name="Vírgula 2 2 4 3 4 4" xfId="3607" xr:uid="{00000000-0005-0000-0000-000026000000}"/>
    <cellStyle name="Vírgula 2 2 4 3 4 4 2" xfId="7688" xr:uid="{00000000-0005-0000-0000-000026000000}"/>
    <cellStyle name="Vírgula 2 2 4 3 4 4 2 2" xfId="15848" xr:uid="{00000000-0005-0000-0000-000026000000}"/>
    <cellStyle name="Vírgula 2 2 4 3 4 4 3" xfId="11768" xr:uid="{00000000-0005-0000-0000-000026000000}"/>
    <cellStyle name="Vírgula 2 2 4 3 4 5" xfId="4627" xr:uid="{00000000-0005-0000-0000-000026000000}"/>
    <cellStyle name="Vírgula 2 2 4 3 4 5 2" xfId="12788" xr:uid="{00000000-0005-0000-0000-000026000000}"/>
    <cellStyle name="Vírgula 2 2 4 3 4 6" xfId="8708" xr:uid="{00000000-0005-0000-0000-000026000000}"/>
    <cellStyle name="Vírgula 2 2 4 3 5" xfId="2179" xr:uid="{00000000-0005-0000-0000-000026000000}"/>
    <cellStyle name="Vírgula 2 2 4 3 5 2" xfId="6260" xr:uid="{00000000-0005-0000-0000-000026000000}"/>
    <cellStyle name="Vírgula 2 2 4 3 5 2 2" xfId="14420" xr:uid="{00000000-0005-0000-0000-000026000000}"/>
    <cellStyle name="Vírgula 2 2 4 3 5 3" xfId="10340" xr:uid="{00000000-0005-0000-0000-000026000000}"/>
    <cellStyle name="Vírgula 2 2 4 3 6" xfId="1159" xr:uid="{00000000-0005-0000-0000-000026000000}"/>
    <cellStyle name="Vírgula 2 2 4 3 6 2" xfId="5240" xr:uid="{00000000-0005-0000-0000-000026000000}"/>
    <cellStyle name="Vírgula 2 2 4 3 6 2 2" xfId="13400" xr:uid="{00000000-0005-0000-0000-000026000000}"/>
    <cellStyle name="Vírgula 2 2 4 3 6 3" xfId="9320" xr:uid="{00000000-0005-0000-0000-000026000000}"/>
    <cellStyle name="Vírgula 2 2 4 3 7" xfId="3199" xr:uid="{00000000-0005-0000-0000-000026000000}"/>
    <cellStyle name="Vírgula 2 2 4 3 7 2" xfId="7280" xr:uid="{00000000-0005-0000-0000-000026000000}"/>
    <cellStyle name="Vírgula 2 2 4 3 7 2 2" xfId="15440" xr:uid="{00000000-0005-0000-0000-000026000000}"/>
    <cellStyle name="Vírgula 2 2 4 3 7 3" xfId="11360" xr:uid="{00000000-0005-0000-0000-000026000000}"/>
    <cellStyle name="Vírgula 2 2 4 3 8" xfId="4219" xr:uid="{00000000-0005-0000-0000-000026000000}"/>
    <cellStyle name="Vírgula 2 2 4 3 8 2" xfId="12380" xr:uid="{00000000-0005-0000-0000-000026000000}"/>
    <cellStyle name="Vírgula 2 2 4 3 9" xfId="8300" xr:uid="{00000000-0005-0000-0000-000026000000}"/>
    <cellStyle name="Vírgula 2 2 4 4" xfId="240" xr:uid="{00000000-0005-0000-0000-000026000000}"/>
    <cellStyle name="Vírgula 2 2 4 4 2" xfId="648" xr:uid="{00000000-0005-0000-0000-000026000000}"/>
    <cellStyle name="Vírgula 2 2 4 4 2 2" xfId="2689" xr:uid="{00000000-0005-0000-0000-000026000000}"/>
    <cellStyle name="Vírgula 2 2 4 4 2 2 2" xfId="6770" xr:uid="{00000000-0005-0000-0000-000026000000}"/>
    <cellStyle name="Vírgula 2 2 4 4 2 2 2 2" xfId="14930" xr:uid="{00000000-0005-0000-0000-000026000000}"/>
    <cellStyle name="Vírgula 2 2 4 4 2 2 3" xfId="10850" xr:uid="{00000000-0005-0000-0000-000026000000}"/>
    <cellStyle name="Vírgula 2 2 4 4 2 3" xfId="1669" xr:uid="{00000000-0005-0000-0000-000026000000}"/>
    <cellStyle name="Vírgula 2 2 4 4 2 3 2" xfId="5750" xr:uid="{00000000-0005-0000-0000-000026000000}"/>
    <cellStyle name="Vírgula 2 2 4 4 2 3 2 2" xfId="13910" xr:uid="{00000000-0005-0000-0000-000026000000}"/>
    <cellStyle name="Vírgula 2 2 4 4 2 3 3" xfId="9830" xr:uid="{00000000-0005-0000-0000-000026000000}"/>
    <cellStyle name="Vírgula 2 2 4 4 2 4" xfId="3709" xr:uid="{00000000-0005-0000-0000-000026000000}"/>
    <cellStyle name="Vírgula 2 2 4 4 2 4 2" xfId="7790" xr:uid="{00000000-0005-0000-0000-000026000000}"/>
    <cellStyle name="Vírgula 2 2 4 4 2 4 2 2" xfId="15950" xr:uid="{00000000-0005-0000-0000-000026000000}"/>
    <cellStyle name="Vírgula 2 2 4 4 2 4 3" xfId="11870" xr:uid="{00000000-0005-0000-0000-000026000000}"/>
    <cellStyle name="Vírgula 2 2 4 4 2 5" xfId="4729" xr:uid="{00000000-0005-0000-0000-000026000000}"/>
    <cellStyle name="Vírgula 2 2 4 4 2 5 2" xfId="12890" xr:uid="{00000000-0005-0000-0000-000026000000}"/>
    <cellStyle name="Vírgula 2 2 4 4 2 6" xfId="8810" xr:uid="{00000000-0005-0000-0000-000026000000}"/>
    <cellStyle name="Vírgula 2 2 4 4 3" xfId="2281" xr:uid="{00000000-0005-0000-0000-000026000000}"/>
    <cellStyle name="Vírgula 2 2 4 4 3 2" xfId="6362" xr:uid="{00000000-0005-0000-0000-000026000000}"/>
    <cellStyle name="Vírgula 2 2 4 4 3 2 2" xfId="14522" xr:uid="{00000000-0005-0000-0000-000026000000}"/>
    <cellStyle name="Vírgula 2 2 4 4 3 3" xfId="10442" xr:uid="{00000000-0005-0000-0000-000026000000}"/>
    <cellStyle name="Vírgula 2 2 4 4 4" xfId="1261" xr:uid="{00000000-0005-0000-0000-000026000000}"/>
    <cellStyle name="Vírgula 2 2 4 4 4 2" xfId="5342" xr:uid="{00000000-0005-0000-0000-000026000000}"/>
    <cellStyle name="Vírgula 2 2 4 4 4 2 2" xfId="13502" xr:uid="{00000000-0005-0000-0000-000026000000}"/>
    <cellStyle name="Vírgula 2 2 4 4 4 3" xfId="9422" xr:uid="{00000000-0005-0000-0000-000026000000}"/>
    <cellStyle name="Vírgula 2 2 4 4 5" xfId="3301" xr:uid="{00000000-0005-0000-0000-000026000000}"/>
    <cellStyle name="Vírgula 2 2 4 4 5 2" xfId="7382" xr:uid="{00000000-0005-0000-0000-000026000000}"/>
    <cellStyle name="Vírgula 2 2 4 4 5 2 2" xfId="15542" xr:uid="{00000000-0005-0000-0000-000026000000}"/>
    <cellStyle name="Vírgula 2 2 4 4 5 3" xfId="11462" xr:uid="{00000000-0005-0000-0000-000026000000}"/>
    <cellStyle name="Vírgula 2 2 4 4 6" xfId="4321" xr:uid="{00000000-0005-0000-0000-000026000000}"/>
    <cellStyle name="Vírgula 2 2 4 4 6 2" xfId="12482" xr:uid="{00000000-0005-0000-0000-000026000000}"/>
    <cellStyle name="Vírgula 2 2 4 4 7" xfId="8402" xr:uid="{00000000-0005-0000-0000-000026000000}"/>
    <cellStyle name="Vírgula 2 2 4 5" xfId="852" xr:uid="{00000000-0005-0000-0000-000026000000}"/>
    <cellStyle name="Vírgula 2 2 4 5 2" xfId="2893" xr:uid="{00000000-0005-0000-0000-000026000000}"/>
    <cellStyle name="Vírgula 2 2 4 5 2 2" xfId="6974" xr:uid="{00000000-0005-0000-0000-000026000000}"/>
    <cellStyle name="Vírgula 2 2 4 5 2 2 2" xfId="15134" xr:uid="{00000000-0005-0000-0000-000026000000}"/>
    <cellStyle name="Vírgula 2 2 4 5 2 3" xfId="11054" xr:uid="{00000000-0005-0000-0000-000026000000}"/>
    <cellStyle name="Vírgula 2 2 4 5 3" xfId="1873" xr:uid="{00000000-0005-0000-0000-000026000000}"/>
    <cellStyle name="Vírgula 2 2 4 5 3 2" xfId="5954" xr:uid="{00000000-0005-0000-0000-000026000000}"/>
    <cellStyle name="Vírgula 2 2 4 5 3 2 2" xfId="14114" xr:uid="{00000000-0005-0000-0000-000026000000}"/>
    <cellStyle name="Vírgula 2 2 4 5 3 3" xfId="10034" xr:uid="{00000000-0005-0000-0000-000026000000}"/>
    <cellStyle name="Vírgula 2 2 4 5 4" xfId="3913" xr:uid="{00000000-0005-0000-0000-000026000000}"/>
    <cellStyle name="Vírgula 2 2 4 5 4 2" xfId="7994" xr:uid="{00000000-0005-0000-0000-000026000000}"/>
    <cellStyle name="Vírgula 2 2 4 5 4 2 2" xfId="16154" xr:uid="{00000000-0005-0000-0000-000026000000}"/>
    <cellStyle name="Vírgula 2 2 4 5 4 3" xfId="12074" xr:uid="{00000000-0005-0000-0000-000026000000}"/>
    <cellStyle name="Vírgula 2 2 4 5 5" xfId="4933" xr:uid="{00000000-0005-0000-0000-000026000000}"/>
    <cellStyle name="Vírgula 2 2 4 5 5 2" xfId="13094" xr:uid="{00000000-0005-0000-0000-000026000000}"/>
    <cellStyle name="Vírgula 2 2 4 5 6" xfId="9014" xr:uid="{00000000-0005-0000-0000-000026000000}"/>
    <cellStyle name="Vírgula 2 2 4 6" xfId="444" xr:uid="{00000000-0005-0000-0000-000026000000}"/>
    <cellStyle name="Vírgula 2 2 4 6 2" xfId="2485" xr:uid="{00000000-0005-0000-0000-000026000000}"/>
    <cellStyle name="Vírgula 2 2 4 6 2 2" xfId="6566" xr:uid="{00000000-0005-0000-0000-000026000000}"/>
    <cellStyle name="Vírgula 2 2 4 6 2 2 2" xfId="14726" xr:uid="{00000000-0005-0000-0000-000026000000}"/>
    <cellStyle name="Vírgula 2 2 4 6 2 3" xfId="10646" xr:uid="{00000000-0005-0000-0000-000026000000}"/>
    <cellStyle name="Vírgula 2 2 4 6 3" xfId="1465" xr:uid="{00000000-0005-0000-0000-000026000000}"/>
    <cellStyle name="Vírgula 2 2 4 6 3 2" xfId="5546" xr:uid="{00000000-0005-0000-0000-000026000000}"/>
    <cellStyle name="Vírgula 2 2 4 6 3 2 2" xfId="13706" xr:uid="{00000000-0005-0000-0000-000026000000}"/>
    <cellStyle name="Vírgula 2 2 4 6 3 3" xfId="9626" xr:uid="{00000000-0005-0000-0000-000026000000}"/>
    <cellStyle name="Vírgula 2 2 4 6 4" xfId="3505" xr:uid="{00000000-0005-0000-0000-000026000000}"/>
    <cellStyle name="Vírgula 2 2 4 6 4 2" xfId="7586" xr:uid="{00000000-0005-0000-0000-000026000000}"/>
    <cellStyle name="Vírgula 2 2 4 6 4 2 2" xfId="15746" xr:uid="{00000000-0005-0000-0000-000026000000}"/>
    <cellStyle name="Vírgula 2 2 4 6 4 3" xfId="11666" xr:uid="{00000000-0005-0000-0000-000026000000}"/>
    <cellStyle name="Vírgula 2 2 4 6 5" xfId="4525" xr:uid="{00000000-0005-0000-0000-000026000000}"/>
    <cellStyle name="Vírgula 2 2 4 6 5 2" xfId="12686" xr:uid="{00000000-0005-0000-0000-000026000000}"/>
    <cellStyle name="Vírgula 2 2 4 6 6" xfId="8606" xr:uid="{00000000-0005-0000-0000-000026000000}"/>
    <cellStyle name="Vírgula 2 2 4 7" xfId="2077" xr:uid="{00000000-0005-0000-0000-000026000000}"/>
    <cellStyle name="Vírgula 2 2 4 7 2" xfId="6158" xr:uid="{00000000-0005-0000-0000-000026000000}"/>
    <cellStyle name="Vírgula 2 2 4 7 2 2" xfId="14318" xr:uid="{00000000-0005-0000-0000-000026000000}"/>
    <cellStyle name="Vírgula 2 2 4 7 3" xfId="10238" xr:uid="{00000000-0005-0000-0000-000026000000}"/>
    <cellStyle name="Vírgula 2 2 4 8" xfId="1057" xr:uid="{00000000-0005-0000-0000-000026000000}"/>
    <cellStyle name="Vírgula 2 2 4 8 2" xfId="5138" xr:uid="{00000000-0005-0000-0000-000026000000}"/>
    <cellStyle name="Vírgula 2 2 4 8 2 2" xfId="13298" xr:uid="{00000000-0005-0000-0000-000026000000}"/>
    <cellStyle name="Vírgula 2 2 4 8 3" xfId="9218" xr:uid="{00000000-0005-0000-0000-000026000000}"/>
    <cellStyle name="Vírgula 2 2 4 9" xfId="3097" xr:uid="{00000000-0005-0000-0000-000026000000}"/>
    <cellStyle name="Vírgula 2 2 4 9 2" xfId="7178" xr:uid="{00000000-0005-0000-0000-000026000000}"/>
    <cellStyle name="Vírgula 2 2 4 9 2 2" xfId="15338" xr:uid="{00000000-0005-0000-0000-000026000000}"/>
    <cellStyle name="Vírgula 2 2 4 9 3" xfId="11258" xr:uid="{00000000-0005-0000-0000-000026000000}"/>
    <cellStyle name="Vírgula 2 2 5" xfId="62" xr:uid="{00000000-0005-0000-0000-000021000000}"/>
    <cellStyle name="Vírgula 2 2 5 10" xfId="8224" xr:uid="{00000000-0005-0000-0000-000021000000}"/>
    <cellStyle name="Vírgula 2 2 5 2" xfId="164" xr:uid="{00000000-0005-0000-0000-000021000000}"/>
    <cellStyle name="Vírgula 2 2 5 2 2" xfId="368" xr:uid="{00000000-0005-0000-0000-000021000000}"/>
    <cellStyle name="Vírgula 2 2 5 2 2 2" xfId="776" xr:uid="{00000000-0005-0000-0000-000021000000}"/>
    <cellStyle name="Vírgula 2 2 5 2 2 2 2" xfId="2817" xr:uid="{00000000-0005-0000-0000-000021000000}"/>
    <cellStyle name="Vírgula 2 2 5 2 2 2 2 2" xfId="6898" xr:uid="{00000000-0005-0000-0000-000021000000}"/>
    <cellStyle name="Vírgula 2 2 5 2 2 2 2 2 2" xfId="15058" xr:uid="{00000000-0005-0000-0000-000021000000}"/>
    <cellStyle name="Vírgula 2 2 5 2 2 2 2 3" xfId="10978" xr:uid="{00000000-0005-0000-0000-000021000000}"/>
    <cellStyle name="Vírgula 2 2 5 2 2 2 3" xfId="1797" xr:uid="{00000000-0005-0000-0000-000021000000}"/>
    <cellStyle name="Vírgula 2 2 5 2 2 2 3 2" xfId="5878" xr:uid="{00000000-0005-0000-0000-000021000000}"/>
    <cellStyle name="Vírgula 2 2 5 2 2 2 3 2 2" xfId="14038" xr:uid="{00000000-0005-0000-0000-000021000000}"/>
    <cellStyle name="Vírgula 2 2 5 2 2 2 3 3" xfId="9958" xr:uid="{00000000-0005-0000-0000-000021000000}"/>
    <cellStyle name="Vírgula 2 2 5 2 2 2 4" xfId="3837" xr:uid="{00000000-0005-0000-0000-000021000000}"/>
    <cellStyle name="Vírgula 2 2 5 2 2 2 4 2" xfId="7918" xr:uid="{00000000-0005-0000-0000-000021000000}"/>
    <cellStyle name="Vírgula 2 2 5 2 2 2 4 2 2" xfId="16078" xr:uid="{00000000-0005-0000-0000-000021000000}"/>
    <cellStyle name="Vírgula 2 2 5 2 2 2 4 3" xfId="11998" xr:uid="{00000000-0005-0000-0000-000021000000}"/>
    <cellStyle name="Vírgula 2 2 5 2 2 2 5" xfId="4857" xr:uid="{00000000-0005-0000-0000-000021000000}"/>
    <cellStyle name="Vírgula 2 2 5 2 2 2 5 2" xfId="13018" xr:uid="{00000000-0005-0000-0000-000021000000}"/>
    <cellStyle name="Vírgula 2 2 5 2 2 2 6" xfId="8938" xr:uid="{00000000-0005-0000-0000-000021000000}"/>
    <cellStyle name="Vírgula 2 2 5 2 2 3" xfId="2409" xr:uid="{00000000-0005-0000-0000-000021000000}"/>
    <cellStyle name="Vírgula 2 2 5 2 2 3 2" xfId="6490" xr:uid="{00000000-0005-0000-0000-000021000000}"/>
    <cellStyle name="Vírgula 2 2 5 2 2 3 2 2" xfId="14650" xr:uid="{00000000-0005-0000-0000-000021000000}"/>
    <cellStyle name="Vírgula 2 2 5 2 2 3 3" xfId="10570" xr:uid="{00000000-0005-0000-0000-000021000000}"/>
    <cellStyle name="Vírgula 2 2 5 2 2 4" xfId="1389" xr:uid="{00000000-0005-0000-0000-000021000000}"/>
    <cellStyle name="Vírgula 2 2 5 2 2 4 2" xfId="5470" xr:uid="{00000000-0005-0000-0000-000021000000}"/>
    <cellStyle name="Vírgula 2 2 5 2 2 4 2 2" xfId="13630" xr:uid="{00000000-0005-0000-0000-000021000000}"/>
    <cellStyle name="Vírgula 2 2 5 2 2 4 3" xfId="9550" xr:uid="{00000000-0005-0000-0000-000021000000}"/>
    <cellStyle name="Vírgula 2 2 5 2 2 5" xfId="3429" xr:uid="{00000000-0005-0000-0000-000021000000}"/>
    <cellStyle name="Vírgula 2 2 5 2 2 5 2" xfId="7510" xr:uid="{00000000-0005-0000-0000-000021000000}"/>
    <cellStyle name="Vírgula 2 2 5 2 2 5 2 2" xfId="15670" xr:uid="{00000000-0005-0000-0000-000021000000}"/>
    <cellStyle name="Vírgula 2 2 5 2 2 5 3" xfId="11590" xr:uid="{00000000-0005-0000-0000-000021000000}"/>
    <cellStyle name="Vírgula 2 2 5 2 2 6" xfId="4449" xr:uid="{00000000-0005-0000-0000-000021000000}"/>
    <cellStyle name="Vírgula 2 2 5 2 2 6 2" xfId="12610" xr:uid="{00000000-0005-0000-0000-000021000000}"/>
    <cellStyle name="Vírgula 2 2 5 2 2 7" xfId="8530" xr:uid="{00000000-0005-0000-0000-000021000000}"/>
    <cellStyle name="Vírgula 2 2 5 2 3" xfId="980" xr:uid="{00000000-0005-0000-0000-000021000000}"/>
    <cellStyle name="Vírgula 2 2 5 2 3 2" xfId="3021" xr:uid="{00000000-0005-0000-0000-000021000000}"/>
    <cellStyle name="Vírgula 2 2 5 2 3 2 2" xfId="7102" xr:uid="{00000000-0005-0000-0000-000021000000}"/>
    <cellStyle name="Vírgula 2 2 5 2 3 2 2 2" xfId="15262" xr:uid="{00000000-0005-0000-0000-000021000000}"/>
    <cellStyle name="Vírgula 2 2 5 2 3 2 3" xfId="11182" xr:uid="{00000000-0005-0000-0000-000021000000}"/>
    <cellStyle name="Vírgula 2 2 5 2 3 3" xfId="2001" xr:uid="{00000000-0005-0000-0000-000021000000}"/>
    <cellStyle name="Vírgula 2 2 5 2 3 3 2" xfId="6082" xr:uid="{00000000-0005-0000-0000-000021000000}"/>
    <cellStyle name="Vírgula 2 2 5 2 3 3 2 2" xfId="14242" xr:uid="{00000000-0005-0000-0000-000021000000}"/>
    <cellStyle name="Vírgula 2 2 5 2 3 3 3" xfId="10162" xr:uid="{00000000-0005-0000-0000-000021000000}"/>
    <cellStyle name="Vírgula 2 2 5 2 3 4" xfId="4041" xr:uid="{00000000-0005-0000-0000-000021000000}"/>
    <cellStyle name="Vírgula 2 2 5 2 3 4 2" xfId="8122" xr:uid="{00000000-0005-0000-0000-000021000000}"/>
    <cellStyle name="Vírgula 2 2 5 2 3 4 2 2" xfId="16282" xr:uid="{00000000-0005-0000-0000-000021000000}"/>
    <cellStyle name="Vírgula 2 2 5 2 3 4 3" xfId="12202" xr:uid="{00000000-0005-0000-0000-000021000000}"/>
    <cellStyle name="Vírgula 2 2 5 2 3 5" xfId="5061" xr:uid="{00000000-0005-0000-0000-000021000000}"/>
    <cellStyle name="Vírgula 2 2 5 2 3 5 2" xfId="13222" xr:uid="{00000000-0005-0000-0000-000021000000}"/>
    <cellStyle name="Vírgula 2 2 5 2 3 6" xfId="9142" xr:uid="{00000000-0005-0000-0000-000021000000}"/>
    <cellStyle name="Vírgula 2 2 5 2 4" xfId="572" xr:uid="{00000000-0005-0000-0000-000021000000}"/>
    <cellStyle name="Vírgula 2 2 5 2 4 2" xfId="2613" xr:uid="{00000000-0005-0000-0000-000021000000}"/>
    <cellStyle name="Vírgula 2 2 5 2 4 2 2" xfId="6694" xr:uid="{00000000-0005-0000-0000-000021000000}"/>
    <cellStyle name="Vírgula 2 2 5 2 4 2 2 2" xfId="14854" xr:uid="{00000000-0005-0000-0000-000021000000}"/>
    <cellStyle name="Vírgula 2 2 5 2 4 2 3" xfId="10774" xr:uid="{00000000-0005-0000-0000-000021000000}"/>
    <cellStyle name="Vírgula 2 2 5 2 4 3" xfId="1593" xr:uid="{00000000-0005-0000-0000-000021000000}"/>
    <cellStyle name="Vírgula 2 2 5 2 4 3 2" xfId="5674" xr:uid="{00000000-0005-0000-0000-000021000000}"/>
    <cellStyle name="Vírgula 2 2 5 2 4 3 2 2" xfId="13834" xr:uid="{00000000-0005-0000-0000-000021000000}"/>
    <cellStyle name="Vírgula 2 2 5 2 4 3 3" xfId="9754" xr:uid="{00000000-0005-0000-0000-000021000000}"/>
    <cellStyle name="Vírgula 2 2 5 2 4 4" xfId="3633" xr:uid="{00000000-0005-0000-0000-000021000000}"/>
    <cellStyle name="Vírgula 2 2 5 2 4 4 2" xfId="7714" xr:uid="{00000000-0005-0000-0000-000021000000}"/>
    <cellStyle name="Vírgula 2 2 5 2 4 4 2 2" xfId="15874" xr:uid="{00000000-0005-0000-0000-000021000000}"/>
    <cellStyle name="Vírgula 2 2 5 2 4 4 3" xfId="11794" xr:uid="{00000000-0005-0000-0000-000021000000}"/>
    <cellStyle name="Vírgula 2 2 5 2 4 5" xfId="4653" xr:uid="{00000000-0005-0000-0000-000021000000}"/>
    <cellStyle name="Vírgula 2 2 5 2 4 5 2" xfId="12814" xr:uid="{00000000-0005-0000-0000-000021000000}"/>
    <cellStyle name="Vírgula 2 2 5 2 4 6" xfId="8734" xr:uid="{00000000-0005-0000-0000-000021000000}"/>
    <cellStyle name="Vírgula 2 2 5 2 5" xfId="2205" xr:uid="{00000000-0005-0000-0000-000021000000}"/>
    <cellStyle name="Vírgula 2 2 5 2 5 2" xfId="6286" xr:uid="{00000000-0005-0000-0000-000021000000}"/>
    <cellStyle name="Vírgula 2 2 5 2 5 2 2" xfId="14446" xr:uid="{00000000-0005-0000-0000-000021000000}"/>
    <cellStyle name="Vírgula 2 2 5 2 5 3" xfId="10366" xr:uid="{00000000-0005-0000-0000-000021000000}"/>
    <cellStyle name="Vírgula 2 2 5 2 6" xfId="1185" xr:uid="{00000000-0005-0000-0000-000021000000}"/>
    <cellStyle name="Vírgula 2 2 5 2 6 2" xfId="5266" xr:uid="{00000000-0005-0000-0000-000021000000}"/>
    <cellStyle name="Vírgula 2 2 5 2 6 2 2" xfId="13426" xr:uid="{00000000-0005-0000-0000-000021000000}"/>
    <cellStyle name="Vírgula 2 2 5 2 6 3" xfId="9346" xr:uid="{00000000-0005-0000-0000-000021000000}"/>
    <cellStyle name="Vírgula 2 2 5 2 7" xfId="3225" xr:uid="{00000000-0005-0000-0000-000021000000}"/>
    <cellStyle name="Vírgula 2 2 5 2 7 2" xfId="7306" xr:uid="{00000000-0005-0000-0000-000021000000}"/>
    <cellStyle name="Vírgula 2 2 5 2 7 2 2" xfId="15466" xr:uid="{00000000-0005-0000-0000-000021000000}"/>
    <cellStyle name="Vírgula 2 2 5 2 7 3" xfId="11386" xr:uid="{00000000-0005-0000-0000-000021000000}"/>
    <cellStyle name="Vírgula 2 2 5 2 8" xfId="4245" xr:uid="{00000000-0005-0000-0000-000021000000}"/>
    <cellStyle name="Vírgula 2 2 5 2 8 2" xfId="12406" xr:uid="{00000000-0005-0000-0000-000021000000}"/>
    <cellStyle name="Vírgula 2 2 5 2 9" xfId="8326" xr:uid="{00000000-0005-0000-0000-000021000000}"/>
    <cellStyle name="Vírgula 2 2 5 3" xfId="266" xr:uid="{00000000-0005-0000-0000-000021000000}"/>
    <cellStyle name="Vírgula 2 2 5 3 2" xfId="674" xr:uid="{00000000-0005-0000-0000-000021000000}"/>
    <cellStyle name="Vírgula 2 2 5 3 2 2" xfId="2715" xr:uid="{00000000-0005-0000-0000-000021000000}"/>
    <cellStyle name="Vírgula 2 2 5 3 2 2 2" xfId="6796" xr:uid="{00000000-0005-0000-0000-000021000000}"/>
    <cellStyle name="Vírgula 2 2 5 3 2 2 2 2" xfId="14956" xr:uid="{00000000-0005-0000-0000-000021000000}"/>
    <cellStyle name="Vírgula 2 2 5 3 2 2 3" xfId="10876" xr:uid="{00000000-0005-0000-0000-000021000000}"/>
    <cellStyle name="Vírgula 2 2 5 3 2 3" xfId="1695" xr:uid="{00000000-0005-0000-0000-000021000000}"/>
    <cellStyle name="Vírgula 2 2 5 3 2 3 2" xfId="5776" xr:uid="{00000000-0005-0000-0000-000021000000}"/>
    <cellStyle name="Vírgula 2 2 5 3 2 3 2 2" xfId="13936" xr:uid="{00000000-0005-0000-0000-000021000000}"/>
    <cellStyle name="Vírgula 2 2 5 3 2 3 3" xfId="9856" xr:uid="{00000000-0005-0000-0000-000021000000}"/>
    <cellStyle name="Vírgula 2 2 5 3 2 4" xfId="3735" xr:uid="{00000000-0005-0000-0000-000021000000}"/>
    <cellStyle name="Vírgula 2 2 5 3 2 4 2" xfId="7816" xr:uid="{00000000-0005-0000-0000-000021000000}"/>
    <cellStyle name="Vírgula 2 2 5 3 2 4 2 2" xfId="15976" xr:uid="{00000000-0005-0000-0000-000021000000}"/>
    <cellStyle name="Vírgula 2 2 5 3 2 4 3" xfId="11896" xr:uid="{00000000-0005-0000-0000-000021000000}"/>
    <cellStyle name="Vírgula 2 2 5 3 2 5" xfId="4755" xr:uid="{00000000-0005-0000-0000-000021000000}"/>
    <cellStyle name="Vírgula 2 2 5 3 2 5 2" xfId="12916" xr:uid="{00000000-0005-0000-0000-000021000000}"/>
    <cellStyle name="Vírgula 2 2 5 3 2 6" xfId="8836" xr:uid="{00000000-0005-0000-0000-000021000000}"/>
    <cellStyle name="Vírgula 2 2 5 3 3" xfId="2307" xr:uid="{00000000-0005-0000-0000-000021000000}"/>
    <cellStyle name="Vírgula 2 2 5 3 3 2" xfId="6388" xr:uid="{00000000-0005-0000-0000-000021000000}"/>
    <cellStyle name="Vírgula 2 2 5 3 3 2 2" xfId="14548" xr:uid="{00000000-0005-0000-0000-000021000000}"/>
    <cellStyle name="Vírgula 2 2 5 3 3 3" xfId="10468" xr:uid="{00000000-0005-0000-0000-000021000000}"/>
    <cellStyle name="Vírgula 2 2 5 3 4" xfId="1287" xr:uid="{00000000-0005-0000-0000-000021000000}"/>
    <cellStyle name="Vírgula 2 2 5 3 4 2" xfId="5368" xr:uid="{00000000-0005-0000-0000-000021000000}"/>
    <cellStyle name="Vírgula 2 2 5 3 4 2 2" xfId="13528" xr:uid="{00000000-0005-0000-0000-000021000000}"/>
    <cellStyle name="Vírgula 2 2 5 3 4 3" xfId="9448" xr:uid="{00000000-0005-0000-0000-000021000000}"/>
    <cellStyle name="Vírgula 2 2 5 3 5" xfId="3327" xr:uid="{00000000-0005-0000-0000-000021000000}"/>
    <cellStyle name="Vírgula 2 2 5 3 5 2" xfId="7408" xr:uid="{00000000-0005-0000-0000-000021000000}"/>
    <cellStyle name="Vírgula 2 2 5 3 5 2 2" xfId="15568" xr:uid="{00000000-0005-0000-0000-000021000000}"/>
    <cellStyle name="Vírgula 2 2 5 3 5 3" xfId="11488" xr:uid="{00000000-0005-0000-0000-000021000000}"/>
    <cellStyle name="Vírgula 2 2 5 3 6" xfId="4347" xr:uid="{00000000-0005-0000-0000-000021000000}"/>
    <cellStyle name="Vírgula 2 2 5 3 6 2" xfId="12508" xr:uid="{00000000-0005-0000-0000-000021000000}"/>
    <cellStyle name="Vírgula 2 2 5 3 7" xfId="8428" xr:uid="{00000000-0005-0000-0000-000021000000}"/>
    <cellStyle name="Vírgula 2 2 5 4" xfId="878" xr:uid="{00000000-0005-0000-0000-000021000000}"/>
    <cellStyle name="Vírgula 2 2 5 4 2" xfId="2919" xr:uid="{00000000-0005-0000-0000-000021000000}"/>
    <cellStyle name="Vírgula 2 2 5 4 2 2" xfId="7000" xr:uid="{00000000-0005-0000-0000-000021000000}"/>
    <cellStyle name="Vírgula 2 2 5 4 2 2 2" xfId="15160" xr:uid="{00000000-0005-0000-0000-000021000000}"/>
    <cellStyle name="Vírgula 2 2 5 4 2 3" xfId="11080" xr:uid="{00000000-0005-0000-0000-000021000000}"/>
    <cellStyle name="Vírgula 2 2 5 4 3" xfId="1899" xr:uid="{00000000-0005-0000-0000-000021000000}"/>
    <cellStyle name="Vírgula 2 2 5 4 3 2" xfId="5980" xr:uid="{00000000-0005-0000-0000-000021000000}"/>
    <cellStyle name="Vírgula 2 2 5 4 3 2 2" xfId="14140" xr:uid="{00000000-0005-0000-0000-000021000000}"/>
    <cellStyle name="Vírgula 2 2 5 4 3 3" xfId="10060" xr:uid="{00000000-0005-0000-0000-000021000000}"/>
    <cellStyle name="Vírgula 2 2 5 4 4" xfId="3939" xr:uid="{00000000-0005-0000-0000-000021000000}"/>
    <cellStyle name="Vírgula 2 2 5 4 4 2" xfId="8020" xr:uid="{00000000-0005-0000-0000-000021000000}"/>
    <cellStyle name="Vírgula 2 2 5 4 4 2 2" xfId="16180" xr:uid="{00000000-0005-0000-0000-000021000000}"/>
    <cellStyle name="Vírgula 2 2 5 4 4 3" xfId="12100" xr:uid="{00000000-0005-0000-0000-000021000000}"/>
    <cellStyle name="Vírgula 2 2 5 4 5" xfId="4959" xr:uid="{00000000-0005-0000-0000-000021000000}"/>
    <cellStyle name="Vírgula 2 2 5 4 5 2" xfId="13120" xr:uid="{00000000-0005-0000-0000-000021000000}"/>
    <cellStyle name="Vírgula 2 2 5 4 6" xfId="9040" xr:uid="{00000000-0005-0000-0000-000021000000}"/>
    <cellStyle name="Vírgula 2 2 5 5" xfId="470" xr:uid="{00000000-0005-0000-0000-000021000000}"/>
    <cellStyle name="Vírgula 2 2 5 5 2" xfId="2511" xr:uid="{00000000-0005-0000-0000-000021000000}"/>
    <cellStyle name="Vírgula 2 2 5 5 2 2" xfId="6592" xr:uid="{00000000-0005-0000-0000-000021000000}"/>
    <cellStyle name="Vírgula 2 2 5 5 2 2 2" xfId="14752" xr:uid="{00000000-0005-0000-0000-000021000000}"/>
    <cellStyle name="Vírgula 2 2 5 5 2 3" xfId="10672" xr:uid="{00000000-0005-0000-0000-000021000000}"/>
    <cellStyle name="Vírgula 2 2 5 5 3" xfId="1491" xr:uid="{00000000-0005-0000-0000-000021000000}"/>
    <cellStyle name="Vírgula 2 2 5 5 3 2" xfId="5572" xr:uid="{00000000-0005-0000-0000-000021000000}"/>
    <cellStyle name="Vírgula 2 2 5 5 3 2 2" xfId="13732" xr:uid="{00000000-0005-0000-0000-000021000000}"/>
    <cellStyle name="Vírgula 2 2 5 5 3 3" xfId="9652" xr:uid="{00000000-0005-0000-0000-000021000000}"/>
    <cellStyle name="Vírgula 2 2 5 5 4" xfId="3531" xr:uid="{00000000-0005-0000-0000-000021000000}"/>
    <cellStyle name="Vírgula 2 2 5 5 4 2" xfId="7612" xr:uid="{00000000-0005-0000-0000-000021000000}"/>
    <cellStyle name="Vírgula 2 2 5 5 4 2 2" xfId="15772" xr:uid="{00000000-0005-0000-0000-000021000000}"/>
    <cellStyle name="Vírgula 2 2 5 5 4 3" xfId="11692" xr:uid="{00000000-0005-0000-0000-000021000000}"/>
    <cellStyle name="Vírgula 2 2 5 5 5" xfId="4551" xr:uid="{00000000-0005-0000-0000-000021000000}"/>
    <cellStyle name="Vírgula 2 2 5 5 5 2" xfId="12712" xr:uid="{00000000-0005-0000-0000-000021000000}"/>
    <cellStyle name="Vírgula 2 2 5 5 6" xfId="8632" xr:uid="{00000000-0005-0000-0000-000021000000}"/>
    <cellStyle name="Vírgula 2 2 5 6" xfId="2103" xr:uid="{00000000-0005-0000-0000-000021000000}"/>
    <cellStyle name="Vírgula 2 2 5 6 2" xfId="6184" xr:uid="{00000000-0005-0000-0000-000021000000}"/>
    <cellStyle name="Vírgula 2 2 5 6 2 2" xfId="14344" xr:uid="{00000000-0005-0000-0000-000021000000}"/>
    <cellStyle name="Vírgula 2 2 5 6 3" xfId="10264" xr:uid="{00000000-0005-0000-0000-000021000000}"/>
    <cellStyle name="Vírgula 2 2 5 7" xfId="1083" xr:uid="{00000000-0005-0000-0000-000021000000}"/>
    <cellStyle name="Vírgula 2 2 5 7 2" xfId="5164" xr:uid="{00000000-0005-0000-0000-000021000000}"/>
    <cellStyle name="Vírgula 2 2 5 7 2 2" xfId="13324" xr:uid="{00000000-0005-0000-0000-000021000000}"/>
    <cellStyle name="Vírgula 2 2 5 7 3" xfId="9244" xr:uid="{00000000-0005-0000-0000-000021000000}"/>
    <cellStyle name="Vírgula 2 2 5 8" xfId="3123" xr:uid="{00000000-0005-0000-0000-000021000000}"/>
    <cellStyle name="Vírgula 2 2 5 8 2" xfId="7204" xr:uid="{00000000-0005-0000-0000-000021000000}"/>
    <cellStyle name="Vírgula 2 2 5 8 2 2" xfId="15364" xr:uid="{00000000-0005-0000-0000-000021000000}"/>
    <cellStyle name="Vírgula 2 2 5 8 3" xfId="11284" xr:uid="{00000000-0005-0000-0000-000021000000}"/>
    <cellStyle name="Vírgula 2 2 5 9" xfId="4143" xr:uid="{00000000-0005-0000-0000-000021000000}"/>
    <cellStyle name="Vírgula 2 2 5 9 2" xfId="12304" xr:uid="{00000000-0005-0000-0000-000021000000}"/>
    <cellStyle name="Vírgula 2 2 6" xfId="113" xr:uid="{00000000-0005-0000-0000-000021000000}"/>
    <cellStyle name="Vírgula 2 2 6 2" xfId="317" xr:uid="{00000000-0005-0000-0000-000021000000}"/>
    <cellStyle name="Vírgula 2 2 6 2 2" xfId="725" xr:uid="{00000000-0005-0000-0000-000021000000}"/>
    <cellStyle name="Vírgula 2 2 6 2 2 2" xfId="2766" xr:uid="{00000000-0005-0000-0000-000021000000}"/>
    <cellStyle name="Vírgula 2 2 6 2 2 2 2" xfId="6847" xr:uid="{00000000-0005-0000-0000-000021000000}"/>
    <cellStyle name="Vírgula 2 2 6 2 2 2 2 2" xfId="15007" xr:uid="{00000000-0005-0000-0000-000021000000}"/>
    <cellStyle name="Vírgula 2 2 6 2 2 2 3" xfId="10927" xr:uid="{00000000-0005-0000-0000-000021000000}"/>
    <cellStyle name="Vírgula 2 2 6 2 2 3" xfId="1746" xr:uid="{00000000-0005-0000-0000-000021000000}"/>
    <cellStyle name="Vírgula 2 2 6 2 2 3 2" xfId="5827" xr:uid="{00000000-0005-0000-0000-000021000000}"/>
    <cellStyle name="Vírgula 2 2 6 2 2 3 2 2" xfId="13987" xr:uid="{00000000-0005-0000-0000-000021000000}"/>
    <cellStyle name="Vírgula 2 2 6 2 2 3 3" xfId="9907" xr:uid="{00000000-0005-0000-0000-000021000000}"/>
    <cellStyle name="Vírgula 2 2 6 2 2 4" xfId="3786" xr:uid="{00000000-0005-0000-0000-000021000000}"/>
    <cellStyle name="Vírgula 2 2 6 2 2 4 2" xfId="7867" xr:uid="{00000000-0005-0000-0000-000021000000}"/>
    <cellStyle name="Vírgula 2 2 6 2 2 4 2 2" xfId="16027" xr:uid="{00000000-0005-0000-0000-000021000000}"/>
    <cellStyle name="Vírgula 2 2 6 2 2 4 3" xfId="11947" xr:uid="{00000000-0005-0000-0000-000021000000}"/>
    <cellStyle name="Vírgula 2 2 6 2 2 5" xfId="4806" xr:uid="{00000000-0005-0000-0000-000021000000}"/>
    <cellStyle name="Vírgula 2 2 6 2 2 5 2" xfId="12967" xr:uid="{00000000-0005-0000-0000-000021000000}"/>
    <cellStyle name="Vírgula 2 2 6 2 2 6" xfId="8887" xr:uid="{00000000-0005-0000-0000-000021000000}"/>
    <cellStyle name="Vírgula 2 2 6 2 3" xfId="2358" xr:uid="{00000000-0005-0000-0000-000021000000}"/>
    <cellStyle name="Vírgula 2 2 6 2 3 2" xfId="6439" xr:uid="{00000000-0005-0000-0000-000021000000}"/>
    <cellStyle name="Vírgula 2 2 6 2 3 2 2" xfId="14599" xr:uid="{00000000-0005-0000-0000-000021000000}"/>
    <cellStyle name="Vírgula 2 2 6 2 3 3" xfId="10519" xr:uid="{00000000-0005-0000-0000-000021000000}"/>
    <cellStyle name="Vírgula 2 2 6 2 4" xfId="1338" xr:uid="{00000000-0005-0000-0000-000021000000}"/>
    <cellStyle name="Vírgula 2 2 6 2 4 2" xfId="5419" xr:uid="{00000000-0005-0000-0000-000021000000}"/>
    <cellStyle name="Vírgula 2 2 6 2 4 2 2" xfId="13579" xr:uid="{00000000-0005-0000-0000-000021000000}"/>
    <cellStyle name="Vírgula 2 2 6 2 4 3" xfId="9499" xr:uid="{00000000-0005-0000-0000-000021000000}"/>
    <cellStyle name="Vírgula 2 2 6 2 5" xfId="3378" xr:uid="{00000000-0005-0000-0000-000021000000}"/>
    <cellStyle name="Vírgula 2 2 6 2 5 2" xfId="7459" xr:uid="{00000000-0005-0000-0000-000021000000}"/>
    <cellStyle name="Vírgula 2 2 6 2 5 2 2" xfId="15619" xr:uid="{00000000-0005-0000-0000-000021000000}"/>
    <cellStyle name="Vírgula 2 2 6 2 5 3" xfId="11539" xr:uid="{00000000-0005-0000-0000-000021000000}"/>
    <cellStyle name="Vírgula 2 2 6 2 6" xfId="4398" xr:uid="{00000000-0005-0000-0000-000021000000}"/>
    <cellStyle name="Vírgula 2 2 6 2 6 2" xfId="12559" xr:uid="{00000000-0005-0000-0000-000021000000}"/>
    <cellStyle name="Vírgula 2 2 6 2 7" xfId="8479" xr:uid="{00000000-0005-0000-0000-000021000000}"/>
    <cellStyle name="Vírgula 2 2 6 3" xfId="929" xr:uid="{00000000-0005-0000-0000-000021000000}"/>
    <cellStyle name="Vírgula 2 2 6 3 2" xfId="2970" xr:uid="{00000000-0005-0000-0000-000021000000}"/>
    <cellStyle name="Vírgula 2 2 6 3 2 2" xfId="7051" xr:uid="{00000000-0005-0000-0000-000021000000}"/>
    <cellStyle name="Vírgula 2 2 6 3 2 2 2" xfId="15211" xr:uid="{00000000-0005-0000-0000-000021000000}"/>
    <cellStyle name="Vírgula 2 2 6 3 2 3" xfId="11131" xr:uid="{00000000-0005-0000-0000-000021000000}"/>
    <cellStyle name="Vírgula 2 2 6 3 3" xfId="1950" xr:uid="{00000000-0005-0000-0000-000021000000}"/>
    <cellStyle name="Vírgula 2 2 6 3 3 2" xfId="6031" xr:uid="{00000000-0005-0000-0000-000021000000}"/>
    <cellStyle name="Vírgula 2 2 6 3 3 2 2" xfId="14191" xr:uid="{00000000-0005-0000-0000-000021000000}"/>
    <cellStyle name="Vírgula 2 2 6 3 3 3" xfId="10111" xr:uid="{00000000-0005-0000-0000-000021000000}"/>
    <cellStyle name="Vírgula 2 2 6 3 4" xfId="3990" xr:uid="{00000000-0005-0000-0000-000021000000}"/>
    <cellStyle name="Vírgula 2 2 6 3 4 2" xfId="8071" xr:uid="{00000000-0005-0000-0000-000021000000}"/>
    <cellStyle name="Vírgula 2 2 6 3 4 2 2" xfId="16231" xr:uid="{00000000-0005-0000-0000-000021000000}"/>
    <cellStyle name="Vírgula 2 2 6 3 4 3" xfId="12151" xr:uid="{00000000-0005-0000-0000-000021000000}"/>
    <cellStyle name="Vírgula 2 2 6 3 5" xfId="5010" xr:uid="{00000000-0005-0000-0000-000021000000}"/>
    <cellStyle name="Vírgula 2 2 6 3 5 2" xfId="13171" xr:uid="{00000000-0005-0000-0000-000021000000}"/>
    <cellStyle name="Vírgula 2 2 6 3 6" xfId="9091" xr:uid="{00000000-0005-0000-0000-000021000000}"/>
    <cellStyle name="Vírgula 2 2 6 4" xfId="521" xr:uid="{00000000-0005-0000-0000-000021000000}"/>
    <cellStyle name="Vírgula 2 2 6 4 2" xfId="2562" xr:uid="{00000000-0005-0000-0000-000021000000}"/>
    <cellStyle name="Vírgula 2 2 6 4 2 2" xfId="6643" xr:uid="{00000000-0005-0000-0000-000021000000}"/>
    <cellStyle name="Vírgula 2 2 6 4 2 2 2" xfId="14803" xr:uid="{00000000-0005-0000-0000-000021000000}"/>
    <cellStyle name="Vírgula 2 2 6 4 2 3" xfId="10723" xr:uid="{00000000-0005-0000-0000-000021000000}"/>
    <cellStyle name="Vírgula 2 2 6 4 3" xfId="1542" xr:uid="{00000000-0005-0000-0000-000021000000}"/>
    <cellStyle name="Vírgula 2 2 6 4 3 2" xfId="5623" xr:uid="{00000000-0005-0000-0000-000021000000}"/>
    <cellStyle name="Vírgula 2 2 6 4 3 2 2" xfId="13783" xr:uid="{00000000-0005-0000-0000-000021000000}"/>
    <cellStyle name="Vírgula 2 2 6 4 3 3" xfId="9703" xr:uid="{00000000-0005-0000-0000-000021000000}"/>
    <cellStyle name="Vírgula 2 2 6 4 4" xfId="3582" xr:uid="{00000000-0005-0000-0000-000021000000}"/>
    <cellStyle name="Vírgula 2 2 6 4 4 2" xfId="7663" xr:uid="{00000000-0005-0000-0000-000021000000}"/>
    <cellStyle name="Vírgula 2 2 6 4 4 2 2" xfId="15823" xr:uid="{00000000-0005-0000-0000-000021000000}"/>
    <cellStyle name="Vírgula 2 2 6 4 4 3" xfId="11743" xr:uid="{00000000-0005-0000-0000-000021000000}"/>
    <cellStyle name="Vírgula 2 2 6 4 5" xfId="4602" xr:uid="{00000000-0005-0000-0000-000021000000}"/>
    <cellStyle name="Vírgula 2 2 6 4 5 2" xfId="12763" xr:uid="{00000000-0005-0000-0000-000021000000}"/>
    <cellStyle name="Vírgula 2 2 6 4 6" xfId="8683" xr:uid="{00000000-0005-0000-0000-000021000000}"/>
    <cellStyle name="Vírgula 2 2 6 5" xfId="2154" xr:uid="{00000000-0005-0000-0000-000021000000}"/>
    <cellStyle name="Vírgula 2 2 6 5 2" xfId="6235" xr:uid="{00000000-0005-0000-0000-000021000000}"/>
    <cellStyle name="Vírgula 2 2 6 5 2 2" xfId="14395" xr:uid="{00000000-0005-0000-0000-000021000000}"/>
    <cellStyle name="Vírgula 2 2 6 5 3" xfId="10315" xr:uid="{00000000-0005-0000-0000-000021000000}"/>
    <cellStyle name="Vírgula 2 2 6 6" xfId="1134" xr:uid="{00000000-0005-0000-0000-000021000000}"/>
    <cellStyle name="Vírgula 2 2 6 6 2" xfId="5215" xr:uid="{00000000-0005-0000-0000-000021000000}"/>
    <cellStyle name="Vírgula 2 2 6 6 2 2" xfId="13375" xr:uid="{00000000-0005-0000-0000-000021000000}"/>
    <cellStyle name="Vírgula 2 2 6 6 3" xfId="9295" xr:uid="{00000000-0005-0000-0000-000021000000}"/>
    <cellStyle name="Vírgula 2 2 6 7" xfId="3174" xr:uid="{00000000-0005-0000-0000-000021000000}"/>
    <cellStyle name="Vírgula 2 2 6 7 2" xfId="7255" xr:uid="{00000000-0005-0000-0000-000021000000}"/>
    <cellStyle name="Vírgula 2 2 6 7 2 2" xfId="15415" xr:uid="{00000000-0005-0000-0000-000021000000}"/>
    <cellStyle name="Vírgula 2 2 6 7 3" xfId="11335" xr:uid="{00000000-0005-0000-0000-000021000000}"/>
    <cellStyle name="Vírgula 2 2 6 8" xfId="4194" xr:uid="{00000000-0005-0000-0000-000021000000}"/>
    <cellStyle name="Vírgula 2 2 6 8 2" xfId="12355" xr:uid="{00000000-0005-0000-0000-000021000000}"/>
    <cellStyle name="Vírgula 2 2 6 9" xfId="8275" xr:uid="{00000000-0005-0000-0000-000021000000}"/>
    <cellStyle name="Vírgula 2 2 7" xfId="215" xr:uid="{00000000-0005-0000-0000-000021000000}"/>
    <cellStyle name="Vírgula 2 2 7 2" xfId="623" xr:uid="{00000000-0005-0000-0000-000021000000}"/>
    <cellStyle name="Vírgula 2 2 7 2 2" xfId="2664" xr:uid="{00000000-0005-0000-0000-000021000000}"/>
    <cellStyle name="Vírgula 2 2 7 2 2 2" xfId="6745" xr:uid="{00000000-0005-0000-0000-000021000000}"/>
    <cellStyle name="Vírgula 2 2 7 2 2 2 2" xfId="14905" xr:uid="{00000000-0005-0000-0000-000021000000}"/>
    <cellStyle name="Vírgula 2 2 7 2 2 3" xfId="10825" xr:uid="{00000000-0005-0000-0000-000021000000}"/>
    <cellStyle name="Vírgula 2 2 7 2 3" xfId="1644" xr:uid="{00000000-0005-0000-0000-000021000000}"/>
    <cellStyle name="Vírgula 2 2 7 2 3 2" xfId="5725" xr:uid="{00000000-0005-0000-0000-000021000000}"/>
    <cellStyle name="Vírgula 2 2 7 2 3 2 2" xfId="13885" xr:uid="{00000000-0005-0000-0000-000021000000}"/>
    <cellStyle name="Vírgula 2 2 7 2 3 3" xfId="9805" xr:uid="{00000000-0005-0000-0000-000021000000}"/>
    <cellStyle name="Vírgula 2 2 7 2 4" xfId="3684" xr:uid="{00000000-0005-0000-0000-000021000000}"/>
    <cellStyle name="Vírgula 2 2 7 2 4 2" xfId="7765" xr:uid="{00000000-0005-0000-0000-000021000000}"/>
    <cellStyle name="Vírgula 2 2 7 2 4 2 2" xfId="15925" xr:uid="{00000000-0005-0000-0000-000021000000}"/>
    <cellStyle name="Vírgula 2 2 7 2 4 3" xfId="11845" xr:uid="{00000000-0005-0000-0000-000021000000}"/>
    <cellStyle name="Vírgula 2 2 7 2 5" xfId="4704" xr:uid="{00000000-0005-0000-0000-000021000000}"/>
    <cellStyle name="Vírgula 2 2 7 2 5 2" xfId="12865" xr:uid="{00000000-0005-0000-0000-000021000000}"/>
    <cellStyle name="Vírgula 2 2 7 2 6" xfId="8785" xr:uid="{00000000-0005-0000-0000-000021000000}"/>
    <cellStyle name="Vírgula 2 2 7 3" xfId="2256" xr:uid="{00000000-0005-0000-0000-000021000000}"/>
    <cellStyle name="Vírgula 2 2 7 3 2" xfId="6337" xr:uid="{00000000-0005-0000-0000-000021000000}"/>
    <cellStyle name="Vírgula 2 2 7 3 2 2" xfId="14497" xr:uid="{00000000-0005-0000-0000-000021000000}"/>
    <cellStyle name="Vírgula 2 2 7 3 3" xfId="10417" xr:uid="{00000000-0005-0000-0000-000021000000}"/>
    <cellStyle name="Vírgula 2 2 7 4" xfId="1236" xr:uid="{00000000-0005-0000-0000-000021000000}"/>
    <cellStyle name="Vírgula 2 2 7 4 2" xfId="5317" xr:uid="{00000000-0005-0000-0000-000021000000}"/>
    <cellStyle name="Vírgula 2 2 7 4 2 2" xfId="13477" xr:uid="{00000000-0005-0000-0000-000021000000}"/>
    <cellStyle name="Vírgula 2 2 7 4 3" xfId="9397" xr:uid="{00000000-0005-0000-0000-000021000000}"/>
    <cellStyle name="Vírgula 2 2 7 5" xfId="3276" xr:uid="{00000000-0005-0000-0000-000021000000}"/>
    <cellStyle name="Vírgula 2 2 7 5 2" xfId="7357" xr:uid="{00000000-0005-0000-0000-000021000000}"/>
    <cellStyle name="Vírgula 2 2 7 5 2 2" xfId="15517" xr:uid="{00000000-0005-0000-0000-000021000000}"/>
    <cellStyle name="Vírgula 2 2 7 5 3" xfId="11437" xr:uid="{00000000-0005-0000-0000-000021000000}"/>
    <cellStyle name="Vírgula 2 2 7 6" xfId="4296" xr:uid="{00000000-0005-0000-0000-000021000000}"/>
    <cellStyle name="Vírgula 2 2 7 6 2" xfId="12457" xr:uid="{00000000-0005-0000-0000-000021000000}"/>
    <cellStyle name="Vírgula 2 2 7 7" xfId="8377" xr:uid="{00000000-0005-0000-0000-000021000000}"/>
    <cellStyle name="Vírgula 2 2 8" xfId="827" xr:uid="{00000000-0005-0000-0000-000021000000}"/>
    <cellStyle name="Vírgula 2 2 8 2" xfId="2868" xr:uid="{00000000-0005-0000-0000-000021000000}"/>
    <cellStyle name="Vírgula 2 2 8 2 2" xfId="6949" xr:uid="{00000000-0005-0000-0000-000021000000}"/>
    <cellStyle name="Vírgula 2 2 8 2 2 2" xfId="15109" xr:uid="{00000000-0005-0000-0000-000021000000}"/>
    <cellStyle name="Vírgula 2 2 8 2 3" xfId="11029" xr:uid="{00000000-0005-0000-0000-000021000000}"/>
    <cellStyle name="Vírgula 2 2 8 3" xfId="1848" xr:uid="{00000000-0005-0000-0000-000021000000}"/>
    <cellStyle name="Vírgula 2 2 8 3 2" xfId="5929" xr:uid="{00000000-0005-0000-0000-000021000000}"/>
    <cellStyle name="Vírgula 2 2 8 3 2 2" xfId="14089" xr:uid="{00000000-0005-0000-0000-000021000000}"/>
    <cellStyle name="Vírgula 2 2 8 3 3" xfId="10009" xr:uid="{00000000-0005-0000-0000-000021000000}"/>
    <cellStyle name="Vírgula 2 2 8 4" xfId="3888" xr:uid="{00000000-0005-0000-0000-000021000000}"/>
    <cellStyle name="Vírgula 2 2 8 4 2" xfId="7969" xr:uid="{00000000-0005-0000-0000-000021000000}"/>
    <cellStyle name="Vírgula 2 2 8 4 2 2" xfId="16129" xr:uid="{00000000-0005-0000-0000-000021000000}"/>
    <cellStyle name="Vírgula 2 2 8 4 3" xfId="12049" xr:uid="{00000000-0005-0000-0000-000021000000}"/>
    <cellStyle name="Vírgula 2 2 8 5" xfId="4908" xr:uid="{00000000-0005-0000-0000-000021000000}"/>
    <cellStyle name="Vírgula 2 2 8 5 2" xfId="13069" xr:uid="{00000000-0005-0000-0000-000021000000}"/>
    <cellStyle name="Vírgula 2 2 8 6" xfId="8989" xr:uid="{00000000-0005-0000-0000-000021000000}"/>
    <cellStyle name="Vírgula 2 2 9" xfId="419" xr:uid="{00000000-0005-0000-0000-000021000000}"/>
    <cellStyle name="Vírgula 2 2 9 2" xfId="2460" xr:uid="{00000000-0005-0000-0000-000021000000}"/>
    <cellStyle name="Vírgula 2 2 9 2 2" xfId="6541" xr:uid="{00000000-0005-0000-0000-000021000000}"/>
    <cellStyle name="Vírgula 2 2 9 2 2 2" xfId="14701" xr:uid="{00000000-0005-0000-0000-000021000000}"/>
    <cellStyle name="Vírgula 2 2 9 2 3" xfId="10621" xr:uid="{00000000-0005-0000-0000-000021000000}"/>
    <cellStyle name="Vírgula 2 2 9 3" xfId="1440" xr:uid="{00000000-0005-0000-0000-000021000000}"/>
    <cellStyle name="Vírgula 2 2 9 3 2" xfId="5521" xr:uid="{00000000-0005-0000-0000-000021000000}"/>
    <cellStyle name="Vírgula 2 2 9 3 2 2" xfId="13681" xr:uid="{00000000-0005-0000-0000-000021000000}"/>
    <cellStyle name="Vírgula 2 2 9 3 3" xfId="9601" xr:uid="{00000000-0005-0000-0000-000021000000}"/>
    <cellStyle name="Vírgula 2 2 9 4" xfId="3480" xr:uid="{00000000-0005-0000-0000-000021000000}"/>
    <cellStyle name="Vírgula 2 2 9 4 2" xfId="7561" xr:uid="{00000000-0005-0000-0000-000021000000}"/>
    <cellStyle name="Vírgula 2 2 9 4 2 2" xfId="15721" xr:uid="{00000000-0005-0000-0000-000021000000}"/>
    <cellStyle name="Vírgula 2 2 9 4 3" xfId="11641" xr:uid="{00000000-0005-0000-0000-000021000000}"/>
    <cellStyle name="Vírgula 2 2 9 5" xfId="4500" xr:uid="{00000000-0005-0000-0000-000021000000}"/>
    <cellStyle name="Vírgula 2 2 9 5 2" xfId="12661" xr:uid="{00000000-0005-0000-0000-000021000000}"/>
    <cellStyle name="Vírgula 2 2 9 6" xfId="8581" xr:uid="{00000000-0005-0000-0000-000021000000}"/>
    <cellStyle name="Vírgula 2 3" xfId="12" xr:uid="{00000000-0005-0000-0000-000027000000}"/>
    <cellStyle name="Vírgula 2 3 10" xfId="3076" xr:uid="{00000000-0005-0000-0000-000027000000}"/>
    <cellStyle name="Vírgula 2 3 10 2" xfId="7157" xr:uid="{00000000-0005-0000-0000-000027000000}"/>
    <cellStyle name="Vírgula 2 3 10 2 2" xfId="15317" xr:uid="{00000000-0005-0000-0000-000027000000}"/>
    <cellStyle name="Vírgula 2 3 10 3" xfId="11237" xr:uid="{00000000-0005-0000-0000-000027000000}"/>
    <cellStyle name="Vírgula 2 3 11" xfId="4096" xr:uid="{00000000-0005-0000-0000-000027000000}"/>
    <cellStyle name="Vírgula 2 3 11 2" xfId="12257" xr:uid="{00000000-0005-0000-0000-000027000000}"/>
    <cellStyle name="Vírgula 2 3 12" xfId="8177" xr:uid="{00000000-0005-0000-0000-000027000000}"/>
    <cellStyle name="Vírgula 2 3 2" xfId="40" xr:uid="{00000000-0005-0000-0000-000028000000}"/>
    <cellStyle name="Vírgula 2 3 2 10" xfId="4121" xr:uid="{00000000-0005-0000-0000-000028000000}"/>
    <cellStyle name="Vírgula 2 3 2 10 2" xfId="12282" xr:uid="{00000000-0005-0000-0000-000028000000}"/>
    <cellStyle name="Vírgula 2 3 2 11" xfId="8202" xr:uid="{00000000-0005-0000-0000-000028000000}"/>
    <cellStyle name="Vírgula 2 3 2 2" xfId="91" xr:uid="{00000000-0005-0000-0000-000028000000}"/>
    <cellStyle name="Vírgula 2 3 2 2 10" xfId="8253" xr:uid="{00000000-0005-0000-0000-000028000000}"/>
    <cellStyle name="Vírgula 2 3 2 2 2" xfId="193" xr:uid="{00000000-0005-0000-0000-000028000000}"/>
    <cellStyle name="Vírgula 2 3 2 2 2 2" xfId="397" xr:uid="{00000000-0005-0000-0000-000028000000}"/>
    <cellStyle name="Vírgula 2 3 2 2 2 2 2" xfId="805" xr:uid="{00000000-0005-0000-0000-000028000000}"/>
    <cellStyle name="Vírgula 2 3 2 2 2 2 2 2" xfId="2846" xr:uid="{00000000-0005-0000-0000-000028000000}"/>
    <cellStyle name="Vírgula 2 3 2 2 2 2 2 2 2" xfId="6927" xr:uid="{00000000-0005-0000-0000-000028000000}"/>
    <cellStyle name="Vírgula 2 3 2 2 2 2 2 2 2 2" xfId="15087" xr:uid="{00000000-0005-0000-0000-000028000000}"/>
    <cellStyle name="Vírgula 2 3 2 2 2 2 2 2 3" xfId="11007" xr:uid="{00000000-0005-0000-0000-000028000000}"/>
    <cellStyle name="Vírgula 2 3 2 2 2 2 2 3" xfId="1826" xr:uid="{00000000-0005-0000-0000-000028000000}"/>
    <cellStyle name="Vírgula 2 3 2 2 2 2 2 3 2" xfId="5907" xr:uid="{00000000-0005-0000-0000-000028000000}"/>
    <cellStyle name="Vírgula 2 3 2 2 2 2 2 3 2 2" xfId="14067" xr:uid="{00000000-0005-0000-0000-000028000000}"/>
    <cellStyle name="Vírgula 2 3 2 2 2 2 2 3 3" xfId="9987" xr:uid="{00000000-0005-0000-0000-000028000000}"/>
    <cellStyle name="Vírgula 2 3 2 2 2 2 2 4" xfId="3866" xr:uid="{00000000-0005-0000-0000-000028000000}"/>
    <cellStyle name="Vírgula 2 3 2 2 2 2 2 4 2" xfId="7947" xr:uid="{00000000-0005-0000-0000-000028000000}"/>
    <cellStyle name="Vírgula 2 3 2 2 2 2 2 4 2 2" xfId="16107" xr:uid="{00000000-0005-0000-0000-000028000000}"/>
    <cellStyle name="Vírgula 2 3 2 2 2 2 2 4 3" xfId="12027" xr:uid="{00000000-0005-0000-0000-000028000000}"/>
    <cellStyle name="Vírgula 2 3 2 2 2 2 2 5" xfId="4886" xr:uid="{00000000-0005-0000-0000-000028000000}"/>
    <cellStyle name="Vírgula 2 3 2 2 2 2 2 5 2" xfId="13047" xr:uid="{00000000-0005-0000-0000-000028000000}"/>
    <cellStyle name="Vírgula 2 3 2 2 2 2 2 6" xfId="8967" xr:uid="{00000000-0005-0000-0000-000028000000}"/>
    <cellStyle name="Vírgula 2 3 2 2 2 2 3" xfId="2438" xr:uid="{00000000-0005-0000-0000-000028000000}"/>
    <cellStyle name="Vírgula 2 3 2 2 2 2 3 2" xfId="6519" xr:uid="{00000000-0005-0000-0000-000028000000}"/>
    <cellStyle name="Vírgula 2 3 2 2 2 2 3 2 2" xfId="14679" xr:uid="{00000000-0005-0000-0000-000028000000}"/>
    <cellStyle name="Vírgula 2 3 2 2 2 2 3 3" xfId="10599" xr:uid="{00000000-0005-0000-0000-000028000000}"/>
    <cellStyle name="Vírgula 2 3 2 2 2 2 4" xfId="1418" xr:uid="{00000000-0005-0000-0000-000028000000}"/>
    <cellStyle name="Vírgula 2 3 2 2 2 2 4 2" xfId="5499" xr:uid="{00000000-0005-0000-0000-000028000000}"/>
    <cellStyle name="Vírgula 2 3 2 2 2 2 4 2 2" xfId="13659" xr:uid="{00000000-0005-0000-0000-000028000000}"/>
    <cellStyle name="Vírgula 2 3 2 2 2 2 4 3" xfId="9579" xr:uid="{00000000-0005-0000-0000-000028000000}"/>
    <cellStyle name="Vírgula 2 3 2 2 2 2 5" xfId="3458" xr:uid="{00000000-0005-0000-0000-000028000000}"/>
    <cellStyle name="Vírgula 2 3 2 2 2 2 5 2" xfId="7539" xr:uid="{00000000-0005-0000-0000-000028000000}"/>
    <cellStyle name="Vírgula 2 3 2 2 2 2 5 2 2" xfId="15699" xr:uid="{00000000-0005-0000-0000-000028000000}"/>
    <cellStyle name="Vírgula 2 3 2 2 2 2 5 3" xfId="11619" xr:uid="{00000000-0005-0000-0000-000028000000}"/>
    <cellStyle name="Vírgula 2 3 2 2 2 2 6" xfId="4478" xr:uid="{00000000-0005-0000-0000-000028000000}"/>
    <cellStyle name="Vírgula 2 3 2 2 2 2 6 2" xfId="12639" xr:uid="{00000000-0005-0000-0000-000028000000}"/>
    <cellStyle name="Vírgula 2 3 2 2 2 2 7" xfId="8559" xr:uid="{00000000-0005-0000-0000-000028000000}"/>
    <cellStyle name="Vírgula 2 3 2 2 2 3" xfId="1009" xr:uid="{00000000-0005-0000-0000-000028000000}"/>
    <cellStyle name="Vírgula 2 3 2 2 2 3 2" xfId="3050" xr:uid="{00000000-0005-0000-0000-000028000000}"/>
    <cellStyle name="Vírgula 2 3 2 2 2 3 2 2" xfId="7131" xr:uid="{00000000-0005-0000-0000-000028000000}"/>
    <cellStyle name="Vírgula 2 3 2 2 2 3 2 2 2" xfId="15291" xr:uid="{00000000-0005-0000-0000-000028000000}"/>
    <cellStyle name="Vírgula 2 3 2 2 2 3 2 3" xfId="11211" xr:uid="{00000000-0005-0000-0000-000028000000}"/>
    <cellStyle name="Vírgula 2 3 2 2 2 3 3" xfId="2030" xr:uid="{00000000-0005-0000-0000-000028000000}"/>
    <cellStyle name="Vírgula 2 3 2 2 2 3 3 2" xfId="6111" xr:uid="{00000000-0005-0000-0000-000028000000}"/>
    <cellStyle name="Vírgula 2 3 2 2 2 3 3 2 2" xfId="14271" xr:uid="{00000000-0005-0000-0000-000028000000}"/>
    <cellStyle name="Vírgula 2 3 2 2 2 3 3 3" xfId="10191" xr:uid="{00000000-0005-0000-0000-000028000000}"/>
    <cellStyle name="Vírgula 2 3 2 2 2 3 4" xfId="4070" xr:uid="{00000000-0005-0000-0000-000028000000}"/>
    <cellStyle name="Vírgula 2 3 2 2 2 3 4 2" xfId="8151" xr:uid="{00000000-0005-0000-0000-000028000000}"/>
    <cellStyle name="Vírgula 2 3 2 2 2 3 4 2 2" xfId="16311" xr:uid="{00000000-0005-0000-0000-000028000000}"/>
    <cellStyle name="Vírgula 2 3 2 2 2 3 4 3" xfId="12231" xr:uid="{00000000-0005-0000-0000-000028000000}"/>
    <cellStyle name="Vírgula 2 3 2 2 2 3 5" xfId="5090" xr:uid="{00000000-0005-0000-0000-000028000000}"/>
    <cellStyle name="Vírgula 2 3 2 2 2 3 5 2" xfId="13251" xr:uid="{00000000-0005-0000-0000-000028000000}"/>
    <cellStyle name="Vírgula 2 3 2 2 2 3 6" xfId="9171" xr:uid="{00000000-0005-0000-0000-000028000000}"/>
    <cellStyle name="Vírgula 2 3 2 2 2 4" xfId="601" xr:uid="{00000000-0005-0000-0000-000028000000}"/>
    <cellStyle name="Vírgula 2 3 2 2 2 4 2" xfId="2642" xr:uid="{00000000-0005-0000-0000-000028000000}"/>
    <cellStyle name="Vírgula 2 3 2 2 2 4 2 2" xfId="6723" xr:uid="{00000000-0005-0000-0000-000028000000}"/>
    <cellStyle name="Vírgula 2 3 2 2 2 4 2 2 2" xfId="14883" xr:uid="{00000000-0005-0000-0000-000028000000}"/>
    <cellStyle name="Vírgula 2 3 2 2 2 4 2 3" xfId="10803" xr:uid="{00000000-0005-0000-0000-000028000000}"/>
    <cellStyle name="Vírgula 2 3 2 2 2 4 3" xfId="1622" xr:uid="{00000000-0005-0000-0000-000028000000}"/>
    <cellStyle name="Vírgula 2 3 2 2 2 4 3 2" xfId="5703" xr:uid="{00000000-0005-0000-0000-000028000000}"/>
    <cellStyle name="Vírgula 2 3 2 2 2 4 3 2 2" xfId="13863" xr:uid="{00000000-0005-0000-0000-000028000000}"/>
    <cellStyle name="Vírgula 2 3 2 2 2 4 3 3" xfId="9783" xr:uid="{00000000-0005-0000-0000-000028000000}"/>
    <cellStyle name="Vírgula 2 3 2 2 2 4 4" xfId="3662" xr:uid="{00000000-0005-0000-0000-000028000000}"/>
    <cellStyle name="Vírgula 2 3 2 2 2 4 4 2" xfId="7743" xr:uid="{00000000-0005-0000-0000-000028000000}"/>
    <cellStyle name="Vírgula 2 3 2 2 2 4 4 2 2" xfId="15903" xr:uid="{00000000-0005-0000-0000-000028000000}"/>
    <cellStyle name="Vírgula 2 3 2 2 2 4 4 3" xfId="11823" xr:uid="{00000000-0005-0000-0000-000028000000}"/>
    <cellStyle name="Vírgula 2 3 2 2 2 4 5" xfId="4682" xr:uid="{00000000-0005-0000-0000-000028000000}"/>
    <cellStyle name="Vírgula 2 3 2 2 2 4 5 2" xfId="12843" xr:uid="{00000000-0005-0000-0000-000028000000}"/>
    <cellStyle name="Vírgula 2 3 2 2 2 4 6" xfId="8763" xr:uid="{00000000-0005-0000-0000-000028000000}"/>
    <cellStyle name="Vírgula 2 3 2 2 2 5" xfId="2234" xr:uid="{00000000-0005-0000-0000-000028000000}"/>
    <cellStyle name="Vírgula 2 3 2 2 2 5 2" xfId="6315" xr:uid="{00000000-0005-0000-0000-000028000000}"/>
    <cellStyle name="Vírgula 2 3 2 2 2 5 2 2" xfId="14475" xr:uid="{00000000-0005-0000-0000-000028000000}"/>
    <cellStyle name="Vírgula 2 3 2 2 2 5 3" xfId="10395" xr:uid="{00000000-0005-0000-0000-000028000000}"/>
    <cellStyle name="Vírgula 2 3 2 2 2 6" xfId="1214" xr:uid="{00000000-0005-0000-0000-000028000000}"/>
    <cellStyle name="Vírgula 2 3 2 2 2 6 2" xfId="5295" xr:uid="{00000000-0005-0000-0000-000028000000}"/>
    <cellStyle name="Vírgula 2 3 2 2 2 6 2 2" xfId="13455" xr:uid="{00000000-0005-0000-0000-000028000000}"/>
    <cellStyle name="Vírgula 2 3 2 2 2 6 3" xfId="9375" xr:uid="{00000000-0005-0000-0000-000028000000}"/>
    <cellStyle name="Vírgula 2 3 2 2 2 7" xfId="3254" xr:uid="{00000000-0005-0000-0000-000028000000}"/>
    <cellStyle name="Vírgula 2 3 2 2 2 7 2" xfId="7335" xr:uid="{00000000-0005-0000-0000-000028000000}"/>
    <cellStyle name="Vírgula 2 3 2 2 2 7 2 2" xfId="15495" xr:uid="{00000000-0005-0000-0000-000028000000}"/>
    <cellStyle name="Vírgula 2 3 2 2 2 7 3" xfId="11415" xr:uid="{00000000-0005-0000-0000-000028000000}"/>
    <cellStyle name="Vírgula 2 3 2 2 2 8" xfId="4274" xr:uid="{00000000-0005-0000-0000-000028000000}"/>
    <cellStyle name="Vírgula 2 3 2 2 2 8 2" xfId="12435" xr:uid="{00000000-0005-0000-0000-000028000000}"/>
    <cellStyle name="Vírgula 2 3 2 2 2 9" xfId="8355" xr:uid="{00000000-0005-0000-0000-000028000000}"/>
    <cellStyle name="Vírgula 2 3 2 2 3" xfId="295" xr:uid="{00000000-0005-0000-0000-000028000000}"/>
    <cellStyle name="Vírgula 2 3 2 2 3 2" xfId="703" xr:uid="{00000000-0005-0000-0000-000028000000}"/>
    <cellStyle name="Vírgula 2 3 2 2 3 2 2" xfId="2744" xr:uid="{00000000-0005-0000-0000-000028000000}"/>
    <cellStyle name="Vírgula 2 3 2 2 3 2 2 2" xfId="6825" xr:uid="{00000000-0005-0000-0000-000028000000}"/>
    <cellStyle name="Vírgula 2 3 2 2 3 2 2 2 2" xfId="14985" xr:uid="{00000000-0005-0000-0000-000028000000}"/>
    <cellStyle name="Vírgula 2 3 2 2 3 2 2 3" xfId="10905" xr:uid="{00000000-0005-0000-0000-000028000000}"/>
    <cellStyle name="Vírgula 2 3 2 2 3 2 3" xfId="1724" xr:uid="{00000000-0005-0000-0000-000028000000}"/>
    <cellStyle name="Vírgula 2 3 2 2 3 2 3 2" xfId="5805" xr:uid="{00000000-0005-0000-0000-000028000000}"/>
    <cellStyle name="Vírgula 2 3 2 2 3 2 3 2 2" xfId="13965" xr:uid="{00000000-0005-0000-0000-000028000000}"/>
    <cellStyle name="Vírgula 2 3 2 2 3 2 3 3" xfId="9885" xr:uid="{00000000-0005-0000-0000-000028000000}"/>
    <cellStyle name="Vírgula 2 3 2 2 3 2 4" xfId="3764" xr:uid="{00000000-0005-0000-0000-000028000000}"/>
    <cellStyle name="Vírgula 2 3 2 2 3 2 4 2" xfId="7845" xr:uid="{00000000-0005-0000-0000-000028000000}"/>
    <cellStyle name="Vírgula 2 3 2 2 3 2 4 2 2" xfId="16005" xr:uid="{00000000-0005-0000-0000-000028000000}"/>
    <cellStyle name="Vírgula 2 3 2 2 3 2 4 3" xfId="11925" xr:uid="{00000000-0005-0000-0000-000028000000}"/>
    <cellStyle name="Vírgula 2 3 2 2 3 2 5" xfId="4784" xr:uid="{00000000-0005-0000-0000-000028000000}"/>
    <cellStyle name="Vírgula 2 3 2 2 3 2 5 2" xfId="12945" xr:uid="{00000000-0005-0000-0000-000028000000}"/>
    <cellStyle name="Vírgula 2 3 2 2 3 2 6" xfId="8865" xr:uid="{00000000-0005-0000-0000-000028000000}"/>
    <cellStyle name="Vírgula 2 3 2 2 3 3" xfId="2336" xr:uid="{00000000-0005-0000-0000-000028000000}"/>
    <cellStyle name="Vírgula 2 3 2 2 3 3 2" xfId="6417" xr:uid="{00000000-0005-0000-0000-000028000000}"/>
    <cellStyle name="Vírgula 2 3 2 2 3 3 2 2" xfId="14577" xr:uid="{00000000-0005-0000-0000-000028000000}"/>
    <cellStyle name="Vírgula 2 3 2 2 3 3 3" xfId="10497" xr:uid="{00000000-0005-0000-0000-000028000000}"/>
    <cellStyle name="Vírgula 2 3 2 2 3 4" xfId="1316" xr:uid="{00000000-0005-0000-0000-000028000000}"/>
    <cellStyle name="Vírgula 2 3 2 2 3 4 2" xfId="5397" xr:uid="{00000000-0005-0000-0000-000028000000}"/>
    <cellStyle name="Vírgula 2 3 2 2 3 4 2 2" xfId="13557" xr:uid="{00000000-0005-0000-0000-000028000000}"/>
    <cellStyle name="Vírgula 2 3 2 2 3 4 3" xfId="9477" xr:uid="{00000000-0005-0000-0000-000028000000}"/>
    <cellStyle name="Vírgula 2 3 2 2 3 5" xfId="3356" xr:uid="{00000000-0005-0000-0000-000028000000}"/>
    <cellStyle name="Vírgula 2 3 2 2 3 5 2" xfId="7437" xr:uid="{00000000-0005-0000-0000-000028000000}"/>
    <cellStyle name="Vírgula 2 3 2 2 3 5 2 2" xfId="15597" xr:uid="{00000000-0005-0000-0000-000028000000}"/>
    <cellStyle name="Vírgula 2 3 2 2 3 5 3" xfId="11517" xr:uid="{00000000-0005-0000-0000-000028000000}"/>
    <cellStyle name="Vírgula 2 3 2 2 3 6" xfId="4376" xr:uid="{00000000-0005-0000-0000-000028000000}"/>
    <cellStyle name="Vírgula 2 3 2 2 3 6 2" xfId="12537" xr:uid="{00000000-0005-0000-0000-000028000000}"/>
    <cellStyle name="Vírgula 2 3 2 2 3 7" xfId="8457" xr:uid="{00000000-0005-0000-0000-000028000000}"/>
    <cellStyle name="Vírgula 2 3 2 2 4" xfId="907" xr:uid="{00000000-0005-0000-0000-000028000000}"/>
    <cellStyle name="Vírgula 2 3 2 2 4 2" xfId="2948" xr:uid="{00000000-0005-0000-0000-000028000000}"/>
    <cellStyle name="Vírgula 2 3 2 2 4 2 2" xfId="7029" xr:uid="{00000000-0005-0000-0000-000028000000}"/>
    <cellStyle name="Vírgula 2 3 2 2 4 2 2 2" xfId="15189" xr:uid="{00000000-0005-0000-0000-000028000000}"/>
    <cellStyle name="Vírgula 2 3 2 2 4 2 3" xfId="11109" xr:uid="{00000000-0005-0000-0000-000028000000}"/>
    <cellStyle name="Vírgula 2 3 2 2 4 3" xfId="1928" xr:uid="{00000000-0005-0000-0000-000028000000}"/>
    <cellStyle name="Vírgula 2 3 2 2 4 3 2" xfId="6009" xr:uid="{00000000-0005-0000-0000-000028000000}"/>
    <cellStyle name="Vírgula 2 3 2 2 4 3 2 2" xfId="14169" xr:uid="{00000000-0005-0000-0000-000028000000}"/>
    <cellStyle name="Vírgula 2 3 2 2 4 3 3" xfId="10089" xr:uid="{00000000-0005-0000-0000-000028000000}"/>
    <cellStyle name="Vírgula 2 3 2 2 4 4" xfId="3968" xr:uid="{00000000-0005-0000-0000-000028000000}"/>
    <cellStyle name="Vírgula 2 3 2 2 4 4 2" xfId="8049" xr:uid="{00000000-0005-0000-0000-000028000000}"/>
    <cellStyle name="Vírgula 2 3 2 2 4 4 2 2" xfId="16209" xr:uid="{00000000-0005-0000-0000-000028000000}"/>
    <cellStyle name="Vírgula 2 3 2 2 4 4 3" xfId="12129" xr:uid="{00000000-0005-0000-0000-000028000000}"/>
    <cellStyle name="Vírgula 2 3 2 2 4 5" xfId="4988" xr:uid="{00000000-0005-0000-0000-000028000000}"/>
    <cellStyle name="Vírgula 2 3 2 2 4 5 2" xfId="13149" xr:uid="{00000000-0005-0000-0000-000028000000}"/>
    <cellStyle name="Vírgula 2 3 2 2 4 6" xfId="9069" xr:uid="{00000000-0005-0000-0000-000028000000}"/>
    <cellStyle name="Vírgula 2 3 2 2 5" xfId="499" xr:uid="{00000000-0005-0000-0000-000028000000}"/>
    <cellStyle name="Vírgula 2 3 2 2 5 2" xfId="2540" xr:uid="{00000000-0005-0000-0000-000028000000}"/>
    <cellStyle name="Vírgula 2 3 2 2 5 2 2" xfId="6621" xr:uid="{00000000-0005-0000-0000-000028000000}"/>
    <cellStyle name="Vírgula 2 3 2 2 5 2 2 2" xfId="14781" xr:uid="{00000000-0005-0000-0000-000028000000}"/>
    <cellStyle name="Vírgula 2 3 2 2 5 2 3" xfId="10701" xr:uid="{00000000-0005-0000-0000-000028000000}"/>
    <cellStyle name="Vírgula 2 3 2 2 5 3" xfId="1520" xr:uid="{00000000-0005-0000-0000-000028000000}"/>
    <cellStyle name="Vírgula 2 3 2 2 5 3 2" xfId="5601" xr:uid="{00000000-0005-0000-0000-000028000000}"/>
    <cellStyle name="Vírgula 2 3 2 2 5 3 2 2" xfId="13761" xr:uid="{00000000-0005-0000-0000-000028000000}"/>
    <cellStyle name="Vírgula 2 3 2 2 5 3 3" xfId="9681" xr:uid="{00000000-0005-0000-0000-000028000000}"/>
    <cellStyle name="Vírgula 2 3 2 2 5 4" xfId="3560" xr:uid="{00000000-0005-0000-0000-000028000000}"/>
    <cellStyle name="Vírgula 2 3 2 2 5 4 2" xfId="7641" xr:uid="{00000000-0005-0000-0000-000028000000}"/>
    <cellStyle name="Vírgula 2 3 2 2 5 4 2 2" xfId="15801" xr:uid="{00000000-0005-0000-0000-000028000000}"/>
    <cellStyle name="Vírgula 2 3 2 2 5 4 3" xfId="11721" xr:uid="{00000000-0005-0000-0000-000028000000}"/>
    <cellStyle name="Vírgula 2 3 2 2 5 5" xfId="4580" xr:uid="{00000000-0005-0000-0000-000028000000}"/>
    <cellStyle name="Vírgula 2 3 2 2 5 5 2" xfId="12741" xr:uid="{00000000-0005-0000-0000-000028000000}"/>
    <cellStyle name="Vírgula 2 3 2 2 5 6" xfId="8661" xr:uid="{00000000-0005-0000-0000-000028000000}"/>
    <cellStyle name="Vírgula 2 3 2 2 6" xfId="2132" xr:uid="{00000000-0005-0000-0000-000028000000}"/>
    <cellStyle name="Vírgula 2 3 2 2 6 2" xfId="6213" xr:uid="{00000000-0005-0000-0000-000028000000}"/>
    <cellStyle name="Vírgula 2 3 2 2 6 2 2" xfId="14373" xr:uid="{00000000-0005-0000-0000-000028000000}"/>
    <cellStyle name="Vírgula 2 3 2 2 6 3" xfId="10293" xr:uid="{00000000-0005-0000-0000-000028000000}"/>
    <cellStyle name="Vírgula 2 3 2 2 7" xfId="1112" xr:uid="{00000000-0005-0000-0000-000028000000}"/>
    <cellStyle name="Vírgula 2 3 2 2 7 2" xfId="5193" xr:uid="{00000000-0005-0000-0000-000028000000}"/>
    <cellStyle name="Vírgula 2 3 2 2 7 2 2" xfId="13353" xr:uid="{00000000-0005-0000-0000-000028000000}"/>
    <cellStyle name="Vírgula 2 3 2 2 7 3" xfId="9273" xr:uid="{00000000-0005-0000-0000-000028000000}"/>
    <cellStyle name="Vírgula 2 3 2 2 8" xfId="3152" xr:uid="{00000000-0005-0000-0000-000028000000}"/>
    <cellStyle name="Vírgula 2 3 2 2 8 2" xfId="7233" xr:uid="{00000000-0005-0000-0000-000028000000}"/>
    <cellStyle name="Vírgula 2 3 2 2 8 2 2" xfId="15393" xr:uid="{00000000-0005-0000-0000-000028000000}"/>
    <cellStyle name="Vírgula 2 3 2 2 8 3" xfId="11313" xr:uid="{00000000-0005-0000-0000-000028000000}"/>
    <cellStyle name="Vírgula 2 3 2 2 9" xfId="4172" xr:uid="{00000000-0005-0000-0000-000028000000}"/>
    <cellStyle name="Vírgula 2 3 2 2 9 2" xfId="12333" xr:uid="{00000000-0005-0000-0000-000028000000}"/>
    <cellStyle name="Vírgula 2 3 2 3" xfId="142" xr:uid="{00000000-0005-0000-0000-000028000000}"/>
    <cellStyle name="Vírgula 2 3 2 3 2" xfId="346" xr:uid="{00000000-0005-0000-0000-000028000000}"/>
    <cellStyle name="Vírgula 2 3 2 3 2 2" xfId="754" xr:uid="{00000000-0005-0000-0000-000028000000}"/>
    <cellStyle name="Vírgula 2 3 2 3 2 2 2" xfId="2795" xr:uid="{00000000-0005-0000-0000-000028000000}"/>
    <cellStyle name="Vírgula 2 3 2 3 2 2 2 2" xfId="6876" xr:uid="{00000000-0005-0000-0000-000028000000}"/>
    <cellStyle name="Vírgula 2 3 2 3 2 2 2 2 2" xfId="15036" xr:uid="{00000000-0005-0000-0000-000028000000}"/>
    <cellStyle name="Vírgula 2 3 2 3 2 2 2 3" xfId="10956" xr:uid="{00000000-0005-0000-0000-000028000000}"/>
    <cellStyle name="Vírgula 2 3 2 3 2 2 3" xfId="1775" xr:uid="{00000000-0005-0000-0000-000028000000}"/>
    <cellStyle name="Vírgula 2 3 2 3 2 2 3 2" xfId="5856" xr:uid="{00000000-0005-0000-0000-000028000000}"/>
    <cellStyle name="Vírgula 2 3 2 3 2 2 3 2 2" xfId="14016" xr:uid="{00000000-0005-0000-0000-000028000000}"/>
    <cellStyle name="Vírgula 2 3 2 3 2 2 3 3" xfId="9936" xr:uid="{00000000-0005-0000-0000-000028000000}"/>
    <cellStyle name="Vírgula 2 3 2 3 2 2 4" xfId="3815" xr:uid="{00000000-0005-0000-0000-000028000000}"/>
    <cellStyle name="Vírgula 2 3 2 3 2 2 4 2" xfId="7896" xr:uid="{00000000-0005-0000-0000-000028000000}"/>
    <cellStyle name="Vírgula 2 3 2 3 2 2 4 2 2" xfId="16056" xr:uid="{00000000-0005-0000-0000-000028000000}"/>
    <cellStyle name="Vírgula 2 3 2 3 2 2 4 3" xfId="11976" xr:uid="{00000000-0005-0000-0000-000028000000}"/>
    <cellStyle name="Vírgula 2 3 2 3 2 2 5" xfId="4835" xr:uid="{00000000-0005-0000-0000-000028000000}"/>
    <cellStyle name="Vírgula 2 3 2 3 2 2 5 2" xfId="12996" xr:uid="{00000000-0005-0000-0000-000028000000}"/>
    <cellStyle name="Vírgula 2 3 2 3 2 2 6" xfId="8916" xr:uid="{00000000-0005-0000-0000-000028000000}"/>
    <cellStyle name="Vírgula 2 3 2 3 2 3" xfId="2387" xr:uid="{00000000-0005-0000-0000-000028000000}"/>
    <cellStyle name="Vírgula 2 3 2 3 2 3 2" xfId="6468" xr:uid="{00000000-0005-0000-0000-000028000000}"/>
    <cellStyle name="Vírgula 2 3 2 3 2 3 2 2" xfId="14628" xr:uid="{00000000-0005-0000-0000-000028000000}"/>
    <cellStyle name="Vírgula 2 3 2 3 2 3 3" xfId="10548" xr:uid="{00000000-0005-0000-0000-000028000000}"/>
    <cellStyle name="Vírgula 2 3 2 3 2 4" xfId="1367" xr:uid="{00000000-0005-0000-0000-000028000000}"/>
    <cellStyle name="Vírgula 2 3 2 3 2 4 2" xfId="5448" xr:uid="{00000000-0005-0000-0000-000028000000}"/>
    <cellStyle name="Vírgula 2 3 2 3 2 4 2 2" xfId="13608" xr:uid="{00000000-0005-0000-0000-000028000000}"/>
    <cellStyle name="Vírgula 2 3 2 3 2 4 3" xfId="9528" xr:uid="{00000000-0005-0000-0000-000028000000}"/>
    <cellStyle name="Vírgula 2 3 2 3 2 5" xfId="3407" xr:uid="{00000000-0005-0000-0000-000028000000}"/>
    <cellStyle name="Vírgula 2 3 2 3 2 5 2" xfId="7488" xr:uid="{00000000-0005-0000-0000-000028000000}"/>
    <cellStyle name="Vírgula 2 3 2 3 2 5 2 2" xfId="15648" xr:uid="{00000000-0005-0000-0000-000028000000}"/>
    <cellStyle name="Vírgula 2 3 2 3 2 5 3" xfId="11568" xr:uid="{00000000-0005-0000-0000-000028000000}"/>
    <cellStyle name="Vírgula 2 3 2 3 2 6" xfId="4427" xr:uid="{00000000-0005-0000-0000-000028000000}"/>
    <cellStyle name="Vírgula 2 3 2 3 2 6 2" xfId="12588" xr:uid="{00000000-0005-0000-0000-000028000000}"/>
    <cellStyle name="Vírgula 2 3 2 3 2 7" xfId="8508" xr:uid="{00000000-0005-0000-0000-000028000000}"/>
    <cellStyle name="Vírgula 2 3 2 3 3" xfId="958" xr:uid="{00000000-0005-0000-0000-000028000000}"/>
    <cellStyle name="Vírgula 2 3 2 3 3 2" xfId="2999" xr:uid="{00000000-0005-0000-0000-000028000000}"/>
    <cellStyle name="Vírgula 2 3 2 3 3 2 2" xfId="7080" xr:uid="{00000000-0005-0000-0000-000028000000}"/>
    <cellStyle name="Vírgula 2 3 2 3 3 2 2 2" xfId="15240" xr:uid="{00000000-0005-0000-0000-000028000000}"/>
    <cellStyle name="Vírgula 2 3 2 3 3 2 3" xfId="11160" xr:uid="{00000000-0005-0000-0000-000028000000}"/>
    <cellStyle name="Vírgula 2 3 2 3 3 3" xfId="1979" xr:uid="{00000000-0005-0000-0000-000028000000}"/>
    <cellStyle name="Vírgula 2 3 2 3 3 3 2" xfId="6060" xr:uid="{00000000-0005-0000-0000-000028000000}"/>
    <cellStyle name="Vírgula 2 3 2 3 3 3 2 2" xfId="14220" xr:uid="{00000000-0005-0000-0000-000028000000}"/>
    <cellStyle name="Vírgula 2 3 2 3 3 3 3" xfId="10140" xr:uid="{00000000-0005-0000-0000-000028000000}"/>
    <cellStyle name="Vírgula 2 3 2 3 3 4" xfId="4019" xr:uid="{00000000-0005-0000-0000-000028000000}"/>
    <cellStyle name="Vírgula 2 3 2 3 3 4 2" xfId="8100" xr:uid="{00000000-0005-0000-0000-000028000000}"/>
    <cellStyle name="Vírgula 2 3 2 3 3 4 2 2" xfId="16260" xr:uid="{00000000-0005-0000-0000-000028000000}"/>
    <cellStyle name="Vírgula 2 3 2 3 3 4 3" xfId="12180" xr:uid="{00000000-0005-0000-0000-000028000000}"/>
    <cellStyle name="Vírgula 2 3 2 3 3 5" xfId="5039" xr:uid="{00000000-0005-0000-0000-000028000000}"/>
    <cellStyle name="Vírgula 2 3 2 3 3 5 2" xfId="13200" xr:uid="{00000000-0005-0000-0000-000028000000}"/>
    <cellStyle name="Vírgula 2 3 2 3 3 6" xfId="9120" xr:uid="{00000000-0005-0000-0000-000028000000}"/>
    <cellStyle name="Vírgula 2 3 2 3 4" xfId="550" xr:uid="{00000000-0005-0000-0000-000028000000}"/>
    <cellStyle name="Vírgula 2 3 2 3 4 2" xfId="2591" xr:uid="{00000000-0005-0000-0000-000028000000}"/>
    <cellStyle name="Vírgula 2 3 2 3 4 2 2" xfId="6672" xr:uid="{00000000-0005-0000-0000-000028000000}"/>
    <cellStyle name="Vírgula 2 3 2 3 4 2 2 2" xfId="14832" xr:uid="{00000000-0005-0000-0000-000028000000}"/>
    <cellStyle name="Vírgula 2 3 2 3 4 2 3" xfId="10752" xr:uid="{00000000-0005-0000-0000-000028000000}"/>
    <cellStyle name="Vírgula 2 3 2 3 4 3" xfId="1571" xr:uid="{00000000-0005-0000-0000-000028000000}"/>
    <cellStyle name="Vírgula 2 3 2 3 4 3 2" xfId="5652" xr:uid="{00000000-0005-0000-0000-000028000000}"/>
    <cellStyle name="Vírgula 2 3 2 3 4 3 2 2" xfId="13812" xr:uid="{00000000-0005-0000-0000-000028000000}"/>
    <cellStyle name="Vírgula 2 3 2 3 4 3 3" xfId="9732" xr:uid="{00000000-0005-0000-0000-000028000000}"/>
    <cellStyle name="Vírgula 2 3 2 3 4 4" xfId="3611" xr:uid="{00000000-0005-0000-0000-000028000000}"/>
    <cellStyle name="Vírgula 2 3 2 3 4 4 2" xfId="7692" xr:uid="{00000000-0005-0000-0000-000028000000}"/>
    <cellStyle name="Vírgula 2 3 2 3 4 4 2 2" xfId="15852" xr:uid="{00000000-0005-0000-0000-000028000000}"/>
    <cellStyle name="Vírgula 2 3 2 3 4 4 3" xfId="11772" xr:uid="{00000000-0005-0000-0000-000028000000}"/>
    <cellStyle name="Vírgula 2 3 2 3 4 5" xfId="4631" xr:uid="{00000000-0005-0000-0000-000028000000}"/>
    <cellStyle name="Vírgula 2 3 2 3 4 5 2" xfId="12792" xr:uid="{00000000-0005-0000-0000-000028000000}"/>
    <cellStyle name="Vírgula 2 3 2 3 4 6" xfId="8712" xr:uid="{00000000-0005-0000-0000-000028000000}"/>
    <cellStyle name="Vírgula 2 3 2 3 5" xfId="2183" xr:uid="{00000000-0005-0000-0000-000028000000}"/>
    <cellStyle name="Vírgula 2 3 2 3 5 2" xfId="6264" xr:uid="{00000000-0005-0000-0000-000028000000}"/>
    <cellStyle name="Vírgula 2 3 2 3 5 2 2" xfId="14424" xr:uid="{00000000-0005-0000-0000-000028000000}"/>
    <cellStyle name="Vírgula 2 3 2 3 5 3" xfId="10344" xr:uid="{00000000-0005-0000-0000-000028000000}"/>
    <cellStyle name="Vírgula 2 3 2 3 6" xfId="1163" xr:uid="{00000000-0005-0000-0000-000028000000}"/>
    <cellStyle name="Vírgula 2 3 2 3 6 2" xfId="5244" xr:uid="{00000000-0005-0000-0000-000028000000}"/>
    <cellStyle name="Vírgula 2 3 2 3 6 2 2" xfId="13404" xr:uid="{00000000-0005-0000-0000-000028000000}"/>
    <cellStyle name="Vírgula 2 3 2 3 6 3" xfId="9324" xr:uid="{00000000-0005-0000-0000-000028000000}"/>
    <cellStyle name="Vírgula 2 3 2 3 7" xfId="3203" xr:uid="{00000000-0005-0000-0000-000028000000}"/>
    <cellStyle name="Vírgula 2 3 2 3 7 2" xfId="7284" xr:uid="{00000000-0005-0000-0000-000028000000}"/>
    <cellStyle name="Vírgula 2 3 2 3 7 2 2" xfId="15444" xr:uid="{00000000-0005-0000-0000-000028000000}"/>
    <cellStyle name="Vírgula 2 3 2 3 7 3" xfId="11364" xr:uid="{00000000-0005-0000-0000-000028000000}"/>
    <cellStyle name="Vírgula 2 3 2 3 8" xfId="4223" xr:uid="{00000000-0005-0000-0000-000028000000}"/>
    <cellStyle name="Vírgula 2 3 2 3 8 2" xfId="12384" xr:uid="{00000000-0005-0000-0000-000028000000}"/>
    <cellStyle name="Vírgula 2 3 2 3 9" xfId="8304" xr:uid="{00000000-0005-0000-0000-000028000000}"/>
    <cellStyle name="Vírgula 2 3 2 4" xfId="244" xr:uid="{00000000-0005-0000-0000-000028000000}"/>
    <cellStyle name="Vírgula 2 3 2 4 2" xfId="652" xr:uid="{00000000-0005-0000-0000-000028000000}"/>
    <cellStyle name="Vírgula 2 3 2 4 2 2" xfId="2693" xr:uid="{00000000-0005-0000-0000-000028000000}"/>
    <cellStyle name="Vírgula 2 3 2 4 2 2 2" xfId="6774" xr:uid="{00000000-0005-0000-0000-000028000000}"/>
    <cellStyle name="Vírgula 2 3 2 4 2 2 2 2" xfId="14934" xr:uid="{00000000-0005-0000-0000-000028000000}"/>
    <cellStyle name="Vírgula 2 3 2 4 2 2 3" xfId="10854" xr:uid="{00000000-0005-0000-0000-000028000000}"/>
    <cellStyle name="Vírgula 2 3 2 4 2 3" xfId="1673" xr:uid="{00000000-0005-0000-0000-000028000000}"/>
    <cellStyle name="Vírgula 2 3 2 4 2 3 2" xfId="5754" xr:uid="{00000000-0005-0000-0000-000028000000}"/>
    <cellStyle name="Vírgula 2 3 2 4 2 3 2 2" xfId="13914" xr:uid="{00000000-0005-0000-0000-000028000000}"/>
    <cellStyle name="Vírgula 2 3 2 4 2 3 3" xfId="9834" xr:uid="{00000000-0005-0000-0000-000028000000}"/>
    <cellStyle name="Vírgula 2 3 2 4 2 4" xfId="3713" xr:uid="{00000000-0005-0000-0000-000028000000}"/>
    <cellStyle name="Vírgula 2 3 2 4 2 4 2" xfId="7794" xr:uid="{00000000-0005-0000-0000-000028000000}"/>
    <cellStyle name="Vírgula 2 3 2 4 2 4 2 2" xfId="15954" xr:uid="{00000000-0005-0000-0000-000028000000}"/>
    <cellStyle name="Vírgula 2 3 2 4 2 4 3" xfId="11874" xr:uid="{00000000-0005-0000-0000-000028000000}"/>
    <cellStyle name="Vírgula 2 3 2 4 2 5" xfId="4733" xr:uid="{00000000-0005-0000-0000-000028000000}"/>
    <cellStyle name="Vírgula 2 3 2 4 2 5 2" xfId="12894" xr:uid="{00000000-0005-0000-0000-000028000000}"/>
    <cellStyle name="Vírgula 2 3 2 4 2 6" xfId="8814" xr:uid="{00000000-0005-0000-0000-000028000000}"/>
    <cellStyle name="Vírgula 2 3 2 4 3" xfId="2285" xr:uid="{00000000-0005-0000-0000-000028000000}"/>
    <cellStyle name="Vírgula 2 3 2 4 3 2" xfId="6366" xr:uid="{00000000-0005-0000-0000-000028000000}"/>
    <cellStyle name="Vírgula 2 3 2 4 3 2 2" xfId="14526" xr:uid="{00000000-0005-0000-0000-000028000000}"/>
    <cellStyle name="Vírgula 2 3 2 4 3 3" xfId="10446" xr:uid="{00000000-0005-0000-0000-000028000000}"/>
    <cellStyle name="Vírgula 2 3 2 4 4" xfId="1265" xr:uid="{00000000-0005-0000-0000-000028000000}"/>
    <cellStyle name="Vírgula 2 3 2 4 4 2" xfId="5346" xr:uid="{00000000-0005-0000-0000-000028000000}"/>
    <cellStyle name="Vírgula 2 3 2 4 4 2 2" xfId="13506" xr:uid="{00000000-0005-0000-0000-000028000000}"/>
    <cellStyle name="Vírgula 2 3 2 4 4 3" xfId="9426" xr:uid="{00000000-0005-0000-0000-000028000000}"/>
    <cellStyle name="Vírgula 2 3 2 4 5" xfId="3305" xr:uid="{00000000-0005-0000-0000-000028000000}"/>
    <cellStyle name="Vírgula 2 3 2 4 5 2" xfId="7386" xr:uid="{00000000-0005-0000-0000-000028000000}"/>
    <cellStyle name="Vírgula 2 3 2 4 5 2 2" xfId="15546" xr:uid="{00000000-0005-0000-0000-000028000000}"/>
    <cellStyle name="Vírgula 2 3 2 4 5 3" xfId="11466" xr:uid="{00000000-0005-0000-0000-000028000000}"/>
    <cellStyle name="Vírgula 2 3 2 4 6" xfId="4325" xr:uid="{00000000-0005-0000-0000-000028000000}"/>
    <cellStyle name="Vírgula 2 3 2 4 6 2" xfId="12486" xr:uid="{00000000-0005-0000-0000-000028000000}"/>
    <cellStyle name="Vírgula 2 3 2 4 7" xfId="8406" xr:uid="{00000000-0005-0000-0000-000028000000}"/>
    <cellStyle name="Vírgula 2 3 2 5" xfId="856" xr:uid="{00000000-0005-0000-0000-000028000000}"/>
    <cellStyle name="Vírgula 2 3 2 5 2" xfId="2897" xr:uid="{00000000-0005-0000-0000-000028000000}"/>
    <cellStyle name="Vírgula 2 3 2 5 2 2" xfId="6978" xr:uid="{00000000-0005-0000-0000-000028000000}"/>
    <cellStyle name="Vírgula 2 3 2 5 2 2 2" xfId="15138" xr:uid="{00000000-0005-0000-0000-000028000000}"/>
    <cellStyle name="Vírgula 2 3 2 5 2 3" xfId="11058" xr:uid="{00000000-0005-0000-0000-000028000000}"/>
    <cellStyle name="Vírgula 2 3 2 5 3" xfId="1877" xr:uid="{00000000-0005-0000-0000-000028000000}"/>
    <cellStyle name="Vírgula 2 3 2 5 3 2" xfId="5958" xr:uid="{00000000-0005-0000-0000-000028000000}"/>
    <cellStyle name="Vírgula 2 3 2 5 3 2 2" xfId="14118" xr:uid="{00000000-0005-0000-0000-000028000000}"/>
    <cellStyle name="Vírgula 2 3 2 5 3 3" xfId="10038" xr:uid="{00000000-0005-0000-0000-000028000000}"/>
    <cellStyle name="Vírgula 2 3 2 5 4" xfId="3917" xr:uid="{00000000-0005-0000-0000-000028000000}"/>
    <cellStyle name="Vírgula 2 3 2 5 4 2" xfId="7998" xr:uid="{00000000-0005-0000-0000-000028000000}"/>
    <cellStyle name="Vírgula 2 3 2 5 4 2 2" xfId="16158" xr:uid="{00000000-0005-0000-0000-000028000000}"/>
    <cellStyle name="Vírgula 2 3 2 5 4 3" xfId="12078" xr:uid="{00000000-0005-0000-0000-000028000000}"/>
    <cellStyle name="Vírgula 2 3 2 5 5" xfId="4937" xr:uid="{00000000-0005-0000-0000-000028000000}"/>
    <cellStyle name="Vírgula 2 3 2 5 5 2" xfId="13098" xr:uid="{00000000-0005-0000-0000-000028000000}"/>
    <cellStyle name="Vírgula 2 3 2 5 6" xfId="9018" xr:uid="{00000000-0005-0000-0000-000028000000}"/>
    <cellStyle name="Vírgula 2 3 2 6" xfId="448" xr:uid="{00000000-0005-0000-0000-000028000000}"/>
    <cellStyle name="Vírgula 2 3 2 6 2" xfId="2489" xr:uid="{00000000-0005-0000-0000-000028000000}"/>
    <cellStyle name="Vírgula 2 3 2 6 2 2" xfId="6570" xr:uid="{00000000-0005-0000-0000-000028000000}"/>
    <cellStyle name="Vírgula 2 3 2 6 2 2 2" xfId="14730" xr:uid="{00000000-0005-0000-0000-000028000000}"/>
    <cellStyle name="Vírgula 2 3 2 6 2 3" xfId="10650" xr:uid="{00000000-0005-0000-0000-000028000000}"/>
    <cellStyle name="Vírgula 2 3 2 6 3" xfId="1469" xr:uid="{00000000-0005-0000-0000-000028000000}"/>
    <cellStyle name="Vírgula 2 3 2 6 3 2" xfId="5550" xr:uid="{00000000-0005-0000-0000-000028000000}"/>
    <cellStyle name="Vírgula 2 3 2 6 3 2 2" xfId="13710" xr:uid="{00000000-0005-0000-0000-000028000000}"/>
    <cellStyle name="Vírgula 2 3 2 6 3 3" xfId="9630" xr:uid="{00000000-0005-0000-0000-000028000000}"/>
    <cellStyle name="Vírgula 2 3 2 6 4" xfId="3509" xr:uid="{00000000-0005-0000-0000-000028000000}"/>
    <cellStyle name="Vírgula 2 3 2 6 4 2" xfId="7590" xr:uid="{00000000-0005-0000-0000-000028000000}"/>
    <cellStyle name="Vírgula 2 3 2 6 4 2 2" xfId="15750" xr:uid="{00000000-0005-0000-0000-000028000000}"/>
    <cellStyle name="Vírgula 2 3 2 6 4 3" xfId="11670" xr:uid="{00000000-0005-0000-0000-000028000000}"/>
    <cellStyle name="Vírgula 2 3 2 6 5" xfId="4529" xr:uid="{00000000-0005-0000-0000-000028000000}"/>
    <cellStyle name="Vírgula 2 3 2 6 5 2" xfId="12690" xr:uid="{00000000-0005-0000-0000-000028000000}"/>
    <cellStyle name="Vírgula 2 3 2 6 6" xfId="8610" xr:uid="{00000000-0005-0000-0000-000028000000}"/>
    <cellStyle name="Vírgula 2 3 2 7" xfId="2081" xr:uid="{00000000-0005-0000-0000-000028000000}"/>
    <cellStyle name="Vírgula 2 3 2 7 2" xfId="6162" xr:uid="{00000000-0005-0000-0000-000028000000}"/>
    <cellStyle name="Vírgula 2 3 2 7 2 2" xfId="14322" xr:uid="{00000000-0005-0000-0000-000028000000}"/>
    <cellStyle name="Vírgula 2 3 2 7 3" xfId="10242" xr:uid="{00000000-0005-0000-0000-000028000000}"/>
    <cellStyle name="Vírgula 2 3 2 8" xfId="1061" xr:uid="{00000000-0005-0000-0000-000028000000}"/>
    <cellStyle name="Vírgula 2 3 2 8 2" xfId="5142" xr:uid="{00000000-0005-0000-0000-000028000000}"/>
    <cellStyle name="Vírgula 2 3 2 8 2 2" xfId="13302" xr:uid="{00000000-0005-0000-0000-000028000000}"/>
    <cellStyle name="Vírgula 2 3 2 8 3" xfId="9222" xr:uid="{00000000-0005-0000-0000-000028000000}"/>
    <cellStyle name="Vírgula 2 3 2 9" xfId="3101" xr:uid="{00000000-0005-0000-0000-000028000000}"/>
    <cellStyle name="Vírgula 2 3 2 9 2" xfId="7182" xr:uid="{00000000-0005-0000-0000-000028000000}"/>
    <cellStyle name="Vírgula 2 3 2 9 2 2" xfId="15342" xr:uid="{00000000-0005-0000-0000-000028000000}"/>
    <cellStyle name="Vírgula 2 3 2 9 3" xfId="11262" xr:uid="{00000000-0005-0000-0000-000028000000}"/>
    <cellStyle name="Vírgula 2 3 3" xfId="66" xr:uid="{00000000-0005-0000-0000-000027000000}"/>
    <cellStyle name="Vírgula 2 3 3 10" xfId="8228" xr:uid="{00000000-0005-0000-0000-000027000000}"/>
    <cellStyle name="Vírgula 2 3 3 2" xfId="168" xr:uid="{00000000-0005-0000-0000-000027000000}"/>
    <cellStyle name="Vírgula 2 3 3 2 2" xfId="372" xr:uid="{00000000-0005-0000-0000-000027000000}"/>
    <cellStyle name="Vírgula 2 3 3 2 2 2" xfId="780" xr:uid="{00000000-0005-0000-0000-000027000000}"/>
    <cellStyle name="Vírgula 2 3 3 2 2 2 2" xfId="2821" xr:uid="{00000000-0005-0000-0000-000027000000}"/>
    <cellStyle name="Vírgula 2 3 3 2 2 2 2 2" xfId="6902" xr:uid="{00000000-0005-0000-0000-000027000000}"/>
    <cellStyle name="Vírgula 2 3 3 2 2 2 2 2 2" xfId="15062" xr:uid="{00000000-0005-0000-0000-000027000000}"/>
    <cellStyle name="Vírgula 2 3 3 2 2 2 2 3" xfId="10982" xr:uid="{00000000-0005-0000-0000-000027000000}"/>
    <cellStyle name="Vírgula 2 3 3 2 2 2 3" xfId="1801" xr:uid="{00000000-0005-0000-0000-000027000000}"/>
    <cellStyle name="Vírgula 2 3 3 2 2 2 3 2" xfId="5882" xr:uid="{00000000-0005-0000-0000-000027000000}"/>
    <cellStyle name="Vírgula 2 3 3 2 2 2 3 2 2" xfId="14042" xr:uid="{00000000-0005-0000-0000-000027000000}"/>
    <cellStyle name="Vírgula 2 3 3 2 2 2 3 3" xfId="9962" xr:uid="{00000000-0005-0000-0000-000027000000}"/>
    <cellStyle name="Vírgula 2 3 3 2 2 2 4" xfId="3841" xr:uid="{00000000-0005-0000-0000-000027000000}"/>
    <cellStyle name="Vírgula 2 3 3 2 2 2 4 2" xfId="7922" xr:uid="{00000000-0005-0000-0000-000027000000}"/>
    <cellStyle name="Vírgula 2 3 3 2 2 2 4 2 2" xfId="16082" xr:uid="{00000000-0005-0000-0000-000027000000}"/>
    <cellStyle name="Vírgula 2 3 3 2 2 2 4 3" xfId="12002" xr:uid="{00000000-0005-0000-0000-000027000000}"/>
    <cellStyle name="Vírgula 2 3 3 2 2 2 5" xfId="4861" xr:uid="{00000000-0005-0000-0000-000027000000}"/>
    <cellStyle name="Vírgula 2 3 3 2 2 2 5 2" xfId="13022" xr:uid="{00000000-0005-0000-0000-000027000000}"/>
    <cellStyle name="Vírgula 2 3 3 2 2 2 6" xfId="8942" xr:uid="{00000000-0005-0000-0000-000027000000}"/>
    <cellStyle name="Vírgula 2 3 3 2 2 3" xfId="2413" xr:uid="{00000000-0005-0000-0000-000027000000}"/>
    <cellStyle name="Vírgula 2 3 3 2 2 3 2" xfId="6494" xr:uid="{00000000-0005-0000-0000-000027000000}"/>
    <cellStyle name="Vírgula 2 3 3 2 2 3 2 2" xfId="14654" xr:uid="{00000000-0005-0000-0000-000027000000}"/>
    <cellStyle name="Vírgula 2 3 3 2 2 3 3" xfId="10574" xr:uid="{00000000-0005-0000-0000-000027000000}"/>
    <cellStyle name="Vírgula 2 3 3 2 2 4" xfId="1393" xr:uid="{00000000-0005-0000-0000-000027000000}"/>
    <cellStyle name="Vírgula 2 3 3 2 2 4 2" xfId="5474" xr:uid="{00000000-0005-0000-0000-000027000000}"/>
    <cellStyle name="Vírgula 2 3 3 2 2 4 2 2" xfId="13634" xr:uid="{00000000-0005-0000-0000-000027000000}"/>
    <cellStyle name="Vírgula 2 3 3 2 2 4 3" xfId="9554" xr:uid="{00000000-0005-0000-0000-000027000000}"/>
    <cellStyle name="Vírgula 2 3 3 2 2 5" xfId="3433" xr:uid="{00000000-0005-0000-0000-000027000000}"/>
    <cellStyle name="Vírgula 2 3 3 2 2 5 2" xfId="7514" xr:uid="{00000000-0005-0000-0000-000027000000}"/>
    <cellStyle name="Vírgula 2 3 3 2 2 5 2 2" xfId="15674" xr:uid="{00000000-0005-0000-0000-000027000000}"/>
    <cellStyle name="Vírgula 2 3 3 2 2 5 3" xfId="11594" xr:uid="{00000000-0005-0000-0000-000027000000}"/>
    <cellStyle name="Vírgula 2 3 3 2 2 6" xfId="4453" xr:uid="{00000000-0005-0000-0000-000027000000}"/>
    <cellStyle name="Vírgula 2 3 3 2 2 6 2" xfId="12614" xr:uid="{00000000-0005-0000-0000-000027000000}"/>
    <cellStyle name="Vírgula 2 3 3 2 2 7" xfId="8534" xr:uid="{00000000-0005-0000-0000-000027000000}"/>
    <cellStyle name="Vírgula 2 3 3 2 3" xfId="984" xr:uid="{00000000-0005-0000-0000-000027000000}"/>
    <cellStyle name="Vírgula 2 3 3 2 3 2" xfId="3025" xr:uid="{00000000-0005-0000-0000-000027000000}"/>
    <cellStyle name="Vírgula 2 3 3 2 3 2 2" xfId="7106" xr:uid="{00000000-0005-0000-0000-000027000000}"/>
    <cellStyle name="Vírgula 2 3 3 2 3 2 2 2" xfId="15266" xr:uid="{00000000-0005-0000-0000-000027000000}"/>
    <cellStyle name="Vírgula 2 3 3 2 3 2 3" xfId="11186" xr:uid="{00000000-0005-0000-0000-000027000000}"/>
    <cellStyle name="Vírgula 2 3 3 2 3 3" xfId="2005" xr:uid="{00000000-0005-0000-0000-000027000000}"/>
    <cellStyle name="Vírgula 2 3 3 2 3 3 2" xfId="6086" xr:uid="{00000000-0005-0000-0000-000027000000}"/>
    <cellStyle name="Vírgula 2 3 3 2 3 3 2 2" xfId="14246" xr:uid="{00000000-0005-0000-0000-000027000000}"/>
    <cellStyle name="Vírgula 2 3 3 2 3 3 3" xfId="10166" xr:uid="{00000000-0005-0000-0000-000027000000}"/>
    <cellStyle name="Vírgula 2 3 3 2 3 4" xfId="4045" xr:uid="{00000000-0005-0000-0000-000027000000}"/>
    <cellStyle name="Vírgula 2 3 3 2 3 4 2" xfId="8126" xr:uid="{00000000-0005-0000-0000-000027000000}"/>
    <cellStyle name="Vírgula 2 3 3 2 3 4 2 2" xfId="16286" xr:uid="{00000000-0005-0000-0000-000027000000}"/>
    <cellStyle name="Vírgula 2 3 3 2 3 4 3" xfId="12206" xr:uid="{00000000-0005-0000-0000-000027000000}"/>
    <cellStyle name="Vírgula 2 3 3 2 3 5" xfId="5065" xr:uid="{00000000-0005-0000-0000-000027000000}"/>
    <cellStyle name="Vírgula 2 3 3 2 3 5 2" xfId="13226" xr:uid="{00000000-0005-0000-0000-000027000000}"/>
    <cellStyle name="Vírgula 2 3 3 2 3 6" xfId="9146" xr:uid="{00000000-0005-0000-0000-000027000000}"/>
    <cellStyle name="Vírgula 2 3 3 2 4" xfId="576" xr:uid="{00000000-0005-0000-0000-000027000000}"/>
    <cellStyle name="Vírgula 2 3 3 2 4 2" xfId="2617" xr:uid="{00000000-0005-0000-0000-000027000000}"/>
    <cellStyle name="Vírgula 2 3 3 2 4 2 2" xfId="6698" xr:uid="{00000000-0005-0000-0000-000027000000}"/>
    <cellStyle name="Vírgula 2 3 3 2 4 2 2 2" xfId="14858" xr:uid="{00000000-0005-0000-0000-000027000000}"/>
    <cellStyle name="Vírgula 2 3 3 2 4 2 3" xfId="10778" xr:uid="{00000000-0005-0000-0000-000027000000}"/>
    <cellStyle name="Vírgula 2 3 3 2 4 3" xfId="1597" xr:uid="{00000000-0005-0000-0000-000027000000}"/>
    <cellStyle name="Vírgula 2 3 3 2 4 3 2" xfId="5678" xr:uid="{00000000-0005-0000-0000-000027000000}"/>
    <cellStyle name="Vírgula 2 3 3 2 4 3 2 2" xfId="13838" xr:uid="{00000000-0005-0000-0000-000027000000}"/>
    <cellStyle name="Vírgula 2 3 3 2 4 3 3" xfId="9758" xr:uid="{00000000-0005-0000-0000-000027000000}"/>
    <cellStyle name="Vírgula 2 3 3 2 4 4" xfId="3637" xr:uid="{00000000-0005-0000-0000-000027000000}"/>
    <cellStyle name="Vírgula 2 3 3 2 4 4 2" xfId="7718" xr:uid="{00000000-0005-0000-0000-000027000000}"/>
    <cellStyle name="Vírgula 2 3 3 2 4 4 2 2" xfId="15878" xr:uid="{00000000-0005-0000-0000-000027000000}"/>
    <cellStyle name="Vírgula 2 3 3 2 4 4 3" xfId="11798" xr:uid="{00000000-0005-0000-0000-000027000000}"/>
    <cellStyle name="Vírgula 2 3 3 2 4 5" xfId="4657" xr:uid="{00000000-0005-0000-0000-000027000000}"/>
    <cellStyle name="Vírgula 2 3 3 2 4 5 2" xfId="12818" xr:uid="{00000000-0005-0000-0000-000027000000}"/>
    <cellStyle name="Vírgula 2 3 3 2 4 6" xfId="8738" xr:uid="{00000000-0005-0000-0000-000027000000}"/>
    <cellStyle name="Vírgula 2 3 3 2 5" xfId="2209" xr:uid="{00000000-0005-0000-0000-000027000000}"/>
    <cellStyle name="Vírgula 2 3 3 2 5 2" xfId="6290" xr:uid="{00000000-0005-0000-0000-000027000000}"/>
    <cellStyle name="Vírgula 2 3 3 2 5 2 2" xfId="14450" xr:uid="{00000000-0005-0000-0000-000027000000}"/>
    <cellStyle name="Vírgula 2 3 3 2 5 3" xfId="10370" xr:uid="{00000000-0005-0000-0000-000027000000}"/>
    <cellStyle name="Vírgula 2 3 3 2 6" xfId="1189" xr:uid="{00000000-0005-0000-0000-000027000000}"/>
    <cellStyle name="Vírgula 2 3 3 2 6 2" xfId="5270" xr:uid="{00000000-0005-0000-0000-000027000000}"/>
    <cellStyle name="Vírgula 2 3 3 2 6 2 2" xfId="13430" xr:uid="{00000000-0005-0000-0000-000027000000}"/>
    <cellStyle name="Vírgula 2 3 3 2 6 3" xfId="9350" xr:uid="{00000000-0005-0000-0000-000027000000}"/>
    <cellStyle name="Vírgula 2 3 3 2 7" xfId="3229" xr:uid="{00000000-0005-0000-0000-000027000000}"/>
    <cellStyle name="Vírgula 2 3 3 2 7 2" xfId="7310" xr:uid="{00000000-0005-0000-0000-000027000000}"/>
    <cellStyle name="Vírgula 2 3 3 2 7 2 2" xfId="15470" xr:uid="{00000000-0005-0000-0000-000027000000}"/>
    <cellStyle name="Vírgula 2 3 3 2 7 3" xfId="11390" xr:uid="{00000000-0005-0000-0000-000027000000}"/>
    <cellStyle name="Vírgula 2 3 3 2 8" xfId="4249" xr:uid="{00000000-0005-0000-0000-000027000000}"/>
    <cellStyle name="Vírgula 2 3 3 2 8 2" xfId="12410" xr:uid="{00000000-0005-0000-0000-000027000000}"/>
    <cellStyle name="Vírgula 2 3 3 2 9" xfId="8330" xr:uid="{00000000-0005-0000-0000-000027000000}"/>
    <cellStyle name="Vírgula 2 3 3 3" xfId="270" xr:uid="{00000000-0005-0000-0000-000027000000}"/>
    <cellStyle name="Vírgula 2 3 3 3 2" xfId="678" xr:uid="{00000000-0005-0000-0000-000027000000}"/>
    <cellStyle name="Vírgula 2 3 3 3 2 2" xfId="2719" xr:uid="{00000000-0005-0000-0000-000027000000}"/>
    <cellStyle name="Vírgula 2 3 3 3 2 2 2" xfId="6800" xr:uid="{00000000-0005-0000-0000-000027000000}"/>
    <cellStyle name="Vírgula 2 3 3 3 2 2 2 2" xfId="14960" xr:uid="{00000000-0005-0000-0000-000027000000}"/>
    <cellStyle name="Vírgula 2 3 3 3 2 2 3" xfId="10880" xr:uid="{00000000-0005-0000-0000-000027000000}"/>
    <cellStyle name="Vírgula 2 3 3 3 2 3" xfId="1699" xr:uid="{00000000-0005-0000-0000-000027000000}"/>
    <cellStyle name="Vírgula 2 3 3 3 2 3 2" xfId="5780" xr:uid="{00000000-0005-0000-0000-000027000000}"/>
    <cellStyle name="Vírgula 2 3 3 3 2 3 2 2" xfId="13940" xr:uid="{00000000-0005-0000-0000-000027000000}"/>
    <cellStyle name="Vírgula 2 3 3 3 2 3 3" xfId="9860" xr:uid="{00000000-0005-0000-0000-000027000000}"/>
    <cellStyle name="Vírgula 2 3 3 3 2 4" xfId="3739" xr:uid="{00000000-0005-0000-0000-000027000000}"/>
    <cellStyle name="Vírgula 2 3 3 3 2 4 2" xfId="7820" xr:uid="{00000000-0005-0000-0000-000027000000}"/>
    <cellStyle name="Vírgula 2 3 3 3 2 4 2 2" xfId="15980" xr:uid="{00000000-0005-0000-0000-000027000000}"/>
    <cellStyle name="Vírgula 2 3 3 3 2 4 3" xfId="11900" xr:uid="{00000000-0005-0000-0000-000027000000}"/>
    <cellStyle name="Vírgula 2 3 3 3 2 5" xfId="4759" xr:uid="{00000000-0005-0000-0000-000027000000}"/>
    <cellStyle name="Vírgula 2 3 3 3 2 5 2" xfId="12920" xr:uid="{00000000-0005-0000-0000-000027000000}"/>
    <cellStyle name="Vírgula 2 3 3 3 2 6" xfId="8840" xr:uid="{00000000-0005-0000-0000-000027000000}"/>
    <cellStyle name="Vírgula 2 3 3 3 3" xfId="2311" xr:uid="{00000000-0005-0000-0000-000027000000}"/>
    <cellStyle name="Vírgula 2 3 3 3 3 2" xfId="6392" xr:uid="{00000000-0005-0000-0000-000027000000}"/>
    <cellStyle name="Vírgula 2 3 3 3 3 2 2" xfId="14552" xr:uid="{00000000-0005-0000-0000-000027000000}"/>
    <cellStyle name="Vírgula 2 3 3 3 3 3" xfId="10472" xr:uid="{00000000-0005-0000-0000-000027000000}"/>
    <cellStyle name="Vírgula 2 3 3 3 4" xfId="1291" xr:uid="{00000000-0005-0000-0000-000027000000}"/>
    <cellStyle name="Vírgula 2 3 3 3 4 2" xfId="5372" xr:uid="{00000000-0005-0000-0000-000027000000}"/>
    <cellStyle name="Vírgula 2 3 3 3 4 2 2" xfId="13532" xr:uid="{00000000-0005-0000-0000-000027000000}"/>
    <cellStyle name="Vírgula 2 3 3 3 4 3" xfId="9452" xr:uid="{00000000-0005-0000-0000-000027000000}"/>
    <cellStyle name="Vírgula 2 3 3 3 5" xfId="3331" xr:uid="{00000000-0005-0000-0000-000027000000}"/>
    <cellStyle name="Vírgula 2 3 3 3 5 2" xfId="7412" xr:uid="{00000000-0005-0000-0000-000027000000}"/>
    <cellStyle name="Vírgula 2 3 3 3 5 2 2" xfId="15572" xr:uid="{00000000-0005-0000-0000-000027000000}"/>
    <cellStyle name="Vírgula 2 3 3 3 5 3" xfId="11492" xr:uid="{00000000-0005-0000-0000-000027000000}"/>
    <cellStyle name="Vírgula 2 3 3 3 6" xfId="4351" xr:uid="{00000000-0005-0000-0000-000027000000}"/>
    <cellStyle name="Vírgula 2 3 3 3 6 2" xfId="12512" xr:uid="{00000000-0005-0000-0000-000027000000}"/>
    <cellStyle name="Vírgula 2 3 3 3 7" xfId="8432" xr:uid="{00000000-0005-0000-0000-000027000000}"/>
    <cellStyle name="Vírgula 2 3 3 4" xfId="882" xr:uid="{00000000-0005-0000-0000-000027000000}"/>
    <cellStyle name="Vírgula 2 3 3 4 2" xfId="2923" xr:uid="{00000000-0005-0000-0000-000027000000}"/>
    <cellStyle name="Vírgula 2 3 3 4 2 2" xfId="7004" xr:uid="{00000000-0005-0000-0000-000027000000}"/>
    <cellStyle name="Vírgula 2 3 3 4 2 2 2" xfId="15164" xr:uid="{00000000-0005-0000-0000-000027000000}"/>
    <cellStyle name="Vírgula 2 3 3 4 2 3" xfId="11084" xr:uid="{00000000-0005-0000-0000-000027000000}"/>
    <cellStyle name="Vírgula 2 3 3 4 3" xfId="1903" xr:uid="{00000000-0005-0000-0000-000027000000}"/>
    <cellStyle name="Vírgula 2 3 3 4 3 2" xfId="5984" xr:uid="{00000000-0005-0000-0000-000027000000}"/>
    <cellStyle name="Vírgula 2 3 3 4 3 2 2" xfId="14144" xr:uid="{00000000-0005-0000-0000-000027000000}"/>
    <cellStyle name="Vírgula 2 3 3 4 3 3" xfId="10064" xr:uid="{00000000-0005-0000-0000-000027000000}"/>
    <cellStyle name="Vírgula 2 3 3 4 4" xfId="3943" xr:uid="{00000000-0005-0000-0000-000027000000}"/>
    <cellStyle name="Vírgula 2 3 3 4 4 2" xfId="8024" xr:uid="{00000000-0005-0000-0000-000027000000}"/>
    <cellStyle name="Vírgula 2 3 3 4 4 2 2" xfId="16184" xr:uid="{00000000-0005-0000-0000-000027000000}"/>
    <cellStyle name="Vírgula 2 3 3 4 4 3" xfId="12104" xr:uid="{00000000-0005-0000-0000-000027000000}"/>
    <cellStyle name="Vírgula 2 3 3 4 5" xfId="4963" xr:uid="{00000000-0005-0000-0000-000027000000}"/>
    <cellStyle name="Vírgula 2 3 3 4 5 2" xfId="13124" xr:uid="{00000000-0005-0000-0000-000027000000}"/>
    <cellStyle name="Vírgula 2 3 3 4 6" xfId="9044" xr:uid="{00000000-0005-0000-0000-000027000000}"/>
    <cellStyle name="Vírgula 2 3 3 5" xfId="474" xr:uid="{00000000-0005-0000-0000-000027000000}"/>
    <cellStyle name="Vírgula 2 3 3 5 2" xfId="2515" xr:uid="{00000000-0005-0000-0000-000027000000}"/>
    <cellStyle name="Vírgula 2 3 3 5 2 2" xfId="6596" xr:uid="{00000000-0005-0000-0000-000027000000}"/>
    <cellStyle name="Vírgula 2 3 3 5 2 2 2" xfId="14756" xr:uid="{00000000-0005-0000-0000-000027000000}"/>
    <cellStyle name="Vírgula 2 3 3 5 2 3" xfId="10676" xr:uid="{00000000-0005-0000-0000-000027000000}"/>
    <cellStyle name="Vírgula 2 3 3 5 3" xfId="1495" xr:uid="{00000000-0005-0000-0000-000027000000}"/>
    <cellStyle name="Vírgula 2 3 3 5 3 2" xfId="5576" xr:uid="{00000000-0005-0000-0000-000027000000}"/>
    <cellStyle name="Vírgula 2 3 3 5 3 2 2" xfId="13736" xr:uid="{00000000-0005-0000-0000-000027000000}"/>
    <cellStyle name="Vírgula 2 3 3 5 3 3" xfId="9656" xr:uid="{00000000-0005-0000-0000-000027000000}"/>
    <cellStyle name="Vírgula 2 3 3 5 4" xfId="3535" xr:uid="{00000000-0005-0000-0000-000027000000}"/>
    <cellStyle name="Vírgula 2 3 3 5 4 2" xfId="7616" xr:uid="{00000000-0005-0000-0000-000027000000}"/>
    <cellStyle name="Vírgula 2 3 3 5 4 2 2" xfId="15776" xr:uid="{00000000-0005-0000-0000-000027000000}"/>
    <cellStyle name="Vírgula 2 3 3 5 4 3" xfId="11696" xr:uid="{00000000-0005-0000-0000-000027000000}"/>
    <cellStyle name="Vírgula 2 3 3 5 5" xfId="4555" xr:uid="{00000000-0005-0000-0000-000027000000}"/>
    <cellStyle name="Vírgula 2 3 3 5 5 2" xfId="12716" xr:uid="{00000000-0005-0000-0000-000027000000}"/>
    <cellStyle name="Vírgula 2 3 3 5 6" xfId="8636" xr:uid="{00000000-0005-0000-0000-000027000000}"/>
    <cellStyle name="Vírgula 2 3 3 6" xfId="2107" xr:uid="{00000000-0005-0000-0000-000027000000}"/>
    <cellStyle name="Vírgula 2 3 3 6 2" xfId="6188" xr:uid="{00000000-0005-0000-0000-000027000000}"/>
    <cellStyle name="Vírgula 2 3 3 6 2 2" xfId="14348" xr:uid="{00000000-0005-0000-0000-000027000000}"/>
    <cellStyle name="Vírgula 2 3 3 6 3" xfId="10268" xr:uid="{00000000-0005-0000-0000-000027000000}"/>
    <cellStyle name="Vírgula 2 3 3 7" xfId="1087" xr:uid="{00000000-0005-0000-0000-000027000000}"/>
    <cellStyle name="Vírgula 2 3 3 7 2" xfId="5168" xr:uid="{00000000-0005-0000-0000-000027000000}"/>
    <cellStyle name="Vírgula 2 3 3 7 2 2" xfId="13328" xr:uid="{00000000-0005-0000-0000-000027000000}"/>
    <cellStyle name="Vírgula 2 3 3 7 3" xfId="9248" xr:uid="{00000000-0005-0000-0000-000027000000}"/>
    <cellStyle name="Vírgula 2 3 3 8" xfId="3127" xr:uid="{00000000-0005-0000-0000-000027000000}"/>
    <cellStyle name="Vírgula 2 3 3 8 2" xfId="7208" xr:uid="{00000000-0005-0000-0000-000027000000}"/>
    <cellStyle name="Vírgula 2 3 3 8 2 2" xfId="15368" xr:uid="{00000000-0005-0000-0000-000027000000}"/>
    <cellStyle name="Vírgula 2 3 3 8 3" xfId="11288" xr:uid="{00000000-0005-0000-0000-000027000000}"/>
    <cellStyle name="Vírgula 2 3 3 9" xfId="4147" xr:uid="{00000000-0005-0000-0000-000027000000}"/>
    <cellStyle name="Vírgula 2 3 3 9 2" xfId="12308" xr:uid="{00000000-0005-0000-0000-000027000000}"/>
    <cellStyle name="Vírgula 2 3 4" xfId="117" xr:uid="{00000000-0005-0000-0000-000027000000}"/>
    <cellStyle name="Vírgula 2 3 4 2" xfId="321" xr:uid="{00000000-0005-0000-0000-000027000000}"/>
    <cellStyle name="Vírgula 2 3 4 2 2" xfId="729" xr:uid="{00000000-0005-0000-0000-000027000000}"/>
    <cellStyle name="Vírgula 2 3 4 2 2 2" xfId="2770" xr:uid="{00000000-0005-0000-0000-000027000000}"/>
    <cellStyle name="Vírgula 2 3 4 2 2 2 2" xfId="6851" xr:uid="{00000000-0005-0000-0000-000027000000}"/>
    <cellStyle name="Vírgula 2 3 4 2 2 2 2 2" xfId="15011" xr:uid="{00000000-0005-0000-0000-000027000000}"/>
    <cellStyle name="Vírgula 2 3 4 2 2 2 3" xfId="10931" xr:uid="{00000000-0005-0000-0000-000027000000}"/>
    <cellStyle name="Vírgula 2 3 4 2 2 3" xfId="1750" xr:uid="{00000000-0005-0000-0000-000027000000}"/>
    <cellStyle name="Vírgula 2 3 4 2 2 3 2" xfId="5831" xr:uid="{00000000-0005-0000-0000-000027000000}"/>
    <cellStyle name="Vírgula 2 3 4 2 2 3 2 2" xfId="13991" xr:uid="{00000000-0005-0000-0000-000027000000}"/>
    <cellStyle name="Vírgula 2 3 4 2 2 3 3" xfId="9911" xr:uid="{00000000-0005-0000-0000-000027000000}"/>
    <cellStyle name="Vírgula 2 3 4 2 2 4" xfId="3790" xr:uid="{00000000-0005-0000-0000-000027000000}"/>
    <cellStyle name="Vírgula 2 3 4 2 2 4 2" xfId="7871" xr:uid="{00000000-0005-0000-0000-000027000000}"/>
    <cellStyle name="Vírgula 2 3 4 2 2 4 2 2" xfId="16031" xr:uid="{00000000-0005-0000-0000-000027000000}"/>
    <cellStyle name="Vírgula 2 3 4 2 2 4 3" xfId="11951" xr:uid="{00000000-0005-0000-0000-000027000000}"/>
    <cellStyle name="Vírgula 2 3 4 2 2 5" xfId="4810" xr:uid="{00000000-0005-0000-0000-000027000000}"/>
    <cellStyle name="Vírgula 2 3 4 2 2 5 2" xfId="12971" xr:uid="{00000000-0005-0000-0000-000027000000}"/>
    <cellStyle name="Vírgula 2 3 4 2 2 6" xfId="8891" xr:uid="{00000000-0005-0000-0000-000027000000}"/>
    <cellStyle name="Vírgula 2 3 4 2 3" xfId="2362" xr:uid="{00000000-0005-0000-0000-000027000000}"/>
    <cellStyle name="Vírgula 2 3 4 2 3 2" xfId="6443" xr:uid="{00000000-0005-0000-0000-000027000000}"/>
    <cellStyle name="Vírgula 2 3 4 2 3 2 2" xfId="14603" xr:uid="{00000000-0005-0000-0000-000027000000}"/>
    <cellStyle name="Vírgula 2 3 4 2 3 3" xfId="10523" xr:uid="{00000000-0005-0000-0000-000027000000}"/>
    <cellStyle name="Vírgula 2 3 4 2 4" xfId="1342" xr:uid="{00000000-0005-0000-0000-000027000000}"/>
    <cellStyle name="Vírgula 2 3 4 2 4 2" xfId="5423" xr:uid="{00000000-0005-0000-0000-000027000000}"/>
    <cellStyle name="Vírgula 2 3 4 2 4 2 2" xfId="13583" xr:uid="{00000000-0005-0000-0000-000027000000}"/>
    <cellStyle name="Vírgula 2 3 4 2 4 3" xfId="9503" xr:uid="{00000000-0005-0000-0000-000027000000}"/>
    <cellStyle name="Vírgula 2 3 4 2 5" xfId="3382" xr:uid="{00000000-0005-0000-0000-000027000000}"/>
    <cellStyle name="Vírgula 2 3 4 2 5 2" xfId="7463" xr:uid="{00000000-0005-0000-0000-000027000000}"/>
    <cellStyle name="Vírgula 2 3 4 2 5 2 2" xfId="15623" xr:uid="{00000000-0005-0000-0000-000027000000}"/>
    <cellStyle name="Vírgula 2 3 4 2 5 3" xfId="11543" xr:uid="{00000000-0005-0000-0000-000027000000}"/>
    <cellStyle name="Vírgula 2 3 4 2 6" xfId="4402" xr:uid="{00000000-0005-0000-0000-000027000000}"/>
    <cellStyle name="Vírgula 2 3 4 2 6 2" xfId="12563" xr:uid="{00000000-0005-0000-0000-000027000000}"/>
    <cellStyle name="Vírgula 2 3 4 2 7" xfId="8483" xr:uid="{00000000-0005-0000-0000-000027000000}"/>
    <cellStyle name="Vírgula 2 3 4 3" xfId="933" xr:uid="{00000000-0005-0000-0000-000027000000}"/>
    <cellStyle name="Vírgula 2 3 4 3 2" xfId="2974" xr:uid="{00000000-0005-0000-0000-000027000000}"/>
    <cellStyle name="Vírgula 2 3 4 3 2 2" xfId="7055" xr:uid="{00000000-0005-0000-0000-000027000000}"/>
    <cellStyle name="Vírgula 2 3 4 3 2 2 2" xfId="15215" xr:uid="{00000000-0005-0000-0000-000027000000}"/>
    <cellStyle name="Vírgula 2 3 4 3 2 3" xfId="11135" xr:uid="{00000000-0005-0000-0000-000027000000}"/>
    <cellStyle name="Vírgula 2 3 4 3 3" xfId="1954" xr:uid="{00000000-0005-0000-0000-000027000000}"/>
    <cellStyle name="Vírgula 2 3 4 3 3 2" xfId="6035" xr:uid="{00000000-0005-0000-0000-000027000000}"/>
    <cellStyle name="Vírgula 2 3 4 3 3 2 2" xfId="14195" xr:uid="{00000000-0005-0000-0000-000027000000}"/>
    <cellStyle name="Vírgula 2 3 4 3 3 3" xfId="10115" xr:uid="{00000000-0005-0000-0000-000027000000}"/>
    <cellStyle name="Vírgula 2 3 4 3 4" xfId="3994" xr:uid="{00000000-0005-0000-0000-000027000000}"/>
    <cellStyle name="Vírgula 2 3 4 3 4 2" xfId="8075" xr:uid="{00000000-0005-0000-0000-000027000000}"/>
    <cellStyle name="Vírgula 2 3 4 3 4 2 2" xfId="16235" xr:uid="{00000000-0005-0000-0000-000027000000}"/>
    <cellStyle name="Vírgula 2 3 4 3 4 3" xfId="12155" xr:uid="{00000000-0005-0000-0000-000027000000}"/>
    <cellStyle name="Vírgula 2 3 4 3 5" xfId="5014" xr:uid="{00000000-0005-0000-0000-000027000000}"/>
    <cellStyle name="Vírgula 2 3 4 3 5 2" xfId="13175" xr:uid="{00000000-0005-0000-0000-000027000000}"/>
    <cellStyle name="Vírgula 2 3 4 3 6" xfId="9095" xr:uid="{00000000-0005-0000-0000-000027000000}"/>
    <cellStyle name="Vírgula 2 3 4 4" xfId="525" xr:uid="{00000000-0005-0000-0000-000027000000}"/>
    <cellStyle name="Vírgula 2 3 4 4 2" xfId="2566" xr:uid="{00000000-0005-0000-0000-000027000000}"/>
    <cellStyle name="Vírgula 2 3 4 4 2 2" xfId="6647" xr:uid="{00000000-0005-0000-0000-000027000000}"/>
    <cellStyle name="Vírgula 2 3 4 4 2 2 2" xfId="14807" xr:uid="{00000000-0005-0000-0000-000027000000}"/>
    <cellStyle name="Vírgula 2 3 4 4 2 3" xfId="10727" xr:uid="{00000000-0005-0000-0000-000027000000}"/>
    <cellStyle name="Vírgula 2 3 4 4 3" xfId="1546" xr:uid="{00000000-0005-0000-0000-000027000000}"/>
    <cellStyle name="Vírgula 2 3 4 4 3 2" xfId="5627" xr:uid="{00000000-0005-0000-0000-000027000000}"/>
    <cellStyle name="Vírgula 2 3 4 4 3 2 2" xfId="13787" xr:uid="{00000000-0005-0000-0000-000027000000}"/>
    <cellStyle name="Vírgula 2 3 4 4 3 3" xfId="9707" xr:uid="{00000000-0005-0000-0000-000027000000}"/>
    <cellStyle name="Vírgula 2 3 4 4 4" xfId="3586" xr:uid="{00000000-0005-0000-0000-000027000000}"/>
    <cellStyle name="Vírgula 2 3 4 4 4 2" xfId="7667" xr:uid="{00000000-0005-0000-0000-000027000000}"/>
    <cellStyle name="Vírgula 2 3 4 4 4 2 2" xfId="15827" xr:uid="{00000000-0005-0000-0000-000027000000}"/>
    <cellStyle name="Vírgula 2 3 4 4 4 3" xfId="11747" xr:uid="{00000000-0005-0000-0000-000027000000}"/>
    <cellStyle name="Vírgula 2 3 4 4 5" xfId="4606" xr:uid="{00000000-0005-0000-0000-000027000000}"/>
    <cellStyle name="Vírgula 2 3 4 4 5 2" xfId="12767" xr:uid="{00000000-0005-0000-0000-000027000000}"/>
    <cellStyle name="Vírgula 2 3 4 4 6" xfId="8687" xr:uid="{00000000-0005-0000-0000-000027000000}"/>
    <cellStyle name="Vírgula 2 3 4 5" xfId="2158" xr:uid="{00000000-0005-0000-0000-000027000000}"/>
    <cellStyle name="Vírgula 2 3 4 5 2" xfId="6239" xr:uid="{00000000-0005-0000-0000-000027000000}"/>
    <cellStyle name="Vírgula 2 3 4 5 2 2" xfId="14399" xr:uid="{00000000-0005-0000-0000-000027000000}"/>
    <cellStyle name="Vírgula 2 3 4 5 3" xfId="10319" xr:uid="{00000000-0005-0000-0000-000027000000}"/>
    <cellStyle name="Vírgula 2 3 4 6" xfId="1138" xr:uid="{00000000-0005-0000-0000-000027000000}"/>
    <cellStyle name="Vírgula 2 3 4 6 2" xfId="5219" xr:uid="{00000000-0005-0000-0000-000027000000}"/>
    <cellStyle name="Vírgula 2 3 4 6 2 2" xfId="13379" xr:uid="{00000000-0005-0000-0000-000027000000}"/>
    <cellStyle name="Vírgula 2 3 4 6 3" xfId="9299" xr:uid="{00000000-0005-0000-0000-000027000000}"/>
    <cellStyle name="Vírgula 2 3 4 7" xfId="3178" xr:uid="{00000000-0005-0000-0000-000027000000}"/>
    <cellStyle name="Vírgula 2 3 4 7 2" xfId="7259" xr:uid="{00000000-0005-0000-0000-000027000000}"/>
    <cellStyle name="Vírgula 2 3 4 7 2 2" xfId="15419" xr:uid="{00000000-0005-0000-0000-000027000000}"/>
    <cellStyle name="Vírgula 2 3 4 7 3" xfId="11339" xr:uid="{00000000-0005-0000-0000-000027000000}"/>
    <cellStyle name="Vírgula 2 3 4 8" xfId="4198" xr:uid="{00000000-0005-0000-0000-000027000000}"/>
    <cellStyle name="Vírgula 2 3 4 8 2" xfId="12359" xr:uid="{00000000-0005-0000-0000-000027000000}"/>
    <cellStyle name="Vírgula 2 3 4 9" xfId="8279" xr:uid="{00000000-0005-0000-0000-000027000000}"/>
    <cellStyle name="Vírgula 2 3 5" xfId="219" xr:uid="{00000000-0005-0000-0000-000027000000}"/>
    <cellStyle name="Vírgula 2 3 5 2" xfId="627" xr:uid="{00000000-0005-0000-0000-000027000000}"/>
    <cellStyle name="Vírgula 2 3 5 2 2" xfId="2668" xr:uid="{00000000-0005-0000-0000-000027000000}"/>
    <cellStyle name="Vírgula 2 3 5 2 2 2" xfId="6749" xr:uid="{00000000-0005-0000-0000-000027000000}"/>
    <cellStyle name="Vírgula 2 3 5 2 2 2 2" xfId="14909" xr:uid="{00000000-0005-0000-0000-000027000000}"/>
    <cellStyle name="Vírgula 2 3 5 2 2 3" xfId="10829" xr:uid="{00000000-0005-0000-0000-000027000000}"/>
    <cellStyle name="Vírgula 2 3 5 2 3" xfId="1648" xr:uid="{00000000-0005-0000-0000-000027000000}"/>
    <cellStyle name="Vírgula 2 3 5 2 3 2" xfId="5729" xr:uid="{00000000-0005-0000-0000-000027000000}"/>
    <cellStyle name="Vírgula 2 3 5 2 3 2 2" xfId="13889" xr:uid="{00000000-0005-0000-0000-000027000000}"/>
    <cellStyle name="Vírgula 2 3 5 2 3 3" xfId="9809" xr:uid="{00000000-0005-0000-0000-000027000000}"/>
    <cellStyle name="Vírgula 2 3 5 2 4" xfId="3688" xr:uid="{00000000-0005-0000-0000-000027000000}"/>
    <cellStyle name="Vírgula 2 3 5 2 4 2" xfId="7769" xr:uid="{00000000-0005-0000-0000-000027000000}"/>
    <cellStyle name="Vírgula 2 3 5 2 4 2 2" xfId="15929" xr:uid="{00000000-0005-0000-0000-000027000000}"/>
    <cellStyle name="Vírgula 2 3 5 2 4 3" xfId="11849" xr:uid="{00000000-0005-0000-0000-000027000000}"/>
    <cellStyle name="Vírgula 2 3 5 2 5" xfId="4708" xr:uid="{00000000-0005-0000-0000-000027000000}"/>
    <cellStyle name="Vírgula 2 3 5 2 5 2" xfId="12869" xr:uid="{00000000-0005-0000-0000-000027000000}"/>
    <cellStyle name="Vírgula 2 3 5 2 6" xfId="8789" xr:uid="{00000000-0005-0000-0000-000027000000}"/>
    <cellStyle name="Vírgula 2 3 5 3" xfId="2260" xr:uid="{00000000-0005-0000-0000-000027000000}"/>
    <cellStyle name="Vírgula 2 3 5 3 2" xfId="6341" xr:uid="{00000000-0005-0000-0000-000027000000}"/>
    <cellStyle name="Vírgula 2 3 5 3 2 2" xfId="14501" xr:uid="{00000000-0005-0000-0000-000027000000}"/>
    <cellStyle name="Vírgula 2 3 5 3 3" xfId="10421" xr:uid="{00000000-0005-0000-0000-000027000000}"/>
    <cellStyle name="Vírgula 2 3 5 4" xfId="1240" xr:uid="{00000000-0005-0000-0000-000027000000}"/>
    <cellStyle name="Vírgula 2 3 5 4 2" xfId="5321" xr:uid="{00000000-0005-0000-0000-000027000000}"/>
    <cellStyle name="Vírgula 2 3 5 4 2 2" xfId="13481" xr:uid="{00000000-0005-0000-0000-000027000000}"/>
    <cellStyle name="Vírgula 2 3 5 4 3" xfId="9401" xr:uid="{00000000-0005-0000-0000-000027000000}"/>
    <cellStyle name="Vírgula 2 3 5 5" xfId="3280" xr:uid="{00000000-0005-0000-0000-000027000000}"/>
    <cellStyle name="Vírgula 2 3 5 5 2" xfId="7361" xr:uid="{00000000-0005-0000-0000-000027000000}"/>
    <cellStyle name="Vírgula 2 3 5 5 2 2" xfId="15521" xr:uid="{00000000-0005-0000-0000-000027000000}"/>
    <cellStyle name="Vírgula 2 3 5 5 3" xfId="11441" xr:uid="{00000000-0005-0000-0000-000027000000}"/>
    <cellStyle name="Vírgula 2 3 5 6" xfId="4300" xr:uid="{00000000-0005-0000-0000-000027000000}"/>
    <cellStyle name="Vírgula 2 3 5 6 2" xfId="12461" xr:uid="{00000000-0005-0000-0000-000027000000}"/>
    <cellStyle name="Vírgula 2 3 5 7" xfId="8381" xr:uid="{00000000-0005-0000-0000-000027000000}"/>
    <cellStyle name="Vírgula 2 3 6" xfId="831" xr:uid="{00000000-0005-0000-0000-000027000000}"/>
    <cellStyle name="Vírgula 2 3 6 2" xfId="2872" xr:uid="{00000000-0005-0000-0000-000027000000}"/>
    <cellStyle name="Vírgula 2 3 6 2 2" xfId="6953" xr:uid="{00000000-0005-0000-0000-000027000000}"/>
    <cellStyle name="Vírgula 2 3 6 2 2 2" xfId="15113" xr:uid="{00000000-0005-0000-0000-000027000000}"/>
    <cellStyle name="Vírgula 2 3 6 2 3" xfId="11033" xr:uid="{00000000-0005-0000-0000-000027000000}"/>
    <cellStyle name="Vírgula 2 3 6 3" xfId="1852" xr:uid="{00000000-0005-0000-0000-000027000000}"/>
    <cellStyle name="Vírgula 2 3 6 3 2" xfId="5933" xr:uid="{00000000-0005-0000-0000-000027000000}"/>
    <cellStyle name="Vírgula 2 3 6 3 2 2" xfId="14093" xr:uid="{00000000-0005-0000-0000-000027000000}"/>
    <cellStyle name="Vírgula 2 3 6 3 3" xfId="10013" xr:uid="{00000000-0005-0000-0000-000027000000}"/>
    <cellStyle name="Vírgula 2 3 6 4" xfId="3892" xr:uid="{00000000-0005-0000-0000-000027000000}"/>
    <cellStyle name="Vírgula 2 3 6 4 2" xfId="7973" xr:uid="{00000000-0005-0000-0000-000027000000}"/>
    <cellStyle name="Vírgula 2 3 6 4 2 2" xfId="16133" xr:uid="{00000000-0005-0000-0000-000027000000}"/>
    <cellStyle name="Vírgula 2 3 6 4 3" xfId="12053" xr:uid="{00000000-0005-0000-0000-000027000000}"/>
    <cellStyle name="Vírgula 2 3 6 5" xfId="4912" xr:uid="{00000000-0005-0000-0000-000027000000}"/>
    <cellStyle name="Vírgula 2 3 6 5 2" xfId="13073" xr:uid="{00000000-0005-0000-0000-000027000000}"/>
    <cellStyle name="Vírgula 2 3 6 6" xfId="8993" xr:uid="{00000000-0005-0000-0000-000027000000}"/>
    <cellStyle name="Vírgula 2 3 7" xfId="423" xr:uid="{00000000-0005-0000-0000-000027000000}"/>
    <cellStyle name="Vírgula 2 3 7 2" xfId="2464" xr:uid="{00000000-0005-0000-0000-000027000000}"/>
    <cellStyle name="Vírgula 2 3 7 2 2" xfId="6545" xr:uid="{00000000-0005-0000-0000-000027000000}"/>
    <cellStyle name="Vírgula 2 3 7 2 2 2" xfId="14705" xr:uid="{00000000-0005-0000-0000-000027000000}"/>
    <cellStyle name="Vírgula 2 3 7 2 3" xfId="10625" xr:uid="{00000000-0005-0000-0000-000027000000}"/>
    <cellStyle name="Vírgula 2 3 7 3" xfId="1444" xr:uid="{00000000-0005-0000-0000-000027000000}"/>
    <cellStyle name="Vírgula 2 3 7 3 2" xfId="5525" xr:uid="{00000000-0005-0000-0000-000027000000}"/>
    <cellStyle name="Vírgula 2 3 7 3 2 2" xfId="13685" xr:uid="{00000000-0005-0000-0000-000027000000}"/>
    <cellStyle name="Vírgula 2 3 7 3 3" xfId="9605" xr:uid="{00000000-0005-0000-0000-000027000000}"/>
    <cellStyle name="Vírgula 2 3 7 4" xfId="3484" xr:uid="{00000000-0005-0000-0000-000027000000}"/>
    <cellStyle name="Vírgula 2 3 7 4 2" xfId="7565" xr:uid="{00000000-0005-0000-0000-000027000000}"/>
    <cellStyle name="Vírgula 2 3 7 4 2 2" xfId="15725" xr:uid="{00000000-0005-0000-0000-000027000000}"/>
    <cellStyle name="Vírgula 2 3 7 4 3" xfId="11645" xr:uid="{00000000-0005-0000-0000-000027000000}"/>
    <cellStyle name="Vírgula 2 3 7 5" xfId="4504" xr:uid="{00000000-0005-0000-0000-000027000000}"/>
    <cellStyle name="Vírgula 2 3 7 5 2" xfId="12665" xr:uid="{00000000-0005-0000-0000-000027000000}"/>
    <cellStyle name="Vírgula 2 3 7 6" xfId="8585" xr:uid="{00000000-0005-0000-0000-000027000000}"/>
    <cellStyle name="Vírgula 2 3 8" xfId="2056" xr:uid="{00000000-0005-0000-0000-000027000000}"/>
    <cellStyle name="Vírgula 2 3 8 2" xfId="6137" xr:uid="{00000000-0005-0000-0000-000027000000}"/>
    <cellStyle name="Vírgula 2 3 8 2 2" xfId="14297" xr:uid="{00000000-0005-0000-0000-000027000000}"/>
    <cellStyle name="Vírgula 2 3 8 3" xfId="10217" xr:uid="{00000000-0005-0000-0000-000027000000}"/>
    <cellStyle name="Vírgula 2 3 9" xfId="1036" xr:uid="{00000000-0005-0000-0000-000027000000}"/>
    <cellStyle name="Vírgula 2 3 9 2" xfId="5117" xr:uid="{00000000-0005-0000-0000-000027000000}"/>
    <cellStyle name="Vírgula 2 3 9 2 2" xfId="13277" xr:uid="{00000000-0005-0000-0000-000027000000}"/>
    <cellStyle name="Vírgula 2 3 9 3" xfId="9197" xr:uid="{00000000-0005-0000-0000-000027000000}"/>
    <cellStyle name="Vírgula 2 4" xfId="20" xr:uid="{00000000-0005-0000-0000-000029000000}"/>
    <cellStyle name="Vírgula 2 4 10" xfId="3084" xr:uid="{00000000-0005-0000-0000-000029000000}"/>
    <cellStyle name="Vírgula 2 4 10 2" xfId="7165" xr:uid="{00000000-0005-0000-0000-000029000000}"/>
    <cellStyle name="Vírgula 2 4 10 2 2" xfId="15325" xr:uid="{00000000-0005-0000-0000-000029000000}"/>
    <cellStyle name="Vírgula 2 4 10 3" xfId="11245" xr:uid="{00000000-0005-0000-0000-000029000000}"/>
    <cellStyle name="Vírgula 2 4 11" xfId="4104" xr:uid="{00000000-0005-0000-0000-000029000000}"/>
    <cellStyle name="Vírgula 2 4 11 2" xfId="12265" xr:uid="{00000000-0005-0000-0000-000029000000}"/>
    <cellStyle name="Vírgula 2 4 12" xfId="8185" xr:uid="{00000000-0005-0000-0000-000029000000}"/>
    <cellStyle name="Vírgula 2 4 2" xfId="48" xr:uid="{00000000-0005-0000-0000-00002A000000}"/>
    <cellStyle name="Vírgula 2 4 2 10" xfId="4129" xr:uid="{00000000-0005-0000-0000-00002A000000}"/>
    <cellStyle name="Vírgula 2 4 2 10 2" xfId="12290" xr:uid="{00000000-0005-0000-0000-00002A000000}"/>
    <cellStyle name="Vírgula 2 4 2 11" xfId="8210" xr:uid="{00000000-0005-0000-0000-00002A000000}"/>
    <cellStyle name="Vírgula 2 4 2 2" xfId="99" xr:uid="{00000000-0005-0000-0000-00002A000000}"/>
    <cellStyle name="Vírgula 2 4 2 2 10" xfId="8261" xr:uid="{00000000-0005-0000-0000-00002A000000}"/>
    <cellStyle name="Vírgula 2 4 2 2 2" xfId="201" xr:uid="{00000000-0005-0000-0000-00002A000000}"/>
    <cellStyle name="Vírgula 2 4 2 2 2 2" xfId="405" xr:uid="{00000000-0005-0000-0000-00002A000000}"/>
    <cellStyle name="Vírgula 2 4 2 2 2 2 2" xfId="813" xr:uid="{00000000-0005-0000-0000-00002A000000}"/>
    <cellStyle name="Vírgula 2 4 2 2 2 2 2 2" xfId="2854" xr:uid="{00000000-0005-0000-0000-00002A000000}"/>
    <cellStyle name="Vírgula 2 4 2 2 2 2 2 2 2" xfId="6935" xr:uid="{00000000-0005-0000-0000-00002A000000}"/>
    <cellStyle name="Vírgula 2 4 2 2 2 2 2 2 2 2" xfId="15095" xr:uid="{00000000-0005-0000-0000-00002A000000}"/>
    <cellStyle name="Vírgula 2 4 2 2 2 2 2 2 3" xfId="11015" xr:uid="{00000000-0005-0000-0000-00002A000000}"/>
    <cellStyle name="Vírgula 2 4 2 2 2 2 2 3" xfId="1834" xr:uid="{00000000-0005-0000-0000-00002A000000}"/>
    <cellStyle name="Vírgula 2 4 2 2 2 2 2 3 2" xfId="5915" xr:uid="{00000000-0005-0000-0000-00002A000000}"/>
    <cellStyle name="Vírgula 2 4 2 2 2 2 2 3 2 2" xfId="14075" xr:uid="{00000000-0005-0000-0000-00002A000000}"/>
    <cellStyle name="Vírgula 2 4 2 2 2 2 2 3 3" xfId="9995" xr:uid="{00000000-0005-0000-0000-00002A000000}"/>
    <cellStyle name="Vírgula 2 4 2 2 2 2 2 4" xfId="3874" xr:uid="{00000000-0005-0000-0000-00002A000000}"/>
    <cellStyle name="Vírgula 2 4 2 2 2 2 2 4 2" xfId="7955" xr:uid="{00000000-0005-0000-0000-00002A000000}"/>
    <cellStyle name="Vírgula 2 4 2 2 2 2 2 4 2 2" xfId="16115" xr:uid="{00000000-0005-0000-0000-00002A000000}"/>
    <cellStyle name="Vírgula 2 4 2 2 2 2 2 4 3" xfId="12035" xr:uid="{00000000-0005-0000-0000-00002A000000}"/>
    <cellStyle name="Vírgula 2 4 2 2 2 2 2 5" xfId="4894" xr:uid="{00000000-0005-0000-0000-00002A000000}"/>
    <cellStyle name="Vírgula 2 4 2 2 2 2 2 5 2" xfId="13055" xr:uid="{00000000-0005-0000-0000-00002A000000}"/>
    <cellStyle name="Vírgula 2 4 2 2 2 2 2 6" xfId="8975" xr:uid="{00000000-0005-0000-0000-00002A000000}"/>
    <cellStyle name="Vírgula 2 4 2 2 2 2 3" xfId="2446" xr:uid="{00000000-0005-0000-0000-00002A000000}"/>
    <cellStyle name="Vírgula 2 4 2 2 2 2 3 2" xfId="6527" xr:uid="{00000000-0005-0000-0000-00002A000000}"/>
    <cellStyle name="Vírgula 2 4 2 2 2 2 3 2 2" xfId="14687" xr:uid="{00000000-0005-0000-0000-00002A000000}"/>
    <cellStyle name="Vírgula 2 4 2 2 2 2 3 3" xfId="10607" xr:uid="{00000000-0005-0000-0000-00002A000000}"/>
    <cellStyle name="Vírgula 2 4 2 2 2 2 4" xfId="1426" xr:uid="{00000000-0005-0000-0000-00002A000000}"/>
    <cellStyle name="Vírgula 2 4 2 2 2 2 4 2" xfId="5507" xr:uid="{00000000-0005-0000-0000-00002A000000}"/>
    <cellStyle name="Vírgula 2 4 2 2 2 2 4 2 2" xfId="13667" xr:uid="{00000000-0005-0000-0000-00002A000000}"/>
    <cellStyle name="Vírgula 2 4 2 2 2 2 4 3" xfId="9587" xr:uid="{00000000-0005-0000-0000-00002A000000}"/>
    <cellStyle name="Vírgula 2 4 2 2 2 2 5" xfId="3466" xr:uid="{00000000-0005-0000-0000-00002A000000}"/>
    <cellStyle name="Vírgula 2 4 2 2 2 2 5 2" xfId="7547" xr:uid="{00000000-0005-0000-0000-00002A000000}"/>
    <cellStyle name="Vírgula 2 4 2 2 2 2 5 2 2" xfId="15707" xr:uid="{00000000-0005-0000-0000-00002A000000}"/>
    <cellStyle name="Vírgula 2 4 2 2 2 2 5 3" xfId="11627" xr:uid="{00000000-0005-0000-0000-00002A000000}"/>
    <cellStyle name="Vírgula 2 4 2 2 2 2 6" xfId="4486" xr:uid="{00000000-0005-0000-0000-00002A000000}"/>
    <cellStyle name="Vírgula 2 4 2 2 2 2 6 2" xfId="12647" xr:uid="{00000000-0005-0000-0000-00002A000000}"/>
    <cellStyle name="Vírgula 2 4 2 2 2 2 7" xfId="8567" xr:uid="{00000000-0005-0000-0000-00002A000000}"/>
    <cellStyle name="Vírgula 2 4 2 2 2 3" xfId="1017" xr:uid="{00000000-0005-0000-0000-00002A000000}"/>
    <cellStyle name="Vírgula 2 4 2 2 2 3 2" xfId="3058" xr:uid="{00000000-0005-0000-0000-00002A000000}"/>
    <cellStyle name="Vírgula 2 4 2 2 2 3 2 2" xfId="7139" xr:uid="{00000000-0005-0000-0000-00002A000000}"/>
    <cellStyle name="Vírgula 2 4 2 2 2 3 2 2 2" xfId="15299" xr:uid="{00000000-0005-0000-0000-00002A000000}"/>
    <cellStyle name="Vírgula 2 4 2 2 2 3 2 3" xfId="11219" xr:uid="{00000000-0005-0000-0000-00002A000000}"/>
    <cellStyle name="Vírgula 2 4 2 2 2 3 3" xfId="2038" xr:uid="{00000000-0005-0000-0000-00002A000000}"/>
    <cellStyle name="Vírgula 2 4 2 2 2 3 3 2" xfId="6119" xr:uid="{00000000-0005-0000-0000-00002A000000}"/>
    <cellStyle name="Vírgula 2 4 2 2 2 3 3 2 2" xfId="14279" xr:uid="{00000000-0005-0000-0000-00002A000000}"/>
    <cellStyle name="Vírgula 2 4 2 2 2 3 3 3" xfId="10199" xr:uid="{00000000-0005-0000-0000-00002A000000}"/>
    <cellStyle name="Vírgula 2 4 2 2 2 3 4" xfId="4078" xr:uid="{00000000-0005-0000-0000-00002A000000}"/>
    <cellStyle name="Vírgula 2 4 2 2 2 3 4 2" xfId="8159" xr:uid="{00000000-0005-0000-0000-00002A000000}"/>
    <cellStyle name="Vírgula 2 4 2 2 2 3 4 2 2" xfId="16319" xr:uid="{00000000-0005-0000-0000-00002A000000}"/>
    <cellStyle name="Vírgula 2 4 2 2 2 3 4 3" xfId="12239" xr:uid="{00000000-0005-0000-0000-00002A000000}"/>
    <cellStyle name="Vírgula 2 4 2 2 2 3 5" xfId="5098" xr:uid="{00000000-0005-0000-0000-00002A000000}"/>
    <cellStyle name="Vírgula 2 4 2 2 2 3 5 2" xfId="13259" xr:uid="{00000000-0005-0000-0000-00002A000000}"/>
    <cellStyle name="Vírgula 2 4 2 2 2 3 6" xfId="9179" xr:uid="{00000000-0005-0000-0000-00002A000000}"/>
    <cellStyle name="Vírgula 2 4 2 2 2 4" xfId="609" xr:uid="{00000000-0005-0000-0000-00002A000000}"/>
    <cellStyle name="Vírgula 2 4 2 2 2 4 2" xfId="2650" xr:uid="{00000000-0005-0000-0000-00002A000000}"/>
    <cellStyle name="Vírgula 2 4 2 2 2 4 2 2" xfId="6731" xr:uid="{00000000-0005-0000-0000-00002A000000}"/>
    <cellStyle name="Vírgula 2 4 2 2 2 4 2 2 2" xfId="14891" xr:uid="{00000000-0005-0000-0000-00002A000000}"/>
    <cellStyle name="Vírgula 2 4 2 2 2 4 2 3" xfId="10811" xr:uid="{00000000-0005-0000-0000-00002A000000}"/>
    <cellStyle name="Vírgula 2 4 2 2 2 4 3" xfId="1630" xr:uid="{00000000-0005-0000-0000-00002A000000}"/>
    <cellStyle name="Vírgula 2 4 2 2 2 4 3 2" xfId="5711" xr:uid="{00000000-0005-0000-0000-00002A000000}"/>
    <cellStyle name="Vírgula 2 4 2 2 2 4 3 2 2" xfId="13871" xr:uid="{00000000-0005-0000-0000-00002A000000}"/>
    <cellStyle name="Vírgula 2 4 2 2 2 4 3 3" xfId="9791" xr:uid="{00000000-0005-0000-0000-00002A000000}"/>
    <cellStyle name="Vírgula 2 4 2 2 2 4 4" xfId="3670" xr:uid="{00000000-0005-0000-0000-00002A000000}"/>
    <cellStyle name="Vírgula 2 4 2 2 2 4 4 2" xfId="7751" xr:uid="{00000000-0005-0000-0000-00002A000000}"/>
    <cellStyle name="Vírgula 2 4 2 2 2 4 4 2 2" xfId="15911" xr:uid="{00000000-0005-0000-0000-00002A000000}"/>
    <cellStyle name="Vírgula 2 4 2 2 2 4 4 3" xfId="11831" xr:uid="{00000000-0005-0000-0000-00002A000000}"/>
    <cellStyle name="Vírgula 2 4 2 2 2 4 5" xfId="4690" xr:uid="{00000000-0005-0000-0000-00002A000000}"/>
    <cellStyle name="Vírgula 2 4 2 2 2 4 5 2" xfId="12851" xr:uid="{00000000-0005-0000-0000-00002A000000}"/>
    <cellStyle name="Vírgula 2 4 2 2 2 4 6" xfId="8771" xr:uid="{00000000-0005-0000-0000-00002A000000}"/>
    <cellStyle name="Vírgula 2 4 2 2 2 5" xfId="2242" xr:uid="{00000000-0005-0000-0000-00002A000000}"/>
    <cellStyle name="Vírgula 2 4 2 2 2 5 2" xfId="6323" xr:uid="{00000000-0005-0000-0000-00002A000000}"/>
    <cellStyle name="Vírgula 2 4 2 2 2 5 2 2" xfId="14483" xr:uid="{00000000-0005-0000-0000-00002A000000}"/>
    <cellStyle name="Vírgula 2 4 2 2 2 5 3" xfId="10403" xr:uid="{00000000-0005-0000-0000-00002A000000}"/>
    <cellStyle name="Vírgula 2 4 2 2 2 6" xfId="1222" xr:uid="{00000000-0005-0000-0000-00002A000000}"/>
    <cellStyle name="Vírgula 2 4 2 2 2 6 2" xfId="5303" xr:uid="{00000000-0005-0000-0000-00002A000000}"/>
    <cellStyle name="Vírgula 2 4 2 2 2 6 2 2" xfId="13463" xr:uid="{00000000-0005-0000-0000-00002A000000}"/>
    <cellStyle name="Vírgula 2 4 2 2 2 6 3" xfId="9383" xr:uid="{00000000-0005-0000-0000-00002A000000}"/>
    <cellStyle name="Vírgula 2 4 2 2 2 7" xfId="3262" xr:uid="{00000000-0005-0000-0000-00002A000000}"/>
    <cellStyle name="Vírgula 2 4 2 2 2 7 2" xfId="7343" xr:uid="{00000000-0005-0000-0000-00002A000000}"/>
    <cellStyle name="Vírgula 2 4 2 2 2 7 2 2" xfId="15503" xr:uid="{00000000-0005-0000-0000-00002A000000}"/>
    <cellStyle name="Vírgula 2 4 2 2 2 7 3" xfId="11423" xr:uid="{00000000-0005-0000-0000-00002A000000}"/>
    <cellStyle name="Vírgula 2 4 2 2 2 8" xfId="4282" xr:uid="{00000000-0005-0000-0000-00002A000000}"/>
    <cellStyle name="Vírgula 2 4 2 2 2 8 2" xfId="12443" xr:uid="{00000000-0005-0000-0000-00002A000000}"/>
    <cellStyle name="Vírgula 2 4 2 2 2 9" xfId="8363" xr:uid="{00000000-0005-0000-0000-00002A000000}"/>
    <cellStyle name="Vírgula 2 4 2 2 3" xfId="303" xr:uid="{00000000-0005-0000-0000-00002A000000}"/>
    <cellStyle name="Vírgula 2 4 2 2 3 2" xfId="711" xr:uid="{00000000-0005-0000-0000-00002A000000}"/>
    <cellStyle name="Vírgula 2 4 2 2 3 2 2" xfId="2752" xr:uid="{00000000-0005-0000-0000-00002A000000}"/>
    <cellStyle name="Vírgula 2 4 2 2 3 2 2 2" xfId="6833" xr:uid="{00000000-0005-0000-0000-00002A000000}"/>
    <cellStyle name="Vírgula 2 4 2 2 3 2 2 2 2" xfId="14993" xr:uid="{00000000-0005-0000-0000-00002A000000}"/>
    <cellStyle name="Vírgula 2 4 2 2 3 2 2 3" xfId="10913" xr:uid="{00000000-0005-0000-0000-00002A000000}"/>
    <cellStyle name="Vírgula 2 4 2 2 3 2 3" xfId="1732" xr:uid="{00000000-0005-0000-0000-00002A000000}"/>
    <cellStyle name="Vírgula 2 4 2 2 3 2 3 2" xfId="5813" xr:uid="{00000000-0005-0000-0000-00002A000000}"/>
    <cellStyle name="Vírgula 2 4 2 2 3 2 3 2 2" xfId="13973" xr:uid="{00000000-0005-0000-0000-00002A000000}"/>
    <cellStyle name="Vírgula 2 4 2 2 3 2 3 3" xfId="9893" xr:uid="{00000000-0005-0000-0000-00002A000000}"/>
    <cellStyle name="Vírgula 2 4 2 2 3 2 4" xfId="3772" xr:uid="{00000000-0005-0000-0000-00002A000000}"/>
    <cellStyle name="Vírgula 2 4 2 2 3 2 4 2" xfId="7853" xr:uid="{00000000-0005-0000-0000-00002A000000}"/>
    <cellStyle name="Vírgula 2 4 2 2 3 2 4 2 2" xfId="16013" xr:uid="{00000000-0005-0000-0000-00002A000000}"/>
    <cellStyle name="Vírgula 2 4 2 2 3 2 4 3" xfId="11933" xr:uid="{00000000-0005-0000-0000-00002A000000}"/>
    <cellStyle name="Vírgula 2 4 2 2 3 2 5" xfId="4792" xr:uid="{00000000-0005-0000-0000-00002A000000}"/>
    <cellStyle name="Vírgula 2 4 2 2 3 2 5 2" xfId="12953" xr:uid="{00000000-0005-0000-0000-00002A000000}"/>
    <cellStyle name="Vírgula 2 4 2 2 3 2 6" xfId="8873" xr:uid="{00000000-0005-0000-0000-00002A000000}"/>
    <cellStyle name="Vírgula 2 4 2 2 3 3" xfId="2344" xr:uid="{00000000-0005-0000-0000-00002A000000}"/>
    <cellStyle name="Vírgula 2 4 2 2 3 3 2" xfId="6425" xr:uid="{00000000-0005-0000-0000-00002A000000}"/>
    <cellStyle name="Vírgula 2 4 2 2 3 3 2 2" xfId="14585" xr:uid="{00000000-0005-0000-0000-00002A000000}"/>
    <cellStyle name="Vírgula 2 4 2 2 3 3 3" xfId="10505" xr:uid="{00000000-0005-0000-0000-00002A000000}"/>
    <cellStyle name="Vírgula 2 4 2 2 3 4" xfId="1324" xr:uid="{00000000-0005-0000-0000-00002A000000}"/>
    <cellStyle name="Vírgula 2 4 2 2 3 4 2" xfId="5405" xr:uid="{00000000-0005-0000-0000-00002A000000}"/>
    <cellStyle name="Vírgula 2 4 2 2 3 4 2 2" xfId="13565" xr:uid="{00000000-0005-0000-0000-00002A000000}"/>
    <cellStyle name="Vírgula 2 4 2 2 3 4 3" xfId="9485" xr:uid="{00000000-0005-0000-0000-00002A000000}"/>
    <cellStyle name="Vírgula 2 4 2 2 3 5" xfId="3364" xr:uid="{00000000-0005-0000-0000-00002A000000}"/>
    <cellStyle name="Vírgula 2 4 2 2 3 5 2" xfId="7445" xr:uid="{00000000-0005-0000-0000-00002A000000}"/>
    <cellStyle name="Vírgula 2 4 2 2 3 5 2 2" xfId="15605" xr:uid="{00000000-0005-0000-0000-00002A000000}"/>
    <cellStyle name="Vírgula 2 4 2 2 3 5 3" xfId="11525" xr:uid="{00000000-0005-0000-0000-00002A000000}"/>
    <cellStyle name="Vírgula 2 4 2 2 3 6" xfId="4384" xr:uid="{00000000-0005-0000-0000-00002A000000}"/>
    <cellStyle name="Vírgula 2 4 2 2 3 6 2" xfId="12545" xr:uid="{00000000-0005-0000-0000-00002A000000}"/>
    <cellStyle name="Vírgula 2 4 2 2 3 7" xfId="8465" xr:uid="{00000000-0005-0000-0000-00002A000000}"/>
    <cellStyle name="Vírgula 2 4 2 2 4" xfId="915" xr:uid="{00000000-0005-0000-0000-00002A000000}"/>
    <cellStyle name="Vírgula 2 4 2 2 4 2" xfId="2956" xr:uid="{00000000-0005-0000-0000-00002A000000}"/>
    <cellStyle name="Vírgula 2 4 2 2 4 2 2" xfId="7037" xr:uid="{00000000-0005-0000-0000-00002A000000}"/>
    <cellStyle name="Vírgula 2 4 2 2 4 2 2 2" xfId="15197" xr:uid="{00000000-0005-0000-0000-00002A000000}"/>
    <cellStyle name="Vírgula 2 4 2 2 4 2 3" xfId="11117" xr:uid="{00000000-0005-0000-0000-00002A000000}"/>
    <cellStyle name="Vírgula 2 4 2 2 4 3" xfId="1936" xr:uid="{00000000-0005-0000-0000-00002A000000}"/>
    <cellStyle name="Vírgula 2 4 2 2 4 3 2" xfId="6017" xr:uid="{00000000-0005-0000-0000-00002A000000}"/>
    <cellStyle name="Vírgula 2 4 2 2 4 3 2 2" xfId="14177" xr:uid="{00000000-0005-0000-0000-00002A000000}"/>
    <cellStyle name="Vírgula 2 4 2 2 4 3 3" xfId="10097" xr:uid="{00000000-0005-0000-0000-00002A000000}"/>
    <cellStyle name="Vírgula 2 4 2 2 4 4" xfId="3976" xr:uid="{00000000-0005-0000-0000-00002A000000}"/>
    <cellStyle name="Vírgula 2 4 2 2 4 4 2" xfId="8057" xr:uid="{00000000-0005-0000-0000-00002A000000}"/>
    <cellStyle name="Vírgula 2 4 2 2 4 4 2 2" xfId="16217" xr:uid="{00000000-0005-0000-0000-00002A000000}"/>
    <cellStyle name="Vírgula 2 4 2 2 4 4 3" xfId="12137" xr:uid="{00000000-0005-0000-0000-00002A000000}"/>
    <cellStyle name="Vírgula 2 4 2 2 4 5" xfId="4996" xr:uid="{00000000-0005-0000-0000-00002A000000}"/>
    <cellStyle name="Vírgula 2 4 2 2 4 5 2" xfId="13157" xr:uid="{00000000-0005-0000-0000-00002A000000}"/>
    <cellStyle name="Vírgula 2 4 2 2 4 6" xfId="9077" xr:uid="{00000000-0005-0000-0000-00002A000000}"/>
    <cellStyle name="Vírgula 2 4 2 2 5" xfId="507" xr:uid="{00000000-0005-0000-0000-00002A000000}"/>
    <cellStyle name="Vírgula 2 4 2 2 5 2" xfId="2548" xr:uid="{00000000-0005-0000-0000-00002A000000}"/>
    <cellStyle name="Vírgula 2 4 2 2 5 2 2" xfId="6629" xr:uid="{00000000-0005-0000-0000-00002A000000}"/>
    <cellStyle name="Vírgula 2 4 2 2 5 2 2 2" xfId="14789" xr:uid="{00000000-0005-0000-0000-00002A000000}"/>
    <cellStyle name="Vírgula 2 4 2 2 5 2 3" xfId="10709" xr:uid="{00000000-0005-0000-0000-00002A000000}"/>
    <cellStyle name="Vírgula 2 4 2 2 5 3" xfId="1528" xr:uid="{00000000-0005-0000-0000-00002A000000}"/>
    <cellStyle name="Vírgula 2 4 2 2 5 3 2" xfId="5609" xr:uid="{00000000-0005-0000-0000-00002A000000}"/>
    <cellStyle name="Vírgula 2 4 2 2 5 3 2 2" xfId="13769" xr:uid="{00000000-0005-0000-0000-00002A000000}"/>
    <cellStyle name="Vírgula 2 4 2 2 5 3 3" xfId="9689" xr:uid="{00000000-0005-0000-0000-00002A000000}"/>
    <cellStyle name="Vírgula 2 4 2 2 5 4" xfId="3568" xr:uid="{00000000-0005-0000-0000-00002A000000}"/>
    <cellStyle name="Vírgula 2 4 2 2 5 4 2" xfId="7649" xr:uid="{00000000-0005-0000-0000-00002A000000}"/>
    <cellStyle name="Vírgula 2 4 2 2 5 4 2 2" xfId="15809" xr:uid="{00000000-0005-0000-0000-00002A000000}"/>
    <cellStyle name="Vírgula 2 4 2 2 5 4 3" xfId="11729" xr:uid="{00000000-0005-0000-0000-00002A000000}"/>
    <cellStyle name="Vírgula 2 4 2 2 5 5" xfId="4588" xr:uid="{00000000-0005-0000-0000-00002A000000}"/>
    <cellStyle name="Vírgula 2 4 2 2 5 5 2" xfId="12749" xr:uid="{00000000-0005-0000-0000-00002A000000}"/>
    <cellStyle name="Vírgula 2 4 2 2 5 6" xfId="8669" xr:uid="{00000000-0005-0000-0000-00002A000000}"/>
    <cellStyle name="Vírgula 2 4 2 2 6" xfId="2140" xr:uid="{00000000-0005-0000-0000-00002A000000}"/>
    <cellStyle name="Vírgula 2 4 2 2 6 2" xfId="6221" xr:uid="{00000000-0005-0000-0000-00002A000000}"/>
    <cellStyle name="Vírgula 2 4 2 2 6 2 2" xfId="14381" xr:uid="{00000000-0005-0000-0000-00002A000000}"/>
    <cellStyle name="Vírgula 2 4 2 2 6 3" xfId="10301" xr:uid="{00000000-0005-0000-0000-00002A000000}"/>
    <cellStyle name="Vírgula 2 4 2 2 7" xfId="1120" xr:uid="{00000000-0005-0000-0000-00002A000000}"/>
    <cellStyle name="Vírgula 2 4 2 2 7 2" xfId="5201" xr:uid="{00000000-0005-0000-0000-00002A000000}"/>
    <cellStyle name="Vírgula 2 4 2 2 7 2 2" xfId="13361" xr:uid="{00000000-0005-0000-0000-00002A000000}"/>
    <cellStyle name="Vírgula 2 4 2 2 7 3" xfId="9281" xr:uid="{00000000-0005-0000-0000-00002A000000}"/>
    <cellStyle name="Vírgula 2 4 2 2 8" xfId="3160" xr:uid="{00000000-0005-0000-0000-00002A000000}"/>
    <cellStyle name="Vírgula 2 4 2 2 8 2" xfId="7241" xr:uid="{00000000-0005-0000-0000-00002A000000}"/>
    <cellStyle name="Vírgula 2 4 2 2 8 2 2" xfId="15401" xr:uid="{00000000-0005-0000-0000-00002A000000}"/>
    <cellStyle name="Vírgula 2 4 2 2 8 3" xfId="11321" xr:uid="{00000000-0005-0000-0000-00002A000000}"/>
    <cellStyle name="Vírgula 2 4 2 2 9" xfId="4180" xr:uid="{00000000-0005-0000-0000-00002A000000}"/>
    <cellStyle name="Vírgula 2 4 2 2 9 2" xfId="12341" xr:uid="{00000000-0005-0000-0000-00002A000000}"/>
    <cellStyle name="Vírgula 2 4 2 3" xfId="150" xr:uid="{00000000-0005-0000-0000-00002A000000}"/>
    <cellStyle name="Vírgula 2 4 2 3 2" xfId="354" xr:uid="{00000000-0005-0000-0000-00002A000000}"/>
    <cellStyle name="Vírgula 2 4 2 3 2 2" xfId="762" xr:uid="{00000000-0005-0000-0000-00002A000000}"/>
    <cellStyle name="Vírgula 2 4 2 3 2 2 2" xfId="2803" xr:uid="{00000000-0005-0000-0000-00002A000000}"/>
    <cellStyle name="Vírgula 2 4 2 3 2 2 2 2" xfId="6884" xr:uid="{00000000-0005-0000-0000-00002A000000}"/>
    <cellStyle name="Vírgula 2 4 2 3 2 2 2 2 2" xfId="15044" xr:uid="{00000000-0005-0000-0000-00002A000000}"/>
    <cellStyle name="Vírgula 2 4 2 3 2 2 2 3" xfId="10964" xr:uid="{00000000-0005-0000-0000-00002A000000}"/>
    <cellStyle name="Vírgula 2 4 2 3 2 2 3" xfId="1783" xr:uid="{00000000-0005-0000-0000-00002A000000}"/>
    <cellStyle name="Vírgula 2 4 2 3 2 2 3 2" xfId="5864" xr:uid="{00000000-0005-0000-0000-00002A000000}"/>
    <cellStyle name="Vírgula 2 4 2 3 2 2 3 2 2" xfId="14024" xr:uid="{00000000-0005-0000-0000-00002A000000}"/>
    <cellStyle name="Vírgula 2 4 2 3 2 2 3 3" xfId="9944" xr:uid="{00000000-0005-0000-0000-00002A000000}"/>
    <cellStyle name="Vírgula 2 4 2 3 2 2 4" xfId="3823" xr:uid="{00000000-0005-0000-0000-00002A000000}"/>
    <cellStyle name="Vírgula 2 4 2 3 2 2 4 2" xfId="7904" xr:uid="{00000000-0005-0000-0000-00002A000000}"/>
    <cellStyle name="Vírgula 2 4 2 3 2 2 4 2 2" xfId="16064" xr:uid="{00000000-0005-0000-0000-00002A000000}"/>
    <cellStyle name="Vírgula 2 4 2 3 2 2 4 3" xfId="11984" xr:uid="{00000000-0005-0000-0000-00002A000000}"/>
    <cellStyle name="Vírgula 2 4 2 3 2 2 5" xfId="4843" xr:uid="{00000000-0005-0000-0000-00002A000000}"/>
    <cellStyle name="Vírgula 2 4 2 3 2 2 5 2" xfId="13004" xr:uid="{00000000-0005-0000-0000-00002A000000}"/>
    <cellStyle name="Vírgula 2 4 2 3 2 2 6" xfId="8924" xr:uid="{00000000-0005-0000-0000-00002A000000}"/>
    <cellStyle name="Vírgula 2 4 2 3 2 3" xfId="2395" xr:uid="{00000000-0005-0000-0000-00002A000000}"/>
    <cellStyle name="Vírgula 2 4 2 3 2 3 2" xfId="6476" xr:uid="{00000000-0005-0000-0000-00002A000000}"/>
    <cellStyle name="Vírgula 2 4 2 3 2 3 2 2" xfId="14636" xr:uid="{00000000-0005-0000-0000-00002A000000}"/>
    <cellStyle name="Vírgula 2 4 2 3 2 3 3" xfId="10556" xr:uid="{00000000-0005-0000-0000-00002A000000}"/>
    <cellStyle name="Vírgula 2 4 2 3 2 4" xfId="1375" xr:uid="{00000000-0005-0000-0000-00002A000000}"/>
    <cellStyle name="Vírgula 2 4 2 3 2 4 2" xfId="5456" xr:uid="{00000000-0005-0000-0000-00002A000000}"/>
    <cellStyle name="Vírgula 2 4 2 3 2 4 2 2" xfId="13616" xr:uid="{00000000-0005-0000-0000-00002A000000}"/>
    <cellStyle name="Vírgula 2 4 2 3 2 4 3" xfId="9536" xr:uid="{00000000-0005-0000-0000-00002A000000}"/>
    <cellStyle name="Vírgula 2 4 2 3 2 5" xfId="3415" xr:uid="{00000000-0005-0000-0000-00002A000000}"/>
    <cellStyle name="Vírgula 2 4 2 3 2 5 2" xfId="7496" xr:uid="{00000000-0005-0000-0000-00002A000000}"/>
    <cellStyle name="Vírgula 2 4 2 3 2 5 2 2" xfId="15656" xr:uid="{00000000-0005-0000-0000-00002A000000}"/>
    <cellStyle name="Vírgula 2 4 2 3 2 5 3" xfId="11576" xr:uid="{00000000-0005-0000-0000-00002A000000}"/>
    <cellStyle name="Vírgula 2 4 2 3 2 6" xfId="4435" xr:uid="{00000000-0005-0000-0000-00002A000000}"/>
    <cellStyle name="Vírgula 2 4 2 3 2 6 2" xfId="12596" xr:uid="{00000000-0005-0000-0000-00002A000000}"/>
    <cellStyle name="Vírgula 2 4 2 3 2 7" xfId="8516" xr:uid="{00000000-0005-0000-0000-00002A000000}"/>
    <cellStyle name="Vírgula 2 4 2 3 3" xfId="966" xr:uid="{00000000-0005-0000-0000-00002A000000}"/>
    <cellStyle name="Vírgula 2 4 2 3 3 2" xfId="3007" xr:uid="{00000000-0005-0000-0000-00002A000000}"/>
    <cellStyle name="Vírgula 2 4 2 3 3 2 2" xfId="7088" xr:uid="{00000000-0005-0000-0000-00002A000000}"/>
    <cellStyle name="Vírgula 2 4 2 3 3 2 2 2" xfId="15248" xr:uid="{00000000-0005-0000-0000-00002A000000}"/>
    <cellStyle name="Vírgula 2 4 2 3 3 2 3" xfId="11168" xr:uid="{00000000-0005-0000-0000-00002A000000}"/>
    <cellStyle name="Vírgula 2 4 2 3 3 3" xfId="1987" xr:uid="{00000000-0005-0000-0000-00002A000000}"/>
    <cellStyle name="Vírgula 2 4 2 3 3 3 2" xfId="6068" xr:uid="{00000000-0005-0000-0000-00002A000000}"/>
    <cellStyle name="Vírgula 2 4 2 3 3 3 2 2" xfId="14228" xr:uid="{00000000-0005-0000-0000-00002A000000}"/>
    <cellStyle name="Vírgula 2 4 2 3 3 3 3" xfId="10148" xr:uid="{00000000-0005-0000-0000-00002A000000}"/>
    <cellStyle name="Vírgula 2 4 2 3 3 4" xfId="4027" xr:uid="{00000000-0005-0000-0000-00002A000000}"/>
    <cellStyle name="Vírgula 2 4 2 3 3 4 2" xfId="8108" xr:uid="{00000000-0005-0000-0000-00002A000000}"/>
    <cellStyle name="Vírgula 2 4 2 3 3 4 2 2" xfId="16268" xr:uid="{00000000-0005-0000-0000-00002A000000}"/>
    <cellStyle name="Vírgula 2 4 2 3 3 4 3" xfId="12188" xr:uid="{00000000-0005-0000-0000-00002A000000}"/>
    <cellStyle name="Vírgula 2 4 2 3 3 5" xfId="5047" xr:uid="{00000000-0005-0000-0000-00002A000000}"/>
    <cellStyle name="Vírgula 2 4 2 3 3 5 2" xfId="13208" xr:uid="{00000000-0005-0000-0000-00002A000000}"/>
    <cellStyle name="Vírgula 2 4 2 3 3 6" xfId="9128" xr:uid="{00000000-0005-0000-0000-00002A000000}"/>
    <cellStyle name="Vírgula 2 4 2 3 4" xfId="558" xr:uid="{00000000-0005-0000-0000-00002A000000}"/>
    <cellStyle name="Vírgula 2 4 2 3 4 2" xfId="2599" xr:uid="{00000000-0005-0000-0000-00002A000000}"/>
    <cellStyle name="Vírgula 2 4 2 3 4 2 2" xfId="6680" xr:uid="{00000000-0005-0000-0000-00002A000000}"/>
    <cellStyle name="Vírgula 2 4 2 3 4 2 2 2" xfId="14840" xr:uid="{00000000-0005-0000-0000-00002A000000}"/>
    <cellStyle name="Vírgula 2 4 2 3 4 2 3" xfId="10760" xr:uid="{00000000-0005-0000-0000-00002A000000}"/>
    <cellStyle name="Vírgula 2 4 2 3 4 3" xfId="1579" xr:uid="{00000000-0005-0000-0000-00002A000000}"/>
    <cellStyle name="Vírgula 2 4 2 3 4 3 2" xfId="5660" xr:uid="{00000000-0005-0000-0000-00002A000000}"/>
    <cellStyle name="Vírgula 2 4 2 3 4 3 2 2" xfId="13820" xr:uid="{00000000-0005-0000-0000-00002A000000}"/>
    <cellStyle name="Vírgula 2 4 2 3 4 3 3" xfId="9740" xr:uid="{00000000-0005-0000-0000-00002A000000}"/>
    <cellStyle name="Vírgula 2 4 2 3 4 4" xfId="3619" xr:uid="{00000000-0005-0000-0000-00002A000000}"/>
    <cellStyle name="Vírgula 2 4 2 3 4 4 2" xfId="7700" xr:uid="{00000000-0005-0000-0000-00002A000000}"/>
    <cellStyle name="Vírgula 2 4 2 3 4 4 2 2" xfId="15860" xr:uid="{00000000-0005-0000-0000-00002A000000}"/>
    <cellStyle name="Vírgula 2 4 2 3 4 4 3" xfId="11780" xr:uid="{00000000-0005-0000-0000-00002A000000}"/>
    <cellStyle name="Vírgula 2 4 2 3 4 5" xfId="4639" xr:uid="{00000000-0005-0000-0000-00002A000000}"/>
    <cellStyle name="Vírgula 2 4 2 3 4 5 2" xfId="12800" xr:uid="{00000000-0005-0000-0000-00002A000000}"/>
    <cellStyle name="Vírgula 2 4 2 3 4 6" xfId="8720" xr:uid="{00000000-0005-0000-0000-00002A000000}"/>
    <cellStyle name="Vírgula 2 4 2 3 5" xfId="2191" xr:uid="{00000000-0005-0000-0000-00002A000000}"/>
    <cellStyle name="Vírgula 2 4 2 3 5 2" xfId="6272" xr:uid="{00000000-0005-0000-0000-00002A000000}"/>
    <cellStyle name="Vírgula 2 4 2 3 5 2 2" xfId="14432" xr:uid="{00000000-0005-0000-0000-00002A000000}"/>
    <cellStyle name="Vírgula 2 4 2 3 5 3" xfId="10352" xr:uid="{00000000-0005-0000-0000-00002A000000}"/>
    <cellStyle name="Vírgula 2 4 2 3 6" xfId="1171" xr:uid="{00000000-0005-0000-0000-00002A000000}"/>
    <cellStyle name="Vírgula 2 4 2 3 6 2" xfId="5252" xr:uid="{00000000-0005-0000-0000-00002A000000}"/>
    <cellStyle name="Vírgula 2 4 2 3 6 2 2" xfId="13412" xr:uid="{00000000-0005-0000-0000-00002A000000}"/>
    <cellStyle name="Vírgula 2 4 2 3 6 3" xfId="9332" xr:uid="{00000000-0005-0000-0000-00002A000000}"/>
    <cellStyle name="Vírgula 2 4 2 3 7" xfId="3211" xr:uid="{00000000-0005-0000-0000-00002A000000}"/>
    <cellStyle name="Vírgula 2 4 2 3 7 2" xfId="7292" xr:uid="{00000000-0005-0000-0000-00002A000000}"/>
    <cellStyle name="Vírgula 2 4 2 3 7 2 2" xfId="15452" xr:uid="{00000000-0005-0000-0000-00002A000000}"/>
    <cellStyle name="Vírgula 2 4 2 3 7 3" xfId="11372" xr:uid="{00000000-0005-0000-0000-00002A000000}"/>
    <cellStyle name="Vírgula 2 4 2 3 8" xfId="4231" xr:uid="{00000000-0005-0000-0000-00002A000000}"/>
    <cellStyle name="Vírgula 2 4 2 3 8 2" xfId="12392" xr:uid="{00000000-0005-0000-0000-00002A000000}"/>
    <cellStyle name="Vírgula 2 4 2 3 9" xfId="8312" xr:uid="{00000000-0005-0000-0000-00002A000000}"/>
    <cellStyle name="Vírgula 2 4 2 4" xfId="252" xr:uid="{00000000-0005-0000-0000-00002A000000}"/>
    <cellStyle name="Vírgula 2 4 2 4 2" xfId="660" xr:uid="{00000000-0005-0000-0000-00002A000000}"/>
    <cellStyle name="Vírgula 2 4 2 4 2 2" xfId="2701" xr:uid="{00000000-0005-0000-0000-00002A000000}"/>
    <cellStyle name="Vírgula 2 4 2 4 2 2 2" xfId="6782" xr:uid="{00000000-0005-0000-0000-00002A000000}"/>
    <cellStyle name="Vírgula 2 4 2 4 2 2 2 2" xfId="14942" xr:uid="{00000000-0005-0000-0000-00002A000000}"/>
    <cellStyle name="Vírgula 2 4 2 4 2 2 3" xfId="10862" xr:uid="{00000000-0005-0000-0000-00002A000000}"/>
    <cellStyle name="Vírgula 2 4 2 4 2 3" xfId="1681" xr:uid="{00000000-0005-0000-0000-00002A000000}"/>
    <cellStyle name="Vírgula 2 4 2 4 2 3 2" xfId="5762" xr:uid="{00000000-0005-0000-0000-00002A000000}"/>
    <cellStyle name="Vírgula 2 4 2 4 2 3 2 2" xfId="13922" xr:uid="{00000000-0005-0000-0000-00002A000000}"/>
    <cellStyle name="Vírgula 2 4 2 4 2 3 3" xfId="9842" xr:uid="{00000000-0005-0000-0000-00002A000000}"/>
    <cellStyle name="Vírgula 2 4 2 4 2 4" xfId="3721" xr:uid="{00000000-0005-0000-0000-00002A000000}"/>
    <cellStyle name="Vírgula 2 4 2 4 2 4 2" xfId="7802" xr:uid="{00000000-0005-0000-0000-00002A000000}"/>
    <cellStyle name="Vírgula 2 4 2 4 2 4 2 2" xfId="15962" xr:uid="{00000000-0005-0000-0000-00002A000000}"/>
    <cellStyle name="Vírgula 2 4 2 4 2 4 3" xfId="11882" xr:uid="{00000000-0005-0000-0000-00002A000000}"/>
    <cellStyle name="Vírgula 2 4 2 4 2 5" xfId="4741" xr:uid="{00000000-0005-0000-0000-00002A000000}"/>
    <cellStyle name="Vírgula 2 4 2 4 2 5 2" xfId="12902" xr:uid="{00000000-0005-0000-0000-00002A000000}"/>
    <cellStyle name="Vírgula 2 4 2 4 2 6" xfId="8822" xr:uid="{00000000-0005-0000-0000-00002A000000}"/>
    <cellStyle name="Vírgula 2 4 2 4 3" xfId="2293" xr:uid="{00000000-0005-0000-0000-00002A000000}"/>
    <cellStyle name="Vírgula 2 4 2 4 3 2" xfId="6374" xr:uid="{00000000-0005-0000-0000-00002A000000}"/>
    <cellStyle name="Vírgula 2 4 2 4 3 2 2" xfId="14534" xr:uid="{00000000-0005-0000-0000-00002A000000}"/>
    <cellStyle name="Vírgula 2 4 2 4 3 3" xfId="10454" xr:uid="{00000000-0005-0000-0000-00002A000000}"/>
    <cellStyle name="Vírgula 2 4 2 4 4" xfId="1273" xr:uid="{00000000-0005-0000-0000-00002A000000}"/>
    <cellStyle name="Vírgula 2 4 2 4 4 2" xfId="5354" xr:uid="{00000000-0005-0000-0000-00002A000000}"/>
    <cellStyle name="Vírgula 2 4 2 4 4 2 2" xfId="13514" xr:uid="{00000000-0005-0000-0000-00002A000000}"/>
    <cellStyle name="Vírgula 2 4 2 4 4 3" xfId="9434" xr:uid="{00000000-0005-0000-0000-00002A000000}"/>
    <cellStyle name="Vírgula 2 4 2 4 5" xfId="3313" xr:uid="{00000000-0005-0000-0000-00002A000000}"/>
    <cellStyle name="Vírgula 2 4 2 4 5 2" xfId="7394" xr:uid="{00000000-0005-0000-0000-00002A000000}"/>
    <cellStyle name="Vírgula 2 4 2 4 5 2 2" xfId="15554" xr:uid="{00000000-0005-0000-0000-00002A000000}"/>
    <cellStyle name="Vírgula 2 4 2 4 5 3" xfId="11474" xr:uid="{00000000-0005-0000-0000-00002A000000}"/>
    <cellStyle name="Vírgula 2 4 2 4 6" xfId="4333" xr:uid="{00000000-0005-0000-0000-00002A000000}"/>
    <cellStyle name="Vírgula 2 4 2 4 6 2" xfId="12494" xr:uid="{00000000-0005-0000-0000-00002A000000}"/>
    <cellStyle name="Vírgula 2 4 2 4 7" xfId="8414" xr:uid="{00000000-0005-0000-0000-00002A000000}"/>
    <cellStyle name="Vírgula 2 4 2 5" xfId="864" xr:uid="{00000000-0005-0000-0000-00002A000000}"/>
    <cellStyle name="Vírgula 2 4 2 5 2" xfId="2905" xr:uid="{00000000-0005-0000-0000-00002A000000}"/>
    <cellStyle name="Vírgula 2 4 2 5 2 2" xfId="6986" xr:uid="{00000000-0005-0000-0000-00002A000000}"/>
    <cellStyle name="Vírgula 2 4 2 5 2 2 2" xfId="15146" xr:uid="{00000000-0005-0000-0000-00002A000000}"/>
    <cellStyle name="Vírgula 2 4 2 5 2 3" xfId="11066" xr:uid="{00000000-0005-0000-0000-00002A000000}"/>
    <cellStyle name="Vírgula 2 4 2 5 3" xfId="1885" xr:uid="{00000000-0005-0000-0000-00002A000000}"/>
    <cellStyle name="Vírgula 2 4 2 5 3 2" xfId="5966" xr:uid="{00000000-0005-0000-0000-00002A000000}"/>
    <cellStyle name="Vírgula 2 4 2 5 3 2 2" xfId="14126" xr:uid="{00000000-0005-0000-0000-00002A000000}"/>
    <cellStyle name="Vírgula 2 4 2 5 3 3" xfId="10046" xr:uid="{00000000-0005-0000-0000-00002A000000}"/>
    <cellStyle name="Vírgula 2 4 2 5 4" xfId="3925" xr:uid="{00000000-0005-0000-0000-00002A000000}"/>
    <cellStyle name="Vírgula 2 4 2 5 4 2" xfId="8006" xr:uid="{00000000-0005-0000-0000-00002A000000}"/>
    <cellStyle name="Vírgula 2 4 2 5 4 2 2" xfId="16166" xr:uid="{00000000-0005-0000-0000-00002A000000}"/>
    <cellStyle name="Vírgula 2 4 2 5 4 3" xfId="12086" xr:uid="{00000000-0005-0000-0000-00002A000000}"/>
    <cellStyle name="Vírgula 2 4 2 5 5" xfId="4945" xr:uid="{00000000-0005-0000-0000-00002A000000}"/>
    <cellStyle name="Vírgula 2 4 2 5 5 2" xfId="13106" xr:uid="{00000000-0005-0000-0000-00002A000000}"/>
    <cellStyle name="Vírgula 2 4 2 5 6" xfId="9026" xr:uid="{00000000-0005-0000-0000-00002A000000}"/>
    <cellStyle name="Vírgula 2 4 2 6" xfId="456" xr:uid="{00000000-0005-0000-0000-00002A000000}"/>
    <cellStyle name="Vírgula 2 4 2 6 2" xfId="2497" xr:uid="{00000000-0005-0000-0000-00002A000000}"/>
    <cellStyle name="Vírgula 2 4 2 6 2 2" xfId="6578" xr:uid="{00000000-0005-0000-0000-00002A000000}"/>
    <cellStyle name="Vírgula 2 4 2 6 2 2 2" xfId="14738" xr:uid="{00000000-0005-0000-0000-00002A000000}"/>
    <cellStyle name="Vírgula 2 4 2 6 2 3" xfId="10658" xr:uid="{00000000-0005-0000-0000-00002A000000}"/>
    <cellStyle name="Vírgula 2 4 2 6 3" xfId="1477" xr:uid="{00000000-0005-0000-0000-00002A000000}"/>
    <cellStyle name="Vírgula 2 4 2 6 3 2" xfId="5558" xr:uid="{00000000-0005-0000-0000-00002A000000}"/>
    <cellStyle name="Vírgula 2 4 2 6 3 2 2" xfId="13718" xr:uid="{00000000-0005-0000-0000-00002A000000}"/>
    <cellStyle name="Vírgula 2 4 2 6 3 3" xfId="9638" xr:uid="{00000000-0005-0000-0000-00002A000000}"/>
    <cellStyle name="Vírgula 2 4 2 6 4" xfId="3517" xr:uid="{00000000-0005-0000-0000-00002A000000}"/>
    <cellStyle name="Vírgula 2 4 2 6 4 2" xfId="7598" xr:uid="{00000000-0005-0000-0000-00002A000000}"/>
    <cellStyle name="Vírgula 2 4 2 6 4 2 2" xfId="15758" xr:uid="{00000000-0005-0000-0000-00002A000000}"/>
    <cellStyle name="Vírgula 2 4 2 6 4 3" xfId="11678" xr:uid="{00000000-0005-0000-0000-00002A000000}"/>
    <cellStyle name="Vírgula 2 4 2 6 5" xfId="4537" xr:uid="{00000000-0005-0000-0000-00002A000000}"/>
    <cellStyle name="Vírgula 2 4 2 6 5 2" xfId="12698" xr:uid="{00000000-0005-0000-0000-00002A000000}"/>
    <cellStyle name="Vírgula 2 4 2 6 6" xfId="8618" xr:uid="{00000000-0005-0000-0000-00002A000000}"/>
    <cellStyle name="Vírgula 2 4 2 7" xfId="2089" xr:uid="{00000000-0005-0000-0000-00002A000000}"/>
    <cellStyle name="Vírgula 2 4 2 7 2" xfId="6170" xr:uid="{00000000-0005-0000-0000-00002A000000}"/>
    <cellStyle name="Vírgula 2 4 2 7 2 2" xfId="14330" xr:uid="{00000000-0005-0000-0000-00002A000000}"/>
    <cellStyle name="Vírgula 2 4 2 7 3" xfId="10250" xr:uid="{00000000-0005-0000-0000-00002A000000}"/>
    <cellStyle name="Vírgula 2 4 2 8" xfId="1069" xr:uid="{00000000-0005-0000-0000-00002A000000}"/>
    <cellStyle name="Vírgula 2 4 2 8 2" xfId="5150" xr:uid="{00000000-0005-0000-0000-00002A000000}"/>
    <cellStyle name="Vírgula 2 4 2 8 2 2" xfId="13310" xr:uid="{00000000-0005-0000-0000-00002A000000}"/>
    <cellStyle name="Vírgula 2 4 2 8 3" xfId="9230" xr:uid="{00000000-0005-0000-0000-00002A000000}"/>
    <cellStyle name="Vírgula 2 4 2 9" xfId="3109" xr:uid="{00000000-0005-0000-0000-00002A000000}"/>
    <cellStyle name="Vírgula 2 4 2 9 2" xfId="7190" xr:uid="{00000000-0005-0000-0000-00002A000000}"/>
    <cellStyle name="Vírgula 2 4 2 9 2 2" xfId="15350" xr:uid="{00000000-0005-0000-0000-00002A000000}"/>
    <cellStyle name="Vírgula 2 4 2 9 3" xfId="11270" xr:uid="{00000000-0005-0000-0000-00002A000000}"/>
    <cellStyle name="Vírgula 2 4 3" xfId="74" xr:uid="{00000000-0005-0000-0000-000029000000}"/>
    <cellStyle name="Vírgula 2 4 3 10" xfId="8236" xr:uid="{00000000-0005-0000-0000-000029000000}"/>
    <cellStyle name="Vírgula 2 4 3 2" xfId="176" xr:uid="{00000000-0005-0000-0000-000029000000}"/>
    <cellStyle name="Vírgula 2 4 3 2 2" xfId="380" xr:uid="{00000000-0005-0000-0000-000029000000}"/>
    <cellStyle name="Vírgula 2 4 3 2 2 2" xfId="788" xr:uid="{00000000-0005-0000-0000-000029000000}"/>
    <cellStyle name="Vírgula 2 4 3 2 2 2 2" xfId="2829" xr:uid="{00000000-0005-0000-0000-000029000000}"/>
    <cellStyle name="Vírgula 2 4 3 2 2 2 2 2" xfId="6910" xr:uid="{00000000-0005-0000-0000-000029000000}"/>
    <cellStyle name="Vírgula 2 4 3 2 2 2 2 2 2" xfId="15070" xr:uid="{00000000-0005-0000-0000-000029000000}"/>
    <cellStyle name="Vírgula 2 4 3 2 2 2 2 3" xfId="10990" xr:uid="{00000000-0005-0000-0000-000029000000}"/>
    <cellStyle name="Vírgula 2 4 3 2 2 2 3" xfId="1809" xr:uid="{00000000-0005-0000-0000-000029000000}"/>
    <cellStyle name="Vírgula 2 4 3 2 2 2 3 2" xfId="5890" xr:uid="{00000000-0005-0000-0000-000029000000}"/>
    <cellStyle name="Vírgula 2 4 3 2 2 2 3 2 2" xfId="14050" xr:uid="{00000000-0005-0000-0000-000029000000}"/>
    <cellStyle name="Vírgula 2 4 3 2 2 2 3 3" xfId="9970" xr:uid="{00000000-0005-0000-0000-000029000000}"/>
    <cellStyle name="Vírgula 2 4 3 2 2 2 4" xfId="3849" xr:uid="{00000000-0005-0000-0000-000029000000}"/>
    <cellStyle name="Vírgula 2 4 3 2 2 2 4 2" xfId="7930" xr:uid="{00000000-0005-0000-0000-000029000000}"/>
    <cellStyle name="Vírgula 2 4 3 2 2 2 4 2 2" xfId="16090" xr:uid="{00000000-0005-0000-0000-000029000000}"/>
    <cellStyle name="Vírgula 2 4 3 2 2 2 4 3" xfId="12010" xr:uid="{00000000-0005-0000-0000-000029000000}"/>
    <cellStyle name="Vírgula 2 4 3 2 2 2 5" xfId="4869" xr:uid="{00000000-0005-0000-0000-000029000000}"/>
    <cellStyle name="Vírgula 2 4 3 2 2 2 5 2" xfId="13030" xr:uid="{00000000-0005-0000-0000-000029000000}"/>
    <cellStyle name="Vírgula 2 4 3 2 2 2 6" xfId="8950" xr:uid="{00000000-0005-0000-0000-000029000000}"/>
    <cellStyle name="Vírgula 2 4 3 2 2 3" xfId="2421" xr:uid="{00000000-0005-0000-0000-000029000000}"/>
    <cellStyle name="Vírgula 2 4 3 2 2 3 2" xfId="6502" xr:uid="{00000000-0005-0000-0000-000029000000}"/>
    <cellStyle name="Vírgula 2 4 3 2 2 3 2 2" xfId="14662" xr:uid="{00000000-0005-0000-0000-000029000000}"/>
    <cellStyle name="Vírgula 2 4 3 2 2 3 3" xfId="10582" xr:uid="{00000000-0005-0000-0000-000029000000}"/>
    <cellStyle name="Vírgula 2 4 3 2 2 4" xfId="1401" xr:uid="{00000000-0005-0000-0000-000029000000}"/>
    <cellStyle name="Vírgula 2 4 3 2 2 4 2" xfId="5482" xr:uid="{00000000-0005-0000-0000-000029000000}"/>
    <cellStyle name="Vírgula 2 4 3 2 2 4 2 2" xfId="13642" xr:uid="{00000000-0005-0000-0000-000029000000}"/>
    <cellStyle name="Vírgula 2 4 3 2 2 4 3" xfId="9562" xr:uid="{00000000-0005-0000-0000-000029000000}"/>
    <cellStyle name="Vírgula 2 4 3 2 2 5" xfId="3441" xr:uid="{00000000-0005-0000-0000-000029000000}"/>
    <cellStyle name="Vírgula 2 4 3 2 2 5 2" xfId="7522" xr:uid="{00000000-0005-0000-0000-000029000000}"/>
    <cellStyle name="Vírgula 2 4 3 2 2 5 2 2" xfId="15682" xr:uid="{00000000-0005-0000-0000-000029000000}"/>
    <cellStyle name="Vírgula 2 4 3 2 2 5 3" xfId="11602" xr:uid="{00000000-0005-0000-0000-000029000000}"/>
    <cellStyle name="Vírgula 2 4 3 2 2 6" xfId="4461" xr:uid="{00000000-0005-0000-0000-000029000000}"/>
    <cellStyle name="Vírgula 2 4 3 2 2 6 2" xfId="12622" xr:uid="{00000000-0005-0000-0000-000029000000}"/>
    <cellStyle name="Vírgula 2 4 3 2 2 7" xfId="8542" xr:uid="{00000000-0005-0000-0000-000029000000}"/>
    <cellStyle name="Vírgula 2 4 3 2 3" xfId="992" xr:uid="{00000000-0005-0000-0000-000029000000}"/>
    <cellStyle name="Vírgula 2 4 3 2 3 2" xfId="3033" xr:uid="{00000000-0005-0000-0000-000029000000}"/>
    <cellStyle name="Vírgula 2 4 3 2 3 2 2" xfId="7114" xr:uid="{00000000-0005-0000-0000-000029000000}"/>
    <cellStyle name="Vírgula 2 4 3 2 3 2 2 2" xfId="15274" xr:uid="{00000000-0005-0000-0000-000029000000}"/>
    <cellStyle name="Vírgula 2 4 3 2 3 2 3" xfId="11194" xr:uid="{00000000-0005-0000-0000-000029000000}"/>
    <cellStyle name="Vírgula 2 4 3 2 3 3" xfId="2013" xr:uid="{00000000-0005-0000-0000-000029000000}"/>
    <cellStyle name="Vírgula 2 4 3 2 3 3 2" xfId="6094" xr:uid="{00000000-0005-0000-0000-000029000000}"/>
    <cellStyle name="Vírgula 2 4 3 2 3 3 2 2" xfId="14254" xr:uid="{00000000-0005-0000-0000-000029000000}"/>
    <cellStyle name="Vírgula 2 4 3 2 3 3 3" xfId="10174" xr:uid="{00000000-0005-0000-0000-000029000000}"/>
    <cellStyle name="Vírgula 2 4 3 2 3 4" xfId="4053" xr:uid="{00000000-0005-0000-0000-000029000000}"/>
    <cellStyle name="Vírgula 2 4 3 2 3 4 2" xfId="8134" xr:uid="{00000000-0005-0000-0000-000029000000}"/>
    <cellStyle name="Vírgula 2 4 3 2 3 4 2 2" xfId="16294" xr:uid="{00000000-0005-0000-0000-000029000000}"/>
    <cellStyle name="Vírgula 2 4 3 2 3 4 3" xfId="12214" xr:uid="{00000000-0005-0000-0000-000029000000}"/>
    <cellStyle name="Vírgula 2 4 3 2 3 5" xfId="5073" xr:uid="{00000000-0005-0000-0000-000029000000}"/>
    <cellStyle name="Vírgula 2 4 3 2 3 5 2" xfId="13234" xr:uid="{00000000-0005-0000-0000-000029000000}"/>
    <cellStyle name="Vírgula 2 4 3 2 3 6" xfId="9154" xr:uid="{00000000-0005-0000-0000-000029000000}"/>
    <cellStyle name="Vírgula 2 4 3 2 4" xfId="584" xr:uid="{00000000-0005-0000-0000-000029000000}"/>
    <cellStyle name="Vírgula 2 4 3 2 4 2" xfId="2625" xr:uid="{00000000-0005-0000-0000-000029000000}"/>
    <cellStyle name="Vírgula 2 4 3 2 4 2 2" xfId="6706" xr:uid="{00000000-0005-0000-0000-000029000000}"/>
    <cellStyle name="Vírgula 2 4 3 2 4 2 2 2" xfId="14866" xr:uid="{00000000-0005-0000-0000-000029000000}"/>
    <cellStyle name="Vírgula 2 4 3 2 4 2 3" xfId="10786" xr:uid="{00000000-0005-0000-0000-000029000000}"/>
    <cellStyle name="Vírgula 2 4 3 2 4 3" xfId="1605" xr:uid="{00000000-0005-0000-0000-000029000000}"/>
    <cellStyle name="Vírgula 2 4 3 2 4 3 2" xfId="5686" xr:uid="{00000000-0005-0000-0000-000029000000}"/>
    <cellStyle name="Vírgula 2 4 3 2 4 3 2 2" xfId="13846" xr:uid="{00000000-0005-0000-0000-000029000000}"/>
    <cellStyle name="Vírgula 2 4 3 2 4 3 3" xfId="9766" xr:uid="{00000000-0005-0000-0000-000029000000}"/>
    <cellStyle name="Vírgula 2 4 3 2 4 4" xfId="3645" xr:uid="{00000000-0005-0000-0000-000029000000}"/>
    <cellStyle name="Vírgula 2 4 3 2 4 4 2" xfId="7726" xr:uid="{00000000-0005-0000-0000-000029000000}"/>
    <cellStyle name="Vírgula 2 4 3 2 4 4 2 2" xfId="15886" xr:uid="{00000000-0005-0000-0000-000029000000}"/>
    <cellStyle name="Vírgula 2 4 3 2 4 4 3" xfId="11806" xr:uid="{00000000-0005-0000-0000-000029000000}"/>
    <cellStyle name="Vírgula 2 4 3 2 4 5" xfId="4665" xr:uid="{00000000-0005-0000-0000-000029000000}"/>
    <cellStyle name="Vírgula 2 4 3 2 4 5 2" xfId="12826" xr:uid="{00000000-0005-0000-0000-000029000000}"/>
    <cellStyle name="Vírgula 2 4 3 2 4 6" xfId="8746" xr:uid="{00000000-0005-0000-0000-000029000000}"/>
    <cellStyle name="Vírgula 2 4 3 2 5" xfId="2217" xr:uid="{00000000-0005-0000-0000-000029000000}"/>
    <cellStyle name="Vírgula 2 4 3 2 5 2" xfId="6298" xr:uid="{00000000-0005-0000-0000-000029000000}"/>
    <cellStyle name="Vírgula 2 4 3 2 5 2 2" xfId="14458" xr:uid="{00000000-0005-0000-0000-000029000000}"/>
    <cellStyle name="Vírgula 2 4 3 2 5 3" xfId="10378" xr:uid="{00000000-0005-0000-0000-000029000000}"/>
    <cellStyle name="Vírgula 2 4 3 2 6" xfId="1197" xr:uid="{00000000-0005-0000-0000-000029000000}"/>
    <cellStyle name="Vírgula 2 4 3 2 6 2" xfId="5278" xr:uid="{00000000-0005-0000-0000-000029000000}"/>
    <cellStyle name="Vírgula 2 4 3 2 6 2 2" xfId="13438" xr:uid="{00000000-0005-0000-0000-000029000000}"/>
    <cellStyle name="Vírgula 2 4 3 2 6 3" xfId="9358" xr:uid="{00000000-0005-0000-0000-000029000000}"/>
    <cellStyle name="Vírgula 2 4 3 2 7" xfId="3237" xr:uid="{00000000-0005-0000-0000-000029000000}"/>
    <cellStyle name="Vírgula 2 4 3 2 7 2" xfId="7318" xr:uid="{00000000-0005-0000-0000-000029000000}"/>
    <cellStyle name="Vírgula 2 4 3 2 7 2 2" xfId="15478" xr:uid="{00000000-0005-0000-0000-000029000000}"/>
    <cellStyle name="Vírgula 2 4 3 2 7 3" xfId="11398" xr:uid="{00000000-0005-0000-0000-000029000000}"/>
    <cellStyle name="Vírgula 2 4 3 2 8" xfId="4257" xr:uid="{00000000-0005-0000-0000-000029000000}"/>
    <cellStyle name="Vírgula 2 4 3 2 8 2" xfId="12418" xr:uid="{00000000-0005-0000-0000-000029000000}"/>
    <cellStyle name="Vírgula 2 4 3 2 9" xfId="8338" xr:uid="{00000000-0005-0000-0000-000029000000}"/>
    <cellStyle name="Vírgula 2 4 3 3" xfId="278" xr:uid="{00000000-0005-0000-0000-000029000000}"/>
    <cellStyle name="Vírgula 2 4 3 3 2" xfId="686" xr:uid="{00000000-0005-0000-0000-000029000000}"/>
    <cellStyle name="Vírgula 2 4 3 3 2 2" xfId="2727" xr:uid="{00000000-0005-0000-0000-000029000000}"/>
    <cellStyle name="Vírgula 2 4 3 3 2 2 2" xfId="6808" xr:uid="{00000000-0005-0000-0000-000029000000}"/>
    <cellStyle name="Vírgula 2 4 3 3 2 2 2 2" xfId="14968" xr:uid="{00000000-0005-0000-0000-000029000000}"/>
    <cellStyle name="Vírgula 2 4 3 3 2 2 3" xfId="10888" xr:uid="{00000000-0005-0000-0000-000029000000}"/>
    <cellStyle name="Vírgula 2 4 3 3 2 3" xfId="1707" xr:uid="{00000000-0005-0000-0000-000029000000}"/>
    <cellStyle name="Vírgula 2 4 3 3 2 3 2" xfId="5788" xr:uid="{00000000-0005-0000-0000-000029000000}"/>
    <cellStyle name="Vírgula 2 4 3 3 2 3 2 2" xfId="13948" xr:uid="{00000000-0005-0000-0000-000029000000}"/>
    <cellStyle name="Vírgula 2 4 3 3 2 3 3" xfId="9868" xr:uid="{00000000-0005-0000-0000-000029000000}"/>
    <cellStyle name="Vírgula 2 4 3 3 2 4" xfId="3747" xr:uid="{00000000-0005-0000-0000-000029000000}"/>
    <cellStyle name="Vírgula 2 4 3 3 2 4 2" xfId="7828" xr:uid="{00000000-0005-0000-0000-000029000000}"/>
    <cellStyle name="Vírgula 2 4 3 3 2 4 2 2" xfId="15988" xr:uid="{00000000-0005-0000-0000-000029000000}"/>
    <cellStyle name="Vírgula 2 4 3 3 2 4 3" xfId="11908" xr:uid="{00000000-0005-0000-0000-000029000000}"/>
    <cellStyle name="Vírgula 2 4 3 3 2 5" xfId="4767" xr:uid="{00000000-0005-0000-0000-000029000000}"/>
    <cellStyle name="Vírgula 2 4 3 3 2 5 2" xfId="12928" xr:uid="{00000000-0005-0000-0000-000029000000}"/>
    <cellStyle name="Vírgula 2 4 3 3 2 6" xfId="8848" xr:uid="{00000000-0005-0000-0000-000029000000}"/>
    <cellStyle name="Vírgula 2 4 3 3 3" xfId="2319" xr:uid="{00000000-0005-0000-0000-000029000000}"/>
    <cellStyle name="Vírgula 2 4 3 3 3 2" xfId="6400" xr:uid="{00000000-0005-0000-0000-000029000000}"/>
    <cellStyle name="Vírgula 2 4 3 3 3 2 2" xfId="14560" xr:uid="{00000000-0005-0000-0000-000029000000}"/>
    <cellStyle name="Vírgula 2 4 3 3 3 3" xfId="10480" xr:uid="{00000000-0005-0000-0000-000029000000}"/>
    <cellStyle name="Vírgula 2 4 3 3 4" xfId="1299" xr:uid="{00000000-0005-0000-0000-000029000000}"/>
    <cellStyle name="Vírgula 2 4 3 3 4 2" xfId="5380" xr:uid="{00000000-0005-0000-0000-000029000000}"/>
    <cellStyle name="Vírgula 2 4 3 3 4 2 2" xfId="13540" xr:uid="{00000000-0005-0000-0000-000029000000}"/>
    <cellStyle name="Vírgula 2 4 3 3 4 3" xfId="9460" xr:uid="{00000000-0005-0000-0000-000029000000}"/>
    <cellStyle name="Vírgula 2 4 3 3 5" xfId="3339" xr:uid="{00000000-0005-0000-0000-000029000000}"/>
    <cellStyle name="Vírgula 2 4 3 3 5 2" xfId="7420" xr:uid="{00000000-0005-0000-0000-000029000000}"/>
    <cellStyle name="Vírgula 2 4 3 3 5 2 2" xfId="15580" xr:uid="{00000000-0005-0000-0000-000029000000}"/>
    <cellStyle name="Vírgula 2 4 3 3 5 3" xfId="11500" xr:uid="{00000000-0005-0000-0000-000029000000}"/>
    <cellStyle name="Vírgula 2 4 3 3 6" xfId="4359" xr:uid="{00000000-0005-0000-0000-000029000000}"/>
    <cellStyle name="Vírgula 2 4 3 3 6 2" xfId="12520" xr:uid="{00000000-0005-0000-0000-000029000000}"/>
    <cellStyle name="Vírgula 2 4 3 3 7" xfId="8440" xr:uid="{00000000-0005-0000-0000-000029000000}"/>
    <cellStyle name="Vírgula 2 4 3 4" xfId="890" xr:uid="{00000000-0005-0000-0000-000029000000}"/>
    <cellStyle name="Vírgula 2 4 3 4 2" xfId="2931" xr:uid="{00000000-0005-0000-0000-000029000000}"/>
    <cellStyle name="Vírgula 2 4 3 4 2 2" xfId="7012" xr:uid="{00000000-0005-0000-0000-000029000000}"/>
    <cellStyle name="Vírgula 2 4 3 4 2 2 2" xfId="15172" xr:uid="{00000000-0005-0000-0000-000029000000}"/>
    <cellStyle name="Vírgula 2 4 3 4 2 3" xfId="11092" xr:uid="{00000000-0005-0000-0000-000029000000}"/>
    <cellStyle name="Vírgula 2 4 3 4 3" xfId="1911" xr:uid="{00000000-0005-0000-0000-000029000000}"/>
    <cellStyle name="Vírgula 2 4 3 4 3 2" xfId="5992" xr:uid="{00000000-0005-0000-0000-000029000000}"/>
    <cellStyle name="Vírgula 2 4 3 4 3 2 2" xfId="14152" xr:uid="{00000000-0005-0000-0000-000029000000}"/>
    <cellStyle name="Vírgula 2 4 3 4 3 3" xfId="10072" xr:uid="{00000000-0005-0000-0000-000029000000}"/>
    <cellStyle name="Vírgula 2 4 3 4 4" xfId="3951" xr:uid="{00000000-0005-0000-0000-000029000000}"/>
    <cellStyle name="Vírgula 2 4 3 4 4 2" xfId="8032" xr:uid="{00000000-0005-0000-0000-000029000000}"/>
    <cellStyle name="Vírgula 2 4 3 4 4 2 2" xfId="16192" xr:uid="{00000000-0005-0000-0000-000029000000}"/>
    <cellStyle name="Vírgula 2 4 3 4 4 3" xfId="12112" xr:uid="{00000000-0005-0000-0000-000029000000}"/>
    <cellStyle name="Vírgula 2 4 3 4 5" xfId="4971" xr:uid="{00000000-0005-0000-0000-000029000000}"/>
    <cellStyle name="Vírgula 2 4 3 4 5 2" xfId="13132" xr:uid="{00000000-0005-0000-0000-000029000000}"/>
    <cellStyle name="Vírgula 2 4 3 4 6" xfId="9052" xr:uid="{00000000-0005-0000-0000-000029000000}"/>
    <cellStyle name="Vírgula 2 4 3 5" xfId="482" xr:uid="{00000000-0005-0000-0000-000029000000}"/>
    <cellStyle name="Vírgula 2 4 3 5 2" xfId="2523" xr:uid="{00000000-0005-0000-0000-000029000000}"/>
    <cellStyle name="Vírgula 2 4 3 5 2 2" xfId="6604" xr:uid="{00000000-0005-0000-0000-000029000000}"/>
    <cellStyle name="Vírgula 2 4 3 5 2 2 2" xfId="14764" xr:uid="{00000000-0005-0000-0000-000029000000}"/>
    <cellStyle name="Vírgula 2 4 3 5 2 3" xfId="10684" xr:uid="{00000000-0005-0000-0000-000029000000}"/>
    <cellStyle name="Vírgula 2 4 3 5 3" xfId="1503" xr:uid="{00000000-0005-0000-0000-000029000000}"/>
    <cellStyle name="Vírgula 2 4 3 5 3 2" xfId="5584" xr:uid="{00000000-0005-0000-0000-000029000000}"/>
    <cellStyle name="Vírgula 2 4 3 5 3 2 2" xfId="13744" xr:uid="{00000000-0005-0000-0000-000029000000}"/>
    <cellStyle name="Vírgula 2 4 3 5 3 3" xfId="9664" xr:uid="{00000000-0005-0000-0000-000029000000}"/>
    <cellStyle name="Vírgula 2 4 3 5 4" xfId="3543" xr:uid="{00000000-0005-0000-0000-000029000000}"/>
    <cellStyle name="Vírgula 2 4 3 5 4 2" xfId="7624" xr:uid="{00000000-0005-0000-0000-000029000000}"/>
    <cellStyle name="Vírgula 2 4 3 5 4 2 2" xfId="15784" xr:uid="{00000000-0005-0000-0000-000029000000}"/>
    <cellStyle name="Vírgula 2 4 3 5 4 3" xfId="11704" xr:uid="{00000000-0005-0000-0000-000029000000}"/>
    <cellStyle name="Vírgula 2 4 3 5 5" xfId="4563" xr:uid="{00000000-0005-0000-0000-000029000000}"/>
    <cellStyle name="Vírgula 2 4 3 5 5 2" xfId="12724" xr:uid="{00000000-0005-0000-0000-000029000000}"/>
    <cellStyle name="Vírgula 2 4 3 5 6" xfId="8644" xr:uid="{00000000-0005-0000-0000-000029000000}"/>
    <cellStyle name="Vírgula 2 4 3 6" xfId="2115" xr:uid="{00000000-0005-0000-0000-000029000000}"/>
    <cellStyle name="Vírgula 2 4 3 6 2" xfId="6196" xr:uid="{00000000-0005-0000-0000-000029000000}"/>
    <cellStyle name="Vírgula 2 4 3 6 2 2" xfId="14356" xr:uid="{00000000-0005-0000-0000-000029000000}"/>
    <cellStyle name="Vírgula 2 4 3 6 3" xfId="10276" xr:uid="{00000000-0005-0000-0000-000029000000}"/>
    <cellStyle name="Vírgula 2 4 3 7" xfId="1095" xr:uid="{00000000-0005-0000-0000-000029000000}"/>
    <cellStyle name="Vírgula 2 4 3 7 2" xfId="5176" xr:uid="{00000000-0005-0000-0000-000029000000}"/>
    <cellStyle name="Vírgula 2 4 3 7 2 2" xfId="13336" xr:uid="{00000000-0005-0000-0000-000029000000}"/>
    <cellStyle name="Vírgula 2 4 3 7 3" xfId="9256" xr:uid="{00000000-0005-0000-0000-000029000000}"/>
    <cellStyle name="Vírgula 2 4 3 8" xfId="3135" xr:uid="{00000000-0005-0000-0000-000029000000}"/>
    <cellStyle name="Vírgula 2 4 3 8 2" xfId="7216" xr:uid="{00000000-0005-0000-0000-000029000000}"/>
    <cellStyle name="Vírgula 2 4 3 8 2 2" xfId="15376" xr:uid="{00000000-0005-0000-0000-000029000000}"/>
    <cellStyle name="Vírgula 2 4 3 8 3" xfId="11296" xr:uid="{00000000-0005-0000-0000-000029000000}"/>
    <cellStyle name="Vírgula 2 4 3 9" xfId="4155" xr:uid="{00000000-0005-0000-0000-000029000000}"/>
    <cellStyle name="Vírgula 2 4 3 9 2" xfId="12316" xr:uid="{00000000-0005-0000-0000-000029000000}"/>
    <cellStyle name="Vírgula 2 4 4" xfId="125" xr:uid="{00000000-0005-0000-0000-000029000000}"/>
    <cellStyle name="Vírgula 2 4 4 2" xfId="329" xr:uid="{00000000-0005-0000-0000-000029000000}"/>
    <cellStyle name="Vírgula 2 4 4 2 2" xfId="737" xr:uid="{00000000-0005-0000-0000-000029000000}"/>
    <cellStyle name="Vírgula 2 4 4 2 2 2" xfId="2778" xr:uid="{00000000-0005-0000-0000-000029000000}"/>
    <cellStyle name="Vírgula 2 4 4 2 2 2 2" xfId="6859" xr:uid="{00000000-0005-0000-0000-000029000000}"/>
    <cellStyle name="Vírgula 2 4 4 2 2 2 2 2" xfId="15019" xr:uid="{00000000-0005-0000-0000-000029000000}"/>
    <cellStyle name="Vírgula 2 4 4 2 2 2 3" xfId="10939" xr:uid="{00000000-0005-0000-0000-000029000000}"/>
    <cellStyle name="Vírgula 2 4 4 2 2 3" xfId="1758" xr:uid="{00000000-0005-0000-0000-000029000000}"/>
    <cellStyle name="Vírgula 2 4 4 2 2 3 2" xfId="5839" xr:uid="{00000000-0005-0000-0000-000029000000}"/>
    <cellStyle name="Vírgula 2 4 4 2 2 3 2 2" xfId="13999" xr:uid="{00000000-0005-0000-0000-000029000000}"/>
    <cellStyle name="Vírgula 2 4 4 2 2 3 3" xfId="9919" xr:uid="{00000000-0005-0000-0000-000029000000}"/>
    <cellStyle name="Vírgula 2 4 4 2 2 4" xfId="3798" xr:uid="{00000000-0005-0000-0000-000029000000}"/>
    <cellStyle name="Vírgula 2 4 4 2 2 4 2" xfId="7879" xr:uid="{00000000-0005-0000-0000-000029000000}"/>
    <cellStyle name="Vírgula 2 4 4 2 2 4 2 2" xfId="16039" xr:uid="{00000000-0005-0000-0000-000029000000}"/>
    <cellStyle name="Vírgula 2 4 4 2 2 4 3" xfId="11959" xr:uid="{00000000-0005-0000-0000-000029000000}"/>
    <cellStyle name="Vírgula 2 4 4 2 2 5" xfId="4818" xr:uid="{00000000-0005-0000-0000-000029000000}"/>
    <cellStyle name="Vírgula 2 4 4 2 2 5 2" xfId="12979" xr:uid="{00000000-0005-0000-0000-000029000000}"/>
    <cellStyle name="Vírgula 2 4 4 2 2 6" xfId="8899" xr:uid="{00000000-0005-0000-0000-000029000000}"/>
    <cellStyle name="Vírgula 2 4 4 2 3" xfId="2370" xr:uid="{00000000-0005-0000-0000-000029000000}"/>
    <cellStyle name="Vírgula 2 4 4 2 3 2" xfId="6451" xr:uid="{00000000-0005-0000-0000-000029000000}"/>
    <cellStyle name="Vírgula 2 4 4 2 3 2 2" xfId="14611" xr:uid="{00000000-0005-0000-0000-000029000000}"/>
    <cellStyle name="Vírgula 2 4 4 2 3 3" xfId="10531" xr:uid="{00000000-0005-0000-0000-000029000000}"/>
    <cellStyle name="Vírgula 2 4 4 2 4" xfId="1350" xr:uid="{00000000-0005-0000-0000-000029000000}"/>
    <cellStyle name="Vírgula 2 4 4 2 4 2" xfId="5431" xr:uid="{00000000-0005-0000-0000-000029000000}"/>
    <cellStyle name="Vírgula 2 4 4 2 4 2 2" xfId="13591" xr:uid="{00000000-0005-0000-0000-000029000000}"/>
    <cellStyle name="Vírgula 2 4 4 2 4 3" xfId="9511" xr:uid="{00000000-0005-0000-0000-000029000000}"/>
    <cellStyle name="Vírgula 2 4 4 2 5" xfId="3390" xr:uid="{00000000-0005-0000-0000-000029000000}"/>
    <cellStyle name="Vírgula 2 4 4 2 5 2" xfId="7471" xr:uid="{00000000-0005-0000-0000-000029000000}"/>
    <cellStyle name="Vírgula 2 4 4 2 5 2 2" xfId="15631" xr:uid="{00000000-0005-0000-0000-000029000000}"/>
    <cellStyle name="Vírgula 2 4 4 2 5 3" xfId="11551" xr:uid="{00000000-0005-0000-0000-000029000000}"/>
    <cellStyle name="Vírgula 2 4 4 2 6" xfId="4410" xr:uid="{00000000-0005-0000-0000-000029000000}"/>
    <cellStyle name="Vírgula 2 4 4 2 6 2" xfId="12571" xr:uid="{00000000-0005-0000-0000-000029000000}"/>
    <cellStyle name="Vírgula 2 4 4 2 7" xfId="8491" xr:uid="{00000000-0005-0000-0000-000029000000}"/>
    <cellStyle name="Vírgula 2 4 4 3" xfId="941" xr:uid="{00000000-0005-0000-0000-000029000000}"/>
    <cellStyle name="Vírgula 2 4 4 3 2" xfId="2982" xr:uid="{00000000-0005-0000-0000-000029000000}"/>
    <cellStyle name="Vírgula 2 4 4 3 2 2" xfId="7063" xr:uid="{00000000-0005-0000-0000-000029000000}"/>
    <cellStyle name="Vírgula 2 4 4 3 2 2 2" xfId="15223" xr:uid="{00000000-0005-0000-0000-000029000000}"/>
    <cellStyle name="Vírgula 2 4 4 3 2 3" xfId="11143" xr:uid="{00000000-0005-0000-0000-000029000000}"/>
    <cellStyle name="Vírgula 2 4 4 3 3" xfId="1962" xr:uid="{00000000-0005-0000-0000-000029000000}"/>
    <cellStyle name="Vírgula 2 4 4 3 3 2" xfId="6043" xr:uid="{00000000-0005-0000-0000-000029000000}"/>
    <cellStyle name="Vírgula 2 4 4 3 3 2 2" xfId="14203" xr:uid="{00000000-0005-0000-0000-000029000000}"/>
    <cellStyle name="Vírgula 2 4 4 3 3 3" xfId="10123" xr:uid="{00000000-0005-0000-0000-000029000000}"/>
    <cellStyle name="Vírgula 2 4 4 3 4" xfId="4002" xr:uid="{00000000-0005-0000-0000-000029000000}"/>
    <cellStyle name="Vírgula 2 4 4 3 4 2" xfId="8083" xr:uid="{00000000-0005-0000-0000-000029000000}"/>
    <cellStyle name="Vírgula 2 4 4 3 4 2 2" xfId="16243" xr:uid="{00000000-0005-0000-0000-000029000000}"/>
    <cellStyle name="Vírgula 2 4 4 3 4 3" xfId="12163" xr:uid="{00000000-0005-0000-0000-000029000000}"/>
    <cellStyle name="Vírgula 2 4 4 3 5" xfId="5022" xr:uid="{00000000-0005-0000-0000-000029000000}"/>
    <cellStyle name="Vírgula 2 4 4 3 5 2" xfId="13183" xr:uid="{00000000-0005-0000-0000-000029000000}"/>
    <cellStyle name="Vírgula 2 4 4 3 6" xfId="9103" xr:uid="{00000000-0005-0000-0000-000029000000}"/>
    <cellStyle name="Vírgula 2 4 4 4" xfId="533" xr:uid="{00000000-0005-0000-0000-000029000000}"/>
    <cellStyle name="Vírgula 2 4 4 4 2" xfId="2574" xr:uid="{00000000-0005-0000-0000-000029000000}"/>
    <cellStyle name="Vírgula 2 4 4 4 2 2" xfId="6655" xr:uid="{00000000-0005-0000-0000-000029000000}"/>
    <cellStyle name="Vírgula 2 4 4 4 2 2 2" xfId="14815" xr:uid="{00000000-0005-0000-0000-000029000000}"/>
    <cellStyle name="Vírgula 2 4 4 4 2 3" xfId="10735" xr:uid="{00000000-0005-0000-0000-000029000000}"/>
    <cellStyle name="Vírgula 2 4 4 4 3" xfId="1554" xr:uid="{00000000-0005-0000-0000-000029000000}"/>
    <cellStyle name="Vírgula 2 4 4 4 3 2" xfId="5635" xr:uid="{00000000-0005-0000-0000-000029000000}"/>
    <cellStyle name="Vírgula 2 4 4 4 3 2 2" xfId="13795" xr:uid="{00000000-0005-0000-0000-000029000000}"/>
    <cellStyle name="Vírgula 2 4 4 4 3 3" xfId="9715" xr:uid="{00000000-0005-0000-0000-000029000000}"/>
    <cellStyle name="Vírgula 2 4 4 4 4" xfId="3594" xr:uid="{00000000-0005-0000-0000-000029000000}"/>
    <cellStyle name="Vírgula 2 4 4 4 4 2" xfId="7675" xr:uid="{00000000-0005-0000-0000-000029000000}"/>
    <cellStyle name="Vírgula 2 4 4 4 4 2 2" xfId="15835" xr:uid="{00000000-0005-0000-0000-000029000000}"/>
    <cellStyle name="Vírgula 2 4 4 4 4 3" xfId="11755" xr:uid="{00000000-0005-0000-0000-000029000000}"/>
    <cellStyle name="Vírgula 2 4 4 4 5" xfId="4614" xr:uid="{00000000-0005-0000-0000-000029000000}"/>
    <cellStyle name="Vírgula 2 4 4 4 5 2" xfId="12775" xr:uid="{00000000-0005-0000-0000-000029000000}"/>
    <cellStyle name="Vírgula 2 4 4 4 6" xfId="8695" xr:uid="{00000000-0005-0000-0000-000029000000}"/>
    <cellStyle name="Vírgula 2 4 4 5" xfId="2166" xr:uid="{00000000-0005-0000-0000-000029000000}"/>
    <cellStyle name="Vírgula 2 4 4 5 2" xfId="6247" xr:uid="{00000000-0005-0000-0000-000029000000}"/>
    <cellStyle name="Vírgula 2 4 4 5 2 2" xfId="14407" xr:uid="{00000000-0005-0000-0000-000029000000}"/>
    <cellStyle name="Vírgula 2 4 4 5 3" xfId="10327" xr:uid="{00000000-0005-0000-0000-000029000000}"/>
    <cellStyle name="Vírgula 2 4 4 6" xfId="1146" xr:uid="{00000000-0005-0000-0000-000029000000}"/>
    <cellStyle name="Vírgula 2 4 4 6 2" xfId="5227" xr:uid="{00000000-0005-0000-0000-000029000000}"/>
    <cellStyle name="Vírgula 2 4 4 6 2 2" xfId="13387" xr:uid="{00000000-0005-0000-0000-000029000000}"/>
    <cellStyle name="Vírgula 2 4 4 6 3" xfId="9307" xr:uid="{00000000-0005-0000-0000-000029000000}"/>
    <cellStyle name="Vírgula 2 4 4 7" xfId="3186" xr:uid="{00000000-0005-0000-0000-000029000000}"/>
    <cellStyle name="Vírgula 2 4 4 7 2" xfId="7267" xr:uid="{00000000-0005-0000-0000-000029000000}"/>
    <cellStyle name="Vírgula 2 4 4 7 2 2" xfId="15427" xr:uid="{00000000-0005-0000-0000-000029000000}"/>
    <cellStyle name="Vírgula 2 4 4 7 3" xfId="11347" xr:uid="{00000000-0005-0000-0000-000029000000}"/>
    <cellStyle name="Vírgula 2 4 4 8" xfId="4206" xr:uid="{00000000-0005-0000-0000-000029000000}"/>
    <cellStyle name="Vírgula 2 4 4 8 2" xfId="12367" xr:uid="{00000000-0005-0000-0000-000029000000}"/>
    <cellStyle name="Vírgula 2 4 4 9" xfId="8287" xr:uid="{00000000-0005-0000-0000-000029000000}"/>
    <cellStyle name="Vírgula 2 4 5" xfId="227" xr:uid="{00000000-0005-0000-0000-000029000000}"/>
    <cellStyle name="Vírgula 2 4 5 2" xfId="635" xr:uid="{00000000-0005-0000-0000-000029000000}"/>
    <cellStyle name="Vírgula 2 4 5 2 2" xfId="2676" xr:uid="{00000000-0005-0000-0000-000029000000}"/>
    <cellStyle name="Vírgula 2 4 5 2 2 2" xfId="6757" xr:uid="{00000000-0005-0000-0000-000029000000}"/>
    <cellStyle name="Vírgula 2 4 5 2 2 2 2" xfId="14917" xr:uid="{00000000-0005-0000-0000-000029000000}"/>
    <cellStyle name="Vírgula 2 4 5 2 2 3" xfId="10837" xr:uid="{00000000-0005-0000-0000-000029000000}"/>
    <cellStyle name="Vírgula 2 4 5 2 3" xfId="1656" xr:uid="{00000000-0005-0000-0000-000029000000}"/>
    <cellStyle name="Vírgula 2 4 5 2 3 2" xfId="5737" xr:uid="{00000000-0005-0000-0000-000029000000}"/>
    <cellStyle name="Vírgula 2 4 5 2 3 2 2" xfId="13897" xr:uid="{00000000-0005-0000-0000-000029000000}"/>
    <cellStyle name="Vírgula 2 4 5 2 3 3" xfId="9817" xr:uid="{00000000-0005-0000-0000-000029000000}"/>
    <cellStyle name="Vírgula 2 4 5 2 4" xfId="3696" xr:uid="{00000000-0005-0000-0000-000029000000}"/>
    <cellStyle name="Vírgula 2 4 5 2 4 2" xfId="7777" xr:uid="{00000000-0005-0000-0000-000029000000}"/>
    <cellStyle name="Vírgula 2 4 5 2 4 2 2" xfId="15937" xr:uid="{00000000-0005-0000-0000-000029000000}"/>
    <cellStyle name="Vírgula 2 4 5 2 4 3" xfId="11857" xr:uid="{00000000-0005-0000-0000-000029000000}"/>
    <cellStyle name="Vírgula 2 4 5 2 5" xfId="4716" xr:uid="{00000000-0005-0000-0000-000029000000}"/>
    <cellStyle name="Vírgula 2 4 5 2 5 2" xfId="12877" xr:uid="{00000000-0005-0000-0000-000029000000}"/>
    <cellStyle name="Vírgula 2 4 5 2 6" xfId="8797" xr:uid="{00000000-0005-0000-0000-000029000000}"/>
    <cellStyle name="Vírgula 2 4 5 3" xfId="2268" xr:uid="{00000000-0005-0000-0000-000029000000}"/>
    <cellStyle name="Vírgula 2 4 5 3 2" xfId="6349" xr:uid="{00000000-0005-0000-0000-000029000000}"/>
    <cellStyle name="Vírgula 2 4 5 3 2 2" xfId="14509" xr:uid="{00000000-0005-0000-0000-000029000000}"/>
    <cellStyle name="Vírgula 2 4 5 3 3" xfId="10429" xr:uid="{00000000-0005-0000-0000-000029000000}"/>
    <cellStyle name="Vírgula 2 4 5 4" xfId="1248" xr:uid="{00000000-0005-0000-0000-000029000000}"/>
    <cellStyle name="Vírgula 2 4 5 4 2" xfId="5329" xr:uid="{00000000-0005-0000-0000-000029000000}"/>
    <cellStyle name="Vírgula 2 4 5 4 2 2" xfId="13489" xr:uid="{00000000-0005-0000-0000-000029000000}"/>
    <cellStyle name="Vírgula 2 4 5 4 3" xfId="9409" xr:uid="{00000000-0005-0000-0000-000029000000}"/>
    <cellStyle name="Vírgula 2 4 5 5" xfId="3288" xr:uid="{00000000-0005-0000-0000-000029000000}"/>
    <cellStyle name="Vírgula 2 4 5 5 2" xfId="7369" xr:uid="{00000000-0005-0000-0000-000029000000}"/>
    <cellStyle name="Vírgula 2 4 5 5 2 2" xfId="15529" xr:uid="{00000000-0005-0000-0000-000029000000}"/>
    <cellStyle name="Vírgula 2 4 5 5 3" xfId="11449" xr:uid="{00000000-0005-0000-0000-000029000000}"/>
    <cellStyle name="Vírgula 2 4 5 6" xfId="4308" xr:uid="{00000000-0005-0000-0000-000029000000}"/>
    <cellStyle name="Vírgula 2 4 5 6 2" xfId="12469" xr:uid="{00000000-0005-0000-0000-000029000000}"/>
    <cellStyle name="Vírgula 2 4 5 7" xfId="8389" xr:uid="{00000000-0005-0000-0000-000029000000}"/>
    <cellStyle name="Vírgula 2 4 6" xfId="839" xr:uid="{00000000-0005-0000-0000-000029000000}"/>
    <cellStyle name="Vírgula 2 4 6 2" xfId="2880" xr:uid="{00000000-0005-0000-0000-000029000000}"/>
    <cellStyle name="Vírgula 2 4 6 2 2" xfId="6961" xr:uid="{00000000-0005-0000-0000-000029000000}"/>
    <cellStyle name="Vírgula 2 4 6 2 2 2" xfId="15121" xr:uid="{00000000-0005-0000-0000-000029000000}"/>
    <cellStyle name="Vírgula 2 4 6 2 3" xfId="11041" xr:uid="{00000000-0005-0000-0000-000029000000}"/>
    <cellStyle name="Vírgula 2 4 6 3" xfId="1860" xr:uid="{00000000-0005-0000-0000-000029000000}"/>
    <cellStyle name="Vírgula 2 4 6 3 2" xfId="5941" xr:uid="{00000000-0005-0000-0000-000029000000}"/>
    <cellStyle name="Vírgula 2 4 6 3 2 2" xfId="14101" xr:uid="{00000000-0005-0000-0000-000029000000}"/>
    <cellStyle name="Vírgula 2 4 6 3 3" xfId="10021" xr:uid="{00000000-0005-0000-0000-000029000000}"/>
    <cellStyle name="Vírgula 2 4 6 4" xfId="3900" xr:uid="{00000000-0005-0000-0000-000029000000}"/>
    <cellStyle name="Vírgula 2 4 6 4 2" xfId="7981" xr:uid="{00000000-0005-0000-0000-000029000000}"/>
    <cellStyle name="Vírgula 2 4 6 4 2 2" xfId="16141" xr:uid="{00000000-0005-0000-0000-000029000000}"/>
    <cellStyle name="Vírgula 2 4 6 4 3" xfId="12061" xr:uid="{00000000-0005-0000-0000-000029000000}"/>
    <cellStyle name="Vírgula 2 4 6 5" xfId="4920" xr:uid="{00000000-0005-0000-0000-000029000000}"/>
    <cellStyle name="Vírgula 2 4 6 5 2" xfId="13081" xr:uid="{00000000-0005-0000-0000-000029000000}"/>
    <cellStyle name="Vírgula 2 4 6 6" xfId="9001" xr:uid="{00000000-0005-0000-0000-000029000000}"/>
    <cellStyle name="Vírgula 2 4 7" xfId="431" xr:uid="{00000000-0005-0000-0000-000029000000}"/>
    <cellStyle name="Vírgula 2 4 7 2" xfId="2472" xr:uid="{00000000-0005-0000-0000-000029000000}"/>
    <cellStyle name="Vírgula 2 4 7 2 2" xfId="6553" xr:uid="{00000000-0005-0000-0000-000029000000}"/>
    <cellStyle name="Vírgula 2 4 7 2 2 2" xfId="14713" xr:uid="{00000000-0005-0000-0000-000029000000}"/>
    <cellStyle name="Vírgula 2 4 7 2 3" xfId="10633" xr:uid="{00000000-0005-0000-0000-000029000000}"/>
    <cellStyle name="Vírgula 2 4 7 3" xfId="1452" xr:uid="{00000000-0005-0000-0000-000029000000}"/>
    <cellStyle name="Vírgula 2 4 7 3 2" xfId="5533" xr:uid="{00000000-0005-0000-0000-000029000000}"/>
    <cellStyle name="Vírgula 2 4 7 3 2 2" xfId="13693" xr:uid="{00000000-0005-0000-0000-000029000000}"/>
    <cellStyle name="Vírgula 2 4 7 3 3" xfId="9613" xr:uid="{00000000-0005-0000-0000-000029000000}"/>
    <cellStyle name="Vírgula 2 4 7 4" xfId="3492" xr:uid="{00000000-0005-0000-0000-000029000000}"/>
    <cellStyle name="Vírgula 2 4 7 4 2" xfId="7573" xr:uid="{00000000-0005-0000-0000-000029000000}"/>
    <cellStyle name="Vírgula 2 4 7 4 2 2" xfId="15733" xr:uid="{00000000-0005-0000-0000-000029000000}"/>
    <cellStyle name="Vírgula 2 4 7 4 3" xfId="11653" xr:uid="{00000000-0005-0000-0000-000029000000}"/>
    <cellStyle name="Vírgula 2 4 7 5" xfId="4512" xr:uid="{00000000-0005-0000-0000-000029000000}"/>
    <cellStyle name="Vírgula 2 4 7 5 2" xfId="12673" xr:uid="{00000000-0005-0000-0000-000029000000}"/>
    <cellStyle name="Vírgula 2 4 7 6" xfId="8593" xr:uid="{00000000-0005-0000-0000-000029000000}"/>
    <cellStyle name="Vírgula 2 4 8" xfId="2064" xr:uid="{00000000-0005-0000-0000-000029000000}"/>
    <cellStyle name="Vírgula 2 4 8 2" xfId="6145" xr:uid="{00000000-0005-0000-0000-000029000000}"/>
    <cellStyle name="Vírgula 2 4 8 2 2" xfId="14305" xr:uid="{00000000-0005-0000-0000-000029000000}"/>
    <cellStyle name="Vírgula 2 4 8 3" xfId="10225" xr:uid="{00000000-0005-0000-0000-000029000000}"/>
    <cellStyle name="Vírgula 2 4 9" xfId="1044" xr:uid="{00000000-0005-0000-0000-000029000000}"/>
    <cellStyle name="Vírgula 2 4 9 2" xfId="5125" xr:uid="{00000000-0005-0000-0000-000029000000}"/>
    <cellStyle name="Vírgula 2 4 9 2 2" xfId="13285" xr:uid="{00000000-0005-0000-0000-000029000000}"/>
    <cellStyle name="Vírgula 2 4 9 3" xfId="9205" xr:uid="{00000000-0005-0000-0000-000029000000}"/>
    <cellStyle name="Vírgula 2 5" xfId="32" xr:uid="{00000000-0005-0000-0000-00002B000000}"/>
    <cellStyle name="Vírgula 2 5 10" xfId="4113" xr:uid="{00000000-0005-0000-0000-00002B000000}"/>
    <cellStyle name="Vírgula 2 5 10 2" xfId="12274" xr:uid="{00000000-0005-0000-0000-00002B000000}"/>
    <cellStyle name="Vírgula 2 5 11" xfId="8194" xr:uid="{00000000-0005-0000-0000-00002B000000}"/>
    <cellStyle name="Vírgula 2 5 2" xfId="83" xr:uid="{00000000-0005-0000-0000-00002B000000}"/>
    <cellStyle name="Vírgula 2 5 2 10" xfId="8245" xr:uid="{00000000-0005-0000-0000-00002B000000}"/>
    <cellStyle name="Vírgula 2 5 2 2" xfId="185" xr:uid="{00000000-0005-0000-0000-00002B000000}"/>
    <cellStyle name="Vírgula 2 5 2 2 2" xfId="389" xr:uid="{00000000-0005-0000-0000-00002B000000}"/>
    <cellStyle name="Vírgula 2 5 2 2 2 2" xfId="797" xr:uid="{00000000-0005-0000-0000-00002B000000}"/>
    <cellStyle name="Vírgula 2 5 2 2 2 2 2" xfId="2838" xr:uid="{00000000-0005-0000-0000-00002B000000}"/>
    <cellStyle name="Vírgula 2 5 2 2 2 2 2 2" xfId="6919" xr:uid="{00000000-0005-0000-0000-00002B000000}"/>
    <cellStyle name="Vírgula 2 5 2 2 2 2 2 2 2" xfId="15079" xr:uid="{00000000-0005-0000-0000-00002B000000}"/>
    <cellStyle name="Vírgula 2 5 2 2 2 2 2 3" xfId="10999" xr:uid="{00000000-0005-0000-0000-00002B000000}"/>
    <cellStyle name="Vírgula 2 5 2 2 2 2 3" xfId="1818" xr:uid="{00000000-0005-0000-0000-00002B000000}"/>
    <cellStyle name="Vírgula 2 5 2 2 2 2 3 2" xfId="5899" xr:uid="{00000000-0005-0000-0000-00002B000000}"/>
    <cellStyle name="Vírgula 2 5 2 2 2 2 3 2 2" xfId="14059" xr:uid="{00000000-0005-0000-0000-00002B000000}"/>
    <cellStyle name="Vírgula 2 5 2 2 2 2 3 3" xfId="9979" xr:uid="{00000000-0005-0000-0000-00002B000000}"/>
    <cellStyle name="Vírgula 2 5 2 2 2 2 4" xfId="3858" xr:uid="{00000000-0005-0000-0000-00002B000000}"/>
    <cellStyle name="Vírgula 2 5 2 2 2 2 4 2" xfId="7939" xr:uid="{00000000-0005-0000-0000-00002B000000}"/>
    <cellStyle name="Vírgula 2 5 2 2 2 2 4 2 2" xfId="16099" xr:uid="{00000000-0005-0000-0000-00002B000000}"/>
    <cellStyle name="Vírgula 2 5 2 2 2 2 4 3" xfId="12019" xr:uid="{00000000-0005-0000-0000-00002B000000}"/>
    <cellStyle name="Vírgula 2 5 2 2 2 2 5" xfId="4878" xr:uid="{00000000-0005-0000-0000-00002B000000}"/>
    <cellStyle name="Vírgula 2 5 2 2 2 2 5 2" xfId="13039" xr:uid="{00000000-0005-0000-0000-00002B000000}"/>
    <cellStyle name="Vírgula 2 5 2 2 2 2 6" xfId="8959" xr:uid="{00000000-0005-0000-0000-00002B000000}"/>
    <cellStyle name="Vírgula 2 5 2 2 2 3" xfId="2430" xr:uid="{00000000-0005-0000-0000-00002B000000}"/>
    <cellStyle name="Vírgula 2 5 2 2 2 3 2" xfId="6511" xr:uid="{00000000-0005-0000-0000-00002B000000}"/>
    <cellStyle name="Vírgula 2 5 2 2 2 3 2 2" xfId="14671" xr:uid="{00000000-0005-0000-0000-00002B000000}"/>
    <cellStyle name="Vírgula 2 5 2 2 2 3 3" xfId="10591" xr:uid="{00000000-0005-0000-0000-00002B000000}"/>
    <cellStyle name="Vírgula 2 5 2 2 2 4" xfId="1410" xr:uid="{00000000-0005-0000-0000-00002B000000}"/>
    <cellStyle name="Vírgula 2 5 2 2 2 4 2" xfId="5491" xr:uid="{00000000-0005-0000-0000-00002B000000}"/>
    <cellStyle name="Vírgula 2 5 2 2 2 4 2 2" xfId="13651" xr:uid="{00000000-0005-0000-0000-00002B000000}"/>
    <cellStyle name="Vírgula 2 5 2 2 2 4 3" xfId="9571" xr:uid="{00000000-0005-0000-0000-00002B000000}"/>
    <cellStyle name="Vírgula 2 5 2 2 2 5" xfId="3450" xr:uid="{00000000-0005-0000-0000-00002B000000}"/>
    <cellStyle name="Vírgula 2 5 2 2 2 5 2" xfId="7531" xr:uid="{00000000-0005-0000-0000-00002B000000}"/>
    <cellStyle name="Vírgula 2 5 2 2 2 5 2 2" xfId="15691" xr:uid="{00000000-0005-0000-0000-00002B000000}"/>
    <cellStyle name="Vírgula 2 5 2 2 2 5 3" xfId="11611" xr:uid="{00000000-0005-0000-0000-00002B000000}"/>
    <cellStyle name="Vírgula 2 5 2 2 2 6" xfId="4470" xr:uid="{00000000-0005-0000-0000-00002B000000}"/>
    <cellStyle name="Vírgula 2 5 2 2 2 6 2" xfId="12631" xr:uid="{00000000-0005-0000-0000-00002B000000}"/>
    <cellStyle name="Vírgula 2 5 2 2 2 7" xfId="8551" xr:uid="{00000000-0005-0000-0000-00002B000000}"/>
    <cellStyle name="Vírgula 2 5 2 2 3" xfId="1001" xr:uid="{00000000-0005-0000-0000-00002B000000}"/>
    <cellStyle name="Vírgula 2 5 2 2 3 2" xfId="3042" xr:uid="{00000000-0005-0000-0000-00002B000000}"/>
    <cellStyle name="Vírgula 2 5 2 2 3 2 2" xfId="7123" xr:uid="{00000000-0005-0000-0000-00002B000000}"/>
    <cellStyle name="Vírgula 2 5 2 2 3 2 2 2" xfId="15283" xr:uid="{00000000-0005-0000-0000-00002B000000}"/>
    <cellStyle name="Vírgula 2 5 2 2 3 2 3" xfId="11203" xr:uid="{00000000-0005-0000-0000-00002B000000}"/>
    <cellStyle name="Vírgula 2 5 2 2 3 3" xfId="2022" xr:uid="{00000000-0005-0000-0000-00002B000000}"/>
    <cellStyle name="Vírgula 2 5 2 2 3 3 2" xfId="6103" xr:uid="{00000000-0005-0000-0000-00002B000000}"/>
    <cellStyle name="Vírgula 2 5 2 2 3 3 2 2" xfId="14263" xr:uid="{00000000-0005-0000-0000-00002B000000}"/>
    <cellStyle name="Vírgula 2 5 2 2 3 3 3" xfId="10183" xr:uid="{00000000-0005-0000-0000-00002B000000}"/>
    <cellStyle name="Vírgula 2 5 2 2 3 4" xfId="4062" xr:uid="{00000000-0005-0000-0000-00002B000000}"/>
    <cellStyle name="Vírgula 2 5 2 2 3 4 2" xfId="8143" xr:uid="{00000000-0005-0000-0000-00002B000000}"/>
    <cellStyle name="Vírgula 2 5 2 2 3 4 2 2" xfId="16303" xr:uid="{00000000-0005-0000-0000-00002B000000}"/>
    <cellStyle name="Vírgula 2 5 2 2 3 4 3" xfId="12223" xr:uid="{00000000-0005-0000-0000-00002B000000}"/>
    <cellStyle name="Vírgula 2 5 2 2 3 5" xfId="5082" xr:uid="{00000000-0005-0000-0000-00002B000000}"/>
    <cellStyle name="Vírgula 2 5 2 2 3 5 2" xfId="13243" xr:uid="{00000000-0005-0000-0000-00002B000000}"/>
    <cellStyle name="Vírgula 2 5 2 2 3 6" xfId="9163" xr:uid="{00000000-0005-0000-0000-00002B000000}"/>
    <cellStyle name="Vírgula 2 5 2 2 4" xfId="593" xr:uid="{00000000-0005-0000-0000-00002B000000}"/>
    <cellStyle name="Vírgula 2 5 2 2 4 2" xfId="2634" xr:uid="{00000000-0005-0000-0000-00002B000000}"/>
    <cellStyle name="Vírgula 2 5 2 2 4 2 2" xfId="6715" xr:uid="{00000000-0005-0000-0000-00002B000000}"/>
    <cellStyle name="Vírgula 2 5 2 2 4 2 2 2" xfId="14875" xr:uid="{00000000-0005-0000-0000-00002B000000}"/>
    <cellStyle name="Vírgula 2 5 2 2 4 2 3" xfId="10795" xr:uid="{00000000-0005-0000-0000-00002B000000}"/>
    <cellStyle name="Vírgula 2 5 2 2 4 3" xfId="1614" xr:uid="{00000000-0005-0000-0000-00002B000000}"/>
    <cellStyle name="Vírgula 2 5 2 2 4 3 2" xfId="5695" xr:uid="{00000000-0005-0000-0000-00002B000000}"/>
    <cellStyle name="Vírgula 2 5 2 2 4 3 2 2" xfId="13855" xr:uid="{00000000-0005-0000-0000-00002B000000}"/>
    <cellStyle name="Vírgula 2 5 2 2 4 3 3" xfId="9775" xr:uid="{00000000-0005-0000-0000-00002B000000}"/>
    <cellStyle name="Vírgula 2 5 2 2 4 4" xfId="3654" xr:uid="{00000000-0005-0000-0000-00002B000000}"/>
    <cellStyle name="Vírgula 2 5 2 2 4 4 2" xfId="7735" xr:uid="{00000000-0005-0000-0000-00002B000000}"/>
    <cellStyle name="Vírgula 2 5 2 2 4 4 2 2" xfId="15895" xr:uid="{00000000-0005-0000-0000-00002B000000}"/>
    <cellStyle name="Vírgula 2 5 2 2 4 4 3" xfId="11815" xr:uid="{00000000-0005-0000-0000-00002B000000}"/>
    <cellStyle name="Vírgula 2 5 2 2 4 5" xfId="4674" xr:uid="{00000000-0005-0000-0000-00002B000000}"/>
    <cellStyle name="Vírgula 2 5 2 2 4 5 2" xfId="12835" xr:uid="{00000000-0005-0000-0000-00002B000000}"/>
    <cellStyle name="Vírgula 2 5 2 2 4 6" xfId="8755" xr:uid="{00000000-0005-0000-0000-00002B000000}"/>
    <cellStyle name="Vírgula 2 5 2 2 5" xfId="2226" xr:uid="{00000000-0005-0000-0000-00002B000000}"/>
    <cellStyle name="Vírgula 2 5 2 2 5 2" xfId="6307" xr:uid="{00000000-0005-0000-0000-00002B000000}"/>
    <cellStyle name="Vírgula 2 5 2 2 5 2 2" xfId="14467" xr:uid="{00000000-0005-0000-0000-00002B000000}"/>
    <cellStyle name="Vírgula 2 5 2 2 5 3" xfId="10387" xr:uid="{00000000-0005-0000-0000-00002B000000}"/>
    <cellStyle name="Vírgula 2 5 2 2 6" xfId="1206" xr:uid="{00000000-0005-0000-0000-00002B000000}"/>
    <cellStyle name="Vírgula 2 5 2 2 6 2" xfId="5287" xr:uid="{00000000-0005-0000-0000-00002B000000}"/>
    <cellStyle name="Vírgula 2 5 2 2 6 2 2" xfId="13447" xr:uid="{00000000-0005-0000-0000-00002B000000}"/>
    <cellStyle name="Vírgula 2 5 2 2 6 3" xfId="9367" xr:uid="{00000000-0005-0000-0000-00002B000000}"/>
    <cellStyle name="Vírgula 2 5 2 2 7" xfId="3246" xr:uid="{00000000-0005-0000-0000-00002B000000}"/>
    <cellStyle name="Vírgula 2 5 2 2 7 2" xfId="7327" xr:uid="{00000000-0005-0000-0000-00002B000000}"/>
    <cellStyle name="Vírgula 2 5 2 2 7 2 2" xfId="15487" xr:uid="{00000000-0005-0000-0000-00002B000000}"/>
    <cellStyle name="Vírgula 2 5 2 2 7 3" xfId="11407" xr:uid="{00000000-0005-0000-0000-00002B000000}"/>
    <cellStyle name="Vírgula 2 5 2 2 8" xfId="4266" xr:uid="{00000000-0005-0000-0000-00002B000000}"/>
    <cellStyle name="Vírgula 2 5 2 2 8 2" xfId="12427" xr:uid="{00000000-0005-0000-0000-00002B000000}"/>
    <cellStyle name="Vírgula 2 5 2 2 9" xfId="8347" xr:uid="{00000000-0005-0000-0000-00002B000000}"/>
    <cellStyle name="Vírgula 2 5 2 3" xfId="287" xr:uid="{00000000-0005-0000-0000-00002B000000}"/>
    <cellStyle name="Vírgula 2 5 2 3 2" xfId="695" xr:uid="{00000000-0005-0000-0000-00002B000000}"/>
    <cellStyle name="Vírgula 2 5 2 3 2 2" xfId="2736" xr:uid="{00000000-0005-0000-0000-00002B000000}"/>
    <cellStyle name="Vírgula 2 5 2 3 2 2 2" xfId="6817" xr:uid="{00000000-0005-0000-0000-00002B000000}"/>
    <cellStyle name="Vírgula 2 5 2 3 2 2 2 2" xfId="14977" xr:uid="{00000000-0005-0000-0000-00002B000000}"/>
    <cellStyle name="Vírgula 2 5 2 3 2 2 3" xfId="10897" xr:uid="{00000000-0005-0000-0000-00002B000000}"/>
    <cellStyle name="Vírgula 2 5 2 3 2 3" xfId="1716" xr:uid="{00000000-0005-0000-0000-00002B000000}"/>
    <cellStyle name="Vírgula 2 5 2 3 2 3 2" xfId="5797" xr:uid="{00000000-0005-0000-0000-00002B000000}"/>
    <cellStyle name="Vírgula 2 5 2 3 2 3 2 2" xfId="13957" xr:uid="{00000000-0005-0000-0000-00002B000000}"/>
    <cellStyle name="Vírgula 2 5 2 3 2 3 3" xfId="9877" xr:uid="{00000000-0005-0000-0000-00002B000000}"/>
    <cellStyle name="Vírgula 2 5 2 3 2 4" xfId="3756" xr:uid="{00000000-0005-0000-0000-00002B000000}"/>
    <cellStyle name="Vírgula 2 5 2 3 2 4 2" xfId="7837" xr:uid="{00000000-0005-0000-0000-00002B000000}"/>
    <cellStyle name="Vírgula 2 5 2 3 2 4 2 2" xfId="15997" xr:uid="{00000000-0005-0000-0000-00002B000000}"/>
    <cellStyle name="Vírgula 2 5 2 3 2 4 3" xfId="11917" xr:uid="{00000000-0005-0000-0000-00002B000000}"/>
    <cellStyle name="Vírgula 2 5 2 3 2 5" xfId="4776" xr:uid="{00000000-0005-0000-0000-00002B000000}"/>
    <cellStyle name="Vírgula 2 5 2 3 2 5 2" xfId="12937" xr:uid="{00000000-0005-0000-0000-00002B000000}"/>
    <cellStyle name="Vírgula 2 5 2 3 2 6" xfId="8857" xr:uid="{00000000-0005-0000-0000-00002B000000}"/>
    <cellStyle name="Vírgula 2 5 2 3 3" xfId="2328" xr:uid="{00000000-0005-0000-0000-00002B000000}"/>
    <cellStyle name="Vírgula 2 5 2 3 3 2" xfId="6409" xr:uid="{00000000-0005-0000-0000-00002B000000}"/>
    <cellStyle name="Vírgula 2 5 2 3 3 2 2" xfId="14569" xr:uid="{00000000-0005-0000-0000-00002B000000}"/>
    <cellStyle name="Vírgula 2 5 2 3 3 3" xfId="10489" xr:uid="{00000000-0005-0000-0000-00002B000000}"/>
    <cellStyle name="Vírgula 2 5 2 3 4" xfId="1308" xr:uid="{00000000-0005-0000-0000-00002B000000}"/>
    <cellStyle name="Vírgula 2 5 2 3 4 2" xfId="5389" xr:uid="{00000000-0005-0000-0000-00002B000000}"/>
    <cellStyle name="Vírgula 2 5 2 3 4 2 2" xfId="13549" xr:uid="{00000000-0005-0000-0000-00002B000000}"/>
    <cellStyle name="Vírgula 2 5 2 3 4 3" xfId="9469" xr:uid="{00000000-0005-0000-0000-00002B000000}"/>
    <cellStyle name="Vírgula 2 5 2 3 5" xfId="3348" xr:uid="{00000000-0005-0000-0000-00002B000000}"/>
    <cellStyle name="Vírgula 2 5 2 3 5 2" xfId="7429" xr:uid="{00000000-0005-0000-0000-00002B000000}"/>
    <cellStyle name="Vírgula 2 5 2 3 5 2 2" xfId="15589" xr:uid="{00000000-0005-0000-0000-00002B000000}"/>
    <cellStyle name="Vírgula 2 5 2 3 5 3" xfId="11509" xr:uid="{00000000-0005-0000-0000-00002B000000}"/>
    <cellStyle name="Vírgula 2 5 2 3 6" xfId="4368" xr:uid="{00000000-0005-0000-0000-00002B000000}"/>
    <cellStyle name="Vírgula 2 5 2 3 6 2" xfId="12529" xr:uid="{00000000-0005-0000-0000-00002B000000}"/>
    <cellStyle name="Vírgula 2 5 2 3 7" xfId="8449" xr:uid="{00000000-0005-0000-0000-00002B000000}"/>
    <cellStyle name="Vírgula 2 5 2 4" xfId="899" xr:uid="{00000000-0005-0000-0000-00002B000000}"/>
    <cellStyle name="Vírgula 2 5 2 4 2" xfId="2940" xr:uid="{00000000-0005-0000-0000-00002B000000}"/>
    <cellStyle name="Vírgula 2 5 2 4 2 2" xfId="7021" xr:uid="{00000000-0005-0000-0000-00002B000000}"/>
    <cellStyle name="Vírgula 2 5 2 4 2 2 2" xfId="15181" xr:uid="{00000000-0005-0000-0000-00002B000000}"/>
    <cellStyle name="Vírgula 2 5 2 4 2 3" xfId="11101" xr:uid="{00000000-0005-0000-0000-00002B000000}"/>
    <cellStyle name="Vírgula 2 5 2 4 3" xfId="1920" xr:uid="{00000000-0005-0000-0000-00002B000000}"/>
    <cellStyle name="Vírgula 2 5 2 4 3 2" xfId="6001" xr:uid="{00000000-0005-0000-0000-00002B000000}"/>
    <cellStyle name="Vírgula 2 5 2 4 3 2 2" xfId="14161" xr:uid="{00000000-0005-0000-0000-00002B000000}"/>
    <cellStyle name="Vírgula 2 5 2 4 3 3" xfId="10081" xr:uid="{00000000-0005-0000-0000-00002B000000}"/>
    <cellStyle name="Vírgula 2 5 2 4 4" xfId="3960" xr:uid="{00000000-0005-0000-0000-00002B000000}"/>
    <cellStyle name="Vírgula 2 5 2 4 4 2" xfId="8041" xr:uid="{00000000-0005-0000-0000-00002B000000}"/>
    <cellStyle name="Vírgula 2 5 2 4 4 2 2" xfId="16201" xr:uid="{00000000-0005-0000-0000-00002B000000}"/>
    <cellStyle name="Vírgula 2 5 2 4 4 3" xfId="12121" xr:uid="{00000000-0005-0000-0000-00002B000000}"/>
    <cellStyle name="Vírgula 2 5 2 4 5" xfId="4980" xr:uid="{00000000-0005-0000-0000-00002B000000}"/>
    <cellStyle name="Vírgula 2 5 2 4 5 2" xfId="13141" xr:uid="{00000000-0005-0000-0000-00002B000000}"/>
    <cellStyle name="Vírgula 2 5 2 4 6" xfId="9061" xr:uid="{00000000-0005-0000-0000-00002B000000}"/>
    <cellStyle name="Vírgula 2 5 2 5" xfId="491" xr:uid="{00000000-0005-0000-0000-00002B000000}"/>
    <cellStyle name="Vírgula 2 5 2 5 2" xfId="2532" xr:uid="{00000000-0005-0000-0000-00002B000000}"/>
    <cellStyle name="Vírgula 2 5 2 5 2 2" xfId="6613" xr:uid="{00000000-0005-0000-0000-00002B000000}"/>
    <cellStyle name="Vírgula 2 5 2 5 2 2 2" xfId="14773" xr:uid="{00000000-0005-0000-0000-00002B000000}"/>
    <cellStyle name="Vírgula 2 5 2 5 2 3" xfId="10693" xr:uid="{00000000-0005-0000-0000-00002B000000}"/>
    <cellStyle name="Vírgula 2 5 2 5 3" xfId="1512" xr:uid="{00000000-0005-0000-0000-00002B000000}"/>
    <cellStyle name="Vírgula 2 5 2 5 3 2" xfId="5593" xr:uid="{00000000-0005-0000-0000-00002B000000}"/>
    <cellStyle name="Vírgula 2 5 2 5 3 2 2" xfId="13753" xr:uid="{00000000-0005-0000-0000-00002B000000}"/>
    <cellStyle name="Vírgula 2 5 2 5 3 3" xfId="9673" xr:uid="{00000000-0005-0000-0000-00002B000000}"/>
    <cellStyle name="Vírgula 2 5 2 5 4" xfId="3552" xr:uid="{00000000-0005-0000-0000-00002B000000}"/>
    <cellStyle name="Vírgula 2 5 2 5 4 2" xfId="7633" xr:uid="{00000000-0005-0000-0000-00002B000000}"/>
    <cellStyle name="Vírgula 2 5 2 5 4 2 2" xfId="15793" xr:uid="{00000000-0005-0000-0000-00002B000000}"/>
    <cellStyle name="Vírgula 2 5 2 5 4 3" xfId="11713" xr:uid="{00000000-0005-0000-0000-00002B000000}"/>
    <cellStyle name="Vírgula 2 5 2 5 5" xfId="4572" xr:uid="{00000000-0005-0000-0000-00002B000000}"/>
    <cellStyle name="Vírgula 2 5 2 5 5 2" xfId="12733" xr:uid="{00000000-0005-0000-0000-00002B000000}"/>
    <cellStyle name="Vírgula 2 5 2 5 6" xfId="8653" xr:uid="{00000000-0005-0000-0000-00002B000000}"/>
    <cellStyle name="Vírgula 2 5 2 6" xfId="2124" xr:uid="{00000000-0005-0000-0000-00002B000000}"/>
    <cellStyle name="Vírgula 2 5 2 6 2" xfId="6205" xr:uid="{00000000-0005-0000-0000-00002B000000}"/>
    <cellStyle name="Vírgula 2 5 2 6 2 2" xfId="14365" xr:uid="{00000000-0005-0000-0000-00002B000000}"/>
    <cellStyle name="Vírgula 2 5 2 6 3" xfId="10285" xr:uid="{00000000-0005-0000-0000-00002B000000}"/>
    <cellStyle name="Vírgula 2 5 2 7" xfId="1104" xr:uid="{00000000-0005-0000-0000-00002B000000}"/>
    <cellStyle name="Vírgula 2 5 2 7 2" xfId="5185" xr:uid="{00000000-0005-0000-0000-00002B000000}"/>
    <cellStyle name="Vírgula 2 5 2 7 2 2" xfId="13345" xr:uid="{00000000-0005-0000-0000-00002B000000}"/>
    <cellStyle name="Vírgula 2 5 2 7 3" xfId="9265" xr:uid="{00000000-0005-0000-0000-00002B000000}"/>
    <cellStyle name="Vírgula 2 5 2 8" xfId="3144" xr:uid="{00000000-0005-0000-0000-00002B000000}"/>
    <cellStyle name="Vírgula 2 5 2 8 2" xfId="7225" xr:uid="{00000000-0005-0000-0000-00002B000000}"/>
    <cellStyle name="Vírgula 2 5 2 8 2 2" xfId="15385" xr:uid="{00000000-0005-0000-0000-00002B000000}"/>
    <cellStyle name="Vírgula 2 5 2 8 3" xfId="11305" xr:uid="{00000000-0005-0000-0000-00002B000000}"/>
    <cellStyle name="Vírgula 2 5 2 9" xfId="4164" xr:uid="{00000000-0005-0000-0000-00002B000000}"/>
    <cellStyle name="Vírgula 2 5 2 9 2" xfId="12325" xr:uid="{00000000-0005-0000-0000-00002B000000}"/>
    <cellStyle name="Vírgula 2 5 3" xfId="134" xr:uid="{00000000-0005-0000-0000-00002B000000}"/>
    <cellStyle name="Vírgula 2 5 3 2" xfId="338" xr:uid="{00000000-0005-0000-0000-00002B000000}"/>
    <cellStyle name="Vírgula 2 5 3 2 2" xfId="746" xr:uid="{00000000-0005-0000-0000-00002B000000}"/>
    <cellStyle name="Vírgula 2 5 3 2 2 2" xfId="2787" xr:uid="{00000000-0005-0000-0000-00002B000000}"/>
    <cellStyle name="Vírgula 2 5 3 2 2 2 2" xfId="6868" xr:uid="{00000000-0005-0000-0000-00002B000000}"/>
    <cellStyle name="Vírgula 2 5 3 2 2 2 2 2" xfId="15028" xr:uid="{00000000-0005-0000-0000-00002B000000}"/>
    <cellStyle name="Vírgula 2 5 3 2 2 2 3" xfId="10948" xr:uid="{00000000-0005-0000-0000-00002B000000}"/>
    <cellStyle name="Vírgula 2 5 3 2 2 3" xfId="1767" xr:uid="{00000000-0005-0000-0000-00002B000000}"/>
    <cellStyle name="Vírgula 2 5 3 2 2 3 2" xfId="5848" xr:uid="{00000000-0005-0000-0000-00002B000000}"/>
    <cellStyle name="Vírgula 2 5 3 2 2 3 2 2" xfId="14008" xr:uid="{00000000-0005-0000-0000-00002B000000}"/>
    <cellStyle name="Vírgula 2 5 3 2 2 3 3" xfId="9928" xr:uid="{00000000-0005-0000-0000-00002B000000}"/>
    <cellStyle name="Vírgula 2 5 3 2 2 4" xfId="3807" xr:uid="{00000000-0005-0000-0000-00002B000000}"/>
    <cellStyle name="Vírgula 2 5 3 2 2 4 2" xfId="7888" xr:uid="{00000000-0005-0000-0000-00002B000000}"/>
    <cellStyle name="Vírgula 2 5 3 2 2 4 2 2" xfId="16048" xr:uid="{00000000-0005-0000-0000-00002B000000}"/>
    <cellStyle name="Vírgula 2 5 3 2 2 4 3" xfId="11968" xr:uid="{00000000-0005-0000-0000-00002B000000}"/>
    <cellStyle name="Vírgula 2 5 3 2 2 5" xfId="4827" xr:uid="{00000000-0005-0000-0000-00002B000000}"/>
    <cellStyle name="Vírgula 2 5 3 2 2 5 2" xfId="12988" xr:uid="{00000000-0005-0000-0000-00002B000000}"/>
    <cellStyle name="Vírgula 2 5 3 2 2 6" xfId="8908" xr:uid="{00000000-0005-0000-0000-00002B000000}"/>
    <cellStyle name="Vírgula 2 5 3 2 3" xfId="2379" xr:uid="{00000000-0005-0000-0000-00002B000000}"/>
    <cellStyle name="Vírgula 2 5 3 2 3 2" xfId="6460" xr:uid="{00000000-0005-0000-0000-00002B000000}"/>
    <cellStyle name="Vírgula 2 5 3 2 3 2 2" xfId="14620" xr:uid="{00000000-0005-0000-0000-00002B000000}"/>
    <cellStyle name="Vírgula 2 5 3 2 3 3" xfId="10540" xr:uid="{00000000-0005-0000-0000-00002B000000}"/>
    <cellStyle name="Vírgula 2 5 3 2 4" xfId="1359" xr:uid="{00000000-0005-0000-0000-00002B000000}"/>
    <cellStyle name="Vírgula 2 5 3 2 4 2" xfId="5440" xr:uid="{00000000-0005-0000-0000-00002B000000}"/>
    <cellStyle name="Vírgula 2 5 3 2 4 2 2" xfId="13600" xr:uid="{00000000-0005-0000-0000-00002B000000}"/>
    <cellStyle name="Vírgula 2 5 3 2 4 3" xfId="9520" xr:uid="{00000000-0005-0000-0000-00002B000000}"/>
    <cellStyle name="Vírgula 2 5 3 2 5" xfId="3399" xr:uid="{00000000-0005-0000-0000-00002B000000}"/>
    <cellStyle name="Vírgula 2 5 3 2 5 2" xfId="7480" xr:uid="{00000000-0005-0000-0000-00002B000000}"/>
    <cellStyle name="Vírgula 2 5 3 2 5 2 2" xfId="15640" xr:uid="{00000000-0005-0000-0000-00002B000000}"/>
    <cellStyle name="Vírgula 2 5 3 2 5 3" xfId="11560" xr:uid="{00000000-0005-0000-0000-00002B000000}"/>
    <cellStyle name="Vírgula 2 5 3 2 6" xfId="4419" xr:uid="{00000000-0005-0000-0000-00002B000000}"/>
    <cellStyle name="Vírgula 2 5 3 2 6 2" xfId="12580" xr:uid="{00000000-0005-0000-0000-00002B000000}"/>
    <cellStyle name="Vírgula 2 5 3 2 7" xfId="8500" xr:uid="{00000000-0005-0000-0000-00002B000000}"/>
    <cellStyle name="Vírgula 2 5 3 3" xfId="950" xr:uid="{00000000-0005-0000-0000-00002B000000}"/>
    <cellStyle name="Vírgula 2 5 3 3 2" xfId="2991" xr:uid="{00000000-0005-0000-0000-00002B000000}"/>
    <cellStyle name="Vírgula 2 5 3 3 2 2" xfId="7072" xr:uid="{00000000-0005-0000-0000-00002B000000}"/>
    <cellStyle name="Vírgula 2 5 3 3 2 2 2" xfId="15232" xr:uid="{00000000-0005-0000-0000-00002B000000}"/>
    <cellStyle name="Vírgula 2 5 3 3 2 3" xfId="11152" xr:uid="{00000000-0005-0000-0000-00002B000000}"/>
    <cellStyle name="Vírgula 2 5 3 3 3" xfId="1971" xr:uid="{00000000-0005-0000-0000-00002B000000}"/>
    <cellStyle name="Vírgula 2 5 3 3 3 2" xfId="6052" xr:uid="{00000000-0005-0000-0000-00002B000000}"/>
    <cellStyle name="Vírgula 2 5 3 3 3 2 2" xfId="14212" xr:uid="{00000000-0005-0000-0000-00002B000000}"/>
    <cellStyle name="Vírgula 2 5 3 3 3 3" xfId="10132" xr:uid="{00000000-0005-0000-0000-00002B000000}"/>
    <cellStyle name="Vírgula 2 5 3 3 4" xfId="4011" xr:uid="{00000000-0005-0000-0000-00002B000000}"/>
    <cellStyle name="Vírgula 2 5 3 3 4 2" xfId="8092" xr:uid="{00000000-0005-0000-0000-00002B000000}"/>
    <cellStyle name="Vírgula 2 5 3 3 4 2 2" xfId="16252" xr:uid="{00000000-0005-0000-0000-00002B000000}"/>
    <cellStyle name="Vírgula 2 5 3 3 4 3" xfId="12172" xr:uid="{00000000-0005-0000-0000-00002B000000}"/>
    <cellStyle name="Vírgula 2 5 3 3 5" xfId="5031" xr:uid="{00000000-0005-0000-0000-00002B000000}"/>
    <cellStyle name="Vírgula 2 5 3 3 5 2" xfId="13192" xr:uid="{00000000-0005-0000-0000-00002B000000}"/>
    <cellStyle name="Vírgula 2 5 3 3 6" xfId="9112" xr:uid="{00000000-0005-0000-0000-00002B000000}"/>
    <cellStyle name="Vírgula 2 5 3 4" xfId="542" xr:uid="{00000000-0005-0000-0000-00002B000000}"/>
    <cellStyle name="Vírgula 2 5 3 4 2" xfId="2583" xr:uid="{00000000-0005-0000-0000-00002B000000}"/>
    <cellStyle name="Vírgula 2 5 3 4 2 2" xfId="6664" xr:uid="{00000000-0005-0000-0000-00002B000000}"/>
    <cellStyle name="Vírgula 2 5 3 4 2 2 2" xfId="14824" xr:uid="{00000000-0005-0000-0000-00002B000000}"/>
    <cellStyle name="Vírgula 2 5 3 4 2 3" xfId="10744" xr:uid="{00000000-0005-0000-0000-00002B000000}"/>
    <cellStyle name="Vírgula 2 5 3 4 3" xfId="1563" xr:uid="{00000000-0005-0000-0000-00002B000000}"/>
    <cellStyle name="Vírgula 2 5 3 4 3 2" xfId="5644" xr:uid="{00000000-0005-0000-0000-00002B000000}"/>
    <cellStyle name="Vírgula 2 5 3 4 3 2 2" xfId="13804" xr:uid="{00000000-0005-0000-0000-00002B000000}"/>
    <cellStyle name="Vírgula 2 5 3 4 3 3" xfId="9724" xr:uid="{00000000-0005-0000-0000-00002B000000}"/>
    <cellStyle name="Vírgula 2 5 3 4 4" xfId="3603" xr:uid="{00000000-0005-0000-0000-00002B000000}"/>
    <cellStyle name="Vírgula 2 5 3 4 4 2" xfId="7684" xr:uid="{00000000-0005-0000-0000-00002B000000}"/>
    <cellStyle name="Vírgula 2 5 3 4 4 2 2" xfId="15844" xr:uid="{00000000-0005-0000-0000-00002B000000}"/>
    <cellStyle name="Vírgula 2 5 3 4 4 3" xfId="11764" xr:uid="{00000000-0005-0000-0000-00002B000000}"/>
    <cellStyle name="Vírgula 2 5 3 4 5" xfId="4623" xr:uid="{00000000-0005-0000-0000-00002B000000}"/>
    <cellStyle name="Vírgula 2 5 3 4 5 2" xfId="12784" xr:uid="{00000000-0005-0000-0000-00002B000000}"/>
    <cellStyle name="Vírgula 2 5 3 4 6" xfId="8704" xr:uid="{00000000-0005-0000-0000-00002B000000}"/>
    <cellStyle name="Vírgula 2 5 3 5" xfId="2175" xr:uid="{00000000-0005-0000-0000-00002B000000}"/>
    <cellStyle name="Vírgula 2 5 3 5 2" xfId="6256" xr:uid="{00000000-0005-0000-0000-00002B000000}"/>
    <cellStyle name="Vírgula 2 5 3 5 2 2" xfId="14416" xr:uid="{00000000-0005-0000-0000-00002B000000}"/>
    <cellStyle name="Vírgula 2 5 3 5 3" xfId="10336" xr:uid="{00000000-0005-0000-0000-00002B000000}"/>
    <cellStyle name="Vírgula 2 5 3 6" xfId="1155" xr:uid="{00000000-0005-0000-0000-00002B000000}"/>
    <cellStyle name="Vírgula 2 5 3 6 2" xfId="5236" xr:uid="{00000000-0005-0000-0000-00002B000000}"/>
    <cellStyle name="Vírgula 2 5 3 6 2 2" xfId="13396" xr:uid="{00000000-0005-0000-0000-00002B000000}"/>
    <cellStyle name="Vírgula 2 5 3 6 3" xfId="9316" xr:uid="{00000000-0005-0000-0000-00002B000000}"/>
    <cellStyle name="Vírgula 2 5 3 7" xfId="3195" xr:uid="{00000000-0005-0000-0000-00002B000000}"/>
    <cellStyle name="Vírgula 2 5 3 7 2" xfId="7276" xr:uid="{00000000-0005-0000-0000-00002B000000}"/>
    <cellStyle name="Vírgula 2 5 3 7 2 2" xfId="15436" xr:uid="{00000000-0005-0000-0000-00002B000000}"/>
    <cellStyle name="Vírgula 2 5 3 7 3" xfId="11356" xr:uid="{00000000-0005-0000-0000-00002B000000}"/>
    <cellStyle name="Vírgula 2 5 3 8" xfId="4215" xr:uid="{00000000-0005-0000-0000-00002B000000}"/>
    <cellStyle name="Vírgula 2 5 3 8 2" xfId="12376" xr:uid="{00000000-0005-0000-0000-00002B000000}"/>
    <cellStyle name="Vírgula 2 5 3 9" xfId="8296" xr:uid="{00000000-0005-0000-0000-00002B000000}"/>
    <cellStyle name="Vírgula 2 5 4" xfId="236" xr:uid="{00000000-0005-0000-0000-00002B000000}"/>
    <cellStyle name="Vírgula 2 5 4 2" xfId="644" xr:uid="{00000000-0005-0000-0000-00002B000000}"/>
    <cellStyle name="Vírgula 2 5 4 2 2" xfId="2685" xr:uid="{00000000-0005-0000-0000-00002B000000}"/>
    <cellStyle name="Vírgula 2 5 4 2 2 2" xfId="6766" xr:uid="{00000000-0005-0000-0000-00002B000000}"/>
    <cellStyle name="Vírgula 2 5 4 2 2 2 2" xfId="14926" xr:uid="{00000000-0005-0000-0000-00002B000000}"/>
    <cellStyle name="Vírgula 2 5 4 2 2 3" xfId="10846" xr:uid="{00000000-0005-0000-0000-00002B000000}"/>
    <cellStyle name="Vírgula 2 5 4 2 3" xfId="1665" xr:uid="{00000000-0005-0000-0000-00002B000000}"/>
    <cellStyle name="Vírgula 2 5 4 2 3 2" xfId="5746" xr:uid="{00000000-0005-0000-0000-00002B000000}"/>
    <cellStyle name="Vírgula 2 5 4 2 3 2 2" xfId="13906" xr:uid="{00000000-0005-0000-0000-00002B000000}"/>
    <cellStyle name="Vírgula 2 5 4 2 3 3" xfId="9826" xr:uid="{00000000-0005-0000-0000-00002B000000}"/>
    <cellStyle name="Vírgula 2 5 4 2 4" xfId="3705" xr:uid="{00000000-0005-0000-0000-00002B000000}"/>
    <cellStyle name="Vírgula 2 5 4 2 4 2" xfId="7786" xr:uid="{00000000-0005-0000-0000-00002B000000}"/>
    <cellStyle name="Vírgula 2 5 4 2 4 2 2" xfId="15946" xr:uid="{00000000-0005-0000-0000-00002B000000}"/>
    <cellStyle name="Vírgula 2 5 4 2 4 3" xfId="11866" xr:uid="{00000000-0005-0000-0000-00002B000000}"/>
    <cellStyle name="Vírgula 2 5 4 2 5" xfId="4725" xr:uid="{00000000-0005-0000-0000-00002B000000}"/>
    <cellStyle name="Vírgula 2 5 4 2 5 2" xfId="12886" xr:uid="{00000000-0005-0000-0000-00002B000000}"/>
    <cellStyle name="Vírgula 2 5 4 2 6" xfId="8806" xr:uid="{00000000-0005-0000-0000-00002B000000}"/>
    <cellStyle name="Vírgula 2 5 4 3" xfId="2277" xr:uid="{00000000-0005-0000-0000-00002B000000}"/>
    <cellStyle name="Vírgula 2 5 4 3 2" xfId="6358" xr:uid="{00000000-0005-0000-0000-00002B000000}"/>
    <cellStyle name="Vírgula 2 5 4 3 2 2" xfId="14518" xr:uid="{00000000-0005-0000-0000-00002B000000}"/>
    <cellStyle name="Vírgula 2 5 4 3 3" xfId="10438" xr:uid="{00000000-0005-0000-0000-00002B000000}"/>
    <cellStyle name="Vírgula 2 5 4 4" xfId="1257" xr:uid="{00000000-0005-0000-0000-00002B000000}"/>
    <cellStyle name="Vírgula 2 5 4 4 2" xfId="5338" xr:uid="{00000000-0005-0000-0000-00002B000000}"/>
    <cellStyle name="Vírgula 2 5 4 4 2 2" xfId="13498" xr:uid="{00000000-0005-0000-0000-00002B000000}"/>
    <cellStyle name="Vírgula 2 5 4 4 3" xfId="9418" xr:uid="{00000000-0005-0000-0000-00002B000000}"/>
    <cellStyle name="Vírgula 2 5 4 5" xfId="3297" xr:uid="{00000000-0005-0000-0000-00002B000000}"/>
    <cellStyle name="Vírgula 2 5 4 5 2" xfId="7378" xr:uid="{00000000-0005-0000-0000-00002B000000}"/>
    <cellStyle name="Vírgula 2 5 4 5 2 2" xfId="15538" xr:uid="{00000000-0005-0000-0000-00002B000000}"/>
    <cellStyle name="Vírgula 2 5 4 5 3" xfId="11458" xr:uid="{00000000-0005-0000-0000-00002B000000}"/>
    <cellStyle name="Vírgula 2 5 4 6" xfId="4317" xr:uid="{00000000-0005-0000-0000-00002B000000}"/>
    <cellStyle name="Vírgula 2 5 4 6 2" xfId="12478" xr:uid="{00000000-0005-0000-0000-00002B000000}"/>
    <cellStyle name="Vírgula 2 5 4 7" xfId="8398" xr:uid="{00000000-0005-0000-0000-00002B000000}"/>
    <cellStyle name="Vírgula 2 5 5" xfId="848" xr:uid="{00000000-0005-0000-0000-00002B000000}"/>
    <cellStyle name="Vírgula 2 5 5 2" xfId="2889" xr:uid="{00000000-0005-0000-0000-00002B000000}"/>
    <cellStyle name="Vírgula 2 5 5 2 2" xfId="6970" xr:uid="{00000000-0005-0000-0000-00002B000000}"/>
    <cellStyle name="Vírgula 2 5 5 2 2 2" xfId="15130" xr:uid="{00000000-0005-0000-0000-00002B000000}"/>
    <cellStyle name="Vírgula 2 5 5 2 3" xfId="11050" xr:uid="{00000000-0005-0000-0000-00002B000000}"/>
    <cellStyle name="Vírgula 2 5 5 3" xfId="1869" xr:uid="{00000000-0005-0000-0000-00002B000000}"/>
    <cellStyle name="Vírgula 2 5 5 3 2" xfId="5950" xr:uid="{00000000-0005-0000-0000-00002B000000}"/>
    <cellStyle name="Vírgula 2 5 5 3 2 2" xfId="14110" xr:uid="{00000000-0005-0000-0000-00002B000000}"/>
    <cellStyle name="Vírgula 2 5 5 3 3" xfId="10030" xr:uid="{00000000-0005-0000-0000-00002B000000}"/>
    <cellStyle name="Vírgula 2 5 5 4" xfId="3909" xr:uid="{00000000-0005-0000-0000-00002B000000}"/>
    <cellStyle name="Vírgula 2 5 5 4 2" xfId="7990" xr:uid="{00000000-0005-0000-0000-00002B000000}"/>
    <cellStyle name="Vírgula 2 5 5 4 2 2" xfId="16150" xr:uid="{00000000-0005-0000-0000-00002B000000}"/>
    <cellStyle name="Vírgula 2 5 5 4 3" xfId="12070" xr:uid="{00000000-0005-0000-0000-00002B000000}"/>
    <cellStyle name="Vírgula 2 5 5 5" xfId="4929" xr:uid="{00000000-0005-0000-0000-00002B000000}"/>
    <cellStyle name="Vírgula 2 5 5 5 2" xfId="13090" xr:uid="{00000000-0005-0000-0000-00002B000000}"/>
    <cellStyle name="Vírgula 2 5 5 6" xfId="9010" xr:uid="{00000000-0005-0000-0000-00002B000000}"/>
    <cellStyle name="Vírgula 2 5 6" xfId="440" xr:uid="{00000000-0005-0000-0000-00002B000000}"/>
    <cellStyle name="Vírgula 2 5 6 2" xfId="2481" xr:uid="{00000000-0005-0000-0000-00002B000000}"/>
    <cellStyle name="Vírgula 2 5 6 2 2" xfId="6562" xr:uid="{00000000-0005-0000-0000-00002B000000}"/>
    <cellStyle name="Vírgula 2 5 6 2 2 2" xfId="14722" xr:uid="{00000000-0005-0000-0000-00002B000000}"/>
    <cellStyle name="Vírgula 2 5 6 2 3" xfId="10642" xr:uid="{00000000-0005-0000-0000-00002B000000}"/>
    <cellStyle name="Vírgula 2 5 6 3" xfId="1461" xr:uid="{00000000-0005-0000-0000-00002B000000}"/>
    <cellStyle name="Vírgula 2 5 6 3 2" xfId="5542" xr:uid="{00000000-0005-0000-0000-00002B000000}"/>
    <cellStyle name="Vírgula 2 5 6 3 2 2" xfId="13702" xr:uid="{00000000-0005-0000-0000-00002B000000}"/>
    <cellStyle name="Vírgula 2 5 6 3 3" xfId="9622" xr:uid="{00000000-0005-0000-0000-00002B000000}"/>
    <cellStyle name="Vírgula 2 5 6 4" xfId="3501" xr:uid="{00000000-0005-0000-0000-00002B000000}"/>
    <cellStyle name="Vírgula 2 5 6 4 2" xfId="7582" xr:uid="{00000000-0005-0000-0000-00002B000000}"/>
    <cellStyle name="Vírgula 2 5 6 4 2 2" xfId="15742" xr:uid="{00000000-0005-0000-0000-00002B000000}"/>
    <cellStyle name="Vírgula 2 5 6 4 3" xfId="11662" xr:uid="{00000000-0005-0000-0000-00002B000000}"/>
    <cellStyle name="Vírgula 2 5 6 5" xfId="4521" xr:uid="{00000000-0005-0000-0000-00002B000000}"/>
    <cellStyle name="Vírgula 2 5 6 5 2" xfId="12682" xr:uid="{00000000-0005-0000-0000-00002B000000}"/>
    <cellStyle name="Vírgula 2 5 6 6" xfId="8602" xr:uid="{00000000-0005-0000-0000-00002B000000}"/>
    <cellStyle name="Vírgula 2 5 7" xfId="2073" xr:uid="{00000000-0005-0000-0000-00002B000000}"/>
    <cellStyle name="Vírgula 2 5 7 2" xfId="6154" xr:uid="{00000000-0005-0000-0000-00002B000000}"/>
    <cellStyle name="Vírgula 2 5 7 2 2" xfId="14314" xr:uid="{00000000-0005-0000-0000-00002B000000}"/>
    <cellStyle name="Vírgula 2 5 7 3" xfId="10234" xr:uid="{00000000-0005-0000-0000-00002B000000}"/>
    <cellStyle name="Vírgula 2 5 8" xfId="1053" xr:uid="{00000000-0005-0000-0000-00002B000000}"/>
    <cellStyle name="Vírgula 2 5 8 2" xfId="5134" xr:uid="{00000000-0005-0000-0000-00002B000000}"/>
    <cellStyle name="Vírgula 2 5 8 2 2" xfId="13294" xr:uid="{00000000-0005-0000-0000-00002B000000}"/>
    <cellStyle name="Vírgula 2 5 8 3" xfId="9214" xr:uid="{00000000-0005-0000-0000-00002B000000}"/>
    <cellStyle name="Vírgula 2 5 9" xfId="3093" xr:uid="{00000000-0005-0000-0000-00002B000000}"/>
    <cellStyle name="Vírgula 2 5 9 2" xfId="7174" xr:uid="{00000000-0005-0000-0000-00002B000000}"/>
    <cellStyle name="Vírgula 2 5 9 2 2" xfId="15334" xr:uid="{00000000-0005-0000-0000-00002B000000}"/>
    <cellStyle name="Vírgula 2 5 9 3" xfId="11254" xr:uid="{00000000-0005-0000-0000-00002B000000}"/>
    <cellStyle name="Vírgula 2 6" xfId="58" xr:uid="{00000000-0005-0000-0000-000020000000}"/>
    <cellStyle name="Vírgula 2 6 10" xfId="8220" xr:uid="{00000000-0005-0000-0000-000020000000}"/>
    <cellStyle name="Vírgula 2 6 2" xfId="160" xr:uid="{00000000-0005-0000-0000-000020000000}"/>
    <cellStyle name="Vírgula 2 6 2 2" xfId="364" xr:uid="{00000000-0005-0000-0000-000020000000}"/>
    <cellStyle name="Vírgula 2 6 2 2 2" xfId="772" xr:uid="{00000000-0005-0000-0000-000020000000}"/>
    <cellStyle name="Vírgula 2 6 2 2 2 2" xfId="2813" xr:uid="{00000000-0005-0000-0000-000020000000}"/>
    <cellStyle name="Vírgula 2 6 2 2 2 2 2" xfId="6894" xr:uid="{00000000-0005-0000-0000-000020000000}"/>
    <cellStyle name="Vírgula 2 6 2 2 2 2 2 2" xfId="15054" xr:uid="{00000000-0005-0000-0000-000020000000}"/>
    <cellStyle name="Vírgula 2 6 2 2 2 2 3" xfId="10974" xr:uid="{00000000-0005-0000-0000-000020000000}"/>
    <cellStyle name="Vírgula 2 6 2 2 2 3" xfId="1793" xr:uid="{00000000-0005-0000-0000-000020000000}"/>
    <cellStyle name="Vírgula 2 6 2 2 2 3 2" xfId="5874" xr:uid="{00000000-0005-0000-0000-000020000000}"/>
    <cellStyle name="Vírgula 2 6 2 2 2 3 2 2" xfId="14034" xr:uid="{00000000-0005-0000-0000-000020000000}"/>
    <cellStyle name="Vírgula 2 6 2 2 2 3 3" xfId="9954" xr:uid="{00000000-0005-0000-0000-000020000000}"/>
    <cellStyle name="Vírgula 2 6 2 2 2 4" xfId="3833" xr:uid="{00000000-0005-0000-0000-000020000000}"/>
    <cellStyle name="Vírgula 2 6 2 2 2 4 2" xfId="7914" xr:uid="{00000000-0005-0000-0000-000020000000}"/>
    <cellStyle name="Vírgula 2 6 2 2 2 4 2 2" xfId="16074" xr:uid="{00000000-0005-0000-0000-000020000000}"/>
    <cellStyle name="Vírgula 2 6 2 2 2 4 3" xfId="11994" xr:uid="{00000000-0005-0000-0000-000020000000}"/>
    <cellStyle name="Vírgula 2 6 2 2 2 5" xfId="4853" xr:uid="{00000000-0005-0000-0000-000020000000}"/>
    <cellStyle name="Vírgula 2 6 2 2 2 5 2" xfId="13014" xr:uid="{00000000-0005-0000-0000-000020000000}"/>
    <cellStyle name="Vírgula 2 6 2 2 2 6" xfId="8934" xr:uid="{00000000-0005-0000-0000-000020000000}"/>
    <cellStyle name="Vírgula 2 6 2 2 3" xfId="2405" xr:uid="{00000000-0005-0000-0000-000020000000}"/>
    <cellStyle name="Vírgula 2 6 2 2 3 2" xfId="6486" xr:uid="{00000000-0005-0000-0000-000020000000}"/>
    <cellStyle name="Vírgula 2 6 2 2 3 2 2" xfId="14646" xr:uid="{00000000-0005-0000-0000-000020000000}"/>
    <cellStyle name="Vírgula 2 6 2 2 3 3" xfId="10566" xr:uid="{00000000-0005-0000-0000-000020000000}"/>
    <cellStyle name="Vírgula 2 6 2 2 4" xfId="1385" xr:uid="{00000000-0005-0000-0000-000020000000}"/>
    <cellStyle name="Vírgula 2 6 2 2 4 2" xfId="5466" xr:uid="{00000000-0005-0000-0000-000020000000}"/>
    <cellStyle name="Vírgula 2 6 2 2 4 2 2" xfId="13626" xr:uid="{00000000-0005-0000-0000-000020000000}"/>
    <cellStyle name="Vírgula 2 6 2 2 4 3" xfId="9546" xr:uid="{00000000-0005-0000-0000-000020000000}"/>
    <cellStyle name="Vírgula 2 6 2 2 5" xfId="3425" xr:uid="{00000000-0005-0000-0000-000020000000}"/>
    <cellStyle name="Vírgula 2 6 2 2 5 2" xfId="7506" xr:uid="{00000000-0005-0000-0000-000020000000}"/>
    <cellStyle name="Vírgula 2 6 2 2 5 2 2" xfId="15666" xr:uid="{00000000-0005-0000-0000-000020000000}"/>
    <cellStyle name="Vírgula 2 6 2 2 5 3" xfId="11586" xr:uid="{00000000-0005-0000-0000-000020000000}"/>
    <cellStyle name="Vírgula 2 6 2 2 6" xfId="4445" xr:uid="{00000000-0005-0000-0000-000020000000}"/>
    <cellStyle name="Vírgula 2 6 2 2 6 2" xfId="12606" xr:uid="{00000000-0005-0000-0000-000020000000}"/>
    <cellStyle name="Vírgula 2 6 2 2 7" xfId="8526" xr:uid="{00000000-0005-0000-0000-000020000000}"/>
    <cellStyle name="Vírgula 2 6 2 3" xfId="976" xr:uid="{00000000-0005-0000-0000-000020000000}"/>
    <cellStyle name="Vírgula 2 6 2 3 2" xfId="3017" xr:uid="{00000000-0005-0000-0000-000020000000}"/>
    <cellStyle name="Vírgula 2 6 2 3 2 2" xfId="7098" xr:uid="{00000000-0005-0000-0000-000020000000}"/>
    <cellStyle name="Vírgula 2 6 2 3 2 2 2" xfId="15258" xr:uid="{00000000-0005-0000-0000-000020000000}"/>
    <cellStyle name="Vírgula 2 6 2 3 2 3" xfId="11178" xr:uid="{00000000-0005-0000-0000-000020000000}"/>
    <cellStyle name="Vírgula 2 6 2 3 3" xfId="1997" xr:uid="{00000000-0005-0000-0000-000020000000}"/>
    <cellStyle name="Vírgula 2 6 2 3 3 2" xfId="6078" xr:uid="{00000000-0005-0000-0000-000020000000}"/>
    <cellStyle name="Vírgula 2 6 2 3 3 2 2" xfId="14238" xr:uid="{00000000-0005-0000-0000-000020000000}"/>
    <cellStyle name="Vírgula 2 6 2 3 3 3" xfId="10158" xr:uid="{00000000-0005-0000-0000-000020000000}"/>
    <cellStyle name="Vírgula 2 6 2 3 4" xfId="4037" xr:uid="{00000000-0005-0000-0000-000020000000}"/>
    <cellStyle name="Vírgula 2 6 2 3 4 2" xfId="8118" xr:uid="{00000000-0005-0000-0000-000020000000}"/>
    <cellStyle name="Vírgula 2 6 2 3 4 2 2" xfId="16278" xr:uid="{00000000-0005-0000-0000-000020000000}"/>
    <cellStyle name="Vírgula 2 6 2 3 4 3" xfId="12198" xr:uid="{00000000-0005-0000-0000-000020000000}"/>
    <cellStyle name="Vírgula 2 6 2 3 5" xfId="5057" xr:uid="{00000000-0005-0000-0000-000020000000}"/>
    <cellStyle name="Vírgula 2 6 2 3 5 2" xfId="13218" xr:uid="{00000000-0005-0000-0000-000020000000}"/>
    <cellStyle name="Vírgula 2 6 2 3 6" xfId="9138" xr:uid="{00000000-0005-0000-0000-000020000000}"/>
    <cellStyle name="Vírgula 2 6 2 4" xfId="568" xr:uid="{00000000-0005-0000-0000-000020000000}"/>
    <cellStyle name="Vírgula 2 6 2 4 2" xfId="2609" xr:uid="{00000000-0005-0000-0000-000020000000}"/>
    <cellStyle name="Vírgula 2 6 2 4 2 2" xfId="6690" xr:uid="{00000000-0005-0000-0000-000020000000}"/>
    <cellStyle name="Vírgula 2 6 2 4 2 2 2" xfId="14850" xr:uid="{00000000-0005-0000-0000-000020000000}"/>
    <cellStyle name="Vírgula 2 6 2 4 2 3" xfId="10770" xr:uid="{00000000-0005-0000-0000-000020000000}"/>
    <cellStyle name="Vírgula 2 6 2 4 3" xfId="1589" xr:uid="{00000000-0005-0000-0000-000020000000}"/>
    <cellStyle name="Vírgula 2 6 2 4 3 2" xfId="5670" xr:uid="{00000000-0005-0000-0000-000020000000}"/>
    <cellStyle name="Vírgula 2 6 2 4 3 2 2" xfId="13830" xr:uid="{00000000-0005-0000-0000-000020000000}"/>
    <cellStyle name="Vírgula 2 6 2 4 3 3" xfId="9750" xr:uid="{00000000-0005-0000-0000-000020000000}"/>
    <cellStyle name="Vírgula 2 6 2 4 4" xfId="3629" xr:uid="{00000000-0005-0000-0000-000020000000}"/>
    <cellStyle name="Vírgula 2 6 2 4 4 2" xfId="7710" xr:uid="{00000000-0005-0000-0000-000020000000}"/>
    <cellStyle name="Vírgula 2 6 2 4 4 2 2" xfId="15870" xr:uid="{00000000-0005-0000-0000-000020000000}"/>
    <cellStyle name="Vírgula 2 6 2 4 4 3" xfId="11790" xr:uid="{00000000-0005-0000-0000-000020000000}"/>
    <cellStyle name="Vírgula 2 6 2 4 5" xfId="4649" xr:uid="{00000000-0005-0000-0000-000020000000}"/>
    <cellStyle name="Vírgula 2 6 2 4 5 2" xfId="12810" xr:uid="{00000000-0005-0000-0000-000020000000}"/>
    <cellStyle name="Vírgula 2 6 2 4 6" xfId="8730" xr:uid="{00000000-0005-0000-0000-000020000000}"/>
    <cellStyle name="Vírgula 2 6 2 5" xfId="2201" xr:uid="{00000000-0005-0000-0000-000020000000}"/>
    <cellStyle name="Vírgula 2 6 2 5 2" xfId="6282" xr:uid="{00000000-0005-0000-0000-000020000000}"/>
    <cellStyle name="Vírgula 2 6 2 5 2 2" xfId="14442" xr:uid="{00000000-0005-0000-0000-000020000000}"/>
    <cellStyle name="Vírgula 2 6 2 5 3" xfId="10362" xr:uid="{00000000-0005-0000-0000-000020000000}"/>
    <cellStyle name="Vírgula 2 6 2 6" xfId="1181" xr:uid="{00000000-0005-0000-0000-000020000000}"/>
    <cellStyle name="Vírgula 2 6 2 6 2" xfId="5262" xr:uid="{00000000-0005-0000-0000-000020000000}"/>
    <cellStyle name="Vírgula 2 6 2 6 2 2" xfId="13422" xr:uid="{00000000-0005-0000-0000-000020000000}"/>
    <cellStyle name="Vírgula 2 6 2 6 3" xfId="9342" xr:uid="{00000000-0005-0000-0000-000020000000}"/>
    <cellStyle name="Vírgula 2 6 2 7" xfId="3221" xr:uid="{00000000-0005-0000-0000-000020000000}"/>
    <cellStyle name="Vírgula 2 6 2 7 2" xfId="7302" xr:uid="{00000000-0005-0000-0000-000020000000}"/>
    <cellStyle name="Vírgula 2 6 2 7 2 2" xfId="15462" xr:uid="{00000000-0005-0000-0000-000020000000}"/>
    <cellStyle name="Vírgula 2 6 2 7 3" xfId="11382" xr:uid="{00000000-0005-0000-0000-000020000000}"/>
    <cellStyle name="Vírgula 2 6 2 8" xfId="4241" xr:uid="{00000000-0005-0000-0000-000020000000}"/>
    <cellStyle name="Vírgula 2 6 2 8 2" xfId="12402" xr:uid="{00000000-0005-0000-0000-000020000000}"/>
    <cellStyle name="Vírgula 2 6 2 9" xfId="8322" xr:uid="{00000000-0005-0000-0000-000020000000}"/>
    <cellStyle name="Vírgula 2 6 3" xfId="262" xr:uid="{00000000-0005-0000-0000-000020000000}"/>
    <cellStyle name="Vírgula 2 6 3 2" xfId="670" xr:uid="{00000000-0005-0000-0000-000020000000}"/>
    <cellStyle name="Vírgula 2 6 3 2 2" xfId="2711" xr:uid="{00000000-0005-0000-0000-000020000000}"/>
    <cellStyle name="Vírgula 2 6 3 2 2 2" xfId="6792" xr:uid="{00000000-0005-0000-0000-000020000000}"/>
    <cellStyle name="Vírgula 2 6 3 2 2 2 2" xfId="14952" xr:uid="{00000000-0005-0000-0000-000020000000}"/>
    <cellStyle name="Vírgula 2 6 3 2 2 3" xfId="10872" xr:uid="{00000000-0005-0000-0000-000020000000}"/>
    <cellStyle name="Vírgula 2 6 3 2 3" xfId="1691" xr:uid="{00000000-0005-0000-0000-000020000000}"/>
    <cellStyle name="Vírgula 2 6 3 2 3 2" xfId="5772" xr:uid="{00000000-0005-0000-0000-000020000000}"/>
    <cellStyle name="Vírgula 2 6 3 2 3 2 2" xfId="13932" xr:uid="{00000000-0005-0000-0000-000020000000}"/>
    <cellStyle name="Vírgula 2 6 3 2 3 3" xfId="9852" xr:uid="{00000000-0005-0000-0000-000020000000}"/>
    <cellStyle name="Vírgula 2 6 3 2 4" xfId="3731" xr:uid="{00000000-0005-0000-0000-000020000000}"/>
    <cellStyle name="Vírgula 2 6 3 2 4 2" xfId="7812" xr:uid="{00000000-0005-0000-0000-000020000000}"/>
    <cellStyle name="Vírgula 2 6 3 2 4 2 2" xfId="15972" xr:uid="{00000000-0005-0000-0000-000020000000}"/>
    <cellStyle name="Vírgula 2 6 3 2 4 3" xfId="11892" xr:uid="{00000000-0005-0000-0000-000020000000}"/>
    <cellStyle name="Vírgula 2 6 3 2 5" xfId="4751" xr:uid="{00000000-0005-0000-0000-000020000000}"/>
    <cellStyle name="Vírgula 2 6 3 2 5 2" xfId="12912" xr:uid="{00000000-0005-0000-0000-000020000000}"/>
    <cellStyle name="Vírgula 2 6 3 2 6" xfId="8832" xr:uid="{00000000-0005-0000-0000-000020000000}"/>
    <cellStyle name="Vírgula 2 6 3 3" xfId="2303" xr:uid="{00000000-0005-0000-0000-000020000000}"/>
    <cellStyle name="Vírgula 2 6 3 3 2" xfId="6384" xr:uid="{00000000-0005-0000-0000-000020000000}"/>
    <cellStyle name="Vírgula 2 6 3 3 2 2" xfId="14544" xr:uid="{00000000-0005-0000-0000-000020000000}"/>
    <cellStyle name="Vírgula 2 6 3 3 3" xfId="10464" xr:uid="{00000000-0005-0000-0000-000020000000}"/>
    <cellStyle name="Vírgula 2 6 3 4" xfId="1283" xr:uid="{00000000-0005-0000-0000-000020000000}"/>
    <cellStyle name="Vírgula 2 6 3 4 2" xfId="5364" xr:uid="{00000000-0005-0000-0000-000020000000}"/>
    <cellStyle name="Vírgula 2 6 3 4 2 2" xfId="13524" xr:uid="{00000000-0005-0000-0000-000020000000}"/>
    <cellStyle name="Vírgula 2 6 3 4 3" xfId="9444" xr:uid="{00000000-0005-0000-0000-000020000000}"/>
    <cellStyle name="Vírgula 2 6 3 5" xfId="3323" xr:uid="{00000000-0005-0000-0000-000020000000}"/>
    <cellStyle name="Vírgula 2 6 3 5 2" xfId="7404" xr:uid="{00000000-0005-0000-0000-000020000000}"/>
    <cellStyle name="Vírgula 2 6 3 5 2 2" xfId="15564" xr:uid="{00000000-0005-0000-0000-000020000000}"/>
    <cellStyle name="Vírgula 2 6 3 5 3" xfId="11484" xr:uid="{00000000-0005-0000-0000-000020000000}"/>
    <cellStyle name="Vírgula 2 6 3 6" xfId="4343" xr:uid="{00000000-0005-0000-0000-000020000000}"/>
    <cellStyle name="Vírgula 2 6 3 6 2" xfId="12504" xr:uid="{00000000-0005-0000-0000-000020000000}"/>
    <cellStyle name="Vírgula 2 6 3 7" xfId="8424" xr:uid="{00000000-0005-0000-0000-000020000000}"/>
    <cellStyle name="Vírgula 2 6 4" xfId="874" xr:uid="{00000000-0005-0000-0000-000020000000}"/>
    <cellStyle name="Vírgula 2 6 4 2" xfId="2915" xr:uid="{00000000-0005-0000-0000-000020000000}"/>
    <cellStyle name="Vírgula 2 6 4 2 2" xfId="6996" xr:uid="{00000000-0005-0000-0000-000020000000}"/>
    <cellStyle name="Vírgula 2 6 4 2 2 2" xfId="15156" xr:uid="{00000000-0005-0000-0000-000020000000}"/>
    <cellStyle name="Vírgula 2 6 4 2 3" xfId="11076" xr:uid="{00000000-0005-0000-0000-000020000000}"/>
    <cellStyle name="Vírgula 2 6 4 3" xfId="1895" xr:uid="{00000000-0005-0000-0000-000020000000}"/>
    <cellStyle name="Vírgula 2 6 4 3 2" xfId="5976" xr:uid="{00000000-0005-0000-0000-000020000000}"/>
    <cellStyle name="Vírgula 2 6 4 3 2 2" xfId="14136" xr:uid="{00000000-0005-0000-0000-000020000000}"/>
    <cellStyle name="Vírgula 2 6 4 3 3" xfId="10056" xr:uid="{00000000-0005-0000-0000-000020000000}"/>
    <cellStyle name="Vírgula 2 6 4 4" xfId="3935" xr:uid="{00000000-0005-0000-0000-000020000000}"/>
    <cellStyle name="Vírgula 2 6 4 4 2" xfId="8016" xr:uid="{00000000-0005-0000-0000-000020000000}"/>
    <cellStyle name="Vírgula 2 6 4 4 2 2" xfId="16176" xr:uid="{00000000-0005-0000-0000-000020000000}"/>
    <cellStyle name="Vírgula 2 6 4 4 3" xfId="12096" xr:uid="{00000000-0005-0000-0000-000020000000}"/>
    <cellStyle name="Vírgula 2 6 4 5" xfId="4955" xr:uid="{00000000-0005-0000-0000-000020000000}"/>
    <cellStyle name="Vírgula 2 6 4 5 2" xfId="13116" xr:uid="{00000000-0005-0000-0000-000020000000}"/>
    <cellStyle name="Vírgula 2 6 4 6" xfId="9036" xr:uid="{00000000-0005-0000-0000-000020000000}"/>
    <cellStyle name="Vírgula 2 6 5" xfId="466" xr:uid="{00000000-0005-0000-0000-000020000000}"/>
    <cellStyle name="Vírgula 2 6 5 2" xfId="2507" xr:uid="{00000000-0005-0000-0000-000020000000}"/>
    <cellStyle name="Vírgula 2 6 5 2 2" xfId="6588" xr:uid="{00000000-0005-0000-0000-000020000000}"/>
    <cellStyle name="Vírgula 2 6 5 2 2 2" xfId="14748" xr:uid="{00000000-0005-0000-0000-000020000000}"/>
    <cellStyle name="Vírgula 2 6 5 2 3" xfId="10668" xr:uid="{00000000-0005-0000-0000-000020000000}"/>
    <cellStyle name="Vírgula 2 6 5 3" xfId="1487" xr:uid="{00000000-0005-0000-0000-000020000000}"/>
    <cellStyle name="Vírgula 2 6 5 3 2" xfId="5568" xr:uid="{00000000-0005-0000-0000-000020000000}"/>
    <cellStyle name="Vírgula 2 6 5 3 2 2" xfId="13728" xr:uid="{00000000-0005-0000-0000-000020000000}"/>
    <cellStyle name="Vírgula 2 6 5 3 3" xfId="9648" xr:uid="{00000000-0005-0000-0000-000020000000}"/>
    <cellStyle name="Vírgula 2 6 5 4" xfId="3527" xr:uid="{00000000-0005-0000-0000-000020000000}"/>
    <cellStyle name="Vírgula 2 6 5 4 2" xfId="7608" xr:uid="{00000000-0005-0000-0000-000020000000}"/>
    <cellStyle name="Vírgula 2 6 5 4 2 2" xfId="15768" xr:uid="{00000000-0005-0000-0000-000020000000}"/>
    <cellStyle name="Vírgula 2 6 5 4 3" xfId="11688" xr:uid="{00000000-0005-0000-0000-000020000000}"/>
    <cellStyle name="Vírgula 2 6 5 5" xfId="4547" xr:uid="{00000000-0005-0000-0000-000020000000}"/>
    <cellStyle name="Vírgula 2 6 5 5 2" xfId="12708" xr:uid="{00000000-0005-0000-0000-000020000000}"/>
    <cellStyle name="Vírgula 2 6 5 6" xfId="8628" xr:uid="{00000000-0005-0000-0000-000020000000}"/>
    <cellStyle name="Vírgula 2 6 6" xfId="2099" xr:uid="{00000000-0005-0000-0000-000020000000}"/>
    <cellStyle name="Vírgula 2 6 6 2" xfId="6180" xr:uid="{00000000-0005-0000-0000-000020000000}"/>
    <cellStyle name="Vírgula 2 6 6 2 2" xfId="14340" xr:uid="{00000000-0005-0000-0000-000020000000}"/>
    <cellStyle name="Vírgula 2 6 6 3" xfId="10260" xr:uid="{00000000-0005-0000-0000-000020000000}"/>
    <cellStyle name="Vírgula 2 6 7" xfId="1079" xr:uid="{00000000-0005-0000-0000-000020000000}"/>
    <cellStyle name="Vírgula 2 6 7 2" xfId="5160" xr:uid="{00000000-0005-0000-0000-000020000000}"/>
    <cellStyle name="Vírgula 2 6 7 2 2" xfId="13320" xr:uid="{00000000-0005-0000-0000-000020000000}"/>
    <cellStyle name="Vírgula 2 6 7 3" xfId="9240" xr:uid="{00000000-0005-0000-0000-000020000000}"/>
    <cellStyle name="Vírgula 2 6 8" xfId="3119" xr:uid="{00000000-0005-0000-0000-000020000000}"/>
    <cellStyle name="Vírgula 2 6 8 2" xfId="7200" xr:uid="{00000000-0005-0000-0000-000020000000}"/>
    <cellStyle name="Vírgula 2 6 8 2 2" xfId="15360" xr:uid="{00000000-0005-0000-0000-000020000000}"/>
    <cellStyle name="Vírgula 2 6 8 3" xfId="11280" xr:uid="{00000000-0005-0000-0000-000020000000}"/>
    <cellStyle name="Vírgula 2 6 9" xfId="4139" xr:uid="{00000000-0005-0000-0000-000020000000}"/>
    <cellStyle name="Vírgula 2 6 9 2" xfId="12300" xr:uid="{00000000-0005-0000-0000-000020000000}"/>
    <cellStyle name="Vírgula 2 7" xfId="109" xr:uid="{00000000-0005-0000-0000-000020000000}"/>
    <cellStyle name="Vírgula 2 7 2" xfId="313" xr:uid="{00000000-0005-0000-0000-000020000000}"/>
    <cellStyle name="Vírgula 2 7 2 2" xfId="721" xr:uid="{00000000-0005-0000-0000-000020000000}"/>
    <cellStyle name="Vírgula 2 7 2 2 2" xfId="2762" xr:uid="{00000000-0005-0000-0000-000020000000}"/>
    <cellStyle name="Vírgula 2 7 2 2 2 2" xfId="6843" xr:uid="{00000000-0005-0000-0000-000020000000}"/>
    <cellStyle name="Vírgula 2 7 2 2 2 2 2" xfId="15003" xr:uid="{00000000-0005-0000-0000-000020000000}"/>
    <cellStyle name="Vírgula 2 7 2 2 2 3" xfId="10923" xr:uid="{00000000-0005-0000-0000-000020000000}"/>
    <cellStyle name="Vírgula 2 7 2 2 3" xfId="1742" xr:uid="{00000000-0005-0000-0000-000020000000}"/>
    <cellStyle name="Vírgula 2 7 2 2 3 2" xfId="5823" xr:uid="{00000000-0005-0000-0000-000020000000}"/>
    <cellStyle name="Vírgula 2 7 2 2 3 2 2" xfId="13983" xr:uid="{00000000-0005-0000-0000-000020000000}"/>
    <cellStyle name="Vírgula 2 7 2 2 3 3" xfId="9903" xr:uid="{00000000-0005-0000-0000-000020000000}"/>
    <cellStyle name="Vírgula 2 7 2 2 4" xfId="3782" xr:uid="{00000000-0005-0000-0000-000020000000}"/>
    <cellStyle name="Vírgula 2 7 2 2 4 2" xfId="7863" xr:uid="{00000000-0005-0000-0000-000020000000}"/>
    <cellStyle name="Vírgula 2 7 2 2 4 2 2" xfId="16023" xr:uid="{00000000-0005-0000-0000-000020000000}"/>
    <cellStyle name="Vírgula 2 7 2 2 4 3" xfId="11943" xr:uid="{00000000-0005-0000-0000-000020000000}"/>
    <cellStyle name="Vírgula 2 7 2 2 5" xfId="4802" xr:uid="{00000000-0005-0000-0000-000020000000}"/>
    <cellStyle name="Vírgula 2 7 2 2 5 2" xfId="12963" xr:uid="{00000000-0005-0000-0000-000020000000}"/>
    <cellStyle name="Vírgula 2 7 2 2 6" xfId="8883" xr:uid="{00000000-0005-0000-0000-000020000000}"/>
    <cellStyle name="Vírgula 2 7 2 3" xfId="2354" xr:uid="{00000000-0005-0000-0000-000020000000}"/>
    <cellStyle name="Vírgula 2 7 2 3 2" xfId="6435" xr:uid="{00000000-0005-0000-0000-000020000000}"/>
    <cellStyle name="Vírgula 2 7 2 3 2 2" xfId="14595" xr:uid="{00000000-0005-0000-0000-000020000000}"/>
    <cellStyle name="Vírgula 2 7 2 3 3" xfId="10515" xr:uid="{00000000-0005-0000-0000-000020000000}"/>
    <cellStyle name="Vírgula 2 7 2 4" xfId="1334" xr:uid="{00000000-0005-0000-0000-000020000000}"/>
    <cellStyle name="Vírgula 2 7 2 4 2" xfId="5415" xr:uid="{00000000-0005-0000-0000-000020000000}"/>
    <cellStyle name="Vírgula 2 7 2 4 2 2" xfId="13575" xr:uid="{00000000-0005-0000-0000-000020000000}"/>
    <cellStyle name="Vírgula 2 7 2 4 3" xfId="9495" xr:uid="{00000000-0005-0000-0000-000020000000}"/>
    <cellStyle name="Vírgula 2 7 2 5" xfId="3374" xr:uid="{00000000-0005-0000-0000-000020000000}"/>
    <cellStyle name="Vírgula 2 7 2 5 2" xfId="7455" xr:uid="{00000000-0005-0000-0000-000020000000}"/>
    <cellStyle name="Vírgula 2 7 2 5 2 2" xfId="15615" xr:uid="{00000000-0005-0000-0000-000020000000}"/>
    <cellStyle name="Vírgula 2 7 2 5 3" xfId="11535" xr:uid="{00000000-0005-0000-0000-000020000000}"/>
    <cellStyle name="Vírgula 2 7 2 6" xfId="4394" xr:uid="{00000000-0005-0000-0000-000020000000}"/>
    <cellStyle name="Vírgula 2 7 2 6 2" xfId="12555" xr:uid="{00000000-0005-0000-0000-000020000000}"/>
    <cellStyle name="Vírgula 2 7 2 7" xfId="8475" xr:uid="{00000000-0005-0000-0000-000020000000}"/>
    <cellStyle name="Vírgula 2 7 3" xfId="925" xr:uid="{00000000-0005-0000-0000-000020000000}"/>
    <cellStyle name="Vírgula 2 7 3 2" xfId="2966" xr:uid="{00000000-0005-0000-0000-000020000000}"/>
    <cellStyle name="Vírgula 2 7 3 2 2" xfId="7047" xr:uid="{00000000-0005-0000-0000-000020000000}"/>
    <cellStyle name="Vírgula 2 7 3 2 2 2" xfId="15207" xr:uid="{00000000-0005-0000-0000-000020000000}"/>
    <cellStyle name="Vírgula 2 7 3 2 3" xfId="11127" xr:uid="{00000000-0005-0000-0000-000020000000}"/>
    <cellStyle name="Vírgula 2 7 3 3" xfId="1946" xr:uid="{00000000-0005-0000-0000-000020000000}"/>
    <cellStyle name="Vírgula 2 7 3 3 2" xfId="6027" xr:uid="{00000000-0005-0000-0000-000020000000}"/>
    <cellStyle name="Vírgula 2 7 3 3 2 2" xfId="14187" xr:uid="{00000000-0005-0000-0000-000020000000}"/>
    <cellStyle name="Vírgula 2 7 3 3 3" xfId="10107" xr:uid="{00000000-0005-0000-0000-000020000000}"/>
    <cellStyle name="Vírgula 2 7 3 4" xfId="3986" xr:uid="{00000000-0005-0000-0000-000020000000}"/>
    <cellStyle name="Vírgula 2 7 3 4 2" xfId="8067" xr:uid="{00000000-0005-0000-0000-000020000000}"/>
    <cellStyle name="Vírgula 2 7 3 4 2 2" xfId="16227" xr:uid="{00000000-0005-0000-0000-000020000000}"/>
    <cellStyle name="Vírgula 2 7 3 4 3" xfId="12147" xr:uid="{00000000-0005-0000-0000-000020000000}"/>
    <cellStyle name="Vírgula 2 7 3 5" xfId="5006" xr:uid="{00000000-0005-0000-0000-000020000000}"/>
    <cellStyle name="Vírgula 2 7 3 5 2" xfId="13167" xr:uid="{00000000-0005-0000-0000-000020000000}"/>
    <cellStyle name="Vírgula 2 7 3 6" xfId="9087" xr:uid="{00000000-0005-0000-0000-000020000000}"/>
    <cellStyle name="Vírgula 2 7 4" xfId="517" xr:uid="{00000000-0005-0000-0000-000020000000}"/>
    <cellStyle name="Vírgula 2 7 4 2" xfId="2558" xr:uid="{00000000-0005-0000-0000-000020000000}"/>
    <cellStyle name="Vírgula 2 7 4 2 2" xfId="6639" xr:uid="{00000000-0005-0000-0000-000020000000}"/>
    <cellStyle name="Vírgula 2 7 4 2 2 2" xfId="14799" xr:uid="{00000000-0005-0000-0000-000020000000}"/>
    <cellStyle name="Vírgula 2 7 4 2 3" xfId="10719" xr:uid="{00000000-0005-0000-0000-000020000000}"/>
    <cellStyle name="Vírgula 2 7 4 3" xfId="1538" xr:uid="{00000000-0005-0000-0000-000020000000}"/>
    <cellStyle name="Vírgula 2 7 4 3 2" xfId="5619" xr:uid="{00000000-0005-0000-0000-000020000000}"/>
    <cellStyle name="Vírgula 2 7 4 3 2 2" xfId="13779" xr:uid="{00000000-0005-0000-0000-000020000000}"/>
    <cellStyle name="Vírgula 2 7 4 3 3" xfId="9699" xr:uid="{00000000-0005-0000-0000-000020000000}"/>
    <cellStyle name="Vírgula 2 7 4 4" xfId="3578" xr:uid="{00000000-0005-0000-0000-000020000000}"/>
    <cellStyle name="Vírgula 2 7 4 4 2" xfId="7659" xr:uid="{00000000-0005-0000-0000-000020000000}"/>
    <cellStyle name="Vírgula 2 7 4 4 2 2" xfId="15819" xr:uid="{00000000-0005-0000-0000-000020000000}"/>
    <cellStyle name="Vírgula 2 7 4 4 3" xfId="11739" xr:uid="{00000000-0005-0000-0000-000020000000}"/>
    <cellStyle name="Vírgula 2 7 4 5" xfId="4598" xr:uid="{00000000-0005-0000-0000-000020000000}"/>
    <cellStyle name="Vírgula 2 7 4 5 2" xfId="12759" xr:uid="{00000000-0005-0000-0000-000020000000}"/>
    <cellStyle name="Vírgula 2 7 4 6" xfId="8679" xr:uid="{00000000-0005-0000-0000-000020000000}"/>
    <cellStyle name="Vírgula 2 7 5" xfId="2150" xr:uid="{00000000-0005-0000-0000-000020000000}"/>
    <cellStyle name="Vírgula 2 7 5 2" xfId="6231" xr:uid="{00000000-0005-0000-0000-000020000000}"/>
    <cellStyle name="Vírgula 2 7 5 2 2" xfId="14391" xr:uid="{00000000-0005-0000-0000-000020000000}"/>
    <cellStyle name="Vírgula 2 7 5 3" xfId="10311" xr:uid="{00000000-0005-0000-0000-000020000000}"/>
    <cellStyle name="Vírgula 2 7 6" xfId="1130" xr:uid="{00000000-0005-0000-0000-000020000000}"/>
    <cellStyle name="Vírgula 2 7 6 2" xfId="5211" xr:uid="{00000000-0005-0000-0000-000020000000}"/>
    <cellStyle name="Vírgula 2 7 6 2 2" xfId="13371" xr:uid="{00000000-0005-0000-0000-000020000000}"/>
    <cellStyle name="Vírgula 2 7 6 3" xfId="9291" xr:uid="{00000000-0005-0000-0000-000020000000}"/>
    <cellStyle name="Vírgula 2 7 7" xfId="3170" xr:uid="{00000000-0005-0000-0000-000020000000}"/>
    <cellStyle name="Vírgula 2 7 7 2" xfId="7251" xr:uid="{00000000-0005-0000-0000-000020000000}"/>
    <cellStyle name="Vírgula 2 7 7 2 2" xfId="15411" xr:uid="{00000000-0005-0000-0000-000020000000}"/>
    <cellStyle name="Vírgula 2 7 7 3" xfId="11331" xr:uid="{00000000-0005-0000-0000-000020000000}"/>
    <cellStyle name="Vírgula 2 7 8" xfId="4190" xr:uid="{00000000-0005-0000-0000-000020000000}"/>
    <cellStyle name="Vírgula 2 7 8 2" xfId="12351" xr:uid="{00000000-0005-0000-0000-000020000000}"/>
    <cellStyle name="Vírgula 2 7 9" xfId="8271" xr:uid="{00000000-0005-0000-0000-000020000000}"/>
    <cellStyle name="Vírgula 2 8" xfId="211" xr:uid="{00000000-0005-0000-0000-000020000000}"/>
    <cellStyle name="Vírgula 2 8 2" xfId="619" xr:uid="{00000000-0005-0000-0000-000020000000}"/>
    <cellStyle name="Vírgula 2 8 2 2" xfId="2660" xr:uid="{00000000-0005-0000-0000-000020000000}"/>
    <cellStyle name="Vírgula 2 8 2 2 2" xfId="6741" xr:uid="{00000000-0005-0000-0000-000020000000}"/>
    <cellStyle name="Vírgula 2 8 2 2 2 2" xfId="14901" xr:uid="{00000000-0005-0000-0000-000020000000}"/>
    <cellStyle name="Vírgula 2 8 2 2 3" xfId="10821" xr:uid="{00000000-0005-0000-0000-000020000000}"/>
    <cellStyle name="Vírgula 2 8 2 3" xfId="1640" xr:uid="{00000000-0005-0000-0000-000020000000}"/>
    <cellStyle name="Vírgula 2 8 2 3 2" xfId="5721" xr:uid="{00000000-0005-0000-0000-000020000000}"/>
    <cellStyle name="Vírgula 2 8 2 3 2 2" xfId="13881" xr:uid="{00000000-0005-0000-0000-000020000000}"/>
    <cellStyle name="Vírgula 2 8 2 3 3" xfId="9801" xr:uid="{00000000-0005-0000-0000-000020000000}"/>
    <cellStyle name="Vírgula 2 8 2 4" xfId="3680" xr:uid="{00000000-0005-0000-0000-000020000000}"/>
    <cellStyle name="Vírgula 2 8 2 4 2" xfId="7761" xr:uid="{00000000-0005-0000-0000-000020000000}"/>
    <cellStyle name="Vírgula 2 8 2 4 2 2" xfId="15921" xr:uid="{00000000-0005-0000-0000-000020000000}"/>
    <cellStyle name="Vírgula 2 8 2 4 3" xfId="11841" xr:uid="{00000000-0005-0000-0000-000020000000}"/>
    <cellStyle name="Vírgula 2 8 2 5" xfId="4700" xr:uid="{00000000-0005-0000-0000-000020000000}"/>
    <cellStyle name="Vírgula 2 8 2 5 2" xfId="12861" xr:uid="{00000000-0005-0000-0000-000020000000}"/>
    <cellStyle name="Vírgula 2 8 2 6" xfId="8781" xr:uid="{00000000-0005-0000-0000-000020000000}"/>
    <cellStyle name="Vírgula 2 8 3" xfId="2252" xr:uid="{00000000-0005-0000-0000-000020000000}"/>
    <cellStyle name="Vírgula 2 8 3 2" xfId="6333" xr:uid="{00000000-0005-0000-0000-000020000000}"/>
    <cellStyle name="Vírgula 2 8 3 2 2" xfId="14493" xr:uid="{00000000-0005-0000-0000-000020000000}"/>
    <cellStyle name="Vírgula 2 8 3 3" xfId="10413" xr:uid="{00000000-0005-0000-0000-000020000000}"/>
    <cellStyle name="Vírgula 2 8 4" xfId="1232" xr:uid="{00000000-0005-0000-0000-000020000000}"/>
    <cellStyle name="Vírgula 2 8 4 2" xfId="5313" xr:uid="{00000000-0005-0000-0000-000020000000}"/>
    <cellStyle name="Vírgula 2 8 4 2 2" xfId="13473" xr:uid="{00000000-0005-0000-0000-000020000000}"/>
    <cellStyle name="Vírgula 2 8 4 3" xfId="9393" xr:uid="{00000000-0005-0000-0000-000020000000}"/>
    <cellStyle name="Vírgula 2 8 5" xfId="3272" xr:uid="{00000000-0005-0000-0000-000020000000}"/>
    <cellStyle name="Vírgula 2 8 5 2" xfId="7353" xr:uid="{00000000-0005-0000-0000-000020000000}"/>
    <cellStyle name="Vírgula 2 8 5 2 2" xfId="15513" xr:uid="{00000000-0005-0000-0000-000020000000}"/>
    <cellStyle name="Vírgula 2 8 5 3" xfId="11433" xr:uid="{00000000-0005-0000-0000-000020000000}"/>
    <cellStyle name="Vírgula 2 8 6" xfId="4292" xr:uid="{00000000-0005-0000-0000-000020000000}"/>
    <cellStyle name="Vírgula 2 8 6 2" xfId="12453" xr:uid="{00000000-0005-0000-0000-000020000000}"/>
    <cellStyle name="Vírgula 2 8 7" xfId="8373" xr:uid="{00000000-0005-0000-0000-000020000000}"/>
    <cellStyle name="Vírgula 2 9" xfId="823" xr:uid="{00000000-0005-0000-0000-000020000000}"/>
    <cellStyle name="Vírgula 2 9 2" xfId="2864" xr:uid="{00000000-0005-0000-0000-000020000000}"/>
    <cellStyle name="Vírgula 2 9 2 2" xfId="6945" xr:uid="{00000000-0005-0000-0000-000020000000}"/>
    <cellStyle name="Vírgula 2 9 2 2 2" xfId="15105" xr:uid="{00000000-0005-0000-0000-000020000000}"/>
    <cellStyle name="Vírgula 2 9 2 3" xfId="11025" xr:uid="{00000000-0005-0000-0000-000020000000}"/>
    <cellStyle name="Vírgula 2 9 3" xfId="1844" xr:uid="{00000000-0005-0000-0000-000020000000}"/>
    <cellStyle name="Vírgula 2 9 3 2" xfId="5925" xr:uid="{00000000-0005-0000-0000-000020000000}"/>
    <cellStyle name="Vírgula 2 9 3 2 2" xfId="14085" xr:uid="{00000000-0005-0000-0000-000020000000}"/>
    <cellStyle name="Vírgula 2 9 3 3" xfId="10005" xr:uid="{00000000-0005-0000-0000-000020000000}"/>
    <cellStyle name="Vírgula 2 9 4" xfId="3884" xr:uid="{00000000-0005-0000-0000-000020000000}"/>
    <cellStyle name="Vírgula 2 9 4 2" xfId="7965" xr:uid="{00000000-0005-0000-0000-000020000000}"/>
    <cellStyle name="Vírgula 2 9 4 2 2" xfId="16125" xr:uid="{00000000-0005-0000-0000-000020000000}"/>
    <cellStyle name="Vírgula 2 9 4 3" xfId="12045" xr:uid="{00000000-0005-0000-0000-000020000000}"/>
    <cellStyle name="Vírgula 2 9 5" xfId="4904" xr:uid="{00000000-0005-0000-0000-000020000000}"/>
    <cellStyle name="Vírgula 2 9 5 2" xfId="13065" xr:uid="{00000000-0005-0000-0000-000020000000}"/>
    <cellStyle name="Vírgula 2 9 6" xfId="8985" xr:uid="{00000000-0005-0000-0000-000020000000}"/>
    <cellStyle name="Vírgula 3" xfId="9" xr:uid="{00000000-0005-0000-0000-00002C000000}"/>
    <cellStyle name="Vírgula 3 10" xfId="2053" xr:uid="{00000000-0005-0000-0000-00002C000000}"/>
    <cellStyle name="Vírgula 3 10 2" xfId="6134" xr:uid="{00000000-0005-0000-0000-00002C000000}"/>
    <cellStyle name="Vírgula 3 10 2 2" xfId="14294" xr:uid="{00000000-0005-0000-0000-00002C000000}"/>
    <cellStyle name="Vírgula 3 10 3" xfId="10214" xr:uid="{00000000-0005-0000-0000-00002C000000}"/>
    <cellStyle name="Vírgula 3 11" xfId="1033" xr:uid="{00000000-0005-0000-0000-00002C000000}"/>
    <cellStyle name="Vírgula 3 11 2" xfId="5114" xr:uid="{00000000-0005-0000-0000-00002C000000}"/>
    <cellStyle name="Vírgula 3 11 2 2" xfId="13274" xr:uid="{00000000-0005-0000-0000-00002C000000}"/>
    <cellStyle name="Vírgula 3 11 3" xfId="9194" xr:uid="{00000000-0005-0000-0000-00002C000000}"/>
    <cellStyle name="Vírgula 3 12" xfId="3073" xr:uid="{00000000-0005-0000-0000-00002C000000}"/>
    <cellStyle name="Vírgula 3 12 2" xfId="7154" xr:uid="{00000000-0005-0000-0000-00002C000000}"/>
    <cellStyle name="Vírgula 3 12 2 2" xfId="15314" xr:uid="{00000000-0005-0000-0000-00002C000000}"/>
    <cellStyle name="Vírgula 3 12 3" xfId="11234" xr:uid="{00000000-0005-0000-0000-00002C000000}"/>
    <cellStyle name="Vírgula 3 13" xfId="4093" xr:uid="{00000000-0005-0000-0000-00002C000000}"/>
    <cellStyle name="Vírgula 3 13 2" xfId="12254" xr:uid="{00000000-0005-0000-0000-00002C000000}"/>
    <cellStyle name="Vírgula 3 14" xfId="8174" xr:uid="{00000000-0005-0000-0000-00002C000000}"/>
    <cellStyle name="Vírgula 3 2" xfId="17" xr:uid="{00000000-0005-0000-0000-00002D000000}"/>
    <cellStyle name="Vírgula 3 2 10" xfId="3081" xr:uid="{00000000-0005-0000-0000-00002D000000}"/>
    <cellStyle name="Vírgula 3 2 10 2" xfId="7162" xr:uid="{00000000-0005-0000-0000-00002D000000}"/>
    <cellStyle name="Vírgula 3 2 10 2 2" xfId="15322" xr:uid="{00000000-0005-0000-0000-00002D000000}"/>
    <cellStyle name="Vírgula 3 2 10 3" xfId="11242" xr:uid="{00000000-0005-0000-0000-00002D000000}"/>
    <cellStyle name="Vírgula 3 2 11" xfId="4101" xr:uid="{00000000-0005-0000-0000-00002D000000}"/>
    <cellStyle name="Vírgula 3 2 11 2" xfId="12262" xr:uid="{00000000-0005-0000-0000-00002D000000}"/>
    <cellStyle name="Vírgula 3 2 12" xfId="8182" xr:uid="{00000000-0005-0000-0000-00002D000000}"/>
    <cellStyle name="Vírgula 3 2 2" xfId="45" xr:uid="{00000000-0005-0000-0000-00002E000000}"/>
    <cellStyle name="Vírgula 3 2 2 10" xfId="4126" xr:uid="{00000000-0005-0000-0000-00002E000000}"/>
    <cellStyle name="Vírgula 3 2 2 10 2" xfId="12287" xr:uid="{00000000-0005-0000-0000-00002E000000}"/>
    <cellStyle name="Vírgula 3 2 2 11" xfId="8207" xr:uid="{00000000-0005-0000-0000-00002E000000}"/>
    <cellStyle name="Vírgula 3 2 2 2" xfId="96" xr:uid="{00000000-0005-0000-0000-00002E000000}"/>
    <cellStyle name="Vírgula 3 2 2 2 10" xfId="8258" xr:uid="{00000000-0005-0000-0000-00002E000000}"/>
    <cellStyle name="Vírgula 3 2 2 2 2" xfId="198" xr:uid="{00000000-0005-0000-0000-00002E000000}"/>
    <cellStyle name="Vírgula 3 2 2 2 2 2" xfId="402" xr:uid="{00000000-0005-0000-0000-00002E000000}"/>
    <cellStyle name="Vírgula 3 2 2 2 2 2 2" xfId="810" xr:uid="{00000000-0005-0000-0000-00002E000000}"/>
    <cellStyle name="Vírgula 3 2 2 2 2 2 2 2" xfId="2851" xr:uid="{00000000-0005-0000-0000-00002E000000}"/>
    <cellStyle name="Vírgula 3 2 2 2 2 2 2 2 2" xfId="6932" xr:uid="{00000000-0005-0000-0000-00002E000000}"/>
    <cellStyle name="Vírgula 3 2 2 2 2 2 2 2 2 2" xfId="15092" xr:uid="{00000000-0005-0000-0000-00002E000000}"/>
    <cellStyle name="Vírgula 3 2 2 2 2 2 2 2 3" xfId="11012" xr:uid="{00000000-0005-0000-0000-00002E000000}"/>
    <cellStyle name="Vírgula 3 2 2 2 2 2 2 3" xfId="1831" xr:uid="{00000000-0005-0000-0000-00002E000000}"/>
    <cellStyle name="Vírgula 3 2 2 2 2 2 2 3 2" xfId="5912" xr:uid="{00000000-0005-0000-0000-00002E000000}"/>
    <cellStyle name="Vírgula 3 2 2 2 2 2 2 3 2 2" xfId="14072" xr:uid="{00000000-0005-0000-0000-00002E000000}"/>
    <cellStyle name="Vírgula 3 2 2 2 2 2 2 3 3" xfId="9992" xr:uid="{00000000-0005-0000-0000-00002E000000}"/>
    <cellStyle name="Vírgula 3 2 2 2 2 2 2 4" xfId="3871" xr:uid="{00000000-0005-0000-0000-00002E000000}"/>
    <cellStyle name="Vírgula 3 2 2 2 2 2 2 4 2" xfId="7952" xr:uid="{00000000-0005-0000-0000-00002E000000}"/>
    <cellStyle name="Vírgula 3 2 2 2 2 2 2 4 2 2" xfId="16112" xr:uid="{00000000-0005-0000-0000-00002E000000}"/>
    <cellStyle name="Vírgula 3 2 2 2 2 2 2 4 3" xfId="12032" xr:uid="{00000000-0005-0000-0000-00002E000000}"/>
    <cellStyle name="Vírgula 3 2 2 2 2 2 2 5" xfId="4891" xr:uid="{00000000-0005-0000-0000-00002E000000}"/>
    <cellStyle name="Vírgula 3 2 2 2 2 2 2 5 2" xfId="13052" xr:uid="{00000000-0005-0000-0000-00002E000000}"/>
    <cellStyle name="Vírgula 3 2 2 2 2 2 2 6" xfId="8972" xr:uid="{00000000-0005-0000-0000-00002E000000}"/>
    <cellStyle name="Vírgula 3 2 2 2 2 2 3" xfId="2443" xr:uid="{00000000-0005-0000-0000-00002E000000}"/>
    <cellStyle name="Vírgula 3 2 2 2 2 2 3 2" xfId="6524" xr:uid="{00000000-0005-0000-0000-00002E000000}"/>
    <cellStyle name="Vírgula 3 2 2 2 2 2 3 2 2" xfId="14684" xr:uid="{00000000-0005-0000-0000-00002E000000}"/>
    <cellStyle name="Vírgula 3 2 2 2 2 2 3 3" xfId="10604" xr:uid="{00000000-0005-0000-0000-00002E000000}"/>
    <cellStyle name="Vírgula 3 2 2 2 2 2 4" xfId="1423" xr:uid="{00000000-0005-0000-0000-00002E000000}"/>
    <cellStyle name="Vírgula 3 2 2 2 2 2 4 2" xfId="5504" xr:uid="{00000000-0005-0000-0000-00002E000000}"/>
    <cellStyle name="Vírgula 3 2 2 2 2 2 4 2 2" xfId="13664" xr:uid="{00000000-0005-0000-0000-00002E000000}"/>
    <cellStyle name="Vírgula 3 2 2 2 2 2 4 3" xfId="9584" xr:uid="{00000000-0005-0000-0000-00002E000000}"/>
    <cellStyle name="Vírgula 3 2 2 2 2 2 5" xfId="3463" xr:uid="{00000000-0005-0000-0000-00002E000000}"/>
    <cellStyle name="Vírgula 3 2 2 2 2 2 5 2" xfId="7544" xr:uid="{00000000-0005-0000-0000-00002E000000}"/>
    <cellStyle name="Vírgula 3 2 2 2 2 2 5 2 2" xfId="15704" xr:uid="{00000000-0005-0000-0000-00002E000000}"/>
    <cellStyle name="Vírgula 3 2 2 2 2 2 5 3" xfId="11624" xr:uid="{00000000-0005-0000-0000-00002E000000}"/>
    <cellStyle name="Vírgula 3 2 2 2 2 2 6" xfId="4483" xr:uid="{00000000-0005-0000-0000-00002E000000}"/>
    <cellStyle name="Vírgula 3 2 2 2 2 2 6 2" xfId="12644" xr:uid="{00000000-0005-0000-0000-00002E000000}"/>
    <cellStyle name="Vírgula 3 2 2 2 2 2 7" xfId="8564" xr:uid="{00000000-0005-0000-0000-00002E000000}"/>
    <cellStyle name="Vírgula 3 2 2 2 2 3" xfId="1014" xr:uid="{00000000-0005-0000-0000-00002E000000}"/>
    <cellStyle name="Vírgula 3 2 2 2 2 3 2" xfId="3055" xr:uid="{00000000-0005-0000-0000-00002E000000}"/>
    <cellStyle name="Vírgula 3 2 2 2 2 3 2 2" xfId="7136" xr:uid="{00000000-0005-0000-0000-00002E000000}"/>
    <cellStyle name="Vírgula 3 2 2 2 2 3 2 2 2" xfId="15296" xr:uid="{00000000-0005-0000-0000-00002E000000}"/>
    <cellStyle name="Vírgula 3 2 2 2 2 3 2 3" xfId="11216" xr:uid="{00000000-0005-0000-0000-00002E000000}"/>
    <cellStyle name="Vírgula 3 2 2 2 2 3 3" xfId="2035" xr:uid="{00000000-0005-0000-0000-00002E000000}"/>
    <cellStyle name="Vírgula 3 2 2 2 2 3 3 2" xfId="6116" xr:uid="{00000000-0005-0000-0000-00002E000000}"/>
    <cellStyle name="Vírgula 3 2 2 2 2 3 3 2 2" xfId="14276" xr:uid="{00000000-0005-0000-0000-00002E000000}"/>
    <cellStyle name="Vírgula 3 2 2 2 2 3 3 3" xfId="10196" xr:uid="{00000000-0005-0000-0000-00002E000000}"/>
    <cellStyle name="Vírgula 3 2 2 2 2 3 4" xfId="4075" xr:uid="{00000000-0005-0000-0000-00002E000000}"/>
    <cellStyle name="Vírgula 3 2 2 2 2 3 4 2" xfId="8156" xr:uid="{00000000-0005-0000-0000-00002E000000}"/>
    <cellStyle name="Vírgula 3 2 2 2 2 3 4 2 2" xfId="16316" xr:uid="{00000000-0005-0000-0000-00002E000000}"/>
    <cellStyle name="Vírgula 3 2 2 2 2 3 4 3" xfId="12236" xr:uid="{00000000-0005-0000-0000-00002E000000}"/>
    <cellStyle name="Vírgula 3 2 2 2 2 3 5" xfId="5095" xr:uid="{00000000-0005-0000-0000-00002E000000}"/>
    <cellStyle name="Vírgula 3 2 2 2 2 3 5 2" xfId="13256" xr:uid="{00000000-0005-0000-0000-00002E000000}"/>
    <cellStyle name="Vírgula 3 2 2 2 2 3 6" xfId="9176" xr:uid="{00000000-0005-0000-0000-00002E000000}"/>
    <cellStyle name="Vírgula 3 2 2 2 2 4" xfId="606" xr:uid="{00000000-0005-0000-0000-00002E000000}"/>
    <cellStyle name="Vírgula 3 2 2 2 2 4 2" xfId="2647" xr:uid="{00000000-0005-0000-0000-00002E000000}"/>
    <cellStyle name="Vírgula 3 2 2 2 2 4 2 2" xfId="6728" xr:uid="{00000000-0005-0000-0000-00002E000000}"/>
    <cellStyle name="Vírgula 3 2 2 2 2 4 2 2 2" xfId="14888" xr:uid="{00000000-0005-0000-0000-00002E000000}"/>
    <cellStyle name="Vírgula 3 2 2 2 2 4 2 3" xfId="10808" xr:uid="{00000000-0005-0000-0000-00002E000000}"/>
    <cellStyle name="Vírgula 3 2 2 2 2 4 3" xfId="1627" xr:uid="{00000000-0005-0000-0000-00002E000000}"/>
    <cellStyle name="Vírgula 3 2 2 2 2 4 3 2" xfId="5708" xr:uid="{00000000-0005-0000-0000-00002E000000}"/>
    <cellStyle name="Vírgula 3 2 2 2 2 4 3 2 2" xfId="13868" xr:uid="{00000000-0005-0000-0000-00002E000000}"/>
    <cellStyle name="Vírgula 3 2 2 2 2 4 3 3" xfId="9788" xr:uid="{00000000-0005-0000-0000-00002E000000}"/>
    <cellStyle name="Vírgula 3 2 2 2 2 4 4" xfId="3667" xr:uid="{00000000-0005-0000-0000-00002E000000}"/>
    <cellStyle name="Vírgula 3 2 2 2 2 4 4 2" xfId="7748" xr:uid="{00000000-0005-0000-0000-00002E000000}"/>
    <cellStyle name="Vírgula 3 2 2 2 2 4 4 2 2" xfId="15908" xr:uid="{00000000-0005-0000-0000-00002E000000}"/>
    <cellStyle name="Vírgula 3 2 2 2 2 4 4 3" xfId="11828" xr:uid="{00000000-0005-0000-0000-00002E000000}"/>
    <cellStyle name="Vírgula 3 2 2 2 2 4 5" xfId="4687" xr:uid="{00000000-0005-0000-0000-00002E000000}"/>
    <cellStyle name="Vírgula 3 2 2 2 2 4 5 2" xfId="12848" xr:uid="{00000000-0005-0000-0000-00002E000000}"/>
    <cellStyle name="Vírgula 3 2 2 2 2 4 6" xfId="8768" xr:uid="{00000000-0005-0000-0000-00002E000000}"/>
    <cellStyle name="Vírgula 3 2 2 2 2 5" xfId="2239" xr:uid="{00000000-0005-0000-0000-00002E000000}"/>
    <cellStyle name="Vírgula 3 2 2 2 2 5 2" xfId="6320" xr:uid="{00000000-0005-0000-0000-00002E000000}"/>
    <cellStyle name="Vírgula 3 2 2 2 2 5 2 2" xfId="14480" xr:uid="{00000000-0005-0000-0000-00002E000000}"/>
    <cellStyle name="Vírgula 3 2 2 2 2 5 3" xfId="10400" xr:uid="{00000000-0005-0000-0000-00002E000000}"/>
    <cellStyle name="Vírgula 3 2 2 2 2 6" xfId="1219" xr:uid="{00000000-0005-0000-0000-00002E000000}"/>
    <cellStyle name="Vírgula 3 2 2 2 2 6 2" xfId="5300" xr:uid="{00000000-0005-0000-0000-00002E000000}"/>
    <cellStyle name="Vírgula 3 2 2 2 2 6 2 2" xfId="13460" xr:uid="{00000000-0005-0000-0000-00002E000000}"/>
    <cellStyle name="Vírgula 3 2 2 2 2 6 3" xfId="9380" xr:uid="{00000000-0005-0000-0000-00002E000000}"/>
    <cellStyle name="Vírgula 3 2 2 2 2 7" xfId="3259" xr:uid="{00000000-0005-0000-0000-00002E000000}"/>
    <cellStyle name="Vírgula 3 2 2 2 2 7 2" xfId="7340" xr:uid="{00000000-0005-0000-0000-00002E000000}"/>
    <cellStyle name="Vírgula 3 2 2 2 2 7 2 2" xfId="15500" xr:uid="{00000000-0005-0000-0000-00002E000000}"/>
    <cellStyle name="Vírgula 3 2 2 2 2 7 3" xfId="11420" xr:uid="{00000000-0005-0000-0000-00002E000000}"/>
    <cellStyle name="Vírgula 3 2 2 2 2 8" xfId="4279" xr:uid="{00000000-0005-0000-0000-00002E000000}"/>
    <cellStyle name="Vírgula 3 2 2 2 2 8 2" xfId="12440" xr:uid="{00000000-0005-0000-0000-00002E000000}"/>
    <cellStyle name="Vírgula 3 2 2 2 2 9" xfId="8360" xr:uid="{00000000-0005-0000-0000-00002E000000}"/>
    <cellStyle name="Vírgula 3 2 2 2 3" xfId="300" xr:uid="{00000000-0005-0000-0000-00002E000000}"/>
    <cellStyle name="Vírgula 3 2 2 2 3 2" xfId="708" xr:uid="{00000000-0005-0000-0000-00002E000000}"/>
    <cellStyle name="Vírgula 3 2 2 2 3 2 2" xfId="2749" xr:uid="{00000000-0005-0000-0000-00002E000000}"/>
    <cellStyle name="Vírgula 3 2 2 2 3 2 2 2" xfId="6830" xr:uid="{00000000-0005-0000-0000-00002E000000}"/>
    <cellStyle name="Vírgula 3 2 2 2 3 2 2 2 2" xfId="14990" xr:uid="{00000000-0005-0000-0000-00002E000000}"/>
    <cellStyle name="Vírgula 3 2 2 2 3 2 2 3" xfId="10910" xr:uid="{00000000-0005-0000-0000-00002E000000}"/>
    <cellStyle name="Vírgula 3 2 2 2 3 2 3" xfId="1729" xr:uid="{00000000-0005-0000-0000-00002E000000}"/>
    <cellStyle name="Vírgula 3 2 2 2 3 2 3 2" xfId="5810" xr:uid="{00000000-0005-0000-0000-00002E000000}"/>
    <cellStyle name="Vírgula 3 2 2 2 3 2 3 2 2" xfId="13970" xr:uid="{00000000-0005-0000-0000-00002E000000}"/>
    <cellStyle name="Vírgula 3 2 2 2 3 2 3 3" xfId="9890" xr:uid="{00000000-0005-0000-0000-00002E000000}"/>
    <cellStyle name="Vírgula 3 2 2 2 3 2 4" xfId="3769" xr:uid="{00000000-0005-0000-0000-00002E000000}"/>
    <cellStyle name="Vírgula 3 2 2 2 3 2 4 2" xfId="7850" xr:uid="{00000000-0005-0000-0000-00002E000000}"/>
    <cellStyle name="Vírgula 3 2 2 2 3 2 4 2 2" xfId="16010" xr:uid="{00000000-0005-0000-0000-00002E000000}"/>
    <cellStyle name="Vírgula 3 2 2 2 3 2 4 3" xfId="11930" xr:uid="{00000000-0005-0000-0000-00002E000000}"/>
    <cellStyle name="Vírgula 3 2 2 2 3 2 5" xfId="4789" xr:uid="{00000000-0005-0000-0000-00002E000000}"/>
    <cellStyle name="Vírgula 3 2 2 2 3 2 5 2" xfId="12950" xr:uid="{00000000-0005-0000-0000-00002E000000}"/>
    <cellStyle name="Vírgula 3 2 2 2 3 2 6" xfId="8870" xr:uid="{00000000-0005-0000-0000-00002E000000}"/>
    <cellStyle name="Vírgula 3 2 2 2 3 3" xfId="2341" xr:uid="{00000000-0005-0000-0000-00002E000000}"/>
    <cellStyle name="Vírgula 3 2 2 2 3 3 2" xfId="6422" xr:uid="{00000000-0005-0000-0000-00002E000000}"/>
    <cellStyle name="Vírgula 3 2 2 2 3 3 2 2" xfId="14582" xr:uid="{00000000-0005-0000-0000-00002E000000}"/>
    <cellStyle name="Vírgula 3 2 2 2 3 3 3" xfId="10502" xr:uid="{00000000-0005-0000-0000-00002E000000}"/>
    <cellStyle name="Vírgula 3 2 2 2 3 4" xfId="1321" xr:uid="{00000000-0005-0000-0000-00002E000000}"/>
    <cellStyle name="Vírgula 3 2 2 2 3 4 2" xfId="5402" xr:uid="{00000000-0005-0000-0000-00002E000000}"/>
    <cellStyle name="Vírgula 3 2 2 2 3 4 2 2" xfId="13562" xr:uid="{00000000-0005-0000-0000-00002E000000}"/>
    <cellStyle name="Vírgula 3 2 2 2 3 4 3" xfId="9482" xr:uid="{00000000-0005-0000-0000-00002E000000}"/>
    <cellStyle name="Vírgula 3 2 2 2 3 5" xfId="3361" xr:uid="{00000000-0005-0000-0000-00002E000000}"/>
    <cellStyle name="Vírgula 3 2 2 2 3 5 2" xfId="7442" xr:uid="{00000000-0005-0000-0000-00002E000000}"/>
    <cellStyle name="Vírgula 3 2 2 2 3 5 2 2" xfId="15602" xr:uid="{00000000-0005-0000-0000-00002E000000}"/>
    <cellStyle name="Vírgula 3 2 2 2 3 5 3" xfId="11522" xr:uid="{00000000-0005-0000-0000-00002E000000}"/>
    <cellStyle name="Vírgula 3 2 2 2 3 6" xfId="4381" xr:uid="{00000000-0005-0000-0000-00002E000000}"/>
    <cellStyle name="Vírgula 3 2 2 2 3 6 2" xfId="12542" xr:uid="{00000000-0005-0000-0000-00002E000000}"/>
    <cellStyle name="Vírgula 3 2 2 2 3 7" xfId="8462" xr:uid="{00000000-0005-0000-0000-00002E000000}"/>
    <cellStyle name="Vírgula 3 2 2 2 4" xfId="912" xr:uid="{00000000-0005-0000-0000-00002E000000}"/>
    <cellStyle name="Vírgula 3 2 2 2 4 2" xfId="2953" xr:uid="{00000000-0005-0000-0000-00002E000000}"/>
    <cellStyle name="Vírgula 3 2 2 2 4 2 2" xfId="7034" xr:uid="{00000000-0005-0000-0000-00002E000000}"/>
    <cellStyle name="Vírgula 3 2 2 2 4 2 2 2" xfId="15194" xr:uid="{00000000-0005-0000-0000-00002E000000}"/>
    <cellStyle name="Vírgula 3 2 2 2 4 2 3" xfId="11114" xr:uid="{00000000-0005-0000-0000-00002E000000}"/>
    <cellStyle name="Vírgula 3 2 2 2 4 3" xfId="1933" xr:uid="{00000000-0005-0000-0000-00002E000000}"/>
    <cellStyle name="Vírgula 3 2 2 2 4 3 2" xfId="6014" xr:uid="{00000000-0005-0000-0000-00002E000000}"/>
    <cellStyle name="Vírgula 3 2 2 2 4 3 2 2" xfId="14174" xr:uid="{00000000-0005-0000-0000-00002E000000}"/>
    <cellStyle name="Vírgula 3 2 2 2 4 3 3" xfId="10094" xr:uid="{00000000-0005-0000-0000-00002E000000}"/>
    <cellStyle name="Vírgula 3 2 2 2 4 4" xfId="3973" xr:uid="{00000000-0005-0000-0000-00002E000000}"/>
    <cellStyle name="Vírgula 3 2 2 2 4 4 2" xfId="8054" xr:uid="{00000000-0005-0000-0000-00002E000000}"/>
    <cellStyle name="Vírgula 3 2 2 2 4 4 2 2" xfId="16214" xr:uid="{00000000-0005-0000-0000-00002E000000}"/>
    <cellStyle name="Vírgula 3 2 2 2 4 4 3" xfId="12134" xr:uid="{00000000-0005-0000-0000-00002E000000}"/>
    <cellStyle name="Vírgula 3 2 2 2 4 5" xfId="4993" xr:uid="{00000000-0005-0000-0000-00002E000000}"/>
    <cellStyle name="Vírgula 3 2 2 2 4 5 2" xfId="13154" xr:uid="{00000000-0005-0000-0000-00002E000000}"/>
    <cellStyle name="Vírgula 3 2 2 2 4 6" xfId="9074" xr:uid="{00000000-0005-0000-0000-00002E000000}"/>
    <cellStyle name="Vírgula 3 2 2 2 5" xfId="504" xr:uid="{00000000-0005-0000-0000-00002E000000}"/>
    <cellStyle name="Vírgula 3 2 2 2 5 2" xfId="2545" xr:uid="{00000000-0005-0000-0000-00002E000000}"/>
    <cellStyle name="Vírgula 3 2 2 2 5 2 2" xfId="6626" xr:uid="{00000000-0005-0000-0000-00002E000000}"/>
    <cellStyle name="Vírgula 3 2 2 2 5 2 2 2" xfId="14786" xr:uid="{00000000-0005-0000-0000-00002E000000}"/>
    <cellStyle name="Vírgula 3 2 2 2 5 2 3" xfId="10706" xr:uid="{00000000-0005-0000-0000-00002E000000}"/>
    <cellStyle name="Vírgula 3 2 2 2 5 3" xfId="1525" xr:uid="{00000000-0005-0000-0000-00002E000000}"/>
    <cellStyle name="Vírgula 3 2 2 2 5 3 2" xfId="5606" xr:uid="{00000000-0005-0000-0000-00002E000000}"/>
    <cellStyle name="Vírgula 3 2 2 2 5 3 2 2" xfId="13766" xr:uid="{00000000-0005-0000-0000-00002E000000}"/>
    <cellStyle name="Vírgula 3 2 2 2 5 3 3" xfId="9686" xr:uid="{00000000-0005-0000-0000-00002E000000}"/>
    <cellStyle name="Vírgula 3 2 2 2 5 4" xfId="3565" xr:uid="{00000000-0005-0000-0000-00002E000000}"/>
    <cellStyle name="Vírgula 3 2 2 2 5 4 2" xfId="7646" xr:uid="{00000000-0005-0000-0000-00002E000000}"/>
    <cellStyle name="Vírgula 3 2 2 2 5 4 2 2" xfId="15806" xr:uid="{00000000-0005-0000-0000-00002E000000}"/>
    <cellStyle name="Vírgula 3 2 2 2 5 4 3" xfId="11726" xr:uid="{00000000-0005-0000-0000-00002E000000}"/>
    <cellStyle name="Vírgula 3 2 2 2 5 5" xfId="4585" xr:uid="{00000000-0005-0000-0000-00002E000000}"/>
    <cellStyle name="Vírgula 3 2 2 2 5 5 2" xfId="12746" xr:uid="{00000000-0005-0000-0000-00002E000000}"/>
    <cellStyle name="Vírgula 3 2 2 2 5 6" xfId="8666" xr:uid="{00000000-0005-0000-0000-00002E000000}"/>
    <cellStyle name="Vírgula 3 2 2 2 6" xfId="2137" xr:uid="{00000000-0005-0000-0000-00002E000000}"/>
    <cellStyle name="Vírgula 3 2 2 2 6 2" xfId="6218" xr:uid="{00000000-0005-0000-0000-00002E000000}"/>
    <cellStyle name="Vírgula 3 2 2 2 6 2 2" xfId="14378" xr:uid="{00000000-0005-0000-0000-00002E000000}"/>
    <cellStyle name="Vírgula 3 2 2 2 6 3" xfId="10298" xr:uid="{00000000-0005-0000-0000-00002E000000}"/>
    <cellStyle name="Vírgula 3 2 2 2 7" xfId="1117" xr:uid="{00000000-0005-0000-0000-00002E000000}"/>
    <cellStyle name="Vírgula 3 2 2 2 7 2" xfId="5198" xr:uid="{00000000-0005-0000-0000-00002E000000}"/>
    <cellStyle name="Vírgula 3 2 2 2 7 2 2" xfId="13358" xr:uid="{00000000-0005-0000-0000-00002E000000}"/>
    <cellStyle name="Vírgula 3 2 2 2 7 3" xfId="9278" xr:uid="{00000000-0005-0000-0000-00002E000000}"/>
    <cellStyle name="Vírgula 3 2 2 2 8" xfId="3157" xr:uid="{00000000-0005-0000-0000-00002E000000}"/>
    <cellStyle name="Vírgula 3 2 2 2 8 2" xfId="7238" xr:uid="{00000000-0005-0000-0000-00002E000000}"/>
    <cellStyle name="Vírgula 3 2 2 2 8 2 2" xfId="15398" xr:uid="{00000000-0005-0000-0000-00002E000000}"/>
    <cellStyle name="Vírgula 3 2 2 2 8 3" xfId="11318" xr:uid="{00000000-0005-0000-0000-00002E000000}"/>
    <cellStyle name="Vírgula 3 2 2 2 9" xfId="4177" xr:uid="{00000000-0005-0000-0000-00002E000000}"/>
    <cellStyle name="Vírgula 3 2 2 2 9 2" xfId="12338" xr:uid="{00000000-0005-0000-0000-00002E000000}"/>
    <cellStyle name="Vírgula 3 2 2 3" xfId="147" xr:uid="{00000000-0005-0000-0000-00002E000000}"/>
    <cellStyle name="Vírgula 3 2 2 3 2" xfId="351" xr:uid="{00000000-0005-0000-0000-00002E000000}"/>
    <cellStyle name="Vírgula 3 2 2 3 2 2" xfId="759" xr:uid="{00000000-0005-0000-0000-00002E000000}"/>
    <cellStyle name="Vírgula 3 2 2 3 2 2 2" xfId="2800" xr:uid="{00000000-0005-0000-0000-00002E000000}"/>
    <cellStyle name="Vírgula 3 2 2 3 2 2 2 2" xfId="6881" xr:uid="{00000000-0005-0000-0000-00002E000000}"/>
    <cellStyle name="Vírgula 3 2 2 3 2 2 2 2 2" xfId="15041" xr:uid="{00000000-0005-0000-0000-00002E000000}"/>
    <cellStyle name="Vírgula 3 2 2 3 2 2 2 3" xfId="10961" xr:uid="{00000000-0005-0000-0000-00002E000000}"/>
    <cellStyle name="Vírgula 3 2 2 3 2 2 3" xfId="1780" xr:uid="{00000000-0005-0000-0000-00002E000000}"/>
    <cellStyle name="Vírgula 3 2 2 3 2 2 3 2" xfId="5861" xr:uid="{00000000-0005-0000-0000-00002E000000}"/>
    <cellStyle name="Vírgula 3 2 2 3 2 2 3 2 2" xfId="14021" xr:uid="{00000000-0005-0000-0000-00002E000000}"/>
    <cellStyle name="Vírgula 3 2 2 3 2 2 3 3" xfId="9941" xr:uid="{00000000-0005-0000-0000-00002E000000}"/>
    <cellStyle name="Vírgula 3 2 2 3 2 2 4" xfId="3820" xr:uid="{00000000-0005-0000-0000-00002E000000}"/>
    <cellStyle name="Vírgula 3 2 2 3 2 2 4 2" xfId="7901" xr:uid="{00000000-0005-0000-0000-00002E000000}"/>
    <cellStyle name="Vírgula 3 2 2 3 2 2 4 2 2" xfId="16061" xr:uid="{00000000-0005-0000-0000-00002E000000}"/>
    <cellStyle name="Vírgula 3 2 2 3 2 2 4 3" xfId="11981" xr:uid="{00000000-0005-0000-0000-00002E000000}"/>
    <cellStyle name="Vírgula 3 2 2 3 2 2 5" xfId="4840" xr:uid="{00000000-0005-0000-0000-00002E000000}"/>
    <cellStyle name="Vírgula 3 2 2 3 2 2 5 2" xfId="13001" xr:uid="{00000000-0005-0000-0000-00002E000000}"/>
    <cellStyle name="Vírgula 3 2 2 3 2 2 6" xfId="8921" xr:uid="{00000000-0005-0000-0000-00002E000000}"/>
    <cellStyle name="Vírgula 3 2 2 3 2 3" xfId="2392" xr:uid="{00000000-0005-0000-0000-00002E000000}"/>
    <cellStyle name="Vírgula 3 2 2 3 2 3 2" xfId="6473" xr:uid="{00000000-0005-0000-0000-00002E000000}"/>
    <cellStyle name="Vírgula 3 2 2 3 2 3 2 2" xfId="14633" xr:uid="{00000000-0005-0000-0000-00002E000000}"/>
    <cellStyle name="Vírgula 3 2 2 3 2 3 3" xfId="10553" xr:uid="{00000000-0005-0000-0000-00002E000000}"/>
    <cellStyle name="Vírgula 3 2 2 3 2 4" xfId="1372" xr:uid="{00000000-0005-0000-0000-00002E000000}"/>
    <cellStyle name="Vírgula 3 2 2 3 2 4 2" xfId="5453" xr:uid="{00000000-0005-0000-0000-00002E000000}"/>
    <cellStyle name="Vírgula 3 2 2 3 2 4 2 2" xfId="13613" xr:uid="{00000000-0005-0000-0000-00002E000000}"/>
    <cellStyle name="Vírgula 3 2 2 3 2 4 3" xfId="9533" xr:uid="{00000000-0005-0000-0000-00002E000000}"/>
    <cellStyle name="Vírgula 3 2 2 3 2 5" xfId="3412" xr:uid="{00000000-0005-0000-0000-00002E000000}"/>
    <cellStyle name="Vírgula 3 2 2 3 2 5 2" xfId="7493" xr:uid="{00000000-0005-0000-0000-00002E000000}"/>
    <cellStyle name="Vírgula 3 2 2 3 2 5 2 2" xfId="15653" xr:uid="{00000000-0005-0000-0000-00002E000000}"/>
    <cellStyle name="Vírgula 3 2 2 3 2 5 3" xfId="11573" xr:uid="{00000000-0005-0000-0000-00002E000000}"/>
    <cellStyle name="Vírgula 3 2 2 3 2 6" xfId="4432" xr:uid="{00000000-0005-0000-0000-00002E000000}"/>
    <cellStyle name="Vírgula 3 2 2 3 2 6 2" xfId="12593" xr:uid="{00000000-0005-0000-0000-00002E000000}"/>
    <cellStyle name="Vírgula 3 2 2 3 2 7" xfId="8513" xr:uid="{00000000-0005-0000-0000-00002E000000}"/>
    <cellStyle name="Vírgula 3 2 2 3 3" xfId="963" xr:uid="{00000000-0005-0000-0000-00002E000000}"/>
    <cellStyle name="Vírgula 3 2 2 3 3 2" xfId="3004" xr:uid="{00000000-0005-0000-0000-00002E000000}"/>
    <cellStyle name="Vírgula 3 2 2 3 3 2 2" xfId="7085" xr:uid="{00000000-0005-0000-0000-00002E000000}"/>
    <cellStyle name="Vírgula 3 2 2 3 3 2 2 2" xfId="15245" xr:uid="{00000000-0005-0000-0000-00002E000000}"/>
    <cellStyle name="Vírgula 3 2 2 3 3 2 3" xfId="11165" xr:uid="{00000000-0005-0000-0000-00002E000000}"/>
    <cellStyle name="Vírgula 3 2 2 3 3 3" xfId="1984" xr:uid="{00000000-0005-0000-0000-00002E000000}"/>
    <cellStyle name="Vírgula 3 2 2 3 3 3 2" xfId="6065" xr:uid="{00000000-0005-0000-0000-00002E000000}"/>
    <cellStyle name="Vírgula 3 2 2 3 3 3 2 2" xfId="14225" xr:uid="{00000000-0005-0000-0000-00002E000000}"/>
    <cellStyle name="Vírgula 3 2 2 3 3 3 3" xfId="10145" xr:uid="{00000000-0005-0000-0000-00002E000000}"/>
    <cellStyle name="Vírgula 3 2 2 3 3 4" xfId="4024" xr:uid="{00000000-0005-0000-0000-00002E000000}"/>
    <cellStyle name="Vírgula 3 2 2 3 3 4 2" xfId="8105" xr:uid="{00000000-0005-0000-0000-00002E000000}"/>
    <cellStyle name="Vírgula 3 2 2 3 3 4 2 2" xfId="16265" xr:uid="{00000000-0005-0000-0000-00002E000000}"/>
    <cellStyle name="Vírgula 3 2 2 3 3 4 3" xfId="12185" xr:uid="{00000000-0005-0000-0000-00002E000000}"/>
    <cellStyle name="Vírgula 3 2 2 3 3 5" xfId="5044" xr:uid="{00000000-0005-0000-0000-00002E000000}"/>
    <cellStyle name="Vírgula 3 2 2 3 3 5 2" xfId="13205" xr:uid="{00000000-0005-0000-0000-00002E000000}"/>
    <cellStyle name="Vírgula 3 2 2 3 3 6" xfId="9125" xr:uid="{00000000-0005-0000-0000-00002E000000}"/>
    <cellStyle name="Vírgula 3 2 2 3 4" xfId="555" xr:uid="{00000000-0005-0000-0000-00002E000000}"/>
    <cellStyle name="Vírgula 3 2 2 3 4 2" xfId="2596" xr:uid="{00000000-0005-0000-0000-00002E000000}"/>
    <cellStyle name="Vírgula 3 2 2 3 4 2 2" xfId="6677" xr:uid="{00000000-0005-0000-0000-00002E000000}"/>
    <cellStyle name="Vírgula 3 2 2 3 4 2 2 2" xfId="14837" xr:uid="{00000000-0005-0000-0000-00002E000000}"/>
    <cellStyle name="Vírgula 3 2 2 3 4 2 3" xfId="10757" xr:uid="{00000000-0005-0000-0000-00002E000000}"/>
    <cellStyle name="Vírgula 3 2 2 3 4 3" xfId="1576" xr:uid="{00000000-0005-0000-0000-00002E000000}"/>
    <cellStyle name="Vírgula 3 2 2 3 4 3 2" xfId="5657" xr:uid="{00000000-0005-0000-0000-00002E000000}"/>
    <cellStyle name="Vírgula 3 2 2 3 4 3 2 2" xfId="13817" xr:uid="{00000000-0005-0000-0000-00002E000000}"/>
    <cellStyle name="Vírgula 3 2 2 3 4 3 3" xfId="9737" xr:uid="{00000000-0005-0000-0000-00002E000000}"/>
    <cellStyle name="Vírgula 3 2 2 3 4 4" xfId="3616" xr:uid="{00000000-0005-0000-0000-00002E000000}"/>
    <cellStyle name="Vírgula 3 2 2 3 4 4 2" xfId="7697" xr:uid="{00000000-0005-0000-0000-00002E000000}"/>
    <cellStyle name="Vírgula 3 2 2 3 4 4 2 2" xfId="15857" xr:uid="{00000000-0005-0000-0000-00002E000000}"/>
    <cellStyle name="Vírgula 3 2 2 3 4 4 3" xfId="11777" xr:uid="{00000000-0005-0000-0000-00002E000000}"/>
    <cellStyle name="Vírgula 3 2 2 3 4 5" xfId="4636" xr:uid="{00000000-0005-0000-0000-00002E000000}"/>
    <cellStyle name="Vírgula 3 2 2 3 4 5 2" xfId="12797" xr:uid="{00000000-0005-0000-0000-00002E000000}"/>
    <cellStyle name="Vírgula 3 2 2 3 4 6" xfId="8717" xr:uid="{00000000-0005-0000-0000-00002E000000}"/>
    <cellStyle name="Vírgula 3 2 2 3 5" xfId="2188" xr:uid="{00000000-0005-0000-0000-00002E000000}"/>
    <cellStyle name="Vírgula 3 2 2 3 5 2" xfId="6269" xr:uid="{00000000-0005-0000-0000-00002E000000}"/>
    <cellStyle name="Vírgula 3 2 2 3 5 2 2" xfId="14429" xr:uid="{00000000-0005-0000-0000-00002E000000}"/>
    <cellStyle name="Vírgula 3 2 2 3 5 3" xfId="10349" xr:uid="{00000000-0005-0000-0000-00002E000000}"/>
    <cellStyle name="Vírgula 3 2 2 3 6" xfId="1168" xr:uid="{00000000-0005-0000-0000-00002E000000}"/>
    <cellStyle name="Vírgula 3 2 2 3 6 2" xfId="5249" xr:uid="{00000000-0005-0000-0000-00002E000000}"/>
    <cellStyle name="Vírgula 3 2 2 3 6 2 2" xfId="13409" xr:uid="{00000000-0005-0000-0000-00002E000000}"/>
    <cellStyle name="Vírgula 3 2 2 3 6 3" xfId="9329" xr:uid="{00000000-0005-0000-0000-00002E000000}"/>
    <cellStyle name="Vírgula 3 2 2 3 7" xfId="3208" xr:uid="{00000000-0005-0000-0000-00002E000000}"/>
    <cellStyle name="Vírgula 3 2 2 3 7 2" xfId="7289" xr:uid="{00000000-0005-0000-0000-00002E000000}"/>
    <cellStyle name="Vírgula 3 2 2 3 7 2 2" xfId="15449" xr:uid="{00000000-0005-0000-0000-00002E000000}"/>
    <cellStyle name="Vírgula 3 2 2 3 7 3" xfId="11369" xr:uid="{00000000-0005-0000-0000-00002E000000}"/>
    <cellStyle name="Vírgula 3 2 2 3 8" xfId="4228" xr:uid="{00000000-0005-0000-0000-00002E000000}"/>
    <cellStyle name="Vírgula 3 2 2 3 8 2" xfId="12389" xr:uid="{00000000-0005-0000-0000-00002E000000}"/>
    <cellStyle name="Vírgula 3 2 2 3 9" xfId="8309" xr:uid="{00000000-0005-0000-0000-00002E000000}"/>
    <cellStyle name="Vírgula 3 2 2 4" xfId="249" xr:uid="{00000000-0005-0000-0000-00002E000000}"/>
    <cellStyle name="Vírgula 3 2 2 4 2" xfId="657" xr:uid="{00000000-0005-0000-0000-00002E000000}"/>
    <cellStyle name="Vírgula 3 2 2 4 2 2" xfId="2698" xr:uid="{00000000-0005-0000-0000-00002E000000}"/>
    <cellStyle name="Vírgula 3 2 2 4 2 2 2" xfId="6779" xr:uid="{00000000-0005-0000-0000-00002E000000}"/>
    <cellStyle name="Vírgula 3 2 2 4 2 2 2 2" xfId="14939" xr:uid="{00000000-0005-0000-0000-00002E000000}"/>
    <cellStyle name="Vírgula 3 2 2 4 2 2 3" xfId="10859" xr:uid="{00000000-0005-0000-0000-00002E000000}"/>
    <cellStyle name="Vírgula 3 2 2 4 2 3" xfId="1678" xr:uid="{00000000-0005-0000-0000-00002E000000}"/>
    <cellStyle name="Vírgula 3 2 2 4 2 3 2" xfId="5759" xr:uid="{00000000-0005-0000-0000-00002E000000}"/>
    <cellStyle name="Vírgula 3 2 2 4 2 3 2 2" xfId="13919" xr:uid="{00000000-0005-0000-0000-00002E000000}"/>
    <cellStyle name="Vírgula 3 2 2 4 2 3 3" xfId="9839" xr:uid="{00000000-0005-0000-0000-00002E000000}"/>
    <cellStyle name="Vírgula 3 2 2 4 2 4" xfId="3718" xr:uid="{00000000-0005-0000-0000-00002E000000}"/>
    <cellStyle name="Vírgula 3 2 2 4 2 4 2" xfId="7799" xr:uid="{00000000-0005-0000-0000-00002E000000}"/>
    <cellStyle name="Vírgula 3 2 2 4 2 4 2 2" xfId="15959" xr:uid="{00000000-0005-0000-0000-00002E000000}"/>
    <cellStyle name="Vírgula 3 2 2 4 2 4 3" xfId="11879" xr:uid="{00000000-0005-0000-0000-00002E000000}"/>
    <cellStyle name="Vírgula 3 2 2 4 2 5" xfId="4738" xr:uid="{00000000-0005-0000-0000-00002E000000}"/>
    <cellStyle name="Vírgula 3 2 2 4 2 5 2" xfId="12899" xr:uid="{00000000-0005-0000-0000-00002E000000}"/>
    <cellStyle name="Vírgula 3 2 2 4 2 6" xfId="8819" xr:uid="{00000000-0005-0000-0000-00002E000000}"/>
    <cellStyle name="Vírgula 3 2 2 4 3" xfId="2290" xr:uid="{00000000-0005-0000-0000-00002E000000}"/>
    <cellStyle name="Vírgula 3 2 2 4 3 2" xfId="6371" xr:uid="{00000000-0005-0000-0000-00002E000000}"/>
    <cellStyle name="Vírgula 3 2 2 4 3 2 2" xfId="14531" xr:uid="{00000000-0005-0000-0000-00002E000000}"/>
    <cellStyle name="Vírgula 3 2 2 4 3 3" xfId="10451" xr:uid="{00000000-0005-0000-0000-00002E000000}"/>
    <cellStyle name="Vírgula 3 2 2 4 4" xfId="1270" xr:uid="{00000000-0005-0000-0000-00002E000000}"/>
    <cellStyle name="Vírgula 3 2 2 4 4 2" xfId="5351" xr:uid="{00000000-0005-0000-0000-00002E000000}"/>
    <cellStyle name="Vírgula 3 2 2 4 4 2 2" xfId="13511" xr:uid="{00000000-0005-0000-0000-00002E000000}"/>
    <cellStyle name="Vírgula 3 2 2 4 4 3" xfId="9431" xr:uid="{00000000-0005-0000-0000-00002E000000}"/>
    <cellStyle name="Vírgula 3 2 2 4 5" xfId="3310" xr:uid="{00000000-0005-0000-0000-00002E000000}"/>
    <cellStyle name="Vírgula 3 2 2 4 5 2" xfId="7391" xr:uid="{00000000-0005-0000-0000-00002E000000}"/>
    <cellStyle name="Vírgula 3 2 2 4 5 2 2" xfId="15551" xr:uid="{00000000-0005-0000-0000-00002E000000}"/>
    <cellStyle name="Vírgula 3 2 2 4 5 3" xfId="11471" xr:uid="{00000000-0005-0000-0000-00002E000000}"/>
    <cellStyle name="Vírgula 3 2 2 4 6" xfId="4330" xr:uid="{00000000-0005-0000-0000-00002E000000}"/>
    <cellStyle name="Vírgula 3 2 2 4 6 2" xfId="12491" xr:uid="{00000000-0005-0000-0000-00002E000000}"/>
    <cellStyle name="Vírgula 3 2 2 4 7" xfId="8411" xr:uid="{00000000-0005-0000-0000-00002E000000}"/>
    <cellStyle name="Vírgula 3 2 2 5" xfId="861" xr:uid="{00000000-0005-0000-0000-00002E000000}"/>
    <cellStyle name="Vírgula 3 2 2 5 2" xfId="2902" xr:uid="{00000000-0005-0000-0000-00002E000000}"/>
    <cellStyle name="Vírgula 3 2 2 5 2 2" xfId="6983" xr:uid="{00000000-0005-0000-0000-00002E000000}"/>
    <cellStyle name="Vírgula 3 2 2 5 2 2 2" xfId="15143" xr:uid="{00000000-0005-0000-0000-00002E000000}"/>
    <cellStyle name="Vírgula 3 2 2 5 2 3" xfId="11063" xr:uid="{00000000-0005-0000-0000-00002E000000}"/>
    <cellStyle name="Vírgula 3 2 2 5 3" xfId="1882" xr:uid="{00000000-0005-0000-0000-00002E000000}"/>
    <cellStyle name="Vírgula 3 2 2 5 3 2" xfId="5963" xr:uid="{00000000-0005-0000-0000-00002E000000}"/>
    <cellStyle name="Vírgula 3 2 2 5 3 2 2" xfId="14123" xr:uid="{00000000-0005-0000-0000-00002E000000}"/>
    <cellStyle name="Vírgula 3 2 2 5 3 3" xfId="10043" xr:uid="{00000000-0005-0000-0000-00002E000000}"/>
    <cellStyle name="Vírgula 3 2 2 5 4" xfId="3922" xr:uid="{00000000-0005-0000-0000-00002E000000}"/>
    <cellStyle name="Vírgula 3 2 2 5 4 2" xfId="8003" xr:uid="{00000000-0005-0000-0000-00002E000000}"/>
    <cellStyle name="Vírgula 3 2 2 5 4 2 2" xfId="16163" xr:uid="{00000000-0005-0000-0000-00002E000000}"/>
    <cellStyle name="Vírgula 3 2 2 5 4 3" xfId="12083" xr:uid="{00000000-0005-0000-0000-00002E000000}"/>
    <cellStyle name="Vírgula 3 2 2 5 5" xfId="4942" xr:uid="{00000000-0005-0000-0000-00002E000000}"/>
    <cellStyle name="Vírgula 3 2 2 5 5 2" xfId="13103" xr:uid="{00000000-0005-0000-0000-00002E000000}"/>
    <cellStyle name="Vírgula 3 2 2 5 6" xfId="9023" xr:uid="{00000000-0005-0000-0000-00002E000000}"/>
    <cellStyle name="Vírgula 3 2 2 6" xfId="453" xr:uid="{00000000-0005-0000-0000-00002E000000}"/>
    <cellStyle name="Vírgula 3 2 2 6 2" xfId="2494" xr:uid="{00000000-0005-0000-0000-00002E000000}"/>
    <cellStyle name="Vírgula 3 2 2 6 2 2" xfId="6575" xr:uid="{00000000-0005-0000-0000-00002E000000}"/>
    <cellStyle name="Vírgula 3 2 2 6 2 2 2" xfId="14735" xr:uid="{00000000-0005-0000-0000-00002E000000}"/>
    <cellStyle name="Vírgula 3 2 2 6 2 3" xfId="10655" xr:uid="{00000000-0005-0000-0000-00002E000000}"/>
    <cellStyle name="Vírgula 3 2 2 6 3" xfId="1474" xr:uid="{00000000-0005-0000-0000-00002E000000}"/>
    <cellStyle name="Vírgula 3 2 2 6 3 2" xfId="5555" xr:uid="{00000000-0005-0000-0000-00002E000000}"/>
    <cellStyle name="Vírgula 3 2 2 6 3 2 2" xfId="13715" xr:uid="{00000000-0005-0000-0000-00002E000000}"/>
    <cellStyle name="Vírgula 3 2 2 6 3 3" xfId="9635" xr:uid="{00000000-0005-0000-0000-00002E000000}"/>
    <cellStyle name="Vírgula 3 2 2 6 4" xfId="3514" xr:uid="{00000000-0005-0000-0000-00002E000000}"/>
    <cellStyle name="Vírgula 3 2 2 6 4 2" xfId="7595" xr:uid="{00000000-0005-0000-0000-00002E000000}"/>
    <cellStyle name="Vírgula 3 2 2 6 4 2 2" xfId="15755" xr:uid="{00000000-0005-0000-0000-00002E000000}"/>
    <cellStyle name="Vírgula 3 2 2 6 4 3" xfId="11675" xr:uid="{00000000-0005-0000-0000-00002E000000}"/>
    <cellStyle name="Vírgula 3 2 2 6 5" xfId="4534" xr:uid="{00000000-0005-0000-0000-00002E000000}"/>
    <cellStyle name="Vírgula 3 2 2 6 5 2" xfId="12695" xr:uid="{00000000-0005-0000-0000-00002E000000}"/>
    <cellStyle name="Vírgula 3 2 2 6 6" xfId="8615" xr:uid="{00000000-0005-0000-0000-00002E000000}"/>
    <cellStyle name="Vírgula 3 2 2 7" xfId="2086" xr:uid="{00000000-0005-0000-0000-00002E000000}"/>
    <cellStyle name="Vírgula 3 2 2 7 2" xfId="6167" xr:uid="{00000000-0005-0000-0000-00002E000000}"/>
    <cellStyle name="Vírgula 3 2 2 7 2 2" xfId="14327" xr:uid="{00000000-0005-0000-0000-00002E000000}"/>
    <cellStyle name="Vírgula 3 2 2 7 3" xfId="10247" xr:uid="{00000000-0005-0000-0000-00002E000000}"/>
    <cellStyle name="Vírgula 3 2 2 8" xfId="1066" xr:uid="{00000000-0005-0000-0000-00002E000000}"/>
    <cellStyle name="Vírgula 3 2 2 8 2" xfId="5147" xr:uid="{00000000-0005-0000-0000-00002E000000}"/>
    <cellStyle name="Vírgula 3 2 2 8 2 2" xfId="13307" xr:uid="{00000000-0005-0000-0000-00002E000000}"/>
    <cellStyle name="Vírgula 3 2 2 8 3" xfId="9227" xr:uid="{00000000-0005-0000-0000-00002E000000}"/>
    <cellStyle name="Vírgula 3 2 2 9" xfId="3106" xr:uid="{00000000-0005-0000-0000-00002E000000}"/>
    <cellStyle name="Vírgula 3 2 2 9 2" xfId="7187" xr:uid="{00000000-0005-0000-0000-00002E000000}"/>
    <cellStyle name="Vírgula 3 2 2 9 2 2" xfId="15347" xr:uid="{00000000-0005-0000-0000-00002E000000}"/>
    <cellStyle name="Vírgula 3 2 2 9 3" xfId="11267" xr:uid="{00000000-0005-0000-0000-00002E000000}"/>
    <cellStyle name="Vírgula 3 2 3" xfId="71" xr:uid="{00000000-0005-0000-0000-00002D000000}"/>
    <cellStyle name="Vírgula 3 2 3 10" xfId="8233" xr:uid="{00000000-0005-0000-0000-00002D000000}"/>
    <cellStyle name="Vírgula 3 2 3 2" xfId="173" xr:uid="{00000000-0005-0000-0000-00002D000000}"/>
    <cellStyle name="Vírgula 3 2 3 2 2" xfId="377" xr:uid="{00000000-0005-0000-0000-00002D000000}"/>
    <cellStyle name="Vírgula 3 2 3 2 2 2" xfId="785" xr:uid="{00000000-0005-0000-0000-00002D000000}"/>
    <cellStyle name="Vírgula 3 2 3 2 2 2 2" xfId="2826" xr:uid="{00000000-0005-0000-0000-00002D000000}"/>
    <cellStyle name="Vírgula 3 2 3 2 2 2 2 2" xfId="6907" xr:uid="{00000000-0005-0000-0000-00002D000000}"/>
    <cellStyle name="Vírgula 3 2 3 2 2 2 2 2 2" xfId="15067" xr:uid="{00000000-0005-0000-0000-00002D000000}"/>
    <cellStyle name="Vírgula 3 2 3 2 2 2 2 3" xfId="10987" xr:uid="{00000000-0005-0000-0000-00002D000000}"/>
    <cellStyle name="Vírgula 3 2 3 2 2 2 3" xfId="1806" xr:uid="{00000000-0005-0000-0000-00002D000000}"/>
    <cellStyle name="Vírgula 3 2 3 2 2 2 3 2" xfId="5887" xr:uid="{00000000-0005-0000-0000-00002D000000}"/>
    <cellStyle name="Vírgula 3 2 3 2 2 2 3 2 2" xfId="14047" xr:uid="{00000000-0005-0000-0000-00002D000000}"/>
    <cellStyle name="Vírgula 3 2 3 2 2 2 3 3" xfId="9967" xr:uid="{00000000-0005-0000-0000-00002D000000}"/>
    <cellStyle name="Vírgula 3 2 3 2 2 2 4" xfId="3846" xr:uid="{00000000-0005-0000-0000-00002D000000}"/>
    <cellStyle name="Vírgula 3 2 3 2 2 2 4 2" xfId="7927" xr:uid="{00000000-0005-0000-0000-00002D000000}"/>
    <cellStyle name="Vírgula 3 2 3 2 2 2 4 2 2" xfId="16087" xr:uid="{00000000-0005-0000-0000-00002D000000}"/>
    <cellStyle name="Vírgula 3 2 3 2 2 2 4 3" xfId="12007" xr:uid="{00000000-0005-0000-0000-00002D000000}"/>
    <cellStyle name="Vírgula 3 2 3 2 2 2 5" xfId="4866" xr:uid="{00000000-0005-0000-0000-00002D000000}"/>
    <cellStyle name="Vírgula 3 2 3 2 2 2 5 2" xfId="13027" xr:uid="{00000000-0005-0000-0000-00002D000000}"/>
    <cellStyle name="Vírgula 3 2 3 2 2 2 6" xfId="8947" xr:uid="{00000000-0005-0000-0000-00002D000000}"/>
    <cellStyle name="Vírgula 3 2 3 2 2 3" xfId="2418" xr:uid="{00000000-0005-0000-0000-00002D000000}"/>
    <cellStyle name="Vírgula 3 2 3 2 2 3 2" xfId="6499" xr:uid="{00000000-0005-0000-0000-00002D000000}"/>
    <cellStyle name="Vírgula 3 2 3 2 2 3 2 2" xfId="14659" xr:uid="{00000000-0005-0000-0000-00002D000000}"/>
    <cellStyle name="Vírgula 3 2 3 2 2 3 3" xfId="10579" xr:uid="{00000000-0005-0000-0000-00002D000000}"/>
    <cellStyle name="Vírgula 3 2 3 2 2 4" xfId="1398" xr:uid="{00000000-0005-0000-0000-00002D000000}"/>
    <cellStyle name="Vírgula 3 2 3 2 2 4 2" xfId="5479" xr:uid="{00000000-0005-0000-0000-00002D000000}"/>
    <cellStyle name="Vírgula 3 2 3 2 2 4 2 2" xfId="13639" xr:uid="{00000000-0005-0000-0000-00002D000000}"/>
    <cellStyle name="Vírgula 3 2 3 2 2 4 3" xfId="9559" xr:uid="{00000000-0005-0000-0000-00002D000000}"/>
    <cellStyle name="Vírgula 3 2 3 2 2 5" xfId="3438" xr:uid="{00000000-0005-0000-0000-00002D000000}"/>
    <cellStyle name="Vírgula 3 2 3 2 2 5 2" xfId="7519" xr:uid="{00000000-0005-0000-0000-00002D000000}"/>
    <cellStyle name="Vírgula 3 2 3 2 2 5 2 2" xfId="15679" xr:uid="{00000000-0005-0000-0000-00002D000000}"/>
    <cellStyle name="Vírgula 3 2 3 2 2 5 3" xfId="11599" xr:uid="{00000000-0005-0000-0000-00002D000000}"/>
    <cellStyle name="Vírgula 3 2 3 2 2 6" xfId="4458" xr:uid="{00000000-0005-0000-0000-00002D000000}"/>
    <cellStyle name="Vírgula 3 2 3 2 2 6 2" xfId="12619" xr:uid="{00000000-0005-0000-0000-00002D000000}"/>
    <cellStyle name="Vírgula 3 2 3 2 2 7" xfId="8539" xr:uid="{00000000-0005-0000-0000-00002D000000}"/>
    <cellStyle name="Vírgula 3 2 3 2 3" xfId="989" xr:uid="{00000000-0005-0000-0000-00002D000000}"/>
    <cellStyle name="Vírgula 3 2 3 2 3 2" xfId="3030" xr:uid="{00000000-0005-0000-0000-00002D000000}"/>
    <cellStyle name="Vírgula 3 2 3 2 3 2 2" xfId="7111" xr:uid="{00000000-0005-0000-0000-00002D000000}"/>
    <cellStyle name="Vírgula 3 2 3 2 3 2 2 2" xfId="15271" xr:uid="{00000000-0005-0000-0000-00002D000000}"/>
    <cellStyle name="Vírgula 3 2 3 2 3 2 3" xfId="11191" xr:uid="{00000000-0005-0000-0000-00002D000000}"/>
    <cellStyle name="Vírgula 3 2 3 2 3 3" xfId="2010" xr:uid="{00000000-0005-0000-0000-00002D000000}"/>
    <cellStyle name="Vírgula 3 2 3 2 3 3 2" xfId="6091" xr:uid="{00000000-0005-0000-0000-00002D000000}"/>
    <cellStyle name="Vírgula 3 2 3 2 3 3 2 2" xfId="14251" xr:uid="{00000000-0005-0000-0000-00002D000000}"/>
    <cellStyle name="Vírgula 3 2 3 2 3 3 3" xfId="10171" xr:uid="{00000000-0005-0000-0000-00002D000000}"/>
    <cellStyle name="Vírgula 3 2 3 2 3 4" xfId="4050" xr:uid="{00000000-0005-0000-0000-00002D000000}"/>
    <cellStyle name="Vírgula 3 2 3 2 3 4 2" xfId="8131" xr:uid="{00000000-0005-0000-0000-00002D000000}"/>
    <cellStyle name="Vírgula 3 2 3 2 3 4 2 2" xfId="16291" xr:uid="{00000000-0005-0000-0000-00002D000000}"/>
    <cellStyle name="Vírgula 3 2 3 2 3 4 3" xfId="12211" xr:uid="{00000000-0005-0000-0000-00002D000000}"/>
    <cellStyle name="Vírgula 3 2 3 2 3 5" xfId="5070" xr:uid="{00000000-0005-0000-0000-00002D000000}"/>
    <cellStyle name="Vírgula 3 2 3 2 3 5 2" xfId="13231" xr:uid="{00000000-0005-0000-0000-00002D000000}"/>
    <cellStyle name="Vírgula 3 2 3 2 3 6" xfId="9151" xr:uid="{00000000-0005-0000-0000-00002D000000}"/>
    <cellStyle name="Vírgula 3 2 3 2 4" xfId="581" xr:uid="{00000000-0005-0000-0000-00002D000000}"/>
    <cellStyle name="Vírgula 3 2 3 2 4 2" xfId="2622" xr:uid="{00000000-0005-0000-0000-00002D000000}"/>
    <cellStyle name="Vírgula 3 2 3 2 4 2 2" xfId="6703" xr:uid="{00000000-0005-0000-0000-00002D000000}"/>
    <cellStyle name="Vírgula 3 2 3 2 4 2 2 2" xfId="14863" xr:uid="{00000000-0005-0000-0000-00002D000000}"/>
    <cellStyle name="Vírgula 3 2 3 2 4 2 3" xfId="10783" xr:uid="{00000000-0005-0000-0000-00002D000000}"/>
    <cellStyle name="Vírgula 3 2 3 2 4 3" xfId="1602" xr:uid="{00000000-0005-0000-0000-00002D000000}"/>
    <cellStyle name="Vírgula 3 2 3 2 4 3 2" xfId="5683" xr:uid="{00000000-0005-0000-0000-00002D000000}"/>
    <cellStyle name="Vírgula 3 2 3 2 4 3 2 2" xfId="13843" xr:uid="{00000000-0005-0000-0000-00002D000000}"/>
    <cellStyle name="Vírgula 3 2 3 2 4 3 3" xfId="9763" xr:uid="{00000000-0005-0000-0000-00002D000000}"/>
    <cellStyle name="Vírgula 3 2 3 2 4 4" xfId="3642" xr:uid="{00000000-0005-0000-0000-00002D000000}"/>
    <cellStyle name="Vírgula 3 2 3 2 4 4 2" xfId="7723" xr:uid="{00000000-0005-0000-0000-00002D000000}"/>
    <cellStyle name="Vírgula 3 2 3 2 4 4 2 2" xfId="15883" xr:uid="{00000000-0005-0000-0000-00002D000000}"/>
    <cellStyle name="Vírgula 3 2 3 2 4 4 3" xfId="11803" xr:uid="{00000000-0005-0000-0000-00002D000000}"/>
    <cellStyle name="Vírgula 3 2 3 2 4 5" xfId="4662" xr:uid="{00000000-0005-0000-0000-00002D000000}"/>
    <cellStyle name="Vírgula 3 2 3 2 4 5 2" xfId="12823" xr:uid="{00000000-0005-0000-0000-00002D000000}"/>
    <cellStyle name="Vírgula 3 2 3 2 4 6" xfId="8743" xr:uid="{00000000-0005-0000-0000-00002D000000}"/>
    <cellStyle name="Vírgula 3 2 3 2 5" xfId="2214" xr:uid="{00000000-0005-0000-0000-00002D000000}"/>
    <cellStyle name="Vírgula 3 2 3 2 5 2" xfId="6295" xr:uid="{00000000-0005-0000-0000-00002D000000}"/>
    <cellStyle name="Vírgula 3 2 3 2 5 2 2" xfId="14455" xr:uid="{00000000-0005-0000-0000-00002D000000}"/>
    <cellStyle name="Vírgula 3 2 3 2 5 3" xfId="10375" xr:uid="{00000000-0005-0000-0000-00002D000000}"/>
    <cellStyle name="Vírgula 3 2 3 2 6" xfId="1194" xr:uid="{00000000-0005-0000-0000-00002D000000}"/>
    <cellStyle name="Vírgula 3 2 3 2 6 2" xfId="5275" xr:uid="{00000000-0005-0000-0000-00002D000000}"/>
    <cellStyle name="Vírgula 3 2 3 2 6 2 2" xfId="13435" xr:uid="{00000000-0005-0000-0000-00002D000000}"/>
    <cellStyle name="Vírgula 3 2 3 2 6 3" xfId="9355" xr:uid="{00000000-0005-0000-0000-00002D000000}"/>
    <cellStyle name="Vírgula 3 2 3 2 7" xfId="3234" xr:uid="{00000000-0005-0000-0000-00002D000000}"/>
    <cellStyle name="Vírgula 3 2 3 2 7 2" xfId="7315" xr:uid="{00000000-0005-0000-0000-00002D000000}"/>
    <cellStyle name="Vírgula 3 2 3 2 7 2 2" xfId="15475" xr:uid="{00000000-0005-0000-0000-00002D000000}"/>
    <cellStyle name="Vírgula 3 2 3 2 7 3" xfId="11395" xr:uid="{00000000-0005-0000-0000-00002D000000}"/>
    <cellStyle name="Vírgula 3 2 3 2 8" xfId="4254" xr:uid="{00000000-0005-0000-0000-00002D000000}"/>
    <cellStyle name="Vírgula 3 2 3 2 8 2" xfId="12415" xr:uid="{00000000-0005-0000-0000-00002D000000}"/>
    <cellStyle name="Vírgula 3 2 3 2 9" xfId="8335" xr:uid="{00000000-0005-0000-0000-00002D000000}"/>
    <cellStyle name="Vírgula 3 2 3 3" xfId="275" xr:uid="{00000000-0005-0000-0000-00002D000000}"/>
    <cellStyle name="Vírgula 3 2 3 3 2" xfId="683" xr:uid="{00000000-0005-0000-0000-00002D000000}"/>
    <cellStyle name="Vírgula 3 2 3 3 2 2" xfId="2724" xr:uid="{00000000-0005-0000-0000-00002D000000}"/>
    <cellStyle name="Vírgula 3 2 3 3 2 2 2" xfId="6805" xr:uid="{00000000-0005-0000-0000-00002D000000}"/>
    <cellStyle name="Vírgula 3 2 3 3 2 2 2 2" xfId="14965" xr:uid="{00000000-0005-0000-0000-00002D000000}"/>
    <cellStyle name="Vírgula 3 2 3 3 2 2 3" xfId="10885" xr:uid="{00000000-0005-0000-0000-00002D000000}"/>
    <cellStyle name="Vírgula 3 2 3 3 2 3" xfId="1704" xr:uid="{00000000-0005-0000-0000-00002D000000}"/>
    <cellStyle name="Vírgula 3 2 3 3 2 3 2" xfId="5785" xr:uid="{00000000-0005-0000-0000-00002D000000}"/>
    <cellStyle name="Vírgula 3 2 3 3 2 3 2 2" xfId="13945" xr:uid="{00000000-0005-0000-0000-00002D000000}"/>
    <cellStyle name="Vírgula 3 2 3 3 2 3 3" xfId="9865" xr:uid="{00000000-0005-0000-0000-00002D000000}"/>
    <cellStyle name="Vírgula 3 2 3 3 2 4" xfId="3744" xr:uid="{00000000-0005-0000-0000-00002D000000}"/>
    <cellStyle name="Vírgula 3 2 3 3 2 4 2" xfId="7825" xr:uid="{00000000-0005-0000-0000-00002D000000}"/>
    <cellStyle name="Vírgula 3 2 3 3 2 4 2 2" xfId="15985" xr:uid="{00000000-0005-0000-0000-00002D000000}"/>
    <cellStyle name="Vírgula 3 2 3 3 2 4 3" xfId="11905" xr:uid="{00000000-0005-0000-0000-00002D000000}"/>
    <cellStyle name="Vírgula 3 2 3 3 2 5" xfId="4764" xr:uid="{00000000-0005-0000-0000-00002D000000}"/>
    <cellStyle name="Vírgula 3 2 3 3 2 5 2" xfId="12925" xr:uid="{00000000-0005-0000-0000-00002D000000}"/>
    <cellStyle name="Vírgula 3 2 3 3 2 6" xfId="8845" xr:uid="{00000000-0005-0000-0000-00002D000000}"/>
    <cellStyle name="Vírgula 3 2 3 3 3" xfId="2316" xr:uid="{00000000-0005-0000-0000-00002D000000}"/>
    <cellStyle name="Vírgula 3 2 3 3 3 2" xfId="6397" xr:uid="{00000000-0005-0000-0000-00002D000000}"/>
    <cellStyle name="Vírgula 3 2 3 3 3 2 2" xfId="14557" xr:uid="{00000000-0005-0000-0000-00002D000000}"/>
    <cellStyle name="Vírgula 3 2 3 3 3 3" xfId="10477" xr:uid="{00000000-0005-0000-0000-00002D000000}"/>
    <cellStyle name="Vírgula 3 2 3 3 4" xfId="1296" xr:uid="{00000000-0005-0000-0000-00002D000000}"/>
    <cellStyle name="Vírgula 3 2 3 3 4 2" xfId="5377" xr:uid="{00000000-0005-0000-0000-00002D000000}"/>
    <cellStyle name="Vírgula 3 2 3 3 4 2 2" xfId="13537" xr:uid="{00000000-0005-0000-0000-00002D000000}"/>
    <cellStyle name="Vírgula 3 2 3 3 4 3" xfId="9457" xr:uid="{00000000-0005-0000-0000-00002D000000}"/>
    <cellStyle name="Vírgula 3 2 3 3 5" xfId="3336" xr:uid="{00000000-0005-0000-0000-00002D000000}"/>
    <cellStyle name="Vírgula 3 2 3 3 5 2" xfId="7417" xr:uid="{00000000-0005-0000-0000-00002D000000}"/>
    <cellStyle name="Vírgula 3 2 3 3 5 2 2" xfId="15577" xr:uid="{00000000-0005-0000-0000-00002D000000}"/>
    <cellStyle name="Vírgula 3 2 3 3 5 3" xfId="11497" xr:uid="{00000000-0005-0000-0000-00002D000000}"/>
    <cellStyle name="Vírgula 3 2 3 3 6" xfId="4356" xr:uid="{00000000-0005-0000-0000-00002D000000}"/>
    <cellStyle name="Vírgula 3 2 3 3 6 2" xfId="12517" xr:uid="{00000000-0005-0000-0000-00002D000000}"/>
    <cellStyle name="Vírgula 3 2 3 3 7" xfId="8437" xr:uid="{00000000-0005-0000-0000-00002D000000}"/>
    <cellStyle name="Vírgula 3 2 3 4" xfId="887" xr:uid="{00000000-0005-0000-0000-00002D000000}"/>
    <cellStyle name="Vírgula 3 2 3 4 2" xfId="2928" xr:uid="{00000000-0005-0000-0000-00002D000000}"/>
    <cellStyle name="Vírgula 3 2 3 4 2 2" xfId="7009" xr:uid="{00000000-0005-0000-0000-00002D000000}"/>
    <cellStyle name="Vírgula 3 2 3 4 2 2 2" xfId="15169" xr:uid="{00000000-0005-0000-0000-00002D000000}"/>
    <cellStyle name="Vírgula 3 2 3 4 2 3" xfId="11089" xr:uid="{00000000-0005-0000-0000-00002D000000}"/>
    <cellStyle name="Vírgula 3 2 3 4 3" xfId="1908" xr:uid="{00000000-0005-0000-0000-00002D000000}"/>
    <cellStyle name="Vírgula 3 2 3 4 3 2" xfId="5989" xr:uid="{00000000-0005-0000-0000-00002D000000}"/>
    <cellStyle name="Vírgula 3 2 3 4 3 2 2" xfId="14149" xr:uid="{00000000-0005-0000-0000-00002D000000}"/>
    <cellStyle name="Vírgula 3 2 3 4 3 3" xfId="10069" xr:uid="{00000000-0005-0000-0000-00002D000000}"/>
    <cellStyle name="Vírgula 3 2 3 4 4" xfId="3948" xr:uid="{00000000-0005-0000-0000-00002D000000}"/>
    <cellStyle name="Vírgula 3 2 3 4 4 2" xfId="8029" xr:uid="{00000000-0005-0000-0000-00002D000000}"/>
    <cellStyle name="Vírgula 3 2 3 4 4 2 2" xfId="16189" xr:uid="{00000000-0005-0000-0000-00002D000000}"/>
    <cellStyle name="Vírgula 3 2 3 4 4 3" xfId="12109" xr:uid="{00000000-0005-0000-0000-00002D000000}"/>
    <cellStyle name="Vírgula 3 2 3 4 5" xfId="4968" xr:uid="{00000000-0005-0000-0000-00002D000000}"/>
    <cellStyle name="Vírgula 3 2 3 4 5 2" xfId="13129" xr:uid="{00000000-0005-0000-0000-00002D000000}"/>
    <cellStyle name="Vírgula 3 2 3 4 6" xfId="9049" xr:uid="{00000000-0005-0000-0000-00002D000000}"/>
    <cellStyle name="Vírgula 3 2 3 5" xfId="479" xr:uid="{00000000-0005-0000-0000-00002D000000}"/>
    <cellStyle name="Vírgula 3 2 3 5 2" xfId="2520" xr:uid="{00000000-0005-0000-0000-00002D000000}"/>
    <cellStyle name="Vírgula 3 2 3 5 2 2" xfId="6601" xr:uid="{00000000-0005-0000-0000-00002D000000}"/>
    <cellStyle name="Vírgula 3 2 3 5 2 2 2" xfId="14761" xr:uid="{00000000-0005-0000-0000-00002D000000}"/>
    <cellStyle name="Vírgula 3 2 3 5 2 3" xfId="10681" xr:uid="{00000000-0005-0000-0000-00002D000000}"/>
    <cellStyle name="Vírgula 3 2 3 5 3" xfId="1500" xr:uid="{00000000-0005-0000-0000-00002D000000}"/>
    <cellStyle name="Vírgula 3 2 3 5 3 2" xfId="5581" xr:uid="{00000000-0005-0000-0000-00002D000000}"/>
    <cellStyle name="Vírgula 3 2 3 5 3 2 2" xfId="13741" xr:uid="{00000000-0005-0000-0000-00002D000000}"/>
    <cellStyle name="Vírgula 3 2 3 5 3 3" xfId="9661" xr:uid="{00000000-0005-0000-0000-00002D000000}"/>
    <cellStyle name="Vírgula 3 2 3 5 4" xfId="3540" xr:uid="{00000000-0005-0000-0000-00002D000000}"/>
    <cellStyle name="Vírgula 3 2 3 5 4 2" xfId="7621" xr:uid="{00000000-0005-0000-0000-00002D000000}"/>
    <cellStyle name="Vírgula 3 2 3 5 4 2 2" xfId="15781" xr:uid="{00000000-0005-0000-0000-00002D000000}"/>
    <cellStyle name="Vírgula 3 2 3 5 4 3" xfId="11701" xr:uid="{00000000-0005-0000-0000-00002D000000}"/>
    <cellStyle name="Vírgula 3 2 3 5 5" xfId="4560" xr:uid="{00000000-0005-0000-0000-00002D000000}"/>
    <cellStyle name="Vírgula 3 2 3 5 5 2" xfId="12721" xr:uid="{00000000-0005-0000-0000-00002D000000}"/>
    <cellStyle name="Vírgula 3 2 3 5 6" xfId="8641" xr:uid="{00000000-0005-0000-0000-00002D000000}"/>
    <cellStyle name="Vírgula 3 2 3 6" xfId="2112" xr:uid="{00000000-0005-0000-0000-00002D000000}"/>
    <cellStyle name="Vírgula 3 2 3 6 2" xfId="6193" xr:uid="{00000000-0005-0000-0000-00002D000000}"/>
    <cellStyle name="Vírgula 3 2 3 6 2 2" xfId="14353" xr:uid="{00000000-0005-0000-0000-00002D000000}"/>
    <cellStyle name="Vírgula 3 2 3 6 3" xfId="10273" xr:uid="{00000000-0005-0000-0000-00002D000000}"/>
    <cellStyle name="Vírgula 3 2 3 7" xfId="1092" xr:uid="{00000000-0005-0000-0000-00002D000000}"/>
    <cellStyle name="Vírgula 3 2 3 7 2" xfId="5173" xr:uid="{00000000-0005-0000-0000-00002D000000}"/>
    <cellStyle name="Vírgula 3 2 3 7 2 2" xfId="13333" xr:uid="{00000000-0005-0000-0000-00002D000000}"/>
    <cellStyle name="Vírgula 3 2 3 7 3" xfId="9253" xr:uid="{00000000-0005-0000-0000-00002D000000}"/>
    <cellStyle name="Vírgula 3 2 3 8" xfId="3132" xr:uid="{00000000-0005-0000-0000-00002D000000}"/>
    <cellStyle name="Vírgula 3 2 3 8 2" xfId="7213" xr:uid="{00000000-0005-0000-0000-00002D000000}"/>
    <cellStyle name="Vírgula 3 2 3 8 2 2" xfId="15373" xr:uid="{00000000-0005-0000-0000-00002D000000}"/>
    <cellStyle name="Vírgula 3 2 3 8 3" xfId="11293" xr:uid="{00000000-0005-0000-0000-00002D000000}"/>
    <cellStyle name="Vírgula 3 2 3 9" xfId="4152" xr:uid="{00000000-0005-0000-0000-00002D000000}"/>
    <cellStyle name="Vírgula 3 2 3 9 2" xfId="12313" xr:uid="{00000000-0005-0000-0000-00002D000000}"/>
    <cellStyle name="Vírgula 3 2 4" xfId="122" xr:uid="{00000000-0005-0000-0000-00002D000000}"/>
    <cellStyle name="Vírgula 3 2 4 2" xfId="326" xr:uid="{00000000-0005-0000-0000-00002D000000}"/>
    <cellStyle name="Vírgula 3 2 4 2 2" xfId="734" xr:uid="{00000000-0005-0000-0000-00002D000000}"/>
    <cellStyle name="Vírgula 3 2 4 2 2 2" xfId="2775" xr:uid="{00000000-0005-0000-0000-00002D000000}"/>
    <cellStyle name="Vírgula 3 2 4 2 2 2 2" xfId="6856" xr:uid="{00000000-0005-0000-0000-00002D000000}"/>
    <cellStyle name="Vírgula 3 2 4 2 2 2 2 2" xfId="15016" xr:uid="{00000000-0005-0000-0000-00002D000000}"/>
    <cellStyle name="Vírgula 3 2 4 2 2 2 3" xfId="10936" xr:uid="{00000000-0005-0000-0000-00002D000000}"/>
    <cellStyle name="Vírgula 3 2 4 2 2 3" xfId="1755" xr:uid="{00000000-0005-0000-0000-00002D000000}"/>
    <cellStyle name="Vírgula 3 2 4 2 2 3 2" xfId="5836" xr:uid="{00000000-0005-0000-0000-00002D000000}"/>
    <cellStyle name="Vírgula 3 2 4 2 2 3 2 2" xfId="13996" xr:uid="{00000000-0005-0000-0000-00002D000000}"/>
    <cellStyle name="Vírgula 3 2 4 2 2 3 3" xfId="9916" xr:uid="{00000000-0005-0000-0000-00002D000000}"/>
    <cellStyle name="Vírgula 3 2 4 2 2 4" xfId="3795" xr:uid="{00000000-0005-0000-0000-00002D000000}"/>
    <cellStyle name="Vírgula 3 2 4 2 2 4 2" xfId="7876" xr:uid="{00000000-0005-0000-0000-00002D000000}"/>
    <cellStyle name="Vírgula 3 2 4 2 2 4 2 2" xfId="16036" xr:uid="{00000000-0005-0000-0000-00002D000000}"/>
    <cellStyle name="Vírgula 3 2 4 2 2 4 3" xfId="11956" xr:uid="{00000000-0005-0000-0000-00002D000000}"/>
    <cellStyle name="Vírgula 3 2 4 2 2 5" xfId="4815" xr:uid="{00000000-0005-0000-0000-00002D000000}"/>
    <cellStyle name="Vírgula 3 2 4 2 2 5 2" xfId="12976" xr:uid="{00000000-0005-0000-0000-00002D000000}"/>
    <cellStyle name="Vírgula 3 2 4 2 2 6" xfId="8896" xr:uid="{00000000-0005-0000-0000-00002D000000}"/>
    <cellStyle name="Vírgula 3 2 4 2 3" xfId="2367" xr:uid="{00000000-0005-0000-0000-00002D000000}"/>
    <cellStyle name="Vírgula 3 2 4 2 3 2" xfId="6448" xr:uid="{00000000-0005-0000-0000-00002D000000}"/>
    <cellStyle name="Vírgula 3 2 4 2 3 2 2" xfId="14608" xr:uid="{00000000-0005-0000-0000-00002D000000}"/>
    <cellStyle name="Vírgula 3 2 4 2 3 3" xfId="10528" xr:uid="{00000000-0005-0000-0000-00002D000000}"/>
    <cellStyle name="Vírgula 3 2 4 2 4" xfId="1347" xr:uid="{00000000-0005-0000-0000-00002D000000}"/>
    <cellStyle name="Vírgula 3 2 4 2 4 2" xfId="5428" xr:uid="{00000000-0005-0000-0000-00002D000000}"/>
    <cellStyle name="Vírgula 3 2 4 2 4 2 2" xfId="13588" xr:uid="{00000000-0005-0000-0000-00002D000000}"/>
    <cellStyle name="Vírgula 3 2 4 2 4 3" xfId="9508" xr:uid="{00000000-0005-0000-0000-00002D000000}"/>
    <cellStyle name="Vírgula 3 2 4 2 5" xfId="3387" xr:uid="{00000000-0005-0000-0000-00002D000000}"/>
    <cellStyle name="Vírgula 3 2 4 2 5 2" xfId="7468" xr:uid="{00000000-0005-0000-0000-00002D000000}"/>
    <cellStyle name="Vírgula 3 2 4 2 5 2 2" xfId="15628" xr:uid="{00000000-0005-0000-0000-00002D000000}"/>
    <cellStyle name="Vírgula 3 2 4 2 5 3" xfId="11548" xr:uid="{00000000-0005-0000-0000-00002D000000}"/>
    <cellStyle name="Vírgula 3 2 4 2 6" xfId="4407" xr:uid="{00000000-0005-0000-0000-00002D000000}"/>
    <cellStyle name="Vírgula 3 2 4 2 6 2" xfId="12568" xr:uid="{00000000-0005-0000-0000-00002D000000}"/>
    <cellStyle name="Vírgula 3 2 4 2 7" xfId="8488" xr:uid="{00000000-0005-0000-0000-00002D000000}"/>
    <cellStyle name="Vírgula 3 2 4 3" xfId="938" xr:uid="{00000000-0005-0000-0000-00002D000000}"/>
    <cellStyle name="Vírgula 3 2 4 3 2" xfId="2979" xr:uid="{00000000-0005-0000-0000-00002D000000}"/>
    <cellStyle name="Vírgula 3 2 4 3 2 2" xfId="7060" xr:uid="{00000000-0005-0000-0000-00002D000000}"/>
    <cellStyle name="Vírgula 3 2 4 3 2 2 2" xfId="15220" xr:uid="{00000000-0005-0000-0000-00002D000000}"/>
    <cellStyle name="Vírgula 3 2 4 3 2 3" xfId="11140" xr:uid="{00000000-0005-0000-0000-00002D000000}"/>
    <cellStyle name="Vírgula 3 2 4 3 3" xfId="1959" xr:uid="{00000000-0005-0000-0000-00002D000000}"/>
    <cellStyle name="Vírgula 3 2 4 3 3 2" xfId="6040" xr:uid="{00000000-0005-0000-0000-00002D000000}"/>
    <cellStyle name="Vírgula 3 2 4 3 3 2 2" xfId="14200" xr:uid="{00000000-0005-0000-0000-00002D000000}"/>
    <cellStyle name="Vírgula 3 2 4 3 3 3" xfId="10120" xr:uid="{00000000-0005-0000-0000-00002D000000}"/>
    <cellStyle name="Vírgula 3 2 4 3 4" xfId="3999" xr:uid="{00000000-0005-0000-0000-00002D000000}"/>
    <cellStyle name="Vírgula 3 2 4 3 4 2" xfId="8080" xr:uid="{00000000-0005-0000-0000-00002D000000}"/>
    <cellStyle name="Vírgula 3 2 4 3 4 2 2" xfId="16240" xr:uid="{00000000-0005-0000-0000-00002D000000}"/>
    <cellStyle name="Vírgula 3 2 4 3 4 3" xfId="12160" xr:uid="{00000000-0005-0000-0000-00002D000000}"/>
    <cellStyle name="Vírgula 3 2 4 3 5" xfId="5019" xr:uid="{00000000-0005-0000-0000-00002D000000}"/>
    <cellStyle name="Vírgula 3 2 4 3 5 2" xfId="13180" xr:uid="{00000000-0005-0000-0000-00002D000000}"/>
    <cellStyle name="Vírgula 3 2 4 3 6" xfId="9100" xr:uid="{00000000-0005-0000-0000-00002D000000}"/>
    <cellStyle name="Vírgula 3 2 4 4" xfId="530" xr:uid="{00000000-0005-0000-0000-00002D000000}"/>
    <cellStyle name="Vírgula 3 2 4 4 2" xfId="2571" xr:uid="{00000000-0005-0000-0000-00002D000000}"/>
    <cellStyle name="Vírgula 3 2 4 4 2 2" xfId="6652" xr:uid="{00000000-0005-0000-0000-00002D000000}"/>
    <cellStyle name="Vírgula 3 2 4 4 2 2 2" xfId="14812" xr:uid="{00000000-0005-0000-0000-00002D000000}"/>
    <cellStyle name="Vírgula 3 2 4 4 2 3" xfId="10732" xr:uid="{00000000-0005-0000-0000-00002D000000}"/>
    <cellStyle name="Vírgula 3 2 4 4 3" xfId="1551" xr:uid="{00000000-0005-0000-0000-00002D000000}"/>
    <cellStyle name="Vírgula 3 2 4 4 3 2" xfId="5632" xr:uid="{00000000-0005-0000-0000-00002D000000}"/>
    <cellStyle name="Vírgula 3 2 4 4 3 2 2" xfId="13792" xr:uid="{00000000-0005-0000-0000-00002D000000}"/>
    <cellStyle name="Vírgula 3 2 4 4 3 3" xfId="9712" xr:uid="{00000000-0005-0000-0000-00002D000000}"/>
    <cellStyle name="Vírgula 3 2 4 4 4" xfId="3591" xr:uid="{00000000-0005-0000-0000-00002D000000}"/>
    <cellStyle name="Vírgula 3 2 4 4 4 2" xfId="7672" xr:uid="{00000000-0005-0000-0000-00002D000000}"/>
    <cellStyle name="Vírgula 3 2 4 4 4 2 2" xfId="15832" xr:uid="{00000000-0005-0000-0000-00002D000000}"/>
    <cellStyle name="Vírgula 3 2 4 4 4 3" xfId="11752" xr:uid="{00000000-0005-0000-0000-00002D000000}"/>
    <cellStyle name="Vírgula 3 2 4 4 5" xfId="4611" xr:uid="{00000000-0005-0000-0000-00002D000000}"/>
    <cellStyle name="Vírgula 3 2 4 4 5 2" xfId="12772" xr:uid="{00000000-0005-0000-0000-00002D000000}"/>
    <cellStyle name="Vírgula 3 2 4 4 6" xfId="8692" xr:uid="{00000000-0005-0000-0000-00002D000000}"/>
    <cellStyle name="Vírgula 3 2 4 5" xfId="2163" xr:uid="{00000000-0005-0000-0000-00002D000000}"/>
    <cellStyle name="Vírgula 3 2 4 5 2" xfId="6244" xr:uid="{00000000-0005-0000-0000-00002D000000}"/>
    <cellStyle name="Vírgula 3 2 4 5 2 2" xfId="14404" xr:uid="{00000000-0005-0000-0000-00002D000000}"/>
    <cellStyle name="Vírgula 3 2 4 5 3" xfId="10324" xr:uid="{00000000-0005-0000-0000-00002D000000}"/>
    <cellStyle name="Vírgula 3 2 4 6" xfId="1143" xr:uid="{00000000-0005-0000-0000-00002D000000}"/>
    <cellStyle name="Vírgula 3 2 4 6 2" xfId="5224" xr:uid="{00000000-0005-0000-0000-00002D000000}"/>
    <cellStyle name="Vírgula 3 2 4 6 2 2" xfId="13384" xr:uid="{00000000-0005-0000-0000-00002D000000}"/>
    <cellStyle name="Vírgula 3 2 4 6 3" xfId="9304" xr:uid="{00000000-0005-0000-0000-00002D000000}"/>
    <cellStyle name="Vírgula 3 2 4 7" xfId="3183" xr:uid="{00000000-0005-0000-0000-00002D000000}"/>
    <cellStyle name="Vírgula 3 2 4 7 2" xfId="7264" xr:uid="{00000000-0005-0000-0000-00002D000000}"/>
    <cellStyle name="Vírgula 3 2 4 7 2 2" xfId="15424" xr:uid="{00000000-0005-0000-0000-00002D000000}"/>
    <cellStyle name="Vírgula 3 2 4 7 3" xfId="11344" xr:uid="{00000000-0005-0000-0000-00002D000000}"/>
    <cellStyle name="Vírgula 3 2 4 8" xfId="4203" xr:uid="{00000000-0005-0000-0000-00002D000000}"/>
    <cellStyle name="Vírgula 3 2 4 8 2" xfId="12364" xr:uid="{00000000-0005-0000-0000-00002D000000}"/>
    <cellStyle name="Vírgula 3 2 4 9" xfId="8284" xr:uid="{00000000-0005-0000-0000-00002D000000}"/>
    <cellStyle name="Vírgula 3 2 5" xfId="224" xr:uid="{00000000-0005-0000-0000-00002D000000}"/>
    <cellStyle name="Vírgula 3 2 5 2" xfId="632" xr:uid="{00000000-0005-0000-0000-00002D000000}"/>
    <cellStyle name="Vírgula 3 2 5 2 2" xfId="2673" xr:uid="{00000000-0005-0000-0000-00002D000000}"/>
    <cellStyle name="Vírgula 3 2 5 2 2 2" xfId="6754" xr:uid="{00000000-0005-0000-0000-00002D000000}"/>
    <cellStyle name="Vírgula 3 2 5 2 2 2 2" xfId="14914" xr:uid="{00000000-0005-0000-0000-00002D000000}"/>
    <cellStyle name="Vírgula 3 2 5 2 2 3" xfId="10834" xr:uid="{00000000-0005-0000-0000-00002D000000}"/>
    <cellStyle name="Vírgula 3 2 5 2 3" xfId="1653" xr:uid="{00000000-0005-0000-0000-00002D000000}"/>
    <cellStyle name="Vírgula 3 2 5 2 3 2" xfId="5734" xr:uid="{00000000-0005-0000-0000-00002D000000}"/>
    <cellStyle name="Vírgula 3 2 5 2 3 2 2" xfId="13894" xr:uid="{00000000-0005-0000-0000-00002D000000}"/>
    <cellStyle name="Vírgula 3 2 5 2 3 3" xfId="9814" xr:uid="{00000000-0005-0000-0000-00002D000000}"/>
    <cellStyle name="Vírgula 3 2 5 2 4" xfId="3693" xr:uid="{00000000-0005-0000-0000-00002D000000}"/>
    <cellStyle name="Vírgula 3 2 5 2 4 2" xfId="7774" xr:uid="{00000000-0005-0000-0000-00002D000000}"/>
    <cellStyle name="Vírgula 3 2 5 2 4 2 2" xfId="15934" xr:uid="{00000000-0005-0000-0000-00002D000000}"/>
    <cellStyle name="Vírgula 3 2 5 2 4 3" xfId="11854" xr:uid="{00000000-0005-0000-0000-00002D000000}"/>
    <cellStyle name="Vírgula 3 2 5 2 5" xfId="4713" xr:uid="{00000000-0005-0000-0000-00002D000000}"/>
    <cellStyle name="Vírgula 3 2 5 2 5 2" xfId="12874" xr:uid="{00000000-0005-0000-0000-00002D000000}"/>
    <cellStyle name="Vírgula 3 2 5 2 6" xfId="8794" xr:uid="{00000000-0005-0000-0000-00002D000000}"/>
    <cellStyle name="Vírgula 3 2 5 3" xfId="2265" xr:uid="{00000000-0005-0000-0000-00002D000000}"/>
    <cellStyle name="Vírgula 3 2 5 3 2" xfId="6346" xr:uid="{00000000-0005-0000-0000-00002D000000}"/>
    <cellStyle name="Vírgula 3 2 5 3 2 2" xfId="14506" xr:uid="{00000000-0005-0000-0000-00002D000000}"/>
    <cellStyle name="Vírgula 3 2 5 3 3" xfId="10426" xr:uid="{00000000-0005-0000-0000-00002D000000}"/>
    <cellStyle name="Vírgula 3 2 5 4" xfId="1245" xr:uid="{00000000-0005-0000-0000-00002D000000}"/>
    <cellStyle name="Vírgula 3 2 5 4 2" xfId="5326" xr:uid="{00000000-0005-0000-0000-00002D000000}"/>
    <cellStyle name="Vírgula 3 2 5 4 2 2" xfId="13486" xr:uid="{00000000-0005-0000-0000-00002D000000}"/>
    <cellStyle name="Vírgula 3 2 5 4 3" xfId="9406" xr:uid="{00000000-0005-0000-0000-00002D000000}"/>
    <cellStyle name="Vírgula 3 2 5 5" xfId="3285" xr:uid="{00000000-0005-0000-0000-00002D000000}"/>
    <cellStyle name="Vírgula 3 2 5 5 2" xfId="7366" xr:uid="{00000000-0005-0000-0000-00002D000000}"/>
    <cellStyle name="Vírgula 3 2 5 5 2 2" xfId="15526" xr:uid="{00000000-0005-0000-0000-00002D000000}"/>
    <cellStyle name="Vírgula 3 2 5 5 3" xfId="11446" xr:uid="{00000000-0005-0000-0000-00002D000000}"/>
    <cellStyle name="Vírgula 3 2 5 6" xfId="4305" xr:uid="{00000000-0005-0000-0000-00002D000000}"/>
    <cellStyle name="Vírgula 3 2 5 6 2" xfId="12466" xr:uid="{00000000-0005-0000-0000-00002D000000}"/>
    <cellStyle name="Vírgula 3 2 5 7" xfId="8386" xr:uid="{00000000-0005-0000-0000-00002D000000}"/>
    <cellStyle name="Vírgula 3 2 6" xfId="836" xr:uid="{00000000-0005-0000-0000-00002D000000}"/>
    <cellStyle name="Vírgula 3 2 6 2" xfId="2877" xr:uid="{00000000-0005-0000-0000-00002D000000}"/>
    <cellStyle name="Vírgula 3 2 6 2 2" xfId="6958" xr:uid="{00000000-0005-0000-0000-00002D000000}"/>
    <cellStyle name="Vírgula 3 2 6 2 2 2" xfId="15118" xr:uid="{00000000-0005-0000-0000-00002D000000}"/>
    <cellStyle name="Vírgula 3 2 6 2 3" xfId="11038" xr:uid="{00000000-0005-0000-0000-00002D000000}"/>
    <cellStyle name="Vírgula 3 2 6 3" xfId="1857" xr:uid="{00000000-0005-0000-0000-00002D000000}"/>
    <cellStyle name="Vírgula 3 2 6 3 2" xfId="5938" xr:uid="{00000000-0005-0000-0000-00002D000000}"/>
    <cellStyle name="Vírgula 3 2 6 3 2 2" xfId="14098" xr:uid="{00000000-0005-0000-0000-00002D000000}"/>
    <cellStyle name="Vírgula 3 2 6 3 3" xfId="10018" xr:uid="{00000000-0005-0000-0000-00002D000000}"/>
    <cellStyle name="Vírgula 3 2 6 4" xfId="3897" xr:uid="{00000000-0005-0000-0000-00002D000000}"/>
    <cellStyle name="Vírgula 3 2 6 4 2" xfId="7978" xr:uid="{00000000-0005-0000-0000-00002D000000}"/>
    <cellStyle name="Vírgula 3 2 6 4 2 2" xfId="16138" xr:uid="{00000000-0005-0000-0000-00002D000000}"/>
    <cellStyle name="Vírgula 3 2 6 4 3" xfId="12058" xr:uid="{00000000-0005-0000-0000-00002D000000}"/>
    <cellStyle name="Vírgula 3 2 6 5" xfId="4917" xr:uid="{00000000-0005-0000-0000-00002D000000}"/>
    <cellStyle name="Vírgula 3 2 6 5 2" xfId="13078" xr:uid="{00000000-0005-0000-0000-00002D000000}"/>
    <cellStyle name="Vírgula 3 2 6 6" xfId="8998" xr:uid="{00000000-0005-0000-0000-00002D000000}"/>
    <cellStyle name="Vírgula 3 2 7" xfId="428" xr:uid="{00000000-0005-0000-0000-00002D000000}"/>
    <cellStyle name="Vírgula 3 2 7 2" xfId="2469" xr:uid="{00000000-0005-0000-0000-00002D000000}"/>
    <cellStyle name="Vírgula 3 2 7 2 2" xfId="6550" xr:uid="{00000000-0005-0000-0000-00002D000000}"/>
    <cellStyle name="Vírgula 3 2 7 2 2 2" xfId="14710" xr:uid="{00000000-0005-0000-0000-00002D000000}"/>
    <cellStyle name="Vírgula 3 2 7 2 3" xfId="10630" xr:uid="{00000000-0005-0000-0000-00002D000000}"/>
    <cellStyle name="Vírgula 3 2 7 3" xfId="1449" xr:uid="{00000000-0005-0000-0000-00002D000000}"/>
    <cellStyle name="Vírgula 3 2 7 3 2" xfId="5530" xr:uid="{00000000-0005-0000-0000-00002D000000}"/>
    <cellStyle name="Vírgula 3 2 7 3 2 2" xfId="13690" xr:uid="{00000000-0005-0000-0000-00002D000000}"/>
    <cellStyle name="Vírgula 3 2 7 3 3" xfId="9610" xr:uid="{00000000-0005-0000-0000-00002D000000}"/>
    <cellStyle name="Vírgula 3 2 7 4" xfId="3489" xr:uid="{00000000-0005-0000-0000-00002D000000}"/>
    <cellStyle name="Vírgula 3 2 7 4 2" xfId="7570" xr:uid="{00000000-0005-0000-0000-00002D000000}"/>
    <cellStyle name="Vírgula 3 2 7 4 2 2" xfId="15730" xr:uid="{00000000-0005-0000-0000-00002D000000}"/>
    <cellStyle name="Vírgula 3 2 7 4 3" xfId="11650" xr:uid="{00000000-0005-0000-0000-00002D000000}"/>
    <cellStyle name="Vírgula 3 2 7 5" xfId="4509" xr:uid="{00000000-0005-0000-0000-00002D000000}"/>
    <cellStyle name="Vírgula 3 2 7 5 2" xfId="12670" xr:uid="{00000000-0005-0000-0000-00002D000000}"/>
    <cellStyle name="Vírgula 3 2 7 6" xfId="8590" xr:uid="{00000000-0005-0000-0000-00002D000000}"/>
    <cellStyle name="Vírgula 3 2 8" xfId="2061" xr:uid="{00000000-0005-0000-0000-00002D000000}"/>
    <cellStyle name="Vírgula 3 2 8 2" xfId="6142" xr:uid="{00000000-0005-0000-0000-00002D000000}"/>
    <cellStyle name="Vírgula 3 2 8 2 2" xfId="14302" xr:uid="{00000000-0005-0000-0000-00002D000000}"/>
    <cellStyle name="Vírgula 3 2 8 3" xfId="10222" xr:uid="{00000000-0005-0000-0000-00002D000000}"/>
    <cellStyle name="Vírgula 3 2 9" xfId="1041" xr:uid="{00000000-0005-0000-0000-00002D000000}"/>
    <cellStyle name="Vírgula 3 2 9 2" xfId="5122" xr:uid="{00000000-0005-0000-0000-00002D000000}"/>
    <cellStyle name="Vírgula 3 2 9 2 2" xfId="13282" xr:uid="{00000000-0005-0000-0000-00002D000000}"/>
    <cellStyle name="Vírgula 3 2 9 3" xfId="9202" xr:uid="{00000000-0005-0000-0000-00002D000000}"/>
    <cellStyle name="Vírgula 3 3" xfId="25" xr:uid="{00000000-0005-0000-0000-00002F000000}"/>
    <cellStyle name="Vírgula 3 3 10" xfId="3089" xr:uid="{00000000-0005-0000-0000-00002F000000}"/>
    <cellStyle name="Vírgula 3 3 10 2" xfId="7170" xr:uid="{00000000-0005-0000-0000-00002F000000}"/>
    <cellStyle name="Vírgula 3 3 10 2 2" xfId="15330" xr:uid="{00000000-0005-0000-0000-00002F000000}"/>
    <cellStyle name="Vírgula 3 3 10 3" xfId="11250" xr:uid="{00000000-0005-0000-0000-00002F000000}"/>
    <cellStyle name="Vírgula 3 3 11" xfId="4109" xr:uid="{00000000-0005-0000-0000-00002F000000}"/>
    <cellStyle name="Vírgula 3 3 11 2" xfId="12270" xr:uid="{00000000-0005-0000-0000-00002F000000}"/>
    <cellStyle name="Vírgula 3 3 12" xfId="8190" xr:uid="{00000000-0005-0000-0000-00002F000000}"/>
    <cellStyle name="Vírgula 3 3 2" xfId="53" xr:uid="{00000000-0005-0000-0000-000030000000}"/>
    <cellStyle name="Vírgula 3 3 2 10" xfId="4134" xr:uid="{00000000-0005-0000-0000-000030000000}"/>
    <cellStyle name="Vírgula 3 3 2 10 2" xfId="12295" xr:uid="{00000000-0005-0000-0000-000030000000}"/>
    <cellStyle name="Vírgula 3 3 2 11" xfId="8215" xr:uid="{00000000-0005-0000-0000-000030000000}"/>
    <cellStyle name="Vírgula 3 3 2 2" xfId="104" xr:uid="{00000000-0005-0000-0000-000030000000}"/>
    <cellStyle name="Vírgula 3 3 2 2 10" xfId="8266" xr:uid="{00000000-0005-0000-0000-000030000000}"/>
    <cellStyle name="Vírgula 3 3 2 2 2" xfId="206" xr:uid="{00000000-0005-0000-0000-000030000000}"/>
    <cellStyle name="Vírgula 3 3 2 2 2 2" xfId="410" xr:uid="{00000000-0005-0000-0000-000030000000}"/>
    <cellStyle name="Vírgula 3 3 2 2 2 2 2" xfId="818" xr:uid="{00000000-0005-0000-0000-000030000000}"/>
    <cellStyle name="Vírgula 3 3 2 2 2 2 2 2" xfId="2859" xr:uid="{00000000-0005-0000-0000-000030000000}"/>
    <cellStyle name="Vírgula 3 3 2 2 2 2 2 2 2" xfId="6940" xr:uid="{00000000-0005-0000-0000-000030000000}"/>
    <cellStyle name="Vírgula 3 3 2 2 2 2 2 2 2 2" xfId="15100" xr:uid="{00000000-0005-0000-0000-000030000000}"/>
    <cellStyle name="Vírgula 3 3 2 2 2 2 2 2 3" xfId="11020" xr:uid="{00000000-0005-0000-0000-000030000000}"/>
    <cellStyle name="Vírgula 3 3 2 2 2 2 2 3" xfId="1839" xr:uid="{00000000-0005-0000-0000-000030000000}"/>
    <cellStyle name="Vírgula 3 3 2 2 2 2 2 3 2" xfId="5920" xr:uid="{00000000-0005-0000-0000-000030000000}"/>
    <cellStyle name="Vírgula 3 3 2 2 2 2 2 3 2 2" xfId="14080" xr:uid="{00000000-0005-0000-0000-000030000000}"/>
    <cellStyle name="Vírgula 3 3 2 2 2 2 2 3 3" xfId="10000" xr:uid="{00000000-0005-0000-0000-000030000000}"/>
    <cellStyle name="Vírgula 3 3 2 2 2 2 2 4" xfId="3879" xr:uid="{00000000-0005-0000-0000-000030000000}"/>
    <cellStyle name="Vírgula 3 3 2 2 2 2 2 4 2" xfId="7960" xr:uid="{00000000-0005-0000-0000-000030000000}"/>
    <cellStyle name="Vírgula 3 3 2 2 2 2 2 4 2 2" xfId="16120" xr:uid="{00000000-0005-0000-0000-000030000000}"/>
    <cellStyle name="Vírgula 3 3 2 2 2 2 2 4 3" xfId="12040" xr:uid="{00000000-0005-0000-0000-000030000000}"/>
    <cellStyle name="Vírgula 3 3 2 2 2 2 2 5" xfId="4899" xr:uid="{00000000-0005-0000-0000-000030000000}"/>
    <cellStyle name="Vírgula 3 3 2 2 2 2 2 5 2" xfId="13060" xr:uid="{00000000-0005-0000-0000-000030000000}"/>
    <cellStyle name="Vírgula 3 3 2 2 2 2 2 6" xfId="8980" xr:uid="{00000000-0005-0000-0000-000030000000}"/>
    <cellStyle name="Vírgula 3 3 2 2 2 2 3" xfId="2451" xr:uid="{00000000-0005-0000-0000-000030000000}"/>
    <cellStyle name="Vírgula 3 3 2 2 2 2 3 2" xfId="6532" xr:uid="{00000000-0005-0000-0000-000030000000}"/>
    <cellStyle name="Vírgula 3 3 2 2 2 2 3 2 2" xfId="14692" xr:uid="{00000000-0005-0000-0000-000030000000}"/>
    <cellStyle name="Vírgula 3 3 2 2 2 2 3 3" xfId="10612" xr:uid="{00000000-0005-0000-0000-000030000000}"/>
    <cellStyle name="Vírgula 3 3 2 2 2 2 4" xfId="1431" xr:uid="{00000000-0005-0000-0000-000030000000}"/>
    <cellStyle name="Vírgula 3 3 2 2 2 2 4 2" xfId="5512" xr:uid="{00000000-0005-0000-0000-000030000000}"/>
    <cellStyle name="Vírgula 3 3 2 2 2 2 4 2 2" xfId="13672" xr:uid="{00000000-0005-0000-0000-000030000000}"/>
    <cellStyle name="Vírgula 3 3 2 2 2 2 4 3" xfId="9592" xr:uid="{00000000-0005-0000-0000-000030000000}"/>
    <cellStyle name="Vírgula 3 3 2 2 2 2 5" xfId="3471" xr:uid="{00000000-0005-0000-0000-000030000000}"/>
    <cellStyle name="Vírgula 3 3 2 2 2 2 5 2" xfId="7552" xr:uid="{00000000-0005-0000-0000-000030000000}"/>
    <cellStyle name="Vírgula 3 3 2 2 2 2 5 2 2" xfId="15712" xr:uid="{00000000-0005-0000-0000-000030000000}"/>
    <cellStyle name="Vírgula 3 3 2 2 2 2 5 3" xfId="11632" xr:uid="{00000000-0005-0000-0000-000030000000}"/>
    <cellStyle name="Vírgula 3 3 2 2 2 2 6" xfId="4491" xr:uid="{00000000-0005-0000-0000-000030000000}"/>
    <cellStyle name="Vírgula 3 3 2 2 2 2 6 2" xfId="12652" xr:uid="{00000000-0005-0000-0000-000030000000}"/>
    <cellStyle name="Vírgula 3 3 2 2 2 2 7" xfId="8572" xr:uid="{00000000-0005-0000-0000-000030000000}"/>
    <cellStyle name="Vírgula 3 3 2 2 2 3" xfId="1022" xr:uid="{00000000-0005-0000-0000-000030000000}"/>
    <cellStyle name="Vírgula 3 3 2 2 2 3 2" xfId="3063" xr:uid="{00000000-0005-0000-0000-000030000000}"/>
    <cellStyle name="Vírgula 3 3 2 2 2 3 2 2" xfId="7144" xr:uid="{00000000-0005-0000-0000-000030000000}"/>
    <cellStyle name="Vírgula 3 3 2 2 2 3 2 2 2" xfId="15304" xr:uid="{00000000-0005-0000-0000-000030000000}"/>
    <cellStyle name="Vírgula 3 3 2 2 2 3 2 3" xfId="11224" xr:uid="{00000000-0005-0000-0000-000030000000}"/>
    <cellStyle name="Vírgula 3 3 2 2 2 3 3" xfId="2043" xr:uid="{00000000-0005-0000-0000-000030000000}"/>
    <cellStyle name="Vírgula 3 3 2 2 2 3 3 2" xfId="6124" xr:uid="{00000000-0005-0000-0000-000030000000}"/>
    <cellStyle name="Vírgula 3 3 2 2 2 3 3 2 2" xfId="14284" xr:uid="{00000000-0005-0000-0000-000030000000}"/>
    <cellStyle name="Vírgula 3 3 2 2 2 3 3 3" xfId="10204" xr:uid="{00000000-0005-0000-0000-000030000000}"/>
    <cellStyle name="Vírgula 3 3 2 2 2 3 4" xfId="4083" xr:uid="{00000000-0005-0000-0000-000030000000}"/>
    <cellStyle name="Vírgula 3 3 2 2 2 3 4 2" xfId="8164" xr:uid="{00000000-0005-0000-0000-000030000000}"/>
    <cellStyle name="Vírgula 3 3 2 2 2 3 4 2 2" xfId="16324" xr:uid="{00000000-0005-0000-0000-000030000000}"/>
    <cellStyle name="Vírgula 3 3 2 2 2 3 4 3" xfId="12244" xr:uid="{00000000-0005-0000-0000-000030000000}"/>
    <cellStyle name="Vírgula 3 3 2 2 2 3 5" xfId="5103" xr:uid="{00000000-0005-0000-0000-000030000000}"/>
    <cellStyle name="Vírgula 3 3 2 2 2 3 5 2" xfId="13264" xr:uid="{00000000-0005-0000-0000-000030000000}"/>
    <cellStyle name="Vírgula 3 3 2 2 2 3 6" xfId="9184" xr:uid="{00000000-0005-0000-0000-000030000000}"/>
    <cellStyle name="Vírgula 3 3 2 2 2 4" xfId="614" xr:uid="{00000000-0005-0000-0000-000030000000}"/>
    <cellStyle name="Vírgula 3 3 2 2 2 4 2" xfId="2655" xr:uid="{00000000-0005-0000-0000-000030000000}"/>
    <cellStyle name="Vírgula 3 3 2 2 2 4 2 2" xfId="6736" xr:uid="{00000000-0005-0000-0000-000030000000}"/>
    <cellStyle name="Vírgula 3 3 2 2 2 4 2 2 2" xfId="14896" xr:uid="{00000000-0005-0000-0000-000030000000}"/>
    <cellStyle name="Vírgula 3 3 2 2 2 4 2 3" xfId="10816" xr:uid="{00000000-0005-0000-0000-000030000000}"/>
    <cellStyle name="Vírgula 3 3 2 2 2 4 3" xfId="1635" xr:uid="{00000000-0005-0000-0000-000030000000}"/>
    <cellStyle name="Vírgula 3 3 2 2 2 4 3 2" xfId="5716" xr:uid="{00000000-0005-0000-0000-000030000000}"/>
    <cellStyle name="Vírgula 3 3 2 2 2 4 3 2 2" xfId="13876" xr:uid="{00000000-0005-0000-0000-000030000000}"/>
    <cellStyle name="Vírgula 3 3 2 2 2 4 3 3" xfId="9796" xr:uid="{00000000-0005-0000-0000-000030000000}"/>
    <cellStyle name="Vírgula 3 3 2 2 2 4 4" xfId="3675" xr:uid="{00000000-0005-0000-0000-000030000000}"/>
    <cellStyle name="Vírgula 3 3 2 2 2 4 4 2" xfId="7756" xr:uid="{00000000-0005-0000-0000-000030000000}"/>
    <cellStyle name="Vírgula 3 3 2 2 2 4 4 2 2" xfId="15916" xr:uid="{00000000-0005-0000-0000-000030000000}"/>
    <cellStyle name="Vírgula 3 3 2 2 2 4 4 3" xfId="11836" xr:uid="{00000000-0005-0000-0000-000030000000}"/>
    <cellStyle name="Vírgula 3 3 2 2 2 4 5" xfId="4695" xr:uid="{00000000-0005-0000-0000-000030000000}"/>
    <cellStyle name="Vírgula 3 3 2 2 2 4 5 2" xfId="12856" xr:uid="{00000000-0005-0000-0000-000030000000}"/>
    <cellStyle name="Vírgula 3 3 2 2 2 4 6" xfId="8776" xr:uid="{00000000-0005-0000-0000-000030000000}"/>
    <cellStyle name="Vírgula 3 3 2 2 2 5" xfId="2247" xr:uid="{00000000-0005-0000-0000-000030000000}"/>
    <cellStyle name="Vírgula 3 3 2 2 2 5 2" xfId="6328" xr:uid="{00000000-0005-0000-0000-000030000000}"/>
    <cellStyle name="Vírgula 3 3 2 2 2 5 2 2" xfId="14488" xr:uid="{00000000-0005-0000-0000-000030000000}"/>
    <cellStyle name="Vírgula 3 3 2 2 2 5 3" xfId="10408" xr:uid="{00000000-0005-0000-0000-000030000000}"/>
    <cellStyle name="Vírgula 3 3 2 2 2 6" xfId="1227" xr:uid="{00000000-0005-0000-0000-000030000000}"/>
    <cellStyle name="Vírgula 3 3 2 2 2 6 2" xfId="5308" xr:uid="{00000000-0005-0000-0000-000030000000}"/>
    <cellStyle name="Vírgula 3 3 2 2 2 6 2 2" xfId="13468" xr:uid="{00000000-0005-0000-0000-000030000000}"/>
    <cellStyle name="Vírgula 3 3 2 2 2 6 3" xfId="9388" xr:uid="{00000000-0005-0000-0000-000030000000}"/>
    <cellStyle name="Vírgula 3 3 2 2 2 7" xfId="3267" xr:uid="{00000000-0005-0000-0000-000030000000}"/>
    <cellStyle name="Vírgula 3 3 2 2 2 7 2" xfId="7348" xr:uid="{00000000-0005-0000-0000-000030000000}"/>
    <cellStyle name="Vírgula 3 3 2 2 2 7 2 2" xfId="15508" xr:uid="{00000000-0005-0000-0000-000030000000}"/>
    <cellStyle name="Vírgula 3 3 2 2 2 7 3" xfId="11428" xr:uid="{00000000-0005-0000-0000-000030000000}"/>
    <cellStyle name="Vírgula 3 3 2 2 2 8" xfId="4287" xr:uid="{00000000-0005-0000-0000-000030000000}"/>
    <cellStyle name="Vírgula 3 3 2 2 2 8 2" xfId="12448" xr:uid="{00000000-0005-0000-0000-000030000000}"/>
    <cellStyle name="Vírgula 3 3 2 2 2 9" xfId="8368" xr:uid="{00000000-0005-0000-0000-000030000000}"/>
    <cellStyle name="Vírgula 3 3 2 2 3" xfId="308" xr:uid="{00000000-0005-0000-0000-000030000000}"/>
    <cellStyle name="Vírgula 3 3 2 2 3 2" xfId="716" xr:uid="{00000000-0005-0000-0000-000030000000}"/>
    <cellStyle name="Vírgula 3 3 2 2 3 2 2" xfId="2757" xr:uid="{00000000-0005-0000-0000-000030000000}"/>
    <cellStyle name="Vírgula 3 3 2 2 3 2 2 2" xfId="6838" xr:uid="{00000000-0005-0000-0000-000030000000}"/>
    <cellStyle name="Vírgula 3 3 2 2 3 2 2 2 2" xfId="14998" xr:uid="{00000000-0005-0000-0000-000030000000}"/>
    <cellStyle name="Vírgula 3 3 2 2 3 2 2 3" xfId="10918" xr:uid="{00000000-0005-0000-0000-000030000000}"/>
    <cellStyle name="Vírgula 3 3 2 2 3 2 3" xfId="1737" xr:uid="{00000000-0005-0000-0000-000030000000}"/>
    <cellStyle name="Vírgula 3 3 2 2 3 2 3 2" xfId="5818" xr:uid="{00000000-0005-0000-0000-000030000000}"/>
    <cellStyle name="Vírgula 3 3 2 2 3 2 3 2 2" xfId="13978" xr:uid="{00000000-0005-0000-0000-000030000000}"/>
    <cellStyle name="Vírgula 3 3 2 2 3 2 3 3" xfId="9898" xr:uid="{00000000-0005-0000-0000-000030000000}"/>
    <cellStyle name="Vírgula 3 3 2 2 3 2 4" xfId="3777" xr:uid="{00000000-0005-0000-0000-000030000000}"/>
    <cellStyle name="Vírgula 3 3 2 2 3 2 4 2" xfId="7858" xr:uid="{00000000-0005-0000-0000-000030000000}"/>
    <cellStyle name="Vírgula 3 3 2 2 3 2 4 2 2" xfId="16018" xr:uid="{00000000-0005-0000-0000-000030000000}"/>
    <cellStyle name="Vírgula 3 3 2 2 3 2 4 3" xfId="11938" xr:uid="{00000000-0005-0000-0000-000030000000}"/>
    <cellStyle name="Vírgula 3 3 2 2 3 2 5" xfId="4797" xr:uid="{00000000-0005-0000-0000-000030000000}"/>
    <cellStyle name="Vírgula 3 3 2 2 3 2 5 2" xfId="12958" xr:uid="{00000000-0005-0000-0000-000030000000}"/>
    <cellStyle name="Vírgula 3 3 2 2 3 2 6" xfId="8878" xr:uid="{00000000-0005-0000-0000-000030000000}"/>
    <cellStyle name="Vírgula 3 3 2 2 3 3" xfId="2349" xr:uid="{00000000-0005-0000-0000-000030000000}"/>
    <cellStyle name="Vírgula 3 3 2 2 3 3 2" xfId="6430" xr:uid="{00000000-0005-0000-0000-000030000000}"/>
    <cellStyle name="Vírgula 3 3 2 2 3 3 2 2" xfId="14590" xr:uid="{00000000-0005-0000-0000-000030000000}"/>
    <cellStyle name="Vírgula 3 3 2 2 3 3 3" xfId="10510" xr:uid="{00000000-0005-0000-0000-000030000000}"/>
    <cellStyle name="Vírgula 3 3 2 2 3 4" xfId="1329" xr:uid="{00000000-0005-0000-0000-000030000000}"/>
    <cellStyle name="Vírgula 3 3 2 2 3 4 2" xfId="5410" xr:uid="{00000000-0005-0000-0000-000030000000}"/>
    <cellStyle name="Vírgula 3 3 2 2 3 4 2 2" xfId="13570" xr:uid="{00000000-0005-0000-0000-000030000000}"/>
    <cellStyle name="Vírgula 3 3 2 2 3 4 3" xfId="9490" xr:uid="{00000000-0005-0000-0000-000030000000}"/>
    <cellStyle name="Vírgula 3 3 2 2 3 5" xfId="3369" xr:uid="{00000000-0005-0000-0000-000030000000}"/>
    <cellStyle name="Vírgula 3 3 2 2 3 5 2" xfId="7450" xr:uid="{00000000-0005-0000-0000-000030000000}"/>
    <cellStyle name="Vírgula 3 3 2 2 3 5 2 2" xfId="15610" xr:uid="{00000000-0005-0000-0000-000030000000}"/>
    <cellStyle name="Vírgula 3 3 2 2 3 5 3" xfId="11530" xr:uid="{00000000-0005-0000-0000-000030000000}"/>
    <cellStyle name="Vírgula 3 3 2 2 3 6" xfId="4389" xr:uid="{00000000-0005-0000-0000-000030000000}"/>
    <cellStyle name="Vírgula 3 3 2 2 3 6 2" xfId="12550" xr:uid="{00000000-0005-0000-0000-000030000000}"/>
    <cellStyle name="Vírgula 3 3 2 2 3 7" xfId="8470" xr:uid="{00000000-0005-0000-0000-000030000000}"/>
    <cellStyle name="Vírgula 3 3 2 2 4" xfId="920" xr:uid="{00000000-0005-0000-0000-000030000000}"/>
    <cellStyle name="Vírgula 3 3 2 2 4 2" xfId="2961" xr:uid="{00000000-0005-0000-0000-000030000000}"/>
    <cellStyle name="Vírgula 3 3 2 2 4 2 2" xfId="7042" xr:uid="{00000000-0005-0000-0000-000030000000}"/>
    <cellStyle name="Vírgula 3 3 2 2 4 2 2 2" xfId="15202" xr:uid="{00000000-0005-0000-0000-000030000000}"/>
    <cellStyle name="Vírgula 3 3 2 2 4 2 3" xfId="11122" xr:uid="{00000000-0005-0000-0000-000030000000}"/>
    <cellStyle name="Vírgula 3 3 2 2 4 3" xfId="1941" xr:uid="{00000000-0005-0000-0000-000030000000}"/>
    <cellStyle name="Vírgula 3 3 2 2 4 3 2" xfId="6022" xr:uid="{00000000-0005-0000-0000-000030000000}"/>
    <cellStyle name="Vírgula 3 3 2 2 4 3 2 2" xfId="14182" xr:uid="{00000000-0005-0000-0000-000030000000}"/>
    <cellStyle name="Vírgula 3 3 2 2 4 3 3" xfId="10102" xr:uid="{00000000-0005-0000-0000-000030000000}"/>
    <cellStyle name="Vírgula 3 3 2 2 4 4" xfId="3981" xr:uid="{00000000-0005-0000-0000-000030000000}"/>
    <cellStyle name="Vírgula 3 3 2 2 4 4 2" xfId="8062" xr:uid="{00000000-0005-0000-0000-000030000000}"/>
    <cellStyle name="Vírgula 3 3 2 2 4 4 2 2" xfId="16222" xr:uid="{00000000-0005-0000-0000-000030000000}"/>
    <cellStyle name="Vírgula 3 3 2 2 4 4 3" xfId="12142" xr:uid="{00000000-0005-0000-0000-000030000000}"/>
    <cellStyle name="Vírgula 3 3 2 2 4 5" xfId="5001" xr:uid="{00000000-0005-0000-0000-000030000000}"/>
    <cellStyle name="Vírgula 3 3 2 2 4 5 2" xfId="13162" xr:uid="{00000000-0005-0000-0000-000030000000}"/>
    <cellStyle name="Vírgula 3 3 2 2 4 6" xfId="9082" xr:uid="{00000000-0005-0000-0000-000030000000}"/>
    <cellStyle name="Vírgula 3 3 2 2 5" xfId="512" xr:uid="{00000000-0005-0000-0000-000030000000}"/>
    <cellStyle name="Vírgula 3 3 2 2 5 2" xfId="2553" xr:uid="{00000000-0005-0000-0000-000030000000}"/>
    <cellStyle name="Vírgula 3 3 2 2 5 2 2" xfId="6634" xr:uid="{00000000-0005-0000-0000-000030000000}"/>
    <cellStyle name="Vírgula 3 3 2 2 5 2 2 2" xfId="14794" xr:uid="{00000000-0005-0000-0000-000030000000}"/>
    <cellStyle name="Vírgula 3 3 2 2 5 2 3" xfId="10714" xr:uid="{00000000-0005-0000-0000-000030000000}"/>
    <cellStyle name="Vírgula 3 3 2 2 5 3" xfId="1533" xr:uid="{00000000-0005-0000-0000-000030000000}"/>
    <cellStyle name="Vírgula 3 3 2 2 5 3 2" xfId="5614" xr:uid="{00000000-0005-0000-0000-000030000000}"/>
    <cellStyle name="Vírgula 3 3 2 2 5 3 2 2" xfId="13774" xr:uid="{00000000-0005-0000-0000-000030000000}"/>
    <cellStyle name="Vírgula 3 3 2 2 5 3 3" xfId="9694" xr:uid="{00000000-0005-0000-0000-000030000000}"/>
    <cellStyle name="Vírgula 3 3 2 2 5 4" xfId="3573" xr:uid="{00000000-0005-0000-0000-000030000000}"/>
    <cellStyle name="Vírgula 3 3 2 2 5 4 2" xfId="7654" xr:uid="{00000000-0005-0000-0000-000030000000}"/>
    <cellStyle name="Vírgula 3 3 2 2 5 4 2 2" xfId="15814" xr:uid="{00000000-0005-0000-0000-000030000000}"/>
    <cellStyle name="Vírgula 3 3 2 2 5 4 3" xfId="11734" xr:uid="{00000000-0005-0000-0000-000030000000}"/>
    <cellStyle name="Vírgula 3 3 2 2 5 5" xfId="4593" xr:uid="{00000000-0005-0000-0000-000030000000}"/>
    <cellStyle name="Vírgula 3 3 2 2 5 5 2" xfId="12754" xr:uid="{00000000-0005-0000-0000-000030000000}"/>
    <cellStyle name="Vírgula 3 3 2 2 5 6" xfId="8674" xr:uid="{00000000-0005-0000-0000-000030000000}"/>
    <cellStyle name="Vírgula 3 3 2 2 6" xfId="2145" xr:uid="{00000000-0005-0000-0000-000030000000}"/>
    <cellStyle name="Vírgula 3 3 2 2 6 2" xfId="6226" xr:uid="{00000000-0005-0000-0000-000030000000}"/>
    <cellStyle name="Vírgula 3 3 2 2 6 2 2" xfId="14386" xr:uid="{00000000-0005-0000-0000-000030000000}"/>
    <cellStyle name="Vírgula 3 3 2 2 6 3" xfId="10306" xr:uid="{00000000-0005-0000-0000-000030000000}"/>
    <cellStyle name="Vírgula 3 3 2 2 7" xfId="1125" xr:uid="{00000000-0005-0000-0000-000030000000}"/>
    <cellStyle name="Vírgula 3 3 2 2 7 2" xfId="5206" xr:uid="{00000000-0005-0000-0000-000030000000}"/>
    <cellStyle name="Vírgula 3 3 2 2 7 2 2" xfId="13366" xr:uid="{00000000-0005-0000-0000-000030000000}"/>
    <cellStyle name="Vírgula 3 3 2 2 7 3" xfId="9286" xr:uid="{00000000-0005-0000-0000-000030000000}"/>
    <cellStyle name="Vírgula 3 3 2 2 8" xfId="3165" xr:uid="{00000000-0005-0000-0000-000030000000}"/>
    <cellStyle name="Vírgula 3 3 2 2 8 2" xfId="7246" xr:uid="{00000000-0005-0000-0000-000030000000}"/>
    <cellStyle name="Vírgula 3 3 2 2 8 2 2" xfId="15406" xr:uid="{00000000-0005-0000-0000-000030000000}"/>
    <cellStyle name="Vírgula 3 3 2 2 8 3" xfId="11326" xr:uid="{00000000-0005-0000-0000-000030000000}"/>
    <cellStyle name="Vírgula 3 3 2 2 9" xfId="4185" xr:uid="{00000000-0005-0000-0000-000030000000}"/>
    <cellStyle name="Vírgula 3 3 2 2 9 2" xfId="12346" xr:uid="{00000000-0005-0000-0000-000030000000}"/>
    <cellStyle name="Vírgula 3 3 2 3" xfId="155" xr:uid="{00000000-0005-0000-0000-000030000000}"/>
    <cellStyle name="Vírgula 3 3 2 3 2" xfId="359" xr:uid="{00000000-0005-0000-0000-000030000000}"/>
    <cellStyle name="Vírgula 3 3 2 3 2 2" xfId="767" xr:uid="{00000000-0005-0000-0000-000030000000}"/>
    <cellStyle name="Vírgula 3 3 2 3 2 2 2" xfId="2808" xr:uid="{00000000-0005-0000-0000-000030000000}"/>
    <cellStyle name="Vírgula 3 3 2 3 2 2 2 2" xfId="6889" xr:uid="{00000000-0005-0000-0000-000030000000}"/>
    <cellStyle name="Vírgula 3 3 2 3 2 2 2 2 2" xfId="15049" xr:uid="{00000000-0005-0000-0000-000030000000}"/>
    <cellStyle name="Vírgula 3 3 2 3 2 2 2 3" xfId="10969" xr:uid="{00000000-0005-0000-0000-000030000000}"/>
    <cellStyle name="Vírgula 3 3 2 3 2 2 3" xfId="1788" xr:uid="{00000000-0005-0000-0000-000030000000}"/>
    <cellStyle name="Vírgula 3 3 2 3 2 2 3 2" xfId="5869" xr:uid="{00000000-0005-0000-0000-000030000000}"/>
    <cellStyle name="Vírgula 3 3 2 3 2 2 3 2 2" xfId="14029" xr:uid="{00000000-0005-0000-0000-000030000000}"/>
    <cellStyle name="Vírgula 3 3 2 3 2 2 3 3" xfId="9949" xr:uid="{00000000-0005-0000-0000-000030000000}"/>
    <cellStyle name="Vírgula 3 3 2 3 2 2 4" xfId="3828" xr:uid="{00000000-0005-0000-0000-000030000000}"/>
    <cellStyle name="Vírgula 3 3 2 3 2 2 4 2" xfId="7909" xr:uid="{00000000-0005-0000-0000-000030000000}"/>
    <cellStyle name="Vírgula 3 3 2 3 2 2 4 2 2" xfId="16069" xr:uid="{00000000-0005-0000-0000-000030000000}"/>
    <cellStyle name="Vírgula 3 3 2 3 2 2 4 3" xfId="11989" xr:uid="{00000000-0005-0000-0000-000030000000}"/>
    <cellStyle name="Vírgula 3 3 2 3 2 2 5" xfId="4848" xr:uid="{00000000-0005-0000-0000-000030000000}"/>
    <cellStyle name="Vírgula 3 3 2 3 2 2 5 2" xfId="13009" xr:uid="{00000000-0005-0000-0000-000030000000}"/>
    <cellStyle name="Vírgula 3 3 2 3 2 2 6" xfId="8929" xr:uid="{00000000-0005-0000-0000-000030000000}"/>
    <cellStyle name="Vírgula 3 3 2 3 2 3" xfId="2400" xr:uid="{00000000-0005-0000-0000-000030000000}"/>
    <cellStyle name="Vírgula 3 3 2 3 2 3 2" xfId="6481" xr:uid="{00000000-0005-0000-0000-000030000000}"/>
    <cellStyle name="Vírgula 3 3 2 3 2 3 2 2" xfId="14641" xr:uid="{00000000-0005-0000-0000-000030000000}"/>
    <cellStyle name="Vírgula 3 3 2 3 2 3 3" xfId="10561" xr:uid="{00000000-0005-0000-0000-000030000000}"/>
    <cellStyle name="Vírgula 3 3 2 3 2 4" xfId="1380" xr:uid="{00000000-0005-0000-0000-000030000000}"/>
    <cellStyle name="Vírgula 3 3 2 3 2 4 2" xfId="5461" xr:uid="{00000000-0005-0000-0000-000030000000}"/>
    <cellStyle name="Vírgula 3 3 2 3 2 4 2 2" xfId="13621" xr:uid="{00000000-0005-0000-0000-000030000000}"/>
    <cellStyle name="Vírgula 3 3 2 3 2 4 3" xfId="9541" xr:uid="{00000000-0005-0000-0000-000030000000}"/>
    <cellStyle name="Vírgula 3 3 2 3 2 5" xfId="3420" xr:uid="{00000000-0005-0000-0000-000030000000}"/>
    <cellStyle name="Vírgula 3 3 2 3 2 5 2" xfId="7501" xr:uid="{00000000-0005-0000-0000-000030000000}"/>
    <cellStyle name="Vírgula 3 3 2 3 2 5 2 2" xfId="15661" xr:uid="{00000000-0005-0000-0000-000030000000}"/>
    <cellStyle name="Vírgula 3 3 2 3 2 5 3" xfId="11581" xr:uid="{00000000-0005-0000-0000-000030000000}"/>
    <cellStyle name="Vírgula 3 3 2 3 2 6" xfId="4440" xr:uid="{00000000-0005-0000-0000-000030000000}"/>
    <cellStyle name="Vírgula 3 3 2 3 2 6 2" xfId="12601" xr:uid="{00000000-0005-0000-0000-000030000000}"/>
    <cellStyle name="Vírgula 3 3 2 3 2 7" xfId="8521" xr:uid="{00000000-0005-0000-0000-000030000000}"/>
    <cellStyle name="Vírgula 3 3 2 3 3" xfId="971" xr:uid="{00000000-0005-0000-0000-000030000000}"/>
    <cellStyle name="Vírgula 3 3 2 3 3 2" xfId="3012" xr:uid="{00000000-0005-0000-0000-000030000000}"/>
    <cellStyle name="Vírgula 3 3 2 3 3 2 2" xfId="7093" xr:uid="{00000000-0005-0000-0000-000030000000}"/>
    <cellStyle name="Vírgula 3 3 2 3 3 2 2 2" xfId="15253" xr:uid="{00000000-0005-0000-0000-000030000000}"/>
    <cellStyle name="Vírgula 3 3 2 3 3 2 3" xfId="11173" xr:uid="{00000000-0005-0000-0000-000030000000}"/>
    <cellStyle name="Vírgula 3 3 2 3 3 3" xfId="1992" xr:uid="{00000000-0005-0000-0000-000030000000}"/>
    <cellStyle name="Vírgula 3 3 2 3 3 3 2" xfId="6073" xr:uid="{00000000-0005-0000-0000-000030000000}"/>
    <cellStyle name="Vírgula 3 3 2 3 3 3 2 2" xfId="14233" xr:uid="{00000000-0005-0000-0000-000030000000}"/>
    <cellStyle name="Vírgula 3 3 2 3 3 3 3" xfId="10153" xr:uid="{00000000-0005-0000-0000-000030000000}"/>
    <cellStyle name="Vírgula 3 3 2 3 3 4" xfId="4032" xr:uid="{00000000-0005-0000-0000-000030000000}"/>
    <cellStyle name="Vírgula 3 3 2 3 3 4 2" xfId="8113" xr:uid="{00000000-0005-0000-0000-000030000000}"/>
    <cellStyle name="Vírgula 3 3 2 3 3 4 2 2" xfId="16273" xr:uid="{00000000-0005-0000-0000-000030000000}"/>
    <cellStyle name="Vírgula 3 3 2 3 3 4 3" xfId="12193" xr:uid="{00000000-0005-0000-0000-000030000000}"/>
    <cellStyle name="Vírgula 3 3 2 3 3 5" xfId="5052" xr:uid="{00000000-0005-0000-0000-000030000000}"/>
    <cellStyle name="Vírgula 3 3 2 3 3 5 2" xfId="13213" xr:uid="{00000000-0005-0000-0000-000030000000}"/>
    <cellStyle name="Vírgula 3 3 2 3 3 6" xfId="9133" xr:uid="{00000000-0005-0000-0000-000030000000}"/>
    <cellStyle name="Vírgula 3 3 2 3 4" xfId="563" xr:uid="{00000000-0005-0000-0000-000030000000}"/>
    <cellStyle name="Vírgula 3 3 2 3 4 2" xfId="2604" xr:uid="{00000000-0005-0000-0000-000030000000}"/>
    <cellStyle name="Vírgula 3 3 2 3 4 2 2" xfId="6685" xr:uid="{00000000-0005-0000-0000-000030000000}"/>
    <cellStyle name="Vírgula 3 3 2 3 4 2 2 2" xfId="14845" xr:uid="{00000000-0005-0000-0000-000030000000}"/>
    <cellStyle name="Vírgula 3 3 2 3 4 2 3" xfId="10765" xr:uid="{00000000-0005-0000-0000-000030000000}"/>
    <cellStyle name="Vírgula 3 3 2 3 4 3" xfId="1584" xr:uid="{00000000-0005-0000-0000-000030000000}"/>
    <cellStyle name="Vírgula 3 3 2 3 4 3 2" xfId="5665" xr:uid="{00000000-0005-0000-0000-000030000000}"/>
    <cellStyle name="Vírgula 3 3 2 3 4 3 2 2" xfId="13825" xr:uid="{00000000-0005-0000-0000-000030000000}"/>
    <cellStyle name="Vírgula 3 3 2 3 4 3 3" xfId="9745" xr:uid="{00000000-0005-0000-0000-000030000000}"/>
    <cellStyle name="Vírgula 3 3 2 3 4 4" xfId="3624" xr:uid="{00000000-0005-0000-0000-000030000000}"/>
    <cellStyle name="Vírgula 3 3 2 3 4 4 2" xfId="7705" xr:uid="{00000000-0005-0000-0000-000030000000}"/>
    <cellStyle name="Vírgula 3 3 2 3 4 4 2 2" xfId="15865" xr:uid="{00000000-0005-0000-0000-000030000000}"/>
    <cellStyle name="Vírgula 3 3 2 3 4 4 3" xfId="11785" xr:uid="{00000000-0005-0000-0000-000030000000}"/>
    <cellStyle name="Vírgula 3 3 2 3 4 5" xfId="4644" xr:uid="{00000000-0005-0000-0000-000030000000}"/>
    <cellStyle name="Vírgula 3 3 2 3 4 5 2" xfId="12805" xr:uid="{00000000-0005-0000-0000-000030000000}"/>
    <cellStyle name="Vírgula 3 3 2 3 4 6" xfId="8725" xr:uid="{00000000-0005-0000-0000-000030000000}"/>
    <cellStyle name="Vírgula 3 3 2 3 5" xfId="2196" xr:uid="{00000000-0005-0000-0000-000030000000}"/>
    <cellStyle name="Vírgula 3 3 2 3 5 2" xfId="6277" xr:uid="{00000000-0005-0000-0000-000030000000}"/>
    <cellStyle name="Vírgula 3 3 2 3 5 2 2" xfId="14437" xr:uid="{00000000-0005-0000-0000-000030000000}"/>
    <cellStyle name="Vírgula 3 3 2 3 5 3" xfId="10357" xr:uid="{00000000-0005-0000-0000-000030000000}"/>
    <cellStyle name="Vírgula 3 3 2 3 6" xfId="1176" xr:uid="{00000000-0005-0000-0000-000030000000}"/>
    <cellStyle name="Vírgula 3 3 2 3 6 2" xfId="5257" xr:uid="{00000000-0005-0000-0000-000030000000}"/>
    <cellStyle name="Vírgula 3 3 2 3 6 2 2" xfId="13417" xr:uid="{00000000-0005-0000-0000-000030000000}"/>
    <cellStyle name="Vírgula 3 3 2 3 6 3" xfId="9337" xr:uid="{00000000-0005-0000-0000-000030000000}"/>
    <cellStyle name="Vírgula 3 3 2 3 7" xfId="3216" xr:uid="{00000000-0005-0000-0000-000030000000}"/>
    <cellStyle name="Vírgula 3 3 2 3 7 2" xfId="7297" xr:uid="{00000000-0005-0000-0000-000030000000}"/>
    <cellStyle name="Vírgula 3 3 2 3 7 2 2" xfId="15457" xr:uid="{00000000-0005-0000-0000-000030000000}"/>
    <cellStyle name="Vírgula 3 3 2 3 7 3" xfId="11377" xr:uid="{00000000-0005-0000-0000-000030000000}"/>
    <cellStyle name="Vírgula 3 3 2 3 8" xfId="4236" xr:uid="{00000000-0005-0000-0000-000030000000}"/>
    <cellStyle name="Vírgula 3 3 2 3 8 2" xfId="12397" xr:uid="{00000000-0005-0000-0000-000030000000}"/>
    <cellStyle name="Vírgula 3 3 2 3 9" xfId="8317" xr:uid="{00000000-0005-0000-0000-000030000000}"/>
    <cellStyle name="Vírgula 3 3 2 4" xfId="257" xr:uid="{00000000-0005-0000-0000-000030000000}"/>
    <cellStyle name="Vírgula 3 3 2 4 2" xfId="665" xr:uid="{00000000-0005-0000-0000-000030000000}"/>
    <cellStyle name="Vírgula 3 3 2 4 2 2" xfId="2706" xr:uid="{00000000-0005-0000-0000-000030000000}"/>
    <cellStyle name="Vírgula 3 3 2 4 2 2 2" xfId="6787" xr:uid="{00000000-0005-0000-0000-000030000000}"/>
    <cellStyle name="Vírgula 3 3 2 4 2 2 2 2" xfId="14947" xr:uid="{00000000-0005-0000-0000-000030000000}"/>
    <cellStyle name="Vírgula 3 3 2 4 2 2 3" xfId="10867" xr:uid="{00000000-0005-0000-0000-000030000000}"/>
    <cellStyle name="Vírgula 3 3 2 4 2 3" xfId="1686" xr:uid="{00000000-0005-0000-0000-000030000000}"/>
    <cellStyle name="Vírgula 3 3 2 4 2 3 2" xfId="5767" xr:uid="{00000000-0005-0000-0000-000030000000}"/>
    <cellStyle name="Vírgula 3 3 2 4 2 3 2 2" xfId="13927" xr:uid="{00000000-0005-0000-0000-000030000000}"/>
    <cellStyle name="Vírgula 3 3 2 4 2 3 3" xfId="9847" xr:uid="{00000000-0005-0000-0000-000030000000}"/>
    <cellStyle name="Vírgula 3 3 2 4 2 4" xfId="3726" xr:uid="{00000000-0005-0000-0000-000030000000}"/>
    <cellStyle name="Vírgula 3 3 2 4 2 4 2" xfId="7807" xr:uid="{00000000-0005-0000-0000-000030000000}"/>
    <cellStyle name="Vírgula 3 3 2 4 2 4 2 2" xfId="15967" xr:uid="{00000000-0005-0000-0000-000030000000}"/>
    <cellStyle name="Vírgula 3 3 2 4 2 4 3" xfId="11887" xr:uid="{00000000-0005-0000-0000-000030000000}"/>
    <cellStyle name="Vírgula 3 3 2 4 2 5" xfId="4746" xr:uid="{00000000-0005-0000-0000-000030000000}"/>
    <cellStyle name="Vírgula 3 3 2 4 2 5 2" xfId="12907" xr:uid="{00000000-0005-0000-0000-000030000000}"/>
    <cellStyle name="Vírgula 3 3 2 4 2 6" xfId="8827" xr:uid="{00000000-0005-0000-0000-000030000000}"/>
    <cellStyle name="Vírgula 3 3 2 4 3" xfId="2298" xr:uid="{00000000-0005-0000-0000-000030000000}"/>
    <cellStyle name="Vírgula 3 3 2 4 3 2" xfId="6379" xr:uid="{00000000-0005-0000-0000-000030000000}"/>
    <cellStyle name="Vírgula 3 3 2 4 3 2 2" xfId="14539" xr:uid="{00000000-0005-0000-0000-000030000000}"/>
    <cellStyle name="Vírgula 3 3 2 4 3 3" xfId="10459" xr:uid="{00000000-0005-0000-0000-000030000000}"/>
    <cellStyle name="Vírgula 3 3 2 4 4" xfId="1278" xr:uid="{00000000-0005-0000-0000-000030000000}"/>
    <cellStyle name="Vírgula 3 3 2 4 4 2" xfId="5359" xr:uid="{00000000-0005-0000-0000-000030000000}"/>
    <cellStyle name="Vírgula 3 3 2 4 4 2 2" xfId="13519" xr:uid="{00000000-0005-0000-0000-000030000000}"/>
    <cellStyle name="Vírgula 3 3 2 4 4 3" xfId="9439" xr:uid="{00000000-0005-0000-0000-000030000000}"/>
    <cellStyle name="Vírgula 3 3 2 4 5" xfId="3318" xr:uid="{00000000-0005-0000-0000-000030000000}"/>
    <cellStyle name="Vírgula 3 3 2 4 5 2" xfId="7399" xr:uid="{00000000-0005-0000-0000-000030000000}"/>
    <cellStyle name="Vírgula 3 3 2 4 5 2 2" xfId="15559" xr:uid="{00000000-0005-0000-0000-000030000000}"/>
    <cellStyle name="Vírgula 3 3 2 4 5 3" xfId="11479" xr:uid="{00000000-0005-0000-0000-000030000000}"/>
    <cellStyle name="Vírgula 3 3 2 4 6" xfId="4338" xr:uid="{00000000-0005-0000-0000-000030000000}"/>
    <cellStyle name="Vírgula 3 3 2 4 6 2" xfId="12499" xr:uid="{00000000-0005-0000-0000-000030000000}"/>
    <cellStyle name="Vírgula 3 3 2 4 7" xfId="8419" xr:uid="{00000000-0005-0000-0000-000030000000}"/>
    <cellStyle name="Vírgula 3 3 2 5" xfId="869" xr:uid="{00000000-0005-0000-0000-000030000000}"/>
    <cellStyle name="Vírgula 3 3 2 5 2" xfId="2910" xr:uid="{00000000-0005-0000-0000-000030000000}"/>
    <cellStyle name="Vírgula 3 3 2 5 2 2" xfId="6991" xr:uid="{00000000-0005-0000-0000-000030000000}"/>
    <cellStyle name="Vírgula 3 3 2 5 2 2 2" xfId="15151" xr:uid="{00000000-0005-0000-0000-000030000000}"/>
    <cellStyle name="Vírgula 3 3 2 5 2 3" xfId="11071" xr:uid="{00000000-0005-0000-0000-000030000000}"/>
    <cellStyle name="Vírgula 3 3 2 5 3" xfId="1890" xr:uid="{00000000-0005-0000-0000-000030000000}"/>
    <cellStyle name="Vírgula 3 3 2 5 3 2" xfId="5971" xr:uid="{00000000-0005-0000-0000-000030000000}"/>
    <cellStyle name="Vírgula 3 3 2 5 3 2 2" xfId="14131" xr:uid="{00000000-0005-0000-0000-000030000000}"/>
    <cellStyle name="Vírgula 3 3 2 5 3 3" xfId="10051" xr:uid="{00000000-0005-0000-0000-000030000000}"/>
    <cellStyle name="Vírgula 3 3 2 5 4" xfId="3930" xr:uid="{00000000-0005-0000-0000-000030000000}"/>
    <cellStyle name="Vírgula 3 3 2 5 4 2" xfId="8011" xr:uid="{00000000-0005-0000-0000-000030000000}"/>
    <cellStyle name="Vírgula 3 3 2 5 4 2 2" xfId="16171" xr:uid="{00000000-0005-0000-0000-000030000000}"/>
    <cellStyle name="Vírgula 3 3 2 5 4 3" xfId="12091" xr:uid="{00000000-0005-0000-0000-000030000000}"/>
    <cellStyle name="Vírgula 3 3 2 5 5" xfId="4950" xr:uid="{00000000-0005-0000-0000-000030000000}"/>
    <cellStyle name="Vírgula 3 3 2 5 5 2" xfId="13111" xr:uid="{00000000-0005-0000-0000-000030000000}"/>
    <cellStyle name="Vírgula 3 3 2 5 6" xfId="9031" xr:uid="{00000000-0005-0000-0000-000030000000}"/>
    <cellStyle name="Vírgula 3 3 2 6" xfId="461" xr:uid="{00000000-0005-0000-0000-000030000000}"/>
    <cellStyle name="Vírgula 3 3 2 6 2" xfId="2502" xr:uid="{00000000-0005-0000-0000-000030000000}"/>
    <cellStyle name="Vírgula 3 3 2 6 2 2" xfId="6583" xr:uid="{00000000-0005-0000-0000-000030000000}"/>
    <cellStyle name="Vírgula 3 3 2 6 2 2 2" xfId="14743" xr:uid="{00000000-0005-0000-0000-000030000000}"/>
    <cellStyle name="Vírgula 3 3 2 6 2 3" xfId="10663" xr:uid="{00000000-0005-0000-0000-000030000000}"/>
    <cellStyle name="Vírgula 3 3 2 6 3" xfId="1482" xr:uid="{00000000-0005-0000-0000-000030000000}"/>
    <cellStyle name="Vírgula 3 3 2 6 3 2" xfId="5563" xr:uid="{00000000-0005-0000-0000-000030000000}"/>
    <cellStyle name="Vírgula 3 3 2 6 3 2 2" xfId="13723" xr:uid="{00000000-0005-0000-0000-000030000000}"/>
    <cellStyle name="Vírgula 3 3 2 6 3 3" xfId="9643" xr:uid="{00000000-0005-0000-0000-000030000000}"/>
    <cellStyle name="Vírgula 3 3 2 6 4" xfId="3522" xr:uid="{00000000-0005-0000-0000-000030000000}"/>
    <cellStyle name="Vírgula 3 3 2 6 4 2" xfId="7603" xr:uid="{00000000-0005-0000-0000-000030000000}"/>
    <cellStyle name="Vírgula 3 3 2 6 4 2 2" xfId="15763" xr:uid="{00000000-0005-0000-0000-000030000000}"/>
    <cellStyle name="Vírgula 3 3 2 6 4 3" xfId="11683" xr:uid="{00000000-0005-0000-0000-000030000000}"/>
    <cellStyle name="Vírgula 3 3 2 6 5" xfId="4542" xr:uid="{00000000-0005-0000-0000-000030000000}"/>
    <cellStyle name="Vírgula 3 3 2 6 5 2" xfId="12703" xr:uid="{00000000-0005-0000-0000-000030000000}"/>
    <cellStyle name="Vírgula 3 3 2 6 6" xfId="8623" xr:uid="{00000000-0005-0000-0000-000030000000}"/>
    <cellStyle name="Vírgula 3 3 2 7" xfId="2094" xr:uid="{00000000-0005-0000-0000-000030000000}"/>
    <cellStyle name="Vírgula 3 3 2 7 2" xfId="6175" xr:uid="{00000000-0005-0000-0000-000030000000}"/>
    <cellStyle name="Vírgula 3 3 2 7 2 2" xfId="14335" xr:uid="{00000000-0005-0000-0000-000030000000}"/>
    <cellStyle name="Vírgula 3 3 2 7 3" xfId="10255" xr:uid="{00000000-0005-0000-0000-000030000000}"/>
    <cellStyle name="Vírgula 3 3 2 8" xfId="1074" xr:uid="{00000000-0005-0000-0000-000030000000}"/>
    <cellStyle name="Vírgula 3 3 2 8 2" xfId="5155" xr:uid="{00000000-0005-0000-0000-000030000000}"/>
    <cellStyle name="Vírgula 3 3 2 8 2 2" xfId="13315" xr:uid="{00000000-0005-0000-0000-000030000000}"/>
    <cellStyle name="Vírgula 3 3 2 8 3" xfId="9235" xr:uid="{00000000-0005-0000-0000-000030000000}"/>
    <cellStyle name="Vírgula 3 3 2 9" xfId="3114" xr:uid="{00000000-0005-0000-0000-000030000000}"/>
    <cellStyle name="Vírgula 3 3 2 9 2" xfId="7195" xr:uid="{00000000-0005-0000-0000-000030000000}"/>
    <cellStyle name="Vírgula 3 3 2 9 2 2" xfId="15355" xr:uid="{00000000-0005-0000-0000-000030000000}"/>
    <cellStyle name="Vírgula 3 3 2 9 3" xfId="11275" xr:uid="{00000000-0005-0000-0000-000030000000}"/>
    <cellStyle name="Vírgula 3 3 3" xfId="79" xr:uid="{00000000-0005-0000-0000-00002F000000}"/>
    <cellStyle name="Vírgula 3 3 3 10" xfId="8241" xr:uid="{00000000-0005-0000-0000-00002F000000}"/>
    <cellStyle name="Vírgula 3 3 3 2" xfId="181" xr:uid="{00000000-0005-0000-0000-00002F000000}"/>
    <cellStyle name="Vírgula 3 3 3 2 2" xfId="385" xr:uid="{00000000-0005-0000-0000-00002F000000}"/>
    <cellStyle name="Vírgula 3 3 3 2 2 2" xfId="793" xr:uid="{00000000-0005-0000-0000-00002F000000}"/>
    <cellStyle name="Vírgula 3 3 3 2 2 2 2" xfId="2834" xr:uid="{00000000-0005-0000-0000-00002F000000}"/>
    <cellStyle name="Vírgula 3 3 3 2 2 2 2 2" xfId="6915" xr:uid="{00000000-0005-0000-0000-00002F000000}"/>
    <cellStyle name="Vírgula 3 3 3 2 2 2 2 2 2" xfId="15075" xr:uid="{00000000-0005-0000-0000-00002F000000}"/>
    <cellStyle name="Vírgula 3 3 3 2 2 2 2 3" xfId="10995" xr:uid="{00000000-0005-0000-0000-00002F000000}"/>
    <cellStyle name="Vírgula 3 3 3 2 2 2 3" xfId="1814" xr:uid="{00000000-0005-0000-0000-00002F000000}"/>
    <cellStyle name="Vírgula 3 3 3 2 2 2 3 2" xfId="5895" xr:uid="{00000000-0005-0000-0000-00002F000000}"/>
    <cellStyle name="Vírgula 3 3 3 2 2 2 3 2 2" xfId="14055" xr:uid="{00000000-0005-0000-0000-00002F000000}"/>
    <cellStyle name="Vírgula 3 3 3 2 2 2 3 3" xfId="9975" xr:uid="{00000000-0005-0000-0000-00002F000000}"/>
    <cellStyle name="Vírgula 3 3 3 2 2 2 4" xfId="3854" xr:uid="{00000000-0005-0000-0000-00002F000000}"/>
    <cellStyle name="Vírgula 3 3 3 2 2 2 4 2" xfId="7935" xr:uid="{00000000-0005-0000-0000-00002F000000}"/>
    <cellStyle name="Vírgula 3 3 3 2 2 2 4 2 2" xfId="16095" xr:uid="{00000000-0005-0000-0000-00002F000000}"/>
    <cellStyle name="Vírgula 3 3 3 2 2 2 4 3" xfId="12015" xr:uid="{00000000-0005-0000-0000-00002F000000}"/>
    <cellStyle name="Vírgula 3 3 3 2 2 2 5" xfId="4874" xr:uid="{00000000-0005-0000-0000-00002F000000}"/>
    <cellStyle name="Vírgula 3 3 3 2 2 2 5 2" xfId="13035" xr:uid="{00000000-0005-0000-0000-00002F000000}"/>
    <cellStyle name="Vírgula 3 3 3 2 2 2 6" xfId="8955" xr:uid="{00000000-0005-0000-0000-00002F000000}"/>
    <cellStyle name="Vírgula 3 3 3 2 2 3" xfId="2426" xr:uid="{00000000-0005-0000-0000-00002F000000}"/>
    <cellStyle name="Vírgula 3 3 3 2 2 3 2" xfId="6507" xr:uid="{00000000-0005-0000-0000-00002F000000}"/>
    <cellStyle name="Vírgula 3 3 3 2 2 3 2 2" xfId="14667" xr:uid="{00000000-0005-0000-0000-00002F000000}"/>
    <cellStyle name="Vírgula 3 3 3 2 2 3 3" xfId="10587" xr:uid="{00000000-0005-0000-0000-00002F000000}"/>
    <cellStyle name="Vírgula 3 3 3 2 2 4" xfId="1406" xr:uid="{00000000-0005-0000-0000-00002F000000}"/>
    <cellStyle name="Vírgula 3 3 3 2 2 4 2" xfId="5487" xr:uid="{00000000-0005-0000-0000-00002F000000}"/>
    <cellStyle name="Vírgula 3 3 3 2 2 4 2 2" xfId="13647" xr:uid="{00000000-0005-0000-0000-00002F000000}"/>
    <cellStyle name="Vírgula 3 3 3 2 2 4 3" xfId="9567" xr:uid="{00000000-0005-0000-0000-00002F000000}"/>
    <cellStyle name="Vírgula 3 3 3 2 2 5" xfId="3446" xr:uid="{00000000-0005-0000-0000-00002F000000}"/>
    <cellStyle name="Vírgula 3 3 3 2 2 5 2" xfId="7527" xr:uid="{00000000-0005-0000-0000-00002F000000}"/>
    <cellStyle name="Vírgula 3 3 3 2 2 5 2 2" xfId="15687" xr:uid="{00000000-0005-0000-0000-00002F000000}"/>
    <cellStyle name="Vírgula 3 3 3 2 2 5 3" xfId="11607" xr:uid="{00000000-0005-0000-0000-00002F000000}"/>
    <cellStyle name="Vírgula 3 3 3 2 2 6" xfId="4466" xr:uid="{00000000-0005-0000-0000-00002F000000}"/>
    <cellStyle name="Vírgula 3 3 3 2 2 6 2" xfId="12627" xr:uid="{00000000-0005-0000-0000-00002F000000}"/>
    <cellStyle name="Vírgula 3 3 3 2 2 7" xfId="8547" xr:uid="{00000000-0005-0000-0000-00002F000000}"/>
    <cellStyle name="Vírgula 3 3 3 2 3" xfId="997" xr:uid="{00000000-0005-0000-0000-00002F000000}"/>
    <cellStyle name="Vírgula 3 3 3 2 3 2" xfId="3038" xr:uid="{00000000-0005-0000-0000-00002F000000}"/>
    <cellStyle name="Vírgula 3 3 3 2 3 2 2" xfId="7119" xr:uid="{00000000-0005-0000-0000-00002F000000}"/>
    <cellStyle name="Vírgula 3 3 3 2 3 2 2 2" xfId="15279" xr:uid="{00000000-0005-0000-0000-00002F000000}"/>
    <cellStyle name="Vírgula 3 3 3 2 3 2 3" xfId="11199" xr:uid="{00000000-0005-0000-0000-00002F000000}"/>
    <cellStyle name="Vírgula 3 3 3 2 3 3" xfId="2018" xr:uid="{00000000-0005-0000-0000-00002F000000}"/>
    <cellStyle name="Vírgula 3 3 3 2 3 3 2" xfId="6099" xr:uid="{00000000-0005-0000-0000-00002F000000}"/>
    <cellStyle name="Vírgula 3 3 3 2 3 3 2 2" xfId="14259" xr:uid="{00000000-0005-0000-0000-00002F000000}"/>
    <cellStyle name="Vírgula 3 3 3 2 3 3 3" xfId="10179" xr:uid="{00000000-0005-0000-0000-00002F000000}"/>
    <cellStyle name="Vírgula 3 3 3 2 3 4" xfId="4058" xr:uid="{00000000-0005-0000-0000-00002F000000}"/>
    <cellStyle name="Vírgula 3 3 3 2 3 4 2" xfId="8139" xr:uid="{00000000-0005-0000-0000-00002F000000}"/>
    <cellStyle name="Vírgula 3 3 3 2 3 4 2 2" xfId="16299" xr:uid="{00000000-0005-0000-0000-00002F000000}"/>
    <cellStyle name="Vírgula 3 3 3 2 3 4 3" xfId="12219" xr:uid="{00000000-0005-0000-0000-00002F000000}"/>
    <cellStyle name="Vírgula 3 3 3 2 3 5" xfId="5078" xr:uid="{00000000-0005-0000-0000-00002F000000}"/>
    <cellStyle name="Vírgula 3 3 3 2 3 5 2" xfId="13239" xr:uid="{00000000-0005-0000-0000-00002F000000}"/>
    <cellStyle name="Vírgula 3 3 3 2 3 6" xfId="9159" xr:uid="{00000000-0005-0000-0000-00002F000000}"/>
    <cellStyle name="Vírgula 3 3 3 2 4" xfId="589" xr:uid="{00000000-0005-0000-0000-00002F000000}"/>
    <cellStyle name="Vírgula 3 3 3 2 4 2" xfId="2630" xr:uid="{00000000-0005-0000-0000-00002F000000}"/>
    <cellStyle name="Vírgula 3 3 3 2 4 2 2" xfId="6711" xr:uid="{00000000-0005-0000-0000-00002F000000}"/>
    <cellStyle name="Vírgula 3 3 3 2 4 2 2 2" xfId="14871" xr:uid="{00000000-0005-0000-0000-00002F000000}"/>
    <cellStyle name="Vírgula 3 3 3 2 4 2 3" xfId="10791" xr:uid="{00000000-0005-0000-0000-00002F000000}"/>
    <cellStyle name="Vírgula 3 3 3 2 4 3" xfId="1610" xr:uid="{00000000-0005-0000-0000-00002F000000}"/>
    <cellStyle name="Vírgula 3 3 3 2 4 3 2" xfId="5691" xr:uid="{00000000-0005-0000-0000-00002F000000}"/>
    <cellStyle name="Vírgula 3 3 3 2 4 3 2 2" xfId="13851" xr:uid="{00000000-0005-0000-0000-00002F000000}"/>
    <cellStyle name="Vírgula 3 3 3 2 4 3 3" xfId="9771" xr:uid="{00000000-0005-0000-0000-00002F000000}"/>
    <cellStyle name="Vírgula 3 3 3 2 4 4" xfId="3650" xr:uid="{00000000-0005-0000-0000-00002F000000}"/>
    <cellStyle name="Vírgula 3 3 3 2 4 4 2" xfId="7731" xr:uid="{00000000-0005-0000-0000-00002F000000}"/>
    <cellStyle name="Vírgula 3 3 3 2 4 4 2 2" xfId="15891" xr:uid="{00000000-0005-0000-0000-00002F000000}"/>
    <cellStyle name="Vírgula 3 3 3 2 4 4 3" xfId="11811" xr:uid="{00000000-0005-0000-0000-00002F000000}"/>
    <cellStyle name="Vírgula 3 3 3 2 4 5" xfId="4670" xr:uid="{00000000-0005-0000-0000-00002F000000}"/>
    <cellStyle name="Vírgula 3 3 3 2 4 5 2" xfId="12831" xr:uid="{00000000-0005-0000-0000-00002F000000}"/>
    <cellStyle name="Vírgula 3 3 3 2 4 6" xfId="8751" xr:uid="{00000000-0005-0000-0000-00002F000000}"/>
    <cellStyle name="Vírgula 3 3 3 2 5" xfId="2222" xr:uid="{00000000-0005-0000-0000-00002F000000}"/>
    <cellStyle name="Vírgula 3 3 3 2 5 2" xfId="6303" xr:uid="{00000000-0005-0000-0000-00002F000000}"/>
    <cellStyle name="Vírgula 3 3 3 2 5 2 2" xfId="14463" xr:uid="{00000000-0005-0000-0000-00002F000000}"/>
    <cellStyle name="Vírgula 3 3 3 2 5 3" xfId="10383" xr:uid="{00000000-0005-0000-0000-00002F000000}"/>
    <cellStyle name="Vírgula 3 3 3 2 6" xfId="1202" xr:uid="{00000000-0005-0000-0000-00002F000000}"/>
    <cellStyle name="Vírgula 3 3 3 2 6 2" xfId="5283" xr:uid="{00000000-0005-0000-0000-00002F000000}"/>
    <cellStyle name="Vírgula 3 3 3 2 6 2 2" xfId="13443" xr:uid="{00000000-0005-0000-0000-00002F000000}"/>
    <cellStyle name="Vírgula 3 3 3 2 6 3" xfId="9363" xr:uid="{00000000-0005-0000-0000-00002F000000}"/>
    <cellStyle name="Vírgula 3 3 3 2 7" xfId="3242" xr:uid="{00000000-0005-0000-0000-00002F000000}"/>
    <cellStyle name="Vírgula 3 3 3 2 7 2" xfId="7323" xr:uid="{00000000-0005-0000-0000-00002F000000}"/>
    <cellStyle name="Vírgula 3 3 3 2 7 2 2" xfId="15483" xr:uid="{00000000-0005-0000-0000-00002F000000}"/>
    <cellStyle name="Vírgula 3 3 3 2 7 3" xfId="11403" xr:uid="{00000000-0005-0000-0000-00002F000000}"/>
    <cellStyle name="Vírgula 3 3 3 2 8" xfId="4262" xr:uid="{00000000-0005-0000-0000-00002F000000}"/>
    <cellStyle name="Vírgula 3 3 3 2 8 2" xfId="12423" xr:uid="{00000000-0005-0000-0000-00002F000000}"/>
    <cellStyle name="Vírgula 3 3 3 2 9" xfId="8343" xr:uid="{00000000-0005-0000-0000-00002F000000}"/>
    <cellStyle name="Vírgula 3 3 3 3" xfId="283" xr:uid="{00000000-0005-0000-0000-00002F000000}"/>
    <cellStyle name="Vírgula 3 3 3 3 2" xfId="691" xr:uid="{00000000-0005-0000-0000-00002F000000}"/>
    <cellStyle name="Vírgula 3 3 3 3 2 2" xfId="2732" xr:uid="{00000000-0005-0000-0000-00002F000000}"/>
    <cellStyle name="Vírgula 3 3 3 3 2 2 2" xfId="6813" xr:uid="{00000000-0005-0000-0000-00002F000000}"/>
    <cellStyle name="Vírgula 3 3 3 3 2 2 2 2" xfId="14973" xr:uid="{00000000-0005-0000-0000-00002F000000}"/>
    <cellStyle name="Vírgula 3 3 3 3 2 2 3" xfId="10893" xr:uid="{00000000-0005-0000-0000-00002F000000}"/>
    <cellStyle name="Vírgula 3 3 3 3 2 3" xfId="1712" xr:uid="{00000000-0005-0000-0000-00002F000000}"/>
    <cellStyle name="Vírgula 3 3 3 3 2 3 2" xfId="5793" xr:uid="{00000000-0005-0000-0000-00002F000000}"/>
    <cellStyle name="Vírgula 3 3 3 3 2 3 2 2" xfId="13953" xr:uid="{00000000-0005-0000-0000-00002F000000}"/>
    <cellStyle name="Vírgula 3 3 3 3 2 3 3" xfId="9873" xr:uid="{00000000-0005-0000-0000-00002F000000}"/>
    <cellStyle name="Vírgula 3 3 3 3 2 4" xfId="3752" xr:uid="{00000000-0005-0000-0000-00002F000000}"/>
    <cellStyle name="Vírgula 3 3 3 3 2 4 2" xfId="7833" xr:uid="{00000000-0005-0000-0000-00002F000000}"/>
    <cellStyle name="Vírgula 3 3 3 3 2 4 2 2" xfId="15993" xr:uid="{00000000-0005-0000-0000-00002F000000}"/>
    <cellStyle name="Vírgula 3 3 3 3 2 4 3" xfId="11913" xr:uid="{00000000-0005-0000-0000-00002F000000}"/>
    <cellStyle name="Vírgula 3 3 3 3 2 5" xfId="4772" xr:uid="{00000000-0005-0000-0000-00002F000000}"/>
    <cellStyle name="Vírgula 3 3 3 3 2 5 2" xfId="12933" xr:uid="{00000000-0005-0000-0000-00002F000000}"/>
    <cellStyle name="Vírgula 3 3 3 3 2 6" xfId="8853" xr:uid="{00000000-0005-0000-0000-00002F000000}"/>
    <cellStyle name="Vírgula 3 3 3 3 3" xfId="2324" xr:uid="{00000000-0005-0000-0000-00002F000000}"/>
    <cellStyle name="Vírgula 3 3 3 3 3 2" xfId="6405" xr:uid="{00000000-0005-0000-0000-00002F000000}"/>
    <cellStyle name="Vírgula 3 3 3 3 3 2 2" xfId="14565" xr:uid="{00000000-0005-0000-0000-00002F000000}"/>
    <cellStyle name="Vírgula 3 3 3 3 3 3" xfId="10485" xr:uid="{00000000-0005-0000-0000-00002F000000}"/>
    <cellStyle name="Vírgula 3 3 3 3 4" xfId="1304" xr:uid="{00000000-0005-0000-0000-00002F000000}"/>
    <cellStyle name="Vírgula 3 3 3 3 4 2" xfId="5385" xr:uid="{00000000-0005-0000-0000-00002F000000}"/>
    <cellStyle name="Vírgula 3 3 3 3 4 2 2" xfId="13545" xr:uid="{00000000-0005-0000-0000-00002F000000}"/>
    <cellStyle name="Vírgula 3 3 3 3 4 3" xfId="9465" xr:uid="{00000000-0005-0000-0000-00002F000000}"/>
    <cellStyle name="Vírgula 3 3 3 3 5" xfId="3344" xr:uid="{00000000-0005-0000-0000-00002F000000}"/>
    <cellStyle name="Vírgula 3 3 3 3 5 2" xfId="7425" xr:uid="{00000000-0005-0000-0000-00002F000000}"/>
    <cellStyle name="Vírgula 3 3 3 3 5 2 2" xfId="15585" xr:uid="{00000000-0005-0000-0000-00002F000000}"/>
    <cellStyle name="Vírgula 3 3 3 3 5 3" xfId="11505" xr:uid="{00000000-0005-0000-0000-00002F000000}"/>
    <cellStyle name="Vírgula 3 3 3 3 6" xfId="4364" xr:uid="{00000000-0005-0000-0000-00002F000000}"/>
    <cellStyle name="Vírgula 3 3 3 3 6 2" xfId="12525" xr:uid="{00000000-0005-0000-0000-00002F000000}"/>
    <cellStyle name="Vírgula 3 3 3 3 7" xfId="8445" xr:uid="{00000000-0005-0000-0000-00002F000000}"/>
    <cellStyle name="Vírgula 3 3 3 4" xfId="895" xr:uid="{00000000-0005-0000-0000-00002F000000}"/>
    <cellStyle name="Vírgula 3 3 3 4 2" xfId="2936" xr:uid="{00000000-0005-0000-0000-00002F000000}"/>
    <cellStyle name="Vírgula 3 3 3 4 2 2" xfId="7017" xr:uid="{00000000-0005-0000-0000-00002F000000}"/>
    <cellStyle name="Vírgula 3 3 3 4 2 2 2" xfId="15177" xr:uid="{00000000-0005-0000-0000-00002F000000}"/>
    <cellStyle name="Vírgula 3 3 3 4 2 3" xfId="11097" xr:uid="{00000000-0005-0000-0000-00002F000000}"/>
    <cellStyle name="Vírgula 3 3 3 4 3" xfId="1916" xr:uid="{00000000-0005-0000-0000-00002F000000}"/>
    <cellStyle name="Vírgula 3 3 3 4 3 2" xfId="5997" xr:uid="{00000000-0005-0000-0000-00002F000000}"/>
    <cellStyle name="Vírgula 3 3 3 4 3 2 2" xfId="14157" xr:uid="{00000000-0005-0000-0000-00002F000000}"/>
    <cellStyle name="Vírgula 3 3 3 4 3 3" xfId="10077" xr:uid="{00000000-0005-0000-0000-00002F000000}"/>
    <cellStyle name="Vírgula 3 3 3 4 4" xfId="3956" xr:uid="{00000000-0005-0000-0000-00002F000000}"/>
    <cellStyle name="Vírgula 3 3 3 4 4 2" xfId="8037" xr:uid="{00000000-0005-0000-0000-00002F000000}"/>
    <cellStyle name="Vírgula 3 3 3 4 4 2 2" xfId="16197" xr:uid="{00000000-0005-0000-0000-00002F000000}"/>
    <cellStyle name="Vírgula 3 3 3 4 4 3" xfId="12117" xr:uid="{00000000-0005-0000-0000-00002F000000}"/>
    <cellStyle name="Vírgula 3 3 3 4 5" xfId="4976" xr:uid="{00000000-0005-0000-0000-00002F000000}"/>
    <cellStyle name="Vírgula 3 3 3 4 5 2" xfId="13137" xr:uid="{00000000-0005-0000-0000-00002F000000}"/>
    <cellStyle name="Vírgula 3 3 3 4 6" xfId="9057" xr:uid="{00000000-0005-0000-0000-00002F000000}"/>
    <cellStyle name="Vírgula 3 3 3 5" xfId="487" xr:uid="{00000000-0005-0000-0000-00002F000000}"/>
    <cellStyle name="Vírgula 3 3 3 5 2" xfId="2528" xr:uid="{00000000-0005-0000-0000-00002F000000}"/>
    <cellStyle name="Vírgula 3 3 3 5 2 2" xfId="6609" xr:uid="{00000000-0005-0000-0000-00002F000000}"/>
    <cellStyle name="Vírgula 3 3 3 5 2 2 2" xfId="14769" xr:uid="{00000000-0005-0000-0000-00002F000000}"/>
    <cellStyle name="Vírgula 3 3 3 5 2 3" xfId="10689" xr:uid="{00000000-0005-0000-0000-00002F000000}"/>
    <cellStyle name="Vírgula 3 3 3 5 3" xfId="1508" xr:uid="{00000000-0005-0000-0000-00002F000000}"/>
    <cellStyle name="Vírgula 3 3 3 5 3 2" xfId="5589" xr:uid="{00000000-0005-0000-0000-00002F000000}"/>
    <cellStyle name="Vírgula 3 3 3 5 3 2 2" xfId="13749" xr:uid="{00000000-0005-0000-0000-00002F000000}"/>
    <cellStyle name="Vírgula 3 3 3 5 3 3" xfId="9669" xr:uid="{00000000-0005-0000-0000-00002F000000}"/>
    <cellStyle name="Vírgula 3 3 3 5 4" xfId="3548" xr:uid="{00000000-0005-0000-0000-00002F000000}"/>
    <cellStyle name="Vírgula 3 3 3 5 4 2" xfId="7629" xr:uid="{00000000-0005-0000-0000-00002F000000}"/>
    <cellStyle name="Vírgula 3 3 3 5 4 2 2" xfId="15789" xr:uid="{00000000-0005-0000-0000-00002F000000}"/>
    <cellStyle name="Vírgula 3 3 3 5 4 3" xfId="11709" xr:uid="{00000000-0005-0000-0000-00002F000000}"/>
    <cellStyle name="Vírgula 3 3 3 5 5" xfId="4568" xr:uid="{00000000-0005-0000-0000-00002F000000}"/>
    <cellStyle name="Vírgula 3 3 3 5 5 2" xfId="12729" xr:uid="{00000000-0005-0000-0000-00002F000000}"/>
    <cellStyle name="Vírgula 3 3 3 5 6" xfId="8649" xr:uid="{00000000-0005-0000-0000-00002F000000}"/>
    <cellStyle name="Vírgula 3 3 3 6" xfId="2120" xr:uid="{00000000-0005-0000-0000-00002F000000}"/>
    <cellStyle name="Vírgula 3 3 3 6 2" xfId="6201" xr:uid="{00000000-0005-0000-0000-00002F000000}"/>
    <cellStyle name="Vírgula 3 3 3 6 2 2" xfId="14361" xr:uid="{00000000-0005-0000-0000-00002F000000}"/>
    <cellStyle name="Vírgula 3 3 3 6 3" xfId="10281" xr:uid="{00000000-0005-0000-0000-00002F000000}"/>
    <cellStyle name="Vírgula 3 3 3 7" xfId="1100" xr:uid="{00000000-0005-0000-0000-00002F000000}"/>
    <cellStyle name="Vírgula 3 3 3 7 2" xfId="5181" xr:uid="{00000000-0005-0000-0000-00002F000000}"/>
    <cellStyle name="Vírgula 3 3 3 7 2 2" xfId="13341" xr:uid="{00000000-0005-0000-0000-00002F000000}"/>
    <cellStyle name="Vírgula 3 3 3 7 3" xfId="9261" xr:uid="{00000000-0005-0000-0000-00002F000000}"/>
    <cellStyle name="Vírgula 3 3 3 8" xfId="3140" xr:uid="{00000000-0005-0000-0000-00002F000000}"/>
    <cellStyle name="Vírgula 3 3 3 8 2" xfId="7221" xr:uid="{00000000-0005-0000-0000-00002F000000}"/>
    <cellStyle name="Vírgula 3 3 3 8 2 2" xfId="15381" xr:uid="{00000000-0005-0000-0000-00002F000000}"/>
    <cellStyle name="Vírgula 3 3 3 8 3" xfId="11301" xr:uid="{00000000-0005-0000-0000-00002F000000}"/>
    <cellStyle name="Vírgula 3 3 3 9" xfId="4160" xr:uid="{00000000-0005-0000-0000-00002F000000}"/>
    <cellStyle name="Vírgula 3 3 3 9 2" xfId="12321" xr:uid="{00000000-0005-0000-0000-00002F000000}"/>
    <cellStyle name="Vírgula 3 3 4" xfId="130" xr:uid="{00000000-0005-0000-0000-00002F000000}"/>
    <cellStyle name="Vírgula 3 3 4 2" xfId="334" xr:uid="{00000000-0005-0000-0000-00002F000000}"/>
    <cellStyle name="Vírgula 3 3 4 2 2" xfId="742" xr:uid="{00000000-0005-0000-0000-00002F000000}"/>
    <cellStyle name="Vírgula 3 3 4 2 2 2" xfId="2783" xr:uid="{00000000-0005-0000-0000-00002F000000}"/>
    <cellStyle name="Vírgula 3 3 4 2 2 2 2" xfId="6864" xr:uid="{00000000-0005-0000-0000-00002F000000}"/>
    <cellStyle name="Vírgula 3 3 4 2 2 2 2 2" xfId="15024" xr:uid="{00000000-0005-0000-0000-00002F000000}"/>
    <cellStyle name="Vírgula 3 3 4 2 2 2 3" xfId="10944" xr:uid="{00000000-0005-0000-0000-00002F000000}"/>
    <cellStyle name="Vírgula 3 3 4 2 2 3" xfId="1763" xr:uid="{00000000-0005-0000-0000-00002F000000}"/>
    <cellStyle name="Vírgula 3 3 4 2 2 3 2" xfId="5844" xr:uid="{00000000-0005-0000-0000-00002F000000}"/>
    <cellStyle name="Vírgula 3 3 4 2 2 3 2 2" xfId="14004" xr:uid="{00000000-0005-0000-0000-00002F000000}"/>
    <cellStyle name="Vírgula 3 3 4 2 2 3 3" xfId="9924" xr:uid="{00000000-0005-0000-0000-00002F000000}"/>
    <cellStyle name="Vírgula 3 3 4 2 2 4" xfId="3803" xr:uid="{00000000-0005-0000-0000-00002F000000}"/>
    <cellStyle name="Vírgula 3 3 4 2 2 4 2" xfId="7884" xr:uid="{00000000-0005-0000-0000-00002F000000}"/>
    <cellStyle name="Vírgula 3 3 4 2 2 4 2 2" xfId="16044" xr:uid="{00000000-0005-0000-0000-00002F000000}"/>
    <cellStyle name="Vírgula 3 3 4 2 2 4 3" xfId="11964" xr:uid="{00000000-0005-0000-0000-00002F000000}"/>
    <cellStyle name="Vírgula 3 3 4 2 2 5" xfId="4823" xr:uid="{00000000-0005-0000-0000-00002F000000}"/>
    <cellStyle name="Vírgula 3 3 4 2 2 5 2" xfId="12984" xr:uid="{00000000-0005-0000-0000-00002F000000}"/>
    <cellStyle name="Vírgula 3 3 4 2 2 6" xfId="8904" xr:uid="{00000000-0005-0000-0000-00002F000000}"/>
    <cellStyle name="Vírgula 3 3 4 2 3" xfId="2375" xr:uid="{00000000-0005-0000-0000-00002F000000}"/>
    <cellStyle name="Vírgula 3 3 4 2 3 2" xfId="6456" xr:uid="{00000000-0005-0000-0000-00002F000000}"/>
    <cellStyle name="Vírgula 3 3 4 2 3 2 2" xfId="14616" xr:uid="{00000000-0005-0000-0000-00002F000000}"/>
    <cellStyle name="Vírgula 3 3 4 2 3 3" xfId="10536" xr:uid="{00000000-0005-0000-0000-00002F000000}"/>
    <cellStyle name="Vírgula 3 3 4 2 4" xfId="1355" xr:uid="{00000000-0005-0000-0000-00002F000000}"/>
    <cellStyle name="Vírgula 3 3 4 2 4 2" xfId="5436" xr:uid="{00000000-0005-0000-0000-00002F000000}"/>
    <cellStyle name="Vírgula 3 3 4 2 4 2 2" xfId="13596" xr:uid="{00000000-0005-0000-0000-00002F000000}"/>
    <cellStyle name="Vírgula 3 3 4 2 4 3" xfId="9516" xr:uid="{00000000-0005-0000-0000-00002F000000}"/>
    <cellStyle name="Vírgula 3 3 4 2 5" xfId="3395" xr:uid="{00000000-0005-0000-0000-00002F000000}"/>
    <cellStyle name="Vírgula 3 3 4 2 5 2" xfId="7476" xr:uid="{00000000-0005-0000-0000-00002F000000}"/>
    <cellStyle name="Vírgula 3 3 4 2 5 2 2" xfId="15636" xr:uid="{00000000-0005-0000-0000-00002F000000}"/>
    <cellStyle name="Vírgula 3 3 4 2 5 3" xfId="11556" xr:uid="{00000000-0005-0000-0000-00002F000000}"/>
    <cellStyle name="Vírgula 3 3 4 2 6" xfId="4415" xr:uid="{00000000-0005-0000-0000-00002F000000}"/>
    <cellStyle name="Vírgula 3 3 4 2 6 2" xfId="12576" xr:uid="{00000000-0005-0000-0000-00002F000000}"/>
    <cellStyle name="Vírgula 3 3 4 2 7" xfId="8496" xr:uid="{00000000-0005-0000-0000-00002F000000}"/>
    <cellStyle name="Vírgula 3 3 4 3" xfId="946" xr:uid="{00000000-0005-0000-0000-00002F000000}"/>
    <cellStyle name="Vírgula 3 3 4 3 2" xfId="2987" xr:uid="{00000000-0005-0000-0000-00002F000000}"/>
    <cellStyle name="Vírgula 3 3 4 3 2 2" xfId="7068" xr:uid="{00000000-0005-0000-0000-00002F000000}"/>
    <cellStyle name="Vírgula 3 3 4 3 2 2 2" xfId="15228" xr:uid="{00000000-0005-0000-0000-00002F000000}"/>
    <cellStyle name="Vírgula 3 3 4 3 2 3" xfId="11148" xr:uid="{00000000-0005-0000-0000-00002F000000}"/>
    <cellStyle name="Vírgula 3 3 4 3 3" xfId="1967" xr:uid="{00000000-0005-0000-0000-00002F000000}"/>
    <cellStyle name="Vírgula 3 3 4 3 3 2" xfId="6048" xr:uid="{00000000-0005-0000-0000-00002F000000}"/>
    <cellStyle name="Vírgula 3 3 4 3 3 2 2" xfId="14208" xr:uid="{00000000-0005-0000-0000-00002F000000}"/>
    <cellStyle name="Vírgula 3 3 4 3 3 3" xfId="10128" xr:uid="{00000000-0005-0000-0000-00002F000000}"/>
    <cellStyle name="Vírgula 3 3 4 3 4" xfId="4007" xr:uid="{00000000-0005-0000-0000-00002F000000}"/>
    <cellStyle name="Vírgula 3 3 4 3 4 2" xfId="8088" xr:uid="{00000000-0005-0000-0000-00002F000000}"/>
    <cellStyle name="Vírgula 3 3 4 3 4 2 2" xfId="16248" xr:uid="{00000000-0005-0000-0000-00002F000000}"/>
    <cellStyle name="Vírgula 3 3 4 3 4 3" xfId="12168" xr:uid="{00000000-0005-0000-0000-00002F000000}"/>
    <cellStyle name="Vírgula 3 3 4 3 5" xfId="5027" xr:uid="{00000000-0005-0000-0000-00002F000000}"/>
    <cellStyle name="Vírgula 3 3 4 3 5 2" xfId="13188" xr:uid="{00000000-0005-0000-0000-00002F000000}"/>
    <cellStyle name="Vírgula 3 3 4 3 6" xfId="9108" xr:uid="{00000000-0005-0000-0000-00002F000000}"/>
    <cellStyle name="Vírgula 3 3 4 4" xfId="538" xr:uid="{00000000-0005-0000-0000-00002F000000}"/>
    <cellStyle name="Vírgula 3 3 4 4 2" xfId="2579" xr:uid="{00000000-0005-0000-0000-00002F000000}"/>
    <cellStyle name="Vírgula 3 3 4 4 2 2" xfId="6660" xr:uid="{00000000-0005-0000-0000-00002F000000}"/>
    <cellStyle name="Vírgula 3 3 4 4 2 2 2" xfId="14820" xr:uid="{00000000-0005-0000-0000-00002F000000}"/>
    <cellStyle name="Vírgula 3 3 4 4 2 3" xfId="10740" xr:uid="{00000000-0005-0000-0000-00002F000000}"/>
    <cellStyle name="Vírgula 3 3 4 4 3" xfId="1559" xr:uid="{00000000-0005-0000-0000-00002F000000}"/>
    <cellStyle name="Vírgula 3 3 4 4 3 2" xfId="5640" xr:uid="{00000000-0005-0000-0000-00002F000000}"/>
    <cellStyle name="Vírgula 3 3 4 4 3 2 2" xfId="13800" xr:uid="{00000000-0005-0000-0000-00002F000000}"/>
    <cellStyle name="Vírgula 3 3 4 4 3 3" xfId="9720" xr:uid="{00000000-0005-0000-0000-00002F000000}"/>
    <cellStyle name="Vírgula 3 3 4 4 4" xfId="3599" xr:uid="{00000000-0005-0000-0000-00002F000000}"/>
    <cellStyle name="Vírgula 3 3 4 4 4 2" xfId="7680" xr:uid="{00000000-0005-0000-0000-00002F000000}"/>
    <cellStyle name="Vírgula 3 3 4 4 4 2 2" xfId="15840" xr:uid="{00000000-0005-0000-0000-00002F000000}"/>
    <cellStyle name="Vírgula 3 3 4 4 4 3" xfId="11760" xr:uid="{00000000-0005-0000-0000-00002F000000}"/>
    <cellStyle name="Vírgula 3 3 4 4 5" xfId="4619" xr:uid="{00000000-0005-0000-0000-00002F000000}"/>
    <cellStyle name="Vírgula 3 3 4 4 5 2" xfId="12780" xr:uid="{00000000-0005-0000-0000-00002F000000}"/>
    <cellStyle name="Vírgula 3 3 4 4 6" xfId="8700" xr:uid="{00000000-0005-0000-0000-00002F000000}"/>
    <cellStyle name="Vírgula 3 3 4 5" xfId="2171" xr:uid="{00000000-0005-0000-0000-00002F000000}"/>
    <cellStyle name="Vírgula 3 3 4 5 2" xfId="6252" xr:uid="{00000000-0005-0000-0000-00002F000000}"/>
    <cellStyle name="Vírgula 3 3 4 5 2 2" xfId="14412" xr:uid="{00000000-0005-0000-0000-00002F000000}"/>
    <cellStyle name="Vírgula 3 3 4 5 3" xfId="10332" xr:uid="{00000000-0005-0000-0000-00002F000000}"/>
    <cellStyle name="Vírgula 3 3 4 6" xfId="1151" xr:uid="{00000000-0005-0000-0000-00002F000000}"/>
    <cellStyle name="Vírgula 3 3 4 6 2" xfId="5232" xr:uid="{00000000-0005-0000-0000-00002F000000}"/>
    <cellStyle name="Vírgula 3 3 4 6 2 2" xfId="13392" xr:uid="{00000000-0005-0000-0000-00002F000000}"/>
    <cellStyle name="Vírgula 3 3 4 6 3" xfId="9312" xr:uid="{00000000-0005-0000-0000-00002F000000}"/>
    <cellStyle name="Vírgula 3 3 4 7" xfId="3191" xr:uid="{00000000-0005-0000-0000-00002F000000}"/>
    <cellStyle name="Vírgula 3 3 4 7 2" xfId="7272" xr:uid="{00000000-0005-0000-0000-00002F000000}"/>
    <cellStyle name="Vírgula 3 3 4 7 2 2" xfId="15432" xr:uid="{00000000-0005-0000-0000-00002F000000}"/>
    <cellStyle name="Vírgula 3 3 4 7 3" xfId="11352" xr:uid="{00000000-0005-0000-0000-00002F000000}"/>
    <cellStyle name="Vírgula 3 3 4 8" xfId="4211" xr:uid="{00000000-0005-0000-0000-00002F000000}"/>
    <cellStyle name="Vírgula 3 3 4 8 2" xfId="12372" xr:uid="{00000000-0005-0000-0000-00002F000000}"/>
    <cellStyle name="Vírgula 3 3 4 9" xfId="8292" xr:uid="{00000000-0005-0000-0000-00002F000000}"/>
    <cellStyle name="Vírgula 3 3 5" xfId="232" xr:uid="{00000000-0005-0000-0000-00002F000000}"/>
    <cellStyle name="Vírgula 3 3 5 2" xfId="640" xr:uid="{00000000-0005-0000-0000-00002F000000}"/>
    <cellStyle name="Vírgula 3 3 5 2 2" xfId="2681" xr:uid="{00000000-0005-0000-0000-00002F000000}"/>
    <cellStyle name="Vírgula 3 3 5 2 2 2" xfId="6762" xr:uid="{00000000-0005-0000-0000-00002F000000}"/>
    <cellStyle name="Vírgula 3 3 5 2 2 2 2" xfId="14922" xr:uid="{00000000-0005-0000-0000-00002F000000}"/>
    <cellStyle name="Vírgula 3 3 5 2 2 3" xfId="10842" xr:uid="{00000000-0005-0000-0000-00002F000000}"/>
    <cellStyle name="Vírgula 3 3 5 2 3" xfId="1661" xr:uid="{00000000-0005-0000-0000-00002F000000}"/>
    <cellStyle name="Vírgula 3 3 5 2 3 2" xfId="5742" xr:uid="{00000000-0005-0000-0000-00002F000000}"/>
    <cellStyle name="Vírgula 3 3 5 2 3 2 2" xfId="13902" xr:uid="{00000000-0005-0000-0000-00002F000000}"/>
    <cellStyle name="Vírgula 3 3 5 2 3 3" xfId="9822" xr:uid="{00000000-0005-0000-0000-00002F000000}"/>
    <cellStyle name="Vírgula 3 3 5 2 4" xfId="3701" xr:uid="{00000000-0005-0000-0000-00002F000000}"/>
    <cellStyle name="Vírgula 3 3 5 2 4 2" xfId="7782" xr:uid="{00000000-0005-0000-0000-00002F000000}"/>
    <cellStyle name="Vírgula 3 3 5 2 4 2 2" xfId="15942" xr:uid="{00000000-0005-0000-0000-00002F000000}"/>
    <cellStyle name="Vírgula 3 3 5 2 4 3" xfId="11862" xr:uid="{00000000-0005-0000-0000-00002F000000}"/>
    <cellStyle name="Vírgula 3 3 5 2 5" xfId="4721" xr:uid="{00000000-0005-0000-0000-00002F000000}"/>
    <cellStyle name="Vírgula 3 3 5 2 5 2" xfId="12882" xr:uid="{00000000-0005-0000-0000-00002F000000}"/>
    <cellStyle name="Vírgula 3 3 5 2 6" xfId="8802" xr:uid="{00000000-0005-0000-0000-00002F000000}"/>
    <cellStyle name="Vírgula 3 3 5 3" xfId="2273" xr:uid="{00000000-0005-0000-0000-00002F000000}"/>
    <cellStyle name="Vírgula 3 3 5 3 2" xfId="6354" xr:uid="{00000000-0005-0000-0000-00002F000000}"/>
    <cellStyle name="Vírgula 3 3 5 3 2 2" xfId="14514" xr:uid="{00000000-0005-0000-0000-00002F000000}"/>
    <cellStyle name="Vírgula 3 3 5 3 3" xfId="10434" xr:uid="{00000000-0005-0000-0000-00002F000000}"/>
    <cellStyle name="Vírgula 3 3 5 4" xfId="1253" xr:uid="{00000000-0005-0000-0000-00002F000000}"/>
    <cellStyle name="Vírgula 3 3 5 4 2" xfId="5334" xr:uid="{00000000-0005-0000-0000-00002F000000}"/>
    <cellStyle name="Vírgula 3 3 5 4 2 2" xfId="13494" xr:uid="{00000000-0005-0000-0000-00002F000000}"/>
    <cellStyle name="Vírgula 3 3 5 4 3" xfId="9414" xr:uid="{00000000-0005-0000-0000-00002F000000}"/>
    <cellStyle name="Vírgula 3 3 5 5" xfId="3293" xr:uid="{00000000-0005-0000-0000-00002F000000}"/>
    <cellStyle name="Vírgula 3 3 5 5 2" xfId="7374" xr:uid="{00000000-0005-0000-0000-00002F000000}"/>
    <cellStyle name="Vírgula 3 3 5 5 2 2" xfId="15534" xr:uid="{00000000-0005-0000-0000-00002F000000}"/>
    <cellStyle name="Vírgula 3 3 5 5 3" xfId="11454" xr:uid="{00000000-0005-0000-0000-00002F000000}"/>
    <cellStyle name="Vírgula 3 3 5 6" xfId="4313" xr:uid="{00000000-0005-0000-0000-00002F000000}"/>
    <cellStyle name="Vírgula 3 3 5 6 2" xfId="12474" xr:uid="{00000000-0005-0000-0000-00002F000000}"/>
    <cellStyle name="Vírgula 3 3 5 7" xfId="8394" xr:uid="{00000000-0005-0000-0000-00002F000000}"/>
    <cellStyle name="Vírgula 3 3 6" xfId="844" xr:uid="{00000000-0005-0000-0000-00002F000000}"/>
    <cellStyle name="Vírgula 3 3 6 2" xfId="2885" xr:uid="{00000000-0005-0000-0000-00002F000000}"/>
    <cellStyle name="Vírgula 3 3 6 2 2" xfId="6966" xr:uid="{00000000-0005-0000-0000-00002F000000}"/>
    <cellStyle name="Vírgula 3 3 6 2 2 2" xfId="15126" xr:uid="{00000000-0005-0000-0000-00002F000000}"/>
    <cellStyle name="Vírgula 3 3 6 2 3" xfId="11046" xr:uid="{00000000-0005-0000-0000-00002F000000}"/>
    <cellStyle name="Vírgula 3 3 6 3" xfId="1865" xr:uid="{00000000-0005-0000-0000-00002F000000}"/>
    <cellStyle name="Vírgula 3 3 6 3 2" xfId="5946" xr:uid="{00000000-0005-0000-0000-00002F000000}"/>
    <cellStyle name="Vírgula 3 3 6 3 2 2" xfId="14106" xr:uid="{00000000-0005-0000-0000-00002F000000}"/>
    <cellStyle name="Vírgula 3 3 6 3 3" xfId="10026" xr:uid="{00000000-0005-0000-0000-00002F000000}"/>
    <cellStyle name="Vírgula 3 3 6 4" xfId="3905" xr:uid="{00000000-0005-0000-0000-00002F000000}"/>
    <cellStyle name="Vírgula 3 3 6 4 2" xfId="7986" xr:uid="{00000000-0005-0000-0000-00002F000000}"/>
    <cellStyle name="Vírgula 3 3 6 4 2 2" xfId="16146" xr:uid="{00000000-0005-0000-0000-00002F000000}"/>
    <cellStyle name="Vírgula 3 3 6 4 3" xfId="12066" xr:uid="{00000000-0005-0000-0000-00002F000000}"/>
    <cellStyle name="Vírgula 3 3 6 5" xfId="4925" xr:uid="{00000000-0005-0000-0000-00002F000000}"/>
    <cellStyle name="Vírgula 3 3 6 5 2" xfId="13086" xr:uid="{00000000-0005-0000-0000-00002F000000}"/>
    <cellStyle name="Vírgula 3 3 6 6" xfId="9006" xr:uid="{00000000-0005-0000-0000-00002F000000}"/>
    <cellStyle name="Vírgula 3 3 7" xfId="436" xr:uid="{00000000-0005-0000-0000-00002F000000}"/>
    <cellStyle name="Vírgula 3 3 7 2" xfId="2477" xr:uid="{00000000-0005-0000-0000-00002F000000}"/>
    <cellStyle name="Vírgula 3 3 7 2 2" xfId="6558" xr:uid="{00000000-0005-0000-0000-00002F000000}"/>
    <cellStyle name="Vírgula 3 3 7 2 2 2" xfId="14718" xr:uid="{00000000-0005-0000-0000-00002F000000}"/>
    <cellStyle name="Vírgula 3 3 7 2 3" xfId="10638" xr:uid="{00000000-0005-0000-0000-00002F000000}"/>
    <cellStyle name="Vírgula 3 3 7 3" xfId="1457" xr:uid="{00000000-0005-0000-0000-00002F000000}"/>
    <cellStyle name="Vírgula 3 3 7 3 2" xfId="5538" xr:uid="{00000000-0005-0000-0000-00002F000000}"/>
    <cellStyle name="Vírgula 3 3 7 3 2 2" xfId="13698" xr:uid="{00000000-0005-0000-0000-00002F000000}"/>
    <cellStyle name="Vírgula 3 3 7 3 3" xfId="9618" xr:uid="{00000000-0005-0000-0000-00002F000000}"/>
    <cellStyle name="Vírgula 3 3 7 4" xfId="3497" xr:uid="{00000000-0005-0000-0000-00002F000000}"/>
    <cellStyle name="Vírgula 3 3 7 4 2" xfId="7578" xr:uid="{00000000-0005-0000-0000-00002F000000}"/>
    <cellStyle name="Vírgula 3 3 7 4 2 2" xfId="15738" xr:uid="{00000000-0005-0000-0000-00002F000000}"/>
    <cellStyle name="Vírgula 3 3 7 4 3" xfId="11658" xr:uid="{00000000-0005-0000-0000-00002F000000}"/>
    <cellStyle name="Vírgula 3 3 7 5" xfId="4517" xr:uid="{00000000-0005-0000-0000-00002F000000}"/>
    <cellStyle name="Vírgula 3 3 7 5 2" xfId="12678" xr:uid="{00000000-0005-0000-0000-00002F000000}"/>
    <cellStyle name="Vírgula 3 3 7 6" xfId="8598" xr:uid="{00000000-0005-0000-0000-00002F000000}"/>
    <cellStyle name="Vírgula 3 3 8" xfId="2069" xr:uid="{00000000-0005-0000-0000-00002F000000}"/>
    <cellStyle name="Vírgula 3 3 8 2" xfId="6150" xr:uid="{00000000-0005-0000-0000-00002F000000}"/>
    <cellStyle name="Vírgula 3 3 8 2 2" xfId="14310" xr:uid="{00000000-0005-0000-0000-00002F000000}"/>
    <cellStyle name="Vírgula 3 3 8 3" xfId="10230" xr:uid="{00000000-0005-0000-0000-00002F000000}"/>
    <cellStyle name="Vírgula 3 3 9" xfId="1049" xr:uid="{00000000-0005-0000-0000-00002F000000}"/>
    <cellStyle name="Vírgula 3 3 9 2" xfId="5130" xr:uid="{00000000-0005-0000-0000-00002F000000}"/>
    <cellStyle name="Vírgula 3 3 9 2 2" xfId="13290" xr:uid="{00000000-0005-0000-0000-00002F000000}"/>
    <cellStyle name="Vírgula 3 3 9 3" xfId="9210" xr:uid="{00000000-0005-0000-0000-00002F000000}"/>
    <cellStyle name="Vírgula 3 4" xfId="37" xr:uid="{00000000-0005-0000-0000-000031000000}"/>
    <cellStyle name="Vírgula 3 4 10" xfId="4118" xr:uid="{00000000-0005-0000-0000-000031000000}"/>
    <cellStyle name="Vírgula 3 4 10 2" xfId="12279" xr:uid="{00000000-0005-0000-0000-000031000000}"/>
    <cellStyle name="Vírgula 3 4 11" xfId="8199" xr:uid="{00000000-0005-0000-0000-000031000000}"/>
    <cellStyle name="Vírgula 3 4 2" xfId="88" xr:uid="{00000000-0005-0000-0000-000031000000}"/>
    <cellStyle name="Vírgula 3 4 2 10" xfId="8250" xr:uid="{00000000-0005-0000-0000-000031000000}"/>
    <cellStyle name="Vírgula 3 4 2 2" xfId="190" xr:uid="{00000000-0005-0000-0000-000031000000}"/>
    <cellStyle name="Vírgula 3 4 2 2 2" xfId="394" xr:uid="{00000000-0005-0000-0000-000031000000}"/>
    <cellStyle name="Vírgula 3 4 2 2 2 2" xfId="802" xr:uid="{00000000-0005-0000-0000-000031000000}"/>
    <cellStyle name="Vírgula 3 4 2 2 2 2 2" xfId="2843" xr:uid="{00000000-0005-0000-0000-000031000000}"/>
    <cellStyle name="Vírgula 3 4 2 2 2 2 2 2" xfId="6924" xr:uid="{00000000-0005-0000-0000-000031000000}"/>
    <cellStyle name="Vírgula 3 4 2 2 2 2 2 2 2" xfId="15084" xr:uid="{00000000-0005-0000-0000-000031000000}"/>
    <cellStyle name="Vírgula 3 4 2 2 2 2 2 3" xfId="11004" xr:uid="{00000000-0005-0000-0000-000031000000}"/>
    <cellStyle name="Vírgula 3 4 2 2 2 2 3" xfId="1823" xr:uid="{00000000-0005-0000-0000-000031000000}"/>
    <cellStyle name="Vírgula 3 4 2 2 2 2 3 2" xfId="5904" xr:uid="{00000000-0005-0000-0000-000031000000}"/>
    <cellStyle name="Vírgula 3 4 2 2 2 2 3 2 2" xfId="14064" xr:uid="{00000000-0005-0000-0000-000031000000}"/>
    <cellStyle name="Vírgula 3 4 2 2 2 2 3 3" xfId="9984" xr:uid="{00000000-0005-0000-0000-000031000000}"/>
    <cellStyle name="Vírgula 3 4 2 2 2 2 4" xfId="3863" xr:uid="{00000000-0005-0000-0000-000031000000}"/>
    <cellStyle name="Vírgula 3 4 2 2 2 2 4 2" xfId="7944" xr:uid="{00000000-0005-0000-0000-000031000000}"/>
    <cellStyle name="Vírgula 3 4 2 2 2 2 4 2 2" xfId="16104" xr:uid="{00000000-0005-0000-0000-000031000000}"/>
    <cellStyle name="Vírgula 3 4 2 2 2 2 4 3" xfId="12024" xr:uid="{00000000-0005-0000-0000-000031000000}"/>
    <cellStyle name="Vírgula 3 4 2 2 2 2 5" xfId="4883" xr:uid="{00000000-0005-0000-0000-000031000000}"/>
    <cellStyle name="Vírgula 3 4 2 2 2 2 5 2" xfId="13044" xr:uid="{00000000-0005-0000-0000-000031000000}"/>
    <cellStyle name="Vírgula 3 4 2 2 2 2 6" xfId="8964" xr:uid="{00000000-0005-0000-0000-000031000000}"/>
    <cellStyle name="Vírgula 3 4 2 2 2 3" xfId="2435" xr:uid="{00000000-0005-0000-0000-000031000000}"/>
    <cellStyle name="Vírgula 3 4 2 2 2 3 2" xfId="6516" xr:uid="{00000000-0005-0000-0000-000031000000}"/>
    <cellStyle name="Vírgula 3 4 2 2 2 3 2 2" xfId="14676" xr:uid="{00000000-0005-0000-0000-000031000000}"/>
    <cellStyle name="Vírgula 3 4 2 2 2 3 3" xfId="10596" xr:uid="{00000000-0005-0000-0000-000031000000}"/>
    <cellStyle name="Vírgula 3 4 2 2 2 4" xfId="1415" xr:uid="{00000000-0005-0000-0000-000031000000}"/>
    <cellStyle name="Vírgula 3 4 2 2 2 4 2" xfId="5496" xr:uid="{00000000-0005-0000-0000-000031000000}"/>
    <cellStyle name="Vírgula 3 4 2 2 2 4 2 2" xfId="13656" xr:uid="{00000000-0005-0000-0000-000031000000}"/>
    <cellStyle name="Vírgula 3 4 2 2 2 4 3" xfId="9576" xr:uid="{00000000-0005-0000-0000-000031000000}"/>
    <cellStyle name="Vírgula 3 4 2 2 2 5" xfId="3455" xr:uid="{00000000-0005-0000-0000-000031000000}"/>
    <cellStyle name="Vírgula 3 4 2 2 2 5 2" xfId="7536" xr:uid="{00000000-0005-0000-0000-000031000000}"/>
    <cellStyle name="Vírgula 3 4 2 2 2 5 2 2" xfId="15696" xr:uid="{00000000-0005-0000-0000-000031000000}"/>
    <cellStyle name="Vírgula 3 4 2 2 2 5 3" xfId="11616" xr:uid="{00000000-0005-0000-0000-000031000000}"/>
    <cellStyle name="Vírgula 3 4 2 2 2 6" xfId="4475" xr:uid="{00000000-0005-0000-0000-000031000000}"/>
    <cellStyle name="Vírgula 3 4 2 2 2 6 2" xfId="12636" xr:uid="{00000000-0005-0000-0000-000031000000}"/>
    <cellStyle name="Vírgula 3 4 2 2 2 7" xfId="8556" xr:uid="{00000000-0005-0000-0000-000031000000}"/>
    <cellStyle name="Vírgula 3 4 2 2 3" xfId="1006" xr:uid="{00000000-0005-0000-0000-000031000000}"/>
    <cellStyle name="Vírgula 3 4 2 2 3 2" xfId="3047" xr:uid="{00000000-0005-0000-0000-000031000000}"/>
    <cellStyle name="Vírgula 3 4 2 2 3 2 2" xfId="7128" xr:uid="{00000000-0005-0000-0000-000031000000}"/>
    <cellStyle name="Vírgula 3 4 2 2 3 2 2 2" xfId="15288" xr:uid="{00000000-0005-0000-0000-000031000000}"/>
    <cellStyle name="Vírgula 3 4 2 2 3 2 3" xfId="11208" xr:uid="{00000000-0005-0000-0000-000031000000}"/>
    <cellStyle name="Vírgula 3 4 2 2 3 3" xfId="2027" xr:uid="{00000000-0005-0000-0000-000031000000}"/>
    <cellStyle name="Vírgula 3 4 2 2 3 3 2" xfId="6108" xr:uid="{00000000-0005-0000-0000-000031000000}"/>
    <cellStyle name="Vírgula 3 4 2 2 3 3 2 2" xfId="14268" xr:uid="{00000000-0005-0000-0000-000031000000}"/>
    <cellStyle name="Vírgula 3 4 2 2 3 3 3" xfId="10188" xr:uid="{00000000-0005-0000-0000-000031000000}"/>
    <cellStyle name="Vírgula 3 4 2 2 3 4" xfId="4067" xr:uid="{00000000-0005-0000-0000-000031000000}"/>
    <cellStyle name="Vírgula 3 4 2 2 3 4 2" xfId="8148" xr:uid="{00000000-0005-0000-0000-000031000000}"/>
    <cellStyle name="Vírgula 3 4 2 2 3 4 2 2" xfId="16308" xr:uid="{00000000-0005-0000-0000-000031000000}"/>
    <cellStyle name="Vírgula 3 4 2 2 3 4 3" xfId="12228" xr:uid="{00000000-0005-0000-0000-000031000000}"/>
    <cellStyle name="Vírgula 3 4 2 2 3 5" xfId="5087" xr:uid="{00000000-0005-0000-0000-000031000000}"/>
    <cellStyle name="Vírgula 3 4 2 2 3 5 2" xfId="13248" xr:uid="{00000000-0005-0000-0000-000031000000}"/>
    <cellStyle name="Vírgula 3 4 2 2 3 6" xfId="9168" xr:uid="{00000000-0005-0000-0000-000031000000}"/>
    <cellStyle name="Vírgula 3 4 2 2 4" xfId="598" xr:uid="{00000000-0005-0000-0000-000031000000}"/>
    <cellStyle name="Vírgula 3 4 2 2 4 2" xfId="2639" xr:uid="{00000000-0005-0000-0000-000031000000}"/>
    <cellStyle name="Vírgula 3 4 2 2 4 2 2" xfId="6720" xr:uid="{00000000-0005-0000-0000-000031000000}"/>
    <cellStyle name="Vírgula 3 4 2 2 4 2 2 2" xfId="14880" xr:uid="{00000000-0005-0000-0000-000031000000}"/>
    <cellStyle name="Vírgula 3 4 2 2 4 2 3" xfId="10800" xr:uid="{00000000-0005-0000-0000-000031000000}"/>
    <cellStyle name="Vírgula 3 4 2 2 4 3" xfId="1619" xr:uid="{00000000-0005-0000-0000-000031000000}"/>
    <cellStyle name="Vírgula 3 4 2 2 4 3 2" xfId="5700" xr:uid="{00000000-0005-0000-0000-000031000000}"/>
    <cellStyle name="Vírgula 3 4 2 2 4 3 2 2" xfId="13860" xr:uid="{00000000-0005-0000-0000-000031000000}"/>
    <cellStyle name="Vírgula 3 4 2 2 4 3 3" xfId="9780" xr:uid="{00000000-0005-0000-0000-000031000000}"/>
    <cellStyle name="Vírgula 3 4 2 2 4 4" xfId="3659" xr:uid="{00000000-0005-0000-0000-000031000000}"/>
    <cellStyle name="Vírgula 3 4 2 2 4 4 2" xfId="7740" xr:uid="{00000000-0005-0000-0000-000031000000}"/>
    <cellStyle name="Vírgula 3 4 2 2 4 4 2 2" xfId="15900" xr:uid="{00000000-0005-0000-0000-000031000000}"/>
    <cellStyle name="Vírgula 3 4 2 2 4 4 3" xfId="11820" xr:uid="{00000000-0005-0000-0000-000031000000}"/>
    <cellStyle name="Vírgula 3 4 2 2 4 5" xfId="4679" xr:uid="{00000000-0005-0000-0000-000031000000}"/>
    <cellStyle name="Vírgula 3 4 2 2 4 5 2" xfId="12840" xr:uid="{00000000-0005-0000-0000-000031000000}"/>
    <cellStyle name="Vírgula 3 4 2 2 4 6" xfId="8760" xr:uid="{00000000-0005-0000-0000-000031000000}"/>
    <cellStyle name="Vírgula 3 4 2 2 5" xfId="2231" xr:uid="{00000000-0005-0000-0000-000031000000}"/>
    <cellStyle name="Vírgula 3 4 2 2 5 2" xfId="6312" xr:uid="{00000000-0005-0000-0000-000031000000}"/>
    <cellStyle name="Vírgula 3 4 2 2 5 2 2" xfId="14472" xr:uid="{00000000-0005-0000-0000-000031000000}"/>
    <cellStyle name="Vírgula 3 4 2 2 5 3" xfId="10392" xr:uid="{00000000-0005-0000-0000-000031000000}"/>
    <cellStyle name="Vírgula 3 4 2 2 6" xfId="1211" xr:uid="{00000000-0005-0000-0000-000031000000}"/>
    <cellStyle name="Vírgula 3 4 2 2 6 2" xfId="5292" xr:uid="{00000000-0005-0000-0000-000031000000}"/>
    <cellStyle name="Vírgula 3 4 2 2 6 2 2" xfId="13452" xr:uid="{00000000-0005-0000-0000-000031000000}"/>
    <cellStyle name="Vírgula 3 4 2 2 6 3" xfId="9372" xr:uid="{00000000-0005-0000-0000-000031000000}"/>
    <cellStyle name="Vírgula 3 4 2 2 7" xfId="3251" xr:uid="{00000000-0005-0000-0000-000031000000}"/>
    <cellStyle name="Vírgula 3 4 2 2 7 2" xfId="7332" xr:uid="{00000000-0005-0000-0000-000031000000}"/>
    <cellStyle name="Vírgula 3 4 2 2 7 2 2" xfId="15492" xr:uid="{00000000-0005-0000-0000-000031000000}"/>
    <cellStyle name="Vírgula 3 4 2 2 7 3" xfId="11412" xr:uid="{00000000-0005-0000-0000-000031000000}"/>
    <cellStyle name="Vírgula 3 4 2 2 8" xfId="4271" xr:uid="{00000000-0005-0000-0000-000031000000}"/>
    <cellStyle name="Vírgula 3 4 2 2 8 2" xfId="12432" xr:uid="{00000000-0005-0000-0000-000031000000}"/>
    <cellStyle name="Vírgula 3 4 2 2 9" xfId="8352" xr:uid="{00000000-0005-0000-0000-000031000000}"/>
    <cellStyle name="Vírgula 3 4 2 3" xfId="292" xr:uid="{00000000-0005-0000-0000-000031000000}"/>
    <cellStyle name="Vírgula 3 4 2 3 2" xfId="700" xr:uid="{00000000-0005-0000-0000-000031000000}"/>
    <cellStyle name="Vírgula 3 4 2 3 2 2" xfId="2741" xr:uid="{00000000-0005-0000-0000-000031000000}"/>
    <cellStyle name="Vírgula 3 4 2 3 2 2 2" xfId="6822" xr:uid="{00000000-0005-0000-0000-000031000000}"/>
    <cellStyle name="Vírgula 3 4 2 3 2 2 2 2" xfId="14982" xr:uid="{00000000-0005-0000-0000-000031000000}"/>
    <cellStyle name="Vírgula 3 4 2 3 2 2 3" xfId="10902" xr:uid="{00000000-0005-0000-0000-000031000000}"/>
    <cellStyle name="Vírgula 3 4 2 3 2 3" xfId="1721" xr:uid="{00000000-0005-0000-0000-000031000000}"/>
    <cellStyle name="Vírgula 3 4 2 3 2 3 2" xfId="5802" xr:uid="{00000000-0005-0000-0000-000031000000}"/>
    <cellStyle name="Vírgula 3 4 2 3 2 3 2 2" xfId="13962" xr:uid="{00000000-0005-0000-0000-000031000000}"/>
    <cellStyle name="Vírgula 3 4 2 3 2 3 3" xfId="9882" xr:uid="{00000000-0005-0000-0000-000031000000}"/>
    <cellStyle name="Vírgula 3 4 2 3 2 4" xfId="3761" xr:uid="{00000000-0005-0000-0000-000031000000}"/>
    <cellStyle name="Vírgula 3 4 2 3 2 4 2" xfId="7842" xr:uid="{00000000-0005-0000-0000-000031000000}"/>
    <cellStyle name="Vírgula 3 4 2 3 2 4 2 2" xfId="16002" xr:uid="{00000000-0005-0000-0000-000031000000}"/>
    <cellStyle name="Vírgula 3 4 2 3 2 4 3" xfId="11922" xr:uid="{00000000-0005-0000-0000-000031000000}"/>
    <cellStyle name="Vírgula 3 4 2 3 2 5" xfId="4781" xr:uid="{00000000-0005-0000-0000-000031000000}"/>
    <cellStyle name="Vírgula 3 4 2 3 2 5 2" xfId="12942" xr:uid="{00000000-0005-0000-0000-000031000000}"/>
    <cellStyle name="Vírgula 3 4 2 3 2 6" xfId="8862" xr:uid="{00000000-0005-0000-0000-000031000000}"/>
    <cellStyle name="Vírgula 3 4 2 3 3" xfId="2333" xr:uid="{00000000-0005-0000-0000-000031000000}"/>
    <cellStyle name="Vírgula 3 4 2 3 3 2" xfId="6414" xr:uid="{00000000-0005-0000-0000-000031000000}"/>
    <cellStyle name="Vírgula 3 4 2 3 3 2 2" xfId="14574" xr:uid="{00000000-0005-0000-0000-000031000000}"/>
    <cellStyle name="Vírgula 3 4 2 3 3 3" xfId="10494" xr:uid="{00000000-0005-0000-0000-000031000000}"/>
    <cellStyle name="Vírgula 3 4 2 3 4" xfId="1313" xr:uid="{00000000-0005-0000-0000-000031000000}"/>
    <cellStyle name="Vírgula 3 4 2 3 4 2" xfId="5394" xr:uid="{00000000-0005-0000-0000-000031000000}"/>
    <cellStyle name="Vírgula 3 4 2 3 4 2 2" xfId="13554" xr:uid="{00000000-0005-0000-0000-000031000000}"/>
    <cellStyle name="Vírgula 3 4 2 3 4 3" xfId="9474" xr:uid="{00000000-0005-0000-0000-000031000000}"/>
    <cellStyle name="Vírgula 3 4 2 3 5" xfId="3353" xr:uid="{00000000-0005-0000-0000-000031000000}"/>
    <cellStyle name="Vírgula 3 4 2 3 5 2" xfId="7434" xr:uid="{00000000-0005-0000-0000-000031000000}"/>
    <cellStyle name="Vírgula 3 4 2 3 5 2 2" xfId="15594" xr:uid="{00000000-0005-0000-0000-000031000000}"/>
    <cellStyle name="Vírgula 3 4 2 3 5 3" xfId="11514" xr:uid="{00000000-0005-0000-0000-000031000000}"/>
    <cellStyle name="Vírgula 3 4 2 3 6" xfId="4373" xr:uid="{00000000-0005-0000-0000-000031000000}"/>
    <cellStyle name="Vírgula 3 4 2 3 6 2" xfId="12534" xr:uid="{00000000-0005-0000-0000-000031000000}"/>
    <cellStyle name="Vírgula 3 4 2 3 7" xfId="8454" xr:uid="{00000000-0005-0000-0000-000031000000}"/>
    <cellStyle name="Vírgula 3 4 2 4" xfId="904" xr:uid="{00000000-0005-0000-0000-000031000000}"/>
    <cellStyle name="Vírgula 3 4 2 4 2" xfId="2945" xr:uid="{00000000-0005-0000-0000-000031000000}"/>
    <cellStyle name="Vírgula 3 4 2 4 2 2" xfId="7026" xr:uid="{00000000-0005-0000-0000-000031000000}"/>
    <cellStyle name="Vírgula 3 4 2 4 2 2 2" xfId="15186" xr:uid="{00000000-0005-0000-0000-000031000000}"/>
    <cellStyle name="Vírgula 3 4 2 4 2 3" xfId="11106" xr:uid="{00000000-0005-0000-0000-000031000000}"/>
    <cellStyle name="Vírgula 3 4 2 4 3" xfId="1925" xr:uid="{00000000-0005-0000-0000-000031000000}"/>
    <cellStyle name="Vírgula 3 4 2 4 3 2" xfId="6006" xr:uid="{00000000-0005-0000-0000-000031000000}"/>
    <cellStyle name="Vírgula 3 4 2 4 3 2 2" xfId="14166" xr:uid="{00000000-0005-0000-0000-000031000000}"/>
    <cellStyle name="Vírgula 3 4 2 4 3 3" xfId="10086" xr:uid="{00000000-0005-0000-0000-000031000000}"/>
    <cellStyle name="Vírgula 3 4 2 4 4" xfId="3965" xr:uid="{00000000-0005-0000-0000-000031000000}"/>
    <cellStyle name="Vírgula 3 4 2 4 4 2" xfId="8046" xr:uid="{00000000-0005-0000-0000-000031000000}"/>
    <cellStyle name="Vírgula 3 4 2 4 4 2 2" xfId="16206" xr:uid="{00000000-0005-0000-0000-000031000000}"/>
    <cellStyle name="Vírgula 3 4 2 4 4 3" xfId="12126" xr:uid="{00000000-0005-0000-0000-000031000000}"/>
    <cellStyle name="Vírgula 3 4 2 4 5" xfId="4985" xr:uid="{00000000-0005-0000-0000-000031000000}"/>
    <cellStyle name="Vírgula 3 4 2 4 5 2" xfId="13146" xr:uid="{00000000-0005-0000-0000-000031000000}"/>
    <cellStyle name="Vírgula 3 4 2 4 6" xfId="9066" xr:uid="{00000000-0005-0000-0000-000031000000}"/>
    <cellStyle name="Vírgula 3 4 2 5" xfId="496" xr:uid="{00000000-0005-0000-0000-000031000000}"/>
    <cellStyle name="Vírgula 3 4 2 5 2" xfId="2537" xr:uid="{00000000-0005-0000-0000-000031000000}"/>
    <cellStyle name="Vírgula 3 4 2 5 2 2" xfId="6618" xr:uid="{00000000-0005-0000-0000-000031000000}"/>
    <cellStyle name="Vírgula 3 4 2 5 2 2 2" xfId="14778" xr:uid="{00000000-0005-0000-0000-000031000000}"/>
    <cellStyle name="Vírgula 3 4 2 5 2 3" xfId="10698" xr:uid="{00000000-0005-0000-0000-000031000000}"/>
    <cellStyle name="Vírgula 3 4 2 5 3" xfId="1517" xr:uid="{00000000-0005-0000-0000-000031000000}"/>
    <cellStyle name="Vírgula 3 4 2 5 3 2" xfId="5598" xr:uid="{00000000-0005-0000-0000-000031000000}"/>
    <cellStyle name="Vírgula 3 4 2 5 3 2 2" xfId="13758" xr:uid="{00000000-0005-0000-0000-000031000000}"/>
    <cellStyle name="Vírgula 3 4 2 5 3 3" xfId="9678" xr:uid="{00000000-0005-0000-0000-000031000000}"/>
    <cellStyle name="Vírgula 3 4 2 5 4" xfId="3557" xr:uid="{00000000-0005-0000-0000-000031000000}"/>
    <cellStyle name="Vírgula 3 4 2 5 4 2" xfId="7638" xr:uid="{00000000-0005-0000-0000-000031000000}"/>
    <cellStyle name="Vírgula 3 4 2 5 4 2 2" xfId="15798" xr:uid="{00000000-0005-0000-0000-000031000000}"/>
    <cellStyle name="Vírgula 3 4 2 5 4 3" xfId="11718" xr:uid="{00000000-0005-0000-0000-000031000000}"/>
    <cellStyle name="Vírgula 3 4 2 5 5" xfId="4577" xr:uid="{00000000-0005-0000-0000-000031000000}"/>
    <cellStyle name="Vírgula 3 4 2 5 5 2" xfId="12738" xr:uid="{00000000-0005-0000-0000-000031000000}"/>
    <cellStyle name="Vírgula 3 4 2 5 6" xfId="8658" xr:uid="{00000000-0005-0000-0000-000031000000}"/>
    <cellStyle name="Vírgula 3 4 2 6" xfId="2129" xr:uid="{00000000-0005-0000-0000-000031000000}"/>
    <cellStyle name="Vírgula 3 4 2 6 2" xfId="6210" xr:uid="{00000000-0005-0000-0000-000031000000}"/>
    <cellStyle name="Vírgula 3 4 2 6 2 2" xfId="14370" xr:uid="{00000000-0005-0000-0000-000031000000}"/>
    <cellStyle name="Vírgula 3 4 2 6 3" xfId="10290" xr:uid="{00000000-0005-0000-0000-000031000000}"/>
    <cellStyle name="Vírgula 3 4 2 7" xfId="1109" xr:uid="{00000000-0005-0000-0000-000031000000}"/>
    <cellStyle name="Vírgula 3 4 2 7 2" xfId="5190" xr:uid="{00000000-0005-0000-0000-000031000000}"/>
    <cellStyle name="Vírgula 3 4 2 7 2 2" xfId="13350" xr:uid="{00000000-0005-0000-0000-000031000000}"/>
    <cellStyle name="Vírgula 3 4 2 7 3" xfId="9270" xr:uid="{00000000-0005-0000-0000-000031000000}"/>
    <cellStyle name="Vírgula 3 4 2 8" xfId="3149" xr:uid="{00000000-0005-0000-0000-000031000000}"/>
    <cellStyle name="Vírgula 3 4 2 8 2" xfId="7230" xr:uid="{00000000-0005-0000-0000-000031000000}"/>
    <cellStyle name="Vírgula 3 4 2 8 2 2" xfId="15390" xr:uid="{00000000-0005-0000-0000-000031000000}"/>
    <cellStyle name="Vírgula 3 4 2 8 3" xfId="11310" xr:uid="{00000000-0005-0000-0000-000031000000}"/>
    <cellStyle name="Vírgula 3 4 2 9" xfId="4169" xr:uid="{00000000-0005-0000-0000-000031000000}"/>
    <cellStyle name="Vírgula 3 4 2 9 2" xfId="12330" xr:uid="{00000000-0005-0000-0000-000031000000}"/>
    <cellStyle name="Vírgula 3 4 3" xfId="139" xr:uid="{00000000-0005-0000-0000-000031000000}"/>
    <cellStyle name="Vírgula 3 4 3 2" xfId="343" xr:uid="{00000000-0005-0000-0000-000031000000}"/>
    <cellStyle name="Vírgula 3 4 3 2 2" xfId="751" xr:uid="{00000000-0005-0000-0000-000031000000}"/>
    <cellStyle name="Vírgula 3 4 3 2 2 2" xfId="2792" xr:uid="{00000000-0005-0000-0000-000031000000}"/>
    <cellStyle name="Vírgula 3 4 3 2 2 2 2" xfId="6873" xr:uid="{00000000-0005-0000-0000-000031000000}"/>
    <cellStyle name="Vírgula 3 4 3 2 2 2 2 2" xfId="15033" xr:uid="{00000000-0005-0000-0000-000031000000}"/>
    <cellStyle name="Vírgula 3 4 3 2 2 2 3" xfId="10953" xr:uid="{00000000-0005-0000-0000-000031000000}"/>
    <cellStyle name="Vírgula 3 4 3 2 2 3" xfId="1772" xr:uid="{00000000-0005-0000-0000-000031000000}"/>
    <cellStyle name="Vírgula 3 4 3 2 2 3 2" xfId="5853" xr:uid="{00000000-0005-0000-0000-000031000000}"/>
    <cellStyle name="Vírgula 3 4 3 2 2 3 2 2" xfId="14013" xr:uid="{00000000-0005-0000-0000-000031000000}"/>
    <cellStyle name="Vírgula 3 4 3 2 2 3 3" xfId="9933" xr:uid="{00000000-0005-0000-0000-000031000000}"/>
    <cellStyle name="Vírgula 3 4 3 2 2 4" xfId="3812" xr:uid="{00000000-0005-0000-0000-000031000000}"/>
    <cellStyle name="Vírgula 3 4 3 2 2 4 2" xfId="7893" xr:uid="{00000000-0005-0000-0000-000031000000}"/>
    <cellStyle name="Vírgula 3 4 3 2 2 4 2 2" xfId="16053" xr:uid="{00000000-0005-0000-0000-000031000000}"/>
    <cellStyle name="Vírgula 3 4 3 2 2 4 3" xfId="11973" xr:uid="{00000000-0005-0000-0000-000031000000}"/>
    <cellStyle name="Vírgula 3 4 3 2 2 5" xfId="4832" xr:uid="{00000000-0005-0000-0000-000031000000}"/>
    <cellStyle name="Vírgula 3 4 3 2 2 5 2" xfId="12993" xr:uid="{00000000-0005-0000-0000-000031000000}"/>
    <cellStyle name="Vírgula 3 4 3 2 2 6" xfId="8913" xr:uid="{00000000-0005-0000-0000-000031000000}"/>
    <cellStyle name="Vírgula 3 4 3 2 3" xfId="2384" xr:uid="{00000000-0005-0000-0000-000031000000}"/>
    <cellStyle name="Vírgula 3 4 3 2 3 2" xfId="6465" xr:uid="{00000000-0005-0000-0000-000031000000}"/>
    <cellStyle name="Vírgula 3 4 3 2 3 2 2" xfId="14625" xr:uid="{00000000-0005-0000-0000-000031000000}"/>
    <cellStyle name="Vírgula 3 4 3 2 3 3" xfId="10545" xr:uid="{00000000-0005-0000-0000-000031000000}"/>
    <cellStyle name="Vírgula 3 4 3 2 4" xfId="1364" xr:uid="{00000000-0005-0000-0000-000031000000}"/>
    <cellStyle name="Vírgula 3 4 3 2 4 2" xfId="5445" xr:uid="{00000000-0005-0000-0000-000031000000}"/>
    <cellStyle name="Vírgula 3 4 3 2 4 2 2" xfId="13605" xr:uid="{00000000-0005-0000-0000-000031000000}"/>
    <cellStyle name="Vírgula 3 4 3 2 4 3" xfId="9525" xr:uid="{00000000-0005-0000-0000-000031000000}"/>
    <cellStyle name="Vírgula 3 4 3 2 5" xfId="3404" xr:uid="{00000000-0005-0000-0000-000031000000}"/>
    <cellStyle name="Vírgula 3 4 3 2 5 2" xfId="7485" xr:uid="{00000000-0005-0000-0000-000031000000}"/>
    <cellStyle name="Vírgula 3 4 3 2 5 2 2" xfId="15645" xr:uid="{00000000-0005-0000-0000-000031000000}"/>
    <cellStyle name="Vírgula 3 4 3 2 5 3" xfId="11565" xr:uid="{00000000-0005-0000-0000-000031000000}"/>
    <cellStyle name="Vírgula 3 4 3 2 6" xfId="4424" xr:uid="{00000000-0005-0000-0000-000031000000}"/>
    <cellStyle name="Vírgula 3 4 3 2 6 2" xfId="12585" xr:uid="{00000000-0005-0000-0000-000031000000}"/>
    <cellStyle name="Vírgula 3 4 3 2 7" xfId="8505" xr:uid="{00000000-0005-0000-0000-000031000000}"/>
    <cellStyle name="Vírgula 3 4 3 3" xfId="955" xr:uid="{00000000-0005-0000-0000-000031000000}"/>
    <cellStyle name="Vírgula 3 4 3 3 2" xfId="2996" xr:uid="{00000000-0005-0000-0000-000031000000}"/>
    <cellStyle name="Vírgula 3 4 3 3 2 2" xfId="7077" xr:uid="{00000000-0005-0000-0000-000031000000}"/>
    <cellStyle name="Vírgula 3 4 3 3 2 2 2" xfId="15237" xr:uid="{00000000-0005-0000-0000-000031000000}"/>
    <cellStyle name="Vírgula 3 4 3 3 2 3" xfId="11157" xr:uid="{00000000-0005-0000-0000-000031000000}"/>
    <cellStyle name="Vírgula 3 4 3 3 3" xfId="1976" xr:uid="{00000000-0005-0000-0000-000031000000}"/>
    <cellStyle name="Vírgula 3 4 3 3 3 2" xfId="6057" xr:uid="{00000000-0005-0000-0000-000031000000}"/>
    <cellStyle name="Vírgula 3 4 3 3 3 2 2" xfId="14217" xr:uid="{00000000-0005-0000-0000-000031000000}"/>
    <cellStyle name="Vírgula 3 4 3 3 3 3" xfId="10137" xr:uid="{00000000-0005-0000-0000-000031000000}"/>
    <cellStyle name="Vírgula 3 4 3 3 4" xfId="4016" xr:uid="{00000000-0005-0000-0000-000031000000}"/>
    <cellStyle name="Vírgula 3 4 3 3 4 2" xfId="8097" xr:uid="{00000000-0005-0000-0000-000031000000}"/>
    <cellStyle name="Vírgula 3 4 3 3 4 2 2" xfId="16257" xr:uid="{00000000-0005-0000-0000-000031000000}"/>
    <cellStyle name="Vírgula 3 4 3 3 4 3" xfId="12177" xr:uid="{00000000-0005-0000-0000-000031000000}"/>
    <cellStyle name="Vírgula 3 4 3 3 5" xfId="5036" xr:uid="{00000000-0005-0000-0000-000031000000}"/>
    <cellStyle name="Vírgula 3 4 3 3 5 2" xfId="13197" xr:uid="{00000000-0005-0000-0000-000031000000}"/>
    <cellStyle name="Vírgula 3 4 3 3 6" xfId="9117" xr:uid="{00000000-0005-0000-0000-000031000000}"/>
    <cellStyle name="Vírgula 3 4 3 4" xfId="547" xr:uid="{00000000-0005-0000-0000-000031000000}"/>
    <cellStyle name="Vírgula 3 4 3 4 2" xfId="2588" xr:uid="{00000000-0005-0000-0000-000031000000}"/>
    <cellStyle name="Vírgula 3 4 3 4 2 2" xfId="6669" xr:uid="{00000000-0005-0000-0000-000031000000}"/>
    <cellStyle name="Vírgula 3 4 3 4 2 2 2" xfId="14829" xr:uid="{00000000-0005-0000-0000-000031000000}"/>
    <cellStyle name="Vírgula 3 4 3 4 2 3" xfId="10749" xr:uid="{00000000-0005-0000-0000-000031000000}"/>
    <cellStyle name="Vírgula 3 4 3 4 3" xfId="1568" xr:uid="{00000000-0005-0000-0000-000031000000}"/>
    <cellStyle name="Vírgula 3 4 3 4 3 2" xfId="5649" xr:uid="{00000000-0005-0000-0000-000031000000}"/>
    <cellStyle name="Vírgula 3 4 3 4 3 2 2" xfId="13809" xr:uid="{00000000-0005-0000-0000-000031000000}"/>
    <cellStyle name="Vírgula 3 4 3 4 3 3" xfId="9729" xr:uid="{00000000-0005-0000-0000-000031000000}"/>
    <cellStyle name="Vírgula 3 4 3 4 4" xfId="3608" xr:uid="{00000000-0005-0000-0000-000031000000}"/>
    <cellStyle name="Vírgula 3 4 3 4 4 2" xfId="7689" xr:uid="{00000000-0005-0000-0000-000031000000}"/>
    <cellStyle name="Vírgula 3 4 3 4 4 2 2" xfId="15849" xr:uid="{00000000-0005-0000-0000-000031000000}"/>
    <cellStyle name="Vírgula 3 4 3 4 4 3" xfId="11769" xr:uid="{00000000-0005-0000-0000-000031000000}"/>
    <cellStyle name="Vírgula 3 4 3 4 5" xfId="4628" xr:uid="{00000000-0005-0000-0000-000031000000}"/>
    <cellStyle name="Vírgula 3 4 3 4 5 2" xfId="12789" xr:uid="{00000000-0005-0000-0000-000031000000}"/>
    <cellStyle name="Vírgula 3 4 3 4 6" xfId="8709" xr:uid="{00000000-0005-0000-0000-000031000000}"/>
    <cellStyle name="Vírgula 3 4 3 5" xfId="2180" xr:uid="{00000000-0005-0000-0000-000031000000}"/>
    <cellStyle name="Vírgula 3 4 3 5 2" xfId="6261" xr:uid="{00000000-0005-0000-0000-000031000000}"/>
    <cellStyle name="Vírgula 3 4 3 5 2 2" xfId="14421" xr:uid="{00000000-0005-0000-0000-000031000000}"/>
    <cellStyle name="Vírgula 3 4 3 5 3" xfId="10341" xr:uid="{00000000-0005-0000-0000-000031000000}"/>
    <cellStyle name="Vírgula 3 4 3 6" xfId="1160" xr:uid="{00000000-0005-0000-0000-000031000000}"/>
    <cellStyle name="Vírgula 3 4 3 6 2" xfId="5241" xr:uid="{00000000-0005-0000-0000-000031000000}"/>
    <cellStyle name="Vírgula 3 4 3 6 2 2" xfId="13401" xr:uid="{00000000-0005-0000-0000-000031000000}"/>
    <cellStyle name="Vírgula 3 4 3 6 3" xfId="9321" xr:uid="{00000000-0005-0000-0000-000031000000}"/>
    <cellStyle name="Vírgula 3 4 3 7" xfId="3200" xr:uid="{00000000-0005-0000-0000-000031000000}"/>
    <cellStyle name="Vírgula 3 4 3 7 2" xfId="7281" xr:uid="{00000000-0005-0000-0000-000031000000}"/>
    <cellStyle name="Vírgula 3 4 3 7 2 2" xfId="15441" xr:uid="{00000000-0005-0000-0000-000031000000}"/>
    <cellStyle name="Vírgula 3 4 3 7 3" xfId="11361" xr:uid="{00000000-0005-0000-0000-000031000000}"/>
    <cellStyle name="Vírgula 3 4 3 8" xfId="4220" xr:uid="{00000000-0005-0000-0000-000031000000}"/>
    <cellStyle name="Vírgula 3 4 3 8 2" xfId="12381" xr:uid="{00000000-0005-0000-0000-000031000000}"/>
    <cellStyle name="Vírgula 3 4 3 9" xfId="8301" xr:uid="{00000000-0005-0000-0000-000031000000}"/>
    <cellStyle name="Vírgula 3 4 4" xfId="241" xr:uid="{00000000-0005-0000-0000-000031000000}"/>
    <cellStyle name="Vírgula 3 4 4 2" xfId="649" xr:uid="{00000000-0005-0000-0000-000031000000}"/>
    <cellStyle name="Vírgula 3 4 4 2 2" xfId="2690" xr:uid="{00000000-0005-0000-0000-000031000000}"/>
    <cellStyle name="Vírgula 3 4 4 2 2 2" xfId="6771" xr:uid="{00000000-0005-0000-0000-000031000000}"/>
    <cellStyle name="Vírgula 3 4 4 2 2 2 2" xfId="14931" xr:uid="{00000000-0005-0000-0000-000031000000}"/>
    <cellStyle name="Vírgula 3 4 4 2 2 3" xfId="10851" xr:uid="{00000000-0005-0000-0000-000031000000}"/>
    <cellStyle name="Vírgula 3 4 4 2 3" xfId="1670" xr:uid="{00000000-0005-0000-0000-000031000000}"/>
    <cellStyle name="Vírgula 3 4 4 2 3 2" xfId="5751" xr:uid="{00000000-0005-0000-0000-000031000000}"/>
    <cellStyle name="Vírgula 3 4 4 2 3 2 2" xfId="13911" xr:uid="{00000000-0005-0000-0000-000031000000}"/>
    <cellStyle name="Vírgula 3 4 4 2 3 3" xfId="9831" xr:uid="{00000000-0005-0000-0000-000031000000}"/>
    <cellStyle name="Vírgula 3 4 4 2 4" xfId="3710" xr:uid="{00000000-0005-0000-0000-000031000000}"/>
    <cellStyle name="Vírgula 3 4 4 2 4 2" xfId="7791" xr:uid="{00000000-0005-0000-0000-000031000000}"/>
    <cellStyle name="Vírgula 3 4 4 2 4 2 2" xfId="15951" xr:uid="{00000000-0005-0000-0000-000031000000}"/>
    <cellStyle name="Vírgula 3 4 4 2 4 3" xfId="11871" xr:uid="{00000000-0005-0000-0000-000031000000}"/>
    <cellStyle name="Vírgula 3 4 4 2 5" xfId="4730" xr:uid="{00000000-0005-0000-0000-000031000000}"/>
    <cellStyle name="Vírgula 3 4 4 2 5 2" xfId="12891" xr:uid="{00000000-0005-0000-0000-000031000000}"/>
    <cellStyle name="Vírgula 3 4 4 2 6" xfId="8811" xr:uid="{00000000-0005-0000-0000-000031000000}"/>
    <cellStyle name="Vírgula 3 4 4 3" xfId="2282" xr:uid="{00000000-0005-0000-0000-000031000000}"/>
    <cellStyle name="Vírgula 3 4 4 3 2" xfId="6363" xr:uid="{00000000-0005-0000-0000-000031000000}"/>
    <cellStyle name="Vírgula 3 4 4 3 2 2" xfId="14523" xr:uid="{00000000-0005-0000-0000-000031000000}"/>
    <cellStyle name="Vírgula 3 4 4 3 3" xfId="10443" xr:uid="{00000000-0005-0000-0000-000031000000}"/>
    <cellStyle name="Vírgula 3 4 4 4" xfId="1262" xr:uid="{00000000-0005-0000-0000-000031000000}"/>
    <cellStyle name="Vírgula 3 4 4 4 2" xfId="5343" xr:uid="{00000000-0005-0000-0000-000031000000}"/>
    <cellStyle name="Vírgula 3 4 4 4 2 2" xfId="13503" xr:uid="{00000000-0005-0000-0000-000031000000}"/>
    <cellStyle name="Vírgula 3 4 4 4 3" xfId="9423" xr:uid="{00000000-0005-0000-0000-000031000000}"/>
    <cellStyle name="Vírgula 3 4 4 5" xfId="3302" xr:uid="{00000000-0005-0000-0000-000031000000}"/>
    <cellStyle name="Vírgula 3 4 4 5 2" xfId="7383" xr:uid="{00000000-0005-0000-0000-000031000000}"/>
    <cellStyle name="Vírgula 3 4 4 5 2 2" xfId="15543" xr:uid="{00000000-0005-0000-0000-000031000000}"/>
    <cellStyle name="Vírgula 3 4 4 5 3" xfId="11463" xr:uid="{00000000-0005-0000-0000-000031000000}"/>
    <cellStyle name="Vírgula 3 4 4 6" xfId="4322" xr:uid="{00000000-0005-0000-0000-000031000000}"/>
    <cellStyle name="Vírgula 3 4 4 6 2" xfId="12483" xr:uid="{00000000-0005-0000-0000-000031000000}"/>
    <cellStyle name="Vírgula 3 4 4 7" xfId="8403" xr:uid="{00000000-0005-0000-0000-000031000000}"/>
    <cellStyle name="Vírgula 3 4 5" xfId="853" xr:uid="{00000000-0005-0000-0000-000031000000}"/>
    <cellStyle name="Vírgula 3 4 5 2" xfId="2894" xr:uid="{00000000-0005-0000-0000-000031000000}"/>
    <cellStyle name="Vírgula 3 4 5 2 2" xfId="6975" xr:uid="{00000000-0005-0000-0000-000031000000}"/>
    <cellStyle name="Vírgula 3 4 5 2 2 2" xfId="15135" xr:uid="{00000000-0005-0000-0000-000031000000}"/>
    <cellStyle name="Vírgula 3 4 5 2 3" xfId="11055" xr:uid="{00000000-0005-0000-0000-000031000000}"/>
    <cellStyle name="Vírgula 3 4 5 3" xfId="1874" xr:uid="{00000000-0005-0000-0000-000031000000}"/>
    <cellStyle name="Vírgula 3 4 5 3 2" xfId="5955" xr:uid="{00000000-0005-0000-0000-000031000000}"/>
    <cellStyle name="Vírgula 3 4 5 3 2 2" xfId="14115" xr:uid="{00000000-0005-0000-0000-000031000000}"/>
    <cellStyle name="Vírgula 3 4 5 3 3" xfId="10035" xr:uid="{00000000-0005-0000-0000-000031000000}"/>
    <cellStyle name="Vírgula 3 4 5 4" xfId="3914" xr:uid="{00000000-0005-0000-0000-000031000000}"/>
    <cellStyle name="Vírgula 3 4 5 4 2" xfId="7995" xr:uid="{00000000-0005-0000-0000-000031000000}"/>
    <cellStyle name="Vírgula 3 4 5 4 2 2" xfId="16155" xr:uid="{00000000-0005-0000-0000-000031000000}"/>
    <cellStyle name="Vírgula 3 4 5 4 3" xfId="12075" xr:uid="{00000000-0005-0000-0000-000031000000}"/>
    <cellStyle name="Vírgula 3 4 5 5" xfId="4934" xr:uid="{00000000-0005-0000-0000-000031000000}"/>
    <cellStyle name="Vírgula 3 4 5 5 2" xfId="13095" xr:uid="{00000000-0005-0000-0000-000031000000}"/>
    <cellStyle name="Vírgula 3 4 5 6" xfId="9015" xr:uid="{00000000-0005-0000-0000-000031000000}"/>
    <cellStyle name="Vírgula 3 4 6" xfId="445" xr:uid="{00000000-0005-0000-0000-000031000000}"/>
    <cellStyle name="Vírgula 3 4 6 2" xfId="2486" xr:uid="{00000000-0005-0000-0000-000031000000}"/>
    <cellStyle name="Vírgula 3 4 6 2 2" xfId="6567" xr:uid="{00000000-0005-0000-0000-000031000000}"/>
    <cellStyle name="Vírgula 3 4 6 2 2 2" xfId="14727" xr:uid="{00000000-0005-0000-0000-000031000000}"/>
    <cellStyle name="Vírgula 3 4 6 2 3" xfId="10647" xr:uid="{00000000-0005-0000-0000-000031000000}"/>
    <cellStyle name="Vírgula 3 4 6 3" xfId="1466" xr:uid="{00000000-0005-0000-0000-000031000000}"/>
    <cellStyle name="Vírgula 3 4 6 3 2" xfId="5547" xr:uid="{00000000-0005-0000-0000-000031000000}"/>
    <cellStyle name="Vírgula 3 4 6 3 2 2" xfId="13707" xr:uid="{00000000-0005-0000-0000-000031000000}"/>
    <cellStyle name="Vírgula 3 4 6 3 3" xfId="9627" xr:uid="{00000000-0005-0000-0000-000031000000}"/>
    <cellStyle name="Vírgula 3 4 6 4" xfId="3506" xr:uid="{00000000-0005-0000-0000-000031000000}"/>
    <cellStyle name="Vírgula 3 4 6 4 2" xfId="7587" xr:uid="{00000000-0005-0000-0000-000031000000}"/>
    <cellStyle name="Vírgula 3 4 6 4 2 2" xfId="15747" xr:uid="{00000000-0005-0000-0000-000031000000}"/>
    <cellStyle name="Vírgula 3 4 6 4 3" xfId="11667" xr:uid="{00000000-0005-0000-0000-000031000000}"/>
    <cellStyle name="Vírgula 3 4 6 5" xfId="4526" xr:uid="{00000000-0005-0000-0000-000031000000}"/>
    <cellStyle name="Vírgula 3 4 6 5 2" xfId="12687" xr:uid="{00000000-0005-0000-0000-000031000000}"/>
    <cellStyle name="Vírgula 3 4 6 6" xfId="8607" xr:uid="{00000000-0005-0000-0000-000031000000}"/>
    <cellStyle name="Vírgula 3 4 7" xfId="2078" xr:uid="{00000000-0005-0000-0000-000031000000}"/>
    <cellStyle name="Vírgula 3 4 7 2" xfId="6159" xr:uid="{00000000-0005-0000-0000-000031000000}"/>
    <cellStyle name="Vírgula 3 4 7 2 2" xfId="14319" xr:uid="{00000000-0005-0000-0000-000031000000}"/>
    <cellStyle name="Vírgula 3 4 7 3" xfId="10239" xr:uid="{00000000-0005-0000-0000-000031000000}"/>
    <cellStyle name="Vírgula 3 4 8" xfId="1058" xr:uid="{00000000-0005-0000-0000-000031000000}"/>
    <cellStyle name="Vírgula 3 4 8 2" xfId="5139" xr:uid="{00000000-0005-0000-0000-000031000000}"/>
    <cellStyle name="Vírgula 3 4 8 2 2" xfId="13299" xr:uid="{00000000-0005-0000-0000-000031000000}"/>
    <cellStyle name="Vírgula 3 4 8 3" xfId="9219" xr:uid="{00000000-0005-0000-0000-000031000000}"/>
    <cellStyle name="Vírgula 3 4 9" xfId="3098" xr:uid="{00000000-0005-0000-0000-000031000000}"/>
    <cellStyle name="Vírgula 3 4 9 2" xfId="7179" xr:uid="{00000000-0005-0000-0000-000031000000}"/>
    <cellStyle name="Vírgula 3 4 9 2 2" xfId="15339" xr:uid="{00000000-0005-0000-0000-000031000000}"/>
    <cellStyle name="Vírgula 3 4 9 3" xfId="11259" xr:uid="{00000000-0005-0000-0000-000031000000}"/>
    <cellStyle name="Vírgula 3 5" xfId="63" xr:uid="{00000000-0005-0000-0000-00002C000000}"/>
    <cellStyle name="Vírgula 3 5 10" xfId="8225" xr:uid="{00000000-0005-0000-0000-00002C000000}"/>
    <cellStyle name="Vírgula 3 5 2" xfId="165" xr:uid="{00000000-0005-0000-0000-00002C000000}"/>
    <cellStyle name="Vírgula 3 5 2 2" xfId="369" xr:uid="{00000000-0005-0000-0000-00002C000000}"/>
    <cellStyle name="Vírgula 3 5 2 2 2" xfId="777" xr:uid="{00000000-0005-0000-0000-00002C000000}"/>
    <cellStyle name="Vírgula 3 5 2 2 2 2" xfId="2818" xr:uid="{00000000-0005-0000-0000-00002C000000}"/>
    <cellStyle name="Vírgula 3 5 2 2 2 2 2" xfId="6899" xr:uid="{00000000-0005-0000-0000-00002C000000}"/>
    <cellStyle name="Vírgula 3 5 2 2 2 2 2 2" xfId="15059" xr:uid="{00000000-0005-0000-0000-00002C000000}"/>
    <cellStyle name="Vírgula 3 5 2 2 2 2 3" xfId="10979" xr:uid="{00000000-0005-0000-0000-00002C000000}"/>
    <cellStyle name="Vírgula 3 5 2 2 2 3" xfId="1798" xr:uid="{00000000-0005-0000-0000-00002C000000}"/>
    <cellStyle name="Vírgula 3 5 2 2 2 3 2" xfId="5879" xr:uid="{00000000-0005-0000-0000-00002C000000}"/>
    <cellStyle name="Vírgula 3 5 2 2 2 3 2 2" xfId="14039" xr:uid="{00000000-0005-0000-0000-00002C000000}"/>
    <cellStyle name="Vírgula 3 5 2 2 2 3 3" xfId="9959" xr:uid="{00000000-0005-0000-0000-00002C000000}"/>
    <cellStyle name="Vírgula 3 5 2 2 2 4" xfId="3838" xr:uid="{00000000-0005-0000-0000-00002C000000}"/>
    <cellStyle name="Vírgula 3 5 2 2 2 4 2" xfId="7919" xr:uid="{00000000-0005-0000-0000-00002C000000}"/>
    <cellStyle name="Vírgula 3 5 2 2 2 4 2 2" xfId="16079" xr:uid="{00000000-0005-0000-0000-00002C000000}"/>
    <cellStyle name="Vírgula 3 5 2 2 2 4 3" xfId="11999" xr:uid="{00000000-0005-0000-0000-00002C000000}"/>
    <cellStyle name="Vírgula 3 5 2 2 2 5" xfId="4858" xr:uid="{00000000-0005-0000-0000-00002C000000}"/>
    <cellStyle name="Vírgula 3 5 2 2 2 5 2" xfId="13019" xr:uid="{00000000-0005-0000-0000-00002C000000}"/>
    <cellStyle name="Vírgula 3 5 2 2 2 6" xfId="8939" xr:uid="{00000000-0005-0000-0000-00002C000000}"/>
    <cellStyle name="Vírgula 3 5 2 2 3" xfId="2410" xr:uid="{00000000-0005-0000-0000-00002C000000}"/>
    <cellStyle name="Vírgula 3 5 2 2 3 2" xfId="6491" xr:uid="{00000000-0005-0000-0000-00002C000000}"/>
    <cellStyle name="Vírgula 3 5 2 2 3 2 2" xfId="14651" xr:uid="{00000000-0005-0000-0000-00002C000000}"/>
    <cellStyle name="Vírgula 3 5 2 2 3 3" xfId="10571" xr:uid="{00000000-0005-0000-0000-00002C000000}"/>
    <cellStyle name="Vírgula 3 5 2 2 4" xfId="1390" xr:uid="{00000000-0005-0000-0000-00002C000000}"/>
    <cellStyle name="Vírgula 3 5 2 2 4 2" xfId="5471" xr:uid="{00000000-0005-0000-0000-00002C000000}"/>
    <cellStyle name="Vírgula 3 5 2 2 4 2 2" xfId="13631" xr:uid="{00000000-0005-0000-0000-00002C000000}"/>
    <cellStyle name="Vírgula 3 5 2 2 4 3" xfId="9551" xr:uid="{00000000-0005-0000-0000-00002C000000}"/>
    <cellStyle name="Vírgula 3 5 2 2 5" xfId="3430" xr:uid="{00000000-0005-0000-0000-00002C000000}"/>
    <cellStyle name="Vírgula 3 5 2 2 5 2" xfId="7511" xr:uid="{00000000-0005-0000-0000-00002C000000}"/>
    <cellStyle name="Vírgula 3 5 2 2 5 2 2" xfId="15671" xr:uid="{00000000-0005-0000-0000-00002C000000}"/>
    <cellStyle name="Vírgula 3 5 2 2 5 3" xfId="11591" xr:uid="{00000000-0005-0000-0000-00002C000000}"/>
    <cellStyle name="Vírgula 3 5 2 2 6" xfId="4450" xr:uid="{00000000-0005-0000-0000-00002C000000}"/>
    <cellStyle name="Vírgula 3 5 2 2 6 2" xfId="12611" xr:uid="{00000000-0005-0000-0000-00002C000000}"/>
    <cellStyle name="Vírgula 3 5 2 2 7" xfId="8531" xr:uid="{00000000-0005-0000-0000-00002C000000}"/>
    <cellStyle name="Vírgula 3 5 2 3" xfId="981" xr:uid="{00000000-0005-0000-0000-00002C000000}"/>
    <cellStyle name="Vírgula 3 5 2 3 2" xfId="3022" xr:uid="{00000000-0005-0000-0000-00002C000000}"/>
    <cellStyle name="Vírgula 3 5 2 3 2 2" xfId="7103" xr:uid="{00000000-0005-0000-0000-00002C000000}"/>
    <cellStyle name="Vírgula 3 5 2 3 2 2 2" xfId="15263" xr:uid="{00000000-0005-0000-0000-00002C000000}"/>
    <cellStyle name="Vírgula 3 5 2 3 2 3" xfId="11183" xr:uid="{00000000-0005-0000-0000-00002C000000}"/>
    <cellStyle name="Vírgula 3 5 2 3 3" xfId="2002" xr:uid="{00000000-0005-0000-0000-00002C000000}"/>
    <cellStyle name="Vírgula 3 5 2 3 3 2" xfId="6083" xr:uid="{00000000-0005-0000-0000-00002C000000}"/>
    <cellStyle name="Vírgula 3 5 2 3 3 2 2" xfId="14243" xr:uid="{00000000-0005-0000-0000-00002C000000}"/>
    <cellStyle name="Vírgula 3 5 2 3 3 3" xfId="10163" xr:uid="{00000000-0005-0000-0000-00002C000000}"/>
    <cellStyle name="Vírgula 3 5 2 3 4" xfId="4042" xr:uid="{00000000-0005-0000-0000-00002C000000}"/>
    <cellStyle name="Vírgula 3 5 2 3 4 2" xfId="8123" xr:uid="{00000000-0005-0000-0000-00002C000000}"/>
    <cellStyle name="Vírgula 3 5 2 3 4 2 2" xfId="16283" xr:uid="{00000000-0005-0000-0000-00002C000000}"/>
    <cellStyle name="Vírgula 3 5 2 3 4 3" xfId="12203" xr:uid="{00000000-0005-0000-0000-00002C000000}"/>
    <cellStyle name="Vírgula 3 5 2 3 5" xfId="5062" xr:uid="{00000000-0005-0000-0000-00002C000000}"/>
    <cellStyle name="Vírgula 3 5 2 3 5 2" xfId="13223" xr:uid="{00000000-0005-0000-0000-00002C000000}"/>
    <cellStyle name="Vírgula 3 5 2 3 6" xfId="9143" xr:uid="{00000000-0005-0000-0000-00002C000000}"/>
    <cellStyle name="Vírgula 3 5 2 4" xfId="573" xr:uid="{00000000-0005-0000-0000-00002C000000}"/>
    <cellStyle name="Vírgula 3 5 2 4 2" xfId="2614" xr:uid="{00000000-0005-0000-0000-00002C000000}"/>
    <cellStyle name="Vírgula 3 5 2 4 2 2" xfId="6695" xr:uid="{00000000-0005-0000-0000-00002C000000}"/>
    <cellStyle name="Vírgula 3 5 2 4 2 2 2" xfId="14855" xr:uid="{00000000-0005-0000-0000-00002C000000}"/>
    <cellStyle name="Vírgula 3 5 2 4 2 3" xfId="10775" xr:uid="{00000000-0005-0000-0000-00002C000000}"/>
    <cellStyle name="Vírgula 3 5 2 4 3" xfId="1594" xr:uid="{00000000-0005-0000-0000-00002C000000}"/>
    <cellStyle name="Vírgula 3 5 2 4 3 2" xfId="5675" xr:uid="{00000000-0005-0000-0000-00002C000000}"/>
    <cellStyle name="Vírgula 3 5 2 4 3 2 2" xfId="13835" xr:uid="{00000000-0005-0000-0000-00002C000000}"/>
    <cellStyle name="Vírgula 3 5 2 4 3 3" xfId="9755" xr:uid="{00000000-0005-0000-0000-00002C000000}"/>
    <cellStyle name="Vírgula 3 5 2 4 4" xfId="3634" xr:uid="{00000000-0005-0000-0000-00002C000000}"/>
    <cellStyle name="Vírgula 3 5 2 4 4 2" xfId="7715" xr:uid="{00000000-0005-0000-0000-00002C000000}"/>
    <cellStyle name="Vírgula 3 5 2 4 4 2 2" xfId="15875" xr:uid="{00000000-0005-0000-0000-00002C000000}"/>
    <cellStyle name="Vírgula 3 5 2 4 4 3" xfId="11795" xr:uid="{00000000-0005-0000-0000-00002C000000}"/>
    <cellStyle name="Vírgula 3 5 2 4 5" xfId="4654" xr:uid="{00000000-0005-0000-0000-00002C000000}"/>
    <cellStyle name="Vírgula 3 5 2 4 5 2" xfId="12815" xr:uid="{00000000-0005-0000-0000-00002C000000}"/>
    <cellStyle name="Vírgula 3 5 2 4 6" xfId="8735" xr:uid="{00000000-0005-0000-0000-00002C000000}"/>
    <cellStyle name="Vírgula 3 5 2 5" xfId="2206" xr:uid="{00000000-0005-0000-0000-00002C000000}"/>
    <cellStyle name="Vírgula 3 5 2 5 2" xfId="6287" xr:uid="{00000000-0005-0000-0000-00002C000000}"/>
    <cellStyle name="Vírgula 3 5 2 5 2 2" xfId="14447" xr:uid="{00000000-0005-0000-0000-00002C000000}"/>
    <cellStyle name="Vírgula 3 5 2 5 3" xfId="10367" xr:uid="{00000000-0005-0000-0000-00002C000000}"/>
    <cellStyle name="Vírgula 3 5 2 6" xfId="1186" xr:uid="{00000000-0005-0000-0000-00002C000000}"/>
    <cellStyle name="Vírgula 3 5 2 6 2" xfId="5267" xr:uid="{00000000-0005-0000-0000-00002C000000}"/>
    <cellStyle name="Vírgula 3 5 2 6 2 2" xfId="13427" xr:uid="{00000000-0005-0000-0000-00002C000000}"/>
    <cellStyle name="Vírgula 3 5 2 6 3" xfId="9347" xr:uid="{00000000-0005-0000-0000-00002C000000}"/>
    <cellStyle name="Vírgula 3 5 2 7" xfId="3226" xr:uid="{00000000-0005-0000-0000-00002C000000}"/>
    <cellStyle name="Vírgula 3 5 2 7 2" xfId="7307" xr:uid="{00000000-0005-0000-0000-00002C000000}"/>
    <cellStyle name="Vírgula 3 5 2 7 2 2" xfId="15467" xr:uid="{00000000-0005-0000-0000-00002C000000}"/>
    <cellStyle name="Vírgula 3 5 2 7 3" xfId="11387" xr:uid="{00000000-0005-0000-0000-00002C000000}"/>
    <cellStyle name="Vírgula 3 5 2 8" xfId="4246" xr:uid="{00000000-0005-0000-0000-00002C000000}"/>
    <cellStyle name="Vírgula 3 5 2 8 2" xfId="12407" xr:uid="{00000000-0005-0000-0000-00002C000000}"/>
    <cellStyle name="Vírgula 3 5 2 9" xfId="8327" xr:uid="{00000000-0005-0000-0000-00002C000000}"/>
    <cellStyle name="Vírgula 3 5 3" xfId="267" xr:uid="{00000000-0005-0000-0000-00002C000000}"/>
    <cellStyle name="Vírgula 3 5 3 2" xfId="675" xr:uid="{00000000-0005-0000-0000-00002C000000}"/>
    <cellStyle name="Vírgula 3 5 3 2 2" xfId="2716" xr:uid="{00000000-0005-0000-0000-00002C000000}"/>
    <cellStyle name="Vírgula 3 5 3 2 2 2" xfId="6797" xr:uid="{00000000-0005-0000-0000-00002C000000}"/>
    <cellStyle name="Vírgula 3 5 3 2 2 2 2" xfId="14957" xr:uid="{00000000-0005-0000-0000-00002C000000}"/>
    <cellStyle name="Vírgula 3 5 3 2 2 3" xfId="10877" xr:uid="{00000000-0005-0000-0000-00002C000000}"/>
    <cellStyle name="Vírgula 3 5 3 2 3" xfId="1696" xr:uid="{00000000-0005-0000-0000-00002C000000}"/>
    <cellStyle name="Vírgula 3 5 3 2 3 2" xfId="5777" xr:uid="{00000000-0005-0000-0000-00002C000000}"/>
    <cellStyle name="Vírgula 3 5 3 2 3 2 2" xfId="13937" xr:uid="{00000000-0005-0000-0000-00002C000000}"/>
    <cellStyle name="Vírgula 3 5 3 2 3 3" xfId="9857" xr:uid="{00000000-0005-0000-0000-00002C000000}"/>
    <cellStyle name="Vírgula 3 5 3 2 4" xfId="3736" xr:uid="{00000000-0005-0000-0000-00002C000000}"/>
    <cellStyle name="Vírgula 3 5 3 2 4 2" xfId="7817" xr:uid="{00000000-0005-0000-0000-00002C000000}"/>
    <cellStyle name="Vírgula 3 5 3 2 4 2 2" xfId="15977" xr:uid="{00000000-0005-0000-0000-00002C000000}"/>
    <cellStyle name="Vírgula 3 5 3 2 4 3" xfId="11897" xr:uid="{00000000-0005-0000-0000-00002C000000}"/>
    <cellStyle name="Vírgula 3 5 3 2 5" xfId="4756" xr:uid="{00000000-0005-0000-0000-00002C000000}"/>
    <cellStyle name="Vírgula 3 5 3 2 5 2" xfId="12917" xr:uid="{00000000-0005-0000-0000-00002C000000}"/>
    <cellStyle name="Vírgula 3 5 3 2 6" xfId="8837" xr:uid="{00000000-0005-0000-0000-00002C000000}"/>
    <cellStyle name="Vírgula 3 5 3 3" xfId="2308" xr:uid="{00000000-0005-0000-0000-00002C000000}"/>
    <cellStyle name="Vírgula 3 5 3 3 2" xfId="6389" xr:uid="{00000000-0005-0000-0000-00002C000000}"/>
    <cellStyle name="Vírgula 3 5 3 3 2 2" xfId="14549" xr:uid="{00000000-0005-0000-0000-00002C000000}"/>
    <cellStyle name="Vírgula 3 5 3 3 3" xfId="10469" xr:uid="{00000000-0005-0000-0000-00002C000000}"/>
    <cellStyle name="Vírgula 3 5 3 4" xfId="1288" xr:uid="{00000000-0005-0000-0000-00002C000000}"/>
    <cellStyle name="Vírgula 3 5 3 4 2" xfId="5369" xr:uid="{00000000-0005-0000-0000-00002C000000}"/>
    <cellStyle name="Vírgula 3 5 3 4 2 2" xfId="13529" xr:uid="{00000000-0005-0000-0000-00002C000000}"/>
    <cellStyle name="Vírgula 3 5 3 4 3" xfId="9449" xr:uid="{00000000-0005-0000-0000-00002C000000}"/>
    <cellStyle name="Vírgula 3 5 3 5" xfId="3328" xr:uid="{00000000-0005-0000-0000-00002C000000}"/>
    <cellStyle name="Vírgula 3 5 3 5 2" xfId="7409" xr:uid="{00000000-0005-0000-0000-00002C000000}"/>
    <cellStyle name="Vírgula 3 5 3 5 2 2" xfId="15569" xr:uid="{00000000-0005-0000-0000-00002C000000}"/>
    <cellStyle name="Vírgula 3 5 3 5 3" xfId="11489" xr:uid="{00000000-0005-0000-0000-00002C000000}"/>
    <cellStyle name="Vírgula 3 5 3 6" xfId="4348" xr:uid="{00000000-0005-0000-0000-00002C000000}"/>
    <cellStyle name="Vírgula 3 5 3 6 2" xfId="12509" xr:uid="{00000000-0005-0000-0000-00002C000000}"/>
    <cellStyle name="Vírgula 3 5 3 7" xfId="8429" xr:uid="{00000000-0005-0000-0000-00002C000000}"/>
    <cellStyle name="Vírgula 3 5 4" xfId="879" xr:uid="{00000000-0005-0000-0000-00002C000000}"/>
    <cellStyle name="Vírgula 3 5 4 2" xfId="2920" xr:uid="{00000000-0005-0000-0000-00002C000000}"/>
    <cellStyle name="Vírgula 3 5 4 2 2" xfId="7001" xr:uid="{00000000-0005-0000-0000-00002C000000}"/>
    <cellStyle name="Vírgula 3 5 4 2 2 2" xfId="15161" xr:uid="{00000000-0005-0000-0000-00002C000000}"/>
    <cellStyle name="Vírgula 3 5 4 2 3" xfId="11081" xr:uid="{00000000-0005-0000-0000-00002C000000}"/>
    <cellStyle name="Vírgula 3 5 4 3" xfId="1900" xr:uid="{00000000-0005-0000-0000-00002C000000}"/>
    <cellStyle name="Vírgula 3 5 4 3 2" xfId="5981" xr:uid="{00000000-0005-0000-0000-00002C000000}"/>
    <cellStyle name="Vírgula 3 5 4 3 2 2" xfId="14141" xr:uid="{00000000-0005-0000-0000-00002C000000}"/>
    <cellStyle name="Vírgula 3 5 4 3 3" xfId="10061" xr:uid="{00000000-0005-0000-0000-00002C000000}"/>
    <cellStyle name="Vírgula 3 5 4 4" xfId="3940" xr:uid="{00000000-0005-0000-0000-00002C000000}"/>
    <cellStyle name="Vírgula 3 5 4 4 2" xfId="8021" xr:uid="{00000000-0005-0000-0000-00002C000000}"/>
    <cellStyle name="Vírgula 3 5 4 4 2 2" xfId="16181" xr:uid="{00000000-0005-0000-0000-00002C000000}"/>
    <cellStyle name="Vírgula 3 5 4 4 3" xfId="12101" xr:uid="{00000000-0005-0000-0000-00002C000000}"/>
    <cellStyle name="Vírgula 3 5 4 5" xfId="4960" xr:uid="{00000000-0005-0000-0000-00002C000000}"/>
    <cellStyle name="Vírgula 3 5 4 5 2" xfId="13121" xr:uid="{00000000-0005-0000-0000-00002C000000}"/>
    <cellStyle name="Vírgula 3 5 4 6" xfId="9041" xr:uid="{00000000-0005-0000-0000-00002C000000}"/>
    <cellStyle name="Vírgula 3 5 5" xfId="471" xr:uid="{00000000-0005-0000-0000-00002C000000}"/>
    <cellStyle name="Vírgula 3 5 5 2" xfId="2512" xr:uid="{00000000-0005-0000-0000-00002C000000}"/>
    <cellStyle name="Vírgula 3 5 5 2 2" xfId="6593" xr:uid="{00000000-0005-0000-0000-00002C000000}"/>
    <cellStyle name="Vírgula 3 5 5 2 2 2" xfId="14753" xr:uid="{00000000-0005-0000-0000-00002C000000}"/>
    <cellStyle name="Vírgula 3 5 5 2 3" xfId="10673" xr:uid="{00000000-0005-0000-0000-00002C000000}"/>
    <cellStyle name="Vírgula 3 5 5 3" xfId="1492" xr:uid="{00000000-0005-0000-0000-00002C000000}"/>
    <cellStyle name="Vírgula 3 5 5 3 2" xfId="5573" xr:uid="{00000000-0005-0000-0000-00002C000000}"/>
    <cellStyle name="Vírgula 3 5 5 3 2 2" xfId="13733" xr:uid="{00000000-0005-0000-0000-00002C000000}"/>
    <cellStyle name="Vírgula 3 5 5 3 3" xfId="9653" xr:uid="{00000000-0005-0000-0000-00002C000000}"/>
    <cellStyle name="Vírgula 3 5 5 4" xfId="3532" xr:uid="{00000000-0005-0000-0000-00002C000000}"/>
    <cellStyle name="Vírgula 3 5 5 4 2" xfId="7613" xr:uid="{00000000-0005-0000-0000-00002C000000}"/>
    <cellStyle name="Vírgula 3 5 5 4 2 2" xfId="15773" xr:uid="{00000000-0005-0000-0000-00002C000000}"/>
    <cellStyle name="Vírgula 3 5 5 4 3" xfId="11693" xr:uid="{00000000-0005-0000-0000-00002C000000}"/>
    <cellStyle name="Vírgula 3 5 5 5" xfId="4552" xr:uid="{00000000-0005-0000-0000-00002C000000}"/>
    <cellStyle name="Vírgula 3 5 5 5 2" xfId="12713" xr:uid="{00000000-0005-0000-0000-00002C000000}"/>
    <cellStyle name="Vírgula 3 5 5 6" xfId="8633" xr:uid="{00000000-0005-0000-0000-00002C000000}"/>
    <cellStyle name="Vírgula 3 5 6" xfId="2104" xr:uid="{00000000-0005-0000-0000-00002C000000}"/>
    <cellStyle name="Vírgula 3 5 6 2" xfId="6185" xr:uid="{00000000-0005-0000-0000-00002C000000}"/>
    <cellStyle name="Vírgula 3 5 6 2 2" xfId="14345" xr:uid="{00000000-0005-0000-0000-00002C000000}"/>
    <cellStyle name="Vírgula 3 5 6 3" xfId="10265" xr:uid="{00000000-0005-0000-0000-00002C000000}"/>
    <cellStyle name="Vírgula 3 5 7" xfId="1084" xr:uid="{00000000-0005-0000-0000-00002C000000}"/>
    <cellStyle name="Vírgula 3 5 7 2" xfId="5165" xr:uid="{00000000-0005-0000-0000-00002C000000}"/>
    <cellStyle name="Vírgula 3 5 7 2 2" xfId="13325" xr:uid="{00000000-0005-0000-0000-00002C000000}"/>
    <cellStyle name="Vírgula 3 5 7 3" xfId="9245" xr:uid="{00000000-0005-0000-0000-00002C000000}"/>
    <cellStyle name="Vírgula 3 5 8" xfId="3124" xr:uid="{00000000-0005-0000-0000-00002C000000}"/>
    <cellStyle name="Vírgula 3 5 8 2" xfId="7205" xr:uid="{00000000-0005-0000-0000-00002C000000}"/>
    <cellStyle name="Vírgula 3 5 8 2 2" xfId="15365" xr:uid="{00000000-0005-0000-0000-00002C000000}"/>
    <cellStyle name="Vírgula 3 5 8 3" xfId="11285" xr:uid="{00000000-0005-0000-0000-00002C000000}"/>
    <cellStyle name="Vírgula 3 5 9" xfId="4144" xr:uid="{00000000-0005-0000-0000-00002C000000}"/>
    <cellStyle name="Vírgula 3 5 9 2" xfId="12305" xr:uid="{00000000-0005-0000-0000-00002C000000}"/>
    <cellStyle name="Vírgula 3 6" xfId="114" xr:uid="{00000000-0005-0000-0000-00002C000000}"/>
    <cellStyle name="Vírgula 3 6 2" xfId="318" xr:uid="{00000000-0005-0000-0000-00002C000000}"/>
    <cellStyle name="Vírgula 3 6 2 2" xfId="726" xr:uid="{00000000-0005-0000-0000-00002C000000}"/>
    <cellStyle name="Vírgula 3 6 2 2 2" xfId="2767" xr:uid="{00000000-0005-0000-0000-00002C000000}"/>
    <cellStyle name="Vírgula 3 6 2 2 2 2" xfId="6848" xr:uid="{00000000-0005-0000-0000-00002C000000}"/>
    <cellStyle name="Vírgula 3 6 2 2 2 2 2" xfId="15008" xr:uid="{00000000-0005-0000-0000-00002C000000}"/>
    <cellStyle name="Vírgula 3 6 2 2 2 3" xfId="10928" xr:uid="{00000000-0005-0000-0000-00002C000000}"/>
    <cellStyle name="Vírgula 3 6 2 2 3" xfId="1747" xr:uid="{00000000-0005-0000-0000-00002C000000}"/>
    <cellStyle name="Vírgula 3 6 2 2 3 2" xfId="5828" xr:uid="{00000000-0005-0000-0000-00002C000000}"/>
    <cellStyle name="Vírgula 3 6 2 2 3 2 2" xfId="13988" xr:uid="{00000000-0005-0000-0000-00002C000000}"/>
    <cellStyle name="Vírgula 3 6 2 2 3 3" xfId="9908" xr:uid="{00000000-0005-0000-0000-00002C000000}"/>
    <cellStyle name="Vírgula 3 6 2 2 4" xfId="3787" xr:uid="{00000000-0005-0000-0000-00002C000000}"/>
    <cellStyle name="Vírgula 3 6 2 2 4 2" xfId="7868" xr:uid="{00000000-0005-0000-0000-00002C000000}"/>
    <cellStyle name="Vírgula 3 6 2 2 4 2 2" xfId="16028" xr:uid="{00000000-0005-0000-0000-00002C000000}"/>
    <cellStyle name="Vírgula 3 6 2 2 4 3" xfId="11948" xr:uid="{00000000-0005-0000-0000-00002C000000}"/>
    <cellStyle name="Vírgula 3 6 2 2 5" xfId="4807" xr:uid="{00000000-0005-0000-0000-00002C000000}"/>
    <cellStyle name="Vírgula 3 6 2 2 5 2" xfId="12968" xr:uid="{00000000-0005-0000-0000-00002C000000}"/>
    <cellStyle name="Vírgula 3 6 2 2 6" xfId="8888" xr:uid="{00000000-0005-0000-0000-00002C000000}"/>
    <cellStyle name="Vírgula 3 6 2 3" xfId="2359" xr:uid="{00000000-0005-0000-0000-00002C000000}"/>
    <cellStyle name="Vírgula 3 6 2 3 2" xfId="6440" xr:uid="{00000000-0005-0000-0000-00002C000000}"/>
    <cellStyle name="Vírgula 3 6 2 3 2 2" xfId="14600" xr:uid="{00000000-0005-0000-0000-00002C000000}"/>
    <cellStyle name="Vírgula 3 6 2 3 3" xfId="10520" xr:uid="{00000000-0005-0000-0000-00002C000000}"/>
    <cellStyle name="Vírgula 3 6 2 4" xfId="1339" xr:uid="{00000000-0005-0000-0000-00002C000000}"/>
    <cellStyle name="Vírgula 3 6 2 4 2" xfId="5420" xr:uid="{00000000-0005-0000-0000-00002C000000}"/>
    <cellStyle name="Vírgula 3 6 2 4 2 2" xfId="13580" xr:uid="{00000000-0005-0000-0000-00002C000000}"/>
    <cellStyle name="Vírgula 3 6 2 4 3" xfId="9500" xr:uid="{00000000-0005-0000-0000-00002C000000}"/>
    <cellStyle name="Vírgula 3 6 2 5" xfId="3379" xr:uid="{00000000-0005-0000-0000-00002C000000}"/>
    <cellStyle name="Vírgula 3 6 2 5 2" xfId="7460" xr:uid="{00000000-0005-0000-0000-00002C000000}"/>
    <cellStyle name="Vírgula 3 6 2 5 2 2" xfId="15620" xr:uid="{00000000-0005-0000-0000-00002C000000}"/>
    <cellStyle name="Vírgula 3 6 2 5 3" xfId="11540" xr:uid="{00000000-0005-0000-0000-00002C000000}"/>
    <cellStyle name="Vírgula 3 6 2 6" xfId="4399" xr:uid="{00000000-0005-0000-0000-00002C000000}"/>
    <cellStyle name="Vírgula 3 6 2 6 2" xfId="12560" xr:uid="{00000000-0005-0000-0000-00002C000000}"/>
    <cellStyle name="Vírgula 3 6 2 7" xfId="8480" xr:uid="{00000000-0005-0000-0000-00002C000000}"/>
    <cellStyle name="Vírgula 3 6 3" xfId="930" xr:uid="{00000000-0005-0000-0000-00002C000000}"/>
    <cellStyle name="Vírgula 3 6 3 2" xfId="2971" xr:uid="{00000000-0005-0000-0000-00002C000000}"/>
    <cellStyle name="Vírgula 3 6 3 2 2" xfId="7052" xr:uid="{00000000-0005-0000-0000-00002C000000}"/>
    <cellStyle name="Vírgula 3 6 3 2 2 2" xfId="15212" xr:uid="{00000000-0005-0000-0000-00002C000000}"/>
    <cellStyle name="Vírgula 3 6 3 2 3" xfId="11132" xr:uid="{00000000-0005-0000-0000-00002C000000}"/>
    <cellStyle name="Vírgula 3 6 3 3" xfId="1951" xr:uid="{00000000-0005-0000-0000-00002C000000}"/>
    <cellStyle name="Vírgula 3 6 3 3 2" xfId="6032" xr:uid="{00000000-0005-0000-0000-00002C000000}"/>
    <cellStyle name="Vírgula 3 6 3 3 2 2" xfId="14192" xr:uid="{00000000-0005-0000-0000-00002C000000}"/>
    <cellStyle name="Vírgula 3 6 3 3 3" xfId="10112" xr:uid="{00000000-0005-0000-0000-00002C000000}"/>
    <cellStyle name="Vírgula 3 6 3 4" xfId="3991" xr:uid="{00000000-0005-0000-0000-00002C000000}"/>
    <cellStyle name="Vírgula 3 6 3 4 2" xfId="8072" xr:uid="{00000000-0005-0000-0000-00002C000000}"/>
    <cellStyle name="Vírgula 3 6 3 4 2 2" xfId="16232" xr:uid="{00000000-0005-0000-0000-00002C000000}"/>
    <cellStyle name="Vírgula 3 6 3 4 3" xfId="12152" xr:uid="{00000000-0005-0000-0000-00002C000000}"/>
    <cellStyle name="Vírgula 3 6 3 5" xfId="5011" xr:uid="{00000000-0005-0000-0000-00002C000000}"/>
    <cellStyle name="Vírgula 3 6 3 5 2" xfId="13172" xr:uid="{00000000-0005-0000-0000-00002C000000}"/>
    <cellStyle name="Vírgula 3 6 3 6" xfId="9092" xr:uid="{00000000-0005-0000-0000-00002C000000}"/>
    <cellStyle name="Vírgula 3 6 4" xfId="522" xr:uid="{00000000-0005-0000-0000-00002C000000}"/>
    <cellStyle name="Vírgula 3 6 4 2" xfId="2563" xr:uid="{00000000-0005-0000-0000-00002C000000}"/>
    <cellStyle name="Vírgula 3 6 4 2 2" xfId="6644" xr:uid="{00000000-0005-0000-0000-00002C000000}"/>
    <cellStyle name="Vírgula 3 6 4 2 2 2" xfId="14804" xr:uid="{00000000-0005-0000-0000-00002C000000}"/>
    <cellStyle name="Vírgula 3 6 4 2 3" xfId="10724" xr:uid="{00000000-0005-0000-0000-00002C000000}"/>
    <cellStyle name="Vírgula 3 6 4 3" xfId="1543" xr:uid="{00000000-0005-0000-0000-00002C000000}"/>
    <cellStyle name="Vírgula 3 6 4 3 2" xfId="5624" xr:uid="{00000000-0005-0000-0000-00002C000000}"/>
    <cellStyle name="Vírgula 3 6 4 3 2 2" xfId="13784" xr:uid="{00000000-0005-0000-0000-00002C000000}"/>
    <cellStyle name="Vírgula 3 6 4 3 3" xfId="9704" xr:uid="{00000000-0005-0000-0000-00002C000000}"/>
    <cellStyle name="Vírgula 3 6 4 4" xfId="3583" xr:uid="{00000000-0005-0000-0000-00002C000000}"/>
    <cellStyle name="Vírgula 3 6 4 4 2" xfId="7664" xr:uid="{00000000-0005-0000-0000-00002C000000}"/>
    <cellStyle name="Vírgula 3 6 4 4 2 2" xfId="15824" xr:uid="{00000000-0005-0000-0000-00002C000000}"/>
    <cellStyle name="Vírgula 3 6 4 4 3" xfId="11744" xr:uid="{00000000-0005-0000-0000-00002C000000}"/>
    <cellStyle name="Vírgula 3 6 4 5" xfId="4603" xr:uid="{00000000-0005-0000-0000-00002C000000}"/>
    <cellStyle name="Vírgula 3 6 4 5 2" xfId="12764" xr:uid="{00000000-0005-0000-0000-00002C000000}"/>
    <cellStyle name="Vírgula 3 6 4 6" xfId="8684" xr:uid="{00000000-0005-0000-0000-00002C000000}"/>
    <cellStyle name="Vírgula 3 6 5" xfId="2155" xr:uid="{00000000-0005-0000-0000-00002C000000}"/>
    <cellStyle name="Vírgula 3 6 5 2" xfId="6236" xr:uid="{00000000-0005-0000-0000-00002C000000}"/>
    <cellStyle name="Vírgula 3 6 5 2 2" xfId="14396" xr:uid="{00000000-0005-0000-0000-00002C000000}"/>
    <cellStyle name="Vírgula 3 6 5 3" xfId="10316" xr:uid="{00000000-0005-0000-0000-00002C000000}"/>
    <cellStyle name="Vírgula 3 6 6" xfId="1135" xr:uid="{00000000-0005-0000-0000-00002C000000}"/>
    <cellStyle name="Vírgula 3 6 6 2" xfId="5216" xr:uid="{00000000-0005-0000-0000-00002C000000}"/>
    <cellStyle name="Vírgula 3 6 6 2 2" xfId="13376" xr:uid="{00000000-0005-0000-0000-00002C000000}"/>
    <cellStyle name="Vírgula 3 6 6 3" xfId="9296" xr:uid="{00000000-0005-0000-0000-00002C000000}"/>
    <cellStyle name="Vírgula 3 6 7" xfId="3175" xr:uid="{00000000-0005-0000-0000-00002C000000}"/>
    <cellStyle name="Vírgula 3 6 7 2" xfId="7256" xr:uid="{00000000-0005-0000-0000-00002C000000}"/>
    <cellStyle name="Vírgula 3 6 7 2 2" xfId="15416" xr:uid="{00000000-0005-0000-0000-00002C000000}"/>
    <cellStyle name="Vírgula 3 6 7 3" xfId="11336" xr:uid="{00000000-0005-0000-0000-00002C000000}"/>
    <cellStyle name="Vírgula 3 6 8" xfId="4195" xr:uid="{00000000-0005-0000-0000-00002C000000}"/>
    <cellStyle name="Vírgula 3 6 8 2" xfId="12356" xr:uid="{00000000-0005-0000-0000-00002C000000}"/>
    <cellStyle name="Vírgula 3 6 9" xfId="8276" xr:uid="{00000000-0005-0000-0000-00002C000000}"/>
    <cellStyle name="Vírgula 3 7" xfId="216" xr:uid="{00000000-0005-0000-0000-00002C000000}"/>
    <cellStyle name="Vírgula 3 7 2" xfId="624" xr:uid="{00000000-0005-0000-0000-00002C000000}"/>
    <cellStyle name="Vírgula 3 7 2 2" xfId="2665" xr:uid="{00000000-0005-0000-0000-00002C000000}"/>
    <cellStyle name="Vírgula 3 7 2 2 2" xfId="6746" xr:uid="{00000000-0005-0000-0000-00002C000000}"/>
    <cellStyle name="Vírgula 3 7 2 2 2 2" xfId="14906" xr:uid="{00000000-0005-0000-0000-00002C000000}"/>
    <cellStyle name="Vírgula 3 7 2 2 3" xfId="10826" xr:uid="{00000000-0005-0000-0000-00002C000000}"/>
    <cellStyle name="Vírgula 3 7 2 3" xfId="1645" xr:uid="{00000000-0005-0000-0000-00002C000000}"/>
    <cellStyle name="Vírgula 3 7 2 3 2" xfId="5726" xr:uid="{00000000-0005-0000-0000-00002C000000}"/>
    <cellStyle name="Vírgula 3 7 2 3 2 2" xfId="13886" xr:uid="{00000000-0005-0000-0000-00002C000000}"/>
    <cellStyle name="Vírgula 3 7 2 3 3" xfId="9806" xr:uid="{00000000-0005-0000-0000-00002C000000}"/>
    <cellStyle name="Vírgula 3 7 2 4" xfId="3685" xr:uid="{00000000-0005-0000-0000-00002C000000}"/>
    <cellStyle name="Vírgula 3 7 2 4 2" xfId="7766" xr:uid="{00000000-0005-0000-0000-00002C000000}"/>
    <cellStyle name="Vírgula 3 7 2 4 2 2" xfId="15926" xr:uid="{00000000-0005-0000-0000-00002C000000}"/>
    <cellStyle name="Vírgula 3 7 2 4 3" xfId="11846" xr:uid="{00000000-0005-0000-0000-00002C000000}"/>
    <cellStyle name="Vírgula 3 7 2 5" xfId="4705" xr:uid="{00000000-0005-0000-0000-00002C000000}"/>
    <cellStyle name="Vírgula 3 7 2 5 2" xfId="12866" xr:uid="{00000000-0005-0000-0000-00002C000000}"/>
    <cellStyle name="Vírgula 3 7 2 6" xfId="8786" xr:uid="{00000000-0005-0000-0000-00002C000000}"/>
    <cellStyle name="Vírgula 3 7 3" xfId="2257" xr:uid="{00000000-0005-0000-0000-00002C000000}"/>
    <cellStyle name="Vírgula 3 7 3 2" xfId="6338" xr:uid="{00000000-0005-0000-0000-00002C000000}"/>
    <cellStyle name="Vírgula 3 7 3 2 2" xfId="14498" xr:uid="{00000000-0005-0000-0000-00002C000000}"/>
    <cellStyle name="Vírgula 3 7 3 3" xfId="10418" xr:uid="{00000000-0005-0000-0000-00002C000000}"/>
    <cellStyle name="Vírgula 3 7 4" xfId="1237" xr:uid="{00000000-0005-0000-0000-00002C000000}"/>
    <cellStyle name="Vírgula 3 7 4 2" xfId="5318" xr:uid="{00000000-0005-0000-0000-00002C000000}"/>
    <cellStyle name="Vírgula 3 7 4 2 2" xfId="13478" xr:uid="{00000000-0005-0000-0000-00002C000000}"/>
    <cellStyle name="Vírgula 3 7 4 3" xfId="9398" xr:uid="{00000000-0005-0000-0000-00002C000000}"/>
    <cellStyle name="Vírgula 3 7 5" xfId="3277" xr:uid="{00000000-0005-0000-0000-00002C000000}"/>
    <cellStyle name="Vírgula 3 7 5 2" xfId="7358" xr:uid="{00000000-0005-0000-0000-00002C000000}"/>
    <cellStyle name="Vírgula 3 7 5 2 2" xfId="15518" xr:uid="{00000000-0005-0000-0000-00002C000000}"/>
    <cellStyle name="Vírgula 3 7 5 3" xfId="11438" xr:uid="{00000000-0005-0000-0000-00002C000000}"/>
    <cellStyle name="Vírgula 3 7 6" xfId="4297" xr:uid="{00000000-0005-0000-0000-00002C000000}"/>
    <cellStyle name="Vírgula 3 7 6 2" xfId="12458" xr:uid="{00000000-0005-0000-0000-00002C000000}"/>
    <cellStyle name="Vírgula 3 7 7" xfId="8378" xr:uid="{00000000-0005-0000-0000-00002C000000}"/>
    <cellStyle name="Vírgula 3 8" xfId="828" xr:uid="{00000000-0005-0000-0000-00002C000000}"/>
    <cellStyle name="Vírgula 3 8 2" xfId="2869" xr:uid="{00000000-0005-0000-0000-00002C000000}"/>
    <cellStyle name="Vírgula 3 8 2 2" xfId="6950" xr:uid="{00000000-0005-0000-0000-00002C000000}"/>
    <cellStyle name="Vírgula 3 8 2 2 2" xfId="15110" xr:uid="{00000000-0005-0000-0000-00002C000000}"/>
    <cellStyle name="Vírgula 3 8 2 3" xfId="11030" xr:uid="{00000000-0005-0000-0000-00002C000000}"/>
    <cellStyle name="Vírgula 3 8 3" xfId="1849" xr:uid="{00000000-0005-0000-0000-00002C000000}"/>
    <cellStyle name="Vírgula 3 8 3 2" xfId="5930" xr:uid="{00000000-0005-0000-0000-00002C000000}"/>
    <cellStyle name="Vírgula 3 8 3 2 2" xfId="14090" xr:uid="{00000000-0005-0000-0000-00002C000000}"/>
    <cellStyle name="Vírgula 3 8 3 3" xfId="10010" xr:uid="{00000000-0005-0000-0000-00002C000000}"/>
    <cellStyle name="Vírgula 3 8 4" xfId="3889" xr:uid="{00000000-0005-0000-0000-00002C000000}"/>
    <cellStyle name="Vírgula 3 8 4 2" xfId="7970" xr:uid="{00000000-0005-0000-0000-00002C000000}"/>
    <cellStyle name="Vírgula 3 8 4 2 2" xfId="16130" xr:uid="{00000000-0005-0000-0000-00002C000000}"/>
    <cellStyle name="Vírgula 3 8 4 3" xfId="12050" xr:uid="{00000000-0005-0000-0000-00002C000000}"/>
    <cellStyle name="Vírgula 3 8 5" xfId="4909" xr:uid="{00000000-0005-0000-0000-00002C000000}"/>
    <cellStyle name="Vírgula 3 8 5 2" xfId="13070" xr:uid="{00000000-0005-0000-0000-00002C000000}"/>
    <cellStyle name="Vírgula 3 8 6" xfId="8990" xr:uid="{00000000-0005-0000-0000-00002C000000}"/>
    <cellStyle name="Vírgula 3 9" xfId="420" xr:uid="{00000000-0005-0000-0000-00002C000000}"/>
    <cellStyle name="Vírgula 3 9 2" xfId="2461" xr:uid="{00000000-0005-0000-0000-00002C000000}"/>
    <cellStyle name="Vírgula 3 9 2 2" xfId="6542" xr:uid="{00000000-0005-0000-0000-00002C000000}"/>
    <cellStyle name="Vírgula 3 9 2 2 2" xfId="14702" xr:uid="{00000000-0005-0000-0000-00002C000000}"/>
    <cellStyle name="Vírgula 3 9 2 3" xfId="10622" xr:uid="{00000000-0005-0000-0000-00002C000000}"/>
    <cellStyle name="Vírgula 3 9 3" xfId="1441" xr:uid="{00000000-0005-0000-0000-00002C000000}"/>
    <cellStyle name="Vírgula 3 9 3 2" xfId="5522" xr:uid="{00000000-0005-0000-0000-00002C000000}"/>
    <cellStyle name="Vírgula 3 9 3 2 2" xfId="13682" xr:uid="{00000000-0005-0000-0000-00002C000000}"/>
    <cellStyle name="Vírgula 3 9 3 3" xfId="9602" xr:uid="{00000000-0005-0000-0000-00002C000000}"/>
    <cellStyle name="Vírgula 3 9 4" xfId="3481" xr:uid="{00000000-0005-0000-0000-00002C000000}"/>
    <cellStyle name="Vírgula 3 9 4 2" xfId="7562" xr:uid="{00000000-0005-0000-0000-00002C000000}"/>
    <cellStyle name="Vírgula 3 9 4 2 2" xfId="15722" xr:uid="{00000000-0005-0000-0000-00002C000000}"/>
    <cellStyle name="Vírgula 3 9 4 3" xfId="11642" xr:uid="{00000000-0005-0000-0000-00002C000000}"/>
    <cellStyle name="Vírgula 3 9 5" xfId="4501" xr:uid="{00000000-0005-0000-0000-00002C000000}"/>
    <cellStyle name="Vírgula 3 9 5 2" xfId="12662" xr:uid="{00000000-0005-0000-0000-00002C000000}"/>
    <cellStyle name="Vírgula 3 9 6" xfId="8582" xr:uid="{00000000-0005-0000-0000-00002C000000}"/>
    <cellStyle name="Vírgula 4" xfId="10" xr:uid="{00000000-0005-0000-0000-000032000000}"/>
    <cellStyle name="Vírgula 4 10" xfId="3074" xr:uid="{00000000-0005-0000-0000-000032000000}"/>
    <cellStyle name="Vírgula 4 10 2" xfId="7155" xr:uid="{00000000-0005-0000-0000-000032000000}"/>
    <cellStyle name="Vírgula 4 10 2 2" xfId="15315" xr:uid="{00000000-0005-0000-0000-000032000000}"/>
    <cellStyle name="Vírgula 4 10 3" xfId="11235" xr:uid="{00000000-0005-0000-0000-000032000000}"/>
    <cellStyle name="Vírgula 4 11" xfId="4094" xr:uid="{00000000-0005-0000-0000-000032000000}"/>
    <cellStyle name="Vírgula 4 11 2" xfId="12255" xr:uid="{00000000-0005-0000-0000-000032000000}"/>
    <cellStyle name="Vírgula 4 12" xfId="8175" xr:uid="{00000000-0005-0000-0000-000032000000}"/>
    <cellStyle name="Vírgula 4 2" xfId="38" xr:uid="{00000000-0005-0000-0000-000033000000}"/>
    <cellStyle name="Vírgula 4 2 10" xfId="4119" xr:uid="{00000000-0005-0000-0000-000033000000}"/>
    <cellStyle name="Vírgula 4 2 10 2" xfId="12280" xr:uid="{00000000-0005-0000-0000-000033000000}"/>
    <cellStyle name="Vírgula 4 2 11" xfId="8200" xr:uid="{00000000-0005-0000-0000-000033000000}"/>
    <cellStyle name="Vírgula 4 2 2" xfId="89" xr:uid="{00000000-0005-0000-0000-000033000000}"/>
    <cellStyle name="Vírgula 4 2 2 10" xfId="8251" xr:uid="{00000000-0005-0000-0000-000033000000}"/>
    <cellStyle name="Vírgula 4 2 2 2" xfId="191" xr:uid="{00000000-0005-0000-0000-000033000000}"/>
    <cellStyle name="Vírgula 4 2 2 2 2" xfId="395" xr:uid="{00000000-0005-0000-0000-000033000000}"/>
    <cellStyle name="Vírgula 4 2 2 2 2 2" xfId="803" xr:uid="{00000000-0005-0000-0000-000033000000}"/>
    <cellStyle name="Vírgula 4 2 2 2 2 2 2" xfId="2844" xr:uid="{00000000-0005-0000-0000-000033000000}"/>
    <cellStyle name="Vírgula 4 2 2 2 2 2 2 2" xfId="6925" xr:uid="{00000000-0005-0000-0000-000033000000}"/>
    <cellStyle name="Vírgula 4 2 2 2 2 2 2 2 2" xfId="15085" xr:uid="{00000000-0005-0000-0000-000033000000}"/>
    <cellStyle name="Vírgula 4 2 2 2 2 2 2 3" xfId="11005" xr:uid="{00000000-0005-0000-0000-000033000000}"/>
    <cellStyle name="Vírgula 4 2 2 2 2 2 3" xfId="1824" xr:uid="{00000000-0005-0000-0000-000033000000}"/>
    <cellStyle name="Vírgula 4 2 2 2 2 2 3 2" xfId="5905" xr:uid="{00000000-0005-0000-0000-000033000000}"/>
    <cellStyle name="Vírgula 4 2 2 2 2 2 3 2 2" xfId="14065" xr:uid="{00000000-0005-0000-0000-000033000000}"/>
    <cellStyle name="Vírgula 4 2 2 2 2 2 3 3" xfId="9985" xr:uid="{00000000-0005-0000-0000-000033000000}"/>
    <cellStyle name="Vírgula 4 2 2 2 2 2 4" xfId="3864" xr:uid="{00000000-0005-0000-0000-000033000000}"/>
    <cellStyle name="Vírgula 4 2 2 2 2 2 4 2" xfId="7945" xr:uid="{00000000-0005-0000-0000-000033000000}"/>
    <cellStyle name="Vírgula 4 2 2 2 2 2 4 2 2" xfId="16105" xr:uid="{00000000-0005-0000-0000-000033000000}"/>
    <cellStyle name="Vírgula 4 2 2 2 2 2 4 3" xfId="12025" xr:uid="{00000000-0005-0000-0000-000033000000}"/>
    <cellStyle name="Vírgula 4 2 2 2 2 2 5" xfId="4884" xr:uid="{00000000-0005-0000-0000-000033000000}"/>
    <cellStyle name="Vírgula 4 2 2 2 2 2 5 2" xfId="13045" xr:uid="{00000000-0005-0000-0000-000033000000}"/>
    <cellStyle name="Vírgula 4 2 2 2 2 2 6" xfId="8965" xr:uid="{00000000-0005-0000-0000-000033000000}"/>
    <cellStyle name="Vírgula 4 2 2 2 2 3" xfId="2436" xr:uid="{00000000-0005-0000-0000-000033000000}"/>
    <cellStyle name="Vírgula 4 2 2 2 2 3 2" xfId="6517" xr:uid="{00000000-0005-0000-0000-000033000000}"/>
    <cellStyle name="Vírgula 4 2 2 2 2 3 2 2" xfId="14677" xr:uid="{00000000-0005-0000-0000-000033000000}"/>
    <cellStyle name="Vírgula 4 2 2 2 2 3 3" xfId="10597" xr:uid="{00000000-0005-0000-0000-000033000000}"/>
    <cellStyle name="Vírgula 4 2 2 2 2 4" xfId="1416" xr:uid="{00000000-0005-0000-0000-000033000000}"/>
    <cellStyle name="Vírgula 4 2 2 2 2 4 2" xfId="5497" xr:uid="{00000000-0005-0000-0000-000033000000}"/>
    <cellStyle name="Vírgula 4 2 2 2 2 4 2 2" xfId="13657" xr:uid="{00000000-0005-0000-0000-000033000000}"/>
    <cellStyle name="Vírgula 4 2 2 2 2 4 3" xfId="9577" xr:uid="{00000000-0005-0000-0000-000033000000}"/>
    <cellStyle name="Vírgula 4 2 2 2 2 5" xfId="3456" xr:uid="{00000000-0005-0000-0000-000033000000}"/>
    <cellStyle name="Vírgula 4 2 2 2 2 5 2" xfId="7537" xr:uid="{00000000-0005-0000-0000-000033000000}"/>
    <cellStyle name="Vírgula 4 2 2 2 2 5 2 2" xfId="15697" xr:uid="{00000000-0005-0000-0000-000033000000}"/>
    <cellStyle name="Vírgula 4 2 2 2 2 5 3" xfId="11617" xr:uid="{00000000-0005-0000-0000-000033000000}"/>
    <cellStyle name="Vírgula 4 2 2 2 2 6" xfId="4476" xr:uid="{00000000-0005-0000-0000-000033000000}"/>
    <cellStyle name="Vírgula 4 2 2 2 2 6 2" xfId="12637" xr:uid="{00000000-0005-0000-0000-000033000000}"/>
    <cellStyle name="Vírgula 4 2 2 2 2 7" xfId="8557" xr:uid="{00000000-0005-0000-0000-000033000000}"/>
    <cellStyle name="Vírgula 4 2 2 2 3" xfId="1007" xr:uid="{00000000-0005-0000-0000-000033000000}"/>
    <cellStyle name="Vírgula 4 2 2 2 3 2" xfId="3048" xr:uid="{00000000-0005-0000-0000-000033000000}"/>
    <cellStyle name="Vírgula 4 2 2 2 3 2 2" xfId="7129" xr:uid="{00000000-0005-0000-0000-000033000000}"/>
    <cellStyle name="Vírgula 4 2 2 2 3 2 2 2" xfId="15289" xr:uid="{00000000-0005-0000-0000-000033000000}"/>
    <cellStyle name="Vírgula 4 2 2 2 3 2 3" xfId="11209" xr:uid="{00000000-0005-0000-0000-000033000000}"/>
    <cellStyle name="Vírgula 4 2 2 2 3 3" xfId="2028" xr:uid="{00000000-0005-0000-0000-000033000000}"/>
    <cellStyle name="Vírgula 4 2 2 2 3 3 2" xfId="6109" xr:uid="{00000000-0005-0000-0000-000033000000}"/>
    <cellStyle name="Vírgula 4 2 2 2 3 3 2 2" xfId="14269" xr:uid="{00000000-0005-0000-0000-000033000000}"/>
    <cellStyle name="Vírgula 4 2 2 2 3 3 3" xfId="10189" xr:uid="{00000000-0005-0000-0000-000033000000}"/>
    <cellStyle name="Vírgula 4 2 2 2 3 4" xfId="4068" xr:uid="{00000000-0005-0000-0000-000033000000}"/>
    <cellStyle name="Vírgula 4 2 2 2 3 4 2" xfId="8149" xr:uid="{00000000-0005-0000-0000-000033000000}"/>
    <cellStyle name="Vírgula 4 2 2 2 3 4 2 2" xfId="16309" xr:uid="{00000000-0005-0000-0000-000033000000}"/>
    <cellStyle name="Vírgula 4 2 2 2 3 4 3" xfId="12229" xr:uid="{00000000-0005-0000-0000-000033000000}"/>
    <cellStyle name="Vírgula 4 2 2 2 3 5" xfId="5088" xr:uid="{00000000-0005-0000-0000-000033000000}"/>
    <cellStyle name="Vírgula 4 2 2 2 3 5 2" xfId="13249" xr:uid="{00000000-0005-0000-0000-000033000000}"/>
    <cellStyle name="Vírgula 4 2 2 2 3 6" xfId="9169" xr:uid="{00000000-0005-0000-0000-000033000000}"/>
    <cellStyle name="Vírgula 4 2 2 2 4" xfId="599" xr:uid="{00000000-0005-0000-0000-000033000000}"/>
    <cellStyle name="Vírgula 4 2 2 2 4 2" xfId="2640" xr:uid="{00000000-0005-0000-0000-000033000000}"/>
    <cellStyle name="Vírgula 4 2 2 2 4 2 2" xfId="6721" xr:uid="{00000000-0005-0000-0000-000033000000}"/>
    <cellStyle name="Vírgula 4 2 2 2 4 2 2 2" xfId="14881" xr:uid="{00000000-0005-0000-0000-000033000000}"/>
    <cellStyle name="Vírgula 4 2 2 2 4 2 3" xfId="10801" xr:uid="{00000000-0005-0000-0000-000033000000}"/>
    <cellStyle name="Vírgula 4 2 2 2 4 3" xfId="1620" xr:uid="{00000000-0005-0000-0000-000033000000}"/>
    <cellStyle name="Vírgula 4 2 2 2 4 3 2" xfId="5701" xr:uid="{00000000-0005-0000-0000-000033000000}"/>
    <cellStyle name="Vírgula 4 2 2 2 4 3 2 2" xfId="13861" xr:uid="{00000000-0005-0000-0000-000033000000}"/>
    <cellStyle name="Vírgula 4 2 2 2 4 3 3" xfId="9781" xr:uid="{00000000-0005-0000-0000-000033000000}"/>
    <cellStyle name="Vírgula 4 2 2 2 4 4" xfId="3660" xr:uid="{00000000-0005-0000-0000-000033000000}"/>
    <cellStyle name="Vírgula 4 2 2 2 4 4 2" xfId="7741" xr:uid="{00000000-0005-0000-0000-000033000000}"/>
    <cellStyle name="Vírgula 4 2 2 2 4 4 2 2" xfId="15901" xr:uid="{00000000-0005-0000-0000-000033000000}"/>
    <cellStyle name="Vírgula 4 2 2 2 4 4 3" xfId="11821" xr:uid="{00000000-0005-0000-0000-000033000000}"/>
    <cellStyle name="Vírgula 4 2 2 2 4 5" xfId="4680" xr:uid="{00000000-0005-0000-0000-000033000000}"/>
    <cellStyle name="Vírgula 4 2 2 2 4 5 2" xfId="12841" xr:uid="{00000000-0005-0000-0000-000033000000}"/>
    <cellStyle name="Vírgula 4 2 2 2 4 6" xfId="8761" xr:uid="{00000000-0005-0000-0000-000033000000}"/>
    <cellStyle name="Vírgula 4 2 2 2 5" xfId="2232" xr:uid="{00000000-0005-0000-0000-000033000000}"/>
    <cellStyle name="Vírgula 4 2 2 2 5 2" xfId="6313" xr:uid="{00000000-0005-0000-0000-000033000000}"/>
    <cellStyle name="Vírgula 4 2 2 2 5 2 2" xfId="14473" xr:uid="{00000000-0005-0000-0000-000033000000}"/>
    <cellStyle name="Vírgula 4 2 2 2 5 3" xfId="10393" xr:uid="{00000000-0005-0000-0000-000033000000}"/>
    <cellStyle name="Vírgula 4 2 2 2 6" xfId="1212" xr:uid="{00000000-0005-0000-0000-000033000000}"/>
    <cellStyle name="Vírgula 4 2 2 2 6 2" xfId="5293" xr:uid="{00000000-0005-0000-0000-000033000000}"/>
    <cellStyle name="Vírgula 4 2 2 2 6 2 2" xfId="13453" xr:uid="{00000000-0005-0000-0000-000033000000}"/>
    <cellStyle name="Vírgula 4 2 2 2 6 3" xfId="9373" xr:uid="{00000000-0005-0000-0000-000033000000}"/>
    <cellStyle name="Vírgula 4 2 2 2 7" xfId="3252" xr:uid="{00000000-0005-0000-0000-000033000000}"/>
    <cellStyle name="Vírgula 4 2 2 2 7 2" xfId="7333" xr:uid="{00000000-0005-0000-0000-000033000000}"/>
    <cellStyle name="Vírgula 4 2 2 2 7 2 2" xfId="15493" xr:uid="{00000000-0005-0000-0000-000033000000}"/>
    <cellStyle name="Vírgula 4 2 2 2 7 3" xfId="11413" xr:uid="{00000000-0005-0000-0000-000033000000}"/>
    <cellStyle name="Vírgula 4 2 2 2 8" xfId="4272" xr:uid="{00000000-0005-0000-0000-000033000000}"/>
    <cellStyle name="Vírgula 4 2 2 2 8 2" xfId="12433" xr:uid="{00000000-0005-0000-0000-000033000000}"/>
    <cellStyle name="Vírgula 4 2 2 2 9" xfId="8353" xr:uid="{00000000-0005-0000-0000-000033000000}"/>
    <cellStyle name="Vírgula 4 2 2 3" xfId="293" xr:uid="{00000000-0005-0000-0000-000033000000}"/>
    <cellStyle name="Vírgula 4 2 2 3 2" xfId="701" xr:uid="{00000000-0005-0000-0000-000033000000}"/>
    <cellStyle name="Vírgula 4 2 2 3 2 2" xfId="2742" xr:uid="{00000000-0005-0000-0000-000033000000}"/>
    <cellStyle name="Vírgula 4 2 2 3 2 2 2" xfId="6823" xr:uid="{00000000-0005-0000-0000-000033000000}"/>
    <cellStyle name="Vírgula 4 2 2 3 2 2 2 2" xfId="14983" xr:uid="{00000000-0005-0000-0000-000033000000}"/>
    <cellStyle name="Vírgula 4 2 2 3 2 2 3" xfId="10903" xr:uid="{00000000-0005-0000-0000-000033000000}"/>
    <cellStyle name="Vírgula 4 2 2 3 2 3" xfId="1722" xr:uid="{00000000-0005-0000-0000-000033000000}"/>
    <cellStyle name="Vírgula 4 2 2 3 2 3 2" xfId="5803" xr:uid="{00000000-0005-0000-0000-000033000000}"/>
    <cellStyle name="Vírgula 4 2 2 3 2 3 2 2" xfId="13963" xr:uid="{00000000-0005-0000-0000-000033000000}"/>
    <cellStyle name="Vírgula 4 2 2 3 2 3 3" xfId="9883" xr:uid="{00000000-0005-0000-0000-000033000000}"/>
    <cellStyle name="Vírgula 4 2 2 3 2 4" xfId="3762" xr:uid="{00000000-0005-0000-0000-000033000000}"/>
    <cellStyle name="Vírgula 4 2 2 3 2 4 2" xfId="7843" xr:uid="{00000000-0005-0000-0000-000033000000}"/>
    <cellStyle name="Vírgula 4 2 2 3 2 4 2 2" xfId="16003" xr:uid="{00000000-0005-0000-0000-000033000000}"/>
    <cellStyle name="Vírgula 4 2 2 3 2 4 3" xfId="11923" xr:uid="{00000000-0005-0000-0000-000033000000}"/>
    <cellStyle name="Vírgula 4 2 2 3 2 5" xfId="4782" xr:uid="{00000000-0005-0000-0000-000033000000}"/>
    <cellStyle name="Vírgula 4 2 2 3 2 5 2" xfId="12943" xr:uid="{00000000-0005-0000-0000-000033000000}"/>
    <cellStyle name="Vírgula 4 2 2 3 2 6" xfId="8863" xr:uid="{00000000-0005-0000-0000-000033000000}"/>
    <cellStyle name="Vírgula 4 2 2 3 3" xfId="2334" xr:uid="{00000000-0005-0000-0000-000033000000}"/>
    <cellStyle name="Vírgula 4 2 2 3 3 2" xfId="6415" xr:uid="{00000000-0005-0000-0000-000033000000}"/>
    <cellStyle name="Vírgula 4 2 2 3 3 2 2" xfId="14575" xr:uid="{00000000-0005-0000-0000-000033000000}"/>
    <cellStyle name="Vírgula 4 2 2 3 3 3" xfId="10495" xr:uid="{00000000-0005-0000-0000-000033000000}"/>
    <cellStyle name="Vírgula 4 2 2 3 4" xfId="1314" xr:uid="{00000000-0005-0000-0000-000033000000}"/>
    <cellStyle name="Vírgula 4 2 2 3 4 2" xfId="5395" xr:uid="{00000000-0005-0000-0000-000033000000}"/>
    <cellStyle name="Vírgula 4 2 2 3 4 2 2" xfId="13555" xr:uid="{00000000-0005-0000-0000-000033000000}"/>
    <cellStyle name="Vírgula 4 2 2 3 4 3" xfId="9475" xr:uid="{00000000-0005-0000-0000-000033000000}"/>
    <cellStyle name="Vírgula 4 2 2 3 5" xfId="3354" xr:uid="{00000000-0005-0000-0000-000033000000}"/>
    <cellStyle name="Vírgula 4 2 2 3 5 2" xfId="7435" xr:uid="{00000000-0005-0000-0000-000033000000}"/>
    <cellStyle name="Vírgula 4 2 2 3 5 2 2" xfId="15595" xr:uid="{00000000-0005-0000-0000-000033000000}"/>
    <cellStyle name="Vírgula 4 2 2 3 5 3" xfId="11515" xr:uid="{00000000-0005-0000-0000-000033000000}"/>
    <cellStyle name="Vírgula 4 2 2 3 6" xfId="4374" xr:uid="{00000000-0005-0000-0000-000033000000}"/>
    <cellStyle name="Vírgula 4 2 2 3 6 2" xfId="12535" xr:uid="{00000000-0005-0000-0000-000033000000}"/>
    <cellStyle name="Vírgula 4 2 2 3 7" xfId="8455" xr:uid="{00000000-0005-0000-0000-000033000000}"/>
    <cellStyle name="Vírgula 4 2 2 4" xfId="905" xr:uid="{00000000-0005-0000-0000-000033000000}"/>
    <cellStyle name="Vírgula 4 2 2 4 2" xfId="2946" xr:uid="{00000000-0005-0000-0000-000033000000}"/>
    <cellStyle name="Vírgula 4 2 2 4 2 2" xfId="7027" xr:uid="{00000000-0005-0000-0000-000033000000}"/>
    <cellStyle name="Vírgula 4 2 2 4 2 2 2" xfId="15187" xr:uid="{00000000-0005-0000-0000-000033000000}"/>
    <cellStyle name="Vírgula 4 2 2 4 2 3" xfId="11107" xr:uid="{00000000-0005-0000-0000-000033000000}"/>
    <cellStyle name="Vírgula 4 2 2 4 3" xfId="1926" xr:uid="{00000000-0005-0000-0000-000033000000}"/>
    <cellStyle name="Vírgula 4 2 2 4 3 2" xfId="6007" xr:uid="{00000000-0005-0000-0000-000033000000}"/>
    <cellStyle name="Vírgula 4 2 2 4 3 2 2" xfId="14167" xr:uid="{00000000-0005-0000-0000-000033000000}"/>
    <cellStyle name="Vírgula 4 2 2 4 3 3" xfId="10087" xr:uid="{00000000-0005-0000-0000-000033000000}"/>
    <cellStyle name="Vírgula 4 2 2 4 4" xfId="3966" xr:uid="{00000000-0005-0000-0000-000033000000}"/>
    <cellStyle name="Vírgula 4 2 2 4 4 2" xfId="8047" xr:uid="{00000000-0005-0000-0000-000033000000}"/>
    <cellStyle name="Vírgula 4 2 2 4 4 2 2" xfId="16207" xr:uid="{00000000-0005-0000-0000-000033000000}"/>
    <cellStyle name="Vírgula 4 2 2 4 4 3" xfId="12127" xr:uid="{00000000-0005-0000-0000-000033000000}"/>
    <cellStyle name="Vírgula 4 2 2 4 5" xfId="4986" xr:uid="{00000000-0005-0000-0000-000033000000}"/>
    <cellStyle name="Vírgula 4 2 2 4 5 2" xfId="13147" xr:uid="{00000000-0005-0000-0000-000033000000}"/>
    <cellStyle name="Vírgula 4 2 2 4 6" xfId="9067" xr:uid="{00000000-0005-0000-0000-000033000000}"/>
    <cellStyle name="Vírgula 4 2 2 5" xfId="497" xr:uid="{00000000-0005-0000-0000-000033000000}"/>
    <cellStyle name="Vírgula 4 2 2 5 2" xfId="2538" xr:uid="{00000000-0005-0000-0000-000033000000}"/>
    <cellStyle name="Vírgula 4 2 2 5 2 2" xfId="6619" xr:uid="{00000000-0005-0000-0000-000033000000}"/>
    <cellStyle name="Vírgula 4 2 2 5 2 2 2" xfId="14779" xr:uid="{00000000-0005-0000-0000-000033000000}"/>
    <cellStyle name="Vírgula 4 2 2 5 2 3" xfId="10699" xr:uid="{00000000-0005-0000-0000-000033000000}"/>
    <cellStyle name="Vírgula 4 2 2 5 3" xfId="1518" xr:uid="{00000000-0005-0000-0000-000033000000}"/>
    <cellStyle name="Vírgula 4 2 2 5 3 2" xfId="5599" xr:uid="{00000000-0005-0000-0000-000033000000}"/>
    <cellStyle name="Vírgula 4 2 2 5 3 2 2" xfId="13759" xr:uid="{00000000-0005-0000-0000-000033000000}"/>
    <cellStyle name="Vírgula 4 2 2 5 3 3" xfId="9679" xr:uid="{00000000-0005-0000-0000-000033000000}"/>
    <cellStyle name="Vírgula 4 2 2 5 4" xfId="3558" xr:uid="{00000000-0005-0000-0000-000033000000}"/>
    <cellStyle name="Vírgula 4 2 2 5 4 2" xfId="7639" xr:uid="{00000000-0005-0000-0000-000033000000}"/>
    <cellStyle name="Vírgula 4 2 2 5 4 2 2" xfId="15799" xr:uid="{00000000-0005-0000-0000-000033000000}"/>
    <cellStyle name="Vírgula 4 2 2 5 4 3" xfId="11719" xr:uid="{00000000-0005-0000-0000-000033000000}"/>
    <cellStyle name="Vírgula 4 2 2 5 5" xfId="4578" xr:uid="{00000000-0005-0000-0000-000033000000}"/>
    <cellStyle name="Vírgula 4 2 2 5 5 2" xfId="12739" xr:uid="{00000000-0005-0000-0000-000033000000}"/>
    <cellStyle name="Vírgula 4 2 2 5 6" xfId="8659" xr:uid="{00000000-0005-0000-0000-000033000000}"/>
    <cellStyle name="Vírgula 4 2 2 6" xfId="2130" xr:uid="{00000000-0005-0000-0000-000033000000}"/>
    <cellStyle name="Vírgula 4 2 2 6 2" xfId="6211" xr:uid="{00000000-0005-0000-0000-000033000000}"/>
    <cellStyle name="Vírgula 4 2 2 6 2 2" xfId="14371" xr:uid="{00000000-0005-0000-0000-000033000000}"/>
    <cellStyle name="Vírgula 4 2 2 6 3" xfId="10291" xr:uid="{00000000-0005-0000-0000-000033000000}"/>
    <cellStyle name="Vírgula 4 2 2 7" xfId="1110" xr:uid="{00000000-0005-0000-0000-000033000000}"/>
    <cellStyle name="Vírgula 4 2 2 7 2" xfId="5191" xr:uid="{00000000-0005-0000-0000-000033000000}"/>
    <cellStyle name="Vírgula 4 2 2 7 2 2" xfId="13351" xr:uid="{00000000-0005-0000-0000-000033000000}"/>
    <cellStyle name="Vírgula 4 2 2 7 3" xfId="9271" xr:uid="{00000000-0005-0000-0000-000033000000}"/>
    <cellStyle name="Vírgula 4 2 2 8" xfId="3150" xr:uid="{00000000-0005-0000-0000-000033000000}"/>
    <cellStyle name="Vírgula 4 2 2 8 2" xfId="7231" xr:uid="{00000000-0005-0000-0000-000033000000}"/>
    <cellStyle name="Vírgula 4 2 2 8 2 2" xfId="15391" xr:uid="{00000000-0005-0000-0000-000033000000}"/>
    <cellStyle name="Vírgula 4 2 2 8 3" xfId="11311" xr:uid="{00000000-0005-0000-0000-000033000000}"/>
    <cellStyle name="Vírgula 4 2 2 9" xfId="4170" xr:uid="{00000000-0005-0000-0000-000033000000}"/>
    <cellStyle name="Vírgula 4 2 2 9 2" xfId="12331" xr:uid="{00000000-0005-0000-0000-000033000000}"/>
    <cellStyle name="Vírgula 4 2 3" xfId="140" xr:uid="{00000000-0005-0000-0000-000033000000}"/>
    <cellStyle name="Vírgula 4 2 3 2" xfId="344" xr:uid="{00000000-0005-0000-0000-000033000000}"/>
    <cellStyle name="Vírgula 4 2 3 2 2" xfId="752" xr:uid="{00000000-0005-0000-0000-000033000000}"/>
    <cellStyle name="Vírgula 4 2 3 2 2 2" xfId="2793" xr:uid="{00000000-0005-0000-0000-000033000000}"/>
    <cellStyle name="Vírgula 4 2 3 2 2 2 2" xfId="6874" xr:uid="{00000000-0005-0000-0000-000033000000}"/>
    <cellStyle name="Vírgula 4 2 3 2 2 2 2 2" xfId="15034" xr:uid="{00000000-0005-0000-0000-000033000000}"/>
    <cellStyle name="Vírgula 4 2 3 2 2 2 3" xfId="10954" xr:uid="{00000000-0005-0000-0000-000033000000}"/>
    <cellStyle name="Vírgula 4 2 3 2 2 3" xfId="1773" xr:uid="{00000000-0005-0000-0000-000033000000}"/>
    <cellStyle name="Vírgula 4 2 3 2 2 3 2" xfId="5854" xr:uid="{00000000-0005-0000-0000-000033000000}"/>
    <cellStyle name="Vírgula 4 2 3 2 2 3 2 2" xfId="14014" xr:uid="{00000000-0005-0000-0000-000033000000}"/>
    <cellStyle name="Vírgula 4 2 3 2 2 3 3" xfId="9934" xr:uid="{00000000-0005-0000-0000-000033000000}"/>
    <cellStyle name="Vírgula 4 2 3 2 2 4" xfId="3813" xr:uid="{00000000-0005-0000-0000-000033000000}"/>
    <cellStyle name="Vírgula 4 2 3 2 2 4 2" xfId="7894" xr:uid="{00000000-0005-0000-0000-000033000000}"/>
    <cellStyle name="Vírgula 4 2 3 2 2 4 2 2" xfId="16054" xr:uid="{00000000-0005-0000-0000-000033000000}"/>
    <cellStyle name="Vírgula 4 2 3 2 2 4 3" xfId="11974" xr:uid="{00000000-0005-0000-0000-000033000000}"/>
    <cellStyle name="Vírgula 4 2 3 2 2 5" xfId="4833" xr:uid="{00000000-0005-0000-0000-000033000000}"/>
    <cellStyle name="Vírgula 4 2 3 2 2 5 2" xfId="12994" xr:uid="{00000000-0005-0000-0000-000033000000}"/>
    <cellStyle name="Vírgula 4 2 3 2 2 6" xfId="8914" xr:uid="{00000000-0005-0000-0000-000033000000}"/>
    <cellStyle name="Vírgula 4 2 3 2 3" xfId="2385" xr:uid="{00000000-0005-0000-0000-000033000000}"/>
    <cellStyle name="Vírgula 4 2 3 2 3 2" xfId="6466" xr:uid="{00000000-0005-0000-0000-000033000000}"/>
    <cellStyle name="Vírgula 4 2 3 2 3 2 2" xfId="14626" xr:uid="{00000000-0005-0000-0000-000033000000}"/>
    <cellStyle name="Vírgula 4 2 3 2 3 3" xfId="10546" xr:uid="{00000000-0005-0000-0000-000033000000}"/>
    <cellStyle name="Vírgula 4 2 3 2 4" xfId="1365" xr:uid="{00000000-0005-0000-0000-000033000000}"/>
    <cellStyle name="Vírgula 4 2 3 2 4 2" xfId="5446" xr:uid="{00000000-0005-0000-0000-000033000000}"/>
    <cellStyle name="Vírgula 4 2 3 2 4 2 2" xfId="13606" xr:uid="{00000000-0005-0000-0000-000033000000}"/>
    <cellStyle name="Vírgula 4 2 3 2 4 3" xfId="9526" xr:uid="{00000000-0005-0000-0000-000033000000}"/>
    <cellStyle name="Vírgula 4 2 3 2 5" xfId="3405" xr:uid="{00000000-0005-0000-0000-000033000000}"/>
    <cellStyle name="Vírgula 4 2 3 2 5 2" xfId="7486" xr:uid="{00000000-0005-0000-0000-000033000000}"/>
    <cellStyle name="Vírgula 4 2 3 2 5 2 2" xfId="15646" xr:uid="{00000000-0005-0000-0000-000033000000}"/>
    <cellStyle name="Vírgula 4 2 3 2 5 3" xfId="11566" xr:uid="{00000000-0005-0000-0000-000033000000}"/>
    <cellStyle name="Vírgula 4 2 3 2 6" xfId="4425" xr:uid="{00000000-0005-0000-0000-000033000000}"/>
    <cellStyle name="Vírgula 4 2 3 2 6 2" xfId="12586" xr:uid="{00000000-0005-0000-0000-000033000000}"/>
    <cellStyle name="Vírgula 4 2 3 2 7" xfId="8506" xr:uid="{00000000-0005-0000-0000-000033000000}"/>
    <cellStyle name="Vírgula 4 2 3 3" xfId="956" xr:uid="{00000000-0005-0000-0000-000033000000}"/>
    <cellStyle name="Vírgula 4 2 3 3 2" xfId="2997" xr:uid="{00000000-0005-0000-0000-000033000000}"/>
    <cellStyle name="Vírgula 4 2 3 3 2 2" xfId="7078" xr:uid="{00000000-0005-0000-0000-000033000000}"/>
    <cellStyle name="Vírgula 4 2 3 3 2 2 2" xfId="15238" xr:uid="{00000000-0005-0000-0000-000033000000}"/>
    <cellStyle name="Vírgula 4 2 3 3 2 3" xfId="11158" xr:uid="{00000000-0005-0000-0000-000033000000}"/>
    <cellStyle name="Vírgula 4 2 3 3 3" xfId="1977" xr:uid="{00000000-0005-0000-0000-000033000000}"/>
    <cellStyle name="Vírgula 4 2 3 3 3 2" xfId="6058" xr:uid="{00000000-0005-0000-0000-000033000000}"/>
    <cellStyle name="Vírgula 4 2 3 3 3 2 2" xfId="14218" xr:uid="{00000000-0005-0000-0000-000033000000}"/>
    <cellStyle name="Vírgula 4 2 3 3 3 3" xfId="10138" xr:uid="{00000000-0005-0000-0000-000033000000}"/>
    <cellStyle name="Vírgula 4 2 3 3 4" xfId="4017" xr:uid="{00000000-0005-0000-0000-000033000000}"/>
    <cellStyle name="Vírgula 4 2 3 3 4 2" xfId="8098" xr:uid="{00000000-0005-0000-0000-000033000000}"/>
    <cellStyle name="Vírgula 4 2 3 3 4 2 2" xfId="16258" xr:uid="{00000000-0005-0000-0000-000033000000}"/>
    <cellStyle name="Vírgula 4 2 3 3 4 3" xfId="12178" xr:uid="{00000000-0005-0000-0000-000033000000}"/>
    <cellStyle name="Vírgula 4 2 3 3 5" xfId="5037" xr:uid="{00000000-0005-0000-0000-000033000000}"/>
    <cellStyle name="Vírgula 4 2 3 3 5 2" xfId="13198" xr:uid="{00000000-0005-0000-0000-000033000000}"/>
    <cellStyle name="Vírgula 4 2 3 3 6" xfId="9118" xr:uid="{00000000-0005-0000-0000-000033000000}"/>
    <cellStyle name="Vírgula 4 2 3 4" xfId="548" xr:uid="{00000000-0005-0000-0000-000033000000}"/>
    <cellStyle name="Vírgula 4 2 3 4 2" xfId="2589" xr:uid="{00000000-0005-0000-0000-000033000000}"/>
    <cellStyle name="Vírgula 4 2 3 4 2 2" xfId="6670" xr:uid="{00000000-0005-0000-0000-000033000000}"/>
    <cellStyle name="Vírgula 4 2 3 4 2 2 2" xfId="14830" xr:uid="{00000000-0005-0000-0000-000033000000}"/>
    <cellStyle name="Vírgula 4 2 3 4 2 3" xfId="10750" xr:uid="{00000000-0005-0000-0000-000033000000}"/>
    <cellStyle name="Vírgula 4 2 3 4 3" xfId="1569" xr:uid="{00000000-0005-0000-0000-000033000000}"/>
    <cellStyle name="Vírgula 4 2 3 4 3 2" xfId="5650" xr:uid="{00000000-0005-0000-0000-000033000000}"/>
    <cellStyle name="Vírgula 4 2 3 4 3 2 2" xfId="13810" xr:uid="{00000000-0005-0000-0000-000033000000}"/>
    <cellStyle name="Vírgula 4 2 3 4 3 3" xfId="9730" xr:uid="{00000000-0005-0000-0000-000033000000}"/>
    <cellStyle name="Vírgula 4 2 3 4 4" xfId="3609" xr:uid="{00000000-0005-0000-0000-000033000000}"/>
    <cellStyle name="Vírgula 4 2 3 4 4 2" xfId="7690" xr:uid="{00000000-0005-0000-0000-000033000000}"/>
    <cellStyle name="Vírgula 4 2 3 4 4 2 2" xfId="15850" xr:uid="{00000000-0005-0000-0000-000033000000}"/>
    <cellStyle name="Vírgula 4 2 3 4 4 3" xfId="11770" xr:uid="{00000000-0005-0000-0000-000033000000}"/>
    <cellStyle name="Vírgula 4 2 3 4 5" xfId="4629" xr:uid="{00000000-0005-0000-0000-000033000000}"/>
    <cellStyle name="Vírgula 4 2 3 4 5 2" xfId="12790" xr:uid="{00000000-0005-0000-0000-000033000000}"/>
    <cellStyle name="Vírgula 4 2 3 4 6" xfId="8710" xr:uid="{00000000-0005-0000-0000-000033000000}"/>
    <cellStyle name="Vírgula 4 2 3 5" xfId="2181" xr:uid="{00000000-0005-0000-0000-000033000000}"/>
    <cellStyle name="Vírgula 4 2 3 5 2" xfId="6262" xr:uid="{00000000-0005-0000-0000-000033000000}"/>
    <cellStyle name="Vírgula 4 2 3 5 2 2" xfId="14422" xr:uid="{00000000-0005-0000-0000-000033000000}"/>
    <cellStyle name="Vírgula 4 2 3 5 3" xfId="10342" xr:uid="{00000000-0005-0000-0000-000033000000}"/>
    <cellStyle name="Vírgula 4 2 3 6" xfId="1161" xr:uid="{00000000-0005-0000-0000-000033000000}"/>
    <cellStyle name="Vírgula 4 2 3 6 2" xfId="5242" xr:uid="{00000000-0005-0000-0000-000033000000}"/>
    <cellStyle name="Vírgula 4 2 3 6 2 2" xfId="13402" xr:uid="{00000000-0005-0000-0000-000033000000}"/>
    <cellStyle name="Vírgula 4 2 3 6 3" xfId="9322" xr:uid="{00000000-0005-0000-0000-000033000000}"/>
    <cellStyle name="Vírgula 4 2 3 7" xfId="3201" xr:uid="{00000000-0005-0000-0000-000033000000}"/>
    <cellStyle name="Vírgula 4 2 3 7 2" xfId="7282" xr:uid="{00000000-0005-0000-0000-000033000000}"/>
    <cellStyle name="Vírgula 4 2 3 7 2 2" xfId="15442" xr:uid="{00000000-0005-0000-0000-000033000000}"/>
    <cellStyle name="Vírgula 4 2 3 7 3" xfId="11362" xr:uid="{00000000-0005-0000-0000-000033000000}"/>
    <cellStyle name="Vírgula 4 2 3 8" xfId="4221" xr:uid="{00000000-0005-0000-0000-000033000000}"/>
    <cellStyle name="Vírgula 4 2 3 8 2" xfId="12382" xr:uid="{00000000-0005-0000-0000-000033000000}"/>
    <cellStyle name="Vírgula 4 2 3 9" xfId="8302" xr:uid="{00000000-0005-0000-0000-000033000000}"/>
    <cellStyle name="Vírgula 4 2 4" xfId="242" xr:uid="{00000000-0005-0000-0000-000033000000}"/>
    <cellStyle name="Vírgula 4 2 4 2" xfId="650" xr:uid="{00000000-0005-0000-0000-000033000000}"/>
    <cellStyle name="Vírgula 4 2 4 2 2" xfId="2691" xr:uid="{00000000-0005-0000-0000-000033000000}"/>
    <cellStyle name="Vírgula 4 2 4 2 2 2" xfId="6772" xr:uid="{00000000-0005-0000-0000-000033000000}"/>
    <cellStyle name="Vírgula 4 2 4 2 2 2 2" xfId="14932" xr:uid="{00000000-0005-0000-0000-000033000000}"/>
    <cellStyle name="Vírgula 4 2 4 2 2 3" xfId="10852" xr:uid="{00000000-0005-0000-0000-000033000000}"/>
    <cellStyle name="Vírgula 4 2 4 2 3" xfId="1671" xr:uid="{00000000-0005-0000-0000-000033000000}"/>
    <cellStyle name="Vírgula 4 2 4 2 3 2" xfId="5752" xr:uid="{00000000-0005-0000-0000-000033000000}"/>
    <cellStyle name="Vírgula 4 2 4 2 3 2 2" xfId="13912" xr:uid="{00000000-0005-0000-0000-000033000000}"/>
    <cellStyle name="Vírgula 4 2 4 2 3 3" xfId="9832" xr:uid="{00000000-0005-0000-0000-000033000000}"/>
    <cellStyle name="Vírgula 4 2 4 2 4" xfId="3711" xr:uid="{00000000-0005-0000-0000-000033000000}"/>
    <cellStyle name="Vírgula 4 2 4 2 4 2" xfId="7792" xr:uid="{00000000-0005-0000-0000-000033000000}"/>
    <cellStyle name="Vírgula 4 2 4 2 4 2 2" xfId="15952" xr:uid="{00000000-0005-0000-0000-000033000000}"/>
    <cellStyle name="Vírgula 4 2 4 2 4 3" xfId="11872" xr:uid="{00000000-0005-0000-0000-000033000000}"/>
    <cellStyle name="Vírgula 4 2 4 2 5" xfId="4731" xr:uid="{00000000-0005-0000-0000-000033000000}"/>
    <cellStyle name="Vírgula 4 2 4 2 5 2" xfId="12892" xr:uid="{00000000-0005-0000-0000-000033000000}"/>
    <cellStyle name="Vírgula 4 2 4 2 6" xfId="8812" xr:uid="{00000000-0005-0000-0000-000033000000}"/>
    <cellStyle name="Vírgula 4 2 4 3" xfId="2283" xr:uid="{00000000-0005-0000-0000-000033000000}"/>
    <cellStyle name="Vírgula 4 2 4 3 2" xfId="6364" xr:uid="{00000000-0005-0000-0000-000033000000}"/>
    <cellStyle name="Vírgula 4 2 4 3 2 2" xfId="14524" xr:uid="{00000000-0005-0000-0000-000033000000}"/>
    <cellStyle name="Vírgula 4 2 4 3 3" xfId="10444" xr:uid="{00000000-0005-0000-0000-000033000000}"/>
    <cellStyle name="Vírgula 4 2 4 4" xfId="1263" xr:uid="{00000000-0005-0000-0000-000033000000}"/>
    <cellStyle name="Vírgula 4 2 4 4 2" xfId="5344" xr:uid="{00000000-0005-0000-0000-000033000000}"/>
    <cellStyle name="Vírgula 4 2 4 4 2 2" xfId="13504" xr:uid="{00000000-0005-0000-0000-000033000000}"/>
    <cellStyle name="Vírgula 4 2 4 4 3" xfId="9424" xr:uid="{00000000-0005-0000-0000-000033000000}"/>
    <cellStyle name="Vírgula 4 2 4 5" xfId="3303" xr:uid="{00000000-0005-0000-0000-000033000000}"/>
    <cellStyle name="Vírgula 4 2 4 5 2" xfId="7384" xr:uid="{00000000-0005-0000-0000-000033000000}"/>
    <cellStyle name="Vírgula 4 2 4 5 2 2" xfId="15544" xr:uid="{00000000-0005-0000-0000-000033000000}"/>
    <cellStyle name="Vírgula 4 2 4 5 3" xfId="11464" xr:uid="{00000000-0005-0000-0000-000033000000}"/>
    <cellStyle name="Vírgula 4 2 4 6" xfId="4323" xr:uid="{00000000-0005-0000-0000-000033000000}"/>
    <cellStyle name="Vírgula 4 2 4 6 2" xfId="12484" xr:uid="{00000000-0005-0000-0000-000033000000}"/>
    <cellStyle name="Vírgula 4 2 4 7" xfId="8404" xr:uid="{00000000-0005-0000-0000-000033000000}"/>
    <cellStyle name="Vírgula 4 2 5" xfId="854" xr:uid="{00000000-0005-0000-0000-000033000000}"/>
    <cellStyle name="Vírgula 4 2 5 2" xfId="2895" xr:uid="{00000000-0005-0000-0000-000033000000}"/>
    <cellStyle name="Vírgula 4 2 5 2 2" xfId="6976" xr:uid="{00000000-0005-0000-0000-000033000000}"/>
    <cellStyle name="Vírgula 4 2 5 2 2 2" xfId="15136" xr:uid="{00000000-0005-0000-0000-000033000000}"/>
    <cellStyle name="Vírgula 4 2 5 2 3" xfId="11056" xr:uid="{00000000-0005-0000-0000-000033000000}"/>
    <cellStyle name="Vírgula 4 2 5 3" xfId="1875" xr:uid="{00000000-0005-0000-0000-000033000000}"/>
    <cellStyle name="Vírgula 4 2 5 3 2" xfId="5956" xr:uid="{00000000-0005-0000-0000-000033000000}"/>
    <cellStyle name="Vírgula 4 2 5 3 2 2" xfId="14116" xr:uid="{00000000-0005-0000-0000-000033000000}"/>
    <cellStyle name="Vírgula 4 2 5 3 3" xfId="10036" xr:uid="{00000000-0005-0000-0000-000033000000}"/>
    <cellStyle name="Vírgula 4 2 5 4" xfId="3915" xr:uid="{00000000-0005-0000-0000-000033000000}"/>
    <cellStyle name="Vírgula 4 2 5 4 2" xfId="7996" xr:uid="{00000000-0005-0000-0000-000033000000}"/>
    <cellStyle name="Vírgula 4 2 5 4 2 2" xfId="16156" xr:uid="{00000000-0005-0000-0000-000033000000}"/>
    <cellStyle name="Vírgula 4 2 5 4 3" xfId="12076" xr:uid="{00000000-0005-0000-0000-000033000000}"/>
    <cellStyle name="Vírgula 4 2 5 5" xfId="4935" xr:uid="{00000000-0005-0000-0000-000033000000}"/>
    <cellStyle name="Vírgula 4 2 5 5 2" xfId="13096" xr:uid="{00000000-0005-0000-0000-000033000000}"/>
    <cellStyle name="Vírgula 4 2 5 6" xfId="9016" xr:uid="{00000000-0005-0000-0000-000033000000}"/>
    <cellStyle name="Vírgula 4 2 6" xfId="446" xr:uid="{00000000-0005-0000-0000-000033000000}"/>
    <cellStyle name="Vírgula 4 2 6 2" xfId="2487" xr:uid="{00000000-0005-0000-0000-000033000000}"/>
    <cellStyle name="Vírgula 4 2 6 2 2" xfId="6568" xr:uid="{00000000-0005-0000-0000-000033000000}"/>
    <cellStyle name="Vírgula 4 2 6 2 2 2" xfId="14728" xr:uid="{00000000-0005-0000-0000-000033000000}"/>
    <cellStyle name="Vírgula 4 2 6 2 3" xfId="10648" xr:uid="{00000000-0005-0000-0000-000033000000}"/>
    <cellStyle name="Vírgula 4 2 6 3" xfId="1467" xr:uid="{00000000-0005-0000-0000-000033000000}"/>
    <cellStyle name="Vírgula 4 2 6 3 2" xfId="5548" xr:uid="{00000000-0005-0000-0000-000033000000}"/>
    <cellStyle name="Vírgula 4 2 6 3 2 2" xfId="13708" xr:uid="{00000000-0005-0000-0000-000033000000}"/>
    <cellStyle name="Vírgula 4 2 6 3 3" xfId="9628" xr:uid="{00000000-0005-0000-0000-000033000000}"/>
    <cellStyle name="Vírgula 4 2 6 4" xfId="3507" xr:uid="{00000000-0005-0000-0000-000033000000}"/>
    <cellStyle name="Vírgula 4 2 6 4 2" xfId="7588" xr:uid="{00000000-0005-0000-0000-000033000000}"/>
    <cellStyle name="Vírgula 4 2 6 4 2 2" xfId="15748" xr:uid="{00000000-0005-0000-0000-000033000000}"/>
    <cellStyle name="Vírgula 4 2 6 4 3" xfId="11668" xr:uid="{00000000-0005-0000-0000-000033000000}"/>
    <cellStyle name="Vírgula 4 2 6 5" xfId="4527" xr:uid="{00000000-0005-0000-0000-000033000000}"/>
    <cellStyle name="Vírgula 4 2 6 5 2" xfId="12688" xr:uid="{00000000-0005-0000-0000-000033000000}"/>
    <cellStyle name="Vírgula 4 2 6 6" xfId="8608" xr:uid="{00000000-0005-0000-0000-000033000000}"/>
    <cellStyle name="Vírgula 4 2 7" xfId="2079" xr:uid="{00000000-0005-0000-0000-000033000000}"/>
    <cellStyle name="Vírgula 4 2 7 2" xfId="6160" xr:uid="{00000000-0005-0000-0000-000033000000}"/>
    <cellStyle name="Vírgula 4 2 7 2 2" xfId="14320" xr:uid="{00000000-0005-0000-0000-000033000000}"/>
    <cellStyle name="Vírgula 4 2 7 3" xfId="10240" xr:uid="{00000000-0005-0000-0000-000033000000}"/>
    <cellStyle name="Vírgula 4 2 8" xfId="1059" xr:uid="{00000000-0005-0000-0000-000033000000}"/>
    <cellStyle name="Vírgula 4 2 8 2" xfId="5140" xr:uid="{00000000-0005-0000-0000-000033000000}"/>
    <cellStyle name="Vírgula 4 2 8 2 2" xfId="13300" xr:uid="{00000000-0005-0000-0000-000033000000}"/>
    <cellStyle name="Vírgula 4 2 8 3" xfId="9220" xr:uid="{00000000-0005-0000-0000-000033000000}"/>
    <cellStyle name="Vírgula 4 2 9" xfId="3099" xr:uid="{00000000-0005-0000-0000-000033000000}"/>
    <cellStyle name="Vírgula 4 2 9 2" xfId="7180" xr:uid="{00000000-0005-0000-0000-000033000000}"/>
    <cellStyle name="Vírgula 4 2 9 2 2" xfId="15340" xr:uid="{00000000-0005-0000-0000-000033000000}"/>
    <cellStyle name="Vírgula 4 2 9 3" xfId="11260" xr:uid="{00000000-0005-0000-0000-000033000000}"/>
    <cellStyle name="Vírgula 4 3" xfId="64" xr:uid="{00000000-0005-0000-0000-000032000000}"/>
    <cellStyle name="Vírgula 4 3 10" xfId="8226" xr:uid="{00000000-0005-0000-0000-000032000000}"/>
    <cellStyle name="Vírgula 4 3 2" xfId="166" xr:uid="{00000000-0005-0000-0000-000032000000}"/>
    <cellStyle name="Vírgula 4 3 2 2" xfId="370" xr:uid="{00000000-0005-0000-0000-000032000000}"/>
    <cellStyle name="Vírgula 4 3 2 2 2" xfId="778" xr:uid="{00000000-0005-0000-0000-000032000000}"/>
    <cellStyle name="Vírgula 4 3 2 2 2 2" xfId="2819" xr:uid="{00000000-0005-0000-0000-000032000000}"/>
    <cellStyle name="Vírgula 4 3 2 2 2 2 2" xfId="6900" xr:uid="{00000000-0005-0000-0000-000032000000}"/>
    <cellStyle name="Vírgula 4 3 2 2 2 2 2 2" xfId="15060" xr:uid="{00000000-0005-0000-0000-000032000000}"/>
    <cellStyle name="Vírgula 4 3 2 2 2 2 3" xfId="10980" xr:uid="{00000000-0005-0000-0000-000032000000}"/>
    <cellStyle name="Vírgula 4 3 2 2 2 3" xfId="1799" xr:uid="{00000000-0005-0000-0000-000032000000}"/>
    <cellStyle name="Vírgula 4 3 2 2 2 3 2" xfId="5880" xr:uid="{00000000-0005-0000-0000-000032000000}"/>
    <cellStyle name="Vírgula 4 3 2 2 2 3 2 2" xfId="14040" xr:uid="{00000000-0005-0000-0000-000032000000}"/>
    <cellStyle name="Vírgula 4 3 2 2 2 3 3" xfId="9960" xr:uid="{00000000-0005-0000-0000-000032000000}"/>
    <cellStyle name="Vírgula 4 3 2 2 2 4" xfId="3839" xr:uid="{00000000-0005-0000-0000-000032000000}"/>
    <cellStyle name="Vírgula 4 3 2 2 2 4 2" xfId="7920" xr:uid="{00000000-0005-0000-0000-000032000000}"/>
    <cellStyle name="Vírgula 4 3 2 2 2 4 2 2" xfId="16080" xr:uid="{00000000-0005-0000-0000-000032000000}"/>
    <cellStyle name="Vírgula 4 3 2 2 2 4 3" xfId="12000" xr:uid="{00000000-0005-0000-0000-000032000000}"/>
    <cellStyle name="Vírgula 4 3 2 2 2 5" xfId="4859" xr:uid="{00000000-0005-0000-0000-000032000000}"/>
    <cellStyle name="Vírgula 4 3 2 2 2 5 2" xfId="13020" xr:uid="{00000000-0005-0000-0000-000032000000}"/>
    <cellStyle name="Vírgula 4 3 2 2 2 6" xfId="8940" xr:uid="{00000000-0005-0000-0000-000032000000}"/>
    <cellStyle name="Vírgula 4 3 2 2 3" xfId="2411" xr:uid="{00000000-0005-0000-0000-000032000000}"/>
    <cellStyle name="Vírgula 4 3 2 2 3 2" xfId="6492" xr:uid="{00000000-0005-0000-0000-000032000000}"/>
    <cellStyle name="Vírgula 4 3 2 2 3 2 2" xfId="14652" xr:uid="{00000000-0005-0000-0000-000032000000}"/>
    <cellStyle name="Vírgula 4 3 2 2 3 3" xfId="10572" xr:uid="{00000000-0005-0000-0000-000032000000}"/>
    <cellStyle name="Vírgula 4 3 2 2 4" xfId="1391" xr:uid="{00000000-0005-0000-0000-000032000000}"/>
    <cellStyle name="Vírgula 4 3 2 2 4 2" xfId="5472" xr:uid="{00000000-0005-0000-0000-000032000000}"/>
    <cellStyle name="Vírgula 4 3 2 2 4 2 2" xfId="13632" xr:uid="{00000000-0005-0000-0000-000032000000}"/>
    <cellStyle name="Vírgula 4 3 2 2 4 3" xfId="9552" xr:uid="{00000000-0005-0000-0000-000032000000}"/>
    <cellStyle name="Vírgula 4 3 2 2 5" xfId="3431" xr:uid="{00000000-0005-0000-0000-000032000000}"/>
    <cellStyle name="Vírgula 4 3 2 2 5 2" xfId="7512" xr:uid="{00000000-0005-0000-0000-000032000000}"/>
    <cellStyle name="Vírgula 4 3 2 2 5 2 2" xfId="15672" xr:uid="{00000000-0005-0000-0000-000032000000}"/>
    <cellStyle name="Vírgula 4 3 2 2 5 3" xfId="11592" xr:uid="{00000000-0005-0000-0000-000032000000}"/>
    <cellStyle name="Vírgula 4 3 2 2 6" xfId="4451" xr:uid="{00000000-0005-0000-0000-000032000000}"/>
    <cellStyle name="Vírgula 4 3 2 2 6 2" xfId="12612" xr:uid="{00000000-0005-0000-0000-000032000000}"/>
    <cellStyle name="Vírgula 4 3 2 2 7" xfId="8532" xr:uid="{00000000-0005-0000-0000-000032000000}"/>
    <cellStyle name="Vírgula 4 3 2 3" xfId="982" xr:uid="{00000000-0005-0000-0000-000032000000}"/>
    <cellStyle name="Vírgula 4 3 2 3 2" xfId="3023" xr:uid="{00000000-0005-0000-0000-000032000000}"/>
    <cellStyle name="Vírgula 4 3 2 3 2 2" xfId="7104" xr:uid="{00000000-0005-0000-0000-000032000000}"/>
    <cellStyle name="Vírgula 4 3 2 3 2 2 2" xfId="15264" xr:uid="{00000000-0005-0000-0000-000032000000}"/>
    <cellStyle name="Vírgula 4 3 2 3 2 3" xfId="11184" xr:uid="{00000000-0005-0000-0000-000032000000}"/>
    <cellStyle name="Vírgula 4 3 2 3 3" xfId="2003" xr:uid="{00000000-0005-0000-0000-000032000000}"/>
    <cellStyle name="Vírgula 4 3 2 3 3 2" xfId="6084" xr:uid="{00000000-0005-0000-0000-000032000000}"/>
    <cellStyle name="Vírgula 4 3 2 3 3 2 2" xfId="14244" xr:uid="{00000000-0005-0000-0000-000032000000}"/>
    <cellStyle name="Vírgula 4 3 2 3 3 3" xfId="10164" xr:uid="{00000000-0005-0000-0000-000032000000}"/>
    <cellStyle name="Vírgula 4 3 2 3 4" xfId="4043" xr:uid="{00000000-0005-0000-0000-000032000000}"/>
    <cellStyle name="Vírgula 4 3 2 3 4 2" xfId="8124" xr:uid="{00000000-0005-0000-0000-000032000000}"/>
    <cellStyle name="Vírgula 4 3 2 3 4 2 2" xfId="16284" xr:uid="{00000000-0005-0000-0000-000032000000}"/>
    <cellStyle name="Vírgula 4 3 2 3 4 3" xfId="12204" xr:uid="{00000000-0005-0000-0000-000032000000}"/>
    <cellStyle name="Vírgula 4 3 2 3 5" xfId="5063" xr:uid="{00000000-0005-0000-0000-000032000000}"/>
    <cellStyle name="Vírgula 4 3 2 3 5 2" xfId="13224" xr:uid="{00000000-0005-0000-0000-000032000000}"/>
    <cellStyle name="Vírgula 4 3 2 3 6" xfId="9144" xr:uid="{00000000-0005-0000-0000-000032000000}"/>
    <cellStyle name="Vírgula 4 3 2 4" xfId="574" xr:uid="{00000000-0005-0000-0000-000032000000}"/>
    <cellStyle name="Vírgula 4 3 2 4 2" xfId="2615" xr:uid="{00000000-0005-0000-0000-000032000000}"/>
    <cellStyle name="Vírgula 4 3 2 4 2 2" xfId="6696" xr:uid="{00000000-0005-0000-0000-000032000000}"/>
    <cellStyle name="Vírgula 4 3 2 4 2 2 2" xfId="14856" xr:uid="{00000000-0005-0000-0000-000032000000}"/>
    <cellStyle name="Vírgula 4 3 2 4 2 3" xfId="10776" xr:uid="{00000000-0005-0000-0000-000032000000}"/>
    <cellStyle name="Vírgula 4 3 2 4 3" xfId="1595" xr:uid="{00000000-0005-0000-0000-000032000000}"/>
    <cellStyle name="Vírgula 4 3 2 4 3 2" xfId="5676" xr:uid="{00000000-0005-0000-0000-000032000000}"/>
    <cellStyle name="Vírgula 4 3 2 4 3 2 2" xfId="13836" xr:uid="{00000000-0005-0000-0000-000032000000}"/>
    <cellStyle name="Vírgula 4 3 2 4 3 3" xfId="9756" xr:uid="{00000000-0005-0000-0000-000032000000}"/>
    <cellStyle name="Vírgula 4 3 2 4 4" xfId="3635" xr:uid="{00000000-0005-0000-0000-000032000000}"/>
    <cellStyle name="Vírgula 4 3 2 4 4 2" xfId="7716" xr:uid="{00000000-0005-0000-0000-000032000000}"/>
    <cellStyle name="Vírgula 4 3 2 4 4 2 2" xfId="15876" xr:uid="{00000000-0005-0000-0000-000032000000}"/>
    <cellStyle name="Vírgula 4 3 2 4 4 3" xfId="11796" xr:uid="{00000000-0005-0000-0000-000032000000}"/>
    <cellStyle name="Vírgula 4 3 2 4 5" xfId="4655" xr:uid="{00000000-0005-0000-0000-000032000000}"/>
    <cellStyle name="Vírgula 4 3 2 4 5 2" xfId="12816" xr:uid="{00000000-0005-0000-0000-000032000000}"/>
    <cellStyle name="Vírgula 4 3 2 4 6" xfId="8736" xr:uid="{00000000-0005-0000-0000-000032000000}"/>
    <cellStyle name="Vírgula 4 3 2 5" xfId="2207" xr:uid="{00000000-0005-0000-0000-000032000000}"/>
    <cellStyle name="Vírgula 4 3 2 5 2" xfId="6288" xr:uid="{00000000-0005-0000-0000-000032000000}"/>
    <cellStyle name="Vírgula 4 3 2 5 2 2" xfId="14448" xr:uid="{00000000-0005-0000-0000-000032000000}"/>
    <cellStyle name="Vírgula 4 3 2 5 3" xfId="10368" xr:uid="{00000000-0005-0000-0000-000032000000}"/>
    <cellStyle name="Vírgula 4 3 2 6" xfId="1187" xr:uid="{00000000-0005-0000-0000-000032000000}"/>
    <cellStyle name="Vírgula 4 3 2 6 2" xfId="5268" xr:uid="{00000000-0005-0000-0000-000032000000}"/>
    <cellStyle name="Vírgula 4 3 2 6 2 2" xfId="13428" xr:uid="{00000000-0005-0000-0000-000032000000}"/>
    <cellStyle name="Vírgula 4 3 2 6 3" xfId="9348" xr:uid="{00000000-0005-0000-0000-000032000000}"/>
    <cellStyle name="Vírgula 4 3 2 7" xfId="3227" xr:uid="{00000000-0005-0000-0000-000032000000}"/>
    <cellStyle name="Vírgula 4 3 2 7 2" xfId="7308" xr:uid="{00000000-0005-0000-0000-000032000000}"/>
    <cellStyle name="Vírgula 4 3 2 7 2 2" xfId="15468" xr:uid="{00000000-0005-0000-0000-000032000000}"/>
    <cellStyle name="Vírgula 4 3 2 7 3" xfId="11388" xr:uid="{00000000-0005-0000-0000-000032000000}"/>
    <cellStyle name="Vírgula 4 3 2 8" xfId="4247" xr:uid="{00000000-0005-0000-0000-000032000000}"/>
    <cellStyle name="Vírgula 4 3 2 8 2" xfId="12408" xr:uid="{00000000-0005-0000-0000-000032000000}"/>
    <cellStyle name="Vírgula 4 3 2 9" xfId="8328" xr:uid="{00000000-0005-0000-0000-000032000000}"/>
    <cellStyle name="Vírgula 4 3 3" xfId="268" xr:uid="{00000000-0005-0000-0000-000032000000}"/>
    <cellStyle name="Vírgula 4 3 3 2" xfId="676" xr:uid="{00000000-0005-0000-0000-000032000000}"/>
    <cellStyle name="Vírgula 4 3 3 2 2" xfId="2717" xr:uid="{00000000-0005-0000-0000-000032000000}"/>
    <cellStyle name="Vírgula 4 3 3 2 2 2" xfId="6798" xr:uid="{00000000-0005-0000-0000-000032000000}"/>
    <cellStyle name="Vírgula 4 3 3 2 2 2 2" xfId="14958" xr:uid="{00000000-0005-0000-0000-000032000000}"/>
    <cellStyle name="Vírgula 4 3 3 2 2 3" xfId="10878" xr:uid="{00000000-0005-0000-0000-000032000000}"/>
    <cellStyle name="Vírgula 4 3 3 2 3" xfId="1697" xr:uid="{00000000-0005-0000-0000-000032000000}"/>
    <cellStyle name="Vírgula 4 3 3 2 3 2" xfId="5778" xr:uid="{00000000-0005-0000-0000-000032000000}"/>
    <cellStyle name="Vírgula 4 3 3 2 3 2 2" xfId="13938" xr:uid="{00000000-0005-0000-0000-000032000000}"/>
    <cellStyle name="Vírgula 4 3 3 2 3 3" xfId="9858" xr:uid="{00000000-0005-0000-0000-000032000000}"/>
    <cellStyle name="Vírgula 4 3 3 2 4" xfId="3737" xr:uid="{00000000-0005-0000-0000-000032000000}"/>
    <cellStyle name="Vírgula 4 3 3 2 4 2" xfId="7818" xr:uid="{00000000-0005-0000-0000-000032000000}"/>
    <cellStyle name="Vírgula 4 3 3 2 4 2 2" xfId="15978" xr:uid="{00000000-0005-0000-0000-000032000000}"/>
    <cellStyle name="Vírgula 4 3 3 2 4 3" xfId="11898" xr:uid="{00000000-0005-0000-0000-000032000000}"/>
    <cellStyle name="Vírgula 4 3 3 2 5" xfId="4757" xr:uid="{00000000-0005-0000-0000-000032000000}"/>
    <cellStyle name="Vírgula 4 3 3 2 5 2" xfId="12918" xr:uid="{00000000-0005-0000-0000-000032000000}"/>
    <cellStyle name="Vírgula 4 3 3 2 6" xfId="8838" xr:uid="{00000000-0005-0000-0000-000032000000}"/>
    <cellStyle name="Vírgula 4 3 3 3" xfId="2309" xr:uid="{00000000-0005-0000-0000-000032000000}"/>
    <cellStyle name="Vírgula 4 3 3 3 2" xfId="6390" xr:uid="{00000000-0005-0000-0000-000032000000}"/>
    <cellStyle name="Vírgula 4 3 3 3 2 2" xfId="14550" xr:uid="{00000000-0005-0000-0000-000032000000}"/>
    <cellStyle name="Vírgula 4 3 3 3 3" xfId="10470" xr:uid="{00000000-0005-0000-0000-000032000000}"/>
    <cellStyle name="Vírgula 4 3 3 4" xfId="1289" xr:uid="{00000000-0005-0000-0000-000032000000}"/>
    <cellStyle name="Vírgula 4 3 3 4 2" xfId="5370" xr:uid="{00000000-0005-0000-0000-000032000000}"/>
    <cellStyle name="Vírgula 4 3 3 4 2 2" xfId="13530" xr:uid="{00000000-0005-0000-0000-000032000000}"/>
    <cellStyle name="Vírgula 4 3 3 4 3" xfId="9450" xr:uid="{00000000-0005-0000-0000-000032000000}"/>
    <cellStyle name="Vírgula 4 3 3 5" xfId="3329" xr:uid="{00000000-0005-0000-0000-000032000000}"/>
    <cellStyle name="Vírgula 4 3 3 5 2" xfId="7410" xr:uid="{00000000-0005-0000-0000-000032000000}"/>
    <cellStyle name="Vírgula 4 3 3 5 2 2" xfId="15570" xr:uid="{00000000-0005-0000-0000-000032000000}"/>
    <cellStyle name="Vírgula 4 3 3 5 3" xfId="11490" xr:uid="{00000000-0005-0000-0000-000032000000}"/>
    <cellStyle name="Vírgula 4 3 3 6" xfId="4349" xr:uid="{00000000-0005-0000-0000-000032000000}"/>
    <cellStyle name="Vírgula 4 3 3 6 2" xfId="12510" xr:uid="{00000000-0005-0000-0000-000032000000}"/>
    <cellStyle name="Vírgula 4 3 3 7" xfId="8430" xr:uid="{00000000-0005-0000-0000-000032000000}"/>
    <cellStyle name="Vírgula 4 3 4" xfId="880" xr:uid="{00000000-0005-0000-0000-000032000000}"/>
    <cellStyle name="Vírgula 4 3 4 2" xfId="2921" xr:uid="{00000000-0005-0000-0000-000032000000}"/>
    <cellStyle name="Vírgula 4 3 4 2 2" xfId="7002" xr:uid="{00000000-0005-0000-0000-000032000000}"/>
    <cellStyle name="Vírgula 4 3 4 2 2 2" xfId="15162" xr:uid="{00000000-0005-0000-0000-000032000000}"/>
    <cellStyle name="Vírgula 4 3 4 2 3" xfId="11082" xr:uid="{00000000-0005-0000-0000-000032000000}"/>
    <cellStyle name="Vírgula 4 3 4 3" xfId="1901" xr:uid="{00000000-0005-0000-0000-000032000000}"/>
    <cellStyle name="Vírgula 4 3 4 3 2" xfId="5982" xr:uid="{00000000-0005-0000-0000-000032000000}"/>
    <cellStyle name="Vírgula 4 3 4 3 2 2" xfId="14142" xr:uid="{00000000-0005-0000-0000-000032000000}"/>
    <cellStyle name="Vírgula 4 3 4 3 3" xfId="10062" xr:uid="{00000000-0005-0000-0000-000032000000}"/>
    <cellStyle name="Vírgula 4 3 4 4" xfId="3941" xr:uid="{00000000-0005-0000-0000-000032000000}"/>
    <cellStyle name="Vírgula 4 3 4 4 2" xfId="8022" xr:uid="{00000000-0005-0000-0000-000032000000}"/>
    <cellStyle name="Vírgula 4 3 4 4 2 2" xfId="16182" xr:uid="{00000000-0005-0000-0000-000032000000}"/>
    <cellStyle name="Vírgula 4 3 4 4 3" xfId="12102" xr:uid="{00000000-0005-0000-0000-000032000000}"/>
    <cellStyle name="Vírgula 4 3 4 5" xfId="4961" xr:uid="{00000000-0005-0000-0000-000032000000}"/>
    <cellStyle name="Vírgula 4 3 4 5 2" xfId="13122" xr:uid="{00000000-0005-0000-0000-000032000000}"/>
    <cellStyle name="Vírgula 4 3 4 6" xfId="9042" xr:uid="{00000000-0005-0000-0000-000032000000}"/>
    <cellStyle name="Vírgula 4 3 5" xfId="472" xr:uid="{00000000-0005-0000-0000-000032000000}"/>
    <cellStyle name="Vírgula 4 3 5 2" xfId="2513" xr:uid="{00000000-0005-0000-0000-000032000000}"/>
    <cellStyle name="Vírgula 4 3 5 2 2" xfId="6594" xr:uid="{00000000-0005-0000-0000-000032000000}"/>
    <cellStyle name="Vírgula 4 3 5 2 2 2" xfId="14754" xr:uid="{00000000-0005-0000-0000-000032000000}"/>
    <cellStyle name="Vírgula 4 3 5 2 3" xfId="10674" xr:uid="{00000000-0005-0000-0000-000032000000}"/>
    <cellStyle name="Vírgula 4 3 5 3" xfId="1493" xr:uid="{00000000-0005-0000-0000-000032000000}"/>
    <cellStyle name="Vírgula 4 3 5 3 2" xfId="5574" xr:uid="{00000000-0005-0000-0000-000032000000}"/>
    <cellStyle name="Vírgula 4 3 5 3 2 2" xfId="13734" xr:uid="{00000000-0005-0000-0000-000032000000}"/>
    <cellStyle name="Vírgula 4 3 5 3 3" xfId="9654" xr:uid="{00000000-0005-0000-0000-000032000000}"/>
    <cellStyle name="Vírgula 4 3 5 4" xfId="3533" xr:uid="{00000000-0005-0000-0000-000032000000}"/>
    <cellStyle name="Vírgula 4 3 5 4 2" xfId="7614" xr:uid="{00000000-0005-0000-0000-000032000000}"/>
    <cellStyle name="Vírgula 4 3 5 4 2 2" xfId="15774" xr:uid="{00000000-0005-0000-0000-000032000000}"/>
    <cellStyle name="Vírgula 4 3 5 4 3" xfId="11694" xr:uid="{00000000-0005-0000-0000-000032000000}"/>
    <cellStyle name="Vírgula 4 3 5 5" xfId="4553" xr:uid="{00000000-0005-0000-0000-000032000000}"/>
    <cellStyle name="Vírgula 4 3 5 5 2" xfId="12714" xr:uid="{00000000-0005-0000-0000-000032000000}"/>
    <cellStyle name="Vírgula 4 3 5 6" xfId="8634" xr:uid="{00000000-0005-0000-0000-000032000000}"/>
    <cellStyle name="Vírgula 4 3 6" xfId="2105" xr:uid="{00000000-0005-0000-0000-000032000000}"/>
    <cellStyle name="Vírgula 4 3 6 2" xfId="6186" xr:uid="{00000000-0005-0000-0000-000032000000}"/>
    <cellStyle name="Vírgula 4 3 6 2 2" xfId="14346" xr:uid="{00000000-0005-0000-0000-000032000000}"/>
    <cellStyle name="Vírgula 4 3 6 3" xfId="10266" xr:uid="{00000000-0005-0000-0000-000032000000}"/>
    <cellStyle name="Vírgula 4 3 7" xfId="1085" xr:uid="{00000000-0005-0000-0000-000032000000}"/>
    <cellStyle name="Vírgula 4 3 7 2" xfId="5166" xr:uid="{00000000-0005-0000-0000-000032000000}"/>
    <cellStyle name="Vírgula 4 3 7 2 2" xfId="13326" xr:uid="{00000000-0005-0000-0000-000032000000}"/>
    <cellStyle name="Vírgula 4 3 7 3" xfId="9246" xr:uid="{00000000-0005-0000-0000-000032000000}"/>
    <cellStyle name="Vírgula 4 3 8" xfId="3125" xr:uid="{00000000-0005-0000-0000-000032000000}"/>
    <cellStyle name="Vírgula 4 3 8 2" xfId="7206" xr:uid="{00000000-0005-0000-0000-000032000000}"/>
    <cellStyle name="Vírgula 4 3 8 2 2" xfId="15366" xr:uid="{00000000-0005-0000-0000-000032000000}"/>
    <cellStyle name="Vírgula 4 3 8 3" xfId="11286" xr:uid="{00000000-0005-0000-0000-000032000000}"/>
    <cellStyle name="Vírgula 4 3 9" xfId="4145" xr:uid="{00000000-0005-0000-0000-000032000000}"/>
    <cellStyle name="Vírgula 4 3 9 2" xfId="12306" xr:uid="{00000000-0005-0000-0000-000032000000}"/>
    <cellStyle name="Vírgula 4 4" xfId="115" xr:uid="{00000000-0005-0000-0000-000032000000}"/>
    <cellStyle name="Vírgula 4 4 2" xfId="319" xr:uid="{00000000-0005-0000-0000-000032000000}"/>
    <cellStyle name="Vírgula 4 4 2 2" xfId="727" xr:uid="{00000000-0005-0000-0000-000032000000}"/>
    <cellStyle name="Vírgula 4 4 2 2 2" xfId="2768" xr:uid="{00000000-0005-0000-0000-000032000000}"/>
    <cellStyle name="Vírgula 4 4 2 2 2 2" xfId="6849" xr:uid="{00000000-0005-0000-0000-000032000000}"/>
    <cellStyle name="Vírgula 4 4 2 2 2 2 2" xfId="15009" xr:uid="{00000000-0005-0000-0000-000032000000}"/>
    <cellStyle name="Vírgula 4 4 2 2 2 3" xfId="10929" xr:uid="{00000000-0005-0000-0000-000032000000}"/>
    <cellStyle name="Vírgula 4 4 2 2 3" xfId="1748" xr:uid="{00000000-0005-0000-0000-000032000000}"/>
    <cellStyle name="Vírgula 4 4 2 2 3 2" xfId="5829" xr:uid="{00000000-0005-0000-0000-000032000000}"/>
    <cellStyle name="Vírgula 4 4 2 2 3 2 2" xfId="13989" xr:uid="{00000000-0005-0000-0000-000032000000}"/>
    <cellStyle name="Vírgula 4 4 2 2 3 3" xfId="9909" xr:uid="{00000000-0005-0000-0000-000032000000}"/>
    <cellStyle name="Vírgula 4 4 2 2 4" xfId="3788" xr:uid="{00000000-0005-0000-0000-000032000000}"/>
    <cellStyle name="Vírgula 4 4 2 2 4 2" xfId="7869" xr:uid="{00000000-0005-0000-0000-000032000000}"/>
    <cellStyle name="Vírgula 4 4 2 2 4 2 2" xfId="16029" xr:uid="{00000000-0005-0000-0000-000032000000}"/>
    <cellStyle name="Vírgula 4 4 2 2 4 3" xfId="11949" xr:uid="{00000000-0005-0000-0000-000032000000}"/>
    <cellStyle name="Vírgula 4 4 2 2 5" xfId="4808" xr:uid="{00000000-0005-0000-0000-000032000000}"/>
    <cellStyle name="Vírgula 4 4 2 2 5 2" xfId="12969" xr:uid="{00000000-0005-0000-0000-000032000000}"/>
    <cellStyle name="Vírgula 4 4 2 2 6" xfId="8889" xr:uid="{00000000-0005-0000-0000-000032000000}"/>
    <cellStyle name="Vírgula 4 4 2 3" xfId="2360" xr:uid="{00000000-0005-0000-0000-000032000000}"/>
    <cellStyle name="Vírgula 4 4 2 3 2" xfId="6441" xr:uid="{00000000-0005-0000-0000-000032000000}"/>
    <cellStyle name="Vírgula 4 4 2 3 2 2" xfId="14601" xr:uid="{00000000-0005-0000-0000-000032000000}"/>
    <cellStyle name="Vírgula 4 4 2 3 3" xfId="10521" xr:uid="{00000000-0005-0000-0000-000032000000}"/>
    <cellStyle name="Vírgula 4 4 2 4" xfId="1340" xr:uid="{00000000-0005-0000-0000-000032000000}"/>
    <cellStyle name="Vírgula 4 4 2 4 2" xfId="5421" xr:uid="{00000000-0005-0000-0000-000032000000}"/>
    <cellStyle name="Vírgula 4 4 2 4 2 2" xfId="13581" xr:uid="{00000000-0005-0000-0000-000032000000}"/>
    <cellStyle name="Vírgula 4 4 2 4 3" xfId="9501" xr:uid="{00000000-0005-0000-0000-000032000000}"/>
    <cellStyle name="Vírgula 4 4 2 5" xfId="3380" xr:uid="{00000000-0005-0000-0000-000032000000}"/>
    <cellStyle name="Vírgula 4 4 2 5 2" xfId="7461" xr:uid="{00000000-0005-0000-0000-000032000000}"/>
    <cellStyle name="Vírgula 4 4 2 5 2 2" xfId="15621" xr:uid="{00000000-0005-0000-0000-000032000000}"/>
    <cellStyle name="Vírgula 4 4 2 5 3" xfId="11541" xr:uid="{00000000-0005-0000-0000-000032000000}"/>
    <cellStyle name="Vírgula 4 4 2 6" xfId="4400" xr:uid="{00000000-0005-0000-0000-000032000000}"/>
    <cellStyle name="Vírgula 4 4 2 6 2" xfId="12561" xr:uid="{00000000-0005-0000-0000-000032000000}"/>
    <cellStyle name="Vírgula 4 4 2 7" xfId="8481" xr:uid="{00000000-0005-0000-0000-000032000000}"/>
    <cellStyle name="Vírgula 4 4 3" xfId="931" xr:uid="{00000000-0005-0000-0000-000032000000}"/>
    <cellStyle name="Vírgula 4 4 3 2" xfId="2972" xr:uid="{00000000-0005-0000-0000-000032000000}"/>
    <cellStyle name="Vírgula 4 4 3 2 2" xfId="7053" xr:uid="{00000000-0005-0000-0000-000032000000}"/>
    <cellStyle name="Vírgula 4 4 3 2 2 2" xfId="15213" xr:uid="{00000000-0005-0000-0000-000032000000}"/>
    <cellStyle name="Vírgula 4 4 3 2 3" xfId="11133" xr:uid="{00000000-0005-0000-0000-000032000000}"/>
    <cellStyle name="Vírgula 4 4 3 3" xfId="1952" xr:uid="{00000000-0005-0000-0000-000032000000}"/>
    <cellStyle name="Vírgula 4 4 3 3 2" xfId="6033" xr:uid="{00000000-0005-0000-0000-000032000000}"/>
    <cellStyle name="Vírgula 4 4 3 3 2 2" xfId="14193" xr:uid="{00000000-0005-0000-0000-000032000000}"/>
    <cellStyle name="Vírgula 4 4 3 3 3" xfId="10113" xr:uid="{00000000-0005-0000-0000-000032000000}"/>
    <cellStyle name="Vírgula 4 4 3 4" xfId="3992" xr:uid="{00000000-0005-0000-0000-000032000000}"/>
    <cellStyle name="Vírgula 4 4 3 4 2" xfId="8073" xr:uid="{00000000-0005-0000-0000-000032000000}"/>
    <cellStyle name="Vírgula 4 4 3 4 2 2" xfId="16233" xr:uid="{00000000-0005-0000-0000-000032000000}"/>
    <cellStyle name="Vírgula 4 4 3 4 3" xfId="12153" xr:uid="{00000000-0005-0000-0000-000032000000}"/>
    <cellStyle name="Vírgula 4 4 3 5" xfId="5012" xr:uid="{00000000-0005-0000-0000-000032000000}"/>
    <cellStyle name="Vírgula 4 4 3 5 2" xfId="13173" xr:uid="{00000000-0005-0000-0000-000032000000}"/>
    <cellStyle name="Vírgula 4 4 3 6" xfId="9093" xr:uid="{00000000-0005-0000-0000-000032000000}"/>
    <cellStyle name="Vírgula 4 4 4" xfId="523" xr:uid="{00000000-0005-0000-0000-000032000000}"/>
    <cellStyle name="Vírgula 4 4 4 2" xfId="2564" xr:uid="{00000000-0005-0000-0000-000032000000}"/>
    <cellStyle name="Vírgula 4 4 4 2 2" xfId="6645" xr:uid="{00000000-0005-0000-0000-000032000000}"/>
    <cellStyle name="Vírgula 4 4 4 2 2 2" xfId="14805" xr:uid="{00000000-0005-0000-0000-000032000000}"/>
    <cellStyle name="Vírgula 4 4 4 2 3" xfId="10725" xr:uid="{00000000-0005-0000-0000-000032000000}"/>
    <cellStyle name="Vírgula 4 4 4 3" xfId="1544" xr:uid="{00000000-0005-0000-0000-000032000000}"/>
    <cellStyle name="Vírgula 4 4 4 3 2" xfId="5625" xr:uid="{00000000-0005-0000-0000-000032000000}"/>
    <cellStyle name="Vírgula 4 4 4 3 2 2" xfId="13785" xr:uid="{00000000-0005-0000-0000-000032000000}"/>
    <cellStyle name="Vírgula 4 4 4 3 3" xfId="9705" xr:uid="{00000000-0005-0000-0000-000032000000}"/>
    <cellStyle name="Vírgula 4 4 4 4" xfId="3584" xr:uid="{00000000-0005-0000-0000-000032000000}"/>
    <cellStyle name="Vírgula 4 4 4 4 2" xfId="7665" xr:uid="{00000000-0005-0000-0000-000032000000}"/>
    <cellStyle name="Vírgula 4 4 4 4 2 2" xfId="15825" xr:uid="{00000000-0005-0000-0000-000032000000}"/>
    <cellStyle name="Vírgula 4 4 4 4 3" xfId="11745" xr:uid="{00000000-0005-0000-0000-000032000000}"/>
    <cellStyle name="Vírgula 4 4 4 5" xfId="4604" xr:uid="{00000000-0005-0000-0000-000032000000}"/>
    <cellStyle name="Vírgula 4 4 4 5 2" xfId="12765" xr:uid="{00000000-0005-0000-0000-000032000000}"/>
    <cellStyle name="Vírgula 4 4 4 6" xfId="8685" xr:uid="{00000000-0005-0000-0000-000032000000}"/>
    <cellStyle name="Vírgula 4 4 5" xfId="2156" xr:uid="{00000000-0005-0000-0000-000032000000}"/>
    <cellStyle name="Vírgula 4 4 5 2" xfId="6237" xr:uid="{00000000-0005-0000-0000-000032000000}"/>
    <cellStyle name="Vírgula 4 4 5 2 2" xfId="14397" xr:uid="{00000000-0005-0000-0000-000032000000}"/>
    <cellStyle name="Vírgula 4 4 5 3" xfId="10317" xr:uid="{00000000-0005-0000-0000-000032000000}"/>
    <cellStyle name="Vírgula 4 4 6" xfId="1136" xr:uid="{00000000-0005-0000-0000-000032000000}"/>
    <cellStyle name="Vírgula 4 4 6 2" xfId="5217" xr:uid="{00000000-0005-0000-0000-000032000000}"/>
    <cellStyle name="Vírgula 4 4 6 2 2" xfId="13377" xr:uid="{00000000-0005-0000-0000-000032000000}"/>
    <cellStyle name="Vírgula 4 4 6 3" xfId="9297" xr:uid="{00000000-0005-0000-0000-000032000000}"/>
    <cellStyle name="Vírgula 4 4 7" xfId="3176" xr:uid="{00000000-0005-0000-0000-000032000000}"/>
    <cellStyle name="Vírgula 4 4 7 2" xfId="7257" xr:uid="{00000000-0005-0000-0000-000032000000}"/>
    <cellStyle name="Vírgula 4 4 7 2 2" xfId="15417" xr:uid="{00000000-0005-0000-0000-000032000000}"/>
    <cellStyle name="Vírgula 4 4 7 3" xfId="11337" xr:uid="{00000000-0005-0000-0000-000032000000}"/>
    <cellStyle name="Vírgula 4 4 8" xfId="4196" xr:uid="{00000000-0005-0000-0000-000032000000}"/>
    <cellStyle name="Vírgula 4 4 8 2" xfId="12357" xr:uid="{00000000-0005-0000-0000-000032000000}"/>
    <cellStyle name="Vírgula 4 4 9" xfId="8277" xr:uid="{00000000-0005-0000-0000-000032000000}"/>
    <cellStyle name="Vírgula 4 5" xfId="217" xr:uid="{00000000-0005-0000-0000-000032000000}"/>
    <cellStyle name="Vírgula 4 5 2" xfId="625" xr:uid="{00000000-0005-0000-0000-000032000000}"/>
    <cellStyle name="Vírgula 4 5 2 2" xfId="2666" xr:uid="{00000000-0005-0000-0000-000032000000}"/>
    <cellStyle name="Vírgula 4 5 2 2 2" xfId="6747" xr:uid="{00000000-0005-0000-0000-000032000000}"/>
    <cellStyle name="Vírgula 4 5 2 2 2 2" xfId="14907" xr:uid="{00000000-0005-0000-0000-000032000000}"/>
    <cellStyle name="Vírgula 4 5 2 2 3" xfId="10827" xr:uid="{00000000-0005-0000-0000-000032000000}"/>
    <cellStyle name="Vírgula 4 5 2 3" xfId="1646" xr:uid="{00000000-0005-0000-0000-000032000000}"/>
    <cellStyle name="Vírgula 4 5 2 3 2" xfId="5727" xr:uid="{00000000-0005-0000-0000-000032000000}"/>
    <cellStyle name="Vírgula 4 5 2 3 2 2" xfId="13887" xr:uid="{00000000-0005-0000-0000-000032000000}"/>
    <cellStyle name="Vírgula 4 5 2 3 3" xfId="9807" xr:uid="{00000000-0005-0000-0000-000032000000}"/>
    <cellStyle name="Vírgula 4 5 2 4" xfId="3686" xr:uid="{00000000-0005-0000-0000-000032000000}"/>
    <cellStyle name="Vírgula 4 5 2 4 2" xfId="7767" xr:uid="{00000000-0005-0000-0000-000032000000}"/>
    <cellStyle name="Vírgula 4 5 2 4 2 2" xfId="15927" xr:uid="{00000000-0005-0000-0000-000032000000}"/>
    <cellStyle name="Vírgula 4 5 2 4 3" xfId="11847" xr:uid="{00000000-0005-0000-0000-000032000000}"/>
    <cellStyle name="Vírgula 4 5 2 5" xfId="4706" xr:uid="{00000000-0005-0000-0000-000032000000}"/>
    <cellStyle name="Vírgula 4 5 2 5 2" xfId="12867" xr:uid="{00000000-0005-0000-0000-000032000000}"/>
    <cellStyle name="Vírgula 4 5 2 6" xfId="8787" xr:uid="{00000000-0005-0000-0000-000032000000}"/>
    <cellStyle name="Vírgula 4 5 3" xfId="2258" xr:uid="{00000000-0005-0000-0000-000032000000}"/>
    <cellStyle name="Vírgula 4 5 3 2" xfId="6339" xr:uid="{00000000-0005-0000-0000-000032000000}"/>
    <cellStyle name="Vírgula 4 5 3 2 2" xfId="14499" xr:uid="{00000000-0005-0000-0000-000032000000}"/>
    <cellStyle name="Vírgula 4 5 3 3" xfId="10419" xr:uid="{00000000-0005-0000-0000-000032000000}"/>
    <cellStyle name="Vírgula 4 5 4" xfId="1238" xr:uid="{00000000-0005-0000-0000-000032000000}"/>
    <cellStyle name="Vírgula 4 5 4 2" xfId="5319" xr:uid="{00000000-0005-0000-0000-000032000000}"/>
    <cellStyle name="Vírgula 4 5 4 2 2" xfId="13479" xr:uid="{00000000-0005-0000-0000-000032000000}"/>
    <cellStyle name="Vírgula 4 5 4 3" xfId="9399" xr:uid="{00000000-0005-0000-0000-000032000000}"/>
    <cellStyle name="Vírgula 4 5 5" xfId="3278" xr:uid="{00000000-0005-0000-0000-000032000000}"/>
    <cellStyle name="Vírgula 4 5 5 2" xfId="7359" xr:uid="{00000000-0005-0000-0000-000032000000}"/>
    <cellStyle name="Vírgula 4 5 5 2 2" xfId="15519" xr:uid="{00000000-0005-0000-0000-000032000000}"/>
    <cellStyle name="Vírgula 4 5 5 3" xfId="11439" xr:uid="{00000000-0005-0000-0000-000032000000}"/>
    <cellStyle name="Vírgula 4 5 6" xfId="4298" xr:uid="{00000000-0005-0000-0000-000032000000}"/>
    <cellStyle name="Vírgula 4 5 6 2" xfId="12459" xr:uid="{00000000-0005-0000-0000-000032000000}"/>
    <cellStyle name="Vírgula 4 5 7" xfId="8379" xr:uid="{00000000-0005-0000-0000-000032000000}"/>
    <cellStyle name="Vírgula 4 6" xfId="829" xr:uid="{00000000-0005-0000-0000-000032000000}"/>
    <cellStyle name="Vírgula 4 6 2" xfId="2870" xr:uid="{00000000-0005-0000-0000-000032000000}"/>
    <cellStyle name="Vírgula 4 6 2 2" xfId="6951" xr:uid="{00000000-0005-0000-0000-000032000000}"/>
    <cellStyle name="Vírgula 4 6 2 2 2" xfId="15111" xr:uid="{00000000-0005-0000-0000-000032000000}"/>
    <cellStyle name="Vírgula 4 6 2 3" xfId="11031" xr:uid="{00000000-0005-0000-0000-000032000000}"/>
    <cellStyle name="Vírgula 4 6 3" xfId="1850" xr:uid="{00000000-0005-0000-0000-000032000000}"/>
    <cellStyle name="Vírgula 4 6 3 2" xfId="5931" xr:uid="{00000000-0005-0000-0000-000032000000}"/>
    <cellStyle name="Vírgula 4 6 3 2 2" xfId="14091" xr:uid="{00000000-0005-0000-0000-000032000000}"/>
    <cellStyle name="Vírgula 4 6 3 3" xfId="10011" xr:uid="{00000000-0005-0000-0000-000032000000}"/>
    <cellStyle name="Vírgula 4 6 4" xfId="3890" xr:uid="{00000000-0005-0000-0000-000032000000}"/>
    <cellStyle name="Vírgula 4 6 4 2" xfId="7971" xr:uid="{00000000-0005-0000-0000-000032000000}"/>
    <cellStyle name="Vírgula 4 6 4 2 2" xfId="16131" xr:uid="{00000000-0005-0000-0000-000032000000}"/>
    <cellStyle name="Vírgula 4 6 4 3" xfId="12051" xr:uid="{00000000-0005-0000-0000-000032000000}"/>
    <cellStyle name="Vírgula 4 6 5" xfId="4910" xr:uid="{00000000-0005-0000-0000-000032000000}"/>
    <cellStyle name="Vírgula 4 6 5 2" xfId="13071" xr:uid="{00000000-0005-0000-0000-000032000000}"/>
    <cellStyle name="Vírgula 4 6 6" xfId="8991" xr:uid="{00000000-0005-0000-0000-000032000000}"/>
    <cellStyle name="Vírgula 4 7" xfId="421" xr:uid="{00000000-0005-0000-0000-000032000000}"/>
    <cellStyle name="Vírgula 4 7 2" xfId="2462" xr:uid="{00000000-0005-0000-0000-000032000000}"/>
    <cellStyle name="Vírgula 4 7 2 2" xfId="6543" xr:uid="{00000000-0005-0000-0000-000032000000}"/>
    <cellStyle name="Vírgula 4 7 2 2 2" xfId="14703" xr:uid="{00000000-0005-0000-0000-000032000000}"/>
    <cellStyle name="Vírgula 4 7 2 3" xfId="10623" xr:uid="{00000000-0005-0000-0000-000032000000}"/>
    <cellStyle name="Vírgula 4 7 3" xfId="1442" xr:uid="{00000000-0005-0000-0000-000032000000}"/>
    <cellStyle name="Vírgula 4 7 3 2" xfId="5523" xr:uid="{00000000-0005-0000-0000-000032000000}"/>
    <cellStyle name="Vírgula 4 7 3 2 2" xfId="13683" xr:uid="{00000000-0005-0000-0000-000032000000}"/>
    <cellStyle name="Vírgula 4 7 3 3" xfId="9603" xr:uid="{00000000-0005-0000-0000-000032000000}"/>
    <cellStyle name="Vírgula 4 7 4" xfId="3482" xr:uid="{00000000-0005-0000-0000-000032000000}"/>
    <cellStyle name="Vírgula 4 7 4 2" xfId="7563" xr:uid="{00000000-0005-0000-0000-000032000000}"/>
    <cellStyle name="Vírgula 4 7 4 2 2" xfId="15723" xr:uid="{00000000-0005-0000-0000-000032000000}"/>
    <cellStyle name="Vírgula 4 7 4 3" xfId="11643" xr:uid="{00000000-0005-0000-0000-000032000000}"/>
    <cellStyle name="Vírgula 4 7 5" xfId="4502" xr:uid="{00000000-0005-0000-0000-000032000000}"/>
    <cellStyle name="Vírgula 4 7 5 2" xfId="12663" xr:uid="{00000000-0005-0000-0000-000032000000}"/>
    <cellStyle name="Vírgula 4 7 6" xfId="8583" xr:uid="{00000000-0005-0000-0000-000032000000}"/>
    <cellStyle name="Vírgula 4 8" xfId="2054" xr:uid="{00000000-0005-0000-0000-000032000000}"/>
    <cellStyle name="Vírgula 4 8 2" xfId="6135" xr:uid="{00000000-0005-0000-0000-000032000000}"/>
    <cellStyle name="Vírgula 4 8 2 2" xfId="14295" xr:uid="{00000000-0005-0000-0000-000032000000}"/>
    <cellStyle name="Vírgula 4 8 3" xfId="10215" xr:uid="{00000000-0005-0000-0000-000032000000}"/>
    <cellStyle name="Vírgula 4 9" xfId="1034" xr:uid="{00000000-0005-0000-0000-000032000000}"/>
    <cellStyle name="Vírgula 4 9 2" xfId="5115" xr:uid="{00000000-0005-0000-0000-000032000000}"/>
    <cellStyle name="Vírgula 4 9 2 2" xfId="13275" xr:uid="{00000000-0005-0000-0000-000032000000}"/>
    <cellStyle name="Vírgula 4 9 3" xfId="9195" xr:uid="{00000000-0005-0000-0000-000032000000}"/>
    <cellStyle name="Vírgula 5" xfId="18" xr:uid="{00000000-0005-0000-0000-000034000000}"/>
    <cellStyle name="Vírgula 5 10" xfId="3082" xr:uid="{00000000-0005-0000-0000-000034000000}"/>
    <cellStyle name="Vírgula 5 10 2" xfId="7163" xr:uid="{00000000-0005-0000-0000-000034000000}"/>
    <cellStyle name="Vírgula 5 10 2 2" xfId="15323" xr:uid="{00000000-0005-0000-0000-000034000000}"/>
    <cellStyle name="Vírgula 5 10 3" xfId="11243" xr:uid="{00000000-0005-0000-0000-000034000000}"/>
    <cellStyle name="Vírgula 5 11" xfId="4102" xr:uid="{00000000-0005-0000-0000-000034000000}"/>
    <cellStyle name="Vírgula 5 11 2" xfId="12263" xr:uid="{00000000-0005-0000-0000-000034000000}"/>
    <cellStyle name="Vírgula 5 12" xfId="8183" xr:uid="{00000000-0005-0000-0000-000034000000}"/>
    <cellStyle name="Vírgula 5 2" xfId="46" xr:uid="{00000000-0005-0000-0000-000035000000}"/>
    <cellStyle name="Vírgula 5 2 10" xfId="4127" xr:uid="{00000000-0005-0000-0000-000035000000}"/>
    <cellStyle name="Vírgula 5 2 10 2" xfId="12288" xr:uid="{00000000-0005-0000-0000-000035000000}"/>
    <cellStyle name="Vírgula 5 2 11" xfId="8208" xr:uid="{00000000-0005-0000-0000-000035000000}"/>
    <cellStyle name="Vírgula 5 2 2" xfId="97" xr:uid="{00000000-0005-0000-0000-000035000000}"/>
    <cellStyle name="Vírgula 5 2 2 10" xfId="8259" xr:uid="{00000000-0005-0000-0000-000035000000}"/>
    <cellStyle name="Vírgula 5 2 2 2" xfId="199" xr:uid="{00000000-0005-0000-0000-000035000000}"/>
    <cellStyle name="Vírgula 5 2 2 2 2" xfId="403" xr:uid="{00000000-0005-0000-0000-000035000000}"/>
    <cellStyle name="Vírgula 5 2 2 2 2 2" xfId="811" xr:uid="{00000000-0005-0000-0000-000035000000}"/>
    <cellStyle name="Vírgula 5 2 2 2 2 2 2" xfId="2852" xr:uid="{00000000-0005-0000-0000-000035000000}"/>
    <cellStyle name="Vírgula 5 2 2 2 2 2 2 2" xfId="6933" xr:uid="{00000000-0005-0000-0000-000035000000}"/>
    <cellStyle name="Vírgula 5 2 2 2 2 2 2 2 2" xfId="15093" xr:uid="{00000000-0005-0000-0000-000035000000}"/>
    <cellStyle name="Vírgula 5 2 2 2 2 2 2 3" xfId="11013" xr:uid="{00000000-0005-0000-0000-000035000000}"/>
    <cellStyle name="Vírgula 5 2 2 2 2 2 3" xfId="1832" xr:uid="{00000000-0005-0000-0000-000035000000}"/>
    <cellStyle name="Vírgula 5 2 2 2 2 2 3 2" xfId="5913" xr:uid="{00000000-0005-0000-0000-000035000000}"/>
    <cellStyle name="Vírgula 5 2 2 2 2 2 3 2 2" xfId="14073" xr:uid="{00000000-0005-0000-0000-000035000000}"/>
    <cellStyle name="Vírgula 5 2 2 2 2 2 3 3" xfId="9993" xr:uid="{00000000-0005-0000-0000-000035000000}"/>
    <cellStyle name="Vírgula 5 2 2 2 2 2 4" xfId="3872" xr:uid="{00000000-0005-0000-0000-000035000000}"/>
    <cellStyle name="Vírgula 5 2 2 2 2 2 4 2" xfId="7953" xr:uid="{00000000-0005-0000-0000-000035000000}"/>
    <cellStyle name="Vírgula 5 2 2 2 2 2 4 2 2" xfId="16113" xr:uid="{00000000-0005-0000-0000-000035000000}"/>
    <cellStyle name="Vírgula 5 2 2 2 2 2 4 3" xfId="12033" xr:uid="{00000000-0005-0000-0000-000035000000}"/>
    <cellStyle name="Vírgula 5 2 2 2 2 2 5" xfId="4892" xr:uid="{00000000-0005-0000-0000-000035000000}"/>
    <cellStyle name="Vírgula 5 2 2 2 2 2 5 2" xfId="13053" xr:uid="{00000000-0005-0000-0000-000035000000}"/>
    <cellStyle name="Vírgula 5 2 2 2 2 2 6" xfId="8973" xr:uid="{00000000-0005-0000-0000-000035000000}"/>
    <cellStyle name="Vírgula 5 2 2 2 2 3" xfId="2444" xr:uid="{00000000-0005-0000-0000-000035000000}"/>
    <cellStyle name="Vírgula 5 2 2 2 2 3 2" xfId="6525" xr:uid="{00000000-0005-0000-0000-000035000000}"/>
    <cellStyle name="Vírgula 5 2 2 2 2 3 2 2" xfId="14685" xr:uid="{00000000-0005-0000-0000-000035000000}"/>
    <cellStyle name="Vírgula 5 2 2 2 2 3 3" xfId="10605" xr:uid="{00000000-0005-0000-0000-000035000000}"/>
    <cellStyle name="Vírgula 5 2 2 2 2 4" xfId="1424" xr:uid="{00000000-0005-0000-0000-000035000000}"/>
    <cellStyle name="Vírgula 5 2 2 2 2 4 2" xfId="5505" xr:uid="{00000000-0005-0000-0000-000035000000}"/>
    <cellStyle name="Vírgula 5 2 2 2 2 4 2 2" xfId="13665" xr:uid="{00000000-0005-0000-0000-000035000000}"/>
    <cellStyle name="Vírgula 5 2 2 2 2 4 3" xfId="9585" xr:uid="{00000000-0005-0000-0000-000035000000}"/>
    <cellStyle name="Vírgula 5 2 2 2 2 5" xfId="3464" xr:uid="{00000000-0005-0000-0000-000035000000}"/>
    <cellStyle name="Vírgula 5 2 2 2 2 5 2" xfId="7545" xr:uid="{00000000-0005-0000-0000-000035000000}"/>
    <cellStyle name="Vírgula 5 2 2 2 2 5 2 2" xfId="15705" xr:uid="{00000000-0005-0000-0000-000035000000}"/>
    <cellStyle name="Vírgula 5 2 2 2 2 5 3" xfId="11625" xr:uid="{00000000-0005-0000-0000-000035000000}"/>
    <cellStyle name="Vírgula 5 2 2 2 2 6" xfId="4484" xr:uid="{00000000-0005-0000-0000-000035000000}"/>
    <cellStyle name="Vírgula 5 2 2 2 2 6 2" xfId="12645" xr:uid="{00000000-0005-0000-0000-000035000000}"/>
    <cellStyle name="Vírgula 5 2 2 2 2 7" xfId="8565" xr:uid="{00000000-0005-0000-0000-000035000000}"/>
    <cellStyle name="Vírgula 5 2 2 2 3" xfId="1015" xr:uid="{00000000-0005-0000-0000-000035000000}"/>
    <cellStyle name="Vírgula 5 2 2 2 3 2" xfId="3056" xr:uid="{00000000-0005-0000-0000-000035000000}"/>
    <cellStyle name="Vírgula 5 2 2 2 3 2 2" xfId="7137" xr:uid="{00000000-0005-0000-0000-000035000000}"/>
    <cellStyle name="Vírgula 5 2 2 2 3 2 2 2" xfId="15297" xr:uid="{00000000-0005-0000-0000-000035000000}"/>
    <cellStyle name="Vírgula 5 2 2 2 3 2 3" xfId="11217" xr:uid="{00000000-0005-0000-0000-000035000000}"/>
    <cellStyle name="Vírgula 5 2 2 2 3 3" xfId="2036" xr:uid="{00000000-0005-0000-0000-000035000000}"/>
    <cellStyle name="Vírgula 5 2 2 2 3 3 2" xfId="6117" xr:uid="{00000000-0005-0000-0000-000035000000}"/>
    <cellStyle name="Vírgula 5 2 2 2 3 3 2 2" xfId="14277" xr:uid="{00000000-0005-0000-0000-000035000000}"/>
    <cellStyle name="Vírgula 5 2 2 2 3 3 3" xfId="10197" xr:uid="{00000000-0005-0000-0000-000035000000}"/>
    <cellStyle name="Vírgula 5 2 2 2 3 4" xfId="4076" xr:uid="{00000000-0005-0000-0000-000035000000}"/>
    <cellStyle name="Vírgula 5 2 2 2 3 4 2" xfId="8157" xr:uid="{00000000-0005-0000-0000-000035000000}"/>
    <cellStyle name="Vírgula 5 2 2 2 3 4 2 2" xfId="16317" xr:uid="{00000000-0005-0000-0000-000035000000}"/>
    <cellStyle name="Vírgula 5 2 2 2 3 4 3" xfId="12237" xr:uid="{00000000-0005-0000-0000-000035000000}"/>
    <cellStyle name="Vírgula 5 2 2 2 3 5" xfId="5096" xr:uid="{00000000-0005-0000-0000-000035000000}"/>
    <cellStyle name="Vírgula 5 2 2 2 3 5 2" xfId="13257" xr:uid="{00000000-0005-0000-0000-000035000000}"/>
    <cellStyle name="Vírgula 5 2 2 2 3 6" xfId="9177" xr:uid="{00000000-0005-0000-0000-000035000000}"/>
    <cellStyle name="Vírgula 5 2 2 2 4" xfId="607" xr:uid="{00000000-0005-0000-0000-000035000000}"/>
    <cellStyle name="Vírgula 5 2 2 2 4 2" xfId="2648" xr:uid="{00000000-0005-0000-0000-000035000000}"/>
    <cellStyle name="Vírgula 5 2 2 2 4 2 2" xfId="6729" xr:uid="{00000000-0005-0000-0000-000035000000}"/>
    <cellStyle name="Vírgula 5 2 2 2 4 2 2 2" xfId="14889" xr:uid="{00000000-0005-0000-0000-000035000000}"/>
    <cellStyle name="Vírgula 5 2 2 2 4 2 3" xfId="10809" xr:uid="{00000000-0005-0000-0000-000035000000}"/>
    <cellStyle name="Vírgula 5 2 2 2 4 3" xfId="1628" xr:uid="{00000000-0005-0000-0000-000035000000}"/>
    <cellStyle name="Vírgula 5 2 2 2 4 3 2" xfId="5709" xr:uid="{00000000-0005-0000-0000-000035000000}"/>
    <cellStyle name="Vírgula 5 2 2 2 4 3 2 2" xfId="13869" xr:uid="{00000000-0005-0000-0000-000035000000}"/>
    <cellStyle name="Vírgula 5 2 2 2 4 3 3" xfId="9789" xr:uid="{00000000-0005-0000-0000-000035000000}"/>
    <cellStyle name="Vírgula 5 2 2 2 4 4" xfId="3668" xr:uid="{00000000-0005-0000-0000-000035000000}"/>
    <cellStyle name="Vírgula 5 2 2 2 4 4 2" xfId="7749" xr:uid="{00000000-0005-0000-0000-000035000000}"/>
    <cellStyle name="Vírgula 5 2 2 2 4 4 2 2" xfId="15909" xr:uid="{00000000-0005-0000-0000-000035000000}"/>
    <cellStyle name="Vírgula 5 2 2 2 4 4 3" xfId="11829" xr:uid="{00000000-0005-0000-0000-000035000000}"/>
    <cellStyle name="Vírgula 5 2 2 2 4 5" xfId="4688" xr:uid="{00000000-0005-0000-0000-000035000000}"/>
    <cellStyle name="Vírgula 5 2 2 2 4 5 2" xfId="12849" xr:uid="{00000000-0005-0000-0000-000035000000}"/>
    <cellStyle name="Vírgula 5 2 2 2 4 6" xfId="8769" xr:uid="{00000000-0005-0000-0000-000035000000}"/>
    <cellStyle name="Vírgula 5 2 2 2 5" xfId="2240" xr:uid="{00000000-0005-0000-0000-000035000000}"/>
    <cellStyle name="Vírgula 5 2 2 2 5 2" xfId="6321" xr:uid="{00000000-0005-0000-0000-000035000000}"/>
    <cellStyle name="Vírgula 5 2 2 2 5 2 2" xfId="14481" xr:uid="{00000000-0005-0000-0000-000035000000}"/>
    <cellStyle name="Vírgula 5 2 2 2 5 3" xfId="10401" xr:uid="{00000000-0005-0000-0000-000035000000}"/>
    <cellStyle name="Vírgula 5 2 2 2 6" xfId="1220" xr:uid="{00000000-0005-0000-0000-000035000000}"/>
    <cellStyle name="Vírgula 5 2 2 2 6 2" xfId="5301" xr:uid="{00000000-0005-0000-0000-000035000000}"/>
    <cellStyle name="Vírgula 5 2 2 2 6 2 2" xfId="13461" xr:uid="{00000000-0005-0000-0000-000035000000}"/>
    <cellStyle name="Vírgula 5 2 2 2 6 3" xfId="9381" xr:uid="{00000000-0005-0000-0000-000035000000}"/>
    <cellStyle name="Vírgula 5 2 2 2 7" xfId="3260" xr:uid="{00000000-0005-0000-0000-000035000000}"/>
    <cellStyle name="Vírgula 5 2 2 2 7 2" xfId="7341" xr:uid="{00000000-0005-0000-0000-000035000000}"/>
    <cellStyle name="Vírgula 5 2 2 2 7 2 2" xfId="15501" xr:uid="{00000000-0005-0000-0000-000035000000}"/>
    <cellStyle name="Vírgula 5 2 2 2 7 3" xfId="11421" xr:uid="{00000000-0005-0000-0000-000035000000}"/>
    <cellStyle name="Vírgula 5 2 2 2 8" xfId="4280" xr:uid="{00000000-0005-0000-0000-000035000000}"/>
    <cellStyle name="Vírgula 5 2 2 2 8 2" xfId="12441" xr:uid="{00000000-0005-0000-0000-000035000000}"/>
    <cellStyle name="Vírgula 5 2 2 2 9" xfId="8361" xr:uid="{00000000-0005-0000-0000-000035000000}"/>
    <cellStyle name="Vírgula 5 2 2 3" xfId="301" xr:uid="{00000000-0005-0000-0000-000035000000}"/>
    <cellStyle name="Vírgula 5 2 2 3 2" xfId="709" xr:uid="{00000000-0005-0000-0000-000035000000}"/>
    <cellStyle name="Vírgula 5 2 2 3 2 2" xfId="2750" xr:uid="{00000000-0005-0000-0000-000035000000}"/>
    <cellStyle name="Vírgula 5 2 2 3 2 2 2" xfId="6831" xr:uid="{00000000-0005-0000-0000-000035000000}"/>
    <cellStyle name="Vírgula 5 2 2 3 2 2 2 2" xfId="14991" xr:uid="{00000000-0005-0000-0000-000035000000}"/>
    <cellStyle name="Vírgula 5 2 2 3 2 2 3" xfId="10911" xr:uid="{00000000-0005-0000-0000-000035000000}"/>
    <cellStyle name="Vírgula 5 2 2 3 2 3" xfId="1730" xr:uid="{00000000-0005-0000-0000-000035000000}"/>
    <cellStyle name="Vírgula 5 2 2 3 2 3 2" xfId="5811" xr:uid="{00000000-0005-0000-0000-000035000000}"/>
    <cellStyle name="Vírgula 5 2 2 3 2 3 2 2" xfId="13971" xr:uid="{00000000-0005-0000-0000-000035000000}"/>
    <cellStyle name="Vírgula 5 2 2 3 2 3 3" xfId="9891" xr:uid="{00000000-0005-0000-0000-000035000000}"/>
    <cellStyle name="Vírgula 5 2 2 3 2 4" xfId="3770" xr:uid="{00000000-0005-0000-0000-000035000000}"/>
    <cellStyle name="Vírgula 5 2 2 3 2 4 2" xfId="7851" xr:uid="{00000000-0005-0000-0000-000035000000}"/>
    <cellStyle name="Vírgula 5 2 2 3 2 4 2 2" xfId="16011" xr:uid="{00000000-0005-0000-0000-000035000000}"/>
    <cellStyle name="Vírgula 5 2 2 3 2 4 3" xfId="11931" xr:uid="{00000000-0005-0000-0000-000035000000}"/>
    <cellStyle name="Vírgula 5 2 2 3 2 5" xfId="4790" xr:uid="{00000000-0005-0000-0000-000035000000}"/>
    <cellStyle name="Vírgula 5 2 2 3 2 5 2" xfId="12951" xr:uid="{00000000-0005-0000-0000-000035000000}"/>
    <cellStyle name="Vírgula 5 2 2 3 2 6" xfId="8871" xr:uid="{00000000-0005-0000-0000-000035000000}"/>
    <cellStyle name="Vírgula 5 2 2 3 3" xfId="2342" xr:uid="{00000000-0005-0000-0000-000035000000}"/>
    <cellStyle name="Vírgula 5 2 2 3 3 2" xfId="6423" xr:uid="{00000000-0005-0000-0000-000035000000}"/>
    <cellStyle name="Vírgula 5 2 2 3 3 2 2" xfId="14583" xr:uid="{00000000-0005-0000-0000-000035000000}"/>
    <cellStyle name="Vírgula 5 2 2 3 3 3" xfId="10503" xr:uid="{00000000-0005-0000-0000-000035000000}"/>
    <cellStyle name="Vírgula 5 2 2 3 4" xfId="1322" xr:uid="{00000000-0005-0000-0000-000035000000}"/>
    <cellStyle name="Vírgula 5 2 2 3 4 2" xfId="5403" xr:uid="{00000000-0005-0000-0000-000035000000}"/>
    <cellStyle name="Vírgula 5 2 2 3 4 2 2" xfId="13563" xr:uid="{00000000-0005-0000-0000-000035000000}"/>
    <cellStyle name="Vírgula 5 2 2 3 4 3" xfId="9483" xr:uid="{00000000-0005-0000-0000-000035000000}"/>
    <cellStyle name="Vírgula 5 2 2 3 5" xfId="3362" xr:uid="{00000000-0005-0000-0000-000035000000}"/>
    <cellStyle name="Vírgula 5 2 2 3 5 2" xfId="7443" xr:uid="{00000000-0005-0000-0000-000035000000}"/>
    <cellStyle name="Vírgula 5 2 2 3 5 2 2" xfId="15603" xr:uid="{00000000-0005-0000-0000-000035000000}"/>
    <cellStyle name="Vírgula 5 2 2 3 5 3" xfId="11523" xr:uid="{00000000-0005-0000-0000-000035000000}"/>
    <cellStyle name="Vírgula 5 2 2 3 6" xfId="4382" xr:uid="{00000000-0005-0000-0000-000035000000}"/>
    <cellStyle name="Vírgula 5 2 2 3 6 2" xfId="12543" xr:uid="{00000000-0005-0000-0000-000035000000}"/>
    <cellStyle name="Vírgula 5 2 2 3 7" xfId="8463" xr:uid="{00000000-0005-0000-0000-000035000000}"/>
    <cellStyle name="Vírgula 5 2 2 4" xfId="913" xr:uid="{00000000-0005-0000-0000-000035000000}"/>
    <cellStyle name="Vírgula 5 2 2 4 2" xfId="2954" xr:uid="{00000000-0005-0000-0000-000035000000}"/>
    <cellStyle name="Vírgula 5 2 2 4 2 2" xfId="7035" xr:uid="{00000000-0005-0000-0000-000035000000}"/>
    <cellStyle name="Vírgula 5 2 2 4 2 2 2" xfId="15195" xr:uid="{00000000-0005-0000-0000-000035000000}"/>
    <cellStyle name="Vírgula 5 2 2 4 2 3" xfId="11115" xr:uid="{00000000-0005-0000-0000-000035000000}"/>
    <cellStyle name="Vírgula 5 2 2 4 3" xfId="1934" xr:uid="{00000000-0005-0000-0000-000035000000}"/>
    <cellStyle name="Vírgula 5 2 2 4 3 2" xfId="6015" xr:uid="{00000000-0005-0000-0000-000035000000}"/>
    <cellStyle name="Vírgula 5 2 2 4 3 2 2" xfId="14175" xr:uid="{00000000-0005-0000-0000-000035000000}"/>
    <cellStyle name="Vírgula 5 2 2 4 3 3" xfId="10095" xr:uid="{00000000-0005-0000-0000-000035000000}"/>
    <cellStyle name="Vírgula 5 2 2 4 4" xfId="3974" xr:uid="{00000000-0005-0000-0000-000035000000}"/>
    <cellStyle name="Vírgula 5 2 2 4 4 2" xfId="8055" xr:uid="{00000000-0005-0000-0000-000035000000}"/>
    <cellStyle name="Vírgula 5 2 2 4 4 2 2" xfId="16215" xr:uid="{00000000-0005-0000-0000-000035000000}"/>
    <cellStyle name="Vírgula 5 2 2 4 4 3" xfId="12135" xr:uid="{00000000-0005-0000-0000-000035000000}"/>
    <cellStyle name="Vírgula 5 2 2 4 5" xfId="4994" xr:uid="{00000000-0005-0000-0000-000035000000}"/>
    <cellStyle name="Vírgula 5 2 2 4 5 2" xfId="13155" xr:uid="{00000000-0005-0000-0000-000035000000}"/>
    <cellStyle name="Vírgula 5 2 2 4 6" xfId="9075" xr:uid="{00000000-0005-0000-0000-000035000000}"/>
    <cellStyle name="Vírgula 5 2 2 5" xfId="505" xr:uid="{00000000-0005-0000-0000-000035000000}"/>
    <cellStyle name="Vírgula 5 2 2 5 2" xfId="2546" xr:uid="{00000000-0005-0000-0000-000035000000}"/>
    <cellStyle name="Vírgula 5 2 2 5 2 2" xfId="6627" xr:uid="{00000000-0005-0000-0000-000035000000}"/>
    <cellStyle name="Vírgula 5 2 2 5 2 2 2" xfId="14787" xr:uid="{00000000-0005-0000-0000-000035000000}"/>
    <cellStyle name="Vírgula 5 2 2 5 2 3" xfId="10707" xr:uid="{00000000-0005-0000-0000-000035000000}"/>
    <cellStyle name="Vírgula 5 2 2 5 3" xfId="1526" xr:uid="{00000000-0005-0000-0000-000035000000}"/>
    <cellStyle name="Vírgula 5 2 2 5 3 2" xfId="5607" xr:uid="{00000000-0005-0000-0000-000035000000}"/>
    <cellStyle name="Vírgula 5 2 2 5 3 2 2" xfId="13767" xr:uid="{00000000-0005-0000-0000-000035000000}"/>
    <cellStyle name="Vírgula 5 2 2 5 3 3" xfId="9687" xr:uid="{00000000-0005-0000-0000-000035000000}"/>
    <cellStyle name="Vírgula 5 2 2 5 4" xfId="3566" xr:uid="{00000000-0005-0000-0000-000035000000}"/>
    <cellStyle name="Vírgula 5 2 2 5 4 2" xfId="7647" xr:uid="{00000000-0005-0000-0000-000035000000}"/>
    <cellStyle name="Vírgula 5 2 2 5 4 2 2" xfId="15807" xr:uid="{00000000-0005-0000-0000-000035000000}"/>
    <cellStyle name="Vírgula 5 2 2 5 4 3" xfId="11727" xr:uid="{00000000-0005-0000-0000-000035000000}"/>
    <cellStyle name="Vírgula 5 2 2 5 5" xfId="4586" xr:uid="{00000000-0005-0000-0000-000035000000}"/>
    <cellStyle name="Vírgula 5 2 2 5 5 2" xfId="12747" xr:uid="{00000000-0005-0000-0000-000035000000}"/>
    <cellStyle name="Vírgula 5 2 2 5 6" xfId="8667" xr:uid="{00000000-0005-0000-0000-000035000000}"/>
    <cellStyle name="Vírgula 5 2 2 6" xfId="2138" xr:uid="{00000000-0005-0000-0000-000035000000}"/>
    <cellStyle name="Vírgula 5 2 2 6 2" xfId="6219" xr:uid="{00000000-0005-0000-0000-000035000000}"/>
    <cellStyle name="Vírgula 5 2 2 6 2 2" xfId="14379" xr:uid="{00000000-0005-0000-0000-000035000000}"/>
    <cellStyle name="Vírgula 5 2 2 6 3" xfId="10299" xr:uid="{00000000-0005-0000-0000-000035000000}"/>
    <cellStyle name="Vírgula 5 2 2 7" xfId="1118" xr:uid="{00000000-0005-0000-0000-000035000000}"/>
    <cellStyle name="Vírgula 5 2 2 7 2" xfId="5199" xr:uid="{00000000-0005-0000-0000-000035000000}"/>
    <cellStyle name="Vírgula 5 2 2 7 2 2" xfId="13359" xr:uid="{00000000-0005-0000-0000-000035000000}"/>
    <cellStyle name="Vírgula 5 2 2 7 3" xfId="9279" xr:uid="{00000000-0005-0000-0000-000035000000}"/>
    <cellStyle name="Vírgula 5 2 2 8" xfId="3158" xr:uid="{00000000-0005-0000-0000-000035000000}"/>
    <cellStyle name="Vírgula 5 2 2 8 2" xfId="7239" xr:uid="{00000000-0005-0000-0000-000035000000}"/>
    <cellStyle name="Vírgula 5 2 2 8 2 2" xfId="15399" xr:uid="{00000000-0005-0000-0000-000035000000}"/>
    <cellStyle name="Vírgula 5 2 2 8 3" xfId="11319" xr:uid="{00000000-0005-0000-0000-000035000000}"/>
    <cellStyle name="Vírgula 5 2 2 9" xfId="4178" xr:uid="{00000000-0005-0000-0000-000035000000}"/>
    <cellStyle name="Vírgula 5 2 2 9 2" xfId="12339" xr:uid="{00000000-0005-0000-0000-000035000000}"/>
    <cellStyle name="Vírgula 5 2 3" xfId="148" xr:uid="{00000000-0005-0000-0000-000035000000}"/>
    <cellStyle name="Vírgula 5 2 3 2" xfId="352" xr:uid="{00000000-0005-0000-0000-000035000000}"/>
    <cellStyle name="Vírgula 5 2 3 2 2" xfId="760" xr:uid="{00000000-0005-0000-0000-000035000000}"/>
    <cellStyle name="Vírgula 5 2 3 2 2 2" xfId="2801" xr:uid="{00000000-0005-0000-0000-000035000000}"/>
    <cellStyle name="Vírgula 5 2 3 2 2 2 2" xfId="6882" xr:uid="{00000000-0005-0000-0000-000035000000}"/>
    <cellStyle name="Vírgula 5 2 3 2 2 2 2 2" xfId="15042" xr:uid="{00000000-0005-0000-0000-000035000000}"/>
    <cellStyle name="Vírgula 5 2 3 2 2 2 3" xfId="10962" xr:uid="{00000000-0005-0000-0000-000035000000}"/>
    <cellStyle name="Vírgula 5 2 3 2 2 3" xfId="1781" xr:uid="{00000000-0005-0000-0000-000035000000}"/>
    <cellStyle name="Vírgula 5 2 3 2 2 3 2" xfId="5862" xr:uid="{00000000-0005-0000-0000-000035000000}"/>
    <cellStyle name="Vírgula 5 2 3 2 2 3 2 2" xfId="14022" xr:uid="{00000000-0005-0000-0000-000035000000}"/>
    <cellStyle name="Vírgula 5 2 3 2 2 3 3" xfId="9942" xr:uid="{00000000-0005-0000-0000-000035000000}"/>
    <cellStyle name="Vírgula 5 2 3 2 2 4" xfId="3821" xr:uid="{00000000-0005-0000-0000-000035000000}"/>
    <cellStyle name="Vírgula 5 2 3 2 2 4 2" xfId="7902" xr:uid="{00000000-0005-0000-0000-000035000000}"/>
    <cellStyle name="Vírgula 5 2 3 2 2 4 2 2" xfId="16062" xr:uid="{00000000-0005-0000-0000-000035000000}"/>
    <cellStyle name="Vírgula 5 2 3 2 2 4 3" xfId="11982" xr:uid="{00000000-0005-0000-0000-000035000000}"/>
    <cellStyle name="Vírgula 5 2 3 2 2 5" xfId="4841" xr:uid="{00000000-0005-0000-0000-000035000000}"/>
    <cellStyle name="Vírgula 5 2 3 2 2 5 2" xfId="13002" xr:uid="{00000000-0005-0000-0000-000035000000}"/>
    <cellStyle name="Vírgula 5 2 3 2 2 6" xfId="8922" xr:uid="{00000000-0005-0000-0000-000035000000}"/>
    <cellStyle name="Vírgula 5 2 3 2 3" xfId="2393" xr:uid="{00000000-0005-0000-0000-000035000000}"/>
    <cellStyle name="Vírgula 5 2 3 2 3 2" xfId="6474" xr:uid="{00000000-0005-0000-0000-000035000000}"/>
    <cellStyle name="Vírgula 5 2 3 2 3 2 2" xfId="14634" xr:uid="{00000000-0005-0000-0000-000035000000}"/>
    <cellStyle name="Vírgula 5 2 3 2 3 3" xfId="10554" xr:uid="{00000000-0005-0000-0000-000035000000}"/>
    <cellStyle name="Vírgula 5 2 3 2 4" xfId="1373" xr:uid="{00000000-0005-0000-0000-000035000000}"/>
    <cellStyle name="Vírgula 5 2 3 2 4 2" xfId="5454" xr:uid="{00000000-0005-0000-0000-000035000000}"/>
    <cellStyle name="Vírgula 5 2 3 2 4 2 2" xfId="13614" xr:uid="{00000000-0005-0000-0000-000035000000}"/>
    <cellStyle name="Vírgula 5 2 3 2 4 3" xfId="9534" xr:uid="{00000000-0005-0000-0000-000035000000}"/>
    <cellStyle name="Vírgula 5 2 3 2 5" xfId="3413" xr:uid="{00000000-0005-0000-0000-000035000000}"/>
    <cellStyle name="Vírgula 5 2 3 2 5 2" xfId="7494" xr:uid="{00000000-0005-0000-0000-000035000000}"/>
    <cellStyle name="Vírgula 5 2 3 2 5 2 2" xfId="15654" xr:uid="{00000000-0005-0000-0000-000035000000}"/>
    <cellStyle name="Vírgula 5 2 3 2 5 3" xfId="11574" xr:uid="{00000000-0005-0000-0000-000035000000}"/>
    <cellStyle name="Vírgula 5 2 3 2 6" xfId="4433" xr:uid="{00000000-0005-0000-0000-000035000000}"/>
    <cellStyle name="Vírgula 5 2 3 2 6 2" xfId="12594" xr:uid="{00000000-0005-0000-0000-000035000000}"/>
    <cellStyle name="Vírgula 5 2 3 2 7" xfId="8514" xr:uid="{00000000-0005-0000-0000-000035000000}"/>
    <cellStyle name="Vírgula 5 2 3 3" xfId="964" xr:uid="{00000000-0005-0000-0000-000035000000}"/>
    <cellStyle name="Vírgula 5 2 3 3 2" xfId="3005" xr:uid="{00000000-0005-0000-0000-000035000000}"/>
    <cellStyle name="Vírgula 5 2 3 3 2 2" xfId="7086" xr:uid="{00000000-0005-0000-0000-000035000000}"/>
    <cellStyle name="Vírgula 5 2 3 3 2 2 2" xfId="15246" xr:uid="{00000000-0005-0000-0000-000035000000}"/>
    <cellStyle name="Vírgula 5 2 3 3 2 3" xfId="11166" xr:uid="{00000000-0005-0000-0000-000035000000}"/>
    <cellStyle name="Vírgula 5 2 3 3 3" xfId="1985" xr:uid="{00000000-0005-0000-0000-000035000000}"/>
    <cellStyle name="Vírgula 5 2 3 3 3 2" xfId="6066" xr:uid="{00000000-0005-0000-0000-000035000000}"/>
    <cellStyle name="Vírgula 5 2 3 3 3 2 2" xfId="14226" xr:uid="{00000000-0005-0000-0000-000035000000}"/>
    <cellStyle name="Vírgula 5 2 3 3 3 3" xfId="10146" xr:uid="{00000000-0005-0000-0000-000035000000}"/>
    <cellStyle name="Vírgula 5 2 3 3 4" xfId="4025" xr:uid="{00000000-0005-0000-0000-000035000000}"/>
    <cellStyle name="Vírgula 5 2 3 3 4 2" xfId="8106" xr:uid="{00000000-0005-0000-0000-000035000000}"/>
    <cellStyle name="Vírgula 5 2 3 3 4 2 2" xfId="16266" xr:uid="{00000000-0005-0000-0000-000035000000}"/>
    <cellStyle name="Vírgula 5 2 3 3 4 3" xfId="12186" xr:uid="{00000000-0005-0000-0000-000035000000}"/>
    <cellStyle name="Vírgula 5 2 3 3 5" xfId="5045" xr:uid="{00000000-0005-0000-0000-000035000000}"/>
    <cellStyle name="Vírgula 5 2 3 3 5 2" xfId="13206" xr:uid="{00000000-0005-0000-0000-000035000000}"/>
    <cellStyle name="Vírgula 5 2 3 3 6" xfId="9126" xr:uid="{00000000-0005-0000-0000-000035000000}"/>
    <cellStyle name="Vírgula 5 2 3 4" xfId="556" xr:uid="{00000000-0005-0000-0000-000035000000}"/>
    <cellStyle name="Vírgula 5 2 3 4 2" xfId="2597" xr:uid="{00000000-0005-0000-0000-000035000000}"/>
    <cellStyle name="Vírgula 5 2 3 4 2 2" xfId="6678" xr:uid="{00000000-0005-0000-0000-000035000000}"/>
    <cellStyle name="Vírgula 5 2 3 4 2 2 2" xfId="14838" xr:uid="{00000000-0005-0000-0000-000035000000}"/>
    <cellStyle name="Vírgula 5 2 3 4 2 3" xfId="10758" xr:uid="{00000000-0005-0000-0000-000035000000}"/>
    <cellStyle name="Vírgula 5 2 3 4 3" xfId="1577" xr:uid="{00000000-0005-0000-0000-000035000000}"/>
    <cellStyle name="Vírgula 5 2 3 4 3 2" xfId="5658" xr:uid="{00000000-0005-0000-0000-000035000000}"/>
    <cellStyle name="Vírgula 5 2 3 4 3 2 2" xfId="13818" xr:uid="{00000000-0005-0000-0000-000035000000}"/>
    <cellStyle name="Vírgula 5 2 3 4 3 3" xfId="9738" xr:uid="{00000000-0005-0000-0000-000035000000}"/>
    <cellStyle name="Vírgula 5 2 3 4 4" xfId="3617" xr:uid="{00000000-0005-0000-0000-000035000000}"/>
    <cellStyle name="Vírgula 5 2 3 4 4 2" xfId="7698" xr:uid="{00000000-0005-0000-0000-000035000000}"/>
    <cellStyle name="Vírgula 5 2 3 4 4 2 2" xfId="15858" xr:uid="{00000000-0005-0000-0000-000035000000}"/>
    <cellStyle name="Vírgula 5 2 3 4 4 3" xfId="11778" xr:uid="{00000000-0005-0000-0000-000035000000}"/>
    <cellStyle name="Vírgula 5 2 3 4 5" xfId="4637" xr:uid="{00000000-0005-0000-0000-000035000000}"/>
    <cellStyle name="Vírgula 5 2 3 4 5 2" xfId="12798" xr:uid="{00000000-0005-0000-0000-000035000000}"/>
    <cellStyle name="Vírgula 5 2 3 4 6" xfId="8718" xr:uid="{00000000-0005-0000-0000-000035000000}"/>
    <cellStyle name="Vírgula 5 2 3 5" xfId="2189" xr:uid="{00000000-0005-0000-0000-000035000000}"/>
    <cellStyle name="Vírgula 5 2 3 5 2" xfId="6270" xr:uid="{00000000-0005-0000-0000-000035000000}"/>
    <cellStyle name="Vírgula 5 2 3 5 2 2" xfId="14430" xr:uid="{00000000-0005-0000-0000-000035000000}"/>
    <cellStyle name="Vírgula 5 2 3 5 3" xfId="10350" xr:uid="{00000000-0005-0000-0000-000035000000}"/>
    <cellStyle name="Vírgula 5 2 3 6" xfId="1169" xr:uid="{00000000-0005-0000-0000-000035000000}"/>
    <cellStyle name="Vírgula 5 2 3 6 2" xfId="5250" xr:uid="{00000000-0005-0000-0000-000035000000}"/>
    <cellStyle name="Vírgula 5 2 3 6 2 2" xfId="13410" xr:uid="{00000000-0005-0000-0000-000035000000}"/>
    <cellStyle name="Vírgula 5 2 3 6 3" xfId="9330" xr:uid="{00000000-0005-0000-0000-000035000000}"/>
    <cellStyle name="Vírgula 5 2 3 7" xfId="3209" xr:uid="{00000000-0005-0000-0000-000035000000}"/>
    <cellStyle name="Vírgula 5 2 3 7 2" xfId="7290" xr:uid="{00000000-0005-0000-0000-000035000000}"/>
    <cellStyle name="Vírgula 5 2 3 7 2 2" xfId="15450" xr:uid="{00000000-0005-0000-0000-000035000000}"/>
    <cellStyle name="Vírgula 5 2 3 7 3" xfId="11370" xr:uid="{00000000-0005-0000-0000-000035000000}"/>
    <cellStyle name="Vírgula 5 2 3 8" xfId="4229" xr:uid="{00000000-0005-0000-0000-000035000000}"/>
    <cellStyle name="Vírgula 5 2 3 8 2" xfId="12390" xr:uid="{00000000-0005-0000-0000-000035000000}"/>
    <cellStyle name="Vírgula 5 2 3 9" xfId="8310" xr:uid="{00000000-0005-0000-0000-000035000000}"/>
    <cellStyle name="Vírgula 5 2 4" xfId="250" xr:uid="{00000000-0005-0000-0000-000035000000}"/>
    <cellStyle name="Vírgula 5 2 4 2" xfId="658" xr:uid="{00000000-0005-0000-0000-000035000000}"/>
    <cellStyle name="Vírgula 5 2 4 2 2" xfId="2699" xr:uid="{00000000-0005-0000-0000-000035000000}"/>
    <cellStyle name="Vírgula 5 2 4 2 2 2" xfId="6780" xr:uid="{00000000-0005-0000-0000-000035000000}"/>
    <cellStyle name="Vírgula 5 2 4 2 2 2 2" xfId="14940" xr:uid="{00000000-0005-0000-0000-000035000000}"/>
    <cellStyle name="Vírgula 5 2 4 2 2 3" xfId="10860" xr:uid="{00000000-0005-0000-0000-000035000000}"/>
    <cellStyle name="Vírgula 5 2 4 2 3" xfId="1679" xr:uid="{00000000-0005-0000-0000-000035000000}"/>
    <cellStyle name="Vírgula 5 2 4 2 3 2" xfId="5760" xr:uid="{00000000-0005-0000-0000-000035000000}"/>
    <cellStyle name="Vírgula 5 2 4 2 3 2 2" xfId="13920" xr:uid="{00000000-0005-0000-0000-000035000000}"/>
    <cellStyle name="Vírgula 5 2 4 2 3 3" xfId="9840" xr:uid="{00000000-0005-0000-0000-000035000000}"/>
    <cellStyle name="Vírgula 5 2 4 2 4" xfId="3719" xr:uid="{00000000-0005-0000-0000-000035000000}"/>
    <cellStyle name="Vírgula 5 2 4 2 4 2" xfId="7800" xr:uid="{00000000-0005-0000-0000-000035000000}"/>
    <cellStyle name="Vírgula 5 2 4 2 4 2 2" xfId="15960" xr:uid="{00000000-0005-0000-0000-000035000000}"/>
    <cellStyle name="Vírgula 5 2 4 2 4 3" xfId="11880" xr:uid="{00000000-0005-0000-0000-000035000000}"/>
    <cellStyle name="Vírgula 5 2 4 2 5" xfId="4739" xr:uid="{00000000-0005-0000-0000-000035000000}"/>
    <cellStyle name="Vírgula 5 2 4 2 5 2" xfId="12900" xr:uid="{00000000-0005-0000-0000-000035000000}"/>
    <cellStyle name="Vírgula 5 2 4 2 6" xfId="8820" xr:uid="{00000000-0005-0000-0000-000035000000}"/>
    <cellStyle name="Vírgula 5 2 4 3" xfId="2291" xr:uid="{00000000-0005-0000-0000-000035000000}"/>
    <cellStyle name="Vírgula 5 2 4 3 2" xfId="6372" xr:uid="{00000000-0005-0000-0000-000035000000}"/>
    <cellStyle name="Vírgula 5 2 4 3 2 2" xfId="14532" xr:uid="{00000000-0005-0000-0000-000035000000}"/>
    <cellStyle name="Vírgula 5 2 4 3 3" xfId="10452" xr:uid="{00000000-0005-0000-0000-000035000000}"/>
    <cellStyle name="Vírgula 5 2 4 4" xfId="1271" xr:uid="{00000000-0005-0000-0000-000035000000}"/>
    <cellStyle name="Vírgula 5 2 4 4 2" xfId="5352" xr:uid="{00000000-0005-0000-0000-000035000000}"/>
    <cellStyle name="Vírgula 5 2 4 4 2 2" xfId="13512" xr:uid="{00000000-0005-0000-0000-000035000000}"/>
    <cellStyle name="Vírgula 5 2 4 4 3" xfId="9432" xr:uid="{00000000-0005-0000-0000-000035000000}"/>
    <cellStyle name="Vírgula 5 2 4 5" xfId="3311" xr:uid="{00000000-0005-0000-0000-000035000000}"/>
    <cellStyle name="Vírgula 5 2 4 5 2" xfId="7392" xr:uid="{00000000-0005-0000-0000-000035000000}"/>
    <cellStyle name="Vírgula 5 2 4 5 2 2" xfId="15552" xr:uid="{00000000-0005-0000-0000-000035000000}"/>
    <cellStyle name="Vírgula 5 2 4 5 3" xfId="11472" xr:uid="{00000000-0005-0000-0000-000035000000}"/>
    <cellStyle name="Vírgula 5 2 4 6" xfId="4331" xr:uid="{00000000-0005-0000-0000-000035000000}"/>
    <cellStyle name="Vírgula 5 2 4 6 2" xfId="12492" xr:uid="{00000000-0005-0000-0000-000035000000}"/>
    <cellStyle name="Vírgula 5 2 4 7" xfId="8412" xr:uid="{00000000-0005-0000-0000-000035000000}"/>
    <cellStyle name="Vírgula 5 2 5" xfId="862" xr:uid="{00000000-0005-0000-0000-000035000000}"/>
    <cellStyle name="Vírgula 5 2 5 2" xfId="2903" xr:uid="{00000000-0005-0000-0000-000035000000}"/>
    <cellStyle name="Vírgula 5 2 5 2 2" xfId="6984" xr:uid="{00000000-0005-0000-0000-000035000000}"/>
    <cellStyle name="Vírgula 5 2 5 2 2 2" xfId="15144" xr:uid="{00000000-0005-0000-0000-000035000000}"/>
    <cellStyle name="Vírgula 5 2 5 2 3" xfId="11064" xr:uid="{00000000-0005-0000-0000-000035000000}"/>
    <cellStyle name="Vírgula 5 2 5 3" xfId="1883" xr:uid="{00000000-0005-0000-0000-000035000000}"/>
    <cellStyle name="Vírgula 5 2 5 3 2" xfId="5964" xr:uid="{00000000-0005-0000-0000-000035000000}"/>
    <cellStyle name="Vírgula 5 2 5 3 2 2" xfId="14124" xr:uid="{00000000-0005-0000-0000-000035000000}"/>
    <cellStyle name="Vírgula 5 2 5 3 3" xfId="10044" xr:uid="{00000000-0005-0000-0000-000035000000}"/>
    <cellStyle name="Vírgula 5 2 5 4" xfId="3923" xr:uid="{00000000-0005-0000-0000-000035000000}"/>
    <cellStyle name="Vírgula 5 2 5 4 2" xfId="8004" xr:uid="{00000000-0005-0000-0000-000035000000}"/>
    <cellStyle name="Vírgula 5 2 5 4 2 2" xfId="16164" xr:uid="{00000000-0005-0000-0000-000035000000}"/>
    <cellStyle name="Vírgula 5 2 5 4 3" xfId="12084" xr:uid="{00000000-0005-0000-0000-000035000000}"/>
    <cellStyle name="Vírgula 5 2 5 5" xfId="4943" xr:uid="{00000000-0005-0000-0000-000035000000}"/>
    <cellStyle name="Vírgula 5 2 5 5 2" xfId="13104" xr:uid="{00000000-0005-0000-0000-000035000000}"/>
    <cellStyle name="Vírgula 5 2 5 6" xfId="9024" xr:uid="{00000000-0005-0000-0000-000035000000}"/>
    <cellStyle name="Vírgula 5 2 6" xfId="454" xr:uid="{00000000-0005-0000-0000-000035000000}"/>
    <cellStyle name="Vírgula 5 2 6 2" xfId="2495" xr:uid="{00000000-0005-0000-0000-000035000000}"/>
    <cellStyle name="Vírgula 5 2 6 2 2" xfId="6576" xr:uid="{00000000-0005-0000-0000-000035000000}"/>
    <cellStyle name="Vírgula 5 2 6 2 2 2" xfId="14736" xr:uid="{00000000-0005-0000-0000-000035000000}"/>
    <cellStyle name="Vírgula 5 2 6 2 3" xfId="10656" xr:uid="{00000000-0005-0000-0000-000035000000}"/>
    <cellStyle name="Vírgula 5 2 6 3" xfId="1475" xr:uid="{00000000-0005-0000-0000-000035000000}"/>
    <cellStyle name="Vírgula 5 2 6 3 2" xfId="5556" xr:uid="{00000000-0005-0000-0000-000035000000}"/>
    <cellStyle name="Vírgula 5 2 6 3 2 2" xfId="13716" xr:uid="{00000000-0005-0000-0000-000035000000}"/>
    <cellStyle name="Vírgula 5 2 6 3 3" xfId="9636" xr:uid="{00000000-0005-0000-0000-000035000000}"/>
    <cellStyle name="Vírgula 5 2 6 4" xfId="3515" xr:uid="{00000000-0005-0000-0000-000035000000}"/>
    <cellStyle name="Vírgula 5 2 6 4 2" xfId="7596" xr:uid="{00000000-0005-0000-0000-000035000000}"/>
    <cellStyle name="Vírgula 5 2 6 4 2 2" xfId="15756" xr:uid="{00000000-0005-0000-0000-000035000000}"/>
    <cellStyle name="Vírgula 5 2 6 4 3" xfId="11676" xr:uid="{00000000-0005-0000-0000-000035000000}"/>
    <cellStyle name="Vírgula 5 2 6 5" xfId="4535" xr:uid="{00000000-0005-0000-0000-000035000000}"/>
    <cellStyle name="Vírgula 5 2 6 5 2" xfId="12696" xr:uid="{00000000-0005-0000-0000-000035000000}"/>
    <cellStyle name="Vírgula 5 2 6 6" xfId="8616" xr:uid="{00000000-0005-0000-0000-000035000000}"/>
    <cellStyle name="Vírgula 5 2 7" xfId="2087" xr:uid="{00000000-0005-0000-0000-000035000000}"/>
    <cellStyle name="Vírgula 5 2 7 2" xfId="6168" xr:uid="{00000000-0005-0000-0000-000035000000}"/>
    <cellStyle name="Vírgula 5 2 7 2 2" xfId="14328" xr:uid="{00000000-0005-0000-0000-000035000000}"/>
    <cellStyle name="Vírgula 5 2 7 3" xfId="10248" xr:uid="{00000000-0005-0000-0000-000035000000}"/>
    <cellStyle name="Vírgula 5 2 8" xfId="1067" xr:uid="{00000000-0005-0000-0000-000035000000}"/>
    <cellStyle name="Vírgula 5 2 8 2" xfId="5148" xr:uid="{00000000-0005-0000-0000-000035000000}"/>
    <cellStyle name="Vírgula 5 2 8 2 2" xfId="13308" xr:uid="{00000000-0005-0000-0000-000035000000}"/>
    <cellStyle name="Vírgula 5 2 8 3" xfId="9228" xr:uid="{00000000-0005-0000-0000-000035000000}"/>
    <cellStyle name="Vírgula 5 2 9" xfId="3107" xr:uid="{00000000-0005-0000-0000-000035000000}"/>
    <cellStyle name="Vírgula 5 2 9 2" xfId="7188" xr:uid="{00000000-0005-0000-0000-000035000000}"/>
    <cellStyle name="Vírgula 5 2 9 2 2" xfId="15348" xr:uid="{00000000-0005-0000-0000-000035000000}"/>
    <cellStyle name="Vírgula 5 2 9 3" xfId="11268" xr:uid="{00000000-0005-0000-0000-000035000000}"/>
    <cellStyle name="Vírgula 5 3" xfId="72" xr:uid="{00000000-0005-0000-0000-000034000000}"/>
    <cellStyle name="Vírgula 5 3 10" xfId="8234" xr:uid="{00000000-0005-0000-0000-000034000000}"/>
    <cellStyle name="Vírgula 5 3 2" xfId="174" xr:uid="{00000000-0005-0000-0000-000034000000}"/>
    <cellStyle name="Vírgula 5 3 2 2" xfId="378" xr:uid="{00000000-0005-0000-0000-000034000000}"/>
    <cellStyle name="Vírgula 5 3 2 2 2" xfId="786" xr:uid="{00000000-0005-0000-0000-000034000000}"/>
    <cellStyle name="Vírgula 5 3 2 2 2 2" xfId="2827" xr:uid="{00000000-0005-0000-0000-000034000000}"/>
    <cellStyle name="Vírgula 5 3 2 2 2 2 2" xfId="6908" xr:uid="{00000000-0005-0000-0000-000034000000}"/>
    <cellStyle name="Vírgula 5 3 2 2 2 2 2 2" xfId="15068" xr:uid="{00000000-0005-0000-0000-000034000000}"/>
    <cellStyle name="Vírgula 5 3 2 2 2 2 3" xfId="10988" xr:uid="{00000000-0005-0000-0000-000034000000}"/>
    <cellStyle name="Vírgula 5 3 2 2 2 3" xfId="1807" xr:uid="{00000000-0005-0000-0000-000034000000}"/>
    <cellStyle name="Vírgula 5 3 2 2 2 3 2" xfId="5888" xr:uid="{00000000-0005-0000-0000-000034000000}"/>
    <cellStyle name="Vírgula 5 3 2 2 2 3 2 2" xfId="14048" xr:uid="{00000000-0005-0000-0000-000034000000}"/>
    <cellStyle name="Vírgula 5 3 2 2 2 3 3" xfId="9968" xr:uid="{00000000-0005-0000-0000-000034000000}"/>
    <cellStyle name="Vírgula 5 3 2 2 2 4" xfId="3847" xr:uid="{00000000-0005-0000-0000-000034000000}"/>
    <cellStyle name="Vírgula 5 3 2 2 2 4 2" xfId="7928" xr:uid="{00000000-0005-0000-0000-000034000000}"/>
    <cellStyle name="Vírgula 5 3 2 2 2 4 2 2" xfId="16088" xr:uid="{00000000-0005-0000-0000-000034000000}"/>
    <cellStyle name="Vírgula 5 3 2 2 2 4 3" xfId="12008" xr:uid="{00000000-0005-0000-0000-000034000000}"/>
    <cellStyle name="Vírgula 5 3 2 2 2 5" xfId="4867" xr:uid="{00000000-0005-0000-0000-000034000000}"/>
    <cellStyle name="Vírgula 5 3 2 2 2 5 2" xfId="13028" xr:uid="{00000000-0005-0000-0000-000034000000}"/>
    <cellStyle name="Vírgula 5 3 2 2 2 6" xfId="8948" xr:uid="{00000000-0005-0000-0000-000034000000}"/>
    <cellStyle name="Vírgula 5 3 2 2 3" xfId="2419" xr:uid="{00000000-0005-0000-0000-000034000000}"/>
    <cellStyle name="Vírgula 5 3 2 2 3 2" xfId="6500" xr:uid="{00000000-0005-0000-0000-000034000000}"/>
    <cellStyle name="Vírgula 5 3 2 2 3 2 2" xfId="14660" xr:uid="{00000000-0005-0000-0000-000034000000}"/>
    <cellStyle name="Vírgula 5 3 2 2 3 3" xfId="10580" xr:uid="{00000000-0005-0000-0000-000034000000}"/>
    <cellStyle name="Vírgula 5 3 2 2 4" xfId="1399" xr:uid="{00000000-0005-0000-0000-000034000000}"/>
    <cellStyle name="Vírgula 5 3 2 2 4 2" xfId="5480" xr:uid="{00000000-0005-0000-0000-000034000000}"/>
    <cellStyle name="Vírgula 5 3 2 2 4 2 2" xfId="13640" xr:uid="{00000000-0005-0000-0000-000034000000}"/>
    <cellStyle name="Vírgula 5 3 2 2 4 3" xfId="9560" xr:uid="{00000000-0005-0000-0000-000034000000}"/>
    <cellStyle name="Vírgula 5 3 2 2 5" xfId="3439" xr:uid="{00000000-0005-0000-0000-000034000000}"/>
    <cellStyle name="Vírgula 5 3 2 2 5 2" xfId="7520" xr:uid="{00000000-0005-0000-0000-000034000000}"/>
    <cellStyle name="Vírgula 5 3 2 2 5 2 2" xfId="15680" xr:uid="{00000000-0005-0000-0000-000034000000}"/>
    <cellStyle name="Vírgula 5 3 2 2 5 3" xfId="11600" xr:uid="{00000000-0005-0000-0000-000034000000}"/>
    <cellStyle name="Vírgula 5 3 2 2 6" xfId="4459" xr:uid="{00000000-0005-0000-0000-000034000000}"/>
    <cellStyle name="Vírgula 5 3 2 2 6 2" xfId="12620" xr:uid="{00000000-0005-0000-0000-000034000000}"/>
    <cellStyle name="Vírgula 5 3 2 2 7" xfId="8540" xr:uid="{00000000-0005-0000-0000-000034000000}"/>
    <cellStyle name="Vírgula 5 3 2 3" xfId="990" xr:uid="{00000000-0005-0000-0000-000034000000}"/>
    <cellStyle name="Vírgula 5 3 2 3 2" xfId="3031" xr:uid="{00000000-0005-0000-0000-000034000000}"/>
    <cellStyle name="Vírgula 5 3 2 3 2 2" xfId="7112" xr:uid="{00000000-0005-0000-0000-000034000000}"/>
    <cellStyle name="Vírgula 5 3 2 3 2 2 2" xfId="15272" xr:uid="{00000000-0005-0000-0000-000034000000}"/>
    <cellStyle name="Vírgula 5 3 2 3 2 3" xfId="11192" xr:uid="{00000000-0005-0000-0000-000034000000}"/>
    <cellStyle name="Vírgula 5 3 2 3 3" xfId="2011" xr:uid="{00000000-0005-0000-0000-000034000000}"/>
    <cellStyle name="Vírgula 5 3 2 3 3 2" xfId="6092" xr:uid="{00000000-0005-0000-0000-000034000000}"/>
    <cellStyle name="Vírgula 5 3 2 3 3 2 2" xfId="14252" xr:uid="{00000000-0005-0000-0000-000034000000}"/>
    <cellStyle name="Vírgula 5 3 2 3 3 3" xfId="10172" xr:uid="{00000000-0005-0000-0000-000034000000}"/>
    <cellStyle name="Vírgula 5 3 2 3 4" xfId="4051" xr:uid="{00000000-0005-0000-0000-000034000000}"/>
    <cellStyle name="Vírgula 5 3 2 3 4 2" xfId="8132" xr:uid="{00000000-0005-0000-0000-000034000000}"/>
    <cellStyle name="Vírgula 5 3 2 3 4 2 2" xfId="16292" xr:uid="{00000000-0005-0000-0000-000034000000}"/>
    <cellStyle name="Vírgula 5 3 2 3 4 3" xfId="12212" xr:uid="{00000000-0005-0000-0000-000034000000}"/>
    <cellStyle name="Vírgula 5 3 2 3 5" xfId="5071" xr:uid="{00000000-0005-0000-0000-000034000000}"/>
    <cellStyle name="Vírgula 5 3 2 3 5 2" xfId="13232" xr:uid="{00000000-0005-0000-0000-000034000000}"/>
    <cellStyle name="Vírgula 5 3 2 3 6" xfId="9152" xr:uid="{00000000-0005-0000-0000-000034000000}"/>
    <cellStyle name="Vírgula 5 3 2 4" xfId="582" xr:uid="{00000000-0005-0000-0000-000034000000}"/>
    <cellStyle name="Vírgula 5 3 2 4 2" xfId="2623" xr:uid="{00000000-0005-0000-0000-000034000000}"/>
    <cellStyle name="Vírgula 5 3 2 4 2 2" xfId="6704" xr:uid="{00000000-0005-0000-0000-000034000000}"/>
    <cellStyle name="Vírgula 5 3 2 4 2 2 2" xfId="14864" xr:uid="{00000000-0005-0000-0000-000034000000}"/>
    <cellStyle name="Vírgula 5 3 2 4 2 3" xfId="10784" xr:uid="{00000000-0005-0000-0000-000034000000}"/>
    <cellStyle name="Vírgula 5 3 2 4 3" xfId="1603" xr:uid="{00000000-0005-0000-0000-000034000000}"/>
    <cellStyle name="Vírgula 5 3 2 4 3 2" xfId="5684" xr:uid="{00000000-0005-0000-0000-000034000000}"/>
    <cellStyle name="Vírgula 5 3 2 4 3 2 2" xfId="13844" xr:uid="{00000000-0005-0000-0000-000034000000}"/>
    <cellStyle name="Vírgula 5 3 2 4 3 3" xfId="9764" xr:uid="{00000000-0005-0000-0000-000034000000}"/>
    <cellStyle name="Vírgula 5 3 2 4 4" xfId="3643" xr:uid="{00000000-0005-0000-0000-000034000000}"/>
    <cellStyle name="Vírgula 5 3 2 4 4 2" xfId="7724" xr:uid="{00000000-0005-0000-0000-000034000000}"/>
    <cellStyle name="Vírgula 5 3 2 4 4 2 2" xfId="15884" xr:uid="{00000000-0005-0000-0000-000034000000}"/>
    <cellStyle name="Vírgula 5 3 2 4 4 3" xfId="11804" xr:uid="{00000000-0005-0000-0000-000034000000}"/>
    <cellStyle name="Vírgula 5 3 2 4 5" xfId="4663" xr:uid="{00000000-0005-0000-0000-000034000000}"/>
    <cellStyle name="Vírgula 5 3 2 4 5 2" xfId="12824" xr:uid="{00000000-0005-0000-0000-000034000000}"/>
    <cellStyle name="Vírgula 5 3 2 4 6" xfId="8744" xr:uid="{00000000-0005-0000-0000-000034000000}"/>
    <cellStyle name="Vírgula 5 3 2 5" xfId="2215" xr:uid="{00000000-0005-0000-0000-000034000000}"/>
    <cellStyle name="Vírgula 5 3 2 5 2" xfId="6296" xr:uid="{00000000-0005-0000-0000-000034000000}"/>
    <cellStyle name="Vírgula 5 3 2 5 2 2" xfId="14456" xr:uid="{00000000-0005-0000-0000-000034000000}"/>
    <cellStyle name="Vírgula 5 3 2 5 3" xfId="10376" xr:uid="{00000000-0005-0000-0000-000034000000}"/>
    <cellStyle name="Vírgula 5 3 2 6" xfId="1195" xr:uid="{00000000-0005-0000-0000-000034000000}"/>
    <cellStyle name="Vírgula 5 3 2 6 2" xfId="5276" xr:uid="{00000000-0005-0000-0000-000034000000}"/>
    <cellStyle name="Vírgula 5 3 2 6 2 2" xfId="13436" xr:uid="{00000000-0005-0000-0000-000034000000}"/>
    <cellStyle name="Vírgula 5 3 2 6 3" xfId="9356" xr:uid="{00000000-0005-0000-0000-000034000000}"/>
    <cellStyle name="Vírgula 5 3 2 7" xfId="3235" xr:uid="{00000000-0005-0000-0000-000034000000}"/>
    <cellStyle name="Vírgula 5 3 2 7 2" xfId="7316" xr:uid="{00000000-0005-0000-0000-000034000000}"/>
    <cellStyle name="Vírgula 5 3 2 7 2 2" xfId="15476" xr:uid="{00000000-0005-0000-0000-000034000000}"/>
    <cellStyle name="Vírgula 5 3 2 7 3" xfId="11396" xr:uid="{00000000-0005-0000-0000-000034000000}"/>
    <cellStyle name="Vírgula 5 3 2 8" xfId="4255" xr:uid="{00000000-0005-0000-0000-000034000000}"/>
    <cellStyle name="Vírgula 5 3 2 8 2" xfId="12416" xr:uid="{00000000-0005-0000-0000-000034000000}"/>
    <cellStyle name="Vírgula 5 3 2 9" xfId="8336" xr:uid="{00000000-0005-0000-0000-000034000000}"/>
    <cellStyle name="Vírgula 5 3 3" xfId="276" xr:uid="{00000000-0005-0000-0000-000034000000}"/>
    <cellStyle name="Vírgula 5 3 3 2" xfId="684" xr:uid="{00000000-0005-0000-0000-000034000000}"/>
    <cellStyle name="Vírgula 5 3 3 2 2" xfId="2725" xr:uid="{00000000-0005-0000-0000-000034000000}"/>
    <cellStyle name="Vírgula 5 3 3 2 2 2" xfId="6806" xr:uid="{00000000-0005-0000-0000-000034000000}"/>
    <cellStyle name="Vírgula 5 3 3 2 2 2 2" xfId="14966" xr:uid="{00000000-0005-0000-0000-000034000000}"/>
    <cellStyle name="Vírgula 5 3 3 2 2 3" xfId="10886" xr:uid="{00000000-0005-0000-0000-000034000000}"/>
    <cellStyle name="Vírgula 5 3 3 2 3" xfId="1705" xr:uid="{00000000-0005-0000-0000-000034000000}"/>
    <cellStyle name="Vírgula 5 3 3 2 3 2" xfId="5786" xr:uid="{00000000-0005-0000-0000-000034000000}"/>
    <cellStyle name="Vírgula 5 3 3 2 3 2 2" xfId="13946" xr:uid="{00000000-0005-0000-0000-000034000000}"/>
    <cellStyle name="Vírgula 5 3 3 2 3 3" xfId="9866" xr:uid="{00000000-0005-0000-0000-000034000000}"/>
    <cellStyle name="Vírgula 5 3 3 2 4" xfId="3745" xr:uid="{00000000-0005-0000-0000-000034000000}"/>
    <cellStyle name="Vírgula 5 3 3 2 4 2" xfId="7826" xr:uid="{00000000-0005-0000-0000-000034000000}"/>
    <cellStyle name="Vírgula 5 3 3 2 4 2 2" xfId="15986" xr:uid="{00000000-0005-0000-0000-000034000000}"/>
    <cellStyle name="Vírgula 5 3 3 2 4 3" xfId="11906" xr:uid="{00000000-0005-0000-0000-000034000000}"/>
    <cellStyle name="Vírgula 5 3 3 2 5" xfId="4765" xr:uid="{00000000-0005-0000-0000-000034000000}"/>
    <cellStyle name="Vírgula 5 3 3 2 5 2" xfId="12926" xr:uid="{00000000-0005-0000-0000-000034000000}"/>
    <cellStyle name="Vírgula 5 3 3 2 6" xfId="8846" xr:uid="{00000000-0005-0000-0000-000034000000}"/>
    <cellStyle name="Vírgula 5 3 3 3" xfId="2317" xr:uid="{00000000-0005-0000-0000-000034000000}"/>
    <cellStyle name="Vírgula 5 3 3 3 2" xfId="6398" xr:uid="{00000000-0005-0000-0000-000034000000}"/>
    <cellStyle name="Vírgula 5 3 3 3 2 2" xfId="14558" xr:uid="{00000000-0005-0000-0000-000034000000}"/>
    <cellStyle name="Vírgula 5 3 3 3 3" xfId="10478" xr:uid="{00000000-0005-0000-0000-000034000000}"/>
    <cellStyle name="Vírgula 5 3 3 4" xfId="1297" xr:uid="{00000000-0005-0000-0000-000034000000}"/>
    <cellStyle name="Vírgula 5 3 3 4 2" xfId="5378" xr:uid="{00000000-0005-0000-0000-000034000000}"/>
    <cellStyle name="Vírgula 5 3 3 4 2 2" xfId="13538" xr:uid="{00000000-0005-0000-0000-000034000000}"/>
    <cellStyle name="Vírgula 5 3 3 4 3" xfId="9458" xr:uid="{00000000-0005-0000-0000-000034000000}"/>
    <cellStyle name="Vírgula 5 3 3 5" xfId="3337" xr:uid="{00000000-0005-0000-0000-000034000000}"/>
    <cellStyle name="Vírgula 5 3 3 5 2" xfId="7418" xr:uid="{00000000-0005-0000-0000-000034000000}"/>
    <cellStyle name="Vírgula 5 3 3 5 2 2" xfId="15578" xr:uid="{00000000-0005-0000-0000-000034000000}"/>
    <cellStyle name="Vírgula 5 3 3 5 3" xfId="11498" xr:uid="{00000000-0005-0000-0000-000034000000}"/>
    <cellStyle name="Vírgula 5 3 3 6" xfId="4357" xr:uid="{00000000-0005-0000-0000-000034000000}"/>
    <cellStyle name="Vírgula 5 3 3 6 2" xfId="12518" xr:uid="{00000000-0005-0000-0000-000034000000}"/>
    <cellStyle name="Vírgula 5 3 3 7" xfId="8438" xr:uid="{00000000-0005-0000-0000-000034000000}"/>
    <cellStyle name="Vírgula 5 3 4" xfId="888" xr:uid="{00000000-0005-0000-0000-000034000000}"/>
    <cellStyle name="Vírgula 5 3 4 2" xfId="2929" xr:uid="{00000000-0005-0000-0000-000034000000}"/>
    <cellStyle name="Vírgula 5 3 4 2 2" xfId="7010" xr:uid="{00000000-0005-0000-0000-000034000000}"/>
    <cellStyle name="Vírgula 5 3 4 2 2 2" xfId="15170" xr:uid="{00000000-0005-0000-0000-000034000000}"/>
    <cellStyle name="Vírgula 5 3 4 2 3" xfId="11090" xr:uid="{00000000-0005-0000-0000-000034000000}"/>
    <cellStyle name="Vírgula 5 3 4 3" xfId="1909" xr:uid="{00000000-0005-0000-0000-000034000000}"/>
    <cellStyle name="Vírgula 5 3 4 3 2" xfId="5990" xr:uid="{00000000-0005-0000-0000-000034000000}"/>
    <cellStyle name="Vírgula 5 3 4 3 2 2" xfId="14150" xr:uid="{00000000-0005-0000-0000-000034000000}"/>
    <cellStyle name="Vírgula 5 3 4 3 3" xfId="10070" xr:uid="{00000000-0005-0000-0000-000034000000}"/>
    <cellStyle name="Vírgula 5 3 4 4" xfId="3949" xr:uid="{00000000-0005-0000-0000-000034000000}"/>
    <cellStyle name="Vírgula 5 3 4 4 2" xfId="8030" xr:uid="{00000000-0005-0000-0000-000034000000}"/>
    <cellStyle name="Vírgula 5 3 4 4 2 2" xfId="16190" xr:uid="{00000000-0005-0000-0000-000034000000}"/>
    <cellStyle name="Vírgula 5 3 4 4 3" xfId="12110" xr:uid="{00000000-0005-0000-0000-000034000000}"/>
    <cellStyle name="Vírgula 5 3 4 5" xfId="4969" xr:uid="{00000000-0005-0000-0000-000034000000}"/>
    <cellStyle name="Vírgula 5 3 4 5 2" xfId="13130" xr:uid="{00000000-0005-0000-0000-000034000000}"/>
    <cellStyle name="Vírgula 5 3 4 6" xfId="9050" xr:uid="{00000000-0005-0000-0000-000034000000}"/>
    <cellStyle name="Vírgula 5 3 5" xfId="480" xr:uid="{00000000-0005-0000-0000-000034000000}"/>
    <cellStyle name="Vírgula 5 3 5 2" xfId="2521" xr:uid="{00000000-0005-0000-0000-000034000000}"/>
    <cellStyle name="Vírgula 5 3 5 2 2" xfId="6602" xr:uid="{00000000-0005-0000-0000-000034000000}"/>
    <cellStyle name="Vírgula 5 3 5 2 2 2" xfId="14762" xr:uid="{00000000-0005-0000-0000-000034000000}"/>
    <cellStyle name="Vírgula 5 3 5 2 3" xfId="10682" xr:uid="{00000000-0005-0000-0000-000034000000}"/>
    <cellStyle name="Vírgula 5 3 5 3" xfId="1501" xr:uid="{00000000-0005-0000-0000-000034000000}"/>
    <cellStyle name="Vírgula 5 3 5 3 2" xfId="5582" xr:uid="{00000000-0005-0000-0000-000034000000}"/>
    <cellStyle name="Vírgula 5 3 5 3 2 2" xfId="13742" xr:uid="{00000000-0005-0000-0000-000034000000}"/>
    <cellStyle name="Vírgula 5 3 5 3 3" xfId="9662" xr:uid="{00000000-0005-0000-0000-000034000000}"/>
    <cellStyle name="Vírgula 5 3 5 4" xfId="3541" xr:uid="{00000000-0005-0000-0000-000034000000}"/>
    <cellStyle name="Vírgula 5 3 5 4 2" xfId="7622" xr:uid="{00000000-0005-0000-0000-000034000000}"/>
    <cellStyle name="Vírgula 5 3 5 4 2 2" xfId="15782" xr:uid="{00000000-0005-0000-0000-000034000000}"/>
    <cellStyle name="Vírgula 5 3 5 4 3" xfId="11702" xr:uid="{00000000-0005-0000-0000-000034000000}"/>
    <cellStyle name="Vírgula 5 3 5 5" xfId="4561" xr:uid="{00000000-0005-0000-0000-000034000000}"/>
    <cellStyle name="Vírgula 5 3 5 5 2" xfId="12722" xr:uid="{00000000-0005-0000-0000-000034000000}"/>
    <cellStyle name="Vírgula 5 3 5 6" xfId="8642" xr:uid="{00000000-0005-0000-0000-000034000000}"/>
    <cellStyle name="Vírgula 5 3 6" xfId="2113" xr:uid="{00000000-0005-0000-0000-000034000000}"/>
    <cellStyle name="Vírgula 5 3 6 2" xfId="6194" xr:uid="{00000000-0005-0000-0000-000034000000}"/>
    <cellStyle name="Vírgula 5 3 6 2 2" xfId="14354" xr:uid="{00000000-0005-0000-0000-000034000000}"/>
    <cellStyle name="Vírgula 5 3 6 3" xfId="10274" xr:uid="{00000000-0005-0000-0000-000034000000}"/>
    <cellStyle name="Vírgula 5 3 7" xfId="1093" xr:uid="{00000000-0005-0000-0000-000034000000}"/>
    <cellStyle name="Vírgula 5 3 7 2" xfId="5174" xr:uid="{00000000-0005-0000-0000-000034000000}"/>
    <cellStyle name="Vírgula 5 3 7 2 2" xfId="13334" xr:uid="{00000000-0005-0000-0000-000034000000}"/>
    <cellStyle name="Vírgula 5 3 7 3" xfId="9254" xr:uid="{00000000-0005-0000-0000-000034000000}"/>
    <cellStyle name="Vírgula 5 3 8" xfId="3133" xr:uid="{00000000-0005-0000-0000-000034000000}"/>
    <cellStyle name="Vírgula 5 3 8 2" xfId="7214" xr:uid="{00000000-0005-0000-0000-000034000000}"/>
    <cellStyle name="Vírgula 5 3 8 2 2" xfId="15374" xr:uid="{00000000-0005-0000-0000-000034000000}"/>
    <cellStyle name="Vírgula 5 3 8 3" xfId="11294" xr:uid="{00000000-0005-0000-0000-000034000000}"/>
    <cellStyle name="Vírgula 5 3 9" xfId="4153" xr:uid="{00000000-0005-0000-0000-000034000000}"/>
    <cellStyle name="Vírgula 5 3 9 2" xfId="12314" xr:uid="{00000000-0005-0000-0000-000034000000}"/>
    <cellStyle name="Vírgula 5 4" xfId="123" xr:uid="{00000000-0005-0000-0000-000034000000}"/>
    <cellStyle name="Vírgula 5 4 2" xfId="327" xr:uid="{00000000-0005-0000-0000-000034000000}"/>
    <cellStyle name="Vírgula 5 4 2 2" xfId="735" xr:uid="{00000000-0005-0000-0000-000034000000}"/>
    <cellStyle name="Vírgula 5 4 2 2 2" xfId="2776" xr:uid="{00000000-0005-0000-0000-000034000000}"/>
    <cellStyle name="Vírgula 5 4 2 2 2 2" xfId="6857" xr:uid="{00000000-0005-0000-0000-000034000000}"/>
    <cellStyle name="Vírgula 5 4 2 2 2 2 2" xfId="15017" xr:uid="{00000000-0005-0000-0000-000034000000}"/>
    <cellStyle name="Vírgula 5 4 2 2 2 3" xfId="10937" xr:uid="{00000000-0005-0000-0000-000034000000}"/>
    <cellStyle name="Vírgula 5 4 2 2 3" xfId="1756" xr:uid="{00000000-0005-0000-0000-000034000000}"/>
    <cellStyle name="Vírgula 5 4 2 2 3 2" xfId="5837" xr:uid="{00000000-0005-0000-0000-000034000000}"/>
    <cellStyle name="Vírgula 5 4 2 2 3 2 2" xfId="13997" xr:uid="{00000000-0005-0000-0000-000034000000}"/>
    <cellStyle name="Vírgula 5 4 2 2 3 3" xfId="9917" xr:uid="{00000000-0005-0000-0000-000034000000}"/>
    <cellStyle name="Vírgula 5 4 2 2 4" xfId="3796" xr:uid="{00000000-0005-0000-0000-000034000000}"/>
    <cellStyle name="Vírgula 5 4 2 2 4 2" xfId="7877" xr:uid="{00000000-0005-0000-0000-000034000000}"/>
    <cellStyle name="Vírgula 5 4 2 2 4 2 2" xfId="16037" xr:uid="{00000000-0005-0000-0000-000034000000}"/>
    <cellStyle name="Vírgula 5 4 2 2 4 3" xfId="11957" xr:uid="{00000000-0005-0000-0000-000034000000}"/>
    <cellStyle name="Vírgula 5 4 2 2 5" xfId="4816" xr:uid="{00000000-0005-0000-0000-000034000000}"/>
    <cellStyle name="Vírgula 5 4 2 2 5 2" xfId="12977" xr:uid="{00000000-0005-0000-0000-000034000000}"/>
    <cellStyle name="Vírgula 5 4 2 2 6" xfId="8897" xr:uid="{00000000-0005-0000-0000-000034000000}"/>
    <cellStyle name="Vírgula 5 4 2 3" xfId="2368" xr:uid="{00000000-0005-0000-0000-000034000000}"/>
    <cellStyle name="Vírgula 5 4 2 3 2" xfId="6449" xr:uid="{00000000-0005-0000-0000-000034000000}"/>
    <cellStyle name="Vírgula 5 4 2 3 2 2" xfId="14609" xr:uid="{00000000-0005-0000-0000-000034000000}"/>
    <cellStyle name="Vírgula 5 4 2 3 3" xfId="10529" xr:uid="{00000000-0005-0000-0000-000034000000}"/>
    <cellStyle name="Vírgula 5 4 2 4" xfId="1348" xr:uid="{00000000-0005-0000-0000-000034000000}"/>
    <cellStyle name="Vírgula 5 4 2 4 2" xfId="5429" xr:uid="{00000000-0005-0000-0000-000034000000}"/>
    <cellStyle name="Vírgula 5 4 2 4 2 2" xfId="13589" xr:uid="{00000000-0005-0000-0000-000034000000}"/>
    <cellStyle name="Vírgula 5 4 2 4 3" xfId="9509" xr:uid="{00000000-0005-0000-0000-000034000000}"/>
    <cellStyle name="Vírgula 5 4 2 5" xfId="3388" xr:uid="{00000000-0005-0000-0000-000034000000}"/>
    <cellStyle name="Vírgula 5 4 2 5 2" xfId="7469" xr:uid="{00000000-0005-0000-0000-000034000000}"/>
    <cellStyle name="Vírgula 5 4 2 5 2 2" xfId="15629" xr:uid="{00000000-0005-0000-0000-000034000000}"/>
    <cellStyle name="Vírgula 5 4 2 5 3" xfId="11549" xr:uid="{00000000-0005-0000-0000-000034000000}"/>
    <cellStyle name="Vírgula 5 4 2 6" xfId="4408" xr:uid="{00000000-0005-0000-0000-000034000000}"/>
    <cellStyle name="Vírgula 5 4 2 6 2" xfId="12569" xr:uid="{00000000-0005-0000-0000-000034000000}"/>
    <cellStyle name="Vírgula 5 4 2 7" xfId="8489" xr:uid="{00000000-0005-0000-0000-000034000000}"/>
    <cellStyle name="Vírgula 5 4 3" xfId="939" xr:uid="{00000000-0005-0000-0000-000034000000}"/>
    <cellStyle name="Vírgula 5 4 3 2" xfId="2980" xr:uid="{00000000-0005-0000-0000-000034000000}"/>
    <cellStyle name="Vírgula 5 4 3 2 2" xfId="7061" xr:uid="{00000000-0005-0000-0000-000034000000}"/>
    <cellStyle name="Vírgula 5 4 3 2 2 2" xfId="15221" xr:uid="{00000000-0005-0000-0000-000034000000}"/>
    <cellStyle name="Vírgula 5 4 3 2 3" xfId="11141" xr:uid="{00000000-0005-0000-0000-000034000000}"/>
    <cellStyle name="Vírgula 5 4 3 3" xfId="1960" xr:uid="{00000000-0005-0000-0000-000034000000}"/>
    <cellStyle name="Vírgula 5 4 3 3 2" xfId="6041" xr:uid="{00000000-0005-0000-0000-000034000000}"/>
    <cellStyle name="Vírgula 5 4 3 3 2 2" xfId="14201" xr:uid="{00000000-0005-0000-0000-000034000000}"/>
    <cellStyle name="Vírgula 5 4 3 3 3" xfId="10121" xr:uid="{00000000-0005-0000-0000-000034000000}"/>
    <cellStyle name="Vírgula 5 4 3 4" xfId="4000" xr:uid="{00000000-0005-0000-0000-000034000000}"/>
    <cellStyle name="Vírgula 5 4 3 4 2" xfId="8081" xr:uid="{00000000-0005-0000-0000-000034000000}"/>
    <cellStyle name="Vírgula 5 4 3 4 2 2" xfId="16241" xr:uid="{00000000-0005-0000-0000-000034000000}"/>
    <cellStyle name="Vírgula 5 4 3 4 3" xfId="12161" xr:uid="{00000000-0005-0000-0000-000034000000}"/>
    <cellStyle name="Vírgula 5 4 3 5" xfId="5020" xr:uid="{00000000-0005-0000-0000-000034000000}"/>
    <cellStyle name="Vírgula 5 4 3 5 2" xfId="13181" xr:uid="{00000000-0005-0000-0000-000034000000}"/>
    <cellStyle name="Vírgula 5 4 3 6" xfId="9101" xr:uid="{00000000-0005-0000-0000-000034000000}"/>
    <cellStyle name="Vírgula 5 4 4" xfId="531" xr:uid="{00000000-0005-0000-0000-000034000000}"/>
    <cellStyle name="Vírgula 5 4 4 2" xfId="2572" xr:uid="{00000000-0005-0000-0000-000034000000}"/>
    <cellStyle name="Vírgula 5 4 4 2 2" xfId="6653" xr:uid="{00000000-0005-0000-0000-000034000000}"/>
    <cellStyle name="Vírgula 5 4 4 2 2 2" xfId="14813" xr:uid="{00000000-0005-0000-0000-000034000000}"/>
    <cellStyle name="Vírgula 5 4 4 2 3" xfId="10733" xr:uid="{00000000-0005-0000-0000-000034000000}"/>
    <cellStyle name="Vírgula 5 4 4 3" xfId="1552" xr:uid="{00000000-0005-0000-0000-000034000000}"/>
    <cellStyle name="Vírgula 5 4 4 3 2" xfId="5633" xr:uid="{00000000-0005-0000-0000-000034000000}"/>
    <cellStyle name="Vírgula 5 4 4 3 2 2" xfId="13793" xr:uid="{00000000-0005-0000-0000-000034000000}"/>
    <cellStyle name="Vírgula 5 4 4 3 3" xfId="9713" xr:uid="{00000000-0005-0000-0000-000034000000}"/>
    <cellStyle name="Vírgula 5 4 4 4" xfId="3592" xr:uid="{00000000-0005-0000-0000-000034000000}"/>
    <cellStyle name="Vírgula 5 4 4 4 2" xfId="7673" xr:uid="{00000000-0005-0000-0000-000034000000}"/>
    <cellStyle name="Vírgula 5 4 4 4 2 2" xfId="15833" xr:uid="{00000000-0005-0000-0000-000034000000}"/>
    <cellStyle name="Vírgula 5 4 4 4 3" xfId="11753" xr:uid="{00000000-0005-0000-0000-000034000000}"/>
    <cellStyle name="Vírgula 5 4 4 5" xfId="4612" xr:uid="{00000000-0005-0000-0000-000034000000}"/>
    <cellStyle name="Vírgula 5 4 4 5 2" xfId="12773" xr:uid="{00000000-0005-0000-0000-000034000000}"/>
    <cellStyle name="Vírgula 5 4 4 6" xfId="8693" xr:uid="{00000000-0005-0000-0000-000034000000}"/>
    <cellStyle name="Vírgula 5 4 5" xfId="2164" xr:uid="{00000000-0005-0000-0000-000034000000}"/>
    <cellStyle name="Vírgula 5 4 5 2" xfId="6245" xr:uid="{00000000-0005-0000-0000-000034000000}"/>
    <cellStyle name="Vírgula 5 4 5 2 2" xfId="14405" xr:uid="{00000000-0005-0000-0000-000034000000}"/>
    <cellStyle name="Vírgula 5 4 5 3" xfId="10325" xr:uid="{00000000-0005-0000-0000-000034000000}"/>
    <cellStyle name="Vírgula 5 4 6" xfId="1144" xr:uid="{00000000-0005-0000-0000-000034000000}"/>
    <cellStyle name="Vírgula 5 4 6 2" xfId="5225" xr:uid="{00000000-0005-0000-0000-000034000000}"/>
    <cellStyle name="Vírgula 5 4 6 2 2" xfId="13385" xr:uid="{00000000-0005-0000-0000-000034000000}"/>
    <cellStyle name="Vírgula 5 4 6 3" xfId="9305" xr:uid="{00000000-0005-0000-0000-000034000000}"/>
    <cellStyle name="Vírgula 5 4 7" xfId="3184" xr:uid="{00000000-0005-0000-0000-000034000000}"/>
    <cellStyle name="Vírgula 5 4 7 2" xfId="7265" xr:uid="{00000000-0005-0000-0000-000034000000}"/>
    <cellStyle name="Vírgula 5 4 7 2 2" xfId="15425" xr:uid="{00000000-0005-0000-0000-000034000000}"/>
    <cellStyle name="Vírgula 5 4 7 3" xfId="11345" xr:uid="{00000000-0005-0000-0000-000034000000}"/>
    <cellStyle name="Vírgula 5 4 8" xfId="4204" xr:uid="{00000000-0005-0000-0000-000034000000}"/>
    <cellStyle name="Vírgula 5 4 8 2" xfId="12365" xr:uid="{00000000-0005-0000-0000-000034000000}"/>
    <cellStyle name="Vírgula 5 4 9" xfId="8285" xr:uid="{00000000-0005-0000-0000-000034000000}"/>
    <cellStyle name="Vírgula 5 5" xfId="225" xr:uid="{00000000-0005-0000-0000-000034000000}"/>
    <cellStyle name="Vírgula 5 5 2" xfId="633" xr:uid="{00000000-0005-0000-0000-000034000000}"/>
    <cellStyle name="Vírgula 5 5 2 2" xfId="2674" xr:uid="{00000000-0005-0000-0000-000034000000}"/>
    <cellStyle name="Vírgula 5 5 2 2 2" xfId="6755" xr:uid="{00000000-0005-0000-0000-000034000000}"/>
    <cellStyle name="Vírgula 5 5 2 2 2 2" xfId="14915" xr:uid="{00000000-0005-0000-0000-000034000000}"/>
    <cellStyle name="Vírgula 5 5 2 2 3" xfId="10835" xr:uid="{00000000-0005-0000-0000-000034000000}"/>
    <cellStyle name="Vírgula 5 5 2 3" xfId="1654" xr:uid="{00000000-0005-0000-0000-000034000000}"/>
    <cellStyle name="Vírgula 5 5 2 3 2" xfId="5735" xr:uid="{00000000-0005-0000-0000-000034000000}"/>
    <cellStyle name="Vírgula 5 5 2 3 2 2" xfId="13895" xr:uid="{00000000-0005-0000-0000-000034000000}"/>
    <cellStyle name="Vírgula 5 5 2 3 3" xfId="9815" xr:uid="{00000000-0005-0000-0000-000034000000}"/>
    <cellStyle name="Vírgula 5 5 2 4" xfId="3694" xr:uid="{00000000-0005-0000-0000-000034000000}"/>
    <cellStyle name="Vírgula 5 5 2 4 2" xfId="7775" xr:uid="{00000000-0005-0000-0000-000034000000}"/>
    <cellStyle name="Vírgula 5 5 2 4 2 2" xfId="15935" xr:uid="{00000000-0005-0000-0000-000034000000}"/>
    <cellStyle name="Vírgula 5 5 2 4 3" xfId="11855" xr:uid="{00000000-0005-0000-0000-000034000000}"/>
    <cellStyle name="Vírgula 5 5 2 5" xfId="4714" xr:uid="{00000000-0005-0000-0000-000034000000}"/>
    <cellStyle name="Vírgula 5 5 2 5 2" xfId="12875" xr:uid="{00000000-0005-0000-0000-000034000000}"/>
    <cellStyle name="Vírgula 5 5 2 6" xfId="8795" xr:uid="{00000000-0005-0000-0000-000034000000}"/>
    <cellStyle name="Vírgula 5 5 3" xfId="2266" xr:uid="{00000000-0005-0000-0000-000034000000}"/>
    <cellStyle name="Vírgula 5 5 3 2" xfId="6347" xr:uid="{00000000-0005-0000-0000-000034000000}"/>
    <cellStyle name="Vírgula 5 5 3 2 2" xfId="14507" xr:uid="{00000000-0005-0000-0000-000034000000}"/>
    <cellStyle name="Vírgula 5 5 3 3" xfId="10427" xr:uid="{00000000-0005-0000-0000-000034000000}"/>
    <cellStyle name="Vírgula 5 5 4" xfId="1246" xr:uid="{00000000-0005-0000-0000-000034000000}"/>
    <cellStyle name="Vírgula 5 5 4 2" xfId="5327" xr:uid="{00000000-0005-0000-0000-000034000000}"/>
    <cellStyle name="Vírgula 5 5 4 2 2" xfId="13487" xr:uid="{00000000-0005-0000-0000-000034000000}"/>
    <cellStyle name="Vírgula 5 5 4 3" xfId="9407" xr:uid="{00000000-0005-0000-0000-000034000000}"/>
    <cellStyle name="Vírgula 5 5 5" xfId="3286" xr:uid="{00000000-0005-0000-0000-000034000000}"/>
    <cellStyle name="Vírgula 5 5 5 2" xfId="7367" xr:uid="{00000000-0005-0000-0000-000034000000}"/>
    <cellStyle name="Vírgula 5 5 5 2 2" xfId="15527" xr:uid="{00000000-0005-0000-0000-000034000000}"/>
    <cellStyle name="Vírgula 5 5 5 3" xfId="11447" xr:uid="{00000000-0005-0000-0000-000034000000}"/>
    <cellStyle name="Vírgula 5 5 6" xfId="4306" xr:uid="{00000000-0005-0000-0000-000034000000}"/>
    <cellStyle name="Vírgula 5 5 6 2" xfId="12467" xr:uid="{00000000-0005-0000-0000-000034000000}"/>
    <cellStyle name="Vírgula 5 5 7" xfId="8387" xr:uid="{00000000-0005-0000-0000-000034000000}"/>
    <cellStyle name="Vírgula 5 6" xfId="837" xr:uid="{00000000-0005-0000-0000-000034000000}"/>
    <cellStyle name="Vírgula 5 6 2" xfId="2878" xr:uid="{00000000-0005-0000-0000-000034000000}"/>
    <cellStyle name="Vírgula 5 6 2 2" xfId="6959" xr:uid="{00000000-0005-0000-0000-000034000000}"/>
    <cellStyle name="Vírgula 5 6 2 2 2" xfId="15119" xr:uid="{00000000-0005-0000-0000-000034000000}"/>
    <cellStyle name="Vírgula 5 6 2 3" xfId="11039" xr:uid="{00000000-0005-0000-0000-000034000000}"/>
    <cellStyle name="Vírgula 5 6 3" xfId="1858" xr:uid="{00000000-0005-0000-0000-000034000000}"/>
    <cellStyle name="Vírgula 5 6 3 2" xfId="5939" xr:uid="{00000000-0005-0000-0000-000034000000}"/>
    <cellStyle name="Vírgula 5 6 3 2 2" xfId="14099" xr:uid="{00000000-0005-0000-0000-000034000000}"/>
    <cellStyle name="Vírgula 5 6 3 3" xfId="10019" xr:uid="{00000000-0005-0000-0000-000034000000}"/>
    <cellStyle name="Vírgula 5 6 4" xfId="3898" xr:uid="{00000000-0005-0000-0000-000034000000}"/>
    <cellStyle name="Vírgula 5 6 4 2" xfId="7979" xr:uid="{00000000-0005-0000-0000-000034000000}"/>
    <cellStyle name="Vírgula 5 6 4 2 2" xfId="16139" xr:uid="{00000000-0005-0000-0000-000034000000}"/>
    <cellStyle name="Vírgula 5 6 4 3" xfId="12059" xr:uid="{00000000-0005-0000-0000-000034000000}"/>
    <cellStyle name="Vírgula 5 6 5" xfId="4918" xr:uid="{00000000-0005-0000-0000-000034000000}"/>
    <cellStyle name="Vírgula 5 6 5 2" xfId="13079" xr:uid="{00000000-0005-0000-0000-000034000000}"/>
    <cellStyle name="Vírgula 5 6 6" xfId="8999" xr:uid="{00000000-0005-0000-0000-000034000000}"/>
    <cellStyle name="Vírgula 5 7" xfId="429" xr:uid="{00000000-0005-0000-0000-000034000000}"/>
    <cellStyle name="Vírgula 5 7 2" xfId="2470" xr:uid="{00000000-0005-0000-0000-000034000000}"/>
    <cellStyle name="Vírgula 5 7 2 2" xfId="6551" xr:uid="{00000000-0005-0000-0000-000034000000}"/>
    <cellStyle name="Vírgula 5 7 2 2 2" xfId="14711" xr:uid="{00000000-0005-0000-0000-000034000000}"/>
    <cellStyle name="Vírgula 5 7 2 3" xfId="10631" xr:uid="{00000000-0005-0000-0000-000034000000}"/>
    <cellStyle name="Vírgula 5 7 3" xfId="1450" xr:uid="{00000000-0005-0000-0000-000034000000}"/>
    <cellStyle name="Vírgula 5 7 3 2" xfId="5531" xr:uid="{00000000-0005-0000-0000-000034000000}"/>
    <cellStyle name="Vírgula 5 7 3 2 2" xfId="13691" xr:uid="{00000000-0005-0000-0000-000034000000}"/>
    <cellStyle name="Vírgula 5 7 3 3" xfId="9611" xr:uid="{00000000-0005-0000-0000-000034000000}"/>
    <cellStyle name="Vírgula 5 7 4" xfId="3490" xr:uid="{00000000-0005-0000-0000-000034000000}"/>
    <cellStyle name="Vírgula 5 7 4 2" xfId="7571" xr:uid="{00000000-0005-0000-0000-000034000000}"/>
    <cellStyle name="Vírgula 5 7 4 2 2" xfId="15731" xr:uid="{00000000-0005-0000-0000-000034000000}"/>
    <cellStyle name="Vírgula 5 7 4 3" xfId="11651" xr:uid="{00000000-0005-0000-0000-000034000000}"/>
    <cellStyle name="Vírgula 5 7 5" xfId="4510" xr:uid="{00000000-0005-0000-0000-000034000000}"/>
    <cellStyle name="Vírgula 5 7 5 2" xfId="12671" xr:uid="{00000000-0005-0000-0000-000034000000}"/>
    <cellStyle name="Vírgula 5 7 6" xfId="8591" xr:uid="{00000000-0005-0000-0000-000034000000}"/>
    <cellStyle name="Vírgula 5 8" xfId="2062" xr:uid="{00000000-0005-0000-0000-000034000000}"/>
    <cellStyle name="Vírgula 5 8 2" xfId="6143" xr:uid="{00000000-0005-0000-0000-000034000000}"/>
    <cellStyle name="Vírgula 5 8 2 2" xfId="14303" xr:uid="{00000000-0005-0000-0000-000034000000}"/>
    <cellStyle name="Vírgula 5 8 3" xfId="10223" xr:uid="{00000000-0005-0000-0000-000034000000}"/>
    <cellStyle name="Vírgula 5 9" xfId="1042" xr:uid="{00000000-0005-0000-0000-000034000000}"/>
    <cellStyle name="Vírgula 5 9 2" xfId="5123" xr:uid="{00000000-0005-0000-0000-000034000000}"/>
    <cellStyle name="Vírgula 5 9 2 2" xfId="13283" xr:uid="{00000000-0005-0000-0000-000034000000}"/>
    <cellStyle name="Vírgula 5 9 3" xfId="9203" xr:uid="{00000000-0005-0000-0000-000034000000}"/>
    <cellStyle name="Vírgula 6" xfId="30" xr:uid="{00000000-0005-0000-0000-000036000000}"/>
    <cellStyle name="Vírgula 6 10" xfId="4111" xr:uid="{00000000-0005-0000-0000-000036000000}"/>
    <cellStyle name="Vírgula 6 10 2" xfId="12272" xr:uid="{00000000-0005-0000-0000-000036000000}"/>
    <cellStyle name="Vírgula 6 11" xfId="8192" xr:uid="{00000000-0005-0000-0000-000036000000}"/>
    <cellStyle name="Vírgula 6 2" xfId="81" xr:uid="{00000000-0005-0000-0000-000036000000}"/>
    <cellStyle name="Vírgula 6 2 10" xfId="8243" xr:uid="{00000000-0005-0000-0000-000036000000}"/>
    <cellStyle name="Vírgula 6 2 2" xfId="183" xr:uid="{00000000-0005-0000-0000-000036000000}"/>
    <cellStyle name="Vírgula 6 2 2 2" xfId="387" xr:uid="{00000000-0005-0000-0000-000036000000}"/>
    <cellStyle name="Vírgula 6 2 2 2 2" xfId="795" xr:uid="{00000000-0005-0000-0000-000036000000}"/>
    <cellStyle name="Vírgula 6 2 2 2 2 2" xfId="2836" xr:uid="{00000000-0005-0000-0000-000036000000}"/>
    <cellStyle name="Vírgula 6 2 2 2 2 2 2" xfId="6917" xr:uid="{00000000-0005-0000-0000-000036000000}"/>
    <cellStyle name="Vírgula 6 2 2 2 2 2 2 2" xfId="15077" xr:uid="{00000000-0005-0000-0000-000036000000}"/>
    <cellStyle name="Vírgula 6 2 2 2 2 2 3" xfId="10997" xr:uid="{00000000-0005-0000-0000-000036000000}"/>
    <cellStyle name="Vírgula 6 2 2 2 2 3" xfId="1816" xr:uid="{00000000-0005-0000-0000-000036000000}"/>
    <cellStyle name="Vírgula 6 2 2 2 2 3 2" xfId="5897" xr:uid="{00000000-0005-0000-0000-000036000000}"/>
    <cellStyle name="Vírgula 6 2 2 2 2 3 2 2" xfId="14057" xr:uid="{00000000-0005-0000-0000-000036000000}"/>
    <cellStyle name="Vírgula 6 2 2 2 2 3 3" xfId="9977" xr:uid="{00000000-0005-0000-0000-000036000000}"/>
    <cellStyle name="Vírgula 6 2 2 2 2 4" xfId="3856" xr:uid="{00000000-0005-0000-0000-000036000000}"/>
    <cellStyle name="Vírgula 6 2 2 2 2 4 2" xfId="7937" xr:uid="{00000000-0005-0000-0000-000036000000}"/>
    <cellStyle name="Vírgula 6 2 2 2 2 4 2 2" xfId="16097" xr:uid="{00000000-0005-0000-0000-000036000000}"/>
    <cellStyle name="Vírgula 6 2 2 2 2 4 3" xfId="12017" xr:uid="{00000000-0005-0000-0000-000036000000}"/>
    <cellStyle name="Vírgula 6 2 2 2 2 5" xfId="4876" xr:uid="{00000000-0005-0000-0000-000036000000}"/>
    <cellStyle name="Vírgula 6 2 2 2 2 5 2" xfId="13037" xr:uid="{00000000-0005-0000-0000-000036000000}"/>
    <cellStyle name="Vírgula 6 2 2 2 2 6" xfId="8957" xr:uid="{00000000-0005-0000-0000-000036000000}"/>
    <cellStyle name="Vírgula 6 2 2 2 3" xfId="2428" xr:uid="{00000000-0005-0000-0000-000036000000}"/>
    <cellStyle name="Vírgula 6 2 2 2 3 2" xfId="6509" xr:uid="{00000000-0005-0000-0000-000036000000}"/>
    <cellStyle name="Vírgula 6 2 2 2 3 2 2" xfId="14669" xr:uid="{00000000-0005-0000-0000-000036000000}"/>
    <cellStyle name="Vírgula 6 2 2 2 3 3" xfId="10589" xr:uid="{00000000-0005-0000-0000-000036000000}"/>
    <cellStyle name="Vírgula 6 2 2 2 4" xfId="1408" xr:uid="{00000000-0005-0000-0000-000036000000}"/>
    <cellStyle name="Vírgula 6 2 2 2 4 2" xfId="5489" xr:uid="{00000000-0005-0000-0000-000036000000}"/>
    <cellStyle name="Vírgula 6 2 2 2 4 2 2" xfId="13649" xr:uid="{00000000-0005-0000-0000-000036000000}"/>
    <cellStyle name="Vírgula 6 2 2 2 4 3" xfId="9569" xr:uid="{00000000-0005-0000-0000-000036000000}"/>
    <cellStyle name="Vírgula 6 2 2 2 5" xfId="3448" xr:uid="{00000000-0005-0000-0000-000036000000}"/>
    <cellStyle name="Vírgula 6 2 2 2 5 2" xfId="7529" xr:uid="{00000000-0005-0000-0000-000036000000}"/>
    <cellStyle name="Vírgula 6 2 2 2 5 2 2" xfId="15689" xr:uid="{00000000-0005-0000-0000-000036000000}"/>
    <cellStyle name="Vírgula 6 2 2 2 5 3" xfId="11609" xr:uid="{00000000-0005-0000-0000-000036000000}"/>
    <cellStyle name="Vírgula 6 2 2 2 6" xfId="4468" xr:uid="{00000000-0005-0000-0000-000036000000}"/>
    <cellStyle name="Vírgula 6 2 2 2 6 2" xfId="12629" xr:uid="{00000000-0005-0000-0000-000036000000}"/>
    <cellStyle name="Vírgula 6 2 2 2 7" xfId="8549" xr:uid="{00000000-0005-0000-0000-000036000000}"/>
    <cellStyle name="Vírgula 6 2 2 3" xfId="999" xr:uid="{00000000-0005-0000-0000-000036000000}"/>
    <cellStyle name="Vírgula 6 2 2 3 2" xfId="3040" xr:uid="{00000000-0005-0000-0000-000036000000}"/>
    <cellStyle name="Vírgula 6 2 2 3 2 2" xfId="7121" xr:uid="{00000000-0005-0000-0000-000036000000}"/>
    <cellStyle name="Vírgula 6 2 2 3 2 2 2" xfId="15281" xr:uid="{00000000-0005-0000-0000-000036000000}"/>
    <cellStyle name="Vírgula 6 2 2 3 2 3" xfId="11201" xr:uid="{00000000-0005-0000-0000-000036000000}"/>
    <cellStyle name="Vírgula 6 2 2 3 3" xfId="2020" xr:uid="{00000000-0005-0000-0000-000036000000}"/>
    <cellStyle name="Vírgula 6 2 2 3 3 2" xfId="6101" xr:uid="{00000000-0005-0000-0000-000036000000}"/>
    <cellStyle name="Vírgula 6 2 2 3 3 2 2" xfId="14261" xr:uid="{00000000-0005-0000-0000-000036000000}"/>
    <cellStyle name="Vírgula 6 2 2 3 3 3" xfId="10181" xr:uid="{00000000-0005-0000-0000-000036000000}"/>
    <cellStyle name="Vírgula 6 2 2 3 4" xfId="4060" xr:uid="{00000000-0005-0000-0000-000036000000}"/>
    <cellStyle name="Vírgula 6 2 2 3 4 2" xfId="8141" xr:uid="{00000000-0005-0000-0000-000036000000}"/>
    <cellStyle name="Vírgula 6 2 2 3 4 2 2" xfId="16301" xr:uid="{00000000-0005-0000-0000-000036000000}"/>
    <cellStyle name="Vírgula 6 2 2 3 4 3" xfId="12221" xr:uid="{00000000-0005-0000-0000-000036000000}"/>
    <cellStyle name="Vírgula 6 2 2 3 5" xfId="5080" xr:uid="{00000000-0005-0000-0000-000036000000}"/>
    <cellStyle name="Vírgula 6 2 2 3 5 2" xfId="13241" xr:uid="{00000000-0005-0000-0000-000036000000}"/>
    <cellStyle name="Vírgula 6 2 2 3 6" xfId="9161" xr:uid="{00000000-0005-0000-0000-000036000000}"/>
    <cellStyle name="Vírgula 6 2 2 4" xfId="591" xr:uid="{00000000-0005-0000-0000-000036000000}"/>
    <cellStyle name="Vírgula 6 2 2 4 2" xfId="2632" xr:uid="{00000000-0005-0000-0000-000036000000}"/>
    <cellStyle name="Vírgula 6 2 2 4 2 2" xfId="6713" xr:uid="{00000000-0005-0000-0000-000036000000}"/>
    <cellStyle name="Vírgula 6 2 2 4 2 2 2" xfId="14873" xr:uid="{00000000-0005-0000-0000-000036000000}"/>
    <cellStyle name="Vírgula 6 2 2 4 2 3" xfId="10793" xr:uid="{00000000-0005-0000-0000-000036000000}"/>
    <cellStyle name="Vírgula 6 2 2 4 3" xfId="1612" xr:uid="{00000000-0005-0000-0000-000036000000}"/>
    <cellStyle name="Vírgula 6 2 2 4 3 2" xfId="5693" xr:uid="{00000000-0005-0000-0000-000036000000}"/>
    <cellStyle name="Vírgula 6 2 2 4 3 2 2" xfId="13853" xr:uid="{00000000-0005-0000-0000-000036000000}"/>
    <cellStyle name="Vírgula 6 2 2 4 3 3" xfId="9773" xr:uid="{00000000-0005-0000-0000-000036000000}"/>
    <cellStyle name="Vírgula 6 2 2 4 4" xfId="3652" xr:uid="{00000000-0005-0000-0000-000036000000}"/>
    <cellStyle name="Vírgula 6 2 2 4 4 2" xfId="7733" xr:uid="{00000000-0005-0000-0000-000036000000}"/>
    <cellStyle name="Vírgula 6 2 2 4 4 2 2" xfId="15893" xr:uid="{00000000-0005-0000-0000-000036000000}"/>
    <cellStyle name="Vírgula 6 2 2 4 4 3" xfId="11813" xr:uid="{00000000-0005-0000-0000-000036000000}"/>
    <cellStyle name="Vírgula 6 2 2 4 5" xfId="4672" xr:uid="{00000000-0005-0000-0000-000036000000}"/>
    <cellStyle name="Vírgula 6 2 2 4 5 2" xfId="12833" xr:uid="{00000000-0005-0000-0000-000036000000}"/>
    <cellStyle name="Vírgula 6 2 2 4 6" xfId="8753" xr:uid="{00000000-0005-0000-0000-000036000000}"/>
    <cellStyle name="Vírgula 6 2 2 5" xfId="2224" xr:uid="{00000000-0005-0000-0000-000036000000}"/>
    <cellStyle name="Vírgula 6 2 2 5 2" xfId="6305" xr:uid="{00000000-0005-0000-0000-000036000000}"/>
    <cellStyle name="Vírgula 6 2 2 5 2 2" xfId="14465" xr:uid="{00000000-0005-0000-0000-000036000000}"/>
    <cellStyle name="Vírgula 6 2 2 5 3" xfId="10385" xr:uid="{00000000-0005-0000-0000-000036000000}"/>
    <cellStyle name="Vírgula 6 2 2 6" xfId="1204" xr:uid="{00000000-0005-0000-0000-000036000000}"/>
    <cellStyle name="Vírgula 6 2 2 6 2" xfId="5285" xr:uid="{00000000-0005-0000-0000-000036000000}"/>
    <cellStyle name="Vírgula 6 2 2 6 2 2" xfId="13445" xr:uid="{00000000-0005-0000-0000-000036000000}"/>
    <cellStyle name="Vírgula 6 2 2 6 3" xfId="9365" xr:uid="{00000000-0005-0000-0000-000036000000}"/>
    <cellStyle name="Vírgula 6 2 2 7" xfId="3244" xr:uid="{00000000-0005-0000-0000-000036000000}"/>
    <cellStyle name="Vírgula 6 2 2 7 2" xfId="7325" xr:uid="{00000000-0005-0000-0000-000036000000}"/>
    <cellStyle name="Vírgula 6 2 2 7 2 2" xfId="15485" xr:uid="{00000000-0005-0000-0000-000036000000}"/>
    <cellStyle name="Vírgula 6 2 2 7 3" xfId="11405" xr:uid="{00000000-0005-0000-0000-000036000000}"/>
    <cellStyle name="Vírgula 6 2 2 8" xfId="4264" xr:uid="{00000000-0005-0000-0000-000036000000}"/>
    <cellStyle name="Vírgula 6 2 2 8 2" xfId="12425" xr:uid="{00000000-0005-0000-0000-000036000000}"/>
    <cellStyle name="Vírgula 6 2 2 9" xfId="8345" xr:uid="{00000000-0005-0000-0000-000036000000}"/>
    <cellStyle name="Vírgula 6 2 3" xfId="285" xr:uid="{00000000-0005-0000-0000-000036000000}"/>
    <cellStyle name="Vírgula 6 2 3 2" xfId="693" xr:uid="{00000000-0005-0000-0000-000036000000}"/>
    <cellStyle name="Vírgula 6 2 3 2 2" xfId="2734" xr:uid="{00000000-0005-0000-0000-000036000000}"/>
    <cellStyle name="Vírgula 6 2 3 2 2 2" xfId="6815" xr:uid="{00000000-0005-0000-0000-000036000000}"/>
    <cellStyle name="Vírgula 6 2 3 2 2 2 2" xfId="14975" xr:uid="{00000000-0005-0000-0000-000036000000}"/>
    <cellStyle name="Vírgula 6 2 3 2 2 3" xfId="10895" xr:uid="{00000000-0005-0000-0000-000036000000}"/>
    <cellStyle name="Vírgula 6 2 3 2 3" xfId="1714" xr:uid="{00000000-0005-0000-0000-000036000000}"/>
    <cellStyle name="Vírgula 6 2 3 2 3 2" xfId="5795" xr:uid="{00000000-0005-0000-0000-000036000000}"/>
    <cellStyle name="Vírgula 6 2 3 2 3 2 2" xfId="13955" xr:uid="{00000000-0005-0000-0000-000036000000}"/>
    <cellStyle name="Vírgula 6 2 3 2 3 3" xfId="9875" xr:uid="{00000000-0005-0000-0000-000036000000}"/>
    <cellStyle name="Vírgula 6 2 3 2 4" xfId="3754" xr:uid="{00000000-0005-0000-0000-000036000000}"/>
    <cellStyle name="Vírgula 6 2 3 2 4 2" xfId="7835" xr:uid="{00000000-0005-0000-0000-000036000000}"/>
    <cellStyle name="Vírgula 6 2 3 2 4 2 2" xfId="15995" xr:uid="{00000000-0005-0000-0000-000036000000}"/>
    <cellStyle name="Vírgula 6 2 3 2 4 3" xfId="11915" xr:uid="{00000000-0005-0000-0000-000036000000}"/>
    <cellStyle name="Vírgula 6 2 3 2 5" xfId="4774" xr:uid="{00000000-0005-0000-0000-000036000000}"/>
    <cellStyle name="Vírgula 6 2 3 2 5 2" xfId="12935" xr:uid="{00000000-0005-0000-0000-000036000000}"/>
    <cellStyle name="Vírgula 6 2 3 2 6" xfId="8855" xr:uid="{00000000-0005-0000-0000-000036000000}"/>
    <cellStyle name="Vírgula 6 2 3 3" xfId="2326" xr:uid="{00000000-0005-0000-0000-000036000000}"/>
    <cellStyle name="Vírgula 6 2 3 3 2" xfId="6407" xr:uid="{00000000-0005-0000-0000-000036000000}"/>
    <cellStyle name="Vírgula 6 2 3 3 2 2" xfId="14567" xr:uid="{00000000-0005-0000-0000-000036000000}"/>
    <cellStyle name="Vírgula 6 2 3 3 3" xfId="10487" xr:uid="{00000000-0005-0000-0000-000036000000}"/>
    <cellStyle name="Vírgula 6 2 3 4" xfId="1306" xr:uid="{00000000-0005-0000-0000-000036000000}"/>
    <cellStyle name="Vírgula 6 2 3 4 2" xfId="5387" xr:uid="{00000000-0005-0000-0000-000036000000}"/>
    <cellStyle name="Vírgula 6 2 3 4 2 2" xfId="13547" xr:uid="{00000000-0005-0000-0000-000036000000}"/>
    <cellStyle name="Vírgula 6 2 3 4 3" xfId="9467" xr:uid="{00000000-0005-0000-0000-000036000000}"/>
    <cellStyle name="Vírgula 6 2 3 5" xfId="3346" xr:uid="{00000000-0005-0000-0000-000036000000}"/>
    <cellStyle name="Vírgula 6 2 3 5 2" xfId="7427" xr:uid="{00000000-0005-0000-0000-000036000000}"/>
    <cellStyle name="Vírgula 6 2 3 5 2 2" xfId="15587" xr:uid="{00000000-0005-0000-0000-000036000000}"/>
    <cellStyle name="Vírgula 6 2 3 5 3" xfId="11507" xr:uid="{00000000-0005-0000-0000-000036000000}"/>
    <cellStyle name="Vírgula 6 2 3 6" xfId="4366" xr:uid="{00000000-0005-0000-0000-000036000000}"/>
    <cellStyle name="Vírgula 6 2 3 6 2" xfId="12527" xr:uid="{00000000-0005-0000-0000-000036000000}"/>
    <cellStyle name="Vírgula 6 2 3 7" xfId="8447" xr:uid="{00000000-0005-0000-0000-000036000000}"/>
    <cellStyle name="Vírgula 6 2 4" xfId="897" xr:uid="{00000000-0005-0000-0000-000036000000}"/>
    <cellStyle name="Vírgula 6 2 4 2" xfId="2938" xr:uid="{00000000-0005-0000-0000-000036000000}"/>
    <cellStyle name="Vírgula 6 2 4 2 2" xfId="7019" xr:uid="{00000000-0005-0000-0000-000036000000}"/>
    <cellStyle name="Vírgula 6 2 4 2 2 2" xfId="15179" xr:uid="{00000000-0005-0000-0000-000036000000}"/>
    <cellStyle name="Vírgula 6 2 4 2 3" xfId="11099" xr:uid="{00000000-0005-0000-0000-000036000000}"/>
    <cellStyle name="Vírgula 6 2 4 3" xfId="1918" xr:uid="{00000000-0005-0000-0000-000036000000}"/>
    <cellStyle name="Vírgula 6 2 4 3 2" xfId="5999" xr:uid="{00000000-0005-0000-0000-000036000000}"/>
    <cellStyle name="Vírgula 6 2 4 3 2 2" xfId="14159" xr:uid="{00000000-0005-0000-0000-000036000000}"/>
    <cellStyle name="Vírgula 6 2 4 3 3" xfId="10079" xr:uid="{00000000-0005-0000-0000-000036000000}"/>
    <cellStyle name="Vírgula 6 2 4 4" xfId="3958" xr:uid="{00000000-0005-0000-0000-000036000000}"/>
    <cellStyle name="Vírgula 6 2 4 4 2" xfId="8039" xr:uid="{00000000-0005-0000-0000-000036000000}"/>
    <cellStyle name="Vírgula 6 2 4 4 2 2" xfId="16199" xr:uid="{00000000-0005-0000-0000-000036000000}"/>
    <cellStyle name="Vírgula 6 2 4 4 3" xfId="12119" xr:uid="{00000000-0005-0000-0000-000036000000}"/>
    <cellStyle name="Vírgula 6 2 4 5" xfId="4978" xr:uid="{00000000-0005-0000-0000-000036000000}"/>
    <cellStyle name="Vírgula 6 2 4 5 2" xfId="13139" xr:uid="{00000000-0005-0000-0000-000036000000}"/>
    <cellStyle name="Vírgula 6 2 4 6" xfId="9059" xr:uid="{00000000-0005-0000-0000-000036000000}"/>
    <cellStyle name="Vírgula 6 2 5" xfId="489" xr:uid="{00000000-0005-0000-0000-000036000000}"/>
    <cellStyle name="Vírgula 6 2 5 2" xfId="2530" xr:uid="{00000000-0005-0000-0000-000036000000}"/>
    <cellStyle name="Vírgula 6 2 5 2 2" xfId="6611" xr:uid="{00000000-0005-0000-0000-000036000000}"/>
    <cellStyle name="Vírgula 6 2 5 2 2 2" xfId="14771" xr:uid="{00000000-0005-0000-0000-000036000000}"/>
    <cellStyle name="Vírgula 6 2 5 2 3" xfId="10691" xr:uid="{00000000-0005-0000-0000-000036000000}"/>
    <cellStyle name="Vírgula 6 2 5 3" xfId="1510" xr:uid="{00000000-0005-0000-0000-000036000000}"/>
    <cellStyle name="Vírgula 6 2 5 3 2" xfId="5591" xr:uid="{00000000-0005-0000-0000-000036000000}"/>
    <cellStyle name="Vírgula 6 2 5 3 2 2" xfId="13751" xr:uid="{00000000-0005-0000-0000-000036000000}"/>
    <cellStyle name="Vírgula 6 2 5 3 3" xfId="9671" xr:uid="{00000000-0005-0000-0000-000036000000}"/>
    <cellStyle name="Vírgula 6 2 5 4" xfId="3550" xr:uid="{00000000-0005-0000-0000-000036000000}"/>
    <cellStyle name="Vírgula 6 2 5 4 2" xfId="7631" xr:uid="{00000000-0005-0000-0000-000036000000}"/>
    <cellStyle name="Vírgula 6 2 5 4 2 2" xfId="15791" xr:uid="{00000000-0005-0000-0000-000036000000}"/>
    <cellStyle name="Vírgula 6 2 5 4 3" xfId="11711" xr:uid="{00000000-0005-0000-0000-000036000000}"/>
    <cellStyle name="Vírgula 6 2 5 5" xfId="4570" xr:uid="{00000000-0005-0000-0000-000036000000}"/>
    <cellStyle name="Vírgula 6 2 5 5 2" xfId="12731" xr:uid="{00000000-0005-0000-0000-000036000000}"/>
    <cellStyle name="Vírgula 6 2 5 6" xfId="8651" xr:uid="{00000000-0005-0000-0000-000036000000}"/>
    <cellStyle name="Vírgula 6 2 6" xfId="2122" xr:uid="{00000000-0005-0000-0000-000036000000}"/>
    <cellStyle name="Vírgula 6 2 6 2" xfId="6203" xr:uid="{00000000-0005-0000-0000-000036000000}"/>
    <cellStyle name="Vírgula 6 2 6 2 2" xfId="14363" xr:uid="{00000000-0005-0000-0000-000036000000}"/>
    <cellStyle name="Vírgula 6 2 6 3" xfId="10283" xr:uid="{00000000-0005-0000-0000-000036000000}"/>
    <cellStyle name="Vírgula 6 2 7" xfId="1102" xr:uid="{00000000-0005-0000-0000-000036000000}"/>
    <cellStyle name="Vírgula 6 2 7 2" xfId="5183" xr:uid="{00000000-0005-0000-0000-000036000000}"/>
    <cellStyle name="Vírgula 6 2 7 2 2" xfId="13343" xr:uid="{00000000-0005-0000-0000-000036000000}"/>
    <cellStyle name="Vírgula 6 2 7 3" xfId="9263" xr:uid="{00000000-0005-0000-0000-000036000000}"/>
    <cellStyle name="Vírgula 6 2 8" xfId="3142" xr:uid="{00000000-0005-0000-0000-000036000000}"/>
    <cellStyle name="Vírgula 6 2 8 2" xfId="7223" xr:uid="{00000000-0005-0000-0000-000036000000}"/>
    <cellStyle name="Vírgula 6 2 8 2 2" xfId="15383" xr:uid="{00000000-0005-0000-0000-000036000000}"/>
    <cellStyle name="Vírgula 6 2 8 3" xfId="11303" xr:uid="{00000000-0005-0000-0000-000036000000}"/>
    <cellStyle name="Vírgula 6 2 9" xfId="4162" xr:uid="{00000000-0005-0000-0000-000036000000}"/>
    <cellStyle name="Vírgula 6 2 9 2" xfId="12323" xr:uid="{00000000-0005-0000-0000-000036000000}"/>
    <cellStyle name="Vírgula 6 3" xfId="132" xr:uid="{00000000-0005-0000-0000-000036000000}"/>
    <cellStyle name="Vírgula 6 3 2" xfId="336" xr:uid="{00000000-0005-0000-0000-000036000000}"/>
    <cellStyle name="Vírgula 6 3 2 2" xfId="744" xr:uid="{00000000-0005-0000-0000-000036000000}"/>
    <cellStyle name="Vírgula 6 3 2 2 2" xfId="2785" xr:uid="{00000000-0005-0000-0000-000036000000}"/>
    <cellStyle name="Vírgula 6 3 2 2 2 2" xfId="6866" xr:uid="{00000000-0005-0000-0000-000036000000}"/>
    <cellStyle name="Vírgula 6 3 2 2 2 2 2" xfId="15026" xr:uid="{00000000-0005-0000-0000-000036000000}"/>
    <cellStyle name="Vírgula 6 3 2 2 2 3" xfId="10946" xr:uid="{00000000-0005-0000-0000-000036000000}"/>
    <cellStyle name="Vírgula 6 3 2 2 3" xfId="1765" xr:uid="{00000000-0005-0000-0000-000036000000}"/>
    <cellStyle name="Vírgula 6 3 2 2 3 2" xfId="5846" xr:uid="{00000000-0005-0000-0000-000036000000}"/>
    <cellStyle name="Vírgula 6 3 2 2 3 2 2" xfId="14006" xr:uid="{00000000-0005-0000-0000-000036000000}"/>
    <cellStyle name="Vírgula 6 3 2 2 3 3" xfId="9926" xr:uid="{00000000-0005-0000-0000-000036000000}"/>
    <cellStyle name="Vírgula 6 3 2 2 4" xfId="3805" xr:uid="{00000000-0005-0000-0000-000036000000}"/>
    <cellStyle name="Vírgula 6 3 2 2 4 2" xfId="7886" xr:uid="{00000000-0005-0000-0000-000036000000}"/>
    <cellStyle name="Vírgula 6 3 2 2 4 2 2" xfId="16046" xr:uid="{00000000-0005-0000-0000-000036000000}"/>
    <cellStyle name="Vírgula 6 3 2 2 4 3" xfId="11966" xr:uid="{00000000-0005-0000-0000-000036000000}"/>
    <cellStyle name="Vírgula 6 3 2 2 5" xfId="4825" xr:uid="{00000000-0005-0000-0000-000036000000}"/>
    <cellStyle name="Vírgula 6 3 2 2 5 2" xfId="12986" xr:uid="{00000000-0005-0000-0000-000036000000}"/>
    <cellStyle name="Vírgula 6 3 2 2 6" xfId="8906" xr:uid="{00000000-0005-0000-0000-000036000000}"/>
    <cellStyle name="Vírgula 6 3 2 3" xfId="2377" xr:uid="{00000000-0005-0000-0000-000036000000}"/>
    <cellStyle name="Vírgula 6 3 2 3 2" xfId="6458" xr:uid="{00000000-0005-0000-0000-000036000000}"/>
    <cellStyle name="Vírgula 6 3 2 3 2 2" xfId="14618" xr:uid="{00000000-0005-0000-0000-000036000000}"/>
    <cellStyle name="Vírgula 6 3 2 3 3" xfId="10538" xr:uid="{00000000-0005-0000-0000-000036000000}"/>
    <cellStyle name="Vírgula 6 3 2 4" xfId="1357" xr:uid="{00000000-0005-0000-0000-000036000000}"/>
    <cellStyle name="Vírgula 6 3 2 4 2" xfId="5438" xr:uid="{00000000-0005-0000-0000-000036000000}"/>
    <cellStyle name="Vírgula 6 3 2 4 2 2" xfId="13598" xr:uid="{00000000-0005-0000-0000-000036000000}"/>
    <cellStyle name="Vírgula 6 3 2 4 3" xfId="9518" xr:uid="{00000000-0005-0000-0000-000036000000}"/>
    <cellStyle name="Vírgula 6 3 2 5" xfId="3397" xr:uid="{00000000-0005-0000-0000-000036000000}"/>
    <cellStyle name="Vírgula 6 3 2 5 2" xfId="7478" xr:uid="{00000000-0005-0000-0000-000036000000}"/>
    <cellStyle name="Vírgula 6 3 2 5 2 2" xfId="15638" xr:uid="{00000000-0005-0000-0000-000036000000}"/>
    <cellStyle name="Vírgula 6 3 2 5 3" xfId="11558" xr:uid="{00000000-0005-0000-0000-000036000000}"/>
    <cellStyle name="Vírgula 6 3 2 6" xfId="4417" xr:uid="{00000000-0005-0000-0000-000036000000}"/>
    <cellStyle name="Vírgula 6 3 2 6 2" xfId="12578" xr:uid="{00000000-0005-0000-0000-000036000000}"/>
    <cellStyle name="Vírgula 6 3 2 7" xfId="8498" xr:uid="{00000000-0005-0000-0000-000036000000}"/>
    <cellStyle name="Vírgula 6 3 3" xfId="948" xr:uid="{00000000-0005-0000-0000-000036000000}"/>
    <cellStyle name="Vírgula 6 3 3 2" xfId="2989" xr:uid="{00000000-0005-0000-0000-000036000000}"/>
    <cellStyle name="Vírgula 6 3 3 2 2" xfId="7070" xr:uid="{00000000-0005-0000-0000-000036000000}"/>
    <cellStyle name="Vírgula 6 3 3 2 2 2" xfId="15230" xr:uid="{00000000-0005-0000-0000-000036000000}"/>
    <cellStyle name="Vírgula 6 3 3 2 3" xfId="11150" xr:uid="{00000000-0005-0000-0000-000036000000}"/>
    <cellStyle name="Vírgula 6 3 3 3" xfId="1969" xr:uid="{00000000-0005-0000-0000-000036000000}"/>
    <cellStyle name="Vírgula 6 3 3 3 2" xfId="6050" xr:uid="{00000000-0005-0000-0000-000036000000}"/>
    <cellStyle name="Vírgula 6 3 3 3 2 2" xfId="14210" xr:uid="{00000000-0005-0000-0000-000036000000}"/>
    <cellStyle name="Vírgula 6 3 3 3 3" xfId="10130" xr:uid="{00000000-0005-0000-0000-000036000000}"/>
    <cellStyle name="Vírgula 6 3 3 4" xfId="4009" xr:uid="{00000000-0005-0000-0000-000036000000}"/>
    <cellStyle name="Vírgula 6 3 3 4 2" xfId="8090" xr:uid="{00000000-0005-0000-0000-000036000000}"/>
    <cellStyle name="Vírgula 6 3 3 4 2 2" xfId="16250" xr:uid="{00000000-0005-0000-0000-000036000000}"/>
    <cellStyle name="Vírgula 6 3 3 4 3" xfId="12170" xr:uid="{00000000-0005-0000-0000-000036000000}"/>
    <cellStyle name="Vírgula 6 3 3 5" xfId="5029" xr:uid="{00000000-0005-0000-0000-000036000000}"/>
    <cellStyle name="Vírgula 6 3 3 5 2" xfId="13190" xr:uid="{00000000-0005-0000-0000-000036000000}"/>
    <cellStyle name="Vírgula 6 3 3 6" xfId="9110" xr:uid="{00000000-0005-0000-0000-000036000000}"/>
    <cellStyle name="Vírgula 6 3 4" xfId="540" xr:uid="{00000000-0005-0000-0000-000036000000}"/>
    <cellStyle name="Vírgula 6 3 4 2" xfId="2581" xr:uid="{00000000-0005-0000-0000-000036000000}"/>
    <cellStyle name="Vírgula 6 3 4 2 2" xfId="6662" xr:uid="{00000000-0005-0000-0000-000036000000}"/>
    <cellStyle name="Vírgula 6 3 4 2 2 2" xfId="14822" xr:uid="{00000000-0005-0000-0000-000036000000}"/>
    <cellStyle name="Vírgula 6 3 4 2 3" xfId="10742" xr:uid="{00000000-0005-0000-0000-000036000000}"/>
    <cellStyle name="Vírgula 6 3 4 3" xfId="1561" xr:uid="{00000000-0005-0000-0000-000036000000}"/>
    <cellStyle name="Vírgula 6 3 4 3 2" xfId="5642" xr:uid="{00000000-0005-0000-0000-000036000000}"/>
    <cellStyle name="Vírgula 6 3 4 3 2 2" xfId="13802" xr:uid="{00000000-0005-0000-0000-000036000000}"/>
    <cellStyle name="Vírgula 6 3 4 3 3" xfId="9722" xr:uid="{00000000-0005-0000-0000-000036000000}"/>
    <cellStyle name="Vírgula 6 3 4 4" xfId="3601" xr:uid="{00000000-0005-0000-0000-000036000000}"/>
    <cellStyle name="Vírgula 6 3 4 4 2" xfId="7682" xr:uid="{00000000-0005-0000-0000-000036000000}"/>
    <cellStyle name="Vírgula 6 3 4 4 2 2" xfId="15842" xr:uid="{00000000-0005-0000-0000-000036000000}"/>
    <cellStyle name="Vírgula 6 3 4 4 3" xfId="11762" xr:uid="{00000000-0005-0000-0000-000036000000}"/>
    <cellStyle name="Vírgula 6 3 4 5" xfId="4621" xr:uid="{00000000-0005-0000-0000-000036000000}"/>
    <cellStyle name="Vírgula 6 3 4 5 2" xfId="12782" xr:uid="{00000000-0005-0000-0000-000036000000}"/>
    <cellStyle name="Vírgula 6 3 4 6" xfId="8702" xr:uid="{00000000-0005-0000-0000-000036000000}"/>
    <cellStyle name="Vírgula 6 3 5" xfId="2173" xr:uid="{00000000-0005-0000-0000-000036000000}"/>
    <cellStyle name="Vírgula 6 3 5 2" xfId="6254" xr:uid="{00000000-0005-0000-0000-000036000000}"/>
    <cellStyle name="Vírgula 6 3 5 2 2" xfId="14414" xr:uid="{00000000-0005-0000-0000-000036000000}"/>
    <cellStyle name="Vírgula 6 3 5 3" xfId="10334" xr:uid="{00000000-0005-0000-0000-000036000000}"/>
    <cellStyle name="Vírgula 6 3 6" xfId="1153" xr:uid="{00000000-0005-0000-0000-000036000000}"/>
    <cellStyle name="Vírgula 6 3 6 2" xfId="5234" xr:uid="{00000000-0005-0000-0000-000036000000}"/>
    <cellStyle name="Vírgula 6 3 6 2 2" xfId="13394" xr:uid="{00000000-0005-0000-0000-000036000000}"/>
    <cellStyle name="Vírgula 6 3 6 3" xfId="9314" xr:uid="{00000000-0005-0000-0000-000036000000}"/>
    <cellStyle name="Vírgula 6 3 7" xfId="3193" xr:uid="{00000000-0005-0000-0000-000036000000}"/>
    <cellStyle name="Vírgula 6 3 7 2" xfId="7274" xr:uid="{00000000-0005-0000-0000-000036000000}"/>
    <cellStyle name="Vírgula 6 3 7 2 2" xfId="15434" xr:uid="{00000000-0005-0000-0000-000036000000}"/>
    <cellStyle name="Vírgula 6 3 7 3" xfId="11354" xr:uid="{00000000-0005-0000-0000-000036000000}"/>
    <cellStyle name="Vírgula 6 3 8" xfId="4213" xr:uid="{00000000-0005-0000-0000-000036000000}"/>
    <cellStyle name="Vírgula 6 3 8 2" xfId="12374" xr:uid="{00000000-0005-0000-0000-000036000000}"/>
    <cellStyle name="Vírgula 6 3 9" xfId="8294" xr:uid="{00000000-0005-0000-0000-000036000000}"/>
    <cellStyle name="Vírgula 6 4" xfId="234" xr:uid="{00000000-0005-0000-0000-000036000000}"/>
    <cellStyle name="Vírgula 6 4 2" xfId="642" xr:uid="{00000000-0005-0000-0000-000036000000}"/>
    <cellStyle name="Vírgula 6 4 2 2" xfId="2683" xr:uid="{00000000-0005-0000-0000-000036000000}"/>
    <cellStyle name="Vírgula 6 4 2 2 2" xfId="6764" xr:uid="{00000000-0005-0000-0000-000036000000}"/>
    <cellStyle name="Vírgula 6 4 2 2 2 2" xfId="14924" xr:uid="{00000000-0005-0000-0000-000036000000}"/>
    <cellStyle name="Vírgula 6 4 2 2 3" xfId="10844" xr:uid="{00000000-0005-0000-0000-000036000000}"/>
    <cellStyle name="Vírgula 6 4 2 3" xfId="1663" xr:uid="{00000000-0005-0000-0000-000036000000}"/>
    <cellStyle name="Vírgula 6 4 2 3 2" xfId="5744" xr:uid="{00000000-0005-0000-0000-000036000000}"/>
    <cellStyle name="Vírgula 6 4 2 3 2 2" xfId="13904" xr:uid="{00000000-0005-0000-0000-000036000000}"/>
    <cellStyle name="Vírgula 6 4 2 3 3" xfId="9824" xr:uid="{00000000-0005-0000-0000-000036000000}"/>
    <cellStyle name="Vírgula 6 4 2 4" xfId="3703" xr:uid="{00000000-0005-0000-0000-000036000000}"/>
    <cellStyle name="Vírgula 6 4 2 4 2" xfId="7784" xr:uid="{00000000-0005-0000-0000-000036000000}"/>
    <cellStyle name="Vírgula 6 4 2 4 2 2" xfId="15944" xr:uid="{00000000-0005-0000-0000-000036000000}"/>
    <cellStyle name="Vírgula 6 4 2 4 3" xfId="11864" xr:uid="{00000000-0005-0000-0000-000036000000}"/>
    <cellStyle name="Vírgula 6 4 2 5" xfId="4723" xr:uid="{00000000-0005-0000-0000-000036000000}"/>
    <cellStyle name="Vírgula 6 4 2 5 2" xfId="12884" xr:uid="{00000000-0005-0000-0000-000036000000}"/>
    <cellStyle name="Vírgula 6 4 2 6" xfId="8804" xr:uid="{00000000-0005-0000-0000-000036000000}"/>
    <cellStyle name="Vírgula 6 4 3" xfId="2275" xr:uid="{00000000-0005-0000-0000-000036000000}"/>
    <cellStyle name="Vírgula 6 4 3 2" xfId="6356" xr:uid="{00000000-0005-0000-0000-000036000000}"/>
    <cellStyle name="Vírgula 6 4 3 2 2" xfId="14516" xr:uid="{00000000-0005-0000-0000-000036000000}"/>
    <cellStyle name="Vírgula 6 4 3 3" xfId="10436" xr:uid="{00000000-0005-0000-0000-000036000000}"/>
    <cellStyle name="Vírgula 6 4 4" xfId="1255" xr:uid="{00000000-0005-0000-0000-000036000000}"/>
    <cellStyle name="Vírgula 6 4 4 2" xfId="5336" xr:uid="{00000000-0005-0000-0000-000036000000}"/>
    <cellStyle name="Vírgula 6 4 4 2 2" xfId="13496" xr:uid="{00000000-0005-0000-0000-000036000000}"/>
    <cellStyle name="Vírgula 6 4 4 3" xfId="9416" xr:uid="{00000000-0005-0000-0000-000036000000}"/>
    <cellStyle name="Vírgula 6 4 5" xfId="3295" xr:uid="{00000000-0005-0000-0000-000036000000}"/>
    <cellStyle name="Vírgula 6 4 5 2" xfId="7376" xr:uid="{00000000-0005-0000-0000-000036000000}"/>
    <cellStyle name="Vírgula 6 4 5 2 2" xfId="15536" xr:uid="{00000000-0005-0000-0000-000036000000}"/>
    <cellStyle name="Vírgula 6 4 5 3" xfId="11456" xr:uid="{00000000-0005-0000-0000-000036000000}"/>
    <cellStyle name="Vírgula 6 4 6" xfId="4315" xr:uid="{00000000-0005-0000-0000-000036000000}"/>
    <cellStyle name="Vírgula 6 4 6 2" xfId="12476" xr:uid="{00000000-0005-0000-0000-000036000000}"/>
    <cellStyle name="Vírgula 6 4 7" xfId="8396" xr:uid="{00000000-0005-0000-0000-000036000000}"/>
    <cellStyle name="Vírgula 6 5" xfId="846" xr:uid="{00000000-0005-0000-0000-000036000000}"/>
    <cellStyle name="Vírgula 6 5 2" xfId="2887" xr:uid="{00000000-0005-0000-0000-000036000000}"/>
    <cellStyle name="Vírgula 6 5 2 2" xfId="6968" xr:uid="{00000000-0005-0000-0000-000036000000}"/>
    <cellStyle name="Vírgula 6 5 2 2 2" xfId="15128" xr:uid="{00000000-0005-0000-0000-000036000000}"/>
    <cellStyle name="Vírgula 6 5 2 3" xfId="11048" xr:uid="{00000000-0005-0000-0000-000036000000}"/>
    <cellStyle name="Vírgula 6 5 3" xfId="1867" xr:uid="{00000000-0005-0000-0000-000036000000}"/>
    <cellStyle name="Vírgula 6 5 3 2" xfId="5948" xr:uid="{00000000-0005-0000-0000-000036000000}"/>
    <cellStyle name="Vírgula 6 5 3 2 2" xfId="14108" xr:uid="{00000000-0005-0000-0000-000036000000}"/>
    <cellStyle name="Vírgula 6 5 3 3" xfId="10028" xr:uid="{00000000-0005-0000-0000-000036000000}"/>
    <cellStyle name="Vírgula 6 5 4" xfId="3907" xr:uid="{00000000-0005-0000-0000-000036000000}"/>
    <cellStyle name="Vírgula 6 5 4 2" xfId="7988" xr:uid="{00000000-0005-0000-0000-000036000000}"/>
    <cellStyle name="Vírgula 6 5 4 2 2" xfId="16148" xr:uid="{00000000-0005-0000-0000-000036000000}"/>
    <cellStyle name="Vírgula 6 5 4 3" xfId="12068" xr:uid="{00000000-0005-0000-0000-000036000000}"/>
    <cellStyle name="Vírgula 6 5 5" xfId="4927" xr:uid="{00000000-0005-0000-0000-000036000000}"/>
    <cellStyle name="Vírgula 6 5 5 2" xfId="13088" xr:uid="{00000000-0005-0000-0000-000036000000}"/>
    <cellStyle name="Vírgula 6 5 6" xfId="9008" xr:uid="{00000000-0005-0000-0000-000036000000}"/>
    <cellStyle name="Vírgula 6 6" xfId="438" xr:uid="{00000000-0005-0000-0000-000036000000}"/>
    <cellStyle name="Vírgula 6 6 2" xfId="2479" xr:uid="{00000000-0005-0000-0000-000036000000}"/>
    <cellStyle name="Vírgula 6 6 2 2" xfId="6560" xr:uid="{00000000-0005-0000-0000-000036000000}"/>
    <cellStyle name="Vírgula 6 6 2 2 2" xfId="14720" xr:uid="{00000000-0005-0000-0000-000036000000}"/>
    <cellStyle name="Vírgula 6 6 2 3" xfId="10640" xr:uid="{00000000-0005-0000-0000-000036000000}"/>
    <cellStyle name="Vírgula 6 6 3" xfId="1459" xr:uid="{00000000-0005-0000-0000-000036000000}"/>
    <cellStyle name="Vírgula 6 6 3 2" xfId="5540" xr:uid="{00000000-0005-0000-0000-000036000000}"/>
    <cellStyle name="Vírgula 6 6 3 2 2" xfId="13700" xr:uid="{00000000-0005-0000-0000-000036000000}"/>
    <cellStyle name="Vírgula 6 6 3 3" xfId="9620" xr:uid="{00000000-0005-0000-0000-000036000000}"/>
    <cellStyle name="Vírgula 6 6 4" xfId="3499" xr:uid="{00000000-0005-0000-0000-000036000000}"/>
    <cellStyle name="Vírgula 6 6 4 2" xfId="7580" xr:uid="{00000000-0005-0000-0000-000036000000}"/>
    <cellStyle name="Vírgula 6 6 4 2 2" xfId="15740" xr:uid="{00000000-0005-0000-0000-000036000000}"/>
    <cellStyle name="Vírgula 6 6 4 3" xfId="11660" xr:uid="{00000000-0005-0000-0000-000036000000}"/>
    <cellStyle name="Vírgula 6 6 5" xfId="4519" xr:uid="{00000000-0005-0000-0000-000036000000}"/>
    <cellStyle name="Vírgula 6 6 5 2" xfId="12680" xr:uid="{00000000-0005-0000-0000-000036000000}"/>
    <cellStyle name="Vírgula 6 6 6" xfId="8600" xr:uid="{00000000-0005-0000-0000-000036000000}"/>
    <cellStyle name="Vírgula 6 7" xfId="2071" xr:uid="{00000000-0005-0000-0000-000036000000}"/>
    <cellStyle name="Vírgula 6 7 2" xfId="6152" xr:uid="{00000000-0005-0000-0000-000036000000}"/>
    <cellStyle name="Vírgula 6 7 2 2" xfId="14312" xr:uid="{00000000-0005-0000-0000-000036000000}"/>
    <cellStyle name="Vírgula 6 7 3" xfId="10232" xr:uid="{00000000-0005-0000-0000-000036000000}"/>
    <cellStyle name="Vírgula 6 8" xfId="1051" xr:uid="{00000000-0005-0000-0000-000036000000}"/>
    <cellStyle name="Vírgula 6 8 2" xfId="5132" xr:uid="{00000000-0005-0000-0000-000036000000}"/>
    <cellStyle name="Vírgula 6 8 2 2" xfId="13292" xr:uid="{00000000-0005-0000-0000-000036000000}"/>
    <cellStyle name="Vírgula 6 8 3" xfId="9212" xr:uid="{00000000-0005-0000-0000-000036000000}"/>
    <cellStyle name="Vírgula 6 9" xfId="3091" xr:uid="{00000000-0005-0000-0000-000036000000}"/>
    <cellStyle name="Vírgula 6 9 2" xfId="7172" xr:uid="{00000000-0005-0000-0000-000036000000}"/>
    <cellStyle name="Vírgula 6 9 2 2" xfId="15332" xr:uid="{00000000-0005-0000-0000-000036000000}"/>
    <cellStyle name="Vírgula 6 9 3" xfId="11252" xr:uid="{00000000-0005-0000-0000-000036000000}"/>
    <cellStyle name="Vírgula 7" xfId="107" xr:uid="{00000000-0005-0000-0000-0000CF000000}"/>
    <cellStyle name="Vírgula 7 2" xfId="311" xr:uid="{00000000-0005-0000-0000-0000CF000000}"/>
    <cellStyle name="Vírgula 7 2 2" xfId="719" xr:uid="{00000000-0005-0000-0000-0000CF000000}"/>
    <cellStyle name="Vírgula 7 2 2 2" xfId="2760" xr:uid="{00000000-0005-0000-0000-0000CF000000}"/>
    <cellStyle name="Vírgula 7 2 2 2 2" xfId="6841" xr:uid="{00000000-0005-0000-0000-0000CF000000}"/>
    <cellStyle name="Vírgula 7 2 2 2 2 2" xfId="15001" xr:uid="{00000000-0005-0000-0000-0000CF000000}"/>
    <cellStyle name="Vírgula 7 2 2 2 3" xfId="10921" xr:uid="{00000000-0005-0000-0000-0000CF000000}"/>
    <cellStyle name="Vírgula 7 2 2 3" xfId="1740" xr:uid="{00000000-0005-0000-0000-0000CF000000}"/>
    <cellStyle name="Vírgula 7 2 2 3 2" xfId="5821" xr:uid="{00000000-0005-0000-0000-0000CF000000}"/>
    <cellStyle name="Vírgula 7 2 2 3 2 2" xfId="13981" xr:uid="{00000000-0005-0000-0000-0000CF000000}"/>
    <cellStyle name="Vírgula 7 2 2 3 3" xfId="9901" xr:uid="{00000000-0005-0000-0000-0000CF000000}"/>
    <cellStyle name="Vírgula 7 2 2 4" xfId="3780" xr:uid="{00000000-0005-0000-0000-0000CF000000}"/>
    <cellStyle name="Vírgula 7 2 2 4 2" xfId="7861" xr:uid="{00000000-0005-0000-0000-0000CF000000}"/>
    <cellStyle name="Vírgula 7 2 2 4 2 2" xfId="16021" xr:uid="{00000000-0005-0000-0000-0000CF000000}"/>
    <cellStyle name="Vírgula 7 2 2 4 3" xfId="11941" xr:uid="{00000000-0005-0000-0000-0000CF000000}"/>
    <cellStyle name="Vírgula 7 2 2 5" xfId="4800" xr:uid="{00000000-0005-0000-0000-0000CF000000}"/>
    <cellStyle name="Vírgula 7 2 2 5 2" xfId="12961" xr:uid="{00000000-0005-0000-0000-0000CF000000}"/>
    <cellStyle name="Vírgula 7 2 2 6" xfId="8881" xr:uid="{00000000-0005-0000-0000-0000CF000000}"/>
    <cellStyle name="Vírgula 7 2 3" xfId="2352" xr:uid="{00000000-0005-0000-0000-0000CF000000}"/>
    <cellStyle name="Vírgula 7 2 3 2" xfId="6433" xr:uid="{00000000-0005-0000-0000-0000CF000000}"/>
    <cellStyle name="Vírgula 7 2 3 2 2" xfId="14593" xr:uid="{00000000-0005-0000-0000-0000CF000000}"/>
    <cellStyle name="Vírgula 7 2 3 3" xfId="10513" xr:uid="{00000000-0005-0000-0000-0000CF000000}"/>
    <cellStyle name="Vírgula 7 2 4" xfId="1332" xr:uid="{00000000-0005-0000-0000-0000CF000000}"/>
    <cellStyle name="Vírgula 7 2 4 2" xfId="5413" xr:uid="{00000000-0005-0000-0000-0000CF000000}"/>
    <cellStyle name="Vírgula 7 2 4 2 2" xfId="13573" xr:uid="{00000000-0005-0000-0000-0000CF000000}"/>
    <cellStyle name="Vírgula 7 2 4 3" xfId="9493" xr:uid="{00000000-0005-0000-0000-0000CF000000}"/>
    <cellStyle name="Vírgula 7 2 5" xfId="3372" xr:uid="{00000000-0005-0000-0000-0000CF000000}"/>
    <cellStyle name="Vírgula 7 2 5 2" xfId="7453" xr:uid="{00000000-0005-0000-0000-0000CF000000}"/>
    <cellStyle name="Vírgula 7 2 5 2 2" xfId="15613" xr:uid="{00000000-0005-0000-0000-0000CF000000}"/>
    <cellStyle name="Vírgula 7 2 5 3" xfId="11533" xr:uid="{00000000-0005-0000-0000-0000CF000000}"/>
    <cellStyle name="Vírgula 7 2 6" xfId="4392" xr:uid="{00000000-0005-0000-0000-0000CF000000}"/>
    <cellStyle name="Vírgula 7 2 6 2" xfId="12553" xr:uid="{00000000-0005-0000-0000-0000CF000000}"/>
    <cellStyle name="Vírgula 7 2 7" xfId="8473" xr:uid="{00000000-0005-0000-0000-0000CF000000}"/>
    <cellStyle name="Vírgula 7 3" xfId="923" xr:uid="{00000000-0005-0000-0000-0000CF000000}"/>
    <cellStyle name="Vírgula 7 3 2" xfId="2964" xr:uid="{00000000-0005-0000-0000-0000CF000000}"/>
    <cellStyle name="Vírgula 7 3 2 2" xfId="7045" xr:uid="{00000000-0005-0000-0000-0000CF000000}"/>
    <cellStyle name="Vírgula 7 3 2 2 2" xfId="15205" xr:uid="{00000000-0005-0000-0000-0000CF000000}"/>
    <cellStyle name="Vírgula 7 3 2 3" xfId="11125" xr:uid="{00000000-0005-0000-0000-0000CF000000}"/>
    <cellStyle name="Vírgula 7 3 3" xfId="1944" xr:uid="{00000000-0005-0000-0000-0000CF000000}"/>
    <cellStyle name="Vírgula 7 3 3 2" xfId="6025" xr:uid="{00000000-0005-0000-0000-0000CF000000}"/>
    <cellStyle name="Vírgula 7 3 3 2 2" xfId="14185" xr:uid="{00000000-0005-0000-0000-0000CF000000}"/>
    <cellStyle name="Vírgula 7 3 3 3" xfId="10105" xr:uid="{00000000-0005-0000-0000-0000CF000000}"/>
    <cellStyle name="Vírgula 7 3 4" xfId="3984" xr:uid="{00000000-0005-0000-0000-0000CF000000}"/>
    <cellStyle name="Vírgula 7 3 4 2" xfId="8065" xr:uid="{00000000-0005-0000-0000-0000CF000000}"/>
    <cellStyle name="Vírgula 7 3 4 2 2" xfId="16225" xr:uid="{00000000-0005-0000-0000-0000CF000000}"/>
    <cellStyle name="Vírgula 7 3 4 3" xfId="12145" xr:uid="{00000000-0005-0000-0000-0000CF000000}"/>
    <cellStyle name="Vírgula 7 3 5" xfId="5004" xr:uid="{00000000-0005-0000-0000-0000CF000000}"/>
    <cellStyle name="Vírgula 7 3 5 2" xfId="13165" xr:uid="{00000000-0005-0000-0000-0000CF000000}"/>
    <cellStyle name="Vírgula 7 3 6" xfId="9085" xr:uid="{00000000-0005-0000-0000-0000CF000000}"/>
    <cellStyle name="Vírgula 7 4" xfId="515" xr:uid="{00000000-0005-0000-0000-0000CF000000}"/>
    <cellStyle name="Vírgula 7 4 2" xfId="2556" xr:uid="{00000000-0005-0000-0000-0000CF000000}"/>
    <cellStyle name="Vírgula 7 4 2 2" xfId="6637" xr:uid="{00000000-0005-0000-0000-0000CF000000}"/>
    <cellStyle name="Vírgula 7 4 2 2 2" xfId="14797" xr:uid="{00000000-0005-0000-0000-0000CF000000}"/>
    <cellStyle name="Vírgula 7 4 2 3" xfId="10717" xr:uid="{00000000-0005-0000-0000-0000CF000000}"/>
    <cellStyle name="Vírgula 7 4 3" xfId="1536" xr:uid="{00000000-0005-0000-0000-0000CF000000}"/>
    <cellStyle name="Vírgula 7 4 3 2" xfId="5617" xr:uid="{00000000-0005-0000-0000-0000CF000000}"/>
    <cellStyle name="Vírgula 7 4 3 2 2" xfId="13777" xr:uid="{00000000-0005-0000-0000-0000CF000000}"/>
    <cellStyle name="Vírgula 7 4 3 3" xfId="9697" xr:uid="{00000000-0005-0000-0000-0000CF000000}"/>
    <cellStyle name="Vírgula 7 4 4" xfId="3576" xr:uid="{00000000-0005-0000-0000-0000CF000000}"/>
    <cellStyle name="Vírgula 7 4 4 2" xfId="7657" xr:uid="{00000000-0005-0000-0000-0000CF000000}"/>
    <cellStyle name="Vírgula 7 4 4 2 2" xfId="15817" xr:uid="{00000000-0005-0000-0000-0000CF000000}"/>
    <cellStyle name="Vírgula 7 4 4 3" xfId="11737" xr:uid="{00000000-0005-0000-0000-0000CF000000}"/>
    <cellStyle name="Vírgula 7 4 5" xfId="4596" xr:uid="{00000000-0005-0000-0000-0000CF000000}"/>
    <cellStyle name="Vírgula 7 4 5 2" xfId="12757" xr:uid="{00000000-0005-0000-0000-0000CF000000}"/>
    <cellStyle name="Vírgula 7 4 6" xfId="8677" xr:uid="{00000000-0005-0000-0000-0000CF000000}"/>
    <cellStyle name="Vírgula 7 5" xfId="2148" xr:uid="{00000000-0005-0000-0000-0000CF000000}"/>
    <cellStyle name="Vírgula 7 5 2" xfId="6229" xr:uid="{00000000-0005-0000-0000-0000CF000000}"/>
    <cellStyle name="Vírgula 7 5 2 2" xfId="14389" xr:uid="{00000000-0005-0000-0000-0000CF000000}"/>
    <cellStyle name="Vírgula 7 5 3" xfId="10309" xr:uid="{00000000-0005-0000-0000-0000CF000000}"/>
    <cellStyle name="Vírgula 7 6" xfId="1128" xr:uid="{00000000-0005-0000-0000-0000CF000000}"/>
    <cellStyle name="Vírgula 7 6 2" xfId="5209" xr:uid="{00000000-0005-0000-0000-0000CF000000}"/>
    <cellStyle name="Vírgula 7 6 2 2" xfId="13369" xr:uid="{00000000-0005-0000-0000-0000CF000000}"/>
    <cellStyle name="Vírgula 7 6 3" xfId="9289" xr:uid="{00000000-0005-0000-0000-0000CF000000}"/>
    <cellStyle name="Vírgula 7 7" xfId="3168" xr:uid="{00000000-0005-0000-0000-0000CF000000}"/>
    <cellStyle name="Vírgula 7 7 2" xfId="7249" xr:uid="{00000000-0005-0000-0000-0000CF000000}"/>
    <cellStyle name="Vírgula 7 7 2 2" xfId="15409" xr:uid="{00000000-0005-0000-0000-0000CF000000}"/>
    <cellStyle name="Vírgula 7 7 3" xfId="11329" xr:uid="{00000000-0005-0000-0000-0000CF000000}"/>
    <cellStyle name="Vírgula 7 8" xfId="4188" xr:uid="{00000000-0005-0000-0000-0000CF000000}"/>
    <cellStyle name="Vírgula 7 8 2" xfId="12349" xr:uid="{00000000-0005-0000-0000-0000CF000000}"/>
    <cellStyle name="Vírgula 7 9" xfId="8269" xr:uid="{00000000-0005-0000-0000-0000C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PREVS_SMAP!$B$134</c:f>
              <c:strCache>
                <c:ptCount val="1"/>
                <c:pt idx="0">
                  <c:v>P.PRIMAVEIRA</c:v>
                </c:pt>
              </c:strCache>
            </c:strRef>
          </c:tx>
          <c:spPr>
            <a:ln w="381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8100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PREVS_SMAP!$D$131:$J$131</c:f>
              <c:numCache>
                <c:formatCode>d\-mmm</c:formatCode>
                <c:ptCount val="7"/>
                <c:pt idx="0">
                  <c:v>43834</c:v>
                </c:pt>
                <c:pt idx="1">
                  <c:v>43835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</c:numCache>
            </c:numRef>
          </c:xVal>
          <c:yVal>
            <c:numRef>
              <c:f>PREVS_SMAP!$D$134:$J$134</c:f>
              <c:numCache>
                <c:formatCode>0</c:formatCode>
                <c:ptCount val="7"/>
                <c:pt idx="0">
                  <c:v>756</c:v>
                </c:pt>
                <c:pt idx="1">
                  <c:v>765</c:v>
                </c:pt>
                <c:pt idx="2">
                  <c:v>853</c:v>
                </c:pt>
                <c:pt idx="3">
                  <c:v>890.42857142857144</c:v>
                </c:pt>
                <c:pt idx="4">
                  <c:v>915.51769315161971</c:v>
                </c:pt>
                <c:pt idx="5">
                  <c:v>950.82119429823229</c:v>
                </c:pt>
                <c:pt idx="6">
                  <c:v>986.12469544484486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E0-44B5-AB79-25B58B2661B0}"/>
            </c:ext>
          </c:extLst>
        </c:ser>
        <c:ser>
          <c:idx val="1"/>
          <c:order val="1"/>
          <c:tx>
            <c:strRef>
              <c:f>PREVS_SMAP!$B$133</c:f>
              <c:strCache>
                <c:ptCount val="1"/>
                <c:pt idx="0">
                  <c:v>JUPIA</c:v>
                </c:pt>
              </c:strCache>
            </c:strRef>
          </c:tx>
          <c:spPr>
            <a:ln w="381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8100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PREVS_SMAP!$D$131:$J$131</c:f>
              <c:numCache>
                <c:formatCode>d\-mmm</c:formatCode>
                <c:ptCount val="7"/>
                <c:pt idx="0">
                  <c:v>43834</c:v>
                </c:pt>
                <c:pt idx="1">
                  <c:v>43835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</c:numCache>
            </c:numRef>
          </c:xVal>
          <c:yVal>
            <c:numRef>
              <c:f>PREVS_SMAP!$D$133:$J$133</c:f>
              <c:numCache>
                <c:formatCode>0</c:formatCode>
                <c:ptCount val="7"/>
                <c:pt idx="0">
                  <c:v>547</c:v>
                </c:pt>
                <c:pt idx="1">
                  <c:v>550</c:v>
                </c:pt>
                <c:pt idx="2">
                  <c:v>547</c:v>
                </c:pt>
                <c:pt idx="3">
                  <c:v>563</c:v>
                </c:pt>
                <c:pt idx="4">
                  <c:v>573.72512073657026</c:v>
                </c:pt>
                <c:pt idx="5">
                  <c:v>582.89302962367185</c:v>
                </c:pt>
                <c:pt idx="6">
                  <c:v>592.06093851077344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E0-44B5-AB79-25B58B2661B0}"/>
            </c:ext>
          </c:extLst>
        </c:ser>
        <c:ser>
          <c:idx val="2"/>
          <c:order val="2"/>
          <c:tx>
            <c:strRef>
              <c:f>PREVS_SMAP!$B$132</c:f>
              <c:strCache>
                <c:ptCount val="1"/>
                <c:pt idx="0">
                  <c:v>I.SOLTEIRA</c:v>
                </c:pt>
              </c:strCache>
            </c:strRef>
          </c:tx>
          <c:spPr>
            <a:ln w="381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8100" cap="flat" cmpd="dbl" algn="ctr">
                <a:solidFill>
                  <a:schemeClr val="accent3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PREVS_SMAP!$D$131:$J$131</c:f>
              <c:numCache>
                <c:formatCode>d\-mmm</c:formatCode>
                <c:ptCount val="7"/>
                <c:pt idx="0">
                  <c:v>43834</c:v>
                </c:pt>
                <c:pt idx="1">
                  <c:v>43835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</c:numCache>
            </c:numRef>
          </c:xVal>
          <c:yVal>
            <c:numRef>
              <c:f>PREVS_SMAP!$D$132:$J$132</c:f>
              <c:numCache>
                <c:formatCode>0</c:formatCode>
                <c:ptCount val="7"/>
                <c:pt idx="0">
                  <c:v>439</c:v>
                </c:pt>
                <c:pt idx="1">
                  <c:v>436</c:v>
                </c:pt>
                <c:pt idx="2">
                  <c:v>438</c:v>
                </c:pt>
                <c:pt idx="3">
                  <c:v>435.14285714285717</c:v>
                </c:pt>
                <c:pt idx="4">
                  <c:v>433.22765701132676</c:v>
                </c:pt>
                <c:pt idx="5">
                  <c:v>431.4476732814872</c:v>
                </c:pt>
                <c:pt idx="6">
                  <c:v>429.66768955164764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E0-44B5-AB79-25B58B26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767816"/>
        <c:axId val="366761912"/>
      </c:scatterChart>
      <c:valAx>
        <c:axId val="366767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6761912"/>
        <c:crosses val="autoZero"/>
        <c:crossBetween val="midCat"/>
      </c:valAx>
      <c:valAx>
        <c:axId val="36676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6767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tx2">
          <a:lumMod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500262</xdr:colOff>
      <xdr:row>1</xdr:row>
      <xdr:rowOff>39220</xdr:rowOff>
    </xdr:from>
    <xdr:to>
      <xdr:col>2</xdr:col>
      <xdr:colOff>993321</xdr:colOff>
      <xdr:row>6</xdr:row>
      <xdr:rowOff>28015</xdr:rowOff>
    </xdr:to>
    <xdr:sp macro="[0]!CriarCenario" textlink="">
      <xdr:nvSpPr>
        <xdr:cNvPr id="2" name="Nuv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0262" y="461041"/>
          <a:ext cx="2588559" cy="805224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</a:t>
          </a:r>
          <a:r>
            <a:rPr lang="pt-BR" sz="1600" b="1" baseline="0"/>
            <a:t> para cenários</a:t>
          </a:r>
          <a:endParaRPr lang="pt-BR" sz="1600" b="1"/>
        </a:p>
      </xdr:txBody>
    </xdr:sp>
    <xdr:clientData/>
  </xdr:twoCellAnchor>
  <xdr:twoCellAnchor>
    <xdr:from>
      <xdr:col>0</xdr:col>
      <xdr:colOff>353794</xdr:colOff>
      <xdr:row>149</xdr:row>
      <xdr:rowOff>125187</xdr:rowOff>
    </xdr:from>
    <xdr:to>
      <xdr:col>10</xdr:col>
      <xdr:colOff>285750</xdr:colOff>
      <xdr:row>172</xdr:row>
      <xdr:rowOff>122465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9504E65-F29C-4175-92AB-55DC349373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500262</xdr:colOff>
      <xdr:row>1</xdr:row>
      <xdr:rowOff>39220</xdr:rowOff>
    </xdr:from>
    <xdr:to>
      <xdr:col>2</xdr:col>
      <xdr:colOff>993321</xdr:colOff>
      <xdr:row>6</xdr:row>
      <xdr:rowOff>28015</xdr:rowOff>
    </xdr:to>
    <xdr:sp macro="[0]!CriarCenarioDiario" textlink="">
      <xdr:nvSpPr>
        <xdr:cNvPr id="2" name="Nuv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00262" y="458320"/>
          <a:ext cx="2579034" cy="79842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</a:t>
          </a:r>
          <a:r>
            <a:rPr lang="pt-BR" sz="1600" b="1" baseline="0"/>
            <a:t> para cenários</a:t>
          </a:r>
          <a:endParaRPr lang="pt-BR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990600</xdr:colOff>
      <xdr:row>0</xdr:row>
      <xdr:rowOff>28575</xdr:rowOff>
    </xdr:from>
    <xdr:to>
      <xdr:col>1</xdr:col>
      <xdr:colOff>752475</xdr:colOff>
      <xdr:row>3</xdr:row>
      <xdr:rowOff>142875</xdr:rowOff>
    </xdr:to>
    <xdr:sp macro="" textlink="">
      <xdr:nvSpPr>
        <xdr:cNvPr id="2" name="Text Box 1025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90600" y="28575"/>
          <a:ext cx="121920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ACOMPH_1" backgroundRefresh="0" connectionId="1" xr16:uid="{00000000-0016-0000-0B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Data" tableColumnId="1"/>
      <queryTableField id="2" name="Posto" tableColumnId="2"/>
      <queryTableField id="3" name="qnat" tableColumnId="3"/>
      <queryTableField id="4" name="qinc" tableColumnId="4"/>
      <queryTableField id="5" name="fon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VAZAO" displayName="TABELA_VAZAO" ref="A23:E1663" tableType="queryTable" totalsRowShown="0">
  <autoFilter ref="A23:E1663" xr:uid="{38DBDB3C-11D1-441C-99F7-AD766C10133D}"/>
  <sortState xmlns:xlrd2="http://schemas.microsoft.com/office/spreadsheetml/2017/richdata2" ref="A24:E1663">
    <sortCondition ref="B23:B1663"/>
  </sortState>
  <tableColumns count="5">
    <tableColumn id="1" xr3:uid="{00000000-0010-0000-0000-000001000000}" uniqueName="1" name="Data" queryTableFieldId="1"/>
    <tableColumn id="2" xr3:uid="{00000000-0010-0000-0000-000002000000}" uniqueName="2" name="Posto" queryTableFieldId="2"/>
    <tableColumn id="3" xr3:uid="{00000000-0010-0000-0000-000003000000}" uniqueName="3" name="qnat" queryTableFieldId="3"/>
    <tableColumn id="4" xr3:uid="{00000000-0010-0000-0000-000004000000}" uniqueName="4" name="qinc" queryTableFieldId="4"/>
    <tableColumn id="5" xr3:uid="{00000000-0010-0000-0000-000005000000}" uniqueName="5" name="fonte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7"/>
  </sheetPr>
  <dimension ref="A1:EK1048576"/>
  <sheetViews>
    <sheetView zoomScale="70" zoomScaleNormal="70" workbookViewId="0">
      <pane xSplit="1" ySplit="1" topLeftCell="B2" activePane="bottomRight" state="frozen"/>
      <selection activeCell="C486" sqref="C486"/>
      <selection pane="topRight" activeCell="C486" sqref="C486"/>
      <selection pane="bottomLeft" activeCell="C486" sqref="C486"/>
      <selection pane="bottomRight" activeCell="B2" sqref="B2"/>
    </sheetView>
  </sheetViews>
  <sheetFormatPr defaultRowHeight="12.75" x14ac:dyDescent="0.2"/>
  <cols>
    <col min="1" max="1" width="12.28515625" style="273" bestFit="1" customWidth="1"/>
    <col min="2" max="2" width="26.42578125" style="272" customWidth="1"/>
    <col min="3" max="3" width="23.7109375" style="272" bestFit="1" customWidth="1"/>
    <col min="4" max="4" width="26.140625" style="272" bestFit="1" customWidth="1"/>
    <col min="5" max="5" width="19.5703125" style="272" bestFit="1" customWidth="1"/>
    <col min="6" max="6" width="13.85546875" style="272" bestFit="1" customWidth="1"/>
    <col min="7" max="7" width="19.42578125" style="272" bestFit="1" customWidth="1"/>
    <col min="8" max="8" width="21.7109375" style="272" bestFit="1" customWidth="1"/>
    <col min="9" max="9" width="16" style="272" bestFit="1" customWidth="1"/>
    <col min="10" max="10" width="16.7109375" style="277" bestFit="1" customWidth="1"/>
    <col min="11" max="11" width="21.42578125" style="277" bestFit="1" customWidth="1"/>
    <col min="12" max="12" width="22.28515625" style="277" bestFit="1" customWidth="1"/>
    <col min="13" max="13" width="19.5703125" style="272" bestFit="1" customWidth="1"/>
    <col min="14" max="14" width="15.7109375" style="272" bestFit="1" customWidth="1"/>
    <col min="15" max="15" width="16" style="272" bestFit="1" customWidth="1"/>
    <col min="16" max="16" width="19.5703125" style="272" bestFit="1" customWidth="1"/>
    <col min="17" max="18" width="16" style="272" bestFit="1" customWidth="1"/>
    <col min="19" max="19" width="19.5703125" style="272" bestFit="1" customWidth="1"/>
    <col min="20" max="20" width="17.42578125" style="272" bestFit="1" customWidth="1"/>
    <col min="21" max="21" width="16" style="272" bestFit="1" customWidth="1"/>
    <col min="22" max="22" width="19.5703125" style="272" bestFit="1" customWidth="1"/>
    <col min="23" max="23" width="17.42578125" style="272" bestFit="1" customWidth="1"/>
    <col min="24" max="24" width="15.42578125" style="272" bestFit="1" customWidth="1"/>
    <col min="25" max="25" width="15.7109375" style="272" bestFit="1" customWidth="1"/>
    <col min="26" max="26" width="16.7109375" style="272" bestFit="1" customWidth="1"/>
    <col min="27" max="27" width="18.85546875" style="272" bestFit="1" customWidth="1"/>
    <col min="28" max="28" width="15.7109375" style="272" bestFit="1" customWidth="1"/>
    <col min="29" max="29" width="16.7109375" style="272" bestFit="1" customWidth="1"/>
    <col min="30" max="30" width="18.85546875" style="272" bestFit="1" customWidth="1"/>
    <col min="31" max="32" width="15.7109375" style="272" bestFit="1" customWidth="1"/>
    <col min="33" max="33" width="16" style="272" bestFit="1" customWidth="1"/>
    <col min="34" max="34" width="19.85546875" style="272" bestFit="1" customWidth="1"/>
    <col min="35" max="35" width="16" style="272" bestFit="1" customWidth="1"/>
    <col min="36" max="36" width="25.28515625" style="272" bestFit="1" customWidth="1"/>
    <col min="37" max="37" width="19.85546875" style="272" bestFit="1" customWidth="1"/>
    <col min="38" max="38" width="16" style="272" bestFit="1" customWidth="1"/>
    <col min="39" max="39" width="25.28515625" style="272" bestFit="1" customWidth="1"/>
    <col min="40" max="40" width="18" style="272" bestFit="1" customWidth="1"/>
    <col min="41" max="43" width="16" style="272" bestFit="1" customWidth="1"/>
    <col min="44" max="45" width="15.7109375" style="272" bestFit="1" customWidth="1"/>
    <col min="46" max="53" width="16" style="272" bestFit="1" customWidth="1"/>
    <col min="54" max="54" width="15.7109375" style="272" bestFit="1" customWidth="1"/>
    <col min="55" max="55" width="15.42578125" style="272" bestFit="1" customWidth="1"/>
    <col min="56" max="63" width="15.7109375" style="272" bestFit="1" customWidth="1"/>
    <col min="64" max="64" width="16" style="272" bestFit="1" customWidth="1"/>
    <col min="65" max="65" width="15.7109375" style="272" bestFit="1" customWidth="1"/>
    <col min="66" max="71" width="16" style="272" bestFit="1" customWidth="1"/>
    <col min="72" max="72" width="5.28515625" style="272" bestFit="1" customWidth="1"/>
    <col min="73" max="75" width="6.42578125" style="272" bestFit="1" customWidth="1"/>
    <col min="76" max="76" width="5.28515625" style="272" bestFit="1" customWidth="1"/>
    <col min="77" max="81" width="6.42578125" style="272" bestFit="1" customWidth="1"/>
    <col min="82" max="82" width="5.28515625" style="272" bestFit="1" customWidth="1"/>
    <col min="83" max="83" width="4.28515625" style="272" bestFit="1" customWidth="1"/>
    <col min="84" max="84" width="10.85546875" style="272" bestFit="1" customWidth="1"/>
    <col min="85" max="85" width="8.42578125" style="272" bestFit="1" customWidth="1"/>
    <col min="86" max="86" width="7.42578125" style="272" bestFit="1" customWidth="1"/>
    <col min="87" max="87" width="4.28515625" style="272" bestFit="1" customWidth="1"/>
    <col min="88" max="89" width="6.42578125" style="272" bestFit="1" customWidth="1"/>
    <col min="90" max="93" width="5.28515625" style="272" bestFit="1" customWidth="1"/>
    <col min="94" max="95" width="6.42578125" style="272" bestFit="1" customWidth="1"/>
    <col min="96" max="96" width="3.28515625" style="272" bestFit="1" customWidth="1"/>
    <col min="97" max="97" width="4.28515625" style="272" bestFit="1" customWidth="1"/>
    <col min="98" max="98" width="3.28515625" style="272" bestFit="1" customWidth="1"/>
    <col min="99" max="99" width="5.28515625" style="272" bestFit="1" customWidth="1"/>
    <col min="100" max="100" width="3.28515625" style="272" bestFit="1" customWidth="1"/>
    <col min="101" max="102" width="5.28515625" style="272" bestFit="1" customWidth="1"/>
    <col min="103" max="104" width="6.42578125" style="272" bestFit="1" customWidth="1"/>
    <col min="105" max="105" width="3.28515625" style="272" bestFit="1" customWidth="1"/>
    <col min="106" max="107" width="6.42578125" style="272" bestFit="1" customWidth="1"/>
    <col min="108" max="108" width="4.28515625" style="272" bestFit="1" customWidth="1"/>
    <col min="109" max="109" width="5.28515625" style="272" bestFit="1" customWidth="1"/>
    <col min="110" max="113" width="6.42578125" style="272" bestFit="1" customWidth="1"/>
    <col min="114" max="114" width="4.28515625" style="272" bestFit="1" customWidth="1"/>
    <col min="115" max="115" width="5.28515625" style="272" bestFit="1" customWidth="1"/>
    <col min="116" max="116" width="6.42578125" style="272" bestFit="1" customWidth="1"/>
    <col min="117" max="117" width="10.5703125" style="272" bestFit="1" customWidth="1"/>
    <col min="118" max="118" width="8.42578125" style="272" bestFit="1" customWidth="1"/>
    <col min="119" max="119" width="5.28515625" style="272" bestFit="1" customWidth="1"/>
    <col min="120" max="122" width="6.42578125" style="272" bestFit="1" customWidth="1"/>
    <col min="123" max="126" width="5.28515625" style="272" bestFit="1" customWidth="1"/>
    <col min="127" max="128" width="6.42578125" style="272" bestFit="1" customWidth="1"/>
    <col min="129" max="129" width="3.28515625" style="272" bestFit="1" customWidth="1"/>
    <col min="130" max="130" width="4.28515625" style="272" bestFit="1" customWidth="1"/>
    <col min="131" max="131" width="3.28515625" style="272" bestFit="1" customWidth="1"/>
    <col min="132" max="135" width="5.28515625" style="272" bestFit="1" customWidth="1"/>
    <col min="136" max="137" width="6.42578125" style="272" bestFit="1" customWidth="1"/>
    <col min="138" max="138" width="5.28515625" style="272" bestFit="1" customWidth="1"/>
    <col min="139" max="141" width="6.42578125" style="272" bestFit="1" customWidth="1"/>
    <col min="142" max="142" width="5.28515625" style="272" bestFit="1" customWidth="1"/>
    <col min="143" max="147" width="6.42578125" style="272" bestFit="1" customWidth="1"/>
    <col min="148" max="148" width="5.28515625" style="272" bestFit="1" customWidth="1"/>
    <col min="149" max="149" width="6.42578125" style="272" bestFit="1" customWidth="1"/>
    <col min="150" max="150" width="10.85546875" style="272" bestFit="1" customWidth="1"/>
    <col min="151" max="151" width="8.42578125" style="272" bestFit="1" customWidth="1"/>
    <col min="152" max="152" width="7.42578125" style="272" bestFit="1" customWidth="1"/>
    <col min="153" max="155" width="6.42578125" style="272" bestFit="1" customWidth="1"/>
    <col min="156" max="159" width="5.28515625" style="272" bestFit="1" customWidth="1"/>
    <col min="160" max="161" width="6.42578125" style="272" bestFit="1" customWidth="1"/>
    <col min="162" max="162" width="3.28515625" style="272" bestFit="1" customWidth="1"/>
    <col min="163" max="163" width="4.28515625" style="272" bestFit="1" customWidth="1"/>
    <col min="164" max="164" width="3.28515625" style="272" bestFit="1" customWidth="1"/>
    <col min="165" max="168" width="5.28515625" style="272" bestFit="1" customWidth="1"/>
    <col min="169" max="169" width="4.28515625" style="272" bestFit="1" customWidth="1"/>
    <col min="170" max="170" width="6.42578125" style="272" bestFit="1" customWidth="1"/>
    <col min="171" max="171" width="5.28515625" style="272" bestFit="1" customWidth="1"/>
    <col min="172" max="180" width="6.42578125" style="272" bestFit="1" customWidth="1"/>
    <col min="181" max="181" width="5.28515625" style="272" bestFit="1" customWidth="1"/>
    <col min="182" max="182" width="6.42578125" style="272" bestFit="1" customWidth="1"/>
    <col min="183" max="183" width="10.85546875" style="272" bestFit="1" customWidth="1"/>
    <col min="184" max="184" width="8.42578125" style="272" bestFit="1" customWidth="1"/>
    <col min="185" max="185" width="7.42578125" style="272" bestFit="1" customWidth="1"/>
    <col min="186" max="186" width="6.42578125" style="272" bestFit="1" customWidth="1"/>
    <col min="187" max="187" width="4.28515625" style="272" bestFit="1" customWidth="1"/>
    <col min="188" max="188" width="6.42578125" style="272" bestFit="1" customWidth="1"/>
    <col min="189" max="190" width="5.28515625" style="272" bestFit="1" customWidth="1"/>
    <col min="191" max="191" width="3.28515625" style="272" bestFit="1" customWidth="1"/>
    <col min="192" max="192" width="5.28515625" style="272" bestFit="1" customWidth="1"/>
    <col min="193" max="194" width="6.42578125" style="272" bestFit="1" customWidth="1"/>
    <col min="195" max="195" width="3.28515625" style="272" bestFit="1" customWidth="1"/>
    <col min="196" max="196" width="4.28515625" style="272" bestFit="1" customWidth="1"/>
    <col min="197" max="197" width="3.28515625" style="272" bestFit="1" customWidth="1"/>
    <col min="198" max="201" width="5.28515625" style="272" bestFit="1" customWidth="1"/>
    <col min="202" max="203" width="6.42578125" style="272" bestFit="1" customWidth="1"/>
    <col min="204" max="204" width="5.28515625" style="272" bestFit="1" customWidth="1"/>
    <col min="205" max="207" width="6.42578125" style="272" bestFit="1" customWidth="1"/>
    <col min="208" max="208" width="5.28515625" style="272" bestFit="1" customWidth="1"/>
    <col min="209" max="210" width="6.42578125" style="272" bestFit="1" customWidth="1"/>
    <col min="211" max="211" width="4.28515625" style="272" bestFit="1" customWidth="1"/>
    <col min="212" max="212" width="6.42578125" style="272" bestFit="1" customWidth="1"/>
    <col min="213" max="213" width="5.28515625" style="272" bestFit="1" customWidth="1"/>
    <col min="214" max="214" width="3.28515625" style="272" bestFit="1" customWidth="1"/>
    <col min="215" max="215" width="6.42578125" style="272" bestFit="1" customWidth="1"/>
    <col min="216" max="216" width="10.85546875" style="272" bestFit="1" customWidth="1"/>
    <col min="217" max="217" width="8.42578125" style="272" bestFit="1" customWidth="1"/>
    <col min="218" max="218" width="7.42578125" style="272" bestFit="1" customWidth="1"/>
    <col min="219" max="220" width="6.42578125" style="272" bestFit="1" customWidth="1"/>
    <col min="221" max="221" width="4.28515625" style="272" bestFit="1" customWidth="1"/>
    <col min="222" max="225" width="5.28515625" style="272" bestFit="1" customWidth="1"/>
    <col min="226" max="227" width="6.42578125" style="272" bestFit="1" customWidth="1"/>
    <col min="228" max="228" width="3.28515625" style="272" bestFit="1" customWidth="1"/>
    <col min="229" max="229" width="4.28515625" style="272" bestFit="1" customWidth="1"/>
    <col min="230" max="230" width="3.28515625" style="272" bestFit="1" customWidth="1"/>
    <col min="231" max="234" width="5.28515625" style="272" bestFit="1" customWidth="1"/>
    <col min="235" max="235" width="4.28515625" style="272" bestFit="1" customWidth="1"/>
    <col min="236" max="236" width="6.42578125" style="272" bestFit="1" customWidth="1"/>
    <col min="237" max="237" width="5.28515625" style="272" bestFit="1" customWidth="1"/>
    <col min="238" max="238" width="6.42578125" style="272" bestFit="1" customWidth="1"/>
    <col min="239" max="239" width="4.28515625" style="272" bestFit="1" customWidth="1"/>
    <col min="240" max="240" width="6.42578125" style="272" bestFit="1" customWidth="1"/>
    <col min="241" max="241" width="5.28515625" style="272" bestFit="1" customWidth="1"/>
    <col min="242" max="244" width="6.42578125" style="272" bestFit="1" customWidth="1"/>
    <col min="245" max="247" width="5.28515625" style="272" bestFit="1" customWidth="1"/>
    <col min="248" max="248" width="6.42578125" style="272" bestFit="1" customWidth="1"/>
    <col min="249" max="249" width="10.85546875" style="272" bestFit="1" customWidth="1"/>
    <col min="250" max="250" width="8.42578125" style="272" bestFit="1" customWidth="1"/>
    <col min="251" max="251" width="7.42578125" style="272" bestFit="1" customWidth="1"/>
    <col min="252" max="254" width="6.42578125" style="272" bestFit="1" customWidth="1"/>
    <col min="255" max="257" width="5.28515625" style="272" bestFit="1" customWidth="1"/>
    <col min="258" max="258" width="3.28515625" style="272" bestFit="1" customWidth="1"/>
    <col min="259" max="260" width="6.42578125" style="272" bestFit="1" customWidth="1"/>
    <col min="261" max="261" width="3.28515625" style="272" bestFit="1" customWidth="1"/>
    <col min="262" max="262" width="4.28515625" style="272" bestFit="1" customWidth="1"/>
    <col min="263" max="263" width="3.28515625" style="272" bestFit="1" customWidth="1"/>
    <col min="264" max="267" width="5.28515625" style="272" bestFit="1" customWidth="1"/>
    <col min="268" max="268" width="3.28515625" style="272" bestFit="1" customWidth="1"/>
    <col min="269" max="269" width="6.42578125" style="272" bestFit="1" customWidth="1"/>
    <col min="270" max="270" width="5.28515625" style="272" bestFit="1" customWidth="1"/>
    <col min="271" max="271" width="4.28515625" style="272" bestFit="1" customWidth="1"/>
    <col min="272" max="273" width="6.42578125" style="272" bestFit="1" customWidth="1"/>
    <col min="274" max="274" width="5.28515625" style="272" bestFit="1" customWidth="1"/>
    <col min="275" max="277" width="6.42578125" style="272" bestFit="1" customWidth="1"/>
    <col min="278" max="280" width="5.28515625" style="272" bestFit="1" customWidth="1"/>
    <col min="281" max="281" width="4.28515625" style="272" bestFit="1" customWidth="1"/>
    <col min="282" max="282" width="10.85546875" style="272" bestFit="1" customWidth="1"/>
    <col min="283" max="283" width="8.42578125" style="272" bestFit="1" customWidth="1"/>
    <col min="284" max="284" width="6.42578125" style="272" bestFit="1" customWidth="1"/>
    <col min="285" max="285" width="5.28515625" style="272" bestFit="1" customWidth="1"/>
    <col min="286" max="291" width="6.42578125" style="272" bestFit="1" customWidth="1"/>
    <col min="292" max="292" width="7.42578125" style="272" bestFit="1" customWidth="1"/>
    <col min="293" max="295" width="6.42578125" style="272" bestFit="1" customWidth="1"/>
    <col min="296" max="299" width="5.28515625" style="272" bestFit="1" customWidth="1"/>
    <col min="300" max="301" width="6.42578125" style="272" bestFit="1" customWidth="1"/>
    <col min="302" max="302" width="3.28515625" style="272" bestFit="1" customWidth="1"/>
    <col min="303" max="303" width="4.28515625" style="272" bestFit="1" customWidth="1"/>
    <col min="304" max="304" width="3.28515625" style="272" bestFit="1" customWidth="1"/>
    <col min="305" max="309" width="5.28515625" style="272" bestFit="1" customWidth="1"/>
    <col min="310" max="310" width="6.42578125" style="272" bestFit="1" customWidth="1"/>
    <col min="311" max="311" width="5.28515625" style="272" bestFit="1" customWidth="1"/>
    <col min="312" max="314" width="6.42578125" style="272" bestFit="1" customWidth="1"/>
    <col min="315" max="315" width="5.28515625" style="272" bestFit="1" customWidth="1"/>
    <col min="316" max="318" width="6.42578125" style="272" bestFit="1" customWidth="1"/>
    <col min="319" max="319" width="3.28515625" style="272" bestFit="1" customWidth="1"/>
    <col min="320" max="321" width="5.28515625" style="272" bestFit="1" customWidth="1"/>
    <col min="322" max="322" width="6.42578125" style="272" bestFit="1" customWidth="1"/>
    <col min="323" max="323" width="10.85546875" style="272" bestFit="1" customWidth="1"/>
    <col min="324" max="324" width="8.42578125" style="272" bestFit="1" customWidth="1"/>
    <col min="325" max="325" width="6.42578125" style="272" bestFit="1" customWidth="1"/>
    <col min="326" max="327" width="5.28515625" style="272" bestFit="1" customWidth="1"/>
    <col min="328" max="328" width="4.28515625" style="272" bestFit="1" customWidth="1"/>
    <col min="329" max="336" width="6.42578125" style="272" bestFit="1" customWidth="1"/>
    <col min="337" max="340" width="5.28515625" style="272" bestFit="1" customWidth="1"/>
    <col min="341" max="342" width="6.42578125" style="272" bestFit="1" customWidth="1"/>
    <col min="343" max="343" width="3.28515625" style="272" bestFit="1" customWidth="1"/>
    <col min="344" max="344" width="4.28515625" style="272" bestFit="1" customWidth="1"/>
    <col min="345" max="345" width="3.28515625" style="272" bestFit="1" customWidth="1"/>
    <col min="346" max="350" width="5.28515625" style="272" bestFit="1" customWidth="1"/>
    <col min="351" max="351" width="6.42578125" style="272" bestFit="1" customWidth="1"/>
    <col min="352" max="352" width="5.28515625" style="272" bestFit="1" customWidth="1"/>
    <col min="353" max="355" width="6.42578125" style="272" bestFit="1" customWidth="1"/>
    <col min="356" max="356" width="5.28515625" style="272" bestFit="1" customWidth="1"/>
    <col min="357" max="359" width="6.42578125" style="272" bestFit="1" customWidth="1"/>
    <col min="360" max="362" width="5.28515625" style="272" bestFit="1" customWidth="1"/>
    <col min="363" max="363" width="6.42578125" style="272" bestFit="1" customWidth="1"/>
    <col min="364" max="364" width="10.85546875" style="272" bestFit="1" customWidth="1"/>
    <col min="365" max="365" width="8.42578125" style="272" bestFit="1" customWidth="1"/>
    <col min="366" max="366" width="6.42578125" style="272" bestFit="1" customWidth="1"/>
    <col min="367" max="368" width="5.28515625" style="272" bestFit="1" customWidth="1"/>
    <col min="369" max="369" width="4.28515625" style="272" bestFit="1" customWidth="1"/>
    <col min="370" max="377" width="6.42578125" style="272" bestFit="1" customWidth="1"/>
    <col min="378" max="379" width="3.28515625" style="272" bestFit="1" customWidth="1"/>
    <col min="380" max="381" width="5.28515625" style="272" bestFit="1" customWidth="1"/>
    <col min="382" max="383" width="6.42578125" style="272" bestFit="1" customWidth="1"/>
    <col min="384" max="384" width="3.28515625" style="272" bestFit="1" customWidth="1"/>
    <col min="385" max="385" width="4.28515625" style="272" bestFit="1" customWidth="1"/>
    <col min="386" max="386" width="3.28515625" style="272" bestFit="1" customWidth="1"/>
    <col min="387" max="393" width="5.28515625" style="272" bestFit="1" customWidth="1"/>
    <col min="394" max="396" width="6.42578125" style="272" bestFit="1" customWidth="1"/>
    <col min="397" max="397" width="5.28515625" style="272" bestFit="1" customWidth="1"/>
    <col min="398" max="398" width="4.28515625" style="272" bestFit="1" customWidth="1"/>
    <col min="399" max="400" width="6.42578125" style="272" bestFit="1" customWidth="1"/>
    <col min="401" max="403" width="5.28515625" style="272" bestFit="1" customWidth="1"/>
    <col min="404" max="404" width="6.42578125" style="272" bestFit="1" customWidth="1"/>
    <col min="405" max="405" width="10.85546875" style="272" bestFit="1" customWidth="1"/>
    <col min="406" max="406" width="8.42578125" style="272" bestFit="1" customWidth="1"/>
    <col min="407" max="407" width="6.42578125" style="272" bestFit="1" customWidth="1"/>
    <col min="408" max="408" width="5.28515625" style="272" bestFit="1" customWidth="1"/>
    <col min="409" max="409" width="3.28515625" style="272" bestFit="1" customWidth="1"/>
    <col min="410" max="410" width="4.28515625" style="272" bestFit="1" customWidth="1"/>
    <col min="411" max="411" width="6.42578125" style="272" bestFit="1" customWidth="1"/>
    <col min="412" max="413" width="4.28515625" style="272" bestFit="1" customWidth="1"/>
    <col min="414" max="415" width="6.42578125" style="272" bestFit="1" customWidth="1"/>
    <col min="416" max="416" width="4.28515625" style="272" bestFit="1" customWidth="1"/>
    <col min="417" max="418" width="6.42578125" style="272" bestFit="1" customWidth="1"/>
    <col min="419" max="423" width="5.28515625" style="272" bestFit="1" customWidth="1"/>
    <col min="424" max="424" width="6.42578125" style="272" bestFit="1" customWidth="1"/>
    <col min="425" max="425" width="3.28515625" style="272" bestFit="1" customWidth="1"/>
    <col min="426" max="426" width="4.28515625" style="272" bestFit="1" customWidth="1"/>
    <col min="427" max="427" width="3.28515625" style="272" bestFit="1" customWidth="1"/>
    <col min="428" max="434" width="5.28515625" style="272" bestFit="1" customWidth="1"/>
    <col min="435" max="437" width="6.42578125" style="272" bestFit="1" customWidth="1"/>
    <col min="438" max="438" width="5.28515625" style="272" bestFit="1" customWidth="1"/>
    <col min="439" max="441" width="6.42578125" style="272" bestFit="1" customWidth="1"/>
    <col min="442" max="444" width="5.28515625" style="272" bestFit="1" customWidth="1"/>
    <col min="445" max="445" width="6.42578125" style="272" bestFit="1" customWidth="1"/>
    <col min="446" max="446" width="10.85546875" style="272" bestFit="1" customWidth="1"/>
    <col min="447" max="447" width="8.42578125" style="272" bestFit="1" customWidth="1"/>
    <col min="448" max="448" width="6.42578125" style="272" bestFit="1" customWidth="1"/>
    <col min="449" max="449" width="3.28515625" style="272" bestFit="1" customWidth="1"/>
    <col min="450" max="451" width="5.28515625" style="272" bestFit="1" customWidth="1"/>
    <col min="452" max="459" width="6.42578125" style="272" bestFit="1" customWidth="1"/>
    <col min="460" max="460" width="5.28515625" style="272" bestFit="1" customWidth="1"/>
    <col min="461" max="461" width="3.28515625" style="272" bestFit="1" customWidth="1"/>
    <col min="462" max="464" width="5.28515625" style="272" bestFit="1" customWidth="1"/>
    <col min="465" max="465" width="6.42578125" style="272" bestFit="1" customWidth="1"/>
    <col min="466" max="466" width="3.28515625" style="272" bestFit="1" customWidth="1"/>
    <col min="467" max="467" width="4.28515625" style="272" bestFit="1" customWidth="1"/>
    <col min="468" max="468" width="3.28515625" style="272" bestFit="1" customWidth="1"/>
    <col min="469" max="475" width="5.28515625" style="272" bestFit="1" customWidth="1"/>
    <col min="476" max="476" width="4.28515625" style="272" bestFit="1" customWidth="1"/>
    <col min="477" max="478" width="6.42578125" style="272" bestFit="1" customWidth="1"/>
    <col min="479" max="479" width="5.28515625" style="272" bestFit="1" customWidth="1"/>
    <col min="480" max="482" width="6.42578125" style="272" bestFit="1" customWidth="1"/>
    <col min="483" max="485" width="5.28515625" style="272" bestFit="1" customWidth="1"/>
    <col min="486" max="486" width="6.42578125" style="272" bestFit="1" customWidth="1"/>
    <col min="487" max="487" width="10.5703125" style="272" bestFit="1" customWidth="1"/>
    <col min="488" max="488" width="8.42578125" style="272" bestFit="1" customWidth="1"/>
    <col min="489" max="489" width="6.42578125" style="272" bestFit="1" customWidth="1"/>
    <col min="490" max="492" width="5.28515625" style="272" bestFit="1" customWidth="1"/>
    <col min="493" max="493" width="4.28515625" style="272" bestFit="1" customWidth="1"/>
    <col min="494" max="500" width="6.42578125" style="272" bestFit="1" customWidth="1"/>
    <col min="501" max="505" width="5.28515625" style="272" bestFit="1" customWidth="1"/>
    <col min="506" max="506" width="6.42578125" style="272" bestFit="1" customWidth="1"/>
    <col min="507" max="507" width="3.28515625" style="272" bestFit="1" customWidth="1"/>
    <col min="508" max="508" width="4.28515625" style="272" bestFit="1" customWidth="1"/>
    <col min="509" max="509" width="3.28515625" style="272" bestFit="1" customWidth="1"/>
    <col min="510" max="511" width="5.28515625" style="272" bestFit="1" customWidth="1"/>
    <col min="512" max="512" width="3.28515625" style="272" bestFit="1" customWidth="1"/>
    <col min="513" max="516" width="5.28515625" style="272" bestFit="1" customWidth="1"/>
    <col min="517" max="519" width="6.42578125" style="272" bestFit="1" customWidth="1"/>
    <col min="520" max="520" width="5.28515625" style="272" bestFit="1" customWidth="1"/>
    <col min="521" max="523" width="6.42578125" style="272" bestFit="1" customWidth="1"/>
    <col min="524" max="526" width="5.28515625" style="272" bestFit="1" customWidth="1"/>
    <col min="527" max="527" width="6.42578125" style="272" bestFit="1" customWidth="1"/>
    <col min="528" max="528" width="10.85546875" style="272" bestFit="1" customWidth="1"/>
    <col min="529" max="529" width="8.42578125" style="272" bestFit="1" customWidth="1"/>
    <col min="530" max="530" width="6.42578125" style="272" bestFit="1" customWidth="1"/>
    <col min="531" max="531" width="5.28515625" style="272" bestFit="1" customWidth="1"/>
    <col min="532" max="533" width="3.28515625" style="272" bestFit="1" customWidth="1"/>
    <col min="534" max="534" width="5.28515625" style="272" bestFit="1" customWidth="1"/>
    <col min="535" max="540" width="6.42578125" style="272" bestFit="1" customWidth="1"/>
    <col min="541" max="541" width="4.28515625" style="272" bestFit="1" customWidth="1"/>
    <col min="542" max="542" width="5.28515625" style="272" bestFit="1" customWidth="1"/>
    <col min="543" max="543" width="3.28515625" style="272" bestFit="1" customWidth="1"/>
    <col min="544" max="546" width="5.28515625" style="272" bestFit="1" customWidth="1"/>
    <col min="547" max="547" width="6.42578125" style="272" bestFit="1" customWidth="1"/>
    <col min="548" max="548" width="3.28515625" style="272" bestFit="1" customWidth="1"/>
    <col min="549" max="549" width="4.28515625" style="272" bestFit="1" customWidth="1"/>
    <col min="550" max="550" width="3.28515625" style="272" bestFit="1" customWidth="1"/>
    <col min="551" max="552" width="5.28515625" style="272" bestFit="1" customWidth="1"/>
    <col min="553" max="553" width="3.28515625" style="272" bestFit="1" customWidth="1"/>
    <col min="554" max="557" width="5.28515625" style="272" bestFit="1" customWidth="1"/>
    <col min="558" max="558" width="4.28515625" style="272" bestFit="1" customWidth="1"/>
    <col min="559" max="560" width="6.42578125" style="272" bestFit="1" customWidth="1"/>
    <col min="561" max="561" width="5.28515625" style="272" bestFit="1" customWidth="1"/>
    <col min="562" max="564" width="6.42578125" style="272" bestFit="1" customWidth="1"/>
    <col min="565" max="567" width="5.28515625" style="272" bestFit="1" customWidth="1"/>
    <col min="568" max="568" width="6.42578125" style="272" bestFit="1" customWidth="1"/>
    <col min="569" max="569" width="10.85546875" style="272" bestFit="1" customWidth="1"/>
    <col min="570" max="570" width="8.42578125" style="272" bestFit="1" customWidth="1"/>
    <col min="571" max="571" width="6.42578125" style="272" bestFit="1" customWidth="1"/>
    <col min="572" max="575" width="5.28515625" style="272" bestFit="1" customWidth="1"/>
    <col min="576" max="582" width="6.42578125" style="272" bestFit="1" customWidth="1"/>
    <col min="583" max="587" width="5.28515625" style="272" bestFit="1" customWidth="1"/>
    <col min="588" max="588" width="6.42578125" style="272" bestFit="1" customWidth="1"/>
    <col min="589" max="589" width="3.28515625" style="272" bestFit="1" customWidth="1"/>
    <col min="590" max="590" width="4.28515625" style="272" bestFit="1" customWidth="1"/>
    <col min="591" max="591" width="3.28515625" style="272" bestFit="1" customWidth="1"/>
    <col min="592" max="598" width="5.28515625" style="272" bestFit="1" customWidth="1"/>
    <col min="599" max="600" width="4.28515625" style="272" bestFit="1" customWidth="1"/>
    <col min="601" max="601" width="6.42578125" style="272" bestFit="1" customWidth="1"/>
    <col min="602" max="603" width="5.28515625" style="272" bestFit="1" customWidth="1"/>
    <col min="604" max="604" width="4.28515625" style="272" bestFit="1" customWidth="1"/>
    <col min="605" max="605" width="6.42578125" style="272" bestFit="1" customWidth="1"/>
    <col min="606" max="608" width="5.28515625" style="272" bestFit="1" customWidth="1"/>
    <col min="609" max="609" width="6.42578125" style="272" bestFit="1" customWidth="1"/>
    <col min="610" max="610" width="10.85546875" style="272" bestFit="1" customWidth="1"/>
    <col min="611" max="611" width="8.42578125" style="272" bestFit="1" customWidth="1"/>
    <col min="612" max="612" width="6.42578125" style="272" bestFit="1" customWidth="1"/>
    <col min="613" max="616" width="5.28515625" style="272" bestFit="1" customWidth="1"/>
    <col min="617" max="623" width="6.42578125" style="272" bestFit="1" customWidth="1"/>
    <col min="624" max="627" width="5.28515625" style="272" bestFit="1" customWidth="1"/>
    <col min="628" max="628" width="3.28515625" style="272" bestFit="1" customWidth="1"/>
    <col min="629" max="629" width="6.42578125" style="272" bestFit="1" customWidth="1"/>
    <col min="630" max="630" width="3.28515625" style="272" bestFit="1" customWidth="1"/>
    <col min="631" max="631" width="4.28515625" style="272" bestFit="1" customWidth="1"/>
    <col min="632" max="632" width="3.28515625" style="272" bestFit="1" customWidth="1"/>
    <col min="633" max="637" width="5.28515625" style="272" bestFit="1" customWidth="1"/>
    <col min="638" max="638" width="3.28515625" style="272" bestFit="1" customWidth="1"/>
    <col min="639" max="639" width="5.28515625" style="272" bestFit="1" customWidth="1"/>
    <col min="640" max="642" width="6.42578125" style="272" bestFit="1" customWidth="1"/>
    <col min="643" max="643" width="3.28515625" style="272" bestFit="1" customWidth="1"/>
    <col min="644" max="644" width="5.28515625" style="272" bestFit="1" customWidth="1"/>
    <col min="645" max="645" width="4.28515625" style="272" bestFit="1" customWidth="1"/>
    <col min="646" max="646" width="6.42578125" style="272" bestFit="1" customWidth="1"/>
    <col min="647" max="649" width="5.28515625" style="272" bestFit="1" customWidth="1"/>
    <col min="650" max="650" width="6.42578125" style="272" bestFit="1" customWidth="1"/>
    <col min="651" max="651" width="10.85546875" style="272" bestFit="1" customWidth="1"/>
    <col min="652" max="652" width="8.42578125" style="272" bestFit="1" customWidth="1"/>
    <col min="653" max="653" width="4.28515625" style="272" bestFit="1" customWidth="1"/>
    <col min="654" max="657" width="5.28515625" style="272" bestFit="1" customWidth="1"/>
    <col min="658" max="662" width="6.42578125" style="272" bestFit="1" customWidth="1"/>
    <col min="663" max="663" width="4.28515625" style="272" bestFit="1" customWidth="1"/>
    <col min="664" max="664" width="6.42578125" style="272" bestFit="1" customWidth="1"/>
    <col min="665" max="669" width="5.28515625" style="272" bestFit="1" customWidth="1"/>
    <col min="670" max="670" width="6.42578125" style="272" bestFit="1" customWidth="1"/>
    <col min="671" max="671" width="3.28515625" style="272" bestFit="1" customWidth="1"/>
    <col min="672" max="672" width="4.28515625" style="272" bestFit="1" customWidth="1"/>
    <col min="673" max="673" width="3.28515625" style="272" bestFit="1" customWidth="1"/>
    <col min="674" max="676" width="5.28515625" style="272" bestFit="1" customWidth="1"/>
    <col min="677" max="677" width="3.28515625" style="272" bestFit="1" customWidth="1"/>
    <col min="678" max="680" width="5.28515625" style="272" bestFit="1" customWidth="1"/>
    <col min="681" max="683" width="6.42578125" style="272" bestFit="1" customWidth="1"/>
    <col min="684" max="685" width="5.28515625" style="272" bestFit="1" customWidth="1"/>
    <col min="686" max="686" width="4.28515625" style="272" bestFit="1" customWidth="1"/>
    <col min="687" max="687" width="6.42578125" style="272" bestFit="1" customWidth="1"/>
    <col min="688" max="689" width="5.28515625" style="272" bestFit="1" customWidth="1"/>
    <col min="690" max="690" width="3.28515625" style="272" bestFit="1" customWidth="1"/>
    <col min="691" max="691" width="6.42578125" style="272" bestFit="1" customWidth="1"/>
    <col min="692" max="692" width="10.85546875" style="272" bestFit="1" customWidth="1"/>
    <col min="693" max="693" width="8.42578125" style="272" bestFit="1" customWidth="1"/>
    <col min="694" max="694" width="6.42578125" style="272" bestFit="1" customWidth="1"/>
    <col min="695" max="698" width="5.28515625" style="272" bestFit="1" customWidth="1"/>
    <col min="699" max="703" width="6.42578125" style="272" bestFit="1" customWidth="1"/>
    <col min="704" max="704" width="4.28515625" style="272" bestFit="1" customWidth="1"/>
    <col min="705" max="705" width="6.42578125" style="272" bestFit="1" customWidth="1"/>
    <col min="706" max="706" width="3.28515625" style="272" bestFit="1" customWidth="1"/>
    <col min="707" max="707" width="5.28515625" style="272" bestFit="1" customWidth="1"/>
    <col min="708" max="709" width="3.28515625" style="272" bestFit="1" customWidth="1"/>
    <col min="710" max="710" width="5.28515625" style="272" bestFit="1" customWidth="1"/>
    <col min="711" max="711" width="6.42578125" style="272" bestFit="1" customWidth="1"/>
    <col min="712" max="712" width="3.28515625" style="272" bestFit="1" customWidth="1"/>
    <col min="713" max="713" width="4.28515625" style="272" bestFit="1" customWidth="1"/>
    <col min="714" max="714" width="3.28515625" style="272" bestFit="1" customWidth="1"/>
    <col min="715" max="719" width="5.28515625" style="272" bestFit="1" customWidth="1"/>
    <col min="720" max="720" width="3.28515625" style="272" bestFit="1" customWidth="1"/>
    <col min="721" max="721" width="5.28515625" style="272" bestFit="1" customWidth="1"/>
    <col min="722" max="724" width="6.42578125" style="272" bestFit="1" customWidth="1"/>
    <col min="725" max="726" width="5.28515625" style="272" bestFit="1" customWidth="1"/>
    <col min="727" max="728" width="6.42578125" style="272" bestFit="1" customWidth="1"/>
    <col min="729" max="731" width="5.28515625" style="272" bestFit="1" customWidth="1"/>
    <col min="732" max="732" width="6.42578125" style="272" bestFit="1" customWidth="1"/>
    <col min="733" max="733" width="10.85546875" style="272" bestFit="1" customWidth="1"/>
    <col min="734" max="734" width="8.42578125" style="272" bestFit="1" customWidth="1"/>
    <col min="735" max="735" width="6.42578125" style="272" bestFit="1" customWidth="1"/>
    <col min="736" max="737" width="5.28515625" style="272" bestFit="1" customWidth="1"/>
    <col min="738" max="738" width="3.28515625" style="272" bestFit="1" customWidth="1"/>
    <col min="739" max="739" width="5.28515625" style="272" bestFit="1" customWidth="1"/>
    <col min="740" max="743" width="6.42578125" style="272" bestFit="1" customWidth="1"/>
    <col min="744" max="744" width="5.28515625" style="272" bestFit="1" customWidth="1"/>
    <col min="745" max="745" width="4.28515625" style="272" bestFit="1" customWidth="1"/>
    <col min="746" max="746" width="6.42578125" style="272" bestFit="1" customWidth="1"/>
    <col min="747" max="749" width="5.28515625" style="272" bestFit="1" customWidth="1"/>
    <col min="750" max="750" width="3.28515625" style="272" bestFit="1" customWidth="1"/>
    <col min="751" max="751" width="5.28515625" style="272" bestFit="1" customWidth="1"/>
    <col min="752" max="752" width="6.42578125" style="272" bestFit="1" customWidth="1"/>
    <col min="753" max="753" width="3.28515625" style="272" bestFit="1" customWidth="1"/>
    <col min="754" max="754" width="4.28515625" style="272" bestFit="1" customWidth="1"/>
    <col min="755" max="755" width="3.28515625" style="272" bestFit="1" customWidth="1"/>
    <col min="756" max="761" width="5.28515625" style="272" bestFit="1" customWidth="1"/>
    <col min="762" max="762" width="3.28515625" style="272" bestFit="1" customWidth="1"/>
    <col min="763" max="765" width="6.42578125" style="272" bestFit="1" customWidth="1"/>
    <col min="766" max="767" width="5.28515625" style="272" bestFit="1" customWidth="1"/>
    <col min="768" max="769" width="6.42578125" style="272" bestFit="1" customWidth="1"/>
    <col min="770" max="772" width="5.28515625" style="272" bestFit="1" customWidth="1"/>
    <col min="773" max="773" width="6.42578125" style="272" bestFit="1" customWidth="1"/>
    <col min="774" max="774" width="10.85546875" style="272" bestFit="1" customWidth="1"/>
    <col min="775" max="775" width="8.42578125" style="272" bestFit="1" customWidth="1"/>
    <col min="776" max="776" width="6.42578125" style="272" bestFit="1" customWidth="1"/>
    <col min="777" max="780" width="5.28515625" style="272" bestFit="1" customWidth="1"/>
    <col min="781" max="784" width="6.42578125" style="272" bestFit="1" customWidth="1"/>
    <col min="785" max="785" width="5.28515625" style="272" bestFit="1" customWidth="1"/>
    <col min="786" max="787" width="6.42578125" style="272" bestFit="1" customWidth="1"/>
    <col min="788" max="790" width="5.28515625" style="272" bestFit="1" customWidth="1"/>
    <col min="791" max="791" width="3.28515625" style="272" bestFit="1" customWidth="1"/>
    <col min="792" max="792" width="5.28515625" style="272" bestFit="1" customWidth="1"/>
    <col min="793" max="793" width="6.42578125" style="272" bestFit="1" customWidth="1"/>
    <col min="794" max="794" width="3.28515625" style="272" bestFit="1" customWidth="1"/>
    <col min="795" max="795" width="4.28515625" style="272" bestFit="1" customWidth="1"/>
    <col min="796" max="797" width="3.28515625" style="272" bestFit="1" customWidth="1"/>
    <col min="798" max="798" width="5.28515625" style="272" bestFit="1" customWidth="1"/>
    <col min="799" max="799" width="3.28515625" style="272" bestFit="1" customWidth="1"/>
    <col min="800" max="800" width="5.28515625" style="272" bestFit="1" customWidth="1"/>
    <col min="801" max="801" width="3.28515625" style="272" bestFit="1" customWidth="1"/>
    <col min="802" max="803" width="5.28515625" style="272" bestFit="1" customWidth="1"/>
    <col min="804" max="806" width="6.42578125" style="272" bestFit="1" customWidth="1"/>
    <col min="807" max="808" width="5.28515625" style="272" bestFit="1" customWidth="1"/>
    <col min="809" max="810" width="6.42578125" style="272" bestFit="1" customWidth="1"/>
    <col min="811" max="813" width="5.28515625" style="272" bestFit="1" customWidth="1"/>
    <col min="814" max="814" width="6.42578125" style="272" bestFit="1" customWidth="1"/>
    <col min="815" max="815" width="10.85546875" style="272" bestFit="1" customWidth="1"/>
    <col min="816" max="816" width="8.42578125" style="272" bestFit="1" customWidth="1"/>
    <col min="817" max="817" width="6.42578125" style="272" bestFit="1" customWidth="1"/>
    <col min="818" max="820" width="5.28515625" style="272" bestFit="1" customWidth="1"/>
    <col min="821" max="821" width="3.28515625" style="272" bestFit="1" customWidth="1"/>
    <col min="822" max="825" width="6.42578125" style="272" bestFit="1" customWidth="1"/>
    <col min="826" max="826" width="3.28515625" style="272" bestFit="1" customWidth="1"/>
    <col min="827" max="827" width="4.28515625" style="272" bestFit="1" customWidth="1"/>
    <col min="828" max="828" width="6.42578125" style="272" bestFit="1" customWidth="1"/>
    <col min="829" max="833" width="5.28515625" style="272" bestFit="1" customWidth="1"/>
    <col min="834" max="834" width="6.42578125" style="272" bestFit="1" customWidth="1"/>
    <col min="835" max="835" width="3.28515625" style="272" bestFit="1" customWidth="1"/>
    <col min="836" max="836" width="4.28515625" style="272" bestFit="1" customWidth="1"/>
    <col min="837" max="837" width="3.28515625" style="272" bestFit="1" customWidth="1"/>
    <col min="838" max="839" width="5.28515625" style="272" bestFit="1" customWidth="1"/>
    <col min="840" max="840" width="3.28515625" style="272" bestFit="1" customWidth="1"/>
    <col min="841" max="844" width="5.28515625" style="272" bestFit="1" customWidth="1"/>
    <col min="845" max="847" width="6.42578125" style="272" bestFit="1" customWidth="1"/>
    <col min="848" max="849" width="5.28515625" style="272" bestFit="1" customWidth="1"/>
    <col min="850" max="851" width="6.42578125" style="272" bestFit="1" customWidth="1"/>
    <col min="852" max="854" width="5.28515625" style="272" bestFit="1" customWidth="1"/>
    <col min="855" max="855" width="6.42578125" style="272" bestFit="1" customWidth="1"/>
    <col min="856" max="856" width="10.5703125" style="272" bestFit="1" customWidth="1"/>
    <col min="857" max="857" width="8.42578125" style="272" bestFit="1" customWidth="1"/>
    <col min="858" max="858" width="4.28515625" style="272" bestFit="1" customWidth="1"/>
    <col min="859" max="859" width="3.28515625" style="272" bestFit="1" customWidth="1"/>
    <col min="860" max="861" width="5.28515625" style="272" bestFit="1" customWidth="1"/>
    <col min="862" max="862" width="3.28515625" style="272" bestFit="1" customWidth="1"/>
    <col min="863" max="864" width="6.42578125" style="272" bestFit="1" customWidth="1"/>
    <col min="865" max="866" width="4.28515625" style="272" bestFit="1" customWidth="1"/>
    <col min="867" max="867" width="3.28515625" style="272" bestFit="1" customWidth="1"/>
    <col min="868" max="869" width="6.42578125" style="272" bestFit="1" customWidth="1"/>
    <col min="870" max="870" width="3.28515625" style="272" bestFit="1" customWidth="1"/>
    <col min="871" max="874" width="5.28515625" style="272" bestFit="1" customWidth="1"/>
    <col min="875" max="875" width="6.42578125" style="272" bestFit="1" customWidth="1"/>
    <col min="876" max="876" width="3.28515625" style="272" bestFit="1" customWidth="1"/>
    <col min="877" max="877" width="4.28515625" style="272" bestFit="1" customWidth="1"/>
    <col min="878" max="878" width="3.28515625" style="272" bestFit="1" customWidth="1"/>
    <col min="879" max="879" width="5.28515625" style="272" bestFit="1" customWidth="1"/>
    <col min="880" max="880" width="3.28515625" style="272" bestFit="1" customWidth="1"/>
    <col min="881" max="885" width="5.28515625" style="272" bestFit="1" customWidth="1"/>
    <col min="886" max="888" width="6.42578125" style="272" bestFit="1" customWidth="1"/>
    <col min="889" max="889" width="3.28515625" style="272" bestFit="1" customWidth="1"/>
    <col min="890" max="890" width="5.28515625" style="272" bestFit="1" customWidth="1"/>
    <col min="891" max="892" width="6.42578125" style="272" bestFit="1" customWidth="1"/>
    <col min="893" max="895" width="5.28515625" style="272" bestFit="1" customWidth="1"/>
    <col min="896" max="896" width="6.42578125" style="272" bestFit="1" customWidth="1"/>
    <col min="897" max="897" width="10.28515625" style="272" bestFit="1" customWidth="1"/>
    <col min="898" max="898" width="8.42578125" style="272" bestFit="1" customWidth="1"/>
    <col min="899" max="899" width="6.42578125" style="272" bestFit="1" customWidth="1"/>
    <col min="900" max="900" width="3.28515625" style="272" bestFit="1" customWidth="1"/>
    <col min="901" max="903" width="5.28515625" style="272" bestFit="1" customWidth="1"/>
    <col min="904" max="904" width="4.28515625" style="272" bestFit="1" customWidth="1"/>
    <col min="905" max="907" width="6.42578125" style="272" bestFit="1" customWidth="1"/>
    <col min="908" max="908" width="5.28515625" style="272" bestFit="1" customWidth="1"/>
    <col min="909" max="910" width="6.42578125" style="272" bestFit="1" customWidth="1"/>
    <col min="911" max="911" width="5.28515625" style="272" bestFit="1" customWidth="1"/>
    <col min="912" max="912" width="3.28515625" style="272" bestFit="1" customWidth="1"/>
    <col min="913" max="915" width="5.28515625" style="272" bestFit="1" customWidth="1"/>
    <col min="916" max="916" width="6.42578125" style="272" bestFit="1" customWidth="1"/>
    <col min="917" max="917" width="3.28515625" style="272" bestFit="1" customWidth="1"/>
    <col min="918" max="918" width="4.28515625" style="272" bestFit="1" customWidth="1"/>
    <col min="919" max="919" width="3.28515625" style="272" bestFit="1" customWidth="1"/>
    <col min="920" max="926" width="5.28515625" style="272" bestFit="1" customWidth="1"/>
    <col min="927" max="929" width="6.42578125" style="272" bestFit="1" customWidth="1"/>
    <col min="930" max="931" width="5.28515625" style="272" bestFit="1" customWidth="1"/>
    <col min="932" max="933" width="6.42578125" style="272" bestFit="1" customWidth="1"/>
    <col min="934" max="934" width="3.28515625" style="272" bestFit="1" customWidth="1"/>
    <col min="935" max="936" width="5.28515625" style="272" bestFit="1" customWidth="1"/>
    <col min="937" max="937" width="6.42578125" style="272" bestFit="1" customWidth="1"/>
    <col min="938" max="938" width="10.5703125" style="272" bestFit="1" customWidth="1"/>
    <col min="939" max="939" width="8.42578125" style="272" bestFit="1" customWidth="1"/>
    <col min="940" max="940" width="6.42578125" style="272" bestFit="1" customWidth="1"/>
    <col min="941" max="943" width="5.28515625" style="272" bestFit="1" customWidth="1"/>
    <col min="944" max="944" width="3.28515625" style="272" bestFit="1" customWidth="1"/>
    <col min="945" max="946" width="4.28515625" style="272" bestFit="1" customWidth="1"/>
    <col min="947" max="948" width="6.42578125" style="272" bestFit="1" customWidth="1"/>
    <col min="949" max="949" width="5.28515625" style="272" bestFit="1" customWidth="1"/>
    <col min="950" max="951" width="6.42578125" style="272" bestFit="1" customWidth="1"/>
    <col min="952" max="956" width="5.28515625" style="272" bestFit="1" customWidth="1"/>
    <col min="957" max="957" width="6.42578125" style="272" bestFit="1" customWidth="1"/>
    <col min="958" max="958" width="3.28515625" style="272" bestFit="1" customWidth="1"/>
    <col min="959" max="959" width="4.28515625" style="272" bestFit="1" customWidth="1"/>
    <col min="960" max="961" width="3.28515625" style="272" bestFit="1" customWidth="1"/>
    <col min="962" max="967" width="5.28515625" style="272" bestFit="1" customWidth="1"/>
    <col min="968" max="970" width="6.42578125" style="272" bestFit="1" customWidth="1"/>
    <col min="971" max="971" width="3.28515625" style="272" bestFit="1" customWidth="1"/>
    <col min="972" max="972" width="5.28515625" style="272" bestFit="1" customWidth="1"/>
    <col min="973" max="974" width="6.42578125" style="272" bestFit="1" customWidth="1"/>
    <col min="975" max="977" width="5.28515625" style="272" bestFit="1" customWidth="1"/>
    <col min="978" max="978" width="4.28515625" style="272" bestFit="1" customWidth="1"/>
    <col min="979" max="979" width="10.5703125" style="272" bestFit="1" customWidth="1"/>
    <col min="980" max="980" width="8.42578125" style="272" bestFit="1" customWidth="1"/>
    <col min="981" max="981" width="6.42578125" style="272" bestFit="1" customWidth="1"/>
    <col min="982" max="985" width="5.28515625" style="272" bestFit="1" customWidth="1"/>
    <col min="986" max="989" width="6.42578125" style="272" bestFit="1" customWidth="1"/>
    <col min="990" max="990" width="3.28515625" style="272" bestFit="1" customWidth="1"/>
    <col min="991" max="992" width="6.42578125" style="272" bestFit="1" customWidth="1"/>
    <col min="993" max="993" width="3.28515625" style="272" bestFit="1" customWidth="1"/>
    <col min="994" max="997" width="5.28515625" style="272" bestFit="1" customWidth="1"/>
    <col min="998" max="998" width="6.42578125" style="272" bestFit="1" customWidth="1"/>
    <col min="999" max="999" width="3.28515625" style="272" bestFit="1" customWidth="1"/>
    <col min="1000" max="1000" width="4.28515625" style="272" bestFit="1" customWidth="1"/>
    <col min="1001" max="1001" width="3.28515625" style="272" bestFit="1" customWidth="1"/>
    <col min="1002" max="1008" width="5.28515625" style="272" bestFit="1" customWidth="1"/>
    <col min="1009" max="1011" width="6.42578125" style="272" bestFit="1" customWidth="1"/>
    <col min="1012" max="1013" width="5.28515625" style="272" bestFit="1" customWidth="1"/>
    <col min="1014" max="1015" width="6.42578125" style="272" bestFit="1" customWidth="1"/>
    <col min="1016" max="1018" width="5.28515625" style="272" bestFit="1" customWidth="1"/>
    <col min="1019" max="1019" width="6.42578125" style="272" bestFit="1" customWidth="1"/>
    <col min="1020" max="1020" width="10.5703125" style="272" bestFit="1" customWidth="1"/>
    <col min="1021" max="1021" width="8.42578125" style="272" bestFit="1" customWidth="1"/>
    <col min="1022" max="1022" width="6.42578125" style="272" bestFit="1" customWidth="1"/>
    <col min="1023" max="1023" width="5.28515625" style="272" bestFit="1" customWidth="1"/>
    <col min="1024" max="1024" width="3.28515625" style="272" bestFit="1" customWidth="1"/>
    <col min="1025" max="1026" width="5.28515625" style="272" bestFit="1" customWidth="1"/>
    <col min="1027" max="1030" width="6.42578125" style="272" bestFit="1" customWidth="1"/>
    <col min="1031" max="1031" width="5.28515625" style="272" bestFit="1" customWidth="1"/>
    <col min="1032" max="1033" width="6.42578125" style="272" bestFit="1" customWidth="1"/>
    <col min="1034" max="1037" width="5.28515625" style="272" bestFit="1" customWidth="1"/>
    <col min="1038" max="1038" width="3.28515625" style="272" bestFit="1" customWidth="1"/>
    <col min="1039" max="1039" width="6.42578125" style="272" bestFit="1" customWidth="1"/>
    <col min="1040" max="1040" width="3.28515625" style="272" bestFit="1" customWidth="1"/>
    <col min="1041" max="1041" width="4.28515625" style="272" bestFit="1" customWidth="1"/>
    <col min="1042" max="1042" width="3.28515625" style="272" bestFit="1" customWidth="1"/>
    <col min="1043" max="1045" width="5.28515625" style="272" bestFit="1" customWidth="1"/>
    <col min="1046" max="1046" width="3.28515625" style="272" bestFit="1" customWidth="1"/>
    <col min="1047" max="1049" width="5.28515625" style="272" bestFit="1" customWidth="1"/>
    <col min="1050" max="1052" width="6.42578125" style="272" bestFit="1" customWidth="1"/>
    <col min="1053" max="1054" width="5.28515625" style="272" bestFit="1" customWidth="1"/>
    <col min="1055" max="1056" width="6.42578125" style="272" bestFit="1" customWidth="1"/>
    <col min="1057" max="1059" width="5.28515625" style="272" bestFit="1" customWidth="1"/>
    <col min="1060" max="1060" width="6.42578125" style="272" bestFit="1" customWidth="1"/>
    <col min="1061" max="1061" width="10.5703125" style="272" bestFit="1" customWidth="1"/>
    <col min="1062" max="1062" width="8.42578125" style="272" bestFit="1" customWidth="1"/>
    <col min="1063" max="1063" width="6.42578125" style="272" bestFit="1" customWidth="1"/>
    <col min="1064" max="1067" width="5.28515625" style="272" bestFit="1" customWidth="1"/>
    <col min="1068" max="1068" width="4.28515625" style="272" bestFit="1" customWidth="1"/>
    <col min="1069" max="1071" width="6.42578125" style="272" bestFit="1" customWidth="1"/>
    <col min="1072" max="1072" width="3.28515625" style="272" bestFit="1" customWidth="1"/>
    <col min="1073" max="1074" width="6.42578125" style="272" bestFit="1" customWidth="1"/>
    <col min="1075" max="1078" width="5.28515625" style="272" bestFit="1" customWidth="1"/>
    <col min="1079" max="1079" width="3.28515625" style="272" bestFit="1" customWidth="1"/>
    <col min="1080" max="1080" width="6.42578125" style="272" bestFit="1" customWidth="1"/>
    <col min="1081" max="1081" width="3.28515625" style="272" bestFit="1" customWidth="1"/>
    <col min="1082" max="1082" width="4.28515625" style="272" bestFit="1" customWidth="1"/>
    <col min="1083" max="1083" width="3.28515625" style="272" bestFit="1" customWidth="1"/>
    <col min="1084" max="1089" width="5.28515625" style="272" bestFit="1" customWidth="1"/>
    <col min="1090" max="1090" width="3.28515625" style="272" bestFit="1" customWidth="1"/>
    <col min="1091" max="1091" width="6.42578125" style="272" bestFit="1" customWidth="1"/>
    <col min="1092" max="1092" width="4.28515625" style="272" bestFit="1" customWidth="1"/>
    <col min="1093" max="1093" width="6.42578125" style="272" bestFit="1" customWidth="1"/>
    <col min="1094" max="1095" width="5.28515625" style="272" bestFit="1" customWidth="1"/>
    <col min="1096" max="1097" width="6.42578125" style="272" bestFit="1" customWidth="1"/>
    <col min="1098" max="1100" width="5.28515625" style="272" bestFit="1" customWidth="1"/>
    <col min="1101" max="1101" width="6.42578125" style="272" bestFit="1" customWidth="1"/>
    <col min="1102" max="1102" width="10.5703125" style="272" bestFit="1" customWidth="1"/>
    <col min="1103" max="1103" width="8.42578125" style="272" bestFit="1" customWidth="1"/>
    <col min="1104" max="1104" width="4.28515625" style="272" bestFit="1" customWidth="1"/>
    <col min="1105" max="1108" width="3.28515625" style="272" bestFit="1" customWidth="1"/>
    <col min="1109" max="1112" width="4.28515625" style="272" bestFit="1" customWidth="1"/>
    <col min="1113" max="1113" width="3.28515625" style="272" bestFit="1" customWidth="1"/>
    <col min="1114" max="1115" width="4.28515625" style="272" bestFit="1" customWidth="1"/>
    <col min="1116" max="1119" width="3.28515625" style="272" bestFit="1" customWidth="1"/>
    <col min="1120" max="1120" width="5.28515625" style="272" bestFit="1" customWidth="1"/>
    <col min="1121" max="1121" width="6.42578125" style="272" bestFit="1" customWidth="1"/>
    <col min="1122" max="1122" width="3.28515625" style="272" bestFit="1" customWidth="1"/>
    <col min="1123" max="1123" width="4.28515625" style="272" bestFit="1" customWidth="1"/>
    <col min="1124" max="1124" width="3.28515625" style="272" bestFit="1" customWidth="1"/>
    <col min="1125" max="1126" width="5.28515625" style="272" bestFit="1" customWidth="1"/>
    <col min="1127" max="1127" width="3.28515625" style="272" bestFit="1" customWidth="1"/>
    <col min="1128" max="1129" width="5.28515625" style="272" bestFit="1" customWidth="1"/>
    <col min="1130" max="1131" width="3.28515625" style="272" bestFit="1" customWidth="1"/>
    <col min="1132" max="1134" width="6.42578125" style="272" bestFit="1" customWidth="1"/>
    <col min="1135" max="1135" width="3.28515625" style="272" bestFit="1" customWidth="1"/>
    <col min="1136" max="1136" width="5.28515625" style="272" bestFit="1" customWidth="1"/>
    <col min="1137" max="1138" width="6.42578125" style="272" bestFit="1" customWidth="1"/>
    <col min="1139" max="1141" width="5.28515625" style="272" bestFit="1" customWidth="1"/>
    <col min="1142" max="1142" width="6.42578125" style="272" bestFit="1" customWidth="1"/>
    <col min="1143" max="1143" width="10.5703125" style="272" bestFit="1" customWidth="1"/>
    <col min="1144" max="1144" width="8.42578125" style="272" bestFit="1" customWidth="1"/>
    <col min="1145" max="1145" width="4.28515625" style="272" bestFit="1" customWidth="1"/>
    <col min="1146" max="1149" width="3.28515625" style="272" bestFit="1" customWidth="1"/>
    <col min="1150" max="1153" width="4.28515625" style="272" bestFit="1" customWidth="1"/>
    <col min="1154" max="1154" width="3.28515625" style="272" bestFit="1" customWidth="1"/>
    <col min="1155" max="1156" width="4.28515625" style="272" bestFit="1" customWidth="1"/>
    <col min="1157" max="1157" width="3.28515625" style="272" bestFit="1" customWidth="1"/>
    <col min="1158" max="1158" width="5.28515625" style="272" bestFit="1" customWidth="1"/>
    <col min="1159" max="1160" width="3.28515625" style="272" bestFit="1" customWidth="1"/>
    <col min="1161" max="1161" width="5.28515625" style="272" bestFit="1" customWidth="1"/>
    <col min="1162" max="1162" width="4.28515625" style="272" bestFit="1" customWidth="1"/>
    <col min="1163" max="1163" width="3.28515625" style="272" bestFit="1" customWidth="1"/>
    <col min="1164" max="1164" width="4.28515625" style="272" bestFit="1" customWidth="1"/>
    <col min="1165" max="1165" width="3.28515625" style="272" bestFit="1" customWidth="1"/>
    <col min="1166" max="1167" width="5.28515625" style="272" bestFit="1" customWidth="1"/>
    <col min="1168" max="1168" width="3.28515625" style="272" bestFit="1" customWidth="1"/>
    <col min="1169" max="1170" width="5.28515625" style="272" bestFit="1" customWidth="1"/>
    <col min="1171" max="1172" width="3.28515625" style="272" bestFit="1" customWidth="1"/>
    <col min="1173" max="1175" width="6.42578125" style="272" bestFit="1" customWidth="1"/>
    <col min="1176" max="1177" width="5.28515625" style="272" bestFit="1" customWidth="1"/>
    <col min="1178" max="1179" width="6.42578125" style="272" bestFit="1" customWidth="1"/>
    <col min="1180" max="1182" width="5.28515625" style="272" bestFit="1" customWidth="1"/>
    <col min="1183" max="1183" width="6.42578125" style="272" bestFit="1" customWidth="1"/>
    <col min="1184" max="1184" width="10.5703125" style="272" bestFit="1" customWidth="1"/>
    <col min="1185" max="1185" width="8.42578125" style="272" bestFit="1" customWidth="1"/>
    <col min="1186" max="1186" width="4.28515625" style="272" bestFit="1" customWidth="1"/>
    <col min="1187" max="1190" width="3.28515625" style="272" bestFit="1" customWidth="1"/>
    <col min="1191" max="1194" width="4.28515625" style="272" bestFit="1" customWidth="1"/>
    <col min="1195" max="1195" width="3.28515625" style="272" bestFit="1" customWidth="1"/>
    <col min="1196" max="1197" width="4.28515625" style="272" bestFit="1" customWidth="1"/>
    <col min="1198" max="1198" width="3.28515625" style="272" bestFit="1" customWidth="1"/>
    <col min="1199" max="1199" width="5.28515625" style="272" bestFit="1" customWidth="1"/>
    <col min="1200" max="1201" width="3.28515625" style="272" bestFit="1" customWidth="1"/>
    <col min="1202" max="1202" width="5.28515625" style="272" bestFit="1" customWidth="1"/>
    <col min="1203" max="1203" width="4.28515625" style="272" bestFit="1" customWidth="1"/>
    <col min="1204" max="1204" width="3.28515625" style="272" bestFit="1" customWidth="1"/>
    <col min="1205" max="1205" width="4.28515625" style="272" bestFit="1" customWidth="1"/>
    <col min="1206" max="1206" width="3.28515625" style="272" bestFit="1" customWidth="1"/>
    <col min="1207" max="1208" width="5.28515625" style="272" bestFit="1" customWidth="1"/>
    <col min="1209" max="1209" width="3.28515625" style="272" bestFit="1" customWidth="1"/>
    <col min="1210" max="1211" width="5.28515625" style="272" bestFit="1" customWidth="1"/>
    <col min="1212" max="1213" width="3.28515625" style="272" bestFit="1" customWidth="1"/>
    <col min="1214" max="1216" width="6.42578125" style="272" bestFit="1" customWidth="1"/>
    <col min="1217" max="1218" width="5.28515625" style="272" bestFit="1" customWidth="1"/>
    <col min="1219" max="1220" width="6.42578125" style="272" bestFit="1" customWidth="1"/>
    <col min="1221" max="1221" width="5.28515625" style="272" bestFit="1" customWidth="1"/>
    <col min="1222" max="1222" width="3.28515625" style="272" bestFit="1" customWidth="1"/>
    <col min="1223" max="1223" width="5.28515625" style="272" bestFit="1" customWidth="1"/>
    <col min="1224" max="1224" width="6.42578125" style="272" bestFit="1" customWidth="1"/>
    <col min="1225" max="1225" width="10.5703125" style="272" bestFit="1" customWidth="1"/>
    <col min="1226" max="1226" width="8.42578125" style="272" bestFit="1" customWidth="1"/>
    <col min="1227" max="1227" width="4.28515625" style="272" bestFit="1" customWidth="1"/>
    <col min="1228" max="1231" width="3.28515625" style="272" bestFit="1" customWidth="1"/>
    <col min="1232" max="1235" width="4.28515625" style="272" bestFit="1" customWidth="1"/>
    <col min="1236" max="1236" width="3.28515625" style="272" bestFit="1" customWidth="1"/>
    <col min="1237" max="1238" width="4.28515625" style="272" bestFit="1" customWidth="1"/>
    <col min="1239" max="1239" width="3.28515625" style="272" bestFit="1" customWidth="1"/>
    <col min="1240" max="1240" width="5.28515625" style="272" bestFit="1" customWidth="1"/>
    <col min="1241" max="1242" width="3.28515625" style="272" bestFit="1" customWidth="1"/>
    <col min="1243" max="1243" width="5.28515625" style="272" bestFit="1" customWidth="1"/>
    <col min="1244" max="1244" width="6.42578125" style="272" bestFit="1" customWidth="1"/>
    <col min="1245" max="1245" width="3.28515625" style="272" bestFit="1" customWidth="1"/>
    <col min="1246" max="1246" width="4.28515625" style="272" bestFit="1" customWidth="1"/>
    <col min="1247" max="1247" width="3.28515625" style="272" bestFit="1" customWidth="1"/>
    <col min="1248" max="1249" width="5.28515625" style="272" bestFit="1" customWidth="1"/>
    <col min="1250" max="1250" width="3.28515625" style="272" bestFit="1" customWidth="1"/>
    <col min="1251" max="1252" width="5.28515625" style="272" bestFit="1" customWidth="1"/>
    <col min="1253" max="1254" width="3.28515625" style="272" bestFit="1" customWidth="1"/>
    <col min="1255" max="1257" width="6.42578125" style="272" bestFit="1" customWidth="1"/>
    <col min="1258" max="1259" width="5.28515625" style="272" bestFit="1" customWidth="1"/>
    <col min="1260" max="1261" width="6.42578125" style="272" bestFit="1" customWidth="1"/>
    <col min="1262" max="1264" width="5.28515625" style="272" bestFit="1" customWidth="1"/>
    <col min="1265" max="1265" width="6.42578125" style="272" bestFit="1" customWidth="1"/>
    <col min="1266" max="1266" width="10.85546875" style="272" bestFit="1" customWidth="1"/>
    <col min="1267" max="1267" width="8.42578125" style="272" bestFit="1" customWidth="1"/>
    <col min="1268" max="1268" width="4.28515625" style="272" bestFit="1" customWidth="1"/>
    <col min="1269" max="1272" width="3.28515625" style="272" bestFit="1" customWidth="1"/>
    <col min="1273" max="1276" width="4.28515625" style="272" bestFit="1" customWidth="1"/>
    <col min="1277" max="1277" width="3.28515625" style="272" bestFit="1" customWidth="1"/>
    <col min="1278" max="1279" width="4.28515625" style="272" bestFit="1" customWidth="1"/>
    <col min="1280" max="1280" width="3.28515625" style="272" bestFit="1" customWidth="1"/>
    <col min="1281" max="1281" width="5.28515625" style="272" bestFit="1" customWidth="1"/>
    <col min="1282" max="1283" width="3.28515625" style="272" bestFit="1" customWidth="1"/>
    <col min="1284" max="1284" width="5.28515625" style="272" bestFit="1" customWidth="1"/>
    <col min="1285" max="1285" width="6.42578125" style="272" bestFit="1" customWidth="1"/>
    <col min="1286" max="1286" width="3.28515625" style="272" bestFit="1" customWidth="1"/>
    <col min="1287" max="1287" width="4.28515625" style="272" bestFit="1" customWidth="1"/>
    <col min="1288" max="1288" width="3.28515625" style="272" bestFit="1" customWidth="1"/>
    <col min="1289" max="1290" width="5.28515625" style="272" bestFit="1" customWidth="1"/>
    <col min="1291" max="1291" width="3.28515625" style="272" bestFit="1" customWidth="1"/>
    <col min="1292" max="1293" width="5.28515625" style="272" bestFit="1" customWidth="1"/>
    <col min="1294" max="1295" width="3.28515625" style="272" bestFit="1" customWidth="1"/>
    <col min="1296" max="1298" width="6.42578125" style="272" bestFit="1" customWidth="1"/>
    <col min="1299" max="1300" width="5.28515625" style="272" bestFit="1" customWidth="1"/>
    <col min="1301" max="1302" width="6.42578125" style="272" bestFit="1" customWidth="1"/>
    <col min="1303" max="1305" width="5.28515625" style="272" bestFit="1" customWidth="1"/>
    <col min="1306" max="1306" width="6.42578125" style="272" bestFit="1" customWidth="1"/>
    <col min="1307" max="1307" width="10.5703125" style="272" bestFit="1" customWidth="1"/>
    <col min="1308" max="1308" width="8.42578125" style="272" bestFit="1" customWidth="1"/>
    <col min="1309" max="1309" width="4.28515625" style="272" bestFit="1" customWidth="1"/>
    <col min="1310" max="1313" width="3.28515625" style="272" bestFit="1" customWidth="1"/>
    <col min="1314" max="1317" width="4.28515625" style="272" bestFit="1" customWidth="1"/>
    <col min="1318" max="1318" width="3.28515625" style="272" bestFit="1" customWidth="1"/>
    <col min="1319" max="1320" width="4.28515625" style="272" bestFit="1" customWidth="1"/>
    <col min="1321" max="1321" width="3.28515625" style="272" bestFit="1" customWidth="1"/>
    <col min="1322" max="1322" width="5.28515625" style="272" bestFit="1" customWidth="1"/>
    <col min="1323" max="1324" width="3.28515625" style="272" bestFit="1" customWidth="1"/>
    <col min="1325" max="1325" width="5.28515625" style="272" bestFit="1" customWidth="1"/>
    <col min="1326" max="1326" width="6.42578125" style="272" bestFit="1" customWidth="1"/>
    <col min="1327" max="1327" width="3.28515625" style="272" bestFit="1" customWidth="1"/>
    <col min="1328" max="1328" width="4.28515625" style="272" bestFit="1" customWidth="1"/>
    <col min="1329" max="1329" width="3.28515625" style="272" bestFit="1" customWidth="1"/>
    <col min="1330" max="1331" width="5.28515625" style="272" bestFit="1" customWidth="1"/>
    <col min="1332" max="1332" width="3.28515625" style="272" bestFit="1" customWidth="1"/>
    <col min="1333" max="1334" width="5.28515625" style="272" bestFit="1" customWidth="1"/>
    <col min="1335" max="1336" width="3.28515625" style="272" bestFit="1" customWidth="1"/>
    <col min="1337" max="1339" width="6.42578125" style="272" bestFit="1" customWidth="1"/>
    <col min="1340" max="1341" width="5.28515625" style="272" bestFit="1" customWidth="1"/>
    <col min="1342" max="1342" width="6.42578125" style="272" bestFit="1" customWidth="1"/>
    <col min="1343" max="1343" width="4.28515625" style="272" bestFit="1" customWidth="1"/>
    <col min="1344" max="1346" width="5.28515625" style="272" bestFit="1" customWidth="1"/>
    <col min="1347" max="1347" width="6.42578125" style="272" bestFit="1" customWidth="1"/>
    <col min="1348" max="1348" width="10.85546875" style="272" bestFit="1" customWidth="1"/>
    <col min="1349" max="1349" width="8.42578125" style="272" bestFit="1" customWidth="1"/>
    <col min="1350" max="1350" width="4.28515625" style="272" bestFit="1" customWidth="1"/>
    <col min="1351" max="1354" width="3.28515625" style="272" bestFit="1" customWidth="1"/>
    <col min="1355" max="1358" width="4.28515625" style="272" bestFit="1" customWidth="1"/>
    <col min="1359" max="1359" width="3.28515625" style="272" bestFit="1" customWidth="1"/>
    <col min="1360" max="1361" width="4.28515625" style="272" bestFit="1" customWidth="1"/>
    <col min="1362" max="1362" width="3.28515625" style="272" bestFit="1" customWidth="1"/>
    <col min="1363" max="1363" width="5.28515625" style="272" bestFit="1" customWidth="1"/>
    <col min="1364" max="1366" width="3.28515625" style="272" bestFit="1" customWidth="1"/>
    <col min="1367" max="1367" width="6.42578125" style="272" bestFit="1" customWidth="1"/>
    <col min="1368" max="1368" width="3.28515625" style="272" bestFit="1" customWidth="1"/>
    <col min="1369" max="1369" width="4.28515625" style="272" bestFit="1" customWidth="1"/>
    <col min="1370" max="1370" width="3.28515625" style="272" bestFit="1" customWidth="1"/>
    <col min="1371" max="1372" width="5.28515625" style="272" bestFit="1" customWidth="1"/>
    <col min="1373" max="1373" width="3.28515625" style="272" bestFit="1" customWidth="1"/>
    <col min="1374" max="1375" width="5.28515625" style="272" bestFit="1" customWidth="1"/>
    <col min="1376" max="1377" width="3.28515625" style="272" bestFit="1" customWidth="1"/>
    <col min="1378" max="1380" width="6.42578125" style="272" bestFit="1" customWidth="1"/>
    <col min="1381" max="1382" width="5.28515625" style="272" bestFit="1" customWidth="1"/>
    <col min="1383" max="1383" width="6.42578125" style="272" bestFit="1" customWidth="1"/>
    <col min="1384" max="1386" width="5.28515625" style="272" bestFit="1" customWidth="1"/>
    <col min="1387" max="1387" width="3.28515625" style="272" bestFit="1" customWidth="1"/>
    <col min="1388" max="1388" width="6.42578125" style="272" bestFit="1" customWidth="1"/>
    <col min="1389" max="1389" width="10.85546875" style="272" bestFit="1" customWidth="1"/>
    <col min="1390" max="1390" width="8.42578125" style="272" bestFit="1" customWidth="1"/>
    <col min="1391" max="1391" width="4.28515625" style="272" bestFit="1" customWidth="1"/>
    <col min="1392" max="1395" width="3.28515625" style="272" bestFit="1" customWidth="1"/>
    <col min="1396" max="1399" width="4.28515625" style="272" bestFit="1" customWidth="1"/>
    <col min="1400" max="1400" width="3.28515625" style="272" bestFit="1" customWidth="1"/>
    <col min="1401" max="1402" width="4.28515625" style="272" bestFit="1" customWidth="1"/>
    <col min="1403" max="1403" width="3.28515625" style="272" bestFit="1" customWidth="1"/>
    <col min="1404" max="1404" width="5.28515625" style="272" bestFit="1" customWidth="1"/>
    <col min="1405" max="1406" width="3.28515625" style="272" bestFit="1" customWidth="1"/>
    <col min="1407" max="1407" width="5.28515625" style="272" bestFit="1" customWidth="1"/>
    <col min="1408" max="1408" width="6.42578125" style="272" bestFit="1" customWidth="1"/>
    <col min="1409" max="1409" width="3.28515625" style="272" bestFit="1" customWidth="1"/>
    <col min="1410" max="1410" width="4.28515625" style="272" bestFit="1" customWidth="1"/>
    <col min="1411" max="1411" width="3.28515625" style="272" bestFit="1" customWidth="1"/>
    <col min="1412" max="1413" width="5.28515625" style="272" bestFit="1" customWidth="1"/>
    <col min="1414" max="1414" width="3.28515625" style="272" bestFit="1" customWidth="1"/>
    <col min="1415" max="1416" width="5.28515625" style="272" bestFit="1" customWidth="1"/>
    <col min="1417" max="1418" width="3.28515625" style="272" bestFit="1" customWidth="1"/>
    <col min="1419" max="1421" width="6.42578125" style="272" bestFit="1" customWidth="1"/>
    <col min="1422" max="1423" width="5.28515625" style="272" bestFit="1" customWidth="1"/>
    <col min="1424" max="1424" width="6.42578125" style="272" bestFit="1" customWidth="1"/>
    <col min="1425" max="1428" width="5.28515625" style="272" bestFit="1" customWidth="1"/>
    <col min="1429" max="1429" width="6.42578125" style="272" bestFit="1" customWidth="1"/>
    <col min="1430" max="1430" width="10.85546875" style="272" bestFit="1" customWidth="1"/>
    <col min="1431" max="1431" width="8.42578125" style="272" bestFit="1" customWidth="1"/>
    <col min="1432" max="1432" width="4.28515625" style="272" bestFit="1" customWidth="1"/>
    <col min="1433" max="1436" width="3.28515625" style="272" bestFit="1" customWidth="1"/>
    <col min="1437" max="1440" width="4.28515625" style="272" bestFit="1" customWidth="1"/>
    <col min="1441" max="1441" width="3.28515625" style="272" bestFit="1" customWidth="1"/>
    <col min="1442" max="1443" width="4.28515625" style="272" bestFit="1" customWidth="1"/>
    <col min="1444" max="1444" width="3.28515625" style="272" bestFit="1" customWidth="1"/>
    <col min="1445" max="1445" width="5.28515625" style="272" bestFit="1" customWidth="1"/>
    <col min="1446" max="1447" width="3.28515625" style="272" bestFit="1" customWidth="1"/>
    <col min="1448" max="1448" width="5.28515625" style="272" bestFit="1" customWidth="1"/>
    <col min="1449" max="1449" width="6.42578125" style="272" bestFit="1" customWidth="1"/>
    <col min="1450" max="1450" width="3.28515625" style="272" bestFit="1" customWidth="1"/>
    <col min="1451" max="1451" width="4.28515625" style="272" bestFit="1" customWidth="1"/>
    <col min="1452" max="1452" width="3.28515625" style="272" bestFit="1" customWidth="1"/>
    <col min="1453" max="1454" width="5.28515625" style="272" bestFit="1" customWidth="1"/>
    <col min="1455" max="1455" width="3.28515625" style="272" bestFit="1" customWidth="1"/>
    <col min="1456" max="1457" width="5.28515625" style="272" bestFit="1" customWidth="1"/>
    <col min="1458" max="1459" width="3.28515625" style="272" bestFit="1" customWidth="1"/>
    <col min="1460" max="1462" width="6.42578125" style="272" bestFit="1" customWidth="1"/>
    <col min="1463" max="1464" width="5.28515625" style="272" bestFit="1" customWidth="1"/>
    <col min="1465" max="1465" width="6.42578125" style="272" bestFit="1" customWidth="1"/>
    <col min="1466" max="1469" width="5.28515625" style="272" bestFit="1" customWidth="1"/>
    <col min="1470" max="1470" width="6.42578125" style="272" bestFit="1" customWidth="1"/>
    <col min="1471" max="1471" width="10.85546875" style="272" bestFit="1" customWidth="1"/>
    <col min="1472" max="1472" width="8.42578125" style="272" bestFit="1" customWidth="1"/>
    <col min="1473" max="1473" width="4.28515625" style="272" bestFit="1" customWidth="1"/>
    <col min="1474" max="1477" width="3.28515625" style="272" bestFit="1" customWidth="1"/>
    <col min="1478" max="1481" width="4.28515625" style="272" bestFit="1" customWidth="1"/>
    <col min="1482" max="1482" width="3.28515625" style="272" bestFit="1" customWidth="1"/>
    <col min="1483" max="1484" width="4.28515625" style="272" bestFit="1" customWidth="1"/>
    <col min="1485" max="1485" width="3.28515625" style="272" bestFit="1" customWidth="1"/>
    <col min="1486" max="1486" width="5.28515625" style="272" bestFit="1" customWidth="1"/>
    <col min="1487" max="1489" width="3.28515625" style="272" bestFit="1" customWidth="1"/>
    <col min="1490" max="1490" width="6.42578125" style="272" bestFit="1" customWidth="1"/>
    <col min="1491" max="1491" width="3.28515625" style="272" bestFit="1" customWidth="1"/>
    <col min="1492" max="1492" width="4.28515625" style="272" bestFit="1" customWidth="1"/>
    <col min="1493" max="1493" width="3.28515625" style="272" bestFit="1" customWidth="1"/>
    <col min="1494" max="1495" width="5.28515625" style="272" bestFit="1" customWidth="1"/>
    <col min="1496" max="1496" width="3.28515625" style="272" bestFit="1" customWidth="1"/>
    <col min="1497" max="1498" width="5.28515625" style="272" bestFit="1" customWidth="1"/>
    <col min="1499" max="1500" width="3.28515625" style="272" bestFit="1" customWidth="1"/>
    <col min="1501" max="1503" width="6.42578125" style="272" bestFit="1" customWidth="1"/>
    <col min="1504" max="1505" width="5.28515625" style="272" bestFit="1" customWidth="1"/>
    <col min="1506" max="1506" width="6.42578125" style="272" bestFit="1" customWidth="1"/>
    <col min="1507" max="1508" width="5.28515625" style="272" bestFit="1" customWidth="1"/>
    <col min="1509" max="1509" width="3.28515625" style="272" bestFit="1" customWidth="1"/>
    <col min="1510" max="1510" width="5.28515625" style="272" bestFit="1" customWidth="1"/>
    <col min="1511" max="1511" width="6.42578125" style="272" bestFit="1" customWidth="1"/>
    <col min="1512" max="1512" width="10.85546875" style="272" bestFit="1" customWidth="1"/>
    <col min="1513" max="1513" width="8.42578125" style="272" bestFit="1" customWidth="1"/>
    <col min="1514" max="1514" width="4.28515625" style="272" bestFit="1" customWidth="1"/>
    <col min="1515" max="1518" width="3.28515625" style="272" bestFit="1" customWidth="1"/>
    <col min="1519" max="1522" width="4.28515625" style="272" bestFit="1" customWidth="1"/>
    <col min="1523" max="1523" width="3.28515625" style="272" bestFit="1" customWidth="1"/>
    <col min="1524" max="1525" width="4.28515625" style="272" bestFit="1" customWidth="1"/>
    <col min="1526" max="1526" width="3.28515625" style="272" bestFit="1" customWidth="1"/>
    <col min="1527" max="1527" width="5.28515625" style="272" bestFit="1" customWidth="1"/>
    <col min="1528" max="1529" width="3.28515625" style="272" bestFit="1" customWidth="1"/>
    <col min="1530" max="1530" width="5.28515625" style="272" bestFit="1" customWidth="1"/>
    <col min="1531" max="1531" width="6.42578125" style="272" bestFit="1" customWidth="1"/>
    <col min="1532" max="1532" width="3.28515625" style="272" bestFit="1" customWidth="1"/>
    <col min="1533" max="1533" width="4.28515625" style="272" bestFit="1" customWidth="1"/>
    <col min="1534" max="1534" width="3.28515625" style="272" bestFit="1" customWidth="1"/>
    <col min="1535" max="1536" width="5.28515625" style="272" bestFit="1" customWidth="1"/>
    <col min="1537" max="1537" width="3.28515625" style="272" bestFit="1" customWidth="1"/>
    <col min="1538" max="1539" width="5.28515625" style="272" bestFit="1" customWidth="1"/>
    <col min="1540" max="1541" width="3.28515625" style="272" bestFit="1" customWidth="1"/>
    <col min="1542" max="1544" width="6.42578125" style="272" bestFit="1" customWidth="1"/>
    <col min="1545" max="1546" width="5.28515625" style="272" bestFit="1" customWidth="1"/>
    <col min="1547" max="1547" width="6.42578125" style="272" bestFit="1" customWidth="1"/>
    <col min="1548" max="1551" width="5.28515625" style="272" bestFit="1" customWidth="1"/>
    <col min="1552" max="1552" width="6.42578125" style="272" bestFit="1" customWidth="1"/>
    <col min="1553" max="1553" width="10.85546875" style="272" bestFit="1" customWidth="1"/>
    <col min="1554" max="1554" width="8.42578125" style="272" bestFit="1" customWidth="1"/>
    <col min="1555" max="1555" width="4.28515625" style="272" bestFit="1" customWidth="1"/>
    <col min="1556" max="1559" width="3.28515625" style="272" bestFit="1" customWidth="1"/>
    <col min="1560" max="1563" width="4.28515625" style="272" bestFit="1" customWidth="1"/>
    <col min="1564" max="1564" width="3.28515625" style="272" bestFit="1" customWidth="1"/>
    <col min="1565" max="1566" width="4.28515625" style="272" bestFit="1" customWidth="1"/>
    <col min="1567" max="1567" width="3.28515625" style="272" bestFit="1" customWidth="1"/>
    <col min="1568" max="1568" width="5.28515625" style="272" bestFit="1" customWidth="1"/>
    <col min="1569" max="1570" width="3.28515625" style="272" bestFit="1" customWidth="1"/>
    <col min="1571" max="1571" width="5.28515625" style="272" bestFit="1" customWidth="1"/>
    <col min="1572" max="1572" width="6.42578125" style="272" bestFit="1" customWidth="1"/>
    <col min="1573" max="1573" width="3.28515625" style="272" bestFit="1" customWidth="1"/>
    <col min="1574" max="1574" width="4.28515625" style="272" bestFit="1" customWidth="1"/>
    <col min="1575" max="1575" width="3.28515625" style="272" bestFit="1" customWidth="1"/>
    <col min="1576" max="1577" width="5.28515625" style="272" bestFit="1" customWidth="1"/>
    <col min="1578" max="1578" width="3.28515625" style="272" bestFit="1" customWidth="1"/>
    <col min="1579" max="1580" width="5.28515625" style="272" bestFit="1" customWidth="1"/>
    <col min="1581" max="1581" width="3.28515625" style="272" bestFit="1" customWidth="1"/>
    <col min="1582" max="1582" width="2.28515625" style="272" bestFit="1" customWidth="1"/>
    <col min="1583" max="1585" width="6.42578125" style="272" bestFit="1" customWidth="1"/>
    <col min="1586" max="1587" width="5.28515625" style="272" bestFit="1" customWidth="1"/>
    <col min="1588" max="1588" width="6.42578125" style="272" bestFit="1" customWidth="1"/>
    <col min="1589" max="1592" width="5.28515625" style="272" bestFit="1" customWidth="1"/>
    <col min="1593" max="1593" width="4.28515625" style="272" bestFit="1" customWidth="1"/>
    <col min="1594" max="1594" width="10.85546875" style="272" bestFit="1" customWidth="1"/>
    <col min="1595" max="1595" width="8.42578125" style="272" bestFit="1" customWidth="1"/>
    <col min="1596" max="1596" width="4.28515625" style="272" bestFit="1" customWidth="1"/>
    <col min="1597" max="1600" width="3.28515625" style="272" bestFit="1" customWidth="1"/>
    <col min="1601" max="1604" width="4.28515625" style="272" bestFit="1" customWidth="1"/>
    <col min="1605" max="1606" width="3.28515625" style="272" bestFit="1" customWidth="1"/>
    <col min="1607" max="1607" width="4.28515625" style="272" bestFit="1" customWidth="1"/>
    <col min="1608" max="1608" width="3.28515625" style="272" bestFit="1" customWidth="1"/>
    <col min="1609" max="1609" width="5.28515625" style="272" bestFit="1" customWidth="1"/>
    <col min="1610" max="1611" width="3.28515625" style="272" bestFit="1" customWidth="1"/>
    <col min="1612" max="1612" width="5.28515625" style="272" bestFit="1" customWidth="1"/>
    <col min="1613" max="1613" width="4.28515625" style="272" bestFit="1" customWidth="1"/>
    <col min="1614" max="1614" width="3.28515625" style="272" bestFit="1" customWidth="1"/>
    <col min="1615" max="1615" width="4.28515625" style="272" bestFit="1" customWidth="1"/>
    <col min="1616" max="1616" width="3.28515625" style="272" bestFit="1" customWidth="1"/>
    <col min="1617" max="1617" width="5.28515625" style="272" bestFit="1" customWidth="1"/>
    <col min="1618" max="1619" width="3.28515625" style="272" bestFit="1" customWidth="1"/>
    <col min="1620" max="1621" width="5.28515625" style="272" bestFit="1" customWidth="1"/>
    <col min="1622" max="1622" width="3.28515625" style="272" bestFit="1" customWidth="1"/>
    <col min="1623" max="1623" width="2.28515625" style="272" bestFit="1" customWidth="1"/>
    <col min="1624" max="1626" width="6.42578125" style="272" bestFit="1" customWidth="1"/>
    <col min="1627" max="1628" width="5.28515625" style="272" bestFit="1" customWidth="1"/>
    <col min="1629" max="1629" width="6.42578125" style="272" bestFit="1" customWidth="1"/>
    <col min="1630" max="1633" width="5.28515625" style="272" bestFit="1" customWidth="1"/>
    <col min="1634" max="1634" width="6.42578125" style="272" bestFit="1" customWidth="1"/>
    <col min="1635" max="1635" width="10.85546875" style="272" bestFit="1" customWidth="1"/>
    <col min="1636" max="1636" width="8.42578125" style="272" bestFit="1" customWidth="1"/>
    <col min="1637" max="1637" width="4.28515625" style="272" bestFit="1" customWidth="1"/>
    <col min="1638" max="1638" width="2.28515625" style="272" bestFit="1" customWidth="1"/>
    <col min="1639" max="1641" width="3.28515625" style="272" bestFit="1" customWidth="1"/>
    <col min="1642" max="1645" width="4.28515625" style="272" bestFit="1" customWidth="1"/>
    <col min="1646" max="1647" width="3.28515625" style="272" bestFit="1" customWidth="1"/>
    <col min="1648" max="1648" width="4.28515625" style="272" bestFit="1" customWidth="1"/>
    <col min="1649" max="1649" width="3.28515625" style="272" bestFit="1" customWidth="1"/>
    <col min="1650" max="1650" width="5.28515625" style="272" bestFit="1" customWidth="1"/>
    <col min="1651" max="1652" width="3.28515625" style="272" bestFit="1" customWidth="1"/>
    <col min="1653" max="1653" width="5.28515625" style="272" bestFit="1" customWidth="1"/>
    <col min="1654" max="1654" width="4.28515625" style="272" bestFit="1" customWidth="1"/>
    <col min="1655" max="1655" width="3.28515625" style="272" bestFit="1" customWidth="1"/>
    <col min="1656" max="1656" width="4.28515625" style="272" bestFit="1" customWidth="1"/>
    <col min="1657" max="1657" width="3.28515625" style="272" bestFit="1" customWidth="1"/>
    <col min="1658" max="1659" width="5.28515625" style="272" bestFit="1" customWidth="1"/>
    <col min="1660" max="1660" width="3.28515625" style="272" bestFit="1" customWidth="1"/>
    <col min="1661" max="1662" width="5.28515625" style="272" bestFit="1" customWidth="1"/>
    <col min="1663" max="1664" width="3.28515625" style="272" bestFit="1" customWidth="1"/>
    <col min="1665" max="1667" width="6.42578125" style="272" bestFit="1" customWidth="1"/>
    <col min="1668" max="1669" width="5.28515625" style="272" bestFit="1" customWidth="1"/>
    <col min="1670" max="1670" width="6.42578125" style="272" bestFit="1" customWidth="1"/>
    <col min="1671" max="1674" width="5.28515625" style="272" bestFit="1" customWidth="1"/>
    <col min="1675" max="1675" width="6.42578125" style="272" bestFit="1" customWidth="1"/>
    <col min="1676" max="1676" width="10.85546875" style="272" bestFit="1" customWidth="1"/>
    <col min="1677" max="1677" width="8.42578125" style="272" bestFit="1" customWidth="1"/>
    <col min="1678" max="1678" width="4.28515625" style="272" bestFit="1" customWidth="1"/>
    <col min="1679" max="1679" width="2.28515625" style="272" bestFit="1" customWidth="1"/>
    <col min="1680" max="1682" width="3.28515625" style="272" bestFit="1" customWidth="1"/>
    <col min="1683" max="1686" width="4.28515625" style="272" bestFit="1" customWidth="1"/>
    <col min="1687" max="1688" width="3.28515625" style="272" bestFit="1" customWidth="1"/>
    <col min="1689" max="1689" width="4.28515625" style="272" bestFit="1" customWidth="1"/>
    <col min="1690" max="1693" width="3.28515625" style="272" bestFit="1" customWidth="1"/>
    <col min="1694" max="1694" width="5.28515625" style="272" bestFit="1" customWidth="1"/>
    <col min="1695" max="1695" width="6.42578125" style="272" bestFit="1" customWidth="1"/>
    <col min="1696" max="1696" width="3.28515625" style="272" bestFit="1" customWidth="1"/>
    <col min="1697" max="1697" width="4.28515625" style="272" bestFit="1" customWidth="1"/>
    <col min="1698" max="1701" width="3.28515625" style="272" bestFit="1" customWidth="1"/>
    <col min="1702" max="1703" width="5.28515625" style="272" bestFit="1" customWidth="1"/>
    <col min="1704" max="1705" width="3.28515625" style="272" bestFit="1" customWidth="1"/>
    <col min="1706" max="1708" width="6.42578125" style="272" bestFit="1" customWidth="1"/>
    <col min="1709" max="1709" width="5.28515625" style="272" bestFit="1" customWidth="1"/>
    <col min="1710" max="1710" width="3.28515625" style="272" bestFit="1" customWidth="1"/>
    <col min="1711" max="1711" width="6.42578125" style="272" bestFit="1" customWidth="1"/>
    <col min="1712" max="1715" width="5.28515625" style="272" bestFit="1" customWidth="1"/>
    <col min="1716" max="1716" width="6.42578125" style="272" bestFit="1" customWidth="1"/>
    <col min="1717" max="1717" width="10.5703125" style="272" bestFit="1" customWidth="1"/>
    <col min="1718" max="1718" width="8.42578125" style="272" bestFit="1" customWidth="1"/>
    <col min="1719" max="1719" width="4.28515625" style="272" bestFit="1" customWidth="1"/>
    <col min="1720" max="1723" width="3.28515625" style="272" bestFit="1" customWidth="1"/>
    <col min="1724" max="1727" width="4.28515625" style="272" bestFit="1" customWidth="1"/>
    <col min="1728" max="1729" width="3.28515625" style="272" bestFit="1" customWidth="1"/>
    <col min="1730" max="1730" width="4.28515625" style="272" bestFit="1" customWidth="1"/>
    <col min="1731" max="1731" width="3.28515625" style="272" bestFit="1" customWidth="1"/>
    <col min="1732" max="1732" width="5.28515625" style="272" bestFit="1" customWidth="1"/>
    <col min="1733" max="1734" width="3.28515625" style="272" bestFit="1" customWidth="1"/>
    <col min="1735" max="1735" width="5.28515625" style="272" bestFit="1" customWidth="1"/>
    <col min="1736" max="1736" width="6.42578125" style="272" bestFit="1" customWidth="1"/>
    <col min="1737" max="1737" width="3.28515625" style="272" bestFit="1" customWidth="1"/>
    <col min="1738" max="1738" width="4.28515625" style="272" bestFit="1" customWidth="1"/>
    <col min="1739" max="1740" width="3.28515625" style="272" bestFit="1" customWidth="1"/>
    <col min="1741" max="1741" width="5.28515625" style="272" bestFit="1" customWidth="1"/>
    <col min="1742" max="1742" width="3.28515625" style="272" bestFit="1" customWidth="1"/>
    <col min="1743" max="1744" width="5.28515625" style="272" bestFit="1" customWidth="1"/>
    <col min="1745" max="1745" width="3.28515625" style="272" bestFit="1" customWidth="1"/>
    <col min="1746" max="1746" width="2.28515625" style="272" bestFit="1" customWidth="1"/>
    <col min="1747" max="1747" width="6.42578125" style="272" bestFit="1" customWidth="1"/>
    <col min="1748" max="1748" width="4.28515625" style="272" bestFit="1" customWidth="1"/>
    <col min="1749" max="1749" width="6.42578125" style="272" bestFit="1" customWidth="1"/>
    <col min="1750" max="1751" width="5.28515625" style="272" bestFit="1" customWidth="1"/>
    <col min="1752" max="1752" width="6.42578125" style="272" bestFit="1" customWidth="1"/>
    <col min="1753" max="1756" width="5.28515625" style="272" bestFit="1" customWidth="1"/>
    <col min="1757" max="1757" width="6.42578125" style="272" bestFit="1" customWidth="1"/>
    <col min="1758" max="1758" width="10.5703125" style="272" bestFit="1" customWidth="1"/>
    <col min="1759" max="1759" width="8.42578125" style="272" bestFit="1" customWidth="1"/>
    <col min="1760" max="1760" width="4.28515625" style="272" bestFit="1" customWidth="1"/>
    <col min="1761" max="1764" width="3.28515625" style="272" bestFit="1" customWidth="1"/>
    <col min="1765" max="1768" width="4.28515625" style="272" bestFit="1" customWidth="1"/>
    <col min="1769" max="1770" width="3.28515625" style="272" bestFit="1" customWidth="1"/>
    <col min="1771" max="1771" width="4.28515625" style="272" bestFit="1" customWidth="1"/>
    <col min="1772" max="1772" width="3.28515625" style="272" bestFit="1" customWidth="1"/>
    <col min="1773" max="1773" width="5.28515625" style="272" bestFit="1" customWidth="1"/>
    <col min="1774" max="1775" width="3.28515625" style="272" bestFit="1" customWidth="1"/>
    <col min="1776" max="1776" width="5.28515625" style="272" bestFit="1" customWidth="1"/>
    <col min="1777" max="1777" width="6.42578125" style="272" bestFit="1" customWidth="1"/>
    <col min="1778" max="1778" width="3.28515625" style="272" bestFit="1" customWidth="1"/>
    <col min="1779" max="1779" width="4.28515625" style="272" bestFit="1" customWidth="1"/>
    <col min="1780" max="1780" width="3.28515625" style="272" bestFit="1" customWidth="1"/>
    <col min="1781" max="1782" width="5.28515625" style="272" bestFit="1" customWidth="1"/>
    <col min="1783" max="1783" width="3.28515625" style="272" bestFit="1" customWidth="1"/>
    <col min="1784" max="1785" width="5.28515625" style="272" bestFit="1" customWidth="1"/>
    <col min="1786" max="1786" width="3.28515625" style="272" bestFit="1" customWidth="1"/>
    <col min="1787" max="1787" width="2.28515625" style="272" bestFit="1" customWidth="1"/>
    <col min="1788" max="1788" width="6.42578125" style="272" bestFit="1" customWidth="1"/>
    <col min="1789" max="1789" width="4.28515625" style="272" bestFit="1" customWidth="1"/>
    <col min="1790" max="1790" width="6.42578125" style="272" bestFit="1" customWidth="1"/>
    <col min="1791" max="1792" width="5.28515625" style="272" bestFit="1" customWidth="1"/>
    <col min="1793" max="1793" width="6.42578125" style="272" bestFit="1" customWidth="1"/>
    <col min="1794" max="1794" width="5.28515625" style="272" bestFit="1" customWidth="1"/>
    <col min="1795" max="1795" width="3.28515625" style="272" bestFit="1" customWidth="1"/>
    <col min="1796" max="1797" width="5.28515625" style="272" bestFit="1" customWidth="1"/>
    <col min="1798" max="1798" width="6.42578125" style="272" bestFit="1" customWidth="1"/>
    <col min="1799" max="1799" width="10.85546875" style="272" bestFit="1" customWidth="1"/>
    <col min="1800" max="1800" width="8.42578125" style="272" bestFit="1" customWidth="1"/>
    <col min="1801" max="1801" width="4.28515625" style="272" bestFit="1" customWidth="1"/>
    <col min="1802" max="1805" width="3.28515625" style="272" bestFit="1" customWidth="1"/>
    <col min="1806" max="1809" width="4.28515625" style="272" bestFit="1" customWidth="1"/>
    <col min="1810" max="1811" width="3.28515625" style="272" bestFit="1" customWidth="1"/>
    <col min="1812" max="1812" width="4.28515625" style="272" bestFit="1" customWidth="1"/>
    <col min="1813" max="1813" width="3.28515625" style="272" bestFit="1" customWidth="1"/>
    <col min="1814" max="1814" width="5.28515625" style="272" bestFit="1" customWidth="1"/>
    <col min="1815" max="1816" width="3.28515625" style="272" bestFit="1" customWidth="1"/>
    <col min="1817" max="1817" width="5.28515625" style="272" bestFit="1" customWidth="1"/>
    <col min="1818" max="1819" width="3.28515625" style="272" bestFit="1" customWidth="1"/>
    <col min="1820" max="1820" width="4.28515625" style="272" bestFit="1" customWidth="1"/>
    <col min="1821" max="1821" width="3.28515625" style="272" bestFit="1" customWidth="1"/>
    <col min="1822" max="1823" width="5.28515625" style="272" bestFit="1" customWidth="1"/>
    <col min="1824" max="1824" width="3.28515625" style="272" bestFit="1" customWidth="1"/>
    <col min="1825" max="1826" width="5.28515625" style="272" bestFit="1" customWidth="1"/>
    <col min="1827" max="1828" width="3.28515625" style="272" bestFit="1" customWidth="1"/>
    <col min="1829" max="1829" width="6.42578125" style="272" bestFit="1" customWidth="1"/>
    <col min="1830" max="1830" width="5.28515625" style="272" bestFit="1" customWidth="1"/>
    <col min="1831" max="1831" width="6.42578125" style="272" bestFit="1" customWidth="1"/>
    <col min="1832" max="1833" width="5.28515625" style="272" bestFit="1" customWidth="1"/>
    <col min="1834" max="1834" width="6.42578125" style="272" bestFit="1" customWidth="1"/>
    <col min="1835" max="1838" width="5.28515625" style="272" bestFit="1" customWidth="1"/>
    <col min="1839" max="1839" width="6.42578125" style="272" bestFit="1" customWidth="1"/>
    <col min="1840" max="1840" width="10.85546875" style="272" bestFit="1" customWidth="1"/>
    <col min="1841" max="1841" width="8.42578125" style="272" bestFit="1" customWidth="1"/>
    <col min="1842" max="1842" width="4.28515625" style="272" bestFit="1" customWidth="1"/>
    <col min="1843" max="1846" width="3.28515625" style="272" bestFit="1" customWidth="1"/>
    <col min="1847" max="1853" width="4.28515625" style="272" bestFit="1" customWidth="1"/>
    <col min="1854" max="1854" width="3.28515625" style="272" bestFit="1" customWidth="1"/>
    <col min="1855" max="1855" width="5.28515625" style="272" bestFit="1" customWidth="1"/>
    <col min="1856" max="1857" width="3.28515625" style="272" bestFit="1" customWidth="1"/>
    <col min="1858" max="1858" width="5.28515625" style="272" bestFit="1" customWidth="1"/>
    <col min="1859" max="1860" width="3.28515625" style="272" bestFit="1" customWidth="1"/>
    <col min="1861" max="1861" width="4.28515625" style="272" bestFit="1" customWidth="1"/>
    <col min="1862" max="1862" width="3.28515625" style="272" bestFit="1" customWidth="1"/>
    <col min="1863" max="1864" width="5.28515625" style="272" bestFit="1" customWidth="1"/>
    <col min="1865" max="1865" width="3.28515625" style="272" bestFit="1" customWidth="1"/>
    <col min="1866" max="1866" width="5.28515625" style="272" bestFit="1" customWidth="1"/>
    <col min="1867" max="1869" width="3.28515625" style="272" bestFit="1" customWidth="1"/>
    <col min="1870" max="1870" width="6.42578125" style="272" bestFit="1" customWidth="1"/>
    <col min="1871" max="1871" width="5.28515625" style="272" bestFit="1" customWidth="1"/>
    <col min="1872" max="1872" width="6.42578125" style="272" bestFit="1" customWidth="1"/>
    <col min="1873" max="1874" width="5.28515625" style="272" bestFit="1" customWidth="1"/>
    <col min="1875" max="1875" width="6.42578125" style="272" bestFit="1" customWidth="1"/>
    <col min="1876" max="1876" width="3.28515625" style="272" bestFit="1" customWidth="1"/>
    <col min="1877" max="1879" width="5.28515625" style="272" bestFit="1" customWidth="1"/>
    <col min="1880" max="1880" width="6.42578125" style="272" bestFit="1" customWidth="1"/>
    <col min="1881" max="1881" width="10.85546875" style="272" bestFit="1" customWidth="1"/>
    <col min="1882" max="1882" width="8.42578125" style="272" bestFit="1" customWidth="1"/>
    <col min="1883" max="1883" width="4.28515625" style="272" bestFit="1" customWidth="1"/>
    <col min="1884" max="1887" width="3.28515625" style="272" bestFit="1" customWidth="1"/>
    <col min="1888" max="1894" width="4.28515625" style="272" bestFit="1" customWidth="1"/>
    <col min="1895" max="1895" width="3.28515625" style="272" bestFit="1" customWidth="1"/>
    <col min="1896" max="1896" width="5.28515625" style="272" bestFit="1" customWidth="1"/>
    <col min="1897" max="1899" width="3.28515625" style="272" bestFit="1" customWidth="1"/>
    <col min="1900" max="1900" width="5.28515625" style="272" bestFit="1" customWidth="1"/>
    <col min="1901" max="1901" width="3.28515625" style="272" bestFit="1" customWidth="1"/>
    <col min="1902" max="1902" width="4.28515625" style="272" bestFit="1" customWidth="1"/>
    <col min="1903" max="1903" width="3.28515625" style="272" bestFit="1" customWidth="1"/>
    <col min="1904" max="1905" width="5.28515625" style="272" bestFit="1" customWidth="1"/>
    <col min="1906" max="1906" width="3.28515625" style="272" bestFit="1" customWidth="1"/>
    <col min="1907" max="1908" width="5.28515625" style="272" bestFit="1" customWidth="1"/>
    <col min="1909" max="1910" width="3.28515625" style="272" bestFit="1" customWidth="1"/>
    <col min="1911" max="1911" width="4.28515625" style="272" bestFit="1" customWidth="1"/>
    <col min="1912" max="1913" width="6.42578125" style="272" bestFit="1" customWidth="1"/>
    <col min="1914" max="1914" width="5.28515625" style="272" bestFit="1" customWidth="1"/>
    <col min="1915" max="1915" width="3.28515625" style="272" bestFit="1" customWidth="1"/>
    <col min="1916" max="1916" width="6.42578125" style="272" bestFit="1" customWidth="1"/>
    <col min="1917" max="1920" width="5.28515625" style="272" bestFit="1" customWidth="1"/>
    <col min="1921" max="1921" width="6.42578125" style="272" bestFit="1" customWidth="1"/>
    <col min="1922" max="1922" width="10.85546875" style="272" bestFit="1" customWidth="1"/>
    <col min="1923" max="1923" width="8.42578125" style="272" bestFit="1" customWidth="1"/>
    <col min="1924" max="1924" width="4.28515625" style="272" bestFit="1" customWidth="1"/>
    <col min="1925" max="1928" width="3.28515625" style="272" bestFit="1" customWidth="1"/>
    <col min="1929" max="1935" width="4.28515625" style="272" bestFit="1" customWidth="1"/>
    <col min="1936" max="1936" width="3.28515625" style="272" bestFit="1" customWidth="1"/>
    <col min="1937" max="1937" width="5.28515625" style="272" bestFit="1" customWidth="1"/>
    <col min="1938" max="1939" width="3.28515625" style="272" bestFit="1" customWidth="1"/>
    <col min="1940" max="1941" width="5.28515625" style="272" bestFit="1" customWidth="1"/>
    <col min="1942" max="1942" width="3.28515625" style="272" bestFit="1" customWidth="1"/>
    <col min="1943" max="1943" width="4.28515625" style="272" bestFit="1" customWidth="1"/>
    <col min="1944" max="1944" width="3.28515625" style="272" bestFit="1" customWidth="1"/>
    <col min="1945" max="1946" width="5.28515625" style="272" bestFit="1" customWidth="1"/>
    <col min="1947" max="1947" width="3.28515625" style="272" bestFit="1" customWidth="1"/>
    <col min="1948" max="1949" width="5.28515625" style="272" bestFit="1" customWidth="1"/>
    <col min="1950" max="1951" width="3.28515625" style="272" bestFit="1" customWidth="1"/>
    <col min="1952" max="1954" width="6.42578125" style="272" bestFit="1" customWidth="1"/>
    <col min="1955" max="1955" width="5.28515625" style="272" bestFit="1" customWidth="1"/>
    <col min="1956" max="1956" width="3.28515625" style="272" bestFit="1" customWidth="1"/>
    <col min="1957" max="1957" width="4.28515625" style="272" bestFit="1" customWidth="1"/>
    <col min="1958" max="1960" width="5.28515625" style="272" bestFit="1" customWidth="1"/>
    <col min="1961" max="1961" width="3.28515625" style="272" bestFit="1" customWidth="1"/>
    <col min="1962" max="1962" width="6.42578125" style="272" bestFit="1" customWidth="1"/>
    <col min="1963" max="1963" width="10.85546875" style="272" bestFit="1" customWidth="1"/>
    <col min="1964" max="1964" width="8.42578125" style="272" bestFit="1" customWidth="1"/>
    <col min="1965" max="1965" width="4.28515625" style="272" bestFit="1" customWidth="1"/>
    <col min="1966" max="1969" width="3.28515625" style="272" bestFit="1" customWidth="1"/>
    <col min="1970" max="1976" width="4.28515625" style="272" bestFit="1" customWidth="1"/>
    <col min="1977" max="1977" width="3.28515625" style="272" bestFit="1" customWidth="1"/>
    <col min="1978" max="1978" width="5.28515625" style="272" bestFit="1" customWidth="1"/>
    <col min="1979" max="1980" width="3.28515625" style="272" bestFit="1" customWidth="1"/>
    <col min="1981" max="1982" width="5.28515625" style="272" bestFit="1" customWidth="1"/>
    <col min="1983" max="1983" width="3.28515625" style="272" bestFit="1" customWidth="1"/>
    <col min="1984" max="1984" width="4.28515625" style="272" bestFit="1" customWidth="1"/>
    <col min="1985" max="1985" width="3.28515625" style="272" bestFit="1" customWidth="1"/>
    <col min="1986" max="1987" width="5.28515625" style="272" bestFit="1" customWidth="1"/>
    <col min="1988" max="1988" width="3.28515625" style="272" bestFit="1" customWidth="1"/>
    <col min="1989" max="1990" width="5.28515625" style="272" bestFit="1" customWidth="1"/>
    <col min="1991" max="1992" width="3.28515625" style="272" bestFit="1" customWidth="1"/>
    <col min="1993" max="1993" width="6.42578125" style="272" bestFit="1" customWidth="1"/>
    <col min="1994" max="1994" width="5.28515625" style="272" bestFit="1" customWidth="1"/>
    <col min="1995" max="1995" width="6.42578125" style="272" bestFit="1" customWidth="1"/>
    <col min="1996" max="1997" width="5.28515625" style="272" bestFit="1" customWidth="1"/>
    <col min="1998" max="1998" width="6.42578125" style="272" bestFit="1" customWidth="1"/>
    <col min="1999" max="1999" width="3.28515625" style="272" bestFit="1" customWidth="1"/>
    <col min="2000" max="2002" width="5.28515625" style="272" bestFit="1" customWidth="1"/>
    <col min="2003" max="2003" width="6.42578125" style="272" bestFit="1" customWidth="1"/>
    <col min="2004" max="2004" width="10.85546875" style="272" bestFit="1" customWidth="1"/>
    <col min="2005" max="2005" width="8.42578125" style="272" bestFit="1" customWidth="1"/>
    <col min="2006" max="2006" width="4.28515625" style="272" bestFit="1" customWidth="1"/>
    <col min="2007" max="2010" width="3.28515625" style="272" bestFit="1" customWidth="1"/>
    <col min="2011" max="2014" width="4.28515625" style="272" bestFit="1" customWidth="1"/>
    <col min="2015" max="2015" width="3.28515625" style="272" bestFit="1" customWidth="1"/>
    <col min="2016" max="2017" width="4.28515625" style="272" bestFit="1" customWidth="1"/>
    <col min="2018" max="2018" width="3.28515625" style="272" bestFit="1" customWidth="1"/>
    <col min="2019" max="2019" width="5.28515625" style="272" bestFit="1" customWidth="1"/>
    <col min="2020" max="2021" width="3.28515625" style="272" bestFit="1" customWidth="1"/>
    <col min="2022" max="2023" width="5.28515625" style="272" bestFit="1" customWidth="1"/>
    <col min="2024" max="2024" width="3.28515625" style="272" bestFit="1" customWidth="1"/>
    <col min="2025" max="2025" width="4.28515625" style="272" bestFit="1" customWidth="1"/>
    <col min="2026" max="2026" width="3.28515625" style="272" bestFit="1" customWidth="1"/>
    <col min="2027" max="2028" width="5.28515625" style="272" bestFit="1" customWidth="1"/>
    <col min="2029" max="2029" width="3.28515625" style="272" bestFit="1" customWidth="1"/>
    <col min="2030" max="2031" width="5.28515625" style="272" bestFit="1" customWidth="1"/>
    <col min="2032" max="2032" width="3.28515625" style="272" bestFit="1" customWidth="1"/>
    <col min="2033" max="2033" width="2.28515625" style="272" bestFit="1" customWidth="1"/>
    <col min="2034" max="2034" width="6.42578125" style="272" bestFit="1" customWidth="1"/>
    <col min="2035" max="2035" width="3.28515625" style="272" bestFit="1" customWidth="1"/>
    <col min="2036" max="2036" width="6.42578125" style="272" bestFit="1" customWidth="1"/>
    <col min="2037" max="2037" width="3.28515625" style="272" bestFit="1" customWidth="1"/>
    <col min="2038" max="2038" width="5.28515625" style="272" bestFit="1" customWidth="1"/>
    <col min="2039" max="2039" width="6.42578125" style="272" bestFit="1" customWidth="1"/>
    <col min="2040" max="2041" width="5.28515625" style="272" bestFit="1" customWidth="1"/>
    <col min="2042" max="2042" width="3.28515625" style="272" bestFit="1" customWidth="1"/>
    <col min="2043" max="2043" width="5.28515625" style="272" bestFit="1" customWidth="1"/>
    <col min="2044" max="2044" width="6.42578125" style="272" bestFit="1" customWidth="1"/>
    <col min="2045" max="2045" width="10.85546875" style="272" bestFit="1" customWidth="1"/>
    <col min="2046" max="2046" width="8.42578125" style="272" bestFit="1" customWidth="1"/>
    <col min="2047" max="2047" width="4.28515625" style="272" bestFit="1" customWidth="1"/>
    <col min="2048" max="2051" width="3.28515625" style="272" bestFit="1" customWidth="1"/>
    <col min="2052" max="2055" width="4.28515625" style="272" bestFit="1" customWidth="1"/>
    <col min="2056" max="2056" width="3.28515625" style="272" bestFit="1" customWidth="1"/>
    <col min="2057" max="2058" width="4.28515625" style="272" bestFit="1" customWidth="1"/>
    <col min="2059" max="2059" width="3.28515625" style="272" bestFit="1" customWidth="1"/>
    <col min="2060" max="2060" width="5.28515625" style="272" bestFit="1" customWidth="1"/>
    <col min="2061" max="2062" width="3.28515625" style="272" bestFit="1" customWidth="1"/>
    <col min="2063" max="2063" width="5.28515625" style="272" bestFit="1" customWidth="1"/>
    <col min="2064" max="2065" width="3.28515625" style="272" bestFit="1" customWidth="1"/>
    <col min="2066" max="2066" width="4.28515625" style="272" bestFit="1" customWidth="1"/>
    <col min="2067" max="2067" width="3.28515625" style="272" bestFit="1" customWidth="1"/>
    <col min="2068" max="2069" width="5.28515625" style="272" bestFit="1" customWidth="1"/>
    <col min="2070" max="2070" width="3.28515625" style="272" bestFit="1" customWidth="1"/>
    <col min="2071" max="2072" width="5.28515625" style="272" bestFit="1" customWidth="1"/>
    <col min="2073" max="2073" width="3.28515625" style="272" bestFit="1" customWidth="1"/>
    <col min="2074" max="2074" width="2.28515625" style="272" bestFit="1" customWidth="1"/>
    <col min="2075" max="2075" width="6.42578125" style="272" bestFit="1" customWidth="1"/>
    <col min="2076" max="2076" width="3.28515625" style="272" bestFit="1" customWidth="1"/>
    <col min="2077" max="2077" width="4.28515625" style="272" bestFit="1" customWidth="1"/>
    <col min="2078" max="2079" width="5.28515625" style="272" bestFit="1" customWidth="1"/>
    <col min="2080" max="2080" width="6.42578125" style="272" bestFit="1" customWidth="1"/>
    <col min="2081" max="2084" width="5.28515625" style="272" bestFit="1" customWidth="1"/>
    <col min="2085" max="2085" width="6.42578125" style="272" bestFit="1" customWidth="1"/>
    <col min="2086" max="2086" width="10.85546875" style="272" bestFit="1" customWidth="1"/>
    <col min="2087" max="2087" width="8.42578125" style="272" bestFit="1" customWidth="1"/>
    <col min="2088" max="2088" width="4.28515625" style="272" bestFit="1" customWidth="1"/>
    <col min="2089" max="2092" width="3.28515625" style="272" bestFit="1" customWidth="1"/>
    <col min="2093" max="2096" width="4.28515625" style="272" bestFit="1" customWidth="1"/>
    <col min="2097" max="2097" width="3.28515625" style="272" bestFit="1" customWidth="1"/>
    <col min="2098" max="2099" width="4.28515625" style="272" bestFit="1" customWidth="1"/>
    <col min="2100" max="2100" width="3.28515625" style="272" bestFit="1" customWidth="1"/>
    <col min="2101" max="2101" width="5.28515625" style="272" bestFit="1" customWidth="1"/>
    <col min="2102" max="2103" width="3.28515625" style="272" bestFit="1" customWidth="1"/>
    <col min="2104" max="2105" width="5.28515625" style="272" bestFit="1" customWidth="1"/>
    <col min="2106" max="2106" width="3.28515625" style="272" bestFit="1" customWidth="1"/>
    <col min="2107" max="2107" width="4.28515625" style="272" bestFit="1" customWidth="1"/>
    <col min="2108" max="2108" width="3.28515625" style="272" bestFit="1" customWidth="1"/>
    <col min="2109" max="2110" width="5.28515625" style="272" bestFit="1" customWidth="1"/>
    <col min="2111" max="2111" width="3.28515625" style="272" bestFit="1" customWidth="1"/>
    <col min="2112" max="2113" width="5.28515625" style="272" bestFit="1" customWidth="1"/>
    <col min="2114" max="2115" width="3.28515625" style="272" bestFit="1" customWidth="1"/>
    <col min="2116" max="2116" width="6.42578125" style="272" bestFit="1" customWidth="1"/>
    <col min="2117" max="2117" width="5.28515625" style="272" bestFit="1" customWidth="1"/>
    <col min="2118" max="2118" width="6.42578125" style="272" bestFit="1" customWidth="1"/>
    <col min="2119" max="2119" width="5.28515625" style="272" bestFit="1" customWidth="1"/>
    <col min="2120" max="2120" width="3.28515625" style="272" bestFit="1" customWidth="1"/>
    <col min="2121" max="2121" width="6.42578125" style="272" bestFit="1" customWidth="1"/>
    <col min="2122" max="2122" width="5.28515625" style="272" bestFit="1" customWidth="1"/>
    <col min="2123" max="2123" width="3.28515625" style="272" bestFit="1" customWidth="1"/>
    <col min="2124" max="2125" width="5.28515625" style="272" bestFit="1" customWidth="1"/>
    <col min="2126" max="2126" width="6.42578125" style="272" bestFit="1" customWidth="1"/>
    <col min="2127" max="2127" width="10.5703125" style="272" bestFit="1" customWidth="1"/>
    <col min="2128" max="2128" width="8.42578125" style="272" bestFit="1" customWidth="1"/>
    <col min="2129" max="2129" width="4.28515625" style="272" bestFit="1" customWidth="1"/>
    <col min="2130" max="2133" width="3.28515625" style="272" bestFit="1" customWidth="1"/>
    <col min="2134" max="2137" width="4.28515625" style="272" bestFit="1" customWidth="1"/>
    <col min="2138" max="2138" width="3.28515625" style="272" bestFit="1" customWidth="1"/>
    <col min="2139" max="2140" width="4.28515625" style="272" bestFit="1" customWidth="1"/>
    <col min="2141" max="2141" width="3.28515625" style="272" bestFit="1" customWidth="1"/>
    <col min="2142" max="2142" width="5.28515625" style="272" bestFit="1" customWidth="1"/>
    <col min="2143" max="2144" width="3.28515625" style="272" bestFit="1" customWidth="1"/>
    <col min="2145" max="2147" width="5.28515625" style="272" bestFit="1" customWidth="1"/>
    <col min="2148" max="2148" width="6.42578125" style="272" bestFit="1" customWidth="1"/>
    <col min="2149" max="2151" width="5.28515625" style="272" bestFit="1" customWidth="1"/>
    <col min="2152" max="2153" width="3.28515625" style="272" bestFit="1" customWidth="1"/>
    <col min="2154" max="2154" width="5.28515625" style="272" bestFit="1" customWidth="1"/>
    <col min="2155" max="2155" width="3.28515625" style="272" bestFit="1" customWidth="1"/>
    <col min="2156" max="2156" width="2.28515625" style="272" bestFit="1" customWidth="1"/>
    <col min="2157" max="2157" width="6.42578125" style="272" bestFit="1" customWidth="1"/>
    <col min="2158" max="2158" width="5.28515625" style="272" bestFit="1" customWidth="1"/>
    <col min="2159" max="2159" width="6.42578125" style="272" bestFit="1" customWidth="1"/>
    <col min="2160" max="2161" width="5.28515625" style="272" bestFit="1" customWidth="1"/>
    <col min="2162" max="2162" width="6.42578125" style="272" bestFit="1" customWidth="1"/>
    <col min="2163" max="2163" width="5.28515625" style="272" bestFit="1" customWidth="1"/>
    <col min="2164" max="2164" width="3.28515625" style="272" bestFit="1" customWidth="1"/>
    <col min="2165" max="2166" width="5.28515625" style="272" bestFit="1" customWidth="1"/>
    <col min="2167" max="2167" width="4.28515625" style="272" bestFit="1" customWidth="1"/>
    <col min="2168" max="2168" width="10.28515625" style="272" bestFit="1" customWidth="1"/>
    <col min="2169" max="2169" width="8.42578125" style="272" bestFit="1" customWidth="1"/>
    <col min="2170" max="2170" width="4.28515625" style="272" bestFit="1" customWidth="1"/>
    <col min="2171" max="2174" width="3.28515625" style="272" bestFit="1" customWidth="1"/>
    <col min="2175" max="2178" width="4.28515625" style="272" bestFit="1" customWidth="1"/>
    <col min="2179" max="2179" width="3.28515625" style="272" bestFit="1" customWidth="1"/>
    <col min="2180" max="2181" width="4.28515625" style="272" bestFit="1" customWidth="1"/>
    <col min="2182" max="2182" width="3.28515625" style="272" bestFit="1" customWidth="1"/>
    <col min="2183" max="2183" width="5.28515625" style="272" bestFit="1" customWidth="1"/>
    <col min="2184" max="2185" width="3.28515625" style="272" bestFit="1" customWidth="1"/>
    <col min="2186" max="2188" width="5.28515625" style="272" bestFit="1" customWidth="1"/>
    <col min="2189" max="2189" width="4.28515625" style="272" bestFit="1" customWidth="1"/>
    <col min="2190" max="2190" width="5.28515625" style="272" bestFit="1" customWidth="1"/>
    <col min="2191" max="2191" width="3.28515625" style="272" bestFit="1" customWidth="1"/>
    <col min="2192" max="2192" width="5.28515625" style="272" bestFit="1" customWidth="1"/>
    <col min="2193" max="2193" width="3.28515625" style="272" bestFit="1" customWidth="1"/>
    <col min="2194" max="2195" width="5.28515625" style="272" bestFit="1" customWidth="1"/>
    <col min="2196" max="2196" width="3.28515625" style="272" bestFit="1" customWidth="1"/>
    <col min="2197" max="2197" width="2.28515625" style="272" bestFit="1" customWidth="1"/>
    <col min="2198" max="2198" width="6.42578125" style="272" bestFit="1" customWidth="1"/>
    <col min="2199" max="2199" width="5.28515625" style="272" bestFit="1" customWidth="1"/>
    <col min="2200" max="2200" width="4.28515625" style="272" bestFit="1" customWidth="1"/>
    <col min="2201" max="2201" width="5.28515625" style="272" bestFit="1" customWidth="1"/>
    <col min="2202" max="2202" width="3.28515625" style="272" bestFit="1" customWidth="1"/>
    <col min="2203" max="2203" width="6.42578125" style="272" bestFit="1" customWidth="1"/>
    <col min="2204" max="2206" width="5.28515625" style="272" bestFit="1" customWidth="1"/>
    <col min="2207" max="2207" width="3.28515625" style="272" bestFit="1" customWidth="1"/>
    <col min="2208" max="2208" width="6.42578125" style="272" bestFit="1" customWidth="1"/>
    <col min="2209" max="2209" width="10.5703125" style="272" bestFit="1" customWidth="1"/>
    <col min="2210" max="2210" width="8.42578125" style="272" bestFit="1" customWidth="1"/>
    <col min="2211" max="2211" width="4.28515625" style="272" bestFit="1" customWidth="1"/>
    <col min="2212" max="2215" width="3.28515625" style="272" bestFit="1" customWidth="1"/>
    <col min="2216" max="2222" width="4.28515625" style="272" bestFit="1" customWidth="1"/>
    <col min="2223" max="2226" width="3.28515625" style="272" bestFit="1" customWidth="1"/>
    <col min="2227" max="2227" width="5.28515625" style="272" bestFit="1" customWidth="1"/>
    <col min="2228" max="2228" width="3.28515625" style="272" bestFit="1" customWidth="1"/>
    <col min="2229" max="2229" width="5.28515625" style="272" bestFit="1" customWidth="1"/>
    <col min="2230" max="2230" width="6.42578125" style="272" bestFit="1" customWidth="1"/>
    <col min="2231" max="2233" width="5.28515625" style="272" bestFit="1" customWidth="1"/>
    <col min="2234" max="2234" width="3.28515625" style="272" bestFit="1" customWidth="1"/>
    <col min="2235" max="2236" width="5.28515625" style="272" bestFit="1" customWidth="1"/>
    <col min="2237" max="2237" width="3.28515625" style="272" bestFit="1" customWidth="1"/>
    <col min="2238" max="2238" width="2.28515625" style="272" bestFit="1" customWidth="1"/>
    <col min="2239" max="2239" width="6.42578125" style="272" bestFit="1" customWidth="1"/>
    <col min="2240" max="2240" width="5.28515625" style="272" bestFit="1" customWidth="1"/>
    <col min="2241" max="2241" width="4.28515625" style="272" bestFit="1" customWidth="1"/>
    <col min="2242" max="2248" width="5.28515625" style="272" bestFit="1" customWidth="1"/>
    <col min="2249" max="2249" width="6.42578125" style="272" bestFit="1" customWidth="1"/>
    <col min="2250" max="2250" width="10.5703125" style="272" bestFit="1" customWidth="1"/>
    <col min="2251" max="2251" width="8.42578125" style="272" bestFit="1" customWidth="1"/>
    <col min="2252" max="2252" width="4.28515625" style="272" bestFit="1" customWidth="1"/>
    <col min="2253" max="2256" width="3.28515625" style="272" bestFit="1" customWidth="1"/>
    <col min="2257" max="2263" width="4.28515625" style="272" bestFit="1" customWidth="1"/>
    <col min="2264" max="2264" width="3.28515625" style="272" bestFit="1" customWidth="1"/>
    <col min="2265" max="2265" width="5.28515625" style="272" bestFit="1" customWidth="1"/>
    <col min="2266" max="2267" width="3.28515625" style="272" bestFit="1" customWidth="1"/>
    <col min="2268" max="2270" width="5.28515625" style="272" bestFit="1" customWidth="1"/>
    <col min="2271" max="2271" width="6.42578125" style="272" bestFit="1" customWidth="1"/>
    <col min="2272" max="2273" width="5.28515625" style="272" bestFit="1" customWidth="1"/>
    <col min="2274" max="2275" width="3.28515625" style="272" bestFit="1" customWidth="1"/>
    <col min="2276" max="2277" width="5.28515625" style="272" bestFit="1" customWidth="1"/>
    <col min="2278" max="2278" width="3.28515625" style="272" bestFit="1" customWidth="1"/>
    <col min="2279" max="2279" width="2.28515625" style="272" bestFit="1" customWidth="1"/>
    <col min="2280" max="2280" width="6.42578125" style="272" bestFit="1" customWidth="1"/>
    <col min="2281" max="2281" width="3.28515625" style="272" bestFit="1" customWidth="1"/>
    <col min="2282" max="2282" width="6.42578125" style="272" bestFit="1" customWidth="1"/>
    <col min="2283" max="2289" width="5.28515625" style="272" bestFit="1" customWidth="1"/>
    <col min="2290" max="2290" width="6.42578125" style="272" bestFit="1" customWidth="1"/>
    <col min="2291" max="2291" width="10.5703125" style="272" bestFit="1" customWidth="1"/>
    <col min="2292" max="2292" width="8.42578125" style="272" bestFit="1" customWidth="1"/>
    <col min="2293" max="2293" width="4.28515625" style="272" bestFit="1" customWidth="1"/>
    <col min="2294" max="2297" width="3.28515625" style="272" bestFit="1" customWidth="1"/>
    <col min="2298" max="2304" width="4.28515625" style="272" bestFit="1" customWidth="1"/>
    <col min="2305" max="2305" width="3.28515625" style="272" bestFit="1" customWidth="1"/>
    <col min="2306" max="2306" width="5.28515625" style="272" bestFit="1" customWidth="1"/>
    <col min="2307" max="2308" width="3.28515625" style="272" bestFit="1" customWidth="1"/>
    <col min="2309" max="2311" width="5.28515625" style="272" bestFit="1" customWidth="1"/>
    <col min="2312" max="2312" width="6.42578125" style="272" bestFit="1" customWidth="1"/>
    <col min="2313" max="2313" width="3.28515625" style="272" bestFit="1" customWidth="1"/>
    <col min="2314" max="2315" width="5.28515625" style="272" bestFit="1" customWidth="1"/>
    <col min="2316" max="2316" width="3.28515625" style="272" bestFit="1" customWidth="1"/>
    <col min="2317" max="2318" width="5.28515625" style="272" bestFit="1" customWidth="1"/>
    <col min="2319" max="2319" width="3.28515625" style="272" bestFit="1" customWidth="1"/>
    <col min="2320" max="2320" width="2.28515625" style="272" bestFit="1" customWidth="1"/>
    <col min="2321" max="2321" width="6.42578125" style="272" bestFit="1" customWidth="1"/>
    <col min="2322" max="2322" width="5.28515625" style="272" bestFit="1" customWidth="1"/>
    <col min="2323" max="2323" width="6.42578125" style="272" bestFit="1" customWidth="1"/>
    <col min="2324" max="2328" width="5.28515625" style="272" bestFit="1" customWidth="1"/>
    <col min="2329" max="2329" width="3.28515625" style="272" bestFit="1" customWidth="1"/>
    <col min="2330" max="2330" width="5.28515625" style="272" bestFit="1" customWidth="1"/>
    <col min="2331" max="2331" width="6.42578125" style="272" bestFit="1" customWidth="1"/>
    <col min="2332" max="2332" width="10.5703125" style="272" bestFit="1" customWidth="1"/>
    <col min="2333" max="2333" width="8.42578125" style="272" bestFit="1" customWidth="1"/>
    <col min="2334" max="2334" width="4.28515625" style="272" bestFit="1" customWidth="1"/>
    <col min="2335" max="2338" width="3.28515625" style="272" bestFit="1" customWidth="1"/>
    <col min="2339" max="2345" width="4.28515625" style="272" bestFit="1" customWidth="1"/>
    <col min="2346" max="2346" width="3.28515625" style="272" bestFit="1" customWidth="1"/>
    <col min="2347" max="2347" width="5.28515625" style="272" bestFit="1" customWidth="1"/>
    <col min="2348" max="2350" width="3.28515625" style="272" bestFit="1" customWidth="1"/>
    <col min="2351" max="2352" width="5.28515625" style="272" bestFit="1" customWidth="1"/>
    <col min="2353" max="2353" width="6.42578125" style="272" bestFit="1" customWidth="1"/>
    <col min="2354" max="2356" width="5.28515625" style="272" bestFit="1" customWidth="1"/>
    <col min="2357" max="2357" width="3.28515625" style="272" bestFit="1" customWidth="1"/>
    <col min="2358" max="2359" width="5.28515625" style="272" bestFit="1" customWidth="1"/>
    <col min="2360" max="2360" width="3.28515625" style="272" bestFit="1" customWidth="1"/>
    <col min="2361" max="2361" width="2.28515625" style="272" bestFit="1" customWidth="1"/>
    <col min="2362" max="2362" width="6.42578125" style="272" bestFit="1" customWidth="1"/>
    <col min="2363" max="2363" width="5.28515625" style="272" bestFit="1" customWidth="1"/>
    <col min="2364" max="2364" width="4.28515625" style="272" bestFit="1" customWidth="1"/>
    <col min="2365" max="2366" width="5.28515625" style="272" bestFit="1" customWidth="1"/>
    <col min="2367" max="2367" width="4.28515625" style="272" bestFit="1" customWidth="1"/>
    <col min="2368" max="2371" width="5.28515625" style="272" bestFit="1" customWidth="1"/>
    <col min="2372" max="2372" width="6.42578125" style="272" bestFit="1" customWidth="1"/>
    <col min="2373" max="2373" width="10.5703125" style="272" bestFit="1" customWidth="1"/>
    <col min="2374" max="2374" width="8.42578125" style="272" bestFit="1" customWidth="1"/>
    <col min="2375" max="2375" width="6.42578125" style="272" bestFit="1" customWidth="1"/>
    <col min="2376" max="2376" width="5.28515625" style="272" bestFit="1" customWidth="1"/>
    <col min="2377" max="2377" width="3.28515625" style="272" bestFit="1" customWidth="1"/>
    <col min="2378" max="2379" width="5.28515625" style="272" bestFit="1" customWidth="1"/>
    <col min="2380" max="2382" width="6.42578125" style="272" bestFit="1" customWidth="1"/>
    <col min="2383" max="2383" width="7.42578125" style="272" bestFit="1" customWidth="1"/>
    <col min="2384" max="2384" width="3.28515625" style="272" bestFit="1" customWidth="1"/>
    <col min="2385" max="2385" width="6.42578125" style="272" bestFit="1" customWidth="1"/>
    <col min="2386" max="2386" width="5.28515625" style="272" bestFit="1" customWidth="1"/>
    <col min="2387" max="2388" width="6.42578125" style="272" bestFit="1" customWidth="1"/>
    <col min="2389" max="2389" width="5.28515625" style="272" bestFit="1" customWidth="1"/>
    <col min="2390" max="2390" width="6.42578125" style="272" bestFit="1" customWidth="1"/>
    <col min="2391" max="2391" width="7.42578125" style="272" bestFit="1" customWidth="1"/>
    <col min="2392" max="2394" width="6.42578125" style="272" bestFit="1" customWidth="1"/>
    <col min="2395" max="2395" width="3.28515625" style="272" bestFit="1" customWidth="1"/>
    <col min="2396" max="2399" width="6.42578125" style="272" bestFit="1" customWidth="1"/>
    <col min="2400" max="2400" width="7.42578125" style="272" bestFit="1" customWidth="1"/>
    <col min="2401" max="2401" width="6.42578125" style="272" bestFit="1" customWidth="1"/>
    <col min="2402" max="2402" width="7.42578125" style="272" bestFit="1" customWidth="1"/>
    <col min="2403" max="2404" width="6.42578125" style="272" bestFit="1" customWidth="1"/>
    <col min="2405" max="2405" width="7.42578125" style="272" bestFit="1" customWidth="1"/>
    <col min="2406" max="2407" width="6.42578125" style="272" bestFit="1" customWidth="1"/>
    <col min="2408" max="2408" width="5.28515625" style="272" bestFit="1" customWidth="1"/>
    <col min="2409" max="2409" width="6.42578125" style="272" bestFit="1" customWidth="1"/>
    <col min="2410" max="2410" width="7.42578125" style="272" bestFit="1" customWidth="1"/>
    <col min="2411" max="2411" width="10.5703125" style="272" bestFit="1" customWidth="1"/>
    <col min="2412" max="2412" width="8.42578125" style="272" bestFit="1" customWidth="1"/>
    <col min="2413" max="2413" width="6.42578125" style="272" bestFit="1" customWidth="1"/>
    <col min="2414" max="2417" width="5.28515625" style="272" bestFit="1" customWidth="1"/>
    <col min="2418" max="2418" width="4.28515625" style="272" bestFit="1" customWidth="1"/>
    <col min="2419" max="2420" width="6.42578125" style="272" bestFit="1" customWidth="1"/>
    <col min="2421" max="2421" width="7.42578125" style="272" bestFit="1" customWidth="1"/>
    <col min="2422" max="2428" width="6.42578125" style="272" bestFit="1" customWidth="1"/>
    <col min="2429" max="2429" width="7.42578125" style="272" bestFit="1" customWidth="1"/>
    <col min="2430" max="2437" width="6.42578125" style="272" bestFit="1" customWidth="1"/>
    <col min="2438" max="2438" width="7.42578125" style="272" bestFit="1" customWidth="1"/>
    <col min="2439" max="2439" width="6.42578125" style="272" bestFit="1" customWidth="1"/>
    <col min="2440" max="2440" width="7.42578125" style="272" bestFit="1" customWidth="1"/>
    <col min="2441" max="2441" width="6.42578125" style="272" bestFit="1" customWidth="1"/>
    <col min="2442" max="2443" width="7.42578125" style="272" bestFit="1" customWidth="1"/>
    <col min="2444" max="2444" width="5.28515625" style="272" bestFit="1" customWidth="1"/>
    <col min="2445" max="2445" width="6.42578125" style="272" bestFit="1" customWidth="1"/>
    <col min="2446" max="2446" width="7.42578125" style="272" bestFit="1" customWidth="1"/>
    <col min="2447" max="2447" width="6.42578125" style="272" bestFit="1" customWidth="1"/>
    <col min="2448" max="2448" width="7.42578125" style="272" bestFit="1" customWidth="1"/>
    <col min="2449" max="2449" width="10.5703125" style="272" bestFit="1" customWidth="1"/>
    <col min="2450" max="2450" width="8.42578125" style="272" bestFit="1" customWidth="1"/>
    <col min="2451" max="2451" width="6.42578125" style="272" bestFit="1" customWidth="1"/>
    <col min="2452" max="2455" width="5.28515625" style="272" bestFit="1" customWidth="1"/>
    <col min="2456" max="2466" width="6.42578125" style="272" bestFit="1" customWidth="1"/>
    <col min="2467" max="2467" width="7.42578125" style="272" bestFit="1" customWidth="1"/>
    <col min="2468" max="2469" width="5.28515625" style="272" bestFit="1" customWidth="1"/>
    <col min="2470" max="2475" width="6.42578125" style="272" bestFit="1" customWidth="1"/>
    <col min="2476" max="2478" width="7.42578125" style="272" bestFit="1" customWidth="1"/>
    <col min="2479" max="2479" width="6.42578125" style="272" bestFit="1" customWidth="1"/>
    <col min="2480" max="2481" width="7.42578125" style="272" bestFit="1" customWidth="1"/>
    <col min="2482" max="2483" width="6.42578125" style="272" bestFit="1" customWidth="1"/>
    <col min="2484" max="2484" width="7.42578125" style="272" bestFit="1" customWidth="1"/>
    <col min="2485" max="2485" width="6.42578125" style="272" bestFit="1" customWidth="1"/>
    <col min="2486" max="2486" width="7.42578125" style="272" bestFit="1" customWidth="1"/>
    <col min="2487" max="2487" width="10.5703125" style="272" bestFit="1" customWidth="1"/>
    <col min="2488" max="2488" width="8.42578125" style="272" bestFit="1" customWidth="1"/>
    <col min="2489" max="2489" width="6.42578125" style="272" bestFit="1" customWidth="1"/>
    <col min="2490" max="2493" width="5.28515625" style="272" bestFit="1" customWidth="1"/>
    <col min="2494" max="2496" width="6.42578125" style="272" bestFit="1" customWidth="1"/>
    <col min="2497" max="2497" width="7.42578125" style="272" bestFit="1" customWidth="1"/>
    <col min="2498" max="2499" width="6.42578125" style="272" bestFit="1" customWidth="1"/>
    <col min="2500" max="2500" width="3.28515625" style="272" bestFit="1" customWidth="1"/>
    <col min="2501" max="2504" width="6.42578125" style="272" bestFit="1" customWidth="1"/>
    <col min="2505" max="2505" width="7.42578125" style="272" bestFit="1" customWidth="1"/>
    <col min="2506" max="2510" width="6.42578125" style="272" bestFit="1" customWidth="1"/>
    <col min="2511" max="2511" width="5.28515625" style="272" bestFit="1" customWidth="1"/>
    <col min="2512" max="2513" width="6.42578125" style="272" bestFit="1" customWidth="1"/>
    <col min="2514" max="2514" width="4.28515625" style="272" bestFit="1" customWidth="1"/>
    <col min="2515" max="2516" width="7.42578125" style="272" bestFit="1" customWidth="1"/>
    <col min="2517" max="2517" width="6.42578125" style="272" bestFit="1" customWidth="1"/>
    <col min="2518" max="2519" width="7.42578125" style="272" bestFit="1" customWidth="1"/>
    <col min="2520" max="2521" width="6.42578125" style="272" bestFit="1" customWidth="1"/>
    <col min="2522" max="2522" width="7.42578125" style="272" bestFit="1" customWidth="1"/>
    <col min="2523" max="2523" width="6.42578125" style="272" bestFit="1" customWidth="1"/>
    <col min="2524" max="2524" width="7.42578125" style="272" bestFit="1" customWidth="1"/>
    <col min="2525" max="2525" width="10.85546875" style="272" bestFit="1" customWidth="1"/>
    <col min="2526" max="2526" width="8.42578125" style="272" bestFit="1" customWidth="1"/>
    <col min="2527" max="2527" width="6.42578125" style="272" bestFit="1" customWidth="1"/>
    <col min="2528" max="2529" width="5.28515625" style="272" bestFit="1" customWidth="1"/>
    <col min="2530" max="2531" width="6.42578125" style="272" bestFit="1" customWidth="1"/>
    <col min="2532" max="2532" width="5.28515625" style="272" bestFit="1" customWidth="1"/>
    <col min="2533" max="2533" width="7.42578125" style="272" bestFit="1" customWidth="1"/>
    <col min="2534" max="2534" width="6.42578125" style="272" bestFit="1" customWidth="1"/>
    <col min="2535" max="2535" width="7.42578125" style="272" bestFit="1" customWidth="1"/>
    <col min="2536" max="2539" width="6.42578125" style="272" bestFit="1" customWidth="1"/>
    <col min="2540" max="2540" width="5.28515625" style="272" bestFit="1" customWidth="1"/>
    <col min="2541" max="2551" width="6.42578125" style="272" bestFit="1" customWidth="1"/>
    <col min="2552" max="2554" width="7.42578125" style="272" bestFit="1" customWidth="1"/>
    <col min="2555" max="2555" width="6.42578125" style="272" bestFit="1" customWidth="1"/>
    <col min="2556" max="2557" width="7.42578125" style="272" bestFit="1" customWidth="1"/>
    <col min="2558" max="2559" width="6.42578125" style="272" bestFit="1" customWidth="1"/>
    <col min="2560" max="2560" width="7.42578125" style="272" bestFit="1" customWidth="1"/>
    <col min="2561" max="2561" width="6.42578125" style="272" bestFit="1" customWidth="1"/>
    <col min="2562" max="2562" width="7.42578125" style="272" bestFit="1" customWidth="1"/>
    <col min="2563" max="2563" width="10.5703125" style="272" bestFit="1" customWidth="1"/>
    <col min="2564" max="2564" width="8.42578125" style="272" bestFit="1" customWidth="1"/>
    <col min="2565" max="2565" width="6.42578125" style="272" bestFit="1" customWidth="1"/>
    <col min="2566" max="2567" width="5.28515625" style="272" bestFit="1" customWidth="1"/>
    <col min="2568" max="2568" width="6.42578125" style="272" bestFit="1" customWidth="1"/>
    <col min="2569" max="2569" width="5.28515625" style="272" bestFit="1" customWidth="1"/>
    <col min="2570" max="2570" width="7.42578125" style="272" bestFit="1" customWidth="1"/>
    <col min="2571" max="2572" width="6.42578125" style="272" bestFit="1" customWidth="1"/>
    <col min="2573" max="2573" width="7.42578125" style="272" bestFit="1" customWidth="1"/>
    <col min="2574" max="2575" width="6.42578125" style="272" bestFit="1" customWidth="1"/>
    <col min="2576" max="2576" width="5.28515625" style="272" bestFit="1" customWidth="1"/>
    <col min="2577" max="2580" width="6.42578125" style="272" bestFit="1" customWidth="1"/>
    <col min="2581" max="2581" width="7.42578125" style="272" bestFit="1" customWidth="1"/>
    <col min="2582" max="2589" width="6.42578125" style="272" bestFit="1" customWidth="1"/>
    <col min="2590" max="2592" width="7.42578125" style="272" bestFit="1" customWidth="1"/>
    <col min="2593" max="2593" width="6.42578125" style="272" bestFit="1" customWidth="1"/>
    <col min="2594" max="2594" width="7.42578125" style="272" bestFit="1" customWidth="1"/>
    <col min="2595" max="2597" width="6.42578125" style="272" bestFit="1" customWidth="1"/>
    <col min="2598" max="2598" width="7.42578125" style="272" bestFit="1" customWidth="1"/>
    <col min="2599" max="2600" width="6.42578125" style="272" bestFit="1" customWidth="1"/>
    <col min="2601" max="2601" width="10.85546875" style="272" bestFit="1" customWidth="1"/>
    <col min="2602" max="2602" width="8.42578125" style="272" bestFit="1" customWidth="1"/>
    <col min="2603" max="2603" width="6.42578125" style="272" bestFit="1" customWidth="1"/>
    <col min="2604" max="2605" width="5.28515625" style="272" bestFit="1" customWidth="1"/>
    <col min="2606" max="2606" width="6.42578125" style="272" bestFit="1" customWidth="1"/>
    <col min="2607" max="2607" width="5.28515625" style="272" bestFit="1" customWidth="1"/>
    <col min="2608" max="2608" width="7.42578125" style="272" bestFit="1" customWidth="1"/>
    <col min="2609" max="2609" width="5.28515625" style="272" bestFit="1" customWidth="1"/>
    <col min="2610" max="2618" width="6.42578125" style="272" bestFit="1" customWidth="1"/>
    <col min="2619" max="2619" width="7.42578125" style="272" bestFit="1" customWidth="1"/>
    <col min="2620" max="2622" width="6.42578125" style="272" bestFit="1" customWidth="1"/>
    <col min="2623" max="2623" width="5.28515625" style="272" bestFit="1" customWidth="1"/>
    <col min="2624" max="2627" width="6.42578125" style="272" bestFit="1" customWidth="1"/>
    <col min="2628" max="2630" width="7.42578125" style="272" bestFit="1" customWidth="1"/>
    <col min="2631" max="2631" width="6.42578125" style="272" bestFit="1" customWidth="1"/>
    <col min="2632" max="2633" width="7.42578125" style="272" bestFit="1" customWidth="1"/>
    <col min="2634" max="2635" width="6.42578125" style="272" bestFit="1" customWidth="1"/>
    <col min="2636" max="2636" width="7.42578125" style="272" bestFit="1" customWidth="1"/>
    <col min="2637" max="2637" width="6.42578125" style="272" bestFit="1" customWidth="1"/>
    <col min="2638" max="2638" width="7.42578125" style="272" bestFit="1" customWidth="1"/>
    <col min="2639" max="2639" width="10.85546875" style="272" bestFit="1" customWidth="1"/>
    <col min="2640" max="2640" width="8.42578125" style="272" bestFit="1" customWidth="1"/>
    <col min="2641" max="2641" width="6.42578125" style="272" bestFit="1" customWidth="1"/>
    <col min="2642" max="2645" width="5.28515625" style="272" bestFit="1" customWidth="1"/>
    <col min="2646" max="2648" width="6.42578125" style="272" bestFit="1" customWidth="1"/>
    <col min="2649" max="2649" width="7.42578125" style="272" bestFit="1" customWidth="1"/>
    <col min="2650" max="2653" width="6.42578125" style="272" bestFit="1" customWidth="1"/>
    <col min="2654" max="2654" width="5.28515625" style="272" bestFit="1" customWidth="1"/>
    <col min="2655" max="2661" width="6.42578125" style="272" bestFit="1" customWidth="1"/>
    <col min="2662" max="2662" width="5.28515625" style="272" bestFit="1" customWidth="1"/>
    <col min="2663" max="2666" width="6.42578125" style="272" bestFit="1" customWidth="1"/>
    <col min="2667" max="2668" width="7.42578125" style="272" bestFit="1" customWidth="1"/>
    <col min="2669" max="2670" width="6.42578125" style="272" bestFit="1" customWidth="1"/>
    <col min="2671" max="2671" width="7.42578125" style="272" bestFit="1" customWidth="1"/>
    <col min="2672" max="2673" width="6.42578125" style="272" bestFit="1" customWidth="1"/>
    <col min="2674" max="2674" width="7.42578125" style="272" bestFit="1" customWidth="1"/>
    <col min="2675" max="2675" width="5.28515625" style="272" bestFit="1" customWidth="1"/>
    <col min="2676" max="2676" width="7.42578125" style="272" bestFit="1" customWidth="1"/>
    <col min="2677" max="2677" width="10.85546875" style="272" bestFit="1" customWidth="1"/>
    <col min="2678" max="2678" width="8.42578125" style="272" bestFit="1" customWidth="1"/>
    <col min="2679" max="2679" width="6.42578125" style="272" bestFit="1" customWidth="1"/>
    <col min="2680" max="2683" width="5.28515625" style="272" bestFit="1" customWidth="1"/>
    <col min="2684" max="2686" width="6.42578125" style="272" bestFit="1" customWidth="1"/>
    <col min="2687" max="2687" width="7.42578125" style="272" bestFit="1" customWidth="1"/>
    <col min="2688" max="2688" width="6.42578125" style="272" bestFit="1" customWidth="1"/>
    <col min="2689" max="2689" width="5.28515625" style="272" bestFit="1" customWidth="1"/>
    <col min="2690" max="2691" width="6.42578125" style="272" bestFit="1" customWidth="1"/>
    <col min="2692" max="2692" width="5.28515625" style="272" bestFit="1" customWidth="1"/>
    <col min="2693" max="2694" width="6.42578125" style="272" bestFit="1" customWidth="1"/>
    <col min="2695" max="2695" width="7.42578125" style="272" bestFit="1" customWidth="1"/>
    <col min="2696" max="2696" width="5.28515625" style="272" bestFit="1" customWidth="1"/>
    <col min="2697" max="2697" width="6.42578125" style="272" bestFit="1" customWidth="1"/>
    <col min="2698" max="2698" width="5.28515625" style="272" bestFit="1" customWidth="1"/>
    <col min="2699" max="2699" width="6.42578125" style="272" bestFit="1" customWidth="1"/>
    <col min="2700" max="2700" width="5.28515625" style="272" bestFit="1" customWidth="1"/>
    <col min="2701" max="2703" width="6.42578125" style="272" bestFit="1" customWidth="1"/>
    <col min="2704" max="2704" width="7.42578125" style="272" bestFit="1" customWidth="1"/>
    <col min="2705" max="2705" width="6.42578125" style="272" bestFit="1" customWidth="1"/>
    <col min="2706" max="2706" width="7.42578125" style="272" bestFit="1" customWidth="1"/>
    <col min="2707" max="2708" width="6.42578125" style="272" bestFit="1" customWidth="1"/>
    <col min="2709" max="2709" width="7.42578125" style="272" bestFit="1" customWidth="1"/>
    <col min="2710" max="2711" width="6.42578125" style="272" bestFit="1" customWidth="1"/>
    <col min="2712" max="2712" width="7.42578125" style="272" bestFit="1" customWidth="1"/>
    <col min="2713" max="2713" width="6.42578125" style="272" bestFit="1" customWidth="1"/>
    <col min="2714" max="2714" width="7.42578125" style="272" bestFit="1" customWidth="1"/>
    <col min="2715" max="2715" width="10.85546875" style="272" bestFit="1" customWidth="1"/>
    <col min="2716" max="2716" width="8.42578125" style="272" bestFit="1" customWidth="1"/>
    <col min="2717" max="2717" width="6.42578125" style="272" bestFit="1" customWidth="1"/>
    <col min="2718" max="2721" width="5.28515625" style="272" bestFit="1" customWidth="1"/>
    <col min="2722" max="2724" width="6.42578125" style="272" bestFit="1" customWidth="1"/>
    <col min="2725" max="2725" width="7.42578125" style="272" bestFit="1" customWidth="1"/>
    <col min="2726" max="2732" width="6.42578125" style="272" bestFit="1" customWidth="1"/>
    <col min="2733" max="2733" width="7.42578125" style="272" bestFit="1" customWidth="1"/>
    <col min="2734" max="2737" width="6.42578125" style="272" bestFit="1" customWidth="1"/>
    <col min="2738" max="2738" width="5.28515625" style="272" bestFit="1" customWidth="1"/>
    <col min="2739" max="2741" width="6.42578125" style="272" bestFit="1" customWidth="1"/>
    <col min="2742" max="2742" width="7.42578125" style="272" bestFit="1" customWidth="1"/>
    <col min="2743" max="2743" width="6.42578125" style="272" bestFit="1" customWidth="1"/>
    <col min="2744" max="2744" width="7.42578125" style="272" bestFit="1" customWidth="1"/>
    <col min="2745" max="2746" width="6.42578125" style="272" bestFit="1" customWidth="1"/>
    <col min="2747" max="2747" width="7.42578125" style="272" bestFit="1" customWidth="1"/>
    <col min="2748" max="2749" width="6.42578125" style="272" bestFit="1" customWidth="1"/>
    <col min="2750" max="2750" width="7.42578125" style="272" bestFit="1" customWidth="1"/>
    <col min="2751" max="2751" width="5.28515625" style="272" bestFit="1" customWidth="1"/>
    <col min="2752" max="2752" width="7.42578125" style="272" bestFit="1" customWidth="1"/>
    <col min="2753" max="2753" width="10.85546875" style="272" bestFit="1" customWidth="1"/>
    <col min="2754" max="2754" width="8.42578125" style="272" bestFit="1" customWidth="1"/>
    <col min="2755" max="2755" width="6.42578125" style="272" bestFit="1" customWidth="1"/>
    <col min="2756" max="2759" width="5.28515625" style="272" bestFit="1" customWidth="1"/>
    <col min="2760" max="2769" width="6.42578125" style="272" bestFit="1" customWidth="1"/>
    <col min="2770" max="2770" width="5.28515625" style="272" bestFit="1" customWidth="1"/>
    <col min="2771" max="2771" width="7.42578125" style="272" bestFit="1" customWidth="1"/>
    <col min="2772" max="2779" width="6.42578125" style="272" bestFit="1" customWidth="1"/>
    <col min="2780" max="2780" width="7.42578125" style="272" bestFit="1" customWidth="1"/>
    <col min="2781" max="2781" width="6.42578125" style="272" bestFit="1" customWidth="1"/>
    <col min="2782" max="2782" width="7.42578125" style="272" bestFit="1" customWidth="1"/>
    <col min="2783" max="2789" width="6.42578125" style="272" bestFit="1" customWidth="1"/>
    <col min="2790" max="2790" width="7.42578125" style="272" bestFit="1" customWidth="1"/>
    <col min="2791" max="2791" width="10.85546875" style="272" bestFit="1" customWidth="1"/>
    <col min="2792" max="2792" width="8.42578125" style="272" bestFit="1" customWidth="1"/>
    <col min="2793" max="2793" width="6.42578125" style="272" bestFit="1" customWidth="1"/>
    <col min="2794" max="2795" width="5.28515625" style="272" bestFit="1" customWidth="1"/>
    <col min="2796" max="2796" width="3.28515625" style="272" bestFit="1" customWidth="1"/>
    <col min="2797" max="2797" width="5.28515625" style="272" bestFit="1" customWidth="1"/>
    <col min="2798" max="2798" width="6.42578125" style="272" bestFit="1" customWidth="1"/>
    <col min="2799" max="2799" width="4.28515625" style="272" bestFit="1" customWidth="1"/>
    <col min="2800" max="2804" width="6.42578125" style="272" bestFit="1" customWidth="1"/>
    <col min="2805" max="2805" width="3.28515625" style="272" bestFit="1" customWidth="1"/>
    <col min="2806" max="2808" width="6.42578125" style="272" bestFit="1" customWidth="1"/>
    <col min="2809" max="2809" width="7.42578125" style="272" bestFit="1" customWidth="1"/>
    <col min="2810" max="2817" width="6.42578125" style="272" bestFit="1" customWidth="1"/>
    <col min="2818" max="2818" width="7.42578125" style="272" bestFit="1" customWidth="1"/>
    <col min="2819" max="2827" width="6.42578125" style="272" bestFit="1" customWidth="1"/>
    <col min="2828" max="2828" width="7.42578125" style="272" bestFit="1" customWidth="1"/>
    <col min="2829" max="16384" width="9.140625" style="272"/>
  </cols>
  <sheetData>
    <row r="1" spans="1:54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</row>
    <row r="2" spans="1:54" x14ac:dyDescent="0.2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</row>
    <row r="3" spans="1:54" x14ac:dyDescent="0.2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</row>
    <row r="4" spans="1:54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</row>
    <row r="5" spans="1:54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</row>
    <row r="6" spans="1:54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</row>
    <row r="7" spans="1:54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</row>
    <row r="8" spans="1:54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</row>
    <row r="9" spans="1:54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</row>
    <row r="10" spans="1:54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</row>
    <row r="11" spans="1:54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</row>
    <row r="12" spans="1:54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</row>
    <row r="13" spans="1:54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</row>
    <row r="14" spans="1:54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</row>
    <row r="15" spans="1:54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</row>
    <row r="16" spans="1:54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</row>
    <row r="17" spans="1:54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</row>
    <row r="18" spans="1:54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</row>
    <row r="19" spans="1:54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  <row r="20" spans="1:54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1:54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1:54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1:54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1:54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1:54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1:54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1:54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1:54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1:54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1:54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1:54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1:54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1:54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1:54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1:54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1:54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1:54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1:54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1:54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1:54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1:54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1:54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1:54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1:54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1:54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1:54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1:54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1:54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1:54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1:54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1:54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1:54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1:54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1:54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1:54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1:54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1:54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1:54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1:54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1:54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1:54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1:54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1:54" s="281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1:54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1:54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1:54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1:54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1:54" x14ac:dyDescent="0.2">
      <c r="B68" s="278"/>
      <c r="C68" s="278"/>
      <c r="D68" s="278"/>
      <c r="E68" s="278"/>
      <c r="F68" s="278"/>
      <c r="G68" s="292"/>
      <c r="H68" s="292"/>
      <c r="I68" s="292"/>
      <c r="J68" s="273"/>
      <c r="K68" s="278"/>
      <c r="L68" s="278"/>
      <c r="M68" s="278"/>
      <c r="N68" s="278"/>
      <c r="O68" s="278"/>
      <c r="P68" s="292"/>
      <c r="Q68" s="292"/>
      <c r="R68" s="292"/>
      <c r="S68" s="291"/>
      <c r="T68" s="291"/>
      <c r="U68" s="291"/>
      <c r="V68" s="278"/>
      <c r="W68" s="278"/>
      <c r="X68" s="278"/>
      <c r="Y68" s="278"/>
      <c r="Z68" s="278"/>
      <c r="AA68" s="278"/>
      <c r="AB68" s="278"/>
      <c r="AC68" s="278"/>
      <c r="AD68" s="278"/>
      <c r="AE68" s="278"/>
      <c r="AF68" s="278"/>
      <c r="AG68" s="278"/>
      <c r="AH68" s="278"/>
      <c r="AI68" s="278"/>
      <c r="AJ68" s="278"/>
      <c r="AK68" s="278"/>
      <c r="AL68" s="278"/>
      <c r="AM68" s="278"/>
      <c r="AN68" s="278"/>
      <c r="AO68" s="278"/>
      <c r="AP68" s="278"/>
      <c r="AQ68" s="278"/>
      <c r="AR68" s="278"/>
      <c r="AS68" s="278"/>
      <c r="AT68" s="278"/>
      <c r="AU68" s="278"/>
      <c r="AV68" s="278"/>
      <c r="AW68" s="278"/>
    </row>
    <row r="69" spans="1:54" x14ac:dyDescent="0.2">
      <c r="B69" s="278"/>
      <c r="C69" s="278"/>
      <c r="D69" s="278"/>
      <c r="E69" s="278"/>
      <c r="F69" s="278"/>
      <c r="G69" s="292"/>
      <c r="H69" s="292"/>
      <c r="I69" s="292"/>
      <c r="J69" s="273"/>
      <c r="K69" s="278"/>
      <c r="L69" s="278"/>
      <c r="M69" s="278"/>
      <c r="N69" s="278"/>
      <c r="O69" s="278"/>
      <c r="P69" s="292"/>
      <c r="Q69" s="292"/>
      <c r="R69" s="292"/>
      <c r="S69" s="291"/>
      <c r="T69" s="291"/>
      <c r="U69" s="291"/>
      <c r="V69" s="278"/>
      <c r="W69" s="278"/>
      <c r="X69" s="278"/>
      <c r="Y69" s="278"/>
      <c r="Z69" s="278"/>
      <c r="AA69" s="278"/>
      <c r="AB69" s="278"/>
      <c r="AC69" s="278"/>
      <c r="AD69" s="278"/>
      <c r="AE69" s="278"/>
      <c r="AF69" s="278"/>
      <c r="AG69" s="278"/>
      <c r="AH69" s="278"/>
      <c r="AI69" s="278"/>
      <c r="AJ69" s="278"/>
      <c r="AK69" s="278"/>
      <c r="AL69" s="278"/>
      <c r="AM69" s="278"/>
      <c r="AN69" s="278"/>
      <c r="AO69" s="278"/>
      <c r="AP69" s="278"/>
      <c r="AQ69" s="278"/>
      <c r="AR69" s="278"/>
      <c r="AS69" s="278"/>
      <c r="AT69" s="278"/>
      <c r="AU69" s="278"/>
      <c r="AV69" s="278"/>
      <c r="AW69" s="278"/>
    </row>
    <row r="70" spans="1:54" x14ac:dyDescent="0.2">
      <c r="B70" s="278"/>
      <c r="C70" s="278"/>
      <c r="D70" s="278"/>
      <c r="E70" s="278"/>
      <c r="F70" s="278"/>
      <c r="G70" s="292"/>
      <c r="H70" s="292"/>
      <c r="I70" s="292"/>
      <c r="J70" s="273"/>
      <c r="K70" s="278"/>
      <c r="L70" s="278"/>
      <c r="M70" s="278"/>
      <c r="N70" s="278"/>
      <c r="O70" s="278"/>
      <c r="P70" s="292"/>
      <c r="Q70" s="292"/>
      <c r="R70" s="292"/>
      <c r="S70" s="291"/>
      <c r="T70" s="291"/>
      <c r="U70" s="291"/>
      <c r="V70" s="278"/>
      <c r="W70" s="278"/>
      <c r="X70" s="278"/>
      <c r="Y70" s="278"/>
      <c r="Z70" s="278"/>
      <c r="AA70" s="278"/>
      <c r="AB70" s="278"/>
      <c r="AC70" s="278"/>
      <c r="AD70" s="278"/>
      <c r="AE70" s="278"/>
      <c r="AF70" s="278"/>
      <c r="AG70" s="278"/>
      <c r="AH70" s="278"/>
      <c r="AI70" s="278"/>
      <c r="AJ70" s="278"/>
      <c r="AK70" s="278"/>
      <c r="AL70" s="278"/>
      <c r="AM70" s="278"/>
      <c r="AN70" s="278"/>
      <c r="AO70" s="278"/>
      <c r="AP70" s="278"/>
      <c r="AQ70" s="278"/>
      <c r="AR70" s="278"/>
      <c r="AS70" s="278"/>
      <c r="AT70" s="278"/>
      <c r="AU70" s="278"/>
      <c r="AV70" s="278"/>
      <c r="AW70" s="278"/>
    </row>
    <row r="71" spans="1:54" x14ac:dyDescent="0.2">
      <c r="B71" s="278"/>
      <c r="C71" s="278"/>
      <c r="D71" s="278"/>
      <c r="E71" s="278"/>
      <c r="F71" s="278"/>
      <c r="G71" s="292"/>
      <c r="H71" s="292"/>
      <c r="I71" s="292"/>
      <c r="J71" s="273"/>
      <c r="K71" s="278"/>
      <c r="L71" s="278"/>
      <c r="M71" s="278"/>
      <c r="N71" s="278"/>
      <c r="O71" s="278"/>
      <c r="P71" s="292"/>
      <c r="Q71" s="292"/>
      <c r="R71" s="292"/>
      <c r="S71" s="291"/>
      <c r="T71" s="291"/>
      <c r="U71" s="291"/>
      <c r="V71" s="278"/>
      <c r="W71" s="278"/>
      <c r="X71" s="278"/>
      <c r="Y71" s="278"/>
      <c r="Z71" s="278"/>
      <c r="AA71" s="278"/>
      <c r="AB71" s="278"/>
      <c r="AC71" s="278"/>
      <c r="AD71" s="278"/>
      <c r="AE71" s="278"/>
      <c r="AF71" s="278"/>
      <c r="AG71" s="278"/>
      <c r="AH71" s="278"/>
      <c r="AI71" s="278"/>
      <c r="AJ71" s="278"/>
      <c r="AK71" s="278"/>
      <c r="AL71" s="278"/>
      <c r="AM71" s="278"/>
      <c r="AN71" s="278"/>
      <c r="AO71" s="278"/>
      <c r="AP71" s="278"/>
      <c r="AQ71" s="278"/>
      <c r="AR71" s="278"/>
      <c r="AS71" s="278"/>
      <c r="AT71" s="278"/>
      <c r="AU71" s="278"/>
      <c r="AV71" s="278"/>
      <c r="AW71" s="278"/>
    </row>
    <row r="72" spans="1:54" x14ac:dyDescent="0.2">
      <c r="B72" s="258"/>
      <c r="C72" s="258"/>
      <c r="D72" s="258"/>
      <c r="E72" s="258"/>
      <c r="F72" s="258"/>
      <c r="G72" s="258"/>
      <c r="H72" s="258"/>
      <c r="I72" s="258"/>
      <c r="J72" s="280"/>
      <c r="K72" s="293"/>
      <c r="L72" s="293"/>
      <c r="M72" s="293"/>
      <c r="N72" s="293"/>
      <c r="O72" s="293"/>
      <c r="P72" s="293"/>
      <c r="Q72" s="293"/>
      <c r="R72" s="293"/>
      <c r="S72" s="293"/>
      <c r="T72" s="293"/>
      <c r="U72" s="293"/>
      <c r="V72" s="293"/>
      <c r="W72" s="259"/>
      <c r="X72" s="293"/>
      <c r="Y72" s="293"/>
      <c r="Z72" s="293"/>
      <c r="AA72" s="259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81"/>
      <c r="AY72" s="281"/>
    </row>
    <row r="73" spans="1:54" x14ac:dyDescent="0.2">
      <c r="B73" s="258"/>
      <c r="C73" s="258"/>
      <c r="D73" s="258"/>
      <c r="E73" s="258"/>
      <c r="F73" s="258"/>
      <c r="G73" s="258"/>
      <c r="H73" s="258"/>
      <c r="I73" s="258"/>
      <c r="J73" s="273"/>
      <c r="K73" s="278"/>
      <c r="L73" s="278"/>
      <c r="M73" s="278"/>
      <c r="N73" s="278"/>
      <c r="O73" s="278"/>
      <c r="P73" s="292"/>
      <c r="Q73" s="292"/>
      <c r="R73" s="292"/>
      <c r="S73" s="291"/>
      <c r="T73" s="291"/>
      <c r="U73" s="291"/>
      <c r="V73" s="278"/>
      <c r="W73" s="260"/>
      <c r="X73" s="278"/>
      <c r="Y73" s="278"/>
      <c r="Z73" s="278"/>
      <c r="AA73" s="260"/>
      <c r="AB73" s="278"/>
      <c r="AC73" s="278"/>
      <c r="AD73" s="278"/>
      <c r="AE73" s="278"/>
      <c r="AF73" s="278"/>
      <c r="AG73" s="278"/>
      <c r="AH73" s="278"/>
      <c r="AI73" s="278"/>
      <c r="AJ73" s="278"/>
      <c r="AK73" s="278"/>
      <c r="AL73" s="278"/>
      <c r="AM73" s="278"/>
      <c r="AN73" s="278"/>
      <c r="AO73" s="278"/>
      <c r="AP73" s="278"/>
      <c r="AQ73" s="278"/>
      <c r="AR73" s="278"/>
      <c r="AS73" s="278"/>
      <c r="AT73" s="278"/>
      <c r="AU73" s="278"/>
      <c r="AV73" s="278"/>
      <c r="AW73" s="278"/>
    </row>
    <row r="74" spans="1:54" x14ac:dyDescent="0.2">
      <c r="B74" s="278"/>
      <c r="C74" s="278"/>
      <c r="D74" s="278"/>
      <c r="E74" s="278"/>
      <c r="F74" s="278"/>
      <c r="G74" s="278"/>
      <c r="H74" s="278"/>
      <c r="I74" s="278"/>
      <c r="J74" s="273"/>
      <c r="K74" s="278"/>
      <c r="L74" s="278"/>
      <c r="M74" s="278"/>
      <c r="N74" s="278"/>
      <c r="O74" s="278"/>
      <c r="P74" s="292"/>
      <c r="Q74" s="292"/>
      <c r="R74" s="292"/>
      <c r="S74" s="291"/>
      <c r="T74" s="291"/>
      <c r="U74" s="291"/>
      <c r="V74" s="278"/>
      <c r="W74" s="260"/>
      <c r="X74" s="278"/>
      <c r="Y74" s="278"/>
      <c r="Z74" s="278"/>
      <c r="AA74" s="260"/>
      <c r="AB74" s="278"/>
      <c r="AC74" s="278"/>
      <c r="AD74" s="278"/>
      <c r="AE74" s="278"/>
      <c r="AF74" s="278"/>
      <c r="AG74" s="278"/>
      <c r="AH74" s="278"/>
      <c r="AI74" s="278"/>
      <c r="AJ74" s="278"/>
      <c r="AK74" s="278"/>
      <c r="AL74" s="278"/>
      <c r="AM74" s="278"/>
      <c r="AN74" s="278"/>
      <c r="AO74" s="278"/>
      <c r="AP74" s="278"/>
      <c r="AQ74" s="278"/>
      <c r="AR74" s="278"/>
      <c r="AS74" s="278"/>
      <c r="AT74" s="278"/>
      <c r="AU74" s="278"/>
      <c r="AV74" s="278"/>
      <c r="AW74" s="278"/>
    </row>
    <row r="75" spans="1:54" x14ac:dyDescent="0.2">
      <c r="B75" s="278"/>
      <c r="C75" s="278"/>
      <c r="D75" s="278"/>
      <c r="E75" s="278"/>
      <c r="F75" s="278"/>
      <c r="G75" s="278"/>
      <c r="H75" s="278"/>
      <c r="I75" s="278"/>
      <c r="J75" s="273"/>
      <c r="K75" s="278"/>
      <c r="L75" s="278"/>
      <c r="M75" s="278"/>
      <c r="N75" s="278"/>
      <c r="O75" s="278"/>
      <c r="P75" s="292"/>
      <c r="Q75" s="292"/>
      <c r="R75" s="292"/>
      <c r="S75" s="291"/>
      <c r="T75" s="291"/>
      <c r="U75" s="291"/>
      <c r="V75" s="278"/>
      <c r="W75" s="260"/>
      <c r="X75" s="278"/>
      <c r="Y75" s="278"/>
      <c r="Z75" s="278"/>
      <c r="AA75" s="260"/>
      <c r="AB75" s="278"/>
      <c r="AC75" s="278"/>
      <c r="AD75" s="278"/>
      <c r="AE75" s="278"/>
      <c r="AF75" s="278"/>
      <c r="AG75" s="278"/>
      <c r="AH75" s="278"/>
      <c r="AI75" s="278"/>
      <c r="AJ75" s="278"/>
      <c r="AK75" s="278"/>
      <c r="AL75" s="278"/>
      <c r="AM75" s="278"/>
      <c r="AN75" s="278"/>
      <c r="AO75" s="278"/>
      <c r="AP75" s="278"/>
      <c r="AQ75" s="278"/>
      <c r="AR75" s="278"/>
      <c r="AS75" s="278"/>
      <c r="AT75" s="278"/>
      <c r="AU75" s="278"/>
      <c r="AV75" s="278"/>
      <c r="AW75" s="278"/>
    </row>
    <row r="76" spans="1:54" x14ac:dyDescent="0.2">
      <c r="B76" s="278"/>
      <c r="C76" s="278"/>
      <c r="D76" s="278"/>
      <c r="E76" s="278"/>
      <c r="F76" s="278"/>
      <c r="G76" s="278"/>
      <c r="H76" s="278"/>
      <c r="I76" s="278"/>
      <c r="J76" s="273"/>
      <c r="K76" s="278"/>
      <c r="L76" s="278"/>
      <c r="M76" s="278"/>
      <c r="N76" s="278"/>
      <c r="O76" s="278"/>
      <c r="P76" s="292"/>
      <c r="Q76" s="292"/>
      <c r="R76" s="292"/>
      <c r="S76" s="291"/>
      <c r="T76" s="291"/>
      <c r="U76" s="291"/>
      <c r="V76" s="278"/>
      <c r="W76" s="260"/>
      <c r="X76" s="278"/>
      <c r="Y76" s="278"/>
      <c r="Z76" s="278"/>
      <c r="AA76" s="260"/>
      <c r="AB76" s="278"/>
      <c r="AC76" s="278"/>
      <c r="AD76" s="278"/>
      <c r="AE76" s="278"/>
      <c r="AF76" s="278"/>
      <c r="AG76" s="278"/>
      <c r="AH76" s="278"/>
      <c r="AI76" s="278"/>
      <c r="AJ76" s="278"/>
      <c r="AK76" s="278"/>
      <c r="AL76" s="278"/>
      <c r="AM76" s="278"/>
      <c r="AN76" s="278"/>
      <c r="AO76" s="278"/>
      <c r="AP76" s="278"/>
      <c r="AQ76" s="278"/>
      <c r="AR76" s="278"/>
      <c r="AS76" s="278"/>
      <c r="AT76" s="278"/>
      <c r="AU76" s="278"/>
      <c r="AV76" s="278"/>
      <c r="AW76" s="278"/>
    </row>
    <row r="77" spans="1:54" x14ac:dyDescent="0.2">
      <c r="B77" s="278"/>
      <c r="C77" s="278"/>
      <c r="D77" s="278"/>
      <c r="E77" s="278"/>
      <c r="F77" s="278"/>
      <c r="G77" s="278"/>
      <c r="H77" s="278"/>
      <c r="I77" s="278"/>
      <c r="J77" s="273"/>
      <c r="K77" s="278"/>
      <c r="L77" s="278"/>
      <c r="M77" s="278"/>
      <c r="N77" s="278"/>
      <c r="O77" s="278"/>
      <c r="P77" s="292"/>
      <c r="Q77" s="292"/>
      <c r="R77" s="292"/>
      <c r="S77" s="291"/>
      <c r="T77" s="291"/>
      <c r="U77" s="291"/>
      <c r="V77" s="278"/>
      <c r="W77" s="260"/>
      <c r="X77" s="278"/>
      <c r="Y77" s="278"/>
      <c r="Z77" s="278"/>
      <c r="AA77" s="260"/>
      <c r="AB77" s="278"/>
      <c r="AC77" s="278"/>
      <c r="AD77" s="278"/>
      <c r="AE77" s="278"/>
      <c r="AF77" s="278"/>
      <c r="AG77" s="278"/>
      <c r="AH77" s="278"/>
      <c r="AI77" s="278"/>
      <c r="AJ77" s="278"/>
      <c r="AK77" s="278"/>
      <c r="AL77" s="278"/>
      <c r="AM77" s="278"/>
      <c r="AN77" s="278"/>
      <c r="AO77" s="278"/>
      <c r="AP77" s="278"/>
      <c r="AQ77" s="278"/>
      <c r="AR77" s="278"/>
      <c r="AS77" s="278"/>
      <c r="AT77" s="278"/>
      <c r="AU77" s="278"/>
      <c r="AV77" s="278"/>
      <c r="AW77" s="278"/>
    </row>
    <row r="78" spans="1:54" x14ac:dyDescent="0.2">
      <c r="B78" s="278"/>
      <c r="C78" s="278"/>
      <c r="D78" s="278"/>
      <c r="E78" s="278"/>
      <c r="F78" s="278"/>
      <c r="G78" s="278"/>
      <c r="H78" s="278"/>
      <c r="I78" s="278"/>
      <c r="J78" s="291"/>
      <c r="K78" s="291"/>
      <c r="L78" s="291"/>
      <c r="M78" s="278"/>
      <c r="N78" s="278"/>
      <c r="O78" s="278"/>
      <c r="P78" s="278"/>
      <c r="Q78" s="278"/>
      <c r="R78" s="278"/>
      <c r="S78" s="278"/>
      <c r="T78" s="278"/>
      <c r="U78" s="278"/>
      <c r="V78" s="278"/>
      <c r="W78" s="278"/>
      <c r="X78" s="278"/>
      <c r="Y78" s="278"/>
      <c r="Z78" s="278"/>
      <c r="AA78" s="278"/>
      <c r="AB78" s="278"/>
      <c r="AC78" s="278"/>
      <c r="AD78" s="278"/>
      <c r="AE78" s="278"/>
      <c r="AF78" s="278"/>
      <c r="AG78" s="278"/>
      <c r="AH78" s="278"/>
      <c r="AI78" s="278"/>
      <c r="AJ78" s="278"/>
      <c r="AK78" s="278"/>
      <c r="AL78" s="278"/>
      <c r="AM78" s="278"/>
      <c r="AN78" s="278"/>
    </row>
    <row r="79" spans="1:54" x14ac:dyDescent="0.2">
      <c r="B79" s="278"/>
      <c r="C79" s="278"/>
      <c r="D79" s="278"/>
      <c r="E79" s="278"/>
      <c r="F79" s="278"/>
      <c r="G79" s="278"/>
      <c r="H79" s="278"/>
      <c r="I79" s="278"/>
      <c r="J79" s="291"/>
      <c r="K79" s="291"/>
      <c r="L79" s="291"/>
      <c r="M79" s="278"/>
      <c r="N79" s="278"/>
      <c r="O79" s="278"/>
      <c r="P79" s="278"/>
      <c r="Q79" s="278"/>
      <c r="R79" s="278"/>
      <c r="S79" s="278"/>
      <c r="T79" s="278"/>
      <c r="U79" s="278"/>
      <c r="V79" s="278"/>
      <c r="W79" s="278"/>
      <c r="X79" s="278"/>
      <c r="Y79" s="278"/>
      <c r="Z79" s="278"/>
      <c r="AA79" s="278"/>
      <c r="AB79" s="278"/>
      <c r="AC79" s="278"/>
      <c r="AD79" s="278"/>
      <c r="AE79" s="278"/>
      <c r="AF79" s="278"/>
      <c r="AG79" s="278"/>
      <c r="AH79" s="278"/>
      <c r="AI79" s="278"/>
      <c r="AJ79" s="278"/>
      <c r="AK79" s="278"/>
      <c r="AL79" s="278"/>
      <c r="AM79" s="278"/>
      <c r="AN79" s="278"/>
    </row>
    <row r="80" spans="1:54" x14ac:dyDescent="0.2">
      <c r="B80" s="278"/>
      <c r="C80" s="278"/>
      <c r="D80" s="278"/>
      <c r="E80" s="278"/>
      <c r="F80" s="278"/>
      <c r="G80" s="278"/>
      <c r="H80" s="278"/>
      <c r="I80" s="278"/>
      <c r="J80" s="291"/>
      <c r="K80" s="291"/>
      <c r="L80" s="291"/>
      <c r="M80" s="278"/>
      <c r="N80" s="278"/>
      <c r="O80" s="278"/>
      <c r="P80" s="278"/>
      <c r="Q80" s="278"/>
      <c r="R80" s="278"/>
      <c r="S80" s="278"/>
      <c r="T80" s="278"/>
      <c r="U80" s="278"/>
      <c r="V80" s="278"/>
      <c r="W80" s="278"/>
      <c r="X80" s="278"/>
      <c r="Y80" s="278"/>
      <c r="Z80" s="278"/>
      <c r="AA80" s="278"/>
      <c r="AB80" s="278"/>
      <c r="AC80" s="278"/>
      <c r="AD80" s="278"/>
      <c r="AE80" s="278"/>
      <c r="AF80" s="278"/>
      <c r="AG80" s="278"/>
      <c r="AH80" s="278"/>
      <c r="AI80" s="278"/>
      <c r="AJ80" s="278"/>
      <c r="AK80" s="278"/>
      <c r="AL80" s="278"/>
      <c r="AM80" s="278"/>
      <c r="AN80" s="278"/>
    </row>
    <row r="81" spans="2:40" x14ac:dyDescent="0.2">
      <c r="B81" s="278"/>
      <c r="C81" s="278"/>
      <c r="D81" s="278"/>
      <c r="E81" s="278"/>
      <c r="F81" s="278"/>
      <c r="G81" s="278"/>
      <c r="H81" s="278"/>
      <c r="I81" s="278"/>
      <c r="J81" s="291"/>
      <c r="K81" s="291"/>
      <c r="L81" s="291"/>
      <c r="M81" s="278"/>
      <c r="N81" s="278"/>
      <c r="O81" s="278"/>
      <c r="P81" s="278"/>
      <c r="Q81" s="278"/>
      <c r="R81" s="278"/>
      <c r="S81" s="278"/>
      <c r="T81" s="278"/>
      <c r="U81" s="278"/>
      <c r="V81" s="278"/>
      <c r="W81" s="278"/>
      <c r="X81" s="278"/>
      <c r="Y81" s="278"/>
      <c r="Z81" s="278"/>
      <c r="AA81" s="278"/>
      <c r="AB81" s="278"/>
      <c r="AC81" s="278"/>
      <c r="AD81" s="278"/>
      <c r="AE81" s="278"/>
      <c r="AF81" s="278"/>
      <c r="AG81" s="278"/>
      <c r="AH81" s="278"/>
      <c r="AI81" s="278"/>
      <c r="AJ81" s="278"/>
      <c r="AK81" s="278"/>
      <c r="AL81" s="278"/>
      <c r="AM81" s="278"/>
      <c r="AN81" s="278"/>
    </row>
    <row r="82" spans="2:40" x14ac:dyDescent="0.2">
      <c r="B82" s="278"/>
      <c r="C82" s="278"/>
      <c r="D82" s="278"/>
      <c r="E82" s="278"/>
      <c r="F82" s="278"/>
      <c r="G82" s="278"/>
      <c r="H82" s="278"/>
      <c r="I82" s="278"/>
      <c r="J82" s="291"/>
      <c r="K82" s="291"/>
      <c r="L82" s="291"/>
      <c r="M82" s="278"/>
      <c r="N82" s="278"/>
      <c r="O82" s="278"/>
      <c r="P82" s="278"/>
      <c r="Q82" s="278"/>
      <c r="R82" s="278"/>
      <c r="S82" s="278"/>
      <c r="T82" s="278"/>
      <c r="U82" s="278"/>
      <c r="V82" s="278"/>
      <c r="W82" s="278"/>
      <c r="X82" s="278"/>
      <c r="Y82" s="278"/>
      <c r="Z82" s="278"/>
      <c r="AA82" s="278"/>
      <c r="AB82" s="278"/>
      <c r="AC82" s="278"/>
      <c r="AD82" s="278"/>
      <c r="AE82" s="278"/>
      <c r="AF82" s="278"/>
      <c r="AG82" s="278"/>
      <c r="AH82" s="278"/>
      <c r="AI82" s="278"/>
      <c r="AJ82" s="278"/>
      <c r="AK82" s="278"/>
      <c r="AL82" s="278"/>
      <c r="AM82" s="278"/>
      <c r="AN82" s="278"/>
    </row>
    <row r="83" spans="2:40" x14ac:dyDescent="0.2">
      <c r="B83" s="278"/>
      <c r="C83" s="278"/>
      <c r="D83" s="278"/>
      <c r="E83" s="278"/>
      <c r="F83" s="278"/>
      <c r="G83" s="278"/>
      <c r="H83" s="278"/>
      <c r="I83" s="278"/>
      <c r="J83" s="291"/>
      <c r="K83" s="291"/>
      <c r="L83" s="291"/>
      <c r="M83" s="278"/>
      <c r="N83" s="278"/>
      <c r="O83" s="278"/>
      <c r="P83" s="278"/>
      <c r="Q83" s="278"/>
      <c r="R83" s="278"/>
      <c r="S83" s="278"/>
      <c r="T83" s="278"/>
      <c r="U83" s="278"/>
      <c r="V83" s="278"/>
      <c r="W83" s="278"/>
      <c r="X83" s="278"/>
      <c r="Y83" s="278"/>
      <c r="Z83" s="278"/>
      <c r="AA83" s="278"/>
      <c r="AB83" s="278"/>
      <c r="AC83" s="278"/>
      <c r="AD83" s="278"/>
      <c r="AE83" s="278"/>
      <c r="AF83" s="278"/>
      <c r="AG83" s="278"/>
      <c r="AH83" s="278"/>
      <c r="AI83" s="278"/>
      <c r="AJ83" s="278"/>
      <c r="AK83" s="278"/>
      <c r="AL83" s="278"/>
      <c r="AM83" s="278"/>
      <c r="AN83" s="278"/>
    </row>
    <row r="84" spans="2:40" x14ac:dyDescent="0.2">
      <c r="B84" s="278"/>
      <c r="C84" s="278"/>
      <c r="D84" s="278"/>
      <c r="E84" s="278"/>
      <c r="F84" s="278"/>
      <c r="G84" s="278"/>
      <c r="H84" s="278"/>
      <c r="I84" s="278"/>
      <c r="J84" s="291"/>
      <c r="K84" s="291"/>
      <c r="L84" s="291"/>
      <c r="M84" s="278"/>
      <c r="N84" s="278"/>
      <c r="O84" s="278"/>
      <c r="P84" s="278"/>
      <c r="Q84" s="278"/>
      <c r="R84" s="278"/>
      <c r="S84" s="278"/>
      <c r="T84" s="278"/>
      <c r="U84" s="278"/>
      <c r="V84" s="278"/>
      <c r="W84" s="278"/>
      <c r="X84" s="278"/>
      <c r="Y84" s="278"/>
      <c r="Z84" s="278"/>
      <c r="AA84" s="278"/>
      <c r="AB84" s="278"/>
      <c r="AC84" s="278"/>
      <c r="AD84" s="278"/>
      <c r="AE84" s="278"/>
      <c r="AF84" s="278"/>
      <c r="AG84" s="278"/>
      <c r="AH84" s="278"/>
      <c r="AI84" s="278"/>
      <c r="AJ84" s="278"/>
      <c r="AK84" s="278"/>
      <c r="AL84" s="278"/>
      <c r="AM84" s="278"/>
      <c r="AN84" s="278"/>
    </row>
    <row r="85" spans="2:40" x14ac:dyDescent="0.2">
      <c r="B85" s="278"/>
      <c r="C85" s="278"/>
      <c r="D85" s="278"/>
      <c r="E85" s="278"/>
      <c r="F85" s="278"/>
      <c r="G85" s="278"/>
      <c r="H85" s="278"/>
      <c r="I85" s="278"/>
      <c r="J85" s="291"/>
      <c r="K85" s="291"/>
      <c r="L85" s="291"/>
      <c r="M85" s="278"/>
      <c r="N85" s="278"/>
      <c r="O85" s="278"/>
      <c r="P85" s="278"/>
      <c r="Q85" s="278"/>
      <c r="R85" s="278"/>
      <c r="S85" s="278"/>
      <c r="T85" s="278"/>
      <c r="U85" s="278"/>
      <c r="V85" s="278"/>
      <c r="W85" s="278"/>
      <c r="X85" s="278"/>
      <c r="Y85" s="278"/>
      <c r="Z85" s="278"/>
      <c r="AA85" s="278"/>
      <c r="AB85" s="278"/>
      <c r="AC85" s="278"/>
      <c r="AD85" s="278"/>
      <c r="AE85" s="278"/>
      <c r="AF85" s="278"/>
      <c r="AG85" s="278"/>
      <c r="AH85" s="278"/>
      <c r="AI85" s="278"/>
      <c r="AJ85" s="278"/>
      <c r="AK85" s="278"/>
      <c r="AL85" s="278"/>
      <c r="AM85" s="278"/>
      <c r="AN85" s="278"/>
    </row>
    <row r="86" spans="2:40" x14ac:dyDescent="0.2">
      <c r="B86" s="278"/>
      <c r="C86" s="278"/>
      <c r="D86" s="278"/>
      <c r="E86" s="278"/>
      <c r="F86" s="278"/>
      <c r="G86" s="278"/>
      <c r="H86" s="278"/>
      <c r="I86" s="278"/>
      <c r="J86" s="291"/>
      <c r="K86" s="291"/>
      <c r="L86" s="291"/>
      <c r="M86" s="278"/>
      <c r="N86" s="278"/>
      <c r="O86" s="278"/>
      <c r="P86" s="278"/>
      <c r="Q86" s="278"/>
      <c r="R86" s="278"/>
      <c r="S86" s="278"/>
      <c r="T86" s="278"/>
      <c r="U86" s="278"/>
      <c r="V86" s="278"/>
      <c r="W86" s="278"/>
      <c r="X86" s="278"/>
      <c r="Y86" s="278"/>
      <c r="Z86" s="278"/>
      <c r="AA86" s="278"/>
      <c r="AB86" s="278"/>
      <c r="AC86" s="278"/>
      <c r="AD86" s="278"/>
      <c r="AE86" s="278"/>
      <c r="AF86" s="278"/>
      <c r="AG86" s="278"/>
      <c r="AH86" s="278"/>
      <c r="AI86" s="278"/>
      <c r="AJ86" s="278"/>
      <c r="AK86" s="278"/>
      <c r="AL86" s="278"/>
      <c r="AM86" s="278"/>
      <c r="AN86" s="278"/>
    </row>
    <row r="87" spans="2:40" x14ac:dyDescent="0.2">
      <c r="B87" s="278"/>
      <c r="C87" s="278"/>
      <c r="D87" s="278"/>
      <c r="E87" s="278"/>
      <c r="F87" s="278"/>
      <c r="G87" s="278"/>
      <c r="H87" s="278"/>
      <c r="I87" s="278"/>
      <c r="J87" s="291"/>
      <c r="K87" s="291"/>
      <c r="L87" s="291"/>
      <c r="M87" s="278"/>
      <c r="N87" s="278"/>
      <c r="O87" s="278"/>
      <c r="P87" s="278"/>
      <c r="Q87" s="278"/>
      <c r="R87" s="278"/>
      <c r="S87" s="278"/>
      <c r="T87" s="278"/>
      <c r="U87" s="278"/>
      <c r="V87" s="278"/>
      <c r="W87" s="278"/>
      <c r="X87" s="278"/>
      <c r="Y87" s="278"/>
      <c r="Z87" s="278"/>
      <c r="AA87" s="278"/>
      <c r="AB87" s="278"/>
      <c r="AC87" s="278"/>
      <c r="AD87" s="278"/>
      <c r="AE87" s="278"/>
      <c r="AF87" s="278"/>
      <c r="AG87" s="278"/>
      <c r="AH87" s="278"/>
      <c r="AI87" s="278"/>
      <c r="AJ87" s="278"/>
      <c r="AK87" s="278"/>
      <c r="AL87" s="278"/>
      <c r="AM87" s="278"/>
      <c r="AN87" s="278"/>
    </row>
    <row r="88" spans="2:40" x14ac:dyDescent="0.2">
      <c r="B88" s="278"/>
      <c r="C88" s="278"/>
      <c r="D88" s="278"/>
      <c r="E88" s="278"/>
      <c r="F88" s="278"/>
      <c r="G88" s="278"/>
      <c r="H88" s="278"/>
      <c r="I88" s="278"/>
      <c r="J88" s="291"/>
      <c r="K88" s="291"/>
      <c r="L88" s="291"/>
      <c r="M88" s="278"/>
      <c r="N88" s="278"/>
      <c r="O88" s="278"/>
      <c r="P88" s="278"/>
      <c r="Q88" s="278"/>
      <c r="R88" s="278"/>
      <c r="S88" s="278"/>
      <c r="T88" s="278"/>
      <c r="U88" s="278"/>
      <c r="V88" s="278"/>
      <c r="W88" s="278"/>
      <c r="X88" s="278"/>
      <c r="Y88" s="278"/>
      <c r="Z88" s="278"/>
      <c r="AA88" s="278"/>
      <c r="AB88" s="278"/>
      <c r="AC88" s="278"/>
      <c r="AD88" s="278"/>
      <c r="AE88" s="278"/>
      <c r="AF88" s="278"/>
      <c r="AG88" s="278"/>
      <c r="AH88" s="278"/>
      <c r="AI88" s="278"/>
      <c r="AJ88" s="278"/>
      <c r="AK88" s="278"/>
      <c r="AL88" s="278"/>
      <c r="AM88" s="278"/>
      <c r="AN88" s="278"/>
    </row>
    <row r="89" spans="2:40" x14ac:dyDescent="0.2">
      <c r="B89" s="278"/>
      <c r="C89" s="278"/>
      <c r="D89" s="278"/>
      <c r="E89" s="278"/>
      <c r="F89" s="278"/>
      <c r="G89" s="278"/>
      <c r="H89" s="278"/>
      <c r="I89" s="278"/>
      <c r="J89" s="291"/>
      <c r="K89" s="291"/>
      <c r="L89" s="291"/>
      <c r="M89" s="278"/>
      <c r="N89" s="278"/>
      <c r="O89" s="278"/>
      <c r="P89" s="278"/>
      <c r="Q89" s="278"/>
      <c r="R89" s="278"/>
      <c r="S89" s="278"/>
      <c r="T89" s="278"/>
      <c r="U89" s="278"/>
      <c r="V89" s="278"/>
      <c r="W89" s="278"/>
      <c r="X89" s="278"/>
      <c r="Y89" s="278"/>
      <c r="Z89" s="278"/>
      <c r="AA89" s="278"/>
      <c r="AB89" s="278"/>
      <c r="AC89" s="278"/>
      <c r="AD89" s="278"/>
      <c r="AE89" s="278"/>
      <c r="AF89" s="278"/>
      <c r="AG89" s="278"/>
      <c r="AH89" s="278"/>
      <c r="AI89" s="278"/>
      <c r="AJ89" s="278"/>
      <c r="AK89" s="278"/>
      <c r="AL89" s="278"/>
      <c r="AM89" s="278"/>
      <c r="AN89" s="278"/>
    </row>
    <row r="90" spans="2:40" x14ac:dyDescent="0.2">
      <c r="B90" s="278"/>
      <c r="C90" s="278"/>
      <c r="D90" s="278"/>
      <c r="E90" s="278"/>
      <c r="F90" s="278"/>
      <c r="G90" s="278"/>
      <c r="H90" s="278"/>
      <c r="I90" s="278"/>
      <c r="J90" s="291"/>
      <c r="K90" s="291"/>
      <c r="L90" s="291"/>
      <c r="M90" s="278"/>
      <c r="N90" s="278"/>
      <c r="O90" s="278"/>
      <c r="P90" s="278"/>
      <c r="Q90" s="278"/>
      <c r="R90" s="278"/>
      <c r="S90" s="278"/>
      <c r="T90" s="278"/>
      <c r="U90" s="278"/>
      <c r="V90" s="278"/>
      <c r="W90" s="278"/>
      <c r="X90" s="278"/>
      <c r="Y90" s="278"/>
      <c r="Z90" s="278"/>
      <c r="AA90" s="278"/>
      <c r="AB90" s="278"/>
      <c r="AC90" s="278"/>
      <c r="AD90" s="278"/>
      <c r="AE90" s="278"/>
      <c r="AF90" s="278"/>
      <c r="AG90" s="278"/>
      <c r="AH90" s="278"/>
      <c r="AI90" s="278"/>
      <c r="AJ90" s="278"/>
      <c r="AK90" s="278"/>
      <c r="AL90" s="278"/>
      <c r="AM90" s="278"/>
      <c r="AN90" s="278"/>
    </row>
    <row r="91" spans="2:40" x14ac:dyDescent="0.2">
      <c r="B91" s="278"/>
      <c r="C91" s="278"/>
      <c r="D91" s="278"/>
      <c r="E91" s="278"/>
      <c r="F91" s="278"/>
      <c r="G91" s="278"/>
      <c r="H91" s="278"/>
      <c r="I91" s="278"/>
      <c r="J91" s="291"/>
      <c r="K91" s="291"/>
      <c r="L91" s="291"/>
      <c r="M91" s="278"/>
      <c r="N91" s="278"/>
      <c r="O91" s="278"/>
      <c r="P91" s="278"/>
      <c r="Q91" s="278"/>
      <c r="R91" s="278"/>
      <c r="S91" s="278"/>
      <c r="T91" s="278"/>
      <c r="U91" s="278"/>
      <c r="V91" s="278"/>
      <c r="W91" s="278"/>
      <c r="X91" s="278"/>
      <c r="Y91" s="278"/>
      <c r="Z91" s="278"/>
      <c r="AA91" s="278"/>
      <c r="AB91" s="278"/>
      <c r="AC91" s="278"/>
      <c r="AD91" s="278"/>
      <c r="AE91" s="278"/>
      <c r="AF91" s="278"/>
      <c r="AG91" s="278"/>
      <c r="AH91" s="278"/>
      <c r="AI91" s="278"/>
      <c r="AJ91" s="278"/>
      <c r="AK91" s="278"/>
      <c r="AL91" s="278"/>
      <c r="AM91" s="278"/>
      <c r="AN91" s="278"/>
    </row>
    <row r="92" spans="2:40" x14ac:dyDescent="0.2">
      <c r="B92" s="278"/>
      <c r="C92" s="278"/>
      <c r="D92" s="278"/>
      <c r="E92" s="278"/>
      <c r="F92" s="278"/>
      <c r="G92" s="257"/>
      <c r="H92" s="257"/>
      <c r="I92" s="257"/>
      <c r="J92" s="291"/>
      <c r="K92" s="291"/>
      <c r="L92" s="291"/>
      <c r="M92" s="278"/>
      <c r="N92" s="278"/>
      <c r="O92" s="278"/>
      <c r="P92" s="278"/>
      <c r="Q92" s="278"/>
      <c r="R92" s="278"/>
      <c r="S92" s="278"/>
      <c r="T92" s="278"/>
      <c r="U92" s="278"/>
      <c r="V92" s="278"/>
      <c r="W92" s="278"/>
      <c r="X92" s="278"/>
      <c r="Y92" s="278"/>
      <c r="Z92" s="278"/>
      <c r="AA92" s="278"/>
      <c r="AB92" s="278"/>
      <c r="AC92" s="278"/>
      <c r="AD92" s="278"/>
      <c r="AE92" s="278"/>
      <c r="AF92" s="278"/>
      <c r="AG92" s="278"/>
      <c r="AH92" s="278"/>
      <c r="AI92" s="278"/>
      <c r="AJ92" s="278"/>
      <c r="AK92" s="278"/>
      <c r="AL92" s="278"/>
      <c r="AM92" s="278"/>
      <c r="AN92" s="278"/>
    </row>
    <row r="93" spans="2:40" x14ac:dyDescent="0.2">
      <c r="B93" s="278"/>
      <c r="C93" s="278"/>
      <c r="D93" s="278"/>
      <c r="E93" s="278"/>
      <c r="F93" s="278"/>
      <c r="G93" s="257"/>
      <c r="H93" s="257"/>
      <c r="I93" s="257"/>
      <c r="J93" s="291"/>
      <c r="K93" s="291"/>
      <c r="L93" s="291"/>
      <c r="M93" s="278"/>
      <c r="N93" s="278"/>
      <c r="O93" s="278"/>
      <c r="P93" s="278"/>
      <c r="Q93" s="278"/>
      <c r="R93" s="278"/>
      <c r="S93" s="278"/>
      <c r="T93" s="278"/>
      <c r="U93" s="278"/>
      <c r="V93" s="278"/>
      <c r="W93" s="278"/>
      <c r="X93" s="278"/>
      <c r="Y93" s="278"/>
      <c r="Z93" s="278"/>
      <c r="AA93" s="278"/>
      <c r="AB93" s="278"/>
      <c r="AC93" s="278"/>
      <c r="AD93" s="278"/>
      <c r="AE93" s="278"/>
      <c r="AF93" s="278"/>
      <c r="AG93" s="278"/>
      <c r="AH93" s="278"/>
      <c r="AI93" s="278"/>
      <c r="AJ93" s="278"/>
      <c r="AK93" s="278"/>
      <c r="AL93" s="278"/>
      <c r="AM93" s="278"/>
      <c r="AN93" s="278"/>
    </row>
    <row r="94" spans="2:40" x14ac:dyDescent="0.2">
      <c r="B94" s="278"/>
      <c r="C94" s="278"/>
      <c r="D94" s="278"/>
      <c r="E94" s="278"/>
      <c r="F94" s="278"/>
      <c r="G94" s="257"/>
      <c r="H94" s="257"/>
      <c r="I94" s="257"/>
      <c r="J94" s="291"/>
      <c r="K94" s="291"/>
      <c r="L94" s="291"/>
      <c r="M94" s="278"/>
      <c r="N94" s="278"/>
      <c r="O94" s="278"/>
      <c r="P94" s="278"/>
      <c r="Q94" s="278"/>
      <c r="R94" s="278"/>
      <c r="S94" s="278"/>
      <c r="T94" s="278"/>
      <c r="U94" s="278"/>
      <c r="V94" s="278"/>
      <c r="W94" s="278"/>
      <c r="X94" s="278"/>
      <c r="Y94" s="278"/>
      <c r="Z94" s="278"/>
      <c r="AA94" s="278"/>
      <c r="AB94" s="278"/>
      <c r="AC94" s="278"/>
      <c r="AD94" s="278"/>
      <c r="AE94" s="278"/>
      <c r="AF94" s="278"/>
      <c r="AG94" s="278"/>
      <c r="AH94" s="278"/>
      <c r="AI94" s="278"/>
      <c r="AJ94" s="278"/>
      <c r="AK94" s="278"/>
      <c r="AL94" s="278"/>
      <c r="AM94" s="278"/>
      <c r="AN94" s="278"/>
    </row>
    <row r="95" spans="2:40" x14ac:dyDescent="0.2">
      <c r="B95" s="278"/>
      <c r="C95" s="278"/>
      <c r="D95" s="278"/>
      <c r="E95" s="278"/>
      <c r="F95" s="278"/>
      <c r="G95" s="257"/>
      <c r="H95" s="257"/>
      <c r="I95" s="257"/>
      <c r="J95" s="291"/>
      <c r="K95" s="291"/>
      <c r="L95" s="291"/>
      <c r="M95" s="278"/>
      <c r="N95" s="278"/>
      <c r="O95" s="278"/>
      <c r="P95" s="278"/>
      <c r="Q95" s="278"/>
      <c r="R95" s="278"/>
      <c r="S95" s="278"/>
      <c r="T95" s="278"/>
      <c r="U95" s="278"/>
      <c r="V95" s="278"/>
      <c r="W95" s="278"/>
      <c r="X95" s="278"/>
      <c r="Y95" s="278"/>
      <c r="Z95" s="278"/>
      <c r="AA95" s="278"/>
      <c r="AB95" s="278"/>
      <c r="AC95" s="278"/>
      <c r="AD95" s="278"/>
      <c r="AE95" s="278"/>
      <c r="AF95" s="278"/>
      <c r="AG95" s="278"/>
      <c r="AH95" s="278"/>
      <c r="AI95" s="278"/>
      <c r="AJ95" s="278"/>
      <c r="AK95" s="278"/>
      <c r="AL95" s="278"/>
      <c r="AM95" s="278"/>
      <c r="AN95" s="278"/>
    </row>
    <row r="96" spans="2:40" x14ac:dyDescent="0.2">
      <c r="B96" s="278"/>
      <c r="C96" s="278"/>
      <c r="D96" s="278"/>
      <c r="E96" s="278"/>
      <c r="F96" s="278"/>
      <c r="G96" s="257"/>
      <c r="H96" s="257"/>
      <c r="I96" s="257"/>
      <c r="J96" s="291"/>
      <c r="K96" s="291"/>
      <c r="L96" s="291"/>
      <c r="M96" s="278"/>
      <c r="N96" s="278"/>
      <c r="O96" s="278"/>
      <c r="P96" s="278"/>
      <c r="Q96" s="278"/>
      <c r="R96" s="278"/>
      <c r="S96" s="278"/>
      <c r="T96" s="278"/>
      <c r="U96" s="278"/>
      <c r="V96" s="278"/>
      <c r="W96" s="278"/>
      <c r="X96" s="278"/>
      <c r="Y96" s="278"/>
      <c r="Z96" s="278"/>
      <c r="AA96" s="278"/>
      <c r="AB96" s="278"/>
      <c r="AC96" s="278"/>
      <c r="AD96" s="278"/>
      <c r="AE96" s="278"/>
      <c r="AF96" s="278"/>
      <c r="AG96" s="278"/>
      <c r="AH96" s="278"/>
      <c r="AI96" s="278"/>
      <c r="AJ96" s="278"/>
      <c r="AK96" s="278"/>
      <c r="AL96" s="278"/>
      <c r="AM96" s="278"/>
      <c r="AN96" s="278"/>
    </row>
    <row r="97" spans="1:40" x14ac:dyDescent="0.2">
      <c r="B97" s="278"/>
      <c r="C97" s="278"/>
      <c r="D97" s="278"/>
      <c r="E97" s="278"/>
      <c r="F97" s="278"/>
      <c r="G97" s="257"/>
      <c r="H97" s="257"/>
      <c r="I97" s="257"/>
      <c r="J97" s="291"/>
      <c r="K97" s="291"/>
      <c r="L97" s="291"/>
      <c r="M97" s="278"/>
      <c r="N97" s="278"/>
      <c r="O97" s="278"/>
      <c r="P97" s="278"/>
      <c r="Q97" s="278"/>
      <c r="R97" s="278"/>
      <c r="S97" s="278"/>
      <c r="T97" s="278"/>
      <c r="U97" s="278"/>
      <c r="V97" s="278"/>
      <c r="W97" s="278"/>
      <c r="X97" s="278"/>
      <c r="Y97" s="278"/>
      <c r="Z97" s="278"/>
      <c r="AA97" s="278"/>
      <c r="AB97" s="278"/>
      <c r="AC97" s="278"/>
      <c r="AD97" s="278"/>
      <c r="AE97" s="278"/>
      <c r="AF97" s="278"/>
      <c r="AG97" s="278"/>
      <c r="AH97" s="278"/>
      <c r="AI97" s="278"/>
      <c r="AJ97" s="278"/>
      <c r="AK97" s="278"/>
      <c r="AL97" s="278"/>
      <c r="AM97" s="278"/>
      <c r="AN97" s="278"/>
    </row>
    <row r="98" spans="1:40" x14ac:dyDescent="0.2">
      <c r="B98" s="278"/>
      <c r="C98" s="278"/>
      <c r="D98" s="278"/>
      <c r="E98" s="278"/>
      <c r="F98" s="278"/>
      <c r="G98" s="257"/>
      <c r="H98" s="257"/>
      <c r="I98" s="257"/>
      <c r="J98" s="291"/>
      <c r="K98" s="291"/>
      <c r="L98" s="291"/>
      <c r="M98" s="278"/>
      <c r="N98" s="278"/>
      <c r="O98" s="278"/>
      <c r="P98" s="278"/>
      <c r="Q98" s="278"/>
      <c r="R98" s="278"/>
      <c r="S98" s="278"/>
      <c r="T98" s="278"/>
      <c r="U98" s="278"/>
      <c r="V98" s="278"/>
      <c r="W98" s="278"/>
      <c r="X98" s="278"/>
      <c r="Y98" s="278"/>
      <c r="Z98" s="278"/>
      <c r="AA98" s="278"/>
      <c r="AB98" s="278"/>
      <c r="AC98" s="278"/>
      <c r="AD98" s="278"/>
      <c r="AE98" s="278"/>
      <c r="AF98" s="278"/>
      <c r="AG98" s="278"/>
      <c r="AH98" s="278"/>
      <c r="AI98" s="278"/>
      <c r="AJ98" s="278"/>
      <c r="AK98" s="278"/>
      <c r="AL98" s="278"/>
      <c r="AM98" s="278"/>
      <c r="AN98" s="278"/>
    </row>
    <row r="99" spans="1:40" x14ac:dyDescent="0.2">
      <c r="B99" s="278"/>
      <c r="C99" s="278"/>
      <c r="D99" s="278"/>
      <c r="E99" s="278"/>
      <c r="F99" s="278"/>
      <c r="G99" s="257"/>
      <c r="H99" s="257"/>
      <c r="I99" s="257"/>
      <c r="J99" s="291"/>
      <c r="K99" s="291"/>
      <c r="L99" s="291"/>
      <c r="M99" s="278"/>
      <c r="N99" s="278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</row>
    <row r="100" spans="1:40" x14ac:dyDescent="0.2">
      <c r="B100" s="278"/>
      <c r="C100" s="278"/>
      <c r="D100" s="278"/>
      <c r="E100" s="278"/>
      <c r="F100" s="278"/>
      <c r="G100" s="257"/>
      <c r="H100" s="257"/>
      <c r="I100" s="257"/>
      <c r="J100" s="291"/>
      <c r="K100" s="291"/>
      <c r="L100" s="291"/>
      <c r="M100" s="278"/>
      <c r="N100" s="278"/>
      <c r="O100" s="278"/>
      <c r="P100" s="278"/>
      <c r="Q100" s="278"/>
      <c r="R100" s="278"/>
      <c r="S100" s="278"/>
      <c r="T100" s="278"/>
      <c r="U100" s="278"/>
      <c r="V100" s="278"/>
      <c r="W100" s="278"/>
      <c r="X100" s="278"/>
      <c r="Y100" s="278"/>
      <c r="Z100" s="278"/>
      <c r="AA100" s="278"/>
      <c r="AB100" s="278"/>
      <c r="AC100" s="278"/>
      <c r="AD100" s="278"/>
      <c r="AE100" s="278"/>
      <c r="AF100" s="278"/>
      <c r="AG100" s="278"/>
      <c r="AH100" s="278"/>
      <c r="AI100" s="278"/>
      <c r="AJ100" s="278"/>
      <c r="AK100" s="278"/>
      <c r="AL100" s="278"/>
      <c r="AM100" s="278"/>
      <c r="AN100" s="278"/>
    </row>
    <row r="101" spans="1:40" x14ac:dyDescent="0.2">
      <c r="B101" s="278"/>
      <c r="C101" s="278"/>
      <c r="D101" s="278"/>
      <c r="E101" s="278"/>
      <c r="F101" s="278"/>
      <c r="G101" s="257"/>
      <c r="H101" s="257"/>
      <c r="I101" s="257"/>
      <c r="J101" s="291"/>
      <c r="K101" s="291"/>
      <c r="L101" s="291"/>
      <c r="M101" s="278"/>
      <c r="N101" s="278"/>
      <c r="O101" s="278"/>
      <c r="P101" s="278"/>
      <c r="Q101" s="278"/>
      <c r="R101" s="278"/>
      <c r="S101" s="278"/>
      <c r="T101" s="278"/>
      <c r="U101" s="278"/>
      <c r="V101" s="278"/>
      <c r="W101" s="278"/>
      <c r="X101" s="278"/>
      <c r="Y101" s="278"/>
      <c r="Z101" s="278"/>
      <c r="AA101" s="278"/>
      <c r="AB101" s="278"/>
      <c r="AC101" s="278"/>
      <c r="AD101" s="278"/>
      <c r="AE101" s="278"/>
      <c r="AF101" s="278"/>
      <c r="AG101" s="278"/>
      <c r="AH101" s="278"/>
      <c r="AI101" s="278"/>
      <c r="AJ101" s="278"/>
      <c r="AK101" s="278"/>
      <c r="AL101" s="278"/>
      <c r="AM101" s="278"/>
      <c r="AN101" s="278"/>
    </row>
    <row r="102" spans="1:40" x14ac:dyDescent="0.2">
      <c r="B102" s="278"/>
      <c r="C102" s="278"/>
      <c r="D102" s="278"/>
      <c r="E102" s="278"/>
      <c r="F102" s="278"/>
      <c r="G102" s="257"/>
      <c r="H102" s="257"/>
      <c r="I102" s="257"/>
      <c r="J102" s="291"/>
      <c r="K102" s="291"/>
      <c r="L102" s="291"/>
      <c r="M102" s="278"/>
      <c r="N102" s="278"/>
      <c r="O102" s="278"/>
      <c r="P102" s="278"/>
      <c r="Q102" s="278"/>
      <c r="R102" s="278"/>
      <c r="S102" s="278"/>
      <c r="T102" s="278"/>
      <c r="U102" s="278"/>
      <c r="V102" s="278"/>
      <c r="W102" s="278"/>
      <c r="X102" s="278"/>
      <c r="Y102" s="278"/>
      <c r="Z102" s="278"/>
      <c r="AA102" s="278"/>
      <c r="AB102" s="278"/>
      <c r="AC102" s="278"/>
      <c r="AD102" s="278"/>
      <c r="AE102" s="278"/>
      <c r="AF102" s="278"/>
      <c r="AG102" s="278"/>
      <c r="AH102" s="278"/>
      <c r="AI102" s="278"/>
      <c r="AJ102" s="278"/>
      <c r="AK102" s="278"/>
      <c r="AL102" s="278"/>
      <c r="AM102" s="278"/>
      <c r="AN102" s="278"/>
    </row>
    <row r="103" spans="1:40" x14ac:dyDescent="0.2">
      <c r="B103" s="278"/>
      <c r="C103" s="278"/>
      <c r="D103" s="278"/>
      <c r="E103" s="278"/>
      <c r="F103" s="278"/>
      <c r="G103" s="278"/>
      <c r="H103" s="278"/>
      <c r="I103" s="278"/>
      <c r="J103" s="291"/>
      <c r="K103" s="291"/>
      <c r="L103" s="291"/>
      <c r="M103" s="278"/>
      <c r="N103" s="278"/>
      <c r="O103" s="278"/>
      <c r="P103" s="278"/>
      <c r="Q103" s="278"/>
      <c r="R103" s="278"/>
      <c r="S103" s="278"/>
      <c r="T103" s="278"/>
      <c r="U103" s="278"/>
      <c r="V103" s="278"/>
      <c r="W103" s="278"/>
      <c r="X103" s="278"/>
      <c r="Y103" s="278"/>
      <c r="Z103" s="278"/>
      <c r="AA103" s="278"/>
      <c r="AB103" s="278"/>
      <c r="AC103" s="278"/>
      <c r="AD103" s="278"/>
      <c r="AE103" s="278"/>
      <c r="AF103" s="278"/>
      <c r="AG103" s="278"/>
      <c r="AH103" s="278"/>
      <c r="AI103" s="278"/>
      <c r="AJ103" s="278"/>
      <c r="AK103" s="278"/>
      <c r="AL103" s="278"/>
      <c r="AM103" s="278"/>
      <c r="AN103" s="278"/>
    </row>
    <row r="104" spans="1:40" x14ac:dyDescent="0.2">
      <c r="B104" s="278"/>
      <c r="C104" s="278"/>
      <c r="D104" s="278"/>
      <c r="E104" s="278"/>
      <c r="F104" s="278"/>
      <c r="G104" s="278"/>
      <c r="H104" s="278"/>
      <c r="I104" s="278"/>
      <c r="J104" s="291"/>
      <c r="K104" s="291"/>
      <c r="L104" s="291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  <c r="X104" s="278"/>
      <c r="Y104" s="278"/>
      <c r="Z104" s="278"/>
      <c r="AA104" s="278"/>
      <c r="AB104" s="278"/>
      <c r="AC104" s="278"/>
      <c r="AD104" s="278"/>
      <c r="AE104" s="278"/>
      <c r="AF104" s="278"/>
      <c r="AG104" s="278"/>
      <c r="AH104" s="278"/>
      <c r="AI104" s="278"/>
      <c r="AJ104" s="278"/>
      <c r="AK104" s="278"/>
      <c r="AL104" s="278"/>
      <c r="AM104" s="278"/>
      <c r="AN104" s="278"/>
    </row>
    <row r="105" spans="1:40" x14ac:dyDescent="0.2">
      <c r="B105" s="278"/>
      <c r="C105" s="278"/>
      <c r="D105" s="278"/>
      <c r="E105" s="278"/>
      <c r="F105" s="278"/>
      <c r="G105" s="278"/>
      <c r="H105" s="278"/>
      <c r="I105" s="278"/>
      <c r="J105" s="291"/>
      <c r="K105" s="291"/>
      <c r="L105" s="291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  <c r="X105" s="278"/>
      <c r="Y105" s="278"/>
      <c r="Z105" s="278"/>
      <c r="AA105" s="278"/>
      <c r="AB105" s="278"/>
      <c r="AC105" s="278"/>
      <c r="AD105" s="278"/>
      <c r="AE105" s="278"/>
      <c r="AF105" s="278"/>
      <c r="AG105" s="278"/>
      <c r="AH105" s="278"/>
      <c r="AI105" s="278"/>
      <c r="AJ105" s="278"/>
      <c r="AK105" s="278"/>
      <c r="AL105" s="278"/>
      <c r="AM105" s="278"/>
      <c r="AN105" s="278"/>
    </row>
    <row r="106" spans="1:40" x14ac:dyDescent="0.2">
      <c r="B106" s="278"/>
      <c r="C106" s="278"/>
      <c r="D106" s="278"/>
      <c r="E106" s="278"/>
      <c r="F106" s="278"/>
      <c r="G106" s="278"/>
      <c r="H106" s="278"/>
      <c r="I106" s="278"/>
      <c r="J106" s="291"/>
      <c r="K106" s="291"/>
      <c r="L106" s="291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  <c r="X106" s="278"/>
      <c r="Y106" s="278"/>
      <c r="Z106" s="278"/>
      <c r="AA106" s="278"/>
      <c r="AB106" s="278"/>
      <c r="AC106" s="278"/>
      <c r="AD106" s="278"/>
      <c r="AE106" s="278"/>
      <c r="AF106" s="278"/>
      <c r="AG106" s="278"/>
      <c r="AH106" s="278"/>
      <c r="AI106" s="278"/>
      <c r="AJ106" s="278"/>
      <c r="AK106" s="278"/>
      <c r="AL106" s="278"/>
      <c r="AM106" s="278"/>
      <c r="AN106" s="278"/>
    </row>
    <row r="107" spans="1:40" x14ac:dyDescent="0.2">
      <c r="J107" s="272"/>
      <c r="K107" s="272"/>
      <c r="L107" s="272"/>
    </row>
    <row r="108" spans="1:40" x14ac:dyDescent="0.2">
      <c r="A108" s="272"/>
      <c r="J108" s="272"/>
      <c r="K108" s="272"/>
      <c r="L108" s="272"/>
    </row>
    <row r="109" spans="1:40" x14ac:dyDescent="0.2">
      <c r="A109" s="272"/>
      <c r="J109" s="272"/>
      <c r="K109" s="272"/>
      <c r="L109" s="272"/>
    </row>
    <row r="110" spans="1:40" x14ac:dyDescent="0.2">
      <c r="A110" s="272"/>
      <c r="J110" s="272"/>
      <c r="K110" s="272"/>
      <c r="L110" s="272"/>
    </row>
    <row r="111" spans="1:40" x14ac:dyDescent="0.2">
      <c r="A111" s="272"/>
      <c r="J111" s="272"/>
      <c r="K111" s="272"/>
      <c r="L111" s="272"/>
    </row>
    <row r="112" spans="1:40" x14ac:dyDescent="0.2">
      <c r="A112" s="272"/>
      <c r="J112" s="272"/>
      <c r="K112" s="272"/>
      <c r="L112" s="272"/>
    </row>
    <row r="113" spans="1:12" x14ac:dyDescent="0.2">
      <c r="A113" s="272"/>
      <c r="J113" s="272"/>
      <c r="K113" s="272"/>
      <c r="L113" s="272"/>
    </row>
    <row r="114" spans="1:12" x14ac:dyDescent="0.2">
      <c r="A114" s="272"/>
      <c r="J114" s="272"/>
      <c r="K114" s="272"/>
      <c r="L114" s="272"/>
    </row>
    <row r="115" spans="1:12" x14ac:dyDescent="0.2">
      <c r="A115" s="272"/>
      <c r="J115" s="272"/>
      <c r="K115" s="272"/>
      <c r="L115" s="272"/>
    </row>
    <row r="116" spans="1:12" x14ac:dyDescent="0.2">
      <c r="A116" s="272"/>
      <c r="J116" s="272"/>
      <c r="K116" s="272"/>
      <c r="L116" s="272"/>
    </row>
    <row r="117" spans="1:12" x14ac:dyDescent="0.2">
      <c r="A117" s="272"/>
      <c r="J117" s="272"/>
      <c r="K117" s="272"/>
      <c r="L117" s="272"/>
    </row>
    <row r="118" spans="1:12" x14ac:dyDescent="0.2">
      <c r="A118" s="272"/>
      <c r="J118" s="272"/>
      <c r="K118" s="272"/>
      <c r="L118" s="272"/>
    </row>
    <row r="119" spans="1:12" x14ac:dyDescent="0.2">
      <c r="A119" s="272"/>
      <c r="J119" s="272"/>
      <c r="K119" s="272"/>
      <c r="L119" s="272"/>
    </row>
    <row r="120" spans="1:12" x14ac:dyDescent="0.2">
      <c r="A120" s="272"/>
      <c r="J120" s="272"/>
      <c r="K120" s="272"/>
      <c r="L120" s="272"/>
    </row>
    <row r="121" spans="1:12" x14ac:dyDescent="0.2">
      <c r="A121" s="272"/>
      <c r="J121" s="272"/>
      <c r="K121" s="272"/>
      <c r="L121" s="272"/>
    </row>
    <row r="122" spans="1:12" x14ac:dyDescent="0.2">
      <c r="A122" s="272"/>
      <c r="J122" s="272"/>
      <c r="K122" s="272"/>
      <c r="L122" s="272"/>
    </row>
    <row r="123" spans="1:12" x14ac:dyDescent="0.2">
      <c r="A123" s="272"/>
      <c r="J123" s="272"/>
      <c r="K123" s="272"/>
      <c r="L123" s="272"/>
    </row>
    <row r="124" spans="1:12" x14ac:dyDescent="0.2">
      <c r="A124" s="272"/>
      <c r="J124" s="272"/>
      <c r="K124" s="272"/>
      <c r="L124" s="272"/>
    </row>
    <row r="125" spans="1:12" x14ac:dyDescent="0.2">
      <c r="A125" s="272"/>
      <c r="J125" s="272"/>
      <c r="K125" s="272"/>
      <c r="L125" s="272"/>
    </row>
    <row r="126" spans="1:12" x14ac:dyDescent="0.2">
      <c r="A126" s="272"/>
      <c r="J126" s="272"/>
      <c r="K126" s="272"/>
      <c r="L126" s="272"/>
    </row>
    <row r="127" spans="1:12" x14ac:dyDescent="0.2">
      <c r="A127" s="272"/>
      <c r="J127" s="272"/>
      <c r="K127" s="272"/>
      <c r="L127" s="272"/>
    </row>
    <row r="128" spans="1:12" x14ac:dyDescent="0.2">
      <c r="A128" s="272"/>
      <c r="J128" s="272"/>
      <c r="K128" s="272"/>
      <c r="L128" s="272"/>
    </row>
    <row r="129" spans="1:12" x14ac:dyDescent="0.2">
      <c r="A129" s="272"/>
      <c r="J129" s="272"/>
      <c r="K129" s="272"/>
      <c r="L129" s="272"/>
    </row>
    <row r="130" spans="1:12" x14ac:dyDescent="0.2">
      <c r="A130" s="272"/>
      <c r="J130" s="272"/>
      <c r="K130" s="272"/>
      <c r="L130" s="272"/>
    </row>
    <row r="131" spans="1:12" x14ac:dyDescent="0.2">
      <c r="A131" s="272"/>
      <c r="J131" s="272"/>
      <c r="K131" s="272"/>
      <c r="L131" s="272"/>
    </row>
    <row r="132" spans="1:12" x14ac:dyDescent="0.2">
      <c r="A132" s="272"/>
      <c r="J132" s="272"/>
      <c r="K132" s="272"/>
      <c r="L132" s="272"/>
    </row>
    <row r="133" spans="1:12" x14ac:dyDescent="0.2">
      <c r="A133" s="272"/>
      <c r="J133" s="272"/>
      <c r="K133" s="272"/>
      <c r="L133" s="272"/>
    </row>
    <row r="134" spans="1:12" x14ac:dyDescent="0.2">
      <c r="A134" s="272"/>
      <c r="J134" s="272"/>
      <c r="K134" s="272"/>
      <c r="L134" s="272"/>
    </row>
    <row r="135" spans="1:12" x14ac:dyDescent="0.2">
      <c r="A135" s="272"/>
      <c r="J135" s="272"/>
      <c r="K135" s="272"/>
      <c r="L135" s="272"/>
    </row>
    <row r="136" spans="1:12" x14ac:dyDescent="0.2">
      <c r="A136" s="272"/>
      <c r="J136" s="272"/>
      <c r="K136" s="272"/>
      <c r="L136" s="272"/>
    </row>
    <row r="137" spans="1:12" x14ac:dyDescent="0.2">
      <c r="A137" s="272"/>
      <c r="J137" s="272"/>
      <c r="K137" s="272"/>
      <c r="L137" s="272"/>
    </row>
    <row r="138" spans="1:12" x14ac:dyDescent="0.2">
      <c r="A138" s="272"/>
      <c r="J138" s="272"/>
      <c r="K138" s="272"/>
      <c r="L138" s="272"/>
    </row>
    <row r="139" spans="1:12" x14ac:dyDescent="0.2">
      <c r="A139" s="272"/>
      <c r="J139" s="272"/>
      <c r="K139" s="272"/>
      <c r="L139" s="272"/>
    </row>
    <row r="140" spans="1:12" x14ac:dyDescent="0.2">
      <c r="A140" s="272"/>
      <c r="J140" s="272"/>
      <c r="K140" s="272"/>
      <c r="L140" s="272"/>
    </row>
    <row r="141" spans="1:12" x14ac:dyDescent="0.2">
      <c r="A141" s="272"/>
      <c r="J141" s="272"/>
      <c r="K141" s="272"/>
      <c r="L141" s="272"/>
    </row>
    <row r="142" spans="1:12" x14ac:dyDescent="0.2">
      <c r="A142" s="272"/>
      <c r="J142" s="272"/>
      <c r="K142" s="272"/>
      <c r="L142" s="272"/>
    </row>
    <row r="143" spans="1:12" x14ac:dyDescent="0.2">
      <c r="A143" s="272"/>
      <c r="J143" s="272"/>
      <c r="K143" s="272"/>
      <c r="L143" s="272"/>
    </row>
    <row r="144" spans="1:12" x14ac:dyDescent="0.2">
      <c r="A144" s="272"/>
      <c r="J144" s="272"/>
      <c r="K144" s="272"/>
      <c r="L144" s="272"/>
    </row>
    <row r="145" spans="1:12" x14ac:dyDescent="0.2">
      <c r="A145" s="272"/>
      <c r="J145" s="272"/>
      <c r="K145" s="272"/>
      <c r="L145" s="272"/>
    </row>
    <row r="146" spans="1:12" x14ac:dyDescent="0.2">
      <c r="A146" s="272"/>
      <c r="J146" s="272"/>
      <c r="K146" s="272"/>
      <c r="L146" s="272"/>
    </row>
    <row r="147" spans="1:12" x14ac:dyDescent="0.2">
      <c r="A147" s="272"/>
      <c r="J147" s="272"/>
      <c r="K147" s="272"/>
      <c r="L147" s="272"/>
    </row>
    <row r="148" spans="1:12" x14ac:dyDescent="0.2">
      <c r="A148" s="272"/>
      <c r="J148" s="272"/>
      <c r="K148" s="272"/>
      <c r="L148" s="272"/>
    </row>
    <row r="149" spans="1:12" x14ac:dyDescent="0.2">
      <c r="A149" s="272"/>
      <c r="J149" s="272"/>
      <c r="K149" s="272"/>
      <c r="L149" s="272"/>
    </row>
    <row r="150" spans="1:12" x14ac:dyDescent="0.2">
      <c r="A150" s="272"/>
      <c r="J150" s="272"/>
      <c r="K150" s="272"/>
      <c r="L150" s="272"/>
    </row>
    <row r="151" spans="1:12" x14ac:dyDescent="0.2">
      <c r="A151" s="272"/>
      <c r="J151" s="272"/>
      <c r="K151" s="272"/>
      <c r="L151" s="272"/>
    </row>
    <row r="152" spans="1:12" x14ac:dyDescent="0.2">
      <c r="A152" s="272"/>
      <c r="J152" s="272"/>
      <c r="K152" s="272"/>
      <c r="L152" s="272"/>
    </row>
    <row r="153" spans="1:12" x14ac:dyDescent="0.2">
      <c r="A153" s="272"/>
      <c r="J153" s="272"/>
      <c r="K153" s="272"/>
      <c r="L153" s="272"/>
    </row>
    <row r="154" spans="1:12" x14ac:dyDescent="0.2">
      <c r="A154" s="272"/>
      <c r="J154" s="272"/>
      <c r="K154" s="272"/>
      <c r="L154" s="272"/>
    </row>
    <row r="155" spans="1:12" x14ac:dyDescent="0.2">
      <c r="A155" s="272"/>
      <c r="J155" s="272"/>
      <c r="K155" s="272"/>
      <c r="L155" s="272"/>
    </row>
    <row r="156" spans="1:12" x14ac:dyDescent="0.2">
      <c r="A156" s="272"/>
      <c r="J156" s="272"/>
      <c r="K156" s="272"/>
      <c r="L156" s="272"/>
    </row>
    <row r="157" spans="1:12" x14ac:dyDescent="0.2">
      <c r="A157" s="272"/>
      <c r="J157" s="272"/>
      <c r="K157" s="272"/>
      <c r="L157" s="272"/>
    </row>
    <row r="158" spans="1:12" x14ac:dyDescent="0.2">
      <c r="A158" s="272"/>
      <c r="J158" s="272"/>
      <c r="K158" s="272"/>
      <c r="L158" s="272"/>
    </row>
    <row r="159" spans="1:12" x14ac:dyDescent="0.2">
      <c r="A159" s="272"/>
      <c r="J159" s="272"/>
      <c r="K159" s="272"/>
      <c r="L159" s="272"/>
    </row>
    <row r="160" spans="1:12" x14ac:dyDescent="0.2">
      <c r="A160" s="272"/>
      <c r="J160" s="272"/>
      <c r="K160" s="272"/>
      <c r="L160" s="272"/>
    </row>
    <row r="161" spans="1:12" x14ac:dyDescent="0.2">
      <c r="A161" s="272"/>
      <c r="J161" s="272"/>
      <c r="K161" s="272"/>
      <c r="L161" s="272"/>
    </row>
    <row r="162" spans="1:12" x14ac:dyDescent="0.2">
      <c r="A162" s="272"/>
      <c r="J162" s="272"/>
      <c r="K162" s="272"/>
      <c r="L162" s="272"/>
    </row>
    <row r="177" spans="1:141" x14ac:dyDescent="0.2">
      <c r="A177" s="272"/>
      <c r="I177" s="290"/>
      <c r="J177" s="256"/>
      <c r="K177" s="256"/>
      <c r="L177" s="256"/>
      <c r="M177" s="290"/>
      <c r="N177" s="290"/>
      <c r="O177" s="290"/>
      <c r="P177" s="290"/>
      <c r="Q177" s="290"/>
      <c r="R177" s="290"/>
      <c r="S177" s="290"/>
      <c r="T177" s="290"/>
      <c r="U177" s="290"/>
      <c r="V177" s="290"/>
      <c r="W177" s="290"/>
      <c r="X177" s="290"/>
      <c r="Y177" s="290"/>
      <c r="Z177" s="290"/>
      <c r="AA177" s="290"/>
      <c r="AB177" s="290"/>
      <c r="AC177" s="290"/>
      <c r="AD177" s="290"/>
      <c r="AE177" s="290"/>
      <c r="AF177" s="290"/>
      <c r="AG177" s="290"/>
      <c r="AH177" s="290"/>
      <c r="AI177" s="290"/>
      <c r="AJ177" s="290"/>
      <c r="AK177" s="290"/>
      <c r="AL177" s="290"/>
      <c r="AM177" s="290"/>
      <c r="AN177" s="290"/>
      <c r="AO177" s="290"/>
      <c r="AP177" s="290"/>
      <c r="AQ177" s="290"/>
      <c r="AR177" s="290"/>
      <c r="AS177" s="290"/>
      <c r="AT177" s="290"/>
      <c r="AU177" s="290"/>
      <c r="AV177" s="290"/>
      <c r="AW177" s="290"/>
      <c r="AX177" s="290"/>
      <c r="AY177" s="290"/>
      <c r="AZ177" s="290"/>
      <c r="BA177" s="290"/>
      <c r="BB177" s="290"/>
      <c r="BC177" s="290"/>
      <c r="BD177" s="290"/>
      <c r="BE177" s="290"/>
      <c r="BF177" s="290"/>
      <c r="BG177" s="290"/>
      <c r="BH177" s="290"/>
      <c r="BI177" s="290"/>
      <c r="BJ177" s="290"/>
      <c r="BK177" s="290"/>
      <c r="BL177" s="290"/>
      <c r="BM177" s="290"/>
      <c r="BN177" s="290"/>
      <c r="BO177" s="290"/>
      <c r="BP177" s="290"/>
      <c r="BQ177" s="290"/>
      <c r="BR177" s="290"/>
      <c r="BS177" s="290"/>
    </row>
    <row r="178" spans="1:141" x14ac:dyDescent="0.2">
      <c r="A178" s="272"/>
      <c r="I178" s="290"/>
      <c r="J178" s="256"/>
      <c r="K178" s="256"/>
      <c r="L178" s="256"/>
      <c r="M178" s="290"/>
      <c r="N178" s="290"/>
      <c r="O178" s="290"/>
      <c r="P178" s="290"/>
      <c r="Q178" s="290"/>
      <c r="R178" s="290"/>
      <c r="S178" s="290"/>
      <c r="T178" s="290"/>
      <c r="U178" s="290"/>
      <c r="V178" s="290"/>
      <c r="W178" s="290"/>
      <c r="X178" s="290"/>
      <c r="Y178" s="290"/>
      <c r="Z178" s="290"/>
      <c r="AA178" s="290"/>
      <c r="AB178" s="290"/>
      <c r="AC178" s="290"/>
      <c r="AD178" s="290"/>
      <c r="AE178" s="290"/>
      <c r="AF178" s="290"/>
      <c r="AG178" s="290"/>
      <c r="AH178" s="290"/>
      <c r="AI178" s="290"/>
      <c r="AJ178" s="290"/>
      <c r="AK178" s="290"/>
      <c r="AL178" s="290"/>
      <c r="AM178" s="290"/>
      <c r="AN178" s="290"/>
      <c r="AO178" s="290"/>
      <c r="AP178" s="290"/>
      <c r="AQ178" s="290"/>
      <c r="AR178" s="290"/>
      <c r="AS178" s="290"/>
      <c r="AT178" s="290"/>
      <c r="AU178" s="290"/>
      <c r="AV178" s="290"/>
      <c r="AW178" s="290"/>
      <c r="AX178" s="290"/>
      <c r="AY178" s="290"/>
      <c r="AZ178" s="290"/>
      <c r="BA178" s="290"/>
      <c r="BB178" s="290"/>
      <c r="BC178" s="290"/>
      <c r="BD178" s="290"/>
      <c r="BE178" s="290"/>
      <c r="BF178" s="290"/>
      <c r="BG178" s="290"/>
      <c r="BH178" s="290"/>
      <c r="BI178" s="290"/>
      <c r="BJ178" s="290"/>
      <c r="BK178" s="290"/>
      <c r="BL178" s="290"/>
      <c r="BM178" s="290"/>
      <c r="BN178" s="290"/>
      <c r="BO178" s="290"/>
      <c r="BP178" s="290"/>
      <c r="BQ178" s="290"/>
      <c r="BR178" s="290"/>
      <c r="BS178" s="290"/>
      <c r="BT178" s="273"/>
      <c r="BU178" s="255"/>
      <c r="BV178" s="273"/>
      <c r="BW178" s="255"/>
      <c r="BX178" s="273"/>
      <c r="BY178" s="255"/>
      <c r="BZ178" s="273"/>
      <c r="CA178" s="255"/>
      <c r="CB178" s="273"/>
      <c r="CC178" s="255"/>
      <c r="CD178" s="273"/>
      <c r="CE178" s="255"/>
      <c r="CF178" s="273"/>
      <c r="CG178" s="255"/>
      <c r="CH178" s="273"/>
      <c r="CI178" s="255"/>
      <c r="CJ178" s="273"/>
      <c r="CK178" s="255"/>
      <c r="CL178" s="273"/>
      <c r="CM178" s="255"/>
      <c r="CN178" s="273"/>
      <c r="CO178" s="255"/>
      <c r="CP178" s="273"/>
      <c r="CQ178" s="255"/>
      <c r="CR178" s="273"/>
      <c r="CS178" s="255"/>
      <c r="CT178" s="273"/>
      <c r="CU178" s="255"/>
      <c r="CV178" s="273"/>
      <c r="CW178" s="255"/>
      <c r="CX178" s="273"/>
      <c r="CY178" s="255"/>
      <c r="CZ178" s="273"/>
      <c r="DA178" s="255"/>
      <c r="DB178" s="273"/>
      <c r="DC178" s="255"/>
      <c r="DD178" s="273"/>
      <c r="DE178" s="255"/>
      <c r="DF178" s="273"/>
      <c r="DG178" s="255"/>
      <c r="DH178" s="273"/>
      <c r="DI178" s="255"/>
      <c r="DJ178" s="273"/>
      <c r="DK178" s="255"/>
      <c r="DL178" s="273"/>
      <c r="DM178" s="255"/>
      <c r="DN178" s="273"/>
      <c r="DO178" s="255"/>
      <c r="DP178" s="273"/>
      <c r="DQ178" s="255"/>
      <c r="DR178" s="273"/>
      <c r="DS178" s="255"/>
      <c r="DT178" s="273"/>
      <c r="DU178" s="255"/>
      <c r="DV178" s="273"/>
      <c r="DW178" s="255"/>
      <c r="DX178" s="273"/>
      <c r="DY178" s="255"/>
      <c r="DZ178" s="273"/>
      <c r="EA178" s="255"/>
      <c r="EB178" s="273"/>
      <c r="EC178" s="255"/>
      <c r="ED178" s="273"/>
      <c r="EE178" s="255"/>
      <c r="EF178" s="273"/>
      <c r="EG178" s="255"/>
      <c r="EH178" s="273"/>
      <c r="EI178" s="255"/>
      <c r="EJ178" s="273"/>
      <c r="EK178" s="255"/>
    </row>
    <row r="179" spans="1:141" x14ac:dyDescent="0.2">
      <c r="A179" s="272"/>
      <c r="I179" s="290"/>
      <c r="J179" s="256"/>
      <c r="K179" s="256"/>
      <c r="L179" s="256"/>
      <c r="M179" s="290"/>
      <c r="N179" s="290"/>
      <c r="O179" s="290"/>
      <c r="P179" s="290"/>
      <c r="Q179" s="290"/>
      <c r="R179" s="290"/>
      <c r="S179" s="290"/>
      <c r="T179" s="290"/>
      <c r="U179" s="290"/>
      <c r="V179" s="290"/>
      <c r="W179" s="290"/>
      <c r="X179" s="290"/>
      <c r="Y179" s="290"/>
      <c r="Z179" s="290"/>
      <c r="AA179" s="290"/>
      <c r="AB179" s="290"/>
      <c r="AC179" s="290"/>
      <c r="AD179" s="290"/>
      <c r="AE179" s="290"/>
      <c r="AF179" s="290"/>
      <c r="AG179" s="290"/>
      <c r="AH179" s="290"/>
      <c r="AI179" s="290"/>
      <c r="AJ179" s="290"/>
      <c r="AK179" s="290"/>
      <c r="AL179" s="290"/>
      <c r="AM179" s="290"/>
      <c r="AN179" s="290"/>
      <c r="AO179" s="290"/>
      <c r="AP179" s="290"/>
      <c r="AQ179" s="290"/>
      <c r="AR179" s="290"/>
      <c r="AS179" s="290"/>
      <c r="AT179" s="290"/>
      <c r="AU179" s="290"/>
      <c r="AV179" s="290"/>
      <c r="AW179" s="290"/>
      <c r="AX179" s="290"/>
      <c r="AY179" s="290"/>
      <c r="AZ179" s="290"/>
      <c r="BA179" s="290"/>
      <c r="BB179" s="290"/>
      <c r="BC179" s="290"/>
      <c r="BD179" s="290"/>
      <c r="BE179" s="290"/>
      <c r="BF179" s="290"/>
      <c r="BG179" s="290"/>
      <c r="BH179" s="290"/>
      <c r="BI179" s="290"/>
      <c r="BJ179" s="290"/>
      <c r="BK179" s="290"/>
      <c r="BL179" s="290"/>
      <c r="BM179" s="290"/>
      <c r="BN179" s="290"/>
      <c r="BO179" s="290"/>
      <c r="BP179" s="290"/>
      <c r="BQ179" s="290"/>
      <c r="BR179" s="290"/>
      <c r="BS179" s="290"/>
    </row>
    <row r="180" spans="1:141" x14ac:dyDescent="0.2">
      <c r="A180" s="272"/>
      <c r="I180" s="290"/>
      <c r="J180" s="256"/>
      <c r="K180" s="256"/>
      <c r="L180" s="256"/>
      <c r="M180" s="290"/>
      <c r="N180" s="290"/>
      <c r="O180" s="290"/>
      <c r="P180" s="290"/>
      <c r="Q180" s="290"/>
      <c r="R180" s="290"/>
      <c r="S180" s="290"/>
      <c r="T180" s="290"/>
      <c r="U180" s="290"/>
      <c r="V180" s="290"/>
      <c r="W180" s="290"/>
      <c r="X180" s="290"/>
      <c r="Y180" s="290"/>
      <c r="Z180" s="290"/>
      <c r="AA180" s="290"/>
      <c r="AB180" s="290"/>
      <c r="AC180" s="290"/>
      <c r="AD180" s="290"/>
      <c r="AE180" s="290"/>
      <c r="AF180" s="290"/>
      <c r="AG180" s="290"/>
      <c r="AH180" s="290"/>
      <c r="AI180" s="290"/>
      <c r="AJ180" s="290"/>
      <c r="AK180" s="290"/>
      <c r="AL180" s="290"/>
      <c r="AM180" s="290"/>
      <c r="AN180" s="290"/>
      <c r="AO180" s="290"/>
      <c r="AP180" s="290"/>
      <c r="AQ180" s="290"/>
      <c r="AR180" s="290"/>
      <c r="AS180" s="290"/>
      <c r="AT180" s="290"/>
      <c r="AU180" s="290"/>
      <c r="AV180" s="290"/>
      <c r="AW180" s="290"/>
      <c r="AX180" s="290"/>
      <c r="AY180" s="290"/>
      <c r="AZ180" s="290"/>
      <c r="BA180" s="290"/>
      <c r="BB180" s="290"/>
      <c r="BC180" s="290"/>
      <c r="BD180" s="290"/>
      <c r="BE180" s="290"/>
      <c r="BF180" s="290"/>
      <c r="BG180" s="290"/>
      <c r="BH180" s="290"/>
      <c r="BI180" s="290"/>
      <c r="BJ180" s="290"/>
      <c r="BK180" s="290"/>
      <c r="BL180" s="290"/>
      <c r="BM180" s="290"/>
      <c r="BN180" s="290"/>
      <c r="BO180" s="290"/>
      <c r="BP180" s="290"/>
      <c r="BQ180" s="290"/>
      <c r="BR180" s="290"/>
      <c r="BS180" s="290"/>
      <c r="BT180" s="273"/>
      <c r="BU180" s="255"/>
      <c r="BV180" s="273"/>
      <c r="BW180" s="255"/>
      <c r="BX180" s="273"/>
      <c r="BY180" s="255"/>
      <c r="BZ180" s="273"/>
      <c r="CA180" s="255"/>
      <c r="CB180" s="273"/>
      <c r="CC180" s="255"/>
      <c r="CD180" s="273"/>
      <c r="CE180" s="255"/>
      <c r="CF180" s="273"/>
      <c r="CG180" s="255"/>
      <c r="CH180" s="273"/>
      <c r="CI180" s="255"/>
      <c r="CJ180" s="273"/>
      <c r="CK180" s="255"/>
      <c r="CL180" s="273"/>
      <c r="CM180" s="255"/>
      <c r="CN180" s="273"/>
      <c r="CO180" s="255"/>
      <c r="CP180" s="273"/>
      <c r="CQ180" s="255"/>
      <c r="CR180" s="273"/>
      <c r="CS180" s="255"/>
      <c r="CT180" s="273"/>
      <c r="CU180" s="255"/>
      <c r="CV180" s="273"/>
      <c r="CW180" s="255"/>
      <c r="CX180" s="273"/>
      <c r="CY180" s="255"/>
      <c r="CZ180" s="273"/>
      <c r="DA180" s="255"/>
      <c r="DB180" s="273"/>
      <c r="DC180" s="255"/>
      <c r="DD180" s="273"/>
      <c r="DE180" s="255"/>
      <c r="DF180" s="273"/>
      <c r="DG180" s="255"/>
      <c r="DH180" s="273"/>
      <c r="DI180" s="255"/>
      <c r="DJ180" s="273"/>
      <c r="DK180" s="255"/>
      <c r="DL180" s="273"/>
      <c r="DM180" s="255"/>
      <c r="DN180" s="273"/>
      <c r="DO180" s="255"/>
      <c r="DP180" s="273"/>
      <c r="DQ180" s="255"/>
      <c r="DR180" s="273"/>
      <c r="DS180" s="255"/>
      <c r="DT180" s="273"/>
      <c r="DU180" s="255"/>
      <c r="DV180" s="273"/>
      <c r="DW180" s="255"/>
      <c r="DX180" s="273"/>
      <c r="DY180" s="255"/>
      <c r="DZ180" s="273"/>
      <c r="EA180" s="255"/>
      <c r="EB180" s="273"/>
      <c r="EC180" s="255"/>
      <c r="ED180" s="273"/>
      <c r="EE180" s="255"/>
      <c r="EF180" s="273"/>
      <c r="EG180" s="255"/>
      <c r="EH180" s="273"/>
      <c r="EI180" s="255"/>
      <c r="EJ180" s="273"/>
      <c r="EK180" s="255"/>
    </row>
    <row r="181" spans="1:141" x14ac:dyDescent="0.2">
      <c r="A181" s="272"/>
      <c r="I181" s="290"/>
      <c r="J181" s="256"/>
      <c r="K181" s="256"/>
      <c r="L181" s="256"/>
      <c r="M181" s="290"/>
      <c r="N181" s="290"/>
      <c r="O181" s="290"/>
      <c r="P181" s="290"/>
      <c r="Q181" s="290"/>
      <c r="R181" s="290"/>
      <c r="S181" s="290"/>
      <c r="T181" s="290"/>
      <c r="U181" s="290"/>
      <c r="V181" s="290"/>
      <c r="W181" s="290"/>
      <c r="X181" s="290"/>
      <c r="Y181" s="290"/>
      <c r="Z181" s="290"/>
      <c r="AA181" s="290"/>
      <c r="AB181" s="290"/>
      <c r="AC181" s="290"/>
      <c r="AD181" s="290"/>
      <c r="AE181" s="290"/>
      <c r="AF181" s="290"/>
      <c r="AG181" s="290"/>
      <c r="AH181" s="290"/>
      <c r="AI181" s="290"/>
      <c r="AJ181" s="290"/>
      <c r="AK181" s="290"/>
      <c r="AL181" s="290"/>
      <c r="AM181" s="290"/>
      <c r="AN181" s="290"/>
      <c r="AO181" s="290"/>
      <c r="AP181" s="290"/>
      <c r="AQ181" s="290"/>
      <c r="AR181" s="290"/>
      <c r="AS181" s="290"/>
      <c r="AT181" s="290"/>
      <c r="AU181" s="290"/>
      <c r="AV181" s="290"/>
      <c r="AW181" s="290"/>
      <c r="AX181" s="290"/>
      <c r="AY181" s="290"/>
      <c r="AZ181" s="290"/>
      <c r="BA181" s="290"/>
      <c r="BB181" s="290"/>
      <c r="BC181" s="290"/>
      <c r="BD181" s="290"/>
      <c r="BE181" s="290"/>
      <c r="BF181" s="290"/>
      <c r="BG181" s="290"/>
      <c r="BH181" s="290"/>
      <c r="BI181" s="290"/>
      <c r="BJ181" s="290"/>
      <c r="BK181" s="290"/>
      <c r="BL181" s="290"/>
      <c r="BM181" s="290"/>
      <c r="BN181" s="290"/>
      <c r="BO181" s="290"/>
      <c r="BP181" s="290"/>
      <c r="BQ181" s="290"/>
      <c r="BR181" s="290"/>
      <c r="BS181" s="290"/>
    </row>
    <row r="1048576" spans="7:9" x14ac:dyDescent="0.2">
      <c r="G1048576" s="278"/>
      <c r="H1048576" s="278"/>
      <c r="I1048576" s="278"/>
    </row>
  </sheetData>
  <sortState xmlns:xlrd2="http://schemas.microsoft.com/office/spreadsheetml/2017/richdata2" ref="B269:B307">
    <sortCondition ref="B269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7"/>
  </sheetPr>
  <dimension ref="A1:BG6348"/>
  <sheetViews>
    <sheetView tabSelected="1" zoomScale="70" zoomScaleNormal="7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12.75" zeroHeight="1" x14ac:dyDescent="0.2"/>
  <cols>
    <col min="1" max="1" width="7.7109375" bestFit="1" customWidth="1"/>
    <col min="2" max="2" width="23.5703125" bestFit="1" customWidth="1"/>
    <col min="3" max="3" width="20.7109375" bestFit="1" customWidth="1"/>
    <col min="4" max="10" width="10.140625" customWidth="1"/>
    <col min="11" max="11" width="22.85546875" customWidth="1"/>
    <col min="12" max="15" width="10.140625" style="272" customWidth="1"/>
    <col min="16" max="16" width="12.140625" customWidth="1"/>
    <col min="17" max="17" width="10.28515625" bestFit="1" customWidth="1"/>
    <col min="18" max="18" width="11" bestFit="1" customWidth="1"/>
    <col min="19" max="23" width="12.7109375" customWidth="1"/>
    <col min="24" max="28" width="12.7109375" style="272" customWidth="1"/>
    <col min="29" max="29" width="15.5703125" customWidth="1"/>
    <col min="30" max="34" width="8.5703125" customWidth="1"/>
    <col min="35" max="38" width="8.5703125" style="272" customWidth="1"/>
    <col min="39" max="40" width="10.140625" bestFit="1" customWidth="1"/>
    <col min="41" max="42" width="11.5703125" customWidth="1"/>
    <col min="43" max="46" width="11.5703125" style="272" customWidth="1"/>
    <col min="47" max="47" width="17" customWidth="1"/>
    <col min="48" max="48" width="22.28515625" customWidth="1"/>
    <col min="49" max="49" width="10.140625" bestFit="1" customWidth="1"/>
    <col min="50" max="50" width="15.7109375" customWidth="1"/>
    <col min="51" max="51" width="8.42578125" customWidth="1"/>
    <col min="52" max="52" width="11" customWidth="1"/>
    <col min="53" max="53" width="10.85546875" customWidth="1"/>
    <col min="54" max="54" width="9.7109375" customWidth="1"/>
    <col min="55" max="55" width="10.28515625" bestFit="1" customWidth="1"/>
    <col min="56" max="56" width="11.5703125" bestFit="1" customWidth="1"/>
    <col min="57" max="57" width="9.5703125" bestFit="1" customWidth="1"/>
    <col min="58" max="58" width="9.28515625" bestFit="1" customWidth="1"/>
    <col min="59" max="59" width="10.5703125" style="121" bestFit="1" customWidth="1"/>
    <col min="60" max="64" width="10.28515625" bestFit="1" customWidth="1"/>
    <col min="65" max="66" width="10.140625" bestFit="1" customWidth="1"/>
    <col min="67" max="74" width="10.28515625" bestFit="1" customWidth="1"/>
    <col min="75" max="81" width="10.140625" bestFit="1" customWidth="1"/>
    <col min="95" max="95" width="10.140625" bestFit="1" customWidth="1"/>
    <col min="112" max="112" width="10.140625" bestFit="1" customWidth="1"/>
    <col min="116" max="116" width="10.140625" bestFit="1" customWidth="1"/>
  </cols>
  <sheetData>
    <row r="1" spans="1:59" s="43" customFormat="1" ht="33" customHeight="1" x14ac:dyDescent="0.2">
      <c r="A1" s="160"/>
      <c r="B1" s="161">
        <f ca="1">TODAY()</f>
        <v>43837</v>
      </c>
      <c r="C1" s="160"/>
      <c r="L1" s="272"/>
      <c r="M1" s="272"/>
      <c r="N1" s="272"/>
      <c r="O1" s="272"/>
      <c r="X1" s="272"/>
      <c r="Y1" s="272"/>
      <c r="Z1" s="272"/>
      <c r="AA1" s="272"/>
      <c r="AB1" s="272"/>
      <c r="AI1" s="272"/>
      <c r="AJ1" s="272"/>
      <c r="AK1" s="272"/>
      <c r="AL1" s="272"/>
      <c r="AQ1" s="272"/>
      <c r="AR1" s="272"/>
      <c r="AS1" s="272"/>
      <c r="AT1" s="272"/>
      <c r="BG1" s="121"/>
    </row>
    <row r="2" spans="1:59" s="43" customFormat="1" ht="13.5" thickBot="1" x14ac:dyDescent="0.25">
      <c r="A2" s="160"/>
      <c r="B2" s="160"/>
      <c r="C2" s="160"/>
      <c r="L2" s="272"/>
      <c r="M2" s="272"/>
      <c r="N2" s="272"/>
      <c r="O2" s="272"/>
      <c r="X2" s="272"/>
      <c r="Y2" s="272"/>
      <c r="Z2" s="272"/>
      <c r="AA2" s="272"/>
      <c r="AB2" s="272"/>
      <c r="AI2" s="272"/>
      <c r="AJ2" s="272"/>
      <c r="AK2" s="272"/>
      <c r="AL2" s="272"/>
      <c r="AQ2" s="272"/>
      <c r="AR2" s="272"/>
      <c r="AS2" s="272"/>
      <c r="AT2" s="272"/>
      <c r="BG2" s="121"/>
    </row>
    <row r="3" spans="1:59" s="43" customFormat="1" ht="33.75" customHeight="1" x14ac:dyDescent="0.2">
      <c r="A3" s="160"/>
      <c r="B3" s="160"/>
      <c r="C3" s="160"/>
      <c r="K3" s="168" t="s">
        <v>134</v>
      </c>
      <c r="L3" s="272"/>
      <c r="M3" s="272"/>
      <c r="N3" s="272"/>
      <c r="O3" s="272"/>
      <c r="X3" s="272"/>
      <c r="Y3" s="272"/>
      <c r="Z3" s="272"/>
      <c r="AA3" s="272"/>
      <c r="AB3" s="272"/>
      <c r="AI3" s="272"/>
      <c r="AJ3" s="272"/>
      <c r="AK3" s="272"/>
      <c r="AL3" s="272"/>
      <c r="AQ3" s="272"/>
      <c r="AR3" s="272"/>
      <c r="AS3" s="272"/>
      <c r="AT3" s="272"/>
      <c r="BG3" s="121"/>
    </row>
    <row r="4" spans="1:59" s="43" customFormat="1" ht="28.5" customHeight="1" thickBot="1" x14ac:dyDescent="0.25">
      <c r="A4" s="160"/>
      <c r="B4" s="160"/>
      <c r="C4" s="160"/>
      <c r="K4" s="167" t="b">
        <v>0</v>
      </c>
      <c r="L4" s="272"/>
      <c r="M4" s="272"/>
      <c r="N4" s="272"/>
      <c r="O4" s="272"/>
      <c r="X4" s="272"/>
      <c r="Y4" s="272"/>
      <c r="Z4" s="272"/>
      <c r="AA4" s="272"/>
      <c r="AB4" s="272"/>
      <c r="AI4" s="272"/>
      <c r="AJ4" s="272"/>
      <c r="AK4" s="272"/>
      <c r="AL4" s="272"/>
      <c r="AQ4" s="272"/>
      <c r="AR4" s="272"/>
      <c r="AS4" s="272"/>
      <c r="AT4" s="272"/>
      <c r="BG4" s="121"/>
    </row>
    <row r="5" spans="1:59" s="43" customFormat="1" x14ac:dyDescent="0.2">
      <c r="A5" s="160"/>
      <c r="B5" s="160"/>
      <c r="C5" s="160"/>
      <c r="L5" s="272"/>
      <c r="M5" s="272"/>
      <c r="N5" s="272"/>
      <c r="O5" s="272"/>
      <c r="X5" s="272"/>
      <c r="Y5" s="272"/>
      <c r="Z5" s="272"/>
      <c r="AA5" s="272"/>
      <c r="AB5" s="272"/>
      <c r="AI5" s="272"/>
      <c r="AJ5" s="272"/>
      <c r="AK5" s="272"/>
      <c r="AL5" s="272"/>
      <c r="AQ5" s="272"/>
      <c r="AR5" s="272"/>
      <c r="AS5" s="272"/>
      <c r="AT5" s="272"/>
      <c r="BG5" s="121"/>
    </row>
    <row r="6" spans="1:59" x14ac:dyDescent="0.2">
      <c r="A6" s="160"/>
      <c r="B6" s="160"/>
      <c r="C6" s="160"/>
    </row>
    <row r="7" spans="1:59" x14ac:dyDescent="0.2">
      <c r="A7" s="160"/>
      <c r="B7" s="160"/>
      <c r="C7" s="160"/>
    </row>
    <row r="8" spans="1:59" x14ac:dyDescent="0.2">
      <c r="BG8"/>
    </row>
    <row r="9" spans="1:59" hidden="1" x14ac:dyDescent="0.2">
      <c r="BG9"/>
    </row>
    <row r="10" spans="1:59" hidden="1" x14ac:dyDescent="0.2">
      <c r="BG10"/>
    </row>
    <row r="11" spans="1:59" hidden="1" x14ac:dyDescent="0.2">
      <c r="BG11"/>
    </row>
    <row r="12" spans="1:59" ht="13.5" hidden="1" customHeight="1" x14ac:dyDescent="0.2">
      <c r="BG12"/>
    </row>
    <row r="13" spans="1:59" hidden="1" x14ac:dyDescent="0.2">
      <c r="BG13"/>
    </row>
    <row r="14" spans="1:59" hidden="1" x14ac:dyDescent="0.2">
      <c r="BG14"/>
    </row>
    <row r="15" spans="1:59" hidden="1" x14ac:dyDescent="0.2">
      <c r="BG15"/>
    </row>
    <row r="16" spans="1:59" hidden="1" x14ac:dyDescent="0.2">
      <c r="BG16"/>
    </row>
    <row r="17" spans="1:59" hidden="1" x14ac:dyDescent="0.2">
      <c r="BG17"/>
    </row>
    <row r="18" spans="1:59" hidden="1" x14ac:dyDescent="0.2">
      <c r="BG18"/>
    </row>
    <row r="19" spans="1:59" hidden="1" x14ac:dyDescent="0.2">
      <c r="BG19"/>
    </row>
    <row r="20" spans="1:59" hidden="1" x14ac:dyDescent="0.2">
      <c r="BG20"/>
    </row>
    <row r="21" spans="1:59" hidden="1" x14ac:dyDescent="0.2">
      <c r="BG21"/>
    </row>
    <row r="22" spans="1:59" hidden="1" x14ac:dyDescent="0.2">
      <c r="BG22"/>
    </row>
    <row r="23" spans="1:59" hidden="1" x14ac:dyDescent="0.2"/>
    <row r="24" spans="1:59" s="43" customFormat="1" hidden="1" x14ac:dyDescent="0.2">
      <c r="L24" s="272"/>
      <c r="M24" s="272"/>
      <c r="N24" s="272"/>
      <c r="O24" s="272"/>
      <c r="X24" s="272"/>
      <c r="Y24" s="272"/>
      <c r="Z24" s="272"/>
      <c r="AA24" s="272"/>
      <c r="AB24" s="272"/>
      <c r="AI24" s="272"/>
      <c r="AJ24" s="272"/>
      <c r="AK24" s="272"/>
      <c r="AL24" s="272"/>
      <c r="AQ24" s="272"/>
      <c r="AR24" s="272"/>
      <c r="AS24" s="272"/>
      <c r="AT24" s="272"/>
      <c r="BG24" s="121"/>
    </row>
    <row r="25" spans="1:59" x14ac:dyDescent="0.2"/>
    <row r="26" spans="1:59" ht="16.5" thickBot="1" x14ac:dyDescent="0.3">
      <c r="D26" s="23">
        <f ca="1">E26-7</f>
        <v>43820</v>
      </c>
      <c r="E26" s="23">
        <f ca="1">F26-7</f>
        <v>43827</v>
      </c>
      <c r="F26" s="25">
        <f ca="1">_data-WEEKDAY(_data-1,16)</f>
        <v>43834</v>
      </c>
      <c r="G26" s="23">
        <f t="shared" ref="G26:K27" ca="1" si="0">F26+7</f>
        <v>43841</v>
      </c>
      <c r="H26" s="23">
        <f t="shared" ca="1" si="0"/>
        <v>43848</v>
      </c>
      <c r="I26" s="23">
        <f t="shared" ca="1" si="0"/>
        <v>43855</v>
      </c>
      <c r="J26" s="23">
        <f t="shared" ca="1" si="0"/>
        <v>43862</v>
      </c>
      <c r="K26" s="23">
        <f t="shared" ca="1" si="0"/>
        <v>43869</v>
      </c>
      <c r="L26" s="23">
        <f t="shared" ref="L26:L27" ca="1" si="1">K26+7</f>
        <v>43876</v>
      </c>
      <c r="M26" s="23">
        <f t="shared" ref="M26:M27" ca="1" si="2">L26+7</f>
        <v>43883</v>
      </c>
      <c r="N26" s="23">
        <f t="shared" ref="N26:O27" ca="1" si="3">M26+7</f>
        <v>43890</v>
      </c>
      <c r="O26" s="23">
        <f t="shared" ca="1" si="3"/>
        <v>43897</v>
      </c>
      <c r="P26" s="23"/>
      <c r="V26" s="41"/>
      <c r="AD26" s="43"/>
      <c r="AO26" s="43"/>
      <c r="AP26" s="121"/>
      <c r="AU26" s="121"/>
      <c r="AV26" s="290">
        <f ca="1">(1-AV27+MAX(TABELA_VAZAO[Data]))*0.4</f>
        <v>0.8</v>
      </c>
      <c r="AW26" s="290">
        <f ca="1">(1-AW27+MAX(TABELA_VAZAO[Data]))*0.4</f>
        <v>0.4</v>
      </c>
      <c r="AX26" s="290">
        <f ca="1">(1-AX27+MAX(TABELA_VAZAO[Data]))*0.4</f>
        <v>0</v>
      </c>
      <c r="AY26" s="290">
        <f ca="1">(1-AY27+MAX(TABELA_VAZAO[Data]))*0.4</f>
        <v>-0.4</v>
      </c>
      <c r="AZ26" s="290">
        <f ca="1">(1-AZ27+MAX(TABELA_VAZAO[Data]))*0.4</f>
        <v>-0.8</v>
      </c>
      <c r="BA26" s="290">
        <f ca="1">(1-BA27+MAX(TABELA_VAZAO[Data]))*0.4</f>
        <v>-1.2000000000000002</v>
      </c>
      <c r="BB26" s="121" t="s">
        <v>125</v>
      </c>
      <c r="BC26" s="290">
        <f t="shared" ref="BC26:BE26" ca="1" si="4">BD26-1</f>
        <v>4</v>
      </c>
      <c r="BD26" s="290">
        <f t="shared" ca="1" si="4"/>
        <v>5</v>
      </c>
      <c r="BE26" s="290">
        <f t="shared" ca="1" si="4"/>
        <v>6</v>
      </c>
      <c r="BF26" s="290">
        <f ca="1">MATCH(MAX(TABELA_VAZAO[Data]),AQ27:BA27,)</f>
        <v>7</v>
      </c>
      <c r="BG26"/>
    </row>
    <row r="27" spans="1:59" ht="13.5" thickBot="1" x14ac:dyDescent="0.25">
      <c r="D27" s="23">
        <f ca="1">E27-7</f>
        <v>43826</v>
      </c>
      <c r="E27" s="23">
        <f ca="1">F27-7</f>
        <v>43833</v>
      </c>
      <c r="F27" s="24">
        <f ca="1">F26+6</f>
        <v>43840</v>
      </c>
      <c r="G27" s="23">
        <f t="shared" ca="1" si="0"/>
        <v>43847</v>
      </c>
      <c r="H27" s="23">
        <f t="shared" ca="1" si="0"/>
        <v>43854</v>
      </c>
      <c r="I27" s="23">
        <f t="shared" ca="1" si="0"/>
        <v>43861</v>
      </c>
      <c r="J27" s="23">
        <f t="shared" ca="1" si="0"/>
        <v>43868</v>
      </c>
      <c r="K27" s="23">
        <f t="shared" ca="1" si="0"/>
        <v>43875</v>
      </c>
      <c r="L27" s="23">
        <f t="shared" ca="1" si="1"/>
        <v>43882</v>
      </c>
      <c r="M27" s="23">
        <f t="shared" ca="1" si="2"/>
        <v>43889</v>
      </c>
      <c r="N27" s="23">
        <f t="shared" ca="1" si="3"/>
        <v>43896</v>
      </c>
      <c r="O27" s="23">
        <f t="shared" ca="1" si="3"/>
        <v>43903</v>
      </c>
      <c r="P27" s="23"/>
      <c r="S27" t="s">
        <v>95</v>
      </c>
      <c r="T27" t="s">
        <v>96</v>
      </c>
      <c r="V27" s="43"/>
      <c r="AO27" s="43" t="s">
        <v>130</v>
      </c>
      <c r="AP27" s="121" t="s">
        <v>129</v>
      </c>
      <c r="AQ27" s="153">
        <f t="shared" ref="AQ27:AS27" ca="1" si="5">AR27-1</f>
        <v>43830</v>
      </c>
      <c r="AR27" s="153">
        <f t="shared" ca="1" si="5"/>
        <v>43831</v>
      </c>
      <c r="AS27" s="153">
        <f t="shared" ca="1" si="5"/>
        <v>43832</v>
      </c>
      <c r="AT27" s="153">
        <f ca="1">AU27-1</f>
        <v>43833</v>
      </c>
      <c r="AU27" s="152">
        <f ca="1">_dataSemPrevisao</f>
        <v>43834</v>
      </c>
      <c r="AV27" s="153">
        <f t="shared" ref="AV27:BA27" ca="1" si="6">AU27+1</f>
        <v>43835</v>
      </c>
      <c r="AW27" s="153">
        <f t="shared" ca="1" si="6"/>
        <v>43836</v>
      </c>
      <c r="AX27" s="153">
        <f t="shared" ca="1" si="6"/>
        <v>43837</v>
      </c>
      <c r="AY27" s="153">
        <f t="shared" ca="1" si="6"/>
        <v>43838</v>
      </c>
      <c r="AZ27" s="155">
        <f t="shared" ca="1" si="6"/>
        <v>43839</v>
      </c>
      <c r="BA27" s="156">
        <f t="shared" ca="1" si="6"/>
        <v>43840</v>
      </c>
      <c r="BB27" s="154">
        <f>SUM(BC27:BF27)</f>
        <v>7</v>
      </c>
      <c r="BC27" s="158">
        <v>1</v>
      </c>
      <c r="BD27" s="158">
        <v>1</v>
      </c>
      <c r="BE27" s="158">
        <v>2</v>
      </c>
      <c r="BF27" s="158">
        <v>3</v>
      </c>
      <c r="BG27"/>
    </row>
    <row r="28" spans="1:59" x14ac:dyDescent="0.2">
      <c r="A28" s="133">
        <v>1</v>
      </c>
      <c r="B28" s="282" t="str">
        <f t="shared" ref="B28:B42" si="7">A28&amp;"_VN"</f>
        <v>1_VN</v>
      </c>
      <c r="C28" s="140" t="s">
        <v>17</v>
      </c>
      <c r="D28" s="135">
        <f t="array" aca="1" ref="D28" ca="1">SUM(IFERROR(Propagações_TOT_GRANDE!$B$7:$BZ$110*(Propagações_TOT_GRANDE!$B$6:$BZ$6=$B28&amp;"A")*(Propagações_TOT_GRANDE!$A$7:$A$110&gt;=PREVS_SMAP!D$26)*(Propagações_TOT_GRANDE!$A$7:$A$110&lt;=PREVS_SMAP!D$27),0))/7</f>
        <v>0</v>
      </c>
      <c r="E28" s="135">
        <f t="array" aca="1" ref="E28" ca="1">SUM(IFERROR(Propagações_TOT_GRANDE!$B$7:$BZ$110*(Propagações_TOT_GRANDE!$B$6:$BZ$6=$B28&amp;"A")*(Propagações_TOT_GRANDE!$A$7:$A$110&gt;=PREVS_SMAP!E$26)*(Propagações_TOT_GRANDE!$A$7:$A$110&lt;=PREVS_SMAP!E$27),0))/7</f>
        <v>93.714285714285708</v>
      </c>
      <c r="F28" s="135">
        <f t="array" aca="1" ref="F28" ca="1">SUM(IFERROR(Propagações_TOT_GRANDE!$B$7:$BZ$110*(Propagações_TOT_GRANDE!$B$6:$BZ$6=$B28&amp;"A")*(Propagações_TOT_GRANDE!$A$7:$A$110&gt;=PREVS_SMAP!F$26)*(Propagações_TOT_GRANDE!$A$7:$A$110&lt;=PREVS_SMAP!F$27),0))/7</f>
        <v>44.714285714285715</v>
      </c>
      <c r="G28" s="135" t="e">
        <f t="array" aca="1" ref="G28" ca="1">IF(AD28&lt;7,NA(),SUM(IFERROR(Propagações_TOT_GRANDE!$B$7:$BZ$110*(Propagações_TOT_GRANDE!$B$6:$BZ$6=$B28&amp;"I")*(Propagações_TOT_GRANDE!$A$7:$A$110&gt;=PREVS_SMAP!G$26)*(Propagações_TOT_GRANDE!$A$7:$A$110&lt;=PREVS_SMAP!G$27),0))/7                            )</f>
        <v>#N/A</v>
      </c>
      <c r="H28" s="135" t="e">
        <f t="array" aca="1" ref="H28" ca="1">IF(AE28&lt;7,NA(),SUM(IFERROR(Propagações_TOT_GRANDE!$B$7:$BZ$110*(Propagações_TOT_GRANDE!$B$6:$BZ$6=$B28&amp;"I")*(Propagações_TOT_GRANDE!$A$7:$A$110&gt;=PREVS_SMAP!H$26)*(Propagações_TOT_GRANDE!$A$7:$A$110&lt;=PREVS_SMAP!H$27),0))/7                            )</f>
        <v>#N/A</v>
      </c>
      <c r="I28" s="135" t="e">
        <f t="array" aca="1" ref="I28" ca="1">IF(AF28&lt;7,NA(),SUM(IFERROR(Propagações_TOT_GRANDE!$B$7:$BZ$110*(Propagações_TOT_GRANDE!$B$6:$BZ$6=$B28&amp;"I")*(Propagações_TOT_GRANDE!$A$7:$A$110&gt;=PREVS_SMAP!I$26)*(Propagações_TOT_GRANDE!$A$7:$A$110&lt;=PREVS_SMAP!I$27),0))/7                            )</f>
        <v>#N/A</v>
      </c>
      <c r="J28" s="135" t="e">
        <f t="array" aca="1" ref="J28" ca="1">IF(AG28&lt;7,NA(),SUM(IFERROR(Propagações_TOT_GRANDE!$B$7:$BZ$110*(Propagações_TOT_GRANDE!$B$6:$BZ$6=$B28&amp;"I")*(Propagações_TOT_GRANDE!$A$7:$A$110&gt;=PREVS_SMAP!J$26)*(Propagações_TOT_GRANDE!$A$7:$A$110&lt;=PREVS_SMAP!J$27),0))/7                            )</f>
        <v>#N/A</v>
      </c>
      <c r="K28" s="135" t="e">
        <f t="array" aca="1" ref="K28" ca="1">IF(AH28&lt;7,NA(),SUM(IFERROR(Propagações_TOT_GRANDE!$B$7:$BZ$110*(Propagações_TOT_GRANDE!$B$6:$BZ$6=$B28&amp;"I")*(Propagações_TOT_GRANDE!$A$7:$A$110&gt;=PREVS_SMAP!K$26)*(Propagações_TOT_GRANDE!$A$7:$A$110&lt;=PREVS_SMAP!K$27),0))/7                            )</f>
        <v>#N/A</v>
      </c>
      <c r="L28" s="135" t="e">
        <f t="array" aca="1" ref="L28" ca="1">IF(AI28&lt;7,NA(),SUM(IFERROR(Propagações_TOT_GRANDE!$B$7:$BZ$110*(Propagações_TOT_GRANDE!$B$6:$BZ$6=$B28&amp;"I")*(Propagações_TOT_GRANDE!$A$7:$A$110&gt;=PREVS_SMAP!L$26)*(Propagações_TOT_GRANDE!$A$7:$A$110&lt;=PREVS_SMAP!L$27),0))/7                            )</f>
        <v>#N/A</v>
      </c>
      <c r="M28" s="135" t="e">
        <f t="array" aca="1" ref="M28" ca="1">IF(AJ28&lt;7,NA(),SUM(IFERROR(Propagações_TOT_GRANDE!$B$7:$BZ$110*(Propagações_TOT_GRANDE!$B$6:$BZ$6=$B28&amp;"I")*(Propagações_TOT_GRANDE!$A$7:$A$110&gt;=PREVS_SMAP!M$26)*(Propagações_TOT_GRANDE!$A$7:$A$110&lt;=PREVS_SMAP!M$27),0))/7                            )</f>
        <v>#N/A</v>
      </c>
      <c r="N28" s="135" t="e">
        <f t="array" aca="1" ref="N28" ca="1">IF(AK28&lt;7,NA(),SUM(IFERROR(Propagações_TOT_GRANDE!$B$7:$BZ$110*(Propagações_TOT_GRANDE!$B$6:$BZ$6=$B28&amp;"I")*(Propagações_TOT_GRANDE!$A$7:$A$110&gt;=PREVS_SMAP!N$26)*(Propagações_TOT_GRANDE!$A$7:$A$110&lt;=PREVS_SMAP!N$27),0))/7                            )</f>
        <v>#N/A</v>
      </c>
      <c r="O28" s="135" t="e">
        <f t="array" aca="1" ref="O28" ca="1">IF(AL28&lt;7,NA(),SUM(IFERROR(Propagações_TOT_GRANDE!$B$7:$BZ$110*(Propagações_TOT_GRANDE!$B$6:$BZ$6=$B28&amp;"I")*(Propagações_TOT_GRANDE!$A$7:$A$110&gt;=PREVS_SMAP!O$26)*(Propagações_TOT_GRANDE!$A$7:$A$110&lt;=PREVS_SMAP!O$27),0))/7                            )</f>
        <v>#N/A</v>
      </c>
      <c r="P28" s="135"/>
      <c r="R28">
        <v>1</v>
      </c>
      <c r="S28" s="40">
        <f ca="1">AO28</f>
        <v>45</v>
      </c>
      <c r="T28" s="40" t="str">
        <f t="shared" ref="T28:AB29" ca="1" si="8">IFERROR(ROUND(INDEX(G$28:G$129,MATCH($R28,$A$28:$A$129,0)),0),"")</f>
        <v/>
      </c>
      <c r="U28" s="131" t="str">
        <f t="shared" ca="1" si="8"/>
        <v/>
      </c>
      <c r="V28" s="131" t="str">
        <f t="shared" ca="1" si="8"/>
        <v/>
      </c>
      <c r="W28" s="131" t="str">
        <f t="shared" ca="1" si="8"/>
        <v/>
      </c>
      <c r="X28" s="131" t="str">
        <f t="shared" ca="1" si="8"/>
        <v/>
      </c>
      <c r="Y28" s="131" t="str">
        <f t="shared" ca="1" si="8"/>
        <v/>
      </c>
      <c r="Z28" s="131" t="str">
        <f t="shared" ca="1" si="8"/>
        <v/>
      </c>
      <c r="AA28" s="131" t="str">
        <f t="shared" ca="1" si="8"/>
        <v/>
      </c>
      <c r="AB28" s="131" t="str">
        <f t="shared" ca="1" si="8"/>
        <v/>
      </c>
      <c r="AD28" s="121">
        <f t="array" aca="1" ref="AD28" ca="1">SUM(IFERROR(ISNUMBER(Propagações_TOT_GRANDE!$B$7:$BZ$110)*(Propagações_TOT_GRANDE!$B$6:$BZ$6=$B28&amp;"I")*(Propagações_TOT_GRANDE!$A$7:$A$110&gt;=PREVS_SMAP!G$26)*(Propagações_TOT_GRANDE!$A$7:$A$110&lt;=PREVS_SMAP!G$27),0))</f>
        <v>0</v>
      </c>
      <c r="AE28" s="272">
        <f t="array" aca="1" ref="AE28" ca="1">SUM(IFERROR(ISNUMBER(Propagações_TOT_GRANDE!$B$7:$BZ$110)*(Propagações_TOT_GRANDE!$B$6:$BZ$6=$B28&amp;"I")*(Propagações_TOT_GRANDE!$A$7:$A$110&gt;=PREVS_SMAP!H$26)*(Propagações_TOT_GRANDE!$A$7:$A$110&lt;=PREVS_SMAP!H$27),0))</f>
        <v>0</v>
      </c>
      <c r="AF28" s="272">
        <f t="array" aca="1" ref="AF28" ca="1">SUM(IFERROR(ISNUMBER(Propagações_TOT_GRANDE!$B$7:$BZ$110)*(Propagações_TOT_GRANDE!$B$6:$BZ$6=$B28&amp;"I")*(Propagações_TOT_GRANDE!$A$7:$A$110&gt;=PREVS_SMAP!I$26)*(Propagações_TOT_GRANDE!$A$7:$A$110&lt;=PREVS_SMAP!I$27),0))</f>
        <v>0</v>
      </c>
      <c r="AG28" s="272">
        <f t="array" aca="1" ref="AG28" ca="1">SUM(IFERROR(ISNUMBER(Propagações_TOT_GRANDE!$B$7:$BZ$110)*(Propagações_TOT_GRANDE!$B$6:$BZ$6=$B28&amp;"I")*(Propagações_TOT_GRANDE!$A$7:$A$110&gt;=PREVS_SMAP!J$26)*(Propagações_TOT_GRANDE!$A$7:$A$110&lt;=PREVS_SMAP!J$27),0))</f>
        <v>0</v>
      </c>
      <c r="AH28" s="272">
        <f t="array" aca="1" ref="AH28" ca="1">SUM(IFERROR(ISNUMBER(Propagações_TOT_GRANDE!$B$7:$BZ$110)*(Propagações_TOT_GRANDE!$B$6:$BZ$6=$B28&amp;"I")*(Propagações_TOT_GRANDE!$A$7:$A$110&gt;=PREVS_SMAP!K$26)*(Propagações_TOT_GRANDE!$A$7:$A$110&lt;=PREVS_SMAP!K$27),0))</f>
        <v>0</v>
      </c>
      <c r="AI28" s="272">
        <f t="array" aca="1" ref="AI28" ca="1">SUM(IFERROR(ISNUMBER(Propagações_TOT_GRANDE!$B$7:$BZ$110)*(Propagações_TOT_GRANDE!$B$6:$BZ$6=$B28&amp;"I")*(Propagações_TOT_GRANDE!$A$7:$A$110&gt;=PREVS_SMAP!L$26)*(Propagações_TOT_GRANDE!$A$7:$A$110&lt;=PREVS_SMAP!L$27),0))</f>
        <v>0</v>
      </c>
      <c r="AJ28" s="272">
        <f t="array" aca="1" ref="AJ28" ca="1">SUM(IFERROR(ISNUMBER(Propagações_TOT_GRANDE!$B$7:$BZ$110)*(Propagações_TOT_GRANDE!$B$6:$BZ$6=$B28&amp;"I")*(Propagações_TOT_GRANDE!$A$7:$A$110&gt;=PREVS_SMAP!M$26)*(Propagações_TOT_GRANDE!$A$7:$A$110&lt;=PREVS_SMAP!M$27),0))</f>
        <v>0</v>
      </c>
      <c r="AK28" s="272">
        <f t="array" aca="1" ref="AK28" ca="1">SUM(IFERROR(ISNUMBER(Propagações_TOT_GRANDE!$B$7:$BZ$110)*(Propagações_TOT_GRANDE!$B$6:$BZ$6=$B28&amp;"I")*(Propagações_TOT_GRANDE!$A$7:$A$110&gt;=PREVS_SMAP!N$26)*(Propagações_TOT_GRANDE!$A$7:$A$110&lt;=PREVS_SMAP!N$27),0))</f>
        <v>0</v>
      </c>
      <c r="AL28" s="272">
        <f t="array" aca="1" ref="AL28" ca="1">SUM(IFERROR(ISNUMBER(Propagações_TOT_GRANDE!$B$7:$BZ$110)*(Propagações_TOT_GRANDE!$B$6:$BZ$6=$B28&amp;"I")*(Propagações_TOT_GRANDE!$A$7:$A$110&gt;=PREVS_SMAP!O$26)*(Propagações_TOT_GRANDE!$A$7:$A$110&lt;=PREVS_SMAP!O$27),0))</f>
        <v>0</v>
      </c>
      <c r="AO28">
        <f t="shared" ref="AO28:AO91" ca="1" si="9">IFERROR(ROUND(INDEX(F$28:F$129,MATCH($R28,$A$28:$A$129,0)),0),ROUND(AVERAGE(AU28:BA28),0))</f>
        <v>45</v>
      </c>
      <c r="AP28" s="121" t="b">
        <f t="shared" ref="AP28:AP91" si="10">NOT(ISNA(MATCH(R28,$A$28:$A$129,0)))</f>
        <v>1</v>
      </c>
      <c r="AQ28" s="272">
        <f ca="1">+AVERAGEIFS(TABELA_VAZAO[qnat],TABELA_VAZAO[Posto],$R28,TABELA_VAZAO[Data],AQ$27)</f>
        <v>89</v>
      </c>
      <c r="AR28" s="272">
        <f ca="1">+AVERAGEIFS(TABELA_VAZAO[qnat],TABELA_VAZAO[Posto],$R28,TABELA_VAZAO[Data],AR$27)</f>
        <v>82</v>
      </c>
      <c r="AS28" s="272">
        <f ca="1">+AVERAGEIFS(TABELA_VAZAO[qnat],TABELA_VAZAO[Posto],$R28,TABELA_VAZAO[Data],AS$27)</f>
        <v>80</v>
      </c>
      <c r="AT28" s="272">
        <f ca="1">+AVERAGEIFS(TABELA_VAZAO[qnat],TABELA_VAZAO[Posto],$R28,TABELA_VAZAO[Data],AT$27)</f>
        <v>82</v>
      </c>
      <c r="AU28" s="121">
        <f ca="1">+AVERAGEIFS(TABELA_VAZAO[qnat],TABELA_VAZAO[Posto],$R28,TABELA_VAZAO[Data],AU$27)</f>
        <v>88</v>
      </c>
      <c r="AV28" s="121">
        <f ca="1">IFERROR(AVERAGEIFS(TABELA_VAZAO[qnat],TABELA_VAZAO[Posto],$R28,TABELA_VAZAO[Data],AV$27),AU28+$BB28*EXP(AV$26))</f>
        <v>101</v>
      </c>
      <c r="AW28" s="159">
        <f ca="1">IFERROR(AVERAGEIFS(TABELA_VAZAO[qnat],TABELA_VAZAO[Posto],$R28,TABELA_VAZAO[Data],AW$27),AV28+$BB28*EXP(AW$26))</f>
        <v>124</v>
      </c>
      <c r="AX28" s="325">
        <f ca="1">IFERROR(AVERAGEIFS(TABELA_VAZAO[qnat],TABELA_VAZAO[Posto],$R28,TABELA_VAZAO[Data],AX$27),AW28+$BB28*EXP(AX$26))</f>
        <v>138.71428571428572</v>
      </c>
      <c r="AY28" s="325">
        <f ca="1">IFERROR(AVERAGEIFS(TABELA_VAZAO[qnat],TABELA_VAZAO[Posto],$R28,TABELA_VAZAO[Data],AY$27),AX28+$BB28*EXP(AY$26))</f>
        <v>148.57756639166726</v>
      </c>
      <c r="AZ28" s="326">
        <f ca="1">IFERROR(AVERAGEIFS(TABELA_VAZAO[qnat],TABELA_VAZAO[Posto],$R28,TABELA_VAZAO[Data],AZ$27),AY28+$BB28*EXP(AZ$26))</f>
        <v>155.18912114939209</v>
      </c>
      <c r="BA28" s="326">
        <f ca="1">IFERROR(AVERAGEIFS(TABELA_VAZAO[qnat],TABELA_VAZAO[Posto],$R28,TABELA_VAZAO[Data],BA$27),AZ28+$BB28*EXP(BA$26))</f>
        <v>159.62097883895734</v>
      </c>
      <c r="BB28" s="121">
        <f t="shared" ref="BB28:BB91" ca="1" si="11">SUMPRODUCT(BC28:BF28,BC$27:BF$27)/$BB$27</f>
        <v>14.714285714285714</v>
      </c>
      <c r="BC28" s="272">
        <f ca="1">INDEX($AQ28:$BA28,1,BC$26)-INDEX($AQ28:$BA28,1,BC$26-1)</f>
        <v>2</v>
      </c>
      <c r="BD28" s="272">
        <f t="shared" ref="BD28:BF43" ca="1" si="12">INDEX($AQ28:$BA28,1,BD$26)-INDEX($AQ28:$BA28,1,BD$26-1)</f>
        <v>6</v>
      </c>
      <c r="BE28" s="272">
        <f t="shared" ca="1" si="12"/>
        <v>13</v>
      </c>
      <c r="BF28" s="272">
        <f t="shared" ca="1" si="12"/>
        <v>23</v>
      </c>
      <c r="BG28"/>
    </row>
    <row r="29" spans="1:59" x14ac:dyDescent="0.2">
      <c r="A29" s="294">
        <v>2</v>
      </c>
      <c r="B29" s="283" t="str">
        <f t="shared" si="7"/>
        <v>2_VN</v>
      </c>
      <c r="C29" s="137" t="s">
        <v>40</v>
      </c>
      <c r="D29" s="132">
        <f t="array" aca="1" ref="D29" ca="1">SUM(IFERROR(Propagações_TOT_GRANDE!$B$7:$BZ$110*(Propagações_TOT_GRANDE!$B$6:$BZ$6=$B29&amp;"A")*(Propagações_TOT_GRANDE!$A$7:$A$110&gt;=PREVS_SMAP!D$26)*(Propagações_TOT_GRANDE!$A$7:$A$110&lt;=PREVS_SMAP!D$27),0))/7</f>
        <v>0</v>
      </c>
      <c r="E29" s="132">
        <f t="array" aca="1" ref="E29" ca="1">SUM(IFERROR(Propagações_TOT_GRANDE!$B$7:$BZ$110*(Propagações_TOT_GRANDE!$B$6:$BZ$6=$B29&amp;"A")*(Propagações_TOT_GRANDE!$A$7:$A$110&gt;=PREVS_SMAP!E$26)*(Propagações_TOT_GRANDE!$A$7:$A$110&lt;=PREVS_SMAP!E$27),0))/7</f>
        <v>93.714285714285708</v>
      </c>
      <c r="F29" s="132">
        <f t="array" aca="1" ref="F29" ca="1">SUM(IFERROR(Propagações_TOT_GRANDE!$B$7:$BZ$110*(Propagações_TOT_GRANDE!$B$6:$BZ$6=$B29&amp;"A")*(Propagações_TOT_GRANDE!$A$7:$A$110&gt;=PREVS_SMAP!F$26)*(Propagações_TOT_GRANDE!$A$7:$A$110&lt;=PREVS_SMAP!F$27),0))/7</f>
        <v>44.714285714285715</v>
      </c>
      <c r="G29" s="132" t="e">
        <f t="array" aca="1" ref="G29" ca="1">IF(AD29&lt;7,NA(),SUM(IFERROR(Propagações_TOT_GRANDE!$B$7:$BZ$110*(Propagações_TOT_GRANDE!$B$6:$BZ$6=$B29&amp;"I")*(Propagações_TOT_GRANDE!$A$7:$A$110&gt;=PREVS_SMAP!G$26)*(Propagações_TOT_GRANDE!$A$7:$A$110&lt;=PREVS_SMAP!G$27),0))/7+G28                        )</f>
        <v>#N/A</v>
      </c>
      <c r="H29" s="132" t="e">
        <f t="array" aca="1" ref="H29" ca="1">IF(AE29&lt;7,NA(),SUM(IFERROR(Propagações_TOT_GRANDE!$B$7:$BZ$110*(Propagações_TOT_GRANDE!$B$6:$BZ$6=$B29&amp;"I")*(Propagações_TOT_GRANDE!$A$7:$A$110&gt;=PREVS_SMAP!H$26)*(Propagações_TOT_GRANDE!$A$7:$A$110&lt;=PREVS_SMAP!H$27),0))/7+H28                        )</f>
        <v>#N/A</v>
      </c>
      <c r="I29" s="132" t="e">
        <f t="array" aca="1" ref="I29" ca="1">IF(AF29&lt;7,NA(),SUM(IFERROR(Propagações_TOT_GRANDE!$B$7:$BZ$110*(Propagações_TOT_GRANDE!$B$6:$BZ$6=$B29&amp;"I")*(Propagações_TOT_GRANDE!$A$7:$A$110&gt;=PREVS_SMAP!I$26)*(Propagações_TOT_GRANDE!$A$7:$A$110&lt;=PREVS_SMAP!I$27),0))/7+I28                        )</f>
        <v>#N/A</v>
      </c>
      <c r="J29" s="132" t="e">
        <f t="array" aca="1" ref="J29" ca="1">IF(AG29&lt;7,NA(),SUM(IFERROR(Propagações_TOT_GRANDE!$B$7:$BZ$110*(Propagações_TOT_GRANDE!$B$6:$BZ$6=$B29&amp;"I")*(Propagações_TOT_GRANDE!$A$7:$A$110&gt;=PREVS_SMAP!J$26)*(Propagações_TOT_GRANDE!$A$7:$A$110&lt;=PREVS_SMAP!J$27),0))/7+J28                        )</f>
        <v>#N/A</v>
      </c>
      <c r="K29" s="132" t="e">
        <f t="array" aca="1" ref="K29" ca="1">IF(AH29&lt;7,NA(),SUM(IFERROR(Propagações_TOT_GRANDE!$B$7:$BZ$110*(Propagações_TOT_GRANDE!$B$6:$BZ$6=$B29&amp;"I")*(Propagações_TOT_GRANDE!$A$7:$A$110&gt;=PREVS_SMAP!K$26)*(Propagações_TOT_GRANDE!$A$7:$A$110&lt;=PREVS_SMAP!K$27),0))/7+K28                        )</f>
        <v>#N/A</v>
      </c>
      <c r="L29" s="132" t="e">
        <f t="array" aca="1" ref="L29" ca="1">IF(AI29&lt;7,NA(),SUM(IFERROR(Propagações_TOT_GRANDE!$B$7:$BZ$110*(Propagações_TOT_GRANDE!$B$6:$BZ$6=$B29&amp;"I")*(Propagações_TOT_GRANDE!$A$7:$A$110&gt;=PREVS_SMAP!L$26)*(Propagações_TOT_GRANDE!$A$7:$A$110&lt;=PREVS_SMAP!L$27),0))/7+L28                        )</f>
        <v>#N/A</v>
      </c>
      <c r="M29" s="132" t="e">
        <f t="array" aca="1" ref="M29" ca="1">IF(AJ29&lt;7,NA(),SUM(IFERROR(Propagações_TOT_GRANDE!$B$7:$BZ$110*(Propagações_TOT_GRANDE!$B$6:$BZ$6=$B29&amp;"I")*(Propagações_TOT_GRANDE!$A$7:$A$110&gt;=PREVS_SMAP!M$26)*(Propagações_TOT_GRANDE!$A$7:$A$110&lt;=PREVS_SMAP!M$27),0))/7+M28                        )</f>
        <v>#N/A</v>
      </c>
      <c r="N29" s="132" t="e">
        <f t="array" aca="1" ref="N29" ca="1">IF(AK29&lt;7,NA(),SUM(IFERROR(Propagações_TOT_GRANDE!$B$7:$BZ$110*(Propagações_TOT_GRANDE!$B$6:$BZ$6=$B29&amp;"I")*(Propagações_TOT_GRANDE!$A$7:$A$110&gt;=PREVS_SMAP!N$26)*(Propagações_TOT_GRANDE!$A$7:$A$110&lt;=PREVS_SMAP!N$27),0))/7+N28                        )</f>
        <v>#N/A</v>
      </c>
      <c r="O29" s="132" t="e">
        <f t="array" aca="1" ref="O29" ca="1">IF(AL29&lt;7,NA(),SUM(IFERROR(Propagações_TOT_GRANDE!$B$7:$BZ$110*(Propagações_TOT_GRANDE!$B$6:$BZ$6=$B29&amp;"I")*(Propagações_TOT_GRANDE!$A$7:$A$110&gt;=PREVS_SMAP!O$26)*(Propagações_TOT_GRANDE!$A$7:$A$110&lt;=PREVS_SMAP!O$27),0))/7+O28                        )</f>
        <v>#N/A</v>
      </c>
      <c r="P29" s="132"/>
      <c r="R29">
        <v>2</v>
      </c>
      <c r="S29" s="40">
        <f ca="1">AO29</f>
        <v>45</v>
      </c>
      <c r="T29" s="40" t="str">
        <f t="shared" ca="1" si="8"/>
        <v/>
      </c>
      <c r="U29" s="131" t="str">
        <f t="shared" ca="1" si="8"/>
        <v/>
      </c>
      <c r="V29" s="131" t="str">
        <f t="shared" ca="1" si="8"/>
        <v/>
      </c>
      <c r="W29" s="131" t="str">
        <f t="shared" ca="1" si="8"/>
        <v/>
      </c>
      <c r="X29" s="131" t="str">
        <f t="shared" ca="1" si="8"/>
        <v/>
      </c>
      <c r="Y29" s="131" t="str">
        <f t="shared" ca="1" si="8"/>
        <v/>
      </c>
      <c r="Z29" s="131" t="str">
        <f t="shared" ca="1" si="8"/>
        <v/>
      </c>
      <c r="AA29" s="131" t="str">
        <f t="shared" ca="1" si="8"/>
        <v/>
      </c>
      <c r="AB29" s="131" t="str">
        <f t="shared" ca="1" si="8"/>
        <v/>
      </c>
      <c r="AD29" s="272">
        <f t="array" aca="1" ref="AD29" ca="1">SUM(IFERROR(ISNUMBER(Propagações_TOT_GRANDE!$B$7:$BZ$110)*(Propagações_TOT_GRANDE!$B$6:$BZ$6=$B29&amp;"I")*(Propagações_TOT_GRANDE!$A$7:$A$110&gt;=PREVS_SMAP!G$26)*(Propagações_TOT_GRANDE!$A$7:$A$110&lt;=PREVS_SMAP!G$27),0))</f>
        <v>7</v>
      </c>
      <c r="AE29" s="272">
        <f t="array" aca="1" ref="AE29" ca="1">SUM(IFERROR(ISNUMBER(Propagações_TOT_GRANDE!$B$7:$BZ$110)*(Propagações_TOT_GRANDE!$B$6:$BZ$6=$B29&amp;"I")*(Propagações_TOT_GRANDE!$A$7:$A$110&gt;=PREVS_SMAP!H$26)*(Propagações_TOT_GRANDE!$A$7:$A$110&lt;=PREVS_SMAP!H$27),0))</f>
        <v>7</v>
      </c>
      <c r="AF29" s="272">
        <f t="array" aca="1" ref="AF29" ca="1">SUM(IFERROR(ISNUMBER(Propagações_TOT_GRANDE!$B$7:$BZ$110)*(Propagações_TOT_GRANDE!$B$6:$BZ$6=$B29&amp;"I")*(Propagações_TOT_GRANDE!$A$7:$A$110&gt;=PREVS_SMAP!I$26)*(Propagações_TOT_GRANDE!$A$7:$A$110&lt;=PREVS_SMAP!I$27),0))</f>
        <v>7</v>
      </c>
      <c r="AG29" s="272">
        <f t="array" aca="1" ref="AG29" ca="1">SUM(IFERROR(ISNUMBER(Propagações_TOT_GRANDE!$B$7:$BZ$110)*(Propagações_TOT_GRANDE!$B$6:$BZ$6=$B29&amp;"I")*(Propagações_TOT_GRANDE!$A$7:$A$110&gt;=PREVS_SMAP!J$26)*(Propagações_TOT_GRANDE!$A$7:$A$110&lt;=PREVS_SMAP!J$27),0))</f>
        <v>7</v>
      </c>
      <c r="AH29" s="272">
        <f t="array" aca="1" ref="AH29" ca="1">SUM(IFERROR(ISNUMBER(Propagações_TOT_GRANDE!$B$7:$BZ$110)*(Propagações_TOT_GRANDE!$B$6:$BZ$6=$B29&amp;"I")*(Propagações_TOT_GRANDE!$A$7:$A$110&gt;=PREVS_SMAP!K$26)*(Propagações_TOT_GRANDE!$A$7:$A$110&lt;=PREVS_SMAP!K$27),0))</f>
        <v>7</v>
      </c>
      <c r="AI29" s="272">
        <f t="array" aca="1" ref="AI29" ca="1">SUM(IFERROR(ISNUMBER(Propagações_TOT_GRANDE!$B$7:$BZ$110)*(Propagações_TOT_GRANDE!$B$6:$BZ$6=$B29&amp;"I")*(Propagações_TOT_GRANDE!$A$7:$A$110&gt;=PREVS_SMAP!L$26)*(Propagações_TOT_GRANDE!$A$7:$A$110&lt;=PREVS_SMAP!L$27),0))</f>
        <v>7</v>
      </c>
      <c r="AJ29" s="272">
        <f t="array" aca="1" ref="AJ29" ca="1">SUM(IFERROR(ISNUMBER(Propagações_TOT_GRANDE!$B$7:$BZ$110)*(Propagações_TOT_GRANDE!$B$6:$BZ$6=$B29&amp;"I")*(Propagações_TOT_GRANDE!$A$7:$A$110&gt;=PREVS_SMAP!M$26)*(Propagações_TOT_GRANDE!$A$7:$A$110&lt;=PREVS_SMAP!M$27),0))</f>
        <v>7</v>
      </c>
      <c r="AK29" s="272">
        <f t="array" aca="1" ref="AK29" ca="1">SUM(IFERROR(ISNUMBER(Propagações_TOT_GRANDE!$B$7:$BZ$110)*(Propagações_TOT_GRANDE!$B$6:$BZ$6=$B29&amp;"I")*(Propagações_TOT_GRANDE!$A$7:$A$110&gt;=PREVS_SMAP!N$26)*(Propagações_TOT_GRANDE!$A$7:$A$110&lt;=PREVS_SMAP!N$27),0))</f>
        <v>7</v>
      </c>
      <c r="AL29" s="272">
        <f t="array" aca="1" ref="AL29" ca="1">SUM(IFERROR(ISNUMBER(Propagações_TOT_GRANDE!$B$7:$BZ$110)*(Propagações_TOT_GRANDE!$B$6:$BZ$6=$B29&amp;"I")*(Propagações_TOT_GRANDE!$A$7:$A$110&gt;=PREVS_SMAP!O$26)*(Propagações_TOT_GRANDE!$A$7:$A$110&lt;=PREVS_SMAP!O$27),0))</f>
        <v>7</v>
      </c>
      <c r="AO29" s="121">
        <f t="shared" ca="1" si="9"/>
        <v>45</v>
      </c>
      <c r="AP29" s="121" t="b">
        <f t="shared" si="10"/>
        <v>1</v>
      </c>
      <c r="AU29" s="121"/>
      <c r="AV29" s="121"/>
      <c r="AW29" s="159"/>
      <c r="AX29" s="159"/>
      <c r="AY29" s="159"/>
      <c r="AZ29" s="157"/>
      <c r="BA29" s="157"/>
      <c r="BB29" s="121">
        <f t="shared" ca="1" si="11"/>
        <v>0</v>
      </c>
      <c r="BC29" s="272">
        <f t="shared" ref="BC29:BF92" ca="1" si="13">INDEX($AQ29:$BA29,1,BC$26)-INDEX($AQ29:$BA29,1,BC$26-1)</f>
        <v>0</v>
      </c>
      <c r="BD29" s="272">
        <f t="shared" ca="1" si="12"/>
        <v>0</v>
      </c>
      <c r="BE29" s="272">
        <f t="shared" ca="1" si="12"/>
        <v>0</v>
      </c>
      <c r="BF29" s="272">
        <f t="shared" ca="1" si="12"/>
        <v>0</v>
      </c>
      <c r="BG29"/>
    </row>
    <row r="30" spans="1:59" x14ac:dyDescent="0.2">
      <c r="A30" s="294">
        <v>211</v>
      </c>
      <c r="B30" s="283" t="str">
        <f t="shared" si="7"/>
        <v>211_VN</v>
      </c>
      <c r="C30" s="240" t="s">
        <v>19</v>
      </c>
      <c r="D30" s="132">
        <f t="array" aca="1" ref="D30" ca="1">SUM(IFERROR(Propagações_TOT_GRANDE!$B$7:$BZ$110*(Propagações_TOT_GRANDE!$B$6:$BZ$6=$B30&amp;"A")*(Propagações_TOT_GRANDE!$A$7:$A$110&gt;=PREVS_SMAP!D$26)*(Propagações_TOT_GRANDE!$A$7:$A$110&lt;=PREVS_SMAP!D$27),0))/7</f>
        <v>0</v>
      </c>
      <c r="E30" s="132">
        <f t="array" aca="1" ref="E30" ca="1">SUM(IFERROR(Propagações_TOT_GRANDE!$B$7:$BZ$110*(Propagações_TOT_GRANDE!$B$6:$BZ$6=$B30&amp;"A")*(Propagações_TOT_GRANDE!$A$7:$A$110&gt;=PREVS_SMAP!E$26)*(Propagações_TOT_GRANDE!$A$7:$A$110&lt;=PREVS_SMAP!E$27),0))/7</f>
        <v>203.14285714285714</v>
      </c>
      <c r="F30" s="132">
        <f t="array" aca="1" ref="F30" ca="1">SUM(IFERROR(Propagações_TOT_GRANDE!$B$7:$BZ$110*(Propagações_TOT_GRANDE!$B$6:$BZ$6=$B30&amp;"A")*(Propagações_TOT_GRANDE!$A$7:$A$110&gt;=PREVS_SMAP!F$26)*(Propagações_TOT_GRANDE!$A$7:$A$110&lt;=PREVS_SMAP!F$27),0))/7</f>
        <v>125.28571428571429</v>
      </c>
      <c r="G30" s="132" t="e">
        <f t="array" aca="1" ref="G30" ca="1">IF(AD30&lt;7,NA(),SUM(IFERROR(Propagações_TOT_GRANDE!$B$7:$BZ$110*(Propagações_TOT_GRANDE!$B$6:$BZ$6=$B30&amp;"I")*(Propagações_TOT_GRANDE!$A$7:$A$110&gt;=PREVS_SMAP!G$26)*(Propagações_TOT_GRANDE!$A$7:$A$110&lt;=PREVS_SMAP!G$27),0))/7+G29                        )</f>
        <v>#N/A</v>
      </c>
      <c r="H30" s="132" t="e">
        <f t="array" aca="1" ref="H30" ca="1">IF(AE30&lt;7,NA(),SUM(IFERROR(Propagações_TOT_GRANDE!$B$7:$BZ$110*(Propagações_TOT_GRANDE!$B$6:$BZ$6=$B30&amp;"I")*(Propagações_TOT_GRANDE!$A$7:$A$110&gt;=PREVS_SMAP!H$26)*(Propagações_TOT_GRANDE!$A$7:$A$110&lt;=PREVS_SMAP!H$27),0))/7+H29                        )</f>
        <v>#N/A</v>
      </c>
      <c r="I30" s="132" t="e">
        <f t="array" aca="1" ref="I30" ca="1">IF(AF30&lt;7,NA(),SUM(IFERROR(Propagações_TOT_GRANDE!$B$7:$BZ$110*(Propagações_TOT_GRANDE!$B$6:$BZ$6=$B30&amp;"I")*(Propagações_TOT_GRANDE!$A$7:$A$110&gt;=PREVS_SMAP!I$26)*(Propagações_TOT_GRANDE!$A$7:$A$110&lt;=PREVS_SMAP!I$27),0))/7+I29                        )</f>
        <v>#N/A</v>
      </c>
      <c r="J30" s="132" t="e">
        <f t="array" aca="1" ref="J30" ca="1">IF(AG30&lt;7,NA(),SUM(IFERROR(Propagações_TOT_GRANDE!$B$7:$BZ$110*(Propagações_TOT_GRANDE!$B$6:$BZ$6=$B30&amp;"I")*(Propagações_TOT_GRANDE!$A$7:$A$110&gt;=PREVS_SMAP!J$26)*(Propagações_TOT_GRANDE!$A$7:$A$110&lt;=PREVS_SMAP!J$27),0))/7+J29                        )</f>
        <v>#N/A</v>
      </c>
      <c r="K30" s="132" t="e">
        <f t="array" aca="1" ref="K30" ca="1">IF(AH30&lt;7,NA(),SUM(IFERROR(Propagações_TOT_GRANDE!$B$7:$BZ$110*(Propagações_TOT_GRANDE!$B$6:$BZ$6=$B30&amp;"I")*(Propagações_TOT_GRANDE!$A$7:$A$110&gt;=PREVS_SMAP!K$26)*(Propagações_TOT_GRANDE!$A$7:$A$110&lt;=PREVS_SMAP!K$27),0))/7+K29                        )</f>
        <v>#N/A</v>
      </c>
      <c r="L30" s="132" t="e">
        <f t="array" aca="1" ref="L30" ca="1">IF(AI30&lt;7,NA(),SUM(IFERROR(Propagações_TOT_GRANDE!$B$7:$BZ$110*(Propagações_TOT_GRANDE!$B$6:$BZ$6=$B30&amp;"I")*(Propagações_TOT_GRANDE!$A$7:$A$110&gt;=PREVS_SMAP!L$26)*(Propagações_TOT_GRANDE!$A$7:$A$110&lt;=PREVS_SMAP!L$27),0))/7+L29                        )</f>
        <v>#N/A</v>
      </c>
      <c r="M30" s="132" t="e">
        <f t="array" aca="1" ref="M30" ca="1">IF(AJ30&lt;7,NA(),SUM(IFERROR(Propagações_TOT_GRANDE!$B$7:$BZ$110*(Propagações_TOT_GRANDE!$B$6:$BZ$6=$B30&amp;"I")*(Propagações_TOT_GRANDE!$A$7:$A$110&gt;=PREVS_SMAP!M$26)*(Propagações_TOT_GRANDE!$A$7:$A$110&lt;=PREVS_SMAP!M$27),0))/7+M29                        )</f>
        <v>#N/A</v>
      </c>
      <c r="N30" s="132" t="e">
        <f t="array" aca="1" ref="N30" ca="1">IF(AK30&lt;7,NA(),SUM(IFERROR(Propagações_TOT_GRANDE!$B$7:$BZ$110*(Propagações_TOT_GRANDE!$B$6:$BZ$6=$B30&amp;"I")*(Propagações_TOT_GRANDE!$A$7:$A$110&gt;=PREVS_SMAP!N$26)*(Propagações_TOT_GRANDE!$A$7:$A$110&lt;=PREVS_SMAP!N$27),0))/7+N29                        )</f>
        <v>#N/A</v>
      </c>
      <c r="O30" s="132" t="e">
        <f t="array" aca="1" ref="O30" ca="1">IF(AL30&lt;7,NA(),SUM(IFERROR(Propagações_TOT_GRANDE!$B$7:$BZ$110*(Propagações_TOT_GRANDE!$B$6:$BZ$6=$B30&amp;"I")*(Propagações_TOT_GRANDE!$A$7:$A$110&gt;=PREVS_SMAP!O$26)*(Propagações_TOT_GRANDE!$A$7:$A$110&lt;=PREVS_SMAP!O$27),0))/7+O29                        )</f>
        <v>#N/A</v>
      </c>
      <c r="P30" s="132"/>
      <c r="R30">
        <v>3</v>
      </c>
      <c r="S30" s="40"/>
      <c r="T30" s="40"/>
      <c r="U30" s="131"/>
      <c r="V30" s="131"/>
      <c r="W30" s="131"/>
      <c r="X30" s="131"/>
      <c r="Y30" s="131"/>
      <c r="Z30" s="131"/>
      <c r="AA30" s="131"/>
      <c r="AB30" s="131"/>
      <c r="AD30" s="272">
        <f t="array" aca="1" ref="AD30" ca="1">SUM(IFERROR(ISNUMBER(Propagações_TOT_GRANDE!$B$7:$BZ$110)*(Propagações_TOT_GRANDE!$B$6:$BZ$6=$B30&amp;"I")*(Propagações_TOT_GRANDE!$A$7:$A$110&gt;=PREVS_SMAP!G$26)*(Propagações_TOT_GRANDE!$A$7:$A$110&lt;=PREVS_SMAP!G$27),0))</f>
        <v>0</v>
      </c>
      <c r="AE30" s="272">
        <f t="array" aca="1" ref="AE30" ca="1">SUM(IFERROR(ISNUMBER(Propagações_TOT_GRANDE!$B$7:$BZ$110)*(Propagações_TOT_GRANDE!$B$6:$BZ$6=$B30&amp;"I")*(Propagações_TOT_GRANDE!$A$7:$A$110&gt;=PREVS_SMAP!H$26)*(Propagações_TOT_GRANDE!$A$7:$A$110&lt;=PREVS_SMAP!H$27),0))</f>
        <v>0</v>
      </c>
      <c r="AF30" s="272">
        <f t="array" aca="1" ref="AF30" ca="1">SUM(IFERROR(ISNUMBER(Propagações_TOT_GRANDE!$B$7:$BZ$110)*(Propagações_TOT_GRANDE!$B$6:$BZ$6=$B30&amp;"I")*(Propagações_TOT_GRANDE!$A$7:$A$110&gt;=PREVS_SMAP!I$26)*(Propagações_TOT_GRANDE!$A$7:$A$110&lt;=PREVS_SMAP!I$27),0))</f>
        <v>0</v>
      </c>
      <c r="AG30" s="272">
        <f t="array" aca="1" ref="AG30" ca="1">SUM(IFERROR(ISNUMBER(Propagações_TOT_GRANDE!$B$7:$BZ$110)*(Propagações_TOT_GRANDE!$B$6:$BZ$6=$B30&amp;"I")*(Propagações_TOT_GRANDE!$A$7:$A$110&gt;=PREVS_SMAP!J$26)*(Propagações_TOT_GRANDE!$A$7:$A$110&lt;=PREVS_SMAP!J$27),0))</f>
        <v>0</v>
      </c>
      <c r="AH30" s="272">
        <f t="array" aca="1" ref="AH30" ca="1">SUM(IFERROR(ISNUMBER(Propagações_TOT_GRANDE!$B$7:$BZ$110)*(Propagações_TOT_GRANDE!$B$6:$BZ$6=$B30&amp;"I")*(Propagações_TOT_GRANDE!$A$7:$A$110&gt;=PREVS_SMAP!K$26)*(Propagações_TOT_GRANDE!$A$7:$A$110&lt;=PREVS_SMAP!K$27),0))</f>
        <v>0</v>
      </c>
      <c r="AI30" s="272">
        <f t="array" aca="1" ref="AI30" ca="1">SUM(IFERROR(ISNUMBER(Propagações_TOT_GRANDE!$B$7:$BZ$110)*(Propagações_TOT_GRANDE!$B$6:$BZ$6=$B30&amp;"I")*(Propagações_TOT_GRANDE!$A$7:$A$110&gt;=PREVS_SMAP!L$26)*(Propagações_TOT_GRANDE!$A$7:$A$110&lt;=PREVS_SMAP!L$27),0))</f>
        <v>0</v>
      </c>
      <c r="AJ30" s="272">
        <f t="array" aca="1" ref="AJ30" ca="1">SUM(IFERROR(ISNUMBER(Propagações_TOT_GRANDE!$B$7:$BZ$110)*(Propagações_TOT_GRANDE!$B$6:$BZ$6=$B30&amp;"I")*(Propagações_TOT_GRANDE!$A$7:$A$110&gt;=PREVS_SMAP!M$26)*(Propagações_TOT_GRANDE!$A$7:$A$110&lt;=PREVS_SMAP!M$27),0))</f>
        <v>0</v>
      </c>
      <c r="AK30" s="272">
        <f t="array" aca="1" ref="AK30" ca="1">SUM(IFERROR(ISNUMBER(Propagações_TOT_GRANDE!$B$7:$BZ$110)*(Propagações_TOT_GRANDE!$B$6:$BZ$6=$B30&amp;"I")*(Propagações_TOT_GRANDE!$A$7:$A$110&gt;=PREVS_SMAP!N$26)*(Propagações_TOT_GRANDE!$A$7:$A$110&lt;=PREVS_SMAP!N$27),0))</f>
        <v>0</v>
      </c>
      <c r="AL30" s="272">
        <f t="array" aca="1" ref="AL30" ca="1">SUM(IFERROR(ISNUMBER(Propagações_TOT_GRANDE!$B$7:$BZ$110)*(Propagações_TOT_GRANDE!$B$6:$BZ$6=$B30&amp;"I")*(Propagações_TOT_GRANDE!$A$7:$A$110&gt;=PREVS_SMAP!O$26)*(Propagações_TOT_GRANDE!$A$7:$A$110&lt;=PREVS_SMAP!O$27),0))</f>
        <v>0</v>
      </c>
      <c r="AN30" s="121"/>
      <c r="AO30" s="121" t="e">
        <f t="shared" si="9"/>
        <v>#DIV/0!</v>
      </c>
      <c r="AP30" s="121" t="b">
        <f t="shared" si="10"/>
        <v>0</v>
      </c>
      <c r="AU30" s="121"/>
      <c r="AV30" s="121"/>
      <c r="AW30" s="159"/>
      <c r="AX30" s="159"/>
      <c r="AY30" s="159"/>
      <c r="AZ30" s="157"/>
      <c r="BA30" s="157"/>
      <c r="BB30" s="121">
        <f t="shared" ca="1" si="11"/>
        <v>0</v>
      </c>
      <c r="BC30" s="272">
        <f t="shared" ca="1" si="13"/>
        <v>0</v>
      </c>
      <c r="BD30" s="272">
        <f t="shared" ca="1" si="12"/>
        <v>0</v>
      </c>
      <c r="BE30" s="272">
        <f t="shared" ca="1" si="12"/>
        <v>0</v>
      </c>
      <c r="BF30" s="272">
        <f t="shared" ca="1" si="12"/>
        <v>0</v>
      </c>
      <c r="BG30"/>
    </row>
    <row r="31" spans="1:59" x14ac:dyDescent="0.2">
      <c r="A31" s="294">
        <v>6</v>
      </c>
      <c r="B31" s="283" t="str">
        <f t="shared" si="7"/>
        <v>6_VN</v>
      </c>
      <c r="C31" s="240" t="s">
        <v>20</v>
      </c>
      <c r="D31" s="132">
        <f t="array" aca="1" ref="D31" ca="1">SUM(IFERROR(Propagações_TOT_GRANDE!$B$7:$BZ$110*(Propagações_TOT_GRANDE!$B$6:$BZ$6=$B31&amp;"A")*(Propagações_TOT_GRANDE!$A$7:$A$110&gt;=PREVS_SMAP!D$26)*(Propagações_TOT_GRANDE!$A$7:$A$110&lt;=PREVS_SMAP!D$27),0))/7</f>
        <v>0</v>
      </c>
      <c r="E31" s="132">
        <f t="array" aca="1" ref="E31" ca="1">SUM(IFERROR(Propagações_TOT_GRANDE!$B$7:$BZ$110*(Propagações_TOT_GRANDE!$B$6:$BZ$6=$B31&amp;"A")*(Propagações_TOT_GRANDE!$A$7:$A$110&gt;=PREVS_SMAP!E$26)*(Propagações_TOT_GRANDE!$A$7:$A$110&lt;=PREVS_SMAP!E$27),0))/7</f>
        <v>597</v>
      </c>
      <c r="F31" s="132">
        <f t="array" aca="1" ref="F31" ca="1">SUM(IFERROR(Propagações_TOT_GRANDE!$B$7:$BZ$110*(Propagações_TOT_GRANDE!$B$6:$BZ$6=$B31&amp;"A")*(Propagações_TOT_GRANDE!$A$7:$A$110&gt;=PREVS_SMAP!F$26)*(Propagações_TOT_GRANDE!$A$7:$A$110&lt;=PREVS_SMAP!F$27),0))/7</f>
        <v>293.14285714285717</v>
      </c>
      <c r="G31" s="132" t="e">
        <f t="array" aca="1" ref="G31" ca="1">IF(AD31&lt;7,NA(),SUM(IFERROR(Propagações_TOT_GRANDE!$B$7:$BZ$110*(Propagações_TOT_GRANDE!$B$6:$BZ$6=$B31&amp;"I")*(Propagações_TOT_GRANDE!$A$7:$A$110&gt;=PREVS_SMAP!G$26)*(Propagações_TOT_GRANDE!$A$7:$A$110&lt;=PREVS_SMAP!G$27),0))/7+G30                        )</f>
        <v>#N/A</v>
      </c>
      <c r="H31" s="132" t="e">
        <f t="array" aca="1" ref="H31" ca="1">IF(AE31&lt;7,NA(),SUM(IFERROR(Propagações_TOT_GRANDE!$B$7:$BZ$110*(Propagações_TOT_GRANDE!$B$6:$BZ$6=$B31&amp;"I")*(Propagações_TOT_GRANDE!$A$7:$A$110&gt;=PREVS_SMAP!H$26)*(Propagações_TOT_GRANDE!$A$7:$A$110&lt;=PREVS_SMAP!H$27),0))/7+H30                        )</f>
        <v>#N/A</v>
      </c>
      <c r="I31" s="132" t="e">
        <f t="array" aca="1" ref="I31" ca="1">IF(AF31&lt;7,NA(),SUM(IFERROR(Propagações_TOT_GRANDE!$B$7:$BZ$110*(Propagações_TOT_GRANDE!$B$6:$BZ$6=$B31&amp;"I")*(Propagações_TOT_GRANDE!$A$7:$A$110&gt;=PREVS_SMAP!I$26)*(Propagações_TOT_GRANDE!$A$7:$A$110&lt;=PREVS_SMAP!I$27),0))/7+I30                        )</f>
        <v>#N/A</v>
      </c>
      <c r="J31" s="132" t="e">
        <f t="array" aca="1" ref="J31" ca="1">IF(AG31&lt;7,NA(),SUM(IFERROR(Propagações_TOT_GRANDE!$B$7:$BZ$110*(Propagações_TOT_GRANDE!$B$6:$BZ$6=$B31&amp;"I")*(Propagações_TOT_GRANDE!$A$7:$A$110&gt;=PREVS_SMAP!J$26)*(Propagações_TOT_GRANDE!$A$7:$A$110&lt;=PREVS_SMAP!J$27),0))/7+J30                        )</f>
        <v>#N/A</v>
      </c>
      <c r="K31" s="132" t="e">
        <f t="array" aca="1" ref="K31" ca="1">IF(AH31&lt;7,NA(),SUM(IFERROR(Propagações_TOT_GRANDE!$B$7:$BZ$110*(Propagações_TOT_GRANDE!$B$6:$BZ$6=$B31&amp;"I")*(Propagações_TOT_GRANDE!$A$7:$A$110&gt;=PREVS_SMAP!K$26)*(Propagações_TOT_GRANDE!$A$7:$A$110&lt;=PREVS_SMAP!K$27),0))/7+K30                        )</f>
        <v>#N/A</v>
      </c>
      <c r="L31" s="132" t="e">
        <f t="array" aca="1" ref="L31" ca="1">IF(AI31&lt;7,NA(),SUM(IFERROR(Propagações_TOT_GRANDE!$B$7:$BZ$110*(Propagações_TOT_GRANDE!$B$6:$BZ$6=$B31&amp;"I")*(Propagações_TOT_GRANDE!$A$7:$A$110&gt;=PREVS_SMAP!L$26)*(Propagações_TOT_GRANDE!$A$7:$A$110&lt;=PREVS_SMAP!L$27),0))/7+L30                        )</f>
        <v>#N/A</v>
      </c>
      <c r="M31" s="132" t="e">
        <f t="array" aca="1" ref="M31" ca="1">IF(AJ31&lt;7,NA(),SUM(IFERROR(Propagações_TOT_GRANDE!$B$7:$BZ$110*(Propagações_TOT_GRANDE!$B$6:$BZ$6=$B31&amp;"I")*(Propagações_TOT_GRANDE!$A$7:$A$110&gt;=PREVS_SMAP!M$26)*(Propagações_TOT_GRANDE!$A$7:$A$110&lt;=PREVS_SMAP!M$27),0))/7+M30                        )</f>
        <v>#N/A</v>
      </c>
      <c r="N31" s="132" t="e">
        <f t="array" aca="1" ref="N31" ca="1">IF(AK31&lt;7,NA(),SUM(IFERROR(Propagações_TOT_GRANDE!$B$7:$BZ$110*(Propagações_TOT_GRANDE!$B$6:$BZ$6=$B31&amp;"I")*(Propagações_TOT_GRANDE!$A$7:$A$110&gt;=PREVS_SMAP!N$26)*(Propagações_TOT_GRANDE!$A$7:$A$110&lt;=PREVS_SMAP!N$27),0))/7+N30                        )</f>
        <v>#N/A</v>
      </c>
      <c r="O31" s="132" t="e">
        <f t="array" aca="1" ref="O31" ca="1">IF(AL31&lt;7,NA(),SUM(IFERROR(Propagações_TOT_GRANDE!$B$7:$BZ$110*(Propagações_TOT_GRANDE!$B$6:$BZ$6=$B31&amp;"I")*(Propagações_TOT_GRANDE!$A$7:$A$110&gt;=PREVS_SMAP!O$26)*(Propagações_TOT_GRANDE!$A$7:$A$110&lt;=PREVS_SMAP!O$27),0))/7+O30                        )</f>
        <v>#N/A</v>
      </c>
      <c r="P31" s="132"/>
      <c r="R31">
        <v>4</v>
      </c>
      <c r="S31" s="40"/>
      <c r="T31" s="40"/>
      <c r="U31" s="131"/>
      <c r="V31" s="131"/>
      <c r="W31" s="131"/>
      <c r="X31" s="131"/>
      <c r="Y31" s="131"/>
      <c r="Z31" s="131"/>
      <c r="AA31" s="131"/>
      <c r="AB31" s="131"/>
      <c r="AD31" s="272">
        <f t="array" aca="1" ref="AD31" ca="1">SUM(IFERROR(ISNUMBER(Propagações_TOT_GRANDE!$B$7:$BZ$110)*(Propagações_TOT_GRANDE!$B$6:$BZ$6=$B31&amp;"I")*(Propagações_TOT_GRANDE!$A$7:$A$110&gt;=PREVS_SMAP!G$26)*(Propagações_TOT_GRANDE!$A$7:$A$110&lt;=PREVS_SMAP!G$27),0))</f>
        <v>0</v>
      </c>
      <c r="AE31" s="272">
        <f t="array" aca="1" ref="AE31" ca="1">SUM(IFERROR(ISNUMBER(Propagações_TOT_GRANDE!$B$7:$BZ$110)*(Propagações_TOT_GRANDE!$B$6:$BZ$6=$B31&amp;"I")*(Propagações_TOT_GRANDE!$A$7:$A$110&gt;=PREVS_SMAP!H$26)*(Propagações_TOT_GRANDE!$A$7:$A$110&lt;=PREVS_SMAP!H$27),0))</f>
        <v>0</v>
      </c>
      <c r="AF31" s="272">
        <f t="array" aca="1" ref="AF31" ca="1">SUM(IFERROR(ISNUMBER(Propagações_TOT_GRANDE!$B$7:$BZ$110)*(Propagações_TOT_GRANDE!$B$6:$BZ$6=$B31&amp;"I")*(Propagações_TOT_GRANDE!$A$7:$A$110&gt;=PREVS_SMAP!I$26)*(Propagações_TOT_GRANDE!$A$7:$A$110&lt;=PREVS_SMAP!I$27),0))</f>
        <v>0</v>
      </c>
      <c r="AG31" s="272">
        <f t="array" aca="1" ref="AG31" ca="1">SUM(IFERROR(ISNUMBER(Propagações_TOT_GRANDE!$B$7:$BZ$110)*(Propagações_TOT_GRANDE!$B$6:$BZ$6=$B31&amp;"I")*(Propagações_TOT_GRANDE!$A$7:$A$110&gt;=PREVS_SMAP!J$26)*(Propagações_TOT_GRANDE!$A$7:$A$110&lt;=PREVS_SMAP!J$27),0))</f>
        <v>0</v>
      </c>
      <c r="AH31" s="272">
        <f t="array" aca="1" ref="AH31" ca="1">SUM(IFERROR(ISNUMBER(Propagações_TOT_GRANDE!$B$7:$BZ$110)*(Propagações_TOT_GRANDE!$B$6:$BZ$6=$B31&amp;"I")*(Propagações_TOT_GRANDE!$A$7:$A$110&gt;=PREVS_SMAP!K$26)*(Propagações_TOT_GRANDE!$A$7:$A$110&lt;=PREVS_SMAP!K$27),0))</f>
        <v>0</v>
      </c>
      <c r="AI31" s="272">
        <f t="array" aca="1" ref="AI31" ca="1">SUM(IFERROR(ISNUMBER(Propagações_TOT_GRANDE!$B$7:$BZ$110)*(Propagações_TOT_GRANDE!$B$6:$BZ$6=$B31&amp;"I")*(Propagações_TOT_GRANDE!$A$7:$A$110&gt;=PREVS_SMAP!L$26)*(Propagações_TOT_GRANDE!$A$7:$A$110&lt;=PREVS_SMAP!L$27),0))</f>
        <v>0</v>
      </c>
      <c r="AJ31" s="272">
        <f t="array" aca="1" ref="AJ31" ca="1">SUM(IFERROR(ISNUMBER(Propagações_TOT_GRANDE!$B$7:$BZ$110)*(Propagações_TOT_GRANDE!$B$6:$BZ$6=$B31&amp;"I")*(Propagações_TOT_GRANDE!$A$7:$A$110&gt;=PREVS_SMAP!M$26)*(Propagações_TOT_GRANDE!$A$7:$A$110&lt;=PREVS_SMAP!M$27),0))</f>
        <v>0</v>
      </c>
      <c r="AK31" s="272">
        <f t="array" aca="1" ref="AK31" ca="1">SUM(IFERROR(ISNUMBER(Propagações_TOT_GRANDE!$B$7:$BZ$110)*(Propagações_TOT_GRANDE!$B$6:$BZ$6=$B31&amp;"I")*(Propagações_TOT_GRANDE!$A$7:$A$110&gt;=PREVS_SMAP!N$26)*(Propagações_TOT_GRANDE!$A$7:$A$110&lt;=PREVS_SMAP!N$27),0))</f>
        <v>0</v>
      </c>
      <c r="AL31" s="272">
        <f t="array" aca="1" ref="AL31" ca="1">SUM(IFERROR(ISNUMBER(Propagações_TOT_GRANDE!$B$7:$BZ$110)*(Propagações_TOT_GRANDE!$B$6:$BZ$6=$B31&amp;"I")*(Propagações_TOT_GRANDE!$A$7:$A$110&gt;=PREVS_SMAP!O$26)*(Propagações_TOT_GRANDE!$A$7:$A$110&lt;=PREVS_SMAP!O$27),0))</f>
        <v>0</v>
      </c>
      <c r="AN31" s="121"/>
      <c r="AO31" s="121" t="e">
        <f t="shared" si="9"/>
        <v>#DIV/0!</v>
      </c>
      <c r="AP31" s="121" t="b">
        <f t="shared" si="10"/>
        <v>0</v>
      </c>
      <c r="AU31" s="121"/>
      <c r="AV31" s="121"/>
      <c r="AW31" s="159"/>
      <c r="AX31" s="159"/>
      <c r="AY31" s="159"/>
      <c r="AZ31" s="157"/>
      <c r="BA31" s="157"/>
      <c r="BB31" s="121">
        <f t="shared" ca="1" si="11"/>
        <v>0</v>
      </c>
      <c r="BC31" s="272">
        <f t="shared" ca="1" si="13"/>
        <v>0</v>
      </c>
      <c r="BD31" s="272">
        <f t="shared" ca="1" si="12"/>
        <v>0</v>
      </c>
      <c r="BE31" s="272">
        <f t="shared" ca="1" si="12"/>
        <v>0</v>
      </c>
      <c r="BF31" s="272">
        <f t="shared" ca="1" si="12"/>
        <v>0</v>
      </c>
      <c r="BG31"/>
    </row>
    <row r="32" spans="1:59" x14ac:dyDescent="0.2">
      <c r="A32" s="294">
        <v>7</v>
      </c>
      <c r="B32" s="283" t="str">
        <f t="shared" si="7"/>
        <v>7_VN</v>
      </c>
      <c r="C32" s="137" t="s">
        <v>41</v>
      </c>
      <c r="D32" s="132">
        <f t="array" aca="1" ref="D32" ca="1">SUM(IFERROR(Propagações_TOT_GRANDE!$B$7:$BZ$110*(Propagações_TOT_GRANDE!$B$6:$BZ$6=$B32&amp;"A")*(Propagações_TOT_GRANDE!$A$7:$A$110&gt;=PREVS_SMAP!D$26)*(Propagações_TOT_GRANDE!$A$7:$A$110&lt;=PREVS_SMAP!D$27),0))/7</f>
        <v>0</v>
      </c>
      <c r="E32" s="132">
        <f t="array" aca="1" ref="E32" ca="1">SUM(IFERROR(Propagações_TOT_GRANDE!$B$7:$BZ$110*(Propagações_TOT_GRANDE!$B$6:$BZ$6=$B32&amp;"A")*(Propagações_TOT_GRANDE!$A$7:$A$110&gt;=PREVS_SMAP!E$26)*(Propagações_TOT_GRANDE!$A$7:$A$110&lt;=PREVS_SMAP!E$27),0))/7</f>
        <v>750.42857142857144</v>
      </c>
      <c r="F32" s="132">
        <f t="array" aca="1" ref="F32" ca="1">SUM(IFERROR(Propagações_TOT_GRANDE!$B$7:$BZ$110*(Propagações_TOT_GRANDE!$B$6:$BZ$6=$B32&amp;"A")*(Propagações_TOT_GRANDE!$A$7:$A$110&gt;=PREVS_SMAP!F$26)*(Propagações_TOT_GRANDE!$A$7:$A$110&lt;=PREVS_SMAP!F$27),0))/7</f>
        <v>340.42857142857144</v>
      </c>
      <c r="G32" s="132" t="e">
        <f t="array" aca="1" ref="G32" ca="1">IF(AD32&lt;7,NA(),SUM(IFERROR(Propagações_TOT_GRANDE!$B$7:$BZ$110*(Propagações_TOT_GRANDE!$B$6:$BZ$6=$B32&amp;"I")*(Propagações_TOT_GRANDE!$A$7:$A$110&gt;=PREVS_SMAP!G$26)*(Propagações_TOT_GRANDE!$A$7:$A$110&lt;=PREVS_SMAP!G$27),0))/7+G31                        )</f>
        <v>#N/A</v>
      </c>
      <c r="H32" s="132" t="e">
        <f t="array" aca="1" ref="H32" ca="1">IF(AE32&lt;7,NA(),SUM(IFERROR(Propagações_TOT_GRANDE!$B$7:$BZ$110*(Propagações_TOT_GRANDE!$B$6:$BZ$6=$B32&amp;"I")*(Propagações_TOT_GRANDE!$A$7:$A$110&gt;=PREVS_SMAP!H$26)*(Propagações_TOT_GRANDE!$A$7:$A$110&lt;=PREVS_SMAP!H$27),0))/7+H31                        )</f>
        <v>#N/A</v>
      </c>
      <c r="I32" s="132" t="e">
        <f t="array" aca="1" ref="I32" ca="1">IF(AF32&lt;7,NA(),SUM(IFERROR(Propagações_TOT_GRANDE!$B$7:$BZ$110*(Propagações_TOT_GRANDE!$B$6:$BZ$6=$B32&amp;"I")*(Propagações_TOT_GRANDE!$A$7:$A$110&gt;=PREVS_SMAP!I$26)*(Propagações_TOT_GRANDE!$A$7:$A$110&lt;=PREVS_SMAP!I$27),0))/7+I31                        )</f>
        <v>#N/A</v>
      </c>
      <c r="J32" s="132" t="e">
        <f t="array" aca="1" ref="J32" ca="1">IF(AG32&lt;7,NA(),SUM(IFERROR(Propagações_TOT_GRANDE!$B$7:$BZ$110*(Propagações_TOT_GRANDE!$B$6:$BZ$6=$B32&amp;"I")*(Propagações_TOT_GRANDE!$A$7:$A$110&gt;=PREVS_SMAP!J$26)*(Propagações_TOT_GRANDE!$A$7:$A$110&lt;=PREVS_SMAP!J$27),0))/7+J31                        )</f>
        <v>#N/A</v>
      </c>
      <c r="K32" s="132" t="e">
        <f t="array" aca="1" ref="K32" ca="1">IF(AH32&lt;7,NA(),SUM(IFERROR(Propagações_TOT_GRANDE!$B$7:$BZ$110*(Propagações_TOT_GRANDE!$B$6:$BZ$6=$B32&amp;"I")*(Propagações_TOT_GRANDE!$A$7:$A$110&gt;=PREVS_SMAP!K$26)*(Propagações_TOT_GRANDE!$A$7:$A$110&lt;=PREVS_SMAP!K$27),0))/7+K31                        )</f>
        <v>#N/A</v>
      </c>
      <c r="L32" s="132" t="e">
        <f t="array" aca="1" ref="L32" ca="1">IF(AI32&lt;7,NA(),SUM(IFERROR(Propagações_TOT_GRANDE!$B$7:$BZ$110*(Propagações_TOT_GRANDE!$B$6:$BZ$6=$B32&amp;"I")*(Propagações_TOT_GRANDE!$A$7:$A$110&gt;=PREVS_SMAP!L$26)*(Propagações_TOT_GRANDE!$A$7:$A$110&lt;=PREVS_SMAP!L$27),0))/7+L31                        )</f>
        <v>#N/A</v>
      </c>
      <c r="M32" s="132" t="e">
        <f t="array" aca="1" ref="M32" ca="1">IF(AJ32&lt;7,NA(),SUM(IFERROR(Propagações_TOT_GRANDE!$B$7:$BZ$110*(Propagações_TOT_GRANDE!$B$6:$BZ$6=$B32&amp;"I")*(Propagações_TOT_GRANDE!$A$7:$A$110&gt;=PREVS_SMAP!M$26)*(Propagações_TOT_GRANDE!$A$7:$A$110&lt;=PREVS_SMAP!M$27),0))/7+M31                        )</f>
        <v>#N/A</v>
      </c>
      <c r="N32" s="132" t="e">
        <f t="array" aca="1" ref="N32" ca="1">IF(AK32&lt;7,NA(),SUM(IFERROR(Propagações_TOT_GRANDE!$B$7:$BZ$110*(Propagações_TOT_GRANDE!$B$6:$BZ$6=$B32&amp;"I")*(Propagações_TOT_GRANDE!$A$7:$A$110&gt;=PREVS_SMAP!N$26)*(Propagações_TOT_GRANDE!$A$7:$A$110&lt;=PREVS_SMAP!N$27),0))/7+N31                        )</f>
        <v>#N/A</v>
      </c>
      <c r="O32" s="132" t="e">
        <f t="array" aca="1" ref="O32" ca="1">IF(AL32&lt;7,NA(),SUM(IFERROR(Propagações_TOT_GRANDE!$B$7:$BZ$110*(Propagações_TOT_GRANDE!$B$6:$BZ$6=$B32&amp;"I")*(Propagações_TOT_GRANDE!$A$7:$A$110&gt;=PREVS_SMAP!O$26)*(Propagações_TOT_GRANDE!$A$7:$A$110&lt;=PREVS_SMAP!O$27),0))/7+O31                        )</f>
        <v>#N/A</v>
      </c>
      <c r="P32" s="132"/>
      <c r="R32">
        <v>5</v>
      </c>
      <c r="S32" s="40"/>
      <c r="T32" s="40"/>
      <c r="U32" s="131"/>
      <c r="V32" s="131"/>
      <c r="W32" s="131"/>
      <c r="X32" s="131"/>
      <c r="Y32" s="131"/>
      <c r="Z32" s="131"/>
      <c r="AA32" s="131"/>
      <c r="AB32" s="131"/>
      <c r="AD32" s="272">
        <f t="array" aca="1" ref="AD32" ca="1">SUM(IFERROR(ISNUMBER(Propagações_TOT_GRANDE!$B$7:$BZ$110)*(Propagações_TOT_GRANDE!$B$6:$BZ$6=$B32&amp;"I")*(Propagações_TOT_GRANDE!$A$7:$A$110&gt;=PREVS_SMAP!G$26)*(Propagações_TOT_GRANDE!$A$7:$A$110&lt;=PREVS_SMAP!G$27),0))</f>
        <v>0</v>
      </c>
      <c r="AE32" s="272">
        <f t="array" aca="1" ref="AE32" ca="1">SUM(IFERROR(ISNUMBER(Propagações_TOT_GRANDE!$B$7:$BZ$110)*(Propagações_TOT_GRANDE!$B$6:$BZ$6=$B32&amp;"I")*(Propagações_TOT_GRANDE!$A$7:$A$110&gt;=PREVS_SMAP!H$26)*(Propagações_TOT_GRANDE!$A$7:$A$110&lt;=PREVS_SMAP!H$27),0))</f>
        <v>0</v>
      </c>
      <c r="AF32" s="272">
        <f t="array" aca="1" ref="AF32" ca="1">SUM(IFERROR(ISNUMBER(Propagações_TOT_GRANDE!$B$7:$BZ$110)*(Propagações_TOT_GRANDE!$B$6:$BZ$6=$B32&amp;"I")*(Propagações_TOT_GRANDE!$A$7:$A$110&gt;=PREVS_SMAP!I$26)*(Propagações_TOT_GRANDE!$A$7:$A$110&lt;=PREVS_SMAP!I$27),0))</f>
        <v>0</v>
      </c>
      <c r="AG32" s="272">
        <f t="array" aca="1" ref="AG32" ca="1">SUM(IFERROR(ISNUMBER(Propagações_TOT_GRANDE!$B$7:$BZ$110)*(Propagações_TOT_GRANDE!$B$6:$BZ$6=$B32&amp;"I")*(Propagações_TOT_GRANDE!$A$7:$A$110&gt;=PREVS_SMAP!J$26)*(Propagações_TOT_GRANDE!$A$7:$A$110&lt;=PREVS_SMAP!J$27),0))</f>
        <v>0</v>
      </c>
      <c r="AH32" s="272">
        <f t="array" aca="1" ref="AH32" ca="1">SUM(IFERROR(ISNUMBER(Propagações_TOT_GRANDE!$B$7:$BZ$110)*(Propagações_TOT_GRANDE!$B$6:$BZ$6=$B32&amp;"I")*(Propagações_TOT_GRANDE!$A$7:$A$110&gt;=PREVS_SMAP!K$26)*(Propagações_TOT_GRANDE!$A$7:$A$110&lt;=PREVS_SMAP!K$27),0))</f>
        <v>0</v>
      </c>
      <c r="AI32" s="272">
        <f t="array" aca="1" ref="AI32" ca="1">SUM(IFERROR(ISNUMBER(Propagações_TOT_GRANDE!$B$7:$BZ$110)*(Propagações_TOT_GRANDE!$B$6:$BZ$6=$B32&amp;"I")*(Propagações_TOT_GRANDE!$A$7:$A$110&gt;=PREVS_SMAP!L$26)*(Propagações_TOT_GRANDE!$A$7:$A$110&lt;=PREVS_SMAP!L$27),0))</f>
        <v>0</v>
      </c>
      <c r="AJ32" s="272">
        <f t="array" aca="1" ref="AJ32" ca="1">SUM(IFERROR(ISNUMBER(Propagações_TOT_GRANDE!$B$7:$BZ$110)*(Propagações_TOT_GRANDE!$B$6:$BZ$6=$B32&amp;"I")*(Propagações_TOT_GRANDE!$A$7:$A$110&gt;=PREVS_SMAP!M$26)*(Propagações_TOT_GRANDE!$A$7:$A$110&lt;=PREVS_SMAP!M$27),0))</f>
        <v>0</v>
      </c>
      <c r="AK32" s="272">
        <f t="array" aca="1" ref="AK32" ca="1">SUM(IFERROR(ISNUMBER(Propagações_TOT_GRANDE!$B$7:$BZ$110)*(Propagações_TOT_GRANDE!$B$6:$BZ$6=$B32&amp;"I")*(Propagações_TOT_GRANDE!$A$7:$A$110&gt;=PREVS_SMAP!N$26)*(Propagações_TOT_GRANDE!$A$7:$A$110&lt;=PREVS_SMAP!N$27),0))</f>
        <v>0</v>
      </c>
      <c r="AL32" s="272">
        <f t="array" aca="1" ref="AL32" ca="1">SUM(IFERROR(ISNUMBER(Propagações_TOT_GRANDE!$B$7:$BZ$110)*(Propagações_TOT_GRANDE!$B$6:$BZ$6=$B32&amp;"I")*(Propagações_TOT_GRANDE!$A$7:$A$110&gt;=PREVS_SMAP!O$26)*(Propagações_TOT_GRANDE!$A$7:$A$110&lt;=PREVS_SMAP!O$27),0))</f>
        <v>0</v>
      </c>
      <c r="AN32" s="121"/>
      <c r="AO32" s="121" t="e">
        <f t="shared" si="9"/>
        <v>#DIV/0!</v>
      </c>
      <c r="AP32" s="121" t="b">
        <f t="shared" si="10"/>
        <v>0</v>
      </c>
      <c r="AU32" s="121"/>
      <c r="AV32" s="121"/>
      <c r="AW32" s="159"/>
      <c r="AX32" s="159"/>
      <c r="AY32" s="159"/>
      <c r="AZ32" s="157"/>
      <c r="BA32" s="157"/>
      <c r="BB32" s="121">
        <f t="shared" ca="1" si="11"/>
        <v>0</v>
      </c>
      <c r="BC32" s="272">
        <f t="shared" ca="1" si="13"/>
        <v>0</v>
      </c>
      <c r="BD32" s="272">
        <f t="shared" ca="1" si="12"/>
        <v>0</v>
      </c>
      <c r="BE32" s="272">
        <f t="shared" ca="1" si="12"/>
        <v>0</v>
      </c>
      <c r="BF32" s="272">
        <f t="shared" ca="1" si="12"/>
        <v>0</v>
      </c>
      <c r="BG32"/>
    </row>
    <row r="33" spans="1:59" x14ac:dyDescent="0.2">
      <c r="A33" s="294">
        <v>8</v>
      </c>
      <c r="B33" s="283" t="str">
        <f t="shared" si="7"/>
        <v>8_VN</v>
      </c>
      <c r="C33" s="137" t="s">
        <v>42</v>
      </c>
      <c r="D33" s="132">
        <f t="array" aca="1" ref="D33" ca="1">SUM(IFERROR(Propagações_TOT_GRANDE!$B$7:$BZ$110*(Propagações_TOT_GRANDE!$B$6:$BZ$6=$B33&amp;"A")*(Propagações_TOT_GRANDE!$A$7:$A$110&gt;=PREVS_SMAP!D$26)*(Propagações_TOT_GRANDE!$A$7:$A$110&lt;=PREVS_SMAP!D$27),0))/7</f>
        <v>0</v>
      </c>
      <c r="E33" s="132">
        <f t="array" aca="1" ref="E33" ca="1">SUM(IFERROR(Propagações_TOT_GRANDE!$B$7:$BZ$110*(Propagações_TOT_GRANDE!$B$6:$BZ$6=$B33&amp;"A")*(Propagações_TOT_GRANDE!$A$7:$A$110&gt;=PREVS_SMAP!E$26)*(Propagações_TOT_GRANDE!$A$7:$A$110&lt;=PREVS_SMAP!E$27),0))/7</f>
        <v>792.71428571428567</v>
      </c>
      <c r="F33" s="132">
        <f t="array" aca="1" ref="F33" ca="1">SUM(IFERROR(Propagações_TOT_GRANDE!$B$7:$BZ$110*(Propagações_TOT_GRANDE!$B$6:$BZ$6=$B33&amp;"A")*(Propagações_TOT_GRANDE!$A$7:$A$110&gt;=PREVS_SMAP!F$26)*(Propagações_TOT_GRANDE!$A$7:$A$110&lt;=PREVS_SMAP!F$27),0))/7</f>
        <v>347.42857142857144</v>
      </c>
      <c r="G33" s="132" t="e">
        <f t="array" aca="1" ref="G33" ca="1">IF(AD33&lt;7,NA(),SUM(IFERROR(Propagações_TOT_GRANDE!$B$7:$BZ$110*(Propagações_TOT_GRANDE!$B$6:$BZ$6=$B33&amp;"I")*(Propagações_TOT_GRANDE!$A$7:$A$110&gt;=PREVS_SMAP!G$26)*(Propagações_TOT_GRANDE!$A$7:$A$110&lt;=PREVS_SMAP!G$27),0))/7+G32                        )</f>
        <v>#N/A</v>
      </c>
      <c r="H33" s="132" t="e">
        <f t="array" aca="1" ref="H33" ca="1">IF(AE33&lt;7,NA(),SUM(IFERROR(Propagações_TOT_GRANDE!$B$7:$BZ$110*(Propagações_TOT_GRANDE!$B$6:$BZ$6=$B33&amp;"I")*(Propagações_TOT_GRANDE!$A$7:$A$110&gt;=PREVS_SMAP!H$26)*(Propagações_TOT_GRANDE!$A$7:$A$110&lt;=PREVS_SMAP!H$27),0))/7+H32                        )</f>
        <v>#N/A</v>
      </c>
      <c r="I33" s="132" t="e">
        <f t="array" aca="1" ref="I33" ca="1">IF(AF33&lt;7,NA(),SUM(IFERROR(Propagações_TOT_GRANDE!$B$7:$BZ$110*(Propagações_TOT_GRANDE!$B$6:$BZ$6=$B33&amp;"I")*(Propagações_TOT_GRANDE!$A$7:$A$110&gt;=PREVS_SMAP!I$26)*(Propagações_TOT_GRANDE!$A$7:$A$110&lt;=PREVS_SMAP!I$27),0))/7+I32                        )</f>
        <v>#N/A</v>
      </c>
      <c r="J33" s="132" t="e">
        <f t="array" aca="1" ref="J33" ca="1">IF(AG33&lt;7,NA(),SUM(IFERROR(Propagações_TOT_GRANDE!$B$7:$BZ$110*(Propagações_TOT_GRANDE!$B$6:$BZ$6=$B33&amp;"I")*(Propagações_TOT_GRANDE!$A$7:$A$110&gt;=PREVS_SMAP!J$26)*(Propagações_TOT_GRANDE!$A$7:$A$110&lt;=PREVS_SMAP!J$27),0))/7+J32                        )</f>
        <v>#N/A</v>
      </c>
      <c r="K33" s="132" t="e">
        <f t="array" aca="1" ref="K33" ca="1">IF(AH33&lt;7,NA(),SUM(IFERROR(Propagações_TOT_GRANDE!$B$7:$BZ$110*(Propagações_TOT_GRANDE!$B$6:$BZ$6=$B33&amp;"I")*(Propagações_TOT_GRANDE!$A$7:$A$110&gt;=PREVS_SMAP!K$26)*(Propagações_TOT_GRANDE!$A$7:$A$110&lt;=PREVS_SMAP!K$27),0))/7+K32                        )</f>
        <v>#N/A</v>
      </c>
      <c r="L33" s="132" t="e">
        <f t="array" aca="1" ref="L33" ca="1">IF(AI33&lt;7,NA(),SUM(IFERROR(Propagações_TOT_GRANDE!$B$7:$BZ$110*(Propagações_TOT_GRANDE!$B$6:$BZ$6=$B33&amp;"I")*(Propagações_TOT_GRANDE!$A$7:$A$110&gt;=PREVS_SMAP!L$26)*(Propagações_TOT_GRANDE!$A$7:$A$110&lt;=PREVS_SMAP!L$27),0))/7+L32                        )</f>
        <v>#N/A</v>
      </c>
      <c r="M33" s="132" t="e">
        <f t="array" aca="1" ref="M33" ca="1">IF(AJ33&lt;7,NA(),SUM(IFERROR(Propagações_TOT_GRANDE!$B$7:$BZ$110*(Propagações_TOT_GRANDE!$B$6:$BZ$6=$B33&amp;"I")*(Propagações_TOT_GRANDE!$A$7:$A$110&gt;=PREVS_SMAP!M$26)*(Propagações_TOT_GRANDE!$A$7:$A$110&lt;=PREVS_SMAP!M$27),0))/7+M32                        )</f>
        <v>#N/A</v>
      </c>
      <c r="N33" s="132" t="e">
        <f t="array" aca="1" ref="N33" ca="1">IF(AK33&lt;7,NA(),SUM(IFERROR(Propagações_TOT_GRANDE!$B$7:$BZ$110*(Propagações_TOT_GRANDE!$B$6:$BZ$6=$B33&amp;"I")*(Propagações_TOT_GRANDE!$A$7:$A$110&gt;=PREVS_SMAP!N$26)*(Propagações_TOT_GRANDE!$A$7:$A$110&lt;=PREVS_SMAP!N$27),0))/7+N32                        )</f>
        <v>#N/A</v>
      </c>
      <c r="O33" s="132" t="e">
        <f t="array" aca="1" ref="O33" ca="1">IF(AL33&lt;7,NA(),SUM(IFERROR(Propagações_TOT_GRANDE!$B$7:$BZ$110*(Propagações_TOT_GRANDE!$B$6:$BZ$6=$B33&amp;"I")*(Propagações_TOT_GRANDE!$A$7:$A$110&gt;=PREVS_SMAP!O$26)*(Propagações_TOT_GRANDE!$A$7:$A$110&lt;=PREVS_SMAP!O$27),0))/7+O32                        )</f>
        <v>#N/A</v>
      </c>
      <c r="P33" s="132"/>
      <c r="R33">
        <v>6</v>
      </c>
      <c r="S33" s="40">
        <f t="shared" ref="S33:S39" ca="1" si="14">AO33</f>
        <v>293</v>
      </c>
      <c r="T33" s="40" t="str">
        <f t="shared" ref="T33:AB39" ca="1" si="15">IFERROR(ROUND(INDEX(G$28:G$129,MATCH($R33,$A$28:$A$129,0)),0),"")</f>
        <v/>
      </c>
      <c r="U33" s="131" t="str">
        <f t="shared" ca="1" si="15"/>
        <v/>
      </c>
      <c r="V33" s="131" t="str">
        <f t="shared" ca="1" si="15"/>
        <v/>
      </c>
      <c r="W33" s="131" t="str">
        <f t="shared" ca="1" si="15"/>
        <v/>
      </c>
      <c r="X33" s="131" t="str">
        <f t="shared" ca="1" si="15"/>
        <v/>
      </c>
      <c r="Y33" s="131" t="str">
        <f t="shared" ca="1" si="15"/>
        <v/>
      </c>
      <c r="Z33" s="131" t="str">
        <f t="shared" ca="1" si="15"/>
        <v/>
      </c>
      <c r="AA33" s="131" t="str">
        <f t="shared" ca="1" si="15"/>
        <v/>
      </c>
      <c r="AB33" s="131" t="str">
        <f t="shared" ca="1" si="15"/>
        <v/>
      </c>
      <c r="AD33" s="272">
        <f t="array" aca="1" ref="AD33" ca="1">SUM(IFERROR(ISNUMBER(Propagações_TOT_GRANDE!$B$7:$BZ$110)*(Propagações_TOT_GRANDE!$B$6:$BZ$6=$B33&amp;"I")*(Propagações_TOT_GRANDE!$A$7:$A$110&gt;=PREVS_SMAP!G$26)*(Propagações_TOT_GRANDE!$A$7:$A$110&lt;=PREVS_SMAP!G$27),0))</f>
        <v>0</v>
      </c>
      <c r="AE33" s="272">
        <f t="array" aca="1" ref="AE33" ca="1">SUM(IFERROR(ISNUMBER(Propagações_TOT_GRANDE!$B$7:$BZ$110)*(Propagações_TOT_GRANDE!$B$6:$BZ$6=$B33&amp;"I")*(Propagações_TOT_GRANDE!$A$7:$A$110&gt;=PREVS_SMAP!H$26)*(Propagações_TOT_GRANDE!$A$7:$A$110&lt;=PREVS_SMAP!H$27),0))</f>
        <v>0</v>
      </c>
      <c r="AF33" s="272">
        <f t="array" aca="1" ref="AF33" ca="1">SUM(IFERROR(ISNUMBER(Propagações_TOT_GRANDE!$B$7:$BZ$110)*(Propagações_TOT_GRANDE!$B$6:$BZ$6=$B33&amp;"I")*(Propagações_TOT_GRANDE!$A$7:$A$110&gt;=PREVS_SMAP!I$26)*(Propagações_TOT_GRANDE!$A$7:$A$110&lt;=PREVS_SMAP!I$27),0))</f>
        <v>0</v>
      </c>
      <c r="AG33" s="272">
        <f t="array" aca="1" ref="AG33" ca="1">SUM(IFERROR(ISNUMBER(Propagações_TOT_GRANDE!$B$7:$BZ$110)*(Propagações_TOT_GRANDE!$B$6:$BZ$6=$B33&amp;"I")*(Propagações_TOT_GRANDE!$A$7:$A$110&gt;=PREVS_SMAP!J$26)*(Propagações_TOT_GRANDE!$A$7:$A$110&lt;=PREVS_SMAP!J$27),0))</f>
        <v>0</v>
      </c>
      <c r="AH33" s="272">
        <f t="array" aca="1" ref="AH33" ca="1">SUM(IFERROR(ISNUMBER(Propagações_TOT_GRANDE!$B$7:$BZ$110)*(Propagações_TOT_GRANDE!$B$6:$BZ$6=$B33&amp;"I")*(Propagações_TOT_GRANDE!$A$7:$A$110&gt;=PREVS_SMAP!K$26)*(Propagações_TOT_GRANDE!$A$7:$A$110&lt;=PREVS_SMAP!K$27),0))</f>
        <v>0</v>
      </c>
      <c r="AI33" s="272">
        <f t="array" aca="1" ref="AI33" ca="1">SUM(IFERROR(ISNUMBER(Propagações_TOT_GRANDE!$B$7:$BZ$110)*(Propagações_TOT_GRANDE!$B$6:$BZ$6=$B33&amp;"I")*(Propagações_TOT_GRANDE!$A$7:$A$110&gt;=PREVS_SMAP!L$26)*(Propagações_TOT_GRANDE!$A$7:$A$110&lt;=PREVS_SMAP!L$27),0))</f>
        <v>0</v>
      </c>
      <c r="AJ33" s="272">
        <f t="array" aca="1" ref="AJ33" ca="1">SUM(IFERROR(ISNUMBER(Propagações_TOT_GRANDE!$B$7:$BZ$110)*(Propagações_TOT_GRANDE!$B$6:$BZ$6=$B33&amp;"I")*(Propagações_TOT_GRANDE!$A$7:$A$110&gt;=PREVS_SMAP!M$26)*(Propagações_TOT_GRANDE!$A$7:$A$110&lt;=PREVS_SMAP!M$27),0))</f>
        <v>0</v>
      </c>
      <c r="AK33" s="272">
        <f t="array" aca="1" ref="AK33" ca="1">SUM(IFERROR(ISNUMBER(Propagações_TOT_GRANDE!$B$7:$BZ$110)*(Propagações_TOT_GRANDE!$B$6:$BZ$6=$B33&amp;"I")*(Propagações_TOT_GRANDE!$A$7:$A$110&gt;=PREVS_SMAP!N$26)*(Propagações_TOT_GRANDE!$A$7:$A$110&lt;=PREVS_SMAP!N$27),0))</f>
        <v>0</v>
      </c>
      <c r="AL33" s="272">
        <f t="array" aca="1" ref="AL33" ca="1">SUM(IFERROR(ISNUMBER(Propagações_TOT_GRANDE!$B$7:$BZ$110)*(Propagações_TOT_GRANDE!$B$6:$BZ$6=$B33&amp;"I")*(Propagações_TOT_GRANDE!$A$7:$A$110&gt;=PREVS_SMAP!O$26)*(Propagações_TOT_GRANDE!$A$7:$A$110&lt;=PREVS_SMAP!O$27),0))</f>
        <v>0</v>
      </c>
      <c r="AN33" s="121"/>
      <c r="AO33" s="121">
        <f t="shared" ca="1" si="9"/>
        <v>293</v>
      </c>
      <c r="AP33" s="121" t="b">
        <f t="shared" si="10"/>
        <v>1</v>
      </c>
      <c r="AQ33" s="272">
        <f ca="1">+AVERAGEIFS(TABELA_VAZAO[qnat],TABELA_VAZAO[Posto],$R33,TABELA_VAZAO[Data],AQ$27)</f>
        <v>533</v>
      </c>
      <c r="AR33" s="272">
        <f ca="1">+AVERAGEIFS(TABELA_VAZAO[qnat],TABELA_VAZAO[Posto],$R33,TABELA_VAZAO[Data],AR$27)</f>
        <v>501</v>
      </c>
      <c r="AS33" s="272">
        <f ca="1">+AVERAGEIFS(TABELA_VAZAO[qnat],TABELA_VAZAO[Posto],$R33,TABELA_VAZAO[Data],AS$27)</f>
        <v>502</v>
      </c>
      <c r="AT33" s="272">
        <f ca="1">+AVERAGEIFS(TABELA_VAZAO[qnat],TABELA_VAZAO[Posto],$R33,TABELA_VAZAO[Data],AT$27)</f>
        <v>550</v>
      </c>
      <c r="AU33" s="121">
        <f ca="1">+AVERAGEIFS(TABELA_VAZAO[qnat],TABELA_VAZAO[Posto],$R33,TABELA_VAZAO[Data],AU$27)</f>
        <v>603</v>
      </c>
      <c r="AV33" s="272">
        <f ca="1">IFERROR(AVERAGEIFS(TABELA_VAZAO[qnat],TABELA_VAZAO[Posto],$R33,TABELA_VAZAO[Data],AV$27),AU33+$BB33*EXP(AV$26))</f>
        <v>682</v>
      </c>
      <c r="AW33" s="159">
        <f ca="1">IFERROR(AVERAGEIFS(TABELA_VAZAO[qnat],TABELA_VAZAO[Posto],$R33,TABELA_VAZAO[Data],AW$27),AV33+$BB33*EXP(AW$26))</f>
        <v>767</v>
      </c>
      <c r="AX33" s="325">
        <f ca="1">IFERROR(AVERAGEIFS(TABELA_VAZAO[qnat],TABELA_VAZAO[Posto],$R33,TABELA_VAZAO[Data],AX$27),AW33+$BB33*EXP(AX$26))</f>
        <v>840.42857142857144</v>
      </c>
      <c r="AY33" s="325">
        <f ca="1">IFERROR(AVERAGEIFS(TABELA_VAZAO[qnat],TABELA_VAZAO[Posto],$R33,TABELA_VAZAO[Data],AY$27),AX33+$BB33*EXP(AY$26))</f>
        <v>889.64921480890268</v>
      </c>
      <c r="AZ33" s="326">
        <f ca="1">IFERROR(AVERAGEIFS(TABELA_VAZAO[qnat],TABELA_VAZAO[Posto],$R33,TABELA_VAZAO[Data],AZ$27),AY33+$BB33*EXP(AZ$26))</f>
        <v>922.64279874551005</v>
      </c>
      <c r="BA33" s="326">
        <f ca="1">IFERROR(AVERAGEIFS(TABELA_VAZAO[qnat],TABELA_VAZAO[Posto],$R33,TABELA_VAZAO[Data],BA$27),AZ33+$BB33*EXP(BA$26))</f>
        <v>944.75905944877741</v>
      </c>
      <c r="BB33" s="121">
        <f t="shared" ca="1" si="11"/>
        <v>73.428571428571431</v>
      </c>
      <c r="BC33" s="272">
        <f t="shared" ca="1" si="13"/>
        <v>48</v>
      </c>
      <c r="BD33" s="272">
        <f t="shared" ca="1" si="12"/>
        <v>53</v>
      </c>
      <c r="BE33" s="272">
        <f t="shared" ca="1" si="12"/>
        <v>79</v>
      </c>
      <c r="BF33" s="272">
        <f t="shared" ca="1" si="12"/>
        <v>85</v>
      </c>
      <c r="BG33"/>
    </row>
    <row r="34" spans="1:59" x14ac:dyDescent="0.2">
      <c r="A34" s="294">
        <v>9</v>
      </c>
      <c r="B34" s="283" t="str">
        <f t="shared" si="7"/>
        <v>9_VN</v>
      </c>
      <c r="C34" s="137" t="s">
        <v>43</v>
      </c>
      <c r="D34" s="132">
        <f t="array" aca="1" ref="D34" ca="1">SUM(IFERROR(Propagações_TOT_GRANDE!$B$7:$BZ$110*(Propagações_TOT_GRANDE!$B$6:$BZ$6=$B34&amp;"A")*(Propagações_TOT_GRANDE!$A$7:$A$110&gt;=PREVS_SMAP!D$26)*(Propagações_TOT_GRANDE!$A$7:$A$110&lt;=PREVS_SMAP!D$27),0))/7</f>
        <v>0</v>
      </c>
      <c r="E34" s="132">
        <f t="array" aca="1" ref="E34" ca="1">SUM(IFERROR(Propagações_TOT_GRANDE!$B$7:$BZ$110*(Propagações_TOT_GRANDE!$B$6:$BZ$6=$B34&amp;"A")*(Propagações_TOT_GRANDE!$A$7:$A$110&gt;=PREVS_SMAP!E$26)*(Propagações_TOT_GRANDE!$A$7:$A$110&lt;=PREVS_SMAP!E$27),0))/7</f>
        <v>815.42857142857144</v>
      </c>
      <c r="F34" s="132">
        <f t="array" aca="1" ref="F34" ca="1">SUM(IFERROR(Propagações_TOT_GRANDE!$B$7:$BZ$110*(Propagações_TOT_GRANDE!$B$6:$BZ$6=$B34&amp;"A")*(Propagações_TOT_GRANDE!$A$7:$A$110&gt;=PREVS_SMAP!F$26)*(Propagações_TOT_GRANDE!$A$7:$A$110&lt;=PREVS_SMAP!F$27),0))/7</f>
        <v>347.28571428571428</v>
      </c>
      <c r="G34" s="132" t="e">
        <f t="array" aca="1" ref="G34" ca="1">IF(AD34&lt;7,NA(),SUM(IFERROR(Propagações_TOT_GRANDE!$B$7:$BZ$110*(Propagações_TOT_GRANDE!$B$6:$BZ$6=$B34&amp;"I")*(Propagações_TOT_GRANDE!$A$7:$A$110&gt;=PREVS_SMAP!G$26)*(Propagações_TOT_GRANDE!$A$7:$A$110&lt;=PREVS_SMAP!G$27),0))/7+G33                        )</f>
        <v>#N/A</v>
      </c>
      <c r="H34" s="132" t="e">
        <f t="array" aca="1" ref="H34" ca="1">IF(AE34&lt;7,NA(),SUM(IFERROR(Propagações_TOT_GRANDE!$B$7:$BZ$110*(Propagações_TOT_GRANDE!$B$6:$BZ$6=$B34&amp;"I")*(Propagações_TOT_GRANDE!$A$7:$A$110&gt;=PREVS_SMAP!H$26)*(Propagações_TOT_GRANDE!$A$7:$A$110&lt;=PREVS_SMAP!H$27),0))/7+H33                        )</f>
        <v>#N/A</v>
      </c>
      <c r="I34" s="132" t="e">
        <f t="array" aca="1" ref="I34" ca="1">IF(AF34&lt;7,NA(),SUM(IFERROR(Propagações_TOT_GRANDE!$B$7:$BZ$110*(Propagações_TOT_GRANDE!$B$6:$BZ$6=$B34&amp;"I")*(Propagações_TOT_GRANDE!$A$7:$A$110&gt;=PREVS_SMAP!I$26)*(Propagações_TOT_GRANDE!$A$7:$A$110&lt;=PREVS_SMAP!I$27),0))/7+I33                        )</f>
        <v>#N/A</v>
      </c>
      <c r="J34" s="132" t="e">
        <f t="array" aca="1" ref="J34" ca="1">IF(AG34&lt;7,NA(),SUM(IFERROR(Propagações_TOT_GRANDE!$B$7:$BZ$110*(Propagações_TOT_GRANDE!$B$6:$BZ$6=$B34&amp;"I")*(Propagações_TOT_GRANDE!$A$7:$A$110&gt;=PREVS_SMAP!J$26)*(Propagações_TOT_GRANDE!$A$7:$A$110&lt;=PREVS_SMAP!J$27),0))/7+J33                        )</f>
        <v>#N/A</v>
      </c>
      <c r="K34" s="132" t="e">
        <f t="array" aca="1" ref="K34" ca="1">IF(AH34&lt;7,NA(),SUM(IFERROR(Propagações_TOT_GRANDE!$B$7:$BZ$110*(Propagações_TOT_GRANDE!$B$6:$BZ$6=$B34&amp;"I")*(Propagações_TOT_GRANDE!$A$7:$A$110&gt;=PREVS_SMAP!K$26)*(Propagações_TOT_GRANDE!$A$7:$A$110&lt;=PREVS_SMAP!K$27),0))/7+K33                        )</f>
        <v>#N/A</v>
      </c>
      <c r="L34" s="132" t="e">
        <f t="array" aca="1" ref="L34" ca="1">IF(AI34&lt;7,NA(),SUM(IFERROR(Propagações_TOT_GRANDE!$B$7:$BZ$110*(Propagações_TOT_GRANDE!$B$6:$BZ$6=$B34&amp;"I")*(Propagações_TOT_GRANDE!$A$7:$A$110&gt;=PREVS_SMAP!L$26)*(Propagações_TOT_GRANDE!$A$7:$A$110&lt;=PREVS_SMAP!L$27),0))/7+L33                        )</f>
        <v>#N/A</v>
      </c>
      <c r="M34" s="132" t="e">
        <f t="array" aca="1" ref="M34" ca="1">IF(AJ34&lt;7,NA(),SUM(IFERROR(Propagações_TOT_GRANDE!$B$7:$BZ$110*(Propagações_TOT_GRANDE!$B$6:$BZ$6=$B34&amp;"I")*(Propagações_TOT_GRANDE!$A$7:$A$110&gt;=PREVS_SMAP!M$26)*(Propagações_TOT_GRANDE!$A$7:$A$110&lt;=PREVS_SMAP!M$27),0))/7+M33                        )</f>
        <v>#N/A</v>
      </c>
      <c r="N34" s="132" t="e">
        <f t="array" aca="1" ref="N34" ca="1">IF(AK34&lt;7,NA(),SUM(IFERROR(Propagações_TOT_GRANDE!$B$7:$BZ$110*(Propagações_TOT_GRANDE!$B$6:$BZ$6=$B34&amp;"I")*(Propagações_TOT_GRANDE!$A$7:$A$110&gt;=PREVS_SMAP!N$26)*(Propagações_TOT_GRANDE!$A$7:$A$110&lt;=PREVS_SMAP!N$27),0))/7+N33                        )</f>
        <v>#N/A</v>
      </c>
      <c r="O34" s="132" t="e">
        <f t="array" aca="1" ref="O34" ca="1">IF(AL34&lt;7,NA(),SUM(IFERROR(Propagações_TOT_GRANDE!$B$7:$BZ$110*(Propagações_TOT_GRANDE!$B$6:$BZ$6=$B34&amp;"I")*(Propagações_TOT_GRANDE!$A$7:$A$110&gt;=PREVS_SMAP!O$26)*(Propagações_TOT_GRANDE!$A$7:$A$110&lt;=PREVS_SMAP!O$27),0))/7+O33                        )</f>
        <v>#N/A</v>
      </c>
      <c r="P34" s="132"/>
      <c r="R34">
        <v>7</v>
      </c>
      <c r="S34" s="40">
        <f t="shared" ca="1" si="14"/>
        <v>340</v>
      </c>
      <c r="T34" s="40" t="str">
        <f t="shared" ca="1" si="15"/>
        <v/>
      </c>
      <c r="U34" s="131" t="str">
        <f t="shared" ca="1" si="15"/>
        <v/>
      </c>
      <c r="V34" s="131" t="str">
        <f t="shared" ca="1" si="15"/>
        <v/>
      </c>
      <c r="W34" s="131" t="str">
        <f t="shared" ca="1" si="15"/>
        <v/>
      </c>
      <c r="X34" s="131" t="str">
        <f t="shared" ca="1" si="15"/>
        <v/>
      </c>
      <c r="Y34" s="131" t="str">
        <f t="shared" ca="1" si="15"/>
        <v/>
      </c>
      <c r="Z34" s="131" t="str">
        <f t="shared" ca="1" si="15"/>
        <v/>
      </c>
      <c r="AA34" s="131" t="str">
        <f t="shared" ca="1" si="15"/>
        <v/>
      </c>
      <c r="AB34" s="131" t="str">
        <f t="shared" ca="1" si="15"/>
        <v/>
      </c>
      <c r="AD34" s="272">
        <f t="array" aca="1" ref="AD34" ca="1">SUM(IFERROR(ISNUMBER(Propagações_TOT_GRANDE!$B$7:$BZ$110)*(Propagações_TOT_GRANDE!$B$6:$BZ$6=$B34&amp;"I")*(Propagações_TOT_GRANDE!$A$7:$A$110&gt;=PREVS_SMAP!G$26)*(Propagações_TOT_GRANDE!$A$7:$A$110&lt;=PREVS_SMAP!G$27),0))</f>
        <v>0</v>
      </c>
      <c r="AE34" s="272">
        <f t="array" aca="1" ref="AE34" ca="1">SUM(IFERROR(ISNUMBER(Propagações_TOT_GRANDE!$B$7:$BZ$110)*(Propagações_TOT_GRANDE!$B$6:$BZ$6=$B34&amp;"I")*(Propagações_TOT_GRANDE!$A$7:$A$110&gt;=PREVS_SMAP!H$26)*(Propagações_TOT_GRANDE!$A$7:$A$110&lt;=PREVS_SMAP!H$27),0))</f>
        <v>0</v>
      </c>
      <c r="AF34" s="272">
        <f t="array" aca="1" ref="AF34" ca="1">SUM(IFERROR(ISNUMBER(Propagações_TOT_GRANDE!$B$7:$BZ$110)*(Propagações_TOT_GRANDE!$B$6:$BZ$6=$B34&amp;"I")*(Propagações_TOT_GRANDE!$A$7:$A$110&gt;=PREVS_SMAP!I$26)*(Propagações_TOT_GRANDE!$A$7:$A$110&lt;=PREVS_SMAP!I$27),0))</f>
        <v>0</v>
      </c>
      <c r="AG34" s="272">
        <f t="array" aca="1" ref="AG34" ca="1">SUM(IFERROR(ISNUMBER(Propagações_TOT_GRANDE!$B$7:$BZ$110)*(Propagações_TOT_GRANDE!$B$6:$BZ$6=$B34&amp;"I")*(Propagações_TOT_GRANDE!$A$7:$A$110&gt;=PREVS_SMAP!J$26)*(Propagações_TOT_GRANDE!$A$7:$A$110&lt;=PREVS_SMAP!J$27),0))</f>
        <v>0</v>
      </c>
      <c r="AH34" s="272">
        <f t="array" aca="1" ref="AH34" ca="1">SUM(IFERROR(ISNUMBER(Propagações_TOT_GRANDE!$B$7:$BZ$110)*(Propagações_TOT_GRANDE!$B$6:$BZ$6=$B34&amp;"I")*(Propagações_TOT_GRANDE!$A$7:$A$110&gt;=PREVS_SMAP!K$26)*(Propagações_TOT_GRANDE!$A$7:$A$110&lt;=PREVS_SMAP!K$27),0))</f>
        <v>0</v>
      </c>
      <c r="AI34" s="272">
        <f t="array" aca="1" ref="AI34" ca="1">SUM(IFERROR(ISNUMBER(Propagações_TOT_GRANDE!$B$7:$BZ$110)*(Propagações_TOT_GRANDE!$B$6:$BZ$6=$B34&amp;"I")*(Propagações_TOT_GRANDE!$A$7:$A$110&gt;=PREVS_SMAP!L$26)*(Propagações_TOT_GRANDE!$A$7:$A$110&lt;=PREVS_SMAP!L$27),0))</f>
        <v>0</v>
      </c>
      <c r="AJ34" s="272">
        <f t="array" aca="1" ref="AJ34" ca="1">SUM(IFERROR(ISNUMBER(Propagações_TOT_GRANDE!$B$7:$BZ$110)*(Propagações_TOT_GRANDE!$B$6:$BZ$6=$B34&amp;"I")*(Propagações_TOT_GRANDE!$A$7:$A$110&gt;=PREVS_SMAP!M$26)*(Propagações_TOT_GRANDE!$A$7:$A$110&lt;=PREVS_SMAP!M$27),0))</f>
        <v>0</v>
      </c>
      <c r="AK34" s="272">
        <f t="array" aca="1" ref="AK34" ca="1">SUM(IFERROR(ISNUMBER(Propagações_TOT_GRANDE!$B$7:$BZ$110)*(Propagações_TOT_GRANDE!$B$6:$BZ$6=$B34&amp;"I")*(Propagações_TOT_GRANDE!$A$7:$A$110&gt;=PREVS_SMAP!N$26)*(Propagações_TOT_GRANDE!$A$7:$A$110&lt;=PREVS_SMAP!N$27),0))</f>
        <v>0</v>
      </c>
      <c r="AL34" s="272">
        <f t="array" aca="1" ref="AL34" ca="1">SUM(IFERROR(ISNUMBER(Propagações_TOT_GRANDE!$B$7:$BZ$110)*(Propagações_TOT_GRANDE!$B$6:$BZ$6=$B34&amp;"I")*(Propagações_TOT_GRANDE!$A$7:$A$110&gt;=PREVS_SMAP!O$26)*(Propagações_TOT_GRANDE!$A$7:$A$110&lt;=PREVS_SMAP!O$27),0))</f>
        <v>0</v>
      </c>
      <c r="AN34" s="121"/>
      <c r="AO34" s="121">
        <f t="shared" ca="1" si="9"/>
        <v>340</v>
      </c>
      <c r="AP34" s="121" t="b">
        <f t="shared" si="10"/>
        <v>1</v>
      </c>
      <c r="AQ34" s="272">
        <f ca="1">+AVERAGEIFS(TABELA_VAZAO[qnat],TABELA_VAZAO[Posto],$R34,TABELA_VAZAO[Data],AQ$27)</f>
        <v>680</v>
      </c>
      <c r="AR34" s="272">
        <f ca="1">+AVERAGEIFS(TABELA_VAZAO[qnat],TABELA_VAZAO[Posto],$R34,TABELA_VAZAO[Data],AR$27)</f>
        <v>624</v>
      </c>
      <c r="AS34" s="272">
        <f ca="1">+AVERAGEIFS(TABELA_VAZAO[qnat],TABELA_VAZAO[Posto],$R34,TABELA_VAZAO[Data],AS$27)</f>
        <v>599</v>
      </c>
      <c r="AT34" s="272">
        <f ca="1">+AVERAGEIFS(TABELA_VAZAO[qnat],TABELA_VAZAO[Posto],$R34,TABELA_VAZAO[Data],AT$27)</f>
        <v>628</v>
      </c>
      <c r="AU34" s="121">
        <f ca="1">+AVERAGEIFS(TABELA_VAZAO[qnat],TABELA_VAZAO[Posto],$R34,TABELA_VAZAO[Data],AU$27)</f>
        <v>715</v>
      </c>
      <c r="AV34" s="272">
        <f ca="1">IFERROR(AVERAGEIFS(TABELA_VAZAO[qnat],TABELA_VAZAO[Posto],$R34,TABELA_VAZAO[Data],AV$27),AU34+$BB34*EXP(AV$26))</f>
        <v>784</v>
      </c>
      <c r="AW34" s="159">
        <f ca="1">IFERROR(AVERAGEIFS(TABELA_VAZAO[qnat],TABELA_VAZAO[Posto],$R34,TABELA_VAZAO[Data],AW$27),AV34+$BB34*EXP(AW$26))</f>
        <v>884</v>
      </c>
      <c r="AX34" s="325">
        <f ca="1">IFERROR(AVERAGEIFS(TABELA_VAZAO[qnat],TABELA_VAZAO[Posto],$R34,TABELA_VAZAO[Data],AX$27),AW34+$BB34*EXP(AX$26))</f>
        <v>963.14285714285711</v>
      </c>
      <c r="AY34" s="325">
        <f ca="1">IFERROR(AVERAGEIFS(TABELA_VAZAO[qnat],TABELA_VAZAO[Posto],$R34,TABELA_VAZAO[Data],AY$27),AX34+$BB34*EXP(AY$26))</f>
        <v>1016.1939007862492</v>
      </c>
      <c r="AZ34" s="326">
        <f ca="1">IFERROR(AVERAGEIFS(TABELA_VAZAO[qnat],TABELA_VAZAO[Posto],$R34,TABELA_VAZAO[Data],AZ$27),AY34+$BB34*EXP(AZ$26))</f>
        <v>1051.7550788035264</v>
      </c>
      <c r="BA34" s="326">
        <f ca="1">IFERROR(AVERAGEIFS(TABELA_VAZAO[qnat],TABELA_VAZAO[Posto],$R34,TABELA_VAZAO[Data],BA$27),AZ34+$BB34*EXP(BA$26))</f>
        <v>1075.5924492891493</v>
      </c>
      <c r="BB34" s="121">
        <f t="shared" ca="1" si="11"/>
        <v>79.142857142857139</v>
      </c>
      <c r="BC34" s="272">
        <f t="shared" ca="1" si="13"/>
        <v>29</v>
      </c>
      <c r="BD34" s="272">
        <f t="shared" ca="1" si="12"/>
        <v>87</v>
      </c>
      <c r="BE34" s="272">
        <f t="shared" ca="1" si="12"/>
        <v>69</v>
      </c>
      <c r="BF34" s="272">
        <f t="shared" ca="1" si="12"/>
        <v>100</v>
      </c>
      <c r="BG34"/>
    </row>
    <row r="35" spans="1:59" x14ac:dyDescent="0.2">
      <c r="A35" s="294">
        <v>10</v>
      </c>
      <c r="B35" s="283" t="str">
        <f t="shared" si="7"/>
        <v>10_VN</v>
      </c>
      <c r="C35" s="137" t="s">
        <v>44</v>
      </c>
      <c r="D35" s="132">
        <f t="array" aca="1" ref="D35" ca="1">SUM(IFERROR(Propagações_TOT_GRANDE!$B$7:$BZ$110*(Propagações_TOT_GRANDE!$B$6:$BZ$6=$B35&amp;"A")*(Propagações_TOT_GRANDE!$A$7:$A$110&gt;=PREVS_SMAP!D$26)*(Propagações_TOT_GRANDE!$A$7:$A$110&lt;=PREVS_SMAP!D$27),0))/7</f>
        <v>0</v>
      </c>
      <c r="E35" s="132">
        <f t="array" aca="1" ref="E35" ca="1">SUM(IFERROR(Propagações_TOT_GRANDE!$B$7:$BZ$110*(Propagações_TOT_GRANDE!$B$6:$BZ$6=$B35&amp;"A")*(Propagações_TOT_GRANDE!$A$7:$A$110&gt;=PREVS_SMAP!E$26)*(Propagações_TOT_GRANDE!$A$7:$A$110&lt;=PREVS_SMAP!E$27),0))/7</f>
        <v>868.28571428571433</v>
      </c>
      <c r="F35" s="132">
        <f t="array" aca="1" ref="F35" ca="1">SUM(IFERROR(Propagações_TOT_GRANDE!$B$7:$BZ$110*(Propagações_TOT_GRANDE!$B$6:$BZ$6=$B35&amp;"A")*(Propagações_TOT_GRANDE!$A$7:$A$110&gt;=PREVS_SMAP!F$26)*(Propagações_TOT_GRANDE!$A$7:$A$110&lt;=PREVS_SMAP!F$27),0))/7</f>
        <v>353.85714285714283</v>
      </c>
      <c r="G35" s="132" t="e">
        <f t="array" aca="1" ref="G35" ca="1">IF(AD35&lt;7,NA(),SUM(IFERROR(Propagações_TOT_GRANDE!$B$7:$BZ$110*(Propagações_TOT_GRANDE!$B$6:$BZ$6=$B35&amp;"I")*(Propagações_TOT_GRANDE!$A$7:$A$110&gt;=PREVS_SMAP!G$26)*(Propagações_TOT_GRANDE!$A$7:$A$110&lt;=PREVS_SMAP!G$27),0))/7+G34                        )</f>
        <v>#N/A</v>
      </c>
      <c r="H35" s="132" t="e">
        <f t="array" aca="1" ref="H35" ca="1">IF(AE35&lt;7,NA(),SUM(IFERROR(Propagações_TOT_GRANDE!$B$7:$BZ$110*(Propagações_TOT_GRANDE!$B$6:$BZ$6=$B35&amp;"I")*(Propagações_TOT_GRANDE!$A$7:$A$110&gt;=PREVS_SMAP!H$26)*(Propagações_TOT_GRANDE!$A$7:$A$110&lt;=PREVS_SMAP!H$27),0))/7+H34                        )</f>
        <v>#N/A</v>
      </c>
      <c r="I35" s="132" t="e">
        <f t="array" aca="1" ref="I35" ca="1">IF(AF35&lt;7,NA(),SUM(IFERROR(Propagações_TOT_GRANDE!$B$7:$BZ$110*(Propagações_TOT_GRANDE!$B$6:$BZ$6=$B35&amp;"I")*(Propagações_TOT_GRANDE!$A$7:$A$110&gt;=PREVS_SMAP!I$26)*(Propagações_TOT_GRANDE!$A$7:$A$110&lt;=PREVS_SMAP!I$27),0))/7+I34                        )</f>
        <v>#N/A</v>
      </c>
      <c r="J35" s="132" t="e">
        <f t="array" aca="1" ref="J35" ca="1">IF(AG35&lt;7,NA(),SUM(IFERROR(Propagações_TOT_GRANDE!$B$7:$BZ$110*(Propagações_TOT_GRANDE!$B$6:$BZ$6=$B35&amp;"I")*(Propagações_TOT_GRANDE!$A$7:$A$110&gt;=PREVS_SMAP!J$26)*(Propagações_TOT_GRANDE!$A$7:$A$110&lt;=PREVS_SMAP!J$27),0))/7+J34                        )</f>
        <v>#N/A</v>
      </c>
      <c r="K35" s="132" t="e">
        <f t="array" aca="1" ref="K35" ca="1">IF(AH35&lt;7,NA(),SUM(IFERROR(Propagações_TOT_GRANDE!$B$7:$BZ$110*(Propagações_TOT_GRANDE!$B$6:$BZ$6=$B35&amp;"I")*(Propagações_TOT_GRANDE!$A$7:$A$110&gt;=PREVS_SMAP!K$26)*(Propagações_TOT_GRANDE!$A$7:$A$110&lt;=PREVS_SMAP!K$27),0))/7+K34                        )</f>
        <v>#N/A</v>
      </c>
      <c r="L35" s="132" t="e">
        <f t="array" aca="1" ref="L35" ca="1">IF(AI35&lt;7,NA(),SUM(IFERROR(Propagações_TOT_GRANDE!$B$7:$BZ$110*(Propagações_TOT_GRANDE!$B$6:$BZ$6=$B35&amp;"I")*(Propagações_TOT_GRANDE!$A$7:$A$110&gt;=PREVS_SMAP!L$26)*(Propagações_TOT_GRANDE!$A$7:$A$110&lt;=PREVS_SMAP!L$27),0))/7+L34                        )</f>
        <v>#N/A</v>
      </c>
      <c r="M35" s="132" t="e">
        <f t="array" aca="1" ref="M35" ca="1">IF(AJ35&lt;7,NA(),SUM(IFERROR(Propagações_TOT_GRANDE!$B$7:$BZ$110*(Propagações_TOT_GRANDE!$B$6:$BZ$6=$B35&amp;"I")*(Propagações_TOT_GRANDE!$A$7:$A$110&gt;=PREVS_SMAP!M$26)*(Propagações_TOT_GRANDE!$A$7:$A$110&lt;=PREVS_SMAP!M$27),0))/7+M34                        )</f>
        <v>#N/A</v>
      </c>
      <c r="N35" s="132" t="e">
        <f t="array" aca="1" ref="N35" ca="1">IF(AK35&lt;7,NA(),SUM(IFERROR(Propagações_TOT_GRANDE!$B$7:$BZ$110*(Propagações_TOT_GRANDE!$B$6:$BZ$6=$B35&amp;"I")*(Propagações_TOT_GRANDE!$A$7:$A$110&gt;=PREVS_SMAP!N$26)*(Propagações_TOT_GRANDE!$A$7:$A$110&lt;=PREVS_SMAP!N$27),0))/7+N34                        )</f>
        <v>#N/A</v>
      </c>
      <c r="O35" s="132" t="e">
        <f t="array" aca="1" ref="O35" ca="1">IF(AL35&lt;7,NA(),SUM(IFERROR(Propagações_TOT_GRANDE!$B$7:$BZ$110*(Propagações_TOT_GRANDE!$B$6:$BZ$6=$B35&amp;"I")*(Propagações_TOT_GRANDE!$A$7:$A$110&gt;=PREVS_SMAP!O$26)*(Propagações_TOT_GRANDE!$A$7:$A$110&lt;=PREVS_SMAP!O$27),0))/7+O34                        )</f>
        <v>#N/A</v>
      </c>
      <c r="P35" s="132"/>
      <c r="R35">
        <v>8</v>
      </c>
      <c r="S35" s="40">
        <f t="shared" ca="1" si="14"/>
        <v>347</v>
      </c>
      <c r="T35" s="40" t="str">
        <f t="shared" ca="1" si="15"/>
        <v/>
      </c>
      <c r="U35" s="131" t="str">
        <f t="shared" ca="1" si="15"/>
        <v/>
      </c>
      <c r="V35" s="131" t="str">
        <f t="shared" ca="1" si="15"/>
        <v/>
      </c>
      <c r="W35" s="131" t="str">
        <f t="shared" ca="1" si="15"/>
        <v/>
      </c>
      <c r="X35" s="131" t="str">
        <f t="shared" ca="1" si="15"/>
        <v/>
      </c>
      <c r="Y35" s="131" t="str">
        <f t="shared" ca="1" si="15"/>
        <v/>
      </c>
      <c r="Z35" s="131" t="str">
        <f t="shared" ca="1" si="15"/>
        <v/>
      </c>
      <c r="AA35" s="131" t="str">
        <f t="shared" ca="1" si="15"/>
        <v/>
      </c>
      <c r="AB35" s="131" t="str">
        <f t="shared" ca="1" si="15"/>
        <v/>
      </c>
      <c r="AD35" s="272">
        <f t="array" aca="1" ref="AD35" ca="1">SUM(IFERROR(ISNUMBER(Propagações_TOT_GRANDE!$B$7:$BZ$110)*(Propagações_TOT_GRANDE!$B$6:$BZ$6=$B35&amp;"I")*(Propagações_TOT_GRANDE!$A$7:$A$110&gt;=PREVS_SMAP!G$26)*(Propagações_TOT_GRANDE!$A$7:$A$110&lt;=PREVS_SMAP!G$27),0))</f>
        <v>0</v>
      </c>
      <c r="AE35" s="272">
        <f t="array" aca="1" ref="AE35" ca="1">SUM(IFERROR(ISNUMBER(Propagações_TOT_GRANDE!$B$7:$BZ$110)*(Propagações_TOT_GRANDE!$B$6:$BZ$6=$B35&amp;"I")*(Propagações_TOT_GRANDE!$A$7:$A$110&gt;=PREVS_SMAP!H$26)*(Propagações_TOT_GRANDE!$A$7:$A$110&lt;=PREVS_SMAP!H$27),0))</f>
        <v>0</v>
      </c>
      <c r="AF35" s="272">
        <f t="array" aca="1" ref="AF35" ca="1">SUM(IFERROR(ISNUMBER(Propagações_TOT_GRANDE!$B$7:$BZ$110)*(Propagações_TOT_GRANDE!$B$6:$BZ$6=$B35&amp;"I")*(Propagações_TOT_GRANDE!$A$7:$A$110&gt;=PREVS_SMAP!I$26)*(Propagações_TOT_GRANDE!$A$7:$A$110&lt;=PREVS_SMAP!I$27),0))</f>
        <v>0</v>
      </c>
      <c r="AG35" s="272">
        <f t="array" aca="1" ref="AG35" ca="1">SUM(IFERROR(ISNUMBER(Propagações_TOT_GRANDE!$B$7:$BZ$110)*(Propagações_TOT_GRANDE!$B$6:$BZ$6=$B35&amp;"I")*(Propagações_TOT_GRANDE!$A$7:$A$110&gt;=PREVS_SMAP!J$26)*(Propagações_TOT_GRANDE!$A$7:$A$110&lt;=PREVS_SMAP!J$27),0))</f>
        <v>0</v>
      </c>
      <c r="AH35" s="272">
        <f t="array" aca="1" ref="AH35" ca="1">SUM(IFERROR(ISNUMBER(Propagações_TOT_GRANDE!$B$7:$BZ$110)*(Propagações_TOT_GRANDE!$B$6:$BZ$6=$B35&amp;"I")*(Propagações_TOT_GRANDE!$A$7:$A$110&gt;=PREVS_SMAP!K$26)*(Propagações_TOT_GRANDE!$A$7:$A$110&lt;=PREVS_SMAP!K$27),0))</f>
        <v>0</v>
      </c>
      <c r="AI35" s="272">
        <f t="array" aca="1" ref="AI35" ca="1">SUM(IFERROR(ISNUMBER(Propagações_TOT_GRANDE!$B$7:$BZ$110)*(Propagações_TOT_GRANDE!$B$6:$BZ$6=$B35&amp;"I")*(Propagações_TOT_GRANDE!$A$7:$A$110&gt;=PREVS_SMAP!L$26)*(Propagações_TOT_GRANDE!$A$7:$A$110&lt;=PREVS_SMAP!L$27),0))</f>
        <v>0</v>
      </c>
      <c r="AJ35" s="272">
        <f t="array" aca="1" ref="AJ35" ca="1">SUM(IFERROR(ISNUMBER(Propagações_TOT_GRANDE!$B$7:$BZ$110)*(Propagações_TOT_GRANDE!$B$6:$BZ$6=$B35&amp;"I")*(Propagações_TOT_GRANDE!$A$7:$A$110&gt;=PREVS_SMAP!M$26)*(Propagações_TOT_GRANDE!$A$7:$A$110&lt;=PREVS_SMAP!M$27),0))</f>
        <v>0</v>
      </c>
      <c r="AK35" s="272">
        <f t="array" aca="1" ref="AK35" ca="1">SUM(IFERROR(ISNUMBER(Propagações_TOT_GRANDE!$B$7:$BZ$110)*(Propagações_TOT_GRANDE!$B$6:$BZ$6=$B35&amp;"I")*(Propagações_TOT_GRANDE!$A$7:$A$110&gt;=PREVS_SMAP!N$26)*(Propagações_TOT_GRANDE!$A$7:$A$110&lt;=PREVS_SMAP!N$27),0))</f>
        <v>0</v>
      </c>
      <c r="AL35" s="272">
        <f t="array" aca="1" ref="AL35" ca="1">SUM(IFERROR(ISNUMBER(Propagações_TOT_GRANDE!$B$7:$BZ$110)*(Propagações_TOT_GRANDE!$B$6:$BZ$6=$B35&amp;"I")*(Propagações_TOT_GRANDE!$A$7:$A$110&gt;=PREVS_SMAP!O$26)*(Propagações_TOT_GRANDE!$A$7:$A$110&lt;=PREVS_SMAP!O$27),0))</f>
        <v>0</v>
      </c>
      <c r="AN35" s="121"/>
      <c r="AO35" s="121">
        <f t="shared" ca="1" si="9"/>
        <v>347</v>
      </c>
      <c r="AP35" s="121" t="b">
        <f t="shared" si="10"/>
        <v>1</v>
      </c>
      <c r="AQ35" s="272">
        <f ca="1">+AVERAGEIFS(TABELA_VAZAO[qnat],TABELA_VAZAO[Posto],$R35,TABELA_VAZAO[Data],AQ$27)</f>
        <v>729</v>
      </c>
      <c r="AR35" s="272">
        <f ca="1">+AVERAGEIFS(TABELA_VAZAO[qnat],TABELA_VAZAO[Posto],$R35,TABELA_VAZAO[Data],AR$27)</f>
        <v>662</v>
      </c>
      <c r="AS35" s="272">
        <f ca="1">+AVERAGEIFS(TABELA_VAZAO[qnat],TABELA_VAZAO[Posto],$R35,TABELA_VAZAO[Data],AS$27)</f>
        <v>629</v>
      </c>
      <c r="AT35" s="272">
        <f ca="1">+AVERAGEIFS(TABELA_VAZAO[qnat],TABELA_VAZAO[Posto],$R35,TABELA_VAZAO[Data],AT$27)</f>
        <v>648</v>
      </c>
      <c r="AU35" s="121">
        <f ca="1">+AVERAGEIFS(TABELA_VAZAO[qnat],TABELA_VAZAO[Posto],$R35,TABELA_VAZAO[Data],AU$27)</f>
        <v>727</v>
      </c>
      <c r="AV35" s="272">
        <f ca="1">IFERROR(AVERAGEIFS(TABELA_VAZAO[qnat],TABELA_VAZAO[Posto],$R35,TABELA_VAZAO[Data],AV$27),AU35+$BB35*EXP(AV$26))</f>
        <v>805</v>
      </c>
      <c r="AW35" s="159">
        <f ca="1">IFERROR(AVERAGEIFS(TABELA_VAZAO[qnat],TABELA_VAZAO[Posto],$R35,TABELA_VAZAO[Data],AW$27),AV35+$BB35*EXP(AW$26))</f>
        <v>900</v>
      </c>
      <c r="AX35" s="325">
        <f ca="1">IFERROR(AVERAGEIFS(TABELA_VAZAO[qnat],TABELA_VAZAO[Posto],$R35,TABELA_VAZAO[Data],AX$27),AW35+$BB35*EXP(AX$26))</f>
        <v>977</v>
      </c>
      <c r="AY35" s="325">
        <f ca="1">IFERROR(AVERAGEIFS(TABELA_VAZAO[qnat],TABELA_VAZAO[Posto],$R35,TABELA_VAZAO[Data],AY$27),AX35+$BB35*EXP(AY$26))</f>
        <v>1028.6146435447442</v>
      </c>
      <c r="AZ35" s="326">
        <f ca="1">IFERROR(AVERAGEIFS(TABELA_VAZAO[qnat],TABELA_VAZAO[Posto],$R35,TABELA_VAZAO[Data],AZ$27),AY35+$BB35*EXP(AZ$26))</f>
        <v>1063.2129737817704</v>
      </c>
      <c r="BA35" s="326">
        <f ca="1">IFERROR(AVERAGEIFS(TABELA_VAZAO[qnat],TABELA_VAZAO[Posto],$R35,TABELA_VAZAO[Data],BA$27),AZ35+$BB35*EXP(BA$26))</f>
        <v>1086.40492809901</v>
      </c>
      <c r="BB35" s="121">
        <f t="shared" ca="1" si="11"/>
        <v>77</v>
      </c>
      <c r="BC35" s="272">
        <f t="shared" ca="1" si="13"/>
        <v>19</v>
      </c>
      <c r="BD35" s="272">
        <f t="shared" ca="1" si="12"/>
        <v>79</v>
      </c>
      <c r="BE35" s="272">
        <f t="shared" ca="1" si="12"/>
        <v>78</v>
      </c>
      <c r="BF35" s="272">
        <f t="shared" ca="1" si="12"/>
        <v>95</v>
      </c>
      <c r="BG35"/>
    </row>
    <row r="36" spans="1:59" x14ac:dyDescent="0.2">
      <c r="A36" s="294">
        <v>11</v>
      </c>
      <c r="B36" s="283" t="str">
        <f t="shared" si="7"/>
        <v>11_VN</v>
      </c>
      <c r="C36" s="137" t="s">
        <v>45</v>
      </c>
      <c r="D36" s="132">
        <f t="array" aca="1" ref="D36" ca="1">SUM(IFERROR(Propagações_TOT_GRANDE!$B$7:$BZ$110*(Propagações_TOT_GRANDE!$B$6:$BZ$6=$B36&amp;"A")*(Propagações_TOT_GRANDE!$A$7:$A$110&gt;=PREVS_SMAP!D$26)*(Propagações_TOT_GRANDE!$A$7:$A$110&lt;=PREVS_SMAP!D$27),0))/7</f>
        <v>0</v>
      </c>
      <c r="E36" s="132">
        <f t="array" aca="1" ref="E36" ca="1">SUM(IFERROR(Propagações_TOT_GRANDE!$B$7:$BZ$110*(Propagações_TOT_GRANDE!$B$6:$BZ$6=$B36&amp;"A")*(Propagações_TOT_GRANDE!$A$7:$A$110&gt;=PREVS_SMAP!E$26)*(Propagações_TOT_GRANDE!$A$7:$A$110&lt;=PREVS_SMAP!E$27),0))/7</f>
        <v>957.57142857142856</v>
      </c>
      <c r="F36" s="132">
        <f t="array" aca="1" ref="F36" ca="1">SUM(IFERROR(Propagações_TOT_GRANDE!$B$7:$BZ$110*(Propagações_TOT_GRANDE!$B$6:$BZ$6=$B36&amp;"A")*(Propagações_TOT_GRANDE!$A$7:$A$110&gt;=PREVS_SMAP!F$26)*(Propagações_TOT_GRANDE!$A$7:$A$110&lt;=PREVS_SMAP!F$27),0))/7</f>
        <v>384.57142857142856</v>
      </c>
      <c r="G36" s="132" t="e">
        <f t="array" aca="1" ref="G36" ca="1">IF(AD36&lt;7,NA(),SUM(IFERROR(Propagações_TOT_GRANDE!$B$7:$BZ$110*(Propagações_TOT_GRANDE!$B$6:$BZ$6=$B36&amp;"I")*(Propagações_TOT_GRANDE!$A$7:$A$110&gt;=PREVS_SMAP!G$26)*(Propagações_TOT_GRANDE!$A$7:$A$110&lt;=PREVS_SMAP!G$27),0))/7+G35                        )</f>
        <v>#N/A</v>
      </c>
      <c r="H36" s="132" t="e">
        <f t="array" aca="1" ref="H36" ca="1">IF(AE36&lt;7,NA(),SUM(IFERROR(Propagações_TOT_GRANDE!$B$7:$BZ$110*(Propagações_TOT_GRANDE!$B$6:$BZ$6=$B36&amp;"I")*(Propagações_TOT_GRANDE!$A$7:$A$110&gt;=PREVS_SMAP!H$26)*(Propagações_TOT_GRANDE!$A$7:$A$110&lt;=PREVS_SMAP!H$27),0))/7+H35                        )</f>
        <v>#N/A</v>
      </c>
      <c r="I36" s="132" t="e">
        <f t="array" aca="1" ref="I36" ca="1">IF(AF36&lt;7,NA(),SUM(IFERROR(Propagações_TOT_GRANDE!$B$7:$BZ$110*(Propagações_TOT_GRANDE!$B$6:$BZ$6=$B36&amp;"I")*(Propagações_TOT_GRANDE!$A$7:$A$110&gt;=PREVS_SMAP!I$26)*(Propagações_TOT_GRANDE!$A$7:$A$110&lt;=PREVS_SMAP!I$27),0))/7+I35                        )</f>
        <v>#N/A</v>
      </c>
      <c r="J36" s="132" t="e">
        <f t="array" aca="1" ref="J36" ca="1">IF(AG36&lt;7,NA(),SUM(IFERROR(Propagações_TOT_GRANDE!$B$7:$BZ$110*(Propagações_TOT_GRANDE!$B$6:$BZ$6=$B36&amp;"I")*(Propagações_TOT_GRANDE!$A$7:$A$110&gt;=PREVS_SMAP!J$26)*(Propagações_TOT_GRANDE!$A$7:$A$110&lt;=PREVS_SMAP!J$27),0))/7+J35                        )</f>
        <v>#N/A</v>
      </c>
      <c r="K36" s="132" t="e">
        <f t="array" aca="1" ref="K36" ca="1">IF(AH36&lt;7,NA(),SUM(IFERROR(Propagações_TOT_GRANDE!$B$7:$BZ$110*(Propagações_TOT_GRANDE!$B$6:$BZ$6=$B36&amp;"I")*(Propagações_TOT_GRANDE!$A$7:$A$110&gt;=PREVS_SMAP!K$26)*(Propagações_TOT_GRANDE!$A$7:$A$110&lt;=PREVS_SMAP!K$27),0))/7+K35                        )</f>
        <v>#N/A</v>
      </c>
      <c r="L36" s="132" t="e">
        <f t="array" aca="1" ref="L36" ca="1">IF(AI36&lt;7,NA(),SUM(IFERROR(Propagações_TOT_GRANDE!$B$7:$BZ$110*(Propagações_TOT_GRANDE!$B$6:$BZ$6=$B36&amp;"I")*(Propagações_TOT_GRANDE!$A$7:$A$110&gt;=PREVS_SMAP!L$26)*(Propagações_TOT_GRANDE!$A$7:$A$110&lt;=PREVS_SMAP!L$27),0))/7+L35                        )</f>
        <v>#N/A</v>
      </c>
      <c r="M36" s="132" t="e">
        <f t="array" aca="1" ref="M36" ca="1">IF(AJ36&lt;7,NA(),SUM(IFERROR(Propagações_TOT_GRANDE!$B$7:$BZ$110*(Propagações_TOT_GRANDE!$B$6:$BZ$6=$B36&amp;"I")*(Propagações_TOT_GRANDE!$A$7:$A$110&gt;=PREVS_SMAP!M$26)*(Propagações_TOT_GRANDE!$A$7:$A$110&lt;=PREVS_SMAP!M$27),0))/7+M35                        )</f>
        <v>#N/A</v>
      </c>
      <c r="N36" s="132" t="e">
        <f t="array" aca="1" ref="N36" ca="1">IF(AK36&lt;7,NA(),SUM(IFERROR(Propagações_TOT_GRANDE!$B$7:$BZ$110*(Propagações_TOT_GRANDE!$B$6:$BZ$6=$B36&amp;"I")*(Propagações_TOT_GRANDE!$A$7:$A$110&gt;=PREVS_SMAP!N$26)*(Propagações_TOT_GRANDE!$A$7:$A$110&lt;=PREVS_SMAP!N$27),0))/7+N35                        )</f>
        <v>#N/A</v>
      </c>
      <c r="O36" s="132" t="e">
        <f t="array" aca="1" ref="O36" ca="1">IF(AL36&lt;7,NA(),SUM(IFERROR(Propagações_TOT_GRANDE!$B$7:$BZ$110*(Propagações_TOT_GRANDE!$B$6:$BZ$6=$B36&amp;"I")*(Propagações_TOT_GRANDE!$A$7:$A$110&gt;=PREVS_SMAP!O$26)*(Propagações_TOT_GRANDE!$A$7:$A$110&lt;=PREVS_SMAP!O$27),0))/7+O35                        )</f>
        <v>#N/A</v>
      </c>
      <c r="P36" s="132"/>
      <c r="R36">
        <v>9</v>
      </c>
      <c r="S36" s="40">
        <f t="shared" ca="1" si="14"/>
        <v>347</v>
      </c>
      <c r="T36" s="40" t="str">
        <f t="shared" ca="1" si="15"/>
        <v/>
      </c>
      <c r="U36" s="131" t="str">
        <f t="shared" ca="1" si="15"/>
        <v/>
      </c>
      <c r="V36" s="131" t="str">
        <f t="shared" ca="1" si="15"/>
        <v/>
      </c>
      <c r="W36" s="131" t="str">
        <f t="shared" ca="1" si="15"/>
        <v/>
      </c>
      <c r="X36" s="131" t="str">
        <f t="shared" ca="1" si="15"/>
        <v/>
      </c>
      <c r="Y36" s="131" t="str">
        <f t="shared" ca="1" si="15"/>
        <v/>
      </c>
      <c r="Z36" s="131" t="str">
        <f t="shared" ca="1" si="15"/>
        <v/>
      </c>
      <c r="AA36" s="131" t="str">
        <f t="shared" ca="1" si="15"/>
        <v/>
      </c>
      <c r="AB36" s="131" t="str">
        <f t="shared" ca="1" si="15"/>
        <v/>
      </c>
      <c r="AD36" s="272">
        <f t="array" aca="1" ref="AD36" ca="1">SUM(IFERROR(ISNUMBER(Propagações_TOT_GRANDE!$B$7:$BZ$110)*(Propagações_TOT_GRANDE!$B$6:$BZ$6=$B36&amp;"I")*(Propagações_TOT_GRANDE!$A$7:$A$110&gt;=PREVS_SMAP!G$26)*(Propagações_TOT_GRANDE!$A$7:$A$110&lt;=PREVS_SMAP!G$27),0))</f>
        <v>0</v>
      </c>
      <c r="AE36" s="272">
        <f t="array" aca="1" ref="AE36" ca="1">SUM(IFERROR(ISNUMBER(Propagações_TOT_GRANDE!$B$7:$BZ$110)*(Propagações_TOT_GRANDE!$B$6:$BZ$6=$B36&amp;"I")*(Propagações_TOT_GRANDE!$A$7:$A$110&gt;=PREVS_SMAP!H$26)*(Propagações_TOT_GRANDE!$A$7:$A$110&lt;=PREVS_SMAP!H$27),0))</f>
        <v>0</v>
      </c>
      <c r="AF36" s="272">
        <f t="array" aca="1" ref="AF36" ca="1">SUM(IFERROR(ISNUMBER(Propagações_TOT_GRANDE!$B$7:$BZ$110)*(Propagações_TOT_GRANDE!$B$6:$BZ$6=$B36&amp;"I")*(Propagações_TOT_GRANDE!$A$7:$A$110&gt;=PREVS_SMAP!I$26)*(Propagações_TOT_GRANDE!$A$7:$A$110&lt;=PREVS_SMAP!I$27),0))</f>
        <v>0</v>
      </c>
      <c r="AG36" s="272">
        <f t="array" aca="1" ref="AG36" ca="1">SUM(IFERROR(ISNUMBER(Propagações_TOT_GRANDE!$B$7:$BZ$110)*(Propagações_TOT_GRANDE!$B$6:$BZ$6=$B36&amp;"I")*(Propagações_TOT_GRANDE!$A$7:$A$110&gt;=PREVS_SMAP!J$26)*(Propagações_TOT_GRANDE!$A$7:$A$110&lt;=PREVS_SMAP!J$27),0))</f>
        <v>0</v>
      </c>
      <c r="AH36" s="272">
        <f t="array" aca="1" ref="AH36" ca="1">SUM(IFERROR(ISNUMBER(Propagações_TOT_GRANDE!$B$7:$BZ$110)*(Propagações_TOT_GRANDE!$B$6:$BZ$6=$B36&amp;"I")*(Propagações_TOT_GRANDE!$A$7:$A$110&gt;=PREVS_SMAP!K$26)*(Propagações_TOT_GRANDE!$A$7:$A$110&lt;=PREVS_SMAP!K$27),0))</f>
        <v>0</v>
      </c>
      <c r="AI36" s="272">
        <f t="array" aca="1" ref="AI36" ca="1">SUM(IFERROR(ISNUMBER(Propagações_TOT_GRANDE!$B$7:$BZ$110)*(Propagações_TOT_GRANDE!$B$6:$BZ$6=$B36&amp;"I")*(Propagações_TOT_GRANDE!$A$7:$A$110&gt;=PREVS_SMAP!L$26)*(Propagações_TOT_GRANDE!$A$7:$A$110&lt;=PREVS_SMAP!L$27),0))</f>
        <v>0</v>
      </c>
      <c r="AJ36" s="272">
        <f t="array" aca="1" ref="AJ36" ca="1">SUM(IFERROR(ISNUMBER(Propagações_TOT_GRANDE!$B$7:$BZ$110)*(Propagações_TOT_GRANDE!$B$6:$BZ$6=$B36&amp;"I")*(Propagações_TOT_GRANDE!$A$7:$A$110&gt;=PREVS_SMAP!M$26)*(Propagações_TOT_GRANDE!$A$7:$A$110&lt;=PREVS_SMAP!M$27),0))</f>
        <v>0</v>
      </c>
      <c r="AK36" s="272">
        <f t="array" aca="1" ref="AK36" ca="1">SUM(IFERROR(ISNUMBER(Propagações_TOT_GRANDE!$B$7:$BZ$110)*(Propagações_TOT_GRANDE!$B$6:$BZ$6=$B36&amp;"I")*(Propagações_TOT_GRANDE!$A$7:$A$110&gt;=PREVS_SMAP!N$26)*(Propagações_TOT_GRANDE!$A$7:$A$110&lt;=PREVS_SMAP!N$27),0))</f>
        <v>0</v>
      </c>
      <c r="AL36" s="272">
        <f t="array" aca="1" ref="AL36" ca="1">SUM(IFERROR(ISNUMBER(Propagações_TOT_GRANDE!$B$7:$BZ$110)*(Propagações_TOT_GRANDE!$B$6:$BZ$6=$B36&amp;"I")*(Propagações_TOT_GRANDE!$A$7:$A$110&gt;=PREVS_SMAP!O$26)*(Propagações_TOT_GRANDE!$A$7:$A$110&lt;=PREVS_SMAP!O$27),0))</f>
        <v>0</v>
      </c>
      <c r="AN36" s="121"/>
      <c r="AO36" s="121">
        <f t="shared" ca="1" si="9"/>
        <v>347</v>
      </c>
      <c r="AP36" s="121" t="b">
        <f t="shared" si="10"/>
        <v>1</v>
      </c>
      <c r="AQ36" s="272">
        <f ca="1">+AVERAGEIFS(TABELA_VAZAO[qnat],TABELA_VAZAO[Posto],$R36,TABELA_VAZAO[Data],AQ$27)</f>
        <v>760</v>
      </c>
      <c r="AR36" s="272">
        <f ca="1">+AVERAGEIFS(TABELA_VAZAO[qnat],TABELA_VAZAO[Posto],$R36,TABELA_VAZAO[Data],AR$27)</f>
        <v>685</v>
      </c>
      <c r="AS36" s="272">
        <f ca="1">+AVERAGEIFS(TABELA_VAZAO[qnat],TABELA_VAZAO[Posto],$R36,TABELA_VAZAO[Data],AS$27)</f>
        <v>645</v>
      </c>
      <c r="AT36" s="272">
        <f ca="1">+AVERAGEIFS(TABELA_VAZAO[qnat],TABELA_VAZAO[Posto],$R36,TABELA_VAZAO[Data],AT$27)</f>
        <v>656</v>
      </c>
      <c r="AU36" s="121">
        <f ca="1">+AVERAGEIFS(TABELA_VAZAO[qnat],TABELA_VAZAO[Posto],$R36,TABELA_VAZAO[Data],AU$27)</f>
        <v>726</v>
      </c>
      <c r="AV36" s="272">
        <f ca="1">IFERROR(AVERAGEIFS(TABELA_VAZAO[qnat],TABELA_VAZAO[Posto],$R36,TABELA_VAZAO[Data],AV$27),AU36+$BB36*EXP(AV$26))</f>
        <v>806</v>
      </c>
      <c r="AW36" s="159">
        <f ca="1">IFERROR(AVERAGEIFS(TABELA_VAZAO[qnat],TABELA_VAZAO[Posto],$R36,TABELA_VAZAO[Data],AW$27),AV36+$BB36*EXP(AW$26))</f>
        <v>899</v>
      </c>
      <c r="AX36" s="325">
        <f ca="1">IFERROR(AVERAGEIFS(TABELA_VAZAO[qnat],TABELA_VAZAO[Posto],$R36,TABELA_VAZAO[Data],AX$27),AW36+$BB36*EXP(AX$26))</f>
        <v>973.28571428571433</v>
      </c>
      <c r="AY36" s="325">
        <f ca="1">IFERROR(AVERAGEIFS(TABELA_VAZAO[qnat],TABELA_VAZAO[Posto],$R36,TABELA_VAZAO[Data],AY$27),AX36+$BB36*EXP(AY$26))</f>
        <v>1023.0809177055047</v>
      </c>
      <c r="AZ36" s="326">
        <f ca="1">IFERROR(AVERAGEIFS(TABELA_VAZAO[qnat],TABELA_VAZAO[Posto],$R36,TABELA_VAZAO[Data],AZ$27),AY36+$BB36*EXP(AZ$26))</f>
        <v>1056.4596407542126</v>
      </c>
      <c r="BA36" s="326">
        <f ca="1">IFERROR(AVERAGEIFS(TABELA_VAZAO[qnat],TABELA_VAZAO[Posto],$R36,TABELA_VAZAO[Data],BA$27),AZ36+$BB36*EXP(BA$26))</f>
        <v>1078.8340679248333</v>
      </c>
      <c r="BB36" s="121">
        <f t="shared" ca="1" si="11"/>
        <v>74.285714285714292</v>
      </c>
      <c r="BC36" s="272">
        <f t="shared" ca="1" si="13"/>
        <v>11</v>
      </c>
      <c r="BD36" s="272">
        <f t="shared" ca="1" si="12"/>
        <v>70</v>
      </c>
      <c r="BE36" s="272">
        <f t="shared" ca="1" si="12"/>
        <v>80</v>
      </c>
      <c r="BF36" s="272">
        <f t="shared" ca="1" si="12"/>
        <v>93</v>
      </c>
      <c r="BG36"/>
    </row>
    <row r="37" spans="1:59" x14ac:dyDescent="0.2">
      <c r="A37" s="294">
        <v>12</v>
      </c>
      <c r="B37" s="283" t="str">
        <f t="shared" si="7"/>
        <v>12_VN</v>
      </c>
      <c r="C37" s="240" t="s">
        <v>24</v>
      </c>
      <c r="D37" s="132">
        <f t="array" aca="1" ref="D37" ca="1">SUM(IFERROR(Propagações_TOT_GRANDE!$B$7:$BZ$110*(Propagações_TOT_GRANDE!$B$6:$BZ$6=$B37&amp;"A")*(Propagações_TOT_GRANDE!$A$7:$A$110&gt;=PREVS_SMAP!D$26)*(Propagações_TOT_GRANDE!$A$7:$A$110&lt;=PREVS_SMAP!D$27),0))/7</f>
        <v>0</v>
      </c>
      <c r="E37" s="132">
        <f t="array" aca="1" ref="E37" ca="1">SUM(IFERROR(Propagações_TOT_GRANDE!$B$7:$BZ$110*(Propagações_TOT_GRANDE!$B$6:$BZ$6=$B37&amp;"A")*(Propagações_TOT_GRANDE!$A$7:$A$110&gt;=PREVS_SMAP!E$26)*(Propagações_TOT_GRANDE!$A$7:$A$110&lt;=PREVS_SMAP!E$27),0))/7</f>
        <v>1083.8571428571429</v>
      </c>
      <c r="F37" s="132">
        <f t="array" aca="1" ref="F37" ca="1">SUM(IFERROR(Propagações_TOT_GRANDE!$B$7:$BZ$110*(Propagações_TOT_GRANDE!$B$6:$BZ$6=$B37&amp;"A")*(Propagações_TOT_GRANDE!$A$7:$A$110&gt;=PREVS_SMAP!F$26)*(Propagações_TOT_GRANDE!$A$7:$A$110&lt;=PREVS_SMAP!F$27),0))/7</f>
        <v>453.14285714285717</v>
      </c>
      <c r="G37" s="132" t="e">
        <f t="array" aca="1" ref="G37" ca="1">IF(AD37&lt;7,NA(),SUM(IFERROR(Propagações_TOT_GRANDE!$B$7:$BZ$110*(Propagações_TOT_GRANDE!$B$6:$BZ$6=$B37&amp;"I")*(Propagações_TOT_GRANDE!$A$7:$A$110&gt;=PREVS_SMAP!G$26)*(Propagações_TOT_GRANDE!$A$7:$A$110&lt;=PREVS_SMAP!G$27),0))/7+G36                        )</f>
        <v>#N/A</v>
      </c>
      <c r="H37" s="132" t="e">
        <f t="array" aca="1" ref="H37" ca="1">IF(AE37&lt;7,NA(),SUM(IFERROR(Propagações_TOT_GRANDE!$B$7:$BZ$110*(Propagações_TOT_GRANDE!$B$6:$BZ$6=$B37&amp;"I")*(Propagações_TOT_GRANDE!$A$7:$A$110&gt;=PREVS_SMAP!H$26)*(Propagações_TOT_GRANDE!$A$7:$A$110&lt;=PREVS_SMAP!H$27),0))/7+H36                        )</f>
        <v>#N/A</v>
      </c>
      <c r="I37" s="132" t="e">
        <f t="array" aca="1" ref="I37" ca="1">IF(AF37&lt;7,NA(),SUM(IFERROR(Propagações_TOT_GRANDE!$B$7:$BZ$110*(Propagações_TOT_GRANDE!$B$6:$BZ$6=$B37&amp;"I")*(Propagações_TOT_GRANDE!$A$7:$A$110&gt;=PREVS_SMAP!I$26)*(Propagações_TOT_GRANDE!$A$7:$A$110&lt;=PREVS_SMAP!I$27),0))/7+I36                        )</f>
        <v>#N/A</v>
      </c>
      <c r="J37" s="132" t="e">
        <f t="array" aca="1" ref="J37" ca="1">IF(AG37&lt;7,NA(),SUM(IFERROR(Propagações_TOT_GRANDE!$B$7:$BZ$110*(Propagações_TOT_GRANDE!$B$6:$BZ$6=$B37&amp;"I")*(Propagações_TOT_GRANDE!$A$7:$A$110&gt;=PREVS_SMAP!J$26)*(Propagações_TOT_GRANDE!$A$7:$A$110&lt;=PREVS_SMAP!J$27),0))/7+J36                        )</f>
        <v>#N/A</v>
      </c>
      <c r="K37" s="132" t="e">
        <f t="array" aca="1" ref="K37" ca="1">IF(AH37&lt;7,NA(),SUM(IFERROR(Propagações_TOT_GRANDE!$B$7:$BZ$110*(Propagações_TOT_GRANDE!$B$6:$BZ$6=$B37&amp;"I")*(Propagações_TOT_GRANDE!$A$7:$A$110&gt;=PREVS_SMAP!K$26)*(Propagações_TOT_GRANDE!$A$7:$A$110&lt;=PREVS_SMAP!K$27),0))/7+K36                        )</f>
        <v>#N/A</v>
      </c>
      <c r="L37" s="132" t="e">
        <f t="array" aca="1" ref="L37" ca="1">IF(AI37&lt;7,NA(),SUM(IFERROR(Propagações_TOT_GRANDE!$B$7:$BZ$110*(Propagações_TOT_GRANDE!$B$6:$BZ$6=$B37&amp;"I")*(Propagações_TOT_GRANDE!$A$7:$A$110&gt;=PREVS_SMAP!L$26)*(Propagações_TOT_GRANDE!$A$7:$A$110&lt;=PREVS_SMAP!L$27),0))/7+L36                        )</f>
        <v>#N/A</v>
      </c>
      <c r="M37" s="132" t="e">
        <f t="array" aca="1" ref="M37" ca="1">IF(AJ37&lt;7,NA(),SUM(IFERROR(Propagações_TOT_GRANDE!$B$7:$BZ$110*(Propagações_TOT_GRANDE!$B$6:$BZ$6=$B37&amp;"I")*(Propagações_TOT_GRANDE!$A$7:$A$110&gt;=PREVS_SMAP!M$26)*(Propagações_TOT_GRANDE!$A$7:$A$110&lt;=PREVS_SMAP!M$27),0))/7+M36                        )</f>
        <v>#N/A</v>
      </c>
      <c r="N37" s="132" t="e">
        <f t="array" aca="1" ref="N37" ca="1">IF(AK37&lt;7,NA(),SUM(IFERROR(Propagações_TOT_GRANDE!$B$7:$BZ$110*(Propagações_TOT_GRANDE!$B$6:$BZ$6=$B37&amp;"I")*(Propagações_TOT_GRANDE!$A$7:$A$110&gt;=PREVS_SMAP!N$26)*(Propagações_TOT_GRANDE!$A$7:$A$110&lt;=PREVS_SMAP!N$27),0))/7+N36                        )</f>
        <v>#N/A</v>
      </c>
      <c r="O37" s="132" t="e">
        <f t="array" aca="1" ref="O37" ca="1">IF(AL37&lt;7,NA(),SUM(IFERROR(Propagações_TOT_GRANDE!$B$7:$BZ$110*(Propagações_TOT_GRANDE!$B$6:$BZ$6=$B37&amp;"I")*(Propagações_TOT_GRANDE!$A$7:$A$110&gt;=PREVS_SMAP!O$26)*(Propagações_TOT_GRANDE!$A$7:$A$110&lt;=PREVS_SMAP!O$27),0))/7+O36                        )</f>
        <v>#N/A</v>
      </c>
      <c r="P37" s="132"/>
      <c r="R37">
        <v>10</v>
      </c>
      <c r="S37" s="40">
        <f t="shared" ca="1" si="14"/>
        <v>354</v>
      </c>
      <c r="T37" s="40" t="str">
        <f t="shared" ca="1" si="15"/>
        <v/>
      </c>
      <c r="U37" s="131" t="str">
        <f t="shared" ca="1" si="15"/>
        <v/>
      </c>
      <c r="V37" s="131" t="str">
        <f t="shared" ca="1" si="15"/>
        <v/>
      </c>
      <c r="W37" s="131" t="str">
        <f t="shared" ca="1" si="15"/>
        <v/>
      </c>
      <c r="X37" s="131" t="str">
        <f t="shared" ca="1" si="15"/>
        <v/>
      </c>
      <c r="Y37" s="131" t="str">
        <f t="shared" ca="1" si="15"/>
        <v/>
      </c>
      <c r="Z37" s="131" t="str">
        <f t="shared" ca="1" si="15"/>
        <v/>
      </c>
      <c r="AA37" s="131" t="str">
        <f t="shared" ca="1" si="15"/>
        <v/>
      </c>
      <c r="AB37" s="131" t="str">
        <f t="shared" ca="1" si="15"/>
        <v/>
      </c>
      <c r="AD37" s="272">
        <f t="array" aca="1" ref="AD37" ca="1">SUM(IFERROR(ISNUMBER(Propagações_TOT_GRANDE!$B$7:$BZ$110)*(Propagações_TOT_GRANDE!$B$6:$BZ$6=$B37&amp;"I")*(Propagações_TOT_GRANDE!$A$7:$A$110&gt;=PREVS_SMAP!G$26)*(Propagações_TOT_GRANDE!$A$7:$A$110&lt;=PREVS_SMAP!G$27),0))</f>
        <v>0</v>
      </c>
      <c r="AE37" s="272">
        <f t="array" aca="1" ref="AE37" ca="1">SUM(IFERROR(ISNUMBER(Propagações_TOT_GRANDE!$B$7:$BZ$110)*(Propagações_TOT_GRANDE!$B$6:$BZ$6=$B37&amp;"I")*(Propagações_TOT_GRANDE!$A$7:$A$110&gt;=PREVS_SMAP!H$26)*(Propagações_TOT_GRANDE!$A$7:$A$110&lt;=PREVS_SMAP!H$27),0))</f>
        <v>0</v>
      </c>
      <c r="AF37" s="272">
        <f t="array" aca="1" ref="AF37" ca="1">SUM(IFERROR(ISNUMBER(Propagações_TOT_GRANDE!$B$7:$BZ$110)*(Propagações_TOT_GRANDE!$B$6:$BZ$6=$B37&amp;"I")*(Propagações_TOT_GRANDE!$A$7:$A$110&gt;=PREVS_SMAP!I$26)*(Propagações_TOT_GRANDE!$A$7:$A$110&lt;=PREVS_SMAP!I$27),0))</f>
        <v>0</v>
      </c>
      <c r="AG37" s="272">
        <f t="array" aca="1" ref="AG37" ca="1">SUM(IFERROR(ISNUMBER(Propagações_TOT_GRANDE!$B$7:$BZ$110)*(Propagações_TOT_GRANDE!$B$6:$BZ$6=$B37&amp;"I")*(Propagações_TOT_GRANDE!$A$7:$A$110&gt;=PREVS_SMAP!J$26)*(Propagações_TOT_GRANDE!$A$7:$A$110&lt;=PREVS_SMAP!J$27),0))</f>
        <v>0</v>
      </c>
      <c r="AH37" s="272">
        <f t="array" aca="1" ref="AH37" ca="1">SUM(IFERROR(ISNUMBER(Propagações_TOT_GRANDE!$B$7:$BZ$110)*(Propagações_TOT_GRANDE!$B$6:$BZ$6=$B37&amp;"I")*(Propagações_TOT_GRANDE!$A$7:$A$110&gt;=PREVS_SMAP!K$26)*(Propagações_TOT_GRANDE!$A$7:$A$110&lt;=PREVS_SMAP!K$27),0))</f>
        <v>0</v>
      </c>
      <c r="AI37" s="272">
        <f t="array" aca="1" ref="AI37" ca="1">SUM(IFERROR(ISNUMBER(Propagações_TOT_GRANDE!$B$7:$BZ$110)*(Propagações_TOT_GRANDE!$B$6:$BZ$6=$B37&amp;"I")*(Propagações_TOT_GRANDE!$A$7:$A$110&gt;=PREVS_SMAP!L$26)*(Propagações_TOT_GRANDE!$A$7:$A$110&lt;=PREVS_SMAP!L$27),0))</f>
        <v>0</v>
      </c>
      <c r="AJ37" s="272">
        <f t="array" aca="1" ref="AJ37" ca="1">SUM(IFERROR(ISNUMBER(Propagações_TOT_GRANDE!$B$7:$BZ$110)*(Propagações_TOT_GRANDE!$B$6:$BZ$6=$B37&amp;"I")*(Propagações_TOT_GRANDE!$A$7:$A$110&gt;=PREVS_SMAP!M$26)*(Propagações_TOT_GRANDE!$A$7:$A$110&lt;=PREVS_SMAP!M$27),0))</f>
        <v>0</v>
      </c>
      <c r="AK37" s="272">
        <f t="array" aca="1" ref="AK37" ca="1">SUM(IFERROR(ISNUMBER(Propagações_TOT_GRANDE!$B$7:$BZ$110)*(Propagações_TOT_GRANDE!$B$6:$BZ$6=$B37&amp;"I")*(Propagações_TOT_GRANDE!$A$7:$A$110&gt;=PREVS_SMAP!N$26)*(Propagações_TOT_GRANDE!$A$7:$A$110&lt;=PREVS_SMAP!N$27),0))</f>
        <v>0</v>
      </c>
      <c r="AL37" s="272">
        <f t="array" aca="1" ref="AL37" ca="1">SUM(IFERROR(ISNUMBER(Propagações_TOT_GRANDE!$B$7:$BZ$110)*(Propagações_TOT_GRANDE!$B$6:$BZ$6=$B37&amp;"I")*(Propagações_TOT_GRANDE!$A$7:$A$110&gt;=PREVS_SMAP!O$26)*(Propagações_TOT_GRANDE!$A$7:$A$110&lt;=PREVS_SMAP!O$27),0))</f>
        <v>0</v>
      </c>
      <c r="AN37" s="121"/>
      <c r="AO37" s="121">
        <f t="shared" ca="1" si="9"/>
        <v>354</v>
      </c>
      <c r="AP37" s="121" t="b">
        <f t="shared" si="10"/>
        <v>1</v>
      </c>
      <c r="AQ37" s="272">
        <f ca="1">+AVERAGEIFS(TABELA_VAZAO[qnat],TABELA_VAZAO[Posto],$R37,TABELA_VAZAO[Data],AQ$27)</f>
        <v>832</v>
      </c>
      <c r="AR37" s="272">
        <f ca="1">+AVERAGEIFS(TABELA_VAZAO[qnat],TABELA_VAZAO[Posto],$R37,TABELA_VAZAO[Data],AR$27)</f>
        <v>742</v>
      </c>
      <c r="AS37" s="272">
        <f ca="1">+AVERAGEIFS(TABELA_VAZAO[qnat],TABELA_VAZAO[Posto],$R37,TABELA_VAZAO[Data],AS$27)</f>
        <v>689</v>
      </c>
      <c r="AT37" s="272">
        <f ca="1">+AVERAGEIFS(TABELA_VAZAO[qnat],TABELA_VAZAO[Posto],$R37,TABELA_VAZAO[Data],AT$27)</f>
        <v>685</v>
      </c>
      <c r="AU37" s="121">
        <f ca="1">+AVERAGEIFS(TABELA_VAZAO[qnat],TABELA_VAZAO[Posto],$R37,TABELA_VAZAO[Data],AU$27)</f>
        <v>742</v>
      </c>
      <c r="AV37" s="272">
        <f ca="1">IFERROR(AVERAGEIFS(TABELA_VAZAO[qnat],TABELA_VAZAO[Posto],$R37,TABELA_VAZAO[Data],AV$27),AU37+$BB37*EXP(AV$26))</f>
        <v>821</v>
      </c>
      <c r="AW37" s="159">
        <f ca="1">IFERROR(AVERAGEIFS(TABELA_VAZAO[qnat],TABELA_VAZAO[Posto],$R37,TABELA_VAZAO[Data],AW$27),AV37+$BB37*EXP(AW$26))</f>
        <v>914</v>
      </c>
      <c r="AX37" s="325">
        <f ca="1">IFERROR(AVERAGEIFS(TABELA_VAZAO[qnat],TABELA_VAZAO[Posto],$R37,TABELA_VAZAO[Data],AX$27),AW37+$BB37*EXP(AX$26))</f>
        <v>984</v>
      </c>
      <c r="AY37" s="325">
        <f ca="1">IFERROR(AVERAGEIFS(TABELA_VAZAO[qnat],TABELA_VAZAO[Posto],$R37,TABELA_VAZAO[Data],AY$27),AX37+$BB37*EXP(AY$26))</f>
        <v>1030.9224032224947</v>
      </c>
      <c r="AZ37" s="326">
        <f ca="1">IFERROR(AVERAGEIFS(TABELA_VAZAO[qnat],TABELA_VAZAO[Posto],$R37,TABELA_VAZAO[Data],AZ$27),AY37+$BB37*EXP(AZ$26))</f>
        <v>1062.3754307107001</v>
      </c>
      <c r="BA37" s="326">
        <f ca="1">IFERROR(AVERAGEIFS(TABELA_VAZAO[qnat],TABELA_VAZAO[Posto],$R37,TABELA_VAZAO[Data],BA$27),AZ37+$BB37*EXP(BA$26))</f>
        <v>1083.4590255445544</v>
      </c>
      <c r="BB37" s="121">
        <f t="shared" ca="1" si="11"/>
        <v>70</v>
      </c>
      <c r="BC37" s="272">
        <f t="shared" ca="1" si="13"/>
        <v>-4</v>
      </c>
      <c r="BD37" s="272">
        <f t="shared" ca="1" si="12"/>
        <v>57</v>
      </c>
      <c r="BE37" s="272">
        <f t="shared" ca="1" si="12"/>
        <v>79</v>
      </c>
      <c r="BF37" s="272">
        <f t="shared" ca="1" si="12"/>
        <v>93</v>
      </c>
      <c r="BG37"/>
    </row>
    <row r="38" spans="1:59" x14ac:dyDescent="0.2">
      <c r="A38" s="294">
        <v>14</v>
      </c>
      <c r="B38" s="283" t="str">
        <f t="shared" si="7"/>
        <v>14_VN</v>
      </c>
      <c r="C38" s="138" t="s">
        <v>46</v>
      </c>
      <c r="D38" s="132">
        <f t="array" aca="1" ref="D38" ca="1">SUM(IFERROR(Propagações_TOT_GRANDE!$B$7:$BZ$110*(Propagações_TOT_GRANDE!$B$6:$BZ$6=$B38&amp;"A")*(Propagações_TOT_GRANDE!$A$7:$A$110&gt;=PREVS_SMAP!D$26)*(Propagações_TOT_GRANDE!$A$7:$A$110&lt;=PREVS_SMAP!D$27),0))/7</f>
        <v>0</v>
      </c>
      <c r="E38" s="132">
        <f t="array" aca="1" ref="E38" ca="1">SUM(IFERROR(Propagações_TOT_GRANDE!$B$7:$BZ$110*(Propagações_TOT_GRANDE!$B$6:$BZ$6=$B38&amp;"A")*(Propagações_TOT_GRANDE!$A$7:$A$110&gt;=PREVS_SMAP!E$26)*(Propagações_TOT_GRANDE!$A$7:$A$110&lt;=PREVS_SMAP!E$27),0))/7</f>
        <v>37.428571428571431</v>
      </c>
      <c r="F38" s="132">
        <f t="array" aca="1" ref="F38" ca="1">SUM(IFERROR(Propagações_TOT_GRANDE!$B$7:$BZ$110*(Propagações_TOT_GRANDE!$B$6:$BZ$6=$B38&amp;"A")*(Propagações_TOT_GRANDE!$A$7:$A$110&gt;=PREVS_SMAP!F$26)*(Propagações_TOT_GRANDE!$A$7:$A$110&lt;=PREVS_SMAP!F$27),0))/7</f>
        <v>29</v>
      </c>
      <c r="G38" s="132" t="e">
        <f t="array" aca="1" ref="G38" ca="1">IF(AD38&lt;7,NA(),SUM(IFERROR(Propagações_TOT_GRANDE!$B$7:$BZ$110*(Propagações_TOT_GRANDE!$B$6:$BZ$6=$B38&amp;"I")*(Propagações_TOT_GRANDE!$A$7:$A$110&gt;=PREVS_SMAP!G$26)*(Propagações_TOT_GRANDE!$A$7:$A$110&lt;=PREVS_SMAP!G$27),0))/7                            )</f>
        <v>#N/A</v>
      </c>
      <c r="H38" s="132" t="e">
        <f t="array" aca="1" ref="H38" ca="1">IF(AE38&lt;7,NA(),SUM(IFERROR(Propagações_TOT_GRANDE!$B$7:$BZ$110*(Propagações_TOT_GRANDE!$B$6:$BZ$6=$B38&amp;"I")*(Propagações_TOT_GRANDE!$A$7:$A$110&gt;=PREVS_SMAP!H$26)*(Propagações_TOT_GRANDE!$A$7:$A$110&lt;=PREVS_SMAP!H$27),0))/7                            )</f>
        <v>#N/A</v>
      </c>
      <c r="I38" s="132" t="e">
        <f t="array" aca="1" ref="I38" ca="1">IF(AF38&lt;7,NA(),SUM(IFERROR(Propagações_TOT_GRANDE!$B$7:$BZ$110*(Propagações_TOT_GRANDE!$B$6:$BZ$6=$B38&amp;"I")*(Propagações_TOT_GRANDE!$A$7:$A$110&gt;=PREVS_SMAP!I$26)*(Propagações_TOT_GRANDE!$A$7:$A$110&lt;=PREVS_SMAP!I$27),0))/7                            )</f>
        <v>#N/A</v>
      </c>
      <c r="J38" s="132" t="e">
        <f t="array" aca="1" ref="J38" ca="1">IF(AG38&lt;7,NA(),SUM(IFERROR(Propagações_TOT_GRANDE!$B$7:$BZ$110*(Propagações_TOT_GRANDE!$B$6:$BZ$6=$B38&amp;"I")*(Propagações_TOT_GRANDE!$A$7:$A$110&gt;=PREVS_SMAP!J$26)*(Propagações_TOT_GRANDE!$A$7:$A$110&lt;=PREVS_SMAP!J$27),0))/7                            )</f>
        <v>#N/A</v>
      </c>
      <c r="K38" s="132" t="e">
        <f t="array" aca="1" ref="K38" ca="1">IF(AH38&lt;7,NA(),SUM(IFERROR(Propagações_TOT_GRANDE!$B$7:$BZ$110*(Propagações_TOT_GRANDE!$B$6:$BZ$6=$B38&amp;"I")*(Propagações_TOT_GRANDE!$A$7:$A$110&gt;=PREVS_SMAP!K$26)*(Propagações_TOT_GRANDE!$A$7:$A$110&lt;=PREVS_SMAP!K$27),0))/7                            )</f>
        <v>#N/A</v>
      </c>
      <c r="L38" s="132" t="e">
        <f t="array" aca="1" ref="L38" ca="1">IF(AI38&lt;7,NA(),SUM(IFERROR(Propagações_TOT_GRANDE!$B$7:$BZ$110*(Propagações_TOT_GRANDE!$B$6:$BZ$6=$B38&amp;"I")*(Propagações_TOT_GRANDE!$A$7:$A$110&gt;=PREVS_SMAP!L$26)*(Propagações_TOT_GRANDE!$A$7:$A$110&lt;=PREVS_SMAP!L$27),0))/7                            )</f>
        <v>#N/A</v>
      </c>
      <c r="M38" s="132" t="e">
        <f t="array" aca="1" ref="M38" ca="1">IF(AJ38&lt;7,NA(),SUM(IFERROR(Propagações_TOT_GRANDE!$B$7:$BZ$110*(Propagações_TOT_GRANDE!$B$6:$BZ$6=$B38&amp;"I")*(Propagações_TOT_GRANDE!$A$7:$A$110&gt;=PREVS_SMAP!M$26)*(Propagações_TOT_GRANDE!$A$7:$A$110&lt;=PREVS_SMAP!M$27),0))/7                            )</f>
        <v>#N/A</v>
      </c>
      <c r="N38" s="132" t="e">
        <f t="array" aca="1" ref="N38" ca="1">IF(AK38&lt;7,NA(),SUM(IFERROR(Propagações_TOT_GRANDE!$B$7:$BZ$110*(Propagações_TOT_GRANDE!$B$6:$BZ$6=$B38&amp;"I")*(Propagações_TOT_GRANDE!$A$7:$A$110&gt;=PREVS_SMAP!N$26)*(Propagações_TOT_GRANDE!$A$7:$A$110&lt;=PREVS_SMAP!N$27),0))/7                            )</f>
        <v>#N/A</v>
      </c>
      <c r="O38" s="132" t="e">
        <f t="array" aca="1" ref="O38" ca="1">IF(AL38&lt;7,NA(),SUM(IFERROR(Propagações_TOT_GRANDE!$B$7:$BZ$110*(Propagações_TOT_GRANDE!$B$6:$BZ$6=$B38&amp;"I")*(Propagações_TOT_GRANDE!$A$7:$A$110&gt;=PREVS_SMAP!O$26)*(Propagações_TOT_GRANDE!$A$7:$A$110&lt;=PREVS_SMAP!O$27),0))/7                            )</f>
        <v>#N/A</v>
      </c>
      <c r="P38" s="132"/>
      <c r="R38">
        <v>11</v>
      </c>
      <c r="S38" s="40">
        <f t="shared" ca="1" si="14"/>
        <v>385</v>
      </c>
      <c r="T38" s="40" t="str">
        <f t="shared" ca="1" si="15"/>
        <v/>
      </c>
      <c r="U38" s="131" t="str">
        <f t="shared" ca="1" si="15"/>
        <v/>
      </c>
      <c r="V38" s="131" t="str">
        <f t="shared" ca="1" si="15"/>
        <v/>
      </c>
      <c r="W38" s="131" t="str">
        <f t="shared" ca="1" si="15"/>
        <v/>
      </c>
      <c r="X38" s="131" t="str">
        <f t="shared" ca="1" si="15"/>
        <v/>
      </c>
      <c r="Y38" s="131" t="str">
        <f t="shared" ca="1" si="15"/>
        <v/>
      </c>
      <c r="Z38" s="131" t="str">
        <f t="shared" ca="1" si="15"/>
        <v/>
      </c>
      <c r="AA38" s="131" t="str">
        <f t="shared" ca="1" si="15"/>
        <v/>
      </c>
      <c r="AB38" s="131" t="str">
        <f t="shared" ca="1" si="15"/>
        <v/>
      </c>
      <c r="AD38" s="272">
        <f t="array" aca="1" ref="AD38" ca="1">SUM(IFERROR(ISNUMBER(Propagações_TOT_GRANDE!$B$7:$BZ$110)*(Propagações_TOT_GRANDE!$B$6:$BZ$6=$B38&amp;"I")*(Propagações_TOT_GRANDE!$A$7:$A$110&gt;=PREVS_SMAP!G$26)*(Propagações_TOT_GRANDE!$A$7:$A$110&lt;=PREVS_SMAP!G$27),0))</f>
        <v>0</v>
      </c>
      <c r="AE38" s="272">
        <f t="array" aca="1" ref="AE38" ca="1">SUM(IFERROR(ISNUMBER(Propagações_TOT_GRANDE!$B$7:$BZ$110)*(Propagações_TOT_GRANDE!$B$6:$BZ$6=$B38&amp;"I")*(Propagações_TOT_GRANDE!$A$7:$A$110&gt;=PREVS_SMAP!H$26)*(Propagações_TOT_GRANDE!$A$7:$A$110&lt;=PREVS_SMAP!H$27),0))</f>
        <v>0</v>
      </c>
      <c r="AF38" s="272">
        <f t="array" aca="1" ref="AF38" ca="1">SUM(IFERROR(ISNUMBER(Propagações_TOT_GRANDE!$B$7:$BZ$110)*(Propagações_TOT_GRANDE!$B$6:$BZ$6=$B38&amp;"I")*(Propagações_TOT_GRANDE!$A$7:$A$110&gt;=PREVS_SMAP!I$26)*(Propagações_TOT_GRANDE!$A$7:$A$110&lt;=PREVS_SMAP!I$27),0))</f>
        <v>0</v>
      </c>
      <c r="AG38" s="272">
        <f t="array" aca="1" ref="AG38" ca="1">SUM(IFERROR(ISNUMBER(Propagações_TOT_GRANDE!$B$7:$BZ$110)*(Propagações_TOT_GRANDE!$B$6:$BZ$6=$B38&amp;"I")*(Propagações_TOT_GRANDE!$A$7:$A$110&gt;=PREVS_SMAP!J$26)*(Propagações_TOT_GRANDE!$A$7:$A$110&lt;=PREVS_SMAP!J$27),0))</f>
        <v>0</v>
      </c>
      <c r="AH38" s="272">
        <f t="array" aca="1" ref="AH38" ca="1">SUM(IFERROR(ISNUMBER(Propagações_TOT_GRANDE!$B$7:$BZ$110)*(Propagações_TOT_GRANDE!$B$6:$BZ$6=$B38&amp;"I")*(Propagações_TOT_GRANDE!$A$7:$A$110&gt;=PREVS_SMAP!K$26)*(Propagações_TOT_GRANDE!$A$7:$A$110&lt;=PREVS_SMAP!K$27),0))</f>
        <v>0</v>
      </c>
      <c r="AI38" s="272">
        <f t="array" aca="1" ref="AI38" ca="1">SUM(IFERROR(ISNUMBER(Propagações_TOT_GRANDE!$B$7:$BZ$110)*(Propagações_TOT_GRANDE!$B$6:$BZ$6=$B38&amp;"I")*(Propagações_TOT_GRANDE!$A$7:$A$110&gt;=PREVS_SMAP!L$26)*(Propagações_TOT_GRANDE!$A$7:$A$110&lt;=PREVS_SMAP!L$27),0))</f>
        <v>0</v>
      </c>
      <c r="AJ38" s="272">
        <f t="array" aca="1" ref="AJ38" ca="1">SUM(IFERROR(ISNUMBER(Propagações_TOT_GRANDE!$B$7:$BZ$110)*(Propagações_TOT_GRANDE!$B$6:$BZ$6=$B38&amp;"I")*(Propagações_TOT_GRANDE!$A$7:$A$110&gt;=PREVS_SMAP!M$26)*(Propagações_TOT_GRANDE!$A$7:$A$110&lt;=PREVS_SMAP!M$27),0))</f>
        <v>0</v>
      </c>
      <c r="AK38" s="272">
        <f t="array" aca="1" ref="AK38" ca="1">SUM(IFERROR(ISNUMBER(Propagações_TOT_GRANDE!$B$7:$BZ$110)*(Propagações_TOT_GRANDE!$B$6:$BZ$6=$B38&amp;"I")*(Propagações_TOT_GRANDE!$A$7:$A$110&gt;=PREVS_SMAP!N$26)*(Propagações_TOT_GRANDE!$A$7:$A$110&lt;=PREVS_SMAP!N$27),0))</f>
        <v>0</v>
      </c>
      <c r="AL38" s="272">
        <f t="array" aca="1" ref="AL38" ca="1">SUM(IFERROR(ISNUMBER(Propagações_TOT_GRANDE!$B$7:$BZ$110)*(Propagações_TOT_GRANDE!$B$6:$BZ$6=$B38&amp;"I")*(Propagações_TOT_GRANDE!$A$7:$A$110&gt;=PREVS_SMAP!O$26)*(Propagações_TOT_GRANDE!$A$7:$A$110&lt;=PREVS_SMAP!O$27),0))</f>
        <v>0</v>
      </c>
      <c r="AN38" s="121"/>
      <c r="AO38" s="121">
        <f t="shared" ca="1" si="9"/>
        <v>385</v>
      </c>
      <c r="AP38" s="121" t="b">
        <f t="shared" si="10"/>
        <v>1</v>
      </c>
      <c r="AQ38" s="272">
        <f ca="1">+AVERAGEIFS(TABELA_VAZAO[qnat],TABELA_VAZAO[Posto],$R38,TABELA_VAZAO[Data],AQ$27)</f>
        <v>947</v>
      </c>
      <c r="AR38" s="272">
        <f ca="1">+AVERAGEIFS(TABELA_VAZAO[qnat],TABELA_VAZAO[Posto],$R38,TABELA_VAZAO[Data],AR$27)</f>
        <v>844</v>
      </c>
      <c r="AS38" s="272">
        <f ca="1">+AVERAGEIFS(TABELA_VAZAO[qnat],TABELA_VAZAO[Posto],$R38,TABELA_VAZAO[Data],AS$27)</f>
        <v>775</v>
      </c>
      <c r="AT38" s="272">
        <f ca="1">+AVERAGEIFS(TABELA_VAZAO[qnat],TABELA_VAZAO[Posto],$R38,TABELA_VAZAO[Data],AT$27)</f>
        <v>763</v>
      </c>
      <c r="AU38" s="121">
        <f ca="1">+AVERAGEIFS(TABELA_VAZAO[qnat],TABELA_VAZAO[Posto],$R38,TABELA_VAZAO[Data],AU$27)</f>
        <v>813</v>
      </c>
      <c r="AV38" s="272">
        <f ca="1">IFERROR(AVERAGEIFS(TABELA_VAZAO[qnat],TABELA_VAZAO[Posto],$R38,TABELA_VAZAO[Data],AV$27),AU38+$BB38*EXP(AV$26))</f>
        <v>890</v>
      </c>
      <c r="AW38" s="159">
        <f ca="1">IFERROR(AVERAGEIFS(TABELA_VAZAO[qnat],TABELA_VAZAO[Posto],$R38,TABELA_VAZAO[Data],AW$27),AV38+$BB38*EXP(AW$26))</f>
        <v>989</v>
      </c>
      <c r="AX38" s="325">
        <f ca="1">IFERROR(AVERAGEIFS(TABELA_VAZAO[qnat],TABELA_VAZAO[Posto],$R38,TABELA_VAZAO[Data],AX$27),AW38+$BB38*EXP(AX$26))</f>
        <v>1058.8571428571429</v>
      </c>
      <c r="AY38" s="325">
        <f ca="1">IFERROR(AVERAGEIFS(TABELA_VAZAO[qnat],TABELA_VAZAO[Posto],$R38,TABELA_VAZAO[Data],AY$27),AX38+$BB38*EXP(AY$26))</f>
        <v>1105.6837860730611</v>
      </c>
      <c r="AZ38" s="326">
        <f ca="1">IFERROR(AVERAGEIFS(TABELA_VAZAO[qnat],TABELA_VAZAO[Posto],$R38,TABELA_VAZAO[Data],AZ$27),AY38+$BB38*EXP(AZ$26))</f>
        <v>1137.0726237092499</v>
      </c>
      <c r="BA38" s="326">
        <f ca="1">IFERROR(AVERAGEIFS(TABELA_VAZAO[qnat],TABELA_VAZAO[Posto],$R38,TABELA_VAZAO[Data],BA$27),AZ38+$BB38*EXP(BA$26))</f>
        <v>1158.1131907985452</v>
      </c>
      <c r="BB38" s="121">
        <f t="shared" ca="1" si="11"/>
        <v>69.857142857142861</v>
      </c>
      <c r="BC38" s="272">
        <f t="shared" ca="1" si="13"/>
        <v>-12</v>
      </c>
      <c r="BD38" s="272">
        <f t="shared" ca="1" si="12"/>
        <v>50</v>
      </c>
      <c r="BE38" s="272">
        <f t="shared" ca="1" si="12"/>
        <v>77</v>
      </c>
      <c r="BF38" s="272">
        <f t="shared" ca="1" si="12"/>
        <v>99</v>
      </c>
      <c r="BG38"/>
    </row>
    <row r="39" spans="1:59" x14ac:dyDescent="0.2">
      <c r="A39" s="294">
        <v>15</v>
      </c>
      <c r="B39" s="283" t="str">
        <f t="shared" si="7"/>
        <v>15_VN</v>
      </c>
      <c r="C39" s="240" t="s">
        <v>18</v>
      </c>
      <c r="D39" s="132">
        <f t="array" aca="1" ref="D39" ca="1">SUM(IFERROR(Propagações_TOT_GRANDE!$B$7:$BZ$110*(Propagações_TOT_GRANDE!$B$6:$BZ$6=$B39&amp;"A")*(Propagações_TOT_GRANDE!$A$7:$A$110&gt;=PREVS_SMAP!D$26)*(Propagações_TOT_GRANDE!$A$7:$A$110&lt;=PREVS_SMAP!D$27),0))/7</f>
        <v>0</v>
      </c>
      <c r="E39" s="132">
        <f t="array" aca="1" ref="E39" ca="1">SUM(IFERROR(Propagações_TOT_GRANDE!$B$7:$BZ$110*(Propagações_TOT_GRANDE!$B$6:$BZ$6=$B39&amp;"A")*(Propagações_TOT_GRANDE!$A$7:$A$110&gt;=PREVS_SMAP!E$26)*(Propagações_TOT_GRANDE!$A$7:$A$110&lt;=PREVS_SMAP!E$27),0))/7</f>
        <v>59</v>
      </c>
      <c r="F39" s="132">
        <f t="array" aca="1" ref="F39" ca="1">SUM(IFERROR(Propagações_TOT_GRANDE!$B$7:$BZ$110*(Propagações_TOT_GRANDE!$B$6:$BZ$6=$B39&amp;"A")*(Propagações_TOT_GRANDE!$A$7:$A$110&gt;=PREVS_SMAP!F$26)*(Propagações_TOT_GRANDE!$A$7:$A$110&lt;=PREVS_SMAP!F$27),0))/7</f>
        <v>47.571428571428569</v>
      </c>
      <c r="G39" s="132" t="e">
        <f t="array" aca="1" ref="G39" ca="1">IF(AD39&lt;7,NA(),SUM(IFERROR(Propagações_TOT_GRANDE!$B$7:$BZ$110*(Propagações_TOT_GRANDE!$B$6:$BZ$6=$B39&amp;"I")*(Propagações_TOT_GRANDE!$A$7:$A$110&gt;=PREVS_SMAP!G$26)*(Propagações_TOT_GRANDE!$A$7:$A$110&lt;=PREVS_SMAP!G$27),0))/7+G38                        )</f>
        <v>#N/A</v>
      </c>
      <c r="H39" s="132" t="e">
        <f t="array" aca="1" ref="H39" ca="1">IF(AE39&lt;7,NA(),SUM(IFERROR(Propagações_TOT_GRANDE!$B$7:$BZ$110*(Propagações_TOT_GRANDE!$B$6:$BZ$6=$B39&amp;"I")*(Propagações_TOT_GRANDE!$A$7:$A$110&gt;=PREVS_SMAP!H$26)*(Propagações_TOT_GRANDE!$A$7:$A$110&lt;=PREVS_SMAP!H$27),0))/7+H38                        )</f>
        <v>#N/A</v>
      </c>
      <c r="I39" s="132" t="e">
        <f t="array" aca="1" ref="I39" ca="1">IF(AF39&lt;7,NA(),SUM(IFERROR(Propagações_TOT_GRANDE!$B$7:$BZ$110*(Propagações_TOT_GRANDE!$B$6:$BZ$6=$B39&amp;"I")*(Propagações_TOT_GRANDE!$A$7:$A$110&gt;=PREVS_SMAP!I$26)*(Propagações_TOT_GRANDE!$A$7:$A$110&lt;=PREVS_SMAP!I$27),0))/7+I38                        )</f>
        <v>#N/A</v>
      </c>
      <c r="J39" s="132" t="e">
        <f t="array" aca="1" ref="J39" ca="1">IF(AG39&lt;7,NA(),SUM(IFERROR(Propagações_TOT_GRANDE!$B$7:$BZ$110*(Propagações_TOT_GRANDE!$B$6:$BZ$6=$B39&amp;"I")*(Propagações_TOT_GRANDE!$A$7:$A$110&gt;=PREVS_SMAP!J$26)*(Propagações_TOT_GRANDE!$A$7:$A$110&lt;=PREVS_SMAP!J$27),0))/7+J38                        )</f>
        <v>#N/A</v>
      </c>
      <c r="K39" s="132" t="e">
        <f t="array" aca="1" ref="K39" ca="1">IF(AH39&lt;7,NA(),SUM(IFERROR(Propagações_TOT_GRANDE!$B$7:$BZ$110*(Propagações_TOT_GRANDE!$B$6:$BZ$6=$B39&amp;"I")*(Propagações_TOT_GRANDE!$A$7:$A$110&gt;=PREVS_SMAP!K$26)*(Propagações_TOT_GRANDE!$A$7:$A$110&lt;=PREVS_SMAP!K$27),0))/7+K38                        )</f>
        <v>#N/A</v>
      </c>
      <c r="L39" s="132" t="e">
        <f t="array" aca="1" ref="L39" ca="1">IF(AI39&lt;7,NA(),SUM(IFERROR(Propagações_TOT_GRANDE!$B$7:$BZ$110*(Propagações_TOT_GRANDE!$B$6:$BZ$6=$B39&amp;"I")*(Propagações_TOT_GRANDE!$A$7:$A$110&gt;=PREVS_SMAP!L$26)*(Propagações_TOT_GRANDE!$A$7:$A$110&lt;=PREVS_SMAP!L$27),0))/7+L38                        )</f>
        <v>#N/A</v>
      </c>
      <c r="M39" s="132" t="e">
        <f t="array" aca="1" ref="M39" ca="1">IF(AJ39&lt;7,NA(),SUM(IFERROR(Propagações_TOT_GRANDE!$B$7:$BZ$110*(Propagações_TOT_GRANDE!$B$6:$BZ$6=$B39&amp;"I")*(Propagações_TOT_GRANDE!$A$7:$A$110&gt;=PREVS_SMAP!M$26)*(Propagações_TOT_GRANDE!$A$7:$A$110&lt;=PREVS_SMAP!M$27),0))/7+M38                        )</f>
        <v>#N/A</v>
      </c>
      <c r="N39" s="132" t="e">
        <f t="array" aca="1" ref="N39" ca="1">IF(AK39&lt;7,NA(),SUM(IFERROR(Propagações_TOT_GRANDE!$B$7:$BZ$110*(Propagações_TOT_GRANDE!$B$6:$BZ$6=$B39&amp;"I")*(Propagações_TOT_GRANDE!$A$7:$A$110&gt;=PREVS_SMAP!N$26)*(Propagações_TOT_GRANDE!$A$7:$A$110&lt;=PREVS_SMAP!N$27),0))/7+N38                        )</f>
        <v>#N/A</v>
      </c>
      <c r="O39" s="132" t="e">
        <f t="array" aca="1" ref="O39" ca="1">IF(AL39&lt;7,NA(),SUM(IFERROR(Propagações_TOT_GRANDE!$B$7:$BZ$110*(Propagações_TOT_GRANDE!$B$6:$BZ$6=$B39&amp;"I")*(Propagações_TOT_GRANDE!$A$7:$A$110&gt;=PREVS_SMAP!O$26)*(Propagações_TOT_GRANDE!$A$7:$A$110&lt;=PREVS_SMAP!O$27),0))/7+O38                        )</f>
        <v>#N/A</v>
      </c>
      <c r="P39" s="132"/>
      <c r="R39">
        <v>12</v>
      </c>
      <c r="S39" s="40">
        <f t="shared" ca="1" si="14"/>
        <v>453</v>
      </c>
      <c r="T39" s="40" t="str">
        <f t="shared" ca="1" si="15"/>
        <v/>
      </c>
      <c r="U39" s="131" t="str">
        <f t="shared" ca="1" si="15"/>
        <v/>
      </c>
      <c r="V39" s="131" t="str">
        <f t="shared" ca="1" si="15"/>
        <v/>
      </c>
      <c r="W39" s="131" t="str">
        <f t="shared" ca="1" si="15"/>
        <v/>
      </c>
      <c r="X39" s="131" t="str">
        <f t="shared" ca="1" si="15"/>
        <v/>
      </c>
      <c r="Y39" s="131" t="str">
        <f t="shared" ca="1" si="15"/>
        <v/>
      </c>
      <c r="Z39" s="131" t="str">
        <f t="shared" ca="1" si="15"/>
        <v/>
      </c>
      <c r="AA39" s="131" t="str">
        <f t="shared" ca="1" si="15"/>
        <v/>
      </c>
      <c r="AB39" s="131" t="str">
        <f t="shared" ca="1" si="15"/>
        <v/>
      </c>
      <c r="AD39" s="272">
        <f t="array" aca="1" ref="AD39" ca="1">SUM(IFERROR(ISNUMBER(Propagações_TOT_GRANDE!$B$7:$BZ$110)*(Propagações_TOT_GRANDE!$B$6:$BZ$6=$B39&amp;"I")*(Propagações_TOT_GRANDE!$A$7:$A$110&gt;=PREVS_SMAP!G$26)*(Propagações_TOT_GRANDE!$A$7:$A$110&lt;=PREVS_SMAP!G$27),0))</f>
        <v>0</v>
      </c>
      <c r="AE39" s="272">
        <f t="array" aca="1" ref="AE39" ca="1">SUM(IFERROR(ISNUMBER(Propagações_TOT_GRANDE!$B$7:$BZ$110)*(Propagações_TOT_GRANDE!$B$6:$BZ$6=$B39&amp;"I")*(Propagações_TOT_GRANDE!$A$7:$A$110&gt;=PREVS_SMAP!H$26)*(Propagações_TOT_GRANDE!$A$7:$A$110&lt;=PREVS_SMAP!H$27),0))</f>
        <v>0</v>
      </c>
      <c r="AF39" s="272">
        <f t="array" aca="1" ref="AF39" ca="1">SUM(IFERROR(ISNUMBER(Propagações_TOT_GRANDE!$B$7:$BZ$110)*(Propagações_TOT_GRANDE!$B$6:$BZ$6=$B39&amp;"I")*(Propagações_TOT_GRANDE!$A$7:$A$110&gt;=PREVS_SMAP!I$26)*(Propagações_TOT_GRANDE!$A$7:$A$110&lt;=PREVS_SMAP!I$27),0))</f>
        <v>0</v>
      </c>
      <c r="AG39" s="272">
        <f t="array" aca="1" ref="AG39" ca="1">SUM(IFERROR(ISNUMBER(Propagações_TOT_GRANDE!$B$7:$BZ$110)*(Propagações_TOT_GRANDE!$B$6:$BZ$6=$B39&amp;"I")*(Propagações_TOT_GRANDE!$A$7:$A$110&gt;=PREVS_SMAP!J$26)*(Propagações_TOT_GRANDE!$A$7:$A$110&lt;=PREVS_SMAP!J$27),0))</f>
        <v>0</v>
      </c>
      <c r="AH39" s="272">
        <f t="array" aca="1" ref="AH39" ca="1">SUM(IFERROR(ISNUMBER(Propagações_TOT_GRANDE!$B$7:$BZ$110)*(Propagações_TOT_GRANDE!$B$6:$BZ$6=$B39&amp;"I")*(Propagações_TOT_GRANDE!$A$7:$A$110&gt;=PREVS_SMAP!K$26)*(Propagações_TOT_GRANDE!$A$7:$A$110&lt;=PREVS_SMAP!K$27),0))</f>
        <v>0</v>
      </c>
      <c r="AI39" s="272">
        <f t="array" aca="1" ref="AI39" ca="1">SUM(IFERROR(ISNUMBER(Propagações_TOT_GRANDE!$B$7:$BZ$110)*(Propagações_TOT_GRANDE!$B$6:$BZ$6=$B39&amp;"I")*(Propagações_TOT_GRANDE!$A$7:$A$110&gt;=PREVS_SMAP!L$26)*(Propagações_TOT_GRANDE!$A$7:$A$110&lt;=PREVS_SMAP!L$27),0))</f>
        <v>0</v>
      </c>
      <c r="AJ39" s="272">
        <f t="array" aca="1" ref="AJ39" ca="1">SUM(IFERROR(ISNUMBER(Propagações_TOT_GRANDE!$B$7:$BZ$110)*(Propagações_TOT_GRANDE!$B$6:$BZ$6=$B39&amp;"I")*(Propagações_TOT_GRANDE!$A$7:$A$110&gt;=PREVS_SMAP!M$26)*(Propagações_TOT_GRANDE!$A$7:$A$110&lt;=PREVS_SMAP!M$27),0))</f>
        <v>0</v>
      </c>
      <c r="AK39" s="272">
        <f t="array" aca="1" ref="AK39" ca="1">SUM(IFERROR(ISNUMBER(Propagações_TOT_GRANDE!$B$7:$BZ$110)*(Propagações_TOT_GRANDE!$B$6:$BZ$6=$B39&amp;"I")*(Propagações_TOT_GRANDE!$A$7:$A$110&gt;=PREVS_SMAP!N$26)*(Propagações_TOT_GRANDE!$A$7:$A$110&lt;=PREVS_SMAP!N$27),0))</f>
        <v>0</v>
      </c>
      <c r="AL39" s="272">
        <f t="array" aca="1" ref="AL39" ca="1">SUM(IFERROR(ISNUMBER(Propagações_TOT_GRANDE!$B$7:$BZ$110)*(Propagações_TOT_GRANDE!$B$6:$BZ$6=$B39&amp;"I")*(Propagações_TOT_GRANDE!$A$7:$A$110&gt;=PREVS_SMAP!O$26)*(Propagações_TOT_GRANDE!$A$7:$A$110&lt;=PREVS_SMAP!O$27),0))</f>
        <v>0</v>
      </c>
      <c r="AN39" s="121"/>
      <c r="AO39" s="121">
        <f t="shared" ca="1" si="9"/>
        <v>453</v>
      </c>
      <c r="AP39" s="121" t="b">
        <f t="shared" si="10"/>
        <v>1</v>
      </c>
      <c r="AQ39" s="272">
        <f ca="1">+AVERAGEIFS(TABELA_VAZAO[qnat],TABELA_VAZAO[Posto],$R39,TABELA_VAZAO[Data],AQ$27)</f>
        <v>1094</v>
      </c>
      <c r="AR39" s="272">
        <f ca="1">+AVERAGEIFS(TABELA_VAZAO[qnat],TABELA_VAZAO[Posto],$R39,TABELA_VAZAO[Data],AR$27)</f>
        <v>984</v>
      </c>
      <c r="AS39" s="272">
        <f ca="1">+AVERAGEIFS(TABELA_VAZAO[qnat],TABELA_VAZAO[Posto],$R39,TABELA_VAZAO[Data],AS$27)</f>
        <v>907</v>
      </c>
      <c r="AT39" s="272">
        <f ca="1">+AVERAGEIFS(TABELA_VAZAO[qnat],TABELA_VAZAO[Posto],$R39,TABELA_VAZAO[Data],AT$27)</f>
        <v>895</v>
      </c>
      <c r="AU39" s="121">
        <f ca="1">+AVERAGEIFS(TABELA_VAZAO[qnat],TABELA_VAZAO[Posto],$R39,TABELA_VAZAO[Data],AU$27)</f>
        <v>959</v>
      </c>
      <c r="AV39" s="272">
        <f ca="1">IFERROR(AVERAGEIFS(TABELA_VAZAO[qnat],TABELA_VAZAO[Posto],$R39,TABELA_VAZAO[Data],AV$27),AU39+$BB39*EXP(AV$26))</f>
        <v>1052</v>
      </c>
      <c r="AW39" s="159">
        <f ca="1">IFERROR(AVERAGEIFS(TABELA_VAZAO[qnat],TABELA_VAZAO[Posto],$R39,TABELA_VAZAO[Data],AW$27),AV39+$BB39*EXP(AW$26))</f>
        <v>1161</v>
      </c>
      <c r="AX39" s="325">
        <f ca="1">IFERROR(AVERAGEIFS(TABELA_VAZAO[qnat],TABELA_VAZAO[Posto],$R39,TABELA_VAZAO[Data],AX$27),AW39+$BB39*EXP(AX$26))</f>
        <v>1241.7142857142858</v>
      </c>
      <c r="AY39" s="325">
        <f ca="1">IFERROR(AVERAGEIFS(TABELA_VAZAO[qnat],TABELA_VAZAO[Posto],$R39,TABELA_VAZAO[Data],AY$27),AX39+$BB39*EXP(AY$26))</f>
        <v>1295.8186894300195</v>
      </c>
      <c r="AZ39" s="326">
        <f ca="1">IFERROR(AVERAGEIFS(TABELA_VAZAO[qnat],TABELA_VAZAO[Posto],$R39,TABELA_VAZAO[Data],AZ$27),AY39+$BB39*EXP(AZ$26))</f>
        <v>1332.0859558194809</v>
      </c>
      <c r="BA39" s="326">
        <f ca="1">IFERROR(AVERAGEIFS(TABELA_VAZAO[qnat],TABELA_VAZAO[Posto],$R39,TABELA_VAZAO[Data],BA$27),AZ39+$BB39*EXP(BA$26))</f>
        <v>1356.3966314952515</v>
      </c>
      <c r="BB39" s="121">
        <f t="shared" ca="1" si="11"/>
        <v>80.714285714285708</v>
      </c>
      <c r="BC39" s="272">
        <f t="shared" ca="1" si="13"/>
        <v>-12</v>
      </c>
      <c r="BD39" s="272">
        <f t="shared" ca="1" si="12"/>
        <v>64</v>
      </c>
      <c r="BE39" s="272">
        <f t="shared" ca="1" si="12"/>
        <v>93</v>
      </c>
      <c r="BF39" s="272">
        <f t="shared" ca="1" si="12"/>
        <v>109</v>
      </c>
      <c r="BG39"/>
    </row>
    <row r="40" spans="1:59" x14ac:dyDescent="0.2">
      <c r="A40" s="294">
        <v>16</v>
      </c>
      <c r="B40" s="283" t="str">
        <f t="shared" si="7"/>
        <v>16_VN</v>
      </c>
      <c r="C40" s="138" t="s">
        <v>47</v>
      </c>
      <c r="D40" s="132">
        <f t="array" aca="1" ref="D40" ca="1">SUM(IFERROR(Propagações_TOT_GRANDE!$B$7:$BZ$110*(Propagações_TOT_GRANDE!$B$6:$BZ$6=$B40&amp;"A")*(Propagações_TOT_GRANDE!$A$7:$A$110&gt;=PREVS_SMAP!D$26)*(Propagações_TOT_GRANDE!$A$7:$A$110&lt;=PREVS_SMAP!D$27),0))/7</f>
        <v>0</v>
      </c>
      <c r="E40" s="132">
        <f t="array" aca="1" ref="E40" ca="1">SUM(IFERROR(Propagações_TOT_GRANDE!$B$7:$BZ$110*(Propagações_TOT_GRANDE!$B$6:$BZ$6=$B40&amp;"A")*(Propagações_TOT_GRANDE!$A$7:$A$110&gt;=PREVS_SMAP!E$26)*(Propagações_TOT_GRANDE!$A$7:$A$110&lt;=PREVS_SMAP!E$27),0))/7</f>
        <v>59.142857142857146</v>
      </c>
      <c r="F40" s="132">
        <f t="array" aca="1" ref="F40" ca="1">SUM(IFERROR(Propagações_TOT_GRANDE!$B$7:$BZ$110*(Propagações_TOT_GRANDE!$B$6:$BZ$6=$B40&amp;"A")*(Propagações_TOT_GRANDE!$A$7:$A$110&gt;=PREVS_SMAP!F$26)*(Propagações_TOT_GRANDE!$A$7:$A$110&lt;=PREVS_SMAP!F$27),0))/7</f>
        <v>48</v>
      </c>
      <c r="G40" s="132" t="e">
        <f t="array" aca="1" ref="G40" ca="1">IF(AD40&lt;7,NA(),SUM(IFERROR(Propagações_TOT_GRANDE!$B$7:$BZ$110*(Propagações_TOT_GRANDE!$B$6:$BZ$6=$B40&amp;"I")*(Propagações_TOT_GRANDE!$A$7:$A$110&gt;=PREVS_SMAP!G$26)*(Propagações_TOT_GRANDE!$A$7:$A$110&lt;=PREVS_SMAP!G$27),0))/7+G39                        )</f>
        <v>#N/A</v>
      </c>
      <c r="H40" s="132" t="e">
        <f t="array" aca="1" ref="H40" ca="1">IF(AE40&lt;7,NA(),SUM(IFERROR(Propagações_TOT_GRANDE!$B$7:$BZ$110*(Propagações_TOT_GRANDE!$B$6:$BZ$6=$B40&amp;"I")*(Propagações_TOT_GRANDE!$A$7:$A$110&gt;=PREVS_SMAP!H$26)*(Propagações_TOT_GRANDE!$A$7:$A$110&lt;=PREVS_SMAP!H$27),0))/7+H39                        )</f>
        <v>#N/A</v>
      </c>
      <c r="I40" s="132" t="e">
        <f t="array" aca="1" ref="I40" ca="1">IF(AF40&lt;7,NA(),SUM(IFERROR(Propagações_TOT_GRANDE!$B$7:$BZ$110*(Propagações_TOT_GRANDE!$B$6:$BZ$6=$B40&amp;"I")*(Propagações_TOT_GRANDE!$A$7:$A$110&gt;=PREVS_SMAP!I$26)*(Propagações_TOT_GRANDE!$A$7:$A$110&lt;=PREVS_SMAP!I$27),0))/7+I39                        )</f>
        <v>#N/A</v>
      </c>
      <c r="J40" s="132" t="e">
        <f t="array" aca="1" ref="J40" ca="1">IF(AG40&lt;7,NA(),SUM(IFERROR(Propagações_TOT_GRANDE!$B$7:$BZ$110*(Propagações_TOT_GRANDE!$B$6:$BZ$6=$B40&amp;"I")*(Propagações_TOT_GRANDE!$A$7:$A$110&gt;=PREVS_SMAP!J$26)*(Propagações_TOT_GRANDE!$A$7:$A$110&lt;=PREVS_SMAP!J$27),0))/7+J39                        )</f>
        <v>#N/A</v>
      </c>
      <c r="K40" s="132" t="e">
        <f t="array" aca="1" ref="K40" ca="1">IF(AH40&lt;7,NA(),SUM(IFERROR(Propagações_TOT_GRANDE!$B$7:$BZ$110*(Propagações_TOT_GRANDE!$B$6:$BZ$6=$B40&amp;"I")*(Propagações_TOT_GRANDE!$A$7:$A$110&gt;=PREVS_SMAP!K$26)*(Propagações_TOT_GRANDE!$A$7:$A$110&lt;=PREVS_SMAP!K$27),0))/7+K39                        )</f>
        <v>#N/A</v>
      </c>
      <c r="L40" s="132" t="e">
        <f t="array" aca="1" ref="L40" ca="1">IF(AI40&lt;7,NA(),SUM(IFERROR(Propagações_TOT_GRANDE!$B$7:$BZ$110*(Propagações_TOT_GRANDE!$B$6:$BZ$6=$B40&amp;"I")*(Propagações_TOT_GRANDE!$A$7:$A$110&gt;=PREVS_SMAP!L$26)*(Propagações_TOT_GRANDE!$A$7:$A$110&lt;=PREVS_SMAP!L$27),0))/7+L39                        )</f>
        <v>#N/A</v>
      </c>
      <c r="M40" s="132" t="e">
        <f t="array" aca="1" ref="M40" ca="1">IF(AJ40&lt;7,NA(),SUM(IFERROR(Propagações_TOT_GRANDE!$B$7:$BZ$110*(Propagações_TOT_GRANDE!$B$6:$BZ$6=$B40&amp;"I")*(Propagações_TOT_GRANDE!$A$7:$A$110&gt;=PREVS_SMAP!M$26)*(Propagações_TOT_GRANDE!$A$7:$A$110&lt;=PREVS_SMAP!M$27),0))/7+M39                        )</f>
        <v>#N/A</v>
      </c>
      <c r="N40" s="132" t="e">
        <f t="array" aca="1" ref="N40" ca="1">IF(AK40&lt;7,NA(),SUM(IFERROR(Propagações_TOT_GRANDE!$B$7:$BZ$110*(Propagações_TOT_GRANDE!$B$6:$BZ$6=$B40&amp;"I")*(Propagações_TOT_GRANDE!$A$7:$A$110&gt;=PREVS_SMAP!N$26)*(Propagações_TOT_GRANDE!$A$7:$A$110&lt;=PREVS_SMAP!N$27),0))/7+N39                        )</f>
        <v>#N/A</v>
      </c>
      <c r="O40" s="132" t="e">
        <f t="array" aca="1" ref="O40" ca="1">IF(AL40&lt;7,NA(),SUM(IFERROR(Propagações_TOT_GRANDE!$B$7:$BZ$110*(Propagações_TOT_GRANDE!$B$6:$BZ$6=$B40&amp;"I")*(Propagações_TOT_GRANDE!$A$7:$A$110&gt;=PREVS_SMAP!O$26)*(Propagações_TOT_GRANDE!$A$7:$A$110&lt;=PREVS_SMAP!O$27),0))/7+O39                        )</f>
        <v>#N/A</v>
      </c>
      <c r="P40" s="132"/>
      <c r="R40">
        <v>13</v>
      </c>
      <c r="S40" s="40"/>
      <c r="T40" s="40"/>
      <c r="U40" s="131"/>
      <c r="V40" s="131"/>
      <c r="W40" s="131"/>
      <c r="X40" s="131"/>
      <c r="Y40" s="131"/>
      <c r="Z40" s="131"/>
      <c r="AA40" s="131"/>
      <c r="AB40" s="131"/>
      <c r="AD40" s="272">
        <f t="array" aca="1" ref="AD40" ca="1">SUM(IFERROR(ISNUMBER(Propagações_TOT_GRANDE!$B$7:$BZ$110)*(Propagações_TOT_GRANDE!$B$6:$BZ$6=$B40&amp;"I")*(Propagações_TOT_GRANDE!$A$7:$A$110&gt;=PREVS_SMAP!G$26)*(Propagações_TOT_GRANDE!$A$7:$A$110&lt;=PREVS_SMAP!G$27),0))</f>
        <v>0</v>
      </c>
      <c r="AE40" s="272">
        <f t="array" aca="1" ref="AE40" ca="1">SUM(IFERROR(ISNUMBER(Propagações_TOT_GRANDE!$B$7:$BZ$110)*(Propagações_TOT_GRANDE!$B$6:$BZ$6=$B40&amp;"I")*(Propagações_TOT_GRANDE!$A$7:$A$110&gt;=PREVS_SMAP!H$26)*(Propagações_TOT_GRANDE!$A$7:$A$110&lt;=PREVS_SMAP!H$27),0))</f>
        <v>0</v>
      </c>
      <c r="AF40" s="272">
        <f t="array" aca="1" ref="AF40" ca="1">SUM(IFERROR(ISNUMBER(Propagações_TOT_GRANDE!$B$7:$BZ$110)*(Propagações_TOT_GRANDE!$B$6:$BZ$6=$B40&amp;"I")*(Propagações_TOT_GRANDE!$A$7:$A$110&gt;=PREVS_SMAP!I$26)*(Propagações_TOT_GRANDE!$A$7:$A$110&lt;=PREVS_SMAP!I$27),0))</f>
        <v>0</v>
      </c>
      <c r="AG40" s="272">
        <f t="array" aca="1" ref="AG40" ca="1">SUM(IFERROR(ISNUMBER(Propagações_TOT_GRANDE!$B$7:$BZ$110)*(Propagações_TOT_GRANDE!$B$6:$BZ$6=$B40&amp;"I")*(Propagações_TOT_GRANDE!$A$7:$A$110&gt;=PREVS_SMAP!J$26)*(Propagações_TOT_GRANDE!$A$7:$A$110&lt;=PREVS_SMAP!J$27),0))</f>
        <v>0</v>
      </c>
      <c r="AH40" s="272">
        <f t="array" aca="1" ref="AH40" ca="1">SUM(IFERROR(ISNUMBER(Propagações_TOT_GRANDE!$B$7:$BZ$110)*(Propagações_TOT_GRANDE!$B$6:$BZ$6=$B40&amp;"I")*(Propagações_TOT_GRANDE!$A$7:$A$110&gt;=PREVS_SMAP!K$26)*(Propagações_TOT_GRANDE!$A$7:$A$110&lt;=PREVS_SMAP!K$27),0))</f>
        <v>0</v>
      </c>
      <c r="AI40" s="272">
        <f t="array" aca="1" ref="AI40" ca="1">SUM(IFERROR(ISNUMBER(Propagações_TOT_GRANDE!$B$7:$BZ$110)*(Propagações_TOT_GRANDE!$B$6:$BZ$6=$B40&amp;"I")*(Propagações_TOT_GRANDE!$A$7:$A$110&gt;=PREVS_SMAP!L$26)*(Propagações_TOT_GRANDE!$A$7:$A$110&lt;=PREVS_SMAP!L$27),0))</f>
        <v>0</v>
      </c>
      <c r="AJ40" s="272">
        <f t="array" aca="1" ref="AJ40" ca="1">SUM(IFERROR(ISNUMBER(Propagações_TOT_GRANDE!$B$7:$BZ$110)*(Propagações_TOT_GRANDE!$B$6:$BZ$6=$B40&amp;"I")*(Propagações_TOT_GRANDE!$A$7:$A$110&gt;=PREVS_SMAP!M$26)*(Propagações_TOT_GRANDE!$A$7:$A$110&lt;=PREVS_SMAP!M$27),0))</f>
        <v>0</v>
      </c>
      <c r="AK40" s="272">
        <f t="array" aca="1" ref="AK40" ca="1">SUM(IFERROR(ISNUMBER(Propagações_TOT_GRANDE!$B$7:$BZ$110)*(Propagações_TOT_GRANDE!$B$6:$BZ$6=$B40&amp;"I")*(Propagações_TOT_GRANDE!$A$7:$A$110&gt;=PREVS_SMAP!N$26)*(Propagações_TOT_GRANDE!$A$7:$A$110&lt;=PREVS_SMAP!N$27),0))</f>
        <v>0</v>
      </c>
      <c r="AL40" s="272">
        <f t="array" aca="1" ref="AL40" ca="1">SUM(IFERROR(ISNUMBER(Propagações_TOT_GRANDE!$B$7:$BZ$110)*(Propagações_TOT_GRANDE!$B$6:$BZ$6=$B40&amp;"I")*(Propagações_TOT_GRANDE!$A$7:$A$110&gt;=PREVS_SMAP!O$26)*(Propagações_TOT_GRANDE!$A$7:$A$110&lt;=PREVS_SMAP!O$27),0))</f>
        <v>0</v>
      </c>
      <c r="AN40" s="121"/>
      <c r="AO40" s="121" t="e">
        <f t="shared" si="9"/>
        <v>#DIV/0!</v>
      </c>
      <c r="AP40" s="121" t="b">
        <f t="shared" si="10"/>
        <v>0</v>
      </c>
      <c r="AU40" s="121"/>
      <c r="AV40" s="272"/>
      <c r="AW40" s="159"/>
      <c r="AX40" s="159"/>
      <c r="AY40" s="159"/>
      <c r="AZ40" s="157"/>
      <c r="BA40" s="157"/>
      <c r="BB40" s="121">
        <f t="shared" ca="1" si="11"/>
        <v>0</v>
      </c>
      <c r="BC40" s="272">
        <f t="shared" ca="1" si="13"/>
        <v>0</v>
      </c>
      <c r="BD40" s="272">
        <f t="shared" ca="1" si="12"/>
        <v>0</v>
      </c>
      <c r="BE40" s="272">
        <f t="shared" ca="1" si="12"/>
        <v>0</v>
      </c>
      <c r="BF40" s="272">
        <f t="shared" ca="1" si="12"/>
        <v>0</v>
      </c>
      <c r="BG40"/>
    </row>
    <row r="41" spans="1:59" x14ac:dyDescent="0.2">
      <c r="A41" s="294">
        <v>17</v>
      </c>
      <c r="B41" s="283" t="str">
        <f t="shared" si="7"/>
        <v>17_VN</v>
      </c>
      <c r="C41" s="240" t="s">
        <v>21</v>
      </c>
      <c r="D41" s="132">
        <f t="array" aca="1" ref="D41" ca="1">SUM(IFERROR(Propagações_TOT_GRANDE!$B$7:$BZ$110*(Propagações_TOT_GRANDE!$B$6:$BZ$6=$B41&amp;"A")*(Propagações_TOT_GRANDE!$A$7:$A$110&gt;=PREVS_SMAP!D$26)*(Propagações_TOT_GRANDE!$A$7:$A$110&lt;=PREVS_SMAP!D$27),0))/7</f>
        <v>0</v>
      </c>
      <c r="E41" s="132">
        <f t="array" aca="1" ref="E41" ca="1">SUM(IFERROR(Propagações_TOT_GRANDE!$B$7:$BZ$110*(Propagações_TOT_GRANDE!$B$6:$BZ$6=$B41&amp;"A")*(Propagações_TOT_GRANDE!$A$7:$A$110&gt;=PREVS_SMAP!E$26)*(Propagações_TOT_GRANDE!$A$7:$A$110&lt;=PREVS_SMAP!E$27),0))/7</f>
        <v>1404.4285714285713</v>
      </c>
      <c r="F41" s="132">
        <f t="array" aca="1" ref="F41" ca="1">SUM(IFERROR(Propagações_TOT_GRANDE!$B$7:$BZ$110*(Propagações_TOT_GRANDE!$B$6:$BZ$6=$B41&amp;"A")*(Propagações_TOT_GRANDE!$A$7:$A$110&gt;=PREVS_SMAP!F$26)*(Propagações_TOT_GRANDE!$A$7:$A$110&lt;=PREVS_SMAP!F$27),0))/7</f>
        <v>615.28571428571433</v>
      </c>
      <c r="G41" s="132" t="e">
        <f t="array" aca="1" ref="G41" ca="1">IF(AD41&lt;7,NA(),SUM(IFERROR(Propagações_TOT_GRANDE!$B$7:$BZ$110*(Propagações_TOT_GRANDE!$B$6:$BZ$6=$B41&amp;"I")*(Propagações_TOT_GRANDE!$A$7:$A$110&gt;=PREVS_SMAP!G$26)*(Propagações_TOT_GRANDE!$A$7:$A$110&lt;=PREVS_SMAP!G$27),0))/7+G40+G37                    )</f>
        <v>#N/A</v>
      </c>
      <c r="H41" s="132" t="e">
        <f t="array" aca="1" ref="H41" ca="1">IF(AE41&lt;7,NA(),SUM(IFERROR(Propagações_TOT_GRANDE!$B$7:$BZ$110*(Propagações_TOT_GRANDE!$B$6:$BZ$6=$B41&amp;"I")*(Propagações_TOT_GRANDE!$A$7:$A$110&gt;=PREVS_SMAP!H$26)*(Propagações_TOT_GRANDE!$A$7:$A$110&lt;=PREVS_SMAP!H$27),0))/7+H40+H37                    )</f>
        <v>#N/A</v>
      </c>
      <c r="I41" s="132" t="e">
        <f t="array" aca="1" ref="I41" ca="1">IF(AF41&lt;7,NA(),SUM(IFERROR(Propagações_TOT_GRANDE!$B$7:$BZ$110*(Propagações_TOT_GRANDE!$B$6:$BZ$6=$B41&amp;"I")*(Propagações_TOT_GRANDE!$A$7:$A$110&gt;=PREVS_SMAP!I$26)*(Propagações_TOT_GRANDE!$A$7:$A$110&lt;=PREVS_SMAP!I$27),0))/7+I40+I37                    )</f>
        <v>#N/A</v>
      </c>
      <c r="J41" s="132" t="e">
        <f t="array" aca="1" ref="J41" ca="1">IF(AG41&lt;7,NA(),SUM(IFERROR(Propagações_TOT_GRANDE!$B$7:$BZ$110*(Propagações_TOT_GRANDE!$B$6:$BZ$6=$B41&amp;"I")*(Propagações_TOT_GRANDE!$A$7:$A$110&gt;=PREVS_SMAP!J$26)*(Propagações_TOT_GRANDE!$A$7:$A$110&lt;=PREVS_SMAP!J$27),0))/7+J40+J37                    )</f>
        <v>#N/A</v>
      </c>
      <c r="K41" s="132" t="e">
        <f t="array" aca="1" ref="K41" ca="1">IF(AH41&lt;7,NA(),SUM(IFERROR(Propagações_TOT_GRANDE!$B$7:$BZ$110*(Propagações_TOT_GRANDE!$B$6:$BZ$6=$B41&amp;"I")*(Propagações_TOT_GRANDE!$A$7:$A$110&gt;=PREVS_SMAP!K$26)*(Propagações_TOT_GRANDE!$A$7:$A$110&lt;=PREVS_SMAP!K$27),0))/7+K40+K37                    )</f>
        <v>#N/A</v>
      </c>
      <c r="L41" s="132" t="e">
        <f t="array" aca="1" ref="L41" ca="1">IF(AI41&lt;7,NA(),SUM(IFERROR(Propagações_TOT_GRANDE!$B$7:$BZ$110*(Propagações_TOT_GRANDE!$B$6:$BZ$6=$B41&amp;"I")*(Propagações_TOT_GRANDE!$A$7:$A$110&gt;=PREVS_SMAP!L$26)*(Propagações_TOT_GRANDE!$A$7:$A$110&lt;=PREVS_SMAP!L$27),0))/7+L40+L37                    )</f>
        <v>#N/A</v>
      </c>
      <c r="M41" s="132" t="e">
        <f t="array" aca="1" ref="M41" ca="1">IF(AJ41&lt;7,NA(),SUM(IFERROR(Propagações_TOT_GRANDE!$B$7:$BZ$110*(Propagações_TOT_GRANDE!$B$6:$BZ$6=$B41&amp;"I")*(Propagações_TOT_GRANDE!$A$7:$A$110&gt;=PREVS_SMAP!M$26)*(Propagações_TOT_GRANDE!$A$7:$A$110&lt;=PREVS_SMAP!M$27),0))/7+M40+M37                    )</f>
        <v>#N/A</v>
      </c>
      <c r="N41" s="132" t="e">
        <f t="array" aca="1" ref="N41" ca="1">IF(AK41&lt;7,NA(),SUM(IFERROR(Propagações_TOT_GRANDE!$B$7:$BZ$110*(Propagações_TOT_GRANDE!$B$6:$BZ$6=$B41&amp;"I")*(Propagações_TOT_GRANDE!$A$7:$A$110&gt;=PREVS_SMAP!N$26)*(Propagações_TOT_GRANDE!$A$7:$A$110&lt;=PREVS_SMAP!N$27),0))/7+N40+N37                    )</f>
        <v>#N/A</v>
      </c>
      <c r="O41" s="132" t="e">
        <f t="array" aca="1" ref="O41" ca="1">IF(AL41&lt;7,NA(),SUM(IFERROR(Propagações_TOT_GRANDE!$B$7:$BZ$110*(Propagações_TOT_GRANDE!$B$6:$BZ$6=$B41&amp;"I")*(Propagações_TOT_GRANDE!$A$7:$A$110&gt;=PREVS_SMAP!O$26)*(Propagações_TOT_GRANDE!$A$7:$A$110&lt;=PREVS_SMAP!O$27),0))/7+O40+O37                    )</f>
        <v>#N/A</v>
      </c>
      <c r="P41" s="132"/>
      <c r="R41">
        <v>14</v>
      </c>
      <c r="S41" s="40">
        <f ca="1">AO41</f>
        <v>29</v>
      </c>
      <c r="T41" s="40" t="str">
        <f t="shared" ref="T41:AB45" ca="1" si="16">IFERROR(ROUND(INDEX(G$28:G$129,MATCH($R41,$A$28:$A$129,0)),0),"")</f>
        <v/>
      </c>
      <c r="U41" s="131" t="str">
        <f t="shared" ca="1" si="16"/>
        <v/>
      </c>
      <c r="V41" s="131" t="str">
        <f t="shared" ca="1" si="16"/>
        <v/>
      </c>
      <c r="W41" s="131" t="str">
        <f t="shared" ca="1" si="16"/>
        <v/>
      </c>
      <c r="X41" s="131" t="str">
        <f t="shared" ca="1" si="16"/>
        <v/>
      </c>
      <c r="Y41" s="131" t="str">
        <f t="shared" ca="1" si="16"/>
        <v/>
      </c>
      <c r="Z41" s="131" t="str">
        <f t="shared" ca="1" si="16"/>
        <v/>
      </c>
      <c r="AA41" s="131" t="str">
        <f t="shared" ca="1" si="16"/>
        <v/>
      </c>
      <c r="AB41" s="131" t="str">
        <f t="shared" ca="1" si="16"/>
        <v/>
      </c>
      <c r="AD41" s="272">
        <f t="array" aca="1" ref="AD41" ca="1">SUM(IFERROR(ISNUMBER(Propagações_TOT_GRANDE!$B$7:$BZ$110)*(Propagações_TOT_GRANDE!$B$6:$BZ$6=$B41&amp;"I")*(Propagações_TOT_GRANDE!$A$7:$A$110&gt;=PREVS_SMAP!G$26)*(Propagações_TOT_GRANDE!$A$7:$A$110&lt;=PREVS_SMAP!G$27),0))</f>
        <v>0</v>
      </c>
      <c r="AE41" s="272">
        <f t="array" aca="1" ref="AE41" ca="1">SUM(IFERROR(ISNUMBER(Propagações_TOT_GRANDE!$B$7:$BZ$110)*(Propagações_TOT_GRANDE!$B$6:$BZ$6=$B41&amp;"I")*(Propagações_TOT_GRANDE!$A$7:$A$110&gt;=PREVS_SMAP!H$26)*(Propagações_TOT_GRANDE!$A$7:$A$110&lt;=PREVS_SMAP!H$27),0))</f>
        <v>0</v>
      </c>
      <c r="AF41" s="272">
        <f t="array" aca="1" ref="AF41" ca="1">SUM(IFERROR(ISNUMBER(Propagações_TOT_GRANDE!$B$7:$BZ$110)*(Propagações_TOT_GRANDE!$B$6:$BZ$6=$B41&amp;"I")*(Propagações_TOT_GRANDE!$A$7:$A$110&gt;=PREVS_SMAP!I$26)*(Propagações_TOT_GRANDE!$A$7:$A$110&lt;=PREVS_SMAP!I$27),0))</f>
        <v>0</v>
      </c>
      <c r="AG41" s="272">
        <f t="array" aca="1" ref="AG41" ca="1">SUM(IFERROR(ISNUMBER(Propagações_TOT_GRANDE!$B$7:$BZ$110)*(Propagações_TOT_GRANDE!$B$6:$BZ$6=$B41&amp;"I")*(Propagações_TOT_GRANDE!$A$7:$A$110&gt;=PREVS_SMAP!J$26)*(Propagações_TOT_GRANDE!$A$7:$A$110&lt;=PREVS_SMAP!J$27),0))</f>
        <v>0</v>
      </c>
      <c r="AH41" s="272">
        <f t="array" aca="1" ref="AH41" ca="1">SUM(IFERROR(ISNUMBER(Propagações_TOT_GRANDE!$B$7:$BZ$110)*(Propagações_TOT_GRANDE!$B$6:$BZ$6=$B41&amp;"I")*(Propagações_TOT_GRANDE!$A$7:$A$110&gt;=PREVS_SMAP!K$26)*(Propagações_TOT_GRANDE!$A$7:$A$110&lt;=PREVS_SMAP!K$27),0))</f>
        <v>0</v>
      </c>
      <c r="AI41" s="272">
        <f t="array" aca="1" ref="AI41" ca="1">SUM(IFERROR(ISNUMBER(Propagações_TOT_GRANDE!$B$7:$BZ$110)*(Propagações_TOT_GRANDE!$B$6:$BZ$6=$B41&amp;"I")*(Propagações_TOT_GRANDE!$A$7:$A$110&gt;=PREVS_SMAP!L$26)*(Propagações_TOT_GRANDE!$A$7:$A$110&lt;=PREVS_SMAP!L$27),0))</f>
        <v>0</v>
      </c>
      <c r="AJ41" s="272">
        <f t="array" aca="1" ref="AJ41" ca="1">SUM(IFERROR(ISNUMBER(Propagações_TOT_GRANDE!$B$7:$BZ$110)*(Propagações_TOT_GRANDE!$B$6:$BZ$6=$B41&amp;"I")*(Propagações_TOT_GRANDE!$A$7:$A$110&gt;=PREVS_SMAP!M$26)*(Propagações_TOT_GRANDE!$A$7:$A$110&lt;=PREVS_SMAP!M$27),0))</f>
        <v>0</v>
      </c>
      <c r="AK41" s="272">
        <f t="array" aca="1" ref="AK41" ca="1">SUM(IFERROR(ISNUMBER(Propagações_TOT_GRANDE!$B$7:$BZ$110)*(Propagações_TOT_GRANDE!$B$6:$BZ$6=$B41&amp;"I")*(Propagações_TOT_GRANDE!$A$7:$A$110&gt;=PREVS_SMAP!N$26)*(Propagações_TOT_GRANDE!$A$7:$A$110&lt;=PREVS_SMAP!N$27),0))</f>
        <v>0</v>
      </c>
      <c r="AL41" s="272">
        <f t="array" aca="1" ref="AL41" ca="1">SUM(IFERROR(ISNUMBER(Propagações_TOT_GRANDE!$B$7:$BZ$110)*(Propagações_TOT_GRANDE!$B$6:$BZ$6=$B41&amp;"I")*(Propagações_TOT_GRANDE!$A$7:$A$110&gt;=PREVS_SMAP!O$26)*(Propagações_TOT_GRANDE!$A$7:$A$110&lt;=PREVS_SMAP!O$27),0))</f>
        <v>0</v>
      </c>
      <c r="AN41" s="121"/>
      <c r="AO41" s="121">
        <f t="shared" ca="1" si="9"/>
        <v>29</v>
      </c>
      <c r="AP41" s="121" t="b">
        <f t="shared" si="10"/>
        <v>1</v>
      </c>
      <c r="AQ41" s="272">
        <f ca="1">+AVERAGEIFS(TABELA_VAZAO[qnat],TABELA_VAZAO[Posto],$R41,TABELA_VAZAO[Data],AQ$27)</f>
        <v>29</v>
      </c>
      <c r="AR41" s="272">
        <f ca="1">+AVERAGEIFS(TABELA_VAZAO[qnat],TABELA_VAZAO[Posto],$R41,TABELA_VAZAO[Data],AR$27)</f>
        <v>36</v>
      </c>
      <c r="AS41" s="272">
        <f ca="1">+AVERAGEIFS(TABELA_VAZAO[qnat],TABELA_VAZAO[Posto],$R41,TABELA_VAZAO[Data],AS$27)</f>
        <v>48</v>
      </c>
      <c r="AT41" s="272">
        <f ca="1">+AVERAGEIFS(TABELA_VAZAO[qnat],TABELA_VAZAO[Posto],$R41,TABELA_VAZAO[Data],AT$27)</f>
        <v>65</v>
      </c>
      <c r="AU41" s="121">
        <f ca="1">+AVERAGEIFS(TABELA_VAZAO[qnat],TABELA_VAZAO[Posto],$R41,TABELA_VAZAO[Data],AU$27)</f>
        <v>70</v>
      </c>
      <c r="AV41" s="272">
        <f ca="1">IFERROR(AVERAGEIFS(TABELA_VAZAO[qnat],TABELA_VAZAO[Posto],$R41,TABELA_VAZAO[Data],AV$27),AU41+$BB41*EXP(AV$26))</f>
        <v>68</v>
      </c>
      <c r="AW41" s="159">
        <f ca="1">IFERROR(AVERAGEIFS(TABELA_VAZAO[qnat],TABELA_VAZAO[Posto],$R41,TABELA_VAZAO[Data],AW$27),AV41+$BB41*EXP(AW$26))</f>
        <v>65</v>
      </c>
      <c r="AX41" s="325">
        <f ca="1">IFERROR(AVERAGEIFS(TABELA_VAZAO[qnat],TABELA_VAZAO[Posto],$R41,TABELA_VAZAO[Data],AX$27),AW41+$BB41*EXP(AX$26))</f>
        <v>66.285714285714292</v>
      </c>
      <c r="AY41" s="325">
        <f ca="1">IFERROR(AVERAGEIFS(TABELA_VAZAO[qnat],TABELA_VAZAO[Posto],$R41,TABELA_VAZAO[Data],AY$27),AX41+$BB41*EXP(AY$26))</f>
        <v>67.147554344902971</v>
      </c>
      <c r="AZ41" s="326">
        <f ca="1">IFERROR(AVERAGEIFS(TABELA_VAZAO[qnat],TABELA_VAZAO[Posto],$R41,TABELA_VAZAO[Data],AZ$27),AY41+$BB41*EXP(AZ$26))</f>
        <v>67.725263013053691</v>
      </c>
      <c r="BA41" s="326">
        <f ca="1">IFERROR(AVERAGEIFS(TABELA_VAZAO[qnat],TABELA_VAZAO[Posto],$R41,TABELA_VAZAO[Data],BA$27),AZ41+$BB41*EXP(BA$26))</f>
        <v>68.112512714083664</v>
      </c>
      <c r="BB41" s="121">
        <f t="shared" ca="1" si="11"/>
        <v>1.2857142857142858</v>
      </c>
      <c r="BC41" s="272">
        <f t="shared" ca="1" si="13"/>
        <v>17</v>
      </c>
      <c r="BD41" s="272">
        <f t="shared" ca="1" si="12"/>
        <v>5</v>
      </c>
      <c r="BE41" s="272">
        <f t="shared" ca="1" si="12"/>
        <v>-2</v>
      </c>
      <c r="BF41" s="272">
        <f t="shared" ca="1" si="12"/>
        <v>-3</v>
      </c>
      <c r="BG41"/>
    </row>
    <row r="42" spans="1:59" x14ac:dyDescent="0.2">
      <c r="A42" s="294">
        <v>18</v>
      </c>
      <c r="B42" s="283" t="str">
        <f t="shared" si="7"/>
        <v>18_VN</v>
      </c>
      <c r="C42" s="240" t="s">
        <v>16</v>
      </c>
      <c r="D42" s="132">
        <f t="array" aca="1" ref="D42" ca="1">SUM(IFERROR(Propagações_TOT_GRANDE!$B$7:$BZ$110*(Propagações_TOT_GRANDE!$B$6:$BZ$6=$B42&amp;"A")*(Propagações_TOT_GRANDE!$A$7:$A$110&gt;=PREVS_SMAP!D$26)*(Propagações_TOT_GRANDE!$A$7:$A$110&lt;=PREVS_SMAP!D$27),0))/7</f>
        <v>0</v>
      </c>
      <c r="E42" s="132">
        <f t="array" aca="1" ref="E42" ca="1">SUM(IFERROR(Propagações_TOT_GRANDE!$B$7:$BZ$110*(Propagações_TOT_GRANDE!$B$6:$BZ$6=$B42&amp;"A")*(Propagações_TOT_GRANDE!$A$7:$A$110&gt;=PREVS_SMAP!E$26)*(Propagações_TOT_GRANDE!$A$7:$A$110&lt;=PREVS_SMAP!E$27),0))/7</f>
        <v>1796.8571428571429</v>
      </c>
      <c r="F42" s="132">
        <f t="array" aca="1" ref="F42" ca="1">SUM(IFERROR(Propagações_TOT_GRANDE!$B$7:$BZ$110*(Propagações_TOT_GRANDE!$B$6:$BZ$6=$B42&amp;"A")*(Propagações_TOT_GRANDE!$A$7:$A$110&gt;=PREVS_SMAP!F$26)*(Propagações_TOT_GRANDE!$A$7:$A$110&lt;=PREVS_SMAP!F$27),0))/7</f>
        <v>698.14285714285711</v>
      </c>
      <c r="G42" s="132" t="e">
        <f t="array" aca="1" ref="G42" ca="1">IF(AD42&lt;7,NA(),SUM(IFERROR(Propagações_TOT_GRANDE!$B$7:$BZ$110*(Propagações_TOT_GRANDE!$B$6:$BZ$6=$B42&amp;"I")*(Propagações_TOT_GRANDE!$A$7:$A$110&gt;=PREVS_SMAP!G$26)*(Propagações_TOT_GRANDE!$A$7:$A$110&lt;=PREVS_SMAP!G$27),0))/7+G41                        )</f>
        <v>#N/A</v>
      </c>
      <c r="H42" s="132" t="e">
        <f t="array" aca="1" ref="H42" ca="1">IF(AE42&lt;7,NA(),SUM(IFERROR(Propagações_TOT_GRANDE!$B$7:$BZ$110*(Propagações_TOT_GRANDE!$B$6:$BZ$6=$B42&amp;"I")*(Propagações_TOT_GRANDE!$A$7:$A$110&gt;=PREVS_SMAP!H$26)*(Propagações_TOT_GRANDE!$A$7:$A$110&lt;=PREVS_SMAP!H$27),0))/7+H41                        )</f>
        <v>#N/A</v>
      </c>
      <c r="I42" s="132" t="e">
        <f t="array" aca="1" ref="I42" ca="1">IF(AF42&lt;7,NA(),SUM(IFERROR(Propagações_TOT_GRANDE!$B$7:$BZ$110*(Propagações_TOT_GRANDE!$B$6:$BZ$6=$B42&amp;"I")*(Propagações_TOT_GRANDE!$A$7:$A$110&gt;=PREVS_SMAP!I$26)*(Propagações_TOT_GRANDE!$A$7:$A$110&lt;=PREVS_SMAP!I$27),0))/7+I41                        )</f>
        <v>#N/A</v>
      </c>
      <c r="J42" s="132" t="e">
        <f t="array" aca="1" ref="J42" ca="1">IF(AG42&lt;7,NA(),SUM(IFERROR(Propagações_TOT_GRANDE!$B$7:$BZ$110*(Propagações_TOT_GRANDE!$B$6:$BZ$6=$B42&amp;"I")*(Propagações_TOT_GRANDE!$A$7:$A$110&gt;=PREVS_SMAP!J$26)*(Propagações_TOT_GRANDE!$A$7:$A$110&lt;=PREVS_SMAP!J$27),0))/7+J41                        )</f>
        <v>#N/A</v>
      </c>
      <c r="K42" s="132" t="e">
        <f t="array" aca="1" ref="K42" ca="1">IF(AH42&lt;7,NA(),SUM(IFERROR(Propagações_TOT_GRANDE!$B$7:$BZ$110*(Propagações_TOT_GRANDE!$B$6:$BZ$6=$B42&amp;"I")*(Propagações_TOT_GRANDE!$A$7:$A$110&gt;=PREVS_SMAP!K$26)*(Propagações_TOT_GRANDE!$A$7:$A$110&lt;=PREVS_SMAP!K$27),0))/7+K41                        )</f>
        <v>#N/A</v>
      </c>
      <c r="L42" s="132" t="e">
        <f t="array" aca="1" ref="L42" ca="1">IF(AI42&lt;7,NA(),SUM(IFERROR(Propagações_TOT_GRANDE!$B$7:$BZ$110*(Propagações_TOT_GRANDE!$B$6:$BZ$6=$B42&amp;"I")*(Propagações_TOT_GRANDE!$A$7:$A$110&gt;=PREVS_SMAP!L$26)*(Propagações_TOT_GRANDE!$A$7:$A$110&lt;=PREVS_SMAP!L$27),0))/7+L41                        )</f>
        <v>#N/A</v>
      </c>
      <c r="M42" s="132" t="e">
        <f t="array" aca="1" ref="M42" ca="1">IF(AJ42&lt;7,NA(),SUM(IFERROR(Propagações_TOT_GRANDE!$B$7:$BZ$110*(Propagações_TOT_GRANDE!$B$6:$BZ$6=$B42&amp;"I")*(Propagações_TOT_GRANDE!$A$7:$A$110&gt;=PREVS_SMAP!M$26)*(Propagações_TOT_GRANDE!$A$7:$A$110&lt;=PREVS_SMAP!M$27),0))/7+M41                        )</f>
        <v>#N/A</v>
      </c>
      <c r="N42" s="132" t="e">
        <f t="array" aca="1" ref="N42" ca="1">IF(AK42&lt;7,NA(),SUM(IFERROR(Propagações_TOT_GRANDE!$B$7:$BZ$110*(Propagações_TOT_GRANDE!$B$6:$BZ$6=$B42&amp;"I")*(Propagações_TOT_GRANDE!$A$7:$A$110&gt;=PREVS_SMAP!N$26)*(Propagações_TOT_GRANDE!$A$7:$A$110&lt;=PREVS_SMAP!N$27),0))/7+N41                        )</f>
        <v>#N/A</v>
      </c>
      <c r="O42" s="132" t="e">
        <f t="array" aca="1" ref="O42" ca="1">IF(AL42&lt;7,NA(),SUM(IFERROR(Propagações_TOT_GRANDE!$B$7:$BZ$110*(Propagações_TOT_GRANDE!$B$6:$BZ$6=$B42&amp;"I")*(Propagações_TOT_GRANDE!$A$7:$A$110&gt;=PREVS_SMAP!O$26)*(Propagações_TOT_GRANDE!$A$7:$A$110&lt;=PREVS_SMAP!O$27),0))/7+O41                        )</f>
        <v>#N/A</v>
      </c>
      <c r="P42" s="132"/>
      <c r="R42">
        <v>15</v>
      </c>
      <c r="S42" s="40">
        <f ca="1">AO42</f>
        <v>48</v>
      </c>
      <c r="T42" s="40" t="str">
        <f t="shared" ca="1" si="16"/>
        <v/>
      </c>
      <c r="U42" s="131" t="str">
        <f t="shared" ca="1" si="16"/>
        <v/>
      </c>
      <c r="V42" s="131" t="str">
        <f t="shared" ca="1" si="16"/>
        <v/>
      </c>
      <c r="W42" s="131" t="str">
        <f t="shared" ca="1" si="16"/>
        <v/>
      </c>
      <c r="X42" s="131" t="str">
        <f t="shared" ca="1" si="16"/>
        <v/>
      </c>
      <c r="Y42" s="131" t="str">
        <f t="shared" ca="1" si="16"/>
        <v/>
      </c>
      <c r="Z42" s="131" t="str">
        <f t="shared" ca="1" si="16"/>
        <v/>
      </c>
      <c r="AA42" s="131" t="str">
        <f t="shared" ca="1" si="16"/>
        <v/>
      </c>
      <c r="AB42" s="131" t="str">
        <f t="shared" ca="1" si="16"/>
        <v/>
      </c>
      <c r="AD42" s="272">
        <f t="array" aca="1" ref="AD42" ca="1">SUM(IFERROR(ISNUMBER(Propagações_TOT_GRANDE!$B$7:$BZ$110)*(Propagações_TOT_GRANDE!$B$6:$BZ$6=$B42&amp;"I")*(Propagações_TOT_GRANDE!$A$7:$A$110&gt;=PREVS_SMAP!G$26)*(Propagações_TOT_GRANDE!$A$7:$A$110&lt;=PREVS_SMAP!G$27),0))</f>
        <v>0</v>
      </c>
      <c r="AE42" s="272">
        <f t="array" aca="1" ref="AE42" ca="1">SUM(IFERROR(ISNUMBER(Propagações_TOT_GRANDE!$B$7:$BZ$110)*(Propagações_TOT_GRANDE!$B$6:$BZ$6=$B42&amp;"I")*(Propagações_TOT_GRANDE!$A$7:$A$110&gt;=PREVS_SMAP!H$26)*(Propagações_TOT_GRANDE!$A$7:$A$110&lt;=PREVS_SMAP!H$27),0))</f>
        <v>0</v>
      </c>
      <c r="AF42" s="272">
        <f t="array" aca="1" ref="AF42" ca="1">SUM(IFERROR(ISNUMBER(Propagações_TOT_GRANDE!$B$7:$BZ$110)*(Propagações_TOT_GRANDE!$B$6:$BZ$6=$B42&amp;"I")*(Propagações_TOT_GRANDE!$A$7:$A$110&gt;=PREVS_SMAP!I$26)*(Propagações_TOT_GRANDE!$A$7:$A$110&lt;=PREVS_SMAP!I$27),0))</f>
        <v>0</v>
      </c>
      <c r="AG42" s="272">
        <f t="array" aca="1" ref="AG42" ca="1">SUM(IFERROR(ISNUMBER(Propagações_TOT_GRANDE!$B$7:$BZ$110)*(Propagações_TOT_GRANDE!$B$6:$BZ$6=$B42&amp;"I")*(Propagações_TOT_GRANDE!$A$7:$A$110&gt;=PREVS_SMAP!J$26)*(Propagações_TOT_GRANDE!$A$7:$A$110&lt;=PREVS_SMAP!J$27),0))</f>
        <v>0</v>
      </c>
      <c r="AH42" s="272">
        <f t="array" aca="1" ref="AH42" ca="1">SUM(IFERROR(ISNUMBER(Propagações_TOT_GRANDE!$B$7:$BZ$110)*(Propagações_TOT_GRANDE!$B$6:$BZ$6=$B42&amp;"I")*(Propagações_TOT_GRANDE!$A$7:$A$110&gt;=PREVS_SMAP!K$26)*(Propagações_TOT_GRANDE!$A$7:$A$110&lt;=PREVS_SMAP!K$27),0))</f>
        <v>0</v>
      </c>
      <c r="AI42" s="272">
        <f t="array" aca="1" ref="AI42" ca="1">SUM(IFERROR(ISNUMBER(Propagações_TOT_GRANDE!$B$7:$BZ$110)*(Propagações_TOT_GRANDE!$B$6:$BZ$6=$B42&amp;"I")*(Propagações_TOT_GRANDE!$A$7:$A$110&gt;=PREVS_SMAP!L$26)*(Propagações_TOT_GRANDE!$A$7:$A$110&lt;=PREVS_SMAP!L$27),0))</f>
        <v>0</v>
      </c>
      <c r="AJ42" s="272">
        <f t="array" aca="1" ref="AJ42" ca="1">SUM(IFERROR(ISNUMBER(Propagações_TOT_GRANDE!$B$7:$BZ$110)*(Propagações_TOT_GRANDE!$B$6:$BZ$6=$B42&amp;"I")*(Propagações_TOT_GRANDE!$A$7:$A$110&gt;=PREVS_SMAP!M$26)*(Propagações_TOT_GRANDE!$A$7:$A$110&lt;=PREVS_SMAP!M$27),0))</f>
        <v>0</v>
      </c>
      <c r="AK42" s="272">
        <f t="array" aca="1" ref="AK42" ca="1">SUM(IFERROR(ISNUMBER(Propagações_TOT_GRANDE!$B$7:$BZ$110)*(Propagações_TOT_GRANDE!$B$6:$BZ$6=$B42&amp;"I")*(Propagações_TOT_GRANDE!$A$7:$A$110&gt;=PREVS_SMAP!N$26)*(Propagações_TOT_GRANDE!$A$7:$A$110&lt;=PREVS_SMAP!N$27),0))</f>
        <v>0</v>
      </c>
      <c r="AL42" s="272">
        <f t="array" aca="1" ref="AL42" ca="1">SUM(IFERROR(ISNUMBER(Propagações_TOT_GRANDE!$B$7:$BZ$110)*(Propagações_TOT_GRANDE!$B$6:$BZ$6=$B42&amp;"I")*(Propagações_TOT_GRANDE!$A$7:$A$110&gt;=PREVS_SMAP!O$26)*(Propagações_TOT_GRANDE!$A$7:$A$110&lt;=PREVS_SMAP!O$27),0))</f>
        <v>0</v>
      </c>
      <c r="AN42" s="121"/>
      <c r="AO42" s="121">
        <f t="shared" ca="1" si="9"/>
        <v>48</v>
      </c>
      <c r="AP42" s="121" t="b">
        <f t="shared" si="10"/>
        <v>1</v>
      </c>
      <c r="AQ42" s="272">
        <f ca="1">+AVERAGEIFS(TABELA_VAZAO[qnat],TABELA_VAZAO[Posto],$R42,TABELA_VAZAO[Data],AQ$27)</f>
        <v>47</v>
      </c>
      <c r="AR42" s="272">
        <f ca="1">+AVERAGEIFS(TABELA_VAZAO[qnat],TABELA_VAZAO[Posto],$R42,TABELA_VAZAO[Data],AR$27)</f>
        <v>56</v>
      </c>
      <c r="AS42" s="272">
        <f ca="1">+AVERAGEIFS(TABELA_VAZAO[qnat],TABELA_VAZAO[Posto],$R42,TABELA_VAZAO[Data],AS$27)</f>
        <v>72</v>
      </c>
      <c r="AT42" s="272">
        <f ca="1">+AVERAGEIFS(TABELA_VAZAO[qnat],TABELA_VAZAO[Posto],$R42,TABELA_VAZAO[Data],AT$27)</f>
        <v>97</v>
      </c>
      <c r="AU42" s="121">
        <f ca="1">+AVERAGEIFS(TABELA_VAZAO[qnat],TABELA_VAZAO[Posto],$R42,TABELA_VAZAO[Data],AU$27)</f>
        <v>112</v>
      </c>
      <c r="AV42" s="272">
        <f ca="1">IFERROR(AVERAGEIFS(TABELA_VAZAO[qnat],TABELA_VAZAO[Posto],$R42,TABELA_VAZAO[Data],AV$27),AU42+$BB42*EXP(AV$26))</f>
        <v>113</v>
      </c>
      <c r="AW42" s="159">
        <f ca="1">IFERROR(AVERAGEIFS(TABELA_VAZAO[qnat],TABELA_VAZAO[Posto],$R42,TABELA_VAZAO[Data],AW$27),AV42+$BB42*EXP(AW$26))</f>
        <v>108</v>
      </c>
      <c r="AX42" s="325">
        <f ca="1">IFERROR(AVERAGEIFS(TABELA_VAZAO[qnat],TABELA_VAZAO[Posto],$R42,TABELA_VAZAO[Data],AX$27),AW42+$BB42*EXP(AX$26))</f>
        <v>111.85714285714286</v>
      </c>
      <c r="AY42" s="325">
        <f ca="1">IFERROR(AVERAGEIFS(TABELA_VAZAO[qnat],TABELA_VAZAO[Posto],$R42,TABELA_VAZAO[Data],AY$27),AX42+$BB42*EXP(AY$26))</f>
        <v>114.4426630347089</v>
      </c>
      <c r="AZ42" s="326">
        <f ca="1">IFERROR(AVERAGEIFS(TABELA_VAZAO[qnat],TABELA_VAZAO[Posto],$R42,TABELA_VAZAO[Data],AZ$27),AY42+$BB42*EXP(AZ$26))</f>
        <v>116.17578903916105</v>
      </c>
      <c r="BA42" s="326">
        <f ca="1">IFERROR(AVERAGEIFS(TABELA_VAZAO[qnat],TABELA_VAZAO[Posto],$R42,TABELA_VAZAO[Data],BA$27),AZ42+$BB42*EXP(BA$26))</f>
        <v>117.33753814225096</v>
      </c>
      <c r="BB42" s="121">
        <f t="shared" ca="1" si="11"/>
        <v>3.8571428571428572</v>
      </c>
      <c r="BC42" s="272">
        <f t="shared" ca="1" si="13"/>
        <v>25</v>
      </c>
      <c r="BD42" s="272">
        <f t="shared" ca="1" si="12"/>
        <v>15</v>
      </c>
      <c r="BE42" s="272">
        <f t="shared" ca="1" si="12"/>
        <v>1</v>
      </c>
      <c r="BF42" s="272">
        <f t="shared" ca="1" si="12"/>
        <v>-5</v>
      </c>
      <c r="BG42"/>
    </row>
    <row r="43" spans="1:59" x14ac:dyDescent="0.2">
      <c r="A43" s="249"/>
      <c r="B43" s="240"/>
      <c r="C43" s="240"/>
      <c r="D43" s="240"/>
      <c r="E43" s="240"/>
      <c r="F43" s="148"/>
      <c r="G43" s="240"/>
      <c r="H43" s="240"/>
      <c r="I43" s="240"/>
      <c r="J43" s="240"/>
      <c r="K43" s="240"/>
      <c r="L43" s="240"/>
      <c r="M43" s="240"/>
      <c r="N43" s="240"/>
      <c r="O43" s="240"/>
      <c r="P43" s="142"/>
      <c r="R43">
        <v>16</v>
      </c>
      <c r="S43" s="40">
        <f ca="1">AO43</f>
        <v>48</v>
      </c>
      <c r="T43" s="40" t="str">
        <f t="shared" ca="1" si="16"/>
        <v/>
      </c>
      <c r="U43" s="131" t="str">
        <f t="shared" ca="1" si="16"/>
        <v/>
      </c>
      <c r="V43" s="131" t="str">
        <f t="shared" ca="1" si="16"/>
        <v/>
      </c>
      <c r="W43" s="131" t="str">
        <f t="shared" ca="1" si="16"/>
        <v/>
      </c>
      <c r="X43" s="131" t="str">
        <f t="shared" ca="1" si="16"/>
        <v/>
      </c>
      <c r="Y43" s="131" t="str">
        <f t="shared" ca="1" si="16"/>
        <v/>
      </c>
      <c r="Z43" s="131" t="str">
        <f t="shared" ca="1" si="16"/>
        <v/>
      </c>
      <c r="AA43" s="131" t="str">
        <f t="shared" ca="1" si="16"/>
        <v/>
      </c>
      <c r="AB43" s="131" t="str">
        <f t="shared" ca="1" si="16"/>
        <v/>
      </c>
      <c r="AD43" s="121"/>
      <c r="AE43" s="121"/>
      <c r="AF43" s="121"/>
      <c r="AG43" s="121"/>
      <c r="AH43" s="229"/>
      <c r="AN43" s="121"/>
      <c r="AO43" s="121">
        <f t="shared" ca="1" si="9"/>
        <v>48</v>
      </c>
      <c r="AP43" s="121" t="b">
        <f t="shared" si="10"/>
        <v>1</v>
      </c>
      <c r="AQ43" s="272">
        <f ca="1">+AVERAGEIFS(TABELA_VAZAO[qnat],TABELA_VAZAO[Posto],$R43,TABELA_VAZAO[Data],AQ$27)</f>
        <v>47</v>
      </c>
      <c r="AR43" s="272">
        <f ca="1">+AVERAGEIFS(TABELA_VAZAO[qnat],TABELA_VAZAO[Posto],$R43,TABELA_VAZAO[Data],AR$27)</f>
        <v>55</v>
      </c>
      <c r="AS43" s="272">
        <f ca="1">+AVERAGEIFS(TABELA_VAZAO[qnat],TABELA_VAZAO[Posto],$R43,TABELA_VAZAO[Data],AS$27)</f>
        <v>71</v>
      </c>
      <c r="AT43" s="272">
        <f ca="1">+AVERAGEIFS(TABELA_VAZAO[qnat],TABELA_VAZAO[Posto],$R43,TABELA_VAZAO[Data],AT$27)</f>
        <v>96</v>
      </c>
      <c r="AU43" s="121">
        <f ca="1">+AVERAGEIFS(TABELA_VAZAO[qnat],TABELA_VAZAO[Posto],$R43,TABELA_VAZAO[Data],AU$27)</f>
        <v>112</v>
      </c>
      <c r="AV43" s="272">
        <f ca="1">IFERROR(AVERAGEIFS(TABELA_VAZAO[qnat],TABELA_VAZAO[Posto],$R43,TABELA_VAZAO[Data],AV$27),AU43+$BB43*EXP(AV$26))</f>
        <v>114</v>
      </c>
      <c r="AW43" s="159">
        <f ca="1">IFERROR(AVERAGEIFS(TABELA_VAZAO[qnat],TABELA_VAZAO[Posto],$R43,TABELA_VAZAO[Data],AW$27),AV43+$BB43*EXP(AW$26))</f>
        <v>110</v>
      </c>
      <c r="AX43" s="325">
        <f ca="1">IFERROR(AVERAGEIFS(TABELA_VAZAO[qnat],TABELA_VAZAO[Posto],$R43,TABELA_VAZAO[Data],AX$27),AW43+$BB43*EXP(AX$26))</f>
        <v>114.71428571428571</v>
      </c>
      <c r="AY43" s="325">
        <f ca="1">IFERROR(AVERAGEIFS(TABELA_VAZAO[qnat],TABELA_VAZAO[Posto],$R43,TABELA_VAZAO[Data],AY$27),AX43+$BB43*EXP(AY$26))</f>
        <v>117.87436593131086</v>
      </c>
      <c r="AZ43" s="326">
        <f ca="1">IFERROR(AVERAGEIFS(TABELA_VAZAO[qnat],TABELA_VAZAO[Posto],$R43,TABELA_VAZAO[Data],AZ$27),AY43+$BB43*EXP(AZ$26))</f>
        <v>119.99263104786348</v>
      </c>
      <c r="BA43" s="326">
        <f ca="1">IFERROR(AVERAGEIFS(TABELA_VAZAO[qnat],TABELA_VAZAO[Posto],$R43,TABELA_VAZAO[Data],BA$27),AZ43+$BB43*EXP(BA$26))</f>
        <v>121.41254661830672</v>
      </c>
      <c r="BB43" s="121">
        <f t="shared" ca="1" si="11"/>
        <v>4.7142857142857144</v>
      </c>
      <c r="BC43" s="272">
        <f t="shared" ca="1" si="13"/>
        <v>25</v>
      </c>
      <c r="BD43" s="272">
        <f t="shared" ca="1" si="12"/>
        <v>16</v>
      </c>
      <c r="BE43" s="272">
        <f t="shared" ca="1" si="12"/>
        <v>2</v>
      </c>
      <c r="BF43" s="272">
        <f t="shared" ca="1" si="12"/>
        <v>-4</v>
      </c>
      <c r="BG43"/>
    </row>
    <row r="44" spans="1:59" x14ac:dyDescent="0.2">
      <c r="A44" s="294">
        <v>205</v>
      </c>
      <c r="B44" s="283" t="str">
        <f t="shared" ref="B44:B55" si="17">A44&amp;"_VN"</f>
        <v>205_VN</v>
      </c>
      <c r="C44" s="149" t="s">
        <v>26</v>
      </c>
      <c r="D44" s="132">
        <f t="array" aca="1" ref="D44" ca="1">SUM(IFERROR(Propagações_TOT_PARANAIBA!$B$7:$CA$110*(Propagações_TOT_PARANAIBA!$B$6:$CA$6=$B44&amp;"A")*(Propagações_TOT_PARANAIBA!$A$7:$A$110&gt;=PREVS_SMAP!D$26)*(Propagações_TOT_PARANAIBA!$A$7:$A$110&lt;=PREVS_SMAP!D$27),0))/7</f>
        <v>0</v>
      </c>
      <c r="E44" s="132">
        <f t="array" aca="1" ref="E44" ca="1">SUM(IFERROR(Propagações_TOT_PARANAIBA!$B$7:$CA$110*(Propagações_TOT_PARANAIBA!$B$6:$CA$6=$B44&amp;"A")*(Propagações_TOT_PARANAIBA!$A$7:$A$110&gt;=PREVS_SMAP!E$26)*(Propagações_TOT_PARANAIBA!$A$7:$A$110&lt;=PREVS_SMAP!E$27),0))/7</f>
        <v>80.428571428571431</v>
      </c>
      <c r="F44" s="132">
        <f t="array" aca="1" ref="F44" ca="1">SUM(IFERROR(Propagações_TOT_PARANAIBA!$B$7:$CA$110*(Propagações_TOT_PARANAIBA!$B$6:$CA$6=$B44&amp;"A")*(Propagações_TOT_PARANAIBA!$A$7:$A$110&gt;=PREVS_SMAP!F$26)*(Propagações_TOT_PARANAIBA!$A$7:$A$110&lt;=PREVS_SMAP!F$27),0))/7</f>
        <v>109.85714285714286</v>
      </c>
      <c r="G44" s="132" t="e">
        <f t="array" aca="1" ref="G44" ca="1">IF(AD44&lt;7,NA(),SUM(IFERROR(Propagações_TOT_PARANAIBA!$B$7:$CA$110*(Propagações_TOT_PARANAIBA!$B$6:$CA$6=$B44&amp;"I")*(Propagações_TOT_PARANAIBA!$A$7:$A$110&gt;=PREVS_SMAP!G$26)*(Propagações_TOT_PARANAIBA!$A$7:$A$110&lt;=PREVS_SMAP!G$27),0))/7                )</f>
        <v>#N/A</v>
      </c>
      <c r="H44" s="132" t="e">
        <f t="array" aca="1" ref="H44" ca="1">IF(AE44&lt;7,NA(),SUM(IFERROR(Propagações_TOT_PARANAIBA!$B$7:$CA$110*(Propagações_TOT_PARANAIBA!$B$6:$CA$6=$B44&amp;"I")*(Propagações_TOT_PARANAIBA!$A$7:$A$110&gt;=PREVS_SMAP!H$26)*(Propagações_TOT_PARANAIBA!$A$7:$A$110&lt;=PREVS_SMAP!H$27),0))/7                )</f>
        <v>#N/A</v>
      </c>
      <c r="I44" s="132" t="e">
        <f t="array" aca="1" ref="I44" ca="1">IF(AF44&lt;7,NA(),SUM(IFERROR(Propagações_TOT_PARANAIBA!$B$7:$CA$110*(Propagações_TOT_PARANAIBA!$B$6:$CA$6=$B44&amp;"I")*(Propagações_TOT_PARANAIBA!$A$7:$A$110&gt;=PREVS_SMAP!I$26)*(Propagações_TOT_PARANAIBA!$A$7:$A$110&lt;=PREVS_SMAP!I$27),0))/7                )</f>
        <v>#N/A</v>
      </c>
      <c r="J44" s="132" t="e">
        <f t="array" aca="1" ref="J44" ca="1">IF(AG44&lt;7,NA(),SUM(IFERROR(Propagações_TOT_PARANAIBA!$B$7:$CA$110*(Propagações_TOT_PARANAIBA!$B$6:$CA$6=$B44&amp;"I")*(Propagações_TOT_PARANAIBA!$A$7:$A$110&gt;=PREVS_SMAP!J$26)*(Propagações_TOT_PARANAIBA!$A$7:$A$110&lt;=PREVS_SMAP!J$27),0))/7                )</f>
        <v>#N/A</v>
      </c>
      <c r="K44" s="132" t="e">
        <f t="array" aca="1" ref="K44" ca="1">IF(AH44&lt;7,NA(),SUM(IFERROR(Propagações_TOT_PARANAIBA!$B$7:$CA$110*(Propagações_TOT_PARANAIBA!$B$6:$CA$6=$B44&amp;"I")*(Propagações_TOT_PARANAIBA!$A$7:$A$110&gt;=PREVS_SMAP!K$26)*(Propagações_TOT_PARANAIBA!$A$7:$A$110&lt;=PREVS_SMAP!K$27),0))/7                )</f>
        <v>#N/A</v>
      </c>
      <c r="L44" s="132" t="e">
        <f t="array" aca="1" ref="L44" ca="1">IF(AI44&lt;7,NA(),SUM(IFERROR(Propagações_TOT_PARANAIBA!$B$7:$CA$110*(Propagações_TOT_PARANAIBA!$B$6:$CA$6=$B44&amp;"I")*(Propagações_TOT_PARANAIBA!$A$7:$A$110&gt;=PREVS_SMAP!L$26)*(Propagações_TOT_PARANAIBA!$A$7:$A$110&lt;=PREVS_SMAP!L$27),0))/7                )</f>
        <v>#N/A</v>
      </c>
      <c r="M44" s="132" t="e">
        <f t="array" aca="1" ref="M44" ca="1">IF(AJ44&lt;7,NA(),SUM(IFERROR(Propagações_TOT_PARANAIBA!$B$7:$CA$110*(Propagações_TOT_PARANAIBA!$B$6:$CA$6=$B44&amp;"I")*(Propagações_TOT_PARANAIBA!$A$7:$A$110&gt;=PREVS_SMAP!M$26)*(Propagações_TOT_PARANAIBA!$A$7:$A$110&lt;=PREVS_SMAP!M$27),0))/7                )</f>
        <v>#N/A</v>
      </c>
      <c r="N44" s="132" t="e">
        <f t="array" aca="1" ref="N44" ca="1">IF(AK44&lt;7,NA(),SUM(IFERROR(Propagações_TOT_PARANAIBA!$B$7:$CA$110*(Propagações_TOT_PARANAIBA!$B$6:$CA$6=$B44&amp;"I")*(Propagações_TOT_PARANAIBA!$A$7:$A$110&gt;=PREVS_SMAP!N$26)*(Propagações_TOT_PARANAIBA!$A$7:$A$110&lt;=PREVS_SMAP!N$27),0))/7                )</f>
        <v>#N/A</v>
      </c>
      <c r="O44" s="132" t="e">
        <f t="array" aca="1" ref="O44" ca="1">IF(AL44&lt;7,NA(),SUM(IFERROR(Propagações_TOT_PARANAIBA!$B$7:$CA$110*(Propagações_TOT_PARANAIBA!$B$6:$CA$6=$B44&amp;"I")*(Propagações_TOT_PARANAIBA!$A$7:$A$110&gt;=PREVS_SMAP!O$26)*(Propagações_TOT_PARANAIBA!$A$7:$A$110&lt;=PREVS_SMAP!O$27),0))/7                )</f>
        <v>#N/A</v>
      </c>
      <c r="P44" s="132"/>
      <c r="R44">
        <v>17</v>
      </c>
      <c r="S44" s="40">
        <f ca="1">AO44</f>
        <v>615</v>
      </c>
      <c r="T44" s="40" t="str">
        <f t="shared" ca="1" si="16"/>
        <v/>
      </c>
      <c r="U44" s="131" t="str">
        <f t="shared" ca="1" si="16"/>
        <v/>
      </c>
      <c r="V44" s="131" t="str">
        <f t="shared" ca="1" si="16"/>
        <v/>
      </c>
      <c r="W44" s="131" t="str">
        <f t="shared" ca="1" si="16"/>
        <v/>
      </c>
      <c r="X44" s="131" t="str">
        <f t="shared" ca="1" si="16"/>
        <v/>
      </c>
      <c r="Y44" s="131" t="str">
        <f t="shared" ca="1" si="16"/>
        <v/>
      </c>
      <c r="Z44" s="131" t="str">
        <f t="shared" ca="1" si="16"/>
        <v/>
      </c>
      <c r="AA44" s="131" t="str">
        <f t="shared" ca="1" si="16"/>
        <v/>
      </c>
      <c r="AB44" s="131" t="str">
        <f t="shared" ca="1" si="16"/>
        <v/>
      </c>
      <c r="AD44" s="121">
        <f t="array" aca="1" ref="AD44" ca="1">SUM(IFERROR(ISNUMBER(Propagações_TOT_PARANAIBA!$B$7:$CA$110)*(Propagações_TOT_PARANAIBA!$B$6:$CA$6=$B44&amp;"I")*(Propagações_TOT_PARANAIBA!$A$7:$A$110&gt;=PREVS_SMAP!G$26)*(Propagações_TOT_PARANAIBA!$A$7:$A$110&lt;=PREVS_SMAP!G$27),0))</f>
        <v>0</v>
      </c>
      <c r="AE44" s="272">
        <f t="array" aca="1" ref="AE44" ca="1">SUM(IFERROR(ISNUMBER(Propagações_TOT_PARANAIBA!$B$7:$CA$110)*(Propagações_TOT_PARANAIBA!$B$6:$CA$6=$B44&amp;"I")*(Propagações_TOT_PARANAIBA!$A$7:$A$110&gt;=PREVS_SMAP!H$26)*(Propagações_TOT_PARANAIBA!$A$7:$A$110&lt;=PREVS_SMAP!H$27),0))</f>
        <v>0</v>
      </c>
      <c r="AF44" s="272">
        <f t="array" aca="1" ref="AF44" ca="1">SUM(IFERROR(ISNUMBER(Propagações_TOT_PARANAIBA!$B$7:$CA$110)*(Propagações_TOT_PARANAIBA!$B$6:$CA$6=$B44&amp;"I")*(Propagações_TOT_PARANAIBA!$A$7:$A$110&gt;=PREVS_SMAP!I$26)*(Propagações_TOT_PARANAIBA!$A$7:$A$110&lt;=PREVS_SMAP!I$27),0))</f>
        <v>0</v>
      </c>
      <c r="AG44" s="272">
        <f t="array" aca="1" ref="AG44" ca="1">SUM(IFERROR(ISNUMBER(Propagações_TOT_PARANAIBA!$B$7:$CA$110)*(Propagações_TOT_PARANAIBA!$B$6:$CA$6=$B44&amp;"I")*(Propagações_TOT_PARANAIBA!$A$7:$A$110&gt;=PREVS_SMAP!J$26)*(Propagações_TOT_PARANAIBA!$A$7:$A$110&lt;=PREVS_SMAP!J$27),0))</f>
        <v>0</v>
      </c>
      <c r="AH44" s="272">
        <f t="array" aca="1" ref="AH44" ca="1">SUM(IFERROR(ISNUMBER(Propagações_TOT_PARANAIBA!$B$7:$CA$110)*(Propagações_TOT_PARANAIBA!$B$6:$CA$6=$B44&amp;"I")*(Propagações_TOT_PARANAIBA!$A$7:$A$110&gt;=PREVS_SMAP!K$26)*(Propagações_TOT_PARANAIBA!$A$7:$A$110&lt;=PREVS_SMAP!K$27),0))</f>
        <v>0</v>
      </c>
      <c r="AI44" s="272">
        <f t="array" aca="1" ref="AI44" ca="1">SUM(IFERROR(ISNUMBER(Propagações_TOT_PARANAIBA!$B$7:$CA$110)*(Propagações_TOT_PARANAIBA!$B$6:$CA$6=$B44&amp;"I")*(Propagações_TOT_PARANAIBA!$A$7:$A$110&gt;=PREVS_SMAP!L$26)*(Propagações_TOT_PARANAIBA!$A$7:$A$110&lt;=PREVS_SMAP!L$27),0))</f>
        <v>0</v>
      </c>
      <c r="AJ44" s="272">
        <f t="array" aca="1" ref="AJ44" ca="1">SUM(IFERROR(ISNUMBER(Propagações_TOT_PARANAIBA!$B$7:$CA$110)*(Propagações_TOT_PARANAIBA!$B$6:$CA$6=$B44&amp;"I")*(Propagações_TOT_PARANAIBA!$A$7:$A$110&gt;=PREVS_SMAP!M$26)*(Propagações_TOT_PARANAIBA!$A$7:$A$110&lt;=PREVS_SMAP!M$27),0))</f>
        <v>0</v>
      </c>
      <c r="AK44" s="272">
        <f t="array" aca="1" ref="AK44" ca="1">SUM(IFERROR(ISNUMBER(Propagações_TOT_PARANAIBA!$B$7:$CA$110)*(Propagações_TOT_PARANAIBA!$B$6:$CA$6=$B44&amp;"I")*(Propagações_TOT_PARANAIBA!$A$7:$A$110&gt;=PREVS_SMAP!N$26)*(Propagações_TOT_PARANAIBA!$A$7:$A$110&lt;=PREVS_SMAP!N$27),0))</f>
        <v>0</v>
      </c>
      <c r="AL44" s="272">
        <f t="array" aca="1" ref="AL44" ca="1">SUM(IFERROR(ISNUMBER(Propagações_TOT_PARANAIBA!$B$7:$CA$110)*(Propagações_TOT_PARANAIBA!$B$6:$CA$6=$B44&amp;"I")*(Propagações_TOT_PARANAIBA!$A$7:$A$110&gt;=PREVS_SMAP!O$26)*(Propagações_TOT_PARANAIBA!$A$7:$A$110&lt;=PREVS_SMAP!O$27),0))</f>
        <v>0</v>
      </c>
      <c r="AN44" s="121"/>
      <c r="AO44" s="121">
        <f t="shared" ca="1" si="9"/>
        <v>615</v>
      </c>
      <c r="AP44" s="121" t="b">
        <f t="shared" si="10"/>
        <v>1</v>
      </c>
      <c r="AQ44" s="272">
        <f ca="1">+AVERAGEIFS(TABELA_VAZAO[qnat],TABELA_VAZAO[Posto],$R44,TABELA_VAZAO[Data],AQ$27)</f>
        <v>1455</v>
      </c>
      <c r="AR44" s="272">
        <f ca="1">+AVERAGEIFS(TABELA_VAZAO[qnat],TABELA_VAZAO[Posto],$R44,TABELA_VAZAO[Data],AR$27)</f>
        <v>1324</v>
      </c>
      <c r="AS44" s="272">
        <f ca="1">+AVERAGEIFS(TABELA_VAZAO[qnat],TABELA_VAZAO[Posto],$R44,TABELA_VAZAO[Data],AS$27)</f>
        <v>1207</v>
      </c>
      <c r="AT44" s="272">
        <f ca="1">+AVERAGEIFS(TABELA_VAZAO[qnat],TABELA_VAZAO[Posto],$R44,TABELA_VAZAO[Data],AT$27)</f>
        <v>1175</v>
      </c>
      <c r="AU44" s="121">
        <f ca="1">+AVERAGEIFS(TABELA_VAZAO[qnat],TABELA_VAZAO[Posto],$R44,TABELA_VAZAO[Data],AU$27)</f>
        <v>1262</v>
      </c>
      <c r="AV44" s="272">
        <f ca="1">IFERROR(AVERAGEIFS(TABELA_VAZAO[qnat],TABELA_VAZAO[Posto],$R44,TABELA_VAZAO[Data],AV$27),AU44+$BB44*EXP(AV$26))</f>
        <v>1423</v>
      </c>
      <c r="AW44" s="159">
        <f ca="1">IFERROR(AVERAGEIFS(TABELA_VAZAO[qnat],TABELA_VAZAO[Posto],$R44,TABELA_VAZAO[Data],AW$27),AV44+$BB44*EXP(AW$26))</f>
        <v>1622</v>
      </c>
      <c r="AX44" s="325">
        <f ca="1">IFERROR(AVERAGEIFS(TABELA_VAZAO[qnat],TABELA_VAZAO[Posto],$R44,TABELA_VAZAO[Data],AX$27),AW44+$BB44*EXP(AX$26))</f>
        <v>1761.1428571428571</v>
      </c>
      <c r="AY44" s="325">
        <f ca="1">IFERROR(AVERAGEIFS(TABELA_VAZAO[qnat],TABELA_VAZAO[Posto],$R44,TABELA_VAZAO[Data],AY$27),AX44+$BB44*EXP(AY$26))</f>
        <v>1854.4131035483874</v>
      </c>
      <c r="AZ44" s="326">
        <f ca="1">IFERROR(AVERAGEIFS(TABELA_VAZAO[qnat],TABELA_VAZAO[Posto],$R44,TABELA_VAZAO[Data],AZ$27),AY44+$BB44*EXP(AZ$26))</f>
        <v>1916.934019412698</v>
      </c>
      <c r="BA44" s="326">
        <f ca="1">IFERROR(AVERAGEIFS(TABELA_VAZAO[qnat],TABELA_VAZAO[Posto],$R44,TABELA_VAZAO[Data],BA$27),AZ44+$BB44*EXP(BA$26))</f>
        <v>1958.8430426130531</v>
      </c>
      <c r="BB44" s="121">
        <f t="shared" ca="1" si="11"/>
        <v>139.14285714285714</v>
      </c>
      <c r="BC44" s="272">
        <f t="shared" ca="1" si="13"/>
        <v>-32</v>
      </c>
      <c r="BD44" s="272">
        <f t="shared" ca="1" si="13"/>
        <v>87</v>
      </c>
      <c r="BE44" s="272">
        <f t="shared" ca="1" si="13"/>
        <v>161</v>
      </c>
      <c r="BF44" s="272">
        <f t="shared" ca="1" si="13"/>
        <v>199</v>
      </c>
      <c r="BG44"/>
    </row>
    <row r="45" spans="1:59" x14ac:dyDescent="0.2">
      <c r="A45" s="294">
        <v>23</v>
      </c>
      <c r="B45" s="283" t="str">
        <f t="shared" si="17"/>
        <v>23_VN</v>
      </c>
      <c r="C45" s="137" t="s">
        <v>58</v>
      </c>
      <c r="D45" s="132">
        <f t="array" aca="1" ref="D45" ca="1">SUM(IFERROR(Propagações_TOT_PARANAIBA!$B$7:$CA$110*(Propagações_TOT_PARANAIBA!$B$6:$CA$6=$B45&amp;"A")*(Propagações_TOT_PARANAIBA!$A$7:$A$110&gt;=PREVS_SMAP!D$26)*(Propagações_TOT_PARANAIBA!$A$7:$A$110&lt;=PREVS_SMAP!D$27),0))/7</f>
        <v>0</v>
      </c>
      <c r="E45" s="132">
        <f t="array" aca="1" ref="E45" ca="1">SUM(IFERROR(Propagações_TOT_PARANAIBA!$B$7:$CA$110*(Propagações_TOT_PARANAIBA!$B$6:$CA$6=$B45&amp;"A")*(Propagações_TOT_PARANAIBA!$A$7:$A$110&gt;=PREVS_SMAP!E$26)*(Propagações_TOT_PARANAIBA!$A$7:$A$110&lt;=PREVS_SMAP!E$27),0))/7</f>
        <v>92.428571428571431</v>
      </c>
      <c r="F45" s="132">
        <f t="array" aca="1" ref="F45" ca="1">SUM(IFERROR(Propagações_TOT_PARANAIBA!$B$7:$CA$110*(Propagações_TOT_PARANAIBA!$B$6:$CA$6=$B45&amp;"A")*(Propagações_TOT_PARANAIBA!$A$7:$A$110&gt;=PREVS_SMAP!F$26)*(Propagações_TOT_PARANAIBA!$A$7:$A$110&lt;=PREVS_SMAP!F$27),0))/7</f>
        <v>96.571428571428569</v>
      </c>
      <c r="G45" s="132" t="e">
        <f t="array" aca="1" ref="G45" ca="1">IF(AD45&lt;7,NA(),SUM(IFERROR(Propagações_TOT_PARANAIBA!$B$7:$CA$110*(Propagações_TOT_PARANAIBA!$B$6:$CA$6=$B45&amp;"I")*(Propagações_TOT_PARANAIBA!$A$7:$A$110&gt;=PREVS_SMAP!G$26)*(Propagações_TOT_PARANAIBA!$A$7:$A$110&lt;=PREVS_SMAP!G$27),0))/7+G44            )</f>
        <v>#N/A</v>
      </c>
      <c r="H45" s="132" t="e">
        <f t="array" aca="1" ref="H45" ca="1">IF(AE45&lt;7,NA(),SUM(IFERROR(Propagações_TOT_PARANAIBA!$B$7:$CA$110*(Propagações_TOT_PARANAIBA!$B$6:$CA$6=$B45&amp;"I")*(Propagações_TOT_PARANAIBA!$A$7:$A$110&gt;=PREVS_SMAP!H$26)*(Propagações_TOT_PARANAIBA!$A$7:$A$110&lt;=PREVS_SMAP!H$27),0))/7+H44            )</f>
        <v>#N/A</v>
      </c>
      <c r="I45" s="132" t="e">
        <f t="array" aca="1" ref="I45" ca="1">IF(AF45&lt;7,NA(),SUM(IFERROR(Propagações_TOT_PARANAIBA!$B$7:$CA$110*(Propagações_TOT_PARANAIBA!$B$6:$CA$6=$B45&amp;"I")*(Propagações_TOT_PARANAIBA!$A$7:$A$110&gt;=PREVS_SMAP!I$26)*(Propagações_TOT_PARANAIBA!$A$7:$A$110&lt;=PREVS_SMAP!I$27),0))/7+I44            )</f>
        <v>#N/A</v>
      </c>
      <c r="J45" s="132" t="e">
        <f t="array" aca="1" ref="J45" ca="1">IF(AG45&lt;7,NA(),SUM(IFERROR(Propagações_TOT_PARANAIBA!$B$7:$CA$110*(Propagações_TOT_PARANAIBA!$B$6:$CA$6=$B45&amp;"I")*(Propagações_TOT_PARANAIBA!$A$7:$A$110&gt;=PREVS_SMAP!J$26)*(Propagações_TOT_PARANAIBA!$A$7:$A$110&lt;=PREVS_SMAP!J$27),0))/7+J44            )</f>
        <v>#N/A</v>
      </c>
      <c r="K45" s="132" t="e">
        <f t="array" aca="1" ref="K45" ca="1">IF(AH45&lt;7,NA(),SUM(IFERROR(Propagações_TOT_PARANAIBA!$B$7:$CA$110*(Propagações_TOT_PARANAIBA!$B$6:$CA$6=$B45&amp;"I")*(Propagações_TOT_PARANAIBA!$A$7:$A$110&gt;=PREVS_SMAP!K$26)*(Propagações_TOT_PARANAIBA!$A$7:$A$110&lt;=PREVS_SMAP!K$27),0))/7+K44            )</f>
        <v>#N/A</v>
      </c>
      <c r="L45" s="132" t="e">
        <f t="array" aca="1" ref="L45" ca="1">IF(AI45&lt;7,NA(),SUM(IFERROR(Propagações_TOT_PARANAIBA!$B$7:$CA$110*(Propagações_TOT_PARANAIBA!$B$6:$CA$6=$B45&amp;"I")*(Propagações_TOT_PARANAIBA!$A$7:$A$110&gt;=PREVS_SMAP!L$26)*(Propagações_TOT_PARANAIBA!$A$7:$A$110&lt;=PREVS_SMAP!L$27),0))/7+L44            )</f>
        <v>#N/A</v>
      </c>
      <c r="M45" s="132" t="e">
        <f t="array" aca="1" ref="M45" ca="1">IF(AJ45&lt;7,NA(),SUM(IFERROR(Propagações_TOT_PARANAIBA!$B$7:$CA$110*(Propagações_TOT_PARANAIBA!$B$6:$CA$6=$B45&amp;"I")*(Propagações_TOT_PARANAIBA!$A$7:$A$110&gt;=PREVS_SMAP!M$26)*(Propagações_TOT_PARANAIBA!$A$7:$A$110&lt;=PREVS_SMAP!M$27),0))/7+M44            )</f>
        <v>#N/A</v>
      </c>
      <c r="N45" s="132" t="e">
        <f t="array" aca="1" ref="N45" ca="1">IF(AK45&lt;7,NA(),SUM(IFERROR(Propagações_TOT_PARANAIBA!$B$7:$CA$110*(Propagações_TOT_PARANAIBA!$B$6:$CA$6=$B45&amp;"I")*(Propagações_TOT_PARANAIBA!$A$7:$A$110&gt;=PREVS_SMAP!N$26)*(Propagações_TOT_PARANAIBA!$A$7:$A$110&lt;=PREVS_SMAP!N$27),0))/7+N44            )</f>
        <v>#N/A</v>
      </c>
      <c r="O45" s="132" t="e">
        <f t="array" aca="1" ref="O45" ca="1">IF(AL45&lt;7,NA(),SUM(IFERROR(Propagações_TOT_PARANAIBA!$B$7:$CA$110*(Propagações_TOT_PARANAIBA!$B$6:$CA$6=$B45&amp;"I")*(Propagações_TOT_PARANAIBA!$A$7:$A$110&gt;=PREVS_SMAP!O$26)*(Propagações_TOT_PARANAIBA!$A$7:$A$110&lt;=PREVS_SMAP!O$27),0))/7+O44            )</f>
        <v>#N/A</v>
      </c>
      <c r="P45" s="132"/>
      <c r="R45" s="162">
        <v>18</v>
      </c>
      <c r="S45" s="163">
        <f ca="1">AO45</f>
        <v>698</v>
      </c>
      <c r="T45" s="163" t="str">
        <f t="shared" ca="1" si="16"/>
        <v/>
      </c>
      <c r="U45" s="163" t="str">
        <f t="shared" ca="1" si="16"/>
        <v/>
      </c>
      <c r="V45" s="163" t="str">
        <f t="shared" ca="1" si="16"/>
        <v/>
      </c>
      <c r="W45" s="163" t="str">
        <f t="shared" ca="1" si="16"/>
        <v/>
      </c>
      <c r="X45" s="163" t="str">
        <f t="shared" ca="1" si="16"/>
        <v/>
      </c>
      <c r="Y45" s="163" t="str">
        <f t="shared" ca="1" si="16"/>
        <v/>
      </c>
      <c r="Z45" s="163" t="str">
        <f t="shared" ca="1" si="16"/>
        <v/>
      </c>
      <c r="AA45" s="163" t="str">
        <f t="shared" ca="1" si="16"/>
        <v/>
      </c>
      <c r="AB45" s="163" t="str">
        <f t="shared" ca="1" si="16"/>
        <v/>
      </c>
      <c r="AD45" s="272">
        <f t="array" aca="1" ref="AD45" ca="1">SUM(IFERROR(ISNUMBER(Propagações_TOT_PARANAIBA!$B$7:$CA$110)*(Propagações_TOT_PARANAIBA!$B$6:$CA$6=$B45&amp;"I")*(Propagações_TOT_PARANAIBA!$A$7:$A$110&gt;=PREVS_SMAP!G$26)*(Propagações_TOT_PARANAIBA!$A$7:$A$110&lt;=PREVS_SMAP!G$27),0))</f>
        <v>0</v>
      </c>
      <c r="AE45" s="272">
        <f t="array" aca="1" ref="AE45" ca="1">SUM(IFERROR(ISNUMBER(Propagações_TOT_PARANAIBA!$B$7:$CA$110)*(Propagações_TOT_PARANAIBA!$B$6:$CA$6=$B45&amp;"I")*(Propagações_TOT_PARANAIBA!$A$7:$A$110&gt;=PREVS_SMAP!H$26)*(Propagações_TOT_PARANAIBA!$A$7:$A$110&lt;=PREVS_SMAP!H$27),0))</f>
        <v>0</v>
      </c>
      <c r="AF45" s="272">
        <f t="array" aca="1" ref="AF45" ca="1">SUM(IFERROR(ISNUMBER(Propagações_TOT_PARANAIBA!$B$7:$CA$110)*(Propagações_TOT_PARANAIBA!$B$6:$CA$6=$B45&amp;"I")*(Propagações_TOT_PARANAIBA!$A$7:$A$110&gt;=PREVS_SMAP!I$26)*(Propagações_TOT_PARANAIBA!$A$7:$A$110&lt;=PREVS_SMAP!I$27),0))</f>
        <v>0</v>
      </c>
      <c r="AG45" s="272">
        <f t="array" aca="1" ref="AG45" ca="1">SUM(IFERROR(ISNUMBER(Propagações_TOT_PARANAIBA!$B$7:$CA$110)*(Propagações_TOT_PARANAIBA!$B$6:$CA$6=$B45&amp;"I")*(Propagações_TOT_PARANAIBA!$A$7:$A$110&gt;=PREVS_SMAP!J$26)*(Propagações_TOT_PARANAIBA!$A$7:$A$110&lt;=PREVS_SMAP!J$27),0))</f>
        <v>0</v>
      </c>
      <c r="AH45" s="272">
        <f t="array" aca="1" ref="AH45" ca="1">SUM(IFERROR(ISNUMBER(Propagações_TOT_PARANAIBA!$B$7:$CA$110)*(Propagações_TOT_PARANAIBA!$B$6:$CA$6=$B45&amp;"I")*(Propagações_TOT_PARANAIBA!$A$7:$A$110&gt;=PREVS_SMAP!K$26)*(Propagações_TOT_PARANAIBA!$A$7:$A$110&lt;=PREVS_SMAP!K$27),0))</f>
        <v>0</v>
      </c>
      <c r="AI45" s="272">
        <f t="array" aca="1" ref="AI45" ca="1">SUM(IFERROR(ISNUMBER(Propagações_TOT_PARANAIBA!$B$7:$CA$110)*(Propagações_TOT_PARANAIBA!$B$6:$CA$6=$B45&amp;"I")*(Propagações_TOT_PARANAIBA!$A$7:$A$110&gt;=PREVS_SMAP!L$26)*(Propagações_TOT_PARANAIBA!$A$7:$A$110&lt;=PREVS_SMAP!L$27),0))</f>
        <v>0</v>
      </c>
      <c r="AJ45" s="272">
        <f t="array" aca="1" ref="AJ45" ca="1">SUM(IFERROR(ISNUMBER(Propagações_TOT_PARANAIBA!$B$7:$CA$110)*(Propagações_TOT_PARANAIBA!$B$6:$CA$6=$B45&amp;"I")*(Propagações_TOT_PARANAIBA!$A$7:$A$110&gt;=PREVS_SMAP!M$26)*(Propagações_TOT_PARANAIBA!$A$7:$A$110&lt;=PREVS_SMAP!M$27),0))</f>
        <v>0</v>
      </c>
      <c r="AK45" s="272">
        <f t="array" aca="1" ref="AK45" ca="1">SUM(IFERROR(ISNUMBER(Propagações_TOT_PARANAIBA!$B$7:$CA$110)*(Propagações_TOT_PARANAIBA!$B$6:$CA$6=$B45&amp;"I")*(Propagações_TOT_PARANAIBA!$A$7:$A$110&gt;=PREVS_SMAP!N$26)*(Propagações_TOT_PARANAIBA!$A$7:$A$110&lt;=PREVS_SMAP!N$27),0))</f>
        <v>0</v>
      </c>
      <c r="AL45" s="272">
        <f t="array" aca="1" ref="AL45" ca="1">SUM(IFERROR(ISNUMBER(Propagações_TOT_PARANAIBA!$B$7:$CA$110)*(Propagações_TOT_PARANAIBA!$B$6:$CA$6=$B45&amp;"I")*(Propagações_TOT_PARANAIBA!$A$7:$A$110&gt;=PREVS_SMAP!O$26)*(Propagações_TOT_PARANAIBA!$A$7:$A$110&lt;=PREVS_SMAP!O$27),0))</f>
        <v>0</v>
      </c>
      <c r="AN45" s="121"/>
      <c r="AO45" s="162">
        <f t="shared" ca="1" si="9"/>
        <v>698</v>
      </c>
      <c r="AP45" s="162" t="b">
        <f t="shared" si="10"/>
        <v>1</v>
      </c>
      <c r="AQ45" s="162">
        <f ca="1">+AVERAGEIFS(TABELA_VAZAO[qnat],TABELA_VAZAO[Posto],$R45,TABELA_VAZAO[Data],AQ$27)</f>
        <v>1873</v>
      </c>
      <c r="AR45" s="162">
        <f ca="1">+AVERAGEIFS(TABELA_VAZAO[qnat],TABELA_VAZAO[Posto],$R45,TABELA_VAZAO[Data],AR$27)</f>
        <v>1766</v>
      </c>
      <c r="AS45" s="162">
        <f ca="1">+AVERAGEIFS(TABELA_VAZAO[qnat],TABELA_VAZAO[Posto],$R45,TABELA_VAZAO[Data],AS$27)</f>
        <v>1626</v>
      </c>
      <c r="AT45" s="162">
        <f ca="1">+AVERAGEIFS(TABELA_VAZAO[qnat],TABELA_VAZAO[Posto],$R45,TABELA_VAZAO[Data],AT$27)</f>
        <v>1499</v>
      </c>
      <c r="AU45" s="162">
        <f ca="1">+AVERAGEIFS(TABELA_VAZAO[qnat],TABELA_VAZAO[Posto],$R45,TABELA_VAZAO[Data],AU$27)</f>
        <v>1494</v>
      </c>
      <c r="AV45" s="162">
        <f ca="1">IFERROR(AVERAGEIFS(TABELA_VAZAO[qnat],TABELA_VAZAO[Posto],$R45,TABELA_VAZAO[Data],AV$27),AU45+$BB45*EXP(AV$26))</f>
        <v>1612</v>
      </c>
      <c r="AW45" s="164">
        <f ca="1">IFERROR(IFERROR(AVERAGEIFS(TABELA_VAZAO[qnat],TABELA_VAZAO[Posto],$R45,TABELA_VAZAO[Data],AW$27),INDEX(9:9,1,MATCH(AW$27,$8:$8,0))),AV45+$BB45*EXP(AW$26))</f>
        <v>1781</v>
      </c>
      <c r="AX45" s="164">
        <f ca="1">IFERROR(IFERROR(AVERAGEIFS(TABELA_VAZAO[qnat],TABELA_VAZAO[Posto],$R45,TABELA_VAZAO[Data],AX$27),INDEX(9:9,1,MATCH(AX$27,$8:$8,0))),AW45+$BB45*EXP(AX$26))</f>
        <v>1868.2857142857142</v>
      </c>
      <c r="AY45" s="164">
        <f ca="1">IFERROR(IFERROR(AVERAGEIFS(TABELA_VAZAO[qnat],TABELA_VAZAO[Posto],$R45,TABELA_VAZAO[Data],AY$27),INDEX(9:9,1,MATCH(AY$27,$8:$8,0))),AX45+$BB45*EXP(AY$26))</f>
        <v>1926.7950783039678</v>
      </c>
      <c r="AZ45" s="164">
        <f ca="1">IFERROR(IFERROR(AVERAGEIFS(TABELA_VAZAO[qnat],TABELA_VAZAO[Posto],$R45,TABELA_VAZAO[Data],AZ$27),INDEX(9:9,1,MATCH(AZ$27,$8:$8,0))),AY45+$BB45*EXP(AZ$26))</f>
        <v>1966.0150778861996</v>
      </c>
      <c r="BA45" s="164">
        <f ca="1">IFERROR(IFERROR(AVERAGEIFS(TABELA_VAZAO[qnat],TABELA_VAZAO[Posto],$R45,TABELA_VAZAO[Data],BA$27),INDEX(9:9,1,MATCH(BA$27,$8:$8,0))),AZ45+$BB45*EXP(BA$26))</f>
        <v>1992.3050298116789</v>
      </c>
      <c r="BB45" s="121">
        <f t="shared" ca="1" si="11"/>
        <v>87.285714285714292</v>
      </c>
      <c r="BC45" s="272">
        <f t="shared" ca="1" si="13"/>
        <v>-127</v>
      </c>
      <c r="BD45" s="272">
        <f t="shared" ca="1" si="13"/>
        <v>-5</v>
      </c>
      <c r="BE45" s="272">
        <f t="shared" ca="1" si="13"/>
        <v>118</v>
      </c>
      <c r="BF45" s="272">
        <f t="shared" ca="1" si="13"/>
        <v>169</v>
      </c>
      <c r="BG45"/>
    </row>
    <row r="46" spans="1:59" x14ac:dyDescent="0.2">
      <c r="A46" s="294">
        <v>209</v>
      </c>
      <c r="B46" s="283" t="str">
        <f t="shared" si="17"/>
        <v>209_VN</v>
      </c>
      <c r="C46" s="149" t="s">
        <v>25</v>
      </c>
      <c r="D46" s="132">
        <f t="array" aca="1" ref="D46" ca="1">SUM(IFERROR(Propagações_TOT_PARANAIBA!$B$7:$CA$110*(Propagações_TOT_PARANAIBA!$B$6:$CA$6=$B46&amp;"A")*(Propagações_TOT_PARANAIBA!$A$7:$A$110&gt;=PREVS_SMAP!D$26)*(Propagações_TOT_PARANAIBA!$A$7:$A$110&lt;=PREVS_SMAP!D$27),0))/7</f>
        <v>0</v>
      </c>
      <c r="E46" s="132">
        <f t="array" aca="1" ref="E46" ca="1">SUM(IFERROR(Propagações_TOT_PARANAIBA!$B$7:$CA$110*(Propagações_TOT_PARANAIBA!$B$6:$CA$6=$B46&amp;"A")*(Propagações_TOT_PARANAIBA!$A$7:$A$110&gt;=PREVS_SMAP!E$26)*(Propagações_TOT_PARANAIBA!$A$7:$A$110&lt;=PREVS_SMAP!E$27),0))/7</f>
        <v>219.71428571428572</v>
      </c>
      <c r="F46" s="132">
        <f t="array" aca="1" ref="F46" ca="1">SUM(IFERROR(Propagações_TOT_PARANAIBA!$B$7:$CA$110*(Propagações_TOT_PARANAIBA!$B$6:$CA$6=$B46&amp;"A")*(Propagações_TOT_PARANAIBA!$A$7:$A$110&gt;=PREVS_SMAP!F$26)*(Propagações_TOT_PARANAIBA!$A$7:$A$110&lt;=PREVS_SMAP!F$27),0))/7</f>
        <v>156.57142857142858</v>
      </c>
      <c r="G46" s="132" t="e">
        <f t="array" aca="1" ref="G46" ca="1">IF(AD46&lt;7,NA(),SUM(IFERROR(Propagações_TOT_PARANAIBA!$B$7:$CA$110*(Propagações_TOT_PARANAIBA!$B$6:$CA$6=$B46&amp;"I")*(Propagações_TOT_PARANAIBA!$A$7:$A$110&gt;=PREVS_SMAP!G$26)*(Propagações_TOT_PARANAIBA!$A$7:$A$110&lt;=PREVS_SMAP!G$27),0))/7+G45            )</f>
        <v>#N/A</v>
      </c>
      <c r="H46" s="132" t="e">
        <f t="array" aca="1" ref="H46" ca="1">IF(AE46&lt;7,NA(),SUM(IFERROR(Propagações_TOT_PARANAIBA!$B$7:$CA$110*(Propagações_TOT_PARANAIBA!$B$6:$CA$6=$B46&amp;"I")*(Propagações_TOT_PARANAIBA!$A$7:$A$110&gt;=PREVS_SMAP!H$26)*(Propagações_TOT_PARANAIBA!$A$7:$A$110&lt;=PREVS_SMAP!H$27),0))/7+H45            )</f>
        <v>#N/A</v>
      </c>
      <c r="I46" s="132" t="e">
        <f t="array" aca="1" ref="I46" ca="1">IF(AF46&lt;7,NA(),SUM(IFERROR(Propagações_TOT_PARANAIBA!$B$7:$CA$110*(Propagações_TOT_PARANAIBA!$B$6:$CA$6=$B46&amp;"I")*(Propagações_TOT_PARANAIBA!$A$7:$A$110&gt;=PREVS_SMAP!I$26)*(Propagações_TOT_PARANAIBA!$A$7:$A$110&lt;=PREVS_SMAP!I$27),0))/7+I45            )</f>
        <v>#N/A</v>
      </c>
      <c r="J46" s="132" t="e">
        <f t="array" aca="1" ref="J46" ca="1">IF(AG46&lt;7,NA(),SUM(IFERROR(Propagações_TOT_PARANAIBA!$B$7:$CA$110*(Propagações_TOT_PARANAIBA!$B$6:$CA$6=$B46&amp;"I")*(Propagações_TOT_PARANAIBA!$A$7:$A$110&gt;=PREVS_SMAP!J$26)*(Propagações_TOT_PARANAIBA!$A$7:$A$110&lt;=PREVS_SMAP!J$27),0))/7+J45            )</f>
        <v>#N/A</v>
      </c>
      <c r="K46" s="132" t="e">
        <f t="array" aca="1" ref="K46" ca="1">IF(AH46&lt;7,NA(),SUM(IFERROR(Propagações_TOT_PARANAIBA!$B$7:$CA$110*(Propagações_TOT_PARANAIBA!$B$6:$CA$6=$B46&amp;"I")*(Propagações_TOT_PARANAIBA!$A$7:$A$110&gt;=PREVS_SMAP!K$26)*(Propagações_TOT_PARANAIBA!$A$7:$A$110&lt;=PREVS_SMAP!K$27),0))/7+K45            )</f>
        <v>#N/A</v>
      </c>
      <c r="L46" s="132" t="e">
        <f t="array" aca="1" ref="L46" ca="1">IF(AI46&lt;7,NA(),SUM(IFERROR(Propagações_TOT_PARANAIBA!$B$7:$CA$110*(Propagações_TOT_PARANAIBA!$B$6:$CA$6=$B46&amp;"I")*(Propagações_TOT_PARANAIBA!$A$7:$A$110&gt;=PREVS_SMAP!L$26)*(Propagações_TOT_PARANAIBA!$A$7:$A$110&lt;=PREVS_SMAP!L$27),0))/7+L45            )</f>
        <v>#N/A</v>
      </c>
      <c r="M46" s="132" t="e">
        <f t="array" aca="1" ref="M46" ca="1">IF(AJ46&lt;7,NA(),SUM(IFERROR(Propagações_TOT_PARANAIBA!$B$7:$CA$110*(Propagações_TOT_PARANAIBA!$B$6:$CA$6=$B46&amp;"I")*(Propagações_TOT_PARANAIBA!$A$7:$A$110&gt;=PREVS_SMAP!M$26)*(Propagações_TOT_PARANAIBA!$A$7:$A$110&lt;=PREVS_SMAP!M$27),0))/7+M45            )</f>
        <v>#N/A</v>
      </c>
      <c r="N46" s="132" t="e">
        <f t="array" aca="1" ref="N46" ca="1">IF(AK46&lt;7,NA(),SUM(IFERROR(Propagações_TOT_PARANAIBA!$B$7:$CA$110*(Propagações_TOT_PARANAIBA!$B$6:$CA$6=$B46&amp;"I")*(Propagações_TOT_PARANAIBA!$A$7:$A$110&gt;=PREVS_SMAP!N$26)*(Propagações_TOT_PARANAIBA!$A$7:$A$110&lt;=PREVS_SMAP!N$27),0))/7+N45            )</f>
        <v>#N/A</v>
      </c>
      <c r="O46" s="132" t="e">
        <f t="array" aca="1" ref="O46" ca="1">IF(AL46&lt;7,NA(),SUM(IFERROR(Propagações_TOT_PARANAIBA!$B$7:$CA$110*(Propagações_TOT_PARANAIBA!$B$6:$CA$6=$B46&amp;"I")*(Propagações_TOT_PARANAIBA!$A$7:$A$110&gt;=PREVS_SMAP!O$26)*(Propagações_TOT_PARANAIBA!$A$7:$A$110&lt;=PREVS_SMAP!O$27),0))/7+O45            )</f>
        <v>#N/A</v>
      </c>
      <c r="P46" s="132"/>
      <c r="R46">
        <v>19</v>
      </c>
      <c r="S46" s="40"/>
      <c r="T46" s="40"/>
      <c r="U46" s="131"/>
      <c r="V46" s="131"/>
      <c r="W46" s="131"/>
      <c r="X46" s="131"/>
      <c r="Y46" s="131"/>
      <c r="Z46" s="131"/>
      <c r="AA46" s="131"/>
      <c r="AB46" s="131"/>
      <c r="AD46" s="272">
        <f t="array" aca="1" ref="AD46" ca="1">SUM(IFERROR(ISNUMBER(Propagações_TOT_PARANAIBA!$B$7:$CA$110)*(Propagações_TOT_PARANAIBA!$B$6:$CA$6=$B46&amp;"I")*(Propagações_TOT_PARANAIBA!$A$7:$A$110&gt;=PREVS_SMAP!G$26)*(Propagações_TOT_PARANAIBA!$A$7:$A$110&lt;=PREVS_SMAP!G$27),0))</f>
        <v>0</v>
      </c>
      <c r="AE46" s="272">
        <f t="array" aca="1" ref="AE46" ca="1">SUM(IFERROR(ISNUMBER(Propagações_TOT_PARANAIBA!$B$7:$CA$110)*(Propagações_TOT_PARANAIBA!$B$6:$CA$6=$B46&amp;"I")*(Propagações_TOT_PARANAIBA!$A$7:$A$110&gt;=PREVS_SMAP!H$26)*(Propagações_TOT_PARANAIBA!$A$7:$A$110&lt;=PREVS_SMAP!H$27),0))</f>
        <v>0</v>
      </c>
      <c r="AF46" s="272">
        <f t="array" aca="1" ref="AF46" ca="1">SUM(IFERROR(ISNUMBER(Propagações_TOT_PARANAIBA!$B$7:$CA$110)*(Propagações_TOT_PARANAIBA!$B$6:$CA$6=$B46&amp;"I")*(Propagações_TOT_PARANAIBA!$A$7:$A$110&gt;=PREVS_SMAP!I$26)*(Propagações_TOT_PARANAIBA!$A$7:$A$110&lt;=PREVS_SMAP!I$27),0))</f>
        <v>0</v>
      </c>
      <c r="AG46" s="272">
        <f t="array" aca="1" ref="AG46" ca="1">SUM(IFERROR(ISNUMBER(Propagações_TOT_PARANAIBA!$B$7:$CA$110)*(Propagações_TOT_PARANAIBA!$B$6:$CA$6=$B46&amp;"I")*(Propagações_TOT_PARANAIBA!$A$7:$A$110&gt;=PREVS_SMAP!J$26)*(Propagações_TOT_PARANAIBA!$A$7:$A$110&lt;=PREVS_SMAP!J$27),0))</f>
        <v>0</v>
      </c>
      <c r="AH46" s="272">
        <f t="array" aca="1" ref="AH46" ca="1">SUM(IFERROR(ISNUMBER(Propagações_TOT_PARANAIBA!$B$7:$CA$110)*(Propagações_TOT_PARANAIBA!$B$6:$CA$6=$B46&amp;"I")*(Propagações_TOT_PARANAIBA!$A$7:$A$110&gt;=PREVS_SMAP!K$26)*(Propagações_TOT_PARANAIBA!$A$7:$A$110&lt;=PREVS_SMAP!K$27),0))</f>
        <v>0</v>
      </c>
      <c r="AI46" s="272">
        <f t="array" aca="1" ref="AI46" ca="1">SUM(IFERROR(ISNUMBER(Propagações_TOT_PARANAIBA!$B$7:$CA$110)*(Propagações_TOT_PARANAIBA!$B$6:$CA$6=$B46&amp;"I")*(Propagações_TOT_PARANAIBA!$A$7:$A$110&gt;=PREVS_SMAP!L$26)*(Propagações_TOT_PARANAIBA!$A$7:$A$110&lt;=PREVS_SMAP!L$27),0))</f>
        <v>0</v>
      </c>
      <c r="AJ46" s="272">
        <f t="array" aca="1" ref="AJ46" ca="1">SUM(IFERROR(ISNUMBER(Propagações_TOT_PARANAIBA!$B$7:$CA$110)*(Propagações_TOT_PARANAIBA!$B$6:$CA$6=$B46&amp;"I")*(Propagações_TOT_PARANAIBA!$A$7:$A$110&gt;=PREVS_SMAP!M$26)*(Propagações_TOT_PARANAIBA!$A$7:$A$110&lt;=PREVS_SMAP!M$27),0))</f>
        <v>0</v>
      </c>
      <c r="AK46" s="272">
        <f t="array" aca="1" ref="AK46" ca="1">SUM(IFERROR(ISNUMBER(Propagações_TOT_PARANAIBA!$B$7:$CA$110)*(Propagações_TOT_PARANAIBA!$B$6:$CA$6=$B46&amp;"I")*(Propagações_TOT_PARANAIBA!$A$7:$A$110&gt;=PREVS_SMAP!N$26)*(Propagações_TOT_PARANAIBA!$A$7:$A$110&lt;=PREVS_SMAP!N$27),0))</f>
        <v>0</v>
      </c>
      <c r="AL46" s="272">
        <f t="array" aca="1" ref="AL46" ca="1">SUM(IFERROR(ISNUMBER(Propagações_TOT_PARANAIBA!$B$7:$CA$110)*(Propagações_TOT_PARANAIBA!$B$6:$CA$6=$B46&amp;"I")*(Propagações_TOT_PARANAIBA!$A$7:$A$110&gt;=PREVS_SMAP!O$26)*(Propagações_TOT_PARANAIBA!$A$7:$A$110&lt;=PREVS_SMAP!O$27),0))</f>
        <v>0</v>
      </c>
      <c r="AN46" s="121"/>
      <c r="AO46" s="121" t="e">
        <f t="shared" si="9"/>
        <v>#DIV/0!</v>
      </c>
      <c r="AP46" s="121" t="b">
        <f t="shared" si="10"/>
        <v>0</v>
      </c>
      <c r="AU46" s="121"/>
      <c r="AV46" s="121"/>
      <c r="AW46" s="159"/>
      <c r="AX46" s="159"/>
      <c r="AY46" s="159"/>
      <c r="AZ46" s="157"/>
      <c r="BA46" s="157"/>
      <c r="BB46" s="121">
        <f t="shared" ca="1" si="11"/>
        <v>0</v>
      </c>
      <c r="BC46" s="272">
        <f t="shared" ca="1" si="13"/>
        <v>0</v>
      </c>
      <c r="BD46" s="272">
        <f t="shared" ca="1" si="13"/>
        <v>0</v>
      </c>
      <c r="BE46" s="272">
        <f t="shared" ca="1" si="13"/>
        <v>0</v>
      </c>
      <c r="BF46" s="272">
        <f t="shared" ca="1" si="13"/>
        <v>0</v>
      </c>
      <c r="BG46"/>
    </row>
    <row r="47" spans="1:59" x14ac:dyDescent="0.2">
      <c r="A47" s="294">
        <v>251</v>
      </c>
      <c r="B47" s="283" t="str">
        <f t="shared" si="17"/>
        <v>251_VN</v>
      </c>
      <c r="C47" s="149" t="s">
        <v>30</v>
      </c>
      <c r="D47" s="132">
        <f t="array" aca="1" ref="D47" ca="1">SUM(IFERROR(Propagações_TOT_PARANAIBA!$B$7:$CA$110*(Propagações_TOT_PARANAIBA!$B$6:$CA$6=$B47&amp;"A")*(Propagações_TOT_PARANAIBA!$A$7:$A$110&gt;=PREVS_SMAP!D$26)*(Propagações_TOT_PARANAIBA!$A$7:$A$110&lt;=PREVS_SMAP!D$27),0))/7</f>
        <v>0</v>
      </c>
      <c r="E47" s="132">
        <f t="array" aca="1" ref="E47" ca="1">SUM(IFERROR(Propagações_TOT_PARANAIBA!$B$7:$CA$110*(Propagações_TOT_PARANAIBA!$B$6:$CA$6=$B47&amp;"A")*(Propagações_TOT_PARANAIBA!$A$7:$A$110&gt;=PREVS_SMAP!E$26)*(Propagações_TOT_PARANAIBA!$A$7:$A$110&lt;=PREVS_SMAP!E$27),0))/7</f>
        <v>84</v>
      </c>
      <c r="F47" s="132">
        <f t="array" aca="1" ref="F47" ca="1">SUM(IFERROR(Propagações_TOT_PARANAIBA!$B$7:$CA$110*(Propagações_TOT_PARANAIBA!$B$6:$CA$6=$B47&amp;"A")*(Propagações_TOT_PARANAIBA!$A$7:$A$110&gt;=PREVS_SMAP!F$26)*(Propagações_TOT_PARANAIBA!$A$7:$A$110&lt;=PREVS_SMAP!F$27),0))/7</f>
        <v>67.571428571428569</v>
      </c>
      <c r="G47" s="132" t="e">
        <f t="array" aca="1" ref="G47" ca="1">IF(AD47&lt;7,NA(),SUM(IFERROR(Propagações_TOT_PARANAIBA!$B$7:$CA$110*(Propagações_TOT_PARANAIBA!$B$6:$CA$6=$B47&amp;"A")*(Propagações_TOT_PARANAIBA!$A$7:$A$110&gt;=PREVS_SMAP!G$26)*(Propagações_TOT_PARANAIBA!$A$7:$A$110&lt;=PREVS_SMAP!G$27),0))/7                )</f>
        <v>#N/A</v>
      </c>
      <c r="H47" s="132" t="e">
        <f t="array" aca="1" ref="H47" ca="1">IF(AE47&lt;7,NA(),SUM(IFERROR(Propagações_TOT_PARANAIBA!$B$7:$CA$110*(Propagações_TOT_PARANAIBA!$B$6:$CA$6=$B47&amp;"A")*(Propagações_TOT_PARANAIBA!$A$7:$A$110&gt;=PREVS_SMAP!H$26)*(Propagações_TOT_PARANAIBA!$A$7:$A$110&lt;=PREVS_SMAP!H$27),0))/7                )</f>
        <v>#N/A</v>
      </c>
      <c r="I47" s="132" t="e">
        <f t="array" aca="1" ref="I47" ca="1">IF(AF47&lt;7,NA(),SUM(IFERROR(Propagações_TOT_PARANAIBA!$B$7:$CA$110*(Propagações_TOT_PARANAIBA!$B$6:$CA$6=$B47&amp;"A")*(Propagações_TOT_PARANAIBA!$A$7:$A$110&gt;=PREVS_SMAP!I$26)*(Propagações_TOT_PARANAIBA!$A$7:$A$110&lt;=PREVS_SMAP!I$27),0))/7                )</f>
        <v>#N/A</v>
      </c>
      <c r="J47" s="132" t="e">
        <f t="array" aca="1" ref="J47" ca="1">IF(AG47&lt;7,NA(),SUM(IFERROR(Propagações_TOT_PARANAIBA!$B$7:$CA$110*(Propagações_TOT_PARANAIBA!$B$6:$CA$6=$B47&amp;"A")*(Propagações_TOT_PARANAIBA!$A$7:$A$110&gt;=PREVS_SMAP!J$26)*(Propagações_TOT_PARANAIBA!$A$7:$A$110&lt;=PREVS_SMAP!J$27),0))/7                )</f>
        <v>#N/A</v>
      </c>
      <c r="K47" s="132" t="e">
        <f t="array" aca="1" ref="K47" ca="1">IF(AH47&lt;7,NA(),SUM(IFERROR(Propagações_TOT_PARANAIBA!$B$7:$CA$110*(Propagações_TOT_PARANAIBA!$B$6:$CA$6=$B47&amp;"A")*(Propagações_TOT_PARANAIBA!$A$7:$A$110&gt;=PREVS_SMAP!K$26)*(Propagações_TOT_PARANAIBA!$A$7:$A$110&lt;=PREVS_SMAP!K$27),0))/7                )</f>
        <v>#N/A</v>
      </c>
      <c r="L47" s="132" t="e">
        <f t="array" aca="1" ref="L47" ca="1">IF(AI47&lt;7,NA(),SUM(IFERROR(Propagações_TOT_PARANAIBA!$B$7:$CA$110*(Propagações_TOT_PARANAIBA!$B$6:$CA$6=$B47&amp;"A")*(Propagações_TOT_PARANAIBA!$A$7:$A$110&gt;=PREVS_SMAP!L$26)*(Propagações_TOT_PARANAIBA!$A$7:$A$110&lt;=PREVS_SMAP!L$27),0))/7                )</f>
        <v>#N/A</v>
      </c>
      <c r="M47" s="132" t="e">
        <f t="array" aca="1" ref="M47" ca="1">IF(AJ47&lt;7,NA(),SUM(IFERROR(Propagações_TOT_PARANAIBA!$B$7:$CA$110*(Propagações_TOT_PARANAIBA!$B$6:$CA$6=$B47&amp;"A")*(Propagações_TOT_PARANAIBA!$A$7:$A$110&gt;=PREVS_SMAP!M$26)*(Propagações_TOT_PARANAIBA!$A$7:$A$110&lt;=PREVS_SMAP!M$27),0))/7                )</f>
        <v>#N/A</v>
      </c>
      <c r="N47" s="132" t="e">
        <f t="array" aca="1" ref="N47" ca="1">IF(AK47&lt;7,NA(),SUM(IFERROR(Propagações_TOT_PARANAIBA!$B$7:$CA$110*(Propagações_TOT_PARANAIBA!$B$6:$CA$6=$B47&amp;"A")*(Propagações_TOT_PARANAIBA!$A$7:$A$110&gt;=PREVS_SMAP!N$26)*(Propagações_TOT_PARANAIBA!$A$7:$A$110&lt;=PREVS_SMAP!N$27),0))/7                )</f>
        <v>#N/A</v>
      </c>
      <c r="O47" s="132" t="e">
        <f t="array" aca="1" ref="O47" ca="1">IF(AL47&lt;7,NA(),SUM(IFERROR(Propagações_TOT_PARANAIBA!$B$7:$CA$110*(Propagações_TOT_PARANAIBA!$B$6:$CA$6=$B47&amp;"A")*(Propagações_TOT_PARANAIBA!$A$7:$A$110&gt;=PREVS_SMAP!O$26)*(Propagações_TOT_PARANAIBA!$A$7:$A$110&lt;=PREVS_SMAP!O$27),0))/7                )</f>
        <v>#N/A</v>
      </c>
      <c r="P47" s="132"/>
      <c r="R47">
        <v>20</v>
      </c>
      <c r="S47" s="40"/>
      <c r="T47" s="40"/>
      <c r="U47" s="131"/>
      <c r="V47" s="131"/>
      <c r="W47" s="131"/>
      <c r="X47" s="131"/>
      <c r="Y47" s="131"/>
      <c r="Z47" s="131"/>
      <c r="AA47" s="131"/>
      <c r="AB47" s="131"/>
      <c r="AD47" s="272">
        <f t="array" aca="1" ref="AD47" ca="1">SUM(IFERROR(ISNUMBER(Propagações_TOT_PARANAIBA!$B$7:$CA$110)*(Propagações_TOT_PARANAIBA!$B$6:$CA$6=$B47&amp;"I")*(Propagações_TOT_PARANAIBA!$A$7:$A$110&gt;=PREVS_SMAP!G$26)*(Propagações_TOT_PARANAIBA!$A$7:$A$110&lt;=PREVS_SMAP!G$27),0))</f>
        <v>0</v>
      </c>
      <c r="AE47" s="272">
        <f t="array" aca="1" ref="AE47" ca="1">SUM(IFERROR(ISNUMBER(Propagações_TOT_PARANAIBA!$B$7:$CA$110)*(Propagações_TOT_PARANAIBA!$B$6:$CA$6=$B47&amp;"I")*(Propagações_TOT_PARANAIBA!$A$7:$A$110&gt;=PREVS_SMAP!H$26)*(Propagações_TOT_PARANAIBA!$A$7:$A$110&lt;=PREVS_SMAP!H$27),0))</f>
        <v>0</v>
      </c>
      <c r="AF47" s="272">
        <f t="array" aca="1" ref="AF47" ca="1">SUM(IFERROR(ISNUMBER(Propagações_TOT_PARANAIBA!$B$7:$CA$110)*(Propagações_TOT_PARANAIBA!$B$6:$CA$6=$B47&amp;"I")*(Propagações_TOT_PARANAIBA!$A$7:$A$110&gt;=PREVS_SMAP!I$26)*(Propagações_TOT_PARANAIBA!$A$7:$A$110&lt;=PREVS_SMAP!I$27),0))</f>
        <v>0</v>
      </c>
      <c r="AG47" s="272">
        <f t="array" aca="1" ref="AG47" ca="1">SUM(IFERROR(ISNUMBER(Propagações_TOT_PARANAIBA!$B$7:$CA$110)*(Propagações_TOT_PARANAIBA!$B$6:$CA$6=$B47&amp;"I")*(Propagações_TOT_PARANAIBA!$A$7:$A$110&gt;=PREVS_SMAP!J$26)*(Propagações_TOT_PARANAIBA!$A$7:$A$110&lt;=PREVS_SMAP!J$27),0))</f>
        <v>0</v>
      </c>
      <c r="AH47" s="272">
        <f t="array" aca="1" ref="AH47" ca="1">SUM(IFERROR(ISNUMBER(Propagações_TOT_PARANAIBA!$B$7:$CA$110)*(Propagações_TOT_PARANAIBA!$B$6:$CA$6=$B47&amp;"I")*(Propagações_TOT_PARANAIBA!$A$7:$A$110&gt;=PREVS_SMAP!K$26)*(Propagações_TOT_PARANAIBA!$A$7:$A$110&lt;=PREVS_SMAP!K$27),0))</f>
        <v>0</v>
      </c>
      <c r="AI47" s="272">
        <f t="array" aca="1" ref="AI47" ca="1">SUM(IFERROR(ISNUMBER(Propagações_TOT_PARANAIBA!$B$7:$CA$110)*(Propagações_TOT_PARANAIBA!$B$6:$CA$6=$B47&amp;"I")*(Propagações_TOT_PARANAIBA!$A$7:$A$110&gt;=PREVS_SMAP!L$26)*(Propagações_TOT_PARANAIBA!$A$7:$A$110&lt;=PREVS_SMAP!L$27),0))</f>
        <v>0</v>
      </c>
      <c r="AJ47" s="272">
        <f t="array" aca="1" ref="AJ47" ca="1">SUM(IFERROR(ISNUMBER(Propagações_TOT_PARANAIBA!$B$7:$CA$110)*(Propagações_TOT_PARANAIBA!$B$6:$CA$6=$B47&amp;"I")*(Propagações_TOT_PARANAIBA!$A$7:$A$110&gt;=PREVS_SMAP!M$26)*(Propagações_TOT_PARANAIBA!$A$7:$A$110&lt;=PREVS_SMAP!M$27),0))</f>
        <v>0</v>
      </c>
      <c r="AK47" s="272">
        <f t="array" aca="1" ref="AK47" ca="1">SUM(IFERROR(ISNUMBER(Propagações_TOT_PARANAIBA!$B$7:$CA$110)*(Propagações_TOT_PARANAIBA!$B$6:$CA$6=$B47&amp;"I")*(Propagações_TOT_PARANAIBA!$A$7:$A$110&gt;=PREVS_SMAP!N$26)*(Propagações_TOT_PARANAIBA!$A$7:$A$110&lt;=PREVS_SMAP!N$27),0))</f>
        <v>0</v>
      </c>
      <c r="AL47" s="272">
        <f t="array" aca="1" ref="AL47" ca="1">SUM(IFERROR(ISNUMBER(Propagações_TOT_PARANAIBA!$B$7:$CA$110)*(Propagações_TOT_PARANAIBA!$B$6:$CA$6=$B47&amp;"I")*(Propagações_TOT_PARANAIBA!$A$7:$A$110&gt;=PREVS_SMAP!O$26)*(Propagações_TOT_PARANAIBA!$A$7:$A$110&lt;=PREVS_SMAP!O$27),0))</f>
        <v>0</v>
      </c>
      <c r="AN47" s="121"/>
      <c r="AO47" s="121" t="e">
        <f t="shared" si="9"/>
        <v>#DIV/0!</v>
      </c>
      <c r="AP47" s="121" t="b">
        <f t="shared" si="10"/>
        <v>0</v>
      </c>
      <c r="AU47" s="121"/>
      <c r="AV47" s="121"/>
      <c r="AW47" s="159"/>
      <c r="AX47" s="159"/>
      <c r="AY47" s="159"/>
      <c r="AZ47" s="157"/>
      <c r="BA47" s="157"/>
      <c r="BB47" s="121">
        <f t="shared" ca="1" si="11"/>
        <v>0</v>
      </c>
      <c r="BC47" s="272">
        <f t="shared" ca="1" si="13"/>
        <v>0</v>
      </c>
      <c r="BD47" s="272">
        <f t="shared" ca="1" si="13"/>
        <v>0</v>
      </c>
      <c r="BE47" s="272">
        <f t="shared" ca="1" si="13"/>
        <v>0</v>
      </c>
      <c r="BF47" s="272">
        <f t="shared" ca="1" si="13"/>
        <v>0</v>
      </c>
      <c r="BG47"/>
    </row>
    <row r="48" spans="1:59" x14ac:dyDescent="0.2">
      <c r="A48" s="294">
        <v>24</v>
      </c>
      <c r="B48" s="283" t="str">
        <f t="shared" si="17"/>
        <v>24_VN</v>
      </c>
      <c r="C48" s="149" t="s">
        <v>27</v>
      </c>
      <c r="D48" s="132">
        <f t="array" aca="1" ref="D48" ca="1">SUM(IFERROR(Propagações_TOT_PARANAIBA!$B$7:$CA$110*(Propagações_TOT_PARANAIBA!$B$6:$CA$6=$B48&amp;"A")*(Propagações_TOT_PARANAIBA!$A$7:$A$110&gt;=PREVS_SMAP!D$26)*(Propagações_TOT_PARANAIBA!$A$7:$A$110&lt;=PREVS_SMAP!D$27),0))/7</f>
        <v>0</v>
      </c>
      <c r="E48" s="132">
        <f t="array" aca="1" ref="E48" ca="1">SUM(IFERROR(Propagações_TOT_PARANAIBA!$B$7:$CA$110*(Propagações_TOT_PARANAIBA!$B$6:$CA$6=$B48&amp;"A")*(Propagações_TOT_PARANAIBA!$A$7:$A$110&gt;=PREVS_SMAP!E$26)*(Propagações_TOT_PARANAIBA!$A$7:$A$110&lt;=PREVS_SMAP!E$27),0))/7</f>
        <v>244.71428571428572</v>
      </c>
      <c r="F48" s="132">
        <f t="array" aca="1" ref="F48" ca="1">SUM(IFERROR(Propagações_TOT_PARANAIBA!$B$7:$CA$110*(Propagações_TOT_PARANAIBA!$B$6:$CA$6=$B48&amp;"A")*(Propagações_TOT_PARANAIBA!$A$7:$A$110&gt;=PREVS_SMAP!F$26)*(Propagações_TOT_PARANAIBA!$A$7:$A$110&lt;=PREVS_SMAP!F$27),0))/7</f>
        <v>142.71428571428572</v>
      </c>
      <c r="G48" s="132" t="e">
        <f t="array" aca="1" ref="G48" ca="1">IF(AD48&lt;7,NA(),SUM(IFERROR(Propagações_TOT_PARANAIBA!$B$7:$CA$110*(Propagações_TOT_PARANAIBA!$B$6:$CA$6=$B48&amp;"I")*(Propagações_TOT_PARANAIBA!$A$7:$A$110&gt;=PREVS_SMAP!G$26)*(Propagações_TOT_PARANAIBA!$A$7:$A$110&lt;=PREVS_SMAP!G$27),0))/7+G47            )</f>
        <v>#N/A</v>
      </c>
      <c r="H48" s="132" t="e">
        <f t="array" aca="1" ref="H48" ca="1">IF(AE48&lt;7,NA(),SUM(IFERROR(Propagações_TOT_PARANAIBA!$B$7:$CA$110*(Propagações_TOT_PARANAIBA!$B$6:$CA$6=$B48&amp;"I")*(Propagações_TOT_PARANAIBA!$A$7:$A$110&gt;=PREVS_SMAP!H$26)*(Propagações_TOT_PARANAIBA!$A$7:$A$110&lt;=PREVS_SMAP!H$27),0))/7+H47            )</f>
        <v>#N/A</v>
      </c>
      <c r="I48" s="132" t="e">
        <f t="array" aca="1" ref="I48" ca="1">IF(AF48&lt;7,NA(),SUM(IFERROR(Propagações_TOT_PARANAIBA!$B$7:$CA$110*(Propagações_TOT_PARANAIBA!$B$6:$CA$6=$B48&amp;"I")*(Propagações_TOT_PARANAIBA!$A$7:$A$110&gt;=PREVS_SMAP!I$26)*(Propagações_TOT_PARANAIBA!$A$7:$A$110&lt;=PREVS_SMAP!I$27),0))/7+I47            )</f>
        <v>#N/A</v>
      </c>
      <c r="J48" s="132" t="e">
        <f t="array" aca="1" ref="J48" ca="1">IF(AG48&lt;7,NA(),SUM(IFERROR(Propagações_TOT_PARANAIBA!$B$7:$CA$110*(Propagações_TOT_PARANAIBA!$B$6:$CA$6=$B48&amp;"I")*(Propagações_TOT_PARANAIBA!$A$7:$A$110&gt;=PREVS_SMAP!J$26)*(Propagações_TOT_PARANAIBA!$A$7:$A$110&lt;=PREVS_SMAP!J$27),0))/7+J47            )</f>
        <v>#N/A</v>
      </c>
      <c r="K48" s="132" t="e">
        <f t="array" aca="1" ref="K48" ca="1">IF(AH48&lt;7,NA(),SUM(IFERROR(Propagações_TOT_PARANAIBA!$B$7:$CA$110*(Propagações_TOT_PARANAIBA!$B$6:$CA$6=$B48&amp;"I")*(Propagações_TOT_PARANAIBA!$A$7:$A$110&gt;=PREVS_SMAP!K$26)*(Propagações_TOT_PARANAIBA!$A$7:$A$110&lt;=PREVS_SMAP!K$27),0))/7+K47            )</f>
        <v>#N/A</v>
      </c>
      <c r="L48" s="132" t="e">
        <f t="array" aca="1" ref="L48" ca="1">IF(AI48&lt;7,NA(),SUM(IFERROR(Propagações_TOT_PARANAIBA!$B$7:$CA$110*(Propagações_TOT_PARANAIBA!$B$6:$CA$6=$B48&amp;"I")*(Propagações_TOT_PARANAIBA!$A$7:$A$110&gt;=PREVS_SMAP!L$26)*(Propagações_TOT_PARANAIBA!$A$7:$A$110&lt;=PREVS_SMAP!L$27),0))/7+L47            )</f>
        <v>#N/A</v>
      </c>
      <c r="M48" s="132" t="e">
        <f t="array" aca="1" ref="M48" ca="1">IF(AJ48&lt;7,NA(),SUM(IFERROR(Propagações_TOT_PARANAIBA!$B$7:$CA$110*(Propagações_TOT_PARANAIBA!$B$6:$CA$6=$B48&amp;"I")*(Propagações_TOT_PARANAIBA!$A$7:$A$110&gt;=PREVS_SMAP!M$26)*(Propagações_TOT_PARANAIBA!$A$7:$A$110&lt;=PREVS_SMAP!M$27),0))/7+M47            )</f>
        <v>#N/A</v>
      </c>
      <c r="N48" s="132" t="e">
        <f t="array" aca="1" ref="N48" ca="1">IF(AK48&lt;7,NA(),SUM(IFERROR(Propagações_TOT_PARANAIBA!$B$7:$CA$110*(Propagações_TOT_PARANAIBA!$B$6:$CA$6=$B48&amp;"I")*(Propagações_TOT_PARANAIBA!$A$7:$A$110&gt;=PREVS_SMAP!N$26)*(Propagações_TOT_PARANAIBA!$A$7:$A$110&lt;=PREVS_SMAP!N$27),0))/7+N47            )</f>
        <v>#N/A</v>
      </c>
      <c r="O48" s="132" t="e">
        <f t="array" aca="1" ref="O48" ca="1">IF(AL48&lt;7,NA(),SUM(IFERROR(Propagações_TOT_PARANAIBA!$B$7:$CA$110*(Propagações_TOT_PARANAIBA!$B$6:$CA$6=$B48&amp;"I")*(Propagações_TOT_PARANAIBA!$A$7:$A$110&gt;=PREVS_SMAP!O$26)*(Propagações_TOT_PARANAIBA!$A$7:$A$110&lt;=PREVS_SMAP!O$27),0))/7+O47            )</f>
        <v>#N/A</v>
      </c>
      <c r="P48" s="132"/>
      <c r="R48">
        <v>21</v>
      </c>
      <c r="S48" s="40"/>
      <c r="T48" s="40"/>
      <c r="U48" s="131"/>
      <c r="V48" s="131"/>
      <c r="W48" s="131"/>
      <c r="X48" s="131"/>
      <c r="Y48" s="131"/>
      <c r="Z48" s="131"/>
      <c r="AA48" s="131"/>
      <c r="AB48" s="131"/>
      <c r="AD48" s="272">
        <f t="array" aca="1" ref="AD48" ca="1">SUM(IFERROR(ISNUMBER(Propagações_TOT_PARANAIBA!$B$7:$CA$110)*(Propagações_TOT_PARANAIBA!$B$6:$CA$6=$B48&amp;"I")*(Propagações_TOT_PARANAIBA!$A$7:$A$110&gt;=PREVS_SMAP!G$26)*(Propagações_TOT_PARANAIBA!$A$7:$A$110&lt;=PREVS_SMAP!G$27),0))</f>
        <v>0</v>
      </c>
      <c r="AE48" s="272">
        <f t="array" aca="1" ref="AE48" ca="1">SUM(IFERROR(ISNUMBER(Propagações_TOT_PARANAIBA!$B$7:$CA$110)*(Propagações_TOT_PARANAIBA!$B$6:$CA$6=$B48&amp;"I")*(Propagações_TOT_PARANAIBA!$A$7:$A$110&gt;=PREVS_SMAP!H$26)*(Propagações_TOT_PARANAIBA!$A$7:$A$110&lt;=PREVS_SMAP!H$27),0))</f>
        <v>0</v>
      </c>
      <c r="AF48" s="272">
        <f t="array" aca="1" ref="AF48" ca="1">SUM(IFERROR(ISNUMBER(Propagações_TOT_PARANAIBA!$B$7:$CA$110)*(Propagações_TOT_PARANAIBA!$B$6:$CA$6=$B48&amp;"I")*(Propagações_TOT_PARANAIBA!$A$7:$A$110&gt;=PREVS_SMAP!I$26)*(Propagações_TOT_PARANAIBA!$A$7:$A$110&lt;=PREVS_SMAP!I$27),0))</f>
        <v>0</v>
      </c>
      <c r="AG48" s="272">
        <f t="array" aca="1" ref="AG48" ca="1">SUM(IFERROR(ISNUMBER(Propagações_TOT_PARANAIBA!$B$7:$CA$110)*(Propagações_TOT_PARANAIBA!$B$6:$CA$6=$B48&amp;"I")*(Propagações_TOT_PARANAIBA!$A$7:$A$110&gt;=PREVS_SMAP!J$26)*(Propagações_TOT_PARANAIBA!$A$7:$A$110&lt;=PREVS_SMAP!J$27),0))</f>
        <v>0</v>
      </c>
      <c r="AH48" s="272">
        <f t="array" aca="1" ref="AH48" ca="1">SUM(IFERROR(ISNUMBER(Propagações_TOT_PARANAIBA!$B$7:$CA$110)*(Propagações_TOT_PARANAIBA!$B$6:$CA$6=$B48&amp;"I")*(Propagações_TOT_PARANAIBA!$A$7:$A$110&gt;=PREVS_SMAP!K$26)*(Propagações_TOT_PARANAIBA!$A$7:$A$110&lt;=PREVS_SMAP!K$27),0))</f>
        <v>0</v>
      </c>
      <c r="AI48" s="272">
        <f t="array" aca="1" ref="AI48" ca="1">SUM(IFERROR(ISNUMBER(Propagações_TOT_PARANAIBA!$B$7:$CA$110)*(Propagações_TOT_PARANAIBA!$B$6:$CA$6=$B48&amp;"I")*(Propagações_TOT_PARANAIBA!$A$7:$A$110&gt;=PREVS_SMAP!L$26)*(Propagações_TOT_PARANAIBA!$A$7:$A$110&lt;=PREVS_SMAP!L$27),0))</f>
        <v>0</v>
      </c>
      <c r="AJ48" s="272">
        <f t="array" aca="1" ref="AJ48" ca="1">SUM(IFERROR(ISNUMBER(Propagações_TOT_PARANAIBA!$B$7:$CA$110)*(Propagações_TOT_PARANAIBA!$B$6:$CA$6=$B48&amp;"I")*(Propagações_TOT_PARANAIBA!$A$7:$A$110&gt;=PREVS_SMAP!M$26)*(Propagações_TOT_PARANAIBA!$A$7:$A$110&lt;=PREVS_SMAP!M$27),0))</f>
        <v>0</v>
      </c>
      <c r="AK48" s="272">
        <f t="array" aca="1" ref="AK48" ca="1">SUM(IFERROR(ISNUMBER(Propagações_TOT_PARANAIBA!$B$7:$CA$110)*(Propagações_TOT_PARANAIBA!$B$6:$CA$6=$B48&amp;"I")*(Propagações_TOT_PARANAIBA!$A$7:$A$110&gt;=PREVS_SMAP!N$26)*(Propagações_TOT_PARANAIBA!$A$7:$A$110&lt;=PREVS_SMAP!N$27),0))</f>
        <v>0</v>
      </c>
      <c r="AL48" s="272">
        <f t="array" aca="1" ref="AL48" ca="1">SUM(IFERROR(ISNUMBER(Propagações_TOT_PARANAIBA!$B$7:$CA$110)*(Propagações_TOT_PARANAIBA!$B$6:$CA$6=$B48&amp;"I")*(Propagações_TOT_PARANAIBA!$A$7:$A$110&gt;=PREVS_SMAP!O$26)*(Propagações_TOT_PARANAIBA!$A$7:$A$110&lt;=PREVS_SMAP!O$27),0))</f>
        <v>0</v>
      </c>
      <c r="AN48" s="121"/>
      <c r="AO48" s="121" t="e">
        <f t="shared" si="9"/>
        <v>#DIV/0!</v>
      </c>
      <c r="AP48" s="121" t="b">
        <f t="shared" si="10"/>
        <v>0</v>
      </c>
      <c r="AU48" s="121"/>
      <c r="AV48" s="121"/>
      <c r="AW48" s="159"/>
      <c r="AX48" s="159"/>
      <c r="AY48" s="159"/>
      <c r="AZ48" s="157"/>
      <c r="BA48" s="157"/>
      <c r="BB48" s="121">
        <f t="shared" ca="1" si="11"/>
        <v>0</v>
      </c>
      <c r="BC48" s="272">
        <f t="shared" ca="1" si="13"/>
        <v>0</v>
      </c>
      <c r="BD48" s="272">
        <f t="shared" ca="1" si="13"/>
        <v>0</v>
      </c>
      <c r="BE48" s="272">
        <f t="shared" ca="1" si="13"/>
        <v>0</v>
      </c>
      <c r="BF48" s="272">
        <f t="shared" ca="1" si="13"/>
        <v>0</v>
      </c>
      <c r="BG48"/>
    </row>
    <row r="49" spans="1:59" x14ac:dyDescent="0.2">
      <c r="A49" s="294">
        <v>25</v>
      </c>
      <c r="B49" s="283" t="str">
        <f t="shared" si="17"/>
        <v>25_VN</v>
      </c>
      <c r="C49" s="149" t="s">
        <v>29</v>
      </c>
      <c r="D49" s="132">
        <f t="array" aca="1" ref="D49" ca="1">SUM(IFERROR(Propagações_TOT_PARANAIBA!$B$7:$CA$110*(Propagações_TOT_PARANAIBA!$B$6:$CA$6=$B49&amp;"A")*(Propagações_TOT_PARANAIBA!$A$7:$A$110&gt;=PREVS_SMAP!D$26)*(Propagações_TOT_PARANAIBA!$A$7:$A$110&lt;=PREVS_SMAP!D$27),0))/7</f>
        <v>0</v>
      </c>
      <c r="E49" s="132">
        <f t="array" aca="1" ref="E49" ca="1">SUM(IFERROR(Propagações_TOT_PARANAIBA!$B$7:$CA$110*(Propagações_TOT_PARANAIBA!$B$6:$CA$6=$B49&amp;"A")*(Propagações_TOT_PARANAIBA!$A$7:$A$110&gt;=PREVS_SMAP!E$26)*(Propagações_TOT_PARANAIBA!$A$7:$A$110&lt;=PREVS_SMAP!E$27),0))/7</f>
        <v>213.28571428571428</v>
      </c>
      <c r="F49" s="132">
        <f t="array" aca="1" ref="F49" ca="1">SUM(IFERROR(Propagações_TOT_PARANAIBA!$B$7:$CA$110*(Propagações_TOT_PARANAIBA!$B$6:$CA$6=$B49&amp;"A")*(Propagações_TOT_PARANAIBA!$A$7:$A$110&gt;=PREVS_SMAP!F$26)*(Propagações_TOT_PARANAIBA!$A$7:$A$110&lt;=PREVS_SMAP!F$27),0))/7</f>
        <v>105</v>
      </c>
      <c r="G49" s="132" t="e">
        <f t="array" aca="1" ref="G49" ca="1">IF(AD49&lt;7,NA(),SUM(IFERROR(Propagações_TOT_PARANAIBA!$B$7:$CA$110*(Propagações_TOT_PARANAIBA!$B$6:$CA$6=$B49&amp;"A")*(Propagações_TOT_PARANAIBA!$A$7:$A$110&gt;=PREVS_SMAP!G$26)*(Propagações_TOT_PARANAIBA!$A$7:$A$110&lt;=PREVS_SMAP!G$27),0))/7                )</f>
        <v>#N/A</v>
      </c>
      <c r="H49" s="132" t="e">
        <f t="array" aca="1" ref="H49" ca="1">IF(AE49&lt;7,NA(),SUM(IFERROR(Propagações_TOT_PARANAIBA!$B$7:$CA$110*(Propagações_TOT_PARANAIBA!$B$6:$CA$6=$B49&amp;"A")*(Propagações_TOT_PARANAIBA!$A$7:$A$110&gt;=PREVS_SMAP!H$26)*(Propagações_TOT_PARANAIBA!$A$7:$A$110&lt;=PREVS_SMAP!H$27),0))/7                )</f>
        <v>#N/A</v>
      </c>
      <c r="I49" s="132" t="e">
        <f t="array" aca="1" ref="I49" ca="1">IF(AF49&lt;7,NA(),SUM(IFERROR(Propagações_TOT_PARANAIBA!$B$7:$CA$110*(Propagações_TOT_PARANAIBA!$B$6:$CA$6=$B49&amp;"A")*(Propagações_TOT_PARANAIBA!$A$7:$A$110&gt;=PREVS_SMAP!I$26)*(Propagações_TOT_PARANAIBA!$A$7:$A$110&lt;=PREVS_SMAP!I$27),0))/7                )</f>
        <v>#N/A</v>
      </c>
      <c r="J49" s="132" t="e">
        <f t="array" aca="1" ref="J49" ca="1">IF(AG49&lt;7,NA(),SUM(IFERROR(Propagações_TOT_PARANAIBA!$B$7:$CA$110*(Propagações_TOT_PARANAIBA!$B$6:$CA$6=$B49&amp;"A")*(Propagações_TOT_PARANAIBA!$A$7:$A$110&gt;=PREVS_SMAP!J$26)*(Propagações_TOT_PARANAIBA!$A$7:$A$110&lt;=PREVS_SMAP!J$27),0))/7                )</f>
        <v>#N/A</v>
      </c>
      <c r="K49" s="132" t="e">
        <f t="array" aca="1" ref="K49" ca="1">IF(AH49&lt;7,NA(),SUM(IFERROR(Propagações_TOT_PARANAIBA!$B$7:$CA$110*(Propagações_TOT_PARANAIBA!$B$6:$CA$6=$B49&amp;"A")*(Propagações_TOT_PARANAIBA!$A$7:$A$110&gt;=PREVS_SMAP!K$26)*(Propagações_TOT_PARANAIBA!$A$7:$A$110&lt;=PREVS_SMAP!K$27),0))/7                )</f>
        <v>#N/A</v>
      </c>
      <c r="L49" s="132" t="e">
        <f t="array" aca="1" ref="L49" ca="1">IF(AI49&lt;7,NA(),SUM(IFERROR(Propagações_TOT_PARANAIBA!$B$7:$CA$110*(Propagações_TOT_PARANAIBA!$B$6:$CA$6=$B49&amp;"A")*(Propagações_TOT_PARANAIBA!$A$7:$A$110&gt;=PREVS_SMAP!L$26)*(Propagações_TOT_PARANAIBA!$A$7:$A$110&lt;=PREVS_SMAP!L$27),0))/7                )</f>
        <v>#N/A</v>
      </c>
      <c r="M49" s="132" t="e">
        <f t="array" aca="1" ref="M49" ca="1">IF(AJ49&lt;7,NA(),SUM(IFERROR(Propagações_TOT_PARANAIBA!$B$7:$CA$110*(Propagações_TOT_PARANAIBA!$B$6:$CA$6=$B49&amp;"A")*(Propagações_TOT_PARANAIBA!$A$7:$A$110&gt;=PREVS_SMAP!M$26)*(Propagações_TOT_PARANAIBA!$A$7:$A$110&lt;=PREVS_SMAP!M$27),0))/7                )</f>
        <v>#N/A</v>
      </c>
      <c r="N49" s="132" t="e">
        <f t="array" aca="1" ref="N49" ca="1">IF(AK49&lt;7,NA(),SUM(IFERROR(Propagações_TOT_PARANAIBA!$B$7:$CA$110*(Propagações_TOT_PARANAIBA!$B$6:$CA$6=$B49&amp;"A")*(Propagações_TOT_PARANAIBA!$A$7:$A$110&gt;=PREVS_SMAP!N$26)*(Propagações_TOT_PARANAIBA!$A$7:$A$110&lt;=PREVS_SMAP!N$27),0))/7                )</f>
        <v>#N/A</v>
      </c>
      <c r="O49" s="132" t="e">
        <f t="array" aca="1" ref="O49" ca="1">IF(AL49&lt;7,NA(),SUM(IFERROR(Propagações_TOT_PARANAIBA!$B$7:$CA$110*(Propagações_TOT_PARANAIBA!$B$6:$CA$6=$B49&amp;"A")*(Propagações_TOT_PARANAIBA!$A$7:$A$110&gt;=PREVS_SMAP!O$26)*(Propagações_TOT_PARANAIBA!$A$7:$A$110&lt;=PREVS_SMAP!O$27),0))/7                )</f>
        <v>#N/A</v>
      </c>
      <c r="P49" s="132"/>
      <c r="R49">
        <v>22</v>
      </c>
      <c r="S49" s="40">
        <f ca="1">AO49</f>
        <v>132</v>
      </c>
      <c r="T49" s="40" t="str">
        <f t="shared" ref="T49:AA49" ca="1" si="18">IF(AND($K$4,ISNUMBER(H$143)),ROUND(G$143*S49,0),"")</f>
        <v/>
      </c>
      <c r="U49" s="131" t="str">
        <f t="shared" ca="1" si="18"/>
        <v/>
      </c>
      <c r="V49" s="131" t="str">
        <f t="shared" ca="1" si="18"/>
        <v/>
      </c>
      <c r="W49" s="131" t="str">
        <f t="shared" ca="1" si="18"/>
        <v/>
      </c>
      <c r="X49" s="131" t="str">
        <f t="shared" ca="1" si="18"/>
        <v/>
      </c>
      <c r="Y49" s="131" t="str">
        <f t="shared" ca="1" si="18"/>
        <v/>
      </c>
      <c r="Z49" s="131" t="str">
        <f t="shared" ca="1" si="18"/>
        <v/>
      </c>
      <c r="AA49" s="131" t="str">
        <f t="shared" si="18"/>
        <v/>
      </c>
      <c r="AB49" s="131"/>
      <c r="AD49" s="272">
        <f t="array" aca="1" ref="AD49" ca="1">SUM(IFERROR(ISNUMBER(Propagações_TOT_PARANAIBA!$B$7:$CA$110)*(Propagações_TOT_PARANAIBA!$B$6:$CA$6=$B49&amp;"I")*(Propagações_TOT_PARANAIBA!$A$7:$A$110&gt;=PREVS_SMAP!G$26)*(Propagações_TOT_PARANAIBA!$A$7:$A$110&lt;=PREVS_SMAP!G$27),0))</f>
        <v>0</v>
      </c>
      <c r="AE49" s="272">
        <f t="array" aca="1" ref="AE49" ca="1">SUM(IFERROR(ISNUMBER(Propagações_TOT_PARANAIBA!$B$7:$CA$110)*(Propagações_TOT_PARANAIBA!$B$6:$CA$6=$B49&amp;"I")*(Propagações_TOT_PARANAIBA!$A$7:$A$110&gt;=PREVS_SMAP!H$26)*(Propagações_TOT_PARANAIBA!$A$7:$A$110&lt;=PREVS_SMAP!H$27),0))</f>
        <v>0</v>
      </c>
      <c r="AF49" s="272">
        <f t="array" aca="1" ref="AF49" ca="1">SUM(IFERROR(ISNUMBER(Propagações_TOT_PARANAIBA!$B$7:$CA$110)*(Propagações_TOT_PARANAIBA!$B$6:$CA$6=$B49&amp;"I")*(Propagações_TOT_PARANAIBA!$A$7:$A$110&gt;=PREVS_SMAP!I$26)*(Propagações_TOT_PARANAIBA!$A$7:$A$110&lt;=PREVS_SMAP!I$27),0))</f>
        <v>0</v>
      </c>
      <c r="AG49" s="272">
        <f t="array" aca="1" ref="AG49" ca="1">SUM(IFERROR(ISNUMBER(Propagações_TOT_PARANAIBA!$B$7:$CA$110)*(Propagações_TOT_PARANAIBA!$B$6:$CA$6=$B49&amp;"I")*(Propagações_TOT_PARANAIBA!$A$7:$A$110&gt;=PREVS_SMAP!J$26)*(Propagações_TOT_PARANAIBA!$A$7:$A$110&lt;=PREVS_SMAP!J$27),0))</f>
        <v>0</v>
      </c>
      <c r="AH49" s="272">
        <f t="array" aca="1" ref="AH49" ca="1">SUM(IFERROR(ISNUMBER(Propagações_TOT_PARANAIBA!$B$7:$CA$110)*(Propagações_TOT_PARANAIBA!$B$6:$CA$6=$B49&amp;"I")*(Propagações_TOT_PARANAIBA!$A$7:$A$110&gt;=PREVS_SMAP!K$26)*(Propagações_TOT_PARANAIBA!$A$7:$A$110&lt;=PREVS_SMAP!K$27),0))</f>
        <v>0</v>
      </c>
      <c r="AI49" s="272">
        <f t="array" aca="1" ref="AI49" ca="1">SUM(IFERROR(ISNUMBER(Propagações_TOT_PARANAIBA!$B$7:$CA$110)*(Propagações_TOT_PARANAIBA!$B$6:$CA$6=$B49&amp;"I")*(Propagações_TOT_PARANAIBA!$A$7:$A$110&gt;=PREVS_SMAP!L$26)*(Propagações_TOT_PARANAIBA!$A$7:$A$110&lt;=PREVS_SMAP!L$27),0))</f>
        <v>0</v>
      </c>
      <c r="AJ49" s="272">
        <f t="array" aca="1" ref="AJ49" ca="1">SUM(IFERROR(ISNUMBER(Propagações_TOT_PARANAIBA!$B$7:$CA$110)*(Propagações_TOT_PARANAIBA!$B$6:$CA$6=$B49&amp;"I")*(Propagações_TOT_PARANAIBA!$A$7:$A$110&gt;=PREVS_SMAP!M$26)*(Propagações_TOT_PARANAIBA!$A$7:$A$110&lt;=PREVS_SMAP!M$27),0))</f>
        <v>0</v>
      </c>
      <c r="AK49" s="272">
        <f t="array" aca="1" ref="AK49" ca="1">SUM(IFERROR(ISNUMBER(Propagações_TOT_PARANAIBA!$B$7:$CA$110)*(Propagações_TOT_PARANAIBA!$B$6:$CA$6=$B49&amp;"I")*(Propagações_TOT_PARANAIBA!$A$7:$A$110&gt;=PREVS_SMAP!N$26)*(Propagações_TOT_PARANAIBA!$A$7:$A$110&lt;=PREVS_SMAP!N$27),0))</f>
        <v>0</v>
      </c>
      <c r="AL49" s="272">
        <f t="array" aca="1" ref="AL49" ca="1">SUM(IFERROR(ISNUMBER(Propagações_TOT_PARANAIBA!$B$7:$CA$110)*(Propagações_TOT_PARANAIBA!$B$6:$CA$6=$B49&amp;"I")*(Propagações_TOT_PARANAIBA!$A$7:$A$110&gt;=PREVS_SMAP!O$26)*(Propagações_TOT_PARANAIBA!$A$7:$A$110&lt;=PREVS_SMAP!O$27),0))</f>
        <v>0</v>
      </c>
      <c r="AN49" s="121"/>
      <c r="AO49" s="121">
        <f t="shared" ca="1" si="9"/>
        <v>132</v>
      </c>
      <c r="AP49" s="121" t="b">
        <f t="shared" si="10"/>
        <v>0</v>
      </c>
      <c r="AQ49" s="272">
        <f ca="1">+AVERAGEIFS(TABELA_VAZAO[qnat],TABELA_VAZAO[Posto],$R49,TABELA_VAZAO[Data],AQ$27)</f>
        <v>44</v>
      </c>
      <c r="AR49" s="272">
        <f ca="1">+AVERAGEIFS(TABELA_VAZAO[qnat],TABELA_VAZAO[Posto],$R49,TABELA_VAZAO[Data],AR$27)</f>
        <v>44</v>
      </c>
      <c r="AS49" s="272">
        <f ca="1">+AVERAGEIFS(TABELA_VAZAO[qnat],TABELA_VAZAO[Posto],$R49,TABELA_VAZAO[Data],AS$27)</f>
        <v>48</v>
      </c>
      <c r="AT49" s="272">
        <f ca="1">+AVERAGEIFS(TABELA_VAZAO[qnat],TABELA_VAZAO[Posto],$R49,TABELA_VAZAO[Data],AT$27)</f>
        <v>56</v>
      </c>
      <c r="AU49" s="121">
        <f ca="1">+AVERAGEIFS(TABELA_VAZAO[qnat],TABELA_VAZAO[Posto],$R49,TABELA_VAZAO[Data],AU$27)</f>
        <v>84</v>
      </c>
      <c r="AV49" s="272">
        <f ca="1">IFERROR(AVERAGEIFS(TABELA_VAZAO[qnat],TABELA_VAZAO[Posto],$R49,TABELA_VAZAO[Data],AV$27),AU49+$BB49*EXP(AV$26))</f>
        <v>106</v>
      </c>
      <c r="AW49" s="159">
        <f ca="1">IFERROR(AVERAGEIFS(TABELA_VAZAO[qnat],TABELA_VAZAO[Posto],$R49,TABELA_VAZAO[Data],AW$27),AV49+$BB49*EXP(AW$26))</f>
        <v>121</v>
      </c>
      <c r="AX49" s="325">
        <f ca="1">IFERROR(AVERAGEIFS(TABELA_VAZAO[qnat],TABELA_VAZAO[Posto],$R49,TABELA_VAZAO[Data],AX$27),AW49+$BB49*EXP(AX$26))</f>
        <v>138.85714285714286</v>
      </c>
      <c r="AY49" s="325">
        <f ca="1">IFERROR(AVERAGEIFS(TABELA_VAZAO[qnat],TABELA_VAZAO[Posto],$R49,TABELA_VAZAO[Data],AY$27),AX49+$BB49*EXP(AY$26))</f>
        <v>150.82714367920784</v>
      </c>
      <c r="AZ49" s="326">
        <f ca="1">IFERROR(AVERAGEIFS(TABELA_VAZAO[qnat],TABELA_VAZAO[Posto],$R49,TABELA_VAZAO[Data],AZ$27),AY49+$BB49*EXP(AZ$26))</f>
        <v>158.85087518130109</v>
      </c>
      <c r="BA49" s="326">
        <f ca="1">IFERROR(AVERAGEIFS(TABELA_VAZAO[qnat],TABELA_VAZAO[Posto],$R49,TABELA_VAZAO[Data],BA$27),AZ49+$BB49*EXP(BA$26))</f>
        <v>164.22934325116185</v>
      </c>
      <c r="BB49" s="121">
        <f t="shared" ca="1" si="11"/>
        <v>17.857142857142858</v>
      </c>
      <c r="BC49" s="272">
        <f t="shared" ca="1" si="13"/>
        <v>8</v>
      </c>
      <c r="BD49" s="272">
        <f t="shared" ca="1" si="13"/>
        <v>28</v>
      </c>
      <c r="BE49" s="272">
        <f t="shared" ca="1" si="13"/>
        <v>22</v>
      </c>
      <c r="BF49" s="272">
        <f t="shared" ca="1" si="13"/>
        <v>15</v>
      </c>
      <c r="BG49"/>
    </row>
    <row r="50" spans="1:59" x14ac:dyDescent="0.2">
      <c r="A50" s="294">
        <v>206</v>
      </c>
      <c r="B50" s="283" t="str">
        <f t="shared" si="17"/>
        <v>206_VN</v>
      </c>
      <c r="C50" s="137" t="s">
        <v>59</v>
      </c>
      <c r="D50" s="132">
        <f t="array" aca="1" ref="D50" ca="1">SUM(IFERROR(Propagações_TOT_PARANAIBA!$B$7:$CA$110*(Propagações_TOT_PARANAIBA!$B$6:$CA$6=$B50&amp;"A")*(Propagações_TOT_PARANAIBA!$A$7:$A$110&gt;=PREVS_SMAP!D$26)*(Propagações_TOT_PARANAIBA!$A$7:$A$110&lt;=PREVS_SMAP!D$27),0))/7</f>
        <v>0</v>
      </c>
      <c r="E50" s="132">
        <f t="array" aca="1" ref="E50" ca="1">SUM(IFERROR(Propagações_TOT_PARANAIBA!$B$7:$CA$110*(Propagações_TOT_PARANAIBA!$B$6:$CA$6=$B50&amp;"A")*(Propagações_TOT_PARANAIBA!$A$7:$A$110&gt;=PREVS_SMAP!E$26)*(Propagações_TOT_PARANAIBA!$A$7:$A$110&lt;=PREVS_SMAP!E$27),0))/7</f>
        <v>224.28571428571428</v>
      </c>
      <c r="F50" s="132">
        <f t="array" aca="1" ref="F50" ca="1">SUM(IFERROR(Propagações_TOT_PARANAIBA!$B$7:$CA$110*(Propagações_TOT_PARANAIBA!$B$6:$CA$6=$B50&amp;"A")*(Propagações_TOT_PARANAIBA!$A$7:$A$110&gt;=PREVS_SMAP!F$26)*(Propagações_TOT_PARANAIBA!$A$7:$A$110&lt;=PREVS_SMAP!F$27),0))/7</f>
        <v>109.42857142857143</v>
      </c>
      <c r="G50" s="132" t="e">
        <f t="array" aca="1" ref="G50" ca="1">IF(AD50&lt;7,NA(),SUM(IFERROR(Propagações_TOT_PARANAIBA!$B$7:$CA$110*(Propagações_TOT_PARANAIBA!$B$6:$CA$6=$B50&amp;"I")*(Propagações_TOT_PARANAIBA!$A$7:$A$110&gt;=PREVS_SMAP!G$26)*(Propagações_TOT_PARANAIBA!$A$7:$A$110&lt;=PREVS_SMAP!G$27),0))/7+G49            )</f>
        <v>#N/A</v>
      </c>
      <c r="H50" s="132" t="e">
        <f t="array" aca="1" ref="H50" ca="1">IF(AE50&lt;7,NA(),SUM(IFERROR(Propagações_TOT_PARANAIBA!$B$7:$CA$110*(Propagações_TOT_PARANAIBA!$B$6:$CA$6=$B50&amp;"I")*(Propagações_TOT_PARANAIBA!$A$7:$A$110&gt;=PREVS_SMAP!H$26)*(Propagações_TOT_PARANAIBA!$A$7:$A$110&lt;=PREVS_SMAP!H$27),0))/7+H49            )</f>
        <v>#N/A</v>
      </c>
      <c r="I50" s="132" t="e">
        <f t="array" aca="1" ref="I50" ca="1">IF(AF50&lt;7,NA(),SUM(IFERROR(Propagações_TOT_PARANAIBA!$B$7:$CA$110*(Propagações_TOT_PARANAIBA!$B$6:$CA$6=$B50&amp;"I")*(Propagações_TOT_PARANAIBA!$A$7:$A$110&gt;=PREVS_SMAP!I$26)*(Propagações_TOT_PARANAIBA!$A$7:$A$110&lt;=PREVS_SMAP!I$27),0))/7+I49            )</f>
        <v>#N/A</v>
      </c>
      <c r="J50" s="132" t="e">
        <f t="array" aca="1" ref="J50" ca="1">IF(AG50&lt;7,NA(),SUM(IFERROR(Propagações_TOT_PARANAIBA!$B$7:$CA$110*(Propagações_TOT_PARANAIBA!$B$6:$CA$6=$B50&amp;"I")*(Propagações_TOT_PARANAIBA!$A$7:$A$110&gt;=PREVS_SMAP!J$26)*(Propagações_TOT_PARANAIBA!$A$7:$A$110&lt;=PREVS_SMAP!J$27),0))/7+J49            )</f>
        <v>#N/A</v>
      </c>
      <c r="K50" s="132" t="e">
        <f t="array" aca="1" ref="K50" ca="1">IF(AH50&lt;7,NA(),SUM(IFERROR(Propagações_TOT_PARANAIBA!$B$7:$CA$110*(Propagações_TOT_PARANAIBA!$B$6:$CA$6=$B50&amp;"I")*(Propagações_TOT_PARANAIBA!$A$7:$A$110&gt;=PREVS_SMAP!K$26)*(Propagações_TOT_PARANAIBA!$A$7:$A$110&lt;=PREVS_SMAP!K$27),0))/7+K49            )</f>
        <v>#N/A</v>
      </c>
      <c r="L50" s="132" t="e">
        <f t="array" aca="1" ref="L50" ca="1">IF(AI50&lt;7,NA(),SUM(IFERROR(Propagações_TOT_PARANAIBA!$B$7:$CA$110*(Propagações_TOT_PARANAIBA!$B$6:$CA$6=$B50&amp;"I")*(Propagações_TOT_PARANAIBA!$A$7:$A$110&gt;=PREVS_SMAP!L$26)*(Propagações_TOT_PARANAIBA!$A$7:$A$110&lt;=PREVS_SMAP!L$27),0))/7+L49            )</f>
        <v>#N/A</v>
      </c>
      <c r="M50" s="132" t="e">
        <f t="array" aca="1" ref="M50" ca="1">IF(AJ50&lt;7,NA(),SUM(IFERROR(Propagações_TOT_PARANAIBA!$B$7:$CA$110*(Propagações_TOT_PARANAIBA!$B$6:$CA$6=$B50&amp;"I")*(Propagações_TOT_PARANAIBA!$A$7:$A$110&gt;=PREVS_SMAP!M$26)*(Propagações_TOT_PARANAIBA!$A$7:$A$110&lt;=PREVS_SMAP!M$27),0))/7+M49            )</f>
        <v>#N/A</v>
      </c>
      <c r="N50" s="132" t="e">
        <f t="array" aca="1" ref="N50" ca="1">IF(AK50&lt;7,NA(),SUM(IFERROR(Propagações_TOT_PARANAIBA!$B$7:$CA$110*(Propagações_TOT_PARANAIBA!$B$6:$CA$6=$B50&amp;"I")*(Propagações_TOT_PARANAIBA!$A$7:$A$110&gt;=PREVS_SMAP!N$26)*(Propagações_TOT_PARANAIBA!$A$7:$A$110&lt;=PREVS_SMAP!N$27),0))/7+N49            )</f>
        <v>#N/A</v>
      </c>
      <c r="O50" s="132" t="e">
        <f t="array" aca="1" ref="O50" ca="1">IF(AL50&lt;7,NA(),SUM(IFERROR(Propagações_TOT_PARANAIBA!$B$7:$CA$110*(Propagações_TOT_PARANAIBA!$B$6:$CA$6=$B50&amp;"I")*(Propagações_TOT_PARANAIBA!$A$7:$A$110&gt;=PREVS_SMAP!O$26)*(Propagações_TOT_PARANAIBA!$A$7:$A$110&lt;=PREVS_SMAP!O$27),0))/7+O49            )</f>
        <v>#N/A</v>
      </c>
      <c r="P50" s="132"/>
      <c r="R50">
        <v>23</v>
      </c>
      <c r="S50" s="40">
        <f ca="1">AO50</f>
        <v>97</v>
      </c>
      <c r="T50" s="40" t="str">
        <f t="shared" ref="T50:AB52" ca="1" si="19">IFERROR(ROUND(INDEX(G$28:G$129,MATCH($R50,$A$28:$A$129,0)),0),"")</f>
        <v/>
      </c>
      <c r="U50" s="131" t="str">
        <f t="shared" ca="1" si="19"/>
        <v/>
      </c>
      <c r="V50" s="131" t="str">
        <f t="shared" ca="1" si="19"/>
        <v/>
      </c>
      <c r="W50" s="131" t="str">
        <f t="shared" ca="1" si="19"/>
        <v/>
      </c>
      <c r="X50" s="131" t="str">
        <f t="shared" ca="1" si="19"/>
        <v/>
      </c>
      <c r="Y50" s="131" t="str">
        <f t="shared" ca="1" si="19"/>
        <v/>
      </c>
      <c r="Z50" s="131" t="str">
        <f t="shared" ca="1" si="19"/>
        <v/>
      </c>
      <c r="AA50" s="131" t="str">
        <f t="shared" ca="1" si="19"/>
        <v/>
      </c>
      <c r="AB50" s="131" t="str">
        <f t="shared" ca="1" si="19"/>
        <v/>
      </c>
      <c r="AD50" s="272">
        <f t="array" aca="1" ref="AD50" ca="1">SUM(IFERROR(ISNUMBER(Propagações_TOT_PARANAIBA!$B$7:$CA$110)*(Propagações_TOT_PARANAIBA!$B$6:$CA$6=$B50&amp;"I")*(Propagações_TOT_PARANAIBA!$A$7:$A$110&gt;=PREVS_SMAP!G$26)*(Propagações_TOT_PARANAIBA!$A$7:$A$110&lt;=PREVS_SMAP!G$27),0))</f>
        <v>0</v>
      </c>
      <c r="AE50" s="272">
        <f t="array" aca="1" ref="AE50" ca="1">SUM(IFERROR(ISNUMBER(Propagações_TOT_PARANAIBA!$B$7:$CA$110)*(Propagações_TOT_PARANAIBA!$B$6:$CA$6=$B50&amp;"I")*(Propagações_TOT_PARANAIBA!$A$7:$A$110&gt;=PREVS_SMAP!H$26)*(Propagações_TOT_PARANAIBA!$A$7:$A$110&lt;=PREVS_SMAP!H$27),0))</f>
        <v>0</v>
      </c>
      <c r="AF50" s="272">
        <f t="array" aca="1" ref="AF50" ca="1">SUM(IFERROR(ISNUMBER(Propagações_TOT_PARANAIBA!$B$7:$CA$110)*(Propagações_TOT_PARANAIBA!$B$6:$CA$6=$B50&amp;"I")*(Propagações_TOT_PARANAIBA!$A$7:$A$110&gt;=PREVS_SMAP!I$26)*(Propagações_TOT_PARANAIBA!$A$7:$A$110&lt;=PREVS_SMAP!I$27),0))</f>
        <v>0</v>
      </c>
      <c r="AG50" s="272">
        <f t="array" aca="1" ref="AG50" ca="1">SUM(IFERROR(ISNUMBER(Propagações_TOT_PARANAIBA!$B$7:$CA$110)*(Propagações_TOT_PARANAIBA!$B$6:$CA$6=$B50&amp;"I")*(Propagações_TOT_PARANAIBA!$A$7:$A$110&gt;=PREVS_SMAP!J$26)*(Propagações_TOT_PARANAIBA!$A$7:$A$110&lt;=PREVS_SMAP!J$27),0))</f>
        <v>0</v>
      </c>
      <c r="AH50" s="272">
        <f t="array" aca="1" ref="AH50" ca="1">SUM(IFERROR(ISNUMBER(Propagações_TOT_PARANAIBA!$B$7:$CA$110)*(Propagações_TOT_PARANAIBA!$B$6:$CA$6=$B50&amp;"I")*(Propagações_TOT_PARANAIBA!$A$7:$A$110&gt;=PREVS_SMAP!K$26)*(Propagações_TOT_PARANAIBA!$A$7:$A$110&lt;=PREVS_SMAP!K$27),0))</f>
        <v>0</v>
      </c>
      <c r="AI50" s="272">
        <f t="array" aca="1" ref="AI50" ca="1">SUM(IFERROR(ISNUMBER(Propagações_TOT_PARANAIBA!$B$7:$CA$110)*(Propagações_TOT_PARANAIBA!$B$6:$CA$6=$B50&amp;"I")*(Propagações_TOT_PARANAIBA!$A$7:$A$110&gt;=PREVS_SMAP!L$26)*(Propagações_TOT_PARANAIBA!$A$7:$A$110&lt;=PREVS_SMAP!L$27),0))</f>
        <v>0</v>
      </c>
      <c r="AJ50" s="272">
        <f t="array" aca="1" ref="AJ50" ca="1">SUM(IFERROR(ISNUMBER(Propagações_TOT_PARANAIBA!$B$7:$CA$110)*(Propagações_TOT_PARANAIBA!$B$6:$CA$6=$B50&amp;"I")*(Propagações_TOT_PARANAIBA!$A$7:$A$110&gt;=PREVS_SMAP!M$26)*(Propagações_TOT_PARANAIBA!$A$7:$A$110&lt;=PREVS_SMAP!M$27),0))</f>
        <v>0</v>
      </c>
      <c r="AK50" s="272">
        <f t="array" aca="1" ref="AK50" ca="1">SUM(IFERROR(ISNUMBER(Propagações_TOT_PARANAIBA!$B$7:$CA$110)*(Propagações_TOT_PARANAIBA!$B$6:$CA$6=$B50&amp;"I")*(Propagações_TOT_PARANAIBA!$A$7:$A$110&gt;=PREVS_SMAP!N$26)*(Propagações_TOT_PARANAIBA!$A$7:$A$110&lt;=PREVS_SMAP!N$27),0))</f>
        <v>0</v>
      </c>
      <c r="AL50" s="272">
        <f t="array" aca="1" ref="AL50" ca="1">SUM(IFERROR(ISNUMBER(Propagações_TOT_PARANAIBA!$B$7:$CA$110)*(Propagações_TOT_PARANAIBA!$B$6:$CA$6=$B50&amp;"I")*(Propagações_TOT_PARANAIBA!$A$7:$A$110&gt;=PREVS_SMAP!O$26)*(Propagações_TOT_PARANAIBA!$A$7:$A$110&lt;=PREVS_SMAP!O$27),0))</f>
        <v>0</v>
      </c>
      <c r="AN50" s="121"/>
      <c r="AO50" s="121">
        <f t="shared" ca="1" si="9"/>
        <v>97</v>
      </c>
      <c r="AP50" s="121" t="b">
        <f t="shared" si="10"/>
        <v>1</v>
      </c>
      <c r="AQ50" s="272">
        <f ca="1">+AVERAGEIFS(TABELA_VAZAO[qnat],TABELA_VAZAO[Posto],$R50,TABELA_VAZAO[Data],AQ$27)</f>
        <v>79</v>
      </c>
      <c r="AR50" s="272">
        <f ca="1">+AVERAGEIFS(TABELA_VAZAO[qnat],TABELA_VAZAO[Posto],$R50,TABELA_VAZAO[Data],AR$27)</f>
        <v>78</v>
      </c>
      <c r="AS50" s="272">
        <f ca="1">+AVERAGEIFS(TABELA_VAZAO[qnat],TABELA_VAZAO[Posto],$R50,TABELA_VAZAO[Data],AS$27)</f>
        <v>93</v>
      </c>
      <c r="AT50" s="272">
        <f ca="1">+AVERAGEIFS(TABELA_VAZAO[qnat],TABELA_VAZAO[Posto],$R50,TABELA_VAZAO[Data],AT$27)</f>
        <v>116</v>
      </c>
      <c r="AU50" s="121">
        <f ca="1">+AVERAGEIFS(TABELA_VAZAO[qnat],TABELA_VAZAO[Posto],$R50,TABELA_VAZAO[Data],AU$27)</f>
        <v>146</v>
      </c>
      <c r="AV50" s="272">
        <f ca="1">IFERROR(AVERAGEIFS(TABELA_VAZAO[qnat],TABELA_VAZAO[Posto],$R50,TABELA_VAZAO[Data],AV$27),AU50+$BB50*EXP(AV$26))</f>
        <v>186</v>
      </c>
      <c r="AW50" s="159">
        <f ca="1">IFERROR(AVERAGEIFS(TABELA_VAZAO[qnat],TABELA_VAZAO[Posto],$R50,TABELA_VAZAO[Data],AW$27),AV50+$BB50*EXP(AW$26))</f>
        <v>344</v>
      </c>
      <c r="AX50" s="325">
        <f ca="1">IFERROR(AVERAGEIFS(TABELA_VAZAO[qnat],TABELA_VAZAO[Posto],$R50,TABELA_VAZAO[Data],AX$27),AW50+$BB50*EXP(AX$26))</f>
        <v>430.71428571428572</v>
      </c>
      <c r="AY50" s="325">
        <f ca="1">IFERROR(AVERAGEIFS(TABELA_VAZAO[qnat],TABELA_VAZAO[Posto],$R50,TABELA_VAZAO[Data],AY$27),AX50+$BB50*EXP(AY$26))</f>
        <v>488.84060970623329</v>
      </c>
      <c r="AZ50" s="326">
        <f ca="1">IFERROR(AVERAGEIFS(TABELA_VAZAO[qnat],TABELA_VAZAO[Posto],$R50,TABELA_VAZAO[Data],AZ$27),AY50+$BB50*EXP(AZ$26))</f>
        <v>527.80384988039805</v>
      </c>
      <c r="BA50" s="326">
        <f ca="1">IFERROR(AVERAGEIFS(TABELA_VAZAO[qnat],TABELA_VAZAO[Posto],$R50,TABELA_VAZAO[Data],BA$27),AZ50+$BB50*EXP(BA$26))</f>
        <v>553.9216908276419</v>
      </c>
      <c r="BB50" s="121">
        <f t="shared" ca="1" si="11"/>
        <v>86.714285714285708</v>
      </c>
      <c r="BC50" s="272">
        <f t="shared" ca="1" si="13"/>
        <v>23</v>
      </c>
      <c r="BD50" s="272">
        <f t="shared" ca="1" si="13"/>
        <v>30</v>
      </c>
      <c r="BE50" s="272">
        <f t="shared" ca="1" si="13"/>
        <v>40</v>
      </c>
      <c r="BF50" s="272">
        <f t="shared" ca="1" si="13"/>
        <v>158</v>
      </c>
      <c r="BG50"/>
    </row>
    <row r="51" spans="1:59" x14ac:dyDescent="0.2">
      <c r="A51" s="294">
        <v>207</v>
      </c>
      <c r="B51" s="283" t="str">
        <f t="shared" si="17"/>
        <v>207_VN</v>
      </c>
      <c r="C51" s="137" t="s">
        <v>60</v>
      </c>
      <c r="D51" s="132">
        <f t="array" aca="1" ref="D51" ca="1">SUM(IFERROR(Propagações_TOT_PARANAIBA!$B$7:$CA$110*(Propagações_TOT_PARANAIBA!$B$6:$CA$6=$B51&amp;"A")*(Propagações_TOT_PARANAIBA!$A$7:$A$110&gt;=PREVS_SMAP!D$26)*(Propagações_TOT_PARANAIBA!$A$7:$A$110&lt;=PREVS_SMAP!D$27),0))/7</f>
        <v>0</v>
      </c>
      <c r="E51" s="132">
        <f t="array" aca="1" ref="E51" ca="1">SUM(IFERROR(Propagações_TOT_PARANAIBA!$B$7:$CA$110*(Propagações_TOT_PARANAIBA!$B$6:$CA$6=$B51&amp;"A")*(Propagações_TOT_PARANAIBA!$A$7:$A$110&gt;=PREVS_SMAP!E$26)*(Propagações_TOT_PARANAIBA!$A$7:$A$110&lt;=PREVS_SMAP!E$27),0))/7</f>
        <v>227.14285714285714</v>
      </c>
      <c r="F51" s="132">
        <f t="array" aca="1" ref="F51" ca="1">SUM(IFERROR(Propagações_TOT_PARANAIBA!$B$7:$CA$110*(Propagações_TOT_PARANAIBA!$B$6:$CA$6=$B51&amp;"A")*(Propagações_TOT_PARANAIBA!$A$7:$A$110&gt;=PREVS_SMAP!F$26)*(Propagações_TOT_PARANAIBA!$A$7:$A$110&lt;=PREVS_SMAP!F$27),0))/7</f>
        <v>109</v>
      </c>
      <c r="G51" s="132" t="e">
        <f t="array" aca="1" ref="G51" ca="1">IF(AD51&lt;7,NA(),SUM(IFERROR(Propagações_TOT_PARANAIBA!$B$7:$CA$110*(Propagações_TOT_PARANAIBA!$B$6:$CA$6=$B51&amp;"I")*(Propagações_TOT_PARANAIBA!$A$7:$A$110&gt;=PREVS_SMAP!G$26)*(Propagações_TOT_PARANAIBA!$A$7:$A$110&lt;=PREVS_SMAP!G$27),0))/7+G50            )</f>
        <v>#N/A</v>
      </c>
      <c r="H51" s="132" t="e">
        <f t="array" aca="1" ref="H51" ca="1">IF(AE51&lt;7,NA(),SUM(IFERROR(Propagações_TOT_PARANAIBA!$B$7:$CA$110*(Propagações_TOT_PARANAIBA!$B$6:$CA$6=$B51&amp;"I")*(Propagações_TOT_PARANAIBA!$A$7:$A$110&gt;=PREVS_SMAP!H$26)*(Propagações_TOT_PARANAIBA!$A$7:$A$110&lt;=PREVS_SMAP!H$27),0))/7+H50            )</f>
        <v>#N/A</v>
      </c>
      <c r="I51" s="132" t="e">
        <f t="array" aca="1" ref="I51" ca="1">IF(AF51&lt;7,NA(),SUM(IFERROR(Propagações_TOT_PARANAIBA!$B$7:$CA$110*(Propagações_TOT_PARANAIBA!$B$6:$CA$6=$B51&amp;"I")*(Propagações_TOT_PARANAIBA!$A$7:$A$110&gt;=PREVS_SMAP!I$26)*(Propagações_TOT_PARANAIBA!$A$7:$A$110&lt;=PREVS_SMAP!I$27),0))/7+I50            )</f>
        <v>#N/A</v>
      </c>
      <c r="J51" s="132" t="e">
        <f t="array" aca="1" ref="J51" ca="1">IF(AG51&lt;7,NA(),SUM(IFERROR(Propagações_TOT_PARANAIBA!$B$7:$CA$110*(Propagações_TOT_PARANAIBA!$B$6:$CA$6=$B51&amp;"I")*(Propagações_TOT_PARANAIBA!$A$7:$A$110&gt;=PREVS_SMAP!J$26)*(Propagações_TOT_PARANAIBA!$A$7:$A$110&lt;=PREVS_SMAP!J$27),0))/7+J50            )</f>
        <v>#N/A</v>
      </c>
      <c r="K51" s="132" t="e">
        <f t="array" aca="1" ref="K51" ca="1">IF(AH51&lt;7,NA(),SUM(IFERROR(Propagações_TOT_PARANAIBA!$B$7:$CA$110*(Propagações_TOT_PARANAIBA!$B$6:$CA$6=$B51&amp;"I")*(Propagações_TOT_PARANAIBA!$A$7:$A$110&gt;=PREVS_SMAP!K$26)*(Propagações_TOT_PARANAIBA!$A$7:$A$110&lt;=PREVS_SMAP!K$27),0))/7+K50            )</f>
        <v>#N/A</v>
      </c>
      <c r="L51" s="132" t="e">
        <f t="array" aca="1" ref="L51" ca="1">IF(AI51&lt;7,NA(),SUM(IFERROR(Propagações_TOT_PARANAIBA!$B$7:$CA$110*(Propagações_TOT_PARANAIBA!$B$6:$CA$6=$B51&amp;"I")*(Propagações_TOT_PARANAIBA!$A$7:$A$110&gt;=PREVS_SMAP!L$26)*(Propagações_TOT_PARANAIBA!$A$7:$A$110&lt;=PREVS_SMAP!L$27),0))/7+L50            )</f>
        <v>#N/A</v>
      </c>
      <c r="M51" s="132" t="e">
        <f t="array" aca="1" ref="M51" ca="1">IF(AJ51&lt;7,NA(),SUM(IFERROR(Propagações_TOT_PARANAIBA!$B$7:$CA$110*(Propagações_TOT_PARANAIBA!$B$6:$CA$6=$B51&amp;"I")*(Propagações_TOT_PARANAIBA!$A$7:$A$110&gt;=PREVS_SMAP!M$26)*(Propagações_TOT_PARANAIBA!$A$7:$A$110&lt;=PREVS_SMAP!M$27),0))/7+M50            )</f>
        <v>#N/A</v>
      </c>
      <c r="N51" s="132" t="e">
        <f t="array" aca="1" ref="N51" ca="1">IF(AK51&lt;7,NA(),SUM(IFERROR(Propagações_TOT_PARANAIBA!$B$7:$CA$110*(Propagações_TOT_PARANAIBA!$B$6:$CA$6=$B51&amp;"I")*(Propagações_TOT_PARANAIBA!$A$7:$A$110&gt;=PREVS_SMAP!N$26)*(Propagações_TOT_PARANAIBA!$A$7:$A$110&lt;=PREVS_SMAP!N$27),0))/7+N50            )</f>
        <v>#N/A</v>
      </c>
      <c r="O51" s="132" t="e">
        <f t="array" aca="1" ref="O51" ca="1">IF(AL51&lt;7,NA(),SUM(IFERROR(Propagações_TOT_PARANAIBA!$B$7:$CA$110*(Propagações_TOT_PARANAIBA!$B$6:$CA$6=$B51&amp;"I")*(Propagações_TOT_PARANAIBA!$A$7:$A$110&gt;=PREVS_SMAP!O$26)*(Propagações_TOT_PARANAIBA!$A$7:$A$110&lt;=PREVS_SMAP!O$27),0))/7+O50            )</f>
        <v>#N/A</v>
      </c>
      <c r="P51" s="132"/>
      <c r="R51">
        <v>24</v>
      </c>
      <c r="S51" s="40">
        <f ca="1">AO51</f>
        <v>143</v>
      </c>
      <c r="T51" s="40" t="str">
        <f t="shared" ca="1" si="19"/>
        <v/>
      </c>
      <c r="U51" s="131" t="str">
        <f t="shared" ca="1" si="19"/>
        <v/>
      </c>
      <c r="V51" s="131" t="str">
        <f t="shared" ca="1" si="19"/>
        <v/>
      </c>
      <c r="W51" s="131" t="str">
        <f t="shared" ca="1" si="19"/>
        <v/>
      </c>
      <c r="X51" s="131" t="str">
        <f t="shared" ca="1" si="19"/>
        <v/>
      </c>
      <c r="Y51" s="131" t="str">
        <f t="shared" ca="1" si="19"/>
        <v/>
      </c>
      <c r="Z51" s="131" t="str">
        <f t="shared" ca="1" si="19"/>
        <v/>
      </c>
      <c r="AA51" s="131" t="str">
        <f t="shared" ca="1" si="19"/>
        <v/>
      </c>
      <c r="AB51" s="131" t="str">
        <f t="shared" ca="1" si="19"/>
        <v/>
      </c>
      <c r="AD51" s="272">
        <f t="array" aca="1" ref="AD51" ca="1">SUM(IFERROR(ISNUMBER(Propagações_TOT_PARANAIBA!$B$7:$CA$110)*(Propagações_TOT_PARANAIBA!$B$6:$CA$6=$B51&amp;"I")*(Propagações_TOT_PARANAIBA!$A$7:$A$110&gt;=PREVS_SMAP!G$26)*(Propagações_TOT_PARANAIBA!$A$7:$A$110&lt;=PREVS_SMAP!G$27),0))</f>
        <v>0</v>
      </c>
      <c r="AE51" s="272">
        <f t="array" aca="1" ref="AE51" ca="1">SUM(IFERROR(ISNUMBER(Propagações_TOT_PARANAIBA!$B$7:$CA$110)*(Propagações_TOT_PARANAIBA!$B$6:$CA$6=$B51&amp;"I")*(Propagações_TOT_PARANAIBA!$A$7:$A$110&gt;=PREVS_SMAP!H$26)*(Propagações_TOT_PARANAIBA!$A$7:$A$110&lt;=PREVS_SMAP!H$27),0))</f>
        <v>0</v>
      </c>
      <c r="AF51" s="272">
        <f t="array" aca="1" ref="AF51" ca="1">SUM(IFERROR(ISNUMBER(Propagações_TOT_PARANAIBA!$B$7:$CA$110)*(Propagações_TOT_PARANAIBA!$B$6:$CA$6=$B51&amp;"I")*(Propagações_TOT_PARANAIBA!$A$7:$A$110&gt;=PREVS_SMAP!I$26)*(Propagações_TOT_PARANAIBA!$A$7:$A$110&lt;=PREVS_SMAP!I$27),0))</f>
        <v>0</v>
      </c>
      <c r="AG51" s="272">
        <f t="array" aca="1" ref="AG51" ca="1">SUM(IFERROR(ISNUMBER(Propagações_TOT_PARANAIBA!$B$7:$CA$110)*(Propagações_TOT_PARANAIBA!$B$6:$CA$6=$B51&amp;"I")*(Propagações_TOT_PARANAIBA!$A$7:$A$110&gt;=PREVS_SMAP!J$26)*(Propagações_TOT_PARANAIBA!$A$7:$A$110&lt;=PREVS_SMAP!J$27),0))</f>
        <v>0</v>
      </c>
      <c r="AH51" s="272">
        <f t="array" aca="1" ref="AH51" ca="1">SUM(IFERROR(ISNUMBER(Propagações_TOT_PARANAIBA!$B$7:$CA$110)*(Propagações_TOT_PARANAIBA!$B$6:$CA$6=$B51&amp;"I")*(Propagações_TOT_PARANAIBA!$A$7:$A$110&gt;=PREVS_SMAP!K$26)*(Propagações_TOT_PARANAIBA!$A$7:$A$110&lt;=PREVS_SMAP!K$27),0))</f>
        <v>0</v>
      </c>
      <c r="AI51" s="272">
        <f t="array" aca="1" ref="AI51" ca="1">SUM(IFERROR(ISNUMBER(Propagações_TOT_PARANAIBA!$B$7:$CA$110)*(Propagações_TOT_PARANAIBA!$B$6:$CA$6=$B51&amp;"I")*(Propagações_TOT_PARANAIBA!$A$7:$A$110&gt;=PREVS_SMAP!L$26)*(Propagações_TOT_PARANAIBA!$A$7:$A$110&lt;=PREVS_SMAP!L$27),0))</f>
        <v>0</v>
      </c>
      <c r="AJ51" s="272">
        <f t="array" aca="1" ref="AJ51" ca="1">SUM(IFERROR(ISNUMBER(Propagações_TOT_PARANAIBA!$B$7:$CA$110)*(Propagações_TOT_PARANAIBA!$B$6:$CA$6=$B51&amp;"I")*(Propagações_TOT_PARANAIBA!$A$7:$A$110&gt;=PREVS_SMAP!M$26)*(Propagações_TOT_PARANAIBA!$A$7:$A$110&lt;=PREVS_SMAP!M$27),0))</f>
        <v>0</v>
      </c>
      <c r="AK51" s="272">
        <f t="array" aca="1" ref="AK51" ca="1">SUM(IFERROR(ISNUMBER(Propagações_TOT_PARANAIBA!$B$7:$CA$110)*(Propagações_TOT_PARANAIBA!$B$6:$CA$6=$B51&amp;"I")*(Propagações_TOT_PARANAIBA!$A$7:$A$110&gt;=PREVS_SMAP!N$26)*(Propagações_TOT_PARANAIBA!$A$7:$A$110&lt;=PREVS_SMAP!N$27),0))</f>
        <v>0</v>
      </c>
      <c r="AL51" s="272">
        <f t="array" aca="1" ref="AL51" ca="1">SUM(IFERROR(ISNUMBER(Propagações_TOT_PARANAIBA!$B$7:$CA$110)*(Propagações_TOT_PARANAIBA!$B$6:$CA$6=$B51&amp;"I")*(Propagações_TOT_PARANAIBA!$A$7:$A$110&gt;=PREVS_SMAP!O$26)*(Propagações_TOT_PARANAIBA!$A$7:$A$110&lt;=PREVS_SMAP!O$27),0))</f>
        <v>0</v>
      </c>
      <c r="AN51" s="121"/>
      <c r="AO51" s="121">
        <f t="shared" ca="1" si="9"/>
        <v>143</v>
      </c>
      <c r="AP51" s="121" t="b">
        <f t="shared" si="10"/>
        <v>1</v>
      </c>
      <c r="AQ51" s="272">
        <f ca="1">+AVERAGEIFS(TABELA_VAZAO[qnat],TABELA_VAZAO[Posto],$R51,TABELA_VAZAO[Data],AQ$27)</f>
        <v>235</v>
      </c>
      <c r="AR51" s="272">
        <f ca="1">+AVERAGEIFS(TABELA_VAZAO[qnat],TABELA_VAZAO[Posto],$R51,TABELA_VAZAO[Data],AR$27)</f>
        <v>226</v>
      </c>
      <c r="AS51" s="272">
        <f ca="1">+AVERAGEIFS(TABELA_VAZAO[qnat],TABELA_VAZAO[Posto],$R51,TABELA_VAZAO[Data],AS$27)</f>
        <v>225</v>
      </c>
      <c r="AT51" s="272">
        <f ca="1">+AVERAGEIFS(TABELA_VAZAO[qnat],TABELA_VAZAO[Posto],$R51,TABELA_VAZAO[Data],AT$27)</f>
        <v>239</v>
      </c>
      <c r="AU51" s="121">
        <f ca="1">+AVERAGEIFS(TABELA_VAZAO[qnat],TABELA_VAZAO[Posto],$R51,TABELA_VAZAO[Data],AU$27)</f>
        <v>272</v>
      </c>
      <c r="AV51" s="272">
        <f ca="1">IFERROR(AVERAGEIFS(TABELA_VAZAO[qnat],TABELA_VAZAO[Posto],$R51,TABELA_VAZAO[Data],AV$27),AU51+$BB51*EXP(AV$26))</f>
        <v>328</v>
      </c>
      <c r="AW51" s="159">
        <f ca="1">IFERROR(AVERAGEIFS(TABELA_VAZAO[qnat],TABELA_VAZAO[Posto],$R51,TABELA_VAZAO[Data],AW$27),AV51+$BB51*EXP(AW$26))</f>
        <v>399</v>
      </c>
      <c r="AX51" s="325">
        <f ca="1">IFERROR(AVERAGEIFS(TABELA_VAZAO[qnat],TABELA_VAZAO[Posto],$R51,TABELA_VAZAO[Data],AX$27),AW51+$BB51*EXP(AX$26))</f>
        <v>452.14285714285717</v>
      </c>
      <c r="AY51" s="325">
        <f ca="1">IFERROR(AVERAGEIFS(TABELA_VAZAO[qnat],TABELA_VAZAO[Posto],$R51,TABELA_VAZAO[Data],AY$27),AX51+$BB51*EXP(AY$26))</f>
        <v>487.76557958932256</v>
      </c>
      <c r="AZ51" s="326">
        <f ca="1">IFERROR(AVERAGEIFS(TABELA_VAZAO[qnat],TABELA_VAZAO[Posto],$R51,TABELA_VAZAO[Data],AZ$27),AY51+$BB51*EXP(AZ$26))</f>
        <v>511.64420453955205</v>
      </c>
      <c r="BA51" s="326">
        <f ca="1">IFERROR(AVERAGEIFS(TABELA_VAZAO[qnat],TABELA_VAZAO[Posto],$R51,TABELA_VAZAO[Data],BA$27),AZ51+$BB51*EXP(BA$26))</f>
        <v>527.65052551545762</v>
      </c>
      <c r="BB51" s="121">
        <f t="shared" ca="1" si="11"/>
        <v>53.142857142857146</v>
      </c>
      <c r="BC51" s="272">
        <f t="shared" ca="1" si="13"/>
        <v>14</v>
      </c>
      <c r="BD51" s="272">
        <f t="shared" ca="1" si="13"/>
        <v>33</v>
      </c>
      <c r="BE51" s="272">
        <f t="shared" ca="1" si="13"/>
        <v>56</v>
      </c>
      <c r="BF51" s="272">
        <f t="shared" ca="1" si="13"/>
        <v>71</v>
      </c>
      <c r="BG51"/>
    </row>
    <row r="52" spans="1:59" x14ac:dyDescent="0.2">
      <c r="A52" s="294">
        <v>28</v>
      </c>
      <c r="B52" s="283" t="str">
        <f t="shared" si="17"/>
        <v>28_VN</v>
      </c>
      <c r="C52" s="137" t="s">
        <v>61</v>
      </c>
      <c r="D52" s="132">
        <f t="array" aca="1" ref="D52" ca="1">SUM(IFERROR(Propagações_TOT_PARANAIBA!$B$7:$CA$110*(Propagações_TOT_PARANAIBA!$B$6:$CA$6=$B52&amp;"A")*(Propagações_TOT_PARANAIBA!$A$7:$A$110&gt;=PREVS_SMAP!D$26)*(Propagações_TOT_PARANAIBA!$A$7:$A$110&lt;=PREVS_SMAP!D$27),0))/7</f>
        <v>0</v>
      </c>
      <c r="E52" s="132">
        <f t="array" aca="1" ref="E52" ca="1">SUM(IFERROR(Propagações_TOT_PARANAIBA!$B$7:$CA$110*(Propagações_TOT_PARANAIBA!$B$6:$CA$6=$B52&amp;"A")*(Propagações_TOT_PARANAIBA!$A$7:$A$110&gt;=PREVS_SMAP!E$26)*(Propagações_TOT_PARANAIBA!$A$7:$A$110&lt;=PREVS_SMAP!E$27),0))/7</f>
        <v>234.57142857142858</v>
      </c>
      <c r="F52" s="132">
        <f t="array" aca="1" ref="F52" ca="1">SUM(IFERROR(Propagações_TOT_PARANAIBA!$B$7:$CA$110*(Propagações_TOT_PARANAIBA!$B$6:$CA$6=$B52&amp;"A")*(Propagações_TOT_PARANAIBA!$A$7:$A$110&gt;=PREVS_SMAP!F$26)*(Propagações_TOT_PARANAIBA!$A$7:$A$110&lt;=PREVS_SMAP!F$27),0))/7</f>
        <v>107.57142857142857</v>
      </c>
      <c r="G52" s="132" t="e">
        <f t="array" aca="1" ref="G52" ca="1">IF(AD52&lt;7,NA(),SUM(IFERROR(Propagações_TOT_PARANAIBA!$B$7:$CA$110*(Propagações_TOT_PARANAIBA!$B$6:$CA$6=$B52&amp;"I")*(Propagações_TOT_PARANAIBA!$A$7:$A$110&gt;=PREVS_SMAP!G$26)*(Propagações_TOT_PARANAIBA!$A$7:$A$110&lt;=PREVS_SMAP!G$27),0))/7+G51            )</f>
        <v>#N/A</v>
      </c>
      <c r="H52" s="132" t="e">
        <f t="array" aca="1" ref="H52" ca="1">IF(AE52&lt;7,NA(),SUM(IFERROR(Propagações_TOT_PARANAIBA!$B$7:$CA$110*(Propagações_TOT_PARANAIBA!$B$6:$CA$6=$B52&amp;"I")*(Propagações_TOT_PARANAIBA!$A$7:$A$110&gt;=PREVS_SMAP!H$26)*(Propagações_TOT_PARANAIBA!$A$7:$A$110&lt;=PREVS_SMAP!H$27),0))/7+H51            )</f>
        <v>#N/A</v>
      </c>
      <c r="I52" s="132" t="e">
        <f t="array" aca="1" ref="I52" ca="1">IF(AF52&lt;7,NA(),SUM(IFERROR(Propagações_TOT_PARANAIBA!$B$7:$CA$110*(Propagações_TOT_PARANAIBA!$B$6:$CA$6=$B52&amp;"I")*(Propagações_TOT_PARANAIBA!$A$7:$A$110&gt;=PREVS_SMAP!I$26)*(Propagações_TOT_PARANAIBA!$A$7:$A$110&lt;=PREVS_SMAP!I$27),0))/7+I51            )</f>
        <v>#N/A</v>
      </c>
      <c r="J52" s="132" t="e">
        <f t="array" aca="1" ref="J52" ca="1">IF(AG52&lt;7,NA(),SUM(IFERROR(Propagações_TOT_PARANAIBA!$B$7:$CA$110*(Propagações_TOT_PARANAIBA!$B$6:$CA$6=$B52&amp;"I")*(Propagações_TOT_PARANAIBA!$A$7:$A$110&gt;=PREVS_SMAP!J$26)*(Propagações_TOT_PARANAIBA!$A$7:$A$110&lt;=PREVS_SMAP!J$27),0))/7+J51            )</f>
        <v>#N/A</v>
      </c>
      <c r="K52" s="132" t="e">
        <f t="array" aca="1" ref="K52" ca="1">IF(AH52&lt;7,NA(),SUM(IFERROR(Propagações_TOT_PARANAIBA!$B$7:$CA$110*(Propagações_TOT_PARANAIBA!$B$6:$CA$6=$B52&amp;"I")*(Propagações_TOT_PARANAIBA!$A$7:$A$110&gt;=PREVS_SMAP!K$26)*(Propagações_TOT_PARANAIBA!$A$7:$A$110&lt;=PREVS_SMAP!K$27),0))/7+K51            )</f>
        <v>#N/A</v>
      </c>
      <c r="L52" s="132" t="e">
        <f t="array" aca="1" ref="L52" ca="1">IF(AI52&lt;7,NA(),SUM(IFERROR(Propagações_TOT_PARANAIBA!$B$7:$CA$110*(Propagações_TOT_PARANAIBA!$B$6:$CA$6=$B52&amp;"I")*(Propagações_TOT_PARANAIBA!$A$7:$A$110&gt;=PREVS_SMAP!L$26)*(Propagações_TOT_PARANAIBA!$A$7:$A$110&lt;=PREVS_SMAP!L$27),0))/7+L51            )</f>
        <v>#N/A</v>
      </c>
      <c r="M52" s="132" t="e">
        <f t="array" aca="1" ref="M52" ca="1">IF(AJ52&lt;7,NA(),SUM(IFERROR(Propagações_TOT_PARANAIBA!$B$7:$CA$110*(Propagações_TOT_PARANAIBA!$B$6:$CA$6=$B52&amp;"I")*(Propagações_TOT_PARANAIBA!$A$7:$A$110&gt;=PREVS_SMAP!M$26)*(Propagações_TOT_PARANAIBA!$A$7:$A$110&lt;=PREVS_SMAP!M$27),0))/7+M51            )</f>
        <v>#N/A</v>
      </c>
      <c r="N52" s="132" t="e">
        <f t="array" aca="1" ref="N52" ca="1">IF(AK52&lt;7,NA(),SUM(IFERROR(Propagações_TOT_PARANAIBA!$B$7:$CA$110*(Propagações_TOT_PARANAIBA!$B$6:$CA$6=$B52&amp;"I")*(Propagações_TOT_PARANAIBA!$A$7:$A$110&gt;=PREVS_SMAP!N$26)*(Propagações_TOT_PARANAIBA!$A$7:$A$110&lt;=PREVS_SMAP!N$27),0))/7+N51            )</f>
        <v>#N/A</v>
      </c>
      <c r="O52" s="132" t="e">
        <f t="array" aca="1" ref="O52" ca="1">IF(AL52&lt;7,NA(),SUM(IFERROR(Propagações_TOT_PARANAIBA!$B$7:$CA$110*(Propagações_TOT_PARANAIBA!$B$6:$CA$6=$B52&amp;"I")*(Propagações_TOT_PARANAIBA!$A$7:$A$110&gt;=PREVS_SMAP!O$26)*(Propagações_TOT_PARANAIBA!$A$7:$A$110&lt;=PREVS_SMAP!O$27),0))/7+O51            )</f>
        <v>#N/A</v>
      </c>
      <c r="P52" s="132"/>
      <c r="R52">
        <v>25</v>
      </c>
      <c r="S52" s="40">
        <f ca="1">AO52</f>
        <v>105</v>
      </c>
      <c r="T52" s="40" t="str">
        <f t="shared" ca="1" si="19"/>
        <v/>
      </c>
      <c r="U52" s="131" t="str">
        <f t="shared" ca="1" si="19"/>
        <v/>
      </c>
      <c r="V52" s="131" t="str">
        <f t="shared" ca="1" si="19"/>
        <v/>
      </c>
      <c r="W52" s="131" t="str">
        <f t="shared" ca="1" si="19"/>
        <v/>
      </c>
      <c r="X52" s="131" t="str">
        <f t="shared" ca="1" si="19"/>
        <v/>
      </c>
      <c r="Y52" s="131" t="str">
        <f t="shared" ca="1" si="19"/>
        <v/>
      </c>
      <c r="Z52" s="131" t="str">
        <f t="shared" ca="1" si="19"/>
        <v/>
      </c>
      <c r="AA52" s="131" t="str">
        <f t="shared" ca="1" si="19"/>
        <v/>
      </c>
      <c r="AB52" s="131" t="str">
        <f t="shared" ca="1" si="19"/>
        <v/>
      </c>
      <c r="AD52" s="272">
        <f t="array" aca="1" ref="AD52" ca="1">SUM(IFERROR(ISNUMBER(Propagações_TOT_PARANAIBA!$B$7:$CA$110)*(Propagações_TOT_PARANAIBA!$B$6:$CA$6=$B52&amp;"I")*(Propagações_TOT_PARANAIBA!$A$7:$A$110&gt;=PREVS_SMAP!G$26)*(Propagações_TOT_PARANAIBA!$A$7:$A$110&lt;=PREVS_SMAP!G$27),0))</f>
        <v>0</v>
      </c>
      <c r="AE52" s="272">
        <f t="array" aca="1" ref="AE52" ca="1">SUM(IFERROR(ISNUMBER(Propagações_TOT_PARANAIBA!$B$7:$CA$110)*(Propagações_TOT_PARANAIBA!$B$6:$CA$6=$B52&amp;"I")*(Propagações_TOT_PARANAIBA!$A$7:$A$110&gt;=PREVS_SMAP!H$26)*(Propagações_TOT_PARANAIBA!$A$7:$A$110&lt;=PREVS_SMAP!H$27),0))</f>
        <v>0</v>
      </c>
      <c r="AF52" s="272">
        <f t="array" aca="1" ref="AF52" ca="1">SUM(IFERROR(ISNUMBER(Propagações_TOT_PARANAIBA!$B$7:$CA$110)*(Propagações_TOT_PARANAIBA!$B$6:$CA$6=$B52&amp;"I")*(Propagações_TOT_PARANAIBA!$A$7:$A$110&gt;=PREVS_SMAP!I$26)*(Propagações_TOT_PARANAIBA!$A$7:$A$110&lt;=PREVS_SMAP!I$27),0))</f>
        <v>0</v>
      </c>
      <c r="AG52" s="272">
        <f t="array" aca="1" ref="AG52" ca="1">SUM(IFERROR(ISNUMBER(Propagações_TOT_PARANAIBA!$B$7:$CA$110)*(Propagações_TOT_PARANAIBA!$B$6:$CA$6=$B52&amp;"I")*(Propagações_TOT_PARANAIBA!$A$7:$A$110&gt;=PREVS_SMAP!J$26)*(Propagações_TOT_PARANAIBA!$A$7:$A$110&lt;=PREVS_SMAP!J$27),0))</f>
        <v>0</v>
      </c>
      <c r="AH52" s="272">
        <f t="array" aca="1" ref="AH52" ca="1">SUM(IFERROR(ISNUMBER(Propagações_TOT_PARANAIBA!$B$7:$CA$110)*(Propagações_TOT_PARANAIBA!$B$6:$CA$6=$B52&amp;"I")*(Propagações_TOT_PARANAIBA!$A$7:$A$110&gt;=PREVS_SMAP!K$26)*(Propagações_TOT_PARANAIBA!$A$7:$A$110&lt;=PREVS_SMAP!K$27),0))</f>
        <v>0</v>
      </c>
      <c r="AI52" s="272">
        <f t="array" aca="1" ref="AI52" ca="1">SUM(IFERROR(ISNUMBER(Propagações_TOT_PARANAIBA!$B$7:$CA$110)*(Propagações_TOT_PARANAIBA!$B$6:$CA$6=$B52&amp;"I")*(Propagações_TOT_PARANAIBA!$A$7:$A$110&gt;=PREVS_SMAP!L$26)*(Propagações_TOT_PARANAIBA!$A$7:$A$110&lt;=PREVS_SMAP!L$27),0))</f>
        <v>0</v>
      </c>
      <c r="AJ52" s="272">
        <f t="array" aca="1" ref="AJ52" ca="1">SUM(IFERROR(ISNUMBER(Propagações_TOT_PARANAIBA!$B$7:$CA$110)*(Propagações_TOT_PARANAIBA!$B$6:$CA$6=$B52&amp;"I")*(Propagações_TOT_PARANAIBA!$A$7:$A$110&gt;=PREVS_SMAP!M$26)*(Propagações_TOT_PARANAIBA!$A$7:$A$110&lt;=PREVS_SMAP!M$27),0))</f>
        <v>0</v>
      </c>
      <c r="AK52" s="272">
        <f t="array" aca="1" ref="AK52" ca="1">SUM(IFERROR(ISNUMBER(Propagações_TOT_PARANAIBA!$B$7:$CA$110)*(Propagações_TOT_PARANAIBA!$B$6:$CA$6=$B52&amp;"I")*(Propagações_TOT_PARANAIBA!$A$7:$A$110&gt;=PREVS_SMAP!N$26)*(Propagações_TOT_PARANAIBA!$A$7:$A$110&lt;=PREVS_SMAP!N$27),0))</f>
        <v>0</v>
      </c>
      <c r="AL52" s="272">
        <f t="array" aca="1" ref="AL52" ca="1">SUM(IFERROR(ISNUMBER(Propagações_TOT_PARANAIBA!$B$7:$CA$110)*(Propagações_TOT_PARANAIBA!$B$6:$CA$6=$B52&amp;"I")*(Propagações_TOT_PARANAIBA!$A$7:$A$110&gt;=PREVS_SMAP!O$26)*(Propagações_TOT_PARANAIBA!$A$7:$A$110&lt;=PREVS_SMAP!O$27),0))</f>
        <v>0</v>
      </c>
      <c r="AN52" s="121"/>
      <c r="AO52" s="121">
        <f t="shared" ca="1" si="9"/>
        <v>105</v>
      </c>
      <c r="AP52" s="121" t="b">
        <f t="shared" si="10"/>
        <v>1</v>
      </c>
      <c r="AQ52" s="272">
        <f ca="1">+AVERAGEIFS(TABELA_VAZAO[qnat],TABELA_VAZAO[Posto],$R52,TABELA_VAZAO[Data],AQ$27)</f>
        <v>196</v>
      </c>
      <c r="AR52" s="272">
        <f ca="1">+AVERAGEIFS(TABELA_VAZAO[qnat],TABELA_VAZAO[Posto],$R52,TABELA_VAZAO[Data],AR$27)</f>
        <v>198</v>
      </c>
      <c r="AS52" s="272">
        <f ca="1">+AVERAGEIFS(TABELA_VAZAO[qnat],TABELA_VAZAO[Posto],$R52,TABELA_VAZAO[Data],AS$27)</f>
        <v>202</v>
      </c>
      <c r="AT52" s="272">
        <f ca="1">+AVERAGEIFS(TABELA_VAZAO[qnat],TABELA_VAZAO[Posto],$R52,TABELA_VAZAO[Data],AT$27)</f>
        <v>217</v>
      </c>
      <c r="AU52" s="121">
        <f ca="1">+AVERAGEIFS(TABELA_VAZAO[qnat],TABELA_VAZAO[Posto],$R52,TABELA_VAZAO[Data],AU$27)</f>
        <v>241</v>
      </c>
      <c r="AV52" s="272">
        <f ca="1">IFERROR(AVERAGEIFS(TABELA_VAZAO[qnat],TABELA_VAZAO[Posto],$R52,TABELA_VAZAO[Data],AV$27),AU52+$BB52*EXP(AV$26))</f>
        <v>252</v>
      </c>
      <c r="AW52" s="159">
        <f ca="1">IFERROR(AVERAGEIFS(TABELA_VAZAO[qnat],TABELA_VAZAO[Posto],$R52,TABELA_VAZAO[Data],AW$27),AV52+$BB52*EXP(AW$26))</f>
        <v>242</v>
      </c>
      <c r="AX52" s="325">
        <f ca="1">IFERROR(AVERAGEIFS(TABELA_VAZAO[qnat],TABELA_VAZAO[Posto],$R52,TABELA_VAZAO[Data],AX$27),AW52+$BB52*EXP(AX$26))</f>
        <v>246.42857142857142</v>
      </c>
      <c r="AY52" s="325">
        <f ca="1">IFERROR(AVERAGEIFS(TABELA_VAZAO[qnat],TABELA_VAZAO[Posto],$R52,TABELA_VAZAO[Data],AY$27),AX52+$BB52*EXP(AY$26))</f>
        <v>249.39713163244355</v>
      </c>
      <c r="AZ52" s="326">
        <f ca="1">IFERROR(AVERAGEIFS(TABELA_VAZAO[qnat],TABELA_VAZAO[Posto],$R52,TABELA_VAZAO[Data],AZ$27),AY52+$BB52*EXP(AZ$26))</f>
        <v>251.38701704496268</v>
      </c>
      <c r="BA52" s="326">
        <f ca="1">IFERROR(AVERAGEIFS(TABELA_VAZAO[qnat],TABELA_VAZAO[Posto],$R52,TABELA_VAZAO[Data],BA$27),AZ52+$BB52*EXP(BA$26))</f>
        <v>252.72087712628814</v>
      </c>
      <c r="BB52" s="121">
        <f t="shared" ca="1" si="11"/>
        <v>4.4285714285714288</v>
      </c>
      <c r="BC52" s="272">
        <f t="shared" ca="1" si="13"/>
        <v>15</v>
      </c>
      <c r="BD52" s="272">
        <f t="shared" ca="1" si="13"/>
        <v>24</v>
      </c>
      <c r="BE52" s="272">
        <f t="shared" ca="1" si="13"/>
        <v>11</v>
      </c>
      <c r="BF52" s="272">
        <f t="shared" ca="1" si="13"/>
        <v>-10</v>
      </c>
      <c r="BG52"/>
    </row>
    <row r="53" spans="1:59" x14ac:dyDescent="0.2">
      <c r="A53" s="294">
        <v>31</v>
      </c>
      <c r="B53" s="283" t="str">
        <f t="shared" si="17"/>
        <v>31_VN</v>
      </c>
      <c r="C53" s="149" t="s">
        <v>28</v>
      </c>
      <c r="D53" s="132">
        <f t="array" aca="1" ref="D53" ca="1">SUM(IFERROR(Propagações_TOT_PARANAIBA!$B$7:$CA$110*(Propagações_TOT_PARANAIBA!$B$6:$CA$6=$B53&amp;"A")*(Propagações_TOT_PARANAIBA!$A$7:$A$110&gt;=PREVS_SMAP!D$26)*(Propagações_TOT_PARANAIBA!$A$7:$A$110&lt;=PREVS_SMAP!D$27),0))/7</f>
        <v>0</v>
      </c>
      <c r="E53" s="132">
        <f t="array" aca="1" ref="E53" ca="1">SUM(IFERROR(Propagações_TOT_PARANAIBA!$B$7:$CA$110*(Propagações_TOT_PARANAIBA!$B$6:$CA$6=$B53&amp;"A")*(Propagações_TOT_PARANAIBA!$A$7:$A$110&gt;=PREVS_SMAP!E$26)*(Propagações_TOT_PARANAIBA!$A$7:$A$110&lt;=PREVS_SMAP!E$27),0))/7</f>
        <v>889</v>
      </c>
      <c r="F53" s="132">
        <f t="array" aca="1" ref="F53" ca="1">SUM(IFERROR(Propagações_TOT_PARANAIBA!$B$7:$CA$110*(Propagações_TOT_PARANAIBA!$B$6:$CA$6=$B53&amp;"A")*(Propagações_TOT_PARANAIBA!$A$7:$A$110&gt;=PREVS_SMAP!F$26)*(Propagações_TOT_PARANAIBA!$A$7:$A$110&lt;=PREVS_SMAP!F$27),0))/7</f>
        <v>503.28571428571428</v>
      </c>
      <c r="G53" s="132" t="e">
        <f t="array" aca="1" ref="G53" ca="1">IF(AD53&lt;7,NA(),SUM(IFERROR(Propagações_TOT_PARANAIBA!$B$7:$CA$110*(Propagações_TOT_PARANAIBA!$B$6:$CA$6=$B53&amp;"I")*(Propagações_TOT_PARANAIBA!$A$7:$A$110&gt;=PREVS_SMAP!G$26)*(Propagações_TOT_PARANAIBA!$A$7:$A$110&lt;=PREVS_SMAP!G$27),0))/7+G52+G48+G46    )</f>
        <v>#N/A</v>
      </c>
      <c r="H53" s="132" t="e">
        <f t="array" aca="1" ref="H53" ca="1">IF(AE53&lt;7,NA(),SUM(IFERROR(Propagações_TOT_PARANAIBA!$B$7:$CA$110*(Propagações_TOT_PARANAIBA!$B$6:$CA$6=$B53&amp;"I")*(Propagações_TOT_PARANAIBA!$A$7:$A$110&gt;=PREVS_SMAP!H$26)*(Propagações_TOT_PARANAIBA!$A$7:$A$110&lt;=PREVS_SMAP!H$27),0))/7+H52+H48+H46    )</f>
        <v>#N/A</v>
      </c>
      <c r="I53" s="132" t="e">
        <f t="array" aca="1" ref="I53" ca="1">IF(AF53&lt;7,NA(),SUM(IFERROR(Propagações_TOT_PARANAIBA!$B$7:$CA$110*(Propagações_TOT_PARANAIBA!$B$6:$CA$6=$B53&amp;"I")*(Propagações_TOT_PARANAIBA!$A$7:$A$110&gt;=PREVS_SMAP!I$26)*(Propagações_TOT_PARANAIBA!$A$7:$A$110&lt;=PREVS_SMAP!I$27),0))/7+I52+I48+I46    )</f>
        <v>#N/A</v>
      </c>
      <c r="J53" s="132" t="e">
        <f t="array" aca="1" ref="J53" ca="1">IF(AG53&lt;7,NA(),SUM(IFERROR(Propagações_TOT_PARANAIBA!$B$7:$CA$110*(Propagações_TOT_PARANAIBA!$B$6:$CA$6=$B53&amp;"I")*(Propagações_TOT_PARANAIBA!$A$7:$A$110&gt;=PREVS_SMAP!J$26)*(Propagações_TOT_PARANAIBA!$A$7:$A$110&lt;=PREVS_SMAP!J$27),0))/7+J52+J48+J46    )</f>
        <v>#N/A</v>
      </c>
      <c r="K53" s="132" t="e">
        <f t="array" aca="1" ref="K53" ca="1">IF(AH53&lt;7,NA(),SUM(IFERROR(Propagações_TOT_PARANAIBA!$B$7:$CA$110*(Propagações_TOT_PARANAIBA!$B$6:$CA$6=$B53&amp;"I")*(Propagações_TOT_PARANAIBA!$A$7:$A$110&gt;=PREVS_SMAP!K$26)*(Propagações_TOT_PARANAIBA!$A$7:$A$110&lt;=PREVS_SMAP!K$27),0))/7+K52+K48+K46    )</f>
        <v>#N/A</v>
      </c>
      <c r="L53" s="132" t="e">
        <f t="array" aca="1" ref="L53" ca="1">IF(AI53&lt;7,NA(),SUM(IFERROR(Propagações_TOT_PARANAIBA!$B$7:$CA$110*(Propagações_TOT_PARANAIBA!$B$6:$CA$6=$B53&amp;"I")*(Propagações_TOT_PARANAIBA!$A$7:$A$110&gt;=PREVS_SMAP!L$26)*(Propagações_TOT_PARANAIBA!$A$7:$A$110&lt;=PREVS_SMAP!L$27),0))/7+L52+L48+L46    )</f>
        <v>#N/A</v>
      </c>
      <c r="M53" s="132" t="e">
        <f t="array" aca="1" ref="M53" ca="1">IF(AJ53&lt;7,NA(),SUM(IFERROR(Propagações_TOT_PARANAIBA!$B$7:$CA$110*(Propagações_TOT_PARANAIBA!$B$6:$CA$6=$B53&amp;"I")*(Propagações_TOT_PARANAIBA!$A$7:$A$110&gt;=PREVS_SMAP!M$26)*(Propagações_TOT_PARANAIBA!$A$7:$A$110&lt;=PREVS_SMAP!M$27),0))/7+M52+M48+M46    )</f>
        <v>#N/A</v>
      </c>
      <c r="N53" s="132" t="e">
        <f t="array" aca="1" ref="N53" ca="1">IF(AK53&lt;7,NA(),SUM(IFERROR(Propagações_TOT_PARANAIBA!$B$7:$CA$110*(Propagações_TOT_PARANAIBA!$B$6:$CA$6=$B53&amp;"I")*(Propagações_TOT_PARANAIBA!$A$7:$A$110&gt;=PREVS_SMAP!N$26)*(Propagações_TOT_PARANAIBA!$A$7:$A$110&lt;=PREVS_SMAP!N$27),0))/7+N52+N48+N46    )</f>
        <v>#N/A</v>
      </c>
      <c r="O53" s="132" t="e">
        <f t="array" aca="1" ref="O53" ca="1">IF(AL53&lt;7,NA(),SUM(IFERROR(Propagações_TOT_PARANAIBA!$B$7:$CA$110*(Propagações_TOT_PARANAIBA!$B$6:$CA$6=$B53&amp;"I")*(Propagações_TOT_PARANAIBA!$A$7:$A$110&gt;=PREVS_SMAP!O$26)*(Propagações_TOT_PARANAIBA!$A$7:$A$110&lt;=PREVS_SMAP!O$27),0))/7+O52+O48+O46    )</f>
        <v>#N/A</v>
      </c>
      <c r="P53" s="132"/>
      <c r="R53">
        <v>26</v>
      </c>
      <c r="S53" s="40"/>
      <c r="T53" s="40"/>
      <c r="U53" s="131"/>
      <c r="V53" s="131"/>
      <c r="W53" s="131"/>
      <c r="X53" s="131"/>
      <c r="Y53" s="131"/>
      <c r="Z53" s="131"/>
      <c r="AA53" s="131"/>
      <c r="AB53" s="131"/>
      <c r="AD53" s="272">
        <f t="array" aca="1" ref="AD53" ca="1">SUM(IFERROR(ISNUMBER(Propagações_TOT_PARANAIBA!$B$7:$CA$110)*(Propagações_TOT_PARANAIBA!$B$6:$CA$6=$B53&amp;"I")*(Propagações_TOT_PARANAIBA!$A$7:$A$110&gt;=PREVS_SMAP!G$26)*(Propagações_TOT_PARANAIBA!$A$7:$A$110&lt;=PREVS_SMAP!G$27),0))</f>
        <v>0</v>
      </c>
      <c r="AE53" s="272">
        <f t="array" aca="1" ref="AE53" ca="1">SUM(IFERROR(ISNUMBER(Propagações_TOT_PARANAIBA!$B$7:$CA$110)*(Propagações_TOT_PARANAIBA!$B$6:$CA$6=$B53&amp;"I")*(Propagações_TOT_PARANAIBA!$A$7:$A$110&gt;=PREVS_SMAP!H$26)*(Propagações_TOT_PARANAIBA!$A$7:$A$110&lt;=PREVS_SMAP!H$27),0))</f>
        <v>0</v>
      </c>
      <c r="AF53" s="272">
        <f t="array" aca="1" ref="AF53" ca="1">SUM(IFERROR(ISNUMBER(Propagações_TOT_PARANAIBA!$B$7:$CA$110)*(Propagações_TOT_PARANAIBA!$B$6:$CA$6=$B53&amp;"I")*(Propagações_TOT_PARANAIBA!$A$7:$A$110&gt;=PREVS_SMAP!I$26)*(Propagações_TOT_PARANAIBA!$A$7:$A$110&lt;=PREVS_SMAP!I$27),0))</f>
        <v>0</v>
      </c>
      <c r="AG53" s="272">
        <f t="array" aca="1" ref="AG53" ca="1">SUM(IFERROR(ISNUMBER(Propagações_TOT_PARANAIBA!$B$7:$CA$110)*(Propagações_TOT_PARANAIBA!$B$6:$CA$6=$B53&amp;"I")*(Propagações_TOT_PARANAIBA!$A$7:$A$110&gt;=PREVS_SMAP!J$26)*(Propagações_TOT_PARANAIBA!$A$7:$A$110&lt;=PREVS_SMAP!J$27),0))</f>
        <v>0</v>
      </c>
      <c r="AH53" s="272">
        <f t="array" aca="1" ref="AH53" ca="1">SUM(IFERROR(ISNUMBER(Propagações_TOT_PARANAIBA!$B$7:$CA$110)*(Propagações_TOT_PARANAIBA!$B$6:$CA$6=$B53&amp;"I")*(Propagações_TOT_PARANAIBA!$A$7:$A$110&gt;=PREVS_SMAP!K$26)*(Propagações_TOT_PARANAIBA!$A$7:$A$110&lt;=PREVS_SMAP!K$27),0))</f>
        <v>0</v>
      </c>
      <c r="AI53" s="272">
        <f t="array" aca="1" ref="AI53" ca="1">SUM(IFERROR(ISNUMBER(Propagações_TOT_PARANAIBA!$B$7:$CA$110)*(Propagações_TOT_PARANAIBA!$B$6:$CA$6=$B53&amp;"I")*(Propagações_TOT_PARANAIBA!$A$7:$A$110&gt;=PREVS_SMAP!L$26)*(Propagações_TOT_PARANAIBA!$A$7:$A$110&lt;=PREVS_SMAP!L$27),0))</f>
        <v>0</v>
      </c>
      <c r="AJ53" s="272">
        <f t="array" aca="1" ref="AJ53" ca="1">SUM(IFERROR(ISNUMBER(Propagações_TOT_PARANAIBA!$B$7:$CA$110)*(Propagações_TOT_PARANAIBA!$B$6:$CA$6=$B53&amp;"I")*(Propagações_TOT_PARANAIBA!$A$7:$A$110&gt;=PREVS_SMAP!M$26)*(Propagações_TOT_PARANAIBA!$A$7:$A$110&lt;=PREVS_SMAP!M$27),0))</f>
        <v>0</v>
      </c>
      <c r="AK53" s="272">
        <f t="array" aca="1" ref="AK53" ca="1">SUM(IFERROR(ISNUMBER(Propagações_TOT_PARANAIBA!$B$7:$CA$110)*(Propagações_TOT_PARANAIBA!$B$6:$CA$6=$B53&amp;"I")*(Propagações_TOT_PARANAIBA!$A$7:$A$110&gt;=PREVS_SMAP!N$26)*(Propagações_TOT_PARANAIBA!$A$7:$A$110&lt;=PREVS_SMAP!N$27),0))</f>
        <v>0</v>
      </c>
      <c r="AL53" s="272">
        <f t="array" aca="1" ref="AL53" ca="1">SUM(IFERROR(ISNUMBER(Propagações_TOT_PARANAIBA!$B$7:$CA$110)*(Propagações_TOT_PARANAIBA!$B$6:$CA$6=$B53&amp;"I")*(Propagações_TOT_PARANAIBA!$A$7:$A$110&gt;=PREVS_SMAP!O$26)*(Propagações_TOT_PARANAIBA!$A$7:$A$110&lt;=PREVS_SMAP!O$27),0))</f>
        <v>0</v>
      </c>
      <c r="AN53" s="121"/>
      <c r="AO53" s="121" t="e">
        <f t="shared" si="9"/>
        <v>#DIV/0!</v>
      </c>
      <c r="AP53" s="121" t="b">
        <f t="shared" si="10"/>
        <v>0</v>
      </c>
      <c r="AU53" s="121"/>
      <c r="AV53" s="121"/>
      <c r="AW53" s="159"/>
      <c r="AX53" s="159"/>
      <c r="AY53" s="159"/>
      <c r="AZ53" s="157"/>
      <c r="BA53" s="157"/>
      <c r="BB53" s="121">
        <f t="shared" ca="1" si="11"/>
        <v>0</v>
      </c>
      <c r="BC53" s="272">
        <f t="shared" ca="1" si="13"/>
        <v>0</v>
      </c>
      <c r="BD53" s="272">
        <f t="shared" ca="1" si="13"/>
        <v>0</v>
      </c>
      <c r="BE53" s="272">
        <f t="shared" ca="1" si="13"/>
        <v>0</v>
      </c>
      <c r="BF53" s="272">
        <f t="shared" ca="1" si="13"/>
        <v>0</v>
      </c>
      <c r="BG53"/>
    </row>
    <row r="54" spans="1:59" x14ac:dyDescent="0.2">
      <c r="A54" s="294">
        <v>32</v>
      </c>
      <c r="B54" s="283" t="str">
        <f t="shared" si="17"/>
        <v>32_VN</v>
      </c>
      <c r="C54" s="149"/>
      <c r="D54" s="132">
        <f t="array" aca="1" ref="D54" ca="1">SUM(IFERROR(Propagações_TOT_PARANAIBA!$B$7:$CA$110*(Propagações_TOT_PARANAIBA!$B$6:$CA$6=$B54&amp;"A")*(Propagações_TOT_PARANAIBA!$A$7:$A$110&gt;=PREVS_SMAP!D$26)*(Propagações_TOT_PARANAIBA!$A$7:$A$110&lt;=PREVS_SMAP!D$27),0))/7</f>
        <v>0</v>
      </c>
      <c r="E54" s="132">
        <f t="array" aca="1" ref="E54" ca="1">SUM(IFERROR(Propagações_TOT_PARANAIBA!$B$7:$CA$110*(Propagações_TOT_PARANAIBA!$B$6:$CA$6=$B54&amp;"A")*(Propagações_TOT_PARANAIBA!$A$7:$A$110&gt;=PREVS_SMAP!E$26)*(Propagações_TOT_PARANAIBA!$A$7:$A$110&lt;=PREVS_SMAP!E$27),0))/7</f>
        <v>949.42857142857144</v>
      </c>
      <c r="F54" s="132">
        <f t="array" aca="1" ref="F54" ca="1">SUM(IFERROR(Propagações_TOT_PARANAIBA!$B$7:$CA$110*(Propagações_TOT_PARANAIBA!$B$6:$CA$6=$B54&amp;"A")*(Propagações_TOT_PARANAIBA!$A$7:$A$110&gt;=PREVS_SMAP!F$26)*(Propagações_TOT_PARANAIBA!$A$7:$A$110&lt;=PREVS_SMAP!F$27),0))/7</f>
        <v>518.14285714285711</v>
      </c>
      <c r="G54" s="132" t="e">
        <f t="array" aca="1" ref="G54" ca="1">IF(AD54&lt;7,NA(),SUM(IFERROR(Propagações_TOT_PARANAIBA!$B$7:$CA$110*(Propagações_TOT_PARANAIBA!$B$6:$CA$6=$B54&amp;"I")*(Propagações_TOT_PARANAIBA!$A$7:$A$110&gt;=PREVS_SMAP!G$26)*(Propagações_TOT_PARANAIBA!$A$7:$A$110&lt;=PREVS_SMAP!G$27),0))/7+G53            )</f>
        <v>#N/A</v>
      </c>
      <c r="H54" s="132" t="e">
        <f t="array" aca="1" ref="H54" ca="1">IF(AE54&lt;7,NA(),SUM(IFERROR(Propagações_TOT_PARANAIBA!$B$7:$CA$110*(Propagações_TOT_PARANAIBA!$B$6:$CA$6=$B54&amp;"I")*(Propagações_TOT_PARANAIBA!$A$7:$A$110&gt;=PREVS_SMAP!H$26)*(Propagações_TOT_PARANAIBA!$A$7:$A$110&lt;=PREVS_SMAP!H$27),0))/7+H53            )</f>
        <v>#N/A</v>
      </c>
      <c r="I54" s="132" t="e">
        <f t="array" aca="1" ref="I54" ca="1">IF(AF54&lt;7,NA(),SUM(IFERROR(Propagações_TOT_PARANAIBA!$B$7:$CA$110*(Propagações_TOT_PARANAIBA!$B$6:$CA$6=$B54&amp;"I")*(Propagações_TOT_PARANAIBA!$A$7:$A$110&gt;=PREVS_SMAP!I$26)*(Propagações_TOT_PARANAIBA!$A$7:$A$110&lt;=PREVS_SMAP!I$27),0))/7+I53            )</f>
        <v>#N/A</v>
      </c>
      <c r="J54" s="132" t="e">
        <f t="array" aca="1" ref="J54" ca="1">IF(AG54&lt;7,NA(),SUM(IFERROR(Propagações_TOT_PARANAIBA!$B$7:$CA$110*(Propagações_TOT_PARANAIBA!$B$6:$CA$6=$B54&amp;"I")*(Propagações_TOT_PARANAIBA!$A$7:$A$110&gt;=PREVS_SMAP!J$26)*(Propagações_TOT_PARANAIBA!$A$7:$A$110&lt;=PREVS_SMAP!J$27),0))/7+J53            )</f>
        <v>#N/A</v>
      </c>
      <c r="K54" s="132" t="e">
        <f t="array" aca="1" ref="K54" ca="1">IF(AH54&lt;7,NA(),SUM(IFERROR(Propagações_TOT_PARANAIBA!$B$7:$CA$110*(Propagações_TOT_PARANAIBA!$B$6:$CA$6=$B54&amp;"I")*(Propagações_TOT_PARANAIBA!$A$7:$A$110&gt;=PREVS_SMAP!K$26)*(Propagações_TOT_PARANAIBA!$A$7:$A$110&lt;=PREVS_SMAP!K$27),0))/7+K53            )</f>
        <v>#N/A</v>
      </c>
      <c r="L54" s="132" t="e">
        <f t="array" aca="1" ref="L54" ca="1">IF(AI54&lt;7,NA(),SUM(IFERROR(Propagações_TOT_PARANAIBA!$B$7:$CA$110*(Propagações_TOT_PARANAIBA!$B$6:$CA$6=$B54&amp;"I")*(Propagações_TOT_PARANAIBA!$A$7:$A$110&gt;=PREVS_SMAP!L$26)*(Propagações_TOT_PARANAIBA!$A$7:$A$110&lt;=PREVS_SMAP!L$27),0))/7+L53            )</f>
        <v>#N/A</v>
      </c>
      <c r="M54" s="132" t="e">
        <f t="array" aca="1" ref="M54" ca="1">IF(AJ54&lt;7,NA(),SUM(IFERROR(Propagações_TOT_PARANAIBA!$B$7:$CA$110*(Propagações_TOT_PARANAIBA!$B$6:$CA$6=$B54&amp;"I")*(Propagações_TOT_PARANAIBA!$A$7:$A$110&gt;=PREVS_SMAP!M$26)*(Propagações_TOT_PARANAIBA!$A$7:$A$110&lt;=PREVS_SMAP!M$27),0))/7+M53            )</f>
        <v>#N/A</v>
      </c>
      <c r="N54" s="132" t="e">
        <f t="array" aca="1" ref="N54" ca="1">IF(AK54&lt;7,NA(),SUM(IFERROR(Propagações_TOT_PARANAIBA!$B$7:$CA$110*(Propagações_TOT_PARANAIBA!$B$6:$CA$6=$B54&amp;"I")*(Propagações_TOT_PARANAIBA!$A$7:$A$110&gt;=PREVS_SMAP!N$26)*(Propagações_TOT_PARANAIBA!$A$7:$A$110&lt;=PREVS_SMAP!N$27),0))/7+N53            )</f>
        <v>#N/A</v>
      </c>
      <c r="O54" s="132" t="e">
        <f t="array" aca="1" ref="O54" ca="1">IF(AL54&lt;7,NA(),SUM(IFERROR(Propagações_TOT_PARANAIBA!$B$7:$CA$110*(Propagações_TOT_PARANAIBA!$B$6:$CA$6=$B54&amp;"I")*(Propagações_TOT_PARANAIBA!$A$7:$A$110&gt;=PREVS_SMAP!O$26)*(Propagações_TOT_PARANAIBA!$A$7:$A$110&lt;=PREVS_SMAP!O$27),0))/7+O53            )</f>
        <v>#N/A</v>
      </c>
      <c r="P54" s="132"/>
      <c r="R54">
        <v>27</v>
      </c>
      <c r="S54" s="40"/>
      <c r="T54" s="40"/>
      <c r="U54" s="131"/>
      <c r="V54" s="131"/>
      <c r="W54" s="131"/>
      <c r="X54" s="131"/>
      <c r="Y54" s="131"/>
      <c r="Z54" s="131"/>
      <c r="AA54" s="131"/>
      <c r="AB54" s="131"/>
      <c r="AD54" s="272">
        <f t="array" aca="1" ref="AD54" ca="1">SUM(IFERROR(ISNUMBER(Propagações_TOT_PARANAIBA!$B$7:$CA$110)*(Propagações_TOT_PARANAIBA!$B$6:$CA$6=$B54&amp;"I")*(Propagações_TOT_PARANAIBA!$A$7:$A$110&gt;=PREVS_SMAP!G$26)*(Propagações_TOT_PARANAIBA!$A$7:$A$110&lt;=PREVS_SMAP!G$27),0))</f>
        <v>0</v>
      </c>
      <c r="AE54" s="272">
        <f t="array" aca="1" ref="AE54" ca="1">SUM(IFERROR(ISNUMBER(Propagações_TOT_PARANAIBA!$B$7:$CA$110)*(Propagações_TOT_PARANAIBA!$B$6:$CA$6=$B54&amp;"I")*(Propagações_TOT_PARANAIBA!$A$7:$A$110&gt;=PREVS_SMAP!H$26)*(Propagações_TOT_PARANAIBA!$A$7:$A$110&lt;=PREVS_SMAP!H$27),0))</f>
        <v>0</v>
      </c>
      <c r="AF54" s="272">
        <f t="array" aca="1" ref="AF54" ca="1">SUM(IFERROR(ISNUMBER(Propagações_TOT_PARANAIBA!$B$7:$CA$110)*(Propagações_TOT_PARANAIBA!$B$6:$CA$6=$B54&amp;"I")*(Propagações_TOT_PARANAIBA!$A$7:$A$110&gt;=PREVS_SMAP!I$26)*(Propagações_TOT_PARANAIBA!$A$7:$A$110&lt;=PREVS_SMAP!I$27),0))</f>
        <v>0</v>
      </c>
      <c r="AG54" s="272">
        <f t="array" aca="1" ref="AG54" ca="1">SUM(IFERROR(ISNUMBER(Propagações_TOT_PARANAIBA!$B$7:$CA$110)*(Propagações_TOT_PARANAIBA!$B$6:$CA$6=$B54&amp;"I")*(Propagações_TOT_PARANAIBA!$A$7:$A$110&gt;=PREVS_SMAP!J$26)*(Propagações_TOT_PARANAIBA!$A$7:$A$110&lt;=PREVS_SMAP!J$27),0))</f>
        <v>0</v>
      </c>
      <c r="AH54" s="272">
        <f t="array" aca="1" ref="AH54" ca="1">SUM(IFERROR(ISNUMBER(Propagações_TOT_PARANAIBA!$B$7:$CA$110)*(Propagações_TOT_PARANAIBA!$B$6:$CA$6=$B54&amp;"I")*(Propagações_TOT_PARANAIBA!$A$7:$A$110&gt;=PREVS_SMAP!K$26)*(Propagações_TOT_PARANAIBA!$A$7:$A$110&lt;=PREVS_SMAP!K$27),0))</f>
        <v>0</v>
      </c>
      <c r="AI54" s="272">
        <f t="array" aca="1" ref="AI54" ca="1">SUM(IFERROR(ISNUMBER(Propagações_TOT_PARANAIBA!$B$7:$CA$110)*(Propagações_TOT_PARANAIBA!$B$6:$CA$6=$B54&amp;"I")*(Propagações_TOT_PARANAIBA!$A$7:$A$110&gt;=PREVS_SMAP!L$26)*(Propagações_TOT_PARANAIBA!$A$7:$A$110&lt;=PREVS_SMAP!L$27),0))</f>
        <v>0</v>
      </c>
      <c r="AJ54" s="272">
        <f t="array" aca="1" ref="AJ54" ca="1">SUM(IFERROR(ISNUMBER(Propagações_TOT_PARANAIBA!$B$7:$CA$110)*(Propagações_TOT_PARANAIBA!$B$6:$CA$6=$B54&amp;"I")*(Propagações_TOT_PARANAIBA!$A$7:$A$110&gt;=PREVS_SMAP!M$26)*(Propagações_TOT_PARANAIBA!$A$7:$A$110&lt;=PREVS_SMAP!M$27),0))</f>
        <v>0</v>
      </c>
      <c r="AK54" s="272">
        <f t="array" aca="1" ref="AK54" ca="1">SUM(IFERROR(ISNUMBER(Propagações_TOT_PARANAIBA!$B$7:$CA$110)*(Propagações_TOT_PARANAIBA!$B$6:$CA$6=$B54&amp;"I")*(Propagações_TOT_PARANAIBA!$A$7:$A$110&gt;=PREVS_SMAP!N$26)*(Propagações_TOT_PARANAIBA!$A$7:$A$110&lt;=PREVS_SMAP!N$27),0))</f>
        <v>0</v>
      </c>
      <c r="AL54" s="272">
        <f t="array" aca="1" ref="AL54" ca="1">SUM(IFERROR(ISNUMBER(Propagações_TOT_PARANAIBA!$B$7:$CA$110)*(Propagações_TOT_PARANAIBA!$B$6:$CA$6=$B54&amp;"I")*(Propagações_TOT_PARANAIBA!$A$7:$A$110&gt;=PREVS_SMAP!O$26)*(Propagações_TOT_PARANAIBA!$A$7:$A$110&lt;=PREVS_SMAP!O$27),0))</f>
        <v>0</v>
      </c>
      <c r="AN54" s="121"/>
      <c r="AO54" s="121" t="e">
        <f t="shared" si="9"/>
        <v>#DIV/0!</v>
      </c>
      <c r="AP54" s="121" t="b">
        <f t="shared" si="10"/>
        <v>0</v>
      </c>
      <c r="AU54" s="121"/>
      <c r="AV54" s="121"/>
      <c r="AW54" s="159"/>
      <c r="AX54" s="159"/>
      <c r="AY54" s="159"/>
      <c r="AZ54" s="157"/>
      <c r="BA54" s="157"/>
      <c r="BB54" s="121">
        <f t="shared" ca="1" si="11"/>
        <v>0</v>
      </c>
      <c r="BC54" s="272">
        <f t="shared" ca="1" si="13"/>
        <v>0</v>
      </c>
      <c r="BD54" s="272">
        <f t="shared" ca="1" si="13"/>
        <v>0</v>
      </c>
      <c r="BE54" s="272">
        <f t="shared" ca="1" si="13"/>
        <v>0</v>
      </c>
      <c r="BF54" s="272">
        <f t="shared" ca="1" si="13"/>
        <v>0</v>
      </c>
      <c r="BG54"/>
    </row>
    <row r="55" spans="1:59" x14ac:dyDescent="0.2">
      <c r="A55" s="294">
        <v>33</v>
      </c>
      <c r="B55" s="283" t="str">
        <f t="shared" si="17"/>
        <v>33_VN</v>
      </c>
      <c r="C55" s="149" t="s">
        <v>119</v>
      </c>
      <c r="D55" s="132">
        <f t="array" aca="1" ref="D55" ca="1">SUM(IFERROR(Propagações_TOT_PARANAIBA!$B$7:$CA$110*(Propagações_TOT_PARANAIBA!$B$6:$CA$6=$B55&amp;"A")*(Propagações_TOT_PARANAIBA!$A$7:$A$110&gt;=PREVS_SMAP!D$26)*(Propagações_TOT_PARANAIBA!$A$7:$A$110&lt;=PREVS_SMAP!D$27),0))/7</f>
        <v>0</v>
      </c>
      <c r="E55" s="132">
        <f t="array" aca="1" ref="E55" ca="1">SUM(IFERROR(Propagações_TOT_PARANAIBA!$B$7:$CA$110*(Propagações_TOT_PARANAIBA!$B$6:$CA$6=$B55&amp;"A")*(Propagações_TOT_PARANAIBA!$A$7:$A$110&gt;=PREVS_SMAP!E$26)*(Propagações_TOT_PARANAIBA!$A$7:$A$110&lt;=PREVS_SMAP!E$27),0))/7</f>
        <v>1635</v>
      </c>
      <c r="F55" s="132">
        <f t="array" aca="1" ref="F55" ca="1">SUM(IFERROR(Propagações_TOT_PARANAIBA!$B$7:$CA$110*(Propagações_TOT_PARANAIBA!$B$6:$CA$6=$B55&amp;"A")*(Propagações_TOT_PARANAIBA!$A$7:$A$110&gt;=PREVS_SMAP!F$26)*(Propagações_TOT_PARANAIBA!$A$7:$A$110&lt;=PREVS_SMAP!F$27),0))/7</f>
        <v>919.71428571428567</v>
      </c>
      <c r="G55" s="132" t="e">
        <f t="array" aca="1" ref="G55" ca="1">IF(AD55&lt;7,NA(),SUM(IFERROR(Propagações_TOT_PARANAIBA!$B$7:$CA$110*(Propagações_TOT_PARANAIBA!$B$6:$CA$6=$B55&amp;"I")*(Propagações_TOT_PARANAIBA!$A$7:$A$110&gt;=PREVS_SMAP!G$26)*(Propagações_TOT_PARANAIBA!$A$7:$A$110&lt;=PREVS_SMAP!G$27),0))/7+G54            )</f>
        <v>#N/A</v>
      </c>
      <c r="H55" s="132" t="e">
        <f t="array" aca="1" ref="H55" ca="1">IF(AE55&lt;7,NA(),SUM(IFERROR(Propagações_TOT_PARANAIBA!$B$7:$CA$110*(Propagações_TOT_PARANAIBA!$B$6:$CA$6=$B55&amp;"I")*(Propagações_TOT_PARANAIBA!$A$7:$A$110&gt;=PREVS_SMAP!H$26)*(Propagações_TOT_PARANAIBA!$A$7:$A$110&lt;=PREVS_SMAP!H$27),0))/7+H54            )</f>
        <v>#N/A</v>
      </c>
      <c r="I55" s="132" t="e">
        <f t="array" aca="1" ref="I55" ca="1">IF(AF55&lt;7,NA(),SUM(IFERROR(Propagações_TOT_PARANAIBA!$B$7:$CA$110*(Propagações_TOT_PARANAIBA!$B$6:$CA$6=$B55&amp;"I")*(Propagações_TOT_PARANAIBA!$A$7:$A$110&gt;=PREVS_SMAP!I$26)*(Propagações_TOT_PARANAIBA!$A$7:$A$110&lt;=PREVS_SMAP!I$27),0))/7+I54            )</f>
        <v>#N/A</v>
      </c>
      <c r="J55" s="132" t="e">
        <f t="array" aca="1" ref="J55" ca="1">IF(AG55&lt;7,NA(),SUM(IFERROR(Propagações_TOT_PARANAIBA!$B$7:$CA$110*(Propagações_TOT_PARANAIBA!$B$6:$CA$6=$B55&amp;"I")*(Propagações_TOT_PARANAIBA!$A$7:$A$110&gt;=PREVS_SMAP!J$26)*(Propagações_TOT_PARANAIBA!$A$7:$A$110&lt;=PREVS_SMAP!J$27),0))/7+J54            )</f>
        <v>#N/A</v>
      </c>
      <c r="K55" s="132" t="e">
        <f t="array" aca="1" ref="K55" ca="1">IF(AH55&lt;7,NA(),SUM(IFERROR(Propagações_TOT_PARANAIBA!$B$7:$CA$110*(Propagações_TOT_PARANAIBA!$B$6:$CA$6=$B55&amp;"I")*(Propagações_TOT_PARANAIBA!$A$7:$A$110&gt;=PREVS_SMAP!K$26)*(Propagações_TOT_PARANAIBA!$A$7:$A$110&lt;=PREVS_SMAP!K$27),0))/7+K54            )</f>
        <v>#N/A</v>
      </c>
      <c r="L55" s="132" t="e">
        <f t="array" aca="1" ref="L55" ca="1">IF(AI55&lt;7,NA(),SUM(IFERROR(Propagações_TOT_PARANAIBA!$B$7:$CA$110*(Propagações_TOT_PARANAIBA!$B$6:$CA$6=$B55&amp;"I")*(Propagações_TOT_PARANAIBA!$A$7:$A$110&gt;=PREVS_SMAP!L$26)*(Propagações_TOT_PARANAIBA!$A$7:$A$110&lt;=PREVS_SMAP!L$27),0))/7+L54            )</f>
        <v>#N/A</v>
      </c>
      <c r="M55" s="132" t="e">
        <f t="array" aca="1" ref="M55" ca="1">IF(AJ55&lt;7,NA(),SUM(IFERROR(Propagações_TOT_PARANAIBA!$B$7:$CA$110*(Propagações_TOT_PARANAIBA!$B$6:$CA$6=$B55&amp;"I")*(Propagações_TOT_PARANAIBA!$A$7:$A$110&gt;=PREVS_SMAP!M$26)*(Propagações_TOT_PARANAIBA!$A$7:$A$110&lt;=PREVS_SMAP!M$27),0))/7+M54            )</f>
        <v>#N/A</v>
      </c>
      <c r="N55" s="132" t="e">
        <f t="array" aca="1" ref="N55" ca="1">IF(AK55&lt;7,NA(),SUM(IFERROR(Propagações_TOT_PARANAIBA!$B$7:$CA$110*(Propagações_TOT_PARANAIBA!$B$6:$CA$6=$B55&amp;"I")*(Propagações_TOT_PARANAIBA!$A$7:$A$110&gt;=PREVS_SMAP!N$26)*(Propagações_TOT_PARANAIBA!$A$7:$A$110&lt;=PREVS_SMAP!N$27),0))/7+N54            )</f>
        <v>#N/A</v>
      </c>
      <c r="O55" s="132" t="e">
        <f t="array" aca="1" ref="O55" ca="1">IF(AL55&lt;7,NA(),SUM(IFERROR(Propagações_TOT_PARANAIBA!$B$7:$CA$110*(Propagações_TOT_PARANAIBA!$B$6:$CA$6=$B55&amp;"I")*(Propagações_TOT_PARANAIBA!$A$7:$A$110&gt;=PREVS_SMAP!O$26)*(Propagações_TOT_PARANAIBA!$A$7:$A$110&lt;=PREVS_SMAP!O$27),0))/7+O54            )</f>
        <v>#N/A</v>
      </c>
      <c r="P55" s="132"/>
      <c r="R55">
        <v>28</v>
      </c>
      <c r="S55" s="40">
        <f ca="1">AO55</f>
        <v>108</v>
      </c>
      <c r="T55" s="40" t="str">
        <f t="shared" ref="T55:AB55" ca="1" si="20">IFERROR(ROUND(INDEX(G$28:G$129,MATCH($R55,$A$28:$A$129,0)),0),"")</f>
        <v/>
      </c>
      <c r="U55" s="131" t="str">
        <f t="shared" ca="1" si="20"/>
        <v/>
      </c>
      <c r="V55" s="131" t="str">
        <f t="shared" ca="1" si="20"/>
        <v/>
      </c>
      <c r="W55" s="131" t="str">
        <f t="shared" ca="1" si="20"/>
        <v/>
      </c>
      <c r="X55" s="131" t="str">
        <f t="shared" ca="1" si="20"/>
        <v/>
      </c>
      <c r="Y55" s="131" t="str">
        <f t="shared" ca="1" si="20"/>
        <v/>
      </c>
      <c r="Z55" s="131" t="str">
        <f t="shared" ca="1" si="20"/>
        <v/>
      </c>
      <c r="AA55" s="131" t="str">
        <f t="shared" ca="1" si="20"/>
        <v/>
      </c>
      <c r="AB55" s="131" t="str">
        <f t="shared" ca="1" si="20"/>
        <v/>
      </c>
      <c r="AD55" s="272">
        <f t="array" aca="1" ref="AD55" ca="1">SUM(IFERROR(ISNUMBER(Propagações_TOT_PARANAIBA!$B$7:$CA$110)*(Propagações_TOT_PARANAIBA!$B$6:$CA$6=$B55&amp;"I")*(Propagações_TOT_PARANAIBA!$A$7:$A$110&gt;=PREVS_SMAP!G$26)*(Propagações_TOT_PARANAIBA!$A$7:$A$110&lt;=PREVS_SMAP!G$27),0))</f>
        <v>0</v>
      </c>
      <c r="AE55" s="272">
        <f t="array" aca="1" ref="AE55" ca="1">SUM(IFERROR(ISNUMBER(Propagações_TOT_PARANAIBA!$B$7:$CA$110)*(Propagações_TOT_PARANAIBA!$B$6:$CA$6=$B55&amp;"I")*(Propagações_TOT_PARANAIBA!$A$7:$A$110&gt;=PREVS_SMAP!H$26)*(Propagações_TOT_PARANAIBA!$A$7:$A$110&lt;=PREVS_SMAP!H$27),0))</f>
        <v>0</v>
      </c>
      <c r="AF55" s="272">
        <f t="array" aca="1" ref="AF55" ca="1">SUM(IFERROR(ISNUMBER(Propagações_TOT_PARANAIBA!$B$7:$CA$110)*(Propagações_TOT_PARANAIBA!$B$6:$CA$6=$B55&amp;"I")*(Propagações_TOT_PARANAIBA!$A$7:$A$110&gt;=PREVS_SMAP!I$26)*(Propagações_TOT_PARANAIBA!$A$7:$A$110&lt;=PREVS_SMAP!I$27),0))</f>
        <v>0</v>
      </c>
      <c r="AG55" s="272">
        <f t="array" aca="1" ref="AG55" ca="1">SUM(IFERROR(ISNUMBER(Propagações_TOT_PARANAIBA!$B$7:$CA$110)*(Propagações_TOT_PARANAIBA!$B$6:$CA$6=$B55&amp;"I")*(Propagações_TOT_PARANAIBA!$A$7:$A$110&gt;=PREVS_SMAP!J$26)*(Propagações_TOT_PARANAIBA!$A$7:$A$110&lt;=PREVS_SMAP!J$27),0))</f>
        <v>0</v>
      </c>
      <c r="AH55" s="272">
        <f t="array" aca="1" ref="AH55" ca="1">SUM(IFERROR(ISNUMBER(Propagações_TOT_PARANAIBA!$B$7:$CA$110)*(Propagações_TOT_PARANAIBA!$B$6:$CA$6=$B55&amp;"I")*(Propagações_TOT_PARANAIBA!$A$7:$A$110&gt;=PREVS_SMAP!K$26)*(Propagações_TOT_PARANAIBA!$A$7:$A$110&lt;=PREVS_SMAP!K$27),0))</f>
        <v>0</v>
      </c>
      <c r="AI55" s="272">
        <f t="array" aca="1" ref="AI55" ca="1">SUM(IFERROR(ISNUMBER(Propagações_TOT_PARANAIBA!$B$7:$CA$110)*(Propagações_TOT_PARANAIBA!$B$6:$CA$6=$B55&amp;"I")*(Propagações_TOT_PARANAIBA!$A$7:$A$110&gt;=PREVS_SMAP!L$26)*(Propagações_TOT_PARANAIBA!$A$7:$A$110&lt;=PREVS_SMAP!L$27),0))</f>
        <v>0</v>
      </c>
      <c r="AJ55" s="272">
        <f t="array" aca="1" ref="AJ55" ca="1">SUM(IFERROR(ISNUMBER(Propagações_TOT_PARANAIBA!$B$7:$CA$110)*(Propagações_TOT_PARANAIBA!$B$6:$CA$6=$B55&amp;"I")*(Propagações_TOT_PARANAIBA!$A$7:$A$110&gt;=PREVS_SMAP!M$26)*(Propagações_TOT_PARANAIBA!$A$7:$A$110&lt;=PREVS_SMAP!M$27),0))</f>
        <v>0</v>
      </c>
      <c r="AK55" s="272">
        <f t="array" aca="1" ref="AK55" ca="1">SUM(IFERROR(ISNUMBER(Propagações_TOT_PARANAIBA!$B$7:$CA$110)*(Propagações_TOT_PARANAIBA!$B$6:$CA$6=$B55&amp;"I")*(Propagações_TOT_PARANAIBA!$A$7:$A$110&gt;=PREVS_SMAP!N$26)*(Propagações_TOT_PARANAIBA!$A$7:$A$110&lt;=PREVS_SMAP!N$27),0))</f>
        <v>0</v>
      </c>
      <c r="AL55" s="272">
        <f t="array" aca="1" ref="AL55" ca="1">SUM(IFERROR(ISNUMBER(Propagações_TOT_PARANAIBA!$B$7:$CA$110)*(Propagações_TOT_PARANAIBA!$B$6:$CA$6=$B55&amp;"I")*(Propagações_TOT_PARANAIBA!$A$7:$A$110&gt;=PREVS_SMAP!O$26)*(Propagações_TOT_PARANAIBA!$A$7:$A$110&lt;=PREVS_SMAP!O$27),0))</f>
        <v>0</v>
      </c>
      <c r="AN55" s="121"/>
      <c r="AO55" s="121">
        <f t="shared" ca="1" si="9"/>
        <v>108</v>
      </c>
      <c r="AP55" s="121" t="b">
        <f t="shared" si="10"/>
        <v>1</v>
      </c>
      <c r="AQ55" s="272">
        <f ca="1">+AVERAGEIFS(TABELA_VAZAO[qnat],TABELA_VAZAO[Posto],$R55,TABELA_VAZAO[Data],AQ$27)</f>
        <v>220</v>
      </c>
      <c r="AR55" s="272">
        <f ca="1">+AVERAGEIFS(TABELA_VAZAO[qnat],TABELA_VAZAO[Posto],$R55,TABELA_VAZAO[Data],AR$27)</f>
        <v>209</v>
      </c>
      <c r="AS55" s="272">
        <f ca="1">+AVERAGEIFS(TABELA_VAZAO[qnat],TABELA_VAZAO[Posto],$R55,TABELA_VAZAO[Data],AS$27)</f>
        <v>208</v>
      </c>
      <c r="AT55" s="272">
        <f ca="1">+AVERAGEIFS(TABELA_VAZAO[qnat],TABELA_VAZAO[Posto],$R55,TABELA_VAZAO[Data],AT$27)</f>
        <v>215</v>
      </c>
      <c r="AU55" s="121">
        <f ca="1">+AVERAGEIFS(TABELA_VAZAO[qnat],TABELA_VAZAO[Posto],$R55,TABELA_VAZAO[Data],AU$27)</f>
        <v>232</v>
      </c>
      <c r="AV55" s="272">
        <f ca="1">IFERROR(AVERAGEIFS(TABELA_VAZAO[qnat],TABELA_VAZAO[Posto],$R55,TABELA_VAZAO[Data],AV$27),AU55+$BB55*EXP(AV$26))</f>
        <v>254</v>
      </c>
      <c r="AW55" s="159">
        <f ca="1">IFERROR(AVERAGEIFS(TABELA_VAZAO[qnat],TABELA_VAZAO[Posto],$R55,TABELA_VAZAO[Data],AW$27),AV55+$BB55*EXP(AW$26))</f>
        <v>267</v>
      </c>
      <c r="AX55" s="325">
        <f ca="1">IFERROR(AVERAGEIFS(TABELA_VAZAO[qnat],TABELA_VAZAO[Posto],$R55,TABELA_VAZAO[Data],AX$27),AW55+$BB55*EXP(AX$26))</f>
        <v>282.28571428571428</v>
      </c>
      <c r="AY55" s="325">
        <f ca="1">IFERROR(AVERAGEIFS(TABELA_VAZAO[qnat],TABELA_VAZAO[Posto],$R55,TABELA_VAZAO[Data],AY$27),AX55+$BB55*EXP(AY$26))</f>
        <v>292.53203498940189</v>
      </c>
      <c r="AZ55" s="326">
        <f ca="1">IFERROR(AVERAGEIFS(TABELA_VAZAO[qnat],TABELA_VAZAO[Posto],$R55,TABELA_VAZAO[Data],AZ$27),AY55+$BB55*EXP(AZ$26))</f>
        <v>299.40034915519368</v>
      </c>
      <c r="BA55" s="326">
        <f ca="1">IFERROR(AVERAGEIFS(TABELA_VAZAO[qnat],TABELA_VAZAO[Posto],$R55,TABELA_VAZAO[Data],BA$27),AZ55+$BB55*EXP(BA$26))</f>
        <v>304.00431782299449</v>
      </c>
      <c r="BB55" s="121">
        <f t="shared" ca="1" si="11"/>
        <v>15.285714285714286</v>
      </c>
      <c r="BC55" s="272">
        <f t="shared" ca="1" si="13"/>
        <v>7</v>
      </c>
      <c r="BD55" s="272">
        <f t="shared" ca="1" si="13"/>
        <v>17</v>
      </c>
      <c r="BE55" s="272">
        <f t="shared" ca="1" si="13"/>
        <v>22</v>
      </c>
      <c r="BF55" s="272">
        <f t="shared" ca="1" si="13"/>
        <v>13</v>
      </c>
      <c r="BG55"/>
    </row>
    <row r="56" spans="1:59" x14ac:dyDescent="0.2">
      <c r="A56" s="249"/>
      <c r="B56" s="240"/>
      <c r="C56" s="240"/>
      <c r="D56" s="240"/>
      <c r="E56" s="240"/>
      <c r="F56" s="148"/>
      <c r="G56" s="240"/>
      <c r="H56" s="240"/>
      <c r="I56" s="240"/>
      <c r="J56" s="240"/>
      <c r="K56" s="240"/>
      <c r="L56" s="240"/>
      <c r="M56" s="240"/>
      <c r="N56" s="240"/>
      <c r="O56" s="240"/>
      <c r="P56" s="142"/>
      <c r="R56">
        <v>29</v>
      </c>
      <c r="S56" s="40"/>
      <c r="T56" s="40"/>
      <c r="U56" s="131"/>
      <c r="V56" s="131"/>
      <c r="W56" s="131"/>
      <c r="X56" s="131"/>
      <c r="Y56" s="131"/>
      <c r="Z56" s="131"/>
      <c r="AA56" s="131"/>
      <c r="AB56" s="131"/>
      <c r="AH56" s="229"/>
      <c r="AN56" s="121"/>
      <c r="AO56" s="121" t="e">
        <f t="shared" si="9"/>
        <v>#DIV/0!</v>
      </c>
      <c r="AP56" s="121" t="b">
        <f t="shared" si="10"/>
        <v>0</v>
      </c>
      <c r="AU56" s="121"/>
      <c r="AV56" s="121"/>
      <c r="AW56" s="159"/>
      <c r="AX56" s="159"/>
      <c r="AY56" s="159"/>
      <c r="AZ56" s="157"/>
      <c r="BA56" s="157"/>
      <c r="BB56" s="121">
        <f t="shared" ca="1" si="11"/>
        <v>0</v>
      </c>
      <c r="BC56" s="272">
        <f t="shared" ca="1" si="13"/>
        <v>0</v>
      </c>
      <c r="BD56" s="272">
        <f t="shared" ca="1" si="13"/>
        <v>0</v>
      </c>
      <c r="BE56" s="272">
        <f t="shared" ca="1" si="13"/>
        <v>0</v>
      </c>
      <c r="BF56" s="272">
        <f t="shared" ca="1" si="13"/>
        <v>0</v>
      </c>
      <c r="BG56"/>
    </row>
    <row r="57" spans="1:59" x14ac:dyDescent="0.2">
      <c r="A57" s="249"/>
      <c r="B57" s="240"/>
      <c r="C57" s="240"/>
      <c r="D57" s="240"/>
      <c r="E57" s="240"/>
      <c r="F57" s="148"/>
      <c r="G57" s="240"/>
      <c r="H57" s="240"/>
      <c r="I57" s="240"/>
      <c r="J57" s="240"/>
      <c r="K57" s="240"/>
      <c r="L57" s="240"/>
      <c r="M57" s="240"/>
      <c r="N57" s="240"/>
      <c r="O57" s="240"/>
      <c r="P57" s="142"/>
      <c r="R57">
        <v>30</v>
      </c>
      <c r="S57" s="40"/>
      <c r="T57" s="40"/>
      <c r="U57" s="131"/>
      <c r="V57" s="131"/>
      <c r="W57" s="131"/>
      <c r="X57" s="131"/>
      <c r="Y57" s="131"/>
      <c r="Z57" s="131"/>
      <c r="AA57" s="131"/>
      <c r="AB57" s="131"/>
      <c r="AH57" s="229"/>
      <c r="AN57" s="121"/>
      <c r="AO57" s="121" t="e">
        <f t="shared" si="9"/>
        <v>#DIV/0!</v>
      </c>
      <c r="AP57" s="121" t="b">
        <f t="shared" si="10"/>
        <v>0</v>
      </c>
      <c r="AU57" s="121"/>
      <c r="AV57" s="121"/>
      <c r="AW57" s="159"/>
      <c r="AX57" s="159"/>
      <c r="AY57" s="159"/>
      <c r="AZ57" s="157"/>
      <c r="BA57" s="157"/>
      <c r="BB57" s="121">
        <f t="shared" ca="1" si="11"/>
        <v>0</v>
      </c>
      <c r="BC57" s="272">
        <f t="shared" ca="1" si="13"/>
        <v>0</v>
      </c>
      <c r="BD57" s="272">
        <f t="shared" ca="1" si="13"/>
        <v>0</v>
      </c>
      <c r="BE57" s="272">
        <f t="shared" ca="1" si="13"/>
        <v>0</v>
      </c>
      <c r="BF57" s="272">
        <f t="shared" ca="1" si="13"/>
        <v>0</v>
      </c>
      <c r="BG57"/>
    </row>
    <row r="58" spans="1:59" x14ac:dyDescent="0.2">
      <c r="A58" s="294">
        <v>47</v>
      </c>
      <c r="B58" s="283" t="str">
        <f t="shared" ref="B58:B68" si="21">A58&amp;"_VN"</f>
        <v>47_VN</v>
      </c>
      <c r="C58" s="240" t="s">
        <v>34</v>
      </c>
      <c r="D58" s="132">
        <f t="array" aca="1" ref="D58" ca="1">SUM(IFERROR(Propagações_TOT_PARANAPANEMA!$B$7:$BO$110*(Propagações_TOT_PARANAPANEMA!$B$6:$BO$6=$B58&amp;"A")*(Propagações_TOT_PARANAPANEMA!$A$7:$A$110&gt;=PREVS_SMAP!D$26)*(Propagações_TOT_PARANAPANEMA!$A$7:$A$110&lt;=PREVS_SMAP!D$27),0))/7</f>
        <v>0</v>
      </c>
      <c r="E58" s="132">
        <f t="array" aca="1" ref="E58" ca="1">SUM(IFERROR(Propagações_TOT_PARANAPANEMA!$B$7:$BO$110*(Propagações_TOT_PARANAPANEMA!$B$6:$BO$6=$B58&amp;"A")*(Propagações_TOT_PARANAPANEMA!$A$7:$A$110&gt;=PREVS_SMAP!E$26)*(Propagações_TOT_PARANAPANEMA!$A$7:$A$110&lt;=PREVS_SMAP!E$27),0))/7</f>
        <v>125</v>
      </c>
      <c r="F58" s="132">
        <f t="array" aca="1" ref="F58" ca="1">SUM(IFERROR(Propagações_TOT_PARANAPANEMA!$B$7:$BO$110*(Propagações_TOT_PARANAPANEMA!$B$6:$BO$6=$B58&amp;"A")*(Propagações_TOT_PARANAPANEMA!$A$7:$A$110&gt;=PREVS_SMAP!F$26)*(Propagações_TOT_PARANAPANEMA!$A$7:$A$110&lt;=PREVS_SMAP!F$27),0))/7</f>
        <v>56.428571428571431</v>
      </c>
      <c r="G58" s="132" t="e">
        <f t="array" aca="1" ref="G58" ca="1">IF(AD58&lt;7,NA(),SUM(IFERROR(Propagações_TOT_PARANAPANEMA!$B$7:$BO$110*(Propagações_TOT_PARANAPANEMA!$B$6:$BO$6=$B58&amp;"A")*(Propagações_TOT_PARANAPANEMA!$A$7:$A$110&gt;=PREVS_SMAP!G$26)*(Propagações_TOT_PARANAPANEMA!$A$7:$A$110&lt;=PREVS_SMAP!G$27),0))/7    )</f>
        <v>#N/A</v>
      </c>
      <c r="H58" s="132" t="e">
        <f t="array" aca="1" ref="H58" ca="1">IF(AE58&lt;7,NA(),SUM(IFERROR(Propagações_TOT_PARANAPANEMA!$B$7:$BO$110*(Propagações_TOT_PARANAPANEMA!$B$6:$BO$6=$B58&amp;"A")*(Propagações_TOT_PARANAPANEMA!$A$7:$A$110&gt;=PREVS_SMAP!H$26)*(Propagações_TOT_PARANAPANEMA!$A$7:$A$110&lt;=PREVS_SMAP!H$27),0))/7    )</f>
        <v>#N/A</v>
      </c>
      <c r="I58" s="132" t="e">
        <f t="array" aca="1" ref="I58" ca="1">IF(AF58&lt;7,NA(),SUM(IFERROR(Propagações_TOT_PARANAPANEMA!$B$7:$BO$110*(Propagações_TOT_PARANAPANEMA!$B$6:$BO$6=$B58&amp;"A")*(Propagações_TOT_PARANAPANEMA!$A$7:$A$110&gt;=PREVS_SMAP!I$26)*(Propagações_TOT_PARANAPANEMA!$A$7:$A$110&lt;=PREVS_SMAP!I$27),0))/7    )</f>
        <v>#N/A</v>
      </c>
      <c r="J58" s="132" t="e">
        <f t="array" aca="1" ref="J58" ca="1">IF(AG58&lt;7,NA(),SUM(IFERROR(Propagações_TOT_PARANAPANEMA!$B$7:$BO$110*(Propagações_TOT_PARANAPANEMA!$B$6:$BO$6=$B58&amp;"A")*(Propagações_TOT_PARANAPANEMA!$A$7:$A$110&gt;=PREVS_SMAP!J$26)*(Propagações_TOT_PARANAPANEMA!$A$7:$A$110&lt;=PREVS_SMAP!J$27),0))/7    )</f>
        <v>#N/A</v>
      </c>
      <c r="K58" s="132" t="e">
        <f t="array" aca="1" ref="K58" ca="1">IF(AH58&lt;7,NA(),SUM(IFERROR(Propagações_TOT_PARANAPANEMA!$B$7:$BO$110*(Propagações_TOT_PARANAPANEMA!$B$6:$BO$6=$B58&amp;"A")*(Propagações_TOT_PARANAPANEMA!$A$7:$A$110&gt;=PREVS_SMAP!K$26)*(Propagações_TOT_PARANAPANEMA!$A$7:$A$110&lt;=PREVS_SMAP!K$27),0))/7    )</f>
        <v>#N/A</v>
      </c>
      <c r="L58" s="132" t="e">
        <f t="array" aca="1" ref="L58" ca="1">IF(AI58&lt;7,NA(),SUM(IFERROR(Propagações_TOT_PARANAPANEMA!$B$7:$BO$110*(Propagações_TOT_PARANAPANEMA!$B$6:$BO$6=$B58&amp;"A")*(Propagações_TOT_PARANAPANEMA!$A$7:$A$110&gt;=PREVS_SMAP!L$26)*(Propagações_TOT_PARANAPANEMA!$A$7:$A$110&lt;=PREVS_SMAP!L$27),0))/7    )</f>
        <v>#N/A</v>
      </c>
      <c r="M58" s="132" t="e">
        <f t="array" aca="1" ref="M58" ca="1">IF(AJ58&lt;7,NA(),SUM(IFERROR(Propagações_TOT_PARANAPANEMA!$B$7:$BO$110*(Propagações_TOT_PARANAPANEMA!$B$6:$BO$6=$B58&amp;"A")*(Propagações_TOT_PARANAPANEMA!$A$7:$A$110&gt;=PREVS_SMAP!M$26)*(Propagações_TOT_PARANAPANEMA!$A$7:$A$110&lt;=PREVS_SMAP!M$27),0))/7    )</f>
        <v>#N/A</v>
      </c>
      <c r="N58" s="132" t="e">
        <f t="array" aca="1" ref="N58" ca="1">IF(AK58&lt;7,NA(),SUM(IFERROR(Propagações_TOT_PARANAPANEMA!$B$7:$BO$110*(Propagações_TOT_PARANAPANEMA!$B$6:$BO$6=$B58&amp;"A")*(Propagações_TOT_PARANAPANEMA!$A$7:$A$110&gt;=PREVS_SMAP!N$26)*(Propagações_TOT_PARANAPANEMA!$A$7:$A$110&lt;=PREVS_SMAP!N$27),0))/7    )</f>
        <v>#N/A</v>
      </c>
      <c r="O58" s="132" t="e">
        <f t="array" aca="1" ref="O58" ca="1">IF(AL58&lt;7,NA(),SUM(IFERROR(Propagações_TOT_PARANAPANEMA!$B$7:$BO$110*(Propagações_TOT_PARANAPANEMA!$B$6:$BO$6=$B58&amp;"A")*(Propagações_TOT_PARANAPANEMA!$A$7:$A$110&gt;=PREVS_SMAP!O$26)*(Propagações_TOT_PARANAPANEMA!$A$7:$A$110&lt;=PREVS_SMAP!O$27),0))/7    )</f>
        <v>#N/A</v>
      </c>
      <c r="P58" s="132"/>
      <c r="R58">
        <v>31</v>
      </c>
      <c r="S58" s="40">
        <f ca="1">AO58</f>
        <v>503</v>
      </c>
      <c r="T58" s="40" t="str">
        <f t="shared" ref="T58:AB60" ca="1" si="22">IFERROR(ROUND(INDEX(G$28:G$129,MATCH($R58,$A$28:$A$129,0)),0),"")</f>
        <v/>
      </c>
      <c r="U58" s="131" t="str">
        <f t="shared" ca="1" si="22"/>
        <v/>
      </c>
      <c r="V58" s="131" t="str">
        <f t="shared" ca="1" si="22"/>
        <v/>
      </c>
      <c r="W58" s="131" t="str">
        <f t="shared" ca="1" si="22"/>
        <v/>
      </c>
      <c r="X58" s="131" t="str">
        <f t="shared" ca="1" si="22"/>
        <v/>
      </c>
      <c r="Y58" s="131" t="str">
        <f t="shared" ca="1" si="22"/>
        <v/>
      </c>
      <c r="Z58" s="131" t="str">
        <f t="shared" ca="1" si="22"/>
        <v/>
      </c>
      <c r="AA58" s="131" t="str">
        <f t="shared" ca="1" si="22"/>
        <v/>
      </c>
      <c r="AB58" s="131" t="str">
        <f t="shared" ca="1" si="22"/>
        <v/>
      </c>
      <c r="AD58" s="121">
        <f t="array" aca="1" ref="AD58" ca="1">SUM(IFERROR(ISNUMBER(Propagações_TOT_PARANAPANEMA!$B$7:$BO$110)*(Propagações_TOT_PARANAPANEMA!$B$6:$BO$6=$B58&amp;"A")*(Propagações_TOT_PARANAPANEMA!$A$7:$A$110&gt;=PREVS_SMAP!G$26)*(Propagações_TOT_PARANAPANEMA!$A$7:$A$110&lt;=PREVS_SMAP!G$27),0))</f>
        <v>0</v>
      </c>
      <c r="AE58" s="272">
        <f t="array" aca="1" ref="AE58" ca="1">SUM(IFERROR(ISNUMBER(Propagações_TOT_PARANAPANEMA!$B$7:$BO$110)*(Propagações_TOT_PARANAPANEMA!$B$6:$BO$6=$B58&amp;"A")*(Propagações_TOT_PARANAPANEMA!$A$7:$A$110&gt;=PREVS_SMAP!H$26)*(Propagações_TOT_PARANAPANEMA!$A$7:$A$110&lt;=PREVS_SMAP!H$27),0))</f>
        <v>0</v>
      </c>
      <c r="AF58" s="272">
        <f t="array" aca="1" ref="AF58" ca="1">SUM(IFERROR(ISNUMBER(Propagações_TOT_PARANAPANEMA!$B$7:$BO$110)*(Propagações_TOT_PARANAPANEMA!$B$6:$BO$6=$B58&amp;"A")*(Propagações_TOT_PARANAPANEMA!$A$7:$A$110&gt;=PREVS_SMAP!I$26)*(Propagações_TOT_PARANAPANEMA!$A$7:$A$110&lt;=PREVS_SMAP!I$27),0))</f>
        <v>0</v>
      </c>
      <c r="AG58" s="272">
        <f t="array" aca="1" ref="AG58" ca="1">SUM(IFERROR(ISNUMBER(Propagações_TOT_PARANAPANEMA!$B$7:$BO$110)*(Propagações_TOT_PARANAPANEMA!$B$6:$BO$6=$B58&amp;"A")*(Propagações_TOT_PARANAPANEMA!$A$7:$A$110&gt;=PREVS_SMAP!J$26)*(Propagações_TOT_PARANAPANEMA!$A$7:$A$110&lt;=PREVS_SMAP!J$27),0))</f>
        <v>0</v>
      </c>
      <c r="AH58" s="272">
        <f t="array" aca="1" ref="AH58" ca="1">SUM(IFERROR(ISNUMBER(Propagações_TOT_PARANAPANEMA!$B$7:$BO$110)*(Propagações_TOT_PARANAPANEMA!$B$6:$BO$6=$B58&amp;"A")*(Propagações_TOT_PARANAPANEMA!$A$7:$A$110&gt;=PREVS_SMAP!K$26)*(Propagações_TOT_PARANAPANEMA!$A$7:$A$110&lt;=PREVS_SMAP!K$27),0))</f>
        <v>0</v>
      </c>
      <c r="AI58" s="272">
        <f t="array" aca="1" ref="AI58" ca="1">SUM(IFERROR(ISNUMBER(Propagações_TOT_PARANAPANEMA!$B$7:$BO$110)*(Propagações_TOT_PARANAPANEMA!$B$6:$BO$6=$B58&amp;"A")*(Propagações_TOT_PARANAPANEMA!$A$7:$A$110&gt;=PREVS_SMAP!L$26)*(Propagações_TOT_PARANAPANEMA!$A$7:$A$110&lt;=PREVS_SMAP!L$27),0))</f>
        <v>0</v>
      </c>
      <c r="AJ58" s="272">
        <f t="array" aca="1" ref="AJ58" ca="1">SUM(IFERROR(ISNUMBER(Propagações_TOT_PARANAPANEMA!$B$7:$BO$110)*(Propagações_TOT_PARANAPANEMA!$B$6:$BO$6=$B58&amp;"A")*(Propagações_TOT_PARANAPANEMA!$A$7:$A$110&gt;=PREVS_SMAP!M$26)*(Propagações_TOT_PARANAPANEMA!$A$7:$A$110&lt;=PREVS_SMAP!M$27),0))</f>
        <v>0</v>
      </c>
      <c r="AK58" s="272">
        <f t="array" aca="1" ref="AK58" ca="1">SUM(IFERROR(ISNUMBER(Propagações_TOT_PARANAPANEMA!$B$7:$BO$110)*(Propagações_TOT_PARANAPANEMA!$B$6:$BO$6=$B58&amp;"A")*(Propagações_TOT_PARANAPANEMA!$A$7:$A$110&gt;=PREVS_SMAP!N$26)*(Propagações_TOT_PARANAPANEMA!$A$7:$A$110&lt;=PREVS_SMAP!N$27),0))</f>
        <v>0</v>
      </c>
      <c r="AL58" s="272">
        <f t="array" aca="1" ref="AL58" ca="1">SUM(IFERROR(ISNUMBER(Propagações_TOT_PARANAPANEMA!$B$7:$BO$110)*(Propagações_TOT_PARANAPANEMA!$B$6:$BO$6=$B58&amp;"A")*(Propagações_TOT_PARANAPANEMA!$A$7:$A$110&gt;=PREVS_SMAP!O$26)*(Propagações_TOT_PARANAPANEMA!$A$7:$A$110&lt;=PREVS_SMAP!O$27),0))</f>
        <v>0</v>
      </c>
      <c r="AN58" s="121"/>
      <c r="AO58" s="121">
        <f t="shared" ca="1" si="9"/>
        <v>503</v>
      </c>
      <c r="AP58" s="121" t="b">
        <f t="shared" si="10"/>
        <v>1</v>
      </c>
      <c r="AQ58" s="272">
        <f ca="1">+AVERAGEIFS(TABELA_VAZAO[qnat],TABELA_VAZAO[Posto],$R58,TABELA_VAZAO[Data],AQ$27)</f>
        <v>846</v>
      </c>
      <c r="AR58" s="272">
        <f ca="1">+AVERAGEIFS(TABELA_VAZAO[qnat],TABELA_VAZAO[Posto],$R58,TABELA_VAZAO[Data],AR$27)</f>
        <v>794</v>
      </c>
      <c r="AS58" s="272">
        <f ca="1">+AVERAGEIFS(TABELA_VAZAO[qnat],TABELA_VAZAO[Posto],$R58,TABELA_VAZAO[Data],AS$27)</f>
        <v>787</v>
      </c>
      <c r="AT58" s="272">
        <f ca="1">+AVERAGEIFS(TABELA_VAZAO[qnat],TABELA_VAZAO[Posto],$R58,TABELA_VAZAO[Data],AT$27)</f>
        <v>855</v>
      </c>
      <c r="AU58" s="121">
        <f ca="1">+AVERAGEIFS(TABELA_VAZAO[qnat],TABELA_VAZAO[Posto],$R58,TABELA_VAZAO[Data],AU$27)</f>
        <v>993</v>
      </c>
      <c r="AV58" s="272">
        <f ca="1">IFERROR(AVERAGEIFS(TABELA_VAZAO[qnat],TABELA_VAZAO[Posto],$R58,TABELA_VAZAO[Data],AV$27),AU58+$BB58*EXP(AV$26))</f>
        <v>1172</v>
      </c>
      <c r="AW58" s="159">
        <f ca="1">IFERROR(AVERAGEIFS(TABELA_VAZAO[qnat],TABELA_VAZAO[Posto],$R58,TABELA_VAZAO[Data],AW$27),AV58+$BB58*EXP(AW$26))</f>
        <v>1358</v>
      </c>
      <c r="AX58" s="325">
        <f ca="1">IFERROR(AVERAGEIFS(TABELA_VAZAO[qnat],TABELA_VAZAO[Posto],$R58,TABELA_VAZAO[Data],AX$27),AW58+$BB58*EXP(AX$26))</f>
        <v>1518.2857142857142</v>
      </c>
      <c r="AY58" s="325">
        <f ca="1">IFERROR(AVERAGEIFS(TABELA_VAZAO[qnat],TABELA_VAZAO[Posto],$R58,TABELA_VAZAO[Data],AY$27),AX58+$BB58*EXP(AY$26))</f>
        <v>1625.7284416645696</v>
      </c>
      <c r="AZ58" s="326">
        <f ca="1">IFERROR(AVERAGEIFS(TABELA_VAZAO[qnat],TABELA_VAZAO[Posto],$R58,TABELA_VAZAO[Data],AZ$27),AY58+$BB58*EXP(AZ$26))</f>
        <v>1697.7494556273584</v>
      </c>
      <c r="BA58" s="326">
        <f ca="1">IFERROR(AVERAGEIFS(TABELA_VAZAO[qnat],TABELA_VAZAO[Posto],$R58,TABELA_VAZAO[Data],BA$27),AZ58+$BB58*EXP(BA$26))</f>
        <v>1746.0265850224284</v>
      </c>
      <c r="BB58" s="121">
        <f t="shared" ca="1" si="11"/>
        <v>160.28571428571428</v>
      </c>
      <c r="BC58" s="272">
        <f t="shared" ca="1" si="13"/>
        <v>68</v>
      </c>
      <c r="BD58" s="272">
        <f t="shared" ca="1" si="13"/>
        <v>138</v>
      </c>
      <c r="BE58" s="272">
        <f t="shared" ca="1" si="13"/>
        <v>179</v>
      </c>
      <c r="BF58" s="272">
        <f t="shared" ca="1" si="13"/>
        <v>186</v>
      </c>
      <c r="BG58"/>
    </row>
    <row r="59" spans="1:59" x14ac:dyDescent="0.2">
      <c r="A59" s="294">
        <v>48</v>
      </c>
      <c r="B59" s="283" t="str">
        <f t="shared" si="21"/>
        <v>48_VN</v>
      </c>
      <c r="C59" s="137" t="s">
        <v>62</v>
      </c>
      <c r="D59" s="132">
        <f t="array" aca="1" ref="D59" ca="1">SUM(IFERROR(Propagações_TOT_PARANAPANEMA!$B$7:$BO$110*(Propagações_TOT_PARANAPANEMA!$B$6:$BO$6=$B59&amp;"A")*(Propagações_TOT_PARANAPANEMA!$A$7:$A$110&gt;=PREVS_SMAP!D$26)*(Propagações_TOT_PARANAPANEMA!$A$7:$A$110&lt;=PREVS_SMAP!D$27),0))/7</f>
        <v>0</v>
      </c>
      <c r="E59" s="132">
        <f t="array" aca="1" ref="E59" ca="1">SUM(IFERROR(Propagações_TOT_PARANAPANEMA!$B$7:$BO$110*(Propagações_TOT_PARANAPANEMA!$B$6:$BO$6=$B59&amp;"A")*(Propagações_TOT_PARANAPANEMA!$A$7:$A$110&gt;=PREVS_SMAP!E$26)*(Propagações_TOT_PARANAPANEMA!$A$7:$A$110&lt;=PREVS_SMAP!E$27),0))/7</f>
        <v>131.14285714285714</v>
      </c>
      <c r="F59" s="132">
        <f t="array" aca="1" ref="F59" ca="1">SUM(IFERROR(Propagações_TOT_PARANAPANEMA!$B$7:$BO$110*(Propagações_TOT_PARANAPANEMA!$B$6:$BO$6=$B59&amp;"A")*(Propagações_TOT_PARANAPANEMA!$A$7:$A$110&gt;=PREVS_SMAP!F$26)*(Propagações_TOT_PARANAPANEMA!$A$7:$A$110&lt;=PREVS_SMAP!F$27),0))/7</f>
        <v>56.142857142857146</v>
      </c>
      <c r="G59" s="132" t="e">
        <f t="array" aca="1" ref="G59" ca="1">IF(AD59&lt;7,NA(),SUM(IFERROR(Propagações_TOT_PARANAPANEMA!$B$7:$BO$110*(Propagações_TOT_PARANAPANEMA!$B$6:$BO$6=$B59&amp;"I")*(Propagações_TOT_PARANAPANEMA!$A$7:$A$110&gt;=PREVS_SMAP!G$26)*(Propagações_TOT_PARANAPANEMA!$A$7:$A$110&lt;=PREVS_SMAP!G$27),0))/7+G58)</f>
        <v>#N/A</v>
      </c>
      <c r="H59" s="132" t="e">
        <f t="array" aca="1" ref="H59" ca="1">IF(AE59&lt;7,NA(),SUM(IFERROR(Propagações_TOT_PARANAPANEMA!$B$7:$BO$110*(Propagações_TOT_PARANAPANEMA!$B$6:$BO$6=$B59&amp;"I")*(Propagações_TOT_PARANAPANEMA!$A$7:$A$110&gt;=PREVS_SMAP!H$26)*(Propagações_TOT_PARANAPANEMA!$A$7:$A$110&lt;=PREVS_SMAP!H$27),0))/7+H58)</f>
        <v>#N/A</v>
      </c>
      <c r="I59" s="132" t="e">
        <f t="array" aca="1" ref="I59" ca="1">IF(AF59&lt;7,NA(),SUM(IFERROR(Propagações_TOT_PARANAPANEMA!$B$7:$BO$110*(Propagações_TOT_PARANAPANEMA!$B$6:$BO$6=$B59&amp;"I")*(Propagações_TOT_PARANAPANEMA!$A$7:$A$110&gt;=PREVS_SMAP!I$26)*(Propagações_TOT_PARANAPANEMA!$A$7:$A$110&lt;=PREVS_SMAP!I$27),0))/7+I58)</f>
        <v>#N/A</v>
      </c>
      <c r="J59" s="132" t="e">
        <f t="array" aca="1" ref="J59" ca="1">IF(AG59&lt;7,NA(),SUM(IFERROR(Propagações_TOT_PARANAPANEMA!$B$7:$BO$110*(Propagações_TOT_PARANAPANEMA!$B$6:$BO$6=$B59&amp;"I")*(Propagações_TOT_PARANAPANEMA!$A$7:$A$110&gt;=PREVS_SMAP!J$26)*(Propagações_TOT_PARANAPANEMA!$A$7:$A$110&lt;=PREVS_SMAP!J$27),0))/7+J58)</f>
        <v>#N/A</v>
      </c>
      <c r="K59" s="132" t="e">
        <f t="array" aca="1" ref="K59" ca="1">IF(AH59&lt;7,NA(),SUM(IFERROR(Propagações_TOT_PARANAPANEMA!$B$7:$BO$110*(Propagações_TOT_PARANAPANEMA!$B$6:$BO$6=$B59&amp;"I")*(Propagações_TOT_PARANAPANEMA!$A$7:$A$110&gt;=PREVS_SMAP!K$26)*(Propagações_TOT_PARANAPANEMA!$A$7:$A$110&lt;=PREVS_SMAP!K$27),0))/7+K58)</f>
        <v>#N/A</v>
      </c>
      <c r="L59" s="132" t="e">
        <f t="array" aca="1" ref="L59" ca="1">IF(AI59&lt;7,NA(),SUM(IFERROR(Propagações_TOT_PARANAPANEMA!$B$7:$BO$110*(Propagações_TOT_PARANAPANEMA!$B$6:$BO$6=$B59&amp;"I")*(Propagações_TOT_PARANAPANEMA!$A$7:$A$110&gt;=PREVS_SMAP!L$26)*(Propagações_TOT_PARANAPANEMA!$A$7:$A$110&lt;=PREVS_SMAP!L$27),0))/7+L58)</f>
        <v>#N/A</v>
      </c>
      <c r="M59" s="132" t="e">
        <f t="array" aca="1" ref="M59" ca="1">IF(AJ59&lt;7,NA(),SUM(IFERROR(Propagações_TOT_PARANAPANEMA!$B$7:$BO$110*(Propagações_TOT_PARANAPANEMA!$B$6:$BO$6=$B59&amp;"I")*(Propagações_TOT_PARANAPANEMA!$A$7:$A$110&gt;=PREVS_SMAP!M$26)*(Propagações_TOT_PARANAPANEMA!$A$7:$A$110&lt;=PREVS_SMAP!M$27),0))/7+M58)</f>
        <v>#N/A</v>
      </c>
      <c r="N59" s="132" t="e">
        <f t="array" aca="1" ref="N59" ca="1">IF(AK59&lt;7,NA(),SUM(IFERROR(Propagações_TOT_PARANAPANEMA!$B$7:$BO$110*(Propagações_TOT_PARANAPANEMA!$B$6:$BO$6=$B59&amp;"I")*(Propagações_TOT_PARANAPANEMA!$A$7:$A$110&gt;=PREVS_SMAP!N$26)*(Propagações_TOT_PARANAPANEMA!$A$7:$A$110&lt;=PREVS_SMAP!N$27),0))/7+N58)</f>
        <v>#N/A</v>
      </c>
      <c r="O59" s="132" t="e">
        <f t="array" aca="1" ref="O59" ca="1">IF(AL59&lt;7,NA(),SUM(IFERROR(Propagações_TOT_PARANAPANEMA!$B$7:$BO$110*(Propagações_TOT_PARANAPANEMA!$B$6:$BO$6=$B59&amp;"I")*(Propagações_TOT_PARANAPANEMA!$A$7:$A$110&gt;=PREVS_SMAP!O$26)*(Propagações_TOT_PARANAPANEMA!$A$7:$A$110&lt;=PREVS_SMAP!O$27),0))/7+O58)</f>
        <v>#N/A</v>
      </c>
      <c r="P59" s="132"/>
      <c r="R59">
        <v>32</v>
      </c>
      <c r="S59" s="40">
        <f ca="1">AO59</f>
        <v>518</v>
      </c>
      <c r="T59" s="131" t="str">
        <f t="shared" ca="1" si="22"/>
        <v/>
      </c>
      <c r="U59" s="131" t="str">
        <f t="shared" ca="1" si="22"/>
        <v/>
      </c>
      <c r="V59" s="131" t="str">
        <f t="shared" ca="1" si="22"/>
        <v/>
      </c>
      <c r="W59" s="131" t="str">
        <f t="shared" ca="1" si="22"/>
        <v/>
      </c>
      <c r="X59" s="131" t="str">
        <f t="shared" ca="1" si="22"/>
        <v/>
      </c>
      <c r="Y59" s="131" t="str">
        <f t="shared" ca="1" si="22"/>
        <v/>
      </c>
      <c r="Z59" s="131" t="str">
        <f t="shared" ca="1" si="22"/>
        <v/>
      </c>
      <c r="AA59" s="131" t="str">
        <f t="shared" ca="1" si="22"/>
        <v/>
      </c>
      <c r="AB59" s="131" t="str">
        <f t="shared" ca="1" si="22"/>
        <v/>
      </c>
      <c r="AD59" s="272">
        <f t="array" aca="1" ref="AD59" ca="1">SUM(IFERROR(ISNUMBER(Propagações_TOT_PARANAPANEMA!$B$7:$BO$110)*(Propagações_TOT_PARANAPANEMA!$B$6:$BO$6=$B59&amp;"A")*(Propagações_TOT_PARANAPANEMA!$A$7:$A$110&gt;=PREVS_SMAP!G$26)*(Propagações_TOT_PARANAPANEMA!$A$7:$A$110&lt;=PREVS_SMAP!G$27),0))</f>
        <v>0</v>
      </c>
      <c r="AE59" s="272">
        <f t="array" aca="1" ref="AE59" ca="1">SUM(IFERROR(ISNUMBER(Propagações_TOT_PARANAPANEMA!$B$7:$BO$110)*(Propagações_TOT_PARANAPANEMA!$B$6:$BO$6=$B59&amp;"A")*(Propagações_TOT_PARANAPANEMA!$A$7:$A$110&gt;=PREVS_SMAP!H$26)*(Propagações_TOT_PARANAPANEMA!$A$7:$A$110&lt;=PREVS_SMAP!H$27),0))</f>
        <v>0</v>
      </c>
      <c r="AF59" s="272">
        <f t="array" aca="1" ref="AF59" ca="1">SUM(IFERROR(ISNUMBER(Propagações_TOT_PARANAPANEMA!$B$7:$BO$110)*(Propagações_TOT_PARANAPANEMA!$B$6:$BO$6=$B59&amp;"A")*(Propagações_TOT_PARANAPANEMA!$A$7:$A$110&gt;=PREVS_SMAP!I$26)*(Propagações_TOT_PARANAPANEMA!$A$7:$A$110&lt;=PREVS_SMAP!I$27),0))</f>
        <v>0</v>
      </c>
      <c r="AG59" s="272">
        <f t="array" aca="1" ref="AG59" ca="1">SUM(IFERROR(ISNUMBER(Propagações_TOT_PARANAPANEMA!$B$7:$BO$110)*(Propagações_TOT_PARANAPANEMA!$B$6:$BO$6=$B59&amp;"A")*(Propagações_TOT_PARANAPANEMA!$A$7:$A$110&gt;=PREVS_SMAP!J$26)*(Propagações_TOT_PARANAPANEMA!$A$7:$A$110&lt;=PREVS_SMAP!J$27),0))</f>
        <v>0</v>
      </c>
      <c r="AH59" s="272">
        <f t="array" aca="1" ref="AH59" ca="1">SUM(IFERROR(ISNUMBER(Propagações_TOT_PARANAPANEMA!$B$7:$BO$110)*(Propagações_TOT_PARANAPANEMA!$B$6:$BO$6=$B59&amp;"A")*(Propagações_TOT_PARANAPANEMA!$A$7:$A$110&gt;=PREVS_SMAP!K$26)*(Propagações_TOT_PARANAPANEMA!$A$7:$A$110&lt;=PREVS_SMAP!K$27),0))</f>
        <v>0</v>
      </c>
      <c r="AI59" s="272">
        <f t="array" aca="1" ref="AI59" ca="1">SUM(IFERROR(ISNUMBER(Propagações_TOT_PARANAPANEMA!$B$7:$BO$110)*(Propagações_TOT_PARANAPANEMA!$B$6:$BO$6=$B59&amp;"A")*(Propagações_TOT_PARANAPANEMA!$A$7:$A$110&gt;=PREVS_SMAP!L$26)*(Propagações_TOT_PARANAPANEMA!$A$7:$A$110&lt;=PREVS_SMAP!L$27),0))</f>
        <v>0</v>
      </c>
      <c r="AJ59" s="272">
        <f t="array" aca="1" ref="AJ59" ca="1">SUM(IFERROR(ISNUMBER(Propagações_TOT_PARANAPANEMA!$B$7:$BO$110)*(Propagações_TOT_PARANAPANEMA!$B$6:$BO$6=$B59&amp;"A")*(Propagações_TOT_PARANAPANEMA!$A$7:$A$110&gt;=PREVS_SMAP!M$26)*(Propagações_TOT_PARANAPANEMA!$A$7:$A$110&lt;=PREVS_SMAP!M$27),0))</f>
        <v>0</v>
      </c>
      <c r="AK59" s="272">
        <f t="array" aca="1" ref="AK59" ca="1">SUM(IFERROR(ISNUMBER(Propagações_TOT_PARANAPANEMA!$B$7:$BO$110)*(Propagações_TOT_PARANAPANEMA!$B$6:$BO$6=$B59&amp;"A")*(Propagações_TOT_PARANAPANEMA!$A$7:$A$110&gt;=PREVS_SMAP!N$26)*(Propagações_TOT_PARANAPANEMA!$A$7:$A$110&lt;=PREVS_SMAP!N$27),0))</f>
        <v>0</v>
      </c>
      <c r="AL59" s="272">
        <f t="array" aca="1" ref="AL59" ca="1">SUM(IFERROR(ISNUMBER(Propagações_TOT_PARANAPANEMA!$B$7:$BO$110)*(Propagações_TOT_PARANAPANEMA!$B$6:$BO$6=$B59&amp;"A")*(Propagações_TOT_PARANAPANEMA!$A$7:$A$110&gt;=PREVS_SMAP!O$26)*(Propagações_TOT_PARANAPANEMA!$A$7:$A$110&lt;=PREVS_SMAP!O$27),0))</f>
        <v>0</v>
      </c>
      <c r="AN59" s="121"/>
      <c r="AO59" s="121">
        <f t="shared" ca="1" si="9"/>
        <v>518</v>
      </c>
      <c r="AP59" s="121" t="b">
        <f t="shared" si="10"/>
        <v>1</v>
      </c>
      <c r="AQ59" s="272">
        <f ca="1">+AVERAGEIFS(TABELA_VAZAO[qnat],TABELA_VAZAO[Posto],$R59,TABELA_VAZAO[Data],AQ$27)</f>
        <v>913</v>
      </c>
      <c r="AR59" s="272">
        <f ca="1">+AVERAGEIFS(TABELA_VAZAO[qnat],TABELA_VAZAO[Posto],$R59,TABELA_VAZAO[Data],AR$27)</f>
        <v>855</v>
      </c>
      <c r="AS59" s="272">
        <f ca="1">+AVERAGEIFS(TABELA_VAZAO[qnat],TABELA_VAZAO[Posto],$R59,TABELA_VAZAO[Data],AS$27)</f>
        <v>831</v>
      </c>
      <c r="AT59" s="272">
        <f ca="1">+AVERAGEIFS(TABELA_VAZAO[qnat],TABELA_VAZAO[Posto],$R59,TABELA_VAZAO[Data],AT$27)</f>
        <v>890</v>
      </c>
      <c r="AU59" s="121">
        <f ca="1">+AVERAGEIFS(TABELA_VAZAO[qnat],TABELA_VAZAO[Posto],$R59,TABELA_VAZAO[Data],AU$27)</f>
        <v>1016</v>
      </c>
      <c r="AV59" s="272">
        <f ca="1">IFERROR(AVERAGEIFS(TABELA_VAZAO[qnat],TABELA_VAZAO[Posto],$R59,TABELA_VAZAO[Data],AV$27),AU59+$BB59*EXP(AV$26))</f>
        <v>1186</v>
      </c>
      <c r="AW59" s="159">
        <f ca="1">IFERROR(AVERAGEIFS(TABELA_VAZAO[qnat],TABELA_VAZAO[Posto],$R59,TABELA_VAZAO[Data],AW$27),AV59+$BB59*EXP(AW$26))</f>
        <v>1425</v>
      </c>
      <c r="AX59" s="325">
        <f ca="1">IFERROR(AVERAGEIFS(TABELA_VAZAO[qnat],TABELA_VAZAO[Posto],$R59,TABELA_VAZAO[Data],AX$27),AW59+$BB59*EXP(AX$26))</f>
        <v>1602.4285714285713</v>
      </c>
      <c r="AY59" s="325">
        <f ca="1">IFERROR(AVERAGEIFS(TABELA_VAZAO[qnat],TABELA_VAZAO[Posto],$R59,TABELA_VAZAO[Data],AY$27),AX59+$BB59*EXP(AY$26))</f>
        <v>1721.362499596609</v>
      </c>
      <c r="AZ59" s="326">
        <f ca="1">IFERROR(AVERAGEIFS(TABELA_VAZAO[qnat],TABELA_VAZAO[Posto],$R59,TABELA_VAZAO[Data],AZ$27),AY59+$BB59*EXP(AZ$26))</f>
        <v>1801.0862958014075</v>
      </c>
      <c r="BA59" s="326">
        <f ca="1">IFERROR(AVERAGEIFS(TABELA_VAZAO[qnat],TABELA_VAZAO[Posto],$R59,TABELA_VAZAO[Data],BA$27),AZ59+$BB59*EXP(BA$26))</f>
        <v>1854.5267545435438</v>
      </c>
      <c r="BB59" s="121">
        <f t="shared" ca="1" si="11"/>
        <v>177.42857142857142</v>
      </c>
      <c r="BC59" s="272">
        <f t="shared" ca="1" si="13"/>
        <v>59</v>
      </c>
      <c r="BD59" s="272">
        <f t="shared" ca="1" si="13"/>
        <v>126</v>
      </c>
      <c r="BE59" s="272">
        <f t="shared" ca="1" si="13"/>
        <v>170</v>
      </c>
      <c r="BF59" s="272">
        <f t="shared" ca="1" si="13"/>
        <v>239</v>
      </c>
      <c r="BG59"/>
    </row>
    <row r="60" spans="1:59" x14ac:dyDescent="0.2">
      <c r="A60" s="294">
        <v>49</v>
      </c>
      <c r="B60" s="283" t="str">
        <f t="shared" si="21"/>
        <v>49_VN</v>
      </c>
      <c r="C60" s="240" t="s">
        <v>33</v>
      </c>
      <c r="D60" s="132">
        <f t="array" aca="1" ref="D60" ca="1">SUM(IFERROR(Propagações_TOT_PARANAPANEMA!$B$7:$BO$110*(Propagações_TOT_PARANAPANEMA!$B$6:$BO$6=$B60&amp;"A")*(Propagações_TOT_PARANAPANEMA!$A$7:$A$110&gt;=PREVS_SMAP!D$26)*(Propagações_TOT_PARANAPANEMA!$A$7:$A$110&lt;=PREVS_SMAP!D$27),0))/7</f>
        <v>0</v>
      </c>
      <c r="E60" s="132">
        <f t="array" aca="1" ref="E60" ca="1">SUM(IFERROR(Propagações_TOT_PARANAPANEMA!$B$7:$BO$110*(Propagações_TOT_PARANAPANEMA!$B$6:$BO$6=$B60&amp;"A")*(Propagações_TOT_PARANAPANEMA!$A$7:$A$110&gt;=PREVS_SMAP!E$26)*(Propagações_TOT_PARANAPANEMA!$A$7:$A$110&lt;=PREVS_SMAP!E$27),0))/7</f>
        <v>197.85714285714286</v>
      </c>
      <c r="F60" s="132">
        <f t="array" aca="1" ref="F60" ca="1">SUM(IFERROR(Propagações_TOT_PARANAPANEMA!$B$7:$BO$110*(Propagações_TOT_PARANAPANEMA!$B$6:$BO$6=$B60&amp;"A")*(Propagações_TOT_PARANAPANEMA!$A$7:$A$110&gt;=PREVS_SMAP!F$26)*(Propagações_TOT_PARANAPANEMA!$A$7:$A$110&lt;=PREVS_SMAP!F$27),0))/7</f>
        <v>88.857142857142861</v>
      </c>
      <c r="G60" s="132" t="e">
        <f t="array" aca="1" ref="G60" ca="1">IF(AD60&lt;7,NA(),SUM(IFERROR(Propagações_TOT_PARANAPANEMA!$B$7:$BO$110*(Propagações_TOT_PARANAPANEMA!$B$6:$BO$6=$B60&amp;"I")*(Propagações_TOT_PARANAPANEMA!$A$7:$A$110&gt;=PREVS_SMAP!G$26)*(Propagações_TOT_PARANAPANEMA!$A$7:$A$110&lt;=PREVS_SMAP!G$27),0))/7+G59)</f>
        <v>#N/A</v>
      </c>
      <c r="H60" s="132" t="e">
        <f t="array" aca="1" ref="H60" ca="1">IF(AE60&lt;7,NA(),SUM(IFERROR(Propagações_TOT_PARANAPANEMA!$B$7:$BO$110*(Propagações_TOT_PARANAPANEMA!$B$6:$BO$6=$B60&amp;"I")*(Propagações_TOT_PARANAPANEMA!$A$7:$A$110&gt;=PREVS_SMAP!H$26)*(Propagações_TOT_PARANAPANEMA!$A$7:$A$110&lt;=PREVS_SMAP!H$27),0))/7+H59)</f>
        <v>#N/A</v>
      </c>
      <c r="I60" s="132" t="e">
        <f t="array" aca="1" ref="I60" ca="1">IF(AF60&lt;7,NA(),SUM(IFERROR(Propagações_TOT_PARANAPANEMA!$B$7:$BO$110*(Propagações_TOT_PARANAPANEMA!$B$6:$BO$6=$B60&amp;"I")*(Propagações_TOT_PARANAPANEMA!$A$7:$A$110&gt;=PREVS_SMAP!I$26)*(Propagações_TOT_PARANAPANEMA!$A$7:$A$110&lt;=PREVS_SMAP!I$27),0))/7+I59)</f>
        <v>#N/A</v>
      </c>
      <c r="J60" s="132" t="e">
        <f t="array" aca="1" ref="J60" ca="1">IF(AG60&lt;7,NA(),SUM(IFERROR(Propagações_TOT_PARANAPANEMA!$B$7:$BO$110*(Propagações_TOT_PARANAPANEMA!$B$6:$BO$6=$B60&amp;"I")*(Propagações_TOT_PARANAPANEMA!$A$7:$A$110&gt;=PREVS_SMAP!J$26)*(Propagações_TOT_PARANAPANEMA!$A$7:$A$110&lt;=PREVS_SMAP!J$27),0))/7+J59)</f>
        <v>#N/A</v>
      </c>
      <c r="K60" s="132" t="e">
        <f t="array" aca="1" ref="K60" ca="1">IF(AH60&lt;7,NA(),SUM(IFERROR(Propagações_TOT_PARANAPANEMA!$B$7:$BO$110*(Propagações_TOT_PARANAPANEMA!$B$6:$BO$6=$B60&amp;"I")*(Propagações_TOT_PARANAPANEMA!$A$7:$A$110&gt;=PREVS_SMAP!K$26)*(Propagações_TOT_PARANAPANEMA!$A$7:$A$110&lt;=PREVS_SMAP!K$27),0))/7+K59)</f>
        <v>#N/A</v>
      </c>
      <c r="L60" s="132" t="e">
        <f t="array" aca="1" ref="L60" ca="1">IF(AI60&lt;7,NA(),SUM(IFERROR(Propagações_TOT_PARANAPANEMA!$B$7:$BO$110*(Propagações_TOT_PARANAPANEMA!$B$6:$BO$6=$B60&amp;"I")*(Propagações_TOT_PARANAPANEMA!$A$7:$A$110&gt;=PREVS_SMAP!L$26)*(Propagações_TOT_PARANAPANEMA!$A$7:$A$110&lt;=PREVS_SMAP!L$27),0))/7+L59)</f>
        <v>#N/A</v>
      </c>
      <c r="M60" s="132" t="e">
        <f t="array" aca="1" ref="M60" ca="1">IF(AJ60&lt;7,NA(),SUM(IFERROR(Propagações_TOT_PARANAPANEMA!$B$7:$BO$110*(Propagações_TOT_PARANAPANEMA!$B$6:$BO$6=$B60&amp;"I")*(Propagações_TOT_PARANAPANEMA!$A$7:$A$110&gt;=PREVS_SMAP!M$26)*(Propagações_TOT_PARANAPANEMA!$A$7:$A$110&lt;=PREVS_SMAP!M$27),0))/7+M59)</f>
        <v>#N/A</v>
      </c>
      <c r="N60" s="132" t="e">
        <f t="array" aca="1" ref="N60" ca="1">IF(AK60&lt;7,NA(),SUM(IFERROR(Propagações_TOT_PARANAPANEMA!$B$7:$BO$110*(Propagações_TOT_PARANAPANEMA!$B$6:$BO$6=$B60&amp;"I")*(Propagações_TOT_PARANAPANEMA!$A$7:$A$110&gt;=PREVS_SMAP!N$26)*(Propagações_TOT_PARANAPANEMA!$A$7:$A$110&lt;=PREVS_SMAP!N$27),0))/7+N59)</f>
        <v>#N/A</v>
      </c>
      <c r="O60" s="132" t="e">
        <f t="array" aca="1" ref="O60" ca="1">IF(AL60&lt;7,NA(),SUM(IFERROR(Propagações_TOT_PARANAPANEMA!$B$7:$BO$110*(Propagações_TOT_PARANAPANEMA!$B$6:$BO$6=$B60&amp;"I")*(Propagações_TOT_PARANAPANEMA!$A$7:$A$110&gt;=PREVS_SMAP!O$26)*(Propagações_TOT_PARANAPANEMA!$A$7:$A$110&lt;=PREVS_SMAP!O$27),0))/7+O59)</f>
        <v>#N/A</v>
      </c>
      <c r="P60" s="132"/>
      <c r="R60" s="162">
        <v>33</v>
      </c>
      <c r="S60" s="163">
        <f ca="1">AO60</f>
        <v>920</v>
      </c>
      <c r="T60" s="163" t="str">
        <f t="shared" ca="1" si="22"/>
        <v/>
      </c>
      <c r="U60" s="163" t="str">
        <f t="shared" ca="1" si="22"/>
        <v/>
      </c>
      <c r="V60" s="163" t="str">
        <f t="shared" ca="1" si="22"/>
        <v/>
      </c>
      <c r="W60" s="163" t="str">
        <f t="shared" ca="1" si="22"/>
        <v/>
      </c>
      <c r="X60" s="163" t="str">
        <f t="shared" ca="1" si="22"/>
        <v/>
      </c>
      <c r="Y60" s="163" t="str">
        <f t="shared" ca="1" si="22"/>
        <v/>
      </c>
      <c r="Z60" s="163" t="str">
        <f t="shared" ca="1" si="22"/>
        <v/>
      </c>
      <c r="AA60" s="163" t="str">
        <f t="shared" ca="1" si="22"/>
        <v/>
      </c>
      <c r="AB60" s="163" t="str">
        <f t="shared" ca="1" si="22"/>
        <v/>
      </c>
      <c r="AD60" s="272">
        <f t="array" aca="1" ref="AD60" ca="1">SUM(IFERROR(ISNUMBER(Propagações_TOT_PARANAPANEMA!$B$7:$BO$110)*(Propagações_TOT_PARANAPANEMA!$B$6:$BO$6=$B60&amp;"A")*(Propagações_TOT_PARANAPANEMA!$A$7:$A$110&gt;=PREVS_SMAP!G$26)*(Propagações_TOT_PARANAPANEMA!$A$7:$A$110&lt;=PREVS_SMAP!G$27),0))</f>
        <v>0</v>
      </c>
      <c r="AE60" s="272">
        <f t="array" aca="1" ref="AE60" ca="1">SUM(IFERROR(ISNUMBER(Propagações_TOT_PARANAPANEMA!$B$7:$BO$110)*(Propagações_TOT_PARANAPANEMA!$B$6:$BO$6=$B60&amp;"A")*(Propagações_TOT_PARANAPANEMA!$A$7:$A$110&gt;=PREVS_SMAP!H$26)*(Propagações_TOT_PARANAPANEMA!$A$7:$A$110&lt;=PREVS_SMAP!H$27),0))</f>
        <v>0</v>
      </c>
      <c r="AF60" s="272">
        <f t="array" aca="1" ref="AF60" ca="1">SUM(IFERROR(ISNUMBER(Propagações_TOT_PARANAPANEMA!$B$7:$BO$110)*(Propagações_TOT_PARANAPANEMA!$B$6:$BO$6=$B60&amp;"A")*(Propagações_TOT_PARANAPANEMA!$A$7:$A$110&gt;=PREVS_SMAP!I$26)*(Propagações_TOT_PARANAPANEMA!$A$7:$A$110&lt;=PREVS_SMAP!I$27),0))</f>
        <v>0</v>
      </c>
      <c r="AG60" s="272">
        <f t="array" aca="1" ref="AG60" ca="1">SUM(IFERROR(ISNUMBER(Propagações_TOT_PARANAPANEMA!$B$7:$BO$110)*(Propagações_TOT_PARANAPANEMA!$B$6:$BO$6=$B60&amp;"A")*(Propagações_TOT_PARANAPANEMA!$A$7:$A$110&gt;=PREVS_SMAP!J$26)*(Propagações_TOT_PARANAPANEMA!$A$7:$A$110&lt;=PREVS_SMAP!J$27),0))</f>
        <v>0</v>
      </c>
      <c r="AH60" s="272">
        <f t="array" aca="1" ref="AH60" ca="1">SUM(IFERROR(ISNUMBER(Propagações_TOT_PARANAPANEMA!$B$7:$BO$110)*(Propagações_TOT_PARANAPANEMA!$B$6:$BO$6=$B60&amp;"A")*(Propagações_TOT_PARANAPANEMA!$A$7:$A$110&gt;=PREVS_SMAP!K$26)*(Propagações_TOT_PARANAPANEMA!$A$7:$A$110&lt;=PREVS_SMAP!K$27),0))</f>
        <v>0</v>
      </c>
      <c r="AI60" s="272">
        <f t="array" aca="1" ref="AI60" ca="1">SUM(IFERROR(ISNUMBER(Propagações_TOT_PARANAPANEMA!$B$7:$BO$110)*(Propagações_TOT_PARANAPANEMA!$B$6:$BO$6=$B60&amp;"A")*(Propagações_TOT_PARANAPANEMA!$A$7:$A$110&gt;=PREVS_SMAP!L$26)*(Propagações_TOT_PARANAPANEMA!$A$7:$A$110&lt;=PREVS_SMAP!L$27),0))</f>
        <v>0</v>
      </c>
      <c r="AJ60" s="272">
        <f t="array" aca="1" ref="AJ60" ca="1">SUM(IFERROR(ISNUMBER(Propagações_TOT_PARANAPANEMA!$B$7:$BO$110)*(Propagações_TOT_PARANAPANEMA!$B$6:$BO$6=$B60&amp;"A")*(Propagações_TOT_PARANAPANEMA!$A$7:$A$110&gt;=PREVS_SMAP!M$26)*(Propagações_TOT_PARANAPANEMA!$A$7:$A$110&lt;=PREVS_SMAP!M$27),0))</f>
        <v>0</v>
      </c>
      <c r="AK60" s="272">
        <f t="array" aca="1" ref="AK60" ca="1">SUM(IFERROR(ISNUMBER(Propagações_TOT_PARANAPANEMA!$B$7:$BO$110)*(Propagações_TOT_PARANAPANEMA!$B$6:$BO$6=$B60&amp;"A")*(Propagações_TOT_PARANAPANEMA!$A$7:$A$110&gt;=PREVS_SMAP!N$26)*(Propagações_TOT_PARANAPANEMA!$A$7:$A$110&lt;=PREVS_SMAP!N$27),0))</f>
        <v>0</v>
      </c>
      <c r="AL60" s="272">
        <f t="array" aca="1" ref="AL60" ca="1">SUM(IFERROR(ISNUMBER(Propagações_TOT_PARANAPANEMA!$B$7:$BO$110)*(Propagações_TOT_PARANAPANEMA!$B$6:$BO$6=$B60&amp;"A")*(Propagações_TOT_PARANAPANEMA!$A$7:$A$110&gt;=PREVS_SMAP!O$26)*(Propagações_TOT_PARANAPANEMA!$A$7:$A$110&lt;=PREVS_SMAP!O$27),0))</f>
        <v>0</v>
      </c>
      <c r="AN60" s="121"/>
      <c r="AO60" s="162">
        <f t="shared" ca="1" si="9"/>
        <v>920</v>
      </c>
      <c r="AP60" s="162" t="b">
        <f t="shared" si="10"/>
        <v>1</v>
      </c>
      <c r="AQ60" s="162">
        <f ca="1">+AVERAGEIFS(TABELA_VAZAO[qnat],TABELA_VAZAO[Posto],$R60,TABELA_VAZAO[Data],AQ$27)</f>
        <v>1534</v>
      </c>
      <c r="AR60" s="162">
        <f ca="1">+AVERAGEIFS(TABELA_VAZAO[qnat],TABELA_VAZAO[Posto],$R60,TABELA_VAZAO[Data],AR$27)</f>
        <v>1444</v>
      </c>
      <c r="AS60" s="162">
        <f ca="1">+AVERAGEIFS(TABELA_VAZAO[qnat],TABELA_VAZAO[Posto],$R60,TABELA_VAZAO[Data],AS$27)</f>
        <v>1388</v>
      </c>
      <c r="AT60" s="162">
        <f ca="1">+AVERAGEIFS(TABELA_VAZAO[qnat],TABELA_VAZAO[Posto],$R60,TABELA_VAZAO[Data],AT$27)</f>
        <v>1545</v>
      </c>
      <c r="AU60" s="162">
        <f ca="1">+AVERAGEIFS(TABELA_VAZAO[qnat],TABELA_VAZAO[Posto],$R60,TABELA_VAZAO[Data],AU$27)</f>
        <v>1758</v>
      </c>
      <c r="AV60" s="162">
        <f ca="1">IFERROR(AVERAGEIFS(TABELA_VAZAO[qnat],TABELA_VAZAO[Posto],$R60,TABELA_VAZAO[Data],AV$27),AU60+$BB60*EXP(AV$26))</f>
        <v>1968</v>
      </c>
      <c r="AW60" s="164">
        <f ca="1">IFERROR(IFERROR(AVERAGEIFS(TABELA_VAZAO[qnat],TABELA_VAZAO[Posto],$R60,TABELA_VAZAO[Data],AW$27),INDEX(11:11,1,MATCH(AW$27,$8:$8,0))),AV60+$BB60*EXP(AW$26))</f>
        <v>2712</v>
      </c>
      <c r="AX60" s="164">
        <f ca="1">IFERROR(IFERROR(AVERAGEIFS(TABELA_VAZAO[qnat],TABELA_VAZAO[Posto],$R60,TABELA_VAZAO[Data],AX$27),INDEX(11:11,1,MATCH(AX$27,$8:$8,0))),AW60+$BB60*EXP(AX$26))</f>
        <v>3143.7142857142858</v>
      </c>
      <c r="AY60" s="164">
        <f ca="1">IFERROR(IFERROR(AVERAGEIFS(TABELA_VAZAO[qnat],TABELA_VAZAO[Posto],$R60,TABELA_VAZAO[Data],AY$27),INDEX(11:11,1,MATCH(AY$27,$8:$8,0))),AX60+$BB60*EXP(AY$26))</f>
        <v>3433.101025588529</v>
      </c>
      <c r="AZ60" s="164">
        <f ca="1">IFERROR(IFERROR(AVERAGEIFS(TABELA_VAZAO[qnat],TABELA_VAZAO[Posto],$R60,TABELA_VAZAO[Data],AZ$27),INDEX(11:11,1,MATCH(AZ$27,$8:$8,0))),AY60+$BB60*EXP(AZ$26))</f>
        <v>3627.0827583831351</v>
      </c>
      <c r="BA60" s="164">
        <f ca="1">IFERROR(IFERROR(AVERAGEIFS(TABELA_VAZAO[qnat],TABELA_VAZAO[Posto],$R60,TABELA_VAZAO[Data],BA$27),INDEX(11:11,1,MATCH(BA$27,$8:$8,0))),AZ60+$BB60*EXP(BA$26))</f>
        <v>3757.1126024400887</v>
      </c>
      <c r="BB60" s="121">
        <f t="shared" ca="1" si="11"/>
        <v>431.71428571428572</v>
      </c>
      <c r="BC60" s="272">
        <f t="shared" ca="1" si="13"/>
        <v>157</v>
      </c>
      <c r="BD60" s="272">
        <f t="shared" ca="1" si="13"/>
        <v>213</v>
      </c>
      <c r="BE60" s="272">
        <f t="shared" ca="1" si="13"/>
        <v>210</v>
      </c>
      <c r="BF60" s="272">
        <f t="shared" ca="1" si="13"/>
        <v>744</v>
      </c>
      <c r="BG60"/>
    </row>
    <row r="61" spans="1:59" x14ac:dyDescent="0.2">
      <c r="A61" s="294">
        <v>249</v>
      </c>
      <c r="B61" s="283" t="str">
        <f t="shared" si="21"/>
        <v>249_VN</v>
      </c>
      <c r="C61" s="137" t="s">
        <v>64</v>
      </c>
      <c r="D61" s="132">
        <f t="array" aca="1" ref="D61" ca="1">SUM(IFERROR(Propagações_TOT_PARANAPANEMA!$B$7:$BO$110*(Propagações_TOT_PARANAPANEMA!$B$6:$BO$6=$B61&amp;"A")*(Propagações_TOT_PARANAPANEMA!$A$7:$A$110&gt;=PREVS_SMAP!D$26)*(Propagações_TOT_PARANAPANEMA!$A$7:$A$110&lt;=PREVS_SMAP!D$27),0))/7</f>
        <v>0</v>
      </c>
      <c r="E61" s="132">
        <f t="array" aca="1" ref="E61" ca="1">SUM(IFERROR(Propagações_TOT_PARANAPANEMA!$B$7:$BO$110*(Propagações_TOT_PARANAPANEMA!$B$6:$BO$6=$B61&amp;"A")*(Propagações_TOT_PARANAPANEMA!$A$7:$A$110&gt;=PREVS_SMAP!E$26)*(Propagações_TOT_PARANAPANEMA!$A$7:$A$110&lt;=PREVS_SMAP!E$27),0))/7</f>
        <v>202.57142857142858</v>
      </c>
      <c r="F61" s="132">
        <f t="array" aca="1" ref="F61" ca="1">SUM(IFERROR(Propagações_TOT_PARANAPANEMA!$B$7:$BO$110*(Propagações_TOT_PARANAPANEMA!$B$6:$BO$6=$B61&amp;"A")*(Propagações_TOT_PARANAPANEMA!$A$7:$A$110&gt;=PREVS_SMAP!F$26)*(Propagações_TOT_PARANAPANEMA!$A$7:$A$110&lt;=PREVS_SMAP!F$27),0))/7</f>
        <v>88.857142857142861</v>
      </c>
      <c r="G61" s="132" t="e">
        <f t="array" aca="1" ref="G61" ca="1">IF(AD61&lt;7,NA(),SUM(IFERROR(Propagações_TOT_PARANAPANEMA!$B$7:$BO$110*(Propagações_TOT_PARANAPANEMA!$B$6:$BO$6=$B61&amp;"I")*(Propagações_TOT_PARANAPANEMA!$A$7:$A$110&gt;=PREVS_SMAP!G$26)*(Propagações_TOT_PARANAPANEMA!$A$7:$A$110&lt;=PREVS_SMAP!G$27),0))/7+G60)</f>
        <v>#N/A</v>
      </c>
      <c r="H61" s="132" t="e">
        <f t="array" aca="1" ref="H61" ca="1">IF(AE61&lt;7,NA(),SUM(IFERROR(Propagações_TOT_PARANAPANEMA!$B$7:$BO$110*(Propagações_TOT_PARANAPANEMA!$B$6:$BO$6=$B61&amp;"I")*(Propagações_TOT_PARANAPANEMA!$A$7:$A$110&gt;=PREVS_SMAP!H$26)*(Propagações_TOT_PARANAPANEMA!$A$7:$A$110&lt;=PREVS_SMAP!H$27),0))/7+H60)</f>
        <v>#N/A</v>
      </c>
      <c r="I61" s="132" t="e">
        <f t="array" aca="1" ref="I61" ca="1">IF(AF61&lt;7,NA(),SUM(IFERROR(Propagações_TOT_PARANAPANEMA!$B$7:$BO$110*(Propagações_TOT_PARANAPANEMA!$B$6:$BO$6=$B61&amp;"I")*(Propagações_TOT_PARANAPANEMA!$A$7:$A$110&gt;=PREVS_SMAP!I$26)*(Propagações_TOT_PARANAPANEMA!$A$7:$A$110&lt;=PREVS_SMAP!I$27),0))/7+I60)</f>
        <v>#N/A</v>
      </c>
      <c r="J61" s="132" t="e">
        <f t="array" aca="1" ref="J61" ca="1">IF(AG61&lt;7,NA(),SUM(IFERROR(Propagações_TOT_PARANAPANEMA!$B$7:$BO$110*(Propagações_TOT_PARANAPANEMA!$B$6:$BO$6=$B61&amp;"I")*(Propagações_TOT_PARANAPANEMA!$A$7:$A$110&gt;=PREVS_SMAP!J$26)*(Propagações_TOT_PARANAPANEMA!$A$7:$A$110&lt;=PREVS_SMAP!J$27),0))/7+J60)</f>
        <v>#N/A</v>
      </c>
      <c r="K61" s="132" t="e">
        <f t="array" aca="1" ref="K61" ca="1">IF(AH61&lt;7,NA(),SUM(IFERROR(Propagações_TOT_PARANAPANEMA!$B$7:$BO$110*(Propagações_TOT_PARANAPANEMA!$B$6:$BO$6=$B61&amp;"I")*(Propagações_TOT_PARANAPANEMA!$A$7:$A$110&gt;=PREVS_SMAP!K$26)*(Propagações_TOT_PARANAPANEMA!$A$7:$A$110&lt;=PREVS_SMAP!K$27),0))/7+K60)</f>
        <v>#N/A</v>
      </c>
      <c r="L61" s="132" t="e">
        <f t="array" aca="1" ref="L61" ca="1">IF(AI61&lt;7,NA(),SUM(IFERROR(Propagações_TOT_PARANAPANEMA!$B$7:$BO$110*(Propagações_TOT_PARANAPANEMA!$B$6:$BO$6=$B61&amp;"I")*(Propagações_TOT_PARANAPANEMA!$A$7:$A$110&gt;=PREVS_SMAP!L$26)*(Propagações_TOT_PARANAPANEMA!$A$7:$A$110&lt;=PREVS_SMAP!L$27),0))/7+L60)</f>
        <v>#N/A</v>
      </c>
      <c r="M61" s="132" t="e">
        <f t="array" aca="1" ref="M61" ca="1">IF(AJ61&lt;7,NA(),SUM(IFERROR(Propagações_TOT_PARANAPANEMA!$B$7:$BO$110*(Propagações_TOT_PARANAPANEMA!$B$6:$BO$6=$B61&amp;"I")*(Propagações_TOT_PARANAPANEMA!$A$7:$A$110&gt;=PREVS_SMAP!M$26)*(Propagações_TOT_PARANAPANEMA!$A$7:$A$110&lt;=PREVS_SMAP!M$27),0))/7+M60)</f>
        <v>#N/A</v>
      </c>
      <c r="N61" s="132" t="e">
        <f t="array" aca="1" ref="N61" ca="1">IF(AK61&lt;7,NA(),SUM(IFERROR(Propagações_TOT_PARANAPANEMA!$B$7:$BO$110*(Propagações_TOT_PARANAPANEMA!$B$6:$BO$6=$B61&amp;"I")*(Propagações_TOT_PARANAPANEMA!$A$7:$A$110&gt;=PREVS_SMAP!N$26)*(Propagações_TOT_PARANAPANEMA!$A$7:$A$110&lt;=PREVS_SMAP!N$27),0))/7+N60)</f>
        <v>#N/A</v>
      </c>
      <c r="O61" s="132" t="e">
        <f t="array" aca="1" ref="O61" ca="1">IF(AL61&lt;7,NA(),SUM(IFERROR(Propagações_TOT_PARANAPANEMA!$B$7:$BO$110*(Propagações_TOT_PARANAPANEMA!$B$6:$BO$6=$B61&amp;"I")*(Propagações_TOT_PARANAPANEMA!$A$7:$A$110&gt;=PREVS_SMAP!O$26)*(Propagações_TOT_PARANAPANEMA!$A$7:$A$110&lt;=PREVS_SMAP!O$27),0))/7+O60)</f>
        <v>#N/A</v>
      </c>
      <c r="P61" s="132"/>
      <c r="R61">
        <v>34</v>
      </c>
      <c r="S61" s="40">
        <f ca="1">AO61</f>
        <v>1753</v>
      </c>
      <c r="T61" s="131" t="str">
        <f t="shared" ref="T61:AA61" ca="1" si="23">IF(AND($K$4,ISNUMBER(H$143)),ROUND(G$143*S61,0),"")</f>
        <v/>
      </c>
      <c r="U61" s="131" t="str">
        <f t="shared" ca="1" si="23"/>
        <v/>
      </c>
      <c r="V61" s="131" t="str">
        <f t="shared" ca="1" si="23"/>
        <v/>
      </c>
      <c r="W61" s="131" t="str">
        <f t="shared" ca="1" si="23"/>
        <v/>
      </c>
      <c r="X61" s="131" t="str">
        <f t="shared" ca="1" si="23"/>
        <v/>
      </c>
      <c r="Y61" s="131" t="str">
        <f t="shared" ca="1" si="23"/>
        <v/>
      </c>
      <c r="Z61" s="131" t="str">
        <f t="shared" ca="1" si="23"/>
        <v/>
      </c>
      <c r="AA61" s="131" t="str">
        <f t="shared" si="23"/>
        <v/>
      </c>
      <c r="AB61" s="131"/>
      <c r="AD61" s="272">
        <f t="array" aca="1" ref="AD61" ca="1">SUM(IFERROR(ISNUMBER(Propagações_TOT_PARANAPANEMA!$B$7:$BO$110)*(Propagações_TOT_PARANAPANEMA!$B$6:$BO$6=$B61&amp;"A")*(Propagações_TOT_PARANAPANEMA!$A$7:$A$110&gt;=PREVS_SMAP!G$26)*(Propagações_TOT_PARANAPANEMA!$A$7:$A$110&lt;=PREVS_SMAP!G$27),0))</f>
        <v>0</v>
      </c>
      <c r="AE61" s="272">
        <f t="array" aca="1" ref="AE61" ca="1">SUM(IFERROR(ISNUMBER(Propagações_TOT_PARANAPANEMA!$B$7:$BO$110)*(Propagações_TOT_PARANAPANEMA!$B$6:$BO$6=$B61&amp;"A")*(Propagações_TOT_PARANAPANEMA!$A$7:$A$110&gt;=PREVS_SMAP!H$26)*(Propagações_TOT_PARANAPANEMA!$A$7:$A$110&lt;=PREVS_SMAP!H$27),0))</f>
        <v>0</v>
      </c>
      <c r="AF61" s="272">
        <f t="array" aca="1" ref="AF61" ca="1">SUM(IFERROR(ISNUMBER(Propagações_TOT_PARANAPANEMA!$B$7:$BO$110)*(Propagações_TOT_PARANAPANEMA!$B$6:$BO$6=$B61&amp;"A")*(Propagações_TOT_PARANAPANEMA!$A$7:$A$110&gt;=PREVS_SMAP!I$26)*(Propagações_TOT_PARANAPANEMA!$A$7:$A$110&lt;=PREVS_SMAP!I$27),0))</f>
        <v>0</v>
      </c>
      <c r="AG61" s="272">
        <f t="array" aca="1" ref="AG61" ca="1">SUM(IFERROR(ISNUMBER(Propagações_TOT_PARANAPANEMA!$B$7:$BO$110)*(Propagações_TOT_PARANAPANEMA!$B$6:$BO$6=$B61&amp;"A")*(Propagações_TOT_PARANAPANEMA!$A$7:$A$110&gt;=PREVS_SMAP!J$26)*(Propagações_TOT_PARANAPANEMA!$A$7:$A$110&lt;=PREVS_SMAP!J$27),0))</f>
        <v>0</v>
      </c>
      <c r="AH61" s="272">
        <f t="array" aca="1" ref="AH61" ca="1">SUM(IFERROR(ISNUMBER(Propagações_TOT_PARANAPANEMA!$B$7:$BO$110)*(Propagações_TOT_PARANAPANEMA!$B$6:$BO$6=$B61&amp;"A")*(Propagações_TOT_PARANAPANEMA!$A$7:$A$110&gt;=PREVS_SMAP!K$26)*(Propagações_TOT_PARANAPANEMA!$A$7:$A$110&lt;=PREVS_SMAP!K$27),0))</f>
        <v>0</v>
      </c>
      <c r="AI61" s="272">
        <f t="array" aca="1" ref="AI61" ca="1">SUM(IFERROR(ISNUMBER(Propagações_TOT_PARANAPANEMA!$B$7:$BO$110)*(Propagações_TOT_PARANAPANEMA!$B$6:$BO$6=$B61&amp;"A")*(Propagações_TOT_PARANAPANEMA!$A$7:$A$110&gt;=PREVS_SMAP!L$26)*(Propagações_TOT_PARANAPANEMA!$A$7:$A$110&lt;=PREVS_SMAP!L$27),0))</f>
        <v>0</v>
      </c>
      <c r="AJ61" s="272">
        <f t="array" aca="1" ref="AJ61" ca="1">SUM(IFERROR(ISNUMBER(Propagações_TOT_PARANAPANEMA!$B$7:$BO$110)*(Propagações_TOT_PARANAPANEMA!$B$6:$BO$6=$B61&amp;"A")*(Propagações_TOT_PARANAPANEMA!$A$7:$A$110&gt;=PREVS_SMAP!M$26)*(Propagações_TOT_PARANAPANEMA!$A$7:$A$110&lt;=PREVS_SMAP!M$27),0))</f>
        <v>0</v>
      </c>
      <c r="AK61" s="272">
        <f t="array" aca="1" ref="AK61" ca="1">SUM(IFERROR(ISNUMBER(Propagações_TOT_PARANAPANEMA!$B$7:$BO$110)*(Propagações_TOT_PARANAPANEMA!$B$6:$BO$6=$B61&amp;"A")*(Propagações_TOT_PARANAPANEMA!$A$7:$A$110&gt;=PREVS_SMAP!N$26)*(Propagações_TOT_PARANAPANEMA!$A$7:$A$110&lt;=PREVS_SMAP!N$27),0))</f>
        <v>0</v>
      </c>
      <c r="AL61" s="272">
        <f t="array" aca="1" ref="AL61" ca="1">SUM(IFERROR(ISNUMBER(Propagações_TOT_PARANAPANEMA!$B$7:$BO$110)*(Propagações_TOT_PARANAPANEMA!$B$6:$BO$6=$B61&amp;"A")*(Propagações_TOT_PARANAPANEMA!$A$7:$A$110&gt;=PREVS_SMAP!O$26)*(Propagações_TOT_PARANAPANEMA!$A$7:$A$110&lt;=PREVS_SMAP!O$27),0))</f>
        <v>0</v>
      </c>
      <c r="AN61" s="121"/>
      <c r="AO61" s="121">
        <f t="shared" ca="1" si="9"/>
        <v>1753</v>
      </c>
      <c r="AP61" s="121" t="b">
        <f t="shared" si="10"/>
        <v>1</v>
      </c>
      <c r="AQ61" s="272">
        <f ca="1">+AVERAGEIFS(TABELA_VAZAO[qnat],TABELA_VAZAO[Posto],$R61,TABELA_VAZAO[Data],AQ$27)</f>
        <v>4547</v>
      </c>
      <c r="AR61" s="272">
        <f ca="1">+AVERAGEIFS(TABELA_VAZAO[qnat],TABELA_VAZAO[Posto],$R61,TABELA_VAZAO[Data],AR$27)</f>
        <v>4309</v>
      </c>
      <c r="AS61" s="272">
        <f ca="1">+AVERAGEIFS(TABELA_VAZAO[qnat],TABELA_VAZAO[Posto],$R61,TABELA_VAZAO[Data],AS$27)</f>
        <v>4065</v>
      </c>
      <c r="AT61" s="272">
        <f ca="1">+AVERAGEIFS(TABELA_VAZAO[qnat],TABELA_VAZAO[Posto],$R61,TABELA_VAZAO[Data],AT$27)</f>
        <v>3841</v>
      </c>
      <c r="AU61" s="121">
        <f ca="1">+AVERAGEIFS(TABELA_VAZAO[qnat],TABELA_VAZAO[Posto],$R61,TABELA_VAZAO[Data],AU$27)</f>
        <v>3831</v>
      </c>
      <c r="AV61" s="272">
        <f ca="1">IFERROR(AVERAGEIFS(TABELA_VAZAO[qnat],TABELA_VAZAO[Posto],$R61,TABELA_VAZAO[Data],AV$27),AU61+$BB61*EXP(AV$26))</f>
        <v>4048</v>
      </c>
      <c r="AW61" s="159">
        <f ca="1">IFERROR(AVERAGEIFS(TABELA_VAZAO[qnat],TABELA_VAZAO[Posto],$R61,TABELA_VAZAO[Data],AW$27),AV61+$BB61*EXP(AW$26))</f>
        <v>4391</v>
      </c>
      <c r="AX61" s="325">
        <f ca="1">IFERROR(AVERAGEIFS(TABELA_VAZAO[qnat],TABELA_VAZAO[Posto],$R61,TABELA_VAZAO[Data],AX$27),AW61+$BB61*EXP(AX$26))</f>
        <v>4566.5714285714284</v>
      </c>
      <c r="AY61" s="325">
        <f ca="1">IFERROR(AVERAGEIFS(TABELA_VAZAO[qnat],TABELA_VAZAO[Posto],$R61,TABELA_VAZAO[Data],AY$27),AX61+$BB61*EXP(AY$26))</f>
        <v>4684.2604766539716</v>
      </c>
      <c r="AZ61" s="326">
        <f ca="1">IFERROR(AVERAGEIFS(TABELA_VAZAO[qnat],TABELA_VAZAO[Posto],$R61,TABELA_VAZAO[Data],AZ$27),AY61+$BB61*EXP(AZ$26))</f>
        <v>4763.1498047825526</v>
      </c>
      <c r="BA61" s="326">
        <f ca="1">IFERROR(AVERAGEIFS(TABELA_VAZAO[qnat],TABELA_VAZAO[Posto],$R61,TABELA_VAZAO[Data],BA$27),AZ61+$BB61*EXP(BA$26))</f>
        <v>4816.030902845423</v>
      </c>
      <c r="BB61" s="121">
        <f t="shared" ca="1" si="11"/>
        <v>175.57142857142858</v>
      </c>
      <c r="BC61" s="272">
        <f t="shared" ca="1" si="13"/>
        <v>-224</v>
      </c>
      <c r="BD61" s="272">
        <f t="shared" ca="1" si="13"/>
        <v>-10</v>
      </c>
      <c r="BE61" s="272">
        <f t="shared" ca="1" si="13"/>
        <v>217</v>
      </c>
      <c r="BF61" s="272">
        <f t="shared" ca="1" si="13"/>
        <v>343</v>
      </c>
      <c r="BG61"/>
    </row>
    <row r="62" spans="1:59" x14ac:dyDescent="0.2">
      <c r="A62" s="294">
        <v>50</v>
      </c>
      <c r="B62" s="283" t="str">
        <f t="shared" si="21"/>
        <v>50_VN</v>
      </c>
      <c r="C62" s="137" t="s">
        <v>66</v>
      </c>
      <c r="D62" s="132">
        <f t="array" aca="1" ref="D62" ca="1">SUM(IFERROR(Propagações_TOT_PARANAPANEMA!$B$7:$BO$110*(Propagações_TOT_PARANAPANEMA!$B$6:$BO$6=$B62&amp;"A")*(Propagações_TOT_PARANAPANEMA!$A$7:$A$110&gt;=PREVS_SMAP!D$26)*(Propagações_TOT_PARANAPANEMA!$A$7:$A$110&lt;=PREVS_SMAP!D$27),0))/7</f>
        <v>0</v>
      </c>
      <c r="E62" s="132">
        <f t="array" aca="1" ref="E62" ca="1">SUM(IFERROR(Propagações_TOT_PARANAPANEMA!$B$7:$BO$110*(Propagações_TOT_PARANAPANEMA!$B$6:$BO$6=$B62&amp;"A")*(Propagações_TOT_PARANAPANEMA!$A$7:$A$110&gt;=PREVS_SMAP!E$26)*(Propagações_TOT_PARANAPANEMA!$A$7:$A$110&lt;=PREVS_SMAP!E$27),0))/7</f>
        <v>255.57142857142858</v>
      </c>
      <c r="F62" s="132">
        <f t="array" aca="1" ref="F62" ca="1">SUM(IFERROR(Propagações_TOT_PARANAPANEMA!$B$7:$BO$110*(Propagações_TOT_PARANAPANEMA!$B$6:$BO$6=$B62&amp;"A")*(Propagações_TOT_PARANAPANEMA!$A$7:$A$110&gt;=PREVS_SMAP!F$26)*(Propagações_TOT_PARANAPANEMA!$A$7:$A$110&lt;=PREVS_SMAP!F$27),0))/7</f>
        <v>115.71428571428571</v>
      </c>
      <c r="G62" s="132" t="e">
        <f t="array" aca="1" ref="G62" ca="1">IF(AD62&lt;7,NA(),SUM(IFERROR(Propagações_TOT_PARANAPANEMA!$B$7:$BO$110*(Propagações_TOT_PARANAPANEMA!$B$6:$BO$6=$B62&amp;"I")*(Propagações_TOT_PARANAPANEMA!$A$7:$A$110&gt;=PREVS_SMAP!G$26)*(Propagações_TOT_PARANAPANEMA!$A$7:$A$110&lt;=PREVS_SMAP!G$27),0))/7+G61)</f>
        <v>#N/A</v>
      </c>
      <c r="H62" s="132" t="e">
        <f t="array" aca="1" ref="H62" ca="1">IF(AE62&lt;7,NA(),SUM(IFERROR(Propagações_TOT_PARANAPANEMA!$B$7:$BO$110*(Propagações_TOT_PARANAPANEMA!$B$6:$BO$6=$B62&amp;"I")*(Propagações_TOT_PARANAPANEMA!$A$7:$A$110&gt;=PREVS_SMAP!H$26)*(Propagações_TOT_PARANAPANEMA!$A$7:$A$110&lt;=PREVS_SMAP!H$27),0))/7+H61)</f>
        <v>#N/A</v>
      </c>
      <c r="I62" s="132" t="e">
        <f t="array" aca="1" ref="I62" ca="1">IF(AF62&lt;7,NA(),SUM(IFERROR(Propagações_TOT_PARANAPANEMA!$B$7:$BO$110*(Propagações_TOT_PARANAPANEMA!$B$6:$BO$6=$B62&amp;"I")*(Propagações_TOT_PARANAPANEMA!$A$7:$A$110&gt;=PREVS_SMAP!I$26)*(Propagações_TOT_PARANAPANEMA!$A$7:$A$110&lt;=PREVS_SMAP!I$27),0))/7+I61)</f>
        <v>#N/A</v>
      </c>
      <c r="J62" s="132" t="e">
        <f t="array" aca="1" ref="J62" ca="1">IF(AG62&lt;7,NA(),SUM(IFERROR(Propagações_TOT_PARANAPANEMA!$B$7:$BO$110*(Propagações_TOT_PARANAPANEMA!$B$6:$BO$6=$B62&amp;"I")*(Propagações_TOT_PARANAPANEMA!$A$7:$A$110&gt;=PREVS_SMAP!J$26)*(Propagações_TOT_PARANAPANEMA!$A$7:$A$110&lt;=PREVS_SMAP!J$27),0))/7+J61)</f>
        <v>#N/A</v>
      </c>
      <c r="K62" s="132" t="e">
        <f t="array" aca="1" ref="K62" ca="1">IF(AH62&lt;7,NA(),SUM(IFERROR(Propagações_TOT_PARANAPANEMA!$B$7:$BO$110*(Propagações_TOT_PARANAPANEMA!$B$6:$BO$6=$B62&amp;"I")*(Propagações_TOT_PARANAPANEMA!$A$7:$A$110&gt;=PREVS_SMAP!K$26)*(Propagações_TOT_PARANAPANEMA!$A$7:$A$110&lt;=PREVS_SMAP!K$27),0))/7+K61)</f>
        <v>#N/A</v>
      </c>
      <c r="L62" s="132" t="e">
        <f t="array" aca="1" ref="L62" ca="1">IF(AI62&lt;7,NA(),SUM(IFERROR(Propagações_TOT_PARANAPANEMA!$B$7:$BO$110*(Propagações_TOT_PARANAPANEMA!$B$6:$BO$6=$B62&amp;"I")*(Propagações_TOT_PARANAPANEMA!$A$7:$A$110&gt;=PREVS_SMAP!L$26)*(Propagações_TOT_PARANAPANEMA!$A$7:$A$110&lt;=PREVS_SMAP!L$27),0))/7+L61)</f>
        <v>#N/A</v>
      </c>
      <c r="M62" s="132" t="e">
        <f t="array" aca="1" ref="M62" ca="1">IF(AJ62&lt;7,NA(),SUM(IFERROR(Propagações_TOT_PARANAPANEMA!$B$7:$BO$110*(Propagações_TOT_PARANAPANEMA!$B$6:$BO$6=$B62&amp;"I")*(Propagações_TOT_PARANAPANEMA!$A$7:$A$110&gt;=PREVS_SMAP!M$26)*(Propagações_TOT_PARANAPANEMA!$A$7:$A$110&lt;=PREVS_SMAP!M$27),0))/7+M61)</f>
        <v>#N/A</v>
      </c>
      <c r="N62" s="132" t="e">
        <f t="array" aca="1" ref="N62" ca="1">IF(AK62&lt;7,NA(),SUM(IFERROR(Propagações_TOT_PARANAPANEMA!$B$7:$BO$110*(Propagações_TOT_PARANAPANEMA!$B$6:$BO$6=$B62&amp;"I")*(Propagações_TOT_PARANAPANEMA!$A$7:$A$110&gt;=PREVS_SMAP!N$26)*(Propagações_TOT_PARANAPANEMA!$A$7:$A$110&lt;=PREVS_SMAP!N$27),0))/7+N61)</f>
        <v>#N/A</v>
      </c>
      <c r="O62" s="132" t="e">
        <f t="array" aca="1" ref="O62" ca="1">IF(AL62&lt;7,NA(),SUM(IFERROR(Propagações_TOT_PARANAPANEMA!$B$7:$BO$110*(Propagações_TOT_PARANAPANEMA!$B$6:$BO$6=$B62&amp;"I")*(Propagações_TOT_PARANAPANEMA!$A$7:$A$110&gt;=PREVS_SMAP!O$26)*(Propagações_TOT_PARANAPANEMA!$A$7:$A$110&lt;=PREVS_SMAP!O$27),0))/7+O61)</f>
        <v>#N/A</v>
      </c>
      <c r="P62" s="132"/>
      <c r="R62">
        <v>35</v>
      </c>
      <c r="S62" s="40"/>
      <c r="T62" s="40"/>
      <c r="U62" s="131"/>
      <c r="V62" s="131"/>
      <c r="W62" s="131"/>
      <c r="X62" s="131"/>
      <c r="Y62" s="131"/>
      <c r="Z62" s="131"/>
      <c r="AA62" s="131"/>
      <c r="AB62" s="131"/>
      <c r="AD62" s="272">
        <f t="array" aca="1" ref="AD62" ca="1">SUM(IFERROR(ISNUMBER(Propagações_TOT_PARANAPANEMA!$B$7:$BO$110)*(Propagações_TOT_PARANAPANEMA!$B$6:$BO$6=$B62&amp;"A")*(Propagações_TOT_PARANAPANEMA!$A$7:$A$110&gt;=PREVS_SMAP!G$26)*(Propagações_TOT_PARANAPANEMA!$A$7:$A$110&lt;=PREVS_SMAP!G$27),0))</f>
        <v>0</v>
      </c>
      <c r="AE62" s="272">
        <f t="array" aca="1" ref="AE62" ca="1">SUM(IFERROR(ISNUMBER(Propagações_TOT_PARANAPANEMA!$B$7:$BO$110)*(Propagações_TOT_PARANAPANEMA!$B$6:$BO$6=$B62&amp;"A")*(Propagações_TOT_PARANAPANEMA!$A$7:$A$110&gt;=PREVS_SMAP!H$26)*(Propagações_TOT_PARANAPANEMA!$A$7:$A$110&lt;=PREVS_SMAP!H$27),0))</f>
        <v>0</v>
      </c>
      <c r="AF62" s="272">
        <f t="array" aca="1" ref="AF62" ca="1">SUM(IFERROR(ISNUMBER(Propagações_TOT_PARANAPANEMA!$B$7:$BO$110)*(Propagações_TOT_PARANAPANEMA!$B$6:$BO$6=$B62&amp;"A")*(Propagações_TOT_PARANAPANEMA!$A$7:$A$110&gt;=PREVS_SMAP!I$26)*(Propagações_TOT_PARANAPANEMA!$A$7:$A$110&lt;=PREVS_SMAP!I$27),0))</f>
        <v>0</v>
      </c>
      <c r="AG62" s="272">
        <f t="array" aca="1" ref="AG62" ca="1">SUM(IFERROR(ISNUMBER(Propagações_TOT_PARANAPANEMA!$B$7:$BO$110)*(Propagações_TOT_PARANAPANEMA!$B$6:$BO$6=$B62&amp;"A")*(Propagações_TOT_PARANAPANEMA!$A$7:$A$110&gt;=PREVS_SMAP!J$26)*(Propagações_TOT_PARANAPANEMA!$A$7:$A$110&lt;=PREVS_SMAP!J$27),0))</f>
        <v>0</v>
      </c>
      <c r="AH62" s="272">
        <f t="array" aca="1" ref="AH62" ca="1">SUM(IFERROR(ISNUMBER(Propagações_TOT_PARANAPANEMA!$B$7:$BO$110)*(Propagações_TOT_PARANAPANEMA!$B$6:$BO$6=$B62&amp;"A")*(Propagações_TOT_PARANAPANEMA!$A$7:$A$110&gt;=PREVS_SMAP!K$26)*(Propagações_TOT_PARANAPANEMA!$A$7:$A$110&lt;=PREVS_SMAP!K$27),0))</f>
        <v>0</v>
      </c>
      <c r="AI62" s="272">
        <f t="array" aca="1" ref="AI62" ca="1">SUM(IFERROR(ISNUMBER(Propagações_TOT_PARANAPANEMA!$B$7:$BO$110)*(Propagações_TOT_PARANAPANEMA!$B$6:$BO$6=$B62&amp;"A")*(Propagações_TOT_PARANAPANEMA!$A$7:$A$110&gt;=PREVS_SMAP!L$26)*(Propagações_TOT_PARANAPANEMA!$A$7:$A$110&lt;=PREVS_SMAP!L$27),0))</f>
        <v>0</v>
      </c>
      <c r="AJ62" s="272">
        <f t="array" aca="1" ref="AJ62" ca="1">SUM(IFERROR(ISNUMBER(Propagações_TOT_PARANAPANEMA!$B$7:$BO$110)*(Propagações_TOT_PARANAPANEMA!$B$6:$BO$6=$B62&amp;"A")*(Propagações_TOT_PARANAPANEMA!$A$7:$A$110&gt;=PREVS_SMAP!M$26)*(Propagações_TOT_PARANAPANEMA!$A$7:$A$110&lt;=PREVS_SMAP!M$27),0))</f>
        <v>0</v>
      </c>
      <c r="AK62" s="272">
        <f t="array" aca="1" ref="AK62" ca="1">SUM(IFERROR(ISNUMBER(Propagações_TOT_PARANAPANEMA!$B$7:$BO$110)*(Propagações_TOT_PARANAPANEMA!$B$6:$BO$6=$B62&amp;"A")*(Propagações_TOT_PARANAPANEMA!$A$7:$A$110&gt;=PREVS_SMAP!N$26)*(Propagações_TOT_PARANAPANEMA!$A$7:$A$110&lt;=PREVS_SMAP!N$27),0))</f>
        <v>0</v>
      </c>
      <c r="AL62" s="272">
        <f t="array" aca="1" ref="AL62" ca="1">SUM(IFERROR(ISNUMBER(Propagações_TOT_PARANAPANEMA!$B$7:$BO$110)*(Propagações_TOT_PARANAPANEMA!$B$6:$BO$6=$B62&amp;"A")*(Propagações_TOT_PARANAPANEMA!$A$7:$A$110&gt;=PREVS_SMAP!O$26)*(Propagações_TOT_PARANAPANEMA!$A$7:$A$110&lt;=PREVS_SMAP!O$27),0))</f>
        <v>0</v>
      </c>
      <c r="AN62" s="121"/>
      <c r="AO62" s="121" t="e">
        <f t="shared" si="9"/>
        <v>#DIV/0!</v>
      </c>
      <c r="AP62" s="121" t="b">
        <f t="shared" si="10"/>
        <v>0</v>
      </c>
      <c r="AU62" s="121"/>
      <c r="AV62" s="121"/>
      <c r="AW62" s="159"/>
      <c r="AX62" s="159"/>
      <c r="AY62" s="159"/>
      <c r="AZ62" s="157"/>
      <c r="BA62" s="157"/>
      <c r="BB62" s="121">
        <f t="shared" ca="1" si="11"/>
        <v>0</v>
      </c>
      <c r="BC62" s="272">
        <f t="shared" ca="1" si="13"/>
        <v>0</v>
      </c>
      <c r="BD62" s="272">
        <f t="shared" ca="1" si="13"/>
        <v>0</v>
      </c>
      <c r="BE62" s="272">
        <f t="shared" ca="1" si="13"/>
        <v>0</v>
      </c>
      <c r="BF62" s="272">
        <f t="shared" ca="1" si="13"/>
        <v>0</v>
      </c>
      <c r="BG62"/>
    </row>
    <row r="63" spans="1:59" x14ac:dyDescent="0.2">
      <c r="A63" s="294">
        <v>51</v>
      </c>
      <c r="B63" s="283" t="str">
        <f t="shared" si="21"/>
        <v>51_VN</v>
      </c>
      <c r="C63" s="137" t="s">
        <v>67</v>
      </c>
      <c r="D63" s="132">
        <f t="array" aca="1" ref="D63" ca="1">SUM(IFERROR(Propagações_TOT_PARANAPANEMA!$B$7:$BO$110*(Propagações_TOT_PARANAPANEMA!$B$6:$BO$6=$B63&amp;"A")*(Propagações_TOT_PARANAPANEMA!$A$7:$A$110&gt;=PREVS_SMAP!D$26)*(Propagações_TOT_PARANAPANEMA!$A$7:$A$110&lt;=PREVS_SMAP!D$27),0))/7</f>
        <v>0</v>
      </c>
      <c r="E63" s="132">
        <f t="array" aca="1" ref="E63" ca="1">SUM(IFERROR(Propagações_TOT_PARANAPANEMA!$B$7:$BO$110*(Propagações_TOT_PARANAPANEMA!$B$6:$BO$6=$B63&amp;"A")*(Propagações_TOT_PARANAPANEMA!$A$7:$A$110&gt;=PREVS_SMAP!E$26)*(Propagações_TOT_PARANAPANEMA!$A$7:$A$110&lt;=PREVS_SMAP!E$27),0))/7</f>
        <v>262.42857142857144</v>
      </c>
      <c r="F63" s="132">
        <f t="array" aca="1" ref="F63" ca="1">SUM(IFERROR(Propagações_TOT_PARANAPANEMA!$B$7:$BO$110*(Propagações_TOT_PARANAPANEMA!$B$6:$BO$6=$B63&amp;"A")*(Propagações_TOT_PARANAPANEMA!$A$7:$A$110&gt;=PREVS_SMAP!F$26)*(Propagações_TOT_PARANAPANEMA!$A$7:$A$110&lt;=PREVS_SMAP!F$27),0))/7</f>
        <v>116.71428571428571</v>
      </c>
      <c r="G63" s="132" t="e">
        <f t="array" aca="1" ref="G63" ca="1">IF(AD63&lt;7,NA(),SUM(IFERROR(Propagações_TOT_PARANAPANEMA!$B$7:$BO$110*(Propagações_TOT_PARANAPANEMA!$B$6:$BO$6=$B63&amp;"I")*(Propagações_TOT_PARANAPANEMA!$A$7:$A$110&gt;=PREVS_SMAP!G$26)*(Propagações_TOT_PARANAPANEMA!$A$7:$A$110&lt;=PREVS_SMAP!G$27),0))/7+G62)</f>
        <v>#N/A</v>
      </c>
      <c r="H63" s="132" t="e">
        <f t="array" aca="1" ref="H63" ca="1">IF(AE63&lt;7,NA(),SUM(IFERROR(Propagações_TOT_PARANAPANEMA!$B$7:$BO$110*(Propagações_TOT_PARANAPANEMA!$B$6:$BO$6=$B63&amp;"I")*(Propagações_TOT_PARANAPANEMA!$A$7:$A$110&gt;=PREVS_SMAP!H$26)*(Propagações_TOT_PARANAPANEMA!$A$7:$A$110&lt;=PREVS_SMAP!H$27),0))/7+H62)</f>
        <v>#N/A</v>
      </c>
      <c r="I63" s="132" t="e">
        <f t="array" aca="1" ref="I63" ca="1">IF(AF63&lt;7,NA(),SUM(IFERROR(Propagações_TOT_PARANAPANEMA!$B$7:$BO$110*(Propagações_TOT_PARANAPANEMA!$B$6:$BO$6=$B63&amp;"I")*(Propagações_TOT_PARANAPANEMA!$A$7:$A$110&gt;=PREVS_SMAP!I$26)*(Propagações_TOT_PARANAPANEMA!$A$7:$A$110&lt;=PREVS_SMAP!I$27),0))/7+I62)</f>
        <v>#N/A</v>
      </c>
      <c r="J63" s="132" t="e">
        <f t="array" aca="1" ref="J63" ca="1">IF(AG63&lt;7,NA(),SUM(IFERROR(Propagações_TOT_PARANAPANEMA!$B$7:$BO$110*(Propagações_TOT_PARANAPANEMA!$B$6:$BO$6=$B63&amp;"I")*(Propagações_TOT_PARANAPANEMA!$A$7:$A$110&gt;=PREVS_SMAP!J$26)*(Propagações_TOT_PARANAPANEMA!$A$7:$A$110&lt;=PREVS_SMAP!J$27),0))/7+J62)</f>
        <v>#N/A</v>
      </c>
      <c r="K63" s="132" t="e">
        <f t="array" aca="1" ref="K63" ca="1">IF(AH63&lt;7,NA(),SUM(IFERROR(Propagações_TOT_PARANAPANEMA!$B$7:$BO$110*(Propagações_TOT_PARANAPANEMA!$B$6:$BO$6=$B63&amp;"I")*(Propagações_TOT_PARANAPANEMA!$A$7:$A$110&gt;=PREVS_SMAP!K$26)*(Propagações_TOT_PARANAPANEMA!$A$7:$A$110&lt;=PREVS_SMAP!K$27),0))/7+K62)</f>
        <v>#N/A</v>
      </c>
      <c r="L63" s="132" t="e">
        <f t="array" aca="1" ref="L63" ca="1">IF(AI63&lt;7,NA(),SUM(IFERROR(Propagações_TOT_PARANAPANEMA!$B$7:$BO$110*(Propagações_TOT_PARANAPANEMA!$B$6:$BO$6=$B63&amp;"I")*(Propagações_TOT_PARANAPANEMA!$A$7:$A$110&gt;=PREVS_SMAP!L$26)*(Propagações_TOT_PARANAPANEMA!$A$7:$A$110&lt;=PREVS_SMAP!L$27),0))/7+L62)</f>
        <v>#N/A</v>
      </c>
      <c r="M63" s="132" t="e">
        <f t="array" aca="1" ref="M63" ca="1">IF(AJ63&lt;7,NA(),SUM(IFERROR(Propagações_TOT_PARANAPANEMA!$B$7:$BO$110*(Propagações_TOT_PARANAPANEMA!$B$6:$BO$6=$B63&amp;"I")*(Propagações_TOT_PARANAPANEMA!$A$7:$A$110&gt;=PREVS_SMAP!M$26)*(Propagações_TOT_PARANAPANEMA!$A$7:$A$110&lt;=PREVS_SMAP!M$27),0))/7+M62)</f>
        <v>#N/A</v>
      </c>
      <c r="N63" s="132" t="e">
        <f t="array" aca="1" ref="N63" ca="1">IF(AK63&lt;7,NA(),SUM(IFERROR(Propagações_TOT_PARANAPANEMA!$B$7:$BO$110*(Propagações_TOT_PARANAPANEMA!$B$6:$BO$6=$B63&amp;"I")*(Propagações_TOT_PARANAPANEMA!$A$7:$A$110&gt;=PREVS_SMAP!N$26)*(Propagações_TOT_PARANAPANEMA!$A$7:$A$110&lt;=PREVS_SMAP!N$27),0))/7+N62)</f>
        <v>#N/A</v>
      </c>
      <c r="O63" s="132" t="e">
        <f t="array" aca="1" ref="O63" ca="1">IF(AL63&lt;7,NA(),SUM(IFERROR(Propagações_TOT_PARANAPANEMA!$B$7:$BO$110*(Propagações_TOT_PARANAPANEMA!$B$6:$BO$6=$B63&amp;"I")*(Propagações_TOT_PARANAPANEMA!$A$7:$A$110&gt;=PREVS_SMAP!O$26)*(Propagações_TOT_PARANAPANEMA!$A$7:$A$110&lt;=PREVS_SMAP!O$27),0))/7+O62)</f>
        <v>#N/A</v>
      </c>
      <c r="P63" s="132"/>
      <c r="R63">
        <v>36</v>
      </c>
      <c r="S63" s="40"/>
      <c r="T63" s="40"/>
      <c r="U63" s="131"/>
      <c r="V63" s="131"/>
      <c r="W63" s="131"/>
      <c r="X63" s="131"/>
      <c r="Y63" s="131"/>
      <c r="Z63" s="131"/>
      <c r="AA63" s="131"/>
      <c r="AB63" s="131"/>
      <c r="AD63" s="272">
        <f t="array" aca="1" ref="AD63" ca="1">SUM(IFERROR(ISNUMBER(Propagações_TOT_PARANAPANEMA!$B$7:$BO$110)*(Propagações_TOT_PARANAPANEMA!$B$6:$BO$6=$B63&amp;"A")*(Propagações_TOT_PARANAPANEMA!$A$7:$A$110&gt;=PREVS_SMAP!G$26)*(Propagações_TOT_PARANAPANEMA!$A$7:$A$110&lt;=PREVS_SMAP!G$27),0))</f>
        <v>0</v>
      </c>
      <c r="AE63" s="272">
        <f t="array" aca="1" ref="AE63" ca="1">SUM(IFERROR(ISNUMBER(Propagações_TOT_PARANAPANEMA!$B$7:$BO$110)*(Propagações_TOT_PARANAPANEMA!$B$6:$BO$6=$B63&amp;"A")*(Propagações_TOT_PARANAPANEMA!$A$7:$A$110&gt;=PREVS_SMAP!H$26)*(Propagações_TOT_PARANAPANEMA!$A$7:$A$110&lt;=PREVS_SMAP!H$27),0))</f>
        <v>0</v>
      </c>
      <c r="AF63" s="272">
        <f t="array" aca="1" ref="AF63" ca="1">SUM(IFERROR(ISNUMBER(Propagações_TOT_PARANAPANEMA!$B$7:$BO$110)*(Propagações_TOT_PARANAPANEMA!$B$6:$BO$6=$B63&amp;"A")*(Propagações_TOT_PARANAPANEMA!$A$7:$A$110&gt;=PREVS_SMAP!I$26)*(Propagações_TOT_PARANAPANEMA!$A$7:$A$110&lt;=PREVS_SMAP!I$27),0))</f>
        <v>0</v>
      </c>
      <c r="AG63" s="272">
        <f t="array" aca="1" ref="AG63" ca="1">SUM(IFERROR(ISNUMBER(Propagações_TOT_PARANAPANEMA!$B$7:$BO$110)*(Propagações_TOT_PARANAPANEMA!$B$6:$BO$6=$B63&amp;"A")*(Propagações_TOT_PARANAPANEMA!$A$7:$A$110&gt;=PREVS_SMAP!J$26)*(Propagações_TOT_PARANAPANEMA!$A$7:$A$110&lt;=PREVS_SMAP!J$27),0))</f>
        <v>0</v>
      </c>
      <c r="AH63" s="272">
        <f t="array" aca="1" ref="AH63" ca="1">SUM(IFERROR(ISNUMBER(Propagações_TOT_PARANAPANEMA!$B$7:$BO$110)*(Propagações_TOT_PARANAPANEMA!$B$6:$BO$6=$B63&amp;"A")*(Propagações_TOT_PARANAPANEMA!$A$7:$A$110&gt;=PREVS_SMAP!K$26)*(Propagações_TOT_PARANAPANEMA!$A$7:$A$110&lt;=PREVS_SMAP!K$27),0))</f>
        <v>0</v>
      </c>
      <c r="AI63" s="272">
        <f t="array" aca="1" ref="AI63" ca="1">SUM(IFERROR(ISNUMBER(Propagações_TOT_PARANAPANEMA!$B$7:$BO$110)*(Propagações_TOT_PARANAPANEMA!$B$6:$BO$6=$B63&amp;"A")*(Propagações_TOT_PARANAPANEMA!$A$7:$A$110&gt;=PREVS_SMAP!L$26)*(Propagações_TOT_PARANAPANEMA!$A$7:$A$110&lt;=PREVS_SMAP!L$27),0))</f>
        <v>0</v>
      </c>
      <c r="AJ63" s="272">
        <f t="array" aca="1" ref="AJ63" ca="1">SUM(IFERROR(ISNUMBER(Propagações_TOT_PARANAPANEMA!$B$7:$BO$110)*(Propagações_TOT_PARANAPANEMA!$B$6:$BO$6=$B63&amp;"A")*(Propagações_TOT_PARANAPANEMA!$A$7:$A$110&gt;=PREVS_SMAP!M$26)*(Propagações_TOT_PARANAPANEMA!$A$7:$A$110&lt;=PREVS_SMAP!M$27),0))</f>
        <v>0</v>
      </c>
      <c r="AK63" s="272">
        <f t="array" aca="1" ref="AK63" ca="1">SUM(IFERROR(ISNUMBER(Propagações_TOT_PARANAPANEMA!$B$7:$BO$110)*(Propagações_TOT_PARANAPANEMA!$B$6:$BO$6=$B63&amp;"A")*(Propagações_TOT_PARANAPANEMA!$A$7:$A$110&gt;=PREVS_SMAP!N$26)*(Propagações_TOT_PARANAPANEMA!$A$7:$A$110&lt;=PREVS_SMAP!N$27),0))</f>
        <v>0</v>
      </c>
      <c r="AL63" s="272">
        <f t="array" aca="1" ref="AL63" ca="1">SUM(IFERROR(ISNUMBER(Propagações_TOT_PARANAPANEMA!$B$7:$BO$110)*(Propagações_TOT_PARANAPANEMA!$B$6:$BO$6=$B63&amp;"A")*(Propagações_TOT_PARANAPANEMA!$A$7:$A$110&gt;=PREVS_SMAP!O$26)*(Propagações_TOT_PARANAPANEMA!$A$7:$A$110&lt;=PREVS_SMAP!O$27),0))</f>
        <v>0</v>
      </c>
      <c r="AN63" s="121"/>
      <c r="AO63" s="121" t="e">
        <f t="shared" si="9"/>
        <v>#DIV/0!</v>
      </c>
      <c r="AP63" s="121" t="b">
        <f t="shared" si="10"/>
        <v>0</v>
      </c>
      <c r="AU63" s="121"/>
      <c r="AV63" s="121"/>
      <c r="AW63" s="159"/>
      <c r="AX63" s="159"/>
      <c r="AY63" s="159"/>
      <c r="AZ63" s="157"/>
      <c r="BA63" s="157"/>
      <c r="BB63" s="121">
        <f t="shared" ca="1" si="11"/>
        <v>0</v>
      </c>
      <c r="BC63" s="272">
        <f t="shared" ca="1" si="13"/>
        <v>0</v>
      </c>
      <c r="BD63" s="272">
        <f t="shared" ca="1" si="13"/>
        <v>0</v>
      </c>
      <c r="BE63" s="272">
        <f t="shared" ca="1" si="13"/>
        <v>0</v>
      </c>
      <c r="BF63" s="272">
        <f t="shared" ca="1" si="13"/>
        <v>0</v>
      </c>
      <c r="BG63"/>
    </row>
    <row r="64" spans="1:59" x14ac:dyDescent="0.2">
      <c r="A64" s="294">
        <v>52</v>
      </c>
      <c r="B64" s="283" t="str">
        <f t="shared" si="21"/>
        <v>52_VN</v>
      </c>
      <c r="C64" s="240" t="s">
        <v>31</v>
      </c>
      <c r="D64" s="132">
        <f t="array" aca="1" ref="D64" ca="1">SUM(IFERROR(Propagações_TOT_PARANAPANEMA!$B$7:$BO$110*(Propagações_TOT_PARANAPANEMA!$B$6:$BO$6=$B64&amp;"A")*(Propagações_TOT_PARANAPANEMA!$A$7:$A$110&gt;=PREVS_SMAP!D$26)*(Propagações_TOT_PARANAPANEMA!$A$7:$A$110&lt;=PREVS_SMAP!D$27),0))/7</f>
        <v>0</v>
      </c>
      <c r="E64" s="132">
        <f t="array" aca="1" ref="E64" ca="1">SUM(IFERROR(Propagações_TOT_PARANAPANEMA!$B$7:$BO$110*(Propagações_TOT_PARANAPANEMA!$B$6:$BO$6=$B64&amp;"A")*(Propagações_TOT_PARANAPANEMA!$A$7:$A$110&gt;=PREVS_SMAP!E$26)*(Propagações_TOT_PARANAPANEMA!$A$7:$A$110&lt;=PREVS_SMAP!E$27),0))/7</f>
        <v>274</v>
      </c>
      <c r="F64" s="132">
        <f t="array" aca="1" ref="F64" ca="1">SUM(IFERROR(Propagações_TOT_PARANAPANEMA!$B$7:$BO$110*(Propagações_TOT_PARANAPANEMA!$B$6:$BO$6=$B64&amp;"A")*(Propagações_TOT_PARANAPANEMA!$A$7:$A$110&gt;=PREVS_SMAP!F$26)*(Propagações_TOT_PARANAPANEMA!$A$7:$A$110&lt;=PREVS_SMAP!F$27),0))/7</f>
        <v>120</v>
      </c>
      <c r="G64" s="132" t="e">
        <f t="array" aca="1" ref="G64" ca="1">IF(AD64&lt;7,NA(),SUM(IFERROR(Propagações_TOT_PARANAPANEMA!$B$7:$BO$110*(Propagações_TOT_PARANAPANEMA!$B$6:$BO$6=$B64&amp;"I")*(Propagações_TOT_PARANAPANEMA!$A$7:$A$110&gt;=PREVS_SMAP!G$26)*(Propagações_TOT_PARANAPANEMA!$A$7:$A$110&lt;=PREVS_SMAP!G$27),0))/7+G63)</f>
        <v>#N/A</v>
      </c>
      <c r="H64" s="132" t="e">
        <f t="array" aca="1" ref="H64" ca="1">IF(AE64&lt;7,NA(),SUM(IFERROR(Propagações_TOT_PARANAPANEMA!$B$7:$BO$110*(Propagações_TOT_PARANAPANEMA!$B$6:$BO$6=$B64&amp;"I")*(Propagações_TOT_PARANAPANEMA!$A$7:$A$110&gt;=PREVS_SMAP!H$26)*(Propagações_TOT_PARANAPANEMA!$A$7:$A$110&lt;=PREVS_SMAP!H$27),0))/7+H63)</f>
        <v>#N/A</v>
      </c>
      <c r="I64" s="132" t="e">
        <f t="array" aca="1" ref="I64" ca="1">IF(AF64&lt;7,NA(),SUM(IFERROR(Propagações_TOT_PARANAPANEMA!$B$7:$BO$110*(Propagações_TOT_PARANAPANEMA!$B$6:$BO$6=$B64&amp;"I")*(Propagações_TOT_PARANAPANEMA!$A$7:$A$110&gt;=PREVS_SMAP!I$26)*(Propagações_TOT_PARANAPANEMA!$A$7:$A$110&lt;=PREVS_SMAP!I$27),0))/7+I63)</f>
        <v>#N/A</v>
      </c>
      <c r="J64" s="132" t="e">
        <f t="array" aca="1" ref="J64" ca="1">IF(AG64&lt;7,NA(),SUM(IFERROR(Propagações_TOT_PARANAPANEMA!$B$7:$BO$110*(Propagações_TOT_PARANAPANEMA!$B$6:$BO$6=$B64&amp;"I")*(Propagações_TOT_PARANAPANEMA!$A$7:$A$110&gt;=PREVS_SMAP!J$26)*(Propagações_TOT_PARANAPANEMA!$A$7:$A$110&lt;=PREVS_SMAP!J$27),0))/7+J63)</f>
        <v>#N/A</v>
      </c>
      <c r="K64" s="132" t="e">
        <f t="array" aca="1" ref="K64" ca="1">IF(AH64&lt;7,NA(),SUM(IFERROR(Propagações_TOT_PARANAPANEMA!$B$7:$BO$110*(Propagações_TOT_PARANAPANEMA!$B$6:$BO$6=$B64&amp;"I")*(Propagações_TOT_PARANAPANEMA!$A$7:$A$110&gt;=PREVS_SMAP!K$26)*(Propagações_TOT_PARANAPANEMA!$A$7:$A$110&lt;=PREVS_SMAP!K$27),0))/7+K63)</f>
        <v>#N/A</v>
      </c>
      <c r="L64" s="132" t="e">
        <f t="array" aca="1" ref="L64" ca="1">IF(AI64&lt;7,NA(),SUM(IFERROR(Propagações_TOT_PARANAPANEMA!$B$7:$BO$110*(Propagações_TOT_PARANAPANEMA!$B$6:$BO$6=$B64&amp;"I")*(Propagações_TOT_PARANAPANEMA!$A$7:$A$110&gt;=PREVS_SMAP!L$26)*(Propagações_TOT_PARANAPANEMA!$A$7:$A$110&lt;=PREVS_SMAP!L$27),0))/7+L63)</f>
        <v>#N/A</v>
      </c>
      <c r="M64" s="132" t="e">
        <f t="array" aca="1" ref="M64" ca="1">IF(AJ64&lt;7,NA(),SUM(IFERROR(Propagações_TOT_PARANAPANEMA!$B$7:$BO$110*(Propagações_TOT_PARANAPANEMA!$B$6:$BO$6=$B64&amp;"I")*(Propagações_TOT_PARANAPANEMA!$A$7:$A$110&gt;=PREVS_SMAP!M$26)*(Propagações_TOT_PARANAPANEMA!$A$7:$A$110&lt;=PREVS_SMAP!M$27),0))/7+M63)</f>
        <v>#N/A</v>
      </c>
      <c r="N64" s="132" t="e">
        <f t="array" aca="1" ref="N64" ca="1">IF(AK64&lt;7,NA(),SUM(IFERROR(Propagações_TOT_PARANAPANEMA!$B$7:$BO$110*(Propagações_TOT_PARANAPANEMA!$B$6:$BO$6=$B64&amp;"I")*(Propagações_TOT_PARANAPANEMA!$A$7:$A$110&gt;=PREVS_SMAP!N$26)*(Propagações_TOT_PARANAPANEMA!$A$7:$A$110&lt;=PREVS_SMAP!N$27),0))/7+N63)</f>
        <v>#N/A</v>
      </c>
      <c r="O64" s="132" t="e">
        <f t="array" aca="1" ref="O64" ca="1">IF(AL64&lt;7,NA(),SUM(IFERROR(Propagações_TOT_PARANAPANEMA!$B$7:$BO$110*(Propagações_TOT_PARANAPANEMA!$B$6:$BO$6=$B64&amp;"I")*(Propagações_TOT_PARANAPANEMA!$A$7:$A$110&gt;=PREVS_SMAP!O$26)*(Propagações_TOT_PARANAPANEMA!$A$7:$A$110&lt;=PREVS_SMAP!O$27),0))/7+O63)</f>
        <v>#N/A</v>
      </c>
      <c r="P64" s="132"/>
      <c r="R64">
        <v>37</v>
      </c>
      <c r="S64" s="40"/>
      <c r="T64" s="40"/>
      <c r="U64" s="131"/>
      <c r="V64" s="131"/>
      <c r="W64" s="131"/>
      <c r="X64" s="131"/>
      <c r="Y64" s="131"/>
      <c r="Z64" s="131"/>
      <c r="AA64" s="131"/>
      <c r="AB64" s="131"/>
      <c r="AD64" s="272">
        <f t="array" aca="1" ref="AD64" ca="1">SUM(IFERROR(ISNUMBER(Propagações_TOT_PARANAPANEMA!$B$7:$BO$110)*(Propagações_TOT_PARANAPANEMA!$B$6:$BO$6=$B64&amp;"A")*(Propagações_TOT_PARANAPANEMA!$A$7:$A$110&gt;=PREVS_SMAP!G$26)*(Propagações_TOT_PARANAPANEMA!$A$7:$A$110&lt;=PREVS_SMAP!G$27),0))</f>
        <v>0</v>
      </c>
      <c r="AE64" s="272">
        <f t="array" aca="1" ref="AE64" ca="1">SUM(IFERROR(ISNUMBER(Propagações_TOT_PARANAPANEMA!$B$7:$BO$110)*(Propagações_TOT_PARANAPANEMA!$B$6:$BO$6=$B64&amp;"A")*(Propagações_TOT_PARANAPANEMA!$A$7:$A$110&gt;=PREVS_SMAP!H$26)*(Propagações_TOT_PARANAPANEMA!$A$7:$A$110&lt;=PREVS_SMAP!H$27),0))</f>
        <v>0</v>
      </c>
      <c r="AF64" s="272">
        <f t="array" aca="1" ref="AF64" ca="1">SUM(IFERROR(ISNUMBER(Propagações_TOT_PARANAPANEMA!$B$7:$BO$110)*(Propagações_TOT_PARANAPANEMA!$B$6:$BO$6=$B64&amp;"A")*(Propagações_TOT_PARANAPANEMA!$A$7:$A$110&gt;=PREVS_SMAP!I$26)*(Propagações_TOT_PARANAPANEMA!$A$7:$A$110&lt;=PREVS_SMAP!I$27),0))</f>
        <v>0</v>
      </c>
      <c r="AG64" s="272">
        <f t="array" aca="1" ref="AG64" ca="1">SUM(IFERROR(ISNUMBER(Propagações_TOT_PARANAPANEMA!$B$7:$BO$110)*(Propagações_TOT_PARANAPANEMA!$B$6:$BO$6=$B64&amp;"A")*(Propagações_TOT_PARANAPANEMA!$A$7:$A$110&gt;=PREVS_SMAP!J$26)*(Propagações_TOT_PARANAPANEMA!$A$7:$A$110&lt;=PREVS_SMAP!J$27),0))</f>
        <v>0</v>
      </c>
      <c r="AH64" s="272">
        <f t="array" aca="1" ref="AH64" ca="1">SUM(IFERROR(ISNUMBER(Propagações_TOT_PARANAPANEMA!$B$7:$BO$110)*(Propagações_TOT_PARANAPANEMA!$B$6:$BO$6=$B64&amp;"A")*(Propagações_TOT_PARANAPANEMA!$A$7:$A$110&gt;=PREVS_SMAP!K$26)*(Propagações_TOT_PARANAPANEMA!$A$7:$A$110&lt;=PREVS_SMAP!K$27),0))</f>
        <v>0</v>
      </c>
      <c r="AI64" s="272">
        <f t="array" aca="1" ref="AI64" ca="1">SUM(IFERROR(ISNUMBER(Propagações_TOT_PARANAPANEMA!$B$7:$BO$110)*(Propagações_TOT_PARANAPANEMA!$B$6:$BO$6=$B64&amp;"A")*(Propagações_TOT_PARANAPANEMA!$A$7:$A$110&gt;=PREVS_SMAP!L$26)*(Propagações_TOT_PARANAPANEMA!$A$7:$A$110&lt;=PREVS_SMAP!L$27),0))</f>
        <v>0</v>
      </c>
      <c r="AJ64" s="272">
        <f t="array" aca="1" ref="AJ64" ca="1">SUM(IFERROR(ISNUMBER(Propagações_TOT_PARANAPANEMA!$B$7:$BO$110)*(Propagações_TOT_PARANAPANEMA!$B$6:$BO$6=$B64&amp;"A")*(Propagações_TOT_PARANAPANEMA!$A$7:$A$110&gt;=PREVS_SMAP!M$26)*(Propagações_TOT_PARANAPANEMA!$A$7:$A$110&lt;=PREVS_SMAP!M$27),0))</f>
        <v>0</v>
      </c>
      <c r="AK64" s="272">
        <f t="array" aca="1" ref="AK64" ca="1">SUM(IFERROR(ISNUMBER(Propagações_TOT_PARANAPANEMA!$B$7:$BO$110)*(Propagações_TOT_PARANAPANEMA!$B$6:$BO$6=$B64&amp;"A")*(Propagações_TOT_PARANAPANEMA!$A$7:$A$110&gt;=PREVS_SMAP!N$26)*(Propagações_TOT_PARANAPANEMA!$A$7:$A$110&lt;=PREVS_SMAP!N$27),0))</f>
        <v>0</v>
      </c>
      <c r="AL64" s="272">
        <f t="array" aca="1" ref="AL64" ca="1">SUM(IFERROR(ISNUMBER(Propagações_TOT_PARANAPANEMA!$B$7:$BO$110)*(Propagações_TOT_PARANAPANEMA!$B$6:$BO$6=$B64&amp;"A")*(Propagações_TOT_PARANAPANEMA!$A$7:$A$110&gt;=PREVS_SMAP!O$26)*(Propagações_TOT_PARANAPANEMA!$A$7:$A$110&lt;=PREVS_SMAP!O$27),0))</f>
        <v>0</v>
      </c>
      <c r="AN64" s="121"/>
      <c r="AO64" s="121" t="e">
        <f t="shared" si="9"/>
        <v>#DIV/0!</v>
      </c>
      <c r="AP64" s="121" t="b">
        <f t="shared" si="10"/>
        <v>0</v>
      </c>
      <c r="AU64" s="121"/>
      <c r="AV64" s="121"/>
      <c r="AW64" s="159"/>
      <c r="AX64" s="159"/>
      <c r="AY64" s="159"/>
      <c r="AZ64" s="157"/>
      <c r="BA64" s="157"/>
      <c r="BB64" s="121">
        <f t="shared" ca="1" si="11"/>
        <v>0</v>
      </c>
      <c r="BC64" s="272">
        <f t="shared" ca="1" si="13"/>
        <v>0</v>
      </c>
      <c r="BD64" s="272">
        <f t="shared" ca="1" si="13"/>
        <v>0</v>
      </c>
      <c r="BE64" s="272">
        <f t="shared" ca="1" si="13"/>
        <v>0</v>
      </c>
      <c r="BF64" s="272">
        <f t="shared" ca="1" si="13"/>
        <v>0</v>
      </c>
      <c r="BG64"/>
    </row>
    <row r="65" spans="1:59" x14ac:dyDescent="0.2">
      <c r="A65" s="294">
        <v>57</v>
      </c>
      <c r="B65" s="283" t="str">
        <f t="shared" si="21"/>
        <v>57_VN</v>
      </c>
      <c r="C65" s="240" t="s">
        <v>69</v>
      </c>
      <c r="D65" s="132">
        <f t="array" aca="1" ref="D65" ca="1">SUM(IFERROR(Propagações_TOT_PARANAPANEMA!$B$7:$BO$110*(Propagações_TOT_PARANAPANEMA!$B$6:$BO$6=$B65&amp;"A")*(Propagações_TOT_PARANAPANEMA!$A$7:$A$110&gt;=PREVS_SMAP!D$26)*(Propagações_TOT_PARANAPANEMA!$A$7:$A$110&lt;=PREVS_SMAP!D$27),0))/7</f>
        <v>0</v>
      </c>
      <c r="E65" s="132">
        <f t="array" aca="1" ref="E65" ca="1">SUM(IFERROR(Propagações_TOT_PARANAPANEMA!$B$7:$BO$110*(Propagações_TOT_PARANAPANEMA!$B$6:$BO$6=$B65&amp;"A")*(Propagações_TOT_PARANAPANEMA!$A$7:$A$110&gt;=PREVS_SMAP!E$26)*(Propagações_TOT_PARANAPANEMA!$A$7:$A$110&lt;=PREVS_SMAP!E$27),0))/7</f>
        <v>172.42857142857142</v>
      </c>
      <c r="F65" s="132">
        <f t="array" aca="1" ref="F65" ca="1">SUM(IFERROR(Propagações_TOT_PARANAPANEMA!$B$7:$BO$110*(Propagações_TOT_PARANAPANEMA!$B$6:$BO$6=$B65&amp;"A")*(Propagações_TOT_PARANAPANEMA!$A$7:$A$110&gt;=PREVS_SMAP!F$26)*(Propagações_TOT_PARANAPANEMA!$A$7:$A$110&lt;=PREVS_SMAP!F$27),0))/7</f>
        <v>76.428571428571431</v>
      </c>
      <c r="G65" s="132" t="e">
        <f t="array" aca="1" ref="G65" ca="1">IF(AD65&lt;7,NA(),SUM(IFERROR(Propagações_TOT_PARANAPANEMA!$B$7:$BO$110*(Propagações_TOT_PARANAPANEMA!$B$6:$BO$6=$B65&amp;"A")*(Propagações_TOT_PARANAPANEMA!$A$7:$A$110&gt;=PREVS_SMAP!G$26)*(Propagações_TOT_PARANAPANEMA!$A$7:$A$110&lt;=PREVS_SMAP!G$27),0))/7    )</f>
        <v>#N/A</v>
      </c>
      <c r="H65" s="132" t="e">
        <f t="array" aca="1" ref="H65" ca="1">IF(AE65&lt;7,NA(),SUM(IFERROR(Propagações_TOT_PARANAPANEMA!$B$7:$BO$110*(Propagações_TOT_PARANAPANEMA!$B$6:$BO$6=$B65&amp;"A")*(Propagações_TOT_PARANAPANEMA!$A$7:$A$110&gt;=PREVS_SMAP!H$26)*(Propagações_TOT_PARANAPANEMA!$A$7:$A$110&lt;=PREVS_SMAP!H$27),0))/7    )</f>
        <v>#N/A</v>
      </c>
      <c r="I65" s="132" t="e">
        <f t="array" aca="1" ref="I65" ca="1">IF(AF65&lt;7,NA(),SUM(IFERROR(Propagações_TOT_PARANAPANEMA!$B$7:$BO$110*(Propagações_TOT_PARANAPANEMA!$B$6:$BO$6=$B65&amp;"A")*(Propagações_TOT_PARANAPANEMA!$A$7:$A$110&gt;=PREVS_SMAP!I$26)*(Propagações_TOT_PARANAPANEMA!$A$7:$A$110&lt;=PREVS_SMAP!I$27),0))/7    )</f>
        <v>#N/A</v>
      </c>
      <c r="J65" s="132" t="e">
        <f t="array" aca="1" ref="J65" ca="1">IF(AG65&lt;7,NA(),SUM(IFERROR(Propagações_TOT_PARANAPANEMA!$B$7:$BO$110*(Propagações_TOT_PARANAPANEMA!$B$6:$BO$6=$B65&amp;"A")*(Propagações_TOT_PARANAPANEMA!$A$7:$A$110&gt;=PREVS_SMAP!J$26)*(Propagações_TOT_PARANAPANEMA!$A$7:$A$110&lt;=PREVS_SMAP!J$27),0))/7    )</f>
        <v>#N/A</v>
      </c>
      <c r="K65" s="132" t="e">
        <f t="array" aca="1" ref="K65" ca="1">IF(AH65&lt;7,NA(),SUM(IFERROR(Propagações_TOT_PARANAPANEMA!$B$7:$BO$110*(Propagações_TOT_PARANAPANEMA!$B$6:$BO$6=$B65&amp;"A")*(Propagações_TOT_PARANAPANEMA!$A$7:$A$110&gt;=PREVS_SMAP!K$26)*(Propagações_TOT_PARANAPANEMA!$A$7:$A$110&lt;=PREVS_SMAP!K$27),0))/7    )</f>
        <v>#N/A</v>
      </c>
      <c r="L65" s="132" t="e">
        <f t="array" aca="1" ref="L65" ca="1">IF(AI65&lt;7,NA(),SUM(IFERROR(Propagações_TOT_PARANAPANEMA!$B$7:$BO$110*(Propagações_TOT_PARANAPANEMA!$B$6:$BO$6=$B65&amp;"A")*(Propagações_TOT_PARANAPANEMA!$A$7:$A$110&gt;=PREVS_SMAP!L$26)*(Propagações_TOT_PARANAPANEMA!$A$7:$A$110&lt;=PREVS_SMAP!L$27),0))/7    )</f>
        <v>#N/A</v>
      </c>
      <c r="M65" s="132" t="e">
        <f t="array" aca="1" ref="M65" ca="1">IF(AJ65&lt;7,NA(),SUM(IFERROR(Propagações_TOT_PARANAPANEMA!$B$7:$BO$110*(Propagações_TOT_PARANAPANEMA!$B$6:$BO$6=$B65&amp;"A")*(Propagações_TOT_PARANAPANEMA!$A$7:$A$110&gt;=PREVS_SMAP!M$26)*(Propagações_TOT_PARANAPANEMA!$A$7:$A$110&lt;=PREVS_SMAP!M$27),0))/7    )</f>
        <v>#N/A</v>
      </c>
      <c r="N65" s="132" t="e">
        <f t="array" aca="1" ref="N65" ca="1">IF(AK65&lt;7,NA(),SUM(IFERROR(Propagações_TOT_PARANAPANEMA!$B$7:$BO$110*(Propagações_TOT_PARANAPANEMA!$B$6:$BO$6=$B65&amp;"A")*(Propagações_TOT_PARANAPANEMA!$A$7:$A$110&gt;=PREVS_SMAP!N$26)*(Propagações_TOT_PARANAPANEMA!$A$7:$A$110&lt;=PREVS_SMAP!N$27),0))/7    )</f>
        <v>#N/A</v>
      </c>
      <c r="O65" s="132" t="e">
        <f t="array" aca="1" ref="O65" ca="1">IF(AL65&lt;7,NA(),SUM(IFERROR(Propagações_TOT_PARANAPANEMA!$B$7:$BO$110*(Propagações_TOT_PARANAPANEMA!$B$6:$BO$6=$B65&amp;"A")*(Propagações_TOT_PARANAPANEMA!$A$7:$A$110&gt;=PREVS_SMAP!O$26)*(Propagações_TOT_PARANAPANEMA!$A$7:$A$110&lt;=PREVS_SMAP!O$27),0))/7    )</f>
        <v>#N/A</v>
      </c>
      <c r="P65" s="132"/>
      <c r="R65">
        <v>38</v>
      </c>
      <c r="S65" s="40"/>
      <c r="T65" s="40"/>
      <c r="U65" s="131"/>
      <c r="V65" s="131"/>
      <c r="W65" s="131"/>
      <c r="X65" s="131"/>
      <c r="Y65" s="131"/>
      <c r="Z65" s="131"/>
      <c r="AA65" s="131"/>
      <c r="AB65" s="131"/>
      <c r="AD65" s="272">
        <f t="array" aca="1" ref="AD65" ca="1">SUM(IFERROR(ISNUMBER(Propagações_TOT_PARANAPANEMA!$B$7:$BO$110)*(Propagações_TOT_PARANAPANEMA!$B$6:$BO$6=$B65&amp;"A")*(Propagações_TOT_PARANAPANEMA!$A$7:$A$110&gt;=PREVS_SMAP!G$26)*(Propagações_TOT_PARANAPANEMA!$A$7:$A$110&lt;=PREVS_SMAP!G$27),0))</f>
        <v>0</v>
      </c>
      <c r="AE65" s="272">
        <f t="array" aca="1" ref="AE65" ca="1">SUM(IFERROR(ISNUMBER(Propagações_TOT_PARANAPANEMA!$B$7:$BO$110)*(Propagações_TOT_PARANAPANEMA!$B$6:$BO$6=$B65&amp;"A")*(Propagações_TOT_PARANAPANEMA!$A$7:$A$110&gt;=PREVS_SMAP!H$26)*(Propagações_TOT_PARANAPANEMA!$A$7:$A$110&lt;=PREVS_SMAP!H$27),0))</f>
        <v>0</v>
      </c>
      <c r="AF65" s="272">
        <f t="array" aca="1" ref="AF65" ca="1">SUM(IFERROR(ISNUMBER(Propagações_TOT_PARANAPANEMA!$B$7:$BO$110)*(Propagações_TOT_PARANAPANEMA!$B$6:$BO$6=$B65&amp;"A")*(Propagações_TOT_PARANAPANEMA!$A$7:$A$110&gt;=PREVS_SMAP!I$26)*(Propagações_TOT_PARANAPANEMA!$A$7:$A$110&lt;=PREVS_SMAP!I$27),0))</f>
        <v>0</v>
      </c>
      <c r="AG65" s="272">
        <f t="array" aca="1" ref="AG65" ca="1">SUM(IFERROR(ISNUMBER(Propagações_TOT_PARANAPANEMA!$B$7:$BO$110)*(Propagações_TOT_PARANAPANEMA!$B$6:$BO$6=$B65&amp;"A")*(Propagações_TOT_PARANAPANEMA!$A$7:$A$110&gt;=PREVS_SMAP!J$26)*(Propagações_TOT_PARANAPANEMA!$A$7:$A$110&lt;=PREVS_SMAP!J$27),0))</f>
        <v>0</v>
      </c>
      <c r="AH65" s="272">
        <f t="array" aca="1" ref="AH65" ca="1">SUM(IFERROR(ISNUMBER(Propagações_TOT_PARANAPANEMA!$B$7:$BO$110)*(Propagações_TOT_PARANAPANEMA!$B$6:$BO$6=$B65&amp;"A")*(Propagações_TOT_PARANAPANEMA!$A$7:$A$110&gt;=PREVS_SMAP!K$26)*(Propagações_TOT_PARANAPANEMA!$A$7:$A$110&lt;=PREVS_SMAP!K$27),0))</f>
        <v>0</v>
      </c>
      <c r="AI65" s="272">
        <f t="array" aca="1" ref="AI65" ca="1">SUM(IFERROR(ISNUMBER(Propagações_TOT_PARANAPANEMA!$B$7:$BO$110)*(Propagações_TOT_PARANAPANEMA!$B$6:$BO$6=$B65&amp;"A")*(Propagações_TOT_PARANAPANEMA!$A$7:$A$110&gt;=PREVS_SMAP!L$26)*(Propagações_TOT_PARANAPANEMA!$A$7:$A$110&lt;=PREVS_SMAP!L$27),0))</f>
        <v>0</v>
      </c>
      <c r="AJ65" s="272">
        <f t="array" aca="1" ref="AJ65" ca="1">SUM(IFERROR(ISNUMBER(Propagações_TOT_PARANAPANEMA!$B$7:$BO$110)*(Propagações_TOT_PARANAPANEMA!$B$6:$BO$6=$B65&amp;"A")*(Propagações_TOT_PARANAPANEMA!$A$7:$A$110&gt;=PREVS_SMAP!M$26)*(Propagações_TOT_PARANAPANEMA!$A$7:$A$110&lt;=PREVS_SMAP!M$27),0))</f>
        <v>0</v>
      </c>
      <c r="AK65" s="272">
        <f t="array" aca="1" ref="AK65" ca="1">SUM(IFERROR(ISNUMBER(Propagações_TOT_PARANAPANEMA!$B$7:$BO$110)*(Propagações_TOT_PARANAPANEMA!$B$6:$BO$6=$B65&amp;"A")*(Propagações_TOT_PARANAPANEMA!$A$7:$A$110&gt;=PREVS_SMAP!N$26)*(Propagações_TOT_PARANAPANEMA!$A$7:$A$110&lt;=PREVS_SMAP!N$27),0))</f>
        <v>0</v>
      </c>
      <c r="AL65" s="272">
        <f t="array" aca="1" ref="AL65" ca="1">SUM(IFERROR(ISNUMBER(Propagações_TOT_PARANAPANEMA!$B$7:$BO$110)*(Propagações_TOT_PARANAPANEMA!$B$6:$BO$6=$B65&amp;"A")*(Propagações_TOT_PARANAPANEMA!$A$7:$A$110&gt;=PREVS_SMAP!O$26)*(Propagações_TOT_PARANAPANEMA!$A$7:$A$110&lt;=PREVS_SMAP!O$27),0))</f>
        <v>0</v>
      </c>
      <c r="AN65" s="121"/>
      <c r="AO65" s="121" t="e">
        <f t="shared" si="9"/>
        <v>#DIV/0!</v>
      </c>
      <c r="AP65" s="121" t="b">
        <f t="shared" si="10"/>
        <v>0</v>
      </c>
      <c r="AU65" s="121"/>
      <c r="AV65" s="121"/>
      <c r="AW65" s="159"/>
      <c r="AX65" s="159"/>
      <c r="AY65" s="159"/>
      <c r="AZ65" s="157"/>
      <c r="BA65" s="157"/>
      <c r="BB65" s="121">
        <f t="shared" ca="1" si="11"/>
        <v>0</v>
      </c>
      <c r="BC65" s="272">
        <f t="shared" ca="1" si="13"/>
        <v>0</v>
      </c>
      <c r="BD65" s="272">
        <f t="shared" ca="1" si="13"/>
        <v>0</v>
      </c>
      <c r="BE65" s="272">
        <f t="shared" ca="1" si="13"/>
        <v>0</v>
      </c>
      <c r="BF65" s="272">
        <f t="shared" ca="1" si="13"/>
        <v>0</v>
      </c>
      <c r="BG65"/>
    </row>
    <row r="66" spans="1:59" x14ac:dyDescent="0.2">
      <c r="A66" s="294">
        <v>61</v>
      </c>
      <c r="B66" s="283" t="str">
        <f t="shared" si="21"/>
        <v>61_VN</v>
      </c>
      <c r="C66" s="240" t="s">
        <v>32</v>
      </c>
      <c r="D66" s="132">
        <f t="array" aca="1" ref="D66" ca="1">SUM(IFERROR(Propagações_TOT_PARANAPANEMA!$B$7:$BO$110*(Propagações_TOT_PARANAPANEMA!$B$6:$BO$6=$B66&amp;"A")*(Propagações_TOT_PARANAPANEMA!$A$7:$A$110&gt;=PREVS_SMAP!D$26)*(Propagações_TOT_PARANAPANEMA!$A$7:$A$110&lt;=PREVS_SMAP!D$27),0))/7</f>
        <v>0</v>
      </c>
      <c r="E66" s="132">
        <f t="array" aca="1" ref="E66" ca="1">SUM(IFERROR(Propagações_TOT_PARANAPANEMA!$B$7:$BO$110*(Propagações_TOT_PARANAPANEMA!$B$6:$BO$6=$B66&amp;"A")*(Propagações_TOT_PARANAPANEMA!$A$7:$A$110&gt;=PREVS_SMAP!E$26)*(Propagações_TOT_PARANAPANEMA!$A$7:$A$110&lt;=PREVS_SMAP!E$27),0))/7</f>
        <v>647.28571428571433</v>
      </c>
      <c r="F66" s="132">
        <f t="array" aca="1" ref="F66" ca="1">SUM(IFERROR(Propagações_TOT_PARANAPANEMA!$B$7:$BO$110*(Propagações_TOT_PARANAPANEMA!$B$6:$BO$6=$B66&amp;"A")*(Propagações_TOT_PARANAPANEMA!$A$7:$A$110&gt;=PREVS_SMAP!F$26)*(Propagações_TOT_PARANAPANEMA!$A$7:$A$110&lt;=PREVS_SMAP!F$27),0))/7</f>
        <v>271.57142857142856</v>
      </c>
      <c r="G66" s="132" t="e">
        <f t="array" aca="1" ref="G66" ca="1">IF(AD66&lt;7,NA(),SUM(IFERROR(Propagações_TOT_PARANAPANEMA!$B$7:$BO$110*(Propagações_TOT_PARANAPANEMA!$B$6:$BO$6=$B66&amp;"I")*(Propagações_TOT_PARANAPANEMA!$A$7:$A$110&gt;=PREVS_SMAP!G$26)*(Propagações_TOT_PARANAPANEMA!$A$7:$A$110&lt;=PREVS_SMAP!G$27),0))/7+G65+G64)</f>
        <v>#N/A</v>
      </c>
      <c r="H66" s="132" t="e">
        <f t="array" aca="1" ref="H66" ca="1">IF(AE66&lt;7,NA(),SUM(IFERROR(Propagações_TOT_PARANAPANEMA!$B$7:$BO$110*(Propagações_TOT_PARANAPANEMA!$B$6:$BO$6=$B66&amp;"I")*(Propagações_TOT_PARANAPANEMA!$A$7:$A$110&gt;=PREVS_SMAP!H$26)*(Propagações_TOT_PARANAPANEMA!$A$7:$A$110&lt;=PREVS_SMAP!H$27),0))/7+H65+H64)</f>
        <v>#N/A</v>
      </c>
      <c r="I66" s="132" t="e">
        <f t="array" aca="1" ref="I66" ca="1">IF(AF66&lt;7,NA(),SUM(IFERROR(Propagações_TOT_PARANAPANEMA!$B$7:$BO$110*(Propagações_TOT_PARANAPANEMA!$B$6:$BO$6=$B66&amp;"I")*(Propagações_TOT_PARANAPANEMA!$A$7:$A$110&gt;=PREVS_SMAP!I$26)*(Propagações_TOT_PARANAPANEMA!$A$7:$A$110&lt;=PREVS_SMAP!I$27),0))/7+I65+I64)</f>
        <v>#N/A</v>
      </c>
      <c r="J66" s="132" t="e">
        <f t="array" aca="1" ref="J66" ca="1">IF(AG66&lt;7,NA(),SUM(IFERROR(Propagações_TOT_PARANAPANEMA!$B$7:$BO$110*(Propagações_TOT_PARANAPANEMA!$B$6:$BO$6=$B66&amp;"I")*(Propagações_TOT_PARANAPANEMA!$A$7:$A$110&gt;=PREVS_SMAP!J$26)*(Propagações_TOT_PARANAPANEMA!$A$7:$A$110&lt;=PREVS_SMAP!J$27),0))/7+J65+J64)</f>
        <v>#N/A</v>
      </c>
      <c r="K66" s="132" t="e">
        <f t="array" aca="1" ref="K66" ca="1">IF(AH66&lt;7,NA(),SUM(IFERROR(Propagações_TOT_PARANAPANEMA!$B$7:$BO$110*(Propagações_TOT_PARANAPANEMA!$B$6:$BO$6=$B66&amp;"I")*(Propagações_TOT_PARANAPANEMA!$A$7:$A$110&gt;=PREVS_SMAP!K$26)*(Propagações_TOT_PARANAPANEMA!$A$7:$A$110&lt;=PREVS_SMAP!K$27),0))/7+K65+K64)</f>
        <v>#N/A</v>
      </c>
      <c r="L66" s="132" t="e">
        <f t="array" aca="1" ref="L66" ca="1">IF(AI66&lt;7,NA(),SUM(IFERROR(Propagações_TOT_PARANAPANEMA!$B$7:$BO$110*(Propagações_TOT_PARANAPANEMA!$B$6:$BO$6=$B66&amp;"I")*(Propagações_TOT_PARANAPANEMA!$A$7:$A$110&gt;=PREVS_SMAP!L$26)*(Propagações_TOT_PARANAPANEMA!$A$7:$A$110&lt;=PREVS_SMAP!L$27),0))/7+L65+L64)</f>
        <v>#N/A</v>
      </c>
      <c r="M66" s="132" t="e">
        <f t="array" aca="1" ref="M66" ca="1">IF(AJ66&lt;7,NA(),SUM(IFERROR(Propagações_TOT_PARANAPANEMA!$B$7:$BO$110*(Propagações_TOT_PARANAPANEMA!$B$6:$BO$6=$B66&amp;"I")*(Propagações_TOT_PARANAPANEMA!$A$7:$A$110&gt;=PREVS_SMAP!M$26)*(Propagações_TOT_PARANAPANEMA!$A$7:$A$110&lt;=PREVS_SMAP!M$27),0))/7+M65+M64)</f>
        <v>#N/A</v>
      </c>
      <c r="N66" s="132" t="e">
        <f t="array" aca="1" ref="N66" ca="1">IF(AK66&lt;7,NA(),SUM(IFERROR(Propagações_TOT_PARANAPANEMA!$B$7:$BO$110*(Propagações_TOT_PARANAPANEMA!$B$6:$BO$6=$B66&amp;"I")*(Propagações_TOT_PARANAPANEMA!$A$7:$A$110&gt;=PREVS_SMAP!N$26)*(Propagações_TOT_PARANAPANEMA!$A$7:$A$110&lt;=PREVS_SMAP!N$27),0))/7+N65+N64)</f>
        <v>#N/A</v>
      </c>
      <c r="O66" s="132" t="e">
        <f t="array" aca="1" ref="O66" ca="1">IF(AL66&lt;7,NA(),SUM(IFERROR(Propagações_TOT_PARANAPANEMA!$B$7:$BO$110*(Propagações_TOT_PARANAPANEMA!$B$6:$BO$6=$B66&amp;"I")*(Propagações_TOT_PARANAPANEMA!$A$7:$A$110&gt;=PREVS_SMAP!O$26)*(Propagações_TOT_PARANAPANEMA!$A$7:$A$110&lt;=PREVS_SMAP!O$27),0))/7+O65+O64)</f>
        <v>#N/A</v>
      </c>
      <c r="P66" s="132"/>
      <c r="R66">
        <v>39</v>
      </c>
      <c r="S66" s="40"/>
      <c r="T66" s="40"/>
      <c r="U66" s="131"/>
      <c r="V66" s="131"/>
      <c r="W66" s="131"/>
      <c r="X66" s="131"/>
      <c r="Y66" s="131"/>
      <c r="Z66" s="131"/>
      <c r="AA66" s="131"/>
      <c r="AB66" s="131"/>
      <c r="AD66" s="272">
        <f t="array" aca="1" ref="AD66" ca="1">SUM(IFERROR(ISNUMBER(Propagações_TOT_PARANAPANEMA!$B$7:$BO$110)*(Propagações_TOT_PARANAPANEMA!$B$6:$BO$6=$B66&amp;"A")*(Propagações_TOT_PARANAPANEMA!$A$7:$A$110&gt;=PREVS_SMAP!G$26)*(Propagações_TOT_PARANAPANEMA!$A$7:$A$110&lt;=PREVS_SMAP!G$27),0))</f>
        <v>0</v>
      </c>
      <c r="AE66" s="272">
        <f t="array" aca="1" ref="AE66" ca="1">SUM(IFERROR(ISNUMBER(Propagações_TOT_PARANAPANEMA!$B$7:$BO$110)*(Propagações_TOT_PARANAPANEMA!$B$6:$BO$6=$B66&amp;"A")*(Propagações_TOT_PARANAPANEMA!$A$7:$A$110&gt;=PREVS_SMAP!H$26)*(Propagações_TOT_PARANAPANEMA!$A$7:$A$110&lt;=PREVS_SMAP!H$27),0))</f>
        <v>0</v>
      </c>
      <c r="AF66" s="272">
        <f t="array" aca="1" ref="AF66" ca="1">SUM(IFERROR(ISNUMBER(Propagações_TOT_PARANAPANEMA!$B$7:$BO$110)*(Propagações_TOT_PARANAPANEMA!$B$6:$BO$6=$B66&amp;"A")*(Propagações_TOT_PARANAPANEMA!$A$7:$A$110&gt;=PREVS_SMAP!I$26)*(Propagações_TOT_PARANAPANEMA!$A$7:$A$110&lt;=PREVS_SMAP!I$27),0))</f>
        <v>0</v>
      </c>
      <c r="AG66" s="272">
        <f t="array" aca="1" ref="AG66" ca="1">SUM(IFERROR(ISNUMBER(Propagações_TOT_PARANAPANEMA!$B$7:$BO$110)*(Propagações_TOT_PARANAPANEMA!$B$6:$BO$6=$B66&amp;"A")*(Propagações_TOT_PARANAPANEMA!$A$7:$A$110&gt;=PREVS_SMAP!J$26)*(Propagações_TOT_PARANAPANEMA!$A$7:$A$110&lt;=PREVS_SMAP!J$27),0))</f>
        <v>0</v>
      </c>
      <c r="AH66" s="272">
        <f t="array" aca="1" ref="AH66" ca="1">SUM(IFERROR(ISNUMBER(Propagações_TOT_PARANAPANEMA!$B$7:$BO$110)*(Propagações_TOT_PARANAPANEMA!$B$6:$BO$6=$B66&amp;"A")*(Propagações_TOT_PARANAPANEMA!$A$7:$A$110&gt;=PREVS_SMAP!K$26)*(Propagações_TOT_PARANAPANEMA!$A$7:$A$110&lt;=PREVS_SMAP!K$27),0))</f>
        <v>0</v>
      </c>
      <c r="AI66" s="272">
        <f t="array" aca="1" ref="AI66" ca="1">SUM(IFERROR(ISNUMBER(Propagações_TOT_PARANAPANEMA!$B$7:$BO$110)*(Propagações_TOT_PARANAPANEMA!$B$6:$BO$6=$B66&amp;"A")*(Propagações_TOT_PARANAPANEMA!$A$7:$A$110&gt;=PREVS_SMAP!L$26)*(Propagações_TOT_PARANAPANEMA!$A$7:$A$110&lt;=PREVS_SMAP!L$27),0))</f>
        <v>0</v>
      </c>
      <c r="AJ66" s="272">
        <f t="array" aca="1" ref="AJ66" ca="1">SUM(IFERROR(ISNUMBER(Propagações_TOT_PARANAPANEMA!$B$7:$BO$110)*(Propagações_TOT_PARANAPANEMA!$B$6:$BO$6=$B66&amp;"A")*(Propagações_TOT_PARANAPANEMA!$A$7:$A$110&gt;=PREVS_SMAP!M$26)*(Propagações_TOT_PARANAPANEMA!$A$7:$A$110&lt;=PREVS_SMAP!M$27),0))</f>
        <v>0</v>
      </c>
      <c r="AK66" s="272">
        <f t="array" aca="1" ref="AK66" ca="1">SUM(IFERROR(ISNUMBER(Propagações_TOT_PARANAPANEMA!$B$7:$BO$110)*(Propagações_TOT_PARANAPANEMA!$B$6:$BO$6=$B66&amp;"A")*(Propagações_TOT_PARANAPANEMA!$A$7:$A$110&gt;=PREVS_SMAP!N$26)*(Propagações_TOT_PARANAPANEMA!$A$7:$A$110&lt;=PREVS_SMAP!N$27),0))</f>
        <v>0</v>
      </c>
      <c r="AL66" s="272">
        <f t="array" aca="1" ref="AL66" ca="1">SUM(IFERROR(ISNUMBER(Propagações_TOT_PARANAPANEMA!$B$7:$BO$110)*(Propagações_TOT_PARANAPANEMA!$B$6:$BO$6=$B66&amp;"A")*(Propagações_TOT_PARANAPANEMA!$A$7:$A$110&gt;=PREVS_SMAP!O$26)*(Propagações_TOT_PARANAPANEMA!$A$7:$A$110&lt;=PREVS_SMAP!O$27),0))</f>
        <v>0</v>
      </c>
      <c r="AN66" s="121"/>
      <c r="AO66" s="121" t="e">
        <f t="shared" si="9"/>
        <v>#DIV/0!</v>
      </c>
      <c r="AP66" s="121" t="b">
        <f t="shared" si="10"/>
        <v>0</v>
      </c>
      <c r="AU66" s="121"/>
      <c r="AV66" s="121"/>
      <c r="AW66" s="159"/>
      <c r="AX66" s="159"/>
      <c r="AY66" s="159"/>
      <c r="AZ66" s="157"/>
      <c r="BA66" s="157"/>
      <c r="BB66" s="121">
        <f t="shared" ca="1" si="11"/>
        <v>0</v>
      </c>
      <c r="BC66" s="272">
        <f t="shared" ca="1" si="13"/>
        <v>0</v>
      </c>
      <c r="BD66" s="272">
        <f t="shared" ca="1" si="13"/>
        <v>0</v>
      </c>
      <c r="BE66" s="272">
        <f t="shared" ca="1" si="13"/>
        <v>0</v>
      </c>
      <c r="BF66" s="272">
        <f t="shared" ca="1" si="13"/>
        <v>0</v>
      </c>
      <c r="BG66"/>
    </row>
    <row r="67" spans="1:59" x14ac:dyDescent="0.2">
      <c r="A67" s="294">
        <v>62</v>
      </c>
      <c r="B67" s="283" t="str">
        <f t="shared" si="21"/>
        <v>62_VN</v>
      </c>
      <c r="C67" s="137" t="s">
        <v>71</v>
      </c>
      <c r="D67" s="132">
        <f t="array" aca="1" ref="D67" ca="1">SUM(IFERROR(Propagações_TOT_PARANAPANEMA!$B$7:$BO$110*(Propagações_TOT_PARANAPANEMA!$B$6:$BO$6=$B67&amp;"A")*(Propagações_TOT_PARANAPANEMA!$A$7:$A$110&gt;=PREVS_SMAP!D$26)*(Propagações_TOT_PARANAPANEMA!$A$7:$A$110&lt;=PREVS_SMAP!D$27),0))/7</f>
        <v>0</v>
      </c>
      <c r="E67" s="132">
        <f t="array" aca="1" ref="E67" ca="1">SUM(IFERROR(Propagações_TOT_PARANAPANEMA!$B$7:$BO$110*(Propagações_TOT_PARANAPANEMA!$B$6:$BO$6=$B67&amp;"A")*(Propagações_TOT_PARANAPANEMA!$A$7:$A$110&gt;=PREVS_SMAP!E$26)*(Propagações_TOT_PARANAPANEMA!$A$7:$A$110&lt;=PREVS_SMAP!E$27),0))/7</f>
        <v>722.71428571428567</v>
      </c>
      <c r="F67" s="132">
        <f t="array" aca="1" ref="F67" ca="1">SUM(IFERROR(Propagações_TOT_PARANAPANEMA!$B$7:$BO$110*(Propagações_TOT_PARANAPANEMA!$B$6:$BO$6=$B67&amp;"A")*(Propagações_TOT_PARANAPANEMA!$A$7:$A$110&gt;=PREVS_SMAP!F$26)*(Propagações_TOT_PARANAPANEMA!$A$7:$A$110&lt;=PREVS_SMAP!F$27),0))/7</f>
        <v>296.42857142857144</v>
      </c>
      <c r="G67" s="132" t="e">
        <f t="array" aca="1" ref="G67" ca="1">IF(AD67&lt;7,NA(),SUM(IFERROR(Propagações_TOT_PARANAPANEMA!$B$7:$BO$110*(Propagações_TOT_PARANAPANEMA!$B$6:$BO$6=$B67&amp;"I")*(Propagações_TOT_PARANAPANEMA!$A$7:$A$110&gt;=PREVS_SMAP!G$26)*(Propagações_TOT_PARANAPANEMA!$A$7:$A$110&lt;=PREVS_SMAP!G$27),0))/7+G66)</f>
        <v>#N/A</v>
      </c>
      <c r="H67" s="132" t="e">
        <f t="array" aca="1" ref="H67" ca="1">IF(AE67&lt;7,NA(),SUM(IFERROR(Propagações_TOT_PARANAPANEMA!$B$7:$BO$110*(Propagações_TOT_PARANAPANEMA!$B$6:$BO$6=$B67&amp;"I")*(Propagações_TOT_PARANAPANEMA!$A$7:$A$110&gt;=PREVS_SMAP!H$26)*(Propagações_TOT_PARANAPANEMA!$A$7:$A$110&lt;=PREVS_SMAP!H$27),0))/7+H66)</f>
        <v>#N/A</v>
      </c>
      <c r="I67" s="132" t="e">
        <f t="array" aca="1" ref="I67" ca="1">IF(AF67&lt;7,NA(),SUM(IFERROR(Propagações_TOT_PARANAPANEMA!$B$7:$BO$110*(Propagações_TOT_PARANAPANEMA!$B$6:$BO$6=$B67&amp;"I")*(Propagações_TOT_PARANAPANEMA!$A$7:$A$110&gt;=PREVS_SMAP!I$26)*(Propagações_TOT_PARANAPANEMA!$A$7:$A$110&lt;=PREVS_SMAP!I$27),0))/7+I66)</f>
        <v>#N/A</v>
      </c>
      <c r="J67" s="132" t="e">
        <f t="array" aca="1" ref="J67" ca="1">IF(AG67&lt;7,NA(),SUM(IFERROR(Propagações_TOT_PARANAPANEMA!$B$7:$BO$110*(Propagações_TOT_PARANAPANEMA!$B$6:$BO$6=$B67&amp;"I")*(Propagações_TOT_PARANAPANEMA!$A$7:$A$110&gt;=PREVS_SMAP!J$26)*(Propagações_TOT_PARANAPANEMA!$A$7:$A$110&lt;=PREVS_SMAP!J$27),0))/7+J66)</f>
        <v>#N/A</v>
      </c>
      <c r="K67" s="132" t="e">
        <f t="array" aca="1" ref="K67" ca="1">IF(AH67&lt;7,NA(),SUM(IFERROR(Propagações_TOT_PARANAPANEMA!$B$7:$BO$110*(Propagações_TOT_PARANAPANEMA!$B$6:$BO$6=$B67&amp;"I")*(Propagações_TOT_PARANAPANEMA!$A$7:$A$110&gt;=PREVS_SMAP!K$26)*(Propagações_TOT_PARANAPANEMA!$A$7:$A$110&lt;=PREVS_SMAP!K$27),0))/7+K66)</f>
        <v>#N/A</v>
      </c>
      <c r="L67" s="132" t="e">
        <f t="array" aca="1" ref="L67" ca="1">IF(AI67&lt;7,NA(),SUM(IFERROR(Propagações_TOT_PARANAPANEMA!$B$7:$BO$110*(Propagações_TOT_PARANAPANEMA!$B$6:$BO$6=$B67&amp;"I")*(Propagações_TOT_PARANAPANEMA!$A$7:$A$110&gt;=PREVS_SMAP!L$26)*(Propagações_TOT_PARANAPANEMA!$A$7:$A$110&lt;=PREVS_SMAP!L$27),0))/7+L66)</f>
        <v>#N/A</v>
      </c>
      <c r="M67" s="132" t="e">
        <f t="array" aca="1" ref="M67" ca="1">IF(AJ67&lt;7,NA(),SUM(IFERROR(Propagações_TOT_PARANAPANEMA!$B$7:$BO$110*(Propagações_TOT_PARANAPANEMA!$B$6:$BO$6=$B67&amp;"I")*(Propagações_TOT_PARANAPANEMA!$A$7:$A$110&gt;=PREVS_SMAP!M$26)*(Propagações_TOT_PARANAPANEMA!$A$7:$A$110&lt;=PREVS_SMAP!M$27),0))/7+M66)</f>
        <v>#N/A</v>
      </c>
      <c r="N67" s="132" t="e">
        <f t="array" aca="1" ref="N67" ca="1">IF(AK67&lt;7,NA(),SUM(IFERROR(Propagações_TOT_PARANAPANEMA!$B$7:$BO$110*(Propagações_TOT_PARANAPANEMA!$B$6:$BO$6=$B67&amp;"I")*(Propagações_TOT_PARANAPANEMA!$A$7:$A$110&gt;=PREVS_SMAP!N$26)*(Propagações_TOT_PARANAPANEMA!$A$7:$A$110&lt;=PREVS_SMAP!N$27),0))/7+N66)</f>
        <v>#N/A</v>
      </c>
      <c r="O67" s="132" t="e">
        <f t="array" aca="1" ref="O67" ca="1">IF(AL67&lt;7,NA(),SUM(IFERROR(Propagações_TOT_PARANAPANEMA!$B$7:$BO$110*(Propagações_TOT_PARANAPANEMA!$B$6:$BO$6=$B67&amp;"I")*(Propagações_TOT_PARANAPANEMA!$A$7:$A$110&gt;=PREVS_SMAP!O$26)*(Propagações_TOT_PARANAPANEMA!$A$7:$A$110&lt;=PREVS_SMAP!O$27),0))/7+O66)</f>
        <v>#N/A</v>
      </c>
      <c r="P67" s="132"/>
      <c r="R67">
        <v>40</v>
      </c>
      <c r="S67" s="40"/>
      <c r="T67" s="40"/>
      <c r="U67" s="131"/>
      <c r="V67" s="131"/>
      <c r="W67" s="131"/>
      <c r="X67" s="131"/>
      <c r="Y67" s="131"/>
      <c r="Z67" s="131"/>
      <c r="AA67" s="131"/>
      <c r="AB67" s="131"/>
      <c r="AD67" s="272">
        <f t="array" aca="1" ref="AD67" ca="1">SUM(IFERROR(ISNUMBER(Propagações_TOT_PARANAPANEMA!$B$7:$BO$110)*(Propagações_TOT_PARANAPANEMA!$B$6:$BO$6=$B67&amp;"A")*(Propagações_TOT_PARANAPANEMA!$A$7:$A$110&gt;=PREVS_SMAP!G$26)*(Propagações_TOT_PARANAPANEMA!$A$7:$A$110&lt;=PREVS_SMAP!G$27),0))</f>
        <v>0</v>
      </c>
      <c r="AE67" s="272">
        <f t="array" aca="1" ref="AE67" ca="1">SUM(IFERROR(ISNUMBER(Propagações_TOT_PARANAPANEMA!$B$7:$BO$110)*(Propagações_TOT_PARANAPANEMA!$B$6:$BO$6=$B67&amp;"A")*(Propagações_TOT_PARANAPANEMA!$A$7:$A$110&gt;=PREVS_SMAP!H$26)*(Propagações_TOT_PARANAPANEMA!$A$7:$A$110&lt;=PREVS_SMAP!H$27),0))</f>
        <v>0</v>
      </c>
      <c r="AF67" s="272">
        <f t="array" aca="1" ref="AF67" ca="1">SUM(IFERROR(ISNUMBER(Propagações_TOT_PARANAPANEMA!$B$7:$BO$110)*(Propagações_TOT_PARANAPANEMA!$B$6:$BO$6=$B67&amp;"A")*(Propagações_TOT_PARANAPANEMA!$A$7:$A$110&gt;=PREVS_SMAP!I$26)*(Propagações_TOT_PARANAPANEMA!$A$7:$A$110&lt;=PREVS_SMAP!I$27),0))</f>
        <v>0</v>
      </c>
      <c r="AG67" s="272">
        <f t="array" aca="1" ref="AG67" ca="1">SUM(IFERROR(ISNUMBER(Propagações_TOT_PARANAPANEMA!$B$7:$BO$110)*(Propagações_TOT_PARANAPANEMA!$B$6:$BO$6=$B67&amp;"A")*(Propagações_TOT_PARANAPANEMA!$A$7:$A$110&gt;=PREVS_SMAP!J$26)*(Propagações_TOT_PARANAPANEMA!$A$7:$A$110&lt;=PREVS_SMAP!J$27),0))</f>
        <v>0</v>
      </c>
      <c r="AH67" s="272">
        <f t="array" aca="1" ref="AH67" ca="1">SUM(IFERROR(ISNUMBER(Propagações_TOT_PARANAPANEMA!$B$7:$BO$110)*(Propagações_TOT_PARANAPANEMA!$B$6:$BO$6=$B67&amp;"A")*(Propagações_TOT_PARANAPANEMA!$A$7:$A$110&gt;=PREVS_SMAP!K$26)*(Propagações_TOT_PARANAPANEMA!$A$7:$A$110&lt;=PREVS_SMAP!K$27),0))</f>
        <v>0</v>
      </c>
      <c r="AI67" s="272">
        <f t="array" aca="1" ref="AI67" ca="1">SUM(IFERROR(ISNUMBER(Propagações_TOT_PARANAPANEMA!$B$7:$BO$110)*(Propagações_TOT_PARANAPANEMA!$B$6:$BO$6=$B67&amp;"A")*(Propagações_TOT_PARANAPANEMA!$A$7:$A$110&gt;=PREVS_SMAP!L$26)*(Propagações_TOT_PARANAPANEMA!$A$7:$A$110&lt;=PREVS_SMAP!L$27),0))</f>
        <v>0</v>
      </c>
      <c r="AJ67" s="272">
        <f t="array" aca="1" ref="AJ67" ca="1">SUM(IFERROR(ISNUMBER(Propagações_TOT_PARANAPANEMA!$B$7:$BO$110)*(Propagações_TOT_PARANAPANEMA!$B$6:$BO$6=$B67&amp;"A")*(Propagações_TOT_PARANAPANEMA!$A$7:$A$110&gt;=PREVS_SMAP!M$26)*(Propagações_TOT_PARANAPANEMA!$A$7:$A$110&lt;=PREVS_SMAP!M$27),0))</f>
        <v>0</v>
      </c>
      <c r="AK67" s="272">
        <f t="array" aca="1" ref="AK67" ca="1">SUM(IFERROR(ISNUMBER(Propagações_TOT_PARANAPANEMA!$B$7:$BO$110)*(Propagações_TOT_PARANAPANEMA!$B$6:$BO$6=$B67&amp;"A")*(Propagações_TOT_PARANAPANEMA!$A$7:$A$110&gt;=PREVS_SMAP!N$26)*(Propagações_TOT_PARANAPANEMA!$A$7:$A$110&lt;=PREVS_SMAP!N$27),0))</f>
        <v>0</v>
      </c>
      <c r="AL67" s="272">
        <f t="array" aca="1" ref="AL67" ca="1">SUM(IFERROR(ISNUMBER(Propagações_TOT_PARANAPANEMA!$B$7:$BO$110)*(Propagações_TOT_PARANAPANEMA!$B$6:$BO$6=$B67&amp;"A")*(Propagações_TOT_PARANAPANEMA!$A$7:$A$110&gt;=PREVS_SMAP!O$26)*(Propagações_TOT_PARANAPANEMA!$A$7:$A$110&lt;=PREVS_SMAP!O$27),0))</f>
        <v>0</v>
      </c>
      <c r="AN67" s="121"/>
      <c r="AO67" s="121" t="e">
        <f t="shared" si="9"/>
        <v>#DIV/0!</v>
      </c>
      <c r="AP67" s="121" t="b">
        <f t="shared" si="10"/>
        <v>0</v>
      </c>
      <c r="AU67" s="121"/>
      <c r="AV67" s="121"/>
      <c r="AW67" s="159"/>
      <c r="AX67" s="159"/>
      <c r="AY67" s="159"/>
      <c r="AZ67" s="157"/>
      <c r="BA67" s="157"/>
      <c r="BB67" s="121">
        <f t="shared" ca="1" si="11"/>
        <v>0</v>
      </c>
      <c r="BC67" s="272">
        <f t="shared" ca="1" si="13"/>
        <v>0</v>
      </c>
      <c r="BD67" s="272">
        <f t="shared" ca="1" si="13"/>
        <v>0</v>
      </c>
      <c r="BE67" s="272">
        <f t="shared" ca="1" si="13"/>
        <v>0</v>
      </c>
      <c r="BF67" s="272">
        <f t="shared" ca="1" si="13"/>
        <v>0</v>
      </c>
      <c r="BG67"/>
    </row>
    <row r="68" spans="1:59" x14ac:dyDescent="0.2">
      <c r="A68" s="294">
        <v>63</v>
      </c>
      <c r="B68" s="283" t="str">
        <f t="shared" si="21"/>
        <v>63_VN</v>
      </c>
      <c r="C68" s="240" t="s">
        <v>35</v>
      </c>
      <c r="D68" s="132">
        <f t="array" aca="1" ref="D68" ca="1">SUM(IFERROR(Propagações_TOT_PARANAPANEMA!$B$7:$BO$110*(Propagações_TOT_PARANAPANEMA!$B$6:$BO$6=$B68&amp;"A")*(Propagações_TOT_PARANAPANEMA!$A$7:$A$110&gt;=PREVS_SMAP!D$26)*(Propagações_TOT_PARANAPANEMA!$A$7:$A$110&lt;=PREVS_SMAP!D$27),0))/7</f>
        <v>0</v>
      </c>
      <c r="E68" s="132">
        <f t="array" aca="1" ref="E68" ca="1">SUM(IFERROR(Propagações_TOT_PARANAPANEMA!$B$7:$BO$110*(Propagações_TOT_PARANAPANEMA!$B$6:$BO$6=$B68&amp;"A")*(Propagações_TOT_PARANAPANEMA!$A$7:$A$110&gt;=PREVS_SMAP!E$26)*(Propagações_TOT_PARANAPANEMA!$A$7:$A$110&lt;=PREVS_SMAP!E$27),0))/7</f>
        <v>884.71428571428567</v>
      </c>
      <c r="F68" s="132">
        <f t="array" aca="1" ref="F68" ca="1">SUM(IFERROR(Propagações_TOT_PARANAPANEMA!$B$7:$BO$110*(Propagações_TOT_PARANAPANEMA!$B$6:$BO$6=$B68&amp;"A")*(Propagações_TOT_PARANAPANEMA!$A$7:$A$110&gt;=PREVS_SMAP!F$26)*(Propagações_TOT_PARANAPANEMA!$A$7:$A$110&lt;=PREVS_SMAP!F$27),0))/7</f>
        <v>360.71428571428572</v>
      </c>
      <c r="G68" s="132" t="e">
        <f t="array" aca="1" ref="G68" ca="1">IF(AD68&lt;7,NA(),SUM(IFERROR(Propagações_TOT_PARANAPANEMA!$B$7:$BO$110*(Propagações_TOT_PARANAPANEMA!$B$6:$BO$6=$B68&amp;"I")*(Propagações_TOT_PARANAPANEMA!$A$7:$A$110&gt;=PREVS_SMAP!G$26)*(Propagações_TOT_PARANAPANEMA!$A$7:$A$110&lt;=PREVS_SMAP!G$27),0))/7+G67)</f>
        <v>#N/A</v>
      </c>
      <c r="H68" s="132" t="e">
        <f t="array" aca="1" ref="H68" ca="1">IF(AE68&lt;7,NA(),SUM(IFERROR(Propagações_TOT_PARANAPANEMA!$B$7:$BO$110*(Propagações_TOT_PARANAPANEMA!$B$6:$BO$6=$B68&amp;"I")*(Propagações_TOT_PARANAPANEMA!$A$7:$A$110&gt;=PREVS_SMAP!H$26)*(Propagações_TOT_PARANAPANEMA!$A$7:$A$110&lt;=PREVS_SMAP!H$27),0))/7+H67)</f>
        <v>#N/A</v>
      </c>
      <c r="I68" s="132" t="e">
        <f t="array" aca="1" ref="I68" ca="1">IF(AF68&lt;7,NA(),SUM(IFERROR(Propagações_TOT_PARANAPANEMA!$B$7:$BO$110*(Propagações_TOT_PARANAPANEMA!$B$6:$BO$6=$B68&amp;"I")*(Propagações_TOT_PARANAPANEMA!$A$7:$A$110&gt;=PREVS_SMAP!I$26)*(Propagações_TOT_PARANAPANEMA!$A$7:$A$110&lt;=PREVS_SMAP!I$27),0))/7+I67)</f>
        <v>#N/A</v>
      </c>
      <c r="J68" s="132" t="e">
        <f t="array" aca="1" ref="J68" ca="1">IF(AG68&lt;7,NA(),SUM(IFERROR(Propagações_TOT_PARANAPANEMA!$B$7:$BO$110*(Propagações_TOT_PARANAPANEMA!$B$6:$BO$6=$B68&amp;"I")*(Propagações_TOT_PARANAPANEMA!$A$7:$A$110&gt;=PREVS_SMAP!J$26)*(Propagações_TOT_PARANAPANEMA!$A$7:$A$110&lt;=PREVS_SMAP!J$27),0))/7+J67)</f>
        <v>#N/A</v>
      </c>
      <c r="K68" s="132" t="e">
        <f t="array" aca="1" ref="K68" ca="1">IF(AH68&lt;7,NA(),SUM(IFERROR(Propagações_TOT_PARANAPANEMA!$B$7:$BO$110*(Propagações_TOT_PARANAPANEMA!$B$6:$BO$6=$B68&amp;"I")*(Propagações_TOT_PARANAPANEMA!$A$7:$A$110&gt;=PREVS_SMAP!K$26)*(Propagações_TOT_PARANAPANEMA!$A$7:$A$110&lt;=PREVS_SMAP!K$27),0))/7+K67)</f>
        <v>#N/A</v>
      </c>
      <c r="L68" s="132" t="e">
        <f t="array" aca="1" ref="L68" ca="1">IF(AI68&lt;7,NA(),SUM(IFERROR(Propagações_TOT_PARANAPANEMA!$B$7:$BO$110*(Propagações_TOT_PARANAPANEMA!$B$6:$BO$6=$B68&amp;"I")*(Propagações_TOT_PARANAPANEMA!$A$7:$A$110&gt;=PREVS_SMAP!L$26)*(Propagações_TOT_PARANAPANEMA!$A$7:$A$110&lt;=PREVS_SMAP!L$27),0))/7+L67)</f>
        <v>#N/A</v>
      </c>
      <c r="M68" s="132" t="e">
        <f t="array" aca="1" ref="M68" ca="1">IF(AJ68&lt;7,NA(),SUM(IFERROR(Propagações_TOT_PARANAPANEMA!$B$7:$BO$110*(Propagações_TOT_PARANAPANEMA!$B$6:$BO$6=$B68&amp;"I")*(Propagações_TOT_PARANAPANEMA!$A$7:$A$110&gt;=PREVS_SMAP!M$26)*(Propagações_TOT_PARANAPANEMA!$A$7:$A$110&lt;=PREVS_SMAP!M$27),0))/7+M67)</f>
        <v>#N/A</v>
      </c>
      <c r="N68" s="132" t="e">
        <f t="array" aca="1" ref="N68" ca="1">IF(AK68&lt;7,NA(),SUM(IFERROR(Propagações_TOT_PARANAPANEMA!$B$7:$BO$110*(Propagações_TOT_PARANAPANEMA!$B$6:$BO$6=$B68&amp;"I")*(Propagações_TOT_PARANAPANEMA!$A$7:$A$110&gt;=PREVS_SMAP!N$26)*(Propagações_TOT_PARANAPANEMA!$A$7:$A$110&lt;=PREVS_SMAP!N$27),0))/7+N67)</f>
        <v>#N/A</v>
      </c>
      <c r="O68" s="132" t="e">
        <f t="array" aca="1" ref="O68" ca="1">IF(AL68&lt;7,NA(),SUM(IFERROR(Propagações_TOT_PARANAPANEMA!$B$7:$BO$110*(Propagações_TOT_PARANAPANEMA!$B$6:$BO$6=$B68&amp;"I")*(Propagações_TOT_PARANAPANEMA!$A$7:$A$110&gt;=PREVS_SMAP!O$26)*(Propagações_TOT_PARANAPANEMA!$A$7:$A$110&lt;=PREVS_SMAP!O$27),0))/7+O67)</f>
        <v>#N/A</v>
      </c>
      <c r="P68" s="132"/>
      <c r="R68">
        <v>41</v>
      </c>
      <c r="S68" s="40"/>
      <c r="T68" s="40"/>
      <c r="U68" s="131"/>
      <c r="V68" s="131"/>
      <c r="W68" s="131"/>
      <c r="X68" s="131"/>
      <c r="Y68" s="131"/>
      <c r="Z68" s="131"/>
      <c r="AA68" s="131"/>
      <c r="AB68" s="131"/>
      <c r="AD68" s="272">
        <f t="array" aca="1" ref="AD68" ca="1">SUM(IFERROR(ISNUMBER(Propagações_TOT_PARANAPANEMA!$B$7:$BO$110)*(Propagações_TOT_PARANAPANEMA!$B$6:$BO$6=$B68&amp;"A")*(Propagações_TOT_PARANAPANEMA!$A$7:$A$110&gt;=PREVS_SMAP!G$26)*(Propagações_TOT_PARANAPANEMA!$A$7:$A$110&lt;=PREVS_SMAP!G$27),0))</f>
        <v>0</v>
      </c>
      <c r="AE68" s="272">
        <f t="array" aca="1" ref="AE68" ca="1">SUM(IFERROR(ISNUMBER(Propagações_TOT_PARANAPANEMA!$B$7:$BO$110)*(Propagações_TOT_PARANAPANEMA!$B$6:$BO$6=$B68&amp;"A")*(Propagações_TOT_PARANAPANEMA!$A$7:$A$110&gt;=PREVS_SMAP!H$26)*(Propagações_TOT_PARANAPANEMA!$A$7:$A$110&lt;=PREVS_SMAP!H$27),0))</f>
        <v>0</v>
      </c>
      <c r="AF68" s="272">
        <f t="array" aca="1" ref="AF68" ca="1">SUM(IFERROR(ISNUMBER(Propagações_TOT_PARANAPANEMA!$B$7:$BO$110)*(Propagações_TOT_PARANAPANEMA!$B$6:$BO$6=$B68&amp;"A")*(Propagações_TOT_PARANAPANEMA!$A$7:$A$110&gt;=PREVS_SMAP!I$26)*(Propagações_TOT_PARANAPANEMA!$A$7:$A$110&lt;=PREVS_SMAP!I$27),0))</f>
        <v>0</v>
      </c>
      <c r="AG68" s="272">
        <f t="array" aca="1" ref="AG68" ca="1">SUM(IFERROR(ISNUMBER(Propagações_TOT_PARANAPANEMA!$B$7:$BO$110)*(Propagações_TOT_PARANAPANEMA!$B$6:$BO$6=$B68&amp;"A")*(Propagações_TOT_PARANAPANEMA!$A$7:$A$110&gt;=PREVS_SMAP!J$26)*(Propagações_TOT_PARANAPANEMA!$A$7:$A$110&lt;=PREVS_SMAP!J$27),0))</f>
        <v>0</v>
      </c>
      <c r="AH68" s="272">
        <f t="array" aca="1" ref="AH68" ca="1">SUM(IFERROR(ISNUMBER(Propagações_TOT_PARANAPANEMA!$B$7:$BO$110)*(Propagações_TOT_PARANAPANEMA!$B$6:$BO$6=$B68&amp;"A")*(Propagações_TOT_PARANAPANEMA!$A$7:$A$110&gt;=PREVS_SMAP!K$26)*(Propagações_TOT_PARANAPANEMA!$A$7:$A$110&lt;=PREVS_SMAP!K$27),0))</f>
        <v>0</v>
      </c>
      <c r="AI68" s="272">
        <f t="array" aca="1" ref="AI68" ca="1">SUM(IFERROR(ISNUMBER(Propagações_TOT_PARANAPANEMA!$B$7:$BO$110)*(Propagações_TOT_PARANAPANEMA!$B$6:$BO$6=$B68&amp;"A")*(Propagações_TOT_PARANAPANEMA!$A$7:$A$110&gt;=PREVS_SMAP!L$26)*(Propagações_TOT_PARANAPANEMA!$A$7:$A$110&lt;=PREVS_SMAP!L$27),0))</f>
        <v>0</v>
      </c>
      <c r="AJ68" s="272">
        <f t="array" aca="1" ref="AJ68" ca="1">SUM(IFERROR(ISNUMBER(Propagações_TOT_PARANAPANEMA!$B$7:$BO$110)*(Propagações_TOT_PARANAPANEMA!$B$6:$BO$6=$B68&amp;"A")*(Propagações_TOT_PARANAPANEMA!$A$7:$A$110&gt;=PREVS_SMAP!M$26)*(Propagações_TOT_PARANAPANEMA!$A$7:$A$110&lt;=PREVS_SMAP!M$27),0))</f>
        <v>0</v>
      </c>
      <c r="AK68" s="272">
        <f t="array" aca="1" ref="AK68" ca="1">SUM(IFERROR(ISNUMBER(Propagações_TOT_PARANAPANEMA!$B$7:$BO$110)*(Propagações_TOT_PARANAPANEMA!$B$6:$BO$6=$B68&amp;"A")*(Propagações_TOT_PARANAPANEMA!$A$7:$A$110&gt;=PREVS_SMAP!N$26)*(Propagações_TOT_PARANAPANEMA!$A$7:$A$110&lt;=PREVS_SMAP!N$27),0))</f>
        <v>0</v>
      </c>
      <c r="AL68" s="272">
        <f t="array" aca="1" ref="AL68" ca="1">SUM(IFERROR(ISNUMBER(Propagações_TOT_PARANAPANEMA!$B$7:$BO$110)*(Propagações_TOT_PARANAPANEMA!$B$6:$BO$6=$B68&amp;"A")*(Propagações_TOT_PARANAPANEMA!$A$7:$A$110&gt;=PREVS_SMAP!O$26)*(Propagações_TOT_PARANAPANEMA!$A$7:$A$110&lt;=PREVS_SMAP!O$27),0))</f>
        <v>0</v>
      </c>
      <c r="AN68" s="121"/>
      <c r="AO68" s="121" t="e">
        <f t="shared" si="9"/>
        <v>#DIV/0!</v>
      </c>
      <c r="AP68" s="121" t="b">
        <f t="shared" si="10"/>
        <v>0</v>
      </c>
      <c r="AU68" s="121"/>
      <c r="AV68" s="121"/>
      <c r="AW68" s="159"/>
      <c r="AX68" s="159"/>
      <c r="AY68" s="159"/>
      <c r="AZ68" s="157"/>
      <c r="BA68" s="157"/>
      <c r="BB68" s="121">
        <f t="shared" ca="1" si="11"/>
        <v>0</v>
      </c>
      <c r="BC68" s="272">
        <f t="shared" ca="1" si="13"/>
        <v>0</v>
      </c>
      <c r="BD68" s="272">
        <f t="shared" ca="1" si="13"/>
        <v>0</v>
      </c>
      <c r="BE68" s="272">
        <f t="shared" ca="1" si="13"/>
        <v>0</v>
      </c>
      <c r="BF68" s="272">
        <f t="shared" ca="1" si="13"/>
        <v>0</v>
      </c>
      <c r="BG68"/>
    </row>
    <row r="69" spans="1:59" x14ac:dyDescent="0.2">
      <c r="A69" s="249"/>
      <c r="B69" s="240"/>
      <c r="C69" s="240"/>
      <c r="D69" s="240"/>
      <c r="E69" s="240"/>
      <c r="F69" s="148"/>
      <c r="G69" s="240"/>
      <c r="H69" s="240"/>
      <c r="I69" s="240"/>
      <c r="J69" s="240"/>
      <c r="K69" s="240"/>
      <c r="L69" s="240"/>
      <c r="M69" s="240"/>
      <c r="N69" s="240"/>
      <c r="O69" s="240"/>
      <c r="P69" s="142"/>
      <c r="R69">
        <v>42</v>
      </c>
      <c r="S69" s="40"/>
      <c r="T69" s="40"/>
      <c r="U69" s="131"/>
      <c r="V69" s="131"/>
      <c r="W69" s="131"/>
      <c r="X69" s="131"/>
      <c r="Y69" s="131"/>
      <c r="Z69" s="131"/>
      <c r="AA69" s="131"/>
      <c r="AB69" s="131"/>
      <c r="AH69" s="229"/>
      <c r="AN69" s="121"/>
      <c r="AO69" s="121" t="e">
        <f t="shared" si="9"/>
        <v>#DIV/0!</v>
      </c>
      <c r="AP69" s="121" t="b">
        <f t="shared" si="10"/>
        <v>0</v>
      </c>
      <c r="AU69" s="121"/>
      <c r="AV69" s="121"/>
      <c r="AW69" s="159"/>
      <c r="AX69" s="159"/>
      <c r="AY69" s="159"/>
      <c r="AZ69" s="157"/>
      <c r="BA69" s="157"/>
      <c r="BB69" s="121">
        <f t="shared" ca="1" si="11"/>
        <v>0</v>
      </c>
      <c r="BC69" s="272">
        <f t="shared" ca="1" si="13"/>
        <v>0</v>
      </c>
      <c r="BD69" s="272">
        <f t="shared" ca="1" si="13"/>
        <v>0</v>
      </c>
      <c r="BE69" s="272">
        <f t="shared" ca="1" si="13"/>
        <v>0</v>
      </c>
      <c r="BF69" s="272">
        <f t="shared" ca="1" si="13"/>
        <v>0</v>
      </c>
      <c r="BG69"/>
    </row>
    <row r="70" spans="1:59" x14ac:dyDescent="0.2">
      <c r="A70" s="294">
        <v>166</v>
      </c>
      <c r="B70" s="283" t="s">
        <v>158</v>
      </c>
      <c r="C70" s="240" t="s">
        <v>118</v>
      </c>
      <c r="D70" s="132">
        <f t="array" aca="1" ref="D70" ca="1">SUM(IFERROR(Propagações_TOT_ITAIPU!$B$7:$BZ$110*(Propagações_TOT_ITAIPU!$B$6:$BZ$6=$B70&amp;"I")*(Propagações_TOT_ITAIPU!$A$7:$A$110&gt;=PREVS_SMAP!D$26)*(Propagações_TOT_ITAIPU!$A$7:$A$110&lt;=PREVS_SMAP!D$27),0))/7</f>
        <v>0</v>
      </c>
      <c r="E70" s="132">
        <f t="array" aca="1" ref="E70" ca="1">SUM(IFERROR(Propagações_TOT_ITAIPU!$B$7:$BZ$110*(Propagações_TOT_ITAIPU!$B$6:$BZ$6=$B70&amp;"I")*(Propagações_TOT_ITAIPU!$A$7:$A$110&gt;=PREVS_SMAP!E$26)*(Propagações_TOT_ITAIPU!$A$7:$A$110&lt;=PREVS_SMAP!E$27),0))/7</f>
        <v>2514.1428571428573</v>
      </c>
      <c r="F70" s="132">
        <f t="array" aca="1" ref="F70" ca="1">SUM(IFERROR(Propagações_TOT_ITAIPU!$B$7:$BZ$110*(Propagações_TOT_ITAIPU!$B$6:$BZ$6=$B70&amp;"I")*(Propagações_TOT_ITAIPU!$A$7:$A$110&gt;=PREVS_SMAP!F$26)*(Propagações_TOT_ITAIPU!$A$7:$A$110&lt;=PREVS_SMAP!F$27),0))/7</f>
        <v>933</v>
      </c>
      <c r="G70" s="132" t="e">
        <f t="array" aca="1" ref="G70" ca="1">IF(AD70&lt;7,NA(),SUM(IFERROR(Propagações_TOT_ITAIPU!$B$7:$BZ$110*(Propagações_TOT_ITAIPU!$B$6:$BZ$6=$B70&amp;"I")*(Propagações_TOT_ITAIPU!$A$7:$A$110&gt;=PREVS_SMAP!G$26)*(Propagações_TOT_ITAIPU!$A$7:$A$110&lt;=PREVS_SMAP!G$27),0))/7)</f>
        <v>#N/A</v>
      </c>
      <c r="H70" s="132" t="e">
        <f t="array" aca="1" ref="H70" ca="1">IF(AE70&lt;7,NA(),SUM(IFERROR(Propagações_TOT_ITAIPU!$B$7:$BZ$110*(Propagações_TOT_ITAIPU!$B$6:$BZ$6=$B70&amp;"I")*(Propagações_TOT_ITAIPU!$A$7:$A$110&gt;=PREVS_SMAP!H$26)*(Propagações_TOT_ITAIPU!$A$7:$A$110&lt;=PREVS_SMAP!H$27),0))/7)</f>
        <v>#N/A</v>
      </c>
      <c r="I70" s="132" t="e">
        <f t="array" aca="1" ref="I70" ca="1">IF(AF70&lt;7,NA(),SUM(IFERROR(Propagações_TOT_ITAIPU!$B$7:$BZ$110*(Propagações_TOT_ITAIPU!$B$6:$BZ$6=$B70&amp;"I")*(Propagações_TOT_ITAIPU!$A$7:$A$110&gt;=PREVS_SMAP!I$26)*(Propagações_TOT_ITAIPU!$A$7:$A$110&lt;=PREVS_SMAP!I$27),0))/7)</f>
        <v>#N/A</v>
      </c>
      <c r="J70" s="132" t="e">
        <f t="array" aca="1" ref="J70" ca="1">IF(AG70&lt;7,NA(),SUM(IFERROR(Propagações_TOT_ITAIPU!$B$7:$BZ$110*(Propagações_TOT_ITAIPU!$B$6:$BZ$6=$B70&amp;"I")*(Propagações_TOT_ITAIPU!$A$7:$A$110&gt;=PREVS_SMAP!J$26)*(Propagações_TOT_ITAIPU!$A$7:$A$110&lt;=PREVS_SMAP!J$27),0))/7)</f>
        <v>#N/A</v>
      </c>
      <c r="K70" s="132" t="e">
        <f t="array" aca="1" ref="K70" ca="1">IF(AH70&lt;7,NA(),SUM(IFERROR(Propagações_TOT_ITAIPU!$B$7:$BZ$110*(Propagações_TOT_ITAIPU!$B$6:$BZ$6=$B70&amp;"I")*(Propagações_TOT_ITAIPU!$A$7:$A$110&gt;=PREVS_SMAP!K$26)*(Propagações_TOT_ITAIPU!$A$7:$A$110&lt;=PREVS_SMAP!K$27),0))/7)</f>
        <v>#N/A</v>
      </c>
      <c r="L70" s="132" t="e">
        <f t="array" aca="1" ref="L70" ca="1">IF(AI70&lt;7,NA(),SUM(IFERROR(Propagações_TOT_ITAIPU!$B$7:$BZ$110*(Propagações_TOT_ITAIPU!$B$6:$BZ$6=$B70&amp;"I")*(Propagações_TOT_ITAIPU!$A$7:$A$110&gt;=PREVS_SMAP!L$26)*(Propagações_TOT_ITAIPU!$A$7:$A$110&lt;=PREVS_SMAP!L$27),0))/7)</f>
        <v>#N/A</v>
      </c>
      <c r="M70" s="132" t="e">
        <f t="array" aca="1" ref="M70" ca="1">IF(AJ70&lt;7,NA(),SUM(IFERROR(Propagações_TOT_ITAIPU!$B$7:$BZ$110*(Propagações_TOT_ITAIPU!$B$6:$BZ$6=$B70&amp;"I")*(Propagações_TOT_ITAIPU!$A$7:$A$110&gt;=PREVS_SMAP!M$26)*(Propagações_TOT_ITAIPU!$A$7:$A$110&lt;=PREVS_SMAP!M$27),0))/7)</f>
        <v>#N/A</v>
      </c>
      <c r="N70" s="132" t="e">
        <f t="array" aca="1" ref="N70" ca="1">IF(AK70&lt;7,NA(),SUM(IFERROR(Propagações_TOT_ITAIPU!$B$7:$BZ$110*(Propagações_TOT_ITAIPU!$B$6:$BZ$6=$B70&amp;"I")*(Propagações_TOT_ITAIPU!$A$7:$A$110&gt;=PREVS_SMAP!N$26)*(Propagações_TOT_ITAIPU!$A$7:$A$110&lt;=PREVS_SMAP!N$27),0))/7)</f>
        <v>#N/A</v>
      </c>
      <c r="O70" s="132" t="e">
        <f t="array" aca="1" ref="O70" ca="1">IF(AL70&lt;7,NA(),SUM(IFERROR(Propagações_TOT_ITAIPU!$B$7:$BZ$110*(Propagações_TOT_ITAIPU!$B$6:$BZ$6=$B70&amp;"I")*(Propagações_TOT_ITAIPU!$A$7:$A$110&gt;=PREVS_SMAP!O$26)*(Propagações_TOT_ITAIPU!$A$7:$A$110&lt;=PREVS_SMAP!O$27),0))/7)</f>
        <v>#N/A</v>
      </c>
      <c r="P70" s="132"/>
      <c r="R70">
        <v>43</v>
      </c>
      <c r="S70" s="40"/>
      <c r="T70" s="40"/>
      <c r="U70" s="131"/>
      <c r="V70" s="131"/>
      <c r="W70" s="131"/>
      <c r="X70" s="131"/>
      <c r="Y70" s="131"/>
      <c r="Z70" s="131"/>
      <c r="AA70" s="131"/>
      <c r="AB70" s="131"/>
      <c r="AD70" s="121">
        <f t="array" aca="1" ref="AD70" ca="1">SUM(IFERROR(ISNUMBER(Propagações_TOT_ITAIPU!$B$7:$BZ$110)*(Propagações_TOT_ITAIPU!$B$6:$BZ$6=$B70&amp;"I")*(Propagações_TOT_ITAIPU!$A$7:$A$110&gt;=PREVS_SMAP!G$26)*(Propagações_TOT_ITAIPU!$A$7:$A$110&lt;=PREVS_SMAP!G$27),0))</f>
        <v>0</v>
      </c>
      <c r="AE70" s="272">
        <f t="array" aca="1" ref="AE70" ca="1">SUM(IFERROR(ISNUMBER(Propagações_TOT_ITAIPU!$B$7:$BZ$110)*(Propagações_TOT_ITAIPU!$B$6:$BZ$6=$B70&amp;"I")*(Propagações_TOT_ITAIPU!$A$7:$A$110&gt;=PREVS_SMAP!H$26)*(Propagações_TOT_ITAIPU!$A$7:$A$110&lt;=PREVS_SMAP!H$27),0))</f>
        <v>0</v>
      </c>
      <c r="AF70" s="272">
        <f t="array" aca="1" ref="AF70" ca="1">SUM(IFERROR(ISNUMBER(Propagações_TOT_ITAIPU!$B$7:$BZ$110)*(Propagações_TOT_ITAIPU!$B$6:$BZ$6=$B70&amp;"I")*(Propagações_TOT_ITAIPU!$A$7:$A$110&gt;=PREVS_SMAP!I$26)*(Propagações_TOT_ITAIPU!$A$7:$A$110&lt;=PREVS_SMAP!I$27),0))</f>
        <v>0</v>
      </c>
      <c r="AG70" s="272">
        <f t="array" aca="1" ref="AG70" ca="1">SUM(IFERROR(ISNUMBER(Propagações_TOT_ITAIPU!$B$7:$BZ$110)*(Propagações_TOT_ITAIPU!$B$6:$BZ$6=$B70&amp;"I")*(Propagações_TOT_ITAIPU!$A$7:$A$110&gt;=PREVS_SMAP!J$26)*(Propagações_TOT_ITAIPU!$A$7:$A$110&lt;=PREVS_SMAP!J$27),0))</f>
        <v>0</v>
      </c>
      <c r="AH70" s="272">
        <f t="array" aca="1" ref="AH70" ca="1">SUM(IFERROR(ISNUMBER(Propagações_TOT_ITAIPU!$B$7:$BZ$110)*(Propagações_TOT_ITAIPU!$B$6:$BZ$6=$B70&amp;"I")*(Propagações_TOT_ITAIPU!$A$7:$A$110&gt;=PREVS_SMAP!K$26)*(Propagações_TOT_ITAIPU!$A$7:$A$110&lt;=PREVS_SMAP!K$27),0))</f>
        <v>0</v>
      </c>
      <c r="AI70" s="272">
        <f t="array" aca="1" ref="AI70" ca="1">SUM(IFERROR(ISNUMBER(Propagações_TOT_ITAIPU!$B$7:$BZ$110)*(Propagações_TOT_ITAIPU!$B$6:$BZ$6=$B70&amp;"I")*(Propagações_TOT_ITAIPU!$A$7:$A$110&gt;=PREVS_SMAP!L$26)*(Propagações_TOT_ITAIPU!$A$7:$A$110&lt;=PREVS_SMAP!L$27),0))</f>
        <v>0</v>
      </c>
      <c r="AJ70" s="272">
        <f t="array" aca="1" ref="AJ70" ca="1">SUM(IFERROR(ISNUMBER(Propagações_TOT_ITAIPU!$B$7:$BZ$110)*(Propagações_TOT_ITAIPU!$B$6:$BZ$6=$B70&amp;"I")*(Propagações_TOT_ITAIPU!$A$7:$A$110&gt;=PREVS_SMAP!M$26)*(Propagações_TOT_ITAIPU!$A$7:$A$110&lt;=PREVS_SMAP!M$27),0))</f>
        <v>0</v>
      </c>
      <c r="AK70" s="272">
        <f t="array" aca="1" ref="AK70" ca="1">SUM(IFERROR(ISNUMBER(Propagações_TOT_ITAIPU!$B$7:$BZ$110)*(Propagações_TOT_ITAIPU!$B$6:$BZ$6=$B70&amp;"I")*(Propagações_TOT_ITAIPU!$A$7:$A$110&gt;=PREVS_SMAP!N$26)*(Propagações_TOT_ITAIPU!$A$7:$A$110&lt;=PREVS_SMAP!N$27),0))</f>
        <v>0</v>
      </c>
      <c r="AL70" s="272">
        <f t="array" aca="1" ref="AL70" ca="1">SUM(IFERROR(ISNUMBER(Propagações_TOT_ITAIPU!$B$7:$BZ$110)*(Propagações_TOT_ITAIPU!$B$6:$BZ$6=$B70&amp;"I")*(Propagações_TOT_ITAIPU!$A$7:$A$110&gt;=PREVS_SMAP!O$26)*(Propagações_TOT_ITAIPU!$A$7:$A$110&lt;=PREVS_SMAP!O$27),0))</f>
        <v>0</v>
      </c>
      <c r="AN70" s="121"/>
      <c r="AO70" s="121" t="e">
        <f t="shared" si="9"/>
        <v>#DIV/0!</v>
      </c>
      <c r="AP70" s="121" t="b">
        <f t="shared" si="10"/>
        <v>0</v>
      </c>
      <c r="AU70" s="121"/>
      <c r="AV70" s="121"/>
      <c r="AW70" s="159"/>
      <c r="AX70" s="159"/>
      <c r="AY70" s="159"/>
      <c r="AZ70" s="157"/>
      <c r="BA70" s="157"/>
      <c r="BB70" s="121">
        <f t="shared" ca="1" si="11"/>
        <v>0</v>
      </c>
      <c r="BC70" s="272">
        <f t="shared" ca="1" si="13"/>
        <v>0</v>
      </c>
      <c r="BD70" s="272">
        <f t="shared" ca="1" si="13"/>
        <v>0</v>
      </c>
      <c r="BE70" s="272">
        <f t="shared" ca="1" si="13"/>
        <v>0</v>
      </c>
      <c r="BF70" s="272">
        <f t="shared" ca="1" si="13"/>
        <v>0</v>
      </c>
      <c r="BG70"/>
    </row>
    <row r="71" spans="1:59" x14ac:dyDescent="0.2">
      <c r="A71" s="294">
        <v>266</v>
      </c>
      <c r="B71" s="283" t="s">
        <v>158</v>
      </c>
      <c r="C71" s="240" t="s">
        <v>118</v>
      </c>
      <c r="D71" s="132">
        <f t="array" aca="1" ref="D71" ca="1">SUM(IFERROR(Propagações_TOT_ITAIPU!$B$7:$BZ$110*(Propagações_TOT_ITAIPU!$B$6:$BZ$6=$B71&amp;"A")*(Propagações_TOT_ITAIPU!$A$7:$A$110&gt;=PREVS_SMAP!D$26)*(Propagações_TOT_ITAIPU!$A$7:$A$110&lt;=PREVS_SMAP!D$27),0))/7</f>
        <v>0</v>
      </c>
      <c r="E71" s="132">
        <f t="array" aca="1" ref="E71" ca="1">SUM(IFERROR(Propagações_TOT_ITAIPU!$B$7:$BZ$110*(Propagações_TOT_ITAIPU!$B$6:$BZ$6=$B71&amp;"A")*(Propagações_TOT_ITAIPU!$A$7:$A$110&gt;=PREVS_SMAP!E$26)*(Propagações_TOT_ITAIPU!$A$7:$A$110&lt;=PREVS_SMAP!E$27),0))/7</f>
        <v>11312.571428571429</v>
      </c>
      <c r="F71" s="132">
        <f t="array" aca="1" ref="F71" ca="1">SUM(IFERROR(Propagações_TOT_ITAIPU!$B$7:$BZ$110*(Propagações_TOT_ITAIPU!$B$6:$BZ$6=$B71&amp;"A")*(Propagações_TOT_ITAIPU!$A$7:$A$110&gt;=PREVS_SMAP!F$26)*(Propagações_TOT_ITAIPU!$A$7:$A$110&lt;=PREVS_SMAP!F$27),0))/7</f>
        <v>4124.1428571428569</v>
      </c>
      <c r="G71" s="132" t="e">
        <f t="array" aca="1" ref="G71" ca="1">IF(AD71&lt;7,NA(),SUM(IFERROR(Propagações_TOT_ITAIPU!$B$7:$BZ$110*(Propagações_TOT_ITAIPU!$B$6:$BZ$6=$B71&amp;"A")*(Propagações_TOT_ITAIPU!$A$7:$A$110&gt;=PREVS_SMAP!G$26)*(Propagações_TOT_ITAIPU!$A$7:$A$110&lt;=PREVS_SMAP!G$27),0))/7)</f>
        <v>#N/A</v>
      </c>
      <c r="H71" s="132" t="e">
        <f t="array" aca="1" ref="H71" ca="1">IF(AE71&lt;7,NA(),SUM(IFERROR(Propagações_TOT_ITAIPU!$B$7:$BZ$110*(Propagações_TOT_ITAIPU!$B$6:$BZ$6=$B71&amp;"A")*(Propagações_TOT_ITAIPU!$A$7:$A$110&gt;=PREVS_SMAP!H$26)*(Propagações_TOT_ITAIPU!$A$7:$A$110&lt;=PREVS_SMAP!H$27),0))/7)</f>
        <v>#N/A</v>
      </c>
      <c r="I71" s="132" t="e">
        <f t="array" aca="1" ref="I71" ca="1">IF(AF71&lt;7,NA(),SUM(IFERROR(Propagações_TOT_ITAIPU!$B$7:$BZ$110*(Propagações_TOT_ITAIPU!$B$6:$BZ$6=$B71&amp;"A")*(Propagações_TOT_ITAIPU!$A$7:$A$110&gt;=PREVS_SMAP!I$26)*(Propagações_TOT_ITAIPU!$A$7:$A$110&lt;=PREVS_SMAP!I$27),0))/7)</f>
        <v>#N/A</v>
      </c>
      <c r="J71" s="132" t="e">
        <f t="array" aca="1" ref="J71" ca="1">IF(AG71&lt;7,NA(),SUM(IFERROR(Propagações_TOT_ITAIPU!$B$7:$BZ$110*(Propagações_TOT_ITAIPU!$B$6:$BZ$6=$B71&amp;"A")*(Propagações_TOT_ITAIPU!$A$7:$A$110&gt;=PREVS_SMAP!J$26)*(Propagações_TOT_ITAIPU!$A$7:$A$110&lt;=PREVS_SMAP!J$27),0))/7)</f>
        <v>#N/A</v>
      </c>
      <c r="K71" s="132" t="e">
        <f t="array" aca="1" ref="K71" ca="1">IF(AH71&lt;7,NA(),SUM(IFERROR(Propagações_TOT_ITAIPU!$B$7:$BZ$110*(Propagações_TOT_ITAIPU!$B$6:$BZ$6=$B71&amp;"A")*(Propagações_TOT_ITAIPU!$A$7:$A$110&gt;=PREVS_SMAP!K$26)*(Propagações_TOT_ITAIPU!$A$7:$A$110&lt;=PREVS_SMAP!K$27),0))/7)</f>
        <v>#N/A</v>
      </c>
      <c r="L71" s="132" t="e">
        <f t="array" aca="1" ref="L71" ca="1">IF(AI71&lt;7,NA(),SUM(IFERROR(Propagações_TOT_ITAIPU!$B$7:$BZ$110*(Propagações_TOT_ITAIPU!$B$6:$BZ$6=$B71&amp;"A")*(Propagações_TOT_ITAIPU!$A$7:$A$110&gt;=PREVS_SMAP!L$26)*(Propagações_TOT_ITAIPU!$A$7:$A$110&lt;=PREVS_SMAP!L$27),0))/7)</f>
        <v>#N/A</v>
      </c>
      <c r="M71" s="132" t="e">
        <f t="array" aca="1" ref="M71" ca="1">IF(AJ71&lt;7,NA(),SUM(IFERROR(Propagações_TOT_ITAIPU!$B$7:$BZ$110*(Propagações_TOT_ITAIPU!$B$6:$BZ$6=$B71&amp;"A")*(Propagações_TOT_ITAIPU!$A$7:$A$110&gt;=PREVS_SMAP!M$26)*(Propagações_TOT_ITAIPU!$A$7:$A$110&lt;=PREVS_SMAP!M$27),0))/7)</f>
        <v>#N/A</v>
      </c>
      <c r="N71" s="132" t="e">
        <f t="array" aca="1" ref="N71" ca="1">IF(AK71&lt;7,NA(),SUM(IFERROR(Propagações_TOT_ITAIPU!$B$7:$BZ$110*(Propagações_TOT_ITAIPU!$B$6:$BZ$6=$B71&amp;"A")*(Propagações_TOT_ITAIPU!$A$7:$A$110&gt;=PREVS_SMAP!N$26)*(Propagações_TOT_ITAIPU!$A$7:$A$110&lt;=PREVS_SMAP!N$27),0))/7)</f>
        <v>#N/A</v>
      </c>
      <c r="O71" s="132" t="e">
        <f t="array" aca="1" ref="O71" ca="1">IF(AL71&lt;7,NA(),SUM(IFERROR(Propagações_TOT_ITAIPU!$B$7:$BZ$110*(Propagações_TOT_ITAIPU!$B$6:$BZ$6=$B71&amp;"A")*(Propagações_TOT_ITAIPU!$A$7:$A$110&gt;=PREVS_SMAP!O$26)*(Propagações_TOT_ITAIPU!$A$7:$A$110&lt;=PREVS_SMAP!O$27),0))/7)</f>
        <v>#N/A</v>
      </c>
      <c r="P71" s="132"/>
      <c r="R71">
        <v>44</v>
      </c>
      <c r="S71" s="40"/>
      <c r="T71" s="40"/>
      <c r="U71" s="131"/>
      <c r="V71" s="131"/>
      <c r="W71" s="131"/>
      <c r="X71" s="131"/>
      <c r="Y71" s="131"/>
      <c r="Z71" s="131"/>
      <c r="AA71" s="131"/>
      <c r="AB71" s="131"/>
      <c r="AD71" s="272">
        <f t="array" aca="1" ref="AD71" ca="1">SUM(IFERROR(ISNUMBER(Propagações_TOT_ITAIPU!$B$7:$BZ$110)*(Propagações_TOT_ITAIPU!$B$6:$BZ$6=$B71&amp;"I")*(Propagações_TOT_ITAIPU!$A$7:$A$110&gt;=PREVS_SMAP!G$26)*(Propagações_TOT_ITAIPU!$A$7:$A$110&lt;=PREVS_SMAP!G$27),0))</f>
        <v>0</v>
      </c>
      <c r="AE71" s="272">
        <f t="array" aca="1" ref="AE71" ca="1">SUM(IFERROR(ISNUMBER(Propagações_TOT_ITAIPU!$B$7:$BZ$110)*(Propagações_TOT_ITAIPU!$B$6:$BZ$6=$B71&amp;"I")*(Propagações_TOT_ITAIPU!$A$7:$A$110&gt;=PREVS_SMAP!H$26)*(Propagações_TOT_ITAIPU!$A$7:$A$110&lt;=PREVS_SMAP!H$27),0))</f>
        <v>0</v>
      </c>
      <c r="AF71" s="272">
        <f t="array" aca="1" ref="AF71" ca="1">SUM(IFERROR(ISNUMBER(Propagações_TOT_ITAIPU!$B$7:$BZ$110)*(Propagações_TOT_ITAIPU!$B$6:$BZ$6=$B71&amp;"I")*(Propagações_TOT_ITAIPU!$A$7:$A$110&gt;=PREVS_SMAP!I$26)*(Propagações_TOT_ITAIPU!$A$7:$A$110&lt;=PREVS_SMAP!I$27),0))</f>
        <v>0</v>
      </c>
      <c r="AG71" s="272">
        <f t="array" aca="1" ref="AG71" ca="1">SUM(IFERROR(ISNUMBER(Propagações_TOT_ITAIPU!$B$7:$BZ$110)*(Propagações_TOT_ITAIPU!$B$6:$BZ$6=$B71&amp;"I")*(Propagações_TOT_ITAIPU!$A$7:$A$110&gt;=PREVS_SMAP!J$26)*(Propagações_TOT_ITAIPU!$A$7:$A$110&lt;=PREVS_SMAP!J$27),0))</f>
        <v>0</v>
      </c>
      <c r="AH71" s="272">
        <f t="array" aca="1" ref="AH71" ca="1">SUM(IFERROR(ISNUMBER(Propagações_TOT_ITAIPU!$B$7:$BZ$110)*(Propagações_TOT_ITAIPU!$B$6:$BZ$6=$B71&amp;"I")*(Propagações_TOT_ITAIPU!$A$7:$A$110&gt;=PREVS_SMAP!K$26)*(Propagações_TOT_ITAIPU!$A$7:$A$110&lt;=PREVS_SMAP!K$27),0))</f>
        <v>0</v>
      </c>
      <c r="AI71" s="272">
        <f t="array" aca="1" ref="AI71" ca="1">SUM(IFERROR(ISNUMBER(Propagações_TOT_ITAIPU!$B$7:$BZ$110)*(Propagações_TOT_ITAIPU!$B$6:$BZ$6=$B71&amp;"I")*(Propagações_TOT_ITAIPU!$A$7:$A$110&gt;=PREVS_SMAP!L$26)*(Propagações_TOT_ITAIPU!$A$7:$A$110&lt;=PREVS_SMAP!L$27),0))</f>
        <v>0</v>
      </c>
      <c r="AJ71" s="272">
        <f t="array" aca="1" ref="AJ71" ca="1">SUM(IFERROR(ISNUMBER(Propagações_TOT_ITAIPU!$B$7:$BZ$110)*(Propagações_TOT_ITAIPU!$B$6:$BZ$6=$B71&amp;"I")*(Propagações_TOT_ITAIPU!$A$7:$A$110&gt;=PREVS_SMAP!M$26)*(Propagações_TOT_ITAIPU!$A$7:$A$110&lt;=PREVS_SMAP!M$27),0))</f>
        <v>0</v>
      </c>
      <c r="AK71" s="272">
        <f t="array" aca="1" ref="AK71" ca="1">SUM(IFERROR(ISNUMBER(Propagações_TOT_ITAIPU!$B$7:$BZ$110)*(Propagações_TOT_ITAIPU!$B$6:$BZ$6=$B71&amp;"I")*(Propagações_TOT_ITAIPU!$A$7:$A$110&gt;=PREVS_SMAP!N$26)*(Propagações_TOT_ITAIPU!$A$7:$A$110&lt;=PREVS_SMAP!N$27),0))</f>
        <v>0</v>
      </c>
      <c r="AL71" s="272">
        <f t="array" aca="1" ref="AL71" ca="1">SUM(IFERROR(ISNUMBER(Propagações_TOT_ITAIPU!$B$7:$BZ$110)*(Propagações_TOT_ITAIPU!$B$6:$BZ$6=$B71&amp;"I")*(Propagações_TOT_ITAIPU!$A$7:$A$110&gt;=PREVS_SMAP!O$26)*(Propagações_TOT_ITAIPU!$A$7:$A$110&lt;=PREVS_SMAP!O$27),0))</f>
        <v>0</v>
      </c>
      <c r="AN71" s="121"/>
      <c r="AO71" s="121" t="e">
        <f t="shared" si="9"/>
        <v>#DIV/0!</v>
      </c>
      <c r="AP71" s="121" t="b">
        <f t="shared" si="10"/>
        <v>0</v>
      </c>
      <c r="AU71" s="121"/>
      <c r="AV71" s="121"/>
      <c r="AW71" s="159"/>
      <c r="AX71" s="159"/>
      <c r="AY71" s="159"/>
      <c r="AZ71" s="157"/>
      <c r="BA71" s="157"/>
      <c r="BB71" s="121">
        <f t="shared" ca="1" si="11"/>
        <v>0</v>
      </c>
      <c r="BC71" s="272">
        <f t="shared" ca="1" si="13"/>
        <v>0</v>
      </c>
      <c r="BD71" s="272">
        <f t="shared" ca="1" si="13"/>
        <v>0</v>
      </c>
      <c r="BE71" s="272">
        <f t="shared" ca="1" si="13"/>
        <v>0</v>
      </c>
      <c r="BF71" s="272">
        <f t="shared" ca="1" si="13"/>
        <v>0</v>
      </c>
      <c r="BG71"/>
    </row>
    <row r="72" spans="1:59" x14ac:dyDescent="0.2">
      <c r="A72" s="249"/>
      <c r="B72" s="240"/>
      <c r="C72" s="240"/>
      <c r="D72" s="240"/>
      <c r="E72" s="240"/>
      <c r="F72" s="148"/>
      <c r="G72" s="240"/>
      <c r="H72" s="240"/>
      <c r="I72" s="240"/>
      <c r="J72" s="240"/>
      <c r="K72" s="240"/>
      <c r="L72" s="240"/>
      <c r="M72" s="240"/>
      <c r="N72" s="240"/>
      <c r="O72" s="240"/>
      <c r="P72" s="142"/>
      <c r="R72">
        <v>45</v>
      </c>
      <c r="S72" s="40"/>
      <c r="T72" s="40"/>
      <c r="U72" s="131"/>
      <c r="V72" s="131"/>
      <c r="W72" s="131"/>
      <c r="X72" s="131"/>
      <c r="Y72" s="131"/>
      <c r="Z72" s="131"/>
      <c r="AA72" s="131"/>
      <c r="AB72" s="131"/>
      <c r="AH72" s="229"/>
      <c r="AN72" s="121"/>
      <c r="AO72" s="121" t="e">
        <f t="shared" si="9"/>
        <v>#DIV/0!</v>
      </c>
      <c r="AP72" s="121" t="b">
        <f t="shared" si="10"/>
        <v>0</v>
      </c>
      <c r="AU72" s="121"/>
      <c r="AV72" s="121"/>
      <c r="AW72" s="159"/>
      <c r="AX72" s="159"/>
      <c r="AY72" s="159"/>
      <c r="AZ72" s="157"/>
      <c r="BA72" s="157"/>
      <c r="BB72" s="121">
        <f t="shared" ca="1" si="11"/>
        <v>0</v>
      </c>
      <c r="BC72" s="272">
        <f t="shared" ca="1" si="13"/>
        <v>0</v>
      </c>
      <c r="BD72" s="272">
        <f t="shared" ca="1" si="13"/>
        <v>0</v>
      </c>
      <c r="BE72" s="272">
        <f t="shared" ca="1" si="13"/>
        <v>0</v>
      </c>
      <c r="BF72" s="272">
        <f t="shared" ca="1" si="13"/>
        <v>0</v>
      </c>
      <c r="BG72"/>
    </row>
    <row r="73" spans="1:59" x14ac:dyDescent="0.2">
      <c r="A73" s="294">
        <v>270</v>
      </c>
      <c r="B73" s="283" t="str">
        <f>A73&amp;"_VN"</f>
        <v>270_VN</v>
      </c>
      <c r="C73" s="240" t="s">
        <v>162</v>
      </c>
      <c r="D73" s="132">
        <f t="array" aca="1" ref="D73" ca="1">SUM(IFERROR(Propagações_TOT_TOCANTINS!$B$7:$BW$110*(Propagações_TOT_TOCANTINS!$B$6:$BW$6=$B73&amp;"A")*(Propagações_TOT_TOCANTINS!$A$7:$A$110&gt;=PREVS_SMAP!D$26)*(Propagações_TOT_TOCANTINS!$A$7:$A$110&lt;=PREVS_SMAP!D$27),0))/7</f>
        <v>0</v>
      </c>
      <c r="E73" s="132">
        <f t="array" aca="1" ref="E73" ca="1">SUM(IFERROR(Propagações_TOT_TOCANTINS!$B$7:$BW$110*(Propagações_TOT_TOCANTINS!$B$6:$BW$6=$B73&amp;"A")*(Propagações_TOT_TOCANTINS!$A$7:$A$110&gt;=PREVS_SMAP!E$26)*(Propagações_TOT_TOCANTINS!$A$7:$A$110&lt;=PREVS_SMAP!E$27),0))/7</f>
        <v>237</v>
      </c>
      <c r="F73" s="132">
        <f t="array" aca="1" ref="F73" ca="1">SUM(IFERROR(Propagações_TOT_TOCANTINS!$B$7:$BW$110*(Propagações_TOT_TOCANTINS!$B$6:$BW$6=$B73&amp;"A")*(Propagações_TOT_TOCANTINS!$A$7:$A$110&gt;=PREVS_SMAP!F$26)*(Propagações_TOT_TOCANTINS!$A$7:$A$110&lt;=PREVS_SMAP!F$27),0))/7</f>
        <v>179.71428571428572</v>
      </c>
      <c r="G73" s="132" t="e">
        <f t="array" aca="1" ref="G73" ca="1">IF(AD73&lt;7,NA(),SUM(IFERROR(Propagações_TOT_TOCANTINS!$B$7:$BW$110*(Propagações_TOT_TOCANTINS!$B$6:$BW$6=$B73&amp;"A")*(Propagações_TOT_TOCANTINS!$A$7:$A$110&gt;=PREVS_SMAP!G$26)*(Propagações_TOT_TOCANTINS!$A$7:$A$110&lt;=PREVS_SMAP!G$27),0))/7)</f>
        <v>#N/A</v>
      </c>
      <c r="H73" s="132" t="e">
        <f t="array" aca="1" ref="H73" ca="1">IF(AE73&lt;7,NA(),SUM(IFERROR(Propagações_TOT_TOCANTINS!$B$7:$BW$110*(Propagações_TOT_TOCANTINS!$B$6:$BW$6=$B73&amp;"A")*(Propagações_TOT_TOCANTINS!$A$7:$A$110&gt;=PREVS_SMAP!H$26)*(Propagações_TOT_TOCANTINS!$A$7:$A$110&lt;=PREVS_SMAP!H$27),0))/7)</f>
        <v>#N/A</v>
      </c>
      <c r="I73" s="132" t="e">
        <f t="array" aca="1" ref="I73" ca="1">IF(AF73&lt;7,NA(),SUM(IFERROR(Propagações_TOT_TOCANTINS!$B$7:$BW$110*(Propagações_TOT_TOCANTINS!$B$6:$BW$6=$B73&amp;"A")*(Propagações_TOT_TOCANTINS!$A$7:$A$110&gt;=PREVS_SMAP!I$26)*(Propagações_TOT_TOCANTINS!$A$7:$A$110&lt;=PREVS_SMAP!I$27),0))/7)</f>
        <v>#N/A</v>
      </c>
      <c r="J73" s="132" t="e">
        <f t="array" aca="1" ref="J73" ca="1">IF(AG73&lt;7,NA(),SUM(IFERROR(Propagações_TOT_TOCANTINS!$B$7:$BW$110*(Propagações_TOT_TOCANTINS!$B$6:$BW$6=$B73&amp;"A")*(Propagações_TOT_TOCANTINS!$A$7:$A$110&gt;=PREVS_SMAP!J$26)*(Propagações_TOT_TOCANTINS!$A$7:$A$110&lt;=PREVS_SMAP!J$27),0))/7)</f>
        <v>#N/A</v>
      </c>
      <c r="K73" s="132" t="e">
        <f t="array" aca="1" ref="K73" ca="1">IF(AH73&lt;7,NA(),SUM(IFERROR(Propagações_TOT_TOCANTINS!$B$7:$BW$110*(Propagações_TOT_TOCANTINS!$B$6:$BW$6=$B73&amp;"A")*(Propagações_TOT_TOCANTINS!$A$7:$A$110&gt;=PREVS_SMAP!K$26)*(Propagações_TOT_TOCANTINS!$A$7:$A$110&lt;=PREVS_SMAP!K$27),0))/7)</f>
        <v>#N/A</v>
      </c>
      <c r="L73" s="132" t="e">
        <f t="array" aca="1" ref="L73" ca="1">IF(AI73&lt;7,NA(),SUM(IFERROR(Propagações_TOT_TOCANTINS!$B$7:$BW$110*(Propagações_TOT_TOCANTINS!$B$6:$BW$6=$B73&amp;"A")*(Propagações_TOT_TOCANTINS!$A$7:$A$110&gt;=PREVS_SMAP!L$26)*(Propagações_TOT_TOCANTINS!$A$7:$A$110&lt;=PREVS_SMAP!L$27),0))/7)</f>
        <v>#N/A</v>
      </c>
      <c r="M73" s="132" t="e">
        <f t="array" aca="1" ref="M73" ca="1">IF(AJ73&lt;7,NA(),SUM(IFERROR(Propagações_TOT_TOCANTINS!$B$7:$BW$110*(Propagações_TOT_TOCANTINS!$B$6:$BW$6=$B73&amp;"A")*(Propagações_TOT_TOCANTINS!$A$7:$A$110&gt;=PREVS_SMAP!M$26)*(Propagações_TOT_TOCANTINS!$A$7:$A$110&lt;=PREVS_SMAP!M$27),0))/7)</f>
        <v>#N/A</v>
      </c>
      <c r="N73" s="132" t="e">
        <f t="array" aca="1" ref="N73" ca="1">IF(AK73&lt;7,NA(),SUM(IFERROR(Propagações_TOT_TOCANTINS!$B$7:$BW$110*(Propagações_TOT_TOCANTINS!$B$6:$BW$6=$B73&amp;"A")*(Propagações_TOT_TOCANTINS!$A$7:$A$110&gt;=PREVS_SMAP!N$26)*(Propagações_TOT_TOCANTINS!$A$7:$A$110&lt;=PREVS_SMAP!N$27),0))/7)</f>
        <v>#N/A</v>
      </c>
      <c r="O73" s="132" t="e">
        <f t="array" aca="1" ref="O73" ca="1">IF(AL73&lt;7,NA(),SUM(IFERROR(Propagações_TOT_TOCANTINS!$B$7:$BW$110*(Propagações_TOT_TOCANTINS!$B$6:$BW$6=$B73&amp;"A")*(Propagações_TOT_TOCANTINS!$A$7:$A$110&gt;=PREVS_SMAP!O$26)*(Propagações_TOT_TOCANTINS!$A$7:$A$110&lt;=PREVS_SMAP!O$27),0))/7)</f>
        <v>#N/A</v>
      </c>
      <c r="P73" s="132"/>
      <c r="R73">
        <v>46</v>
      </c>
      <c r="S73" s="40"/>
      <c r="T73" s="40"/>
      <c r="U73" s="131"/>
      <c r="V73" s="131"/>
      <c r="W73" s="131"/>
      <c r="X73" s="131"/>
      <c r="Y73" s="131"/>
      <c r="Z73" s="131"/>
      <c r="AA73" s="131"/>
      <c r="AB73" s="131"/>
      <c r="AD73" s="229">
        <f t="array" aca="1" ref="AD73" ca="1">SUM(IFERROR(ISNUMBER(Propagações_TOT_TOCANTINS!$B$7:$BW$110)*(Propagações_TOT_TOCANTINS!$B$6:$BW$6=$B73&amp;"A")*(Propagações_TOT_TOCANTINS!$A$7:$A$110&gt;=PREVS_SMAP!G$26)*(Propagações_TOT_TOCANTINS!$A$7:$A$110&lt;=PREVS_SMAP!G$27),0))</f>
        <v>0</v>
      </c>
      <c r="AE73" s="272">
        <f t="array" aca="1" ref="AE73" ca="1">SUM(IFERROR(ISNUMBER(Propagações_TOT_TOCANTINS!$B$7:$BW$110)*(Propagações_TOT_TOCANTINS!$B$6:$BW$6=$B73&amp;"A")*(Propagações_TOT_TOCANTINS!$A$7:$A$110&gt;=PREVS_SMAP!H$26)*(Propagações_TOT_TOCANTINS!$A$7:$A$110&lt;=PREVS_SMAP!H$27),0))</f>
        <v>0</v>
      </c>
      <c r="AF73" s="272">
        <f t="array" aca="1" ref="AF73" ca="1">SUM(IFERROR(ISNUMBER(Propagações_TOT_TOCANTINS!$B$7:$BW$110)*(Propagações_TOT_TOCANTINS!$B$6:$BW$6=$B73&amp;"A")*(Propagações_TOT_TOCANTINS!$A$7:$A$110&gt;=PREVS_SMAP!I$26)*(Propagações_TOT_TOCANTINS!$A$7:$A$110&lt;=PREVS_SMAP!I$27),0))</f>
        <v>0</v>
      </c>
      <c r="AG73" s="272">
        <f t="array" aca="1" ref="AG73" ca="1">SUM(IFERROR(ISNUMBER(Propagações_TOT_TOCANTINS!$B$7:$BW$110)*(Propagações_TOT_TOCANTINS!$B$6:$BW$6=$B73&amp;"A")*(Propagações_TOT_TOCANTINS!$A$7:$A$110&gt;=PREVS_SMAP!J$26)*(Propagações_TOT_TOCANTINS!$A$7:$A$110&lt;=PREVS_SMAP!J$27),0))</f>
        <v>0</v>
      </c>
      <c r="AH73" s="272">
        <f t="array" aca="1" ref="AH73" ca="1">SUM(IFERROR(ISNUMBER(Propagações_TOT_TOCANTINS!$B$7:$BW$110)*(Propagações_TOT_TOCANTINS!$B$6:$BW$6=$B73&amp;"A")*(Propagações_TOT_TOCANTINS!$A$7:$A$110&gt;=PREVS_SMAP!K$26)*(Propagações_TOT_TOCANTINS!$A$7:$A$110&lt;=PREVS_SMAP!K$27),0))</f>
        <v>0</v>
      </c>
      <c r="AI73" s="272">
        <f t="array" aca="1" ref="AI73" ca="1">SUM(IFERROR(ISNUMBER(Propagações_TOT_TOCANTINS!$B$7:$BW$110)*(Propagações_TOT_TOCANTINS!$B$6:$BW$6=$B73&amp;"A")*(Propagações_TOT_TOCANTINS!$A$7:$A$110&gt;=PREVS_SMAP!L$26)*(Propagações_TOT_TOCANTINS!$A$7:$A$110&lt;=PREVS_SMAP!L$27),0))</f>
        <v>0</v>
      </c>
      <c r="AJ73" s="272">
        <f t="array" aca="1" ref="AJ73" ca="1">SUM(IFERROR(ISNUMBER(Propagações_TOT_TOCANTINS!$B$7:$BW$110)*(Propagações_TOT_TOCANTINS!$B$6:$BW$6=$B73&amp;"A")*(Propagações_TOT_TOCANTINS!$A$7:$A$110&gt;=PREVS_SMAP!M$26)*(Propagações_TOT_TOCANTINS!$A$7:$A$110&lt;=PREVS_SMAP!M$27),0))</f>
        <v>0</v>
      </c>
      <c r="AK73" s="272">
        <f t="array" aca="1" ref="AK73" ca="1">SUM(IFERROR(ISNUMBER(Propagações_TOT_TOCANTINS!$B$7:$BW$110)*(Propagações_TOT_TOCANTINS!$B$6:$BW$6=$B73&amp;"A")*(Propagações_TOT_TOCANTINS!$A$7:$A$110&gt;=PREVS_SMAP!N$26)*(Propagações_TOT_TOCANTINS!$A$7:$A$110&lt;=PREVS_SMAP!N$27),0))</f>
        <v>0</v>
      </c>
      <c r="AL73" s="272">
        <f t="array" aca="1" ref="AL73" ca="1">SUM(IFERROR(ISNUMBER(Propagações_TOT_TOCANTINS!$B$7:$BW$110)*(Propagações_TOT_TOCANTINS!$B$6:$BW$6=$B73&amp;"A")*(Propagações_TOT_TOCANTINS!$A$7:$A$110&gt;=PREVS_SMAP!O$26)*(Propagações_TOT_TOCANTINS!$A$7:$A$110&lt;=PREVS_SMAP!O$27),0))</f>
        <v>0</v>
      </c>
      <c r="AN73" s="121"/>
      <c r="AO73" s="121" t="e">
        <f t="shared" si="9"/>
        <v>#DIV/0!</v>
      </c>
      <c r="AP73" s="121" t="b">
        <f t="shared" si="10"/>
        <v>0</v>
      </c>
      <c r="AU73" s="121"/>
      <c r="AV73" s="121"/>
      <c r="AW73" s="159"/>
      <c r="AX73" s="159"/>
      <c r="AY73" s="159"/>
      <c r="AZ73" s="157"/>
      <c r="BA73" s="157"/>
      <c r="BB73" s="121">
        <f t="shared" ca="1" si="11"/>
        <v>0</v>
      </c>
      <c r="BC73" s="272">
        <f t="shared" ca="1" si="13"/>
        <v>0</v>
      </c>
      <c r="BD73" s="272">
        <f t="shared" ca="1" si="13"/>
        <v>0</v>
      </c>
      <c r="BE73" s="272">
        <f t="shared" ca="1" si="13"/>
        <v>0</v>
      </c>
      <c r="BF73" s="272">
        <f t="shared" ca="1" si="13"/>
        <v>0</v>
      </c>
      <c r="BG73"/>
    </row>
    <row r="74" spans="1:59" x14ac:dyDescent="0.2">
      <c r="A74" s="272"/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P74" s="132"/>
      <c r="R74">
        <v>47</v>
      </c>
      <c r="S74" s="40">
        <f t="shared" ref="S74:S79" ca="1" si="24">AO74</f>
        <v>56</v>
      </c>
      <c r="T74" s="40" t="str">
        <f t="shared" ref="T74:AB79" ca="1" si="25">IFERROR(ROUND(INDEX(G$28:G$129,MATCH($R74,$A$28:$A$129,0)),0),"")</f>
        <v/>
      </c>
      <c r="U74" s="131" t="str">
        <f t="shared" ca="1" si="25"/>
        <v/>
      </c>
      <c r="V74" s="131" t="str">
        <f t="shared" ca="1" si="25"/>
        <v/>
      </c>
      <c r="W74" s="131" t="str">
        <f t="shared" ca="1" si="25"/>
        <v/>
      </c>
      <c r="X74" s="131" t="str">
        <f t="shared" ca="1" si="25"/>
        <v/>
      </c>
      <c r="Y74" s="131" t="str">
        <f t="shared" ca="1" si="25"/>
        <v/>
      </c>
      <c r="Z74" s="131" t="str">
        <f t="shared" ca="1" si="25"/>
        <v/>
      </c>
      <c r="AA74" s="131" t="str">
        <f t="shared" ca="1" si="25"/>
        <v/>
      </c>
      <c r="AB74" s="131" t="str">
        <f t="shared" ca="1" si="25"/>
        <v/>
      </c>
      <c r="AN74" s="121"/>
      <c r="AO74" s="121">
        <f t="shared" ca="1" si="9"/>
        <v>56</v>
      </c>
      <c r="AP74" s="121" t="b">
        <f t="shared" si="10"/>
        <v>1</v>
      </c>
      <c r="AQ74" s="272">
        <f ca="1">+AVERAGEIFS(TABELA_VAZAO[qnat],TABELA_VAZAO[Posto],$R74,TABELA_VAZAO[Data],AQ$27)</f>
        <v>112</v>
      </c>
      <c r="AR74" s="272">
        <f ca="1">+AVERAGEIFS(TABELA_VAZAO[qnat],TABELA_VAZAO[Posto],$R74,TABELA_VAZAO[Data],AR$27)</f>
        <v>107</v>
      </c>
      <c r="AS74" s="272">
        <f ca="1">+AVERAGEIFS(TABELA_VAZAO[qnat],TABELA_VAZAO[Posto],$R74,TABELA_VAZAO[Data],AS$27)</f>
        <v>101</v>
      </c>
      <c r="AT74" s="272">
        <f ca="1">+AVERAGEIFS(TABELA_VAZAO[qnat],TABELA_VAZAO[Posto],$R74,TABELA_VAZAO[Data],AT$27)</f>
        <v>97</v>
      </c>
      <c r="AU74" s="121">
        <f ca="1">+AVERAGEIFS(TABELA_VAZAO[qnat],TABELA_VAZAO[Posto],$R74,TABELA_VAZAO[Data],AU$27)</f>
        <v>106</v>
      </c>
      <c r="AV74" s="272">
        <f ca="1">IFERROR(AVERAGEIFS(TABELA_VAZAO[qnat],TABELA_VAZAO[Posto],$R74,TABELA_VAZAO[Data],AV$27),AU74+$BB74*EXP(AV$26))</f>
        <v>128</v>
      </c>
      <c r="AW74" s="159">
        <f ca="1">IFERROR(AVERAGEIFS(TABELA_VAZAO[qnat],TABELA_VAZAO[Posto],$R74,TABELA_VAZAO[Data],AW$27),AV74+$BB74*EXP(AW$26))</f>
        <v>161</v>
      </c>
      <c r="AX74" s="325">
        <f ca="1">IFERROR(AVERAGEIFS(TABELA_VAZAO[qnat],TABELA_VAZAO[Posto],$R74,TABELA_VAZAO[Data],AX$27),AW74+$BB74*EXP(AX$26))</f>
        <v>182.14285714285714</v>
      </c>
      <c r="AY74" s="325">
        <f ca="1">IFERROR(AVERAGEIFS(TABELA_VAZAO[qnat],TABELA_VAZAO[Posto],$R74,TABELA_VAZAO[Data],AY$27),AX74+$BB74*EXP(AY$26))</f>
        <v>196.31533811618209</v>
      </c>
      <c r="AZ74" s="326">
        <f ca="1">IFERROR(AVERAGEIFS(TABELA_VAZAO[qnat],TABELA_VAZAO[Posto],$R74,TABELA_VAZAO[Data],AZ$27),AY74+$BB74*EXP(AZ$26))</f>
        <v>205.81543621466048</v>
      </c>
      <c r="BA74" s="326">
        <f ca="1">IFERROR(AVERAGEIFS(TABELA_VAZAO[qnat],TABELA_VAZAO[Posto],$R74,TABELA_VAZAO[Data],BA$27),AZ74+$BB74*EXP(BA$26))</f>
        <v>212.1835424093756</v>
      </c>
      <c r="BB74" s="121">
        <f t="shared" ca="1" si="11"/>
        <v>21.142857142857142</v>
      </c>
      <c r="BC74" s="272">
        <f t="shared" ca="1" si="13"/>
        <v>-4</v>
      </c>
      <c r="BD74" s="272">
        <f t="shared" ca="1" si="13"/>
        <v>9</v>
      </c>
      <c r="BE74" s="272">
        <f t="shared" ca="1" si="13"/>
        <v>22</v>
      </c>
      <c r="BF74" s="272">
        <f t="shared" ca="1" si="13"/>
        <v>33</v>
      </c>
      <c r="BG74"/>
    </row>
    <row r="75" spans="1:59" x14ac:dyDescent="0.2">
      <c r="A75" s="289">
        <v>116</v>
      </c>
      <c r="B75" s="283" t="str">
        <f t="shared" ref="B75:B80" si="26">A75&amp;"_VN"</f>
        <v>116_VN</v>
      </c>
      <c r="C75" s="272" t="s">
        <v>215</v>
      </c>
      <c r="D75" s="132">
        <f t="array" aca="1" ref="D75" ca="1">SUM(IFERROR(Propagações_TOT_TIETE!$B$7:$BY$110*(Propagações_TOT_TIETE!$B$6:$BY$6=$B75&amp;"A")*(Propagações_TOT_TIETE!$A$7:$A$110&gt;=PREVS_SMAP!D$26)*(Propagações_TOT_TIETE!$A$7:$A$110&lt;=PREVS_SMAP!D$27),0))/7</f>
        <v>-0.18500000000000003</v>
      </c>
      <c r="E75" s="132">
        <f t="array" aca="1" ref="E75" ca="1">SUM(IFERROR(Propagações_TOT_TIETE!$B$7:$BY$110*(Propagações_TOT_TIETE!$B$6:$BY$6=$B75&amp;"A")*(Propagações_TOT_TIETE!$A$7:$A$110&gt;=PREVS_SMAP!E$26)*(Propagações_TOT_TIETE!$A$7:$A$110&lt;=PREVS_SMAP!E$27),0))/7</f>
        <v>2.7959999999999989</v>
      </c>
      <c r="F75" s="132">
        <f t="array" aca="1" ref="F75" ca="1">SUM(IFERROR(Propagações_TOT_TIETE!$B$7:$BY$110*(Propagações_TOT_TIETE!$B$6:$BY$6=$B75&amp;"A")*(Propagações_TOT_TIETE!$A$7:$A$110&gt;=PREVS_SMAP!F$26)*(Propagações_TOT_TIETE!$A$7:$A$110&lt;=PREVS_SMAP!F$27),0))/7</f>
        <v>1.844814285714286</v>
      </c>
      <c r="G75" s="132" t="e">
        <f t="array" aca="1" ref="G75" ca="1">IF(AD75&lt;7,NA(),SUM(IFERROR(Propagações_TOT_TIETE!$B$7:$BY$110*(Propagações_TOT_TIETE!$B$6:$BY$6=$B75&amp;"A")*(Propagações_TOT_TIETE!$A$7:$A$110&gt;=PREVS_SMAP!G$26)*(Propagações_TOT_TIETE!$A$7:$A$110&lt;=PREVS_SMAP!G$27),0))/7)</f>
        <v>#N/A</v>
      </c>
      <c r="H75" s="132" t="e">
        <f t="array" aca="1" ref="H75" ca="1">IF(AE75&lt;7,NA(),SUM(IFERROR(Propagações_TOT_TIETE!$B$7:$BY$110*(Propagações_TOT_TIETE!$B$6:$BY$6=$B75&amp;"A")*(Propagações_TOT_TIETE!$A$7:$A$110&gt;=PREVS_SMAP!H$26)*(Propagações_TOT_TIETE!$A$7:$A$110&lt;=PREVS_SMAP!H$27),0))/7)</f>
        <v>#N/A</v>
      </c>
      <c r="I75" s="132" t="e">
        <f t="array" aca="1" ref="I75" ca="1">IF(AF75&lt;7,NA(),SUM(IFERROR(Propagações_TOT_TIETE!$B$7:$BY$110*(Propagações_TOT_TIETE!$B$6:$BY$6=$B75&amp;"A")*(Propagações_TOT_TIETE!$A$7:$A$110&gt;=PREVS_SMAP!I$26)*(Propagações_TOT_TIETE!$A$7:$A$110&lt;=PREVS_SMAP!I$27),0))/7)</f>
        <v>#N/A</v>
      </c>
      <c r="J75" s="132" t="e">
        <f t="array" aca="1" ref="J75" ca="1">IF(AG75&lt;7,NA(),SUM(IFERROR(Propagações_TOT_TIETE!$B$7:$BY$110*(Propagações_TOT_TIETE!$B$6:$BY$6=$B75&amp;"A")*(Propagações_TOT_TIETE!$A$7:$A$110&gt;=PREVS_SMAP!J$26)*(Propagações_TOT_TIETE!$A$7:$A$110&lt;=PREVS_SMAP!J$27),0))/7)</f>
        <v>#N/A</v>
      </c>
      <c r="K75" s="132" t="e">
        <f t="array" aca="1" ref="K75" ca="1">IF(AH75&lt;7,NA(),SUM(IFERROR(Propagações_TOT_TIETE!$B$7:$BY$110*(Propagações_TOT_TIETE!$B$6:$BY$6=$B75&amp;"A")*(Propagações_TOT_TIETE!$A$7:$A$110&gt;=PREVS_SMAP!K$26)*(Propagações_TOT_TIETE!$A$7:$A$110&lt;=PREVS_SMAP!K$27),0))/7)</f>
        <v>#N/A</v>
      </c>
      <c r="L75" s="132" t="e">
        <f t="array" aca="1" ref="L75" ca="1">IF(AI75&lt;7,NA(),SUM(IFERROR(Propagações_TOT_TIETE!$B$7:$BY$110*(Propagações_TOT_TIETE!$B$6:$BY$6=$B75&amp;"A")*(Propagações_TOT_TIETE!$A$7:$A$110&gt;=PREVS_SMAP!L$26)*(Propagações_TOT_TIETE!$A$7:$A$110&lt;=PREVS_SMAP!L$27),0))/7)</f>
        <v>#N/A</v>
      </c>
      <c r="M75" s="132" t="e">
        <f t="array" aca="1" ref="M75" ca="1">IF(AJ75&lt;7,NA(),SUM(IFERROR(Propagações_TOT_TIETE!$B$7:$BY$110*(Propagações_TOT_TIETE!$B$6:$BY$6=$B75&amp;"A")*(Propagações_TOT_TIETE!$A$7:$A$110&gt;=PREVS_SMAP!M$26)*(Propagações_TOT_TIETE!$A$7:$A$110&lt;=PREVS_SMAP!M$27),0))/7)</f>
        <v>#N/A</v>
      </c>
      <c r="N75" s="132" t="e">
        <f t="array" aca="1" ref="N75" ca="1">IF(AK75&lt;7,NA(),SUM(IFERROR(Propagações_TOT_TIETE!$B$7:$BY$110*(Propagações_TOT_TIETE!$B$6:$BY$6=$B75&amp;"A")*(Propagações_TOT_TIETE!$A$7:$A$110&gt;=PREVS_SMAP!N$26)*(Propagações_TOT_TIETE!$A$7:$A$110&lt;=PREVS_SMAP!N$27),0))/7)</f>
        <v>#N/A</v>
      </c>
      <c r="O75" s="132" t="e">
        <f t="array" aca="1" ref="O75" ca="1">IF(AL75&lt;7,NA(),SUM(IFERROR(Propagações_TOT_TIETE!$B$7:$BY$110*(Propagações_TOT_TIETE!$B$6:$BY$6=$B75&amp;"A")*(Propagações_TOT_TIETE!$A$7:$A$110&gt;=PREVS_SMAP!O$26)*(Propagações_TOT_TIETE!$A$7:$A$110&lt;=PREVS_SMAP!O$27),0))/7)</f>
        <v>#N/A</v>
      </c>
      <c r="P75" s="132"/>
      <c r="R75">
        <v>48</v>
      </c>
      <c r="S75" s="40">
        <f t="shared" ca="1" si="24"/>
        <v>56</v>
      </c>
      <c r="T75" s="40" t="str">
        <f t="shared" ca="1" si="25"/>
        <v/>
      </c>
      <c r="U75" s="131" t="str">
        <f t="shared" ca="1" si="25"/>
        <v/>
      </c>
      <c r="V75" s="131" t="str">
        <f t="shared" ca="1" si="25"/>
        <v/>
      </c>
      <c r="W75" s="131" t="str">
        <f t="shared" ca="1" si="25"/>
        <v/>
      </c>
      <c r="X75" s="131" t="str">
        <f t="shared" ca="1" si="25"/>
        <v/>
      </c>
      <c r="Y75" s="131" t="str">
        <f t="shared" ca="1" si="25"/>
        <v/>
      </c>
      <c r="Z75" s="131" t="str">
        <f t="shared" ca="1" si="25"/>
        <v/>
      </c>
      <c r="AA75" s="131" t="str">
        <f t="shared" ca="1" si="25"/>
        <v/>
      </c>
      <c r="AB75" s="131" t="str">
        <f t="shared" ca="1" si="25"/>
        <v/>
      </c>
      <c r="AD75" s="272">
        <f t="array" aca="1" ref="AD75" ca="1">SUM(IFERROR(ISNUMBER(Propagações_TOT_TIETE!$B$7:$BY$110)*(Propagações_TOT_TIETE!$B$6:$BY$6=$B75&amp;"A")*(Propagações_TOT_TIETE!$A$7:$A$110&gt;=PREVS_SMAP!G$26)*(Propagações_TOT_TIETE!$A$7:$A$110&lt;=PREVS_SMAP!G$27),0))</f>
        <v>0</v>
      </c>
      <c r="AE75" s="272">
        <f t="array" aca="1" ref="AE75" ca="1">SUM(IFERROR(ISNUMBER(Propagações_TOT_TIETE!$B$7:$BY$110)*(Propagações_TOT_TIETE!$B$6:$BY$6=$B75&amp;"A")*(Propagações_TOT_TIETE!$A$7:$A$110&gt;=PREVS_SMAP!H$26)*(Propagações_TOT_TIETE!$A$7:$A$110&lt;=PREVS_SMAP!H$27),0))</f>
        <v>0</v>
      </c>
      <c r="AF75" s="272">
        <f t="array" aca="1" ref="AF75" ca="1">SUM(IFERROR(ISNUMBER(Propagações_TOT_TIETE!$B$7:$BY$110)*(Propagações_TOT_TIETE!$B$6:$BY$6=$B75&amp;"A")*(Propagações_TOT_TIETE!$A$7:$A$110&gt;=PREVS_SMAP!I$26)*(Propagações_TOT_TIETE!$A$7:$A$110&lt;=PREVS_SMAP!I$27),0))</f>
        <v>0</v>
      </c>
      <c r="AG75" s="272">
        <f t="array" aca="1" ref="AG75" ca="1">SUM(IFERROR(ISNUMBER(Propagações_TOT_TIETE!$B$7:$BY$110)*(Propagações_TOT_TIETE!$B$6:$BY$6=$B75&amp;"A")*(Propagações_TOT_TIETE!$A$7:$A$110&gt;=PREVS_SMAP!J$26)*(Propagações_TOT_TIETE!$A$7:$A$110&lt;=PREVS_SMAP!J$27),0))</f>
        <v>0</v>
      </c>
      <c r="AH75" s="272">
        <f t="array" aca="1" ref="AH75" ca="1">SUM(IFERROR(ISNUMBER(Propagações_TOT_TIETE!$B$7:$BY$110)*(Propagações_TOT_TIETE!$B$6:$BY$6=$B75&amp;"A")*(Propagações_TOT_TIETE!$A$7:$A$110&gt;=PREVS_SMAP!K$26)*(Propagações_TOT_TIETE!$A$7:$A$110&lt;=PREVS_SMAP!K$27),0))</f>
        <v>0</v>
      </c>
      <c r="AI75" s="272">
        <f t="array" aca="1" ref="AI75" ca="1">SUM(IFERROR(ISNUMBER(Propagações_TOT_TIETE!$B$7:$BY$110)*(Propagações_TOT_TIETE!$B$6:$BY$6=$B75&amp;"A")*(Propagações_TOT_TIETE!$A$7:$A$110&gt;=PREVS_SMAP!L$26)*(Propagações_TOT_TIETE!$A$7:$A$110&lt;=PREVS_SMAP!L$27),0))</f>
        <v>0</v>
      </c>
      <c r="AJ75" s="272">
        <f t="array" aca="1" ref="AJ75" ca="1">SUM(IFERROR(ISNUMBER(Propagações_TOT_TIETE!$B$7:$BY$110)*(Propagações_TOT_TIETE!$B$6:$BY$6=$B75&amp;"A")*(Propagações_TOT_TIETE!$A$7:$A$110&gt;=PREVS_SMAP!M$26)*(Propagações_TOT_TIETE!$A$7:$A$110&lt;=PREVS_SMAP!M$27),0))</f>
        <v>0</v>
      </c>
      <c r="AK75" s="272">
        <f t="array" aca="1" ref="AK75" ca="1">SUM(IFERROR(ISNUMBER(Propagações_TOT_TIETE!$B$7:$BY$110)*(Propagações_TOT_TIETE!$B$6:$BY$6=$B75&amp;"A")*(Propagações_TOT_TIETE!$A$7:$A$110&gt;=PREVS_SMAP!N$26)*(Propagações_TOT_TIETE!$A$7:$A$110&lt;=PREVS_SMAP!N$27),0))</f>
        <v>0</v>
      </c>
      <c r="AL75" s="272">
        <f t="array" aca="1" ref="AL75" ca="1">SUM(IFERROR(ISNUMBER(Propagações_TOT_TIETE!$B$7:$BY$110)*(Propagações_TOT_TIETE!$B$6:$BY$6=$B75&amp;"A")*(Propagações_TOT_TIETE!$A$7:$A$110&gt;=PREVS_SMAP!O$26)*(Propagações_TOT_TIETE!$A$7:$A$110&lt;=PREVS_SMAP!O$27),0))</f>
        <v>0</v>
      </c>
      <c r="AN75" s="121"/>
      <c r="AO75" s="121">
        <f t="shared" ca="1" si="9"/>
        <v>56</v>
      </c>
      <c r="AP75" s="121" t="b">
        <f t="shared" si="10"/>
        <v>1</v>
      </c>
      <c r="AQ75" s="272">
        <f ca="1">+AVERAGEIFS(TABELA_VAZAO[qnat],TABELA_VAZAO[Posto],$R75,TABELA_VAZAO[Data],AQ$27)</f>
        <v>117</v>
      </c>
      <c r="AR75" s="272">
        <f ca="1">+AVERAGEIFS(TABELA_VAZAO[qnat],TABELA_VAZAO[Posto],$R75,TABELA_VAZAO[Data],AR$27)</f>
        <v>110</v>
      </c>
      <c r="AS75" s="272">
        <f ca="1">+AVERAGEIFS(TABELA_VAZAO[qnat],TABELA_VAZAO[Posto],$R75,TABELA_VAZAO[Data],AS$27)</f>
        <v>105</v>
      </c>
      <c r="AT75" s="272">
        <f ca="1">+AVERAGEIFS(TABELA_VAZAO[qnat],TABELA_VAZAO[Posto],$R75,TABELA_VAZAO[Data],AT$27)</f>
        <v>101</v>
      </c>
      <c r="AU75" s="121">
        <f ca="1">+AVERAGEIFS(TABELA_VAZAO[qnat],TABELA_VAZAO[Posto],$R75,TABELA_VAZAO[Data],AU$27)</f>
        <v>108</v>
      </c>
      <c r="AV75" s="272">
        <f ca="1">IFERROR(AVERAGEIFS(TABELA_VAZAO[qnat],TABELA_VAZAO[Posto],$R75,TABELA_VAZAO[Data],AV$27),AU75+$BB75*EXP(AV$26))</f>
        <v>128</v>
      </c>
      <c r="AW75" s="159">
        <f ca="1">IFERROR(AVERAGEIFS(TABELA_VAZAO[qnat],TABELA_VAZAO[Posto],$R75,TABELA_VAZAO[Data],AW$27),AV75+$BB75*EXP(AW$26))</f>
        <v>157</v>
      </c>
      <c r="AX75" s="325">
        <f ca="1">IFERROR(AVERAGEIFS(TABELA_VAZAO[qnat],TABELA_VAZAO[Posto],$R75,TABELA_VAZAO[Data],AX$27),AW75+$BB75*EXP(AX$26))</f>
        <v>175.57142857142858</v>
      </c>
      <c r="AY75" s="325">
        <f ca="1">IFERROR(AVERAGEIFS(TABELA_VAZAO[qnat],TABELA_VAZAO[Posto],$R75,TABELA_VAZAO[Data],AY$27),AX75+$BB75*EXP(AY$26))</f>
        <v>188.02022942637618</v>
      </c>
      <c r="AZ75" s="326">
        <f ca="1">IFERROR(AVERAGEIFS(TABELA_VAZAO[qnat],TABELA_VAZAO[Posto],$R75,TABELA_VAZAO[Data],AZ$27),AY75+$BB75*EXP(AZ$26))</f>
        <v>196.36491018855315</v>
      </c>
      <c r="BA75" s="326">
        <f ca="1">IFERROR(AVERAGEIFS(TABELA_VAZAO[qnat],TABELA_VAZAO[Posto],$R75,TABELA_VAZAO[Data],BA$27),AZ75+$BB75*EXP(BA$26))</f>
        <v>201.95851698120833</v>
      </c>
      <c r="BB75" s="121">
        <f t="shared" ca="1" si="11"/>
        <v>18.571428571428573</v>
      </c>
      <c r="BC75" s="272">
        <f t="shared" ca="1" si="13"/>
        <v>-4</v>
      </c>
      <c r="BD75" s="272">
        <f t="shared" ca="1" si="13"/>
        <v>7</v>
      </c>
      <c r="BE75" s="272">
        <f t="shared" ca="1" si="13"/>
        <v>20</v>
      </c>
      <c r="BF75" s="272">
        <f t="shared" ca="1" si="13"/>
        <v>29</v>
      </c>
      <c r="BG75"/>
    </row>
    <row r="76" spans="1:59" x14ac:dyDescent="0.2">
      <c r="A76" s="294">
        <v>117</v>
      </c>
      <c r="B76" s="283" t="str">
        <f t="shared" si="26"/>
        <v>117_VN</v>
      </c>
      <c r="C76" s="272" t="s">
        <v>207</v>
      </c>
      <c r="D76" s="132">
        <f t="array" aca="1" ref="D76" ca="1">SUM(IFERROR(Propagações_TOT_TIETE!$B$7:$BY$110*(Propagações_TOT_TIETE!$B$6:$BY$6=$B76&amp;"A")*(Propagações_TOT_TIETE!$A$7:$A$110&gt;=PREVS_SMAP!D$26)*(Propagações_TOT_TIETE!$A$7:$A$110&lt;=PREVS_SMAP!D$27),0))/7</f>
        <v>0</v>
      </c>
      <c r="E76" s="132">
        <f t="array" aca="1" ref="E76" ca="1">SUM(IFERROR(Propagações_TOT_TIETE!$B$7:$BY$110*(Propagações_TOT_TIETE!$B$6:$BY$6=$B76&amp;"A")*(Propagações_TOT_TIETE!$A$7:$A$110&gt;=PREVS_SMAP!E$26)*(Propagações_TOT_TIETE!$A$7:$A$110&lt;=PREVS_SMAP!E$27),0))/7</f>
        <v>21.857142857142858</v>
      </c>
      <c r="F76" s="132">
        <f t="array" aca="1" ref="F76" ca="1">SUM(IFERROR(Propagações_TOT_TIETE!$B$7:$BY$110*(Propagações_TOT_TIETE!$B$6:$BY$6=$B76&amp;"A")*(Propagações_TOT_TIETE!$A$7:$A$110&gt;=PREVS_SMAP!F$26)*(Propagações_TOT_TIETE!$A$7:$A$110&lt;=PREVS_SMAP!F$27),0))/7</f>
        <v>15.714285714285714</v>
      </c>
      <c r="G76" s="132" t="e">
        <f t="array" aca="1" ref="G76" ca="1">IF(AD76&lt;7,NA(),SUM(IFERROR(Propagações_TOT_TIETE!$B$7:$BY$110*(Propagações_TOT_TIETE!$B$6:$BY$6=$B76&amp;"A")*(Propagações_TOT_TIETE!$A$7:$A$110&gt;=PREVS_SMAP!G$26)*(Propagações_TOT_TIETE!$A$7:$A$110&lt;=PREVS_SMAP!G$27),0))/7)</f>
        <v>#N/A</v>
      </c>
      <c r="H76" s="132" t="e">
        <f t="array" aca="1" ref="H76" ca="1">IF(AE76&lt;7,NA(),SUM(IFERROR(Propagações_TOT_TIETE!$B$7:$BY$110*(Propagações_TOT_TIETE!$B$6:$BY$6=$B76&amp;"A")*(Propagações_TOT_TIETE!$A$7:$A$110&gt;=PREVS_SMAP!H$26)*(Propagações_TOT_TIETE!$A$7:$A$110&lt;=PREVS_SMAP!H$27),0))/7)</f>
        <v>#N/A</v>
      </c>
      <c r="I76" s="132" t="e">
        <f t="array" aca="1" ref="I76" ca="1">IF(AF76&lt;7,NA(),SUM(IFERROR(Propagações_TOT_TIETE!$B$7:$BY$110*(Propagações_TOT_TIETE!$B$6:$BY$6=$B76&amp;"A")*(Propagações_TOT_TIETE!$A$7:$A$110&gt;=PREVS_SMAP!I$26)*(Propagações_TOT_TIETE!$A$7:$A$110&lt;=PREVS_SMAP!I$27),0))/7)</f>
        <v>#N/A</v>
      </c>
      <c r="J76" s="132" t="e">
        <f t="array" aca="1" ref="J76" ca="1">IF(AG76&lt;7,NA(),SUM(IFERROR(Propagações_TOT_TIETE!$B$7:$BY$110*(Propagações_TOT_TIETE!$B$6:$BY$6=$B76&amp;"A")*(Propagações_TOT_TIETE!$A$7:$A$110&gt;=PREVS_SMAP!J$26)*(Propagações_TOT_TIETE!$A$7:$A$110&lt;=PREVS_SMAP!J$27),0))/7)</f>
        <v>#N/A</v>
      </c>
      <c r="K76" s="132" t="e">
        <f t="array" aca="1" ref="K76" ca="1">IF(AH76&lt;7,NA(),SUM(IFERROR(Propagações_TOT_TIETE!$B$7:$BY$110*(Propagações_TOT_TIETE!$B$6:$BY$6=$B76&amp;"A")*(Propagações_TOT_TIETE!$A$7:$A$110&gt;=PREVS_SMAP!K$26)*(Propagações_TOT_TIETE!$A$7:$A$110&lt;=PREVS_SMAP!K$27),0))/7)</f>
        <v>#N/A</v>
      </c>
      <c r="L76" s="132" t="e">
        <f t="array" aca="1" ref="L76" ca="1">IF(AI76&lt;7,NA(),SUM(IFERROR(Propagações_TOT_TIETE!$B$7:$BY$110*(Propagações_TOT_TIETE!$B$6:$BY$6=$B76&amp;"A")*(Propagações_TOT_TIETE!$A$7:$A$110&gt;=PREVS_SMAP!L$26)*(Propagações_TOT_TIETE!$A$7:$A$110&lt;=PREVS_SMAP!L$27),0))/7)</f>
        <v>#N/A</v>
      </c>
      <c r="M76" s="132" t="e">
        <f t="array" aca="1" ref="M76" ca="1">IF(AJ76&lt;7,NA(),SUM(IFERROR(Propagações_TOT_TIETE!$B$7:$BY$110*(Propagações_TOT_TIETE!$B$6:$BY$6=$B76&amp;"A")*(Propagações_TOT_TIETE!$A$7:$A$110&gt;=PREVS_SMAP!M$26)*(Propagações_TOT_TIETE!$A$7:$A$110&lt;=PREVS_SMAP!M$27),0))/7)</f>
        <v>#N/A</v>
      </c>
      <c r="N76" s="132" t="e">
        <f t="array" aca="1" ref="N76" ca="1">IF(AK76&lt;7,NA(),SUM(IFERROR(Propagações_TOT_TIETE!$B$7:$BY$110*(Propagações_TOT_TIETE!$B$6:$BY$6=$B76&amp;"A")*(Propagações_TOT_TIETE!$A$7:$A$110&gt;=PREVS_SMAP!N$26)*(Propagações_TOT_TIETE!$A$7:$A$110&lt;=PREVS_SMAP!N$27),0))/7)</f>
        <v>#N/A</v>
      </c>
      <c r="O76" s="132" t="e">
        <f t="array" aca="1" ref="O76" ca="1">IF(AL76&lt;7,NA(),SUM(IFERROR(Propagações_TOT_TIETE!$B$7:$BY$110*(Propagações_TOT_TIETE!$B$6:$BY$6=$B76&amp;"A")*(Propagações_TOT_TIETE!$A$7:$A$110&gt;=PREVS_SMAP!O$26)*(Propagações_TOT_TIETE!$A$7:$A$110&lt;=PREVS_SMAP!O$27),0))/7)</f>
        <v>#N/A</v>
      </c>
      <c r="P76" s="132"/>
      <c r="R76">
        <v>49</v>
      </c>
      <c r="S76" s="40">
        <f t="shared" ca="1" si="24"/>
        <v>89</v>
      </c>
      <c r="T76" s="40" t="str">
        <f t="shared" ca="1" si="25"/>
        <v/>
      </c>
      <c r="U76" s="131" t="str">
        <f t="shared" ca="1" si="25"/>
        <v/>
      </c>
      <c r="V76" s="131" t="str">
        <f t="shared" ca="1" si="25"/>
        <v/>
      </c>
      <c r="W76" s="131" t="str">
        <f t="shared" ca="1" si="25"/>
        <v/>
      </c>
      <c r="X76" s="131" t="str">
        <f t="shared" ca="1" si="25"/>
        <v/>
      </c>
      <c r="Y76" s="131" t="str">
        <f t="shared" ca="1" si="25"/>
        <v/>
      </c>
      <c r="Z76" s="131" t="str">
        <f t="shared" ca="1" si="25"/>
        <v/>
      </c>
      <c r="AA76" s="131" t="str">
        <f t="shared" ca="1" si="25"/>
        <v/>
      </c>
      <c r="AB76" s="131" t="str">
        <f t="shared" ca="1" si="25"/>
        <v/>
      </c>
      <c r="AD76" s="272">
        <f t="array" aca="1" ref="AD76" ca="1">SUM(IFERROR(ISNUMBER(Propagações_TOT_TIETE!$B$7:$BY$110)*(Propagações_TOT_TIETE!$B$6:$BY$6=$B76&amp;"A")*(Propagações_TOT_TIETE!$A$7:$A$110&gt;=PREVS_SMAP!G$26)*(Propagações_TOT_TIETE!$A$7:$A$110&lt;=PREVS_SMAP!G$27),0))</f>
        <v>0</v>
      </c>
      <c r="AE76" s="272">
        <f t="array" aca="1" ref="AE76" ca="1">SUM(IFERROR(ISNUMBER(Propagações_TOT_TIETE!$B$7:$BY$110)*(Propagações_TOT_TIETE!$B$6:$BY$6=$B76&amp;"A")*(Propagações_TOT_TIETE!$A$7:$A$110&gt;=PREVS_SMAP!H$26)*(Propagações_TOT_TIETE!$A$7:$A$110&lt;=PREVS_SMAP!H$27),0))</f>
        <v>0</v>
      </c>
      <c r="AF76" s="272">
        <f t="array" aca="1" ref="AF76" ca="1">SUM(IFERROR(ISNUMBER(Propagações_TOT_TIETE!$B$7:$BY$110)*(Propagações_TOT_TIETE!$B$6:$BY$6=$B76&amp;"A")*(Propagações_TOT_TIETE!$A$7:$A$110&gt;=PREVS_SMAP!I$26)*(Propagações_TOT_TIETE!$A$7:$A$110&lt;=PREVS_SMAP!I$27),0))</f>
        <v>0</v>
      </c>
      <c r="AG76" s="272">
        <f t="array" aca="1" ref="AG76" ca="1">SUM(IFERROR(ISNUMBER(Propagações_TOT_TIETE!$B$7:$BY$110)*(Propagações_TOT_TIETE!$B$6:$BY$6=$B76&amp;"A")*(Propagações_TOT_TIETE!$A$7:$A$110&gt;=PREVS_SMAP!J$26)*(Propagações_TOT_TIETE!$A$7:$A$110&lt;=PREVS_SMAP!J$27),0))</f>
        <v>0</v>
      </c>
      <c r="AH76" s="272">
        <f t="array" aca="1" ref="AH76" ca="1">SUM(IFERROR(ISNUMBER(Propagações_TOT_TIETE!$B$7:$BY$110)*(Propagações_TOT_TIETE!$B$6:$BY$6=$B76&amp;"A")*(Propagações_TOT_TIETE!$A$7:$A$110&gt;=PREVS_SMAP!K$26)*(Propagações_TOT_TIETE!$A$7:$A$110&lt;=PREVS_SMAP!K$27),0))</f>
        <v>0</v>
      </c>
      <c r="AI76" s="272">
        <f t="array" aca="1" ref="AI76" ca="1">SUM(IFERROR(ISNUMBER(Propagações_TOT_TIETE!$B$7:$BY$110)*(Propagações_TOT_TIETE!$B$6:$BY$6=$B76&amp;"A")*(Propagações_TOT_TIETE!$A$7:$A$110&gt;=PREVS_SMAP!L$26)*(Propagações_TOT_TIETE!$A$7:$A$110&lt;=PREVS_SMAP!L$27),0))</f>
        <v>0</v>
      </c>
      <c r="AJ76" s="272">
        <f t="array" aca="1" ref="AJ76" ca="1">SUM(IFERROR(ISNUMBER(Propagações_TOT_TIETE!$B$7:$BY$110)*(Propagações_TOT_TIETE!$B$6:$BY$6=$B76&amp;"A")*(Propagações_TOT_TIETE!$A$7:$A$110&gt;=PREVS_SMAP!M$26)*(Propagações_TOT_TIETE!$A$7:$A$110&lt;=PREVS_SMAP!M$27),0))</f>
        <v>0</v>
      </c>
      <c r="AK76" s="272">
        <f t="array" aca="1" ref="AK76" ca="1">SUM(IFERROR(ISNUMBER(Propagações_TOT_TIETE!$B$7:$BY$110)*(Propagações_TOT_TIETE!$B$6:$BY$6=$B76&amp;"A")*(Propagações_TOT_TIETE!$A$7:$A$110&gt;=PREVS_SMAP!N$26)*(Propagações_TOT_TIETE!$A$7:$A$110&lt;=PREVS_SMAP!N$27),0))</f>
        <v>0</v>
      </c>
      <c r="AL76" s="272">
        <f t="array" aca="1" ref="AL76" ca="1">SUM(IFERROR(ISNUMBER(Propagações_TOT_TIETE!$B$7:$BY$110)*(Propagações_TOT_TIETE!$B$6:$BY$6=$B76&amp;"A")*(Propagações_TOT_TIETE!$A$7:$A$110&gt;=PREVS_SMAP!O$26)*(Propagações_TOT_TIETE!$A$7:$A$110&lt;=PREVS_SMAP!O$27),0))</f>
        <v>0</v>
      </c>
      <c r="AN76" s="121"/>
      <c r="AO76" s="121">
        <f t="shared" ca="1" si="9"/>
        <v>89</v>
      </c>
      <c r="AP76" s="121" t="b">
        <f t="shared" si="10"/>
        <v>1</v>
      </c>
      <c r="AQ76" s="272">
        <f ca="1">+AVERAGEIFS(TABELA_VAZAO[qnat],TABELA_VAZAO[Posto],$R76,TABELA_VAZAO[Data],AQ$27)</f>
        <v>181</v>
      </c>
      <c r="AR76" s="272">
        <f ca="1">+AVERAGEIFS(TABELA_VAZAO[qnat],TABELA_VAZAO[Posto],$R76,TABELA_VAZAO[Data],AR$27)</f>
        <v>169</v>
      </c>
      <c r="AS76" s="272">
        <f ca="1">+AVERAGEIFS(TABELA_VAZAO[qnat],TABELA_VAZAO[Posto],$R76,TABELA_VAZAO[Data],AS$27)</f>
        <v>162</v>
      </c>
      <c r="AT76" s="272">
        <f ca="1">+AVERAGEIFS(TABELA_VAZAO[qnat],TABELA_VAZAO[Posto],$R76,TABELA_VAZAO[Data],AT$27)</f>
        <v>163</v>
      </c>
      <c r="AU76" s="121">
        <f ca="1">+AVERAGEIFS(TABELA_VAZAO[qnat],TABELA_VAZAO[Posto],$R76,TABELA_VAZAO[Data],AU$27)</f>
        <v>196</v>
      </c>
      <c r="AV76" s="272">
        <f ca="1">IFERROR(AVERAGEIFS(TABELA_VAZAO[qnat],TABELA_VAZAO[Posto],$R76,TABELA_VAZAO[Data],AV$27),AU76+$BB76*EXP(AV$26))</f>
        <v>211</v>
      </c>
      <c r="AW76" s="159">
        <f ca="1">IFERROR(AVERAGEIFS(TABELA_VAZAO[qnat],TABELA_VAZAO[Posto],$R76,TABELA_VAZAO[Data],AW$27),AV76+$BB76*EXP(AW$26))</f>
        <v>215</v>
      </c>
      <c r="AX76" s="325">
        <f ca="1">IFERROR(AVERAGEIFS(TABELA_VAZAO[qnat],TABELA_VAZAO[Posto],$R76,TABELA_VAZAO[Data],AX$27),AW76+$BB76*EXP(AX$26))</f>
        <v>225.85714285714286</v>
      </c>
      <c r="AY76" s="325">
        <f ca="1">IFERROR(AVERAGEIFS(TABELA_VAZAO[qnat],TABELA_VAZAO[Posto],$R76,TABELA_VAZAO[Data],AY$27),AX76+$BB76*EXP(AY$26))</f>
        <v>233.13490335695838</v>
      </c>
      <c r="AZ76" s="326">
        <f ca="1">IFERROR(AVERAGEIFS(TABELA_VAZAO[qnat],TABELA_VAZAO[Posto],$R76,TABELA_VAZAO[Data],AZ$27),AY76+$BB76*EXP(AZ$26))</f>
        <v>238.01333211023106</v>
      </c>
      <c r="BA76" s="326">
        <f ca="1">IFERROR(AVERAGEIFS(TABELA_VAZAO[qnat],TABELA_VAZAO[Posto],$R76,TABELA_VAZAO[Data],BA$27),AZ76+$BB76*EXP(BA$26))</f>
        <v>241.28344069670641</v>
      </c>
      <c r="BB76" s="121">
        <f t="shared" ca="1" si="11"/>
        <v>10.857142857142858</v>
      </c>
      <c r="BC76" s="272">
        <f t="shared" ca="1" si="13"/>
        <v>1</v>
      </c>
      <c r="BD76" s="272">
        <f t="shared" ca="1" si="13"/>
        <v>33</v>
      </c>
      <c r="BE76" s="272">
        <f t="shared" ca="1" si="13"/>
        <v>15</v>
      </c>
      <c r="BF76" s="272">
        <f t="shared" ca="1" si="13"/>
        <v>4</v>
      </c>
      <c r="BG76"/>
    </row>
    <row r="77" spans="1:59" x14ac:dyDescent="0.2">
      <c r="A77" s="272">
        <v>118</v>
      </c>
      <c r="B77" s="283" t="str">
        <f t="shared" si="26"/>
        <v>118_VN</v>
      </c>
      <c r="C77" s="272" t="s">
        <v>214</v>
      </c>
      <c r="D77" s="132">
        <f t="array" aca="1" ref="D77" ca="1">SUM(IFERROR(Propagações_TOT_TIETE!$B$7:$BY$110*(Propagações_TOT_TIETE!$B$6:$BY$6=$B77&amp;"A")*(Propagações_TOT_TIETE!$A$7:$A$110&gt;=PREVS_SMAP!D$26)*(Propagações_TOT_TIETE!$A$7:$A$110&lt;=PREVS_SMAP!D$27),0))/7</f>
        <v>0.18500000000000003</v>
      </c>
      <c r="E77" s="132">
        <f t="array" aca="1" ref="E77" ca="1">SUM(IFERROR(Propagações_TOT_TIETE!$B$7:$BY$110*(Propagações_TOT_TIETE!$B$6:$BY$6=$B77&amp;"A")*(Propagações_TOT_TIETE!$A$7:$A$110&gt;=PREVS_SMAP!E$26)*(Propagações_TOT_TIETE!$A$7:$A$110&lt;=PREVS_SMAP!E$27),0))/7</f>
        <v>12.918285714285716</v>
      </c>
      <c r="F77" s="132">
        <f t="array" aca="1" ref="F77" ca="1">SUM(IFERROR(Propagações_TOT_TIETE!$B$7:$BY$110*(Propagações_TOT_TIETE!$B$6:$BY$6=$B77&amp;"A")*(Propagações_TOT_TIETE!$A$7:$A$110&gt;=PREVS_SMAP!F$26)*(Propagações_TOT_TIETE!$A$7:$A$110&lt;=PREVS_SMAP!F$27),0))/7</f>
        <v>8.2980428571428568</v>
      </c>
      <c r="G77" s="132" t="e">
        <f t="array" aca="1" ref="G77" ca="1">IF(AD77&lt;7,NA(),SUM(IFERROR(Propagações_TOT_TIETE!$B$7:$BY$110*(Propagações_TOT_TIETE!$B$6:$BY$6=$B77&amp;"A")*(Propagações_TOT_TIETE!$A$7:$A$110&gt;=PREVS_SMAP!G$26)*(Propagações_TOT_TIETE!$A$7:$A$110&lt;=PREVS_SMAP!G$27),0))/7)</f>
        <v>#N/A</v>
      </c>
      <c r="H77" s="132" t="e">
        <f t="array" aca="1" ref="H77" ca="1">IF(AE77&lt;7,NA(),SUM(IFERROR(Propagações_TOT_TIETE!$B$7:$BY$110*(Propagações_TOT_TIETE!$B$6:$BY$6=$B77&amp;"A")*(Propagações_TOT_TIETE!$A$7:$A$110&gt;=PREVS_SMAP!H$26)*(Propagações_TOT_TIETE!$A$7:$A$110&lt;=PREVS_SMAP!H$27),0))/7)</f>
        <v>#N/A</v>
      </c>
      <c r="I77" s="132" t="e">
        <f t="array" aca="1" ref="I77" ca="1">IF(AF77&lt;7,NA(),SUM(IFERROR(Propagações_TOT_TIETE!$B$7:$BY$110*(Propagações_TOT_TIETE!$B$6:$BY$6=$B77&amp;"A")*(Propagações_TOT_TIETE!$A$7:$A$110&gt;=PREVS_SMAP!I$26)*(Propagações_TOT_TIETE!$A$7:$A$110&lt;=PREVS_SMAP!I$27),0))/7)</f>
        <v>#N/A</v>
      </c>
      <c r="J77" s="132" t="e">
        <f t="array" aca="1" ref="J77" ca="1">IF(AG77&lt;7,NA(),SUM(IFERROR(Propagações_TOT_TIETE!$B$7:$BY$110*(Propagações_TOT_TIETE!$B$6:$BY$6=$B77&amp;"A")*(Propagações_TOT_TIETE!$A$7:$A$110&gt;=PREVS_SMAP!J$26)*(Propagações_TOT_TIETE!$A$7:$A$110&lt;=PREVS_SMAP!J$27),0))/7)</f>
        <v>#N/A</v>
      </c>
      <c r="K77" s="132" t="e">
        <f t="array" aca="1" ref="K77" ca="1">IF(AH77&lt;7,NA(),SUM(IFERROR(Propagações_TOT_TIETE!$B$7:$BY$110*(Propagações_TOT_TIETE!$B$6:$BY$6=$B77&amp;"A")*(Propagações_TOT_TIETE!$A$7:$A$110&gt;=PREVS_SMAP!K$26)*(Propagações_TOT_TIETE!$A$7:$A$110&lt;=PREVS_SMAP!K$27),0))/7)</f>
        <v>#N/A</v>
      </c>
      <c r="L77" s="132" t="e">
        <f t="array" aca="1" ref="L77" ca="1">IF(AI77&lt;7,NA(),SUM(IFERROR(Propagações_TOT_TIETE!$B$7:$BY$110*(Propagações_TOT_TIETE!$B$6:$BY$6=$B77&amp;"A")*(Propagações_TOT_TIETE!$A$7:$A$110&gt;=PREVS_SMAP!L$26)*(Propagações_TOT_TIETE!$A$7:$A$110&lt;=PREVS_SMAP!L$27),0))/7)</f>
        <v>#N/A</v>
      </c>
      <c r="M77" s="132" t="e">
        <f t="array" aca="1" ref="M77" ca="1">IF(AJ77&lt;7,NA(),SUM(IFERROR(Propagações_TOT_TIETE!$B$7:$BY$110*(Propagações_TOT_TIETE!$B$6:$BY$6=$B77&amp;"A")*(Propagações_TOT_TIETE!$A$7:$A$110&gt;=PREVS_SMAP!M$26)*(Propagações_TOT_TIETE!$A$7:$A$110&lt;=PREVS_SMAP!M$27),0))/7)</f>
        <v>#N/A</v>
      </c>
      <c r="N77" s="132" t="e">
        <f t="array" aca="1" ref="N77" ca="1">IF(AK77&lt;7,NA(),SUM(IFERROR(Propagações_TOT_TIETE!$B$7:$BY$110*(Propagações_TOT_TIETE!$B$6:$BY$6=$B77&amp;"A")*(Propagações_TOT_TIETE!$A$7:$A$110&gt;=PREVS_SMAP!N$26)*(Propagações_TOT_TIETE!$A$7:$A$110&lt;=PREVS_SMAP!N$27),0))/7)</f>
        <v>#N/A</v>
      </c>
      <c r="O77" s="132" t="e">
        <f t="array" aca="1" ref="O77" ca="1">IF(AL77&lt;7,NA(),SUM(IFERROR(Propagações_TOT_TIETE!$B$7:$BY$110*(Propagações_TOT_TIETE!$B$6:$BY$6=$B77&amp;"A")*(Propagações_TOT_TIETE!$A$7:$A$110&gt;=PREVS_SMAP!O$26)*(Propagações_TOT_TIETE!$A$7:$A$110&lt;=PREVS_SMAP!O$27),0))/7)</f>
        <v>#N/A</v>
      </c>
      <c r="P77" s="132"/>
      <c r="R77">
        <v>50</v>
      </c>
      <c r="S77" s="40">
        <f t="shared" ca="1" si="24"/>
        <v>116</v>
      </c>
      <c r="T77" s="40" t="str">
        <f t="shared" ca="1" si="25"/>
        <v/>
      </c>
      <c r="U77" s="131" t="str">
        <f t="shared" ca="1" si="25"/>
        <v/>
      </c>
      <c r="V77" s="131" t="str">
        <f t="shared" ca="1" si="25"/>
        <v/>
      </c>
      <c r="W77" s="131" t="str">
        <f t="shared" ca="1" si="25"/>
        <v/>
      </c>
      <c r="X77" s="131" t="str">
        <f t="shared" ca="1" si="25"/>
        <v/>
      </c>
      <c r="Y77" s="131" t="str">
        <f t="shared" ca="1" si="25"/>
        <v/>
      </c>
      <c r="Z77" s="131" t="str">
        <f t="shared" ca="1" si="25"/>
        <v/>
      </c>
      <c r="AA77" s="131" t="str">
        <f t="shared" ca="1" si="25"/>
        <v/>
      </c>
      <c r="AB77" s="131" t="str">
        <f t="shared" ca="1" si="25"/>
        <v/>
      </c>
      <c r="AD77" s="272">
        <f t="array" aca="1" ref="AD77" ca="1">SUM(IFERROR(ISNUMBER(Propagações_TOT_TIETE!$B$7:$BY$110)*(Propagações_TOT_TIETE!$B$6:$BY$6=$B77&amp;"A")*(Propagações_TOT_TIETE!$A$7:$A$110&gt;=PREVS_SMAP!G$26)*(Propagações_TOT_TIETE!$A$7:$A$110&lt;=PREVS_SMAP!G$27),0))</f>
        <v>0</v>
      </c>
      <c r="AE77" s="272">
        <f t="array" aca="1" ref="AE77" ca="1">SUM(IFERROR(ISNUMBER(Propagações_TOT_TIETE!$B$7:$BY$110)*(Propagações_TOT_TIETE!$B$6:$BY$6=$B77&amp;"A")*(Propagações_TOT_TIETE!$A$7:$A$110&gt;=PREVS_SMAP!H$26)*(Propagações_TOT_TIETE!$A$7:$A$110&lt;=PREVS_SMAP!H$27),0))</f>
        <v>0</v>
      </c>
      <c r="AF77" s="272">
        <f t="array" aca="1" ref="AF77" ca="1">SUM(IFERROR(ISNUMBER(Propagações_TOT_TIETE!$B$7:$BY$110)*(Propagações_TOT_TIETE!$B$6:$BY$6=$B77&amp;"A")*(Propagações_TOT_TIETE!$A$7:$A$110&gt;=PREVS_SMAP!I$26)*(Propagações_TOT_TIETE!$A$7:$A$110&lt;=PREVS_SMAP!I$27),0))</f>
        <v>0</v>
      </c>
      <c r="AG77" s="272">
        <f t="array" aca="1" ref="AG77" ca="1">SUM(IFERROR(ISNUMBER(Propagações_TOT_TIETE!$B$7:$BY$110)*(Propagações_TOT_TIETE!$B$6:$BY$6=$B77&amp;"A")*(Propagações_TOT_TIETE!$A$7:$A$110&gt;=PREVS_SMAP!J$26)*(Propagações_TOT_TIETE!$A$7:$A$110&lt;=PREVS_SMAP!J$27),0))</f>
        <v>0</v>
      </c>
      <c r="AH77" s="272">
        <f t="array" aca="1" ref="AH77" ca="1">SUM(IFERROR(ISNUMBER(Propagações_TOT_TIETE!$B$7:$BY$110)*(Propagações_TOT_TIETE!$B$6:$BY$6=$B77&amp;"A")*(Propagações_TOT_TIETE!$A$7:$A$110&gt;=PREVS_SMAP!K$26)*(Propagações_TOT_TIETE!$A$7:$A$110&lt;=PREVS_SMAP!K$27),0))</f>
        <v>0</v>
      </c>
      <c r="AI77" s="272">
        <f t="array" aca="1" ref="AI77" ca="1">SUM(IFERROR(ISNUMBER(Propagações_TOT_TIETE!$B$7:$BY$110)*(Propagações_TOT_TIETE!$B$6:$BY$6=$B77&amp;"A")*(Propagações_TOT_TIETE!$A$7:$A$110&gt;=PREVS_SMAP!L$26)*(Propagações_TOT_TIETE!$A$7:$A$110&lt;=PREVS_SMAP!L$27),0))</f>
        <v>0</v>
      </c>
      <c r="AJ77" s="272">
        <f t="array" aca="1" ref="AJ77" ca="1">SUM(IFERROR(ISNUMBER(Propagações_TOT_TIETE!$B$7:$BY$110)*(Propagações_TOT_TIETE!$B$6:$BY$6=$B77&amp;"A")*(Propagações_TOT_TIETE!$A$7:$A$110&gt;=PREVS_SMAP!M$26)*(Propagações_TOT_TIETE!$A$7:$A$110&lt;=PREVS_SMAP!M$27),0))</f>
        <v>0</v>
      </c>
      <c r="AK77" s="272">
        <f t="array" aca="1" ref="AK77" ca="1">SUM(IFERROR(ISNUMBER(Propagações_TOT_TIETE!$B$7:$BY$110)*(Propagações_TOT_TIETE!$B$6:$BY$6=$B77&amp;"A")*(Propagações_TOT_TIETE!$A$7:$A$110&gt;=PREVS_SMAP!N$26)*(Propagações_TOT_TIETE!$A$7:$A$110&lt;=PREVS_SMAP!N$27),0))</f>
        <v>0</v>
      </c>
      <c r="AL77" s="272">
        <f t="array" aca="1" ref="AL77" ca="1">SUM(IFERROR(ISNUMBER(Propagações_TOT_TIETE!$B$7:$BY$110)*(Propagações_TOT_TIETE!$B$6:$BY$6=$B77&amp;"A")*(Propagações_TOT_TIETE!$A$7:$A$110&gt;=PREVS_SMAP!O$26)*(Propagações_TOT_TIETE!$A$7:$A$110&lt;=PREVS_SMAP!O$27),0))</f>
        <v>0</v>
      </c>
      <c r="AN77" s="121"/>
      <c r="AO77" s="121">
        <f t="shared" ca="1" si="9"/>
        <v>116</v>
      </c>
      <c r="AP77" s="121" t="b">
        <f t="shared" si="10"/>
        <v>1</v>
      </c>
      <c r="AQ77" s="272">
        <f ca="1">+AVERAGEIFS(TABELA_VAZAO[qnat],TABELA_VAZAO[Posto],$R77,TABELA_VAZAO[Data],AQ$27)</f>
        <v>237</v>
      </c>
      <c r="AR77" s="272">
        <f ca="1">+AVERAGEIFS(TABELA_VAZAO[qnat],TABELA_VAZAO[Posto],$R77,TABELA_VAZAO[Data],AR$27)</f>
        <v>221</v>
      </c>
      <c r="AS77" s="272">
        <f ca="1">+AVERAGEIFS(TABELA_VAZAO[qnat],TABELA_VAZAO[Posto],$R77,TABELA_VAZAO[Data],AS$27)</f>
        <v>211</v>
      </c>
      <c r="AT77" s="272">
        <f ca="1">+AVERAGEIFS(TABELA_VAZAO[qnat],TABELA_VAZAO[Posto],$R77,TABELA_VAZAO[Data],AT$27)</f>
        <v>214</v>
      </c>
      <c r="AU77" s="121">
        <f ca="1">+AVERAGEIFS(TABELA_VAZAO[qnat],TABELA_VAZAO[Posto],$R77,TABELA_VAZAO[Data],AU$27)</f>
        <v>248</v>
      </c>
      <c r="AV77" s="272">
        <f ca="1">IFERROR(AVERAGEIFS(TABELA_VAZAO[qnat],TABELA_VAZAO[Posto],$R77,TABELA_VAZAO[Data],AV$27),AU77+$BB77*EXP(AV$26))</f>
        <v>274</v>
      </c>
      <c r="AW77" s="159">
        <f ca="1">IFERROR(AVERAGEIFS(TABELA_VAZAO[qnat],TABELA_VAZAO[Posto],$R77,TABELA_VAZAO[Data],AW$27),AV77+$BB77*EXP(AW$26))</f>
        <v>288</v>
      </c>
      <c r="AX77" s="325">
        <f ca="1">IFERROR(AVERAGEIFS(TABELA_VAZAO[qnat],TABELA_VAZAO[Posto],$R77,TABELA_VAZAO[Data],AX$27),AW77+$BB77*EXP(AX$26))</f>
        <v>306.71428571428572</v>
      </c>
      <c r="AY77" s="325">
        <f ca="1">IFERROR(AVERAGEIFS(TABELA_VAZAO[qnat],TABELA_VAZAO[Posto],$R77,TABELA_VAZAO[Data],AY$27),AX77+$BB77*EXP(AY$26))</f>
        <v>319.25884657580986</v>
      </c>
      <c r="AZ77" s="326">
        <f ca="1">IFERROR(AVERAGEIFS(TABELA_VAZAO[qnat],TABELA_VAZAO[Posto],$R77,TABELA_VAZAO[Data],AZ$27),AY77+$BB77*EXP(AZ$26))</f>
        <v>327.6677171900036</v>
      </c>
      <c r="BA77" s="326">
        <f ca="1">IFERROR(AVERAGEIFS(TABELA_VAZAO[qnat],TABELA_VAZAO[Posto],$R77,TABELA_VAZAO[Data],BA$27),AZ77+$BB77*EXP(BA$26))</f>
        <v>333.30435172721769</v>
      </c>
      <c r="BB77" s="121">
        <f t="shared" ca="1" si="11"/>
        <v>18.714285714285715</v>
      </c>
      <c r="BC77" s="272">
        <f t="shared" ca="1" si="13"/>
        <v>3</v>
      </c>
      <c r="BD77" s="272">
        <f t="shared" ca="1" si="13"/>
        <v>34</v>
      </c>
      <c r="BE77" s="272">
        <f t="shared" ca="1" si="13"/>
        <v>26</v>
      </c>
      <c r="BF77" s="272">
        <f t="shared" ca="1" si="13"/>
        <v>14</v>
      </c>
      <c r="BG77"/>
    </row>
    <row r="78" spans="1:59" x14ac:dyDescent="0.2">
      <c r="A78" s="294">
        <v>119</v>
      </c>
      <c r="B78" s="283" t="str">
        <f t="shared" si="26"/>
        <v>119_VN</v>
      </c>
      <c r="C78" s="272" t="s">
        <v>211</v>
      </c>
      <c r="D78" s="132">
        <f t="array" aca="1" ref="D78" ca="1">SUM(IFERROR(Propagações_TOT_TIETE!$B$7:$BY$110*(Propagações_TOT_TIETE!$B$6:$BY$6=$B78&amp;"A")*(Propagações_TOT_TIETE!$A$7:$A$110&gt;=PREVS_SMAP!D$26)*(Propagações_TOT_TIETE!$A$7:$A$110&lt;=PREVS_SMAP!D$27),0))/7</f>
        <v>0</v>
      </c>
      <c r="E78" s="132">
        <f t="array" aca="1" ref="E78" ca="1">SUM(IFERROR(Propagações_TOT_TIETE!$B$7:$BY$110*(Propagações_TOT_TIETE!$B$6:$BY$6=$B78&amp;"A")*(Propagações_TOT_TIETE!$A$7:$A$110&gt;=PREVS_SMAP!E$26)*(Propagações_TOT_TIETE!$A$7:$A$110&lt;=PREVS_SMAP!E$27),0))/7</f>
        <v>15.714285714285714</v>
      </c>
      <c r="F78" s="132">
        <f t="array" aca="1" ref="F78" ca="1">SUM(IFERROR(Propagações_TOT_TIETE!$B$7:$BY$110*(Propagações_TOT_TIETE!$B$6:$BY$6=$B78&amp;"A")*(Propagações_TOT_TIETE!$A$7:$A$110&gt;=PREVS_SMAP!F$26)*(Propagações_TOT_TIETE!$A$7:$A$110&lt;=PREVS_SMAP!F$27),0))/7</f>
        <v>10.142857142857142</v>
      </c>
      <c r="G78" s="132" t="e">
        <f t="array" aca="1" ref="G78" ca="1">IF(AD78&lt;7,NA(),SUM(IFERROR(Propagações_TOT_TIETE!$B$7:$BY$110*(Propagações_TOT_TIETE!$B$6:$BY$6=$B78&amp;"A")*(Propagações_TOT_TIETE!$A$7:$A$110&gt;=PREVS_SMAP!G$26)*(Propagações_TOT_TIETE!$A$7:$A$110&lt;=PREVS_SMAP!G$27),0))/7)</f>
        <v>#N/A</v>
      </c>
      <c r="H78" s="132" t="e">
        <f t="array" aca="1" ref="H78" ca="1">IF(AE78&lt;7,NA(),SUM(IFERROR(Propagações_TOT_TIETE!$B$7:$BY$110*(Propagações_TOT_TIETE!$B$6:$BY$6=$B78&amp;"A")*(Propagações_TOT_TIETE!$A$7:$A$110&gt;=PREVS_SMAP!H$26)*(Propagações_TOT_TIETE!$A$7:$A$110&lt;=PREVS_SMAP!H$27),0))/7)</f>
        <v>#N/A</v>
      </c>
      <c r="I78" s="132" t="e">
        <f t="array" aca="1" ref="I78" ca="1">IF(AF78&lt;7,NA(),SUM(IFERROR(Propagações_TOT_TIETE!$B$7:$BY$110*(Propagações_TOT_TIETE!$B$6:$BY$6=$B78&amp;"A")*(Propagações_TOT_TIETE!$A$7:$A$110&gt;=PREVS_SMAP!I$26)*(Propagações_TOT_TIETE!$A$7:$A$110&lt;=PREVS_SMAP!I$27),0))/7)</f>
        <v>#N/A</v>
      </c>
      <c r="J78" s="132" t="e">
        <f t="array" aca="1" ref="J78" ca="1">IF(AG78&lt;7,NA(),SUM(IFERROR(Propagações_TOT_TIETE!$B$7:$BY$110*(Propagações_TOT_TIETE!$B$6:$BY$6=$B78&amp;"A")*(Propagações_TOT_TIETE!$A$7:$A$110&gt;=PREVS_SMAP!J$26)*(Propagações_TOT_TIETE!$A$7:$A$110&lt;=PREVS_SMAP!J$27),0))/7)</f>
        <v>#N/A</v>
      </c>
      <c r="K78" s="132" t="e">
        <f t="array" aca="1" ref="K78" ca="1">IF(AH78&lt;7,NA(),SUM(IFERROR(Propagações_TOT_TIETE!$B$7:$BY$110*(Propagações_TOT_TIETE!$B$6:$BY$6=$B78&amp;"A")*(Propagações_TOT_TIETE!$A$7:$A$110&gt;=PREVS_SMAP!K$26)*(Propagações_TOT_TIETE!$A$7:$A$110&lt;=PREVS_SMAP!K$27),0))/7)</f>
        <v>#N/A</v>
      </c>
      <c r="L78" s="132" t="e">
        <f t="array" aca="1" ref="L78" ca="1">IF(AI78&lt;7,NA(),SUM(IFERROR(Propagações_TOT_TIETE!$B$7:$BY$110*(Propagações_TOT_TIETE!$B$6:$BY$6=$B78&amp;"A")*(Propagações_TOT_TIETE!$A$7:$A$110&gt;=PREVS_SMAP!L$26)*(Propagações_TOT_TIETE!$A$7:$A$110&lt;=PREVS_SMAP!L$27),0))/7)</f>
        <v>#N/A</v>
      </c>
      <c r="M78" s="132" t="e">
        <f t="array" aca="1" ref="M78" ca="1">IF(AJ78&lt;7,NA(),SUM(IFERROR(Propagações_TOT_TIETE!$B$7:$BY$110*(Propagações_TOT_TIETE!$B$6:$BY$6=$B78&amp;"A")*(Propagações_TOT_TIETE!$A$7:$A$110&gt;=PREVS_SMAP!M$26)*(Propagações_TOT_TIETE!$A$7:$A$110&lt;=PREVS_SMAP!M$27),0))/7)</f>
        <v>#N/A</v>
      </c>
      <c r="N78" s="132" t="e">
        <f t="array" aca="1" ref="N78" ca="1">IF(AK78&lt;7,NA(),SUM(IFERROR(Propagações_TOT_TIETE!$B$7:$BY$110*(Propagações_TOT_TIETE!$B$6:$BY$6=$B78&amp;"A")*(Propagações_TOT_TIETE!$A$7:$A$110&gt;=PREVS_SMAP!N$26)*(Propagações_TOT_TIETE!$A$7:$A$110&lt;=PREVS_SMAP!N$27),0))/7)</f>
        <v>#N/A</v>
      </c>
      <c r="O78" s="132" t="e">
        <f t="array" aca="1" ref="O78" ca="1">IF(AL78&lt;7,NA(),SUM(IFERROR(Propagações_TOT_TIETE!$B$7:$BY$110*(Propagações_TOT_TIETE!$B$6:$BY$6=$B78&amp;"A")*(Propagações_TOT_TIETE!$A$7:$A$110&gt;=PREVS_SMAP!O$26)*(Propagações_TOT_TIETE!$A$7:$A$110&lt;=PREVS_SMAP!O$27),0))/7)</f>
        <v>#N/A</v>
      </c>
      <c r="P78" s="132"/>
      <c r="R78">
        <v>51</v>
      </c>
      <c r="S78" s="40">
        <f t="shared" ca="1" si="24"/>
        <v>117</v>
      </c>
      <c r="T78" s="40" t="str">
        <f t="shared" ca="1" si="25"/>
        <v/>
      </c>
      <c r="U78" s="131" t="str">
        <f t="shared" ca="1" si="25"/>
        <v/>
      </c>
      <c r="V78" s="131" t="str">
        <f t="shared" ca="1" si="25"/>
        <v/>
      </c>
      <c r="W78" s="131" t="str">
        <f t="shared" ca="1" si="25"/>
        <v/>
      </c>
      <c r="X78" s="131" t="str">
        <f t="shared" ca="1" si="25"/>
        <v/>
      </c>
      <c r="Y78" s="131" t="str">
        <f t="shared" ca="1" si="25"/>
        <v/>
      </c>
      <c r="Z78" s="131" t="str">
        <f t="shared" ca="1" si="25"/>
        <v/>
      </c>
      <c r="AA78" s="131" t="str">
        <f t="shared" ca="1" si="25"/>
        <v/>
      </c>
      <c r="AB78" s="131" t="str">
        <f t="shared" ca="1" si="25"/>
        <v/>
      </c>
      <c r="AD78" s="272">
        <f t="array" aca="1" ref="AD78" ca="1">SUM(IFERROR(ISNUMBER(Propagações_TOT_TIETE!$B$7:$BY$110)*(Propagações_TOT_TIETE!$B$6:$BY$6=$B78&amp;"A")*(Propagações_TOT_TIETE!$A$7:$A$110&gt;=PREVS_SMAP!G$26)*(Propagações_TOT_TIETE!$A$7:$A$110&lt;=PREVS_SMAP!G$27),0))</f>
        <v>0</v>
      </c>
      <c r="AE78" s="272">
        <f t="array" aca="1" ref="AE78" ca="1">SUM(IFERROR(ISNUMBER(Propagações_TOT_TIETE!$B$7:$BY$110)*(Propagações_TOT_TIETE!$B$6:$BY$6=$B78&amp;"A")*(Propagações_TOT_TIETE!$A$7:$A$110&gt;=PREVS_SMAP!H$26)*(Propagações_TOT_TIETE!$A$7:$A$110&lt;=PREVS_SMAP!H$27),0))</f>
        <v>0</v>
      </c>
      <c r="AF78" s="272">
        <f t="array" aca="1" ref="AF78" ca="1">SUM(IFERROR(ISNUMBER(Propagações_TOT_TIETE!$B$7:$BY$110)*(Propagações_TOT_TIETE!$B$6:$BY$6=$B78&amp;"A")*(Propagações_TOT_TIETE!$A$7:$A$110&gt;=PREVS_SMAP!I$26)*(Propagações_TOT_TIETE!$A$7:$A$110&lt;=PREVS_SMAP!I$27),0))</f>
        <v>0</v>
      </c>
      <c r="AG78" s="272">
        <f t="array" aca="1" ref="AG78" ca="1">SUM(IFERROR(ISNUMBER(Propagações_TOT_TIETE!$B$7:$BY$110)*(Propagações_TOT_TIETE!$B$6:$BY$6=$B78&amp;"A")*(Propagações_TOT_TIETE!$A$7:$A$110&gt;=PREVS_SMAP!J$26)*(Propagações_TOT_TIETE!$A$7:$A$110&lt;=PREVS_SMAP!J$27),0))</f>
        <v>0</v>
      </c>
      <c r="AH78" s="272">
        <f t="array" aca="1" ref="AH78" ca="1">SUM(IFERROR(ISNUMBER(Propagações_TOT_TIETE!$B$7:$BY$110)*(Propagações_TOT_TIETE!$B$6:$BY$6=$B78&amp;"A")*(Propagações_TOT_TIETE!$A$7:$A$110&gt;=PREVS_SMAP!K$26)*(Propagações_TOT_TIETE!$A$7:$A$110&lt;=PREVS_SMAP!K$27),0))</f>
        <v>0</v>
      </c>
      <c r="AI78" s="272">
        <f t="array" aca="1" ref="AI78" ca="1">SUM(IFERROR(ISNUMBER(Propagações_TOT_TIETE!$B$7:$BY$110)*(Propagações_TOT_TIETE!$B$6:$BY$6=$B78&amp;"A")*(Propagações_TOT_TIETE!$A$7:$A$110&gt;=PREVS_SMAP!L$26)*(Propagações_TOT_TIETE!$A$7:$A$110&lt;=PREVS_SMAP!L$27),0))</f>
        <v>0</v>
      </c>
      <c r="AJ78" s="272">
        <f t="array" aca="1" ref="AJ78" ca="1">SUM(IFERROR(ISNUMBER(Propagações_TOT_TIETE!$B$7:$BY$110)*(Propagações_TOT_TIETE!$B$6:$BY$6=$B78&amp;"A")*(Propagações_TOT_TIETE!$A$7:$A$110&gt;=PREVS_SMAP!M$26)*(Propagações_TOT_TIETE!$A$7:$A$110&lt;=PREVS_SMAP!M$27),0))</f>
        <v>0</v>
      </c>
      <c r="AK78" s="272">
        <f t="array" aca="1" ref="AK78" ca="1">SUM(IFERROR(ISNUMBER(Propagações_TOT_TIETE!$B$7:$BY$110)*(Propagações_TOT_TIETE!$B$6:$BY$6=$B78&amp;"A")*(Propagações_TOT_TIETE!$A$7:$A$110&gt;=PREVS_SMAP!N$26)*(Propagações_TOT_TIETE!$A$7:$A$110&lt;=PREVS_SMAP!N$27),0))</f>
        <v>0</v>
      </c>
      <c r="AL78" s="272">
        <f t="array" aca="1" ref="AL78" ca="1">SUM(IFERROR(ISNUMBER(Propagações_TOT_TIETE!$B$7:$BY$110)*(Propagações_TOT_TIETE!$B$6:$BY$6=$B78&amp;"A")*(Propagações_TOT_TIETE!$A$7:$A$110&gt;=PREVS_SMAP!O$26)*(Propagações_TOT_TIETE!$A$7:$A$110&lt;=PREVS_SMAP!O$27),0))</f>
        <v>0</v>
      </c>
      <c r="AN78" s="121"/>
      <c r="AO78" s="121">
        <f t="shared" ca="1" si="9"/>
        <v>117</v>
      </c>
      <c r="AP78" s="121" t="b">
        <f t="shared" si="10"/>
        <v>1</v>
      </c>
      <c r="AQ78" s="272">
        <f ca="1">+AVERAGEIFS(TABELA_VAZAO[qnat],TABELA_VAZAO[Posto],$R78,TABELA_VAZAO[Data],AQ$27)</f>
        <v>244</v>
      </c>
      <c r="AR78" s="272">
        <f ca="1">+AVERAGEIFS(TABELA_VAZAO[qnat],TABELA_VAZAO[Posto],$R78,TABELA_VAZAO[Data],AR$27)</f>
        <v>227</v>
      </c>
      <c r="AS78" s="272">
        <f ca="1">+AVERAGEIFS(TABELA_VAZAO[qnat],TABELA_VAZAO[Posto],$R78,TABELA_VAZAO[Data],AS$27)</f>
        <v>215</v>
      </c>
      <c r="AT78" s="272">
        <f ca="1">+AVERAGEIFS(TABELA_VAZAO[qnat],TABELA_VAZAO[Posto],$R78,TABELA_VAZAO[Data],AT$27)</f>
        <v>218</v>
      </c>
      <c r="AU78" s="121">
        <f ca="1">+AVERAGEIFS(TABELA_VAZAO[qnat],TABELA_VAZAO[Posto],$R78,TABELA_VAZAO[Data],AU$27)</f>
        <v>249</v>
      </c>
      <c r="AV78" s="272">
        <f ca="1">IFERROR(AVERAGEIFS(TABELA_VAZAO[qnat],TABELA_VAZAO[Posto],$R78,TABELA_VAZAO[Data],AV$27),AU78+$BB78*EXP(AV$26))</f>
        <v>276</v>
      </c>
      <c r="AW78" s="159">
        <f ca="1">IFERROR(AVERAGEIFS(TABELA_VAZAO[qnat],TABELA_VAZAO[Posto],$R78,TABELA_VAZAO[Data],AW$27),AV78+$BB78*EXP(AW$26))</f>
        <v>292</v>
      </c>
      <c r="AX78" s="325">
        <f ca="1">IFERROR(AVERAGEIFS(TABELA_VAZAO[qnat],TABELA_VAZAO[Posto],$R78,TABELA_VAZAO[Data],AX$27),AW78+$BB78*EXP(AX$26))</f>
        <v>311.42857142857144</v>
      </c>
      <c r="AY78" s="325">
        <f ca="1">IFERROR(AVERAGEIFS(TABELA_VAZAO[qnat],TABELA_VAZAO[Posto],$R78,TABELA_VAZAO[Data],AY$27),AX78+$BB78*EXP(AY$26))</f>
        <v>324.45193232297817</v>
      </c>
      <c r="AZ78" s="326">
        <f ca="1">IFERROR(AVERAGEIFS(TABELA_VAZAO[qnat],TABELA_VAZAO[Posto],$R78,TABELA_VAZAO[Data],AZ$27),AY78+$BB78*EXP(AZ$26))</f>
        <v>333.18175219725561</v>
      </c>
      <c r="BA78" s="326">
        <f ca="1">IFERROR(AVERAGEIFS(TABELA_VAZAO[qnat],TABELA_VAZAO[Posto],$R78,TABELA_VAZAO[Data],BA$27),AZ78+$BB78*EXP(BA$26))</f>
        <v>339.03352545726409</v>
      </c>
      <c r="BB78" s="121">
        <f t="shared" ca="1" si="11"/>
        <v>19.428571428571427</v>
      </c>
      <c r="BC78" s="272">
        <f t="shared" ca="1" si="13"/>
        <v>3</v>
      </c>
      <c r="BD78" s="272">
        <f t="shared" ca="1" si="13"/>
        <v>31</v>
      </c>
      <c r="BE78" s="272">
        <f t="shared" ca="1" si="13"/>
        <v>27</v>
      </c>
      <c r="BF78" s="272">
        <f t="shared" ca="1" si="13"/>
        <v>16</v>
      </c>
      <c r="BG78"/>
    </row>
    <row r="79" spans="1:59" x14ac:dyDescent="0.2">
      <c r="A79" s="294">
        <v>160</v>
      </c>
      <c r="B79" s="283" t="str">
        <f t="shared" si="26"/>
        <v>160_VN</v>
      </c>
      <c r="C79" s="272" t="s">
        <v>213</v>
      </c>
      <c r="D79" s="132">
        <f t="array" aca="1" ref="D79" ca="1">SUM(IFERROR(Propagações_TOT_TIETE!$B$7:$BY$110*(Propagações_TOT_TIETE!$B$6:$BY$6=$B79&amp;"A")*(Propagações_TOT_TIETE!$A$7:$A$110&gt;=PREVS_SMAP!D$26)*(Propagações_TOT_TIETE!$A$7:$A$110&lt;=PREVS_SMAP!D$27),0))/7</f>
        <v>0</v>
      </c>
      <c r="E79" s="132">
        <f t="array" aca="1" ref="E79" ca="1">SUM(IFERROR(Propagações_TOT_TIETE!$B$7:$BY$110*(Propagações_TOT_TIETE!$B$6:$BY$6=$B79&amp;"A")*(Propagações_TOT_TIETE!$A$7:$A$110&gt;=PREVS_SMAP!E$26)*(Propagações_TOT_TIETE!$A$7:$A$110&lt;=PREVS_SMAP!E$27),0))/7</f>
        <v>5.5714285714285712</v>
      </c>
      <c r="F79" s="132">
        <f t="array" aca="1" ref="F79" ca="1">SUM(IFERROR(Propagações_TOT_TIETE!$B$7:$BY$110*(Propagações_TOT_TIETE!$B$6:$BY$6=$B79&amp;"A")*(Propagações_TOT_TIETE!$A$7:$A$110&gt;=PREVS_SMAP!F$26)*(Propagações_TOT_TIETE!$A$7:$A$110&lt;=PREVS_SMAP!F$27),0))/7</f>
        <v>3.1428571428571428</v>
      </c>
      <c r="G79" s="132" t="e">
        <f t="array" aca="1" ref="G79" ca="1">IF(AD79&lt;7,NA(),SUM(IFERROR(Propagações_TOT_TIETE!$B$7:$BY$110*(Propagações_TOT_TIETE!$B$6:$BY$6=$B79&amp;"A")*(Propagações_TOT_TIETE!$A$7:$A$110&gt;=PREVS_SMAP!G$26)*(Propagações_TOT_TIETE!$A$7:$A$110&lt;=PREVS_SMAP!G$27),0))/7)</f>
        <v>#N/A</v>
      </c>
      <c r="H79" s="132" t="e">
        <f t="array" aca="1" ref="H79" ca="1">IF(AE79&lt;7,NA(),SUM(IFERROR(Propagações_TOT_TIETE!$B$7:$BY$110*(Propagações_TOT_TIETE!$B$6:$BY$6=$B79&amp;"A")*(Propagações_TOT_TIETE!$A$7:$A$110&gt;=PREVS_SMAP!H$26)*(Propagações_TOT_TIETE!$A$7:$A$110&lt;=PREVS_SMAP!H$27),0))/7)</f>
        <v>#N/A</v>
      </c>
      <c r="I79" s="132" t="e">
        <f t="array" aca="1" ref="I79" ca="1">IF(AF79&lt;7,NA(),SUM(IFERROR(Propagações_TOT_TIETE!$B$7:$BY$110*(Propagações_TOT_TIETE!$B$6:$BY$6=$B79&amp;"A")*(Propagações_TOT_TIETE!$A$7:$A$110&gt;=PREVS_SMAP!I$26)*(Propagações_TOT_TIETE!$A$7:$A$110&lt;=PREVS_SMAP!I$27),0))/7)</f>
        <v>#N/A</v>
      </c>
      <c r="J79" s="132" t="e">
        <f t="array" aca="1" ref="J79" ca="1">IF(AG79&lt;7,NA(),SUM(IFERROR(Propagações_TOT_TIETE!$B$7:$BY$110*(Propagações_TOT_TIETE!$B$6:$BY$6=$B79&amp;"A")*(Propagações_TOT_TIETE!$A$7:$A$110&gt;=PREVS_SMAP!J$26)*(Propagações_TOT_TIETE!$A$7:$A$110&lt;=PREVS_SMAP!J$27),0))/7)</f>
        <v>#N/A</v>
      </c>
      <c r="K79" s="132" t="e">
        <f t="array" aca="1" ref="K79" ca="1">IF(AH79&lt;7,NA(),SUM(IFERROR(Propagações_TOT_TIETE!$B$7:$BY$110*(Propagações_TOT_TIETE!$B$6:$BY$6=$B79&amp;"A")*(Propagações_TOT_TIETE!$A$7:$A$110&gt;=PREVS_SMAP!K$26)*(Propagações_TOT_TIETE!$A$7:$A$110&lt;=PREVS_SMAP!K$27),0))/7)</f>
        <v>#N/A</v>
      </c>
      <c r="L79" s="132" t="e">
        <f t="array" aca="1" ref="L79" ca="1">IF(AI79&lt;7,NA(),SUM(IFERROR(Propagações_TOT_TIETE!$B$7:$BY$110*(Propagações_TOT_TIETE!$B$6:$BY$6=$B79&amp;"A")*(Propagações_TOT_TIETE!$A$7:$A$110&gt;=PREVS_SMAP!L$26)*(Propagações_TOT_TIETE!$A$7:$A$110&lt;=PREVS_SMAP!L$27),0))/7)</f>
        <v>#N/A</v>
      </c>
      <c r="M79" s="132" t="e">
        <f t="array" aca="1" ref="M79" ca="1">IF(AJ79&lt;7,NA(),SUM(IFERROR(Propagações_TOT_TIETE!$B$7:$BY$110*(Propagações_TOT_TIETE!$B$6:$BY$6=$B79&amp;"A")*(Propagações_TOT_TIETE!$A$7:$A$110&gt;=PREVS_SMAP!M$26)*(Propagações_TOT_TIETE!$A$7:$A$110&lt;=PREVS_SMAP!M$27),0))/7)</f>
        <v>#N/A</v>
      </c>
      <c r="N79" s="132" t="e">
        <f t="array" aca="1" ref="N79" ca="1">IF(AK79&lt;7,NA(),SUM(IFERROR(Propagações_TOT_TIETE!$B$7:$BY$110*(Propagações_TOT_TIETE!$B$6:$BY$6=$B79&amp;"A")*(Propagações_TOT_TIETE!$A$7:$A$110&gt;=PREVS_SMAP!N$26)*(Propagações_TOT_TIETE!$A$7:$A$110&lt;=PREVS_SMAP!N$27),0))/7)</f>
        <v>#N/A</v>
      </c>
      <c r="O79" s="132" t="e">
        <f t="array" aca="1" ref="O79" ca="1">IF(AL79&lt;7,NA(),SUM(IFERROR(Propagações_TOT_TIETE!$B$7:$BY$110*(Propagações_TOT_TIETE!$B$6:$BY$6=$B79&amp;"A")*(Propagações_TOT_TIETE!$A$7:$A$110&gt;=PREVS_SMAP!O$26)*(Propagações_TOT_TIETE!$A$7:$A$110&lt;=PREVS_SMAP!O$27),0))/7)</f>
        <v>#N/A</v>
      </c>
      <c r="P79" s="132"/>
      <c r="R79">
        <v>52</v>
      </c>
      <c r="S79" s="40">
        <f t="shared" ca="1" si="24"/>
        <v>120</v>
      </c>
      <c r="T79" s="40" t="str">
        <f t="shared" ca="1" si="25"/>
        <v/>
      </c>
      <c r="U79" s="131" t="str">
        <f t="shared" ca="1" si="25"/>
        <v/>
      </c>
      <c r="V79" s="131" t="str">
        <f t="shared" ca="1" si="25"/>
        <v/>
      </c>
      <c r="W79" s="131" t="str">
        <f t="shared" ca="1" si="25"/>
        <v/>
      </c>
      <c r="X79" s="131" t="str">
        <f t="shared" ca="1" si="25"/>
        <v/>
      </c>
      <c r="Y79" s="131" t="str">
        <f t="shared" ca="1" si="25"/>
        <v/>
      </c>
      <c r="Z79" s="131" t="str">
        <f t="shared" ca="1" si="25"/>
        <v/>
      </c>
      <c r="AA79" s="131" t="str">
        <f t="shared" ca="1" si="25"/>
        <v/>
      </c>
      <c r="AB79" s="131" t="str">
        <f t="shared" ca="1" si="25"/>
        <v/>
      </c>
      <c r="AD79" s="272">
        <f t="array" aca="1" ref="AD79" ca="1">SUM(IFERROR(ISNUMBER(Propagações_TOT_TIETE!$B$7:$BY$110)*(Propagações_TOT_TIETE!$B$6:$BY$6=$B79&amp;"A")*(Propagações_TOT_TIETE!$A$7:$A$110&gt;=PREVS_SMAP!G$26)*(Propagações_TOT_TIETE!$A$7:$A$110&lt;=PREVS_SMAP!G$27),0))</f>
        <v>0</v>
      </c>
      <c r="AE79" s="272">
        <f t="array" aca="1" ref="AE79" ca="1">SUM(IFERROR(ISNUMBER(Propagações_TOT_TIETE!$B$7:$BY$110)*(Propagações_TOT_TIETE!$B$6:$BY$6=$B79&amp;"A")*(Propagações_TOT_TIETE!$A$7:$A$110&gt;=PREVS_SMAP!H$26)*(Propagações_TOT_TIETE!$A$7:$A$110&lt;=PREVS_SMAP!H$27),0))</f>
        <v>0</v>
      </c>
      <c r="AF79" s="272">
        <f t="array" aca="1" ref="AF79" ca="1">SUM(IFERROR(ISNUMBER(Propagações_TOT_TIETE!$B$7:$BY$110)*(Propagações_TOT_TIETE!$B$6:$BY$6=$B79&amp;"A")*(Propagações_TOT_TIETE!$A$7:$A$110&gt;=PREVS_SMAP!I$26)*(Propagações_TOT_TIETE!$A$7:$A$110&lt;=PREVS_SMAP!I$27),0))</f>
        <v>0</v>
      </c>
      <c r="AG79" s="272">
        <f t="array" aca="1" ref="AG79" ca="1">SUM(IFERROR(ISNUMBER(Propagações_TOT_TIETE!$B$7:$BY$110)*(Propagações_TOT_TIETE!$B$6:$BY$6=$B79&amp;"A")*(Propagações_TOT_TIETE!$A$7:$A$110&gt;=PREVS_SMAP!J$26)*(Propagações_TOT_TIETE!$A$7:$A$110&lt;=PREVS_SMAP!J$27),0))</f>
        <v>0</v>
      </c>
      <c r="AH79" s="272">
        <f t="array" aca="1" ref="AH79" ca="1">SUM(IFERROR(ISNUMBER(Propagações_TOT_TIETE!$B$7:$BY$110)*(Propagações_TOT_TIETE!$B$6:$BY$6=$B79&amp;"A")*(Propagações_TOT_TIETE!$A$7:$A$110&gt;=PREVS_SMAP!K$26)*(Propagações_TOT_TIETE!$A$7:$A$110&lt;=PREVS_SMAP!K$27),0))</f>
        <v>0</v>
      </c>
      <c r="AI79" s="272">
        <f t="array" aca="1" ref="AI79" ca="1">SUM(IFERROR(ISNUMBER(Propagações_TOT_TIETE!$B$7:$BY$110)*(Propagações_TOT_TIETE!$B$6:$BY$6=$B79&amp;"A")*(Propagações_TOT_TIETE!$A$7:$A$110&gt;=PREVS_SMAP!L$26)*(Propagações_TOT_TIETE!$A$7:$A$110&lt;=PREVS_SMAP!L$27),0))</f>
        <v>0</v>
      </c>
      <c r="AJ79" s="272">
        <f t="array" aca="1" ref="AJ79" ca="1">SUM(IFERROR(ISNUMBER(Propagações_TOT_TIETE!$B$7:$BY$110)*(Propagações_TOT_TIETE!$B$6:$BY$6=$B79&amp;"A")*(Propagações_TOT_TIETE!$A$7:$A$110&gt;=PREVS_SMAP!M$26)*(Propagações_TOT_TIETE!$A$7:$A$110&lt;=PREVS_SMAP!M$27),0))</f>
        <v>0</v>
      </c>
      <c r="AK79" s="272">
        <f t="array" aca="1" ref="AK79" ca="1">SUM(IFERROR(ISNUMBER(Propagações_TOT_TIETE!$B$7:$BY$110)*(Propagações_TOT_TIETE!$B$6:$BY$6=$B79&amp;"A")*(Propagações_TOT_TIETE!$A$7:$A$110&gt;=PREVS_SMAP!N$26)*(Propagações_TOT_TIETE!$A$7:$A$110&lt;=PREVS_SMAP!N$27),0))</f>
        <v>0</v>
      </c>
      <c r="AL79" s="272">
        <f t="array" aca="1" ref="AL79" ca="1">SUM(IFERROR(ISNUMBER(Propagações_TOT_TIETE!$B$7:$BY$110)*(Propagações_TOT_TIETE!$B$6:$BY$6=$B79&amp;"A")*(Propagações_TOT_TIETE!$A$7:$A$110&gt;=PREVS_SMAP!O$26)*(Propagações_TOT_TIETE!$A$7:$A$110&lt;=PREVS_SMAP!O$27),0))</f>
        <v>0</v>
      </c>
      <c r="AN79" s="121"/>
      <c r="AO79" s="121">
        <f t="shared" ca="1" si="9"/>
        <v>120</v>
      </c>
      <c r="AP79" s="121" t="b">
        <f t="shared" si="10"/>
        <v>1</v>
      </c>
      <c r="AQ79" s="272">
        <f ca="1">+AVERAGEIFS(TABELA_VAZAO[qnat],TABELA_VAZAO[Posto],$R79,TABELA_VAZAO[Data],AQ$27)</f>
        <v>256</v>
      </c>
      <c r="AR79" s="272">
        <f ca="1">+AVERAGEIFS(TABELA_VAZAO[qnat],TABELA_VAZAO[Posto],$R79,TABELA_VAZAO[Data],AR$27)</f>
        <v>236</v>
      </c>
      <c r="AS79" s="272">
        <f ca="1">+AVERAGEIFS(TABELA_VAZAO[qnat],TABELA_VAZAO[Posto],$R79,TABELA_VAZAO[Data],AS$27)</f>
        <v>224</v>
      </c>
      <c r="AT79" s="272">
        <f ca="1">+AVERAGEIFS(TABELA_VAZAO[qnat],TABELA_VAZAO[Posto],$R79,TABELA_VAZAO[Data],AT$27)</f>
        <v>226</v>
      </c>
      <c r="AU79" s="121">
        <f ca="1">+AVERAGEIFS(TABELA_VAZAO[qnat],TABELA_VAZAO[Posto],$R79,TABELA_VAZAO[Data],AU$27)</f>
        <v>255</v>
      </c>
      <c r="AV79" s="272">
        <f ca="1">IFERROR(AVERAGEIFS(TABELA_VAZAO[qnat],TABELA_VAZAO[Posto],$R79,TABELA_VAZAO[Data],AV$27),AU79+$BB79*EXP(AV$26))</f>
        <v>283</v>
      </c>
      <c r="AW79" s="159">
        <f ca="1">IFERROR(AVERAGEIFS(TABELA_VAZAO[qnat],TABELA_VAZAO[Posto],$R79,TABELA_VAZAO[Data],AW$27),AV79+$BB79*EXP(AW$26))</f>
        <v>302</v>
      </c>
      <c r="AX79" s="325">
        <f ca="1">IFERROR(AVERAGEIFS(TABELA_VAZAO[qnat],TABELA_VAZAO[Posto],$R79,TABELA_VAZAO[Data],AX$27),AW79+$BB79*EXP(AX$26))</f>
        <v>322.57142857142856</v>
      </c>
      <c r="AY79" s="325">
        <f ca="1">IFERROR(AVERAGEIFS(TABELA_VAZAO[qnat],TABELA_VAZAO[Posto],$R79,TABELA_VAZAO[Data],AY$27),AX79+$BB79*EXP(AY$26))</f>
        <v>336.36086951844743</v>
      </c>
      <c r="AZ79" s="326">
        <f ca="1">IFERROR(AVERAGEIFS(TABELA_VAZAO[qnat],TABELA_VAZAO[Posto],$R79,TABELA_VAZAO[Data],AZ$27),AY79+$BB79*EXP(AZ$26))</f>
        <v>345.60420820885884</v>
      </c>
      <c r="BA79" s="326">
        <f ca="1">IFERROR(AVERAGEIFS(TABELA_VAZAO[qnat],TABELA_VAZAO[Posto],$R79,TABELA_VAZAO[Data],BA$27),AZ79+$BB79*EXP(BA$26))</f>
        <v>351.8002034253384</v>
      </c>
      <c r="BB79" s="121">
        <f t="shared" ca="1" si="11"/>
        <v>20.571428571428573</v>
      </c>
      <c r="BC79" s="272">
        <f t="shared" ca="1" si="13"/>
        <v>2</v>
      </c>
      <c r="BD79" s="272">
        <f t="shared" ca="1" si="13"/>
        <v>29</v>
      </c>
      <c r="BE79" s="272">
        <f t="shared" ca="1" si="13"/>
        <v>28</v>
      </c>
      <c r="BF79" s="272">
        <f t="shared" ca="1" si="13"/>
        <v>19</v>
      </c>
      <c r="BG79"/>
    </row>
    <row r="80" spans="1:59" x14ac:dyDescent="0.2">
      <c r="A80" s="294">
        <v>161</v>
      </c>
      <c r="B80" s="283" t="str">
        <f t="shared" si="26"/>
        <v>161_VN</v>
      </c>
      <c r="C80" s="272" t="s">
        <v>208</v>
      </c>
      <c r="D80" s="132">
        <f t="array" aca="1" ref="D80" ca="1">SUM(IFERROR(Propagações_TOT_TIETE!$B$7:$BY$110*(Propagações_TOT_TIETE!$B$6:$BY$6=$B80&amp;"A")*(Propagações_TOT_TIETE!$A$7:$A$110&gt;=PREVS_SMAP!D$26)*(Propagações_TOT_TIETE!$A$7:$A$110&lt;=PREVS_SMAP!D$27),0))/7</f>
        <v>0</v>
      </c>
      <c r="E80" s="132">
        <f t="array" aca="1" ref="E80" ca="1">SUM(IFERROR(Propagações_TOT_TIETE!$B$7:$BY$110*(Propagações_TOT_TIETE!$B$6:$BY$6=$B80&amp;"A")*(Propagações_TOT_TIETE!$A$7:$A$110&gt;=PREVS_SMAP!E$26)*(Propagações_TOT_TIETE!$A$7:$A$110&lt;=PREVS_SMAP!E$27),0))/7</f>
        <v>155.57142857142858</v>
      </c>
      <c r="F80" s="132">
        <f t="array" aca="1" ref="F80" ca="1">SUM(IFERROR(Propagações_TOT_TIETE!$B$7:$BY$110*(Propagações_TOT_TIETE!$B$6:$BY$6=$B80&amp;"A")*(Propagações_TOT_TIETE!$A$7:$A$110&gt;=PREVS_SMAP!F$26)*(Propagações_TOT_TIETE!$A$7:$A$110&lt;=PREVS_SMAP!F$27),0))/7</f>
        <v>89.142857142857139</v>
      </c>
      <c r="G80" s="132" t="e">
        <f t="array" aca="1" ref="G80" ca="1">IF(AD80&lt;7,NA(),SUM(IFERROR(Propagações_TOT_TIETE!$B$7:$BY$110*(Propagações_TOT_TIETE!$B$6:$BY$6=$B80&amp;"A")*(Propagações_TOT_TIETE!$A$7:$A$110&gt;=PREVS_SMAP!G$26)*(Propagações_TOT_TIETE!$A$7:$A$110&lt;=PREVS_SMAP!G$27),0))/7)</f>
        <v>#N/A</v>
      </c>
      <c r="H80" s="132" t="e">
        <f t="array" aca="1" ref="H80" ca="1">IF(AE80&lt;7,NA(),SUM(IFERROR(Propagações_TOT_TIETE!$B$7:$BY$110*(Propagações_TOT_TIETE!$B$6:$BY$6=$B80&amp;"A")*(Propagações_TOT_TIETE!$A$7:$A$110&gt;=PREVS_SMAP!H$26)*(Propagações_TOT_TIETE!$A$7:$A$110&lt;=PREVS_SMAP!H$27),0))/7)</f>
        <v>#N/A</v>
      </c>
      <c r="I80" s="132" t="e">
        <f t="array" aca="1" ref="I80" ca="1">IF(AF80&lt;7,NA(),SUM(IFERROR(Propagações_TOT_TIETE!$B$7:$BY$110*(Propagações_TOT_TIETE!$B$6:$BY$6=$B80&amp;"A")*(Propagações_TOT_TIETE!$A$7:$A$110&gt;=PREVS_SMAP!I$26)*(Propagações_TOT_TIETE!$A$7:$A$110&lt;=PREVS_SMAP!I$27),0))/7)</f>
        <v>#N/A</v>
      </c>
      <c r="J80" s="132" t="e">
        <f t="array" aca="1" ref="J80" ca="1">IF(AG80&lt;7,NA(),SUM(IFERROR(Propagações_TOT_TIETE!$B$7:$BY$110*(Propagações_TOT_TIETE!$B$6:$BY$6=$B80&amp;"A")*(Propagações_TOT_TIETE!$A$7:$A$110&gt;=PREVS_SMAP!J$26)*(Propagações_TOT_TIETE!$A$7:$A$110&lt;=PREVS_SMAP!J$27),0))/7)</f>
        <v>#N/A</v>
      </c>
      <c r="K80" s="132" t="e">
        <f t="array" aca="1" ref="K80" ca="1">IF(AH80&lt;7,NA(),SUM(IFERROR(Propagações_TOT_TIETE!$B$7:$BY$110*(Propagações_TOT_TIETE!$B$6:$BY$6=$B80&amp;"A")*(Propagações_TOT_TIETE!$A$7:$A$110&gt;=PREVS_SMAP!K$26)*(Propagações_TOT_TIETE!$A$7:$A$110&lt;=PREVS_SMAP!K$27),0))/7)</f>
        <v>#N/A</v>
      </c>
      <c r="L80" s="132" t="e">
        <f t="array" aca="1" ref="L80" ca="1">IF(AI80&lt;7,NA(),SUM(IFERROR(Propagações_TOT_TIETE!$B$7:$BY$110*(Propagações_TOT_TIETE!$B$6:$BY$6=$B80&amp;"A")*(Propagações_TOT_TIETE!$A$7:$A$110&gt;=PREVS_SMAP!L$26)*(Propagações_TOT_TIETE!$A$7:$A$110&lt;=PREVS_SMAP!L$27),0))/7)</f>
        <v>#N/A</v>
      </c>
      <c r="M80" s="132" t="e">
        <f t="array" aca="1" ref="M80" ca="1">IF(AJ80&lt;7,NA(),SUM(IFERROR(Propagações_TOT_TIETE!$B$7:$BY$110*(Propagações_TOT_TIETE!$B$6:$BY$6=$B80&amp;"A")*(Propagações_TOT_TIETE!$A$7:$A$110&gt;=PREVS_SMAP!M$26)*(Propagações_TOT_TIETE!$A$7:$A$110&lt;=PREVS_SMAP!M$27),0))/7)</f>
        <v>#N/A</v>
      </c>
      <c r="N80" s="132" t="e">
        <f t="array" aca="1" ref="N80" ca="1">IF(AK80&lt;7,NA(),SUM(IFERROR(Propagações_TOT_TIETE!$B$7:$BY$110*(Propagações_TOT_TIETE!$B$6:$BY$6=$B80&amp;"A")*(Propagações_TOT_TIETE!$A$7:$A$110&gt;=PREVS_SMAP!N$26)*(Propagações_TOT_TIETE!$A$7:$A$110&lt;=PREVS_SMAP!N$27),0))/7)</f>
        <v>#N/A</v>
      </c>
      <c r="O80" s="132" t="e">
        <f t="array" aca="1" ref="O80" ca="1">IF(AL80&lt;7,NA(),SUM(IFERROR(Propagações_TOT_TIETE!$B$7:$BY$110*(Propagações_TOT_TIETE!$B$6:$BY$6=$B80&amp;"A")*(Propagações_TOT_TIETE!$A$7:$A$110&gt;=PREVS_SMAP!O$26)*(Propagações_TOT_TIETE!$A$7:$A$110&lt;=PREVS_SMAP!O$27),0))/7)</f>
        <v>#N/A</v>
      </c>
      <c r="P80" s="132"/>
      <c r="R80">
        <v>53</v>
      </c>
      <c r="S80" s="40"/>
      <c r="T80" s="40"/>
      <c r="U80" s="131"/>
      <c r="V80" s="131"/>
      <c r="W80" s="131"/>
      <c r="X80" s="131"/>
      <c r="Y80" s="131"/>
      <c r="Z80" s="131"/>
      <c r="AA80" s="131"/>
      <c r="AB80" s="131"/>
      <c r="AD80" s="272">
        <f t="array" aca="1" ref="AD80" ca="1">SUM(IFERROR(ISNUMBER(Propagações_TOT_TIETE!$B$7:$BY$110)*(Propagações_TOT_TIETE!$B$6:$BY$6=$B80&amp;"A")*(Propagações_TOT_TIETE!$A$7:$A$110&gt;=PREVS_SMAP!G$26)*(Propagações_TOT_TIETE!$A$7:$A$110&lt;=PREVS_SMAP!G$27),0))</f>
        <v>0</v>
      </c>
      <c r="AE80" s="272">
        <f t="array" aca="1" ref="AE80" ca="1">SUM(IFERROR(ISNUMBER(Propagações_TOT_TIETE!$B$7:$BY$110)*(Propagações_TOT_TIETE!$B$6:$BY$6=$B80&amp;"A")*(Propagações_TOT_TIETE!$A$7:$A$110&gt;=PREVS_SMAP!H$26)*(Propagações_TOT_TIETE!$A$7:$A$110&lt;=PREVS_SMAP!H$27),0))</f>
        <v>0</v>
      </c>
      <c r="AF80" s="272">
        <f t="array" aca="1" ref="AF80" ca="1">SUM(IFERROR(ISNUMBER(Propagações_TOT_TIETE!$B$7:$BY$110)*(Propagações_TOT_TIETE!$B$6:$BY$6=$B80&amp;"A")*(Propagações_TOT_TIETE!$A$7:$A$110&gt;=PREVS_SMAP!I$26)*(Propagações_TOT_TIETE!$A$7:$A$110&lt;=PREVS_SMAP!I$27),0))</f>
        <v>0</v>
      </c>
      <c r="AG80" s="272">
        <f t="array" aca="1" ref="AG80" ca="1">SUM(IFERROR(ISNUMBER(Propagações_TOT_TIETE!$B$7:$BY$110)*(Propagações_TOT_TIETE!$B$6:$BY$6=$B80&amp;"A")*(Propagações_TOT_TIETE!$A$7:$A$110&gt;=PREVS_SMAP!J$26)*(Propagações_TOT_TIETE!$A$7:$A$110&lt;=PREVS_SMAP!J$27),0))</f>
        <v>0</v>
      </c>
      <c r="AH80" s="272">
        <f t="array" aca="1" ref="AH80" ca="1">SUM(IFERROR(ISNUMBER(Propagações_TOT_TIETE!$B$7:$BY$110)*(Propagações_TOT_TIETE!$B$6:$BY$6=$B80&amp;"A")*(Propagações_TOT_TIETE!$A$7:$A$110&gt;=PREVS_SMAP!K$26)*(Propagações_TOT_TIETE!$A$7:$A$110&lt;=PREVS_SMAP!K$27),0))</f>
        <v>0</v>
      </c>
      <c r="AI80" s="272">
        <f t="array" aca="1" ref="AI80" ca="1">SUM(IFERROR(ISNUMBER(Propagações_TOT_TIETE!$B$7:$BY$110)*(Propagações_TOT_TIETE!$B$6:$BY$6=$B80&amp;"A")*(Propagações_TOT_TIETE!$A$7:$A$110&gt;=PREVS_SMAP!L$26)*(Propagações_TOT_TIETE!$A$7:$A$110&lt;=PREVS_SMAP!L$27),0))</f>
        <v>0</v>
      </c>
      <c r="AJ80" s="272">
        <f t="array" aca="1" ref="AJ80" ca="1">SUM(IFERROR(ISNUMBER(Propagações_TOT_TIETE!$B$7:$BY$110)*(Propagações_TOT_TIETE!$B$6:$BY$6=$B80&amp;"A")*(Propagações_TOT_TIETE!$A$7:$A$110&gt;=PREVS_SMAP!M$26)*(Propagações_TOT_TIETE!$A$7:$A$110&lt;=PREVS_SMAP!M$27),0))</f>
        <v>0</v>
      </c>
      <c r="AK80" s="272">
        <f t="array" aca="1" ref="AK80" ca="1">SUM(IFERROR(ISNUMBER(Propagações_TOT_TIETE!$B$7:$BY$110)*(Propagações_TOT_TIETE!$B$6:$BY$6=$B80&amp;"A")*(Propagações_TOT_TIETE!$A$7:$A$110&gt;=PREVS_SMAP!N$26)*(Propagações_TOT_TIETE!$A$7:$A$110&lt;=PREVS_SMAP!N$27),0))</f>
        <v>0</v>
      </c>
      <c r="AL80" s="272">
        <f t="array" aca="1" ref="AL80" ca="1">SUM(IFERROR(ISNUMBER(Propagações_TOT_TIETE!$B$7:$BY$110)*(Propagações_TOT_TIETE!$B$6:$BY$6=$B80&amp;"A")*(Propagações_TOT_TIETE!$A$7:$A$110&gt;=PREVS_SMAP!O$26)*(Propagações_TOT_TIETE!$A$7:$A$110&lt;=PREVS_SMAP!O$27),0))</f>
        <v>0</v>
      </c>
      <c r="AN80" s="121"/>
      <c r="AO80" s="121" t="e">
        <f t="shared" si="9"/>
        <v>#DIV/0!</v>
      </c>
      <c r="AP80" s="121" t="b">
        <f t="shared" si="10"/>
        <v>0</v>
      </c>
      <c r="AU80" s="121"/>
      <c r="AV80" s="121"/>
      <c r="AW80" s="159"/>
      <c r="AX80" s="159"/>
      <c r="AY80" s="159"/>
      <c r="AZ80" s="157"/>
      <c r="BA80" s="157"/>
      <c r="BB80" s="121">
        <f t="shared" ca="1" si="11"/>
        <v>0</v>
      </c>
      <c r="BC80" s="272">
        <f t="shared" ca="1" si="13"/>
        <v>0</v>
      </c>
      <c r="BD80" s="272">
        <f t="shared" ca="1" si="13"/>
        <v>0</v>
      </c>
      <c r="BE80" s="272">
        <f t="shared" ca="1" si="13"/>
        <v>0</v>
      </c>
      <c r="BF80" s="272">
        <f t="shared" ca="1" si="13"/>
        <v>0</v>
      </c>
      <c r="BG80"/>
    </row>
    <row r="81" spans="1:59" x14ac:dyDescent="0.2">
      <c r="A81" s="321"/>
      <c r="B81" s="322"/>
      <c r="C81" s="272"/>
      <c r="D81" s="132">
        <f t="array" aca="1" ref="D81" ca="1">SUM(IFERROR(Propagações_TOT_TIETE!$B$7:$BY$110*(Propagações_TOT_TIETE!$B$6:$BY$6=$B81&amp;"A")*(Propagações_TOT_TIETE!$A$7:$A$110&gt;=PREVS_SMAP!D$26)*(Propagações_TOT_TIETE!$A$7:$A$110&lt;=PREVS_SMAP!D$27),0))/7</f>
        <v>0</v>
      </c>
      <c r="E81" s="132">
        <f t="array" aca="1" ref="E81" ca="1">SUM(IFERROR(Propagações_TOT_TIETE!$B$7:$BY$110*(Propagações_TOT_TIETE!$B$6:$BY$6=$B81&amp;"A")*(Propagações_TOT_TIETE!$A$7:$A$110&gt;=PREVS_SMAP!E$26)*(Propagações_TOT_TIETE!$A$7:$A$110&lt;=PREVS_SMAP!E$27),0))/7</f>
        <v>0</v>
      </c>
      <c r="F81" s="132">
        <f t="array" aca="1" ref="F81" ca="1">SUM(IFERROR(Propagações_TOT_TIETE!$B$7:$BY$110*(Propagações_TOT_TIETE!$B$6:$BY$6=$B81&amp;"A")*(Propagações_TOT_TIETE!$A$7:$A$110&gt;=PREVS_SMAP!F$26)*(Propagações_TOT_TIETE!$A$7:$A$110&lt;=PREVS_SMAP!F$27),0))/7</f>
        <v>0</v>
      </c>
      <c r="G81" s="132"/>
      <c r="H81" s="132"/>
      <c r="I81" s="132"/>
      <c r="J81" s="132"/>
      <c r="K81" s="132"/>
      <c r="L81" s="132"/>
      <c r="M81" s="132"/>
      <c r="N81" s="132"/>
      <c r="O81" s="132"/>
      <c r="P81" s="132"/>
      <c r="R81">
        <v>54</v>
      </c>
      <c r="S81" s="40"/>
      <c r="T81" s="40"/>
      <c r="U81" s="131"/>
      <c r="V81" s="131"/>
      <c r="W81" s="131"/>
      <c r="X81" s="131"/>
      <c r="Y81" s="131"/>
      <c r="Z81" s="131"/>
      <c r="AA81" s="131"/>
      <c r="AB81" s="131"/>
      <c r="AD81" s="272"/>
      <c r="AE81" s="272"/>
      <c r="AF81" s="272"/>
      <c r="AG81" s="272"/>
      <c r="AH81" s="272"/>
      <c r="AN81" s="121"/>
      <c r="AO81" s="121" t="e">
        <f t="shared" si="9"/>
        <v>#DIV/0!</v>
      </c>
      <c r="AP81" s="121" t="b">
        <f t="shared" si="10"/>
        <v>0</v>
      </c>
      <c r="AU81" s="121"/>
      <c r="AV81" s="121"/>
      <c r="AW81" s="159"/>
      <c r="AX81" s="159"/>
      <c r="AY81" s="159"/>
      <c r="AZ81" s="157"/>
      <c r="BA81" s="157"/>
      <c r="BB81" s="121">
        <f t="shared" ca="1" si="11"/>
        <v>0</v>
      </c>
      <c r="BC81" s="272">
        <f t="shared" ca="1" si="13"/>
        <v>0</v>
      </c>
      <c r="BD81" s="272">
        <f t="shared" ca="1" si="13"/>
        <v>0</v>
      </c>
      <c r="BE81" s="272">
        <f t="shared" ca="1" si="13"/>
        <v>0</v>
      </c>
      <c r="BF81" s="272">
        <f t="shared" ca="1" si="13"/>
        <v>0</v>
      </c>
      <c r="BG81"/>
    </row>
    <row r="82" spans="1:59" x14ac:dyDescent="0.2">
      <c r="A82" s="294">
        <v>237</v>
      </c>
      <c r="B82" s="283" t="str">
        <f t="shared" ref="B82:B87" si="27">A82&amp;"_VN"</f>
        <v>237_VN</v>
      </c>
      <c r="C82" s="272" t="s">
        <v>209</v>
      </c>
      <c r="D82" s="132">
        <f t="array" aca="1" ref="D82" ca="1">SUM(IFERROR(Propagações_TOT_TIETE!$B$7:$BY$110*(Propagações_TOT_TIETE!$B$6:$BY$6=$B82&amp;"A")*(Propagações_TOT_TIETE!$A$7:$A$110&gt;=PREVS_SMAP!D$26)*(Propagações_TOT_TIETE!$A$7:$A$110&lt;=PREVS_SMAP!D$27),0))/7</f>
        <v>0</v>
      </c>
      <c r="E82" s="132">
        <f t="array" aca="1" ref="E82" ca="1">SUM(IFERROR(Propagações_TOT_TIETE!$B$7:$BY$110*(Propagações_TOT_TIETE!$B$6:$BY$6=$B82&amp;"A")*(Propagações_TOT_TIETE!$A$7:$A$110&gt;=PREVS_SMAP!E$26)*(Propagações_TOT_TIETE!$A$7:$A$110&lt;=PREVS_SMAP!E$27),0))/7</f>
        <v>218.57142857142858</v>
      </c>
      <c r="F82" s="132">
        <f t="array" aca="1" ref="F82" ca="1">SUM(IFERROR(Propagações_TOT_TIETE!$B$7:$BY$110*(Propagações_TOT_TIETE!$B$6:$BY$6=$B82&amp;"A")*(Propagações_TOT_TIETE!$A$7:$A$110&gt;=PREVS_SMAP!F$26)*(Propagações_TOT_TIETE!$A$7:$A$110&lt;=PREVS_SMAP!F$27),0))/7</f>
        <v>300.28571428571428</v>
      </c>
      <c r="G82" s="132" t="e">
        <f t="array" aca="1" ref="G82" ca="1">IF(AD82&lt;7,NA(),SUM(IFERROR(Propagações_TOT_TIETE!$B$7:$BY$110*(Propagações_TOT_TIETE!$B$6:$BY$6=$B82&amp;"I")*(Propagações_TOT_TIETE!$A$7:$A$110&gt;=PREVS_SMAP!G$26)*(Propagações_TOT_TIETE!$A$7:$A$110&lt;=PREVS_SMAP!G$27),0))/7)+G80</f>
        <v>#N/A</v>
      </c>
      <c r="H82" s="132" t="e">
        <f t="array" aca="1" ref="H82" ca="1">IF(AE82&lt;7,NA(),SUM(IFERROR(Propagações_TOT_TIETE!$B$7:$BY$110*(Propagações_TOT_TIETE!$B$6:$BY$6=$B82&amp;"I")*(Propagações_TOT_TIETE!$A$7:$A$110&gt;=PREVS_SMAP!H$26)*(Propagações_TOT_TIETE!$A$7:$A$110&lt;=PREVS_SMAP!H$27),0))/7)+H80</f>
        <v>#N/A</v>
      </c>
      <c r="I82" s="132" t="e">
        <f t="array" aca="1" ref="I82" ca="1">IF(AF82&lt;7,NA(),SUM(IFERROR(Propagações_TOT_TIETE!$B$7:$BY$110*(Propagações_TOT_TIETE!$B$6:$BY$6=$B82&amp;"I")*(Propagações_TOT_TIETE!$A$7:$A$110&gt;=PREVS_SMAP!I$26)*(Propagações_TOT_TIETE!$A$7:$A$110&lt;=PREVS_SMAP!I$27),0))/7)+I80</f>
        <v>#N/A</v>
      </c>
      <c r="J82" s="132" t="e">
        <f t="array" aca="1" ref="J82" ca="1">IF(AG82&lt;7,NA(),SUM(IFERROR(Propagações_TOT_TIETE!$B$7:$BY$110*(Propagações_TOT_TIETE!$B$6:$BY$6=$B82&amp;"I")*(Propagações_TOT_TIETE!$A$7:$A$110&gt;=PREVS_SMAP!J$26)*(Propagações_TOT_TIETE!$A$7:$A$110&lt;=PREVS_SMAP!J$27),0))/7)+J80</f>
        <v>#N/A</v>
      </c>
      <c r="K82" s="132" t="e">
        <f t="array" aca="1" ref="K82" ca="1">IF(AH82&lt;7,NA(),SUM(IFERROR(Propagações_TOT_TIETE!$B$7:$BY$110*(Propagações_TOT_TIETE!$B$6:$BY$6=$B82&amp;"I")*(Propagações_TOT_TIETE!$A$7:$A$110&gt;=PREVS_SMAP!K$26)*(Propagações_TOT_TIETE!$A$7:$A$110&lt;=PREVS_SMAP!K$27),0))/7)+K80</f>
        <v>#N/A</v>
      </c>
      <c r="L82" s="132" t="e">
        <f t="array" aca="1" ref="L82" ca="1">IF(AI82&lt;7,NA(),SUM(IFERROR(Propagações_TOT_TIETE!$B$7:$BY$110*(Propagações_TOT_TIETE!$B$6:$BY$6=$B82&amp;"I")*(Propagações_TOT_TIETE!$A$7:$A$110&gt;=PREVS_SMAP!L$26)*(Propagações_TOT_TIETE!$A$7:$A$110&lt;=PREVS_SMAP!L$27),0))/7)+L80</f>
        <v>#N/A</v>
      </c>
      <c r="M82" s="132" t="e">
        <f t="array" aca="1" ref="M82" ca="1">IF(AJ82&lt;7,NA(),SUM(IFERROR(Propagações_TOT_TIETE!$B$7:$BY$110*(Propagações_TOT_TIETE!$B$6:$BY$6=$B82&amp;"I")*(Propagações_TOT_TIETE!$A$7:$A$110&gt;=PREVS_SMAP!M$26)*(Propagações_TOT_TIETE!$A$7:$A$110&lt;=PREVS_SMAP!M$27),0))/7)+M80</f>
        <v>#N/A</v>
      </c>
      <c r="N82" s="132" t="e">
        <f t="array" aca="1" ref="N82" ca="1">IF(AK82&lt;7,NA(),SUM(IFERROR(Propagações_TOT_TIETE!$B$7:$BY$110*(Propagações_TOT_TIETE!$B$6:$BY$6=$B82&amp;"I")*(Propagações_TOT_TIETE!$A$7:$A$110&gt;=PREVS_SMAP!N$26)*(Propagações_TOT_TIETE!$A$7:$A$110&lt;=PREVS_SMAP!N$27),0))/7)+N80</f>
        <v>#N/A</v>
      </c>
      <c r="O82" s="132" t="e">
        <f t="array" aca="1" ref="O82" ca="1">IF(AL82&lt;7,NA(),SUM(IFERROR(Propagações_TOT_TIETE!$B$7:$BY$110*(Propagações_TOT_TIETE!$B$6:$BY$6=$B82&amp;"I")*(Propagações_TOT_TIETE!$A$7:$A$110&gt;=PREVS_SMAP!O$26)*(Propagações_TOT_TIETE!$A$7:$A$110&lt;=PREVS_SMAP!O$27),0))/7)+O80</f>
        <v>#N/A</v>
      </c>
      <c r="P82" s="132"/>
      <c r="R82">
        <v>55</v>
      </c>
      <c r="S82" s="40"/>
      <c r="T82" s="40"/>
      <c r="U82" s="131"/>
      <c r="V82" s="131"/>
      <c r="W82" s="131"/>
      <c r="X82" s="131"/>
      <c r="Y82" s="131"/>
      <c r="Z82" s="131"/>
      <c r="AA82" s="131"/>
      <c r="AB82" s="131"/>
      <c r="AD82" s="272">
        <f t="array" aca="1" ref="AD82" ca="1">SUM(IFERROR(ISNUMBER(Propagações_TOT_TIETE!$B$7:$BY$110)*(Propagações_TOT_TIETE!$B$6:$BY$6=$B82&amp;"A")*(Propagações_TOT_TIETE!$A$7:$A$110&gt;=PREVS_SMAP!G$26)*(Propagações_TOT_TIETE!$A$7:$A$110&lt;=PREVS_SMAP!G$27),0))</f>
        <v>0</v>
      </c>
      <c r="AE82" s="272">
        <f t="array" aca="1" ref="AE82" ca="1">SUM(IFERROR(ISNUMBER(Propagações_TOT_TIETE!$B$7:$BY$110)*(Propagações_TOT_TIETE!$B$6:$BY$6=$B82&amp;"A")*(Propagações_TOT_TIETE!$A$7:$A$110&gt;=PREVS_SMAP!H$26)*(Propagações_TOT_TIETE!$A$7:$A$110&lt;=PREVS_SMAP!H$27),0))</f>
        <v>0</v>
      </c>
      <c r="AF82" s="272">
        <f t="array" aca="1" ref="AF82" ca="1">SUM(IFERROR(ISNUMBER(Propagações_TOT_TIETE!$B$7:$BY$110)*(Propagações_TOT_TIETE!$B$6:$BY$6=$B82&amp;"A")*(Propagações_TOT_TIETE!$A$7:$A$110&gt;=PREVS_SMAP!I$26)*(Propagações_TOT_TIETE!$A$7:$A$110&lt;=PREVS_SMAP!I$27),0))</f>
        <v>0</v>
      </c>
      <c r="AG82" s="272">
        <f t="array" aca="1" ref="AG82" ca="1">SUM(IFERROR(ISNUMBER(Propagações_TOT_TIETE!$B$7:$BY$110)*(Propagações_TOT_TIETE!$B$6:$BY$6=$B82&amp;"A")*(Propagações_TOT_TIETE!$A$7:$A$110&gt;=PREVS_SMAP!J$26)*(Propagações_TOT_TIETE!$A$7:$A$110&lt;=PREVS_SMAP!J$27),0))</f>
        <v>0</v>
      </c>
      <c r="AH82" s="272">
        <f t="array" aca="1" ref="AH82" ca="1">SUM(IFERROR(ISNUMBER(Propagações_TOT_TIETE!$B$7:$BY$110)*(Propagações_TOT_TIETE!$B$6:$BY$6=$B82&amp;"A")*(Propagações_TOT_TIETE!$A$7:$A$110&gt;=PREVS_SMAP!K$26)*(Propagações_TOT_TIETE!$A$7:$A$110&lt;=PREVS_SMAP!K$27),0))</f>
        <v>0</v>
      </c>
      <c r="AI82" s="272">
        <f t="array" aca="1" ref="AI82" ca="1">SUM(IFERROR(ISNUMBER(Propagações_TOT_TIETE!$B$7:$BY$110)*(Propagações_TOT_TIETE!$B$6:$BY$6=$B82&amp;"A")*(Propagações_TOT_TIETE!$A$7:$A$110&gt;=PREVS_SMAP!L$26)*(Propagações_TOT_TIETE!$A$7:$A$110&lt;=PREVS_SMAP!L$27),0))</f>
        <v>0</v>
      </c>
      <c r="AJ82" s="272">
        <f t="array" aca="1" ref="AJ82" ca="1">SUM(IFERROR(ISNUMBER(Propagações_TOT_TIETE!$B$7:$BY$110)*(Propagações_TOT_TIETE!$B$6:$BY$6=$B82&amp;"A")*(Propagações_TOT_TIETE!$A$7:$A$110&gt;=PREVS_SMAP!M$26)*(Propagações_TOT_TIETE!$A$7:$A$110&lt;=PREVS_SMAP!M$27),0))</f>
        <v>0</v>
      </c>
      <c r="AK82" s="272">
        <f t="array" aca="1" ref="AK82" ca="1">SUM(IFERROR(ISNUMBER(Propagações_TOT_TIETE!$B$7:$BY$110)*(Propagações_TOT_TIETE!$B$6:$BY$6=$B82&amp;"A")*(Propagações_TOT_TIETE!$A$7:$A$110&gt;=PREVS_SMAP!N$26)*(Propagações_TOT_TIETE!$A$7:$A$110&lt;=PREVS_SMAP!N$27),0))</f>
        <v>0</v>
      </c>
      <c r="AL82" s="272">
        <f t="array" aca="1" ref="AL82" ca="1">SUM(IFERROR(ISNUMBER(Propagações_TOT_TIETE!$B$7:$BY$110)*(Propagações_TOT_TIETE!$B$6:$BY$6=$B82&amp;"A")*(Propagações_TOT_TIETE!$A$7:$A$110&gt;=PREVS_SMAP!O$26)*(Propagações_TOT_TIETE!$A$7:$A$110&lt;=PREVS_SMAP!O$27),0))</f>
        <v>0</v>
      </c>
      <c r="AN82" s="121"/>
      <c r="AO82" s="121" t="e">
        <f t="shared" si="9"/>
        <v>#DIV/0!</v>
      </c>
      <c r="AP82" s="121" t="b">
        <f t="shared" si="10"/>
        <v>0</v>
      </c>
      <c r="AU82" s="121"/>
      <c r="AV82" s="121"/>
      <c r="AW82" s="159"/>
      <c r="AX82" s="159"/>
      <c r="AY82" s="159"/>
      <c r="AZ82" s="157"/>
      <c r="BA82" s="157"/>
      <c r="BB82" s="121">
        <f t="shared" ca="1" si="11"/>
        <v>0</v>
      </c>
      <c r="BC82" s="272">
        <f t="shared" ca="1" si="13"/>
        <v>0</v>
      </c>
      <c r="BD82" s="272">
        <f t="shared" ca="1" si="13"/>
        <v>0</v>
      </c>
      <c r="BE82" s="272">
        <f t="shared" ca="1" si="13"/>
        <v>0</v>
      </c>
      <c r="BF82" s="272">
        <f t="shared" ca="1" si="13"/>
        <v>0</v>
      </c>
      <c r="BG82"/>
    </row>
    <row r="83" spans="1:59" x14ac:dyDescent="0.2">
      <c r="A83" s="323">
        <v>238</v>
      </c>
      <c r="B83" s="322" t="str">
        <f t="shared" si="27"/>
        <v>238_VN</v>
      </c>
      <c r="C83" s="272" t="s">
        <v>218</v>
      </c>
      <c r="D83" s="132">
        <f t="array" aca="1" ref="D83" ca="1">SUM(IFERROR(Propagações_TOT_TIETE!$B$7:$BY$110*(Propagações_TOT_TIETE!$B$6:$BY$6=$B83&amp;"A")*(Propagações_TOT_TIETE!$A$7:$A$110&gt;=PREVS_SMAP!D$26)*(Propagações_TOT_TIETE!$A$7:$A$110&lt;=PREVS_SMAP!D$27),0))/7</f>
        <v>0</v>
      </c>
      <c r="E83" s="132">
        <f t="array" aca="1" ref="E83" ca="1">SUM(IFERROR(Propagações_TOT_TIETE!$B$7:$BY$110*(Propagações_TOT_TIETE!$B$6:$BY$6=$B83&amp;"A")*(Propagações_TOT_TIETE!$A$7:$A$110&gt;=PREVS_SMAP!E$26)*(Propagações_TOT_TIETE!$A$7:$A$110&lt;=PREVS_SMAP!E$27),0))/7</f>
        <v>265</v>
      </c>
      <c r="F83" s="132">
        <f t="array" aca="1" ref="F83" ca="1">SUM(IFERROR(Propagações_TOT_TIETE!$B$7:$BY$110*(Propagações_TOT_TIETE!$B$6:$BY$6=$B83&amp;"A")*(Propagações_TOT_TIETE!$A$7:$A$110&gt;=PREVS_SMAP!F$26)*(Propagações_TOT_TIETE!$A$7:$A$110&lt;=PREVS_SMAP!F$27),0))/7</f>
        <v>305.71428571428572</v>
      </c>
      <c r="G83" s="132" t="e">
        <f t="array" aca="1" ref="G83" ca="1">IF(AD83&lt;7,NA(),SUM(IFERROR(Propagações_TOT_TIETE!$B$7:$BY$110*(Propagações_TOT_TIETE!$B$6:$BY$6=$B83&amp;"I")*(Propagações_TOT_TIETE!$A$7:$A$110&gt;=PREVS_SMAP!G$26)*(Propagações_TOT_TIETE!$A$7:$A$110&lt;=PREVS_SMAP!G$27),0))/7)+G82</f>
        <v>#N/A</v>
      </c>
      <c r="H83" s="132" t="e">
        <f t="array" aca="1" ref="H83" ca="1">IF(AE83&lt;7,NA(),SUM(IFERROR(Propagações_TOT_TIETE!$B$7:$BY$110*(Propagações_TOT_TIETE!$B$6:$BY$6=$B83&amp;"I")*(Propagações_TOT_TIETE!$A$7:$A$110&gt;=PREVS_SMAP!H$26)*(Propagações_TOT_TIETE!$A$7:$A$110&lt;=PREVS_SMAP!H$27),0))/7)+H82</f>
        <v>#N/A</v>
      </c>
      <c r="I83" s="132" t="e">
        <f t="array" aca="1" ref="I83" ca="1">IF(AF83&lt;7,NA(),SUM(IFERROR(Propagações_TOT_TIETE!$B$7:$BY$110*(Propagações_TOT_TIETE!$B$6:$BY$6=$B83&amp;"I")*(Propagações_TOT_TIETE!$A$7:$A$110&gt;=PREVS_SMAP!I$26)*(Propagações_TOT_TIETE!$A$7:$A$110&lt;=PREVS_SMAP!I$27),0))/7)+I82</f>
        <v>#N/A</v>
      </c>
      <c r="J83" s="132" t="e">
        <f t="array" aca="1" ref="J83" ca="1">IF(AG83&lt;7,NA(),SUM(IFERROR(Propagações_TOT_TIETE!$B$7:$BY$110*(Propagações_TOT_TIETE!$B$6:$BY$6=$B83&amp;"I")*(Propagações_TOT_TIETE!$A$7:$A$110&gt;=PREVS_SMAP!J$26)*(Propagações_TOT_TIETE!$A$7:$A$110&lt;=PREVS_SMAP!J$27),0))/7)+J82</f>
        <v>#N/A</v>
      </c>
      <c r="K83" s="132" t="e">
        <f t="array" aca="1" ref="K83" ca="1">IF(AH83&lt;7,NA(),SUM(IFERROR(Propagações_TOT_TIETE!$B$7:$BY$110*(Propagações_TOT_TIETE!$B$6:$BY$6=$B83&amp;"I")*(Propagações_TOT_TIETE!$A$7:$A$110&gt;=PREVS_SMAP!K$26)*(Propagações_TOT_TIETE!$A$7:$A$110&lt;=PREVS_SMAP!K$27),0))/7)+K82</f>
        <v>#N/A</v>
      </c>
      <c r="L83" s="132" t="e">
        <f t="array" aca="1" ref="L83" ca="1">IF(AI83&lt;7,NA(),SUM(IFERROR(Propagações_TOT_TIETE!$B$7:$BY$110*(Propagações_TOT_TIETE!$B$6:$BY$6=$B83&amp;"I")*(Propagações_TOT_TIETE!$A$7:$A$110&gt;=PREVS_SMAP!L$26)*(Propagações_TOT_TIETE!$A$7:$A$110&lt;=PREVS_SMAP!L$27),0))/7)+L82</f>
        <v>#N/A</v>
      </c>
      <c r="M83" s="132" t="e">
        <f t="array" aca="1" ref="M83" ca="1">IF(AJ83&lt;7,NA(),SUM(IFERROR(Propagações_TOT_TIETE!$B$7:$BY$110*(Propagações_TOT_TIETE!$B$6:$BY$6=$B83&amp;"I")*(Propagações_TOT_TIETE!$A$7:$A$110&gt;=PREVS_SMAP!M$26)*(Propagações_TOT_TIETE!$A$7:$A$110&lt;=PREVS_SMAP!M$27),0))/7)+M82</f>
        <v>#N/A</v>
      </c>
      <c r="N83" s="132" t="e">
        <f t="array" aca="1" ref="N83" ca="1">IF(AK83&lt;7,NA(),SUM(IFERROR(Propagações_TOT_TIETE!$B$7:$BY$110*(Propagações_TOT_TIETE!$B$6:$BY$6=$B83&amp;"I")*(Propagações_TOT_TIETE!$A$7:$A$110&gt;=PREVS_SMAP!N$26)*(Propagações_TOT_TIETE!$A$7:$A$110&lt;=PREVS_SMAP!N$27),0))/7)+N82</f>
        <v>#N/A</v>
      </c>
      <c r="O83" s="132" t="e">
        <f t="array" aca="1" ref="O83" ca="1">IF(AL83&lt;7,NA(),SUM(IFERROR(Propagações_TOT_TIETE!$B$7:$BY$110*(Propagações_TOT_TIETE!$B$6:$BY$6=$B83&amp;"I")*(Propagações_TOT_TIETE!$A$7:$A$110&gt;=PREVS_SMAP!O$26)*(Propagações_TOT_TIETE!$A$7:$A$110&lt;=PREVS_SMAP!O$27),0))/7)+O82</f>
        <v>#N/A</v>
      </c>
      <c r="P83" s="132"/>
      <c r="R83">
        <v>56</v>
      </c>
      <c r="S83" s="40"/>
      <c r="T83" s="40"/>
      <c r="U83" s="131"/>
      <c r="V83" s="131"/>
      <c r="W83" s="131"/>
      <c r="X83" s="131"/>
      <c r="Y83" s="131"/>
      <c r="Z83" s="131"/>
      <c r="AA83" s="131"/>
      <c r="AB83" s="131"/>
      <c r="AD83" s="272">
        <f t="array" aca="1" ref="AD83" ca="1">SUM(IFERROR(ISNUMBER(Propagações_TOT_TIETE!$B$7:$BY$110)*(Propagações_TOT_TIETE!$B$6:$BY$6=$B83&amp;"A")*(Propagações_TOT_TIETE!$A$7:$A$110&gt;=PREVS_SMAP!G$26)*(Propagações_TOT_TIETE!$A$7:$A$110&lt;=PREVS_SMAP!G$27),0))</f>
        <v>0</v>
      </c>
      <c r="AE83" s="272">
        <f t="array" aca="1" ref="AE83" ca="1">SUM(IFERROR(ISNUMBER(Propagações_TOT_TIETE!$B$7:$BY$110)*(Propagações_TOT_TIETE!$B$6:$BY$6=$B83&amp;"A")*(Propagações_TOT_TIETE!$A$7:$A$110&gt;=PREVS_SMAP!H$26)*(Propagações_TOT_TIETE!$A$7:$A$110&lt;=PREVS_SMAP!H$27),0))</f>
        <v>0</v>
      </c>
      <c r="AF83" s="272">
        <f t="array" aca="1" ref="AF83" ca="1">SUM(IFERROR(ISNUMBER(Propagações_TOT_TIETE!$B$7:$BY$110)*(Propagações_TOT_TIETE!$B$6:$BY$6=$B83&amp;"A")*(Propagações_TOT_TIETE!$A$7:$A$110&gt;=PREVS_SMAP!I$26)*(Propagações_TOT_TIETE!$A$7:$A$110&lt;=PREVS_SMAP!I$27),0))</f>
        <v>0</v>
      </c>
      <c r="AG83" s="272">
        <f t="array" aca="1" ref="AG83" ca="1">SUM(IFERROR(ISNUMBER(Propagações_TOT_TIETE!$B$7:$BY$110)*(Propagações_TOT_TIETE!$B$6:$BY$6=$B83&amp;"A")*(Propagações_TOT_TIETE!$A$7:$A$110&gt;=PREVS_SMAP!J$26)*(Propagações_TOT_TIETE!$A$7:$A$110&lt;=PREVS_SMAP!J$27),0))</f>
        <v>0</v>
      </c>
      <c r="AH83" s="272">
        <f t="array" aca="1" ref="AH83" ca="1">SUM(IFERROR(ISNUMBER(Propagações_TOT_TIETE!$B$7:$BY$110)*(Propagações_TOT_TIETE!$B$6:$BY$6=$B83&amp;"A")*(Propagações_TOT_TIETE!$A$7:$A$110&gt;=PREVS_SMAP!K$26)*(Propagações_TOT_TIETE!$A$7:$A$110&lt;=PREVS_SMAP!K$27),0))</f>
        <v>0</v>
      </c>
      <c r="AI83" s="272">
        <f t="array" aca="1" ref="AI83" ca="1">SUM(IFERROR(ISNUMBER(Propagações_TOT_TIETE!$B$7:$BY$110)*(Propagações_TOT_TIETE!$B$6:$BY$6=$B83&amp;"A")*(Propagações_TOT_TIETE!$A$7:$A$110&gt;=PREVS_SMAP!L$26)*(Propagações_TOT_TIETE!$A$7:$A$110&lt;=PREVS_SMAP!L$27),0))</f>
        <v>0</v>
      </c>
      <c r="AJ83" s="272">
        <f t="array" aca="1" ref="AJ83" ca="1">SUM(IFERROR(ISNUMBER(Propagações_TOT_TIETE!$B$7:$BY$110)*(Propagações_TOT_TIETE!$B$6:$BY$6=$B83&amp;"A")*(Propagações_TOT_TIETE!$A$7:$A$110&gt;=PREVS_SMAP!M$26)*(Propagações_TOT_TIETE!$A$7:$A$110&lt;=PREVS_SMAP!M$27),0))</f>
        <v>0</v>
      </c>
      <c r="AK83" s="272">
        <f t="array" aca="1" ref="AK83" ca="1">SUM(IFERROR(ISNUMBER(Propagações_TOT_TIETE!$B$7:$BY$110)*(Propagações_TOT_TIETE!$B$6:$BY$6=$B83&amp;"A")*(Propagações_TOT_TIETE!$A$7:$A$110&gt;=PREVS_SMAP!N$26)*(Propagações_TOT_TIETE!$A$7:$A$110&lt;=PREVS_SMAP!N$27),0))</f>
        <v>0</v>
      </c>
      <c r="AL83" s="272">
        <f t="array" aca="1" ref="AL83" ca="1">SUM(IFERROR(ISNUMBER(Propagações_TOT_TIETE!$B$7:$BY$110)*(Propagações_TOT_TIETE!$B$6:$BY$6=$B83&amp;"A")*(Propagações_TOT_TIETE!$A$7:$A$110&gt;=PREVS_SMAP!O$26)*(Propagações_TOT_TIETE!$A$7:$A$110&lt;=PREVS_SMAP!O$27),0))</f>
        <v>0</v>
      </c>
      <c r="AN83" s="121"/>
      <c r="AO83" s="121" t="e">
        <f t="shared" si="9"/>
        <v>#DIV/0!</v>
      </c>
      <c r="AP83" s="121" t="b">
        <f t="shared" si="10"/>
        <v>0</v>
      </c>
      <c r="AU83" s="121"/>
      <c r="AV83" s="121"/>
      <c r="AW83" s="159"/>
      <c r="AX83" s="159"/>
      <c r="AY83" s="159"/>
      <c r="AZ83" s="157"/>
      <c r="BA83" s="157"/>
      <c r="BB83" s="121">
        <f t="shared" ca="1" si="11"/>
        <v>0</v>
      </c>
      <c r="BC83" s="272">
        <f t="shared" ca="1" si="13"/>
        <v>0</v>
      </c>
      <c r="BD83" s="272">
        <f t="shared" ca="1" si="13"/>
        <v>0</v>
      </c>
      <c r="BE83" s="272">
        <f t="shared" ca="1" si="13"/>
        <v>0</v>
      </c>
      <c r="BF83" s="272">
        <f t="shared" ca="1" si="13"/>
        <v>0</v>
      </c>
      <c r="BG83"/>
    </row>
    <row r="84" spans="1:59" x14ac:dyDescent="0.2">
      <c r="A84" s="294">
        <v>239</v>
      </c>
      <c r="B84" s="283" t="str">
        <f t="shared" si="27"/>
        <v>239_VN</v>
      </c>
      <c r="C84" s="272" t="s">
        <v>210</v>
      </c>
      <c r="D84" s="132">
        <f t="array" aca="1" ref="D84" ca="1">SUM(IFERROR(Propagações_TOT_TIETE!$B$7:$BY$110*(Propagações_TOT_TIETE!$B$6:$BY$6=$B84&amp;"A")*(Propagações_TOT_TIETE!$A$7:$A$110&gt;=PREVS_SMAP!D$26)*(Propagações_TOT_TIETE!$A$7:$A$110&lt;=PREVS_SMAP!D$27),0))/7</f>
        <v>0</v>
      </c>
      <c r="E84" s="132">
        <f t="array" aca="1" ref="E84" ca="1">SUM(IFERROR(Propagações_TOT_TIETE!$B$7:$BY$110*(Propagações_TOT_TIETE!$B$6:$BY$6=$B84&amp;"A")*(Propagações_TOT_TIETE!$A$7:$A$110&gt;=PREVS_SMAP!E$26)*(Propagações_TOT_TIETE!$A$7:$A$110&lt;=PREVS_SMAP!E$27),0))/7</f>
        <v>369.42857142857144</v>
      </c>
      <c r="F84" s="132">
        <f t="array" aca="1" ref="F84" ca="1">SUM(IFERROR(Propagações_TOT_TIETE!$B$7:$BY$110*(Propagações_TOT_TIETE!$B$6:$BY$6=$B84&amp;"A")*(Propagações_TOT_TIETE!$A$7:$A$110&gt;=PREVS_SMAP!F$26)*(Propagações_TOT_TIETE!$A$7:$A$110&lt;=PREVS_SMAP!F$27),0))/7</f>
        <v>317.57142857142856</v>
      </c>
      <c r="G84" s="132" t="e">
        <f t="array" aca="1" ref="G84" ca="1">IF(AD84&lt;7,NA(),SUM(IFERROR(Propagações_TOT_TIETE!$B$7:$BY$110*(Propagações_TOT_TIETE!$B$6:$BY$6=$B84&amp;"I")*(Propagações_TOT_TIETE!$A$7:$A$110&gt;=PREVS_SMAP!G$26)*(Propagações_TOT_TIETE!$A$7:$A$110&lt;=PREVS_SMAP!G$27),0))/7)+G83</f>
        <v>#N/A</v>
      </c>
      <c r="H84" s="132" t="e">
        <f t="array" aca="1" ref="H84" ca="1">IF(AE84&lt;7,NA(),SUM(IFERROR(Propagações_TOT_TIETE!$B$7:$BY$110*(Propagações_TOT_TIETE!$B$6:$BY$6=$B84&amp;"I")*(Propagações_TOT_TIETE!$A$7:$A$110&gt;=PREVS_SMAP!H$26)*(Propagações_TOT_TIETE!$A$7:$A$110&lt;=PREVS_SMAP!H$27),0))/7)+H83</f>
        <v>#N/A</v>
      </c>
      <c r="I84" s="132" t="e">
        <f t="array" aca="1" ref="I84" ca="1">IF(AF84&lt;7,NA(),SUM(IFERROR(Propagações_TOT_TIETE!$B$7:$BY$110*(Propagações_TOT_TIETE!$B$6:$BY$6=$B84&amp;"I")*(Propagações_TOT_TIETE!$A$7:$A$110&gt;=PREVS_SMAP!I$26)*(Propagações_TOT_TIETE!$A$7:$A$110&lt;=PREVS_SMAP!I$27),0))/7)+I83</f>
        <v>#N/A</v>
      </c>
      <c r="J84" s="132" t="e">
        <f t="array" aca="1" ref="J84" ca="1">IF(AG84&lt;7,NA(),SUM(IFERROR(Propagações_TOT_TIETE!$B$7:$BY$110*(Propagações_TOT_TIETE!$B$6:$BY$6=$B84&amp;"I")*(Propagações_TOT_TIETE!$A$7:$A$110&gt;=PREVS_SMAP!J$26)*(Propagações_TOT_TIETE!$A$7:$A$110&lt;=PREVS_SMAP!J$27),0))/7)+J83</f>
        <v>#N/A</v>
      </c>
      <c r="K84" s="132" t="e">
        <f t="array" aca="1" ref="K84" ca="1">IF(AH84&lt;7,NA(),SUM(IFERROR(Propagações_TOT_TIETE!$B$7:$BY$110*(Propagações_TOT_TIETE!$B$6:$BY$6=$B84&amp;"I")*(Propagações_TOT_TIETE!$A$7:$A$110&gt;=PREVS_SMAP!K$26)*(Propagações_TOT_TIETE!$A$7:$A$110&lt;=PREVS_SMAP!K$27),0))/7)+K83</f>
        <v>#N/A</v>
      </c>
      <c r="L84" s="132" t="e">
        <f t="array" aca="1" ref="L84" ca="1">IF(AI84&lt;7,NA(),SUM(IFERROR(Propagações_TOT_TIETE!$B$7:$BY$110*(Propagações_TOT_TIETE!$B$6:$BY$6=$B84&amp;"I")*(Propagações_TOT_TIETE!$A$7:$A$110&gt;=PREVS_SMAP!L$26)*(Propagações_TOT_TIETE!$A$7:$A$110&lt;=PREVS_SMAP!L$27),0))/7)+L83</f>
        <v>#N/A</v>
      </c>
      <c r="M84" s="132" t="e">
        <f t="array" aca="1" ref="M84" ca="1">IF(AJ84&lt;7,NA(),SUM(IFERROR(Propagações_TOT_TIETE!$B$7:$BY$110*(Propagações_TOT_TIETE!$B$6:$BY$6=$B84&amp;"I")*(Propagações_TOT_TIETE!$A$7:$A$110&gt;=PREVS_SMAP!M$26)*(Propagações_TOT_TIETE!$A$7:$A$110&lt;=PREVS_SMAP!M$27),0))/7)+M83</f>
        <v>#N/A</v>
      </c>
      <c r="N84" s="132" t="e">
        <f t="array" aca="1" ref="N84" ca="1">IF(AK84&lt;7,NA(),SUM(IFERROR(Propagações_TOT_TIETE!$B$7:$BY$110*(Propagações_TOT_TIETE!$B$6:$BY$6=$B84&amp;"I")*(Propagações_TOT_TIETE!$A$7:$A$110&gt;=PREVS_SMAP!N$26)*(Propagações_TOT_TIETE!$A$7:$A$110&lt;=PREVS_SMAP!N$27),0))/7)+N83</f>
        <v>#N/A</v>
      </c>
      <c r="O84" s="132" t="e">
        <f t="array" aca="1" ref="O84" ca="1">IF(AL84&lt;7,NA(),SUM(IFERROR(Propagações_TOT_TIETE!$B$7:$BY$110*(Propagações_TOT_TIETE!$B$6:$BY$6=$B84&amp;"I")*(Propagações_TOT_TIETE!$A$7:$A$110&gt;=PREVS_SMAP!O$26)*(Propagações_TOT_TIETE!$A$7:$A$110&lt;=PREVS_SMAP!O$27),0))/7)+O83</f>
        <v>#N/A</v>
      </c>
      <c r="P84" s="132"/>
      <c r="R84">
        <v>57</v>
      </c>
      <c r="S84" s="40">
        <f ca="1">AO84</f>
        <v>76</v>
      </c>
      <c r="T84" s="40" t="str">
        <f t="shared" ref="T84:AB84" ca="1" si="28">IFERROR(ROUND(INDEX(G$28:G$129,MATCH($R84,$A$28:$A$129,0)),0),"")</f>
        <v/>
      </c>
      <c r="U84" s="131" t="str">
        <f t="shared" ca="1" si="28"/>
        <v/>
      </c>
      <c r="V84" s="131" t="str">
        <f t="shared" ca="1" si="28"/>
        <v/>
      </c>
      <c r="W84" s="131" t="str">
        <f t="shared" ca="1" si="28"/>
        <v/>
      </c>
      <c r="X84" s="131" t="str">
        <f t="shared" ca="1" si="28"/>
        <v/>
      </c>
      <c r="Y84" s="131" t="str">
        <f t="shared" ca="1" si="28"/>
        <v/>
      </c>
      <c r="Z84" s="131" t="str">
        <f t="shared" ca="1" si="28"/>
        <v/>
      </c>
      <c r="AA84" s="131" t="str">
        <f t="shared" ca="1" si="28"/>
        <v/>
      </c>
      <c r="AB84" s="131" t="str">
        <f t="shared" ca="1" si="28"/>
        <v/>
      </c>
      <c r="AD84" s="272">
        <f t="array" aca="1" ref="AD84" ca="1">SUM(IFERROR(ISNUMBER(Propagações_TOT_TIETE!$B$7:$BY$110)*(Propagações_TOT_TIETE!$B$6:$BY$6=$B84&amp;"A")*(Propagações_TOT_TIETE!$A$7:$A$110&gt;=PREVS_SMAP!G$26)*(Propagações_TOT_TIETE!$A$7:$A$110&lt;=PREVS_SMAP!G$27),0))</f>
        <v>0</v>
      </c>
      <c r="AE84" s="272">
        <f t="array" aca="1" ref="AE84" ca="1">SUM(IFERROR(ISNUMBER(Propagações_TOT_TIETE!$B$7:$BY$110)*(Propagações_TOT_TIETE!$B$6:$BY$6=$B84&amp;"A")*(Propagações_TOT_TIETE!$A$7:$A$110&gt;=PREVS_SMAP!H$26)*(Propagações_TOT_TIETE!$A$7:$A$110&lt;=PREVS_SMAP!H$27),0))</f>
        <v>0</v>
      </c>
      <c r="AF84" s="272">
        <f t="array" aca="1" ref="AF84" ca="1">SUM(IFERROR(ISNUMBER(Propagações_TOT_TIETE!$B$7:$BY$110)*(Propagações_TOT_TIETE!$B$6:$BY$6=$B84&amp;"A")*(Propagações_TOT_TIETE!$A$7:$A$110&gt;=PREVS_SMAP!I$26)*(Propagações_TOT_TIETE!$A$7:$A$110&lt;=PREVS_SMAP!I$27),0))</f>
        <v>0</v>
      </c>
      <c r="AG84" s="272">
        <f t="array" aca="1" ref="AG84" ca="1">SUM(IFERROR(ISNUMBER(Propagações_TOT_TIETE!$B$7:$BY$110)*(Propagações_TOT_TIETE!$B$6:$BY$6=$B84&amp;"A")*(Propagações_TOT_TIETE!$A$7:$A$110&gt;=PREVS_SMAP!J$26)*(Propagações_TOT_TIETE!$A$7:$A$110&lt;=PREVS_SMAP!J$27),0))</f>
        <v>0</v>
      </c>
      <c r="AH84" s="272">
        <f t="array" aca="1" ref="AH84" ca="1">SUM(IFERROR(ISNUMBER(Propagações_TOT_TIETE!$B$7:$BY$110)*(Propagações_TOT_TIETE!$B$6:$BY$6=$B84&amp;"A")*(Propagações_TOT_TIETE!$A$7:$A$110&gt;=PREVS_SMAP!K$26)*(Propagações_TOT_TIETE!$A$7:$A$110&lt;=PREVS_SMAP!K$27),0))</f>
        <v>0</v>
      </c>
      <c r="AI84" s="272">
        <f t="array" aca="1" ref="AI84" ca="1">SUM(IFERROR(ISNUMBER(Propagações_TOT_TIETE!$B$7:$BY$110)*(Propagações_TOT_TIETE!$B$6:$BY$6=$B84&amp;"A")*(Propagações_TOT_TIETE!$A$7:$A$110&gt;=PREVS_SMAP!L$26)*(Propagações_TOT_TIETE!$A$7:$A$110&lt;=PREVS_SMAP!L$27),0))</f>
        <v>0</v>
      </c>
      <c r="AJ84" s="272">
        <f t="array" aca="1" ref="AJ84" ca="1">SUM(IFERROR(ISNUMBER(Propagações_TOT_TIETE!$B$7:$BY$110)*(Propagações_TOT_TIETE!$B$6:$BY$6=$B84&amp;"A")*(Propagações_TOT_TIETE!$A$7:$A$110&gt;=PREVS_SMAP!M$26)*(Propagações_TOT_TIETE!$A$7:$A$110&lt;=PREVS_SMAP!M$27),0))</f>
        <v>0</v>
      </c>
      <c r="AK84" s="272">
        <f t="array" aca="1" ref="AK84" ca="1">SUM(IFERROR(ISNUMBER(Propagações_TOT_TIETE!$B$7:$BY$110)*(Propagações_TOT_TIETE!$B$6:$BY$6=$B84&amp;"A")*(Propagações_TOT_TIETE!$A$7:$A$110&gt;=PREVS_SMAP!N$26)*(Propagações_TOT_TIETE!$A$7:$A$110&lt;=PREVS_SMAP!N$27),0))</f>
        <v>0</v>
      </c>
      <c r="AL84" s="272">
        <f t="array" aca="1" ref="AL84" ca="1">SUM(IFERROR(ISNUMBER(Propagações_TOT_TIETE!$B$7:$BY$110)*(Propagações_TOT_TIETE!$B$6:$BY$6=$B84&amp;"A")*(Propagações_TOT_TIETE!$A$7:$A$110&gt;=PREVS_SMAP!O$26)*(Propagações_TOT_TIETE!$A$7:$A$110&lt;=PREVS_SMAP!O$27),0))</f>
        <v>0</v>
      </c>
      <c r="AN84" s="121"/>
      <c r="AO84" s="121">
        <f t="shared" ca="1" si="9"/>
        <v>76</v>
      </c>
      <c r="AP84" s="121" t="b">
        <f t="shared" si="10"/>
        <v>1</v>
      </c>
      <c r="AQ84" s="272">
        <f ca="1">+AVERAGEIFS(TABELA_VAZAO[qnat],TABELA_VAZAO[Posto],$R84,TABELA_VAZAO[Data],AQ$27)</f>
        <v>167</v>
      </c>
      <c r="AR84" s="272">
        <f ca="1">+AVERAGEIFS(TABELA_VAZAO[qnat],TABELA_VAZAO[Posto],$R84,TABELA_VAZAO[Data],AR$27)</f>
        <v>166</v>
      </c>
      <c r="AS84" s="272">
        <f ca="1">+AVERAGEIFS(TABELA_VAZAO[qnat],TABELA_VAZAO[Posto],$R84,TABELA_VAZAO[Data],AS$27)</f>
        <v>166</v>
      </c>
      <c r="AT84" s="272">
        <f ca="1">+AVERAGEIFS(TABELA_VAZAO[qnat],TABELA_VAZAO[Posto],$R84,TABELA_VAZAO[Data],AT$27)</f>
        <v>176</v>
      </c>
      <c r="AU84" s="121">
        <f ca="1">+AVERAGEIFS(TABELA_VAZAO[qnat],TABELA_VAZAO[Posto],$R84,TABELA_VAZAO[Data],AU$27)</f>
        <v>186</v>
      </c>
      <c r="AV84" s="272">
        <f ca="1">IFERROR(AVERAGEIFS(TABELA_VAZAO[qnat],TABELA_VAZAO[Posto],$R84,TABELA_VAZAO[Data],AV$27),AU84+$BB84*EXP(AV$26))</f>
        <v>178</v>
      </c>
      <c r="AW84" s="159">
        <f ca="1">IFERROR(AVERAGEIFS(TABELA_VAZAO[qnat],TABELA_VAZAO[Posto],$R84,TABELA_VAZAO[Data],AW$27),AV84+$BB84*EXP(AW$26))</f>
        <v>171</v>
      </c>
      <c r="AX84" s="325">
        <f ca="1">IFERROR(AVERAGEIFS(TABELA_VAZAO[qnat],TABELA_VAZAO[Posto],$R84,TABELA_VAZAO[Data],AX$27),AW84+$BB84*EXP(AX$26))</f>
        <v>168.57142857142858</v>
      </c>
      <c r="AY84" s="325">
        <f ca="1">IFERROR(AVERAGEIFS(TABELA_VAZAO[qnat],TABELA_VAZAO[Posto],$R84,TABELA_VAZAO[Data],AY$27),AX84+$BB84*EXP(AY$26))</f>
        <v>166.94350845962774</v>
      </c>
      <c r="AZ84" s="326">
        <f ca="1">IFERROR(AVERAGEIFS(TABELA_VAZAO[qnat],TABELA_VAZAO[Posto],$R84,TABELA_VAZAO[Data],AZ$27),AY84+$BB84*EXP(AZ$26))</f>
        <v>165.85228097534306</v>
      </c>
      <c r="BA84" s="326">
        <f ca="1">IFERROR(AVERAGEIFS(TABELA_VAZAO[qnat],TABELA_VAZAO[Posto],$R84,TABELA_VAZAO[Data],BA$27),AZ84+$BB84*EXP(BA$26))</f>
        <v>165.120809317842</v>
      </c>
      <c r="BB84" s="121">
        <f t="shared" ca="1" si="11"/>
        <v>-2.4285714285714284</v>
      </c>
      <c r="BC84" s="272">
        <f t="shared" ca="1" si="13"/>
        <v>10</v>
      </c>
      <c r="BD84" s="272">
        <f t="shared" ca="1" si="13"/>
        <v>10</v>
      </c>
      <c r="BE84" s="272">
        <f t="shared" ca="1" si="13"/>
        <v>-8</v>
      </c>
      <c r="BF84" s="272">
        <f t="shared" ca="1" si="13"/>
        <v>-7</v>
      </c>
      <c r="BG84"/>
    </row>
    <row r="85" spans="1:59" x14ac:dyDescent="0.2">
      <c r="A85" s="323">
        <v>240</v>
      </c>
      <c r="B85" s="322" t="str">
        <f t="shared" si="27"/>
        <v>240_VN</v>
      </c>
      <c r="C85" s="272" t="s">
        <v>219</v>
      </c>
      <c r="D85" s="132">
        <f t="array" aca="1" ref="D85" ca="1">SUM(IFERROR(Propagações_TOT_TIETE!$B$7:$BY$110*(Propagações_TOT_TIETE!$B$6:$BY$6=$B85&amp;"A")*(Propagações_TOT_TIETE!$A$7:$A$110&gt;=PREVS_SMAP!D$26)*(Propagações_TOT_TIETE!$A$7:$A$110&lt;=PREVS_SMAP!D$27),0))/7</f>
        <v>0</v>
      </c>
      <c r="E85" s="132">
        <f t="array" aca="1" ref="E85" ca="1">SUM(IFERROR(Propagações_TOT_TIETE!$B$7:$BY$110*(Propagações_TOT_TIETE!$B$6:$BY$6=$B85&amp;"A")*(Propagações_TOT_TIETE!$A$7:$A$110&gt;=PREVS_SMAP!E$26)*(Propagações_TOT_TIETE!$A$7:$A$110&lt;=PREVS_SMAP!E$27),0))/7</f>
        <v>549.85714285714289</v>
      </c>
      <c r="F85" s="132">
        <f t="array" aca="1" ref="F85" ca="1">SUM(IFERROR(Propagações_TOT_TIETE!$B$7:$BY$110*(Propagações_TOT_TIETE!$B$6:$BY$6=$B85&amp;"A")*(Propagações_TOT_TIETE!$A$7:$A$110&gt;=PREVS_SMAP!F$26)*(Propagações_TOT_TIETE!$A$7:$A$110&lt;=PREVS_SMAP!F$27),0))/7</f>
        <v>284.42857142857144</v>
      </c>
      <c r="G85" s="132" t="e">
        <f t="array" aca="1" ref="G85" ca="1">IF(AD85&lt;7,NA(),SUM(IFERROR(Propagações_TOT_TIETE!$B$7:$BY$110*(Propagações_TOT_TIETE!$B$6:$BY$6=$B85&amp;"I")*(Propagações_TOT_TIETE!$A$7:$A$110&gt;=PREVS_SMAP!G$26)*(Propagações_TOT_TIETE!$A$7:$A$110&lt;=PREVS_SMAP!G$27),0))/7)+G84</f>
        <v>#N/A</v>
      </c>
      <c r="H85" s="132" t="e">
        <f t="array" aca="1" ref="H85" ca="1">IF(AE85&lt;7,NA(),SUM(IFERROR(Propagações_TOT_TIETE!$B$7:$BY$110*(Propagações_TOT_TIETE!$B$6:$BY$6=$B85&amp;"I")*(Propagações_TOT_TIETE!$A$7:$A$110&gt;=PREVS_SMAP!H$26)*(Propagações_TOT_TIETE!$A$7:$A$110&lt;=PREVS_SMAP!H$27),0))/7)+H84</f>
        <v>#N/A</v>
      </c>
      <c r="I85" s="132" t="e">
        <f t="array" aca="1" ref="I85" ca="1">IF(AF85&lt;7,NA(),SUM(IFERROR(Propagações_TOT_TIETE!$B$7:$BY$110*(Propagações_TOT_TIETE!$B$6:$BY$6=$B85&amp;"I")*(Propagações_TOT_TIETE!$A$7:$A$110&gt;=PREVS_SMAP!I$26)*(Propagações_TOT_TIETE!$A$7:$A$110&lt;=PREVS_SMAP!I$27),0))/7)+I84</f>
        <v>#N/A</v>
      </c>
      <c r="J85" s="132" t="e">
        <f t="array" aca="1" ref="J85" ca="1">IF(AG85&lt;7,NA(),SUM(IFERROR(Propagações_TOT_TIETE!$B$7:$BY$110*(Propagações_TOT_TIETE!$B$6:$BY$6=$B85&amp;"I")*(Propagações_TOT_TIETE!$A$7:$A$110&gt;=PREVS_SMAP!J$26)*(Propagações_TOT_TIETE!$A$7:$A$110&lt;=PREVS_SMAP!J$27),0))/7)+J84</f>
        <v>#N/A</v>
      </c>
      <c r="K85" s="132" t="e">
        <f t="array" aca="1" ref="K85" ca="1">IF(AH85&lt;7,NA(),SUM(IFERROR(Propagações_TOT_TIETE!$B$7:$BY$110*(Propagações_TOT_TIETE!$B$6:$BY$6=$B85&amp;"I")*(Propagações_TOT_TIETE!$A$7:$A$110&gt;=PREVS_SMAP!K$26)*(Propagações_TOT_TIETE!$A$7:$A$110&lt;=PREVS_SMAP!K$27),0))/7)+K84</f>
        <v>#N/A</v>
      </c>
      <c r="L85" s="132" t="e">
        <f t="array" aca="1" ref="L85" ca="1">IF(AI85&lt;7,NA(),SUM(IFERROR(Propagações_TOT_TIETE!$B$7:$BY$110*(Propagações_TOT_TIETE!$B$6:$BY$6=$B85&amp;"I")*(Propagações_TOT_TIETE!$A$7:$A$110&gt;=PREVS_SMAP!L$26)*(Propagações_TOT_TIETE!$A$7:$A$110&lt;=PREVS_SMAP!L$27),0))/7)+L84</f>
        <v>#N/A</v>
      </c>
      <c r="M85" s="132" t="e">
        <f t="array" aca="1" ref="M85" ca="1">IF(AJ85&lt;7,NA(),SUM(IFERROR(Propagações_TOT_TIETE!$B$7:$BY$110*(Propagações_TOT_TIETE!$B$6:$BY$6=$B85&amp;"I")*(Propagações_TOT_TIETE!$A$7:$A$110&gt;=PREVS_SMAP!M$26)*(Propagações_TOT_TIETE!$A$7:$A$110&lt;=PREVS_SMAP!M$27),0))/7)+M84</f>
        <v>#N/A</v>
      </c>
      <c r="N85" s="132" t="e">
        <f t="array" aca="1" ref="N85" ca="1">IF(AK85&lt;7,NA(),SUM(IFERROR(Propagações_TOT_TIETE!$B$7:$BY$110*(Propagações_TOT_TIETE!$B$6:$BY$6=$B85&amp;"I")*(Propagações_TOT_TIETE!$A$7:$A$110&gt;=PREVS_SMAP!N$26)*(Propagações_TOT_TIETE!$A$7:$A$110&lt;=PREVS_SMAP!N$27),0))/7)+N84</f>
        <v>#N/A</v>
      </c>
      <c r="O85" s="132" t="e">
        <f t="array" aca="1" ref="O85" ca="1">IF(AL85&lt;7,NA(),SUM(IFERROR(Propagações_TOT_TIETE!$B$7:$BY$110*(Propagações_TOT_TIETE!$B$6:$BY$6=$B85&amp;"I")*(Propagações_TOT_TIETE!$A$7:$A$110&gt;=PREVS_SMAP!O$26)*(Propagações_TOT_TIETE!$A$7:$A$110&lt;=PREVS_SMAP!O$27),0))/7)+O84</f>
        <v>#N/A</v>
      </c>
      <c r="P85" s="132"/>
      <c r="R85">
        <v>58</v>
      </c>
      <c r="S85" s="40"/>
      <c r="T85" s="40"/>
      <c r="U85" s="131"/>
      <c r="V85" s="131"/>
      <c r="W85" s="131"/>
      <c r="X85" s="131"/>
      <c r="Y85" s="131"/>
      <c r="Z85" s="131"/>
      <c r="AA85" s="131"/>
      <c r="AB85" s="131"/>
      <c r="AD85" s="272">
        <f t="array" aca="1" ref="AD85" ca="1">SUM(IFERROR(ISNUMBER(Propagações_TOT_TIETE!$B$7:$BY$110)*(Propagações_TOT_TIETE!$B$6:$BY$6=$B85&amp;"A")*(Propagações_TOT_TIETE!$A$7:$A$110&gt;=PREVS_SMAP!G$26)*(Propagações_TOT_TIETE!$A$7:$A$110&lt;=PREVS_SMAP!G$27),0))</f>
        <v>0</v>
      </c>
      <c r="AE85" s="272">
        <f t="array" aca="1" ref="AE85" ca="1">SUM(IFERROR(ISNUMBER(Propagações_TOT_TIETE!$B$7:$BY$110)*(Propagações_TOT_TIETE!$B$6:$BY$6=$B85&amp;"A")*(Propagações_TOT_TIETE!$A$7:$A$110&gt;=PREVS_SMAP!H$26)*(Propagações_TOT_TIETE!$A$7:$A$110&lt;=PREVS_SMAP!H$27),0))</f>
        <v>0</v>
      </c>
      <c r="AF85" s="272">
        <f t="array" aca="1" ref="AF85" ca="1">SUM(IFERROR(ISNUMBER(Propagações_TOT_TIETE!$B$7:$BY$110)*(Propagações_TOT_TIETE!$B$6:$BY$6=$B85&amp;"A")*(Propagações_TOT_TIETE!$A$7:$A$110&gt;=PREVS_SMAP!I$26)*(Propagações_TOT_TIETE!$A$7:$A$110&lt;=PREVS_SMAP!I$27),0))</f>
        <v>0</v>
      </c>
      <c r="AG85" s="272">
        <f t="array" aca="1" ref="AG85" ca="1">SUM(IFERROR(ISNUMBER(Propagações_TOT_TIETE!$B$7:$BY$110)*(Propagações_TOT_TIETE!$B$6:$BY$6=$B85&amp;"A")*(Propagações_TOT_TIETE!$A$7:$A$110&gt;=PREVS_SMAP!J$26)*(Propagações_TOT_TIETE!$A$7:$A$110&lt;=PREVS_SMAP!J$27),0))</f>
        <v>0</v>
      </c>
      <c r="AH85" s="272">
        <f t="array" aca="1" ref="AH85" ca="1">SUM(IFERROR(ISNUMBER(Propagações_TOT_TIETE!$B$7:$BY$110)*(Propagações_TOT_TIETE!$B$6:$BY$6=$B85&amp;"A")*(Propagações_TOT_TIETE!$A$7:$A$110&gt;=PREVS_SMAP!K$26)*(Propagações_TOT_TIETE!$A$7:$A$110&lt;=PREVS_SMAP!K$27),0))</f>
        <v>0</v>
      </c>
      <c r="AI85" s="272">
        <f t="array" aca="1" ref="AI85" ca="1">SUM(IFERROR(ISNUMBER(Propagações_TOT_TIETE!$B$7:$BY$110)*(Propagações_TOT_TIETE!$B$6:$BY$6=$B85&amp;"A")*(Propagações_TOT_TIETE!$A$7:$A$110&gt;=PREVS_SMAP!L$26)*(Propagações_TOT_TIETE!$A$7:$A$110&lt;=PREVS_SMAP!L$27),0))</f>
        <v>0</v>
      </c>
      <c r="AJ85" s="272">
        <f t="array" aca="1" ref="AJ85" ca="1">SUM(IFERROR(ISNUMBER(Propagações_TOT_TIETE!$B$7:$BY$110)*(Propagações_TOT_TIETE!$B$6:$BY$6=$B85&amp;"A")*(Propagações_TOT_TIETE!$A$7:$A$110&gt;=PREVS_SMAP!M$26)*(Propagações_TOT_TIETE!$A$7:$A$110&lt;=PREVS_SMAP!M$27),0))</f>
        <v>0</v>
      </c>
      <c r="AK85" s="272">
        <f t="array" aca="1" ref="AK85" ca="1">SUM(IFERROR(ISNUMBER(Propagações_TOT_TIETE!$B$7:$BY$110)*(Propagações_TOT_TIETE!$B$6:$BY$6=$B85&amp;"A")*(Propagações_TOT_TIETE!$A$7:$A$110&gt;=PREVS_SMAP!N$26)*(Propagações_TOT_TIETE!$A$7:$A$110&lt;=PREVS_SMAP!N$27),0))</f>
        <v>0</v>
      </c>
      <c r="AL85" s="272">
        <f t="array" aca="1" ref="AL85" ca="1">SUM(IFERROR(ISNUMBER(Propagações_TOT_TIETE!$B$7:$BY$110)*(Propagações_TOT_TIETE!$B$6:$BY$6=$B85&amp;"A")*(Propagações_TOT_TIETE!$A$7:$A$110&gt;=PREVS_SMAP!O$26)*(Propagações_TOT_TIETE!$A$7:$A$110&lt;=PREVS_SMAP!O$27),0))</f>
        <v>0</v>
      </c>
      <c r="AN85" s="121"/>
      <c r="AO85" s="121" t="e">
        <f t="shared" si="9"/>
        <v>#DIV/0!</v>
      </c>
      <c r="AP85" s="121" t="b">
        <f t="shared" si="10"/>
        <v>0</v>
      </c>
      <c r="AU85" s="121"/>
      <c r="AV85" s="121"/>
      <c r="AW85" s="159"/>
      <c r="AX85" s="159"/>
      <c r="AY85" s="159"/>
      <c r="AZ85" s="157"/>
      <c r="BA85" s="157"/>
      <c r="BB85" s="121">
        <f t="shared" ca="1" si="11"/>
        <v>0</v>
      </c>
      <c r="BC85" s="272">
        <f t="shared" ca="1" si="13"/>
        <v>0</v>
      </c>
      <c r="BD85" s="272">
        <f t="shared" ca="1" si="13"/>
        <v>0</v>
      </c>
      <c r="BE85" s="272">
        <f t="shared" ca="1" si="13"/>
        <v>0</v>
      </c>
      <c r="BF85" s="272">
        <f t="shared" ca="1" si="13"/>
        <v>0</v>
      </c>
      <c r="BG85"/>
    </row>
    <row r="86" spans="1:59" x14ac:dyDescent="0.2">
      <c r="A86" s="294">
        <v>242</v>
      </c>
      <c r="B86" s="283" t="str">
        <f t="shared" si="27"/>
        <v>242_VN</v>
      </c>
      <c r="C86" s="272" t="s">
        <v>212</v>
      </c>
      <c r="D86" s="132">
        <f t="array" aca="1" ref="D86" ca="1">SUM(IFERROR(Propagações_TOT_TIETE!$B$7:$BY$110*(Propagações_TOT_TIETE!$B$6:$BY$6=$B86&amp;"A")*(Propagações_TOT_TIETE!$A$7:$A$110&gt;=PREVS_SMAP!D$26)*(Propagações_TOT_TIETE!$A$7:$A$110&lt;=PREVS_SMAP!D$27),0))/7</f>
        <v>0</v>
      </c>
      <c r="E86" s="132">
        <f t="array" aca="1" ref="E86" ca="1">SUM(IFERROR(Propagações_TOT_TIETE!$B$7:$BY$110*(Propagações_TOT_TIETE!$B$6:$BY$6=$B86&amp;"A")*(Propagações_TOT_TIETE!$A$7:$A$110&gt;=PREVS_SMAP!E$26)*(Propagações_TOT_TIETE!$A$7:$A$110&lt;=PREVS_SMAP!E$27),0))/7</f>
        <v>622.85714285714289</v>
      </c>
      <c r="F86" s="132">
        <f t="array" aca="1" ref="F86" ca="1">SUM(IFERROR(Propagações_TOT_TIETE!$B$7:$BY$110*(Propagações_TOT_TIETE!$B$6:$BY$6=$B86&amp;"A")*(Propagações_TOT_TIETE!$A$7:$A$110&gt;=PREVS_SMAP!F$26)*(Propagações_TOT_TIETE!$A$7:$A$110&lt;=PREVS_SMAP!F$27),0))/7</f>
        <v>272.57142857142856</v>
      </c>
      <c r="G86" s="132" t="e">
        <f t="array" aca="1" ref="G86" ca="1">IF(AD86&lt;7,NA(),SUM(IFERROR(Propagações_TOT_TIETE!$B$7:$BY$110*(Propagações_TOT_TIETE!$B$6:$BY$6=$B86&amp;"I")*(Propagações_TOT_TIETE!$A$7:$A$110&gt;=PREVS_SMAP!G$26)*(Propagações_TOT_TIETE!$A$7:$A$110&lt;=PREVS_SMAP!G$27),0))/7)+G85</f>
        <v>#N/A</v>
      </c>
      <c r="H86" s="132" t="e">
        <f t="array" aca="1" ref="H86" ca="1">IF(AE86&lt;7,NA(),SUM(IFERROR(Propagações_TOT_TIETE!$B$7:$BY$110*(Propagações_TOT_TIETE!$B$6:$BY$6=$B86&amp;"I")*(Propagações_TOT_TIETE!$A$7:$A$110&gt;=PREVS_SMAP!H$26)*(Propagações_TOT_TIETE!$A$7:$A$110&lt;=PREVS_SMAP!H$27),0))/7)+H85</f>
        <v>#N/A</v>
      </c>
      <c r="I86" s="132" t="e">
        <f t="array" aca="1" ref="I86" ca="1">IF(AF86&lt;7,NA(),SUM(IFERROR(Propagações_TOT_TIETE!$B$7:$BY$110*(Propagações_TOT_TIETE!$B$6:$BY$6=$B86&amp;"I")*(Propagações_TOT_TIETE!$A$7:$A$110&gt;=PREVS_SMAP!I$26)*(Propagações_TOT_TIETE!$A$7:$A$110&lt;=PREVS_SMAP!I$27),0))/7)+I85</f>
        <v>#N/A</v>
      </c>
      <c r="J86" s="132" t="e">
        <f t="array" aca="1" ref="J86" ca="1">IF(AG86&lt;7,NA(),SUM(IFERROR(Propagações_TOT_TIETE!$B$7:$BY$110*(Propagações_TOT_TIETE!$B$6:$BY$6=$B86&amp;"I")*(Propagações_TOT_TIETE!$A$7:$A$110&gt;=PREVS_SMAP!J$26)*(Propagações_TOT_TIETE!$A$7:$A$110&lt;=PREVS_SMAP!J$27),0))/7)+J85</f>
        <v>#N/A</v>
      </c>
      <c r="K86" s="132" t="e">
        <f t="array" aca="1" ref="K86" ca="1">IF(AH86&lt;7,NA(),SUM(IFERROR(Propagações_TOT_TIETE!$B$7:$BY$110*(Propagações_TOT_TIETE!$B$6:$BY$6=$B86&amp;"I")*(Propagações_TOT_TIETE!$A$7:$A$110&gt;=PREVS_SMAP!K$26)*(Propagações_TOT_TIETE!$A$7:$A$110&lt;=PREVS_SMAP!K$27),0))/7)+K85</f>
        <v>#N/A</v>
      </c>
      <c r="L86" s="132" t="e">
        <f t="array" aca="1" ref="L86" ca="1">IF(AI86&lt;7,NA(),SUM(IFERROR(Propagações_TOT_TIETE!$B$7:$BY$110*(Propagações_TOT_TIETE!$B$6:$BY$6=$B86&amp;"I")*(Propagações_TOT_TIETE!$A$7:$A$110&gt;=PREVS_SMAP!L$26)*(Propagações_TOT_TIETE!$A$7:$A$110&lt;=PREVS_SMAP!L$27),0))/7)+L85</f>
        <v>#N/A</v>
      </c>
      <c r="M86" s="132" t="e">
        <f t="array" aca="1" ref="M86" ca="1">IF(AJ86&lt;7,NA(),SUM(IFERROR(Propagações_TOT_TIETE!$B$7:$BY$110*(Propagações_TOT_TIETE!$B$6:$BY$6=$B86&amp;"I")*(Propagações_TOT_TIETE!$A$7:$A$110&gt;=PREVS_SMAP!M$26)*(Propagações_TOT_TIETE!$A$7:$A$110&lt;=PREVS_SMAP!M$27),0))/7)+M85</f>
        <v>#N/A</v>
      </c>
      <c r="N86" s="132" t="e">
        <f t="array" aca="1" ref="N86" ca="1">IF(AK86&lt;7,NA(),SUM(IFERROR(Propagações_TOT_TIETE!$B$7:$BY$110*(Propagações_TOT_TIETE!$B$6:$BY$6=$B86&amp;"I")*(Propagações_TOT_TIETE!$A$7:$A$110&gt;=PREVS_SMAP!N$26)*(Propagações_TOT_TIETE!$A$7:$A$110&lt;=PREVS_SMAP!N$27),0))/7)+N85</f>
        <v>#N/A</v>
      </c>
      <c r="O86" s="132" t="e">
        <f t="array" aca="1" ref="O86" ca="1">IF(AL86&lt;7,NA(),SUM(IFERROR(Propagações_TOT_TIETE!$B$7:$BY$110*(Propagações_TOT_TIETE!$B$6:$BY$6=$B86&amp;"I")*(Propagações_TOT_TIETE!$A$7:$A$110&gt;=PREVS_SMAP!O$26)*(Propagações_TOT_TIETE!$A$7:$A$110&lt;=PREVS_SMAP!O$27),0))/7)+O85</f>
        <v>#N/A</v>
      </c>
      <c r="P86" s="132"/>
      <c r="R86">
        <v>59</v>
      </c>
      <c r="S86" s="40"/>
      <c r="T86" s="40"/>
      <c r="U86" s="131"/>
      <c r="V86" s="131"/>
      <c r="W86" s="131"/>
      <c r="X86" s="131"/>
      <c r="Y86" s="131"/>
      <c r="Z86" s="131"/>
      <c r="AA86" s="131"/>
      <c r="AB86" s="131"/>
      <c r="AD86" s="272">
        <f t="array" aca="1" ref="AD86" ca="1">SUM(IFERROR(ISNUMBER(Propagações_TOT_TIETE!$B$7:$BY$110)*(Propagações_TOT_TIETE!$B$6:$BY$6=$B86&amp;"A")*(Propagações_TOT_TIETE!$A$7:$A$110&gt;=PREVS_SMAP!G$26)*(Propagações_TOT_TIETE!$A$7:$A$110&lt;=PREVS_SMAP!G$27),0))</f>
        <v>0</v>
      </c>
      <c r="AE86" s="272">
        <f t="array" aca="1" ref="AE86" ca="1">SUM(IFERROR(ISNUMBER(Propagações_TOT_TIETE!$B$7:$BY$110)*(Propagações_TOT_TIETE!$B$6:$BY$6=$B86&amp;"A")*(Propagações_TOT_TIETE!$A$7:$A$110&gt;=PREVS_SMAP!H$26)*(Propagações_TOT_TIETE!$A$7:$A$110&lt;=PREVS_SMAP!H$27),0))</f>
        <v>0</v>
      </c>
      <c r="AF86" s="272">
        <f t="array" aca="1" ref="AF86" ca="1">SUM(IFERROR(ISNUMBER(Propagações_TOT_TIETE!$B$7:$BY$110)*(Propagações_TOT_TIETE!$B$6:$BY$6=$B86&amp;"A")*(Propagações_TOT_TIETE!$A$7:$A$110&gt;=PREVS_SMAP!I$26)*(Propagações_TOT_TIETE!$A$7:$A$110&lt;=PREVS_SMAP!I$27),0))</f>
        <v>0</v>
      </c>
      <c r="AG86" s="272">
        <f t="array" aca="1" ref="AG86" ca="1">SUM(IFERROR(ISNUMBER(Propagações_TOT_TIETE!$B$7:$BY$110)*(Propagações_TOT_TIETE!$B$6:$BY$6=$B86&amp;"A")*(Propagações_TOT_TIETE!$A$7:$A$110&gt;=PREVS_SMAP!J$26)*(Propagações_TOT_TIETE!$A$7:$A$110&lt;=PREVS_SMAP!J$27),0))</f>
        <v>0</v>
      </c>
      <c r="AH86" s="272">
        <f t="array" aca="1" ref="AH86" ca="1">SUM(IFERROR(ISNUMBER(Propagações_TOT_TIETE!$B$7:$BY$110)*(Propagações_TOT_TIETE!$B$6:$BY$6=$B86&amp;"A")*(Propagações_TOT_TIETE!$A$7:$A$110&gt;=PREVS_SMAP!K$26)*(Propagações_TOT_TIETE!$A$7:$A$110&lt;=PREVS_SMAP!K$27),0))</f>
        <v>0</v>
      </c>
      <c r="AI86" s="272">
        <f t="array" aca="1" ref="AI86" ca="1">SUM(IFERROR(ISNUMBER(Propagações_TOT_TIETE!$B$7:$BY$110)*(Propagações_TOT_TIETE!$B$6:$BY$6=$B86&amp;"A")*(Propagações_TOT_TIETE!$A$7:$A$110&gt;=PREVS_SMAP!L$26)*(Propagações_TOT_TIETE!$A$7:$A$110&lt;=PREVS_SMAP!L$27),0))</f>
        <v>0</v>
      </c>
      <c r="AJ86" s="272">
        <f t="array" aca="1" ref="AJ86" ca="1">SUM(IFERROR(ISNUMBER(Propagações_TOT_TIETE!$B$7:$BY$110)*(Propagações_TOT_TIETE!$B$6:$BY$6=$B86&amp;"A")*(Propagações_TOT_TIETE!$A$7:$A$110&gt;=PREVS_SMAP!M$26)*(Propagações_TOT_TIETE!$A$7:$A$110&lt;=PREVS_SMAP!M$27),0))</f>
        <v>0</v>
      </c>
      <c r="AK86" s="272">
        <f t="array" aca="1" ref="AK86" ca="1">SUM(IFERROR(ISNUMBER(Propagações_TOT_TIETE!$B$7:$BY$110)*(Propagações_TOT_TIETE!$B$6:$BY$6=$B86&amp;"A")*(Propagações_TOT_TIETE!$A$7:$A$110&gt;=PREVS_SMAP!N$26)*(Propagações_TOT_TIETE!$A$7:$A$110&lt;=PREVS_SMAP!N$27),0))</f>
        <v>0</v>
      </c>
      <c r="AL86" s="272">
        <f t="array" aca="1" ref="AL86" ca="1">SUM(IFERROR(ISNUMBER(Propagações_TOT_TIETE!$B$7:$BY$110)*(Propagações_TOT_TIETE!$B$6:$BY$6=$B86&amp;"A")*(Propagações_TOT_TIETE!$A$7:$A$110&gt;=PREVS_SMAP!O$26)*(Propagações_TOT_TIETE!$A$7:$A$110&lt;=PREVS_SMAP!O$27),0))</f>
        <v>0</v>
      </c>
      <c r="AN86" s="121"/>
      <c r="AO86" s="121" t="e">
        <f t="shared" si="9"/>
        <v>#DIV/0!</v>
      </c>
      <c r="AP86" s="121" t="b">
        <f t="shared" si="10"/>
        <v>0</v>
      </c>
      <c r="AU86" s="121"/>
      <c r="AV86" s="121"/>
      <c r="AW86" s="159"/>
      <c r="AX86" s="159"/>
      <c r="AY86" s="159"/>
      <c r="AZ86" s="157"/>
      <c r="BA86" s="157"/>
      <c r="BB86" s="121">
        <f t="shared" ca="1" si="11"/>
        <v>0</v>
      </c>
      <c r="BC86" s="272">
        <f t="shared" ca="1" si="13"/>
        <v>0</v>
      </c>
      <c r="BD86" s="272">
        <f t="shared" ca="1" si="13"/>
        <v>0</v>
      </c>
      <c r="BE86" s="272">
        <f t="shared" ca="1" si="13"/>
        <v>0</v>
      </c>
      <c r="BF86" s="272">
        <f t="shared" ca="1" si="13"/>
        <v>0</v>
      </c>
      <c r="BG86"/>
    </row>
    <row r="87" spans="1:59" x14ac:dyDescent="0.2">
      <c r="A87" s="323">
        <v>318</v>
      </c>
      <c r="B87" s="322" t="str">
        <f t="shared" si="27"/>
        <v>318_VN</v>
      </c>
      <c r="C87" s="272" t="s">
        <v>217</v>
      </c>
      <c r="D87" s="132">
        <f t="array" aca="1" ref="D87" ca="1">SUM(IFERROR(Propagações_TOT_TIETE!$B$7:$BY$110*(Propagações_TOT_TIETE!$B$6:$BY$6=$B87&amp;"A")*(Propagações_TOT_TIETE!$A$7:$A$110&gt;=PREVS_SMAP!D$26)*(Propagações_TOT_TIETE!$A$7:$A$110&lt;=PREVS_SMAP!D$27),0))/7</f>
        <v>0</v>
      </c>
      <c r="E87" s="132">
        <f t="array" aca="1" ref="E87" ca="1">SUM(IFERROR(Propagações_TOT_TIETE!$B$7:$BY$110*(Propagações_TOT_TIETE!$B$6:$BY$6=$B87&amp;"A")*(Propagações_TOT_TIETE!$A$7:$A$110&gt;=PREVS_SMAP!E$26)*(Propagações_TOT_TIETE!$A$7:$A$110&lt;=PREVS_SMAP!E$27),0))/7</f>
        <v>38.142857142857146</v>
      </c>
      <c r="F87" s="132">
        <f t="array" aca="1" ref="F87" ca="1">SUM(IFERROR(Propagações_TOT_TIETE!$B$7:$BY$110*(Propagações_TOT_TIETE!$B$6:$BY$6=$B87&amp;"A")*(Propagações_TOT_TIETE!$A$7:$A$110&gt;=PREVS_SMAP!F$26)*(Propagações_TOT_TIETE!$A$7:$A$110&lt;=PREVS_SMAP!F$27),0))/7</f>
        <v>24.857142857142858</v>
      </c>
      <c r="G87" s="324" t="e">
        <f t="array" aca="1" ref="G87" ca="1">IF(AD87&lt;7,NA(),SUM(IFERROR(Propagações_TOT_TIETE!$B$7:$BY$110*(Propagações_TOT_TIETE!$B$6:$BY$6=$B87&amp;"A")*(Propagações_TOT_TIETE!$A$7:$A$110&gt;=PREVS_SMAP!G$26)*(Propagações_TOT_TIETE!$A$7:$A$110&lt;=PREVS_SMAP!G$27),0))/7)</f>
        <v>#N/A</v>
      </c>
      <c r="H87" s="324" t="e">
        <f t="array" aca="1" ref="H87" ca="1">IF(AE87&lt;7,NA(),SUM(IFERROR(Propagações_TOT_TIETE!$B$7:$BY$110*(Propagações_TOT_TIETE!$B$6:$BY$6=$B87&amp;"A")*(Propagações_TOT_TIETE!$A$7:$A$110&gt;=PREVS_SMAP!H$26)*(Propagações_TOT_TIETE!$A$7:$A$110&lt;=PREVS_SMAP!H$27),0))/7)</f>
        <v>#N/A</v>
      </c>
      <c r="I87" s="324" t="e">
        <f t="array" aca="1" ref="I87" ca="1">IF(AF87&lt;7,NA(),SUM(IFERROR(Propagações_TOT_TIETE!$B$7:$BY$110*(Propagações_TOT_TIETE!$B$6:$BY$6=$B87&amp;"A")*(Propagações_TOT_TIETE!$A$7:$A$110&gt;=PREVS_SMAP!I$26)*(Propagações_TOT_TIETE!$A$7:$A$110&lt;=PREVS_SMAP!I$27),0))/7)</f>
        <v>#N/A</v>
      </c>
      <c r="J87" s="324" t="e">
        <f t="array" aca="1" ref="J87" ca="1">IF(AG87&lt;7,NA(),SUM(IFERROR(Propagações_TOT_TIETE!$B$7:$BY$110*(Propagações_TOT_TIETE!$B$6:$BY$6=$B87&amp;"A")*(Propagações_TOT_TIETE!$A$7:$A$110&gt;=PREVS_SMAP!J$26)*(Propagações_TOT_TIETE!$A$7:$A$110&lt;=PREVS_SMAP!J$27),0))/7)</f>
        <v>#N/A</v>
      </c>
      <c r="K87" s="324" t="e">
        <f t="array" aca="1" ref="K87" ca="1">IF(AH87&lt;7,NA(),SUM(IFERROR(Propagações_TOT_TIETE!$B$7:$BY$110*(Propagações_TOT_TIETE!$B$6:$BY$6=$B87&amp;"A")*(Propagações_TOT_TIETE!$A$7:$A$110&gt;=PREVS_SMAP!K$26)*(Propagações_TOT_TIETE!$A$7:$A$110&lt;=PREVS_SMAP!K$27),0))/7)</f>
        <v>#N/A</v>
      </c>
      <c r="L87" s="324" t="e">
        <f t="array" aca="1" ref="L87" ca="1">IF(AI87&lt;7,NA(),SUM(IFERROR(Propagações_TOT_TIETE!$B$7:$BY$110*(Propagações_TOT_TIETE!$B$6:$BY$6=$B87&amp;"A")*(Propagações_TOT_TIETE!$A$7:$A$110&gt;=PREVS_SMAP!L$26)*(Propagações_TOT_TIETE!$A$7:$A$110&lt;=PREVS_SMAP!L$27),0))/7)</f>
        <v>#N/A</v>
      </c>
      <c r="M87" s="324" t="e">
        <f t="array" aca="1" ref="M87" ca="1">IF(AJ87&lt;7,NA(),SUM(IFERROR(Propagações_TOT_TIETE!$B$7:$BY$110*(Propagações_TOT_TIETE!$B$6:$BY$6=$B87&amp;"A")*(Propagações_TOT_TIETE!$A$7:$A$110&gt;=PREVS_SMAP!M$26)*(Propagações_TOT_TIETE!$A$7:$A$110&lt;=PREVS_SMAP!M$27),0))/7)</f>
        <v>#N/A</v>
      </c>
      <c r="N87" s="324" t="e">
        <f t="array" aca="1" ref="N87" ca="1">IF(AK87&lt;7,NA(),SUM(IFERROR(Propagações_TOT_TIETE!$B$7:$BY$110*(Propagações_TOT_TIETE!$B$6:$BY$6=$B87&amp;"A")*(Propagações_TOT_TIETE!$A$7:$A$110&gt;=PREVS_SMAP!N$26)*(Propagações_TOT_TIETE!$A$7:$A$110&lt;=PREVS_SMAP!N$27),0))/7)</f>
        <v>#N/A</v>
      </c>
      <c r="O87" s="324" t="e">
        <f t="array" aca="1" ref="O87" ca="1">IF(AL87&lt;7,NA(),SUM(IFERROR(Propagações_TOT_TIETE!$B$7:$BY$110*(Propagações_TOT_TIETE!$B$6:$BY$6=$B87&amp;"A")*(Propagações_TOT_TIETE!$A$7:$A$110&gt;=PREVS_SMAP!O$26)*(Propagações_TOT_TIETE!$A$7:$A$110&lt;=PREVS_SMAP!O$27),0))/7)</f>
        <v>#N/A</v>
      </c>
      <c r="P87" s="132"/>
      <c r="R87">
        <v>60</v>
      </c>
      <c r="S87" s="40"/>
      <c r="T87" s="40"/>
      <c r="U87" s="131"/>
      <c r="V87" s="131"/>
      <c r="W87" s="131"/>
      <c r="X87" s="131"/>
      <c r="Y87" s="131"/>
      <c r="Z87" s="131"/>
      <c r="AA87" s="131"/>
      <c r="AB87" s="131"/>
      <c r="AD87" s="272">
        <f t="array" aca="1" ref="AD87" ca="1">SUM(IFERROR(ISNUMBER(Propagações_TOT_TIETE!$B$7:$BY$110)*(Propagações_TOT_TIETE!$B$6:$BY$6=$B87&amp;"A")*(Propagações_TOT_TIETE!$A$7:$A$110&gt;=PREVS_SMAP!G$26)*(Propagações_TOT_TIETE!$A$7:$A$110&lt;=PREVS_SMAP!G$27),0))</f>
        <v>0</v>
      </c>
      <c r="AE87" s="272">
        <f t="array" aca="1" ref="AE87" ca="1">SUM(IFERROR(ISNUMBER(Propagações_TOT_TIETE!$B$7:$BY$110)*(Propagações_TOT_TIETE!$B$6:$BY$6=$B87&amp;"A")*(Propagações_TOT_TIETE!$A$7:$A$110&gt;=PREVS_SMAP!H$26)*(Propagações_TOT_TIETE!$A$7:$A$110&lt;=PREVS_SMAP!H$27),0))</f>
        <v>0</v>
      </c>
      <c r="AF87" s="272">
        <f t="array" aca="1" ref="AF87" ca="1">SUM(IFERROR(ISNUMBER(Propagações_TOT_TIETE!$B$7:$BY$110)*(Propagações_TOT_TIETE!$B$6:$BY$6=$B87&amp;"A")*(Propagações_TOT_TIETE!$A$7:$A$110&gt;=PREVS_SMAP!I$26)*(Propagações_TOT_TIETE!$A$7:$A$110&lt;=PREVS_SMAP!I$27),0))</f>
        <v>0</v>
      </c>
      <c r="AG87" s="272">
        <f t="array" aca="1" ref="AG87" ca="1">SUM(IFERROR(ISNUMBER(Propagações_TOT_TIETE!$B$7:$BY$110)*(Propagações_TOT_TIETE!$B$6:$BY$6=$B87&amp;"A")*(Propagações_TOT_TIETE!$A$7:$A$110&gt;=PREVS_SMAP!J$26)*(Propagações_TOT_TIETE!$A$7:$A$110&lt;=PREVS_SMAP!J$27),0))</f>
        <v>0</v>
      </c>
      <c r="AH87" s="272">
        <f t="array" aca="1" ref="AH87" ca="1">SUM(IFERROR(ISNUMBER(Propagações_TOT_TIETE!$B$7:$BY$110)*(Propagações_TOT_TIETE!$B$6:$BY$6=$B87&amp;"A")*(Propagações_TOT_TIETE!$A$7:$A$110&gt;=PREVS_SMAP!K$26)*(Propagações_TOT_TIETE!$A$7:$A$110&lt;=PREVS_SMAP!K$27),0))</f>
        <v>0</v>
      </c>
      <c r="AI87" s="272">
        <f t="array" aca="1" ref="AI87" ca="1">SUM(IFERROR(ISNUMBER(Propagações_TOT_TIETE!$B$7:$BY$110)*(Propagações_TOT_TIETE!$B$6:$BY$6=$B87&amp;"A")*(Propagações_TOT_TIETE!$A$7:$A$110&gt;=PREVS_SMAP!L$26)*(Propagações_TOT_TIETE!$A$7:$A$110&lt;=PREVS_SMAP!L$27),0))</f>
        <v>0</v>
      </c>
      <c r="AJ87" s="272">
        <f t="array" aca="1" ref="AJ87" ca="1">SUM(IFERROR(ISNUMBER(Propagações_TOT_TIETE!$B$7:$BY$110)*(Propagações_TOT_TIETE!$B$6:$BY$6=$B87&amp;"A")*(Propagações_TOT_TIETE!$A$7:$A$110&gt;=PREVS_SMAP!M$26)*(Propagações_TOT_TIETE!$A$7:$A$110&lt;=PREVS_SMAP!M$27),0))</f>
        <v>0</v>
      </c>
      <c r="AK87" s="272">
        <f t="array" aca="1" ref="AK87" ca="1">SUM(IFERROR(ISNUMBER(Propagações_TOT_TIETE!$B$7:$BY$110)*(Propagações_TOT_TIETE!$B$6:$BY$6=$B87&amp;"A")*(Propagações_TOT_TIETE!$A$7:$A$110&gt;=PREVS_SMAP!N$26)*(Propagações_TOT_TIETE!$A$7:$A$110&lt;=PREVS_SMAP!N$27),0))</f>
        <v>0</v>
      </c>
      <c r="AL87" s="272">
        <f t="array" aca="1" ref="AL87" ca="1">SUM(IFERROR(ISNUMBER(Propagações_TOT_TIETE!$B$7:$BY$110)*(Propagações_TOT_TIETE!$B$6:$BY$6=$B87&amp;"A")*(Propagações_TOT_TIETE!$A$7:$A$110&gt;=PREVS_SMAP!O$26)*(Propagações_TOT_TIETE!$A$7:$A$110&lt;=PREVS_SMAP!O$27),0))</f>
        <v>0</v>
      </c>
      <c r="AN87" s="121"/>
      <c r="AO87" s="121" t="e">
        <f t="shared" si="9"/>
        <v>#DIV/0!</v>
      </c>
      <c r="AP87" s="121" t="b">
        <f t="shared" si="10"/>
        <v>0</v>
      </c>
      <c r="AU87" s="121"/>
      <c r="AV87" s="121"/>
      <c r="AW87" s="159"/>
      <c r="AX87" s="159"/>
      <c r="AY87" s="159"/>
      <c r="AZ87" s="157"/>
      <c r="BA87" s="157"/>
      <c r="BB87" s="121">
        <f t="shared" ca="1" si="11"/>
        <v>0</v>
      </c>
      <c r="BC87" s="272">
        <f t="shared" ca="1" si="13"/>
        <v>0</v>
      </c>
      <c r="BD87" s="272">
        <f t="shared" ca="1" si="13"/>
        <v>0</v>
      </c>
      <c r="BE87" s="272">
        <f t="shared" ca="1" si="13"/>
        <v>0</v>
      </c>
      <c r="BF87" s="272">
        <f t="shared" ca="1" si="13"/>
        <v>0</v>
      </c>
      <c r="BG87"/>
    </row>
    <row r="88" spans="1:59" x14ac:dyDescent="0.2">
      <c r="A88" s="272"/>
      <c r="B88" s="272"/>
      <c r="C88" s="272"/>
      <c r="D88" s="272"/>
      <c r="E88" s="272"/>
      <c r="F88" s="272"/>
      <c r="G88" s="272"/>
      <c r="H88" s="272"/>
      <c r="I88" s="272"/>
      <c r="J88" s="272"/>
      <c r="K88" s="272"/>
      <c r="P88" s="132"/>
      <c r="R88">
        <v>61</v>
      </c>
      <c r="S88" s="40">
        <f ca="1">AO88</f>
        <v>272</v>
      </c>
      <c r="T88" s="40" t="str">
        <f t="shared" ref="T88:AB90" ca="1" si="29">IFERROR(ROUND(INDEX(G$28:G$129,MATCH($R88,$A$28:$A$129,0)),0),"")</f>
        <v/>
      </c>
      <c r="U88" s="131" t="str">
        <f t="shared" ca="1" si="29"/>
        <v/>
      </c>
      <c r="V88" s="131" t="str">
        <f t="shared" ca="1" si="29"/>
        <v/>
      </c>
      <c r="W88" s="131" t="str">
        <f t="shared" ca="1" si="29"/>
        <v/>
      </c>
      <c r="X88" s="131" t="str">
        <f t="shared" ca="1" si="29"/>
        <v/>
      </c>
      <c r="Y88" s="131" t="str">
        <f t="shared" ca="1" si="29"/>
        <v/>
      </c>
      <c r="Z88" s="131" t="str">
        <f t="shared" ca="1" si="29"/>
        <v/>
      </c>
      <c r="AA88" s="131" t="str">
        <f t="shared" ca="1" si="29"/>
        <v/>
      </c>
      <c r="AB88" s="131" t="str">
        <f t="shared" ca="1" si="29"/>
        <v/>
      </c>
      <c r="AD88" s="272"/>
      <c r="AE88" s="272"/>
      <c r="AF88" s="272"/>
      <c r="AG88" s="272"/>
      <c r="AH88" s="272"/>
      <c r="AN88" s="121"/>
      <c r="AO88" s="121">
        <f t="shared" ca="1" si="9"/>
        <v>272</v>
      </c>
      <c r="AP88" s="121" t="b">
        <f t="shared" si="10"/>
        <v>1</v>
      </c>
      <c r="AQ88" s="272">
        <f ca="1">+AVERAGEIFS(TABELA_VAZAO[qnat],TABELA_VAZAO[Posto],$R88,TABELA_VAZAO[Data],AQ$27)</f>
        <v>616</v>
      </c>
      <c r="AR88" s="272">
        <f ca="1">+AVERAGEIFS(TABELA_VAZAO[qnat],TABELA_VAZAO[Posto],$R88,TABELA_VAZAO[Data],AR$27)</f>
        <v>592</v>
      </c>
      <c r="AS88" s="272">
        <f ca="1">+AVERAGEIFS(TABELA_VAZAO[qnat],TABELA_VAZAO[Posto],$R88,TABELA_VAZAO[Data],AS$27)</f>
        <v>575</v>
      </c>
      <c r="AT88" s="272">
        <f ca="1">+AVERAGEIFS(TABELA_VAZAO[qnat],TABELA_VAZAO[Posto],$R88,TABELA_VAZAO[Data],AT$27)</f>
        <v>551</v>
      </c>
      <c r="AU88" s="121">
        <f ca="1">+AVERAGEIFS(TABELA_VAZAO[qnat],TABELA_VAZAO[Posto],$R88,TABELA_VAZAO[Data],AU$27)</f>
        <v>577</v>
      </c>
      <c r="AV88" s="272">
        <f ca="1">IFERROR(AVERAGEIFS(TABELA_VAZAO[qnat],TABELA_VAZAO[Posto],$R88,TABELA_VAZAO[Data],AV$27),AU88+$BB88*EXP(AV$26))</f>
        <v>647</v>
      </c>
      <c r="AW88" s="159">
        <f ca="1">IFERROR(AVERAGEIFS(TABELA_VAZAO[qnat],TABELA_VAZAO[Posto],$R88,TABELA_VAZAO[Data],AW$27),AV88+$BB88*EXP(AW$26))</f>
        <v>677</v>
      </c>
      <c r="AX88" s="325">
        <f ca="1">IFERROR(AVERAGEIFS(TABELA_VAZAO[qnat],TABELA_VAZAO[Posto],$R88,TABELA_VAZAO[Data],AX$27),AW88+$BB88*EXP(AX$26))</f>
        <v>710.14285714285711</v>
      </c>
      <c r="AY88" s="325">
        <f ca="1">IFERROR(AVERAGEIFS(TABELA_VAZAO[qnat],TABELA_VAZAO[Posto],$R88,TABELA_VAZAO[Data],AY$27),AX88+$BB88*EXP(AY$26))</f>
        <v>732.35917866860973</v>
      </c>
      <c r="AZ88" s="326">
        <f ca="1">IFERROR(AVERAGEIFS(TABELA_VAZAO[qnat],TABELA_VAZAO[Posto],$R88,TABELA_VAZAO[Data],AZ$27),AY88+$BB88*EXP(AZ$26))</f>
        <v>747.25122433649483</v>
      </c>
      <c r="BA88" s="326">
        <f ca="1">IFERROR(AVERAGEIFS(TABELA_VAZAO[qnat],TABELA_VAZAO[Posto],$R88,TABELA_VAZAO[Data],BA$27),AZ88+$BB88*EXP(BA$26))</f>
        <v>757.23366107415643</v>
      </c>
      <c r="BB88" s="121">
        <f t="shared" ca="1" si="11"/>
        <v>33.142857142857146</v>
      </c>
      <c r="BC88" s="272">
        <f t="shared" ca="1" si="13"/>
        <v>-24</v>
      </c>
      <c r="BD88" s="272">
        <f t="shared" ca="1" si="13"/>
        <v>26</v>
      </c>
      <c r="BE88" s="272">
        <f t="shared" ca="1" si="13"/>
        <v>70</v>
      </c>
      <c r="BF88" s="272">
        <f t="shared" ca="1" si="13"/>
        <v>30</v>
      </c>
      <c r="BG88"/>
    </row>
    <row r="89" spans="1:59" x14ac:dyDescent="0.2">
      <c r="A89" s="272"/>
      <c r="B89" s="272"/>
      <c r="C89" s="272"/>
      <c r="D89" s="272"/>
      <c r="E89" s="272"/>
      <c r="F89" s="272"/>
      <c r="G89" s="272"/>
      <c r="H89" s="272"/>
      <c r="I89" s="272"/>
      <c r="J89" s="272"/>
      <c r="K89" s="272"/>
      <c r="P89" s="132"/>
      <c r="R89">
        <v>62</v>
      </c>
      <c r="S89" s="40">
        <f ca="1">AO89</f>
        <v>296</v>
      </c>
      <c r="T89" s="40" t="str">
        <f t="shared" ca="1" si="29"/>
        <v/>
      </c>
      <c r="U89" s="131" t="str">
        <f t="shared" ca="1" si="29"/>
        <v/>
      </c>
      <c r="V89" s="131" t="str">
        <f t="shared" ca="1" si="29"/>
        <v/>
      </c>
      <c r="W89" s="131" t="str">
        <f t="shared" ca="1" si="29"/>
        <v/>
      </c>
      <c r="X89" s="131" t="str">
        <f t="shared" ca="1" si="29"/>
        <v/>
      </c>
      <c r="Y89" s="131" t="str">
        <f t="shared" ca="1" si="29"/>
        <v/>
      </c>
      <c r="Z89" s="131" t="str">
        <f t="shared" ca="1" si="29"/>
        <v/>
      </c>
      <c r="AA89" s="131" t="str">
        <f t="shared" ca="1" si="29"/>
        <v/>
      </c>
      <c r="AB89" s="131" t="str">
        <f t="shared" ca="1" si="29"/>
        <v/>
      </c>
      <c r="AD89" s="272"/>
      <c r="AE89" s="272"/>
      <c r="AF89" s="272"/>
      <c r="AG89" s="272"/>
      <c r="AH89" s="272"/>
      <c r="AN89" s="121"/>
      <c r="AO89" s="121">
        <f t="shared" ca="1" si="9"/>
        <v>296</v>
      </c>
      <c r="AP89" s="121" t="b">
        <f t="shared" si="10"/>
        <v>1</v>
      </c>
      <c r="AQ89" s="272">
        <f ca="1">+AVERAGEIFS(TABELA_VAZAO[qnat],TABELA_VAZAO[Posto],$R89,TABELA_VAZAO[Data],AQ$27)</f>
        <v>688</v>
      </c>
      <c r="AR89" s="272">
        <f ca="1">+AVERAGEIFS(TABELA_VAZAO[qnat],TABELA_VAZAO[Posto],$R89,TABELA_VAZAO[Data],AR$27)</f>
        <v>650</v>
      </c>
      <c r="AS89" s="272">
        <f ca="1">+AVERAGEIFS(TABELA_VAZAO[qnat],TABELA_VAZAO[Posto],$R89,TABELA_VAZAO[Data],AS$27)</f>
        <v>633</v>
      </c>
      <c r="AT89" s="272">
        <f ca="1">+AVERAGEIFS(TABELA_VAZAO[qnat],TABELA_VAZAO[Posto],$R89,TABELA_VAZAO[Data],AT$27)</f>
        <v>624</v>
      </c>
      <c r="AU89" s="121">
        <f ca="1">+AVERAGEIFS(TABELA_VAZAO[qnat],TABELA_VAZAO[Posto],$R89,TABELA_VAZAO[Data],AU$27)</f>
        <v>636</v>
      </c>
      <c r="AV89" s="272">
        <f ca="1">IFERROR(AVERAGEIFS(TABELA_VAZAO[qnat],TABELA_VAZAO[Posto],$R89,TABELA_VAZAO[Data],AV$27),AU89+$BB89*EXP(AV$26))</f>
        <v>692</v>
      </c>
      <c r="AW89" s="159">
        <f ca="1">IFERROR(AVERAGEIFS(TABELA_VAZAO[qnat],TABELA_VAZAO[Posto],$R89,TABELA_VAZAO[Data],AW$27),AV89+$BB89*EXP(AW$26))</f>
        <v>747</v>
      </c>
      <c r="AX89" s="325">
        <f ca="1">IFERROR(AVERAGEIFS(TABELA_VAZAO[qnat],TABELA_VAZAO[Posto],$R89,TABELA_VAZAO[Data],AX$27),AW89+$BB89*EXP(AX$26))</f>
        <v>787</v>
      </c>
      <c r="AY89" s="325">
        <f ca="1">IFERROR(AVERAGEIFS(TABELA_VAZAO[qnat],TABELA_VAZAO[Posto],$R89,TABELA_VAZAO[Data],AY$27),AX89+$BB89*EXP(AY$26))</f>
        <v>813.81280184142554</v>
      </c>
      <c r="AZ89" s="326">
        <f ca="1">IFERROR(AVERAGEIFS(TABELA_VAZAO[qnat],TABELA_VAZAO[Posto],$R89,TABELA_VAZAO[Data],AZ$27),AY89+$BB89*EXP(AZ$26))</f>
        <v>831.78596040611444</v>
      </c>
      <c r="BA89" s="326">
        <f ca="1">IFERROR(AVERAGEIFS(TABELA_VAZAO[qnat],TABELA_VAZAO[Posto],$R89,TABELA_VAZAO[Data],BA$27),AZ89+$BB89*EXP(BA$26))</f>
        <v>843.83372888260249</v>
      </c>
      <c r="BB89" s="121">
        <f t="shared" ca="1" si="11"/>
        <v>40</v>
      </c>
      <c r="BC89" s="272">
        <f t="shared" ca="1" si="13"/>
        <v>-9</v>
      </c>
      <c r="BD89" s="272">
        <f t="shared" ca="1" si="13"/>
        <v>12</v>
      </c>
      <c r="BE89" s="272">
        <f t="shared" ca="1" si="13"/>
        <v>56</v>
      </c>
      <c r="BF89" s="272">
        <f t="shared" ca="1" si="13"/>
        <v>55</v>
      </c>
      <c r="BG89"/>
    </row>
    <row r="90" spans="1:59" x14ac:dyDescent="0.2">
      <c r="A90" s="289">
        <v>155</v>
      </c>
      <c r="B90" s="283" t="str">
        <f>A90&amp;"_VN"</f>
        <v>155_VN</v>
      </c>
      <c r="C90" s="272" t="s">
        <v>163</v>
      </c>
      <c r="D90" s="132">
        <f t="array" aca="1" ref="D90" ca="1">SUM(IFERROR(Propagações_TOT_SAOFRAN!$B$7:$CA$110*(Propagações_TOT_SAOFRAN!$B$6:$CA$6=$B90&amp;"A")*(Propagações_TOT_SAOFRAN!$A$7:$A$110&gt;=PREVS_SMAP!D$26)*(Propagações_TOT_SAOFRAN!$A$7:$A$110&lt;=PREVS_SMAP!D$27),0))/7</f>
        <v>0</v>
      </c>
      <c r="E90" s="132">
        <f t="array" aca="1" ref="E90" ca="1">SUM(IFERROR(Propagações_TOT_SAOFRAN!$B$7:$CA$110*(Propagações_TOT_SAOFRAN!$B$6:$CA$6=$B90&amp;"A")*(Propagações_TOT_SAOFRAN!$A$7:$A$110&gt;=PREVS_SMAP!E$26)*(Propagações_TOT_SAOFRAN!$A$7:$A$110&lt;=PREVS_SMAP!E$27),0))/7</f>
        <v>70.857142857142861</v>
      </c>
      <c r="F90" s="132">
        <f t="array" aca="1" ref="F90" ca="1">SUM(IFERROR(Propagações_TOT_SAOFRAN!$B$7:$CA$110*(Propagações_TOT_SAOFRAN!$B$6:$CA$6=$B90&amp;"A")*(Propagações_TOT_SAOFRAN!$A$7:$A$110&gt;=PREVS_SMAP!F$26)*(Propagações_TOT_SAOFRAN!$A$7:$A$110&lt;=PREVS_SMAP!F$27),0))/7</f>
        <v>36</v>
      </c>
      <c r="G90" s="132" t="e">
        <f t="array" aca="1" ref="G90" ca="1">IF(AD90&lt;7,NA(),SUM(IFERROR(Propagações_TOT_SAOFRAN!$B$7:$CA$110*(Propagações_TOT_SAOFRAN!$B$6:$CA$6=$B90&amp;"A")*(Propagações_TOT_SAOFRAN!$A$7:$A$110&gt;=PREVS_SMAP!G$26)*(Propagações_TOT_SAOFRAN!$A$7:$A$110&lt;=PREVS_SMAP!G$27),0))/7)</f>
        <v>#N/A</v>
      </c>
      <c r="H90" s="132" t="e">
        <f t="array" aca="1" ref="H90" ca="1">IF(AE90&lt;7,NA(),SUM(IFERROR(Propagações_TOT_SAOFRAN!$B$7:$CA$110*(Propagações_TOT_SAOFRAN!$B$6:$CA$6=$B90&amp;"A")*(Propagações_TOT_SAOFRAN!$A$7:$A$110&gt;=PREVS_SMAP!H$26)*(Propagações_TOT_SAOFRAN!$A$7:$A$110&lt;=PREVS_SMAP!H$27),0))/7)</f>
        <v>#N/A</v>
      </c>
      <c r="I90" s="132" t="e">
        <f t="array" aca="1" ref="I90" ca="1">IF(AF90&lt;7,NA(),SUM(IFERROR(Propagações_TOT_SAOFRAN!$B$7:$CA$110*(Propagações_TOT_SAOFRAN!$B$6:$CA$6=$B90&amp;"A")*(Propagações_TOT_SAOFRAN!$A$7:$A$110&gt;=PREVS_SMAP!I$26)*(Propagações_TOT_SAOFRAN!$A$7:$A$110&lt;=PREVS_SMAP!I$27),0))/7)</f>
        <v>#N/A</v>
      </c>
      <c r="J90" s="132" t="e">
        <f t="array" aca="1" ref="J90" ca="1">IF(AG90&lt;7,NA(),SUM(IFERROR(Propagações_TOT_SAOFRAN!$B$7:$CA$110*(Propagações_TOT_SAOFRAN!$B$6:$CA$6=$B90&amp;"A")*(Propagações_TOT_SAOFRAN!$A$7:$A$110&gt;=PREVS_SMAP!J$26)*(Propagações_TOT_SAOFRAN!$A$7:$A$110&lt;=PREVS_SMAP!J$27),0))/7)</f>
        <v>#N/A</v>
      </c>
      <c r="K90" s="132" t="e">
        <f t="array" aca="1" ref="K90" ca="1">IF(AH90&lt;7,NA(),SUM(IFERROR(Propagações_TOT_SAOFRAN!$B$7:$CA$110*(Propagações_TOT_SAOFRAN!$B$6:$CA$6=$B90&amp;"A")*(Propagações_TOT_SAOFRAN!$A$7:$A$110&gt;=PREVS_SMAP!K$26)*(Propagações_TOT_SAOFRAN!$A$7:$A$110&lt;=PREVS_SMAP!K$27),0))/7)</f>
        <v>#N/A</v>
      </c>
      <c r="L90" s="132" t="e">
        <f t="array" aca="1" ref="L90" ca="1">IF(AI90&lt;7,NA(),SUM(IFERROR(Propagações_TOT_SAOFRAN!$B$7:$CA$110*(Propagações_TOT_SAOFRAN!$B$6:$CA$6=$B90&amp;"A")*(Propagações_TOT_SAOFRAN!$A$7:$A$110&gt;=PREVS_SMAP!L$26)*(Propagações_TOT_SAOFRAN!$A$7:$A$110&lt;=PREVS_SMAP!L$27),0))/7)</f>
        <v>#N/A</v>
      </c>
      <c r="M90" s="132" t="e">
        <f t="array" aca="1" ref="M90" ca="1">IF(AJ90&lt;7,NA(),SUM(IFERROR(Propagações_TOT_SAOFRAN!$B$7:$CA$110*(Propagações_TOT_SAOFRAN!$B$6:$CA$6=$B90&amp;"A")*(Propagações_TOT_SAOFRAN!$A$7:$A$110&gt;=PREVS_SMAP!M$26)*(Propagações_TOT_SAOFRAN!$A$7:$A$110&lt;=PREVS_SMAP!M$27),0))/7)</f>
        <v>#N/A</v>
      </c>
      <c r="N90" s="132" t="e">
        <f t="array" aca="1" ref="N90" ca="1">IF(AK90&lt;7,NA(),SUM(IFERROR(Propagações_TOT_SAOFRAN!$B$7:$CA$110*(Propagações_TOT_SAOFRAN!$B$6:$CA$6=$B90&amp;"A")*(Propagações_TOT_SAOFRAN!$A$7:$A$110&gt;=PREVS_SMAP!N$26)*(Propagações_TOT_SAOFRAN!$A$7:$A$110&lt;=PREVS_SMAP!N$27),0))/7)</f>
        <v>#N/A</v>
      </c>
      <c r="O90" s="132" t="e">
        <f t="array" aca="1" ref="O90" ca="1">IF(AL90&lt;7,NA(),SUM(IFERROR(Propagações_TOT_SAOFRAN!$B$7:$CA$110*(Propagações_TOT_SAOFRAN!$B$6:$CA$6=$B90&amp;"A")*(Propagações_TOT_SAOFRAN!$A$7:$A$110&gt;=PREVS_SMAP!O$26)*(Propagações_TOT_SAOFRAN!$A$7:$A$110&lt;=PREVS_SMAP!O$27),0))/7)</f>
        <v>#N/A</v>
      </c>
      <c r="P90" s="184"/>
      <c r="R90">
        <v>63</v>
      </c>
      <c r="S90" s="40">
        <f ca="1">AO90</f>
        <v>361</v>
      </c>
      <c r="T90" s="40" t="str">
        <f t="shared" ca="1" si="29"/>
        <v/>
      </c>
      <c r="U90" s="131" t="str">
        <f t="shared" ca="1" si="29"/>
        <v/>
      </c>
      <c r="V90" s="131" t="str">
        <f t="shared" ca="1" si="29"/>
        <v/>
      </c>
      <c r="W90" s="131" t="str">
        <f t="shared" ca="1" si="29"/>
        <v/>
      </c>
      <c r="X90" s="131" t="str">
        <f t="shared" ca="1" si="29"/>
        <v/>
      </c>
      <c r="Y90" s="131" t="str">
        <f t="shared" ca="1" si="29"/>
        <v/>
      </c>
      <c r="Z90" s="131" t="str">
        <f t="shared" ca="1" si="29"/>
        <v/>
      </c>
      <c r="AA90" s="131" t="str">
        <f t="shared" ca="1" si="29"/>
        <v/>
      </c>
      <c r="AB90" s="131" t="str">
        <f t="shared" ca="1" si="29"/>
        <v/>
      </c>
      <c r="AD90" s="229">
        <f t="array" aca="1" ref="AD90" ca="1">SUM(IFERROR(ISNUMBER(Propagações_TOT_SAOFRAN!$B$7:$CA$110)*(Propagações_TOT_SAOFRAN!$B$6:$CA$6=$B90&amp;"A")*(Propagações_TOT_SAOFRAN!$A$7:$A$110&gt;=PREVS_SMAP!G$26)*(Propagações_TOT_SAOFRAN!$A$7:$A$110&lt;=PREVS_SMAP!G$27),0))</f>
        <v>0</v>
      </c>
      <c r="AE90" s="272">
        <f t="array" aca="1" ref="AE90" ca="1">SUM(IFERROR(ISNUMBER(Propagações_TOT_SAOFRAN!$B$7:$CA$110)*(Propagações_TOT_SAOFRAN!$B$6:$CA$6=$B90&amp;"A")*(Propagações_TOT_SAOFRAN!$A$7:$A$110&gt;=PREVS_SMAP!H$26)*(Propagações_TOT_SAOFRAN!$A$7:$A$110&lt;=PREVS_SMAP!H$27),0))</f>
        <v>0</v>
      </c>
      <c r="AF90" s="272">
        <f t="array" aca="1" ref="AF90" ca="1">SUM(IFERROR(ISNUMBER(Propagações_TOT_SAOFRAN!$B$7:$CA$110)*(Propagações_TOT_SAOFRAN!$B$6:$CA$6=$B90&amp;"A")*(Propagações_TOT_SAOFRAN!$A$7:$A$110&gt;=PREVS_SMAP!I$26)*(Propagações_TOT_SAOFRAN!$A$7:$A$110&lt;=PREVS_SMAP!I$27),0))</f>
        <v>0</v>
      </c>
      <c r="AG90" s="272">
        <f t="array" aca="1" ref="AG90" ca="1">SUM(IFERROR(ISNUMBER(Propagações_TOT_SAOFRAN!$B$7:$CA$110)*(Propagações_TOT_SAOFRAN!$B$6:$CA$6=$B90&amp;"A")*(Propagações_TOT_SAOFRAN!$A$7:$A$110&gt;=PREVS_SMAP!J$26)*(Propagações_TOT_SAOFRAN!$A$7:$A$110&lt;=PREVS_SMAP!J$27),0))</f>
        <v>0</v>
      </c>
      <c r="AH90" s="272">
        <f t="array" aca="1" ref="AH90" ca="1">SUM(IFERROR(ISNUMBER(Propagações_TOT_SAOFRAN!$B$7:$CA$110)*(Propagações_TOT_SAOFRAN!$B$6:$CA$6=$B90&amp;"A")*(Propagações_TOT_SAOFRAN!$A$7:$A$110&gt;=PREVS_SMAP!K$26)*(Propagações_TOT_SAOFRAN!$A$7:$A$110&lt;=PREVS_SMAP!K$27),0))</f>
        <v>0</v>
      </c>
      <c r="AI90" s="272">
        <f t="array" aca="1" ref="AI90" ca="1">SUM(IFERROR(ISNUMBER(Propagações_TOT_SAOFRAN!$B$7:$CA$110)*(Propagações_TOT_SAOFRAN!$B$6:$CA$6=$B90&amp;"A")*(Propagações_TOT_SAOFRAN!$A$7:$A$110&gt;=PREVS_SMAP!L$26)*(Propagações_TOT_SAOFRAN!$A$7:$A$110&lt;=PREVS_SMAP!L$27),0))</f>
        <v>0</v>
      </c>
      <c r="AJ90" s="272">
        <f t="array" aca="1" ref="AJ90" ca="1">SUM(IFERROR(ISNUMBER(Propagações_TOT_SAOFRAN!$B$7:$CA$110)*(Propagações_TOT_SAOFRAN!$B$6:$CA$6=$B90&amp;"A")*(Propagações_TOT_SAOFRAN!$A$7:$A$110&gt;=PREVS_SMAP!M$26)*(Propagações_TOT_SAOFRAN!$A$7:$A$110&lt;=PREVS_SMAP!M$27),0))</f>
        <v>0</v>
      </c>
      <c r="AK90" s="272">
        <f t="array" aca="1" ref="AK90" ca="1">SUM(IFERROR(ISNUMBER(Propagações_TOT_SAOFRAN!$B$7:$CA$110)*(Propagações_TOT_SAOFRAN!$B$6:$CA$6=$B90&amp;"A")*(Propagações_TOT_SAOFRAN!$A$7:$A$110&gt;=PREVS_SMAP!N$26)*(Propagações_TOT_SAOFRAN!$A$7:$A$110&lt;=PREVS_SMAP!N$27),0))</f>
        <v>0</v>
      </c>
      <c r="AL90" s="272">
        <f t="array" aca="1" ref="AL90" ca="1">SUM(IFERROR(ISNUMBER(Propagações_TOT_SAOFRAN!$B$7:$CA$110)*(Propagações_TOT_SAOFRAN!$B$6:$CA$6=$B90&amp;"A")*(Propagações_TOT_SAOFRAN!$A$7:$A$110&gt;=PREVS_SMAP!O$26)*(Propagações_TOT_SAOFRAN!$A$7:$A$110&lt;=PREVS_SMAP!O$27),0))</f>
        <v>0</v>
      </c>
      <c r="AN90" s="121"/>
      <c r="AO90" s="121">
        <f t="shared" ca="1" si="9"/>
        <v>361</v>
      </c>
      <c r="AP90" s="121" t="b">
        <f t="shared" si="10"/>
        <v>1</v>
      </c>
      <c r="AQ90" s="272">
        <f ca="1">+AVERAGEIFS(TABELA_VAZAO[qnat],TABELA_VAZAO[Posto],$R90,TABELA_VAZAO[Data],AQ$27)</f>
        <v>840</v>
      </c>
      <c r="AR90" s="272">
        <f ca="1">+AVERAGEIFS(TABELA_VAZAO[qnat],TABELA_VAZAO[Posto],$R90,TABELA_VAZAO[Data],AR$27)</f>
        <v>785</v>
      </c>
      <c r="AS90" s="272">
        <f ca="1">+AVERAGEIFS(TABELA_VAZAO[qnat],TABELA_VAZAO[Posto],$R90,TABELA_VAZAO[Data],AS$27)</f>
        <v>764</v>
      </c>
      <c r="AT90" s="272">
        <f ca="1">+AVERAGEIFS(TABELA_VAZAO[qnat],TABELA_VAZAO[Posto],$R90,TABELA_VAZAO[Data],AT$27)</f>
        <v>779</v>
      </c>
      <c r="AU90" s="121">
        <f ca="1">+AVERAGEIFS(TABELA_VAZAO[qnat],TABELA_VAZAO[Posto],$R90,TABELA_VAZAO[Data],AU$27)</f>
        <v>790</v>
      </c>
      <c r="AV90" s="272">
        <f ca="1">IFERROR(AVERAGEIFS(TABELA_VAZAO[qnat],TABELA_VAZAO[Posto],$R90,TABELA_VAZAO[Data],AV$27),AU90+$BB90*EXP(AV$26))</f>
        <v>829</v>
      </c>
      <c r="AW90" s="159">
        <f ca="1">IFERROR(AVERAGEIFS(TABELA_VAZAO[qnat],TABELA_VAZAO[Posto],$R90,TABELA_VAZAO[Data],AW$27),AV90+$BB90*EXP(AW$26))</f>
        <v>906</v>
      </c>
      <c r="AX90" s="325">
        <f ca="1">IFERROR(AVERAGEIFS(TABELA_VAZAO[qnat],TABELA_VAZAO[Posto],$R90,TABELA_VAZAO[Data],AX$27),AW90+$BB90*EXP(AX$26))</f>
        <v>953.85714285714289</v>
      </c>
      <c r="AY90" s="325">
        <f ca="1">IFERROR(AVERAGEIFS(TABELA_VAZAO[qnat],TABELA_VAZAO[Posto],$R90,TABELA_VAZAO[Data],AY$27),AX90+$BB90*EXP(AY$26))</f>
        <v>985.93674506027708</v>
      </c>
      <c r="AZ90" s="326">
        <f ca="1">IFERROR(AVERAGEIFS(TABELA_VAZAO[qnat],TABELA_VAZAO[Posto],$R90,TABELA_VAZAO[Data],AZ$27),AY90+$BB90*EXP(AZ$26))</f>
        <v>1007.440345485887</v>
      </c>
      <c r="BA90" s="326">
        <f ca="1">IFERROR(AVERAGEIFS(TABELA_VAZAO[qnat],TABELA_VAZAO[Posto],$R90,TABELA_VAZAO[Data],BA$27),AZ90+$BB90*EXP(BA$26))</f>
        <v>1021.8546399131137</v>
      </c>
      <c r="BB90" s="121">
        <f t="shared" ca="1" si="11"/>
        <v>47.857142857142854</v>
      </c>
      <c r="BC90" s="272">
        <f t="shared" ca="1" si="13"/>
        <v>15</v>
      </c>
      <c r="BD90" s="272">
        <f t="shared" ca="1" si="13"/>
        <v>11</v>
      </c>
      <c r="BE90" s="272">
        <f t="shared" ca="1" si="13"/>
        <v>39</v>
      </c>
      <c r="BF90" s="272">
        <f t="shared" ca="1" si="13"/>
        <v>77</v>
      </c>
      <c r="BG90"/>
    </row>
    <row r="91" spans="1:59" x14ac:dyDescent="0.2">
      <c r="A91" s="289">
        <v>156</v>
      </c>
      <c r="B91" s="283" t="str">
        <f>A91&amp;"_VN"</f>
        <v>156_VN</v>
      </c>
      <c r="C91" s="272" t="s">
        <v>164</v>
      </c>
      <c r="D91" s="132">
        <f t="array" aca="1" ref="D91" ca="1">SUM(IFERROR(Propagações_TOT_SAOFRAN!$B$7:$CA$110*(Propagações_TOT_SAOFRAN!$B$6:$CA$6=$B91&amp;"A")*(Propagações_TOT_SAOFRAN!$A$7:$A$110&gt;=PREVS_SMAP!D$26)*(Propagações_TOT_SAOFRAN!$A$7:$A$110&lt;=PREVS_SMAP!D$27),0))/7</f>
        <v>0</v>
      </c>
      <c r="E91" s="132">
        <f t="array" aca="1" ref="E91" ca="1">SUM(IFERROR(Propagações_TOT_SAOFRAN!$B$7:$CA$110*(Propagações_TOT_SAOFRAN!$B$6:$CA$6=$B91&amp;"A")*(Propagações_TOT_SAOFRAN!$A$7:$A$110&gt;=PREVS_SMAP!E$26)*(Propagações_TOT_SAOFRAN!$A$7:$A$110&lt;=PREVS_SMAP!E$27),0))/7</f>
        <v>545.42857142857144</v>
      </c>
      <c r="F91" s="132">
        <f t="array" aca="1" ref="F91" ca="1">SUM(IFERROR(Propagações_TOT_SAOFRAN!$B$7:$CA$110*(Propagações_TOT_SAOFRAN!$B$6:$CA$6=$B91&amp;"A")*(Propagações_TOT_SAOFRAN!$A$7:$A$110&gt;=PREVS_SMAP!F$26)*(Propagações_TOT_SAOFRAN!$A$7:$A$110&lt;=PREVS_SMAP!F$27),0))/7</f>
        <v>212.14285714285714</v>
      </c>
      <c r="G91" s="132" t="e">
        <f t="array" aca="1" ref="G91" ca="1">IF(AD91&lt;7,NA(),SUM(IFERROR(Propagações_TOT_SAOFRAN!$B$7:$CA$110*(Propagações_TOT_SAOFRAN!$B$6:$CA$6=$B91&amp;"A")*(Propagações_TOT_SAOFRAN!$A$7:$A$110&gt;=PREVS_SMAP!G$26)*(Propagações_TOT_SAOFRAN!$A$7:$A$110&lt;=PREVS_SMAP!G$27),0))/7)</f>
        <v>#N/A</v>
      </c>
      <c r="H91" s="132" t="e">
        <f t="array" aca="1" ref="H91" ca="1">IF(AE91&lt;7,NA(),SUM(IFERROR(Propagações_TOT_SAOFRAN!$B$7:$CA$110*(Propagações_TOT_SAOFRAN!$B$6:$CA$6=$B91&amp;"A")*(Propagações_TOT_SAOFRAN!$A$7:$A$110&gt;=PREVS_SMAP!H$26)*(Propagações_TOT_SAOFRAN!$A$7:$A$110&lt;=PREVS_SMAP!H$27),0))/7)</f>
        <v>#N/A</v>
      </c>
      <c r="I91" s="132" t="e">
        <f t="array" aca="1" ref="I91" ca="1">IF(AF91&lt;7,NA(),SUM(IFERROR(Propagações_TOT_SAOFRAN!$B$7:$CA$110*(Propagações_TOT_SAOFRAN!$B$6:$CA$6=$B91&amp;"A")*(Propagações_TOT_SAOFRAN!$A$7:$A$110&gt;=PREVS_SMAP!I$26)*(Propagações_TOT_SAOFRAN!$A$7:$A$110&lt;=PREVS_SMAP!I$27),0))/7)</f>
        <v>#N/A</v>
      </c>
      <c r="J91" s="132" t="e">
        <f t="array" aca="1" ref="J91" ca="1">IF(AG91&lt;7,NA(),SUM(IFERROR(Propagações_TOT_SAOFRAN!$B$7:$CA$110*(Propagações_TOT_SAOFRAN!$B$6:$CA$6=$B91&amp;"A")*(Propagações_TOT_SAOFRAN!$A$7:$A$110&gt;=PREVS_SMAP!J$26)*(Propagações_TOT_SAOFRAN!$A$7:$A$110&lt;=PREVS_SMAP!J$27),0))/7)</f>
        <v>#N/A</v>
      </c>
      <c r="K91" s="132" t="e">
        <f t="array" aca="1" ref="K91" ca="1">IF(AH91&lt;7,NA(),SUM(IFERROR(Propagações_TOT_SAOFRAN!$B$7:$CA$110*(Propagações_TOT_SAOFRAN!$B$6:$CA$6=$B91&amp;"A")*(Propagações_TOT_SAOFRAN!$A$7:$A$110&gt;=PREVS_SMAP!K$26)*(Propagações_TOT_SAOFRAN!$A$7:$A$110&lt;=PREVS_SMAP!K$27),0))/7)</f>
        <v>#N/A</v>
      </c>
      <c r="L91" s="132" t="e">
        <f t="array" aca="1" ref="L91" ca="1">IF(AI91&lt;7,NA(),SUM(IFERROR(Propagações_TOT_SAOFRAN!$B$7:$CA$110*(Propagações_TOT_SAOFRAN!$B$6:$CA$6=$B91&amp;"A")*(Propagações_TOT_SAOFRAN!$A$7:$A$110&gt;=PREVS_SMAP!L$26)*(Propagações_TOT_SAOFRAN!$A$7:$A$110&lt;=PREVS_SMAP!L$27),0))/7)</f>
        <v>#N/A</v>
      </c>
      <c r="M91" s="132" t="e">
        <f t="array" aca="1" ref="M91" ca="1">IF(AJ91&lt;7,NA(),SUM(IFERROR(Propagações_TOT_SAOFRAN!$B$7:$CA$110*(Propagações_TOT_SAOFRAN!$B$6:$CA$6=$B91&amp;"A")*(Propagações_TOT_SAOFRAN!$A$7:$A$110&gt;=PREVS_SMAP!M$26)*(Propagações_TOT_SAOFRAN!$A$7:$A$110&lt;=PREVS_SMAP!M$27),0))/7)</f>
        <v>#N/A</v>
      </c>
      <c r="N91" s="132" t="e">
        <f t="array" aca="1" ref="N91" ca="1">IF(AK91&lt;7,NA(),SUM(IFERROR(Propagações_TOT_SAOFRAN!$B$7:$CA$110*(Propagações_TOT_SAOFRAN!$B$6:$CA$6=$B91&amp;"A")*(Propagações_TOT_SAOFRAN!$A$7:$A$110&gt;=PREVS_SMAP!N$26)*(Propagações_TOT_SAOFRAN!$A$7:$A$110&lt;=PREVS_SMAP!N$27),0))/7)</f>
        <v>#N/A</v>
      </c>
      <c r="O91" s="132" t="e">
        <f t="array" aca="1" ref="O91" ca="1">IF(AL91&lt;7,NA(),SUM(IFERROR(Propagações_TOT_SAOFRAN!$B$7:$CA$110*(Propagações_TOT_SAOFRAN!$B$6:$CA$6=$B91&amp;"A")*(Propagações_TOT_SAOFRAN!$A$7:$A$110&gt;=PREVS_SMAP!O$26)*(Propagações_TOT_SAOFRAN!$A$7:$A$110&lt;=PREVS_SMAP!O$27),0))/7)</f>
        <v>#N/A</v>
      </c>
      <c r="P91" s="132"/>
      <c r="R91">
        <v>64</v>
      </c>
      <c r="S91" s="40"/>
      <c r="T91" s="40"/>
      <c r="U91" s="131"/>
      <c r="V91" s="131"/>
      <c r="W91" s="131"/>
      <c r="X91" s="131"/>
      <c r="Y91" s="131"/>
      <c r="Z91" s="131"/>
      <c r="AA91" s="131"/>
      <c r="AB91" s="131"/>
      <c r="AD91" s="272">
        <f t="array" aca="1" ref="AD91" ca="1">SUM(IFERROR(ISNUMBER(Propagações_TOT_SAOFRAN!$B$7:$CA$110)*(Propagações_TOT_SAOFRAN!$B$6:$CA$6=$B91&amp;"A")*(Propagações_TOT_SAOFRAN!$A$7:$A$110&gt;=PREVS_SMAP!G$26)*(Propagações_TOT_SAOFRAN!$A$7:$A$110&lt;=PREVS_SMAP!G$27),0))</f>
        <v>0</v>
      </c>
      <c r="AE91" s="272">
        <f t="array" aca="1" ref="AE91" ca="1">SUM(IFERROR(ISNUMBER(Propagações_TOT_SAOFRAN!$B$7:$CA$110)*(Propagações_TOT_SAOFRAN!$B$6:$CA$6=$B91&amp;"A")*(Propagações_TOT_SAOFRAN!$A$7:$A$110&gt;=PREVS_SMAP!H$26)*(Propagações_TOT_SAOFRAN!$A$7:$A$110&lt;=PREVS_SMAP!H$27),0))</f>
        <v>0</v>
      </c>
      <c r="AF91" s="272">
        <f t="array" aca="1" ref="AF91" ca="1">SUM(IFERROR(ISNUMBER(Propagações_TOT_SAOFRAN!$B$7:$CA$110)*(Propagações_TOT_SAOFRAN!$B$6:$CA$6=$B91&amp;"A")*(Propagações_TOT_SAOFRAN!$A$7:$A$110&gt;=PREVS_SMAP!I$26)*(Propagações_TOT_SAOFRAN!$A$7:$A$110&lt;=PREVS_SMAP!I$27),0))</f>
        <v>0</v>
      </c>
      <c r="AG91" s="272">
        <f t="array" aca="1" ref="AG91" ca="1">SUM(IFERROR(ISNUMBER(Propagações_TOT_SAOFRAN!$B$7:$CA$110)*(Propagações_TOT_SAOFRAN!$B$6:$CA$6=$B91&amp;"A")*(Propagações_TOT_SAOFRAN!$A$7:$A$110&gt;=PREVS_SMAP!J$26)*(Propagações_TOT_SAOFRAN!$A$7:$A$110&lt;=PREVS_SMAP!J$27),0))</f>
        <v>0</v>
      </c>
      <c r="AH91" s="272">
        <f t="array" aca="1" ref="AH91" ca="1">SUM(IFERROR(ISNUMBER(Propagações_TOT_SAOFRAN!$B$7:$CA$110)*(Propagações_TOT_SAOFRAN!$B$6:$CA$6=$B91&amp;"A")*(Propagações_TOT_SAOFRAN!$A$7:$A$110&gt;=PREVS_SMAP!K$26)*(Propagações_TOT_SAOFRAN!$A$7:$A$110&lt;=PREVS_SMAP!K$27),0))</f>
        <v>0</v>
      </c>
      <c r="AI91" s="272">
        <f t="array" aca="1" ref="AI91" ca="1">SUM(IFERROR(ISNUMBER(Propagações_TOT_SAOFRAN!$B$7:$CA$110)*(Propagações_TOT_SAOFRAN!$B$6:$CA$6=$B91&amp;"A")*(Propagações_TOT_SAOFRAN!$A$7:$A$110&gt;=PREVS_SMAP!L$26)*(Propagações_TOT_SAOFRAN!$A$7:$A$110&lt;=PREVS_SMAP!L$27),0))</f>
        <v>0</v>
      </c>
      <c r="AJ91" s="272">
        <f t="array" aca="1" ref="AJ91" ca="1">SUM(IFERROR(ISNUMBER(Propagações_TOT_SAOFRAN!$B$7:$CA$110)*(Propagações_TOT_SAOFRAN!$B$6:$CA$6=$B91&amp;"A")*(Propagações_TOT_SAOFRAN!$A$7:$A$110&gt;=PREVS_SMAP!M$26)*(Propagações_TOT_SAOFRAN!$A$7:$A$110&lt;=PREVS_SMAP!M$27),0))</f>
        <v>0</v>
      </c>
      <c r="AK91" s="272">
        <f t="array" aca="1" ref="AK91" ca="1">SUM(IFERROR(ISNUMBER(Propagações_TOT_SAOFRAN!$B$7:$CA$110)*(Propagações_TOT_SAOFRAN!$B$6:$CA$6=$B91&amp;"A")*(Propagações_TOT_SAOFRAN!$A$7:$A$110&gt;=PREVS_SMAP!N$26)*(Propagações_TOT_SAOFRAN!$A$7:$A$110&lt;=PREVS_SMAP!N$27),0))</f>
        <v>0</v>
      </c>
      <c r="AL91" s="272">
        <f t="array" aca="1" ref="AL91" ca="1">SUM(IFERROR(ISNUMBER(Propagações_TOT_SAOFRAN!$B$7:$CA$110)*(Propagações_TOT_SAOFRAN!$B$6:$CA$6=$B91&amp;"A")*(Propagações_TOT_SAOFRAN!$A$7:$A$110&gt;=PREVS_SMAP!O$26)*(Propagações_TOT_SAOFRAN!$A$7:$A$110&lt;=PREVS_SMAP!O$27),0))</f>
        <v>0</v>
      </c>
      <c r="AN91" s="121"/>
      <c r="AO91" s="121" t="e">
        <f t="shared" si="9"/>
        <v>#DIV/0!</v>
      </c>
      <c r="AP91" s="121" t="b">
        <f t="shared" si="10"/>
        <v>0</v>
      </c>
      <c r="AU91" s="121"/>
      <c r="AV91" s="121"/>
      <c r="AW91" s="159"/>
      <c r="AX91" s="159"/>
      <c r="AY91" s="159"/>
      <c r="AZ91" s="157"/>
      <c r="BA91" s="157"/>
      <c r="BB91" s="121">
        <f t="shared" ca="1" si="11"/>
        <v>0</v>
      </c>
      <c r="BC91" s="272">
        <f t="shared" ca="1" si="13"/>
        <v>0</v>
      </c>
      <c r="BD91" s="272">
        <f t="shared" ca="1" si="13"/>
        <v>0</v>
      </c>
      <c r="BE91" s="272">
        <f t="shared" ca="1" si="13"/>
        <v>0</v>
      </c>
      <c r="BF91" s="272">
        <f t="shared" ca="1" si="13"/>
        <v>0</v>
      </c>
      <c r="BG91"/>
    </row>
    <row r="92" spans="1:59" x14ac:dyDescent="0.2">
      <c r="A92" s="289">
        <v>158</v>
      </c>
      <c r="B92" s="283" t="str">
        <f>A92&amp;"_VN"</f>
        <v>158_VN</v>
      </c>
      <c r="C92" s="272" t="s">
        <v>206</v>
      </c>
      <c r="D92" s="132">
        <f t="array" aca="1" ref="D92" ca="1">SUM(IFERROR(Propagações_TOT_SAOFRAN!$B$7:$CA$110*(Propagações_TOT_SAOFRAN!$B$6:$CA$6=$B92&amp;"A")*(Propagações_TOT_SAOFRAN!$A$7:$A$110&gt;=PREVS_SMAP!D$26)*(Propagações_TOT_SAOFRAN!$A$7:$A$110&lt;=PREVS_SMAP!D$27),0))/7</f>
        <v>0</v>
      </c>
      <c r="E92" s="132">
        <f t="array" aca="1" ref="E92" ca="1">SUM(IFERROR(Propagações_TOT_SAOFRAN!$B$7:$CA$110*(Propagações_TOT_SAOFRAN!$B$6:$CA$6=$B92&amp;"A")*(Propagações_TOT_SAOFRAN!$A$7:$A$110&gt;=PREVS_SMAP!E$26)*(Propagações_TOT_SAOFRAN!$A$7:$A$110&lt;=PREVS_SMAP!E$27),0))/7</f>
        <v>17</v>
      </c>
      <c r="F92" s="132">
        <f t="array" aca="1" ref="F92" ca="1">SUM(IFERROR(Propagações_TOT_SAOFRAN!$B$7:$CA$110*(Propagações_TOT_SAOFRAN!$B$6:$CA$6=$B92&amp;"A")*(Propagações_TOT_SAOFRAN!$A$7:$A$110&gt;=PREVS_SMAP!F$26)*(Propagações_TOT_SAOFRAN!$A$7:$A$110&lt;=PREVS_SMAP!F$27),0))/7</f>
        <v>14.285714285714286</v>
      </c>
      <c r="G92" s="132" t="e">
        <f t="array" aca="1" ref="G92" ca="1">IF(AD92&lt;7,NA(),SUM(IFERROR(Propagações_TOT_SAOFRAN!$B$7:$CA$110*(Propagações_TOT_SAOFRAN!$B$6:$CA$6=$B92&amp;"A")*(Propagações_TOT_SAOFRAN!$A$7:$A$110&gt;=PREVS_SMAP!G$26)*(Propagações_TOT_SAOFRAN!$A$7:$A$110&lt;=PREVS_SMAP!G$27),0))/7)</f>
        <v>#N/A</v>
      </c>
      <c r="H92" s="132" t="e">
        <f t="array" aca="1" ref="H92" ca="1">IF(AE92&lt;7,NA(),SUM(IFERROR(Propagações_TOT_SAOFRAN!$B$7:$CA$110*(Propagações_TOT_SAOFRAN!$B$6:$CA$6=$B92&amp;"A")*(Propagações_TOT_SAOFRAN!$A$7:$A$110&gt;=PREVS_SMAP!H$26)*(Propagações_TOT_SAOFRAN!$A$7:$A$110&lt;=PREVS_SMAP!H$27),0))/7)</f>
        <v>#N/A</v>
      </c>
      <c r="I92" s="132" t="e">
        <f t="array" aca="1" ref="I92" ca="1">IF(AF92&lt;7,NA(),SUM(IFERROR(Propagações_TOT_SAOFRAN!$B$7:$CA$110*(Propagações_TOT_SAOFRAN!$B$6:$CA$6=$B92&amp;"A")*(Propagações_TOT_SAOFRAN!$A$7:$A$110&gt;=PREVS_SMAP!I$26)*(Propagações_TOT_SAOFRAN!$A$7:$A$110&lt;=PREVS_SMAP!I$27),0))/7)</f>
        <v>#N/A</v>
      </c>
      <c r="J92" s="132" t="e">
        <f t="array" aca="1" ref="J92" ca="1">IF(AG92&lt;7,NA(),SUM(IFERROR(Propagações_TOT_SAOFRAN!$B$7:$CA$110*(Propagações_TOT_SAOFRAN!$B$6:$CA$6=$B92&amp;"A")*(Propagações_TOT_SAOFRAN!$A$7:$A$110&gt;=PREVS_SMAP!J$26)*(Propagações_TOT_SAOFRAN!$A$7:$A$110&lt;=PREVS_SMAP!J$27),0))/7)</f>
        <v>#N/A</v>
      </c>
      <c r="K92" s="132" t="e">
        <f t="array" aca="1" ref="K92" ca="1">IF(AH92&lt;7,NA(),SUM(IFERROR(Propagações_TOT_SAOFRAN!$B$7:$CA$110*(Propagações_TOT_SAOFRAN!$B$6:$CA$6=$B92&amp;"A")*(Propagações_TOT_SAOFRAN!$A$7:$A$110&gt;=PREVS_SMAP!K$26)*(Propagações_TOT_SAOFRAN!$A$7:$A$110&lt;=PREVS_SMAP!K$27),0))/7)</f>
        <v>#N/A</v>
      </c>
      <c r="L92" s="132" t="e">
        <f t="array" aca="1" ref="L92" ca="1">IF(AI92&lt;7,NA(),SUM(IFERROR(Propagações_TOT_SAOFRAN!$B$7:$CA$110*(Propagações_TOT_SAOFRAN!$B$6:$CA$6=$B92&amp;"A")*(Propagações_TOT_SAOFRAN!$A$7:$A$110&gt;=PREVS_SMAP!L$26)*(Propagações_TOT_SAOFRAN!$A$7:$A$110&lt;=PREVS_SMAP!L$27),0))/7)</f>
        <v>#N/A</v>
      </c>
      <c r="M92" s="132" t="e">
        <f t="array" aca="1" ref="M92" ca="1">IF(AJ92&lt;7,NA(),SUM(IFERROR(Propagações_TOT_SAOFRAN!$B$7:$CA$110*(Propagações_TOT_SAOFRAN!$B$6:$CA$6=$B92&amp;"A")*(Propagações_TOT_SAOFRAN!$A$7:$A$110&gt;=PREVS_SMAP!M$26)*(Propagações_TOT_SAOFRAN!$A$7:$A$110&lt;=PREVS_SMAP!M$27),0))/7)</f>
        <v>#N/A</v>
      </c>
      <c r="N92" s="132" t="e">
        <f t="array" aca="1" ref="N92" ca="1">IF(AK92&lt;7,NA(),SUM(IFERROR(Propagações_TOT_SAOFRAN!$B$7:$CA$110*(Propagações_TOT_SAOFRAN!$B$6:$CA$6=$B92&amp;"A")*(Propagações_TOT_SAOFRAN!$A$7:$A$110&gt;=PREVS_SMAP!N$26)*(Propagações_TOT_SAOFRAN!$A$7:$A$110&lt;=PREVS_SMAP!N$27),0))/7)</f>
        <v>#N/A</v>
      </c>
      <c r="O92" s="132" t="e">
        <f t="array" aca="1" ref="O92" ca="1">IF(AL92&lt;7,NA(),SUM(IFERROR(Propagações_TOT_SAOFRAN!$B$7:$CA$110*(Propagações_TOT_SAOFRAN!$B$6:$CA$6=$B92&amp;"A")*(Propagações_TOT_SAOFRAN!$A$7:$A$110&gt;=PREVS_SMAP!O$26)*(Propagações_TOT_SAOFRAN!$A$7:$A$110&lt;=PREVS_SMAP!O$27),0))/7)</f>
        <v>#N/A</v>
      </c>
      <c r="P92" s="132"/>
      <c r="R92">
        <v>65</v>
      </c>
      <c r="S92" s="40"/>
      <c r="T92" s="40"/>
      <c r="U92" s="131"/>
      <c r="V92" s="131"/>
      <c r="W92" s="131"/>
      <c r="X92" s="131"/>
      <c r="Y92" s="131"/>
      <c r="Z92" s="131"/>
      <c r="AA92" s="131"/>
      <c r="AB92" s="131"/>
      <c r="AD92" s="272">
        <f t="array" aca="1" ref="AD92" ca="1">SUM(IFERROR(ISNUMBER(Propagações_TOT_SAOFRAN!$B$7:$CA$110)*(Propagações_TOT_SAOFRAN!$B$6:$CA$6=$B92&amp;"A")*(Propagações_TOT_SAOFRAN!$A$7:$A$110&gt;=PREVS_SMAP!G$26)*(Propagações_TOT_SAOFRAN!$A$7:$A$110&lt;=PREVS_SMAP!G$27),0))</f>
        <v>0</v>
      </c>
      <c r="AE92" s="272">
        <f t="array" aca="1" ref="AE92" ca="1">SUM(IFERROR(ISNUMBER(Propagações_TOT_SAOFRAN!$B$7:$CA$110)*(Propagações_TOT_SAOFRAN!$B$6:$CA$6=$B92&amp;"A")*(Propagações_TOT_SAOFRAN!$A$7:$A$110&gt;=PREVS_SMAP!H$26)*(Propagações_TOT_SAOFRAN!$A$7:$A$110&lt;=PREVS_SMAP!H$27),0))</f>
        <v>0</v>
      </c>
      <c r="AF92" s="272">
        <f t="array" aca="1" ref="AF92" ca="1">SUM(IFERROR(ISNUMBER(Propagações_TOT_SAOFRAN!$B$7:$CA$110)*(Propagações_TOT_SAOFRAN!$B$6:$CA$6=$B92&amp;"A")*(Propagações_TOT_SAOFRAN!$A$7:$A$110&gt;=PREVS_SMAP!I$26)*(Propagações_TOT_SAOFRAN!$A$7:$A$110&lt;=PREVS_SMAP!I$27),0))</f>
        <v>0</v>
      </c>
      <c r="AG92" s="272">
        <f t="array" aca="1" ref="AG92" ca="1">SUM(IFERROR(ISNUMBER(Propagações_TOT_SAOFRAN!$B$7:$CA$110)*(Propagações_TOT_SAOFRAN!$B$6:$CA$6=$B92&amp;"A")*(Propagações_TOT_SAOFRAN!$A$7:$A$110&gt;=PREVS_SMAP!J$26)*(Propagações_TOT_SAOFRAN!$A$7:$A$110&lt;=PREVS_SMAP!J$27),0))</f>
        <v>0</v>
      </c>
      <c r="AH92" s="272">
        <f t="array" aca="1" ref="AH92" ca="1">SUM(IFERROR(ISNUMBER(Propagações_TOT_SAOFRAN!$B$7:$CA$110)*(Propagações_TOT_SAOFRAN!$B$6:$CA$6=$B92&amp;"A")*(Propagações_TOT_SAOFRAN!$A$7:$A$110&gt;=PREVS_SMAP!K$26)*(Propagações_TOT_SAOFRAN!$A$7:$A$110&lt;=PREVS_SMAP!K$27),0))</f>
        <v>0</v>
      </c>
      <c r="AI92" s="272">
        <f t="array" aca="1" ref="AI92" ca="1">SUM(IFERROR(ISNUMBER(Propagações_TOT_SAOFRAN!$B$7:$CA$110)*(Propagações_TOT_SAOFRAN!$B$6:$CA$6=$B92&amp;"A")*(Propagações_TOT_SAOFRAN!$A$7:$A$110&gt;=PREVS_SMAP!L$26)*(Propagações_TOT_SAOFRAN!$A$7:$A$110&lt;=PREVS_SMAP!L$27),0))</f>
        <v>0</v>
      </c>
      <c r="AJ92" s="272">
        <f t="array" aca="1" ref="AJ92" ca="1">SUM(IFERROR(ISNUMBER(Propagações_TOT_SAOFRAN!$B$7:$CA$110)*(Propagações_TOT_SAOFRAN!$B$6:$CA$6=$B92&amp;"A")*(Propagações_TOT_SAOFRAN!$A$7:$A$110&gt;=PREVS_SMAP!M$26)*(Propagações_TOT_SAOFRAN!$A$7:$A$110&lt;=PREVS_SMAP!M$27),0))</f>
        <v>0</v>
      </c>
      <c r="AK92" s="272">
        <f t="array" aca="1" ref="AK92" ca="1">SUM(IFERROR(ISNUMBER(Propagações_TOT_SAOFRAN!$B$7:$CA$110)*(Propagações_TOT_SAOFRAN!$B$6:$CA$6=$B92&amp;"A")*(Propagações_TOT_SAOFRAN!$A$7:$A$110&gt;=PREVS_SMAP!N$26)*(Propagações_TOT_SAOFRAN!$A$7:$A$110&lt;=PREVS_SMAP!N$27),0))</f>
        <v>0</v>
      </c>
      <c r="AL92" s="272">
        <f t="array" aca="1" ref="AL92" ca="1">SUM(IFERROR(ISNUMBER(Propagações_TOT_SAOFRAN!$B$7:$CA$110)*(Propagações_TOT_SAOFRAN!$B$6:$CA$6=$B92&amp;"A")*(Propagações_TOT_SAOFRAN!$A$7:$A$110&gt;=PREVS_SMAP!O$26)*(Propagações_TOT_SAOFRAN!$A$7:$A$110&lt;=PREVS_SMAP!O$27),0))</f>
        <v>0</v>
      </c>
      <c r="AN92" s="121"/>
      <c r="AO92" s="121" t="e">
        <f t="shared" ref="AO92:AO155" si="30">IFERROR(ROUND(INDEX(F$28:F$129,MATCH($R92,$A$28:$A$129,0)),0),ROUND(AVERAGE(AU92:BA92),0))</f>
        <v>#DIV/0!</v>
      </c>
      <c r="AP92" s="121" t="b">
        <f t="shared" ref="AP92:AP155" si="31">NOT(ISNA(MATCH(R92,$A$28:$A$129,0)))</f>
        <v>0</v>
      </c>
      <c r="AU92" s="121"/>
      <c r="AV92" s="121"/>
      <c r="AW92" s="159"/>
      <c r="AX92" s="159"/>
      <c r="AY92" s="159"/>
      <c r="AZ92" s="157"/>
      <c r="BA92" s="157"/>
      <c r="BB92" s="121">
        <f t="shared" ref="BB92:BB155" ca="1" si="32">SUMPRODUCT(BC92:BF92,BC$27:BF$27)/$BB$27</f>
        <v>0</v>
      </c>
      <c r="BC92" s="272">
        <f t="shared" ca="1" si="13"/>
        <v>0</v>
      </c>
      <c r="BD92" s="272">
        <f t="shared" ca="1" si="13"/>
        <v>0</v>
      </c>
      <c r="BE92" s="272">
        <f t="shared" ca="1" si="13"/>
        <v>0</v>
      </c>
      <c r="BF92" s="272">
        <f t="shared" ca="1" si="13"/>
        <v>0</v>
      </c>
      <c r="BG92"/>
    </row>
    <row r="93" spans="1:59" x14ac:dyDescent="0.2">
      <c r="P93" s="132"/>
      <c r="R93">
        <v>66</v>
      </c>
      <c r="S93" s="40"/>
      <c r="T93" s="40"/>
      <c r="U93" s="131"/>
      <c r="V93" s="131"/>
      <c r="W93" s="131"/>
      <c r="X93" s="131"/>
      <c r="Y93" s="131"/>
      <c r="Z93" s="131"/>
      <c r="AA93" s="131"/>
      <c r="AB93" s="131"/>
      <c r="AN93" s="121"/>
      <c r="AO93" s="121" t="e">
        <f t="shared" si="30"/>
        <v>#DIV/0!</v>
      </c>
      <c r="AP93" s="121" t="b">
        <f t="shared" si="31"/>
        <v>0</v>
      </c>
      <c r="AU93" s="121"/>
      <c r="AV93" s="121"/>
      <c r="AW93" s="159"/>
      <c r="AX93" s="159"/>
      <c r="AY93" s="159"/>
      <c r="AZ93" s="157"/>
      <c r="BA93" s="157"/>
      <c r="BB93" s="121">
        <f t="shared" ca="1" si="32"/>
        <v>0</v>
      </c>
      <c r="BC93" s="272">
        <f t="shared" ref="BC93:BF156" ca="1" si="33">INDEX($AQ93:$BA93,1,BC$26)-INDEX($AQ93:$BA93,1,BC$26-1)</f>
        <v>0</v>
      </c>
      <c r="BD93" s="272">
        <f t="shared" ca="1" si="33"/>
        <v>0</v>
      </c>
      <c r="BE93" s="272">
        <f t="shared" ca="1" si="33"/>
        <v>0</v>
      </c>
      <c r="BF93" s="272">
        <f t="shared" ca="1" si="33"/>
        <v>0</v>
      </c>
      <c r="BG93"/>
    </row>
    <row r="94" spans="1:59" x14ac:dyDescent="0.2">
      <c r="P94" s="132"/>
      <c r="R94">
        <v>67</v>
      </c>
      <c r="S94" s="40"/>
      <c r="T94" s="40"/>
      <c r="U94" s="131"/>
      <c r="V94" s="131"/>
      <c r="W94" s="131"/>
      <c r="X94" s="131"/>
      <c r="Y94" s="131"/>
      <c r="Z94" s="131"/>
      <c r="AA94" s="131"/>
      <c r="AB94" s="131"/>
      <c r="AN94" s="121"/>
      <c r="AO94" s="121" t="e">
        <f t="shared" si="30"/>
        <v>#DIV/0!</v>
      </c>
      <c r="AP94" s="121" t="b">
        <f t="shared" si="31"/>
        <v>0</v>
      </c>
      <c r="AU94" s="121"/>
      <c r="AV94" s="121"/>
      <c r="AW94" s="159"/>
      <c r="AX94" s="159"/>
      <c r="AY94" s="159"/>
      <c r="AZ94" s="157"/>
      <c r="BA94" s="157"/>
      <c r="BB94" s="121">
        <f t="shared" ca="1" si="32"/>
        <v>0</v>
      </c>
      <c r="BC94" s="272">
        <f t="shared" ca="1" si="33"/>
        <v>0</v>
      </c>
      <c r="BD94" s="272">
        <f t="shared" ca="1" si="33"/>
        <v>0</v>
      </c>
      <c r="BE94" s="272">
        <f t="shared" ca="1" si="33"/>
        <v>0</v>
      </c>
      <c r="BF94" s="272">
        <f t="shared" ca="1" si="33"/>
        <v>0</v>
      </c>
      <c r="BG94"/>
    </row>
    <row r="95" spans="1:59" x14ac:dyDescent="0.2">
      <c r="A95" s="266">
        <v>74</v>
      </c>
      <c r="B95" s="265" t="str">
        <f t="shared" ref="B95:B101" si="34">A95&amp;"_VN"</f>
        <v>74_VN</v>
      </c>
      <c r="C95" s="267" t="s">
        <v>82</v>
      </c>
      <c r="D95" s="132">
        <f t="array" aca="1" ref="D95" ca="1">SUM(IFERROR(Propagações_TOT_IGUACU!$B$7:$CD$110*(Propagações_TOT_IGUACU!$B$6:$CD$6=$B95&amp;"A")*(Propagações_TOT_IGUACU!$A$7:$A$110&gt;=PREVS_SMAP!D$26)*(Propagações_TOT_IGUACU!$A$7:$A$110&lt;=PREVS_SMAP!D$27),0))/7</f>
        <v>0</v>
      </c>
      <c r="E95" s="132">
        <f t="array" aca="1" ref="E95" ca="1">SUM(IFERROR(Propagações_TOT_IGUACU!$B$7:$CD$110*(Propagações_TOT_IGUACU!$B$6:$CD$6=$B95&amp;"A")*(Propagações_TOT_IGUACU!$A$7:$A$110&gt;=PREVS_SMAP!E$26)*(Propagações_TOT_IGUACU!$A$7:$A$110&lt;=PREVS_SMAP!E$27),0))/7</f>
        <v>222.28571428571428</v>
      </c>
      <c r="F95" s="132">
        <f t="array" aca="1" ref="F95" ca="1">SUM(IFERROR(Propagações_TOT_IGUACU!$B$7:$CD$110*(Propagações_TOT_IGUACU!$B$6:$CD$6=$B95&amp;"A")*(Propagações_TOT_IGUACU!$A$7:$A$110&gt;=PREVS_SMAP!F$26)*(Propagações_TOT_IGUACU!$A$7:$A$110&lt;=PREVS_SMAP!F$27),0))/7</f>
        <v>116.85714285714286</v>
      </c>
      <c r="G95" s="132" t="e">
        <f t="array" aca="1" ref="G95" ca="1">IF(AD95&lt;7,NA(),SUM(IFERROR(Propagações_TOT_IGUACU!$B$7:$CD$110*(Propagações_TOT_IGUACU!$B$6:$CD$6=$B95&amp;"A")*(Propagações_TOT_IGUACU!$A$7:$A$110&gt;=PREVS_SMAP!G$26)*(Propagações_TOT_IGUACU!$A$7:$A$110&lt;=PREVS_SMAP!G$27),0))/7    )</f>
        <v>#N/A</v>
      </c>
      <c r="H95" s="132" t="e">
        <f t="array" aca="1" ref="H95" ca="1">IF(AE95&lt;7,NA(),SUM(IFERROR(Propagações_TOT_IGUACU!$B$7:$CD$110*(Propagações_TOT_IGUACU!$B$6:$CD$6=$B95&amp;"A")*(Propagações_TOT_IGUACU!$A$7:$A$110&gt;=PREVS_SMAP!H$26)*(Propagações_TOT_IGUACU!$A$7:$A$110&lt;=PREVS_SMAP!H$27),0))/7    )</f>
        <v>#N/A</v>
      </c>
      <c r="I95" s="132" t="e">
        <f t="array" aca="1" ref="I95" ca="1">IF(AF95&lt;7,NA(),SUM(IFERROR(Propagações_TOT_IGUACU!$B$7:$CD$110*(Propagações_TOT_IGUACU!$B$6:$CD$6=$B95&amp;"A")*(Propagações_TOT_IGUACU!$A$7:$A$110&gt;=PREVS_SMAP!I$26)*(Propagações_TOT_IGUACU!$A$7:$A$110&lt;=PREVS_SMAP!I$27),0))/7    )</f>
        <v>#N/A</v>
      </c>
      <c r="J95" s="132" t="e">
        <f t="array" aca="1" ref="J95" ca="1">IF(AG95&lt;7,NA(),SUM(IFERROR(Propagações_TOT_IGUACU!$B$7:$CD$110*(Propagações_TOT_IGUACU!$B$6:$CD$6=$B95&amp;"A")*(Propagações_TOT_IGUACU!$A$7:$A$110&gt;=PREVS_SMAP!J$26)*(Propagações_TOT_IGUACU!$A$7:$A$110&lt;=PREVS_SMAP!J$27),0))/7    )</f>
        <v>#N/A</v>
      </c>
      <c r="K95" s="132" t="e">
        <f t="array" aca="1" ref="K95" ca="1">IF(AH95&lt;7,NA(),SUM(IFERROR(Propagações_TOT_IGUACU!$B$7:$CD$110*(Propagações_TOT_IGUACU!$B$6:$CD$6=$B95&amp;"A")*(Propagações_TOT_IGUACU!$A$7:$A$110&gt;=PREVS_SMAP!K$26)*(Propagações_TOT_IGUACU!$A$7:$A$110&lt;=PREVS_SMAP!K$27),0))/7    )</f>
        <v>#N/A</v>
      </c>
      <c r="L95" s="132" t="e">
        <f t="array" aca="1" ref="L95" ca="1">IF(AI95&lt;7,NA(),SUM(IFERROR(Propagações_TOT_IGUACU!$B$7:$CD$110*(Propagações_TOT_IGUACU!$B$6:$CD$6=$B95&amp;"A")*(Propagações_TOT_IGUACU!$A$7:$A$110&gt;=PREVS_SMAP!L$26)*(Propagações_TOT_IGUACU!$A$7:$A$110&lt;=PREVS_SMAP!L$27),0))/7    )</f>
        <v>#N/A</v>
      </c>
      <c r="M95" s="132" t="e">
        <f t="array" aca="1" ref="M95" ca="1">IF(AJ95&lt;7,NA(),SUM(IFERROR(Propagações_TOT_IGUACU!$B$7:$CD$110*(Propagações_TOT_IGUACU!$B$6:$CD$6=$B95&amp;"A")*(Propagações_TOT_IGUACU!$A$7:$A$110&gt;=PREVS_SMAP!M$26)*(Propagações_TOT_IGUACU!$A$7:$A$110&lt;=PREVS_SMAP!M$27),0))/7    )</f>
        <v>#N/A</v>
      </c>
      <c r="N95" s="132" t="e">
        <f t="array" aca="1" ref="N95" ca="1">IF(AK95&lt;7,NA(),SUM(IFERROR(Propagações_TOT_IGUACU!$B$7:$CD$110*(Propagações_TOT_IGUACU!$B$6:$CD$6=$B95&amp;"A")*(Propagações_TOT_IGUACU!$A$7:$A$110&gt;=PREVS_SMAP!N$26)*(Propagações_TOT_IGUACU!$A$7:$A$110&lt;=PREVS_SMAP!N$27),0))/7    )</f>
        <v>#N/A</v>
      </c>
      <c r="O95" s="132" t="e">
        <f t="array" aca="1" ref="O95" ca="1">IF(AL95&lt;7,NA(),SUM(IFERROR(Propagações_TOT_IGUACU!$B$7:$CD$110*(Propagações_TOT_IGUACU!$B$6:$CD$6=$B95&amp;"A")*(Propagações_TOT_IGUACU!$A$7:$A$110&gt;=PREVS_SMAP!O$26)*(Propagações_TOT_IGUACU!$A$7:$A$110&lt;=PREVS_SMAP!O$27),0))/7    )</f>
        <v>#N/A</v>
      </c>
      <c r="P95" s="229"/>
      <c r="R95">
        <v>68</v>
      </c>
      <c r="S95" s="40"/>
      <c r="T95" s="40"/>
      <c r="U95" s="131"/>
      <c r="V95" s="131"/>
      <c r="W95" s="131"/>
      <c r="X95" s="131"/>
      <c r="Y95" s="131"/>
      <c r="Z95" s="131"/>
      <c r="AA95" s="131"/>
      <c r="AB95" s="131"/>
      <c r="AD95" s="121">
        <f t="array" aca="1" ref="AD95" ca="1">SUM(IFERROR(ISNUMBER(Propagações_TOT_IGUACU!$B$7:$CD$110)*(Propagações_TOT_IGUACU!$B$6:$CD$6=$B95&amp;"A")*(Propagações_TOT_IGUACU!$A$7:$A$110&gt;=PREVS_SMAP!G$26)*(Propagações_TOT_IGUACU!$A$7:$A$110&lt;=PREVS_SMAP!G$27),0))</f>
        <v>0</v>
      </c>
      <c r="AE95" s="272">
        <f t="array" aca="1" ref="AE95" ca="1">SUM(IFERROR(ISNUMBER(Propagações_TOT_IGUACU!$B$7:$CD$110)*(Propagações_TOT_IGUACU!$B$6:$CD$6=$B95&amp;"A")*(Propagações_TOT_IGUACU!$A$7:$A$110&gt;=PREVS_SMAP!H$26)*(Propagações_TOT_IGUACU!$A$7:$A$110&lt;=PREVS_SMAP!H$27),0))</f>
        <v>0</v>
      </c>
      <c r="AF95" s="272">
        <f t="array" aca="1" ref="AF95" ca="1">SUM(IFERROR(ISNUMBER(Propagações_TOT_IGUACU!$B$7:$CD$110)*(Propagações_TOT_IGUACU!$B$6:$CD$6=$B95&amp;"A")*(Propagações_TOT_IGUACU!$A$7:$A$110&gt;=PREVS_SMAP!I$26)*(Propagações_TOT_IGUACU!$A$7:$A$110&lt;=PREVS_SMAP!I$27),0))</f>
        <v>0</v>
      </c>
      <c r="AG95" s="272">
        <f t="array" aca="1" ref="AG95" ca="1">SUM(IFERROR(ISNUMBER(Propagações_TOT_IGUACU!$B$7:$CD$110)*(Propagações_TOT_IGUACU!$B$6:$CD$6=$B95&amp;"A")*(Propagações_TOT_IGUACU!$A$7:$A$110&gt;=PREVS_SMAP!J$26)*(Propagações_TOT_IGUACU!$A$7:$A$110&lt;=PREVS_SMAP!J$27),0))</f>
        <v>0</v>
      </c>
      <c r="AH95" s="272">
        <f t="array" aca="1" ref="AH95" ca="1">SUM(IFERROR(ISNUMBER(Propagações_TOT_IGUACU!$B$7:$CD$110)*(Propagações_TOT_IGUACU!$B$6:$CD$6=$B95&amp;"A")*(Propagações_TOT_IGUACU!$A$7:$A$110&gt;=PREVS_SMAP!K$26)*(Propagações_TOT_IGUACU!$A$7:$A$110&lt;=PREVS_SMAP!K$27),0))</f>
        <v>0</v>
      </c>
      <c r="AI95" s="272">
        <f t="array" aca="1" ref="AI95" ca="1">SUM(IFERROR(ISNUMBER(Propagações_TOT_IGUACU!$B$7:$CD$110)*(Propagações_TOT_IGUACU!$B$6:$CD$6=$B95&amp;"A")*(Propagações_TOT_IGUACU!$A$7:$A$110&gt;=PREVS_SMAP!L$26)*(Propagações_TOT_IGUACU!$A$7:$A$110&lt;=PREVS_SMAP!L$27),0))</f>
        <v>0</v>
      </c>
      <c r="AJ95" s="272">
        <f t="array" aca="1" ref="AJ95" ca="1">SUM(IFERROR(ISNUMBER(Propagações_TOT_IGUACU!$B$7:$CD$110)*(Propagações_TOT_IGUACU!$B$6:$CD$6=$B95&amp;"A")*(Propagações_TOT_IGUACU!$A$7:$A$110&gt;=PREVS_SMAP!M$26)*(Propagações_TOT_IGUACU!$A$7:$A$110&lt;=PREVS_SMAP!M$27),0))</f>
        <v>0</v>
      </c>
      <c r="AK95" s="272">
        <f t="array" aca="1" ref="AK95" ca="1">SUM(IFERROR(ISNUMBER(Propagações_TOT_IGUACU!$B$7:$CD$110)*(Propagações_TOT_IGUACU!$B$6:$CD$6=$B95&amp;"A")*(Propagações_TOT_IGUACU!$A$7:$A$110&gt;=PREVS_SMAP!N$26)*(Propagações_TOT_IGUACU!$A$7:$A$110&lt;=PREVS_SMAP!N$27),0))</f>
        <v>0</v>
      </c>
      <c r="AL95" s="272">
        <f t="array" aca="1" ref="AL95" ca="1">SUM(IFERROR(ISNUMBER(Propagações_TOT_IGUACU!$B$7:$CD$110)*(Propagações_TOT_IGUACU!$B$6:$CD$6=$B95&amp;"A")*(Propagações_TOT_IGUACU!$A$7:$A$110&gt;=PREVS_SMAP!O$26)*(Propagações_TOT_IGUACU!$A$7:$A$110&lt;=PREVS_SMAP!O$27),0))</f>
        <v>0</v>
      </c>
      <c r="AN95" s="121"/>
      <c r="AO95" s="121" t="e">
        <f t="shared" si="30"/>
        <v>#DIV/0!</v>
      </c>
      <c r="AP95" s="121" t="b">
        <f t="shared" si="31"/>
        <v>0</v>
      </c>
      <c r="AU95" s="121"/>
      <c r="AV95" s="121"/>
      <c r="AW95" s="159"/>
      <c r="AX95" s="159"/>
      <c r="AY95" s="159"/>
      <c r="AZ95" s="157"/>
      <c r="BA95" s="157"/>
      <c r="BB95" s="121">
        <f t="shared" ca="1" si="32"/>
        <v>0</v>
      </c>
      <c r="BC95" s="272">
        <f t="shared" ca="1" si="33"/>
        <v>0</v>
      </c>
      <c r="BD95" s="272">
        <f t="shared" ca="1" si="33"/>
        <v>0</v>
      </c>
      <c r="BE95" s="272">
        <f t="shared" ca="1" si="33"/>
        <v>0</v>
      </c>
      <c r="BF95" s="272">
        <f t="shared" ca="1" si="33"/>
        <v>0</v>
      </c>
      <c r="BG95"/>
    </row>
    <row r="96" spans="1:59" x14ac:dyDescent="0.2">
      <c r="A96" s="266">
        <v>73</v>
      </c>
      <c r="B96" s="265" t="str">
        <f t="shared" si="34"/>
        <v>73_VN</v>
      </c>
      <c r="C96" s="267" t="s">
        <v>83</v>
      </c>
      <c r="D96" s="132">
        <f t="array" aca="1" ref="D96" ca="1">SUM(IFERROR(Propagações_TOT_IGUACU!$B$7:$CD$110*(Propagações_TOT_IGUACU!$B$6:$CD$6=$B96&amp;"A")*(Propagações_TOT_IGUACU!$A$7:$A$110&gt;=PREVS_SMAP!D$26)*(Propagações_TOT_IGUACU!$A$7:$A$110&lt;=PREVS_SMAP!D$27),0))/7</f>
        <v>0</v>
      </c>
      <c r="E96" s="132">
        <f t="array" aca="1" ref="E96" ca="1">SUM(IFERROR(Propagações_TOT_IGUACU!$B$7:$CD$110*(Propagações_TOT_IGUACU!$B$6:$CD$6=$B96&amp;"A")*(Propagações_TOT_IGUACU!$A$7:$A$110&gt;=PREVS_SMAP!E$26)*(Propagações_TOT_IGUACU!$A$7:$A$110&lt;=PREVS_SMAP!E$27),0))/7</f>
        <v>56.571428571428569</v>
      </c>
      <c r="F96" s="132">
        <f t="array" aca="1" ref="F96" ca="1">SUM(IFERROR(Propagações_TOT_IGUACU!$B$7:$CD$110*(Propagações_TOT_IGUACU!$B$6:$CD$6=$B96&amp;"A")*(Propagações_TOT_IGUACU!$A$7:$A$110&gt;=PREVS_SMAP!F$26)*(Propagações_TOT_IGUACU!$A$7:$A$110&lt;=PREVS_SMAP!F$27),0))/7</f>
        <v>22.285714285714285</v>
      </c>
      <c r="G96" s="132" t="e">
        <f t="array" aca="1" ref="G96" ca="1">IF(AD96&lt;7,NA(),SUM(IFERROR(Propagações_TOT_IGUACU!$B$7:$CD$110*(Propagações_TOT_IGUACU!$B$6:$CD$6=$B96&amp;"A")*(Propagações_TOT_IGUACU!$A$7:$A$110&gt;=PREVS_SMAP!G$26)*(Propagações_TOT_IGUACU!$A$7:$A$110&lt;=PREVS_SMAP!G$27),0))/7    )</f>
        <v>#N/A</v>
      </c>
      <c r="H96" s="132" t="e">
        <f t="array" aca="1" ref="H96" ca="1">IF(AE96&lt;7,NA(),SUM(IFERROR(Propagações_TOT_IGUACU!$B$7:$CD$110*(Propagações_TOT_IGUACU!$B$6:$CD$6=$B96&amp;"A")*(Propagações_TOT_IGUACU!$A$7:$A$110&gt;=PREVS_SMAP!H$26)*(Propagações_TOT_IGUACU!$A$7:$A$110&lt;=PREVS_SMAP!H$27),0))/7    )</f>
        <v>#N/A</v>
      </c>
      <c r="I96" s="132" t="e">
        <f t="array" aca="1" ref="I96" ca="1">IF(AF96&lt;7,NA(),SUM(IFERROR(Propagações_TOT_IGUACU!$B$7:$CD$110*(Propagações_TOT_IGUACU!$B$6:$CD$6=$B96&amp;"A")*(Propagações_TOT_IGUACU!$A$7:$A$110&gt;=PREVS_SMAP!I$26)*(Propagações_TOT_IGUACU!$A$7:$A$110&lt;=PREVS_SMAP!I$27),0))/7    )</f>
        <v>#N/A</v>
      </c>
      <c r="J96" s="132" t="e">
        <f t="array" aca="1" ref="J96" ca="1">IF(AG96&lt;7,NA(),SUM(IFERROR(Propagações_TOT_IGUACU!$B$7:$CD$110*(Propagações_TOT_IGUACU!$B$6:$CD$6=$B96&amp;"A")*(Propagações_TOT_IGUACU!$A$7:$A$110&gt;=PREVS_SMAP!J$26)*(Propagações_TOT_IGUACU!$A$7:$A$110&lt;=PREVS_SMAP!J$27),0))/7    )</f>
        <v>#N/A</v>
      </c>
      <c r="K96" s="132" t="e">
        <f t="array" aca="1" ref="K96" ca="1">IF(AH96&lt;7,NA(),SUM(IFERROR(Propagações_TOT_IGUACU!$B$7:$CD$110*(Propagações_TOT_IGUACU!$B$6:$CD$6=$B96&amp;"A")*(Propagações_TOT_IGUACU!$A$7:$A$110&gt;=PREVS_SMAP!K$26)*(Propagações_TOT_IGUACU!$A$7:$A$110&lt;=PREVS_SMAP!K$27),0))/7    )</f>
        <v>#N/A</v>
      </c>
      <c r="L96" s="132" t="e">
        <f t="array" aca="1" ref="L96" ca="1">IF(AI96&lt;7,NA(),SUM(IFERROR(Propagações_TOT_IGUACU!$B$7:$CD$110*(Propagações_TOT_IGUACU!$B$6:$CD$6=$B96&amp;"A")*(Propagações_TOT_IGUACU!$A$7:$A$110&gt;=PREVS_SMAP!L$26)*(Propagações_TOT_IGUACU!$A$7:$A$110&lt;=PREVS_SMAP!L$27),0))/7    )</f>
        <v>#N/A</v>
      </c>
      <c r="M96" s="132" t="e">
        <f t="array" aca="1" ref="M96" ca="1">IF(AJ96&lt;7,NA(),SUM(IFERROR(Propagações_TOT_IGUACU!$B$7:$CD$110*(Propagações_TOT_IGUACU!$B$6:$CD$6=$B96&amp;"A")*(Propagações_TOT_IGUACU!$A$7:$A$110&gt;=PREVS_SMAP!M$26)*(Propagações_TOT_IGUACU!$A$7:$A$110&lt;=PREVS_SMAP!M$27),0))/7    )</f>
        <v>#N/A</v>
      </c>
      <c r="N96" s="132" t="e">
        <f t="array" aca="1" ref="N96" ca="1">IF(AK96&lt;7,NA(),SUM(IFERROR(Propagações_TOT_IGUACU!$B$7:$CD$110*(Propagações_TOT_IGUACU!$B$6:$CD$6=$B96&amp;"A")*(Propagações_TOT_IGUACU!$A$7:$A$110&gt;=PREVS_SMAP!N$26)*(Propagações_TOT_IGUACU!$A$7:$A$110&lt;=PREVS_SMAP!N$27),0))/7    )</f>
        <v>#N/A</v>
      </c>
      <c r="O96" s="132" t="e">
        <f t="array" aca="1" ref="O96" ca="1">IF(AL96&lt;7,NA(),SUM(IFERROR(Propagações_TOT_IGUACU!$B$7:$CD$110*(Propagações_TOT_IGUACU!$B$6:$CD$6=$B96&amp;"A")*(Propagações_TOT_IGUACU!$A$7:$A$110&gt;=PREVS_SMAP!O$26)*(Propagações_TOT_IGUACU!$A$7:$A$110&lt;=PREVS_SMAP!O$27),0))/7    )</f>
        <v>#N/A</v>
      </c>
      <c r="P96" s="229"/>
      <c r="R96">
        <v>69</v>
      </c>
      <c r="S96" s="40"/>
      <c r="T96" s="40"/>
      <c r="U96" s="131"/>
      <c r="V96" s="131"/>
      <c r="W96" s="131"/>
      <c r="X96" s="131"/>
      <c r="Y96" s="131"/>
      <c r="Z96" s="131"/>
      <c r="AA96" s="131"/>
      <c r="AB96" s="131"/>
      <c r="AD96" s="272">
        <f t="array" aca="1" ref="AD96" ca="1">SUM(IFERROR(ISNUMBER(Propagações_TOT_IGUACU!$B$7:$CD$110)*(Propagações_TOT_IGUACU!$B$6:$CD$6=$B96&amp;"A")*(Propagações_TOT_IGUACU!$A$7:$A$110&gt;=PREVS_SMAP!G$26)*(Propagações_TOT_IGUACU!$A$7:$A$110&lt;=PREVS_SMAP!G$27),0))</f>
        <v>0</v>
      </c>
      <c r="AE96" s="272">
        <f t="array" aca="1" ref="AE96" ca="1">SUM(IFERROR(ISNUMBER(Propagações_TOT_IGUACU!$B$7:$CD$110)*(Propagações_TOT_IGUACU!$B$6:$CD$6=$B96&amp;"A")*(Propagações_TOT_IGUACU!$A$7:$A$110&gt;=PREVS_SMAP!H$26)*(Propagações_TOT_IGUACU!$A$7:$A$110&lt;=PREVS_SMAP!H$27),0))</f>
        <v>0</v>
      </c>
      <c r="AF96" s="272">
        <f t="array" aca="1" ref="AF96" ca="1">SUM(IFERROR(ISNUMBER(Propagações_TOT_IGUACU!$B$7:$CD$110)*(Propagações_TOT_IGUACU!$B$6:$CD$6=$B96&amp;"A")*(Propagações_TOT_IGUACU!$A$7:$A$110&gt;=PREVS_SMAP!I$26)*(Propagações_TOT_IGUACU!$A$7:$A$110&lt;=PREVS_SMAP!I$27),0))</f>
        <v>0</v>
      </c>
      <c r="AG96" s="272">
        <f t="array" aca="1" ref="AG96" ca="1">SUM(IFERROR(ISNUMBER(Propagações_TOT_IGUACU!$B$7:$CD$110)*(Propagações_TOT_IGUACU!$B$6:$CD$6=$B96&amp;"A")*(Propagações_TOT_IGUACU!$A$7:$A$110&gt;=PREVS_SMAP!J$26)*(Propagações_TOT_IGUACU!$A$7:$A$110&lt;=PREVS_SMAP!J$27),0))</f>
        <v>0</v>
      </c>
      <c r="AH96" s="272">
        <f t="array" aca="1" ref="AH96" ca="1">SUM(IFERROR(ISNUMBER(Propagações_TOT_IGUACU!$B$7:$CD$110)*(Propagações_TOT_IGUACU!$B$6:$CD$6=$B96&amp;"A")*(Propagações_TOT_IGUACU!$A$7:$A$110&gt;=PREVS_SMAP!K$26)*(Propagações_TOT_IGUACU!$A$7:$A$110&lt;=PREVS_SMAP!K$27),0))</f>
        <v>0</v>
      </c>
      <c r="AI96" s="272">
        <f t="array" aca="1" ref="AI96" ca="1">SUM(IFERROR(ISNUMBER(Propagações_TOT_IGUACU!$B$7:$CD$110)*(Propagações_TOT_IGUACU!$B$6:$CD$6=$B96&amp;"A")*(Propagações_TOT_IGUACU!$A$7:$A$110&gt;=PREVS_SMAP!L$26)*(Propagações_TOT_IGUACU!$A$7:$A$110&lt;=PREVS_SMAP!L$27),0))</f>
        <v>0</v>
      </c>
      <c r="AJ96" s="272">
        <f t="array" aca="1" ref="AJ96" ca="1">SUM(IFERROR(ISNUMBER(Propagações_TOT_IGUACU!$B$7:$CD$110)*(Propagações_TOT_IGUACU!$B$6:$CD$6=$B96&amp;"A")*(Propagações_TOT_IGUACU!$A$7:$A$110&gt;=PREVS_SMAP!M$26)*(Propagações_TOT_IGUACU!$A$7:$A$110&lt;=PREVS_SMAP!M$27),0))</f>
        <v>0</v>
      </c>
      <c r="AK96" s="272">
        <f t="array" aca="1" ref="AK96" ca="1">SUM(IFERROR(ISNUMBER(Propagações_TOT_IGUACU!$B$7:$CD$110)*(Propagações_TOT_IGUACU!$B$6:$CD$6=$B96&amp;"A")*(Propagações_TOT_IGUACU!$A$7:$A$110&gt;=PREVS_SMAP!N$26)*(Propagações_TOT_IGUACU!$A$7:$A$110&lt;=PREVS_SMAP!N$27),0))</f>
        <v>0</v>
      </c>
      <c r="AL96" s="272">
        <f t="array" aca="1" ref="AL96" ca="1">SUM(IFERROR(ISNUMBER(Propagações_TOT_IGUACU!$B$7:$CD$110)*(Propagações_TOT_IGUACU!$B$6:$CD$6=$B96&amp;"A")*(Propagações_TOT_IGUACU!$A$7:$A$110&gt;=PREVS_SMAP!O$26)*(Propagações_TOT_IGUACU!$A$7:$A$110&lt;=PREVS_SMAP!O$27),0))</f>
        <v>0</v>
      </c>
      <c r="AN96" s="121"/>
      <c r="AO96" s="121" t="e">
        <f t="shared" si="30"/>
        <v>#DIV/0!</v>
      </c>
      <c r="AP96" s="121" t="b">
        <f t="shared" si="31"/>
        <v>0</v>
      </c>
      <c r="AU96" s="121"/>
      <c r="AV96" s="121"/>
      <c r="AW96" s="159"/>
      <c r="AX96" s="159"/>
      <c r="AY96" s="159"/>
      <c r="AZ96" s="157"/>
      <c r="BA96" s="157"/>
      <c r="BB96" s="121">
        <f t="shared" ca="1" si="32"/>
        <v>0</v>
      </c>
      <c r="BC96" s="272">
        <f t="shared" ca="1" si="33"/>
        <v>0</v>
      </c>
      <c r="BD96" s="272">
        <f t="shared" ca="1" si="33"/>
        <v>0</v>
      </c>
      <c r="BE96" s="272">
        <f t="shared" ca="1" si="33"/>
        <v>0</v>
      </c>
      <c r="BF96" s="272">
        <f t="shared" ca="1" si="33"/>
        <v>0</v>
      </c>
      <c r="BG96"/>
    </row>
    <row r="97" spans="1:59" x14ac:dyDescent="0.2">
      <c r="A97" s="266">
        <v>78</v>
      </c>
      <c r="B97" s="265" t="str">
        <f t="shared" si="34"/>
        <v>78_VN</v>
      </c>
      <c r="C97" s="267" t="s">
        <v>84</v>
      </c>
      <c r="D97" s="132">
        <f t="array" aca="1" ref="D97" ca="1">SUM(IFERROR(Propagações_TOT_IGUACU!$B$7:$CD$110*(Propagações_TOT_IGUACU!$B$6:$CD$6=$B97&amp;"A")*(Propagações_TOT_IGUACU!$A$7:$A$110&gt;=PREVS_SMAP!D$26)*(Propagações_TOT_IGUACU!$A$7:$A$110&lt;=PREVS_SMAP!D$27),0))/7</f>
        <v>0</v>
      </c>
      <c r="E97" s="184">
        <f t="array" aca="1" ref="E97" ca="1">SUM(IFERROR(Propagações_TOT_IGUACU!$B$7:$CD$110*(Propagações_TOT_IGUACU!$B$6:$CD$6=$B97&amp;"A")*(Propagações_TOT_IGUACU!$A$7:$A$110&gt;=PREVS_SMAP!E$26)*(Propagações_TOT_IGUACU!$A$7:$A$110&lt;=PREVS_SMAP!E$27),0))/7</f>
        <v>397.57142857142856</v>
      </c>
      <c r="F97" s="184">
        <f t="array" aca="1" ref="F97" ca="1">SUM(IFERROR(Propagações_TOT_IGUACU!$B$7:$CD$110*(Propagações_TOT_IGUACU!$B$6:$CD$6=$B97&amp;"A")*(Propagações_TOT_IGUACU!$A$7:$A$110&gt;=PREVS_SMAP!F$26)*(Propagações_TOT_IGUACU!$A$7:$A$110&lt;=PREVS_SMAP!F$27),0))/7</f>
        <v>156.85714285714286</v>
      </c>
      <c r="G97" s="132" t="e">
        <f t="array" aca="1" ref="G97" ca="1">IF(AD97&lt;7,NA(),SUM(IFERROR(Propagações_TOT_IGUACU!$B$7:$CD$110*(Propagações_TOT_IGUACU!$B$6:$CD$6=$B97&amp;"I")*(Propagações_TOT_IGUACU!$A$7:$A$110&gt;=PREVS_SMAP!G$26)*(Propagações_TOT_IGUACU!$A$7:$A$110&lt;=PREVS_SMAP!G$27),0))/7    )+G98</f>
        <v>#N/A</v>
      </c>
      <c r="H97" s="132" t="e">
        <f t="array" aca="1" ref="H97" ca="1">IF(AE97&lt;7,NA(),SUM(IFERROR(Propagações_TOT_IGUACU!$B$7:$CD$110*(Propagações_TOT_IGUACU!$B$6:$CD$6=$B97&amp;"I")*(Propagações_TOT_IGUACU!$A$7:$A$110&gt;=PREVS_SMAP!H$26)*(Propagações_TOT_IGUACU!$A$7:$A$110&lt;=PREVS_SMAP!H$27),0))/7    )+H98</f>
        <v>#N/A</v>
      </c>
      <c r="I97" s="132" t="e">
        <f t="array" aca="1" ref="I97" ca="1">IF(AF97&lt;7,NA(),SUM(IFERROR(Propagações_TOT_IGUACU!$B$7:$CD$110*(Propagações_TOT_IGUACU!$B$6:$CD$6=$B97&amp;"I")*(Propagações_TOT_IGUACU!$A$7:$A$110&gt;=PREVS_SMAP!I$26)*(Propagações_TOT_IGUACU!$A$7:$A$110&lt;=PREVS_SMAP!I$27),0))/7    )+I98</f>
        <v>#N/A</v>
      </c>
      <c r="J97" s="132" t="e">
        <f t="array" aca="1" ref="J97" ca="1">IF(AG97&lt;7,NA(),SUM(IFERROR(Propagações_TOT_IGUACU!$B$7:$CD$110*(Propagações_TOT_IGUACU!$B$6:$CD$6=$B97&amp;"I")*(Propagações_TOT_IGUACU!$A$7:$A$110&gt;=PREVS_SMAP!J$26)*(Propagações_TOT_IGUACU!$A$7:$A$110&lt;=PREVS_SMAP!J$27),0))/7    )+J98</f>
        <v>#N/A</v>
      </c>
      <c r="K97" s="132" t="e">
        <f t="array" aca="1" ref="K97" ca="1">IF(AH97&lt;7,NA(),SUM(IFERROR(Propagações_TOT_IGUACU!$B$7:$CD$110*(Propagações_TOT_IGUACU!$B$6:$CD$6=$B97&amp;"I")*(Propagações_TOT_IGUACU!$A$7:$A$110&gt;=PREVS_SMAP!K$26)*(Propagações_TOT_IGUACU!$A$7:$A$110&lt;=PREVS_SMAP!K$27),0))/7    )+K98</f>
        <v>#N/A</v>
      </c>
      <c r="L97" s="132" t="e">
        <f t="array" aca="1" ref="L97" ca="1">IF(AI97&lt;7,NA(),SUM(IFERROR(Propagações_TOT_IGUACU!$B$7:$CD$110*(Propagações_TOT_IGUACU!$B$6:$CD$6=$B97&amp;"I")*(Propagações_TOT_IGUACU!$A$7:$A$110&gt;=PREVS_SMAP!L$26)*(Propagações_TOT_IGUACU!$A$7:$A$110&lt;=PREVS_SMAP!L$27),0))/7    )+L98</f>
        <v>#N/A</v>
      </c>
      <c r="M97" s="132" t="e">
        <f t="array" aca="1" ref="M97" ca="1">IF(AJ97&lt;7,NA(),SUM(IFERROR(Propagações_TOT_IGUACU!$B$7:$CD$110*(Propagações_TOT_IGUACU!$B$6:$CD$6=$B97&amp;"I")*(Propagações_TOT_IGUACU!$A$7:$A$110&gt;=PREVS_SMAP!M$26)*(Propagações_TOT_IGUACU!$A$7:$A$110&lt;=PREVS_SMAP!M$27),0))/7    )+M98</f>
        <v>#N/A</v>
      </c>
      <c r="N97" s="132" t="e">
        <f t="array" aca="1" ref="N97" ca="1">IF(AK97&lt;7,NA(),SUM(IFERROR(Propagações_TOT_IGUACU!$B$7:$CD$110*(Propagações_TOT_IGUACU!$B$6:$CD$6=$B97&amp;"I")*(Propagações_TOT_IGUACU!$A$7:$A$110&gt;=PREVS_SMAP!N$26)*(Propagações_TOT_IGUACU!$A$7:$A$110&lt;=PREVS_SMAP!N$27),0))/7    )+N98</f>
        <v>#N/A</v>
      </c>
      <c r="O97" s="132" t="e">
        <f t="array" aca="1" ref="O97" ca="1">IF(AL97&lt;7,NA(),SUM(IFERROR(Propagações_TOT_IGUACU!$B$7:$CD$110*(Propagações_TOT_IGUACU!$B$6:$CD$6=$B97&amp;"I")*(Propagações_TOT_IGUACU!$A$7:$A$110&gt;=PREVS_SMAP!O$26)*(Propagações_TOT_IGUACU!$A$7:$A$110&lt;=PREVS_SMAP!O$27),0))/7    )+O98</f>
        <v>#N/A</v>
      </c>
      <c r="P97" s="142"/>
      <c r="R97">
        <v>70</v>
      </c>
      <c r="S97" s="40"/>
      <c r="T97" s="40"/>
      <c r="U97" s="131"/>
      <c r="V97" s="131"/>
      <c r="W97" s="131"/>
      <c r="X97" s="131"/>
      <c r="Y97" s="131"/>
      <c r="Z97" s="131"/>
      <c r="AA97" s="131"/>
      <c r="AB97" s="131"/>
      <c r="AD97" s="272">
        <f t="array" aca="1" ref="AD97" ca="1">SUM(IFERROR(ISNUMBER(Propagações_TOT_IGUACU!$B$7:$CD$110)*(Propagações_TOT_IGUACU!$B$6:$CD$6=$B97&amp;"A")*(Propagações_TOT_IGUACU!$A$7:$A$110&gt;=PREVS_SMAP!G$26)*(Propagações_TOT_IGUACU!$A$7:$A$110&lt;=PREVS_SMAP!G$27),0))</f>
        <v>0</v>
      </c>
      <c r="AE97" s="272">
        <f t="array" aca="1" ref="AE97" ca="1">SUM(IFERROR(ISNUMBER(Propagações_TOT_IGUACU!$B$7:$CD$110)*(Propagações_TOT_IGUACU!$B$6:$CD$6=$B97&amp;"A")*(Propagações_TOT_IGUACU!$A$7:$A$110&gt;=PREVS_SMAP!H$26)*(Propagações_TOT_IGUACU!$A$7:$A$110&lt;=PREVS_SMAP!H$27),0))</f>
        <v>0</v>
      </c>
      <c r="AF97" s="272">
        <f t="array" aca="1" ref="AF97" ca="1">SUM(IFERROR(ISNUMBER(Propagações_TOT_IGUACU!$B$7:$CD$110)*(Propagações_TOT_IGUACU!$B$6:$CD$6=$B97&amp;"A")*(Propagações_TOT_IGUACU!$A$7:$A$110&gt;=PREVS_SMAP!I$26)*(Propagações_TOT_IGUACU!$A$7:$A$110&lt;=PREVS_SMAP!I$27),0))</f>
        <v>0</v>
      </c>
      <c r="AG97" s="272">
        <f t="array" aca="1" ref="AG97" ca="1">SUM(IFERROR(ISNUMBER(Propagações_TOT_IGUACU!$B$7:$CD$110)*(Propagações_TOT_IGUACU!$B$6:$CD$6=$B97&amp;"A")*(Propagações_TOT_IGUACU!$A$7:$A$110&gt;=PREVS_SMAP!J$26)*(Propagações_TOT_IGUACU!$A$7:$A$110&lt;=PREVS_SMAP!J$27),0))</f>
        <v>0</v>
      </c>
      <c r="AH97" s="272">
        <f t="array" aca="1" ref="AH97" ca="1">SUM(IFERROR(ISNUMBER(Propagações_TOT_IGUACU!$B$7:$CD$110)*(Propagações_TOT_IGUACU!$B$6:$CD$6=$B97&amp;"A")*(Propagações_TOT_IGUACU!$A$7:$A$110&gt;=PREVS_SMAP!K$26)*(Propagações_TOT_IGUACU!$A$7:$A$110&lt;=PREVS_SMAP!K$27),0))</f>
        <v>0</v>
      </c>
      <c r="AI97" s="272">
        <f t="array" aca="1" ref="AI97" ca="1">SUM(IFERROR(ISNUMBER(Propagações_TOT_IGUACU!$B$7:$CD$110)*(Propagações_TOT_IGUACU!$B$6:$CD$6=$B97&amp;"A")*(Propagações_TOT_IGUACU!$A$7:$A$110&gt;=PREVS_SMAP!L$26)*(Propagações_TOT_IGUACU!$A$7:$A$110&lt;=PREVS_SMAP!L$27),0))</f>
        <v>0</v>
      </c>
      <c r="AJ97" s="272">
        <f t="array" aca="1" ref="AJ97" ca="1">SUM(IFERROR(ISNUMBER(Propagações_TOT_IGUACU!$B$7:$CD$110)*(Propagações_TOT_IGUACU!$B$6:$CD$6=$B97&amp;"A")*(Propagações_TOT_IGUACU!$A$7:$A$110&gt;=PREVS_SMAP!M$26)*(Propagações_TOT_IGUACU!$A$7:$A$110&lt;=PREVS_SMAP!M$27),0))</f>
        <v>0</v>
      </c>
      <c r="AK97" s="272">
        <f t="array" aca="1" ref="AK97" ca="1">SUM(IFERROR(ISNUMBER(Propagações_TOT_IGUACU!$B$7:$CD$110)*(Propagações_TOT_IGUACU!$B$6:$CD$6=$B97&amp;"A")*(Propagações_TOT_IGUACU!$A$7:$A$110&gt;=PREVS_SMAP!N$26)*(Propagações_TOT_IGUACU!$A$7:$A$110&lt;=PREVS_SMAP!N$27),0))</f>
        <v>0</v>
      </c>
      <c r="AL97" s="272">
        <f t="array" aca="1" ref="AL97" ca="1">SUM(IFERROR(ISNUMBER(Propagações_TOT_IGUACU!$B$7:$CD$110)*(Propagações_TOT_IGUACU!$B$6:$CD$6=$B97&amp;"A")*(Propagações_TOT_IGUACU!$A$7:$A$110&gt;=PREVS_SMAP!O$26)*(Propagações_TOT_IGUACU!$A$7:$A$110&lt;=PREVS_SMAP!O$27),0))</f>
        <v>0</v>
      </c>
      <c r="AN97" s="121"/>
      <c r="AO97" s="121" t="e">
        <f t="shared" si="30"/>
        <v>#DIV/0!</v>
      </c>
      <c r="AP97" s="121" t="b">
        <f t="shared" si="31"/>
        <v>0</v>
      </c>
      <c r="AU97" s="121"/>
      <c r="AV97" s="121"/>
      <c r="AW97" s="159"/>
      <c r="AX97" s="159"/>
      <c r="AY97" s="159"/>
      <c r="AZ97" s="157"/>
      <c r="BA97" s="157"/>
      <c r="BB97" s="121">
        <f t="shared" ca="1" si="32"/>
        <v>0</v>
      </c>
      <c r="BC97" s="272">
        <f t="shared" ca="1" si="33"/>
        <v>0</v>
      </c>
      <c r="BD97" s="272">
        <f t="shared" ca="1" si="33"/>
        <v>0</v>
      </c>
      <c r="BE97" s="272">
        <f t="shared" ca="1" si="33"/>
        <v>0</v>
      </c>
      <c r="BF97" s="272">
        <f t="shared" ca="1" si="33"/>
        <v>0</v>
      </c>
      <c r="BG97"/>
    </row>
    <row r="98" spans="1:59" x14ac:dyDescent="0.2">
      <c r="A98" s="266">
        <v>77</v>
      </c>
      <c r="B98" s="265" t="str">
        <f t="shared" si="34"/>
        <v>77_VN</v>
      </c>
      <c r="C98" s="267" t="s">
        <v>85</v>
      </c>
      <c r="D98" s="132">
        <f t="array" aca="1" ref="D98" ca="1">SUM(IFERROR(Propagações_TOT_IGUACU!$B$7:$CD$110*(Propagações_TOT_IGUACU!$B$6:$CD$6=$B98&amp;"A")*(Propagações_TOT_IGUACU!$A$7:$A$110&gt;=PREVS_SMAP!D$26)*(Propagações_TOT_IGUACU!$A$7:$A$110&lt;=PREVS_SMAP!D$27),0))/7</f>
        <v>0</v>
      </c>
      <c r="E98" s="132">
        <f t="array" aca="1" ref="E98" ca="1">SUM(IFERROR(Propagações_TOT_IGUACU!$B$7:$CD$110*(Propagações_TOT_IGUACU!$B$6:$CD$6=$B98&amp;"A")*(Propagações_TOT_IGUACU!$A$7:$A$110&gt;=PREVS_SMAP!E$26)*(Propagações_TOT_IGUACU!$A$7:$A$110&lt;=PREVS_SMAP!E$27),0))/7</f>
        <v>374</v>
      </c>
      <c r="F98" s="132">
        <f t="array" aca="1" ref="F98" ca="1">SUM(IFERROR(Propagações_TOT_IGUACU!$B$7:$CD$110*(Propagações_TOT_IGUACU!$B$6:$CD$6=$B98&amp;"A")*(Propagações_TOT_IGUACU!$A$7:$A$110&gt;=PREVS_SMAP!F$26)*(Propagações_TOT_IGUACU!$A$7:$A$110&lt;=PREVS_SMAP!F$27),0))/7</f>
        <v>157.42857142857142</v>
      </c>
      <c r="G98" s="132" t="e">
        <f t="array" aca="1" ref="G98" ca="1">IF(AD98&lt;7,NA(),SUM(IFERROR(Propagações_TOT_IGUACU!$B$7:$CD$110*(Propagações_TOT_IGUACU!$B$6:$CD$6=$B98&amp;"I")*(Propagações_TOT_IGUACU!$A$7:$A$110&gt;=PREVS_SMAP!G$26)*(Propagações_TOT_IGUACU!$A$7:$A$110&lt;=PREVS_SMAP!G$27),0))/7    )+G96+G99</f>
        <v>#N/A</v>
      </c>
      <c r="H98" s="132" t="e">
        <f t="array" aca="1" ref="H98" ca="1">IF(AE98&lt;7,NA(),SUM(IFERROR(Propagações_TOT_IGUACU!$B$7:$CD$110*(Propagações_TOT_IGUACU!$B$6:$CD$6=$B98&amp;"I")*(Propagações_TOT_IGUACU!$A$7:$A$110&gt;=PREVS_SMAP!H$26)*(Propagações_TOT_IGUACU!$A$7:$A$110&lt;=PREVS_SMAP!H$27),0))/7    )+H96+H99</f>
        <v>#N/A</v>
      </c>
      <c r="I98" s="132" t="e">
        <f t="array" aca="1" ref="I98" ca="1">IF(AF98&lt;7,NA(),SUM(IFERROR(Propagações_TOT_IGUACU!$B$7:$CD$110*(Propagações_TOT_IGUACU!$B$6:$CD$6=$B98&amp;"I")*(Propagações_TOT_IGUACU!$A$7:$A$110&gt;=PREVS_SMAP!I$26)*(Propagações_TOT_IGUACU!$A$7:$A$110&lt;=PREVS_SMAP!I$27),0))/7    )+I96+I99</f>
        <v>#N/A</v>
      </c>
      <c r="J98" s="132" t="e">
        <f t="array" aca="1" ref="J98" ca="1">IF(AG98&lt;7,NA(),SUM(IFERROR(Propagações_TOT_IGUACU!$B$7:$CD$110*(Propagações_TOT_IGUACU!$B$6:$CD$6=$B98&amp;"I")*(Propagações_TOT_IGUACU!$A$7:$A$110&gt;=PREVS_SMAP!J$26)*(Propagações_TOT_IGUACU!$A$7:$A$110&lt;=PREVS_SMAP!J$27),0))/7    )+J96+J99</f>
        <v>#N/A</v>
      </c>
      <c r="K98" s="132" t="e">
        <f t="array" aca="1" ref="K98" ca="1">IF(AH98&lt;7,NA(),SUM(IFERROR(Propagações_TOT_IGUACU!$B$7:$CD$110*(Propagações_TOT_IGUACU!$B$6:$CD$6=$B98&amp;"I")*(Propagações_TOT_IGUACU!$A$7:$A$110&gt;=PREVS_SMAP!K$26)*(Propagações_TOT_IGUACU!$A$7:$A$110&lt;=PREVS_SMAP!K$27),0))/7    )+K96+K99</f>
        <v>#N/A</v>
      </c>
      <c r="L98" s="132" t="e">
        <f t="array" aca="1" ref="L98" ca="1">IF(AI98&lt;7,NA(),SUM(IFERROR(Propagações_TOT_IGUACU!$B$7:$CD$110*(Propagações_TOT_IGUACU!$B$6:$CD$6=$B98&amp;"I")*(Propagações_TOT_IGUACU!$A$7:$A$110&gt;=PREVS_SMAP!L$26)*(Propagações_TOT_IGUACU!$A$7:$A$110&lt;=PREVS_SMAP!L$27),0))/7    )+L96+L99</f>
        <v>#N/A</v>
      </c>
      <c r="M98" s="132" t="e">
        <f t="array" aca="1" ref="M98" ca="1">IF(AJ98&lt;7,NA(),SUM(IFERROR(Propagações_TOT_IGUACU!$B$7:$CD$110*(Propagações_TOT_IGUACU!$B$6:$CD$6=$B98&amp;"I")*(Propagações_TOT_IGUACU!$A$7:$A$110&gt;=PREVS_SMAP!M$26)*(Propagações_TOT_IGUACU!$A$7:$A$110&lt;=PREVS_SMAP!M$27),0))/7    )+M96+M99</f>
        <v>#N/A</v>
      </c>
      <c r="N98" s="132" t="e">
        <f t="array" aca="1" ref="N98" ca="1">IF(AK98&lt;7,NA(),SUM(IFERROR(Propagações_TOT_IGUACU!$B$7:$CD$110*(Propagações_TOT_IGUACU!$B$6:$CD$6=$B98&amp;"I")*(Propagações_TOT_IGUACU!$A$7:$A$110&gt;=PREVS_SMAP!N$26)*(Propagações_TOT_IGUACU!$A$7:$A$110&lt;=PREVS_SMAP!N$27),0))/7    )+N96+N99</f>
        <v>#N/A</v>
      </c>
      <c r="O98" s="132" t="e">
        <f t="array" aca="1" ref="O98" ca="1">IF(AL98&lt;7,NA(),SUM(IFERROR(Propagações_TOT_IGUACU!$B$7:$CD$110*(Propagações_TOT_IGUACU!$B$6:$CD$6=$B98&amp;"I")*(Propagações_TOT_IGUACU!$A$7:$A$110&gt;=PREVS_SMAP!O$26)*(Propagações_TOT_IGUACU!$A$7:$A$110&lt;=PREVS_SMAP!O$27),0))/7    )+O96+O99</f>
        <v>#N/A</v>
      </c>
      <c r="P98" s="132"/>
      <c r="R98">
        <v>71</v>
      </c>
      <c r="S98" s="169">
        <f ca="1">AO98</f>
        <v>17</v>
      </c>
      <c r="T98" s="169" t="str">
        <f t="shared" ref="T98:AA101" ca="1" si="35">IFERROR(ROUND(INDEX(G$28:G$129,MATCH($R98,$A$28:$A$129,0)),0),IF(AND($K$4,ISNUMBER(H$143)),ROUND(G$143*S98,0),""))</f>
        <v/>
      </c>
      <c r="U98" s="169" t="str">
        <f t="shared" ca="1" si="35"/>
        <v/>
      </c>
      <c r="V98" s="169" t="str">
        <f t="shared" ca="1" si="35"/>
        <v/>
      </c>
      <c r="W98" s="169" t="str">
        <f t="shared" ca="1" si="35"/>
        <v/>
      </c>
      <c r="X98" s="169" t="str">
        <f t="shared" ca="1" si="35"/>
        <v/>
      </c>
      <c r="Y98" s="169" t="str">
        <f t="shared" ca="1" si="35"/>
        <v/>
      </c>
      <c r="Z98" s="169" t="str">
        <f t="shared" ca="1" si="35"/>
        <v/>
      </c>
      <c r="AA98" s="169" t="str">
        <f t="shared" ca="1" si="35"/>
        <v/>
      </c>
      <c r="AB98" s="169" t="str">
        <f ca="1">IFERROR(ROUND(INDEX(O$28:O$129,MATCH($R98,$A$28:$A$129,0)),0),"")</f>
        <v/>
      </c>
      <c r="AD98" s="272">
        <f t="array" aca="1" ref="AD98" ca="1">SUM(IFERROR(ISNUMBER(Propagações_TOT_IGUACU!$B$7:$CD$110)*(Propagações_TOT_IGUACU!$B$6:$CD$6=$B98&amp;"A")*(Propagações_TOT_IGUACU!$A$7:$A$110&gt;=PREVS_SMAP!G$26)*(Propagações_TOT_IGUACU!$A$7:$A$110&lt;=PREVS_SMAP!G$27),0))</f>
        <v>0</v>
      </c>
      <c r="AE98" s="272">
        <f t="array" aca="1" ref="AE98" ca="1">SUM(IFERROR(ISNUMBER(Propagações_TOT_IGUACU!$B$7:$CD$110)*(Propagações_TOT_IGUACU!$B$6:$CD$6=$B98&amp;"A")*(Propagações_TOT_IGUACU!$A$7:$A$110&gt;=PREVS_SMAP!H$26)*(Propagações_TOT_IGUACU!$A$7:$A$110&lt;=PREVS_SMAP!H$27),0))</f>
        <v>0</v>
      </c>
      <c r="AF98" s="272">
        <f t="array" aca="1" ref="AF98" ca="1">SUM(IFERROR(ISNUMBER(Propagações_TOT_IGUACU!$B$7:$CD$110)*(Propagações_TOT_IGUACU!$B$6:$CD$6=$B98&amp;"A")*(Propagações_TOT_IGUACU!$A$7:$A$110&gt;=PREVS_SMAP!I$26)*(Propagações_TOT_IGUACU!$A$7:$A$110&lt;=PREVS_SMAP!I$27),0))</f>
        <v>0</v>
      </c>
      <c r="AG98" s="272">
        <f t="array" aca="1" ref="AG98" ca="1">SUM(IFERROR(ISNUMBER(Propagações_TOT_IGUACU!$B$7:$CD$110)*(Propagações_TOT_IGUACU!$B$6:$CD$6=$B98&amp;"A")*(Propagações_TOT_IGUACU!$A$7:$A$110&gt;=PREVS_SMAP!J$26)*(Propagações_TOT_IGUACU!$A$7:$A$110&lt;=PREVS_SMAP!J$27),0))</f>
        <v>0</v>
      </c>
      <c r="AH98" s="272">
        <f t="array" aca="1" ref="AH98" ca="1">SUM(IFERROR(ISNUMBER(Propagações_TOT_IGUACU!$B$7:$CD$110)*(Propagações_TOT_IGUACU!$B$6:$CD$6=$B98&amp;"A")*(Propagações_TOT_IGUACU!$A$7:$A$110&gt;=PREVS_SMAP!K$26)*(Propagações_TOT_IGUACU!$A$7:$A$110&lt;=PREVS_SMAP!K$27),0))</f>
        <v>0</v>
      </c>
      <c r="AI98" s="272">
        <f t="array" aca="1" ref="AI98" ca="1">SUM(IFERROR(ISNUMBER(Propagações_TOT_IGUACU!$B$7:$CD$110)*(Propagações_TOT_IGUACU!$B$6:$CD$6=$B98&amp;"A")*(Propagações_TOT_IGUACU!$A$7:$A$110&gt;=PREVS_SMAP!L$26)*(Propagações_TOT_IGUACU!$A$7:$A$110&lt;=PREVS_SMAP!L$27),0))</f>
        <v>0</v>
      </c>
      <c r="AJ98" s="272">
        <f t="array" aca="1" ref="AJ98" ca="1">SUM(IFERROR(ISNUMBER(Propagações_TOT_IGUACU!$B$7:$CD$110)*(Propagações_TOT_IGUACU!$B$6:$CD$6=$B98&amp;"A")*(Propagações_TOT_IGUACU!$A$7:$A$110&gt;=PREVS_SMAP!M$26)*(Propagações_TOT_IGUACU!$A$7:$A$110&lt;=PREVS_SMAP!M$27),0))</f>
        <v>0</v>
      </c>
      <c r="AK98" s="272">
        <f t="array" aca="1" ref="AK98" ca="1">SUM(IFERROR(ISNUMBER(Propagações_TOT_IGUACU!$B$7:$CD$110)*(Propagações_TOT_IGUACU!$B$6:$CD$6=$B98&amp;"A")*(Propagações_TOT_IGUACU!$A$7:$A$110&gt;=PREVS_SMAP!N$26)*(Propagações_TOT_IGUACU!$A$7:$A$110&lt;=PREVS_SMAP!N$27),0))</f>
        <v>0</v>
      </c>
      <c r="AL98" s="272">
        <f t="array" aca="1" ref="AL98" ca="1">SUM(IFERROR(ISNUMBER(Propagações_TOT_IGUACU!$B$7:$CD$110)*(Propagações_TOT_IGUACU!$B$6:$CD$6=$B98&amp;"A")*(Propagações_TOT_IGUACU!$A$7:$A$110&gt;=PREVS_SMAP!O$26)*(Propagações_TOT_IGUACU!$A$7:$A$110&lt;=PREVS_SMAP!O$27),0))</f>
        <v>0</v>
      </c>
      <c r="AN98" s="121"/>
      <c r="AO98" s="121">
        <f t="shared" ca="1" si="30"/>
        <v>17</v>
      </c>
      <c r="AP98" s="121" t="b">
        <f t="shared" si="31"/>
        <v>1</v>
      </c>
      <c r="AQ98" s="272">
        <f ca="1">+AVERAGEIFS(TABELA_VAZAO[qnat],TABELA_VAZAO[Posto],$R98,TABELA_VAZAO[Data],AQ$27)</f>
        <v>43</v>
      </c>
      <c r="AR98" s="272">
        <f ca="1">+AVERAGEIFS(TABELA_VAZAO[qnat],TABELA_VAZAO[Posto],$R98,TABELA_VAZAO[Data],AR$27)</f>
        <v>42</v>
      </c>
      <c r="AS98" s="272">
        <f ca="1">+AVERAGEIFS(TABELA_VAZAO[qnat],TABELA_VAZAO[Posto],$R98,TABELA_VAZAO[Data],AS$27)</f>
        <v>42</v>
      </c>
      <c r="AT98" s="272">
        <f ca="1">+AVERAGEIFS(TABELA_VAZAO[qnat],TABELA_VAZAO[Posto],$R98,TABELA_VAZAO[Data],AT$27)</f>
        <v>42</v>
      </c>
      <c r="AU98" s="121">
        <f ca="1">+AVERAGEIFS(TABELA_VAZAO[qnat],TABELA_VAZAO[Posto],$R98,TABELA_VAZAO[Data],AU$27)</f>
        <v>42</v>
      </c>
      <c r="AV98" s="272">
        <f ca="1">IFERROR(AVERAGEIFS(TABELA_VAZAO[qnat],TABELA_VAZAO[Posto],$R98,TABELA_VAZAO[Data],AV$27),AU98+$BB98*EXP(AV$26))</f>
        <v>40</v>
      </c>
      <c r="AW98" s="159">
        <f ca="1">IFERROR(AVERAGEIFS(TABELA_VAZAO[qnat],TABELA_VAZAO[Posto],$R98,TABELA_VAZAO[Data],AW$27),AV98+$BB98*EXP(AW$26))</f>
        <v>40</v>
      </c>
      <c r="AX98" s="325">
        <f ca="1">IFERROR(AVERAGEIFS(TABELA_VAZAO[qnat],TABELA_VAZAO[Posto],$R98,TABELA_VAZAO[Data],AX$27),AW98+$BB98*EXP(AX$26))</f>
        <v>39.428571428571431</v>
      </c>
      <c r="AY98" s="325">
        <f ca="1">IFERROR(AVERAGEIFS(TABELA_VAZAO[qnat],TABELA_VAZAO[Posto],$R98,TABELA_VAZAO[Data],AY$27),AX98+$BB98*EXP(AY$26))</f>
        <v>39.045531402265354</v>
      </c>
      <c r="AZ98" s="326">
        <f ca="1">IFERROR(AVERAGEIFS(TABELA_VAZAO[qnat],TABELA_VAZAO[Posto],$R98,TABELA_VAZAO[Data],AZ$27),AY98+$BB98*EXP(AZ$26))</f>
        <v>38.78877199419837</v>
      </c>
      <c r="BA98" s="326">
        <f ca="1">IFERROR(AVERAGEIFS(TABELA_VAZAO[qnat],TABELA_VAZAO[Posto],$R98,TABELA_VAZAO[Data],BA$27),AZ98+$BB98*EXP(BA$26))</f>
        <v>38.616661015962826</v>
      </c>
      <c r="BB98" s="121">
        <f t="shared" ca="1" si="32"/>
        <v>-0.5714285714285714</v>
      </c>
      <c r="BC98" s="272">
        <f t="shared" ca="1" si="33"/>
        <v>0</v>
      </c>
      <c r="BD98" s="272">
        <f t="shared" ca="1" si="33"/>
        <v>0</v>
      </c>
      <c r="BE98" s="272">
        <f t="shared" ca="1" si="33"/>
        <v>-2</v>
      </c>
      <c r="BF98" s="272">
        <f t="shared" ca="1" si="33"/>
        <v>0</v>
      </c>
      <c r="BG98"/>
    </row>
    <row r="99" spans="1:59" x14ac:dyDescent="0.2">
      <c r="A99" s="266">
        <v>76</v>
      </c>
      <c r="B99" s="265" t="str">
        <f t="shared" si="34"/>
        <v>76_VN</v>
      </c>
      <c r="C99" s="267" t="s">
        <v>86</v>
      </c>
      <c r="D99" s="132">
        <f t="array" aca="1" ref="D99" ca="1">SUM(IFERROR(Propagações_TOT_IGUACU!$B$7:$CD$110*(Propagações_TOT_IGUACU!$B$6:$CD$6=$B99&amp;"A")*(Propagações_TOT_IGUACU!$A$7:$A$110&gt;=PREVS_SMAP!D$26)*(Propagações_TOT_IGUACU!$A$7:$A$110&lt;=PREVS_SMAP!D$27),0))/7</f>
        <v>0</v>
      </c>
      <c r="E99" s="132">
        <f t="array" aca="1" ref="E99" ca="1">SUM(IFERROR(Propagações_TOT_IGUACU!$B$7:$CD$110*(Propagações_TOT_IGUACU!$B$6:$CD$6=$B99&amp;"A")*(Propagações_TOT_IGUACU!$A$7:$A$110&gt;=PREVS_SMAP!E$26)*(Propagações_TOT_IGUACU!$A$7:$A$110&lt;=PREVS_SMAP!E$27),0))/7</f>
        <v>277.14285714285717</v>
      </c>
      <c r="F99" s="132">
        <f t="array" aca="1" ref="F99" ca="1">SUM(IFERROR(Propagações_TOT_IGUACU!$B$7:$CD$110*(Propagações_TOT_IGUACU!$B$6:$CD$6=$B99&amp;"A")*(Propagações_TOT_IGUACU!$A$7:$A$110&gt;=PREVS_SMAP!F$26)*(Propagações_TOT_IGUACU!$A$7:$A$110&lt;=PREVS_SMAP!F$27),0))/7</f>
        <v>131.14285714285714</v>
      </c>
      <c r="G99" s="132" t="e">
        <f t="array" aca="1" ref="G99" ca="1">IF(AD99&lt;7,NA(),SUM(IFERROR(Propagações_TOT_IGUACU!$B$7:$CD$110*(Propagações_TOT_IGUACU!$B$6:$CD$6=$B99&amp;"I")*(Propagações_TOT_IGUACU!$A$7:$A$110&gt;=PREVS_SMAP!G$26)*(Propagações_TOT_IGUACU!$A$7:$A$110&lt;=PREVS_SMAP!G$27),0))/7    )+G95</f>
        <v>#N/A</v>
      </c>
      <c r="H99" s="132" t="e">
        <f t="array" aca="1" ref="H99" ca="1">IF(AE99&lt;7,NA(),SUM(IFERROR(Propagações_TOT_IGUACU!$B$7:$CD$110*(Propagações_TOT_IGUACU!$B$6:$CD$6=$B99&amp;"I")*(Propagações_TOT_IGUACU!$A$7:$A$110&gt;=PREVS_SMAP!H$26)*(Propagações_TOT_IGUACU!$A$7:$A$110&lt;=PREVS_SMAP!H$27),0))/7    )+H95</f>
        <v>#N/A</v>
      </c>
      <c r="I99" s="132" t="e">
        <f t="array" aca="1" ref="I99" ca="1">IF(AF99&lt;7,NA(),SUM(IFERROR(Propagações_TOT_IGUACU!$B$7:$CD$110*(Propagações_TOT_IGUACU!$B$6:$CD$6=$B99&amp;"I")*(Propagações_TOT_IGUACU!$A$7:$A$110&gt;=PREVS_SMAP!I$26)*(Propagações_TOT_IGUACU!$A$7:$A$110&lt;=PREVS_SMAP!I$27),0))/7    )+I95</f>
        <v>#N/A</v>
      </c>
      <c r="J99" s="132" t="e">
        <f t="array" aca="1" ref="J99" ca="1">IF(AG99&lt;7,NA(),SUM(IFERROR(Propagações_TOT_IGUACU!$B$7:$CD$110*(Propagações_TOT_IGUACU!$B$6:$CD$6=$B99&amp;"I")*(Propagações_TOT_IGUACU!$A$7:$A$110&gt;=PREVS_SMAP!J$26)*(Propagações_TOT_IGUACU!$A$7:$A$110&lt;=PREVS_SMAP!J$27),0))/7    )+J95</f>
        <v>#N/A</v>
      </c>
      <c r="K99" s="132" t="e">
        <f t="array" aca="1" ref="K99" ca="1">IF(AH99&lt;7,NA(),SUM(IFERROR(Propagações_TOT_IGUACU!$B$7:$CD$110*(Propagações_TOT_IGUACU!$B$6:$CD$6=$B99&amp;"I")*(Propagações_TOT_IGUACU!$A$7:$A$110&gt;=PREVS_SMAP!K$26)*(Propagações_TOT_IGUACU!$A$7:$A$110&lt;=PREVS_SMAP!K$27),0))/7    )+K95</f>
        <v>#N/A</v>
      </c>
      <c r="L99" s="132" t="e">
        <f t="array" aca="1" ref="L99" ca="1">IF(AI99&lt;7,NA(),SUM(IFERROR(Propagações_TOT_IGUACU!$B$7:$CD$110*(Propagações_TOT_IGUACU!$B$6:$CD$6=$B99&amp;"I")*(Propagações_TOT_IGUACU!$A$7:$A$110&gt;=PREVS_SMAP!L$26)*(Propagações_TOT_IGUACU!$A$7:$A$110&lt;=PREVS_SMAP!L$27),0))/7    )+L95</f>
        <v>#N/A</v>
      </c>
      <c r="M99" s="132" t="e">
        <f t="array" aca="1" ref="M99" ca="1">IF(AJ99&lt;7,NA(),SUM(IFERROR(Propagações_TOT_IGUACU!$B$7:$CD$110*(Propagações_TOT_IGUACU!$B$6:$CD$6=$B99&amp;"I")*(Propagações_TOT_IGUACU!$A$7:$A$110&gt;=PREVS_SMAP!M$26)*(Propagações_TOT_IGUACU!$A$7:$A$110&lt;=PREVS_SMAP!M$27),0))/7    )+M95</f>
        <v>#N/A</v>
      </c>
      <c r="N99" s="132" t="e">
        <f t="array" aca="1" ref="N99" ca="1">IF(AK99&lt;7,NA(),SUM(IFERROR(Propagações_TOT_IGUACU!$B$7:$CD$110*(Propagações_TOT_IGUACU!$B$6:$CD$6=$B99&amp;"I")*(Propagações_TOT_IGUACU!$A$7:$A$110&gt;=PREVS_SMAP!N$26)*(Propagações_TOT_IGUACU!$A$7:$A$110&lt;=PREVS_SMAP!N$27),0))/7    )+N95</f>
        <v>#N/A</v>
      </c>
      <c r="O99" s="132" t="e">
        <f t="array" aca="1" ref="O99" ca="1">IF(AL99&lt;7,NA(),SUM(IFERROR(Propagações_TOT_IGUACU!$B$7:$CD$110*(Propagações_TOT_IGUACU!$B$6:$CD$6=$B99&amp;"I")*(Propagações_TOT_IGUACU!$A$7:$A$110&gt;=PREVS_SMAP!O$26)*(Propagações_TOT_IGUACU!$A$7:$A$110&lt;=PREVS_SMAP!O$27),0))/7    )+O95</f>
        <v>#N/A</v>
      </c>
      <c r="P99" s="132"/>
      <c r="R99">
        <v>72</v>
      </c>
      <c r="S99" s="169">
        <f ca="1">AO99</f>
        <v>18</v>
      </c>
      <c r="T99" s="169" t="str">
        <f t="shared" ca="1" si="35"/>
        <v/>
      </c>
      <c r="U99" s="169" t="str">
        <f t="shared" ca="1" si="35"/>
        <v/>
      </c>
      <c r="V99" s="169" t="str">
        <f t="shared" ca="1" si="35"/>
        <v/>
      </c>
      <c r="W99" s="169" t="str">
        <f t="shared" ca="1" si="35"/>
        <v/>
      </c>
      <c r="X99" s="169" t="str">
        <f t="shared" ca="1" si="35"/>
        <v/>
      </c>
      <c r="Y99" s="169" t="str">
        <f t="shared" ca="1" si="35"/>
        <v/>
      </c>
      <c r="Z99" s="169" t="str">
        <f t="shared" ca="1" si="35"/>
        <v/>
      </c>
      <c r="AA99" s="169" t="str">
        <f t="shared" ca="1" si="35"/>
        <v/>
      </c>
      <c r="AB99" s="169" t="str">
        <f ca="1">IFERROR(ROUND(INDEX(O$28:O$129,MATCH($R99,$A$28:$A$129,0)),0),"")</f>
        <v/>
      </c>
      <c r="AD99" s="272">
        <f t="array" aca="1" ref="AD99" ca="1">SUM(IFERROR(ISNUMBER(Propagações_TOT_IGUACU!$B$7:$CD$110)*(Propagações_TOT_IGUACU!$B$6:$CD$6=$B99&amp;"A")*(Propagações_TOT_IGUACU!$A$7:$A$110&gt;=PREVS_SMAP!G$26)*(Propagações_TOT_IGUACU!$A$7:$A$110&lt;=PREVS_SMAP!G$27),0))</f>
        <v>0</v>
      </c>
      <c r="AE99" s="272">
        <f t="array" aca="1" ref="AE99" ca="1">SUM(IFERROR(ISNUMBER(Propagações_TOT_IGUACU!$B$7:$CD$110)*(Propagações_TOT_IGUACU!$B$6:$CD$6=$B99&amp;"A")*(Propagações_TOT_IGUACU!$A$7:$A$110&gt;=PREVS_SMAP!H$26)*(Propagações_TOT_IGUACU!$A$7:$A$110&lt;=PREVS_SMAP!H$27),0))</f>
        <v>0</v>
      </c>
      <c r="AF99" s="272">
        <f t="array" aca="1" ref="AF99" ca="1">SUM(IFERROR(ISNUMBER(Propagações_TOT_IGUACU!$B$7:$CD$110)*(Propagações_TOT_IGUACU!$B$6:$CD$6=$B99&amp;"A")*(Propagações_TOT_IGUACU!$A$7:$A$110&gt;=PREVS_SMAP!I$26)*(Propagações_TOT_IGUACU!$A$7:$A$110&lt;=PREVS_SMAP!I$27),0))</f>
        <v>0</v>
      </c>
      <c r="AG99" s="272">
        <f t="array" aca="1" ref="AG99" ca="1">SUM(IFERROR(ISNUMBER(Propagações_TOT_IGUACU!$B$7:$CD$110)*(Propagações_TOT_IGUACU!$B$6:$CD$6=$B99&amp;"A")*(Propagações_TOT_IGUACU!$A$7:$A$110&gt;=PREVS_SMAP!J$26)*(Propagações_TOT_IGUACU!$A$7:$A$110&lt;=PREVS_SMAP!J$27),0))</f>
        <v>0</v>
      </c>
      <c r="AH99" s="272">
        <f t="array" aca="1" ref="AH99" ca="1">SUM(IFERROR(ISNUMBER(Propagações_TOT_IGUACU!$B$7:$CD$110)*(Propagações_TOT_IGUACU!$B$6:$CD$6=$B99&amp;"A")*(Propagações_TOT_IGUACU!$A$7:$A$110&gt;=PREVS_SMAP!K$26)*(Propagações_TOT_IGUACU!$A$7:$A$110&lt;=PREVS_SMAP!K$27),0))</f>
        <v>0</v>
      </c>
      <c r="AI99" s="272">
        <f t="array" aca="1" ref="AI99" ca="1">SUM(IFERROR(ISNUMBER(Propagações_TOT_IGUACU!$B$7:$CD$110)*(Propagações_TOT_IGUACU!$B$6:$CD$6=$B99&amp;"A")*(Propagações_TOT_IGUACU!$A$7:$A$110&gt;=PREVS_SMAP!L$26)*(Propagações_TOT_IGUACU!$A$7:$A$110&lt;=PREVS_SMAP!L$27),0))</f>
        <v>0</v>
      </c>
      <c r="AJ99" s="272">
        <f t="array" aca="1" ref="AJ99" ca="1">SUM(IFERROR(ISNUMBER(Propagações_TOT_IGUACU!$B$7:$CD$110)*(Propagações_TOT_IGUACU!$B$6:$CD$6=$B99&amp;"A")*(Propagações_TOT_IGUACU!$A$7:$A$110&gt;=PREVS_SMAP!M$26)*(Propagações_TOT_IGUACU!$A$7:$A$110&lt;=PREVS_SMAP!M$27),0))</f>
        <v>0</v>
      </c>
      <c r="AK99" s="272">
        <f t="array" aca="1" ref="AK99" ca="1">SUM(IFERROR(ISNUMBER(Propagações_TOT_IGUACU!$B$7:$CD$110)*(Propagações_TOT_IGUACU!$B$6:$CD$6=$B99&amp;"A")*(Propagações_TOT_IGUACU!$A$7:$A$110&gt;=PREVS_SMAP!N$26)*(Propagações_TOT_IGUACU!$A$7:$A$110&lt;=PREVS_SMAP!N$27),0))</f>
        <v>0</v>
      </c>
      <c r="AL99" s="272">
        <f t="array" aca="1" ref="AL99" ca="1">SUM(IFERROR(ISNUMBER(Propagações_TOT_IGUACU!$B$7:$CD$110)*(Propagações_TOT_IGUACU!$B$6:$CD$6=$B99&amp;"A")*(Propagações_TOT_IGUACU!$A$7:$A$110&gt;=PREVS_SMAP!O$26)*(Propagações_TOT_IGUACU!$A$7:$A$110&lt;=PREVS_SMAP!O$27),0))</f>
        <v>0</v>
      </c>
      <c r="AN99" s="121"/>
      <c r="AO99" s="121">
        <f t="shared" ca="1" si="30"/>
        <v>18</v>
      </c>
      <c r="AP99" s="121" t="b">
        <f t="shared" si="31"/>
        <v>1</v>
      </c>
      <c r="AQ99" s="272">
        <f ca="1">+AVERAGEIFS(TABELA_VAZAO[qnat],TABELA_VAZAO[Posto],$R99,TABELA_VAZAO[Data],AQ$27)</f>
        <v>45</v>
      </c>
      <c r="AR99" s="272">
        <f ca="1">+AVERAGEIFS(TABELA_VAZAO[qnat],TABELA_VAZAO[Posto],$R99,TABELA_VAZAO[Data],AR$27)</f>
        <v>44</v>
      </c>
      <c r="AS99" s="272">
        <f ca="1">+AVERAGEIFS(TABELA_VAZAO[qnat],TABELA_VAZAO[Posto],$R99,TABELA_VAZAO[Data],AS$27)</f>
        <v>44</v>
      </c>
      <c r="AT99" s="272">
        <f ca="1">+AVERAGEIFS(TABELA_VAZAO[qnat],TABELA_VAZAO[Posto],$R99,TABELA_VAZAO[Data],AT$27)</f>
        <v>44</v>
      </c>
      <c r="AU99" s="121">
        <f ca="1">+AVERAGEIFS(TABELA_VAZAO[qnat],TABELA_VAZAO[Posto],$R99,TABELA_VAZAO[Data],AU$27)</f>
        <v>44</v>
      </c>
      <c r="AV99" s="272">
        <f ca="1">IFERROR(AVERAGEIFS(TABELA_VAZAO[qnat],TABELA_VAZAO[Posto],$R99,TABELA_VAZAO[Data],AV$27),AU99+$BB99*EXP(AV$26))</f>
        <v>43</v>
      </c>
      <c r="AW99" s="159">
        <f ca="1">IFERROR(AVERAGEIFS(TABELA_VAZAO[qnat],TABELA_VAZAO[Posto],$R99,TABELA_VAZAO[Data],AW$27),AV99+$BB99*EXP(AW$26))</f>
        <v>42</v>
      </c>
      <c r="AX99" s="325">
        <f ca="1">IFERROR(AVERAGEIFS(TABELA_VAZAO[qnat],TABELA_VAZAO[Posto],$R99,TABELA_VAZAO[Data],AX$27),AW99+$BB99*EXP(AX$26))</f>
        <v>41.285714285714285</v>
      </c>
      <c r="AY99" s="325">
        <f ca="1">IFERROR(AVERAGEIFS(TABELA_VAZAO[qnat],TABELA_VAZAO[Posto],$R99,TABELA_VAZAO[Data],AY$27),AX99+$BB99*EXP(AY$26))</f>
        <v>40.806914252831682</v>
      </c>
      <c r="AZ99" s="326">
        <f ca="1">IFERROR(AVERAGEIFS(TABELA_VAZAO[qnat],TABELA_VAZAO[Posto],$R99,TABELA_VAZAO[Data],AZ$27),AY99+$BB99*EXP(AZ$26))</f>
        <v>40.485964992747952</v>
      </c>
      <c r="BA99" s="326">
        <f ca="1">IFERROR(AVERAGEIFS(TABELA_VAZAO[qnat],TABELA_VAZAO[Posto],$R99,TABELA_VAZAO[Data],BA$27),AZ99+$BB99*EXP(BA$26))</f>
        <v>40.270826269953524</v>
      </c>
      <c r="BB99" s="121">
        <f t="shared" ca="1" si="32"/>
        <v>-0.7142857142857143</v>
      </c>
      <c r="BC99" s="272">
        <f t="shared" ca="1" si="33"/>
        <v>0</v>
      </c>
      <c r="BD99" s="272">
        <f t="shared" ca="1" si="33"/>
        <v>0</v>
      </c>
      <c r="BE99" s="272">
        <f t="shared" ca="1" si="33"/>
        <v>-1</v>
      </c>
      <c r="BF99" s="272">
        <f t="shared" ca="1" si="33"/>
        <v>-1</v>
      </c>
      <c r="BG99"/>
    </row>
    <row r="100" spans="1:59" x14ac:dyDescent="0.2">
      <c r="A100" s="269">
        <v>71</v>
      </c>
      <c r="B100" s="265" t="str">
        <f t="shared" si="34"/>
        <v>71_VN</v>
      </c>
      <c r="C100" s="270" t="s">
        <v>148</v>
      </c>
      <c r="D100" s="132">
        <f t="array" aca="1" ref="D100" ca="1">SUM(IFERROR(Propagações_TOT_IGUACU!$B$7:$CD$110*(Propagações_TOT_IGUACU!$B$6:$CD$6=$B100&amp;"A")*(Propagações_TOT_IGUACU!$A$7:$A$110&gt;=PREVS_SMAP!D$26)*(Propagações_TOT_IGUACU!$A$7:$A$110&lt;=PREVS_SMAP!D$27),0))/7</f>
        <v>0</v>
      </c>
      <c r="E100" s="132">
        <f t="array" aca="1" ref="E100" ca="1">SUM(IFERROR(Propagações_TOT_IGUACU!$B$7:$CD$110*(Propagações_TOT_IGUACU!$B$6:$CD$6=$B100&amp;"A")*(Propagações_TOT_IGUACU!$A$7:$A$110&gt;=PREVS_SMAP!E$26)*(Propagações_TOT_IGUACU!$A$7:$A$110&lt;=PREVS_SMAP!E$27),0))/7</f>
        <v>45</v>
      </c>
      <c r="F100" s="132">
        <f t="array" aca="1" ref="F100" ca="1">SUM(IFERROR(Propagações_TOT_IGUACU!$B$7:$CD$110*(Propagações_TOT_IGUACU!$B$6:$CD$6=$B100&amp;"A")*(Propagações_TOT_IGUACU!$A$7:$A$110&gt;=PREVS_SMAP!F$26)*(Propagações_TOT_IGUACU!$A$7:$A$110&lt;=PREVS_SMAP!F$27),0))/7</f>
        <v>17.428571428571427</v>
      </c>
      <c r="G100" s="132" t="e">
        <f t="array" aca="1" ref="G100" ca="1">IF(AD100&lt;7,NA(),SUM(IFERROR(Propagações_TOT_IGUACU!$B$7:$CD$110*(Propagações_TOT_IGUACU!$B$6:$CD$6=$B100&amp;"A")*(Propagações_TOT_IGUACU!$A$7:$A$110&gt;=PREVS_SMAP!G$26)*(Propagações_TOT_IGUACU!$A$7:$A$110&lt;=PREVS_SMAP!G$27),0))/7    )</f>
        <v>#N/A</v>
      </c>
      <c r="H100" s="132" t="e">
        <f t="array" aca="1" ref="H100" ca="1">IF(AE100&lt;7,NA(),SUM(IFERROR(Propagações_TOT_IGUACU!$B$7:$CD$110*(Propagações_TOT_IGUACU!$B$6:$CD$6=$B100&amp;"A")*(Propagações_TOT_IGUACU!$A$7:$A$110&gt;=PREVS_SMAP!H$26)*(Propagações_TOT_IGUACU!$A$7:$A$110&lt;=PREVS_SMAP!H$27),0))/7    )</f>
        <v>#N/A</v>
      </c>
      <c r="I100" s="132" t="e">
        <f t="array" aca="1" ref="I100" ca="1">IF(AF100&lt;7,NA(),SUM(IFERROR(Propagações_TOT_IGUACU!$B$7:$CD$110*(Propagações_TOT_IGUACU!$B$6:$CD$6=$B100&amp;"A")*(Propagações_TOT_IGUACU!$A$7:$A$110&gt;=PREVS_SMAP!I$26)*(Propagações_TOT_IGUACU!$A$7:$A$110&lt;=PREVS_SMAP!I$27),0))/7    )</f>
        <v>#N/A</v>
      </c>
      <c r="J100" s="132" t="e">
        <f t="array" aca="1" ref="J100" ca="1">IF(AG100&lt;7,NA(),SUM(IFERROR(Propagações_TOT_IGUACU!$B$7:$CD$110*(Propagações_TOT_IGUACU!$B$6:$CD$6=$B100&amp;"A")*(Propagações_TOT_IGUACU!$A$7:$A$110&gt;=PREVS_SMAP!J$26)*(Propagações_TOT_IGUACU!$A$7:$A$110&lt;=PREVS_SMAP!J$27),0))/7    )</f>
        <v>#N/A</v>
      </c>
      <c r="K100" s="132" t="e">
        <f t="array" aca="1" ref="K100" ca="1">IF(AH100&lt;7,NA(),SUM(IFERROR(Propagações_TOT_IGUACU!$B$7:$CD$110*(Propagações_TOT_IGUACU!$B$6:$CD$6=$B100&amp;"A")*(Propagações_TOT_IGUACU!$A$7:$A$110&gt;=PREVS_SMAP!K$26)*(Propagações_TOT_IGUACU!$A$7:$A$110&lt;=PREVS_SMAP!K$27),0))/7    )</f>
        <v>#N/A</v>
      </c>
      <c r="L100" s="132" t="e">
        <f t="array" aca="1" ref="L100" ca="1">IF(AI100&lt;7,NA(),SUM(IFERROR(Propagações_TOT_IGUACU!$B$7:$CD$110*(Propagações_TOT_IGUACU!$B$6:$CD$6=$B100&amp;"A")*(Propagações_TOT_IGUACU!$A$7:$A$110&gt;=PREVS_SMAP!L$26)*(Propagações_TOT_IGUACU!$A$7:$A$110&lt;=PREVS_SMAP!L$27),0))/7    )</f>
        <v>#N/A</v>
      </c>
      <c r="M100" s="132" t="e">
        <f t="array" aca="1" ref="M100" ca="1">IF(AJ100&lt;7,NA(),SUM(IFERROR(Propagações_TOT_IGUACU!$B$7:$CD$110*(Propagações_TOT_IGUACU!$B$6:$CD$6=$B100&amp;"A")*(Propagações_TOT_IGUACU!$A$7:$A$110&gt;=PREVS_SMAP!M$26)*(Propagações_TOT_IGUACU!$A$7:$A$110&lt;=PREVS_SMAP!M$27),0))/7    )</f>
        <v>#N/A</v>
      </c>
      <c r="N100" s="132" t="e">
        <f t="array" aca="1" ref="N100" ca="1">IF(AK100&lt;7,NA(),SUM(IFERROR(Propagações_TOT_IGUACU!$B$7:$CD$110*(Propagações_TOT_IGUACU!$B$6:$CD$6=$B100&amp;"A")*(Propagações_TOT_IGUACU!$A$7:$A$110&gt;=PREVS_SMAP!N$26)*(Propagações_TOT_IGUACU!$A$7:$A$110&lt;=PREVS_SMAP!N$27),0))/7    )</f>
        <v>#N/A</v>
      </c>
      <c r="O100" s="132" t="e">
        <f t="array" aca="1" ref="O100" ca="1">IF(AL100&lt;7,NA(),SUM(IFERROR(Propagações_TOT_IGUACU!$B$7:$CD$110*(Propagações_TOT_IGUACU!$B$6:$CD$6=$B100&amp;"A")*(Propagações_TOT_IGUACU!$A$7:$A$110&gt;=PREVS_SMAP!O$26)*(Propagações_TOT_IGUACU!$A$7:$A$110&lt;=PREVS_SMAP!O$27),0))/7    )</f>
        <v>#N/A</v>
      </c>
      <c r="P100" s="132"/>
      <c r="R100">
        <v>73</v>
      </c>
      <c r="S100" s="169">
        <f ca="1">AO100</f>
        <v>22</v>
      </c>
      <c r="T100" s="169" t="str">
        <f t="shared" ca="1" si="35"/>
        <v/>
      </c>
      <c r="U100" s="169" t="str">
        <f t="shared" ca="1" si="35"/>
        <v/>
      </c>
      <c r="V100" s="169" t="str">
        <f t="shared" ca="1" si="35"/>
        <v/>
      </c>
      <c r="W100" s="169" t="str">
        <f t="shared" ca="1" si="35"/>
        <v/>
      </c>
      <c r="X100" s="169" t="str">
        <f t="shared" ca="1" si="35"/>
        <v/>
      </c>
      <c r="Y100" s="169" t="str">
        <f t="shared" ca="1" si="35"/>
        <v/>
      </c>
      <c r="Z100" s="169" t="str">
        <f t="shared" ca="1" si="35"/>
        <v/>
      </c>
      <c r="AA100" s="169" t="str">
        <f t="shared" ca="1" si="35"/>
        <v/>
      </c>
      <c r="AB100" s="169" t="str">
        <f ca="1">IFERROR(ROUND(INDEX(O$28:O$129,MATCH($R100,$A$28:$A$129,0)),0),"")</f>
        <v/>
      </c>
      <c r="AD100" s="272">
        <f t="array" aca="1" ref="AD100" ca="1">SUM(IFERROR(ISNUMBER(Propagações_TOT_IGUACU!$B$7:$CD$110)*(Propagações_TOT_IGUACU!$B$6:$CD$6=$B100&amp;"A")*(Propagações_TOT_IGUACU!$A$7:$A$110&gt;=PREVS_SMAP!G$26)*(Propagações_TOT_IGUACU!$A$7:$A$110&lt;=PREVS_SMAP!G$27),0))</f>
        <v>0</v>
      </c>
      <c r="AE100" s="272">
        <f t="array" aca="1" ref="AE100" ca="1">SUM(IFERROR(ISNUMBER(Propagações_TOT_IGUACU!$B$7:$CD$110)*(Propagações_TOT_IGUACU!$B$6:$CD$6=$B100&amp;"A")*(Propagações_TOT_IGUACU!$A$7:$A$110&gt;=PREVS_SMAP!H$26)*(Propagações_TOT_IGUACU!$A$7:$A$110&lt;=PREVS_SMAP!H$27),0))</f>
        <v>0</v>
      </c>
      <c r="AF100" s="272">
        <f t="array" aca="1" ref="AF100" ca="1">SUM(IFERROR(ISNUMBER(Propagações_TOT_IGUACU!$B$7:$CD$110)*(Propagações_TOT_IGUACU!$B$6:$CD$6=$B100&amp;"A")*(Propagações_TOT_IGUACU!$A$7:$A$110&gt;=PREVS_SMAP!I$26)*(Propagações_TOT_IGUACU!$A$7:$A$110&lt;=PREVS_SMAP!I$27),0))</f>
        <v>0</v>
      </c>
      <c r="AG100" s="272">
        <f t="array" aca="1" ref="AG100" ca="1">SUM(IFERROR(ISNUMBER(Propagações_TOT_IGUACU!$B$7:$CD$110)*(Propagações_TOT_IGUACU!$B$6:$CD$6=$B100&amp;"A")*(Propagações_TOT_IGUACU!$A$7:$A$110&gt;=PREVS_SMAP!J$26)*(Propagações_TOT_IGUACU!$A$7:$A$110&lt;=PREVS_SMAP!J$27),0))</f>
        <v>0</v>
      </c>
      <c r="AH100" s="272">
        <f t="array" aca="1" ref="AH100" ca="1">SUM(IFERROR(ISNUMBER(Propagações_TOT_IGUACU!$B$7:$CD$110)*(Propagações_TOT_IGUACU!$B$6:$CD$6=$B100&amp;"A")*(Propagações_TOT_IGUACU!$A$7:$A$110&gt;=PREVS_SMAP!K$26)*(Propagações_TOT_IGUACU!$A$7:$A$110&lt;=PREVS_SMAP!K$27),0))</f>
        <v>0</v>
      </c>
      <c r="AI100" s="272">
        <f t="array" aca="1" ref="AI100" ca="1">SUM(IFERROR(ISNUMBER(Propagações_TOT_IGUACU!$B$7:$CD$110)*(Propagações_TOT_IGUACU!$B$6:$CD$6=$B100&amp;"A")*(Propagações_TOT_IGUACU!$A$7:$A$110&gt;=PREVS_SMAP!L$26)*(Propagações_TOT_IGUACU!$A$7:$A$110&lt;=PREVS_SMAP!L$27),0))</f>
        <v>0</v>
      </c>
      <c r="AJ100" s="272">
        <f t="array" aca="1" ref="AJ100" ca="1">SUM(IFERROR(ISNUMBER(Propagações_TOT_IGUACU!$B$7:$CD$110)*(Propagações_TOT_IGUACU!$B$6:$CD$6=$B100&amp;"A")*(Propagações_TOT_IGUACU!$A$7:$A$110&gt;=PREVS_SMAP!M$26)*(Propagações_TOT_IGUACU!$A$7:$A$110&lt;=PREVS_SMAP!M$27),0))</f>
        <v>0</v>
      </c>
      <c r="AK100" s="272">
        <f t="array" aca="1" ref="AK100" ca="1">SUM(IFERROR(ISNUMBER(Propagações_TOT_IGUACU!$B$7:$CD$110)*(Propagações_TOT_IGUACU!$B$6:$CD$6=$B100&amp;"A")*(Propagações_TOT_IGUACU!$A$7:$A$110&gt;=PREVS_SMAP!N$26)*(Propagações_TOT_IGUACU!$A$7:$A$110&lt;=PREVS_SMAP!N$27),0))</f>
        <v>0</v>
      </c>
      <c r="AL100" s="272">
        <f t="array" aca="1" ref="AL100" ca="1">SUM(IFERROR(ISNUMBER(Propagações_TOT_IGUACU!$B$7:$CD$110)*(Propagações_TOT_IGUACU!$B$6:$CD$6=$B100&amp;"A")*(Propagações_TOT_IGUACU!$A$7:$A$110&gt;=PREVS_SMAP!O$26)*(Propagações_TOT_IGUACU!$A$7:$A$110&lt;=PREVS_SMAP!O$27),0))</f>
        <v>0</v>
      </c>
      <c r="AN100" s="121"/>
      <c r="AO100" s="121">
        <f t="shared" ca="1" si="30"/>
        <v>22</v>
      </c>
      <c r="AP100" s="121" t="b">
        <f t="shared" si="31"/>
        <v>1</v>
      </c>
      <c r="AQ100" s="272">
        <f ca="1">+AVERAGEIFS(TABELA_VAZAO[qnat],TABELA_VAZAO[Posto],$R100,TABELA_VAZAO[Data],AQ$27)</f>
        <v>55</v>
      </c>
      <c r="AR100" s="272">
        <f ca="1">+AVERAGEIFS(TABELA_VAZAO[qnat],TABELA_VAZAO[Posto],$R100,TABELA_VAZAO[Data],AR$27)</f>
        <v>53</v>
      </c>
      <c r="AS100" s="272">
        <f ca="1">+AVERAGEIFS(TABELA_VAZAO[qnat],TABELA_VAZAO[Posto],$R100,TABELA_VAZAO[Data],AS$27)</f>
        <v>53</v>
      </c>
      <c r="AT100" s="272">
        <f ca="1">+AVERAGEIFS(TABELA_VAZAO[qnat],TABELA_VAZAO[Posto],$R100,TABELA_VAZAO[Data],AT$27)</f>
        <v>53</v>
      </c>
      <c r="AU100" s="121">
        <f ca="1">+AVERAGEIFS(TABELA_VAZAO[qnat],TABELA_VAZAO[Posto],$R100,TABELA_VAZAO[Data],AU$27)</f>
        <v>53</v>
      </c>
      <c r="AV100" s="272">
        <f ca="1">IFERROR(AVERAGEIFS(TABELA_VAZAO[qnat],TABELA_VAZAO[Posto],$R100,TABELA_VAZAO[Data],AV$27),AU100+$BB100*EXP(AV$26))</f>
        <v>52</v>
      </c>
      <c r="AW100" s="159">
        <f ca="1">IFERROR(AVERAGEIFS(TABELA_VAZAO[qnat],TABELA_VAZAO[Posto],$R100,TABELA_VAZAO[Data],AW$27),AV100+$BB100*EXP(AW$26))</f>
        <v>51</v>
      </c>
      <c r="AX100" s="325">
        <f ca="1">IFERROR(AVERAGEIFS(TABELA_VAZAO[qnat],TABELA_VAZAO[Posto],$R100,TABELA_VAZAO[Data],AX$27),AW100+$BB100*EXP(AX$26))</f>
        <v>50.285714285714285</v>
      </c>
      <c r="AY100" s="325">
        <f ca="1">IFERROR(AVERAGEIFS(TABELA_VAZAO[qnat],TABELA_VAZAO[Posto],$R100,TABELA_VAZAO[Data],AY$27),AX100+$BB100*EXP(AY$26))</f>
        <v>49.806914252831682</v>
      </c>
      <c r="AZ100" s="326">
        <f ca="1">IFERROR(AVERAGEIFS(TABELA_VAZAO[qnat],TABELA_VAZAO[Posto],$R100,TABELA_VAZAO[Data],AZ$27),AY100+$BB100*EXP(AZ$26))</f>
        <v>49.485964992747952</v>
      </c>
      <c r="BA100" s="326">
        <f ca="1">IFERROR(AVERAGEIFS(TABELA_VAZAO[qnat],TABELA_VAZAO[Posto],$R100,TABELA_VAZAO[Data],BA$27),AZ100+$BB100*EXP(BA$26))</f>
        <v>49.270826269953524</v>
      </c>
      <c r="BB100" s="121">
        <f t="shared" ca="1" si="32"/>
        <v>-0.7142857142857143</v>
      </c>
      <c r="BC100" s="272">
        <f t="shared" ca="1" si="33"/>
        <v>0</v>
      </c>
      <c r="BD100" s="272">
        <f t="shared" ca="1" si="33"/>
        <v>0</v>
      </c>
      <c r="BE100" s="272">
        <f t="shared" ca="1" si="33"/>
        <v>-1</v>
      </c>
      <c r="BF100" s="272">
        <f t="shared" ca="1" si="33"/>
        <v>-1</v>
      </c>
      <c r="BG100"/>
    </row>
    <row r="101" spans="1:59" x14ac:dyDescent="0.2">
      <c r="A101" s="262">
        <v>72</v>
      </c>
      <c r="B101" s="265" t="str">
        <f t="shared" si="34"/>
        <v>72_VN</v>
      </c>
      <c r="C101" s="270" t="s">
        <v>143</v>
      </c>
      <c r="D101" s="132">
        <f t="array" aca="1" ref="D101" ca="1">SUM(IFERROR(Propagações_TOT_IGUACU!$B$7:$CD$110*(Propagações_TOT_IGUACU!$B$6:$CD$6=$B101&amp;"A")*(Propagações_TOT_IGUACU!$A$7:$A$110&gt;=PREVS_SMAP!D$26)*(Propagações_TOT_IGUACU!$A$7:$A$110&lt;=PREVS_SMAP!D$27),0))/7</f>
        <v>0</v>
      </c>
      <c r="E101" s="132">
        <f t="array" aca="1" ref="E101" ca="1">SUM(IFERROR(Propagações_TOT_IGUACU!$B$7:$CD$110*(Propagações_TOT_IGUACU!$B$6:$CD$6=$B101&amp;"A")*(Propagações_TOT_IGUACU!$A$7:$A$110&gt;=PREVS_SMAP!E$26)*(Propagações_TOT_IGUACU!$A$7:$A$110&lt;=PREVS_SMAP!E$27),0))/7</f>
        <v>47.285714285714285</v>
      </c>
      <c r="F101" s="132">
        <f t="array" aca="1" ref="F101" ca="1">SUM(IFERROR(Propagações_TOT_IGUACU!$B$7:$CD$110*(Propagações_TOT_IGUACU!$B$6:$CD$6=$B101&amp;"A")*(Propagações_TOT_IGUACU!$A$7:$A$110&gt;=PREVS_SMAP!F$26)*(Propagações_TOT_IGUACU!$A$7:$A$110&lt;=PREVS_SMAP!F$27),0))/7</f>
        <v>18.428571428571427</v>
      </c>
      <c r="G101" s="132" t="e">
        <f t="array" aca="1" ref="G101" ca="1">IF(AD101&lt;7,NA(),SUM(IFERROR(Propagações_TOT_IGUACU!$B$7:$CD$110*(Propagações_TOT_IGUACU!$B$6:$CD$6=$B101&amp;"A")*(Propagações_TOT_IGUACU!$A$7:$A$110&gt;=PREVS_SMAP!G$26)*(Propagações_TOT_IGUACU!$A$7:$A$110&lt;=PREVS_SMAP!G$27),0))/7    )</f>
        <v>#N/A</v>
      </c>
      <c r="H101" s="132" t="e">
        <f t="array" aca="1" ref="H101" ca="1">IF(AE101&lt;7,NA(),SUM(IFERROR(Propagações_TOT_IGUACU!$B$7:$CD$110*(Propagações_TOT_IGUACU!$B$6:$CD$6=$B101&amp;"A")*(Propagações_TOT_IGUACU!$A$7:$A$110&gt;=PREVS_SMAP!H$26)*(Propagações_TOT_IGUACU!$A$7:$A$110&lt;=PREVS_SMAP!H$27),0))/7    )</f>
        <v>#N/A</v>
      </c>
      <c r="I101" s="132" t="e">
        <f t="array" aca="1" ref="I101" ca="1">IF(AF101&lt;7,NA(),SUM(IFERROR(Propagações_TOT_IGUACU!$B$7:$CD$110*(Propagações_TOT_IGUACU!$B$6:$CD$6=$B101&amp;"A")*(Propagações_TOT_IGUACU!$A$7:$A$110&gt;=PREVS_SMAP!I$26)*(Propagações_TOT_IGUACU!$A$7:$A$110&lt;=PREVS_SMAP!I$27),0))/7    )</f>
        <v>#N/A</v>
      </c>
      <c r="J101" s="132" t="e">
        <f t="array" aca="1" ref="J101" ca="1">IF(AG101&lt;7,NA(),SUM(IFERROR(Propagações_TOT_IGUACU!$B$7:$CD$110*(Propagações_TOT_IGUACU!$B$6:$CD$6=$B101&amp;"A")*(Propagações_TOT_IGUACU!$A$7:$A$110&gt;=PREVS_SMAP!J$26)*(Propagações_TOT_IGUACU!$A$7:$A$110&lt;=PREVS_SMAP!J$27),0))/7    )</f>
        <v>#N/A</v>
      </c>
      <c r="K101" s="132" t="e">
        <f t="array" aca="1" ref="K101" ca="1">IF(AH101&lt;7,NA(),SUM(IFERROR(Propagações_TOT_IGUACU!$B$7:$CD$110*(Propagações_TOT_IGUACU!$B$6:$CD$6=$B101&amp;"A")*(Propagações_TOT_IGUACU!$A$7:$A$110&gt;=PREVS_SMAP!K$26)*(Propagações_TOT_IGUACU!$A$7:$A$110&lt;=PREVS_SMAP!K$27),0))/7    )</f>
        <v>#N/A</v>
      </c>
      <c r="L101" s="132" t="e">
        <f t="array" aca="1" ref="L101" ca="1">IF(AI101&lt;7,NA(),SUM(IFERROR(Propagações_TOT_IGUACU!$B$7:$CD$110*(Propagações_TOT_IGUACU!$B$6:$CD$6=$B101&amp;"A")*(Propagações_TOT_IGUACU!$A$7:$A$110&gt;=PREVS_SMAP!L$26)*(Propagações_TOT_IGUACU!$A$7:$A$110&lt;=PREVS_SMAP!L$27),0))/7    )</f>
        <v>#N/A</v>
      </c>
      <c r="M101" s="132" t="e">
        <f t="array" aca="1" ref="M101" ca="1">IF(AJ101&lt;7,NA(),SUM(IFERROR(Propagações_TOT_IGUACU!$B$7:$CD$110*(Propagações_TOT_IGUACU!$B$6:$CD$6=$B101&amp;"A")*(Propagações_TOT_IGUACU!$A$7:$A$110&gt;=PREVS_SMAP!M$26)*(Propagações_TOT_IGUACU!$A$7:$A$110&lt;=PREVS_SMAP!M$27),0))/7    )</f>
        <v>#N/A</v>
      </c>
      <c r="N101" s="132" t="e">
        <f t="array" aca="1" ref="N101" ca="1">IF(AK101&lt;7,NA(),SUM(IFERROR(Propagações_TOT_IGUACU!$B$7:$CD$110*(Propagações_TOT_IGUACU!$B$6:$CD$6=$B101&amp;"A")*(Propagações_TOT_IGUACU!$A$7:$A$110&gt;=PREVS_SMAP!N$26)*(Propagações_TOT_IGUACU!$A$7:$A$110&lt;=PREVS_SMAP!N$27),0))/7    )</f>
        <v>#N/A</v>
      </c>
      <c r="O101" s="132" t="e">
        <f t="array" aca="1" ref="O101" ca="1">IF(AL101&lt;7,NA(),SUM(IFERROR(Propagações_TOT_IGUACU!$B$7:$CD$110*(Propagações_TOT_IGUACU!$B$6:$CD$6=$B101&amp;"A")*(Propagações_TOT_IGUACU!$A$7:$A$110&gt;=PREVS_SMAP!O$26)*(Propagações_TOT_IGUACU!$A$7:$A$110&lt;=PREVS_SMAP!O$27),0))/7    )</f>
        <v>#N/A</v>
      </c>
      <c r="P101" s="229"/>
      <c r="R101">
        <v>74</v>
      </c>
      <c r="S101" s="169">
        <f ca="1">AO101</f>
        <v>117</v>
      </c>
      <c r="T101" s="169" t="str">
        <f t="shared" ca="1" si="35"/>
        <v/>
      </c>
      <c r="U101" s="169" t="str">
        <f t="shared" ca="1" si="35"/>
        <v/>
      </c>
      <c r="V101" s="169" t="str">
        <f t="shared" ca="1" si="35"/>
        <v/>
      </c>
      <c r="W101" s="169" t="str">
        <f t="shared" ca="1" si="35"/>
        <v/>
      </c>
      <c r="X101" s="169" t="str">
        <f t="shared" ca="1" si="35"/>
        <v/>
      </c>
      <c r="Y101" s="169" t="str">
        <f t="shared" ca="1" si="35"/>
        <v/>
      </c>
      <c r="Z101" s="169" t="str">
        <f t="shared" ca="1" si="35"/>
        <v/>
      </c>
      <c r="AA101" s="169" t="str">
        <f t="shared" ca="1" si="35"/>
        <v/>
      </c>
      <c r="AB101" s="169" t="str">
        <f ca="1">IFERROR(ROUND(INDEX(O$28:O$129,MATCH($R101,$A$28:$A$129,0)),0),"")</f>
        <v/>
      </c>
      <c r="AD101" s="272">
        <f t="array" aca="1" ref="AD101" ca="1">SUM(IFERROR(ISNUMBER(Propagações_TOT_IGUACU!$B$7:$CD$110)*(Propagações_TOT_IGUACU!$B$6:$CD$6=$B101&amp;"A")*(Propagações_TOT_IGUACU!$A$7:$A$110&gt;=PREVS_SMAP!G$26)*(Propagações_TOT_IGUACU!$A$7:$A$110&lt;=PREVS_SMAP!G$27),0))</f>
        <v>0</v>
      </c>
      <c r="AE101" s="272">
        <f t="array" aca="1" ref="AE101" ca="1">SUM(IFERROR(ISNUMBER(Propagações_TOT_IGUACU!$B$7:$CD$110)*(Propagações_TOT_IGUACU!$B$6:$CD$6=$B101&amp;"A")*(Propagações_TOT_IGUACU!$A$7:$A$110&gt;=PREVS_SMAP!H$26)*(Propagações_TOT_IGUACU!$A$7:$A$110&lt;=PREVS_SMAP!H$27),0))</f>
        <v>0</v>
      </c>
      <c r="AF101" s="272">
        <f t="array" aca="1" ref="AF101" ca="1">SUM(IFERROR(ISNUMBER(Propagações_TOT_IGUACU!$B$7:$CD$110)*(Propagações_TOT_IGUACU!$B$6:$CD$6=$B101&amp;"A")*(Propagações_TOT_IGUACU!$A$7:$A$110&gt;=PREVS_SMAP!I$26)*(Propagações_TOT_IGUACU!$A$7:$A$110&lt;=PREVS_SMAP!I$27),0))</f>
        <v>0</v>
      </c>
      <c r="AG101" s="272">
        <f t="array" aca="1" ref="AG101" ca="1">SUM(IFERROR(ISNUMBER(Propagações_TOT_IGUACU!$B$7:$CD$110)*(Propagações_TOT_IGUACU!$B$6:$CD$6=$B101&amp;"A")*(Propagações_TOT_IGUACU!$A$7:$A$110&gt;=PREVS_SMAP!J$26)*(Propagações_TOT_IGUACU!$A$7:$A$110&lt;=PREVS_SMAP!J$27),0))</f>
        <v>0</v>
      </c>
      <c r="AH101" s="272">
        <f t="array" aca="1" ref="AH101" ca="1">SUM(IFERROR(ISNUMBER(Propagações_TOT_IGUACU!$B$7:$CD$110)*(Propagações_TOT_IGUACU!$B$6:$CD$6=$B101&amp;"A")*(Propagações_TOT_IGUACU!$A$7:$A$110&gt;=PREVS_SMAP!K$26)*(Propagações_TOT_IGUACU!$A$7:$A$110&lt;=PREVS_SMAP!K$27),0))</f>
        <v>0</v>
      </c>
      <c r="AI101" s="272">
        <f t="array" aca="1" ref="AI101" ca="1">SUM(IFERROR(ISNUMBER(Propagações_TOT_IGUACU!$B$7:$CD$110)*(Propagações_TOT_IGUACU!$B$6:$CD$6=$B101&amp;"A")*(Propagações_TOT_IGUACU!$A$7:$A$110&gt;=PREVS_SMAP!L$26)*(Propagações_TOT_IGUACU!$A$7:$A$110&lt;=PREVS_SMAP!L$27),0))</f>
        <v>0</v>
      </c>
      <c r="AJ101" s="272">
        <f t="array" aca="1" ref="AJ101" ca="1">SUM(IFERROR(ISNUMBER(Propagações_TOT_IGUACU!$B$7:$CD$110)*(Propagações_TOT_IGUACU!$B$6:$CD$6=$B101&amp;"A")*(Propagações_TOT_IGUACU!$A$7:$A$110&gt;=PREVS_SMAP!M$26)*(Propagações_TOT_IGUACU!$A$7:$A$110&lt;=PREVS_SMAP!M$27),0))</f>
        <v>0</v>
      </c>
      <c r="AK101" s="272">
        <f t="array" aca="1" ref="AK101" ca="1">SUM(IFERROR(ISNUMBER(Propagações_TOT_IGUACU!$B$7:$CD$110)*(Propagações_TOT_IGUACU!$B$6:$CD$6=$B101&amp;"A")*(Propagações_TOT_IGUACU!$A$7:$A$110&gt;=PREVS_SMAP!N$26)*(Propagações_TOT_IGUACU!$A$7:$A$110&lt;=PREVS_SMAP!N$27),0))</f>
        <v>0</v>
      </c>
      <c r="AL101" s="272">
        <f t="array" aca="1" ref="AL101" ca="1">SUM(IFERROR(ISNUMBER(Propagações_TOT_IGUACU!$B$7:$CD$110)*(Propagações_TOT_IGUACU!$B$6:$CD$6=$B101&amp;"A")*(Propagações_TOT_IGUACU!$A$7:$A$110&gt;=PREVS_SMAP!O$26)*(Propagações_TOT_IGUACU!$A$7:$A$110&lt;=PREVS_SMAP!O$27),0))</f>
        <v>0</v>
      </c>
      <c r="AN101" s="121"/>
      <c r="AO101" s="121">
        <f t="shared" ca="1" si="30"/>
        <v>117</v>
      </c>
      <c r="AP101" s="121" t="b">
        <f t="shared" si="31"/>
        <v>1</v>
      </c>
      <c r="AQ101" s="272">
        <f ca="1">+AVERAGEIFS(TABELA_VAZAO[qnat],TABELA_VAZAO[Posto],$R101,TABELA_VAZAO[Data],AQ$27)</f>
        <v>202</v>
      </c>
      <c r="AR101" s="272">
        <f ca="1">+AVERAGEIFS(TABELA_VAZAO[qnat],TABELA_VAZAO[Posto],$R101,TABELA_VAZAO[Data],AR$27)</f>
        <v>192</v>
      </c>
      <c r="AS101" s="272">
        <f ca="1">+AVERAGEIFS(TABELA_VAZAO[qnat],TABELA_VAZAO[Posto],$R101,TABELA_VAZAO[Data],AS$27)</f>
        <v>193</v>
      </c>
      <c r="AT101" s="272">
        <f ca="1">+AVERAGEIFS(TABELA_VAZAO[qnat],TABELA_VAZAO[Posto],$R101,TABELA_VAZAO[Data],AT$27)</f>
        <v>214</v>
      </c>
      <c r="AU101" s="121">
        <f ca="1">+AVERAGEIFS(TABELA_VAZAO[qnat],TABELA_VAZAO[Posto],$R101,TABELA_VAZAO[Data],AU$27)</f>
        <v>257</v>
      </c>
      <c r="AV101" s="272">
        <f ca="1">IFERROR(AVERAGEIFS(TABELA_VAZAO[qnat],TABELA_VAZAO[Posto],$R101,TABELA_VAZAO[Data],AV$27),AU101+$BB101*EXP(AV$26))</f>
        <v>269</v>
      </c>
      <c r="AW101" s="159">
        <f ca="1">IFERROR(AVERAGEIFS(TABELA_VAZAO[qnat],TABELA_VAZAO[Posto],$R101,TABELA_VAZAO[Data],AW$27),AV101+$BB101*EXP(AW$26))</f>
        <v>292</v>
      </c>
      <c r="AX101" s="325">
        <f ca="1">IFERROR(AVERAGEIFS(TABELA_VAZAO[qnat],TABELA_VAZAO[Posto],$R101,TABELA_VAZAO[Data],AX$27),AW101+$BB101*EXP(AX$26))</f>
        <v>314.42857142857144</v>
      </c>
      <c r="AY101" s="325">
        <f ca="1">IFERROR(AVERAGEIFS(TABELA_VAZAO[qnat],TABELA_VAZAO[Posto],$R101,TABELA_VAZAO[Data],AY$27),AX101+$BB101*EXP(AY$26))</f>
        <v>329.46289246108506</v>
      </c>
      <c r="AZ101" s="326">
        <f ca="1">IFERROR(AVERAGEIFS(TABELA_VAZAO[qnat],TABELA_VAZAO[Posto],$R101,TABELA_VAZAO[Data],AZ$27),AY101+$BB101*EXP(AZ$26))</f>
        <v>339.54069922771419</v>
      </c>
      <c r="BA101" s="326">
        <f ca="1">IFERROR(AVERAGEIFS(TABELA_VAZAO[qnat],TABELA_VAZAO[Posto],$R101,TABELA_VAZAO[Data],BA$27),AZ101+$BB101*EXP(BA$26))</f>
        <v>346.29605512345927</v>
      </c>
      <c r="BB101" s="121">
        <f t="shared" ca="1" si="32"/>
        <v>22.428571428571427</v>
      </c>
      <c r="BC101" s="272">
        <f t="shared" ca="1" si="33"/>
        <v>21</v>
      </c>
      <c r="BD101" s="272">
        <f t="shared" ca="1" si="33"/>
        <v>43</v>
      </c>
      <c r="BE101" s="272">
        <f t="shared" ca="1" si="33"/>
        <v>12</v>
      </c>
      <c r="BF101" s="272">
        <f t="shared" ca="1" si="33"/>
        <v>23</v>
      </c>
      <c r="BG101"/>
    </row>
    <row r="102" spans="1:59" x14ac:dyDescent="0.2">
      <c r="A102" s="229"/>
      <c r="B102" s="229"/>
      <c r="C102" s="229"/>
      <c r="D102" s="229"/>
      <c r="E102" s="229"/>
      <c r="F102" s="229"/>
      <c r="G102" s="229"/>
      <c r="H102" s="229"/>
      <c r="I102" s="229"/>
      <c r="J102" s="229"/>
      <c r="K102" s="229"/>
      <c r="P102" s="132"/>
      <c r="R102">
        <v>75</v>
      </c>
      <c r="S102" s="40"/>
      <c r="T102" s="40"/>
      <c r="U102" s="131"/>
      <c r="V102" s="131"/>
      <c r="W102" s="131"/>
      <c r="X102" s="131"/>
      <c r="Y102" s="131"/>
      <c r="Z102" s="131"/>
      <c r="AA102" s="131"/>
      <c r="AB102" s="131"/>
      <c r="AH102" s="229"/>
      <c r="AN102" s="121"/>
      <c r="AO102" s="121" t="e">
        <f t="shared" si="30"/>
        <v>#DIV/0!</v>
      </c>
      <c r="AP102" s="121" t="b">
        <f t="shared" si="31"/>
        <v>0</v>
      </c>
      <c r="AU102" s="121"/>
      <c r="AV102" s="121"/>
      <c r="AW102" s="159"/>
      <c r="AX102" s="159"/>
      <c r="AY102" s="159"/>
      <c r="AZ102" s="157"/>
      <c r="BA102" s="157"/>
      <c r="BB102" s="121">
        <f t="shared" ca="1" si="32"/>
        <v>0</v>
      </c>
      <c r="BC102" s="272">
        <f t="shared" ca="1" si="33"/>
        <v>0</v>
      </c>
      <c r="BD102" s="272">
        <f t="shared" ca="1" si="33"/>
        <v>0</v>
      </c>
      <c r="BE102" s="272">
        <f t="shared" ca="1" si="33"/>
        <v>0</v>
      </c>
      <c r="BF102" s="272">
        <f t="shared" ca="1" si="33"/>
        <v>0</v>
      </c>
      <c r="BG102"/>
    </row>
    <row r="103" spans="1:59" x14ac:dyDescent="0.2">
      <c r="A103" s="229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P103" s="132"/>
      <c r="R103">
        <v>76</v>
      </c>
      <c r="S103" s="169">
        <f ca="1">AO103</f>
        <v>131</v>
      </c>
      <c r="T103" s="169" t="str">
        <f t="shared" ref="T103:AA105" ca="1" si="36">IFERROR(ROUND(INDEX(G$28:G$129,MATCH($R103,$A$28:$A$129,0)),0),IF(AND($K$4,ISNUMBER(H$143)),ROUND(G$143*S103,0),""))</f>
        <v/>
      </c>
      <c r="U103" s="169" t="str">
        <f t="shared" ca="1" si="36"/>
        <v/>
      </c>
      <c r="V103" s="169" t="str">
        <f t="shared" ca="1" si="36"/>
        <v/>
      </c>
      <c r="W103" s="169" t="str">
        <f t="shared" ca="1" si="36"/>
        <v/>
      </c>
      <c r="X103" s="169" t="str">
        <f t="shared" ca="1" si="36"/>
        <v/>
      </c>
      <c r="Y103" s="169" t="str">
        <f t="shared" ca="1" si="36"/>
        <v/>
      </c>
      <c r="Z103" s="169" t="str">
        <f t="shared" ca="1" si="36"/>
        <v/>
      </c>
      <c r="AA103" s="169" t="str">
        <f t="shared" ca="1" si="36"/>
        <v/>
      </c>
      <c r="AB103" s="169" t="str">
        <f ca="1">IFERROR(ROUND(INDEX(O$28:O$129,MATCH($R103,$A$28:$A$129,0)),0),"")</f>
        <v/>
      </c>
      <c r="AH103" s="229"/>
      <c r="AN103" s="121"/>
      <c r="AO103" s="121">
        <f t="shared" ca="1" si="30"/>
        <v>131</v>
      </c>
      <c r="AP103" s="121" t="b">
        <f t="shared" si="31"/>
        <v>1</v>
      </c>
      <c r="AQ103" s="272">
        <f ca="1">+AVERAGEIFS(TABELA_VAZAO[qnat],TABELA_VAZAO[Posto],$R103,TABELA_VAZAO[Data],AQ$27)</f>
        <v>259</v>
      </c>
      <c r="AR103" s="272">
        <f ca="1">+AVERAGEIFS(TABELA_VAZAO[qnat],TABELA_VAZAO[Posto],$R103,TABELA_VAZAO[Data],AR$27)</f>
        <v>244</v>
      </c>
      <c r="AS103" s="272">
        <f ca="1">+AVERAGEIFS(TABELA_VAZAO[qnat],TABELA_VAZAO[Posto],$R103,TABELA_VAZAO[Data],AS$27)</f>
        <v>239</v>
      </c>
      <c r="AT103" s="272">
        <f ca="1">+AVERAGEIFS(TABELA_VAZAO[qnat],TABELA_VAZAO[Posto],$R103,TABELA_VAZAO[Data],AT$27)</f>
        <v>249</v>
      </c>
      <c r="AU103" s="121">
        <f ca="1">+AVERAGEIFS(TABELA_VAZAO[qnat],TABELA_VAZAO[Posto],$R103,TABELA_VAZAO[Data],AU$27)</f>
        <v>281</v>
      </c>
      <c r="AV103" s="272">
        <f ca="1">IFERROR(AVERAGEIFS(TABELA_VAZAO[qnat],TABELA_VAZAO[Posto],$R103,TABELA_VAZAO[Data],AV$27),AU103+$BB103*EXP(AV$26))</f>
        <v>310</v>
      </c>
      <c r="AW103" s="159">
        <f ca="1">IFERROR(AVERAGEIFS(TABELA_VAZAO[qnat],TABELA_VAZAO[Posto],$R103,TABELA_VAZAO[Data],AW$27),AV103+$BB103*EXP(AW$26))</f>
        <v>327</v>
      </c>
      <c r="AX103" s="325">
        <f ca="1">IFERROR(AVERAGEIFS(TABELA_VAZAO[qnat],TABELA_VAZAO[Posto],$R103,TABELA_VAZAO[Data],AX$27),AW103+$BB103*EXP(AX$26))</f>
        <v>348.57142857142856</v>
      </c>
      <c r="AY103" s="325">
        <f ca="1">IFERROR(AVERAGEIFS(TABELA_VAZAO[qnat],TABELA_VAZAO[Posto],$R103,TABELA_VAZAO[Data],AY$27),AX103+$BB103*EXP(AY$26))</f>
        <v>363.03118956448304</v>
      </c>
      <c r="AZ103" s="326">
        <f ca="1">IFERROR(AVERAGEIFS(TABELA_VAZAO[qnat],TABELA_VAZAO[Posto],$R103,TABELA_VAZAO[Data],AZ$27),AY103+$BB103*EXP(AZ$26))</f>
        <v>372.72385721901168</v>
      </c>
      <c r="BA103" s="326">
        <f ca="1">IFERROR(AVERAGEIFS(TABELA_VAZAO[qnat],TABELA_VAZAO[Posto],$R103,TABELA_VAZAO[Data],BA$27),AZ103+$BB103*EXP(BA$26))</f>
        <v>379.22104664740345</v>
      </c>
      <c r="BB103" s="121">
        <f t="shared" ca="1" si="32"/>
        <v>21.571428571428573</v>
      </c>
      <c r="BC103" s="272">
        <f t="shared" ca="1" si="33"/>
        <v>10</v>
      </c>
      <c r="BD103" s="272">
        <f t="shared" ca="1" si="33"/>
        <v>32</v>
      </c>
      <c r="BE103" s="272">
        <f t="shared" ca="1" si="33"/>
        <v>29</v>
      </c>
      <c r="BF103" s="272">
        <f t="shared" ca="1" si="33"/>
        <v>17</v>
      </c>
      <c r="BG103"/>
    </row>
    <row r="104" spans="1:59" ht="13.5" thickBot="1" x14ac:dyDescent="0.25">
      <c r="A104" s="141"/>
      <c r="B104" s="142"/>
      <c r="C104" s="142"/>
      <c r="D104" s="142"/>
      <c r="E104" s="142"/>
      <c r="F104" s="142"/>
      <c r="G104" s="142"/>
      <c r="H104" s="142"/>
      <c r="I104" s="142"/>
      <c r="J104" s="142"/>
      <c r="K104" s="142"/>
      <c r="L104" s="240"/>
      <c r="M104" s="240"/>
      <c r="N104" s="240"/>
      <c r="O104" s="240"/>
      <c r="P104" s="132"/>
      <c r="R104">
        <v>77</v>
      </c>
      <c r="S104" s="169">
        <f ca="1">AO104</f>
        <v>157</v>
      </c>
      <c r="T104" s="169" t="str">
        <f t="shared" ca="1" si="36"/>
        <v/>
      </c>
      <c r="U104" s="169" t="str">
        <f t="shared" ca="1" si="36"/>
        <v/>
      </c>
      <c r="V104" s="169" t="str">
        <f t="shared" ca="1" si="36"/>
        <v/>
      </c>
      <c r="W104" s="169" t="str">
        <f t="shared" ca="1" si="36"/>
        <v/>
      </c>
      <c r="X104" s="169" t="str">
        <f t="shared" ca="1" si="36"/>
        <v/>
      </c>
      <c r="Y104" s="169" t="str">
        <f t="shared" ca="1" si="36"/>
        <v/>
      </c>
      <c r="Z104" s="169" t="str">
        <f t="shared" ca="1" si="36"/>
        <v/>
      </c>
      <c r="AA104" s="169" t="str">
        <f t="shared" ca="1" si="36"/>
        <v/>
      </c>
      <c r="AB104" s="169" t="str">
        <f ca="1">IFERROR(ROUND(INDEX(O$28:O$129,MATCH($R104,$A$28:$A$129,0)),0),"")</f>
        <v/>
      </c>
      <c r="AH104" s="229"/>
      <c r="AN104" s="121"/>
      <c r="AO104" s="121">
        <f t="shared" ca="1" si="30"/>
        <v>157</v>
      </c>
      <c r="AP104" s="121" t="b">
        <f t="shared" si="31"/>
        <v>1</v>
      </c>
      <c r="AQ104" s="272">
        <f ca="1">+AVERAGEIFS(TABELA_VAZAO[qnat],TABELA_VAZAO[Posto],$R104,TABELA_VAZAO[Data],AQ$27)</f>
        <v>353</v>
      </c>
      <c r="AR104" s="272">
        <f ca="1">+AVERAGEIFS(TABELA_VAZAO[qnat],TABELA_VAZAO[Posto],$R104,TABELA_VAZAO[Data],AR$27)</f>
        <v>332</v>
      </c>
      <c r="AS104" s="272">
        <f ca="1">+AVERAGEIFS(TABELA_VAZAO[qnat],TABELA_VAZAO[Posto],$R104,TABELA_VAZAO[Data],AS$27)</f>
        <v>321</v>
      </c>
      <c r="AT104" s="272">
        <f ca="1">+AVERAGEIFS(TABELA_VAZAO[qnat],TABELA_VAZAO[Posto],$R104,TABELA_VAZAO[Data],AT$27)</f>
        <v>323</v>
      </c>
      <c r="AU104" s="121">
        <f ca="1">+AVERAGEIFS(TABELA_VAZAO[qnat],TABELA_VAZAO[Posto],$R104,TABELA_VAZAO[Data],AU$27)</f>
        <v>342</v>
      </c>
      <c r="AV104" s="272">
        <f ca="1">IFERROR(AVERAGEIFS(TABELA_VAZAO[qnat],TABELA_VAZAO[Posto],$R104,TABELA_VAZAO[Data],AV$27),AU104+$BB104*EXP(AV$26))</f>
        <v>370</v>
      </c>
      <c r="AW104" s="159">
        <f ca="1">IFERROR(AVERAGEIFS(TABELA_VAZAO[qnat],TABELA_VAZAO[Posto],$R104,TABELA_VAZAO[Data],AW$27),AV104+$BB104*EXP(AW$26))</f>
        <v>390</v>
      </c>
      <c r="AX104" s="325">
        <f ca="1">IFERROR(AVERAGEIFS(TABELA_VAZAO[qnat],TABELA_VAZAO[Posto],$R104,TABELA_VAZAO[Data],AX$27),AW104+$BB104*EXP(AX$26))</f>
        <v>409.57142857142856</v>
      </c>
      <c r="AY104" s="325">
        <f ca="1">IFERROR(AVERAGEIFS(TABELA_VAZAO[qnat],TABELA_VAZAO[Posto],$R104,TABELA_VAZAO[Data],AY$27),AX104+$BB104*EXP(AY$26))</f>
        <v>422.69054947241176</v>
      </c>
      <c r="AZ104" s="326">
        <f ca="1">IFERROR(AVERAGEIFS(TABELA_VAZAO[qnat],TABELA_VAZAO[Posto],$R104,TABELA_VAZAO[Data],AZ$27),AY104+$BB104*EXP(AZ$26))</f>
        <v>431.48455919870594</v>
      </c>
      <c r="BA104" s="326">
        <f ca="1">IFERROR(AVERAGEIFS(TABELA_VAZAO[qnat],TABELA_VAZAO[Posto],$R104,TABELA_VAZAO[Data],BA$27),AZ104+$BB104*EXP(BA$26))</f>
        <v>437.37936020327334</v>
      </c>
      <c r="BB104" s="121">
        <f t="shared" ca="1" si="32"/>
        <v>19.571428571428573</v>
      </c>
      <c r="BC104" s="272">
        <f t="shared" ca="1" si="33"/>
        <v>2</v>
      </c>
      <c r="BD104" s="272">
        <f t="shared" ca="1" si="33"/>
        <v>19</v>
      </c>
      <c r="BE104" s="272">
        <f t="shared" ca="1" si="33"/>
        <v>28</v>
      </c>
      <c r="BF104" s="272">
        <f t="shared" ca="1" si="33"/>
        <v>20</v>
      </c>
      <c r="BG104"/>
    </row>
    <row r="105" spans="1:59" x14ac:dyDescent="0.2">
      <c r="A105" s="263">
        <v>215</v>
      </c>
      <c r="B105" s="261" t="str">
        <f t="shared" ref="B105" si="37">A105&amp;"_VN"</f>
        <v>215_VN</v>
      </c>
      <c r="C105" s="285" t="s">
        <v>173</v>
      </c>
      <c r="D105" s="132">
        <f t="array" aca="1" ref="D105" ca="1">SUM(IFERROR(Propagações_TOT_URUGUAI!$B$7:$CD$110*(Propagações_TOT_URUGUAI!$B$6:$CD$6=$B105&amp;"A")*(Propagações_TOT_URUGUAI!$A$7:$A$110&gt;=PREVS_SMAP!D$26)*(Propagações_TOT_URUGUAI!$A$7:$A$110&lt;=PREVS_SMAP!D$27),0))/7</f>
        <v>0</v>
      </c>
      <c r="E105" s="132">
        <f t="array" aca="1" ref="E105" ca="1">SUM(IFERROR(Propagações_TOT_URUGUAI!$B$7:$CD$110*(Propagações_TOT_URUGUAI!$B$6:$CD$6=$B105&amp;"A")*(Propagações_TOT_URUGUAI!$A$7:$A$110&gt;=PREVS_SMAP!E$26)*(Propagações_TOT_URUGUAI!$A$7:$A$110&lt;=PREVS_SMAP!E$27),0))/7</f>
        <v>0</v>
      </c>
      <c r="F105" s="244">
        <f t="array" aca="1" ref="F105" ca="1">SUM(IFERROR(Propagações_TOT_URUGUAI!$B$7:$CD$110*(Propagações_TOT_URUGUAI!$B$6:$CD$6=$B105&amp;"A")*(Propagações_TOT_URUGUAI!$A$7:$A$110&gt;=PREVS_SMAP!F$26)*(Propagações_TOT_URUGUAI!$A$7:$A$110&lt;=PREVS_SMAP!F$27),0))/7</f>
        <v>0</v>
      </c>
      <c r="G105" s="244" t="e">
        <f t="array" aca="1" ref="G105" ca="1">IF(AD105&lt;7,NA(),SUM(IFERROR(Propagações_TOT_URUGUAI!$B$7:$CD$110*(Propagações_TOT_URUGUAI!$B$6:$CD$6=$B105&amp;"A")*(Propagações_TOT_URUGUAI!$A$7:$A$110&gt;=PREVS_SMAP!G$26)*(Propagações_TOT_URUGUAI!$A$7:$A$110&lt;=PREVS_SMAP!G$27),0))/7    )</f>
        <v>#N/A</v>
      </c>
      <c r="H105" s="132" t="e">
        <f t="array" aca="1" ref="H105" ca="1">IF(AE105&lt;7,NA(),SUM(IFERROR(Propagações_TOT_URUGUAI!$B$7:$CD$110*(Propagações_TOT_URUGUAI!$B$6:$CD$6=$B105&amp;"A")*(Propagações_TOT_URUGUAI!$A$7:$A$110&gt;=PREVS_SMAP!H$26)*(Propagações_TOT_URUGUAI!$A$7:$A$110&lt;=PREVS_SMAP!H$27),0))/7    )</f>
        <v>#N/A</v>
      </c>
      <c r="I105" s="132" t="e">
        <f t="array" aca="1" ref="I105" ca="1">IF(AF105&lt;7,NA(),SUM(IFERROR(Propagações_TOT_URUGUAI!$B$7:$CD$110*(Propagações_TOT_URUGUAI!$B$6:$CD$6=$B105&amp;"A")*(Propagações_TOT_URUGUAI!$A$7:$A$110&gt;=PREVS_SMAP!I$26)*(Propagações_TOT_URUGUAI!$A$7:$A$110&lt;=PREVS_SMAP!I$27),0))/7    )</f>
        <v>#N/A</v>
      </c>
      <c r="J105" s="132" t="e">
        <f t="array" aca="1" ref="J105" ca="1">IF(AG105&lt;7,NA(),SUM(IFERROR(Propagações_TOT_URUGUAI!$B$7:$CD$110*(Propagações_TOT_URUGUAI!$B$6:$CD$6=$B105&amp;"A")*(Propagações_TOT_URUGUAI!$A$7:$A$110&gt;=PREVS_SMAP!J$26)*(Propagações_TOT_URUGUAI!$A$7:$A$110&lt;=PREVS_SMAP!J$27),0))/7    )</f>
        <v>#N/A</v>
      </c>
      <c r="K105" s="132" t="e">
        <f t="array" aca="1" ref="K105" ca="1">IF(AH105&lt;7,NA(),SUM(IFERROR(Propagações_TOT_URUGUAI!$B$7:$CD$110*(Propagações_TOT_URUGUAI!$B$6:$CD$6=$B105&amp;"A")*(Propagações_TOT_URUGUAI!$A$7:$A$110&gt;=PREVS_SMAP!K$26)*(Propagações_TOT_URUGUAI!$A$7:$A$110&lt;=PREVS_SMAP!K$27),0))/7    )</f>
        <v>#N/A</v>
      </c>
      <c r="L105" s="132" t="e">
        <f t="array" aca="1" ref="L105" ca="1">IF(AI105&lt;7,NA(),SUM(IFERROR(Propagações_TOT_URUGUAI!$B$7:$CD$110*(Propagações_TOT_URUGUAI!$B$6:$CD$6=$B105&amp;"A")*(Propagações_TOT_URUGUAI!$A$7:$A$110&gt;=PREVS_SMAP!L$26)*(Propagações_TOT_URUGUAI!$A$7:$A$110&lt;=PREVS_SMAP!L$27),0))/7    )</f>
        <v>#N/A</v>
      </c>
      <c r="M105" s="132" t="e">
        <f t="array" aca="1" ref="M105" ca="1">IF(AJ105&lt;7,NA(),SUM(IFERROR(Propagações_TOT_URUGUAI!$B$7:$CD$110*(Propagações_TOT_URUGUAI!$B$6:$CD$6=$B105&amp;"A")*(Propagações_TOT_URUGUAI!$A$7:$A$110&gt;=PREVS_SMAP!M$26)*(Propagações_TOT_URUGUAI!$A$7:$A$110&lt;=PREVS_SMAP!M$27),0))/7    )</f>
        <v>#N/A</v>
      </c>
      <c r="N105" s="132" t="e">
        <f t="array" aca="1" ref="N105" ca="1">IF(AK105&lt;7,NA(),SUM(IFERROR(Propagações_TOT_URUGUAI!$B$7:$CD$110*(Propagações_TOT_URUGUAI!$B$6:$CD$6=$B105&amp;"A")*(Propagações_TOT_URUGUAI!$A$7:$A$110&gt;=PREVS_SMAP!N$26)*(Propagações_TOT_URUGUAI!$A$7:$A$110&lt;=PREVS_SMAP!N$27),0))/7    )</f>
        <v>#N/A</v>
      </c>
      <c r="O105" s="132" t="e">
        <f t="array" aca="1" ref="O105" ca="1">IF(AL105&lt;7,NA(),SUM(IFERROR(Propagações_TOT_URUGUAI!$B$7:$CD$110*(Propagações_TOT_URUGUAI!$B$6:$CD$6=$B105&amp;"A")*(Propagações_TOT_URUGUAI!$A$7:$A$110&gt;=PREVS_SMAP!O$26)*(Propagações_TOT_URUGUAI!$A$7:$A$110&lt;=PREVS_SMAP!O$27),0))/7    )</f>
        <v>#N/A</v>
      </c>
      <c r="R105">
        <v>78</v>
      </c>
      <c r="S105" s="169">
        <f ca="1">AO105</f>
        <v>157</v>
      </c>
      <c r="T105" s="169" t="str">
        <f t="shared" ca="1" si="36"/>
        <v/>
      </c>
      <c r="U105" s="169" t="str">
        <f t="shared" ca="1" si="36"/>
        <v/>
      </c>
      <c r="V105" s="169" t="str">
        <f t="shared" ca="1" si="36"/>
        <v/>
      </c>
      <c r="W105" s="169" t="str">
        <f t="shared" ca="1" si="36"/>
        <v/>
      </c>
      <c r="X105" s="169" t="str">
        <f t="shared" ca="1" si="36"/>
        <v/>
      </c>
      <c r="Y105" s="169" t="str">
        <f t="shared" ca="1" si="36"/>
        <v/>
      </c>
      <c r="Z105" s="169" t="str">
        <f t="shared" ca="1" si="36"/>
        <v/>
      </c>
      <c r="AA105" s="169" t="str">
        <f t="shared" ca="1" si="36"/>
        <v/>
      </c>
      <c r="AB105" s="169" t="str">
        <f ca="1">IFERROR(ROUND(INDEX(O$28:O$129,MATCH($R105,$A$28:$A$129,0)),0),"")</f>
        <v/>
      </c>
      <c r="AD105" s="239">
        <f t="array" aca="1" ref="AD105" ca="1">SUM(IFERROR(ISNUMBER(Propagações_TOT_URUGUAI!$B$7:$CD$110)*(Propagações_TOT_URUGUAI!$B$6:$CD$6=$B105&amp;"A")*(Propagações_TOT_URUGUAI!$A$7:$A$110&gt;=PREVS_SMAP!G$26)*(Propagações_TOT_URUGUAI!$A$7:$A$110&lt;=PREVS_SMAP!G$27),0))</f>
        <v>0</v>
      </c>
      <c r="AE105" s="272">
        <f t="array" aca="1" ref="AE105" ca="1">SUM(IFERROR(ISNUMBER(Propagações_TOT_URUGUAI!$B$7:$CD$110)*(Propagações_TOT_URUGUAI!$B$6:$CD$6=$B105&amp;"A")*(Propagações_TOT_URUGUAI!$A$7:$A$110&gt;=PREVS_SMAP!H$26)*(Propagações_TOT_URUGUAI!$A$7:$A$110&lt;=PREVS_SMAP!H$27),0))</f>
        <v>0</v>
      </c>
      <c r="AF105" s="272">
        <f t="array" aca="1" ref="AF105" ca="1">SUM(IFERROR(ISNUMBER(Propagações_TOT_URUGUAI!$B$7:$CD$110)*(Propagações_TOT_URUGUAI!$B$6:$CD$6=$B105&amp;"A")*(Propagações_TOT_URUGUAI!$A$7:$A$110&gt;=PREVS_SMAP!I$26)*(Propagações_TOT_URUGUAI!$A$7:$A$110&lt;=PREVS_SMAP!I$27),0))</f>
        <v>0</v>
      </c>
      <c r="AG105" s="272">
        <f t="array" aca="1" ref="AG105" ca="1">SUM(IFERROR(ISNUMBER(Propagações_TOT_URUGUAI!$B$7:$CD$110)*(Propagações_TOT_URUGUAI!$B$6:$CD$6=$B105&amp;"A")*(Propagações_TOT_URUGUAI!$A$7:$A$110&gt;=PREVS_SMAP!J$26)*(Propagações_TOT_URUGUAI!$A$7:$A$110&lt;=PREVS_SMAP!J$27),0))</f>
        <v>0</v>
      </c>
      <c r="AH105" s="272">
        <f t="array" aca="1" ref="AH105" ca="1">SUM(IFERROR(ISNUMBER(Propagações_TOT_URUGUAI!$B$7:$CD$110)*(Propagações_TOT_URUGUAI!$B$6:$CD$6=$B105&amp;"A")*(Propagações_TOT_URUGUAI!$A$7:$A$110&gt;=PREVS_SMAP!K$26)*(Propagações_TOT_URUGUAI!$A$7:$A$110&lt;=PREVS_SMAP!K$27),0))</f>
        <v>0</v>
      </c>
      <c r="AI105" s="272">
        <f t="array" aca="1" ref="AI105" ca="1">SUM(IFERROR(ISNUMBER(Propagações_TOT_URUGUAI!$B$7:$CD$110)*(Propagações_TOT_URUGUAI!$B$6:$CD$6=$B105&amp;"A")*(Propagações_TOT_URUGUAI!$A$7:$A$110&gt;=PREVS_SMAP!L$26)*(Propagações_TOT_URUGUAI!$A$7:$A$110&lt;=PREVS_SMAP!L$27),0))</f>
        <v>0</v>
      </c>
      <c r="AJ105" s="272">
        <f t="array" aca="1" ref="AJ105" ca="1">SUM(IFERROR(ISNUMBER(Propagações_TOT_URUGUAI!$B$7:$CD$110)*(Propagações_TOT_URUGUAI!$B$6:$CD$6=$B105&amp;"A")*(Propagações_TOT_URUGUAI!$A$7:$A$110&gt;=PREVS_SMAP!M$26)*(Propagações_TOT_URUGUAI!$A$7:$A$110&lt;=PREVS_SMAP!M$27),0))</f>
        <v>0</v>
      </c>
      <c r="AK105" s="272">
        <f t="array" aca="1" ref="AK105" ca="1">SUM(IFERROR(ISNUMBER(Propagações_TOT_URUGUAI!$B$7:$CD$110)*(Propagações_TOT_URUGUAI!$B$6:$CD$6=$B105&amp;"A")*(Propagações_TOT_URUGUAI!$A$7:$A$110&gt;=PREVS_SMAP!N$26)*(Propagações_TOT_URUGUAI!$A$7:$A$110&lt;=PREVS_SMAP!N$27),0))</f>
        <v>0</v>
      </c>
      <c r="AL105" s="272">
        <f t="array" aca="1" ref="AL105" ca="1">SUM(IFERROR(ISNUMBER(Propagações_TOT_URUGUAI!$B$7:$CD$110)*(Propagações_TOT_URUGUAI!$B$6:$CD$6=$B105&amp;"A")*(Propagações_TOT_URUGUAI!$A$7:$A$110&gt;=PREVS_SMAP!O$26)*(Propagações_TOT_URUGUAI!$A$7:$A$110&lt;=PREVS_SMAP!O$27),0))</f>
        <v>0</v>
      </c>
      <c r="AN105" s="121"/>
      <c r="AO105" s="121">
        <f t="shared" ca="1" si="30"/>
        <v>157</v>
      </c>
      <c r="AP105" s="121" t="b">
        <f t="shared" si="31"/>
        <v>1</v>
      </c>
      <c r="AQ105" s="272">
        <f ca="1">+AVERAGEIFS(TABELA_VAZAO[qnat],TABELA_VAZAO[Posto],$R105,TABELA_VAZAO[Data],AQ$27)</f>
        <v>377</v>
      </c>
      <c r="AR105" s="272">
        <f ca="1">+AVERAGEIFS(TABELA_VAZAO[qnat],TABELA_VAZAO[Posto],$R105,TABELA_VAZAO[Data],AR$27)</f>
        <v>351</v>
      </c>
      <c r="AS105" s="272">
        <f ca="1">+AVERAGEIFS(TABELA_VAZAO[qnat],TABELA_VAZAO[Posto],$R105,TABELA_VAZAO[Data],AS$27)</f>
        <v>336</v>
      </c>
      <c r="AT105" s="272">
        <f ca="1">+AVERAGEIFS(TABELA_VAZAO[qnat],TABELA_VAZAO[Posto],$R105,TABELA_VAZAO[Data],AT$27)</f>
        <v>332</v>
      </c>
      <c r="AU105" s="121">
        <f ca="1">+AVERAGEIFS(TABELA_VAZAO[qnat],TABELA_VAZAO[Posto],$R105,TABELA_VAZAO[Data],AU$27)</f>
        <v>343</v>
      </c>
      <c r="AV105" s="272">
        <f ca="1">IFERROR(AVERAGEIFS(TABELA_VAZAO[qnat],TABELA_VAZAO[Posto],$R105,TABELA_VAZAO[Data],AV$27),AU105+$BB105*EXP(AV$26))</f>
        <v>366</v>
      </c>
      <c r="AW105" s="159">
        <f ca="1">IFERROR(AVERAGEIFS(TABELA_VAZAO[qnat],TABELA_VAZAO[Posto],$R105,TABELA_VAZAO[Data],AW$27),AV105+$BB105*EXP(AW$26))</f>
        <v>389</v>
      </c>
      <c r="AX105" s="325">
        <f ca="1">IFERROR(AVERAGEIFS(TABELA_VAZAO[qnat],TABELA_VAZAO[Posto],$R105,TABELA_VAZAO[Data],AX$27),AW105+$BB105*EXP(AX$26))</f>
        <v>406.42857142857144</v>
      </c>
      <c r="AY105" s="325">
        <f ca="1">IFERROR(AVERAGEIFS(TABELA_VAZAO[qnat],TABELA_VAZAO[Posto],$R105,TABELA_VAZAO[Data],AY$27),AX105+$BB105*EXP(AY$26))</f>
        <v>418.11129223090688</v>
      </c>
      <c r="AZ105" s="326">
        <f ca="1">IFERROR(AVERAGEIFS(TABELA_VAZAO[qnat],TABELA_VAZAO[Posto],$R105,TABELA_VAZAO[Data],AZ$27),AY105+$BB105*EXP(AZ$26))</f>
        <v>425.94245417694987</v>
      </c>
      <c r="BA105" s="326">
        <f ca="1">IFERROR(AVERAGEIFS(TABELA_VAZAO[qnat],TABELA_VAZAO[Posto],$R105,TABELA_VAZAO[Data],BA$27),AZ105+$BB105*EXP(BA$26))</f>
        <v>431.19183901313397</v>
      </c>
      <c r="BB105" s="121">
        <f t="shared" ca="1" si="32"/>
        <v>17.428571428571427</v>
      </c>
      <c r="BC105" s="272">
        <f t="shared" ca="1" si="33"/>
        <v>-4</v>
      </c>
      <c r="BD105" s="272">
        <f t="shared" ca="1" si="33"/>
        <v>11</v>
      </c>
      <c r="BE105" s="272">
        <f t="shared" ca="1" si="33"/>
        <v>23</v>
      </c>
      <c r="BF105" s="272">
        <f t="shared" ca="1" si="33"/>
        <v>23</v>
      </c>
      <c r="BG105"/>
    </row>
    <row r="106" spans="1:59" ht="13.5" thickBot="1" x14ac:dyDescent="0.25">
      <c r="A106" s="268"/>
      <c r="B106" s="268"/>
      <c r="C106" s="284"/>
      <c r="D106" s="142"/>
      <c r="E106" s="142"/>
      <c r="F106" s="134"/>
      <c r="G106" s="132"/>
      <c r="H106" s="132"/>
      <c r="I106" s="132"/>
      <c r="J106" s="132"/>
      <c r="K106" s="132"/>
      <c r="L106" s="132"/>
      <c r="M106" s="132"/>
      <c r="N106" s="132"/>
      <c r="O106" s="132"/>
      <c r="R106">
        <v>79</v>
      </c>
      <c r="S106" s="40"/>
      <c r="T106" s="40"/>
      <c r="U106" s="131"/>
      <c r="V106" s="131"/>
      <c r="W106" s="131"/>
      <c r="X106" s="131"/>
      <c r="Y106" s="131"/>
      <c r="Z106" s="131"/>
      <c r="AA106" s="131"/>
      <c r="AB106" s="131"/>
      <c r="AD106" s="272">
        <f t="array" aca="1" ref="AD106" ca="1">SUM(IFERROR(ISNUMBER(Propagações_TOT_URUGUAI!$B$7:$CD$110)*(Propagações_TOT_URUGUAI!$B$6:$CD$6=$B106&amp;"A")*(Propagações_TOT_URUGUAI!$A$7:$A$110&gt;=PREVS_SMAP!G$26)*(Propagações_TOT_URUGUAI!$A$7:$A$110&lt;=PREVS_SMAP!G$27),0))</f>
        <v>0</v>
      </c>
      <c r="AE106" s="272">
        <f t="array" aca="1" ref="AE106" ca="1">SUM(IFERROR(ISNUMBER(Propagações_TOT_URUGUAI!$B$7:$CD$110)*(Propagações_TOT_URUGUAI!$B$6:$CD$6=$B106&amp;"A")*(Propagações_TOT_URUGUAI!$A$7:$A$110&gt;=PREVS_SMAP!H$26)*(Propagações_TOT_URUGUAI!$A$7:$A$110&lt;=PREVS_SMAP!H$27),0))</f>
        <v>0</v>
      </c>
      <c r="AF106" s="272">
        <f t="array" aca="1" ref="AF106" ca="1">SUM(IFERROR(ISNUMBER(Propagações_TOT_URUGUAI!$B$7:$CD$110)*(Propagações_TOT_URUGUAI!$B$6:$CD$6=$B106&amp;"A")*(Propagações_TOT_URUGUAI!$A$7:$A$110&gt;=PREVS_SMAP!I$26)*(Propagações_TOT_URUGUAI!$A$7:$A$110&lt;=PREVS_SMAP!I$27),0))</f>
        <v>0</v>
      </c>
      <c r="AG106" s="272">
        <f t="array" aca="1" ref="AG106" ca="1">SUM(IFERROR(ISNUMBER(Propagações_TOT_URUGUAI!$B$7:$CD$110)*(Propagações_TOT_URUGUAI!$B$6:$CD$6=$B106&amp;"A")*(Propagações_TOT_URUGUAI!$A$7:$A$110&gt;=PREVS_SMAP!J$26)*(Propagações_TOT_URUGUAI!$A$7:$A$110&lt;=PREVS_SMAP!J$27),0))</f>
        <v>0</v>
      </c>
      <c r="AH106" s="272">
        <f t="array" aca="1" ref="AH106" ca="1">SUM(IFERROR(ISNUMBER(Propagações_TOT_URUGUAI!$B$7:$CD$110)*(Propagações_TOT_URUGUAI!$B$6:$CD$6=$B106&amp;"A")*(Propagações_TOT_URUGUAI!$A$7:$A$110&gt;=PREVS_SMAP!K$26)*(Propagações_TOT_URUGUAI!$A$7:$A$110&lt;=PREVS_SMAP!K$27),0))</f>
        <v>0</v>
      </c>
      <c r="AI106" s="272">
        <f t="array" aca="1" ref="AI106" ca="1">SUM(IFERROR(ISNUMBER(Propagações_TOT_URUGUAI!$B$7:$CD$110)*(Propagações_TOT_URUGUAI!$B$6:$CD$6=$B106&amp;"A")*(Propagações_TOT_URUGUAI!$A$7:$A$110&gt;=PREVS_SMAP!L$26)*(Propagações_TOT_URUGUAI!$A$7:$A$110&lt;=PREVS_SMAP!L$27),0))</f>
        <v>0</v>
      </c>
      <c r="AJ106" s="272">
        <f t="array" aca="1" ref="AJ106" ca="1">SUM(IFERROR(ISNUMBER(Propagações_TOT_URUGUAI!$B$7:$CD$110)*(Propagações_TOT_URUGUAI!$B$6:$CD$6=$B106&amp;"A")*(Propagações_TOT_URUGUAI!$A$7:$A$110&gt;=PREVS_SMAP!M$26)*(Propagações_TOT_URUGUAI!$A$7:$A$110&lt;=PREVS_SMAP!M$27),0))</f>
        <v>0</v>
      </c>
      <c r="AK106" s="272">
        <f t="array" aca="1" ref="AK106" ca="1">SUM(IFERROR(ISNUMBER(Propagações_TOT_URUGUAI!$B$7:$CD$110)*(Propagações_TOT_URUGUAI!$B$6:$CD$6=$B106&amp;"A")*(Propagações_TOT_URUGUAI!$A$7:$A$110&gt;=PREVS_SMAP!N$26)*(Propagações_TOT_URUGUAI!$A$7:$A$110&lt;=PREVS_SMAP!N$27),0))</f>
        <v>0</v>
      </c>
      <c r="AL106" s="272">
        <f t="array" aca="1" ref="AL106" ca="1">SUM(IFERROR(ISNUMBER(Propagações_TOT_URUGUAI!$B$7:$CD$110)*(Propagações_TOT_URUGUAI!$B$6:$CD$6=$B106&amp;"A")*(Propagações_TOT_URUGUAI!$A$7:$A$110&gt;=PREVS_SMAP!O$26)*(Propagações_TOT_URUGUAI!$A$7:$A$110&lt;=PREVS_SMAP!O$27),0))</f>
        <v>0</v>
      </c>
      <c r="AN106" s="121"/>
      <c r="AO106" s="121" t="e">
        <f t="shared" si="30"/>
        <v>#DIV/0!</v>
      </c>
      <c r="AP106" s="121" t="b">
        <f t="shared" si="31"/>
        <v>0</v>
      </c>
      <c r="AU106" s="121"/>
      <c r="AV106" s="121"/>
      <c r="AW106" s="159"/>
      <c r="AX106" s="159"/>
      <c r="AY106" s="159"/>
      <c r="AZ106" s="157"/>
      <c r="BA106" s="157"/>
      <c r="BB106" s="121">
        <f t="shared" ca="1" si="32"/>
        <v>0</v>
      </c>
      <c r="BC106" s="272">
        <f t="shared" ca="1" si="33"/>
        <v>0</v>
      </c>
      <c r="BD106" s="272">
        <f t="shared" ca="1" si="33"/>
        <v>0</v>
      </c>
      <c r="BE106" s="272">
        <f t="shared" ca="1" si="33"/>
        <v>0</v>
      </c>
      <c r="BF106" s="272">
        <f t="shared" ca="1" si="33"/>
        <v>0</v>
      </c>
      <c r="BG106"/>
    </row>
    <row r="107" spans="1:59" ht="13.5" thickBot="1" x14ac:dyDescent="0.25">
      <c r="A107" s="271">
        <v>89</v>
      </c>
      <c r="B107" s="261" t="str">
        <f t="shared" ref="B107:B116" si="38">A107&amp;"_VN"</f>
        <v>89_VN</v>
      </c>
      <c r="C107" s="286" t="s">
        <v>170</v>
      </c>
      <c r="D107" s="132">
        <f t="array" aca="1" ref="D107" ca="1">SUM(IFERROR(Propagações_TOT_URUGUAI!$B$7:$CD$110*(Propagações_TOT_URUGUAI!$B$6:$CD$6=$B107&amp;"A")*(Propagações_TOT_URUGUAI!$A$7:$A$110&gt;=PREVS_SMAP!D$26)*(Propagações_TOT_URUGUAI!$A$7:$A$110&lt;=PREVS_SMAP!D$27),0))/7</f>
        <v>0</v>
      </c>
      <c r="E107" s="132">
        <f t="array" aca="1" ref="E107" ca="1">SUM(IFERROR(Propagações_TOT_URUGUAI!$B$7:$CD$110*(Propagações_TOT_URUGUAI!$B$6:$CD$6=$B107&amp;"A")*(Propagações_TOT_URUGUAI!$A$7:$A$110&gt;=PREVS_SMAP!E$26)*(Propagações_TOT_URUGUAI!$A$7:$A$110&lt;=PREVS_SMAP!E$27),0))/7</f>
        <v>0</v>
      </c>
      <c r="F107" s="132">
        <f t="array" aca="1" ref="F107" ca="1">SUM(IFERROR(Propagações_TOT_URUGUAI!$B$7:$CD$110*(Propagações_TOT_URUGUAI!$B$6:$CD$6=$B107&amp;"A")*(Propagações_TOT_URUGUAI!$A$7:$A$110&gt;=PREVS_SMAP!F$26)*(Propagações_TOT_URUGUAI!$A$7:$A$110&lt;=PREVS_SMAP!F$27),0))/7</f>
        <v>0</v>
      </c>
      <c r="G107" s="132" t="e">
        <f t="array" aca="1" ref="G107" ca="1">IF(AD107&lt;7,NA(),SUM(IFERROR(Propagações_TOT_URUGUAI!$B$7:$CD$110*(Propagações_TOT_URUGUAI!$B$6:$CD$6=$B107&amp;"A")*(Propagações_TOT_URUGUAI!$A$7:$A$110&gt;=PREVS_SMAP!G$26)*(Propagações_TOT_URUGUAI!$A$7:$A$110&lt;=PREVS_SMAP!G$27),0))/7    )</f>
        <v>#N/A</v>
      </c>
      <c r="H107" s="132" t="e">
        <f t="array" aca="1" ref="H107" ca="1">IF(AE107&lt;7,NA(),SUM(IFERROR(Propagações_TOT_URUGUAI!$B$7:$CD$110*(Propagações_TOT_URUGUAI!$B$6:$CD$6=$B107&amp;"A")*(Propagações_TOT_URUGUAI!$A$7:$A$110&gt;=PREVS_SMAP!H$26)*(Propagações_TOT_URUGUAI!$A$7:$A$110&lt;=PREVS_SMAP!H$27),0))/7    )</f>
        <v>#N/A</v>
      </c>
      <c r="I107" s="132" t="e">
        <f t="array" aca="1" ref="I107" ca="1">IF(AF107&lt;7,NA(),SUM(IFERROR(Propagações_TOT_URUGUAI!$B$7:$CD$110*(Propagações_TOT_URUGUAI!$B$6:$CD$6=$B107&amp;"A")*(Propagações_TOT_URUGUAI!$A$7:$A$110&gt;=PREVS_SMAP!I$26)*(Propagações_TOT_URUGUAI!$A$7:$A$110&lt;=PREVS_SMAP!I$27),0))/7    )</f>
        <v>#N/A</v>
      </c>
      <c r="J107" s="132" t="e">
        <f t="array" aca="1" ref="J107" ca="1">IF(AG107&lt;7,NA(),SUM(IFERROR(Propagações_TOT_URUGUAI!$B$7:$CD$110*(Propagações_TOT_URUGUAI!$B$6:$CD$6=$B107&amp;"A")*(Propagações_TOT_URUGUAI!$A$7:$A$110&gt;=PREVS_SMAP!J$26)*(Propagações_TOT_URUGUAI!$A$7:$A$110&lt;=PREVS_SMAP!J$27),0))/7    )</f>
        <v>#N/A</v>
      </c>
      <c r="K107" s="132" t="e">
        <f t="array" aca="1" ref="K107" ca="1">IF(AH107&lt;7,NA(),SUM(IFERROR(Propagações_TOT_URUGUAI!$B$7:$CD$110*(Propagações_TOT_URUGUAI!$B$6:$CD$6=$B107&amp;"A")*(Propagações_TOT_URUGUAI!$A$7:$A$110&gt;=PREVS_SMAP!K$26)*(Propagações_TOT_URUGUAI!$A$7:$A$110&lt;=PREVS_SMAP!K$27),0))/7    )</f>
        <v>#N/A</v>
      </c>
      <c r="L107" s="132" t="e">
        <f t="array" aca="1" ref="L107" ca="1">IF(AI107&lt;7,NA(),SUM(IFERROR(Propagações_TOT_URUGUAI!$B$7:$CD$110*(Propagações_TOT_URUGUAI!$B$6:$CD$6=$B107&amp;"A")*(Propagações_TOT_URUGUAI!$A$7:$A$110&gt;=PREVS_SMAP!L$26)*(Propagações_TOT_URUGUAI!$A$7:$A$110&lt;=PREVS_SMAP!L$27),0))/7    )</f>
        <v>#N/A</v>
      </c>
      <c r="M107" s="132" t="e">
        <f t="array" aca="1" ref="M107" ca="1">IF(AJ107&lt;7,NA(),SUM(IFERROR(Propagações_TOT_URUGUAI!$B$7:$CD$110*(Propagações_TOT_URUGUAI!$B$6:$CD$6=$B107&amp;"A")*(Propagações_TOT_URUGUAI!$A$7:$A$110&gt;=PREVS_SMAP!M$26)*(Propagações_TOT_URUGUAI!$A$7:$A$110&lt;=PREVS_SMAP!M$27),0))/7    )</f>
        <v>#N/A</v>
      </c>
      <c r="N107" s="132" t="e">
        <f t="array" aca="1" ref="N107" ca="1">IF(AK107&lt;7,NA(),SUM(IFERROR(Propagações_TOT_URUGUAI!$B$7:$CD$110*(Propagações_TOT_URUGUAI!$B$6:$CD$6=$B107&amp;"A")*(Propagações_TOT_URUGUAI!$A$7:$A$110&gt;=PREVS_SMAP!N$26)*(Propagações_TOT_URUGUAI!$A$7:$A$110&lt;=PREVS_SMAP!N$27),0))/7    )</f>
        <v>#N/A</v>
      </c>
      <c r="O107" s="132" t="e">
        <f t="array" aca="1" ref="O107" ca="1">IF(AL107&lt;7,NA(),SUM(IFERROR(Propagações_TOT_URUGUAI!$B$7:$CD$110*(Propagações_TOT_URUGUAI!$B$6:$CD$6=$B107&amp;"A")*(Propagações_TOT_URUGUAI!$A$7:$A$110&gt;=PREVS_SMAP!O$26)*(Propagações_TOT_URUGUAI!$A$7:$A$110&lt;=PREVS_SMAP!O$27),0))/7    )</f>
        <v>#N/A</v>
      </c>
      <c r="R107">
        <v>80</v>
      </c>
      <c r="S107" s="40"/>
      <c r="T107" s="40"/>
      <c r="U107" s="131"/>
      <c r="V107" s="131"/>
      <c r="W107" s="131"/>
      <c r="X107" s="131"/>
      <c r="Y107" s="131"/>
      <c r="Z107" s="131"/>
      <c r="AA107" s="131"/>
      <c r="AB107" s="131"/>
      <c r="AD107" s="272">
        <f t="array" aca="1" ref="AD107" ca="1">SUM(IFERROR(ISNUMBER(Propagações_TOT_URUGUAI!$B$7:$CD$110)*(Propagações_TOT_URUGUAI!$B$6:$CD$6=$B107&amp;"A")*(Propagações_TOT_URUGUAI!$A$7:$A$110&gt;=PREVS_SMAP!G$26)*(Propagações_TOT_URUGUAI!$A$7:$A$110&lt;=PREVS_SMAP!G$27),0))</f>
        <v>0</v>
      </c>
      <c r="AE107" s="272">
        <f t="array" aca="1" ref="AE107" ca="1">SUM(IFERROR(ISNUMBER(Propagações_TOT_URUGUAI!$B$7:$CD$110)*(Propagações_TOT_URUGUAI!$B$6:$CD$6=$B107&amp;"A")*(Propagações_TOT_URUGUAI!$A$7:$A$110&gt;=PREVS_SMAP!H$26)*(Propagações_TOT_URUGUAI!$A$7:$A$110&lt;=PREVS_SMAP!H$27),0))</f>
        <v>0</v>
      </c>
      <c r="AF107" s="272">
        <f t="array" aca="1" ref="AF107" ca="1">SUM(IFERROR(ISNUMBER(Propagações_TOT_URUGUAI!$B$7:$CD$110)*(Propagações_TOT_URUGUAI!$B$6:$CD$6=$B107&amp;"A")*(Propagações_TOT_URUGUAI!$A$7:$A$110&gt;=PREVS_SMAP!I$26)*(Propagações_TOT_URUGUAI!$A$7:$A$110&lt;=PREVS_SMAP!I$27),0))</f>
        <v>0</v>
      </c>
      <c r="AG107" s="272">
        <f t="array" aca="1" ref="AG107" ca="1">SUM(IFERROR(ISNUMBER(Propagações_TOT_URUGUAI!$B$7:$CD$110)*(Propagações_TOT_URUGUAI!$B$6:$CD$6=$B107&amp;"A")*(Propagações_TOT_URUGUAI!$A$7:$A$110&gt;=PREVS_SMAP!J$26)*(Propagações_TOT_URUGUAI!$A$7:$A$110&lt;=PREVS_SMAP!J$27),0))</f>
        <v>0</v>
      </c>
      <c r="AH107" s="272">
        <f t="array" aca="1" ref="AH107" ca="1">SUM(IFERROR(ISNUMBER(Propagações_TOT_URUGUAI!$B$7:$CD$110)*(Propagações_TOT_URUGUAI!$B$6:$CD$6=$B107&amp;"A")*(Propagações_TOT_URUGUAI!$A$7:$A$110&gt;=PREVS_SMAP!K$26)*(Propagações_TOT_URUGUAI!$A$7:$A$110&lt;=PREVS_SMAP!K$27),0))</f>
        <v>0</v>
      </c>
      <c r="AI107" s="272">
        <f t="array" aca="1" ref="AI107" ca="1">SUM(IFERROR(ISNUMBER(Propagações_TOT_URUGUAI!$B$7:$CD$110)*(Propagações_TOT_URUGUAI!$B$6:$CD$6=$B107&amp;"A")*(Propagações_TOT_URUGUAI!$A$7:$A$110&gt;=PREVS_SMAP!L$26)*(Propagações_TOT_URUGUAI!$A$7:$A$110&lt;=PREVS_SMAP!L$27),0))</f>
        <v>0</v>
      </c>
      <c r="AJ107" s="272">
        <f t="array" aca="1" ref="AJ107" ca="1">SUM(IFERROR(ISNUMBER(Propagações_TOT_URUGUAI!$B$7:$CD$110)*(Propagações_TOT_URUGUAI!$B$6:$CD$6=$B107&amp;"A")*(Propagações_TOT_URUGUAI!$A$7:$A$110&gt;=PREVS_SMAP!M$26)*(Propagações_TOT_URUGUAI!$A$7:$A$110&lt;=PREVS_SMAP!M$27),0))</f>
        <v>0</v>
      </c>
      <c r="AK107" s="272">
        <f t="array" aca="1" ref="AK107" ca="1">SUM(IFERROR(ISNUMBER(Propagações_TOT_URUGUAI!$B$7:$CD$110)*(Propagações_TOT_URUGUAI!$B$6:$CD$6=$B107&amp;"A")*(Propagações_TOT_URUGUAI!$A$7:$A$110&gt;=PREVS_SMAP!N$26)*(Propagações_TOT_URUGUAI!$A$7:$A$110&lt;=PREVS_SMAP!N$27),0))</f>
        <v>0</v>
      </c>
      <c r="AL107" s="272">
        <f t="array" aca="1" ref="AL107" ca="1">SUM(IFERROR(ISNUMBER(Propagações_TOT_URUGUAI!$B$7:$CD$110)*(Propagações_TOT_URUGUAI!$B$6:$CD$6=$B107&amp;"A")*(Propagações_TOT_URUGUAI!$A$7:$A$110&gt;=PREVS_SMAP!O$26)*(Propagações_TOT_URUGUAI!$A$7:$A$110&lt;=PREVS_SMAP!O$27),0))</f>
        <v>0</v>
      </c>
      <c r="AN107" s="121"/>
      <c r="AO107" s="121" t="e">
        <f t="shared" si="30"/>
        <v>#DIV/0!</v>
      </c>
      <c r="AP107" s="121" t="b">
        <f t="shared" si="31"/>
        <v>0</v>
      </c>
      <c r="AU107" s="121"/>
      <c r="AV107" s="121"/>
      <c r="AW107" s="159"/>
      <c r="AX107" s="159"/>
      <c r="AY107" s="159"/>
      <c r="AZ107" s="157"/>
      <c r="BA107" s="157"/>
      <c r="BB107" s="121">
        <f t="shared" ca="1" si="32"/>
        <v>0</v>
      </c>
      <c r="BC107" s="272">
        <f t="shared" ca="1" si="33"/>
        <v>0</v>
      </c>
      <c r="BD107" s="272">
        <f t="shared" ca="1" si="33"/>
        <v>0</v>
      </c>
      <c r="BE107" s="272">
        <f t="shared" ca="1" si="33"/>
        <v>0</v>
      </c>
      <c r="BF107" s="272">
        <f t="shared" ca="1" si="33"/>
        <v>0</v>
      </c>
      <c r="BG107"/>
    </row>
    <row r="108" spans="1:59" ht="13.5" thickBot="1" x14ac:dyDescent="0.25">
      <c r="A108" s="264">
        <v>216</v>
      </c>
      <c r="B108" s="261" t="str">
        <f t="shared" si="38"/>
        <v>216_VN</v>
      </c>
      <c r="C108" s="264" t="s">
        <v>174</v>
      </c>
      <c r="D108" s="132">
        <f t="array" aca="1" ref="D108" ca="1">SUM(IFERROR(Propagações_TOT_URUGUAI!$B$7:$CD$110*(Propagações_TOT_URUGUAI!$B$6:$CD$6=$B108&amp;"A")*(Propagações_TOT_URUGUAI!$A$7:$A$110&gt;=PREVS_SMAP!D$26)*(Propagações_TOT_URUGUAI!$A$7:$A$110&lt;=PREVS_SMAP!D$27),0))/7</f>
        <v>0</v>
      </c>
      <c r="E108" s="132">
        <f t="array" aca="1" ref="E108" ca="1">SUM(IFERROR(Propagações_TOT_URUGUAI!$B$7:$CD$110*(Propagações_TOT_URUGUAI!$B$6:$CD$6=$B108&amp;"A")*(Propagações_TOT_URUGUAI!$A$7:$A$110&gt;=PREVS_SMAP!E$26)*(Propagações_TOT_URUGUAI!$A$7:$A$110&lt;=PREVS_SMAP!E$27),0))/7</f>
        <v>65.571428571428569</v>
      </c>
      <c r="F108" s="244">
        <f t="array" aca="1" ref="F108" ca="1">SUM(IFERROR(Propagações_TOT_URUGUAI!$B$7:$CD$110*(Propagações_TOT_URUGUAI!$B$6:$CD$6=$B108&amp;"A")*(Propagações_TOT_URUGUAI!$A$7:$A$110&gt;=PREVS_SMAP!F$26)*(Propagações_TOT_URUGUAI!$A$7:$A$110&lt;=PREVS_SMAP!F$27),0))/7</f>
        <v>30.142857142857142</v>
      </c>
      <c r="G108" s="244" t="e">
        <f t="array" aca="1" ref="G108" ca="1">IF(AD108&lt;7,NA(),SUM(IFERROR(Propagações_TOT_URUGUAI!$B$7:$CD$110*(Propagações_TOT_URUGUAI!$B$6:$CD$6=$B108&amp;"A")*(Propagações_TOT_URUGUAI!$A$7:$A$110&gt;=PREVS_SMAP!G$26)*(Propagações_TOT_URUGUAI!$A$7:$A$110&lt;=PREVS_SMAP!G$27),0))/7    )</f>
        <v>#N/A</v>
      </c>
      <c r="H108" s="132" t="e">
        <f t="array" aca="1" ref="H108" ca="1">IF(AE108&lt;7,NA(),SUM(IFERROR(Propagações_TOT_URUGUAI!$B$7:$CD$110*(Propagações_TOT_URUGUAI!$B$6:$CD$6=$B108&amp;"A")*(Propagações_TOT_URUGUAI!$A$7:$A$110&gt;=PREVS_SMAP!H$26)*(Propagações_TOT_URUGUAI!$A$7:$A$110&lt;=PREVS_SMAP!H$27),0))/7    )</f>
        <v>#N/A</v>
      </c>
      <c r="I108" s="132" t="e">
        <f t="array" aca="1" ref="I108" ca="1">IF(AF108&lt;7,NA(),SUM(IFERROR(Propagações_TOT_URUGUAI!$B$7:$CD$110*(Propagações_TOT_URUGUAI!$B$6:$CD$6=$B108&amp;"A")*(Propagações_TOT_URUGUAI!$A$7:$A$110&gt;=PREVS_SMAP!I$26)*(Propagações_TOT_URUGUAI!$A$7:$A$110&lt;=PREVS_SMAP!I$27),0))/7    )</f>
        <v>#N/A</v>
      </c>
      <c r="J108" s="132" t="e">
        <f t="array" aca="1" ref="J108" ca="1">IF(AG108&lt;7,NA(),SUM(IFERROR(Propagações_TOT_URUGUAI!$B$7:$CD$110*(Propagações_TOT_URUGUAI!$B$6:$CD$6=$B108&amp;"A")*(Propagações_TOT_URUGUAI!$A$7:$A$110&gt;=PREVS_SMAP!J$26)*(Propagações_TOT_URUGUAI!$A$7:$A$110&lt;=PREVS_SMAP!J$27),0))/7    )</f>
        <v>#N/A</v>
      </c>
      <c r="K108" s="132" t="e">
        <f t="array" aca="1" ref="K108" ca="1">IF(AH108&lt;7,NA(),SUM(IFERROR(Propagações_TOT_URUGUAI!$B$7:$CD$110*(Propagações_TOT_URUGUAI!$B$6:$CD$6=$B108&amp;"A")*(Propagações_TOT_URUGUAI!$A$7:$A$110&gt;=PREVS_SMAP!K$26)*(Propagações_TOT_URUGUAI!$A$7:$A$110&lt;=PREVS_SMAP!K$27),0))/7    )</f>
        <v>#N/A</v>
      </c>
      <c r="L108" s="132" t="e">
        <f t="array" aca="1" ref="L108" ca="1">IF(AI108&lt;7,NA(),SUM(IFERROR(Propagações_TOT_URUGUAI!$B$7:$CD$110*(Propagações_TOT_URUGUAI!$B$6:$CD$6=$B108&amp;"A")*(Propagações_TOT_URUGUAI!$A$7:$A$110&gt;=PREVS_SMAP!L$26)*(Propagações_TOT_URUGUAI!$A$7:$A$110&lt;=PREVS_SMAP!L$27),0))/7    )</f>
        <v>#N/A</v>
      </c>
      <c r="M108" s="132" t="e">
        <f t="array" aca="1" ref="M108" ca="1">IF(AJ108&lt;7,NA(),SUM(IFERROR(Propagações_TOT_URUGUAI!$B$7:$CD$110*(Propagações_TOT_URUGUAI!$B$6:$CD$6=$B108&amp;"A")*(Propagações_TOT_URUGUAI!$A$7:$A$110&gt;=PREVS_SMAP!M$26)*(Propagações_TOT_URUGUAI!$A$7:$A$110&lt;=PREVS_SMAP!M$27),0))/7    )</f>
        <v>#N/A</v>
      </c>
      <c r="N108" s="132" t="e">
        <f t="array" aca="1" ref="N108" ca="1">IF(AK108&lt;7,NA(),SUM(IFERROR(Propagações_TOT_URUGUAI!$B$7:$CD$110*(Propagações_TOT_URUGUAI!$B$6:$CD$6=$B108&amp;"A")*(Propagações_TOT_URUGUAI!$A$7:$A$110&gt;=PREVS_SMAP!N$26)*(Propagações_TOT_URUGUAI!$A$7:$A$110&lt;=PREVS_SMAP!N$27),0))/7    )</f>
        <v>#N/A</v>
      </c>
      <c r="O108" s="132" t="e">
        <f t="array" aca="1" ref="O108" ca="1">IF(AL108&lt;7,NA(),SUM(IFERROR(Propagações_TOT_URUGUAI!$B$7:$CD$110*(Propagações_TOT_URUGUAI!$B$6:$CD$6=$B108&amp;"A")*(Propagações_TOT_URUGUAI!$A$7:$A$110&gt;=PREVS_SMAP!O$26)*(Propagações_TOT_URUGUAI!$A$7:$A$110&lt;=PREVS_SMAP!O$27),0))/7    )</f>
        <v>#N/A</v>
      </c>
      <c r="R108">
        <v>81</v>
      </c>
      <c r="S108" s="40"/>
      <c r="T108" s="40"/>
      <c r="U108" s="131"/>
      <c r="V108" s="131"/>
      <c r="W108" s="131"/>
      <c r="X108" s="131"/>
      <c r="Y108" s="131"/>
      <c r="Z108" s="131"/>
      <c r="AA108" s="131"/>
      <c r="AB108" s="131"/>
      <c r="AD108" s="272">
        <f t="array" aca="1" ref="AD108" ca="1">SUM(IFERROR(ISNUMBER(Propagações_TOT_URUGUAI!$B$7:$CD$110)*(Propagações_TOT_URUGUAI!$B$6:$CD$6=$B108&amp;"A")*(Propagações_TOT_URUGUAI!$A$7:$A$110&gt;=PREVS_SMAP!G$26)*(Propagações_TOT_URUGUAI!$A$7:$A$110&lt;=PREVS_SMAP!G$27),0))</f>
        <v>0</v>
      </c>
      <c r="AE108" s="272">
        <f t="array" aca="1" ref="AE108" ca="1">SUM(IFERROR(ISNUMBER(Propagações_TOT_URUGUAI!$B$7:$CD$110)*(Propagações_TOT_URUGUAI!$B$6:$CD$6=$B108&amp;"A")*(Propagações_TOT_URUGUAI!$A$7:$A$110&gt;=PREVS_SMAP!H$26)*(Propagações_TOT_URUGUAI!$A$7:$A$110&lt;=PREVS_SMAP!H$27),0))</f>
        <v>0</v>
      </c>
      <c r="AF108" s="272">
        <f t="array" aca="1" ref="AF108" ca="1">SUM(IFERROR(ISNUMBER(Propagações_TOT_URUGUAI!$B$7:$CD$110)*(Propagações_TOT_URUGUAI!$B$6:$CD$6=$B108&amp;"A")*(Propagações_TOT_URUGUAI!$A$7:$A$110&gt;=PREVS_SMAP!I$26)*(Propagações_TOT_URUGUAI!$A$7:$A$110&lt;=PREVS_SMAP!I$27),0))</f>
        <v>0</v>
      </c>
      <c r="AG108" s="272">
        <f t="array" aca="1" ref="AG108" ca="1">SUM(IFERROR(ISNUMBER(Propagações_TOT_URUGUAI!$B$7:$CD$110)*(Propagações_TOT_URUGUAI!$B$6:$CD$6=$B108&amp;"A")*(Propagações_TOT_URUGUAI!$A$7:$A$110&gt;=PREVS_SMAP!J$26)*(Propagações_TOT_URUGUAI!$A$7:$A$110&lt;=PREVS_SMAP!J$27),0))</f>
        <v>0</v>
      </c>
      <c r="AH108" s="272">
        <f t="array" aca="1" ref="AH108" ca="1">SUM(IFERROR(ISNUMBER(Propagações_TOT_URUGUAI!$B$7:$CD$110)*(Propagações_TOT_URUGUAI!$B$6:$CD$6=$B108&amp;"A")*(Propagações_TOT_URUGUAI!$A$7:$A$110&gt;=PREVS_SMAP!K$26)*(Propagações_TOT_URUGUAI!$A$7:$A$110&lt;=PREVS_SMAP!K$27),0))</f>
        <v>0</v>
      </c>
      <c r="AI108" s="272">
        <f t="array" aca="1" ref="AI108" ca="1">SUM(IFERROR(ISNUMBER(Propagações_TOT_URUGUAI!$B$7:$CD$110)*(Propagações_TOT_URUGUAI!$B$6:$CD$6=$B108&amp;"A")*(Propagações_TOT_URUGUAI!$A$7:$A$110&gt;=PREVS_SMAP!L$26)*(Propagações_TOT_URUGUAI!$A$7:$A$110&lt;=PREVS_SMAP!L$27),0))</f>
        <v>0</v>
      </c>
      <c r="AJ108" s="272">
        <f t="array" aca="1" ref="AJ108" ca="1">SUM(IFERROR(ISNUMBER(Propagações_TOT_URUGUAI!$B$7:$CD$110)*(Propagações_TOT_URUGUAI!$B$6:$CD$6=$B108&amp;"A")*(Propagações_TOT_URUGUAI!$A$7:$A$110&gt;=PREVS_SMAP!M$26)*(Propagações_TOT_URUGUAI!$A$7:$A$110&lt;=PREVS_SMAP!M$27),0))</f>
        <v>0</v>
      </c>
      <c r="AK108" s="272">
        <f t="array" aca="1" ref="AK108" ca="1">SUM(IFERROR(ISNUMBER(Propagações_TOT_URUGUAI!$B$7:$CD$110)*(Propagações_TOT_URUGUAI!$B$6:$CD$6=$B108&amp;"A")*(Propagações_TOT_URUGUAI!$A$7:$A$110&gt;=PREVS_SMAP!N$26)*(Propagações_TOT_URUGUAI!$A$7:$A$110&lt;=PREVS_SMAP!N$27),0))</f>
        <v>0</v>
      </c>
      <c r="AL108" s="272">
        <f t="array" aca="1" ref="AL108" ca="1">SUM(IFERROR(ISNUMBER(Propagações_TOT_URUGUAI!$B$7:$CD$110)*(Propagações_TOT_URUGUAI!$B$6:$CD$6=$B108&amp;"A")*(Propagações_TOT_URUGUAI!$A$7:$A$110&gt;=PREVS_SMAP!O$26)*(Propagações_TOT_URUGUAI!$A$7:$A$110&lt;=PREVS_SMAP!O$27),0))</f>
        <v>0</v>
      </c>
      <c r="AN108" s="121"/>
      <c r="AO108" s="121" t="e">
        <f t="shared" si="30"/>
        <v>#DIV/0!</v>
      </c>
      <c r="AP108" s="121" t="b">
        <f t="shared" si="31"/>
        <v>0</v>
      </c>
      <c r="AU108" s="121"/>
      <c r="AV108" s="121"/>
      <c r="AW108" s="159"/>
      <c r="AX108" s="159"/>
      <c r="AY108" s="159"/>
      <c r="AZ108" s="157"/>
      <c r="BA108" s="157"/>
      <c r="BB108" s="121">
        <f t="shared" ca="1" si="32"/>
        <v>0</v>
      </c>
      <c r="BC108" s="272">
        <f t="shared" ca="1" si="33"/>
        <v>0</v>
      </c>
      <c r="BD108" s="272">
        <f t="shared" ca="1" si="33"/>
        <v>0</v>
      </c>
      <c r="BE108" s="272">
        <f t="shared" ca="1" si="33"/>
        <v>0</v>
      </c>
      <c r="BF108" s="272">
        <f t="shared" ca="1" si="33"/>
        <v>0</v>
      </c>
      <c r="BG108"/>
    </row>
    <row r="109" spans="1:59" ht="13.5" thickBot="1" x14ac:dyDescent="0.25">
      <c r="A109" s="264">
        <v>217</v>
      </c>
      <c r="B109" s="261" t="str">
        <f t="shared" si="38"/>
        <v>217_VN</v>
      </c>
      <c r="C109" s="264" t="s">
        <v>166</v>
      </c>
      <c r="D109" s="132">
        <f t="array" aca="1" ref="D109" ca="1">SUM(IFERROR(Propagações_TOT_URUGUAI!$B$7:$CD$110*(Propagações_TOT_URUGUAI!$B$6:$CD$6=$B109&amp;"A")*(Propagações_TOT_URUGUAI!$A$7:$A$110&gt;=PREVS_SMAP!D$26)*(Propagações_TOT_URUGUAI!$A$7:$A$110&lt;=PREVS_SMAP!D$27),0))/7</f>
        <v>0</v>
      </c>
      <c r="E109" s="132">
        <f t="array" aca="1" ref="E109" ca="1">SUM(IFERROR(Propagações_TOT_URUGUAI!$B$7:$CD$110*(Propagações_TOT_URUGUAI!$B$6:$CD$6=$B109&amp;"A")*(Propagações_TOT_URUGUAI!$A$7:$A$110&gt;=PREVS_SMAP!E$26)*(Propagações_TOT_URUGUAI!$A$7:$A$110&lt;=PREVS_SMAP!E$27),0))/7</f>
        <v>176.28571428571428</v>
      </c>
      <c r="F109" s="132">
        <f t="array" aca="1" ref="F109" ca="1">SUM(IFERROR(Propagações_TOT_URUGUAI!$B$7:$CD$110*(Propagações_TOT_URUGUAI!$B$6:$CD$6=$B109&amp;"A")*(Propagações_TOT_URUGUAI!$A$7:$A$110&gt;=PREVS_SMAP!F$26)*(Propagações_TOT_URUGUAI!$A$7:$A$110&lt;=PREVS_SMAP!F$27),0))/7</f>
        <v>87</v>
      </c>
      <c r="G109" s="132" t="e">
        <f t="array" aca="1" ref="G109" ca="1">IF(AD109&lt;7,NA(),SUM(IFERROR(Propagações_TOT_URUGUAI!$B$7:$CD$110*(Propagações_TOT_URUGUAI!$B$6:$CD$6=$B109&amp;"A")*(Propagações_TOT_URUGUAI!$A$7:$A$110&gt;=PREVS_SMAP!G$26)*(Propagações_TOT_URUGUAI!$A$7:$A$110&lt;=PREVS_SMAP!G$27),0))/7    )</f>
        <v>#N/A</v>
      </c>
      <c r="H109" s="132" t="e">
        <f t="array" aca="1" ref="H109" ca="1">IF(AE109&lt;7,NA(),SUM(IFERROR(Propagações_TOT_URUGUAI!$B$7:$CD$110*(Propagações_TOT_URUGUAI!$B$6:$CD$6=$B109&amp;"A")*(Propagações_TOT_URUGUAI!$A$7:$A$110&gt;=PREVS_SMAP!H$26)*(Propagações_TOT_URUGUAI!$A$7:$A$110&lt;=PREVS_SMAP!H$27),0))/7    )</f>
        <v>#N/A</v>
      </c>
      <c r="I109" s="132" t="e">
        <f t="array" aca="1" ref="I109" ca="1">IF(AF109&lt;7,NA(),SUM(IFERROR(Propagações_TOT_URUGUAI!$B$7:$CD$110*(Propagações_TOT_URUGUAI!$B$6:$CD$6=$B109&amp;"A")*(Propagações_TOT_URUGUAI!$A$7:$A$110&gt;=PREVS_SMAP!I$26)*(Propagações_TOT_URUGUAI!$A$7:$A$110&lt;=PREVS_SMAP!I$27),0))/7    )</f>
        <v>#N/A</v>
      </c>
      <c r="J109" s="132" t="e">
        <f t="array" aca="1" ref="J109" ca="1">IF(AG109&lt;7,NA(),SUM(IFERROR(Propagações_TOT_URUGUAI!$B$7:$CD$110*(Propagações_TOT_URUGUAI!$B$6:$CD$6=$B109&amp;"A")*(Propagações_TOT_URUGUAI!$A$7:$A$110&gt;=PREVS_SMAP!J$26)*(Propagações_TOT_URUGUAI!$A$7:$A$110&lt;=PREVS_SMAP!J$27),0))/7    )</f>
        <v>#N/A</v>
      </c>
      <c r="K109" s="132" t="e">
        <f t="array" aca="1" ref="K109" ca="1">IF(AH109&lt;7,NA(),SUM(IFERROR(Propagações_TOT_URUGUAI!$B$7:$CD$110*(Propagações_TOT_URUGUAI!$B$6:$CD$6=$B109&amp;"A")*(Propagações_TOT_URUGUAI!$A$7:$A$110&gt;=PREVS_SMAP!K$26)*(Propagações_TOT_URUGUAI!$A$7:$A$110&lt;=PREVS_SMAP!K$27),0))/7    )</f>
        <v>#N/A</v>
      </c>
      <c r="L109" s="132" t="e">
        <f t="array" aca="1" ref="L109" ca="1">IF(AI109&lt;7,NA(),SUM(IFERROR(Propagações_TOT_URUGUAI!$B$7:$CD$110*(Propagações_TOT_URUGUAI!$B$6:$CD$6=$B109&amp;"A")*(Propagações_TOT_URUGUAI!$A$7:$A$110&gt;=PREVS_SMAP!L$26)*(Propagações_TOT_URUGUAI!$A$7:$A$110&lt;=PREVS_SMAP!L$27),0))/7    )</f>
        <v>#N/A</v>
      </c>
      <c r="M109" s="132" t="e">
        <f t="array" aca="1" ref="M109" ca="1">IF(AJ109&lt;7,NA(),SUM(IFERROR(Propagações_TOT_URUGUAI!$B$7:$CD$110*(Propagações_TOT_URUGUAI!$B$6:$CD$6=$B109&amp;"A")*(Propagações_TOT_URUGUAI!$A$7:$A$110&gt;=PREVS_SMAP!M$26)*(Propagações_TOT_URUGUAI!$A$7:$A$110&lt;=PREVS_SMAP!M$27),0))/7    )</f>
        <v>#N/A</v>
      </c>
      <c r="N109" s="132" t="e">
        <f t="array" aca="1" ref="N109" ca="1">IF(AK109&lt;7,NA(),SUM(IFERROR(Propagações_TOT_URUGUAI!$B$7:$CD$110*(Propagações_TOT_URUGUAI!$B$6:$CD$6=$B109&amp;"A")*(Propagações_TOT_URUGUAI!$A$7:$A$110&gt;=PREVS_SMAP!N$26)*(Propagações_TOT_URUGUAI!$A$7:$A$110&lt;=PREVS_SMAP!N$27),0))/7    )</f>
        <v>#N/A</v>
      </c>
      <c r="O109" s="132" t="e">
        <f t="array" aca="1" ref="O109" ca="1">IF(AL109&lt;7,NA(),SUM(IFERROR(Propagações_TOT_URUGUAI!$B$7:$CD$110*(Propagações_TOT_URUGUAI!$B$6:$CD$6=$B109&amp;"A")*(Propagações_TOT_URUGUAI!$A$7:$A$110&gt;=PREVS_SMAP!O$26)*(Propagações_TOT_URUGUAI!$A$7:$A$110&lt;=PREVS_SMAP!O$27),0))/7    )</f>
        <v>#N/A</v>
      </c>
      <c r="R109">
        <v>82</v>
      </c>
      <c r="S109" s="40"/>
      <c r="T109" s="40"/>
      <c r="U109" s="131"/>
      <c r="V109" s="131"/>
      <c r="W109" s="131"/>
      <c r="X109" s="131"/>
      <c r="Y109" s="131"/>
      <c r="Z109" s="131"/>
      <c r="AA109" s="131"/>
      <c r="AB109" s="131"/>
      <c r="AD109" s="272">
        <f t="array" aca="1" ref="AD109" ca="1">SUM(IFERROR(ISNUMBER(Propagações_TOT_URUGUAI!$B$7:$CD$110)*(Propagações_TOT_URUGUAI!$B$6:$CD$6=$B109&amp;"A")*(Propagações_TOT_URUGUAI!$A$7:$A$110&gt;=PREVS_SMAP!G$26)*(Propagações_TOT_URUGUAI!$A$7:$A$110&lt;=PREVS_SMAP!G$27),0))</f>
        <v>0</v>
      </c>
      <c r="AE109" s="272">
        <f t="array" aca="1" ref="AE109" ca="1">SUM(IFERROR(ISNUMBER(Propagações_TOT_URUGUAI!$B$7:$CD$110)*(Propagações_TOT_URUGUAI!$B$6:$CD$6=$B109&amp;"A")*(Propagações_TOT_URUGUAI!$A$7:$A$110&gt;=PREVS_SMAP!H$26)*(Propagações_TOT_URUGUAI!$A$7:$A$110&lt;=PREVS_SMAP!H$27),0))</f>
        <v>0</v>
      </c>
      <c r="AF109" s="272">
        <f t="array" aca="1" ref="AF109" ca="1">SUM(IFERROR(ISNUMBER(Propagações_TOT_URUGUAI!$B$7:$CD$110)*(Propagações_TOT_URUGUAI!$B$6:$CD$6=$B109&amp;"A")*(Propagações_TOT_URUGUAI!$A$7:$A$110&gt;=PREVS_SMAP!I$26)*(Propagações_TOT_URUGUAI!$A$7:$A$110&lt;=PREVS_SMAP!I$27),0))</f>
        <v>0</v>
      </c>
      <c r="AG109" s="272">
        <f t="array" aca="1" ref="AG109" ca="1">SUM(IFERROR(ISNUMBER(Propagações_TOT_URUGUAI!$B$7:$CD$110)*(Propagações_TOT_URUGUAI!$B$6:$CD$6=$B109&amp;"A")*(Propagações_TOT_URUGUAI!$A$7:$A$110&gt;=PREVS_SMAP!J$26)*(Propagações_TOT_URUGUAI!$A$7:$A$110&lt;=PREVS_SMAP!J$27),0))</f>
        <v>0</v>
      </c>
      <c r="AH109" s="272">
        <f t="array" aca="1" ref="AH109" ca="1">SUM(IFERROR(ISNUMBER(Propagações_TOT_URUGUAI!$B$7:$CD$110)*(Propagações_TOT_URUGUAI!$B$6:$CD$6=$B109&amp;"A")*(Propagações_TOT_URUGUAI!$A$7:$A$110&gt;=PREVS_SMAP!K$26)*(Propagações_TOT_URUGUAI!$A$7:$A$110&lt;=PREVS_SMAP!K$27),0))</f>
        <v>0</v>
      </c>
      <c r="AI109" s="272">
        <f t="array" aca="1" ref="AI109" ca="1">SUM(IFERROR(ISNUMBER(Propagações_TOT_URUGUAI!$B$7:$CD$110)*(Propagações_TOT_URUGUAI!$B$6:$CD$6=$B109&amp;"A")*(Propagações_TOT_URUGUAI!$A$7:$A$110&gt;=PREVS_SMAP!L$26)*(Propagações_TOT_URUGUAI!$A$7:$A$110&lt;=PREVS_SMAP!L$27),0))</f>
        <v>0</v>
      </c>
      <c r="AJ109" s="272">
        <f t="array" aca="1" ref="AJ109" ca="1">SUM(IFERROR(ISNUMBER(Propagações_TOT_URUGUAI!$B$7:$CD$110)*(Propagações_TOT_URUGUAI!$B$6:$CD$6=$B109&amp;"A")*(Propagações_TOT_URUGUAI!$A$7:$A$110&gt;=PREVS_SMAP!M$26)*(Propagações_TOT_URUGUAI!$A$7:$A$110&lt;=PREVS_SMAP!M$27),0))</f>
        <v>0</v>
      </c>
      <c r="AK109" s="272">
        <f t="array" aca="1" ref="AK109" ca="1">SUM(IFERROR(ISNUMBER(Propagações_TOT_URUGUAI!$B$7:$CD$110)*(Propagações_TOT_URUGUAI!$B$6:$CD$6=$B109&amp;"A")*(Propagações_TOT_URUGUAI!$A$7:$A$110&gt;=PREVS_SMAP!N$26)*(Propagações_TOT_URUGUAI!$A$7:$A$110&lt;=PREVS_SMAP!N$27),0))</f>
        <v>0</v>
      </c>
      <c r="AL109" s="272">
        <f t="array" aca="1" ref="AL109" ca="1">SUM(IFERROR(ISNUMBER(Propagações_TOT_URUGUAI!$B$7:$CD$110)*(Propagações_TOT_URUGUAI!$B$6:$CD$6=$B109&amp;"A")*(Propagações_TOT_URUGUAI!$A$7:$A$110&gt;=PREVS_SMAP!O$26)*(Propagações_TOT_URUGUAI!$A$7:$A$110&lt;=PREVS_SMAP!O$27),0))</f>
        <v>0</v>
      </c>
      <c r="AN109" s="121"/>
      <c r="AO109" s="121" t="e">
        <f t="shared" si="30"/>
        <v>#DIV/0!</v>
      </c>
      <c r="AP109" s="121" t="b">
        <f t="shared" si="31"/>
        <v>0</v>
      </c>
      <c r="AU109" s="121"/>
      <c r="AV109" s="121"/>
      <c r="AW109" s="159"/>
      <c r="AX109" s="159"/>
      <c r="AY109" s="159"/>
      <c r="AZ109" s="157"/>
      <c r="BA109" s="157"/>
      <c r="BB109" s="121">
        <f t="shared" ca="1" si="32"/>
        <v>0</v>
      </c>
      <c r="BC109" s="272">
        <f t="shared" ca="1" si="33"/>
        <v>0</v>
      </c>
      <c r="BD109" s="272">
        <f t="shared" ca="1" si="33"/>
        <v>0</v>
      </c>
      <c r="BE109" s="272">
        <f t="shared" ca="1" si="33"/>
        <v>0</v>
      </c>
      <c r="BF109" s="272">
        <f t="shared" ca="1" si="33"/>
        <v>0</v>
      </c>
      <c r="BG109"/>
    </row>
    <row r="110" spans="1:59" ht="13.5" thickBot="1" x14ac:dyDescent="0.25">
      <c r="A110" s="264">
        <v>92</v>
      </c>
      <c r="B110" s="261" t="str">
        <f t="shared" si="38"/>
        <v>92_VN</v>
      </c>
      <c r="C110" s="264" t="s">
        <v>175</v>
      </c>
      <c r="D110" s="132">
        <f t="array" aca="1" ref="D110" ca="1">SUM(IFERROR(Propagações_TOT_URUGUAI!$B$7:$CD$110*(Propagações_TOT_URUGUAI!$B$6:$CD$6=$B110&amp;"A")*(Propagações_TOT_URUGUAI!$A$7:$A$110&gt;=PREVS_SMAP!D$26)*(Propagações_TOT_URUGUAI!$A$7:$A$110&lt;=PREVS_SMAP!D$27),0))/7</f>
        <v>0</v>
      </c>
      <c r="E110" s="132">
        <f t="array" aca="1" ref="E110" ca="1">SUM(IFERROR(Propagações_TOT_URUGUAI!$B$7:$CD$110*(Propagações_TOT_URUGUAI!$B$6:$CD$6=$B110&amp;"A")*(Propagações_TOT_URUGUAI!$A$7:$A$110&gt;=PREVS_SMAP!E$26)*(Propagações_TOT_URUGUAI!$A$7:$A$110&lt;=PREVS_SMAP!E$27),0))/7</f>
        <v>239.57142857142858</v>
      </c>
      <c r="F110" s="244">
        <f t="array" aca="1" ref="F110" ca="1">SUM(IFERROR(Propagações_TOT_URUGUAI!$B$7:$CD$110*(Propagações_TOT_URUGUAI!$B$6:$CD$6=$B110&amp;"A")*(Propagações_TOT_URUGUAI!$A$7:$A$110&gt;=PREVS_SMAP!F$26)*(Propagações_TOT_URUGUAI!$A$7:$A$110&lt;=PREVS_SMAP!F$27),0))/7</f>
        <v>105.42857142857143</v>
      </c>
      <c r="G110" s="244" t="e">
        <f t="array" aca="1" ref="G110" ca="1">IF(AD110&lt;7,NA(),SUM(IFERROR(Propagações_TOT_URUGUAI!$B$7:$CD$110*(Propagações_TOT_URUGUAI!$B$6:$CD$6=$B110&amp;"A")*(Propagações_TOT_URUGUAI!$A$7:$A$110&gt;=PREVS_SMAP!G$26)*(Propagações_TOT_URUGUAI!$A$7:$A$110&lt;=PREVS_SMAP!G$27),0))/7    )</f>
        <v>#N/A</v>
      </c>
      <c r="H110" s="132" t="e">
        <f t="array" aca="1" ref="H110" ca="1">IF(AE110&lt;7,NA(),SUM(IFERROR(Propagações_TOT_URUGUAI!$B$7:$CD$110*(Propagações_TOT_URUGUAI!$B$6:$CD$6=$B110&amp;"A")*(Propagações_TOT_URUGUAI!$A$7:$A$110&gt;=PREVS_SMAP!H$26)*(Propagações_TOT_URUGUAI!$A$7:$A$110&lt;=PREVS_SMAP!H$27),0))/7    )</f>
        <v>#N/A</v>
      </c>
      <c r="I110" s="132" t="e">
        <f t="array" aca="1" ref="I110" ca="1">IF(AF110&lt;7,NA(),SUM(IFERROR(Propagações_TOT_URUGUAI!$B$7:$CD$110*(Propagações_TOT_URUGUAI!$B$6:$CD$6=$B110&amp;"A")*(Propagações_TOT_URUGUAI!$A$7:$A$110&gt;=PREVS_SMAP!I$26)*(Propagações_TOT_URUGUAI!$A$7:$A$110&lt;=PREVS_SMAP!I$27),0))/7    )</f>
        <v>#N/A</v>
      </c>
      <c r="J110" s="132" t="e">
        <f t="array" aca="1" ref="J110" ca="1">IF(AG110&lt;7,NA(),SUM(IFERROR(Propagações_TOT_URUGUAI!$B$7:$CD$110*(Propagações_TOT_URUGUAI!$B$6:$CD$6=$B110&amp;"A")*(Propagações_TOT_URUGUAI!$A$7:$A$110&gt;=PREVS_SMAP!J$26)*(Propagações_TOT_URUGUAI!$A$7:$A$110&lt;=PREVS_SMAP!J$27),0))/7    )</f>
        <v>#N/A</v>
      </c>
      <c r="K110" s="132" t="e">
        <f t="array" aca="1" ref="K110" ca="1">IF(AH110&lt;7,NA(),SUM(IFERROR(Propagações_TOT_URUGUAI!$B$7:$CD$110*(Propagações_TOT_URUGUAI!$B$6:$CD$6=$B110&amp;"A")*(Propagações_TOT_URUGUAI!$A$7:$A$110&gt;=PREVS_SMAP!K$26)*(Propagações_TOT_URUGUAI!$A$7:$A$110&lt;=PREVS_SMAP!K$27),0))/7    )</f>
        <v>#N/A</v>
      </c>
      <c r="L110" s="132" t="e">
        <f t="array" aca="1" ref="L110" ca="1">IF(AI110&lt;7,NA(),SUM(IFERROR(Propagações_TOT_URUGUAI!$B$7:$CD$110*(Propagações_TOT_URUGUAI!$B$6:$CD$6=$B110&amp;"A")*(Propagações_TOT_URUGUAI!$A$7:$A$110&gt;=PREVS_SMAP!L$26)*(Propagações_TOT_URUGUAI!$A$7:$A$110&lt;=PREVS_SMAP!L$27),0))/7    )</f>
        <v>#N/A</v>
      </c>
      <c r="M110" s="132" t="e">
        <f t="array" aca="1" ref="M110" ca="1">IF(AJ110&lt;7,NA(),SUM(IFERROR(Propagações_TOT_URUGUAI!$B$7:$CD$110*(Propagações_TOT_URUGUAI!$B$6:$CD$6=$B110&amp;"A")*(Propagações_TOT_URUGUAI!$A$7:$A$110&gt;=PREVS_SMAP!M$26)*(Propagações_TOT_URUGUAI!$A$7:$A$110&lt;=PREVS_SMAP!M$27),0))/7    )</f>
        <v>#N/A</v>
      </c>
      <c r="N110" s="132" t="e">
        <f t="array" aca="1" ref="N110" ca="1">IF(AK110&lt;7,NA(),SUM(IFERROR(Propagações_TOT_URUGUAI!$B$7:$CD$110*(Propagações_TOT_URUGUAI!$B$6:$CD$6=$B110&amp;"A")*(Propagações_TOT_URUGUAI!$A$7:$A$110&gt;=PREVS_SMAP!N$26)*(Propagações_TOT_URUGUAI!$A$7:$A$110&lt;=PREVS_SMAP!N$27),0))/7    )</f>
        <v>#N/A</v>
      </c>
      <c r="O110" s="132" t="e">
        <f t="array" aca="1" ref="O110" ca="1">IF(AL110&lt;7,NA(),SUM(IFERROR(Propagações_TOT_URUGUAI!$B$7:$CD$110*(Propagações_TOT_URUGUAI!$B$6:$CD$6=$B110&amp;"A")*(Propagações_TOT_URUGUAI!$A$7:$A$110&gt;=PREVS_SMAP!O$26)*(Propagações_TOT_URUGUAI!$A$7:$A$110&lt;=PREVS_SMAP!O$27),0))/7    )</f>
        <v>#N/A</v>
      </c>
      <c r="R110">
        <v>83</v>
      </c>
      <c r="S110" s="40"/>
      <c r="T110" s="40"/>
      <c r="U110" s="131"/>
      <c r="V110" s="131"/>
      <c r="W110" s="131"/>
      <c r="X110" s="131"/>
      <c r="Y110" s="131"/>
      <c r="Z110" s="131"/>
      <c r="AA110" s="131"/>
      <c r="AB110" s="131"/>
      <c r="AD110" s="272">
        <f t="array" aca="1" ref="AD110" ca="1">SUM(IFERROR(ISNUMBER(Propagações_TOT_URUGUAI!$B$7:$CD$110)*(Propagações_TOT_URUGUAI!$B$6:$CD$6=$B110&amp;"A")*(Propagações_TOT_URUGUAI!$A$7:$A$110&gt;=PREVS_SMAP!G$26)*(Propagações_TOT_URUGUAI!$A$7:$A$110&lt;=PREVS_SMAP!G$27),0))</f>
        <v>0</v>
      </c>
      <c r="AE110" s="272">
        <f t="array" aca="1" ref="AE110" ca="1">SUM(IFERROR(ISNUMBER(Propagações_TOT_URUGUAI!$B$7:$CD$110)*(Propagações_TOT_URUGUAI!$B$6:$CD$6=$B110&amp;"A")*(Propagações_TOT_URUGUAI!$A$7:$A$110&gt;=PREVS_SMAP!H$26)*(Propagações_TOT_URUGUAI!$A$7:$A$110&lt;=PREVS_SMAP!H$27),0))</f>
        <v>0</v>
      </c>
      <c r="AF110" s="272">
        <f t="array" aca="1" ref="AF110" ca="1">SUM(IFERROR(ISNUMBER(Propagações_TOT_URUGUAI!$B$7:$CD$110)*(Propagações_TOT_URUGUAI!$B$6:$CD$6=$B110&amp;"A")*(Propagações_TOT_URUGUAI!$A$7:$A$110&gt;=PREVS_SMAP!I$26)*(Propagações_TOT_URUGUAI!$A$7:$A$110&lt;=PREVS_SMAP!I$27),0))</f>
        <v>0</v>
      </c>
      <c r="AG110" s="272">
        <f t="array" aca="1" ref="AG110" ca="1">SUM(IFERROR(ISNUMBER(Propagações_TOT_URUGUAI!$B$7:$CD$110)*(Propagações_TOT_URUGUAI!$B$6:$CD$6=$B110&amp;"A")*(Propagações_TOT_URUGUAI!$A$7:$A$110&gt;=PREVS_SMAP!J$26)*(Propagações_TOT_URUGUAI!$A$7:$A$110&lt;=PREVS_SMAP!J$27),0))</f>
        <v>0</v>
      </c>
      <c r="AH110" s="272">
        <f t="array" aca="1" ref="AH110" ca="1">SUM(IFERROR(ISNUMBER(Propagações_TOT_URUGUAI!$B$7:$CD$110)*(Propagações_TOT_URUGUAI!$B$6:$CD$6=$B110&amp;"A")*(Propagações_TOT_URUGUAI!$A$7:$A$110&gt;=PREVS_SMAP!K$26)*(Propagações_TOT_URUGUAI!$A$7:$A$110&lt;=PREVS_SMAP!K$27),0))</f>
        <v>0</v>
      </c>
      <c r="AI110" s="272">
        <f t="array" aca="1" ref="AI110" ca="1">SUM(IFERROR(ISNUMBER(Propagações_TOT_URUGUAI!$B$7:$CD$110)*(Propagações_TOT_URUGUAI!$B$6:$CD$6=$B110&amp;"A")*(Propagações_TOT_URUGUAI!$A$7:$A$110&gt;=PREVS_SMAP!L$26)*(Propagações_TOT_URUGUAI!$A$7:$A$110&lt;=PREVS_SMAP!L$27),0))</f>
        <v>0</v>
      </c>
      <c r="AJ110" s="272">
        <f t="array" aca="1" ref="AJ110" ca="1">SUM(IFERROR(ISNUMBER(Propagações_TOT_URUGUAI!$B$7:$CD$110)*(Propagações_TOT_URUGUAI!$B$6:$CD$6=$B110&amp;"A")*(Propagações_TOT_URUGUAI!$A$7:$A$110&gt;=PREVS_SMAP!M$26)*(Propagações_TOT_URUGUAI!$A$7:$A$110&lt;=PREVS_SMAP!M$27),0))</f>
        <v>0</v>
      </c>
      <c r="AK110" s="272">
        <f t="array" aca="1" ref="AK110" ca="1">SUM(IFERROR(ISNUMBER(Propagações_TOT_URUGUAI!$B$7:$CD$110)*(Propagações_TOT_URUGUAI!$B$6:$CD$6=$B110&amp;"A")*(Propagações_TOT_URUGUAI!$A$7:$A$110&gt;=PREVS_SMAP!N$26)*(Propagações_TOT_URUGUAI!$A$7:$A$110&lt;=PREVS_SMAP!N$27),0))</f>
        <v>0</v>
      </c>
      <c r="AL110" s="272">
        <f t="array" aca="1" ref="AL110" ca="1">SUM(IFERROR(ISNUMBER(Propagações_TOT_URUGUAI!$B$7:$CD$110)*(Propagações_TOT_URUGUAI!$B$6:$CD$6=$B110&amp;"A")*(Propagações_TOT_URUGUAI!$A$7:$A$110&gt;=PREVS_SMAP!O$26)*(Propagações_TOT_URUGUAI!$A$7:$A$110&lt;=PREVS_SMAP!O$27),0))</f>
        <v>0</v>
      </c>
      <c r="AN110" s="121"/>
      <c r="AO110" s="121" t="e">
        <f t="shared" si="30"/>
        <v>#DIV/0!</v>
      </c>
      <c r="AP110" s="121" t="b">
        <f t="shared" si="31"/>
        <v>0</v>
      </c>
      <c r="AU110" s="121"/>
      <c r="AV110" s="121"/>
      <c r="AW110" s="159"/>
      <c r="AX110" s="159"/>
      <c r="AY110" s="159"/>
      <c r="AZ110" s="157"/>
      <c r="BA110" s="157"/>
      <c r="BB110" s="121">
        <f t="shared" ca="1" si="32"/>
        <v>0</v>
      </c>
      <c r="BC110" s="272">
        <f t="shared" ca="1" si="33"/>
        <v>0</v>
      </c>
      <c r="BD110" s="272">
        <f t="shared" ca="1" si="33"/>
        <v>0</v>
      </c>
      <c r="BE110" s="272">
        <f t="shared" ca="1" si="33"/>
        <v>0</v>
      </c>
      <c r="BF110" s="272">
        <f t="shared" ca="1" si="33"/>
        <v>0</v>
      </c>
      <c r="BG110"/>
    </row>
    <row r="111" spans="1:59" ht="13.5" thickBot="1" x14ac:dyDescent="0.25">
      <c r="A111" s="264">
        <v>93</v>
      </c>
      <c r="B111" s="261" t="str">
        <f t="shared" si="38"/>
        <v>93_VN</v>
      </c>
      <c r="C111" s="264" t="s">
        <v>176</v>
      </c>
      <c r="D111" s="132">
        <f t="array" aca="1" ref="D111" ca="1">SUM(IFERROR(Propagações_TOT_URUGUAI!$B$7:$CD$110*(Propagações_TOT_URUGUAI!$B$6:$CD$6=$B111&amp;"A")*(Propagações_TOT_URUGUAI!$A$7:$A$110&gt;=PREVS_SMAP!D$26)*(Propagações_TOT_URUGUAI!$A$7:$A$110&lt;=PREVS_SMAP!D$27),0))/7</f>
        <v>0</v>
      </c>
      <c r="E111" s="132">
        <f t="array" aca="1" ref="E111" ca="1">SUM(IFERROR(Propagações_TOT_URUGUAI!$B$7:$CD$110*(Propagações_TOT_URUGUAI!$B$6:$CD$6=$B111&amp;"A")*(Propagações_TOT_URUGUAI!$A$7:$A$110&gt;=PREVS_SMAP!E$26)*(Propagações_TOT_URUGUAI!$A$7:$A$110&lt;=PREVS_SMAP!E$27),0))/7</f>
        <v>11.428571428571429</v>
      </c>
      <c r="F111" s="132">
        <f t="array" aca="1" ref="F111" ca="1">SUM(IFERROR(Propagações_TOT_URUGUAI!$B$7:$CD$110*(Propagações_TOT_URUGUAI!$B$6:$CD$6=$B111&amp;"A")*(Propagações_TOT_URUGUAI!$A$7:$A$110&gt;=PREVS_SMAP!F$26)*(Propagações_TOT_URUGUAI!$A$7:$A$110&lt;=PREVS_SMAP!F$27),0))/7</f>
        <v>4.2857142857142856</v>
      </c>
      <c r="G111" s="132" t="e">
        <f t="array" aca="1" ref="G111" ca="1">IF(AD111&lt;7,NA(),SUM(IFERROR(Propagações_TOT_URUGUAI!$B$7:$CD$110*(Propagações_TOT_URUGUAI!$B$6:$CD$6=$B111&amp;"A")*(Propagações_TOT_URUGUAI!$A$7:$A$110&gt;=PREVS_SMAP!G$26)*(Propagações_TOT_URUGUAI!$A$7:$A$110&lt;=PREVS_SMAP!G$27),0))/7    )</f>
        <v>#N/A</v>
      </c>
      <c r="H111" s="132" t="e">
        <f t="array" aca="1" ref="H111" ca="1">IF(AE111&lt;7,NA(),SUM(IFERROR(Propagações_TOT_URUGUAI!$B$7:$CD$110*(Propagações_TOT_URUGUAI!$B$6:$CD$6=$B111&amp;"A")*(Propagações_TOT_URUGUAI!$A$7:$A$110&gt;=PREVS_SMAP!H$26)*(Propagações_TOT_URUGUAI!$A$7:$A$110&lt;=PREVS_SMAP!H$27),0))/7    )</f>
        <v>#N/A</v>
      </c>
      <c r="I111" s="132" t="e">
        <f t="array" aca="1" ref="I111" ca="1">IF(AF111&lt;7,NA(),SUM(IFERROR(Propagações_TOT_URUGUAI!$B$7:$CD$110*(Propagações_TOT_URUGUAI!$B$6:$CD$6=$B111&amp;"A")*(Propagações_TOT_URUGUAI!$A$7:$A$110&gt;=PREVS_SMAP!I$26)*(Propagações_TOT_URUGUAI!$A$7:$A$110&lt;=PREVS_SMAP!I$27),0))/7    )</f>
        <v>#N/A</v>
      </c>
      <c r="J111" s="132" t="e">
        <f t="array" aca="1" ref="J111" ca="1">IF(AG111&lt;7,NA(),SUM(IFERROR(Propagações_TOT_URUGUAI!$B$7:$CD$110*(Propagações_TOT_URUGUAI!$B$6:$CD$6=$B111&amp;"A")*(Propagações_TOT_URUGUAI!$A$7:$A$110&gt;=PREVS_SMAP!J$26)*(Propagações_TOT_URUGUAI!$A$7:$A$110&lt;=PREVS_SMAP!J$27),0))/7    )</f>
        <v>#N/A</v>
      </c>
      <c r="K111" s="132" t="e">
        <f t="array" aca="1" ref="K111" ca="1">IF(AH111&lt;7,NA(),SUM(IFERROR(Propagações_TOT_URUGUAI!$B$7:$CD$110*(Propagações_TOT_URUGUAI!$B$6:$CD$6=$B111&amp;"A")*(Propagações_TOT_URUGUAI!$A$7:$A$110&gt;=PREVS_SMAP!K$26)*(Propagações_TOT_URUGUAI!$A$7:$A$110&lt;=PREVS_SMAP!K$27),0))/7    )</f>
        <v>#N/A</v>
      </c>
      <c r="L111" s="132" t="e">
        <f t="array" aca="1" ref="L111" ca="1">IF(AI111&lt;7,NA(),SUM(IFERROR(Propagações_TOT_URUGUAI!$B$7:$CD$110*(Propagações_TOT_URUGUAI!$B$6:$CD$6=$B111&amp;"A")*(Propagações_TOT_URUGUAI!$A$7:$A$110&gt;=PREVS_SMAP!L$26)*(Propagações_TOT_URUGUAI!$A$7:$A$110&lt;=PREVS_SMAP!L$27),0))/7    )</f>
        <v>#N/A</v>
      </c>
      <c r="M111" s="132" t="e">
        <f t="array" aca="1" ref="M111" ca="1">IF(AJ111&lt;7,NA(),SUM(IFERROR(Propagações_TOT_URUGUAI!$B$7:$CD$110*(Propagações_TOT_URUGUAI!$B$6:$CD$6=$B111&amp;"A")*(Propagações_TOT_URUGUAI!$A$7:$A$110&gt;=PREVS_SMAP!M$26)*(Propagações_TOT_URUGUAI!$A$7:$A$110&lt;=PREVS_SMAP!M$27),0))/7    )</f>
        <v>#N/A</v>
      </c>
      <c r="N111" s="132" t="e">
        <f t="array" aca="1" ref="N111" ca="1">IF(AK111&lt;7,NA(),SUM(IFERROR(Propagações_TOT_URUGUAI!$B$7:$CD$110*(Propagações_TOT_URUGUAI!$B$6:$CD$6=$B111&amp;"A")*(Propagações_TOT_URUGUAI!$A$7:$A$110&gt;=PREVS_SMAP!N$26)*(Propagações_TOT_URUGUAI!$A$7:$A$110&lt;=PREVS_SMAP!N$27),0))/7    )</f>
        <v>#N/A</v>
      </c>
      <c r="O111" s="132" t="e">
        <f t="array" aca="1" ref="O111" ca="1">IF(AL111&lt;7,NA(),SUM(IFERROR(Propagações_TOT_URUGUAI!$B$7:$CD$110*(Propagações_TOT_URUGUAI!$B$6:$CD$6=$B111&amp;"A")*(Propagações_TOT_URUGUAI!$A$7:$A$110&gt;=PREVS_SMAP!O$26)*(Propagações_TOT_URUGUAI!$A$7:$A$110&lt;=PREVS_SMAP!O$27),0))/7    )</f>
        <v>#N/A</v>
      </c>
      <c r="R111">
        <v>84</v>
      </c>
      <c r="S111" s="40"/>
      <c r="T111" s="40"/>
      <c r="U111" s="131"/>
      <c r="V111" s="131"/>
      <c r="W111" s="131"/>
      <c r="X111" s="131"/>
      <c r="Y111" s="131"/>
      <c r="Z111" s="131"/>
      <c r="AA111" s="131"/>
      <c r="AB111" s="131"/>
      <c r="AD111" s="272">
        <f t="array" aca="1" ref="AD111" ca="1">SUM(IFERROR(ISNUMBER(Propagações_TOT_URUGUAI!$B$7:$CD$110)*(Propagações_TOT_URUGUAI!$B$6:$CD$6=$B111&amp;"A")*(Propagações_TOT_URUGUAI!$A$7:$A$110&gt;=PREVS_SMAP!G$26)*(Propagações_TOT_URUGUAI!$A$7:$A$110&lt;=PREVS_SMAP!G$27),0))</f>
        <v>0</v>
      </c>
      <c r="AE111" s="272">
        <f t="array" aca="1" ref="AE111" ca="1">SUM(IFERROR(ISNUMBER(Propagações_TOT_URUGUAI!$B$7:$CD$110)*(Propagações_TOT_URUGUAI!$B$6:$CD$6=$B111&amp;"A")*(Propagações_TOT_URUGUAI!$A$7:$A$110&gt;=PREVS_SMAP!H$26)*(Propagações_TOT_URUGUAI!$A$7:$A$110&lt;=PREVS_SMAP!H$27),0))</f>
        <v>0</v>
      </c>
      <c r="AF111" s="272">
        <f t="array" aca="1" ref="AF111" ca="1">SUM(IFERROR(ISNUMBER(Propagações_TOT_URUGUAI!$B$7:$CD$110)*(Propagações_TOT_URUGUAI!$B$6:$CD$6=$B111&amp;"A")*(Propagações_TOT_URUGUAI!$A$7:$A$110&gt;=PREVS_SMAP!I$26)*(Propagações_TOT_URUGUAI!$A$7:$A$110&lt;=PREVS_SMAP!I$27),0))</f>
        <v>0</v>
      </c>
      <c r="AG111" s="272">
        <f t="array" aca="1" ref="AG111" ca="1">SUM(IFERROR(ISNUMBER(Propagações_TOT_URUGUAI!$B$7:$CD$110)*(Propagações_TOT_URUGUAI!$B$6:$CD$6=$B111&amp;"A")*(Propagações_TOT_URUGUAI!$A$7:$A$110&gt;=PREVS_SMAP!J$26)*(Propagações_TOT_URUGUAI!$A$7:$A$110&lt;=PREVS_SMAP!J$27),0))</f>
        <v>0</v>
      </c>
      <c r="AH111" s="272">
        <f t="array" aca="1" ref="AH111" ca="1">SUM(IFERROR(ISNUMBER(Propagações_TOT_URUGUAI!$B$7:$CD$110)*(Propagações_TOT_URUGUAI!$B$6:$CD$6=$B111&amp;"A")*(Propagações_TOT_URUGUAI!$A$7:$A$110&gt;=PREVS_SMAP!K$26)*(Propagações_TOT_URUGUAI!$A$7:$A$110&lt;=PREVS_SMAP!K$27),0))</f>
        <v>0</v>
      </c>
      <c r="AI111" s="272">
        <f t="array" aca="1" ref="AI111" ca="1">SUM(IFERROR(ISNUMBER(Propagações_TOT_URUGUAI!$B$7:$CD$110)*(Propagações_TOT_URUGUAI!$B$6:$CD$6=$B111&amp;"A")*(Propagações_TOT_URUGUAI!$A$7:$A$110&gt;=PREVS_SMAP!L$26)*(Propagações_TOT_URUGUAI!$A$7:$A$110&lt;=PREVS_SMAP!L$27),0))</f>
        <v>0</v>
      </c>
      <c r="AJ111" s="272">
        <f t="array" aca="1" ref="AJ111" ca="1">SUM(IFERROR(ISNUMBER(Propagações_TOT_URUGUAI!$B$7:$CD$110)*(Propagações_TOT_URUGUAI!$B$6:$CD$6=$B111&amp;"A")*(Propagações_TOT_URUGUAI!$A$7:$A$110&gt;=PREVS_SMAP!M$26)*(Propagações_TOT_URUGUAI!$A$7:$A$110&lt;=PREVS_SMAP!M$27),0))</f>
        <v>0</v>
      </c>
      <c r="AK111" s="272">
        <f t="array" aca="1" ref="AK111" ca="1">SUM(IFERROR(ISNUMBER(Propagações_TOT_URUGUAI!$B$7:$CD$110)*(Propagações_TOT_URUGUAI!$B$6:$CD$6=$B111&amp;"A")*(Propagações_TOT_URUGUAI!$A$7:$A$110&gt;=PREVS_SMAP!N$26)*(Propagações_TOT_URUGUAI!$A$7:$A$110&lt;=PREVS_SMAP!N$27),0))</f>
        <v>0</v>
      </c>
      <c r="AL111" s="272">
        <f t="array" aca="1" ref="AL111" ca="1">SUM(IFERROR(ISNUMBER(Propagações_TOT_URUGUAI!$B$7:$CD$110)*(Propagações_TOT_URUGUAI!$B$6:$CD$6=$B111&amp;"A")*(Propagações_TOT_URUGUAI!$A$7:$A$110&gt;=PREVS_SMAP!O$26)*(Propagações_TOT_URUGUAI!$A$7:$A$110&lt;=PREVS_SMAP!O$27),0))</f>
        <v>0</v>
      </c>
      <c r="AN111" s="121"/>
      <c r="AO111" s="121" t="e">
        <f t="shared" si="30"/>
        <v>#DIV/0!</v>
      </c>
      <c r="AP111" s="121" t="b">
        <f t="shared" si="31"/>
        <v>0</v>
      </c>
      <c r="AU111" s="121"/>
      <c r="AV111" s="121"/>
      <c r="AW111" s="159"/>
      <c r="AX111" s="159"/>
      <c r="AY111" s="159"/>
      <c r="AZ111" s="157"/>
      <c r="BA111" s="157"/>
      <c r="BB111" s="121">
        <f t="shared" ca="1" si="32"/>
        <v>0</v>
      </c>
      <c r="BC111" s="272">
        <f t="shared" ca="1" si="33"/>
        <v>0</v>
      </c>
      <c r="BD111" s="272">
        <f t="shared" ca="1" si="33"/>
        <v>0</v>
      </c>
      <c r="BE111" s="272">
        <f t="shared" ca="1" si="33"/>
        <v>0</v>
      </c>
      <c r="BF111" s="272">
        <f t="shared" ca="1" si="33"/>
        <v>0</v>
      </c>
      <c r="BG111"/>
    </row>
    <row r="112" spans="1:59" ht="13.5" thickBot="1" x14ac:dyDescent="0.25">
      <c r="A112" s="264">
        <v>220</v>
      </c>
      <c r="B112" s="261" t="str">
        <f t="shared" si="38"/>
        <v>220_VN</v>
      </c>
      <c r="C112" s="264" t="s">
        <v>167</v>
      </c>
      <c r="D112" s="132">
        <f t="array" aca="1" ref="D112" ca="1">SUM(IFERROR(Propagações_TOT_URUGUAI!$B$7:$CD$110*(Propagações_TOT_URUGUAI!$B$6:$CD$6=$B112&amp;"A")*(Propagações_TOT_URUGUAI!$A$7:$A$110&gt;=PREVS_SMAP!D$26)*(Propagações_TOT_URUGUAI!$A$7:$A$110&lt;=PREVS_SMAP!D$27),0))/7</f>
        <v>0</v>
      </c>
      <c r="E112" s="132">
        <f t="array" aca="1" ref="E112" ca="1">SUM(IFERROR(Propagações_TOT_URUGUAI!$B$7:$CD$110*(Propagações_TOT_URUGUAI!$B$6:$CD$6=$B112&amp;"A")*(Propagações_TOT_URUGUAI!$A$7:$A$110&gt;=PREVS_SMAP!E$26)*(Propagações_TOT_URUGUAI!$A$7:$A$110&lt;=PREVS_SMAP!E$27),0))/7</f>
        <v>19.714285714285715</v>
      </c>
      <c r="F112" s="132">
        <f t="array" aca="1" ref="F112" ca="1">SUM(IFERROR(Propagações_TOT_URUGUAI!$B$7:$CD$110*(Propagações_TOT_URUGUAI!$B$6:$CD$6=$B112&amp;"A")*(Propagações_TOT_URUGUAI!$A$7:$A$110&gt;=PREVS_SMAP!F$26)*(Propagações_TOT_URUGUAI!$A$7:$A$110&lt;=PREVS_SMAP!F$27),0))/7</f>
        <v>7.4285714285714288</v>
      </c>
      <c r="G112" s="132" t="e">
        <f t="array" aca="1" ref="G112" ca="1">IF(AD112&lt;7,NA(),SUM(IFERROR(Propagações_TOT_URUGUAI!$B$7:$CD$110*(Propagações_TOT_URUGUAI!$B$6:$CD$6=$B112&amp;"A")*(Propagações_TOT_URUGUAI!$A$7:$A$110&gt;=PREVS_SMAP!G$26)*(Propagações_TOT_URUGUAI!$A$7:$A$110&lt;=PREVS_SMAP!G$27),0))/7    )</f>
        <v>#N/A</v>
      </c>
      <c r="H112" s="132" t="e">
        <f t="array" aca="1" ref="H112" ca="1">IF(AE112&lt;7,NA(),SUM(IFERROR(Propagações_TOT_URUGUAI!$B$7:$CD$110*(Propagações_TOT_URUGUAI!$B$6:$CD$6=$B112&amp;"A")*(Propagações_TOT_URUGUAI!$A$7:$A$110&gt;=PREVS_SMAP!H$26)*(Propagações_TOT_URUGUAI!$A$7:$A$110&lt;=PREVS_SMAP!H$27),0))/7    )</f>
        <v>#N/A</v>
      </c>
      <c r="I112" s="132" t="e">
        <f t="array" aca="1" ref="I112" ca="1">IF(AF112&lt;7,NA(),SUM(IFERROR(Propagações_TOT_URUGUAI!$B$7:$CD$110*(Propagações_TOT_URUGUAI!$B$6:$CD$6=$B112&amp;"A")*(Propagações_TOT_URUGUAI!$A$7:$A$110&gt;=PREVS_SMAP!I$26)*(Propagações_TOT_URUGUAI!$A$7:$A$110&lt;=PREVS_SMAP!I$27),0))/7    )</f>
        <v>#N/A</v>
      </c>
      <c r="J112" s="132" t="e">
        <f t="array" aca="1" ref="J112" ca="1">IF(AG112&lt;7,NA(),SUM(IFERROR(Propagações_TOT_URUGUAI!$B$7:$CD$110*(Propagações_TOT_URUGUAI!$B$6:$CD$6=$B112&amp;"A")*(Propagações_TOT_URUGUAI!$A$7:$A$110&gt;=PREVS_SMAP!J$26)*(Propagações_TOT_URUGUAI!$A$7:$A$110&lt;=PREVS_SMAP!J$27),0))/7    )</f>
        <v>#N/A</v>
      </c>
      <c r="K112" s="132" t="e">
        <f t="array" aca="1" ref="K112" ca="1">IF(AH112&lt;7,NA(),SUM(IFERROR(Propagações_TOT_URUGUAI!$B$7:$CD$110*(Propagações_TOT_URUGUAI!$B$6:$CD$6=$B112&amp;"A")*(Propagações_TOT_URUGUAI!$A$7:$A$110&gt;=PREVS_SMAP!K$26)*(Propagações_TOT_URUGUAI!$A$7:$A$110&lt;=PREVS_SMAP!K$27),0))/7    )</f>
        <v>#N/A</v>
      </c>
      <c r="L112" s="132" t="e">
        <f t="array" aca="1" ref="L112" ca="1">IF(AI112&lt;7,NA(),SUM(IFERROR(Propagações_TOT_URUGUAI!$B$7:$CD$110*(Propagações_TOT_URUGUAI!$B$6:$CD$6=$B112&amp;"A")*(Propagações_TOT_URUGUAI!$A$7:$A$110&gt;=PREVS_SMAP!L$26)*(Propagações_TOT_URUGUAI!$A$7:$A$110&lt;=PREVS_SMAP!L$27),0))/7    )</f>
        <v>#N/A</v>
      </c>
      <c r="M112" s="132" t="e">
        <f t="array" aca="1" ref="M112" ca="1">IF(AJ112&lt;7,NA(),SUM(IFERROR(Propagações_TOT_URUGUAI!$B$7:$CD$110*(Propagações_TOT_URUGUAI!$B$6:$CD$6=$B112&amp;"A")*(Propagações_TOT_URUGUAI!$A$7:$A$110&gt;=PREVS_SMAP!M$26)*(Propagações_TOT_URUGUAI!$A$7:$A$110&lt;=PREVS_SMAP!M$27),0))/7    )</f>
        <v>#N/A</v>
      </c>
      <c r="N112" s="132" t="e">
        <f t="array" aca="1" ref="N112" ca="1">IF(AK112&lt;7,NA(),SUM(IFERROR(Propagações_TOT_URUGUAI!$B$7:$CD$110*(Propagações_TOT_URUGUAI!$B$6:$CD$6=$B112&amp;"A")*(Propagações_TOT_URUGUAI!$A$7:$A$110&gt;=PREVS_SMAP!N$26)*(Propagações_TOT_URUGUAI!$A$7:$A$110&lt;=PREVS_SMAP!N$27),0))/7    )</f>
        <v>#N/A</v>
      </c>
      <c r="O112" s="132" t="e">
        <f t="array" aca="1" ref="O112" ca="1">IF(AL112&lt;7,NA(),SUM(IFERROR(Propagações_TOT_URUGUAI!$B$7:$CD$110*(Propagações_TOT_URUGUAI!$B$6:$CD$6=$B112&amp;"A")*(Propagações_TOT_URUGUAI!$A$7:$A$110&gt;=PREVS_SMAP!O$26)*(Propagações_TOT_URUGUAI!$A$7:$A$110&lt;=PREVS_SMAP!O$27),0))/7    )</f>
        <v>#N/A</v>
      </c>
      <c r="R112">
        <v>85</v>
      </c>
      <c r="S112" s="40"/>
      <c r="T112" s="40"/>
      <c r="U112" s="131"/>
      <c r="V112" s="131"/>
      <c r="W112" s="131"/>
      <c r="X112" s="131"/>
      <c r="Y112" s="131"/>
      <c r="Z112" s="131"/>
      <c r="AA112" s="131"/>
      <c r="AB112" s="131"/>
      <c r="AD112" s="272">
        <f t="array" aca="1" ref="AD112" ca="1">SUM(IFERROR(ISNUMBER(Propagações_TOT_URUGUAI!$B$7:$CD$110)*(Propagações_TOT_URUGUAI!$B$6:$CD$6=$B112&amp;"A")*(Propagações_TOT_URUGUAI!$A$7:$A$110&gt;=PREVS_SMAP!G$26)*(Propagações_TOT_URUGUAI!$A$7:$A$110&lt;=PREVS_SMAP!G$27),0))</f>
        <v>0</v>
      </c>
      <c r="AE112" s="272">
        <f t="array" aca="1" ref="AE112" ca="1">SUM(IFERROR(ISNUMBER(Propagações_TOT_URUGUAI!$B$7:$CD$110)*(Propagações_TOT_URUGUAI!$B$6:$CD$6=$B112&amp;"A")*(Propagações_TOT_URUGUAI!$A$7:$A$110&gt;=PREVS_SMAP!H$26)*(Propagações_TOT_URUGUAI!$A$7:$A$110&lt;=PREVS_SMAP!H$27),0))</f>
        <v>0</v>
      </c>
      <c r="AF112" s="272">
        <f t="array" aca="1" ref="AF112" ca="1">SUM(IFERROR(ISNUMBER(Propagações_TOT_URUGUAI!$B$7:$CD$110)*(Propagações_TOT_URUGUAI!$B$6:$CD$6=$B112&amp;"A")*(Propagações_TOT_URUGUAI!$A$7:$A$110&gt;=PREVS_SMAP!I$26)*(Propagações_TOT_URUGUAI!$A$7:$A$110&lt;=PREVS_SMAP!I$27),0))</f>
        <v>0</v>
      </c>
      <c r="AG112" s="272">
        <f t="array" aca="1" ref="AG112" ca="1">SUM(IFERROR(ISNUMBER(Propagações_TOT_URUGUAI!$B$7:$CD$110)*(Propagações_TOT_URUGUAI!$B$6:$CD$6=$B112&amp;"A")*(Propagações_TOT_URUGUAI!$A$7:$A$110&gt;=PREVS_SMAP!J$26)*(Propagações_TOT_URUGUAI!$A$7:$A$110&lt;=PREVS_SMAP!J$27),0))</f>
        <v>0</v>
      </c>
      <c r="AH112" s="272">
        <f t="array" aca="1" ref="AH112" ca="1">SUM(IFERROR(ISNUMBER(Propagações_TOT_URUGUAI!$B$7:$CD$110)*(Propagações_TOT_URUGUAI!$B$6:$CD$6=$B112&amp;"A")*(Propagações_TOT_URUGUAI!$A$7:$A$110&gt;=PREVS_SMAP!K$26)*(Propagações_TOT_URUGUAI!$A$7:$A$110&lt;=PREVS_SMAP!K$27),0))</f>
        <v>0</v>
      </c>
      <c r="AI112" s="272">
        <f t="array" aca="1" ref="AI112" ca="1">SUM(IFERROR(ISNUMBER(Propagações_TOT_URUGUAI!$B$7:$CD$110)*(Propagações_TOT_URUGUAI!$B$6:$CD$6=$B112&amp;"A")*(Propagações_TOT_URUGUAI!$A$7:$A$110&gt;=PREVS_SMAP!L$26)*(Propagações_TOT_URUGUAI!$A$7:$A$110&lt;=PREVS_SMAP!L$27),0))</f>
        <v>0</v>
      </c>
      <c r="AJ112" s="272">
        <f t="array" aca="1" ref="AJ112" ca="1">SUM(IFERROR(ISNUMBER(Propagações_TOT_URUGUAI!$B$7:$CD$110)*(Propagações_TOT_URUGUAI!$B$6:$CD$6=$B112&amp;"A")*(Propagações_TOT_URUGUAI!$A$7:$A$110&gt;=PREVS_SMAP!M$26)*(Propagações_TOT_URUGUAI!$A$7:$A$110&lt;=PREVS_SMAP!M$27),0))</f>
        <v>0</v>
      </c>
      <c r="AK112" s="272">
        <f t="array" aca="1" ref="AK112" ca="1">SUM(IFERROR(ISNUMBER(Propagações_TOT_URUGUAI!$B$7:$CD$110)*(Propagações_TOT_URUGUAI!$B$6:$CD$6=$B112&amp;"A")*(Propagações_TOT_URUGUAI!$A$7:$A$110&gt;=PREVS_SMAP!N$26)*(Propagações_TOT_URUGUAI!$A$7:$A$110&lt;=PREVS_SMAP!N$27),0))</f>
        <v>0</v>
      </c>
      <c r="AL112" s="272">
        <f t="array" aca="1" ref="AL112" ca="1">SUM(IFERROR(ISNUMBER(Propagações_TOT_URUGUAI!$B$7:$CD$110)*(Propagações_TOT_URUGUAI!$B$6:$CD$6=$B112&amp;"A")*(Propagações_TOT_URUGUAI!$A$7:$A$110&gt;=PREVS_SMAP!O$26)*(Propagações_TOT_URUGUAI!$A$7:$A$110&lt;=PREVS_SMAP!O$27),0))</f>
        <v>0</v>
      </c>
      <c r="AN112" s="121"/>
      <c r="AO112" s="121" t="e">
        <f t="shared" si="30"/>
        <v>#DIV/0!</v>
      </c>
      <c r="AP112" s="121" t="b">
        <f t="shared" si="31"/>
        <v>0</v>
      </c>
      <c r="AU112" s="121"/>
      <c r="AV112" s="121"/>
      <c r="AW112" s="159"/>
      <c r="AX112" s="159"/>
      <c r="AY112" s="159"/>
      <c r="AZ112" s="157"/>
      <c r="BA112" s="157"/>
      <c r="BB112" s="121">
        <f t="shared" ca="1" si="32"/>
        <v>0</v>
      </c>
      <c r="BC112" s="272">
        <f t="shared" ca="1" si="33"/>
        <v>0</v>
      </c>
      <c r="BD112" s="272">
        <f t="shared" ca="1" si="33"/>
        <v>0</v>
      </c>
      <c r="BE112" s="272">
        <f t="shared" ca="1" si="33"/>
        <v>0</v>
      </c>
      <c r="BF112" s="272">
        <f t="shared" ca="1" si="33"/>
        <v>0</v>
      </c>
      <c r="BG112"/>
    </row>
    <row r="113" spans="1:59" ht="13.5" thickBot="1" x14ac:dyDescent="0.25">
      <c r="A113" s="264">
        <v>94</v>
      </c>
      <c r="B113" s="261" t="str">
        <f t="shared" si="38"/>
        <v>94_VN</v>
      </c>
      <c r="C113" s="264" t="s">
        <v>177</v>
      </c>
      <c r="D113" s="132">
        <f t="array" aca="1" ref="D113" ca="1">SUM(IFERROR(Propagações_TOT_URUGUAI!$B$7:$CD$110*(Propagações_TOT_URUGUAI!$B$6:$CD$6=$B113&amp;"A")*(Propagações_TOT_URUGUAI!$A$7:$A$110&gt;=PREVS_SMAP!D$26)*(Propagações_TOT_URUGUAI!$A$7:$A$110&lt;=PREVS_SMAP!D$27),0))/7</f>
        <v>0</v>
      </c>
      <c r="E113" s="132">
        <f t="array" aca="1" ref="E113" ca="1">SUM(IFERROR(Propagações_TOT_URUGUAI!$B$7:$CD$110*(Propagações_TOT_URUGUAI!$B$6:$CD$6=$B113&amp;"A")*(Propagações_TOT_URUGUAI!$A$7:$A$110&gt;=PREVS_SMAP!E$26)*(Propagações_TOT_URUGUAI!$A$7:$A$110&lt;=PREVS_SMAP!E$27),0))/7</f>
        <v>320.14285714285717</v>
      </c>
      <c r="F113" s="132">
        <f t="array" aca="1" ref="F113" ca="1">SUM(IFERROR(Propagações_TOT_URUGUAI!$B$7:$CD$110*(Propagações_TOT_URUGUAI!$B$6:$CD$6=$B113&amp;"A")*(Propagações_TOT_URUGUAI!$A$7:$A$110&gt;=PREVS_SMAP!F$26)*(Propagações_TOT_URUGUAI!$A$7:$A$110&lt;=PREVS_SMAP!F$27),0))/7</f>
        <v>128.42857142857142</v>
      </c>
      <c r="G113" s="132" t="e">
        <f t="array" aca="1" ref="G113" ca="1">IF(AD113&lt;7,NA(),SUM(IFERROR(Propagações_TOT_URUGUAI!$B$7:$CD$110*(Propagações_TOT_URUGUAI!$B$6:$CD$6=$B113&amp;"A")*(Propagações_TOT_URUGUAI!$A$7:$A$110&gt;=PREVS_SMAP!G$26)*(Propagações_TOT_URUGUAI!$A$7:$A$110&lt;=PREVS_SMAP!G$27),0))/7    )</f>
        <v>#N/A</v>
      </c>
      <c r="H113" s="132" t="e">
        <f t="array" aca="1" ref="H113" ca="1">IF(AE113&lt;7,NA(),SUM(IFERROR(Propagações_TOT_URUGUAI!$B$7:$CD$110*(Propagações_TOT_URUGUAI!$B$6:$CD$6=$B113&amp;"A")*(Propagações_TOT_URUGUAI!$A$7:$A$110&gt;=PREVS_SMAP!H$26)*(Propagações_TOT_URUGUAI!$A$7:$A$110&lt;=PREVS_SMAP!H$27),0))/7    )</f>
        <v>#N/A</v>
      </c>
      <c r="I113" s="132" t="e">
        <f t="array" aca="1" ref="I113" ca="1">IF(AF113&lt;7,NA(),SUM(IFERROR(Propagações_TOT_URUGUAI!$B$7:$CD$110*(Propagações_TOT_URUGUAI!$B$6:$CD$6=$B113&amp;"A")*(Propagações_TOT_URUGUAI!$A$7:$A$110&gt;=PREVS_SMAP!I$26)*(Propagações_TOT_URUGUAI!$A$7:$A$110&lt;=PREVS_SMAP!I$27),0))/7    )</f>
        <v>#N/A</v>
      </c>
      <c r="J113" s="132" t="e">
        <f t="array" aca="1" ref="J113" ca="1">IF(AG113&lt;7,NA(),SUM(IFERROR(Propagações_TOT_URUGUAI!$B$7:$CD$110*(Propagações_TOT_URUGUAI!$B$6:$CD$6=$B113&amp;"A")*(Propagações_TOT_URUGUAI!$A$7:$A$110&gt;=PREVS_SMAP!J$26)*(Propagações_TOT_URUGUAI!$A$7:$A$110&lt;=PREVS_SMAP!J$27),0))/7    )</f>
        <v>#N/A</v>
      </c>
      <c r="K113" s="132" t="e">
        <f t="array" aca="1" ref="K113" ca="1">IF(AH113&lt;7,NA(),SUM(IFERROR(Propagações_TOT_URUGUAI!$B$7:$CD$110*(Propagações_TOT_URUGUAI!$B$6:$CD$6=$B113&amp;"A")*(Propagações_TOT_URUGUAI!$A$7:$A$110&gt;=PREVS_SMAP!K$26)*(Propagações_TOT_URUGUAI!$A$7:$A$110&lt;=PREVS_SMAP!K$27),0))/7    )</f>
        <v>#N/A</v>
      </c>
      <c r="L113" s="132" t="e">
        <f t="array" aca="1" ref="L113" ca="1">IF(AI113&lt;7,NA(),SUM(IFERROR(Propagações_TOT_URUGUAI!$B$7:$CD$110*(Propagações_TOT_URUGUAI!$B$6:$CD$6=$B113&amp;"A")*(Propagações_TOT_URUGUAI!$A$7:$A$110&gt;=PREVS_SMAP!L$26)*(Propagações_TOT_URUGUAI!$A$7:$A$110&lt;=PREVS_SMAP!L$27),0))/7    )</f>
        <v>#N/A</v>
      </c>
      <c r="M113" s="132" t="e">
        <f t="array" aca="1" ref="M113" ca="1">IF(AJ113&lt;7,NA(),SUM(IFERROR(Propagações_TOT_URUGUAI!$B$7:$CD$110*(Propagações_TOT_URUGUAI!$B$6:$CD$6=$B113&amp;"A")*(Propagações_TOT_URUGUAI!$A$7:$A$110&gt;=PREVS_SMAP!M$26)*(Propagações_TOT_URUGUAI!$A$7:$A$110&lt;=PREVS_SMAP!M$27),0))/7    )</f>
        <v>#N/A</v>
      </c>
      <c r="N113" s="132" t="e">
        <f t="array" aca="1" ref="N113" ca="1">IF(AK113&lt;7,NA(),SUM(IFERROR(Propagações_TOT_URUGUAI!$B$7:$CD$110*(Propagações_TOT_URUGUAI!$B$6:$CD$6=$B113&amp;"A")*(Propagações_TOT_URUGUAI!$A$7:$A$110&gt;=PREVS_SMAP!N$26)*(Propagações_TOT_URUGUAI!$A$7:$A$110&lt;=PREVS_SMAP!N$27),0))/7    )</f>
        <v>#N/A</v>
      </c>
      <c r="O113" s="132" t="e">
        <f t="array" aca="1" ref="O113" ca="1">IF(AL113&lt;7,NA(),SUM(IFERROR(Propagações_TOT_URUGUAI!$B$7:$CD$110*(Propagações_TOT_URUGUAI!$B$6:$CD$6=$B113&amp;"A")*(Propagações_TOT_URUGUAI!$A$7:$A$110&gt;=PREVS_SMAP!O$26)*(Propagações_TOT_URUGUAI!$A$7:$A$110&lt;=PREVS_SMAP!O$27),0))/7    )</f>
        <v>#N/A</v>
      </c>
      <c r="R113">
        <v>86</v>
      </c>
      <c r="S113" s="40"/>
      <c r="T113" s="40"/>
      <c r="U113" s="131"/>
      <c r="V113" s="131"/>
      <c r="W113" s="131"/>
      <c r="X113" s="131"/>
      <c r="Y113" s="131"/>
      <c r="Z113" s="131"/>
      <c r="AA113" s="131"/>
      <c r="AB113" s="131"/>
      <c r="AD113" s="272">
        <f t="array" aca="1" ref="AD113" ca="1">SUM(IFERROR(ISNUMBER(Propagações_TOT_URUGUAI!$B$7:$CD$110)*(Propagações_TOT_URUGUAI!$B$6:$CD$6=$B113&amp;"A")*(Propagações_TOT_URUGUAI!$A$7:$A$110&gt;=PREVS_SMAP!G$26)*(Propagações_TOT_URUGUAI!$A$7:$A$110&lt;=PREVS_SMAP!G$27),0))</f>
        <v>0</v>
      </c>
      <c r="AE113" s="272">
        <f t="array" aca="1" ref="AE113" ca="1">SUM(IFERROR(ISNUMBER(Propagações_TOT_URUGUAI!$B$7:$CD$110)*(Propagações_TOT_URUGUAI!$B$6:$CD$6=$B113&amp;"A")*(Propagações_TOT_URUGUAI!$A$7:$A$110&gt;=PREVS_SMAP!H$26)*(Propagações_TOT_URUGUAI!$A$7:$A$110&lt;=PREVS_SMAP!H$27),0))</f>
        <v>0</v>
      </c>
      <c r="AF113" s="272">
        <f t="array" aca="1" ref="AF113" ca="1">SUM(IFERROR(ISNUMBER(Propagações_TOT_URUGUAI!$B$7:$CD$110)*(Propagações_TOT_URUGUAI!$B$6:$CD$6=$B113&amp;"A")*(Propagações_TOT_URUGUAI!$A$7:$A$110&gt;=PREVS_SMAP!I$26)*(Propagações_TOT_URUGUAI!$A$7:$A$110&lt;=PREVS_SMAP!I$27),0))</f>
        <v>0</v>
      </c>
      <c r="AG113" s="272">
        <f t="array" aca="1" ref="AG113" ca="1">SUM(IFERROR(ISNUMBER(Propagações_TOT_URUGUAI!$B$7:$CD$110)*(Propagações_TOT_URUGUAI!$B$6:$CD$6=$B113&amp;"A")*(Propagações_TOT_URUGUAI!$A$7:$A$110&gt;=PREVS_SMAP!J$26)*(Propagações_TOT_URUGUAI!$A$7:$A$110&lt;=PREVS_SMAP!J$27),0))</f>
        <v>0</v>
      </c>
      <c r="AH113" s="272">
        <f t="array" aca="1" ref="AH113" ca="1">SUM(IFERROR(ISNUMBER(Propagações_TOT_URUGUAI!$B$7:$CD$110)*(Propagações_TOT_URUGUAI!$B$6:$CD$6=$B113&amp;"A")*(Propagações_TOT_URUGUAI!$A$7:$A$110&gt;=PREVS_SMAP!K$26)*(Propagações_TOT_URUGUAI!$A$7:$A$110&lt;=PREVS_SMAP!K$27),0))</f>
        <v>0</v>
      </c>
      <c r="AI113" s="272">
        <f t="array" aca="1" ref="AI113" ca="1">SUM(IFERROR(ISNUMBER(Propagações_TOT_URUGUAI!$B$7:$CD$110)*(Propagações_TOT_URUGUAI!$B$6:$CD$6=$B113&amp;"A")*(Propagações_TOT_URUGUAI!$A$7:$A$110&gt;=PREVS_SMAP!L$26)*(Propagações_TOT_URUGUAI!$A$7:$A$110&lt;=PREVS_SMAP!L$27),0))</f>
        <v>0</v>
      </c>
      <c r="AJ113" s="272">
        <f t="array" aca="1" ref="AJ113" ca="1">SUM(IFERROR(ISNUMBER(Propagações_TOT_URUGUAI!$B$7:$CD$110)*(Propagações_TOT_URUGUAI!$B$6:$CD$6=$B113&amp;"A")*(Propagações_TOT_URUGUAI!$A$7:$A$110&gt;=PREVS_SMAP!M$26)*(Propagações_TOT_URUGUAI!$A$7:$A$110&lt;=PREVS_SMAP!M$27),0))</f>
        <v>0</v>
      </c>
      <c r="AK113" s="272">
        <f t="array" aca="1" ref="AK113" ca="1">SUM(IFERROR(ISNUMBER(Propagações_TOT_URUGUAI!$B$7:$CD$110)*(Propagações_TOT_URUGUAI!$B$6:$CD$6=$B113&amp;"A")*(Propagações_TOT_URUGUAI!$A$7:$A$110&gt;=PREVS_SMAP!N$26)*(Propagações_TOT_URUGUAI!$A$7:$A$110&lt;=PREVS_SMAP!N$27),0))</f>
        <v>0</v>
      </c>
      <c r="AL113" s="272">
        <f t="array" aca="1" ref="AL113" ca="1">SUM(IFERROR(ISNUMBER(Propagações_TOT_URUGUAI!$B$7:$CD$110)*(Propagações_TOT_URUGUAI!$B$6:$CD$6=$B113&amp;"A")*(Propagações_TOT_URUGUAI!$A$7:$A$110&gt;=PREVS_SMAP!O$26)*(Propagações_TOT_URUGUAI!$A$7:$A$110&lt;=PREVS_SMAP!O$27),0))</f>
        <v>0</v>
      </c>
      <c r="AN113" s="121"/>
      <c r="AO113" s="121" t="e">
        <f t="shared" si="30"/>
        <v>#DIV/0!</v>
      </c>
      <c r="AP113" s="121" t="b">
        <f t="shared" si="31"/>
        <v>0</v>
      </c>
      <c r="AU113" s="121"/>
      <c r="AV113" s="121"/>
      <c r="AW113" s="159"/>
      <c r="AX113" s="159"/>
      <c r="AY113" s="159"/>
      <c r="AZ113" s="157"/>
      <c r="BA113" s="157"/>
      <c r="BB113" s="121">
        <f t="shared" ca="1" si="32"/>
        <v>0</v>
      </c>
      <c r="BC113" s="272">
        <f t="shared" ca="1" si="33"/>
        <v>0</v>
      </c>
      <c r="BD113" s="272">
        <f t="shared" ca="1" si="33"/>
        <v>0</v>
      </c>
      <c r="BE113" s="272">
        <f t="shared" ca="1" si="33"/>
        <v>0</v>
      </c>
      <c r="BF113" s="272">
        <f t="shared" ca="1" si="33"/>
        <v>0</v>
      </c>
      <c r="BG113"/>
    </row>
    <row r="114" spans="1:59" ht="13.5" thickBot="1" x14ac:dyDescent="0.25">
      <c r="A114" s="264">
        <v>286</v>
      </c>
      <c r="B114" s="261" t="str">
        <f t="shared" si="38"/>
        <v>286_VN</v>
      </c>
      <c r="C114" s="264" t="s">
        <v>178</v>
      </c>
      <c r="D114" s="132">
        <f t="array" aca="1" ref="D114" ca="1">SUM(IFERROR(Propagações_TOT_URUGUAI!$B$7:$CD$110*(Propagações_TOT_URUGUAI!$B$6:$CD$6=$B114&amp;"A")*(Propagações_TOT_URUGUAI!$A$7:$A$110&gt;=PREVS_SMAP!D$26)*(Propagações_TOT_URUGUAI!$A$7:$A$110&lt;=PREVS_SMAP!D$27),0))/7</f>
        <v>0</v>
      </c>
      <c r="E114" s="132">
        <f t="array" aca="1" ref="E114" ca="1">SUM(IFERROR(Propagações_TOT_URUGUAI!$B$7:$CD$110*(Propagações_TOT_URUGUAI!$B$6:$CD$6=$B114&amp;"A")*(Propagações_TOT_URUGUAI!$A$7:$A$110&gt;=PREVS_SMAP!E$26)*(Propagações_TOT_URUGUAI!$A$7:$A$110&lt;=PREVS_SMAP!E$27),0))/7</f>
        <v>33</v>
      </c>
      <c r="F114" s="132">
        <f t="array" aca="1" ref="F114" ca="1">SUM(IFERROR(Propagações_TOT_URUGUAI!$B$7:$CD$110*(Propagações_TOT_URUGUAI!$B$6:$CD$6=$B114&amp;"A")*(Propagações_TOT_URUGUAI!$A$7:$A$110&gt;=PREVS_SMAP!F$26)*(Propagações_TOT_URUGUAI!$A$7:$A$110&lt;=PREVS_SMAP!F$27),0))/7</f>
        <v>11.428571428571429</v>
      </c>
      <c r="G114" s="132" t="e">
        <f t="array" aca="1" ref="G114" ca="1">IF(AD114&lt;7,NA(),SUM(IFERROR(Propagações_TOT_URUGUAI!$B$7:$CD$110*(Propagações_TOT_URUGUAI!$B$6:$CD$6=$B114&amp;"A")*(Propagações_TOT_URUGUAI!$A$7:$A$110&gt;=PREVS_SMAP!G$26)*(Propagações_TOT_URUGUAI!$A$7:$A$110&lt;=PREVS_SMAP!G$27),0))/7    )</f>
        <v>#N/A</v>
      </c>
      <c r="H114" s="132" t="e">
        <f t="array" aca="1" ref="H114" ca="1">IF(AE114&lt;7,NA(),SUM(IFERROR(Propagações_TOT_URUGUAI!$B$7:$CD$110*(Propagações_TOT_URUGUAI!$B$6:$CD$6=$B114&amp;"A")*(Propagações_TOT_URUGUAI!$A$7:$A$110&gt;=PREVS_SMAP!H$26)*(Propagações_TOT_URUGUAI!$A$7:$A$110&lt;=PREVS_SMAP!H$27),0))/7    )</f>
        <v>#N/A</v>
      </c>
      <c r="I114" s="132" t="e">
        <f t="array" aca="1" ref="I114" ca="1">IF(AF114&lt;7,NA(),SUM(IFERROR(Propagações_TOT_URUGUAI!$B$7:$CD$110*(Propagações_TOT_URUGUAI!$B$6:$CD$6=$B114&amp;"A")*(Propagações_TOT_URUGUAI!$A$7:$A$110&gt;=PREVS_SMAP!I$26)*(Propagações_TOT_URUGUAI!$A$7:$A$110&lt;=PREVS_SMAP!I$27),0))/7    )</f>
        <v>#N/A</v>
      </c>
      <c r="J114" s="132" t="e">
        <f t="array" aca="1" ref="J114" ca="1">IF(AG114&lt;7,NA(),SUM(IFERROR(Propagações_TOT_URUGUAI!$B$7:$CD$110*(Propagações_TOT_URUGUAI!$B$6:$CD$6=$B114&amp;"A")*(Propagações_TOT_URUGUAI!$A$7:$A$110&gt;=PREVS_SMAP!J$26)*(Propagações_TOT_URUGUAI!$A$7:$A$110&lt;=PREVS_SMAP!J$27),0))/7    )</f>
        <v>#N/A</v>
      </c>
      <c r="K114" s="132" t="e">
        <f t="array" aca="1" ref="K114" ca="1">IF(AH114&lt;7,NA(),SUM(IFERROR(Propagações_TOT_URUGUAI!$B$7:$CD$110*(Propagações_TOT_URUGUAI!$B$6:$CD$6=$B114&amp;"A")*(Propagações_TOT_URUGUAI!$A$7:$A$110&gt;=PREVS_SMAP!K$26)*(Propagações_TOT_URUGUAI!$A$7:$A$110&lt;=PREVS_SMAP!K$27),0))/7    )</f>
        <v>#N/A</v>
      </c>
      <c r="L114" s="132" t="e">
        <f t="array" aca="1" ref="L114" ca="1">IF(AI114&lt;7,NA(),SUM(IFERROR(Propagações_TOT_URUGUAI!$B$7:$CD$110*(Propagações_TOT_URUGUAI!$B$6:$CD$6=$B114&amp;"A")*(Propagações_TOT_URUGUAI!$A$7:$A$110&gt;=PREVS_SMAP!L$26)*(Propagações_TOT_URUGUAI!$A$7:$A$110&lt;=PREVS_SMAP!L$27),0))/7    )</f>
        <v>#N/A</v>
      </c>
      <c r="M114" s="132" t="e">
        <f t="array" aca="1" ref="M114" ca="1">IF(AJ114&lt;7,NA(),SUM(IFERROR(Propagações_TOT_URUGUAI!$B$7:$CD$110*(Propagações_TOT_URUGUAI!$B$6:$CD$6=$B114&amp;"A")*(Propagações_TOT_URUGUAI!$A$7:$A$110&gt;=PREVS_SMAP!M$26)*(Propagações_TOT_URUGUAI!$A$7:$A$110&lt;=PREVS_SMAP!M$27),0))/7    )</f>
        <v>#N/A</v>
      </c>
      <c r="N114" s="132" t="e">
        <f t="array" aca="1" ref="N114" ca="1">IF(AK114&lt;7,NA(),SUM(IFERROR(Propagações_TOT_URUGUAI!$B$7:$CD$110*(Propagações_TOT_URUGUAI!$B$6:$CD$6=$B114&amp;"A")*(Propagações_TOT_URUGUAI!$A$7:$A$110&gt;=PREVS_SMAP!N$26)*(Propagações_TOT_URUGUAI!$A$7:$A$110&lt;=PREVS_SMAP!N$27),0))/7    )</f>
        <v>#N/A</v>
      </c>
      <c r="O114" s="132" t="e">
        <f t="array" aca="1" ref="O114" ca="1">IF(AL114&lt;7,NA(),SUM(IFERROR(Propagações_TOT_URUGUAI!$B$7:$CD$110*(Propagações_TOT_URUGUAI!$B$6:$CD$6=$B114&amp;"A")*(Propagações_TOT_URUGUAI!$A$7:$A$110&gt;=PREVS_SMAP!O$26)*(Propagações_TOT_URUGUAI!$A$7:$A$110&lt;=PREVS_SMAP!O$27),0))/7    )</f>
        <v>#N/A</v>
      </c>
      <c r="R114">
        <v>87</v>
      </c>
      <c r="S114" s="40"/>
      <c r="T114" s="40"/>
      <c r="U114" s="131"/>
      <c r="V114" s="131"/>
      <c r="W114" s="131"/>
      <c r="X114" s="131"/>
      <c r="Y114" s="131"/>
      <c r="Z114" s="131"/>
      <c r="AA114" s="131"/>
      <c r="AB114" s="131"/>
      <c r="AD114" s="272">
        <f t="array" aca="1" ref="AD114" ca="1">SUM(IFERROR(ISNUMBER(Propagações_TOT_URUGUAI!$B$7:$CD$110)*(Propagações_TOT_URUGUAI!$B$6:$CD$6=$B114&amp;"A")*(Propagações_TOT_URUGUAI!$A$7:$A$110&gt;=PREVS_SMAP!G$26)*(Propagações_TOT_URUGUAI!$A$7:$A$110&lt;=PREVS_SMAP!G$27),0))</f>
        <v>0</v>
      </c>
      <c r="AE114" s="272">
        <f t="array" aca="1" ref="AE114" ca="1">SUM(IFERROR(ISNUMBER(Propagações_TOT_URUGUAI!$B$7:$CD$110)*(Propagações_TOT_URUGUAI!$B$6:$CD$6=$B114&amp;"A")*(Propagações_TOT_URUGUAI!$A$7:$A$110&gt;=PREVS_SMAP!H$26)*(Propagações_TOT_URUGUAI!$A$7:$A$110&lt;=PREVS_SMAP!H$27),0))</f>
        <v>0</v>
      </c>
      <c r="AF114" s="272">
        <f t="array" aca="1" ref="AF114" ca="1">SUM(IFERROR(ISNUMBER(Propagações_TOT_URUGUAI!$B$7:$CD$110)*(Propagações_TOT_URUGUAI!$B$6:$CD$6=$B114&amp;"A")*(Propagações_TOT_URUGUAI!$A$7:$A$110&gt;=PREVS_SMAP!I$26)*(Propagações_TOT_URUGUAI!$A$7:$A$110&lt;=PREVS_SMAP!I$27),0))</f>
        <v>0</v>
      </c>
      <c r="AG114" s="272">
        <f t="array" aca="1" ref="AG114" ca="1">SUM(IFERROR(ISNUMBER(Propagações_TOT_URUGUAI!$B$7:$CD$110)*(Propagações_TOT_URUGUAI!$B$6:$CD$6=$B114&amp;"A")*(Propagações_TOT_URUGUAI!$A$7:$A$110&gt;=PREVS_SMAP!J$26)*(Propagações_TOT_URUGUAI!$A$7:$A$110&lt;=PREVS_SMAP!J$27),0))</f>
        <v>0</v>
      </c>
      <c r="AH114" s="272">
        <f t="array" aca="1" ref="AH114" ca="1">SUM(IFERROR(ISNUMBER(Propagações_TOT_URUGUAI!$B$7:$CD$110)*(Propagações_TOT_URUGUAI!$B$6:$CD$6=$B114&amp;"A")*(Propagações_TOT_URUGUAI!$A$7:$A$110&gt;=PREVS_SMAP!K$26)*(Propagações_TOT_URUGUAI!$A$7:$A$110&lt;=PREVS_SMAP!K$27),0))</f>
        <v>0</v>
      </c>
      <c r="AI114" s="272">
        <f t="array" aca="1" ref="AI114" ca="1">SUM(IFERROR(ISNUMBER(Propagações_TOT_URUGUAI!$B$7:$CD$110)*(Propagações_TOT_URUGUAI!$B$6:$CD$6=$B114&amp;"A")*(Propagações_TOT_URUGUAI!$A$7:$A$110&gt;=PREVS_SMAP!L$26)*(Propagações_TOT_URUGUAI!$A$7:$A$110&lt;=PREVS_SMAP!L$27),0))</f>
        <v>0</v>
      </c>
      <c r="AJ114" s="272">
        <f t="array" aca="1" ref="AJ114" ca="1">SUM(IFERROR(ISNUMBER(Propagações_TOT_URUGUAI!$B$7:$CD$110)*(Propagações_TOT_URUGUAI!$B$6:$CD$6=$B114&amp;"A")*(Propagações_TOT_URUGUAI!$A$7:$A$110&gt;=PREVS_SMAP!M$26)*(Propagações_TOT_URUGUAI!$A$7:$A$110&lt;=PREVS_SMAP!M$27),0))</f>
        <v>0</v>
      </c>
      <c r="AK114" s="272">
        <f t="array" aca="1" ref="AK114" ca="1">SUM(IFERROR(ISNUMBER(Propagações_TOT_URUGUAI!$B$7:$CD$110)*(Propagações_TOT_URUGUAI!$B$6:$CD$6=$B114&amp;"A")*(Propagações_TOT_URUGUAI!$A$7:$A$110&gt;=PREVS_SMAP!N$26)*(Propagações_TOT_URUGUAI!$A$7:$A$110&lt;=PREVS_SMAP!N$27),0))</f>
        <v>0</v>
      </c>
      <c r="AL114" s="272">
        <f t="array" aca="1" ref="AL114" ca="1">SUM(IFERROR(ISNUMBER(Propagações_TOT_URUGUAI!$B$7:$CD$110)*(Propagações_TOT_URUGUAI!$B$6:$CD$6=$B114&amp;"A")*(Propagações_TOT_URUGUAI!$A$7:$A$110&gt;=PREVS_SMAP!O$26)*(Propagações_TOT_URUGUAI!$A$7:$A$110&lt;=PREVS_SMAP!O$27),0))</f>
        <v>0</v>
      </c>
      <c r="AN114" s="121"/>
      <c r="AO114" s="121" t="e">
        <f t="shared" si="30"/>
        <v>#DIV/0!</v>
      </c>
      <c r="AP114" s="121" t="b">
        <f t="shared" si="31"/>
        <v>0</v>
      </c>
      <c r="AU114" s="121"/>
      <c r="AV114" s="121"/>
      <c r="AW114" s="159"/>
      <c r="AX114" s="159"/>
      <c r="AY114" s="159"/>
      <c r="AZ114" s="157"/>
      <c r="BA114" s="157"/>
      <c r="BB114" s="121">
        <f t="shared" ca="1" si="32"/>
        <v>0</v>
      </c>
      <c r="BC114" s="272">
        <f t="shared" ca="1" si="33"/>
        <v>0</v>
      </c>
      <c r="BD114" s="272">
        <f t="shared" ca="1" si="33"/>
        <v>0</v>
      </c>
      <c r="BE114" s="272">
        <f t="shared" ca="1" si="33"/>
        <v>0</v>
      </c>
      <c r="BF114" s="272">
        <f t="shared" ca="1" si="33"/>
        <v>0</v>
      </c>
      <c r="BG114"/>
    </row>
    <row r="115" spans="1:59" ht="13.5" thickBot="1" x14ac:dyDescent="0.25">
      <c r="A115" s="264">
        <v>102</v>
      </c>
      <c r="B115" s="261" t="str">
        <f t="shared" si="38"/>
        <v>102_VN</v>
      </c>
      <c r="C115" s="264" t="s">
        <v>179</v>
      </c>
      <c r="D115" s="132">
        <f t="array" aca="1" ref="D115" ca="1">SUM(IFERROR(Propagações_TOT_URUGUAI!$B$7:$CD$110*(Propagações_TOT_URUGUAI!$B$6:$CD$6=$B115&amp;"A")*(Propagações_TOT_URUGUAI!$A$7:$A$110&gt;=PREVS_SMAP!D$26)*(Propagações_TOT_URUGUAI!$A$7:$A$110&lt;=PREVS_SMAP!D$27),0))/7</f>
        <v>0</v>
      </c>
      <c r="E115" s="132">
        <f t="array" aca="1" ref="E115" ca="1">SUM(IFERROR(Propagações_TOT_URUGUAI!$B$7:$CD$110*(Propagações_TOT_URUGUAI!$B$6:$CD$6=$B115&amp;"A")*(Propagações_TOT_URUGUAI!$A$7:$A$110&gt;=PREVS_SMAP!E$26)*(Propagações_TOT_URUGUAI!$A$7:$A$110&lt;=PREVS_SMAP!E$27),0))/7</f>
        <v>91.571428571428569</v>
      </c>
      <c r="F115" s="132">
        <f t="array" aca="1" ref="F115" ca="1">SUM(IFERROR(Propagações_TOT_URUGUAI!$B$7:$CD$110*(Propagações_TOT_URUGUAI!$B$6:$CD$6=$B115&amp;"A")*(Propagações_TOT_URUGUAI!$A$7:$A$110&gt;=PREVS_SMAP!F$26)*(Propagações_TOT_URUGUAI!$A$7:$A$110&lt;=PREVS_SMAP!F$27),0))/7</f>
        <v>34.571428571428569</v>
      </c>
      <c r="G115" s="132" t="e">
        <f t="array" aca="1" ref="G115" ca="1">IF(AD115&lt;7,NA(),SUM(IFERROR(Propagações_TOT_URUGUAI!$B$7:$CD$110*(Propagações_TOT_URUGUAI!$B$6:$CD$6=$B115&amp;"A")*(Propagações_TOT_URUGUAI!$A$7:$A$110&gt;=PREVS_SMAP!G$26)*(Propagações_TOT_URUGUAI!$A$7:$A$110&lt;=PREVS_SMAP!G$27),0))/7    )</f>
        <v>#N/A</v>
      </c>
      <c r="H115" s="132" t="e">
        <f t="array" aca="1" ref="H115" ca="1">IF(AE115&lt;7,NA(),SUM(IFERROR(Propagações_TOT_URUGUAI!$B$7:$CD$110*(Propagações_TOT_URUGUAI!$B$6:$CD$6=$B115&amp;"A")*(Propagações_TOT_URUGUAI!$A$7:$A$110&gt;=PREVS_SMAP!H$26)*(Propagações_TOT_URUGUAI!$A$7:$A$110&lt;=PREVS_SMAP!H$27),0))/7    )</f>
        <v>#N/A</v>
      </c>
      <c r="I115" s="132" t="e">
        <f t="array" aca="1" ref="I115" ca="1">IF(AF115&lt;7,NA(),SUM(IFERROR(Propagações_TOT_URUGUAI!$B$7:$CD$110*(Propagações_TOT_URUGUAI!$B$6:$CD$6=$B115&amp;"A")*(Propagações_TOT_URUGUAI!$A$7:$A$110&gt;=PREVS_SMAP!I$26)*(Propagações_TOT_URUGUAI!$A$7:$A$110&lt;=PREVS_SMAP!I$27),0))/7    )</f>
        <v>#N/A</v>
      </c>
      <c r="J115" s="132" t="e">
        <f t="array" aca="1" ref="J115" ca="1">IF(AG115&lt;7,NA(),SUM(IFERROR(Propagações_TOT_URUGUAI!$B$7:$CD$110*(Propagações_TOT_URUGUAI!$B$6:$CD$6=$B115&amp;"A")*(Propagações_TOT_URUGUAI!$A$7:$A$110&gt;=PREVS_SMAP!J$26)*(Propagações_TOT_URUGUAI!$A$7:$A$110&lt;=PREVS_SMAP!J$27),0))/7    )</f>
        <v>#N/A</v>
      </c>
      <c r="K115" s="132" t="e">
        <f t="array" aca="1" ref="K115" ca="1">IF(AH115&lt;7,NA(),SUM(IFERROR(Propagações_TOT_URUGUAI!$B$7:$CD$110*(Propagações_TOT_URUGUAI!$B$6:$CD$6=$B115&amp;"A")*(Propagações_TOT_URUGUAI!$A$7:$A$110&gt;=PREVS_SMAP!K$26)*(Propagações_TOT_URUGUAI!$A$7:$A$110&lt;=PREVS_SMAP!K$27),0))/7    )</f>
        <v>#N/A</v>
      </c>
      <c r="L115" s="132" t="e">
        <f t="array" aca="1" ref="L115" ca="1">IF(AI115&lt;7,NA(),SUM(IFERROR(Propagações_TOT_URUGUAI!$B$7:$CD$110*(Propagações_TOT_URUGUAI!$B$6:$CD$6=$B115&amp;"A")*(Propagações_TOT_URUGUAI!$A$7:$A$110&gt;=PREVS_SMAP!L$26)*(Propagações_TOT_URUGUAI!$A$7:$A$110&lt;=PREVS_SMAP!L$27),0))/7    )</f>
        <v>#N/A</v>
      </c>
      <c r="M115" s="132" t="e">
        <f t="array" aca="1" ref="M115" ca="1">IF(AJ115&lt;7,NA(),SUM(IFERROR(Propagações_TOT_URUGUAI!$B$7:$CD$110*(Propagações_TOT_URUGUAI!$B$6:$CD$6=$B115&amp;"A")*(Propagações_TOT_URUGUAI!$A$7:$A$110&gt;=PREVS_SMAP!M$26)*(Propagações_TOT_URUGUAI!$A$7:$A$110&lt;=PREVS_SMAP!M$27),0))/7    )</f>
        <v>#N/A</v>
      </c>
      <c r="N115" s="132" t="e">
        <f t="array" aca="1" ref="N115" ca="1">IF(AK115&lt;7,NA(),SUM(IFERROR(Propagações_TOT_URUGUAI!$B$7:$CD$110*(Propagações_TOT_URUGUAI!$B$6:$CD$6=$B115&amp;"A")*(Propagações_TOT_URUGUAI!$A$7:$A$110&gt;=PREVS_SMAP!N$26)*(Propagações_TOT_URUGUAI!$A$7:$A$110&lt;=PREVS_SMAP!N$27),0))/7    )</f>
        <v>#N/A</v>
      </c>
      <c r="O115" s="132" t="e">
        <f t="array" aca="1" ref="O115" ca="1">IF(AL115&lt;7,NA(),SUM(IFERROR(Propagações_TOT_URUGUAI!$B$7:$CD$110*(Propagações_TOT_URUGUAI!$B$6:$CD$6=$B115&amp;"A")*(Propagações_TOT_URUGUAI!$A$7:$A$110&gt;=PREVS_SMAP!O$26)*(Propagações_TOT_URUGUAI!$A$7:$A$110&lt;=PREVS_SMAP!O$27),0))/7    )</f>
        <v>#N/A</v>
      </c>
      <c r="R115">
        <v>88</v>
      </c>
      <c r="S115" s="40"/>
      <c r="T115" s="40"/>
      <c r="U115" s="131"/>
      <c r="V115" s="131"/>
      <c r="W115" s="131"/>
      <c r="X115" s="131"/>
      <c r="Y115" s="131"/>
      <c r="Z115" s="131"/>
      <c r="AA115" s="131"/>
      <c r="AB115" s="131"/>
      <c r="AD115" s="272">
        <f t="array" aca="1" ref="AD115" ca="1">SUM(IFERROR(ISNUMBER(Propagações_TOT_URUGUAI!$B$7:$CD$110)*(Propagações_TOT_URUGUAI!$B$6:$CD$6=$B115&amp;"A")*(Propagações_TOT_URUGUAI!$A$7:$A$110&gt;=PREVS_SMAP!G$26)*(Propagações_TOT_URUGUAI!$A$7:$A$110&lt;=PREVS_SMAP!G$27),0))</f>
        <v>0</v>
      </c>
      <c r="AE115" s="272">
        <f t="array" aca="1" ref="AE115" ca="1">SUM(IFERROR(ISNUMBER(Propagações_TOT_URUGUAI!$B$7:$CD$110)*(Propagações_TOT_URUGUAI!$B$6:$CD$6=$B115&amp;"A")*(Propagações_TOT_URUGUAI!$A$7:$A$110&gt;=PREVS_SMAP!H$26)*(Propagações_TOT_URUGUAI!$A$7:$A$110&lt;=PREVS_SMAP!H$27),0))</f>
        <v>0</v>
      </c>
      <c r="AF115" s="272">
        <f t="array" aca="1" ref="AF115" ca="1">SUM(IFERROR(ISNUMBER(Propagações_TOT_URUGUAI!$B$7:$CD$110)*(Propagações_TOT_URUGUAI!$B$6:$CD$6=$B115&amp;"A")*(Propagações_TOT_URUGUAI!$A$7:$A$110&gt;=PREVS_SMAP!I$26)*(Propagações_TOT_URUGUAI!$A$7:$A$110&lt;=PREVS_SMAP!I$27),0))</f>
        <v>0</v>
      </c>
      <c r="AG115" s="272">
        <f t="array" aca="1" ref="AG115" ca="1">SUM(IFERROR(ISNUMBER(Propagações_TOT_URUGUAI!$B$7:$CD$110)*(Propagações_TOT_URUGUAI!$B$6:$CD$6=$B115&amp;"A")*(Propagações_TOT_URUGUAI!$A$7:$A$110&gt;=PREVS_SMAP!J$26)*(Propagações_TOT_URUGUAI!$A$7:$A$110&lt;=PREVS_SMAP!J$27),0))</f>
        <v>0</v>
      </c>
      <c r="AH115" s="272">
        <f t="array" aca="1" ref="AH115" ca="1">SUM(IFERROR(ISNUMBER(Propagações_TOT_URUGUAI!$B$7:$CD$110)*(Propagações_TOT_URUGUAI!$B$6:$CD$6=$B115&amp;"A")*(Propagações_TOT_URUGUAI!$A$7:$A$110&gt;=PREVS_SMAP!K$26)*(Propagações_TOT_URUGUAI!$A$7:$A$110&lt;=PREVS_SMAP!K$27),0))</f>
        <v>0</v>
      </c>
      <c r="AI115" s="272">
        <f t="array" aca="1" ref="AI115" ca="1">SUM(IFERROR(ISNUMBER(Propagações_TOT_URUGUAI!$B$7:$CD$110)*(Propagações_TOT_URUGUAI!$B$6:$CD$6=$B115&amp;"A")*(Propagações_TOT_URUGUAI!$A$7:$A$110&gt;=PREVS_SMAP!L$26)*(Propagações_TOT_URUGUAI!$A$7:$A$110&lt;=PREVS_SMAP!L$27),0))</f>
        <v>0</v>
      </c>
      <c r="AJ115" s="272">
        <f t="array" aca="1" ref="AJ115" ca="1">SUM(IFERROR(ISNUMBER(Propagações_TOT_URUGUAI!$B$7:$CD$110)*(Propagações_TOT_URUGUAI!$B$6:$CD$6=$B115&amp;"A")*(Propagações_TOT_URUGUAI!$A$7:$A$110&gt;=PREVS_SMAP!M$26)*(Propagações_TOT_URUGUAI!$A$7:$A$110&lt;=PREVS_SMAP!M$27),0))</f>
        <v>0</v>
      </c>
      <c r="AK115" s="272">
        <f t="array" aca="1" ref="AK115" ca="1">SUM(IFERROR(ISNUMBER(Propagações_TOT_URUGUAI!$B$7:$CD$110)*(Propagações_TOT_URUGUAI!$B$6:$CD$6=$B115&amp;"A")*(Propagações_TOT_URUGUAI!$A$7:$A$110&gt;=PREVS_SMAP!N$26)*(Propagações_TOT_URUGUAI!$A$7:$A$110&lt;=PREVS_SMAP!N$27),0))</f>
        <v>0</v>
      </c>
      <c r="AL115" s="272">
        <f t="array" aca="1" ref="AL115" ca="1">SUM(IFERROR(ISNUMBER(Propagações_TOT_URUGUAI!$B$7:$CD$110)*(Propagações_TOT_URUGUAI!$B$6:$CD$6=$B115&amp;"A")*(Propagações_TOT_URUGUAI!$A$7:$A$110&gt;=PREVS_SMAP!O$26)*(Propagações_TOT_URUGUAI!$A$7:$A$110&lt;=PREVS_SMAP!O$27),0))</f>
        <v>0</v>
      </c>
      <c r="AN115" s="121"/>
      <c r="AO115" s="121" t="e">
        <f t="shared" si="30"/>
        <v>#DIV/0!</v>
      </c>
      <c r="AP115" s="121" t="b">
        <f t="shared" si="31"/>
        <v>0</v>
      </c>
      <c r="AU115" s="121"/>
      <c r="AV115" s="121"/>
      <c r="AW115" s="159"/>
      <c r="AX115" s="159"/>
      <c r="AY115" s="159"/>
      <c r="AZ115" s="157"/>
      <c r="BA115" s="157"/>
      <c r="BB115" s="121">
        <f t="shared" ca="1" si="32"/>
        <v>0</v>
      </c>
      <c r="BC115" s="272">
        <f t="shared" ca="1" si="33"/>
        <v>0</v>
      </c>
      <c r="BD115" s="272">
        <f t="shared" ca="1" si="33"/>
        <v>0</v>
      </c>
      <c r="BE115" s="272">
        <f t="shared" ca="1" si="33"/>
        <v>0</v>
      </c>
      <c r="BF115" s="272">
        <f t="shared" ca="1" si="33"/>
        <v>0</v>
      </c>
      <c r="BG115"/>
    </row>
    <row r="116" spans="1:59" x14ac:dyDescent="0.2">
      <c r="A116" s="264">
        <v>103</v>
      </c>
      <c r="B116" s="261" t="str">
        <f t="shared" si="38"/>
        <v>103_VN</v>
      </c>
      <c r="C116" s="264" t="s">
        <v>180</v>
      </c>
      <c r="D116" s="132">
        <f t="array" aca="1" ref="D116" ca="1">SUM(IFERROR(Propagações_TOT_URUGUAI!$B$7:$CD$110*(Propagações_TOT_URUGUAI!$B$6:$CD$6=$B116&amp;"A")*(Propagações_TOT_URUGUAI!$A$7:$A$110&gt;=PREVS_SMAP!D$26)*(Propagações_TOT_URUGUAI!$A$7:$A$110&lt;=PREVS_SMAP!D$27),0))/7</f>
        <v>0</v>
      </c>
      <c r="E116" s="132">
        <f t="array" aca="1" ref="E116" ca="1">SUM(IFERROR(Propagações_TOT_URUGUAI!$B$7:$CD$110*(Propagações_TOT_URUGUAI!$B$6:$CD$6=$B116&amp;"A")*(Propagações_TOT_URUGUAI!$A$7:$A$110&gt;=PREVS_SMAP!E$26)*(Propagações_TOT_URUGUAI!$A$7:$A$110&lt;=PREVS_SMAP!E$27),0))/7</f>
        <v>95.714285714285708</v>
      </c>
      <c r="F116" s="132">
        <f t="array" aca="1" ref="F116" ca="1">SUM(IFERROR(Propagações_TOT_URUGUAI!$B$7:$CD$110*(Propagações_TOT_URUGUAI!$B$6:$CD$6=$B116&amp;"A")*(Propagações_TOT_URUGUAI!$A$7:$A$110&gt;=PREVS_SMAP!F$26)*(Propagações_TOT_URUGUAI!$A$7:$A$110&lt;=PREVS_SMAP!F$27),0))/7</f>
        <v>36.142857142857146</v>
      </c>
      <c r="G116" s="132" t="e">
        <f t="array" aca="1" ref="G116" ca="1">IF(AD116&lt;7,NA(),SUM(IFERROR(Propagações_TOT_URUGUAI!$B$7:$CD$110*(Propagações_TOT_URUGUAI!$B$6:$CD$6=$B116&amp;"A")*(Propagações_TOT_URUGUAI!$A$7:$A$110&gt;=PREVS_SMAP!G$26)*(Propagações_TOT_URUGUAI!$A$7:$A$110&lt;=PREVS_SMAP!G$27),0))/7    )</f>
        <v>#N/A</v>
      </c>
      <c r="H116" s="132" t="e">
        <f t="array" aca="1" ref="H116" ca="1">IF(AE116&lt;7,NA(),SUM(IFERROR(Propagações_TOT_URUGUAI!$B$7:$CD$110*(Propagações_TOT_URUGUAI!$B$6:$CD$6=$B116&amp;"A")*(Propagações_TOT_URUGUAI!$A$7:$A$110&gt;=PREVS_SMAP!H$26)*(Propagações_TOT_URUGUAI!$A$7:$A$110&lt;=PREVS_SMAP!H$27),0))/7    )</f>
        <v>#N/A</v>
      </c>
      <c r="I116" s="132" t="e">
        <f t="array" aca="1" ref="I116" ca="1">IF(AF116&lt;7,NA(),SUM(IFERROR(Propagações_TOT_URUGUAI!$B$7:$CD$110*(Propagações_TOT_URUGUAI!$B$6:$CD$6=$B116&amp;"A")*(Propagações_TOT_URUGUAI!$A$7:$A$110&gt;=PREVS_SMAP!I$26)*(Propagações_TOT_URUGUAI!$A$7:$A$110&lt;=PREVS_SMAP!I$27),0))/7    )</f>
        <v>#N/A</v>
      </c>
      <c r="J116" s="132" t="e">
        <f t="array" aca="1" ref="J116" ca="1">IF(AG116&lt;7,NA(),SUM(IFERROR(Propagações_TOT_URUGUAI!$B$7:$CD$110*(Propagações_TOT_URUGUAI!$B$6:$CD$6=$B116&amp;"A")*(Propagações_TOT_URUGUAI!$A$7:$A$110&gt;=PREVS_SMAP!J$26)*(Propagações_TOT_URUGUAI!$A$7:$A$110&lt;=PREVS_SMAP!J$27),0))/7    )</f>
        <v>#N/A</v>
      </c>
      <c r="K116" s="132" t="e">
        <f t="array" aca="1" ref="K116" ca="1">IF(AH116&lt;7,NA(),SUM(IFERROR(Propagações_TOT_URUGUAI!$B$7:$CD$110*(Propagações_TOT_URUGUAI!$B$6:$CD$6=$B116&amp;"A")*(Propagações_TOT_URUGUAI!$A$7:$A$110&gt;=PREVS_SMAP!K$26)*(Propagações_TOT_URUGUAI!$A$7:$A$110&lt;=PREVS_SMAP!K$27),0))/7    )</f>
        <v>#N/A</v>
      </c>
      <c r="L116" s="132" t="e">
        <f t="array" aca="1" ref="L116" ca="1">IF(AI116&lt;7,NA(),SUM(IFERROR(Propagações_TOT_URUGUAI!$B$7:$CD$110*(Propagações_TOT_URUGUAI!$B$6:$CD$6=$B116&amp;"A")*(Propagações_TOT_URUGUAI!$A$7:$A$110&gt;=PREVS_SMAP!L$26)*(Propagações_TOT_URUGUAI!$A$7:$A$110&lt;=PREVS_SMAP!L$27),0))/7    )</f>
        <v>#N/A</v>
      </c>
      <c r="M116" s="132" t="e">
        <f t="array" aca="1" ref="M116" ca="1">IF(AJ116&lt;7,NA(),SUM(IFERROR(Propagações_TOT_URUGUAI!$B$7:$CD$110*(Propagações_TOT_URUGUAI!$B$6:$CD$6=$B116&amp;"A")*(Propagações_TOT_URUGUAI!$A$7:$A$110&gt;=PREVS_SMAP!M$26)*(Propagações_TOT_URUGUAI!$A$7:$A$110&lt;=PREVS_SMAP!M$27),0))/7    )</f>
        <v>#N/A</v>
      </c>
      <c r="N116" s="132" t="e">
        <f t="array" aca="1" ref="N116" ca="1">IF(AK116&lt;7,NA(),SUM(IFERROR(Propagações_TOT_URUGUAI!$B$7:$CD$110*(Propagações_TOT_URUGUAI!$B$6:$CD$6=$B116&amp;"A")*(Propagações_TOT_URUGUAI!$A$7:$A$110&gt;=PREVS_SMAP!N$26)*(Propagações_TOT_URUGUAI!$A$7:$A$110&lt;=PREVS_SMAP!N$27),0))/7    )</f>
        <v>#N/A</v>
      </c>
      <c r="O116" s="132" t="e">
        <f t="array" aca="1" ref="O116" ca="1">IF(AL116&lt;7,NA(),SUM(IFERROR(Propagações_TOT_URUGUAI!$B$7:$CD$110*(Propagações_TOT_URUGUAI!$B$6:$CD$6=$B116&amp;"A")*(Propagações_TOT_URUGUAI!$A$7:$A$110&gt;=PREVS_SMAP!O$26)*(Propagações_TOT_URUGUAI!$A$7:$A$110&lt;=PREVS_SMAP!O$27),0))/7    )</f>
        <v>#N/A</v>
      </c>
      <c r="R116">
        <v>89</v>
      </c>
      <c r="S116" s="246">
        <f ca="1">AO116</f>
        <v>0</v>
      </c>
      <c r="T116" s="246" t="str">
        <f t="shared" ref="T116:AA116" ca="1" si="39">IFERROR(ROUND(INDEX(G$28:G$129,MATCH($R116,$A$28:$A$129,0)),0),IF(AND($K$4,ISNUMBER(H$143)),ROUND(G$143*S116,0),""))</f>
        <v/>
      </c>
      <c r="U116" s="246" t="str">
        <f t="shared" ca="1" si="39"/>
        <v/>
      </c>
      <c r="V116" s="246" t="str">
        <f t="shared" ca="1" si="39"/>
        <v/>
      </c>
      <c r="W116" s="246" t="str">
        <f t="shared" ca="1" si="39"/>
        <v/>
      </c>
      <c r="X116" s="246" t="str">
        <f t="shared" ca="1" si="39"/>
        <v/>
      </c>
      <c r="Y116" s="246" t="str">
        <f t="shared" ca="1" si="39"/>
        <v/>
      </c>
      <c r="Z116" s="246" t="str">
        <f t="shared" ca="1" si="39"/>
        <v/>
      </c>
      <c r="AA116" s="246" t="str">
        <f t="shared" ca="1" si="39"/>
        <v/>
      </c>
      <c r="AB116" s="246" t="str">
        <f ca="1">IFERROR(ROUND(INDEX(O$28:O$129,MATCH($R116,$A$28:$A$129,0)),0),"")</f>
        <v/>
      </c>
      <c r="AD116" s="272">
        <f t="array" aca="1" ref="AD116" ca="1">SUM(IFERROR(ISNUMBER(Propagações_TOT_URUGUAI!$B$7:$CD$110)*(Propagações_TOT_URUGUAI!$B$6:$CD$6=$B116&amp;"A")*(Propagações_TOT_URUGUAI!$A$7:$A$110&gt;=PREVS_SMAP!G$26)*(Propagações_TOT_URUGUAI!$A$7:$A$110&lt;=PREVS_SMAP!G$27),0))</f>
        <v>0</v>
      </c>
      <c r="AE116" s="272">
        <f t="array" aca="1" ref="AE116" ca="1">SUM(IFERROR(ISNUMBER(Propagações_TOT_URUGUAI!$B$7:$CD$110)*(Propagações_TOT_URUGUAI!$B$6:$CD$6=$B116&amp;"A")*(Propagações_TOT_URUGUAI!$A$7:$A$110&gt;=PREVS_SMAP!H$26)*(Propagações_TOT_URUGUAI!$A$7:$A$110&lt;=PREVS_SMAP!H$27),0))</f>
        <v>0</v>
      </c>
      <c r="AF116" s="272">
        <f t="array" aca="1" ref="AF116" ca="1">SUM(IFERROR(ISNUMBER(Propagações_TOT_URUGUAI!$B$7:$CD$110)*(Propagações_TOT_URUGUAI!$B$6:$CD$6=$B116&amp;"A")*(Propagações_TOT_URUGUAI!$A$7:$A$110&gt;=PREVS_SMAP!I$26)*(Propagações_TOT_URUGUAI!$A$7:$A$110&lt;=PREVS_SMAP!I$27),0))</f>
        <v>0</v>
      </c>
      <c r="AG116" s="272">
        <f t="array" aca="1" ref="AG116" ca="1">SUM(IFERROR(ISNUMBER(Propagações_TOT_URUGUAI!$B$7:$CD$110)*(Propagações_TOT_URUGUAI!$B$6:$CD$6=$B116&amp;"A")*(Propagações_TOT_URUGUAI!$A$7:$A$110&gt;=PREVS_SMAP!J$26)*(Propagações_TOT_URUGUAI!$A$7:$A$110&lt;=PREVS_SMAP!J$27),0))</f>
        <v>0</v>
      </c>
      <c r="AH116" s="272">
        <f t="array" aca="1" ref="AH116" ca="1">SUM(IFERROR(ISNUMBER(Propagações_TOT_URUGUAI!$B$7:$CD$110)*(Propagações_TOT_URUGUAI!$B$6:$CD$6=$B116&amp;"A")*(Propagações_TOT_URUGUAI!$A$7:$A$110&gt;=PREVS_SMAP!K$26)*(Propagações_TOT_URUGUAI!$A$7:$A$110&lt;=PREVS_SMAP!K$27),0))</f>
        <v>0</v>
      </c>
      <c r="AI116" s="272">
        <f t="array" aca="1" ref="AI116" ca="1">SUM(IFERROR(ISNUMBER(Propagações_TOT_URUGUAI!$B$7:$CD$110)*(Propagações_TOT_URUGUAI!$B$6:$CD$6=$B116&amp;"A")*(Propagações_TOT_URUGUAI!$A$7:$A$110&gt;=PREVS_SMAP!L$26)*(Propagações_TOT_URUGUAI!$A$7:$A$110&lt;=PREVS_SMAP!L$27),0))</f>
        <v>0</v>
      </c>
      <c r="AJ116" s="272">
        <f t="array" aca="1" ref="AJ116" ca="1">SUM(IFERROR(ISNUMBER(Propagações_TOT_URUGUAI!$B$7:$CD$110)*(Propagações_TOT_URUGUAI!$B$6:$CD$6=$B116&amp;"A")*(Propagações_TOT_URUGUAI!$A$7:$A$110&gt;=PREVS_SMAP!M$26)*(Propagações_TOT_URUGUAI!$A$7:$A$110&lt;=PREVS_SMAP!M$27),0))</f>
        <v>0</v>
      </c>
      <c r="AK116" s="272">
        <f t="array" aca="1" ref="AK116" ca="1">SUM(IFERROR(ISNUMBER(Propagações_TOT_URUGUAI!$B$7:$CD$110)*(Propagações_TOT_URUGUAI!$B$6:$CD$6=$B116&amp;"A")*(Propagações_TOT_URUGUAI!$A$7:$A$110&gt;=PREVS_SMAP!N$26)*(Propagações_TOT_URUGUAI!$A$7:$A$110&lt;=PREVS_SMAP!N$27),0))</f>
        <v>0</v>
      </c>
      <c r="AL116" s="272">
        <f t="array" aca="1" ref="AL116" ca="1">SUM(IFERROR(ISNUMBER(Propagações_TOT_URUGUAI!$B$7:$CD$110)*(Propagações_TOT_URUGUAI!$B$6:$CD$6=$B116&amp;"A")*(Propagações_TOT_URUGUAI!$A$7:$A$110&gt;=PREVS_SMAP!O$26)*(Propagações_TOT_URUGUAI!$A$7:$A$110&lt;=PREVS_SMAP!O$27),0))</f>
        <v>0</v>
      </c>
      <c r="AN116" s="121"/>
      <c r="AO116" s="121">
        <f t="shared" ca="1" si="30"/>
        <v>0</v>
      </c>
      <c r="AP116" s="121" t="b">
        <f t="shared" si="31"/>
        <v>1</v>
      </c>
      <c r="AQ116" s="272">
        <f ca="1">+AVERAGEIFS(TABELA_VAZAO[qnat],TABELA_VAZAO[Posto],$R116,TABELA_VAZAO[Data],AQ$27)</f>
        <v>59</v>
      </c>
      <c r="AR116" s="272">
        <f ca="1">+AVERAGEIFS(TABELA_VAZAO[qnat],TABELA_VAZAO[Posto],$R116,TABELA_VAZAO[Data],AR$27)</f>
        <v>54</v>
      </c>
      <c r="AS116" s="272">
        <f ca="1">+AVERAGEIFS(TABELA_VAZAO[qnat],TABELA_VAZAO[Posto],$R116,TABELA_VAZAO[Data],AS$27)</f>
        <v>53</v>
      </c>
      <c r="AT116" s="272">
        <f ca="1">+AVERAGEIFS(TABELA_VAZAO[qnat],TABELA_VAZAO[Posto],$R116,TABELA_VAZAO[Data],AT$27)</f>
        <v>54</v>
      </c>
      <c r="AU116" s="121">
        <f ca="1">+AVERAGEIFS(TABELA_VAZAO[qnat],TABELA_VAZAO[Posto],$R116,TABELA_VAZAO[Data],AU$27)</f>
        <v>58</v>
      </c>
      <c r="AV116" s="272">
        <f ca="1">IFERROR(AVERAGEIFS(TABELA_VAZAO[qnat],TABELA_VAZAO[Posto],$R116,TABELA_VAZAO[Data],AV$27),AU116+$BB116*EXP(AV$26))</f>
        <v>62</v>
      </c>
      <c r="AW116" s="159">
        <f ca="1">IFERROR(AVERAGEIFS(TABELA_VAZAO[qnat],TABELA_VAZAO[Posto],$R116,TABELA_VAZAO[Data],AW$27),AV116+$BB116*EXP(AW$26))</f>
        <v>65</v>
      </c>
      <c r="AX116" s="325">
        <f ca="1">IFERROR(AVERAGEIFS(TABELA_VAZAO[qnat],TABELA_VAZAO[Posto],$R116,TABELA_VAZAO[Data],AX$27),AW116+$BB116*EXP(AX$26))</f>
        <v>68.142857142857139</v>
      </c>
      <c r="AY116" s="325">
        <f ca="1">IFERROR(AVERAGEIFS(TABELA_VAZAO[qnat],TABELA_VAZAO[Posto],$R116,TABELA_VAZAO[Data],AY$27),AX116+$BB116*EXP(AY$26))</f>
        <v>70.249577287540575</v>
      </c>
      <c r="AZ116" s="326">
        <f ca="1">IFERROR(AVERAGEIFS(TABELA_VAZAO[qnat],TABELA_VAZAO[Posto],$R116,TABELA_VAZAO[Data],AZ$27),AY116+$BB116*EXP(AZ$26))</f>
        <v>71.661754031908984</v>
      </c>
      <c r="BA116" s="326">
        <f ca="1">IFERROR(AVERAGEIFS(TABELA_VAZAO[qnat],TABELA_VAZAO[Posto],$R116,TABELA_VAZAO[Data],BA$27),AZ116+$BB116*EXP(BA$26))</f>
        <v>72.60836441220448</v>
      </c>
      <c r="BB116" s="121">
        <f t="shared" ca="1" si="32"/>
        <v>3.1428571428571428</v>
      </c>
      <c r="BC116" s="272">
        <f t="shared" ca="1" si="33"/>
        <v>1</v>
      </c>
      <c r="BD116" s="272">
        <f t="shared" ca="1" si="33"/>
        <v>4</v>
      </c>
      <c r="BE116" s="272">
        <f t="shared" ca="1" si="33"/>
        <v>4</v>
      </c>
      <c r="BF116" s="272">
        <f t="shared" ca="1" si="33"/>
        <v>3</v>
      </c>
      <c r="BG116"/>
    </row>
    <row r="117" spans="1:59" x14ac:dyDescent="0.2">
      <c r="A117" s="141"/>
      <c r="B117" s="142"/>
      <c r="C117" s="142"/>
      <c r="D117" s="142"/>
      <c r="E117" s="142"/>
      <c r="F117" s="142"/>
      <c r="G117" s="142"/>
      <c r="H117" s="143"/>
      <c r="I117" s="229"/>
      <c r="J117" s="229"/>
      <c r="K117" s="229"/>
      <c r="R117">
        <v>90</v>
      </c>
      <c r="S117" s="40"/>
      <c r="T117" s="40"/>
      <c r="U117" s="131"/>
      <c r="V117" s="131"/>
      <c r="W117" s="131"/>
      <c r="X117" s="131"/>
      <c r="Y117" s="131"/>
      <c r="Z117" s="131"/>
      <c r="AA117" s="131"/>
      <c r="AB117" s="131"/>
      <c r="AN117" s="121"/>
      <c r="AO117" s="121" t="e">
        <f t="shared" si="30"/>
        <v>#DIV/0!</v>
      </c>
      <c r="AP117" s="121" t="b">
        <f t="shared" si="31"/>
        <v>0</v>
      </c>
      <c r="AU117" s="121"/>
      <c r="AV117" s="121"/>
      <c r="AW117" s="159"/>
      <c r="AX117" s="159"/>
      <c r="AY117" s="159"/>
      <c r="AZ117" s="157"/>
      <c r="BA117" s="157"/>
      <c r="BB117" s="121">
        <f t="shared" ca="1" si="32"/>
        <v>0</v>
      </c>
      <c r="BC117" s="272">
        <f t="shared" ca="1" si="33"/>
        <v>0</v>
      </c>
      <c r="BD117" s="272">
        <f t="shared" ca="1" si="33"/>
        <v>0</v>
      </c>
      <c r="BE117" s="272">
        <f t="shared" ca="1" si="33"/>
        <v>0</v>
      </c>
      <c r="BF117" s="272">
        <f t="shared" ca="1" si="33"/>
        <v>0</v>
      </c>
      <c r="BG117"/>
    </row>
    <row r="118" spans="1:59" x14ac:dyDescent="0.2">
      <c r="A118" s="147">
        <v>34</v>
      </c>
      <c r="B118" s="136" t="str">
        <f>A118 &amp; "_VN"</f>
        <v>34_VN</v>
      </c>
      <c r="C118" s="142" t="s">
        <v>118</v>
      </c>
      <c r="D118" s="132">
        <f t="array" aca="1" ref="D118" ca="1">SUM(IFERROR(Propagações_TOT_ITAIPU!$B$7:$BZ$110*(Propagações_TOT_ITAIPU!$B$6:$BZ$6=$B118&amp;"A")*(Propagações_TOT_ITAIPU!$A$7:$A$110&gt;=PREVS_SMAP!D$26)*(Propagações_TOT_ITAIPU!$A$7:$A$110&lt;=PREVS_SMAP!D$27),0))/7</f>
        <v>0</v>
      </c>
      <c r="E118" s="132">
        <f t="array" aca="1" ref="E118" ca="1">SUM(IFERROR(Propagações_TOT_ITAIPU!$B$7:$BZ$110*(Propagações_TOT_ITAIPU!$B$6:$BZ$6=$B118&amp;"A")*(Propagações_TOT_ITAIPU!$A$7:$A$110&gt;=PREVS_SMAP!E$26)*(Propagações_TOT_ITAIPU!$A$7:$A$110&lt;=PREVS_SMAP!E$27),0))/7</f>
        <v>4504.7142857142853</v>
      </c>
      <c r="F118" s="132">
        <f t="array" aca="1" ref="F118" ca="1">SUM(IFERROR(Propagações_TOT_ITAIPU!$B$7:$BZ$110*(Propagações_TOT_ITAIPU!$B$6:$BZ$6=$B118&amp;"A")*(Propagações_TOT_ITAIPU!$A$7:$A$110&gt;=PREVS_SMAP!F$26)*(Propagações_TOT_ITAIPU!$A$7:$A$110&lt;=PREVS_SMAP!F$27),0))/7</f>
        <v>1752.8571428571429</v>
      </c>
      <c r="G118" s="132" t="e">
        <f t="array" aca="1" ref="G118" ca="1">IF(AD118&lt;7,NA(),SUM(IFERROR(Propagações_TOT_ITAIPU!$B$7:$BZ$110*(Propagações_TOT_ITAIPU!$B$6:$BZ$6=$B118&amp;"A")*(Propagações_TOT_ITAIPU!$A$7:$A$110&gt;=PREVS_SMAP!G$26)*(Propagações_TOT_ITAIPU!$A$7:$A$110&lt;=PREVS_SMAP!G$27),0))/7)</f>
        <v>#N/A</v>
      </c>
      <c r="H118" s="132" t="e">
        <f t="array" aca="1" ref="H118" ca="1">IF(AE118&lt;7,NA(),SUM(IFERROR(Propagações_TOT_ITAIPU!$B$7:$BZ$110*(Propagações_TOT_ITAIPU!$B$6:$BZ$6=$B118&amp;"A")*(Propagações_TOT_ITAIPU!$A$7:$A$110&gt;=PREVS_SMAP!H$26)*(Propagações_TOT_ITAIPU!$A$7:$A$110&lt;=PREVS_SMAP!H$27),0))/7)</f>
        <v>#N/A</v>
      </c>
      <c r="I118" s="132" t="e">
        <f t="array" aca="1" ref="I118" ca="1">IF(AF118&lt;7,NA(),SUM(IFERROR(Propagações_TOT_ITAIPU!$B$7:$BZ$110*(Propagações_TOT_ITAIPU!$B$6:$BZ$6=$B118&amp;"A")*(Propagações_TOT_ITAIPU!$A$7:$A$110&gt;=PREVS_SMAP!I$26)*(Propagações_TOT_ITAIPU!$A$7:$A$110&lt;=PREVS_SMAP!I$27),0))/7)</f>
        <v>#N/A</v>
      </c>
      <c r="J118" s="132" t="e">
        <f t="array" aca="1" ref="J118" ca="1">IF(AG118&lt;7,NA(),SUM(IFERROR(Propagações_TOT_ITAIPU!$B$7:$BZ$110*(Propagações_TOT_ITAIPU!$B$6:$BZ$6=$B118&amp;"A")*(Propagações_TOT_ITAIPU!$A$7:$A$110&gt;=PREVS_SMAP!J$26)*(Propagações_TOT_ITAIPU!$A$7:$A$110&lt;=PREVS_SMAP!J$27),0))/7)</f>
        <v>#N/A</v>
      </c>
      <c r="K118" s="132" t="e">
        <f t="array" aca="1" ref="K118" ca="1">IF(AH118&lt;7,NA(),SUM(IFERROR(Propagações_TOT_ITAIPU!$B$7:$BZ$110*(Propagações_TOT_ITAIPU!$B$6:$BZ$6=$B118&amp;"A")*(Propagações_TOT_ITAIPU!$A$7:$A$110&gt;=PREVS_SMAP!K$26)*(Propagações_TOT_ITAIPU!$A$7:$A$110&lt;=PREVS_SMAP!K$27),0))/7)</f>
        <v>#N/A</v>
      </c>
      <c r="L118" s="132" t="e">
        <f t="array" aca="1" ref="L118" ca="1">IF(AI118&lt;7,NA(),SUM(IFERROR(Propagações_TOT_ITAIPU!$B$7:$BZ$110*(Propagações_TOT_ITAIPU!$B$6:$BZ$6=$B118&amp;"A")*(Propagações_TOT_ITAIPU!$A$7:$A$110&gt;=PREVS_SMAP!L$26)*(Propagações_TOT_ITAIPU!$A$7:$A$110&lt;=PREVS_SMAP!L$27),0))/7)</f>
        <v>#N/A</v>
      </c>
      <c r="M118" s="132" t="e">
        <f t="array" aca="1" ref="M118" ca="1">IF(AJ118&lt;7,NA(),SUM(IFERROR(Propagações_TOT_ITAIPU!$B$7:$BZ$110*(Propagações_TOT_ITAIPU!$B$6:$BZ$6=$B118&amp;"A")*(Propagações_TOT_ITAIPU!$A$7:$A$110&gt;=PREVS_SMAP!M$26)*(Propagações_TOT_ITAIPU!$A$7:$A$110&lt;=PREVS_SMAP!M$27),0))/7)</f>
        <v>#N/A</v>
      </c>
      <c r="N118" s="132" t="e">
        <f t="array" aca="1" ref="N118" ca="1">IF(AK118&lt;7,NA(),SUM(IFERROR(Propagações_TOT_ITAIPU!$B$7:$BZ$110*(Propagações_TOT_ITAIPU!$B$6:$BZ$6=$B118&amp;"A")*(Propagações_TOT_ITAIPU!$A$7:$A$110&gt;=PREVS_SMAP!N$26)*(Propagações_TOT_ITAIPU!$A$7:$A$110&lt;=PREVS_SMAP!N$27),0))/7)</f>
        <v>#N/A</v>
      </c>
      <c r="O118" s="132" t="e">
        <f t="array" aca="1" ref="O118" ca="1">IF(AL118&lt;7,NA(),SUM(IFERROR(Propagações_TOT_ITAIPU!$B$7:$BZ$110*(Propagações_TOT_ITAIPU!$B$6:$BZ$6=$B118&amp;"A")*(Propagações_TOT_ITAIPU!$A$7:$A$110&gt;=PREVS_SMAP!O$26)*(Propagações_TOT_ITAIPU!$A$7:$A$110&lt;=PREVS_SMAP!O$27),0))/7)</f>
        <v>#N/A</v>
      </c>
      <c r="R118">
        <v>91</v>
      </c>
      <c r="S118" s="40"/>
      <c r="T118" s="40"/>
      <c r="U118" s="131"/>
      <c r="V118" s="131"/>
      <c r="W118" s="131"/>
      <c r="X118" s="131"/>
      <c r="Y118" s="131"/>
      <c r="Z118" s="131"/>
      <c r="AA118" s="131"/>
      <c r="AB118" s="131"/>
      <c r="AD118" s="272">
        <f t="array" aca="1" ref="AD118" ca="1">SUM(IFERROR(ISNUMBER(Propagações_TOT_ITAIPU!$B$7:$CD$110)*(Propagações_TOT_URUGUAI!$B$6:$CD$6=$B118&amp;"A")*(Propagações_TOT_ITAIPU!$A$7:$A$110&gt;=PREVS_SMAP!G$26)*(Propagações_TOT_ITAIPU!$A$7:$A$110&lt;=PREVS_SMAP!G$27),0))</f>
        <v>0</v>
      </c>
      <c r="AE118" s="272">
        <f t="array" aca="1" ref="AE118" ca="1">SUM(IFERROR(ISNUMBER(Propagações_TOT_ITAIPU!$B$7:$CD$110)*(Propagações_TOT_URUGUAI!$B$6:$CD$6=$B118&amp;"A")*(Propagações_TOT_ITAIPU!$A$7:$A$110&gt;=PREVS_SMAP!H$26)*(Propagações_TOT_ITAIPU!$A$7:$A$110&lt;=PREVS_SMAP!H$27),0))</f>
        <v>0</v>
      </c>
      <c r="AF118" s="272">
        <f t="array" aca="1" ref="AF118" ca="1">SUM(IFERROR(ISNUMBER(Propagações_TOT_ITAIPU!$B$7:$CD$110)*(Propagações_TOT_URUGUAI!$B$6:$CD$6=$B118&amp;"A")*(Propagações_TOT_ITAIPU!$A$7:$A$110&gt;=PREVS_SMAP!I$26)*(Propagações_TOT_ITAIPU!$A$7:$A$110&lt;=PREVS_SMAP!I$27),0))</f>
        <v>0</v>
      </c>
      <c r="AG118" s="272">
        <f t="array" aca="1" ref="AG118" ca="1">SUM(IFERROR(ISNUMBER(Propagações_TOT_ITAIPU!$B$7:$CD$110)*(Propagações_TOT_URUGUAI!$B$6:$CD$6=$B118&amp;"A")*(Propagações_TOT_ITAIPU!$A$7:$A$110&gt;=PREVS_SMAP!J$26)*(Propagações_TOT_ITAIPU!$A$7:$A$110&lt;=PREVS_SMAP!J$27),0))</f>
        <v>0</v>
      </c>
      <c r="AH118" s="272">
        <f t="array" aca="1" ref="AH118" ca="1">SUM(IFERROR(ISNUMBER(Propagações_TOT_ITAIPU!$B$7:$CD$110)*(Propagações_TOT_URUGUAI!$B$6:$CD$6=$B118&amp;"A")*(Propagações_TOT_ITAIPU!$A$7:$A$110&gt;=PREVS_SMAP!K$26)*(Propagações_TOT_ITAIPU!$A$7:$A$110&lt;=PREVS_SMAP!K$27),0))</f>
        <v>0</v>
      </c>
      <c r="AI118" s="272">
        <f t="array" aca="1" ref="AI118" ca="1">SUM(IFERROR(ISNUMBER(Propagações_TOT_ITAIPU!$B$7:$CD$110)*(Propagações_TOT_URUGUAI!$B$6:$CD$6=$B118&amp;"A")*(Propagações_TOT_ITAIPU!$A$7:$A$110&gt;=PREVS_SMAP!L$26)*(Propagações_TOT_ITAIPU!$A$7:$A$110&lt;=PREVS_SMAP!L$27),0))</f>
        <v>0</v>
      </c>
      <c r="AJ118" s="272">
        <f t="array" aca="1" ref="AJ118" ca="1">SUM(IFERROR(ISNUMBER(Propagações_TOT_ITAIPU!$B$7:$CD$110)*(Propagações_TOT_URUGUAI!$B$6:$CD$6=$B118&amp;"A")*(Propagações_TOT_ITAIPU!$A$7:$A$110&gt;=PREVS_SMAP!M$26)*(Propagações_TOT_ITAIPU!$A$7:$A$110&lt;=PREVS_SMAP!M$27),0))</f>
        <v>0</v>
      </c>
      <c r="AK118" s="272">
        <f t="array" aca="1" ref="AK118" ca="1">SUM(IFERROR(ISNUMBER(Propagações_TOT_ITAIPU!$B$7:$CD$110)*(Propagações_TOT_URUGUAI!$B$6:$CD$6=$B118&amp;"A")*(Propagações_TOT_ITAIPU!$A$7:$A$110&gt;=PREVS_SMAP!N$26)*(Propagações_TOT_ITAIPU!$A$7:$A$110&lt;=PREVS_SMAP!N$27),0))</f>
        <v>0</v>
      </c>
      <c r="AL118" s="272">
        <f t="array" aca="1" ref="AL118" ca="1">SUM(IFERROR(ISNUMBER(Propagações_TOT_ITAIPU!$B$7:$CD$110)*(Propagações_TOT_URUGUAI!$B$6:$CD$6=$B118&amp;"A")*(Propagações_TOT_ITAIPU!$A$7:$A$110&gt;=PREVS_SMAP!O$26)*(Propagações_TOT_ITAIPU!$A$7:$A$110&lt;=PREVS_SMAP!O$27),0))</f>
        <v>0</v>
      </c>
      <c r="AN118" s="121"/>
      <c r="AO118" s="121" t="e">
        <f t="shared" si="30"/>
        <v>#DIV/0!</v>
      </c>
      <c r="AP118" s="121" t="b">
        <f t="shared" si="31"/>
        <v>0</v>
      </c>
      <c r="AU118" s="121"/>
      <c r="AV118" s="121"/>
      <c r="AW118" s="159"/>
      <c r="AX118" s="159"/>
      <c r="AY118" s="159"/>
      <c r="AZ118" s="157"/>
      <c r="BA118" s="157"/>
      <c r="BB118" s="121">
        <f t="shared" ca="1" si="32"/>
        <v>0</v>
      </c>
      <c r="BC118" s="272">
        <f t="shared" ca="1" si="33"/>
        <v>0</v>
      </c>
      <c r="BD118" s="272">
        <f t="shared" ca="1" si="33"/>
        <v>0</v>
      </c>
      <c r="BE118" s="272">
        <f t="shared" ca="1" si="33"/>
        <v>0</v>
      </c>
      <c r="BF118" s="272">
        <f t="shared" ca="1" si="33"/>
        <v>0</v>
      </c>
      <c r="BG118"/>
    </row>
    <row r="119" spans="1:59" x14ac:dyDescent="0.2">
      <c r="A119" s="147">
        <v>245</v>
      </c>
      <c r="B119" s="136" t="str">
        <f>A119 &amp; "_VN"</f>
        <v>245_VN</v>
      </c>
      <c r="C119" s="142" t="s">
        <v>118</v>
      </c>
      <c r="D119" s="132">
        <f t="array" aca="1" ref="D119" ca="1">SUM(IFERROR(Propagações_TOT_ITAIPU!$B$7:$BZ$110*(Propagações_TOT_ITAIPU!$B$6:$BZ$6=$B119&amp;"A")*(Propagações_TOT_ITAIPU!$A$7:$A$110&gt;=PREVS_SMAP!D$26)*(Propagações_TOT_ITAIPU!$A$7:$A$110&lt;=PREVS_SMAP!D$27),0))/7</f>
        <v>0</v>
      </c>
      <c r="E119" s="132">
        <f t="array" aca="1" ref="E119" ca="1">SUM(IFERROR(Propagações_TOT_ITAIPU!$B$7:$BZ$110*(Propagações_TOT_ITAIPU!$B$6:$BZ$6=$B119&amp;"A")*(Propagações_TOT_ITAIPU!$A$7:$A$110&gt;=PREVS_SMAP!E$26)*(Propagações_TOT_ITAIPU!$A$7:$A$110&lt;=PREVS_SMAP!E$27),0))/7</f>
        <v>5683.7142857142853</v>
      </c>
      <c r="F119" s="132">
        <f t="array" aca="1" ref="F119" ca="1">SUM(IFERROR(Propagações_TOT_ITAIPU!$B$7:$BZ$110*(Propagações_TOT_ITAIPU!$B$6:$BZ$6=$B119&amp;"A")*(Propagações_TOT_ITAIPU!$A$7:$A$110&gt;=PREVS_SMAP!F$26)*(Propagações_TOT_ITAIPU!$A$7:$A$110&lt;=PREVS_SMAP!F$27),0))/7</f>
        <v>2202.5714285714284</v>
      </c>
      <c r="G119" s="132" t="e">
        <f t="array" aca="1" ref="G119" ca="1">IF(AD119&lt;7,NA(),SUM(IFERROR(Propagações_TOT_ITAIPU!$B$7:$BZ$110*(Propagações_TOT_ITAIPU!$B$6:$BZ$6=$B119&amp;"A")*(Propagações_TOT_ITAIPU!$A$7:$A$110&gt;=PREVS_SMAP!G$26)*(Propagações_TOT_ITAIPU!$A$7:$A$110&lt;=PREVS_SMAP!G$27),0))/7)</f>
        <v>#N/A</v>
      </c>
      <c r="H119" s="132" t="e">
        <f t="array" aca="1" ref="H119" ca="1">IF(AE119&lt;7,NA(),SUM(IFERROR(Propagações_TOT_ITAIPU!$B$7:$BZ$110*(Propagações_TOT_ITAIPU!$B$6:$BZ$6=$B119&amp;"A")*(Propagações_TOT_ITAIPU!$A$7:$A$110&gt;=PREVS_SMAP!H$26)*(Propagações_TOT_ITAIPU!$A$7:$A$110&lt;=PREVS_SMAP!H$27),0))/7)</f>
        <v>#N/A</v>
      </c>
      <c r="I119" s="132" t="e">
        <f t="array" aca="1" ref="I119" ca="1">IF(AF119&lt;7,NA(),SUM(IFERROR(Propagações_TOT_ITAIPU!$B$7:$BZ$110*(Propagações_TOT_ITAIPU!$B$6:$BZ$6=$B119&amp;"A")*(Propagações_TOT_ITAIPU!$A$7:$A$110&gt;=PREVS_SMAP!I$26)*(Propagações_TOT_ITAIPU!$A$7:$A$110&lt;=PREVS_SMAP!I$27),0))/7)</f>
        <v>#N/A</v>
      </c>
      <c r="J119" s="132" t="e">
        <f t="array" aca="1" ref="J119" ca="1">IF(AG119&lt;7,NA(),SUM(IFERROR(Propagações_TOT_ITAIPU!$B$7:$BZ$110*(Propagações_TOT_ITAIPU!$B$6:$BZ$6=$B119&amp;"A")*(Propagações_TOT_ITAIPU!$A$7:$A$110&gt;=PREVS_SMAP!J$26)*(Propagações_TOT_ITAIPU!$A$7:$A$110&lt;=PREVS_SMAP!J$27),0))/7)</f>
        <v>#N/A</v>
      </c>
      <c r="K119" s="132" t="e">
        <f t="array" aca="1" ref="K119" ca="1">IF(AH119&lt;7,NA(),SUM(IFERROR(Propagações_TOT_ITAIPU!$B$7:$BZ$110*(Propagações_TOT_ITAIPU!$B$6:$BZ$6=$B119&amp;"A")*(Propagações_TOT_ITAIPU!$A$7:$A$110&gt;=PREVS_SMAP!K$26)*(Propagações_TOT_ITAIPU!$A$7:$A$110&lt;=PREVS_SMAP!K$27),0))/7)</f>
        <v>#N/A</v>
      </c>
      <c r="L119" s="132" t="e">
        <f t="array" aca="1" ref="L119" ca="1">IF(AI119&lt;7,NA(),SUM(IFERROR(Propagações_TOT_ITAIPU!$B$7:$BZ$110*(Propagações_TOT_ITAIPU!$B$6:$BZ$6=$B119&amp;"A")*(Propagações_TOT_ITAIPU!$A$7:$A$110&gt;=PREVS_SMAP!L$26)*(Propagações_TOT_ITAIPU!$A$7:$A$110&lt;=PREVS_SMAP!L$27),0))/7)</f>
        <v>#N/A</v>
      </c>
      <c r="M119" s="132" t="e">
        <f t="array" aca="1" ref="M119" ca="1">IF(AJ119&lt;7,NA(),SUM(IFERROR(Propagações_TOT_ITAIPU!$B$7:$BZ$110*(Propagações_TOT_ITAIPU!$B$6:$BZ$6=$B119&amp;"A")*(Propagações_TOT_ITAIPU!$A$7:$A$110&gt;=PREVS_SMAP!M$26)*(Propagações_TOT_ITAIPU!$A$7:$A$110&lt;=PREVS_SMAP!M$27),0))/7)</f>
        <v>#N/A</v>
      </c>
      <c r="N119" s="132" t="e">
        <f t="array" aca="1" ref="N119" ca="1">IF(AK119&lt;7,NA(),SUM(IFERROR(Propagações_TOT_ITAIPU!$B$7:$BZ$110*(Propagações_TOT_ITAIPU!$B$6:$BZ$6=$B119&amp;"A")*(Propagações_TOT_ITAIPU!$A$7:$A$110&gt;=PREVS_SMAP!N$26)*(Propagações_TOT_ITAIPU!$A$7:$A$110&lt;=PREVS_SMAP!N$27),0))/7)</f>
        <v>#N/A</v>
      </c>
      <c r="O119" s="132" t="e">
        <f t="array" aca="1" ref="O119" ca="1">IF(AL119&lt;7,NA(),SUM(IFERROR(Propagações_TOT_ITAIPU!$B$7:$BZ$110*(Propagações_TOT_ITAIPU!$B$6:$BZ$6=$B119&amp;"A")*(Propagações_TOT_ITAIPU!$A$7:$A$110&gt;=PREVS_SMAP!O$26)*(Propagações_TOT_ITAIPU!$A$7:$A$110&lt;=PREVS_SMAP!O$27),0))/7)</f>
        <v>#N/A</v>
      </c>
      <c r="R119">
        <v>92</v>
      </c>
      <c r="S119" s="246">
        <f ca="1">AO119</f>
        <v>105</v>
      </c>
      <c r="T119" s="246" t="str">
        <f t="shared" ref="T119:AA121" ca="1" si="40">IFERROR(ROUND(INDEX(G$28:G$129,MATCH($R119,$A$28:$A$129,0)),0),IF(AND($K$4,ISNUMBER(H$143)),ROUND(G$143*S119,0),""))</f>
        <v/>
      </c>
      <c r="U119" s="246" t="str">
        <f t="shared" ca="1" si="40"/>
        <v/>
      </c>
      <c r="V119" s="246" t="str">
        <f t="shared" ca="1" si="40"/>
        <v/>
      </c>
      <c r="W119" s="246" t="str">
        <f t="shared" ca="1" si="40"/>
        <v/>
      </c>
      <c r="X119" s="246" t="str">
        <f t="shared" ca="1" si="40"/>
        <v/>
      </c>
      <c r="Y119" s="246" t="str">
        <f t="shared" ca="1" si="40"/>
        <v/>
      </c>
      <c r="Z119" s="246" t="str">
        <f t="shared" ca="1" si="40"/>
        <v/>
      </c>
      <c r="AA119" s="246" t="str">
        <f t="shared" ca="1" si="40"/>
        <v/>
      </c>
      <c r="AB119" s="246" t="str">
        <f ca="1">IFERROR(ROUND(INDEX(O$28:O$129,MATCH($R119,$A$28:$A$129,0)),0),"")</f>
        <v/>
      </c>
      <c r="AD119" s="272">
        <f t="array" aca="1" ref="AD119" ca="1">SUM(IFERROR(ISNUMBER(Propagações_TOT_ITAIPU!$B$7:$CD$110)*(Propagações_TOT_URUGUAI!$B$6:$CD$6=$B119&amp;"A")*(Propagações_TOT_ITAIPU!$A$7:$A$110&gt;=PREVS_SMAP!G$26)*(Propagações_TOT_ITAIPU!$A$7:$A$110&lt;=PREVS_SMAP!G$27),0))</f>
        <v>0</v>
      </c>
      <c r="AE119" s="272">
        <f t="array" aca="1" ref="AE119" ca="1">SUM(IFERROR(ISNUMBER(Propagações_TOT_ITAIPU!$B$7:$CD$110)*(Propagações_TOT_URUGUAI!$B$6:$CD$6=$B119&amp;"A")*(Propagações_TOT_ITAIPU!$A$7:$A$110&gt;=PREVS_SMAP!H$26)*(Propagações_TOT_ITAIPU!$A$7:$A$110&lt;=PREVS_SMAP!H$27),0))</f>
        <v>0</v>
      </c>
      <c r="AF119" s="272">
        <f t="array" aca="1" ref="AF119" ca="1">SUM(IFERROR(ISNUMBER(Propagações_TOT_ITAIPU!$B$7:$CD$110)*(Propagações_TOT_URUGUAI!$B$6:$CD$6=$B119&amp;"A")*(Propagações_TOT_ITAIPU!$A$7:$A$110&gt;=PREVS_SMAP!I$26)*(Propagações_TOT_ITAIPU!$A$7:$A$110&lt;=PREVS_SMAP!I$27),0))</f>
        <v>0</v>
      </c>
      <c r="AG119" s="272">
        <f t="array" aca="1" ref="AG119" ca="1">SUM(IFERROR(ISNUMBER(Propagações_TOT_ITAIPU!$B$7:$CD$110)*(Propagações_TOT_URUGUAI!$B$6:$CD$6=$B119&amp;"A")*(Propagações_TOT_ITAIPU!$A$7:$A$110&gt;=PREVS_SMAP!J$26)*(Propagações_TOT_ITAIPU!$A$7:$A$110&lt;=PREVS_SMAP!J$27),0))</f>
        <v>0</v>
      </c>
      <c r="AH119" s="272">
        <f t="array" aca="1" ref="AH119" ca="1">SUM(IFERROR(ISNUMBER(Propagações_TOT_ITAIPU!$B$7:$CD$110)*(Propagações_TOT_URUGUAI!$B$6:$CD$6=$B119&amp;"A")*(Propagações_TOT_ITAIPU!$A$7:$A$110&gt;=PREVS_SMAP!K$26)*(Propagações_TOT_ITAIPU!$A$7:$A$110&lt;=PREVS_SMAP!K$27),0))</f>
        <v>0</v>
      </c>
      <c r="AI119" s="272">
        <f t="array" aca="1" ref="AI119" ca="1">SUM(IFERROR(ISNUMBER(Propagações_TOT_ITAIPU!$B$7:$CD$110)*(Propagações_TOT_URUGUAI!$B$6:$CD$6=$B119&amp;"A")*(Propagações_TOT_ITAIPU!$A$7:$A$110&gt;=PREVS_SMAP!L$26)*(Propagações_TOT_ITAIPU!$A$7:$A$110&lt;=PREVS_SMAP!L$27),0))</f>
        <v>0</v>
      </c>
      <c r="AJ119" s="272">
        <f t="array" aca="1" ref="AJ119" ca="1">SUM(IFERROR(ISNUMBER(Propagações_TOT_ITAIPU!$B$7:$CD$110)*(Propagações_TOT_URUGUAI!$B$6:$CD$6=$B119&amp;"A")*(Propagações_TOT_ITAIPU!$A$7:$A$110&gt;=PREVS_SMAP!M$26)*(Propagações_TOT_ITAIPU!$A$7:$A$110&lt;=PREVS_SMAP!M$27),0))</f>
        <v>0</v>
      </c>
      <c r="AK119" s="272">
        <f t="array" aca="1" ref="AK119" ca="1">SUM(IFERROR(ISNUMBER(Propagações_TOT_ITAIPU!$B$7:$CD$110)*(Propagações_TOT_URUGUAI!$B$6:$CD$6=$B119&amp;"A")*(Propagações_TOT_ITAIPU!$A$7:$A$110&gt;=PREVS_SMAP!N$26)*(Propagações_TOT_ITAIPU!$A$7:$A$110&lt;=PREVS_SMAP!N$27),0))</f>
        <v>0</v>
      </c>
      <c r="AL119" s="272">
        <f t="array" aca="1" ref="AL119" ca="1">SUM(IFERROR(ISNUMBER(Propagações_TOT_ITAIPU!$B$7:$CD$110)*(Propagações_TOT_URUGUAI!$B$6:$CD$6=$B119&amp;"A")*(Propagações_TOT_ITAIPU!$A$7:$A$110&gt;=PREVS_SMAP!O$26)*(Propagações_TOT_ITAIPU!$A$7:$A$110&lt;=PREVS_SMAP!O$27),0))</f>
        <v>0</v>
      </c>
      <c r="AN119" s="121"/>
      <c r="AO119" s="121">
        <f t="shared" ca="1" si="30"/>
        <v>105</v>
      </c>
      <c r="AP119" s="121" t="b">
        <f t="shared" si="31"/>
        <v>1</v>
      </c>
      <c r="AQ119" s="272">
        <f ca="1">+AVERAGEIFS(TABELA_VAZAO[qnat],TABELA_VAZAO[Posto],$R119,TABELA_VAZAO[Data],AQ$27)</f>
        <v>233</v>
      </c>
      <c r="AR119" s="272">
        <f ca="1">+AVERAGEIFS(TABELA_VAZAO[qnat],TABELA_VAZAO[Posto],$R119,TABELA_VAZAO[Data],AR$27)</f>
        <v>222</v>
      </c>
      <c r="AS119" s="272">
        <f ca="1">+AVERAGEIFS(TABELA_VAZAO[qnat],TABELA_VAZAO[Posto],$R119,TABELA_VAZAO[Data],AS$27)</f>
        <v>221</v>
      </c>
      <c r="AT119" s="272">
        <f ca="1">+AVERAGEIFS(TABELA_VAZAO[qnat],TABELA_VAZAO[Posto],$R119,TABELA_VAZAO[Data],AT$27)</f>
        <v>225</v>
      </c>
      <c r="AU119" s="121">
        <f ca="1">+AVERAGEIFS(TABELA_VAZAO[qnat],TABELA_VAZAO[Posto],$R119,TABELA_VAZAO[Data],AU$27)</f>
        <v>234</v>
      </c>
      <c r="AV119" s="272">
        <f ca="1">IFERROR(AVERAGEIFS(TABELA_VAZAO[qnat],TABELA_VAZAO[Posto],$R119,TABELA_VAZAO[Data],AV$27),AU119+$BB119*EXP(AV$26))</f>
        <v>248</v>
      </c>
      <c r="AW119" s="159">
        <f ca="1">IFERROR(AVERAGEIFS(TABELA_VAZAO[qnat],TABELA_VAZAO[Posto],$R119,TABELA_VAZAO[Data],AW$27),AV119+$BB119*EXP(AW$26))</f>
        <v>256</v>
      </c>
      <c r="AX119" s="325">
        <f ca="1">IFERROR(AVERAGEIFS(TABELA_VAZAO[qnat],TABELA_VAZAO[Posto],$R119,TABELA_VAZAO[Data],AX$27),AW119+$BB119*EXP(AX$26))</f>
        <v>265.28571428571428</v>
      </c>
      <c r="AY119" s="325">
        <f ca="1">IFERROR(AVERAGEIFS(TABELA_VAZAO[qnat],TABELA_VAZAO[Posto],$R119,TABELA_VAZAO[Data],AY$27),AX119+$BB119*EXP(AY$26))</f>
        <v>271.51011471318805</v>
      </c>
      <c r="AZ119" s="326">
        <f ca="1">IFERROR(AVERAGEIFS(TABELA_VAZAO[qnat],TABELA_VAZAO[Posto],$R119,TABELA_VAZAO[Data],AZ$27),AY119+$BB119*EXP(AZ$26))</f>
        <v>275.68245509427652</v>
      </c>
      <c r="BA119" s="326">
        <f ca="1">IFERROR(AVERAGEIFS(TABELA_VAZAO[qnat],TABELA_VAZAO[Posto],$R119,TABELA_VAZAO[Data],BA$27),AZ119+$BB119*EXP(BA$26))</f>
        <v>278.47925849060414</v>
      </c>
      <c r="BB119" s="121">
        <f t="shared" ca="1" si="32"/>
        <v>9.2857142857142865</v>
      </c>
      <c r="BC119" s="272">
        <f t="shared" ca="1" si="33"/>
        <v>4</v>
      </c>
      <c r="BD119" s="272">
        <f t="shared" ca="1" si="33"/>
        <v>9</v>
      </c>
      <c r="BE119" s="272">
        <f t="shared" ca="1" si="33"/>
        <v>14</v>
      </c>
      <c r="BF119" s="272">
        <f t="shared" ca="1" si="33"/>
        <v>8</v>
      </c>
      <c r="BG119"/>
    </row>
    <row r="120" spans="1:59" x14ac:dyDescent="0.2">
      <c r="A120" s="147">
        <v>246</v>
      </c>
      <c r="B120" s="136" t="str">
        <f>A120 &amp; "_VN"</f>
        <v>246_VN</v>
      </c>
      <c r="C120" s="142" t="s">
        <v>118</v>
      </c>
      <c r="D120" s="132">
        <f t="array" aca="1" ref="D120" ca="1">SUM(IFERROR(Propagações_TOT_ITAIPU!$B$7:$BZ$110*(Propagações_TOT_ITAIPU!$B$6:$BZ$6=$B120&amp;"A")*(Propagações_TOT_ITAIPU!$A$7:$A$110&gt;=PREVS_SMAP!D$26)*(Propagações_TOT_ITAIPU!$A$7:$A$110&lt;=PREVS_SMAP!D$27),0))/7</f>
        <v>0</v>
      </c>
      <c r="E120" s="132">
        <f t="array" aca="1" ref="E120" ca="1">SUM(IFERROR(Propagações_TOT_ITAIPU!$B$7:$BZ$110*(Propagações_TOT_ITAIPU!$B$6:$BZ$6=$B120&amp;"A")*(Propagações_TOT_ITAIPU!$A$7:$A$110&gt;=PREVS_SMAP!E$26)*(Propagações_TOT_ITAIPU!$A$7:$A$110&lt;=PREVS_SMAP!E$27),0))/7</f>
        <v>7044.2857142857147</v>
      </c>
      <c r="F120" s="132">
        <f t="array" aca="1" ref="F120" ca="1">SUM(IFERROR(Propagações_TOT_ITAIPU!$B$7:$BZ$110*(Propagações_TOT_ITAIPU!$B$6:$BZ$6=$B120&amp;"A")*(Propagações_TOT_ITAIPU!$A$7:$A$110&gt;=PREVS_SMAP!F$26)*(Propagações_TOT_ITAIPU!$A$7:$A$110&lt;=PREVS_SMAP!F$27),0))/7</f>
        <v>4282.4208949400272</v>
      </c>
      <c r="G120" s="132" t="e">
        <f t="array" aca="1" ref="G120" ca="1">IF(AD120&lt;7,NA(),SUM(IFERROR(Propagações_TOT_ITAIPU!$B$7:$BZ$110*(Propagações_TOT_ITAIPU!$B$6:$BZ$6=$B120&amp;"A")*(Propagações_TOT_ITAIPU!$A$7:$A$110&gt;=PREVS_SMAP!G$26)*(Propagações_TOT_ITAIPU!$A$7:$A$110&lt;=PREVS_SMAP!G$27),0))/7)</f>
        <v>#N/A</v>
      </c>
      <c r="H120" s="132" t="e">
        <f t="array" aca="1" ref="H120" ca="1">IF(AE120&lt;7,NA(),SUM(IFERROR(Propagações_TOT_ITAIPU!$B$7:$BZ$110*(Propagações_TOT_ITAIPU!$B$6:$BZ$6=$B120&amp;"A")*(Propagações_TOT_ITAIPU!$A$7:$A$110&gt;=PREVS_SMAP!H$26)*(Propagações_TOT_ITAIPU!$A$7:$A$110&lt;=PREVS_SMAP!H$27),0))/7)</f>
        <v>#N/A</v>
      </c>
      <c r="I120" s="132" t="e">
        <f t="array" aca="1" ref="I120" ca="1">IF(AF120&lt;7,NA(),SUM(IFERROR(Propagações_TOT_ITAIPU!$B$7:$BZ$110*(Propagações_TOT_ITAIPU!$B$6:$BZ$6=$B120&amp;"A")*(Propagações_TOT_ITAIPU!$A$7:$A$110&gt;=PREVS_SMAP!I$26)*(Propagações_TOT_ITAIPU!$A$7:$A$110&lt;=PREVS_SMAP!I$27),0))/7)</f>
        <v>#N/A</v>
      </c>
      <c r="J120" s="132" t="e">
        <f t="array" aca="1" ref="J120" ca="1">IF(AG120&lt;7,NA(),SUM(IFERROR(Propagações_TOT_ITAIPU!$B$7:$BZ$110*(Propagações_TOT_ITAIPU!$B$6:$BZ$6=$B120&amp;"A")*(Propagações_TOT_ITAIPU!$A$7:$A$110&gt;=PREVS_SMAP!J$26)*(Propagações_TOT_ITAIPU!$A$7:$A$110&lt;=PREVS_SMAP!J$27),0))/7)</f>
        <v>#N/A</v>
      </c>
      <c r="K120" s="132" t="e">
        <f t="array" aca="1" ref="K120" ca="1">IF(AH120&lt;7,NA(),SUM(IFERROR(Propagações_TOT_ITAIPU!$B$7:$BZ$110*(Propagações_TOT_ITAIPU!$B$6:$BZ$6=$B120&amp;"A")*(Propagações_TOT_ITAIPU!$A$7:$A$110&gt;=PREVS_SMAP!K$26)*(Propagações_TOT_ITAIPU!$A$7:$A$110&lt;=PREVS_SMAP!K$27),0))/7)</f>
        <v>#N/A</v>
      </c>
      <c r="L120" s="132" t="e">
        <f t="array" aca="1" ref="L120" ca="1">IF(AI120&lt;7,NA(),SUM(IFERROR(Propagações_TOT_ITAIPU!$B$7:$BZ$110*(Propagações_TOT_ITAIPU!$B$6:$BZ$6=$B120&amp;"A")*(Propagações_TOT_ITAIPU!$A$7:$A$110&gt;=PREVS_SMAP!L$26)*(Propagações_TOT_ITAIPU!$A$7:$A$110&lt;=PREVS_SMAP!L$27),0))/7)</f>
        <v>#N/A</v>
      </c>
      <c r="M120" s="132" t="e">
        <f t="array" aca="1" ref="M120" ca="1">IF(AJ120&lt;7,NA(),SUM(IFERROR(Propagações_TOT_ITAIPU!$B$7:$BZ$110*(Propagações_TOT_ITAIPU!$B$6:$BZ$6=$B120&amp;"A")*(Propagações_TOT_ITAIPU!$A$7:$A$110&gt;=PREVS_SMAP!M$26)*(Propagações_TOT_ITAIPU!$A$7:$A$110&lt;=PREVS_SMAP!M$27),0))/7)</f>
        <v>#N/A</v>
      </c>
      <c r="N120" s="132" t="e">
        <f t="array" aca="1" ref="N120" ca="1">IF(AK120&lt;7,NA(),SUM(IFERROR(Propagações_TOT_ITAIPU!$B$7:$BZ$110*(Propagações_TOT_ITAIPU!$B$6:$BZ$6=$B120&amp;"A")*(Propagações_TOT_ITAIPU!$A$7:$A$110&gt;=PREVS_SMAP!N$26)*(Propagações_TOT_ITAIPU!$A$7:$A$110&lt;=PREVS_SMAP!N$27),0))/7)</f>
        <v>#N/A</v>
      </c>
      <c r="O120" s="132" t="e">
        <f t="array" aca="1" ref="O120" ca="1">IF(AL120&lt;7,NA(),SUM(IFERROR(Propagações_TOT_ITAIPU!$B$7:$BZ$110*(Propagações_TOT_ITAIPU!$B$6:$BZ$6=$B120&amp;"A")*(Propagações_TOT_ITAIPU!$A$7:$A$110&gt;=PREVS_SMAP!O$26)*(Propagações_TOT_ITAIPU!$A$7:$A$110&lt;=PREVS_SMAP!O$27),0))/7)</f>
        <v>#N/A</v>
      </c>
      <c r="R120">
        <v>93</v>
      </c>
      <c r="S120" s="246">
        <f ca="1">AO120</f>
        <v>4</v>
      </c>
      <c r="T120" s="246" t="str">
        <f t="shared" ca="1" si="40"/>
        <v/>
      </c>
      <c r="U120" s="246" t="str">
        <f t="shared" ca="1" si="40"/>
        <v/>
      </c>
      <c r="V120" s="246" t="str">
        <f t="shared" ca="1" si="40"/>
        <v/>
      </c>
      <c r="W120" s="246" t="str">
        <f t="shared" ca="1" si="40"/>
        <v/>
      </c>
      <c r="X120" s="246" t="str">
        <f t="shared" ca="1" si="40"/>
        <v/>
      </c>
      <c r="Y120" s="246" t="str">
        <f t="shared" ca="1" si="40"/>
        <v/>
      </c>
      <c r="Z120" s="246" t="str">
        <f t="shared" ca="1" si="40"/>
        <v/>
      </c>
      <c r="AA120" s="246" t="str">
        <f t="shared" ca="1" si="40"/>
        <v/>
      </c>
      <c r="AB120" s="246" t="str">
        <f ca="1">IFERROR(ROUND(INDEX(O$28:O$129,MATCH($R120,$A$28:$A$129,0)),0),"")</f>
        <v/>
      </c>
      <c r="AD120" s="272">
        <f t="array" aca="1" ref="AD120" ca="1">SUM(IFERROR(ISNUMBER(Propagações_TOT_ITAIPU!$B$7:$CD$110)*(Propagações_TOT_URUGUAI!$B$6:$CD$6=$B120&amp;"A")*(Propagações_TOT_ITAIPU!$A$7:$A$110&gt;=PREVS_SMAP!G$26)*(Propagações_TOT_ITAIPU!$A$7:$A$110&lt;=PREVS_SMAP!G$27),0))</f>
        <v>0</v>
      </c>
      <c r="AE120" s="272">
        <f t="array" aca="1" ref="AE120" ca="1">SUM(IFERROR(ISNUMBER(Propagações_TOT_ITAIPU!$B$7:$CD$110)*(Propagações_TOT_URUGUAI!$B$6:$CD$6=$B120&amp;"A")*(Propagações_TOT_ITAIPU!$A$7:$A$110&gt;=PREVS_SMAP!H$26)*(Propagações_TOT_ITAIPU!$A$7:$A$110&lt;=PREVS_SMAP!H$27),0))</f>
        <v>0</v>
      </c>
      <c r="AF120" s="272">
        <f t="array" aca="1" ref="AF120" ca="1">SUM(IFERROR(ISNUMBER(Propagações_TOT_ITAIPU!$B$7:$CD$110)*(Propagações_TOT_URUGUAI!$B$6:$CD$6=$B120&amp;"A")*(Propagações_TOT_ITAIPU!$A$7:$A$110&gt;=PREVS_SMAP!I$26)*(Propagações_TOT_ITAIPU!$A$7:$A$110&lt;=PREVS_SMAP!I$27),0))</f>
        <v>0</v>
      </c>
      <c r="AG120" s="272">
        <f t="array" aca="1" ref="AG120" ca="1">SUM(IFERROR(ISNUMBER(Propagações_TOT_ITAIPU!$B$7:$CD$110)*(Propagações_TOT_URUGUAI!$B$6:$CD$6=$B120&amp;"A")*(Propagações_TOT_ITAIPU!$A$7:$A$110&gt;=PREVS_SMAP!J$26)*(Propagações_TOT_ITAIPU!$A$7:$A$110&lt;=PREVS_SMAP!J$27),0))</f>
        <v>0</v>
      </c>
      <c r="AH120" s="272">
        <f t="array" aca="1" ref="AH120" ca="1">SUM(IFERROR(ISNUMBER(Propagações_TOT_ITAIPU!$B$7:$CD$110)*(Propagações_TOT_URUGUAI!$B$6:$CD$6=$B120&amp;"A")*(Propagações_TOT_ITAIPU!$A$7:$A$110&gt;=PREVS_SMAP!K$26)*(Propagações_TOT_ITAIPU!$A$7:$A$110&lt;=PREVS_SMAP!K$27),0))</f>
        <v>0</v>
      </c>
      <c r="AI120" s="272">
        <f t="array" aca="1" ref="AI120" ca="1">SUM(IFERROR(ISNUMBER(Propagações_TOT_ITAIPU!$B$7:$CD$110)*(Propagações_TOT_URUGUAI!$B$6:$CD$6=$B120&amp;"A")*(Propagações_TOT_ITAIPU!$A$7:$A$110&gt;=PREVS_SMAP!L$26)*(Propagações_TOT_ITAIPU!$A$7:$A$110&lt;=PREVS_SMAP!L$27),0))</f>
        <v>0</v>
      </c>
      <c r="AJ120" s="272">
        <f t="array" aca="1" ref="AJ120" ca="1">SUM(IFERROR(ISNUMBER(Propagações_TOT_ITAIPU!$B$7:$CD$110)*(Propagações_TOT_URUGUAI!$B$6:$CD$6=$B120&amp;"A")*(Propagações_TOT_ITAIPU!$A$7:$A$110&gt;=PREVS_SMAP!M$26)*(Propagações_TOT_ITAIPU!$A$7:$A$110&lt;=PREVS_SMAP!M$27),0))</f>
        <v>0</v>
      </c>
      <c r="AK120" s="272">
        <f t="array" aca="1" ref="AK120" ca="1">SUM(IFERROR(ISNUMBER(Propagações_TOT_ITAIPU!$B$7:$CD$110)*(Propagações_TOT_URUGUAI!$B$6:$CD$6=$B120&amp;"A")*(Propagações_TOT_ITAIPU!$A$7:$A$110&gt;=PREVS_SMAP!N$26)*(Propagações_TOT_ITAIPU!$A$7:$A$110&lt;=PREVS_SMAP!N$27),0))</f>
        <v>0</v>
      </c>
      <c r="AL120" s="272">
        <f t="array" aca="1" ref="AL120" ca="1">SUM(IFERROR(ISNUMBER(Propagações_TOT_ITAIPU!$B$7:$CD$110)*(Propagações_TOT_URUGUAI!$B$6:$CD$6=$B120&amp;"A")*(Propagações_TOT_ITAIPU!$A$7:$A$110&gt;=PREVS_SMAP!O$26)*(Propagações_TOT_ITAIPU!$A$7:$A$110&lt;=PREVS_SMAP!O$27),0))</f>
        <v>0</v>
      </c>
      <c r="AN120" s="121"/>
      <c r="AO120" s="121">
        <f t="shared" ca="1" si="30"/>
        <v>4</v>
      </c>
      <c r="AP120" s="121" t="b">
        <f t="shared" si="31"/>
        <v>1</v>
      </c>
      <c r="AQ120" s="272">
        <f ca="1">+AVERAGEIFS(TABELA_VAZAO[qnat],TABELA_VAZAO[Posto],$R120,TABELA_VAZAO[Data],AQ$27)</f>
        <v>11</v>
      </c>
      <c r="AR120" s="272">
        <f ca="1">+AVERAGEIFS(TABELA_VAZAO[qnat],TABELA_VAZAO[Posto],$R120,TABELA_VAZAO[Data],AR$27)</f>
        <v>11</v>
      </c>
      <c r="AS120" s="272">
        <f ca="1">+AVERAGEIFS(TABELA_VAZAO[qnat],TABELA_VAZAO[Posto],$R120,TABELA_VAZAO[Data],AS$27)</f>
        <v>12</v>
      </c>
      <c r="AT120" s="272">
        <f ca="1">+AVERAGEIFS(TABELA_VAZAO[qnat],TABELA_VAZAO[Posto],$R120,TABELA_VAZAO[Data],AT$27)</f>
        <v>11</v>
      </c>
      <c r="AU120" s="121">
        <f ca="1">+AVERAGEIFS(TABELA_VAZAO[qnat],TABELA_VAZAO[Posto],$R120,TABELA_VAZAO[Data],AU$27)</f>
        <v>11</v>
      </c>
      <c r="AV120" s="272">
        <f ca="1">IFERROR(AVERAGEIFS(TABELA_VAZAO[qnat],TABELA_VAZAO[Posto],$R120,TABELA_VAZAO[Data],AV$27),AU120+$BB120*EXP(AV$26))</f>
        <v>9</v>
      </c>
      <c r="AW120" s="159">
        <f ca="1">IFERROR(AVERAGEIFS(TABELA_VAZAO[qnat],TABELA_VAZAO[Posto],$R120,TABELA_VAZAO[Data],AW$27),AV120+$BB120*EXP(AW$26))</f>
        <v>10</v>
      </c>
      <c r="AX120" s="325">
        <f ca="1">IFERROR(AVERAGEIFS(TABELA_VAZAO[qnat],TABELA_VAZAO[Posto],$R120,TABELA_VAZAO[Data],AX$27),AW120+$BB120*EXP(AX$26))</f>
        <v>9.7142857142857135</v>
      </c>
      <c r="AY120" s="325">
        <f ca="1">IFERROR(AVERAGEIFS(TABELA_VAZAO[qnat],TABELA_VAZAO[Posto],$R120,TABELA_VAZAO[Data],AY$27),AX120+$BB120*EXP(AY$26))</f>
        <v>9.5227657011326734</v>
      </c>
      <c r="AZ120" s="326">
        <f ca="1">IFERROR(AVERAGEIFS(TABELA_VAZAO[qnat],TABELA_VAZAO[Posto],$R120,TABELA_VAZAO[Data],AZ$27),AY120+$BB120*EXP(AZ$26))</f>
        <v>9.3943859970991817</v>
      </c>
      <c r="BA120" s="326">
        <f ca="1">IFERROR(AVERAGEIFS(TABELA_VAZAO[qnat],TABELA_VAZAO[Posto],$R120,TABELA_VAZAO[Data],BA$27),AZ120+$BB120*EXP(BA$26))</f>
        <v>9.3083305079814096</v>
      </c>
      <c r="BB120" s="121">
        <f t="shared" ca="1" si="32"/>
        <v>-0.2857142857142857</v>
      </c>
      <c r="BC120" s="272">
        <f t="shared" ca="1" si="33"/>
        <v>-1</v>
      </c>
      <c r="BD120" s="272">
        <f t="shared" ca="1" si="33"/>
        <v>0</v>
      </c>
      <c r="BE120" s="272">
        <f t="shared" ca="1" si="33"/>
        <v>-2</v>
      </c>
      <c r="BF120" s="272">
        <f t="shared" ca="1" si="33"/>
        <v>1</v>
      </c>
      <c r="BG120"/>
    </row>
    <row r="121" spans="1:59" x14ac:dyDescent="0.2">
      <c r="A121" s="229"/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R121">
        <v>94</v>
      </c>
      <c r="S121" s="246">
        <f ca="1">AO121</f>
        <v>128</v>
      </c>
      <c r="T121" s="246" t="str">
        <f t="shared" ca="1" si="40"/>
        <v/>
      </c>
      <c r="U121" s="246" t="str">
        <f t="shared" ca="1" si="40"/>
        <v/>
      </c>
      <c r="V121" s="246" t="str">
        <f t="shared" ca="1" si="40"/>
        <v/>
      </c>
      <c r="W121" s="246" t="str">
        <f t="shared" ca="1" si="40"/>
        <v/>
      </c>
      <c r="X121" s="246" t="str">
        <f t="shared" ca="1" si="40"/>
        <v/>
      </c>
      <c r="Y121" s="246" t="str">
        <f t="shared" ca="1" si="40"/>
        <v/>
      </c>
      <c r="Z121" s="246" t="str">
        <f t="shared" ca="1" si="40"/>
        <v/>
      </c>
      <c r="AA121" s="246" t="str">
        <f t="shared" ca="1" si="40"/>
        <v/>
      </c>
      <c r="AB121" s="246" t="str">
        <f ca="1">IFERROR(ROUND(INDEX(O$28:O$129,MATCH($R121,$A$28:$A$129,0)),0),"")</f>
        <v/>
      </c>
      <c r="AN121" s="121"/>
      <c r="AO121" s="121">
        <f t="shared" ca="1" si="30"/>
        <v>128</v>
      </c>
      <c r="AP121" s="121" t="b">
        <f t="shared" si="31"/>
        <v>1</v>
      </c>
      <c r="AQ121" s="272">
        <f ca="1">+AVERAGEIFS(TABELA_VAZAO[qnat],TABELA_VAZAO[Posto],$R121,TABELA_VAZAO[Data],AQ$27)</f>
        <v>315</v>
      </c>
      <c r="AR121" s="272">
        <f ca="1">+AVERAGEIFS(TABELA_VAZAO[qnat],TABELA_VAZAO[Posto],$R121,TABELA_VAZAO[Data],AR$27)</f>
        <v>302</v>
      </c>
      <c r="AS121" s="272">
        <f ca="1">+AVERAGEIFS(TABELA_VAZAO[qnat],TABELA_VAZAO[Posto],$R121,TABELA_VAZAO[Data],AS$27)</f>
        <v>291</v>
      </c>
      <c r="AT121" s="272">
        <f ca="1">+AVERAGEIFS(TABELA_VAZAO[qnat],TABELA_VAZAO[Posto],$R121,TABELA_VAZAO[Data],AT$27)</f>
        <v>290</v>
      </c>
      <c r="AU121" s="121">
        <f ca="1">+AVERAGEIFS(TABELA_VAZAO[qnat],TABELA_VAZAO[Posto],$R121,TABELA_VAZAO[Data],AU$27)</f>
        <v>287</v>
      </c>
      <c r="AV121" s="272">
        <f ca="1">IFERROR(AVERAGEIFS(TABELA_VAZAO[qnat],TABELA_VAZAO[Posto],$R121,TABELA_VAZAO[Data],AV$27),AU121+$BB121*EXP(AV$26))</f>
        <v>299</v>
      </c>
      <c r="AW121" s="159">
        <f ca="1">IFERROR(AVERAGEIFS(TABELA_VAZAO[qnat],TABELA_VAZAO[Posto],$R121,TABELA_VAZAO[Data],AW$27),AV121+$BB121*EXP(AW$26))</f>
        <v>313</v>
      </c>
      <c r="AX121" s="325">
        <f ca="1">IFERROR(AVERAGEIFS(TABELA_VAZAO[qnat],TABELA_VAZAO[Posto],$R121,TABELA_VAZAO[Data],AX$27),AW121+$BB121*EXP(AX$26))</f>
        <v>321.85714285714283</v>
      </c>
      <c r="AY121" s="325">
        <f ca="1">IFERROR(AVERAGEIFS(TABELA_VAZAO[qnat],TABELA_VAZAO[Posto],$R121,TABELA_VAZAO[Data],AY$27),AX121+$BB121*EXP(AY$26))</f>
        <v>327.79426326488709</v>
      </c>
      <c r="AZ121" s="326">
        <f ca="1">IFERROR(AVERAGEIFS(TABELA_VAZAO[qnat],TABELA_VAZAO[Posto],$R121,TABELA_VAZAO[Data],AZ$27),AY121+$BB121*EXP(AZ$26))</f>
        <v>331.77403408992535</v>
      </c>
      <c r="BA121" s="326">
        <f ca="1">IFERROR(AVERAGEIFS(TABELA_VAZAO[qnat],TABELA_VAZAO[Posto],$R121,TABELA_VAZAO[Data],BA$27),AZ121+$BB121*EXP(BA$26))</f>
        <v>334.44175425257629</v>
      </c>
      <c r="BB121" s="121">
        <f t="shared" ca="1" si="32"/>
        <v>8.8571428571428577</v>
      </c>
      <c r="BC121" s="272">
        <f t="shared" ca="1" si="33"/>
        <v>-1</v>
      </c>
      <c r="BD121" s="272">
        <f t="shared" ca="1" si="33"/>
        <v>-3</v>
      </c>
      <c r="BE121" s="272">
        <f t="shared" ca="1" si="33"/>
        <v>12</v>
      </c>
      <c r="BF121" s="272">
        <f t="shared" ca="1" si="33"/>
        <v>14</v>
      </c>
      <c r="BG121"/>
    </row>
    <row r="122" spans="1:59" x14ac:dyDescent="0.2">
      <c r="A122" s="229"/>
      <c r="B122" s="229"/>
      <c r="C122" s="229"/>
      <c r="D122" s="229"/>
      <c r="E122" s="229"/>
      <c r="F122" s="229"/>
      <c r="G122" s="229"/>
      <c r="H122" s="229"/>
      <c r="I122" s="229"/>
      <c r="J122" s="229"/>
      <c r="K122" s="229"/>
      <c r="R122">
        <v>95</v>
      </c>
      <c r="S122" s="40"/>
      <c r="T122" s="40"/>
      <c r="U122" s="131"/>
      <c r="V122" s="131"/>
      <c r="W122" s="131"/>
      <c r="X122" s="131"/>
      <c r="Y122" s="131"/>
      <c r="Z122" s="131"/>
      <c r="AA122" s="131"/>
      <c r="AB122" s="131"/>
      <c r="AN122" s="121"/>
      <c r="AO122" s="121" t="e">
        <f t="shared" si="30"/>
        <v>#DIV/0!</v>
      </c>
      <c r="AP122" s="121" t="b">
        <f t="shared" si="31"/>
        <v>0</v>
      </c>
      <c r="AU122" s="121"/>
      <c r="AV122" s="121"/>
      <c r="AW122" s="159"/>
      <c r="AX122" s="159"/>
      <c r="AY122" s="159"/>
      <c r="AZ122" s="157"/>
      <c r="BA122" s="157"/>
      <c r="BB122" s="121">
        <f t="shared" ca="1" si="32"/>
        <v>0</v>
      </c>
      <c r="BC122" s="272">
        <f t="shared" ca="1" si="33"/>
        <v>0</v>
      </c>
      <c r="BD122" s="272">
        <f t="shared" ca="1" si="33"/>
        <v>0</v>
      </c>
      <c r="BE122" s="272">
        <f t="shared" ca="1" si="33"/>
        <v>0</v>
      </c>
      <c r="BF122" s="272">
        <f t="shared" ca="1" si="33"/>
        <v>0</v>
      </c>
      <c r="BG122"/>
    </row>
    <row r="123" spans="1:59" x14ac:dyDescent="0.2">
      <c r="A123" s="229"/>
      <c r="B123" s="229"/>
      <c r="C123" s="229"/>
      <c r="D123" s="229"/>
      <c r="E123" s="229"/>
      <c r="F123" s="229"/>
      <c r="G123" s="229"/>
      <c r="H123" s="229"/>
      <c r="I123" s="229"/>
      <c r="J123" s="229"/>
      <c r="K123" s="229"/>
      <c r="R123">
        <v>96</v>
      </c>
      <c r="S123" s="40"/>
      <c r="T123" s="40"/>
      <c r="U123" s="131"/>
      <c r="V123" s="131"/>
      <c r="W123" s="131"/>
      <c r="X123" s="131"/>
      <c r="Y123" s="131"/>
      <c r="Z123" s="131"/>
      <c r="AA123" s="131"/>
      <c r="AB123" s="131"/>
      <c r="AN123" s="121"/>
      <c r="AO123" s="121" t="e">
        <f t="shared" si="30"/>
        <v>#DIV/0!</v>
      </c>
      <c r="AP123" s="121" t="b">
        <f t="shared" si="31"/>
        <v>0</v>
      </c>
      <c r="AU123" s="121"/>
      <c r="AV123" s="121"/>
      <c r="AW123" s="159"/>
      <c r="AX123" s="159"/>
      <c r="AY123" s="159"/>
      <c r="AZ123" s="157"/>
      <c r="BA123" s="157"/>
      <c r="BB123" s="121">
        <f t="shared" ca="1" si="32"/>
        <v>0</v>
      </c>
      <c r="BC123" s="272">
        <f t="shared" ca="1" si="33"/>
        <v>0</v>
      </c>
      <c r="BD123" s="272">
        <f t="shared" ca="1" si="33"/>
        <v>0</v>
      </c>
      <c r="BE123" s="272">
        <f t="shared" ca="1" si="33"/>
        <v>0</v>
      </c>
      <c r="BF123" s="272">
        <f t="shared" ca="1" si="33"/>
        <v>0</v>
      </c>
      <c r="BG123"/>
    </row>
    <row r="124" spans="1:59" x14ac:dyDescent="0.2">
      <c r="A124" s="229"/>
      <c r="B124" s="229"/>
      <c r="C124" s="229"/>
      <c r="D124" s="229"/>
      <c r="E124" s="229"/>
      <c r="F124" s="229"/>
      <c r="G124" s="229"/>
      <c r="H124" s="229"/>
      <c r="I124" s="229"/>
      <c r="J124" s="229"/>
      <c r="K124" s="229"/>
      <c r="R124" s="202">
        <v>97</v>
      </c>
      <c r="S124" s="40" t="e">
        <f ca="1">AO124</f>
        <v>#DIV/0!</v>
      </c>
      <c r="T124" s="131" t="str">
        <f t="shared" ref="T124:AA126" ca="1" si="41">IF(AND($K$4,ISNUMBER(H$143)),ROUND(G$143*S124,0),"")</f>
        <v/>
      </c>
      <c r="U124" s="131" t="str">
        <f t="shared" ca="1" si="41"/>
        <v/>
      </c>
      <c r="V124" s="131" t="str">
        <f t="shared" ca="1" si="41"/>
        <v/>
      </c>
      <c r="W124" s="131" t="str">
        <f t="shared" ca="1" si="41"/>
        <v/>
      </c>
      <c r="X124" s="131" t="str">
        <f t="shared" ca="1" si="41"/>
        <v/>
      </c>
      <c r="Y124" s="131" t="str">
        <f t="shared" ca="1" si="41"/>
        <v/>
      </c>
      <c r="Z124" s="131" t="str">
        <f t="shared" ca="1" si="41"/>
        <v/>
      </c>
      <c r="AA124" s="131" t="str">
        <f t="shared" si="41"/>
        <v/>
      </c>
      <c r="AB124" s="131"/>
      <c r="AN124" s="121"/>
      <c r="AO124" s="121" t="e">
        <f t="shared" ca="1" si="30"/>
        <v>#DIV/0!</v>
      </c>
      <c r="AP124" s="121" t="b">
        <f t="shared" si="31"/>
        <v>0</v>
      </c>
      <c r="AQ124" s="272">
        <f ca="1">+AVERAGEIFS(TABELA_VAZAO[qnat],TABELA_VAZAO[Posto],$R124,TABELA_VAZAO[Data],AQ$27)</f>
        <v>28</v>
      </c>
      <c r="AR124" s="272">
        <f ca="1">+AVERAGEIFS(TABELA_VAZAO[qnat],TABELA_VAZAO[Posto],$R124,TABELA_VAZAO[Data],AR$27)</f>
        <v>35</v>
      </c>
      <c r="AS124" s="272">
        <f ca="1">+AVERAGEIFS(TABELA_VAZAO[qnat],TABELA_VAZAO[Posto],$R124,TABELA_VAZAO[Data],AS$27)</f>
        <v>34</v>
      </c>
      <c r="AT124" s="272">
        <f ca="1">+AVERAGEIFS(TABELA_VAZAO[qnat],TABELA_VAZAO[Posto],$R124,TABELA_VAZAO[Data],AT$27)</f>
        <v>33</v>
      </c>
      <c r="AU124" s="121">
        <f ca="1">+AVERAGEIFS(TABELA_VAZAO[qnat],TABELA_VAZAO[Posto],$R124,TABELA_VAZAO[Data],AU$27)</f>
        <v>29</v>
      </c>
      <c r="AV124" s="272">
        <f ca="1">IFERROR(AVERAGEIFS(TABELA_VAZAO[qnat],TABELA_VAZAO[Posto],$R124,TABELA_VAZAO[Data],AV$27),AU124+$BB124*EXP(AV$26))</f>
        <v>64</v>
      </c>
      <c r="AW124" s="202">
        <f ca="1">IFERROR(AVERAGEIFS(TABELA_VAZAO[qnat],TABELA_VAZAO[Posto],$R124,TABELA_VAZAO[Data],AW$27),INDEX(PREVS_SMAP_DIARIO!$A$130:$Q$130,1,MATCH(PREVS_SMAP!AW$27,PREVS_SMAP_DIARIO!$A$27:$Q$27,0))*AV124)</f>
        <v>83</v>
      </c>
      <c r="AX124" s="202">
        <f ca="1">IFERROR(AVERAGEIFS(TABELA_VAZAO[qnat],TABELA_VAZAO[Posto],$R124,TABELA_VAZAO[Data],AX$27),INDEX(PREVS_SMAP_DIARIO!$A$130:$Q$130,1,MATCH(PREVS_SMAP!AX$27,PREVS_SMAP_DIARIO!$A$27:$Q$27,0))*AW124)</f>
        <v>0</v>
      </c>
      <c r="AY124" s="202" t="e">
        <f ca="1">IFERROR(AVERAGEIFS(TABELA_VAZAO[qnat],TABELA_VAZAO[Posto],$R124,TABELA_VAZAO[Data],AY$27),INDEX(PREVS_SMAP_DIARIO!$A$130:$Q$130,1,MATCH(PREVS_SMAP!AY$27,PREVS_SMAP_DIARIO!$A$27:$Q$27,0))*AX124)</f>
        <v>#DIV/0!</v>
      </c>
      <c r="AZ124" s="202" t="e">
        <f ca="1">IFERROR(AVERAGEIFS(TABELA_VAZAO[qnat],TABELA_VAZAO[Posto],$R124,TABELA_VAZAO[Data],AZ$27),INDEX(PREVS_SMAP_DIARIO!$A$130:$Q$130,1,MATCH(PREVS_SMAP!AZ$27,PREVS_SMAP_DIARIO!$A$27:$Q$27,0))*AY124)</f>
        <v>#DIV/0!</v>
      </c>
      <c r="BA124" s="202" t="e">
        <f ca="1">IFERROR(AVERAGEIFS(TABELA_VAZAO[qnat],TABELA_VAZAO[Posto],$R124,TABELA_VAZAO[Data],BA$27),INDEX(PREVS_SMAP_DIARIO!$A$130:$Q$130,1,MATCH(PREVS_SMAP!BA$27,PREVS_SMAP_DIARIO!$A$27:$Q$27,0))*AZ124)</f>
        <v>#DIV/0!</v>
      </c>
      <c r="BB124" s="121">
        <f t="shared" ca="1" si="32"/>
        <v>17.428571428571427</v>
      </c>
      <c r="BC124" s="272">
        <f t="shared" ca="1" si="33"/>
        <v>-1</v>
      </c>
      <c r="BD124" s="272">
        <f t="shared" ca="1" si="33"/>
        <v>-4</v>
      </c>
      <c r="BE124" s="272">
        <f t="shared" ca="1" si="33"/>
        <v>35</v>
      </c>
      <c r="BF124" s="272">
        <f t="shared" ca="1" si="33"/>
        <v>19</v>
      </c>
      <c r="BG124"/>
    </row>
    <row r="125" spans="1:59" x14ac:dyDescent="0.2">
      <c r="A125" s="170">
        <v>135</v>
      </c>
      <c r="B125" s="171" t="s">
        <v>126</v>
      </c>
      <c r="C125" s="172"/>
      <c r="D125" s="172"/>
      <c r="E125" s="172"/>
      <c r="F125" s="173">
        <f ca="1">AVERAGE(D132:J132)</f>
        <v>434.64083956961701</v>
      </c>
      <c r="G125" s="166" t="e">
        <f t="shared" ref="G125:I127" ca="1" si="42">F125*G$144</f>
        <v>#N/A</v>
      </c>
      <c r="H125" s="166" t="e">
        <f t="shared" ca="1" si="42"/>
        <v>#N/A</v>
      </c>
      <c r="I125" s="166" t="e">
        <f t="shared" ca="1" si="42"/>
        <v>#N/A</v>
      </c>
      <c r="J125" s="166" t="e">
        <f t="shared" ref="J125:J127" ca="1" si="43">I125*J$144</f>
        <v>#N/A</v>
      </c>
      <c r="K125" s="166" t="e">
        <f t="shared" ref="K125:K127" ca="1" si="44">J125*K$144</f>
        <v>#N/A</v>
      </c>
      <c r="L125" s="166" t="e">
        <f t="shared" ref="L125:M127" ca="1" si="45">K125*L$144</f>
        <v>#N/A</v>
      </c>
      <c r="M125" s="166" t="e">
        <f t="shared" ca="1" si="45"/>
        <v>#N/A</v>
      </c>
      <c r="R125" s="202">
        <v>98</v>
      </c>
      <c r="S125" s="40" t="e">
        <f ca="1">AO125</f>
        <v>#DIV/0!</v>
      </c>
      <c r="T125" s="131" t="str">
        <f t="shared" ca="1" si="41"/>
        <v/>
      </c>
      <c r="U125" s="131" t="str">
        <f t="shared" ca="1" si="41"/>
        <v/>
      </c>
      <c r="V125" s="131" t="str">
        <f t="shared" ca="1" si="41"/>
        <v/>
      </c>
      <c r="W125" s="131" t="str">
        <f t="shared" ca="1" si="41"/>
        <v/>
      </c>
      <c r="X125" s="131" t="str">
        <f t="shared" ca="1" si="41"/>
        <v/>
      </c>
      <c r="Y125" s="131" t="str">
        <f t="shared" ca="1" si="41"/>
        <v/>
      </c>
      <c r="Z125" s="131" t="str">
        <f t="shared" ca="1" si="41"/>
        <v/>
      </c>
      <c r="AA125" s="131" t="str">
        <f t="shared" si="41"/>
        <v/>
      </c>
      <c r="AB125" s="131"/>
      <c r="AN125" s="121"/>
      <c r="AO125" s="121" t="e">
        <f t="shared" ca="1" si="30"/>
        <v>#DIV/0!</v>
      </c>
      <c r="AP125" s="121" t="b">
        <f t="shared" si="31"/>
        <v>0</v>
      </c>
      <c r="AQ125" s="272">
        <f ca="1">+AVERAGEIFS(TABELA_VAZAO[qnat],TABELA_VAZAO[Posto],$R125,TABELA_VAZAO[Data],AQ$27)</f>
        <v>13</v>
      </c>
      <c r="AR125" s="272">
        <f ca="1">+AVERAGEIFS(TABELA_VAZAO[qnat],TABELA_VAZAO[Posto],$R125,TABELA_VAZAO[Data],AR$27)</f>
        <v>15</v>
      </c>
      <c r="AS125" s="272">
        <f ca="1">+AVERAGEIFS(TABELA_VAZAO[qnat],TABELA_VAZAO[Posto],$R125,TABELA_VAZAO[Data],AS$27)</f>
        <v>17</v>
      </c>
      <c r="AT125" s="272">
        <f ca="1">+AVERAGEIFS(TABELA_VAZAO[qnat],TABELA_VAZAO[Posto],$R125,TABELA_VAZAO[Data],AT$27)</f>
        <v>14</v>
      </c>
      <c r="AU125" s="121">
        <f ca="1">+AVERAGEIFS(TABELA_VAZAO[qnat],TABELA_VAZAO[Posto],$R125,TABELA_VAZAO[Data],AU$27)</f>
        <v>13</v>
      </c>
      <c r="AV125" s="272">
        <f ca="1">IFERROR(AVERAGEIFS(TABELA_VAZAO[qnat],TABELA_VAZAO[Posto],$R125,TABELA_VAZAO[Data],AV$27),AU125+$BB125*EXP(AV$26))</f>
        <v>59</v>
      </c>
      <c r="AW125" s="202">
        <f ca="1">IFERROR(AVERAGEIFS(TABELA_VAZAO[qnat],TABELA_VAZAO[Posto],$R125,TABELA_VAZAO[Data],AW$27),INDEX(PREVS_SMAP_DIARIO!$A$130:$Q$130,1,MATCH(PREVS_SMAP!AW$27,PREVS_SMAP_DIARIO!$A$27:$Q$27,0))*AV125)</f>
        <v>69</v>
      </c>
      <c r="AX125" s="202">
        <f ca="1">IFERROR(AVERAGEIFS(TABELA_VAZAO[qnat],TABELA_VAZAO[Posto],$R125,TABELA_VAZAO[Data],AX$27),INDEX(PREVS_SMAP_DIARIO!$A$130:$Q$130,1,MATCH(PREVS_SMAP!AX$27,PREVS_SMAP_DIARIO!$A$27:$Q$27,0))*AW125)</f>
        <v>0</v>
      </c>
      <c r="AY125" s="202" t="e">
        <f ca="1">IFERROR(AVERAGEIFS(TABELA_VAZAO[qnat],TABELA_VAZAO[Posto],$R125,TABELA_VAZAO[Data],AY$27),INDEX(PREVS_SMAP_DIARIO!$A$130:$Q$130,1,MATCH(PREVS_SMAP!AY$27,PREVS_SMAP_DIARIO!$A$27:$Q$27,0))*AX125)</f>
        <v>#DIV/0!</v>
      </c>
      <c r="AZ125" s="202" t="e">
        <f ca="1">IFERROR(AVERAGEIFS(TABELA_VAZAO[qnat],TABELA_VAZAO[Posto],$R125,TABELA_VAZAO[Data],AZ$27),INDEX(PREVS_SMAP_DIARIO!$A$130:$Q$130,1,MATCH(PREVS_SMAP!AZ$27,PREVS_SMAP_DIARIO!$A$27:$Q$27,0))*AY125)</f>
        <v>#DIV/0!</v>
      </c>
      <c r="BA125" s="202" t="e">
        <f ca="1">IFERROR(AVERAGEIFS(TABELA_VAZAO[qnat],TABELA_VAZAO[Posto],$R125,TABELA_VAZAO[Data],BA$27),INDEX(PREVS_SMAP_DIARIO!$A$130:$Q$130,1,MATCH(PREVS_SMAP!BA$27,PREVS_SMAP_DIARIO!$A$27:$Q$27,0))*AZ125)</f>
        <v>#DIV/0!</v>
      </c>
      <c r="BB125" s="121">
        <f t="shared" ca="1" si="32"/>
        <v>16.857142857142858</v>
      </c>
      <c r="BC125" s="272">
        <f t="shared" ca="1" si="33"/>
        <v>-3</v>
      </c>
      <c r="BD125" s="272">
        <f t="shared" ca="1" si="33"/>
        <v>-1</v>
      </c>
      <c r="BE125" s="272">
        <f t="shared" ca="1" si="33"/>
        <v>46</v>
      </c>
      <c r="BF125" s="272">
        <f t="shared" ca="1" si="33"/>
        <v>10</v>
      </c>
      <c r="BG125"/>
    </row>
    <row r="126" spans="1:59" x14ac:dyDescent="0.2">
      <c r="A126" s="170">
        <v>136</v>
      </c>
      <c r="B126" s="171" t="s">
        <v>127</v>
      </c>
      <c r="C126" s="172"/>
      <c r="D126" s="172"/>
      <c r="E126" s="172"/>
      <c r="F126" s="173">
        <f ca="1">AVERAGE(D133:J133)</f>
        <v>565.09701269585935</v>
      </c>
      <c r="G126" s="166" t="e">
        <f t="shared" ca="1" si="42"/>
        <v>#N/A</v>
      </c>
      <c r="H126" s="166" t="e">
        <f t="shared" ca="1" si="42"/>
        <v>#N/A</v>
      </c>
      <c r="I126" s="166" t="e">
        <f t="shared" ca="1" si="42"/>
        <v>#N/A</v>
      </c>
      <c r="J126" s="166" t="e">
        <f t="shared" ca="1" si="43"/>
        <v>#N/A</v>
      </c>
      <c r="K126" s="166" t="e">
        <f t="shared" ca="1" si="44"/>
        <v>#N/A</v>
      </c>
      <c r="L126" s="166" t="e">
        <f t="shared" ca="1" si="45"/>
        <v>#N/A</v>
      </c>
      <c r="M126" s="166" t="e">
        <f t="shared" ca="1" si="45"/>
        <v>#N/A</v>
      </c>
      <c r="R126">
        <v>99</v>
      </c>
      <c r="S126" s="40">
        <f ca="1">AO126</f>
        <v>63</v>
      </c>
      <c r="T126" s="131" t="str">
        <f t="shared" ca="1" si="41"/>
        <v/>
      </c>
      <c r="U126" s="131" t="str">
        <f t="shared" ca="1" si="41"/>
        <v/>
      </c>
      <c r="V126" s="131" t="str">
        <f t="shared" ca="1" si="41"/>
        <v/>
      </c>
      <c r="W126" s="131" t="str">
        <f t="shared" ca="1" si="41"/>
        <v/>
      </c>
      <c r="X126" s="131" t="str">
        <f t="shared" ca="1" si="41"/>
        <v/>
      </c>
      <c r="Y126" s="131" t="str">
        <f t="shared" ca="1" si="41"/>
        <v/>
      </c>
      <c r="Z126" s="131" t="str">
        <f t="shared" ca="1" si="41"/>
        <v/>
      </c>
      <c r="AA126" s="131" t="str">
        <f t="shared" si="41"/>
        <v/>
      </c>
      <c r="AB126" s="131"/>
      <c r="AN126" s="121"/>
      <c r="AO126" s="121">
        <f t="shared" ca="1" si="30"/>
        <v>63</v>
      </c>
      <c r="AP126" s="121" t="b">
        <f t="shared" si="31"/>
        <v>0</v>
      </c>
      <c r="AQ126" s="272">
        <f ca="1">+AVERAGEIFS(TABELA_VAZAO[qnat],TABELA_VAZAO[Posto],$R126,TABELA_VAZAO[Data],AQ$27)</f>
        <v>70</v>
      </c>
      <c r="AR126" s="272">
        <f ca="1">+AVERAGEIFS(TABELA_VAZAO[qnat],TABELA_VAZAO[Posto],$R126,TABELA_VAZAO[Data],AR$27)</f>
        <v>68</v>
      </c>
      <c r="AS126" s="272">
        <f ca="1">+AVERAGEIFS(TABELA_VAZAO[qnat],TABELA_VAZAO[Posto],$R126,TABELA_VAZAO[Data],AS$27)</f>
        <v>66</v>
      </c>
      <c r="AT126" s="272">
        <f ca="1">+AVERAGEIFS(TABELA_VAZAO[qnat],TABELA_VAZAO[Posto],$R126,TABELA_VAZAO[Data],AT$27)</f>
        <v>64</v>
      </c>
      <c r="AU126" s="121">
        <f ca="1">+AVERAGEIFS(TABELA_VAZAO[qnat],TABELA_VAZAO[Posto],$R126,TABELA_VAZAO[Data],AU$27)</f>
        <v>63</v>
      </c>
      <c r="AV126" s="272">
        <f ca="1">IFERROR(AVERAGEIFS(TABELA_VAZAO[qnat],TABELA_VAZAO[Posto],$R126,TABELA_VAZAO[Data],AV$27),AU126+$BB126*EXP(AV$26))</f>
        <v>62</v>
      </c>
      <c r="AW126" s="159">
        <f ca="1">IFERROR(AVERAGEIFS(TABELA_VAZAO[qnat],TABELA_VAZAO[Posto],$R126,TABELA_VAZAO[Data],AW$27),AV126+$BB126*EXP(AW$26))</f>
        <v>63</v>
      </c>
      <c r="AX126" s="325">
        <f ca="1">IFERROR(AVERAGEIFS(TABELA_VAZAO[qnat],TABELA_VAZAO[Posto],$R126,TABELA_VAZAO[Data],AX$27),AW126+$BB126*EXP(AX$26))</f>
        <v>62.714285714285715</v>
      </c>
      <c r="AY126" s="325">
        <f ca="1">IFERROR(AVERAGEIFS(TABELA_VAZAO[qnat],TABELA_VAZAO[Posto],$R126,TABELA_VAZAO[Data],AY$27),AX126+$BB126*EXP(AY$26))</f>
        <v>62.522765701132677</v>
      </c>
      <c r="AZ126" s="326">
        <f ca="1">IFERROR(AVERAGEIFS(TABELA_VAZAO[qnat],TABELA_VAZAO[Posto],$R126,TABELA_VAZAO[Data],AZ$27),AY126+$BB126*EXP(AZ$26))</f>
        <v>62.394385997099185</v>
      </c>
      <c r="BA126" s="326">
        <f ca="1">IFERROR(AVERAGEIFS(TABELA_VAZAO[qnat],TABELA_VAZAO[Posto],$R126,TABELA_VAZAO[Data],BA$27),AZ126+$BB126*EXP(BA$26))</f>
        <v>62.308330507981417</v>
      </c>
      <c r="BB126" s="121">
        <f t="shared" ca="1" si="32"/>
        <v>-0.2857142857142857</v>
      </c>
      <c r="BC126" s="272">
        <f t="shared" ca="1" si="33"/>
        <v>-2</v>
      </c>
      <c r="BD126" s="272">
        <f t="shared" ca="1" si="33"/>
        <v>-1</v>
      </c>
      <c r="BE126" s="272">
        <f t="shared" ca="1" si="33"/>
        <v>-1</v>
      </c>
      <c r="BF126" s="272">
        <f t="shared" ca="1" si="33"/>
        <v>1</v>
      </c>
      <c r="BG126"/>
    </row>
    <row r="127" spans="1:59" x14ac:dyDescent="0.2">
      <c r="A127" s="170">
        <v>137</v>
      </c>
      <c r="B127" s="171" t="s">
        <v>128</v>
      </c>
      <c r="C127" s="172"/>
      <c r="D127" s="172"/>
      <c r="E127" s="172"/>
      <c r="F127" s="173">
        <f ca="1">AVERAGE(D134:J134)</f>
        <v>873.84173633189562</v>
      </c>
      <c r="G127" s="166" t="e">
        <f t="shared" ca="1" si="42"/>
        <v>#N/A</v>
      </c>
      <c r="H127" s="166" t="e">
        <f t="shared" ca="1" si="42"/>
        <v>#N/A</v>
      </c>
      <c r="I127" s="166" t="e">
        <f t="shared" ca="1" si="42"/>
        <v>#N/A</v>
      </c>
      <c r="J127" s="166" t="e">
        <f t="shared" ca="1" si="43"/>
        <v>#N/A</v>
      </c>
      <c r="K127" s="166" t="e">
        <f t="shared" ca="1" si="44"/>
        <v>#N/A</v>
      </c>
      <c r="L127" s="166" t="e">
        <f t="shared" ca="1" si="45"/>
        <v>#N/A</v>
      </c>
      <c r="M127" s="166" t="e">
        <f t="shared" ca="1" si="45"/>
        <v>#N/A</v>
      </c>
      <c r="P127" s="272"/>
      <c r="R127">
        <v>100</v>
      </c>
      <c r="S127" s="40"/>
      <c r="T127" s="40"/>
      <c r="U127" s="131"/>
      <c r="V127" s="131"/>
      <c r="W127" s="131"/>
      <c r="X127" s="131"/>
      <c r="Y127" s="131"/>
      <c r="Z127" s="131"/>
      <c r="AA127" s="131"/>
      <c r="AB127" s="131"/>
      <c r="AN127" s="121"/>
      <c r="AO127" s="121" t="e">
        <f t="shared" si="30"/>
        <v>#DIV/0!</v>
      </c>
      <c r="AP127" s="121" t="b">
        <f t="shared" si="31"/>
        <v>0</v>
      </c>
      <c r="AU127" s="121"/>
      <c r="AV127" s="121"/>
      <c r="AW127" s="159"/>
      <c r="AX127" s="159"/>
      <c r="AY127" s="159"/>
      <c r="AZ127" s="157"/>
      <c r="BA127" s="157"/>
      <c r="BB127" s="121">
        <f t="shared" ca="1" si="32"/>
        <v>0</v>
      </c>
      <c r="BC127" s="272">
        <f t="shared" ca="1" si="33"/>
        <v>0</v>
      </c>
      <c r="BD127" s="272">
        <f t="shared" ca="1" si="33"/>
        <v>0</v>
      </c>
      <c r="BE127" s="272">
        <f t="shared" ca="1" si="33"/>
        <v>0</v>
      </c>
      <c r="BF127" s="272">
        <f t="shared" ca="1" si="33"/>
        <v>0</v>
      </c>
      <c r="BG127"/>
    </row>
    <row r="128" spans="1:59" x14ac:dyDescent="0.2">
      <c r="A128" s="141">
        <v>138</v>
      </c>
      <c r="B128" s="172" t="s">
        <v>220</v>
      </c>
      <c r="C128" s="172"/>
      <c r="D128" s="172"/>
      <c r="E128" s="172"/>
      <c r="F128" s="173">
        <f ca="1">AVERAGE(D135:J135)</f>
        <v>27.842246060113503</v>
      </c>
      <c r="G128" s="166" t="e">
        <f ca="1">F128*G$146</f>
        <v>#N/A</v>
      </c>
      <c r="H128" s="166" t="e">
        <f ca="1">G128*H$146</f>
        <v>#N/A</v>
      </c>
      <c r="I128" s="166" t="e">
        <f ca="1">H128*I$146</f>
        <v>#N/A</v>
      </c>
      <c r="J128" s="166" t="e">
        <f t="shared" ref="J128:L128" ca="1" si="46">I128*J$146</f>
        <v>#N/A</v>
      </c>
      <c r="K128" s="166" t="e">
        <f t="shared" ca="1" si="46"/>
        <v>#N/A</v>
      </c>
      <c r="L128" s="166" t="e">
        <f t="shared" ca="1" si="46"/>
        <v>#N/A</v>
      </c>
      <c r="M128" s="166" t="e">
        <f t="shared" ref="M128" ca="1" si="47">L128*M$146</f>
        <v>#N/A</v>
      </c>
      <c r="P128" s="272"/>
      <c r="R128">
        <v>101</v>
      </c>
      <c r="S128" s="40">
        <f ca="1">AO128</f>
        <v>28</v>
      </c>
      <c r="T128" s="131" t="str">
        <f t="shared" ref="T128:AA128" ca="1" si="48">IF(AND($K$4,ISNUMBER(H$143)),ROUND(G$143*S128,0),"")</f>
        <v/>
      </c>
      <c r="U128" s="131" t="str">
        <f t="shared" ca="1" si="48"/>
        <v/>
      </c>
      <c r="V128" s="131" t="str">
        <f t="shared" ca="1" si="48"/>
        <v/>
      </c>
      <c r="W128" s="131" t="str">
        <f t="shared" ca="1" si="48"/>
        <v/>
      </c>
      <c r="X128" s="131" t="str">
        <f t="shared" ca="1" si="48"/>
        <v/>
      </c>
      <c r="Y128" s="131" t="str">
        <f t="shared" ca="1" si="48"/>
        <v/>
      </c>
      <c r="Z128" s="131" t="str">
        <f t="shared" ca="1" si="48"/>
        <v/>
      </c>
      <c r="AA128" s="131" t="str">
        <f t="shared" si="48"/>
        <v/>
      </c>
      <c r="AB128" s="131"/>
      <c r="AN128" s="121"/>
      <c r="AO128" s="121">
        <f t="shared" ca="1" si="30"/>
        <v>28</v>
      </c>
      <c r="AP128" s="121" t="b">
        <f t="shared" si="31"/>
        <v>0</v>
      </c>
      <c r="AQ128" s="272">
        <f ca="1">+AVERAGEIFS(TABELA_VAZAO[qnat],TABELA_VAZAO[Posto],$R128,TABELA_VAZAO[Data],AQ$27)</f>
        <v>9</v>
      </c>
      <c r="AR128" s="272">
        <f ca="1">+AVERAGEIFS(TABELA_VAZAO[qnat],TABELA_VAZAO[Posto],$R128,TABELA_VAZAO[Data],AR$27)</f>
        <v>7</v>
      </c>
      <c r="AS128" s="272">
        <f ca="1">+AVERAGEIFS(TABELA_VAZAO[qnat],TABELA_VAZAO[Posto],$R128,TABELA_VAZAO[Data],AS$27)</f>
        <v>12</v>
      </c>
      <c r="AT128" s="272">
        <f ca="1">+AVERAGEIFS(TABELA_VAZAO[qnat],TABELA_VAZAO[Posto],$R128,TABELA_VAZAO[Data],AT$27)</f>
        <v>18</v>
      </c>
      <c r="AU128" s="121">
        <f ca="1">+AVERAGEIFS(TABELA_VAZAO[qnat],TABELA_VAZAO[Posto],$R128,TABELA_VAZAO[Data],AU$27)</f>
        <v>25</v>
      </c>
      <c r="AV128" s="272">
        <f ca="1">IFERROR(AVERAGEIFS(TABELA_VAZAO[qnat],TABELA_VAZAO[Posto],$R128,TABELA_VAZAO[Data],AV$27),AU128+$BB128*EXP(AV$26))</f>
        <v>24</v>
      </c>
      <c r="AW128" s="159">
        <f ca="1">IFERROR(AVERAGEIFS(TABELA_VAZAO[qnat],TABELA_VAZAO[Posto],$R128,TABELA_VAZAO[Data],AW$27),AV128+$BB128*EXP(AW$26))</f>
        <v>26</v>
      </c>
      <c r="AX128" s="325">
        <f ca="1">IFERROR(AVERAGEIFS(TABELA_VAZAO[qnat],TABELA_VAZAO[Posto],$R128,TABELA_VAZAO[Data],AX$27),AW128+$BB128*EXP(AX$26))</f>
        <v>28.428571428571427</v>
      </c>
      <c r="AY128" s="325">
        <f ca="1">IFERROR(AVERAGEIFS(TABELA_VAZAO[qnat],TABELA_VAZAO[Posto],$R128,TABELA_VAZAO[Data],AY$27),AX128+$BB128*EXP(AY$26))</f>
        <v>30.056491540372264</v>
      </c>
      <c r="AZ128" s="326">
        <f ca="1">IFERROR(AVERAGEIFS(TABELA_VAZAO[qnat],TABELA_VAZAO[Posto],$R128,TABELA_VAZAO[Data],AZ$27),AY128+$BB128*EXP(AZ$26))</f>
        <v>31.147719024656944</v>
      </c>
      <c r="BA128" s="326">
        <f ca="1">IFERROR(AVERAGEIFS(TABELA_VAZAO[qnat],TABELA_VAZAO[Posto],$R128,TABELA_VAZAO[Data],BA$27),AZ128+$BB128*EXP(BA$26))</f>
        <v>31.879190682158004</v>
      </c>
      <c r="BB128" s="121">
        <f t="shared" ca="1" si="32"/>
        <v>2.4285714285714284</v>
      </c>
      <c r="BC128" s="272">
        <f t="shared" ca="1" si="33"/>
        <v>6</v>
      </c>
      <c r="BD128" s="272">
        <f t="shared" ca="1" si="33"/>
        <v>7</v>
      </c>
      <c r="BE128" s="272">
        <f t="shared" ca="1" si="33"/>
        <v>-1</v>
      </c>
      <c r="BF128" s="272">
        <f t="shared" ca="1" si="33"/>
        <v>2</v>
      </c>
      <c r="BG128"/>
    </row>
    <row r="129" spans="1:59" ht="13.5" thickBot="1" x14ac:dyDescent="0.25">
      <c r="A129" s="144"/>
      <c r="B129" s="145"/>
      <c r="C129" s="145"/>
      <c r="D129" s="145"/>
      <c r="E129" s="145"/>
      <c r="F129" s="145"/>
      <c r="G129" s="145"/>
      <c r="H129" s="146"/>
      <c r="I129" s="229"/>
      <c r="J129" s="229"/>
      <c r="K129" s="272"/>
      <c r="P129" s="272"/>
      <c r="R129">
        <v>102</v>
      </c>
      <c r="S129" s="246">
        <f ca="1">AO129</f>
        <v>35</v>
      </c>
      <c r="T129" s="246" t="str">
        <f t="shared" ref="T129:AA130" ca="1" si="49">IFERROR(ROUND(INDEX(G$28:G$129,MATCH($R129,$A$28:$A$129,0)),0),IF(AND($K$4,ISNUMBER(H$143)),ROUND(G$143*S129,0),""))</f>
        <v/>
      </c>
      <c r="U129" s="246" t="str">
        <f t="shared" ca="1" si="49"/>
        <v/>
      </c>
      <c r="V129" s="246" t="str">
        <f t="shared" ca="1" si="49"/>
        <v/>
      </c>
      <c r="W129" s="246" t="str">
        <f t="shared" ca="1" si="49"/>
        <v/>
      </c>
      <c r="X129" s="246" t="str">
        <f t="shared" ca="1" si="49"/>
        <v/>
      </c>
      <c r="Y129" s="246" t="str">
        <f t="shared" ca="1" si="49"/>
        <v/>
      </c>
      <c r="Z129" s="246" t="str">
        <f t="shared" ca="1" si="49"/>
        <v/>
      </c>
      <c r="AA129" s="246" t="str">
        <f t="shared" ca="1" si="49"/>
        <v/>
      </c>
      <c r="AB129" s="246" t="str">
        <f ca="1">IFERROR(ROUND(INDEX(O$28:O$129,MATCH($R129,$A$28:$A$129,0)),0),"")</f>
        <v/>
      </c>
      <c r="AN129" s="121"/>
      <c r="AO129" s="121">
        <f t="shared" ca="1" si="30"/>
        <v>35</v>
      </c>
      <c r="AP129" s="121" t="b">
        <f t="shared" si="31"/>
        <v>1</v>
      </c>
      <c r="AQ129" s="272">
        <f ca="1">+AVERAGEIFS(TABELA_VAZAO[qnat],TABELA_VAZAO[Posto],$R129,TABELA_VAZAO[Data],AQ$27)</f>
        <v>92</v>
      </c>
      <c r="AR129" s="272">
        <f ca="1">+AVERAGEIFS(TABELA_VAZAO[qnat],TABELA_VAZAO[Posto],$R129,TABELA_VAZAO[Data],AR$27)</f>
        <v>90</v>
      </c>
      <c r="AS129" s="272">
        <f ca="1">+AVERAGEIFS(TABELA_VAZAO[qnat],TABELA_VAZAO[Posto],$R129,TABELA_VAZAO[Data],AS$27)</f>
        <v>88</v>
      </c>
      <c r="AT129" s="272">
        <f ca="1">+AVERAGEIFS(TABELA_VAZAO[qnat],TABELA_VAZAO[Posto],$R129,TABELA_VAZAO[Data],AT$27)</f>
        <v>86</v>
      </c>
      <c r="AU129" s="121">
        <f ca="1">+AVERAGEIFS(TABELA_VAZAO[qnat],TABELA_VAZAO[Posto],$R129,TABELA_VAZAO[Data],AU$27)</f>
        <v>83</v>
      </c>
      <c r="AV129" s="272">
        <f ca="1">IFERROR(AVERAGEIFS(TABELA_VAZAO[qnat],TABELA_VAZAO[Posto],$R129,TABELA_VAZAO[Data],AV$27),AU129+$BB129*EXP(AV$26))</f>
        <v>80</v>
      </c>
      <c r="AW129" s="159">
        <f ca="1">IFERROR(AVERAGEIFS(TABELA_VAZAO[qnat],TABELA_VAZAO[Posto],$R129,TABELA_VAZAO[Data],AW$27),AV129+$BB129*EXP(AW$26))</f>
        <v>79</v>
      </c>
      <c r="AX129" s="325">
        <f ca="1">IFERROR(AVERAGEIFS(TABELA_VAZAO[qnat],TABELA_VAZAO[Posto],$R129,TABELA_VAZAO[Data],AX$27),AW129+$BB129*EXP(AX$26))</f>
        <v>77</v>
      </c>
      <c r="AY129" s="325">
        <f ca="1">IFERROR(AVERAGEIFS(TABELA_VAZAO[qnat],TABELA_VAZAO[Posto],$R129,TABELA_VAZAO[Data],AY$27),AX129+$BB129*EXP(AY$26))</f>
        <v>75.659359907928717</v>
      </c>
      <c r="AZ129" s="326">
        <f ca="1">IFERROR(AVERAGEIFS(TABELA_VAZAO[qnat],TABELA_VAZAO[Posto],$R129,TABELA_VAZAO[Data],AZ$27),AY129+$BB129*EXP(AZ$26))</f>
        <v>74.760701979694275</v>
      </c>
      <c r="BA129" s="326">
        <f ca="1">IFERROR(AVERAGEIFS(TABELA_VAZAO[qnat],TABELA_VAZAO[Posto],$R129,TABELA_VAZAO[Data],BA$27),AZ129+$BB129*EXP(BA$26))</f>
        <v>74.158313555869867</v>
      </c>
      <c r="BB129" s="121">
        <f t="shared" ca="1" si="32"/>
        <v>-2</v>
      </c>
      <c r="BC129" s="272">
        <f t="shared" ca="1" si="33"/>
        <v>-2</v>
      </c>
      <c r="BD129" s="272">
        <f t="shared" ca="1" si="33"/>
        <v>-3</v>
      </c>
      <c r="BE129" s="272">
        <f t="shared" ca="1" si="33"/>
        <v>-3</v>
      </c>
      <c r="BF129" s="272">
        <f t="shared" ca="1" si="33"/>
        <v>-1</v>
      </c>
      <c r="BG129"/>
    </row>
    <row r="130" spans="1:59" ht="13.5" thickBot="1" x14ac:dyDescent="0.25">
      <c r="A130" s="229"/>
      <c r="B130" s="229"/>
      <c r="C130" s="229"/>
      <c r="D130" s="229"/>
      <c r="E130" s="229"/>
      <c r="F130" s="229"/>
      <c r="G130" s="229"/>
      <c r="H130" s="229"/>
      <c r="I130" s="229"/>
      <c r="J130" s="229"/>
      <c r="L130"/>
      <c r="M130"/>
      <c r="N130"/>
      <c r="O130"/>
      <c r="R130">
        <v>103</v>
      </c>
      <c r="S130" s="246">
        <f ca="1">AO130</f>
        <v>36</v>
      </c>
      <c r="T130" s="246" t="str">
        <f t="shared" ca="1" si="49"/>
        <v/>
      </c>
      <c r="U130" s="246" t="str">
        <f t="shared" ca="1" si="49"/>
        <v/>
      </c>
      <c r="V130" s="246" t="str">
        <f t="shared" ca="1" si="49"/>
        <v/>
      </c>
      <c r="W130" s="246" t="str">
        <f t="shared" ca="1" si="49"/>
        <v/>
      </c>
      <c r="X130" s="246" t="str">
        <f t="shared" ca="1" si="49"/>
        <v/>
      </c>
      <c r="Y130" s="246" t="str">
        <f t="shared" ca="1" si="49"/>
        <v/>
      </c>
      <c r="Z130" s="246" t="str">
        <f t="shared" ca="1" si="49"/>
        <v/>
      </c>
      <c r="AA130" s="246" t="str">
        <f t="shared" ca="1" si="49"/>
        <v/>
      </c>
      <c r="AB130" s="246" t="str">
        <f ca="1">IFERROR(ROUND(INDEX(O$28:O$129,MATCH($R130,$A$28:$A$129,0)),0),"")</f>
        <v/>
      </c>
      <c r="AN130" s="121"/>
      <c r="AO130" s="121">
        <f t="shared" ca="1" si="30"/>
        <v>36</v>
      </c>
      <c r="AP130" s="121" t="b">
        <f t="shared" si="31"/>
        <v>1</v>
      </c>
      <c r="AQ130" s="272">
        <f ca="1">+AVERAGEIFS(TABELA_VAZAO[qnat],TABELA_VAZAO[Posto],$R130,TABELA_VAZAO[Data],AQ$27)</f>
        <v>97</v>
      </c>
      <c r="AR130" s="272">
        <f ca="1">+AVERAGEIFS(TABELA_VAZAO[qnat],TABELA_VAZAO[Posto],$R130,TABELA_VAZAO[Data],AR$27)</f>
        <v>94</v>
      </c>
      <c r="AS130" s="272">
        <f ca="1">+AVERAGEIFS(TABELA_VAZAO[qnat],TABELA_VAZAO[Posto],$R130,TABELA_VAZAO[Data],AS$27)</f>
        <v>92</v>
      </c>
      <c r="AT130" s="272">
        <f ca="1">+AVERAGEIFS(TABELA_VAZAO[qnat],TABELA_VAZAO[Posto],$R130,TABELA_VAZAO[Data],AT$27)</f>
        <v>90</v>
      </c>
      <c r="AU130" s="121">
        <f ca="1">+AVERAGEIFS(TABELA_VAZAO[qnat],TABELA_VAZAO[Posto],$R130,TABELA_VAZAO[Data],AU$27)</f>
        <v>87</v>
      </c>
      <c r="AV130" s="272">
        <f ca="1">IFERROR(AVERAGEIFS(TABELA_VAZAO[qnat],TABELA_VAZAO[Posto],$R130,TABELA_VAZAO[Data],AV$27),AU130+$BB130*EXP(AV$26))</f>
        <v>84</v>
      </c>
      <c r="AW130" s="159">
        <f ca="1">IFERROR(AVERAGEIFS(TABELA_VAZAO[qnat],TABELA_VAZAO[Posto],$R130,TABELA_VAZAO[Data],AW$27),AV130+$BB130*EXP(AW$26))</f>
        <v>82</v>
      </c>
      <c r="AX130" s="325">
        <f ca="1">IFERROR(AVERAGEIFS(TABELA_VAZAO[qnat],TABELA_VAZAO[Posto],$R130,TABELA_VAZAO[Data],AX$27),AW130+$BB130*EXP(AX$26))</f>
        <v>79.571428571428569</v>
      </c>
      <c r="AY130" s="325">
        <f ca="1">IFERROR(AVERAGEIFS(TABELA_VAZAO[qnat],TABELA_VAZAO[Posto],$R130,TABELA_VAZAO[Data],AY$27),AX130+$BB130*EXP(AY$26))</f>
        <v>77.943508459627736</v>
      </c>
      <c r="AZ130" s="326">
        <f ca="1">IFERROR(AVERAGEIFS(TABELA_VAZAO[qnat],TABELA_VAZAO[Posto],$R130,TABELA_VAZAO[Data],AZ$27),AY130+$BB130*EXP(AZ$26))</f>
        <v>76.852280975343049</v>
      </c>
      <c r="BA130" s="326">
        <f ca="1">IFERROR(AVERAGEIFS(TABELA_VAZAO[qnat],TABELA_VAZAO[Posto],$R130,TABELA_VAZAO[Data],BA$27),AZ130+$BB130*EXP(BA$26))</f>
        <v>76.120809317841989</v>
      </c>
      <c r="BB130" s="121">
        <f t="shared" ca="1" si="32"/>
        <v>-2.4285714285714284</v>
      </c>
      <c r="BC130" s="272">
        <f t="shared" ca="1" si="33"/>
        <v>-2</v>
      </c>
      <c r="BD130" s="272">
        <f t="shared" ca="1" si="33"/>
        <v>-3</v>
      </c>
      <c r="BE130" s="272">
        <f t="shared" ca="1" si="33"/>
        <v>-3</v>
      </c>
      <c r="BF130" s="272">
        <f t="shared" ca="1" si="33"/>
        <v>-2</v>
      </c>
      <c r="BG130"/>
    </row>
    <row r="131" spans="1:59" ht="20.25" x14ac:dyDescent="0.3">
      <c r="A131" s="231" t="s">
        <v>121</v>
      </c>
      <c r="B131" s="232"/>
      <c r="C131" s="233"/>
      <c r="D131" s="226">
        <f ca="1">_dataSemPrevisao</f>
        <v>43834</v>
      </c>
      <c r="E131" s="226">
        <f t="shared" ref="E131:I131" ca="1" si="50">D131+1</f>
        <v>43835</v>
      </c>
      <c r="F131" s="226">
        <f t="shared" ca="1" si="50"/>
        <v>43836</v>
      </c>
      <c r="G131" s="226">
        <f t="shared" ca="1" si="50"/>
        <v>43837</v>
      </c>
      <c r="H131" s="226">
        <f t="shared" ca="1" si="50"/>
        <v>43838</v>
      </c>
      <c r="I131" s="226">
        <f t="shared" ca="1" si="50"/>
        <v>43839</v>
      </c>
      <c r="J131" s="227">
        <f ca="1">I131+1</f>
        <v>43840</v>
      </c>
      <c r="L131"/>
      <c r="M131"/>
      <c r="N131"/>
      <c r="O131"/>
      <c r="R131">
        <v>104</v>
      </c>
      <c r="S131" s="40"/>
      <c r="T131" s="40"/>
      <c r="U131" s="131"/>
      <c r="V131" s="131"/>
      <c r="W131" s="131"/>
      <c r="X131" s="131"/>
      <c r="Y131" s="131"/>
      <c r="Z131" s="131"/>
      <c r="AA131" s="131"/>
      <c r="AB131" s="131"/>
      <c r="AN131" s="121"/>
      <c r="AO131" s="121" t="e">
        <f t="shared" si="30"/>
        <v>#DIV/0!</v>
      </c>
      <c r="AP131" s="121" t="b">
        <f t="shared" si="31"/>
        <v>0</v>
      </c>
      <c r="AU131" s="121"/>
      <c r="AV131" s="121"/>
      <c r="AW131" s="159"/>
      <c r="AX131" s="159"/>
      <c r="AY131" s="159"/>
      <c r="AZ131" s="157"/>
      <c r="BA131" s="157"/>
      <c r="BB131" s="121">
        <f t="shared" ca="1" si="32"/>
        <v>0</v>
      </c>
      <c r="BC131" s="272">
        <f t="shared" ca="1" si="33"/>
        <v>0</v>
      </c>
      <c r="BD131" s="272">
        <f t="shared" ca="1" si="33"/>
        <v>0</v>
      </c>
      <c r="BE131" s="272">
        <f t="shared" ca="1" si="33"/>
        <v>0</v>
      </c>
      <c r="BF131" s="272">
        <f t="shared" ca="1" si="33"/>
        <v>0</v>
      </c>
      <c r="BG131"/>
    </row>
    <row r="132" spans="1:59" ht="18" x14ac:dyDescent="0.25">
      <c r="A132" s="221">
        <v>34</v>
      </c>
      <c r="B132" s="222" t="s">
        <v>122</v>
      </c>
      <c r="C132" s="222"/>
      <c r="D132" s="224">
        <f ca="1">+AVERAGEIFS(TABELA_VAZAO[qinc],TABELA_VAZAO[Posto],$A132,TABELA_VAZAO[Data],D$131)</f>
        <v>439</v>
      </c>
      <c r="E132" s="224">
        <f ca="1">IFERROR(AVERAGEIFS(TABELA_VAZAO[qinc],TABELA_VAZAO[Posto],$A132,TABELA_VAZAO[Data],E$131),AV349)</f>
        <v>436</v>
      </c>
      <c r="F132" s="224">
        <f ca="1">IFERROR(AVERAGEIFS(TABELA_VAZAO[qinc],TABELA_VAZAO[Posto],$A132,TABELA_VAZAO[Data],F$131),AW349)</f>
        <v>438</v>
      </c>
      <c r="G132" s="224">
        <f ca="1">IFERROR(AVERAGEIFS(TABELA_VAZAO[qinc],TABELA_VAZAO[Posto],$A132,TABELA_VAZAO[Data],G$131),AX349)</f>
        <v>435.14285714285717</v>
      </c>
      <c r="H132" s="224">
        <f ca="1">IFERROR(AVERAGEIFS(TABELA_VAZAO[qinc],TABELA_VAZAO[Posto],$A132,TABELA_VAZAO[Data],H$131),AY349)</f>
        <v>433.22765701132676</v>
      </c>
      <c r="I132" s="225">
        <f ca="1">IFERROR(AVERAGEIFS(TABELA_VAZAO[qinc],TABELA_VAZAO[Posto],$A132,TABELA_VAZAO[Data],I$131),SUMPRODUCT(($E132:$H132-$D132:$G132),$BC$27:$BF$27)/$BB$27+H132)</f>
        <v>431.4476732814872</v>
      </c>
      <c r="J132" s="225">
        <f ca="1">IFERROR(AVERAGEIFS(TABELA_VAZAO[qinc],TABELA_VAZAO[Posto],$A132,TABELA_VAZAO[Data],J$131),SUMPRODUCT(($E132:$H132-$D132:$G132),$BC$27:$BF$27)/$BB$27+I132)</f>
        <v>429.66768955164764</v>
      </c>
      <c r="L132"/>
      <c r="M132"/>
      <c r="N132"/>
      <c r="O132"/>
      <c r="R132">
        <v>105</v>
      </c>
      <c r="S132" s="40"/>
      <c r="T132" s="40"/>
      <c r="U132" s="131"/>
      <c r="V132" s="131"/>
      <c r="W132" s="131"/>
      <c r="X132" s="131"/>
      <c r="Y132" s="131"/>
      <c r="Z132" s="131"/>
      <c r="AA132" s="131"/>
      <c r="AB132" s="131"/>
      <c r="AN132" s="121"/>
      <c r="AO132" s="121" t="e">
        <f t="shared" si="30"/>
        <v>#DIV/0!</v>
      </c>
      <c r="AP132" s="121" t="b">
        <f t="shared" si="31"/>
        <v>0</v>
      </c>
      <c r="AU132" s="121"/>
      <c r="AV132" s="121"/>
      <c r="AW132" s="159"/>
      <c r="AX132" s="159"/>
      <c r="AY132" s="159"/>
      <c r="AZ132" s="157"/>
      <c r="BA132" s="157"/>
      <c r="BB132" s="121">
        <f t="shared" ca="1" si="32"/>
        <v>0</v>
      </c>
      <c r="BC132" s="272">
        <f t="shared" ca="1" si="33"/>
        <v>0</v>
      </c>
      <c r="BD132" s="272">
        <f t="shared" ca="1" si="33"/>
        <v>0</v>
      </c>
      <c r="BE132" s="272">
        <f t="shared" ca="1" si="33"/>
        <v>0</v>
      </c>
      <c r="BF132" s="272">
        <f t="shared" ca="1" si="33"/>
        <v>0</v>
      </c>
      <c r="BG132"/>
    </row>
    <row r="133" spans="1:59" ht="18" x14ac:dyDescent="0.25">
      <c r="A133" s="223">
        <v>245</v>
      </c>
      <c r="B133" s="222" t="s">
        <v>123</v>
      </c>
      <c r="C133" s="222"/>
      <c r="D133" s="224">
        <f ca="1">+AVERAGEIFS(TABELA_VAZAO[qinc],TABELA_VAZAO[Posto],$A133,TABELA_VAZAO[Data],D$131)</f>
        <v>547</v>
      </c>
      <c r="E133" s="224">
        <f ca="1">IFERROR(AVERAGEIFS(TABELA_VAZAO[qinc],TABELA_VAZAO[Posto],$A133,TABELA_VAZAO[Data],E$131),AV350)</f>
        <v>550</v>
      </c>
      <c r="F133" s="224">
        <f ca="1">IFERROR(AVERAGEIFS(TABELA_VAZAO[qinc],TABELA_VAZAO[Posto],$A133,TABELA_VAZAO[Data],F$131),AW350)</f>
        <v>547</v>
      </c>
      <c r="G133" s="224">
        <f ca="1">IFERROR(AVERAGEIFS(TABELA_VAZAO[qinc],TABELA_VAZAO[Posto],$A133,TABELA_VAZAO[Data],G$131),AX350)</f>
        <v>563</v>
      </c>
      <c r="H133" s="224">
        <f ca="1">IFERROR(AVERAGEIFS(TABELA_VAZAO[qinc],TABELA_VAZAO[Posto],$A133,TABELA_VAZAO[Data],H$131),AY350)</f>
        <v>573.72512073657026</v>
      </c>
      <c r="I133" s="225">
        <f ca="1">IFERROR(AVERAGEIFS(TABELA_VAZAO[qinc],TABELA_VAZAO[Posto],$A133,TABELA_VAZAO[Data],I$131),SUMPRODUCT(($E133:$H133-$D133:$G133),$BC$27:$BF$27)/$BB$27+H133)</f>
        <v>582.89302962367185</v>
      </c>
      <c r="J133" s="225">
        <f ca="1">IFERROR(AVERAGEIFS(TABELA_VAZAO[qinc],TABELA_VAZAO[Posto],$A133,TABELA_VAZAO[Data],J$131),SUMPRODUCT(($E133:$H133-$D133:$G133),$BC$27:$BF$27)/$BB$27+I133)</f>
        <v>592.06093851077344</v>
      </c>
      <c r="L133"/>
      <c r="M133"/>
      <c r="N133"/>
      <c r="O133"/>
      <c r="R133">
        <v>106</v>
      </c>
      <c r="S133" s="40"/>
      <c r="T133" s="40"/>
      <c r="U133" s="131"/>
      <c r="V133" s="131"/>
      <c r="W133" s="131"/>
      <c r="X133" s="131"/>
      <c r="Y133" s="131"/>
      <c r="Z133" s="131"/>
      <c r="AA133" s="131"/>
      <c r="AB133" s="131"/>
      <c r="AN133" s="121"/>
      <c r="AO133" s="121" t="e">
        <f t="shared" si="30"/>
        <v>#DIV/0!</v>
      </c>
      <c r="AP133" s="121" t="b">
        <f t="shared" si="31"/>
        <v>0</v>
      </c>
      <c r="AU133" s="121"/>
      <c r="AV133" s="121"/>
      <c r="AW133" s="159"/>
      <c r="AX133" s="159"/>
      <c r="AY133" s="159"/>
      <c r="AZ133" s="157"/>
      <c r="BA133" s="157"/>
      <c r="BB133" s="121">
        <f t="shared" ca="1" si="32"/>
        <v>0</v>
      </c>
      <c r="BC133" s="272">
        <f t="shared" ca="1" si="33"/>
        <v>0</v>
      </c>
      <c r="BD133" s="272">
        <f t="shared" ca="1" si="33"/>
        <v>0</v>
      </c>
      <c r="BE133" s="272">
        <f t="shared" ca="1" si="33"/>
        <v>0</v>
      </c>
      <c r="BF133" s="272">
        <f t="shared" ca="1" si="33"/>
        <v>0</v>
      </c>
      <c r="BG133"/>
    </row>
    <row r="134" spans="1:59" ht="18" x14ac:dyDescent="0.25">
      <c r="A134" s="221">
        <v>246</v>
      </c>
      <c r="B134" s="222" t="s">
        <v>124</v>
      </c>
      <c r="C134" s="222"/>
      <c r="D134" s="224">
        <f ca="1">+AVERAGEIFS(TABELA_VAZAO[qinc],TABELA_VAZAO[Posto],$A134,TABELA_VAZAO[Data],D$131)</f>
        <v>756</v>
      </c>
      <c r="E134" s="224">
        <f ca="1">IFERROR(AVERAGEIFS(TABELA_VAZAO[qinc],TABELA_VAZAO[Posto],$A134,TABELA_VAZAO[Data],E$131),AV351)</f>
        <v>765</v>
      </c>
      <c r="F134" s="224">
        <f ca="1">IFERROR(AVERAGEIFS(TABELA_VAZAO[qinc],TABELA_VAZAO[Posto],$A134,TABELA_VAZAO[Data],F$131),AW351)</f>
        <v>853</v>
      </c>
      <c r="G134" s="224">
        <f ca="1">IFERROR(AVERAGEIFS(TABELA_VAZAO[qinc],TABELA_VAZAO[Posto],$A134,TABELA_VAZAO[Data],G$131),AX351)</f>
        <v>890.42857142857144</v>
      </c>
      <c r="H134" s="224">
        <f ca="1">IFERROR(AVERAGEIFS(TABELA_VAZAO[qinc],TABELA_VAZAO[Posto],$A134,TABELA_VAZAO[Data],H$131),AY351)</f>
        <v>915.51769315161971</v>
      </c>
      <c r="I134" s="225">
        <f ca="1">IFERROR(AVERAGEIFS(TABELA_VAZAO[qinc],TABELA_VAZAO[Posto],$A134,TABELA_VAZAO[Data],I$131),SUMPRODUCT(($E134:$H134-$D134:$G134),$BC$27:$BF$27)/$BB$27+H134)</f>
        <v>950.82119429823229</v>
      </c>
      <c r="J134" s="225">
        <f ca="1">IFERROR(AVERAGEIFS(TABELA_VAZAO[qinc],TABELA_VAZAO[Posto],$A134,TABELA_VAZAO[Data],J$131),SUMPRODUCT(($E134:$H134-$D134:$G134),$BC$27:$BF$27)/$BB$27+I134)</f>
        <v>986.12469544484486</v>
      </c>
      <c r="L134"/>
      <c r="M134"/>
      <c r="N134"/>
      <c r="O134"/>
      <c r="R134">
        <v>107</v>
      </c>
      <c r="S134" s="40"/>
      <c r="T134" s="40"/>
      <c r="U134" s="131"/>
      <c r="V134" s="131"/>
      <c r="W134" s="131"/>
      <c r="X134" s="131"/>
      <c r="Y134" s="131"/>
      <c r="Z134" s="131"/>
      <c r="AA134" s="131"/>
      <c r="AB134" s="131"/>
      <c r="AN134" s="121"/>
      <c r="AO134" s="121" t="e">
        <f t="shared" si="30"/>
        <v>#DIV/0!</v>
      </c>
      <c r="AP134" s="121" t="b">
        <f t="shared" si="31"/>
        <v>0</v>
      </c>
      <c r="AU134" s="121"/>
      <c r="AV134" s="121"/>
      <c r="AW134" s="159"/>
      <c r="AX134" s="159"/>
      <c r="AY134" s="159"/>
      <c r="AZ134" s="157"/>
      <c r="BA134" s="157"/>
      <c r="BB134" s="121">
        <f t="shared" ca="1" si="32"/>
        <v>0</v>
      </c>
      <c r="BC134" s="272">
        <f t="shared" ca="1" si="33"/>
        <v>0</v>
      </c>
      <c r="BD134" s="272">
        <f t="shared" ca="1" si="33"/>
        <v>0</v>
      </c>
      <c r="BE134" s="272">
        <f t="shared" ca="1" si="33"/>
        <v>0</v>
      </c>
      <c r="BF134" s="272">
        <f t="shared" ca="1" si="33"/>
        <v>0</v>
      </c>
      <c r="BG134"/>
    </row>
    <row r="135" spans="1:59" ht="18" x14ac:dyDescent="0.25">
      <c r="A135" s="221">
        <v>243</v>
      </c>
      <c r="B135" s="222" t="s">
        <v>222</v>
      </c>
      <c r="C135" s="222"/>
      <c r="D135" s="224">
        <f ca="1">+AVERAGEIFS(TABELA_VAZAO[qinc],TABELA_VAZAO[Posto],$A135,TABELA_VAZAO[Data],D$131)</f>
        <v>28</v>
      </c>
      <c r="E135" s="224">
        <f ca="1">IFERROR(AVERAGEIFS(TABELA_VAZAO[qinc],TABELA_VAZAO[Posto],$A135,TABELA_VAZAO[Data],E$131),AV352)</f>
        <v>28</v>
      </c>
      <c r="F135" s="224">
        <f ca="1">IFERROR(AVERAGEIFS(TABELA_VAZAO[qinc],TABELA_VAZAO[Posto],$A135,TABELA_VAZAO[Data],F$131),AW352)</f>
        <v>28</v>
      </c>
      <c r="G135" s="224">
        <f ca="1">IFERROR(AVERAGEIFS(TABELA_VAZAO[qinc],TABELA_VAZAO[Posto],$A135,TABELA_VAZAO[Data],G$131),AX352)</f>
        <v>27.857142857142858</v>
      </c>
      <c r="H135" s="224">
        <f ca="1">IFERROR(AVERAGEIFS(TABELA_VAZAO[qinc],TABELA_VAZAO[Posto],$A135,TABELA_VAZAO[Data],H$131),AY352)</f>
        <v>27.761382850566338</v>
      </c>
      <c r="I135" s="225">
        <f ca="1">IFERROR(AVERAGEIFS(TABELA_VAZAO[qinc],TABELA_VAZAO[Posto],$A135,TABELA_VAZAO[Data],I$131),SUMPRODUCT(($E135:$H135-$D135:$G135),$BC$27:$BF$27)/$BB$27+H135)</f>
        <v>27.67952652121722</v>
      </c>
      <c r="J135" s="225">
        <f ca="1">IFERROR(AVERAGEIFS(TABELA_VAZAO[qinc],TABELA_VAZAO[Posto],$A135,TABELA_VAZAO[Data],J$131),SUMPRODUCT(($E135:$H135-$D135:$G135),$BC$27:$BF$27)/$BB$27+I135)</f>
        <v>27.597670191868101</v>
      </c>
      <c r="L135"/>
      <c r="M135"/>
      <c r="N135"/>
      <c r="O135"/>
      <c r="R135">
        <v>108</v>
      </c>
      <c r="S135" s="40"/>
      <c r="T135" s="40"/>
      <c r="U135" s="131"/>
      <c r="V135" s="131"/>
      <c r="W135" s="131"/>
      <c r="X135" s="131"/>
      <c r="Y135" s="131"/>
      <c r="Z135" s="131"/>
      <c r="AA135" s="131"/>
      <c r="AB135" s="131"/>
      <c r="AN135" s="121"/>
      <c r="AO135" s="121" t="e">
        <f t="shared" si="30"/>
        <v>#DIV/0!</v>
      </c>
      <c r="AP135" s="121" t="b">
        <f t="shared" si="31"/>
        <v>0</v>
      </c>
      <c r="AU135" s="121"/>
      <c r="AV135" s="121"/>
      <c r="AW135" s="159"/>
      <c r="AX135" s="159"/>
      <c r="AY135" s="159"/>
      <c r="AZ135" s="157"/>
      <c r="BA135" s="157"/>
      <c r="BB135" s="121">
        <f t="shared" ca="1" si="32"/>
        <v>0</v>
      </c>
      <c r="BC135" s="272">
        <f t="shared" ca="1" si="33"/>
        <v>0</v>
      </c>
      <c r="BD135" s="272">
        <f t="shared" ca="1" si="33"/>
        <v>0</v>
      </c>
      <c r="BE135" s="272">
        <f t="shared" ca="1" si="33"/>
        <v>0</v>
      </c>
      <c r="BF135" s="272">
        <f t="shared" ca="1" si="33"/>
        <v>0</v>
      </c>
      <c r="BG135"/>
    </row>
    <row r="136" spans="1:59" x14ac:dyDescent="0.2">
      <c r="A136" s="229"/>
      <c r="B136" s="229"/>
      <c r="C136" s="229"/>
      <c r="D136" s="229"/>
      <c r="E136" s="229"/>
      <c r="F136" s="229"/>
      <c r="G136" s="229"/>
      <c r="H136" s="229"/>
      <c r="I136" s="229"/>
      <c r="J136" s="229"/>
      <c r="K136" s="272"/>
      <c r="P136" s="272"/>
      <c r="R136">
        <v>109</v>
      </c>
      <c r="S136" s="40"/>
      <c r="T136" s="40"/>
      <c r="U136" s="131"/>
      <c r="V136" s="131"/>
      <c r="W136" s="131"/>
      <c r="X136" s="131"/>
      <c r="Y136" s="131"/>
      <c r="Z136" s="131"/>
      <c r="AA136" s="131"/>
      <c r="AB136" s="131"/>
      <c r="AN136" s="121"/>
      <c r="AO136" s="121" t="e">
        <f t="shared" si="30"/>
        <v>#DIV/0!</v>
      </c>
      <c r="AP136" s="121" t="b">
        <f t="shared" si="31"/>
        <v>0</v>
      </c>
      <c r="AU136" s="121"/>
      <c r="AV136" s="121"/>
      <c r="AW136" s="159"/>
      <c r="AX136" s="159"/>
      <c r="AY136" s="159"/>
      <c r="AZ136" s="157"/>
      <c r="BA136" s="157"/>
      <c r="BB136" s="121">
        <f t="shared" ca="1" si="32"/>
        <v>0</v>
      </c>
      <c r="BC136" s="272">
        <f t="shared" ca="1" si="33"/>
        <v>0</v>
      </c>
      <c r="BD136" s="272">
        <f t="shared" ca="1" si="33"/>
        <v>0</v>
      </c>
      <c r="BE136" s="272">
        <f t="shared" ca="1" si="33"/>
        <v>0</v>
      </c>
      <c r="BF136" s="272">
        <f t="shared" ca="1" si="33"/>
        <v>0</v>
      </c>
      <c r="BG136"/>
    </row>
    <row r="137" spans="1:59" x14ac:dyDescent="0.2">
      <c r="A137" s="229"/>
      <c r="B137" s="229"/>
      <c r="C137" s="229"/>
      <c r="D137" s="229"/>
      <c r="E137" s="229"/>
      <c r="F137" s="229"/>
      <c r="G137" s="229"/>
      <c r="H137" s="229"/>
      <c r="I137" s="229"/>
      <c r="J137" s="229"/>
      <c r="K137" s="272"/>
      <c r="P137" s="272"/>
      <c r="R137" s="202">
        <v>110</v>
      </c>
      <c r="S137" s="40" t="e">
        <f t="shared" ref="S137:S144" ca="1" si="51">AO137</f>
        <v>#DIV/0!</v>
      </c>
      <c r="T137" s="131" t="str">
        <f t="shared" ref="T137:AA142" ca="1" si="52">IF(AND($K$4,ISNUMBER(H$143)),ROUND(G$143*S137,0),"")</f>
        <v/>
      </c>
      <c r="U137" s="131" t="str">
        <f t="shared" ca="1" si="52"/>
        <v/>
      </c>
      <c r="V137" s="131" t="str">
        <f t="shared" ca="1" si="52"/>
        <v/>
      </c>
      <c r="W137" s="131" t="str">
        <f t="shared" ca="1" si="52"/>
        <v/>
      </c>
      <c r="X137" s="131" t="str">
        <f t="shared" ca="1" si="52"/>
        <v/>
      </c>
      <c r="Y137" s="131" t="str">
        <f t="shared" ca="1" si="52"/>
        <v/>
      </c>
      <c r="Z137" s="131" t="str">
        <f t="shared" ca="1" si="52"/>
        <v/>
      </c>
      <c r="AA137" s="131" t="str">
        <f t="shared" si="52"/>
        <v/>
      </c>
      <c r="AB137" s="131"/>
      <c r="AN137" s="121"/>
      <c r="AO137" s="121" t="e">
        <f t="shared" ca="1" si="30"/>
        <v>#DIV/0!</v>
      </c>
      <c r="AP137" s="121" t="b">
        <f t="shared" si="31"/>
        <v>0</v>
      </c>
      <c r="AQ137" s="272">
        <f ca="1">+AVERAGEIFS(TABELA_VAZAO[qnat],TABELA_VAZAO[Posto],$R137,TABELA_VAZAO[Data],AQ$27)</f>
        <v>14</v>
      </c>
      <c r="AR137" s="272">
        <f ca="1">+AVERAGEIFS(TABELA_VAZAO[qnat],TABELA_VAZAO[Posto],$R137,TABELA_VAZAO[Data],AR$27)</f>
        <v>16</v>
      </c>
      <c r="AS137" s="272">
        <f ca="1">+AVERAGEIFS(TABELA_VAZAO[qnat],TABELA_VAZAO[Posto],$R137,TABELA_VAZAO[Data],AS$27)</f>
        <v>19</v>
      </c>
      <c r="AT137" s="272">
        <f ca="1">+AVERAGEIFS(TABELA_VAZAO[qnat],TABELA_VAZAO[Posto],$R137,TABELA_VAZAO[Data],AT$27)</f>
        <v>19</v>
      </c>
      <c r="AU137" s="121">
        <f ca="1">+AVERAGEIFS(TABELA_VAZAO[qnat],TABELA_VAZAO[Posto],$R137,TABELA_VAZAO[Data],AU$27)</f>
        <v>16</v>
      </c>
      <c r="AV137" s="272">
        <f ca="1">IFERROR(AVERAGEIFS(TABELA_VAZAO[qnat],TABELA_VAZAO[Posto],$R137,TABELA_VAZAO[Data],AV$27),AU137+$BB137*EXP(AV$26))</f>
        <v>11</v>
      </c>
      <c r="AW137" s="159">
        <f ca="1">IFERROR(AVERAGEIFS(TABELA_VAZAO[qnat],TABELA_VAZAO[Posto],$R137,TABELA_VAZAO[Data],AW$27),AV137)</f>
        <v>10</v>
      </c>
      <c r="AX137" s="159">
        <f ca="1">IFERROR(AVERAGEIFS(TABELA_VAZAO[qnat],TABELA_VAZAO[Posto],$R137,TABELA_VAZAO[Data],AX$27),AW137)</f>
        <v>10</v>
      </c>
      <c r="AY137" s="159">
        <f ca="1">IFERROR(AVERAGEIFS(TABELA_VAZAO[qnat],TABELA_VAZAO[Posto],$R137,TABELA_VAZAO[Data],AY$27),AX137)</f>
        <v>10</v>
      </c>
      <c r="AZ137" s="202" t="e">
        <f ca="1">IFERROR(AVERAGEIFS(TABELA_VAZAO[qnat],TABELA_VAZAO[Posto],$R137,TABELA_VAZAO[Data],AZ$27),INDEX(PREVS_SMAP_DIARIO!$A$130:$Q$130,1,MATCH(PREVS_SMAP!AZ$27,PREVS_SMAP_DIARIO!$A$27:$Q$27,0))*AY137)</f>
        <v>#DIV/0!</v>
      </c>
      <c r="BA137" s="202" t="e">
        <f ca="1">IFERROR(AVERAGEIFS(TABELA_VAZAO[qnat],TABELA_VAZAO[Posto],$R137,TABELA_VAZAO[Data],BA$27),INDEX(PREVS_SMAP_DIARIO!$A$130:$Q$130,1,MATCH(PREVS_SMAP!BA$27,PREVS_SMAP_DIARIO!$A$27:$Q$27,0))*AZ137)</f>
        <v>#DIV/0!</v>
      </c>
      <c r="BB137" s="121">
        <f t="shared" ca="1" si="32"/>
        <v>-2.2857142857142856</v>
      </c>
      <c r="BC137" s="272">
        <f t="shared" ca="1" si="33"/>
        <v>0</v>
      </c>
      <c r="BD137" s="272">
        <f t="shared" ca="1" si="33"/>
        <v>-3</v>
      </c>
      <c r="BE137" s="272">
        <f t="shared" ca="1" si="33"/>
        <v>-5</v>
      </c>
      <c r="BF137" s="272">
        <f t="shared" ca="1" si="33"/>
        <v>-1</v>
      </c>
      <c r="BG137"/>
    </row>
    <row r="138" spans="1:59" x14ac:dyDescent="0.2">
      <c r="A138" s="229"/>
      <c r="B138" s="229"/>
      <c r="C138" s="229"/>
      <c r="D138" s="229"/>
      <c r="E138" s="229"/>
      <c r="F138" s="229"/>
      <c r="G138" s="229"/>
      <c r="H138" s="229"/>
      <c r="I138" s="229"/>
      <c r="J138" s="229"/>
      <c r="K138" s="272"/>
      <c r="P138" s="272"/>
      <c r="R138" s="202">
        <v>111</v>
      </c>
      <c r="S138" s="40" t="e">
        <f t="shared" ca="1" si="51"/>
        <v>#DIV/0!</v>
      </c>
      <c r="T138" s="131" t="str">
        <f t="shared" ca="1" si="52"/>
        <v/>
      </c>
      <c r="U138" s="131" t="str">
        <f t="shared" ca="1" si="52"/>
        <v/>
      </c>
      <c r="V138" s="131" t="str">
        <f t="shared" ca="1" si="52"/>
        <v/>
      </c>
      <c r="W138" s="131" t="str">
        <f t="shared" ca="1" si="52"/>
        <v/>
      </c>
      <c r="X138" s="131" t="str">
        <f t="shared" ca="1" si="52"/>
        <v/>
      </c>
      <c r="Y138" s="131" t="str">
        <f t="shared" ca="1" si="52"/>
        <v/>
      </c>
      <c r="Z138" s="131" t="str">
        <f t="shared" ca="1" si="52"/>
        <v/>
      </c>
      <c r="AA138" s="131" t="str">
        <f t="shared" si="52"/>
        <v/>
      </c>
      <c r="AB138" s="131"/>
      <c r="AN138" s="121"/>
      <c r="AO138" s="121" t="e">
        <f t="shared" ca="1" si="30"/>
        <v>#DIV/0!</v>
      </c>
      <c r="AP138" s="121" t="b">
        <f t="shared" si="31"/>
        <v>0</v>
      </c>
      <c r="AQ138" s="272">
        <f ca="1">+AVERAGEIFS(TABELA_VAZAO[qnat],TABELA_VAZAO[Posto],$R138,TABELA_VAZAO[Data],AQ$27)</f>
        <v>79</v>
      </c>
      <c r="AR138" s="272">
        <f ca="1">+AVERAGEIFS(TABELA_VAZAO[qnat],TABELA_VAZAO[Posto],$R138,TABELA_VAZAO[Data],AR$27)</f>
        <v>75</v>
      </c>
      <c r="AS138" s="272">
        <f ca="1">+AVERAGEIFS(TABELA_VAZAO[qnat],TABELA_VAZAO[Posto],$R138,TABELA_VAZAO[Data],AS$27)</f>
        <v>71</v>
      </c>
      <c r="AT138" s="272">
        <f ca="1">+AVERAGEIFS(TABELA_VAZAO[qnat],TABELA_VAZAO[Posto],$R138,TABELA_VAZAO[Data],AT$27)</f>
        <v>68</v>
      </c>
      <c r="AU138" s="121">
        <f ca="1">+AVERAGEIFS(TABELA_VAZAO[qnat],TABELA_VAZAO[Posto],$R138,TABELA_VAZAO[Data],AU$27)</f>
        <v>71</v>
      </c>
      <c r="AV138" s="272">
        <f ca="1">IFERROR(AVERAGEIFS(TABELA_VAZAO[qnat],TABELA_VAZAO[Posto],$R138,TABELA_VAZAO[Data],AV$27),AU138+$BB138*EXP(AV$26))</f>
        <v>75</v>
      </c>
      <c r="AW138" s="159">
        <f ca="1">IFERROR(AVERAGEIFS(TABELA_VAZAO[qnat],TABELA_VAZAO[Posto],$R138,TABELA_VAZAO[Data],AW$27),AV138)</f>
        <v>80</v>
      </c>
      <c r="AX138" s="159">
        <f ca="1">IFERROR(AVERAGEIFS(TABELA_VAZAO[qnat],TABELA_VAZAO[Posto],$R138,TABELA_VAZAO[Data],AX$27),AW138)</f>
        <v>80</v>
      </c>
      <c r="AY138" s="159">
        <f ca="1">IFERROR(AVERAGEIFS(TABELA_VAZAO[qnat],TABELA_VAZAO[Posto],$R138,TABELA_VAZAO[Data],AY$27),AX138)</f>
        <v>80</v>
      </c>
      <c r="AZ138" s="202" t="e">
        <f ca="1">IFERROR(AVERAGEIFS(TABELA_VAZAO[qnat],TABELA_VAZAO[Posto],$R138,TABELA_VAZAO[Data],AZ$27),INDEX(PREVS_SMAP_DIARIO!$A$130:$Q$130,1,MATCH(PREVS_SMAP!AZ$27,PREVS_SMAP_DIARIO!$A$27:$Q$27,0))*AY138)</f>
        <v>#DIV/0!</v>
      </c>
      <c r="BA138" s="202" t="e">
        <f ca="1">IFERROR(AVERAGEIFS(TABELA_VAZAO[qnat],TABELA_VAZAO[Posto],$R138,TABELA_VAZAO[Data],BA$27),INDEX(PREVS_SMAP_DIARIO!$A$130:$Q$130,1,MATCH(PREVS_SMAP!BA$27,PREVS_SMAP_DIARIO!$A$27:$Q$27,0))*AZ138)</f>
        <v>#DIV/0!</v>
      </c>
      <c r="BB138" s="121">
        <f t="shared" ca="1" si="32"/>
        <v>3.2857142857142856</v>
      </c>
      <c r="BC138" s="272">
        <f t="shared" ca="1" si="33"/>
        <v>-3</v>
      </c>
      <c r="BD138" s="272">
        <f t="shared" ca="1" si="33"/>
        <v>3</v>
      </c>
      <c r="BE138" s="272">
        <f t="shared" ca="1" si="33"/>
        <v>4</v>
      </c>
      <c r="BF138" s="272">
        <f t="shared" ca="1" si="33"/>
        <v>5</v>
      </c>
      <c r="BG138"/>
    </row>
    <row r="139" spans="1:59" x14ac:dyDescent="0.2">
      <c r="A139" s="229"/>
      <c r="B139" s="229"/>
      <c r="C139" s="229"/>
      <c r="D139" s="229"/>
      <c r="E139" s="229"/>
      <c r="F139" s="229"/>
      <c r="G139" s="229"/>
      <c r="H139" s="229"/>
      <c r="I139" s="229"/>
      <c r="J139" s="229"/>
      <c r="K139" s="272"/>
      <c r="P139" s="272"/>
      <c r="R139" s="202">
        <v>112</v>
      </c>
      <c r="S139" s="40" t="e">
        <f t="shared" ca="1" si="51"/>
        <v>#DIV/0!</v>
      </c>
      <c r="T139" s="131" t="str">
        <f t="shared" ca="1" si="52"/>
        <v/>
      </c>
      <c r="U139" s="131" t="str">
        <f t="shared" ca="1" si="52"/>
        <v/>
      </c>
      <c r="V139" s="131" t="str">
        <f t="shared" ca="1" si="52"/>
        <v/>
      </c>
      <c r="W139" s="131" t="str">
        <f t="shared" ca="1" si="52"/>
        <v/>
      </c>
      <c r="X139" s="131" t="str">
        <f t="shared" ca="1" si="52"/>
        <v/>
      </c>
      <c r="Y139" s="131" t="str">
        <f t="shared" ca="1" si="52"/>
        <v/>
      </c>
      <c r="Z139" s="131" t="str">
        <f t="shared" ca="1" si="52"/>
        <v/>
      </c>
      <c r="AA139" s="131" t="str">
        <f t="shared" si="52"/>
        <v/>
      </c>
      <c r="AB139" s="131"/>
      <c r="AN139" s="121"/>
      <c r="AO139" s="121" t="e">
        <f t="shared" ca="1" si="30"/>
        <v>#DIV/0!</v>
      </c>
      <c r="AP139" s="121" t="b">
        <f t="shared" si="31"/>
        <v>0</v>
      </c>
      <c r="AQ139" s="272">
        <f ca="1">+AVERAGEIFS(TABELA_VAZAO[qnat],TABELA_VAZAO[Posto],$R139,TABELA_VAZAO[Data],AQ$27)</f>
        <v>79</v>
      </c>
      <c r="AR139" s="272">
        <f ca="1">+AVERAGEIFS(TABELA_VAZAO[qnat],TABELA_VAZAO[Posto],$R139,TABELA_VAZAO[Data],AR$27)</f>
        <v>75</v>
      </c>
      <c r="AS139" s="272">
        <f ca="1">+AVERAGEIFS(TABELA_VAZAO[qnat],TABELA_VAZAO[Posto],$R139,TABELA_VAZAO[Data],AS$27)</f>
        <v>71</v>
      </c>
      <c r="AT139" s="272">
        <f ca="1">+AVERAGEIFS(TABELA_VAZAO[qnat],TABELA_VAZAO[Posto],$R139,TABELA_VAZAO[Data],AT$27)</f>
        <v>68</v>
      </c>
      <c r="AU139" s="121">
        <f ca="1">+AVERAGEIFS(TABELA_VAZAO[qnat],TABELA_VAZAO[Posto],$R139,TABELA_VAZAO[Data],AU$27)</f>
        <v>71</v>
      </c>
      <c r="AV139" s="272">
        <f ca="1">IFERROR(AVERAGEIFS(TABELA_VAZAO[qnat],TABELA_VAZAO[Posto],$R139,TABELA_VAZAO[Data],AV$27),AU139+$BB139*EXP(AV$26))</f>
        <v>75</v>
      </c>
      <c r="AW139" s="159">
        <f ca="1">IFERROR(AVERAGEIFS(TABELA_VAZAO[qnat],TABELA_VAZAO[Posto],$R139,TABELA_VAZAO[Data],AW$27),AV139)</f>
        <v>80</v>
      </c>
      <c r="AX139" s="159">
        <f ca="1">IFERROR(AVERAGEIFS(TABELA_VAZAO[qnat],TABELA_VAZAO[Posto],$R139,TABELA_VAZAO[Data],AX$27),AW139)</f>
        <v>80</v>
      </c>
      <c r="AY139" s="159">
        <f ca="1">IFERROR(AVERAGEIFS(TABELA_VAZAO[qnat],TABELA_VAZAO[Posto],$R139,TABELA_VAZAO[Data],AY$27),AX139)</f>
        <v>80</v>
      </c>
      <c r="AZ139" s="202" t="e">
        <f ca="1">IFERROR(AVERAGEIFS(TABELA_VAZAO[qnat],TABELA_VAZAO[Posto],$R139,TABELA_VAZAO[Data],AZ$27),INDEX(PREVS_SMAP_DIARIO!$A$130:$Q$130,1,MATCH(PREVS_SMAP!AZ$27,PREVS_SMAP_DIARIO!$A$27:$Q$27,0))*AY139)</f>
        <v>#DIV/0!</v>
      </c>
      <c r="BA139" s="202" t="e">
        <f ca="1">IFERROR(AVERAGEIFS(TABELA_VAZAO[qnat],TABELA_VAZAO[Posto],$R139,TABELA_VAZAO[Data],BA$27),INDEX(PREVS_SMAP_DIARIO!$A$130:$Q$130,1,MATCH(PREVS_SMAP!BA$27,PREVS_SMAP_DIARIO!$A$27:$Q$27,0))*AZ139)</f>
        <v>#DIV/0!</v>
      </c>
      <c r="BB139" s="121">
        <f t="shared" ca="1" si="32"/>
        <v>3.2857142857142856</v>
      </c>
      <c r="BC139" s="272">
        <f t="shared" ca="1" si="33"/>
        <v>-3</v>
      </c>
      <c r="BD139" s="272">
        <f t="shared" ca="1" si="33"/>
        <v>3</v>
      </c>
      <c r="BE139" s="272">
        <f t="shared" ca="1" si="33"/>
        <v>4</v>
      </c>
      <c r="BF139" s="272">
        <f t="shared" ca="1" si="33"/>
        <v>5</v>
      </c>
      <c r="BG139"/>
    </row>
    <row r="140" spans="1:59" x14ac:dyDescent="0.2">
      <c r="A140" s="229"/>
      <c r="B140" s="229"/>
      <c r="C140" s="229"/>
      <c r="D140" s="229"/>
      <c r="E140" s="229"/>
      <c r="F140" s="229"/>
      <c r="G140" s="229"/>
      <c r="H140" s="229"/>
      <c r="I140" s="229"/>
      <c r="J140" s="229"/>
      <c r="K140" s="272"/>
      <c r="P140" s="272"/>
      <c r="R140" s="202">
        <v>113</v>
      </c>
      <c r="S140" s="40" t="e">
        <f t="shared" ca="1" si="51"/>
        <v>#DIV/0!</v>
      </c>
      <c r="T140" s="131" t="str">
        <f t="shared" ca="1" si="52"/>
        <v/>
      </c>
      <c r="U140" s="131" t="str">
        <f t="shared" ca="1" si="52"/>
        <v/>
      </c>
      <c r="V140" s="131" t="str">
        <f t="shared" ca="1" si="52"/>
        <v/>
      </c>
      <c r="W140" s="131" t="str">
        <f t="shared" ca="1" si="52"/>
        <v/>
      </c>
      <c r="X140" s="131" t="str">
        <f t="shared" ca="1" si="52"/>
        <v/>
      </c>
      <c r="Y140" s="131" t="str">
        <f t="shared" ca="1" si="52"/>
        <v/>
      </c>
      <c r="Z140" s="131" t="str">
        <f t="shared" ca="1" si="52"/>
        <v/>
      </c>
      <c r="AA140" s="131" t="str">
        <f t="shared" si="52"/>
        <v/>
      </c>
      <c r="AB140" s="131"/>
      <c r="AN140" s="121"/>
      <c r="AO140" s="121" t="e">
        <f t="shared" ca="1" si="30"/>
        <v>#DIV/0!</v>
      </c>
      <c r="AP140" s="121" t="b">
        <f t="shared" si="31"/>
        <v>0</v>
      </c>
      <c r="AQ140" s="272">
        <f ca="1">+AVERAGEIFS(TABELA_VAZAO[qnat],TABELA_VAZAO[Posto],$R140,TABELA_VAZAO[Data],AQ$27)</f>
        <v>80</v>
      </c>
      <c r="AR140" s="272">
        <f ca="1">+AVERAGEIFS(TABELA_VAZAO[qnat],TABELA_VAZAO[Posto],$R140,TABELA_VAZAO[Data],AR$27)</f>
        <v>79</v>
      </c>
      <c r="AS140" s="272">
        <f ca="1">+AVERAGEIFS(TABELA_VAZAO[qnat],TABELA_VAZAO[Posto],$R140,TABELA_VAZAO[Data],AS$27)</f>
        <v>77</v>
      </c>
      <c r="AT140" s="272">
        <f ca="1">+AVERAGEIFS(TABELA_VAZAO[qnat],TABELA_VAZAO[Posto],$R140,TABELA_VAZAO[Data],AT$27)</f>
        <v>72</v>
      </c>
      <c r="AU140" s="121">
        <f ca="1">+AVERAGEIFS(TABELA_VAZAO[qnat],TABELA_VAZAO[Posto],$R140,TABELA_VAZAO[Data],AU$27)</f>
        <v>72</v>
      </c>
      <c r="AV140" s="272">
        <f ca="1">IFERROR(AVERAGEIFS(TABELA_VAZAO[qnat],TABELA_VAZAO[Posto],$R140,TABELA_VAZAO[Data],AV$27),AU140+$BB140*EXP(AV$26))</f>
        <v>74</v>
      </c>
      <c r="AW140" s="159">
        <f ca="1">IFERROR(AVERAGEIFS(TABELA_VAZAO[qnat],TABELA_VAZAO[Posto],$R140,TABELA_VAZAO[Data],AW$27),AV140)</f>
        <v>80</v>
      </c>
      <c r="AX140" s="159">
        <f ca="1">IFERROR(AVERAGEIFS(TABELA_VAZAO[qnat],TABELA_VAZAO[Posto],$R140,TABELA_VAZAO[Data],AX$27),AW140)</f>
        <v>80</v>
      </c>
      <c r="AY140" s="159">
        <f ca="1">IFERROR(AVERAGEIFS(TABELA_VAZAO[qnat],TABELA_VAZAO[Posto],$R140,TABELA_VAZAO[Data],AY$27),AX140)</f>
        <v>80</v>
      </c>
      <c r="AZ140" s="202" t="e">
        <f ca="1">IFERROR(AVERAGEIFS(TABELA_VAZAO[qnat],TABELA_VAZAO[Posto],$R140,TABELA_VAZAO[Data],AZ$27),INDEX(PREVS_SMAP_DIARIO!$A$130:$Q$130,1,MATCH(PREVS_SMAP!AZ$27,PREVS_SMAP_DIARIO!$A$27:$Q$27,0))*AY140)</f>
        <v>#DIV/0!</v>
      </c>
      <c r="BA140" s="202" t="e">
        <f ca="1">IFERROR(AVERAGEIFS(TABELA_VAZAO[qnat],TABELA_VAZAO[Posto],$R140,TABELA_VAZAO[Data],BA$27),INDEX(PREVS_SMAP_DIARIO!$A$130:$Q$130,1,MATCH(PREVS_SMAP!BA$27,PREVS_SMAP_DIARIO!$A$27:$Q$27,0))*AZ140)</f>
        <v>#DIV/0!</v>
      </c>
      <c r="BB140" s="121">
        <f t="shared" ca="1" si="32"/>
        <v>2.4285714285714284</v>
      </c>
      <c r="BC140" s="272">
        <f t="shared" ca="1" si="33"/>
        <v>-5</v>
      </c>
      <c r="BD140" s="272">
        <f t="shared" ca="1" si="33"/>
        <v>0</v>
      </c>
      <c r="BE140" s="272">
        <f t="shared" ca="1" si="33"/>
        <v>2</v>
      </c>
      <c r="BF140" s="272">
        <f t="shared" ca="1" si="33"/>
        <v>6</v>
      </c>
      <c r="BG140"/>
    </row>
    <row r="141" spans="1:59" x14ac:dyDescent="0.2">
      <c r="A141" s="229"/>
      <c r="B141" s="229"/>
      <c r="C141" s="229"/>
      <c r="D141" s="229"/>
      <c r="E141" s="229"/>
      <c r="F141" s="229"/>
      <c r="G141" s="229"/>
      <c r="H141" s="229"/>
      <c r="I141" s="229"/>
      <c r="J141" s="229"/>
      <c r="K141" s="272"/>
      <c r="P141" s="272"/>
      <c r="R141" s="202">
        <v>114</v>
      </c>
      <c r="S141" s="40" t="e">
        <f t="shared" ca="1" si="51"/>
        <v>#DIV/0!</v>
      </c>
      <c r="T141" s="131" t="str">
        <f t="shared" ca="1" si="52"/>
        <v/>
      </c>
      <c r="U141" s="131" t="str">
        <f t="shared" ca="1" si="52"/>
        <v/>
      </c>
      <c r="V141" s="131" t="str">
        <f t="shared" ca="1" si="52"/>
        <v/>
      </c>
      <c r="W141" s="131" t="str">
        <f t="shared" ca="1" si="52"/>
        <v/>
      </c>
      <c r="X141" s="131" t="str">
        <f t="shared" ca="1" si="52"/>
        <v/>
      </c>
      <c r="Y141" s="131" t="str">
        <f t="shared" ca="1" si="52"/>
        <v/>
      </c>
      <c r="Z141" s="131" t="str">
        <f t="shared" ca="1" si="52"/>
        <v/>
      </c>
      <c r="AA141" s="131" t="str">
        <f t="shared" si="52"/>
        <v/>
      </c>
      <c r="AB141" s="131"/>
      <c r="AN141" s="121"/>
      <c r="AO141" s="121" t="e">
        <f t="shared" ca="1" si="30"/>
        <v>#DIV/0!</v>
      </c>
      <c r="AP141" s="121" t="b">
        <f t="shared" si="31"/>
        <v>0</v>
      </c>
      <c r="AQ141" s="272">
        <f ca="1">+AVERAGEIFS(TABELA_VAZAO[qnat],TABELA_VAZAO[Posto],$R141,TABELA_VAZAO[Data],AQ$27)</f>
        <v>81</v>
      </c>
      <c r="AR141" s="272">
        <f ca="1">+AVERAGEIFS(TABELA_VAZAO[qnat],TABELA_VAZAO[Posto],$R141,TABELA_VAZAO[Data],AR$27)</f>
        <v>82</v>
      </c>
      <c r="AS141" s="272">
        <f ca="1">+AVERAGEIFS(TABELA_VAZAO[qnat],TABELA_VAZAO[Posto],$R141,TABELA_VAZAO[Data],AS$27)</f>
        <v>82</v>
      </c>
      <c r="AT141" s="272">
        <f ca="1">+AVERAGEIFS(TABELA_VAZAO[qnat],TABELA_VAZAO[Posto],$R141,TABELA_VAZAO[Data],AT$27)</f>
        <v>76</v>
      </c>
      <c r="AU141" s="121">
        <f ca="1">+AVERAGEIFS(TABELA_VAZAO[qnat],TABELA_VAZAO[Posto],$R141,TABELA_VAZAO[Data],AU$27)</f>
        <v>74</v>
      </c>
      <c r="AV141" s="272">
        <f ca="1">IFERROR(AVERAGEIFS(TABELA_VAZAO[qnat],TABELA_VAZAO[Posto],$R141,TABELA_VAZAO[Data],AV$27),AU141+$BB141*EXP(AV$26))</f>
        <v>74</v>
      </c>
      <c r="AW141" s="159">
        <f ca="1">IFERROR(AVERAGEIFS(TABELA_VAZAO[qnat],TABELA_VAZAO[Posto],$R141,TABELA_VAZAO[Data],AW$27),AV141)</f>
        <v>82</v>
      </c>
      <c r="AX141" s="159">
        <f ca="1">IFERROR(AVERAGEIFS(TABELA_VAZAO[qnat],TABELA_VAZAO[Posto],$R141,TABELA_VAZAO[Data],AX$27),AW141)</f>
        <v>82</v>
      </c>
      <c r="AY141" s="159">
        <f ca="1">IFERROR(AVERAGEIFS(TABELA_VAZAO[qnat],TABELA_VAZAO[Posto],$R141,TABELA_VAZAO[Data],AY$27),AX141)</f>
        <v>82</v>
      </c>
      <c r="AZ141" s="202" t="e">
        <f ca="1">IFERROR(AVERAGEIFS(TABELA_VAZAO[qnat],TABELA_VAZAO[Posto],$R141,TABELA_VAZAO[Data],AZ$27),INDEX(PREVS_SMAP_DIARIO!$A$130:$Q$130,1,MATCH(PREVS_SMAP!AZ$27,PREVS_SMAP_DIARIO!$A$27:$Q$27,0))*AY141)</f>
        <v>#DIV/0!</v>
      </c>
      <c r="BA141" s="202" t="e">
        <f ca="1">IFERROR(AVERAGEIFS(TABELA_VAZAO[qnat],TABELA_VAZAO[Posto],$R141,TABELA_VAZAO[Data],BA$27),INDEX(PREVS_SMAP_DIARIO!$A$130:$Q$130,1,MATCH(PREVS_SMAP!BA$27,PREVS_SMAP_DIARIO!$A$27:$Q$27,0))*AZ141)</f>
        <v>#DIV/0!</v>
      </c>
      <c r="BB141" s="121">
        <f t="shared" ca="1" si="32"/>
        <v>2.2857142857142856</v>
      </c>
      <c r="BC141" s="272">
        <f t="shared" ca="1" si="33"/>
        <v>-6</v>
      </c>
      <c r="BD141" s="272">
        <f t="shared" ca="1" si="33"/>
        <v>-2</v>
      </c>
      <c r="BE141" s="272">
        <f t="shared" ca="1" si="33"/>
        <v>0</v>
      </c>
      <c r="BF141" s="272">
        <f t="shared" ca="1" si="33"/>
        <v>8</v>
      </c>
      <c r="BG141"/>
    </row>
    <row r="142" spans="1:59" x14ac:dyDescent="0.2">
      <c r="A142" s="229"/>
      <c r="B142" s="151" t="s">
        <v>132</v>
      </c>
      <c r="C142" s="151"/>
      <c r="D142" s="151"/>
      <c r="E142" s="151"/>
      <c r="F142" s="151"/>
      <c r="G142" s="151"/>
      <c r="H142" s="151"/>
      <c r="I142" s="151"/>
      <c r="J142" s="229"/>
      <c r="K142" s="272"/>
      <c r="P142" s="272"/>
      <c r="R142">
        <v>115</v>
      </c>
      <c r="S142" s="40">
        <f t="shared" ca="1" si="51"/>
        <v>14</v>
      </c>
      <c r="T142" s="131" t="str">
        <f t="shared" ca="1" si="52"/>
        <v/>
      </c>
      <c r="U142" s="131" t="str">
        <f t="shared" ca="1" si="52"/>
        <v/>
      </c>
      <c r="V142" s="131" t="str">
        <f t="shared" ca="1" si="52"/>
        <v/>
      </c>
      <c r="W142" s="131" t="str">
        <f t="shared" ca="1" si="52"/>
        <v/>
      </c>
      <c r="X142" s="131" t="str">
        <f t="shared" ca="1" si="52"/>
        <v/>
      </c>
      <c r="Y142" s="131" t="str">
        <f t="shared" ca="1" si="52"/>
        <v/>
      </c>
      <c r="Z142" s="131" t="str">
        <f t="shared" ca="1" si="52"/>
        <v/>
      </c>
      <c r="AA142" s="131" t="str">
        <f t="shared" si="52"/>
        <v/>
      </c>
      <c r="AB142" s="131"/>
      <c r="AN142" s="121"/>
      <c r="AO142" s="121">
        <f t="shared" ca="1" si="30"/>
        <v>14</v>
      </c>
      <c r="AP142" s="121" t="b">
        <f t="shared" si="31"/>
        <v>0</v>
      </c>
      <c r="AQ142" s="272">
        <f ca="1">+AVERAGEIFS(TABELA_VAZAO[qnat],TABELA_VAZAO[Posto],$R142,TABELA_VAZAO[Data],AQ$27)</f>
        <v>12</v>
      </c>
      <c r="AR142" s="272">
        <f ca="1">+AVERAGEIFS(TABELA_VAZAO[qnat],TABELA_VAZAO[Posto],$R142,TABELA_VAZAO[Data],AR$27)</f>
        <v>12</v>
      </c>
      <c r="AS142" s="272">
        <f ca="1">+AVERAGEIFS(TABELA_VAZAO[qnat],TABELA_VAZAO[Posto],$R142,TABELA_VAZAO[Data],AS$27)</f>
        <v>13</v>
      </c>
      <c r="AT142" s="272">
        <f ca="1">+AVERAGEIFS(TABELA_VAZAO[qnat],TABELA_VAZAO[Posto],$R142,TABELA_VAZAO[Data],AT$27)</f>
        <v>13</v>
      </c>
      <c r="AU142" s="121">
        <f ca="1">+AVERAGEIFS(TABELA_VAZAO[qnat],TABELA_VAZAO[Posto],$R142,TABELA_VAZAO[Data],AU$27)</f>
        <v>14</v>
      </c>
      <c r="AV142" s="272">
        <f ca="1">IFERROR(AVERAGEIFS(TABELA_VAZAO[qnat],TABELA_VAZAO[Posto],$R142,TABELA_VAZAO[Data],AV$27),AU142+$BB142*EXP(AV$26))</f>
        <v>14</v>
      </c>
      <c r="AW142" s="159">
        <f ca="1">IFERROR(AVERAGEIFS(TABELA_VAZAO[qnat],TABELA_VAZAO[Posto],$R142,TABELA_VAZAO[Data],AW$27),AV142+$BB142*EXP(AW$26))</f>
        <v>14</v>
      </c>
      <c r="AX142" s="325">
        <f ca="1">IFERROR(AVERAGEIFS(TABELA_VAZAO[qnat],TABELA_VAZAO[Posto],$R142,TABELA_VAZAO[Data],AX$27),AW142+$BB142*EXP(AX$26))</f>
        <v>14.142857142857142</v>
      </c>
      <c r="AY142" s="325">
        <f ca="1">IFERROR(AVERAGEIFS(TABELA_VAZAO[qnat],TABELA_VAZAO[Posto],$R142,TABELA_VAZAO[Data],AY$27),AX142+$BB142*EXP(AY$26))</f>
        <v>14.238617149433662</v>
      </c>
      <c r="AZ142" s="326">
        <f ca="1">IFERROR(AVERAGEIFS(TABELA_VAZAO[qnat],TABELA_VAZAO[Posto],$R142,TABELA_VAZAO[Data],AZ$27),AY142+$BB142*EXP(AZ$26))</f>
        <v>14.302807001450407</v>
      </c>
      <c r="BA142" s="326">
        <f ca="1">IFERROR(AVERAGEIFS(TABELA_VAZAO[qnat],TABELA_VAZAO[Posto],$R142,TABELA_VAZAO[Data],BA$27),AZ142+$BB142*EXP(BA$26))</f>
        <v>14.345834746009293</v>
      </c>
      <c r="BB142" s="121">
        <f t="shared" ca="1" si="32"/>
        <v>0.14285714285714285</v>
      </c>
      <c r="BC142" s="272">
        <f t="shared" ca="1" si="33"/>
        <v>0</v>
      </c>
      <c r="BD142" s="272">
        <f t="shared" ca="1" si="33"/>
        <v>1</v>
      </c>
      <c r="BE142" s="272">
        <f t="shared" ca="1" si="33"/>
        <v>0</v>
      </c>
      <c r="BF142" s="272">
        <f t="shared" ca="1" si="33"/>
        <v>0</v>
      </c>
      <c r="BG142"/>
    </row>
    <row r="143" spans="1:59" x14ac:dyDescent="0.2">
      <c r="A143" s="229"/>
      <c r="B143" s="151" t="s">
        <v>133</v>
      </c>
      <c r="C143" s="151"/>
      <c r="D143" s="151"/>
      <c r="E143" s="151"/>
      <c r="F143" s="151"/>
      <c r="G143" s="165" t="e">
        <f ca="1">SUM(G28:G70)/SUM(F28:F70)</f>
        <v>#N/A</v>
      </c>
      <c r="H143" s="165" t="e">
        <f ca="1">SUM(H28:H70)/SUM(G28:G70)</f>
        <v>#N/A</v>
      </c>
      <c r="I143" s="165" t="e">
        <f ca="1">SUM(I28:I70)/SUM(H28:H70)</f>
        <v>#N/A</v>
      </c>
      <c r="J143" s="165" t="e">
        <f ca="1">SUM(J28:J70)/SUM(I28:I70)</f>
        <v>#N/A</v>
      </c>
      <c r="K143" s="165" t="e">
        <f t="shared" ref="K143:M143" ca="1" si="53">SUM(K28:K70)/SUM(J28:J70)</f>
        <v>#N/A</v>
      </c>
      <c r="L143" s="165" t="e">
        <f t="shared" ca="1" si="53"/>
        <v>#N/A</v>
      </c>
      <c r="M143" s="165" t="e">
        <f t="shared" ca="1" si="53"/>
        <v>#N/A</v>
      </c>
      <c r="N143" s="165" t="e">
        <f t="shared" ref="N143" ca="1" si="54">SUM(N28:N70)/SUM(M28:M70)</f>
        <v>#N/A</v>
      </c>
      <c r="P143" s="272"/>
      <c r="R143">
        <v>116</v>
      </c>
      <c r="S143" s="131">
        <f t="shared" ca="1" si="51"/>
        <v>2</v>
      </c>
      <c r="T143" s="131" t="str">
        <f t="shared" ref="T143:AB146" ca="1" si="55">IFERROR(ROUND(INDEX(G$28:G$129,MATCH($R143,$A$28:$A$129,0)),0),"")</f>
        <v/>
      </c>
      <c r="U143" s="131" t="str">
        <f t="shared" ca="1" si="55"/>
        <v/>
      </c>
      <c r="V143" s="131" t="str">
        <f t="shared" ca="1" si="55"/>
        <v/>
      </c>
      <c r="W143" s="131" t="str">
        <f t="shared" ca="1" si="55"/>
        <v/>
      </c>
      <c r="X143" s="131" t="str">
        <f t="shared" ca="1" si="55"/>
        <v/>
      </c>
      <c r="Y143" s="131" t="str">
        <f t="shared" ca="1" si="55"/>
        <v/>
      </c>
      <c r="Z143" s="131" t="str">
        <f t="shared" ca="1" si="55"/>
        <v/>
      </c>
      <c r="AA143" s="131" t="str">
        <f t="shared" ca="1" si="55"/>
        <v/>
      </c>
      <c r="AB143" s="131" t="str">
        <f t="shared" ca="1" si="55"/>
        <v/>
      </c>
      <c r="AN143" s="121"/>
      <c r="AO143" s="121">
        <f t="shared" ca="1" si="30"/>
        <v>2</v>
      </c>
      <c r="AP143" s="121" t="b">
        <f t="shared" si="31"/>
        <v>1</v>
      </c>
      <c r="AU143" s="121"/>
      <c r="AV143" s="121"/>
      <c r="AW143" s="159"/>
      <c r="AX143" s="159"/>
      <c r="AY143" s="159"/>
      <c r="AZ143" s="157"/>
      <c r="BA143" s="157"/>
      <c r="BB143" s="121">
        <f t="shared" ca="1" si="32"/>
        <v>0</v>
      </c>
      <c r="BC143" s="272">
        <f t="shared" ca="1" si="33"/>
        <v>0</v>
      </c>
      <c r="BD143" s="272">
        <f t="shared" ca="1" si="33"/>
        <v>0</v>
      </c>
      <c r="BE143" s="272">
        <f t="shared" ca="1" si="33"/>
        <v>0</v>
      </c>
      <c r="BF143" s="272">
        <f t="shared" ca="1" si="33"/>
        <v>0</v>
      </c>
      <c r="BG143"/>
    </row>
    <row r="144" spans="1:59" x14ac:dyDescent="0.2">
      <c r="A144" s="229"/>
      <c r="B144" s="151" t="s">
        <v>131</v>
      </c>
      <c r="C144" s="151"/>
      <c r="D144" s="151"/>
      <c r="E144" s="151"/>
      <c r="F144" s="151"/>
      <c r="G144" s="165" t="e">
        <f ca="1">(G70+G42+G55)/(F70+F42+F55)</f>
        <v>#N/A</v>
      </c>
      <c r="H144" s="165" t="e">
        <f ca="1">(H70+H42+H55)/(G70+G42+G55)</f>
        <v>#N/A</v>
      </c>
      <c r="I144" s="165" t="e">
        <f ca="1">(I70+I42+I55)/(H70+H42+H55)</f>
        <v>#N/A</v>
      </c>
      <c r="J144" s="165" t="e">
        <f ca="1">(J70+J42+J55)/(I70+I42+I55)</f>
        <v>#N/A</v>
      </c>
      <c r="K144" s="165" t="e">
        <f t="shared" ref="K144:M144" ca="1" si="56">(K70+K42+K55)/(J70+J42+J55)</f>
        <v>#N/A</v>
      </c>
      <c r="L144" s="165" t="e">
        <f t="shared" ca="1" si="56"/>
        <v>#N/A</v>
      </c>
      <c r="M144" s="165" t="e">
        <f t="shared" ca="1" si="56"/>
        <v>#N/A</v>
      </c>
      <c r="N144" s="165" t="e">
        <f t="shared" ref="N144" ca="1" si="57">(N70+N42+N55)/(M70+M42+M55)</f>
        <v>#N/A</v>
      </c>
      <c r="P144" s="272"/>
      <c r="R144">
        <v>117</v>
      </c>
      <c r="S144" s="131">
        <f t="shared" ca="1" si="51"/>
        <v>16</v>
      </c>
      <c r="T144" s="131" t="str">
        <f t="shared" ca="1" si="55"/>
        <v/>
      </c>
      <c r="U144" s="131" t="str">
        <f t="shared" ca="1" si="55"/>
        <v/>
      </c>
      <c r="V144" s="131" t="str">
        <f t="shared" ca="1" si="55"/>
        <v/>
      </c>
      <c r="W144" s="131" t="str">
        <f t="shared" ca="1" si="55"/>
        <v/>
      </c>
      <c r="X144" s="131" t="str">
        <f t="shared" ca="1" si="55"/>
        <v/>
      </c>
      <c r="Y144" s="131" t="str">
        <f t="shared" ca="1" si="55"/>
        <v/>
      </c>
      <c r="Z144" s="131" t="str">
        <f t="shared" ca="1" si="55"/>
        <v/>
      </c>
      <c r="AA144" s="131" t="str">
        <f t="shared" ca="1" si="55"/>
        <v/>
      </c>
      <c r="AB144" s="131" t="str">
        <f t="shared" ca="1" si="55"/>
        <v/>
      </c>
      <c r="AN144" s="121"/>
      <c r="AO144" s="121">
        <f t="shared" ca="1" si="30"/>
        <v>16</v>
      </c>
      <c r="AP144" s="121" t="b">
        <f t="shared" si="31"/>
        <v>1</v>
      </c>
      <c r="AQ144" s="272">
        <f ca="1">+AVERAGEIFS(TABELA_VAZAO[qnat],TABELA_VAZAO[Posto],$R144,TABELA_VAZAO[Data],AQ$27)</f>
        <v>18</v>
      </c>
      <c r="AR144" s="272">
        <f ca="1">+AVERAGEIFS(TABELA_VAZAO[qnat],TABELA_VAZAO[Posto],$R144,TABELA_VAZAO[Data],AR$27)</f>
        <v>21</v>
      </c>
      <c r="AS144" s="272">
        <f ca="1">+AVERAGEIFS(TABELA_VAZAO[qnat],TABELA_VAZAO[Posto],$R144,TABELA_VAZAO[Data],AS$27)</f>
        <v>33</v>
      </c>
      <c r="AT144" s="272">
        <f ca="1">+AVERAGEIFS(TABELA_VAZAO[qnat],TABELA_VAZAO[Posto],$R144,TABELA_VAZAO[Data],AT$27)</f>
        <v>36</v>
      </c>
      <c r="AU144" s="121">
        <f ca="1">+AVERAGEIFS(TABELA_VAZAO[qnat],TABELA_VAZAO[Posto],$R144,TABELA_VAZAO[Data],AU$27)</f>
        <v>39</v>
      </c>
      <c r="AV144" s="272">
        <f ca="1">IFERROR(AVERAGEIFS(TABELA_VAZAO[qnat],TABELA_VAZAO[Posto],$R144,TABELA_VAZAO[Data],AV$27),AU144+$BB144*EXP(AV$26))</f>
        <v>38</v>
      </c>
      <c r="AW144" s="159">
        <f ca="1">IFERROR(AVERAGEIFS(TABELA_VAZAO[qnat],TABELA_VAZAO[Posto],$R144,TABELA_VAZAO[Data],AW$27),AV144+$BB144*EXP(AW$26))</f>
        <v>33</v>
      </c>
      <c r="AX144" s="325">
        <f ca="1">IFERROR(AVERAGEIFS(TABELA_VAZAO[qnat],TABELA_VAZAO[Posto],$R144,TABELA_VAZAO[Data],AX$27),AW144+$BB144*EXP(AX$26))</f>
        <v>31.428571428571427</v>
      </c>
      <c r="AY144" s="325">
        <f ca="1">IFERROR(AVERAGEIFS(TABELA_VAZAO[qnat],TABELA_VAZAO[Posto],$R144,TABELA_VAZAO[Data],AY$27),AX144+$BB144*EXP(AY$26))</f>
        <v>30.375211356229709</v>
      </c>
      <c r="AZ144" s="326">
        <f ca="1">IFERROR(AVERAGEIFS(TABELA_VAZAO[qnat],TABELA_VAZAO[Posto],$R144,TABELA_VAZAO[Data],AZ$27),AY144+$BB144*EXP(AZ$26))</f>
        <v>29.669122984045504</v>
      </c>
      <c r="BA144" s="326">
        <f ca="1">IFERROR(AVERAGEIFS(TABELA_VAZAO[qnat],TABELA_VAZAO[Posto],$R144,TABELA_VAZAO[Data],BA$27),AZ144+$BB144*EXP(BA$26))</f>
        <v>29.19581779389776</v>
      </c>
      <c r="BB144" s="121">
        <f t="shared" ca="1" si="32"/>
        <v>-1.5714285714285714</v>
      </c>
      <c r="BC144" s="272">
        <f t="shared" ca="1" si="33"/>
        <v>3</v>
      </c>
      <c r="BD144" s="272">
        <f t="shared" ca="1" si="33"/>
        <v>3</v>
      </c>
      <c r="BE144" s="272">
        <f t="shared" ca="1" si="33"/>
        <v>-1</v>
      </c>
      <c r="BF144" s="272">
        <f t="shared" ca="1" si="33"/>
        <v>-5</v>
      </c>
      <c r="BG144"/>
    </row>
    <row r="145" spans="1:59" x14ac:dyDescent="0.2">
      <c r="A145" s="229"/>
      <c r="B145" s="175" t="s">
        <v>135</v>
      </c>
      <c r="C145" s="229"/>
      <c r="D145" s="229"/>
      <c r="E145" s="229"/>
      <c r="F145" s="229"/>
      <c r="G145" s="165" t="e">
        <f ca="1">SUM(G95:G99)/SUM(F95:F99)</f>
        <v>#N/A</v>
      </c>
      <c r="H145" s="165" t="e">
        <f ca="1">SUM(H95:H99)/SUM(G95:G99)</f>
        <v>#N/A</v>
      </c>
      <c r="I145" s="165" t="e">
        <f ca="1">SUM(I95:I99)/SUM(H95:H99)</f>
        <v>#N/A</v>
      </c>
      <c r="J145" s="165" t="e">
        <f ca="1">SUM(J95:J99)/SUM(I95:I99)</f>
        <v>#N/A</v>
      </c>
      <c r="K145" s="165" t="e">
        <f t="shared" ref="K145:M145" ca="1" si="58">SUM(K95:K99)/SUM(J95:J99)</f>
        <v>#N/A</v>
      </c>
      <c r="L145" s="165" t="e">
        <f t="shared" ca="1" si="58"/>
        <v>#N/A</v>
      </c>
      <c r="M145" s="165" t="e">
        <f t="shared" ca="1" si="58"/>
        <v>#N/A</v>
      </c>
      <c r="N145" s="165" t="e">
        <f t="shared" ref="N145" ca="1" si="59">SUM(N95:N99)/SUM(M95:M99)</f>
        <v>#N/A</v>
      </c>
      <c r="P145" s="272"/>
      <c r="R145">
        <v>118</v>
      </c>
      <c r="S145" s="131">
        <f t="shared" ref="S145" ca="1" si="60">AO145</f>
        <v>8</v>
      </c>
      <c r="T145" s="131" t="str">
        <f t="shared" ca="1" si="55"/>
        <v/>
      </c>
      <c r="U145" s="131" t="str">
        <f t="shared" ca="1" si="55"/>
        <v/>
      </c>
      <c r="V145" s="131" t="str">
        <f t="shared" ca="1" si="55"/>
        <v/>
      </c>
      <c r="W145" s="131" t="str">
        <f t="shared" ca="1" si="55"/>
        <v/>
      </c>
      <c r="X145" s="131" t="str">
        <f t="shared" ca="1" si="55"/>
        <v/>
      </c>
      <c r="Y145" s="131" t="str">
        <f t="shared" ca="1" si="55"/>
        <v/>
      </c>
      <c r="Z145" s="131" t="str">
        <f t="shared" ca="1" si="55"/>
        <v/>
      </c>
      <c r="AA145" s="131" t="str">
        <f t="shared" ca="1" si="55"/>
        <v/>
      </c>
      <c r="AB145" s="131" t="str">
        <f t="shared" ca="1" si="55"/>
        <v/>
      </c>
      <c r="AN145" s="121"/>
      <c r="AO145" s="121">
        <f t="shared" ca="1" si="30"/>
        <v>8</v>
      </c>
      <c r="AP145" s="121" t="b">
        <f t="shared" si="31"/>
        <v>1</v>
      </c>
      <c r="AQ145" s="272">
        <f ca="1">+AVERAGEIFS(TABELA_VAZAO[qnat],TABELA_VAZAO[Posto],$R145,TABELA_VAZAO[Data],AQ$27)</f>
        <v>10</v>
      </c>
      <c r="AR145" s="272">
        <f ca="1">+AVERAGEIFS(TABELA_VAZAO[qnat],TABELA_VAZAO[Posto],$R145,TABELA_VAZAO[Data],AR$27)</f>
        <v>10</v>
      </c>
      <c r="AS145" s="272">
        <f ca="1">+AVERAGEIFS(TABELA_VAZAO[qnat],TABELA_VAZAO[Posto],$R145,TABELA_VAZAO[Data],AS$27)</f>
        <v>67</v>
      </c>
      <c r="AT145" s="272">
        <f ca="1">+AVERAGEIFS(TABELA_VAZAO[qnat],TABELA_VAZAO[Posto],$R145,TABELA_VAZAO[Data],AT$27)</f>
        <v>32</v>
      </c>
      <c r="AU145" s="121">
        <f ca="1">+AVERAGEIFS(TABELA_VAZAO[qnat],TABELA_VAZAO[Posto],$R145,TABELA_VAZAO[Data],AU$27)</f>
        <v>27</v>
      </c>
      <c r="AV145" s="272">
        <f ca="1">IFERROR(AVERAGEIFS(TABELA_VAZAO[qnat],TABELA_VAZAO[Posto],$R145,TABELA_VAZAO[Data],AV$27),AU145+$BB145*EXP(AV$26))</f>
        <v>24</v>
      </c>
      <c r="AW145" s="159">
        <f ca="1">IFERROR(AVERAGEIFS(TABELA_VAZAO[qnat],TABELA_VAZAO[Posto],$R145,TABELA_VAZAO[Data],AW$27),AV145+$BB145*EXP(AW$26))</f>
        <v>22</v>
      </c>
      <c r="AX145" s="325">
        <f ca="1">IFERROR(AVERAGEIFS(TABELA_VAZAO[qnat],TABELA_VAZAO[Posto],$R145,TABELA_VAZAO[Data],AX$27),AW145+$BB145*EXP(AX$26))</f>
        <v>14.571428571428571</v>
      </c>
      <c r="AY145" s="325">
        <f ca="1">IFERROR(AVERAGEIFS(TABELA_VAZAO[qnat],TABELA_VAZAO[Posto],$R145,TABELA_VAZAO[Data],AY$27),AX145+$BB145*EXP(AY$26))</f>
        <v>9.5919082294495368</v>
      </c>
      <c r="AZ145" s="326">
        <f ca="1">IFERROR(AVERAGEIFS(TABELA_VAZAO[qnat],TABELA_VAZAO[Posto],$R145,TABELA_VAZAO[Data],AZ$27),AY145+$BB145*EXP(AZ$26))</f>
        <v>6.2540359245787478</v>
      </c>
      <c r="BA145" s="326">
        <f ca="1">IFERROR(AVERAGEIFS(TABELA_VAZAO[qnat],TABELA_VAZAO[Posto],$R145,TABELA_VAZAO[Data],BA$27),AZ145+$BB145*EXP(BA$26))</f>
        <v>4.0165932075166761</v>
      </c>
      <c r="BB145" s="121">
        <f t="shared" ca="1" si="32"/>
        <v>-7.4285714285714288</v>
      </c>
      <c r="BC145" s="272">
        <f t="shared" ca="1" si="33"/>
        <v>-35</v>
      </c>
      <c r="BD145" s="272">
        <f t="shared" ca="1" si="33"/>
        <v>-5</v>
      </c>
      <c r="BE145" s="272">
        <f t="shared" ca="1" si="33"/>
        <v>-3</v>
      </c>
      <c r="BF145" s="272">
        <f t="shared" ca="1" si="33"/>
        <v>-2</v>
      </c>
      <c r="BG145"/>
    </row>
    <row r="146" spans="1:59" x14ac:dyDescent="0.2">
      <c r="A146" s="229"/>
      <c r="B146" s="175" t="s">
        <v>221</v>
      </c>
      <c r="C146" s="272"/>
      <c r="D146" s="272"/>
      <c r="E146" s="272"/>
      <c r="F146" s="272"/>
      <c r="G146" s="165" t="e">
        <f ca="1">SUM(G82:G87)/SUM(F82:F87)</f>
        <v>#N/A</v>
      </c>
      <c r="H146" s="165" t="e">
        <f ca="1">SUM(H96:H100)/SUM(G96:G100)</f>
        <v>#N/A</v>
      </c>
      <c r="I146" s="165" t="e">
        <f ca="1">SUM(I96:I100)/SUM(H96:H100)</f>
        <v>#N/A</v>
      </c>
      <c r="J146" s="165" t="e">
        <f ca="1">SUM(J96:J100)/SUM(I96:I100)</f>
        <v>#N/A</v>
      </c>
      <c r="K146" s="165" t="e">
        <f t="shared" ref="K146:M146" ca="1" si="61">SUM(K96:K100)/SUM(J96:J100)</f>
        <v>#N/A</v>
      </c>
      <c r="L146" s="165" t="e">
        <f t="shared" ca="1" si="61"/>
        <v>#N/A</v>
      </c>
      <c r="M146" s="165" t="e">
        <f t="shared" ca="1" si="61"/>
        <v>#N/A</v>
      </c>
      <c r="N146" s="165" t="e">
        <f t="shared" ref="N146" ca="1" si="62">SUM(N96:N100)/SUM(M96:M100)</f>
        <v>#N/A</v>
      </c>
      <c r="P146" s="272"/>
      <c r="R146">
        <v>119</v>
      </c>
      <c r="S146" s="131">
        <f t="shared" ref="S146" ca="1" si="63">AO146</f>
        <v>10</v>
      </c>
      <c r="T146" s="131" t="str">
        <f t="shared" ca="1" si="55"/>
        <v/>
      </c>
      <c r="U146" s="131" t="str">
        <f t="shared" ca="1" si="55"/>
        <v/>
      </c>
      <c r="V146" s="131" t="str">
        <f t="shared" ca="1" si="55"/>
        <v/>
      </c>
      <c r="W146" s="131" t="str">
        <f t="shared" ca="1" si="55"/>
        <v/>
      </c>
      <c r="X146" s="131" t="str">
        <f t="shared" ca="1" si="55"/>
        <v/>
      </c>
      <c r="Y146" s="131" t="str">
        <f t="shared" ca="1" si="55"/>
        <v/>
      </c>
      <c r="Z146" s="131" t="str">
        <f t="shared" ca="1" si="55"/>
        <v/>
      </c>
      <c r="AA146" s="131" t="str">
        <f t="shared" ca="1" si="55"/>
        <v/>
      </c>
      <c r="AB146" s="131" t="str">
        <f t="shared" ca="1" si="55"/>
        <v/>
      </c>
      <c r="AN146" s="121"/>
      <c r="AO146" s="121">
        <f t="shared" ca="1" si="30"/>
        <v>10</v>
      </c>
      <c r="AP146" s="121" t="b">
        <f t="shared" si="31"/>
        <v>1</v>
      </c>
      <c r="AU146" s="121"/>
      <c r="AV146" s="272"/>
      <c r="AW146" s="159"/>
      <c r="AX146" s="325"/>
      <c r="AY146" s="325"/>
      <c r="AZ146" s="326"/>
      <c r="BA146" s="326"/>
      <c r="BB146" s="121">
        <f t="shared" ca="1" si="32"/>
        <v>0</v>
      </c>
      <c r="BC146" s="272">
        <f t="shared" ca="1" si="33"/>
        <v>0</v>
      </c>
      <c r="BD146" s="272">
        <f t="shared" ca="1" si="33"/>
        <v>0</v>
      </c>
      <c r="BE146" s="272">
        <f t="shared" ca="1" si="33"/>
        <v>0</v>
      </c>
      <c r="BF146" s="272">
        <f t="shared" ca="1" si="33"/>
        <v>0</v>
      </c>
      <c r="BG146"/>
    </row>
    <row r="147" spans="1:59" x14ac:dyDescent="0.2">
      <c r="A147" s="229"/>
      <c r="B147" s="229"/>
      <c r="C147" s="229"/>
      <c r="D147" s="229"/>
      <c r="E147" s="229"/>
      <c r="F147" s="229"/>
      <c r="G147" s="229"/>
      <c r="H147" s="229"/>
      <c r="I147" s="229"/>
      <c r="J147" s="229"/>
      <c r="K147" s="229"/>
      <c r="R147">
        <v>120</v>
      </c>
      <c r="S147" s="40">
        <f t="shared" ref="S147:S150" ca="1" si="64">AO147</f>
        <v>41</v>
      </c>
      <c r="T147" s="131" t="str">
        <f t="shared" ref="T147:AA150" ca="1" si="65">IF(AND($K$4,ISNUMBER(H$143)),ROUND(G$143*S147,0),"")</f>
        <v/>
      </c>
      <c r="U147" s="131" t="str">
        <f t="shared" ca="1" si="65"/>
        <v/>
      </c>
      <c r="V147" s="131" t="str">
        <f t="shared" ca="1" si="65"/>
        <v/>
      </c>
      <c r="W147" s="131" t="str">
        <f t="shared" ca="1" si="65"/>
        <v/>
      </c>
      <c r="X147" s="131" t="str">
        <f t="shared" ca="1" si="65"/>
        <v/>
      </c>
      <c r="Y147" s="131" t="str">
        <f t="shared" ca="1" si="65"/>
        <v/>
      </c>
      <c r="Z147" s="131" t="str">
        <f t="shared" ca="1" si="65"/>
        <v/>
      </c>
      <c r="AA147" s="131" t="str">
        <f t="shared" si="65"/>
        <v/>
      </c>
      <c r="AB147" s="131"/>
      <c r="AN147" s="121"/>
      <c r="AO147" s="121">
        <f t="shared" ca="1" si="30"/>
        <v>41</v>
      </c>
      <c r="AP147" s="121" t="b">
        <f t="shared" si="31"/>
        <v>0</v>
      </c>
      <c r="AQ147" s="272">
        <f ca="1">+AVERAGEIFS(TABELA_VAZAO[qnat],TABELA_VAZAO[Posto],$R147,TABELA_VAZAO[Data],AQ$27)</f>
        <v>12</v>
      </c>
      <c r="AR147" s="272">
        <f ca="1">+AVERAGEIFS(TABELA_VAZAO[qnat],TABELA_VAZAO[Posto],$R147,TABELA_VAZAO[Data],AR$27)</f>
        <v>13</v>
      </c>
      <c r="AS147" s="272">
        <f ca="1">+AVERAGEIFS(TABELA_VAZAO[qnat],TABELA_VAZAO[Posto],$R147,TABELA_VAZAO[Data],AS$27)</f>
        <v>47</v>
      </c>
      <c r="AT147" s="272">
        <f ca="1">+AVERAGEIFS(TABELA_VAZAO[qnat],TABELA_VAZAO[Posto],$R147,TABELA_VAZAO[Data],AT$27)</f>
        <v>57</v>
      </c>
      <c r="AU147" s="121">
        <f ca="1">+AVERAGEIFS(TABELA_VAZAO[qnat],TABELA_VAZAO[Posto],$R147,TABELA_VAZAO[Data],AU$27)</f>
        <v>52</v>
      </c>
      <c r="AV147" s="272">
        <f ca="1">IFERROR(AVERAGEIFS(TABELA_VAZAO[qnat],TABELA_VAZAO[Posto],$R147,TABELA_VAZAO[Data],AV$27),AU147+$BB147*EXP(AV$26))</f>
        <v>47</v>
      </c>
      <c r="AW147" s="159">
        <f ca="1">IFERROR(AVERAGEIFS(TABELA_VAZAO[qnat],TABELA_VAZAO[Posto],$R147,TABELA_VAZAO[Data],AW$27),AV147+$BB147*EXP(AW$26))</f>
        <v>42</v>
      </c>
      <c r="AX147" s="325">
        <f ca="1">IFERROR(AVERAGEIFS(TABELA_VAZAO[qnat],TABELA_VAZAO[Posto],$R147,TABELA_VAZAO[Data],AX$27),AW147+$BB147*EXP(AX$26))</f>
        <v>39.142857142857146</v>
      </c>
      <c r="AY147" s="325">
        <f ca="1">IFERROR(AVERAGEIFS(TABELA_VAZAO[qnat],TABELA_VAZAO[Posto],$R147,TABELA_VAZAO[Data],AY$27),AX147+$BB147*EXP(AY$26))</f>
        <v>37.227657011326748</v>
      </c>
      <c r="AZ147" s="326">
        <f ca="1">IFERROR(AVERAGEIFS(TABELA_VAZAO[qnat],TABELA_VAZAO[Posto],$R147,TABELA_VAZAO[Data],AZ$27),AY147+$BB147*EXP(AZ$26))</f>
        <v>35.943859970991831</v>
      </c>
      <c r="BA147" s="326">
        <f ca="1">IFERROR(AVERAGEIFS(TABELA_VAZAO[qnat],TABELA_VAZAO[Posto],$R147,TABELA_VAZAO[Data],BA$27),AZ147+$BB147*EXP(BA$26))</f>
        <v>35.08330507981411</v>
      </c>
      <c r="BB147" s="121">
        <f t="shared" ca="1" si="32"/>
        <v>-2.8571428571428572</v>
      </c>
      <c r="BC147" s="272">
        <f t="shared" ca="1" si="33"/>
        <v>10</v>
      </c>
      <c r="BD147" s="272">
        <f t="shared" ca="1" si="33"/>
        <v>-5</v>
      </c>
      <c r="BE147" s="272">
        <f t="shared" ca="1" si="33"/>
        <v>-5</v>
      </c>
      <c r="BF147" s="272">
        <f t="shared" ca="1" si="33"/>
        <v>-5</v>
      </c>
      <c r="BG147"/>
    </row>
    <row r="148" spans="1:59" x14ac:dyDescent="0.2">
      <c r="A148" s="229"/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R148">
        <v>121</v>
      </c>
      <c r="S148" s="40">
        <f t="shared" ca="1" si="64"/>
        <v>61</v>
      </c>
      <c r="T148" s="131" t="str">
        <f t="shared" ca="1" si="65"/>
        <v/>
      </c>
      <c r="U148" s="131" t="str">
        <f t="shared" ca="1" si="65"/>
        <v/>
      </c>
      <c r="V148" s="131" t="str">
        <f t="shared" ca="1" si="65"/>
        <v/>
      </c>
      <c r="W148" s="131" t="str">
        <f t="shared" ca="1" si="65"/>
        <v/>
      </c>
      <c r="X148" s="131" t="str">
        <f t="shared" ca="1" si="65"/>
        <v/>
      </c>
      <c r="Y148" s="131" t="str">
        <f t="shared" ca="1" si="65"/>
        <v/>
      </c>
      <c r="Z148" s="131" t="str">
        <f t="shared" ca="1" si="65"/>
        <v/>
      </c>
      <c r="AA148" s="131" t="str">
        <f t="shared" si="65"/>
        <v/>
      </c>
      <c r="AB148" s="131"/>
      <c r="AN148" s="121"/>
      <c r="AO148" s="121">
        <f t="shared" ca="1" si="30"/>
        <v>61</v>
      </c>
      <c r="AP148" s="121" t="b">
        <f t="shared" si="31"/>
        <v>0</v>
      </c>
      <c r="AQ148" s="272">
        <f ca="1">+AVERAGEIFS(TABELA_VAZAO[qnat],TABELA_VAZAO[Posto],$R148,TABELA_VAZAO[Data],AQ$27)</f>
        <v>46</v>
      </c>
      <c r="AR148" s="272">
        <f ca="1">+AVERAGEIFS(TABELA_VAZAO[qnat],TABELA_VAZAO[Posto],$R148,TABELA_VAZAO[Data],AR$27)</f>
        <v>45</v>
      </c>
      <c r="AS148" s="272">
        <f ca="1">+AVERAGEIFS(TABELA_VAZAO[qnat],TABELA_VAZAO[Posto],$R148,TABELA_VAZAO[Data],AS$27)</f>
        <v>48</v>
      </c>
      <c r="AT148" s="272">
        <f ca="1">+AVERAGEIFS(TABELA_VAZAO[qnat],TABELA_VAZAO[Posto],$R148,TABELA_VAZAO[Data],AT$27)</f>
        <v>50</v>
      </c>
      <c r="AU148" s="121">
        <f ca="1">+AVERAGEIFS(TABELA_VAZAO[qnat],TABELA_VAZAO[Posto],$R148,TABELA_VAZAO[Data],AU$27)</f>
        <v>54</v>
      </c>
      <c r="AV148" s="272">
        <f ca="1">IFERROR(AVERAGEIFS(TABELA_VAZAO[qnat],TABELA_VAZAO[Posto],$R148,TABELA_VAZAO[Data],AV$27),AU148+$BB148*EXP(AV$26))</f>
        <v>56</v>
      </c>
      <c r="AW148" s="159">
        <f ca="1">IFERROR(AVERAGEIFS(TABELA_VAZAO[qnat],TABELA_VAZAO[Posto],$R148,TABELA_VAZAO[Data],AW$27),AV148+$BB148*EXP(AW$26))</f>
        <v>59</v>
      </c>
      <c r="AX148" s="325">
        <f ca="1">IFERROR(AVERAGEIFS(TABELA_VAZAO[qnat],TABELA_VAZAO[Posto],$R148,TABELA_VAZAO[Data],AX$27),AW148+$BB148*EXP(AX$26))</f>
        <v>61.714285714285715</v>
      </c>
      <c r="AY148" s="325">
        <f ca="1">IFERROR(AVERAGEIFS(TABELA_VAZAO[qnat],TABELA_VAZAO[Posto],$R148,TABELA_VAZAO[Data],AY$27),AX148+$BB148*EXP(AY$26))</f>
        <v>63.533725839239594</v>
      </c>
      <c r="AZ148" s="326">
        <f ca="1">IFERROR(AVERAGEIFS(TABELA_VAZAO[qnat],TABELA_VAZAO[Posto],$R148,TABELA_VAZAO[Data],AZ$27),AY148+$BB148*EXP(AZ$26))</f>
        <v>64.753333027557773</v>
      </c>
      <c r="BA148" s="326">
        <f ca="1">IFERROR(AVERAGEIFS(TABELA_VAZAO[qnat],TABELA_VAZAO[Posto],$R148,TABELA_VAZAO[Data],BA$27),AZ148+$BB148*EXP(BA$26))</f>
        <v>65.570860174176602</v>
      </c>
      <c r="BB148" s="121">
        <f t="shared" ca="1" si="32"/>
        <v>2.7142857142857144</v>
      </c>
      <c r="BC148" s="272">
        <f t="shared" ca="1" si="33"/>
        <v>2</v>
      </c>
      <c r="BD148" s="272">
        <f t="shared" ca="1" si="33"/>
        <v>4</v>
      </c>
      <c r="BE148" s="272">
        <f t="shared" ca="1" si="33"/>
        <v>2</v>
      </c>
      <c r="BF148" s="272">
        <f t="shared" ca="1" si="33"/>
        <v>3</v>
      </c>
      <c r="BG148"/>
    </row>
    <row r="149" spans="1:59" x14ac:dyDescent="0.2">
      <c r="A149" s="229"/>
      <c r="B149" s="229"/>
      <c r="C149" s="229"/>
      <c r="D149" s="229"/>
      <c r="E149" s="229"/>
      <c r="F149" s="229"/>
      <c r="G149" s="229"/>
      <c r="H149" s="229"/>
      <c r="I149" s="229"/>
      <c r="J149" s="229"/>
      <c r="K149" s="229"/>
      <c r="R149">
        <v>122</v>
      </c>
      <c r="S149" s="40">
        <f t="shared" ca="1" si="64"/>
        <v>84</v>
      </c>
      <c r="T149" s="131" t="str">
        <f t="shared" ca="1" si="65"/>
        <v/>
      </c>
      <c r="U149" s="131" t="str">
        <f t="shared" ca="1" si="65"/>
        <v/>
      </c>
      <c r="V149" s="131" t="str">
        <f t="shared" ca="1" si="65"/>
        <v/>
      </c>
      <c r="W149" s="131" t="str">
        <f t="shared" ca="1" si="65"/>
        <v/>
      </c>
      <c r="X149" s="131" t="str">
        <f t="shared" ca="1" si="65"/>
        <v/>
      </c>
      <c r="Y149" s="131" t="str">
        <f t="shared" ca="1" si="65"/>
        <v/>
      </c>
      <c r="Z149" s="131" t="str">
        <f t="shared" ca="1" si="65"/>
        <v/>
      </c>
      <c r="AA149" s="131" t="str">
        <f t="shared" si="65"/>
        <v/>
      </c>
      <c r="AB149" s="131"/>
      <c r="AN149" s="121"/>
      <c r="AO149" s="121">
        <f t="shared" ca="1" si="30"/>
        <v>84</v>
      </c>
      <c r="AP149" s="121" t="b">
        <f t="shared" si="31"/>
        <v>0</v>
      </c>
      <c r="AQ149" s="272">
        <f ca="1">+AVERAGEIFS(TABELA_VAZAO[qnat],TABELA_VAZAO[Posto],$R149,TABELA_VAZAO[Data],AQ$27)</f>
        <v>52</v>
      </c>
      <c r="AR149" s="272">
        <f ca="1">+AVERAGEIFS(TABELA_VAZAO[qnat],TABELA_VAZAO[Posto],$R149,TABELA_VAZAO[Data],AR$27)</f>
        <v>51</v>
      </c>
      <c r="AS149" s="272">
        <f ca="1">+AVERAGEIFS(TABELA_VAZAO[qnat],TABELA_VAZAO[Posto],$R149,TABELA_VAZAO[Data],AS$27)</f>
        <v>53</v>
      </c>
      <c r="AT149" s="272">
        <f ca="1">+AVERAGEIFS(TABELA_VAZAO[qnat],TABELA_VAZAO[Posto],$R149,TABELA_VAZAO[Data],AT$27)</f>
        <v>57</v>
      </c>
      <c r="AU149" s="121">
        <f ca="1">+AVERAGEIFS(TABELA_VAZAO[qnat],TABELA_VAZAO[Posto],$R149,TABELA_VAZAO[Data],AU$27)</f>
        <v>63</v>
      </c>
      <c r="AV149" s="272">
        <f ca="1">IFERROR(AVERAGEIFS(TABELA_VAZAO[qnat],TABELA_VAZAO[Posto],$R149,TABELA_VAZAO[Data],AV$27),AU149+$BB149*EXP(AV$26))</f>
        <v>70</v>
      </c>
      <c r="AW149" s="159">
        <f ca="1">IFERROR(AVERAGEIFS(TABELA_VAZAO[qnat],TABELA_VAZAO[Posto],$R149,TABELA_VAZAO[Data],AW$27),AV149+$BB149*EXP(AW$26))</f>
        <v>80</v>
      </c>
      <c r="AX149" s="325">
        <f ca="1">IFERROR(AVERAGEIFS(TABELA_VAZAO[qnat],TABELA_VAZAO[Posto],$R149,TABELA_VAZAO[Data],AX$27),AW149+$BB149*EXP(AX$26))</f>
        <v>87.714285714285708</v>
      </c>
      <c r="AY149" s="325">
        <f ca="1">IFERROR(AVERAGEIFS(TABELA_VAZAO[qnat],TABELA_VAZAO[Posto],$R149,TABELA_VAZAO[Data],AY$27),AX149+$BB149*EXP(AY$26))</f>
        <v>92.885326069417786</v>
      </c>
      <c r="AZ149" s="326">
        <f ca="1">IFERROR(AVERAGEIFS(TABELA_VAZAO[qnat],TABELA_VAZAO[Posto],$R149,TABELA_VAZAO[Data],AZ$27),AY149+$BB149*EXP(AZ$26))</f>
        <v>96.351578078322063</v>
      </c>
      <c r="BA149" s="326">
        <f ca="1">IFERROR(AVERAGEIFS(TABELA_VAZAO[qnat],TABELA_VAZAO[Posto],$R149,TABELA_VAZAO[Data],BA$27),AZ149+$BB149*EXP(BA$26))</f>
        <v>98.675076284501912</v>
      </c>
      <c r="BB149" s="121">
        <f t="shared" ca="1" si="32"/>
        <v>7.7142857142857144</v>
      </c>
      <c r="BC149" s="272">
        <f t="shared" ca="1" si="33"/>
        <v>4</v>
      </c>
      <c r="BD149" s="272">
        <f t="shared" ca="1" si="33"/>
        <v>6</v>
      </c>
      <c r="BE149" s="272">
        <f t="shared" ca="1" si="33"/>
        <v>7</v>
      </c>
      <c r="BF149" s="272">
        <f t="shared" ca="1" si="33"/>
        <v>10</v>
      </c>
      <c r="BG149"/>
    </row>
    <row r="150" spans="1:59" x14ac:dyDescent="0.2">
      <c r="A150" s="229"/>
      <c r="B150" s="229"/>
      <c r="C150" s="229"/>
      <c r="D150" s="229"/>
      <c r="E150" s="229"/>
      <c r="F150" s="229"/>
      <c r="G150" s="229"/>
      <c r="H150" s="229"/>
      <c r="I150" s="229"/>
      <c r="J150" s="229"/>
      <c r="K150" s="229"/>
      <c r="R150">
        <v>123</v>
      </c>
      <c r="S150" s="40">
        <f t="shared" ca="1" si="64"/>
        <v>374</v>
      </c>
      <c r="T150" s="131" t="str">
        <f t="shared" ca="1" si="65"/>
        <v/>
      </c>
      <c r="U150" s="131" t="str">
        <f t="shared" ca="1" si="65"/>
        <v/>
      </c>
      <c r="V150" s="131" t="str">
        <f t="shared" ca="1" si="65"/>
        <v/>
      </c>
      <c r="W150" s="131" t="str">
        <f t="shared" ca="1" si="65"/>
        <v/>
      </c>
      <c r="X150" s="131" t="str">
        <f t="shared" ca="1" si="65"/>
        <v/>
      </c>
      <c r="Y150" s="131" t="str">
        <f t="shared" ca="1" si="65"/>
        <v/>
      </c>
      <c r="Z150" s="131" t="str">
        <f t="shared" ca="1" si="65"/>
        <v/>
      </c>
      <c r="AA150" s="131" t="str">
        <f t="shared" si="65"/>
        <v/>
      </c>
      <c r="AB150" s="131"/>
      <c r="AN150" s="121"/>
      <c r="AO150" s="121">
        <f t="shared" ca="1" si="30"/>
        <v>374</v>
      </c>
      <c r="AP150" s="121" t="b">
        <f t="shared" si="31"/>
        <v>0</v>
      </c>
      <c r="AQ150" s="272">
        <f ca="1">+AVERAGEIFS(TABELA_VAZAO[qnat],TABELA_VAZAO[Posto],$R150,TABELA_VAZAO[Data],AQ$27)</f>
        <v>129</v>
      </c>
      <c r="AR150" s="272">
        <f ca="1">+AVERAGEIFS(TABELA_VAZAO[qnat],TABELA_VAZAO[Posto],$R150,TABELA_VAZAO[Data],AR$27)</f>
        <v>126</v>
      </c>
      <c r="AS150" s="272">
        <f ca="1">+AVERAGEIFS(TABELA_VAZAO[qnat],TABELA_VAZAO[Posto],$R150,TABELA_VAZAO[Data],AS$27)</f>
        <v>124</v>
      </c>
      <c r="AT150" s="272">
        <f ca="1">+AVERAGEIFS(TABELA_VAZAO[qnat],TABELA_VAZAO[Posto],$R150,TABELA_VAZAO[Data],AT$27)</f>
        <v>141</v>
      </c>
      <c r="AU150" s="121">
        <f ca="1">+AVERAGEIFS(TABELA_VAZAO[qnat],TABELA_VAZAO[Posto],$R150,TABELA_VAZAO[Data],AU$27)</f>
        <v>173</v>
      </c>
      <c r="AV150" s="272">
        <f ca="1">IFERROR(AVERAGEIFS(TABELA_VAZAO[qnat],TABELA_VAZAO[Posto],$R150,TABELA_VAZAO[Data],AV$27),AU150+$BB150*EXP(AV$26))</f>
        <v>256</v>
      </c>
      <c r="AW150" s="159">
        <f ca="1">IFERROR(AVERAGEIFS(TABELA_VAZAO[qnat],TABELA_VAZAO[Posto],$R150,TABELA_VAZAO[Data],AW$27),AV150+$BB150*EXP(AW$26))</f>
        <v>341</v>
      </c>
      <c r="AX150" s="325">
        <f ca="1">IFERROR(AVERAGEIFS(TABELA_VAZAO[qnat],TABELA_VAZAO[Posto],$R150,TABELA_VAZAO[Data],AX$27),AW150+$BB150*EXP(AX$26))</f>
        <v>408.14285714285711</v>
      </c>
      <c r="AY150" s="325">
        <f ca="1">IFERROR(AVERAGEIFS(TABELA_VAZAO[qnat],TABELA_VAZAO[Posto],$R150,TABELA_VAZAO[Data],AY$27),AX150+$BB150*EXP(AY$26))</f>
        <v>453.15006023382148</v>
      </c>
      <c r="AZ150" s="326">
        <f ca="1">IFERROR(AVERAGEIFS(TABELA_VAZAO[qnat],TABELA_VAZAO[Posto],$R150,TABELA_VAZAO[Data],AZ$27),AY150+$BB150*EXP(AZ$26))</f>
        <v>483.31929068169205</v>
      </c>
      <c r="BA150" s="326">
        <f ca="1">IFERROR(AVERAGEIFS(TABELA_VAZAO[qnat],TABELA_VAZAO[Posto],$R150,TABELA_VAZAO[Data],BA$27),AZ150+$BB150*EXP(BA$26))</f>
        <v>503.54233062436845</v>
      </c>
      <c r="BB150" s="121">
        <f t="shared" ca="1" si="32"/>
        <v>67.142857142857139</v>
      </c>
      <c r="BC150" s="272">
        <f t="shared" ca="1" si="33"/>
        <v>17</v>
      </c>
      <c r="BD150" s="272">
        <f t="shared" ca="1" si="33"/>
        <v>32</v>
      </c>
      <c r="BE150" s="272">
        <f t="shared" ca="1" si="33"/>
        <v>83</v>
      </c>
      <c r="BF150" s="272">
        <f t="shared" ca="1" si="33"/>
        <v>85</v>
      </c>
      <c r="BG150"/>
    </row>
    <row r="151" spans="1:59" x14ac:dyDescent="0.2">
      <c r="A151" s="229"/>
      <c r="B151" s="229"/>
      <c r="C151" s="229"/>
      <c r="D151" s="229"/>
      <c r="E151" s="229"/>
      <c r="F151" s="229"/>
      <c r="G151" s="229"/>
      <c r="H151" s="229"/>
      <c r="I151" s="229"/>
      <c r="J151" s="229"/>
      <c r="K151" s="229"/>
      <c r="R151">
        <v>124</v>
      </c>
      <c r="S151" s="40"/>
      <c r="T151" s="40"/>
      <c r="U151" s="131"/>
      <c r="V151" s="131"/>
      <c r="W151" s="131"/>
      <c r="X151" s="131"/>
      <c r="Y151" s="131"/>
      <c r="Z151" s="131"/>
      <c r="AA151" s="131"/>
      <c r="AB151" s="131"/>
      <c r="AN151" s="121"/>
      <c r="AO151" s="121" t="e">
        <f t="shared" si="30"/>
        <v>#DIV/0!</v>
      </c>
      <c r="AP151" s="121" t="b">
        <f t="shared" si="31"/>
        <v>0</v>
      </c>
      <c r="AU151" s="121"/>
      <c r="AV151" s="121"/>
      <c r="AW151" s="159"/>
      <c r="AX151" s="159"/>
      <c r="AY151" s="159"/>
      <c r="AZ151" s="157"/>
      <c r="BA151" s="157"/>
      <c r="BB151" s="121">
        <f t="shared" ca="1" si="32"/>
        <v>0</v>
      </c>
      <c r="BC151" s="272">
        <f t="shared" ca="1" si="33"/>
        <v>0</v>
      </c>
      <c r="BD151" s="272">
        <f t="shared" ca="1" si="33"/>
        <v>0</v>
      </c>
      <c r="BE151" s="272">
        <f t="shared" ca="1" si="33"/>
        <v>0</v>
      </c>
      <c r="BF151" s="272">
        <f t="shared" ca="1" si="33"/>
        <v>0</v>
      </c>
      <c r="BG151"/>
    </row>
    <row r="152" spans="1:59" x14ac:dyDescent="0.2">
      <c r="A152" s="229"/>
      <c r="B152" s="229"/>
      <c r="C152" s="229"/>
      <c r="D152" s="229"/>
      <c r="E152" s="229"/>
      <c r="F152" s="229"/>
      <c r="G152" s="229"/>
      <c r="H152" s="229"/>
      <c r="I152" s="229"/>
      <c r="J152" s="229"/>
      <c r="K152" s="229"/>
      <c r="R152">
        <v>125</v>
      </c>
      <c r="S152" s="40">
        <f ca="1">AO152</f>
        <v>503</v>
      </c>
      <c r="T152" s="131" t="str">
        <f t="shared" ref="T152:AA152" ca="1" si="66">IF(AND($K$4,ISNUMBER(H$143)),ROUND(G$143*S152,0),"")</f>
        <v/>
      </c>
      <c r="U152" s="131" t="str">
        <f t="shared" ca="1" si="66"/>
        <v/>
      </c>
      <c r="V152" s="131" t="str">
        <f t="shared" ca="1" si="66"/>
        <v/>
      </c>
      <c r="W152" s="131" t="str">
        <f t="shared" ca="1" si="66"/>
        <v/>
      </c>
      <c r="X152" s="131" t="str">
        <f t="shared" ca="1" si="66"/>
        <v/>
      </c>
      <c r="Y152" s="131" t="str">
        <f t="shared" ca="1" si="66"/>
        <v/>
      </c>
      <c r="Z152" s="131" t="str">
        <f t="shared" ca="1" si="66"/>
        <v/>
      </c>
      <c r="AA152" s="131" t="str">
        <f t="shared" si="66"/>
        <v/>
      </c>
      <c r="AB152" s="131"/>
      <c r="AN152" s="121"/>
      <c r="AO152" s="121">
        <f t="shared" ca="1" si="30"/>
        <v>503</v>
      </c>
      <c r="AP152" s="121" t="b">
        <f t="shared" si="31"/>
        <v>0</v>
      </c>
      <c r="AQ152" s="272">
        <f ca="1">+AVERAGEIFS(TABELA_VAZAO[qnat],TABELA_VAZAO[Posto],$R152,TABELA_VAZAO[Data],AQ$27)</f>
        <v>168</v>
      </c>
      <c r="AR152" s="272">
        <f ca="1">+AVERAGEIFS(TABELA_VAZAO[qnat],TABELA_VAZAO[Posto],$R152,TABELA_VAZAO[Data],AR$27)</f>
        <v>163</v>
      </c>
      <c r="AS152" s="272">
        <f ca="1">+AVERAGEIFS(TABELA_VAZAO[qnat],TABELA_VAZAO[Posto],$R152,TABELA_VAZAO[Data],AS$27)</f>
        <v>171</v>
      </c>
      <c r="AT152" s="272">
        <f ca="1">+AVERAGEIFS(TABELA_VAZAO[qnat],TABELA_VAZAO[Posto],$R152,TABELA_VAZAO[Data],AT$27)</f>
        <v>181</v>
      </c>
      <c r="AU152" s="121">
        <f ca="1">+AVERAGEIFS(TABELA_VAZAO[qnat],TABELA_VAZAO[Posto],$R152,TABELA_VAZAO[Data],AU$27)</f>
        <v>208</v>
      </c>
      <c r="AV152" s="272">
        <f ca="1">IFERROR(AVERAGEIFS(TABELA_VAZAO[qnat],TABELA_VAZAO[Posto],$R152,TABELA_VAZAO[Data],AV$27),AU152+$BB152*EXP(AV$26))</f>
        <v>337</v>
      </c>
      <c r="AW152" s="159">
        <f ca="1">IFERROR(AVERAGEIFS(TABELA_VAZAO[qnat],TABELA_VAZAO[Posto],$R152,TABELA_VAZAO[Data],AW$27),AV152+$BB152*EXP(AW$26))</f>
        <v>459</v>
      </c>
      <c r="AX152" s="325">
        <f ca="1">IFERROR(AVERAGEIFS(TABELA_VAZAO[qnat],TABELA_VAZAO[Posto],$R152,TABELA_VAZAO[Data],AX$27),AW152+$BB152*EXP(AX$26))</f>
        <v>553.42857142857144</v>
      </c>
      <c r="AY152" s="325">
        <f ca="1">IFERROR(AVERAGEIFS(TABELA_VAZAO[qnat],TABELA_VAZAO[Posto],$R152,TABELA_VAZAO[Data],AY$27),AX152+$BB152*EXP(AY$26))</f>
        <v>616.72593577565112</v>
      </c>
      <c r="AZ152" s="326">
        <f ca="1">IFERROR(AVERAGEIFS(TABELA_VAZAO[qnat],TABELA_VAZAO[Posto],$R152,TABELA_VAZAO[Data],AZ$27),AY152+$BB152*EXP(AZ$26))</f>
        <v>659.15542795872022</v>
      </c>
      <c r="BA152" s="326">
        <f ca="1">IFERROR(AVERAGEIFS(TABELA_VAZAO[qnat],TABELA_VAZAO[Posto],$R152,TABELA_VAZAO[Data],BA$27),AZ152+$BB152*EXP(BA$26))</f>
        <v>687.59676711214388</v>
      </c>
      <c r="BB152" s="121">
        <f t="shared" ca="1" si="32"/>
        <v>94.428571428571431</v>
      </c>
      <c r="BC152" s="272">
        <f t="shared" ca="1" si="33"/>
        <v>10</v>
      </c>
      <c r="BD152" s="272">
        <f t="shared" ca="1" si="33"/>
        <v>27</v>
      </c>
      <c r="BE152" s="272">
        <f t="shared" ca="1" si="33"/>
        <v>129</v>
      </c>
      <c r="BF152" s="272">
        <f t="shared" ca="1" si="33"/>
        <v>122</v>
      </c>
      <c r="BG152"/>
    </row>
    <row r="153" spans="1:59" x14ac:dyDescent="0.2">
      <c r="A153" s="229"/>
      <c r="B153" s="229"/>
      <c r="C153" s="229"/>
      <c r="D153" s="229"/>
      <c r="E153" s="229"/>
      <c r="F153" s="229"/>
      <c r="G153" s="229"/>
      <c r="H153" s="229"/>
      <c r="I153" s="229"/>
      <c r="J153" s="229"/>
      <c r="K153" s="229"/>
      <c r="R153">
        <v>126</v>
      </c>
      <c r="S153" s="40"/>
      <c r="T153" s="40"/>
      <c r="U153" s="131"/>
      <c r="V153" s="131"/>
      <c r="W153" s="131"/>
      <c r="X153" s="131"/>
      <c r="Y153" s="131"/>
      <c r="Z153" s="131"/>
      <c r="AA153" s="131"/>
      <c r="AB153" s="131"/>
      <c r="AN153" s="121"/>
      <c r="AO153" s="121" t="e">
        <f t="shared" si="30"/>
        <v>#DIV/0!</v>
      </c>
      <c r="AP153" s="121" t="b">
        <f t="shared" si="31"/>
        <v>0</v>
      </c>
      <c r="AU153" s="121"/>
      <c r="AV153" s="121"/>
      <c r="AW153" s="159"/>
      <c r="AX153" s="159"/>
      <c r="AY153" s="159"/>
      <c r="AZ153" s="157"/>
      <c r="BA153" s="157"/>
      <c r="BB153" s="121">
        <f t="shared" ca="1" si="32"/>
        <v>0</v>
      </c>
      <c r="BC153" s="272">
        <f t="shared" ca="1" si="33"/>
        <v>0</v>
      </c>
      <c r="BD153" s="272">
        <f t="shared" ca="1" si="33"/>
        <v>0</v>
      </c>
      <c r="BE153" s="272">
        <f t="shared" ca="1" si="33"/>
        <v>0</v>
      </c>
      <c r="BF153" s="272">
        <f t="shared" ca="1" si="33"/>
        <v>0</v>
      </c>
      <c r="BG153"/>
    </row>
    <row r="154" spans="1:59" x14ac:dyDescent="0.2">
      <c r="A154" s="229"/>
      <c r="B154" s="229"/>
      <c r="C154" s="229"/>
      <c r="D154" s="229"/>
      <c r="E154" s="229"/>
      <c r="F154" s="229"/>
      <c r="G154" s="229"/>
      <c r="H154" s="229"/>
      <c r="I154" s="229"/>
      <c r="J154" s="229"/>
      <c r="K154" s="229"/>
      <c r="R154">
        <v>127</v>
      </c>
      <c r="S154" s="40"/>
      <c r="T154" s="40"/>
      <c r="U154" s="131"/>
      <c r="V154" s="131"/>
      <c r="W154" s="131"/>
      <c r="X154" s="131"/>
      <c r="Y154" s="131"/>
      <c r="Z154" s="131"/>
      <c r="AA154" s="131"/>
      <c r="AB154" s="131"/>
      <c r="AN154" s="121"/>
      <c r="AO154" s="121" t="e">
        <f t="shared" si="30"/>
        <v>#DIV/0!</v>
      </c>
      <c r="AP154" s="121" t="b">
        <f t="shared" si="31"/>
        <v>0</v>
      </c>
      <c r="AU154" s="121"/>
      <c r="AV154" s="121"/>
      <c r="AW154" s="159"/>
      <c r="AX154" s="159"/>
      <c r="AY154" s="159"/>
      <c r="AZ154" s="157"/>
      <c r="BA154" s="157"/>
      <c r="BB154" s="121">
        <f t="shared" ca="1" si="32"/>
        <v>0</v>
      </c>
      <c r="BC154" s="272">
        <f t="shared" ca="1" si="33"/>
        <v>0</v>
      </c>
      <c r="BD154" s="272">
        <f t="shared" ca="1" si="33"/>
        <v>0</v>
      </c>
      <c r="BE154" s="272">
        <f t="shared" ca="1" si="33"/>
        <v>0</v>
      </c>
      <c r="BF154" s="272">
        <f t="shared" ca="1" si="33"/>
        <v>0</v>
      </c>
      <c r="BG154"/>
    </row>
    <row r="155" spans="1:59" x14ac:dyDescent="0.2">
      <c r="A155" s="229"/>
      <c r="B155" s="229"/>
      <c r="C155" s="229"/>
      <c r="D155" s="229"/>
      <c r="E155" s="229"/>
      <c r="F155" s="229"/>
      <c r="G155" s="229"/>
      <c r="H155" s="229"/>
      <c r="I155" s="229"/>
      <c r="J155" s="229"/>
      <c r="K155" s="229"/>
      <c r="R155">
        <v>128</v>
      </c>
      <c r="S155" s="40"/>
      <c r="T155" s="40"/>
      <c r="U155" s="131"/>
      <c r="V155" s="131"/>
      <c r="W155" s="131"/>
      <c r="X155" s="131"/>
      <c r="Y155" s="131"/>
      <c r="Z155" s="131"/>
      <c r="AA155" s="131"/>
      <c r="AB155" s="131"/>
      <c r="AN155" s="121"/>
      <c r="AO155" s="121" t="e">
        <f t="shared" si="30"/>
        <v>#DIV/0!</v>
      </c>
      <c r="AP155" s="121" t="b">
        <f t="shared" si="31"/>
        <v>0</v>
      </c>
      <c r="AU155" s="121"/>
      <c r="AV155" s="121"/>
      <c r="AW155" s="159"/>
      <c r="AX155" s="159"/>
      <c r="AY155" s="159"/>
      <c r="AZ155" s="157"/>
      <c r="BA155" s="157"/>
      <c r="BB155" s="121">
        <f t="shared" ca="1" si="32"/>
        <v>0</v>
      </c>
      <c r="BC155" s="272">
        <f t="shared" ca="1" si="33"/>
        <v>0</v>
      </c>
      <c r="BD155" s="272">
        <f t="shared" ca="1" si="33"/>
        <v>0</v>
      </c>
      <c r="BE155" s="272">
        <f t="shared" ca="1" si="33"/>
        <v>0</v>
      </c>
      <c r="BF155" s="272">
        <f t="shared" ca="1" si="33"/>
        <v>0</v>
      </c>
      <c r="BG155"/>
    </row>
    <row r="156" spans="1:59" x14ac:dyDescent="0.2">
      <c r="A156" s="229"/>
      <c r="B156" s="229"/>
      <c r="C156" s="229"/>
      <c r="D156" s="229"/>
      <c r="E156" s="229"/>
      <c r="F156" s="229"/>
      <c r="G156" s="229"/>
      <c r="H156" s="229"/>
      <c r="I156" s="229"/>
      <c r="J156" s="229"/>
      <c r="K156" s="229"/>
      <c r="R156">
        <v>129</v>
      </c>
      <c r="S156" s="40">
        <f ca="1">AO156</f>
        <v>1070</v>
      </c>
      <c r="T156" s="131" t="str">
        <f t="shared" ref="T156:AA157" ca="1" si="67">IF(AND($K$4,ISNUMBER(H$143)),ROUND(G$143*S156,0),"")</f>
        <v/>
      </c>
      <c r="U156" s="131" t="str">
        <f t="shared" ca="1" si="67"/>
        <v/>
      </c>
      <c r="V156" s="131" t="str">
        <f t="shared" ca="1" si="67"/>
        <v/>
      </c>
      <c r="W156" s="131" t="str">
        <f t="shared" ca="1" si="67"/>
        <v/>
      </c>
      <c r="X156" s="131" t="str">
        <f t="shared" ca="1" si="67"/>
        <v/>
      </c>
      <c r="Y156" s="131" t="str">
        <f t="shared" ca="1" si="67"/>
        <v/>
      </c>
      <c r="Z156" s="131" t="str">
        <f t="shared" ca="1" si="67"/>
        <v/>
      </c>
      <c r="AA156" s="131" t="str">
        <f t="shared" si="67"/>
        <v/>
      </c>
      <c r="AB156" s="131"/>
      <c r="AN156" s="121"/>
      <c r="AO156" s="121">
        <f t="shared" ref="AO156:AO219" ca="1" si="68">IFERROR(ROUND(INDEX(F$28:F$129,MATCH($R156,$A$28:$A$129,0)),0),ROUND(AVERAGE(AU156:BA156),0))</f>
        <v>1070</v>
      </c>
      <c r="AP156" s="121" t="b">
        <f t="shared" ref="AP156:AP219" si="69">NOT(ISNA(MATCH(R156,$A$28:$A$129,0)))</f>
        <v>0</v>
      </c>
      <c r="AQ156" s="272">
        <f ca="1">+AVERAGEIFS(TABELA_VAZAO[qnat],TABELA_VAZAO[Posto],$R156,TABELA_VAZAO[Data],AQ$27)</f>
        <v>351</v>
      </c>
      <c r="AR156" s="272">
        <f ca="1">+AVERAGEIFS(TABELA_VAZAO[qnat],TABELA_VAZAO[Posto],$R156,TABELA_VAZAO[Data],AR$27)</f>
        <v>326</v>
      </c>
      <c r="AS156" s="272">
        <f ca="1">+AVERAGEIFS(TABELA_VAZAO[qnat],TABELA_VAZAO[Posto],$R156,TABELA_VAZAO[Data],AS$27)</f>
        <v>328</v>
      </c>
      <c r="AT156" s="272">
        <f ca="1">+AVERAGEIFS(TABELA_VAZAO[qnat],TABELA_VAZAO[Posto],$R156,TABELA_VAZAO[Data],AT$27)</f>
        <v>636</v>
      </c>
      <c r="AU156" s="121">
        <f ca="1">+AVERAGEIFS(TABELA_VAZAO[qnat],TABELA_VAZAO[Posto],$R156,TABELA_VAZAO[Data],AU$27)</f>
        <v>521</v>
      </c>
      <c r="AV156" s="272">
        <f ca="1">IFERROR(AVERAGEIFS(TABELA_VAZAO[qnat],TABELA_VAZAO[Posto],$R156,TABELA_VAZAO[Data],AV$27),AU156+$BB156*EXP(AV$26))</f>
        <v>631</v>
      </c>
      <c r="AW156" s="159">
        <f ca="1">IFERROR(AVERAGEIFS(TABELA_VAZAO[qnat],TABELA_VAZAO[Posto],$R156,TABELA_VAZAO[Data],AW$27),AV156+$BB156*EXP(AW$26))</f>
        <v>972</v>
      </c>
      <c r="AX156" s="325">
        <f ca="1">IFERROR(AVERAGEIFS(TABELA_VAZAO[qnat],TABELA_VAZAO[Posto],$R156,TABELA_VAZAO[Data],AX$27),AW156+$BB156*EXP(AX$26))</f>
        <v>1177.1428571428571</v>
      </c>
      <c r="AY156" s="325">
        <f ca="1">IFERROR(AVERAGEIFS(TABELA_VAZAO[qnat],TABELA_VAZAO[Posto],$R156,TABELA_VAZAO[Data],AY$27),AX156+$BB156*EXP(AY$26))</f>
        <v>1314.6542265867397</v>
      </c>
      <c r="AZ156" s="326">
        <f ca="1">IFERROR(AVERAGEIFS(TABELA_VAZAO[qnat],TABELA_VAZAO[Posto],$R156,TABELA_VAZAO[Data],AZ$27),AY156+$BB156*EXP(AZ$26))</f>
        <v>1406.8308540827868</v>
      </c>
      <c r="BA156" s="326">
        <f ca="1">IFERROR(AVERAGEIFS(TABELA_VAZAO[qnat],TABELA_VAZAO[Posto],$R156,TABELA_VAZAO[Data],BA$27),AZ156+$BB156*EXP(BA$26))</f>
        <v>1468.6186952693472</v>
      </c>
      <c r="BB156" s="121">
        <f t="shared" ref="BB156:BB219" ca="1" si="70">SUMPRODUCT(BC156:BF156,BC$27:BF$27)/$BB$27</f>
        <v>205.14285714285714</v>
      </c>
      <c r="BC156" s="272">
        <f t="shared" ca="1" si="33"/>
        <v>308</v>
      </c>
      <c r="BD156" s="272">
        <f t="shared" ca="1" si="33"/>
        <v>-115</v>
      </c>
      <c r="BE156" s="272">
        <f t="shared" ca="1" si="33"/>
        <v>110</v>
      </c>
      <c r="BF156" s="272">
        <f t="shared" ref="BD156:BF219" ca="1" si="71">INDEX($AQ156:$BA156,1,BF$26)-INDEX($AQ156:$BA156,1,BF$26-1)</f>
        <v>341</v>
      </c>
      <c r="BG156"/>
    </row>
    <row r="157" spans="1:59" x14ac:dyDescent="0.2">
      <c r="A157" s="229"/>
      <c r="B157" s="229"/>
      <c r="C157" s="229"/>
      <c r="D157" s="229"/>
      <c r="E157" s="229"/>
      <c r="F157" s="229"/>
      <c r="G157" s="229"/>
      <c r="H157" s="229"/>
      <c r="I157" s="229"/>
      <c r="J157" s="229"/>
      <c r="K157" s="229"/>
      <c r="R157">
        <v>130</v>
      </c>
      <c r="S157" s="40">
        <f ca="1">AO157</f>
        <v>893</v>
      </c>
      <c r="T157" s="131" t="str">
        <f t="shared" ca="1" si="67"/>
        <v/>
      </c>
      <c r="U157" s="131" t="str">
        <f t="shared" ca="1" si="67"/>
        <v/>
      </c>
      <c r="V157" s="131" t="str">
        <f t="shared" ca="1" si="67"/>
        <v/>
      </c>
      <c r="W157" s="131" t="str">
        <f t="shared" ca="1" si="67"/>
        <v/>
      </c>
      <c r="X157" s="131" t="str">
        <f t="shared" ca="1" si="67"/>
        <v/>
      </c>
      <c r="Y157" s="131" t="str">
        <f t="shared" ca="1" si="67"/>
        <v/>
      </c>
      <c r="Z157" s="131" t="str">
        <f t="shared" ca="1" si="67"/>
        <v/>
      </c>
      <c r="AA157" s="131" t="str">
        <f t="shared" si="67"/>
        <v/>
      </c>
      <c r="AB157" s="131"/>
      <c r="AN157" s="121"/>
      <c r="AO157" s="121">
        <f t="shared" ca="1" si="68"/>
        <v>893</v>
      </c>
      <c r="AP157" s="121" t="b">
        <f t="shared" si="69"/>
        <v>0</v>
      </c>
      <c r="AQ157" s="272">
        <f ca="1">+AVERAGEIFS(TABELA_VAZAO[qnat],TABELA_VAZAO[Posto],$R157,TABELA_VAZAO[Data],AQ$27)</f>
        <v>406</v>
      </c>
      <c r="AR157" s="272">
        <f ca="1">+AVERAGEIFS(TABELA_VAZAO[qnat],TABELA_VAZAO[Posto],$R157,TABELA_VAZAO[Data],AR$27)</f>
        <v>378</v>
      </c>
      <c r="AS157" s="272">
        <f ca="1">+AVERAGEIFS(TABELA_VAZAO[qnat],TABELA_VAZAO[Posto],$R157,TABELA_VAZAO[Data],AS$27)</f>
        <v>410</v>
      </c>
      <c r="AT157" s="272">
        <f ca="1">+AVERAGEIFS(TABELA_VAZAO[qnat],TABELA_VAZAO[Posto],$R157,TABELA_VAZAO[Data],AT$27)</f>
        <v>604</v>
      </c>
      <c r="AU157" s="121">
        <f ca="1">+AVERAGEIFS(TABELA_VAZAO[qnat],TABELA_VAZAO[Posto],$R157,TABELA_VAZAO[Data],AU$27)</f>
        <v>701</v>
      </c>
      <c r="AV157" s="272">
        <f ca="1">IFERROR(AVERAGEIFS(TABELA_VAZAO[qnat],TABELA_VAZAO[Posto],$R157,TABELA_VAZAO[Data],AV$27),AU157+$BB157*EXP(AV$26))</f>
        <v>609</v>
      </c>
      <c r="AW157" s="159">
        <f ca="1">IFERROR(AVERAGEIFS(TABELA_VAZAO[qnat],TABELA_VAZAO[Posto],$R157,TABELA_VAZAO[Data],AW$27),AV157+$BB157*EXP(AW$26))</f>
        <v>830</v>
      </c>
      <c r="AX157" s="325">
        <f ca="1">IFERROR(AVERAGEIFS(TABELA_VAZAO[qnat],TABELA_VAZAO[Posto],$R157,TABELA_VAZAO[Data],AX$27),AW157+$BB157*EXP(AX$26))</f>
        <v>940</v>
      </c>
      <c r="AY157" s="325">
        <f ca="1">IFERROR(AVERAGEIFS(TABELA_VAZAO[qnat],TABELA_VAZAO[Posto],$R157,TABELA_VAZAO[Data],AY$27),AX157+$BB157*EXP(AY$26))</f>
        <v>1013.7352050639204</v>
      </c>
      <c r="AZ157" s="326">
        <f ca="1">IFERROR(AVERAGEIFS(TABELA_VAZAO[qnat],TABELA_VAZAO[Posto],$R157,TABELA_VAZAO[Data],AZ$27),AY157+$BB157*EXP(AZ$26))</f>
        <v>1063.1613911168147</v>
      </c>
      <c r="BA157" s="326">
        <f ca="1">IFERROR(AVERAGEIFS(TABELA_VAZAO[qnat],TABELA_VAZAO[Posto],$R157,TABELA_VAZAO[Data],BA$27),AZ157+$BB157*EXP(BA$26))</f>
        <v>1096.292754427157</v>
      </c>
      <c r="BB157" s="121">
        <f t="shared" ca="1" si="70"/>
        <v>110</v>
      </c>
      <c r="BC157" s="272">
        <f t="shared" ref="BC157:BF220" ca="1" si="72">INDEX($AQ157:$BA157,1,BC$26)-INDEX($AQ157:$BA157,1,BC$26-1)</f>
        <v>194</v>
      </c>
      <c r="BD157" s="272">
        <f t="shared" ca="1" si="71"/>
        <v>97</v>
      </c>
      <c r="BE157" s="272">
        <f t="shared" ca="1" si="71"/>
        <v>-92</v>
      </c>
      <c r="BF157" s="272">
        <f t="shared" ca="1" si="71"/>
        <v>221</v>
      </c>
      <c r="BG157"/>
    </row>
    <row r="158" spans="1:59" x14ac:dyDescent="0.2">
      <c r="A158" s="229"/>
      <c r="B158" s="229"/>
      <c r="C158" s="229"/>
      <c r="D158" s="229"/>
      <c r="E158" s="229"/>
      <c r="F158" s="229"/>
      <c r="G158" s="229"/>
      <c r="H158" s="229"/>
      <c r="I158" s="229"/>
      <c r="J158" s="229"/>
      <c r="K158" s="229"/>
      <c r="R158">
        <v>131</v>
      </c>
      <c r="S158" s="40"/>
      <c r="T158" s="40"/>
      <c r="U158" s="131"/>
      <c r="V158" s="131"/>
      <c r="W158" s="131"/>
      <c r="X158" s="131"/>
      <c r="Y158" s="131"/>
      <c r="Z158" s="131"/>
      <c r="AA158" s="131"/>
      <c r="AB158" s="131"/>
      <c r="AN158" s="121"/>
      <c r="AO158" s="121" t="e">
        <f t="shared" si="68"/>
        <v>#DIV/0!</v>
      </c>
      <c r="AP158" s="121" t="b">
        <f t="shared" si="69"/>
        <v>0</v>
      </c>
      <c r="AU158" s="121"/>
      <c r="AV158" s="121"/>
      <c r="AW158" s="159"/>
      <c r="AX158" s="159"/>
      <c r="AY158" s="159"/>
      <c r="AZ158" s="157"/>
      <c r="BA158" s="157"/>
      <c r="BB158" s="121">
        <f t="shared" ca="1" si="70"/>
        <v>0</v>
      </c>
      <c r="BC158" s="272">
        <f t="shared" ca="1" si="72"/>
        <v>0</v>
      </c>
      <c r="BD158" s="272">
        <f t="shared" ca="1" si="71"/>
        <v>0</v>
      </c>
      <c r="BE158" s="272">
        <f t="shared" ca="1" si="71"/>
        <v>0</v>
      </c>
      <c r="BF158" s="272">
        <f t="shared" ca="1" si="71"/>
        <v>0</v>
      </c>
      <c r="BG158"/>
    </row>
    <row r="159" spans="1:59" x14ac:dyDescent="0.2">
      <c r="A159" s="229"/>
      <c r="B159" s="229"/>
      <c r="C159" s="229"/>
      <c r="D159" s="229"/>
      <c r="E159" s="229"/>
      <c r="F159" s="229"/>
      <c r="G159" s="229"/>
      <c r="H159" s="229"/>
      <c r="I159" s="229"/>
      <c r="J159" s="229"/>
      <c r="K159" s="229"/>
      <c r="R159">
        <v>132</v>
      </c>
      <c r="S159" s="40"/>
      <c r="T159" s="40"/>
      <c r="U159" s="131"/>
      <c r="V159" s="131"/>
      <c r="W159" s="131"/>
      <c r="X159" s="131"/>
      <c r="Y159" s="131"/>
      <c r="Z159" s="131"/>
      <c r="AA159" s="131"/>
      <c r="AB159" s="131"/>
      <c r="AN159" s="121"/>
      <c r="AO159" s="121" t="e">
        <f t="shared" si="68"/>
        <v>#DIV/0!</v>
      </c>
      <c r="AP159" s="121" t="b">
        <f t="shared" si="69"/>
        <v>0</v>
      </c>
      <c r="AU159" s="121"/>
      <c r="AV159" s="121"/>
      <c r="AW159" s="159"/>
      <c r="AX159" s="159"/>
      <c r="AY159" s="159"/>
      <c r="AZ159" s="157"/>
      <c r="BA159" s="157"/>
      <c r="BB159" s="121">
        <f t="shared" ca="1" si="70"/>
        <v>0</v>
      </c>
      <c r="BC159" s="272">
        <f t="shared" ca="1" si="72"/>
        <v>0</v>
      </c>
      <c r="BD159" s="272">
        <f t="shared" ca="1" si="71"/>
        <v>0</v>
      </c>
      <c r="BE159" s="272">
        <f t="shared" ca="1" si="71"/>
        <v>0</v>
      </c>
      <c r="BF159" s="272">
        <f t="shared" ca="1" si="71"/>
        <v>0</v>
      </c>
      <c r="BG159"/>
    </row>
    <row r="160" spans="1:59" x14ac:dyDescent="0.2">
      <c r="A160" s="229"/>
      <c r="B160" s="229"/>
      <c r="C160" s="229"/>
      <c r="D160" s="229"/>
      <c r="E160" s="229"/>
      <c r="F160" s="229"/>
      <c r="G160" s="229"/>
      <c r="H160" s="229"/>
      <c r="I160" s="229"/>
      <c r="J160" s="229"/>
      <c r="K160" s="229"/>
      <c r="R160">
        <v>133</v>
      </c>
      <c r="S160" s="40"/>
      <c r="T160" s="40"/>
      <c r="U160" s="131"/>
      <c r="V160" s="131"/>
      <c r="W160" s="131"/>
      <c r="X160" s="131"/>
      <c r="Y160" s="131"/>
      <c r="Z160" s="131"/>
      <c r="AA160" s="131"/>
      <c r="AB160" s="131"/>
      <c r="AN160" s="121"/>
      <c r="AO160" s="121" t="e">
        <f t="shared" si="68"/>
        <v>#DIV/0!</v>
      </c>
      <c r="AP160" s="121" t="b">
        <f t="shared" si="69"/>
        <v>0</v>
      </c>
      <c r="AU160" s="121"/>
      <c r="AV160" s="121"/>
      <c r="AW160" s="159"/>
      <c r="AX160" s="159"/>
      <c r="AY160" s="159"/>
      <c r="AZ160" s="157"/>
      <c r="BA160" s="157"/>
      <c r="BB160" s="121">
        <f t="shared" ca="1" si="70"/>
        <v>0</v>
      </c>
      <c r="BC160" s="272">
        <f t="shared" ca="1" si="72"/>
        <v>0</v>
      </c>
      <c r="BD160" s="272">
        <f t="shared" ca="1" si="71"/>
        <v>0</v>
      </c>
      <c r="BE160" s="272">
        <f t="shared" ca="1" si="71"/>
        <v>0</v>
      </c>
      <c r="BF160" s="272">
        <f t="shared" ca="1" si="71"/>
        <v>0</v>
      </c>
      <c r="BG160"/>
    </row>
    <row r="161" spans="1:59" x14ac:dyDescent="0.2">
      <c r="A161" s="229"/>
      <c r="B161" s="229"/>
      <c r="C161" s="229"/>
      <c r="D161" s="229"/>
      <c r="E161" s="229"/>
      <c r="F161" s="229"/>
      <c r="G161" s="229"/>
      <c r="H161" s="229"/>
      <c r="I161" s="229"/>
      <c r="J161" s="229"/>
      <c r="K161" s="229"/>
      <c r="R161">
        <v>134</v>
      </c>
      <c r="S161" s="40">
        <f ca="1">AO161</f>
        <v>81</v>
      </c>
      <c r="T161" s="131" t="str">
        <f t="shared" ref="T161:AA161" ca="1" si="73">IF(AND($K$4,ISNUMBER(H$143)),ROUND(G$143*S161,0),"")</f>
        <v/>
      </c>
      <c r="U161" s="131" t="str">
        <f t="shared" ca="1" si="73"/>
        <v/>
      </c>
      <c r="V161" s="131" t="str">
        <f t="shared" ca="1" si="73"/>
        <v/>
      </c>
      <c r="W161" s="131" t="str">
        <f t="shared" ca="1" si="73"/>
        <v/>
      </c>
      <c r="X161" s="131" t="str">
        <f t="shared" ca="1" si="73"/>
        <v/>
      </c>
      <c r="Y161" s="131" t="str">
        <f t="shared" ca="1" si="73"/>
        <v/>
      </c>
      <c r="Z161" s="131" t="str">
        <f t="shared" ca="1" si="73"/>
        <v/>
      </c>
      <c r="AA161" s="131" t="str">
        <f t="shared" si="73"/>
        <v/>
      </c>
      <c r="AB161" s="131"/>
      <c r="AN161" s="121"/>
      <c r="AO161" s="121">
        <f t="shared" ca="1" si="68"/>
        <v>81</v>
      </c>
      <c r="AP161" s="121" t="b">
        <f t="shared" si="69"/>
        <v>0</v>
      </c>
      <c r="AQ161" s="272">
        <f ca="1">+AVERAGEIFS(TABELA_VAZAO[qnat],TABELA_VAZAO[Posto],$R161,TABELA_VAZAO[Data],AQ$27)</f>
        <v>43</v>
      </c>
      <c r="AR161" s="272">
        <f ca="1">+AVERAGEIFS(TABELA_VAZAO[qnat],TABELA_VAZAO[Posto],$R161,TABELA_VAZAO[Data],AR$27)</f>
        <v>43</v>
      </c>
      <c r="AS161" s="272">
        <f ca="1">+AVERAGEIFS(TABELA_VAZAO[qnat],TABELA_VAZAO[Posto],$R161,TABELA_VAZAO[Data],AS$27)</f>
        <v>46</v>
      </c>
      <c r="AT161" s="272">
        <f ca="1">+AVERAGEIFS(TABELA_VAZAO[qnat],TABELA_VAZAO[Posto],$R161,TABELA_VAZAO[Data],AT$27)</f>
        <v>43</v>
      </c>
      <c r="AU161" s="121">
        <f ca="1">+AVERAGEIFS(TABELA_VAZAO[qnat],TABELA_VAZAO[Posto],$R161,TABELA_VAZAO[Data],AU$27)</f>
        <v>50</v>
      </c>
      <c r="AV161" s="272">
        <f ca="1">IFERROR(AVERAGEIFS(TABELA_VAZAO[qnat],TABELA_VAZAO[Posto],$R161,TABELA_VAZAO[Data],AV$27),AU161+$BB161*EXP(AV$26))</f>
        <v>76</v>
      </c>
      <c r="AW161" s="159">
        <f ca="1">IFERROR(AVERAGEIFS(TABELA_VAZAO[qnat],TABELA_VAZAO[Posto],$R161,TABELA_VAZAO[Data],AW$27),AV161+$BB161*EXP(AW$26))</f>
        <v>76</v>
      </c>
      <c r="AX161" s="325">
        <f ca="1">IFERROR(AVERAGEIFS(TABELA_VAZAO[qnat],TABELA_VAZAO[Posto],$R161,TABELA_VAZAO[Data],AX$27),AW161+$BB161*EXP(AX$26))</f>
        <v>84</v>
      </c>
      <c r="AY161" s="325">
        <f ca="1">IFERROR(AVERAGEIFS(TABELA_VAZAO[qnat],TABELA_VAZAO[Posto],$R161,TABELA_VAZAO[Data],AY$27),AX161+$BB161*EXP(AY$26))</f>
        <v>89.362560368285116</v>
      </c>
      <c r="AZ161" s="326">
        <f ca="1">IFERROR(AVERAGEIFS(TABELA_VAZAO[qnat],TABELA_VAZAO[Posto],$R161,TABELA_VAZAO[Data],AZ$27),AY161+$BB161*EXP(AZ$26))</f>
        <v>92.957192081222885</v>
      </c>
      <c r="BA161" s="326">
        <f ca="1">IFERROR(AVERAGEIFS(TABELA_VAZAO[qnat],TABELA_VAZAO[Posto],$R161,TABELA_VAZAO[Data],BA$27),AZ161+$BB161*EXP(BA$26))</f>
        <v>95.366745776520503</v>
      </c>
      <c r="BB161" s="121">
        <f t="shared" ca="1" si="70"/>
        <v>8</v>
      </c>
      <c r="BC161" s="272">
        <f t="shared" ca="1" si="72"/>
        <v>-3</v>
      </c>
      <c r="BD161" s="272">
        <f t="shared" ca="1" si="71"/>
        <v>7</v>
      </c>
      <c r="BE161" s="272">
        <f t="shared" ca="1" si="71"/>
        <v>26</v>
      </c>
      <c r="BF161" s="272">
        <f t="shared" ca="1" si="71"/>
        <v>0</v>
      </c>
      <c r="BG161"/>
    </row>
    <row r="162" spans="1:59" x14ac:dyDescent="0.2">
      <c r="A162" s="229"/>
      <c r="B162" s="229"/>
      <c r="C162" s="229"/>
      <c r="D162" s="229"/>
      <c r="E162" s="229"/>
      <c r="F162" s="229"/>
      <c r="G162" s="229"/>
      <c r="H162" s="229"/>
      <c r="I162" s="229"/>
      <c r="J162" s="229"/>
      <c r="K162" s="229"/>
      <c r="Q162" s="294">
        <v>34</v>
      </c>
      <c r="R162">
        <v>135</v>
      </c>
      <c r="S162" s="174">
        <f ca="1">AO162</f>
        <v>435</v>
      </c>
      <c r="T162" s="174" t="str">
        <f t="shared" ref="T162:AA165" ca="1" si="74">IF(AND($K$4,ISNUMBER(H$144)),ROUND(G$144*S162,0),"")</f>
        <v/>
      </c>
      <c r="U162" s="174" t="str">
        <f t="shared" ca="1" si="74"/>
        <v/>
      </c>
      <c r="V162" s="174" t="str">
        <f t="shared" ca="1" si="74"/>
        <v/>
      </c>
      <c r="W162" s="174" t="str">
        <f t="shared" ca="1" si="74"/>
        <v/>
      </c>
      <c r="X162" s="174" t="str">
        <f t="shared" ca="1" si="74"/>
        <v/>
      </c>
      <c r="Y162" s="174" t="str">
        <f t="shared" ca="1" si="74"/>
        <v/>
      </c>
      <c r="Z162" s="174" t="str">
        <f t="shared" ca="1" si="74"/>
        <v/>
      </c>
      <c r="AA162" s="174" t="str">
        <f t="shared" si="74"/>
        <v/>
      </c>
      <c r="AB162" s="174"/>
      <c r="AN162" s="121"/>
      <c r="AO162" s="121">
        <f t="shared" ca="1" si="68"/>
        <v>435</v>
      </c>
      <c r="AP162" s="121" t="b">
        <f t="shared" si="69"/>
        <v>1</v>
      </c>
      <c r="AQ162" s="272">
        <f ca="1">+AVERAGEIFS(TABELA_VAZAO[qinc],TABELA_VAZAO[Posto],$Q162,TABELA_VAZAO[Data],AQ$27)</f>
        <v>484</v>
      </c>
      <c r="AR162" s="272">
        <f ca="1">+AVERAGEIFS(TABELA_VAZAO[qinc],TABELA_VAZAO[Posto],$Q162,TABELA_VAZAO[Data],AR$27)</f>
        <v>472</v>
      </c>
      <c r="AS162" s="272">
        <f ca="1">+AVERAGEIFS(TABELA_VAZAO[qinc],TABELA_VAZAO[Posto],$Q162,TABELA_VAZAO[Data],AS$27)</f>
        <v>459</v>
      </c>
      <c r="AT162" s="272">
        <f ca="1">+AVERAGEIFS(TABELA_VAZAO[qinc],TABELA_VAZAO[Posto],$Q162,TABELA_VAZAO[Data],AT$27)</f>
        <v>447</v>
      </c>
      <c r="AU162" s="121">
        <f ca="1">+AVERAGEIFS(TABELA_VAZAO[qinc],TABELA_VAZAO[Posto],$Q162,TABELA_VAZAO[Data],AU$27)</f>
        <v>439</v>
      </c>
      <c r="AV162" s="121">
        <f ca="1">IFERROR(AVERAGEIFS(TABELA_VAZAO[qinc],TABELA_VAZAO[Posto],$Q162,TABELA_VAZAO[Data],AV$27),AU162+$BB162*EXP(AV$26))</f>
        <v>436</v>
      </c>
      <c r="AW162" s="121">
        <f ca="1">IFERROR(AVERAGEIFS(TABELA_VAZAO[qinc],TABELA_VAZAO[Posto],$Q162,TABELA_VAZAO[Data],AW$27),AV162+$BB162*EXP(AW$26))</f>
        <v>438</v>
      </c>
      <c r="AX162" s="121">
        <f ca="1">IFERROR(AVERAGEIFS(TABELA_VAZAO[qinc],TABELA_VAZAO[Posto],$Q162,TABELA_VAZAO[Data],AX$27),AW162+$BB162*EXP(AX$26))</f>
        <v>435.14285714285717</v>
      </c>
      <c r="AY162" s="121">
        <f ca="1">IFERROR(AVERAGEIFS(TABELA_VAZAO[qinc],TABELA_VAZAO[Posto],$Q162,TABELA_VAZAO[Data],AY$27),AX162+$BB162*EXP(AY$26))</f>
        <v>433.22765701132676</v>
      </c>
      <c r="AZ162" s="204">
        <f ca="1">IFERROR(AVERAGEIFS(TABELA_VAZAO[qinc],TABELA_VAZAO[Posto],$Q162,TABELA_VAZAO[Data],AZ$27),AY162+$BB162*EXP(AZ$26))</f>
        <v>431.94385997099181</v>
      </c>
      <c r="BA162" s="204">
        <f ca="1">IFERROR(AVERAGEIFS(TABELA_VAZAO[qinc],TABELA_VAZAO[Posto],$Q162,TABELA_VAZAO[Data],BA$27),AZ162+$BB162*EXP(BA$26))</f>
        <v>431.08330507981407</v>
      </c>
      <c r="BB162" s="121">
        <f t="shared" ca="1" si="70"/>
        <v>-2.8571428571428572</v>
      </c>
      <c r="BC162" s="272">
        <f t="shared" ca="1" si="72"/>
        <v>-12</v>
      </c>
      <c r="BD162" s="272">
        <f t="shared" ca="1" si="71"/>
        <v>-8</v>
      </c>
      <c r="BE162" s="272">
        <f t="shared" ca="1" si="71"/>
        <v>-3</v>
      </c>
      <c r="BF162" s="272">
        <f t="shared" ca="1" si="71"/>
        <v>2</v>
      </c>
      <c r="BG162"/>
    </row>
    <row r="163" spans="1:59" x14ac:dyDescent="0.2">
      <c r="A163" s="229"/>
      <c r="B163" s="229"/>
      <c r="C163" s="229"/>
      <c r="D163" s="229"/>
      <c r="E163" s="229"/>
      <c r="F163" s="229"/>
      <c r="G163" s="229"/>
      <c r="H163" s="229"/>
      <c r="I163" s="229"/>
      <c r="J163" s="229"/>
      <c r="K163" s="229"/>
      <c r="Q163" s="294">
        <v>245</v>
      </c>
      <c r="R163">
        <v>136</v>
      </c>
      <c r="S163" s="174">
        <f ca="1">AO163</f>
        <v>565</v>
      </c>
      <c r="T163" s="174" t="str">
        <f t="shared" ca="1" si="74"/>
        <v/>
      </c>
      <c r="U163" s="174" t="str">
        <f t="shared" ca="1" si="74"/>
        <v/>
      </c>
      <c r="V163" s="174" t="str">
        <f t="shared" ca="1" si="74"/>
        <v/>
      </c>
      <c r="W163" s="174" t="str">
        <f t="shared" ca="1" si="74"/>
        <v/>
      </c>
      <c r="X163" s="174" t="str">
        <f t="shared" ca="1" si="74"/>
        <v/>
      </c>
      <c r="Y163" s="174" t="str">
        <f t="shared" ca="1" si="74"/>
        <v/>
      </c>
      <c r="Z163" s="174" t="str">
        <f t="shared" ca="1" si="74"/>
        <v/>
      </c>
      <c r="AA163" s="174" t="str">
        <f t="shared" si="74"/>
        <v/>
      </c>
      <c r="AB163" s="174"/>
      <c r="AN163" s="121"/>
      <c r="AO163" s="121">
        <f t="shared" ca="1" si="68"/>
        <v>565</v>
      </c>
      <c r="AP163" s="121" t="b">
        <f t="shared" si="69"/>
        <v>1</v>
      </c>
      <c r="AQ163" s="272">
        <f ca="1">+AVERAGEIFS(TABELA_VAZAO[qinc],TABELA_VAZAO[Posto],$Q163,TABELA_VAZAO[Data],AQ$27)</f>
        <v>425</v>
      </c>
      <c r="AR163" s="272">
        <f ca="1">+AVERAGEIFS(TABELA_VAZAO[qinc],TABELA_VAZAO[Posto],$Q163,TABELA_VAZAO[Data],AR$27)</f>
        <v>425</v>
      </c>
      <c r="AS163" s="272">
        <f ca="1">+AVERAGEIFS(TABELA_VAZAO[qinc],TABELA_VAZAO[Posto],$Q163,TABELA_VAZAO[Data],AS$27)</f>
        <v>432</v>
      </c>
      <c r="AT163" s="272">
        <f ca="1">+AVERAGEIFS(TABELA_VAZAO[qinc],TABELA_VAZAO[Posto],$Q163,TABELA_VAZAO[Data],AT$27)</f>
        <v>456</v>
      </c>
      <c r="AU163" s="121">
        <f ca="1">+AVERAGEIFS(TABELA_VAZAO[qinc],TABELA_VAZAO[Posto],$Q163,TABELA_VAZAO[Data],AU$27)</f>
        <v>547</v>
      </c>
      <c r="AV163" s="272">
        <f ca="1">IFERROR(AVERAGEIFS(TABELA_VAZAO[qinc],TABELA_VAZAO[Posto],$Q163,TABELA_VAZAO[Data],AV$27),AU163+$BB163*EXP(AV$26))</f>
        <v>550</v>
      </c>
      <c r="AW163" s="272">
        <f ca="1">IFERROR(AVERAGEIFS(TABELA_VAZAO[qinc],TABELA_VAZAO[Posto],$Q163,TABELA_VAZAO[Data],AW$27),AV163+$BB163*EXP(AW$26))</f>
        <v>547</v>
      </c>
      <c r="AX163" s="272">
        <f ca="1">IFERROR(AVERAGEIFS(TABELA_VAZAO[qinc],TABELA_VAZAO[Posto],$Q163,TABELA_VAZAO[Data],AX$27),AW163+$BB163*EXP(AX$26))</f>
        <v>563</v>
      </c>
      <c r="AY163" s="272">
        <f ca="1">IFERROR(AVERAGEIFS(TABELA_VAZAO[qinc],TABELA_VAZAO[Posto],$Q163,TABELA_VAZAO[Data],AY$27),AX163+$BB163*EXP(AY$26))</f>
        <v>573.72512073657026</v>
      </c>
      <c r="AZ163" s="204">
        <f ca="1">IFERROR(AVERAGEIFS(TABELA_VAZAO[qinc],TABELA_VAZAO[Posto],$Q163,TABELA_VAZAO[Data],AZ$27),AY163+$BB163*EXP(AZ$26))</f>
        <v>580.9143841624458</v>
      </c>
      <c r="BA163" s="204">
        <f ca="1">IFERROR(AVERAGEIFS(TABELA_VAZAO[qinc],TABELA_VAZAO[Posto],$Q163,TABELA_VAZAO[Data],BA$27),AZ163+$BB163*EXP(BA$26))</f>
        <v>585.73349155304106</v>
      </c>
      <c r="BB163" s="121">
        <f t="shared" ca="1" si="70"/>
        <v>16</v>
      </c>
      <c r="BC163" s="272">
        <f t="shared" ca="1" si="72"/>
        <v>24</v>
      </c>
      <c r="BD163" s="272">
        <f t="shared" ca="1" si="71"/>
        <v>91</v>
      </c>
      <c r="BE163" s="272">
        <f t="shared" ca="1" si="71"/>
        <v>3</v>
      </c>
      <c r="BF163" s="272">
        <f t="shared" ca="1" si="71"/>
        <v>-3</v>
      </c>
      <c r="BG163"/>
    </row>
    <row r="164" spans="1:59" x14ac:dyDescent="0.2">
      <c r="A164" s="229"/>
      <c r="B164" s="229"/>
      <c r="C164" s="229"/>
      <c r="D164" s="229"/>
      <c r="E164" s="229"/>
      <c r="F164" s="229"/>
      <c r="G164" s="229"/>
      <c r="H164" s="229"/>
      <c r="I164" s="229"/>
      <c r="J164" s="229"/>
      <c r="K164" s="229"/>
      <c r="Q164" s="294">
        <v>246</v>
      </c>
      <c r="R164">
        <v>137</v>
      </c>
      <c r="S164" s="174">
        <f ca="1">AO164</f>
        <v>874</v>
      </c>
      <c r="T164" s="174" t="str">
        <f t="shared" ca="1" si="74"/>
        <v/>
      </c>
      <c r="U164" s="174" t="str">
        <f t="shared" ca="1" si="74"/>
        <v/>
      </c>
      <c r="V164" s="174" t="str">
        <f t="shared" ca="1" si="74"/>
        <v/>
      </c>
      <c r="W164" s="174" t="str">
        <f t="shared" ca="1" si="74"/>
        <v/>
      </c>
      <c r="X164" s="174" t="str">
        <f t="shared" ca="1" si="74"/>
        <v/>
      </c>
      <c r="Y164" s="174" t="str">
        <f t="shared" ca="1" si="74"/>
        <v/>
      </c>
      <c r="Z164" s="174" t="str">
        <f t="shared" ca="1" si="74"/>
        <v/>
      </c>
      <c r="AA164" s="174" t="str">
        <f t="shared" si="74"/>
        <v/>
      </c>
      <c r="AB164" s="174"/>
      <c r="AN164" s="121"/>
      <c r="AO164" s="121">
        <f t="shared" ca="1" si="68"/>
        <v>874</v>
      </c>
      <c r="AP164" s="121" t="b">
        <f t="shared" si="69"/>
        <v>1</v>
      </c>
      <c r="AQ164" s="272">
        <f ca="1">+AVERAGEIFS(TABELA_VAZAO[qinc],TABELA_VAZAO[Posto],$Q164,TABELA_VAZAO[Data],AQ$27)</f>
        <v>817</v>
      </c>
      <c r="AR164" s="272">
        <f ca="1">+AVERAGEIFS(TABELA_VAZAO[qinc],TABELA_VAZAO[Posto],$Q164,TABELA_VAZAO[Data],AR$27)</f>
        <v>815</v>
      </c>
      <c r="AS164" s="272">
        <f ca="1">+AVERAGEIFS(TABELA_VAZAO[qinc],TABELA_VAZAO[Posto],$Q164,TABELA_VAZAO[Data],AS$27)</f>
        <v>776</v>
      </c>
      <c r="AT164" s="272">
        <f ca="1">+AVERAGEIFS(TABELA_VAZAO[qinc],TABELA_VAZAO[Posto],$Q164,TABELA_VAZAO[Data],AT$27)</f>
        <v>768</v>
      </c>
      <c r="AU164" s="121">
        <f ca="1">+AVERAGEIFS(TABELA_VAZAO[qinc],TABELA_VAZAO[Posto],$Q164,TABELA_VAZAO[Data],AU$27)</f>
        <v>756</v>
      </c>
      <c r="AV164" s="272">
        <f ca="1">IFERROR(AVERAGEIFS(TABELA_VAZAO[qinc],TABELA_VAZAO[Posto],$Q164,TABELA_VAZAO[Data],AV$27),AU164+$BB164*EXP(AV$26))</f>
        <v>765</v>
      </c>
      <c r="AW164" s="272">
        <f ca="1">IFERROR(AVERAGEIFS(TABELA_VAZAO[qinc],TABELA_VAZAO[Posto],$Q164,TABELA_VAZAO[Data],AW$27),AV164+$BB164*EXP(AW$26))</f>
        <v>853</v>
      </c>
      <c r="AX164" s="272">
        <f ca="1">IFERROR(AVERAGEIFS(TABELA_VAZAO[qinc],TABELA_VAZAO[Posto],$Q164,TABELA_VAZAO[Data],AX$27),AW164+$BB164*EXP(AX$26))</f>
        <v>890.42857142857144</v>
      </c>
      <c r="AY164" s="272">
        <f ca="1">IFERROR(AVERAGEIFS(TABELA_VAZAO[qinc],TABELA_VAZAO[Posto],$Q164,TABELA_VAZAO[Data],AY$27),AX164+$BB164*EXP(AY$26))</f>
        <v>915.51769315161971</v>
      </c>
      <c r="AZ164" s="204">
        <f ca="1">IFERROR(AVERAGEIFS(TABELA_VAZAO[qinc],TABELA_VAZAO[Posto],$Q164,TABELA_VAZAO[Data],AZ$27),AY164+$BB164*EXP(AZ$26))</f>
        <v>932.3354343800072</v>
      </c>
      <c r="BA164" s="204">
        <f ca="1">IFERROR(AVERAGEIFS(TABELA_VAZAO[qinc],TABELA_VAZAO[Posto],$Q164,TABELA_VAZAO[Data],BA$27),AZ164+$BB164*EXP(BA$26))</f>
        <v>943.60870345443539</v>
      </c>
      <c r="BB164" s="121">
        <f t="shared" ca="1" si="70"/>
        <v>37.428571428571431</v>
      </c>
      <c r="BC164" s="272">
        <f t="shared" ca="1" si="72"/>
        <v>-8</v>
      </c>
      <c r="BD164" s="272">
        <f t="shared" ca="1" si="71"/>
        <v>-12</v>
      </c>
      <c r="BE164" s="272">
        <f t="shared" ca="1" si="71"/>
        <v>9</v>
      </c>
      <c r="BF164" s="272">
        <f t="shared" ca="1" si="71"/>
        <v>88</v>
      </c>
      <c r="BG164"/>
    </row>
    <row r="165" spans="1:59" x14ac:dyDescent="0.2">
      <c r="A165" s="229"/>
      <c r="B165" s="229"/>
      <c r="C165" s="229"/>
      <c r="D165" s="229"/>
      <c r="E165" s="229"/>
      <c r="F165" s="229"/>
      <c r="G165" s="229"/>
      <c r="H165" s="229"/>
      <c r="I165" s="229"/>
      <c r="J165" s="229"/>
      <c r="K165" s="229"/>
      <c r="Q165" s="289">
        <v>243</v>
      </c>
      <c r="R165">
        <v>138</v>
      </c>
      <c r="S165" s="174">
        <f ca="1">AO165</f>
        <v>28</v>
      </c>
      <c r="T165" s="174" t="str">
        <f t="shared" ca="1" si="74"/>
        <v/>
      </c>
      <c r="U165" s="174" t="str">
        <f t="shared" ca="1" si="74"/>
        <v/>
      </c>
      <c r="V165" s="174" t="str">
        <f t="shared" ca="1" si="74"/>
        <v/>
      </c>
      <c r="W165" s="174" t="str">
        <f t="shared" ca="1" si="74"/>
        <v/>
      </c>
      <c r="X165" s="174" t="str">
        <f t="shared" ca="1" si="74"/>
        <v/>
      </c>
      <c r="Y165" s="174" t="str">
        <f t="shared" ca="1" si="74"/>
        <v/>
      </c>
      <c r="Z165" s="174" t="str">
        <f t="shared" ca="1" si="74"/>
        <v/>
      </c>
      <c r="AA165" s="174" t="str">
        <f t="shared" si="74"/>
        <v/>
      </c>
      <c r="AB165" s="174"/>
      <c r="AN165" s="121"/>
      <c r="AO165" s="121">
        <f t="shared" ca="1" si="68"/>
        <v>28</v>
      </c>
      <c r="AP165" s="121" t="b">
        <f t="shared" si="69"/>
        <v>1</v>
      </c>
      <c r="AU165" s="121"/>
      <c r="AV165" s="121"/>
      <c r="AW165" s="159"/>
      <c r="AX165" s="159"/>
      <c r="AY165" s="159"/>
      <c r="AZ165" s="157"/>
      <c r="BA165" s="157"/>
      <c r="BB165" s="121">
        <f t="shared" ca="1" si="70"/>
        <v>0</v>
      </c>
      <c r="BC165" s="272">
        <f t="shared" ca="1" si="72"/>
        <v>0</v>
      </c>
      <c r="BD165" s="272">
        <f t="shared" ca="1" si="71"/>
        <v>0</v>
      </c>
      <c r="BE165" s="272">
        <f t="shared" ca="1" si="71"/>
        <v>0</v>
      </c>
      <c r="BF165" s="272">
        <f t="shared" ca="1" si="71"/>
        <v>0</v>
      </c>
      <c r="BG165"/>
    </row>
    <row r="166" spans="1:59" x14ac:dyDescent="0.2">
      <c r="A166" s="229"/>
      <c r="B166" s="229"/>
      <c r="C166" s="229"/>
      <c r="D166" s="229"/>
      <c r="E166" s="229"/>
      <c r="F166" s="229"/>
      <c r="G166" s="229"/>
      <c r="H166" s="229"/>
      <c r="I166" s="229"/>
      <c r="J166" s="229"/>
      <c r="K166" s="229"/>
      <c r="R166">
        <v>139</v>
      </c>
      <c r="S166" s="40"/>
      <c r="T166" s="40"/>
      <c r="U166" s="131"/>
      <c r="V166" s="131"/>
      <c r="W166" s="131"/>
      <c r="X166" s="131"/>
      <c r="Y166" s="131"/>
      <c r="Z166" s="131"/>
      <c r="AA166" s="131"/>
      <c r="AB166" s="131"/>
      <c r="AN166" s="121"/>
      <c r="AO166" s="121" t="e">
        <f t="shared" si="68"/>
        <v>#DIV/0!</v>
      </c>
      <c r="AP166" s="121" t="b">
        <f t="shared" si="69"/>
        <v>0</v>
      </c>
      <c r="AU166" s="121"/>
      <c r="AV166" s="121"/>
      <c r="AW166" s="159"/>
      <c r="AX166" s="159"/>
      <c r="AY166" s="159"/>
      <c r="AZ166" s="157"/>
      <c r="BA166" s="157"/>
      <c r="BB166" s="121">
        <f t="shared" ca="1" si="70"/>
        <v>0</v>
      </c>
      <c r="BC166" s="272">
        <f t="shared" ca="1" si="72"/>
        <v>0</v>
      </c>
      <c r="BD166" s="272">
        <f t="shared" ca="1" si="71"/>
        <v>0</v>
      </c>
      <c r="BE166" s="272">
        <f t="shared" ca="1" si="71"/>
        <v>0</v>
      </c>
      <c r="BF166" s="272">
        <f t="shared" ca="1" si="71"/>
        <v>0</v>
      </c>
      <c r="BG166"/>
    </row>
    <row r="167" spans="1:59" x14ac:dyDescent="0.2">
      <c r="A167" s="229"/>
      <c r="B167" s="229"/>
      <c r="C167" s="229"/>
      <c r="D167" s="229"/>
      <c r="E167" s="229"/>
      <c r="F167" s="229"/>
      <c r="G167" s="229"/>
      <c r="H167" s="229"/>
      <c r="I167" s="229"/>
      <c r="J167" s="229"/>
      <c r="K167" s="229"/>
      <c r="R167">
        <v>140</v>
      </c>
      <c r="S167" s="40"/>
      <c r="T167" s="40"/>
      <c r="U167" s="131"/>
      <c r="V167" s="131"/>
      <c r="W167" s="131"/>
      <c r="X167" s="131"/>
      <c r="Y167" s="131"/>
      <c r="Z167" s="131"/>
      <c r="AA167" s="131"/>
      <c r="AB167" s="131"/>
      <c r="AN167" s="121"/>
      <c r="AO167" s="121" t="e">
        <f t="shared" si="68"/>
        <v>#DIV/0!</v>
      </c>
      <c r="AP167" s="121" t="b">
        <f t="shared" si="69"/>
        <v>0</v>
      </c>
      <c r="AU167" s="121"/>
      <c r="AV167" s="121"/>
      <c r="AW167" s="159"/>
      <c r="AX167" s="159"/>
      <c r="AY167" s="159"/>
      <c r="AZ167" s="157"/>
      <c r="BA167" s="157"/>
      <c r="BB167" s="121">
        <f t="shared" ca="1" si="70"/>
        <v>0</v>
      </c>
      <c r="BC167" s="272">
        <f t="shared" ca="1" si="72"/>
        <v>0</v>
      </c>
      <c r="BD167" s="272">
        <f t="shared" ca="1" si="71"/>
        <v>0</v>
      </c>
      <c r="BE167" s="272">
        <f t="shared" ca="1" si="71"/>
        <v>0</v>
      </c>
      <c r="BF167" s="272">
        <f t="shared" ca="1" si="71"/>
        <v>0</v>
      </c>
      <c r="BG167"/>
    </row>
    <row r="168" spans="1:59" x14ac:dyDescent="0.2">
      <c r="R168">
        <v>141</v>
      </c>
      <c r="S168" s="40">
        <f ca="1">AO168</f>
        <v>472</v>
      </c>
      <c r="T168" s="131" t="str">
        <f t="shared" ref="T168:AA168" ca="1" si="75">IF(AND($K$4,ISNUMBER(H$143)),ROUND(G$143*S168,0),"")</f>
        <v/>
      </c>
      <c r="U168" s="131" t="str">
        <f t="shared" ca="1" si="75"/>
        <v/>
      </c>
      <c r="V168" s="131" t="str">
        <f t="shared" ca="1" si="75"/>
        <v/>
      </c>
      <c r="W168" s="131" t="str">
        <f t="shared" ca="1" si="75"/>
        <v/>
      </c>
      <c r="X168" s="131" t="str">
        <f t="shared" ca="1" si="75"/>
        <v/>
      </c>
      <c r="Y168" s="131" t="str">
        <f t="shared" ca="1" si="75"/>
        <v/>
      </c>
      <c r="Z168" s="131" t="str">
        <f t="shared" ca="1" si="75"/>
        <v/>
      </c>
      <c r="AA168" s="131" t="str">
        <f t="shared" si="75"/>
        <v/>
      </c>
      <c r="AB168" s="131"/>
      <c r="AN168" s="121"/>
      <c r="AO168" s="121">
        <f t="shared" ca="1" si="68"/>
        <v>472</v>
      </c>
      <c r="AP168" s="121" t="b">
        <f t="shared" si="69"/>
        <v>0</v>
      </c>
      <c r="AQ168" s="272">
        <f ca="1">+AVERAGEIFS(TABELA_VAZAO[qnat],TABELA_VAZAO[Posto],$R168,TABELA_VAZAO[Data],AQ$27)</f>
        <v>211</v>
      </c>
      <c r="AR168" s="272">
        <f ca="1">+AVERAGEIFS(TABELA_VAZAO[qnat],TABELA_VAZAO[Posto],$R168,TABELA_VAZAO[Data],AR$27)</f>
        <v>211</v>
      </c>
      <c r="AS168" s="272">
        <f ca="1">+AVERAGEIFS(TABELA_VAZAO[qnat],TABELA_VAZAO[Posto],$R168,TABELA_VAZAO[Data],AS$27)</f>
        <v>221</v>
      </c>
      <c r="AT168" s="272">
        <f ca="1">+AVERAGEIFS(TABELA_VAZAO[qnat],TABELA_VAZAO[Posto],$R168,TABELA_VAZAO[Data],AT$27)</f>
        <v>254</v>
      </c>
      <c r="AU168" s="121">
        <f ca="1">+AVERAGEIFS(TABELA_VAZAO[qnat],TABELA_VAZAO[Posto],$R168,TABELA_VAZAO[Data],AU$27)</f>
        <v>283</v>
      </c>
      <c r="AV168" s="272">
        <f ca="1">IFERROR(AVERAGEIFS(TABELA_VAZAO[qnat],TABELA_VAZAO[Posto],$R168,TABELA_VAZAO[Data],AV$27),AU168+$BB168*EXP(AV$26))</f>
        <v>333</v>
      </c>
      <c r="AW168" s="159">
        <f ca="1">IFERROR(AVERAGEIFS(TABELA_VAZAO[qnat],TABELA_VAZAO[Posto],$R168,TABELA_VAZAO[Data],AW$27),AV168+$BB168*EXP(AW$26))</f>
        <v>439</v>
      </c>
      <c r="AX168" s="325">
        <f ca="1">IFERROR(AVERAGEIFS(TABELA_VAZAO[qnat],TABELA_VAZAO[Posto],$R168,TABELA_VAZAO[Data],AX$27),AW168+$BB168*EXP(AX$26))</f>
        <v>507.57142857142856</v>
      </c>
      <c r="AY168" s="325">
        <f ca="1">IFERROR(AVERAGEIFS(TABELA_VAZAO[qnat],TABELA_VAZAO[Posto],$R168,TABELA_VAZAO[Data],AY$27),AX168+$BB168*EXP(AY$26))</f>
        <v>553.5362317281581</v>
      </c>
      <c r="AZ168" s="326">
        <f ca="1">IFERROR(AVERAGEIFS(TABELA_VAZAO[qnat],TABELA_VAZAO[Posto],$R168,TABELA_VAZAO[Data],AZ$27),AY168+$BB168*EXP(AZ$26))</f>
        <v>584.34736069619612</v>
      </c>
      <c r="BA168" s="326">
        <f ca="1">IFERROR(AVERAGEIFS(TABELA_VAZAO[qnat],TABELA_VAZAO[Posto],$R168,TABELA_VAZAO[Data],BA$27),AZ168+$BB168*EXP(BA$26))</f>
        <v>605.00067808446136</v>
      </c>
      <c r="BB168" s="121">
        <f t="shared" ca="1" si="70"/>
        <v>68.571428571428569</v>
      </c>
      <c r="BC168" s="272">
        <f t="shared" ca="1" si="72"/>
        <v>33</v>
      </c>
      <c r="BD168" s="272">
        <f t="shared" ca="1" si="71"/>
        <v>29</v>
      </c>
      <c r="BE168" s="272">
        <f t="shared" ca="1" si="71"/>
        <v>50</v>
      </c>
      <c r="BF168" s="272">
        <f t="shared" ca="1" si="71"/>
        <v>106</v>
      </c>
      <c r="BG168"/>
    </row>
    <row r="169" spans="1:59" x14ac:dyDescent="0.2">
      <c r="R169">
        <v>142</v>
      </c>
      <c r="S169" s="40"/>
      <c r="T169" s="40"/>
      <c r="U169" s="131"/>
      <c r="V169" s="131"/>
      <c r="W169" s="131"/>
      <c r="X169" s="131"/>
      <c r="Y169" s="131"/>
      <c r="Z169" s="131"/>
      <c r="AA169" s="131"/>
      <c r="AB169" s="131"/>
      <c r="AN169" s="121"/>
      <c r="AO169" s="121" t="e">
        <f t="shared" si="68"/>
        <v>#DIV/0!</v>
      </c>
      <c r="AP169" s="121" t="b">
        <f t="shared" si="69"/>
        <v>0</v>
      </c>
      <c r="AU169" s="121"/>
      <c r="AV169" s="121"/>
      <c r="AW169" s="159"/>
      <c r="AX169" s="159"/>
      <c r="AY169" s="159"/>
      <c r="AZ169" s="157"/>
      <c r="BA169" s="157"/>
      <c r="BB169" s="121">
        <f t="shared" ca="1" si="70"/>
        <v>0</v>
      </c>
      <c r="BC169" s="272">
        <f t="shared" ca="1" si="72"/>
        <v>0</v>
      </c>
      <c r="BD169" s="272">
        <f t="shared" ca="1" si="71"/>
        <v>0</v>
      </c>
      <c r="BE169" s="272">
        <f t="shared" ca="1" si="71"/>
        <v>0</v>
      </c>
      <c r="BF169" s="272">
        <f t="shared" ca="1" si="71"/>
        <v>0</v>
      </c>
      <c r="BG169"/>
    </row>
    <row r="170" spans="1:59" x14ac:dyDescent="0.2">
      <c r="R170">
        <v>143</v>
      </c>
      <c r="S170" s="40"/>
      <c r="T170" s="40"/>
      <c r="U170" s="131"/>
      <c r="V170" s="131"/>
      <c r="W170" s="131"/>
      <c r="X170" s="131"/>
      <c r="Y170" s="131"/>
      <c r="Z170" s="131"/>
      <c r="AA170" s="131"/>
      <c r="AB170" s="131"/>
      <c r="AN170" s="121"/>
      <c r="AO170" s="121" t="e">
        <f t="shared" si="68"/>
        <v>#DIV/0!</v>
      </c>
      <c r="AP170" s="121" t="b">
        <f t="shared" si="69"/>
        <v>0</v>
      </c>
      <c r="AU170" s="121"/>
      <c r="AV170" s="121"/>
      <c r="AW170" s="159"/>
      <c r="AX170" s="159"/>
      <c r="AY170" s="159"/>
      <c r="AZ170" s="157"/>
      <c r="BA170" s="157"/>
      <c r="BB170" s="121">
        <f t="shared" ca="1" si="70"/>
        <v>0</v>
      </c>
      <c r="BC170" s="272">
        <f t="shared" ca="1" si="72"/>
        <v>0</v>
      </c>
      <c r="BD170" s="272">
        <f t="shared" ca="1" si="71"/>
        <v>0</v>
      </c>
      <c r="BE170" s="272">
        <f t="shared" ca="1" si="71"/>
        <v>0</v>
      </c>
      <c r="BF170" s="272">
        <f t="shared" ca="1" si="71"/>
        <v>0</v>
      </c>
      <c r="BG170"/>
    </row>
    <row r="171" spans="1:59" x14ac:dyDescent="0.2">
      <c r="R171">
        <v>144</v>
      </c>
      <c r="S171" s="40">
        <f ca="1">AO171</f>
        <v>702</v>
      </c>
      <c r="T171" s="131" t="str">
        <f t="shared" ref="T171:AA172" ca="1" si="76">IF(AND($K$4,ISNUMBER(H$143)),ROUND(G$143*S171,0),"")</f>
        <v/>
      </c>
      <c r="U171" s="131" t="str">
        <f t="shared" ca="1" si="76"/>
        <v/>
      </c>
      <c r="V171" s="131" t="str">
        <f t="shared" ca="1" si="76"/>
        <v/>
      </c>
      <c r="W171" s="131" t="str">
        <f t="shared" ca="1" si="76"/>
        <v/>
      </c>
      <c r="X171" s="131" t="str">
        <f t="shared" ca="1" si="76"/>
        <v/>
      </c>
      <c r="Y171" s="131" t="str">
        <f t="shared" ca="1" si="76"/>
        <v/>
      </c>
      <c r="Z171" s="131" t="str">
        <f t="shared" ca="1" si="76"/>
        <v/>
      </c>
      <c r="AA171" s="131" t="str">
        <f t="shared" si="76"/>
        <v/>
      </c>
      <c r="AB171" s="131"/>
      <c r="AN171" s="121"/>
      <c r="AO171" s="121">
        <f t="shared" ca="1" si="68"/>
        <v>702</v>
      </c>
      <c r="AP171" s="121" t="b">
        <f t="shared" si="69"/>
        <v>0</v>
      </c>
      <c r="AQ171" s="272">
        <f ca="1">+AVERAGEIFS(TABELA_VAZAO[qnat],TABELA_VAZAO[Posto],$R171,TABELA_VAZAO[Data],AQ$27)</f>
        <v>406</v>
      </c>
      <c r="AR171" s="272">
        <f ca="1">+AVERAGEIFS(TABELA_VAZAO[qnat],TABELA_VAZAO[Posto],$R171,TABELA_VAZAO[Data],AR$27)</f>
        <v>395</v>
      </c>
      <c r="AS171" s="272">
        <f ca="1">+AVERAGEIFS(TABELA_VAZAO[qnat],TABELA_VAZAO[Posto],$R171,TABELA_VAZAO[Data],AS$27)</f>
        <v>408</v>
      </c>
      <c r="AT171" s="272">
        <f ca="1">+AVERAGEIFS(TABELA_VAZAO[qnat],TABELA_VAZAO[Posto],$R171,TABELA_VAZAO[Data],AT$27)</f>
        <v>432</v>
      </c>
      <c r="AU171" s="121">
        <f ca="1">+AVERAGEIFS(TABELA_VAZAO[qnat],TABELA_VAZAO[Posto],$R171,TABELA_VAZAO[Data],AU$27)</f>
        <v>456</v>
      </c>
      <c r="AV171" s="272">
        <f ca="1">IFERROR(AVERAGEIFS(TABELA_VAZAO[qnat],TABELA_VAZAO[Posto],$R171,TABELA_VAZAO[Data],AV$27),AU171+$BB171*EXP(AV$26))</f>
        <v>479</v>
      </c>
      <c r="AW171" s="159">
        <f ca="1">IFERROR(AVERAGEIFS(TABELA_VAZAO[qnat],TABELA_VAZAO[Posto],$R171,TABELA_VAZAO[Data],AW$27),AV171+$BB171*EXP(AW$26))</f>
        <v>663</v>
      </c>
      <c r="AX171" s="325">
        <f ca="1">IFERROR(AVERAGEIFS(TABELA_VAZAO[qnat],TABELA_VAZAO[Posto],$R171,TABELA_VAZAO[Data],AX$27),AW171+$BB171*EXP(AX$26))</f>
        <v>755.28571428571433</v>
      </c>
      <c r="AY171" s="325">
        <f ca="1">IFERROR(AVERAGEIFS(TABELA_VAZAO[qnat],TABELA_VAZAO[Posto],$R171,TABELA_VAZAO[Data],AY$27),AX171+$BB171*EXP(AY$26))</f>
        <v>817.14667853414619</v>
      </c>
      <c r="AZ171" s="326">
        <f ca="1">IFERROR(AVERAGEIFS(TABELA_VAZAO[qnat],TABELA_VAZAO[Posto],$R171,TABELA_VAZAO[Data],AZ$27),AY171+$BB171*EXP(AZ$26))</f>
        <v>858.6133229369641</v>
      </c>
      <c r="BA171" s="326">
        <f ca="1">IFERROR(AVERAGEIFS(TABELA_VAZAO[qnat],TABELA_VAZAO[Posto],$R171,TABELA_VAZAO[Data],BA$27),AZ171+$BB171*EXP(BA$26))</f>
        <v>886.4092459220044</v>
      </c>
      <c r="BB171" s="121">
        <f t="shared" ca="1" si="70"/>
        <v>92.285714285714292</v>
      </c>
      <c r="BC171" s="272">
        <f t="shared" ca="1" si="72"/>
        <v>24</v>
      </c>
      <c r="BD171" s="272">
        <f t="shared" ca="1" si="71"/>
        <v>24</v>
      </c>
      <c r="BE171" s="272">
        <f t="shared" ca="1" si="71"/>
        <v>23</v>
      </c>
      <c r="BF171" s="272">
        <f t="shared" ca="1" si="71"/>
        <v>184</v>
      </c>
      <c r="BG171"/>
    </row>
    <row r="172" spans="1:59" x14ac:dyDescent="0.2">
      <c r="R172">
        <v>145</v>
      </c>
      <c r="S172" s="40">
        <f ca="1">AO172</f>
        <v>131</v>
      </c>
      <c r="T172" s="131" t="str">
        <f t="shared" ca="1" si="76"/>
        <v/>
      </c>
      <c r="U172" s="131" t="str">
        <f t="shared" ca="1" si="76"/>
        <v/>
      </c>
      <c r="V172" s="131" t="str">
        <f t="shared" ca="1" si="76"/>
        <v/>
      </c>
      <c r="W172" s="131" t="str">
        <f t="shared" ca="1" si="76"/>
        <v/>
      </c>
      <c r="X172" s="131" t="str">
        <f t="shared" ca="1" si="76"/>
        <v/>
      </c>
      <c r="Y172" s="131" t="str">
        <f t="shared" ca="1" si="76"/>
        <v/>
      </c>
      <c r="Z172" s="131" t="str">
        <f t="shared" ca="1" si="76"/>
        <v/>
      </c>
      <c r="AA172" s="131" t="str">
        <f t="shared" si="76"/>
        <v/>
      </c>
      <c r="AB172" s="131"/>
      <c r="AN172" s="121"/>
      <c r="AO172" s="121">
        <f t="shared" ca="1" si="68"/>
        <v>131</v>
      </c>
      <c r="AP172" s="121" t="b">
        <f t="shared" si="69"/>
        <v>0</v>
      </c>
      <c r="AQ172" s="272">
        <f ca="1">+AVERAGEIFS(TABELA_VAZAO[qnat],TABELA_VAZAO[Posto],$R172,TABELA_VAZAO[Data],AQ$27)</f>
        <v>194</v>
      </c>
      <c r="AR172" s="272">
        <f ca="1">+AVERAGEIFS(TABELA_VAZAO[qnat],TABELA_VAZAO[Posto],$R172,TABELA_VAZAO[Data],AR$27)</f>
        <v>212</v>
      </c>
      <c r="AS172" s="272">
        <f ca="1">+AVERAGEIFS(TABELA_VAZAO[qnat],TABELA_VAZAO[Posto],$R172,TABELA_VAZAO[Data],AS$27)</f>
        <v>222</v>
      </c>
      <c r="AT172" s="272">
        <f ca="1">+AVERAGEIFS(TABELA_VAZAO[qnat],TABELA_VAZAO[Posto],$R172,TABELA_VAZAO[Data],AT$27)</f>
        <v>201</v>
      </c>
      <c r="AU172" s="121">
        <f ca="1">+AVERAGEIFS(TABELA_VAZAO[qnat],TABELA_VAZAO[Posto],$R172,TABELA_VAZAO[Data],AU$27)</f>
        <v>166</v>
      </c>
      <c r="AV172" s="272">
        <f ca="1">IFERROR(AVERAGEIFS(TABELA_VAZAO[qnat],TABELA_VAZAO[Posto],$R172,TABELA_VAZAO[Data],AV$27),AU172+$BB172*EXP(AV$26))</f>
        <v>154</v>
      </c>
      <c r="AW172" s="159">
        <f ca="1">IFERROR(AVERAGEIFS(TABELA_VAZAO[qnat],TABELA_VAZAO[Posto],$R172,TABELA_VAZAO[Data],AW$27),AV172+$BB172*EXP(AW$26))</f>
        <v>143</v>
      </c>
      <c r="AX172" s="325">
        <f ca="1">IFERROR(AVERAGEIFS(TABELA_VAZAO[qnat],TABELA_VAZAO[Posto],$R172,TABELA_VAZAO[Data],AX$27),AW172+$BB172*EXP(AX$26))</f>
        <v>126.85714285714286</v>
      </c>
      <c r="AY172" s="325">
        <f ca="1">IFERROR(AVERAGEIFS(TABELA_VAZAO[qnat],TABELA_VAZAO[Posto],$R172,TABELA_VAZAO[Data],AY$27),AX172+$BB172*EXP(AY$26))</f>
        <v>116.03626211399612</v>
      </c>
      <c r="AZ172" s="326">
        <f ca="1">IFERROR(AVERAGEIFS(TABELA_VAZAO[qnat],TABELA_VAZAO[Posto],$R172,TABELA_VAZAO[Data],AZ$27),AY172+$BB172*EXP(AZ$26))</f>
        <v>108.78280883610383</v>
      </c>
      <c r="BA172" s="326">
        <f ca="1">IFERROR(AVERAGEIFS(TABELA_VAZAO[qnat],TABELA_VAZAO[Posto],$R172,TABELA_VAZAO[Data],BA$27),AZ172+$BB172*EXP(BA$26))</f>
        <v>103.92067370094971</v>
      </c>
      <c r="BB172" s="121">
        <f t="shared" ca="1" si="70"/>
        <v>-16.142857142857142</v>
      </c>
      <c r="BC172" s="272">
        <f t="shared" ca="1" si="72"/>
        <v>-21</v>
      </c>
      <c r="BD172" s="272">
        <f t="shared" ca="1" si="71"/>
        <v>-35</v>
      </c>
      <c r="BE172" s="272">
        <f t="shared" ca="1" si="71"/>
        <v>-12</v>
      </c>
      <c r="BF172" s="272">
        <f t="shared" ca="1" si="71"/>
        <v>-11</v>
      </c>
      <c r="BG172"/>
    </row>
    <row r="173" spans="1:59" x14ac:dyDescent="0.2">
      <c r="R173">
        <v>146</v>
      </c>
      <c r="S173" s="40"/>
      <c r="T173" s="40"/>
      <c r="U173" s="131"/>
      <c r="V173" s="131"/>
      <c r="W173" s="131"/>
      <c r="X173" s="131"/>
      <c r="Y173" s="131"/>
      <c r="Z173" s="131"/>
      <c r="AA173" s="131"/>
      <c r="AB173" s="131"/>
      <c r="AN173" s="121"/>
      <c r="AO173" s="121" t="e">
        <f t="shared" si="68"/>
        <v>#DIV/0!</v>
      </c>
      <c r="AP173" s="121" t="b">
        <f t="shared" si="69"/>
        <v>0</v>
      </c>
      <c r="AU173" s="121"/>
      <c r="AV173" s="121"/>
      <c r="AW173" s="159"/>
      <c r="AX173" s="159"/>
      <c r="AY173" s="159"/>
      <c r="AZ173" s="157"/>
      <c r="BA173" s="157"/>
      <c r="BB173" s="121">
        <f t="shared" ca="1" si="70"/>
        <v>0</v>
      </c>
      <c r="BC173" s="272">
        <f t="shared" ca="1" si="72"/>
        <v>0</v>
      </c>
      <c r="BD173" s="272">
        <f t="shared" ca="1" si="71"/>
        <v>0</v>
      </c>
      <c r="BE173" s="272">
        <f t="shared" ca="1" si="71"/>
        <v>0</v>
      </c>
      <c r="BF173" s="272">
        <f t="shared" ca="1" si="71"/>
        <v>0</v>
      </c>
      <c r="BG173"/>
    </row>
    <row r="174" spans="1:59" x14ac:dyDescent="0.2">
      <c r="R174">
        <v>147</v>
      </c>
      <c r="S174" s="40"/>
      <c r="T174" s="40"/>
      <c r="U174" s="131"/>
      <c r="V174" s="131"/>
      <c r="W174" s="131"/>
      <c r="X174" s="131"/>
      <c r="Y174" s="131"/>
      <c r="Z174" s="131"/>
      <c r="AA174" s="131"/>
      <c r="AB174" s="131"/>
      <c r="AN174" s="121"/>
      <c r="AO174" s="121" t="e">
        <f t="shared" si="68"/>
        <v>#DIV/0!</v>
      </c>
      <c r="AP174" s="121" t="b">
        <f t="shared" si="69"/>
        <v>0</v>
      </c>
      <c r="AU174" s="121"/>
      <c r="AV174" s="121"/>
      <c r="AW174" s="159"/>
      <c r="AX174" s="159"/>
      <c r="AY174" s="159"/>
      <c r="AZ174" s="157"/>
      <c r="BA174" s="157"/>
      <c r="BB174" s="121">
        <f t="shared" ca="1" si="70"/>
        <v>0</v>
      </c>
      <c r="BC174" s="272">
        <f t="shared" ca="1" si="72"/>
        <v>0</v>
      </c>
      <c r="BD174" s="272">
        <f t="shared" ca="1" si="71"/>
        <v>0</v>
      </c>
      <c r="BE174" s="272">
        <f t="shared" ca="1" si="71"/>
        <v>0</v>
      </c>
      <c r="BF174" s="272">
        <f t="shared" ca="1" si="71"/>
        <v>0</v>
      </c>
      <c r="BG174"/>
    </row>
    <row r="175" spans="1:59" x14ac:dyDescent="0.2">
      <c r="R175">
        <v>148</v>
      </c>
      <c r="S175" s="40">
        <f ca="1">AO175</f>
        <v>609</v>
      </c>
      <c r="T175" s="131" t="str">
        <f t="shared" ref="T175:AA176" ca="1" si="77">IF(AND($K$4,ISNUMBER(H$143)),ROUND(G$143*S175,0),"")</f>
        <v/>
      </c>
      <c r="U175" s="131" t="str">
        <f t="shared" ca="1" si="77"/>
        <v/>
      </c>
      <c r="V175" s="131" t="str">
        <f t="shared" ca="1" si="77"/>
        <v/>
      </c>
      <c r="W175" s="131" t="str">
        <f t="shared" ca="1" si="77"/>
        <v/>
      </c>
      <c r="X175" s="131" t="str">
        <f t="shared" ca="1" si="77"/>
        <v/>
      </c>
      <c r="Y175" s="131" t="str">
        <f t="shared" ca="1" si="77"/>
        <v/>
      </c>
      <c r="Z175" s="131" t="str">
        <f t="shared" ca="1" si="77"/>
        <v/>
      </c>
      <c r="AA175" s="131" t="str">
        <f t="shared" si="77"/>
        <v/>
      </c>
      <c r="AB175" s="131"/>
      <c r="AN175" s="121"/>
      <c r="AO175" s="121">
        <f t="shared" ca="1" si="68"/>
        <v>609</v>
      </c>
      <c r="AP175" s="121" t="b">
        <f t="shared" si="69"/>
        <v>0</v>
      </c>
      <c r="AQ175" s="272">
        <f ca="1">+AVERAGEIFS(TABELA_VAZAO[qnat],TABELA_VAZAO[Posto],$R175,TABELA_VAZAO[Data],AQ$27)</f>
        <v>344</v>
      </c>
      <c r="AR175" s="272">
        <f ca="1">+AVERAGEIFS(TABELA_VAZAO[qnat],TABELA_VAZAO[Posto],$R175,TABELA_VAZAO[Data],AR$27)</f>
        <v>333</v>
      </c>
      <c r="AS175" s="272">
        <f ca="1">+AVERAGEIFS(TABELA_VAZAO[qnat],TABELA_VAZAO[Posto],$R175,TABELA_VAZAO[Data],AS$27)</f>
        <v>344</v>
      </c>
      <c r="AT175" s="272">
        <f ca="1">+AVERAGEIFS(TABELA_VAZAO[qnat],TABELA_VAZAO[Posto],$R175,TABELA_VAZAO[Data],AT$27)</f>
        <v>368</v>
      </c>
      <c r="AU175" s="121">
        <f ca="1">+AVERAGEIFS(TABELA_VAZAO[qnat],TABELA_VAZAO[Posto],$R175,TABELA_VAZAO[Data],AU$27)</f>
        <v>394</v>
      </c>
      <c r="AV175" s="272">
        <f ca="1">IFERROR(AVERAGEIFS(TABELA_VAZAO[qnat],TABELA_VAZAO[Posto],$R175,TABELA_VAZAO[Data],AV$27),AU175+$BB175*EXP(AV$26))</f>
        <v>422</v>
      </c>
      <c r="AW175" s="159">
        <f ca="1">IFERROR(AVERAGEIFS(TABELA_VAZAO[qnat],TABELA_VAZAO[Posto],$R175,TABELA_VAZAO[Data],AW$27),AV175+$BB175*EXP(AW$26))</f>
        <v>574</v>
      </c>
      <c r="AX175" s="325">
        <f ca="1">IFERROR(AVERAGEIFS(TABELA_VAZAO[qnat],TABELA_VAZAO[Posto],$R175,TABELA_VAZAO[Data],AX$27),AW175+$BB175*EXP(AX$26))</f>
        <v>654.28571428571433</v>
      </c>
      <c r="AY175" s="325">
        <f ca="1">IFERROR(AVERAGEIFS(TABELA_VAZAO[qnat],TABELA_VAZAO[Posto],$R175,TABELA_VAZAO[Data],AY$27),AX175+$BB175*EXP(AY$26))</f>
        <v>708.10283798171849</v>
      </c>
      <c r="AZ175" s="326">
        <f ca="1">IFERROR(AVERAGEIFS(TABELA_VAZAO[qnat],TABELA_VAZAO[Posto],$R175,TABELA_VAZAO[Data],AZ$27),AY175+$BB175*EXP(AZ$26))</f>
        <v>744.17753481512966</v>
      </c>
      <c r="BA175" s="326">
        <f ca="1">IFERROR(AVERAGEIFS(TABELA_VAZAO[qnat],TABELA_VAZAO[Posto],$R175,TABELA_VAZAO[Data],BA$27),AZ175+$BB175*EXP(BA$26))</f>
        <v>768.35912725722358</v>
      </c>
      <c r="BB175" s="121">
        <f t="shared" ca="1" si="70"/>
        <v>80.285714285714292</v>
      </c>
      <c r="BC175" s="272">
        <f t="shared" ca="1" si="72"/>
        <v>24</v>
      </c>
      <c r="BD175" s="272">
        <f t="shared" ca="1" si="71"/>
        <v>26</v>
      </c>
      <c r="BE175" s="272">
        <f t="shared" ca="1" si="71"/>
        <v>28</v>
      </c>
      <c r="BF175" s="272">
        <f t="shared" ca="1" si="71"/>
        <v>152</v>
      </c>
      <c r="BG175"/>
    </row>
    <row r="176" spans="1:59" x14ac:dyDescent="0.2">
      <c r="R176">
        <v>149</v>
      </c>
      <c r="S176" s="40">
        <f ca="1">AO176</f>
        <v>267</v>
      </c>
      <c r="T176" s="131" t="str">
        <f t="shared" ca="1" si="77"/>
        <v/>
      </c>
      <c r="U176" s="131" t="str">
        <f t="shared" ca="1" si="77"/>
        <v/>
      </c>
      <c r="V176" s="131" t="str">
        <f t="shared" ca="1" si="77"/>
        <v/>
      </c>
      <c r="W176" s="131" t="str">
        <f t="shared" ca="1" si="77"/>
        <v/>
      </c>
      <c r="X176" s="131" t="str">
        <f t="shared" ca="1" si="77"/>
        <v/>
      </c>
      <c r="Y176" s="131" t="str">
        <f t="shared" ca="1" si="77"/>
        <v/>
      </c>
      <c r="Z176" s="131" t="str">
        <f t="shared" ca="1" si="77"/>
        <v/>
      </c>
      <c r="AA176" s="131" t="str">
        <f t="shared" si="77"/>
        <v/>
      </c>
      <c r="AB176" s="131"/>
      <c r="AN176" s="121"/>
      <c r="AO176" s="121">
        <f t="shared" ca="1" si="68"/>
        <v>267</v>
      </c>
      <c r="AP176" s="121" t="b">
        <f t="shared" si="69"/>
        <v>0</v>
      </c>
      <c r="AQ176" s="272">
        <f ca="1">+AVERAGEIFS(TABELA_VAZAO[qnat],TABELA_VAZAO[Posto],$R176,TABELA_VAZAO[Data],AQ$27)</f>
        <v>51</v>
      </c>
      <c r="AR176" s="272">
        <f ca="1">+AVERAGEIFS(TABELA_VAZAO[qnat],TABELA_VAZAO[Posto],$R176,TABELA_VAZAO[Data],AR$27)</f>
        <v>54</v>
      </c>
      <c r="AS176" s="272">
        <f ca="1">+AVERAGEIFS(TABELA_VAZAO[qnat],TABELA_VAZAO[Posto],$R176,TABELA_VAZAO[Data],AS$27)</f>
        <v>74</v>
      </c>
      <c r="AT176" s="272">
        <f ca="1">+AVERAGEIFS(TABELA_VAZAO[qnat],TABELA_VAZAO[Posto],$R176,TABELA_VAZAO[Data],AT$27)</f>
        <v>95</v>
      </c>
      <c r="AU176" s="121">
        <f ca="1">+AVERAGEIFS(TABELA_VAZAO[qnat],TABELA_VAZAO[Posto],$R176,TABELA_VAZAO[Data],AU$27)</f>
        <v>121</v>
      </c>
      <c r="AV176" s="272">
        <f ca="1">IFERROR(AVERAGEIFS(TABELA_VAZAO[qnat],TABELA_VAZAO[Posto],$R176,TABELA_VAZAO[Data],AV$27),AU176+$BB176*EXP(AV$26))</f>
        <v>143</v>
      </c>
      <c r="AW176" s="159">
        <f ca="1">IFERROR(AVERAGEIFS(TABELA_VAZAO[qnat],TABELA_VAZAO[Posto],$R176,TABELA_VAZAO[Data],AW$27),AV176+$BB176*EXP(AW$26))</f>
        <v>241</v>
      </c>
      <c r="AX176" s="325">
        <f ca="1">IFERROR(AVERAGEIFS(TABELA_VAZAO[qnat],TABELA_VAZAO[Posto],$R176,TABELA_VAZAO[Data],AX$27),AW176+$BB176*EXP(AX$26))</f>
        <v>296</v>
      </c>
      <c r="AY176" s="325">
        <f ca="1">IFERROR(AVERAGEIFS(TABELA_VAZAO[qnat],TABELA_VAZAO[Posto],$R176,TABELA_VAZAO[Data],AY$27),AX176+$BB176*EXP(AY$26))</f>
        <v>332.86760253196019</v>
      </c>
      <c r="AZ176" s="326">
        <f ca="1">IFERROR(AVERAGEIFS(TABELA_VAZAO[qnat],TABELA_VAZAO[Posto],$R176,TABELA_VAZAO[Data],AZ$27),AY176+$BB176*EXP(AZ$26))</f>
        <v>357.5806955584074</v>
      </c>
      <c r="BA176" s="326">
        <f ca="1">IFERROR(AVERAGEIFS(TABELA_VAZAO[qnat],TABELA_VAZAO[Posto],$R176,TABELA_VAZAO[Data],BA$27),AZ176+$BB176*EXP(BA$26))</f>
        <v>374.14637721357849</v>
      </c>
      <c r="BB176" s="121">
        <f t="shared" ca="1" si="70"/>
        <v>55</v>
      </c>
      <c r="BC176" s="272">
        <f t="shared" ca="1" si="72"/>
        <v>21</v>
      </c>
      <c r="BD176" s="272">
        <f t="shared" ca="1" si="71"/>
        <v>26</v>
      </c>
      <c r="BE176" s="272">
        <f t="shared" ca="1" si="71"/>
        <v>22</v>
      </c>
      <c r="BF176" s="272">
        <f t="shared" ca="1" si="71"/>
        <v>98</v>
      </c>
      <c r="BG176"/>
    </row>
    <row r="177" spans="18:59" x14ac:dyDescent="0.2">
      <c r="R177">
        <v>150</v>
      </c>
      <c r="S177" s="40"/>
      <c r="T177" s="40"/>
      <c r="U177" s="131"/>
      <c r="V177" s="131"/>
      <c r="W177" s="131"/>
      <c r="X177" s="131"/>
      <c r="Y177" s="131"/>
      <c r="Z177" s="131"/>
      <c r="AA177" s="131"/>
      <c r="AB177" s="131"/>
      <c r="AN177" s="121"/>
      <c r="AO177" s="121" t="e">
        <f t="shared" si="68"/>
        <v>#DIV/0!</v>
      </c>
      <c r="AP177" s="121" t="b">
        <f t="shared" si="69"/>
        <v>0</v>
      </c>
      <c r="AU177" s="121"/>
      <c r="AV177" s="121"/>
      <c r="AW177" s="159"/>
      <c r="AX177" s="159"/>
      <c r="AY177" s="159"/>
      <c r="AZ177" s="157"/>
      <c r="BA177" s="157"/>
      <c r="BB177" s="121">
        <f t="shared" ca="1" si="70"/>
        <v>0</v>
      </c>
      <c r="BC177" s="272">
        <f t="shared" ca="1" si="72"/>
        <v>0</v>
      </c>
      <c r="BD177" s="272">
        <f t="shared" ca="1" si="71"/>
        <v>0</v>
      </c>
      <c r="BE177" s="272">
        <f t="shared" ca="1" si="71"/>
        <v>0</v>
      </c>
      <c r="BF177" s="272">
        <f t="shared" ca="1" si="71"/>
        <v>0</v>
      </c>
      <c r="BG177"/>
    </row>
    <row r="178" spans="18:59" x14ac:dyDescent="0.2">
      <c r="R178">
        <v>151</v>
      </c>
      <c r="S178" s="40"/>
      <c r="T178" s="40"/>
      <c r="U178" s="131"/>
      <c r="V178" s="131"/>
      <c r="W178" s="131"/>
      <c r="X178" s="131"/>
      <c r="Y178" s="131"/>
      <c r="Z178" s="131"/>
      <c r="AA178" s="131"/>
      <c r="AB178" s="131"/>
      <c r="AN178" s="121"/>
      <c r="AO178" s="121" t="e">
        <f t="shared" si="68"/>
        <v>#DIV/0!</v>
      </c>
      <c r="AP178" s="121" t="b">
        <f t="shared" si="69"/>
        <v>0</v>
      </c>
      <c r="AU178" s="121"/>
      <c r="AV178" s="121"/>
      <c r="AW178" s="159"/>
      <c r="AX178" s="159"/>
      <c r="AY178" s="159"/>
      <c r="AZ178" s="157"/>
      <c r="BA178" s="157"/>
      <c r="BB178" s="121">
        <f t="shared" ca="1" si="70"/>
        <v>0</v>
      </c>
      <c r="BC178" s="272">
        <f t="shared" ca="1" si="72"/>
        <v>0</v>
      </c>
      <c r="BD178" s="272">
        <f t="shared" ca="1" si="71"/>
        <v>0</v>
      </c>
      <c r="BE178" s="272">
        <f t="shared" ca="1" si="71"/>
        <v>0</v>
      </c>
      <c r="BF178" s="272">
        <f t="shared" ca="1" si="71"/>
        <v>0</v>
      </c>
      <c r="BG178"/>
    </row>
    <row r="179" spans="18:59" x14ac:dyDescent="0.2">
      <c r="R179">
        <v>152</v>
      </c>
      <c r="S179" s="40"/>
      <c r="T179" s="40"/>
      <c r="U179" s="131"/>
      <c r="V179" s="131"/>
      <c r="W179" s="131"/>
      <c r="X179" s="131"/>
      <c r="Y179" s="131"/>
      <c r="Z179" s="131"/>
      <c r="AA179" s="131"/>
      <c r="AB179" s="131"/>
      <c r="AN179" s="121"/>
      <c r="AO179" s="121" t="e">
        <f t="shared" si="68"/>
        <v>#DIV/0!</v>
      </c>
      <c r="AP179" s="121" t="b">
        <f t="shared" si="69"/>
        <v>0</v>
      </c>
      <c r="AU179" s="121"/>
      <c r="AV179" s="121"/>
      <c r="AW179" s="159"/>
      <c r="AX179" s="159"/>
      <c r="AY179" s="159"/>
      <c r="AZ179" s="157"/>
      <c r="BA179" s="157"/>
      <c r="BB179" s="121">
        <f t="shared" ca="1" si="70"/>
        <v>0</v>
      </c>
      <c r="BC179" s="272">
        <f t="shared" ca="1" si="72"/>
        <v>0</v>
      </c>
      <c r="BD179" s="272">
        <f t="shared" ca="1" si="71"/>
        <v>0</v>
      </c>
      <c r="BE179" s="272">
        <f t="shared" ca="1" si="71"/>
        <v>0</v>
      </c>
      <c r="BF179" s="272">
        <f t="shared" ca="1" si="71"/>
        <v>0</v>
      </c>
      <c r="BG179"/>
    </row>
    <row r="180" spans="18:59" x14ac:dyDescent="0.2">
      <c r="R180">
        <v>153</v>
      </c>
      <c r="S180" s="40"/>
      <c r="T180" s="40"/>
      <c r="U180" s="131"/>
      <c r="V180" s="131"/>
      <c r="W180" s="131"/>
      <c r="X180" s="131"/>
      <c r="Y180" s="131"/>
      <c r="Z180" s="131"/>
      <c r="AA180" s="131"/>
      <c r="AB180" s="131"/>
      <c r="AN180" s="121"/>
      <c r="AO180" s="121" t="e">
        <f t="shared" si="68"/>
        <v>#DIV/0!</v>
      </c>
      <c r="AP180" s="121" t="b">
        <f t="shared" si="69"/>
        <v>0</v>
      </c>
      <c r="AU180" s="121"/>
      <c r="AV180" s="121"/>
      <c r="AW180" s="159"/>
      <c r="AX180" s="159"/>
      <c r="AY180" s="159"/>
      <c r="AZ180" s="157"/>
      <c r="BA180" s="157"/>
      <c r="BB180" s="121">
        <f t="shared" ca="1" si="70"/>
        <v>0</v>
      </c>
      <c r="BC180" s="272">
        <f t="shared" ca="1" si="72"/>
        <v>0</v>
      </c>
      <c r="BD180" s="272">
        <f t="shared" ca="1" si="71"/>
        <v>0</v>
      </c>
      <c r="BE180" s="272">
        <f t="shared" ca="1" si="71"/>
        <v>0</v>
      </c>
      <c r="BF180" s="272">
        <f t="shared" ca="1" si="71"/>
        <v>0</v>
      </c>
      <c r="BG180"/>
    </row>
    <row r="181" spans="18:59" x14ac:dyDescent="0.2">
      <c r="R181">
        <v>154</v>
      </c>
      <c r="S181" s="131">
        <f ca="1">AO181</f>
        <v>112</v>
      </c>
      <c r="T181" s="40"/>
      <c r="U181" s="131"/>
      <c r="V181" s="131"/>
      <c r="W181" s="131"/>
      <c r="X181" s="131"/>
      <c r="Y181" s="131"/>
      <c r="Z181" s="131"/>
      <c r="AA181" s="131"/>
      <c r="AB181" s="131"/>
      <c r="AN181" s="121"/>
      <c r="AO181" s="121">
        <f t="shared" ca="1" si="68"/>
        <v>112</v>
      </c>
      <c r="AP181" s="121" t="b">
        <f t="shared" si="69"/>
        <v>0</v>
      </c>
      <c r="AQ181" s="272">
        <f ca="1">+AVERAGEIFS(TABELA_VAZAO[qnat],TABELA_VAZAO[Posto],$R181,TABELA_VAZAO[Data],AQ$27)</f>
        <v>114</v>
      </c>
      <c r="AR181" s="272">
        <f ca="1">+AVERAGEIFS(TABELA_VAZAO[qnat],TABELA_VAZAO[Posto],$R181,TABELA_VAZAO[Data],AR$27)</f>
        <v>113</v>
      </c>
      <c r="AS181" s="272">
        <f ca="1">+AVERAGEIFS(TABELA_VAZAO[qnat],TABELA_VAZAO[Posto],$R181,TABELA_VAZAO[Data],AS$27)</f>
        <v>113</v>
      </c>
      <c r="AT181" s="272">
        <f ca="1">+AVERAGEIFS(TABELA_VAZAO[qnat],TABELA_VAZAO[Posto],$R181,TABELA_VAZAO[Data],AT$27)</f>
        <v>111</v>
      </c>
      <c r="AU181" s="229">
        <f ca="1">+AVERAGEIFS(TABELA_VAZAO[qnat],TABELA_VAZAO[Posto],$R181,TABELA_VAZAO[Data],AU$27)</f>
        <v>111</v>
      </c>
      <c r="AV181" s="272">
        <f ca="1">IFERROR(AVERAGEIFS(TABELA_VAZAO[qnat],TABELA_VAZAO[Posto],$R181,TABELA_VAZAO[Data],AV$27),AU181+$BB181*EXP(AV$26))</f>
        <v>112</v>
      </c>
      <c r="AW181" s="159">
        <f ca="1">IFERROR(AVERAGEIFS(TABELA_VAZAO[qnat],TABELA_VAZAO[Posto],$R181,TABELA_VAZAO[Data],AW$27),AV181+$BB181*EXP(AW$26))</f>
        <v>112</v>
      </c>
      <c r="AX181" s="325">
        <f ca="1">IFERROR(AVERAGEIFS(TABELA_VAZAO[qnat],TABELA_VAZAO[Posto],$R181,TABELA_VAZAO[Data],AX$27),AW181+$BB181*EXP(AX$26))</f>
        <v>112</v>
      </c>
      <c r="AY181" s="325">
        <f ca="1">IFERROR(AVERAGEIFS(TABELA_VAZAO[qnat],TABELA_VAZAO[Posto],$R181,TABELA_VAZAO[Data],AY$27),AX181+$BB181*EXP(AY$26))</f>
        <v>112</v>
      </c>
      <c r="AZ181" s="326">
        <f ca="1">IFERROR(AVERAGEIFS(TABELA_VAZAO[qnat],TABELA_VAZAO[Posto],$R181,TABELA_VAZAO[Data],AZ$27),AY181+$BB181*EXP(AZ$26))</f>
        <v>112</v>
      </c>
      <c r="BA181" s="326">
        <f ca="1">IFERROR(AVERAGEIFS(TABELA_VAZAO[qnat],TABELA_VAZAO[Posto],$R181,TABELA_VAZAO[Data],BA$27),AZ181+$BB181*EXP(BA$26))</f>
        <v>112</v>
      </c>
      <c r="BB181" s="121">
        <f t="shared" ca="1" si="70"/>
        <v>0</v>
      </c>
      <c r="BC181" s="272">
        <f t="shared" ca="1" si="72"/>
        <v>-2</v>
      </c>
      <c r="BD181" s="272">
        <f t="shared" ca="1" si="71"/>
        <v>0</v>
      </c>
      <c r="BE181" s="272">
        <f t="shared" ca="1" si="71"/>
        <v>1</v>
      </c>
      <c r="BF181" s="272">
        <f t="shared" ca="1" si="71"/>
        <v>0</v>
      </c>
      <c r="BG181"/>
    </row>
    <row r="182" spans="18:59" x14ac:dyDescent="0.2">
      <c r="R182">
        <v>155</v>
      </c>
      <c r="S182" s="131">
        <f ca="1">AO182</f>
        <v>36</v>
      </c>
      <c r="T182" s="131" t="str">
        <f ca="1">IFERROR(ROUND(INDEX(G$28:G$129,MATCH($R182,$A$28:$A$129,0)),0),"")</f>
        <v/>
      </c>
      <c r="U182" s="131" t="str">
        <f t="shared" ref="U182:AA183" ca="1" si="78">IF(AND($K$4,ISNUMBER(I$143)),ROUND(H$143*T182,0),"")</f>
        <v/>
      </c>
      <c r="V182" s="131" t="str">
        <f t="shared" ca="1" si="78"/>
        <v/>
      </c>
      <c r="W182" s="131" t="str">
        <f t="shared" ca="1" si="78"/>
        <v/>
      </c>
      <c r="X182" s="131" t="str">
        <f t="shared" ca="1" si="78"/>
        <v/>
      </c>
      <c r="Y182" s="131" t="str">
        <f t="shared" ca="1" si="78"/>
        <v/>
      </c>
      <c r="Z182" s="131" t="str">
        <f t="shared" ca="1" si="78"/>
        <v/>
      </c>
      <c r="AA182" s="131" t="str">
        <f t="shared" si="78"/>
        <v/>
      </c>
      <c r="AB182" s="131"/>
      <c r="AN182" s="121"/>
      <c r="AO182" s="121">
        <f t="shared" ca="1" si="68"/>
        <v>36</v>
      </c>
      <c r="AP182" s="121" t="b">
        <f t="shared" si="69"/>
        <v>1</v>
      </c>
      <c r="AQ182" s="272">
        <f ca="1">+AVERAGEIFS(TABELA_VAZAO[qnat],TABELA_VAZAO[Posto],$R182,TABELA_VAZAO[Data],AQ$27)</f>
        <v>64</v>
      </c>
      <c r="AR182" s="272">
        <f ca="1">+AVERAGEIFS(TABELA_VAZAO[qnat],TABELA_VAZAO[Posto],$R182,TABELA_VAZAO[Data],AR$27)</f>
        <v>58</v>
      </c>
      <c r="AS182" s="272">
        <f ca="1">+AVERAGEIFS(TABELA_VAZAO[qnat],TABELA_VAZAO[Posto],$R182,TABELA_VAZAO[Data],AS$27)</f>
        <v>54</v>
      </c>
      <c r="AT182" s="272">
        <f ca="1">+AVERAGEIFS(TABELA_VAZAO[qnat],TABELA_VAZAO[Posto],$R182,TABELA_VAZAO[Data],AT$27)</f>
        <v>51</v>
      </c>
      <c r="AU182" s="121">
        <f ca="1">+AVERAGEIFS(TABELA_VAZAO[qnat],TABELA_VAZAO[Posto],$R182,TABELA_VAZAO[Data],AU$27)</f>
        <v>77</v>
      </c>
      <c r="AV182" s="272">
        <f ca="1">IFERROR(AVERAGEIFS(TABELA_VAZAO[qnat],TABELA_VAZAO[Posto],$R182,TABELA_VAZAO[Data],AV$27),AU182+$BB182*EXP(AV$26))</f>
        <v>90</v>
      </c>
      <c r="AW182" s="159">
        <f ca="1">IFERROR(AVERAGEIFS(TABELA_VAZAO[qnat],TABELA_VAZAO[Posto],$R182,TABELA_VAZAO[Data],AW$27),AV182+$BB182*EXP(AW$26))</f>
        <v>85</v>
      </c>
      <c r="AX182" s="325">
        <f ca="1">IFERROR(AVERAGEIFS(TABELA_VAZAO[qnat],TABELA_VAZAO[Posto],$R182,TABELA_VAZAO[Data],AX$27),AW182+$BB182*EXP(AX$26))</f>
        <v>89.857142857142861</v>
      </c>
      <c r="AY182" s="325">
        <f ca="1">IFERROR(AVERAGEIFS(TABELA_VAZAO[qnat],TABELA_VAZAO[Posto],$R182,TABELA_VAZAO[Data],AY$27),AX182+$BB182*EXP(AY$26))</f>
        <v>93.112983080744542</v>
      </c>
      <c r="AZ182" s="326">
        <f ca="1">IFERROR(AVERAGEIFS(TABELA_VAZAO[qnat],TABELA_VAZAO[Posto],$R182,TABELA_VAZAO[Data],AZ$27),AY182+$BB182*EXP(AZ$26))</f>
        <v>95.295438049313901</v>
      </c>
      <c r="BA182" s="326">
        <f ca="1">IFERROR(AVERAGEIFS(TABELA_VAZAO[qnat],TABELA_VAZAO[Posto],$R182,TABELA_VAZAO[Data],BA$27),AZ182+$BB182*EXP(BA$26))</f>
        <v>96.758381364316023</v>
      </c>
      <c r="BB182" s="121">
        <f t="shared" ca="1" si="70"/>
        <v>4.8571428571428568</v>
      </c>
      <c r="BC182" s="272">
        <f t="shared" ca="1" si="72"/>
        <v>-3</v>
      </c>
      <c r="BD182" s="272">
        <f t="shared" ca="1" si="71"/>
        <v>26</v>
      </c>
      <c r="BE182" s="272">
        <f t="shared" ca="1" si="71"/>
        <v>13</v>
      </c>
      <c r="BF182" s="272">
        <f t="shared" ca="1" si="71"/>
        <v>-5</v>
      </c>
      <c r="BG182"/>
    </row>
    <row r="183" spans="18:59" x14ac:dyDescent="0.2">
      <c r="R183">
        <v>156</v>
      </c>
      <c r="S183" s="131">
        <f ca="1">AO183</f>
        <v>212</v>
      </c>
      <c r="T183" s="131" t="str">
        <f ca="1">IFERROR(ROUND(INDEX(G$28:G$129,MATCH($R183,$A$28:$A$129,0)),0),"")</f>
        <v/>
      </c>
      <c r="U183" s="131" t="str">
        <f t="shared" ca="1" si="78"/>
        <v/>
      </c>
      <c r="V183" s="131" t="str">
        <f t="shared" ca="1" si="78"/>
        <v/>
      </c>
      <c r="W183" s="131" t="str">
        <f t="shared" ca="1" si="78"/>
        <v/>
      </c>
      <c r="X183" s="131" t="str">
        <f t="shared" ca="1" si="78"/>
        <v/>
      </c>
      <c r="Y183" s="131" t="str">
        <f t="shared" ca="1" si="78"/>
        <v/>
      </c>
      <c r="Z183" s="131" t="str">
        <f t="shared" ca="1" si="78"/>
        <v/>
      </c>
      <c r="AA183" s="131" t="str">
        <f t="shared" si="78"/>
        <v/>
      </c>
      <c r="AB183" s="131"/>
      <c r="AN183" s="121"/>
      <c r="AO183" s="121">
        <f t="shared" ca="1" si="68"/>
        <v>212</v>
      </c>
      <c r="AP183" s="121" t="b">
        <f t="shared" si="69"/>
        <v>1</v>
      </c>
      <c r="AQ183" s="272">
        <f ca="1">+AVERAGEIFS(TABELA_VAZAO[qnat],TABELA_VAZAO[Posto],$R183,TABELA_VAZAO[Data],AQ$27)</f>
        <v>537</v>
      </c>
      <c r="AR183" s="272">
        <f ca="1">+AVERAGEIFS(TABELA_VAZAO[qnat],TABELA_VAZAO[Posto],$R183,TABELA_VAZAO[Data],AR$27)</f>
        <v>508</v>
      </c>
      <c r="AS183" s="272">
        <f ca="1">+AVERAGEIFS(TABELA_VAZAO[qnat],TABELA_VAZAO[Posto],$R183,TABELA_VAZAO[Data],AS$27)</f>
        <v>456</v>
      </c>
      <c r="AT183" s="272">
        <f ca="1">+AVERAGEIFS(TABELA_VAZAO[qnat],TABELA_VAZAO[Posto],$R183,TABELA_VAZAO[Data],AT$27)</f>
        <v>420</v>
      </c>
      <c r="AU183" s="121">
        <f ca="1">+AVERAGEIFS(TABELA_VAZAO[qnat],TABELA_VAZAO[Posto],$R183,TABELA_VAZAO[Data],AU$27)</f>
        <v>432</v>
      </c>
      <c r="AV183" s="272">
        <f ca="1">IFERROR(AVERAGEIFS(TABELA_VAZAO[qnat],TABELA_VAZAO[Posto],$R183,TABELA_VAZAO[Data],AV$27),AU183+$BB183*EXP(AV$26))</f>
        <v>514</v>
      </c>
      <c r="AW183" s="159">
        <f ca="1">IFERROR(AVERAGEIFS(TABELA_VAZAO[qnat],TABELA_VAZAO[Posto],$R183,TABELA_VAZAO[Data],AW$27),AV183+$BB183*EXP(AW$26))</f>
        <v>539</v>
      </c>
      <c r="AX183" s="325">
        <f ca="1">IFERROR(AVERAGEIFS(TABELA_VAZAO[qnat],TABELA_VAZAO[Posto],$R183,TABELA_VAZAO[Data],AX$27),AW183+$BB183*EXP(AX$26))</f>
        <v>569.71428571428567</v>
      </c>
      <c r="AY183" s="325">
        <f ca="1">IFERROR(AVERAGEIFS(TABELA_VAZAO[qnat],TABELA_VAZAO[Posto],$R183,TABELA_VAZAO[Data],AY$27),AX183+$BB183*EXP(AY$26))</f>
        <v>590.30268712823749</v>
      </c>
      <c r="AZ183" s="326">
        <f ca="1">IFERROR(AVERAGEIFS(TABELA_VAZAO[qnat],TABELA_VAZAO[Posto],$R183,TABELA_VAZAO[Data],AZ$27),AY183+$BB183*EXP(AZ$26))</f>
        <v>604.10350531183792</v>
      </c>
      <c r="BA183" s="326">
        <f ca="1">IFERROR(AVERAGEIFS(TABELA_VAZAO[qnat],TABELA_VAZAO[Posto],$R183,TABELA_VAZAO[Data],BA$27),AZ183+$BB183*EXP(BA$26))</f>
        <v>613.35447039199846</v>
      </c>
      <c r="BB183" s="121">
        <f t="shared" ca="1" si="70"/>
        <v>30.714285714285715</v>
      </c>
      <c r="BC183" s="272">
        <f t="shared" ca="1" si="72"/>
        <v>-36</v>
      </c>
      <c r="BD183" s="272">
        <f t="shared" ca="1" si="71"/>
        <v>12</v>
      </c>
      <c r="BE183" s="272">
        <f t="shared" ca="1" si="71"/>
        <v>82</v>
      </c>
      <c r="BF183" s="272">
        <f t="shared" ca="1" si="71"/>
        <v>25</v>
      </c>
      <c r="BG183"/>
    </row>
    <row r="184" spans="18:59" x14ac:dyDescent="0.2">
      <c r="R184">
        <v>157</v>
      </c>
      <c r="S184" s="40"/>
      <c r="T184" s="40"/>
      <c r="U184" s="131"/>
      <c r="V184" s="131"/>
      <c r="W184" s="131"/>
      <c r="X184" s="131"/>
      <c r="Y184" s="131"/>
      <c r="Z184" s="131"/>
      <c r="AA184" s="131"/>
      <c r="AB184" s="131"/>
      <c r="AN184" s="121"/>
      <c r="AO184" s="121" t="e">
        <f t="shared" si="68"/>
        <v>#DIV/0!</v>
      </c>
      <c r="AP184" s="121" t="b">
        <f t="shared" si="69"/>
        <v>0</v>
      </c>
      <c r="AU184" s="121"/>
      <c r="AV184" s="121"/>
      <c r="AW184" s="159"/>
      <c r="AX184" s="159"/>
      <c r="AY184" s="159"/>
      <c r="AZ184" s="157"/>
      <c r="BA184" s="157"/>
      <c r="BB184" s="121">
        <f t="shared" ca="1" si="70"/>
        <v>0</v>
      </c>
      <c r="BC184" s="272">
        <f t="shared" ca="1" si="72"/>
        <v>0</v>
      </c>
      <c r="BD184" s="272">
        <f t="shared" ca="1" si="71"/>
        <v>0</v>
      </c>
      <c r="BE184" s="272">
        <f t="shared" ca="1" si="71"/>
        <v>0</v>
      </c>
      <c r="BF184" s="272">
        <f t="shared" ca="1" si="71"/>
        <v>0</v>
      </c>
      <c r="BG184"/>
    </row>
    <row r="185" spans="18:59" x14ac:dyDescent="0.2">
      <c r="R185">
        <v>158</v>
      </c>
      <c r="S185" s="131">
        <f ca="1">AO185</f>
        <v>14</v>
      </c>
      <c r="T185" s="131" t="str">
        <f t="shared" ref="T185:AB185" ca="1" si="79">IFERROR(ROUND(INDEX(G$28:G$129,MATCH($R185,$A$28:$A$129,0)),0),"")</f>
        <v/>
      </c>
      <c r="U185" s="131" t="str">
        <f t="shared" ca="1" si="79"/>
        <v/>
      </c>
      <c r="V185" s="131" t="str">
        <f t="shared" ca="1" si="79"/>
        <v/>
      </c>
      <c r="W185" s="131" t="str">
        <f t="shared" ca="1" si="79"/>
        <v/>
      </c>
      <c r="X185" s="131" t="str">
        <f t="shared" ca="1" si="79"/>
        <v/>
      </c>
      <c r="Y185" s="131" t="str">
        <f t="shared" ca="1" si="79"/>
        <v/>
      </c>
      <c r="Z185" s="131" t="str">
        <f t="shared" ca="1" si="79"/>
        <v/>
      </c>
      <c r="AA185" s="131" t="str">
        <f t="shared" ca="1" si="79"/>
        <v/>
      </c>
      <c r="AB185" s="131" t="str">
        <f t="shared" ca="1" si="79"/>
        <v/>
      </c>
      <c r="AN185" s="121"/>
      <c r="AO185" s="121">
        <f t="shared" ca="1" si="68"/>
        <v>14</v>
      </c>
      <c r="AP185" s="121" t="b">
        <f t="shared" si="69"/>
        <v>1</v>
      </c>
      <c r="AQ185" s="272">
        <f ca="1">+AVERAGEIFS(TABELA_VAZAO[qnat],TABELA_VAZAO[Posto],$R185,TABELA_VAZAO[Data],AQ$27)</f>
        <v>15</v>
      </c>
      <c r="AR185" s="272">
        <f ca="1">+AVERAGEIFS(TABELA_VAZAO[qnat],TABELA_VAZAO[Posto],$R185,TABELA_VAZAO[Data],AR$27)</f>
        <v>14</v>
      </c>
      <c r="AS185" s="272">
        <f ca="1">+AVERAGEIFS(TABELA_VAZAO[qnat],TABELA_VAZAO[Posto],$R185,TABELA_VAZAO[Data],AS$27)</f>
        <v>16</v>
      </c>
      <c r="AT185" s="272">
        <f ca="1">+AVERAGEIFS(TABELA_VAZAO[qnat],TABELA_VAZAO[Posto],$R185,TABELA_VAZAO[Data],AT$27)</f>
        <v>21</v>
      </c>
      <c r="AU185" s="121">
        <f ca="1">+AVERAGEIFS(TABELA_VAZAO[qnat],TABELA_VAZAO[Posto],$R185,TABELA_VAZAO[Data],AU$27)</f>
        <v>28</v>
      </c>
      <c r="AV185" s="272">
        <f ca="1">IFERROR(AVERAGEIFS(TABELA_VAZAO[qnat],TABELA_VAZAO[Posto],$R185,TABELA_VAZAO[Data],AV$27),AU185+$BB185*EXP(AV$26))</f>
        <v>34</v>
      </c>
      <c r="AW185" s="159">
        <f ca="1">IFERROR(AVERAGEIFS(TABELA_VAZAO[qnat],TABELA_VAZAO[Posto],$R185,TABELA_VAZAO[Data],AW$27),AV185+$BB185*EXP(AW$26))</f>
        <v>38</v>
      </c>
      <c r="AX185" s="325">
        <f ca="1">IFERROR(AVERAGEIFS(TABELA_VAZAO[qnat],TABELA_VAZAO[Posto],$R185,TABELA_VAZAO[Data],AX$27),AW185+$BB185*EXP(AX$26))</f>
        <v>43.142857142857146</v>
      </c>
      <c r="AY185" s="325">
        <f ca="1">IFERROR(AVERAGEIFS(TABELA_VAZAO[qnat],TABELA_VAZAO[Posto],$R185,TABELA_VAZAO[Data],AY$27),AX185+$BB185*EXP(AY$26))</f>
        <v>46.590217379611865</v>
      </c>
      <c r="AZ185" s="326">
        <f ca="1">IFERROR(AVERAGEIFS(TABELA_VAZAO[qnat],TABELA_VAZAO[Posto],$R185,TABELA_VAZAO[Data],AZ$27),AY185+$BB185*EXP(AZ$26))</f>
        <v>48.901052052214716</v>
      </c>
      <c r="BA185" s="326">
        <f ca="1">IFERROR(AVERAGEIFS(TABELA_VAZAO[qnat],TABELA_VAZAO[Posto],$R185,TABELA_VAZAO[Data],BA$27),AZ185+$BB185*EXP(BA$26))</f>
        <v>50.450050856334613</v>
      </c>
      <c r="BB185" s="121">
        <f t="shared" ca="1" si="70"/>
        <v>5.1428571428571432</v>
      </c>
      <c r="BC185" s="272">
        <f t="shared" ca="1" si="72"/>
        <v>5</v>
      </c>
      <c r="BD185" s="272">
        <f t="shared" ca="1" si="71"/>
        <v>7</v>
      </c>
      <c r="BE185" s="272">
        <f t="shared" ca="1" si="71"/>
        <v>6</v>
      </c>
      <c r="BF185" s="272">
        <f t="shared" ca="1" si="71"/>
        <v>4</v>
      </c>
      <c r="BG185"/>
    </row>
    <row r="186" spans="18:59" x14ac:dyDescent="0.2">
      <c r="R186">
        <v>159</v>
      </c>
      <c r="S186" s="40"/>
      <c r="T186" s="40"/>
      <c r="U186" s="131"/>
      <c r="V186" s="131"/>
      <c r="W186" s="131"/>
      <c r="X186" s="131"/>
      <c r="Y186" s="131"/>
      <c r="Z186" s="131"/>
      <c r="AA186" s="131"/>
      <c r="AB186" s="131"/>
      <c r="AN186" s="121"/>
      <c r="AO186" s="121" t="e">
        <f t="shared" si="68"/>
        <v>#DIV/0!</v>
      </c>
      <c r="AP186" s="121" t="b">
        <f t="shared" si="69"/>
        <v>0</v>
      </c>
      <c r="AU186" s="121"/>
      <c r="AV186" s="121"/>
      <c r="AW186" s="159"/>
      <c r="AX186" s="159"/>
      <c r="AY186" s="159"/>
      <c r="AZ186" s="157"/>
      <c r="BA186" s="157"/>
      <c r="BB186" s="121">
        <f t="shared" ca="1" si="70"/>
        <v>0</v>
      </c>
      <c r="BC186" s="272">
        <f t="shared" ca="1" si="72"/>
        <v>0</v>
      </c>
      <c r="BD186" s="272">
        <f t="shared" ca="1" si="71"/>
        <v>0</v>
      </c>
      <c r="BE186" s="272">
        <f t="shared" ca="1" si="71"/>
        <v>0</v>
      </c>
      <c r="BF186" s="272">
        <f t="shared" ca="1" si="71"/>
        <v>0</v>
      </c>
      <c r="BG186"/>
    </row>
    <row r="187" spans="18:59" x14ac:dyDescent="0.2">
      <c r="R187">
        <v>160</v>
      </c>
      <c r="S187" s="131">
        <f t="shared" ref="S187" ca="1" si="80">AO187</f>
        <v>3</v>
      </c>
      <c r="T187" s="131" t="str">
        <f t="shared" ref="T187:AB188" ca="1" si="81">IFERROR(ROUND(INDEX(G$28:G$129,MATCH($R187,$A$28:$A$129,0)),0),"")</f>
        <v/>
      </c>
      <c r="U187" s="131" t="str">
        <f t="shared" ca="1" si="81"/>
        <v/>
      </c>
      <c r="V187" s="131" t="str">
        <f t="shared" ca="1" si="81"/>
        <v/>
      </c>
      <c r="W187" s="131" t="str">
        <f t="shared" ca="1" si="81"/>
        <v/>
      </c>
      <c r="X187" s="131" t="str">
        <f t="shared" ca="1" si="81"/>
        <v/>
      </c>
      <c r="Y187" s="131" t="str">
        <f t="shared" ca="1" si="81"/>
        <v/>
      </c>
      <c r="Z187" s="131" t="str">
        <f t="shared" ca="1" si="81"/>
        <v/>
      </c>
      <c r="AA187" s="131" t="str">
        <f t="shared" ca="1" si="81"/>
        <v/>
      </c>
      <c r="AB187" s="131" t="str">
        <f t="shared" ca="1" si="81"/>
        <v/>
      </c>
      <c r="AN187" s="121"/>
      <c r="AO187" s="121">
        <f t="shared" ca="1" si="68"/>
        <v>3</v>
      </c>
      <c r="AP187" s="121" t="b">
        <f t="shared" si="69"/>
        <v>1</v>
      </c>
      <c r="AU187" s="121"/>
      <c r="AV187" s="121"/>
      <c r="AW187" s="159"/>
      <c r="AX187" s="159"/>
      <c r="AY187" s="159"/>
      <c r="AZ187" s="157"/>
      <c r="BA187" s="157"/>
      <c r="BB187" s="121">
        <f t="shared" ca="1" si="70"/>
        <v>0</v>
      </c>
      <c r="BC187" s="272">
        <f t="shared" ca="1" si="72"/>
        <v>0</v>
      </c>
      <c r="BD187" s="272">
        <f t="shared" ca="1" si="71"/>
        <v>0</v>
      </c>
      <c r="BE187" s="272">
        <f t="shared" ca="1" si="71"/>
        <v>0</v>
      </c>
      <c r="BF187" s="272">
        <f t="shared" ca="1" si="71"/>
        <v>0</v>
      </c>
      <c r="BG187"/>
    </row>
    <row r="188" spans="18:59" x14ac:dyDescent="0.2">
      <c r="R188">
        <v>161</v>
      </c>
      <c r="S188" s="131">
        <f t="shared" ref="S188" ca="1" si="82">AO188</f>
        <v>89</v>
      </c>
      <c r="T188" s="131" t="str">
        <f t="shared" ca="1" si="81"/>
        <v/>
      </c>
      <c r="U188" s="131" t="str">
        <f t="shared" ca="1" si="81"/>
        <v/>
      </c>
      <c r="V188" s="131" t="str">
        <f t="shared" ca="1" si="81"/>
        <v/>
      </c>
      <c r="W188" s="131" t="str">
        <f t="shared" ca="1" si="81"/>
        <v/>
      </c>
      <c r="X188" s="131" t="str">
        <f t="shared" ca="1" si="81"/>
        <v/>
      </c>
      <c r="Y188" s="131" t="str">
        <f t="shared" ca="1" si="81"/>
        <v/>
      </c>
      <c r="Z188" s="131" t="str">
        <f t="shared" ca="1" si="81"/>
        <v/>
      </c>
      <c r="AA188" s="131" t="str">
        <f t="shared" ca="1" si="81"/>
        <v/>
      </c>
      <c r="AB188" s="131" t="str">
        <f t="shared" ca="1" si="81"/>
        <v/>
      </c>
      <c r="AN188" s="121"/>
      <c r="AO188" s="121">
        <f t="shared" ca="1" si="68"/>
        <v>89</v>
      </c>
      <c r="AP188" s="121" t="b">
        <f t="shared" si="69"/>
        <v>1</v>
      </c>
      <c r="AQ188" s="272">
        <f ca="1">+AVERAGEIFS(TABELA_VAZAO[qnat],TABELA_VAZAO[Posto],$R188,TABELA_VAZAO[Data],AQ$27)</f>
        <v>58</v>
      </c>
      <c r="AR188" s="272">
        <f ca="1">+AVERAGEIFS(TABELA_VAZAO[qnat],TABELA_VAZAO[Posto],$R188,TABELA_VAZAO[Data],AR$27)</f>
        <v>76</v>
      </c>
      <c r="AS188" s="272">
        <f ca="1">+AVERAGEIFS(TABELA_VAZAO[qnat],TABELA_VAZAO[Posto],$R188,TABELA_VAZAO[Data],AS$27)</f>
        <v>374</v>
      </c>
      <c r="AT188" s="272">
        <f ca="1">+AVERAGEIFS(TABELA_VAZAO[qnat],TABELA_VAZAO[Posto],$R188,TABELA_VAZAO[Data],AT$27)</f>
        <v>413</v>
      </c>
      <c r="AU188" s="121">
        <f ca="1">+AVERAGEIFS(TABELA_VAZAO[qnat],TABELA_VAZAO[Posto],$R188,TABELA_VAZAO[Data],AU$27)</f>
        <v>212</v>
      </c>
      <c r="AV188" s="272">
        <f ca="1">IFERROR(AVERAGEIFS(TABELA_VAZAO[qnat],TABELA_VAZAO[Posto],$R188,TABELA_VAZAO[Data],AV$27),AU188+$BB188*EXP(AV$26))</f>
        <v>182</v>
      </c>
      <c r="AW188" s="159">
        <f ca="1">IFERROR(AVERAGEIFS(TABELA_VAZAO[qnat],TABELA_VAZAO[Posto],$R188,TABELA_VAZAO[Data],AW$27),AV188+$BB188*EXP(AW$26))</f>
        <v>230</v>
      </c>
      <c r="AX188" s="325">
        <f ca="1">IFERROR(AVERAGEIFS(TABELA_VAZAO[qnat],TABELA_VAZAO[Posto],$R188,TABELA_VAZAO[Data],AX$27),AW188+$BB188*EXP(AX$26))</f>
        <v>218.85714285714286</v>
      </c>
      <c r="AY188" s="325">
        <f ca="1">IFERROR(AVERAGEIFS(TABELA_VAZAO[qnat],TABELA_VAZAO[Posto],$R188,TABELA_VAZAO[Data],AY$27),AX188+$BB188*EXP(AY$26))</f>
        <v>211.38786234417432</v>
      </c>
      <c r="AZ188" s="326">
        <f ca="1">IFERROR(AVERAGEIFS(TABELA_VAZAO[qnat],TABELA_VAZAO[Posto],$R188,TABELA_VAZAO[Data],AZ$27),AY188+$BB188*EXP(AZ$26))</f>
        <v>206.38105388686813</v>
      </c>
      <c r="BA188" s="326">
        <f ca="1">IFERROR(AVERAGEIFS(TABELA_VAZAO[qnat],TABELA_VAZAO[Posto],$R188,TABELA_VAZAO[Data],BA$27),AZ188+$BB188*EXP(BA$26))</f>
        <v>203.02488981127502</v>
      </c>
      <c r="BB188" s="121">
        <f t="shared" ca="1" si="70"/>
        <v>-11.142857142857142</v>
      </c>
      <c r="BC188" s="272">
        <f t="shared" ca="1" si="72"/>
        <v>39</v>
      </c>
      <c r="BD188" s="272">
        <f t="shared" ca="1" si="71"/>
        <v>-201</v>
      </c>
      <c r="BE188" s="272">
        <f t="shared" ca="1" si="71"/>
        <v>-30</v>
      </c>
      <c r="BF188" s="272">
        <f t="shared" ca="1" si="71"/>
        <v>48</v>
      </c>
      <c r="BG188"/>
    </row>
    <row r="189" spans="18:59" x14ac:dyDescent="0.2">
      <c r="R189">
        <v>162</v>
      </c>
      <c r="S189" s="40"/>
      <c r="T189" s="40"/>
      <c r="U189" s="131"/>
      <c r="V189" s="131"/>
      <c r="W189" s="131"/>
      <c r="X189" s="131"/>
      <c r="Y189" s="131"/>
      <c r="Z189" s="131"/>
      <c r="AA189" s="131"/>
      <c r="AB189" s="131"/>
      <c r="AN189" s="121"/>
      <c r="AO189" s="121" t="e">
        <f t="shared" si="68"/>
        <v>#DIV/0!</v>
      </c>
      <c r="AP189" s="121" t="b">
        <f t="shared" si="69"/>
        <v>0</v>
      </c>
      <c r="AU189" s="121"/>
      <c r="AV189" s="121"/>
      <c r="AW189" s="159"/>
      <c r="AX189" s="159"/>
      <c r="AY189" s="159"/>
      <c r="AZ189" s="157"/>
      <c r="BA189" s="157"/>
      <c r="BB189" s="121">
        <f t="shared" ca="1" si="70"/>
        <v>0</v>
      </c>
      <c r="BC189" s="272">
        <f t="shared" ca="1" si="72"/>
        <v>0</v>
      </c>
      <c r="BD189" s="272">
        <f t="shared" ca="1" si="71"/>
        <v>0</v>
      </c>
      <c r="BE189" s="272">
        <f t="shared" ca="1" si="71"/>
        <v>0</v>
      </c>
      <c r="BF189" s="272">
        <f t="shared" ca="1" si="71"/>
        <v>0</v>
      </c>
      <c r="BG189"/>
    </row>
    <row r="190" spans="18:59" x14ac:dyDescent="0.2">
      <c r="R190">
        <v>163</v>
      </c>
      <c r="S190" s="40"/>
      <c r="T190" s="40"/>
      <c r="U190" s="131"/>
      <c r="V190" s="131"/>
      <c r="W190" s="131"/>
      <c r="X190" s="131"/>
      <c r="Y190" s="131"/>
      <c r="Z190" s="131"/>
      <c r="AA190" s="131"/>
      <c r="AB190" s="131"/>
      <c r="AN190" s="121"/>
      <c r="AO190" s="121" t="e">
        <f t="shared" si="68"/>
        <v>#DIV/0!</v>
      </c>
      <c r="AP190" s="121" t="b">
        <f t="shared" si="69"/>
        <v>0</v>
      </c>
      <c r="AU190" s="121"/>
      <c r="AV190" s="121"/>
      <c r="AW190" s="159"/>
      <c r="AX190" s="159"/>
      <c r="AY190" s="159"/>
      <c r="AZ190" s="157"/>
      <c r="BA190" s="157"/>
      <c r="BB190" s="121">
        <f t="shared" ca="1" si="70"/>
        <v>0</v>
      </c>
      <c r="BC190" s="272">
        <f t="shared" ca="1" si="72"/>
        <v>0</v>
      </c>
      <c r="BD190" s="272">
        <f t="shared" ca="1" si="71"/>
        <v>0</v>
      </c>
      <c r="BE190" s="272">
        <f t="shared" ca="1" si="71"/>
        <v>0</v>
      </c>
      <c r="BF190" s="272">
        <f t="shared" ca="1" si="71"/>
        <v>0</v>
      </c>
      <c r="BG190"/>
    </row>
    <row r="191" spans="18:59" x14ac:dyDescent="0.2">
      <c r="R191">
        <v>164</v>
      </c>
      <c r="S191" s="40"/>
      <c r="T191" s="40"/>
      <c r="U191" s="131"/>
      <c r="V191" s="131"/>
      <c r="W191" s="131"/>
      <c r="X191" s="131"/>
      <c r="Y191" s="131"/>
      <c r="Z191" s="131"/>
      <c r="AA191" s="131"/>
      <c r="AB191" s="131"/>
      <c r="AN191" s="121"/>
      <c r="AO191" s="121" t="e">
        <f t="shared" si="68"/>
        <v>#DIV/0!</v>
      </c>
      <c r="AP191" s="121" t="b">
        <f t="shared" si="69"/>
        <v>0</v>
      </c>
      <c r="AU191" s="121"/>
      <c r="AV191" s="121"/>
      <c r="AW191" s="159"/>
      <c r="AX191" s="159"/>
      <c r="AY191" s="159"/>
      <c r="AZ191" s="157"/>
      <c r="BA191" s="157"/>
      <c r="BB191" s="121">
        <f t="shared" ca="1" si="70"/>
        <v>0</v>
      </c>
      <c r="BC191" s="272">
        <f t="shared" ca="1" si="72"/>
        <v>0</v>
      </c>
      <c r="BD191" s="272">
        <f t="shared" ca="1" si="71"/>
        <v>0</v>
      </c>
      <c r="BE191" s="272">
        <f t="shared" ca="1" si="71"/>
        <v>0</v>
      </c>
      <c r="BF191" s="272">
        <f t="shared" ca="1" si="71"/>
        <v>0</v>
      </c>
      <c r="BG191"/>
    </row>
    <row r="192" spans="18:59" x14ac:dyDescent="0.2">
      <c r="R192">
        <v>165</v>
      </c>
      <c r="S192" s="40"/>
      <c r="T192" s="40"/>
      <c r="U192" s="131"/>
      <c r="V192" s="131"/>
      <c r="W192" s="131"/>
      <c r="X192" s="131"/>
      <c r="Y192" s="131"/>
      <c r="Z192" s="131"/>
      <c r="AA192" s="131"/>
      <c r="AB192" s="131"/>
      <c r="AN192" s="121"/>
      <c r="AO192" s="121" t="e">
        <f t="shared" si="68"/>
        <v>#DIV/0!</v>
      </c>
      <c r="AP192" s="121" t="b">
        <f t="shared" si="69"/>
        <v>0</v>
      </c>
      <c r="AU192" s="121"/>
      <c r="AV192" s="121"/>
      <c r="AW192" s="159"/>
      <c r="AX192" s="159"/>
      <c r="AY192" s="159"/>
      <c r="AZ192" s="157"/>
      <c r="BA192" s="157"/>
      <c r="BB192" s="121">
        <f t="shared" ca="1" si="70"/>
        <v>0</v>
      </c>
      <c r="BC192" s="272">
        <f t="shared" ca="1" si="72"/>
        <v>0</v>
      </c>
      <c r="BD192" s="272">
        <f t="shared" ca="1" si="71"/>
        <v>0</v>
      </c>
      <c r="BE192" s="272">
        <f t="shared" ca="1" si="71"/>
        <v>0</v>
      </c>
      <c r="BF192" s="272">
        <f t="shared" ca="1" si="71"/>
        <v>0</v>
      </c>
      <c r="BG192"/>
    </row>
    <row r="193" spans="18:59" x14ac:dyDescent="0.2">
      <c r="R193">
        <v>166</v>
      </c>
      <c r="S193" s="40">
        <f ca="1">AO193</f>
        <v>933</v>
      </c>
      <c r="T193" s="40" t="str">
        <f t="shared" ref="T193:AB193" ca="1" si="83">IFERROR(ROUND(INDEX(G$28:G$129,MATCH($R193,$A$28:$A$129,0)),0),"")</f>
        <v/>
      </c>
      <c r="U193" s="131" t="str">
        <f t="shared" ca="1" si="83"/>
        <v/>
      </c>
      <c r="V193" s="131" t="str">
        <f t="shared" ca="1" si="83"/>
        <v/>
      </c>
      <c r="W193" s="131" t="str">
        <f t="shared" ca="1" si="83"/>
        <v/>
      </c>
      <c r="X193" s="131" t="str">
        <f t="shared" ca="1" si="83"/>
        <v/>
      </c>
      <c r="Y193" s="131" t="str">
        <f t="shared" ca="1" si="83"/>
        <v/>
      </c>
      <c r="Z193" s="131" t="str">
        <f t="shared" ca="1" si="83"/>
        <v/>
      </c>
      <c r="AA193" s="131" t="str">
        <f t="shared" ca="1" si="83"/>
        <v/>
      </c>
      <c r="AB193" s="131" t="str">
        <f t="shared" ca="1" si="83"/>
        <v/>
      </c>
      <c r="AN193" s="121"/>
      <c r="AO193" s="121">
        <f t="shared" ca="1" si="68"/>
        <v>933</v>
      </c>
      <c r="AP193" s="121" t="b">
        <f t="shared" si="69"/>
        <v>1</v>
      </c>
      <c r="AU193" s="121"/>
      <c r="AV193" s="121"/>
      <c r="AW193" s="159"/>
      <c r="AX193" s="159"/>
      <c r="AY193" s="159"/>
      <c r="AZ193" s="157"/>
      <c r="BA193" s="157"/>
      <c r="BB193" s="121">
        <f t="shared" ca="1" si="70"/>
        <v>0</v>
      </c>
      <c r="BC193" s="272">
        <f t="shared" ca="1" si="72"/>
        <v>0</v>
      </c>
      <c r="BD193" s="272">
        <f t="shared" ca="1" si="71"/>
        <v>0</v>
      </c>
      <c r="BE193" s="272">
        <f t="shared" ca="1" si="71"/>
        <v>0</v>
      </c>
      <c r="BF193" s="272">
        <f t="shared" ca="1" si="71"/>
        <v>0</v>
      </c>
      <c r="BG193"/>
    </row>
    <row r="194" spans="18:59" x14ac:dyDescent="0.2">
      <c r="R194">
        <v>167</v>
      </c>
      <c r="S194" s="40"/>
      <c r="T194" s="40"/>
      <c r="U194" s="131"/>
      <c r="V194" s="131"/>
      <c r="W194" s="131"/>
      <c r="X194" s="131"/>
      <c r="Y194" s="131"/>
      <c r="Z194" s="131"/>
      <c r="AA194" s="131"/>
      <c r="AB194" s="131"/>
      <c r="AN194" s="121"/>
      <c r="AO194" s="121" t="e">
        <f t="shared" si="68"/>
        <v>#DIV/0!</v>
      </c>
      <c r="AP194" s="121" t="b">
        <f t="shared" si="69"/>
        <v>0</v>
      </c>
      <c r="AU194" s="121"/>
      <c r="AV194" s="121"/>
      <c r="AW194" s="159"/>
      <c r="AX194" s="159"/>
      <c r="AY194" s="159"/>
      <c r="AZ194" s="157"/>
      <c r="BA194" s="157"/>
      <c r="BB194" s="121">
        <f t="shared" ca="1" si="70"/>
        <v>0</v>
      </c>
      <c r="BC194" s="272">
        <f t="shared" ca="1" si="72"/>
        <v>0</v>
      </c>
      <c r="BD194" s="272">
        <f t="shared" ca="1" si="71"/>
        <v>0</v>
      </c>
      <c r="BE194" s="272">
        <f t="shared" ca="1" si="71"/>
        <v>0</v>
      </c>
      <c r="BF194" s="272">
        <f t="shared" ca="1" si="71"/>
        <v>0</v>
      </c>
      <c r="BG194"/>
    </row>
    <row r="195" spans="18:59" x14ac:dyDescent="0.2">
      <c r="R195">
        <v>168</v>
      </c>
      <c r="S195" s="40"/>
      <c r="T195" s="40"/>
      <c r="U195" s="131"/>
      <c r="V195" s="131"/>
      <c r="W195" s="131"/>
      <c r="X195" s="131"/>
      <c r="Y195" s="131"/>
      <c r="Z195" s="131"/>
      <c r="AA195" s="131"/>
      <c r="AB195" s="131"/>
      <c r="AN195" s="121"/>
      <c r="AO195" s="121" t="e">
        <f t="shared" si="68"/>
        <v>#DIV/0!</v>
      </c>
      <c r="AP195" s="121" t="b">
        <f t="shared" si="69"/>
        <v>0</v>
      </c>
      <c r="AU195" s="121"/>
      <c r="AV195" s="121"/>
      <c r="AW195" s="159"/>
      <c r="AX195" s="159"/>
      <c r="AY195" s="159"/>
      <c r="AZ195" s="157"/>
      <c r="BA195" s="157"/>
      <c r="BB195" s="121">
        <f t="shared" ca="1" si="70"/>
        <v>0</v>
      </c>
      <c r="BC195" s="272">
        <f t="shared" ca="1" si="72"/>
        <v>0</v>
      </c>
      <c r="BD195" s="272">
        <f t="shared" ca="1" si="71"/>
        <v>0</v>
      </c>
      <c r="BE195" s="272">
        <f t="shared" ca="1" si="71"/>
        <v>0</v>
      </c>
      <c r="BF195" s="272">
        <f t="shared" ca="1" si="71"/>
        <v>0</v>
      </c>
      <c r="BG195"/>
    </row>
    <row r="196" spans="18:59" x14ac:dyDescent="0.2">
      <c r="R196">
        <v>169</v>
      </c>
      <c r="S196" s="40">
        <f ca="1">AO196</f>
        <v>1756</v>
      </c>
      <c r="T196" s="131" t="str">
        <f t="shared" ref="T196:AA196" ca="1" si="84">IF(AND($K$4,ISNUMBER(H$143)),ROUND(G$143*S196,0),"")</f>
        <v/>
      </c>
      <c r="U196" s="131" t="str">
        <f t="shared" ca="1" si="84"/>
        <v/>
      </c>
      <c r="V196" s="131" t="str">
        <f t="shared" ca="1" si="84"/>
        <v/>
      </c>
      <c r="W196" s="131" t="str">
        <f t="shared" ca="1" si="84"/>
        <v/>
      </c>
      <c r="X196" s="131" t="str">
        <f t="shared" ca="1" si="84"/>
        <v/>
      </c>
      <c r="Y196" s="131" t="str">
        <f t="shared" ca="1" si="84"/>
        <v/>
      </c>
      <c r="Z196" s="131" t="str">
        <f t="shared" ca="1" si="84"/>
        <v/>
      </c>
      <c r="AA196" s="131" t="str">
        <f t="shared" si="84"/>
        <v/>
      </c>
      <c r="AB196" s="131"/>
      <c r="AN196" s="121"/>
      <c r="AO196" s="121">
        <f t="shared" ca="1" si="68"/>
        <v>1756</v>
      </c>
      <c r="AP196" s="121" t="b">
        <f t="shared" si="69"/>
        <v>0</v>
      </c>
      <c r="AQ196" s="272">
        <f ca="1">+AVERAGEIFS(TABELA_VAZAO[qnat],TABELA_VAZAO[Posto],$R196,TABELA_VAZAO[Data],AQ$27)</f>
        <v>1879</v>
      </c>
      <c r="AR196" s="272">
        <f ca="1">+AVERAGEIFS(TABELA_VAZAO[qnat],TABELA_VAZAO[Posto],$R196,TABELA_VAZAO[Data],AR$27)</f>
        <v>1826</v>
      </c>
      <c r="AS196" s="272">
        <f ca="1">+AVERAGEIFS(TABELA_VAZAO[qnat],TABELA_VAZAO[Posto],$R196,TABELA_VAZAO[Data],AS$27)</f>
        <v>1789</v>
      </c>
      <c r="AT196" s="272">
        <f ca="1">+AVERAGEIFS(TABELA_VAZAO[qnat],TABELA_VAZAO[Posto],$R196,TABELA_VAZAO[Data],AT$27)</f>
        <v>1766</v>
      </c>
      <c r="AU196" s="121">
        <f ca="1">+AVERAGEIFS(TABELA_VAZAO[qnat],TABELA_VAZAO[Posto],$R196,TABELA_VAZAO[Data],AU$27)</f>
        <v>1773</v>
      </c>
      <c r="AV196" s="272">
        <f ca="1">IFERROR(AVERAGEIFS(TABELA_VAZAO[qnat],TABELA_VAZAO[Posto],$R196,TABELA_VAZAO[Data],AV$27),AU196+$BB196*EXP(AV$26))</f>
        <v>1740</v>
      </c>
      <c r="AW196" s="159">
        <f ca="1">IFERROR(AVERAGEIFS(TABELA_VAZAO[qnat],TABELA_VAZAO[Posto],$R196,TABELA_VAZAO[Data],AW$27),AV196+$BB196*EXP(AW$26))</f>
        <v>1760</v>
      </c>
      <c r="AX196" s="325">
        <f ca="1">IFERROR(AVERAGEIFS(TABELA_VAZAO[qnat],TABELA_VAZAO[Posto],$R196,TABELA_VAZAO[Data],AX$27),AW196+$BB196*EXP(AX$26))</f>
        <v>1756.8571428571429</v>
      </c>
      <c r="AY196" s="325">
        <f ca="1">IFERROR(AVERAGEIFS(TABELA_VAZAO[qnat],TABELA_VAZAO[Posto],$R196,TABELA_VAZAO[Data],AY$27),AX196+$BB196*EXP(AY$26))</f>
        <v>1754.7504227124593</v>
      </c>
      <c r="AZ196" s="326">
        <f ca="1">IFERROR(AVERAGEIFS(TABELA_VAZAO[qnat],TABELA_VAZAO[Posto],$R196,TABELA_VAZAO[Data],AZ$27),AY196+$BB196*EXP(AZ$26))</f>
        <v>1753.3382459680909</v>
      </c>
      <c r="BA196" s="326">
        <f ca="1">IFERROR(AVERAGEIFS(TABELA_VAZAO[qnat],TABELA_VAZAO[Posto],$R196,TABELA_VAZAO[Data],BA$27),AZ196+$BB196*EXP(BA$26))</f>
        <v>1752.3916355877955</v>
      </c>
      <c r="BB196" s="121">
        <f t="shared" ca="1" si="70"/>
        <v>-3.1428571428571428</v>
      </c>
      <c r="BC196" s="272">
        <f t="shared" ca="1" si="72"/>
        <v>-23</v>
      </c>
      <c r="BD196" s="272">
        <f t="shared" ca="1" si="71"/>
        <v>7</v>
      </c>
      <c r="BE196" s="272">
        <f t="shared" ca="1" si="71"/>
        <v>-33</v>
      </c>
      <c r="BF196" s="272">
        <f t="shared" ca="1" si="71"/>
        <v>20</v>
      </c>
      <c r="BG196"/>
    </row>
    <row r="197" spans="18:59" x14ac:dyDescent="0.2">
      <c r="R197">
        <v>170</v>
      </c>
      <c r="S197" s="40"/>
      <c r="T197" s="40"/>
      <c r="U197" s="131"/>
      <c r="V197" s="131"/>
      <c r="W197" s="131"/>
      <c r="X197" s="131"/>
      <c r="Y197" s="131"/>
      <c r="Z197" s="131"/>
      <c r="AA197" s="131"/>
      <c r="AB197" s="131"/>
      <c r="AN197" s="121"/>
      <c r="AO197" s="121" t="e">
        <f t="shared" si="68"/>
        <v>#DIV/0!</v>
      </c>
      <c r="AP197" s="121" t="b">
        <f t="shared" si="69"/>
        <v>0</v>
      </c>
      <c r="AU197" s="121"/>
      <c r="AV197" s="121"/>
      <c r="AW197" s="159"/>
      <c r="AX197" s="159"/>
      <c r="AY197" s="159"/>
      <c r="AZ197" s="157"/>
      <c r="BA197" s="157"/>
      <c r="BB197" s="121">
        <f t="shared" ca="1" si="70"/>
        <v>0</v>
      </c>
      <c r="BC197" s="272">
        <f t="shared" ca="1" si="72"/>
        <v>0</v>
      </c>
      <c r="BD197" s="272">
        <f t="shared" ca="1" si="71"/>
        <v>0</v>
      </c>
      <c r="BE197" s="272">
        <f t="shared" ca="1" si="71"/>
        <v>0</v>
      </c>
      <c r="BF197" s="272">
        <f t="shared" ca="1" si="71"/>
        <v>0</v>
      </c>
      <c r="BG197"/>
    </row>
    <row r="198" spans="18:59" x14ac:dyDescent="0.2">
      <c r="R198">
        <v>171</v>
      </c>
      <c r="S198" s="40"/>
      <c r="T198" s="40"/>
      <c r="U198" s="131"/>
      <c r="V198" s="131"/>
      <c r="W198" s="131"/>
      <c r="X198" s="131"/>
      <c r="Y198" s="131"/>
      <c r="Z198" s="131"/>
      <c r="AA198" s="131"/>
      <c r="AB198" s="131"/>
      <c r="AN198" s="121"/>
      <c r="AO198" s="121" t="e">
        <f t="shared" si="68"/>
        <v>#DIV/0!</v>
      </c>
      <c r="AP198" s="121" t="b">
        <f t="shared" si="69"/>
        <v>0</v>
      </c>
      <c r="AU198" s="121"/>
      <c r="AV198" s="121"/>
      <c r="AW198" s="159"/>
      <c r="AX198" s="159"/>
      <c r="AY198" s="159"/>
      <c r="AZ198" s="157"/>
      <c r="BA198" s="157"/>
      <c r="BB198" s="121">
        <f t="shared" ca="1" si="70"/>
        <v>0</v>
      </c>
      <c r="BC198" s="272">
        <f t="shared" ca="1" si="72"/>
        <v>0</v>
      </c>
      <c r="BD198" s="272">
        <f t="shared" ca="1" si="71"/>
        <v>0</v>
      </c>
      <c r="BE198" s="272">
        <f t="shared" ca="1" si="71"/>
        <v>0</v>
      </c>
      <c r="BF198" s="272">
        <f t="shared" ca="1" si="71"/>
        <v>0</v>
      </c>
      <c r="BG198"/>
    </row>
    <row r="199" spans="18:59" x14ac:dyDescent="0.2">
      <c r="R199">
        <v>172</v>
      </c>
      <c r="S199" s="40">
        <f ca="1">AO199</f>
        <v>1757</v>
      </c>
      <c r="T199" s="131" t="str">
        <f t="shared" ref="T199:AA200" ca="1" si="85">IF(AND($K$4,ISNUMBER(H$143)),ROUND(G$143*S199,0),"")</f>
        <v/>
      </c>
      <c r="U199" s="131" t="str">
        <f t="shared" ca="1" si="85"/>
        <v/>
      </c>
      <c r="V199" s="131" t="str">
        <f t="shared" ca="1" si="85"/>
        <v/>
      </c>
      <c r="W199" s="131" t="str">
        <f t="shared" ca="1" si="85"/>
        <v/>
      </c>
      <c r="X199" s="131" t="str">
        <f t="shared" ca="1" si="85"/>
        <v/>
      </c>
      <c r="Y199" s="131" t="str">
        <f t="shared" ca="1" si="85"/>
        <v/>
      </c>
      <c r="Z199" s="131" t="str">
        <f t="shared" ca="1" si="85"/>
        <v/>
      </c>
      <c r="AA199" s="131" t="str">
        <f t="shared" si="85"/>
        <v/>
      </c>
      <c r="AB199" s="131"/>
      <c r="AN199" s="121"/>
      <c r="AO199" s="121">
        <f t="shared" ca="1" si="68"/>
        <v>1757</v>
      </c>
      <c r="AP199" s="121" t="b">
        <f t="shared" si="69"/>
        <v>0</v>
      </c>
      <c r="AQ199" s="272">
        <f ca="1">+AVERAGEIFS(TABELA_VAZAO[qnat],TABELA_VAZAO[Posto],$R199,TABELA_VAZAO[Data],AQ$27)</f>
        <v>2022</v>
      </c>
      <c r="AR199" s="272">
        <f ca="1">+AVERAGEIFS(TABELA_VAZAO[qnat],TABELA_VAZAO[Posto],$R199,TABELA_VAZAO[Data],AR$27)</f>
        <v>1952</v>
      </c>
      <c r="AS199" s="272">
        <f ca="1">+AVERAGEIFS(TABELA_VAZAO[qnat],TABELA_VAZAO[Posto],$R199,TABELA_VAZAO[Data],AS$27)</f>
        <v>1879</v>
      </c>
      <c r="AT199" s="272">
        <f ca="1">+AVERAGEIFS(TABELA_VAZAO[qnat],TABELA_VAZAO[Posto],$R199,TABELA_VAZAO[Data],AT$27)</f>
        <v>1826</v>
      </c>
      <c r="AU199" s="121">
        <f ca="1">+AVERAGEIFS(TABELA_VAZAO[qnat],TABELA_VAZAO[Posto],$R199,TABELA_VAZAO[Data],AU$27)</f>
        <v>1789</v>
      </c>
      <c r="AV199" s="272">
        <f ca="1">IFERROR(AVERAGEIFS(TABELA_VAZAO[qnat],TABELA_VAZAO[Posto],$R199,TABELA_VAZAO[Data],AV$27),AU199+$BB199*EXP(AV$26))</f>
        <v>1766</v>
      </c>
      <c r="AW199" s="159">
        <f ca="1">IFERROR(AVERAGEIFS(TABELA_VAZAO[qnat],TABELA_VAZAO[Posto],$R199,TABELA_VAZAO[Data],AW$27),AV199+$BB199*EXP(AW$26))</f>
        <v>1773</v>
      </c>
      <c r="AX199" s="325">
        <f ca="1">IFERROR(AVERAGEIFS(TABELA_VAZAO[qnat],TABELA_VAZAO[Posto],$R199,TABELA_VAZAO[Data],AX$27),AW199+$BB199*EXP(AX$26))</f>
        <v>1756.5714285714287</v>
      </c>
      <c r="AY199" s="325">
        <f ca="1">IFERROR(AVERAGEIFS(TABELA_VAZAO[qnat],TABELA_VAZAO[Posto],$R199,TABELA_VAZAO[Data],AY$27),AX199+$BB199*EXP(AY$26))</f>
        <v>1745.559027815129</v>
      </c>
      <c r="AZ199" s="326">
        <f ca="1">IFERROR(AVERAGEIFS(TABELA_VAZAO[qnat],TABELA_VAZAO[Posto],$R199,TABELA_VAZAO[Data],AZ$27),AY199+$BB199*EXP(AZ$26))</f>
        <v>1738.1771948332032</v>
      </c>
      <c r="BA199" s="326">
        <f ca="1">IFERROR(AVERAGEIFS(TABELA_VAZAO[qnat],TABELA_VAZAO[Posto],$R199,TABELA_VAZAO[Data],BA$27),AZ199+$BB199*EXP(BA$26))</f>
        <v>1733.2290042089312</v>
      </c>
      <c r="BB199" s="121">
        <f t="shared" ca="1" si="70"/>
        <v>-16.428571428571427</v>
      </c>
      <c r="BC199" s="272">
        <f t="shared" ca="1" si="72"/>
        <v>-53</v>
      </c>
      <c r="BD199" s="272">
        <f t="shared" ca="1" si="71"/>
        <v>-37</v>
      </c>
      <c r="BE199" s="272">
        <f t="shared" ca="1" si="71"/>
        <v>-23</v>
      </c>
      <c r="BF199" s="272">
        <f t="shared" ca="1" si="71"/>
        <v>7</v>
      </c>
      <c r="BG199"/>
    </row>
    <row r="200" spans="18:59" x14ac:dyDescent="0.2">
      <c r="R200">
        <v>173</v>
      </c>
      <c r="S200" s="40">
        <f ca="1">AO200</f>
        <v>1757</v>
      </c>
      <c r="T200" s="131" t="str">
        <f t="shared" ca="1" si="85"/>
        <v/>
      </c>
      <c r="U200" s="131" t="str">
        <f t="shared" ca="1" si="85"/>
        <v/>
      </c>
      <c r="V200" s="131" t="str">
        <f t="shared" ca="1" si="85"/>
        <v/>
      </c>
      <c r="W200" s="131" t="str">
        <f t="shared" ca="1" si="85"/>
        <v/>
      </c>
      <c r="X200" s="131" t="str">
        <f t="shared" ca="1" si="85"/>
        <v/>
      </c>
      <c r="Y200" s="131" t="str">
        <f t="shared" ca="1" si="85"/>
        <v/>
      </c>
      <c r="Z200" s="131" t="str">
        <f t="shared" ca="1" si="85"/>
        <v/>
      </c>
      <c r="AA200" s="131" t="str">
        <f t="shared" si="85"/>
        <v/>
      </c>
      <c r="AB200" s="131"/>
      <c r="AN200" s="121"/>
      <c r="AO200" s="121">
        <f t="shared" ca="1" si="68"/>
        <v>1757</v>
      </c>
      <c r="AP200" s="121" t="b">
        <f t="shared" si="69"/>
        <v>0</v>
      </c>
      <c r="AQ200" s="272">
        <f ca="1">+AVERAGEIFS(TABELA_VAZAO[qnat],TABELA_VAZAO[Posto],$R200,TABELA_VAZAO[Data],AQ$27)</f>
        <v>2022</v>
      </c>
      <c r="AR200" s="272">
        <f ca="1">+AVERAGEIFS(TABELA_VAZAO[qnat],TABELA_VAZAO[Posto],$R200,TABELA_VAZAO[Data],AR$27)</f>
        <v>1952</v>
      </c>
      <c r="AS200" s="272">
        <f ca="1">+AVERAGEIFS(TABELA_VAZAO[qnat],TABELA_VAZAO[Posto],$R200,TABELA_VAZAO[Data],AS$27)</f>
        <v>1879</v>
      </c>
      <c r="AT200" s="272">
        <f ca="1">+AVERAGEIFS(TABELA_VAZAO[qnat],TABELA_VAZAO[Posto],$R200,TABELA_VAZAO[Data],AT$27)</f>
        <v>1826</v>
      </c>
      <c r="AU200" s="121">
        <f ca="1">+AVERAGEIFS(TABELA_VAZAO[qnat],TABELA_VAZAO[Posto],$R200,TABELA_VAZAO[Data],AU$27)</f>
        <v>1789</v>
      </c>
      <c r="AV200" s="272">
        <f ca="1">IFERROR(AVERAGEIFS(TABELA_VAZAO[qnat],TABELA_VAZAO[Posto],$R200,TABELA_VAZAO[Data],AV$27),AU200+$BB200*EXP(AV$26))</f>
        <v>1766</v>
      </c>
      <c r="AW200" s="159">
        <f ca="1">IFERROR(AVERAGEIFS(TABELA_VAZAO[qnat],TABELA_VAZAO[Posto],$R200,TABELA_VAZAO[Data],AW$27),AV200+$BB200*EXP(AW$26))</f>
        <v>1773</v>
      </c>
      <c r="AX200" s="325">
        <f ca="1">IFERROR(AVERAGEIFS(TABELA_VAZAO[qnat],TABELA_VAZAO[Posto],$R200,TABELA_VAZAO[Data],AX$27),AW200+$BB200*EXP(AX$26))</f>
        <v>1756.5714285714287</v>
      </c>
      <c r="AY200" s="325">
        <f ca="1">IFERROR(AVERAGEIFS(TABELA_VAZAO[qnat],TABELA_VAZAO[Posto],$R200,TABELA_VAZAO[Data],AY$27),AX200+$BB200*EXP(AY$26))</f>
        <v>1745.559027815129</v>
      </c>
      <c r="AZ200" s="326">
        <f ca="1">IFERROR(AVERAGEIFS(TABELA_VAZAO[qnat],TABELA_VAZAO[Posto],$R200,TABELA_VAZAO[Data],AZ$27),AY200+$BB200*EXP(AZ$26))</f>
        <v>1738.1771948332032</v>
      </c>
      <c r="BA200" s="326">
        <f ca="1">IFERROR(AVERAGEIFS(TABELA_VAZAO[qnat],TABELA_VAZAO[Posto],$R200,TABELA_VAZAO[Data],BA$27),AZ200+$BB200*EXP(BA$26))</f>
        <v>1733.2290042089312</v>
      </c>
      <c r="BB200" s="121">
        <f t="shared" ca="1" si="70"/>
        <v>-16.428571428571427</v>
      </c>
      <c r="BC200" s="272">
        <f t="shared" ca="1" si="72"/>
        <v>-53</v>
      </c>
      <c r="BD200" s="272">
        <f t="shared" ca="1" si="71"/>
        <v>-37</v>
      </c>
      <c r="BE200" s="272">
        <f t="shared" ca="1" si="71"/>
        <v>-23</v>
      </c>
      <c r="BF200" s="272">
        <f t="shared" ca="1" si="71"/>
        <v>7</v>
      </c>
      <c r="BG200"/>
    </row>
    <row r="201" spans="18:59" x14ac:dyDescent="0.2">
      <c r="R201">
        <v>174</v>
      </c>
      <c r="S201" s="40"/>
      <c r="T201" s="40"/>
      <c r="U201" s="131"/>
      <c r="V201" s="131"/>
      <c r="W201" s="131"/>
      <c r="X201" s="131"/>
      <c r="Y201" s="131"/>
      <c r="Z201" s="131"/>
      <c r="AA201" s="131"/>
      <c r="AB201" s="131"/>
      <c r="AN201" s="121"/>
      <c r="AO201" s="121" t="e">
        <f t="shared" si="68"/>
        <v>#DIV/0!</v>
      </c>
      <c r="AP201" s="121" t="b">
        <f t="shared" si="69"/>
        <v>0</v>
      </c>
      <c r="AU201" s="121"/>
      <c r="AV201" s="121"/>
      <c r="AW201" s="159"/>
      <c r="AX201" s="159"/>
      <c r="AY201" s="159"/>
      <c r="AZ201" s="157"/>
      <c r="BA201" s="157"/>
      <c r="BB201" s="121">
        <f t="shared" ca="1" si="70"/>
        <v>0</v>
      </c>
      <c r="BC201" s="272">
        <f t="shared" ca="1" si="72"/>
        <v>0</v>
      </c>
      <c r="BD201" s="272">
        <f t="shared" ca="1" si="71"/>
        <v>0</v>
      </c>
      <c r="BE201" s="272">
        <f t="shared" ca="1" si="71"/>
        <v>0</v>
      </c>
      <c r="BF201" s="272">
        <f t="shared" ca="1" si="71"/>
        <v>0</v>
      </c>
      <c r="BG201"/>
    </row>
    <row r="202" spans="18:59" x14ac:dyDescent="0.2">
      <c r="R202">
        <v>175</v>
      </c>
      <c r="S202" s="40"/>
      <c r="T202" s="40"/>
      <c r="U202" s="131"/>
      <c r="V202" s="131"/>
      <c r="W202" s="131"/>
      <c r="X202" s="131"/>
      <c r="Y202" s="131"/>
      <c r="Z202" s="131"/>
      <c r="AA202" s="131"/>
      <c r="AB202" s="131"/>
      <c r="AN202" s="121"/>
      <c r="AO202" s="121" t="e">
        <f t="shared" si="68"/>
        <v>#DIV/0!</v>
      </c>
      <c r="AP202" s="121" t="b">
        <f t="shared" si="69"/>
        <v>0</v>
      </c>
      <c r="AU202" s="121"/>
      <c r="AV202" s="121"/>
      <c r="AW202" s="159"/>
      <c r="AX202" s="159"/>
      <c r="AY202" s="159"/>
      <c r="AZ202" s="157"/>
      <c r="BA202" s="157"/>
      <c r="BB202" s="121">
        <f t="shared" ca="1" si="70"/>
        <v>0</v>
      </c>
      <c r="BC202" s="272">
        <f t="shared" ca="1" si="72"/>
        <v>0</v>
      </c>
      <c r="BD202" s="272">
        <f t="shared" ca="1" si="71"/>
        <v>0</v>
      </c>
      <c r="BE202" s="272">
        <f t="shared" ca="1" si="71"/>
        <v>0</v>
      </c>
      <c r="BF202" s="272">
        <f t="shared" ca="1" si="71"/>
        <v>0</v>
      </c>
      <c r="BG202"/>
    </row>
    <row r="203" spans="18:59" x14ac:dyDescent="0.2">
      <c r="R203">
        <v>176</v>
      </c>
      <c r="S203" s="40"/>
      <c r="T203" s="40"/>
      <c r="U203" s="131"/>
      <c r="V203" s="131"/>
      <c r="W203" s="131"/>
      <c r="X203" s="131"/>
      <c r="Y203" s="131"/>
      <c r="Z203" s="131"/>
      <c r="AA203" s="131"/>
      <c r="AB203" s="131"/>
      <c r="AN203" s="121"/>
      <c r="AO203" s="121" t="e">
        <f t="shared" si="68"/>
        <v>#DIV/0!</v>
      </c>
      <c r="AP203" s="121" t="b">
        <f t="shared" si="69"/>
        <v>0</v>
      </c>
      <c r="AU203" s="121"/>
      <c r="AV203" s="121"/>
      <c r="AW203" s="159"/>
      <c r="AX203" s="159"/>
      <c r="AY203" s="159"/>
      <c r="AZ203" s="157"/>
      <c r="BA203" s="157"/>
      <c r="BB203" s="121">
        <f t="shared" ca="1" si="70"/>
        <v>0</v>
      </c>
      <c r="BC203" s="272">
        <f t="shared" ca="1" si="72"/>
        <v>0</v>
      </c>
      <c r="BD203" s="272">
        <f t="shared" ca="1" si="71"/>
        <v>0</v>
      </c>
      <c r="BE203" s="272">
        <f t="shared" ca="1" si="71"/>
        <v>0</v>
      </c>
      <c r="BF203" s="272">
        <f t="shared" ca="1" si="71"/>
        <v>0</v>
      </c>
      <c r="BG203"/>
    </row>
    <row r="204" spans="18:59" x14ac:dyDescent="0.2">
      <c r="R204">
        <v>177</v>
      </c>
      <c r="S204" s="40"/>
      <c r="T204" s="40"/>
      <c r="U204" s="131"/>
      <c r="V204" s="131"/>
      <c r="W204" s="131"/>
      <c r="X204" s="131"/>
      <c r="Y204" s="131"/>
      <c r="Z204" s="131"/>
      <c r="AA204" s="131"/>
      <c r="AB204" s="131"/>
      <c r="AN204" s="121"/>
      <c r="AO204" s="121" t="e">
        <f t="shared" si="68"/>
        <v>#DIV/0!</v>
      </c>
      <c r="AP204" s="121" t="b">
        <f t="shared" si="69"/>
        <v>0</v>
      </c>
      <c r="AU204" s="121"/>
      <c r="AV204" s="121"/>
      <c r="AW204" s="159"/>
      <c r="AX204" s="159"/>
      <c r="AY204" s="159"/>
      <c r="AZ204" s="157"/>
      <c r="BA204" s="157"/>
      <c r="BB204" s="121">
        <f t="shared" ca="1" si="70"/>
        <v>0</v>
      </c>
      <c r="BC204" s="272">
        <f t="shared" ca="1" si="72"/>
        <v>0</v>
      </c>
      <c r="BD204" s="272">
        <f t="shared" ca="1" si="71"/>
        <v>0</v>
      </c>
      <c r="BE204" s="272">
        <f t="shared" ca="1" si="71"/>
        <v>0</v>
      </c>
      <c r="BF204" s="272">
        <f t="shared" ca="1" si="71"/>
        <v>0</v>
      </c>
      <c r="BG204"/>
    </row>
    <row r="205" spans="18:59" x14ac:dyDescent="0.2">
      <c r="R205">
        <v>178</v>
      </c>
      <c r="S205" s="40">
        <f ca="1">AO205</f>
        <v>1738</v>
      </c>
      <c r="T205" s="131" t="str">
        <f t="shared" ref="T205:AA205" ca="1" si="86">IF(AND($K$4,ISNUMBER(H$143)),ROUND(G$143*S205,0),"")</f>
        <v/>
      </c>
      <c r="U205" s="131" t="str">
        <f t="shared" ca="1" si="86"/>
        <v/>
      </c>
      <c r="V205" s="131" t="str">
        <f t="shared" ca="1" si="86"/>
        <v/>
      </c>
      <c r="W205" s="131" t="str">
        <f t="shared" ca="1" si="86"/>
        <v/>
      </c>
      <c r="X205" s="131" t="str">
        <f t="shared" ca="1" si="86"/>
        <v/>
      </c>
      <c r="Y205" s="131" t="str">
        <f t="shared" ca="1" si="86"/>
        <v/>
      </c>
      <c r="Z205" s="131" t="str">
        <f t="shared" ca="1" si="86"/>
        <v/>
      </c>
      <c r="AA205" s="131" t="str">
        <f t="shared" si="86"/>
        <v/>
      </c>
      <c r="AB205" s="131"/>
      <c r="AN205" s="121"/>
      <c r="AO205" s="121">
        <f t="shared" ca="1" si="68"/>
        <v>1738</v>
      </c>
      <c r="AP205" s="121" t="b">
        <f t="shared" si="69"/>
        <v>0</v>
      </c>
      <c r="AQ205" s="272">
        <f ca="1">+AVERAGEIFS(TABELA_VAZAO[qnat],TABELA_VAZAO[Posto],$R205,TABELA_VAZAO[Data],AQ$27)</f>
        <v>2138</v>
      </c>
      <c r="AR205" s="272">
        <f ca="1">+AVERAGEIFS(TABELA_VAZAO[qnat],TABELA_VAZAO[Posto],$R205,TABELA_VAZAO[Data],AR$27)</f>
        <v>2022</v>
      </c>
      <c r="AS205" s="272">
        <f ca="1">+AVERAGEIFS(TABELA_VAZAO[qnat],TABELA_VAZAO[Posto],$R205,TABELA_VAZAO[Data],AS$27)</f>
        <v>1952</v>
      </c>
      <c r="AT205" s="272">
        <f ca="1">+AVERAGEIFS(TABELA_VAZAO[qnat],TABELA_VAZAO[Posto],$R205,TABELA_VAZAO[Data],AT$27)</f>
        <v>1879</v>
      </c>
      <c r="AU205" s="121">
        <f ca="1">+AVERAGEIFS(TABELA_VAZAO[qnat],TABELA_VAZAO[Posto],$R205,TABELA_VAZAO[Data],AU$27)</f>
        <v>1826</v>
      </c>
      <c r="AV205" s="272">
        <f ca="1">IFERROR(AVERAGEIFS(TABELA_VAZAO[qnat],TABELA_VAZAO[Posto],$R205,TABELA_VAZAO[Data],AV$27),AU205+$BB205*EXP(AV$26))</f>
        <v>1789</v>
      </c>
      <c r="AW205" s="159">
        <f ca="1">IFERROR(AVERAGEIFS(TABELA_VAZAO[qnat],TABELA_VAZAO[Posto],$R205,TABELA_VAZAO[Data],AW$27),AV205+$BB205*EXP(AW$26))</f>
        <v>1766</v>
      </c>
      <c r="AX205" s="325">
        <f ca="1">IFERROR(AVERAGEIFS(TABELA_VAZAO[qnat],TABELA_VAZAO[Posto],$R205,TABELA_VAZAO[Data],AX$27),AW205+$BB205*EXP(AX$26))</f>
        <v>1727.5714285714287</v>
      </c>
      <c r="AY205" s="325">
        <f ca="1">IFERROR(AVERAGEIFS(TABELA_VAZAO[qnat],TABELA_VAZAO[Posto],$R205,TABELA_VAZAO[Data],AY$27),AX205+$BB205*EXP(AY$26))</f>
        <v>1701.8119868023448</v>
      </c>
      <c r="AZ205" s="326">
        <f ca="1">IFERROR(AVERAGEIFS(TABELA_VAZAO[qnat],TABELA_VAZAO[Posto],$R205,TABELA_VAZAO[Data],AZ$27),AY205+$BB205*EXP(AZ$26))</f>
        <v>1684.5449166098401</v>
      </c>
      <c r="BA205" s="326">
        <f ca="1">IFERROR(AVERAGEIFS(TABELA_VAZAO[qnat],TABELA_VAZAO[Posto],$R205,TABELA_VAZAO[Data],BA$27),AZ205+$BB205*EXP(BA$26))</f>
        <v>1672.9704533234999</v>
      </c>
      <c r="BB205" s="121">
        <f t="shared" ca="1" si="70"/>
        <v>-38.428571428571431</v>
      </c>
      <c r="BC205" s="272">
        <f t="shared" ca="1" si="72"/>
        <v>-73</v>
      </c>
      <c r="BD205" s="272">
        <f t="shared" ca="1" si="71"/>
        <v>-53</v>
      </c>
      <c r="BE205" s="272">
        <f t="shared" ca="1" si="71"/>
        <v>-37</v>
      </c>
      <c r="BF205" s="272">
        <f t="shared" ca="1" si="71"/>
        <v>-23</v>
      </c>
      <c r="BG205"/>
    </row>
    <row r="206" spans="18:59" x14ac:dyDescent="0.2">
      <c r="R206">
        <v>179</v>
      </c>
      <c r="S206" s="40"/>
      <c r="T206" s="40"/>
      <c r="U206" s="131"/>
      <c r="V206" s="131"/>
      <c r="W206" s="131"/>
      <c r="X206" s="131"/>
      <c r="Y206" s="131"/>
      <c r="Z206" s="131"/>
      <c r="AA206" s="131"/>
      <c r="AB206" s="131"/>
      <c r="AN206" s="121"/>
      <c r="AO206" s="121" t="e">
        <f t="shared" si="68"/>
        <v>#DIV/0!</v>
      </c>
      <c r="AP206" s="121" t="b">
        <f t="shared" si="69"/>
        <v>0</v>
      </c>
      <c r="AU206" s="121"/>
      <c r="AV206" s="121"/>
      <c r="AW206" s="159"/>
      <c r="AX206" s="159"/>
      <c r="AY206" s="159"/>
      <c r="AZ206" s="157"/>
      <c r="BA206" s="157"/>
      <c r="BB206" s="121">
        <f t="shared" ca="1" si="70"/>
        <v>0</v>
      </c>
      <c r="BC206" s="272">
        <f t="shared" ca="1" si="72"/>
        <v>0</v>
      </c>
      <c r="BD206" s="272">
        <f t="shared" ca="1" si="71"/>
        <v>0</v>
      </c>
      <c r="BE206" s="272">
        <f t="shared" ca="1" si="71"/>
        <v>0</v>
      </c>
      <c r="BF206" s="272">
        <f t="shared" ca="1" si="71"/>
        <v>0</v>
      </c>
      <c r="BG206"/>
    </row>
    <row r="207" spans="18:59" x14ac:dyDescent="0.2">
      <c r="R207">
        <v>180</v>
      </c>
      <c r="S207" s="40"/>
      <c r="T207" s="40"/>
      <c r="U207" s="131"/>
      <c r="V207" s="131"/>
      <c r="W207" s="131"/>
      <c r="X207" s="131"/>
      <c r="Y207" s="131"/>
      <c r="Z207" s="131"/>
      <c r="AA207" s="131"/>
      <c r="AB207" s="131"/>
      <c r="AN207" s="121"/>
      <c r="AO207" s="121" t="e">
        <f t="shared" si="68"/>
        <v>#DIV/0!</v>
      </c>
      <c r="AP207" s="121" t="b">
        <f t="shared" si="69"/>
        <v>0</v>
      </c>
      <c r="AU207" s="121"/>
      <c r="AV207" s="121"/>
      <c r="AW207" s="159"/>
      <c r="AX207" s="159"/>
      <c r="AY207" s="159"/>
      <c r="AZ207" s="157"/>
      <c r="BA207" s="157"/>
      <c r="BB207" s="121">
        <f t="shared" ca="1" si="70"/>
        <v>0</v>
      </c>
      <c r="BC207" s="272">
        <f t="shared" ca="1" si="72"/>
        <v>0</v>
      </c>
      <c r="BD207" s="272">
        <f t="shared" ca="1" si="71"/>
        <v>0</v>
      </c>
      <c r="BE207" s="272">
        <f t="shared" ca="1" si="71"/>
        <v>0</v>
      </c>
      <c r="BF207" s="272">
        <f t="shared" ca="1" si="71"/>
        <v>0</v>
      </c>
      <c r="BG207"/>
    </row>
    <row r="208" spans="18:59" x14ac:dyDescent="0.2">
      <c r="R208">
        <v>181</v>
      </c>
      <c r="S208" s="40"/>
      <c r="T208" s="40"/>
      <c r="U208" s="131"/>
      <c r="V208" s="131"/>
      <c r="W208" s="131"/>
      <c r="X208" s="131"/>
      <c r="Y208" s="131"/>
      <c r="Z208" s="131"/>
      <c r="AA208" s="131"/>
      <c r="AB208" s="131"/>
      <c r="AN208" s="121"/>
      <c r="AO208" s="121" t="e">
        <f t="shared" si="68"/>
        <v>#DIV/0!</v>
      </c>
      <c r="AP208" s="121" t="b">
        <f t="shared" si="69"/>
        <v>0</v>
      </c>
      <c r="AU208" s="121"/>
      <c r="AV208" s="121"/>
      <c r="AW208" s="159"/>
      <c r="AX208" s="159"/>
      <c r="AY208" s="159"/>
      <c r="AZ208" s="157"/>
      <c r="BA208" s="157"/>
      <c r="BB208" s="121">
        <f t="shared" ca="1" si="70"/>
        <v>0</v>
      </c>
      <c r="BC208" s="272">
        <f t="shared" ca="1" si="72"/>
        <v>0</v>
      </c>
      <c r="BD208" s="272">
        <f t="shared" ca="1" si="71"/>
        <v>0</v>
      </c>
      <c r="BE208" s="272">
        <f t="shared" ca="1" si="71"/>
        <v>0</v>
      </c>
      <c r="BF208" s="272">
        <f t="shared" ca="1" si="71"/>
        <v>0</v>
      </c>
      <c r="BG208"/>
    </row>
    <row r="209" spans="18:59" x14ac:dyDescent="0.2">
      <c r="R209">
        <v>182</v>
      </c>
      <c r="S209" s="40"/>
      <c r="T209" s="40"/>
      <c r="U209" s="131"/>
      <c r="V209" s="131"/>
      <c r="W209" s="131"/>
      <c r="X209" s="131"/>
      <c r="Y209" s="131"/>
      <c r="Z209" s="131"/>
      <c r="AA209" s="131"/>
      <c r="AB209" s="131"/>
      <c r="AN209" s="121"/>
      <c r="AO209" s="121" t="e">
        <f t="shared" si="68"/>
        <v>#DIV/0!</v>
      </c>
      <c r="AP209" s="121" t="b">
        <f t="shared" si="69"/>
        <v>0</v>
      </c>
      <c r="AU209" s="121"/>
      <c r="AV209" s="121"/>
      <c r="AW209" s="159"/>
      <c r="AX209" s="159"/>
      <c r="AY209" s="159"/>
      <c r="AZ209" s="157"/>
      <c r="BA209" s="157"/>
      <c r="BB209" s="121">
        <f t="shared" ca="1" si="70"/>
        <v>0</v>
      </c>
      <c r="BC209" s="272">
        <f t="shared" ca="1" si="72"/>
        <v>0</v>
      </c>
      <c r="BD209" s="272">
        <f t="shared" ca="1" si="71"/>
        <v>0</v>
      </c>
      <c r="BE209" s="272">
        <f t="shared" ca="1" si="71"/>
        <v>0</v>
      </c>
      <c r="BF209" s="272">
        <f t="shared" ca="1" si="71"/>
        <v>0</v>
      </c>
      <c r="BG209"/>
    </row>
    <row r="210" spans="18:59" x14ac:dyDescent="0.2">
      <c r="R210">
        <v>183</v>
      </c>
      <c r="S210" s="40">
        <f ca="1">AO210</f>
        <v>113</v>
      </c>
      <c r="T210" s="131" t="str">
        <f t="shared" ref="T210:AA210" ca="1" si="87">IF(AND($K$4,ISNUMBER(H$143)),ROUND(G$143*S210,0),"")</f>
        <v/>
      </c>
      <c r="U210" s="131" t="str">
        <f t="shared" ca="1" si="87"/>
        <v/>
      </c>
      <c r="V210" s="131" t="str">
        <f t="shared" ca="1" si="87"/>
        <v/>
      </c>
      <c r="W210" s="131" t="str">
        <f t="shared" ca="1" si="87"/>
        <v/>
      </c>
      <c r="X210" s="131" t="str">
        <f t="shared" ca="1" si="87"/>
        <v/>
      </c>
      <c r="Y210" s="131" t="str">
        <f t="shared" ca="1" si="87"/>
        <v/>
      </c>
      <c r="Z210" s="131" t="str">
        <f t="shared" ca="1" si="87"/>
        <v/>
      </c>
      <c r="AA210" s="131" t="str">
        <f t="shared" si="87"/>
        <v/>
      </c>
      <c r="AB210" s="131"/>
      <c r="AN210" s="121"/>
      <c r="AO210" s="121">
        <f t="shared" ca="1" si="68"/>
        <v>113</v>
      </c>
      <c r="AP210" s="121" t="b">
        <f t="shared" si="69"/>
        <v>0</v>
      </c>
      <c r="AQ210" s="272">
        <f ca="1">+AVERAGEIFS(TABELA_VAZAO[qnat],TABELA_VAZAO[Posto],$R210,TABELA_VAZAO[Data],AQ$27)</f>
        <v>37</v>
      </c>
      <c r="AR210" s="272">
        <f ca="1">+AVERAGEIFS(TABELA_VAZAO[qnat],TABELA_VAZAO[Posto],$R210,TABELA_VAZAO[Data],AR$27)</f>
        <v>37</v>
      </c>
      <c r="AS210" s="272">
        <f ca="1">+AVERAGEIFS(TABELA_VAZAO[qnat],TABELA_VAZAO[Posto],$R210,TABELA_VAZAO[Data],AS$27)</f>
        <v>41</v>
      </c>
      <c r="AT210" s="272">
        <f ca="1">+AVERAGEIFS(TABELA_VAZAO[qnat],TABELA_VAZAO[Posto],$R210,TABELA_VAZAO[Data],AT$27)</f>
        <v>51</v>
      </c>
      <c r="AU210" s="121">
        <f ca="1">+AVERAGEIFS(TABELA_VAZAO[qnat],TABELA_VAZAO[Posto],$R210,TABELA_VAZAO[Data],AU$27)</f>
        <v>67</v>
      </c>
      <c r="AV210" s="272">
        <f ca="1">IFERROR(AVERAGEIFS(TABELA_VAZAO[qnat],TABELA_VAZAO[Posto],$R210,TABELA_VAZAO[Data],AV$27),AU210+$BB210*EXP(AV$26))</f>
        <v>88</v>
      </c>
      <c r="AW210" s="159">
        <f ca="1">IFERROR(AVERAGEIFS(TABELA_VAZAO[qnat],TABELA_VAZAO[Posto],$R210,TABELA_VAZAO[Data],AW$27),AV210+$BB210*EXP(AW$26))</f>
        <v>104</v>
      </c>
      <c r="AX210" s="325">
        <f ca="1">IFERROR(AVERAGEIFS(TABELA_VAZAO[qnat],TABELA_VAZAO[Posto],$R210,TABELA_VAZAO[Data],AX$27),AW210+$BB210*EXP(AX$26))</f>
        <v>120.57142857142857</v>
      </c>
      <c r="AY210" s="325">
        <f ca="1">IFERROR(AVERAGEIFS(TABELA_VAZAO[qnat],TABELA_VAZAO[Posto],$R210,TABELA_VAZAO[Data],AY$27),AX210+$BB210*EXP(AY$26))</f>
        <v>131.67958933430486</v>
      </c>
      <c r="AZ210" s="326">
        <f ca="1">IFERROR(AVERAGEIFS(TABELA_VAZAO[qnat],TABELA_VAZAO[Posto],$R210,TABELA_VAZAO[Data],AZ$27),AY210+$BB210*EXP(AZ$26))</f>
        <v>139.12561216824739</v>
      </c>
      <c r="BA210" s="326">
        <f ca="1">IFERROR(AVERAGEIFS(TABELA_VAZAO[qnat],TABELA_VAZAO[Posto],$R210,TABELA_VAZAO[Data],BA$27),AZ210+$BB210*EXP(BA$26))</f>
        <v>144.11683053707816</v>
      </c>
      <c r="BB210" s="121">
        <f t="shared" ca="1" si="70"/>
        <v>16.571428571428573</v>
      </c>
      <c r="BC210" s="272">
        <f t="shared" ca="1" si="72"/>
        <v>10</v>
      </c>
      <c r="BD210" s="272">
        <f t="shared" ca="1" si="71"/>
        <v>16</v>
      </c>
      <c r="BE210" s="272">
        <f t="shared" ca="1" si="71"/>
        <v>21</v>
      </c>
      <c r="BF210" s="272">
        <f t="shared" ca="1" si="71"/>
        <v>16</v>
      </c>
      <c r="BG210"/>
    </row>
    <row r="211" spans="18:59" x14ac:dyDescent="0.2">
      <c r="R211">
        <v>184</v>
      </c>
      <c r="S211" s="40"/>
      <c r="T211" s="40"/>
      <c r="U211" s="131"/>
      <c r="V211" s="131"/>
      <c r="W211" s="131"/>
      <c r="X211" s="131"/>
      <c r="Y211" s="131"/>
      <c r="Z211" s="131"/>
      <c r="AA211" s="131"/>
      <c r="AB211" s="131"/>
      <c r="AN211" s="121"/>
      <c r="AO211" s="121" t="e">
        <f t="shared" si="68"/>
        <v>#DIV/0!</v>
      </c>
      <c r="AP211" s="121" t="b">
        <f t="shared" si="69"/>
        <v>0</v>
      </c>
      <c r="AU211" s="121"/>
      <c r="AV211" s="121"/>
      <c r="AW211" s="159"/>
      <c r="AX211" s="159"/>
      <c r="AY211" s="159"/>
      <c r="AZ211" s="157"/>
      <c r="BA211" s="157"/>
      <c r="BB211" s="121">
        <f t="shared" ca="1" si="70"/>
        <v>0</v>
      </c>
      <c r="BC211" s="272">
        <f t="shared" ca="1" si="72"/>
        <v>0</v>
      </c>
      <c r="BD211" s="272">
        <f t="shared" ca="1" si="71"/>
        <v>0</v>
      </c>
      <c r="BE211" s="272">
        <f t="shared" ca="1" si="71"/>
        <v>0</v>
      </c>
      <c r="BF211" s="272">
        <f t="shared" ca="1" si="71"/>
        <v>0</v>
      </c>
      <c r="BG211"/>
    </row>
    <row r="212" spans="18:59" x14ac:dyDescent="0.2">
      <c r="R212">
        <v>185</v>
      </c>
      <c r="S212" s="40"/>
      <c r="T212" s="40"/>
      <c r="U212" s="131"/>
      <c r="V212" s="131"/>
      <c r="W212" s="131"/>
      <c r="X212" s="131"/>
      <c r="Y212" s="131"/>
      <c r="Z212" s="131"/>
      <c r="AA212" s="131"/>
      <c r="AB212" s="131"/>
      <c r="AN212" s="121"/>
      <c r="AO212" s="121" t="e">
        <f t="shared" si="68"/>
        <v>#DIV/0!</v>
      </c>
      <c r="AP212" s="121" t="b">
        <f t="shared" si="69"/>
        <v>0</v>
      </c>
      <c r="AU212" s="121"/>
      <c r="AV212" s="121"/>
      <c r="AW212" s="159"/>
      <c r="AX212" s="159"/>
      <c r="AY212" s="159"/>
      <c r="AZ212" s="157"/>
      <c r="BA212" s="157"/>
      <c r="BB212" s="121">
        <f t="shared" ca="1" si="70"/>
        <v>0</v>
      </c>
      <c r="BC212" s="272">
        <f t="shared" ca="1" si="72"/>
        <v>0</v>
      </c>
      <c r="BD212" s="272">
        <f t="shared" ca="1" si="71"/>
        <v>0</v>
      </c>
      <c r="BE212" s="272">
        <f t="shared" ca="1" si="71"/>
        <v>0</v>
      </c>
      <c r="BF212" s="272">
        <f t="shared" ca="1" si="71"/>
        <v>0</v>
      </c>
      <c r="BG212"/>
    </row>
    <row r="213" spans="18:59" x14ac:dyDescent="0.2">
      <c r="R213">
        <v>186</v>
      </c>
      <c r="S213" s="40"/>
      <c r="T213" s="40"/>
      <c r="U213" s="131"/>
      <c r="V213" s="131"/>
      <c r="W213" s="131"/>
      <c r="X213" s="131"/>
      <c r="Y213" s="131"/>
      <c r="Z213" s="131"/>
      <c r="AA213" s="131"/>
      <c r="AB213" s="131"/>
      <c r="AN213" s="121"/>
      <c r="AO213" s="121" t="e">
        <f t="shared" si="68"/>
        <v>#DIV/0!</v>
      </c>
      <c r="AP213" s="121" t="b">
        <f t="shared" si="69"/>
        <v>0</v>
      </c>
      <c r="AU213" s="121"/>
      <c r="AV213" s="121"/>
      <c r="AW213" s="159"/>
      <c r="AX213" s="159"/>
      <c r="AY213" s="159"/>
      <c r="AZ213" s="157"/>
      <c r="BA213" s="157"/>
      <c r="BB213" s="121">
        <f t="shared" ca="1" si="70"/>
        <v>0</v>
      </c>
      <c r="BC213" s="272">
        <f t="shared" ca="1" si="72"/>
        <v>0</v>
      </c>
      <c r="BD213" s="272">
        <f t="shared" ca="1" si="71"/>
        <v>0</v>
      </c>
      <c r="BE213" s="272">
        <f t="shared" ca="1" si="71"/>
        <v>0</v>
      </c>
      <c r="BF213" s="272">
        <f t="shared" ca="1" si="71"/>
        <v>0</v>
      </c>
      <c r="BG213"/>
    </row>
    <row r="214" spans="18:59" x14ac:dyDescent="0.2">
      <c r="R214">
        <v>187</v>
      </c>
      <c r="S214" s="40"/>
      <c r="T214" s="40"/>
      <c r="U214" s="131"/>
      <c r="V214" s="131"/>
      <c r="W214" s="131"/>
      <c r="X214" s="131"/>
      <c r="Y214" s="131"/>
      <c r="Z214" s="131"/>
      <c r="AA214" s="131"/>
      <c r="AB214" s="131"/>
      <c r="AN214" s="121"/>
      <c r="AO214" s="121" t="e">
        <f t="shared" si="68"/>
        <v>#DIV/0!</v>
      </c>
      <c r="AP214" s="121" t="b">
        <f t="shared" si="69"/>
        <v>0</v>
      </c>
      <c r="AU214" s="121"/>
      <c r="AV214" s="121"/>
      <c r="AW214" s="159"/>
      <c r="AX214" s="159"/>
      <c r="AY214" s="159"/>
      <c r="AZ214" s="157"/>
      <c r="BA214" s="157"/>
      <c r="BB214" s="121">
        <f t="shared" ca="1" si="70"/>
        <v>0</v>
      </c>
      <c r="BC214" s="272">
        <f t="shared" ca="1" si="72"/>
        <v>0</v>
      </c>
      <c r="BD214" s="272">
        <f t="shared" ca="1" si="71"/>
        <v>0</v>
      </c>
      <c r="BE214" s="272">
        <f t="shared" ca="1" si="71"/>
        <v>0</v>
      </c>
      <c r="BF214" s="272">
        <f t="shared" ca="1" si="71"/>
        <v>0</v>
      </c>
      <c r="BG214"/>
    </row>
    <row r="215" spans="18:59" x14ac:dyDescent="0.2">
      <c r="R215">
        <v>188</v>
      </c>
      <c r="S215" s="40">
        <f ca="1">AO215</f>
        <v>50</v>
      </c>
      <c r="T215" s="131" t="str">
        <f t="shared" ref="T215:AA215" ca="1" si="88">IF(AND($K$4,ISNUMBER(H$143)),ROUND(G$143*S215,0),"")</f>
        <v/>
      </c>
      <c r="U215" s="131" t="str">
        <f t="shared" ca="1" si="88"/>
        <v/>
      </c>
      <c r="V215" s="131" t="str">
        <f t="shared" ca="1" si="88"/>
        <v/>
      </c>
      <c r="W215" s="131" t="str">
        <f t="shared" ca="1" si="88"/>
        <v/>
      </c>
      <c r="X215" s="131" t="str">
        <f t="shared" ca="1" si="88"/>
        <v/>
      </c>
      <c r="Y215" s="131" t="str">
        <f t="shared" ca="1" si="88"/>
        <v/>
      </c>
      <c r="Z215" s="131" t="str">
        <f t="shared" ca="1" si="88"/>
        <v/>
      </c>
      <c r="AA215" s="131" t="str">
        <f t="shared" si="88"/>
        <v/>
      </c>
      <c r="AB215" s="131"/>
      <c r="AN215" s="121"/>
      <c r="AO215" s="121">
        <f t="shared" ca="1" si="68"/>
        <v>50</v>
      </c>
      <c r="AP215" s="121" t="b">
        <f t="shared" si="69"/>
        <v>0</v>
      </c>
      <c r="AQ215" s="272">
        <f ca="1">+AVERAGEIFS(TABELA_VAZAO[qnat],TABELA_VAZAO[Posto],$R215,TABELA_VAZAO[Data],AQ$27)</f>
        <v>48</v>
      </c>
      <c r="AR215" s="272">
        <f ca="1">+AVERAGEIFS(TABELA_VAZAO[qnat],TABELA_VAZAO[Posto],$R215,TABELA_VAZAO[Data],AR$27)</f>
        <v>50</v>
      </c>
      <c r="AS215" s="272">
        <f ca="1">+AVERAGEIFS(TABELA_VAZAO[qnat],TABELA_VAZAO[Posto],$R215,TABELA_VAZAO[Data],AS$27)</f>
        <v>48</v>
      </c>
      <c r="AT215" s="272">
        <f ca="1">+AVERAGEIFS(TABELA_VAZAO[qnat],TABELA_VAZAO[Posto],$R215,TABELA_VAZAO[Data],AT$27)</f>
        <v>49</v>
      </c>
      <c r="AU215" s="121">
        <f ca="1">+AVERAGEIFS(TABELA_VAZAO[qnat],TABELA_VAZAO[Posto],$R215,TABELA_VAZAO[Data],AU$27)</f>
        <v>51</v>
      </c>
      <c r="AV215" s="272">
        <f ca="1">IFERROR(AVERAGEIFS(TABELA_VAZAO[qnat],TABELA_VAZAO[Posto],$R215,TABELA_VAZAO[Data],AV$27),AU215+$BB215*EXP(AV$26))</f>
        <v>49</v>
      </c>
      <c r="AW215" s="159">
        <f ca="1">IFERROR(AVERAGEIFS(TABELA_VAZAO[qnat],TABELA_VAZAO[Posto],$R215,TABELA_VAZAO[Data],AW$27),AV215+$BB215*EXP(AW$26))</f>
        <v>50</v>
      </c>
      <c r="AX215" s="325">
        <f ca="1">IFERROR(AVERAGEIFS(TABELA_VAZAO[qnat],TABELA_VAZAO[Posto],$R215,TABELA_VAZAO[Data],AX$27),AW215+$BB215*EXP(AX$26))</f>
        <v>50.285714285714285</v>
      </c>
      <c r="AY215" s="325">
        <f ca="1">IFERROR(AVERAGEIFS(TABELA_VAZAO[qnat],TABELA_VAZAO[Posto],$R215,TABELA_VAZAO[Data],AY$27),AX215+$BB215*EXP(AY$26))</f>
        <v>50.477234298867323</v>
      </c>
      <c r="AZ215" s="326">
        <f ca="1">IFERROR(AVERAGEIFS(TABELA_VAZAO[qnat],TABELA_VAZAO[Posto],$R215,TABELA_VAZAO[Data],AZ$27),AY215+$BB215*EXP(AZ$26))</f>
        <v>50.605614002900815</v>
      </c>
      <c r="BA215" s="326">
        <f ca="1">IFERROR(AVERAGEIFS(TABELA_VAZAO[qnat],TABELA_VAZAO[Posto],$R215,TABELA_VAZAO[Data],BA$27),AZ215+$BB215*EXP(BA$26))</f>
        <v>50.691669492018583</v>
      </c>
      <c r="BB215" s="121">
        <f t="shared" ca="1" si="70"/>
        <v>0.2857142857142857</v>
      </c>
      <c r="BC215" s="272">
        <f t="shared" ca="1" si="72"/>
        <v>1</v>
      </c>
      <c r="BD215" s="272">
        <f t="shared" ca="1" si="71"/>
        <v>2</v>
      </c>
      <c r="BE215" s="272">
        <f t="shared" ca="1" si="71"/>
        <v>-2</v>
      </c>
      <c r="BF215" s="272">
        <f t="shared" ca="1" si="71"/>
        <v>1</v>
      </c>
      <c r="BG215"/>
    </row>
    <row r="216" spans="18:59" x14ac:dyDescent="0.2">
      <c r="R216">
        <v>189</v>
      </c>
      <c r="S216" s="40"/>
      <c r="T216" s="40"/>
      <c r="U216" s="131"/>
      <c r="V216" s="131"/>
      <c r="W216" s="131"/>
      <c r="X216" s="131"/>
      <c r="Y216" s="131"/>
      <c r="Z216" s="131"/>
      <c r="AA216" s="131"/>
      <c r="AB216" s="131"/>
      <c r="AN216" s="121"/>
      <c r="AO216" s="121" t="e">
        <f t="shared" si="68"/>
        <v>#DIV/0!</v>
      </c>
      <c r="AP216" s="121" t="b">
        <f t="shared" si="69"/>
        <v>0</v>
      </c>
      <c r="AU216" s="121"/>
      <c r="AV216" s="121"/>
      <c r="AW216" s="159"/>
      <c r="AX216" s="159"/>
      <c r="AY216" s="159"/>
      <c r="AZ216" s="157"/>
      <c r="BA216" s="157"/>
      <c r="BB216" s="121">
        <f t="shared" ca="1" si="70"/>
        <v>0</v>
      </c>
      <c r="BC216" s="272">
        <f t="shared" ca="1" si="72"/>
        <v>0</v>
      </c>
      <c r="BD216" s="272">
        <f t="shared" ca="1" si="71"/>
        <v>0</v>
      </c>
      <c r="BE216" s="272">
        <f t="shared" ca="1" si="71"/>
        <v>0</v>
      </c>
      <c r="BF216" s="272">
        <f t="shared" ca="1" si="71"/>
        <v>0</v>
      </c>
      <c r="BG216"/>
    </row>
    <row r="217" spans="18:59" x14ac:dyDescent="0.2">
      <c r="R217">
        <v>190</v>
      </c>
      <c r="S217" s="40">
        <f ca="1">AO217</f>
        <v>461</v>
      </c>
      <c r="T217" s="131" t="str">
        <f t="shared" ref="T217:AA218" ca="1" si="89">IF(AND($K$4,ISNUMBER(H$143)),ROUND(G$143*S217,0),"")</f>
        <v/>
      </c>
      <c r="U217" s="131" t="str">
        <f t="shared" ca="1" si="89"/>
        <v/>
      </c>
      <c r="V217" s="131" t="str">
        <f t="shared" ca="1" si="89"/>
        <v/>
      </c>
      <c r="W217" s="131" t="str">
        <f t="shared" ca="1" si="89"/>
        <v/>
      </c>
      <c r="X217" s="131" t="str">
        <f t="shared" ca="1" si="89"/>
        <v/>
      </c>
      <c r="Y217" s="131" t="str">
        <f t="shared" ca="1" si="89"/>
        <v/>
      </c>
      <c r="Z217" s="131" t="str">
        <f t="shared" ca="1" si="89"/>
        <v/>
      </c>
      <c r="AA217" s="131" t="str">
        <f t="shared" si="89"/>
        <v/>
      </c>
      <c r="AB217" s="131"/>
      <c r="AN217" s="121"/>
      <c r="AO217" s="121">
        <f t="shared" ca="1" si="68"/>
        <v>461</v>
      </c>
      <c r="AP217" s="121" t="b">
        <f t="shared" si="69"/>
        <v>0</v>
      </c>
      <c r="AQ217" s="272">
        <f ca="1">+AVERAGEIFS(TABELA_VAZAO[qnat],TABELA_VAZAO[Posto],$R217,TABELA_VAZAO[Data],AQ$27)</f>
        <v>261</v>
      </c>
      <c r="AR217" s="272">
        <f ca="1">+AVERAGEIFS(TABELA_VAZAO[qnat],TABELA_VAZAO[Posto],$R217,TABELA_VAZAO[Data],AR$27)</f>
        <v>261</v>
      </c>
      <c r="AS217" s="272">
        <f ca="1">+AVERAGEIFS(TABELA_VAZAO[qnat],TABELA_VAZAO[Posto],$R217,TABELA_VAZAO[Data],AS$27)</f>
        <v>276</v>
      </c>
      <c r="AT217" s="272">
        <f ca="1">+AVERAGEIFS(TABELA_VAZAO[qnat],TABELA_VAZAO[Posto],$R217,TABELA_VAZAO[Data],AT$27)</f>
        <v>303</v>
      </c>
      <c r="AU217" s="121">
        <f ca="1">+AVERAGEIFS(TABELA_VAZAO[qnat],TABELA_VAZAO[Posto],$R217,TABELA_VAZAO[Data],AU$27)</f>
        <v>350</v>
      </c>
      <c r="AV217" s="272">
        <f ca="1">IFERROR(AVERAGEIFS(TABELA_VAZAO[qnat],TABELA_VAZAO[Posto],$R217,TABELA_VAZAO[Data],AV$27),AU217+$BB217*EXP(AV$26))</f>
        <v>405</v>
      </c>
      <c r="AW217" s="159">
        <f ca="1">IFERROR(AVERAGEIFS(TABELA_VAZAO[qnat],TABELA_VAZAO[Posto],$R217,TABELA_VAZAO[Data],AW$27),AV217+$BB217*EXP(AW$26))</f>
        <v>437</v>
      </c>
      <c r="AX217" s="325">
        <f ca="1">IFERROR(AVERAGEIFS(TABELA_VAZAO[qnat],TABELA_VAZAO[Posto],$R217,TABELA_VAZAO[Data],AX$27),AW217+$BB217*EXP(AX$26))</f>
        <v>477</v>
      </c>
      <c r="AY217" s="325">
        <f ca="1">IFERROR(AVERAGEIFS(TABELA_VAZAO[qnat],TABELA_VAZAO[Posto],$R217,TABELA_VAZAO[Data],AY$27),AX217+$BB217*EXP(AY$26))</f>
        <v>503.8128018414256</v>
      </c>
      <c r="AZ217" s="326">
        <f ca="1">IFERROR(AVERAGEIFS(TABELA_VAZAO[qnat],TABELA_VAZAO[Posto],$R217,TABELA_VAZAO[Data],AZ$27),AY217+$BB217*EXP(AZ$26))</f>
        <v>521.78596040611444</v>
      </c>
      <c r="BA217" s="326">
        <f ca="1">IFERROR(AVERAGEIFS(TABELA_VAZAO[qnat],TABELA_VAZAO[Posto],$R217,TABELA_VAZAO[Data],BA$27),AZ217+$BB217*EXP(BA$26))</f>
        <v>533.83372888260249</v>
      </c>
      <c r="BB217" s="121">
        <f t="shared" ca="1" si="70"/>
        <v>40</v>
      </c>
      <c r="BC217" s="272">
        <f t="shared" ca="1" si="72"/>
        <v>27</v>
      </c>
      <c r="BD217" s="272">
        <f t="shared" ca="1" si="71"/>
        <v>47</v>
      </c>
      <c r="BE217" s="272">
        <f t="shared" ca="1" si="71"/>
        <v>55</v>
      </c>
      <c r="BF217" s="272">
        <f t="shared" ca="1" si="71"/>
        <v>32</v>
      </c>
      <c r="BG217"/>
    </row>
    <row r="218" spans="18:59" x14ac:dyDescent="0.2">
      <c r="R218">
        <v>191</v>
      </c>
      <c r="S218" s="40">
        <f ca="1">AO218</f>
        <v>555</v>
      </c>
      <c r="T218" s="131" t="str">
        <f t="shared" ca="1" si="89"/>
        <v/>
      </c>
      <c r="U218" s="131" t="str">
        <f t="shared" ca="1" si="89"/>
        <v/>
      </c>
      <c r="V218" s="131" t="str">
        <f t="shared" ca="1" si="89"/>
        <v/>
      </c>
      <c r="W218" s="131" t="str">
        <f t="shared" ca="1" si="89"/>
        <v/>
      </c>
      <c r="X218" s="131" t="str">
        <f t="shared" ca="1" si="89"/>
        <v/>
      </c>
      <c r="Y218" s="131" t="str">
        <f t="shared" ca="1" si="89"/>
        <v/>
      </c>
      <c r="Z218" s="131" t="str">
        <f t="shared" ca="1" si="89"/>
        <v/>
      </c>
      <c r="AA218" s="131" t="str">
        <f t="shared" si="89"/>
        <v/>
      </c>
      <c r="AB218" s="131"/>
      <c r="AN218" s="121"/>
      <c r="AO218" s="121">
        <f t="shared" ca="1" si="68"/>
        <v>555</v>
      </c>
      <c r="AP218" s="121" t="b">
        <f t="shared" si="69"/>
        <v>0</v>
      </c>
      <c r="AQ218" s="272">
        <f ca="1">+AVERAGEIFS(TABELA_VAZAO[qnat],TABELA_VAZAO[Posto],$R218,TABELA_VAZAO[Data],AQ$27)</f>
        <v>248</v>
      </c>
      <c r="AR218" s="272">
        <f ca="1">+AVERAGEIFS(TABELA_VAZAO[qnat],TABELA_VAZAO[Posto],$R218,TABELA_VAZAO[Data],AR$27)</f>
        <v>271</v>
      </c>
      <c r="AS218" s="272">
        <f ca="1">+AVERAGEIFS(TABELA_VAZAO[qnat],TABELA_VAZAO[Posto],$R218,TABELA_VAZAO[Data],AS$27)</f>
        <v>279</v>
      </c>
      <c r="AT218" s="272">
        <f ca="1">+AVERAGEIFS(TABELA_VAZAO[qnat],TABELA_VAZAO[Posto],$R218,TABELA_VAZAO[Data],AT$27)</f>
        <v>307</v>
      </c>
      <c r="AU218" s="121">
        <f ca="1">+AVERAGEIFS(TABELA_VAZAO[qnat],TABELA_VAZAO[Posto],$R218,TABELA_VAZAO[Data],AU$27)</f>
        <v>359</v>
      </c>
      <c r="AV218" s="272">
        <f ca="1">IFERROR(AVERAGEIFS(TABELA_VAZAO[qnat],TABELA_VAZAO[Posto],$R218,TABELA_VAZAO[Data],AV$27),AU218+$BB218*EXP(AV$26))</f>
        <v>409</v>
      </c>
      <c r="AW218" s="159">
        <f ca="1">IFERROR(AVERAGEIFS(TABELA_VAZAO[qnat],TABELA_VAZAO[Posto],$R218,TABELA_VAZAO[Data],AW$27),AV218+$BB218*EXP(AW$26))</f>
        <v>519</v>
      </c>
      <c r="AX218" s="325">
        <f ca="1">IFERROR(AVERAGEIFS(TABELA_VAZAO[qnat],TABELA_VAZAO[Posto],$R218,TABELA_VAZAO[Data],AX$27),AW218+$BB218*EXP(AX$26))</f>
        <v>591.85714285714289</v>
      </c>
      <c r="AY218" s="325">
        <f ca="1">IFERROR(AVERAGEIFS(TABELA_VAZAO[qnat],TABELA_VAZAO[Posto],$R218,TABELA_VAZAO[Data],AY$27),AX218+$BB218*EXP(AY$26))</f>
        <v>640.69474621116808</v>
      </c>
      <c r="AZ218" s="326">
        <f ca="1">IFERROR(AVERAGEIFS(TABELA_VAZAO[qnat],TABELA_VAZAO[Posto],$R218,TABELA_VAZAO[Data],AZ$27),AY218+$BB218*EXP(AZ$26))</f>
        <v>673.43157073970849</v>
      </c>
      <c r="BA218" s="326">
        <f ca="1">IFERROR(AVERAGEIFS(TABELA_VAZAO[qnat],TABELA_VAZAO[Posto],$R218,TABELA_VAZAO[Data],BA$27),AZ218+$BB218*EXP(BA$26))</f>
        <v>695.37572046474031</v>
      </c>
      <c r="BB218" s="121">
        <f t="shared" ca="1" si="70"/>
        <v>72.857142857142861</v>
      </c>
      <c r="BC218" s="272">
        <f t="shared" ca="1" si="72"/>
        <v>28</v>
      </c>
      <c r="BD218" s="272">
        <f t="shared" ca="1" si="71"/>
        <v>52</v>
      </c>
      <c r="BE218" s="272">
        <f t="shared" ca="1" si="71"/>
        <v>50</v>
      </c>
      <c r="BF218" s="272">
        <f t="shared" ca="1" si="71"/>
        <v>110</v>
      </c>
      <c r="BG218"/>
    </row>
    <row r="219" spans="18:59" x14ac:dyDescent="0.2">
      <c r="R219">
        <v>192</v>
      </c>
      <c r="S219" s="40"/>
      <c r="T219" s="40"/>
      <c r="U219" s="131"/>
      <c r="V219" s="131"/>
      <c r="W219" s="131"/>
      <c r="X219" s="131"/>
      <c r="Y219" s="131"/>
      <c r="Z219" s="131"/>
      <c r="AA219" s="131"/>
      <c r="AB219" s="131"/>
      <c r="AN219" s="121"/>
      <c r="AO219" s="121" t="e">
        <f t="shared" si="68"/>
        <v>#DIV/0!</v>
      </c>
      <c r="AP219" s="121" t="b">
        <f t="shared" si="69"/>
        <v>0</v>
      </c>
      <c r="AU219" s="121"/>
      <c r="AV219" s="121"/>
      <c r="AW219" s="159"/>
      <c r="AX219" s="159"/>
      <c r="AY219" s="159"/>
      <c r="AZ219" s="157"/>
      <c r="BA219" s="157"/>
      <c r="BB219" s="121">
        <f t="shared" ca="1" si="70"/>
        <v>0</v>
      </c>
      <c r="BC219" s="272">
        <f t="shared" ca="1" si="72"/>
        <v>0</v>
      </c>
      <c r="BD219" s="272">
        <f t="shared" ca="1" si="71"/>
        <v>0</v>
      </c>
      <c r="BE219" s="272">
        <f t="shared" ca="1" si="71"/>
        <v>0</v>
      </c>
      <c r="BF219" s="272">
        <f t="shared" ca="1" si="71"/>
        <v>0</v>
      </c>
      <c r="BG219"/>
    </row>
    <row r="220" spans="18:59" x14ac:dyDescent="0.2">
      <c r="R220">
        <v>193</v>
      </c>
      <c r="S220" s="40"/>
      <c r="T220" s="40"/>
      <c r="U220" s="131"/>
      <c r="V220" s="131"/>
      <c r="W220" s="131"/>
      <c r="X220" s="131"/>
      <c r="Y220" s="131"/>
      <c r="Z220" s="131"/>
      <c r="AA220" s="131"/>
      <c r="AB220" s="131"/>
      <c r="AN220" s="121"/>
      <c r="AO220" s="121" t="e">
        <f t="shared" ref="AO220:AO265" si="90">IFERROR(ROUND(INDEX(F$28:F$129,MATCH($R220,$A$28:$A$129,0)),0),ROUND(AVERAGE(AU220:BA220),0))</f>
        <v>#DIV/0!</v>
      </c>
      <c r="AP220" s="121" t="b">
        <f t="shared" ref="AP220:AP283" si="91">NOT(ISNA(MATCH(R220,$A$28:$A$129,0)))</f>
        <v>0</v>
      </c>
      <c r="AU220" s="121"/>
      <c r="AV220" s="121"/>
      <c r="AW220" s="159"/>
      <c r="AX220" s="159"/>
      <c r="AY220" s="159"/>
      <c r="AZ220" s="157"/>
      <c r="BA220" s="157"/>
      <c r="BB220" s="121">
        <f t="shared" ref="BB220:BB283" ca="1" si="92">SUMPRODUCT(BC220:BF220,BC$27:BF$27)/$BB$27</f>
        <v>0</v>
      </c>
      <c r="BC220" s="272">
        <f t="shared" ca="1" si="72"/>
        <v>0</v>
      </c>
      <c r="BD220" s="272">
        <f t="shared" ca="1" si="72"/>
        <v>0</v>
      </c>
      <c r="BE220" s="272">
        <f t="shared" ca="1" si="72"/>
        <v>0</v>
      </c>
      <c r="BF220" s="272">
        <f t="shared" ca="1" si="72"/>
        <v>0</v>
      </c>
      <c r="BG220"/>
    </row>
    <row r="221" spans="18:59" x14ac:dyDescent="0.2">
      <c r="R221">
        <v>194</v>
      </c>
      <c r="S221" s="40"/>
      <c r="T221" s="40"/>
      <c r="U221" s="131"/>
      <c r="V221" s="131"/>
      <c r="W221" s="131"/>
      <c r="X221" s="131"/>
      <c r="Y221" s="131"/>
      <c r="Z221" s="131"/>
      <c r="AA221" s="131"/>
      <c r="AB221" s="131"/>
      <c r="AN221" s="121"/>
      <c r="AO221" s="121" t="e">
        <f t="shared" si="90"/>
        <v>#DIV/0!</v>
      </c>
      <c r="AP221" s="121" t="b">
        <f t="shared" si="91"/>
        <v>0</v>
      </c>
      <c r="AU221" s="121"/>
      <c r="AV221" s="121"/>
      <c r="AW221" s="159"/>
      <c r="AX221" s="159"/>
      <c r="AY221" s="159"/>
      <c r="AZ221" s="157"/>
      <c r="BA221" s="157"/>
      <c r="BB221" s="121">
        <f t="shared" ca="1" si="92"/>
        <v>0</v>
      </c>
      <c r="BC221" s="272">
        <f t="shared" ref="BC221:BF252" ca="1" si="93">INDEX($AQ221:$BA221,1,BC$26)-INDEX($AQ221:$BA221,1,BC$26-1)</f>
        <v>0</v>
      </c>
      <c r="BD221" s="272">
        <f t="shared" ca="1" si="93"/>
        <v>0</v>
      </c>
      <c r="BE221" s="272">
        <f t="shared" ca="1" si="93"/>
        <v>0</v>
      </c>
      <c r="BF221" s="272">
        <f t="shared" ca="1" si="93"/>
        <v>0</v>
      </c>
      <c r="BG221"/>
    </row>
    <row r="222" spans="18:59" x14ac:dyDescent="0.2">
      <c r="R222">
        <v>195</v>
      </c>
      <c r="S222" s="40"/>
      <c r="T222" s="40"/>
      <c r="U222" s="131"/>
      <c r="V222" s="131"/>
      <c r="W222" s="131"/>
      <c r="X222" s="131"/>
      <c r="Y222" s="131"/>
      <c r="Z222" s="131"/>
      <c r="AA222" s="131"/>
      <c r="AB222" s="131"/>
      <c r="AN222" s="121"/>
      <c r="AO222" s="121" t="e">
        <f t="shared" si="90"/>
        <v>#DIV/0!</v>
      </c>
      <c r="AP222" s="121" t="b">
        <f t="shared" si="91"/>
        <v>0</v>
      </c>
      <c r="AU222" s="121"/>
      <c r="AV222" s="121"/>
      <c r="AW222" s="159"/>
      <c r="AX222" s="159"/>
      <c r="AY222" s="159"/>
      <c r="AZ222" s="157"/>
      <c r="BA222" s="157"/>
      <c r="BB222" s="121">
        <f t="shared" ca="1" si="92"/>
        <v>0</v>
      </c>
      <c r="BC222" s="272">
        <f t="shared" ca="1" si="93"/>
        <v>0</v>
      </c>
      <c r="BD222" s="272">
        <f t="shared" ca="1" si="93"/>
        <v>0</v>
      </c>
      <c r="BE222" s="272">
        <f t="shared" ca="1" si="93"/>
        <v>0</v>
      </c>
      <c r="BF222" s="272">
        <f t="shared" ca="1" si="93"/>
        <v>0</v>
      </c>
      <c r="BG222"/>
    </row>
    <row r="223" spans="18:59" x14ac:dyDescent="0.2">
      <c r="R223">
        <v>196</v>
      </c>
      <c r="S223" s="40">
        <f ca="1">AO223</f>
        <v>87</v>
      </c>
      <c r="T223" s="131" t="str">
        <f t="shared" ref="T223:AA225" ca="1" si="94">IF(AND($K$4,ISNUMBER(H$143)),ROUND(G$143*S223,0),"")</f>
        <v/>
      </c>
      <c r="U223" s="131" t="str">
        <f t="shared" ca="1" si="94"/>
        <v/>
      </c>
      <c r="V223" s="131" t="str">
        <f t="shared" ca="1" si="94"/>
        <v/>
      </c>
      <c r="W223" s="131" t="str">
        <f t="shared" ca="1" si="94"/>
        <v/>
      </c>
      <c r="X223" s="131" t="str">
        <f t="shared" ca="1" si="94"/>
        <v/>
      </c>
      <c r="Y223" s="131" t="str">
        <f t="shared" ca="1" si="94"/>
        <v/>
      </c>
      <c r="Z223" s="131" t="str">
        <f t="shared" ca="1" si="94"/>
        <v/>
      </c>
      <c r="AA223" s="131" t="str">
        <f t="shared" si="94"/>
        <v/>
      </c>
      <c r="AB223" s="131"/>
      <c r="AN223" s="121"/>
      <c r="AO223" s="121">
        <f t="shared" ca="1" si="90"/>
        <v>87</v>
      </c>
      <c r="AP223" s="121" t="b">
        <f t="shared" si="91"/>
        <v>0</v>
      </c>
      <c r="AQ223" s="272">
        <f ca="1">+AVERAGEIFS(TABELA_VAZAO[qnat],TABELA_VAZAO[Posto],$R223,TABELA_VAZAO[Data],AQ$27)</f>
        <v>32</v>
      </c>
      <c r="AR223" s="272">
        <f ca="1">+AVERAGEIFS(TABELA_VAZAO[qnat],TABELA_VAZAO[Posto],$R223,TABELA_VAZAO[Data],AR$27)</f>
        <v>36</v>
      </c>
      <c r="AS223" s="272">
        <f ca="1">+AVERAGEIFS(TABELA_VAZAO[qnat],TABELA_VAZAO[Posto],$R223,TABELA_VAZAO[Data],AS$27)</f>
        <v>37</v>
      </c>
      <c r="AT223" s="272">
        <f ca="1">+AVERAGEIFS(TABELA_VAZAO[qnat],TABELA_VAZAO[Posto],$R223,TABELA_VAZAO[Data],AT$27)</f>
        <v>41</v>
      </c>
      <c r="AU223" s="121">
        <f ca="1">+AVERAGEIFS(TABELA_VAZAO[qnat],TABELA_VAZAO[Posto],$R223,TABELA_VAZAO[Data],AU$27)</f>
        <v>71</v>
      </c>
      <c r="AV223" s="272">
        <f ca="1">IFERROR(AVERAGEIFS(TABELA_VAZAO[qnat],TABELA_VAZAO[Posto],$R223,TABELA_VAZAO[Data],AV$27),AU223+$BB223*EXP(AV$26))</f>
        <v>101</v>
      </c>
      <c r="AW223" s="159">
        <f ca="1">IFERROR(AVERAGEIFS(TABELA_VAZAO[qnat],TABELA_VAZAO[Posto],$R223,TABELA_VAZAO[Data],AW$27),AV223+$BB223*EXP(AW$26))</f>
        <v>81</v>
      </c>
      <c r="AX223" s="325">
        <f ca="1">IFERROR(AVERAGEIFS(TABELA_VAZAO[qnat],TABELA_VAZAO[Posto],$R223,TABELA_VAZAO[Data],AX$27),AW223+$BB223*EXP(AX$26))</f>
        <v>85.857142857142861</v>
      </c>
      <c r="AY223" s="325">
        <f ca="1">IFERROR(AVERAGEIFS(TABELA_VAZAO[qnat],TABELA_VAZAO[Posto],$R223,TABELA_VAZAO[Data],AY$27),AX223+$BB223*EXP(AY$26))</f>
        <v>89.112983080744542</v>
      </c>
      <c r="AZ223" s="326">
        <f ca="1">IFERROR(AVERAGEIFS(TABELA_VAZAO[qnat],TABELA_VAZAO[Posto],$R223,TABELA_VAZAO[Data],AZ$27),AY223+$BB223*EXP(AZ$26))</f>
        <v>91.295438049313901</v>
      </c>
      <c r="BA223" s="326">
        <f ca="1">IFERROR(AVERAGEIFS(TABELA_VAZAO[qnat],TABELA_VAZAO[Posto],$R223,TABELA_VAZAO[Data],BA$27),AZ223+$BB223*EXP(BA$26))</f>
        <v>92.758381364316023</v>
      </c>
      <c r="BB223" s="121">
        <f t="shared" ca="1" si="92"/>
        <v>4.8571428571428568</v>
      </c>
      <c r="BC223" s="272">
        <f t="shared" ca="1" si="93"/>
        <v>4</v>
      </c>
      <c r="BD223" s="272">
        <f t="shared" ca="1" si="93"/>
        <v>30</v>
      </c>
      <c r="BE223" s="272">
        <f t="shared" ca="1" si="93"/>
        <v>30</v>
      </c>
      <c r="BF223" s="272">
        <f t="shared" ca="1" si="93"/>
        <v>-20</v>
      </c>
      <c r="BG223"/>
    </row>
    <row r="224" spans="18:59" x14ac:dyDescent="0.2">
      <c r="R224">
        <v>197</v>
      </c>
      <c r="S224" s="40">
        <f ca="1">AO224</f>
        <v>72</v>
      </c>
      <c r="T224" s="131" t="str">
        <f t="shared" ca="1" si="94"/>
        <v/>
      </c>
      <c r="U224" s="131" t="str">
        <f t="shared" ca="1" si="94"/>
        <v/>
      </c>
      <c r="V224" s="131" t="str">
        <f t="shared" ca="1" si="94"/>
        <v/>
      </c>
      <c r="W224" s="131" t="str">
        <f t="shared" ca="1" si="94"/>
        <v/>
      </c>
      <c r="X224" s="131" t="str">
        <f t="shared" ca="1" si="94"/>
        <v/>
      </c>
      <c r="Y224" s="131" t="str">
        <f t="shared" ca="1" si="94"/>
        <v/>
      </c>
      <c r="Z224" s="131" t="str">
        <f t="shared" ca="1" si="94"/>
        <v/>
      </c>
      <c r="AA224" s="131" t="str">
        <f t="shared" si="94"/>
        <v/>
      </c>
      <c r="AB224" s="131"/>
      <c r="AN224" s="121"/>
      <c r="AO224" s="121">
        <f t="shared" ca="1" si="90"/>
        <v>72</v>
      </c>
      <c r="AP224" s="121" t="b">
        <f t="shared" si="91"/>
        <v>0</v>
      </c>
      <c r="AQ224" s="272">
        <f ca="1">+AVERAGEIFS(TABELA_VAZAO[qnat],TABELA_VAZAO[Posto],$R224,TABELA_VAZAO[Data],AQ$27)</f>
        <v>24</v>
      </c>
      <c r="AR224" s="272">
        <f ca="1">+AVERAGEIFS(TABELA_VAZAO[qnat],TABELA_VAZAO[Posto],$R224,TABELA_VAZAO[Data],AR$27)</f>
        <v>21</v>
      </c>
      <c r="AS224" s="272">
        <f ca="1">+AVERAGEIFS(TABELA_VAZAO[qnat],TABELA_VAZAO[Posto],$R224,TABELA_VAZAO[Data],AS$27)</f>
        <v>24</v>
      </c>
      <c r="AT224" s="272">
        <f ca="1">+AVERAGEIFS(TABELA_VAZAO[qnat],TABELA_VAZAO[Posto],$R224,TABELA_VAZAO[Data],AT$27)</f>
        <v>30</v>
      </c>
      <c r="AU224" s="121">
        <f ca="1">+AVERAGEIFS(TABELA_VAZAO[qnat],TABELA_VAZAO[Posto],$R224,TABELA_VAZAO[Data],AU$27)</f>
        <v>31</v>
      </c>
      <c r="AV224" s="272">
        <f ca="1">IFERROR(AVERAGEIFS(TABELA_VAZAO[qnat],TABELA_VAZAO[Posto],$R224,TABELA_VAZAO[Data],AV$27),AU224+$BB224*EXP(AV$26))</f>
        <v>56</v>
      </c>
      <c r="AW224" s="159">
        <f ca="1">IFERROR(AVERAGEIFS(TABELA_VAZAO[qnat],TABELA_VAZAO[Posto],$R224,TABELA_VAZAO[Data],AW$27),AV224+$BB224*EXP(AW$26))</f>
        <v>66</v>
      </c>
      <c r="AX224" s="325">
        <f ca="1">IFERROR(AVERAGEIFS(TABELA_VAZAO[qnat],TABELA_VAZAO[Posto],$R224,TABELA_VAZAO[Data],AX$27),AW224+$BB224*EXP(AX$26))</f>
        <v>78.428571428571431</v>
      </c>
      <c r="AY224" s="325">
        <f ca="1">IFERROR(AVERAGEIFS(TABELA_VAZAO[qnat],TABELA_VAZAO[Posto],$R224,TABELA_VAZAO[Data],AY$27),AX224+$BB224*EXP(AY$26))</f>
        <v>86.759692000728663</v>
      </c>
      <c r="AZ224" s="326">
        <f ca="1">IFERROR(AVERAGEIFS(TABELA_VAZAO[qnat],TABELA_VAZAO[Posto],$R224,TABELA_VAZAO[Data],AZ$27),AY224+$BB224*EXP(AZ$26))</f>
        <v>92.344209126185561</v>
      </c>
      <c r="BA224" s="326">
        <f ca="1">IFERROR(AVERAGEIFS(TABELA_VAZAO[qnat],TABELA_VAZAO[Posto],$R224,TABELA_VAZAO[Data],BA$27),AZ224+$BB224*EXP(BA$26))</f>
        <v>96.087622902808647</v>
      </c>
      <c r="BB224" s="121">
        <f t="shared" ca="1" si="92"/>
        <v>12.428571428571429</v>
      </c>
      <c r="BC224" s="272">
        <f t="shared" ca="1" si="93"/>
        <v>6</v>
      </c>
      <c r="BD224" s="272">
        <f t="shared" ca="1" si="93"/>
        <v>1</v>
      </c>
      <c r="BE224" s="272">
        <f t="shared" ca="1" si="93"/>
        <v>25</v>
      </c>
      <c r="BF224" s="272">
        <f t="shared" ca="1" si="93"/>
        <v>10</v>
      </c>
      <c r="BG224"/>
    </row>
    <row r="225" spans="18:59" x14ac:dyDescent="0.2">
      <c r="R225">
        <v>198</v>
      </c>
      <c r="S225" s="40">
        <f ca="1">AO225</f>
        <v>230</v>
      </c>
      <c r="T225" s="131" t="str">
        <f t="shared" ca="1" si="94"/>
        <v/>
      </c>
      <c r="U225" s="131" t="str">
        <f t="shared" ca="1" si="94"/>
        <v/>
      </c>
      <c r="V225" s="131" t="str">
        <f t="shared" ca="1" si="94"/>
        <v/>
      </c>
      <c r="W225" s="131" t="str">
        <f t="shared" ca="1" si="94"/>
        <v/>
      </c>
      <c r="X225" s="131" t="str">
        <f t="shared" ca="1" si="94"/>
        <v/>
      </c>
      <c r="Y225" s="131" t="str">
        <f t="shared" ca="1" si="94"/>
        <v/>
      </c>
      <c r="Z225" s="131" t="str">
        <f t="shared" ca="1" si="94"/>
        <v/>
      </c>
      <c r="AA225" s="131" t="str">
        <f t="shared" si="94"/>
        <v/>
      </c>
      <c r="AB225" s="131"/>
      <c r="AN225" s="121"/>
      <c r="AO225" s="121">
        <f t="shared" ca="1" si="90"/>
        <v>230</v>
      </c>
      <c r="AP225" s="121" t="b">
        <f t="shared" si="91"/>
        <v>0</v>
      </c>
      <c r="AQ225" s="272">
        <f ca="1">+AVERAGEIFS(TABELA_VAZAO[qnat],TABELA_VAZAO[Posto],$R225,TABELA_VAZAO[Data],AQ$27)</f>
        <v>50</v>
      </c>
      <c r="AR225" s="272">
        <f ca="1">+AVERAGEIFS(TABELA_VAZAO[qnat],TABELA_VAZAO[Posto],$R225,TABELA_VAZAO[Data],AR$27)</f>
        <v>50</v>
      </c>
      <c r="AS225" s="272">
        <f ca="1">+AVERAGEIFS(TABELA_VAZAO[qnat],TABELA_VAZAO[Posto],$R225,TABELA_VAZAO[Data],AS$27)</f>
        <v>55</v>
      </c>
      <c r="AT225" s="272">
        <f ca="1">+AVERAGEIFS(TABELA_VAZAO[qnat],TABELA_VAZAO[Posto],$R225,TABELA_VAZAO[Data],AT$27)</f>
        <v>89</v>
      </c>
      <c r="AU225" s="121">
        <f ca="1">+AVERAGEIFS(TABELA_VAZAO[qnat],TABELA_VAZAO[Posto],$R225,TABELA_VAZAO[Data],AU$27)</f>
        <v>112</v>
      </c>
      <c r="AV225" s="272">
        <f ca="1">IFERROR(AVERAGEIFS(TABELA_VAZAO[qnat],TABELA_VAZAO[Posto],$R225,TABELA_VAZAO[Data],AV$27),AU225+$BB225*EXP(AV$26))</f>
        <v>150</v>
      </c>
      <c r="AW225" s="159">
        <f ca="1">IFERROR(AVERAGEIFS(TABELA_VAZAO[qnat],TABELA_VAZAO[Posto],$R225,TABELA_VAZAO[Data],AW$27),AV225+$BB225*EXP(AW$26))</f>
        <v>207</v>
      </c>
      <c r="AX225" s="325">
        <f ca="1">IFERROR(AVERAGEIFS(TABELA_VAZAO[qnat],TABELA_VAZAO[Posto],$R225,TABELA_VAZAO[Data],AX$27),AW225+$BB225*EXP(AX$26))</f>
        <v>250.42857142857144</v>
      </c>
      <c r="AY225" s="325">
        <f ca="1">IFERROR(AVERAGEIFS(TABELA_VAZAO[qnat],TABELA_VAZAO[Posto],$R225,TABELA_VAZAO[Data],AY$27),AX225+$BB225*EXP(AY$26))</f>
        <v>279.5396134278335</v>
      </c>
      <c r="AZ225" s="326">
        <f ca="1">IFERROR(AVERAGEIFS(TABELA_VAZAO[qnat],TABELA_VAZAO[Posto],$R225,TABELA_VAZAO[Data],AZ$27),AY225+$BB225*EXP(AZ$26))</f>
        <v>299.05332844092425</v>
      </c>
      <c r="BA225" s="326">
        <f ca="1">IFERROR(AVERAGEIFS(TABELA_VAZAO[qnat],TABELA_VAZAO[Posto],$R225,TABELA_VAZAO[Data],BA$27),AZ225+$BB225*EXP(BA$26))</f>
        <v>312.13376278682557</v>
      </c>
      <c r="BB225" s="121">
        <f t="shared" ca="1" si="92"/>
        <v>43.428571428571431</v>
      </c>
      <c r="BC225" s="272">
        <f t="shared" ca="1" si="93"/>
        <v>34</v>
      </c>
      <c r="BD225" s="272">
        <f t="shared" ca="1" si="93"/>
        <v>23</v>
      </c>
      <c r="BE225" s="272">
        <f t="shared" ca="1" si="93"/>
        <v>38</v>
      </c>
      <c r="BF225" s="272">
        <f t="shared" ca="1" si="93"/>
        <v>57</v>
      </c>
      <c r="BG225"/>
    </row>
    <row r="226" spans="18:59" x14ac:dyDescent="0.2">
      <c r="R226">
        <v>199</v>
      </c>
      <c r="S226" s="40"/>
      <c r="T226" s="40"/>
      <c r="U226" s="131"/>
      <c r="V226" s="131"/>
      <c r="W226" s="131"/>
      <c r="X226" s="131"/>
      <c r="Y226" s="131"/>
      <c r="Z226" s="131"/>
      <c r="AA226" s="131"/>
      <c r="AB226" s="131"/>
      <c r="AN226" s="121"/>
      <c r="AO226" s="121" t="e">
        <f t="shared" si="90"/>
        <v>#DIV/0!</v>
      </c>
      <c r="AP226" s="121" t="b">
        <f t="shared" si="91"/>
        <v>0</v>
      </c>
      <c r="AU226" s="121"/>
      <c r="AV226" s="121"/>
      <c r="AW226" s="159"/>
      <c r="AX226" s="159"/>
      <c r="AY226" s="159"/>
      <c r="AZ226" s="157"/>
      <c r="BA226" s="157"/>
      <c r="BB226" s="121">
        <f t="shared" ca="1" si="92"/>
        <v>0</v>
      </c>
      <c r="BC226" s="272">
        <f t="shared" ca="1" si="93"/>
        <v>0</v>
      </c>
      <c r="BD226" s="272">
        <f t="shared" ca="1" si="93"/>
        <v>0</v>
      </c>
      <c r="BE226" s="272">
        <f t="shared" ca="1" si="93"/>
        <v>0</v>
      </c>
      <c r="BF226" s="272">
        <f t="shared" ca="1" si="93"/>
        <v>0</v>
      </c>
      <c r="BG226"/>
    </row>
    <row r="227" spans="18:59" x14ac:dyDescent="0.2">
      <c r="R227">
        <v>200</v>
      </c>
      <c r="S227" s="40"/>
      <c r="T227" s="40"/>
      <c r="U227" s="131"/>
      <c r="V227" s="131"/>
      <c r="W227" s="131"/>
      <c r="X227" s="131"/>
      <c r="Y227" s="131"/>
      <c r="Z227" s="131"/>
      <c r="AA227" s="131"/>
      <c r="AB227" s="131"/>
      <c r="AN227" s="121"/>
      <c r="AO227" s="121" t="e">
        <f t="shared" si="90"/>
        <v>#DIV/0!</v>
      </c>
      <c r="AP227" s="121" t="b">
        <f t="shared" si="91"/>
        <v>0</v>
      </c>
      <c r="AU227" s="121"/>
      <c r="AV227" s="121"/>
      <c r="AW227" s="159"/>
      <c r="AX227" s="159"/>
      <c r="AY227" s="159"/>
      <c r="AZ227" s="157"/>
      <c r="BA227" s="157"/>
      <c r="BB227" s="121">
        <f t="shared" ca="1" si="92"/>
        <v>0</v>
      </c>
      <c r="BC227" s="272">
        <f t="shared" ca="1" si="93"/>
        <v>0</v>
      </c>
      <c r="BD227" s="272">
        <f t="shared" ca="1" si="93"/>
        <v>0</v>
      </c>
      <c r="BE227" s="272">
        <f t="shared" ca="1" si="93"/>
        <v>0</v>
      </c>
      <c r="BF227" s="272">
        <f t="shared" ca="1" si="93"/>
        <v>0</v>
      </c>
      <c r="BG227"/>
    </row>
    <row r="228" spans="18:59" x14ac:dyDescent="0.2">
      <c r="R228">
        <v>201</v>
      </c>
      <c r="S228" s="40">
        <f ca="1">AO228</f>
        <v>15</v>
      </c>
      <c r="T228" s="131" t="str">
        <f t="shared" ref="T228:AA229" ca="1" si="95">IF(AND($K$4,ISNUMBER(H$143)),ROUND(G$143*S228,0),"")</f>
        <v/>
      </c>
      <c r="U228" s="131" t="str">
        <f t="shared" ca="1" si="95"/>
        <v/>
      </c>
      <c r="V228" s="131" t="str">
        <f t="shared" ca="1" si="95"/>
        <v/>
      </c>
      <c r="W228" s="131" t="str">
        <f t="shared" ca="1" si="95"/>
        <v/>
      </c>
      <c r="X228" s="131" t="str">
        <f t="shared" ca="1" si="95"/>
        <v/>
      </c>
      <c r="Y228" s="131" t="str">
        <f t="shared" ca="1" si="95"/>
        <v/>
      </c>
      <c r="Z228" s="131" t="str">
        <f t="shared" ca="1" si="95"/>
        <v/>
      </c>
      <c r="AA228" s="131" t="str">
        <f t="shared" si="95"/>
        <v/>
      </c>
      <c r="AB228" s="131"/>
      <c r="AN228" s="121"/>
      <c r="AO228" s="121">
        <f t="shared" ca="1" si="90"/>
        <v>15</v>
      </c>
      <c r="AP228" s="121" t="b">
        <f t="shared" si="91"/>
        <v>0</v>
      </c>
      <c r="AQ228" s="272">
        <f ca="1">+AVERAGEIFS(TABELA_VAZAO[qnat],TABELA_VAZAO[Posto],$R228,TABELA_VAZAO[Data],AQ$27)</f>
        <v>6</v>
      </c>
      <c r="AR228" s="272">
        <f ca="1">+AVERAGEIFS(TABELA_VAZAO[qnat],TABELA_VAZAO[Posto],$R228,TABELA_VAZAO[Data],AR$27)</f>
        <v>6</v>
      </c>
      <c r="AS228" s="272">
        <f ca="1">+AVERAGEIFS(TABELA_VAZAO[qnat],TABELA_VAZAO[Posto],$R228,TABELA_VAZAO[Data],AS$27)</f>
        <v>6</v>
      </c>
      <c r="AT228" s="272">
        <f ca="1">+AVERAGEIFS(TABELA_VAZAO[qnat],TABELA_VAZAO[Posto],$R228,TABELA_VAZAO[Data],AT$27)</f>
        <v>9</v>
      </c>
      <c r="AU228" s="121">
        <f ca="1">+AVERAGEIFS(TABELA_VAZAO[qnat],TABELA_VAZAO[Posto],$R228,TABELA_VAZAO[Data],AU$27)</f>
        <v>12</v>
      </c>
      <c r="AV228" s="272">
        <f ca="1">IFERROR(AVERAGEIFS(TABELA_VAZAO[qnat],TABELA_VAZAO[Posto],$R228,TABELA_VAZAO[Data],AV$27),AU228+$BB228*EXP(AV$26))</f>
        <v>14</v>
      </c>
      <c r="AW228" s="159">
        <f ca="1">IFERROR(AVERAGEIFS(TABELA_VAZAO[qnat],TABELA_VAZAO[Posto],$R228,TABELA_VAZAO[Data],AW$27),AV228+$BB228*EXP(AW$26))</f>
        <v>14</v>
      </c>
      <c r="AX228" s="325">
        <f ca="1">IFERROR(AVERAGEIFS(TABELA_VAZAO[qnat],TABELA_VAZAO[Posto],$R228,TABELA_VAZAO[Data],AX$27),AW228+$BB228*EXP(AX$26))</f>
        <v>15.428571428571429</v>
      </c>
      <c r="AY228" s="325">
        <f ca="1">IFERROR(AVERAGEIFS(TABELA_VAZAO[qnat],TABELA_VAZAO[Posto],$R228,TABELA_VAZAO[Data],AY$27),AX228+$BB228*EXP(AY$26))</f>
        <v>16.386171494336629</v>
      </c>
      <c r="AZ228" s="326">
        <f ca="1">IFERROR(AVERAGEIFS(TABELA_VAZAO[qnat],TABELA_VAZAO[Posto],$R228,TABELA_VAZAO[Data],AZ$27),AY228+$BB228*EXP(AZ$26))</f>
        <v>17.028070014504088</v>
      </c>
      <c r="BA228" s="326">
        <f ca="1">IFERROR(AVERAGEIFS(TABELA_VAZAO[qnat],TABELA_VAZAO[Posto],$R228,TABELA_VAZAO[Data],BA$27),AZ228+$BB228*EXP(BA$26))</f>
        <v>17.458347460092948</v>
      </c>
      <c r="BB228" s="121">
        <f t="shared" ca="1" si="92"/>
        <v>1.4285714285714286</v>
      </c>
      <c r="BC228" s="272">
        <f t="shared" ca="1" si="93"/>
        <v>3</v>
      </c>
      <c r="BD228" s="272">
        <f t="shared" ca="1" si="93"/>
        <v>3</v>
      </c>
      <c r="BE228" s="272">
        <f t="shared" ca="1" si="93"/>
        <v>2</v>
      </c>
      <c r="BF228" s="272">
        <f t="shared" ca="1" si="93"/>
        <v>0</v>
      </c>
      <c r="BG228"/>
    </row>
    <row r="229" spans="18:59" x14ac:dyDescent="0.2">
      <c r="R229">
        <v>202</v>
      </c>
      <c r="S229" s="40">
        <f ca="1">AO229</f>
        <v>6</v>
      </c>
      <c r="T229" s="131" t="str">
        <f t="shared" ca="1" si="95"/>
        <v/>
      </c>
      <c r="U229" s="131" t="str">
        <f t="shared" ca="1" si="95"/>
        <v/>
      </c>
      <c r="V229" s="131" t="str">
        <f t="shared" ca="1" si="95"/>
        <v/>
      </c>
      <c r="W229" s="131" t="str">
        <f t="shared" ca="1" si="95"/>
        <v/>
      </c>
      <c r="X229" s="131" t="str">
        <f t="shared" ca="1" si="95"/>
        <v/>
      </c>
      <c r="Y229" s="131" t="str">
        <f t="shared" ca="1" si="95"/>
        <v/>
      </c>
      <c r="Z229" s="131" t="str">
        <f t="shared" ca="1" si="95"/>
        <v/>
      </c>
      <c r="AA229" s="131" t="str">
        <f t="shared" si="95"/>
        <v/>
      </c>
      <c r="AB229" s="131"/>
      <c r="AN229" s="121"/>
      <c r="AO229" s="121">
        <f t="shared" ca="1" si="90"/>
        <v>6</v>
      </c>
      <c r="AP229" s="121" t="b">
        <f t="shared" si="91"/>
        <v>0</v>
      </c>
      <c r="AQ229" s="272">
        <f ca="1">+AVERAGEIFS(TABELA_VAZAO[qnat],TABELA_VAZAO[Posto],$R229,TABELA_VAZAO[Data],AQ$27)</f>
        <v>2</v>
      </c>
      <c r="AR229" s="272">
        <f ca="1">+AVERAGEIFS(TABELA_VAZAO[qnat],TABELA_VAZAO[Posto],$R229,TABELA_VAZAO[Data],AR$27)</f>
        <v>2</v>
      </c>
      <c r="AS229" s="272">
        <f ca="1">+AVERAGEIFS(TABELA_VAZAO[qnat],TABELA_VAZAO[Posto],$R229,TABELA_VAZAO[Data],AS$27)</f>
        <v>3</v>
      </c>
      <c r="AT229" s="272">
        <f ca="1">+AVERAGEIFS(TABELA_VAZAO[qnat],TABELA_VAZAO[Posto],$R229,TABELA_VAZAO[Data],AT$27)</f>
        <v>4</v>
      </c>
      <c r="AU229" s="121">
        <f ca="1">+AVERAGEIFS(TABELA_VAZAO[qnat],TABELA_VAZAO[Posto],$R229,TABELA_VAZAO[Data],AU$27)</f>
        <v>5</v>
      </c>
      <c r="AV229" s="272">
        <f ca="1">IFERROR(AVERAGEIFS(TABELA_VAZAO[qnat],TABELA_VAZAO[Posto],$R229,TABELA_VAZAO[Data],AV$27),AU229+$BB229*EXP(AV$26))</f>
        <v>6</v>
      </c>
      <c r="AW229" s="159">
        <f ca="1">IFERROR(AVERAGEIFS(TABELA_VAZAO[qnat],TABELA_VAZAO[Posto],$R229,TABELA_VAZAO[Data],AW$27),AV229+$BB229*EXP(AW$26))</f>
        <v>6</v>
      </c>
      <c r="AX229" s="325">
        <f ca="1">IFERROR(AVERAGEIFS(TABELA_VAZAO[qnat],TABELA_VAZAO[Posto],$R229,TABELA_VAZAO[Data],AX$27),AW229+$BB229*EXP(AX$26))</f>
        <v>6.5714285714285712</v>
      </c>
      <c r="AY229" s="325">
        <f ca="1">IFERROR(AVERAGEIFS(TABELA_VAZAO[qnat],TABELA_VAZAO[Posto],$R229,TABELA_VAZAO[Data],AY$27),AX229+$BB229*EXP(AY$26))</f>
        <v>6.9544685977346505</v>
      </c>
      <c r="AZ229" s="326">
        <f ca="1">IFERROR(AVERAGEIFS(TABELA_VAZAO[qnat],TABELA_VAZAO[Posto],$R229,TABELA_VAZAO[Data],AZ$27),AY229+$BB229*EXP(AZ$26))</f>
        <v>7.211228005801634</v>
      </c>
      <c r="BA229" s="326">
        <f ca="1">IFERROR(AVERAGEIFS(TABELA_VAZAO[qnat],TABELA_VAZAO[Posto],$R229,TABELA_VAZAO[Data],BA$27),AZ229+$BB229*EXP(BA$26))</f>
        <v>7.3833389840371781</v>
      </c>
      <c r="BB229" s="121">
        <f t="shared" ca="1" si="92"/>
        <v>0.5714285714285714</v>
      </c>
      <c r="BC229" s="272">
        <f t="shared" ca="1" si="93"/>
        <v>1</v>
      </c>
      <c r="BD229" s="272">
        <f t="shared" ca="1" si="93"/>
        <v>1</v>
      </c>
      <c r="BE229" s="272">
        <f t="shared" ca="1" si="93"/>
        <v>1</v>
      </c>
      <c r="BF229" s="272">
        <f t="shared" ca="1" si="93"/>
        <v>0</v>
      </c>
      <c r="BG229"/>
    </row>
    <row r="230" spans="18:59" x14ac:dyDescent="0.2">
      <c r="R230">
        <v>203</v>
      </c>
      <c r="S230" s="40"/>
      <c r="T230" s="40"/>
      <c r="U230" s="131"/>
      <c r="V230" s="131"/>
      <c r="W230" s="131"/>
      <c r="X230" s="131"/>
      <c r="Y230" s="131"/>
      <c r="Z230" s="131"/>
      <c r="AA230" s="131"/>
      <c r="AB230" s="131"/>
      <c r="AN230" s="121"/>
      <c r="AO230" s="121" t="e">
        <f t="shared" si="90"/>
        <v>#DIV/0!</v>
      </c>
      <c r="AP230" s="121" t="b">
        <f t="shared" si="91"/>
        <v>0</v>
      </c>
      <c r="AU230" s="121"/>
      <c r="AV230" s="121"/>
      <c r="AW230" s="159"/>
      <c r="AX230" s="159"/>
      <c r="AY230" s="159"/>
      <c r="AZ230" s="157"/>
      <c r="BA230" s="157"/>
      <c r="BB230" s="121">
        <f t="shared" ca="1" si="92"/>
        <v>0</v>
      </c>
      <c r="BC230" s="272">
        <f t="shared" ca="1" si="93"/>
        <v>0</v>
      </c>
      <c r="BD230" s="272">
        <f t="shared" ca="1" si="93"/>
        <v>0</v>
      </c>
      <c r="BE230" s="272">
        <f t="shared" ca="1" si="93"/>
        <v>0</v>
      </c>
      <c r="BF230" s="272">
        <f t="shared" ca="1" si="93"/>
        <v>0</v>
      </c>
      <c r="BG230"/>
    </row>
    <row r="231" spans="18:59" x14ac:dyDescent="0.2">
      <c r="R231">
        <v>204</v>
      </c>
      <c r="S231" s="40">
        <f ca="1">AO231</f>
        <v>525</v>
      </c>
      <c r="T231" s="131" t="str">
        <f t="shared" ref="T231:AA231" ca="1" si="96">IF(AND($K$4,ISNUMBER(H$143)),ROUND(G$143*S231,0),"")</f>
        <v/>
      </c>
      <c r="U231" s="131" t="str">
        <f t="shared" ca="1" si="96"/>
        <v/>
      </c>
      <c r="V231" s="131" t="str">
        <f t="shared" ca="1" si="96"/>
        <v/>
      </c>
      <c r="W231" s="131" t="str">
        <f t="shared" ca="1" si="96"/>
        <v/>
      </c>
      <c r="X231" s="131" t="str">
        <f t="shared" ca="1" si="96"/>
        <v/>
      </c>
      <c r="Y231" s="131" t="str">
        <f t="shared" ca="1" si="96"/>
        <v/>
      </c>
      <c r="Z231" s="131" t="str">
        <f t="shared" ca="1" si="96"/>
        <v/>
      </c>
      <c r="AA231" s="131" t="str">
        <f t="shared" si="96"/>
        <v/>
      </c>
      <c r="AB231" s="131"/>
      <c r="AN231" s="121"/>
      <c r="AO231" s="121">
        <f t="shared" ca="1" si="90"/>
        <v>525</v>
      </c>
      <c r="AP231" s="121" t="b">
        <f t="shared" si="91"/>
        <v>0</v>
      </c>
      <c r="AQ231" s="272">
        <f ca="1">+AVERAGEIFS(TABELA_VAZAO[qnat],TABELA_VAZAO[Posto],$R231,TABELA_VAZAO[Data],AQ$27)</f>
        <v>670</v>
      </c>
      <c r="AR231" s="272">
        <f ca="1">+AVERAGEIFS(TABELA_VAZAO[qnat],TABELA_VAZAO[Posto],$R231,TABELA_VAZAO[Data],AR$27)</f>
        <v>732</v>
      </c>
      <c r="AS231" s="272">
        <f ca="1">+AVERAGEIFS(TABELA_VAZAO[qnat],TABELA_VAZAO[Posto],$R231,TABELA_VAZAO[Data],AS$27)</f>
        <v>759</v>
      </c>
      <c r="AT231" s="272">
        <f ca="1">+AVERAGEIFS(TABELA_VAZAO[qnat],TABELA_VAZAO[Posto],$R231,TABELA_VAZAO[Data],AT$27)</f>
        <v>716</v>
      </c>
      <c r="AU231" s="121">
        <f ca="1">+AVERAGEIFS(TABELA_VAZAO[qnat],TABELA_VAZAO[Posto],$R231,TABELA_VAZAO[Data],AU$27)</f>
        <v>639</v>
      </c>
      <c r="AV231" s="272">
        <f ca="1">IFERROR(AVERAGEIFS(TABELA_VAZAO[qnat],TABELA_VAZAO[Posto],$R231,TABELA_VAZAO[Data],AV$27),AU231+$BB231*EXP(AV$26))</f>
        <v>572</v>
      </c>
      <c r="AW231" s="159">
        <f ca="1">IFERROR(AVERAGEIFS(TABELA_VAZAO[qnat],TABELA_VAZAO[Posto],$R231,TABELA_VAZAO[Data],AW$27),AV231+$BB231*EXP(AW$26))</f>
        <v>555</v>
      </c>
      <c r="AX231" s="325">
        <f ca="1">IFERROR(AVERAGEIFS(TABELA_VAZAO[qnat],TABELA_VAZAO[Posto],$R231,TABELA_VAZAO[Data],AX$27),AW231+$BB231*EXP(AX$26))</f>
        <v>511.42857142857144</v>
      </c>
      <c r="AY231" s="325">
        <f ca="1">IFERROR(AVERAGEIFS(TABELA_VAZAO[qnat],TABELA_VAZAO[Posto],$R231,TABELA_VAZAO[Data],AY$27),AX231+$BB231*EXP(AY$26))</f>
        <v>482.2217694227329</v>
      </c>
      <c r="AZ231" s="326">
        <f ca="1">IFERROR(AVERAGEIFS(TABELA_VAZAO[qnat],TABELA_VAZAO[Posto],$R231,TABELA_VAZAO[Data],AZ$27),AY231+$BB231*EXP(AZ$26))</f>
        <v>462.64386455762542</v>
      </c>
      <c r="BA231" s="326">
        <f ca="1">IFERROR(AVERAGEIFS(TABELA_VAZAO[qnat],TABELA_VAZAO[Posto],$R231,TABELA_VAZAO[Data],BA$27),AZ231+$BB231*EXP(BA$26))</f>
        <v>449.52040246716518</v>
      </c>
      <c r="BB231" s="121">
        <f t="shared" ca="1" si="92"/>
        <v>-43.571428571428569</v>
      </c>
      <c r="BC231" s="272">
        <f t="shared" ca="1" si="93"/>
        <v>-43</v>
      </c>
      <c r="BD231" s="272">
        <f t="shared" ca="1" si="93"/>
        <v>-77</v>
      </c>
      <c r="BE231" s="272">
        <f t="shared" ca="1" si="93"/>
        <v>-67</v>
      </c>
      <c r="BF231" s="272">
        <f t="shared" ca="1" si="93"/>
        <v>-17</v>
      </c>
      <c r="BG231"/>
    </row>
    <row r="232" spans="18:59" x14ac:dyDescent="0.2">
      <c r="R232">
        <v>205</v>
      </c>
      <c r="S232" s="40">
        <f ca="1">AO232</f>
        <v>110</v>
      </c>
      <c r="T232" s="40" t="str">
        <f t="shared" ref="T232:AB234" ca="1" si="97">IFERROR(ROUND(INDEX(G$28:G$129,MATCH($R232,$A$28:$A$129,0)),0),"")</f>
        <v/>
      </c>
      <c r="U232" s="131" t="str">
        <f t="shared" ca="1" si="97"/>
        <v/>
      </c>
      <c r="V232" s="131" t="str">
        <f t="shared" ca="1" si="97"/>
        <v/>
      </c>
      <c r="W232" s="131" t="str">
        <f t="shared" ca="1" si="97"/>
        <v/>
      </c>
      <c r="X232" s="131" t="str">
        <f t="shared" ca="1" si="97"/>
        <v/>
      </c>
      <c r="Y232" s="131" t="str">
        <f t="shared" ca="1" si="97"/>
        <v/>
      </c>
      <c r="Z232" s="131" t="str">
        <f t="shared" ca="1" si="97"/>
        <v/>
      </c>
      <c r="AA232" s="131" t="str">
        <f t="shared" ca="1" si="97"/>
        <v/>
      </c>
      <c r="AB232" s="131" t="str">
        <f t="shared" ca="1" si="97"/>
        <v/>
      </c>
      <c r="AN232" s="121"/>
      <c r="AO232" s="121">
        <f t="shared" ca="1" si="90"/>
        <v>110</v>
      </c>
      <c r="AP232" s="121" t="b">
        <f t="shared" si="91"/>
        <v>1</v>
      </c>
      <c r="AQ232" s="272">
        <f ca="1">+AVERAGEIFS(TABELA_VAZAO[qnat],TABELA_VAZAO[Posto],$R232,TABELA_VAZAO[Data],AQ$27)</f>
        <v>63</v>
      </c>
      <c r="AR232" s="272">
        <f ca="1">+AVERAGEIFS(TABELA_VAZAO[qnat],TABELA_VAZAO[Posto],$R232,TABELA_VAZAO[Data],AR$27)</f>
        <v>68</v>
      </c>
      <c r="AS232" s="272">
        <f ca="1">+AVERAGEIFS(TABELA_VAZAO[qnat],TABELA_VAZAO[Posto],$R232,TABELA_VAZAO[Data],AS$27)</f>
        <v>91</v>
      </c>
      <c r="AT232" s="272">
        <f ca="1">+AVERAGEIFS(TABELA_VAZAO[qnat],TABELA_VAZAO[Posto],$R232,TABELA_VAZAO[Data],AT$27)</f>
        <v>112</v>
      </c>
      <c r="AU232" s="121">
        <f ca="1">+AVERAGEIFS(TABELA_VAZAO[qnat],TABELA_VAZAO[Posto],$R232,TABELA_VAZAO[Data],AU$27)</f>
        <v>148</v>
      </c>
      <c r="AV232" s="272">
        <f ca="1">IFERROR(AVERAGEIFS(TABELA_VAZAO[qnat],TABELA_VAZAO[Posto],$R232,TABELA_VAZAO[Data],AV$27),AU232+$BB232*EXP(AV$26))</f>
        <v>179</v>
      </c>
      <c r="AW232" s="159">
        <f ca="1">IFERROR(AVERAGEIFS(TABELA_VAZAO[qnat],TABELA_VAZAO[Posto],$R232,TABELA_VAZAO[Data],AW$27),AV232+$BB232*EXP(AW$26))</f>
        <v>442</v>
      </c>
      <c r="AX232" s="325">
        <f ca="1">IFERROR(AVERAGEIFS(TABELA_VAZAO[qnat],TABELA_VAZAO[Posto],$R232,TABELA_VAZAO[Data],AX$27),AW232+$BB232*EXP(AX$26))</f>
        <v>571.71428571428578</v>
      </c>
      <c r="AY232" s="325">
        <f ca="1">IFERROR(AVERAGEIFS(TABELA_VAZAO[qnat],TABELA_VAZAO[Posto],$R232,TABELA_VAZAO[Data],AY$27),AX232+$BB232*EXP(AY$26))</f>
        <v>658.6643716857659</v>
      </c>
      <c r="AZ232" s="326">
        <f ca="1">IFERROR(AVERAGEIFS(TABELA_VAZAO[qnat],TABELA_VAZAO[Posto],$R232,TABELA_VAZAO[Data],AZ$27),AY232+$BB232*EXP(AZ$26))</f>
        <v>716.94875731697118</v>
      </c>
      <c r="BA232" s="326">
        <f ca="1">IFERROR(AVERAGEIFS(TABELA_VAZAO[qnat],TABELA_VAZAO[Posto],$R232,TABELA_VAZAO[Data],BA$27),AZ232+$BB232*EXP(BA$26))</f>
        <v>756.01794937643967</v>
      </c>
      <c r="BB232" s="121">
        <f t="shared" ca="1" si="92"/>
        <v>129.71428571428572</v>
      </c>
      <c r="BC232" s="272">
        <f t="shared" ca="1" si="93"/>
        <v>21</v>
      </c>
      <c r="BD232" s="272">
        <f t="shared" ca="1" si="93"/>
        <v>36</v>
      </c>
      <c r="BE232" s="272">
        <f t="shared" ca="1" si="93"/>
        <v>31</v>
      </c>
      <c r="BF232" s="272">
        <f t="shared" ca="1" si="93"/>
        <v>263</v>
      </c>
      <c r="BG232"/>
    </row>
    <row r="233" spans="18:59" x14ac:dyDescent="0.2">
      <c r="R233">
        <v>206</v>
      </c>
      <c r="S233" s="40">
        <f ca="1">AO233</f>
        <v>109</v>
      </c>
      <c r="T233" s="40" t="str">
        <f t="shared" ca="1" si="97"/>
        <v/>
      </c>
      <c r="U233" s="131" t="str">
        <f t="shared" ca="1" si="97"/>
        <v/>
      </c>
      <c r="V233" s="131" t="str">
        <f t="shared" ca="1" si="97"/>
        <v/>
      </c>
      <c r="W233" s="131" t="str">
        <f t="shared" ca="1" si="97"/>
        <v/>
      </c>
      <c r="X233" s="131" t="str">
        <f t="shared" ca="1" si="97"/>
        <v/>
      </c>
      <c r="Y233" s="131" t="str">
        <f t="shared" ca="1" si="97"/>
        <v/>
      </c>
      <c r="Z233" s="131" t="str">
        <f t="shared" ca="1" si="97"/>
        <v/>
      </c>
      <c r="AA233" s="131" t="str">
        <f t="shared" ca="1" si="97"/>
        <v/>
      </c>
      <c r="AB233" s="131" t="str">
        <f t="shared" ca="1" si="97"/>
        <v/>
      </c>
      <c r="AN233" s="121"/>
      <c r="AO233" s="121">
        <f t="shared" ca="1" si="90"/>
        <v>109</v>
      </c>
      <c r="AP233" s="121" t="b">
        <f t="shared" si="91"/>
        <v>1</v>
      </c>
      <c r="AQ233" s="272">
        <f ca="1">+AVERAGEIFS(TABELA_VAZAO[qnat],TABELA_VAZAO[Posto],$R233,TABELA_VAZAO[Data],AQ$27)</f>
        <v>205</v>
      </c>
      <c r="AR233" s="272">
        <f ca="1">+AVERAGEIFS(TABELA_VAZAO[qnat],TABELA_VAZAO[Posto],$R233,TABELA_VAZAO[Data],AR$27)</f>
        <v>203</v>
      </c>
      <c r="AS233" s="272">
        <f ca="1">+AVERAGEIFS(TABELA_VAZAO[qnat],TABELA_VAZAO[Posto],$R233,TABELA_VAZAO[Data],AS$27)</f>
        <v>207</v>
      </c>
      <c r="AT233" s="272">
        <f ca="1">+AVERAGEIFS(TABELA_VAZAO[qnat],TABELA_VAZAO[Posto],$R233,TABELA_VAZAO[Data],AT$27)</f>
        <v>219</v>
      </c>
      <c r="AU233" s="121">
        <f ca="1">+AVERAGEIFS(TABELA_VAZAO[qnat],TABELA_VAZAO[Posto],$R233,TABELA_VAZAO[Data],AU$27)</f>
        <v>242</v>
      </c>
      <c r="AV233" s="272">
        <f ca="1">IFERROR(AVERAGEIFS(TABELA_VAZAO[qnat],TABELA_VAZAO[Posto],$R233,TABELA_VAZAO[Data],AV$27),AU233+$BB233*EXP(AV$26))</f>
        <v>262</v>
      </c>
      <c r="AW233" s="159">
        <f ca="1">IFERROR(AVERAGEIFS(TABELA_VAZAO[qnat],TABELA_VAZAO[Posto],$R233,TABELA_VAZAO[Data],AW$27),AV233+$BB233*EXP(AW$26))</f>
        <v>262</v>
      </c>
      <c r="AX233" s="325">
        <f ca="1">IFERROR(AVERAGEIFS(TABELA_VAZAO[qnat],TABELA_VAZAO[Posto],$R233,TABELA_VAZAO[Data],AX$27),AW233+$BB233*EXP(AX$26))</f>
        <v>272.71428571428572</v>
      </c>
      <c r="AY233" s="325">
        <f ca="1">IFERROR(AVERAGEIFS(TABELA_VAZAO[qnat],TABELA_VAZAO[Posto],$R233,TABELA_VAZAO[Data],AY$27),AX233+$BB233*EXP(AY$26))</f>
        <v>279.89628620752472</v>
      </c>
      <c r="AZ233" s="326">
        <f ca="1">IFERROR(AVERAGEIFS(TABELA_VAZAO[qnat],TABELA_VAZAO[Posto],$R233,TABELA_VAZAO[Data],AZ$27),AY233+$BB233*EXP(AZ$26))</f>
        <v>284.71052510878064</v>
      </c>
      <c r="BA233" s="326">
        <f ca="1">IFERROR(AVERAGEIFS(TABELA_VAZAO[qnat],TABELA_VAZAO[Posto],$R233,TABELA_VAZAO[Data],BA$27),AZ233+$BB233*EXP(BA$26))</f>
        <v>287.9376059506971</v>
      </c>
      <c r="BB233" s="121">
        <f t="shared" ca="1" si="92"/>
        <v>10.714285714285714</v>
      </c>
      <c r="BC233" s="272">
        <f t="shared" ca="1" si="93"/>
        <v>12</v>
      </c>
      <c r="BD233" s="272">
        <f t="shared" ca="1" si="93"/>
        <v>23</v>
      </c>
      <c r="BE233" s="272">
        <f t="shared" ca="1" si="93"/>
        <v>20</v>
      </c>
      <c r="BF233" s="272">
        <f t="shared" ca="1" si="93"/>
        <v>0</v>
      </c>
      <c r="BG233"/>
    </row>
    <row r="234" spans="18:59" x14ac:dyDescent="0.2">
      <c r="R234">
        <v>207</v>
      </c>
      <c r="S234" s="40">
        <f ca="1">AO234</f>
        <v>109</v>
      </c>
      <c r="T234" s="40" t="str">
        <f t="shared" ca="1" si="97"/>
        <v/>
      </c>
      <c r="U234" s="131" t="str">
        <f t="shared" ca="1" si="97"/>
        <v/>
      </c>
      <c r="V234" s="131" t="str">
        <f t="shared" ca="1" si="97"/>
        <v/>
      </c>
      <c r="W234" s="131" t="str">
        <f t="shared" ca="1" si="97"/>
        <v/>
      </c>
      <c r="X234" s="131" t="str">
        <f t="shared" ca="1" si="97"/>
        <v/>
      </c>
      <c r="Y234" s="131" t="str">
        <f t="shared" ca="1" si="97"/>
        <v/>
      </c>
      <c r="Z234" s="131" t="str">
        <f t="shared" ca="1" si="97"/>
        <v/>
      </c>
      <c r="AA234" s="131" t="str">
        <f t="shared" ca="1" si="97"/>
        <v/>
      </c>
      <c r="AB234" s="131" t="str">
        <f t="shared" ca="1" si="97"/>
        <v/>
      </c>
      <c r="AN234" s="121"/>
      <c r="AO234" s="121">
        <f t="shared" ca="1" si="90"/>
        <v>109</v>
      </c>
      <c r="AP234" s="121" t="b">
        <f t="shared" si="91"/>
        <v>1</v>
      </c>
      <c r="AQ234" s="272">
        <f ca="1">+AVERAGEIFS(TABELA_VAZAO[qnat],TABELA_VAZAO[Posto],$R234,TABELA_VAZAO[Data],AQ$27)</f>
        <v>209</v>
      </c>
      <c r="AR234" s="272">
        <f ca="1">+AVERAGEIFS(TABELA_VAZAO[qnat],TABELA_VAZAO[Posto],$R234,TABELA_VAZAO[Data],AR$27)</f>
        <v>204</v>
      </c>
      <c r="AS234" s="272">
        <f ca="1">+AVERAGEIFS(TABELA_VAZAO[qnat],TABELA_VAZAO[Posto],$R234,TABELA_VAZAO[Data],AS$27)</f>
        <v>207</v>
      </c>
      <c r="AT234" s="272">
        <f ca="1">+AVERAGEIFS(TABELA_VAZAO[qnat],TABELA_VAZAO[Posto],$R234,TABELA_VAZAO[Data],AT$27)</f>
        <v>217</v>
      </c>
      <c r="AU234" s="121">
        <f ca="1">+AVERAGEIFS(TABELA_VAZAO[qnat],TABELA_VAZAO[Posto],$R234,TABELA_VAZAO[Data],AU$27)</f>
        <v>239</v>
      </c>
      <c r="AV234" s="272">
        <f ca="1">IFERROR(AVERAGEIFS(TABELA_VAZAO[qnat],TABELA_VAZAO[Posto],$R234,TABELA_VAZAO[Data],AV$27),AU234+$BB234*EXP(AV$26))</f>
        <v>260</v>
      </c>
      <c r="AW234" s="159">
        <f ca="1">IFERROR(AVERAGEIFS(TABELA_VAZAO[qnat],TABELA_VAZAO[Posto],$R234,TABELA_VAZAO[Data],AW$27),AV234+$BB234*EXP(AW$26))</f>
        <v>264</v>
      </c>
      <c r="AX234" s="325">
        <f ca="1">IFERROR(AVERAGEIFS(TABELA_VAZAO[qnat],TABELA_VAZAO[Posto],$R234,TABELA_VAZAO[Data],AX$27),AW234+$BB234*EXP(AX$26))</f>
        <v>276.28571428571428</v>
      </c>
      <c r="AY234" s="325">
        <f ca="1">IFERROR(AVERAGEIFS(TABELA_VAZAO[qnat],TABELA_VAZAO[Posto],$R234,TABELA_VAZAO[Data],AY$27),AX234+$BB234*EXP(AY$26))</f>
        <v>284.521074851295</v>
      </c>
      <c r="AZ234" s="326">
        <f ca="1">IFERROR(AVERAGEIFS(TABELA_VAZAO[qnat],TABELA_VAZAO[Posto],$R234,TABELA_VAZAO[Data],AZ$27),AY234+$BB234*EXP(AZ$26))</f>
        <v>290.04140212473516</v>
      </c>
      <c r="BA234" s="326">
        <f ca="1">IFERROR(AVERAGEIFS(TABELA_VAZAO[qnat],TABELA_VAZAO[Posto],$R234,TABELA_VAZAO[Data],BA$27),AZ234+$BB234*EXP(BA$26))</f>
        <v>293.74178815679937</v>
      </c>
      <c r="BB234" s="121">
        <f t="shared" ca="1" si="92"/>
        <v>12.285714285714286</v>
      </c>
      <c r="BC234" s="272">
        <f t="shared" ca="1" si="93"/>
        <v>10</v>
      </c>
      <c r="BD234" s="272">
        <f t="shared" ca="1" si="93"/>
        <v>22</v>
      </c>
      <c r="BE234" s="272">
        <f t="shared" ca="1" si="93"/>
        <v>21</v>
      </c>
      <c r="BF234" s="272">
        <f t="shared" ca="1" si="93"/>
        <v>4</v>
      </c>
      <c r="BG234"/>
    </row>
    <row r="235" spans="18:59" x14ac:dyDescent="0.2">
      <c r="R235">
        <v>208</v>
      </c>
      <c r="S235" s="40"/>
      <c r="T235" s="40"/>
      <c r="U235" s="131"/>
      <c r="V235" s="131"/>
      <c r="W235" s="131"/>
      <c r="X235" s="131"/>
      <c r="Y235" s="131"/>
      <c r="Z235" s="131"/>
      <c r="AA235" s="131"/>
      <c r="AB235" s="131"/>
      <c r="AN235" s="121"/>
      <c r="AO235" s="121" t="e">
        <f t="shared" si="90"/>
        <v>#DIV/0!</v>
      </c>
      <c r="AP235" s="121" t="b">
        <f t="shared" si="91"/>
        <v>0</v>
      </c>
      <c r="AU235" s="121"/>
      <c r="AV235" s="121"/>
      <c r="AW235" s="159"/>
      <c r="AX235" s="159"/>
      <c r="AY235" s="159"/>
      <c r="AZ235" s="157"/>
      <c r="BA235" s="157"/>
      <c r="BB235" s="121">
        <f t="shared" ca="1" si="92"/>
        <v>0</v>
      </c>
      <c r="BC235" s="272">
        <f t="shared" ca="1" si="93"/>
        <v>0</v>
      </c>
      <c r="BD235" s="272">
        <f t="shared" ca="1" si="93"/>
        <v>0</v>
      </c>
      <c r="BE235" s="272">
        <f t="shared" ca="1" si="93"/>
        <v>0</v>
      </c>
      <c r="BF235" s="272">
        <f t="shared" ca="1" si="93"/>
        <v>0</v>
      </c>
      <c r="BG235"/>
    </row>
    <row r="236" spans="18:59" x14ac:dyDescent="0.2">
      <c r="R236">
        <v>209</v>
      </c>
      <c r="S236" s="40">
        <f ca="1">AO236</f>
        <v>157</v>
      </c>
      <c r="T236" s="40" t="str">
        <f t="shared" ref="T236:AB236" ca="1" si="98">IFERROR(ROUND(INDEX(G$28:G$129,MATCH($R236,$A$28:$A$129,0)),0),"")</f>
        <v/>
      </c>
      <c r="U236" s="131" t="str">
        <f t="shared" ca="1" si="98"/>
        <v/>
      </c>
      <c r="V236" s="131" t="str">
        <f t="shared" ca="1" si="98"/>
        <v/>
      </c>
      <c r="W236" s="131" t="str">
        <f t="shared" ca="1" si="98"/>
        <v/>
      </c>
      <c r="X236" s="131" t="str">
        <f t="shared" ca="1" si="98"/>
        <v/>
      </c>
      <c r="Y236" s="131" t="str">
        <f t="shared" ca="1" si="98"/>
        <v/>
      </c>
      <c r="Z236" s="131" t="str">
        <f t="shared" ca="1" si="98"/>
        <v/>
      </c>
      <c r="AA236" s="131" t="str">
        <f t="shared" ca="1" si="98"/>
        <v/>
      </c>
      <c r="AB236" s="131" t="str">
        <f t="shared" ca="1" si="98"/>
        <v/>
      </c>
      <c r="AN236" s="121"/>
      <c r="AO236" s="121">
        <f t="shared" ca="1" si="90"/>
        <v>157</v>
      </c>
      <c r="AP236" s="121" t="b">
        <f t="shared" si="91"/>
        <v>1</v>
      </c>
      <c r="AQ236" s="272">
        <f ca="1">+AVERAGEIFS(TABELA_VAZAO[qnat],TABELA_VAZAO[Posto],$R236,TABELA_VAZAO[Data],AQ$27)</f>
        <v>206</v>
      </c>
      <c r="AR236" s="272">
        <f ca="1">+AVERAGEIFS(TABELA_VAZAO[qnat],TABELA_VAZAO[Posto],$R236,TABELA_VAZAO[Data],AR$27)</f>
        <v>190</v>
      </c>
      <c r="AS236" s="272">
        <f ca="1">+AVERAGEIFS(TABELA_VAZAO[qnat],TABELA_VAZAO[Posto],$R236,TABELA_VAZAO[Data],AS$27)</f>
        <v>201</v>
      </c>
      <c r="AT236" s="272">
        <f ca="1">+AVERAGEIFS(TABELA_VAZAO[qnat],TABELA_VAZAO[Posto],$R236,TABELA_VAZAO[Data],AT$27)</f>
        <v>223</v>
      </c>
      <c r="AU236" s="121">
        <f ca="1">+AVERAGEIFS(TABELA_VAZAO[qnat],TABELA_VAZAO[Posto],$R236,TABELA_VAZAO[Data],AU$27)</f>
        <v>262</v>
      </c>
      <c r="AV236" s="272">
        <f ca="1">IFERROR(AVERAGEIFS(TABELA_VAZAO[qnat],TABELA_VAZAO[Posto],$R236,TABELA_VAZAO[Data],AV$27),AU236+$BB236*EXP(AV$26))</f>
        <v>348</v>
      </c>
      <c r="AW236" s="159">
        <f ca="1">IFERROR(AVERAGEIFS(TABELA_VAZAO[qnat],TABELA_VAZAO[Posto],$R236,TABELA_VAZAO[Data],AW$27),AV236+$BB236*EXP(AW$26))</f>
        <v>486</v>
      </c>
      <c r="AX236" s="325">
        <f ca="1">IFERROR(AVERAGEIFS(TABELA_VAZAO[qnat],TABELA_VAZAO[Posto],$R236,TABELA_VAZAO[Data],AX$27),AW236+$BB236*EXP(AX$26))</f>
        <v>578.42857142857144</v>
      </c>
      <c r="AY236" s="325">
        <f ca="1">IFERROR(AVERAGEIFS(TABELA_VAZAO[qnat],TABELA_VAZAO[Posto],$R236,TABELA_VAZAO[Data],AY$27),AX236+$BB236*EXP(AY$26))</f>
        <v>640.38529568357978</v>
      </c>
      <c r="AZ236" s="326">
        <f ca="1">IFERROR(AVERAGEIFS(TABELA_VAZAO[qnat],TABELA_VAZAO[Posto],$R236,TABELA_VAZAO[Data],AZ$27),AY236+$BB236*EXP(AZ$26))</f>
        <v>681.91612993841443</v>
      </c>
      <c r="BA236" s="326">
        <f ca="1">IFERROR(AVERAGEIFS(TABELA_VAZAO[qnat],TABELA_VAZAO[Posto],$R236,TABELA_VAZAO[Data],BA$27),AZ236+$BB236*EXP(BA$26))</f>
        <v>709.75508066801365</v>
      </c>
      <c r="BB236" s="121">
        <f t="shared" ca="1" si="92"/>
        <v>92.428571428571431</v>
      </c>
      <c r="BC236" s="272">
        <f t="shared" ca="1" si="93"/>
        <v>22</v>
      </c>
      <c r="BD236" s="272">
        <f t="shared" ca="1" si="93"/>
        <v>39</v>
      </c>
      <c r="BE236" s="272">
        <f t="shared" ca="1" si="93"/>
        <v>86</v>
      </c>
      <c r="BF236" s="272">
        <f t="shared" ca="1" si="93"/>
        <v>138</v>
      </c>
      <c r="BG236"/>
    </row>
    <row r="237" spans="18:59" x14ac:dyDescent="0.2">
      <c r="R237">
        <v>210</v>
      </c>
      <c r="S237" s="40"/>
      <c r="T237" s="40"/>
      <c r="U237" s="131"/>
      <c r="V237" s="131"/>
      <c r="W237" s="131"/>
      <c r="X237" s="131"/>
      <c r="Y237" s="131"/>
      <c r="Z237" s="131"/>
      <c r="AA237" s="131"/>
      <c r="AB237" s="131"/>
      <c r="AN237" s="121"/>
      <c r="AO237" s="121" t="e">
        <f t="shared" si="90"/>
        <v>#DIV/0!</v>
      </c>
      <c r="AP237" s="121" t="b">
        <f t="shared" si="91"/>
        <v>0</v>
      </c>
      <c r="AU237" s="121"/>
      <c r="AV237" s="121"/>
      <c r="AW237" s="159"/>
      <c r="AX237" s="159"/>
      <c r="AY237" s="159"/>
      <c r="AZ237" s="157"/>
      <c r="BA237" s="157"/>
      <c r="BB237" s="121">
        <f t="shared" ca="1" si="92"/>
        <v>0</v>
      </c>
      <c r="BC237" s="272">
        <f t="shared" ca="1" si="93"/>
        <v>0</v>
      </c>
      <c r="BD237" s="272">
        <f t="shared" ca="1" si="93"/>
        <v>0</v>
      </c>
      <c r="BE237" s="272">
        <f t="shared" ca="1" si="93"/>
        <v>0</v>
      </c>
      <c r="BF237" s="272">
        <f t="shared" ca="1" si="93"/>
        <v>0</v>
      </c>
      <c r="BG237"/>
    </row>
    <row r="238" spans="18:59" x14ac:dyDescent="0.2">
      <c r="R238">
        <v>211</v>
      </c>
      <c r="S238" s="40">
        <f ca="1">AO238</f>
        <v>125</v>
      </c>
      <c r="T238" s="40" t="str">
        <f t="shared" ref="T238:AB238" ca="1" si="99">IFERROR(ROUND(INDEX(G$28:G$129,MATCH($R238,$A$28:$A$129,0)),0),"")</f>
        <v/>
      </c>
      <c r="U238" s="131" t="str">
        <f t="shared" ca="1" si="99"/>
        <v/>
      </c>
      <c r="V238" s="131" t="str">
        <f t="shared" ca="1" si="99"/>
        <v/>
      </c>
      <c r="W238" s="131" t="str">
        <f t="shared" ca="1" si="99"/>
        <v/>
      </c>
      <c r="X238" s="131" t="str">
        <f t="shared" ca="1" si="99"/>
        <v/>
      </c>
      <c r="Y238" s="131" t="str">
        <f t="shared" ca="1" si="99"/>
        <v/>
      </c>
      <c r="Z238" s="131" t="str">
        <f t="shared" ca="1" si="99"/>
        <v/>
      </c>
      <c r="AA238" s="131" t="str">
        <f t="shared" ca="1" si="99"/>
        <v/>
      </c>
      <c r="AB238" s="131" t="str">
        <f t="shared" ca="1" si="99"/>
        <v/>
      </c>
      <c r="AN238" s="121"/>
      <c r="AO238" s="121">
        <f t="shared" ca="1" si="90"/>
        <v>125</v>
      </c>
      <c r="AP238" s="121" t="b">
        <f t="shared" si="91"/>
        <v>1</v>
      </c>
      <c r="AQ238" s="272">
        <f ca="1">+AVERAGEIFS(TABELA_VAZAO[qnat],TABELA_VAZAO[Posto],$R238,TABELA_VAZAO[Data],AQ$27)</f>
        <v>189</v>
      </c>
      <c r="AR238" s="272">
        <f ca="1">+AVERAGEIFS(TABELA_VAZAO[qnat],TABELA_VAZAO[Posto],$R238,TABELA_VAZAO[Data],AR$27)</f>
        <v>175</v>
      </c>
      <c r="AS238" s="272">
        <f ca="1">+AVERAGEIFS(TABELA_VAZAO[qnat],TABELA_VAZAO[Posto],$R238,TABELA_VAZAO[Data],AS$27)</f>
        <v>172</v>
      </c>
      <c r="AT238" s="272">
        <f ca="1">+AVERAGEIFS(TABELA_VAZAO[qnat],TABELA_VAZAO[Posto],$R238,TABELA_VAZAO[Data],AT$27)</f>
        <v>183</v>
      </c>
      <c r="AU238" s="121">
        <f ca="1">+AVERAGEIFS(TABELA_VAZAO[qnat],TABELA_VAZAO[Posto],$R238,TABELA_VAZAO[Data],AU$27)</f>
        <v>214</v>
      </c>
      <c r="AV238" s="272">
        <f ca="1">IFERROR(AVERAGEIFS(TABELA_VAZAO[qnat],TABELA_VAZAO[Posto],$R238,TABELA_VAZAO[Data],AV$27),AU238+$BB238*EXP(AV$26))</f>
        <v>277</v>
      </c>
      <c r="AW238" s="159">
        <f ca="1">IFERROR(AVERAGEIFS(TABELA_VAZAO[qnat],TABELA_VAZAO[Posto],$R238,TABELA_VAZAO[Data],AW$27),AV238+$BB238*EXP(AW$26))</f>
        <v>386</v>
      </c>
      <c r="AX238" s="325">
        <f ca="1">IFERROR(AVERAGEIFS(TABELA_VAZAO[qnat],TABELA_VAZAO[Posto],$R238,TABELA_VAZAO[Data],AX$27),AW238+$BB238*EXP(AX$26))</f>
        <v>456.71428571428572</v>
      </c>
      <c r="AY238" s="325">
        <f ca="1">IFERROR(AVERAGEIFS(TABELA_VAZAO[qnat],TABELA_VAZAO[Posto],$R238,TABELA_VAZAO[Data],AY$27),AX238+$BB238*EXP(AY$26))</f>
        <v>504.11548896966309</v>
      </c>
      <c r="AZ238" s="326">
        <f ca="1">IFERROR(AVERAGEIFS(TABELA_VAZAO[qnat],TABELA_VAZAO[Posto],$R238,TABELA_VAZAO[Data],AZ$27),AY238+$BB238*EXP(AZ$26))</f>
        <v>535.88946571795236</v>
      </c>
      <c r="BA238" s="326">
        <f ca="1">IFERROR(AVERAGEIFS(TABELA_VAZAO[qnat],TABELA_VAZAO[Posto],$R238,TABELA_VAZAO[Data],BA$27),AZ238+$BB238*EXP(BA$26))</f>
        <v>557.18819927460095</v>
      </c>
      <c r="BB238" s="121">
        <f t="shared" ca="1" si="92"/>
        <v>70.714285714285708</v>
      </c>
      <c r="BC238" s="272">
        <f t="shared" ca="1" si="93"/>
        <v>11</v>
      </c>
      <c r="BD238" s="272">
        <f t="shared" ca="1" si="93"/>
        <v>31</v>
      </c>
      <c r="BE238" s="272">
        <f t="shared" ca="1" si="93"/>
        <v>63</v>
      </c>
      <c r="BF238" s="272">
        <f t="shared" ca="1" si="93"/>
        <v>109</v>
      </c>
      <c r="BG238"/>
    </row>
    <row r="239" spans="18:59" x14ac:dyDescent="0.2">
      <c r="R239">
        <v>212</v>
      </c>
      <c r="S239" s="40"/>
      <c r="T239" s="40"/>
      <c r="U239" s="131"/>
      <c r="V239" s="131"/>
      <c r="W239" s="131"/>
      <c r="X239" s="131"/>
      <c r="Y239" s="131"/>
      <c r="Z239" s="131"/>
      <c r="AA239" s="131"/>
      <c r="AB239" s="131"/>
      <c r="AN239" s="121"/>
      <c r="AO239" s="121" t="e">
        <f t="shared" si="90"/>
        <v>#DIV/0!</v>
      </c>
      <c r="AP239" s="121" t="b">
        <f t="shared" si="91"/>
        <v>0</v>
      </c>
      <c r="AU239" s="121"/>
      <c r="AV239" s="121"/>
      <c r="AW239" s="159"/>
      <c r="AX239" s="159"/>
      <c r="AY239" s="159"/>
      <c r="AZ239" s="157"/>
      <c r="BA239" s="157"/>
      <c r="BB239" s="121">
        <f t="shared" ca="1" si="92"/>
        <v>0</v>
      </c>
      <c r="BC239" s="272">
        <f t="shared" ca="1" si="93"/>
        <v>0</v>
      </c>
      <c r="BD239" s="272">
        <f t="shared" ca="1" si="93"/>
        <v>0</v>
      </c>
      <c r="BE239" s="272">
        <f t="shared" ca="1" si="93"/>
        <v>0</v>
      </c>
      <c r="BF239" s="272">
        <f t="shared" ca="1" si="93"/>
        <v>0</v>
      </c>
      <c r="BG239"/>
    </row>
    <row r="240" spans="18:59" x14ac:dyDescent="0.2">
      <c r="R240">
        <v>213</v>
      </c>
      <c r="S240" s="40"/>
      <c r="T240" s="40"/>
      <c r="U240" s="131"/>
      <c r="V240" s="131"/>
      <c r="W240" s="131"/>
      <c r="X240" s="131"/>
      <c r="Y240" s="131"/>
      <c r="Z240" s="131"/>
      <c r="AA240" s="131"/>
      <c r="AB240" s="131"/>
      <c r="AN240" s="121"/>
      <c r="AO240" s="121" t="e">
        <f t="shared" si="90"/>
        <v>#DIV/0!</v>
      </c>
      <c r="AP240" s="121" t="b">
        <f t="shared" si="91"/>
        <v>0</v>
      </c>
      <c r="AU240" s="121"/>
      <c r="AV240" s="121"/>
      <c r="AW240" s="159"/>
      <c r="AX240" s="159"/>
      <c r="AY240" s="159"/>
      <c r="AZ240" s="157"/>
      <c r="BA240" s="157"/>
      <c r="BB240" s="121">
        <f t="shared" ca="1" si="92"/>
        <v>0</v>
      </c>
      <c r="BC240" s="272">
        <f t="shared" ca="1" si="93"/>
        <v>0</v>
      </c>
      <c r="BD240" s="272">
        <f t="shared" ca="1" si="93"/>
        <v>0</v>
      </c>
      <c r="BE240" s="272">
        <f t="shared" ca="1" si="93"/>
        <v>0</v>
      </c>
      <c r="BF240" s="272">
        <f t="shared" ca="1" si="93"/>
        <v>0</v>
      </c>
      <c r="BG240"/>
    </row>
    <row r="241" spans="18:59" x14ac:dyDescent="0.2">
      <c r="R241">
        <v>214</v>
      </c>
      <c r="S241" s="40"/>
      <c r="T241" s="40"/>
      <c r="U241" s="131"/>
      <c r="V241" s="131"/>
      <c r="W241" s="131"/>
      <c r="X241" s="131"/>
      <c r="Y241" s="131"/>
      <c r="Z241" s="131"/>
      <c r="AA241" s="131"/>
      <c r="AB241" s="131"/>
      <c r="AN241" s="121"/>
      <c r="AO241" s="121" t="e">
        <f t="shared" si="90"/>
        <v>#DIV/0!</v>
      </c>
      <c r="AP241" s="121" t="b">
        <f t="shared" si="91"/>
        <v>0</v>
      </c>
      <c r="AU241" s="121"/>
      <c r="AV241" s="121"/>
      <c r="AW241" s="159"/>
      <c r="AX241" s="159"/>
      <c r="AY241" s="159"/>
      <c r="AZ241" s="157"/>
      <c r="BA241" s="157"/>
      <c r="BB241" s="121">
        <f t="shared" ca="1" si="92"/>
        <v>0</v>
      </c>
      <c r="BC241" s="272">
        <f t="shared" ca="1" si="93"/>
        <v>0</v>
      </c>
      <c r="BD241" s="272">
        <f t="shared" ca="1" si="93"/>
        <v>0</v>
      </c>
      <c r="BE241" s="272">
        <f t="shared" ca="1" si="93"/>
        <v>0</v>
      </c>
      <c r="BF241" s="272">
        <f t="shared" ca="1" si="93"/>
        <v>0</v>
      </c>
      <c r="BG241"/>
    </row>
    <row r="242" spans="18:59" x14ac:dyDescent="0.2">
      <c r="R242">
        <v>215</v>
      </c>
      <c r="S242" s="246">
        <f ca="1">AO242</f>
        <v>0</v>
      </c>
      <c r="T242" s="246" t="str">
        <f t="shared" ref="T242:AA244" ca="1" si="100">IFERROR(ROUND(INDEX(G$28:G$129,MATCH($R242,$A$28:$A$129,0)),0),IF(AND($K$4,ISNUMBER(H$143)),ROUND(G$143*S242,0),""))</f>
        <v/>
      </c>
      <c r="U242" s="246" t="str">
        <f t="shared" ca="1" si="100"/>
        <v/>
      </c>
      <c r="V242" s="246" t="str">
        <f t="shared" ca="1" si="100"/>
        <v/>
      </c>
      <c r="W242" s="246" t="str">
        <f t="shared" ca="1" si="100"/>
        <v/>
      </c>
      <c r="X242" s="246" t="str">
        <f t="shared" ca="1" si="100"/>
        <v/>
      </c>
      <c r="Y242" s="246" t="str">
        <f t="shared" ca="1" si="100"/>
        <v/>
      </c>
      <c r="Z242" s="246" t="str">
        <f t="shared" ca="1" si="100"/>
        <v/>
      </c>
      <c r="AA242" s="246" t="str">
        <f t="shared" ca="1" si="100"/>
        <v/>
      </c>
      <c r="AB242" s="246" t="str">
        <f ca="1">IFERROR(ROUND(INDEX(O$28:O$129,MATCH($R242,$A$28:$A$129,0)),0),"")</f>
        <v/>
      </c>
      <c r="AN242" s="121"/>
      <c r="AO242" s="121">
        <f t="shared" ca="1" si="90"/>
        <v>0</v>
      </c>
      <c r="AP242" s="121" t="b">
        <f t="shared" si="91"/>
        <v>1</v>
      </c>
      <c r="AQ242" s="272">
        <f ca="1">+AVERAGEIFS(TABELA_VAZAO[qnat],TABELA_VAZAO[Posto],$R242,TABELA_VAZAO[Data],AQ$27)</f>
        <v>43</v>
      </c>
      <c r="AR242" s="272">
        <f ca="1">+AVERAGEIFS(TABELA_VAZAO[qnat],TABELA_VAZAO[Posto],$R242,TABELA_VAZAO[Data],AR$27)</f>
        <v>44</v>
      </c>
      <c r="AS242" s="272">
        <f ca="1">+AVERAGEIFS(TABELA_VAZAO[qnat],TABELA_VAZAO[Posto],$R242,TABELA_VAZAO[Data],AS$27)</f>
        <v>55</v>
      </c>
      <c r="AT242" s="272">
        <f ca="1">+AVERAGEIFS(TABELA_VAZAO[qnat],TABELA_VAZAO[Posto],$R242,TABELA_VAZAO[Data],AT$27)</f>
        <v>67</v>
      </c>
      <c r="AU242" s="121">
        <f ca="1">+AVERAGEIFS(TABELA_VAZAO[qnat],TABELA_VAZAO[Posto],$R242,TABELA_VAZAO[Data],AU$27)</f>
        <v>79</v>
      </c>
      <c r="AV242" s="272">
        <f ca="1">IFERROR(AVERAGEIFS(TABELA_VAZAO[qnat],TABELA_VAZAO[Posto],$R242,TABELA_VAZAO[Data],AV$27),AU242+$BB242*EXP(AV$26))</f>
        <v>87</v>
      </c>
      <c r="AW242" s="159">
        <f ca="1">IFERROR(AVERAGEIFS(TABELA_VAZAO[qnat],TABELA_VAZAO[Posto],$R242,TABELA_VAZAO[Data],AW$27),AV242+$BB242*EXP(AW$26))</f>
        <v>91</v>
      </c>
      <c r="AX242" s="325">
        <f ca="1">IFERROR(AVERAGEIFS(TABELA_VAZAO[qnat],TABELA_VAZAO[Posto],$R242,TABELA_VAZAO[Data],AX$27),AW242+$BB242*EXP(AX$26))</f>
        <v>98.428571428571431</v>
      </c>
      <c r="AY242" s="325">
        <f ca="1">IFERROR(AVERAGEIFS(TABELA_VAZAO[qnat],TABELA_VAZAO[Posto],$R242,TABELA_VAZAO[Data],AY$27),AX242+$BB242*EXP(AY$26))</f>
        <v>103.40809177055047</v>
      </c>
      <c r="AZ242" s="326">
        <f ca="1">IFERROR(AVERAGEIFS(TABELA_VAZAO[qnat],TABELA_VAZAO[Posto],$R242,TABELA_VAZAO[Data],AZ$27),AY242+$BB242*EXP(AZ$26))</f>
        <v>106.74596407542126</v>
      </c>
      <c r="BA242" s="326">
        <f ca="1">IFERROR(AVERAGEIFS(TABELA_VAZAO[qnat],TABELA_VAZAO[Posto],$R242,TABELA_VAZAO[Data],BA$27),AZ242+$BB242*EXP(BA$26))</f>
        <v>108.98340679248332</v>
      </c>
      <c r="BB242" s="121">
        <f t="shared" ca="1" si="92"/>
        <v>7.4285714285714288</v>
      </c>
      <c r="BC242" s="272">
        <f t="shared" ca="1" si="93"/>
        <v>12</v>
      </c>
      <c r="BD242" s="272">
        <f t="shared" ca="1" si="93"/>
        <v>12</v>
      </c>
      <c r="BE242" s="272">
        <f t="shared" ca="1" si="93"/>
        <v>8</v>
      </c>
      <c r="BF242" s="272">
        <f t="shared" ca="1" si="93"/>
        <v>4</v>
      </c>
      <c r="BG242"/>
    </row>
    <row r="243" spans="18:59" x14ac:dyDescent="0.2">
      <c r="R243">
        <v>216</v>
      </c>
      <c r="S243" s="246">
        <f ca="1">AO243</f>
        <v>30</v>
      </c>
      <c r="T243" s="246" t="str">
        <f t="shared" ca="1" si="100"/>
        <v/>
      </c>
      <c r="U243" s="246" t="str">
        <f t="shared" ca="1" si="100"/>
        <v/>
      </c>
      <c r="V243" s="246" t="str">
        <f t="shared" ca="1" si="100"/>
        <v/>
      </c>
      <c r="W243" s="246" t="str">
        <f t="shared" ca="1" si="100"/>
        <v/>
      </c>
      <c r="X243" s="246" t="str">
        <f t="shared" ca="1" si="100"/>
        <v/>
      </c>
      <c r="Y243" s="246" t="str">
        <f t="shared" ca="1" si="100"/>
        <v/>
      </c>
      <c r="Z243" s="246" t="str">
        <f t="shared" ca="1" si="100"/>
        <v/>
      </c>
      <c r="AA243" s="246" t="str">
        <f t="shared" ca="1" si="100"/>
        <v/>
      </c>
      <c r="AB243" s="246" t="str">
        <f ca="1">IFERROR(ROUND(INDEX(O$28:O$129,MATCH($R243,$A$28:$A$129,0)),0),"")</f>
        <v/>
      </c>
      <c r="AN243" s="121"/>
      <c r="AO243" s="121">
        <f t="shared" ca="1" si="90"/>
        <v>30</v>
      </c>
      <c r="AP243" s="121" t="b">
        <f t="shared" si="91"/>
        <v>1</v>
      </c>
      <c r="AQ243" s="272">
        <f ca="1">+AVERAGEIFS(TABELA_VAZAO[qnat],TABELA_VAZAO[Posto],$R243,TABELA_VAZAO[Data],AQ$27)</f>
        <v>64</v>
      </c>
      <c r="AR243" s="272">
        <f ca="1">+AVERAGEIFS(TABELA_VAZAO[qnat],TABELA_VAZAO[Posto],$R243,TABELA_VAZAO[Data],AR$27)</f>
        <v>61</v>
      </c>
      <c r="AS243" s="272">
        <f ca="1">+AVERAGEIFS(TABELA_VAZAO[qnat],TABELA_VAZAO[Posto],$R243,TABELA_VAZAO[Data],AS$27)</f>
        <v>60</v>
      </c>
      <c r="AT243" s="272">
        <f ca="1">+AVERAGEIFS(TABELA_VAZAO[qnat],TABELA_VAZAO[Posto],$R243,TABELA_VAZAO[Data],AT$27)</f>
        <v>60</v>
      </c>
      <c r="AU243" s="121">
        <f ca="1">+AVERAGEIFS(TABELA_VAZAO[qnat],TABELA_VAZAO[Posto],$R243,TABELA_VAZAO[Data],AU$27)</f>
        <v>65</v>
      </c>
      <c r="AV243" s="272">
        <f ca="1">IFERROR(AVERAGEIFS(TABELA_VAZAO[qnat],TABELA_VAZAO[Posto],$R243,TABELA_VAZAO[Data],AV$27),AU243+$BB243*EXP(AV$26))</f>
        <v>71</v>
      </c>
      <c r="AW243" s="159">
        <f ca="1">IFERROR(AVERAGEIFS(TABELA_VAZAO[qnat],TABELA_VAZAO[Posto],$R243,TABELA_VAZAO[Data],AW$27),AV243+$BB243*EXP(AW$26))</f>
        <v>75</v>
      </c>
      <c r="AX243" s="325">
        <f ca="1">IFERROR(AVERAGEIFS(TABELA_VAZAO[qnat],TABELA_VAZAO[Posto],$R243,TABELA_VAZAO[Data],AX$27),AW243+$BB243*EXP(AX$26))</f>
        <v>79.142857142857139</v>
      </c>
      <c r="AY243" s="325">
        <f ca="1">IFERROR(AVERAGEIFS(TABELA_VAZAO[qnat],TABELA_VAZAO[Posto],$R243,TABELA_VAZAO[Data],AY$27),AX243+$BB243*EXP(AY$26))</f>
        <v>81.919897333576216</v>
      </c>
      <c r="AZ243" s="326">
        <f ca="1">IFERROR(AVERAGEIFS(TABELA_VAZAO[qnat],TABELA_VAZAO[Posto],$R243,TABELA_VAZAO[Data],AZ$27),AY243+$BB243*EXP(AZ$26))</f>
        <v>83.781403042061854</v>
      </c>
      <c r="BA243" s="326">
        <f ca="1">IFERROR(AVERAGEIFS(TABELA_VAZAO[qnat],TABELA_VAZAO[Posto],$R243,TABELA_VAZAO[Data],BA$27),AZ243+$BB243*EXP(BA$26))</f>
        <v>85.029207634269554</v>
      </c>
      <c r="BB243" s="121">
        <f t="shared" ca="1" si="92"/>
        <v>4.1428571428571432</v>
      </c>
      <c r="BC243" s="272">
        <f t="shared" ca="1" si="93"/>
        <v>0</v>
      </c>
      <c r="BD243" s="272">
        <f t="shared" ca="1" si="93"/>
        <v>5</v>
      </c>
      <c r="BE243" s="272">
        <f t="shared" ca="1" si="93"/>
        <v>6</v>
      </c>
      <c r="BF243" s="272">
        <f t="shared" ca="1" si="93"/>
        <v>4</v>
      </c>
      <c r="BG243"/>
    </row>
    <row r="244" spans="18:59" x14ac:dyDescent="0.2">
      <c r="R244">
        <v>217</v>
      </c>
      <c r="S244" s="246">
        <f ca="1">AO244</f>
        <v>87</v>
      </c>
      <c r="T244" s="246" t="str">
        <f t="shared" ca="1" si="100"/>
        <v/>
      </c>
      <c r="U244" s="246" t="str">
        <f t="shared" ca="1" si="100"/>
        <v/>
      </c>
      <c r="V244" s="246" t="str">
        <f t="shared" ca="1" si="100"/>
        <v/>
      </c>
      <c r="W244" s="246" t="str">
        <f t="shared" ca="1" si="100"/>
        <v/>
      </c>
      <c r="X244" s="246" t="str">
        <f t="shared" ca="1" si="100"/>
        <v/>
      </c>
      <c r="Y244" s="246" t="str">
        <f t="shared" ca="1" si="100"/>
        <v/>
      </c>
      <c r="Z244" s="246" t="str">
        <f t="shared" ca="1" si="100"/>
        <v/>
      </c>
      <c r="AA244" s="246" t="str">
        <f t="shared" ca="1" si="100"/>
        <v/>
      </c>
      <c r="AB244" s="246" t="str">
        <f ca="1">IFERROR(ROUND(INDEX(O$28:O$129,MATCH($R244,$A$28:$A$129,0)),0),"")</f>
        <v/>
      </c>
      <c r="AN244" s="121"/>
      <c r="AO244" s="121">
        <f t="shared" ca="1" si="90"/>
        <v>87</v>
      </c>
      <c r="AP244" s="121" t="b">
        <f t="shared" si="91"/>
        <v>1</v>
      </c>
      <c r="AQ244" s="272">
        <f ca="1">+AVERAGEIFS(TABELA_VAZAO[qnat],TABELA_VAZAO[Posto],$R244,TABELA_VAZAO[Data],AQ$27)</f>
        <v>168</v>
      </c>
      <c r="AR244" s="272">
        <f ca="1">+AVERAGEIFS(TABELA_VAZAO[qnat],TABELA_VAZAO[Posto],$R244,TABELA_VAZAO[Data],AR$27)</f>
        <v>163</v>
      </c>
      <c r="AS244" s="272">
        <f ca="1">+AVERAGEIFS(TABELA_VAZAO[qnat],TABELA_VAZAO[Posto],$R244,TABELA_VAZAO[Data],AS$27)</f>
        <v>165</v>
      </c>
      <c r="AT244" s="272">
        <f ca="1">+AVERAGEIFS(TABELA_VAZAO[qnat],TABELA_VAZAO[Posto],$R244,TABELA_VAZAO[Data],AT$27)</f>
        <v>178</v>
      </c>
      <c r="AU244" s="121">
        <f ca="1">+AVERAGEIFS(TABELA_VAZAO[qnat],TABELA_VAZAO[Posto],$R244,TABELA_VAZAO[Data],AU$27)</f>
        <v>192</v>
      </c>
      <c r="AV244" s="272">
        <f ca="1">IFERROR(AVERAGEIFS(TABELA_VAZAO[qnat],TABELA_VAZAO[Posto],$R244,TABELA_VAZAO[Data],AV$27),AU244+$BB244*EXP(AV$26))</f>
        <v>204</v>
      </c>
      <c r="AW244" s="159">
        <f ca="1">IFERROR(AVERAGEIFS(TABELA_VAZAO[qnat],TABELA_VAZAO[Posto],$R244,TABELA_VAZAO[Data],AW$27),AV244+$BB244*EXP(AW$26))</f>
        <v>213</v>
      </c>
      <c r="AX244" s="325">
        <f ca="1">IFERROR(AVERAGEIFS(TABELA_VAZAO[qnat],TABELA_VAZAO[Posto],$R244,TABELA_VAZAO[Data],AX$27),AW244+$BB244*EXP(AX$26))</f>
        <v>224.14285714285714</v>
      </c>
      <c r="AY244" s="325">
        <f ca="1">IFERROR(AVERAGEIFS(TABELA_VAZAO[qnat],TABELA_VAZAO[Posto],$R244,TABELA_VAZAO[Data],AY$27),AX244+$BB244*EXP(AY$26))</f>
        <v>231.61213765582568</v>
      </c>
      <c r="AZ244" s="326">
        <f ca="1">IFERROR(AVERAGEIFS(TABELA_VAZAO[qnat],TABELA_VAZAO[Posto],$R244,TABELA_VAZAO[Data],AZ$27),AY244+$BB244*EXP(AZ$26))</f>
        <v>236.61894611313187</v>
      </c>
      <c r="BA244" s="326">
        <f ca="1">IFERROR(AVERAGEIFS(TABELA_VAZAO[qnat],TABELA_VAZAO[Posto],$R244,TABELA_VAZAO[Data],BA$27),AZ244+$BB244*EXP(BA$26))</f>
        <v>239.97511018872498</v>
      </c>
      <c r="BB244" s="121">
        <f t="shared" ca="1" si="92"/>
        <v>11.142857142857142</v>
      </c>
      <c r="BC244" s="272">
        <f t="shared" ca="1" si="93"/>
        <v>13</v>
      </c>
      <c r="BD244" s="272">
        <f t="shared" ca="1" si="93"/>
        <v>14</v>
      </c>
      <c r="BE244" s="272">
        <f t="shared" ca="1" si="93"/>
        <v>12</v>
      </c>
      <c r="BF244" s="272">
        <f t="shared" ca="1" si="93"/>
        <v>9</v>
      </c>
      <c r="BG244"/>
    </row>
    <row r="245" spans="18:59" x14ac:dyDescent="0.2">
      <c r="R245">
        <v>218</v>
      </c>
      <c r="S245" s="40"/>
      <c r="T245" s="40"/>
      <c r="U245" s="131"/>
      <c r="V245" s="131"/>
      <c r="W245" s="131"/>
      <c r="X245" s="131"/>
      <c r="Y245" s="131"/>
      <c r="Z245" s="131"/>
      <c r="AA245" s="131"/>
      <c r="AB245" s="131"/>
      <c r="AN245" s="121"/>
      <c r="AO245" s="121" t="e">
        <f t="shared" si="90"/>
        <v>#DIV/0!</v>
      </c>
      <c r="AP245" s="121" t="b">
        <f t="shared" si="91"/>
        <v>0</v>
      </c>
      <c r="AU245" s="121"/>
      <c r="AV245" s="121"/>
      <c r="AW245" s="159"/>
      <c r="AX245" s="159"/>
      <c r="AY245" s="159"/>
      <c r="AZ245" s="157"/>
      <c r="BA245" s="157"/>
      <c r="BB245" s="121">
        <f t="shared" ca="1" si="92"/>
        <v>0</v>
      </c>
      <c r="BC245" s="272">
        <f t="shared" ca="1" si="93"/>
        <v>0</v>
      </c>
      <c r="BD245" s="272">
        <f t="shared" ca="1" si="93"/>
        <v>0</v>
      </c>
      <c r="BE245" s="272">
        <f t="shared" ca="1" si="93"/>
        <v>0</v>
      </c>
      <c r="BF245" s="272">
        <f t="shared" ca="1" si="93"/>
        <v>0</v>
      </c>
      <c r="BG245"/>
    </row>
    <row r="246" spans="18:59" x14ac:dyDescent="0.2">
      <c r="R246">
        <v>219</v>
      </c>
      <c r="S246" s="40"/>
      <c r="T246" s="40"/>
      <c r="U246" s="131"/>
      <c r="V246" s="131"/>
      <c r="W246" s="131"/>
      <c r="X246" s="131"/>
      <c r="Y246" s="131"/>
      <c r="Z246" s="131"/>
      <c r="AA246" s="131"/>
      <c r="AB246" s="131"/>
      <c r="AN246" s="121"/>
      <c r="AO246" s="121" t="e">
        <f t="shared" si="90"/>
        <v>#DIV/0!</v>
      </c>
      <c r="AP246" s="121" t="b">
        <f t="shared" si="91"/>
        <v>0</v>
      </c>
      <c r="AU246" s="121"/>
      <c r="AV246" s="121"/>
      <c r="AW246" s="159"/>
      <c r="AX246" s="159"/>
      <c r="AY246" s="159"/>
      <c r="AZ246" s="157"/>
      <c r="BA246" s="157"/>
      <c r="BB246" s="121">
        <f t="shared" ca="1" si="92"/>
        <v>0</v>
      </c>
      <c r="BC246" s="272">
        <f t="shared" ca="1" si="93"/>
        <v>0</v>
      </c>
      <c r="BD246" s="272">
        <f t="shared" ca="1" si="93"/>
        <v>0</v>
      </c>
      <c r="BE246" s="272">
        <f t="shared" ca="1" si="93"/>
        <v>0</v>
      </c>
      <c r="BF246" s="272">
        <f t="shared" ca="1" si="93"/>
        <v>0</v>
      </c>
      <c r="BG246"/>
    </row>
    <row r="247" spans="18:59" x14ac:dyDescent="0.2">
      <c r="R247">
        <v>220</v>
      </c>
      <c r="S247" s="246">
        <f ca="1">AO247</f>
        <v>7</v>
      </c>
      <c r="T247" s="246" t="str">
        <f t="shared" ref="T247:AA247" ca="1" si="101">IFERROR(ROUND(INDEX(G$28:G$129,MATCH($R247,$A$28:$A$129,0)),0),IF(AND($K$4,ISNUMBER(H$143)),ROUND(G$143*S247,0),""))</f>
        <v/>
      </c>
      <c r="U247" s="246" t="str">
        <f t="shared" ca="1" si="101"/>
        <v/>
      </c>
      <c r="V247" s="246" t="str">
        <f t="shared" ca="1" si="101"/>
        <v/>
      </c>
      <c r="W247" s="246" t="str">
        <f t="shared" ca="1" si="101"/>
        <v/>
      </c>
      <c r="X247" s="246" t="str">
        <f t="shared" ca="1" si="101"/>
        <v/>
      </c>
      <c r="Y247" s="246" t="str">
        <f t="shared" ca="1" si="101"/>
        <v/>
      </c>
      <c r="Z247" s="246" t="str">
        <f t="shared" ca="1" si="101"/>
        <v/>
      </c>
      <c r="AA247" s="246" t="str">
        <f t="shared" ca="1" si="101"/>
        <v/>
      </c>
      <c r="AB247" s="246" t="str">
        <f ca="1">IFERROR(ROUND(INDEX(O$28:O$129,MATCH($R247,$A$28:$A$129,0)),0),"")</f>
        <v/>
      </c>
      <c r="AN247" s="121"/>
      <c r="AO247" s="121">
        <f t="shared" ca="1" si="90"/>
        <v>7</v>
      </c>
      <c r="AP247" s="121" t="b">
        <f t="shared" si="91"/>
        <v>1</v>
      </c>
      <c r="AQ247" s="272">
        <f ca="1">+AVERAGEIFS(TABELA_VAZAO[qnat],TABELA_VAZAO[Posto],$R247,TABELA_VAZAO[Data],AQ$27)</f>
        <v>18</v>
      </c>
      <c r="AR247" s="272">
        <f ca="1">+AVERAGEIFS(TABELA_VAZAO[qnat],TABELA_VAZAO[Posto],$R247,TABELA_VAZAO[Data],AR$27)</f>
        <v>19</v>
      </c>
      <c r="AS247" s="272">
        <f ca="1">+AVERAGEIFS(TABELA_VAZAO[qnat],TABELA_VAZAO[Posto],$R247,TABELA_VAZAO[Data],AS$27)</f>
        <v>21</v>
      </c>
      <c r="AT247" s="272">
        <f ca="1">+AVERAGEIFS(TABELA_VAZAO[qnat],TABELA_VAZAO[Posto],$R247,TABELA_VAZAO[Data],AT$27)</f>
        <v>19</v>
      </c>
      <c r="AU247" s="121">
        <f ca="1">+AVERAGEIFS(TABELA_VAZAO[qnat],TABELA_VAZAO[Posto],$R247,TABELA_VAZAO[Data],AU$27)</f>
        <v>19</v>
      </c>
      <c r="AV247" s="272">
        <f ca="1">IFERROR(AVERAGEIFS(TABELA_VAZAO[qnat],TABELA_VAZAO[Posto],$R247,TABELA_VAZAO[Data],AV$27),AU247+$BB247*EXP(AV$26))</f>
        <v>16</v>
      </c>
      <c r="AW247" s="159">
        <f ca="1">IFERROR(AVERAGEIFS(TABELA_VAZAO[qnat],TABELA_VAZAO[Posto],$R247,TABELA_VAZAO[Data],AW$27),AV247+$BB247*EXP(AW$26))</f>
        <v>17</v>
      </c>
      <c r="AX247" s="325">
        <f ca="1">IFERROR(AVERAGEIFS(TABELA_VAZAO[qnat],TABELA_VAZAO[Posto],$R247,TABELA_VAZAO[Data],AX$27),AW247+$BB247*EXP(AX$26))</f>
        <v>16.285714285714285</v>
      </c>
      <c r="AY247" s="325">
        <f ca="1">IFERROR(AVERAGEIFS(TABELA_VAZAO[qnat],TABELA_VAZAO[Posto],$R247,TABELA_VAZAO[Data],AY$27),AX247+$BB247*EXP(AY$26))</f>
        <v>15.806914252831685</v>
      </c>
      <c r="AZ247" s="326">
        <f ca="1">IFERROR(AVERAGEIFS(TABELA_VAZAO[qnat],TABELA_VAZAO[Posto],$R247,TABELA_VAZAO[Data],AZ$27),AY247+$BB247*EXP(AZ$26))</f>
        <v>15.485964992747956</v>
      </c>
      <c r="BA247" s="326">
        <f ca="1">IFERROR(AVERAGEIFS(TABELA_VAZAO[qnat],TABELA_VAZAO[Posto],$R247,TABELA_VAZAO[Data],BA$27),AZ247+$BB247*EXP(BA$26))</f>
        <v>15.270826269953526</v>
      </c>
      <c r="BB247" s="121">
        <f t="shared" ca="1" si="92"/>
        <v>-0.7142857142857143</v>
      </c>
      <c r="BC247" s="272">
        <f t="shared" ca="1" si="93"/>
        <v>-2</v>
      </c>
      <c r="BD247" s="272">
        <f t="shared" ca="1" si="93"/>
        <v>0</v>
      </c>
      <c r="BE247" s="272">
        <f t="shared" ca="1" si="93"/>
        <v>-3</v>
      </c>
      <c r="BF247" s="272">
        <f t="shared" ca="1" si="93"/>
        <v>1</v>
      </c>
      <c r="BG247"/>
    </row>
    <row r="248" spans="18:59" x14ac:dyDescent="0.2">
      <c r="R248">
        <v>221</v>
      </c>
      <c r="S248" s="40"/>
      <c r="T248" s="40"/>
      <c r="U248" s="131"/>
      <c r="V248" s="131"/>
      <c r="W248" s="131"/>
      <c r="X248" s="131"/>
      <c r="Y248" s="131"/>
      <c r="Z248" s="131"/>
      <c r="AA248" s="131"/>
      <c r="AB248" s="131"/>
      <c r="AN248" s="121"/>
      <c r="AO248" s="121" t="e">
        <f t="shared" si="90"/>
        <v>#DIV/0!</v>
      </c>
      <c r="AP248" s="121" t="b">
        <f t="shared" si="91"/>
        <v>0</v>
      </c>
      <c r="AU248" s="121"/>
      <c r="AV248" s="121"/>
      <c r="AW248" s="159"/>
      <c r="AX248" s="159"/>
      <c r="AY248" s="159"/>
      <c r="AZ248" s="157"/>
      <c r="BA248" s="157"/>
      <c r="BB248" s="121">
        <f t="shared" ca="1" si="92"/>
        <v>0</v>
      </c>
      <c r="BC248" s="272">
        <f t="shared" ca="1" si="93"/>
        <v>0</v>
      </c>
      <c r="BD248" s="272">
        <f t="shared" ca="1" si="93"/>
        <v>0</v>
      </c>
      <c r="BE248" s="272">
        <f t="shared" ca="1" si="93"/>
        <v>0</v>
      </c>
      <c r="BF248" s="272">
        <f t="shared" ca="1" si="93"/>
        <v>0</v>
      </c>
      <c r="BG248"/>
    </row>
    <row r="249" spans="18:59" x14ac:dyDescent="0.2">
      <c r="R249" s="202">
        <v>222</v>
      </c>
      <c r="S249" s="40" t="e">
        <f ca="1">AO249</f>
        <v>#DIV/0!</v>
      </c>
      <c r="T249" s="131" t="str">
        <f t="shared" ref="T249:AA249" ca="1" si="102">IF(AND($K$4,ISNUMBER(H$143)),ROUND(G$143*S249,0),"")</f>
        <v/>
      </c>
      <c r="U249" s="131" t="str">
        <f t="shared" ca="1" si="102"/>
        <v/>
      </c>
      <c r="V249" s="131" t="str">
        <f t="shared" ca="1" si="102"/>
        <v/>
      </c>
      <c r="W249" s="131" t="str">
        <f t="shared" ca="1" si="102"/>
        <v/>
      </c>
      <c r="X249" s="131" t="str">
        <f t="shared" ca="1" si="102"/>
        <v/>
      </c>
      <c r="Y249" s="131" t="str">
        <f t="shared" ca="1" si="102"/>
        <v/>
      </c>
      <c r="Z249" s="131" t="str">
        <f t="shared" ca="1" si="102"/>
        <v/>
      </c>
      <c r="AA249" s="131" t="str">
        <f t="shared" si="102"/>
        <v/>
      </c>
      <c r="AB249" s="131"/>
      <c r="AN249" s="121"/>
      <c r="AO249" s="121" t="e">
        <f t="shared" ca="1" si="90"/>
        <v>#DIV/0!</v>
      </c>
      <c r="AP249" s="121" t="b">
        <f t="shared" si="91"/>
        <v>0</v>
      </c>
      <c r="AQ249" s="272">
        <f ca="1">+AVERAGEIFS(TABELA_VAZAO[qnat],TABELA_VAZAO[Posto],$R249,TABELA_VAZAO[Data],AQ$27)</f>
        <v>459</v>
      </c>
      <c r="AR249" s="272">
        <f ca="1">+AVERAGEIFS(TABELA_VAZAO[qnat],TABELA_VAZAO[Posto],$R249,TABELA_VAZAO[Data],AR$27)</f>
        <v>427</v>
      </c>
      <c r="AS249" s="272">
        <f ca="1">+AVERAGEIFS(TABELA_VAZAO[qnat],TABELA_VAZAO[Posto],$R249,TABELA_VAZAO[Data],AS$27)</f>
        <v>408</v>
      </c>
      <c r="AT249" s="272">
        <f ca="1">+AVERAGEIFS(TABELA_VAZAO[qnat],TABELA_VAZAO[Posto],$R249,TABELA_VAZAO[Data],AT$27)</f>
        <v>397</v>
      </c>
      <c r="AU249" s="121">
        <f ca="1">+AVERAGEIFS(TABELA_VAZAO[qnat],TABELA_VAZAO[Posto],$R249,TABELA_VAZAO[Data],AU$27)</f>
        <v>396</v>
      </c>
      <c r="AV249" s="272">
        <f ca="1">IFERROR(AVERAGEIFS(TABELA_VAZAO[qnat],TABELA_VAZAO[Posto],$R249,TABELA_VAZAO[Data],AV$27),AU249+$BB249*EXP(AV$26))</f>
        <v>410</v>
      </c>
      <c r="AW249" s="159">
        <f ca="1">IFERROR(AVERAGEIFS(TABELA_VAZAO[qnat],TABELA_VAZAO[Posto],$R249,TABELA_VAZAO[Data],AW$27),AV249+$BB249*EXP(AW$26))</f>
        <v>429</v>
      </c>
      <c r="AX249" s="325">
        <f ca="1">IFERROR(AVERAGEIFS(TABELA_VAZAO[qnat],TABELA_VAZAO[Posto],$R249,TABELA_VAZAO[Data],AX$27),AW249+$BB249*EXP(AX$26))</f>
        <v>439.42857142857144</v>
      </c>
      <c r="AY249" s="325">
        <f ca="1">IFERROR(AVERAGEIFS(TABELA_VAZAO[qnat],TABELA_VAZAO[Posto],$R249,TABELA_VAZAO[Data],AY$27),AX249+$BB249*EXP(AY$26))</f>
        <v>446.41905190865742</v>
      </c>
      <c r="AZ249" s="202" t="e">
        <f ca="1">IFERROR(AVERAGEIFS(TABELA_VAZAO[qnat],TABELA_VAZAO[Posto],$R249,TABELA_VAZAO[Data],AZ$27),INDEX(PREVS_SMAP_DIARIO!$A$130:$Q$130,1,MATCH(PREVS_SMAP!AZ$27,PREVS_SMAP_DIARIO!$A$27:$Q$27,0))*AY249)</f>
        <v>#DIV/0!</v>
      </c>
      <c r="BA249" s="202" t="e">
        <f ca="1">IFERROR(AVERAGEIFS(TABELA_VAZAO[qnat],TABELA_VAZAO[Posto],$R249,TABELA_VAZAO[Data],BA$27),INDEX(PREVS_SMAP_DIARIO!$A$130:$Q$130,1,MATCH(PREVS_SMAP!BA$27,PREVS_SMAP_DIARIO!$A$27:$Q$27,0))*AZ249)</f>
        <v>#DIV/0!</v>
      </c>
      <c r="BB249" s="121">
        <f t="shared" ca="1" si="92"/>
        <v>10.428571428571429</v>
      </c>
      <c r="BC249" s="272">
        <f t="shared" ca="1" si="93"/>
        <v>-11</v>
      </c>
      <c r="BD249" s="272">
        <f t="shared" ca="1" si="93"/>
        <v>-1</v>
      </c>
      <c r="BE249" s="272">
        <f t="shared" ca="1" si="93"/>
        <v>14</v>
      </c>
      <c r="BF249" s="272">
        <f t="shared" ca="1" si="93"/>
        <v>19</v>
      </c>
      <c r="BG249"/>
    </row>
    <row r="250" spans="18:59" x14ac:dyDescent="0.2">
      <c r="R250">
        <v>223</v>
      </c>
      <c r="S250" s="40"/>
      <c r="T250" s="40"/>
      <c r="U250" s="131"/>
      <c r="V250" s="131"/>
      <c r="W250" s="131"/>
      <c r="X250" s="131"/>
      <c r="Y250" s="131"/>
      <c r="Z250" s="131"/>
      <c r="AA250" s="131"/>
      <c r="AB250" s="131"/>
      <c r="AN250" s="121"/>
      <c r="AO250" s="121" t="e">
        <f t="shared" si="90"/>
        <v>#DIV/0!</v>
      </c>
      <c r="AP250" s="121" t="b">
        <f t="shared" si="91"/>
        <v>0</v>
      </c>
      <c r="AU250" s="121"/>
      <c r="AV250" s="121"/>
      <c r="AW250" s="159"/>
      <c r="AX250" s="159"/>
      <c r="AY250" s="159"/>
      <c r="AZ250" s="157"/>
      <c r="BA250" s="157"/>
      <c r="BB250" s="121">
        <f t="shared" ca="1" si="92"/>
        <v>0</v>
      </c>
      <c r="BC250" s="272">
        <f t="shared" ca="1" si="93"/>
        <v>0</v>
      </c>
      <c r="BD250" s="272">
        <f t="shared" ca="1" si="93"/>
        <v>0</v>
      </c>
      <c r="BE250" s="272">
        <f t="shared" ca="1" si="93"/>
        <v>0</v>
      </c>
      <c r="BF250" s="272">
        <f t="shared" ca="1" si="93"/>
        <v>0</v>
      </c>
      <c r="BG250"/>
    </row>
    <row r="251" spans="18:59" x14ac:dyDescent="0.2">
      <c r="R251">
        <v>224</v>
      </c>
      <c r="S251" s="40"/>
      <c r="T251" s="40"/>
      <c r="U251" s="131"/>
      <c r="V251" s="131"/>
      <c r="W251" s="131"/>
      <c r="X251" s="131"/>
      <c r="Y251" s="131"/>
      <c r="Z251" s="131"/>
      <c r="AA251" s="131"/>
      <c r="AB251" s="131"/>
      <c r="AN251" s="121"/>
      <c r="AO251" s="121" t="e">
        <f t="shared" si="90"/>
        <v>#DIV/0!</v>
      </c>
      <c r="AP251" s="121" t="b">
        <f t="shared" si="91"/>
        <v>0</v>
      </c>
      <c r="AU251" s="121"/>
      <c r="AV251" s="121"/>
      <c r="AW251" s="159"/>
      <c r="AX251" s="159"/>
      <c r="AY251" s="159"/>
      <c r="AZ251" s="157"/>
      <c r="BA251" s="157"/>
      <c r="BB251" s="121">
        <f t="shared" ca="1" si="92"/>
        <v>0</v>
      </c>
      <c r="BC251" s="272">
        <f t="shared" ca="1" si="93"/>
        <v>0</v>
      </c>
      <c r="BD251" s="272">
        <f t="shared" ca="1" si="93"/>
        <v>0</v>
      </c>
      <c r="BE251" s="272">
        <f t="shared" ca="1" si="93"/>
        <v>0</v>
      </c>
      <c r="BF251" s="272">
        <f t="shared" ca="1" si="93"/>
        <v>0</v>
      </c>
      <c r="BG251"/>
    </row>
    <row r="252" spans="18:59" x14ac:dyDescent="0.2">
      <c r="R252">
        <v>225</v>
      </c>
      <c r="S252" s="40"/>
      <c r="T252" s="40"/>
      <c r="U252" s="131"/>
      <c r="V252" s="131"/>
      <c r="W252" s="131"/>
      <c r="X252" s="131"/>
      <c r="Y252" s="131"/>
      <c r="Z252" s="131"/>
      <c r="AA252" s="131"/>
      <c r="AB252" s="131"/>
      <c r="AN252" s="121"/>
      <c r="AO252" s="121" t="e">
        <f t="shared" si="90"/>
        <v>#DIV/0!</v>
      </c>
      <c r="AP252" s="121" t="b">
        <f t="shared" si="91"/>
        <v>0</v>
      </c>
      <c r="AU252" s="121"/>
      <c r="AV252" s="121"/>
      <c r="AW252" s="159"/>
      <c r="AX252" s="159"/>
      <c r="AY252" s="159"/>
      <c r="AZ252" s="157"/>
      <c r="BA252" s="157"/>
      <c r="BB252" s="121">
        <f t="shared" ca="1" si="92"/>
        <v>0</v>
      </c>
      <c r="BC252" s="272">
        <f t="shared" ca="1" si="93"/>
        <v>0</v>
      </c>
      <c r="BD252" s="272">
        <f t="shared" ca="1" si="93"/>
        <v>0</v>
      </c>
      <c r="BE252" s="272">
        <f t="shared" ca="1" si="93"/>
        <v>0</v>
      </c>
      <c r="BF252" s="272">
        <f t="shared" ca="1" si="93"/>
        <v>0</v>
      </c>
      <c r="BG252"/>
    </row>
    <row r="253" spans="18:59" x14ac:dyDescent="0.2">
      <c r="R253">
        <v>226</v>
      </c>
      <c r="S253" s="40"/>
      <c r="T253" s="40"/>
      <c r="U253" s="131"/>
      <c r="V253" s="131"/>
      <c r="W253" s="131"/>
      <c r="X253" s="131"/>
      <c r="Y253" s="131"/>
      <c r="Z253" s="131"/>
      <c r="AA253" s="131"/>
      <c r="AB253" s="131"/>
      <c r="AN253" s="121"/>
      <c r="AO253" s="121" t="e">
        <f t="shared" si="90"/>
        <v>#DIV/0!</v>
      </c>
      <c r="AP253" s="121" t="b">
        <f t="shared" si="91"/>
        <v>0</v>
      </c>
      <c r="AU253" s="121"/>
      <c r="AV253" s="121"/>
      <c r="AW253" s="159"/>
      <c r="AX253" s="159"/>
      <c r="AY253" s="159"/>
      <c r="AZ253" s="157"/>
      <c r="BA253" s="157"/>
      <c r="BB253" s="121">
        <f t="shared" ca="1" si="92"/>
        <v>0</v>
      </c>
      <c r="BC253" s="272">
        <f t="shared" ref="BC253:BF284" ca="1" si="103">INDEX($AQ253:$BA253,1,BC$26)-INDEX($AQ253:$BA253,1,BC$26-1)</f>
        <v>0</v>
      </c>
      <c r="BD253" s="272">
        <f t="shared" ca="1" si="103"/>
        <v>0</v>
      </c>
      <c r="BE253" s="272">
        <f t="shared" ca="1" si="103"/>
        <v>0</v>
      </c>
      <c r="BF253" s="272">
        <f t="shared" ca="1" si="103"/>
        <v>0</v>
      </c>
      <c r="BG253"/>
    </row>
    <row r="254" spans="18:59" x14ac:dyDescent="0.2">
      <c r="R254">
        <v>227</v>
      </c>
      <c r="S254" s="40"/>
      <c r="T254" s="40"/>
      <c r="U254" s="131"/>
      <c r="V254" s="131"/>
      <c r="W254" s="131"/>
      <c r="X254" s="131"/>
      <c r="Y254" s="131"/>
      <c r="Z254" s="131"/>
      <c r="AA254" s="131"/>
      <c r="AB254" s="131"/>
      <c r="AN254" s="121"/>
      <c r="AO254" s="121" t="e">
        <f t="shared" si="90"/>
        <v>#DIV/0!</v>
      </c>
      <c r="AP254" s="121" t="b">
        <f t="shared" si="91"/>
        <v>0</v>
      </c>
      <c r="AU254" s="121"/>
      <c r="AV254" s="121"/>
      <c r="AW254" s="159"/>
      <c r="AX254" s="159"/>
      <c r="AY254" s="159"/>
      <c r="AZ254" s="157"/>
      <c r="BA254" s="157"/>
      <c r="BB254" s="121">
        <f t="shared" ca="1" si="92"/>
        <v>0</v>
      </c>
      <c r="BC254" s="272">
        <f t="shared" ca="1" si="103"/>
        <v>0</v>
      </c>
      <c r="BD254" s="272">
        <f t="shared" ca="1" si="103"/>
        <v>0</v>
      </c>
      <c r="BE254" s="272">
        <f t="shared" ca="1" si="103"/>
        <v>0</v>
      </c>
      <c r="BF254" s="272">
        <f t="shared" ca="1" si="103"/>
        <v>0</v>
      </c>
      <c r="BG254"/>
    </row>
    <row r="255" spans="18:59" x14ac:dyDescent="0.2">
      <c r="R255">
        <v>228</v>
      </c>
      <c r="S255" s="40"/>
      <c r="T255" s="40"/>
      <c r="U255" s="131"/>
      <c r="V255" s="131"/>
      <c r="W255" s="131"/>
      <c r="X255" s="131"/>
      <c r="Y255" s="131"/>
      <c r="Z255" s="131"/>
      <c r="AA255" s="131"/>
      <c r="AB255" s="131"/>
      <c r="AN255" s="121"/>
      <c r="AO255" s="121" t="e">
        <f t="shared" si="90"/>
        <v>#DIV/0!</v>
      </c>
      <c r="AP255" s="121" t="b">
        <f t="shared" si="91"/>
        <v>0</v>
      </c>
      <c r="AU255" s="121"/>
      <c r="AV255" s="121"/>
      <c r="AW255" s="159"/>
      <c r="AX255" s="159"/>
      <c r="AY255" s="159"/>
      <c r="AZ255" s="157"/>
      <c r="BA255" s="157"/>
      <c r="BB255" s="121">
        <f t="shared" ca="1" si="92"/>
        <v>0</v>
      </c>
      <c r="BC255" s="272">
        <f t="shared" ca="1" si="103"/>
        <v>0</v>
      </c>
      <c r="BD255" s="272">
        <f t="shared" ca="1" si="103"/>
        <v>0</v>
      </c>
      <c r="BE255" s="272">
        <f t="shared" ca="1" si="103"/>
        <v>0</v>
      </c>
      <c r="BF255" s="272">
        <f t="shared" ca="1" si="103"/>
        <v>0</v>
      </c>
      <c r="BG255"/>
    </row>
    <row r="256" spans="18:59" x14ac:dyDescent="0.2">
      <c r="R256">
        <v>229</v>
      </c>
      <c r="S256" s="40">
        <f ca="1">AO256</f>
        <v>2680</v>
      </c>
      <c r="T256" s="131" t="str">
        <f t="shared" ref="T256:AA257" ca="1" si="104">IF(AND($K$4,ISNUMBER(H$143)),ROUND(G$143*S256,0),"")</f>
        <v/>
      </c>
      <c r="U256" s="131" t="str">
        <f t="shared" ca="1" si="104"/>
        <v/>
      </c>
      <c r="V256" s="131" t="str">
        <f t="shared" ca="1" si="104"/>
        <v/>
      </c>
      <c r="W256" s="131" t="str">
        <f t="shared" ca="1" si="104"/>
        <v/>
      </c>
      <c r="X256" s="131" t="str">
        <f t="shared" ca="1" si="104"/>
        <v/>
      </c>
      <c r="Y256" s="131" t="str">
        <f t="shared" ca="1" si="104"/>
        <v/>
      </c>
      <c r="Z256" s="131" t="str">
        <f t="shared" ca="1" si="104"/>
        <v/>
      </c>
      <c r="AA256" s="131" t="str">
        <f t="shared" si="104"/>
        <v/>
      </c>
      <c r="AB256" s="131"/>
      <c r="AN256" s="121"/>
      <c r="AO256" s="121">
        <f t="shared" ca="1" si="90"/>
        <v>2680</v>
      </c>
      <c r="AP256" s="121" t="b">
        <f t="shared" si="91"/>
        <v>0</v>
      </c>
      <c r="AQ256" s="272">
        <f ca="1">+AVERAGEIFS(TABELA_VAZAO[qnat],TABELA_VAZAO[Posto],$R256,TABELA_VAZAO[Data],AQ$27)</f>
        <v>2775</v>
      </c>
      <c r="AR256" s="272">
        <f ca="1">+AVERAGEIFS(TABELA_VAZAO[qnat],TABELA_VAZAO[Posto],$R256,TABELA_VAZAO[Data],AR$27)</f>
        <v>2813</v>
      </c>
      <c r="AS256" s="272">
        <f ca="1">+AVERAGEIFS(TABELA_VAZAO[qnat],TABELA_VAZAO[Posto],$R256,TABELA_VAZAO[Data],AS$27)</f>
        <v>2791</v>
      </c>
      <c r="AT256" s="272">
        <f ca="1">+AVERAGEIFS(TABELA_VAZAO[qnat],TABELA_VAZAO[Posto],$R256,TABELA_VAZAO[Data],AT$27)</f>
        <v>2743</v>
      </c>
      <c r="AU256" s="121">
        <f ca="1">+AVERAGEIFS(TABELA_VAZAO[qnat],TABELA_VAZAO[Posto],$R256,TABELA_VAZAO[Data],AU$27)</f>
        <v>2711</v>
      </c>
      <c r="AV256" s="272">
        <f ca="1">IFERROR(AVERAGEIFS(TABELA_VAZAO[qnat],TABELA_VAZAO[Posto],$R256,TABELA_VAZAO[Data],AV$27),AU256+$BB256*EXP(AV$26))</f>
        <v>2698</v>
      </c>
      <c r="AW256" s="159">
        <f ca="1">IFERROR(AVERAGEIFS(TABELA_VAZAO[qnat],TABELA_VAZAO[Posto],$R256,TABELA_VAZAO[Data],AW$27),AV256+$BB256*EXP(AW$26))</f>
        <v>2694</v>
      </c>
      <c r="AX256" s="325">
        <f ca="1">IFERROR(AVERAGEIFS(TABELA_VAZAO[qnat],TABELA_VAZAO[Posto],$R256,TABELA_VAZAO[Data],AX$27),AW256+$BB256*EXP(AX$26))</f>
        <v>2677.1428571428573</v>
      </c>
      <c r="AY256" s="325">
        <f ca="1">IFERROR(AVERAGEIFS(TABELA_VAZAO[qnat],TABELA_VAZAO[Posto],$R256,TABELA_VAZAO[Data],AY$27),AX256+$BB256*EXP(AY$26))</f>
        <v>2665.8431763668282</v>
      </c>
      <c r="AZ256" s="326">
        <f ca="1">IFERROR(AVERAGEIFS(TABELA_VAZAO[qnat],TABELA_VAZAO[Posto],$R256,TABELA_VAZAO[Data],AZ$27),AY256+$BB256*EXP(AZ$26))</f>
        <v>2658.2687738288523</v>
      </c>
      <c r="BA256" s="326">
        <f ca="1">IFERROR(AVERAGEIFS(TABELA_VAZAO[qnat],TABELA_VAZAO[Posto],$R256,TABELA_VAZAO[Data],BA$27),AZ256+$BB256*EXP(BA$26))</f>
        <v>2653.1914999709038</v>
      </c>
      <c r="BB256" s="121">
        <f t="shared" ca="1" si="92"/>
        <v>-16.857142857142858</v>
      </c>
      <c r="BC256" s="272">
        <f t="shared" ca="1" si="103"/>
        <v>-48</v>
      </c>
      <c r="BD256" s="272">
        <f t="shared" ca="1" si="103"/>
        <v>-32</v>
      </c>
      <c r="BE256" s="272">
        <f t="shared" ca="1" si="103"/>
        <v>-13</v>
      </c>
      <c r="BF256" s="272">
        <f t="shared" ca="1" si="103"/>
        <v>-4</v>
      </c>
      <c r="BG256"/>
    </row>
    <row r="257" spans="18:59" x14ac:dyDescent="0.2">
      <c r="R257">
        <v>230</v>
      </c>
      <c r="S257" s="131">
        <f ca="1">AO257</f>
        <v>2697</v>
      </c>
      <c r="T257" s="131" t="str">
        <f t="shared" ca="1" si="104"/>
        <v/>
      </c>
      <c r="U257" s="131" t="str">
        <f t="shared" ca="1" si="104"/>
        <v/>
      </c>
      <c r="V257" s="131" t="str">
        <f t="shared" ca="1" si="104"/>
        <v/>
      </c>
      <c r="W257" s="131" t="str">
        <f t="shared" ca="1" si="104"/>
        <v/>
      </c>
      <c r="X257" s="131" t="str">
        <f t="shared" ca="1" si="104"/>
        <v/>
      </c>
      <c r="Y257" s="131" t="str">
        <f t="shared" ca="1" si="104"/>
        <v/>
      </c>
      <c r="Z257" s="131" t="str">
        <f t="shared" ca="1" si="104"/>
        <v/>
      </c>
      <c r="AA257" s="131" t="str">
        <f t="shared" si="104"/>
        <v/>
      </c>
      <c r="AB257" s="131"/>
      <c r="AN257" s="121"/>
      <c r="AO257" s="121">
        <f t="shared" ca="1" si="90"/>
        <v>2697</v>
      </c>
      <c r="AP257" s="121" t="b">
        <f t="shared" si="91"/>
        <v>0</v>
      </c>
      <c r="AQ257" s="272">
        <f ca="1">+AVERAGEIFS(TABELA_VAZAO[qnat],TABELA_VAZAO[Posto],$R257,TABELA_VAZAO[Data],AQ$27)</f>
        <v>2768</v>
      </c>
      <c r="AR257" s="272">
        <f ca="1">+AVERAGEIFS(TABELA_VAZAO[qnat],TABELA_VAZAO[Posto],$R257,TABELA_VAZAO[Data],AR$27)</f>
        <v>2819</v>
      </c>
      <c r="AS257" s="272">
        <f ca="1">+AVERAGEIFS(TABELA_VAZAO[qnat],TABELA_VAZAO[Posto],$R257,TABELA_VAZAO[Data],AS$27)</f>
        <v>2814</v>
      </c>
      <c r="AT257" s="272">
        <f ca="1">+AVERAGEIFS(TABELA_VAZAO[qnat],TABELA_VAZAO[Posto],$R257,TABELA_VAZAO[Data],AT$27)</f>
        <v>2774</v>
      </c>
      <c r="AU257" s="121">
        <f ca="1">+AVERAGEIFS(TABELA_VAZAO[qnat],TABELA_VAZAO[Posto],$R257,TABELA_VAZAO[Data],AU$27)</f>
        <v>2737</v>
      </c>
      <c r="AV257" s="272">
        <f ca="1">IFERROR(AVERAGEIFS(TABELA_VAZAO[qnat],TABELA_VAZAO[Posto],$R257,TABELA_VAZAO[Data],AV$27),AU257+$BB257*EXP(AV$26))</f>
        <v>2718</v>
      </c>
      <c r="AW257" s="159">
        <f ca="1">IFERROR(AVERAGEIFS(TABELA_VAZAO[qnat],TABELA_VAZAO[Posto],$R257,TABELA_VAZAO[Data],AW$27),AV257+$BB257*EXP(AW$26))</f>
        <v>2712</v>
      </c>
      <c r="AX257" s="325">
        <f ca="1">IFERROR(AVERAGEIFS(TABELA_VAZAO[qnat],TABELA_VAZAO[Posto],$R257,TABELA_VAZAO[Data],AX$27),AW257+$BB257*EXP(AX$26))</f>
        <v>2693</v>
      </c>
      <c r="AY257" s="325">
        <f ca="1">IFERROR(AVERAGEIFS(TABELA_VAZAO[qnat],TABELA_VAZAO[Posto],$R257,TABELA_VAZAO[Data],AY$27),AX257+$BB257*EXP(AY$26))</f>
        <v>2680.2639191253229</v>
      </c>
      <c r="AZ257" s="326">
        <f ca="1">IFERROR(AVERAGEIFS(TABELA_VAZAO[qnat],TABELA_VAZAO[Posto],$R257,TABELA_VAZAO[Data],AZ$27),AY257+$BB257*EXP(AZ$26))</f>
        <v>2671.7266688070958</v>
      </c>
      <c r="BA257" s="326">
        <f ca="1">IFERROR(AVERAGEIFS(TABELA_VAZAO[qnat],TABELA_VAZAO[Posto],$R257,TABELA_VAZAO[Data],BA$27),AZ257+$BB257*EXP(BA$26))</f>
        <v>2666.0039787807641</v>
      </c>
      <c r="BB257" s="121">
        <f t="shared" ca="1" si="92"/>
        <v>-19</v>
      </c>
      <c r="BC257" s="272">
        <f t="shared" ca="1" si="103"/>
        <v>-40</v>
      </c>
      <c r="BD257" s="272">
        <f t="shared" ca="1" si="103"/>
        <v>-37</v>
      </c>
      <c r="BE257" s="272">
        <f t="shared" ca="1" si="103"/>
        <v>-19</v>
      </c>
      <c r="BF257" s="272">
        <f t="shared" ca="1" si="103"/>
        <v>-6</v>
      </c>
      <c r="BG257"/>
    </row>
    <row r="258" spans="18:59" x14ac:dyDescent="0.2">
      <c r="R258">
        <v>231</v>
      </c>
      <c r="S258" s="40"/>
      <c r="T258" s="40"/>
      <c r="U258" s="131"/>
      <c r="V258" s="131"/>
      <c r="W258" s="131"/>
      <c r="X258" s="131"/>
      <c r="Y258" s="131"/>
      <c r="Z258" s="131"/>
      <c r="AA258" s="131"/>
      <c r="AB258" s="131"/>
      <c r="AN258" s="121"/>
      <c r="AO258" s="121" t="e">
        <f t="shared" si="90"/>
        <v>#DIV/0!</v>
      </c>
      <c r="AP258" s="121" t="b">
        <f t="shared" si="91"/>
        <v>0</v>
      </c>
      <c r="AU258" s="121"/>
      <c r="AV258" s="121"/>
      <c r="AW258" s="159"/>
      <c r="AX258" s="159"/>
      <c r="AY258" s="159"/>
      <c r="AZ258" s="157"/>
      <c r="BA258" s="157"/>
      <c r="BB258" s="121">
        <f t="shared" ca="1" si="92"/>
        <v>0</v>
      </c>
      <c r="BC258" s="272">
        <f t="shared" ca="1" si="103"/>
        <v>0</v>
      </c>
      <c r="BD258" s="272">
        <f t="shared" ca="1" si="103"/>
        <v>0</v>
      </c>
      <c r="BE258" s="272">
        <f t="shared" ca="1" si="103"/>
        <v>0</v>
      </c>
      <c r="BF258" s="272">
        <f t="shared" ca="1" si="103"/>
        <v>0</v>
      </c>
      <c r="BG258"/>
    </row>
    <row r="259" spans="18:59" x14ac:dyDescent="0.2">
      <c r="R259">
        <v>232</v>
      </c>
      <c r="S259" s="40"/>
      <c r="T259" s="40"/>
      <c r="U259" s="131"/>
      <c r="V259" s="131"/>
      <c r="W259" s="131"/>
      <c r="X259" s="131"/>
      <c r="Y259" s="131"/>
      <c r="Z259" s="131"/>
      <c r="AA259" s="131"/>
      <c r="AB259" s="131"/>
      <c r="AN259" s="121"/>
      <c r="AO259" s="121" t="e">
        <f t="shared" si="90"/>
        <v>#DIV/0!</v>
      </c>
      <c r="AP259" s="121" t="b">
        <f t="shared" si="91"/>
        <v>0</v>
      </c>
      <c r="AU259" s="121"/>
      <c r="AV259" s="121"/>
      <c r="AW259" s="159"/>
      <c r="AX259" s="159"/>
      <c r="AY259" s="159"/>
      <c r="AZ259" s="157"/>
      <c r="BA259" s="157"/>
      <c r="BB259" s="121">
        <f t="shared" ca="1" si="92"/>
        <v>0</v>
      </c>
      <c r="BC259" s="272">
        <f t="shared" ca="1" si="103"/>
        <v>0</v>
      </c>
      <c r="BD259" s="272">
        <f t="shared" ca="1" si="103"/>
        <v>0</v>
      </c>
      <c r="BE259" s="272">
        <f t="shared" ca="1" si="103"/>
        <v>0</v>
      </c>
      <c r="BF259" s="272">
        <f t="shared" ca="1" si="103"/>
        <v>0</v>
      </c>
      <c r="BG259"/>
    </row>
    <row r="260" spans="18:59" x14ac:dyDescent="0.2">
      <c r="R260">
        <v>233</v>
      </c>
      <c r="S260" s="40"/>
      <c r="T260" s="40"/>
      <c r="U260" s="131"/>
      <c r="V260" s="131"/>
      <c r="W260" s="131"/>
      <c r="X260" s="131"/>
      <c r="Y260" s="131"/>
      <c r="Z260" s="131"/>
      <c r="AA260" s="131"/>
      <c r="AB260" s="131"/>
      <c r="AN260" s="121"/>
      <c r="AO260" s="121" t="e">
        <f t="shared" si="90"/>
        <v>#DIV/0!</v>
      </c>
      <c r="AP260" s="121" t="b">
        <f t="shared" si="91"/>
        <v>0</v>
      </c>
      <c r="AU260" s="121"/>
      <c r="AV260" s="121"/>
      <c r="AW260" s="159"/>
      <c r="AX260" s="159"/>
      <c r="AY260" s="159"/>
      <c r="AZ260" s="157"/>
      <c r="BA260" s="157"/>
      <c r="BB260" s="121">
        <f t="shared" ca="1" si="92"/>
        <v>0</v>
      </c>
      <c r="BC260" s="272">
        <f t="shared" ca="1" si="103"/>
        <v>0</v>
      </c>
      <c r="BD260" s="272">
        <f t="shared" ca="1" si="103"/>
        <v>0</v>
      </c>
      <c r="BE260" s="272">
        <f t="shared" ca="1" si="103"/>
        <v>0</v>
      </c>
      <c r="BF260" s="272">
        <f t="shared" ca="1" si="103"/>
        <v>0</v>
      </c>
      <c r="BG260"/>
    </row>
    <row r="261" spans="18:59" x14ac:dyDescent="0.2">
      <c r="R261">
        <v>234</v>
      </c>
      <c r="S261" s="40"/>
      <c r="T261" s="40"/>
      <c r="U261" s="131"/>
      <c r="V261" s="131"/>
      <c r="W261" s="131"/>
      <c r="X261" s="131"/>
      <c r="Y261" s="131"/>
      <c r="Z261" s="131"/>
      <c r="AA261" s="131"/>
      <c r="AB261" s="131"/>
      <c r="AN261" s="121"/>
      <c r="AO261" s="121" t="e">
        <f t="shared" si="90"/>
        <v>#DIV/0!</v>
      </c>
      <c r="AP261" s="121" t="b">
        <f t="shared" si="91"/>
        <v>0</v>
      </c>
      <c r="AU261" s="121"/>
      <c r="AV261" s="121"/>
      <c r="AW261" s="159"/>
      <c r="AX261" s="159"/>
      <c r="AY261" s="159"/>
      <c r="AZ261" s="157"/>
      <c r="BA261" s="157"/>
      <c r="BB261" s="121">
        <f t="shared" ca="1" si="92"/>
        <v>0</v>
      </c>
      <c r="BC261" s="272">
        <f t="shared" ca="1" si="103"/>
        <v>0</v>
      </c>
      <c r="BD261" s="272">
        <f t="shared" ca="1" si="103"/>
        <v>0</v>
      </c>
      <c r="BE261" s="272">
        <f t="shared" ca="1" si="103"/>
        <v>0</v>
      </c>
      <c r="BF261" s="272">
        <f t="shared" ca="1" si="103"/>
        <v>0</v>
      </c>
      <c r="BG261"/>
    </row>
    <row r="262" spans="18:59" x14ac:dyDescent="0.2">
      <c r="R262">
        <v>235</v>
      </c>
      <c r="S262" s="40"/>
      <c r="T262" s="40"/>
      <c r="U262" s="131"/>
      <c r="V262" s="131"/>
      <c r="W262" s="131"/>
      <c r="X262" s="131"/>
      <c r="Y262" s="131"/>
      <c r="Z262" s="131"/>
      <c r="AA262" s="131"/>
      <c r="AB262" s="131"/>
      <c r="AN262" s="121"/>
      <c r="AO262" s="121" t="e">
        <f t="shared" si="90"/>
        <v>#DIV/0!</v>
      </c>
      <c r="AP262" s="121" t="b">
        <f t="shared" si="91"/>
        <v>0</v>
      </c>
      <c r="AU262" s="121"/>
      <c r="AV262" s="121"/>
      <c r="AW262" s="159"/>
      <c r="AX262" s="159"/>
      <c r="AY262" s="159"/>
      <c r="AZ262" s="157"/>
      <c r="BA262" s="157"/>
      <c r="BB262" s="121">
        <f t="shared" ca="1" si="92"/>
        <v>0</v>
      </c>
      <c r="BC262" s="272">
        <f t="shared" ca="1" si="103"/>
        <v>0</v>
      </c>
      <c r="BD262" s="272">
        <f t="shared" ca="1" si="103"/>
        <v>0</v>
      </c>
      <c r="BE262" s="272">
        <f t="shared" ca="1" si="103"/>
        <v>0</v>
      </c>
      <c r="BF262" s="272">
        <f t="shared" ca="1" si="103"/>
        <v>0</v>
      </c>
      <c r="BG262"/>
    </row>
    <row r="263" spans="18:59" x14ac:dyDescent="0.2">
      <c r="R263">
        <v>236</v>
      </c>
      <c r="S263" s="40"/>
      <c r="T263" s="40"/>
      <c r="U263" s="131"/>
      <c r="V263" s="131"/>
      <c r="W263" s="131"/>
      <c r="X263" s="131"/>
      <c r="Y263" s="131"/>
      <c r="Z263" s="131"/>
      <c r="AA263" s="131"/>
      <c r="AB263" s="131"/>
      <c r="AN263" s="121"/>
      <c r="AO263" s="121" t="e">
        <f t="shared" si="90"/>
        <v>#DIV/0!</v>
      </c>
      <c r="AP263" s="121" t="b">
        <f t="shared" si="91"/>
        <v>0</v>
      </c>
      <c r="AU263" s="121"/>
      <c r="AV263" s="121"/>
      <c r="AW263" s="159"/>
      <c r="AX263" s="159"/>
      <c r="AY263" s="159"/>
      <c r="AZ263" s="157"/>
      <c r="BA263" s="157"/>
      <c r="BB263" s="121">
        <f t="shared" ca="1" si="92"/>
        <v>0</v>
      </c>
      <c r="BC263" s="272">
        <f t="shared" ca="1" si="103"/>
        <v>0</v>
      </c>
      <c r="BD263" s="272">
        <f t="shared" ca="1" si="103"/>
        <v>0</v>
      </c>
      <c r="BE263" s="272">
        <f t="shared" ca="1" si="103"/>
        <v>0</v>
      </c>
      <c r="BF263" s="272">
        <f t="shared" ca="1" si="103"/>
        <v>0</v>
      </c>
      <c r="BG263"/>
    </row>
    <row r="264" spans="18:59" x14ac:dyDescent="0.2">
      <c r="R264">
        <v>237</v>
      </c>
      <c r="S264" s="131">
        <f t="shared" ref="S264" ca="1" si="105">AO264</f>
        <v>300</v>
      </c>
      <c r="T264" s="131" t="str">
        <f t="shared" ref="T264:AB267" ca="1" si="106">IFERROR(ROUND(INDEX(G$28:G$129,MATCH($R264,$A$28:$A$129,0)),0),"")</f>
        <v/>
      </c>
      <c r="U264" s="131" t="str">
        <f t="shared" ca="1" si="106"/>
        <v/>
      </c>
      <c r="V264" s="131" t="str">
        <f t="shared" ca="1" si="106"/>
        <v/>
      </c>
      <c r="W264" s="131" t="str">
        <f t="shared" ca="1" si="106"/>
        <v/>
      </c>
      <c r="X264" s="131" t="str">
        <f t="shared" ca="1" si="106"/>
        <v/>
      </c>
      <c r="Y264" s="131" t="str">
        <f t="shared" ca="1" si="106"/>
        <v/>
      </c>
      <c r="Z264" s="131" t="str">
        <f t="shared" ca="1" si="106"/>
        <v/>
      </c>
      <c r="AA264" s="131" t="str">
        <f t="shared" ca="1" si="106"/>
        <v/>
      </c>
      <c r="AB264" s="131" t="str">
        <f t="shared" ca="1" si="106"/>
        <v/>
      </c>
      <c r="AM264">
        <v>237</v>
      </c>
      <c r="AN264" s="121"/>
      <c r="AO264" s="281">
        <f t="shared" ca="1" si="90"/>
        <v>300</v>
      </c>
      <c r="AP264" s="121" t="b">
        <f t="shared" si="91"/>
        <v>1</v>
      </c>
      <c r="AQ264" s="272">
        <f ca="1">+AVERAGEIFS(TABELA_VAZAO[qnat],TABELA_VAZAO[Posto],$R264,TABELA_VAZAO[Data],AQ$27)</f>
        <v>192</v>
      </c>
      <c r="AR264" s="272">
        <f ca="1">+AVERAGEIFS(TABELA_VAZAO[qnat],TABELA_VAZAO[Posto],$R264,TABELA_VAZAO[Data],AR$27)</f>
        <v>179</v>
      </c>
      <c r="AS264" s="272">
        <f ca="1">+AVERAGEIFS(TABELA_VAZAO[qnat],TABELA_VAZAO[Posto],$R264,TABELA_VAZAO[Data],AS$27)</f>
        <v>178</v>
      </c>
      <c r="AT264" s="272">
        <f ca="1">+AVERAGEIFS(TABELA_VAZAO[qnat],TABELA_VAZAO[Posto],$R264,TABELA_VAZAO[Data],AT$27)</f>
        <v>320</v>
      </c>
      <c r="AU264" s="121">
        <f ca="1">+AVERAGEIFS(TABELA_VAZAO[qnat],TABELA_VAZAO[Posto],$R264,TABELA_VAZAO[Data],AU$27)</f>
        <v>767</v>
      </c>
      <c r="AV264" s="272">
        <f ca="1">IFERROR(AVERAGEIFS(TABELA_VAZAO[qnat],TABELA_VAZAO[Posto],$R264,TABELA_VAZAO[Data],AV$27),AU264+$BB264*EXP(AV$26))</f>
        <v>793</v>
      </c>
      <c r="AW264" s="159">
        <f ca="1">IFERROR(AVERAGEIFS(TABELA_VAZAO[qnat],TABELA_VAZAO[Posto],$R264,TABELA_VAZAO[Data],AW$27),AV264+$BB264*EXP(AW$26))</f>
        <v>534</v>
      </c>
      <c r="AX264" s="325">
        <f ca="1">IFERROR(AVERAGEIFS(TABELA_VAZAO[qnat],TABELA_VAZAO[Posto],$R264,TABELA_VAZAO[Data],AX$27),AW264+$BB264*EXP(AX$26))</f>
        <v>514.57142857142856</v>
      </c>
      <c r="AY264" s="325">
        <f ca="1">IFERROR(AVERAGEIFS(TABELA_VAZAO[qnat],TABELA_VAZAO[Posto],$R264,TABELA_VAZAO[Data],AY$27),AX264+$BB264*EXP(AY$26))</f>
        <v>501.54806767702183</v>
      </c>
      <c r="AZ264" s="326">
        <f ca="1">IFERROR(AVERAGEIFS(TABELA_VAZAO[qnat],TABELA_VAZAO[Posto],$R264,TABELA_VAZAO[Data],AZ$27),AY264+$BB264*EXP(AZ$26))</f>
        <v>492.81824780274439</v>
      </c>
      <c r="BA264" s="326">
        <f ca="1">IFERROR(AVERAGEIFS(TABELA_VAZAO[qnat],TABELA_VAZAO[Posto],$R264,TABELA_VAZAO[Data],BA$27),AZ264+$BB264*EXP(BA$26))</f>
        <v>486.96647454273591</v>
      </c>
      <c r="BB264" s="121">
        <f t="shared" ca="1" si="92"/>
        <v>-19.428571428571427</v>
      </c>
      <c r="BC264" s="272">
        <f t="shared" ca="1" si="103"/>
        <v>142</v>
      </c>
      <c r="BD264" s="272">
        <f t="shared" ca="1" si="103"/>
        <v>447</v>
      </c>
      <c r="BE264" s="272">
        <f t="shared" ca="1" si="103"/>
        <v>26</v>
      </c>
      <c r="BF264" s="272">
        <f t="shared" ca="1" si="103"/>
        <v>-259</v>
      </c>
      <c r="BG264"/>
    </row>
    <row r="265" spans="18:59" x14ac:dyDescent="0.2">
      <c r="R265">
        <v>238</v>
      </c>
      <c r="S265" s="131">
        <f t="shared" ref="S265" ca="1" si="107">AO265</f>
        <v>306</v>
      </c>
      <c r="T265" s="131" t="str">
        <f t="shared" ca="1" si="106"/>
        <v/>
      </c>
      <c r="U265" s="131" t="str">
        <f t="shared" ca="1" si="106"/>
        <v/>
      </c>
      <c r="V265" s="131" t="str">
        <f t="shared" ca="1" si="106"/>
        <v/>
      </c>
      <c r="W265" s="131" t="str">
        <f t="shared" ca="1" si="106"/>
        <v/>
      </c>
      <c r="X265" s="131" t="str">
        <f t="shared" ca="1" si="106"/>
        <v/>
      </c>
      <c r="Y265" s="131" t="str">
        <f t="shared" ca="1" si="106"/>
        <v/>
      </c>
      <c r="Z265" s="131" t="str">
        <f t="shared" ca="1" si="106"/>
        <v/>
      </c>
      <c r="AA265" s="131" t="str">
        <f t="shared" ca="1" si="106"/>
        <v/>
      </c>
      <c r="AB265" s="131" t="str">
        <f t="shared" ca="1" si="106"/>
        <v/>
      </c>
      <c r="AM265">
        <v>238</v>
      </c>
      <c r="AN265" s="121"/>
      <c r="AO265" s="121">
        <f t="shared" ca="1" si="90"/>
        <v>306</v>
      </c>
      <c r="AP265" s="121" t="b">
        <f t="shared" si="91"/>
        <v>1</v>
      </c>
      <c r="AQ265" s="272">
        <f ca="1">+AVERAGEIFS(TABELA_VAZAO[qnat],TABELA_VAZAO[Posto],$R265,TABELA_VAZAO[Data],AQ$27)</f>
        <v>246</v>
      </c>
      <c r="AR265" s="272">
        <f ca="1">+AVERAGEIFS(TABELA_VAZAO[qnat],TABELA_VAZAO[Posto],$R265,TABELA_VAZAO[Data],AR$27)</f>
        <v>230</v>
      </c>
      <c r="AS265" s="272">
        <f ca="1">+AVERAGEIFS(TABELA_VAZAO[qnat],TABELA_VAZAO[Posto],$R265,TABELA_VAZAO[Data],AS$27)</f>
        <v>224</v>
      </c>
      <c r="AT265" s="272">
        <f ca="1">+AVERAGEIFS(TABELA_VAZAO[qnat],TABELA_VAZAO[Posto],$R265,TABELA_VAZAO[Data],AT$27)</f>
        <v>295</v>
      </c>
      <c r="AU265" s="121">
        <f ca="1">+AVERAGEIFS(TABELA_VAZAO[qnat],TABELA_VAZAO[Posto],$R265,TABELA_VAZAO[Data],AU$27)</f>
        <v>592</v>
      </c>
      <c r="AV265" s="272">
        <f ca="1">IFERROR(AVERAGEIFS(TABELA_VAZAO[qnat],TABELA_VAZAO[Posto],$R265,TABELA_VAZAO[Data],AV$27),AU265+$BB265*EXP(AV$26))</f>
        <v>831</v>
      </c>
      <c r="AW265" s="159">
        <f ca="1">IFERROR(AVERAGEIFS(TABELA_VAZAO[qnat],TABELA_VAZAO[Posto],$R265,TABELA_VAZAO[Data],AW$27),AV265+$BB265*EXP(AW$26))</f>
        <v>717</v>
      </c>
      <c r="AX265" s="325">
        <f ca="1">IFERROR(AVERAGEIFS(TABELA_VAZAO[qnat],TABELA_VAZAO[Posto],$R265,TABELA_VAZAO[Data],AX$27),AW265+$BB265*EXP(AX$26))</f>
        <v>789</v>
      </c>
      <c r="AY265" s="325">
        <f ca="1">IFERROR(AVERAGEIFS(TABELA_VAZAO[qnat],TABELA_VAZAO[Posto],$R265,TABELA_VAZAO[Data],AY$27),AX265+$BB265*EXP(AY$26))</f>
        <v>837.26304331456606</v>
      </c>
      <c r="AZ265" s="326">
        <f ca="1">IFERROR(AVERAGEIFS(TABELA_VAZAO[qnat],TABELA_VAZAO[Posto],$R265,TABELA_VAZAO[Data],AZ$27),AY265+$BB265*EXP(AZ$26))</f>
        <v>869.61472873100604</v>
      </c>
      <c r="BA265" s="326">
        <f ca="1">IFERROR(AVERAGEIFS(TABELA_VAZAO[qnat],TABELA_VAZAO[Posto],$R265,TABELA_VAZAO[Data],BA$27),AZ265+$BB265*EXP(BA$26))</f>
        <v>891.30071198868461</v>
      </c>
      <c r="BB265" s="121">
        <f t="shared" ca="1" si="92"/>
        <v>72</v>
      </c>
      <c r="BC265" s="272">
        <f t="shared" ca="1" si="103"/>
        <v>71</v>
      </c>
      <c r="BD265" s="272">
        <f t="shared" ca="1" si="103"/>
        <v>297</v>
      </c>
      <c r="BE265" s="272">
        <f t="shared" ca="1" si="103"/>
        <v>239</v>
      </c>
      <c r="BF265" s="272">
        <f t="shared" ca="1" si="103"/>
        <v>-114</v>
      </c>
      <c r="BG265"/>
    </row>
    <row r="266" spans="18:59" x14ac:dyDescent="0.2">
      <c r="R266">
        <v>239</v>
      </c>
      <c r="S266" s="131">
        <f t="shared" ref="S266:S270" ca="1" si="108">AO266</f>
        <v>318</v>
      </c>
      <c r="T266" s="131" t="str">
        <f t="shared" ca="1" si="106"/>
        <v/>
      </c>
      <c r="U266" s="131" t="str">
        <f t="shared" ca="1" si="106"/>
        <v/>
      </c>
      <c r="V266" s="131" t="str">
        <f t="shared" ca="1" si="106"/>
        <v/>
      </c>
      <c r="W266" s="131" t="str">
        <f t="shared" ca="1" si="106"/>
        <v/>
      </c>
      <c r="X266" s="131" t="str">
        <f t="shared" ca="1" si="106"/>
        <v/>
      </c>
      <c r="Y266" s="131" t="str">
        <f t="shared" ca="1" si="106"/>
        <v/>
      </c>
      <c r="Z266" s="131" t="str">
        <f t="shared" ca="1" si="106"/>
        <v/>
      </c>
      <c r="AA266" s="131" t="str">
        <f t="shared" ca="1" si="106"/>
        <v/>
      </c>
      <c r="AB266" s="131" t="str">
        <f t="shared" ca="1" si="106"/>
        <v/>
      </c>
      <c r="AM266">
        <v>239</v>
      </c>
      <c r="AN266" s="121"/>
      <c r="AO266" s="281">
        <f ca="1">MAX(IFERROR(ROUND(INDEX(F$28:F$129,MATCH($R266,$A$28:$A$129,0)),0),ROUND(AVERAGE(AU266:BA266),0)),AO264+5)</f>
        <v>318</v>
      </c>
      <c r="AP266" s="121" t="b">
        <f t="shared" si="91"/>
        <v>1</v>
      </c>
      <c r="AQ266" s="272">
        <f ca="1">+AVERAGEIFS(TABELA_VAZAO[qnat],TABELA_VAZAO[Posto],$R266,TABELA_VAZAO[Data],AQ$27)</f>
        <v>340</v>
      </c>
      <c r="AR266" s="272">
        <f ca="1">+AVERAGEIFS(TABELA_VAZAO[qnat],TABELA_VAZAO[Posto],$R266,TABELA_VAZAO[Data],AR$27)</f>
        <v>323</v>
      </c>
      <c r="AS266" s="272">
        <f ca="1">+AVERAGEIFS(TABELA_VAZAO[qnat],TABELA_VAZAO[Posto],$R266,TABELA_VAZAO[Data],AS$27)</f>
        <v>314</v>
      </c>
      <c r="AT266" s="272">
        <f ca="1">+AVERAGEIFS(TABELA_VAZAO[qnat],TABELA_VAZAO[Posto],$R266,TABELA_VAZAO[Data],AT$27)</f>
        <v>348</v>
      </c>
      <c r="AU266" s="121">
        <f ca="1">+AVERAGEIFS(TABELA_VAZAO[qnat],TABELA_VAZAO[Posto],$R266,TABELA_VAZAO[Data],AU$27)</f>
        <v>536</v>
      </c>
      <c r="AV266" s="272">
        <f ca="1">IFERROR(AVERAGEIFS(TABELA_VAZAO[qnat],TABELA_VAZAO[Posto],$R266,TABELA_VAZAO[Data],AV$27),AU266+$BB266*EXP(AV$26))</f>
        <v>810</v>
      </c>
      <c r="AW266" s="159">
        <f ca="1">IFERROR(AVERAGEIFS(TABELA_VAZAO[qnat],TABELA_VAZAO[Posto],$R266,TABELA_VAZAO[Data],AW$27),AV266+$BB266*EXP(AW$26))</f>
        <v>877</v>
      </c>
      <c r="AX266" s="325">
        <f ca="1">IFERROR(AVERAGEIFS(TABELA_VAZAO[qnat],TABELA_VAZAO[Posto],$R266,TABELA_VAZAO[Data],AX$27),AW266+$BB266*EXP(AX$26))</f>
        <v>1015.7142857142858</v>
      </c>
      <c r="AY266" s="325">
        <f ca="1">IFERROR(AVERAGEIFS(TABELA_VAZAO[qnat],TABELA_VAZAO[Posto],$R266,TABELA_VAZAO[Data],AY$27),AX266+$BB266*EXP(AY$26))</f>
        <v>1108.6972521000866</v>
      </c>
      <c r="AZ266" s="326">
        <f ca="1">IFERROR(AVERAGEIFS(TABELA_VAZAO[qnat],TABELA_VAZAO[Posto],$R266,TABELA_VAZAO[Data],AZ$27),AY266+$BB266*EXP(AZ$26))</f>
        <v>1171.0255984083469</v>
      </c>
      <c r="BA266" s="326">
        <f ca="1">IFERROR(AVERAGEIFS(TABELA_VAZAO[qnat],TABELA_VAZAO[Posto],$R266,TABELA_VAZAO[Data],BA$27),AZ266+$BB266*EXP(BA$26))</f>
        <v>1212.8055383750252</v>
      </c>
      <c r="BB266" s="121">
        <f t="shared" ca="1" si="92"/>
        <v>138.71428571428572</v>
      </c>
      <c r="BC266" s="272">
        <f t="shared" ca="1" si="103"/>
        <v>34</v>
      </c>
      <c r="BD266" s="272">
        <f t="shared" ca="1" si="103"/>
        <v>188</v>
      </c>
      <c r="BE266" s="272">
        <f t="shared" ca="1" si="103"/>
        <v>274</v>
      </c>
      <c r="BF266" s="272">
        <f t="shared" ca="1" si="103"/>
        <v>67</v>
      </c>
      <c r="BG266"/>
    </row>
    <row r="267" spans="18:59" x14ac:dyDescent="0.2">
      <c r="R267">
        <v>240</v>
      </c>
      <c r="S267" s="131">
        <f t="shared" ref="S267" ca="1" si="109">AO267</f>
        <v>284</v>
      </c>
      <c r="T267" s="131" t="str">
        <f t="shared" ca="1" si="106"/>
        <v/>
      </c>
      <c r="U267" s="131" t="str">
        <f t="shared" ca="1" si="106"/>
        <v/>
      </c>
      <c r="V267" s="131" t="str">
        <f t="shared" ca="1" si="106"/>
        <v/>
      </c>
      <c r="W267" s="131" t="str">
        <f t="shared" ca="1" si="106"/>
        <v/>
      </c>
      <c r="X267" s="131" t="str">
        <f t="shared" ca="1" si="106"/>
        <v/>
      </c>
      <c r="Y267" s="131" t="str">
        <f t="shared" ca="1" si="106"/>
        <v/>
      </c>
      <c r="Z267" s="131" t="str">
        <f t="shared" ca="1" si="106"/>
        <v/>
      </c>
      <c r="AA267" s="131" t="str">
        <f t="shared" ca="1" si="106"/>
        <v/>
      </c>
      <c r="AB267" s="131" t="str">
        <f t="shared" ca="1" si="106"/>
        <v/>
      </c>
      <c r="AM267">
        <v>240</v>
      </c>
      <c r="AN267" s="121"/>
      <c r="AO267" s="121">
        <f ca="1">IFERROR(ROUND(INDEX(F$28:F$129,MATCH($R267,$A$28:$A$129,0)),0),ROUND(AVERAGE(AU267:BA267),0))</f>
        <v>284</v>
      </c>
      <c r="AP267" s="121" t="b">
        <f t="shared" si="91"/>
        <v>1</v>
      </c>
      <c r="AQ267" s="272">
        <f ca="1">+AVERAGEIFS(TABELA_VAZAO[qnat],TABELA_VAZAO[Posto],$R267,TABELA_VAZAO[Data],AQ$27)</f>
        <v>479</v>
      </c>
      <c r="AR267" s="272">
        <f ca="1">+AVERAGEIFS(TABELA_VAZAO[qnat],TABELA_VAZAO[Posto],$R267,TABELA_VAZAO[Data],AR$27)</f>
        <v>463</v>
      </c>
      <c r="AS267" s="272">
        <f ca="1">+AVERAGEIFS(TABELA_VAZAO[qnat],TABELA_VAZAO[Posto],$R267,TABELA_VAZAO[Data],AS$27)</f>
        <v>451</v>
      </c>
      <c r="AT267" s="272">
        <f ca="1">+AVERAGEIFS(TABELA_VAZAO[qnat],TABELA_VAZAO[Posto],$R267,TABELA_VAZAO[Data],AT$27)</f>
        <v>444</v>
      </c>
      <c r="AU267" s="121">
        <f ca="1">+AVERAGEIFS(TABELA_VAZAO[qnat],TABELA_VAZAO[Posto],$R267,TABELA_VAZAO[Data],AU$27)</f>
        <v>473</v>
      </c>
      <c r="AV267" s="272">
        <f ca="1">IFERROR(AVERAGEIFS(TABELA_VAZAO[qnat],TABELA_VAZAO[Posto],$R267,TABELA_VAZAO[Data],AV$27),AU267+$BB267*EXP(AV$26))</f>
        <v>631</v>
      </c>
      <c r="AW267" s="159">
        <f ca="1">IFERROR(AVERAGEIFS(TABELA_VAZAO[qnat],TABELA_VAZAO[Posto],$R267,TABELA_VAZAO[Data],AW$27),AV267+$BB267*EXP(AW$26))</f>
        <v>887</v>
      </c>
      <c r="AX267" s="325">
        <f ca="1">IFERROR(AVERAGEIFS(TABELA_VAZAO[qnat],TABELA_VAZAO[Posto],$R267,TABELA_VAZAO[Data],AX$27),AW267+$BB267*EXP(AX$26))</f>
        <v>1045</v>
      </c>
      <c r="AY267" s="325">
        <f ca="1">IFERROR(AVERAGEIFS(TABELA_VAZAO[qnat],TABELA_VAZAO[Posto],$R267,TABELA_VAZAO[Data],AY$27),AX267+$BB267*EXP(AY$26))</f>
        <v>1150.9105672736309</v>
      </c>
      <c r="AZ267" s="326">
        <f ca="1">IFERROR(AVERAGEIFS(TABELA_VAZAO[qnat],TABELA_VAZAO[Posto],$R267,TABELA_VAZAO[Data],AZ$27),AY267+$BB267*EXP(AZ$26))</f>
        <v>1221.904543604152</v>
      </c>
      <c r="BA267" s="326">
        <f ca="1">IFERROR(AVERAGEIFS(TABELA_VAZAO[qnat],TABELA_VAZAO[Posto],$R267,TABELA_VAZAO[Data],BA$27),AZ267+$BB267*EXP(BA$26))</f>
        <v>1269.4932290862798</v>
      </c>
      <c r="BB267" s="121">
        <f t="shared" ca="1" si="92"/>
        <v>158</v>
      </c>
      <c r="BC267" s="272">
        <f t="shared" ca="1" si="103"/>
        <v>-7</v>
      </c>
      <c r="BD267" s="272">
        <f t="shared" ca="1" si="103"/>
        <v>29</v>
      </c>
      <c r="BE267" s="272">
        <f t="shared" ca="1" si="103"/>
        <v>158</v>
      </c>
      <c r="BF267" s="272">
        <f t="shared" ca="1" si="103"/>
        <v>256</v>
      </c>
      <c r="BG267"/>
    </row>
    <row r="268" spans="18:59" x14ac:dyDescent="0.2">
      <c r="R268">
        <v>241</v>
      </c>
      <c r="S268" s="40">
        <f t="shared" ca="1" si="108"/>
        <v>152</v>
      </c>
      <c r="T268" s="131" t="str">
        <f t="shared" ref="T268:AA268" ca="1" si="110">IF(AND($K$4,ISNUMBER(H$143)),ROUND(G$143*S268,0),"")</f>
        <v/>
      </c>
      <c r="U268" s="131" t="str">
        <f t="shared" ca="1" si="110"/>
        <v/>
      </c>
      <c r="V268" s="131" t="str">
        <f t="shared" ca="1" si="110"/>
        <v/>
      </c>
      <c r="W268" s="131" t="str">
        <f t="shared" ca="1" si="110"/>
        <v/>
      </c>
      <c r="X268" s="131" t="str">
        <f t="shared" ca="1" si="110"/>
        <v/>
      </c>
      <c r="Y268" s="131" t="str">
        <f t="shared" ca="1" si="110"/>
        <v/>
      </c>
      <c r="Z268" s="131" t="str">
        <f t="shared" ca="1" si="110"/>
        <v/>
      </c>
      <c r="AA268" s="131" t="str">
        <f t="shared" si="110"/>
        <v/>
      </c>
      <c r="AB268" s="131"/>
      <c r="AN268" s="121"/>
      <c r="AO268" s="121">
        <f ca="1">IFERROR(ROUND(INDEX(F$28:F$129,MATCH($R268,$A$28:$A$129,0)),0),ROUND(AVERAGE(AU268:BA268),0))</f>
        <v>152</v>
      </c>
      <c r="AP268" s="121" t="b">
        <f t="shared" si="91"/>
        <v>0</v>
      </c>
      <c r="AQ268" s="272">
        <f ca="1">+AVERAGEIFS(TABELA_VAZAO[qnat],TABELA_VAZAO[Posto],$R268,TABELA_VAZAO[Data],AQ$27)</f>
        <v>168</v>
      </c>
      <c r="AR268" s="272">
        <f ca="1">+AVERAGEIFS(TABELA_VAZAO[qnat],TABELA_VAZAO[Posto],$R268,TABELA_VAZAO[Data],AR$27)</f>
        <v>164</v>
      </c>
      <c r="AS268" s="272">
        <f ca="1">+AVERAGEIFS(TABELA_VAZAO[qnat],TABELA_VAZAO[Posto],$R268,TABELA_VAZAO[Data],AS$27)</f>
        <v>161</v>
      </c>
      <c r="AT268" s="272">
        <f ca="1">+AVERAGEIFS(TABELA_VAZAO[qnat],TABELA_VAZAO[Posto],$R268,TABELA_VAZAO[Data],AT$27)</f>
        <v>158</v>
      </c>
      <c r="AU268" s="121">
        <f ca="1">+AVERAGEIFS(TABELA_VAZAO[qnat],TABELA_VAZAO[Posto],$R268,TABELA_VAZAO[Data],AU$27)</f>
        <v>156</v>
      </c>
      <c r="AV268" s="272">
        <f ca="1">IFERROR(AVERAGEIFS(TABELA_VAZAO[qnat],TABELA_VAZAO[Posto],$R268,TABELA_VAZAO[Data],AV$27),AU268+$BB268*EXP(AV$26))</f>
        <v>154</v>
      </c>
      <c r="AW268" s="159">
        <f ca="1">IFERROR(AVERAGEIFS(TABELA_VAZAO[qnat],TABELA_VAZAO[Posto],$R268,TABELA_VAZAO[Data],AW$27),AV268+$BB268*EXP(AW$26))</f>
        <v>153</v>
      </c>
      <c r="AX268" s="325">
        <f ca="1">IFERROR(AVERAGEIFS(TABELA_VAZAO[qnat],TABELA_VAZAO[Posto],$R268,TABELA_VAZAO[Data],AX$27),AW268+$BB268*EXP(AX$26))</f>
        <v>151.28571428571428</v>
      </c>
      <c r="AY268" s="325">
        <f ca="1">IFERROR(AVERAGEIFS(TABELA_VAZAO[qnat],TABELA_VAZAO[Posto],$R268,TABELA_VAZAO[Data],AY$27),AX268+$BB268*EXP(AY$26))</f>
        <v>150.13659420679605</v>
      </c>
      <c r="AZ268" s="326">
        <f ca="1">IFERROR(AVERAGEIFS(TABELA_VAZAO[qnat],TABELA_VAZAO[Posto],$R268,TABELA_VAZAO[Data],AZ$27),AY268+$BB268*EXP(AZ$26))</f>
        <v>149.3663159825951</v>
      </c>
      <c r="BA268" s="326">
        <f ca="1">IFERROR(AVERAGEIFS(TABELA_VAZAO[qnat],TABELA_VAZAO[Posto],$R268,TABELA_VAZAO[Data],BA$27),AZ268+$BB268*EXP(BA$26))</f>
        <v>148.84998304788846</v>
      </c>
      <c r="BB268" s="121">
        <f t="shared" ca="1" si="92"/>
        <v>-1.7142857142857142</v>
      </c>
      <c r="BC268" s="272">
        <f t="shared" ca="1" si="103"/>
        <v>-3</v>
      </c>
      <c r="BD268" s="272">
        <f t="shared" ca="1" si="103"/>
        <v>-2</v>
      </c>
      <c r="BE268" s="272">
        <f t="shared" ca="1" si="103"/>
        <v>-2</v>
      </c>
      <c r="BF268" s="272">
        <f t="shared" ca="1" si="103"/>
        <v>-1</v>
      </c>
      <c r="BG268"/>
    </row>
    <row r="269" spans="18:59" x14ac:dyDescent="0.2">
      <c r="R269">
        <v>242</v>
      </c>
      <c r="S269" s="131">
        <f t="shared" ca="1" si="108"/>
        <v>328</v>
      </c>
      <c r="T269" s="131" t="str">
        <f t="shared" ref="T269:AB269" ca="1" si="111">IFERROR(ROUND(INDEX(G$28:G$129,MATCH($R269,$A$28:$A$129,0)),0),"")</f>
        <v/>
      </c>
      <c r="U269" s="131" t="str">
        <f t="shared" ca="1" si="111"/>
        <v/>
      </c>
      <c r="V269" s="131" t="str">
        <f t="shared" ca="1" si="111"/>
        <v/>
      </c>
      <c r="W269" s="131" t="str">
        <f t="shared" ca="1" si="111"/>
        <v/>
      </c>
      <c r="X269" s="131" t="str">
        <f t="shared" ca="1" si="111"/>
        <v/>
      </c>
      <c r="Y269" s="131" t="str">
        <f t="shared" ca="1" si="111"/>
        <v/>
      </c>
      <c r="Z269" s="131" t="str">
        <f t="shared" ca="1" si="111"/>
        <v/>
      </c>
      <c r="AA269" s="131" t="str">
        <f t="shared" ca="1" si="111"/>
        <v/>
      </c>
      <c r="AB269" s="131" t="str">
        <f t="shared" ca="1" si="111"/>
        <v/>
      </c>
      <c r="AM269">
        <v>242</v>
      </c>
      <c r="AN269" s="121"/>
      <c r="AO269" s="281">
        <f ca="1">MAX(IFERROR(ROUND(INDEX(F$28:F$129,MATCH($R269,$A$28:$A$129,0)),0),ROUND(AVERAGE(AU269:BA269),0)),AO266+10)</f>
        <v>328</v>
      </c>
      <c r="AP269" s="121" t="b">
        <f t="shared" si="91"/>
        <v>1</v>
      </c>
      <c r="AQ269" s="272">
        <f ca="1">+AVERAGEIFS(TABELA_VAZAO[qnat],TABELA_VAZAO[Posto],$R269,TABELA_VAZAO[Data],AQ$27)</f>
        <v>555</v>
      </c>
      <c r="AR269" s="272">
        <f ca="1">+AVERAGEIFS(TABELA_VAZAO[qnat],TABELA_VAZAO[Posto],$R269,TABELA_VAZAO[Data],AR$27)</f>
        <v>519</v>
      </c>
      <c r="AS269" s="272">
        <f ca="1">+AVERAGEIFS(TABELA_VAZAO[qnat],TABELA_VAZAO[Posto],$R269,TABELA_VAZAO[Data],AS$27)</f>
        <v>507</v>
      </c>
      <c r="AT269" s="272">
        <f ca="1">+AVERAGEIFS(TABELA_VAZAO[qnat],TABELA_VAZAO[Posto],$R269,TABELA_VAZAO[Data],AT$27)</f>
        <v>499</v>
      </c>
      <c r="AU269" s="121">
        <f ca="1">+AVERAGEIFS(TABELA_VAZAO[qnat],TABELA_VAZAO[Posto],$R269,TABELA_VAZAO[Data],AU$27)</f>
        <v>509</v>
      </c>
      <c r="AV269" s="272">
        <f ca="1">IFERROR(AVERAGEIFS(TABELA_VAZAO[qnat],TABELA_VAZAO[Posto],$R269,TABELA_VAZAO[Data],AV$27),AU269+$BB269*EXP(AV$26))</f>
        <v>598</v>
      </c>
      <c r="AW269" s="159">
        <f ca="1">IFERROR(AVERAGEIFS(TABELA_VAZAO[qnat],TABELA_VAZAO[Posto],$R269,TABELA_VAZAO[Data],AW$27),AV269+$BB269*EXP(AW$26))</f>
        <v>801</v>
      </c>
      <c r="AX269" s="325">
        <f ca="1">IFERROR(AVERAGEIFS(TABELA_VAZAO[qnat],TABELA_VAZAO[Posto],$R269,TABELA_VAZAO[Data],AX$27),AW269+$BB269*EXP(AX$26))</f>
        <v>913.71428571428567</v>
      </c>
      <c r="AY269" s="325">
        <f ca="1">IFERROR(AVERAGEIFS(TABELA_VAZAO[qnat],TABELA_VAZAO[Posto],$R269,TABELA_VAZAO[Data],AY$27),AX269+$BB269*EXP(AY$26))</f>
        <v>989.26893090315991</v>
      </c>
      <c r="AZ269" s="326">
        <f ca="1">IFERROR(AVERAGEIFS(TABELA_VAZAO[qnat],TABELA_VAZAO[Posto],$R269,TABELA_VAZAO[Data],AZ$27),AY269+$BB269*EXP(AZ$26))</f>
        <v>1039.9147241443725</v>
      </c>
      <c r="BA269" s="326">
        <f ca="1">IFERROR(AVERAGEIFS(TABELA_VAZAO[qnat],TABELA_VAZAO[Posto],$R269,TABELA_VAZAO[Data],BA$27),AZ269+$BB269*EXP(BA$26))</f>
        <v>1073.8636146013334</v>
      </c>
      <c r="BB269" s="121">
        <f t="shared" ca="1" si="92"/>
        <v>112.71428571428571</v>
      </c>
      <c r="BC269" s="272">
        <f t="shared" ca="1" si="103"/>
        <v>-8</v>
      </c>
      <c r="BD269" s="272">
        <f t="shared" ca="1" si="103"/>
        <v>10</v>
      </c>
      <c r="BE269" s="272">
        <f t="shared" ca="1" si="103"/>
        <v>89</v>
      </c>
      <c r="BF269" s="272">
        <f t="shared" ca="1" si="103"/>
        <v>203</v>
      </c>
      <c r="BG269"/>
    </row>
    <row r="270" spans="18:59" x14ac:dyDescent="0.2">
      <c r="R270">
        <v>243</v>
      </c>
      <c r="S270" s="40">
        <f t="shared" ca="1" si="108"/>
        <v>558</v>
      </c>
      <c r="T270" s="131" t="str">
        <f t="shared" ref="T270:AA270" ca="1" si="112">IF(AND($K$4,ISNUMBER(H$143)),ROUND(G$143*S270,0),"")</f>
        <v/>
      </c>
      <c r="U270" s="131" t="str">
        <f t="shared" ca="1" si="112"/>
        <v/>
      </c>
      <c r="V270" s="131" t="str">
        <f t="shared" ca="1" si="112"/>
        <v/>
      </c>
      <c r="W270" s="131" t="str">
        <f t="shared" ca="1" si="112"/>
        <v/>
      </c>
      <c r="X270" s="131" t="str">
        <f t="shared" ca="1" si="112"/>
        <v/>
      </c>
      <c r="Y270" s="131" t="str">
        <f t="shared" ca="1" si="112"/>
        <v/>
      </c>
      <c r="Z270" s="131" t="str">
        <f t="shared" ca="1" si="112"/>
        <v/>
      </c>
      <c r="AA270" s="131" t="str">
        <f t="shared" si="112"/>
        <v/>
      </c>
      <c r="AB270" s="131"/>
      <c r="AN270" s="121"/>
      <c r="AO270" s="121">
        <f t="shared" ref="AO270:AO301" ca="1" si="113">IFERROR(ROUND(INDEX(F$28:F$129,MATCH($R270,$A$28:$A$129,0)),0),ROUND(AVERAGE(AU270:BA270),0))</f>
        <v>558</v>
      </c>
      <c r="AP270" s="121" t="b">
        <f t="shared" si="91"/>
        <v>0</v>
      </c>
      <c r="AQ270" s="272">
        <f ca="1">+AVERAGEIFS(TABELA_VAZAO[qnat],TABELA_VAZAO[Posto],$R270,TABELA_VAZAO[Data],AQ$27)</f>
        <v>788</v>
      </c>
      <c r="AR270" s="272">
        <f ca="1">+AVERAGEIFS(TABELA_VAZAO[qnat],TABELA_VAZAO[Posto],$R270,TABELA_VAZAO[Data],AR$27)</f>
        <v>659</v>
      </c>
      <c r="AS270" s="272">
        <f ca="1">+AVERAGEIFS(TABELA_VAZAO[qnat],TABELA_VAZAO[Posto],$R270,TABELA_VAZAO[Data],AS$27)</f>
        <v>575</v>
      </c>
      <c r="AT270" s="272">
        <f ca="1">+AVERAGEIFS(TABELA_VAZAO[qnat],TABELA_VAZAO[Posto],$R270,TABELA_VAZAO[Data],AT$27)</f>
        <v>545</v>
      </c>
      <c r="AU270" s="121">
        <f ca="1">+AVERAGEIFS(TABELA_VAZAO[qnat],TABELA_VAZAO[Posto],$R270,TABELA_VAZAO[Data],AU$27)</f>
        <v>533</v>
      </c>
      <c r="AV270" s="272">
        <f ca="1">IFERROR(AVERAGEIFS(TABELA_VAZAO[qnat],TABELA_VAZAO[Posto],$R270,TABELA_VAZAO[Data],AV$27),AU270+$BB270*EXP(AV$26))</f>
        <v>529</v>
      </c>
      <c r="AW270" s="159">
        <f ca="1">IFERROR(AVERAGEIFS(TABELA_VAZAO[qnat],TABELA_VAZAO[Posto],$R270,TABELA_VAZAO[Data],AW$27),AV270+$BB270*EXP(AW$26))</f>
        <v>560</v>
      </c>
      <c r="AX270" s="325">
        <f ca="1">IFERROR(AVERAGEIFS(TABELA_VAZAO[qnat],TABELA_VAZAO[Posto],$R270,TABELA_VAZAO[Data],AX$27),AW270+$BB270*EXP(AX$26))</f>
        <v>566.14285714285711</v>
      </c>
      <c r="AY270" s="325">
        <f ca="1">IFERROR(AVERAGEIFS(TABELA_VAZAO[qnat],TABELA_VAZAO[Posto],$R270,TABELA_VAZAO[Data],AY$27),AX270+$BB270*EXP(AY$26))</f>
        <v>570.2605374256475</v>
      </c>
      <c r="AZ270" s="326">
        <f ca="1">IFERROR(AVERAGEIFS(TABELA_VAZAO[qnat],TABELA_VAZAO[Posto],$R270,TABELA_VAZAO[Data],AZ$27),AY270+$BB270*EXP(AZ$26))</f>
        <v>573.02070106236761</v>
      </c>
      <c r="BA270" s="326">
        <f ca="1">IFERROR(AVERAGEIFS(TABELA_VAZAO[qnat],TABELA_VAZAO[Posto],$R270,TABELA_VAZAO[Data],BA$27),AZ270+$BB270*EXP(BA$26))</f>
        <v>574.87089407839971</v>
      </c>
      <c r="BB270" s="121">
        <f t="shared" ca="1" si="92"/>
        <v>6.1428571428571432</v>
      </c>
      <c r="BC270" s="272">
        <f t="shared" ca="1" si="103"/>
        <v>-30</v>
      </c>
      <c r="BD270" s="272">
        <f t="shared" ca="1" si="103"/>
        <v>-12</v>
      </c>
      <c r="BE270" s="272">
        <f t="shared" ca="1" si="103"/>
        <v>-4</v>
      </c>
      <c r="BF270" s="272">
        <f t="shared" ca="1" si="103"/>
        <v>31</v>
      </c>
      <c r="BG270"/>
    </row>
    <row r="271" spans="18:59" x14ac:dyDescent="0.2">
      <c r="R271">
        <v>244</v>
      </c>
      <c r="S271" s="40"/>
      <c r="T271" s="40"/>
      <c r="U271" s="131"/>
      <c r="V271" s="131"/>
      <c r="W271" s="131"/>
      <c r="X271" s="131"/>
      <c r="Y271" s="131"/>
      <c r="Z271" s="131"/>
      <c r="AA271" s="131"/>
      <c r="AB271" s="131"/>
      <c r="AN271" s="121"/>
      <c r="AO271" s="121" t="e">
        <f t="shared" si="113"/>
        <v>#DIV/0!</v>
      </c>
      <c r="AP271" s="121" t="b">
        <f t="shared" si="91"/>
        <v>0</v>
      </c>
      <c r="AU271" s="121"/>
      <c r="AV271" s="121"/>
      <c r="AW271" s="159"/>
      <c r="AX271" s="159"/>
      <c r="AY271" s="159"/>
      <c r="AZ271" s="157"/>
      <c r="BA271" s="157"/>
      <c r="BB271" s="121">
        <f t="shared" ca="1" si="92"/>
        <v>0</v>
      </c>
      <c r="BC271" s="272">
        <f t="shared" ca="1" si="103"/>
        <v>0</v>
      </c>
      <c r="BD271" s="272">
        <f t="shared" ca="1" si="103"/>
        <v>0</v>
      </c>
      <c r="BE271" s="272">
        <f t="shared" ca="1" si="103"/>
        <v>0</v>
      </c>
      <c r="BF271" s="272">
        <f t="shared" ca="1" si="103"/>
        <v>0</v>
      </c>
      <c r="BG271"/>
    </row>
    <row r="272" spans="18:59" x14ac:dyDescent="0.2">
      <c r="R272">
        <v>245</v>
      </c>
      <c r="S272" s="40">
        <f ca="1">AO272</f>
        <v>2203</v>
      </c>
      <c r="T272" s="131" t="str">
        <f t="shared" ref="T272:AA275" ca="1" si="114">IF(AND($K$4,ISNUMBER(H$143)),ROUND(G$143*S272,0),"")</f>
        <v/>
      </c>
      <c r="U272" s="131" t="str">
        <f t="shared" ca="1" si="114"/>
        <v/>
      </c>
      <c r="V272" s="131" t="str">
        <f t="shared" ca="1" si="114"/>
        <v/>
      </c>
      <c r="W272" s="131" t="str">
        <f t="shared" ca="1" si="114"/>
        <v/>
      </c>
      <c r="X272" s="131" t="str">
        <f t="shared" ca="1" si="114"/>
        <v/>
      </c>
      <c r="Y272" s="131" t="str">
        <f t="shared" ca="1" si="114"/>
        <v/>
      </c>
      <c r="Z272" s="131" t="str">
        <f t="shared" ca="1" si="114"/>
        <v/>
      </c>
      <c r="AA272" s="131" t="str">
        <f t="shared" si="114"/>
        <v/>
      </c>
      <c r="AB272" s="131"/>
      <c r="AN272" s="121"/>
      <c r="AO272" s="121">
        <f t="shared" ca="1" si="113"/>
        <v>2203</v>
      </c>
      <c r="AP272" s="121" t="b">
        <f t="shared" si="91"/>
        <v>1</v>
      </c>
      <c r="AQ272" s="272">
        <f ca="1">+AVERAGEIFS(TABELA_VAZAO[qnat],TABELA_VAZAO[Posto],$R272,TABELA_VAZAO[Data],AQ$27)</f>
        <v>5826</v>
      </c>
      <c r="AR272" s="272">
        <f ca="1">+AVERAGEIFS(TABELA_VAZAO[qnat],TABELA_VAZAO[Posto],$R272,TABELA_VAZAO[Data],AR$27)</f>
        <v>5480</v>
      </c>
      <c r="AS272" s="272">
        <f ca="1">+AVERAGEIFS(TABELA_VAZAO[qnat],TABELA_VAZAO[Posto],$R272,TABELA_VAZAO[Data],AS$27)</f>
        <v>5147</v>
      </c>
      <c r="AT272" s="272">
        <f ca="1">+AVERAGEIFS(TABELA_VAZAO[qnat],TABELA_VAZAO[Posto],$R272,TABELA_VAZAO[Data],AT$27)</f>
        <v>4897</v>
      </c>
      <c r="AU272" s="121">
        <f ca="1">+AVERAGEIFS(TABELA_VAZAO[qnat],TABELA_VAZAO[Posto],$R272,TABELA_VAZAO[Data],AU$27)</f>
        <v>4917</v>
      </c>
      <c r="AV272" s="272">
        <f ca="1">IFERROR(AVERAGEIFS(TABELA_VAZAO[qnat],TABELA_VAZAO[Posto],$R272,TABELA_VAZAO[Data],AV$27),AU272+$BB272*EXP(AV$26))</f>
        <v>5083</v>
      </c>
      <c r="AW272" s="159">
        <f ca="1">IFERROR(AVERAGEIFS(TABELA_VAZAO[qnat],TABELA_VAZAO[Posto],$R272,TABELA_VAZAO[Data],AW$27),AV272+$BB272*EXP(AW$26))</f>
        <v>5418</v>
      </c>
      <c r="AX272" s="325">
        <f ca="1">IFERROR(AVERAGEIFS(TABELA_VAZAO[qnat],TABELA_VAZAO[Posto],$R272,TABELA_VAZAO[Data],AX$27),AW272+$BB272*EXP(AX$26))</f>
        <v>5576.1428571428569</v>
      </c>
      <c r="AY272" s="325">
        <f ca="1">IFERROR(AVERAGEIFS(TABELA_VAZAO[qnat],TABELA_VAZAO[Posto],$R272,TABELA_VAZAO[Data],AY$27),AX272+$BB272*EXP(AY$26))</f>
        <v>5682.1491844230641</v>
      </c>
      <c r="AZ272" s="326">
        <f ca="1">IFERROR(AVERAGEIFS(TABELA_VAZAO[qnat],TABELA_VAZAO[Posto],$R272,TABELA_VAZAO[Data],AZ$27),AY272+$BB272*EXP(AZ$26))</f>
        <v>5753.2073506056022</v>
      </c>
      <c r="BA272" s="326">
        <f ca="1">IFERROR(AVERAGEIFS(TABELA_VAZAO[qnat],TABELA_VAZAO[Posto],$R272,TABELA_VAZAO[Data],BA$27),AZ272+$BB272*EXP(BA$26))</f>
        <v>5800.839063832289</v>
      </c>
      <c r="BB272" s="121">
        <f t="shared" ca="1" si="92"/>
        <v>158.14285714285714</v>
      </c>
      <c r="BC272" s="272">
        <f t="shared" ca="1" si="103"/>
        <v>-250</v>
      </c>
      <c r="BD272" s="272">
        <f t="shared" ca="1" si="103"/>
        <v>20</v>
      </c>
      <c r="BE272" s="272">
        <f t="shared" ca="1" si="103"/>
        <v>166</v>
      </c>
      <c r="BF272" s="272">
        <f t="shared" ca="1" si="103"/>
        <v>335</v>
      </c>
      <c r="BG272"/>
    </row>
    <row r="273" spans="18:59" x14ac:dyDescent="0.2">
      <c r="R273">
        <v>246</v>
      </c>
      <c r="S273" s="40">
        <f ca="1">AO273</f>
        <v>4282</v>
      </c>
      <c r="T273" s="131" t="str">
        <f t="shared" ca="1" si="114"/>
        <v/>
      </c>
      <c r="U273" s="131" t="str">
        <f t="shared" ca="1" si="114"/>
        <v/>
      </c>
      <c r="V273" s="131" t="str">
        <f t="shared" ca="1" si="114"/>
        <v/>
      </c>
      <c r="W273" s="131" t="str">
        <f t="shared" ca="1" si="114"/>
        <v/>
      </c>
      <c r="X273" s="131" t="str">
        <f t="shared" ca="1" si="114"/>
        <v/>
      </c>
      <c r="Y273" s="131" t="str">
        <f t="shared" ca="1" si="114"/>
        <v/>
      </c>
      <c r="Z273" s="131" t="str">
        <f t="shared" ca="1" si="114"/>
        <v/>
      </c>
      <c r="AA273" s="131" t="str">
        <f t="shared" si="114"/>
        <v/>
      </c>
      <c r="AB273" s="131"/>
      <c r="AN273" s="121"/>
      <c r="AO273" s="121">
        <f t="shared" ca="1" si="113"/>
        <v>4282</v>
      </c>
      <c r="AP273" s="121" t="b">
        <f t="shared" si="91"/>
        <v>1</v>
      </c>
      <c r="AQ273" s="272">
        <f ca="1">+AVERAGEIFS(TABELA_VAZAO[qnat],TABELA_VAZAO[Posto],$R273,TABELA_VAZAO[Data],AQ$27)</f>
        <v>7096</v>
      </c>
      <c r="AR273" s="272">
        <f ca="1">+AVERAGEIFS(TABELA_VAZAO[qnat],TABELA_VAZAO[Posto],$R273,TABELA_VAZAO[Data],AR$27)</f>
        <v>7002</v>
      </c>
      <c r="AS273" s="272">
        <f ca="1">+AVERAGEIFS(TABELA_VAZAO[qnat],TABELA_VAZAO[Posto],$R273,TABELA_VAZAO[Data],AS$27)</f>
        <v>6716</v>
      </c>
      <c r="AT273" s="272">
        <f ca="1">+AVERAGEIFS(TABELA_VAZAO[qnat],TABELA_VAZAO[Posto],$R273,TABELA_VAZAO[Data],AT$27)</f>
        <v>6361</v>
      </c>
      <c r="AU273" s="121">
        <f ca="1">+AVERAGEIFS(TABELA_VAZAO[qnat],TABELA_VAZAO[Posto],$R273,TABELA_VAZAO[Data],AU$27)</f>
        <v>6015</v>
      </c>
      <c r="AV273" s="272">
        <f ca="1">IFERROR(AVERAGEIFS(TABELA_VAZAO[qnat],TABELA_VAZAO[Posto],$R273,TABELA_VAZAO[Data],AV$27),AU273+$BB273*EXP(AV$26))</f>
        <v>5773</v>
      </c>
      <c r="AW273" s="159">
        <f ca="1">IFERROR(AVERAGEIFS(TABELA_VAZAO[qnat],TABELA_VAZAO[Posto],$R273,TABELA_VAZAO[Data],AW$27),AV273+$BB273*EXP(AW$26))</f>
        <v>5882</v>
      </c>
      <c r="AX273" s="325">
        <f ca="1">IFERROR(AVERAGEIFS(TABELA_VAZAO[qnat],TABELA_VAZAO[Posto],$R273,TABELA_VAZAO[Data],AX$27),AW273+$BB273*EXP(AX$26))</f>
        <v>5759.4285714285716</v>
      </c>
      <c r="AY273" s="325">
        <f ca="1">IFERROR(AVERAGEIFS(TABELA_VAZAO[qnat],TABELA_VAZAO[Posto],$R273,TABELA_VAZAO[Data],AY$27),AX273+$BB273*EXP(AY$26))</f>
        <v>5677.2664857859172</v>
      </c>
      <c r="AZ273" s="326">
        <f ca="1">IFERROR(AVERAGEIFS(TABELA_VAZAO[qnat],TABELA_VAZAO[Posto],$R273,TABELA_VAZAO[Data],AZ$27),AY273+$BB273*EXP(AZ$26))</f>
        <v>5622.1915927555492</v>
      </c>
      <c r="BA273" s="326">
        <f ca="1">IFERROR(AVERAGEIFS(TABELA_VAZAO[qnat],TABELA_VAZAO[Posto],$R273,TABELA_VAZAO[Data],BA$27),AZ273+$BB273*EXP(BA$26))</f>
        <v>5585.2737879240249</v>
      </c>
      <c r="BB273" s="121">
        <f t="shared" ca="1" si="92"/>
        <v>-122.57142857142857</v>
      </c>
      <c r="BC273" s="272">
        <f t="shared" ca="1" si="103"/>
        <v>-355</v>
      </c>
      <c r="BD273" s="272">
        <f t="shared" ca="1" si="103"/>
        <v>-346</v>
      </c>
      <c r="BE273" s="272">
        <f t="shared" ca="1" si="103"/>
        <v>-242</v>
      </c>
      <c r="BF273" s="272">
        <f t="shared" ca="1" si="103"/>
        <v>109</v>
      </c>
      <c r="BG273"/>
    </row>
    <row r="274" spans="18:59" x14ac:dyDescent="0.2">
      <c r="R274">
        <v>247</v>
      </c>
      <c r="S274" s="40">
        <f ca="1">AO274</f>
        <v>157</v>
      </c>
      <c r="T274" s="131" t="str">
        <f t="shared" ca="1" si="114"/>
        <v/>
      </c>
      <c r="U274" s="131" t="str">
        <f t="shared" ca="1" si="114"/>
        <v/>
      </c>
      <c r="V274" s="131" t="str">
        <f t="shared" ca="1" si="114"/>
        <v/>
      </c>
      <c r="W274" s="131" t="str">
        <f t="shared" ca="1" si="114"/>
        <v/>
      </c>
      <c r="X274" s="131" t="str">
        <f t="shared" ca="1" si="114"/>
        <v/>
      </c>
      <c r="Y274" s="131" t="str">
        <f t="shared" ca="1" si="114"/>
        <v/>
      </c>
      <c r="Z274" s="131" t="str">
        <f t="shared" ca="1" si="114"/>
        <v/>
      </c>
      <c r="AA274" s="131" t="str">
        <f t="shared" si="114"/>
        <v/>
      </c>
      <c r="AB274" s="131"/>
      <c r="AN274" s="121"/>
      <c r="AO274" s="121">
        <f t="shared" ca="1" si="113"/>
        <v>157</v>
      </c>
      <c r="AP274" s="121" t="b">
        <f t="shared" si="91"/>
        <v>0</v>
      </c>
      <c r="AQ274" s="272">
        <f ca="1">+AVERAGEIFS(TABELA_VAZAO[qnat],TABELA_VAZAO[Posto],$R274,TABELA_VAZAO[Data],AQ$27)</f>
        <v>154</v>
      </c>
      <c r="AR274" s="272">
        <f ca="1">+AVERAGEIFS(TABELA_VAZAO[qnat],TABELA_VAZAO[Posto],$R274,TABELA_VAZAO[Data],AR$27)</f>
        <v>151</v>
      </c>
      <c r="AS274" s="272">
        <f ca="1">+AVERAGEIFS(TABELA_VAZAO[qnat],TABELA_VAZAO[Posto],$R274,TABELA_VAZAO[Data],AS$27)</f>
        <v>147</v>
      </c>
      <c r="AT274" s="272">
        <f ca="1">+AVERAGEIFS(TABELA_VAZAO[qnat],TABELA_VAZAO[Posto],$R274,TABELA_VAZAO[Data],AT$27)</f>
        <v>145</v>
      </c>
      <c r="AU274" s="121">
        <f ca="1">+AVERAGEIFS(TABELA_VAZAO[qnat],TABELA_VAZAO[Posto],$R274,TABELA_VAZAO[Data],AU$27)</f>
        <v>149</v>
      </c>
      <c r="AV274" s="272">
        <f ca="1">IFERROR(AVERAGEIFS(TABELA_VAZAO[qnat],TABELA_VAZAO[Posto],$R274,TABELA_VAZAO[Data],AV$27),AU274+$BB274*EXP(AV$26))</f>
        <v>154</v>
      </c>
      <c r="AW274" s="159">
        <f ca="1">IFERROR(AVERAGEIFS(TABELA_VAZAO[qnat],TABELA_VAZAO[Posto],$R274,TABELA_VAZAO[Data],AW$27),AV274+$BB274*EXP(AW$26))</f>
        <v>156</v>
      </c>
      <c r="AX274" s="325">
        <f ca="1">IFERROR(AVERAGEIFS(TABELA_VAZAO[qnat],TABELA_VAZAO[Posto],$R274,TABELA_VAZAO[Data],AX$27),AW274+$BB274*EXP(AX$26))</f>
        <v>158.57142857142858</v>
      </c>
      <c r="AY274" s="325">
        <f ca="1">IFERROR(AVERAGEIFS(TABELA_VAZAO[qnat],TABELA_VAZAO[Posto],$R274,TABELA_VAZAO[Data],AY$27),AX274+$BB274*EXP(AY$26))</f>
        <v>160.29510868980594</v>
      </c>
      <c r="AZ274" s="326">
        <f ca="1">IFERROR(AVERAGEIFS(TABELA_VAZAO[qnat],TABELA_VAZAO[Posto],$R274,TABELA_VAZAO[Data],AZ$27),AY274+$BB274*EXP(AZ$26))</f>
        <v>161.45052602610738</v>
      </c>
      <c r="BA274" s="326">
        <f ca="1">IFERROR(AVERAGEIFS(TABELA_VAZAO[qnat],TABELA_VAZAO[Posto],$R274,TABELA_VAZAO[Data],BA$27),AZ274+$BB274*EXP(BA$26))</f>
        <v>162.22502542816733</v>
      </c>
      <c r="BB274" s="121">
        <f t="shared" ca="1" si="92"/>
        <v>2.5714285714285716</v>
      </c>
      <c r="BC274" s="272">
        <f t="shared" ca="1" si="103"/>
        <v>-2</v>
      </c>
      <c r="BD274" s="272">
        <f t="shared" ca="1" si="103"/>
        <v>4</v>
      </c>
      <c r="BE274" s="272">
        <f t="shared" ca="1" si="103"/>
        <v>5</v>
      </c>
      <c r="BF274" s="272">
        <f t="shared" ca="1" si="103"/>
        <v>2</v>
      </c>
      <c r="BG274"/>
    </row>
    <row r="275" spans="18:59" x14ac:dyDescent="0.2">
      <c r="R275">
        <v>248</v>
      </c>
      <c r="S275" s="40">
        <f ca="1">AO275</f>
        <v>163</v>
      </c>
      <c r="T275" s="131" t="str">
        <f t="shared" ca="1" si="114"/>
        <v/>
      </c>
      <c r="U275" s="131" t="str">
        <f t="shared" ca="1" si="114"/>
        <v/>
      </c>
      <c r="V275" s="131" t="str">
        <f t="shared" ca="1" si="114"/>
        <v/>
      </c>
      <c r="W275" s="131" t="str">
        <f t="shared" ca="1" si="114"/>
        <v/>
      </c>
      <c r="X275" s="131" t="str">
        <f t="shared" ca="1" si="114"/>
        <v/>
      </c>
      <c r="Y275" s="131" t="str">
        <f t="shared" ca="1" si="114"/>
        <v/>
      </c>
      <c r="Z275" s="131" t="str">
        <f t="shared" ca="1" si="114"/>
        <v/>
      </c>
      <c r="AA275" s="131" t="str">
        <f t="shared" si="114"/>
        <v/>
      </c>
      <c r="AB275" s="131"/>
      <c r="AN275" s="121"/>
      <c r="AO275" s="121">
        <f t="shared" ca="1" si="113"/>
        <v>163</v>
      </c>
      <c r="AP275" s="121" t="b">
        <f t="shared" si="91"/>
        <v>0</v>
      </c>
      <c r="AQ275" s="272">
        <f ca="1">+AVERAGEIFS(TABELA_VAZAO[qnat],TABELA_VAZAO[Posto],$R275,TABELA_VAZAO[Data],AQ$27)</f>
        <v>162</v>
      </c>
      <c r="AR275" s="272">
        <f ca="1">+AVERAGEIFS(TABELA_VAZAO[qnat],TABELA_VAZAO[Posto],$R275,TABELA_VAZAO[Data],AR$27)</f>
        <v>158</v>
      </c>
      <c r="AS275" s="272">
        <f ca="1">+AVERAGEIFS(TABELA_VAZAO[qnat],TABELA_VAZAO[Posto],$R275,TABELA_VAZAO[Data],AS$27)</f>
        <v>154</v>
      </c>
      <c r="AT275" s="272">
        <f ca="1">+AVERAGEIFS(TABELA_VAZAO[qnat],TABELA_VAZAO[Posto],$R275,TABELA_VAZAO[Data],AT$27)</f>
        <v>151</v>
      </c>
      <c r="AU275" s="121">
        <f ca="1">+AVERAGEIFS(TABELA_VAZAO[qnat],TABELA_VAZAO[Posto],$R275,TABELA_VAZAO[Data],AU$27)</f>
        <v>154</v>
      </c>
      <c r="AV275" s="272">
        <f ca="1">IFERROR(AVERAGEIFS(TABELA_VAZAO[qnat],TABELA_VAZAO[Posto],$R275,TABELA_VAZAO[Data],AV$27),AU275+$BB275*EXP(AV$26))</f>
        <v>159</v>
      </c>
      <c r="AW275" s="159">
        <f ca="1">IFERROR(AVERAGEIFS(TABELA_VAZAO[qnat],TABELA_VAZAO[Posto],$R275,TABELA_VAZAO[Data],AW$27),AV275+$BB275*EXP(AW$26))</f>
        <v>162</v>
      </c>
      <c r="AX275" s="325">
        <f ca="1">IFERROR(AVERAGEIFS(TABELA_VAZAO[qnat],TABELA_VAZAO[Posto],$R275,TABELA_VAZAO[Data],AX$27),AW275+$BB275*EXP(AX$26))</f>
        <v>164.71428571428572</v>
      </c>
      <c r="AY275" s="325">
        <f ca="1">IFERROR(AVERAGEIFS(TABELA_VAZAO[qnat],TABELA_VAZAO[Posto],$R275,TABELA_VAZAO[Data],AY$27),AX275+$BB275*EXP(AY$26))</f>
        <v>166.53372583923959</v>
      </c>
      <c r="AZ275" s="326">
        <f ca="1">IFERROR(AVERAGEIFS(TABELA_VAZAO[qnat],TABELA_VAZAO[Posto],$R275,TABELA_VAZAO[Data],AZ$27),AY275+$BB275*EXP(AZ$26))</f>
        <v>167.75333302755777</v>
      </c>
      <c r="BA275" s="326">
        <f ca="1">IFERROR(AVERAGEIFS(TABELA_VAZAO[qnat],TABELA_VAZAO[Posto],$R275,TABELA_VAZAO[Data],BA$27),AZ275+$BB275*EXP(BA$26))</f>
        <v>168.5708601741766</v>
      </c>
      <c r="BB275" s="121">
        <f t="shared" ca="1" si="92"/>
        <v>2.7142857142857144</v>
      </c>
      <c r="BC275" s="272">
        <f t="shared" ca="1" si="103"/>
        <v>-3</v>
      </c>
      <c r="BD275" s="272">
        <f t="shared" ca="1" si="103"/>
        <v>3</v>
      </c>
      <c r="BE275" s="272">
        <f t="shared" ca="1" si="103"/>
        <v>5</v>
      </c>
      <c r="BF275" s="272">
        <f t="shared" ca="1" si="103"/>
        <v>3</v>
      </c>
      <c r="BG275"/>
    </row>
    <row r="276" spans="18:59" x14ac:dyDescent="0.2">
      <c r="R276">
        <v>249</v>
      </c>
      <c r="S276" s="40">
        <f ca="1">AO276</f>
        <v>89</v>
      </c>
      <c r="T276" s="40" t="str">
        <f t="shared" ref="T276:AB276" ca="1" si="115">IFERROR(ROUND(INDEX(G$28:G$129,MATCH($R276,$A$28:$A$129,0)),0),"")</f>
        <v/>
      </c>
      <c r="U276" s="131" t="str">
        <f t="shared" ca="1" si="115"/>
        <v/>
      </c>
      <c r="V276" s="131" t="str">
        <f t="shared" ca="1" si="115"/>
        <v/>
      </c>
      <c r="W276" s="131" t="str">
        <f t="shared" ca="1" si="115"/>
        <v/>
      </c>
      <c r="X276" s="131" t="str">
        <f t="shared" ca="1" si="115"/>
        <v/>
      </c>
      <c r="Y276" s="131" t="str">
        <f t="shared" ca="1" si="115"/>
        <v/>
      </c>
      <c r="Z276" s="131" t="str">
        <f t="shared" ca="1" si="115"/>
        <v/>
      </c>
      <c r="AA276" s="131" t="str">
        <f t="shared" ca="1" si="115"/>
        <v/>
      </c>
      <c r="AB276" s="131" t="str">
        <f t="shared" ca="1" si="115"/>
        <v/>
      </c>
      <c r="AN276" s="121"/>
      <c r="AO276" s="121">
        <f t="shared" ca="1" si="113"/>
        <v>89</v>
      </c>
      <c r="AP276" s="121" t="b">
        <f t="shared" si="91"/>
        <v>1</v>
      </c>
      <c r="AQ276" s="272">
        <f ca="1">+AVERAGEIFS(TABELA_VAZAO[qnat],TABELA_VAZAO[Posto],$R276,TABELA_VAZAO[Data],AQ$27)</f>
        <v>186</v>
      </c>
      <c r="AR276" s="272">
        <f ca="1">+AVERAGEIFS(TABELA_VAZAO[qnat],TABELA_VAZAO[Posto],$R276,TABELA_VAZAO[Data],AR$27)</f>
        <v>173</v>
      </c>
      <c r="AS276" s="272">
        <f ca="1">+AVERAGEIFS(TABELA_VAZAO[qnat],TABELA_VAZAO[Posto],$R276,TABELA_VAZAO[Data],AS$27)</f>
        <v>165</v>
      </c>
      <c r="AT276" s="272">
        <f ca="1">+AVERAGEIFS(TABELA_VAZAO[qnat],TABELA_VAZAO[Posto],$R276,TABELA_VAZAO[Data],AT$27)</f>
        <v>164</v>
      </c>
      <c r="AU276" s="121">
        <f ca="1">+AVERAGEIFS(TABELA_VAZAO[qnat],TABELA_VAZAO[Posto],$R276,TABELA_VAZAO[Data],AU$27)</f>
        <v>194</v>
      </c>
      <c r="AV276" s="272">
        <f ca="1">IFERROR(AVERAGEIFS(TABELA_VAZAO[qnat],TABELA_VAZAO[Posto],$R276,TABELA_VAZAO[Data],AV$27),AU276+$BB276*EXP(AV$26))</f>
        <v>211</v>
      </c>
      <c r="AW276" s="159">
        <f ca="1">IFERROR(AVERAGEIFS(TABELA_VAZAO[qnat],TABELA_VAZAO[Posto],$R276,TABELA_VAZAO[Data],AW$27),AV276+$BB276*EXP(AW$26))</f>
        <v>217</v>
      </c>
      <c r="AX276" s="325">
        <f ca="1">IFERROR(AVERAGEIFS(TABELA_VAZAO[qnat],TABELA_VAZAO[Posto],$R276,TABELA_VAZAO[Data],AX$27),AW276+$BB276*EXP(AX$26))</f>
        <v>228.57142857142858</v>
      </c>
      <c r="AY276" s="325">
        <f ca="1">IFERROR(AVERAGEIFS(TABELA_VAZAO[qnat],TABELA_VAZAO[Posto],$R276,TABELA_VAZAO[Data],AY$27),AX276+$BB276*EXP(AY$26))</f>
        <v>236.32798910412669</v>
      </c>
      <c r="AZ276" s="326">
        <f ca="1">IFERROR(AVERAGEIFS(TABELA_VAZAO[qnat],TABELA_VAZAO[Posto],$R276,TABELA_VAZAO[Data],AZ$27),AY276+$BB276*EXP(AZ$26))</f>
        <v>241.5273671174831</v>
      </c>
      <c r="BA276" s="326">
        <f ca="1">IFERROR(AVERAGEIFS(TABELA_VAZAO[qnat],TABELA_VAZAO[Posto],$R276,TABELA_VAZAO[Data],BA$27),AZ276+$BB276*EXP(BA$26))</f>
        <v>245.01261442675286</v>
      </c>
      <c r="BB276" s="121">
        <f t="shared" ca="1" si="92"/>
        <v>11.571428571428571</v>
      </c>
      <c r="BC276" s="272">
        <f t="shared" ca="1" si="103"/>
        <v>-1</v>
      </c>
      <c r="BD276" s="272">
        <f t="shared" ca="1" si="103"/>
        <v>30</v>
      </c>
      <c r="BE276" s="272">
        <f t="shared" ca="1" si="103"/>
        <v>17</v>
      </c>
      <c r="BF276" s="272">
        <f t="shared" ca="1" si="103"/>
        <v>6</v>
      </c>
      <c r="BG276"/>
    </row>
    <row r="277" spans="18:59" x14ac:dyDescent="0.2">
      <c r="R277">
        <v>250</v>
      </c>
      <c r="S277" s="40"/>
      <c r="T277" s="40"/>
      <c r="U277" s="131"/>
      <c r="V277" s="131"/>
      <c r="W277" s="131"/>
      <c r="X277" s="131"/>
      <c r="Y277" s="131"/>
      <c r="Z277" s="131"/>
      <c r="AA277" s="131"/>
      <c r="AB277" s="131"/>
      <c r="AN277" s="121"/>
      <c r="AO277" s="121" t="e">
        <f t="shared" si="113"/>
        <v>#DIV/0!</v>
      </c>
      <c r="AP277" s="121" t="b">
        <f t="shared" si="91"/>
        <v>0</v>
      </c>
      <c r="AU277" s="121"/>
      <c r="AV277" s="121"/>
      <c r="AW277" s="159"/>
      <c r="AX277" s="159"/>
      <c r="AY277" s="159"/>
      <c r="AZ277" s="157"/>
      <c r="BA277" s="157"/>
      <c r="BB277" s="121">
        <f t="shared" ca="1" si="92"/>
        <v>0</v>
      </c>
      <c r="BC277" s="272">
        <f t="shared" ca="1" si="103"/>
        <v>0</v>
      </c>
      <c r="BD277" s="272">
        <f t="shared" ca="1" si="103"/>
        <v>0</v>
      </c>
      <c r="BE277" s="272">
        <f t="shared" ca="1" si="103"/>
        <v>0</v>
      </c>
      <c r="BF277" s="272">
        <f t="shared" ca="1" si="103"/>
        <v>0</v>
      </c>
      <c r="BG277"/>
    </row>
    <row r="278" spans="18:59" x14ac:dyDescent="0.2">
      <c r="R278">
        <v>251</v>
      </c>
      <c r="S278" s="40">
        <f ca="1">AO278</f>
        <v>68</v>
      </c>
      <c r="T278" s="40" t="str">
        <f t="shared" ref="T278:AB278" ca="1" si="116">IFERROR(ROUND(INDEX(G$28:G$129,MATCH($R278,$A$28:$A$129,0)),0),"")</f>
        <v/>
      </c>
      <c r="U278" s="131" t="str">
        <f t="shared" ca="1" si="116"/>
        <v/>
      </c>
      <c r="V278" s="131" t="str">
        <f t="shared" ca="1" si="116"/>
        <v/>
      </c>
      <c r="W278" s="131" t="str">
        <f t="shared" ca="1" si="116"/>
        <v/>
      </c>
      <c r="X278" s="131" t="str">
        <f t="shared" ca="1" si="116"/>
        <v/>
      </c>
      <c r="Y278" s="131" t="str">
        <f t="shared" ca="1" si="116"/>
        <v/>
      </c>
      <c r="Z278" s="131" t="str">
        <f t="shared" ca="1" si="116"/>
        <v/>
      </c>
      <c r="AA278" s="131" t="str">
        <f t="shared" ca="1" si="116"/>
        <v/>
      </c>
      <c r="AB278" s="131" t="str">
        <f t="shared" ca="1" si="116"/>
        <v/>
      </c>
      <c r="AN278" s="121"/>
      <c r="AO278" s="121">
        <f t="shared" ca="1" si="113"/>
        <v>68</v>
      </c>
      <c r="AP278" s="121" t="b">
        <f t="shared" si="91"/>
        <v>1</v>
      </c>
      <c r="AQ278" s="272">
        <f ca="1">+AVERAGEIFS(TABELA_VAZAO[qnat],TABELA_VAZAO[Posto],$R278,TABELA_VAZAO[Data],AQ$27)</f>
        <v>73</v>
      </c>
      <c r="AR278" s="272">
        <f ca="1">+AVERAGEIFS(TABELA_VAZAO[qnat],TABELA_VAZAO[Posto],$R278,TABELA_VAZAO[Data],AR$27)</f>
        <v>72</v>
      </c>
      <c r="AS278" s="272">
        <f ca="1">+AVERAGEIFS(TABELA_VAZAO[qnat],TABELA_VAZAO[Posto],$R278,TABELA_VAZAO[Data],AS$27)</f>
        <v>76</v>
      </c>
      <c r="AT278" s="272">
        <f ca="1">+AVERAGEIFS(TABELA_VAZAO[qnat],TABELA_VAZAO[Posto],$R278,TABELA_VAZAO[Data],AT$27)</f>
        <v>87</v>
      </c>
      <c r="AU278" s="121">
        <f ca="1">+AVERAGEIFS(TABELA_VAZAO[qnat],TABELA_VAZAO[Posto],$R278,TABELA_VAZAO[Data],AU$27)</f>
        <v>123</v>
      </c>
      <c r="AV278" s="272">
        <f ca="1">IFERROR(AVERAGEIFS(TABELA_VAZAO[qnat],TABELA_VAZAO[Posto],$R278,TABELA_VAZAO[Data],AV$27),AU278+$BB278*EXP(AV$26))</f>
        <v>161</v>
      </c>
      <c r="AW278" s="159">
        <f ca="1">IFERROR(AVERAGEIFS(TABELA_VAZAO[qnat],TABELA_VAZAO[Posto],$R278,TABELA_VAZAO[Data],AW$27),AV278+$BB278*EXP(AW$26))</f>
        <v>189</v>
      </c>
      <c r="AX278" s="325">
        <f ca="1">IFERROR(AVERAGEIFS(TABELA_VAZAO[qnat],TABELA_VAZAO[Posto],$R278,TABELA_VAZAO[Data],AX$27),AW278+$BB278*EXP(AX$26))</f>
        <v>218.57142857142858</v>
      </c>
      <c r="AY278" s="325">
        <f ca="1">IFERROR(AVERAGEIFS(TABELA_VAZAO[qnat],TABELA_VAZAO[Posto],$R278,TABELA_VAZAO[Data],AY$27),AX278+$BB278*EXP(AY$26))</f>
        <v>238.3937499327682</v>
      </c>
      <c r="AZ278" s="326">
        <f ca="1">IFERROR(AVERAGEIFS(TABELA_VAZAO[qnat],TABELA_VAZAO[Posto],$R278,TABELA_VAZAO[Data],AZ$27),AY278+$BB278*EXP(AZ$26))</f>
        <v>251.6810493002346</v>
      </c>
      <c r="BA278" s="326">
        <f ca="1">IFERROR(AVERAGEIFS(TABELA_VAZAO[qnat],TABELA_VAZAO[Posto],$R278,TABELA_VAZAO[Data],BA$27),AZ278+$BB278*EXP(BA$26))</f>
        <v>260.58779242392399</v>
      </c>
      <c r="BB278" s="121">
        <f t="shared" ca="1" si="92"/>
        <v>29.571428571428573</v>
      </c>
      <c r="BC278" s="272">
        <f t="shared" ca="1" si="103"/>
        <v>11</v>
      </c>
      <c r="BD278" s="272">
        <f t="shared" ca="1" si="103"/>
        <v>36</v>
      </c>
      <c r="BE278" s="272">
        <f t="shared" ca="1" si="103"/>
        <v>38</v>
      </c>
      <c r="BF278" s="272">
        <f t="shared" ca="1" si="103"/>
        <v>28</v>
      </c>
      <c r="BG278"/>
    </row>
    <row r="279" spans="18:59" x14ac:dyDescent="0.2">
      <c r="R279">
        <v>252</v>
      </c>
      <c r="S279" s="40"/>
      <c r="T279" s="40"/>
      <c r="U279" s="131"/>
      <c r="V279" s="131"/>
      <c r="W279" s="131"/>
      <c r="X279" s="131"/>
      <c r="Y279" s="131"/>
      <c r="Z279" s="131"/>
      <c r="AA279" s="131"/>
      <c r="AB279" s="131"/>
      <c r="AN279" s="121"/>
      <c r="AO279" s="121" t="e">
        <f t="shared" si="113"/>
        <v>#DIV/0!</v>
      </c>
      <c r="AP279" s="121" t="b">
        <f t="shared" si="91"/>
        <v>0</v>
      </c>
      <c r="AU279" s="121"/>
      <c r="AV279" s="121"/>
      <c r="AW279" s="159"/>
      <c r="AX279" s="159"/>
      <c r="AY279" s="159"/>
      <c r="AZ279" s="157"/>
      <c r="BA279" s="157"/>
      <c r="BB279" s="121">
        <f t="shared" ca="1" si="92"/>
        <v>0</v>
      </c>
      <c r="BC279" s="272">
        <f t="shared" ca="1" si="103"/>
        <v>0</v>
      </c>
      <c r="BD279" s="272">
        <f t="shared" ca="1" si="103"/>
        <v>0</v>
      </c>
      <c r="BE279" s="272">
        <f t="shared" ca="1" si="103"/>
        <v>0</v>
      </c>
      <c r="BF279" s="272">
        <f t="shared" ca="1" si="103"/>
        <v>0</v>
      </c>
      <c r="BG279"/>
    </row>
    <row r="280" spans="18:59" x14ac:dyDescent="0.2">
      <c r="R280">
        <v>253</v>
      </c>
      <c r="S280" s="40">
        <f ca="1">AO280</f>
        <v>520</v>
      </c>
      <c r="T280" s="131" t="str">
        <f t="shared" ref="T280:AA282" ca="1" si="117">IF(AND($K$4,ISNUMBER(H$143)),ROUND(G$143*S280,0),"")</f>
        <v/>
      </c>
      <c r="U280" s="131" t="str">
        <f t="shared" ca="1" si="117"/>
        <v/>
      </c>
      <c r="V280" s="131" t="str">
        <f t="shared" ca="1" si="117"/>
        <v/>
      </c>
      <c r="W280" s="131" t="str">
        <f t="shared" ca="1" si="117"/>
        <v/>
      </c>
      <c r="X280" s="131" t="str">
        <f t="shared" ca="1" si="117"/>
        <v/>
      </c>
      <c r="Y280" s="131" t="str">
        <f t="shared" ca="1" si="117"/>
        <v/>
      </c>
      <c r="Z280" s="131" t="str">
        <f t="shared" ca="1" si="117"/>
        <v/>
      </c>
      <c r="AA280" s="131" t="str">
        <f t="shared" si="117"/>
        <v/>
      </c>
      <c r="AB280" s="131"/>
      <c r="AN280" s="121"/>
      <c r="AO280" s="121">
        <f t="shared" ca="1" si="113"/>
        <v>520</v>
      </c>
      <c r="AP280" s="121" t="b">
        <f t="shared" si="91"/>
        <v>0</v>
      </c>
      <c r="AQ280" s="272">
        <f ca="1">+AVERAGEIFS(TABELA_VAZAO[qnat],TABELA_VAZAO[Posto],$R280,TABELA_VAZAO[Data],AQ$27)</f>
        <v>267</v>
      </c>
      <c r="AR280" s="272">
        <f ca="1">+AVERAGEIFS(TABELA_VAZAO[qnat],TABELA_VAZAO[Posto],$R280,TABELA_VAZAO[Data],AR$27)</f>
        <v>287</v>
      </c>
      <c r="AS280" s="272">
        <f ca="1">+AVERAGEIFS(TABELA_VAZAO[qnat],TABELA_VAZAO[Posto],$R280,TABELA_VAZAO[Data],AS$27)</f>
        <v>309</v>
      </c>
      <c r="AT280" s="272">
        <f ca="1">+AVERAGEIFS(TABELA_VAZAO[qnat],TABELA_VAZAO[Posto],$R280,TABELA_VAZAO[Data],AT$27)</f>
        <v>328</v>
      </c>
      <c r="AU280" s="121">
        <f ca="1">+AVERAGEIFS(TABELA_VAZAO[qnat],TABELA_VAZAO[Posto],$R280,TABELA_VAZAO[Data],AU$27)</f>
        <v>367</v>
      </c>
      <c r="AV280" s="272">
        <f ca="1">IFERROR(AVERAGEIFS(TABELA_VAZAO[qnat],TABELA_VAZAO[Posto],$R280,TABELA_VAZAO[Data],AV$27),AU280+$BB280*EXP(AV$26))</f>
        <v>420</v>
      </c>
      <c r="AW280" s="159">
        <f ca="1">IFERROR(AVERAGEIFS(TABELA_VAZAO[qnat],TABELA_VAZAO[Posto],$R280,TABELA_VAZAO[Data],AW$27),AV280+$BB280*EXP(AW$26))</f>
        <v>492</v>
      </c>
      <c r="AX280" s="325">
        <f ca="1">IFERROR(AVERAGEIFS(TABELA_VAZAO[qnat],TABELA_VAZAO[Posto],$R280,TABELA_VAZAO[Data],AX$27),AW280+$BB280*EXP(AX$26))</f>
        <v>546.28571428571433</v>
      </c>
      <c r="AY280" s="325">
        <f ca="1">IFERROR(AVERAGEIFS(TABELA_VAZAO[qnat],TABELA_VAZAO[Posto],$R280,TABELA_VAZAO[Data],AY$27),AX280+$BB280*EXP(AY$26))</f>
        <v>582.67451678479188</v>
      </c>
      <c r="AZ280" s="326">
        <f ca="1">IFERROR(AVERAGEIFS(TABELA_VAZAO[qnat],TABELA_VAZAO[Posto],$R280,TABELA_VAZAO[Data],AZ$27),AY280+$BB280*EXP(AZ$26))</f>
        <v>607.06666055115534</v>
      </c>
      <c r="BA280" s="326">
        <f ca="1">IFERROR(AVERAGEIFS(TABELA_VAZAO[qnat],TABELA_VAZAO[Posto],$R280,TABELA_VAZAO[Data],BA$27),AZ280+$BB280*EXP(BA$26))</f>
        <v>623.41720348353203</v>
      </c>
      <c r="BB280" s="121">
        <f t="shared" ca="1" si="92"/>
        <v>54.285714285714285</v>
      </c>
      <c r="BC280" s="272">
        <f t="shared" ca="1" si="103"/>
        <v>19</v>
      </c>
      <c r="BD280" s="272">
        <f t="shared" ca="1" si="103"/>
        <v>39</v>
      </c>
      <c r="BE280" s="272">
        <f t="shared" ca="1" si="103"/>
        <v>53</v>
      </c>
      <c r="BF280" s="272">
        <f t="shared" ca="1" si="103"/>
        <v>72</v>
      </c>
      <c r="BG280"/>
    </row>
    <row r="281" spans="18:59" x14ac:dyDescent="0.2">
      <c r="R281">
        <v>254</v>
      </c>
      <c r="S281" s="40">
        <f ca="1">AO281</f>
        <v>12</v>
      </c>
      <c r="T281" s="131" t="str">
        <f t="shared" ca="1" si="117"/>
        <v/>
      </c>
      <c r="U281" s="131" t="str">
        <f t="shared" ca="1" si="117"/>
        <v/>
      </c>
      <c r="V281" s="131" t="str">
        <f t="shared" ca="1" si="117"/>
        <v/>
      </c>
      <c r="W281" s="131" t="str">
        <f t="shared" ca="1" si="117"/>
        <v/>
      </c>
      <c r="X281" s="131" t="str">
        <f t="shared" ca="1" si="117"/>
        <v/>
      </c>
      <c r="Y281" s="131" t="str">
        <f t="shared" ca="1" si="117"/>
        <v/>
      </c>
      <c r="Z281" s="131" t="str">
        <f t="shared" ca="1" si="117"/>
        <v/>
      </c>
      <c r="AA281" s="131" t="str">
        <f t="shared" si="117"/>
        <v/>
      </c>
      <c r="AB281" s="131"/>
      <c r="AN281" s="121"/>
      <c r="AO281" s="121">
        <f t="shared" ca="1" si="113"/>
        <v>12</v>
      </c>
      <c r="AP281" s="121" t="b">
        <f t="shared" si="91"/>
        <v>0</v>
      </c>
      <c r="AQ281" s="272">
        <f ca="1">+AVERAGEIFS(TABELA_VAZAO[qnat],TABELA_VAZAO[Posto],$R281,TABELA_VAZAO[Data],AQ$27)</f>
        <v>1</v>
      </c>
      <c r="AR281" s="272">
        <f ca="1">+AVERAGEIFS(TABELA_VAZAO[qnat],TABELA_VAZAO[Posto],$R281,TABELA_VAZAO[Data],AR$27)</f>
        <v>1</v>
      </c>
      <c r="AS281" s="272">
        <f ca="1">+AVERAGEIFS(TABELA_VAZAO[qnat],TABELA_VAZAO[Posto],$R281,TABELA_VAZAO[Data],AS$27)</f>
        <v>1</v>
      </c>
      <c r="AT281" s="272">
        <f ca="1">+AVERAGEIFS(TABELA_VAZAO[qnat],TABELA_VAZAO[Posto],$R281,TABELA_VAZAO[Data],AT$27)</f>
        <v>4</v>
      </c>
      <c r="AU281" s="121">
        <f ca="1">+AVERAGEIFS(TABELA_VAZAO[qnat],TABELA_VAZAO[Posto],$R281,TABELA_VAZAO[Data],AU$27)</f>
        <v>7</v>
      </c>
      <c r="AV281" s="272">
        <f ca="1">IFERROR(AVERAGEIFS(TABELA_VAZAO[qnat],TABELA_VAZAO[Posto],$R281,TABELA_VAZAO[Data],AV$27),AU281+$BB281*EXP(AV$26))</f>
        <v>9</v>
      </c>
      <c r="AW281" s="159">
        <f ca="1">IFERROR(AVERAGEIFS(TABELA_VAZAO[qnat],TABELA_VAZAO[Posto],$R281,TABELA_VAZAO[Data],AW$27),AV281+$BB281*EXP(AW$26))</f>
        <v>11</v>
      </c>
      <c r="AX281" s="325">
        <f ca="1">IFERROR(AVERAGEIFS(TABELA_VAZAO[qnat],TABELA_VAZAO[Posto],$R281,TABELA_VAZAO[Data],AX$27),AW281+$BB281*EXP(AX$26))</f>
        <v>13.285714285714285</v>
      </c>
      <c r="AY281" s="325">
        <f ca="1">IFERROR(AVERAGEIFS(TABELA_VAZAO[qnat],TABELA_VAZAO[Posto],$R281,TABELA_VAZAO[Data],AY$27),AX281+$BB281*EXP(AY$26))</f>
        <v>14.817874390938602</v>
      </c>
      <c r="AZ281" s="326">
        <f ca="1">IFERROR(AVERAGEIFS(TABELA_VAZAO[qnat],TABELA_VAZAO[Posto],$R281,TABELA_VAZAO[Data],AZ$27),AY281+$BB281*EXP(AZ$26))</f>
        <v>15.844912023206536</v>
      </c>
      <c r="BA281" s="326">
        <f ca="1">IFERROR(AVERAGEIFS(TABELA_VAZAO[qnat],TABELA_VAZAO[Posto],$R281,TABELA_VAZAO[Data],BA$27),AZ281+$BB281*EXP(BA$26))</f>
        <v>16.533355936148713</v>
      </c>
      <c r="BB281" s="121">
        <f t="shared" ca="1" si="92"/>
        <v>2.2857142857142856</v>
      </c>
      <c r="BC281" s="272">
        <f t="shared" ca="1" si="103"/>
        <v>3</v>
      </c>
      <c r="BD281" s="272">
        <f t="shared" ca="1" si="103"/>
        <v>3</v>
      </c>
      <c r="BE281" s="272">
        <f t="shared" ca="1" si="103"/>
        <v>2</v>
      </c>
      <c r="BF281" s="272">
        <f t="shared" ca="1" si="103"/>
        <v>2</v>
      </c>
      <c r="BG281"/>
    </row>
    <row r="282" spans="18:59" x14ac:dyDescent="0.2">
      <c r="R282">
        <v>255</v>
      </c>
      <c r="S282" s="40">
        <f ca="1">AO282</f>
        <v>466</v>
      </c>
      <c r="T282" s="131" t="str">
        <f t="shared" ca="1" si="117"/>
        <v/>
      </c>
      <c r="U282" s="131" t="str">
        <f t="shared" ca="1" si="117"/>
        <v/>
      </c>
      <c r="V282" s="131" t="str">
        <f t="shared" ca="1" si="117"/>
        <v/>
      </c>
      <c r="W282" s="131" t="str">
        <f t="shared" ca="1" si="117"/>
        <v/>
      </c>
      <c r="X282" s="131" t="str">
        <f t="shared" ca="1" si="117"/>
        <v/>
      </c>
      <c r="Y282" s="131" t="str">
        <f t="shared" ca="1" si="117"/>
        <v/>
      </c>
      <c r="Z282" s="131" t="str">
        <f t="shared" ca="1" si="117"/>
        <v/>
      </c>
      <c r="AA282" s="131" t="str">
        <f t="shared" si="117"/>
        <v/>
      </c>
      <c r="AB282" s="131"/>
      <c r="AN282" s="121"/>
      <c r="AO282" s="121">
        <f t="shared" ca="1" si="113"/>
        <v>466</v>
      </c>
      <c r="AP282" s="121" t="b">
        <f t="shared" si="91"/>
        <v>0</v>
      </c>
      <c r="AQ282" s="272">
        <f ca="1">+AVERAGEIFS(TABELA_VAZAO[qnat],TABELA_VAZAO[Posto],$R282,TABELA_VAZAO[Data],AQ$27)</f>
        <v>29</v>
      </c>
      <c r="AR282" s="272">
        <f ca="1">+AVERAGEIFS(TABELA_VAZAO[qnat],TABELA_VAZAO[Posto],$R282,TABELA_VAZAO[Data],AR$27)</f>
        <v>33</v>
      </c>
      <c r="AS282" s="272">
        <f ca="1">+AVERAGEIFS(TABELA_VAZAO[qnat],TABELA_VAZAO[Posto],$R282,TABELA_VAZAO[Data],AS$27)</f>
        <v>42</v>
      </c>
      <c r="AT282" s="272">
        <f ca="1">+AVERAGEIFS(TABELA_VAZAO[qnat],TABELA_VAZAO[Posto],$R282,TABELA_VAZAO[Data],AT$27)</f>
        <v>50</v>
      </c>
      <c r="AU282" s="121">
        <f ca="1">+AVERAGEIFS(TABELA_VAZAO[qnat],TABELA_VAZAO[Posto],$R282,TABELA_VAZAO[Data],AU$27)</f>
        <v>72</v>
      </c>
      <c r="AV282" s="272">
        <f ca="1">IFERROR(AVERAGEIFS(TABELA_VAZAO[qnat],TABELA_VAZAO[Posto],$R282,TABELA_VAZAO[Data],AV$27),AU282+$BB282*EXP(AV$26))</f>
        <v>278</v>
      </c>
      <c r="AW282" s="159">
        <f ca="1">IFERROR(AVERAGEIFS(TABELA_VAZAO[qnat],TABELA_VAZAO[Posto],$R282,TABELA_VAZAO[Data],AW$27),AV282+$BB282*EXP(AW$26))</f>
        <v>410</v>
      </c>
      <c r="AX282" s="325">
        <f ca="1">IFERROR(AVERAGEIFS(TABELA_VAZAO[qnat],TABELA_VAZAO[Posto],$R282,TABELA_VAZAO[Data],AX$27),AW282+$BB282*EXP(AX$26))</f>
        <v>529.71428571428567</v>
      </c>
      <c r="AY282" s="325">
        <f ca="1">IFERROR(AVERAGEIFS(TABELA_VAZAO[qnat],TABELA_VAZAO[Posto],$R282,TABELA_VAZAO[Data],AY$27),AX282+$BB282*EXP(AY$26))</f>
        <v>609.96117122540932</v>
      </c>
      <c r="AZ282" s="326">
        <f ca="1">IFERROR(AVERAGEIFS(TABELA_VAZAO[qnat],TABELA_VAZAO[Posto],$R282,TABELA_VAZAO[Data],AZ$27),AY282+$BB282*EXP(AZ$26))</f>
        <v>663.75226721544243</v>
      </c>
      <c r="BA282" s="326">
        <f ca="1">IFERROR(AVERAGEIFS(TABELA_VAZAO[qnat],TABELA_VAZAO[Posto],$R282,TABELA_VAZAO[Data],BA$27),AZ282+$BB282*EXP(BA$26))</f>
        <v>699.80951715578885</v>
      </c>
      <c r="BB282" s="121">
        <f t="shared" ca="1" si="92"/>
        <v>119.71428571428571</v>
      </c>
      <c r="BC282" s="272">
        <f t="shared" ca="1" si="103"/>
        <v>8</v>
      </c>
      <c r="BD282" s="272">
        <f t="shared" ca="1" si="103"/>
        <v>22</v>
      </c>
      <c r="BE282" s="272">
        <f t="shared" ca="1" si="103"/>
        <v>206</v>
      </c>
      <c r="BF282" s="272">
        <f t="shared" ca="1" si="103"/>
        <v>132</v>
      </c>
      <c r="BG282"/>
    </row>
    <row r="283" spans="18:59" x14ac:dyDescent="0.2">
      <c r="R283">
        <v>256</v>
      </c>
      <c r="S283" s="40"/>
      <c r="T283" s="40"/>
      <c r="U283" s="131"/>
      <c r="V283" s="131"/>
      <c r="W283" s="131"/>
      <c r="X283" s="131"/>
      <c r="Y283" s="131"/>
      <c r="Z283" s="131"/>
      <c r="AA283" s="131"/>
      <c r="AB283" s="131"/>
      <c r="AN283" s="121"/>
      <c r="AO283" s="121" t="e">
        <f t="shared" si="113"/>
        <v>#DIV/0!</v>
      </c>
      <c r="AP283" s="121" t="b">
        <f t="shared" si="91"/>
        <v>0</v>
      </c>
      <c r="AU283" s="121"/>
      <c r="AV283" s="121"/>
      <c r="AW283" s="159"/>
      <c r="AX283" s="159"/>
      <c r="AY283" s="159"/>
      <c r="AZ283" s="157"/>
      <c r="BA283" s="157"/>
      <c r="BB283" s="121">
        <f t="shared" ca="1" si="92"/>
        <v>0</v>
      </c>
      <c r="BC283" s="272">
        <f t="shared" ca="1" si="103"/>
        <v>0</v>
      </c>
      <c r="BD283" s="272">
        <f t="shared" ca="1" si="103"/>
        <v>0</v>
      </c>
      <c r="BE283" s="272">
        <f t="shared" ca="1" si="103"/>
        <v>0</v>
      </c>
      <c r="BF283" s="272">
        <f t="shared" ca="1" si="103"/>
        <v>0</v>
      </c>
      <c r="BG283"/>
    </row>
    <row r="284" spans="18:59" x14ac:dyDescent="0.2">
      <c r="R284">
        <v>257</v>
      </c>
      <c r="S284" s="40">
        <f ca="1">AO284</f>
        <v>841</v>
      </c>
      <c r="T284" s="131" t="str">
        <f t="shared" ref="T284:AA284" ca="1" si="118">IF(AND($K$4,ISNUMBER(H$143)),ROUND(G$143*S284,0),"")</f>
        <v/>
      </c>
      <c r="U284" s="131" t="str">
        <f t="shared" ca="1" si="118"/>
        <v/>
      </c>
      <c r="V284" s="131" t="str">
        <f t="shared" ca="1" si="118"/>
        <v/>
      </c>
      <c r="W284" s="131" t="str">
        <f t="shared" ca="1" si="118"/>
        <v/>
      </c>
      <c r="X284" s="131" t="str">
        <f t="shared" ca="1" si="118"/>
        <v/>
      </c>
      <c r="Y284" s="131" t="str">
        <f t="shared" ca="1" si="118"/>
        <v/>
      </c>
      <c r="Z284" s="131" t="str">
        <f t="shared" ca="1" si="118"/>
        <v/>
      </c>
      <c r="AA284" s="131" t="str">
        <f t="shared" si="118"/>
        <v/>
      </c>
      <c r="AB284" s="131"/>
      <c r="AN284" s="121"/>
      <c r="AO284" s="121">
        <f t="shared" ca="1" si="113"/>
        <v>841</v>
      </c>
      <c r="AP284" s="121" t="b">
        <f t="shared" ref="AP284:AP347" si="119">NOT(ISNA(MATCH(R284,$A$28:$A$129,0)))</f>
        <v>0</v>
      </c>
      <c r="AQ284" s="272">
        <f ca="1">+AVERAGEIFS(TABELA_VAZAO[qnat],TABELA_VAZAO[Posto],$R284,TABELA_VAZAO[Data],AQ$27)</f>
        <v>485</v>
      </c>
      <c r="AR284" s="272">
        <f ca="1">+AVERAGEIFS(TABELA_VAZAO[qnat],TABELA_VAZAO[Posto],$R284,TABELA_VAZAO[Data],AR$27)</f>
        <v>522</v>
      </c>
      <c r="AS284" s="272">
        <f ca="1">+AVERAGEIFS(TABELA_VAZAO[qnat],TABELA_VAZAO[Posto],$R284,TABELA_VAZAO[Data],AS$27)</f>
        <v>571</v>
      </c>
      <c r="AT284" s="272">
        <f ca="1">+AVERAGEIFS(TABELA_VAZAO[qnat],TABELA_VAZAO[Posto],$R284,TABELA_VAZAO[Data],AT$27)</f>
        <v>624</v>
      </c>
      <c r="AU284" s="121">
        <f ca="1">+AVERAGEIFS(TABELA_VAZAO[qnat],TABELA_VAZAO[Posto],$R284,TABELA_VAZAO[Data],AU$27)</f>
        <v>675</v>
      </c>
      <c r="AV284" s="272">
        <f ca="1">IFERROR(AVERAGEIFS(TABELA_VAZAO[qnat],TABELA_VAZAO[Posto],$R284,TABELA_VAZAO[Data],AV$27),AU284+$BB284*EXP(AV$26))</f>
        <v>735</v>
      </c>
      <c r="AW284" s="159">
        <f ca="1">IFERROR(AVERAGEIFS(TABELA_VAZAO[qnat],TABELA_VAZAO[Posto],$R284,TABELA_VAZAO[Data],AW$27),AV284+$BB284*EXP(AW$26))</f>
        <v>806</v>
      </c>
      <c r="AX284" s="325">
        <f ca="1">IFERROR(AVERAGEIFS(TABELA_VAZAO[qnat],TABELA_VAZAO[Posto],$R284,TABELA_VAZAO[Data],AX$27),AW284+$BB284*EXP(AX$26))</f>
        <v>868.42857142857144</v>
      </c>
      <c r="AY284" s="325">
        <f ca="1">IFERROR(AVERAGEIFS(TABELA_VAZAO[qnat],TABELA_VAZAO[Posto],$R284,TABELA_VAZAO[Data],AY$27),AX284+$BB284*EXP(AY$26))</f>
        <v>910.2756943025106</v>
      </c>
      <c r="AZ284" s="326">
        <f ca="1">IFERROR(AVERAGEIFS(TABELA_VAZAO[qnat],TABELA_VAZAO[Posto],$R284,TABELA_VAZAO[Data],AZ$27),AY284+$BB284*EXP(AZ$26))</f>
        <v>938.32665963382863</v>
      </c>
      <c r="BA284" s="326">
        <f ca="1">IFERROR(AVERAGEIFS(TABELA_VAZAO[qnat],TABELA_VAZAO[Posto],$R284,TABELA_VAZAO[Data],BA$27),AZ284+$BB284*EXP(BA$26))</f>
        <v>957.12978400606175</v>
      </c>
      <c r="BB284" s="121">
        <f t="shared" ref="BB284:BB347" ca="1" si="120">SUMPRODUCT(BC284:BF284,BC$27:BF$27)/$BB$27</f>
        <v>62.428571428571431</v>
      </c>
      <c r="BC284" s="272">
        <f t="shared" ca="1" si="103"/>
        <v>53</v>
      </c>
      <c r="BD284" s="272">
        <f t="shared" ca="1" si="103"/>
        <v>51</v>
      </c>
      <c r="BE284" s="272">
        <f t="shared" ca="1" si="103"/>
        <v>60</v>
      </c>
      <c r="BF284" s="272">
        <f t="shared" ca="1" si="103"/>
        <v>71</v>
      </c>
      <c r="BG284"/>
    </row>
    <row r="285" spans="18:59" x14ac:dyDescent="0.2">
      <c r="R285">
        <v>258</v>
      </c>
      <c r="S285" s="40"/>
      <c r="T285" s="40"/>
      <c r="U285" s="131"/>
      <c r="V285" s="131"/>
      <c r="W285" s="131"/>
      <c r="X285" s="131"/>
      <c r="Y285" s="131"/>
      <c r="Z285" s="131"/>
      <c r="AA285" s="131"/>
      <c r="AB285" s="131"/>
      <c r="AN285" s="121"/>
      <c r="AO285" s="121" t="e">
        <f t="shared" si="113"/>
        <v>#DIV/0!</v>
      </c>
      <c r="AP285" s="121" t="b">
        <f t="shared" si="119"/>
        <v>0</v>
      </c>
      <c r="AU285" s="121"/>
      <c r="AV285" s="121"/>
      <c r="AW285" s="159"/>
      <c r="AX285" s="159"/>
      <c r="AY285" s="159"/>
      <c r="AZ285" s="157"/>
      <c r="BA285" s="157"/>
      <c r="BB285" s="121">
        <f t="shared" ca="1" si="120"/>
        <v>0</v>
      </c>
      <c r="BC285" s="272">
        <f t="shared" ref="BC285:BF316" ca="1" si="121">INDEX($AQ285:$BA285,1,BC$26)-INDEX($AQ285:$BA285,1,BC$26-1)</f>
        <v>0</v>
      </c>
      <c r="BD285" s="272">
        <f t="shared" ca="1" si="121"/>
        <v>0</v>
      </c>
      <c r="BE285" s="272">
        <f t="shared" ca="1" si="121"/>
        <v>0</v>
      </c>
      <c r="BF285" s="272">
        <f t="shared" ca="1" si="121"/>
        <v>0</v>
      </c>
      <c r="BG285"/>
    </row>
    <row r="286" spans="18:59" x14ac:dyDescent="0.2">
      <c r="R286">
        <v>259</v>
      </c>
      <c r="S286" s="40">
        <f ca="1">AO286</f>
        <v>52</v>
      </c>
      <c r="T286" s="131" t="str">
        <f t="shared" ref="T286:AA286" ca="1" si="122">IF(AND($K$4,ISNUMBER(H$143)),ROUND(G$143*S286,0),"")</f>
        <v/>
      </c>
      <c r="U286" s="131" t="str">
        <f t="shared" ca="1" si="122"/>
        <v/>
      </c>
      <c r="V286" s="131" t="str">
        <f t="shared" ca="1" si="122"/>
        <v/>
      </c>
      <c r="W286" s="131" t="str">
        <f t="shared" ca="1" si="122"/>
        <v/>
      </c>
      <c r="X286" s="131" t="str">
        <f t="shared" ca="1" si="122"/>
        <v/>
      </c>
      <c r="Y286" s="131" t="str">
        <f t="shared" ca="1" si="122"/>
        <v/>
      </c>
      <c r="Z286" s="131" t="str">
        <f t="shared" ca="1" si="122"/>
        <v/>
      </c>
      <c r="AA286" s="131" t="str">
        <f t="shared" si="122"/>
        <v/>
      </c>
      <c r="AB286" s="131"/>
      <c r="AN286" s="121"/>
      <c r="AO286" s="121">
        <f t="shared" ca="1" si="113"/>
        <v>52</v>
      </c>
      <c r="AP286" s="121" t="b">
        <f t="shared" si="119"/>
        <v>0</v>
      </c>
      <c r="AQ286" s="272">
        <f ca="1">+AVERAGEIFS(TABELA_VAZAO[qnat],TABELA_VAZAO[Posto],$R286,TABELA_VAZAO[Data],AQ$27)</f>
        <v>64</v>
      </c>
      <c r="AR286" s="272">
        <f ca="1">+AVERAGEIFS(TABELA_VAZAO[qnat],TABELA_VAZAO[Posto],$R286,TABELA_VAZAO[Data],AR$27)</f>
        <v>60</v>
      </c>
      <c r="AS286" s="272">
        <f ca="1">+AVERAGEIFS(TABELA_VAZAO[qnat],TABELA_VAZAO[Posto],$R286,TABELA_VAZAO[Data],AS$27)</f>
        <v>64</v>
      </c>
      <c r="AT286" s="272">
        <f ca="1">+AVERAGEIFS(TABELA_VAZAO[qnat],TABELA_VAZAO[Posto],$R286,TABELA_VAZAO[Data],AT$27)</f>
        <v>68</v>
      </c>
      <c r="AU286" s="121">
        <f ca="1">+AVERAGEIFS(TABELA_VAZAO[qnat],TABELA_VAZAO[Posto],$R286,TABELA_VAZAO[Data],AU$27)</f>
        <v>61</v>
      </c>
      <c r="AV286" s="272">
        <f ca="1">IFERROR(AVERAGEIFS(TABELA_VAZAO[qnat],TABELA_VAZAO[Posto],$R286,TABELA_VAZAO[Data],AV$27),AU286+$BB286*EXP(AV$26))</f>
        <v>57</v>
      </c>
      <c r="AW286" s="159">
        <f ca="1">IFERROR(AVERAGEIFS(TABELA_VAZAO[qnat],TABELA_VAZAO[Posto],$R286,TABELA_VAZAO[Data],AW$27),AV286+$BB286*EXP(AW$26))</f>
        <v>54</v>
      </c>
      <c r="AX286" s="325">
        <f ca="1">IFERROR(AVERAGEIFS(TABELA_VAZAO[qnat],TABELA_VAZAO[Posto],$R286,TABELA_VAZAO[Data],AX$27),AW286+$BB286*EXP(AX$26))</f>
        <v>51.142857142857146</v>
      </c>
      <c r="AY286" s="325">
        <f ca="1">IFERROR(AVERAGEIFS(TABELA_VAZAO[qnat],TABELA_VAZAO[Posto],$R286,TABELA_VAZAO[Data],AY$27),AX286+$BB286*EXP(AY$26))</f>
        <v>49.227657011326748</v>
      </c>
      <c r="AZ286" s="326">
        <f ca="1">IFERROR(AVERAGEIFS(TABELA_VAZAO[qnat],TABELA_VAZAO[Posto],$R286,TABELA_VAZAO[Data],AZ$27),AY286+$BB286*EXP(AZ$26))</f>
        <v>47.943859970991831</v>
      </c>
      <c r="BA286" s="326">
        <f ca="1">IFERROR(AVERAGEIFS(TABELA_VAZAO[qnat],TABELA_VAZAO[Posto],$R286,TABELA_VAZAO[Data],BA$27),AZ286+$BB286*EXP(BA$26))</f>
        <v>47.08330507981411</v>
      </c>
      <c r="BB286" s="121">
        <f t="shared" ca="1" si="120"/>
        <v>-2.8571428571428572</v>
      </c>
      <c r="BC286" s="272">
        <f t="shared" ca="1" si="121"/>
        <v>4</v>
      </c>
      <c r="BD286" s="272">
        <f t="shared" ca="1" si="121"/>
        <v>-7</v>
      </c>
      <c r="BE286" s="272">
        <f t="shared" ca="1" si="121"/>
        <v>-4</v>
      </c>
      <c r="BF286" s="272">
        <f t="shared" ca="1" si="121"/>
        <v>-3</v>
      </c>
      <c r="BG286"/>
    </row>
    <row r="287" spans="18:59" x14ac:dyDescent="0.2">
      <c r="R287">
        <v>260</v>
      </c>
      <c r="S287" s="40"/>
      <c r="T287" s="40"/>
      <c r="U287" s="131"/>
      <c r="V287" s="131"/>
      <c r="W287" s="131"/>
      <c r="X287" s="131"/>
      <c r="Y287" s="131"/>
      <c r="Z287" s="131"/>
      <c r="AA287" s="131"/>
      <c r="AB287" s="131"/>
      <c r="AN287" s="121"/>
      <c r="AO287" s="121" t="e">
        <f t="shared" si="113"/>
        <v>#DIV/0!</v>
      </c>
      <c r="AP287" s="121" t="b">
        <f t="shared" si="119"/>
        <v>0</v>
      </c>
      <c r="AU287" s="121"/>
      <c r="AV287" s="121"/>
      <c r="AW287" s="159"/>
      <c r="AX287" s="159"/>
      <c r="AY287" s="159"/>
      <c r="AZ287" s="157"/>
      <c r="BA287" s="157"/>
      <c r="BB287" s="121">
        <f t="shared" ca="1" si="120"/>
        <v>0</v>
      </c>
      <c r="BC287" s="272">
        <f t="shared" ca="1" si="121"/>
        <v>0</v>
      </c>
      <c r="BD287" s="272">
        <f t="shared" ca="1" si="121"/>
        <v>0</v>
      </c>
      <c r="BE287" s="272">
        <f t="shared" ca="1" si="121"/>
        <v>0</v>
      </c>
      <c r="BF287" s="272">
        <f t="shared" ca="1" si="121"/>
        <v>0</v>
      </c>
      <c r="BG287"/>
    </row>
    <row r="288" spans="18:59" x14ac:dyDescent="0.2">
      <c r="R288">
        <v>261</v>
      </c>
      <c r="S288" s="40">
        <f ca="1">AO288</f>
        <v>173</v>
      </c>
      <c r="T288" s="131" t="str">
        <f t="shared" ref="T288:AA290" ca="1" si="123">IF(AND($K$4,ISNUMBER(H$143)),ROUND(G$143*S288,0),"")</f>
        <v/>
      </c>
      <c r="U288" s="131" t="str">
        <f t="shared" ca="1" si="123"/>
        <v/>
      </c>
      <c r="V288" s="131" t="str">
        <f t="shared" ca="1" si="123"/>
        <v/>
      </c>
      <c r="W288" s="131" t="str">
        <f t="shared" ca="1" si="123"/>
        <v/>
      </c>
      <c r="X288" s="131" t="str">
        <f t="shared" ca="1" si="123"/>
        <v/>
      </c>
      <c r="Y288" s="131" t="str">
        <f t="shared" ca="1" si="123"/>
        <v/>
      </c>
      <c r="Z288" s="131" t="str">
        <f t="shared" ca="1" si="123"/>
        <v/>
      </c>
      <c r="AA288" s="131" t="str">
        <f t="shared" si="123"/>
        <v/>
      </c>
      <c r="AB288" s="131"/>
      <c r="AN288" s="121"/>
      <c r="AO288" s="121">
        <f t="shared" ca="1" si="113"/>
        <v>173</v>
      </c>
      <c r="AP288" s="121" t="b">
        <f t="shared" si="119"/>
        <v>0</v>
      </c>
      <c r="AQ288" s="272">
        <f ca="1">+AVERAGEIFS(TABELA_VAZAO[qnat],TABELA_VAZAO[Posto],$R288,TABELA_VAZAO[Data],AQ$27)</f>
        <v>177</v>
      </c>
      <c r="AR288" s="272">
        <f ca="1">+AVERAGEIFS(TABELA_VAZAO[qnat],TABELA_VAZAO[Posto],$R288,TABELA_VAZAO[Data],AR$27)</f>
        <v>172</v>
      </c>
      <c r="AS288" s="272">
        <f ca="1">+AVERAGEIFS(TABELA_VAZAO[qnat],TABELA_VAZAO[Posto],$R288,TABELA_VAZAO[Data],AS$27)</f>
        <v>168</v>
      </c>
      <c r="AT288" s="272">
        <f ca="1">+AVERAGEIFS(TABELA_VAZAO[qnat],TABELA_VAZAO[Posto],$R288,TABELA_VAZAO[Data],AT$27)</f>
        <v>164</v>
      </c>
      <c r="AU288" s="121">
        <f ca="1">+AVERAGEIFS(TABELA_VAZAO[qnat],TABELA_VAZAO[Posto],$R288,TABELA_VAZAO[Data],AU$27)</f>
        <v>164</v>
      </c>
      <c r="AV288" s="272">
        <f ca="1">IFERROR(AVERAGEIFS(TABELA_VAZAO[qnat],TABELA_VAZAO[Posto],$R288,TABELA_VAZAO[Data],AV$27),AU288+$BB288*EXP(AV$26))</f>
        <v>168</v>
      </c>
      <c r="AW288" s="159">
        <f ca="1">IFERROR(AVERAGEIFS(TABELA_VAZAO[qnat],TABELA_VAZAO[Posto],$R288,TABELA_VAZAO[Data],AW$27),AV288+$BB288*EXP(AW$26))</f>
        <v>172</v>
      </c>
      <c r="AX288" s="325">
        <f ca="1">IFERROR(AVERAGEIFS(TABELA_VAZAO[qnat],TABELA_VAZAO[Posto],$R288,TABELA_VAZAO[Data],AX$27),AW288+$BB288*EXP(AX$26))</f>
        <v>174.28571428571428</v>
      </c>
      <c r="AY288" s="325">
        <f ca="1">IFERROR(AVERAGEIFS(TABELA_VAZAO[qnat],TABELA_VAZAO[Posto],$R288,TABELA_VAZAO[Data],AY$27),AX288+$BB288*EXP(AY$26))</f>
        <v>175.81787439093858</v>
      </c>
      <c r="AZ288" s="326">
        <f ca="1">IFERROR(AVERAGEIFS(TABELA_VAZAO[qnat],TABELA_VAZAO[Posto],$R288,TABELA_VAZAO[Data],AZ$27),AY288+$BB288*EXP(AZ$26))</f>
        <v>176.84491202320652</v>
      </c>
      <c r="BA288" s="326">
        <f ca="1">IFERROR(AVERAGEIFS(TABELA_VAZAO[qnat],TABELA_VAZAO[Posto],$R288,TABELA_VAZAO[Data],BA$27),AZ288+$BB288*EXP(BA$26))</f>
        <v>177.53335593614869</v>
      </c>
      <c r="BB288" s="121">
        <f t="shared" ca="1" si="120"/>
        <v>2.2857142857142856</v>
      </c>
      <c r="BC288" s="272">
        <f t="shared" ca="1" si="121"/>
        <v>-4</v>
      </c>
      <c r="BD288" s="272">
        <f t="shared" ca="1" si="121"/>
        <v>0</v>
      </c>
      <c r="BE288" s="272">
        <f t="shared" ca="1" si="121"/>
        <v>4</v>
      </c>
      <c r="BF288" s="272">
        <f t="shared" ca="1" si="121"/>
        <v>4</v>
      </c>
      <c r="BG288"/>
    </row>
    <row r="289" spans="18:59" x14ac:dyDescent="0.2">
      <c r="R289">
        <v>262</v>
      </c>
      <c r="S289" s="40">
        <f ca="1">AO289</f>
        <v>110</v>
      </c>
      <c r="T289" s="131" t="str">
        <f t="shared" ca="1" si="123"/>
        <v/>
      </c>
      <c r="U289" s="131" t="str">
        <f t="shared" ca="1" si="123"/>
        <v/>
      </c>
      <c r="V289" s="131" t="str">
        <f t="shared" ca="1" si="123"/>
        <v/>
      </c>
      <c r="W289" s="131" t="str">
        <f t="shared" ca="1" si="123"/>
        <v/>
      </c>
      <c r="X289" s="131" t="str">
        <f t="shared" ca="1" si="123"/>
        <v/>
      </c>
      <c r="Y289" s="131" t="str">
        <f t="shared" ca="1" si="123"/>
        <v/>
      </c>
      <c r="Z289" s="131" t="str">
        <f t="shared" ca="1" si="123"/>
        <v/>
      </c>
      <c r="AA289" s="131" t="str">
        <f t="shared" si="123"/>
        <v/>
      </c>
      <c r="AB289" s="131"/>
      <c r="AN289" s="121"/>
      <c r="AO289" s="121">
        <f t="shared" ca="1" si="113"/>
        <v>110</v>
      </c>
      <c r="AP289" s="121" t="b">
        <f t="shared" si="119"/>
        <v>0</v>
      </c>
      <c r="AQ289" s="272">
        <f ca="1">+AVERAGEIFS(TABELA_VAZAO[qnat],TABELA_VAZAO[Posto],$R289,TABELA_VAZAO[Data],AQ$27)</f>
        <v>32</v>
      </c>
      <c r="AR289" s="272">
        <f ca="1">+AVERAGEIFS(TABELA_VAZAO[qnat],TABELA_VAZAO[Posto],$R289,TABELA_VAZAO[Data],AR$27)</f>
        <v>33</v>
      </c>
      <c r="AS289" s="272">
        <f ca="1">+AVERAGEIFS(TABELA_VAZAO[qnat],TABELA_VAZAO[Posto],$R289,TABELA_VAZAO[Data],AS$27)</f>
        <v>38</v>
      </c>
      <c r="AT289" s="272">
        <f ca="1">+AVERAGEIFS(TABELA_VAZAO[qnat],TABELA_VAZAO[Posto],$R289,TABELA_VAZAO[Data],AT$27)</f>
        <v>48</v>
      </c>
      <c r="AU289" s="121">
        <f ca="1">+AVERAGEIFS(TABELA_VAZAO[qnat],TABELA_VAZAO[Posto],$R289,TABELA_VAZAO[Data],AU$27)</f>
        <v>66</v>
      </c>
      <c r="AV289" s="272">
        <f ca="1">IFERROR(AVERAGEIFS(TABELA_VAZAO[qnat],TABELA_VAZAO[Posto],$R289,TABELA_VAZAO[Data],AV$27),AU289+$BB289*EXP(AV$26))</f>
        <v>88</v>
      </c>
      <c r="AW289" s="159">
        <f ca="1">IFERROR(AVERAGEIFS(TABELA_VAZAO[qnat],TABELA_VAZAO[Posto],$R289,TABELA_VAZAO[Data],AW$27),AV289+$BB289*EXP(AW$26))</f>
        <v>101</v>
      </c>
      <c r="AX289" s="325">
        <f ca="1">IFERROR(AVERAGEIFS(TABELA_VAZAO[qnat],TABELA_VAZAO[Posto],$R289,TABELA_VAZAO[Data],AX$27),AW289+$BB289*EXP(AX$26))</f>
        <v>116.85714285714286</v>
      </c>
      <c r="AY289" s="325">
        <f ca="1">IFERROR(AVERAGEIFS(TABELA_VAZAO[qnat],TABELA_VAZAO[Posto],$R289,TABELA_VAZAO[Data],AY$27),AX289+$BB289*EXP(AY$26))</f>
        <v>127.48650358713657</v>
      </c>
      <c r="AZ289" s="326">
        <f ca="1">IFERROR(AVERAGEIFS(TABELA_VAZAO[qnat],TABELA_VAZAO[Posto],$R289,TABELA_VAZAO[Data],AZ$27),AY289+$BB289*EXP(AZ$26))</f>
        <v>134.61157716099535</v>
      </c>
      <c r="BA289" s="326">
        <f ca="1">IFERROR(AVERAGEIFS(TABELA_VAZAO[qnat],TABELA_VAZAO[Posto],$R289,TABELA_VAZAO[Data],BA$27),AZ289+$BB289*EXP(BA$26))</f>
        <v>139.3876568070317</v>
      </c>
      <c r="BB289" s="121">
        <f t="shared" ca="1" si="120"/>
        <v>15.857142857142858</v>
      </c>
      <c r="BC289" s="272">
        <f t="shared" ca="1" si="121"/>
        <v>10</v>
      </c>
      <c r="BD289" s="272">
        <f t="shared" ca="1" si="121"/>
        <v>18</v>
      </c>
      <c r="BE289" s="272">
        <f t="shared" ca="1" si="121"/>
        <v>22</v>
      </c>
      <c r="BF289" s="272">
        <f t="shared" ca="1" si="121"/>
        <v>13</v>
      </c>
      <c r="BG289"/>
    </row>
    <row r="290" spans="18:59" x14ac:dyDescent="0.2">
      <c r="R290">
        <v>263</v>
      </c>
      <c r="S290" s="40">
        <f ca="1">AO290</f>
        <v>86</v>
      </c>
      <c r="T290" s="131" t="str">
        <f t="shared" ca="1" si="123"/>
        <v/>
      </c>
      <c r="U290" s="131" t="str">
        <f t="shared" ca="1" si="123"/>
        <v/>
      </c>
      <c r="V290" s="131" t="str">
        <f t="shared" ca="1" si="123"/>
        <v/>
      </c>
      <c r="W290" s="131" t="str">
        <f t="shared" ca="1" si="123"/>
        <v/>
      </c>
      <c r="X290" s="131" t="str">
        <f t="shared" ca="1" si="123"/>
        <v/>
      </c>
      <c r="Y290" s="131" t="str">
        <f t="shared" ca="1" si="123"/>
        <v/>
      </c>
      <c r="Z290" s="131" t="str">
        <f t="shared" ca="1" si="123"/>
        <v/>
      </c>
      <c r="AA290" s="131" t="str">
        <f t="shared" si="123"/>
        <v/>
      </c>
      <c r="AB290" s="131"/>
      <c r="AN290" s="121"/>
      <c r="AO290" s="121">
        <f t="shared" ca="1" si="113"/>
        <v>86</v>
      </c>
      <c r="AP290" s="121" t="b">
        <f t="shared" si="119"/>
        <v>0</v>
      </c>
      <c r="AQ290" s="272">
        <f ca="1">+AVERAGEIFS(TABELA_VAZAO[qnat],TABELA_VAZAO[Posto],$R290,TABELA_VAZAO[Data],AQ$27)</f>
        <v>45</v>
      </c>
      <c r="AR290" s="272">
        <f ca="1">+AVERAGEIFS(TABELA_VAZAO[qnat],TABELA_VAZAO[Posto],$R290,TABELA_VAZAO[Data],AR$27)</f>
        <v>46</v>
      </c>
      <c r="AS290" s="272">
        <f ca="1">+AVERAGEIFS(TABELA_VAZAO[qnat],TABELA_VAZAO[Posto],$R290,TABELA_VAZAO[Data],AS$27)</f>
        <v>49</v>
      </c>
      <c r="AT290" s="272">
        <f ca="1">+AVERAGEIFS(TABELA_VAZAO[qnat],TABELA_VAZAO[Posto],$R290,TABELA_VAZAO[Data],AT$27)</f>
        <v>47</v>
      </c>
      <c r="AU290" s="121">
        <f ca="1">+AVERAGEIFS(TABELA_VAZAO[qnat],TABELA_VAZAO[Posto],$R290,TABELA_VAZAO[Data],AU$27)</f>
        <v>53</v>
      </c>
      <c r="AV290" s="272">
        <f ca="1">IFERROR(AVERAGEIFS(TABELA_VAZAO[qnat],TABELA_VAZAO[Posto],$R290,TABELA_VAZAO[Data],AV$27),AU290+$BB290*EXP(AV$26))</f>
        <v>77</v>
      </c>
      <c r="AW290" s="159">
        <f ca="1">IFERROR(AVERAGEIFS(TABELA_VAZAO[qnat],TABELA_VAZAO[Posto],$R290,TABELA_VAZAO[Data],AW$27),AV290+$BB290*EXP(AW$26))</f>
        <v>81</v>
      </c>
      <c r="AX290" s="325">
        <f ca="1">IFERROR(AVERAGEIFS(TABELA_VAZAO[qnat],TABELA_VAZAO[Posto],$R290,TABELA_VAZAO[Data],AX$27),AW290+$BB290*EXP(AX$26))</f>
        <v>90.142857142857139</v>
      </c>
      <c r="AY290" s="325">
        <f ca="1">IFERROR(AVERAGEIFS(TABELA_VAZAO[qnat],TABELA_VAZAO[Posto],$R290,TABELA_VAZAO[Data],AY$27),AX290+$BB290*EXP(AY$26))</f>
        <v>96.271497563754409</v>
      </c>
      <c r="AZ290" s="326">
        <f ca="1">IFERROR(AVERAGEIFS(TABELA_VAZAO[qnat],TABELA_VAZAO[Posto],$R290,TABELA_VAZAO[Data],AZ$27),AY290+$BB290*EXP(AZ$26))</f>
        <v>100.37964809282614</v>
      </c>
      <c r="BA290" s="326">
        <f ca="1">IFERROR(AVERAGEIFS(TABELA_VAZAO[qnat],TABELA_VAZAO[Posto],$R290,TABELA_VAZAO[Data],BA$27),AZ290+$BB290*EXP(BA$26))</f>
        <v>103.13342374459485</v>
      </c>
      <c r="BB290" s="121">
        <f t="shared" ca="1" si="120"/>
        <v>9.1428571428571423</v>
      </c>
      <c r="BC290" s="272">
        <f t="shared" ca="1" si="121"/>
        <v>-2</v>
      </c>
      <c r="BD290" s="272">
        <f t="shared" ca="1" si="121"/>
        <v>6</v>
      </c>
      <c r="BE290" s="272">
        <f t="shared" ca="1" si="121"/>
        <v>24</v>
      </c>
      <c r="BF290" s="272">
        <f t="shared" ca="1" si="121"/>
        <v>4</v>
      </c>
      <c r="BG290"/>
    </row>
    <row r="291" spans="18:59" x14ac:dyDescent="0.2">
      <c r="R291">
        <v>264</v>
      </c>
      <c r="S291" s="40"/>
      <c r="T291" s="40"/>
      <c r="U291" s="131"/>
      <c r="V291" s="131"/>
      <c r="W291" s="131"/>
      <c r="X291" s="131"/>
      <c r="Y291" s="131"/>
      <c r="Z291" s="131"/>
      <c r="AA291" s="131"/>
      <c r="AB291" s="131"/>
      <c r="AN291" s="121"/>
      <c r="AO291" s="121" t="e">
        <f t="shared" si="113"/>
        <v>#DIV/0!</v>
      </c>
      <c r="AP291" s="121" t="b">
        <f t="shared" si="119"/>
        <v>0</v>
      </c>
      <c r="AU291" s="121"/>
      <c r="AV291" s="121"/>
      <c r="AW291" s="159"/>
      <c r="AX291" s="159"/>
      <c r="AY291" s="159"/>
      <c r="AZ291" s="157"/>
      <c r="BA291" s="157"/>
      <c r="BB291" s="121">
        <f t="shared" ca="1" si="120"/>
        <v>0</v>
      </c>
      <c r="BC291" s="272">
        <f t="shared" ca="1" si="121"/>
        <v>0</v>
      </c>
      <c r="BD291" s="272">
        <f t="shared" ca="1" si="121"/>
        <v>0</v>
      </c>
      <c r="BE291" s="272">
        <f t="shared" ca="1" si="121"/>
        <v>0</v>
      </c>
      <c r="BF291" s="272">
        <f t="shared" ca="1" si="121"/>
        <v>0</v>
      </c>
      <c r="BG291"/>
    </row>
    <row r="292" spans="18:59" x14ac:dyDescent="0.2">
      <c r="R292">
        <v>265</v>
      </c>
      <c r="S292" s="40"/>
      <c r="T292" s="40"/>
      <c r="U292" s="131"/>
      <c r="V292" s="131"/>
      <c r="W292" s="131"/>
      <c r="X292" s="131"/>
      <c r="Y292" s="131"/>
      <c r="Z292" s="131"/>
      <c r="AA292" s="131"/>
      <c r="AB292" s="131"/>
      <c r="AN292" s="121"/>
      <c r="AO292" s="121" t="e">
        <f t="shared" si="113"/>
        <v>#DIV/0!</v>
      </c>
      <c r="AP292" s="121" t="b">
        <f t="shared" si="119"/>
        <v>0</v>
      </c>
      <c r="AU292" s="121"/>
      <c r="AV292" s="121"/>
      <c r="AW292" s="159"/>
      <c r="AX292" s="159"/>
      <c r="AY292" s="159"/>
      <c r="AZ292" s="157"/>
      <c r="BA292" s="157"/>
      <c r="BB292" s="121">
        <f t="shared" ca="1" si="120"/>
        <v>0</v>
      </c>
      <c r="BC292" s="272">
        <f t="shared" ca="1" si="121"/>
        <v>0</v>
      </c>
      <c r="BD292" s="272">
        <f t="shared" ca="1" si="121"/>
        <v>0</v>
      </c>
      <c r="BE292" s="272">
        <f t="shared" ca="1" si="121"/>
        <v>0</v>
      </c>
      <c r="BF292" s="272">
        <f t="shared" ca="1" si="121"/>
        <v>0</v>
      </c>
      <c r="BG292"/>
    </row>
    <row r="293" spans="18:59" x14ac:dyDescent="0.2">
      <c r="R293">
        <v>266</v>
      </c>
      <c r="S293" s="131">
        <f ca="1">AO293</f>
        <v>4124</v>
      </c>
      <c r="T293" s="97" t="str">
        <f ca="1">IF(ISNUMBER(T193),0,"")</f>
        <v/>
      </c>
      <c r="U293" s="97" t="str">
        <f ca="1">IF(ISNUMBER(U193),0,"")</f>
        <v/>
      </c>
      <c r="V293" s="97" t="str">
        <f ca="1">IF(ISNUMBER(V193),0,"")</f>
        <v/>
      </c>
      <c r="W293" s="97" t="str">
        <f ca="1">IF(ISNUMBER(W193),0,"")</f>
        <v/>
      </c>
      <c r="X293" s="97" t="str">
        <f t="shared" ref="X293:Z293" ca="1" si="124">IF(ISNUMBER(X193),0,"")</f>
        <v/>
      </c>
      <c r="Y293" s="97" t="str">
        <f t="shared" ca="1" si="124"/>
        <v/>
      </c>
      <c r="Z293" s="97" t="str">
        <f t="shared" ca="1" si="124"/>
        <v/>
      </c>
      <c r="AA293" s="97" t="str">
        <f t="shared" ref="AA293:AB293" ca="1" si="125">IF(ISNUMBER(AA193),0,"")</f>
        <v/>
      </c>
      <c r="AB293" s="97" t="str">
        <f t="shared" ca="1" si="125"/>
        <v/>
      </c>
      <c r="AN293" s="121"/>
      <c r="AO293" s="121">
        <f t="shared" ca="1" si="113"/>
        <v>4124</v>
      </c>
      <c r="AP293" s="121" t="b">
        <f t="shared" si="119"/>
        <v>1</v>
      </c>
      <c r="AQ293" s="272">
        <f ca="1">+AVERAGEIFS(TABELA_VAZAO[qnat],TABELA_VAZAO[Posto],$R293,TABELA_VAZAO[Data],AQ$27)</f>
        <v>11173</v>
      </c>
      <c r="AR293" s="272">
        <f ca="1">+AVERAGEIFS(TABELA_VAZAO[qnat],TABELA_VAZAO[Posto],$R293,TABELA_VAZAO[Data],AR$27)</f>
        <v>10743</v>
      </c>
      <c r="AS293" s="272">
        <f ca="1">+AVERAGEIFS(TABELA_VAZAO[qnat],TABELA_VAZAO[Posto],$R293,TABELA_VAZAO[Data],AS$27)</f>
        <v>10428</v>
      </c>
      <c r="AT293" s="272">
        <f ca="1">+AVERAGEIFS(TABELA_VAZAO[qnat],TABELA_VAZAO[Posto],$R293,TABELA_VAZAO[Data],AT$27)</f>
        <v>10224</v>
      </c>
      <c r="AU293" s="121">
        <f ca="1">+AVERAGEIFS(TABELA_VAZAO[qnat],TABELA_VAZAO[Posto],$R293,TABELA_VAZAO[Data],AU$27)</f>
        <v>9940</v>
      </c>
      <c r="AV293" s="272">
        <f ca="1">IFERROR(AVERAGEIFS(TABELA_VAZAO[qnat],TABELA_VAZAO[Posto],$R293,TABELA_VAZAO[Data],AV$27),AU293+$BB293*EXP(AV$26))</f>
        <v>9641</v>
      </c>
      <c r="AW293" s="159">
        <f ca="1">IFERROR(AVERAGEIFS(TABELA_VAZAO[qnat],TABELA_VAZAO[Posto],$R293,TABELA_VAZAO[Data],AW$27),AV293+$BB293*EXP(AW$26))</f>
        <v>9288</v>
      </c>
      <c r="AX293" s="325">
        <f ca="1">IFERROR(AVERAGEIFS(TABELA_VAZAO[qnat],TABELA_VAZAO[Posto],$R293,TABELA_VAZAO[Data],AX$27),AW293+$BB293*EXP(AX$26))</f>
        <v>8981.5714285714294</v>
      </c>
      <c r="AY293" s="325">
        <f ca="1">IFERROR(AVERAGEIFS(TABELA_VAZAO[qnat],TABELA_VAZAO[Posto],$R293,TABELA_VAZAO[Data],AY$27),AX293+$BB293*EXP(AY$26))</f>
        <v>8776.1662144647944</v>
      </c>
      <c r="AZ293" s="326">
        <f ca="1">IFERROR(AVERAGEIFS(TABELA_VAZAO[qnat],TABELA_VAZAO[Posto],$R293,TABELA_VAZAO[Data],AZ$27),AY293+$BB293*EXP(AZ$26))</f>
        <v>8638.4789818888748</v>
      </c>
      <c r="BA293" s="326">
        <f ca="1">IFERROR(AVERAGEIFS(TABELA_VAZAO[qnat],TABELA_VAZAO[Posto],$R293,TABELA_VAZAO[Data],BA$27),AZ293+$BB293*EXP(BA$26))</f>
        <v>8546.1844698100649</v>
      </c>
      <c r="BB293" s="121">
        <f t="shared" ca="1" si="120"/>
        <v>-306.42857142857144</v>
      </c>
      <c r="BC293" s="272">
        <f t="shared" ca="1" si="121"/>
        <v>-204</v>
      </c>
      <c r="BD293" s="272">
        <f t="shared" ca="1" si="121"/>
        <v>-284</v>
      </c>
      <c r="BE293" s="272">
        <f t="shared" ca="1" si="121"/>
        <v>-299</v>
      </c>
      <c r="BF293" s="272">
        <f t="shared" ca="1" si="121"/>
        <v>-353</v>
      </c>
      <c r="BG293"/>
    </row>
    <row r="294" spans="18:59" x14ac:dyDescent="0.2">
      <c r="R294">
        <v>267</v>
      </c>
      <c r="S294" s="40"/>
      <c r="T294" s="40"/>
      <c r="U294" s="131"/>
      <c r="V294" s="131"/>
      <c r="W294" s="131"/>
      <c r="X294" s="131"/>
      <c r="Y294" s="131"/>
      <c r="Z294" s="131"/>
      <c r="AA294" s="131"/>
      <c r="AB294" s="131"/>
      <c r="AN294" s="121"/>
      <c r="AO294" s="121" t="e">
        <f t="shared" si="113"/>
        <v>#DIV/0!</v>
      </c>
      <c r="AP294" s="121" t="b">
        <f t="shared" si="119"/>
        <v>0</v>
      </c>
      <c r="AU294" s="121"/>
      <c r="AV294" s="121"/>
      <c r="AW294" s="159"/>
      <c r="AX294" s="159"/>
      <c r="AY294" s="159"/>
      <c r="AZ294" s="157"/>
      <c r="BA294" s="157"/>
      <c r="BB294" s="121">
        <f t="shared" ca="1" si="120"/>
        <v>0</v>
      </c>
      <c r="BC294" s="272">
        <f t="shared" ca="1" si="121"/>
        <v>0</v>
      </c>
      <c r="BD294" s="272">
        <f t="shared" ca="1" si="121"/>
        <v>0</v>
      </c>
      <c r="BE294" s="272">
        <f t="shared" ca="1" si="121"/>
        <v>0</v>
      </c>
      <c r="BF294" s="272">
        <f t="shared" ca="1" si="121"/>
        <v>0</v>
      </c>
      <c r="BG294"/>
    </row>
    <row r="295" spans="18:59" x14ac:dyDescent="0.2">
      <c r="R295">
        <v>268</v>
      </c>
      <c r="S295" s="40"/>
      <c r="T295" s="40"/>
      <c r="U295" s="131"/>
      <c r="V295" s="131"/>
      <c r="W295" s="131"/>
      <c r="X295" s="131"/>
      <c r="Y295" s="131"/>
      <c r="Z295" s="131"/>
      <c r="AA295" s="131"/>
      <c r="AB295" s="131"/>
      <c r="AN295" s="121"/>
      <c r="AO295" s="121" t="e">
        <f t="shared" si="113"/>
        <v>#DIV/0!</v>
      </c>
      <c r="AP295" s="121" t="b">
        <f t="shared" si="119"/>
        <v>0</v>
      </c>
      <c r="AU295" s="121"/>
      <c r="AV295" s="121"/>
      <c r="AW295" s="159"/>
      <c r="AX295" s="159"/>
      <c r="AY295" s="159"/>
      <c r="AZ295" s="157"/>
      <c r="BA295" s="157"/>
      <c r="BB295" s="121">
        <f t="shared" ca="1" si="120"/>
        <v>0</v>
      </c>
      <c r="BC295" s="272">
        <f t="shared" ca="1" si="121"/>
        <v>0</v>
      </c>
      <c r="BD295" s="272">
        <f t="shared" ca="1" si="121"/>
        <v>0</v>
      </c>
      <c r="BE295" s="272">
        <f t="shared" ca="1" si="121"/>
        <v>0</v>
      </c>
      <c r="BF295" s="272">
        <f t="shared" ca="1" si="121"/>
        <v>0</v>
      </c>
      <c r="BG295"/>
    </row>
    <row r="296" spans="18:59" x14ac:dyDescent="0.2">
      <c r="R296">
        <v>269</v>
      </c>
      <c r="S296" s="40">
        <f ca="1">AO296</f>
        <v>791</v>
      </c>
      <c r="T296" s="131" t="str">
        <f t="shared" ref="T296:AA296" ca="1" si="126">IF(AND($K$4,ISNUMBER(H$143)),ROUND(G$143*S296,0),"")</f>
        <v/>
      </c>
      <c r="U296" s="131" t="str">
        <f t="shared" ca="1" si="126"/>
        <v/>
      </c>
      <c r="V296" s="131" t="str">
        <f t="shared" ca="1" si="126"/>
        <v/>
      </c>
      <c r="W296" s="131" t="str">
        <f t="shared" ca="1" si="126"/>
        <v/>
      </c>
      <c r="X296" s="131" t="str">
        <f t="shared" ca="1" si="126"/>
        <v/>
      </c>
      <c r="Y296" s="131" t="str">
        <f t="shared" ca="1" si="126"/>
        <v/>
      </c>
      <c r="Z296" s="131" t="str">
        <f t="shared" ca="1" si="126"/>
        <v/>
      </c>
      <c r="AA296" s="131" t="str">
        <f t="shared" si="126"/>
        <v/>
      </c>
      <c r="AB296" s="131"/>
      <c r="AN296" s="121"/>
      <c r="AO296" s="121">
        <f t="shared" ca="1" si="113"/>
        <v>791</v>
      </c>
      <c r="AP296" s="121" t="b">
        <f t="shared" si="119"/>
        <v>0</v>
      </c>
      <c r="AQ296" s="272">
        <f ca="1">+AVERAGEIFS(TABELA_VAZAO[qnat],TABELA_VAZAO[Posto],$R296,TABELA_VAZAO[Data],AQ$27)</f>
        <v>918</v>
      </c>
      <c r="AR296" s="272">
        <f ca="1">+AVERAGEIFS(TABELA_VAZAO[qnat],TABELA_VAZAO[Posto],$R296,TABELA_VAZAO[Data],AR$27)</f>
        <v>892</v>
      </c>
      <c r="AS296" s="272">
        <f ca="1">+AVERAGEIFS(TABELA_VAZAO[qnat],TABELA_VAZAO[Posto],$R296,TABELA_VAZAO[Data],AS$27)</f>
        <v>860</v>
      </c>
      <c r="AT296" s="272">
        <f ca="1">+AVERAGEIFS(TABELA_VAZAO[qnat],TABELA_VAZAO[Posto],$R296,TABELA_VAZAO[Data],AT$27)</f>
        <v>838</v>
      </c>
      <c r="AU296" s="121">
        <f ca="1">+AVERAGEIFS(TABELA_VAZAO[qnat],TABELA_VAZAO[Posto],$R296,TABELA_VAZAO[Data],AU$27)</f>
        <v>829</v>
      </c>
      <c r="AV296" s="272">
        <f ca="1">IFERROR(AVERAGEIFS(TABELA_VAZAO[qnat],TABELA_VAZAO[Posto],$R296,TABELA_VAZAO[Data],AV$27),AU296+$BB296*EXP(AV$26))</f>
        <v>814</v>
      </c>
      <c r="AW296" s="159">
        <f ca="1">IFERROR(AVERAGEIFS(TABELA_VAZAO[qnat],TABELA_VAZAO[Posto],$R296,TABELA_VAZAO[Data],AW$27),AV296+$BB296*EXP(AW$26))</f>
        <v>800</v>
      </c>
      <c r="AX296" s="325">
        <f ca="1">IFERROR(AVERAGEIFS(TABELA_VAZAO[qnat],TABELA_VAZAO[Posto],$R296,TABELA_VAZAO[Data],AX$27),AW296+$BB296*EXP(AX$26))</f>
        <v>785.28571428571433</v>
      </c>
      <c r="AY296" s="325">
        <f ca="1">IFERROR(AVERAGEIFS(TABELA_VAZAO[qnat],TABELA_VAZAO[Posto],$R296,TABELA_VAZAO[Data],AY$27),AX296+$BB296*EXP(AY$26))</f>
        <v>775.42243360833277</v>
      </c>
      <c r="AZ296" s="326">
        <f ca="1">IFERROR(AVERAGEIFS(TABELA_VAZAO[qnat],TABELA_VAZAO[Posto],$R296,TABELA_VAZAO[Data],AZ$27),AY296+$BB296*EXP(AZ$26))</f>
        <v>768.81087885060799</v>
      </c>
      <c r="BA296" s="326">
        <f ca="1">IFERROR(AVERAGEIFS(TABELA_VAZAO[qnat],TABELA_VAZAO[Posto],$R296,TABELA_VAZAO[Data],BA$27),AZ296+$BB296*EXP(BA$26))</f>
        <v>764.37902116104271</v>
      </c>
      <c r="BB296" s="121">
        <f t="shared" ca="1" si="120"/>
        <v>-14.714285714285714</v>
      </c>
      <c r="BC296" s="272">
        <f t="shared" ca="1" si="121"/>
        <v>-22</v>
      </c>
      <c r="BD296" s="272">
        <f t="shared" ca="1" si="121"/>
        <v>-9</v>
      </c>
      <c r="BE296" s="272">
        <f t="shared" ca="1" si="121"/>
        <v>-15</v>
      </c>
      <c r="BF296" s="272">
        <f t="shared" ca="1" si="121"/>
        <v>-14</v>
      </c>
      <c r="BG296"/>
    </row>
    <row r="297" spans="18:59" x14ac:dyDescent="0.2">
      <c r="R297">
        <v>270</v>
      </c>
      <c r="S297" s="131">
        <f t="shared" ref="S297" ca="1" si="127">AO297</f>
        <v>180</v>
      </c>
      <c r="T297" s="131" t="str">
        <f t="shared" ref="T297:AB297" ca="1" si="128">IFERROR(ROUND(INDEX(G$28:G$129,MATCH($R297,$A$28:$A$129,0)),0),"")</f>
        <v/>
      </c>
      <c r="U297" s="131" t="str">
        <f t="shared" ca="1" si="128"/>
        <v/>
      </c>
      <c r="V297" s="131" t="str">
        <f t="shared" ca="1" si="128"/>
        <v/>
      </c>
      <c r="W297" s="131" t="str">
        <f t="shared" ca="1" si="128"/>
        <v/>
      </c>
      <c r="X297" s="131" t="str">
        <f t="shared" ca="1" si="128"/>
        <v/>
      </c>
      <c r="Y297" s="131" t="str">
        <f t="shared" ca="1" si="128"/>
        <v/>
      </c>
      <c r="Z297" s="131" t="str">
        <f t="shared" ca="1" si="128"/>
        <v/>
      </c>
      <c r="AA297" s="131" t="str">
        <f t="shared" ca="1" si="128"/>
        <v/>
      </c>
      <c r="AB297" s="131" t="str">
        <f t="shared" ca="1" si="128"/>
        <v/>
      </c>
      <c r="AN297" s="121"/>
      <c r="AO297" s="121">
        <f t="shared" ca="1" si="113"/>
        <v>180</v>
      </c>
      <c r="AP297" s="121" t="b">
        <f t="shared" si="119"/>
        <v>1</v>
      </c>
      <c r="AQ297" s="272">
        <f ca="1">+AVERAGEIFS(TABELA_VAZAO[qnat],TABELA_VAZAO[Posto],$R297,TABELA_VAZAO[Data],AQ$27)</f>
        <v>230</v>
      </c>
      <c r="AR297" s="272">
        <f ca="1">+AVERAGEIFS(TABELA_VAZAO[qnat],TABELA_VAZAO[Posto],$R297,TABELA_VAZAO[Data],AR$27)</f>
        <v>246</v>
      </c>
      <c r="AS297" s="272">
        <f ca="1">+AVERAGEIFS(TABELA_VAZAO[qnat],TABELA_VAZAO[Posto],$R297,TABELA_VAZAO[Data],AS$27)</f>
        <v>242</v>
      </c>
      <c r="AT297" s="272">
        <f ca="1">+AVERAGEIFS(TABELA_VAZAO[qnat],TABELA_VAZAO[Posto],$R297,TABELA_VAZAO[Data],AT$27)</f>
        <v>284</v>
      </c>
      <c r="AU297" s="121">
        <f ca="1">+AVERAGEIFS(TABELA_VAZAO[qnat],TABELA_VAZAO[Posto],$R297,TABELA_VAZAO[Data],AU$27)</f>
        <v>339</v>
      </c>
      <c r="AV297" s="272">
        <f ca="1">IFERROR(AVERAGEIFS(TABELA_VAZAO[qnat],TABELA_VAZAO[Posto],$R297,TABELA_VAZAO[Data],AV$27),AU297+$BB297*EXP(AV$26))</f>
        <v>381</v>
      </c>
      <c r="AW297" s="159">
        <f ca="1">IFERROR(AVERAGEIFS(TABELA_VAZAO[qnat],TABELA_VAZAO[Posto],$R297,TABELA_VAZAO[Data],AW$27),AV297+$BB297*EXP(AW$26))</f>
        <v>538</v>
      </c>
      <c r="AX297" s="325">
        <f ca="1">IFERROR(AVERAGEIFS(TABELA_VAZAO[qnat],TABELA_VAZAO[Posto],$R297,TABELA_VAZAO[Data],AX$27),AW297+$BB297*EXP(AX$26))</f>
        <v>631.14285714285711</v>
      </c>
      <c r="AY297" s="325">
        <f ca="1">IFERROR(AVERAGEIFS(TABELA_VAZAO[qnat],TABELA_VAZAO[Posto],$R297,TABELA_VAZAO[Data],AY$27),AX297+$BB297*EXP(AY$26))</f>
        <v>693.5783814307481</v>
      </c>
      <c r="AZ297" s="326">
        <f ca="1">IFERROR(AVERAGEIFS(TABELA_VAZAO[qnat],TABELA_VAZAO[Posto],$R297,TABELA_VAZAO[Data],AZ$27),AY297+$BB297*EXP(AZ$26))</f>
        <v>735.43016494566643</v>
      </c>
      <c r="BA297" s="326">
        <f ca="1">IFERROR(AVERAGEIFS(TABELA_VAZAO[qnat],TABELA_VAZAO[Posto],$R297,TABELA_VAZAO[Data],BA$27),AZ297+$BB297*EXP(BA$26))</f>
        <v>763.4842543980601</v>
      </c>
      <c r="BB297" s="121">
        <f t="shared" ca="1" si="120"/>
        <v>93.142857142857139</v>
      </c>
      <c r="BC297" s="272">
        <f t="shared" ca="1" si="121"/>
        <v>42</v>
      </c>
      <c r="BD297" s="272">
        <f t="shared" ca="1" si="121"/>
        <v>55</v>
      </c>
      <c r="BE297" s="272">
        <f t="shared" ca="1" si="121"/>
        <v>42</v>
      </c>
      <c r="BF297" s="272">
        <f t="shared" ca="1" si="121"/>
        <v>157</v>
      </c>
      <c r="BG297"/>
    </row>
    <row r="298" spans="18:59" x14ac:dyDescent="0.2">
      <c r="R298">
        <v>271</v>
      </c>
      <c r="S298" s="40">
        <f ca="1">AO298</f>
        <v>2617</v>
      </c>
      <c r="T298" s="40" t="str">
        <f t="shared" ref="T298:AA298" ca="1" si="129">IF(AND($K$4,ISNUMBER(H$143)),ROUND(G$143*S298,0),"")</f>
        <v/>
      </c>
      <c r="U298" s="131" t="str">
        <f t="shared" ca="1" si="129"/>
        <v/>
      </c>
      <c r="V298" s="131" t="str">
        <f t="shared" ca="1" si="129"/>
        <v/>
      </c>
      <c r="W298" s="131" t="str">
        <f t="shared" ca="1" si="129"/>
        <v/>
      </c>
      <c r="X298" s="131" t="str">
        <f t="shared" ca="1" si="129"/>
        <v/>
      </c>
      <c r="Y298" s="131" t="str">
        <f t="shared" ca="1" si="129"/>
        <v/>
      </c>
      <c r="Z298" s="131" t="str">
        <f t="shared" ca="1" si="129"/>
        <v/>
      </c>
      <c r="AA298" s="131" t="str">
        <f t="shared" si="129"/>
        <v/>
      </c>
      <c r="AB298" s="131"/>
      <c r="AN298" s="121"/>
      <c r="AO298" s="121">
        <f t="shared" ca="1" si="113"/>
        <v>2617</v>
      </c>
      <c r="AP298" s="121" t="b">
        <f t="shared" si="119"/>
        <v>0</v>
      </c>
      <c r="AQ298" s="272">
        <f ca="1">+AVERAGEIFS(TABELA_VAZAO[qnat],TABELA_VAZAO[Posto],$R298,TABELA_VAZAO[Data],AQ$27)</f>
        <v>1410</v>
      </c>
      <c r="AR298" s="272">
        <f ca="1">+AVERAGEIFS(TABELA_VAZAO[qnat],TABELA_VAZAO[Posto],$R298,TABELA_VAZAO[Data],AR$27)</f>
        <v>1557</v>
      </c>
      <c r="AS298" s="272">
        <f ca="1">+AVERAGEIFS(TABELA_VAZAO[qnat],TABELA_VAZAO[Posto],$R298,TABELA_VAZAO[Data],AS$27)</f>
        <v>1736</v>
      </c>
      <c r="AT298" s="272">
        <f ca="1">+AVERAGEIFS(TABELA_VAZAO[qnat],TABELA_VAZAO[Posto],$R298,TABELA_VAZAO[Data],AT$27)</f>
        <v>1949</v>
      </c>
      <c r="AU298" s="121">
        <f ca="1">+AVERAGEIFS(TABELA_VAZAO[qnat],TABELA_VAZAO[Posto],$R298,TABELA_VAZAO[Data],AU$27)</f>
        <v>2201</v>
      </c>
      <c r="AV298" s="272">
        <f ca="1">IFERROR(AVERAGEIFS(TABELA_VAZAO[qnat],TABELA_VAZAO[Posto],$R298,TABELA_VAZAO[Data],AV$27),AU298+$BB298*EXP(AV$26))</f>
        <v>2345</v>
      </c>
      <c r="AW298" s="159">
        <f ca="1">IFERROR(AVERAGEIFS(TABELA_VAZAO[qnat],TABELA_VAZAO[Posto],$R298,TABELA_VAZAO[Data],AW$27),AV298+$BB298*EXP(AW$26))</f>
        <v>2502</v>
      </c>
      <c r="AX298" s="325">
        <f ca="1">IFERROR(AVERAGEIFS(TABELA_VAZAO[qnat],TABELA_VAZAO[Posto],$R298,TABELA_VAZAO[Data],AX$27),AW298+$BB298*EXP(AX$26))</f>
        <v>2676.8571428571427</v>
      </c>
      <c r="AY298" s="325">
        <f ca="1">IFERROR(AVERAGEIFS(TABELA_VAZAO[qnat],TABELA_VAZAO[Posto],$R298,TABELA_VAZAO[Data],AY$27),AX298+$BB298*EXP(AY$26))</f>
        <v>2794.0673909068032</v>
      </c>
      <c r="AZ298" s="326">
        <f ca="1">IFERROR(AVERAGEIFS(TABELA_VAZAO[qnat],TABELA_VAZAO[Posto],$R298,TABELA_VAZAO[Data],AZ$27),AY298+$BB298*EXP(AZ$26))</f>
        <v>2872.6357697753001</v>
      </c>
      <c r="BA298" s="326">
        <f ca="1">IFERROR(AVERAGEIFS(TABELA_VAZAO[qnat],TABELA_VAZAO[Posto],$R298,TABELA_VAZAO[Data],BA$27),AZ298+$BB298*EXP(BA$26))</f>
        <v>2925.3017291153765</v>
      </c>
      <c r="BB298" s="121">
        <f t="shared" ca="1" si="120"/>
        <v>174.85714285714286</v>
      </c>
      <c r="BC298" s="272">
        <f t="shared" ca="1" si="121"/>
        <v>213</v>
      </c>
      <c r="BD298" s="272">
        <f t="shared" ca="1" si="121"/>
        <v>252</v>
      </c>
      <c r="BE298" s="272">
        <f t="shared" ca="1" si="121"/>
        <v>144</v>
      </c>
      <c r="BF298" s="272">
        <f t="shared" ca="1" si="121"/>
        <v>157</v>
      </c>
      <c r="BG298"/>
    </row>
    <row r="299" spans="18:59" x14ac:dyDescent="0.2">
      <c r="R299">
        <v>272</v>
      </c>
      <c r="S299" s="40"/>
      <c r="T299" s="40"/>
      <c r="U299" s="131"/>
      <c r="V299" s="131"/>
      <c r="W299" s="131"/>
      <c r="X299" s="131"/>
      <c r="Y299" s="131"/>
      <c r="Z299" s="131"/>
      <c r="AA299" s="131"/>
      <c r="AB299" s="131"/>
      <c r="AN299" s="121"/>
      <c r="AO299" s="121" t="e">
        <f t="shared" si="113"/>
        <v>#DIV/0!</v>
      </c>
      <c r="AP299" s="121" t="b">
        <f t="shared" si="119"/>
        <v>0</v>
      </c>
      <c r="AU299" s="121"/>
      <c r="AV299" s="121"/>
      <c r="AW299" s="159"/>
      <c r="AX299" s="159"/>
      <c r="AY299" s="159"/>
      <c r="AZ299" s="157"/>
      <c r="BA299" s="157"/>
      <c r="BB299" s="121">
        <f t="shared" ca="1" si="120"/>
        <v>0</v>
      </c>
      <c r="BC299" s="272">
        <f t="shared" ca="1" si="121"/>
        <v>0</v>
      </c>
      <c r="BD299" s="272">
        <f t="shared" ca="1" si="121"/>
        <v>0</v>
      </c>
      <c r="BE299" s="272">
        <f t="shared" ca="1" si="121"/>
        <v>0</v>
      </c>
      <c r="BF299" s="272">
        <f t="shared" ca="1" si="121"/>
        <v>0</v>
      </c>
      <c r="BG299"/>
    </row>
    <row r="300" spans="18:59" x14ac:dyDescent="0.2">
      <c r="R300">
        <v>273</v>
      </c>
      <c r="S300" s="40">
        <f ca="1">AO300</f>
        <v>1060</v>
      </c>
      <c r="T300" s="40" t="str">
        <f t="shared" ref="T300:AA300" ca="1" si="130">IF(AND($K$4,ISNUMBER(H$143)),ROUND(G$143*S300,0),"")</f>
        <v/>
      </c>
      <c r="U300" s="131" t="str">
        <f t="shared" ca="1" si="130"/>
        <v/>
      </c>
      <c r="V300" s="131" t="str">
        <f t="shared" ca="1" si="130"/>
        <v/>
      </c>
      <c r="W300" s="131" t="str">
        <f t="shared" ca="1" si="130"/>
        <v/>
      </c>
      <c r="X300" s="131" t="str">
        <f t="shared" ca="1" si="130"/>
        <v/>
      </c>
      <c r="Y300" s="131" t="str">
        <f t="shared" ca="1" si="130"/>
        <v/>
      </c>
      <c r="Z300" s="131" t="str">
        <f t="shared" ca="1" si="130"/>
        <v/>
      </c>
      <c r="AA300" s="131" t="str">
        <f t="shared" si="130"/>
        <v/>
      </c>
      <c r="AB300" s="131"/>
      <c r="AN300" s="121"/>
      <c r="AO300" s="121">
        <f t="shared" ca="1" si="113"/>
        <v>1060</v>
      </c>
      <c r="AP300" s="121" t="b">
        <f t="shared" si="119"/>
        <v>0</v>
      </c>
      <c r="AQ300" s="272">
        <f ca="1">+AVERAGEIFS(TABELA_VAZAO[qnat],TABELA_VAZAO[Posto],$R300,TABELA_VAZAO[Data],AQ$27)</f>
        <v>661</v>
      </c>
      <c r="AR300" s="272">
        <f ca="1">+AVERAGEIFS(TABELA_VAZAO[qnat],TABELA_VAZAO[Posto],$R300,TABELA_VAZAO[Data],AR$27)</f>
        <v>716</v>
      </c>
      <c r="AS300" s="272">
        <f ca="1">+AVERAGEIFS(TABELA_VAZAO[qnat],TABELA_VAZAO[Posto],$R300,TABELA_VAZAO[Data],AS$27)</f>
        <v>764</v>
      </c>
      <c r="AT300" s="272">
        <f ca="1">+AVERAGEIFS(TABELA_VAZAO[qnat],TABELA_VAZAO[Posto],$R300,TABELA_VAZAO[Data],AT$27)</f>
        <v>821</v>
      </c>
      <c r="AU300" s="121">
        <f ca="1">+AVERAGEIFS(TABELA_VAZAO[qnat],TABELA_VAZAO[Posto],$R300,TABELA_VAZAO[Data],AU$27)</f>
        <v>889</v>
      </c>
      <c r="AV300" s="272">
        <f ca="1">IFERROR(AVERAGEIFS(TABELA_VAZAO[qnat],TABELA_VAZAO[Posto],$R300,TABELA_VAZAO[Data],AV$27),AU300+$BB300*EXP(AV$26))</f>
        <v>957</v>
      </c>
      <c r="AW300" s="159">
        <f ca="1">IFERROR(AVERAGEIFS(TABELA_VAZAO[qnat],TABELA_VAZAO[Posto],$R300,TABELA_VAZAO[Data],AW$27),AV300+$BB300*EXP(AW$26))</f>
        <v>1021</v>
      </c>
      <c r="AX300" s="325">
        <f ca="1">IFERROR(AVERAGEIFS(TABELA_VAZAO[qnat],TABELA_VAZAO[Posto],$R300,TABELA_VAZAO[Data],AX$27),AW300+$BB300*EXP(AX$26))</f>
        <v>1085.7142857142858</v>
      </c>
      <c r="AY300" s="325">
        <f ca="1">IFERROR(AVERAGEIFS(TABELA_VAZAO[qnat],TABELA_VAZAO[Posto],$R300,TABELA_VAZAO[Data],AY$27),AX300+$BB300*EXP(AY$26))</f>
        <v>1129.0935686934492</v>
      </c>
      <c r="AZ300" s="326">
        <f ca="1">IFERROR(AVERAGEIFS(TABELA_VAZAO[qnat],TABELA_VAZAO[Posto],$R300,TABELA_VAZAO[Data],AZ$27),AY300+$BB300*EXP(AZ$26))</f>
        <v>1158.1715716570352</v>
      </c>
      <c r="BA300" s="326">
        <f ca="1">IFERROR(AVERAGEIFS(TABELA_VAZAO[qnat],TABELA_VAZAO[Posto],$R300,TABELA_VAZAO[Data],BA$27),AZ300+$BB300*EXP(BA$26))</f>
        <v>1177.6631399422106</v>
      </c>
      <c r="BB300" s="121">
        <f t="shared" ca="1" si="120"/>
        <v>64.714285714285708</v>
      </c>
      <c r="BC300" s="272">
        <f t="shared" ca="1" si="121"/>
        <v>57</v>
      </c>
      <c r="BD300" s="272">
        <f t="shared" ca="1" si="121"/>
        <v>68</v>
      </c>
      <c r="BE300" s="272">
        <f t="shared" ca="1" si="121"/>
        <v>68</v>
      </c>
      <c r="BF300" s="272">
        <f t="shared" ca="1" si="121"/>
        <v>64</v>
      </c>
      <c r="BG300"/>
    </row>
    <row r="301" spans="18:59" x14ac:dyDescent="0.2">
      <c r="R301">
        <v>274</v>
      </c>
      <c r="S301" s="40"/>
      <c r="T301" s="40"/>
      <c r="U301" s="131"/>
      <c r="V301" s="131"/>
      <c r="W301" s="131"/>
      <c r="X301" s="131"/>
      <c r="Y301" s="131"/>
      <c r="Z301" s="131"/>
      <c r="AA301" s="131"/>
      <c r="AB301" s="131"/>
      <c r="AN301" s="121"/>
      <c r="AO301" s="121" t="e">
        <f t="shared" si="113"/>
        <v>#DIV/0!</v>
      </c>
      <c r="AP301" s="121" t="b">
        <f t="shared" si="119"/>
        <v>0</v>
      </c>
      <c r="AU301" s="121"/>
      <c r="AV301" s="121"/>
      <c r="AW301" s="159"/>
      <c r="AX301" s="159"/>
      <c r="AY301" s="159"/>
      <c r="AZ301" s="157"/>
      <c r="BA301" s="157"/>
      <c r="BB301" s="121">
        <f t="shared" ca="1" si="120"/>
        <v>0</v>
      </c>
      <c r="BC301" s="272">
        <f t="shared" ca="1" si="121"/>
        <v>0</v>
      </c>
      <c r="BD301" s="272">
        <f t="shared" ca="1" si="121"/>
        <v>0</v>
      </c>
      <c r="BE301" s="272">
        <f t="shared" ca="1" si="121"/>
        <v>0</v>
      </c>
      <c r="BF301" s="272">
        <f t="shared" ca="1" si="121"/>
        <v>0</v>
      </c>
      <c r="BG301"/>
    </row>
    <row r="302" spans="18:59" x14ac:dyDescent="0.2">
      <c r="R302">
        <v>275</v>
      </c>
      <c r="S302" s="40">
        <f ca="1">AO302</f>
        <v>6111</v>
      </c>
      <c r="T302" s="40" t="str">
        <f t="shared" ref="T302:AA302" ca="1" si="131">IF(AND($K$4,ISNUMBER(H$143)),ROUND(G$143*S302,0),"")</f>
        <v/>
      </c>
      <c r="U302" s="131" t="str">
        <f t="shared" ca="1" si="131"/>
        <v/>
      </c>
      <c r="V302" s="131" t="str">
        <f t="shared" ca="1" si="131"/>
        <v/>
      </c>
      <c r="W302" s="131" t="str">
        <f t="shared" ca="1" si="131"/>
        <v/>
      </c>
      <c r="X302" s="131" t="str">
        <f t="shared" ca="1" si="131"/>
        <v/>
      </c>
      <c r="Y302" s="131" t="str">
        <f t="shared" ca="1" si="131"/>
        <v/>
      </c>
      <c r="Z302" s="131" t="str">
        <f t="shared" ca="1" si="131"/>
        <v/>
      </c>
      <c r="AA302" s="131" t="str">
        <f t="shared" si="131"/>
        <v/>
      </c>
      <c r="AB302" s="131"/>
      <c r="AN302" s="121"/>
      <c r="AO302" s="121">
        <f t="shared" ref="AO302:AO333" ca="1" si="132">IFERROR(ROUND(INDEX(F$28:F$129,MATCH($R302,$A$28:$A$129,0)),0),ROUND(AVERAGE(AU302:BA302),0))</f>
        <v>6111</v>
      </c>
      <c r="AP302" s="121" t="b">
        <f t="shared" si="119"/>
        <v>0</v>
      </c>
      <c r="AQ302" s="272">
        <f ca="1">+AVERAGEIFS(TABELA_VAZAO[qnat],TABELA_VAZAO[Posto],$R302,TABELA_VAZAO[Data],AQ$27)</f>
        <v>4037</v>
      </c>
      <c r="AR302" s="272">
        <f ca="1">+AVERAGEIFS(TABELA_VAZAO[qnat],TABELA_VAZAO[Posto],$R302,TABELA_VAZAO[Data],AR$27)</f>
        <v>4307</v>
      </c>
      <c r="AS302" s="272">
        <f ca="1">+AVERAGEIFS(TABELA_VAZAO[qnat],TABELA_VAZAO[Posto],$R302,TABELA_VAZAO[Data],AS$27)</f>
        <v>4563</v>
      </c>
      <c r="AT302" s="272">
        <f ca="1">+AVERAGEIFS(TABELA_VAZAO[qnat],TABELA_VAZAO[Posto],$R302,TABELA_VAZAO[Data],AT$27)</f>
        <v>4868</v>
      </c>
      <c r="AU302" s="121">
        <f ca="1">+AVERAGEIFS(TABELA_VAZAO[qnat],TABELA_VAZAO[Posto],$R302,TABELA_VAZAO[Data],AU$27)</f>
        <v>5279</v>
      </c>
      <c r="AV302" s="272">
        <f ca="1">IFERROR(AVERAGEIFS(TABELA_VAZAO[qnat],TABELA_VAZAO[Posto],$R302,TABELA_VAZAO[Data],AV$27),AU302+$BB302*EXP(AV$26))</f>
        <v>5594</v>
      </c>
      <c r="AW302" s="159">
        <f ca="1">IFERROR(AVERAGEIFS(TABELA_VAZAO[qnat],TABELA_VAZAO[Posto],$R302,TABELA_VAZAO[Data],AW$27),AV302+$BB302*EXP(AW$26))</f>
        <v>5909</v>
      </c>
      <c r="AX302" s="325">
        <f ca="1">IFERROR(AVERAGEIFS(TABELA_VAZAO[qnat],TABELA_VAZAO[Posto],$R302,TABELA_VAZAO[Data],AX$27),AW302+$BB302*EXP(AX$26))</f>
        <v>6236.2857142857147</v>
      </c>
      <c r="AY302" s="325">
        <f ca="1">IFERROR(AVERAGEIFS(TABELA_VAZAO[qnat],TABELA_VAZAO[Posto],$R302,TABELA_VAZAO[Data],AY$27),AX302+$BB302*EXP(AY$26))</f>
        <v>6455.6718893525222</v>
      </c>
      <c r="AZ302" s="326">
        <f ca="1">IFERROR(AVERAGEIFS(TABELA_VAZAO[qnat],TABELA_VAZAO[Posto],$R302,TABELA_VAZAO[Data],AZ$27),AY302+$BB302*EXP(AZ$26))</f>
        <v>6602.7308403228872</v>
      </c>
      <c r="BA302" s="326">
        <f ca="1">IFERROR(AVERAGEIFS(TABELA_VAZAO[qnat],TABELA_VAZAO[Posto],$R302,TABELA_VAZAO[Data],BA$27),AZ302+$BB302*EXP(BA$26))</f>
        <v>6701.3074031072947</v>
      </c>
      <c r="BB302" s="121">
        <f t="shared" ca="1" si="120"/>
        <v>327.28571428571428</v>
      </c>
      <c r="BC302" s="272">
        <f t="shared" ca="1" si="121"/>
        <v>305</v>
      </c>
      <c r="BD302" s="272">
        <f t="shared" ca="1" si="121"/>
        <v>411</v>
      </c>
      <c r="BE302" s="272">
        <f t="shared" ca="1" si="121"/>
        <v>315</v>
      </c>
      <c r="BF302" s="272">
        <f t="shared" ca="1" si="121"/>
        <v>315</v>
      </c>
      <c r="BG302"/>
    </row>
    <row r="303" spans="18:59" x14ac:dyDescent="0.2">
      <c r="R303">
        <v>276</v>
      </c>
      <c r="S303" s="40"/>
      <c r="T303" s="40"/>
      <c r="U303" s="131"/>
      <c r="V303" s="131"/>
      <c r="W303" s="131"/>
      <c r="X303" s="131"/>
      <c r="Y303" s="131"/>
      <c r="Z303" s="131"/>
      <c r="AA303" s="131"/>
      <c r="AB303" s="131"/>
      <c r="AN303" s="121"/>
      <c r="AO303" s="121" t="e">
        <f t="shared" si="132"/>
        <v>#DIV/0!</v>
      </c>
      <c r="AP303" s="121" t="b">
        <f t="shared" si="119"/>
        <v>0</v>
      </c>
      <c r="AU303" s="121"/>
      <c r="AV303" s="121"/>
      <c r="AW303" s="159"/>
      <c r="AX303" s="159"/>
      <c r="AY303" s="159"/>
      <c r="AZ303" s="157"/>
      <c r="BA303" s="157"/>
      <c r="BB303" s="121">
        <f t="shared" ca="1" si="120"/>
        <v>0</v>
      </c>
      <c r="BC303" s="272">
        <f t="shared" ca="1" si="121"/>
        <v>0</v>
      </c>
      <c r="BD303" s="272">
        <f t="shared" ca="1" si="121"/>
        <v>0</v>
      </c>
      <c r="BE303" s="272">
        <f t="shared" ca="1" si="121"/>
        <v>0</v>
      </c>
      <c r="BF303" s="272">
        <f t="shared" ca="1" si="121"/>
        <v>0</v>
      </c>
      <c r="BG303"/>
    </row>
    <row r="304" spans="18:59" x14ac:dyDescent="0.2">
      <c r="R304">
        <v>277</v>
      </c>
      <c r="S304" s="40">
        <f ca="1">AO304</f>
        <v>236</v>
      </c>
      <c r="T304" s="40" t="str">
        <f t="shared" ref="T304:AA308" ca="1" si="133">IF(AND($K$4,ISNUMBER(H$143)),ROUND(G$143*S304,0),"")</f>
        <v/>
      </c>
      <c r="U304" s="131" t="str">
        <f t="shared" ca="1" si="133"/>
        <v/>
      </c>
      <c r="V304" s="131" t="str">
        <f t="shared" ca="1" si="133"/>
        <v/>
      </c>
      <c r="W304" s="131" t="str">
        <f t="shared" ca="1" si="133"/>
        <v/>
      </c>
      <c r="X304" s="131" t="str">
        <f t="shared" ca="1" si="133"/>
        <v/>
      </c>
      <c r="Y304" s="131" t="str">
        <f t="shared" ca="1" si="133"/>
        <v/>
      </c>
      <c r="Z304" s="131" t="str">
        <f t="shared" ca="1" si="133"/>
        <v/>
      </c>
      <c r="AA304" s="131" t="str">
        <f t="shared" si="133"/>
        <v/>
      </c>
      <c r="AB304" s="131"/>
      <c r="AN304" s="121"/>
      <c r="AO304" s="121">
        <f t="shared" ca="1" si="132"/>
        <v>236</v>
      </c>
      <c r="AP304" s="121" t="b">
        <f t="shared" si="119"/>
        <v>0</v>
      </c>
      <c r="AQ304" s="272">
        <f ca="1">+AVERAGEIFS(TABELA_VAZAO[qnat],TABELA_VAZAO[Posto],$R304,TABELA_VAZAO[Data],AQ$27)</f>
        <v>128</v>
      </c>
      <c r="AR304" s="272">
        <f ca="1">+AVERAGEIFS(TABELA_VAZAO[qnat],TABELA_VAZAO[Posto],$R304,TABELA_VAZAO[Data],AR$27)</f>
        <v>137</v>
      </c>
      <c r="AS304" s="272">
        <f ca="1">+AVERAGEIFS(TABELA_VAZAO[qnat],TABELA_VAZAO[Posto],$R304,TABELA_VAZAO[Data],AS$27)</f>
        <v>156</v>
      </c>
      <c r="AT304" s="272">
        <f ca="1">+AVERAGEIFS(TABELA_VAZAO[qnat],TABELA_VAZAO[Posto],$R304,TABELA_VAZAO[Data],AT$27)</f>
        <v>182</v>
      </c>
      <c r="AU304" s="121">
        <f ca="1">+AVERAGEIFS(TABELA_VAZAO[qnat],TABELA_VAZAO[Posto],$R304,TABELA_VAZAO[Data],AU$27)</f>
        <v>205</v>
      </c>
      <c r="AV304" s="272">
        <f ca="1">IFERROR(AVERAGEIFS(TABELA_VAZAO[qnat],TABELA_VAZAO[Posto],$R304,TABELA_VAZAO[Data],AV$27),AU304+$BB304*EXP(AV$26))</f>
        <v>220</v>
      </c>
      <c r="AW304" s="159">
        <f ca="1">IFERROR(AVERAGEIFS(TABELA_VAZAO[qnat],TABELA_VAZAO[Posto],$R304,TABELA_VAZAO[Data],AW$27),AV304+$BB304*EXP(AW$26))</f>
        <v>226</v>
      </c>
      <c r="AX304" s="325">
        <f ca="1">IFERROR(AVERAGEIFS(TABELA_VAZAO[qnat],TABELA_VAZAO[Posto],$R304,TABELA_VAZAO[Data],AX$27),AW304+$BB304*EXP(AX$26))</f>
        <v>239.85714285714286</v>
      </c>
      <c r="AY304" s="325">
        <f ca="1">IFERROR(AVERAGEIFS(TABELA_VAZAO[qnat],TABELA_VAZAO[Posto],$R304,TABELA_VAZAO[Data],AY$27),AX304+$BB304*EXP(AY$26))</f>
        <v>249.1458634950653</v>
      </c>
      <c r="AZ304" s="326">
        <f ca="1">IFERROR(AVERAGEIFS(TABELA_VAZAO[qnat],TABELA_VAZAO[Posto],$R304,TABELA_VAZAO[Data],AZ$27),AY304+$BB304*EXP(AZ$26))</f>
        <v>255.37227914068964</v>
      </c>
      <c r="BA304" s="326">
        <f ca="1">IFERROR(AVERAGEIFS(TABELA_VAZAO[qnat],TABELA_VAZAO[Posto],$R304,TABELA_VAZAO[Data],BA$27),AZ304+$BB304*EXP(BA$26))</f>
        <v>259.54597036290158</v>
      </c>
      <c r="BB304" s="121">
        <f t="shared" ca="1" si="120"/>
        <v>13.857142857142858</v>
      </c>
      <c r="BC304" s="272">
        <f t="shared" ca="1" si="121"/>
        <v>26</v>
      </c>
      <c r="BD304" s="272">
        <f t="shared" ca="1" si="121"/>
        <v>23</v>
      </c>
      <c r="BE304" s="272">
        <f t="shared" ca="1" si="121"/>
        <v>15</v>
      </c>
      <c r="BF304" s="272">
        <f t="shared" ca="1" si="121"/>
        <v>6</v>
      </c>
      <c r="BG304"/>
    </row>
    <row r="305" spans="18:59" x14ac:dyDescent="0.2">
      <c r="R305">
        <v>278</v>
      </c>
      <c r="S305" s="40">
        <f ca="1">AO305</f>
        <v>84</v>
      </c>
      <c r="T305" s="40" t="str">
        <f t="shared" ca="1" si="133"/>
        <v/>
      </c>
      <c r="U305" s="131" t="str">
        <f t="shared" ca="1" si="133"/>
        <v/>
      </c>
      <c r="V305" s="131" t="str">
        <f t="shared" ca="1" si="133"/>
        <v/>
      </c>
      <c r="W305" s="131" t="str">
        <f t="shared" ca="1" si="133"/>
        <v/>
      </c>
      <c r="X305" s="131" t="str">
        <f t="shared" ca="1" si="133"/>
        <v/>
      </c>
      <c r="Y305" s="131" t="str">
        <f t="shared" ca="1" si="133"/>
        <v/>
      </c>
      <c r="Z305" s="131" t="str">
        <f t="shared" ca="1" si="133"/>
        <v/>
      </c>
      <c r="AA305" s="131" t="str">
        <f t="shared" si="133"/>
        <v/>
      </c>
      <c r="AB305" s="131"/>
      <c r="AN305" s="121"/>
      <c r="AO305" s="121">
        <f t="shared" ca="1" si="132"/>
        <v>84</v>
      </c>
      <c r="AP305" s="121" t="b">
        <f t="shared" si="119"/>
        <v>0</v>
      </c>
      <c r="AQ305" s="272">
        <f ca="1">+AVERAGEIFS(TABELA_VAZAO[qnat],TABELA_VAZAO[Posto],$R305,TABELA_VAZAO[Data],AQ$27)</f>
        <v>97</v>
      </c>
      <c r="AR305" s="272">
        <f ca="1">+AVERAGEIFS(TABELA_VAZAO[qnat],TABELA_VAZAO[Posto],$R305,TABELA_VAZAO[Data],AR$27)</f>
        <v>91</v>
      </c>
      <c r="AS305" s="272">
        <f ca="1">+AVERAGEIFS(TABELA_VAZAO[qnat],TABELA_VAZAO[Posto],$R305,TABELA_VAZAO[Data],AS$27)</f>
        <v>87</v>
      </c>
      <c r="AT305" s="272">
        <f ca="1">+AVERAGEIFS(TABELA_VAZAO[qnat],TABELA_VAZAO[Posto],$R305,TABELA_VAZAO[Data],AT$27)</f>
        <v>84</v>
      </c>
      <c r="AU305" s="121">
        <f ca="1">+AVERAGEIFS(TABELA_VAZAO[qnat],TABELA_VAZAO[Posto],$R305,TABELA_VAZAO[Data],AU$27)</f>
        <v>83</v>
      </c>
      <c r="AV305" s="272">
        <f ca="1">IFERROR(AVERAGEIFS(TABELA_VAZAO[qnat],TABELA_VAZAO[Posto],$R305,TABELA_VAZAO[Data],AV$27),AU305+$BB305*EXP(AV$26))</f>
        <v>83</v>
      </c>
      <c r="AW305" s="159">
        <f ca="1">IFERROR(AVERAGEIFS(TABELA_VAZAO[qnat],TABELA_VAZAO[Posto],$R305,TABELA_VAZAO[Data],AW$27),AV305+$BB305*EXP(AW$26))</f>
        <v>84</v>
      </c>
      <c r="AX305" s="325">
        <f ca="1">IFERROR(AVERAGEIFS(TABELA_VAZAO[qnat],TABELA_VAZAO[Posto],$R305,TABELA_VAZAO[Data],AX$27),AW305+$BB305*EXP(AX$26))</f>
        <v>83.857142857142861</v>
      </c>
      <c r="AY305" s="325">
        <f ca="1">IFERROR(AVERAGEIFS(TABELA_VAZAO[qnat],TABELA_VAZAO[Posto],$R305,TABELA_VAZAO[Data],AY$27),AX305+$BB305*EXP(AY$26))</f>
        <v>83.761382850566335</v>
      </c>
      <c r="AZ305" s="326">
        <f ca="1">IFERROR(AVERAGEIFS(TABELA_VAZAO[qnat],TABELA_VAZAO[Posto],$R305,TABELA_VAZAO[Data],AZ$27),AY305+$BB305*EXP(AZ$26))</f>
        <v>83.697192998549582</v>
      </c>
      <c r="BA305" s="326">
        <f ca="1">IFERROR(AVERAGEIFS(TABELA_VAZAO[qnat],TABELA_VAZAO[Posto],$R305,TABELA_VAZAO[Data],BA$27),AZ305+$BB305*EXP(BA$26))</f>
        <v>83.654165253990698</v>
      </c>
      <c r="BB305" s="121">
        <f t="shared" ca="1" si="120"/>
        <v>-0.14285714285714285</v>
      </c>
      <c r="BC305" s="272">
        <f t="shared" ca="1" si="121"/>
        <v>-3</v>
      </c>
      <c r="BD305" s="272">
        <f t="shared" ca="1" si="121"/>
        <v>-1</v>
      </c>
      <c r="BE305" s="272">
        <f t="shared" ca="1" si="121"/>
        <v>0</v>
      </c>
      <c r="BF305" s="272">
        <f t="shared" ca="1" si="121"/>
        <v>1</v>
      </c>
      <c r="BG305"/>
    </row>
    <row r="306" spans="18:59" x14ac:dyDescent="0.2">
      <c r="R306">
        <v>279</v>
      </c>
      <c r="S306" s="40">
        <f ca="1">AO306</f>
        <v>811</v>
      </c>
      <c r="T306" s="40" t="str">
        <f t="shared" ca="1" si="133"/>
        <v/>
      </c>
      <c r="U306" s="131" t="str">
        <f t="shared" ca="1" si="133"/>
        <v/>
      </c>
      <c r="V306" s="131" t="str">
        <f t="shared" ca="1" si="133"/>
        <v/>
      </c>
      <c r="W306" s="131" t="str">
        <f t="shared" ca="1" si="133"/>
        <v/>
      </c>
      <c r="X306" s="131" t="str">
        <f t="shared" ca="1" si="133"/>
        <v/>
      </c>
      <c r="Y306" s="131" t="str">
        <f t="shared" ca="1" si="133"/>
        <v/>
      </c>
      <c r="Z306" s="131" t="str">
        <f t="shared" ca="1" si="133"/>
        <v/>
      </c>
      <c r="AA306" s="131" t="str">
        <f t="shared" si="133"/>
        <v/>
      </c>
      <c r="AB306" s="131"/>
      <c r="AN306" s="121"/>
      <c r="AO306" s="121">
        <f t="shared" ca="1" si="132"/>
        <v>811</v>
      </c>
      <c r="AP306" s="121" t="b">
        <f t="shared" si="119"/>
        <v>0</v>
      </c>
      <c r="AQ306" s="272">
        <f ca="1">+AVERAGEIFS(TABELA_VAZAO[qnat],TABELA_VAZAO[Posto],$R306,TABELA_VAZAO[Data],AQ$27)</f>
        <v>538</v>
      </c>
      <c r="AR306" s="272">
        <f ca="1">+AVERAGEIFS(TABELA_VAZAO[qnat],TABELA_VAZAO[Posto],$R306,TABELA_VAZAO[Data],AR$27)</f>
        <v>572</v>
      </c>
      <c r="AS306" s="272">
        <f ca="1">+AVERAGEIFS(TABELA_VAZAO[qnat],TABELA_VAZAO[Posto],$R306,TABELA_VAZAO[Data],AS$27)</f>
        <v>648</v>
      </c>
      <c r="AT306" s="272">
        <f ca="1">+AVERAGEIFS(TABELA_VAZAO[qnat],TABELA_VAZAO[Posto],$R306,TABELA_VAZAO[Data],AT$27)</f>
        <v>728</v>
      </c>
      <c r="AU306" s="121">
        <f ca="1">+AVERAGEIFS(TABELA_VAZAO[qnat],TABELA_VAZAO[Posto],$R306,TABELA_VAZAO[Data],AU$27)</f>
        <v>908</v>
      </c>
      <c r="AV306" s="272">
        <f ca="1">IFERROR(AVERAGEIFS(TABELA_VAZAO[qnat],TABELA_VAZAO[Posto],$R306,TABELA_VAZAO[Data],AV$27),AU306+$BB306*EXP(AV$26))</f>
        <v>1006</v>
      </c>
      <c r="AW306" s="159">
        <f ca="1">IFERROR(AVERAGEIFS(TABELA_VAZAO[qnat],TABELA_VAZAO[Posto],$R306,TABELA_VAZAO[Data],AW$27),AV306+$BB306*EXP(AW$26))</f>
        <v>791</v>
      </c>
      <c r="AX306" s="325">
        <f ca="1">IFERROR(AVERAGEIFS(TABELA_VAZAO[qnat],TABELA_VAZAO[Posto],$R306,TABELA_VAZAO[Data],AX$27),AW306+$BB306*EXP(AX$26))</f>
        <v>764</v>
      </c>
      <c r="AY306" s="325">
        <f ca="1">IFERROR(AVERAGEIFS(TABELA_VAZAO[qnat],TABELA_VAZAO[Posto],$R306,TABELA_VAZAO[Data],AY$27),AX306+$BB306*EXP(AY$26))</f>
        <v>745.90135875703777</v>
      </c>
      <c r="AZ306" s="326">
        <f ca="1">IFERROR(AVERAGEIFS(TABELA_VAZAO[qnat],TABELA_VAZAO[Posto],$R306,TABELA_VAZAO[Data],AZ$27),AY306+$BB306*EXP(AZ$26))</f>
        <v>733.76947672587278</v>
      </c>
      <c r="BA306" s="326">
        <f ca="1">IFERROR(AVERAGEIFS(TABELA_VAZAO[qnat],TABELA_VAZAO[Posto],$R306,TABELA_VAZAO[Data],BA$27),AZ306+$BB306*EXP(BA$26))</f>
        <v>725.63723300424328</v>
      </c>
      <c r="BB306" s="121">
        <f t="shared" ca="1" si="120"/>
        <v>-27</v>
      </c>
      <c r="BC306" s="272">
        <f t="shared" ca="1" si="121"/>
        <v>80</v>
      </c>
      <c r="BD306" s="272">
        <f t="shared" ca="1" si="121"/>
        <v>180</v>
      </c>
      <c r="BE306" s="272">
        <f t="shared" ca="1" si="121"/>
        <v>98</v>
      </c>
      <c r="BF306" s="272">
        <f t="shared" ca="1" si="121"/>
        <v>-215</v>
      </c>
      <c r="BG306"/>
    </row>
    <row r="307" spans="18:59" x14ac:dyDescent="0.2">
      <c r="R307">
        <v>280</v>
      </c>
      <c r="S307" s="40">
        <f ca="1">AO307</f>
        <v>528</v>
      </c>
      <c r="T307" s="40" t="str">
        <f t="shared" ca="1" si="133"/>
        <v/>
      </c>
      <c r="U307" s="131" t="str">
        <f t="shared" ca="1" si="133"/>
        <v/>
      </c>
      <c r="V307" s="131" t="str">
        <f t="shared" ca="1" si="133"/>
        <v/>
      </c>
      <c r="W307" s="131" t="str">
        <f t="shared" ca="1" si="133"/>
        <v/>
      </c>
      <c r="X307" s="131" t="str">
        <f t="shared" ca="1" si="133"/>
        <v/>
      </c>
      <c r="Y307" s="131" t="str">
        <f t="shared" ca="1" si="133"/>
        <v/>
      </c>
      <c r="Z307" s="131" t="str">
        <f t="shared" ca="1" si="133"/>
        <v/>
      </c>
      <c r="AA307" s="131" t="str">
        <f t="shared" si="133"/>
        <v/>
      </c>
      <c r="AB307" s="131"/>
      <c r="AN307" s="121"/>
      <c r="AO307" s="121">
        <f t="shared" ca="1" si="132"/>
        <v>528</v>
      </c>
      <c r="AP307" s="121" t="b">
        <f t="shared" si="119"/>
        <v>0</v>
      </c>
      <c r="AQ307" s="272">
        <f ca="1">+AVERAGEIFS(TABELA_VAZAO[qnat],TABELA_VAZAO[Posto],$R307,TABELA_VAZAO[Data],AQ$27)</f>
        <v>667</v>
      </c>
      <c r="AR307" s="272">
        <f ca="1">+AVERAGEIFS(TABELA_VAZAO[qnat],TABELA_VAZAO[Posto],$R307,TABELA_VAZAO[Data],AR$27)</f>
        <v>729</v>
      </c>
      <c r="AS307" s="272">
        <f ca="1">+AVERAGEIFS(TABELA_VAZAO[qnat],TABELA_VAZAO[Posto],$R307,TABELA_VAZAO[Data],AS$27)</f>
        <v>759</v>
      </c>
      <c r="AT307" s="272">
        <f ca="1">+AVERAGEIFS(TABELA_VAZAO[qnat],TABELA_VAZAO[Posto],$R307,TABELA_VAZAO[Data],AT$27)</f>
        <v>721</v>
      </c>
      <c r="AU307" s="121">
        <f ca="1">+AVERAGEIFS(TABELA_VAZAO[qnat],TABELA_VAZAO[Posto],$R307,TABELA_VAZAO[Data],AU$27)</f>
        <v>647</v>
      </c>
      <c r="AV307" s="272">
        <f ca="1">IFERROR(AVERAGEIFS(TABELA_VAZAO[qnat],TABELA_VAZAO[Posto],$R307,TABELA_VAZAO[Data],AV$27),AU307+$BB307*EXP(AV$26))</f>
        <v>580</v>
      </c>
      <c r="AW307" s="159">
        <f ca="1">IFERROR(AVERAGEIFS(TABELA_VAZAO[qnat],TABELA_VAZAO[Posto],$R307,TABELA_VAZAO[Data],AW$27),AV307+$BB307*EXP(AW$26))</f>
        <v>558</v>
      </c>
      <c r="AX307" s="325">
        <f ca="1">IFERROR(AVERAGEIFS(TABELA_VAZAO[qnat],TABELA_VAZAO[Posto],$R307,TABELA_VAZAO[Data],AX$27),AW307+$BB307*EXP(AX$26))</f>
        <v>513.42857142857144</v>
      </c>
      <c r="AY307" s="325">
        <f ca="1">IFERROR(AVERAGEIFS(TABELA_VAZAO[qnat],TABELA_VAZAO[Posto],$R307,TABELA_VAZAO[Data],AY$27),AX307+$BB307*EXP(AY$26))</f>
        <v>483.55144937669724</v>
      </c>
      <c r="AZ307" s="326">
        <f ca="1">IFERROR(AVERAGEIFS(TABELA_VAZAO[qnat],TABELA_VAZAO[Posto],$R307,TABELA_VAZAO[Data],AZ$27),AY307+$BB307*EXP(AZ$26))</f>
        <v>463.52421554747252</v>
      </c>
      <c r="BA307" s="326">
        <f ca="1">IFERROR(AVERAGEIFS(TABELA_VAZAO[qnat],TABELA_VAZAO[Posto],$R307,TABELA_VAZAO[Data],BA$27),AZ307+$BB307*EXP(BA$26))</f>
        <v>450.09955924510007</v>
      </c>
      <c r="BB307" s="121">
        <f t="shared" ca="1" si="120"/>
        <v>-44.571428571428569</v>
      </c>
      <c r="BC307" s="272">
        <f t="shared" ca="1" si="121"/>
        <v>-38</v>
      </c>
      <c r="BD307" s="272">
        <f t="shared" ca="1" si="121"/>
        <v>-74</v>
      </c>
      <c r="BE307" s="272">
        <f t="shared" ca="1" si="121"/>
        <v>-67</v>
      </c>
      <c r="BF307" s="272">
        <f t="shared" ca="1" si="121"/>
        <v>-22</v>
      </c>
      <c r="BG307"/>
    </row>
    <row r="308" spans="18:59" x14ac:dyDescent="0.2">
      <c r="R308">
        <v>281</v>
      </c>
      <c r="S308" s="40">
        <f ca="1">AO308</f>
        <v>72</v>
      </c>
      <c r="T308" s="40" t="str">
        <f t="shared" ca="1" si="133"/>
        <v/>
      </c>
      <c r="U308" s="131" t="str">
        <f t="shared" ca="1" si="133"/>
        <v/>
      </c>
      <c r="V308" s="131" t="str">
        <f t="shared" ca="1" si="133"/>
        <v/>
      </c>
      <c r="W308" s="131" t="str">
        <f t="shared" ca="1" si="133"/>
        <v/>
      </c>
      <c r="X308" s="131" t="str">
        <f t="shared" ca="1" si="133"/>
        <v/>
      </c>
      <c r="Y308" s="131" t="str">
        <f t="shared" ca="1" si="133"/>
        <v/>
      </c>
      <c r="Z308" s="131" t="str">
        <f t="shared" ca="1" si="133"/>
        <v/>
      </c>
      <c r="AA308" s="131" t="str">
        <f t="shared" si="133"/>
        <v/>
      </c>
      <c r="AB308" s="131"/>
      <c r="AN308" s="121"/>
      <c r="AO308" s="121">
        <f t="shared" ca="1" si="132"/>
        <v>72</v>
      </c>
      <c r="AP308" s="121" t="b">
        <f t="shared" si="119"/>
        <v>0</v>
      </c>
      <c r="AQ308" s="272">
        <f ca="1">+AVERAGEIFS(TABELA_VAZAO[qnat],TABELA_VAZAO[Posto],$R308,TABELA_VAZAO[Data],AQ$27)</f>
        <v>81</v>
      </c>
      <c r="AR308" s="272">
        <f ca="1">+AVERAGEIFS(TABELA_VAZAO[qnat],TABELA_VAZAO[Posto],$R308,TABELA_VAZAO[Data],AR$27)</f>
        <v>82</v>
      </c>
      <c r="AS308" s="272">
        <f ca="1">+AVERAGEIFS(TABELA_VAZAO[qnat],TABELA_VAZAO[Posto],$R308,TABELA_VAZAO[Data],AS$27)</f>
        <v>81</v>
      </c>
      <c r="AT308" s="272">
        <f ca="1">+AVERAGEIFS(TABELA_VAZAO[qnat],TABELA_VAZAO[Posto],$R308,TABELA_VAZAO[Data],AT$27)</f>
        <v>80</v>
      </c>
      <c r="AU308" s="121">
        <f ca="1">+AVERAGEIFS(TABELA_VAZAO[qnat],TABELA_VAZAO[Posto],$R308,TABELA_VAZAO[Data],AU$27)</f>
        <v>77</v>
      </c>
      <c r="AV308" s="272">
        <f ca="1">IFERROR(AVERAGEIFS(TABELA_VAZAO[qnat],TABELA_VAZAO[Posto],$R308,TABELA_VAZAO[Data],AV$27),AU308+$BB308*EXP(AV$26))</f>
        <v>74</v>
      </c>
      <c r="AW308" s="159">
        <f ca="1">IFERROR(AVERAGEIFS(TABELA_VAZAO[qnat],TABELA_VAZAO[Posto],$R308,TABELA_VAZAO[Data],AW$27),AV308+$BB308*EXP(AW$26))</f>
        <v>73</v>
      </c>
      <c r="AX308" s="325">
        <f ca="1">IFERROR(AVERAGEIFS(TABELA_VAZAO[qnat],TABELA_VAZAO[Posto],$R308,TABELA_VAZAO[Data],AX$27),AW308+$BB308*EXP(AX$26))</f>
        <v>71.142857142857139</v>
      </c>
      <c r="AY308" s="325">
        <f ca="1">IFERROR(AVERAGEIFS(TABELA_VAZAO[qnat],TABELA_VAZAO[Posto],$R308,TABELA_VAZAO[Data],AY$27),AX308+$BB308*EXP(AY$26))</f>
        <v>69.897977057362382</v>
      </c>
      <c r="AZ308" s="326">
        <f ca="1">IFERROR(AVERAGEIFS(TABELA_VAZAO[qnat],TABELA_VAZAO[Posto],$R308,TABELA_VAZAO[Data],AZ$27),AY308+$BB308*EXP(AZ$26))</f>
        <v>69.063508981144679</v>
      </c>
      <c r="BA308" s="326">
        <f ca="1">IFERROR(AVERAGEIFS(TABELA_VAZAO[qnat],TABELA_VAZAO[Posto],$R308,TABELA_VAZAO[Data],BA$27),AZ308+$BB308*EXP(BA$26))</f>
        <v>68.504148301879155</v>
      </c>
      <c r="BB308" s="121">
        <f t="shared" ca="1" si="120"/>
        <v>-1.8571428571428572</v>
      </c>
      <c r="BC308" s="272">
        <f t="shared" ca="1" si="121"/>
        <v>-1</v>
      </c>
      <c r="BD308" s="272">
        <f t="shared" ca="1" si="121"/>
        <v>-3</v>
      </c>
      <c r="BE308" s="272">
        <f t="shared" ca="1" si="121"/>
        <v>-3</v>
      </c>
      <c r="BF308" s="272">
        <f t="shared" ca="1" si="121"/>
        <v>-1</v>
      </c>
      <c r="BG308"/>
    </row>
    <row r="309" spans="18:59" x14ac:dyDescent="0.2">
      <c r="R309">
        <v>282</v>
      </c>
      <c r="S309" s="40"/>
      <c r="T309" s="40"/>
      <c r="U309" s="131"/>
      <c r="V309" s="131"/>
      <c r="W309" s="131"/>
      <c r="X309" s="131"/>
      <c r="Y309" s="131"/>
      <c r="Z309" s="131"/>
      <c r="AA309" s="131"/>
      <c r="AB309" s="131"/>
      <c r="AN309" s="121"/>
      <c r="AO309" s="121" t="e">
        <f t="shared" si="132"/>
        <v>#DIV/0!</v>
      </c>
      <c r="AP309" s="121" t="b">
        <f t="shared" si="119"/>
        <v>0</v>
      </c>
      <c r="AU309" s="121"/>
      <c r="AV309" s="121"/>
      <c r="AW309" s="159"/>
      <c r="AX309" s="159"/>
      <c r="AY309" s="159"/>
      <c r="AZ309" s="157"/>
      <c r="BA309" s="157"/>
      <c r="BB309" s="121">
        <f t="shared" ca="1" si="120"/>
        <v>0</v>
      </c>
      <c r="BC309" s="272">
        <f t="shared" ca="1" si="121"/>
        <v>0</v>
      </c>
      <c r="BD309" s="272">
        <f t="shared" ca="1" si="121"/>
        <v>0</v>
      </c>
      <c r="BE309" s="272">
        <f t="shared" ca="1" si="121"/>
        <v>0</v>
      </c>
      <c r="BF309" s="272">
        <f t="shared" ca="1" si="121"/>
        <v>0</v>
      </c>
      <c r="BG309"/>
    </row>
    <row r="310" spans="18:59" x14ac:dyDescent="0.2">
      <c r="R310">
        <v>283</v>
      </c>
      <c r="S310" s="40">
        <f t="shared" ref="S310:S315" ca="1" si="134">AO310</f>
        <v>15</v>
      </c>
      <c r="T310" s="40" t="str">
        <f t="shared" ref="T310:AA312" ca="1" si="135">IF(AND($K$4,ISNUMBER(H$143)),ROUND(G$143*S310,0),"")</f>
        <v/>
      </c>
      <c r="U310" s="131" t="str">
        <f t="shared" ca="1" si="135"/>
        <v/>
      </c>
      <c r="V310" s="131" t="str">
        <f t="shared" ca="1" si="135"/>
        <v/>
      </c>
      <c r="W310" s="131" t="str">
        <f t="shared" ca="1" si="135"/>
        <v/>
      </c>
      <c r="X310" s="131" t="str">
        <f t="shared" ca="1" si="135"/>
        <v/>
      </c>
      <c r="Y310" s="131" t="str">
        <f t="shared" ca="1" si="135"/>
        <v/>
      </c>
      <c r="Z310" s="131" t="str">
        <f t="shared" ca="1" si="135"/>
        <v/>
      </c>
      <c r="AA310" s="131" t="str">
        <f t="shared" si="135"/>
        <v/>
      </c>
      <c r="AB310" s="131"/>
      <c r="AN310" s="121"/>
      <c r="AO310" s="121">
        <f t="shared" ca="1" si="132"/>
        <v>15</v>
      </c>
      <c r="AP310" s="121" t="b">
        <f t="shared" si="119"/>
        <v>0</v>
      </c>
      <c r="AQ310" s="272">
        <f ca="1">+AVERAGEIFS(TABELA_VAZAO[qnat],TABELA_VAZAO[Posto],$R310,TABELA_VAZAO[Data],AQ$27)</f>
        <v>8</v>
      </c>
      <c r="AR310" s="272">
        <f ca="1">+AVERAGEIFS(TABELA_VAZAO[qnat],TABELA_VAZAO[Posto],$R310,TABELA_VAZAO[Data],AR$27)</f>
        <v>8</v>
      </c>
      <c r="AS310" s="272">
        <f ca="1">+AVERAGEIFS(TABELA_VAZAO[qnat],TABELA_VAZAO[Posto],$R310,TABELA_VAZAO[Data],AS$27)</f>
        <v>8</v>
      </c>
      <c r="AT310" s="272">
        <f ca="1">+AVERAGEIFS(TABELA_VAZAO[qnat],TABELA_VAZAO[Posto],$R310,TABELA_VAZAO[Data],AT$27)</f>
        <v>10</v>
      </c>
      <c r="AU310" s="121">
        <f ca="1">+AVERAGEIFS(TABELA_VAZAO[qnat],TABELA_VAZAO[Posto],$R310,TABELA_VAZAO[Data],AU$27)</f>
        <v>15</v>
      </c>
      <c r="AV310" s="272">
        <f ca="1">IFERROR(AVERAGEIFS(TABELA_VAZAO[qnat],TABELA_VAZAO[Posto],$R310,TABELA_VAZAO[Data],AV$27),AU310+$BB310*EXP(AV$26))</f>
        <v>15</v>
      </c>
      <c r="AW310" s="159">
        <f ca="1">IFERROR(AVERAGEIFS(TABELA_VAZAO[qnat],TABELA_VAZAO[Posto],$R310,TABELA_VAZAO[Data],AW$27),AV310+$BB310*EXP(AW$26))</f>
        <v>14</v>
      </c>
      <c r="AX310" s="325">
        <f ca="1">IFERROR(AVERAGEIFS(TABELA_VAZAO[qnat],TABELA_VAZAO[Posto],$R310,TABELA_VAZAO[Data],AX$27),AW310+$BB310*EXP(AX$26))</f>
        <v>14.571428571428571</v>
      </c>
      <c r="AY310" s="325">
        <f ca="1">IFERROR(AVERAGEIFS(TABELA_VAZAO[qnat],TABELA_VAZAO[Posto],$R310,TABELA_VAZAO[Data],AY$27),AX310+$BB310*EXP(AY$26))</f>
        <v>14.954468597734651</v>
      </c>
      <c r="AZ310" s="326">
        <f ca="1">IFERROR(AVERAGEIFS(TABELA_VAZAO[qnat],TABELA_VAZAO[Posto],$R310,TABELA_VAZAO[Data],AZ$27),AY310+$BB310*EXP(AZ$26))</f>
        <v>15.211228005801635</v>
      </c>
      <c r="BA310" s="326">
        <f ca="1">IFERROR(AVERAGEIFS(TABELA_VAZAO[qnat],TABELA_VAZAO[Posto],$R310,TABELA_VAZAO[Data],BA$27),AZ310+$BB310*EXP(BA$26))</f>
        <v>15.383338984037179</v>
      </c>
      <c r="BB310" s="121">
        <f t="shared" ca="1" si="120"/>
        <v>0.5714285714285714</v>
      </c>
      <c r="BC310" s="272">
        <f t="shared" ca="1" si="121"/>
        <v>2</v>
      </c>
      <c r="BD310" s="272">
        <f t="shared" ca="1" si="121"/>
        <v>5</v>
      </c>
      <c r="BE310" s="272">
        <f t="shared" ca="1" si="121"/>
        <v>0</v>
      </c>
      <c r="BF310" s="272">
        <f t="shared" ca="1" si="121"/>
        <v>-1</v>
      </c>
      <c r="BG310"/>
    </row>
    <row r="311" spans="18:59" x14ac:dyDescent="0.2">
      <c r="R311" s="202">
        <v>284</v>
      </c>
      <c r="S311" s="40" t="e">
        <f t="shared" ca="1" si="134"/>
        <v>#DIV/0!</v>
      </c>
      <c r="T311" s="40" t="str">
        <f t="shared" ca="1" si="135"/>
        <v/>
      </c>
      <c r="U311" s="131" t="str">
        <f t="shared" ca="1" si="135"/>
        <v/>
      </c>
      <c r="V311" s="131" t="str">
        <f t="shared" ca="1" si="135"/>
        <v/>
      </c>
      <c r="W311" s="131" t="str">
        <f t="shared" ca="1" si="135"/>
        <v/>
      </c>
      <c r="X311" s="131" t="str">
        <f t="shared" ca="1" si="135"/>
        <v/>
      </c>
      <c r="Y311" s="131" t="str">
        <f t="shared" ca="1" si="135"/>
        <v/>
      </c>
      <c r="Z311" s="131" t="str">
        <f t="shared" ca="1" si="135"/>
        <v/>
      </c>
      <c r="AA311" s="131" t="str">
        <f t="shared" si="135"/>
        <v/>
      </c>
      <c r="AB311" s="131"/>
      <c r="AN311" s="121"/>
      <c r="AO311" s="121" t="e">
        <f t="shared" ca="1" si="132"/>
        <v>#DIV/0!</v>
      </c>
      <c r="AP311" s="121" t="b">
        <f t="shared" si="119"/>
        <v>0</v>
      </c>
      <c r="AQ311" s="272">
        <f ca="1">+AVERAGEIFS(TABELA_VAZAO[qnat],TABELA_VAZAO[Posto],$R311,TABELA_VAZAO[Data],AQ$27)</f>
        <v>31</v>
      </c>
      <c r="AR311" s="272">
        <f ca="1">+AVERAGEIFS(TABELA_VAZAO[qnat],TABELA_VAZAO[Posto],$R311,TABELA_VAZAO[Data],AR$27)</f>
        <v>37</v>
      </c>
      <c r="AS311" s="272">
        <f ca="1">+AVERAGEIFS(TABELA_VAZAO[qnat],TABELA_VAZAO[Posto],$R311,TABELA_VAZAO[Data],AS$27)</f>
        <v>36</v>
      </c>
      <c r="AT311" s="272">
        <f ca="1">+AVERAGEIFS(TABELA_VAZAO[qnat],TABELA_VAZAO[Posto],$R311,TABELA_VAZAO[Data],AT$27)</f>
        <v>36</v>
      </c>
      <c r="AU311" s="121">
        <f ca="1">+AVERAGEIFS(TABELA_VAZAO[qnat],TABELA_VAZAO[Posto],$R311,TABELA_VAZAO[Data],AU$27)</f>
        <v>32</v>
      </c>
      <c r="AV311" s="272">
        <f ca="1">IFERROR(AVERAGEIFS(TABELA_VAZAO[qnat],TABELA_VAZAO[Posto],$R311,TABELA_VAZAO[Data],AV$27),AU311+$BB311*EXP(AV$26))</f>
        <v>60</v>
      </c>
      <c r="AW311" s="159">
        <f ca="1">IFERROR(AVERAGEIFS(TABELA_VAZAO[qnat],TABELA_VAZAO[Posto],$R311,TABELA_VAZAO[Data],AW$27),AV311+$BB311*EXP(AW$26))</f>
        <v>82</v>
      </c>
      <c r="AX311" s="325">
        <f ca="1">IFERROR(AVERAGEIFS(TABELA_VAZAO[qnat],TABELA_VAZAO[Posto],$R311,TABELA_VAZAO[Data],AX$27),AW311+$BB311*EXP(AX$26))</f>
        <v>98.857142857142861</v>
      </c>
      <c r="AY311" s="325">
        <f ca="1">IFERROR(AVERAGEIFS(TABELA_VAZAO[qnat],TABELA_VAZAO[Posto],$R311,TABELA_VAZAO[Data],AY$27),AX311+$BB311*EXP(AY$26))</f>
        <v>110.15682363317221</v>
      </c>
      <c r="AZ311" s="202" t="e">
        <f ca="1">IFERROR(AVERAGEIFS(TABELA_VAZAO[qnat],TABELA_VAZAO[Posto],$R311,TABELA_VAZAO[Data],AZ$27),INDEX(PREVS_SMAP_DIARIO!$A$130:$Q$130,1,MATCH(PREVS_SMAP!AZ$27,PREVS_SMAP_DIARIO!$A$27:$Q$27,0))*AY311)</f>
        <v>#DIV/0!</v>
      </c>
      <c r="BA311" s="202" t="e">
        <f ca="1">IFERROR(AVERAGEIFS(TABELA_VAZAO[qnat],TABELA_VAZAO[Posto],$R311,TABELA_VAZAO[Data],BA$27),INDEX(PREVS_SMAP_DIARIO!$A$130:$Q$130,1,MATCH(PREVS_SMAP!BA$27,PREVS_SMAP_DIARIO!$A$27:$Q$27,0))*AZ311)</f>
        <v>#DIV/0!</v>
      </c>
      <c r="BB311" s="121">
        <f t="shared" ca="1" si="120"/>
        <v>16.857142857142858</v>
      </c>
      <c r="BC311" s="272">
        <f t="shared" ca="1" si="121"/>
        <v>0</v>
      </c>
      <c r="BD311" s="272">
        <f t="shared" ca="1" si="121"/>
        <v>-4</v>
      </c>
      <c r="BE311" s="272">
        <f t="shared" ca="1" si="121"/>
        <v>28</v>
      </c>
      <c r="BF311" s="272">
        <f t="shared" ca="1" si="121"/>
        <v>22</v>
      </c>
      <c r="BG311"/>
    </row>
    <row r="312" spans="18:59" x14ac:dyDescent="0.2">
      <c r="R312">
        <v>285</v>
      </c>
      <c r="S312" s="40">
        <f t="shared" ca="1" si="134"/>
        <v>32336</v>
      </c>
      <c r="T312" s="40" t="str">
        <f t="shared" ca="1" si="135"/>
        <v/>
      </c>
      <c r="U312" s="131" t="str">
        <f t="shared" ca="1" si="135"/>
        <v/>
      </c>
      <c r="V312" s="131" t="str">
        <f t="shared" ca="1" si="135"/>
        <v/>
      </c>
      <c r="W312" s="131" t="str">
        <f t="shared" ca="1" si="135"/>
        <v/>
      </c>
      <c r="X312" s="131" t="str">
        <f t="shared" ca="1" si="135"/>
        <v/>
      </c>
      <c r="Y312" s="131" t="str">
        <f t="shared" ca="1" si="135"/>
        <v/>
      </c>
      <c r="Z312" s="131" t="str">
        <f t="shared" ca="1" si="135"/>
        <v/>
      </c>
      <c r="AA312" s="131" t="str">
        <f t="shared" si="135"/>
        <v/>
      </c>
      <c r="AB312" s="131"/>
      <c r="AN312" s="121"/>
      <c r="AO312" s="121">
        <f t="shared" ca="1" si="132"/>
        <v>32336</v>
      </c>
      <c r="AP312" s="121" t="b">
        <f t="shared" si="119"/>
        <v>0</v>
      </c>
      <c r="AQ312" s="272">
        <f ca="1">+AVERAGEIFS(TABELA_VAZAO[qnat],TABELA_VAZAO[Posto],$R312,TABELA_VAZAO[Data],AQ$27)</f>
        <v>26510</v>
      </c>
      <c r="AR312" s="272">
        <f ca="1">+AVERAGEIFS(TABELA_VAZAO[qnat],TABELA_VAZAO[Posto],$R312,TABELA_VAZAO[Data],AR$27)</f>
        <v>27376</v>
      </c>
      <c r="AS312" s="272">
        <f ca="1">+AVERAGEIFS(TABELA_VAZAO[qnat],TABELA_VAZAO[Posto],$R312,TABELA_VAZAO[Data],AS$27)</f>
        <v>28272</v>
      </c>
      <c r="AT312" s="272">
        <f ca="1">+AVERAGEIFS(TABELA_VAZAO[qnat],TABELA_VAZAO[Posto],$R312,TABELA_VAZAO[Data],AT$27)</f>
        <v>29203</v>
      </c>
      <c r="AU312" s="121">
        <f ca="1">+AVERAGEIFS(TABELA_VAZAO[qnat],TABELA_VAZAO[Posto],$R312,TABELA_VAZAO[Data],AU$27)</f>
        <v>29473</v>
      </c>
      <c r="AV312" s="272">
        <f ca="1">IFERROR(AVERAGEIFS(TABELA_VAZAO[qnat],TABELA_VAZAO[Posto],$R312,TABELA_VAZAO[Data],AV$27),AU312+$BB312*EXP(AV$26))</f>
        <v>30923</v>
      </c>
      <c r="AW312" s="159">
        <f ca="1">IFERROR(AVERAGEIFS(TABELA_VAZAO[qnat],TABELA_VAZAO[Posto],$R312,TABELA_VAZAO[Data],AW$27),AV312+$BB312*EXP(AW$26))</f>
        <v>31803</v>
      </c>
      <c r="AX312" s="325">
        <f ca="1">IFERROR(AVERAGEIFS(TABELA_VAZAO[qnat],TABELA_VAZAO[Posto],$R312,TABELA_VAZAO[Data],AX$27),AW312+$BB312*EXP(AX$26))</f>
        <v>32766</v>
      </c>
      <c r="AY312" s="325">
        <f ca="1">IFERROR(AVERAGEIFS(TABELA_VAZAO[qnat],TABELA_VAZAO[Posto],$R312,TABELA_VAZAO[Data],AY$27),AX312+$BB312*EXP(AY$26))</f>
        <v>33411.518204332322</v>
      </c>
      <c r="AZ312" s="326">
        <f ca="1">IFERROR(AVERAGEIFS(TABELA_VAZAO[qnat],TABELA_VAZAO[Posto],$R312,TABELA_VAZAO[Data],AZ$27),AY312+$BB312*EXP(AZ$26))</f>
        <v>33844.221996777203</v>
      </c>
      <c r="BA312" s="326">
        <f ca="1">IFERROR(AVERAGEIFS(TABELA_VAZAO[qnat],TABELA_VAZAO[Posto],$R312,TABELA_VAZAO[Data],BA$27),AZ312+$BB312*EXP(BA$26))</f>
        <v>34134.272022848651</v>
      </c>
      <c r="BB312" s="121">
        <f t="shared" ca="1" si="120"/>
        <v>963</v>
      </c>
      <c r="BC312" s="272">
        <f t="shared" ca="1" si="121"/>
        <v>931</v>
      </c>
      <c r="BD312" s="272">
        <f t="shared" ca="1" si="121"/>
        <v>270</v>
      </c>
      <c r="BE312" s="272">
        <f t="shared" ca="1" si="121"/>
        <v>1450</v>
      </c>
      <c r="BF312" s="272">
        <f t="shared" ca="1" si="121"/>
        <v>880</v>
      </c>
      <c r="BG312"/>
    </row>
    <row r="313" spans="18:59" x14ac:dyDescent="0.2">
      <c r="R313">
        <v>286</v>
      </c>
      <c r="S313" s="246">
        <f ca="1">AO313</f>
        <v>11</v>
      </c>
      <c r="T313" s="246" t="str">
        <f t="shared" ref="T313:AA313" ca="1" si="136">IFERROR(ROUND(INDEX(G$28:G$129,MATCH($R313,$A$28:$A$129,0)),0),IF(AND($K$4,ISNUMBER(H$143)),ROUND(G$143*S313,0),""))</f>
        <v/>
      </c>
      <c r="U313" s="246" t="str">
        <f t="shared" ca="1" si="136"/>
        <v/>
      </c>
      <c r="V313" s="246" t="str">
        <f t="shared" ca="1" si="136"/>
        <v/>
      </c>
      <c r="W313" s="246" t="str">
        <f t="shared" ca="1" si="136"/>
        <v/>
      </c>
      <c r="X313" s="246" t="str">
        <f t="shared" ca="1" si="136"/>
        <v/>
      </c>
      <c r="Y313" s="246" t="str">
        <f t="shared" ca="1" si="136"/>
        <v/>
      </c>
      <c r="Z313" s="246" t="str">
        <f t="shared" ca="1" si="136"/>
        <v/>
      </c>
      <c r="AA313" s="246" t="str">
        <f t="shared" ca="1" si="136"/>
        <v/>
      </c>
      <c r="AB313" s="246" t="str">
        <f ca="1">IFERROR(ROUND(INDEX(O$28:O$129,MATCH($R313,$A$28:$A$129,0)),0),"")</f>
        <v/>
      </c>
      <c r="AN313" s="121"/>
      <c r="AO313" s="121">
        <f t="shared" ca="1" si="132"/>
        <v>11</v>
      </c>
      <c r="AP313" s="121" t="b">
        <f t="shared" si="119"/>
        <v>1</v>
      </c>
      <c r="AQ313" s="272">
        <f ca="1">+AVERAGEIFS(TABELA_VAZAO[qnat],TABELA_VAZAO[Posto],$R313,TABELA_VAZAO[Data],AQ$27)</f>
        <v>33</v>
      </c>
      <c r="AR313" s="272">
        <f ca="1">+AVERAGEIFS(TABELA_VAZAO[qnat],TABELA_VAZAO[Posto],$R313,TABELA_VAZAO[Data],AR$27)</f>
        <v>31</v>
      </c>
      <c r="AS313" s="272">
        <f ca="1">+AVERAGEIFS(TABELA_VAZAO[qnat],TABELA_VAZAO[Posto],$R313,TABELA_VAZAO[Data],AS$27)</f>
        <v>30</v>
      </c>
      <c r="AT313" s="272">
        <f ca="1">+AVERAGEIFS(TABELA_VAZAO[qnat],TABELA_VAZAO[Posto],$R313,TABELA_VAZAO[Data],AT$27)</f>
        <v>29</v>
      </c>
      <c r="AU313" s="121">
        <f ca="1">+AVERAGEIFS(TABELA_VAZAO[qnat],TABELA_VAZAO[Posto],$R313,TABELA_VAZAO[Data],AU$27)</f>
        <v>28</v>
      </c>
      <c r="AV313" s="272">
        <f ca="1">IFERROR(AVERAGEIFS(TABELA_VAZAO[qnat],TABELA_VAZAO[Posto],$R313,TABELA_VAZAO[Data],AV$27),AU313+$BB313*EXP(AV$26))</f>
        <v>26</v>
      </c>
      <c r="AW313" s="159">
        <f ca="1">IFERROR(AVERAGEIFS(TABELA_VAZAO[qnat],TABELA_VAZAO[Posto],$R313,TABELA_VAZAO[Data],AW$27),AV313+$BB313*EXP(AW$26))</f>
        <v>26</v>
      </c>
      <c r="AX313" s="325">
        <f ca="1">IFERROR(AVERAGEIFS(TABELA_VAZAO[qnat],TABELA_VAZAO[Posto],$R313,TABELA_VAZAO[Data],AX$27),AW313+$BB313*EXP(AX$26))</f>
        <v>25.142857142857142</v>
      </c>
      <c r="AY313" s="325">
        <f ca="1">IFERROR(AVERAGEIFS(TABELA_VAZAO[qnat],TABELA_VAZAO[Posto],$R313,TABELA_VAZAO[Data],AY$27),AX313+$BB313*EXP(AY$26))</f>
        <v>24.568297103398024</v>
      </c>
      <c r="AZ313" s="326">
        <f ca="1">IFERROR(AVERAGEIFS(TABELA_VAZAO[qnat],TABELA_VAZAO[Posto],$R313,TABELA_VAZAO[Data],AZ$27),AY313+$BB313*EXP(AZ$26))</f>
        <v>24.183157991297549</v>
      </c>
      <c r="BA313" s="326">
        <f ca="1">IFERROR(AVERAGEIFS(TABELA_VAZAO[qnat],TABELA_VAZAO[Posto],$R313,TABELA_VAZAO[Data],BA$27),AZ313+$BB313*EXP(BA$26))</f>
        <v>23.924991523944232</v>
      </c>
      <c r="BB313" s="121">
        <f t="shared" ca="1" si="120"/>
        <v>-0.8571428571428571</v>
      </c>
      <c r="BC313" s="272">
        <f t="shared" ca="1" si="121"/>
        <v>-1</v>
      </c>
      <c r="BD313" s="272">
        <f t="shared" ca="1" si="121"/>
        <v>-1</v>
      </c>
      <c r="BE313" s="272">
        <f t="shared" ca="1" si="121"/>
        <v>-2</v>
      </c>
      <c r="BF313" s="272">
        <f t="shared" ca="1" si="121"/>
        <v>0</v>
      </c>
      <c r="BG313"/>
    </row>
    <row r="314" spans="18:59" x14ac:dyDescent="0.2">
      <c r="R314">
        <v>287</v>
      </c>
      <c r="S314" s="40">
        <f t="shared" ca="1" si="134"/>
        <v>31988</v>
      </c>
      <c r="T314" s="40" t="str">
        <f t="shared" ref="T314:AA315" ca="1" si="137">IF(AND($K$4,ISNUMBER(H$143)),ROUND(G$143*S314,0),"")</f>
        <v/>
      </c>
      <c r="U314" s="131" t="str">
        <f t="shared" ca="1" si="137"/>
        <v/>
      </c>
      <c r="V314" s="131" t="str">
        <f t="shared" ca="1" si="137"/>
        <v/>
      </c>
      <c r="W314" s="131" t="str">
        <f t="shared" ca="1" si="137"/>
        <v/>
      </c>
      <c r="X314" s="131" t="str">
        <f t="shared" ca="1" si="137"/>
        <v/>
      </c>
      <c r="Y314" s="131" t="str">
        <f t="shared" ca="1" si="137"/>
        <v/>
      </c>
      <c r="Z314" s="131" t="str">
        <f t="shared" ca="1" si="137"/>
        <v/>
      </c>
      <c r="AA314" s="131" t="str">
        <f t="shared" si="137"/>
        <v/>
      </c>
      <c r="AB314" s="131"/>
      <c r="AN314" s="121"/>
      <c r="AO314" s="121">
        <f t="shared" ca="1" si="132"/>
        <v>31988</v>
      </c>
      <c r="AP314" s="121" t="b">
        <f t="shared" si="119"/>
        <v>0</v>
      </c>
      <c r="AQ314" s="272">
        <f ca="1">+AVERAGEIFS(TABELA_VAZAO[qnat],TABELA_VAZAO[Posto],$R314,TABELA_VAZAO[Data],AQ$27)</f>
        <v>26878</v>
      </c>
      <c r="AR314" s="272">
        <f ca="1">+AVERAGEIFS(TABELA_VAZAO[qnat],TABELA_VAZAO[Posto],$R314,TABELA_VAZAO[Data],AR$27)</f>
        <v>26963</v>
      </c>
      <c r="AS314" s="272">
        <f ca="1">+AVERAGEIFS(TABELA_VAZAO[qnat],TABELA_VAZAO[Posto],$R314,TABELA_VAZAO[Data],AS$27)</f>
        <v>27844</v>
      </c>
      <c r="AT314" s="272">
        <f ca="1">+AVERAGEIFS(TABELA_VAZAO[qnat],TABELA_VAZAO[Posto],$R314,TABELA_VAZAO[Data],AT$27)</f>
        <v>28756</v>
      </c>
      <c r="AU314" s="121">
        <f ca="1">+AVERAGEIFS(TABELA_VAZAO[qnat],TABELA_VAZAO[Posto],$R314,TABELA_VAZAO[Data],AU$27)</f>
        <v>29664</v>
      </c>
      <c r="AV314" s="272">
        <f ca="1">IFERROR(AVERAGEIFS(TABELA_VAZAO[qnat],TABELA_VAZAO[Posto],$R314,TABELA_VAZAO[Data],AV$27),AU314+$BB314*EXP(AV$26))</f>
        <v>30004</v>
      </c>
      <c r="AW314" s="159">
        <f ca="1">IFERROR(AVERAGEIFS(TABELA_VAZAO[qnat],TABELA_VAZAO[Posto],$R314,TABELA_VAZAO[Data],AW$27),AV314+$BB314*EXP(AW$26))</f>
        <v>31444</v>
      </c>
      <c r="AX314" s="325">
        <f ca="1">IFERROR(AVERAGEIFS(TABELA_VAZAO[qnat],TABELA_VAZAO[Posto],$R314,TABELA_VAZAO[Data],AX$27),AW314+$BB314*EXP(AX$26))</f>
        <v>32418.285714285714</v>
      </c>
      <c r="AY314" s="325">
        <f ca="1">IFERROR(AVERAGEIFS(TABELA_VAZAO[qnat],TABELA_VAZAO[Posto],$R314,TABELA_VAZAO[Data],AY$27),AX314+$BB314*EXP(AY$26))</f>
        <v>33071.368959137581</v>
      </c>
      <c r="AZ314" s="326">
        <f ca="1">IFERROR(AVERAGEIFS(TABELA_VAZAO[qnat],TABELA_VAZAO[Posto],$R314,TABELA_VAZAO[Data],AZ$27),AY314+$BB314*EXP(AZ$26))</f>
        <v>33509.143749891788</v>
      </c>
      <c r="BA314" s="326">
        <f ca="1">IFERROR(AVERAGEIFS(TABELA_VAZAO[qnat],TABELA_VAZAO[Posto],$R314,TABELA_VAZAO[Data],BA$27),AZ314+$BB314*EXP(BA$26))</f>
        <v>33802.592967783392</v>
      </c>
      <c r="BB314" s="121">
        <f t="shared" ca="1" si="120"/>
        <v>974.28571428571433</v>
      </c>
      <c r="BC314" s="272">
        <f t="shared" ca="1" si="121"/>
        <v>912</v>
      </c>
      <c r="BD314" s="272">
        <f t="shared" ca="1" si="121"/>
        <v>908</v>
      </c>
      <c r="BE314" s="272">
        <f t="shared" ca="1" si="121"/>
        <v>340</v>
      </c>
      <c r="BF314" s="272">
        <f t="shared" ca="1" si="121"/>
        <v>1440</v>
      </c>
      <c r="BG314"/>
    </row>
    <row r="315" spans="18:59" x14ac:dyDescent="0.2">
      <c r="R315">
        <v>288</v>
      </c>
      <c r="S315" s="40">
        <f t="shared" ca="1" si="134"/>
        <v>4174</v>
      </c>
      <c r="T315" s="40" t="str">
        <f t="shared" ca="1" si="137"/>
        <v/>
      </c>
      <c r="U315" s="131" t="str">
        <f t="shared" ca="1" si="137"/>
        <v/>
      </c>
      <c r="V315" s="131" t="str">
        <f t="shared" ca="1" si="137"/>
        <v/>
      </c>
      <c r="W315" s="131" t="str">
        <f t="shared" ca="1" si="137"/>
        <v/>
      </c>
      <c r="X315" s="131" t="str">
        <f t="shared" ca="1" si="137"/>
        <v/>
      </c>
      <c r="Y315" s="131" t="str">
        <f t="shared" ca="1" si="137"/>
        <v/>
      </c>
      <c r="Z315" s="131" t="str">
        <f t="shared" ca="1" si="137"/>
        <v/>
      </c>
      <c r="AA315" s="131" t="str">
        <f t="shared" si="137"/>
        <v/>
      </c>
      <c r="AB315" s="131"/>
      <c r="AN315" s="121"/>
      <c r="AO315" s="121">
        <f t="shared" ca="1" si="132"/>
        <v>4174</v>
      </c>
      <c r="AP315" s="121" t="b">
        <f t="shared" si="119"/>
        <v>0</v>
      </c>
      <c r="AQ315" s="272">
        <f ca="1">+AVERAGEIFS(TABELA_VAZAO[qnat],TABELA_VAZAO[Posto],$R315,TABELA_VAZAO[Data],AQ$27)</f>
        <v>3052</v>
      </c>
      <c r="AR315" s="272">
        <f ca="1">+AVERAGEIFS(TABELA_VAZAO[qnat],TABELA_VAZAO[Posto],$R315,TABELA_VAZAO[Data],AR$27)</f>
        <v>3117</v>
      </c>
      <c r="AS315" s="272">
        <f ca="1">+AVERAGEIFS(TABELA_VAZAO[qnat],TABELA_VAZAO[Posto],$R315,TABELA_VAZAO[Data],AS$27)</f>
        <v>3265</v>
      </c>
      <c r="AT315" s="272">
        <f ca="1">+AVERAGEIFS(TABELA_VAZAO[qnat],TABELA_VAZAO[Posto],$R315,TABELA_VAZAO[Data],AT$27)</f>
        <v>3531</v>
      </c>
      <c r="AU315" s="121">
        <f ca="1">+AVERAGEIFS(TABELA_VAZAO[qnat],TABELA_VAZAO[Posto],$R315,TABELA_VAZAO[Data],AU$27)</f>
        <v>3796</v>
      </c>
      <c r="AV315" s="272">
        <f ca="1">IFERROR(AVERAGEIFS(TABELA_VAZAO[qnat],TABELA_VAZAO[Posto],$R315,TABELA_VAZAO[Data],AV$27),AU315+$BB315*EXP(AV$26))</f>
        <v>3994</v>
      </c>
      <c r="AW315" s="159">
        <f ca="1">IFERROR(AVERAGEIFS(TABELA_VAZAO[qnat],TABELA_VAZAO[Posto],$R315,TABELA_VAZAO[Data],AW$27),AV315+$BB315*EXP(AW$26))</f>
        <v>4056</v>
      </c>
      <c r="AX315" s="325">
        <f ca="1">IFERROR(AVERAGEIFS(TABELA_VAZAO[qnat],TABELA_VAZAO[Posto],$R315,TABELA_VAZAO[Data],AX$27),AW315+$BB315*EXP(AX$26))</f>
        <v>4215</v>
      </c>
      <c r="AY315" s="325">
        <f ca="1">IFERROR(AVERAGEIFS(TABELA_VAZAO[qnat],TABELA_VAZAO[Posto],$R315,TABELA_VAZAO[Data],AY$27),AX315+$BB315*EXP(AY$26))</f>
        <v>4321.5808873196665</v>
      </c>
      <c r="AZ315" s="326">
        <f ca="1">IFERROR(AVERAGEIFS(TABELA_VAZAO[qnat],TABELA_VAZAO[Posto],$R315,TABELA_VAZAO[Data],AZ$27),AY315+$BB315*EXP(AZ$26))</f>
        <v>4393.0241926143044</v>
      </c>
      <c r="BA315" s="326">
        <f ca="1">IFERROR(AVERAGEIFS(TABELA_VAZAO[qnat],TABELA_VAZAO[Posto],$R315,TABELA_VAZAO[Data],BA$27),AZ315+$BB315*EXP(BA$26))</f>
        <v>4440.9140723083447</v>
      </c>
      <c r="BB315" s="121">
        <f t="shared" ca="1" si="120"/>
        <v>159</v>
      </c>
      <c r="BC315" s="272">
        <f t="shared" ca="1" si="121"/>
        <v>266</v>
      </c>
      <c r="BD315" s="272">
        <f t="shared" ca="1" si="121"/>
        <v>265</v>
      </c>
      <c r="BE315" s="272">
        <f t="shared" ca="1" si="121"/>
        <v>198</v>
      </c>
      <c r="BF315" s="272">
        <f t="shared" ca="1" si="121"/>
        <v>62</v>
      </c>
      <c r="BG315"/>
    </row>
    <row r="316" spans="18:59" x14ac:dyDescent="0.2">
      <c r="R316">
        <v>289</v>
      </c>
      <c r="S316" s="40"/>
      <c r="T316" s="40"/>
      <c r="U316" s="131"/>
      <c r="V316" s="131"/>
      <c r="W316" s="131"/>
      <c r="X316" s="131"/>
      <c r="Y316" s="131"/>
      <c r="Z316" s="131"/>
      <c r="AA316" s="131"/>
      <c r="AB316" s="131"/>
      <c r="AN316" s="121"/>
      <c r="AO316" s="121" t="e">
        <f t="shared" si="132"/>
        <v>#DIV/0!</v>
      </c>
      <c r="AP316" s="121" t="b">
        <f t="shared" si="119"/>
        <v>0</v>
      </c>
      <c r="AU316" s="121"/>
      <c r="AV316" s="121"/>
      <c r="AW316" s="159"/>
      <c r="AX316" s="159"/>
      <c r="AY316" s="159"/>
      <c r="AZ316" s="157"/>
      <c r="BA316" s="157"/>
      <c r="BB316" s="121">
        <f t="shared" ca="1" si="120"/>
        <v>0</v>
      </c>
      <c r="BC316" s="272">
        <f t="shared" ca="1" si="121"/>
        <v>0</v>
      </c>
      <c r="BD316" s="272">
        <f t="shared" ca="1" si="121"/>
        <v>0</v>
      </c>
      <c r="BE316" s="272">
        <f t="shared" ca="1" si="121"/>
        <v>0</v>
      </c>
      <c r="BF316" s="272">
        <f t="shared" ca="1" si="121"/>
        <v>0</v>
      </c>
      <c r="BG316"/>
    </row>
    <row r="317" spans="18:59" x14ac:dyDescent="0.2">
      <c r="R317">
        <v>290</v>
      </c>
      <c r="S317" s="40">
        <f ca="1">AO317</f>
        <v>429</v>
      </c>
      <c r="T317" s="40" t="str">
        <f t="shared" ref="T317:AA318" ca="1" si="138">IF(AND($K$4,ISNUMBER(H$143)),ROUND(G$143*S317,0),"")</f>
        <v/>
      </c>
      <c r="U317" s="131" t="str">
        <f t="shared" ca="1" si="138"/>
        <v/>
      </c>
      <c r="V317" s="131" t="str">
        <f t="shared" ca="1" si="138"/>
        <v/>
      </c>
      <c r="W317" s="131" t="str">
        <f t="shared" ca="1" si="138"/>
        <v/>
      </c>
      <c r="X317" s="131" t="str">
        <f t="shared" ca="1" si="138"/>
        <v/>
      </c>
      <c r="Y317" s="131" t="str">
        <f t="shared" ca="1" si="138"/>
        <v/>
      </c>
      <c r="Z317" s="131" t="str">
        <f t="shared" ca="1" si="138"/>
        <v/>
      </c>
      <c r="AA317" s="131" t="str">
        <f t="shared" si="138"/>
        <v/>
      </c>
      <c r="AB317" s="131"/>
      <c r="AN317" s="121"/>
      <c r="AO317" s="121">
        <f t="shared" ca="1" si="132"/>
        <v>429</v>
      </c>
      <c r="AP317" s="121" t="b">
        <f t="shared" si="119"/>
        <v>0</v>
      </c>
      <c r="AQ317" s="272">
        <f ca="1">+AVERAGEIFS(TABELA_VAZAO[qnat],TABELA_VAZAO[Posto],$R317,TABELA_VAZAO[Data],AQ$27)</f>
        <v>494</v>
      </c>
      <c r="AR317" s="272">
        <f ca="1">+AVERAGEIFS(TABELA_VAZAO[qnat],TABELA_VAZAO[Posto],$R317,TABELA_VAZAO[Data],AR$27)</f>
        <v>489</v>
      </c>
      <c r="AS317" s="272">
        <f ca="1">+AVERAGEIFS(TABELA_VAZAO[qnat],TABELA_VAZAO[Posto],$R317,TABELA_VAZAO[Data],AS$27)</f>
        <v>475</v>
      </c>
      <c r="AT317" s="272">
        <f ca="1">+AVERAGEIFS(TABELA_VAZAO[qnat],TABELA_VAZAO[Posto],$R317,TABELA_VAZAO[Data],AT$27)</f>
        <v>456</v>
      </c>
      <c r="AU317" s="121">
        <f ca="1">+AVERAGEIFS(TABELA_VAZAO[qnat],TABELA_VAZAO[Posto],$R317,TABELA_VAZAO[Data],AU$27)</f>
        <v>438</v>
      </c>
      <c r="AV317" s="272">
        <f ca="1">IFERROR(AVERAGEIFS(TABELA_VAZAO[qnat],TABELA_VAZAO[Posto],$R317,TABELA_VAZAO[Data],AV$27),AU317+$BB317*EXP(AV$26))</f>
        <v>434</v>
      </c>
      <c r="AW317" s="159">
        <f ca="1">IFERROR(AVERAGEIFS(TABELA_VAZAO[qnat],TABELA_VAZAO[Posto],$R317,TABELA_VAZAO[Data],AW$27),AV317+$BB317*EXP(AW$26))</f>
        <v>435</v>
      </c>
      <c r="AX317" s="325">
        <f ca="1">IFERROR(AVERAGEIFS(TABELA_VAZAO[qnat],TABELA_VAZAO[Posto],$R317,TABELA_VAZAO[Data],AX$27),AW317+$BB317*EXP(AX$26))</f>
        <v>429</v>
      </c>
      <c r="AY317" s="325">
        <f ca="1">IFERROR(AVERAGEIFS(TABELA_VAZAO[qnat],TABELA_VAZAO[Posto],$R317,TABELA_VAZAO[Data],AY$27),AX317+$BB317*EXP(AY$26))</f>
        <v>424.97807972378615</v>
      </c>
      <c r="AZ317" s="326">
        <f ca="1">IFERROR(AVERAGEIFS(TABELA_VAZAO[qnat],TABELA_VAZAO[Posto],$R317,TABELA_VAZAO[Data],AZ$27),AY317+$BB317*EXP(AZ$26))</f>
        <v>422.28210593908284</v>
      </c>
      <c r="BA317" s="326">
        <f ca="1">IFERROR(AVERAGEIFS(TABELA_VAZAO[qnat],TABELA_VAZAO[Posto],$R317,TABELA_VAZAO[Data],BA$27),AZ317+$BB317*EXP(BA$26))</f>
        <v>420.47494066760964</v>
      </c>
      <c r="BB317" s="121">
        <f t="shared" ca="1" si="120"/>
        <v>-6</v>
      </c>
      <c r="BC317" s="272">
        <f t="shared" ref="BC317:BF350" ca="1" si="139">INDEX($AQ317:$BA317,1,BC$26)-INDEX($AQ317:$BA317,1,BC$26-1)</f>
        <v>-19</v>
      </c>
      <c r="BD317" s="272">
        <f t="shared" ca="1" si="139"/>
        <v>-18</v>
      </c>
      <c r="BE317" s="272">
        <f t="shared" ca="1" si="139"/>
        <v>-4</v>
      </c>
      <c r="BF317" s="272">
        <f t="shared" ca="1" si="139"/>
        <v>1</v>
      </c>
      <c r="BG317"/>
    </row>
    <row r="318" spans="18:59" x14ac:dyDescent="0.2">
      <c r="R318">
        <v>291</v>
      </c>
      <c r="S318" s="40">
        <f ca="1">AO318</f>
        <v>717</v>
      </c>
      <c r="T318" s="40" t="str">
        <f t="shared" ca="1" si="138"/>
        <v/>
      </c>
      <c r="U318" s="131" t="str">
        <f t="shared" ca="1" si="138"/>
        <v/>
      </c>
      <c r="V318" s="131" t="str">
        <f t="shared" ca="1" si="138"/>
        <v/>
      </c>
      <c r="W318" s="131" t="str">
        <f t="shared" ca="1" si="138"/>
        <v/>
      </c>
      <c r="X318" s="131" t="str">
        <f t="shared" ca="1" si="138"/>
        <v/>
      </c>
      <c r="Y318" s="131" t="str">
        <f t="shared" ca="1" si="138"/>
        <v/>
      </c>
      <c r="Z318" s="131" t="str">
        <f t="shared" ca="1" si="138"/>
        <v/>
      </c>
      <c r="AA318" s="131" t="str">
        <f t="shared" si="138"/>
        <v/>
      </c>
      <c r="AB318" s="131"/>
      <c r="AN318" s="121"/>
      <c r="AO318" s="121">
        <f t="shared" ca="1" si="132"/>
        <v>717</v>
      </c>
      <c r="AP318" s="121" t="b">
        <f t="shared" si="119"/>
        <v>0</v>
      </c>
      <c r="AQ318" s="272">
        <f ca="1">+AVERAGEIFS(TABELA_VAZAO[qnat],TABELA_VAZAO[Posto],$R318,TABELA_VAZAO[Data],AQ$27)</f>
        <v>370</v>
      </c>
      <c r="AR318" s="272">
        <f ca="1">+AVERAGEIFS(TABELA_VAZAO[qnat],TABELA_VAZAO[Posto],$R318,TABELA_VAZAO[Data],AR$27)</f>
        <v>350</v>
      </c>
      <c r="AS318" s="272">
        <f ca="1">+AVERAGEIFS(TABELA_VAZAO[qnat],TABELA_VAZAO[Posto],$R318,TABELA_VAZAO[Data],AS$27)</f>
        <v>434</v>
      </c>
      <c r="AT318" s="272">
        <f ca="1">+AVERAGEIFS(TABELA_VAZAO[qnat],TABELA_VAZAO[Posto],$R318,TABELA_VAZAO[Data],AT$27)</f>
        <v>480</v>
      </c>
      <c r="AU318" s="121">
        <f ca="1">+AVERAGEIFS(TABELA_VAZAO[qnat],TABELA_VAZAO[Posto],$R318,TABELA_VAZAO[Data],AU$27)</f>
        <v>539</v>
      </c>
      <c r="AV318" s="272">
        <f ca="1">IFERROR(AVERAGEIFS(TABELA_VAZAO[qnat],TABELA_VAZAO[Posto],$R318,TABELA_VAZAO[Data],AV$27),AU318+$BB318*EXP(AV$26))</f>
        <v>621</v>
      </c>
      <c r="AW318" s="159">
        <f ca="1">IFERROR(AVERAGEIFS(TABELA_VAZAO[qnat],TABELA_VAZAO[Posto],$R318,TABELA_VAZAO[Data],AW$27),AV318+$BB318*EXP(AW$26))</f>
        <v>680</v>
      </c>
      <c r="AX318" s="325">
        <f ca="1">IFERROR(AVERAGEIFS(TABELA_VAZAO[qnat],TABELA_VAZAO[Posto],$R318,TABELA_VAZAO[Data],AX$27),AW318+$BB318*EXP(AX$26))</f>
        <v>743.71428571428567</v>
      </c>
      <c r="AY318" s="325">
        <f ca="1">IFERROR(AVERAGEIFS(TABELA_VAZAO[qnat],TABELA_VAZAO[Posto],$R318,TABELA_VAZAO[Data],AY$27),AX318+$BB318*EXP(AY$26))</f>
        <v>786.42324864741352</v>
      </c>
      <c r="AZ318" s="326">
        <f ca="1">IFERROR(AVERAGEIFS(TABELA_VAZAO[qnat],TABELA_VAZAO[Posto],$R318,TABELA_VAZAO[Data],AZ$27),AY318+$BB318*EXP(AZ$26))</f>
        <v>815.05192264688219</v>
      </c>
      <c r="BA318" s="326">
        <f ca="1">IFERROR(AVERAGEIFS(TABELA_VAZAO[qnat],TABELA_VAZAO[Posto],$R318,TABELA_VAZAO[Data],BA$27),AZ318+$BB318*EXP(BA$26))</f>
        <v>834.2422967201453</v>
      </c>
      <c r="BB318" s="121">
        <f t="shared" ca="1" si="120"/>
        <v>63.714285714285715</v>
      </c>
      <c r="BC318" s="272">
        <f t="shared" ca="1" si="139"/>
        <v>46</v>
      </c>
      <c r="BD318" s="272">
        <f t="shared" ca="1" si="139"/>
        <v>59</v>
      </c>
      <c r="BE318" s="272">
        <f t="shared" ca="1" si="139"/>
        <v>82</v>
      </c>
      <c r="BF318" s="272">
        <f t="shared" ca="1" si="139"/>
        <v>59</v>
      </c>
      <c r="BG318"/>
    </row>
    <row r="319" spans="18:59" x14ac:dyDescent="0.2">
      <c r="R319">
        <v>292</v>
      </c>
      <c r="S319" s="40"/>
      <c r="T319" s="40"/>
      <c r="U319" s="131"/>
      <c r="V319" s="131"/>
      <c r="W319" s="131"/>
      <c r="X319" s="131"/>
      <c r="Y319" s="131"/>
      <c r="Z319" s="131"/>
      <c r="AA319" s="131"/>
      <c r="AB319" s="131"/>
      <c r="AN319" s="121"/>
      <c r="AO319" s="121" t="e">
        <f t="shared" si="132"/>
        <v>#DIV/0!</v>
      </c>
      <c r="AP319" s="121" t="b">
        <f t="shared" si="119"/>
        <v>0</v>
      </c>
      <c r="AU319" s="121"/>
      <c r="AV319" s="121"/>
      <c r="AW319" s="159"/>
      <c r="AX319" s="159"/>
      <c r="AY319" s="159"/>
      <c r="AZ319" s="157"/>
      <c r="BA319" s="157"/>
      <c r="BB319" s="121">
        <f t="shared" ca="1" si="120"/>
        <v>0</v>
      </c>
      <c r="BC319" s="272">
        <f t="shared" ca="1" si="139"/>
        <v>0</v>
      </c>
      <c r="BD319" s="272">
        <f t="shared" ca="1" si="139"/>
        <v>0</v>
      </c>
      <c r="BE319" s="272">
        <f t="shared" ca="1" si="139"/>
        <v>0</v>
      </c>
      <c r="BF319" s="272">
        <f t="shared" ca="1" si="139"/>
        <v>0</v>
      </c>
      <c r="BG319"/>
    </row>
    <row r="320" spans="18:59" x14ac:dyDescent="0.2">
      <c r="R320">
        <v>293</v>
      </c>
      <c r="S320" s="40"/>
      <c r="T320" s="40"/>
      <c r="U320" s="131"/>
      <c r="V320" s="131"/>
      <c r="W320" s="131"/>
      <c r="X320" s="131"/>
      <c r="Y320" s="131"/>
      <c r="Z320" s="131"/>
      <c r="AA320" s="131"/>
      <c r="AB320" s="131"/>
      <c r="AN320" s="121"/>
      <c r="AO320" s="121" t="e">
        <f t="shared" si="132"/>
        <v>#DIV/0!</v>
      </c>
      <c r="AP320" s="121" t="b">
        <f t="shared" si="119"/>
        <v>0</v>
      </c>
      <c r="AU320" s="121"/>
      <c r="AV320" s="121"/>
      <c r="AW320" s="159"/>
      <c r="AX320" s="159"/>
      <c r="AY320" s="159"/>
      <c r="AZ320" s="157"/>
      <c r="BA320" s="157"/>
      <c r="BB320" s="121">
        <f t="shared" ca="1" si="120"/>
        <v>0</v>
      </c>
      <c r="BC320" s="272">
        <f t="shared" ca="1" si="139"/>
        <v>0</v>
      </c>
      <c r="BD320" s="272">
        <f t="shared" ca="1" si="139"/>
        <v>0</v>
      </c>
      <c r="BE320" s="272">
        <f t="shared" ca="1" si="139"/>
        <v>0</v>
      </c>
      <c r="BF320" s="272">
        <f t="shared" ca="1" si="139"/>
        <v>0</v>
      </c>
      <c r="BG320"/>
    </row>
    <row r="321" spans="18:59" x14ac:dyDescent="0.2">
      <c r="R321">
        <v>294</v>
      </c>
      <c r="S321" s="40">
        <f ca="1">AO321</f>
        <v>140</v>
      </c>
      <c r="T321" s="40" t="str">
        <f t="shared" ref="T321:AA324" ca="1" si="140">IF(AND($K$4,ISNUMBER(H$143)),ROUND(G$143*S321,0),"")</f>
        <v/>
      </c>
      <c r="U321" s="131" t="str">
        <f t="shared" ca="1" si="140"/>
        <v/>
      </c>
      <c r="V321" s="131" t="str">
        <f t="shared" ca="1" si="140"/>
        <v/>
      </c>
      <c r="W321" s="131" t="str">
        <f t="shared" ca="1" si="140"/>
        <v/>
      </c>
      <c r="X321" s="131" t="str">
        <f t="shared" ca="1" si="140"/>
        <v/>
      </c>
      <c r="Y321" s="131" t="str">
        <f t="shared" ca="1" si="140"/>
        <v/>
      </c>
      <c r="Z321" s="131" t="str">
        <f t="shared" ca="1" si="140"/>
        <v/>
      </c>
      <c r="AA321" s="131" t="str">
        <f t="shared" si="140"/>
        <v/>
      </c>
      <c r="AB321" s="131"/>
      <c r="AN321" s="121"/>
      <c r="AO321" s="121">
        <f t="shared" ca="1" si="132"/>
        <v>140</v>
      </c>
      <c r="AP321" s="121" t="b">
        <f t="shared" si="119"/>
        <v>0</v>
      </c>
      <c r="AQ321" s="272">
        <f ca="1">+AVERAGEIFS(TABELA_VAZAO[qnat],TABELA_VAZAO[Posto],$R321,TABELA_VAZAO[Data],AQ$27)</f>
        <v>150</v>
      </c>
      <c r="AR321" s="272">
        <f ca="1">+AVERAGEIFS(TABELA_VAZAO[qnat],TABELA_VAZAO[Posto],$R321,TABELA_VAZAO[Data],AR$27)</f>
        <v>147</v>
      </c>
      <c r="AS321" s="272">
        <f ca="1">+AVERAGEIFS(TABELA_VAZAO[qnat],TABELA_VAZAO[Posto],$R321,TABELA_VAZAO[Data],AS$27)</f>
        <v>145</v>
      </c>
      <c r="AT321" s="272">
        <f ca="1">+AVERAGEIFS(TABELA_VAZAO[qnat],TABELA_VAZAO[Posto],$R321,TABELA_VAZAO[Data],AT$27)</f>
        <v>143</v>
      </c>
      <c r="AU321" s="121">
        <f ca="1">+AVERAGEIFS(TABELA_VAZAO[qnat],TABELA_VAZAO[Posto],$R321,TABELA_VAZAO[Data],AU$27)</f>
        <v>142</v>
      </c>
      <c r="AV321" s="272">
        <f ca="1">IFERROR(AVERAGEIFS(TABELA_VAZAO[qnat],TABELA_VAZAO[Posto],$R321,TABELA_VAZAO[Data],AV$27),AU321+$BB321*EXP(AV$26))</f>
        <v>141</v>
      </c>
      <c r="AW321" s="159">
        <f ca="1">IFERROR(AVERAGEIFS(TABELA_VAZAO[qnat],TABELA_VAZAO[Posto],$R321,TABELA_VAZAO[Data],AW$27),AV321+$BB321*EXP(AW$26))</f>
        <v>141</v>
      </c>
      <c r="AX321" s="325">
        <f ca="1">IFERROR(AVERAGEIFS(TABELA_VAZAO[qnat],TABELA_VAZAO[Posto],$R321,TABELA_VAZAO[Data],AX$27),AW321+$BB321*EXP(AX$26))</f>
        <v>140.28571428571428</v>
      </c>
      <c r="AY321" s="325">
        <f ca="1">IFERROR(AVERAGEIFS(TABELA_VAZAO[qnat],TABELA_VAZAO[Posto],$R321,TABELA_VAZAO[Data],AY$27),AX321+$BB321*EXP(AY$26))</f>
        <v>139.80691425283169</v>
      </c>
      <c r="AZ321" s="326">
        <f ca="1">IFERROR(AVERAGEIFS(TABELA_VAZAO[qnat],TABELA_VAZAO[Posto],$R321,TABELA_VAZAO[Data],AZ$27),AY321+$BB321*EXP(AZ$26))</f>
        <v>139.48596499274797</v>
      </c>
      <c r="BA321" s="326">
        <f ca="1">IFERROR(AVERAGEIFS(TABELA_VAZAO[qnat],TABELA_VAZAO[Posto],$R321,TABELA_VAZAO[Data],BA$27),AZ321+$BB321*EXP(BA$26))</f>
        <v>139.27082626995355</v>
      </c>
      <c r="BB321" s="121">
        <f t="shared" ca="1" si="120"/>
        <v>-0.7142857142857143</v>
      </c>
      <c r="BC321" s="272">
        <f t="shared" ca="1" si="139"/>
        <v>-2</v>
      </c>
      <c r="BD321" s="272">
        <f t="shared" ca="1" si="139"/>
        <v>-1</v>
      </c>
      <c r="BE321" s="272">
        <f t="shared" ca="1" si="139"/>
        <v>-1</v>
      </c>
      <c r="BF321" s="272">
        <f t="shared" ca="1" si="139"/>
        <v>0</v>
      </c>
      <c r="BG321"/>
    </row>
    <row r="322" spans="18:59" x14ac:dyDescent="0.2">
      <c r="R322">
        <v>295</v>
      </c>
      <c r="S322" s="40">
        <f ca="1">AO322</f>
        <v>75</v>
      </c>
      <c r="T322" s="40" t="str">
        <f t="shared" ca="1" si="140"/>
        <v/>
      </c>
      <c r="U322" s="131" t="str">
        <f t="shared" ca="1" si="140"/>
        <v/>
      </c>
      <c r="V322" s="131" t="str">
        <f t="shared" ca="1" si="140"/>
        <v/>
      </c>
      <c r="W322" s="131" t="str">
        <f t="shared" ca="1" si="140"/>
        <v/>
      </c>
      <c r="X322" s="131" t="str">
        <f t="shared" ca="1" si="140"/>
        <v/>
      </c>
      <c r="Y322" s="131" t="str">
        <f t="shared" ca="1" si="140"/>
        <v/>
      </c>
      <c r="Z322" s="131" t="str">
        <f t="shared" ca="1" si="140"/>
        <v/>
      </c>
      <c r="AA322" s="131" t="str">
        <f t="shared" si="140"/>
        <v/>
      </c>
      <c r="AB322" s="131"/>
      <c r="AN322" s="121"/>
      <c r="AO322" s="121">
        <f t="shared" ca="1" si="132"/>
        <v>75</v>
      </c>
      <c r="AP322" s="121" t="b">
        <f t="shared" si="119"/>
        <v>0</v>
      </c>
      <c r="AQ322" s="272">
        <f ca="1">+AVERAGEIFS(TABELA_VAZAO[qnat],TABELA_VAZAO[Posto],$R322,TABELA_VAZAO[Data],AQ$27)</f>
        <v>87</v>
      </c>
      <c r="AR322" s="272">
        <f ca="1">+AVERAGEIFS(TABELA_VAZAO[qnat],TABELA_VAZAO[Posto],$R322,TABELA_VAZAO[Data],AR$27)</f>
        <v>88</v>
      </c>
      <c r="AS322" s="272">
        <f ca="1">+AVERAGEIFS(TABELA_VAZAO[qnat],TABELA_VAZAO[Posto],$R322,TABELA_VAZAO[Data],AS$27)</f>
        <v>87</v>
      </c>
      <c r="AT322" s="272">
        <f ca="1">+AVERAGEIFS(TABELA_VAZAO[qnat],TABELA_VAZAO[Posto],$R322,TABELA_VAZAO[Data],AT$27)</f>
        <v>85</v>
      </c>
      <c r="AU322" s="121">
        <f ca="1">+AVERAGEIFS(TABELA_VAZAO[qnat],TABELA_VAZAO[Posto],$R322,TABELA_VAZAO[Data],AU$27)</f>
        <v>82</v>
      </c>
      <c r="AV322" s="272">
        <f ca="1">IFERROR(AVERAGEIFS(TABELA_VAZAO[qnat],TABELA_VAZAO[Posto],$R322,TABELA_VAZAO[Data],AV$27),AU322+$BB322*EXP(AV$26))</f>
        <v>79</v>
      </c>
      <c r="AW322" s="159">
        <f ca="1">IFERROR(AVERAGEIFS(TABELA_VAZAO[qnat],TABELA_VAZAO[Posto],$R322,TABELA_VAZAO[Data],AW$27),AV322+$BB322*EXP(AW$26))</f>
        <v>77</v>
      </c>
      <c r="AX322" s="325">
        <f ca="1">IFERROR(AVERAGEIFS(TABELA_VAZAO[qnat],TABELA_VAZAO[Posto],$R322,TABELA_VAZAO[Data],AX$27),AW322+$BB322*EXP(AX$26))</f>
        <v>74.571428571428569</v>
      </c>
      <c r="AY322" s="325">
        <f ca="1">IFERROR(AVERAGEIFS(TABELA_VAZAO[qnat],TABELA_VAZAO[Posto],$R322,TABELA_VAZAO[Data],AY$27),AX322+$BB322*EXP(AY$26))</f>
        <v>72.943508459627736</v>
      </c>
      <c r="AZ322" s="326">
        <f ca="1">IFERROR(AVERAGEIFS(TABELA_VAZAO[qnat],TABELA_VAZAO[Posto],$R322,TABELA_VAZAO[Data],AZ$27),AY322+$BB322*EXP(AZ$26))</f>
        <v>71.852280975343049</v>
      </c>
      <c r="BA322" s="326">
        <f ca="1">IFERROR(AVERAGEIFS(TABELA_VAZAO[qnat],TABELA_VAZAO[Posto],$R322,TABELA_VAZAO[Data],BA$27),AZ322+$BB322*EXP(BA$26))</f>
        <v>71.120809317841989</v>
      </c>
      <c r="BB322" s="121">
        <f t="shared" ca="1" si="120"/>
        <v>-2.4285714285714284</v>
      </c>
      <c r="BC322" s="272">
        <f t="shared" ca="1" si="139"/>
        <v>-2</v>
      </c>
      <c r="BD322" s="272">
        <f t="shared" ca="1" si="139"/>
        <v>-3</v>
      </c>
      <c r="BE322" s="272">
        <f t="shared" ca="1" si="139"/>
        <v>-3</v>
      </c>
      <c r="BF322" s="272">
        <f t="shared" ca="1" si="139"/>
        <v>-2</v>
      </c>
      <c r="BG322"/>
    </row>
    <row r="323" spans="18:59" x14ac:dyDescent="0.2">
      <c r="R323">
        <v>296</v>
      </c>
      <c r="S323" s="40">
        <f ca="1">AO323</f>
        <v>42</v>
      </c>
      <c r="T323" s="40" t="str">
        <f t="shared" ca="1" si="140"/>
        <v/>
      </c>
      <c r="U323" s="131" t="str">
        <f t="shared" ca="1" si="140"/>
        <v/>
      </c>
      <c r="V323" s="131" t="str">
        <f t="shared" ca="1" si="140"/>
        <v/>
      </c>
      <c r="W323" s="131" t="str">
        <f t="shared" ca="1" si="140"/>
        <v/>
      </c>
      <c r="X323" s="131" t="str">
        <f t="shared" ca="1" si="140"/>
        <v/>
      </c>
      <c r="Y323" s="131" t="str">
        <f t="shared" ca="1" si="140"/>
        <v/>
      </c>
      <c r="Z323" s="131" t="str">
        <f t="shared" ca="1" si="140"/>
        <v/>
      </c>
      <c r="AA323" s="131" t="str">
        <f t="shared" si="140"/>
        <v/>
      </c>
      <c r="AB323" s="131"/>
      <c r="AN323" s="121"/>
      <c r="AO323" s="121">
        <f t="shared" ca="1" si="132"/>
        <v>42</v>
      </c>
      <c r="AP323" s="121" t="b">
        <f t="shared" si="119"/>
        <v>0</v>
      </c>
      <c r="AQ323" s="272">
        <f ca="1">+AVERAGEIFS(TABELA_VAZAO[qnat],TABELA_VAZAO[Posto],$R323,TABELA_VAZAO[Data],AQ$27)</f>
        <v>43</v>
      </c>
      <c r="AR323" s="272">
        <f ca="1">+AVERAGEIFS(TABELA_VAZAO[qnat],TABELA_VAZAO[Posto],$R323,TABELA_VAZAO[Data],AR$27)</f>
        <v>45</v>
      </c>
      <c r="AS323" s="272">
        <f ca="1">+AVERAGEIFS(TABELA_VAZAO[qnat],TABELA_VAZAO[Posto],$R323,TABELA_VAZAO[Data],AS$27)</f>
        <v>50</v>
      </c>
      <c r="AT323" s="272">
        <f ca="1">+AVERAGEIFS(TABELA_VAZAO[qnat],TABELA_VAZAO[Posto],$R323,TABELA_VAZAO[Data],AT$27)</f>
        <v>50</v>
      </c>
      <c r="AU323" s="121">
        <f ca="1">+AVERAGEIFS(TABELA_VAZAO[qnat],TABELA_VAZAO[Posto],$R323,TABELA_VAZAO[Data],AU$27)</f>
        <v>47</v>
      </c>
      <c r="AV323" s="272">
        <f ca="1">IFERROR(AVERAGEIFS(TABELA_VAZAO[qnat],TABELA_VAZAO[Posto],$R323,TABELA_VAZAO[Data],AV$27),AU323+$BB323*EXP(AV$26))</f>
        <v>44</v>
      </c>
      <c r="AW323" s="159">
        <f ca="1">IFERROR(AVERAGEIFS(TABELA_VAZAO[qnat],TABELA_VAZAO[Posto],$R323,TABELA_VAZAO[Data],AW$27),AV323+$BB323*EXP(AW$26))</f>
        <v>43</v>
      </c>
      <c r="AX323" s="325">
        <f ca="1">IFERROR(AVERAGEIFS(TABELA_VAZAO[qnat],TABELA_VAZAO[Posto],$R323,TABELA_VAZAO[Data],AX$27),AW323+$BB323*EXP(AX$26))</f>
        <v>41.285714285714285</v>
      </c>
      <c r="AY323" s="325">
        <f ca="1">IFERROR(AVERAGEIFS(TABELA_VAZAO[qnat],TABELA_VAZAO[Posto],$R323,TABELA_VAZAO[Data],AY$27),AX323+$BB323*EXP(AY$26))</f>
        <v>40.136594206796048</v>
      </c>
      <c r="AZ323" s="326">
        <f ca="1">IFERROR(AVERAGEIFS(TABELA_VAZAO[qnat],TABELA_VAZAO[Posto],$R323,TABELA_VAZAO[Data],AZ$27),AY323+$BB323*EXP(AZ$26))</f>
        <v>39.366315982595097</v>
      </c>
      <c r="BA323" s="326">
        <f ca="1">IFERROR(AVERAGEIFS(TABELA_VAZAO[qnat],TABELA_VAZAO[Posto],$R323,TABELA_VAZAO[Data],BA$27),AZ323+$BB323*EXP(BA$26))</f>
        <v>38.849983047888465</v>
      </c>
      <c r="BB323" s="121">
        <f t="shared" ca="1" si="120"/>
        <v>-1.7142857142857142</v>
      </c>
      <c r="BC323" s="272">
        <f t="shared" ca="1" si="139"/>
        <v>0</v>
      </c>
      <c r="BD323" s="272">
        <f t="shared" ca="1" si="139"/>
        <v>-3</v>
      </c>
      <c r="BE323" s="272">
        <f t="shared" ca="1" si="139"/>
        <v>-3</v>
      </c>
      <c r="BF323" s="272">
        <f t="shared" ca="1" si="139"/>
        <v>-1</v>
      </c>
      <c r="BG323"/>
    </row>
    <row r="324" spans="18:59" x14ac:dyDescent="0.2">
      <c r="R324">
        <v>297</v>
      </c>
      <c r="S324" s="40">
        <f ca="1">AO324</f>
        <v>534</v>
      </c>
      <c r="T324" s="40" t="str">
        <f t="shared" ca="1" si="140"/>
        <v/>
      </c>
      <c r="U324" s="131" t="str">
        <f t="shared" ca="1" si="140"/>
        <v/>
      </c>
      <c r="V324" s="131" t="str">
        <f t="shared" ca="1" si="140"/>
        <v/>
      </c>
      <c r="W324" s="131" t="str">
        <f t="shared" ca="1" si="140"/>
        <v/>
      </c>
      <c r="X324" s="131" t="str">
        <f t="shared" ca="1" si="140"/>
        <v/>
      </c>
      <c r="Y324" s="131" t="str">
        <f t="shared" ca="1" si="140"/>
        <v/>
      </c>
      <c r="Z324" s="131" t="str">
        <f t="shared" ca="1" si="140"/>
        <v/>
      </c>
      <c r="AA324" s="131" t="str">
        <f t="shared" si="140"/>
        <v/>
      </c>
      <c r="AB324" s="131"/>
      <c r="AN324" s="121"/>
      <c r="AO324" s="121">
        <f t="shared" ca="1" si="132"/>
        <v>534</v>
      </c>
      <c r="AP324" s="121" t="b">
        <f t="shared" si="119"/>
        <v>0</v>
      </c>
      <c r="AQ324" s="272">
        <f ca="1">+AVERAGEIFS(TABELA_VAZAO[qnat],TABELA_VAZAO[Posto],$R324,TABELA_VAZAO[Data],AQ$27)</f>
        <v>668</v>
      </c>
      <c r="AR324" s="272">
        <f ca="1">+AVERAGEIFS(TABELA_VAZAO[qnat],TABELA_VAZAO[Posto],$R324,TABELA_VAZAO[Data],AR$27)</f>
        <v>730</v>
      </c>
      <c r="AS324" s="272">
        <f ca="1">+AVERAGEIFS(TABELA_VAZAO[qnat],TABELA_VAZAO[Posto],$R324,TABELA_VAZAO[Data],AS$27)</f>
        <v>762</v>
      </c>
      <c r="AT324" s="272">
        <f ca="1">+AVERAGEIFS(TABELA_VAZAO[qnat],TABELA_VAZAO[Posto],$R324,TABELA_VAZAO[Data],AT$27)</f>
        <v>730</v>
      </c>
      <c r="AU324" s="121">
        <f ca="1">+AVERAGEIFS(TABELA_VAZAO[qnat],TABELA_VAZAO[Posto],$R324,TABELA_VAZAO[Data],AU$27)</f>
        <v>658</v>
      </c>
      <c r="AV324" s="272">
        <f ca="1">IFERROR(AVERAGEIFS(TABELA_VAZAO[qnat],TABELA_VAZAO[Posto],$R324,TABELA_VAZAO[Data],AV$27),AU324+$BB324*EXP(AV$26))</f>
        <v>590</v>
      </c>
      <c r="AW324" s="159">
        <f ca="1">IFERROR(AVERAGEIFS(TABELA_VAZAO[qnat],TABELA_VAZAO[Posto],$R324,TABELA_VAZAO[Data],AW$27),AV324+$BB324*EXP(AW$26))</f>
        <v>564</v>
      </c>
      <c r="AX324" s="325">
        <f ca="1">IFERROR(AVERAGEIFS(TABELA_VAZAO[qnat],TABELA_VAZAO[Posto],$R324,TABELA_VAZAO[Data],AX$27),AW324+$BB324*EXP(AX$26))</f>
        <v>518.57142857142856</v>
      </c>
      <c r="AY324" s="325">
        <f ca="1">IFERROR(AVERAGEIFS(TABELA_VAZAO[qnat],TABELA_VAZAO[Posto],$R324,TABELA_VAZAO[Data],AY$27),AX324+$BB324*EXP(AY$26))</f>
        <v>488.11974648009522</v>
      </c>
      <c r="AZ324" s="326">
        <f ca="1">IFERROR(AVERAGEIFS(TABELA_VAZAO[qnat],TABELA_VAZAO[Posto],$R324,TABELA_VAZAO[Data],AZ$27),AY324+$BB324*EXP(AZ$26))</f>
        <v>467.70737353877001</v>
      </c>
      <c r="BA324" s="326">
        <f ca="1">IFERROR(AVERAGEIFS(TABELA_VAZAO[qnat],TABELA_VAZAO[Posto],$R324,TABELA_VAZAO[Data],BA$27),AZ324+$BB324*EXP(BA$26))</f>
        <v>454.02455076904425</v>
      </c>
      <c r="BB324" s="121">
        <f t="shared" ca="1" si="120"/>
        <v>-45.428571428571431</v>
      </c>
      <c r="BC324" s="272">
        <f t="shared" ca="1" si="139"/>
        <v>-32</v>
      </c>
      <c r="BD324" s="272">
        <f t="shared" ca="1" si="139"/>
        <v>-72</v>
      </c>
      <c r="BE324" s="272">
        <f t="shared" ca="1" si="139"/>
        <v>-68</v>
      </c>
      <c r="BF324" s="272">
        <f t="shared" ca="1" si="139"/>
        <v>-26</v>
      </c>
      <c r="BG324"/>
    </row>
    <row r="325" spans="18:59" x14ac:dyDescent="0.2">
      <c r="R325">
        <v>298</v>
      </c>
      <c r="S325" s="40"/>
      <c r="T325" s="40"/>
      <c r="U325" s="131"/>
      <c r="V325" s="131"/>
      <c r="W325" s="131"/>
      <c r="X325" s="131"/>
      <c r="Y325" s="131"/>
      <c r="Z325" s="131"/>
      <c r="AA325" s="131"/>
      <c r="AB325" s="131"/>
      <c r="AN325" s="121"/>
      <c r="AO325" s="121" t="e">
        <f t="shared" si="132"/>
        <v>#DIV/0!</v>
      </c>
      <c r="AP325" s="121" t="b">
        <f t="shared" si="119"/>
        <v>0</v>
      </c>
      <c r="AU325" s="121"/>
      <c r="AV325" s="121"/>
      <c r="AW325" s="159"/>
      <c r="AX325" s="159"/>
      <c r="AY325" s="159"/>
      <c r="AZ325" s="157"/>
      <c r="BA325" s="157"/>
      <c r="BB325" s="121">
        <f t="shared" ca="1" si="120"/>
        <v>0</v>
      </c>
      <c r="BC325" s="272">
        <f t="shared" ca="1" si="139"/>
        <v>0</v>
      </c>
      <c r="BD325" s="272">
        <f t="shared" ca="1" si="139"/>
        <v>0</v>
      </c>
      <c r="BE325" s="272">
        <f t="shared" ca="1" si="139"/>
        <v>0</v>
      </c>
      <c r="BF325" s="272">
        <f t="shared" ca="1" si="139"/>
        <v>0</v>
      </c>
      <c r="BG325"/>
    </row>
    <row r="326" spans="18:59" x14ac:dyDescent="0.2">
      <c r="R326">
        <v>299</v>
      </c>
      <c r="S326" s="40"/>
      <c r="T326" s="40"/>
      <c r="U326" s="131"/>
      <c r="V326" s="131"/>
      <c r="W326" s="131"/>
      <c r="X326" s="131"/>
      <c r="Y326" s="131"/>
      <c r="Z326" s="131"/>
      <c r="AA326" s="131"/>
      <c r="AB326" s="131"/>
      <c r="AN326" s="121"/>
      <c r="AO326" s="121" t="e">
        <f t="shared" si="132"/>
        <v>#DIV/0!</v>
      </c>
      <c r="AP326" s="121" t="b">
        <f t="shared" si="119"/>
        <v>0</v>
      </c>
      <c r="AU326" s="121"/>
      <c r="AV326" s="121"/>
      <c r="AW326" s="159"/>
      <c r="AX326" s="159"/>
      <c r="AY326" s="159"/>
      <c r="AZ326" s="157"/>
      <c r="BA326" s="157"/>
      <c r="BB326" s="121">
        <f t="shared" ca="1" si="120"/>
        <v>0</v>
      </c>
      <c r="BC326" s="272">
        <f t="shared" ca="1" si="139"/>
        <v>0</v>
      </c>
      <c r="BD326" s="272">
        <f t="shared" ca="1" si="139"/>
        <v>0</v>
      </c>
      <c r="BE326" s="272">
        <f t="shared" ca="1" si="139"/>
        <v>0</v>
      </c>
      <c r="BF326" s="272">
        <f t="shared" ca="1" si="139"/>
        <v>0</v>
      </c>
      <c r="BG326"/>
    </row>
    <row r="327" spans="18:59" x14ac:dyDescent="0.2">
      <c r="R327">
        <v>300</v>
      </c>
      <c r="S327" s="40"/>
      <c r="T327" s="40"/>
      <c r="U327" s="131"/>
      <c r="V327" s="131"/>
      <c r="W327" s="131"/>
      <c r="X327" s="131"/>
      <c r="Y327" s="131"/>
      <c r="Z327" s="131"/>
      <c r="AA327" s="131"/>
      <c r="AB327" s="131"/>
      <c r="AN327" s="121"/>
      <c r="AO327" s="121" t="e">
        <f t="shared" si="132"/>
        <v>#DIV/0!</v>
      </c>
      <c r="AP327" s="121" t="b">
        <f t="shared" si="119"/>
        <v>0</v>
      </c>
      <c r="AU327" s="121"/>
      <c r="AV327" s="121"/>
      <c r="AW327" s="159"/>
      <c r="AX327" s="159"/>
      <c r="AY327" s="159"/>
      <c r="AZ327" s="157"/>
      <c r="BA327" s="157"/>
      <c r="BB327" s="121">
        <f t="shared" ca="1" si="120"/>
        <v>0</v>
      </c>
      <c r="BC327" s="272">
        <f t="shared" ca="1" si="139"/>
        <v>0</v>
      </c>
      <c r="BD327" s="272">
        <f t="shared" ca="1" si="139"/>
        <v>0</v>
      </c>
      <c r="BE327" s="272">
        <f t="shared" ca="1" si="139"/>
        <v>0</v>
      </c>
      <c r="BF327" s="272">
        <f t="shared" ca="1" si="139"/>
        <v>0</v>
      </c>
      <c r="BG327"/>
    </row>
    <row r="328" spans="18:59" x14ac:dyDescent="0.2">
      <c r="R328">
        <v>301</v>
      </c>
      <c r="S328" s="40"/>
      <c r="T328" s="40"/>
      <c r="U328" s="131"/>
      <c r="V328" s="131"/>
      <c r="W328" s="131"/>
      <c r="X328" s="131"/>
      <c r="Y328" s="131"/>
      <c r="Z328" s="131"/>
      <c r="AA328" s="131"/>
      <c r="AB328" s="131"/>
      <c r="AN328" s="121"/>
      <c r="AO328" s="121" t="e">
        <f t="shared" si="132"/>
        <v>#DIV/0!</v>
      </c>
      <c r="AP328" s="121" t="b">
        <f t="shared" si="119"/>
        <v>0</v>
      </c>
      <c r="AU328" s="121"/>
      <c r="AV328" s="121"/>
      <c r="AW328" s="159"/>
      <c r="AX328" s="159"/>
      <c r="AY328" s="159"/>
      <c r="AZ328" s="157"/>
      <c r="BA328" s="157"/>
      <c r="BB328" s="121">
        <f t="shared" ca="1" si="120"/>
        <v>0</v>
      </c>
      <c r="BC328" s="272">
        <f t="shared" ca="1" si="139"/>
        <v>0</v>
      </c>
      <c r="BD328" s="272">
        <f t="shared" ca="1" si="139"/>
        <v>0</v>
      </c>
      <c r="BE328" s="272">
        <f t="shared" ca="1" si="139"/>
        <v>0</v>
      </c>
      <c r="BF328" s="272">
        <f t="shared" ca="1" si="139"/>
        <v>0</v>
      </c>
      <c r="BG328"/>
    </row>
    <row r="329" spans="18:59" x14ac:dyDescent="0.2">
      <c r="R329">
        <v>302</v>
      </c>
      <c r="S329" s="40"/>
      <c r="T329" s="40"/>
      <c r="U329" s="131"/>
      <c r="V329" s="131"/>
      <c r="W329" s="131"/>
      <c r="X329" s="131"/>
      <c r="Y329" s="131"/>
      <c r="Z329" s="131"/>
      <c r="AA329" s="131"/>
      <c r="AB329" s="131"/>
      <c r="AN329" s="121"/>
      <c r="AO329" s="121" t="e">
        <f t="shared" si="132"/>
        <v>#DIV/0!</v>
      </c>
      <c r="AP329" s="121" t="b">
        <f t="shared" si="119"/>
        <v>0</v>
      </c>
      <c r="AU329" s="121"/>
      <c r="AV329" s="121"/>
      <c r="AW329" s="159"/>
      <c r="AX329" s="159"/>
      <c r="AY329" s="159"/>
      <c r="AZ329" s="157"/>
      <c r="BA329" s="157"/>
      <c r="BB329" s="121">
        <f t="shared" ca="1" si="120"/>
        <v>0</v>
      </c>
      <c r="BC329" s="272">
        <f t="shared" ca="1" si="139"/>
        <v>0</v>
      </c>
      <c r="BD329" s="272">
        <f t="shared" ca="1" si="139"/>
        <v>0</v>
      </c>
      <c r="BE329" s="272">
        <f t="shared" ca="1" si="139"/>
        <v>0</v>
      </c>
      <c r="BF329" s="272">
        <f t="shared" ca="1" si="139"/>
        <v>0</v>
      </c>
      <c r="BG329"/>
    </row>
    <row r="330" spans="18:59" x14ac:dyDescent="0.2">
      <c r="R330">
        <v>303</v>
      </c>
      <c r="S330" s="40"/>
      <c r="T330" s="40"/>
      <c r="U330" s="131"/>
      <c r="V330" s="131"/>
      <c r="W330" s="131"/>
      <c r="X330" s="131"/>
      <c r="Y330" s="131"/>
      <c r="Z330" s="131"/>
      <c r="AA330" s="131"/>
      <c r="AB330" s="131"/>
      <c r="AN330" s="121"/>
      <c r="AO330" s="121" t="e">
        <f t="shared" si="132"/>
        <v>#DIV/0!</v>
      </c>
      <c r="AP330" s="121" t="b">
        <f t="shared" si="119"/>
        <v>0</v>
      </c>
      <c r="AU330" s="121"/>
      <c r="AV330" s="121"/>
      <c r="AW330" s="159"/>
      <c r="AX330" s="159"/>
      <c r="AY330" s="159"/>
      <c r="AZ330" s="157"/>
      <c r="BA330" s="157"/>
      <c r="BB330" s="121">
        <f t="shared" ca="1" si="120"/>
        <v>0</v>
      </c>
      <c r="BC330" s="272">
        <f t="shared" ca="1" si="139"/>
        <v>0</v>
      </c>
      <c r="BD330" s="272">
        <f t="shared" ca="1" si="139"/>
        <v>0</v>
      </c>
      <c r="BE330" s="272">
        <f t="shared" ca="1" si="139"/>
        <v>0</v>
      </c>
      <c r="BF330" s="272">
        <f t="shared" ca="1" si="139"/>
        <v>0</v>
      </c>
      <c r="BG330"/>
    </row>
    <row r="331" spans="18:59" x14ac:dyDescent="0.2">
      <c r="R331">
        <v>304</v>
      </c>
      <c r="S331" s="40"/>
      <c r="T331" s="40"/>
      <c r="U331" s="131"/>
      <c r="V331" s="131"/>
      <c r="W331" s="131"/>
      <c r="X331" s="131"/>
      <c r="Y331" s="131"/>
      <c r="Z331" s="131"/>
      <c r="AA331" s="131"/>
      <c r="AB331" s="131"/>
      <c r="AN331" s="121"/>
      <c r="AO331" s="121" t="e">
        <f t="shared" si="132"/>
        <v>#DIV/0!</v>
      </c>
      <c r="AP331" s="121" t="b">
        <f t="shared" si="119"/>
        <v>0</v>
      </c>
      <c r="AU331" s="121"/>
      <c r="AV331" s="121"/>
      <c r="AW331" s="159"/>
      <c r="AX331" s="159"/>
      <c r="AY331" s="159"/>
      <c r="AZ331" s="157"/>
      <c r="BA331" s="157"/>
      <c r="BB331" s="121">
        <f t="shared" ca="1" si="120"/>
        <v>0</v>
      </c>
      <c r="BC331" s="272">
        <f t="shared" ca="1" si="139"/>
        <v>0</v>
      </c>
      <c r="BD331" s="272">
        <f t="shared" ca="1" si="139"/>
        <v>0</v>
      </c>
      <c r="BE331" s="272">
        <f t="shared" ca="1" si="139"/>
        <v>0</v>
      </c>
      <c r="BF331" s="272">
        <f t="shared" ca="1" si="139"/>
        <v>0</v>
      </c>
      <c r="BG331"/>
    </row>
    <row r="332" spans="18:59" x14ac:dyDescent="0.2">
      <c r="R332">
        <v>305</v>
      </c>
      <c r="S332" s="40"/>
      <c r="T332" s="40"/>
      <c r="U332" s="131"/>
      <c r="V332" s="131"/>
      <c r="W332" s="131"/>
      <c r="X332" s="131"/>
      <c r="Y332" s="131"/>
      <c r="Z332" s="131"/>
      <c r="AA332" s="131"/>
      <c r="AB332" s="131"/>
      <c r="AN332" s="121"/>
      <c r="AO332" s="121" t="e">
        <f t="shared" si="132"/>
        <v>#DIV/0!</v>
      </c>
      <c r="AP332" s="121" t="b">
        <f t="shared" si="119"/>
        <v>0</v>
      </c>
      <c r="AU332" s="121"/>
      <c r="AV332" s="121"/>
      <c r="AW332" s="159"/>
      <c r="AX332" s="159"/>
      <c r="AY332" s="159"/>
      <c r="AZ332" s="157"/>
      <c r="BA332" s="157"/>
      <c r="BB332" s="121">
        <f t="shared" ca="1" si="120"/>
        <v>0</v>
      </c>
      <c r="BC332" s="272">
        <f t="shared" ca="1" si="139"/>
        <v>0</v>
      </c>
      <c r="BD332" s="272">
        <f t="shared" ca="1" si="139"/>
        <v>0</v>
      </c>
      <c r="BE332" s="272">
        <f t="shared" ca="1" si="139"/>
        <v>0</v>
      </c>
      <c r="BF332" s="272">
        <f t="shared" ca="1" si="139"/>
        <v>0</v>
      </c>
      <c r="BG332"/>
    </row>
    <row r="333" spans="18:59" x14ac:dyDescent="0.2">
      <c r="R333">
        <v>306</v>
      </c>
      <c r="S333" s="40"/>
      <c r="T333" s="40"/>
      <c r="U333" s="131"/>
      <c r="V333" s="131"/>
      <c r="W333" s="131"/>
      <c r="X333" s="131"/>
      <c r="Y333" s="131"/>
      <c r="Z333" s="131"/>
      <c r="AA333" s="131"/>
      <c r="AB333" s="131"/>
      <c r="AN333" s="121"/>
      <c r="AO333" s="121" t="e">
        <f t="shared" si="132"/>
        <v>#DIV/0!</v>
      </c>
      <c r="AP333" s="121" t="b">
        <f t="shared" si="119"/>
        <v>0</v>
      </c>
      <c r="AU333" s="121"/>
      <c r="AV333" s="121"/>
      <c r="AW333" s="159"/>
      <c r="AX333" s="159"/>
      <c r="AY333" s="159"/>
      <c r="AZ333" s="157"/>
      <c r="BA333" s="157"/>
      <c r="BB333" s="121">
        <f t="shared" ca="1" si="120"/>
        <v>0</v>
      </c>
      <c r="BC333" s="272">
        <f t="shared" ca="1" si="139"/>
        <v>0</v>
      </c>
      <c r="BD333" s="272">
        <f t="shared" ca="1" si="139"/>
        <v>0</v>
      </c>
      <c r="BE333" s="272">
        <f t="shared" ca="1" si="139"/>
        <v>0</v>
      </c>
      <c r="BF333" s="272">
        <f t="shared" ca="1" si="139"/>
        <v>0</v>
      </c>
      <c r="BG333"/>
    </row>
    <row r="334" spans="18:59" x14ac:dyDescent="0.2">
      <c r="R334">
        <v>307</v>
      </c>
      <c r="S334" s="40"/>
      <c r="T334" s="40"/>
      <c r="U334" s="131"/>
      <c r="V334" s="131"/>
      <c r="W334" s="131"/>
      <c r="X334" s="131"/>
      <c r="Y334" s="131"/>
      <c r="Z334" s="131"/>
      <c r="AA334" s="131"/>
      <c r="AB334" s="131"/>
      <c r="AN334" s="121"/>
      <c r="AO334" s="121" t="e">
        <f t="shared" ref="AO334:AO347" si="141">IFERROR(ROUND(INDEX(F$28:F$129,MATCH($R334,$A$28:$A$129,0)),0),ROUND(AVERAGE(AU334:BA334),0))</f>
        <v>#DIV/0!</v>
      </c>
      <c r="AP334" s="121" t="b">
        <f t="shared" si="119"/>
        <v>0</v>
      </c>
      <c r="AU334" s="121"/>
      <c r="AV334" s="121"/>
      <c r="AW334" s="159"/>
      <c r="AX334" s="159"/>
      <c r="AY334" s="159"/>
      <c r="AZ334" s="157"/>
      <c r="BA334" s="157"/>
      <c r="BB334" s="121">
        <f t="shared" ca="1" si="120"/>
        <v>0</v>
      </c>
      <c r="BC334" s="272">
        <f t="shared" ca="1" si="139"/>
        <v>0</v>
      </c>
      <c r="BD334" s="272">
        <f t="shared" ca="1" si="139"/>
        <v>0</v>
      </c>
      <c r="BE334" s="272">
        <f t="shared" ca="1" si="139"/>
        <v>0</v>
      </c>
      <c r="BF334" s="272">
        <f t="shared" ca="1" si="139"/>
        <v>0</v>
      </c>
      <c r="BG334"/>
    </row>
    <row r="335" spans="18:59" x14ac:dyDescent="0.2">
      <c r="R335">
        <v>308</v>
      </c>
      <c r="S335" s="40"/>
      <c r="T335" s="40"/>
      <c r="U335" s="131"/>
      <c r="V335" s="131"/>
      <c r="W335" s="131"/>
      <c r="X335" s="131"/>
      <c r="Y335" s="131"/>
      <c r="Z335" s="131"/>
      <c r="AA335" s="131"/>
      <c r="AB335" s="131"/>
      <c r="AN335" s="121"/>
      <c r="AO335" s="121" t="e">
        <f t="shared" si="141"/>
        <v>#DIV/0!</v>
      </c>
      <c r="AP335" s="121" t="b">
        <f t="shared" si="119"/>
        <v>0</v>
      </c>
      <c r="AU335" s="121"/>
      <c r="AV335" s="121"/>
      <c r="AW335" s="159"/>
      <c r="AX335" s="159"/>
      <c r="AY335" s="159"/>
      <c r="AZ335" s="157"/>
      <c r="BA335" s="157"/>
      <c r="BB335" s="121">
        <f t="shared" ca="1" si="120"/>
        <v>0</v>
      </c>
      <c r="BC335" s="272">
        <f t="shared" ca="1" si="139"/>
        <v>0</v>
      </c>
      <c r="BD335" s="272">
        <f t="shared" ca="1" si="139"/>
        <v>0</v>
      </c>
      <c r="BE335" s="272">
        <f t="shared" ca="1" si="139"/>
        <v>0</v>
      </c>
      <c r="BF335" s="272">
        <f t="shared" ca="1" si="139"/>
        <v>0</v>
      </c>
      <c r="BG335"/>
    </row>
    <row r="336" spans="18:59" x14ac:dyDescent="0.2">
      <c r="R336">
        <v>309</v>
      </c>
      <c r="S336" s="40"/>
      <c r="T336" s="40"/>
      <c r="U336" s="131"/>
      <c r="V336" s="131"/>
      <c r="W336" s="131"/>
      <c r="X336" s="131"/>
      <c r="Y336" s="131"/>
      <c r="Z336" s="131"/>
      <c r="AA336" s="131"/>
      <c r="AB336" s="131"/>
      <c r="AN336" s="121"/>
      <c r="AO336" s="121" t="e">
        <f t="shared" si="141"/>
        <v>#DIV/0!</v>
      </c>
      <c r="AP336" s="121" t="b">
        <f t="shared" si="119"/>
        <v>0</v>
      </c>
      <c r="AU336" s="121"/>
      <c r="AV336" s="121"/>
      <c r="AW336" s="159"/>
      <c r="AX336" s="159"/>
      <c r="AY336" s="159"/>
      <c r="AZ336" s="157"/>
      <c r="BA336" s="157"/>
      <c r="BB336" s="121">
        <f t="shared" ca="1" si="120"/>
        <v>0</v>
      </c>
      <c r="BC336" s="272">
        <f t="shared" ca="1" si="139"/>
        <v>0</v>
      </c>
      <c r="BD336" s="272">
        <f t="shared" ca="1" si="139"/>
        <v>0</v>
      </c>
      <c r="BE336" s="272">
        <f t="shared" ca="1" si="139"/>
        <v>0</v>
      </c>
      <c r="BF336" s="272">
        <f t="shared" ca="1" si="139"/>
        <v>0</v>
      </c>
      <c r="BG336"/>
    </row>
    <row r="337" spans="18:59" x14ac:dyDescent="0.2">
      <c r="R337">
        <v>310</v>
      </c>
      <c r="S337" s="40"/>
      <c r="T337" s="40"/>
      <c r="U337" s="131"/>
      <c r="V337" s="131"/>
      <c r="W337" s="131"/>
      <c r="X337" s="131"/>
      <c r="Y337" s="131"/>
      <c r="Z337" s="131"/>
      <c r="AA337" s="131"/>
      <c r="AB337" s="131"/>
      <c r="AN337" s="121"/>
      <c r="AO337" s="121" t="e">
        <f t="shared" si="141"/>
        <v>#DIV/0!</v>
      </c>
      <c r="AP337" s="121" t="b">
        <f t="shared" si="119"/>
        <v>0</v>
      </c>
      <c r="AU337" s="121"/>
      <c r="AV337" s="121"/>
      <c r="AW337" s="159"/>
      <c r="AX337" s="159"/>
      <c r="AY337" s="159"/>
      <c r="AZ337" s="157"/>
      <c r="BA337" s="157"/>
      <c r="BB337" s="121">
        <f t="shared" ca="1" si="120"/>
        <v>0</v>
      </c>
      <c r="BC337" s="272">
        <f t="shared" ca="1" si="139"/>
        <v>0</v>
      </c>
      <c r="BD337" s="272">
        <f t="shared" ca="1" si="139"/>
        <v>0</v>
      </c>
      <c r="BE337" s="272">
        <f t="shared" ca="1" si="139"/>
        <v>0</v>
      </c>
      <c r="BF337" s="272">
        <f t="shared" ca="1" si="139"/>
        <v>0</v>
      </c>
      <c r="BG337"/>
    </row>
    <row r="338" spans="18:59" x14ac:dyDescent="0.2">
      <c r="R338">
        <v>311</v>
      </c>
      <c r="S338" s="40"/>
      <c r="T338" s="40"/>
      <c r="U338" s="131"/>
      <c r="V338" s="131"/>
      <c r="W338" s="131"/>
      <c r="X338" s="131"/>
      <c r="Y338" s="131"/>
      <c r="Z338" s="131"/>
      <c r="AA338" s="131"/>
      <c r="AB338" s="131"/>
      <c r="AN338" s="121"/>
      <c r="AO338" s="121" t="e">
        <f t="shared" si="141"/>
        <v>#DIV/0!</v>
      </c>
      <c r="AP338" s="121" t="b">
        <f t="shared" si="119"/>
        <v>0</v>
      </c>
      <c r="AU338" s="121"/>
      <c r="AV338" s="121"/>
      <c r="AW338" s="159"/>
      <c r="AX338" s="159"/>
      <c r="AY338" s="159"/>
      <c r="AZ338" s="157"/>
      <c r="BA338" s="157"/>
      <c r="BB338" s="121">
        <f t="shared" ca="1" si="120"/>
        <v>0</v>
      </c>
      <c r="BC338" s="272">
        <f t="shared" ca="1" si="139"/>
        <v>0</v>
      </c>
      <c r="BD338" s="272">
        <f t="shared" ca="1" si="139"/>
        <v>0</v>
      </c>
      <c r="BE338" s="272">
        <f t="shared" ca="1" si="139"/>
        <v>0</v>
      </c>
      <c r="BF338" s="272">
        <f t="shared" ca="1" si="139"/>
        <v>0</v>
      </c>
      <c r="BG338"/>
    </row>
    <row r="339" spans="18:59" x14ac:dyDescent="0.2">
      <c r="R339">
        <v>312</v>
      </c>
      <c r="S339" s="40"/>
      <c r="T339" s="40"/>
      <c r="U339" s="131"/>
      <c r="V339" s="131"/>
      <c r="W339" s="131"/>
      <c r="X339" s="131"/>
      <c r="Y339" s="131"/>
      <c r="Z339" s="131"/>
      <c r="AA339" s="131"/>
      <c r="AB339" s="131"/>
      <c r="AN339" s="121"/>
      <c r="AO339" s="121" t="e">
        <f t="shared" si="141"/>
        <v>#DIV/0!</v>
      </c>
      <c r="AP339" s="121" t="b">
        <f t="shared" si="119"/>
        <v>0</v>
      </c>
      <c r="AU339" s="121"/>
      <c r="AV339" s="121"/>
      <c r="AW339" s="159"/>
      <c r="AX339" s="159"/>
      <c r="AY339" s="159"/>
      <c r="AZ339" s="157"/>
      <c r="BA339" s="157"/>
      <c r="BB339" s="121">
        <f t="shared" ca="1" si="120"/>
        <v>0</v>
      </c>
      <c r="BC339" s="272">
        <f t="shared" ca="1" si="139"/>
        <v>0</v>
      </c>
      <c r="BD339" s="272">
        <f t="shared" ca="1" si="139"/>
        <v>0</v>
      </c>
      <c r="BE339" s="272">
        <f t="shared" ca="1" si="139"/>
        <v>0</v>
      </c>
      <c r="BF339" s="272">
        <f t="shared" ca="1" si="139"/>
        <v>0</v>
      </c>
      <c r="BG339"/>
    </row>
    <row r="340" spans="18:59" x14ac:dyDescent="0.2">
      <c r="R340">
        <v>313</v>
      </c>
      <c r="S340" s="40"/>
      <c r="T340" s="40"/>
      <c r="U340" s="131"/>
      <c r="V340" s="131"/>
      <c r="W340" s="131"/>
      <c r="X340" s="131"/>
      <c r="Y340" s="131"/>
      <c r="Z340" s="131"/>
      <c r="AA340" s="131"/>
      <c r="AB340" s="131"/>
      <c r="AN340" s="121"/>
      <c r="AO340" s="121" t="e">
        <f t="shared" si="141"/>
        <v>#DIV/0!</v>
      </c>
      <c r="AP340" s="121" t="b">
        <f t="shared" si="119"/>
        <v>0</v>
      </c>
      <c r="AU340" s="121"/>
      <c r="AV340" s="121"/>
      <c r="AW340" s="159"/>
      <c r="AX340" s="159"/>
      <c r="AY340" s="159"/>
      <c r="AZ340" s="157"/>
      <c r="BA340" s="157"/>
      <c r="BB340" s="121">
        <f t="shared" ca="1" si="120"/>
        <v>0</v>
      </c>
      <c r="BC340" s="272">
        <f t="shared" ca="1" si="139"/>
        <v>0</v>
      </c>
      <c r="BD340" s="272">
        <f t="shared" ca="1" si="139"/>
        <v>0</v>
      </c>
      <c r="BE340" s="272">
        <f t="shared" ca="1" si="139"/>
        <v>0</v>
      </c>
      <c r="BF340" s="272">
        <f t="shared" ca="1" si="139"/>
        <v>0</v>
      </c>
      <c r="BG340"/>
    </row>
    <row r="341" spans="18:59" x14ac:dyDescent="0.2">
      <c r="R341">
        <v>314</v>
      </c>
      <c r="S341" s="40"/>
      <c r="T341" s="40"/>
      <c r="U341" s="131"/>
      <c r="V341" s="131"/>
      <c r="W341" s="131"/>
      <c r="X341" s="131"/>
      <c r="Y341" s="131"/>
      <c r="Z341" s="131"/>
      <c r="AA341" s="131"/>
      <c r="AB341" s="131"/>
      <c r="AN341" s="121"/>
      <c r="AO341" s="121" t="e">
        <f t="shared" si="141"/>
        <v>#DIV/0!</v>
      </c>
      <c r="AP341" s="121" t="b">
        <f t="shared" si="119"/>
        <v>0</v>
      </c>
      <c r="AU341" s="121"/>
      <c r="AV341" s="121"/>
      <c r="AW341" s="159"/>
      <c r="AX341" s="159"/>
      <c r="AY341" s="159"/>
      <c r="AZ341" s="157"/>
      <c r="BA341" s="157"/>
      <c r="BB341" s="121">
        <f t="shared" ca="1" si="120"/>
        <v>0</v>
      </c>
      <c r="BC341" s="272">
        <f t="shared" ca="1" si="139"/>
        <v>0</v>
      </c>
      <c r="BD341" s="272">
        <f t="shared" ca="1" si="139"/>
        <v>0</v>
      </c>
      <c r="BE341" s="272">
        <f t="shared" ca="1" si="139"/>
        <v>0</v>
      </c>
      <c r="BF341" s="272">
        <f t="shared" ca="1" si="139"/>
        <v>0</v>
      </c>
      <c r="BG341"/>
    </row>
    <row r="342" spans="18:59" x14ac:dyDescent="0.2">
      <c r="R342">
        <v>315</v>
      </c>
      <c r="S342" s="40"/>
      <c r="T342" s="40"/>
      <c r="U342" s="131"/>
      <c r="V342" s="131"/>
      <c r="W342" s="131"/>
      <c r="X342" s="131"/>
      <c r="Y342" s="131"/>
      <c r="Z342" s="131"/>
      <c r="AA342" s="131"/>
      <c r="AB342" s="131"/>
      <c r="AN342" s="121"/>
      <c r="AO342" s="121" t="e">
        <f t="shared" si="141"/>
        <v>#DIV/0!</v>
      </c>
      <c r="AP342" s="121" t="b">
        <f t="shared" si="119"/>
        <v>0</v>
      </c>
      <c r="AU342" s="121"/>
      <c r="AV342" s="121"/>
      <c r="AW342" s="159"/>
      <c r="AX342" s="159"/>
      <c r="AY342" s="159"/>
      <c r="AZ342" s="157"/>
      <c r="BA342" s="157"/>
      <c r="BB342" s="121">
        <f t="shared" ca="1" si="120"/>
        <v>0</v>
      </c>
      <c r="BC342" s="272">
        <f t="shared" ca="1" si="139"/>
        <v>0</v>
      </c>
      <c r="BD342" s="272">
        <f t="shared" ca="1" si="139"/>
        <v>0</v>
      </c>
      <c r="BE342" s="272">
        <f t="shared" ca="1" si="139"/>
        <v>0</v>
      </c>
      <c r="BF342" s="272">
        <f t="shared" ca="1" si="139"/>
        <v>0</v>
      </c>
      <c r="BG342"/>
    </row>
    <row r="343" spans="18:59" x14ac:dyDescent="0.2">
      <c r="R343">
        <v>316</v>
      </c>
      <c r="S343" s="40"/>
      <c r="T343" s="40"/>
      <c r="U343" s="131"/>
      <c r="V343" s="131"/>
      <c r="W343" s="131"/>
      <c r="X343" s="131"/>
      <c r="Y343" s="131"/>
      <c r="Z343" s="131"/>
      <c r="AA343" s="131"/>
      <c r="AB343" s="131"/>
      <c r="AN343" s="121"/>
      <c r="AO343" s="121" t="e">
        <f t="shared" si="141"/>
        <v>#DIV/0!</v>
      </c>
      <c r="AP343" s="121" t="b">
        <f t="shared" si="119"/>
        <v>0</v>
      </c>
      <c r="AU343" s="121"/>
      <c r="AV343" s="121"/>
      <c r="AW343" s="159"/>
      <c r="AX343" s="159"/>
      <c r="AY343" s="159"/>
      <c r="AZ343" s="157"/>
      <c r="BA343" s="157"/>
      <c r="BB343" s="121">
        <f t="shared" ca="1" si="120"/>
        <v>0</v>
      </c>
      <c r="BC343" s="272">
        <f t="shared" ca="1" si="139"/>
        <v>0</v>
      </c>
      <c r="BD343" s="272">
        <f t="shared" ca="1" si="139"/>
        <v>0</v>
      </c>
      <c r="BE343" s="272">
        <f t="shared" ca="1" si="139"/>
        <v>0</v>
      </c>
      <c r="BF343" s="272">
        <f t="shared" ca="1" si="139"/>
        <v>0</v>
      </c>
      <c r="BG343"/>
    </row>
    <row r="344" spans="18:59" x14ac:dyDescent="0.2">
      <c r="R344">
        <v>317</v>
      </c>
      <c r="S344" s="40"/>
      <c r="T344" s="40"/>
      <c r="U344" s="131"/>
      <c r="V344" s="131"/>
      <c r="W344" s="131"/>
      <c r="X344" s="131"/>
      <c r="Y344" s="131"/>
      <c r="Z344" s="131"/>
      <c r="AA344" s="131"/>
      <c r="AB344" s="131"/>
      <c r="AN344" s="121"/>
      <c r="AO344" s="121" t="e">
        <f t="shared" si="141"/>
        <v>#DIV/0!</v>
      </c>
      <c r="AP344" s="121" t="b">
        <f t="shared" si="119"/>
        <v>0</v>
      </c>
      <c r="AU344" s="121"/>
      <c r="AV344" s="121"/>
      <c r="AW344" s="159"/>
      <c r="AX344" s="159"/>
      <c r="AY344" s="159"/>
      <c r="AZ344" s="157"/>
      <c r="BA344" s="157"/>
      <c r="BB344" s="121">
        <f t="shared" ca="1" si="120"/>
        <v>0</v>
      </c>
      <c r="BC344" s="272">
        <f t="shared" ca="1" si="139"/>
        <v>0</v>
      </c>
      <c r="BD344" s="272">
        <f t="shared" ca="1" si="139"/>
        <v>0</v>
      </c>
      <c r="BE344" s="272">
        <f t="shared" ca="1" si="139"/>
        <v>0</v>
      </c>
      <c r="BF344" s="272">
        <f t="shared" ca="1" si="139"/>
        <v>0</v>
      </c>
      <c r="BG344"/>
    </row>
    <row r="345" spans="18:59" x14ac:dyDescent="0.2">
      <c r="R345">
        <v>318</v>
      </c>
      <c r="S345" s="131">
        <f t="shared" ref="S345" ca="1" si="142">AO345</f>
        <v>25</v>
      </c>
      <c r="T345" s="131" t="str">
        <f t="shared" ref="T345:AB345" ca="1" si="143">IFERROR(ROUND(INDEX(G$28:G$129,MATCH($R345,$A$28:$A$129,0)),0),"")</f>
        <v/>
      </c>
      <c r="U345" s="131" t="str">
        <f t="shared" ca="1" si="143"/>
        <v/>
      </c>
      <c r="V345" s="131" t="str">
        <f t="shared" ca="1" si="143"/>
        <v/>
      </c>
      <c r="W345" s="131" t="str">
        <f t="shared" ca="1" si="143"/>
        <v/>
      </c>
      <c r="X345" s="131" t="str">
        <f t="shared" ca="1" si="143"/>
        <v/>
      </c>
      <c r="Y345" s="131" t="str">
        <f t="shared" ca="1" si="143"/>
        <v/>
      </c>
      <c r="Z345" s="131" t="str">
        <f t="shared" ca="1" si="143"/>
        <v/>
      </c>
      <c r="AA345" s="131" t="str">
        <f t="shared" ca="1" si="143"/>
        <v/>
      </c>
      <c r="AB345" s="131" t="str">
        <f t="shared" ca="1" si="143"/>
        <v/>
      </c>
      <c r="AN345" s="121"/>
      <c r="AO345" s="121">
        <f t="shared" ca="1" si="141"/>
        <v>25</v>
      </c>
      <c r="AP345" s="121" t="b">
        <f t="shared" si="119"/>
        <v>1</v>
      </c>
      <c r="AU345" s="121"/>
      <c r="AV345" s="121"/>
      <c r="AW345" s="159"/>
      <c r="AX345" s="159"/>
      <c r="AY345" s="159"/>
      <c r="AZ345" s="157"/>
      <c r="BA345" s="157"/>
      <c r="BB345" s="121">
        <f t="shared" ca="1" si="120"/>
        <v>0</v>
      </c>
      <c r="BC345" s="272">
        <f t="shared" ca="1" si="139"/>
        <v>0</v>
      </c>
      <c r="BD345" s="272">
        <f t="shared" ca="1" si="139"/>
        <v>0</v>
      </c>
      <c r="BE345" s="272">
        <f t="shared" ca="1" si="139"/>
        <v>0</v>
      </c>
      <c r="BF345" s="272">
        <f t="shared" ca="1" si="139"/>
        <v>0</v>
      </c>
      <c r="BG345"/>
    </row>
    <row r="346" spans="18:59" x14ac:dyDescent="0.2">
      <c r="R346">
        <v>319</v>
      </c>
      <c r="S346" s="40"/>
      <c r="T346" s="40"/>
      <c r="U346" s="131"/>
      <c r="V346" s="131"/>
      <c r="W346" s="131"/>
      <c r="X346" s="131"/>
      <c r="Y346" s="131"/>
      <c r="Z346" s="131"/>
      <c r="AA346" s="131"/>
      <c r="AB346" s="131"/>
      <c r="AN346" s="121"/>
      <c r="AO346" s="121" t="e">
        <f t="shared" si="141"/>
        <v>#DIV/0!</v>
      </c>
      <c r="AP346" s="121" t="b">
        <f t="shared" si="119"/>
        <v>0</v>
      </c>
      <c r="AU346" s="121"/>
      <c r="AV346" s="121"/>
      <c r="AW346" s="159"/>
      <c r="AX346" s="159"/>
      <c r="AY346" s="159"/>
      <c r="AZ346" s="157"/>
      <c r="BA346" s="157"/>
      <c r="BB346" s="121">
        <f t="shared" ca="1" si="120"/>
        <v>0</v>
      </c>
      <c r="BC346" s="272">
        <f t="shared" ca="1" si="139"/>
        <v>0</v>
      </c>
      <c r="BD346" s="272">
        <f t="shared" ca="1" si="139"/>
        <v>0</v>
      </c>
      <c r="BE346" s="272">
        <f t="shared" ca="1" si="139"/>
        <v>0</v>
      </c>
      <c r="BF346" s="272">
        <f t="shared" ca="1" si="139"/>
        <v>0</v>
      </c>
      <c r="BG346"/>
    </row>
    <row r="347" spans="18:59" x14ac:dyDescent="0.2">
      <c r="R347">
        <v>320</v>
      </c>
      <c r="S347" s="40"/>
      <c r="T347" s="40"/>
      <c r="U347" s="131"/>
      <c r="V347" s="131"/>
      <c r="W347" s="131"/>
      <c r="X347" s="131"/>
      <c r="Y347" s="131"/>
      <c r="Z347" s="131"/>
      <c r="AA347" s="131"/>
      <c r="AB347" s="131"/>
      <c r="AN347" s="121"/>
      <c r="AO347" s="121" t="e">
        <f t="shared" si="141"/>
        <v>#DIV/0!</v>
      </c>
      <c r="AP347" s="121" t="b">
        <f t="shared" si="119"/>
        <v>0</v>
      </c>
      <c r="AU347" s="121"/>
      <c r="AV347" s="121"/>
      <c r="AW347" s="159"/>
      <c r="AX347" s="159"/>
      <c r="AY347" s="159"/>
      <c r="AZ347" s="157"/>
      <c r="BA347" s="157"/>
      <c r="BB347" s="121">
        <f t="shared" ca="1" si="120"/>
        <v>0</v>
      </c>
      <c r="BC347" s="272">
        <f t="shared" ca="1" si="139"/>
        <v>0</v>
      </c>
      <c r="BD347" s="272">
        <f t="shared" ca="1" si="139"/>
        <v>0</v>
      </c>
      <c r="BE347" s="272">
        <f t="shared" ca="1" si="139"/>
        <v>0</v>
      </c>
      <c r="BF347" s="272">
        <f t="shared" ca="1" si="139"/>
        <v>0</v>
      </c>
      <c r="BG347"/>
    </row>
    <row r="348" spans="18:59" s="272" customFormat="1" x14ac:dyDescent="0.2">
      <c r="W348" s="22"/>
      <c r="X348" s="22"/>
      <c r="Y348" s="22"/>
      <c r="Z348" s="22"/>
      <c r="AA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</row>
    <row r="349" spans="18:59" s="272" customFormat="1" x14ac:dyDescent="0.2">
      <c r="W349" s="22"/>
      <c r="X349" s="22"/>
      <c r="Y349" s="22"/>
      <c r="Z349" s="22"/>
      <c r="AA349" s="22"/>
      <c r="AM349" s="22"/>
      <c r="AN349" s="22">
        <v>34</v>
      </c>
      <c r="AO349" s="22"/>
      <c r="AP349" s="22"/>
      <c r="AQ349" s="272">
        <f ca="1">+AVERAGEIFS(TABELA_VAZAO[qinc],TABELA_VAZAO[Posto],$AN349,TABELA_VAZAO[Data],AQ$27)</f>
        <v>484</v>
      </c>
      <c r="AR349" s="272">
        <f ca="1">+AVERAGEIFS(TABELA_VAZAO[qinc],TABELA_VAZAO[Posto],$AN349,TABELA_VAZAO[Data],AR$27)</f>
        <v>472</v>
      </c>
      <c r="AS349" s="272">
        <f ca="1">+AVERAGEIFS(TABELA_VAZAO[qinc],TABELA_VAZAO[Posto],$AN349,TABELA_VAZAO[Data],AS$27)</f>
        <v>459</v>
      </c>
      <c r="AT349" s="272">
        <f ca="1">+AVERAGEIFS(TABELA_VAZAO[qinc],TABELA_VAZAO[Posto],$AN349,TABELA_VAZAO[Data],AT$27)</f>
        <v>447</v>
      </c>
      <c r="AU349" s="272">
        <f ca="1">+AVERAGEIFS(TABELA_VAZAO[qinc],TABELA_VAZAO[Posto],$AN349,TABELA_VAZAO[Data],AU$27)</f>
        <v>439</v>
      </c>
      <c r="AV349" s="272">
        <f ca="1">IFERROR(AVERAGEIFS(TABELA_VAZAO[qinc],TABELA_VAZAO[Posto],$AN349,TABELA_VAZAO[Data],AV$27),AU349+$BB349*EXP(AV$26))</f>
        <v>436</v>
      </c>
      <c r="AW349" s="159">
        <f ca="1">IFERROR(AVERAGEIFS(TABELA_VAZAO[qinc],TABELA_VAZAO[Posto],$AN349,TABELA_VAZAO[Data],AW$27),AV349+$BB349*EXP(AW$26))</f>
        <v>438</v>
      </c>
      <c r="AX349" s="325">
        <f ca="1">IFERROR(AVERAGEIFS(TABELA_VAZAO[qinc],TABELA_VAZAO[Posto],$AN349,TABELA_VAZAO[Data],AX$27),AW349+$BB349*EXP(AX$26))</f>
        <v>435.14285714285717</v>
      </c>
      <c r="AY349" s="325">
        <f ca="1">IFERROR(AVERAGEIFS(TABELA_VAZAO[qinc],TABELA_VAZAO[Posto],$AN349,TABELA_VAZAO[Data],AY$27),AX349+$BB349*EXP(AY$26))</f>
        <v>433.22765701132676</v>
      </c>
      <c r="AZ349" s="326">
        <f ca="1">IFERROR(AVERAGEIFS(TABELA_VAZAO[qinc],TABELA_VAZAO[Posto],$AN349,TABELA_VAZAO[Data],AZ$27),AY349+$BB349*EXP(AZ$26))</f>
        <v>431.94385997099181</v>
      </c>
      <c r="BA349" s="326">
        <f ca="1">IFERROR(AVERAGEIFS(TABELA_VAZAO[qinc],TABELA_VAZAO[Posto],$AN349,TABELA_VAZAO[Data],BA$27),AZ349+$BB349*EXP(BA$26))</f>
        <v>431.08330507981407</v>
      </c>
      <c r="BB349" s="272">
        <f t="shared" ref="BB349" ca="1" si="144">SUMPRODUCT(BC349:BF349,BC$27:BF$27)/$BB$27</f>
        <v>-2.8571428571428572</v>
      </c>
      <c r="BC349" s="272">
        <f t="shared" ca="1" si="139"/>
        <v>-12</v>
      </c>
      <c r="BD349" s="272">
        <f t="shared" ca="1" si="139"/>
        <v>-8</v>
      </c>
      <c r="BE349" s="272">
        <f t="shared" ca="1" si="139"/>
        <v>-3</v>
      </c>
      <c r="BF349" s="272">
        <f t="shared" ca="1" si="139"/>
        <v>2</v>
      </c>
    </row>
    <row r="350" spans="18:59" s="272" customFormat="1" x14ac:dyDescent="0.2">
      <c r="W350" s="22"/>
      <c r="X350" s="22"/>
      <c r="Y350" s="22"/>
      <c r="Z350" s="22"/>
      <c r="AA350" s="22"/>
      <c r="AM350" s="22"/>
      <c r="AN350" s="22">
        <v>245</v>
      </c>
      <c r="AO350" s="22"/>
      <c r="AP350" s="22"/>
      <c r="AQ350" s="272">
        <f ca="1">+AVERAGEIFS(TABELA_VAZAO[qinc],TABELA_VAZAO[Posto],$AN350,TABELA_VAZAO[Data],AQ$27)</f>
        <v>425</v>
      </c>
      <c r="AR350" s="272">
        <f ca="1">+AVERAGEIFS(TABELA_VAZAO[qinc],TABELA_VAZAO[Posto],$AN350,TABELA_VAZAO[Data],AR$27)</f>
        <v>425</v>
      </c>
      <c r="AS350" s="272">
        <f ca="1">+AVERAGEIFS(TABELA_VAZAO[qinc],TABELA_VAZAO[Posto],$AN350,TABELA_VAZAO[Data],AS$27)</f>
        <v>432</v>
      </c>
      <c r="AT350" s="272">
        <f ca="1">+AVERAGEIFS(TABELA_VAZAO[qinc],TABELA_VAZAO[Posto],$AN350,TABELA_VAZAO[Data],AT$27)</f>
        <v>456</v>
      </c>
      <c r="AU350" s="272">
        <f ca="1">+AVERAGEIFS(TABELA_VAZAO[qinc],TABELA_VAZAO[Posto],$AN350,TABELA_VAZAO[Data],AU$27)</f>
        <v>547</v>
      </c>
      <c r="AV350" s="272">
        <f ca="1">IFERROR(AVERAGEIFS(TABELA_VAZAO[qinc],TABELA_VAZAO[Posto],$AN350,TABELA_VAZAO[Data],AV$27),AU350+$BB350*EXP(AV$26))</f>
        <v>550</v>
      </c>
      <c r="AW350" s="159">
        <f ca="1">IFERROR(AVERAGEIFS(TABELA_VAZAO[qinc],TABELA_VAZAO[Posto],$AN350,TABELA_VAZAO[Data],AW$27),AV350+$BB350*EXP(AW$26))</f>
        <v>547</v>
      </c>
      <c r="AX350" s="325">
        <f ca="1">IFERROR(AVERAGEIFS(TABELA_VAZAO[qinc],TABELA_VAZAO[Posto],$AN350,TABELA_VAZAO[Data],AX$27),AW350+$BB350*EXP(AX$26))</f>
        <v>563</v>
      </c>
      <c r="AY350" s="325">
        <f ca="1">IFERROR(AVERAGEIFS(TABELA_VAZAO[qinc],TABELA_VAZAO[Posto],$AN350,TABELA_VAZAO[Data],AY$27),AX350+$BB350*EXP(AY$26))</f>
        <v>573.72512073657026</v>
      </c>
      <c r="AZ350" s="326">
        <f ca="1">IFERROR(AVERAGEIFS(TABELA_VAZAO[qinc],TABELA_VAZAO[Posto],$AN350,TABELA_VAZAO[Data],AZ$27),AY350+$BB350*EXP(AZ$26))</f>
        <v>580.9143841624458</v>
      </c>
      <c r="BA350" s="326">
        <f ca="1">IFERROR(AVERAGEIFS(TABELA_VAZAO[qinc],TABELA_VAZAO[Posto],$AN350,TABELA_VAZAO[Data],BA$27),AZ350+$BB350*EXP(BA$26))</f>
        <v>585.73349155304106</v>
      </c>
      <c r="BB350" s="272">
        <f t="shared" ref="BB350:BB352" ca="1" si="145">SUMPRODUCT(BC350:BF350,BC$27:BF$27)/$BB$27</f>
        <v>16</v>
      </c>
      <c r="BC350" s="272">
        <f t="shared" ca="1" si="139"/>
        <v>24</v>
      </c>
      <c r="BD350" s="272">
        <f t="shared" ca="1" si="139"/>
        <v>91</v>
      </c>
      <c r="BE350" s="272">
        <f t="shared" ca="1" si="139"/>
        <v>3</v>
      </c>
      <c r="BF350" s="272">
        <f t="shared" ca="1" si="139"/>
        <v>-3</v>
      </c>
    </row>
    <row r="351" spans="18:59" s="272" customFormat="1" x14ac:dyDescent="0.2">
      <c r="W351" s="22"/>
      <c r="X351" s="22"/>
      <c r="Y351" s="22"/>
      <c r="Z351" s="22"/>
      <c r="AA351" s="22"/>
      <c r="AM351" s="22"/>
      <c r="AN351" s="22">
        <v>246</v>
      </c>
      <c r="AO351" s="22"/>
      <c r="AP351" s="22"/>
      <c r="AQ351" s="272">
        <f ca="1">+AVERAGEIFS(TABELA_VAZAO[qinc],TABELA_VAZAO[Posto],$AN351,TABELA_VAZAO[Data],AQ$27)</f>
        <v>817</v>
      </c>
      <c r="AR351" s="272">
        <f ca="1">+AVERAGEIFS(TABELA_VAZAO[qinc],TABELA_VAZAO[Posto],$AN351,TABELA_VAZAO[Data],AR$27)</f>
        <v>815</v>
      </c>
      <c r="AS351" s="272">
        <f ca="1">+AVERAGEIFS(TABELA_VAZAO[qinc],TABELA_VAZAO[Posto],$AN351,TABELA_VAZAO[Data],AS$27)</f>
        <v>776</v>
      </c>
      <c r="AT351" s="272">
        <f ca="1">+AVERAGEIFS(TABELA_VAZAO[qinc],TABELA_VAZAO[Posto],$AN351,TABELA_VAZAO[Data],AT$27)</f>
        <v>768</v>
      </c>
      <c r="AU351" s="272">
        <f ca="1">+AVERAGEIFS(TABELA_VAZAO[qinc],TABELA_VAZAO[Posto],$AN351,TABELA_VAZAO[Data],AU$27)</f>
        <v>756</v>
      </c>
      <c r="AV351" s="272">
        <f ca="1">IFERROR(AVERAGEIFS(TABELA_VAZAO[qinc],TABELA_VAZAO[Posto],$AN351,TABELA_VAZAO[Data],AV$27),AU351+$BB351*EXP(AV$26))</f>
        <v>765</v>
      </c>
      <c r="AW351" s="159">
        <f ca="1">IFERROR(AVERAGEIFS(TABELA_VAZAO[qinc],TABELA_VAZAO[Posto],$AN351,TABELA_VAZAO[Data],AW$27),AV351+$BB351*EXP(AW$26))</f>
        <v>853</v>
      </c>
      <c r="AX351" s="325">
        <f ca="1">IFERROR(AVERAGEIFS(TABELA_VAZAO[qinc],TABELA_VAZAO[Posto],$AN351,TABELA_VAZAO[Data],AX$27),AW351+$BB351*EXP(AX$26))</f>
        <v>890.42857142857144</v>
      </c>
      <c r="AY351" s="325">
        <f ca="1">IFERROR(AVERAGEIFS(TABELA_VAZAO[qinc],TABELA_VAZAO[Posto],$AN351,TABELA_VAZAO[Data],AY$27),AX351+$BB351*EXP(AY$26))</f>
        <v>915.51769315161971</v>
      </c>
      <c r="AZ351" s="326">
        <f ca="1">IFERROR(AVERAGEIFS(TABELA_VAZAO[qinc],TABELA_VAZAO[Posto],$AN351,TABELA_VAZAO[Data],AZ$27),AY351+$BB351*EXP(AZ$26))</f>
        <v>932.3354343800072</v>
      </c>
      <c r="BA351" s="326">
        <f ca="1">IFERROR(AVERAGEIFS(TABELA_VAZAO[qinc],TABELA_VAZAO[Posto],$AN351,TABELA_VAZAO[Data],BA$27),AZ351+$BB351*EXP(BA$26))</f>
        <v>943.60870345443539</v>
      </c>
      <c r="BB351" s="272">
        <f t="shared" ca="1" si="145"/>
        <v>37.428571428571431</v>
      </c>
      <c r="BC351" s="272">
        <f t="shared" ref="BC351:BF352" ca="1" si="146">INDEX($AQ351:$BA351,1,BC$26)-INDEX($AQ351:$BA351,1,BC$26-1)</f>
        <v>-8</v>
      </c>
      <c r="BD351" s="272">
        <f t="shared" ca="1" si="146"/>
        <v>-12</v>
      </c>
      <c r="BE351" s="272">
        <f t="shared" ca="1" si="146"/>
        <v>9</v>
      </c>
      <c r="BF351" s="272">
        <f t="shared" ca="1" si="146"/>
        <v>88</v>
      </c>
    </row>
    <row r="352" spans="18:59" s="272" customFormat="1" x14ac:dyDescent="0.2">
      <c r="W352" s="22"/>
      <c r="X352" s="22"/>
      <c r="Y352" s="22"/>
      <c r="Z352" s="22"/>
      <c r="AA352" s="22"/>
      <c r="AM352" s="22"/>
      <c r="AN352" s="22">
        <v>243</v>
      </c>
      <c r="AO352" s="22"/>
      <c r="AP352" s="22"/>
      <c r="AQ352" s="272">
        <f ca="1">+AVERAGEIFS(TABELA_VAZAO[qinc],TABELA_VAZAO[Posto],$AN352,TABELA_VAZAO[Data],AQ$27)</f>
        <v>31</v>
      </c>
      <c r="AR352" s="272">
        <f ca="1">+AVERAGEIFS(TABELA_VAZAO[qinc],TABELA_VAZAO[Posto],$AN352,TABELA_VAZAO[Data],AR$27)</f>
        <v>30</v>
      </c>
      <c r="AS352" s="272">
        <f ca="1">+AVERAGEIFS(TABELA_VAZAO[qinc],TABELA_VAZAO[Posto],$AN352,TABELA_VAZAO[Data],AS$27)</f>
        <v>29</v>
      </c>
      <c r="AT352" s="272">
        <f ca="1">+AVERAGEIFS(TABELA_VAZAO[qinc],TABELA_VAZAO[Posto],$AN352,TABELA_VAZAO[Data],AT$27)</f>
        <v>29</v>
      </c>
      <c r="AU352" s="272">
        <f ca="1">+AVERAGEIFS(TABELA_VAZAO[qinc],TABELA_VAZAO[Posto],$AN352,TABELA_VAZAO[Data],AU$27)</f>
        <v>28</v>
      </c>
      <c r="AV352" s="272">
        <f ca="1">IFERROR(AVERAGEIFS(TABELA_VAZAO[qinc],TABELA_VAZAO[Posto],$AN352,TABELA_VAZAO[Data],AV$27),AU352+$BB352*EXP(AV$26))</f>
        <v>28</v>
      </c>
      <c r="AW352" s="159">
        <f ca="1">IFERROR(AVERAGEIFS(TABELA_VAZAO[qinc],TABELA_VAZAO[Posto],$AN352,TABELA_VAZAO[Data],AW$27),AV352+$BB352*EXP(AW$26))</f>
        <v>28</v>
      </c>
      <c r="AX352" s="325">
        <f ca="1">IFERROR(AVERAGEIFS(TABELA_VAZAO[qinc],TABELA_VAZAO[Posto],$AN352,TABELA_VAZAO[Data],AX$27),AW352+$BB352*EXP(AX$26))</f>
        <v>27.857142857142858</v>
      </c>
      <c r="AY352" s="325">
        <f ca="1">IFERROR(AVERAGEIFS(TABELA_VAZAO[qinc],TABELA_VAZAO[Posto],$AN352,TABELA_VAZAO[Data],AY$27),AX352+$BB352*EXP(AY$26))</f>
        <v>27.761382850566338</v>
      </c>
      <c r="AZ352" s="326">
        <f ca="1">IFERROR(AVERAGEIFS(TABELA_VAZAO[qinc],TABELA_VAZAO[Posto],$AN352,TABELA_VAZAO[Data],AZ$27),AY352+$BB352*EXP(AZ$26))</f>
        <v>27.697192998549593</v>
      </c>
      <c r="BA352" s="326">
        <f ca="1">IFERROR(AVERAGEIFS(TABELA_VAZAO[qinc],TABELA_VAZAO[Posto],$AN352,TABELA_VAZAO[Data],BA$27),AZ352+$BB352*EXP(BA$26))</f>
        <v>27.654165253990708</v>
      </c>
      <c r="BB352" s="272">
        <f t="shared" ca="1" si="145"/>
        <v>-0.14285714285714285</v>
      </c>
      <c r="BC352" s="272">
        <f t="shared" ca="1" si="146"/>
        <v>0</v>
      </c>
      <c r="BD352" s="272">
        <f t="shared" ca="1" si="146"/>
        <v>-1</v>
      </c>
      <c r="BE352" s="272">
        <f t="shared" ca="1" si="146"/>
        <v>0</v>
      </c>
      <c r="BF352" s="272">
        <f t="shared" ca="1" si="146"/>
        <v>0</v>
      </c>
    </row>
    <row r="353" spans="23:59" x14ac:dyDescent="0.2">
      <c r="W353" s="22"/>
      <c r="X353" s="22"/>
      <c r="Y353" s="22"/>
      <c r="Z353" s="22"/>
      <c r="AA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G353"/>
    </row>
    <row r="354" spans="23:59" hidden="1" x14ac:dyDescent="0.2">
      <c r="BG354"/>
    </row>
    <row r="355" spans="23:59" hidden="1" x14ac:dyDescent="0.2">
      <c r="BG355"/>
    </row>
    <row r="356" spans="23:59" hidden="1" x14ac:dyDescent="0.2">
      <c r="BG356"/>
    </row>
    <row r="357" spans="23:59" hidden="1" x14ac:dyDescent="0.2">
      <c r="BG357"/>
    </row>
    <row r="358" spans="23:59" hidden="1" x14ac:dyDescent="0.2">
      <c r="BG358"/>
    </row>
    <row r="359" spans="23:59" hidden="1" x14ac:dyDescent="0.2">
      <c r="BG359"/>
    </row>
    <row r="360" spans="23:59" hidden="1" x14ac:dyDescent="0.2">
      <c r="BG360"/>
    </row>
    <row r="361" spans="23:59" hidden="1" x14ac:dyDescent="0.2">
      <c r="BG361"/>
    </row>
    <row r="362" spans="23:59" hidden="1" x14ac:dyDescent="0.2">
      <c r="BG362"/>
    </row>
    <row r="363" spans="23:59" hidden="1" x14ac:dyDescent="0.2">
      <c r="BG363"/>
    </row>
    <row r="364" spans="23:59" hidden="1" x14ac:dyDescent="0.2">
      <c r="BG364"/>
    </row>
    <row r="365" spans="23:59" hidden="1" x14ac:dyDescent="0.2">
      <c r="BG365"/>
    </row>
    <row r="366" spans="23:59" hidden="1" x14ac:dyDescent="0.2">
      <c r="BG366"/>
    </row>
    <row r="367" spans="23:59" hidden="1" x14ac:dyDescent="0.2">
      <c r="BG367"/>
    </row>
    <row r="368" spans="23:59" hidden="1" x14ac:dyDescent="0.2">
      <c r="AF368" s="22"/>
      <c r="AG368" s="22"/>
      <c r="AH368" s="22"/>
      <c r="AI368" s="22"/>
      <c r="AJ368" s="22"/>
      <c r="AK368" s="22"/>
      <c r="AL368" s="22"/>
      <c r="BG368"/>
    </row>
    <row r="369" spans="59:59" hidden="1" x14ac:dyDescent="0.2">
      <c r="BG369"/>
    </row>
    <row r="370" spans="59:59" hidden="1" x14ac:dyDescent="0.2">
      <c r="BG370"/>
    </row>
    <row r="371" spans="59:59" hidden="1" x14ac:dyDescent="0.2">
      <c r="BG371"/>
    </row>
    <row r="372" spans="59:59" hidden="1" x14ac:dyDescent="0.2">
      <c r="BG372"/>
    </row>
    <row r="373" spans="59:59" hidden="1" x14ac:dyDescent="0.2">
      <c r="BG373"/>
    </row>
    <row r="374" spans="59:59" hidden="1" x14ac:dyDescent="0.2">
      <c r="BG374"/>
    </row>
    <row r="375" spans="59:59" hidden="1" x14ac:dyDescent="0.2">
      <c r="BG375"/>
    </row>
    <row r="376" spans="59:59" hidden="1" x14ac:dyDescent="0.2">
      <c r="BG376"/>
    </row>
    <row r="377" spans="59:59" hidden="1" x14ac:dyDescent="0.2">
      <c r="BG377"/>
    </row>
    <row r="378" spans="59:59" hidden="1" x14ac:dyDescent="0.2">
      <c r="BG378"/>
    </row>
    <row r="379" spans="59:59" hidden="1" x14ac:dyDescent="0.2">
      <c r="BG379"/>
    </row>
    <row r="380" spans="59:59" hidden="1" x14ac:dyDescent="0.2">
      <c r="BG380"/>
    </row>
    <row r="381" spans="59:59" hidden="1" x14ac:dyDescent="0.2">
      <c r="BG381"/>
    </row>
    <row r="382" spans="59:59" hidden="1" x14ac:dyDescent="0.2">
      <c r="BG382"/>
    </row>
    <row r="383" spans="59:59" hidden="1" x14ac:dyDescent="0.2">
      <c r="BG383"/>
    </row>
    <row r="384" spans="59:59" hidden="1" x14ac:dyDescent="0.2">
      <c r="BG384"/>
    </row>
    <row r="385" spans="59:59" hidden="1" x14ac:dyDescent="0.2">
      <c r="BG385"/>
    </row>
    <row r="386" spans="59:59" hidden="1" x14ac:dyDescent="0.2">
      <c r="BG386"/>
    </row>
    <row r="387" spans="59:59" hidden="1" x14ac:dyDescent="0.2">
      <c r="BG387"/>
    </row>
    <row r="388" spans="59:59" hidden="1" x14ac:dyDescent="0.2">
      <c r="BG388"/>
    </row>
    <row r="389" spans="59:59" hidden="1" x14ac:dyDescent="0.2">
      <c r="BG389"/>
    </row>
    <row r="390" spans="59:59" hidden="1" x14ac:dyDescent="0.2">
      <c r="BG390"/>
    </row>
    <row r="391" spans="59:59" hidden="1" x14ac:dyDescent="0.2">
      <c r="BG391"/>
    </row>
    <row r="392" spans="59:59" hidden="1" x14ac:dyDescent="0.2">
      <c r="BG392"/>
    </row>
    <row r="393" spans="59:59" hidden="1" x14ac:dyDescent="0.2">
      <c r="BG393"/>
    </row>
    <row r="394" spans="59:59" hidden="1" x14ac:dyDescent="0.2">
      <c r="BG394"/>
    </row>
    <row r="395" spans="59:59" hidden="1" x14ac:dyDescent="0.2">
      <c r="BG395"/>
    </row>
    <row r="396" spans="59:59" hidden="1" x14ac:dyDescent="0.2">
      <c r="BG396"/>
    </row>
    <row r="397" spans="59:59" hidden="1" x14ac:dyDescent="0.2">
      <c r="BG397"/>
    </row>
    <row r="398" spans="59:59" hidden="1" x14ac:dyDescent="0.2">
      <c r="BG398"/>
    </row>
    <row r="399" spans="59:59" hidden="1" x14ac:dyDescent="0.2">
      <c r="BG399"/>
    </row>
    <row r="400" spans="59:59" hidden="1" x14ac:dyDescent="0.2">
      <c r="BG400"/>
    </row>
    <row r="401" spans="59:59" hidden="1" x14ac:dyDescent="0.2">
      <c r="BG401"/>
    </row>
    <row r="402" spans="59:59" hidden="1" x14ac:dyDescent="0.2">
      <c r="BG402"/>
    </row>
    <row r="403" spans="59:59" hidden="1" x14ac:dyDescent="0.2">
      <c r="BG403"/>
    </row>
    <row r="404" spans="59:59" hidden="1" x14ac:dyDescent="0.2">
      <c r="BG404"/>
    </row>
    <row r="405" spans="59:59" hidden="1" x14ac:dyDescent="0.2">
      <c r="BG405"/>
    </row>
    <row r="406" spans="59:59" hidden="1" x14ac:dyDescent="0.2">
      <c r="BG406"/>
    </row>
    <row r="407" spans="59:59" hidden="1" x14ac:dyDescent="0.2">
      <c r="BG407"/>
    </row>
    <row r="408" spans="59:59" hidden="1" x14ac:dyDescent="0.2">
      <c r="BG408"/>
    </row>
    <row r="409" spans="59:59" hidden="1" x14ac:dyDescent="0.2">
      <c r="BG409"/>
    </row>
    <row r="410" spans="59:59" hidden="1" x14ac:dyDescent="0.2">
      <c r="BG410"/>
    </row>
    <row r="411" spans="59:59" hidden="1" x14ac:dyDescent="0.2">
      <c r="BG411"/>
    </row>
    <row r="412" spans="59:59" hidden="1" x14ac:dyDescent="0.2">
      <c r="BG412"/>
    </row>
    <row r="413" spans="59:59" hidden="1" x14ac:dyDescent="0.2">
      <c r="BG413"/>
    </row>
    <row r="414" spans="59:59" hidden="1" x14ac:dyDescent="0.2">
      <c r="BG414"/>
    </row>
    <row r="415" spans="59:59" hidden="1" x14ac:dyDescent="0.2">
      <c r="BG415"/>
    </row>
    <row r="416" spans="59:59" hidden="1" x14ac:dyDescent="0.2">
      <c r="BG416"/>
    </row>
    <row r="417" spans="59:59" hidden="1" x14ac:dyDescent="0.2">
      <c r="BG417"/>
    </row>
    <row r="418" spans="59:59" hidden="1" x14ac:dyDescent="0.2">
      <c r="BG418"/>
    </row>
    <row r="419" spans="59:59" hidden="1" x14ac:dyDescent="0.2">
      <c r="BG419"/>
    </row>
    <row r="420" spans="59:59" hidden="1" x14ac:dyDescent="0.2">
      <c r="BG420"/>
    </row>
    <row r="421" spans="59:59" hidden="1" x14ac:dyDescent="0.2">
      <c r="BG421"/>
    </row>
    <row r="422" spans="59:59" hidden="1" x14ac:dyDescent="0.2">
      <c r="BG422"/>
    </row>
    <row r="423" spans="59:59" hidden="1" x14ac:dyDescent="0.2">
      <c r="BG423"/>
    </row>
    <row r="424" spans="59:59" hidden="1" x14ac:dyDescent="0.2">
      <c r="BG424"/>
    </row>
    <row r="425" spans="59:59" hidden="1" x14ac:dyDescent="0.2">
      <c r="BG425"/>
    </row>
    <row r="426" spans="59:59" hidden="1" x14ac:dyDescent="0.2">
      <c r="BG426"/>
    </row>
    <row r="427" spans="59:59" hidden="1" x14ac:dyDescent="0.2">
      <c r="BG427"/>
    </row>
    <row r="428" spans="59:59" hidden="1" x14ac:dyDescent="0.2">
      <c r="BG428"/>
    </row>
    <row r="429" spans="59:59" hidden="1" x14ac:dyDescent="0.2">
      <c r="BG429"/>
    </row>
    <row r="430" spans="59:59" hidden="1" x14ac:dyDescent="0.2">
      <c r="BG430"/>
    </row>
    <row r="431" spans="59:59" hidden="1" x14ac:dyDescent="0.2">
      <c r="BG431"/>
    </row>
    <row r="432" spans="59:59" hidden="1" x14ac:dyDescent="0.2">
      <c r="BG432"/>
    </row>
    <row r="433" spans="59:59" hidden="1" x14ac:dyDescent="0.2">
      <c r="BG433"/>
    </row>
    <row r="434" spans="59:59" hidden="1" x14ac:dyDescent="0.2">
      <c r="BG434"/>
    </row>
    <row r="435" spans="59:59" hidden="1" x14ac:dyDescent="0.2">
      <c r="BG435"/>
    </row>
    <row r="436" spans="59:59" hidden="1" x14ac:dyDescent="0.2">
      <c r="BG436"/>
    </row>
    <row r="437" spans="59:59" hidden="1" x14ac:dyDescent="0.2">
      <c r="BG437"/>
    </row>
    <row r="438" spans="59:59" hidden="1" x14ac:dyDescent="0.2">
      <c r="BG438"/>
    </row>
    <row r="439" spans="59:59" hidden="1" x14ac:dyDescent="0.2">
      <c r="BG439"/>
    </row>
    <row r="440" spans="59:59" hidden="1" x14ac:dyDescent="0.2">
      <c r="BG440"/>
    </row>
    <row r="441" spans="59:59" hidden="1" x14ac:dyDescent="0.2">
      <c r="BG441"/>
    </row>
    <row r="442" spans="59:59" hidden="1" x14ac:dyDescent="0.2">
      <c r="BG442"/>
    </row>
    <row r="443" spans="59:59" hidden="1" x14ac:dyDescent="0.2">
      <c r="BG443"/>
    </row>
    <row r="444" spans="59:59" hidden="1" x14ac:dyDescent="0.2">
      <c r="BG444"/>
    </row>
    <row r="445" spans="59:59" hidden="1" x14ac:dyDescent="0.2">
      <c r="BG445"/>
    </row>
    <row r="446" spans="59:59" hidden="1" x14ac:dyDescent="0.2">
      <c r="BG446"/>
    </row>
    <row r="447" spans="59:59" hidden="1" x14ac:dyDescent="0.2">
      <c r="BG447"/>
    </row>
    <row r="448" spans="59:59" hidden="1" x14ac:dyDescent="0.2">
      <c r="BG448"/>
    </row>
    <row r="449" spans="59:59" hidden="1" x14ac:dyDescent="0.2">
      <c r="BG449"/>
    </row>
    <row r="450" spans="59:59" hidden="1" x14ac:dyDescent="0.2">
      <c r="BG450"/>
    </row>
    <row r="451" spans="59:59" hidden="1" x14ac:dyDescent="0.2">
      <c r="BG451"/>
    </row>
    <row r="452" spans="59:59" hidden="1" x14ac:dyDescent="0.2">
      <c r="BG452"/>
    </row>
    <row r="453" spans="59:59" hidden="1" x14ac:dyDescent="0.2">
      <c r="BG453"/>
    </row>
    <row r="454" spans="59:59" hidden="1" x14ac:dyDescent="0.2">
      <c r="BG454"/>
    </row>
    <row r="455" spans="59:59" hidden="1" x14ac:dyDescent="0.2">
      <c r="BG455"/>
    </row>
    <row r="456" spans="59:59" hidden="1" x14ac:dyDescent="0.2">
      <c r="BG456"/>
    </row>
    <row r="457" spans="59:59" hidden="1" x14ac:dyDescent="0.2">
      <c r="BG457"/>
    </row>
    <row r="458" spans="59:59" hidden="1" x14ac:dyDescent="0.2">
      <c r="BG458"/>
    </row>
    <row r="459" spans="59:59" hidden="1" x14ac:dyDescent="0.2">
      <c r="BG459"/>
    </row>
    <row r="460" spans="59:59" hidden="1" x14ac:dyDescent="0.2">
      <c r="BG460"/>
    </row>
    <row r="461" spans="59:59" hidden="1" x14ac:dyDescent="0.2">
      <c r="BG461"/>
    </row>
    <row r="462" spans="59:59" hidden="1" x14ac:dyDescent="0.2">
      <c r="BG462"/>
    </row>
    <row r="463" spans="59:59" hidden="1" x14ac:dyDescent="0.2">
      <c r="BG463"/>
    </row>
    <row r="464" spans="59:59" hidden="1" x14ac:dyDescent="0.2">
      <c r="BG464"/>
    </row>
    <row r="465" spans="59:59" hidden="1" x14ac:dyDescent="0.2">
      <c r="BG465"/>
    </row>
    <row r="466" spans="59:59" hidden="1" x14ac:dyDescent="0.2">
      <c r="BG466"/>
    </row>
    <row r="467" spans="59:59" hidden="1" x14ac:dyDescent="0.2">
      <c r="BG467"/>
    </row>
    <row r="468" spans="59:59" hidden="1" x14ac:dyDescent="0.2">
      <c r="BG468"/>
    </row>
    <row r="469" spans="59:59" hidden="1" x14ac:dyDescent="0.2">
      <c r="BG469"/>
    </row>
    <row r="470" spans="59:59" hidden="1" x14ac:dyDescent="0.2">
      <c r="BG470"/>
    </row>
    <row r="471" spans="59:59" hidden="1" x14ac:dyDescent="0.2">
      <c r="BG471"/>
    </row>
    <row r="472" spans="59:59" hidden="1" x14ac:dyDescent="0.2">
      <c r="BG472"/>
    </row>
    <row r="473" spans="59:59" hidden="1" x14ac:dyDescent="0.2">
      <c r="BG473"/>
    </row>
    <row r="474" spans="59:59" hidden="1" x14ac:dyDescent="0.2">
      <c r="BG474"/>
    </row>
    <row r="475" spans="59:59" hidden="1" x14ac:dyDescent="0.2">
      <c r="BG475"/>
    </row>
    <row r="476" spans="59:59" hidden="1" x14ac:dyDescent="0.2">
      <c r="BG476"/>
    </row>
    <row r="477" spans="59:59" hidden="1" x14ac:dyDescent="0.2">
      <c r="BG477"/>
    </row>
    <row r="478" spans="59:59" hidden="1" x14ac:dyDescent="0.2">
      <c r="BG478"/>
    </row>
    <row r="479" spans="59:59" hidden="1" x14ac:dyDescent="0.2">
      <c r="BG479"/>
    </row>
    <row r="480" spans="59:59" hidden="1" x14ac:dyDescent="0.2">
      <c r="BG480"/>
    </row>
    <row r="481" spans="59:59" hidden="1" x14ac:dyDescent="0.2">
      <c r="BG481"/>
    </row>
    <row r="482" spans="59:59" hidden="1" x14ac:dyDescent="0.2">
      <c r="BG482"/>
    </row>
    <row r="483" spans="59:59" hidden="1" x14ac:dyDescent="0.2">
      <c r="BG483"/>
    </row>
    <row r="484" spans="59:59" hidden="1" x14ac:dyDescent="0.2">
      <c r="BG484"/>
    </row>
    <row r="485" spans="59:59" hidden="1" x14ac:dyDescent="0.2">
      <c r="BG485"/>
    </row>
    <row r="486" spans="59:59" hidden="1" x14ac:dyDescent="0.2">
      <c r="BG486"/>
    </row>
    <row r="487" spans="59:59" hidden="1" x14ac:dyDescent="0.2">
      <c r="BG487"/>
    </row>
    <row r="488" spans="59:59" hidden="1" x14ac:dyDescent="0.2">
      <c r="BG488"/>
    </row>
    <row r="489" spans="59:59" hidden="1" x14ac:dyDescent="0.2">
      <c r="BG489"/>
    </row>
    <row r="490" spans="59:59" hidden="1" x14ac:dyDescent="0.2">
      <c r="BG490"/>
    </row>
    <row r="491" spans="59:59" hidden="1" x14ac:dyDescent="0.2">
      <c r="BG491"/>
    </row>
    <row r="492" spans="59:59" hidden="1" x14ac:dyDescent="0.2">
      <c r="BG492"/>
    </row>
    <row r="493" spans="59:59" hidden="1" x14ac:dyDescent="0.2">
      <c r="BG493"/>
    </row>
    <row r="494" spans="59:59" hidden="1" x14ac:dyDescent="0.2">
      <c r="BG494"/>
    </row>
    <row r="495" spans="59:59" hidden="1" x14ac:dyDescent="0.2">
      <c r="BG495"/>
    </row>
    <row r="496" spans="59:59" hidden="1" x14ac:dyDescent="0.2">
      <c r="BG496"/>
    </row>
    <row r="497" spans="59:59" hidden="1" x14ac:dyDescent="0.2">
      <c r="BG497"/>
    </row>
    <row r="498" spans="59:59" hidden="1" x14ac:dyDescent="0.2">
      <c r="BG498"/>
    </row>
    <row r="499" spans="59:59" hidden="1" x14ac:dyDescent="0.2">
      <c r="BG499"/>
    </row>
    <row r="500" spans="59:59" hidden="1" x14ac:dyDescent="0.2">
      <c r="BG500"/>
    </row>
    <row r="501" spans="59:59" hidden="1" x14ac:dyDescent="0.2">
      <c r="BG501"/>
    </row>
    <row r="502" spans="59:59" hidden="1" x14ac:dyDescent="0.2">
      <c r="BG502"/>
    </row>
    <row r="503" spans="59:59" hidden="1" x14ac:dyDescent="0.2">
      <c r="BG503"/>
    </row>
    <row r="504" spans="59:59" hidden="1" x14ac:dyDescent="0.2">
      <c r="BG504"/>
    </row>
    <row r="505" spans="59:59" hidden="1" x14ac:dyDescent="0.2">
      <c r="BG505"/>
    </row>
    <row r="506" spans="59:59" hidden="1" x14ac:dyDescent="0.2">
      <c r="BG506"/>
    </row>
    <row r="507" spans="59:59" hidden="1" x14ac:dyDescent="0.2">
      <c r="BG507"/>
    </row>
    <row r="508" spans="59:59" hidden="1" x14ac:dyDescent="0.2">
      <c r="BG508"/>
    </row>
    <row r="509" spans="59:59" hidden="1" x14ac:dyDescent="0.2">
      <c r="BG509"/>
    </row>
    <row r="510" spans="59:59" hidden="1" x14ac:dyDescent="0.2">
      <c r="BG510"/>
    </row>
    <row r="511" spans="59:59" hidden="1" x14ac:dyDescent="0.2">
      <c r="BG511"/>
    </row>
    <row r="512" spans="59:59" hidden="1" x14ac:dyDescent="0.2">
      <c r="BG512"/>
    </row>
    <row r="513" spans="59:59" hidden="1" x14ac:dyDescent="0.2">
      <c r="BG513"/>
    </row>
    <row r="514" spans="59:59" hidden="1" x14ac:dyDescent="0.2">
      <c r="BG514"/>
    </row>
    <row r="515" spans="59:59" hidden="1" x14ac:dyDescent="0.2">
      <c r="BG515"/>
    </row>
    <row r="516" spans="59:59" hidden="1" x14ac:dyDescent="0.2">
      <c r="BG516"/>
    </row>
    <row r="517" spans="59:59" hidden="1" x14ac:dyDescent="0.2">
      <c r="BG517"/>
    </row>
    <row r="518" spans="59:59" hidden="1" x14ac:dyDescent="0.2">
      <c r="BG518"/>
    </row>
    <row r="519" spans="59:59" hidden="1" x14ac:dyDescent="0.2">
      <c r="BG519"/>
    </row>
    <row r="520" spans="59:59" hidden="1" x14ac:dyDescent="0.2">
      <c r="BG520"/>
    </row>
    <row r="521" spans="59:59" hidden="1" x14ac:dyDescent="0.2">
      <c r="BG521"/>
    </row>
    <row r="522" spans="59:59" hidden="1" x14ac:dyDescent="0.2">
      <c r="BG522"/>
    </row>
    <row r="523" spans="59:59" hidden="1" x14ac:dyDescent="0.2">
      <c r="BG523"/>
    </row>
    <row r="524" spans="59:59" hidden="1" x14ac:dyDescent="0.2">
      <c r="BG524"/>
    </row>
    <row r="525" spans="59:59" hidden="1" x14ac:dyDescent="0.2">
      <c r="BG525"/>
    </row>
    <row r="526" spans="59:59" hidden="1" x14ac:dyDescent="0.2">
      <c r="BG526"/>
    </row>
    <row r="527" spans="59:59" hidden="1" x14ac:dyDescent="0.2">
      <c r="BG527"/>
    </row>
    <row r="528" spans="59:59" hidden="1" x14ac:dyDescent="0.2">
      <c r="BG528"/>
    </row>
    <row r="529" spans="59:59" hidden="1" x14ac:dyDescent="0.2">
      <c r="BG529"/>
    </row>
    <row r="530" spans="59:59" hidden="1" x14ac:dyDescent="0.2">
      <c r="BG530"/>
    </row>
    <row r="531" spans="59:59" hidden="1" x14ac:dyDescent="0.2">
      <c r="BG531"/>
    </row>
    <row r="532" spans="59:59" hidden="1" x14ac:dyDescent="0.2">
      <c r="BG532"/>
    </row>
    <row r="533" spans="59:59" hidden="1" x14ac:dyDescent="0.2">
      <c r="BG533"/>
    </row>
    <row r="534" spans="59:59" hidden="1" x14ac:dyDescent="0.2">
      <c r="BG534"/>
    </row>
    <row r="535" spans="59:59" hidden="1" x14ac:dyDescent="0.2">
      <c r="BG535"/>
    </row>
    <row r="536" spans="59:59" hidden="1" x14ac:dyDescent="0.2">
      <c r="BG536"/>
    </row>
    <row r="537" spans="59:59" hidden="1" x14ac:dyDescent="0.2">
      <c r="BG537"/>
    </row>
    <row r="538" spans="59:59" hidden="1" x14ac:dyDescent="0.2">
      <c r="BG538"/>
    </row>
    <row r="539" spans="59:59" hidden="1" x14ac:dyDescent="0.2">
      <c r="BG539"/>
    </row>
    <row r="540" spans="59:59" hidden="1" x14ac:dyDescent="0.2">
      <c r="BG540"/>
    </row>
    <row r="541" spans="59:59" hidden="1" x14ac:dyDescent="0.2">
      <c r="BG541"/>
    </row>
    <row r="542" spans="59:59" hidden="1" x14ac:dyDescent="0.2">
      <c r="BG542"/>
    </row>
    <row r="543" spans="59:59" hidden="1" x14ac:dyDescent="0.2">
      <c r="BG543"/>
    </row>
    <row r="544" spans="59:59" hidden="1" x14ac:dyDescent="0.2">
      <c r="BG544"/>
    </row>
    <row r="545" spans="59:59" hidden="1" x14ac:dyDescent="0.2">
      <c r="BG545"/>
    </row>
    <row r="546" spans="59:59" hidden="1" x14ac:dyDescent="0.2">
      <c r="BG546"/>
    </row>
    <row r="547" spans="59:59" hidden="1" x14ac:dyDescent="0.2">
      <c r="BG547"/>
    </row>
    <row r="548" spans="59:59" hidden="1" x14ac:dyDescent="0.2">
      <c r="BG548"/>
    </row>
    <row r="549" spans="59:59" hidden="1" x14ac:dyDescent="0.2">
      <c r="BG549"/>
    </row>
    <row r="550" spans="59:59" hidden="1" x14ac:dyDescent="0.2">
      <c r="BG550"/>
    </row>
    <row r="551" spans="59:59" hidden="1" x14ac:dyDescent="0.2">
      <c r="BG551"/>
    </row>
    <row r="552" spans="59:59" hidden="1" x14ac:dyDescent="0.2">
      <c r="BG552"/>
    </row>
    <row r="553" spans="59:59" hidden="1" x14ac:dyDescent="0.2">
      <c r="BG553"/>
    </row>
    <row r="554" spans="59:59" hidden="1" x14ac:dyDescent="0.2">
      <c r="BG554"/>
    </row>
    <row r="555" spans="59:59" hidden="1" x14ac:dyDescent="0.2">
      <c r="BG555"/>
    </row>
    <row r="556" spans="59:59" hidden="1" x14ac:dyDescent="0.2">
      <c r="BG556"/>
    </row>
    <row r="557" spans="59:59" hidden="1" x14ac:dyDescent="0.2">
      <c r="BG557"/>
    </row>
    <row r="558" spans="59:59" hidden="1" x14ac:dyDescent="0.2">
      <c r="BG558"/>
    </row>
    <row r="559" spans="59:59" hidden="1" x14ac:dyDescent="0.2">
      <c r="BG559"/>
    </row>
    <row r="560" spans="59:59" hidden="1" x14ac:dyDescent="0.2">
      <c r="BG560"/>
    </row>
    <row r="561" spans="59:59" hidden="1" x14ac:dyDescent="0.2">
      <c r="BG561"/>
    </row>
    <row r="562" spans="59:59" hidden="1" x14ac:dyDescent="0.2">
      <c r="BG562"/>
    </row>
    <row r="563" spans="59:59" hidden="1" x14ac:dyDescent="0.2">
      <c r="BG563"/>
    </row>
    <row r="564" spans="59:59" hidden="1" x14ac:dyDescent="0.2">
      <c r="BG564"/>
    </row>
    <row r="565" spans="59:59" hidden="1" x14ac:dyDescent="0.2">
      <c r="BG565"/>
    </row>
    <row r="566" spans="59:59" hidden="1" x14ac:dyDescent="0.2">
      <c r="BG566"/>
    </row>
    <row r="567" spans="59:59" hidden="1" x14ac:dyDescent="0.2">
      <c r="BG567"/>
    </row>
    <row r="568" spans="59:59" hidden="1" x14ac:dyDescent="0.2">
      <c r="BG568"/>
    </row>
    <row r="569" spans="59:59" hidden="1" x14ac:dyDescent="0.2">
      <c r="BG569"/>
    </row>
    <row r="570" spans="59:59" hidden="1" x14ac:dyDescent="0.2">
      <c r="BG570"/>
    </row>
    <row r="571" spans="59:59" hidden="1" x14ac:dyDescent="0.2">
      <c r="BG571"/>
    </row>
    <row r="572" spans="59:59" hidden="1" x14ac:dyDescent="0.2">
      <c r="BG572"/>
    </row>
    <row r="573" spans="59:59" hidden="1" x14ac:dyDescent="0.2">
      <c r="BG573"/>
    </row>
    <row r="574" spans="59:59" hidden="1" x14ac:dyDescent="0.2">
      <c r="BG574"/>
    </row>
    <row r="575" spans="59:59" hidden="1" x14ac:dyDescent="0.2">
      <c r="BG575"/>
    </row>
    <row r="576" spans="59:59" hidden="1" x14ac:dyDescent="0.2">
      <c r="BG576"/>
    </row>
    <row r="577" spans="59:59" hidden="1" x14ac:dyDescent="0.2">
      <c r="BG577"/>
    </row>
    <row r="578" spans="59:59" hidden="1" x14ac:dyDescent="0.2">
      <c r="BG578"/>
    </row>
    <row r="579" spans="59:59" hidden="1" x14ac:dyDescent="0.2">
      <c r="BG579"/>
    </row>
    <row r="580" spans="59:59" hidden="1" x14ac:dyDescent="0.2">
      <c r="BG580"/>
    </row>
    <row r="581" spans="59:59" hidden="1" x14ac:dyDescent="0.2">
      <c r="BG581"/>
    </row>
    <row r="582" spans="59:59" hidden="1" x14ac:dyDescent="0.2">
      <c r="BG582"/>
    </row>
    <row r="583" spans="59:59" hidden="1" x14ac:dyDescent="0.2">
      <c r="BG583"/>
    </row>
    <row r="584" spans="59:59" hidden="1" x14ac:dyDescent="0.2">
      <c r="BG584"/>
    </row>
    <row r="585" spans="59:59" hidden="1" x14ac:dyDescent="0.2">
      <c r="BG585"/>
    </row>
    <row r="586" spans="59:59" hidden="1" x14ac:dyDescent="0.2">
      <c r="BG586"/>
    </row>
    <row r="587" spans="59:59" hidden="1" x14ac:dyDescent="0.2">
      <c r="BG587"/>
    </row>
    <row r="588" spans="59:59" hidden="1" x14ac:dyDescent="0.2">
      <c r="BG588"/>
    </row>
    <row r="589" spans="59:59" hidden="1" x14ac:dyDescent="0.2">
      <c r="BG589"/>
    </row>
    <row r="590" spans="59:59" hidden="1" x14ac:dyDescent="0.2">
      <c r="BG590"/>
    </row>
    <row r="591" spans="59:59" hidden="1" x14ac:dyDescent="0.2">
      <c r="BG591"/>
    </row>
    <row r="592" spans="59:59" hidden="1" x14ac:dyDescent="0.2">
      <c r="BG592"/>
    </row>
    <row r="593" spans="59:59" hidden="1" x14ac:dyDescent="0.2">
      <c r="BG593"/>
    </row>
    <row r="594" spans="59:59" hidden="1" x14ac:dyDescent="0.2">
      <c r="BG594"/>
    </row>
    <row r="595" spans="59:59" hidden="1" x14ac:dyDescent="0.2">
      <c r="BG595"/>
    </row>
    <row r="596" spans="59:59" hidden="1" x14ac:dyDescent="0.2">
      <c r="BG596"/>
    </row>
    <row r="597" spans="59:59" hidden="1" x14ac:dyDescent="0.2">
      <c r="BG597"/>
    </row>
    <row r="598" spans="59:59" hidden="1" x14ac:dyDescent="0.2">
      <c r="BG598"/>
    </row>
    <row r="599" spans="59:59" hidden="1" x14ac:dyDescent="0.2">
      <c r="BG599"/>
    </row>
    <row r="600" spans="59:59" hidden="1" x14ac:dyDescent="0.2">
      <c r="BG600"/>
    </row>
    <row r="601" spans="59:59" hidden="1" x14ac:dyDescent="0.2">
      <c r="BG601"/>
    </row>
    <row r="602" spans="59:59" hidden="1" x14ac:dyDescent="0.2">
      <c r="BG602"/>
    </row>
    <row r="603" spans="59:59" hidden="1" x14ac:dyDescent="0.2">
      <c r="BG603"/>
    </row>
    <row r="604" spans="59:59" hidden="1" x14ac:dyDescent="0.2">
      <c r="BG604"/>
    </row>
    <row r="605" spans="59:59" hidden="1" x14ac:dyDescent="0.2">
      <c r="BG605"/>
    </row>
    <row r="606" spans="59:59" hidden="1" x14ac:dyDescent="0.2">
      <c r="BG606"/>
    </row>
    <row r="607" spans="59:59" hidden="1" x14ac:dyDescent="0.2">
      <c r="BG607"/>
    </row>
    <row r="608" spans="59:59" hidden="1" x14ac:dyDescent="0.2">
      <c r="BG608"/>
    </row>
    <row r="609" spans="59:59" hidden="1" x14ac:dyDescent="0.2">
      <c r="BG609"/>
    </row>
    <row r="610" spans="59:59" hidden="1" x14ac:dyDescent="0.2">
      <c r="BG610"/>
    </row>
    <row r="611" spans="59:59" hidden="1" x14ac:dyDescent="0.2">
      <c r="BG611"/>
    </row>
    <row r="612" spans="59:59" hidden="1" x14ac:dyDescent="0.2">
      <c r="BG612"/>
    </row>
    <row r="613" spans="59:59" hidden="1" x14ac:dyDescent="0.2">
      <c r="BG613"/>
    </row>
    <row r="614" spans="59:59" hidden="1" x14ac:dyDescent="0.2">
      <c r="BG614"/>
    </row>
    <row r="615" spans="59:59" hidden="1" x14ac:dyDescent="0.2">
      <c r="BG615"/>
    </row>
    <row r="616" spans="59:59" hidden="1" x14ac:dyDescent="0.2">
      <c r="BG616"/>
    </row>
    <row r="617" spans="59:59" hidden="1" x14ac:dyDescent="0.2">
      <c r="BG617"/>
    </row>
    <row r="618" spans="59:59" hidden="1" x14ac:dyDescent="0.2">
      <c r="BG618"/>
    </row>
    <row r="619" spans="59:59" hidden="1" x14ac:dyDescent="0.2">
      <c r="BG619"/>
    </row>
    <row r="620" spans="59:59" hidden="1" x14ac:dyDescent="0.2">
      <c r="BG620"/>
    </row>
    <row r="621" spans="59:59" hidden="1" x14ac:dyDescent="0.2">
      <c r="BG621"/>
    </row>
    <row r="622" spans="59:59" hidden="1" x14ac:dyDescent="0.2">
      <c r="BG622"/>
    </row>
    <row r="623" spans="59:59" hidden="1" x14ac:dyDescent="0.2">
      <c r="BG623"/>
    </row>
    <row r="624" spans="59:59" hidden="1" x14ac:dyDescent="0.2">
      <c r="BG624"/>
    </row>
    <row r="625" spans="59:59" hidden="1" x14ac:dyDescent="0.2">
      <c r="BG625"/>
    </row>
    <row r="626" spans="59:59" hidden="1" x14ac:dyDescent="0.2">
      <c r="BG626"/>
    </row>
    <row r="627" spans="59:59" hidden="1" x14ac:dyDescent="0.2">
      <c r="BG627"/>
    </row>
    <row r="628" spans="59:59" hidden="1" x14ac:dyDescent="0.2">
      <c r="BG628"/>
    </row>
    <row r="629" spans="59:59" hidden="1" x14ac:dyDescent="0.2">
      <c r="BG629"/>
    </row>
    <row r="630" spans="59:59" hidden="1" x14ac:dyDescent="0.2">
      <c r="BG630"/>
    </row>
    <row r="631" spans="59:59" hidden="1" x14ac:dyDescent="0.2">
      <c r="BG631"/>
    </row>
    <row r="632" spans="59:59" hidden="1" x14ac:dyDescent="0.2">
      <c r="BG632"/>
    </row>
    <row r="633" spans="59:59" hidden="1" x14ac:dyDescent="0.2">
      <c r="BG633"/>
    </row>
    <row r="634" spans="59:59" hidden="1" x14ac:dyDescent="0.2">
      <c r="BG634"/>
    </row>
    <row r="635" spans="59:59" hidden="1" x14ac:dyDescent="0.2">
      <c r="BG635"/>
    </row>
    <row r="636" spans="59:59" hidden="1" x14ac:dyDescent="0.2">
      <c r="BG636"/>
    </row>
    <row r="637" spans="59:59" hidden="1" x14ac:dyDescent="0.2">
      <c r="BG637"/>
    </row>
    <row r="638" spans="59:59" hidden="1" x14ac:dyDescent="0.2">
      <c r="BG638"/>
    </row>
    <row r="639" spans="59:59" hidden="1" x14ac:dyDescent="0.2">
      <c r="BG639"/>
    </row>
    <row r="640" spans="59:59" hidden="1" x14ac:dyDescent="0.2">
      <c r="BG640"/>
    </row>
    <row r="641" spans="59:59" hidden="1" x14ac:dyDescent="0.2">
      <c r="BG641"/>
    </row>
    <row r="642" spans="59:59" hidden="1" x14ac:dyDescent="0.2">
      <c r="BG642"/>
    </row>
    <row r="643" spans="59:59" hidden="1" x14ac:dyDescent="0.2">
      <c r="BG643"/>
    </row>
    <row r="644" spans="59:59" hidden="1" x14ac:dyDescent="0.2">
      <c r="BG644"/>
    </row>
    <row r="645" spans="59:59" hidden="1" x14ac:dyDescent="0.2">
      <c r="BG645"/>
    </row>
    <row r="646" spans="59:59" hidden="1" x14ac:dyDescent="0.2">
      <c r="BG646"/>
    </row>
    <row r="647" spans="59:59" hidden="1" x14ac:dyDescent="0.2">
      <c r="BG647"/>
    </row>
    <row r="648" spans="59:59" hidden="1" x14ac:dyDescent="0.2">
      <c r="BG648"/>
    </row>
    <row r="649" spans="59:59" hidden="1" x14ac:dyDescent="0.2">
      <c r="BG649"/>
    </row>
    <row r="650" spans="59:59" hidden="1" x14ac:dyDescent="0.2">
      <c r="BG650"/>
    </row>
    <row r="651" spans="59:59" hidden="1" x14ac:dyDescent="0.2">
      <c r="BG651"/>
    </row>
    <row r="652" spans="59:59" hidden="1" x14ac:dyDescent="0.2">
      <c r="BG652"/>
    </row>
    <row r="653" spans="59:59" hidden="1" x14ac:dyDescent="0.2">
      <c r="BG653"/>
    </row>
    <row r="654" spans="59:59" hidden="1" x14ac:dyDescent="0.2">
      <c r="BG654"/>
    </row>
    <row r="655" spans="59:59" hidden="1" x14ac:dyDescent="0.2">
      <c r="BG655"/>
    </row>
    <row r="656" spans="59:59" hidden="1" x14ac:dyDescent="0.2">
      <c r="BG656"/>
    </row>
    <row r="657" spans="59:59" hidden="1" x14ac:dyDescent="0.2">
      <c r="BG657"/>
    </row>
    <row r="658" spans="59:59" hidden="1" x14ac:dyDescent="0.2">
      <c r="BG658"/>
    </row>
    <row r="659" spans="59:59" hidden="1" x14ac:dyDescent="0.2">
      <c r="BG659"/>
    </row>
    <row r="660" spans="59:59" hidden="1" x14ac:dyDescent="0.2">
      <c r="BG660"/>
    </row>
    <row r="661" spans="59:59" hidden="1" x14ac:dyDescent="0.2">
      <c r="BG661"/>
    </row>
    <row r="662" spans="59:59" hidden="1" x14ac:dyDescent="0.2">
      <c r="BG662"/>
    </row>
    <row r="663" spans="59:59" hidden="1" x14ac:dyDescent="0.2">
      <c r="BG663"/>
    </row>
    <row r="664" spans="59:59" hidden="1" x14ac:dyDescent="0.2">
      <c r="BG664"/>
    </row>
    <row r="665" spans="59:59" hidden="1" x14ac:dyDescent="0.2">
      <c r="BG665"/>
    </row>
    <row r="666" spans="59:59" hidden="1" x14ac:dyDescent="0.2">
      <c r="BG666"/>
    </row>
    <row r="667" spans="59:59" hidden="1" x14ac:dyDescent="0.2">
      <c r="BG667"/>
    </row>
    <row r="668" spans="59:59" hidden="1" x14ac:dyDescent="0.2">
      <c r="BG668"/>
    </row>
    <row r="669" spans="59:59" hidden="1" x14ac:dyDescent="0.2">
      <c r="BG669"/>
    </row>
    <row r="670" spans="59:59" hidden="1" x14ac:dyDescent="0.2">
      <c r="BG670"/>
    </row>
    <row r="671" spans="59:59" hidden="1" x14ac:dyDescent="0.2">
      <c r="BG671"/>
    </row>
    <row r="672" spans="59:59" hidden="1" x14ac:dyDescent="0.2">
      <c r="BG672"/>
    </row>
    <row r="673" spans="59:59" hidden="1" x14ac:dyDescent="0.2">
      <c r="BG673"/>
    </row>
    <row r="674" spans="59:59" hidden="1" x14ac:dyDescent="0.2">
      <c r="BG674"/>
    </row>
    <row r="675" spans="59:59" hidden="1" x14ac:dyDescent="0.2">
      <c r="BG675"/>
    </row>
    <row r="676" spans="59:59" hidden="1" x14ac:dyDescent="0.2">
      <c r="BG676"/>
    </row>
    <row r="677" spans="59:59" hidden="1" x14ac:dyDescent="0.2">
      <c r="BG677"/>
    </row>
    <row r="678" spans="59:59" hidden="1" x14ac:dyDescent="0.2">
      <c r="BG678"/>
    </row>
    <row r="679" spans="59:59" hidden="1" x14ac:dyDescent="0.2">
      <c r="BG679"/>
    </row>
    <row r="680" spans="59:59" hidden="1" x14ac:dyDescent="0.2">
      <c r="BG680"/>
    </row>
    <row r="681" spans="59:59" hidden="1" x14ac:dyDescent="0.2">
      <c r="BG681"/>
    </row>
    <row r="682" spans="59:59" hidden="1" x14ac:dyDescent="0.2">
      <c r="BG682"/>
    </row>
    <row r="683" spans="59:59" hidden="1" x14ac:dyDescent="0.2">
      <c r="BG683"/>
    </row>
    <row r="684" spans="59:59" hidden="1" x14ac:dyDescent="0.2">
      <c r="BG684"/>
    </row>
    <row r="685" spans="59:59" hidden="1" x14ac:dyDescent="0.2">
      <c r="BG685"/>
    </row>
    <row r="686" spans="59:59" hidden="1" x14ac:dyDescent="0.2">
      <c r="BG686"/>
    </row>
    <row r="687" spans="59:59" hidden="1" x14ac:dyDescent="0.2">
      <c r="BG687"/>
    </row>
    <row r="688" spans="59:59" hidden="1" x14ac:dyDescent="0.2">
      <c r="BG688"/>
    </row>
    <row r="689" spans="59:59" hidden="1" x14ac:dyDescent="0.2">
      <c r="BG689"/>
    </row>
    <row r="690" spans="59:59" hidden="1" x14ac:dyDescent="0.2">
      <c r="BG690"/>
    </row>
    <row r="691" spans="59:59" hidden="1" x14ac:dyDescent="0.2">
      <c r="BG691"/>
    </row>
    <row r="692" spans="59:59" hidden="1" x14ac:dyDescent="0.2">
      <c r="BG692"/>
    </row>
    <row r="693" spans="59:59" hidden="1" x14ac:dyDescent="0.2">
      <c r="BG693"/>
    </row>
    <row r="694" spans="59:59" hidden="1" x14ac:dyDescent="0.2">
      <c r="BG694"/>
    </row>
    <row r="695" spans="59:59" hidden="1" x14ac:dyDescent="0.2">
      <c r="BG695"/>
    </row>
    <row r="696" spans="59:59" hidden="1" x14ac:dyDescent="0.2">
      <c r="BG696"/>
    </row>
    <row r="697" spans="59:59" hidden="1" x14ac:dyDescent="0.2">
      <c r="BG697"/>
    </row>
    <row r="698" spans="59:59" hidden="1" x14ac:dyDescent="0.2">
      <c r="BG698"/>
    </row>
    <row r="699" spans="59:59" hidden="1" x14ac:dyDescent="0.2">
      <c r="BG699"/>
    </row>
    <row r="700" spans="59:59" hidden="1" x14ac:dyDescent="0.2">
      <c r="BG700"/>
    </row>
    <row r="701" spans="59:59" hidden="1" x14ac:dyDescent="0.2">
      <c r="BG701"/>
    </row>
    <row r="702" spans="59:59" hidden="1" x14ac:dyDescent="0.2">
      <c r="BG702"/>
    </row>
    <row r="703" spans="59:59" hidden="1" x14ac:dyDescent="0.2">
      <c r="BG703"/>
    </row>
    <row r="704" spans="59:59" hidden="1" x14ac:dyDescent="0.2">
      <c r="BG704"/>
    </row>
    <row r="705" spans="59:59" hidden="1" x14ac:dyDescent="0.2">
      <c r="BG705"/>
    </row>
    <row r="706" spans="59:59" hidden="1" x14ac:dyDescent="0.2">
      <c r="BG706"/>
    </row>
    <row r="707" spans="59:59" hidden="1" x14ac:dyDescent="0.2">
      <c r="BG707"/>
    </row>
    <row r="708" spans="59:59" hidden="1" x14ac:dyDescent="0.2">
      <c r="BG708"/>
    </row>
    <row r="709" spans="59:59" hidden="1" x14ac:dyDescent="0.2">
      <c r="BG709"/>
    </row>
    <row r="710" spans="59:59" hidden="1" x14ac:dyDescent="0.2">
      <c r="BG710"/>
    </row>
    <row r="711" spans="59:59" hidden="1" x14ac:dyDescent="0.2">
      <c r="BG711"/>
    </row>
    <row r="712" spans="59:59" hidden="1" x14ac:dyDescent="0.2">
      <c r="BG712"/>
    </row>
    <row r="713" spans="59:59" hidden="1" x14ac:dyDescent="0.2">
      <c r="BG713"/>
    </row>
    <row r="714" spans="59:59" hidden="1" x14ac:dyDescent="0.2">
      <c r="BG714"/>
    </row>
    <row r="715" spans="59:59" hidden="1" x14ac:dyDescent="0.2">
      <c r="BG715"/>
    </row>
    <row r="716" spans="59:59" hidden="1" x14ac:dyDescent="0.2">
      <c r="BG716"/>
    </row>
    <row r="717" spans="59:59" hidden="1" x14ac:dyDescent="0.2">
      <c r="BG717"/>
    </row>
    <row r="718" spans="59:59" hidden="1" x14ac:dyDescent="0.2">
      <c r="BG718"/>
    </row>
    <row r="719" spans="59:59" hidden="1" x14ac:dyDescent="0.2">
      <c r="BG719"/>
    </row>
    <row r="720" spans="59:59" hidden="1" x14ac:dyDescent="0.2">
      <c r="BG720"/>
    </row>
    <row r="721" spans="59:59" hidden="1" x14ac:dyDescent="0.2">
      <c r="BG721"/>
    </row>
    <row r="722" spans="59:59" hidden="1" x14ac:dyDescent="0.2">
      <c r="BG722"/>
    </row>
    <row r="723" spans="59:59" hidden="1" x14ac:dyDescent="0.2">
      <c r="BG723"/>
    </row>
    <row r="724" spans="59:59" hidden="1" x14ac:dyDescent="0.2">
      <c r="BG724"/>
    </row>
    <row r="725" spans="59:59" hidden="1" x14ac:dyDescent="0.2">
      <c r="BG725"/>
    </row>
    <row r="726" spans="59:59" hidden="1" x14ac:dyDescent="0.2">
      <c r="BG726"/>
    </row>
    <row r="727" spans="59:59" hidden="1" x14ac:dyDescent="0.2">
      <c r="BG727"/>
    </row>
    <row r="728" spans="59:59" hidden="1" x14ac:dyDescent="0.2">
      <c r="BG728"/>
    </row>
    <row r="729" spans="59:59" hidden="1" x14ac:dyDescent="0.2">
      <c r="BG729"/>
    </row>
    <row r="730" spans="59:59" hidden="1" x14ac:dyDescent="0.2">
      <c r="BG730"/>
    </row>
    <row r="731" spans="59:59" hidden="1" x14ac:dyDescent="0.2">
      <c r="BG731"/>
    </row>
    <row r="732" spans="59:59" hidden="1" x14ac:dyDescent="0.2">
      <c r="BG732"/>
    </row>
    <row r="733" spans="59:59" hidden="1" x14ac:dyDescent="0.2">
      <c r="BG733"/>
    </row>
    <row r="734" spans="59:59" hidden="1" x14ac:dyDescent="0.2">
      <c r="BG734"/>
    </row>
    <row r="735" spans="59:59" hidden="1" x14ac:dyDescent="0.2">
      <c r="BG735"/>
    </row>
    <row r="736" spans="59:59" hidden="1" x14ac:dyDescent="0.2">
      <c r="BG736"/>
    </row>
    <row r="737" spans="59:59" hidden="1" x14ac:dyDescent="0.2">
      <c r="BG737"/>
    </row>
    <row r="738" spans="59:59" hidden="1" x14ac:dyDescent="0.2">
      <c r="BG738"/>
    </row>
    <row r="739" spans="59:59" hidden="1" x14ac:dyDescent="0.2">
      <c r="BG739"/>
    </row>
    <row r="740" spans="59:59" hidden="1" x14ac:dyDescent="0.2">
      <c r="BG740"/>
    </row>
    <row r="741" spans="59:59" hidden="1" x14ac:dyDescent="0.2">
      <c r="BG741"/>
    </row>
    <row r="742" spans="59:59" hidden="1" x14ac:dyDescent="0.2">
      <c r="BG742"/>
    </row>
    <row r="743" spans="59:59" hidden="1" x14ac:dyDescent="0.2">
      <c r="BG743"/>
    </row>
    <row r="744" spans="59:59" hidden="1" x14ac:dyDescent="0.2">
      <c r="BG744"/>
    </row>
    <row r="745" spans="59:59" hidden="1" x14ac:dyDescent="0.2">
      <c r="BG745"/>
    </row>
    <row r="746" spans="59:59" hidden="1" x14ac:dyDescent="0.2">
      <c r="BG746"/>
    </row>
    <row r="747" spans="59:59" hidden="1" x14ac:dyDescent="0.2">
      <c r="BG747"/>
    </row>
    <row r="748" spans="59:59" hidden="1" x14ac:dyDescent="0.2">
      <c r="BG748"/>
    </row>
    <row r="749" spans="59:59" hidden="1" x14ac:dyDescent="0.2">
      <c r="BG749"/>
    </row>
    <row r="750" spans="59:59" hidden="1" x14ac:dyDescent="0.2">
      <c r="BG750"/>
    </row>
    <row r="751" spans="59:59" hidden="1" x14ac:dyDescent="0.2">
      <c r="BG751"/>
    </row>
    <row r="752" spans="59:59" hidden="1" x14ac:dyDescent="0.2">
      <c r="BG752"/>
    </row>
    <row r="753" spans="59:59" hidden="1" x14ac:dyDescent="0.2">
      <c r="BG753"/>
    </row>
    <row r="754" spans="59:59" hidden="1" x14ac:dyDescent="0.2">
      <c r="BG754"/>
    </row>
    <row r="755" spans="59:59" hidden="1" x14ac:dyDescent="0.2">
      <c r="BG755"/>
    </row>
    <row r="756" spans="59:59" hidden="1" x14ac:dyDescent="0.2">
      <c r="BG756"/>
    </row>
    <row r="757" spans="59:59" hidden="1" x14ac:dyDescent="0.2">
      <c r="BG757"/>
    </row>
    <row r="758" spans="59:59" hidden="1" x14ac:dyDescent="0.2">
      <c r="BG758"/>
    </row>
    <row r="759" spans="59:59" hidden="1" x14ac:dyDescent="0.2">
      <c r="BG759"/>
    </row>
    <row r="760" spans="59:59" hidden="1" x14ac:dyDescent="0.2">
      <c r="BG760"/>
    </row>
    <row r="761" spans="59:59" hidden="1" x14ac:dyDescent="0.2">
      <c r="BG761"/>
    </row>
    <row r="762" spans="59:59" hidden="1" x14ac:dyDescent="0.2">
      <c r="BG762"/>
    </row>
    <row r="763" spans="59:59" hidden="1" x14ac:dyDescent="0.2">
      <c r="BG763"/>
    </row>
    <row r="764" spans="59:59" hidden="1" x14ac:dyDescent="0.2">
      <c r="BG764"/>
    </row>
    <row r="765" spans="59:59" hidden="1" x14ac:dyDescent="0.2">
      <c r="BG765"/>
    </row>
    <row r="766" spans="59:59" hidden="1" x14ac:dyDescent="0.2">
      <c r="BG766"/>
    </row>
    <row r="767" spans="59:59" hidden="1" x14ac:dyDescent="0.2">
      <c r="BG767"/>
    </row>
    <row r="768" spans="59:59" hidden="1" x14ac:dyDescent="0.2">
      <c r="BG768"/>
    </row>
    <row r="769" spans="59:59" hidden="1" x14ac:dyDescent="0.2">
      <c r="BG769"/>
    </row>
    <row r="770" spans="59:59" hidden="1" x14ac:dyDescent="0.2">
      <c r="BG770"/>
    </row>
    <row r="771" spans="59:59" hidden="1" x14ac:dyDescent="0.2">
      <c r="BG771"/>
    </row>
    <row r="772" spans="59:59" hidden="1" x14ac:dyDescent="0.2">
      <c r="BG772"/>
    </row>
    <row r="773" spans="59:59" hidden="1" x14ac:dyDescent="0.2">
      <c r="BG773"/>
    </row>
    <row r="774" spans="59:59" hidden="1" x14ac:dyDescent="0.2">
      <c r="BG774"/>
    </row>
    <row r="775" spans="59:59" hidden="1" x14ac:dyDescent="0.2">
      <c r="BG775"/>
    </row>
    <row r="776" spans="59:59" hidden="1" x14ac:dyDescent="0.2">
      <c r="BG776"/>
    </row>
    <row r="777" spans="59:59" hidden="1" x14ac:dyDescent="0.2">
      <c r="BG777"/>
    </row>
    <row r="778" spans="59:59" hidden="1" x14ac:dyDescent="0.2">
      <c r="BG778"/>
    </row>
    <row r="779" spans="59:59" hidden="1" x14ac:dyDescent="0.2">
      <c r="BG779"/>
    </row>
    <row r="780" spans="59:59" hidden="1" x14ac:dyDescent="0.2">
      <c r="BG780"/>
    </row>
    <row r="781" spans="59:59" hidden="1" x14ac:dyDescent="0.2">
      <c r="BG781"/>
    </row>
    <row r="782" spans="59:59" hidden="1" x14ac:dyDescent="0.2">
      <c r="BG782"/>
    </row>
    <row r="783" spans="59:59" hidden="1" x14ac:dyDescent="0.2">
      <c r="BG783"/>
    </row>
    <row r="784" spans="59:59" hidden="1" x14ac:dyDescent="0.2">
      <c r="BG784"/>
    </row>
    <row r="785" spans="59:59" hidden="1" x14ac:dyDescent="0.2">
      <c r="BG785"/>
    </row>
    <row r="786" spans="59:59" hidden="1" x14ac:dyDescent="0.2">
      <c r="BG786"/>
    </row>
    <row r="787" spans="59:59" hidden="1" x14ac:dyDescent="0.2">
      <c r="BG787"/>
    </row>
    <row r="788" spans="59:59" hidden="1" x14ac:dyDescent="0.2">
      <c r="BG788"/>
    </row>
    <row r="789" spans="59:59" hidden="1" x14ac:dyDescent="0.2">
      <c r="BG789"/>
    </row>
    <row r="790" spans="59:59" hidden="1" x14ac:dyDescent="0.2">
      <c r="BG790"/>
    </row>
    <row r="791" spans="59:59" hidden="1" x14ac:dyDescent="0.2">
      <c r="BG791"/>
    </row>
    <row r="792" spans="59:59" hidden="1" x14ac:dyDescent="0.2">
      <c r="BG792"/>
    </row>
    <row r="793" spans="59:59" hidden="1" x14ac:dyDescent="0.2">
      <c r="BG793"/>
    </row>
    <row r="794" spans="59:59" hidden="1" x14ac:dyDescent="0.2">
      <c r="BG794"/>
    </row>
    <row r="795" spans="59:59" hidden="1" x14ac:dyDescent="0.2">
      <c r="BG795"/>
    </row>
    <row r="796" spans="59:59" hidden="1" x14ac:dyDescent="0.2">
      <c r="BG796"/>
    </row>
    <row r="797" spans="59:59" hidden="1" x14ac:dyDescent="0.2">
      <c r="BG797"/>
    </row>
    <row r="798" spans="59:59" hidden="1" x14ac:dyDescent="0.2">
      <c r="BG798"/>
    </row>
    <row r="799" spans="59:59" hidden="1" x14ac:dyDescent="0.2">
      <c r="BG799"/>
    </row>
    <row r="800" spans="59:59" hidden="1" x14ac:dyDescent="0.2">
      <c r="BG800"/>
    </row>
    <row r="801" spans="59:59" hidden="1" x14ac:dyDescent="0.2">
      <c r="BG801"/>
    </row>
    <row r="802" spans="59:59" hidden="1" x14ac:dyDescent="0.2">
      <c r="BG802"/>
    </row>
    <row r="803" spans="59:59" hidden="1" x14ac:dyDescent="0.2">
      <c r="BG803"/>
    </row>
    <row r="804" spans="59:59" hidden="1" x14ac:dyDescent="0.2">
      <c r="BG804"/>
    </row>
    <row r="805" spans="59:59" hidden="1" x14ac:dyDescent="0.2">
      <c r="BG805"/>
    </row>
    <row r="806" spans="59:59" hidden="1" x14ac:dyDescent="0.2">
      <c r="BG806"/>
    </row>
    <row r="807" spans="59:59" hidden="1" x14ac:dyDescent="0.2">
      <c r="BG807"/>
    </row>
    <row r="808" spans="59:59" hidden="1" x14ac:dyDescent="0.2">
      <c r="BG808"/>
    </row>
    <row r="809" spans="59:59" hidden="1" x14ac:dyDescent="0.2">
      <c r="BG809"/>
    </row>
    <row r="810" spans="59:59" hidden="1" x14ac:dyDescent="0.2">
      <c r="BG810"/>
    </row>
    <row r="811" spans="59:59" hidden="1" x14ac:dyDescent="0.2">
      <c r="BG811"/>
    </row>
    <row r="812" spans="59:59" hidden="1" x14ac:dyDescent="0.2">
      <c r="BG812"/>
    </row>
    <row r="813" spans="59:59" hidden="1" x14ac:dyDescent="0.2">
      <c r="BG813"/>
    </row>
    <row r="814" spans="59:59" hidden="1" x14ac:dyDescent="0.2">
      <c r="BG814"/>
    </row>
    <row r="815" spans="59:59" hidden="1" x14ac:dyDescent="0.2">
      <c r="BG815"/>
    </row>
    <row r="816" spans="59:59" hidden="1" x14ac:dyDescent="0.2">
      <c r="BG816"/>
    </row>
    <row r="817" spans="59:59" hidden="1" x14ac:dyDescent="0.2">
      <c r="BG817"/>
    </row>
    <row r="818" spans="59:59" hidden="1" x14ac:dyDescent="0.2">
      <c r="BG818"/>
    </row>
    <row r="819" spans="59:59" hidden="1" x14ac:dyDescent="0.2">
      <c r="BG819"/>
    </row>
    <row r="820" spans="59:59" hidden="1" x14ac:dyDescent="0.2">
      <c r="BG820"/>
    </row>
    <row r="821" spans="59:59" hidden="1" x14ac:dyDescent="0.2">
      <c r="BG821"/>
    </row>
    <row r="822" spans="59:59" hidden="1" x14ac:dyDescent="0.2">
      <c r="BG822"/>
    </row>
    <row r="823" spans="59:59" hidden="1" x14ac:dyDescent="0.2">
      <c r="BG823"/>
    </row>
    <row r="824" spans="59:59" hidden="1" x14ac:dyDescent="0.2">
      <c r="BG824"/>
    </row>
    <row r="825" spans="59:59" hidden="1" x14ac:dyDescent="0.2">
      <c r="BG825"/>
    </row>
    <row r="826" spans="59:59" hidden="1" x14ac:dyDescent="0.2">
      <c r="BG826"/>
    </row>
    <row r="827" spans="59:59" hidden="1" x14ac:dyDescent="0.2">
      <c r="BG827"/>
    </row>
    <row r="828" spans="59:59" hidden="1" x14ac:dyDescent="0.2">
      <c r="BG828"/>
    </row>
    <row r="829" spans="59:59" hidden="1" x14ac:dyDescent="0.2">
      <c r="BG829"/>
    </row>
    <row r="830" spans="59:59" hidden="1" x14ac:dyDescent="0.2">
      <c r="BG830"/>
    </row>
    <row r="831" spans="59:59" hidden="1" x14ac:dyDescent="0.2">
      <c r="BG831"/>
    </row>
    <row r="832" spans="59:59" hidden="1" x14ac:dyDescent="0.2">
      <c r="BG832"/>
    </row>
    <row r="833" spans="59:59" hidden="1" x14ac:dyDescent="0.2">
      <c r="BG833"/>
    </row>
    <row r="834" spans="59:59" hidden="1" x14ac:dyDescent="0.2">
      <c r="BG834"/>
    </row>
    <row r="835" spans="59:59" hidden="1" x14ac:dyDescent="0.2">
      <c r="BG835"/>
    </row>
    <row r="836" spans="59:59" hidden="1" x14ac:dyDescent="0.2">
      <c r="BG836"/>
    </row>
    <row r="837" spans="59:59" hidden="1" x14ac:dyDescent="0.2">
      <c r="BG837"/>
    </row>
    <row r="838" spans="59:59" hidden="1" x14ac:dyDescent="0.2">
      <c r="BG838"/>
    </row>
    <row r="839" spans="59:59" hidden="1" x14ac:dyDescent="0.2">
      <c r="BG839"/>
    </row>
    <row r="840" spans="59:59" hidden="1" x14ac:dyDescent="0.2">
      <c r="BG840"/>
    </row>
    <row r="841" spans="59:59" hidden="1" x14ac:dyDescent="0.2">
      <c r="BG841"/>
    </row>
    <row r="842" spans="59:59" hidden="1" x14ac:dyDescent="0.2">
      <c r="BG842"/>
    </row>
    <row r="843" spans="59:59" hidden="1" x14ac:dyDescent="0.2">
      <c r="BG843"/>
    </row>
    <row r="844" spans="59:59" hidden="1" x14ac:dyDescent="0.2">
      <c r="BG844"/>
    </row>
    <row r="845" spans="59:59" hidden="1" x14ac:dyDescent="0.2">
      <c r="BG845"/>
    </row>
    <row r="846" spans="59:59" hidden="1" x14ac:dyDescent="0.2">
      <c r="BG846"/>
    </row>
    <row r="847" spans="59:59" hidden="1" x14ac:dyDescent="0.2">
      <c r="BG847"/>
    </row>
    <row r="848" spans="59:59" hidden="1" x14ac:dyDescent="0.2">
      <c r="BG848"/>
    </row>
    <row r="849" spans="59:59" hidden="1" x14ac:dyDescent="0.2">
      <c r="BG849"/>
    </row>
    <row r="850" spans="59:59" hidden="1" x14ac:dyDescent="0.2">
      <c r="BG850"/>
    </row>
    <row r="851" spans="59:59" hidden="1" x14ac:dyDescent="0.2">
      <c r="BG851"/>
    </row>
    <row r="852" spans="59:59" hidden="1" x14ac:dyDescent="0.2">
      <c r="BG852"/>
    </row>
    <row r="853" spans="59:59" hidden="1" x14ac:dyDescent="0.2">
      <c r="BG853"/>
    </row>
    <row r="854" spans="59:59" hidden="1" x14ac:dyDescent="0.2">
      <c r="BG854"/>
    </row>
    <row r="855" spans="59:59" hidden="1" x14ac:dyDescent="0.2">
      <c r="BG855"/>
    </row>
    <row r="856" spans="59:59" hidden="1" x14ac:dyDescent="0.2">
      <c r="BG856"/>
    </row>
    <row r="857" spans="59:59" hidden="1" x14ac:dyDescent="0.2">
      <c r="BG857"/>
    </row>
    <row r="858" spans="59:59" hidden="1" x14ac:dyDescent="0.2">
      <c r="BG858"/>
    </row>
    <row r="859" spans="59:59" hidden="1" x14ac:dyDescent="0.2">
      <c r="BG859"/>
    </row>
    <row r="860" spans="59:59" hidden="1" x14ac:dyDescent="0.2">
      <c r="BG860"/>
    </row>
    <row r="861" spans="59:59" hidden="1" x14ac:dyDescent="0.2">
      <c r="BG861"/>
    </row>
    <row r="862" spans="59:59" hidden="1" x14ac:dyDescent="0.2">
      <c r="BG862"/>
    </row>
    <row r="863" spans="59:59" hidden="1" x14ac:dyDescent="0.2">
      <c r="BG863"/>
    </row>
    <row r="864" spans="59:59" hidden="1" x14ac:dyDescent="0.2">
      <c r="BG864"/>
    </row>
    <row r="865" spans="59:59" hidden="1" x14ac:dyDescent="0.2">
      <c r="BG865"/>
    </row>
    <row r="866" spans="59:59" hidden="1" x14ac:dyDescent="0.2">
      <c r="BG866"/>
    </row>
    <row r="867" spans="59:59" hidden="1" x14ac:dyDescent="0.2">
      <c r="BG867"/>
    </row>
    <row r="868" spans="59:59" hidden="1" x14ac:dyDescent="0.2">
      <c r="BG868"/>
    </row>
    <row r="869" spans="59:59" hidden="1" x14ac:dyDescent="0.2">
      <c r="BG869"/>
    </row>
    <row r="870" spans="59:59" hidden="1" x14ac:dyDescent="0.2">
      <c r="BG870"/>
    </row>
    <row r="871" spans="59:59" hidden="1" x14ac:dyDescent="0.2">
      <c r="BG871"/>
    </row>
    <row r="872" spans="59:59" hidden="1" x14ac:dyDescent="0.2">
      <c r="BG872"/>
    </row>
    <row r="873" spans="59:59" hidden="1" x14ac:dyDescent="0.2">
      <c r="BG873"/>
    </row>
    <row r="874" spans="59:59" hidden="1" x14ac:dyDescent="0.2">
      <c r="BG874"/>
    </row>
    <row r="875" spans="59:59" hidden="1" x14ac:dyDescent="0.2">
      <c r="BG875"/>
    </row>
    <row r="876" spans="59:59" hidden="1" x14ac:dyDescent="0.2">
      <c r="BG876"/>
    </row>
    <row r="877" spans="59:59" hidden="1" x14ac:dyDescent="0.2">
      <c r="BG877"/>
    </row>
    <row r="878" spans="59:59" hidden="1" x14ac:dyDescent="0.2">
      <c r="BG878"/>
    </row>
    <row r="879" spans="59:59" hidden="1" x14ac:dyDescent="0.2">
      <c r="BG879"/>
    </row>
    <row r="880" spans="59:59" hidden="1" x14ac:dyDescent="0.2">
      <c r="BG880"/>
    </row>
    <row r="881" spans="59:59" hidden="1" x14ac:dyDescent="0.2">
      <c r="BG881"/>
    </row>
    <row r="882" spans="59:59" hidden="1" x14ac:dyDescent="0.2">
      <c r="BG882"/>
    </row>
    <row r="883" spans="59:59" hidden="1" x14ac:dyDescent="0.2">
      <c r="BG883"/>
    </row>
    <row r="884" spans="59:59" hidden="1" x14ac:dyDescent="0.2">
      <c r="BG884"/>
    </row>
    <row r="885" spans="59:59" hidden="1" x14ac:dyDescent="0.2">
      <c r="BG885"/>
    </row>
    <row r="886" spans="59:59" hidden="1" x14ac:dyDescent="0.2">
      <c r="BG886"/>
    </row>
    <row r="887" spans="59:59" hidden="1" x14ac:dyDescent="0.2">
      <c r="BG887"/>
    </row>
    <row r="888" spans="59:59" hidden="1" x14ac:dyDescent="0.2">
      <c r="BG888"/>
    </row>
    <row r="889" spans="59:59" hidden="1" x14ac:dyDescent="0.2">
      <c r="BG889"/>
    </row>
    <row r="890" spans="59:59" hidden="1" x14ac:dyDescent="0.2">
      <c r="BG890"/>
    </row>
    <row r="891" spans="59:59" hidden="1" x14ac:dyDescent="0.2">
      <c r="BG891"/>
    </row>
    <row r="892" spans="59:59" hidden="1" x14ac:dyDescent="0.2">
      <c r="BG892"/>
    </row>
    <row r="893" spans="59:59" hidden="1" x14ac:dyDescent="0.2">
      <c r="BG893"/>
    </row>
    <row r="894" spans="59:59" hidden="1" x14ac:dyDescent="0.2">
      <c r="BG894"/>
    </row>
    <row r="895" spans="59:59" hidden="1" x14ac:dyDescent="0.2">
      <c r="BG895"/>
    </row>
    <row r="896" spans="59:59" hidden="1" x14ac:dyDescent="0.2">
      <c r="BG896"/>
    </row>
    <row r="897" spans="59:59" hidden="1" x14ac:dyDescent="0.2">
      <c r="BG897"/>
    </row>
    <row r="898" spans="59:59" hidden="1" x14ac:dyDescent="0.2">
      <c r="BG898"/>
    </row>
    <row r="899" spans="59:59" hidden="1" x14ac:dyDescent="0.2">
      <c r="BG899"/>
    </row>
    <row r="900" spans="59:59" hidden="1" x14ac:dyDescent="0.2">
      <c r="BG900"/>
    </row>
    <row r="901" spans="59:59" hidden="1" x14ac:dyDescent="0.2">
      <c r="BG901"/>
    </row>
    <row r="902" spans="59:59" hidden="1" x14ac:dyDescent="0.2">
      <c r="BG902"/>
    </row>
    <row r="903" spans="59:59" hidden="1" x14ac:dyDescent="0.2">
      <c r="BG903"/>
    </row>
    <row r="904" spans="59:59" hidden="1" x14ac:dyDescent="0.2">
      <c r="BG904"/>
    </row>
    <row r="905" spans="59:59" hidden="1" x14ac:dyDescent="0.2">
      <c r="BG905"/>
    </row>
    <row r="906" spans="59:59" hidden="1" x14ac:dyDescent="0.2">
      <c r="BG906"/>
    </row>
    <row r="907" spans="59:59" hidden="1" x14ac:dyDescent="0.2">
      <c r="BG907"/>
    </row>
    <row r="908" spans="59:59" hidden="1" x14ac:dyDescent="0.2">
      <c r="BG908"/>
    </row>
    <row r="909" spans="59:59" hidden="1" x14ac:dyDescent="0.2">
      <c r="BG909"/>
    </row>
    <row r="910" spans="59:59" hidden="1" x14ac:dyDescent="0.2">
      <c r="BG910"/>
    </row>
    <row r="911" spans="59:59" hidden="1" x14ac:dyDescent="0.2">
      <c r="BG911"/>
    </row>
    <row r="912" spans="59:59" hidden="1" x14ac:dyDescent="0.2">
      <c r="BG912"/>
    </row>
    <row r="913" spans="59:59" hidden="1" x14ac:dyDescent="0.2">
      <c r="BG913"/>
    </row>
    <row r="914" spans="59:59" hidden="1" x14ac:dyDescent="0.2">
      <c r="BG914"/>
    </row>
    <row r="915" spans="59:59" hidden="1" x14ac:dyDescent="0.2">
      <c r="BG915"/>
    </row>
    <row r="916" spans="59:59" hidden="1" x14ac:dyDescent="0.2">
      <c r="BG916"/>
    </row>
    <row r="917" spans="59:59" hidden="1" x14ac:dyDescent="0.2">
      <c r="BG917"/>
    </row>
    <row r="918" spans="59:59" hidden="1" x14ac:dyDescent="0.2">
      <c r="BG918"/>
    </row>
    <row r="919" spans="59:59" hidden="1" x14ac:dyDescent="0.2">
      <c r="BG919"/>
    </row>
    <row r="920" spans="59:59" hidden="1" x14ac:dyDescent="0.2">
      <c r="BG920"/>
    </row>
    <row r="921" spans="59:59" hidden="1" x14ac:dyDescent="0.2">
      <c r="BG921"/>
    </row>
    <row r="922" spans="59:59" hidden="1" x14ac:dyDescent="0.2">
      <c r="BG922"/>
    </row>
    <row r="923" spans="59:59" hidden="1" x14ac:dyDescent="0.2">
      <c r="BG923"/>
    </row>
    <row r="924" spans="59:59" hidden="1" x14ac:dyDescent="0.2">
      <c r="BG924"/>
    </row>
    <row r="925" spans="59:59" hidden="1" x14ac:dyDescent="0.2">
      <c r="BG925"/>
    </row>
    <row r="926" spans="59:59" hidden="1" x14ac:dyDescent="0.2">
      <c r="BG926"/>
    </row>
    <row r="927" spans="59:59" hidden="1" x14ac:dyDescent="0.2">
      <c r="BG927"/>
    </row>
    <row r="928" spans="59:59" hidden="1" x14ac:dyDescent="0.2">
      <c r="BG928"/>
    </row>
    <row r="929" spans="59:59" hidden="1" x14ac:dyDescent="0.2">
      <c r="BG929"/>
    </row>
    <row r="930" spans="59:59" hidden="1" x14ac:dyDescent="0.2">
      <c r="BG930"/>
    </row>
    <row r="931" spans="59:59" hidden="1" x14ac:dyDescent="0.2">
      <c r="BG931"/>
    </row>
    <row r="932" spans="59:59" hidden="1" x14ac:dyDescent="0.2">
      <c r="BG932"/>
    </row>
    <row r="933" spans="59:59" hidden="1" x14ac:dyDescent="0.2">
      <c r="BG933"/>
    </row>
    <row r="934" spans="59:59" hidden="1" x14ac:dyDescent="0.2">
      <c r="BG934"/>
    </row>
    <row r="935" spans="59:59" hidden="1" x14ac:dyDescent="0.2">
      <c r="BG935"/>
    </row>
    <row r="936" spans="59:59" hidden="1" x14ac:dyDescent="0.2">
      <c r="BG936"/>
    </row>
    <row r="937" spans="59:59" hidden="1" x14ac:dyDescent="0.2">
      <c r="BG937"/>
    </row>
    <row r="938" spans="59:59" hidden="1" x14ac:dyDescent="0.2">
      <c r="BG938"/>
    </row>
    <row r="939" spans="59:59" hidden="1" x14ac:dyDescent="0.2">
      <c r="BG939"/>
    </row>
    <row r="940" spans="59:59" hidden="1" x14ac:dyDescent="0.2">
      <c r="BG940"/>
    </row>
    <row r="941" spans="59:59" hidden="1" x14ac:dyDescent="0.2">
      <c r="BG941"/>
    </row>
    <row r="942" spans="59:59" hidden="1" x14ac:dyDescent="0.2">
      <c r="BG942"/>
    </row>
    <row r="943" spans="59:59" hidden="1" x14ac:dyDescent="0.2">
      <c r="BG943"/>
    </row>
    <row r="944" spans="59:59" hidden="1" x14ac:dyDescent="0.2">
      <c r="BG944"/>
    </row>
    <row r="945" spans="59:59" hidden="1" x14ac:dyDescent="0.2">
      <c r="BG945"/>
    </row>
    <row r="946" spans="59:59" hidden="1" x14ac:dyDescent="0.2">
      <c r="BG946"/>
    </row>
    <row r="947" spans="59:59" hidden="1" x14ac:dyDescent="0.2">
      <c r="BG947"/>
    </row>
    <row r="948" spans="59:59" hidden="1" x14ac:dyDescent="0.2">
      <c r="BG948"/>
    </row>
    <row r="949" spans="59:59" hidden="1" x14ac:dyDescent="0.2">
      <c r="BG949"/>
    </row>
    <row r="950" spans="59:59" hidden="1" x14ac:dyDescent="0.2">
      <c r="BG950"/>
    </row>
    <row r="951" spans="59:59" hidden="1" x14ac:dyDescent="0.2">
      <c r="BG951"/>
    </row>
    <row r="952" spans="59:59" hidden="1" x14ac:dyDescent="0.2">
      <c r="BG952"/>
    </row>
    <row r="953" spans="59:59" hidden="1" x14ac:dyDescent="0.2">
      <c r="BG953"/>
    </row>
    <row r="954" spans="59:59" hidden="1" x14ac:dyDescent="0.2">
      <c r="BG954"/>
    </row>
    <row r="955" spans="59:59" hidden="1" x14ac:dyDescent="0.2">
      <c r="BG955"/>
    </row>
    <row r="956" spans="59:59" hidden="1" x14ac:dyDescent="0.2">
      <c r="BG956"/>
    </row>
    <row r="957" spans="59:59" hidden="1" x14ac:dyDescent="0.2">
      <c r="BG957"/>
    </row>
    <row r="958" spans="59:59" hidden="1" x14ac:dyDescent="0.2">
      <c r="BG958"/>
    </row>
    <row r="959" spans="59:59" hidden="1" x14ac:dyDescent="0.2">
      <c r="BG959"/>
    </row>
    <row r="960" spans="59:59" hidden="1" x14ac:dyDescent="0.2">
      <c r="BG960"/>
    </row>
    <row r="961" spans="59:59" hidden="1" x14ac:dyDescent="0.2">
      <c r="BG961"/>
    </row>
    <row r="962" spans="59:59" hidden="1" x14ac:dyDescent="0.2">
      <c r="BG962"/>
    </row>
    <row r="963" spans="59:59" hidden="1" x14ac:dyDescent="0.2">
      <c r="BG963"/>
    </row>
    <row r="964" spans="59:59" hidden="1" x14ac:dyDescent="0.2">
      <c r="BG964"/>
    </row>
    <row r="965" spans="59:59" hidden="1" x14ac:dyDescent="0.2">
      <c r="BG965"/>
    </row>
    <row r="966" spans="59:59" hidden="1" x14ac:dyDescent="0.2">
      <c r="BG966"/>
    </row>
    <row r="967" spans="59:59" hidden="1" x14ac:dyDescent="0.2">
      <c r="BG967"/>
    </row>
    <row r="968" spans="59:59" hidden="1" x14ac:dyDescent="0.2">
      <c r="BG968"/>
    </row>
    <row r="969" spans="59:59" hidden="1" x14ac:dyDescent="0.2">
      <c r="BG969"/>
    </row>
    <row r="970" spans="59:59" hidden="1" x14ac:dyDescent="0.2">
      <c r="BG970"/>
    </row>
    <row r="971" spans="59:59" hidden="1" x14ac:dyDescent="0.2">
      <c r="BG971"/>
    </row>
    <row r="972" spans="59:59" hidden="1" x14ac:dyDescent="0.2">
      <c r="BG972"/>
    </row>
    <row r="973" spans="59:59" hidden="1" x14ac:dyDescent="0.2">
      <c r="BG973"/>
    </row>
    <row r="974" spans="59:59" hidden="1" x14ac:dyDescent="0.2">
      <c r="BG974"/>
    </row>
    <row r="975" spans="59:59" hidden="1" x14ac:dyDescent="0.2">
      <c r="BG975"/>
    </row>
    <row r="976" spans="59:59" hidden="1" x14ac:dyDescent="0.2">
      <c r="BG976"/>
    </row>
    <row r="977" spans="59:59" hidden="1" x14ac:dyDescent="0.2">
      <c r="BG977"/>
    </row>
    <row r="978" spans="59:59" hidden="1" x14ac:dyDescent="0.2">
      <c r="BG978"/>
    </row>
    <row r="979" spans="59:59" hidden="1" x14ac:dyDescent="0.2">
      <c r="BG979"/>
    </row>
    <row r="980" spans="59:59" hidden="1" x14ac:dyDescent="0.2">
      <c r="BG980"/>
    </row>
    <row r="981" spans="59:59" hidden="1" x14ac:dyDescent="0.2">
      <c r="BG981"/>
    </row>
    <row r="982" spans="59:59" hidden="1" x14ac:dyDescent="0.2">
      <c r="BG982"/>
    </row>
    <row r="983" spans="59:59" hidden="1" x14ac:dyDescent="0.2">
      <c r="BG983"/>
    </row>
    <row r="984" spans="59:59" hidden="1" x14ac:dyDescent="0.2">
      <c r="BG984"/>
    </row>
    <row r="985" spans="59:59" hidden="1" x14ac:dyDescent="0.2">
      <c r="BG985"/>
    </row>
    <row r="986" spans="59:59" hidden="1" x14ac:dyDescent="0.2">
      <c r="BG986"/>
    </row>
    <row r="987" spans="59:59" hidden="1" x14ac:dyDescent="0.2">
      <c r="BG987"/>
    </row>
    <row r="988" spans="59:59" hidden="1" x14ac:dyDescent="0.2">
      <c r="BG988"/>
    </row>
    <row r="989" spans="59:59" hidden="1" x14ac:dyDescent="0.2">
      <c r="BG989"/>
    </row>
    <row r="990" spans="59:59" hidden="1" x14ac:dyDescent="0.2">
      <c r="BG990"/>
    </row>
    <row r="991" spans="59:59" hidden="1" x14ac:dyDescent="0.2">
      <c r="BG991"/>
    </row>
    <row r="992" spans="59:59" hidden="1" x14ac:dyDescent="0.2">
      <c r="BG992"/>
    </row>
    <row r="993" spans="59:59" hidden="1" x14ac:dyDescent="0.2">
      <c r="BG993"/>
    </row>
    <row r="994" spans="59:59" hidden="1" x14ac:dyDescent="0.2">
      <c r="BG994"/>
    </row>
    <row r="995" spans="59:59" hidden="1" x14ac:dyDescent="0.2">
      <c r="BG995"/>
    </row>
    <row r="996" spans="59:59" hidden="1" x14ac:dyDescent="0.2">
      <c r="BG996"/>
    </row>
    <row r="997" spans="59:59" hidden="1" x14ac:dyDescent="0.2">
      <c r="BG997"/>
    </row>
    <row r="998" spans="59:59" hidden="1" x14ac:dyDescent="0.2">
      <c r="BG998"/>
    </row>
    <row r="999" spans="59:59" hidden="1" x14ac:dyDescent="0.2">
      <c r="BG999"/>
    </row>
    <row r="1000" spans="59:59" hidden="1" x14ac:dyDescent="0.2">
      <c r="BG1000"/>
    </row>
    <row r="1001" spans="59:59" hidden="1" x14ac:dyDescent="0.2">
      <c r="BG1001"/>
    </row>
    <row r="1002" spans="59:59" hidden="1" x14ac:dyDescent="0.2">
      <c r="BG1002"/>
    </row>
    <row r="1003" spans="59:59" hidden="1" x14ac:dyDescent="0.2">
      <c r="BG1003"/>
    </row>
    <row r="1004" spans="59:59" hidden="1" x14ac:dyDescent="0.2">
      <c r="BG1004"/>
    </row>
    <row r="1005" spans="59:59" hidden="1" x14ac:dyDescent="0.2">
      <c r="BG1005"/>
    </row>
    <row r="1006" spans="59:59" hidden="1" x14ac:dyDescent="0.2">
      <c r="BG1006"/>
    </row>
    <row r="1007" spans="59:59" hidden="1" x14ac:dyDescent="0.2">
      <c r="BG1007"/>
    </row>
    <row r="1008" spans="59:59" hidden="1" x14ac:dyDescent="0.2">
      <c r="BG1008"/>
    </row>
    <row r="1009" spans="59:59" hidden="1" x14ac:dyDescent="0.2">
      <c r="BG1009"/>
    </row>
    <row r="1010" spans="59:59" hidden="1" x14ac:dyDescent="0.2">
      <c r="BG1010"/>
    </row>
    <row r="1011" spans="59:59" hidden="1" x14ac:dyDescent="0.2">
      <c r="BG1011"/>
    </row>
    <row r="1012" spans="59:59" hidden="1" x14ac:dyDescent="0.2">
      <c r="BG1012"/>
    </row>
    <row r="1013" spans="59:59" hidden="1" x14ac:dyDescent="0.2">
      <c r="BG1013"/>
    </row>
    <row r="1014" spans="59:59" hidden="1" x14ac:dyDescent="0.2">
      <c r="BG1014"/>
    </row>
    <row r="1015" spans="59:59" hidden="1" x14ac:dyDescent="0.2">
      <c r="BG1015"/>
    </row>
    <row r="1016" spans="59:59" hidden="1" x14ac:dyDescent="0.2">
      <c r="BG1016"/>
    </row>
    <row r="1017" spans="59:59" hidden="1" x14ac:dyDescent="0.2">
      <c r="BG1017"/>
    </row>
    <row r="1018" spans="59:59" hidden="1" x14ac:dyDescent="0.2">
      <c r="BG1018"/>
    </row>
    <row r="1019" spans="59:59" hidden="1" x14ac:dyDescent="0.2">
      <c r="BG1019"/>
    </row>
    <row r="1020" spans="59:59" hidden="1" x14ac:dyDescent="0.2">
      <c r="BG1020"/>
    </row>
    <row r="1021" spans="59:59" hidden="1" x14ac:dyDescent="0.2">
      <c r="BG1021"/>
    </row>
    <row r="1022" spans="59:59" hidden="1" x14ac:dyDescent="0.2">
      <c r="BG1022"/>
    </row>
    <row r="1023" spans="59:59" hidden="1" x14ac:dyDescent="0.2">
      <c r="BG1023"/>
    </row>
    <row r="1024" spans="59:59" hidden="1" x14ac:dyDescent="0.2">
      <c r="BG1024"/>
    </row>
    <row r="1025" spans="59:59" hidden="1" x14ac:dyDescent="0.2">
      <c r="BG1025"/>
    </row>
    <row r="1026" spans="59:59" hidden="1" x14ac:dyDescent="0.2">
      <c r="BG1026"/>
    </row>
    <row r="1027" spans="59:59" hidden="1" x14ac:dyDescent="0.2">
      <c r="BG1027"/>
    </row>
    <row r="1028" spans="59:59" hidden="1" x14ac:dyDescent="0.2">
      <c r="BG1028"/>
    </row>
    <row r="1029" spans="59:59" hidden="1" x14ac:dyDescent="0.2">
      <c r="BG1029"/>
    </row>
    <row r="1030" spans="59:59" hidden="1" x14ac:dyDescent="0.2">
      <c r="BG1030"/>
    </row>
    <row r="1031" spans="59:59" hidden="1" x14ac:dyDescent="0.2">
      <c r="BG1031"/>
    </row>
    <row r="1032" spans="59:59" hidden="1" x14ac:dyDescent="0.2">
      <c r="BG1032"/>
    </row>
    <row r="1033" spans="59:59" hidden="1" x14ac:dyDescent="0.2">
      <c r="BG1033"/>
    </row>
    <row r="1034" spans="59:59" hidden="1" x14ac:dyDescent="0.2">
      <c r="BG1034"/>
    </row>
    <row r="1035" spans="59:59" hidden="1" x14ac:dyDescent="0.2">
      <c r="BG1035"/>
    </row>
    <row r="1036" spans="59:59" hidden="1" x14ac:dyDescent="0.2">
      <c r="BG1036"/>
    </row>
    <row r="1037" spans="59:59" hidden="1" x14ac:dyDescent="0.2">
      <c r="BG1037"/>
    </row>
    <row r="1038" spans="59:59" hidden="1" x14ac:dyDescent="0.2">
      <c r="BG1038"/>
    </row>
    <row r="1039" spans="59:59" hidden="1" x14ac:dyDescent="0.2">
      <c r="BG1039"/>
    </row>
    <row r="1040" spans="59:59" hidden="1" x14ac:dyDescent="0.2">
      <c r="BG1040"/>
    </row>
    <row r="1041" spans="59:59" hidden="1" x14ac:dyDescent="0.2">
      <c r="BG1041"/>
    </row>
    <row r="1042" spans="59:59" hidden="1" x14ac:dyDescent="0.2">
      <c r="BG1042"/>
    </row>
    <row r="1043" spans="59:59" hidden="1" x14ac:dyDescent="0.2">
      <c r="BG1043"/>
    </row>
    <row r="1044" spans="59:59" hidden="1" x14ac:dyDescent="0.2">
      <c r="BG1044"/>
    </row>
    <row r="1045" spans="59:59" hidden="1" x14ac:dyDescent="0.2">
      <c r="BG1045"/>
    </row>
    <row r="1046" spans="59:59" hidden="1" x14ac:dyDescent="0.2">
      <c r="BG1046"/>
    </row>
    <row r="1047" spans="59:59" hidden="1" x14ac:dyDescent="0.2">
      <c r="BG1047"/>
    </row>
    <row r="1048" spans="59:59" hidden="1" x14ac:dyDescent="0.2">
      <c r="BG1048"/>
    </row>
    <row r="1049" spans="59:59" hidden="1" x14ac:dyDescent="0.2">
      <c r="BG1049"/>
    </row>
    <row r="1050" spans="59:59" hidden="1" x14ac:dyDescent="0.2">
      <c r="BG1050"/>
    </row>
    <row r="1051" spans="59:59" hidden="1" x14ac:dyDescent="0.2">
      <c r="BG1051"/>
    </row>
    <row r="1052" spans="59:59" hidden="1" x14ac:dyDescent="0.2">
      <c r="BG1052"/>
    </row>
    <row r="1053" spans="59:59" hidden="1" x14ac:dyDescent="0.2">
      <c r="BG1053"/>
    </row>
    <row r="1054" spans="59:59" hidden="1" x14ac:dyDescent="0.2">
      <c r="BG1054"/>
    </row>
    <row r="1055" spans="59:59" hidden="1" x14ac:dyDescent="0.2">
      <c r="BG1055"/>
    </row>
    <row r="1056" spans="59:59" hidden="1" x14ac:dyDescent="0.2">
      <c r="BG1056"/>
    </row>
    <row r="1057" spans="59:59" hidden="1" x14ac:dyDescent="0.2">
      <c r="BG1057"/>
    </row>
    <row r="1058" spans="59:59" hidden="1" x14ac:dyDescent="0.2">
      <c r="BG1058"/>
    </row>
    <row r="1059" spans="59:59" hidden="1" x14ac:dyDescent="0.2">
      <c r="BG1059"/>
    </row>
    <row r="1060" spans="59:59" hidden="1" x14ac:dyDescent="0.2">
      <c r="BG1060"/>
    </row>
    <row r="1061" spans="59:59" hidden="1" x14ac:dyDescent="0.2">
      <c r="BG1061"/>
    </row>
    <row r="1062" spans="59:59" hidden="1" x14ac:dyDescent="0.2">
      <c r="BG1062"/>
    </row>
    <row r="1063" spans="59:59" hidden="1" x14ac:dyDescent="0.2">
      <c r="BG1063"/>
    </row>
    <row r="1064" spans="59:59" hidden="1" x14ac:dyDescent="0.2">
      <c r="BG1064"/>
    </row>
    <row r="1065" spans="59:59" hidden="1" x14ac:dyDescent="0.2">
      <c r="BG1065"/>
    </row>
    <row r="1066" spans="59:59" hidden="1" x14ac:dyDescent="0.2">
      <c r="BG1066"/>
    </row>
    <row r="1067" spans="59:59" hidden="1" x14ac:dyDescent="0.2">
      <c r="BG1067"/>
    </row>
    <row r="1068" spans="59:59" hidden="1" x14ac:dyDescent="0.2">
      <c r="BG1068"/>
    </row>
    <row r="1069" spans="59:59" hidden="1" x14ac:dyDescent="0.2">
      <c r="BG1069"/>
    </row>
    <row r="1070" spans="59:59" hidden="1" x14ac:dyDescent="0.2">
      <c r="BG1070"/>
    </row>
    <row r="1071" spans="59:59" hidden="1" x14ac:dyDescent="0.2">
      <c r="BG1071"/>
    </row>
    <row r="1072" spans="59:59" hidden="1" x14ac:dyDescent="0.2">
      <c r="BG1072"/>
    </row>
    <row r="1073" spans="59:59" hidden="1" x14ac:dyDescent="0.2">
      <c r="BG1073"/>
    </row>
    <row r="1074" spans="59:59" hidden="1" x14ac:dyDescent="0.2">
      <c r="BG1074"/>
    </row>
    <row r="1075" spans="59:59" hidden="1" x14ac:dyDescent="0.2">
      <c r="BG1075"/>
    </row>
    <row r="1076" spans="59:59" hidden="1" x14ac:dyDescent="0.2">
      <c r="BG1076"/>
    </row>
    <row r="1077" spans="59:59" hidden="1" x14ac:dyDescent="0.2">
      <c r="BG1077"/>
    </row>
    <row r="1078" spans="59:59" hidden="1" x14ac:dyDescent="0.2">
      <c r="BG1078"/>
    </row>
    <row r="1079" spans="59:59" hidden="1" x14ac:dyDescent="0.2">
      <c r="BG1079"/>
    </row>
    <row r="1080" spans="59:59" hidden="1" x14ac:dyDescent="0.2">
      <c r="BG1080"/>
    </row>
    <row r="1081" spans="59:59" hidden="1" x14ac:dyDescent="0.2">
      <c r="BG1081"/>
    </row>
    <row r="1082" spans="59:59" hidden="1" x14ac:dyDescent="0.2">
      <c r="BG1082"/>
    </row>
    <row r="1083" spans="59:59" hidden="1" x14ac:dyDescent="0.2">
      <c r="BG1083"/>
    </row>
    <row r="1084" spans="59:59" hidden="1" x14ac:dyDescent="0.2">
      <c r="BG1084"/>
    </row>
    <row r="1085" spans="59:59" hidden="1" x14ac:dyDescent="0.2">
      <c r="BG1085"/>
    </row>
    <row r="1086" spans="59:59" hidden="1" x14ac:dyDescent="0.2">
      <c r="BG1086"/>
    </row>
    <row r="1087" spans="59:59" hidden="1" x14ac:dyDescent="0.2">
      <c r="BG1087"/>
    </row>
    <row r="1088" spans="59:59" hidden="1" x14ac:dyDescent="0.2">
      <c r="BG1088"/>
    </row>
    <row r="1089" spans="59:59" hidden="1" x14ac:dyDescent="0.2">
      <c r="BG1089"/>
    </row>
    <row r="1090" spans="59:59" hidden="1" x14ac:dyDescent="0.2">
      <c r="BG1090"/>
    </row>
    <row r="1091" spans="59:59" hidden="1" x14ac:dyDescent="0.2">
      <c r="BG1091"/>
    </row>
    <row r="1092" spans="59:59" hidden="1" x14ac:dyDescent="0.2">
      <c r="BG1092"/>
    </row>
    <row r="1093" spans="59:59" hidden="1" x14ac:dyDescent="0.2">
      <c r="BG1093"/>
    </row>
    <row r="1094" spans="59:59" hidden="1" x14ac:dyDescent="0.2">
      <c r="BG1094"/>
    </row>
    <row r="1095" spans="59:59" hidden="1" x14ac:dyDescent="0.2">
      <c r="BG1095"/>
    </row>
    <row r="1096" spans="59:59" hidden="1" x14ac:dyDescent="0.2">
      <c r="BG1096"/>
    </row>
    <row r="1097" spans="59:59" hidden="1" x14ac:dyDescent="0.2">
      <c r="BG1097"/>
    </row>
    <row r="1098" spans="59:59" hidden="1" x14ac:dyDescent="0.2">
      <c r="BG1098"/>
    </row>
    <row r="1099" spans="59:59" hidden="1" x14ac:dyDescent="0.2">
      <c r="BG1099"/>
    </row>
    <row r="1100" spans="59:59" hidden="1" x14ac:dyDescent="0.2">
      <c r="BG1100"/>
    </row>
    <row r="1101" spans="59:59" hidden="1" x14ac:dyDescent="0.2">
      <c r="BG1101"/>
    </row>
    <row r="1102" spans="59:59" hidden="1" x14ac:dyDescent="0.2">
      <c r="BG1102"/>
    </row>
    <row r="1103" spans="59:59" hidden="1" x14ac:dyDescent="0.2">
      <c r="BG1103"/>
    </row>
    <row r="1104" spans="59:59" hidden="1" x14ac:dyDescent="0.2">
      <c r="BG1104"/>
    </row>
    <row r="1105" spans="59:59" hidden="1" x14ac:dyDescent="0.2">
      <c r="BG1105"/>
    </row>
    <row r="1106" spans="59:59" hidden="1" x14ac:dyDescent="0.2">
      <c r="BG1106"/>
    </row>
    <row r="1107" spans="59:59" hidden="1" x14ac:dyDescent="0.2">
      <c r="BG1107"/>
    </row>
    <row r="1108" spans="59:59" hidden="1" x14ac:dyDescent="0.2">
      <c r="BG1108"/>
    </row>
    <row r="1109" spans="59:59" hidden="1" x14ac:dyDescent="0.2">
      <c r="BG1109"/>
    </row>
    <row r="1110" spans="59:59" hidden="1" x14ac:dyDescent="0.2">
      <c r="BG1110"/>
    </row>
    <row r="1111" spans="59:59" hidden="1" x14ac:dyDescent="0.2">
      <c r="BG1111"/>
    </row>
    <row r="1112" spans="59:59" hidden="1" x14ac:dyDescent="0.2">
      <c r="BG1112"/>
    </row>
    <row r="1113" spans="59:59" hidden="1" x14ac:dyDescent="0.2">
      <c r="BG1113"/>
    </row>
    <row r="1114" spans="59:59" hidden="1" x14ac:dyDescent="0.2">
      <c r="BG1114"/>
    </row>
    <row r="1115" spans="59:59" hidden="1" x14ac:dyDescent="0.2">
      <c r="BG1115"/>
    </row>
    <row r="1116" spans="59:59" hidden="1" x14ac:dyDescent="0.2">
      <c r="BG1116"/>
    </row>
    <row r="1117" spans="59:59" hidden="1" x14ac:dyDescent="0.2">
      <c r="BG1117"/>
    </row>
    <row r="1118" spans="59:59" hidden="1" x14ac:dyDescent="0.2">
      <c r="BG1118"/>
    </row>
    <row r="1119" spans="59:59" hidden="1" x14ac:dyDescent="0.2">
      <c r="BG1119"/>
    </row>
    <row r="1120" spans="59:59" hidden="1" x14ac:dyDescent="0.2">
      <c r="BG1120"/>
    </row>
    <row r="1121" spans="59:59" hidden="1" x14ac:dyDescent="0.2">
      <c r="BG1121"/>
    </row>
    <row r="1122" spans="59:59" hidden="1" x14ac:dyDescent="0.2">
      <c r="BG1122"/>
    </row>
    <row r="1123" spans="59:59" hidden="1" x14ac:dyDescent="0.2">
      <c r="BG1123"/>
    </row>
    <row r="1124" spans="59:59" hidden="1" x14ac:dyDescent="0.2">
      <c r="BG1124"/>
    </row>
    <row r="1125" spans="59:59" hidden="1" x14ac:dyDescent="0.2">
      <c r="BG1125"/>
    </row>
    <row r="1126" spans="59:59" hidden="1" x14ac:dyDescent="0.2">
      <c r="BG1126"/>
    </row>
    <row r="1127" spans="59:59" hidden="1" x14ac:dyDescent="0.2">
      <c r="BG1127"/>
    </row>
    <row r="1128" spans="59:59" hidden="1" x14ac:dyDescent="0.2">
      <c r="BG1128"/>
    </row>
    <row r="1129" spans="59:59" hidden="1" x14ac:dyDescent="0.2">
      <c r="BG1129"/>
    </row>
    <row r="1130" spans="59:59" hidden="1" x14ac:dyDescent="0.2">
      <c r="BG1130"/>
    </row>
    <row r="1131" spans="59:59" hidden="1" x14ac:dyDescent="0.2">
      <c r="BG1131"/>
    </row>
    <row r="1132" spans="59:59" hidden="1" x14ac:dyDescent="0.2">
      <c r="BG1132"/>
    </row>
    <row r="1133" spans="59:59" hidden="1" x14ac:dyDescent="0.2">
      <c r="BG1133"/>
    </row>
    <row r="1134" spans="59:59" hidden="1" x14ac:dyDescent="0.2">
      <c r="BG1134"/>
    </row>
    <row r="1135" spans="59:59" hidden="1" x14ac:dyDescent="0.2">
      <c r="BG1135"/>
    </row>
    <row r="1136" spans="59:59" hidden="1" x14ac:dyDescent="0.2">
      <c r="BG1136"/>
    </row>
    <row r="1137" spans="59:59" hidden="1" x14ac:dyDescent="0.2">
      <c r="BG1137"/>
    </row>
    <row r="1138" spans="59:59" hidden="1" x14ac:dyDescent="0.2">
      <c r="BG1138"/>
    </row>
    <row r="1139" spans="59:59" hidden="1" x14ac:dyDescent="0.2">
      <c r="BG1139"/>
    </row>
    <row r="1140" spans="59:59" hidden="1" x14ac:dyDescent="0.2">
      <c r="BG1140"/>
    </row>
    <row r="1141" spans="59:59" hidden="1" x14ac:dyDescent="0.2">
      <c r="BG1141"/>
    </row>
    <row r="1142" spans="59:59" hidden="1" x14ac:dyDescent="0.2">
      <c r="BG1142"/>
    </row>
    <row r="1143" spans="59:59" hidden="1" x14ac:dyDescent="0.2">
      <c r="BG1143"/>
    </row>
    <row r="1144" spans="59:59" hidden="1" x14ac:dyDescent="0.2">
      <c r="BG1144"/>
    </row>
    <row r="1145" spans="59:59" hidden="1" x14ac:dyDescent="0.2">
      <c r="BG1145"/>
    </row>
    <row r="1146" spans="59:59" hidden="1" x14ac:dyDescent="0.2">
      <c r="BG1146"/>
    </row>
    <row r="1147" spans="59:59" hidden="1" x14ac:dyDescent="0.2">
      <c r="BG1147"/>
    </row>
    <row r="1148" spans="59:59" hidden="1" x14ac:dyDescent="0.2">
      <c r="BG1148"/>
    </row>
    <row r="1149" spans="59:59" hidden="1" x14ac:dyDescent="0.2">
      <c r="BG1149"/>
    </row>
    <row r="1150" spans="59:59" hidden="1" x14ac:dyDescent="0.2">
      <c r="BG1150"/>
    </row>
    <row r="1151" spans="59:59" hidden="1" x14ac:dyDescent="0.2">
      <c r="BG1151"/>
    </row>
    <row r="1152" spans="59:59" hidden="1" x14ac:dyDescent="0.2">
      <c r="BG1152"/>
    </row>
    <row r="1153" spans="59:59" hidden="1" x14ac:dyDescent="0.2">
      <c r="BG1153"/>
    </row>
    <row r="1154" spans="59:59" hidden="1" x14ac:dyDescent="0.2">
      <c r="BG1154"/>
    </row>
    <row r="1155" spans="59:59" hidden="1" x14ac:dyDescent="0.2">
      <c r="BG1155"/>
    </row>
    <row r="1156" spans="59:59" hidden="1" x14ac:dyDescent="0.2">
      <c r="BG1156"/>
    </row>
    <row r="1157" spans="59:59" hidden="1" x14ac:dyDescent="0.2">
      <c r="BG1157"/>
    </row>
    <row r="1158" spans="59:59" hidden="1" x14ac:dyDescent="0.2">
      <c r="BG1158"/>
    </row>
    <row r="1159" spans="59:59" hidden="1" x14ac:dyDescent="0.2">
      <c r="BG1159"/>
    </row>
    <row r="1160" spans="59:59" hidden="1" x14ac:dyDescent="0.2">
      <c r="BG1160"/>
    </row>
    <row r="1161" spans="59:59" hidden="1" x14ac:dyDescent="0.2">
      <c r="BG1161"/>
    </row>
    <row r="1162" spans="59:59" hidden="1" x14ac:dyDescent="0.2">
      <c r="BG1162"/>
    </row>
    <row r="1163" spans="59:59" hidden="1" x14ac:dyDescent="0.2">
      <c r="BG1163"/>
    </row>
    <row r="1164" spans="59:59" hidden="1" x14ac:dyDescent="0.2">
      <c r="BG1164"/>
    </row>
    <row r="1165" spans="59:59" hidden="1" x14ac:dyDescent="0.2">
      <c r="BG1165"/>
    </row>
    <row r="1166" spans="59:59" hidden="1" x14ac:dyDescent="0.2">
      <c r="BG1166"/>
    </row>
    <row r="1167" spans="59:59" hidden="1" x14ac:dyDescent="0.2">
      <c r="BG1167"/>
    </row>
    <row r="1168" spans="59:59" hidden="1" x14ac:dyDescent="0.2">
      <c r="BG1168"/>
    </row>
    <row r="1169" spans="59:59" hidden="1" x14ac:dyDescent="0.2">
      <c r="BG1169"/>
    </row>
    <row r="1170" spans="59:59" hidden="1" x14ac:dyDescent="0.2">
      <c r="BG1170"/>
    </row>
    <row r="1171" spans="59:59" hidden="1" x14ac:dyDescent="0.2">
      <c r="BG1171"/>
    </row>
    <row r="1172" spans="59:59" hidden="1" x14ac:dyDescent="0.2">
      <c r="BG1172"/>
    </row>
    <row r="1173" spans="59:59" hidden="1" x14ac:dyDescent="0.2">
      <c r="BG1173"/>
    </row>
    <row r="1174" spans="59:59" hidden="1" x14ac:dyDescent="0.2">
      <c r="BG1174"/>
    </row>
    <row r="1175" spans="59:59" hidden="1" x14ac:dyDescent="0.2">
      <c r="BG1175"/>
    </row>
    <row r="1176" spans="59:59" hidden="1" x14ac:dyDescent="0.2">
      <c r="BG1176"/>
    </row>
    <row r="1177" spans="59:59" hidden="1" x14ac:dyDescent="0.2">
      <c r="BG1177"/>
    </row>
    <row r="1178" spans="59:59" hidden="1" x14ac:dyDescent="0.2">
      <c r="BG1178"/>
    </row>
    <row r="1179" spans="59:59" hidden="1" x14ac:dyDescent="0.2">
      <c r="BG1179"/>
    </row>
    <row r="1180" spans="59:59" hidden="1" x14ac:dyDescent="0.2">
      <c r="BG1180"/>
    </row>
    <row r="1181" spans="59:59" hidden="1" x14ac:dyDescent="0.2">
      <c r="BG1181"/>
    </row>
    <row r="1182" spans="59:59" hidden="1" x14ac:dyDescent="0.2">
      <c r="BG1182"/>
    </row>
    <row r="1183" spans="59:59" hidden="1" x14ac:dyDescent="0.2">
      <c r="BG1183"/>
    </row>
    <row r="1184" spans="59:59" hidden="1" x14ac:dyDescent="0.2">
      <c r="BG1184"/>
    </row>
    <row r="1185" spans="59:59" hidden="1" x14ac:dyDescent="0.2">
      <c r="BG1185"/>
    </row>
    <row r="1186" spans="59:59" hidden="1" x14ac:dyDescent="0.2">
      <c r="BG1186"/>
    </row>
    <row r="1187" spans="59:59" hidden="1" x14ac:dyDescent="0.2">
      <c r="BG1187"/>
    </row>
    <row r="1188" spans="59:59" hidden="1" x14ac:dyDescent="0.2">
      <c r="BG1188"/>
    </row>
    <row r="1189" spans="59:59" hidden="1" x14ac:dyDescent="0.2">
      <c r="BG1189"/>
    </row>
    <row r="1190" spans="59:59" hidden="1" x14ac:dyDescent="0.2">
      <c r="BG1190"/>
    </row>
    <row r="1191" spans="59:59" hidden="1" x14ac:dyDescent="0.2">
      <c r="BG1191"/>
    </row>
    <row r="1192" spans="59:59" hidden="1" x14ac:dyDescent="0.2">
      <c r="BG1192"/>
    </row>
    <row r="1193" spans="59:59" hidden="1" x14ac:dyDescent="0.2">
      <c r="BG1193"/>
    </row>
    <row r="1194" spans="59:59" hidden="1" x14ac:dyDescent="0.2">
      <c r="BG1194"/>
    </row>
    <row r="1195" spans="59:59" hidden="1" x14ac:dyDescent="0.2">
      <c r="BG1195"/>
    </row>
    <row r="1196" spans="59:59" hidden="1" x14ac:dyDescent="0.2">
      <c r="BG1196"/>
    </row>
    <row r="1197" spans="59:59" hidden="1" x14ac:dyDescent="0.2">
      <c r="BG1197"/>
    </row>
    <row r="1198" spans="59:59" hidden="1" x14ac:dyDescent="0.2">
      <c r="BG1198"/>
    </row>
    <row r="1199" spans="59:59" hidden="1" x14ac:dyDescent="0.2">
      <c r="BG1199"/>
    </row>
    <row r="1200" spans="59:59" hidden="1" x14ac:dyDescent="0.2">
      <c r="BG1200"/>
    </row>
    <row r="1201" spans="59:59" hidden="1" x14ac:dyDescent="0.2">
      <c r="BG1201"/>
    </row>
    <row r="1202" spans="59:59" hidden="1" x14ac:dyDescent="0.2">
      <c r="BG1202"/>
    </row>
    <row r="1203" spans="59:59" hidden="1" x14ac:dyDescent="0.2">
      <c r="BG1203"/>
    </row>
    <row r="1204" spans="59:59" hidden="1" x14ac:dyDescent="0.2">
      <c r="BG1204"/>
    </row>
    <row r="1205" spans="59:59" hidden="1" x14ac:dyDescent="0.2">
      <c r="BG1205"/>
    </row>
    <row r="1206" spans="59:59" hidden="1" x14ac:dyDescent="0.2">
      <c r="BG1206"/>
    </row>
    <row r="1207" spans="59:59" hidden="1" x14ac:dyDescent="0.2">
      <c r="BG1207"/>
    </row>
    <row r="1208" spans="59:59" hidden="1" x14ac:dyDescent="0.2">
      <c r="BG1208"/>
    </row>
    <row r="1209" spans="59:59" hidden="1" x14ac:dyDescent="0.2">
      <c r="BG1209"/>
    </row>
    <row r="1210" spans="59:59" hidden="1" x14ac:dyDescent="0.2">
      <c r="BG1210"/>
    </row>
    <row r="1211" spans="59:59" hidden="1" x14ac:dyDescent="0.2">
      <c r="BG1211"/>
    </row>
    <row r="1212" spans="59:59" hidden="1" x14ac:dyDescent="0.2">
      <c r="BG1212"/>
    </row>
    <row r="1213" spans="59:59" hidden="1" x14ac:dyDescent="0.2">
      <c r="BG1213"/>
    </row>
    <row r="1214" spans="59:59" hidden="1" x14ac:dyDescent="0.2">
      <c r="BG1214"/>
    </row>
    <row r="1215" spans="59:59" hidden="1" x14ac:dyDescent="0.2">
      <c r="BG1215"/>
    </row>
    <row r="1216" spans="59:59" hidden="1" x14ac:dyDescent="0.2">
      <c r="BG1216"/>
    </row>
    <row r="1217" spans="59:59" hidden="1" x14ac:dyDescent="0.2">
      <c r="BG1217"/>
    </row>
    <row r="1218" spans="59:59" hidden="1" x14ac:dyDescent="0.2">
      <c r="BG1218"/>
    </row>
    <row r="1219" spans="59:59" hidden="1" x14ac:dyDescent="0.2">
      <c r="BG1219"/>
    </row>
    <row r="1220" spans="59:59" hidden="1" x14ac:dyDescent="0.2">
      <c r="BG1220"/>
    </row>
    <row r="1221" spans="59:59" hidden="1" x14ac:dyDescent="0.2">
      <c r="BG1221"/>
    </row>
    <row r="1222" spans="59:59" hidden="1" x14ac:dyDescent="0.2">
      <c r="BG1222"/>
    </row>
    <row r="1223" spans="59:59" hidden="1" x14ac:dyDescent="0.2">
      <c r="BG1223"/>
    </row>
    <row r="1224" spans="59:59" hidden="1" x14ac:dyDescent="0.2">
      <c r="BG1224"/>
    </row>
    <row r="1225" spans="59:59" hidden="1" x14ac:dyDescent="0.2">
      <c r="BG1225"/>
    </row>
    <row r="1226" spans="59:59" hidden="1" x14ac:dyDescent="0.2">
      <c r="BG1226"/>
    </row>
    <row r="1227" spans="59:59" hidden="1" x14ac:dyDescent="0.2">
      <c r="BG1227"/>
    </row>
    <row r="1228" spans="59:59" hidden="1" x14ac:dyDescent="0.2">
      <c r="BG1228"/>
    </row>
    <row r="1229" spans="59:59" hidden="1" x14ac:dyDescent="0.2">
      <c r="BG1229"/>
    </row>
    <row r="1230" spans="59:59" hidden="1" x14ac:dyDescent="0.2">
      <c r="BG1230"/>
    </row>
    <row r="1231" spans="59:59" hidden="1" x14ac:dyDescent="0.2">
      <c r="BG1231"/>
    </row>
    <row r="1232" spans="59:59" hidden="1" x14ac:dyDescent="0.2">
      <c r="BG1232"/>
    </row>
    <row r="1233" spans="59:59" hidden="1" x14ac:dyDescent="0.2">
      <c r="BG1233"/>
    </row>
    <row r="1234" spans="59:59" hidden="1" x14ac:dyDescent="0.2">
      <c r="BG1234"/>
    </row>
    <row r="1235" spans="59:59" hidden="1" x14ac:dyDescent="0.2">
      <c r="BG1235"/>
    </row>
    <row r="1236" spans="59:59" hidden="1" x14ac:dyDescent="0.2">
      <c r="BG1236"/>
    </row>
    <row r="1237" spans="59:59" hidden="1" x14ac:dyDescent="0.2">
      <c r="BG1237"/>
    </row>
    <row r="1238" spans="59:59" hidden="1" x14ac:dyDescent="0.2">
      <c r="BG1238"/>
    </row>
    <row r="1239" spans="59:59" hidden="1" x14ac:dyDescent="0.2">
      <c r="BG1239"/>
    </row>
    <row r="1240" spans="59:59" hidden="1" x14ac:dyDescent="0.2">
      <c r="BG1240"/>
    </row>
    <row r="1241" spans="59:59" hidden="1" x14ac:dyDescent="0.2">
      <c r="BG1241"/>
    </row>
    <row r="1242" spans="59:59" hidden="1" x14ac:dyDescent="0.2">
      <c r="BG1242"/>
    </row>
    <row r="1243" spans="59:59" hidden="1" x14ac:dyDescent="0.2">
      <c r="BG1243"/>
    </row>
    <row r="1244" spans="59:59" hidden="1" x14ac:dyDescent="0.2">
      <c r="BG1244"/>
    </row>
    <row r="1245" spans="59:59" hidden="1" x14ac:dyDescent="0.2">
      <c r="BG1245"/>
    </row>
    <row r="1246" spans="59:59" hidden="1" x14ac:dyDescent="0.2">
      <c r="BG1246"/>
    </row>
    <row r="1247" spans="59:59" hidden="1" x14ac:dyDescent="0.2">
      <c r="BG1247"/>
    </row>
    <row r="1248" spans="59:59" hidden="1" x14ac:dyDescent="0.2">
      <c r="BG1248"/>
    </row>
    <row r="1249" spans="59:59" hidden="1" x14ac:dyDescent="0.2">
      <c r="BG1249"/>
    </row>
    <row r="1250" spans="59:59" hidden="1" x14ac:dyDescent="0.2">
      <c r="BG1250"/>
    </row>
    <row r="1251" spans="59:59" hidden="1" x14ac:dyDescent="0.2">
      <c r="BG1251"/>
    </row>
    <row r="1252" spans="59:59" hidden="1" x14ac:dyDescent="0.2">
      <c r="BG1252"/>
    </row>
    <row r="1253" spans="59:59" hidden="1" x14ac:dyDescent="0.2">
      <c r="BG1253"/>
    </row>
    <row r="1254" spans="59:59" hidden="1" x14ac:dyDescent="0.2">
      <c r="BG1254"/>
    </row>
    <row r="1255" spans="59:59" hidden="1" x14ac:dyDescent="0.2">
      <c r="BG1255"/>
    </row>
    <row r="1256" spans="59:59" hidden="1" x14ac:dyDescent="0.2">
      <c r="BG1256"/>
    </row>
    <row r="1257" spans="59:59" hidden="1" x14ac:dyDescent="0.2">
      <c r="BG1257"/>
    </row>
    <row r="1258" spans="59:59" hidden="1" x14ac:dyDescent="0.2">
      <c r="BG1258"/>
    </row>
    <row r="1259" spans="59:59" hidden="1" x14ac:dyDescent="0.2">
      <c r="BG1259"/>
    </row>
    <row r="1260" spans="59:59" hidden="1" x14ac:dyDescent="0.2">
      <c r="BG1260"/>
    </row>
    <row r="1261" spans="59:59" hidden="1" x14ac:dyDescent="0.2">
      <c r="BG1261"/>
    </row>
    <row r="1262" spans="59:59" hidden="1" x14ac:dyDescent="0.2">
      <c r="BG1262"/>
    </row>
    <row r="1263" spans="59:59" hidden="1" x14ac:dyDescent="0.2">
      <c r="BG1263"/>
    </row>
    <row r="1264" spans="59:59" hidden="1" x14ac:dyDescent="0.2">
      <c r="BG1264"/>
    </row>
    <row r="1265" spans="59:59" hidden="1" x14ac:dyDescent="0.2">
      <c r="BG1265"/>
    </row>
    <row r="1266" spans="59:59" hidden="1" x14ac:dyDescent="0.2">
      <c r="BG1266"/>
    </row>
    <row r="1267" spans="59:59" hidden="1" x14ac:dyDescent="0.2">
      <c r="BG1267"/>
    </row>
    <row r="1268" spans="59:59" hidden="1" x14ac:dyDescent="0.2">
      <c r="BG1268"/>
    </row>
    <row r="1269" spans="59:59" hidden="1" x14ac:dyDescent="0.2">
      <c r="BG1269"/>
    </row>
    <row r="1270" spans="59:59" hidden="1" x14ac:dyDescent="0.2">
      <c r="BG1270"/>
    </row>
    <row r="1271" spans="59:59" hidden="1" x14ac:dyDescent="0.2">
      <c r="BG1271"/>
    </row>
    <row r="1272" spans="59:59" hidden="1" x14ac:dyDescent="0.2">
      <c r="BG1272"/>
    </row>
    <row r="1273" spans="59:59" hidden="1" x14ac:dyDescent="0.2">
      <c r="BG1273"/>
    </row>
    <row r="1274" spans="59:59" hidden="1" x14ac:dyDescent="0.2">
      <c r="BG1274"/>
    </row>
    <row r="1275" spans="59:59" hidden="1" x14ac:dyDescent="0.2">
      <c r="BG1275"/>
    </row>
    <row r="1276" spans="59:59" hidden="1" x14ac:dyDescent="0.2">
      <c r="BG1276"/>
    </row>
    <row r="1277" spans="59:59" hidden="1" x14ac:dyDescent="0.2">
      <c r="BG1277"/>
    </row>
    <row r="1278" spans="59:59" hidden="1" x14ac:dyDescent="0.2">
      <c r="BG1278"/>
    </row>
    <row r="1279" spans="59:59" hidden="1" x14ac:dyDescent="0.2">
      <c r="BG1279"/>
    </row>
    <row r="1280" spans="59:59" hidden="1" x14ac:dyDescent="0.2">
      <c r="BG1280"/>
    </row>
    <row r="1281" spans="59:59" hidden="1" x14ac:dyDescent="0.2">
      <c r="BG1281"/>
    </row>
    <row r="1282" spans="59:59" hidden="1" x14ac:dyDescent="0.2">
      <c r="BG1282"/>
    </row>
    <row r="1283" spans="59:59" hidden="1" x14ac:dyDescent="0.2">
      <c r="BG1283"/>
    </row>
    <row r="1284" spans="59:59" hidden="1" x14ac:dyDescent="0.2">
      <c r="BG1284"/>
    </row>
    <row r="1285" spans="59:59" hidden="1" x14ac:dyDescent="0.2">
      <c r="BG1285"/>
    </row>
    <row r="1286" spans="59:59" hidden="1" x14ac:dyDescent="0.2">
      <c r="BG1286"/>
    </row>
    <row r="1287" spans="59:59" hidden="1" x14ac:dyDescent="0.2">
      <c r="BG1287"/>
    </row>
    <row r="1288" spans="59:59" hidden="1" x14ac:dyDescent="0.2">
      <c r="BG1288"/>
    </row>
    <row r="1289" spans="59:59" hidden="1" x14ac:dyDescent="0.2">
      <c r="BG1289"/>
    </row>
    <row r="1290" spans="59:59" hidden="1" x14ac:dyDescent="0.2">
      <c r="BG1290"/>
    </row>
    <row r="1291" spans="59:59" hidden="1" x14ac:dyDescent="0.2">
      <c r="BG1291"/>
    </row>
    <row r="1292" spans="59:59" hidden="1" x14ac:dyDescent="0.2">
      <c r="BG1292"/>
    </row>
    <row r="1293" spans="59:59" hidden="1" x14ac:dyDescent="0.2">
      <c r="BG1293"/>
    </row>
    <row r="1294" spans="59:59" hidden="1" x14ac:dyDescent="0.2">
      <c r="BG1294"/>
    </row>
    <row r="1295" spans="59:59" hidden="1" x14ac:dyDescent="0.2">
      <c r="BG1295"/>
    </row>
    <row r="1296" spans="59:59" hidden="1" x14ac:dyDescent="0.2">
      <c r="BG1296"/>
    </row>
    <row r="1297" spans="59:59" hidden="1" x14ac:dyDescent="0.2">
      <c r="BG1297"/>
    </row>
    <row r="1298" spans="59:59" hidden="1" x14ac:dyDescent="0.2">
      <c r="BG1298"/>
    </row>
    <row r="1299" spans="59:59" hidden="1" x14ac:dyDescent="0.2">
      <c r="BG1299"/>
    </row>
    <row r="1300" spans="59:59" hidden="1" x14ac:dyDescent="0.2">
      <c r="BG1300"/>
    </row>
    <row r="1301" spans="59:59" hidden="1" x14ac:dyDescent="0.2">
      <c r="BG1301"/>
    </row>
    <row r="1302" spans="59:59" hidden="1" x14ac:dyDescent="0.2">
      <c r="BG1302"/>
    </row>
    <row r="1303" spans="59:59" hidden="1" x14ac:dyDescent="0.2">
      <c r="BG1303"/>
    </row>
    <row r="1304" spans="59:59" hidden="1" x14ac:dyDescent="0.2">
      <c r="BG1304"/>
    </row>
    <row r="1305" spans="59:59" hidden="1" x14ac:dyDescent="0.2">
      <c r="BG1305"/>
    </row>
    <row r="1306" spans="59:59" hidden="1" x14ac:dyDescent="0.2">
      <c r="BG1306"/>
    </row>
    <row r="1307" spans="59:59" hidden="1" x14ac:dyDescent="0.2">
      <c r="BG1307"/>
    </row>
    <row r="1308" spans="59:59" hidden="1" x14ac:dyDescent="0.2">
      <c r="BG1308"/>
    </row>
    <row r="1309" spans="59:59" hidden="1" x14ac:dyDescent="0.2">
      <c r="BG1309"/>
    </row>
    <row r="1310" spans="59:59" hidden="1" x14ac:dyDescent="0.2">
      <c r="BG1310"/>
    </row>
    <row r="1311" spans="59:59" hidden="1" x14ac:dyDescent="0.2">
      <c r="BG1311"/>
    </row>
    <row r="1312" spans="59:59" hidden="1" x14ac:dyDescent="0.2">
      <c r="BG1312"/>
    </row>
    <row r="1313" spans="59:59" hidden="1" x14ac:dyDescent="0.2">
      <c r="BG1313"/>
    </row>
    <row r="1314" spans="59:59" hidden="1" x14ac:dyDescent="0.2">
      <c r="BG1314"/>
    </row>
    <row r="1315" spans="59:59" hidden="1" x14ac:dyDescent="0.2">
      <c r="BG1315"/>
    </row>
    <row r="1316" spans="59:59" hidden="1" x14ac:dyDescent="0.2">
      <c r="BG1316"/>
    </row>
    <row r="1317" spans="59:59" hidden="1" x14ac:dyDescent="0.2">
      <c r="BG1317"/>
    </row>
    <row r="1318" spans="59:59" hidden="1" x14ac:dyDescent="0.2">
      <c r="BG1318"/>
    </row>
    <row r="1319" spans="59:59" hidden="1" x14ac:dyDescent="0.2">
      <c r="BG1319"/>
    </row>
    <row r="1320" spans="59:59" hidden="1" x14ac:dyDescent="0.2">
      <c r="BG1320"/>
    </row>
    <row r="1321" spans="59:59" hidden="1" x14ac:dyDescent="0.2">
      <c r="BG1321"/>
    </row>
    <row r="1322" spans="59:59" hidden="1" x14ac:dyDescent="0.2">
      <c r="BG1322"/>
    </row>
    <row r="1323" spans="59:59" hidden="1" x14ac:dyDescent="0.2">
      <c r="BG1323"/>
    </row>
    <row r="1324" spans="59:59" hidden="1" x14ac:dyDescent="0.2">
      <c r="BG1324"/>
    </row>
    <row r="1325" spans="59:59" hidden="1" x14ac:dyDescent="0.2">
      <c r="BG1325"/>
    </row>
    <row r="1326" spans="59:59" hidden="1" x14ac:dyDescent="0.2">
      <c r="BG1326"/>
    </row>
    <row r="1327" spans="59:59" hidden="1" x14ac:dyDescent="0.2">
      <c r="BG1327"/>
    </row>
    <row r="1328" spans="59:59" hidden="1" x14ac:dyDescent="0.2">
      <c r="BG1328"/>
    </row>
    <row r="1329" spans="59:59" hidden="1" x14ac:dyDescent="0.2">
      <c r="BG1329"/>
    </row>
    <row r="1330" spans="59:59" hidden="1" x14ac:dyDescent="0.2">
      <c r="BG1330"/>
    </row>
    <row r="1331" spans="59:59" hidden="1" x14ac:dyDescent="0.2">
      <c r="BG1331"/>
    </row>
    <row r="1332" spans="59:59" hidden="1" x14ac:dyDescent="0.2">
      <c r="BG1332"/>
    </row>
    <row r="1333" spans="59:59" hidden="1" x14ac:dyDescent="0.2">
      <c r="BG1333"/>
    </row>
    <row r="1334" spans="59:59" hidden="1" x14ac:dyDescent="0.2">
      <c r="BG1334"/>
    </row>
    <row r="1335" spans="59:59" hidden="1" x14ac:dyDescent="0.2">
      <c r="BG1335"/>
    </row>
    <row r="1336" spans="59:59" hidden="1" x14ac:dyDescent="0.2">
      <c r="BG1336"/>
    </row>
    <row r="1337" spans="59:59" hidden="1" x14ac:dyDescent="0.2">
      <c r="BG1337"/>
    </row>
    <row r="1338" spans="59:59" hidden="1" x14ac:dyDescent="0.2">
      <c r="BG1338"/>
    </row>
    <row r="1339" spans="59:59" hidden="1" x14ac:dyDescent="0.2">
      <c r="BG1339"/>
    </row>
    <row r="1340" spans="59:59" hidden="1" x14ac:dyDescent="0.2">
      <c r="BG1340"/>
    </row>
    <row r="1341" spans="59:59" hidden="1" x14ac:dyDescent="0.2">
      <c r="BG1341"/>
    </row>
    <row r="1342" spans="59:59" hidden="1" x14ac:dyDescent="0.2">
      <c r="BG1342"/>
    </row>
    <row r="1343" spans="59:59" hidden="1" x14ac:dyDescent="0.2">
      <c r="BG1343"/>
    </row>
    <row r="1344" spans="59:59" hidden="1" x14ac:dyDescent="0.2">
      <c r="BG1344"/>
    </row>
    <row r="1345" spans="59:59" hidden="1" x14ac:dyDescent="0.2">
      <c r="BG1345"/>
    </row>
    <row r="1346" spans="59:59" hidden="1" x14ac:dyDescent="0.2">
      <c r="BG1346"/>
    </row>
    <row r="1347" spans="59:59" hidden="1" x14ac:dyDescent="0.2">
      <c r="BG1347"/>
    </row>
    <row r="1348" spans="59:59" hidden="1" x14ac:dyDescent="0.2">
      <c r="BG1348"/>
    </row>
    <row r="1349" spans="59:59" hidden="1" x14ac:dyDescent="0.2">
      <c r="BG1349"/>
    </row>
    <row r="1350" spans="59:59" hidden="1" x14ac:dyDescent="0.2">
      <c r="BG1350"/>
    </row>
    <row r="1351" spans="59:59" hidden="1" x14ac:dyDescent="0.2">
      <c r="BG1351"/>
    </row>
    <row r="1352" spans="59:59" hidden="1" x14ac:dyDescent="0.2">
      <c r="BG1352"/>
    </row>
    <row r="1353" spans="59:59" hidden="1" x14ac:dyDescent="0.2">
      <c r="BG1353"/>
    </row>
    <row r="1354" spans="59:59" hidden="1" x14ac:dyDescent="0.2">
      <c r="BG1354"/>
    </row>
    <row r="1355" spans="59:59" hidden="1" x14ac:dyDescent="0.2">
      <c r="BG1355"/>
    </row>
    <row r="1356" spans="59:59" hidden="1" x14ac:dyDescent="0.2">
      <c r="BG1356"/>
    </row>
    <row r="1357" spans="59:59" hidden="1" x14ac:dyDescent="0.2">
      <c r="BG1357"/>
    </row>
    <row r="1358" spans="59:59" hidden="1" x14ac:dyDescent="0.2">
      <c r="BG1358"/>
    </row>
    <row r="1359" spans="59:59" hidden="1" x14ac:dyDescent="0.2">
      <c r="BG1359"/>
    </row>
    <row r="1360" spans="59:59" hidden="1" x14ac:dyDescent="0.2">
      <c r="BG1360"/>
    </row>
    <row r="1361" spans="59:59" hidden="1" x14ac:dyDescent="0.2">
      <c r="BG1361"/>
    </row>
    <row r="1362" spans="59:59" hidden="1" x14ac:dyDescent="0.2">
      <c r="BG1362"/>
    </row>
    <row r="1363" spans="59:59" hidden="1" x14ac:dyDescent="0.2">
      <c r="BG1363"/>
    </row>
    <row r="1364" spans="59:59" hidden="1" x14ac:dyDescent="0.2">
      <c r="BG1364"/>
    </row>
    <row r="1365" spans="59:59" hidden="1" x14ac:dyDescent="0.2">
      <c r="BG1365"/>
    </row>
    <row r="1366" spans="59:59" hidden="1" x14ac:dyDescent="0.2">
      <c r="BG1366"/>
    </row>
    <row r="1367" spans="59:59" hidden="1" x14ac:dyDescent="0.2">
      <c r="BG1367"/>
    </row>
    <row r="1368" spans="59:59" hidden="1" x14ac:dyDescent="0.2">
      <c r="BG1368"/>
    </row>
    <row r="1369" spans="59:59" hidden="1" x14ac:dyDescent="0.2">
      <c r="BG1369"/>
    </row>
    <row r="1370" spans="59:59" hidden="1" x14ac:dyDescent="0.2">
      <c r="BG1370"/>
    </row>
    <row r="1371" spans="59:59" hidden="1" x14ac:dyDescent="0.2">
      <c r="BG1371"/>
    </row>
    <row r="1372" spans="59:59" hidden="1" x14ac:dyDescent="0.2">
      <c r="BG1372"/>
    </row>
    <row r="1373" spans="59:59" hidden="1" x14ac:dyDescent="0.2">
      <c r="BG1373"/>
    </row>
    <row r="1374" spans="59:59" hidden="1" x14ac:dyDescent="0.2">
      <c r="BG1374"/>
    </row>
    <row r="1375" spans="59:59" hidden="1" x14ac:dyDescent="0.2">
      <c r="BG1375"/>
    </row>
    <row r="1376" spans="59:59" hidden="1" x14ac:dyDescent="0.2">
      <c r="BG1376"/>
    </row>
    <row r="1377" spans="59:59" hidden="1" x14ac:dyDescent="0.2">
      <c r="BG1377"/>
    </row>
    <row r="1378" spans="59:59" hidden="1" x14ac:dyDescent="0.2">
      <c r="BG1378"/>
    </row>
    <row r="1379" spans="59:59" hidden="1" x14ac:dyDescent="0.2">
      <c r="BG1379"/>
    </row>
    <row r="1380" spans="59:59" hidden="1" x14ac:dyDescent="0.2">
      <c r="BG1380"/>
    </row>
    <row r="1381" spans="59:59" hidden="1" x14ac:dyDescent="0.2">
      <c r="BG1381"/>
    </row>
    <row r="1382" spans="59:59" hidden="1" x14ac:dyDescent="0.2">
      <c r="BG1382"/>
    </row>
    <row r="1383" spans="59:59" hidden="1" x14ac:dyDescent="0.2">
      <c r="BG1383"/>
    </row>
    <row r="1384" spans="59:59" hidden="1" x14ac:dyDescent="0.2">
      <c r="BG1384"/>
    </row>
    <row r="1385" spans="59:59" hidden="1" x14ac:dyDescent="0.2">
      <c r="BG1385"/>
    </row>
    <row r="1386" spans="59:59" hidden="1" x14ac:dyDescent="0.2">
      <c r="BG1386"/>
    </row>
    <row r="1387" spans="59:59" hidden="1" x14ac:dyDescent="0.2">
      <c r="BG1387"/>
    </row>
    <row r="1388" spans="59:59" hidden="1" x14ac:dyDescent="0.2">
      <c r="BG1388"/>
    </row>
    <row r="1389" spans="59:59" hidden="1" x14ac:dyDescent="0.2">
      <c r="BG1389"/>
    </row>
    <row r="1390" spans="59:59" hidden="1" x14ac:dyDescent="0.2">
      <c r="BG1390"/>
    </row>
    <row r="1391" spans="59:59" hidden="1" x14ac:dyDescent="0.2">
      <c r="BG1391"/>
    </row>
    <row r="1392" spans="59:59" hidden="1" x14ac:dyDescent="0.2">
      <c r="BG1392"/>
    </row>
    <row r="1393" spans="59:59" hidden="1" x14ac:dyDescent="0.2">
      <c r="BG1393"/>
    </row>
    <row r="1394" spans="59:59" hidden="1" x14ac:dyDescent="0.2">
      <c r="BG1394"/>
    </row>
    <row r="1395" spans="59:59" hidden="1" x14ac:dyDescent="0.2">
      <c r="BG1395"/>
    </row>
    <row r="1396" spans="59:59" hidden="1" x14ac:dyDescent="0.2">
      <c r="BG1396"/>
    </row>
    <row r="1397" spans="59:59" hidden="1" x14ac:dyDescent="0.2">
      <c r="BG1397"/>
    </row>
    <row r="1398" spans="59:59" hidden="1" x14ac:dyDescent="0.2">
      <c r="BG1398"/>
    </row>
    <row r="1399" spans="59:59" hidden="1" x14ac:dyDescent="0.2">
      <c r="BG1399"/>
    </row>
    <row r="1400" spans="59:59" hidden="1" x14ac:dyDescent="0.2">
      <c r="BG1400"/>
    </row>
    <row r="1401" spans="59:59" hidden="1" x14ac:dyDescent="0.2">
      <c r="BG1401"/>
    </row>
    <row r="1402" spans="59:59" hidden="1" x14ac:dyDescent="0.2">
      <c r="BG1402"/>
    </row>
    <row r="1403" spans="59:59" hidden="1" x14ac:dyDescent="0.2">
      <c r="BG1403"/>
    </row>
    <row r="1404" spans="59:59" hidden="1" x14ac:dyDescent="0.2">
      <c r="BG1404"/>
    </row>
    <row r="1405" spans="59:59" hidden="1" x14ac:dyDescent="0.2">
      <c r="BG1405"/>
    </row>
    <row r="1406" spans="59:59" hidden="1" x14ac:dyDescent="0.2">
      <c r="BG1406"/>
    </row>
    <row r="1407" spans="59:59" hidden="1" x14ac:dyDescent="0.2">
      <c r="BG1407"/>
    </row>
    <row r="1408" spans="59:59" hidden="1" x14ac:dyDescent="0.2">
      <c r="BG1408"/>
    </row>
    <row r="1409" spans="59:59" hidden="1" x14ac:dyDescent="0.2">
      <c r="BG1409"/>
    </row>
    <row r="1410" spans="59:59" hidden="1" x14ac:dyDescent="0.2">
      <c r="BG1410"/>
    </row>
    <row r="1411" spans="59:59" hidden="1" x14ac:dyDescent="0.2">
      <c r="BG1411"/>
    </row>
    <row r="1412" spans="59:59" hidden="1" x14ac:dyDescent="0.2">
      <c r="BG1412"/>
    </row>
    <row r="1413" spans="59:59" hidden="1" x14ac:dyDescent="0.2">
      <c r="BG1413"/>
    </row>
    <row r="1414" spans="59:59" hidden="1" x14ac:dyDescent="0.2">
      <c r="BG1414"/>
    </row>
    <row r="1415" spans="59:59" hidden="1" x14ac:dyDescent="0.2">
      <c r="BG1415"/>
    </row>
    <row r="1416" spans="59:59" hidden="1" x14ac:dyDescent="0.2">
      <c r="BG1416"/>
    </row>
    <row r="1417" spans="59:59" hidden="1" x14ac:dyDescent="0.2">
      <c r="BG1417"/>
    </row>
    <row r="1418" spans="59:59" hidden="1" x14ac:dyDescent="0.2">
      <c r="BG1418"/>
    </row>
    <row r="1419" spans="59:59" hidden="1" x14ac:dyDescent="0.2">
      <c r="BG1419"/>
    </row>
    <row r="1420" spans="59:59" hidden="1" x14ac:dyDescent="0.2">
      <c r="BG1420"/>
    </row>
    <row r="1421" spans="59:59" hidden="1" x14ac:dyDescent="0.2">
      <c r="BG1421"/>
    </row>
    <row r="1422" spans="59:59" hidden="1" x14ac:dyDescent="0.2">
      <c r="BG1422"/>
    </row>
    <row r="1423" spans="59:59" hidden="1" x14ac:dyDescent="0.2">
      <c r="BG1423"/>
    </row>
    <row r="1424" spans="59:59" hidden="1" x14ac:dyDescent="0.2">
      <c r="BG1424"/>
    </row>
    <row r="1425" spans="59:59" hidden="1" x14ac:dyDescent="0.2">
      <c r="BG1425"/>
    </row>
    <row r="1426" spans="59:59" hidden="1" x14ac:dyDescent="0.2">
      <c r="BG1426"/>
    </row>
    <row r="1427" spans="59:59" hidden="1" x14ac:dyDescent="0.2">
      <c r="BG1427"/>
    </row>
    <row r="1428" spans="59:59" hidden="1" x14ac:dyDescent="0.2">
      <c r="BG1428"/>
    </row>
    <row r="1429" spans="59:59" hidden="1" x14ac:dyDescent="0.2">
      <c r="BG1429"/>
    </row>
    <row r="1430" spans="59:59" hidden="1" x14ac:dyDescent="0.2">
      <c r="BG1430"/>
    </row>
    <row r="1431" spans="59:59" hidden="1" x14ac:dyDescent="0.2">
      <c r="BG1431"/>
    </row>
    <row r="1432" spans="59:59" hidden="1" x14ac:dyDescent="0.2">
      <c r="BG1432"/>
    </row>
    <row r="1433" spans="59:59" hidden="1" x14ac:dyDescent="0.2">
      <c r="BG1433"/>
    </row>
    <row r="1434" spans="59:59" hidden="1" x14ac:dyDescent="0.2">
      <c r="BG1434"/>
    </row>
    <row r="1435" spans="59:59" hidden="1" x14ac:dyDescent="0.2">
      <c r="BG1435"/>
    </row>
    <row r="1436" spans="59:59" hidden="1" x14ac:dyDescent="0.2">
      <c r="BG1436"/>
    </row>
    <row r="1437" spans="59:59" hidden="1" x14ac:dyDescent="0.2">
      <c r="BG1437"/>
    </row>
    <row r="1438" spans="59:59" hidden="1" x14ac:dyDescent="0.2">
      <c r="BG1438"/>
    </row>
    <row r="1439" spans="59:59" hidden="1" x14ac:dyDescent="0.2">
      <c r="BG1439"/>
    </row>
    <row r="1440" spans="59:59" hidden="1" x14ac:dyDescent="0.2">
      <c r="BG1440"/>
    </row>
    <row r="1441" spans="59:59" hidden="1" x14ac:dyDescent="0.2">
      <c r="BG1441"/>
    </row>
    <row r="1442" spans="59:59" hidden="1" x14ac:dyDescent="0.2">
      <c r="BG1442"/>
    </row>
    <row r="1443" spans="59:59" hidden="1" x14ac:dyDescent="0.2">
      <c r="BG1443"/>
    </row>
    <row r="1444" spans="59:59" hidden="1" x14ac:dyDescent="0.2">
      <c r="BG1444"/>
    </row>
    <row r="1445" spans="59:59" hidden="1" x14ac:dyDescent="0.2">
      <c r="BG1445"/>
    </row>
    <row r="1446" spans="59:59" hidden="1" x14ac:dyDescent="0.2">
      <c r="BG1446"/>
    </row>
    <row r="1447" spans="59:59" hidden="1" x14ac:dyDescent="0.2">
      <c r="BG1447"/>
    </row>
    <row r="1448" spans="59:59" hidden="1" x14ac:dyDescent="0.2">
      <c r="BG1448"/>
    </row>
    <row r="1449" spans="59:59" hidden="1" x14ac:dyDescent="0.2">
      <c r="BG1449"/>
    </row>
    <row r="1450" spans="59:59" hidden="1" x14ac:dyDescent="0.2">
      <c r="BG1450"/>
    </row>
    <row r="1451" spans="59:59" hidden="1" x14ac:dyDescent="0.2">
      <c r="BG1451"/>
    </row>
    <row r="1452" spans="59:59" hidden="1" x14ac:dyDescent="0.2">
      <c r="BG1452"/>
    </row>
    <row r="1453" spans="59:59" hidden="1" x14ac:dyDescent="0.2">
      <c r="BG1453"/>
    </row>
    <row r="1454" spans="59:59" hidden="1" x14ac:dyDescent="0.2">
      <c r="BG1454"/>
    </row>
    <row r="1455" spans="59:59" hidden="1" x14ac:dyDescent="0.2">
      <c r="BG1455"/>
    </row>
    <row r="1456" spans="59:59" hidden="1" x14ac:dyDescent="0.2">
      <c r="BG1456"/>
    </row>
    <row r="1457" spans="59:59" hidden="1" x14ac:dyDescent="0.2">
      <c r="BG1457"/>
    </row>
    <row r="1458" spans="59:59" hidden="1" x14ac:dyDescent="0.2">
      <c r="BG1458"/>
    </row>
    <row r="1459" spans="59:59" hidden="1" x14ac:dyDescent="0.2">
      <c r="BG1459"/>
    </row>
    <row r="1460" spans="59:59" hidden="1" x14ac:dyDescent="0.2">
      <c r="BG1460"/>
    </row>
    <row r="1461" spans="59:59" hidden="1" x14ac:dyDescent="0.2">
      <c r="BG1461"/>
    </row>
    <row r="1462" spans="59:59" hidden="1" x14ac:dyDescent="0.2">
      <c r="BG1462"/>
    </row>
    <row r="1463" spans="59:59" hidden="1" x14ac:dyDescent="0.2">
      <c r="BG1463"/>
    </row>
    <row r="1464" spans="59:59" hidden="1" x14ac:dyDescent="0.2">
      <c r="BG1464"/>
    </row>
    <row r="1465" spans="59:59" hidden="1" x14ac:dyDescent="0.2">
      <c r="BG1465"/>
    </row>
    <row r="1466" spans="59:59" hidden="1" x14ac:dyDescent="0.2">
      <c r="BG1466"/>
    </row>
    <row r="1467" spans="59:59" hidden="1" x14ac:dyDescent="0.2">
      <c r="BG1467"/>
    </row>
    <row r="1468" spans="59:59" hidden="1" x14ac:dyDescent="0.2">
      <c r="BG1468"/>
    </row>
    <row r="1469" spans="59:59" hidden="1" x14ac:dyDescent="0.2">
      <c r="BG1469"/>
    </row>
    <row r="1470" spans="59:59" hidden="1" x14ac:dyDescent="0.2">
      <c r="BG1470"/>
    </row>
    <row r="1471" spans="59:59" hidden="1" x14ac:dyDescent="0.2">
      <c r="BG1471"/>
    </row>
    <row r="1472" spans="59:59" hidden="1" x14ac:dyDescent="0.2">
      <c r="BG1472"/>
    </row>
    <row r="1473" spans="59:59" hidden="1" x14ac:dyDescent="0.2">
      <c r="BG1473"/>
    </row>
    <row r="1474" spans="59:59" hidden="1" x14ac:dyDescent="0.2">
      <c r="BG1474"/>
    </row>
    <row r="1475" spans="59:59" hidden="1" x14ac:dyDescent="0.2">
      <c r="BG1475"/>
    </row>
    <row r="1476" spans="59:59" hidden="1" x14ac:dyDescent="0.2">
      <c r="BG1476"/>
    </row>
    <row r="1477" spans="59:59" hidden="1" x14ac:dyDescent="0.2">
      <c r="BG1477"/>
    </row>
    <row r="1478" spans="59:59" hidden="1" x14ac:dyDescent="0.2">
      <c r="BG1478"/>
    </row>
    <row r="1479" spans="59:59" hidden="1" x14ac:dyDescent="0.2">
      <c r="BG1479"/>
    </row>
    <row r="1480" spans="59:59" hidden="1" x14ac:dyDescent="0.2">
      <c r="BG1480"/>
    </row>
    <row r="1481" spans="59:59" hidden="1" x14ac:dyDescent="0.2">
      <c r="BG1481"/>
    </row>
    <row r="1482" spans="59:59" hidden="1" x14ac:dyDescent="0.2">
      <c r="BG1482"/>
    </row>
    <row r="1483" spans="59:59" hidden="1" x14ac:dyDescent="0.2">
      <c r="BG1483"/>
    </row>
    <row r="1484" spans="59:59" hidden="1" x14ac:dyDescent="0.2">
      <c r="BG1484"/>
    </row>
    <row r="1485" spans="59:59" hidden="1" x14ac:dyDescent="0.2">
      <c r="BG1485"/>
    </row>
    <row r="1486" spans="59:59" hidden="1" x14ac:dyDescent="0.2">
      <c r="BG1486"/>
    </row>
    <row r="1487" spans="59:59" hidden="1" x14ac:dyDescent="0.2">
      <c r="BG1487"/>
    </row>
    <row r="1488" spans="59:59" hidden="1" x14ac:dyDescent="0.2">
      <c r="BG1488"/>
    </row>
    <row r="1489" spans="59:59" hidden="1" x14ac:dyDescent="0.2">
      <c r="BG1489"/>
    </row>
    <row r="1490" spans="59:59" hidden="1" x14ac:dyDescent="0.2">
      <c r="BG1490"/>
    </row>
    <row r="1491" spans="59:59" hidden="1" x14ac:dyDescent="0.2">
      <c r="BG1491"/>
    </row>
    <row r="1492" spans="59:59" hidden="1" x14ac:dyDescent="0.2">
      <c r="BG1492"/>
    </row>
    <row r="1493" spans="59:59" hidden="1" x14ac:dyDescent="0.2">
      <c r="BG1493"/>
    </row>
    <row r="1494" spans="59:59" hidden="1" x14ac:dyDescent="0.2">
      <c r="BG1494"/>
    </row>
    <row r="1495" spans="59:59" hidden="1" x14ac:dyDescent="0.2">
      <c r="BG1495"/>
    </row>
    <row r="1496" spans="59:59" hidden="1" x14ac:dyDescent="0.2">
      <c r="BG1496"/>
    </row>
    <row r="1497" spans="59:59" hidden="1" x14ac:dyDescent="0.2">
      <c r="BG1497"/>
    </row>
    <row r="1498" spans="59:59" hidden="1" x14ac:dyDescent="0.2">
      <c r="BG1498"/>
    </row>
    <row r="1499" spans="59:59" hidden="1" x14ac:dyDescent="0.2">
      <c r="BG1499"/>
    </row>
    <row r="1500" spans="59:59" hidden="1" x14ac:dyDescent="0.2">
      <c r="BG1500"/>
    </row>
    <row r="1501" spans="59:59" hidden="1" x14ac:dyDescent="0.2">
      <c r="BG1501"/>
    </row>
    <row r="1502" spans="59:59" hidden="1" x14ac:dyDescent="0.2">
      <c r="BG1502"/>
    </row>
    <row r="1503" spans="59:59" hidden="1" x14ac:dyDescent="0.2">
      <c r="BG1503"/>
    </row>
    <row r="1504" spans="59:59" hidden="1" x14ac:dyDescent="0.2">
      <c r="BG1504"/>
    </row>
    <row r="1505" spans="59:59" hidden="1" x14ac:dyDescent="0.2">
      <c r="BG1505"/>
    </row>
    <row r="1506" spans="59:59" hidden="1" x14ac:dyDescent="0.2">
      <c r="BG1506"/>
    </row>
    <row r="1507" spans="59:59" hidden="1" x14ac:dyDescent="0.2">
      <c r="BG1507"/>
    </row>
    <row r="1508" spans="59:59" hidden="1" x14ac:dyDescent="0.2">
      <c r="BG1508"/>
    </row>
    <row r="1509" spans="59:59" hidden="1" x14ac:dyDescent="0.2">
      <c r="BG1509"/>
    </row>
    <row r="1510" spans="59:59" hidden="1" x14ac:dyDescent="0.2">
      <c r="BG1510"/>
    </row>
    <row r="1511" spans="59:59" hidden="1" x14ac:dyDescent="0.2">
      <c r="BG1511"/>
    </row>
    <row r="1512" spans="59:59" hidden="1" x14ac:dyDescent="0.2">
      <c r="BG1512"/>
    </row>
    <row r="1513" spans="59:59" hidden="1" x14ac:dyDescent="0.2">
      <c r="BG1513"/>
    </row>
    <row r="1514" spans="59:59" hidden="1" x14ac:dyDescent="0.2">
      <c r="BG1514"/>
    </row>
    <row r="1515" spans="59:59" hidden="1" x14ac:dyDescent="0.2">
      <c r="BG1515"/>
    </row>
    <row r="1516" spans="59:59" hidden="1" x14ac:dyDescent="0.2">
      <c r="BG1516"/>
    </row>
    <row r="1517" spans="59:59" hidden="1" x14ac:dyDescent="0.2">
      <c r="BG1517"/>
    </row>
    <row r="1518" spans="59:59" hidden="1" x14ac:dyDescent="0.2">
      <c r="BG1518"/>
    </row>
    <row r="1519" spans="59:59" hidden="1" x14ac:dyDescent="0.2">
      <c r="BG1519"/>
    </row>
    <row r="1520" spans="59:59" hidden="1" x14ac:dyDescent="0.2">
      <c r="BG1520"/>
    </row>
    <row r="1521" spans="59:59" hidden="1" x14ac:dyDescent="0.2">
      <c r="BG1521"/>
    </row>
    <row r="1522" spans="59:59" hidden="1" x14ac:dyDescent="0.2">
      <c r="BG1522"/>
    </row>
    <row r="1523" spans="59:59" hidden="1" x14ac:dyDescent="0.2">
      <c r="BG1523"/>
    </row>
    <row r="1524" spans="59:59" hidden="1" x14ac:dyDescent="0.2">
      <c r="BG1524"/>
    </row>
    <row r="1525" spans="59:59" hidden="1" x14ac:dyDescent="0.2">
      <c r="BG1525"/>
    </row>
    <row r="1526" spans="59:59" hidden="1" x14ac:dyDescent="0.2">
      <c r="BG1526"/>
    </row>
    <row r="1527" spans="59:59" hidden="1" x14ac:dyDescent="0.2">
      <c r="BG1527"/>
    </row>
    <row r="1528" spans="59:59" hidden="1" x14ac:dyDescent="0.2">
      <c r="BG1528"/>
    </row>
    <row r="1529" spans="59:59" hidden="1" x14ac:dyDescent="0.2">
      <c r="BG1529"/>
    </row>
    <row r="1530" spans="59:59" hidden="1" x14ac:dyDescent="0.2">
      <c r="BG1530"/>
    </row>
    <row r="1531" spans="59:59" hidden="1" x14ac:dyDescent="0.2">
      <c r="BG1531"/>
    </row>
    <row r="1532" spans="59:59" hidden="1" x14ac:dyDescent="0.2">
      <c r="BG1532"/>
    </row>
    <row r="1533" spans="59:59" hidden="1" x14ac:dyDescent="0.2">
      <c r="BG1533"/>
    </row>
    <row r="1534" spans="59:59" hidden="1" x14ac:dyDescent="0.2">
      <c r="BG1534"/>
    </row>
    <row r="1535" spans="59:59" hidden="1" x14ac:dyDescent="0.2">
      <c r="BG1535"/>
    </row>
    <row r="1536" spans="59:59" hidden="1" x14ac:dyDescent="0.2">
      <c r="BG1536"/>
    </row>
    <row r="1537" spans="59:59" hidden="1" x14ac:dyDescent="0.2">
      <c r="BG1537"/>
    </row>
    <row r="1538" spans="59:59" hidden="1" x14ac:dyDescent="0.2">
      <c r="BG1538"/>
    </row>
    <row r="1539" spans="59:59" hidden="1" x14ac:dyDescent="0.2">
      <c r="BG1539"/>
    </row>
    <row r="1540" spans="59:59" hidden="1" x14ac:dyDescent="0.2">
      <c r="BG1540"/>
    </row>
    <row r="1541" spans="59:59" hidden="1" x14ac:dyDescent="0.2">
      <c r="BG1541"/>
    </row>
    <row r="1542" spans="59:59" hidden="1" x14ac:dyDescent="0.2">
      <c r="BG1542"/>
    </row>
    <row r="1543" spans="59:59" hidden="1" x14ac:dyDescent="0.2">
      <c r="BG1543"/>
    </row>
    <row r="1544" spans="59:59" hidden="1" x14ac:dyDescent="0.2">
      <c r="BG1544"/>
    </row>
    <row r="1545" spans="59:59" hidden="1" x14ac:dyDescent="0.2">
      <c r="BG1545"/>
    </row>
    <row r="1546" spans="59:59" hidden="1" x14ac:dyDescent="0.2">
      <c r="BG1546"/>
    </row>
    <row r="1547" spans="59:59" hidden="1" x14ac:dyDescent="0.2">
      <c r="BG1547"/>
    </row>
    <row r="1548" spans="59:59" hidden="1" x14ac:dyDescent="0.2">
      <c r="BG1548"/>
    </row>
    <row r="1549" spans="59:59" hidden="1" x14ac:dyDescent="0.2">
      <c r="BG1549"/>
    </row>
    <row r="1550" spans="59:59" hidden="1" x14ac:dyDescent="0.2">
      <c r="BG1550"/>
    </row>
    <row r="1551" spans="59:59" hidden="1" x14ac:dyDescent="0.2">
      <c r="BG1551"/>
    </row>
    <row r="1552" spans="59:59" hidden="1" x14ac:dyDescent="0.2">
      <c r="BG1552"/>
    </row>
    <row r="1553" spans="59:59" hidden="1" x14ac:dyDescent="0.2">
      <c r="BG1553"/>
    </row>
    <row r="1554" spans="59:59" hidden="1" x14ac:dyDescent="0.2">
      <c r="BG1554"/>
    </row>
    <row r="1555" spans="59:59" hidden="1" x14ac:dyDescent="0.2">
      <c r="BG1555"/>
    </row>
    <row r="1556" spans="59:59" hidden="1" x14ac:dyDescent="0.2">
      <c r="BG1556"/>
    </row>
    <row r="1557" spans="59:59" hidden="1" x14ac:dyDescent="0.2">
      <c r="BG1557"/>
    </row>
    <row r="1558" spans="59:59" hidden="1" x14ac:dyDescent="0.2">
      <c r="BG1558"/>
    </row>
    <row r="1559" spans="59:59" hidden="1" x14ac:dyDescent="0.2">
      <c r="BG1559"/>
    </row>
    <row r="1560" spans="59:59" hidden="1" x14ac:dyDescent="0.2">
      <c r="BG1560"/>
    </row>
    <row r="1561" spans="59:59" hidden="1" x14ac:dyDescent="0.2">
      <c r="BG1561"/>
    </row>
    <row r="1562" spans="59:59" hidden="1" x14ac:dyDescent="0.2">
      <c r="BG1562"/>
    </row>
    <row r="1563" spans="59:59" hidden="1" x14ac:dyDescent="0.2">
      <c r="BG1563"/>
    </row>
    <row r="1564" spans="59:59" hidden="1" x14ac:dyDescent="0.2">
      <c r="BG1564"/>
    </row>
    <row r="1565" spans="59:59" hidden="1" x14ac:dyDescent="0.2">
      <c r="BG1565"/>
    </row>
    <row r="1566" spans="59:59" hidden="1" x14ac:dyDescent="0.2">
      <c r="BG1566"/>
    </row>
    <row r="1567" spans="59:59" hidden="1" x14ac:dyDescent="0.2">
      <c r="BG1567"/>
    </row>
    <row r="1568" spans="59:59" hidden="1" x14ac:dyDescent="0.2">
      <c r="BG1568"/>
    </row>
    <row r="1569" spans="59:59" hidden="1" x14ac:dyDescent="0.2">
      <c r="BG1569"/>
    </row>
    <row r="1570" spans="59:59" hidden="1" x14ac:dyDescent="0.2">
      <c r="BG1570"/>
    </row>
    <row r="1571" spans="59:59" hidden="1" x14ac:dyDescent="0.2">
      <c r="BG1571"/>
    </row>
    <row r="1572" spans="59:59" hidden="1" x14ac:dyDescent="0.2">
      <c r="BG1572"/>
    </row>
    <row r="1573" spans="59:59" hidden="1" x14ac:dyDescent="0.2">
      <c r="BG1573"/>
    </row>
    <row r="1574" spans="59:59" hidden="1" x14ac:dyDescent="0.2">
      <c r="BG1574"/>
    </row>
    <row r="1575" spans="59:59" hidden="1" x14ac:dyDescent="0.2">
      <c r="BG1575"/>
    </row>
    <row r="1576" spans="59:59" hidden="1" x14ac:dyDescent="0.2">
      <c r="BG1576"/>
    </row>
    <row r="1577" spans="59:59" hidden="1" x14ac:dyDescent="0.2">
      <c r="BG1577"/>
    </row>
    <row r="1578" spans="59:59" hidden="1" x14ac:dyDescent="0.2">
      <c r="BG1578"/>
    </row>
    <row r="1579" spans="59:59" hidden="1" x14ac:dyDescent="0.2">
      <c r="BG1579"/>
    </row>
    <row r="1580" spans="59:59" hidden="1" x14ac:dyDescent="0.2">
      <c r="BG1580"/>
    </row>
    <row r="1581" spans="59:59" hidden="1" x14ac:dyDescent="0.2">
      <c r="BG1581"/>
    </row>
    <row r="1582" spans="59:59" hidden="1" x14ac:dyDescent="0.2">
      <c r="BG1582"/>
    </row>
    <row r="1583" spans="59:59" hidden="1" x14ac:dyDescent="0.2">
      <c r="BG1583"/>
    </row>
    <row r="1584" spans="59:59" hidden="1" x14ac:dyDescent="0.2">
      <c r="BG1584"/>
    </row>
    <row r="1585" spans="59:59" hidden="1" x14ac:dyDescent="0.2">
      <c r="BG1585"/>
    </row>
    <row r="1586" spans="59:59" hidden="1" x14ac:dyDescent="0.2">
      <c r="BG1586"/>
    </row>
    <row r="1587" spans="59:59" hidden="1" x14ac:dyDescent="0.2">
      <c r="BG1587"/>
    </row>
    <row r="1588" spans="59:59" hidden="1" x14ac:dyDescent="0.2">
      <c r="BG1588"/>
    </row>
    <row r="1589" spans="59:59" hidden="1" x14ac:dyDescent="0.2">
      <c r="BG1589"/>
    </row>
    <row r="1590" spans="59:59" hidden="1" x14ac:dyDescent="0.2">
      <c r="BG1590"/>
    </row>
    <row r="1591" spans="59:59" hidden="1" x14ac:dyDescent="0.2">
      <c r="BG1591"/>
    </row>
    <row r="1592" spans="59:59" hidden="1" x14ac:dyDescent="0.2">
      <c r="BG1592"/>
    </row>
    <row r="1593" spans="59:59" hidden="1" x14ac:dyDescent="0.2">
      <c r="BG1593"/>
    </row>
    <row r="1594" spans="59:59" hidden="1" x14ac:dyDescent="0.2">
      <c r="BG1594"/>
    </row>
    <row r="1595" spans="59:59" hidden="1" x14ac:dyDescent="0.2">
      <c r="BG1595"/>
    </row>
    <row r="1596" spans="59:59" hidden="1" x14ac:dyDescent="0.2">
      <c r="BG1596"/>
    </row>
    <row r="1597" spans="59:59" hidden="1" x14ac:dyDescent="0.2">
      <c r="BG1597"/>
    </row>
    <row r="1598" spans="59:59" hidden="1" x14ac:dyDescent="0.2">
      <c r="BG1598"/>
    </row>
    <row r="1599" spans="59:59" hidden="1" x14ac:dyDescent="0.2">
      <c r="BG1599"/>
    </row>
    <row r="1600" spans="59:59" hidden="1" x14ac:dyDescent="0.2">
      <c r="BG1600"/>
    </row>
    <row r="1601" spans="59:59" hidden="1" x14ac:dyDescent="0.2">
      <c r="BG1601"/>
    </row>
    <row r="1602" spans="59:59" hidden="1" x14ac:dyDescent="0.2">
      <c r="BG1602"/>
    </row>
    <row r="1603" spans="59:59" hidden="1" x14ac:dyDescent="0.2">
      <c r="BG1603"/>
    </row>
    <row r="1604" spans="59:59" hidden="1" x14ac:dyDescent="0.2">
      <c r="BG1604"/>
    </row>
    <row r="1605" spans="59:59" hidden="1" x14ac:dyDescent="0.2">
      <c r="BG1605"/>
    </row>
    <row r="1606" spans="59:59" hidden="1" x14ac:dyDescent="0.2">
      <c r="BG1606"/>
    </row>
    <row r="1607" spans="59:59" hidden="1" x14ac:dyDescent="0.2">
      <c r="BG1607"/>
    </row>
    <row r="1608" spans="59:59" hidden="1" x14ac:dyDescent="0.2">
      <c r="BG1608"/>
    </row>
    <row r="1609" spans="59:59" hidden="1" x14ac:dyDescent="0.2">
      <c r="BG1609"/>
    </row>
    <row r="1610" spans="59:59" hidden="1" x14ac:dyDescent="0.2">
      <c r="BG1610"/>
    </row>
    <row r="1611" spans="59:59" hidden="1" x14ac:dyDescent="0.2">
      <c r="BG1611"/>
    </row>
    <row r="1612" spans="59:59" hidden="1" x14ac:dyDescent="0.2">
      <c r="BG1612"/>
    </row>
    <row r="1613" spans="59:59" hidden="1" x14ac:dyDescent="0.2">
      <c r="BG1613"/>
    </row>
    <row r="1614" spans="59:59" hidden="1" x14ac:dyDescent="0.2">
      <c r="BG1614"/>
    </row>
    <row r="1615" spans="59:59" hidden="1" x14ac:dyDescent="0.2">
      <c r="BG1615"/>
    </row>
    <row r="1616" spans="59:59" hidden="1" x14ac:dyDescent="0.2">
      <c r="BG1616"/>
    </row>
    <row r="1617" spans="59:59" hidden="1" x14ac:dyDescent="0.2">
      <c r="BG1617"/>
    </row>
    <row r="1618" spans="59:59" hidden="1" x14ac:dyDescent="0.2">
      <c r="BG1618"/>
    </row>
    <row r="1619" spans="59:59" hidden="1" x14ac:dyDescent="0.2">
      <c r="BG1619"/>
    </row>
    <row r="1620" spans="59:59" hidden="1" x14ac:dyDescent="0.2">
      <c r="BG1620"/>
    </row>
    <row r="1621" spans="59:59" hidden="1" x14ac:dyDescent="0.2">
      <c r="BG1621"/>
    </row>
    <row r="1622" spans="59:59" hidden="1" x14ac:dyDescent="0.2">
      <c r="BG1622"/>
    </row>
    <row r="1623" spans="59:59" hidden="1" x14ac:dyDescent="0.2">
      <c r="BG1623"/>
    </row>
    <row r="1624" spans="59:59" hidden="1" x14ac:dyDescent="0.2">
      <c r="BG1624"/>
    </row>
    <row r="1625" spans="59:59" hidden="1" x14ac:dyDescent="0.2">
      <c r="BG1625"/>
    </row>
    <row r="1626" spans="59:59" hidden="1" x14ac:dyDescent="0.2">
      <c r="BG1626"/>
    </row>
    <row r="1627" spans="59:59" hidden="1" x14ac:dyDescent="0.2">
      <c r="BG1627"/>
    </row>
    <row r="1628" spans="59:59" hidden="1" x14ac:dyDescent="0.2">
      <c r="BG1628"/>
    </row>
    <row r="1629" spans="59:59" hidden="1" x14ac:dyDescent="0.2">
      <c r="BG1629"/>
    </row>
    <row r="1630" spans="59:59" hidden="1" x14ac:dyDescent="0.2">
      <c r="BG1630"/>
    </row>
    <row r="1631" spans="59:59" hidden="1" x14ac:dyDescent="0.2">
      <c r="BG1631"/>
    </row>
    <row r="1632" spans="59:59" hidden="1" x14ac:dyDescent="0.2">
      <c r="BG1632"/>
    </row>
    <row r="1633" spans="59:59" hidden="1" x14ac:dyDescent="0.2">
      <c r="BG1633"/>
    </row>
    <row r="1634" spans="59:59" hidden="1" x14ac:dyDescent="0.2">
      <c r="BG1634"/>
    </row>
    <row r="1635" spans="59:59" hidden="1" x14ac:dyDescent="0.2">
      <c r="BG1635"/>
    </row>
    <row r="1636" spans="59:59" hidden="1" x14ac:dyDescent="0.2">
      <c r="BG1636"/>
    </row>
    <row r="1637" spans="59:59" hidden="1" x14ac:dyDescent="0.2">
      <c r="BG1637"/>
    </row>
    <row r="1638" spans="59:59" hidden="1" x14ac:dyDescent="0.2">
      <c r="BG1638"/>
    </row>
    <row r="1639" spans="59:59" hidden="1" x14ac:dyDescent="0.2">
      <c r="BG1639"/>
    </row>
    <row r="1640" spans="59:59" hidden="1" x14ac:dyDescent="0.2">
      <c r="BG1640"/>
    </row>
    <row r="1641" spans="59:59" hidden="1" x14ac:dyDescent="0.2">
      <c r="BG1641"/>
    </row>
    <row r="1642" spans="59:59" hidden="1" x14ac:dyDescent="0.2">
      <c r="BG1642"/>
    </row>
    <row r="1643" spans="59:59" hidden="1" x14ac:dyDescent="0.2">
      <c r="BG1643"/>
    </row>
    <row r="1644" spans="59:59" hidden="1" x14ac:dyDescent="0.2">
      <c r="BG1644"/>
    </row>
    <row r="1645" spans="59:59" hidden="1" x14ac:dyDescent="0.2">
      <c r="BG1645"/>
    </row>
    <row r="1646" spans="59:59" hidden="1" x14ac:dyDescent="0.2">
      <c r="BG1646"/>
    </row>
    <row r="1647" spans="59:59" hidden="1" x14ac:dyDescent="0.2">
      <c r="BG1647"/>
    </row>
    <row r="1648" spans="59:59" hidden="1" x14ac:dyDescent="0.2">
      <c r="BG1648"/>
    </row>
    <row r="1649" spans="59:59" hidden="1" x14ac:dyDescent="0.2">
      <c r="BG1649"/>
    </row>
    <row r="1650" spans="59:59" hidden="1" x14ac:dyDescent="0.2">
      <c r="BG1650"/>
    </row>
    <row r="1651" spans="59:59" hidden="1" x14ac:dyDescent="0.2">
      <c r="BG1651"/>
    </row>
    <row r="1652" spans="59:59" hidden="1" x14ac:dyDescent="0.2">
      <c r="BG1652"/>
    </row>
    <row r="1653" spans="59:59" hidden="1" x14ac:dyDescent="0.2">
      <c r="BG1653"/>
    </row>
    <row r="1654" spans="59:59" hidden="1" x14ac:dyDescent="0.2">
      <c r="BG1654"/>
    </row>
    <row r="1655" spans="59:59" hidden="1" x14ac:dyDescent="0.2">
      <c r="BG1655"/>
    </row>
    <row r="1656" spans="59:59" hidden="1" x14ac:dyDescent="0.2">
      <c r="BG1656"/>
    </row>
    <row r="1657" spans="59:59" hidden="1" x14ac:dyDescent="0.2">
      <c r="BG1657"/>
    </row>
    <row r="1658" spans="59:59" hidden="1" x14ac:dyDescent="0.2">
      <c r="BG1658"/>
    </row>
    <row r="1659" spans="59:59" hidden="1" x14ac:dyDescent="0.2">
      <c r="BG1659"/>
    </row>
    <row r="1660" spans="59:59" hidden="1" x14ac:dyDescent="0.2">
      <c r="BG1660"/>
    </row>
    <row r="1661" spans="59:59" hidden="1" x14ac:dyDescent="0.2">
      <c r="BG1661"/>
    </row>
    <row r="1662" spans="59:59" hidden="1" x14ac:dyDescent="0.2">
      <c r="BG1662"/>
    </row>
    <row r="1663" spans="59:59" hidden="1" x14ac:dyDescent="0.2">
      <c r="BG1663"/>
    </row>
    <row r="1664" spans="59:59" hidden="1" x14ac:dyDescent="0.2">
      <c r="BG1664"/>
    </row>
    <row r="1665" spans="59:59" hidden="1" x14ac:dyDescent="0.2">
      <c r="BG1665"/>
    </row>
    <row r="1666" spans="59:59" hidden="1" x14ac:dyDescent="0.2">
      <c r="BG1666"/>
    </row>
    <row r="1667" spans="59:59" hidden="1" x14ac:dyDescent="0.2">
      <c r="BG1667"/>
    </row>
    <row r="1668" spans="59:59" hidden="1" x14ac:dyDescent="0.2">
      <c r="BG1668"/>
    </row>
    <row r="1669" spans="59:59" hidden="1" x14ac:dyDescent="0.2">
      <c r="BG1669"/>
    </row>
    <row r="1670" spans="59:59" hidden="1" x14ac:dyDescent="0.2">
      <c r="BG1670"/>
    </row>
    <row r="1671" spans="59:59" hidden="1" x14ac:dyDescent="0.2">
      <c r="BG1671"/>
    </row>
    <row r="1672" spans="59:59" hidden="1" x14ac:dyDescent="0.2">
      <c r="BG1672"/>
    </row>
    <row r="1673" spans="59:59" hidden="1" x14ac:dyDescent="0.2">
      <c r="BG1673"/>
    </row>
    <row r="1674" spans="59:59" hidden="1" x14ac:dyDescent="0.2">
      <c r="BG1674"/>
    </row>
    <row r="1675" spans="59:59" hidden="1" x14ac:dyDescent="0.2">
      <c r="BG1675"/>
    </row>
    <row r="1676" spans="59:59" hidden="1" x14ac:dyDescent="0.2">
      <c r="BG1676"/>
    </row>
    <row r="1677" spans="59:59" hidden="1" x14ac:dyDescent="0.2">
      <c r="BG1677"/>
    </row>
    <row r="1678" spans="59:59" hidden="1" x14ac:dyDescent="0.2">
      <c r="BG1678"/>
    </row>
    <row r="1679" spans="59:59" hidden="1" x14ac:dyDescent="0.2">
      <c r="BG1679"/>
    </row>
    <row r="1680" spans="59:59" hidden="1" x14ac:dyDescent="0.2">
      <c r="BG1680"/>
    </row>
    <row r="1681" spans="59:59" hidden="1" x14ac:dyDescent="0.2">
      <c r="BG1681"/>
    </row>
    <row r="1682" spans="59:59" hidden="1" x14ac:dyDescent="0.2">
      <c r="BG1682"/>
    </row>
    <row r="1683" spans="59:59" hidden="1" x14ac:dyDescent="0.2">
      <c r="BG1683"/>
    </row>
    <row r="1684" spans="59:59" hidden="1" x14ac:dyDescent="0.2">
      <c r="BG1684"/>
    </row>
    <row r="1685" spans="59:59" hidden="1" x14ac:dyDescent="0.2">
      <c r="BG1685"/>
    </row>
    <row r="1686" spans="59:59" hidden="1" x14ac:dyDescent="0.2">
      <c r="BG1686"/>
    </row>
    <row r="1687" spans="59:59" hidden="1" x14ac:dyDescent="0.2">
      <c r="BG1687"/>
    </row>
    <row r="1688" spans="59:59" hidden="1" x14ac:dyDescent="0.2">
      <c r="BG1688"/>
    </row>
    <row r="1689" spans="59:59" hidden="1" x14ac:dyDescent="0.2">
      <c r="BG1689"/>
    </row>
    <row r="1690" spans="59:59" hidden="1" x14ac:dyDescent="0.2">
      <c r="BG1690"/>
    </row>
    <row r="1691" spans="59:59" hidden="1" x14ac:dyDescent="0.2">
      <c r="BG1691"/>
    </row>
    <row r="1692" spans="59:59" hidden="1" x14ac:dyDescent="0.2">
      <c r="BG1692"/>
    </row>
    <row r="1693" spans="59:59" hidden="1" x14ac:dyDescent="0.2">
      <c r="BG1693"/>
    </row>
    <row r="1694" spans="59:59" hidden="1" x14ac:dyDescent="0.2">
      <c r="BG1694"/>
    </row>
    <row r="1695" spans="59:59" hidden="1" x14ac:dyDescent="0.2">
      <c r="BG1695"/>
    </row>
    <row r="1696" spans="59:59" hidden="1" x14ac:dyDescent="0.2">
      <c r="BG1696"/>
    </row>
    <row r="1697" spans="59:59" hidden="1" x14ac:dyDescent="0.2">
      <c r="BG1697"/>
    </row>
    <row r="1698" spans="59:59" hidden="1" x14ac:dyDescent="0.2">
      <c r="BG1698"/>
    </row>
    <row r="1699" spans="59:59" hidden="1" x14ac:dyDescent="0.2">
      <c r="BG1699"/>
    </row>
    <row r="1700" spans="59:59" hidden="1" x14ac:dyDescent="0.2">
      <c r="BG1700"/>
    </row>
    <row r="1701" spans="59:59" hidden="1" x14ac:dyDescent="0.2">
      <c r="BG1701"/>
    </row>
    <row r="1702" spans="59:59" hidden="1" x14ac:dyDescent="0.2">
      <c r="BG1702"/>
    </row>
    <row r="1703" spans="59:59" hidden="1" x14ac:dyDescent="0.2">
      <c r="BG1703"/>
    </row>
    <row r="1704" spans="59:59" hidden="1" x14ac:dyDescent="0.2">
      <c r="BG1704"/>
    </row>
    <row r="1705" spans="59:59" hidden="1" x14ac:dyDescent="0.2">
      <c r="BG1705"/>
    </row>
    <row r="1706" spans="59:59" hidden="1" x14ac:dyDescent="0.2">
      <c r="BG1706"/>
    </row>
    <row r="1707" spans="59:59" hidden="1" x14ac:dyDescent="0.2">
      <c r="BG1707"/>
    </row>
    <row r="1708" spans="59:59" hidden="1" x14ac:dyDescent="0.2">
      <c r="BG1708"/>
    </row>
    <row r="1709" spans="59:59" hidden="1" x14ac:dyDescent="0.2">
      <c r="BG1709"/>
    </row>
    <row r="1710" spans="59:59" hidden="1" x14ac:dyDescent="0.2">
      <c r="BG1710"/>
    </row>
    <row r="1711" spans="59:59" hidden="1" x14ac:dyDescent="0.2">
      <c r="BG1711"/>
    </row>
    <row r="1712" spans="59:59" hidden="1" x14ac:dyDescent="0.2">
      <c r="BG1712"/>
    </row>
    <row r="1713" spans="59:59" hidden="1" x14ac:dyDescent="0.2">
      <c r="BG1713"/>
    </row>
    <row r="1714" spans="59:59" hidden="1" x14ac:dyDescent="0.2">
      <c r="BG1714"/>
    </row>
    <row r="1715" spans="59:59" hidden="1" x14ac:dyDescent="0.2">
      <c r="BG1715"/>
    </row>
    <row r="1716" spans="59:59" hidden="1" x14ac:dyDescent="0.2">
      <c r="BG1716"/>
    </row>
    <row r="1717" spans="59:59" hidden="1" x14ac:dyDescent="0.2">
      <c r="BG1717"/>
    </row>
    <row r="1718" spans="59:59" hidden="1" x14ac:dyDescent="0.2">
      <c r="BG1718"/>
    </row>
    <row r="1719" spans="59:59" hidden="1" x14ac:dyDescent="0.2">
      <c r="BG1719"/>
    </row>
    <row r="1720" spans="59:59" hidden="1" x14ac:dyDescent="0.2">
      <c r="BG1720"/>
    </row>
    <row r="1721" spans="59:59" hidden="1" x14ac:dyDescent="0.2">
      <c r="BG1721"/>
    </row>
    <row r="1722" spans="59:59" hidden="1" x14ac:dyDescent="0.2">
      <c r="BG1722"/>
    </row>
    <row r="1723" spans="59:59" hidden="1" x14ac:dyDescent="0.2">
      <c r="BG1723"/>
    </row>
    <row r="1724" spans="59:59" hidden="1" x14ac:dyDescent="0.2">
      <c r="BG1724"/>
    </row>
    <row r="1725" spans="59:59" hidden="1" x14ac:dyDescent="0.2">
      <c r="BG1725"/>
    </row>
    <row r="1726" spans="59:59" hidden="1" x14ac:dyDescent="0.2">
      <c r="BG1726"/>
    </row>
    <row r="1727" spans="59:59" hidden="1" x14ac:dyDescent="0.2">
      <c r="BG1727"/>
    </row>
    <row r="1728" spans="59:59" hidden="1" x14ac:dyDescent="0.2">
      <c r="BG1728"/>
    </row>
    <row r="1729" spans="59:59" hidden="1" x14ac:dyDescent="0.2">
      <c r="BG1729"/>
    </row>
    <row r="1730" spans="59:59" hidden="1" x14ac:dyDescent="0.2">
      <c r="BG1730"/>
    </row>
    <row r="1731" spans="59:59" hidden="1" x14ac:dyDescent="0.2">
      <c r="BG1731"/>
    </row>
    <row r="1732" spans="59:59" hidden="1" x14ac:dyDescent="0.2">
      <c r="BG1732"/>
    </row>
    <row r="1733" spans="59:59" hidden="1" x14ac:dyDescent="0.2">
      <c r="BG1733"/>
    </row>
    <row r="1734" spans="59:59" hidden="1" x14ac:dyDescent="0.2">
      <c r="BG1734"/>
    </row>
    <row r="1735" spans="59:59" hidden="1" x14ac:dyDescent="0.2">
      <c r="BG1735"/>
    </row>
    <row r="1736" spans="59:59" hidden="1" x14ac:dyDescent="0.2">
      <c r="BG1736"/>
    </row>
    <row r="1737" spans="59:59" hidden="1" x14ac:dyDescent="0.2">
      <c r="BG1737"/>
    </row>
    <row r="1738" spans="59:59" hidden="1" x14ac:dyDescent="0.2">
      <c r="BG1738"/>
    </row>
    <row r="1739" spans="59:59" hidden="1" x14ac:dyDescent="0.2">
      <c r="BG1739"/>
    </row>
    <row r="1740" spans="59:59" hidden="1" x14ac:dyDescent="0.2">
      <c r="BG1740"/>
    </row>
    <row r="1741" spans="59:59" hidden="1" x14ac:dyDescent="0.2">
      <c r="BG1741"/>
    </row>
    <row r="1742" spans="59:59" hidden="1" x14ac:dyDescent="0.2">
      <c r="BG1742"/>
    </row>
    <row r="1743" spans="59:59" hidden="1" x14ac:dyDescent="0.2">
      <c r="BG1743"/>
    </row>
    <row r="1744" spans="59:59" hidden="1" x14ac:dyDescent="0.2">
      <c r="BG1744"/>
    </row>
    <row r="1745" spans="59:59" hidden="1" x14ac:dyDescent="0.2">
      <c r="BG1745"/>
    </row>
    <row r="1746" spans="59:59" hidden="1" x14ac:dyDescent="0.2">
      <c r="BG1746"/>
    </row>
    <row r="1747" spans="59:59" hidden="1" x14ac:dyDescent="0.2">
      <c r="BG1747"/>
    </row>
    <row r="1748" spans="59:59" hidden="1" x14ac:dyDescent="0.2">
      <c r="BG1748"/>
    </row>
    <row r="1749" spans="59:59" hidden="1" x14ac:dyDescent="0.2">
      <c r="BG1749"/>
    </row>
    <row r="1750" spans="59:59" hidden="1" x14ac:dyDescent="0.2">
      <c r="BG1750"/>
    </row>
    <row r="1751" spans="59:59" hidden="1" x14ac:dyDescent="0.2">
      <c r="BG1751"/>
    </row>
    <row r="1752" spans="59:59" hidden="1" x14ac:dyDescent="0.2">
      <c r="BG1752"/>
    </row>
    <row r="1753" spans="59:59" hidden="1" x14ac:dyDescent="0.2">
      <c r="BG1753"/>
    </row>
    <row r="1754" spans="59:59" hidden="1" x14ac:dyDescent="0.2">
      <c r="BG1754"/>
    </row>
    <row r="1755" spans="59:59" hidden="1" x14ac:dyDescent="0.2">
      <c r="BG1755"/>
    </row>
    <row r="1756" spans="59:59" hidden="1" x14ac:dyDescent="0.2">
      <c r="BG1756"/>
    </row>
    <row r="1757" spans="59:59" hidden="1" x14ac:dyDescent="0.2">
      <c r="BG1757"/>
    </row>
    <row r="1758" spans="59:59" hidden="1" x14ac:dyDescent="0.2">
      <c r="BG1758"/>
    </row>
    <row r="1759" spans="59:59" hidden="1" x14ac:dyDescent="0.2">
      <c r="BG1759"/>
    </row>
    <row r="1760" spans="59:59" hidden="1" x14ac:dyDescent="0.2">
      <c r="BG1760"/>
    </row>
    <row r="1761" spans="59:59" hidden="1" x14ac:dyDescent="0.2">
      <c r="BG1761"/>
    </row>
    <row r="1762" spans="59:59" hidden="1" x14ac:dyDescent="0.2">
      <c r="BG1762"/>
    </row>
    <row r="1763" spans="59:59" hidden="1" x14ac:dyDescent="0.2">
      <c r="BG1763"/>
    </row>
    <row r="1764" spans="59:59" hidden="1" x14ac:dyDescent="0.2">
      <c r="BG1764"/>
    </row>
    <row r="1765" spans="59:59" hidden="1" x14ac:dyDescent="0.2">
      <c r="BG1765"/>
    </row>
    <row r="1766" spans="59:59" hidden="1" x14ac:dyDescent="0.2">
      <c r="BG1766"/>
    </row>
    <row r="1767" spans="59:59" hidden="1" x14ac:dyDescent="0.2">
      <c r="BG1767"/>
    </row>
    <row r="1768" spans="59:59" hidden="1" x14ac:dyDescent="0.2">
      <c r="BG1768"/>
    </row>
    <row r="1769" spans="59:59" hidden="1" x14ac:dyDescent="0.2">
      <c r="BG1769"/>
    </row>
    <row r="1770" spans="59:59" hidden="1" x14ac:dyDescent="0.2">
      <c r="BG1770"/>
    </row>
    <row r="1771" spans="59:59" hidden="1" x14ac:dyDescent="0.2">
      <c r="BG1771"/>
    </row>
    <row r="1772" spans="59:59" hidden="1" x14ac:dyDescent="0.2">
      <c r="BG1772"/>
    </row>
    <row r="1773" spans="59:59" hidden="1" x14ac:dyDescent="0.2">
      <c r="BG1773"/>
    </row>
    <row r="1774" spans="59:59" hidden="1" x14ac:dyDescent="0.2">
      <c r="BG1774"/>
    </row>
    <row r="1775" spans="59:59" hidden="1" x14ac:dyDescent="0.2">
      <c r="BG1775"/>
    </row>
    <row r="1776" spans="59:59" hidden="1" x14ac:dyDescent="0.2">
      <c r="BG1776"/>
    </row>
    <row r="1777" spans="59:59" hidden="1" x14ac:dyDescent="0.2">
      <c r="BG1777"/>
    </row>
    <row r="1778" spans="59:59" hidden="1" x14ac:dyDescent="0.2">
      <c r="BG1778"/>
    </row>
    <row r="1779" spans="59:59" hidden="1" x14ac:dyDescent="0.2">
      <c r="BG1779"/>
    </row>
    <row r="1780" spans="59:59" hidden="1" x14ac:dyDescent="0.2">
      <c r="BG1780"/>
    </row>
    <row r="1781" spans="59:59" hidden="1" x14ac:dyDescent="0.2">
      <c r="BG1781"/>
    </row>
    <row r="1782" spans="59:59" hidden="1" x14ac:dyDescent="0.2">
      <c r="BG1782"/>
    </row>
    <row r="1783" spans="59:59" hidden="1" x14ac:dyDescent="0.2">
      <c r="BG1783"/>
    </row>
    <row r="1784" spans="59:59" hidden="1" x14ac:dyDescent="0.2">
      <c r="BG1784"/>
    </row>
    <row r="1785" spans="59:59" hidden="1" x14ac:dyDescent="0.2">
      <c r="BG1785"/>
    </row>
    <row r="1786" spans="59:59" hidden="1" x14ac:dyDescent="0.2">
      <c r="BG1786"/>
    </row>
    <row r="1787" spans="59:59" hidden="1" x14ac:dyDescent="0.2">
      <c r="BG1787"/>
    </row>
    <row r="1788" spans="59:59" hidden="1" x14ac:dyDescent="0.2">
      <c r="BG1788"/>
    </row>
    <row r="1789" spans="59:59" hidden="1" x14ac:dyDescent="0.2">
      <c r="BG1789"/>
    </row>
    <row r="1790" spans="59:59" hidden="1" x14ac:dyDescent="0.2">
      <c r="BG1790"/>
    </row>
    <row r="1791" spans="59:59" hidden="1" x14ac:dyDescent="0.2">
      <c r="BG1791"/>
    </row>
    <row r="1792" spans="59:59" hidden="1" x14ac:dyDescent="0.2">
      <c r="BG1792"/>
    </row>
    <row r="1793" spans="59:59" hidden="1" x14ac:dyDescent="0.2">
      <c r="BG1793"/>
    </row>
    <row r="1794" spans="59:59" hidden="1" x14ac:dyDescent="0.2">
      <c r="BG1794"/>
    </row>
    <row r="1795" spans="59:59" hidden="1" x14ac:dyDescent="0.2">
      <c r="BG1795"/>
    </row>
    <row r="1796" spans="59:59" hidden="1" x14ac:dyDescent="0.2">
      <c r="BG1796"/>
    </row>
    <row r="1797" spans="59:59" hidden="1" x14ac:dyDescent="0.2">
      <c r="BG1797"/>
    </row>
    <row r="1798" spans="59:59" hidden="1" x14ac:dyDescent="0.2">
      <c r="BG1798"/>
    </row>
    <row r="1799" spans="59:59" hidden="1" x14ac:dyDescent="0.2">
      <c r="BG1799"/>
    </row>
    <row r="1800" spans="59:59" hidden="1" x14ac:dyDescent="0.2">
      <c r="BG1800"/>
    </row>
    <row r="1801" spans="59:59" hidden="1" x14ac:dyDescent="0.2">
      <c r="BG1801"/>
    </row>
    <row r="1802" spans="59:59" hidden="1" x14ac:dyDescent="0.2">
      <c r="BG1802"/>
    </row>
    <row r="1803" spans="59:59" hidden="1" x14ac:dyDescent="0.2">
      <c r="BG1803"/>
    </row>
    <row r="1804" spans="59:59" hidden="1" x14ac:dyDescent="0.2">
      <c r="BG1804"/>
    </row>
    <row r="1805" spans="59:59" hidden="1" x14ac:dyDescent="0.2">
      <c r="BG1805"/>
    </row>
    <row r="1806" spans="59:59" hidden="1" x14ac:dyDescent="0.2">
      <c r="BG1806"/>
    </row>
    <row r="1807" spans="59:59" hidden="1" x14ac:dyDescent="0.2">
      <c r="BG1807"/>
    </row>
    <row r="1808" spans="59:59" hidden="1" x14ac:dyDescent="0.2">
      <c r="BG1808"/>
    </row>
    <row r="1809" spans="59:59" hidden="1" x14ac:dyDescent="0.2">
      <c r="BG1809"/>
    </row>
    <row r="1810" spans="59:59" hidden="1" x14ac:dyDescent="0.2">
      <c r="BG1810"/>
    </row>
    <row r="1811" spans="59:59" hidden="1" x14ac:dyDescent="0.2">
      <c r="BG1811"/>
    </row>
    <row r="1812" spans="59:59" hidden="1" x14ac:dyDescent="0.2">
      <c r="BG1812"/>
    </row>
    <row r="1813" spans="59:59" hidden="1" x14ac:dyDescent="0.2">
      <c r="BG1813"/>
    </row>
    <row r="1814" spans="59:59" hidden="1" x14ac:dyDescent="0.2">
      <c r="BG1814"/>
    </row>
    <row r="1815" spans="59:59" hidden="1" x14ac:dyDescent="0.2">
      <c r="BG1815"/>
    </row>
    <row r="1816" spans="59:59" hidden="1" x14ac:dyDescent="0.2">
      <c r="BG1816"/>
    </row>
    <row r="1817" spans="59:59" hidden="1" x14ac:dyDescent="0.2">
      <c r="BG1817"/>
    </row>
    <row r="1818" spans="59:59" hidden="1" x14ac:dyDescent="0.2">
      <c r="BG1818"/>
    </row>
    <row r="1819" spans="59:59" hidden="1" x14ac:dyDescent="0.2">
      <c r="BG1819"/>
    </row>
    <row r="1820" spans="59:59" hidden="1" x14ac:dyDescent="0.2">
      <c r="BG1820"/>
    </row>
    <row r="1821" spans="59:59" hidden="1" x14ac:dyDescent="0.2">
      <c r="BG1821"/>
    </row>
    <row r="1822" spans="59:59" hidden="1" x14ac:dyDescent="0.2">
      <c r="BG1822"/>
    </row>
    <row r="1823" spans="59:59" hidden="1" x14ac:dyDescent="0.2">
      <c r="BG1823"/>
    </row>
    <row r="1824" spans="59:59" hidden="1" x14ac:dyDescent="0.2">
      <c r="BG1824"/>
    </row>
    <row r="1825" spans="59:59" hidden="1" x14ac:dyDescent="0.2">
      <c r="BG1825"/>
    </row>
    <row r="1826" spans="59:59" hidden="1" x14ac:dyDescent="0.2">
      <c r="BG1826"/>
    </row>
    <row r="1827" spans="59:59" hidden="1" x14ac:dyDescent="0.2">
      <c r="BG1827"/>
    </row>
    <row r="1828" spans="59:59" hidden="1" x14ac:dyDescent="0.2">
      <c r="BG1828"/>
    </row>
    <row r="1829" spans="59:59" hidden="1" x14ac:dyDescent="0.2">
      <c r="BG1829"/>
    </row>
    <row r="1830" spans="59:59" hidden="1" x14ac:dyDescent="0.2">
      <c r="BG1830"/>
    </row>
    <row r="1831" spans="59:59" hidden="1" x14ac:dyDescent="0.2">
      <c r="BG1831"/>
    </row>
    <row r="1832" spans="59:59" hidden="1" x14ac:dyDescent="0.2">
      <c r="BG1832"/>
    </row>
    <row r="1833" spans="59:59" hidden="1" x14ac:dyDescent="0.2">
      <c r="BG1833"/>
    </row>
    <row r="1834" spans="59:59" hidden="1" x14ac:dyDescent="0.2">
      <c r="BG1834"/>
    </row>
    <row r="1835" spans="59:59" hidden="1" x14ac:dyDescent="0.2">
      <c r="BG1835"/>
    </row>
    <row r="1836" spans="59:59" hidden="1" x14ac:dyDescent="0.2">
      <c r="BG1836"/>
    </row>
    <row r="1837" spans="59:59" hidden="1" x14ac:dyDescent="0.2">
      <c r="BG1837"/>
    </row>
    <row r="1838" spans="59:59" hidden="1" x14ac:dyDescent="0.2">
      <c r="BG1838"/>
    </row>
    <row r="1839" spans="59:59" hidden="1" x14ac:dyDescent="0.2">
      <c r="BG1839"/>
    </row>
    <row r="1840" spans="59:59" hidden="1" x14ac:dyDescent="0.2">
      <c r="BG1840"/>
    </row>
    <row r="1841" spans="59:59" hidden="1" x14ac:dyDescent="0.2">
      <c r="BG1841"/>
    </row>
    <row r="1842" spans="59:59" hidden="1" x14ac:dyDescent="0.2">
      <c r="BG1842"/>
    </row>
    <row r="1843" spans="59:59" hidden="1" x14ac:dyDescent="0.2">
      <c r="BG1843"/>
    </row>
    <row r="1844" spans="59:59" hidden="1" x14ac:dyDescent="0.2">
      <c r="BG1844"/>
    </row>
    <row r="1845" spans="59:59" hidden="1" x14ac:dyDescent="0.2">
      <c r="BG1845"/>
    </row>
    <row r="1846" spans="59:59" hidden="1" x14ac:dyDescent="0.2">
      <c r="BG1846"/>
    </row>
    <row r="1847" spans="59:59" hidden="1" x14ac:dyDescent="0.2">
      <c r="BG1847"/>
    </row>
    <row r="1848" spans="59:59" hidden="1" x14ac:dyDescent="0.2">
      <c r="BG1848"/>
    </row>
    <row r="1849" spans="59:59" hidden="1" x14ac:dyDescent="0.2">
      <c r="BG1849"/>
    </row>
    <row r="1850" spans="59:59" hidden="1" x14ac:dyDescent="0.2">
      <c r="BG1850"/>
    </row>
    <row r="1851" spans="59:59" hidden="1" x14ac:dyDescent="0.2">
      <c r="BG1851"/>
    </row>
    <row r="1852" spans="59:59" hidden="1" x14ac:dyDescent="0.2">
      <c r="BG1852"/>
    </row>
    <row r="1853" spans="59:59" hidden="1" x14ac:dyDescent="0.2">
      <c r="BG1853"/>
    </row>
    <row r="1854" spans="59:59" hidden="1" x14ac:dyDescent="0.2">
      <c r="BG1854"/>
    </row>
    <row r="1855" spans="59:59" hidden="1" x14ac:dyDescent="0.2">
      <c r="BG1855"/>
    </row>
    <row r="1856" spans="59:59" hidden="1" x14ac:dyDescent="0.2">
      <c r="BG1856"/>
    </row>
    <row r="1857" spans="59:59" hidden="1" x14ac:dyDescent="0.2">
      <c r="BG1857"/>
    </row>
    <row r="1858" spans="59:59" hidden="1" x14ac:dyDescent="0.2">
      <c r="BG1858"/>
    </row>
    <row r="1859" spans="59:59" hidden="1" x14ac:dyDescent="0.2">
      <c r="BG1859"/>
    </row>
    <row r="1860" spans="59:59" hidden="1" x14ac:dyDescent="0.2">
      <c r="BG1860"/>
    </row>
    <row r="1861" spans="59:59" hidden="1" x14ac:dyDescent="0.2">
      <c r="BG1861"/>
    </row>
    <row r="1862" spans="59:59" hidden="1" x14ac:dyDescent="0.2">
      <c r="BG1862"/>
    </row>
    <row r="1863" spans="59:59" hidden="1" x14ac:dyDescent="0.2">
      <c r="BG1863"/>
    </row>
    <row r="1864" spans="59:59" hidden="1" x14ac:dyDescent="0.2">
      <c r="BG1864"/>
    </row>
    <row r="1865" spans="59:59" hidden="1" x14ac:dyDescent="0.2">
      <c r="BG1865"/>
    </row>
    <row r="1866" spans="59:59" hidden="1" x14ac:dyDescent="0.2">
      <c r="BG1866"/>
    </row>
    <row r="1867" spans="59:59" hidden="1" x14ac:dyDescent="0.2">
      <c r="BG1867"/>
    </row>
    <row r="1868" spans="59:59" hidden="1" x14ac:dyDescent="0.2">
      <c r="BG1868"/>
    </row>
    <row r="1869" spans="59:59" hidden="1" x14ac:dyDescent="0.2">
      <c r="BG1869"/>
    </row>
    <row r="1870" spans="59:59" hidden="1" x14ac:dyDescent="0.2">
      <c r="BG1870"/>
    </row>
    <row r="1871" spans="59:59" hidden="1" x14ac:dyDescent="0.2">
      <c r="BG1871"/>
    </row>
    <row r="1872" spans="59:59" hidden="1" x14ac:dyDescent="0.2">
      <c r="BG1872"/>
    </row>
    <row r="1873" spans="59:59" hidden="1" x14ac:dyDescent="0.2">
      <c r="BG1873"/>
    </row>
    <row r="1874" spans="59:59" hidden="1" x14ac:dyDescent="0.2">
      <c r="BG1874"/>
    </row>
    <row r="1875" spans="59:59" hidden="1" x14ac:dyDescent="0.2">
      <c r="BG1875"/>
    </row>
    <row r="1876" spans="59:59" hidden="1" x14ac:dyDescent="0.2">
      <c r="BG1876"/>
    </row>
    <row r="1877" spans="59:59" hidden="1" x14ac:dyDescent="0.2">
      <c r="BG1877"/>
    </row>
    <row r="1878" spans="59:59" hidden="1" x14ac:dyDescent="0.2">
      <c r="BG1878"/>
    </row>
    <row r="1879" spans="59:59" hidden="1" x14ac:dyDescent="0.2">
      <c r="BG1879"/>
    </row>
    <row r="1880" spans="59:59" hidden="1" x14ac:dyDescent="0.2">
      <c r="BG1880"/>
    </row>
    <row r="1881" spans="59:59" hidden="1" x14ac:dyDescent="0.2">
      <c r="BG1881"/>
    </row>
    <row r="1882" spans="59:59" hidden="1" x14ac:dyDescent="0.2">
      <c r="BG1882"/>
    </row>
    <row r="1883" spans="59:59" hidden="1" x14ac:dyDescent="0.2">
      <c r="BG1883"/>
    </row>
    <row r="1884" spans="59:59" hidden="1" x14ac:dyDescent="0.2">
      <c r="BG1884"/>
    </row>
    <row r="1885" spans="59:59" hidden="1" x14ac:dyDescent="0.2">
      <c r="BG1885"/>
    </row>
    <row r="1886" spans="59:59" hidden="1" x14ac:dyDescent="0.2">
      <c r="BG1886"/>
    </row>
    <row r="1887" spans="59:59" hidden="1" x14ac:dyDescent="0.2">
      <c r="BG1887"/>
    </row>
    <row r="1888" spans="59:59" hidden="1" x14ac:dyDescent="0.2">
      <c r="BG1888"/>
    </row>
    <row r="1889" spans="59:59" hidden="1" x14ac:dyDescent="0.2">
      <c r="BG1889"/>
    </row>
    <row r="1890" spans="59:59" hidden="1" x14ac:dyDescent="0.2">
      <c r="BG1890"/>
    </row>
    <row r="1891" spans="59:59" hidden="1" x14ac:dyDescent="0.2">
      <c r="BG1891"/>
    </row>
    <row r="1892" spans="59:59" hidden="1" x14ac:dyDescent="0.2">
      <c r="BG1892"/>
    </row>
    <row r="1893" spans="59:59" hidden="1" x14ac:dyDescent="0.2">
      <c r="BG1893"/>
    </row>
    <row r="1894" spans="59:59" hidden="1" x14ac:dyDescent="0.2">
      <c r="BG1894"/>
    </row>
    <row r="1895" spans="59:59" hidden="1" x14ac:dyDescent="0.2">
      <c r="BG1895"/>
    </row>
    <row r="1896" spans="59:59" hidden="1" x14ac:dyDescent="0.2">
      <c r="BG1896"/>
    </row>
    <row r="1897" spans="59:59" hidden="1" x14ac:dyDescent="0.2">
      <c r="BG1897"/>
    </row>
    <row r="1898" spans="59:59" hidden="1" x14ac:dyDescent="0.2">
      <c r="BG1898"/>
    </row>
    <row r="1899" spans="59:59" hidden="1" x14ac:dyDescent="0.2">
      <c r="BG1899"/>
    </row>
    <row r="1900" spans="59:59" hidden="1" x14ac:dyDescent="0.2">
      <c r="BG1900"/>
    </row>
    <row r="1901" spans="59:59" hidden="1" x14ac:dyDescent="0.2">
      <c r="BG1901"/>
    </row>
    <row r="1902" spans="59:59" hidden="1" x14ac:dyDescent="0.2">
      <c r="BG1902"/>
    </row>
    <row r="1903" spans="59:59" hidden="1" x14ac:dyDescent="0.2">
      <c r="BG1903"/>
    </row>
    <row r="1904" spans="59:59" hidden="1" x14ac:dyDescent="0.2">
      <c r="BG1904"/>
    </row>
    <row r="1905" spans="59:59" hidden="1" x14ac:dyDescent="0.2">
      <c r="BG1905"/>
    </row>
    <row r="1906" spans="59:59" hidden="1" x14ac:dyDescent="0.2">
      <c r="BG1906"/>
    </row>
    <row r="1907" spans="59:59" hidden="1" x14ac:dyDescent="0.2">
      <c r="BG1907"/>
    </row>
    <row r="1908" spans="59:59" hidden="1" x14ac:dyDescent="0.2">
      <c r="BG1908"/>
    </row>
    <row r="1909" spans="59:59" hidden="1" x14ac:dyDescent="0.2">
      <c r="BG1909"/>
    </row>
    <row r="1910" spans="59:59" hidden="1" x14ac:dyDescent="0.2">
      <c r="BG1910"/>
    </row>
    <row r="1911" spans="59:59" hidden="1" x14ac:dyDescent="0.2">
      <c r="BG1911"/>
    </row>
    <row r="1912" spans="59:59" hidden="1" x14ac:dyDescent="0.2">
      <c r="BG1912"/>
    </row>
    <row r="1913" spans="59:59" hidden="1" x14ac:dyDescent="0.2">
      <c r="BG1913"/>
    </row>
    <row r="1914" spans="59:59" hidden="1" x14ac:dyDescent="0.2">
      <c r="BG1914"/>
    </row>
    <row r="1915" spans="59:59" hidden="1" x14ac:dyDescent="0.2">
      <c r="BG1915"/>
    </row>
    <row r="1916" spans="59:59" hidden="1" x14ac:dyDescent="0.2">
      <c r="BG1916"/>
    </row>
    <row r="1917" spans="59:59" hidden="1" x14ac:dyDescent="0.2">
      <c r="BG1917"/>
    </row>
    <row r="1918" spans="59:59" hidden="1" x14ac:dyDescent="0.2">
      <c r="BG1918"/>
    </row>
    <row r="1919" spans="59:59" hidden="1" x14ac:dyDescent="0.2">
      <c r="BG1919"/>
    </row>
    <row r="1920" spans="59:59" hidden="1" x14ac:dyDescent="0.2">
      <c r="BG1920"/>
    </row>
    <row r="1921" spans="59:59" hidden="1" x14ac:dyDescent="0.2">
      <c r="BG1921"/>
    </row>
    <row r="1922" spans="59:59" hidden="1" x14ac:dyDescent="0.2">
      <c r="BG1922"/>
    </row>
    <row r="1923" spans="59:59" hidden="1" x14ac:dyDescent="0.2">
      <c r="BG1923"/>
    </row>
    <row r="1924" spans="59:59" hidden="1" x14ac:dyDescent="0.2">
      <c r="BG1924"/>
    </row>
    <row r="1925" spans="59:59" hidden="1" x14ac:dyDescent="0.2">
      <c r="BG1925"/>
    </row>
    <row r="1926" spans="59:59" hidden="1" x14ac:dyDescent="0.2">
      <c r="BG1926"/>
    </row>
    <row r="1927" spans="59:59" hidden="1" x14ac:dyDescent="0.2">
      <c r="BG1927"/>
    </row>
    <row r="1928" spans="59:59" hidden="1" x14ac:dyDescent="0.2">
      <c r="BG1928"/>
    </row>
    <row r="1929" spans="59:59" hidden="1" x14ac:dyDescent="0.2">
      <c r="BG1929"/>
    </row>
    <row r="1930" spans="59:59" hidden="1" x14ac:dyDescent="0.2">
      <c r="BG1930"/>
    </row>
    <row r="1931" spans="59:59" hidden="1" x14ac:dyDescent="0.2">
      <c r="BG1931"/>
    </row>
    <row r="1932" spans="59:59" hidden="1" x14ac:dyDescent="0.2">
      <c r="BG1932"/>
    </row>
    <row r="1933" spans="59:59" hidden="1" x14ac:dyDescent="0.2">
      <c r="BG1933"/>
    </row>
    <row r="1934" spans="59:59" hidden="1" x14ac:dyDescent="0.2">
      <c r="BG1934"/>
    </row>
    <row r="1935" spans="59:59" hidden="1" x14ac:dyDescent="0.2">
      <c r="BG1935"/>
    </row>
    <row r="1936" spans="59:59" hidden="1" x14ac:dyDescent="0.2">
      <c r="BG1936"/>
    </row>
    <row r="1937" spans="59:59" hidden="1" x14ac:dyDescent="0.2">
      <c r="BG1937"/>
    </row>
    <row r="1938" spans="59:59" hidden="1" x14ac:dyDescent="0.2">
      <c r="BG1938"/>
    </row>
    <row r="1939" spans="59:59" hidden="1" x14ac:dyDescent="0.2">
      <c r="BG1939"/>
    </row>
    <row r="1940" spans="59:59" hidden="1" x14ac:dyDescent="0.2">
      <c r="BG1940"/>
    </row>
    <row r="1941" spans="59:59" hidden="1" x14ac:dyDescent="0.2">
      <c r="BG1941"/>
    </row>
    <row r="1942" spans="59:59" hidden="1" x14ac:dyDescent="0.2">
      <c r="BG1942"/>
    </row>
    <row r="1943" spans="59:59" hidden="1" x14ac:dyDescent="0.2">
      <c r="BG1943"/>
    </row>
    <row r="1944" spans="59:59" hidden="1" x14ac:dyDescent="0.2">
      <c r="BG1944"/>
    </row>
    <row r="1945" spans="59:59" hidden="1" x14ac:dyDescent="0.2">
      <c r="BG1945"/>
    </row>
    <row r="1946" spans="59:59" hidden="1" x14ac:dyDescent="0.2">
      <c r="BG1946"/>
    </row>
    <row r="1947" spans="59:59" hidden="1" x14ac:dyDescent="0.2">
      <c r="BG1947"/>
    </row>
    <row r="1948" spans="59:59" hidden="1" x14ac:dyDescent="0.2">
      <c r="BG1948"/>
    </row>
    <row r="1949" spans="59:59" hidden="1" x14ac:dyDescent="0.2">
      <c r="BG1949"/>
    </row>
    <row r="1950" spans="59:59" hidden="1" x14ac:dyDescent="0.2">
      <c r="BG1950"/>
    </row>
    <row r="1951" spans="59:59" hidden="1" x14ac:dyDescent="0.2">
      <c r="BG1951"/>
    </row>
    <row r="1952" spans="59:59" hidden="1" x14ac:dyDescent="0.2">
      <c r="BG1952"/>
    </row>
    <row r="1953" spans="59:59" hidden="1" x14ac:dyDescent="0.2">
      <c r="BG1953"/>
    </row>
    <row r="1954" spans="59:59" hidden="1" x14ac:dyDescent="0.2">
      <c r="BG1954"/>
    </row>
    <row r="1955" spans="59:59" hidden="1" x14ac:dyDescent="0.2">
      <c r="BG1955"/>
    </row>
    <row r="1956" spans="59:59" hidden="1" x14ac:dyDescent="0.2">
      <c r="BG1956"/>
    </row>
    <row r="1957" spans="59:59" hidden="1" x14ac:dyDescent="0.2">
      <c r="BG1957"/>
    </row>
    <row r="1958" spans="59:59" hidden="1" x14ac:dyDescent="0.2">
      <c r="BG1958"/>
    </row>
    <row r="1959" spans="59:59" hidden="1" x14ac:dyDescent="0.2">
      <c r="BG1959"/>
    </row>
    <row r="1960" spans="59:59" hidden="1" x14ac:dyDescent="0.2">
      <c r="BG1960"/>
    </row>
    <row r="1961" spans="59:59" hidden="1" x14ac:dyDescent="0.2">
      <c r="BG1961"/>
    </row>
    <row r="1962" spans="59:59" ht="12.75" hidden="1" customHeight="1" x14ac:dyDescent="0.2">
      <c r="BG1962"/>
    </row>
    <row r="1963" spans="59:59" hidden="1" x14ac:dyDescent="0.2">
      <c r="BG1963"/>
    </row>
    <row r="1964" spans="59:59" hidden="1" x14ac:dyDescent="0.2">
      <c r="BG1964"/>
    </row>
    <row r="1965" spans="59:59" hidden="1" x14ac:dyDescent="0.2">
      <c r="BG1965"/>
    </row>
    <row r="1966" spans="59:59" hidden="1" x14ac:dyDescent="0.2">
      <c r="BG1966"/>
    </row>
    <row r="1967" spans="59:59" hidden="1" x14ac:dyDescent="0.2">
      <c r="BG1967"/>
    </row>
    <row r="1968" spans="59:59" hidden="1" x14ac:dyDescent="0.2">
      <c r="BG1968"/>
    </row>
    <row r="1969" spans="59:59" hidden="1" x14ac:dyDescent="0.2">
      <c r="BG1969"/>
    </row>
    <row r="1970" spans="59:59" hidden="1" x14ac:dyDescent="0.2">
      <c r="BG1970"/>
    </row>
    <row r="1971" spans="59:59" hidden="1" x14ac:dyDescent="0.2">
      <c r="BG1971"/>
    </row>
    <row r="1972" spans="59:59" hidden="1" x14ac:dyDescent="0.2">
      <c r="BG1972"/>
    </row>
    <row r="1973" spans="59:59" hidden="1" x14ac:dyDescent="0.2">
      <c r="BG1973"/>
    </row>
    <row r="1974" spans="59:59" hidden="1" x14ac:dyDescent="0.2">
      <c r="BG1974"/>
    </row>
    <row r="1975" spans="59:59" hidden="1" x14ac:dyDescent="0.2">
      <c r="BG1975"/>
    </row>
    <row r="1976" spans="59:59" hidden="1" x14ac:dyDescent="0.2">
      <c r="BG1976"/>
    </row>
    <row r="1977" spans="59:59" hidden="1" x14ac:dyDescent="0.2">
      <c r="BG1977"/>
    </row>
    <row r="1978" spans="59:59" hidden="1" x14ac:dyDescent="0.2">
      <c r="BG1978"/>
    </row>
    <row r="1979" spans="59:59" hidden="1" x14ac:dyDescent="0.2">
      <c r="BG1979"/>
    </row>
    <row r="1980" spans="59:59" hidden="1" x14ac:dyDescent="0.2">
      <c r="BG1980"/>
    </row>
    <row r="1981" spans="59:59" hidden="1" x14ac:dyDescent="0.2">
      <c r="BG1981"/>
    </row>
    <row r="1982" spans="59:59" hidden="1" x14ac:dyDescent="0.2">
      <c r="BG1982"/>
    </row>
    <row r="1983" spans="59:59" hidden="1" x14ac:dyDescent="0.2">
      <c r="BG1983"/>
    </row>
    <row r="1984" spans="59:59" hidden="1" x14ac:dyDescent="0.2">
      <c r="BG1984"/>
    </row>
    <row r="1985" spans="59:59" hidden="1" x14ac:dyDescent="0.2">
      <c r="BG1985"/>
    </row>
    <row r="1986" spans="59:59" hidden="1" x14ac:dyDescent="0.2">
      <c r="BG1986"/>
    </row>
    <row r="1987" spans="59:59" hidden="1" x14ac:dyDescent="0.2">
      <c r="BG1987"/>
    </row>
    <row r="1988" spans="59:59" hidden="1" x14ac:dyDescent="0.2">
      <c r="BG1988"/>
    </row>
    <row r="1989" spans="59:59" hidden="1" x14ac:dyDescent="0.2">
      <c r="BG1989"/>
    </row>
    <row r="1990" spans="59:59" hidden="1" x14ac:dyDescent="0.2">
      <c r="BG1990"/>
    </row>
    <row r="1991" spans="59:59" hidden="1" x14ac:dyDescent="0.2">
      <c r="BG1991"/>
    </row>
    <row r="1992" spans="59:59" hidden="1" x14ac:dyDescent="0.2">
      <c r="BG1992"/>
    </row>
    <row r="1993" spans="59:59" hidden="1" x14ac:dyDescent="0.2">
      <c r="BG1993"/>
    </row>
    <row r="1994" spans="59:59" hidden="1" x14ac:dyDescent="0.2">
      <c r="BG1994"/>
    </row>
    <row r="1995" spans="59:59" hidden="1" x14ac:dyDescent="0.2">
      <c r="BG1995"/>
    </row>
    <row r="1996" spans="59:59" hidden="1" x14ac:dyDescent="0.2">
      <c r="BG1996"/>
    </row>
    <row r="1997" spans="59:59" hidden="1" x14ac:dyDescent="0.2">
      <c r="BG1997"/>
    </row>
    <row r="1998" spans="59:59" hidden="1" x14ac:dyDescent="0.2">
      <c r="BG1998"/>
    </row>
    <row r="1999" spans="59:59" hidden="1" x14ac:dyDescent="0.2">
      <c r="BG1999"/>
    </row>
    <row r="2000" spans="59:59" hidden="1" x14ac:dyDescent="0.2">
      <c r="BG2000"/>
    </row>
    <row r="2001" spans="59:59" hidden="1" x14ac:dyDescent="0.2">
      <c r="BG2001"/>
    </row>
    <row r="2002" spans="59:59" hidden="1" x14ac:dyDescent="0.2">
      <c r="BG2002"/>
    </row>
    <row r="2003" spans="59:59" hidden="1" x14ac:dyDescent="0.2">
      <c r="BG2003"/>
    </row>
    <row r="2004" spans="59:59" hidden="1" x14ac:dyDescent="0.2">
      <c r="BG2004"/>
    </row>
    <row r="2005" spans="59:59" hidden="1" x14ac:dyDescent="0.2">
      <c r="BG2005"/>
    </row>
    <row r="2006" spans="59:59" hidden="1" x14ac:dyDescent="0.2">
      <c r="BG2006"/>
    </row>
    <row r="2007" spans="59:59" hidden="1" x14ac:dyDescent="0.2">
      <c r="BG2007"/>
    </row>
    <row r="2008" spans="59:59" hidden="1" x14ac:dyDescent="0.2">
      <c r="BG2008"/>
    </row>
    <row r="2009" spans="59:59" hidden="1" x14ac:dyDescent="0.2">
      <c r="BG2009"/>
    </row>
    <row r="2010" spans="59:59" hidden="1" x14ac:dyDescent="0.2">
      <c r="BG2010"/>
    </row>
    <row r="2011" spans="59:59" hidden="1" x14ac:dyDescent="0.2">
      <c r="BG2011"/>
    </row>
    <row r="2012" spans="59:59" hidden="1" x14ac:dyDescent="0.2">
      <c r="BG2012"/>
    </row>
    <row r="2013" spans="59:59" hidden="1" x14ac:dyDescent="0.2">
      <c r="BG2013"/>
    </row>
    <row r="2014" spans="59:59" hidden="1" x14ac:dyDescent="0.2">
      <c r="BG2014"/>
    </row>
    <row r="2015" spans="59:59" hidden="1" x14ac:dyDescent="0.2">
      <c r="BG2015"/>
    </row>
    <row r="2016" spans="59:59" hidden="1" x14ac:dyDescent="0.2">
      <c r="BG2016"/>
    </row>
    <row r="2017" spans="59:59" hidden="1" x14ac:dyDescent="0.2">
      <c r="BG2017"/>
    </row>
    <row r="2018" spans="59:59" hidden="1" x14ac:dyDescent="0.2">
      <c r="BG2018"/>
    </row>
    <row r="2019" spans="59:59" hidden="1" x14ac:dyDescent="0.2">
      <c r="BG2019"/>
    </row>
    <row r="2020" spans="59:59" hidden="1" x14ac:dyDescent="0.2">
      <c r="BG2020"/>
    </row>
    <row r="2021" spans="59:59" hidden="1" x14ac:dyDescent="0.2">
      <c r="BG2021"/>
    </row>
    <row r="2022" spans="59:59" hidden="1" x14ac:dyDescent="0.2">
      <c r="BG2022"/>
    </row>
    <row r="2023" spans="59:59" hidden="1" x14ac:dyDescent="0.2">
      <c r="BG2023"/>
    </row>
    <row r="2024" spans="59:59" hidden="1" x14ac:dyDescent="0.2">
      <c r="BG2024"/>
    </row>
    <row r="2025" spans="59:59" hidden="1" x14ac:dyDescent="0.2">
      <c r="BG2025"/>
    </row>
    <row r="2026" spans="59:59" hidden="1" x14ac:dyDescent="0.2">
      <c r="BG2026"/>
    </row>
    <row r="2027" spans="59:59" hidden="1" x14ac:dyDescent="0.2">
      <c r="BG2027"/>
    </row>
    <row r="2028" spans="59:59" hidden="1" x14ac:dyDescent="0.2">
      <c r="BG2028"/>
    </row>
    <row r="2029" spans="59:59" hidden="1" x14ac:dyDescent="0.2">
      <c r="BG2029"/>
    </row>
    <row r="2030" spans="59:59" hidden="1" x14ac:dyDescent="0.2">
      <c r="BG2030"/>
    </row>
    <row r="2031" spans="59:59" hidden="1" x14ac:dyDescent="0.2">
      <c r="BG2031"/>
    </row>
    <row r="2032" spans="59:59" hidden="1" x14ac:dyDescent="0.2">
      <c r="BG2032"/>
    </row>
    <row r="2033" spans="59:59" hidden="1" x14ac:dyDescent="0.2">
      <c r="BG2033"/>
    </row>
    <row r="2034" spans="59:59" hidden="1" x14ac:dyDescent="0.2">
      <c r="BG2034"/>
    </row>
    <row r="2035" spans="59:59" hidden="1" x14ac:dyDescent="0.2">
      <c r="BG2035"/>
    </row>
    <row r="2036" spans="59:59" hidden="1" x14ac:dyDescent="0.2">
      <c r="BG2036"/>
    </row>
    <row r="2037" spans="59:59" hidden="1" x14ac:dyDescent="0.2">
      <c r="BG2037"/>
    </row>
    <row r="2038" spans="59:59" hidden="1" x14ac:dyDescent="0.2">
      <c r="BG2038"/>
    </row>
    <row r="2039" spans="59:59" hidden="1" x14ac:dyDescent="0.2">
      <c r="BG2039"/>
    </row>
    <row r="2040" spans="59:59" hidden="1" x14ac:dyDescent="0.2">
      <c r="BG2040"/>
    </row>
    <row r="2041" spans="59:59" hidden="1" x14ac:dyDescent="0.2">
      <c r="BG2041"/>
    </row>
    <row r="2042" spans="59:59" hidden="1" x14ac:dyDescent="0.2">
      <c r="BG2042"/>
    </row>
    <row r="2043" spans="59:59" hidden="1" x14ac:dyDescent="0.2">
      <c r="BG2043"/>
    </row>
    <row r="2044" spans="59:59" hidden="1" x14ac:dyDescent="0.2">
      <c r="BG2044"/>
    </row>
    <row r="2045" spans="59:59" hidden="1" x14ac:dyDescent="0.2">
      <c r="BG2045"/>
    </row>
    <row r="2046" spans="59:59" hidden="1" x14ac:dyDescent="0.2">
      <c r="BG2046"/>
    </row>
    <row r="2047" spans="59:59" hidden="1" x14ac:dyDescent="0.2">
      <c r="BG2047"/>
    </row>
    <row r="2048" spans="59:59" hidden="1" x14ac:dyDescent="0.2">
      <c r="BG2048"/>
    </row>
    <row r="2049" spans="59:59" hidden="1" x14ac:dyDescent="0.2">
      <c r="BG2049"/>
    </row>
    <row r="2050" spans="59:59" hidden="1" x14ac:dyDescent="0.2">
      <c r="BG2050"/>
    </row>
    <row r="2051" spans="59:59" hidden="1" x14ac:dyDescent="0.2">
      <c r="BG2051"/>
    </row>
    <row r="2052" spans="59:59" hidden="1" x14ac:dyDescent="0.2">
      <c r="BG2052"/>
    </row>
    <row r="2053" spans="59:59" hidden="1" x14ac:dyDescent="0.2">
      <c r="BG2053"/>
    </row>
    <row r="2054" spans="59:59" hidden="1" x14ac:dyDescent="0.2">
      <c r="BG2054"/>
    </row>
    <row r="2055" spans="59:59" hidden="1" x14ac:dyDescent="0.2">
      <c r="BG2055"/>
    </row>
    <row r="2056" spans="59:59" hidden="1" x14ac:dyDescent="0.2">
      <c r="BG2056"/>
    </row>
    <row r="2057" spans="59:59" hidden="1" x14ac:dyDescent="0.2">
      <c r="BG2057"/>
    </row>
    <row r="2058" spans="59:59" hidden="1" x14ac:dyDescent="0.2">
      <c r="BG2058"/>
    </row>
    <row r="2059" spans="59:59" hidden="1" x14ac:dyDescent="0.2">
      <c r="BG2059"/>
    </row>
    <row r="2060" spans="59:59" hidden="1" x14ac:dyDescent="0.2">
      <c r="BG2060"/>
    </row>
    <row r="2061" spans="59:59" hidden="1" x14ac:dyDescent="0.2">
      <c r="BG2061"/>
    </row>
    <row r="2062" spans="59:59" hidden="1" x14ac:dyDescent="0.2">
      <c r="BG2062"/>
    </row>
    <row r="2063" spans="59:59" hidden="1" x14ac:dyDescent="0.2">
      <c r="BG2063"/>
    </row>
    <row r="2064" spans="59:59" hidden="1" x14ac:dyDescent="0.2">
      <c r="BG2064"/>
    </row>
    <row r="2065" spans="59:59" hidden="1" x14ac:dyDescent="0.2">
      <c r="BG2065"/>
    </row>
    <row r="2066" spans="59:59" hidden="1" x14ac:dyDescent="0.2">
      <c r="BG2066"/>
    </row>
    <row r="2067" spans="59:59" hidden="1" x14ac:dyDescent="0.2">
      <c r="BG2067"/>
    </row>
    <row r="2068" spans="59:59" hidden="1" x14ac:dyDescent="0.2">
      <c r="BG2068"/>
    </row>
    <row r="2069" spans="59:59" hidden="1" x14ac:dyDescent="0.2">
      <c r="BG2069"/>
    </row>
    <row r="2070" spans="59:59" hidden="1" x14ac:dyDescent="0.2">
      <c r="BG2070"/>
    </row>
    <row r="2071" spans="59:59" hidden="1" x14ac:dyDescent="0.2">
      <c r="BG2071"/>
    </row>
    <row r="2072" spans="59:59" hidden="1" x14ac:dyDescent="0.2">
      <c r="BG2072"/>
    </row>
    <row r="2073" spans="59:59" hidden="1" x14ac:dyDescent="0.2">
      <c r="BG2073"/>
    </row>
    <row r="2074" spans="59:59" hidden="1" x14ac:dyDescent="0.2">
      <c r="BG2074"/>
    </row>
    <row r="2075" spans="59:59" hidden="1" x14ac:dyDescent="0.2">
      <c r="BG2075"/>
    </row>
    <row r="2076" spans="59:59" hidden="1" x14ac:dyDescent="0.2">
      <c r="BG2076"/>
    </row>
    <row r="2077" spans="59:59" hidden="1" x14ac:dyDescent="0.2">
      <c r="BG2077"/>
    </row>
    <row r="2078" spans="59:59" hidden="1" x14ac:dyDescent="0.2">
      <c r="BG2078"/>
    </row>
    <row r="2079" spans="59:59" hidden="1" x14ac:dyDescent="0.2">
      <c r="BG2079"/>
    </row>
    <row r="2080" spans="59:59" hidden="1" x14ac:dyDescent="0.2">
      <c r="BG2080"/>
    </row>
    <row r="2081" spans="59:59" hidden="1" x14ac:dyDescent="0.2">
      <c r="BG2081"/>
    </row>
    <row r="2082" spans="59:59" hidden="1" x14ac:dyDescent="0.2">
      <c r="BG2082"/>
    </row>
    <row r="2083" spans="59:59" hidden="1" x14ac:dyDescent="0.2">
      <c r="BG2083"/>
    </row>
    <row r="2084" spans="59:59" hidden="1" x14ac:dyDescent="0.2">
      <c r="BG2084"/>
    </row>
    <row r="2085" spans="59:59" hidden="1" x14ac:dyDescent="0.2">
      <c r="BG2085"/>
    </row>
    <row r="2086" spans="59:59" hidden="1" x14ac:dyDescent="0.2">
      <c r="BG2086"/>
    </row>
    <row r="2087" spans="59:59" hidden="1" x14ac:dyDescent="0.2">
      <c r="BG2087"/>
    </row>
    <row r="2088" spans="59:59" hidden="1" x14ac:dyDescent="0.2">
      <c r="BG2088"/>
    </row>
    <row r="2089" spans="59:59" hidden="1" x14ac:dyDescent="0.2">
      <c r="BG2089"/>
    </row>
    <row r="2090" spans="59:59" hidden="1" x14ac:dyDescent="0.2">
      <c r="BG2090"/>
    </row>
    <row r="2091" spans="59:59" hidden="1" x14ac:dyDescent="0.2">
      <c r="BG2091"/>
    </row>
    <row r="2092" spans="59:59" hidden="1" x14ac:dyDescent="0.2">
      <c r="BG2092"/>
    </row>
    <row r="2093" spans="59:59" hidden="1" x14ac:dyDescent="0.2">
      <c r="BG2093"/>
    </row>
    <row r="2094" spans="59:59" hidden="1" x14ac:dyDescent="0.2">
      <c r="BG2094"/>
    </row>
    <row r="2095" spans="59:59" hidden="1" x14ac:dyDescent="0.2">
      <c r="BG2095"/>
    </row>
    <row r="2096" spans="59:59" hidden="1" x14ac:dyDescent="0.2">
      <c r="BG2096"/>
    </row>
    <row r="2097" spans="59:59" hidden="1" x14ac:dyDescent="0.2">
      <c r="BG2097"/>
    </row>
    <row r="2098" spans="59:59" hidden="1" x14ac:dyDescent="0.2">
      <c r="BG2098"/>
    </row>
    <row r="2099" spans="59:59" hidden="1" x14ac:dyDescent="0.2">
      <c r="BG2099"/>
    </row>
    <row r="2100" spans="59:59" hidden="1" x14ac:dyDescent="0.2">
      <c r="BG2100"/>
    </row>
    <row r="2101" spans="59:59" hidden="1" x14ac:dyDescent="0.2">
      <c r="BG2101"/>
    </row>
    <row r="2102" spans="59:59" hidden="1" x14ac:dyDescent="0.2">
      <c r="BG2102"/>
    </row>
    <row r="2103" spans="59:59" hidden="1" x14ac:dyDescent="0.2">
      <c r="BG2103"/>
    </row>
    <row r="2104" spans="59:59" hidden="1" x14ac:dyDescent="0.2">
      <c r="BG2104"/>
    </row>
    <row r="2105" spans="59:59" hidden="1" x14ac:dyDescent="0.2">
      <c r="BG2105"/>
    </row>
    <row r="2106" spans="59:59" hidden="1" x14ac:dyDescent="0.2">
      <c r="BG2106"/>
    </row>
    <row r="2107" spans="59:59" hidden="1" x14ac:dyDescent="0.2">
      <c r="BG2107"/>
    </row>
    <row r="2108" spans="59:59" hidden="1" x14ac:dyDescent="0.2">
      <c r="BG2108"/>
    </row>
    <row r="2109" spans="59:59" hidden="1" x14ac:dyDescent="0.2">
      <c r="BG2109"/>
    </row>
    <row r="2110" spans="59:59" hidden="1" x14ac:dyDescent="0.2">
      <c r="BG2110"/>
    </row>
    <row r="2111" spans="59:59" hidden="1" x14ac:dyDescent="0.2">
      <c r="BG2111"/>
    </row>
    <row r="2112" spans="59:59" hidden="1" x14ac:dyDescent="0.2">
      <c r="BG2112"/>
    </row>
    <row r="2113" spans="59:59" hidden="1" x14ac:dyDescent="0.2">
      <c r="BG2113"/>
    </row>
    <row r="2114" spans="59:59" hidden="1" x14ac:dyDescent="0.2">
      <c r="BG2114"/>
    </row>
    <row r="2115" spans="59:59" hidden="1" x14ac:dyDescent="0.2">
      <c r="BG2115"/>
    </row>
    <row r="2116" spans="59:59" hidden="1" x14ac:dyDescent="0.2">
      <c r="BG2116"/>
    </row>
    <row r="2117" spans="59:59" hidden="1" x14ac:dyDescent="0.2">
      <c r="BG2117"/>
    </row>
    <row r="2118" spans="59:59" hidden="1" x14ac:dyDescent="0.2">
      <c r="BG2118"/>
    </row>
    <row r="2119" spans="59:59" hidden="1" x14ac:dyDescent="0.2">
      <c r="BG2119"/>
    </row>
    <row r="2120" spans="59:59" hidden="1" x14ac:dyDescent="0.2">
      <c r="BG2120"/>
    </row>
    <row r="2121" spans="59:59" hidden="1" x14ac:dyDescent="0.2">
      <c r="BG2121"/>
    </row>
    <row r="2122" spans="59:59" hidden="1" x14ac:dyDescent="0.2">
      <c r="BG2122"/>
    </row>
    <row r="2123" spans="59:59" hidden="1" x14ac:dyDescent="0.2">
      <c r="BG2123"/>
    </row>
    <row r="2124" spans="59:59" hidden="1" x14ac:dyDescent="0.2">
      <c r="BG2124"/>
    </row>
    <row r="2125" spans="59:59" hidden="1" x14ac:dyDescent="0.2">
      <c r="BG2125"/>
    </row>
    <row r="2126" spans="59:59" hidden="1" x14ac:dyDescent="0.2">
      <c r="BG2126"/>
    </row>
    <row r="2127" spans="59:59" hidden="1" x14ac:dyDescent="0.2">
      <c r="BG2127"/>
    </row>
    <row r="2128" spans="59:59" hidden="1" x14ac:dyDescent="0.2">
      <c r="BG2128"/>
    </row>
    <row r="2129" spans="59:59" hidden="1" x14ac:dyDescent="0.2">
      <c r="BG2129"/>
    </row>
    <row r="2130" spans="59:59" hidden="1" x14ac:dyDescent="0.2">
      <c r="BG2130"/>
    </row>
    <row r="2131" spans="59:59" hidden="1" x14ac:dyDescent="0.2">
      <c r="BG2131"/>
    </row>
    <row r="2132" spans="59:59" hidden="1" x14ac:dyDescent="0.2">
      <c r="BG2132"/>
    </row>
    <row r="2133" spans="59:59" hidden="1" x14ac:dyDescent="0.2">
      <c r="BG2133"/>
    </row>
    <row r="2134" spans="59:59" hidden="1" x14ac:dyDescent="0.2">
      <c r="BG2134"/>
    </row>
    <row r="2135" spans="59:59" hidden="1" x14ac:dyDescent="0.2">
      <c r="BG2135"/>
    </row>
    <row r="2136" spans="59:59" hidden="1" x14ac:dyDescent="0.2">
      <c r="BG2136"/>
    </row>
    <row r="2137" spans="59:59" hidden="1" x14ac:dyDescent="0.2">
      <c r="BG2137"/>
    </row>
    <row r="2138" spans="59:59" hidden="1" x14ac:dyDescent="0.2">
      <c r="BG2138"/>
    </row>
    <row r="2139" spans="59:59" hidden="1" x14ac:dyDescent="0.2">
      <c r="BG2139"/>
    </row>
    <row r="2140" spans="59:59" hidden="1" x14ac:dyDescent="0.2">
      <c r="BG2140"/>
    </row>
    <row r="2141" spans="59:59" hidden="1" x14ac:dyDescent="0.2">
      <c r="BG2141"/>
    </row>
    <row r="2142" spans="59:59" hidden="1" x14ac:dyDescent="0.2">
      <c r="BG2142"/>
    </row>
    <row r="2143" spans="59:59" hidden="1" x14ac:dyDescent="0.2">
      <c r="BG2143"/>
    </row>
    <row r="2144" spans="59:59" hidden="1" x14ac:dyDescent="0.2">
      <c r="BG2144"/>
    </row>
    <row r="2145" spans="59:59" hidden="1" x14ac:dyDescent="0.2">
      <c r="BG2145"/>
    </row>
    <row r="2146" spans="59:59" hidden="1" x14ac:dyDescent="0.2">
      <c r="BG2146"/>
    </row>
    <row r="2147" spans="59:59" hidden="1" x14ac:dyDescent="0.2">
      <c r="BG2147"/>
    </row>
    <row r="2148" spans="59:59" hidden="1" x14ac:dyDescent="0.2">
      <c r="BG2148"/>
    </row>
    <row r="2149" spans="59:59" hidden="1" x14ac:dyDescent="0.2">
      <c r="BG2149"/>
    </row>
    <row r="2150" spans="59:59" hidden="1" x14ac:dyDescent="0.2">
      <c r="BG2150"/>
    </row>
    <row r="2151" spans="59:59" hidden="1" x14ac:dyDescent="0.2">
      <c r="BG2151"/>
    </row>
    <row r="2152" spans="59:59" hidden="1" x14ac:dyDescent="0.2">
      <c r="BG2152"/>
    </row>
    <row r="2153" spans="59:59" hidden="1" x14ac:dyDescent="0.2">
      <c r="BG2153"/>
    </row>
    <row r="2154" spans="59:59" hidden="1" x14ac:dyDescent="0.2">
      <c r="BG2154"/>
    </row>
    <row r="2155" spans="59:59" hidden="1" x14ac:dyDescent="0.2">
      <c r="BG2155"/>
    </row>
    <row r="2156" spans="59:59" hidden="1" x14ac:dyDescent="0.2">
      <c r="BG2156"/>
    </row>
    <row r="2157" spans="59:59" hidden="1" x14ac:dyDescent="0.2">
      <c r="BG2157"/>
    </row>
    <row r="2158" spans="59:59" hidden="1" x14ac:dyDescent="0.2">
      <c r="BG2158"/>
    </row>
    <row r="2159" spans="59:59" hidden="1" x14ac:dyDescent="0.2">
      <c r="BG2159"/>
    </row>
    <row r="2160" spans="59:59" hidden="1" x14ac:dyDescent="0.2">
      <c r="BG2160"/>
    </row>
    <row r="2161" spans="59:59" hidden="1" x14ac:dyDescent="0.2">
      <c r="BG2161"/>
    </row>
    <row r="2162" spans="59:59" hidden="1" x14ac:dyDescent="0.2">
      <c r="BG2162"/>
    </row>
    <row r="2163" spans="59:59" hidden="1" x14ac:dyDescent="0.2">
      <c r="BG2163"/>
    </row>
    <row r="2164" spans="59:59" hidden="1" x14ac:dyDescent="0.2">
      <c r="BG2164"/>
    </row>
    <row r="2165" spans="59:59" hidden="1" x14ac:dyDescent="0.2">
      <c r="BG2165"/>
    </row>
    <row r="2166" spans="59:59" hidden="1" x14ac:dyDescent="0.2">
      <c r="BG2166"/>
    </row>
    <row r="2167" spans="59:59" hidden="1" x14ac:dyDescent="0.2">
      <c r="BG2167"/>
    </row>
    <row r="2168" spans="59:59" hidden="1" x14ac:dyDescent="0.2">
      <c r="BG2168"/>
    </row>
    <row r="2169" spans="59:59" hidden="1" x14ac:dyDescent="0.2">
      <c r="BG2169"/>
    </row>
    <row r="2170" spans="59:59" hidden="1" x14ac:dyDescent="0.2">
      <c r="BG2170"/>
    </row>
    <row r="2171" spans="59:59" hidden="1" x14ac:dyDescent="0.2">
      <c r="BG2171"/>
    </row>
    <row r="2172" spans="59:59" hidden="1" x14ac:dyDescent="0.2">
      <c r="BG2172"/>
    </row>
    <row r="2173" spans="59:59" hidden="1" x14ac:dyDescent="0.2">
      <c r="BG2173"/>
    </row>
    <row r="2174" spans="59:59" hidden="1" x14ac:dyDescent="0.2">
      <c r="BG2174"/>
    </row>
    <row r="2175" spans="59:59" hidden="1" x14ac:dyDescent="0.2">
      <c r="BG2175"/>
    </row>
    <row r="2176" spans="59:59" hidden="1" x14ac:dyDescent="0.2">
      <c r="BG2176"/>
    </row>
    <row r="2177" spans="59:59" hidden="1" x14ac:dyDescent="0.2">
      <c r="BG2177"/>
    </row>
    <row r="2178" spans="59:59" hidden="1" x14ac:dyDescent="0.2">
      <c r="BG2178"/>
    </row>
    <row r="2179" spans="59:59" hidden="1" x14ac:dyDescent="0.2">
      <c r="BG2179"/>
    </row>
    <row r="2180" spans="59:59" hidden="1" x14ac:dyDescent="0.2">
      <c r="BG2180"/>
    </row>
    <row r="2181" spans="59:59" hidden="1" x14ac:dyDescent="0.2">
      <c r="BG2181"/>
    </row>
    <row r="2182" spans="59:59" hidden="1" x14ac:dyDescent="0.2">
      <c r="BG2182"/>
    </row>
    <row r="2183" spans="59:59" hidden="1" x14ac:dyDescent="0.2">
      <c r="BG2183"/>
    </row>
    <row r="2184" spans="59:59" hidden="1" x14ac:dyDescent="0.2">
      <c r="BG2184"/>
    </row>
    <row r="2185" spans="59:59" hidden="1" x14ac:dyDescent="0.2">
      <c r="BG2185"/>
    </row>
    <row r="2186" spans="59:59" hidden="1" x14ac:dyDescent="0.2">
      <c r="BG2186"/>
    </row>
    <row r="2187" spans="59:59" hidden="1" x14ac:dyDescent="0.2">
      <c r="BG2187"/>
    </row>
    <row r="2188" spans="59:59" hidden="1" x14ac:dyDescent="0.2">
      <c r="BG2188"/>
    </row>
    <row r="2189" spans="59:59" hidden="1" x14ac:dyDescent="0.2">
      <c r="BG2189"/>
    </row>
    <row r="2190" spans="59:59" hidden="1" x14ac:dyDescent="0.2">
      <c r="BG2190"/>
    </row>
    <row r="2191" spans="59:59" hidden="1" x14ac:dyDescent="0.2">
      <c r="BG2191"/>
    </row>
    <row r="2192" spans="59:59" hidden="1" x14ac:dyDescent="0.2">
      <c r="BG2192"/>
    </row>
    <row r="2193" spans="59:59" hidden="1" x14ac:dyDescent="0.2">
      <c r="BG2193"/>
    </row>
    <row r="2194" spans="59:59" hidden="1" x14ac:dyDescent="0.2">
      <c r="BG2194"/>
    </row>
    <row r="2195" spans="59:59" hidden="1" x14ac:dyDescent="0.2">
      <c r="BG2195"/>
    </row>
    <row r="2196" spans="59:59" hidden="1" x14ac:dyDescent="0.2">
      <c r="BG2196"/>
    </row>
    <row r="2197" spans="59:59" hidden="1" x14ac:dyDescent="0.2">
      <c r="BG2197"/>
    </row>
    <row r="2198" spans="59:59" hidden="1" x14ac:dyDescent="0.2">
      <c r="BG2198"/>
    </row>
    <row r="2199" spans="59:59" hidden="1" x14ac:dyDescent="0.2">
      <c r="BG2199"/>
    </row>
    <row r="2200" spans="59:59" hidden="1" x14ac:dyDescent="0.2">
      <c r="BG2200"/>
    </row>
    <row r="2201" spans="59:59" hidden="1" x14ac:dyDescent="0.2">
      <c r="BG2201"/>
    </row>
    <row r="2202" spans="59:59" hidden="1" x14ac:dyDescent="0.2">
      <c r="BG2202"/>
    </row>
    <row r="2203" spans="59:59" hidden="1" x14ac:dyDescent="0.2">
      <c r="BG2203"/>
    </row>
    <row r="2204" spans="59:59" hidden="1" x14ac:dyDescent="0.2">
      <c r="BG2204"/>
    </row>
    <row r="2205" spans="59:59" hidden="1" x14ac:dyDescent="0.2">
      <c r="BG2205"/>
    </row>
    <row r="2206" spans="59:59" hidden="1" x14ac:dyDescent="0.2">
      <c r="BG2206"/>
    </row>
    <row r="2207" spans="59:59" hidden="1" x14ac:dyDescent="0.2">
      <c r="BG2207"/>
    </row>
    <row r="2208" spans="59:59" hidden="1" x14ac:dyDescent="0.2">
      <c r="BG2208"/>
    </row>
    <row r="2209" spans="59:59" hidden="1" x14ac:dyDescent="0.2">
      <c r="BG2209"/>
    </row>
    <row r="2210" spans="59:59" hidden="1" x14ac:dyDescent="0.2">
      <c r="BG2210"/>
    </row>
    <row r="2211" spans="59:59" hidden="1" x14ac:dyDescent="0.2">
      <c r="BG2211"/>
    </row>
    <row r="2212" spans="59:59" hidden="1" x14ac:dyDescent="0.2">
      <c r="BG2212"/>
    </row>
    <row r="2213" spans="59:59" hidden="1" x14ac:dyDescent="0.2">
      <c r="BG2213"/>
    </row>
    <row r="2214" spans="59:59" hidden="1" x14ac:dyDescent="0.2">
      <c r="BG2214"/>
    </row>
    <row r="2215" spans="59:59" hidden="1" x14ac:dyDescent="0.2">
      <c r="BG2215"/>
    </row>
    <row r="2216" spans="59:59" hidden="1" x14ac:dyDescent="0.2">
      <c r="BG2216"/>
    </row>
    <row r="2217" spans="59:59" hidden="1" x14ac:dyDescent="0.2">
      <c r="BG2217"/>
    </row>
    <row r="2218" spans="59:59" hidden="1" x14ac:dyDescent="0.2">
      <c r="BG2218"/>
    </row>
    <row r="2219" spans="59:59" hidden="1" x14ac:dyDescent="0.2">
      <c r="BG2219"/>
    </row>
    <row r="2220" spans="59:59" hidden="1" x14ac:dyDescent="0.2">
      <c r="BG2220"/>
    </row>
    <row r="2221" spans="59:59" hidden="1" x14ac:dyDescent="0.2">
      <c r="BG2221"/>
    </row>
    <row r="2222" spans="59:59" hidden="1" x14ac:dyDescent="0.2">
      <c r="BG2222"/>
    </row>
    <row r="2223" spans="59:59" hidden="1" x14ac:dyDescent="0.2">
      <c r="BG2223"/>
    </row>
    <row r="2224" spans="59:59" hidden="1" x14ac:dyDescent="0.2">
      <c r="BG2224"/>
    </row>
    <row r="2225" spans="59:59" hidden="1" x14ac:dyDescent="0.2">
      <c r="BG2225"/>
    </row>
    <row r="2226" spans="59:59" hidden="1" x14ac:dyDescent="0.2">
      <c r="BG2226"/>
    </row>
    <row r="2227" spans="59:59" hidden="1" x14ac:dyDescent="0.2">
      <c r="BG2227"/>
    </row>
    <row r="2228" spans="59:59" hidden="1" x14ac:dyDescent="0.2">
      <c r="BG2228"/>
    </row>
    <row r="2229" spans="59:59" hidden="1" x14ac:dyDescent="0.2">
      <c r="BG2229"/>
    </row>
    <row r="2230" spans="59:59" hidden="1" x14ac:dyDescent="0.2">
      <c r="BG2230"/>
    </row>
    <row r="2231" spans="59:59" hidden="1" x14ac:dyDescent="0.2">
      <c r="BG2231"/>
    </row>
    <row r="2232" spans="59:59" hidden="1" x14ac:dyDescent="0.2">
      <c r="BG2232"/>
    </row>
    <row r="2233" spans="59:59" hidden="1" x14ac:dyDescent="0.2">
      <c r="BG2233"/>
    </row>
    <row r="2234" spans="59:59" hidden="1" x14ac:dyDescent="0.2">
      <c r="BG2234"/>
    </row>
    <row r="2235" spans="59:59" hidden="1" x14ac:dyDescent="0.2">
      <c r="BG2235"/>
    </row>
    <row r="2236" spans="59:59" hidden="1" x14ac:dyDescent="0.2">
      <c r="BG2236"/>
    </row>
    <row r="2237" spans="59:59" hidden="1" x14ac:dyDescent="0.2">
      <c r="BG2237"/>
    </row>
    <row r="2238" spans="59:59" hidden="1" x14ac:dyDescent="0.2">
      <c r="BG2238"/>
    </row>
    <row r="2239" spans="59:59" hidden="1" x14ac:dyDescent="0.2">
      <c r="BG2239"/>
    </row>
    <row r="2240" spans="59:59" hidden="1" x14ac:dyDescent="0.2">
      <c r="BG2240"/>
    </row>
    <row r="2241" spans="59:59" hidden="1" x14ac:dyDescent="0.2">
      <c r="BG2241"/>
    </row>
    <row r="2242" spans="59:59" hidden="1" x14ac:dyDescent="0.2">
      <c r="BG2242"/>
    </row>
    <row r="2243" spans="59:59" hidden="1" x14ac:dyDescent="0.2">
      <c r="BG2243"/>
    </row>
    <row r="2244" spans="59:59" hidden="1" x14ac:dyDescent="0.2">
      <c r="BG2244"/>
    </row>
    <row r="2245" spans="59:59" hidden="1" x14ac:dyDescent="0.2">
      <c r="BG2245"/>
    </row>
    <row r="2246" spans="59:59" hidden="1" x14ac:dyDescent="0.2">
      <c r="BG2246"/>
    </row>
    <row r="2247" spans="59:59" hidden="1" x14ac:dyDescent="0.2">
      <c r="BG2247"/>
    </row>
    <row r="2248" spans="59:59" hidden="1" x14ac:dyDescent="0.2">
      <c r="BG2248"/>
    </row>
    <row r="2249" spans="59:59" hidden="1" x14ac:dyDescent="0.2">
      <c r="BG2249"/>
    </row>
    <row r="2250" spans="59:59" hidden="1" x14ac:dyDescent="0.2">
      <c r="BG2250"/>
    </row>
    <row r="2251" spans="59:59" hidden="1" x14ac:dyDescent="0.2">
      <c r="BG2251"/>
    </row>
    <row r="2252" spans="59:59" hidden="1" x14ac:dyDescent="0.2">
      <c r="BG2252"/>
    </row>
    <row r="2253" spans="59:59" hidden="1" x14ac:dyDescent="0.2">
      <c r="BG2253"/>
    </row>
    <row r="2254" spans="59:59" hidden="1" x14ac:dyDescent="0.2">
      <c r="BG2254"/>
    </row>
    <row r="2255" spans="59:59" hidden="1" x14ac:dyDescent="0.2">
      <c r="BG2255"/>
    </row>
    <row r="2256" spans="59:59" hidden="1" x14ac:dyDescent="0.2">
      <c r="BG2256"/>
    </row>
    <row r="2257" spans="59:59" hidden="1" x14ac:dyDescent="0.2">
      <c r="BG2257"/>
    </row>
    <row r="2258" spans="59:59" hidden="1" x14ac:dyDescent="0.2">
      <c r="BG2258"/>
    </row>
    <row r="2259" spans="59:59" hidden="1" x14ac:dyDescent="0.2">
      <c r="BG2259"/>
    </row>
    <row r="2260" spans="59:59" hidden="1" x14ac:dyDescent="0.2">
      <c r="BG2260"/>
    </row>
    <row r="2261" spans="59:59" hidden="1" x14ac:dyDescent="0.2">
      <c r="BG2261"/>
    </row>
    <row r="2262" spans="59:59" hidden="1" x14ac:dyDescent="0.2">
      <c r="BG2262"/>
    </row>
    <row r="2263" spans="59:59" hidden="1" x14ac:dyDescent="0.2">
      <c r="BG2263"/>
    </row>
    <row r="2264" spans="59:59" hidden="1" x14ac:dyDescent="0.2">
      <c r="BG2264"/>
    </row>
    <row r="2265" spans="59:59" hidden="1" x14ac:dyDescent="0.2">
      <c r="BG2265"/>
    </row>
    <row r="2266" spans="59:59" hidden="1" x14ac:dyDescent="0.2">
      <c r="BG2266"/>
    </row>
    <row r="2267" spans="59:59" hidden="1" x14ac:dyDescent="0.2">
      <c r="BG2267"/>
    </row>
    <row r="2268" spans="59:59" hidden="1" x14ac:dyDescent="0.2">
      <c r="BG2268"/>
    </row>
    <row r="2269" spans="59:59" hidden="1" x14ac:dyDescent="0.2">
      <c r="BG2269"/>
    </row>
    <row r="2270" spans="59:59" hidden="1" x14ac:dyDescent="0.2">
      <c r="BG2270"/>
    </row>
    <row r="2271" spans="59:59" hidden="1" x14ac:dyDescent="0.2">
      <c r="BG2271"/>
    </row>
    <row r="2272" spans="59:59" hidden="1" x14ac:dyDescent="0.2">
      <c r="BG2272"/>
    </row>
    <row r="2273" spans="59:59" hidden="1" x14ac:dyDescent="0.2">
      <c r="BG2273"/>
    </row>
    <row r="2274" spans="59:59" hidden="1" x14ac:dyDescent="0.2">
      <c r="BG2274"/>
    </row>
    <row r="2275" spans="59:59" hidden="1" x14ac:dyDescent="0.2">
      <c r="BG2275"/>
    </row>
    <row r="2276" spans="59:59" hidden="1" x14ac:dyDescent="0.2">
      <c r="BG2276"/>
    </row>
    <row r="2277" spans="59:59" hidden="1" x14ac:dyDescent="0.2">
      <c r="BG2277"/>
    </row>
    <row r="2278" spans="59:59" hidden="1" x14ac:dyDescent="0.2">
      <c r="BG2278"/>
    </row>
    <row r="2279" spans="59:59" hidden="1" x14ac:dyDescent="0.2">
      <c r="BG2279"/>
    </row>
    <row r="2280" spans="59:59" hidden="1" x14ac:dyDescent="0.2">
      <c r="BG2280"/>
    </row>
    <row r="2281" spans="59:59" hidden="1" x14ac:dyDescent="0.2">
      <c r="BG2281"/>
    </row>
    <row r="2282" spans="59:59" hidden="1" x14ac:dyDescent="0.2">
      <c r="BG2282"/>
    </row>
    <row r="2283" spans="59:59" hidden="1" x14ac:dyDescent="0.2">
      <c r="BG2283"/>
    </row>
    <row r="2284" spans="59:59" hidden="1" x14ac:dyDescent="0.2">
      <c r="BG2284"/>
    </row>
    <row r="2285" spans="59:59" hidden="1" x14ac:dyDescent="0.2">
      <c r="BG2285"/>
    </row>
    <row r="2286" spans="59:59" hidden="1" x14ac:dyDescent="0.2">
      <c r="BG2286"/>
    </row>
    <row r="2287" spans="59:59" hidden="1" x14ac:dyDescent="0.2">
      <c r="BG2287"/>
    </row>
    <row r="2288" spans="59:59" hidden="1" x14ac:dyDescent="0.2">
      <c r="BG2288"/>
    </row>
    <row r="2289" spans="59:59" hidden="1" x14ac:dyDescent="0.2">
      <c r="BG2289"/>
    </row>
    <row r="2290" spans="59:59" hidden="1" x14ac:dyDescent="0.2">
      <c r="BG2290"/>
    </row>
    <row r="2291" spans="59:59" hidden="1" x14ac:dyDescent="0.2">
      <c r="BG2291"/>
    </row>
    <row r="2292" spans="59:59" hidden="1" x14ac:dyDescent="0.2">
      <c r="BG2292"/>
    </row>
    <row r="2293" spans="59:59" hidden="1" x14ac:dyDescent="0.2">
      <c r="BG2293"/>
    </row>
    <row r="2294" spans="59:59" hidden="1" x14ac:dyDescent="0.2">
      <c r="BG2294"/>
    </row>
    <row r="2295" spans="59:59" hidden="1" x14ac:dyDescent="0.2">
      <c r="BG2295"/>
    </row>
    <row r="2296" spans="59:59" hidden="1" x14ac:dyDescent="0.2">
      <c r="BG2296"/>
    </row>
    <row r="2297" spans="59:59" hidden="1" x14ac:dyDescent="0.2">
      <c r="BG2297"/>
    </row>
    <row r="2298" spans="59:59" hidden="1" x14ac:dyDescent="0.2">
      <c r="BG2298"/>
    </row>
    <row r="2299" spans="59:59" hidden="1" x14ac:dyDescent="0.2">
      <c r="BG2299"/>
    </row>
    <row r="2300" spans="59:59" hidden="1" x14ac:dyDescent="0.2">
      <c r="BG2300"/>
    </row>
    <row r="2301" spans="59:59" hidden="1" x14ac:dyDescent="0.2">
      <c r="BG2301"/>
    </row>
    <row r="2302" spans="59:59" hidden="1" x14ac:dyDescent="0.2">
      <c r="BG2302"/>
    </row>
    <row r="2303" spans="59:59" hidden="1" x14ac:dyDescent="0.2">
      <c r="BG2303"/>
    </row>
    <row r="2304" spans="59:59" hidden="1" x14ac:dyDescent="0.2">
      <c r="BG2304"/>
    </row>
    <row r="2305" spans="59:59" hidden="1" x14ac:dyDescent="0.2">
      <c r="BG2305"/>
    </row>
    <row r="2306" spans="59:59" hidden="1" x14ac:dyDescent="0.2">
      <c r="BG2306"/>
    </row>
    <row r="2307" spans="59:59" hidden="1" x14ac:dyDescent="0.2">
      <c r="BG2307"/>
    </row>
    <row r="2308" spans="59:59" hidden="1" x14ac:dyDescent="0.2">
      <c r="BG2308"/>
    </row>
    <row r="2309" spans="59:59" hidden="1" x14ac:dyDescent="0.2">
      <c r="BG2309"/>
    </row>
    <row r="2310" spans="59:59" hidden="1" x14ac:dyDescent="0.2">
      <c r="BG2310"/>
    </row>
    <row r="2311" spans="59:59" hidden="1" x14ac:dyDescent="0.2">
      <c r="BG2311"/>
    </row>
    <row r="2312" spans="59:59" hidden="1" x14ac:dyDescent="0.2">
      <c r="BG2312"/>
    </row>
    <row r="2313" spans="59:59" hidden="1" x14ac:dyDescent="0.2">
      <c r="BG2313"/>
    </row>
    <row r="2314" spans="59:59" hidden="1" x14ac:dyDescent="0.2">
      <c r="BG2314"/>
    </row>
    <row r="2315" spans="59:59" hidden="1" x14ac:dyDescent="0.2">
      <c r="BG2315"/>
    </row>
    <row r="2316" spans="59:59" hidden="1" x14ac:dyDescent="0.2">
      <c r="BG2316"/>
    </row>
    <row r="2317" spans="59:59" hidden="1" x14ac:dyDescent="0.2">
      <c r="BG2317"/>
    </row>
    <row r="2318" spans="59:59" hidden="1" x14ac:dyDescent="0.2">
      <c r="BG2318"/>
    </row>
    <row r="2319" spans="59:59" hidden="1" x14ac:dyDescent="0.2">
      <c r="BG2319"/>
    </row>
    <row r="2320" spans="59:59" hidden="1" x14ac:dyDescent="0.2">
      <c r="BG2320"/>
    </row>
    <row r="2321" spans="59:59" hidden="1" x14ac:dyDescent="0.2">
      <c r="BG2321"/>
    </row>
    <row r="2322" spans="59:59" hidden="1" x14ac:dyDescent="0.2">
      <c r="BG2322"/>
    </row>
    <row r="2323" spans="59:59" hidden="1" x14ac:dyDescent="0.2">
      <c r="BG2323"/>
    </row>
    <row r="2324" spans="59:59" hidden="1" x14ac:dyDescent="0.2">
      <c r="BG2324"/>
    </row>
    <row r="2325" spans="59:59" hidden="1" x14ac:dyDescent="0.2">
      <c r="BG2325"/>
    </row>
    <row r="2326" spans="59:59" hidden="1" x14ac:dyDescent="0.2">
      <c r="BG2326"/>
    </row>
    <row r="2327" spans="59:59" hidden="1" x14ac:dyDescent="0.2">
      <c r="BG2327"/>
    </row>
    <row r="2328" spans="59:59" hidden="1" x14ac:dyDescent="0.2">
      <c r="BG2328"/>
    </row>
    <row r="2329" spans="59:59" hidden="1" x14ac:dyDescent="0.2">
      <c r="BG2329"/>
    </row>
    <row r="2330" spans="59:59" hidden="1" x14ac:dyDescent="0.2">
      <c r="BG2330"/>
    </row>
    <row r="2331" spans="59:59" hidden="1" x14ac:dyDescent="0.2">
      <c r="BG2331"/>
    </row>
    <row r="2332" spans="59:59" hidden="1" x14ac:dyDescent="0.2">
      <c r="BG2332"/>
    </row>
    <row r="2333" spans="59:59" hidden="1" x14ac:dyDescent="0.2">
      <c r="BG2333"/>
    </row>
    <row r="2334" spans="59:59" hidden="1" x14ac:dyDescent="0.2">
      <c r="BG2334"/>
    </row>
    <row r="2335" spans="59:59" hidden="1" x14ac:dyDescent="0.2">
      <c r="BG2335"/>
    </row>
    <row r="2336" spans="59:59" hidden="1" x14ac:dyDescent="0.2">
      <c r="BG2336"/>
    </row>
    <row r="2337" spans="59:59" hidden="1" x14ac:dyDescent="0.2">
      <c r="BG2337"/>
    </row>
    <row r="2338" spans="59:59" hidden="1" x14ac:dyDescent="0.2">
      <c r="BG2338"/>
    </row>
    <row r="2339" spans="59:59" hidden="1" x14ac:dyDescent="0.2">
      <c r="BG2339"/>
    </row>
    <row r="2340" spans="59:59" hidden="1" x14ac:dyDescent="0.2">
      <c r="BG2340"/>
    </row>
    <row r="2341" spans="59:59" hidden="1" x14ac:dyDescent="0.2">
      <c r="BG2341"/>
    </row>
    <row r="2342" spans="59:59" hidden="1" x14ac:dyDescent="0.2">
      <c r="BG2342"/>
    </row>
    <row r="2343" spans="59:59" hidden="1" x14ac:dyDescent="0.2">
      <c r="BG2343"/>
    </row>
    <row r="2344" spans="59:59" hidden="1" x14ac:dyDescent="0.2">
      <c r="BG2344"/>
    </row>
    <row r="2345" spans="59:59" hidden="1" x14ac:dyDescent="0.2">
      <c r="BG2345"/>
    </row>
    <row r="2346" spans="59:59" hidden="1" x14ac:dyDescent="0.2">
      <c r="BG2346"/>
    </row>
    <row r="2347" spans="59:59" hidden="1" x14ac:dyDescent="0.2">
      <c r="BG2347"/>
    </row>
    <row r="2348" spans="59:59" hidden="1" x14ac:dyDescent="0.2">
      <c r="BG2348"/>
    </row>
    <row r="2349" spans="59:59" hidden="1" x14ac:dyDescent="0.2">
      <c r="BG2349"/>
    </row>
    <row r="2350" spans="59:59" hidden="1" x14ac:dyDescent="0.2">
      <c r="BG2350"/>
    </row>
    <row r="2351" spans="59:59" hidden="1" x14ac:dyDescent="0.2">
      <c r="BG2351"/>
    </row>
    <row r="2352" spans="59:59" hidden="1" x14ac:dyDescent="0.2">
      <c r="BG2352"/>
    </row>
    <row r="2353" spans="59:59" hidden="1" x14ac:dyDescent="0.2">
      <c r="BG2353"/>
    </row>
    <row r="2354" spans="59:59" hidden="1" x14ac:dyDescent="0.2">
      <c r="BG2354"/>
    </row>
    <row r="2355" spans="59:59" hidden="1" x14ac:dyDescent="0.2">
      <c r="BG2355"/>
    </row>
    <row r="2356" spans="59:59" hidden="1" x14ac:dyDescent="0.2">
      <c r="BG2356"/>
    </row>
    <row r="2357" spans="59:59" hidden="1" x14ac:dyDescent="0.2">
      <c r="BG2357"/>
    </row>
    <row r="2358" spans="59:59" hidden="1" x14ac:dyDescent="0.2">
      <c r="BG2358"/>
    </row>
    <row r="2359" spans="59:59" hidden="1" x14ac:dyDescent="0.2">
      <c r="BG2359"/>
    </row>
    <row r="2360" spans="59:59" hidden="1" x14ac:dyDescent="0.2">
      <c r="BG2360"/>
    </row>
    <row r="2361" spans="59:59" hidden="1" x14ac:dyDescent="0.2">
      <c r="BG2361"/>
    </row>
    <row r="2362" spans="59:59" hidden="1" x14ac:dyDescent="0.2">
      <c r="BG2362"/>
    </row>
    <row r="2363" spans="59:59" hidden="1" x14ac:dyDescent="0.2">
      <c r="BG2363"/>
    </row>
    <row r="2364" spans="59:59" hidden="1" x14ac:dyDescent="0.2">
      <c r="BG2364"/>
    </row>
    <row r="2365" spans="59:59" hidden="1" x14ac:dyDescent="0.2">
      <c r="BG2365"/>
    </row>
    <row r="2366" spans="59:59" hidden="1" x14ac:dyDescent="0.2">
      <c r="BG2366"/>
    </row>
    <row r="2367" spans="59:59" hidden="1" x14ac:dyDescent="0.2">
      <c r="BG2367"/>
    </row>
    <row r="2368" spans="59:59" hidden="1" x14ac:dyDescent="0.2">
      <c r="BG2368"/>
    </row>
    <row r="2369" spans="59:59" hidden="1" x14ac:dyDescent="0.2">
      <c r="BG2369"/>
    </row>
    <row r="2370" spans="59:59" hidden="1" x14ac:dyDescent="0.2">
      <c r="BG2370"/>
    </row>
    <row r="2371" spans="59:59" hidden="1" x14ac:dyDescent="0.2">
      <c r="BG2371"/>
    </row>
    <row r="2372" spans="59:59" hidden="1" x14ac:dyDescent="0.2">
      <c r="BG2372"/>
    </row>
    <row r="2373" spans="59:59" hidden="1" x14ac:dyDescent="0.2">
      <c r="BG2373"/>
    </row>
    <row r="2374" spans="59:59" hidden="1" x14ac:dyDescent="0.2">
      <c r="BG2374"/>
    </row>
    <row r="2375" spans="59:59" hidden="1" x14ac:dyDescent="0.2">
      <c r="BG2375"/>
    </row>
    <row r="2376" spans="59:59" hidden="1" x14ac:dyDescent="0.2">
      <c r="BG2376"/>
    </row>
    <row r="2377" spans="59:59" hidden="1" x14ac:dyDescent="0.2">
      <c r="BG2377"/>
    </row>
    <row r="2378" spans="59:59" hidden="1" x14ac:dyDescent="0.2">
      <c r="BG2378"/>
    </row>
    <row r="2379" spans="59:59" hidden="1" x14ac:dyDescent="0.2">
      <c r="BG2379"/>
    </row>
    <row r="2380" spans="59:59" hidden="1" x14ac:dyDescent="0.2">
      <c r="BG2380"/>
    </row>
    <row r="2381" spans="59:59" hidden="1" x14ac:dyDescent="0.2">
      <c r="BG2381"/>
    </row>
    <row r="2382" spans="59:59" hidden="1" x14ac:dyDescent="0.2">
      <c r="BG2382"/>
    </row>
    <row r="2383" spans="59:59" hidden="1" x14ac:dyDescent="0.2">
      <c r="BG2383"/>
    </row>
    <row r="2384" spans="59:59" hidden="1" x14ac:dyDescent="0.2">
      <c r="BG2384"/>
    </row>
    <row r="2385" spans="59:59" hidden="1" x14ac:dyDescent="0.2">
      <c r="BG2385"/>
    </row>
    <row r="2386" spans="59:59" hidden="1" x14ac:dyDescent="0.2">
      <c r="BG2386"/>
    </row>
    <row r="2387" spans="59:59" hidden="1" x14ac:dyDescent="0.2">
      <c r="BG2387"/>
    </row>
    <row r="2388" spans="59:59" hidden="1" x14ac:dyDescent="0.2">
      <c r="BG2388"/>
    </row>
    <row r="2389" spans="59:59" hidden="1" x14ac:dyDescent="0.2">
      <c r="BG2389"/>
    </row>
    <row r="2390" spans="59:59" hidden="1" x14ac:dyDescent="0.2">
      <c r="BG2390"/>
    </row>
    <row r="2391" spans="59:59" hidden="1" x14ac:dyDescent="0.2">
      <c r="BG2391"/>
    </row>
    <row r="2392" spans="59:59" hidden="1" x14ac:dyDescent="0.2">
      <c r="BG2392"/>
    </row>
    <row r="2393" spans="59:59" hidden="1" x14ac:dyDescent="0.2">
      <c r="BG2393"/>
    </row>
    <row r="2394" spans="59:59" hidden="1" x14ac:dyDescent="0.2">
      <c r="BG2394"/>
    </row>
    <row r="2395" spans="59:59" hidden="1" x14ac:dyDescent="0.2">
      <c r="BG2395"/>
    </row>
    <row r="2396" spans="59:59" hidden="1" x14ac:dyDescent="0.2">
      <c r="BG2396"/>
    </row>
    <row r="2397" spans="59:59" hidden="1" x14ac:dyDescent="0.2">
      <c r="BG2397"/>
    </row>
    <row r="2398" spans="59:59" hidden="1" x14ac:dyDescent="0.2">
      <c r="BG2398"/>
    </row>
    <row r="2399" spans="59:59" hidden="1" x14ac:dyDescent="0.2">
      <c r="BG2399"/>
    </row>
    <row r="2400" spans="59:59" hidden="1" x14ac:dyDescent="0.2">
      <c r="BG2400"/>
    </row>
    <row r="2401" spans="59:59" hidden="1" x14ac:dyDescent="0.2">
      <c r="BG2401"/>
    </row>
    <row r="2402" spans="59:59" hidden="1" x14ac:dyDescent="0.2">
      <c r="BG2402"/>
    </row>
    <row r="2403" spans="59:59" hidden="1" x14ac:dyDescent="0.2">
      <c r="BG2403"/>
    </row>
    <row r="2404" spans="59:59" hidden="1" x14ac:dyDescent="0.2">
      <c r="BG2404"/>
    </row>
    <row r="2405" spans="59:59" hidden="1" x14ac:dyDescent="0.2">
      <c r="BG2405"/>
    </row>
    <row r="2406" spans="59:59" hidden="1" x14ac:dyDescent="0.2">
      <c r="BG2406"/>
    </row>
    <row r="2407" spans="59:59" hidden="1" x14ac:dyDescent="0.2">
      <c r="BG2407"/>
    </row>
    <row r="2408" spans="59:59" hidden="1" x14ac:dyDescent="0.2">
      <c r="BG2408"/>
    </row>
    <row r="2409" spans="59:59" hidden="1" x14ac:dyDescent="0.2">
      <c r="BG2409"/>
    </row>
    <row r="2410" spans="59:59" hidden="1" x14ac:dyDescent="0.2">
      <c r="BG2410"/>
    </row>
    <row r="2411" spans="59:59" hidden="1" x14ac:dyDescent="0.2">
      <c r="BG2411"/>
    </row>
    <row r="2412" spans="59:59" hidden="1" x14ac:dyDescent="0.2">
      <c r="BG2412"/>
    </row>
    <row r="2413" spans="59:59" hidden="1" x14ac:dyDescent="0.2">
      <c r="BG2413"/>
    </row>
    <row r="2414" spans="59:59" hidden="1" x14ac:dyDescent="0.2">
      <c r="BG2414"/>
    </row>
    <row r="2415" spans="59:59" hidden="1" x14ac:dyDescent="0.2">
      <c r="BG2415"/>
    </row>
    <row r="2416" spans="59:59" hidden="1" x14ac:dyDescent="0.2">
      <c r="BG2416"/>
    </row>
    <row r="2417" spans="59:59" hidden="1" x14ac:dyDescent="0.2">
      <c r="BG2417"/>
    </row>
    <row r="2418" spans="59:59" hidden="1" x14ac:dyDescent="0.2">
      <c r="BG2418"/>
    </row>
    <row r="2419" spans="59:59" hidden="1" x14ac:dyDescent="0.2">
      <c r="BG2419"/>
    </row>
    <row r="2420" spans="59:59" hidden="1" x14ac:dyDescent="0.2">
      <c r="BG2420"/>
    </row>
    <row r="2421" spans="59:59" hidden="1" x14ac:dyDescent="0.2">
      <c r="BG2421"/>
    </row>
    <row r="2422" spans="59:59" hidden="1" x14ac:dyDescent="0.2">
      <c r="BG2422"/>
    </row>
    <row r="2423" spans="59:59" hidden="1" x14ac:dyDescent="0.2">
      <c r="BG2423"/>
    </row>
    <row r="2424" spans="59:59" hidden="1" x14ac:dyDescent="0.2">
      <c r="BG2424"/>
    </row>
    <row r="2425" spans="59:59" hidden="1" x14ac:dyDescent="0.2">
      <c r="BG2425"/>
    </row>
    <row r="2426" spans="59:59" hidden="1" x14ac:dyDescent="0.2">
      <c r="BG2426"/>
    </row>
    <row r="2427" spans="59:59" hidden="1" x14ac:dyDescent="0.2">
      <c r="BG2427"/>
    </row>
    <row r="2428" spans="59:59" hidden="1" x14ac:dyDescent="0.2">
      <c r="BG2428"/>
    </row>
    <row r="2429" spans="59:59" hidden="1" x14ac:dyDescent="0.2">
      <c r="BG2429"/>
    </row>
    <row r="2430" spans="59:59" hidden="1" x14ac:dyDescent="0.2">
      <c r="BG2430"/>
    </row>
    <row r="2431" spans="59:59" hidden="1" x14ac:dyDescent="0.2">
      <c r="BG2431"/>
    </row>
    <row r="2432" spans="59:59" hidden="1" x14ac:dyDescent="0.2">
      <c r="BG2432"/>
    </row>
    <row r="2433" spans="59:59" hidden="1" x14ac:dyDescent="0.2">
      <c r="BG2433"/>
    </row>
    <row r="2434" spans="59:59" hidden="1" x14ac:dyDescent="0.2">
      <c r="BG2434"/>
    </row>
    <row r="2435" spans="59:59" hidden="1" x14ac:dyDescent="0.2">
      <c r="BG2435"/>
    </row>
    <row r="2436" spans="59:59" hidden="1" x14ac:dyDescent="0.2">
      <c r="BG2436"/>
    </row>
    <row r="2437" spans="59:59" hidden="1" x14ac:dyDescent="0.2">
      <c r="BG2437"/>
    </row>
    <row r="2438" spans="59:59" hidden="1" x14ac:dyDescent="0.2">
      <c r="BG2438"/>
    </row>
    <row r="2439" spans="59:59" hidden="1" x14ac:dyDescent="0.2">
      <c r="BG2439"/>
    </row>
    <row r="2440" spans="59:59" hidden="1" x14ac:dyDescent="0.2">
      <c r="BG2440"/>
    </row>
    <row r="2441" spans="59:59" hidden="1" x14ac:dyDescent="0.2">
      <c r="BG2441"/>
    </row>
    <row r="2442" spans="59:59" hidden="1" x14ac:dyDescent="0.2">
      <c r="BG2442"/>
    </row>
    <row r="2443" spans="59:59" hidden="1" x14ac:dyDescent="0.2">
      <c r="BG2443"/>
    </row>
    <row r="2444" spans="59:59" hidden="1" x14ac:dyDescent="0.2">
      <c r="BG2444"/>
    </row>
    <row r="2445" spans="59:59" hidden="1" x14ac:dyDescent="0.2">
      <c r="BG2445"/>
    </row>
    <row r="2446" spans="59:59" hidden="1" x14ac:dyDescent="0.2">
      <c r="BG2446"/>
    </row>
    <row r="2447" spans="59:59" hidden="1" x14ac:dyDescent="0.2">
      <c r="BG2447"/>
    </row>
    <row r="2448" spans="59:59" hidden="1" x14ac:dyDescent="0.2">
      <c r="BG2448"/>
    </row>
    <row r="2449" spans="59:59" hidden="1" x14ac:dyDescent="0.2">
      <c r="BG2449"/>
    </row>
    <row r="2450" spans="59:59" hidden="1" x14ac:dyDescent="0.2">
      <c r="BG2450"/>
    </row>
    <row r="2451" spans="59:59" hidden="1" x14ac:dyDescent="0.2">
      <c r="BG2451"/>
    </row>
    <row r="2452" spans="59:59" hidden="1" x14ac:dyDescent="0.2">
      <c r="BG2452"/>
    </row>
    <row r="2453" spans="59:59" hidden="1" x14ac:dyDescent="0.2">
      <c r="BG2453"/>
    </row>
    <row r="2454" spans="59:59" hidden="1" x14ac:dyDescent="0.2">
      <c r="BG2454"/>
    </row>
    <row r="2455" spans="59:59" hidden="1" x14ac:dyDescent="0.2">
      <c r="BG2455"/>
    </row>
    <row r="2456" spans="59:59" hidden="1" x14ac:dyDescent="0.2">
      <c r="BG2456"/>
    </row>
    <row r="2457" spans="59:59" hidden="1" x14ac:dyDescent="0.2">
      <c r="BG2457"/>
    </row>
    <row r="2458" spans="59:59" hidden="1" x14ac:dyDescent="0.2">
      <c r="BG2458"/>
    </row>
    <row r="2459" spans="59:59" hidden="1" x14ac:dyDescent="0.2">
      <c r="BG2459"/>
    </row>
    <row r="2460" spans="59:59" hidden="1" x14ac:dyDescent="0.2">
      <c r="BG2460"/>
    </row>
    <row r="2461" spans="59:59" hidden="1" x14ac:dyDescent="0.2">
      <c r="BG2461"/>
    </row>
    <row r="2462" spans="59:59" hidden="1" x14ac:dyDescent="0.2">
      <c r="BG2462"/>
    </row>
    <row r="2463" spans="59:59" hidden="1" x14ac:dyDescent="0.2">
      <c r="BG2463"/>
    </row>
    <row r="2464" spans="59:59" hidden="1" x14ac:dyDescent="0.2">
      <c r="BG2464"/>
    </row>
    <row r="2465" spans="59:59" hidden="1" x14ac:dyDescent="0.2">
      <c r="BG2465"/>
    </row>
    <row r="2466" spans="59:59" hidden="1" x14ac:dyDescent="0.2">
      <c r="BG2466"/>
    </row>
    <row r="2467" spans="59:59" hidden="1" x14ac:dyDescent="0.2">
      <c r="BG2467"/>
    </row>
    <row r="2468" spans="59:59" hidden="1" x14ac:dyDescent="0.2">
      <c r="BG2468"/>
    </row>
    <row r="2469" spans="59:59" hidden="1" x14ac:dyDescent="0.2">
      <c r="BG2469"/>
    </row>
    <row r="2470" spans="59:59" hidden="1" x14ac:dyDescent="0.2">
      <c r="BG2470"/>
    </row>
    <row r="2471" spans="59:59" hidden="1" x14ac:dyDescent="0.2">
      <c r="BG2471"/>
    </row>
    <row r="2472" spans="59:59" hidden="1" x14ac:dyDescent="0.2">
      <c r="BG2472"/>
    </row>
    <row r="2473" spans="59:59" hidden="1" x14ac:dyDescent="0.2">
      <c r="BG2473"/>
    </row>
    <row r="2474" spans="59:59" hidden="1" x14ac:dyDescent="0.2">
      <c r="BG2474"/>
    </row>
    <row r="2475" spans="59:59" hidden="1" x14ac:dyDescent="0.2">
      <c r="BG2475"/>
    </row>
    <row r="2476" spans="59:59" hidden="1" x14ac:dyDescent="0.2">
      <c r="BG2476"/>
    </row>
    <row r="2477" spans="59:59" hidden="1" x14ac:dyDescent="0.2">
      <c r="BG2477"/>
    </row>
    <row r="2478" spans="59:59" hidden="1" x14ac:dyDescent="0.2">
      <c r="BG2478"/>
    </row>
    <row r="2479" spans="59:59" hidden="1" x14ac:dyDescent="0.2">
      <c r="BG2479"/>
    </row>
    <row r="2480" spans="59:59" hidden="1" x14ac:dyDescent="0.2">
      <c r="BG2480"/>
    </row>
    <row r="2481" spans="59:59" hidden="1" x14ac:dyDescent="0.2">
      <c r="BG2481"/>
    </row>
    <row r="2482" spans="59:59" hidden="1" x14ac:dyDescent="0.2">
      <c r="BG2482"/>
    </row>
    <row r="2483" spans="59:59" hidden="1" x14ac:dyDescent="0.2">
      <c r="BG2483"/>
    </row>
    <row r="2484" spans="59:59" hidden="1" x14ac:dyDescent="0.2">
      <c r="BG2484"/>
    </row>
    <row r="2485" spans="59:59" hidden="1" x14ac:dyDescent="0.2">
      <c r="BG2485"/>
    </row>
    <row r="2486" spans="59:59" hidden="1" x14ac:dyDescent="0.2">
      <c r="BG2486"/>
    </row>
    <row r="2487" spans="59:59" hidden="1" x14ac:dyDescent="0.2">
      <c r="BG2487"/>
    </row>
    <row r="2488" spans="59:59" hidden="1" x14ac:dyDescent="0.2">
      <c r="BG2488"/>
    </row>
    <row r="2489" spans="59:59" hidden="1" x14ac:dyDescent="0.2">
      <c r="BG2489"/>
    </row>
    <row r="2490" spans="59:59" hidden="1" x14ac:dyDescent="0.2">
      <c r="BG2490"/>
    </row>
    <row r="2491" spans="59:59" hidden="1" x14ac:dyDescent="0.2">
      <c r="BG2491"/>
    </row>
    <row r="2492" spans="59:59" hidden="1" x14ac:dyDescent="0.2">
      <c r="BG2492"/>
    </row>
    <row r="2493" spans="59:59" hidden="1" x14ac:dyDescent="0.2">
      <c r="BG2493"/>
    </row>
    <row r="2494" spans="59:59" hidden="1" x14ac:dyDescent="0.2">
      <c r="BG2494"/>
    </row>
    <row r="2495" spans="59:59" hidden="1" x14ac:dyDescent="0.2">
      <c r="BG2495"/>
    </row>
    <row r="2496" spans="59:59" hidden="1" x14ac:dyDescent="0.2">
      <c r="BG2496"/>
    </row>
    <row r="2497" spans="59:59" hidden="1" x14ac:dyDescent="0.2">
      <c r="BG2497"/>
    </row>
    <row r="2498" spans="59:59" hidden="1" x14ac:dyDescent="0.2">
      <c r="BG2498"/>
    </row>
    <row r="2499" spans="59:59" hidden="1" x14ac:dyDescent="0.2">
      <c r="BG2499"/>
    </row>
    <row r="2500" spans="59:59" hidden="1" x14ac:dyDescent="0.2">
      <c r="BG2500"/>
    </row>
    <row r="2501" spans="59:59" hidden="1" x14ac:dyDescent="0.2">
      <c r="BG2501"/>
    </row>
    <row r="2502" spans="59:59" hidden="1" x14ac:dyDescent="0.2">
      <c r="BG2502"/>
    </row>
    <row r="2503" spans="59:59" hidden="1" x14ac:dyDescent="0.2">
      <c r="BG2503"/>
    </row>
    <row r="2504" spans="59:59" hidden="1" x14ac:dyDescent="0.2">
      <c r="BG2504"/>
    </row>
    <row r="2505" spans="59:59" hidden="1" x14ac:dyDescent="0.2">
      <c r="BG2505"/>
    </row>
    <row r="2506" spans="59:59" hidden="1" x14ac:dyDescent="0.2">
      <c r="BG2506"/>
    </row>
    <row r="2507" spans="59:59" hidden="1" x14ac:dyDescent="0.2">
      <c r="BG2507"/>
    </row>
    <row r="2508" spans="59:59" hidden="1" x14ac:dyDescent="0.2">
      <c r="BG2508"/>
    </row>
    <row r="2509" spans="59:59" hidden="1" x14ac:dyDescent="0.2">
      <c r="BG2509"/>
    </row>
    <row r="2510" spans="59:59" hidden="1" x14ac:dyDescent="0.2">
      <c r="BG2510"/>
    </row>
    <row r="2511" spans="59:59" hidden="1" x14ac:dyDescent="0.2">
      <c r="BG2511"/>
    </row>
    <row r="2512" spans="59:59" hidden="1" x14ac:dyDescent="0.2">
      <c r="BG2512"/>
    </row>
    <row r="2513" spans="59:59" hidden="1" x14ac:dyDescent="0.2">
      <c r="BG2513"/>
    </row>
    <row r="2514" spans="59:59" hidden="1" x14ac:dyDescent="0.2">
      <c r="BG2514"/>
    </row>
    <row r="2515" spans="59:59" hidden="1" x14ac:dyDescent="0.2">
      <c r="BG2515"/>
    </row>
    <row r="2516" spans="59:59" hidden="1" x14ac:dyDescent="0.2">
      <c r="BG2516"/>
    </row>
    <row r="2517" spans="59:59" hidden="1" x14ac:dyDescent="0.2">
      <c r="BG2517"/>
    </row>
    <row r="2518" spans="59:59" hidden="1" x14ac:dyDescent="0.2">
      <c r="BG2518"/>
    </row>
    <row r="2519" spans="59:59" hidden="1" x14ac:dyDescent="0.2">
      <c r="BG2519"/>
    </row>
    <row r="2520" spans="59:59" hidden="1" x14ac:dyDescent="0.2">
      <c r="BG2520"/>
    </row>
    <row r="2521" spans="59:59" hidden="1" x14ac:dyDescent="0.2">
      <c r="BG2521"/>
    </row>
    <row r="2522" spans="59:59" hidden="1" x14ac:dyDescent="0.2">
      <c r="BG2522"/>
    </row>
    <row r="2523" spans="59:59" hidden="1" x14ac:dyDescent="0.2">
      <c r="BG2523"/>
    </row>
    <row r="2524" spans="59:59" hidden="1" x14ac:dyDescent="0.2">
      <c r="BG2524"/>
    </row>
    <row r="2525" spans="59:59" hidden="1" x14ac:dyDescent="0.2">
      <c r="BG2525"/>
    </row>
    <row r="2526" spans="59:59" hidden="1" x14ac:dyDescent="0.2">
      <c r="BG2526"/>
    </row>
    <row r="2527" spans="59:59" hidden="1" x14ac:dyDescent="0.2">
      <c r="BG2527"/>
    </row>
    <row r="2528" spans="59:59" hidden="1" x14ac:dyDescent="0.2">
      <c r="BG2528"/>
    </row>
    <row r="2529" spans="59:59" hidden="1" x14ac:dyDescent="0.2">
      <c r="BG2529"/>
    </row>
    <row r="2530" spans="59:59" hidden="1" x14ac:dyDescent="0.2">
      <c r="BG2530"/>
    </row>
    <row r="2531" spans="59:59" hidden="1" x14ac:dyDescent="0.2">
      <c r="BG2531"/>
    </row>
    <row r="2532" spans="59:59" hidden="1" x14ac:dyDescent="0.2">
      <c r="BG2532"/>
    </row>
    <row r="2533" spans="59:59" hidden="1" x14ac:dyDescent="0.2">
      <c r="BG2533"/>
    </row>
    <row r="2534" spans="59:59" hidden="1" x14ac:dyDescent="0.2">
      <c r="BG2534"/>
    </row>
    <row r="2535" spans="59:59" hidden="1" x14ac:dyDescent="0.2">
      <c r="BG2535"/>
    </row>
    <row r="2536" spans="59:59" hidden="1" x14ac:dyDescent="0.2">
      <c r="BG2536"/>
    </row>
    <row r="2537" spans="59:59" hidden="1" x14ac:dyDescent="0.2">
      <c r="BG2537"/>
    </row>
    <row r="2538" spans="59:59" hidden="1" x14ac:dyDescent="0.2">
      <c r="BG2538"/>
    </row>
    <row r="2539" spans="59:59" hidden="1" x14ac:dyDescent="0.2">
      <c r="BG2539"/>
    </row>
    <row r="2540" spans="59:59" hidden="1" x14ac:dyDescent="0.2">
      <c r="BG2540"/>
    </row>
    <row r="2541" spans="59:59" hidden="1" x14ac:dyDescent="0.2">
      <c r="BG2541"/>
    </row>
    <row r="2542" spans="59:59" hidden="1" x14ac:dyDescent="0.2">
      <c r="BG2542"/>
    </row>
    <row r="2543" spans="59:59" hidden="1" x14ac:dyDescent="0.2">
      <c r="BG2543"/>
    </row>
    <row r="2544" spans="59:59" hidden="1" x14ac:dyDescent="0.2">
      <c r="BG2544"/>
    </row>
    <row r="2545" spans="59:59" hidden="1" x14ac:dyDescent="0.2">
      <c r="BG2545"/>
    </row>
    <row r="2546" spans="59:59" hidden="1" x14ac:dyDescent="0.2">
      <c r="BG2546"/>
    </row>
    <row r="2547" spans="59:59" hidden="1" x14ac:dyDescent="0.2">
      <c r="BG2547"/>
    </row>
    <row r="2548" spans="59:59" hidden="1" x14ac:dyDescent="0.2">
      <c r="BG2548"/>
    </row>
    <row r="2549" spans="59:59" hidden="1" x14ac:dyDescent="0.2">
      <c r="BG2549"/>
    </row>
    <row r="2550" spans="59:59" hidden="1" x14ac:dyDescent="0.2">
      <c r="BG2550"/>
    </row>
    <row r="2551" spans="59:59" hidden="1" x14ac:dyDescent="0.2">
      <c r="BG2551"/>
    </row>
    <row r="2552" spans="59:59" hidden="1" x14ac:dyDescent="0.2">
      <c r="BG2552"/>
    </row>
    <row r="2553" spans="59:59" hidden="1" x14ac:dyDescent="0.2">
      <c r="BG2553"/>
    </row>
    <row r="2554" spans="59:59" hidden="1" x14ac:dyDescent="0.2">
      <c r="BG2554"/>
    </row>
    <row r="2555" spans="59:59" hidden="1" x14ac:dyDescent="0.2">
      <c r="BG2555"/>
    </row>
    <row r="2556" spans="59:59" hidden="1" x14ac:dyDescent="0.2">
      <c r="BG2556"/>
    </row>
    <row r="2557" spans="59:59" hidden="1" x14ac:dyDescent="0.2">
      <c r="BG2557"/>
    </row>
    <row r="2558" spans="59:59" hidden="1" x14ac:dyDescent="0.2">
      <c r="BG2558"/>
    </row>
    <row r="2559" spans="59:59" hidden="1" x14ac:dyDescent="0.2">
      <c r="BG2559"/>
    </row>
    <row r="2560" spans="59:59" hidden="1" x14ac:dyDescent="0.2">
      <c r="BG2560"/>
    </row>
    <row r="2561" spans="59:59" hidden="1" x14ac:dyDescent="0.2">
      <c r="BG2561"/>
    </row>
    <row r="2562" spans="59:59" hidden="1" x14ac:dyDescent="0.2">
      <c r="BG2562"/>
    </row>
    <row r="2563" spans="59:59" hidden="1" x14ac:dyDescent="0.2">
      <c r="BG2563"/>
    </row>
    <row r="2564" spans="59:59" hidden="1" x14ac:dyDescent="0.2">
      <c r="BG2564"/>
    </row>
    <row r="2565" spans="59:59" hidden="1" x14ac:dyDescent="0.2">
      <c r="BG2565"/>
    </row>
    <row r="2566" spans="59:59" hidden="1" x14ac:dyDescent="0.2">
      <c r="BG2566"/>
    </row>
    <row r="2567" spans="59:59" hidden="1" x14ac:dyDescent="0.2">
      <c r="BG2567"/>
    </row>
    <row r="2568" spans="59:59" hidden="1" x14ac:dyDescent="0.2">
      <c r="BG2568"/>
    </row>
    <row r="2569" spans="59:59" hidden="1" x14ac:dyDescent="0.2">
      <c r="BG2569"/>
    </row>
    <row r="2570" spans="59:59" hidden="1" x14ac:dyDescent="0.2">
      <c r="BG2570"/>
    </row>
    <row r="2571" spans="59:59" hidden="1" x14ac:dyDescent="0.2">
      <c r="BG2571"/>
    </row>
    <row r="2572" spans="59:59" hidden="1" x14ac:dyDescent="0.2">
      <c r="BG2572"/>
    </row>
    <row r="2573" spans="59:59" hidden="1" x14ac:dyDescent="0.2">
      <c r="BG2573"/>
    </row>
    <row r="2574" spans="59:59" hidden="1" x14ac:dyDescent="0.2">
      <c r="BG2574"/>
    </row>
    <row r="2575" spans="59:59" hidden="1" x14ac:dyDescent="0.2">
      <c r="BG2575"/>
    </row>
    <row r="2576" spans="59:59" hidden="1" x14ac:dyDescent="0.2">
      <c r="BG2576"/>
    </row>
    <row r="2577" spans="59:59" hidden="1" x14ac:dyDescent="0.2">
      <c r="BG2577"/>
    </row>
    <row r="2578" spans="59:59" hidden="1" x14ac:dyDescent="0.2">
      <c r="BG2578"/>
    </row>
    <row r="2579" spans="59:59" hidden="1" x14ac:dyDescent="0.2">
      <c r="BG2579"/>
    </row>
    <row r="2580" spans="59:59" hidden="1" x14ac:dyDescent="0.2">
      <c r="BG2580"/>
    </row>
    <row r="2581" spans="59:59" hidden="1" x14ac:dyDescent="0.2">
      <c r="BG2581"/>
    </row>
    <row r="2582" spans="59:59" hidden="1" x14ac:dyDescent="0.2">
      <c r="BG2582"/>
    </row>
    <row r="2583" spans="59:59" hidden="1" x14ac:dyDescent="0.2">
      <c r="BG2583"/>
    </row>
    <row r="2584" spans="59:59" hidden="1" x14ac:dyDescent="0.2">
      <c r="BG2584"/>
    </row>
    <row r="2585" spans="59:59" hidden="1" x14ac:dyDescent="0.2">
      <c r="BG2585"/>
    </row>
    <row r="2586" spans="59:59" hidden="1" x14ac:dyDescent="0.2">
      <c r="BG2586"/>
    </row>
    <row r="2587" spans="59:59" hidden="1" x14ac:dyDescent="0.2">
      <c r="BG2587"/>
    </row>
    <row r="2588" spans="59:59" hidden="1" x14ac:dyDescent="0.2">
      <c r="BG2588"/>
    </row>
    <row r="2589" spans="59:59" hidden="1" x14ac:dyDescent="0.2">
      <c r="BG2589"/>
    </row>
    <row r="2590" spans="59:59" hidden="1" x14ac:dyDescent="0.2">
      <c r="BG2590"/>
    </row>
    <row r="2591" spans="59:59" hidden="1" x14ac:dyDescent="0.2">
      <c r="BG2591"/>
    </row>
    <row r="2592" spans="59:59" hidden="1" x14ac:dyDescent="0.2">
      <c r="BG2592"/>
    </row>
    <row r="2593" spans="59:59" hidden="1" x14ac:dyDescent="0.2">
      <c r="BG2593"/>
    </row>
    <row r="2594" spans="59:59" hidden="1" x14ac:dyDescent="0.2">
      <c r="BG2594"/>
    </row>
    <row r="2595" spans="59:59" hidden="1" x14ac:dyDescent="0.2">
      <c r="BG2595"/>
    </row>
    <row r="2596" spans="59:59" hidden="1" x14ac:dyDescent="0.2">
      <c r="BG2596"/>
    </row>
    <row r="2597" spans="59:59" hidden="1" x14ac:dyDescent="0.2">
      <c r="BG2597"/>
    </row>
    <row r="2598" spans="59:59" hidden="1" x14ac:dyDescent="0.2">
      <c r="BG2598"/>
    </row>
    <row r="2599" spans="59:59" hidden="1" x14ac:dyDescent="0.2">
      <c r="BG2599"/>
    </row>
    <row r="2600" spans="59:59" hidden="1" x14ac:dyDescent="0.2">
      <c r="BG2600"/>
    </row>
    <row r="2601" spans="59:59" hidden="1" x14ac:dyDescent="0.2">
      <c r="BG2601"/>
    </row>
    <row r="2602" spans="59:59" hidden="1" x14ac:dyDescent="0.2">
      <c r="BG2602"/>
    </row>
    <row r="2603" spans="59:59" hidden="1" x14ac:dyDescent="0.2">
      <c r="BG2603"/>
    </row>
    <row r="2604" spans="59:59" hidden="1" x14ac:dyDescent="0.2">
      <c r="BG2604"/>
    </row>
    <row r="2605" spans="59:59" hidden="1" x14ac:dyDescent="0.2">
      <c r="BG2605"/>
    </row>
    <row r="2606" spans="59:59" hidden="1" x14ac:dyDescent="0.2">
      <c r="BG2606"/>
    </row>
    <row r="2607" spans="59:59" hidden="1" x14ac:dyDescent="0.2">
      <c r="BG2607"/>
    </row>
    <row r="2608" spans="59:59" hidden="1" x14ac:dyDescent="0.2">
      <c r="BG2608"/>
    </row>
    <row r="2609" spans="59:59" hidden="1" x14ac:dyDescent="0.2">
      <c r="BG2609"/>
    </row>
    <row r="2610" spans="59:59" hidden="1" x14ac:dyDescent="0.2">
      <c r="BG2610"/>
    </row>
    <row r="2611" spans="59:59" hidden="1" x14ac:dyDescent="0.2">
      <c r="BG2611"/>
    </row>
    <row r="2612" spans="59:59" hidden="1" x14ac:dyDescent="0.2">
      <c r="BG2612"/>
    </row>
    <row r="2613" spans="59:59" hidden="1" x14ac:dyDescent="0.2">
      <c r="BG2613"/>
    </row>
    <row r="2614" spans="59:59" hidden="1" x14ac:dyDescent="0.2">
      <c r="BG2614"/>
    </row>
    <row r="2615" spans="59:59" hidden="1" x14ac:dyDescent="0.2">
      <c r="BG2615"/>
    </row>
    <row r="2616" spans="59:59" hidden="1" x14ac:dyDescent="0.2">
      <c r="BG2616"/>
    </row>
    <row r="2617" spans="59:59" hidden="1" x14ac:dyDescent="0.2">
      <c r="BG2617"/>
    </row>
    <row r="2618" spans="59:59" hidden="1" x14ac:dyDescent="0.2">
      <c r="BG2618"/>
    </row>
    <row r="2619" spans="59:59" hidden="1" x14ac:dyDescent="0.2">
      <c r="BG2619"/>
    </row>
    <row r="2620" spans="59:59" hidden="1" x14ac:dyDescent="0.2">
      <c r="BG2620"/>
    </row>
    <row r="2621" spans="59:59" hidden="1" x14ac:dyDescent="0.2">
      <c r="BG2621"/>
    </row>
    <row r="2622" spans="59:59" hidden="1" x14ac:dyDescent="0.2">
      <c r="BG2622"/>
    </row>
    <row r="2623" spans="59:59" hidden="1" x14ac:dyDescent="0.2">
      <c r="BG2623"/>
    </row>
    <row r="2624" spans="59:59" hidden="1" x14ac:dyDescent="0.2">
      <c r="BG2624"/>
    </row>
    <row r="2625" spans="59:59" hidden="1" x14ac:dyDescent="0.2">
      <c r="BG2625"/>
    </row>
    <row r="2626" spans="59:59" hidden="1" x14ac:dyDescent="0.2">
      <c r="BG2626"/>
    </row>
    <row r="2627" spans="59:59" hidden="1" x14ac:dyDescent="0.2">
      <c r="BG2627"/>
    </row>
    <row r="2628" spans="59:59" hidden="1" x14ac:dyDescent="0.2">
      <c r="BG2628"/>
    </row>
    <row r="2629" spans="59:59" hidden="1" x14ac:dyDescent="0.2">
      <c r="BG2629"/>
    </row>
    <row r="2630" spans="59:59" hidden="1" x14ac:dyDescent="0.2">
      <c r="BG2630"/>
    </row>
    <row r="2631" spans="59:59" hidden="1" x14ac:dyDescent="0.2">
      <c r="BG2631"/>
    </row>
    <row r="2632" spans="59:59" hidden="1" x14ac:dyDescent="0.2">
      <c r="BG2632"/>
    </row>
    <row r="2633" spans="59:59" hidden="1" x14ac:dyDescent="0.2">
      <c r="BG2633"/>
    </row>
    <row r="2634" spans="59:59" hidden="1" x14ac:dyDescent="0.2">
      <c r="BG2634"/>
    </row>
    <row r="2635" spans="59:59" hidden="1" x14ac:dyDescent="0.2">
      <c r="BG2635"/>
    </row>
    <row r="2636" spans="59:59" hidden="1" x14ac:dyDescent="0.2">
      <c r="BG2636"/>
    </row>
    <row r="2637" spans="59:59" hidden="1" x14ac:dyDescent="0.2">
      <c r="BG2637"/>
    </row>
    <row r="2638" spans="59:59" hidden="1" x14ac:dyDescent="0.2">
      <c r="BG2638"/>
    </row>
    <row r="2639" spans="59:59" hidden="1" x14ac:dyDescent="0.2">
      <c r="BG2639"/>
    </row>
    <row r="2640" spans="59:59" hidden="1" x14ac:dyDescent="0.2">
      <c r="BG2640"/>
    </row>
    <row r="2641" spans="59:59" hidden="1" x14ac:dyDescent="0.2">
      <c r="BG2641"/>
    </row>
    <row r="2642" spans="59:59" hidden="1" x14ac:dyDescent="0.2">
      <c r="BG2642"/>
    </row>
    <row r="2643" spans="59:59" hidden="1" x14ac:dyDescent="0.2">
      <c r="BG2643"/>
    </row>
    <row r="2644" spans="59:59" hidden="1" x14ac:dyDescent="0.2">
      <c r="BG2644"/>
    </row>
    <row r="2645" spans="59:59" hidden="1" x14ac:dyDescent="0.2">
      <c r="BG2645"/>
    </row>
    <row r="2646" spans="59:59" hidden="1" x14ac:dyDescent="0.2">
      <c r="BG2646"/>
    </row>
    <row r="2647" spans="59:59" hidden="1" x14ac:dyDescent="0.2">
      <c r="BG2647"/>
    </row>
    <row r="2648" spans="59:59" hidden="1" x14ac:dyDescent="0.2">
      <c r="BG2648"/>
    </row>
    <row r="2649" spans="59:59" hidden="1" x14ac:dyDescent="0.2">
      <c r="BG2649"/>
    </row>
    <row r="2650" spans="59:59" hidden="1" x14ac:dyDescent="0.2">
      <c r="BG2650"/>
    </row>
    <row r="2651" spans="59:59" hidden="1" x14ac:dyDescent="0.2">
      <c r="BG2651"/>
    </row>
    <row r="2652" spans="59:59" hidden="1" x14ac:dyDescent="0.2">
      <c r="BG2652"/>
    </row>
    <row r="2653" spans="59:59" hidden="1" x14ac:dyDescent="0.2">
      <c r="BG2653"/>
    </row>
    <row r="2654" spans="59:59" hidden="1" x14ac:dyDescent="0.2">
      <c r="BG2654"/>
    </row>
    <row r="2655" spans="59:59" hidden="1" x14ac:dyDescent="0.2">
      <c r="BG2655"/>
    </row>
    <row r="2656" spans="59:59" hidden="1" x14ac:dyDescent="0.2">
      <c r="BG2656"/>
    </row>
    <row r="2657" spans="59:59" hidden="1" x14ac:dyDescent="0.2">
      <c r="BG2657"/>
    </row>
    <row r="2658" spans="59:59" hidden="1" x14ac:dyDescent="0.2">
      <c r="BG2658"/>
    </row>
    <row r="2659" spans="59:59" hidden="1" x14ac:dyDescent="0.2">
      <c r="BG2659"/>
    </row>
    <row r="2660" spans="59:59" hidden="1" x14ac:dyDescent="0.2">
      <c r="BG2660"/>
    </row>
    <row r="2661" spans="59:59" hidden="1" x14ac:dyDescent="0.2">
      <c r="BG2661"/>
    </row>
    <row r="2662" spans="59:59" hidden="1" x14ac:dyDescent="0.2">
      <c r="BG2662"/>
    </row>
    <row r="2663" spans="59:59" hidden="1" x14ac:dyDescent="0.2">
      <c r="BG2663"/>
    </row>
    <row r="2664" spans="59:59" hidden="1" x14ac:dyDescent="0.2">
      <c r="BG2664"/>
    </row>
    <row r="2665" spans="59:59" hidden="1" x14ac:dyDescent="0.2">
      <c r="BG2665"/>
    </row>
    <row r="2666" spans="59:59" hidden="1" x14ac:dyDescent="0.2">
      <c r="BG2666"/>
    </row>
    <row r="2667" spans="59:59" hidden="1" x14ac:dyDescent="0.2">
      <c r="BG2667"/>
    </row>
    <row r="2668" spans="59:59" hidden="1" x14ac:dyDescent="0.2">
      <c r="BG2668"/>
    </row>
    <row r="2669" spans="59:59" hidden="1" x14ac:dyDescent="0.2">
      <c r="BG2669"/>
    </row>
    <row r="2670" spans="59:59" hidden="1" x14ac:dyDescent="0.2">
      <c r="BG2670"/>
    </row>
    <row r="2671" spans="59:59" hidden="1" x14ac:dyDescent="0.2">
      <c r="BG2671"/>
    </row>
    <row r="2672" spans="59:59" hidden="1" x14ac:dyDescent="0.2">
      <c r="BG2672"/>
    </row>
    <row r="2673" spans="59:59" hidden="1" x14ac:dyDescent="0.2">
      <c r="BG2673"/>
    </row>
    <row r="2674" spans="59:59" hidden="1" x14ac:dyDescent="0.2">
      <c r="BG2674"/>
    </row>
    <row r="2675" spans="59:59" hidden="1" x14ac:dyDescent="0.2">
      <c r="BG2675"/>
    </row>
    <row r="2676" spans="59:59" hidden="1" x14ac:dyDescent="0.2">
      <c r="BG2676"/>
    </row>
    <row r="2677" spans="59:59" hidden="1" x14ac:dyDescent="0.2">
      <c r="BG2677"/>
    </row>
    <row r="2678" spans="59:59" hidden="1" x14ac:dyDescent="0.2">
      <c r="BG2678"/>
    </row>
    <row r="2679" spans="59:59" hidden="1" x14ac:dyDescent="0.2">
      <c r="BG2679"/>
    </row>
    <row r="2680" spans="59:59" hidden="1" x14ac:dyDescent="0.2">
      <c r="BG2680"/>
    </row>
    <row r="2681" spans="59:59" hidden="1" x14ac:dyDescent="0.2">
      <c r="BG2681"/>
    </row>
    <row r="2682" spans="59:59" hidden="1" x14ac:dyDescent="0.2">
      <c r="BG2682"/>
    </row>
    <row r="2683" spans="59:59" hidden="1" x14ac:dyDescent="0.2">
      <c r="BG2683"/>
    </row>
    <row r="2684" spans="59:59" hidden="1" x14ac:dyDescent="0.2">
      <c r="BG2684"/>
    </row>
    <row r="2685" spans="59:59" hidden="1" x14ac:dyDescent="0.2">
      <c r="BG2685"/>
    </row>
    <row r="2686" spans="59:59" hidden="1" x14ac:dyDescent="0.2">
      <c r="BG2686"/>
    </row>
    <row r="2687" spans="59:59" hidden="1" x14ac:dyDescent="0.2">
      <c r="BG2687"/>
    </row>
    <row r="2688" spans="59:59" hidden="1" x14ac:dyDescent="0.2">
      <c r="BG2688"/>
    </row>
    <row r="2689" spans="59:59" hidden="1" x14ac:dyDescent="0.2">
      <c r="BG2689"/>
    </row>
    <row r="2690" spans="59:59" hidden="1" x14ac:dyDescent="0.2">
      <c r="BG2690"/>
    </row>
    <row r="2691" spans="59:59" hidden="1" x14ac:dyDescent="0.2">
      <c r="BG2691"/>
    </row>
    <row r="2692" spans="59:59" hidden="1" x14ac:dyDescent="0.2">
      <c r="BG2692"/>
    </row>
    <row r="2693" spans="59:59" hidden="1" x14ac:dyDescent="0.2">
      <c r="BG2693"/>
    </row>
    <row r="2694" spans="59:59" hidden="1" x14ac:dyDescent="0.2">
      <c r="BG2694"/>
    </row>
    <row r="2695" spans="59:59" hidden="1" x14ac:dyDescent="0.2">
      <c r="BG2695"/>
    </row>
    <row r="2696" spans="59:59" hidden="1" x14ac:dyDescent="0.2">
      <c r="BG2696"/>
    </row>
    <row r="2697" spans="59:59" hidden="1" x14ac:dyDescent="0.2">
      <c r="BG2697"/>
    </row>
    <row r="2698" spans="59:59" hidden="1" x14ac:dyDescent="0.2">
      <c r="BG2698"/>
    </row>
    <row r="2699" spans="59:59" hidden="1" x14ac:dyDescent="0.2">
      <c r="BG2699"/>
    </row>
    <row r="2700" spans="59:59" hidden="1" x14ac:dyDescent="0.2">
      <c r="BG2700"/>
    </row>
    <row r="2701" spans="59:59" hidden="1" x14ac:dyDescent="0.2">
      <c r="BG2701"/>
    </row>
    <row r="2702" spans="59:59" hidden="1" x14ac:dyDescent="0.2">
      <c r="BG2702"/>
    </row>
    <row r="2703" spans="59:59" hidden="1" x14ac:dyDescent="0.2">
      <c r="BG2703"/>
    </row>
    <row r="2704" spans="59:59" hidden="1" x14ac:dyDescent="0.2">
      <c r="BG2704"/>
    </row>
    <row r="2705" spans="59:59" hidden="1" x14ac:dyDescent="0.2">
      <c r="BG2705"/>
    </row>
    <row r="2706" spans="59:59" hidden="1" x14ac:dyDescent="0.2">
      <c r="BG2706"/>
    </row>
    <row r="2707" spans="59:59" hidden="1" x14ac:dyDescent="0.2">
      <c r="BG2707"/>
    </row>
    <row r="2708" spans="59:59" hidden="1" x14ac:dyDescent="0.2">
      <c r="BG2708"/>
    </row>
    <row r="2709" spans="59:59" hidden="1" x14ac:dyDescent="0.2">
      <c r="BG2709"/>
    </row>
    <row r="2710" spans="59:59" hidden="1" x14ac:dyDescent="0.2">
      <c r="BG2710"/>
    </row>
    <row r="2711" spans="59:59" hidden="1" x14ac:dyDescent="0.2">
      <c r="BG2711"/>
    </row>
    <row r="2712" spans="59:59" hidden="1" x14ac:dyDescent="0.2">
      <c r="BG2712"/>
    </row>
    <row r="2713" spans="59:59" hidden="1" x14ac:dyDescent="0.2">
      <c r="BG2713"/>
    </row>
    <row r="2714" spans="59:59" hidden="1" x14ac:dyDescent="0.2">
      <c r="BG2714"/>
    </row>
    <row r="2715" spans="59:59" hidden="1" x14ac:dyDescent="0.2">
      <c r="BG2715"/>
    </row>
    <row r="2716" spans="59:59" hidden="1" x14ac:dyDescent="0.2">
      <c r="BG2716"/>
    </row>
    <row r="2717" spans="59:59" hidden="1" x14ac:dyDescent="0.2">
      <c r="BG2717"/>
    </row>
    <row r="2718" spans="59:59" hidden="1" x14ac:dyDescent="0.2">
      <c r="BG2718"/>
    </row>
    <row r="2719" spans="59:59" hidden="1" x14ac:dyDescent="0.2">
      <c r="BG2719"/>
    </row>
    <row r="2720" spans="59:59" hidden="1" x14ac:dyDescent="0.2">
      <c r="BG2720"/>
    </row>
    <row r="2721" spans="59:59" hidden="1" x14ac:dyDescent="0.2">
      <c r="BG2721"/>
    </row>
    <row r="2722" spans="59:59" hidden="1" x14ac:dyDescent="0.2">
      <c r="BG2722"/>
    </row>
    <row r="2723" spans="59:59" hidden="1" x14ac:dyDescent="0.2">
      <c r="BG2723"/>
    </row>
    <row r="2724" spans="59:59" hidden="1" x14ac:dyDescent="0.2">
      <c r="BG2724"/>
    </row>
    <row r="2725" spans="59:59" hidden="1" x14ac:dyDescent="0.2">
      <c r="BG2725"/>
    </row>
    <row r="2726" spans="59:59" hidden="1" x14ac:dyDescent="0.2">
      <c r="BG2726"/>
    </row>
    <row r="2727" spans="59:59" hidden="1" x14ac:dyDescent="0.2">
      <c r="BG2727"/>
    </row>
    <row r="2728" spans="59:59" hidden="1" x14ac:dyDescent="0.2">
      <c r="BG2728"/>
    </row>
    <row r="2729" spans="59:59" hidden="1" x14ac:dyDescent="0.2">
      <c r="BG2729"/>
    </row>
    <row r="2730" spans="59:59" hidden="1" x14ac:dyDescent="0.2">
      <c r="BG2730"/>
    </row>
    <row r="2731" spans="59:59" hidden="1" x14ac:dyDescent="0.2">
      <c r="BG2731"/>
    </row>
    <row r="2732" spans="59:59" hidden="1" x14ac:dyDescent="0.2">
      <c r="BG2732"/>
    </row>
    <row r="2733" spans="59:59" hidden="1" x14ac:dyDescent="0.2">
      <c r="BG2733"/>
    </row>
    <row r="2734" spans="59:59" hidden="1" x14ac:dyDescent="0.2">
      <c r="BG2734"/>
    </row>
    <row r="2735" spans="59:59" hidden="1" x14ac:dyDescent="0.2">
      <c r="BG2735"/>
    </row>
    <row r="2736" spans="59:59" hidden="1" x14ac:dyDescent="0.2">
      <c r="BG2736"/>
    </row>
    <row r="2737" spans="59:59" hidden="1" x14ac:dyDescent="0.2">
      <c r="BG2737"/>
    </row>
    <row r="2738" spans="59:59" hidden="1" x14ac:dyDescent="0.2">
      <c r="BG2738"/>
    </row>
    <row r="2739" spans="59:59" hidden="1" x14ac:dyDescent="0.2">
      <c r="BG2739"/>
    </row>
    <row r="2740" spans="59:59" hidden="1" x14ac:dyDescent="0.2">
      <c r="BG2740"/>
    </row>
    <row r="2741" spans="59:59" hidden="1" x14ac:dyDescent="0.2">
      <c r="BG2741"/>
    </row>
    <row r="2742" spans="59:59" hidden="1" x14ac:dyDescent="0.2">
      <c r="BG2742"/>
    </row>
    <row r="2743" spans="59:59" hidden="1" x14ac:dyDescent="0.2">
      <c r="BG2743"/>
    </row>
    <row r="2744" spans="59:59" hidden="1" x14ac:dyDescent="0.2">
      <c r="BG2744"/>
    </row>
    <row r="2745" spans="59:59" hidden="1" x14ac:dyDescent="0.2">
      <c r="BG2745"/>
    </row>
    <row r="2746" spans="59:59" hidden="1" x14ac:dyDescent="0.2">
      <c r="BG2746"/>
    </row>
    <row r="2747" spans="59:59" hidden="1" x14ac:dyDescent="0.2">
      <c r="BG2747"/>
    </row>
    <row r="2748" spans="59:59" hidden="1" x14ac:dyDescent="0.2">
      <c r="BG2748"/>
    </row>
    <row r="2749" spans="59:59" hidden="1" x14ac:dyDescent="0.2">
      <c r="BG2749"/>
    </row>
    <row r="2750" spans="59:59" hidden="1" x14ac:dyDescent="0.2">
      <c r="BG2750"/>
    </row>
    <row r="2751" spans="59:59" hidden="1" x14ac:dyDescent="0.2">
      <c r="BG2751"/>
    </row>
    <row r="2752" spans="59:59" hidden="1" x14ac:dyDescent="0.2">
      <c r="BG2752"/>
    </row>
    <row r="2753" spans="59:59" hidden="1" x14ac:dyDescent="0.2">
      <c r="BG2753"/>
    </row>
    <row r="2754" spans="59:59" hidden="1" x14ac:dyDescent="0.2">
      <c r="BG2754"/>
    </row>
    <row r="2755" spans="59:59" hidden="1" x14ac:dyDescent="0.2">
      <c r="BG2755"/>
    </row>
    <row r="2756" spans="59:59" hidden="1" x14ac:dyDescent="0.2">
      <c r="BG2756"/>
    </row>
    <row r="2757" spans="59:59" hidden="1" x14ac:dyDescent="0.2">
      <c r="BG2757"/>
    </row>
    <row r="2758" spans="59:59" hidden="1" x14ac:dyDescent="0.2">
      <c r="BG2758"/>
    </row>
    <row r="2759" spans="59:59" hidden="1" x14ac:dyDescent="0.2">
      <c r="BG2759"/>
    </row>
    <row r="2760" spans="59:59" hidden="1" x14ac:dyDescent="0.2">
      <c r="BG2760"/>
    </row>
    <row r="2761" spans="59:59" hidden="1" x14ac:dyDescent="0.2">
      <c r="BG2761"/>
    </row>
    <row r="2762" spans="59:59" hidden="1" x14ac:dyDescent="0.2">
      <c r="BG2762"/>
    </row>
    <row r="2763" spans="59:59" hidden="1" x14ac:dyDescent="0.2">
      <c r="BG2763"/>
    </row>
    <row r="2764" spans="59:59" hidden="1" x14ac:dyDescent="0.2">
      <c r="BG2764"/>
    </row>
    <row r="2765" spans="59:59" hidden="1" x14ac:dyDescent="0.2">
      <c r="BG2765"/>
    </row>
    <row r="2766" spans="59:59" hidden="1" x14ac:dyDescent="0.2">
      <c r="BG2766"/>
    </row>
    <row r="2767" spans="59:59" hidden="1" x14ac:dyDescent="0.2">
      <c r="BG2767"/>
    </row>
    <row r="2768" spans="59:59" hidden="1" x14ac:dyDescent="0.2">
      <c r="BG2768"/>
    </row>
    <row r="2769" spans="59:59" hidden="1" x14ac:dyDescent="0.2">
      <c r="BG2769"/>
    </row>
    <row r="2770" spans="59:59" hidden="1" x14ac:dyDescent="0.2">
      <c r="BG2770"/>
    </row>
    <row r="2771" spans="59:59" hidden="1" x14ac:dyDescent="0.2">
      <c r="BG2771"/>
    </row>
    <row r="2772" spans="59:59" hidden="1" x14ac:dyDescent="0.2">
      <c r="BG2772"/>
    </row>
    <row r="2773" spans="59:59" hidden="1" x14ac:dyDescent="0.2">
      <c r="BG2773"/>
    </row>
    <row r="2774" spans="59:59" hidden="1" x14ac:dyDescent="0.2">
      <c r="BG2774"/>
    </row>
    <row r="2775" spans="59:59" hidden="1" x14ac:dyDescent="0.2">
      <c r="BG2775"/>
    </row>
    <row r="2776" spans="59:59" hidden="1" x14ac:dyDescent="0.2">
      <c r="BG2776"/>
    </row>
    <row r="2777" spans="59:59" hidden="1" x14ac:dyDescent="0.2">
      <c r="BG2777"/>
    </row>
    <row r="2778" spans="59:59" hidden="1" x14ac:dyDescent="0.2">
      <c r="BG2778"/>
    </row>
    <row r="2779" spans="59:59" hidden="1" x14ac:dyDescent="0.2">
      <c r="BG2779"/>
    </row>
    <row r="2780" spans="59:59" hidden="1" x14ac:dyDescent="0.2">
      <c r="BG2780"/>
    </row>
    <row r="2781" spans="59:59" hidden="1" x14ac:dyDescent="0.2">
      <c r="BG2781"/>
    </row>
    <row r="2782" spans="59:59" hidden="1" x14ac:dyDescent="0.2">
      <c r="BG2782"/>
    </row>
    <row r="2783" spans="59:59" hidden="1" x14ac:dyDescent="0.2">
      <c r="BG2783"/>
    </row>
    <row r="2784" spans="59:59" hidden="1" x14ac:dyDescent="0.2">
      <c r="BG2784"/>
    </row>
    <row r="2785" spans="59:59" hidden="1" x14ac:dyDescent="0.2">
      <c r="BG2785"/>
    </row>
    <row r="2786" spans="59:59" hidden="1" x14ac:dyDescent="0.2">
      <c r="BG2786"/>
    </row>
    <row r="2787" spans="59:59" hidden="1" x14ac:dyDescent="0.2">
      <c r="BG2787"/>
    </row>
    <row r="2788" spans="59:59" hidden="1" x14ac:dyDescent="0.2">
      <c r="BG2788"/>
    </row>
    <row r="2789" spans="59:59" hidden="1" x14ac:dyDescent="0.2">
      <c r="BG2789"/>
    </row>
    <row r="2790" spans="59:59" hidden="1" x14ac:dyDescent="0.2">
      <c r="BG2790"/>
    </row>
    <row r="2791" spans="59:59" hidden="1" x14ac:dyDescent="0.2"/>
    <row r="2792" spans="59:59" hidden="1" x14ac:dyDescent="0.2"/>
    <row r="2793" spans="59:59" hidden="1" x14ac:dyDescent="0.2"/>
    <row r="2794" spans="59:59" hidden="1" x14ac:dyDescent="0.2"/>
    <row r="2795" spans="59:59" hidden="1" x14ac:dyDescent="0.2"/>
    <row r="2796" spans="59:59" hidden="1" x14ac:dyDescent="0.2"/>
    <row r="2797" spans="59:59" hidden="1" x14ac:dyDescent="0.2"/>
    <row r="2798" spans="59:59" hidden="1" x14ac:dyDescent="0.2"/>
    <row r="2799" spans="59:59" hidden="1" x14ac:dyDescent="0.2"/>
    <row r="2800" spans="59:59" hidden="1" x14ac:dyDescent="0.2"/>
    <row r="2801" hidden="1" x14ac:dyDescent="0.2"/>
    <row r="2802" hidden="1" x14ac:dyDescent="0.2"/>
    <row r="2803" hidden="1" x14ac:dyDescent="0.2"/>
    <row r="2804" hidden="1" x14ac:dyDescent="0.2"/>
    <row r="2805" hidden="1" x14ac:dyDescent="0.2"/>
    <row r="2806" hidden="1" x14ac:dyDescent="0.2"/>
    <row r="2807" hidden="1" x14ac:dyDescent="0.2"/>
    <row r="2808" hidden="1" x14ac:dyDescent="0.2"/>
    <row r="2809" hidden="1" x14ac:dyDescent="0.2"/>
    <row r="2810" hidden="1" x14ac:dyDescent="0.2"/>
    <row r="2811" hidden="1" x14ac:dyDescent="0.2"/>
    <row r="2812" hidden="1" x14ac:dyDescent="0.2"/>
    <row r="2813" hidden="1" x14ac:dyDescent="0.2"/>
    <row r="2814" hidden="1" x14ac:dyDescent="0.2"/>
    <row r="2815" hidden="1" x14ac:dyDescent="0.2"/>
    <row r="2816" hidden="1" x14ac:dyDescent="0.2"/>
    <row r="2817" hidden="1" x14ac:dyDescent="0.2"/>
    <row r="2818" hidden="1" x14ac:dyDescent="0.2"/>
    <row r="2819" hidden="1" x14ac:dyDescent="0.2"/>
    <row r="2820" hidden="1" x14ac:dyDescent="0.2"/>
    <row r="2821" hidden="1" x14ac:dyDescent="0.2"/>
    <row r="2822" hidden="1" x14ac:dyDescent="0.2"/>
    <row r="2823" hidden="1" x14ac:dyDescent="0.2"/>
    <row r="2824" hidden="1" x14ac:dyDescent="0.2"/>
    <row r="2825" hidden="1" x14ac:dyDescent="0.2"/>
    <row r="2826" hidden="1" x14ac:dyDescent="0.2"/>
    <row r="2827" hidden="1" x14ac:dyDescent="0.2"/>
    <row r="2828" hidden="1" x14ac:dyDescent="0.2"/>
    <row r="2829" hidden="1" x14ac:dyDescent="0.2"/>
    <row r="2830" hidden="1" x14ac:dyDescent="0.2"/>
    <row r="2831" hidden="1" x14ac:dyDescent="0.2"/>
    <row r="2832" hidden="1" x14ac:dyDescent="0.2"/>
    <row r="2833" hidden="1" x14ac:dyDescent="0.2"/>
    <row r="2834" hidden="1" x14ac:dyDescent="0.2"/>
    <row r="2835" hidden="1" x14ac:dyDescent="0.2"/>
    <row r="2836" hidden="1" x14ac:dyDescent="0.2"/>
    <row r="2837" hidden="1" x14ac:dyDescent="0.2"/>
    <row r="2838" hidden="1" x14ac:dyDescent="0.2"/>
    <row r="2839" hidden="1" x14ac:dyDescent="0.2"/>
    <row r="2840" hidden="1" x14ac:dyDescent="0.2"/>
    <row r="2841" hidden="1" x14ac:dyDescent="0.2"/>
    <row r="2842" hidden="1" x14ac:dyDescent="0.2"/>
    <row r="2843" hidden="1" x14ac:dyDescent="0.2"/>
    <row r="2844" hidden="1" x14ac:dyDescent="0.2"/>
    <row r="2845" hidden="1" x14ac:dyDescent="0.2"/>
    <row r="2846" hidden="1" x14ac:dyDescent="0.2"/>
    <row r="2847" hidden="1" x14ac:dyDescent="0.2"/>
    <row r="2848" hidden="1" x14ac:dyDescent="0.2"/>
    <row r="2849" hidden="1" x14ac:dyDescent="0.2"/>
    <row r="2850" hidden="1" x14ac:dyDescent="0.2"/>
    <row r="2851" hidden="1" x14ac:dyDescent="0.2"/>
    <row r="2852" hidden="1" x14ac:dyDescent="0.2"/>
    <row r="2853" hidden="1" x14ac:dyDescent="0.2"/>
    <row r="2854" hidden="1" x14ac:dyDescent="0.2"/>
    <row r="2855" hidden="1" x14ac:dyDescent="0.2"/>
    <row r="2856" hidden="1" x14ac:dyDescent="0.2"/>
    <row r="2857" hidden="1" x14ac:dyDescent="0.2"/>
    <row r="2858" hidden="1" x14ac:dyDescent="0.2"/>
    <row r="2859" hidden="1" x14ac:dyDescent="0.2"/>
    <row r="2860" hidden="1" x14ac:dyDescent="0.2"/>
    <row r="2861" hidden="1" x14ac:dyDescent="0.2"/>
    <row r="2862" hidden="1" x14ac:dyDescent="0.2"/>
    <row r="2863" hidden="1" x14ac:dyDescent="0.2"/>
    <row r="2864" hidden="1" x14ac:dyDescent="0.2"/>
    <row r="2865" hidden="1" x14ac:dyDescent="0.2"/>
    <row r="2866" hidden="1" x14ac:dyDescent="0.2"/>
    <row r="2867" hidden="1" x14ac:dyDescent="0.2"/>
    <row r="2868" hidden="1" x14ac:dyDescent="0.2"/>
    <row r="2869" hidden="1" x14ac:dyDescent="0.2"/>
    <row r="2870" hidden="1" x14ac:dyDescent="0.2"/>
    <row r="2871" hidden="1" x14ac:dyDescent="0.2"/>
    <row r="2872" hidden="1" x14ac:dyDescent="0.2"/>
    <row r="2873" hidden="1" x14ac:dyDescent="0.2"/>
    <row r="2874" hidden="1" x14ac:dyDescent="0.2"/>
    <row r="2875" hidden="1" x14ac:dyDescent="0.2"/>
    <row r="2876" hidden="1" x14ac:dyDescent="0.2"/>
    <row r="2877" hidden="1" x14ac:dyDescent="0.2"/>
    <row r="2878" hidden="1" x14ac:dyDescent="0.2"/>
    <row r="2879" hidden="1" x14ac:dyDescent="0.2"/>
    <row r="2880" hidden="1" x14ac:dyDescent="0.2"/>
    <row r="2881" hidden="1" x14ac:dyDescent="0.2"/>
    <row r="2882" hidden="1" x14ac:dyDescent="0.2"/>
    <row r="2883" hidden="1" x14ac:dyDescent="0.2"/>
    <row r="2884" hidden="1" x14ac:dyDescent="0.2"/>
    <row r="2885" hidden="1" x14ac:dyDescent="0.2"/>
    <row r="2886" hidden="1" x14ac:dyDescent="0.2"/>
    <row r="2887" hidden="1" x14ac:dyDescent="0.2"/>
    <row r="2888" hidden="1" x14ac:dyDescent="0.2"/>
    <row r="2889" hidden="1" x14ac:dyDescent="0.2"/>
    <row r="2890" hidden="1" x14ac:dyDescent="0.2"/>
    <row r="2891" hidden="1" x14ac:dyDescent="0.2"/>
    <row r="2892" hidden="1" x14ac:dyDescent="0.2"/>
    <row r="2893" hidden="1" x14ac:dyDescent="0.2"/>
    <row r="2894" hidden="1" x14ac:dyDescent="0.2"/>
    <row r="2895" hidden="1" x14ac:dyDescent="0.2"/>
    <row r="2896" hidden="1" x14ac:dyDescent="0.2"/>
    <row r="2897" hidden="1" x14ac:dyDescent="0.2"/>
    <row r="2898" hidden="1" x14ac:dyDescent="0.2"/>
    <row r="2899" hidden="1" x14ac:dyDescent="0.2"/>
    <row r="2900" hidden="1" x14ac:dyDescent="0.2"/>
    <row r="2901" hidden="1" x14ac:dyDescent="0.2"/>
    <row r="2902" hidden="1" x14ac:dyDescent="0.2"/>
    <row r="2903" hidden="1" x14ac:dyDescent="0.2"/>
    <row r="2904" hidden="1" x14ac:dyDescent="0.2"/>
    <row r="2905" hidden="1" x14ac:dyDescent="0.2"/>
    <row r="2906" hidden="1" x14ac:dyDescent="0.2"/>
    <row r="2907" hidden="1" x14ac:dyDescent="0.2"/>
    <row r="2908" hidden="1" x14ac:dyDescent="0.2"/>
    <row r="2909" hidden="1" x14ac:dyDescent="0.2"/>
    <row r="2910" hidden="1" x14ac:dyDescent="0.2"/>
    <row r="2911" hidden="1" x14ac:dyDescent="0.2"/>
    <row r="2912" hidden="1" x14ac:dyDescent="0.2"/>
    <row r="2913" hidden="1" x14ac:dyDescent="0.2"/>
    <row r="2914" hidden="1" x14ac:dyDescent="0.2"/>
    <row r="2915" hidden="1" x14ac:dyDescent="0.2"/>
    <row r="2916" hidden="1" x14ac:dyDescent="0.2"/>
    <row r="2917" hidden="1" x14ac:dyDescent="0.2"/>
    <row r="2918" hidden="1" x14ac:dyDescent="0.2"/>
    <row r="2919" hidden="1" x14ac:dyDescent="0.2"/>
    <row r="2920" hidden="1" x14ac:dyDescent="0.2"/>
    <row r="2921" hidden="1" x14ac:dyDescent="0.2"/>
    <row r="2922" hidden="1" x14ac:dyDescent="0.2"/>
    <row r="2923" hidden="1" x14ac:dyDescent="0.2"/>
    <row r="2924" hidden="1" x14ac:dyDescent="0.2"/>
    <row r="2925" hidden="1" x14ac:dyDescent="0.2"/>
    <row r="2926" hidden="1" x14ac:dyDescent="0.2"/>
    <row r="2927" hidden="1" x14ac:dyDescent="0.2"/>
    <row r="2928" hidden="1" x14ac:dyDescent="0.2"/>
    <row r="2929" hidden="1" x14ac:dyDescent="0.2"/>
    <row r="2930" hidden="1" x14ac:dyDescent="0.2"/>
    <row r="2931" hidden="1" x14ac:dyDescent="0.2"/>
    <row r="2932" hidden="1" x14ac:dyDescent="0.2"/>
    <row r="2933" hidden="1" x14ac:dyDescent="0.2"/>
    <row r="2934" hidden="1" x14ac:dyDescent="0.2"/>
    <row r="2935" hidden="1" x14ac:dyDescent="0.2"/>
    <row r="2936" hidden="1" x14ac:dyDescent="0.2"/>
    <row r="2937" hidden="1" x14ac:dyDescent="0.2"/>
    <row r="2938" hidden="1" x14ac:dyDescent="0.2"/>
    <row r="2939" hidden="1" x14ac:dyDescent="0.2"/>
    <row r="2940" hidden="1" x14ac:dyDescent="0.2"/>
    <row r="2941" hidden="1" x14ac:dyDescent="0.2"/>
    <row r="2942" hidden="1" x14ac:dyDescent="0.2"/>
    <row r="2943" hidden="1" x14ac:dyDescent="0.2"/>
    <row r="2944" hidden="1" x14ac:dyDescent="0.2"/>
    <row r="2945" hidden="1" x14ac:dyDescent="0.2"/>
    <row r="2946" hidden="1" x14ac:dyDescent="0.2"/>
    <row r="2947" hidden="1" x14ac:dyDescent="0.2"/>
    <row r="2948" hidden="1" x14ac:dyDescent="0.2"/>
    <row r="2949" hidden="1" x14ac:dyDescent="0.2"/>
    <row r="2950" hidden="1" x14ac:dyDescent="0.2"/>
    <row r="2951" hidden="1" x14ac:dyDescent="0.2"/>
    <row r="2952" hidden="1" x14ac:dyDescent="0.2"/>
    <row r="2953" hidden="1" x14ac:dyDescent="0.2"/>
    <row r="2954" hidden="1" x14ac:dyDescent="0.2"/>
    <row r="2955" hidden="1" x14ac:dyDescent="0.2"/>
    <row r="2956" hidden="1" x14ac:dyDescent="0.2"/>
    <row r="2957" hidden="1" x14ac:dyDescent="0.2"/>
    <row r="2958" hidden="1" x14ac:dyDescent="0.2"/>
    <row r="2959" hidden="1" x14ac:dyDescent="0.2"/>
    <row r="2960" hidden="1" x14ac:dyDescent="0.2"/>
    <row r="2961" hidden="1" x14ac:dyDescent="0.2"/>
    <row r="2962" hidden="1" x14ac:dyDescent="0.2"/>
    <row r="2963" hidden="1" x14ac:dyDescent="0.2"/>
    <row r="2964" hidden="1" x14ac:dyDescent="0.2"/>
    <row r="2965" hidden="1" x14ac:dyDescent="0.2"/>
    <row r="2966" hidden="1" x14ac:dyDescent="0.2"/>
    <row r="2967" hidden="1" x14ac:dyDescent="0.2"/>
    <row r="2968" hidden="1" x14ac:dyDescent="0.2"/>
    <row r="2969" hidden="1" x14ac:dyDescent="0.2"/>
    <row r="2970" hidden="1" x14ac:dyDescent="0.2"/>
    <row r="2971" hidden="1" x14ac:dyDescent="0.2"/>
    <row r="2972" hidden="1" x14ac:dyDescent="0.2"/>
    <row r="2973" hidden="1" x14ac:dyDescent="0.2"/>
    <row r="2974" hidden="1" x14ac:dyDescent="0.2"/>
    <row r="2975" hidden="1" x14ac:dyDescent="0.2"/>
    <row r="2976" hidden="1" x14ac:dyDescent="0.2"/>
    <row r="2977" hidden="1" x14ac:dyDescent="0.2"/>
    <row r="2978" hidden="1" x14ac:dyDescent="0.2"/>
    <row r="2979" hidden="1" x14ac:dyDescent="0.2"/>
    <row r="2980" hidden="1" x14ac:dyDescent="0.2"/>
    <row r="2981" hidden="1" x14ac:dyDescent="0.2"/>
    <row r="2982" hidden="1" x14ac:dyDescent="0.2"/>
    <row r="2983" hidden="1" x14ac:dyDescent="0.2"/>
    <row r="2984" hidden="1" x14ac:dyDescent="0.2"/>
    <row r="2985" hidden="1" x14ac:dyDescent="0.2"/>
    <row r="2986" hidden="1" x14ac:dyDescent="0.2"/>
    <row r="2987" hidden="1" x14ac:dyDescent="0.2"/>
    <row r="2988" hidden="1" x14ac:dyDescent="0.2"/>
    <row r="2989" hidden="1" x14ac:dyDescent="0.2"/>
    <row r="2990" hidden="1" x14ac:dyDescent="0.2"/>
    <row r="2991" hidden="1" x14ac:dyDescent="0.2"/>
    <row r="2992" hidden="1" x14ac:dyDescent="0.2"/>
    <row r="2993" hidden="1" x14ac:dyDescent="0.2"/>
    <row r="2994" hidden="1" x14ac:dyDescent="0.2"/>
    <row r="2995" hidden="1" x14ac:dyDescent="0.2"/>
    <row r="2996" hidden="1" x14ac:dyDescent="0.2"/>
    <row r="2997" hidden="1" x14ac:dyDescent="0.2"/>
    <row r="2998" hidden="1" x14ac:dyDescent="0.2"/>
    <row r="2999" hidden="1" x14ac:dyDescent="0.2"/>
    <row r="3000" hidden="1" x14ac:dyDescent="0.2"/>
    <row r="3001" hidden="1" x14ac:dyDescent="0.2"/>
    <row r="3002" hidden="1" x14ac:dyDescent="0.2"/>
    <row r="3003" hidden="1" x14ac:dyDescent="0.2"/>
    <row r="3004" hidden="1" x14ac:dyDescent="0.2"/>
    <row r="3005" hidden="1" x14ac:dyDescent="0.2"/>
    <row r="3006" hidden="1" x14ac:dyDescent="0.2"/>
    <row r="3007" hidden="1" x14ac:dyDescent="0.2"/>
    <row r="3008" hidden="1" x14ac:dyDescent="0.2"/>
    <row r="3009" hidden="1" x14ac:dyDescent="0.2"/>
    <row r="3010" hidden="1" x14ac:dyDescent="0.2"/>
    <row r="3011" hidden="1" x14ac:dyDescent="0.2"/>
    <row r="3012" hidden="1" x14ac:dyDescent="0.2"/>
    <row r="3013" hidden="1" x14ac:dyDescent="0.2"/>
    <row r="3014" hidden="1" x14ac:dyDescent="0.2"/>
    <row r="3015" hidden="1" x14ac:dyDescent="0.2"/>
    <row r="3016" hidden="1" x14ac:dyDescent="0.2"/>
    <row r="3017" hidden="1" x14ac:dyDescent="0.2"/>
    <row r="3018" hidden="1" x14ac:dyDescent="0.2"/>
    <row r="3019" hidden="1" x14ac:dyDescent="0.2"/>
    <row r="3020" hidden="1" x14ac:dyDescent="0.2"/>
    <row r="3021" hidden="1" x14ac:dyDescent="0.2"/>
    <row r="3022" hidden="1" x14ac:dyDescent="0.2"/>
    <row r="3023" hidden="1" x14ac:dyDescent="0.2"/>
    <row r="3024" hidden="1" x14ac:dyDescent="0.2"/>
    <row r="3025" hidden="1" x14ac:dyDescent="0.2"/>
    <row r="3026" hidden="1" x14ac:dyDescent="0.2"/>
    <row r="3027" hidden="1" x14ac:dyDescent="0.2"/>
    <row r="3028" hidden="1" x14ac:dyDescent="0.2"/>
    <row r="3029" hidden="1" x14ac:dyDescent="0.2"/>
    <row r="3030" hidden="1" x14ac:dyDescent="0.2"/>
    <row r="3031" hidden="1" x14ac:dyDescent="0.2"/>
    <row r="3032" hidden="1" x14ac:dyDescent="0.2"/>
    <row r="3033" hidden="1" x14ac:dyDescent="0.2"/>
    <row r="3034" hidden="1" x14ac:dyDescent="0.2"/>
    <row r="3035" hidden="1" x14ac:dyDescent="0.2"/>
    <row r="3036" hidden="1" x14ac:dyDescent="0.2"/>
    <row r="3037" hidden="1" x14ac:dyDescent="0.2"/>
    <row r="3038" hidden="1" x14ac:dyDescent="0.2"/>
    <row r="3039" hidden="1" x14ac:dyDescent="0.2"/>
    <row r="3040" hidden="1" x14ac:dyDescent="0.2"/>
    <row r="3041" hidden="1" x14ac:dyDescent="0.2"/>
    <row r="3042" hidden="1" x14ac:dyDescent="0.2"/>
    <row r="3043" hidden="1" x14ac:dyDescent="0.2"/>
    <row r="3044" hidden="1" x14ac:dyDescent="0.2"/>
    <row r="3045" hidden="1" x14ac:dyDescent="0.2"/>
    <row r="3046" hidden="1" x14ac:dyDescent="0.2"/>
    <row r="3047" hidden="1" x14ac:dyDescent="0.2"/>
    <row r="3048" hidden="1" x14ac:dyDescent="0.2"/>
    <row r="3049" hidden="1" x14ac:dyDescent="0.2"/>
    <row r="3050" hidden="1" x14ac:dyDescent="0.2"/>
    <row r="3051" hidden="1" x14ac:dyDescent="0.2"/>
    <row r="3052" hidden="1" x14ac:dyDescent="0.2"/>
    <row r="3053" hidden="1" x14ac:dyDescent="0.2"/>
    <row r="3054" hidden="1" x14ac:dyDescent="0.2"/>
    <row r="3055" hidden="1" x14ac:dyDescent="0.2"/>
    <row r="3056" hidden="1" x14ac:dyDescent="0.2"/>
    <row r="3057" hidden="1" x14ac:dyDescent="0.2"/>
    <row r="3058" hidden="1" x14ac:dyDescent="0.2"/>
    <row r="3059" hidden="1" x14ac:dyDescent="0.2"/>
    <row r="3060" hidden="1" x14ac:dyDescent="0.2"/>
    <row r="3061" hidden="1" x14ac:dyDescent="0.2"/>
    <row r="3062" hidden="1" x14ac:dyDescent="0.2"/>
    <row r="3063" hidden="1" x14ac:dyDescent="0.2"/>
    <row r="3064" hidden="1" x14ac:dyDescent="0.2"/>
    <row r="3065" hidden="1" x14ac:dyDescent="0.2"/>
    <row r="3066" hidden="1" x14ac:dyDescent="0.2"/>
    <row r="3067" hidden="1" x14ac:dyDescent="0.2"/>
    <row r="3068" hidden="1" x14ac:dyDescent="0.2"/>
    <row r="3069" hidden="1" x14ac:dyDescent="0.2"/>
    <row r="3070" hidden="1" x14ac:dyDescent="0.2"/>
    <row r="3071" hidden="1" x14ac:dyDescent="0.2"/>
    <row r="3072" hidden="1" x14ac:dyDescent="0.2"/>
    <row r="3073" hidden="1" x14ac:dyDescent="0.2"/>
    <row r="3074" hidden="1" x14ac:dyDescent="0.2"/>
    <row r="3075" hidden="1" x14ac:dyDescent="0.2"/>
    <row r="3076" hidden="1" x14ac:dyDescent="0.2"/>
    <row r="3077" hidden="1" x14ac:dyDescent="0.2"/>
    <row r="3078" hidden="1" x14ac:dyDescent="0.2"/>
    <row r="3079" hidden="1" x14ac:dyDescent="0.2"/>
    <row r="3080" hidden="1" x14ac:dyDescent="0.2"/>
    <row r="3081" hidden="1" x14ac:dyDescent="0.2"/>
    <row r="3082" hidden="1" x14ac:dyDescent="0.2"/>
    <row r="3083" hidden="1" x14ac:dyDescent="0.2"/>
    <row r="3084" hidden="1" x14ac:dyDescent="0.2"/>
    <row r="3085" hidden="1" x14ac:dyDescent="0.2"/>
    <row r="3086" hidden="1" x14ac:dyDescent="0.2"/>
    <row r="3087" hidden="1" x14ac:dyDescent="0.2"/>
    <row r="3088" hidden="1" x14ac:dyDescent="0.2"/>
    <row r="3089" hidden="1" x14ac:dyDescent="0.2"/>
    <row r="3090" hidden="1" x14ac:dyDescent="0.2"/>
    <row r="3091" hidden="1" x14ac:dyDescent="0.2"/>
    <row r="3092" hidden="1" x14ac:dyDescent="0.2"/>
    <row r="3093" hidden="1" x14ac:dyDescent="0.2"/>
    <row r="3094" hidden="1" x14ac:dyDescent="0.2"/>
    <row r="3095" hidden="1" x14ac:dyDescent="0.2"/>
    <row r="3096" hidden="1" x14ac:dyDescent="0.2"/>
    <row r="3097" hidden="1" x14ac:dyDescent="0.2"/>
    <row r="3098" hidden="1" x14ac:dyDescent="0.2"/>
    <row r="3099" hidden="1" x14ac:dyDescent="0.2"/>
    <row r="3100" hidden="1" x14ac:dyDescent="0.2"/>
    <row r="3101" hidden="1" x14ac:dyDescent="0.2"/>
    <row r="3102" hidden="1" x14ac:dyDescent="0.2"/>
    <row r="3103" hidden="1" x14ac:dyDescent="0.2"/>
    <row r="3104" hidden="1" x14ac:dyDescent="0.2"/>
    <row r="3105" hidden="1" x14ac:dyDescent="0.2"/>
    <row r="3106" hidden="1" x14ac:dyDescent="0.2"/>
    <row r="3107" hidden="1" x14ac:dyDescent="0.2"/>
    <row r="3108" hidden="1" x14ac:dyDescent="0.2"/>
    <row r="3109" hidden="1" x14ac:dyDescent="0.2"/>
    <row r="3110" hidden="1" x14ac:dyDescent="0.2"/>
    <row r="3111" hidden="1" x14ac:dyDescent="0.2"/>
    <row r="3112" hidden="1" x14ac:dyDescent="0.2"/>
    <row r="3113" hidden="1" x14ac:dyDescent="0.2"/>
    <row r="3114" hidden="1" x14ac:dyDescent="0.2"/>
    <row r="3115" hidden="1" x14ac:dyDescent="0.2"/>
    <row r="3116" hidden="1" x14ac:dyDescent="0.2"/>
    <row r="3117" hidden="1" x14ac:dyDescent="0.2"/>
    <row r="3118" hidden="1" x14ac:dyDescent="0.2"/>
    <row r="3119" hidden="1" x14ac:dyDescent="0.2"/>
    <row r="3120" hidden="1" x14ac:dyDescent="0.2"/>
    <row r="3121" hidden="1" x14ac:dyDescent="0.2"/>
    <row r="3122" hidden="1" x14ac:dyDescent="0.2"/>
    <row r="3123" hidden="1" x14ac:dyDescent="0.2"/>
    <row r="3124" hidden="1" x14ac:dyDescent="0.2"/>
    <row r="3125" hidden="1" x14ac:dyDescent="0.2"/>
    <row r="3126" hidden="1" x14ac:dyDescent="0.2"/>
    <row r="3127" hidden="1" x14ac:dyDescent="0.2"/>
    <row r="3128" hidden="1" x14ac:dyDescent="0.2"/>
    <row r="3129" hidden="1" x14ac:dyDescent="0.2"/>
    <row r="3130" hidden="1" x14ac:dyDescent="0.2"/>
    <row r="3131" hidden="1" x14ac:dyDescent="0.2"/>
    <row r="3132" hidden="1" x14ac:dyDescent="0.2"/>
    <row r="3133" hidden="1" x14ac:dyDescent="0.2"/>
    <row r="3134" hidden="1" x14ac:dyDescent="0.2"/>
    <row r="3135" hidden="1" x14ac:dyDescent="0.2"/>
    <row r="3136" hidden="1" x14ac:dyDescent="0.2"/>
    <row r="3137" hidden="1" x14ac:dyDescent="0.2"/>
    <row r="3138" hidden="1" x14ac:dyDescent="0.2"/>
    <row r="3139" hidden="1" x14ac:dyDescent="0.2"/>
    <row r="3140" hidden="1" x14ac:dyDescent="0.2"/>
    <row r="3141" hidden="1" x14ac:dyDescent="0.2"/>
    <row r="3142" hidden="1" x14ac:dyDescent="0.2"/>
    <row r="3143" hidden="1" x14ac:dyDescent="0.2"/>
    <row r="3144" hidden="1" x14ac:dyDescent="0.2"/>
    <row r="3145" hidden="1" x14ac:dyDescent="0.2"/>
    <row r="3146" hidden="1" x14ac:dyDescent="0.2"/>
    <row r="3147" hidden="1" x14ac:dyDescent="0.2"/>
    <row r="3148" hidden="1" x14ac:dyDescent="0.2"/>
    <row r="3149" hidden="1" x14ac:dyDescent="0.2"/>
    <row r="3150" hidden="1" x14ac:dyDescent="0.2"/>
    <row r="3151" hidden="1" x14ac:dyDescent="0.2"/>
    <row r="3152" hidden="1" x14ac:dyDescent="0.2"/>
    <row r="3153" hidden="1" x14ac:dyDescent="0.2"/>
    <row r="3154" hidden="1" x14ac:dyDescent="0.2"/>
    <row r="3155" hidden="1" x14ac:dyDescent="0.2"/>
    <row r="3156" hidden="1" x14ac:dyDescent="0.2"/>
    <row r="3157" hidden="1" x14ac:dyDescent="0.2"/>
    <row r="3158" hidden="1" x14ac:dyDescent="0.2"/>
    <row r="3159" hidden="1" x14ac:dyDescent="0.2"/>
    <row r="3160" hidden="1" x14ac:dyDescent="0.2"/>
    <row r="3161" hidden="1" x14ac:dyDescent="0.2"/>
    <row r="3162" hidden="1" x14ac:dyDescent="0.2"/>
    <row r="3163" hidden="1" x14ac:dyDescent="0.2"/>
    <row r="3164" hidden="1" x14ac:dyDescent="0.2"/>
    <row r="3165" hidden="1" x14ac:dyDescent="0.2"/>
    <row r="3166" hidden="1" x14ac:dyDescent="0.2"/>
    <row r="3167" hidden="1" x14ac:dyDescent="0.2"/>
    <row r="3168" hidden="1" x14ac:dyDescent="0.2"/>
    <row r="3169" hidden="1" x14ac:dyDescent="0.2"/>
    <row r="3170" hidden="1" x14ac:dyDescent="0.2"/>
    <row r="3171" hidden="1" x14ac:dyDescent="0.2"/>
    <row r="3172" hidden="1" x14ac:dyDescent="0.2"/>
    <row r="3173" hidden="1" x14ac:dyDescent="0.2"/>
    <row r="3174" hidden="1" x14ac:dyDescent="0.2"/>
    <row r="3175" hidden="1" x14ac:dyDescent="0.2"/>
    <row r="3176" hidden="1" x14ac:dyDescent="0.2"/>
    <row r="3177" hidden="1" x14ac:dyDescent="0.2"/>
    <row r="3178" hidden="1" x14ac:dyDescent="0.2"/>
    <row r="3179" hidden="1" x14ac:dyDescent="0.2"/>
    <row r="3180" hidden="1" x14ac:dyDescent="0.2"/>
    <row r="3181" hidden="1" x14ac:dyDescent="0.2"/>
    <row r="3182" hidden="1" x14ac:dyDescent="0.2"/>
    <row r="3183" hidden="1" x14ac:dyDescent="0.2"/>
    <row r="3184" hidden="1" x14ac:dyDescent="0.2"/>
    <row r="3185" hidden="1" x14ac:dyDescent="0.2"/>
    <row r="3186" hidden="1" x14ac:dyDescent="0.2"/>
    <row r="3187" hidden="1" x14ac:dyDescent="0.2"/>
    <row r="3188" hidden="1" x14ac:dyDescent="0.2"/>
    <row r="3189" hidden="1" x14ac:dyDescent="0.2"/>
    <row r="3190" hidden="1" x14ac:dyDescent="0.2"/>
    <row r="3191" hidden="1" x14ac:dyDescent="0.2"/>
    <row r="3192" hidden="1" x14ac:dyDescent="0.2"/>
    <row r="3193" hidden="1" x14ac:dyDescent="0.2"/>
    <row r="3194" hidden="1" x14ac:dyDescent="0.2"/>
    <row r="3195" hidden="1" x14ac:dyDescent="0.2"/>
    <row r="3196" hidden="1" x14ac:dyDescent="0.2"/>
    <row r="3197" hidden="1" x14ac:dyDescent="0.2"/>
    <row r="3198" hidden="1" x14ac:dyDescent="0.2"/>
    <row r="3199" hidden="1" x14ac:dyDescent="0.2"/>
    <row r="3200" hidden="1" x14ac:dyDescent="0.2"/>
    <row r="3201" hidden="1" x14ac:dyDescent="0.2"/>
    <row r="3202" hidden="1" x14ac:dyDescent="0.2"/>
    <row r="3203" hidden="1" x14ac:dyDescent="0.2"/>
    <row r="3204" hidden="1" x14ac:dyDescent="0.2"/>
    <row r="3205" hidden="1" x14ac:dyDescent="0.2"/>
    <row r="3206" hidden="1" x14ac:dyDescent="0.2"/>
    <row r="3207" hidden="1" x14ac:dyDescent="0.2"/>
    <row r="3208" hidden="1" x14ac:dyDescent="0.2"/>
    <row r="3209" hidden="1" x14ac:dyDescent="0.2"/>
    <row r="3210" hidden="1" x14ac:dyDescent="0.2"/>
    <row r="3211" hidden="1" x14ac:dyDescent="0.2"/>
    <row r="3212" hidden="1" x14ac:dyDescent="0.2"/>
    <row r="3213" hidden="1" x14ac:dyDescent="0.2"/>
    <row r="3214" hidden="1" x14ac:dyDescent="0.2"/>
    <row r="3215" hidden="1" x14ac:dyDescent="0.2"/>
    <row r="3216" hidden="1" x14ac:dyDescent="0.2"/>
    <row r="3217" hidden="1" x14ac:dyDescent="0.2"/>
    <row r="3218" hidden="1" x14ac:dyDescent="0.2"/>
    <row r="3219" hidden="1" x14ac:dyDescent="0.2"/>
    <row r="3220" hidden="1" x14ac:dyDescent="0.2"/>
    <row r="3221" hidden="1" x14ac:dyDescent="0.2"/>
    <row r="3222" hidden="1" x14ac:dyDescent="0.2"/>
    <row r="3223" hidden="1" x14ac:dyDescent="0.2"/>
    <row r="3224" hidden="1" x14ac:dyDescent="0.2"/>
    <row r="3225" hidden="1" x14ac:dyDescent="0.2"/>
    <row r="3226" hidden="1" x14ac:dyDescent="0.2"/>
    <row r="3227" hidden="1" x14ac:dyDescent="0.2"/>
    <row r="3228" hidden="1" x14ac:dyDescent="0.2"/>
    <row r="3229" hidden="1" x14ac:dyDescent="0.2"/>
    <row r="3230" hidden="1" x14ac:dyDescent="0.2"/>
    <row r="3231" hidden="1" x14ac:dyDescent="0.2"/>
    <row r="3232" hidden="1" x14ac:dyDescent="0.2"/>
    <row r="3233" hidden="1" x14ac:dyDescent="0.2"/>
    <row r="3234" hidden="1" x14ac:dyDescent="0.2"/>
    <row r="3235" hidden="1" x14ac:dyDescent="0.2"/>
    <row r="3236" hidden="1" x14ac:dyDescent="0.2"/>
    <row r="3237" hidden="1" x14ac:dyDescent="0.2"/>
    <row r="3238" hidden="1" x14ac:dyDescent="0.2"/>
    <row r="3239" hidden="1" x14ac:dyDescent="0.2"/>
    <row r="3240" hidden="1" x14ac:dyDescent="0.2"/>
    <row r="3241" hidden="1" x14ac:dyDescent="0.2"/>
    <row r="3242" hidden="1" x14ac:dyDescent="0.2"/>
    <row r="3243" hidden="1" x14ac:dyDescent="0.2"/>
    <row r="3244" hidden="1" x14ac:dyDescent="0.2"/>
    <row r="3245" hidden="1" x14ac:dyDescent="0.2"/>
    <row r="3246" hidden="1" x14ac:dyDescent="0.2"/>
    <row r="3247" hidden="1" x14ac:dyDescent="0.2"/>
    <row r="3248" hidden="1" x14ac:dyDescent="0.2"/>
    <row r="3249" hidden="1" x14ac:dyDescent="0.2"/>
    <row r="3250" hidden="1" x14ac:dyDescent="0.2"/>
    <row r="3251" hidden="1" x14ac:dyDescent="0.2"/>
    <row r="3252" hidden="1" x14ac:dyDescent="0.2"/>
    <row r="3253" hidden="1" x14ac:dyDescent="0.2"/>
    <row r="3254" hidden="1" x14ac:dyDescent="0.2"/>
    <row r="3255" hidden="1" x14ac:dyDescent="0.2"/>
    <row r="3256" hidden="1" x14ac:dyDescent="0.2"/>
    <row r="3257" hidden="1" x14ac:dyDescent="0.2"/>
    <row r="3258" hidden="1" x14ac:dyDescent="0.2"/>
    <row r="3259" hidden="1" x14ac:dyDescent="0.2"/>
    <row r="3260" hidden="1" x14ac:dyDescent="0.2"/>
    <row r="3261" hidden="1" x14ac:dyDescent="0.2"/>
    <row r="3262" hidden="1" x14ac:dyDescent="0.2"/>
    <row r="3263" hidden="1" x14ac:dyDescent="0.2"/>
    <row r="3264" hidden="1" x14ac:dyDescent="0.2"/>
    <row r="3265" hidden="1" x14ac:dyDescent="0.2"/>
    <row r="3266" hidden="1" x14ac:dyDescent="0.2"/>
    <row r="3267" hidden="1" x14ac:dyDescent="0.2"/>
    <row r="3268" hidden="1" x14ac:dyDescent="0.2"/>
    <row r="3269" hidden="1" x14ac:dyDescent="0.2"/>
    <row r="3270" hidden="1" x14ac:dyDescent="0.2"/>
    <row r="3271" hidden="1" x14ac:dyDescent="0.2"/>
    <row r="3272" hidden="1" x14ac:dyDescent="0.2"/>
    <row r="3273" hidden="1" x14ac:dyDescent="0.2"/>
    <row r="3274" hidden="1" x14ac:dyDescent="0.2"/>
    <row r="3275" hidden="1" x14ac:dyDescent="0.2"/>
    <row r="3276" hidden="1" x14ac:dyDescent="0.2"/>
    <row r="3277" hidden="1" x14ac:dyDescent="0.2"/>
    <row r="3278" hidden="1" x14ac:dyDescent="0.2"/>
    <row r="3279" hidden="1" x14ac:dyDescent="0.2"/>
    <row r="3280" hidden="1" x14ac:dyDescent="0.2"/>
    <row r="3281" hidden="1" x14ac:dyDescent="0.2"/>
    <row r="3282" hidden="1" x14ac:dyDescent="0.2"/>
    <row r="3283" hidden="1" x14ac:dyDescent="0.2"/>
    <row r="3284" hidden="1" x14ac:dyDescent="0.2"/>
    <row r="3285" hidden="1" x14ac:dyDescent="0.2"/>
    <row r="3286" hidden="1" x14ac:dyDescent="0.2"/>
    <row r="3287" hidden="1" x14ac:dyDescent="0.2"/>
    <row r="3288" hidden="1" x14ac:dyDescent="0.2"/>
    <row r="3289" hidden="1" x14ac:dyDescent="0.2"/>
    <row r="3290" hidden="1" x14ac:dyDescent="0.2"/>
    <row r="3291" hidden="1" x14ac:dyDescent="0.2"/>
    <row r="3292" hidden="1" x14ac:dyDescent="0.2"/>
    <row r="3293" hidden="1" x14ac:dyDescent="0.2"/>
    <row r="3294" hidden="1" x14ac:dyDescent="0.2"/>
    <row r="3295" hidden="1" x14ac:dyDescent="0.2"/>
    <row r="3296" hidden="1" x14ac:dyDescent="0.2"/>
    <row r="3297" hidden="1" x14ac:dyDescent="0.2"/>
    <row r="3298" hidden="1" x14ac:dyDescent="0.2"/>
    <row r="3299" hidden="1" x14ac:dyDescent="0.2"/>
    <row r="3300" hidden="1" x14ac:dyDescent="0.2"/>
    <row r="3301" hidden="1" x14ac:dyDescent="0.2"/>
    <row r="3302" hidden="1" x14ac:dyDescent="0.2"/>
    <row r="3303" hidden="1" x14ac:dyDescent="0.2"/>
    <row r="3304" hidden="1" x14ac:dyDescent="0.2"/>
    <row r="3305" hidden="1" x14ac:dyDescent="0.2"/>
    <row r="3306" hidden="1" x14ac:dyDescent="0.2"/>
    <row r="3307" hidden="1" x14ac:dyDescent="0.2"/>
    <row r="3308" hidden="1" x14ac:dyDescent="0.2"/>
    <row r="3309" hidden="1" x14ac:dyDescent="0.2"/>
    <row r="3310" hidden="1" x14ac:dyDescent="0.2"/>
    <row r="3311" hidden="1" x14ac:dyDescent="0.2"/>
    <row r="3312" hidden="1" x14ac:dyDescent="0.2"/>
    <row r="3313" hidden="1" x14ac:dyDescent="0.2"/>
    <row r="3314" hidden="1" x14ac:dyDescent="0.2"/>
    <row r="3315" hidden="1" x14ac:dyDescent="0.2"/>
    <row r="3316" hidden="1" x14ac:dyDescent="0.2"/>
    <row r="3317" hidden="1" x14ac:dyDescent="0.2"/>
    <row r="3318" hidden="1" x14ac:dyDescent="0.2"/>
    <row r="3319" hidden="1" x14ac:dyDescent="0.2"/>
    <row r="3320" hidden="1" x14ac:dyDescent="0.2"/>
    <row r="3321" hidden="1" x14ac:dyDescent="0.2"/>
    <row r="3322" hidden="1" x14ac:dyDescent="0.2"/>
    <row r="3323" hidden="1" x14ac:dyDescent="0.2"/>
    <row r="3324" hidden="1" x14ac:dyDescent="0.2"/>
    <row r="3325" hidden="1" x14ac:dyDescent="0.2"/>
    <row r="3326" hidden="1" x14ac:dyDescent="0.2"/>
    <row r="3327" hidden="1" x14ac:dyDescent="0.2"/>
    <row r="3328" hidden="1" x14ac:dyDescent="0.2"/>
    <row r="3329" hidden="1" x14ac:dyDescent="0.2"/>
    <row r="3330" hidden="1" x14ac:dyDescent="0.2"/>
    <row r="3331" hidden="1" x14ac:dyDescent="0.2"/>
    <row r="3332" hidden="1" x14ac:dyDescent="0.2"/>
    <row r="3333" hidden="1" x14ac:dyDescent="0.2"/>
    <row r="3334" hidden="1" x14ac:dyDescent="0.2"/>
    <row r="3335" hidden="1" x14ac:dyDescent="0.2"/>
    <row r="3336" hidden="1" x14ac:dyDescent="0.2"/>
    <row r="3337" hidden="1" x14ac:dyDescent="0.2"/>
    <row r="3338" hidden="1" x14ac:dyDescent="0.2"/>
    <row r="3339" hidden="1" x14ac:dyDescent="0.2"/>
    <row r="3340" hidden="1" x14ac:dyDescent="0.2"/>
    <row r="3341" hidden="1" x14ac:dyDescent="0.2"/>
    <row r="3342" hidden="1" x14ac:dyDescent="0.2"/>
    <row r="3343" hidden="1" x14ac:dyDescent="0.2"/>
    <row r="3344" hidden="1" x14ac:dyDescent="0.2"/>
    <row r="3345" hidden="1" x14ac:dyDescent="0.2"/>
    <row r="3346" hidden="1" x14ac:dyDescent="0.2"/>
    <row r="3347" hidden="1" x14ac:dyDescent="0.2"/>
    <row r="3348" hidden="1" x14ac:dyDescent="0.2"/>
    <row r="3349" hidden="1" x14ac:dyDescent="0.2"/>
    <row r="3350" hidden="1" x14ac:dyDescent="0.2"/>
    <row r="3351" hidden="1" x14ac:dyDescent="0.2"/>
    <row r="3352" hidden="1" x14ac:dyDescent="0.2"/>
    <row r="3353" hidden="1" x14ac:dyDescent="0.2"/>
    <row r="3354" hidden="1" x14ac:dyDescent="0.2"/>
    <row r="3355" hidden="1" x14ac:dyDescent="0.2"/>
    <row r="3356" hidden="1" x14ac:dyDescent="0.2"/>
    <row r="3357" hidden="1" x14ac:dyDescent="0.2"/>
    <row r="3358" hidden="1" x14ac:dyDescent="0.2"/>
    <row r="3359" hidden="1" x14ac:dyDescent="0.2"/>
    <row r="3360" hidden="1" x14ac:dyDescent="0.2"/>
    <row r="3361" hidden="1" x14ac:dyDescent="0.2"/>
    <row r="3362" hidden="1" x14ac:dyDescent="0.2"/>
    <row r="3363" hidden="1" x14ac:dyDescent="0.2"/>
    <row r="3364" hidden="1" x14ac:dyDescent="0.2"/>
    <row r="3365" hidden="1" x14ac:dyDescent="0.2"/>
    <row r="3366" hidden="1" x14ac:dyDescent="0.2"/>
    <row r="3367" hidden="1" x14ac:dyDescent="0.2"/>
    <row r="3368" hidden="1" x14ac:dyDescent="0.2"/>
    <row r="3369" hidden="1" x14ac:dyDescent="0.2"/>
    <row r="3370" hidden="1" x14ac:dyDescent="0.2"/>
    <row r="3371" hidden="1" x14ac:dyDescent="0.2"/>
    <row r="3372" hidden="1" x14ac:dyDescent="0.2"/>
    <row r="3373" hidden="1" x14ac:dyDescent="0.2"/>
    <row r="3374" hidden="1" x14ac:dyDescent="0.2"/>
    <row r="3375" hidden="1" x14ac:dyDescent="0.2"/>
    <row r="3376" hidden="1" x14ac:dyDescent="0.2"/>
    <row r="3377" hidden="1" x14ac:dyDescent="0.2"/>
    <row r="3378" hidden="1" x14ac:dyDescent="0.2"/>
    <row r="3379" hidden="1" x14ac:dyDescent="0.2"/>
    <row r="3380" hidden="1" x14ac:dyDescent="0.2"/>
    <row r="3381" hidden="1" x14ac:dyDescent="0.2"/>
    <row r="3382" hidden="1" x14ac:dyDescent="0.2"/>
    <row r="3383" hidden="1" x14ac:dyDescent="0.2"/>
    <row r="3384" hidden="1" x14ac:dyDescent="0.2"/>
    <row r="3385" hidden="1" x14ac:dyDescent="0.2"/>
    <row r="3386" hidden="1" x14ac:dyDescent="0.2"/>
    <row r="3387" hidden="1" x14ac:dyDescent="0.2"/>
    <row r="3388" hidden="1" x14ac:dyDescent="0.2"/>
    <row r="3389" hidden="1" x14ac:dyDescent="0.2"/>
    <row r="3390" hidden="1" x14ac:dyDescent="0.2"/>
    <row r="3391" hidden="1" x14ac:dyDescent="0.2"/>
    <row r="3392" hidden="1" x14ac:dyDescent="0.2"/>
    <row r="3393" hidden="1" x14ac:dyDescent="0.2"/>
    <row r="3394" hidden="1" x14ac:dyDescent="0.2"/>
    <row r="3395" hidden="1" x14ac:dyDescent="0.2"/>
    <row r="3396" hidden="1" x14ac:dyDescent="0.2"/>
    <row r="3397" hidden="1" x14ac:dyDescent="0.2"/>
    <row r="3398" hidden="1" x14ac:dyDescent="0.2"/>
    <row r="3399" hidden="1" x14ac:dyDescent="0.2"/>
    <row r="3400" hidden="1" x14ac:dyDescent="0.2"/>
    <row r="3401" hidden="1" x14ac:dyDescent="0.2"/>
    <row r="3402" hidden="1" x14ac:dyDescent="0.2"/>
    <row r="3403" hidden="1" x14ac:dyDescent="0.2"/>
    <row r="3404" hidden="1" x14ac:dyDescent="0.2"/>
    <row r="3405" hidden="1" x14ac:dyDescent="0.2"/>
    <row r="3406" hidden="1" x14ac:dyDescent="0.2"/>
    <row r="3407" hidden="1" x14ac:dyDescent="0.2"/>
    <row r="3408" hidden="1" x14ac:dyDescent="0.2"/>
    <row r="3409" hidden="1" x14ac:dyDescent="0.2"/>
    <row r="3410" hidden="1" x14ac:dyDescent="0.2"/>
    <row r="3411" hidden="1" x14ac:dyDescent="0.2"/>
    <row r="3412" hidden="1" x14ac:dyDescent="0.2"/>
    <row r="3413" hidden="1" x14ac:dyDescent="0.2"/>
    <row r="3414" hidden="1" x14ac:dyDescent="0.2"/>
    <row r="3415" hidden="1" x14ac:dyDescent="0.2"/>
    <row r="3416" hidden="1" x14ac:dyDescent="0.2"/>
    <row r="3417" hidden="1" x14ac:dyDescent="0.2"/>
    <row r="3418" hidden="1" x14ac:dyDescent="0.2"/>
    <row r="3419" hidden="1" x14ac:dyDescent="0.2"/>
    <row r="3420" hidden="1" x14ac:dyDescent="0.2"/>
    <row r="3421" hidden="1" x14ac:dyDescent="0.2"/>
    <row r="3422" hidden="1" x14ac:dyDescent="0.2"/>
    <row r="3423" hidden="1" x14ac:dyDescent="0.2"/>
    <row r="3424" hidden="1" x14ac:dyDescent="0.2"/>
    <row r="3425" hidden="1" x14ac:dyDescent="0.2"/>
    <row r="3426" hidden="1" x14ac:dyDescent="0.2"/>
    <row r="3427" hidden="1" x14ac:dyDescent="0.2"/>
    <row r="3428" hidden="1" x14ac:dyDescent="0.2"/>
    <row r="3429" hidden="1" x14ac:dyDescent="0.2"/>
    <row r="3430" hidden="1" x14ac:dyDescent="0.2"/>
    <row r="3431" hidden="1" x14ac:dyDescent="0.2"/>
    <row r="3432" hidden="1" x14ac:dyDescent="0.2"/>
    <row r="3433" hidden="1" x14ac:dyDescent="0.2"/>
    <row r="3434" hidden="1" x14ac:dyDescent="0.2"/>
    <row r="3435" hidden="1" x14ac:dyDescent="0.2"/>
    <row r="3436" hidden="1" x14ac:dyDescent="0.2"/>
    <row r="3437" hidden="1" x14ac:dyDescent="0.2"/>
    <row r="3438" hidden="1" x14ac:dyDescent="0.2"/>
    <row r="3439" hidden="1" x14ac:dyDescent="0.2"/>
    <row r="3440" hidden="1" x14ac:dyDescent="0.2"/>
    <row r="3441" hidden="1" x14ac:dyDescent="0.2"/>
    <row r="3442" hidden="1" x14ac:dyDescent="0.2"/>
    <row r="3443" hidden="1" x14ac:dyDescent="0.2"/>
    <row r="3444" hidden="1" x14ac:dyDescent="0.2"/>
    <row r="3445" hidden="1" x14ac:dyDescent="0.2"/>
    <row r="3446" hidden="1" x14ac:dyDescent="0.2"/>
    <row r="3447" hidden="1" x14ac:dyDescent="0.2"/>
    <row r="3448" hidden="1" x14ac:dyDescent="0.2"/>
    <row r="3449" hidden="1" x14ac:dyDescent="0.2"/>
    <row r="3450" hidden="1" x14ac:dyDescent="0.2"/>
    <row r="3451" hidden="1" x14ac:dyDescent="0.2"/>
    <row r="3452" hidden="1" x14ac:dyDescent="0.2"/>
    <row r="3453" hidden="1" x14ac:dyDescent="0.2"/>
    <row r="3454" hidden="1" x14ac:dyDescent="0.2"/>
    <row r="3455" hidden="1" x14ac:dyDescent="0.2"/>
    <row r="3456" hidden="1" x14ac:dyDescent="0.2"/>
    <row r="3457" hidden="1" x14ac:dyDescent="0.2"/>
    <row r="3458" hidden="1" x14ac:dyDescent="0.2"/>
    <row r="3459" hidden="1" x14ac:dyDescent="0.2"/>
    <row r="3460" hidden="1" x14ac:dyDescent="0.2"/>
    <row r="3461" hidden="1" x14ac:dyDescent="0.2"/>
    <row r="3462" hidden="1" x14ac:dyDescent="0.2"/>
    <row r="3463" hidden="1" x14ac:dyDescent="0.2"/>
    <row r="3464" hidden="1" x14ac:dyDescent="0.2"/>
    <row r="3465" hidden="1" x14ac:dyDescent="0.2"/>
    <row r="3466" hidden="1" x14ac:dyDescent="0.2"/>
    <row r="3467" hidden="1" x14ac:dyDescent="0.2"/>
    <row r="3468" hidden="1" x14ac:dyDescent="0.2"/>
    <row r="3469" hidden="1" x14ac:dyDescent="0.2"/>
    <row r="3470" hidden="1" x14ac:dyDescent="0.2"/>
    <row r="3471" hidden="1" x14ac:dyDescent="0.2"/>
    <row r="3472" hidden="1" x14ac:dyDescent="0.2"/>
    <row r="3473" hidden="1" x14ac:dyDescent="0.2"/>
    <row r="3474" hidden="1" x14ac:dyDescent="0.2"/>
    <row r="3475" hidden="1" x14ac:dyDescent="0.2"/>
    <row r="3476" hidden="1" x14ac:dyDescent="0.2"/>
    <row r="3477" hidden="1" x14ac:dyDescent="0.2"/>
    <row r="3478" hidden="1" x14ac:dyDescent="0.2"/>
    <row r="3479" hidden="1" x14ac:dyDescent="0.2"/>
    <row r="3480" hidden="1" x14ac:dyDescent="0.2"/>
    <row r="3481" hidden="1" x14ac:dyDescent="0.2"/>
    <row r="3482" hidden="1" x14ac:dyDescent="0.2"/>
    <row r="3483" hidden="1" x14ac:dyDescent="0.2"/>
    <row r="3484" hidden="1" x14ac:dyDescent="0.2"/>
    <row r="3485" hidden="1" x14ac:dyDescent="0.2"/>
    <row r="3486" hidden="1" x14ac:dyDescent="0.2"/>
    <row r="3487" hidden="1" x14ac:dyDescent="0.2"/>
    <row r="3488" hidden="1" x14ac:dyDescent="0.2"/>
    <row r="3489" hidden="1" x14ac:dyDescent="0.2"/>
    <row r="3490" hidden="1" x14ac:dyDescent="0.2"/>
    <row r="3491" hidden="1" x14ac:dyDescent="0.2"/>
    <row r="3492" hidden="1" x14ac:dyDescent="0.2"/>
    <row r="3493" hidden="1" x14ac:dyDescent="0.2"/>
    <row r="3494" hidden="1" x14ac:dyDescent="0.2"/>
    <row r="3495" hidden="1" x14ac:dyDescent="0.2"/>
    <row r="3496" hidden="1" x14ac:dyDescent="0.2"/>
    <row r="3497" hidden="1" x14ac:dyDescent="0.2"/>
    <row r="3498" hidden="1" x14ac:dyDescent="0.2"/>
    <row r="3499" hidden="1" x14ac:dyDescent="0.2"/>
    <row r="3500" hidden="1" x14ac:dyDescent="0.2"/>
    <row r="3501" hidden="1" x14ac:dyDescent="0.2"/>
    <row r="3502" hidden="1" x14ac:dyDescent="0.2"/>
    <row r="3503" hidden="1" x14ac:dyDescent="0.2"/>
    <row r="3504" hidden="1" x14ac:dyDescent="0.2"/>
    <row r="3505" hidden="1" x14ac:dyDescent="0.2"/>
    <row r="3506" hidden="1" x14ac:dyDescent="0.2"/>
    <row r="3507" hidden="1" x14ac:dyDescent="0.2"/>
    <row r="3508" hidden="1" x14ac:dyDescent="0.2"/>
    <row r="3509" hidden="1" x14ac:dyDescent="0.2"/>
    <row r="3510" hidden="1" x14ac:dyDescent="0.2"/>
    <row r="3511" hidden="1" x14ac:dyDescent="0.2"/>
    <row r="3512" hidden="1" x14ac:dyDescent="0.2"/>
    <row r="3513" hidden="1" x14ac:dyDescent="0.2"/>
    <row r="3514" hidden="1" x14ac:dyDescent="0.2"/>
    <row r="3515" hidden="1" x14ac:dyDescent="0.2"/>
    <row r="3516" hidden="1" x14ac:dyDescent="0.2"/>
    <row r="3517" hidden="1" x14ac:dyDescent="0.2"/>
    <row r="3518" hidden="1" x14ac:dyDescent="0.2"/>
    <row r="3519" hidden="1" x14ac:dyDescent="0.2"/>
    <row r="3520" hidden="1" x14ac:dyDescent="0.2"/>
    <row r="3521" hidden="1" x14ac:dyDescent="0.2"/>
    <row r="3522" hidden="1" x14ac:dyDescent="0.2"/>
    <row r="3523" hidden="1" x14ac:dyDescent="0.2"/>
    <row r="3524" hidden="1" x14ac:dyDescent="0.2"/>
    <row r="3525" hidden="1" x14ac:dyDescent="0.2"/>
    <row r="3526" hidden="1" x14ac:dyDescent="0.2"/>
    <row r="3527" hidden="1" x14ac:dyDescent="0.2"/>
    <row r="3528" hidden="1" x14ac:dyDescent="0.2"/>
    <row r="3529" hidden="1" x14ac:dyDescent="0.2"/>
    <row r="3530" hidden="1" x14ac:dyDescent="0.2"/>
    <row r="3531" hidden="1" x14ac:dyDescent="0.2"/>
    <row r="3532" hidden="1" x14ac:dyDescent="0.2"/>
    <row r="3533" hidden="1" x14ac:dyDescent="0.2"/>
    <row r="3534" hidden="1" x14ac:dyDescent="0.2"/>
    <row r="3535" hidden="1" x14ac:dyDescent="0.2"/>
    <row r="3536" hidden="1" x14ac:dyDescent="0.2"/>
    <row r="3537" hidden="1" x14ac:dyDescent="0.2"/>
    <row r="3538" hidden="1" x14ac:dyDescent="0.2"/>
    <row r="3539" hidden="1" x14ac:dyDescent="0.2"/>
    <row r="3540" hidden="1" x14ac:dyDescent="0.2"/>
    <row r="3541" hidden="1" x14ac:dyDescent="0.2"/>
    <row r="3542" hidden="1" x14ac:dyDescent="0.2"/>
    <row r="3543" hidden="1" x14ac:dyDescent="0.2"/>
    <row r="3544" hidden="1" x14ac:dyDescent="0.2"/>
    <row r="3545" hidden="1" x14ac:dyDescent="0.2"/>
    <row r="3546" hidden="1" x14ac:dyDescent="0.2"/>
    <row r="3547" hidden="1" x14ac:dyDescent="0.2"/>
    <row r="3548" hidden="1" x14ac:dyDescent="0.2"/>
    <row r="3549" hidden="1" x14ac:dyDescent="0.2"/>
    <row r="3550" hidden="1" x14ac:dyDescent="0.2"/>
    <row r="3551" hidden="1" x14ac:dyDescent="0.2"/>
    <row r="3552" hidden="1" x14ac:dyDescent="0.2"/>
    <row r="3553" hidden="1" x14ac:dyDescent="0.2"/>
    <row r="3554" hidden="1" x14ac:dyDescent="0.2"/>
    <row r="3555" hidden="1" x14ac:dyDescent="0.2"/>
    <row r="3556" hidden="1" x14ac:dyDescent="0.2"/>
    <row r="3557" hidden="1" x14ac:dyDescent="0.2"/>
    <row r="3558" hidden="1" x14ac:dyDescent="0.2"/>
    <row r="3559" hidden="1" x14ac:dyDescent="0.2"/>
    <row r="3560" hidden="1" x14ac:dyDescent="0.2"/>
    <row r="3561" hidden="1" x14ac:dyDescent="0.2"/>
    <row r="3562" hidden="1" x14ac:dyDescent="0.2"/>
    <row r="3563" hidden="1" x14ac:dyDescent="0.2"/>
    <row r="3564" hidden="1" x14ac:dyDescent="0.2"/>
    <row r="3565" hidden="1" x14ac:dyDescent="0.2"/>
    <row r="3566" hidden="1" x14ac:dyDescent="0.2"/>
    <row r="3567" hidden="1" x14ac:dyDescent="0.2"/>
    <row r="3568" hidden="1" x14ac:dyDescent="0.2"/>
    <row r="3569" hidden="1" x14ac:dyDescent="0.2"/>
    <row r="3570" hidden="1" x14ac:dyDescent="0.2"/>
    <row r="3571" hidden="1" x14ac:dyDescent="0.2"/>
    <row r="3572" hidden="1" x14ac:dyDescent="0.2"/>
    <row r="3573" hidden="1" x14ac:dyDescent="0.2"/>
    <row r="3574" hidden="1" x14ac:dyDescent="0.2"/>
    <row r="3575" hidden="1" x14ac:dyDescent="0.2"/>
    <row r="3576" hidden="1" x14ac:dyDescent="0.2"/>
    <row r="3577" hidden="1" x14ac:dyDescent="0.2"/>
    <row r="3578" hidden="1" x14ac:dyDescent="0.2"/>
    <row r="3579" hidden="1" x14ac:dyDescent="0.2"/>
    <row r="3580" hidden="1" x14ac:dyDescent="0.2"/>
    <row r="3581" hidden="1" x14ac:dyDescent="0.2"/>
    <row r="3582" hidden="1" x14ac:dyDescent="0.2"/>
    <row r="3583" hidden="1" x14ac:dyDescent="0.2"/>
    <row r="3584" hidden="1" x14ac:dyDescent="0.2"/>
    <row r="3585" hidden="1" x14ac:dyDescent="0.2"/>
    <row r="3586" hidden="1" x14ac:dyDescent="0.2"/>
    <row r="3587" hidden="1" x14ac:dyDescent="0.2"/>
    <row r="3588" hidden="1" x14ac:dyDescent="0.2"/>
    <row r="3589" hidden="1" x14ac:dyDescent="0.2"/>
    <row r="3590" hidden="1" x14ac:dyDescent="0.2"/>
    <row r="3591" hidden="1" x14ac:dyDescent="0.2"/>
    <row r="3592" hidden="1" x14ac:dyDescent="0.2"/>
    <row r="3593" hidden="1" x14ac:dyDescent="0.2"/>
    <row r="3594" hidden="1" x14ac:dyDescent="0.2"/>
    <row r="3595" hidden="1" x14ac:dyDescent="0.2"/>
    <row r="3596" hidden="1" x14ac:dyDescent="0.2"/>
    <row r="3597" hidden="1" x14ac:dyDescent="0.2"/>
    <row r="3598" hidden="1" x14ac:dyDescent="0.2"/>
    <row r="3599" hidden="1" x14ac:dyDescent="0.2"/>
    <row r="3600" hidden="1" x14ac:dyDescent="0.2"/>
    <row r="3601" hidden="1" x14ac:dyDescent="0.2"/>
    <row r="3602" hidden="1" x14ac:dyDescent="0.2"/>
    <row r="3603" hidden="1" x14ac:dyDescent="0.2"/>
    <row r="3604" hidden="1" x14ac:dyDescent="0.2"/>
    <row r="3605" hidden="1" x14ac:dyDescent="0.2"/>
    <row r="3606" hidden="1" x14ac:dyDescent="0.2"/>
    <row r="3607" hidden="1" x14ac:dyDescent="0.2"/>
    <row r="3608" hidden="1" x14ac:dyDescent="0.2"/>
    <row r="3609" hidden="1" x14ac:dyDescent="0.2"/>
    <row r="3610" hidden="1" x14ac:dyDescent="0.2"/>
    <row r="3611" hidden="1" x14ac:dyDescent="0.2"/>
    <row r="3612" hidden="1" x14ac:dyDescent="0.2"/>
    <row r="3613" hidden="1" x14ac:dyDescent="0.2"/>
    <row r="3614" hidden="1" x14ac:dyDescent="0.2"/>
    <row r="3615" hidden="1" x14ac:dyDescent="0.2"/>
    <row r="3616" hidden="1" x14ac:dyDescent="0.2"/>
    <row r="3617" hidden="1" x14ac:dyDescent="0.2"/>
    <row r="3618" hidden="1" x14ac:dyDescent="0.2"/>
    <row r="3619" hidden="1" x14ac:dyDescent="0.2"/>
    <row r="3620" hidden="1" x14ac:dyDescent="0.2"/>
    <row r="3621" hidden="1" x14ac:dyDescent="0.2"/>
    <row r="3622" hidden="1" x14ac:dyDescent="0.2"/>
    <row r="3623" hidden="1" x14ac:dyDescent="0.2"/>
    <row r="3624" hidden="1" x14ac:dyDescent="0.2"/>
    <row r="3625" hidden="1" x14ac:dyDescent="0.2"/>
    <row r="3626" hidden="1" x14ac:dyDescent="0.2"/>
    <row r="3627" hidden="1" x14ac:dyDescent="0.2"/>
    <row r="3628" hidden="1" x14ac:dyDescent="0.2"/>
    <row r="3629" hidden="1" x14ac:dyDescent="0.2"/>
    <row r="3630" hidden="1" x14ac:dyDescent="0.2"/>
    <row r="3631" hidden="1" x14ac:dyDescent="0.2"/>
    <row r="3632" hidden="1" x14ac:dyDescent="0.2"/>
    <row r="3633" hidden="1" x14ac:dyDescent="0.2"/>
    <row r="3634" hidden="1" x14ac:dyDescent="0.2"/>
    <row r="3635" hidden="1" x14ac:dyDescent="0.2"/>
    <row r="3636" hidden="1" x14ac:dyDescent="0.2"/>
    <row r="3637" hidden="1" x14ac:dyDescent="0.2"/>
    <row r="3638" hidden="1" x14ac:dyDescent="0.2"/>
    <row r="3639" hidden="1" x14ac:dyDescent="0.2"/>
    <row r="3640" hidden="1" x14ac:dyDescent="0.2"/>
    <row r="3641" hidden="1" x14ac:dyDescent="0.2"/>
    <row r="3642" hidden="1" x14ac:dyDescent="0.2"/>
    <row r="3643" hidden="1" x14ac:dyDescent="0.2"/>
    <row r="3644" hidden="1" x14ac:dyDescent="0.2"/>
    <row r="3645" hidden="1" x14ac:dyDescent="0.2"/>
    <row r="3646" hidden="1" x14ac:dyDescent="0.2"/>
    <row r="3647" hidden="1" x14ac:dyDescent="0.2"/>
    <row r="3648" hidden="1" x14ac:dyDescent="0.2"/>
    <row r="3649" hidden="1" x14ac:dyDescent="0.2"/>
    <row r="3650" hidden="1" x14ac:dyDescent="0.2"/>
    <row r="3651" hidden="1" x14ac:dyDescent="0.2"/>
    <row r="3652" hidden="1" x14ac:dyDescent="0.2"/>
    <row r="3653" hidden="1" x14ac:dyDescent="0.2"/>
    <row r="3654" hidden="1" x14ac:dyDescent="0.2"/>
    <row r="3655" hidden="1" x14ac:dyDescent="0.2"/>
    <row r="3656" hidden="1" x14ac:dyDescent="0.2"/>
    <row r="3657" hidden="1" x14ac:dyDescent="0.2"/>
    <row r="3658" hidden="1" x14ac:dyDescent="0.2"/>
    <row r="3659" hidden="1" x14ac:dyDescent="0.2"/>
    <row r="3660" hidden="1" x14ac:dyDescent="0.2"/>
    <row r="3661" hidden="1" x14ac:dyDescent="0.2"/>
    <row r="3662" hidden="1" x14ac:dyDescent="0.2"/>
    <row r="3663" hidden="1" x14ac:dyDescent="0.2"/>
    <row r="3664" hidden="1" x14ac:dyDescent="0.2"/>
    <row r="3665" hidden="1" x14ac:dyDescent="0.2"/>
    <row r="3666" hidden="1" x14ac:dyDescent="0.2"/>
    <row r="3667" hidden="1" x14ac:dyDescent="0.2"/>
    <row r="3668" hidden="1" x14ac:dyDescent="0.2"/>
    <row r="3669" hidden="1" x14ac:dyDescent="0.2"/>
    <row r="3670" hidden="1" x14ac:dyDescent="0.2"/>
    <row r="3671" hidden="1" x14ac:dyDescent="0.2"/>
    <row r="3672" hidden="1" x14ac:dyDescent="0.2"/>
    <row r="3673" hidden="1" x14ac:dyDescent="0.2"/>
    <row r="3674" hidden="1" x14ac:dyDescent="0.2"/>
    <row r="3675" hidden="1" x14ac:dyDescent="0.2"/>
    <row r="3676" hidden="1" x14ac:dyDescent="0.2"/>
    <row r="3677" hidden="1" x14ac:dyDescent="0.2"/>
    <row r="3678" hidden="1" x14ac:dyDescent="0.2"/>
    <row r="3679" hidden="1" x14ac:dyDescent="0.2"/>
    <row r="3680" hidden="1" x14ac:dyDescent="0.2"/>
    <row r="3681" hidden="1" x14ac:dyDescent="0.2"/>
    <row r="3682" hidden="1" x14ac:dyDescent="0.2"/>
    <row r="3683" hidden="1" x14ac:dyDescent="0.2"/>
    <row r="3684" hidden="1" x14ac:dyDescent="0.2"/>
    <row r="3685" hidden="1" x14ac:dyDescent="0.2"/>
    <row r="3686" hidden="1" x14ac:dyDescent="0.2"/>
    <row r="3687" hidden="1" x14ac:dyDescent="0.2"/>
    <row r="3688" hidden="1" x14ac:dyDescent="0.2"/>
    <row r="3689" hidden="1" x14ac:dyDescent="0.2"/>
    <row r="3690" hidden="1" x14ac:dyDescent="0.2"/>
    <row r="3691" hidden="1" x14ac:dyDescent="0.2"/>
    <row r="3692" hidden="1" x14ac:dyDescent="0.2"/>
    <row r="3693" hidden="1" x14ac:dyDescent="0.2"/>
    <row r="3694" hidden="1" x14ac:dyDescent="0.2"/>
    <row r="3695" hidden="1" x14ac:dyDescent="0.2"/>
    <row r="3696" hidden="1" x14ac:dyDescent="0.2"/>
    <row r="3697" hidden="1" x14ac:dyDescent="0.2"/>
    <row r="3698" hidden="1" x14ac:dyDescent="0.2"/>
    <row r="3699" hidden="1" x14ac:dyDescent="0.2"/>
    <row r="3700" hidden="1" x14ac:dyDescent="0.2"/>
    <row r="3701" hidden="1" x14ac:dyDescent="0.2"/>
    <row r="3702" hidden="1" x14ac:dyDescent="0.2"/>
    <row r="3703" hidden="1" x14ac:dyDescent="0.2"/>
    <row r="3704" hidden="1" x14ac:dyDescent="0.2"/>
    <row r="3705" hidden="1" x14ac:dyDescent="0.2"/>
    <row r="3706" hidden="1" x14ac:dyDescent="0.2"/>
    <row r="3707" hidden="1" x14ac:dyDescent="0.2"/>
    <row r="3708" hidden="1" x14ac:dyDescent="0.2"/>
    <row r="3709" hidden="1" x14ac:dyDescent="0.2"/>
    <row r="3710" hidden="1" x14ac:dyDescent="0.2"/>
    <row r="3711" hidden="1" x14ac:dyDescent="0.2"/>
    <row r="3712" hidden="1" x14ac:dyDescent="0.2"/>
    <row r="3713" hidden="1" x14ac:dyDescent="0.2"/>
    <row r="3714" hidden="1" x14ac:dyDescent="0.2"/>
    <row r="3715" hidden="1" x14ac:dyDescent="0.2"/>
    <row r="3716" hidden="1" x14ac:dyDescent="0.2"/>
    <row r="3717" hidden="1" x14ac:dyDescent="0.2"/>
    <row r="3718" hidden="1" x14ac:dyDescent="0.2"/>
    <row r="3719" hidden="1" x14ac:dyDescent="0.2"/>
    <row r="3720" hidden="1" x14ac:dyDescent="0.2"/>
    <row r="3721" hidden="1" x14ac:dyDescent="0.2"/>
    <row r="3722" hidden="1" x14ac:dyDescent="0.2"/>
    <row r="3723" hidden="1" x14ac:dyDescent="0.2"/>
    <row r="3724" hidden="1" x14ac:dyDescent="0.2"/>
    <row r="3725" hidden="1" x14ac:dyDescent="0.2"/>
    <row r="3726" hidden="1" x14ac:dyDescent="0.2"/>
    <row r="3727" hidden="1" x14ac:dyDescent="0.2"/>
    <row r="3728" hidden="1" x14ac:dyDescent="0.2"/>
    <row r="3729" hidden="1" x14ac:dyDescent="0.2"/>
    <row r="3730" hidden="1" x14ac:dyDescent="0.2"/>
    <row r="3731" hidden="1" x14ac:dyDescent="0.2"/>
    <row r="3732" hidden="1" x14ac:dyDescent="0.2"/>
    <row r="3733" hidden="1" x14ac:dyDescent="0.2"/>
    <row r="3734" hidden="1" x14ac:dyDescent="0.2"/>
    <row r="3735" hidden="1" x14ac:dyDescent="0.2"/>
    <row r="3736" hidden="1" x14ac:dyDescent="0.2"/>
    <row r="3737" hidden="1" x14ac:dyDescent="0.2"/>
    <row r="3738" hidden="1" x14ac:dyDescent="0.2"/>
    <row r="3739" hidden="1" x14ac:dyDescent="0.2"/>
    <row r="3740" hidden="1" x14ac:dyDescent="0.2"/>
    <row r="3741" hidden="1" x14ac:dyDescent="0.2"/>
    <row r="3742" hidden="1" x14ac:dyDescent="0.2"/>
    <row r="3743" hidden="1" x14ac:dyDescent="0.2"/>
    <row r="3744" hidden="1" x14ac:dyDescent="0.2"/>
    <row r="3745" hidden="1" x14ac:dyDescent="0.2"/>
    <row r="3746" hidden="1" x14ac:dyDescent="0.2"/>
    <row r="3747" hidden="1" x14ac:dyDescent="0.2"/>
    <row r="3748" hidden="1" x14ac:dyDescent="0.2"/>
    <row r="3749" hidden="1" x14ac:dyDescent="0.2"/>
    <row r="3750" hidden="1" x14ac:dyDescent="0.2"/>
    <row r="3751" hidden="1" x14ac:dyDescent="0.2"/>
    <row r="3752" hidden="1" x14ac:dyDescent="0.2"/>
    <row r="3753" hidden="1" x14ac:dyDescent="0.2"/>
    <row r="3754" hidden="1" x14ac:dyDescent="0.2"/>
    <row r="3755" hidden="1" x14ac:dyDescent="0.2"/>
    <row r="3756" hidden="1" x14ac:dyDescent="0.2"/>
    <row r="3757" hidden="1" x14ac:dyDescent="0.2"/>
    <row r="3758" hidden="1" x14ac:dyDescent="0.2"/>
    <row r="3759" hidden="1" x14ac:dyDescent="0.2"/>
    <row r="3760" hidden="1" x14ac:dyDescent="0.2"/>
    <row r="3761" hidden="1" x14ac:dyDescent="0.2"/>
    <row r="3762" hidden="1" x14ac:dyDescent="0.2"/>
    <row r="3763" hidden="1" x14ac:dyDescent="0.2"/>
    <row r="3764" hidden="1" x14ac:dyDescent="0.2"/>
    <row r="3765" hidden="1" x14ac:dyDescent="0.2"/>
    <row r="3766" hidden="1" x14ac:dyDescent="0.2"/>
    <row r="3767" hidden="1" x14ac:dyDescent="0.2"/>
    <row r="3768" hidden="1" x14ac:dyDescent="0.2"/>
    <row r="3769" hidden="1" x14ac:dyDescent="0.2"/>
    <row r="3770" hidden="1" x14ac:dyDescent="0.2"/>
    <row r="3771" hidden="1" x14ac:dyDescent="0.2"/>
    <row r="3772" hidden="1" x14ac:dyDescent="0.2"/>
    <row r="3773" hidden="1" x14ac:dyDescent="0.2"/>
    <row r="3774" hidden="1" x14ac:dyDescent="0.2"/>
    <row r="3775" hidden="1" x14ac:dyDescent="0.2"/>
    <row r="3776" hidden="1" x14ac:dyDescent="0.2"/>
    <row r="3777" hidden="1" x14ac:dyDescent="0.2"/>
    <row r="3778" hidden="1" x14ac:dyDescent="0.2"/>
    <row r="3779" hidden="1" x14ac:dyDescent="0.2"/>
    <row r="3780" hidden="1" x14ac:dyDescent="0.2"/>
    <row r="3781" hidden="1" x14ac:dyDescent="0.2"/>
    <row r="3782" hidden="1" x14ac:dyDescent="0.2"/>
    <row r="3783" hidden="1" x14ac:dyDescent="0.2"/>
    <row r="3784" hidden="1" x14ac:dyDescent="0.2"/>
    <row r="3785" hidden="1" x14ac:dyDescent="0.2"/>
    <row r="3786" hidden="1" x14ac:dyDescent="0.2"/>
    <row r="3787" hidden="1" x14ac:dyDescent="0.2"/>
    <row r="3788" hidden="1" x14ac:dyDescent="0.2"/>
    <row r="3789" hidden="1" x14ac:dyDescent="0.2"/>
    <row r="3790" hidden="1" x14ac:dyDescent="0.2"/>
    <row r="3791" hidden="1" x14ac:dyDescent="0.2"/>
    <row r="3792" hidden="1" x14ac:dyDescent="0.2"/>
    <row r="3793" hidden="1" x14ac:dyDescent="0.2"/>
    <row r="3794" hidden="1" x14ac:dyDescent="0.2"/>
    <row r="3795" hidden="1" x14ac:dyDescent="0.2"/>
    <row r="3796" hidden="1" x14ac:dyDescent="0.2"/>
    <row r="3797" hidden="1" x14ac:dyDescent="0.2"/>
    <row r="3798" hidden="1" x14ac:dyDescent="0.2"/>
    <row r="3799" hidden="1" x14ac:dyDescent="0.2"/>
    <row r="3800" hidden="1" x14ac:dyDescent="0.2"/>
    <row r="3801" hidden="1" x14ac:dyDescent="0.2"/>
    <row r="3802" hidden="1" x14ac:dyDescent="0.2"/>
    <row r="3803" hidden="1" x14ac:dyDescent="0.2"/>
    <row r="3804" hidden="1" x14ac:dyDescent="0.2"/>
    <row r="3805" hidden="1" x14ac:dyDescent="0.2"/>
    <row r="3806" hidden="1" x14ac:dyDescent="0.2"/>
    <row r="3807" hidden="1" x14ac:dyDescent="0.2"/>
    <row r="3808" hidden="1" x14ac:dyDescent="0.2"/>
    <row r="3809" hidden="1" x14ac:dyDescent="0.2"/>
    <row r="3810" hidden="1" x14ac:dyDescent="0.2"/>
    <row r="3811" hidden="1" x14ac:dyDescent="0.2"/>
    <row r="3812" hidden="1" x14ac:dyDescent="0.2"/>
    <row r="3813" hidden="1" x14ac:dyDescent="0.2"/>
    <row r="3814" hidden="1" x14ac:dyDescent="0.2"/>
    <row r="3815" hidden="1" x14ac:dyDescent="0.2"/>
    <row r="3816" hidden="1" x14ac:dyDescent="0.2"/>
    <row r="3817" hidden="1" x14ac:dyDescent="0.2"/>
    <row r="3818" hidden="1" x14ac:dyDescent="0.2"/>
    <row r="3819" hidden="1" x14ac:dyDescent="0.2"/>
    <row r="3820" hidden="1" x14ac:dyDescent="0.2"/>
    <row r="3821" hidden="1" x14ac:dyDescent="0.2"/>
    <row r="3822" hidden="1" x14ac:dyDescent="0.2"/>
    <row r="3823" hidden="1" x14ac:dyDescent="0.2"/>
    <row r="3824" hidden="1" x14ac:dyDescent="0.2"/>
    <row r="3825" hidden="1" x14ac:dyDescent="0.2"/>
    <row r="3826" hidden="1" x14ac:dyDescent="0.2"/>
    <row r="3827" hidden="1" x14ac:dyDescent="0.2"/>
    <row r="3828" hidden="1" x14ac:dyDescent="0.2"/>
    <row r="3829" hidden="1" x14ac:dyDescent="0.2"/>
    <row r="3830" hidden="1" x14ac:dyDescent="0.2"/>
    <row r="3831" hidden="1" x14ac:dyDescent="0.2"/>
    <row r="3832" hidden="1" x14ac:dyDescent="0.2"/>
    <row r="3833" hidden="1" x14ac:dyDescent="0.2"/>
    <row r="3834" hidden="1" x14ac:dyDescent="0.2"/>
    <row r="3835" hidden="1" x14ac:dyDescent="0.2"/>
    <row r="3836" hidden="1" x14ac:dyDescent="0.2"/>
    <row r="3837" hidden="1" x14ac:dyDescent="0.2"/>
    <row r="3838" hidden="1" x14ac:dyDescent="0.2"/>
    <row r="3839" hidden="1" x14ac:dyDescent="0.2"/>
    <row r="3840" hidden="1" x14ac:dyDescent="0.2"/>
    <row r="3841" hidden="1" x14ac:dyDescent="0.2"/>
    <row r="3842" hidden="1" x14ac:dyDescent="0.2"/>
    <row r="3843" hidden="1" x14ac:dyDescent="0.2"/>
    <row r="3844" hidden="1" x14ac:dyDescent="0.2"/>
    <row r="3845" hidden="1" x14ac:dyDescent="0.2"/>
    <row r="3846" hidden="1" x14ac:dyDescent="0.2"/>
    <row r="3847" hidden="1" x14ac:dyDescent="0.2"/>
    <row r="3848" hidden="1" x14ac:dyDescent="0.2"/>
    <row r="3849" hidden="1" x14ac:dyDescent="0.2"/>
    <row r="3850" hidden="1" x14ac:dyDescent="0.2"/>
    <row r="3851" hidden="1" x14ac:dyDescent="0.2"/>
    <row r="3852" hidden="1" x14ac:dyDescent="0.2"/>
    <row r="3853" hidden="1" x14ac:dyDescent="0.2"/>
    <row r="3854" hidden="1" x14ac:dyDescent="0.2"/>
    <row r="3855" hidden="1" x14ac:dyDescent="0.2"/>
    <row r="3856" hidden="1" x14ac:dyDescent="0.2"/>
    <row r="3857" hidden="1" x14ac:dyDescent="0.2"/>
    <row r="3858" hidden="1" x14ac:dyDescent="0.2"/>
    <row r="3859" hidden="1" x14ac:dyDescent="0.2"/>
    <row r="3860" hidden="1" x14ac:dyDescent="0.2"/>
    <row r="3861" hidden="1" x14ac:dyDescent="0.2"/>
    <row r="3862" hidden="1" x14ac:dyDescent="0.2"/>
    <row r="3863" hidden="1" x14ac:dyDescent="0.2"/>
    <row r="3864" hidden="1" x14ac:dyDescent="0.2"/>
    <row r="3865" hidden="1" x14ac:dyDescent="0.2"/>
    <row r="3866" hidden="1" x14ac:dyDescent="0.2"/>
    <row r="3867" hidden="1" x14ac:dyDescent="0.2"/>
    <row r="3868" hidden="1" x14ac:dyDescent="0.2"/>
    <row r="3869" hidden="1" x14ac:dyDescent="0.2"/>
    <row r="3870" hidden="1" x14ac:dyDescent="0.2"/>
    <row r="3871" hidden="1" x14ac:dyDescent="0.2"/>
    <row r="3872" hidden="1" x14ac:dyDescent="0.2"/>
    <row r="3873" hidden="1" x14ac:dyDescent="0.2"/>
    <row r="3874" hidden="1" x14ac:dyDescent="0.2"/>
    <row r="3875" hidden="1" x14ac:dyDescent="0.2"/>
    <row r="3876" hidden="1" x14ac:dyDescent="0.2"/>
    <row r="3877" hidden="1" x14ac:dyDescent="0.2"/>
    <row r="3878" hidden="1" x14ac:dyDescent="0.2"/>
    <row r="3879" hidden="1" x14ac:dyDescent="0.2"/>
    <row r="3880" hidden="1" x14ac:dyDescent="0.2"/>
    <row r="3881" hidden="1" x14ac:dyDescent="0.2"/>
    <row r="3882" hidden="1" x14ac:dyDescent="0.2"/>
    <row r="3883" hidden="1" x14ac:dyDescent="0.2"/>
    <row r="3884" hidden="1" x14ac:dyDescent="0.2"/>
    <row r="3885" hidden="1" x14ac:dyDescent="0.2"/>
    <row r="3886" hidden="1" x14ac:dyDescent="0.2"/>
    <row r="3887" hidden="1" x14ac:dyDescent="0.2"/>
    <row r="3888" hidden="1" x14ac:dyDescent="0.2"/>
    <row r="3889" hidden="1" x14ac:dyDescent="0.2"/>
    <row r="3890" hidden="1" x14ac:dyDescent="0.2"/>
    <row r="3891" hidden="1" x14ac:dyDescent="0.2"/>
    <row r="3892" hidden="1" x14ac:dyDescent="0.2"/>
    <row r="3893" hidden="1" x14ac:dyDescent="0.2"/>
    <row r="3894" hidden="1" x14ac:dyDescent="0.2"/>
    <row r="3895" hidden="1" x14ac:dyDescent="0.2"/>
    <row r="3896" hidden="1" x14ac:dyDescent="0.2"/>
    <row r="3897" hidden="1" x14ac:dyDescent="0.2"/>
    <row r="3898" hidden="1" x14ac:dyDescent="0.2"/>
    <row r="3899" hidden="1" x14ac:dyDescent="0.2"/>
    <row r="3900" hidden="1" x14ac:dyDescent="0.2"/>
    <row r="3901" hidden="1" x14ac:dyDescent="0.2"/>
    <row r="3902" hidden="1" x14ac:dyDescent="0.2"/>
    <row r="3903" hidden="1" x14ac:dyDescent="0.2"/>
    <row r="3904" hidden="1" x14ac:dyDescent="0.2"/>
    <row r="3905" hidden="1" x14ac:dyDescent="0.2"/>
    <row r="3906" hidden="1" x14ac:dyDescent="0.2"/>
    <row r="3907" hidden="1" x14ac:dyDescent="0.2"/>
    <row r="3908" hidden="1" x14ac:dyDescent="0.2"/>
    <row r="3909" hidden="1" x14ac:dyDescent="0.2"/>
    <row r="3910" hidden="1" x14ac:dyDescent="0.2"/>
    <row r="3911" hidden="1" x14ac:dyDescent="0.2"/>
    <row r="3912" hidden="1" x14ac:dyDescent="0.2"/>
    <row r="3913" hidden="1" x14ac:dyDescent="0.2"/>
    <row r="3914" hidden="1" x14ac:dyDescent="0.2"/>
    <row r="3915" hidden="1" x14ac:dyDescent="0.2"/>
    <row r="3916" hidden="1" x14ac:dyDescent="0.2"/>
    <row r="3917" hidden="1" x14ac:dyDescent="0.2"/>
    <row r="3918" hidden="1" x14ac:dyDescent="0.2"/>
    <row r="3919" hidden="1" x14ac:dyDescent="0.2"/>
    <row r="3920" hidden="1" x14ac:dyDescent="0.2"/>
    <row r="3921" hidden="1" x14ac:dyDescent="0.2"/>
    <row r="3922" hidden="1" x14ac:dyDescent="0.2"/>
    <row r="3923" hidden="1" x14ac:dyDescent="0.2"/>
    <row r="3924" hidden="1" x14ac:dyDescent="0.2"/>
    <row r="3925" hidden="1" x14ac:dyDescent="0.2"/>
    <row r="3926" hidden="1" x14ac:dyDescent="0.2"/>
    <row r="3927" hidden="1" x14ac:dyDescent="0.2"/>
    <row r="3928" hidden="1" x14ac:dyDescent="0.2"/>
    <row r="3929" hidden="1" x14ac:dyDescent="0.2"/>
    <row r="3930" hidden="1" x14ac:dyDescent="0.2"/>
    <row r="3931" hidden="1" x14ac:dyDescent="0.2"/>
    <row r="3932" hidden="1" x14ac:dyDescent="0.2"/>
    <row r="3933" hidden="1" x14ac:dyDescent="0.2"/>
    <row r="3934" hidden="1" x14ac:dyDescent="0.2"/>
    <row r="3935" hidden="1" x14ac:dyDescent="0.2"/>
    <row r="3936" hidden="1" x14ac:dyDescent="0.2"/>
    <row r="3937" hidden="1" x14ac:dyDescent="0.2"/>
    <row r="3938" hidden="1" x14ac:dyDescent="0.2"/>
    <row r="3939" hidden="1" x14ac:dyDescent="0.2"/>
    <row r="3940" hidden="1" x14ac:dyDescent="0.2"/>
    <row r="3941" hidden="1" x14ac:dyDescent="0.2"/>
    <row r="3942" hidden="1" x14ac:dyDescent="0.2"/>
    <row r="3943" hidden="1" x14ac:dyDescent="0.2"/>
    <row r="3944" hidden="1" x14ac:dyDescent="0.2"/>
    <row r="3945" hidden="1" x14ac:dyDescent="0.2"/>
    <row r="3946" hidden="1" x14ac:dyDescent="0.2"/>
    <row r="3947" hidden="1" x14ac:dyDescent="0.2"/>
    <row r="3948" hidden="1" x14ac:dyDescent="0.2"/>
    <row r="3949" hidden="1" x14ac:dyDescent="0.2"/>
    <row r="3950" hidden="1" x14ac:dyDescent="0.2"/>
    <row r="3951" hidden="1" x14ac:dyDescent="0.2"/>
    <row r="3952" hidden="1" x14ac:dyDescent="0.2"/>
    <row r="3953" hidden="1" x14ac:dyDescent="0.2"/>
    <row r="3954" hidden="1" x14ac:dyDescent="0.2"/>
    <row r="3955" hidden="1" x14ac:dyDescent="0.2"/>
    <row r="3956" hidden="1" x14ac:dyDescent="0.2"/>
    <row r="3957" hidden="1" x14ac:dyDescent="0.2"/>
    <row r="3958" hidden="1" x14ac:dyDescent="0.2"/>
    <row r="3959" hidden="1" x14ac:dyDescent="0.2"/>
    <row r="3960" hidden="1" x14ac:dyDescent="0.2"/>
    <row r="3961" hidden="1" x14ac:dyDescent="0.2"/>
    <row r="3962" hidden="1" x14ac:dyDescent="0.2"/>
    <row r="3963" hidden="1" x14ac:dyDescent="0.2"/>
    <row r="3964" hidden="1" x14ac:dyDescent="0.2"/>
    <row r="3965" hidden="1" x14ac:dyDescent="0.2"/>
    <row r="3966" hidden="1" x14ac:dyDescent="0.2"/>
    <row r="3967" hidden="1" x14ac:dyDescent="0.2"/>
    <row r="3968" hidden="1" x14ac:dyDescent="0.2"/>
    <row r="3969" hidden="1" x14ac:dyDescent="0.2"/>
    <row r="3970" hidden="1" x14ac:dyDescent="0.2"/>
    <row r="3971" hidden="1" x14ac:dyDescent="0.2"/>
    <row r="3972" hidden="1" x14ac:dyDescent="0.2"/>
    <row r="3973" hidden="1" x14ac:dyDescent="0.2"/>
    <row r="3974" hidden="1" x14ac:dyDescent="0.2"/>
    <row r="3975" hidden="1" x14ac:dyDescent="0.2"/>
    <row r="3976" hidden="1" x14ac:dyDescent="0.2"/>
    <row r="3977" hidden="1" x14ac:dyDescent="0.2"/>
    <row r="3978" hidden="1" x14ac:dyDescent="0.2"/>
    <row r="3979" hidden="1" x14ac:dyDescent="0.2"/>
    <row r="3980" hidden="1" x14ac:dyDescent="0.2"/>
    <row r="3981" hidden="1" x14ac:dyDescent="0.2"/>
    <row r="3982" hidden="1" x14ac:dyDescent="0.2"/>
    <row r="3983" hidden="1" x14ac:dyDescent="0.2"/>
    <row r="3984" hidden="1" x14ac:dyDescent="0.2"/>
    <row r="3985" hidden="1" x14ac:dyDescent="0.2"/>
    <row r="3986" hidden="1" x14ac:dyDescent="0.2"/>
    <row r="3987" hidden="1" x14ac:dyDescent="0.2"/>
    <row r="3988" hidden="1" x14ac:dyDescent="0.2"/>
    <row r="3989" hidden="1" x14ac:dyDescent="0.2"/>
    <row r="3990" hidden="1" x14ac:dyDescent="0.2"/>
    <row r="3991" hidden="1" x14ac:dyDescent="0.2"/>
    <row r="3992" hidden="1" x14ac:dyDescent="0.2"/>
    <row r="3993" hidden="1" x14ac:dyDescent="0.2"/>
    <row r="3994" hidden="1" x14ac:dyDescent="0.2"/>
    <row r="3995" hidden="1" x14ac:dyDescent="0.2"/>
    <row r="3996" hidden="1" x14ac:dyDescent="0.2"/>
    <row r="3997" hidden="1" x14ac:dyDescent="0.2"/>
    <row r="3998" hidden="1" x14ac:dyDescent="0.2"/>
    <row r="3999" hidden="1" x14ac:dyDescent="0.2"/>
    <row r="4000" hidden="1" x14ac:dyDescent="0.2"/>
    <row r="4001" hidden="1" x14ac:dyDescent="0.2"/>
    <row r="4002" hidden="1" x14ac:dyDescent="0.2"/>
    <row r="4003" hidden="1" x14ac:dyDescent="0.2"/>
    <row r="4004" hidden="1" x14ac:dyDescent="0.2"/>
    <row r="4005" hidden="1" x14ac:dyDescent="0.2"/>
    <row r="4006" hidden="1" x14ac:dyDescent="0.2"/>
    <row r="4007" hidden="1" x14ac:dyDescent="0.2"/>
    <row r="4008" hidden="1" x14ac:dyDescent="0.2"/>
    <row r="4009" hidden="1" x14ac:dyDescent="0.2"/>
    <row r="4010" hidden="1" x14ac:dyDescent="0.2"/>
    <row r="4011" hidden="1" x14ac:dyDescent="0.2"/>
    <row r="4012" hidden="1" x14ac:dyDescent="0.2"/>
    <row r="4013" hidden="1" x14ac:dyDescent="0.2"/>
    <row r="4014" hidden="1" x14ac:dyDescent="0.2"/>
    <row r="4015" hidden="1" x14ac:dyDescent="0.2"/>
    <row r="4016" hidden="1" x14ac:dyDescent="0.2"/>
    <row r="4017" hidden="1" x14ac:dyDescent="0.2"/>
    <row r="4018" hidden="1" x14ac:dyDescent="0.2"/>
    <row r="4019" hidden="1" x14ac:dyDescent="0.2"/>
    <row r="4020" hidden="1" x14ac:dyDescent="0.2"/>
    <row r="4021" hidden="1" x14ac:dyDescent="0.2"/>
    <row r="4022" hidden="1" x14ac:dyDescent="0.2"/>
    <row r="4023" hidden="1" x14ac:dyDescent="0.2"/>
    <row r="4024" hidden="1" x14ac:dyDescent="0.2"/>
    <row r="4025" hidden="1" x14ac:dyDescent="0.2"/>
    <row r="4026" hidden="1" x14ac:dyDescent="0.2"/>
    <row r="4027" hidden="1" x14ac:dyDescent="0.2"/>
    <row r="4028" hidden="1" x14ac:dyDescent="0.2"/>
    <row r="4029" hidden="1" x14ac:dyDescent="0.2"/>
    <row r="4030" hidden="1" x14ac:dyDescent="0.2"/>
    <row r="4031" hidden="1" x14ac:dyDescent="0.2"/>
    <row r="4032" hidden="1" x14ac:dyDescent="0.2"/>
    <row r="4033" hidden="1" x14ac:dyDescent="0.2"/>
    <row r="4034" hidden="1" x14ac:dyDescent="0.2"/>
    <row r="4035" hidden="1" x14ac:dyDescent="0.2"/>
    <row r="4036" hidden="1" x14ac:dyDescent="0.2"/>
    <row r="4037" hidden="1" x14ac:dyDescent="0.2"/>
    <row r="4038" hidden="1" x14ac:dyDescent="0.2"/>
    <row r="4039" hidden="1" x14ac:dyDescent="0.2"/>
    <row r="4040" hidden="1" x14ac:dyDescent="0.2"/>
    <row r="4041" hidden="1" x14ac:dyDescent="0.2"/>
    <row r="4042" hidden="1" x14ac:dyDescent="0.2"/>
    <row r="4043" hidden="1" x14ac:dyDescent="0.2"/>
    <row r="4044" hidden="1" x14ac:dyDescent="0.2"/>
    <row r="4045" hidden="1" x14ac:dyDescent="0.2"/>
    <row r="4046" hidden="1" x14ac:dyDescent="0.2"/>
    <row r="4047" hidden="1" x14ac:dyDescent="0.2"/>
    <row r="4048" hidden="1" x14ac:dyDescent="0.2"/>
    <row r="4049" hidden="1" x14ac:dyDescent="0.2"/>
    <row r="4050" hidden="1" x14ac:dyDescent="0.2"/>
    <row r="4051" hidden="1" x14ac:dyDescent="0.2"/>
    <row r="4052" hidden="1" x14ac:dyDescent="0.2"/>
    <row r="4053" hidden="1" x14ac:dyDescent="0.2"/>
    <row r="4054" hidden="1" x14ac:dyDescent="0.2"/>
    <row r="4055" hidden="1" x14ac:dyDescent="0.2"/>
    <row r="4056" hidden="1" x14ac:dyDescent="0.2"/>
    <row r="4057" hidden="1" x14ac:dyDescent="0.2"/>
    <row r="4058" hidden="1" x14ac:dyDescent="0.2"/>
    <row r="4059" hidden="1" x14ac:dyDescent="0.2"/>
    <row r="4060" hidden="1" x14ac:dyDescent="0.2"/>
    <row r="4061" hidden="1" x14ac:dyDescent="0.2"/>
    <row r="4062" hidden="1" x14ac:dyDescent="0.2"/>
    <row r="4063" hidden="1" x14ac:dyDescent="0.2"/>
    <row r="4064" hidden="1" x14ac:dyDescent="0.2"/>
    <row r="4065" hidden="1" x14ac:dyDescent="0.2"/>
    <row r="4066" hidden="1" x14ac:dyDescent="0.2"/>
    <row r="4067" hidden="1" x14ac:dyDescent="0.2"/>
    <row r="4068" hidden="1" x14ac:dyDescent="0.2"/>
    <row r="4069" hidden="1" x14ac:dyDescent="0.2"/>
    <row r="4070" hidden="1" x14ac:dyDescent="0.2"/>
    <row r="4071" hidden="1" x14ac:dyDescent="0.2"/>
    <row r="4072" hidden="1" x14ac:dyDescent="0.2"/>
    <row r="4073" hidden="1" x14ac:dyDescent="0.2"/>
    <row r="4074" hidden="1" x14ac:dyDescent="0.2"/>
    <row r="4075" hidden="1" x14ac:dyDescent="0.2"/>
    <row r="4076" hidden="1" x14ac:dyDescent="0.2"/>
    <row r="4077" hidden="1" x14ac:dyDescent="0.2"/>
    <row r="4078" hidden="1" x14ac:dyDescent="0.2"/>
    <row r="4079" hidden="1" x14ac:dyDescent="0.2"/>
    <row r="4080" hidden="1" x14ac:dyDescent="0.2"/>
    <row r="4081" hidden="1" x14ac:dyDescent="0.2"/>
    <row r="4082" hidden="1" x14ac:dyDescent="0.2"/>
    <row r="4083" hidden="1" x14ac:dyDescent="0.2"/>
    <row r="4084" hidden="1" x14ac:dyDescent="0.2"/>
    <row r="4085" hidden="1" x14ac:dyDescent="0.2"/>
    <row r="4086" hidden="1" x14ac:dyDescent="0.2"/>
    <row r="4087" hidden="1" x14ac:dyDescent="0.2"/>
    <row r="4088" hidden="1" x14ac:dyDescent="0.2"/>
    <row r="4089" hidden="1" x14ac:dyDescent="0.2"/>
    <row r="4090" hidden="1" x14ac:dyDescent="0.2"/>
    <row r="4091" hidden="1" x14ac:dyDescent="0.2"/>
    <row r="4092" hidden="1" x14ac:dyDescent="0.2"/>
    <row r="4093" hidden="1" x14ac:dyDescent="0.2"/>
    <row r="4094" hidden="1" x14ac:dyDescent="0.2"/>
    <row r="4095" hidden="1" x14ac:dyDescent="0.2"/>
    <row r="4096" hidden="1" x14ac:dyDescent="0.2"/>
    <row r="4097" hidden="1" x14ac:dyDescent="0.2"/>
    <row r="4098" hidden="1" x14ac:dyDescent="0.2"/>
    <row r="4099" hidden="1" x14ac:dyDescent="0.2"/>
    <row r="4100" hidden="1" x14ac:dyDescent="0.2"/>
    <row r="4101" hidden="1" x14ac:dyDescent="0.2"/>
    <row r="4102" hidden="1" x14ac:dyDescent="0.2"/>
    <row r="4103" hidden="1" x14ac:dyDescent="0.2"/>
    <row r="4104" hidden="1" x14ac:dyDescent="0.2"/>
    <row r="4105" hidden="1" x14ac:dyDescent="0.2"/>
    <row r="4106" hidden="1" x14ac:dyDescent="0.2"/>
    <row r="4107" hidden="1" x14ac:dyDescent="0.2"/>
    <row r="4108" hidden="1" x14ac:dyDescent="0.2"/>
    <row r="4109" hidden="1" x14ac:dyDescent="0.2"/>
    <row r="4110" hidden="1" x14ac:dyDescent="0.2"/>
    <row r="4111" hidden="1" x14ac:dyDescent="0.2"/>
    <row r="4112" hidden="1" x14ac:dyDescent="0.2"/>
    <row r="4113" hidden="1" x14ac:dyDescent="0.2"/>
    <row r="4114" hidden="1" x14ac:dyDescent="0.2"/>
    <row r="4115" hidden="1" x14ac:dyDescent="0.2"/>
    <row r="4116" hidden="1" x14ac:dyDescent="0.2"/>
    <row r="4117" hidden="1" x14ac:dyDescent="0.2"/>
    <row r="4118" hidden="1" x14ac:dyDescent="0.2"/>
    <row r="4119" hidden="1" x14ac:dyDescent="0.2"/>
    <row r="4120" hidden="1" x14ac:dyDescent="0.2"/>
    <row r="4121" hidden="1" x14ac:dyDescent="0.2"/>
    <row r="4122" hidden="1" x14ac:dyDescent="0.2"/>
    <row r="4123" hidden="1" x14ac:dyDescent="0.2"/>
    <row r="4124" hidden="1" x14ac:dyDescent="0.2"/>
    <row r="4125" hidden="1" x14ac:dyDescent="0.2"/>
    <row r="4126" hidden="1" x14ac:dyDescent="0.2"/>
    <row r="4127" hidden="1" x14ac:dyDescent="0.2"/>
    <row r="4128" hidden="1" x14ac:dyDescent="0.2"/>
    <row r="4129" hidden="1" x14ac:dyDescent="0.2"/>
    <row r="4130" hidden="1" x14ac:dyDescent="0.2"/>
    <row r="4131" hidden="1" x14ac:dyDescent="0.2"/>
    <row r="4132" hidden="1" x14ac:dyDescent="0.2"/>
    <row r="4133" hidden="1" x14ac:dyDescent="0.2"/>
    <row r="4134" hidden="1" x14ac:dyDescent="0.2"/>
    <row r="4135" hidden="1" x14ac:dyDescent="0.2"/>
    <row r="4136" hidden="1" x14ac:dyDescent="0.2"/>
    <row r="4137" hidden="1" x14ac:dyDescent="0.2"/>
    <row r="4138" hidden="1" x14ac:dyDescent="0.2"/>
    <row r="4139" hidden="1" x14ac:dyDescent="0.2"/>
    <row r="4140" hidden="1" x14ac:dyDescent="0.2"/>
    <row r="4141" hidden="1" x14ac:dyDescent="0.2"/>
    <row r="4142" hidden="1" x14ac:dyDescent="0.2"/>
    <row r="4143" hidden="1" x14ac:dyDescent="0.2"/>
    <row r="4144" hidden="1" x14ac:dyDescent="0.2"/>
    <row r="4145" hidden="1" x14ac:dyDescent="0.2"/>
    <row r="4146" hidden="1" x14ac:dyDescent="0.2"/>
    <row r="4147" hidden="1" x14ac:dyDescent="0.2"/>
    <row r="4148" hidden="1" x14ac:dyDescent="0.2"/>
    <row r="4149" hidden="1" x14ac:dyDescent="0.2"/>
    <row r="4150" hidden="1" x14ac:dyDescent="0.2"/>
    <row r="4151" hidden="1" x14ac:dyDescent="0.2"/>
    <row r="4152" hidden="1" x14ac:dyDescent="0.2"/>
    <row r="4153" hidden="1" x14ac:dyDescent="0.2"/>
    <row r="4154" hidden="1" x14ac:dyDescent="0.2"/>
    <row r="4155" hidden="1" x14ac:dyDescent="0.2"/>
    <row r="4156" hidden="1" x14ac:dyDescent="0.2"/>
    <row r="4157" hidden="1" x14ac:dyDescent="0.2"/>
    <row r="4158" hidden="1" x14ac:dyDescent="0.2"/>
    <row r="4159" hidden="1" x14ac:dyDescent="0.2"/>
    <row r="4160" hidden="1" x14ac:dyDescent="0.2"/>
    <row r="4161" hidden="1" x14ac:dyDescent="0.2"/>
    <row r="4162" hidden="1" x14ac:dyDescent="0.2"/>
    <row r="4163" hidden="1" x14ac:dyDescent="0.2"/>
    <row r="4164" hidden="1" x14ac:dyDescent="0.2"/>
    <row r="4165" hidden="1" x14ac:dyDescent="0.2"/>
    <row r="4166" hidden="1" x14ac:dyDescent="0.2"/>
    <row r="4167" hidden="1" x14ac:dyDescent="0.2"/>
    <row r="4168" hidden="1" x14ac:dyDescent="0.2"/>
    <row r="4169" hidden="1" x14ac:dyDescent="0.2"/>
    <row r="4170" hidden="1" x14ac:dyDescent="0.2"/>
    <row r="4171" hidden="1" x14ac:dyDescent="0.2"/>
    <row r="4172" hidden="1" x14ac:dyDescent="0.2"/>
    <row r="4173" hidden="1" x14ac:dyDescent="0.2"/>
    <row r="4174" hidden="1" x14ac:dyDescent="0.2"/>
    <row r="4175" hidden="1" x14ac:dyDescent="0.2"/>
    <row r="4176" hidden="1" x14ac:dyDescent="0.2"/>
    <row r="4177" hidden="1" x14ac:dyDescent="0.2"/>
    <row r="4178" hidden="1" x14ac:dyDescent="0.2"/>
    <row r="4179" hidden="1" x14ac:dyDescent="0.2"/>
    <row r="4180" hidden="1" x14ac:dyDescent="0.2"/>
    <row r="4181" hidden="1" x14ac:dyDescent="0.2"/>
    <row r="4182" hidden="1" x14ac:dyDescent="0.2"/>
    <row r="4183" hidden="1" x14ac:dyDescent="0.2"/>
    <row r="4184" hidden="1" x14ac:dyDescent="0.2"/>
    <row r="4185" hidden="1" x14ac:dyDescent="0.2"/>
    <row r="4186" hidden="1" x14ac:dyDescent="0.2"/>
    <row r="4187" hidden="1" x14ac:dyDescent="0.2"/>
    <row r="4188" hidden="1" x14ac:dyDescent="0.2"/>
    <row r="4189" hidden="1" x14ac:dyDescent="0.2"/>
    <row r="4190" hidden="1" x14ac:dyDescent="0.2"/>
    <row r="4191" hidden="1" x14ac:dyDescent="0.2"/>
    <row r="4192" hidden="1" x14ac:dyDescent="0.2"/>
    <row r="4193" hidden="1" x14ac:dyDescent="0.2"/>
    <row r="4194" hidden="1" x14ac:dyDescent="0.2"/>
    <row r="4195" hidden="1" x14ac:dyDescent="0.2"/>
    <row r="4196" hidden="1" x14ac:dyDescent="0.2"/>
    <row r="4197" hidden="1" x14ac:dyDescent="0.2"/>
    <row r="4198" hidden="1" x14ac:dyDescent="0.2"/>
    <row r="4199" hidden="1" x14ac:dyDescent="0.2"/>
    <row r="4200" hidden="1" x14ac:dyDescent="0.2"/>
    <row r="4201" hidden="1" x14ac:dyDescent="0.2"/>
    <row r="4202" hidden="1" x14ac:dyDescent="0.2"/>
    <row r="4203" hidden="1" x14ac:dyDescent="0.2"/>
    <row r="4204" hidden="1" x14ac:dyDescent="0.2"/>
    <row r="4205" hidden="1" x14ac:dyDescent="0.2"/>
    <row r="4206" hidden="1" x14ac:dyDescent="0.2"/>
    <row r="4207" hidden="1" x14ac:dyDescent="0.2"/>
    <row r="4208" hidden="1" x14ac:dyDescent="0.2"/>
    <row r="4209" hidden="1" x14ac:dyDescent="0.2"/>
    <row r="4210" hidden="1" x14ac:dyDescent="0.2"/>
    <row r="4211" hidden="1" x14ac:dyDescent="0.2"/>
    <row r="4212" hidden="1" x14ac:dyDescent="0.2"/>
    <row r="4213" hidden="1" x14ac:dyDescent="0.2"/>
    <row r="4214" hidden="1" x14ac:dyDescent="0.2"/>
    <row r="4215" hidden="1" x14ac:dyDescent="0.2"/>
    <row r="4216" hidden="1" x14ac:dyDescent="0.2"/>
    <row r="4217" hidden="1" x14ac:dyDescent="0.2"/>
    <row r="4218" hidden="1" x14ac:dyDescent="0.2"/>
    <row r="4219" hidden="1" x14ac:dyDescent="0.2"/>
    <row r="4220" hidden="1" x14ac:dyDescent="0.2"/>
    <row r="4221" hidden="1" x14ac:dyDescent="0.2"/>
    <row r="4222" hidden="1" x14ac:dyDescent="0.2"/>
    <row r="4223" hidden="1" x14ac:dyDescent="0.2"/>
    <row r="4224" hidden="1" x14ac:dyDescent="0.2"/>
    <row r="4225" hidden="1" x14ac:dyDescent="0.2"/>
    <row r="4226" hidden="1" x14ac:dyDescent="0.2"/>
    <row r="4227" hidden="1" x14ac:dyDescent="0.2"/>
    <row r="4228" hidden="1" x14ac:dyDescent="0.2"/>
    <row r="4229" hidden="1" x14ac:dyDescent="0.2"/>
    <row r="4230" hidden="1" x14ac:dyDescent="0.2"/>
    <row r="4231" hidden="1" x14ac:dyDescent="0.2"/>
    <row r="4232" hidden="1" x14ac:dyDescent="0.2"/>
    <row r="4233" hidden="1" x14ac:dyDescent="0.2"/>
    <row r="4234" hidden="1" x14ac:dyDescent="0.2"/>
    <row r="4235" hidden="1" x14ac:dyDescent="0.2"/>
    <row r="4236" hidden="1" x14ac:dyDescent="0.2"/>
    <row r="4237" hidden="1" x14ac:dyDescent="0.2"/>
    <row r="4238" hidden="1" x14ac:dyDescent="0.2"/>
    <row r="4239" hidden="1" x14ac:dyDescent="0.2"/>
    <row r="4240" hidden="1" x14ac:dyDescent="0.2"/>
    <row r="4241" hidden="1" x14ac:dyDescent="0.2"/>
    <row r="4242" hidden="1" x14ac:dyDescent="0.2"/>
    <row r="4243" hidden="1" x14ac:dyDescent="0.2"/>
    <row r="4244" hidden="1" x14ac:dyDescent="0.2"/>
    <row r="4245" hidden="1" x14ac:dyDescent="0.2"/>
    <row r="4246" hidden="1" x14ac:dyDescent="0.2"/>
    <row r="4247" hidden="1" x14ac:dyDescent="0.2"/>
    <row r="4248" hidden="1" x14ac:dyDescent="0.2"/>
    <row r="4249" hidden="1" x14ac:dyDescent="0.2"/>
    <row r="4250" hidden="1" x14ac:dyDescent="0.2"/>
    <row r="4251" hidden="1" x14ac:dyDescent="0.2"/>
    <row r="4252" hidden="1" x14ac:dyDescent="0.2"/>
    <row r="4253" hidden="1" x14ac:dyDescent="0.2"/>
    <row r="4254" hidden="1" x14ac:dyDescent="0.2"/>
    <row r="4255" hidden="1" x14ac:dyDescent="0.2"/>
    <row r="4256" hidden="1" x14ac:dyDescent="0.2"/>
    <row r="4257" hidden="1" x14ac:dyDescent="0.2"/>
    <row r="4258" hidden="1" x14ac:dyDescent="0.2"/>
    <row r="4259" hidden="1" x14ac:dyDescent="0.2"/>
    <row r="4260" hidden="1" x14ac:dyDescent="0.2"/>
    <row r="4261" hidden="1" x14ac:dyDescent="0.2"/>
    <row r="4262" hidden="1" x14ac:dyDescent="0.2"/>
    <row r="4263" hidden="1" x14ac:dyDescent="0.2"/>
    <row r="4264" hidden="1" x14ac:dyDescent="0.2"/>
    <row r="4265" hidden="1" x14ac:dyDescent="0.2"/>
    <row r="4266" hidden="1" x14ac:dyDescent="0.2"/>
    <row r="4267" hidden="1" x14ac:dyDescent="0.2"/>
    <row r="4268" hidden="1" x14ac:dyDescent="0.2"/>
    <row r="4269" hidden="1" x14ac:dyDescent="0.2"/>
    <row r="4270" hidden="1" x14ac:dyDescent="0.2"/>
    <row r="4271" hidden="1" x14ac:dyDescent="0.2"/>
    <row r="4272" hidden="1" x14ac:dyDescent="0.2"/>
    <row r="4273" hidden="1" x14ac:dyDescent="0.2"/>
    <row r="4274" hidden="1" x14ac:dyDescent="0.2"/>
    <row r="4275" hidden="1" x14ac:dyDescent="0.2"/>
    <row r="4276" hidden="1" x14ac:dyDescent="0.2"/>
    <row r="4277" hidden="1" x14ac:dyDescent="0.2"/>
    <row r="4278" hidden="1" x14ac:dyDescent="0.2"/>
    <row r="4279" hidden="1" x14ac:dyDescent="0.2"/>
    <row r="4280" hidden="1" x14ac:dyDescent="0.2"/>
    <row r="4281" hidden="1" x14ac:dyDescent="0.2"/>
    <row r="4282" hidden="1" x14ac:dyDescent="0.2"/>
    <row r="4283" hidden="1" x14ac:dyDescent="0.2"/>
    <row r="4284" hidden="1" x14ac:dyDescent="0.2"/>
    <row r="4285" hidden="1" x14ac:dyDescent="0.2"/>
    <row r="4286" hidden="1" x14ac:dyDescent="0.2"/>
    <row r="4287" hidden="1" x14ac:dyDescent="0.2"/>
    <row r="4288" hidden="1" x14ac:dyDescent="0.2"/>
    <row r="4289" hidden="1" x14ac:dyDescent="0.2"/>
    <row r="4290" hidden="1" x14ac:dyDescent="0.2"/>
    <row r="4291" hidden="1" x14ac:dyDescent="0.2"/>
    <row r="4292" hidden="1" x14ac:dyDescent="0.2"/>
    <row r="4293" hidden="1" x14ac:dyDescent="0.2"/>
    <row r="4294" hidden="1" x14ac:dyDescent="0.2"/>
    <row r="4295" hidden="1" x14ac:dyDescent="0.2"/>
    <row r="4296" hidden="1" x14ac:dyDescent="0.2"/>
    <row r="4297" hidden="1" x14ac:dyDescent="0.2"/>
    <row r="4298" hidden="1" x14ac:dyDescent="0.2"/>
    <row r="4299" hidden="1" x14ac:dyDescent="0.2"/>
    <row r="4300" hidden="1" x14ac:dyDescent="0.2"/>
    <row r="4301" hidden="1" x14ac:dyDescent="0.2"/>
    <row r="4302" hidden="1" x14ac:dyDescent="0.2"/>
    <row r="4303" hidden="1" x14ac:dyDescent="0.2"/>
    <row r="4304" hidden="1" x14ac:dyDescent="0.2"/>
    <row r="4305" hidden="1" x14ac:dyDescent="0.2"/>
    <row r="4306" hidden="1" x14ac:dyDescent="0.2"/>
    <row r="4307" hidden="1" x14ac:dyDescent="0.2"/>
    <row r="4308" hidden="1" x14ac:dyDescent="0.2"/>
    <row r="4309" hidden="1" x14ac:dyDescent="0.2"/>
    <row r="4310" hidden="1" x14ac:dyDescent="0.2"/>
    <row r="4311" hidden="1" x14ac:dyDescent="0.2"/>
    <row r="4312" hidden="1" x14ac:dyDescent="0.2"/>
    <row r="4313" hidden="1" x14ac:dyDescent="0.2"/>
    <row r="4314" hidden="1" x14ac:dyDescent="0.2"/>
    <row r="4315" hidden="1" x14ac:dyDescent="0.2"/>
    <row r="4316" hidden="1" x14ac:dyDescent="0.2"/>
    <row r="4317" hidden="1" x14ac:dyDescent="0.2"/>
    <row r="4318" hidden="1" x14ac:dyDescent="0.2"/>
    <row r="4319" hidden="1" x14ac:dyDescent="0.2"/>
    <row r="4320" hidden="1" x14ac:dyDescent="0.2"/>
    <row r="4321" hidden="1" x14ac:dyDescent="0.2"/>
    <row r="4322" hidden="1" x14ac:dyDescent="0.2"/>
    <row r="4323" hidden="1" x14ac:dyDescent="0.2"/>
    <row r="4324" hidden="1" x14ac:dyDescent="0.2"/>
    <row r="4325" hidden="1" x14ac:dyDescent="0.2"/>
    <row r="4326" hidden="1" x14ac:dyDescent="0.2"/>
    <row r="4327" hidden="1" x14ac:dyDescent="0.2"/>
    <row r="4328" hidden="1" x14ac:dyDescent="0.2"/>
    <row r="4329" hidden="1" x14ac:dyDescent="0.2"/>
    <row r="4330" hidden="1" x14ac:dyDescent="0.2"/>
    <row r="4331" hidden="1" x14ac:dyDescent="0.2"/>
    <row r="4332" hidden="1" x14ac:dyDescent="0.2"/>
    <row r="4333" hidden="1" x14ac:dyDescent="0.2"/>
    <row r="4334" hidden="1" x14ac:dyDescent="0.2"/>
    <row r="4335" hidden="1" x14ac:dyDescent="0.2"/>
    <row r="4336" hidden="1" x14ac:dyDescent="0.2"/>
    <row r="4337" hidden="1" x14ac:dyDescent="0.2"/>
    <row r="4338" hidden="1" x14ac:dyDescent="0.2"/>
    <row r="4339" hidden="1" x14ac:dyDescent="0.2"/>
    <row r="4340" hidden="1" x14ac:dyDescent="0.2"/>
    <row r="4341" hidden="1" x14ac:dyDescent="0.2"/>
    <row r="4342" hidden="1" x14ac:dyDescent="0.2"/>
    <row r="4343" hidden="1" x14ac:dyDescent="0.2"/>
    <row r="4344" hidden="1" x14ac:dyDescent="0.2"/>
    <row r="4345" hidden="1" x14ac:dyDescent="0.2"/>
    <row r="4346" hidden="1" x14ac:dyDescent="0.2"/>
    <row r="4347" hidden="1" x14ac:dyDescent="0.2"/>
    <row r="4348" hidden="1" x14ac:dyDescent="0.2"/>
    <row r="4349" hidden="1" x14ac:dyDescent="0.2"/>
    <row r="4350" hidden="1" x14ac:dyDescent="0.2"/>
    <row r="4351" hidden="1" x14ac:dyDescent="0.2"/>
    <row r="4352" hidden="1" x14ac:dyDescent="0.2"/>
    <row r="4353" hidden="1" x14ac:dyDescent="0.2"/>
    <row r="4354" hidden="1" x14ac:dyDescent="0.2"/>
    <row r="4355" hidden="1" x14ac:dyDescent="0.2"/>
    <row r="4356" hidden="1" x14ac:dyDescent="0.2"/>
    <row r="4357" hidden="1" x14ac:dyDescent="0.2"/>
    <row r="4358" hidden="1" x14ac:dyDescent="0.2"/>
    <row r="4359" hidden="1" x14ac:dyDescent="0.2"/>
    <row r="4360" hidden="1" x14ac:dyDescent="0.2"/>
    <row r="4361" hidden="1" x14ac:dyDescent="0.2"/>
    <row r="4362" hidden="1" x14ac:dyDescent="0.2"/>
    <row r="4363" hidden="1" x14ac:dyDescent="0.2"/>
    <row r="4364" hidden="1" x14ac:dyDescent="0.2"/>
    <row r="4365" hidden="1" x14ac:dyDescent="0.2"/>
    <row r="4366" hidden="1" x14ac:dyDescent="0.2"/>
    <row r="4367" hidden="1" x14ac:dyDescent="0.2"/>
    <row r="4368" hidden="1" x14ac:dyDescent="0.2"/>
    <row r="4369" hidden="1" x14ac:dyDescent="0.2"/>
    <row r="4370" hidden="1" x14ac:dyDescent="0.2"/>
    <row r="4371" hidden="1" x14ac:dyDescent="0.2"/>
    <row r="4372" hidden="1" x14ac:dyDescent="0.2"/>
    <row r="4373" hidden="1" x14ac:dyDescent="0.2"/>
    <row r="4374" hidden="1" x14ac:dyDescent="0.2"/>
    <row r="4375" hidden="1" x14ac:dyDescent="0.2"/>
    <row r="4376" hidden="1" x14ac:dyDescent="0.2"/>
    <row r="4377" hidden="1" x14ac:dyDescent="0.2"/>
    <row r="4378" hidden="1" x14ac:dyDescent="0.2"/>
    <row r="4379" hidden="1" x14ac:dyDescent="0.2"/>
    <row r="4380" hidden="1" x14ac:dyDescent="0.2"/>
    <row r="4381" hidden="1" x14ac:dyDescent="0.2"/>
    <row r="4382" hidden="1" x14ac:dyDescent="0.2"/>
    <row r="4383" hidden="1" x14ac:dyDescent="0.2"/>
    <row r="4384" hidden="1" x14ac:dyDescent="0.2"/>
    <row r="4385" hidden="1" x14ac:dyDescent="0.2"/>
    <row r="4386" hidden="1" x14ac:dyDescent="0.2"/>
    <row r="4387" hidden="1" x14ac:dyDescent="0.2"/>
    <row r="4388" hidden="1" x14ac:dyDescent="0.2"/>
    <row r="4389" hidden="1" x14ac:dyDescent="0.2"/>
    <row r="4390" hidden="1" x14ac:dyDescent="0.2"/>
    <row r="4391" hidden="1" x14ac:dyDescent="0.2"/>
    <row r="4392" hidden="1" x14ac:dyDescent="0.2"/>
    <row r="4393" hidden="1" x14ac:dyDescent="0.2"/>
    <row r="4394" hidden="1" x14ac:dyDescent="0.2"/>
    <row r="4395" hidden="1" x14ac:dyDescent="0.2"/>
    <row r="4396" hidden="1" x14ac:dyDescent="0.2"/>
    <row r="4397" hidden="1" x14ac:dyDescent="0.2"/>
    <row r="4398" hidden="1" x14ac:dyDescent="0.2"/>
    <row r="4399" hidden="1" x14ac:dyDescent="0.2"/>
    <row r="4400" hidden="1" x14ac:dyDescent="0.2"/>
    <row r="4401" hidden="1" x14ac:dyDescent="0.2"/>
    <row r="4402" hidden="1" x14ac:dyDescent="0.2"/>
    <row r="4403" hidden="1" x14ac:dyDescent="0.2"/>
    <row r="4404" hidden="1" x14ac:dyDescent="0.2"/>
    <row r="4405" hidden="1" x14ac:dyDescent="0.2"/>
    <row r="4406" hidden="1" x14ac:dyDescent="0.2"/>
    <row r="4407" hidden="1" x14ac:dyDescent="0.2"/>
    <row r="4408" hidden="1" x14ac:dyDescent="0.2"/>
    <row r="4409" hidden="1" x14ac:dyDescent="0.2"/>
    <row r="4410" hidden="1" x14ac:dyDescent="0.2"/>
    <row r="4411" hidden="1" x14ac:dyDescent="0.2"/>
    <row r="4412" hidden="1" x14ac:dyDescent="0.2"/>
    <row r="4413" hidden="1" x14ac:dyDescent="0.2"/>
    <row r="4414" hidden="1" x14ac:dyDescent="0.2"/>
    <row r="4415" hidden="1" x14ac:dyDescent="0.2"/>
    <row r="4416" hidden="1" x14ac:dyDescent="0.2"/>
    <row r="4417" hidden="1" x14ac:dyDescent="0.2"/>
    <row r="4418" hidden="1" x14ac:dyDescent="0.2"/>
    <row r="4419" hidden="1" x14ac:dyDescent="0.2"/>
    <row r="4420" hidden="1" x14ac:dyDescent="0.2"/>
    <row r="4421" hidden="1" x14ac:dyDescent="0.2"/>
    <row r="4422" hidden="1" x14ac:dyDescent="0.2"/>
    <row r="4423" hidden="1" x14ac:dyDescent="0.2"/>
    <row r="4424" hidden="1" x14ac:dyDescent="0.2"/>
    <row r="4425" hidden="1" x14ac:dyDescent="0.2"/>
    <row r="4426" hidden="1" x14ac:dyDescent="0.2"/>
    <row r="4427" hidden="1" x14ac:dyDescent="0.2"/>
    <row r="4428" hidden="1" x14ac:dyDescent="0.2"/>
    <row r="4429" hidden="1" x14ac:dyDescent="0.2"/>
    <row r="4430" hidden="1" x14ac:dyDescent="0.2"/>
    <row r="4431" hidden="1" x14ac:dyDescent="0.2"/>
    <row r="4432" hidden="1" x14ac:dyDescent="0.2"/>
    <row r="4433" hidden="1" x14ac:dyDescent="0.2"/>
    <row r="4434" hidden="1" x14ac:dyDescent="0.2"/>
    <row r="4435" hidden="1" x14ac:dyDescent="0.2"/>
    <row r="4436" hidden="1" x14ac:dyDescent="0.2"/>
    <row r="4437" hidden="1" x14ac:dyDescent="0.2"/>
    <row r="4438" hidden="1" x14ac:dyDescent="0.2"/>
    <row r="4439" hidden="1" x14ac:dyDescent="0.2"/>
    <row r="4440" hidden="1" x14ac:dyDescent="0.2"/>
    <row r="4441" hidden="1" x14ac:dyDescent="0.2"/>
    <row r="4442" hidden="1" x14ac:dyDescent="0.2"/>
    <row r="4443" hidden="1" x14ac:dyDescent="0.2"/>
    <row r="4444" hidden="1" x14ac:dyDescent="0.2"/>
    <row r="4445" hidden="1" x14ac:dyDescent="0.2"/>
    <row r="4446" hidden="1" x14ac:dyDescent="0.2"/>
    <row r="4447" hidden="1" x14ac:dyDescent="0.2"/>
    <row r="4448" hidden="1" x14ac:dyDescent="0.2"/>
    <row r="4449" hidden="1" x14ac:dyDescent="0.2"/>
    <row r="4450" hidden="1" x14ac:dyDescent="0.2"/>
    <row r="4451" hidden="1" x14ac:dyDescent="0.2"/>
    <row r="4452" hidden="1" x14ac:dyDescent="0.2"/>
    <row r="4453" hidden="1" x14ac:dyDescent="0.2"/>
    <row r="4454" hidden="1" x14ac:dyDescent="0.2"/>
    <row r="4455" hidden="1" x14ac:dyDescent="0.2"/>
    <row r="4456" hidden="1" x14ac:dyDescent="0.2"/>
    <row r="4457" hidden="1" x14ac:dyDescent="0.2"/>
    <row r="4458" hidden="1" x14ac:dyDescent="0.2"/>
    <row r="4459" hidden="1" x14ac:dyDescent="0.2"/>
    <row r="4460" hidden="1" x14ac:dyDescent="0.2"/>
    <row r="4461" hidden="1" x14ac:dyDescent="0.2"/>
    <row r="4462" hidden="1" x14ac:dyDescent="0.2"/>
    <row r="4463" hidden="1" x14ac:dyDescent="0.2"/>
    <row r="4464" hidden="1" x14ac:dyDescent="0.2"/>
    <row r="4465" hidden="1" x14ac:dyDescent="0.2"/>
    <row r="4466" hidden="1" x14ac:dyDescent="0.2"/>
    <row r="4467" hidden="1" x14ac:dyDescent="0.2"/>
    <row r="4468" hidden="1" x14ac:dyDescent="0.2"/>
    <row r="4469" hidden="1" x14ac:dyDescent="0.2"/>
    <row r="4470" hidden="1" x14ac:dyDescent="0.2"/>
    <row r="4471" hidden="1" x14ac:dyDescent="0.2"/>
    <row r="4472" hidden="1" x14ac:dyDescent="0.2"/>
    <row r="4473" hidden="1" x14ac:dyDescent="0.2"/>
    <row r="4474" hidden="1" x14ac:dyDescent="0.2"/>
    <row r="4475" hidden="1" x14ac:dyDescent="0.2"/>
    <row r="4476" hidden="1" x14ac:dyDescent="0.2"/>
    <row r="4477" hidden="1" x14ac:dyDescent="0.2"/>
    <row r="4478" hidden="1" x14ac:dyDescent="0.2"/>
    <row r="4479" hidden="1" x14ac:dyDescent="0.2"/>
    <row r="4480" hidden="1" x14ac:dyDescent="0.2"/>
    <row r="4481" hidden="1" x14ac:dyDescent="0.2"/>
    <row r="4482" hidden="1" x14ac:dyDescent="0.2"/>
    <row r="4483" hidden="1" x14ac:dyDescent="0.2"/>
    <row r="4484" hidden="1" x14ac:dyDescent="0.2"/>
    <row r="4485" hidden="1" x14ac:dyDescent="0.2"/>
    <row r="4486" hidden="1" x14ac:dyDescent="0.2"/>
    <row r="4487" hidden="1" x14ac:dyDescent="0.2"/>
    <row r="4488" hidden="1" x14ac:dyDescent="0.2"/>
    <row r="4489" hidden="1" x14ac:dyDescent="0.2"/>
    <row r="4490" hidden="1" x14ac:dyDescent="0.2"/>
    <row r="4491" hidden="1" x14ac:dyDescent="0.2"/>
    <row r="4492" hidden="1" x14ac:dyDescent="0.2"/>
    <row r="4493" hidden="1" x14ac:dyDescent="0.2"/>
    <row r="4494" hidden="1" x14ac:dyDescent="0.2"/>
    <row r="4495" hidden="1" x14ac:dyDescent="0.2"/>
    <row r="4496" hidden="1" x14ac:dyDescent="0.2"/>
    <row r="4497" hidden="1" x14ac:dyDescent="0.2"/>
    <row r="4498" hidden="1" x14ac:dyDescent="0.2"/>
    <row r="4499" hidden="1" x14ac:dyDescent="0.2"/>
    <row r="4500" hidden="1" x14ac:dyDescent="0.2"/>
    <row r="4501" hidden="1" x14ac:dyDescent="0.2"/>
    <row r="4502" hidden="1" x14ac:dyDescent="0.2"/>
    <row r="4503" hidden="1" x14ac:dyDescent="0.2"/>
    <row r="4504" hidden="1" x14ac:dyDescent="0.2"/>
    <row r="4505" hidden="1" x14ac:dyDescent="0.2"/>
    <row r="4506" hidden="1" x14ac:dyDescent="0.2"/>
    <row r="4507" hidden="1" x14ac:dyDescent="0.2"/>
    <row r="4508" hidden="1" x14ac:dyDescent="0.2"/>
    <row r="4509" hidden="1" x14ac:dyDescent="0.2"/>
    <row r="4510" hidden="1" x14ac:dyDescent="0.2"/>
    <row r="4511" hidden="1" x14ac:dyDescent="0.2"/>
    <row r="4512" hidden="1" x14ac:dyDescent="0.2"/>
    <row r="4513" hidden="1" x14ac:dyDescent="0.2"/>
    <row r="4514" hidden="1" x14ac:dyDescent="0.2"/>
    <row r="4515" hidden="1" x14ac:dyDescent="0.2"/>
    <row r="4516" hidden="1" x14ac:dyDescent="0.2"/>
    <row r="4517" hidden="1" x14ac:dyDescent="0.2"/>
    <row r="4518" hidden="1" x14ac:dyDescent="0.2"/>
    <row r="4519" hidden="1" x14ac:dyDescent="0.2"/>
    <row r="4520" hidden="1" x14ac:dyDescent="0.2"/>
    <row r="4521" hidden="1" x14ac:dyDescent="0.2"/>
    <row r="4522" hidden="1" x14ac:dyDescent="0.2"/>
    <row r="4523" hidden="1" x14ac:dyDescent="0.2"/>
    <row r="4524" hidden="1" x14ac:dyDescent="0.2"/>
    <row r="4525" hidden="1" x14ac:dyDescent="0.2"/>
    <row r="4526" hidden="1" x14ac:dyDescent="0.2"/>
    <row r="4527" hidden="1" x14ac:dyDescent="0.2"/>
    <row r="4528" hidden="1" x14ac:dyDescent="0.2"/>
    <row r="4529" hidden="1" x14ac:dyDescent="0.2"/>
    <row r="4530" hidden="1" x14ac:dyDescent="0.2"/>
    <row r="4531" hidden="1" x14ac:dyDescent="0.2"/>
    <row r="4532" hidden="1" x14ac:dyDescent="0.2"/>
    <row r="4533" hidden="1" x14ac:dyDescent="0.2"/>
    <row r="4534" hidden="1" x14ac:dyDescent="0.2"/>
    <row r="4535" hidden="1" x14ac:dyDescent="0.2"/>
    <row r="4536" hidden="1" x14ac:dyDescent="0.2"/>
    <row r="4537" hidden="1" x14ac:dyDescent="0.2"/>
    <row r="4538" hidden="1" x14ac:dyDescent="0.2"/>
    <row r="4539" hidden="1" x14ac:dyDescent="0.2"/>
    <row r="4540" hidden="1" x14ac:dyDescent="0.2"/>
    <row r="4541" hidden="1" x14ac:dyDescent="0.2"/>
    <row r="4542" hidden="1" x14ac:dyDescent="0.2"/>
    <row r="4543" hidden="1" x14ac:dyDescent="0.2"/>
    <row r="4544" hidden="1" x14ac:dyDescent="0.2"/>
    <row r="4545" hidden="1" x14ac:dyDescent="0.2"/>
    <row r="4546" hidden="1" x14ac:dyDescent="0.2"/>
    <row r="4547" hidden="1" x14ac:dyDescent="0.2"/>
    <row r="4548" hidden="1" x14ac:dyDescent="0.2"/>
    <row r="4549" hidden="1" x14ac:dyDescent="0.2"/>
    <row r="4550" hidden="1" x14ac:dyDescent="0.2"/>
    <row r="4551" hidden="1" x14ac:dyDescent="0.2"/>
    <row r="4552" hidden="1" x14ac:dyDescent="0.2"/>
    <row r="4553" hidden="1" x14ac:dyDescent="0.2"/>
    <row r="4554" hidden="1" x14ac:dyDescent="0.2"/>
    <row r="4555" hidden="1" x14ac:dyDescent="0.2"/>
    <row r="4556" hidden="1" x14ac:dyDescent="0.2"/>
    <row r="4557" hidden="1" x14ac:dyDescent="0.2"/>
    <row r="4558" hidden="1" x14ac:dyDescent="0.2"/>
    <row r="4559" hidden="1" x14ac:dyDescent="0.2"/>
    <row r="4560" hidden="1" x14ac:dyDescent="0.2"/>
    <row r="4561" hidden="1" x14ac:dyDescent="0.2"/>
    <row r="4562" hidden="1" x14ac:dyDescent="0.2"/>
    <row r="4563" hidden="1" x14ac:dyDescent="0.2"/>
    <row r="4564" hidden="1" x14ac:dyDescent="0.2"/>
    <row r="4565" hidden="1" x14ac:dyDescent="0.2"/>
    <row r="4566" hidden="1" x14ac:dyDescent="0.2"/>
    <row r="4567" hidden="1" x14ac:dyDescent="0.2"/>
    <row r="4568" hidden="1" x14ac:dyDescent="0.2"/>
    <row r="4569" hidden="1" x14ac:dyDescent="0.2"/>
    <row r="4570" hidden="1" x14ac:dyDescent="0.2"/>
    <row r="4571" hidden="1" x14ac:dyDescent="0.2"/>
    <row r="4572" hidden="1" x14ac:dyDescent="0.2"/>
    <row r="4573" hidden="1" x14ac:dyDescent="0.2"/>
    <row r="4574" hidden="1" x14ac:dyDescent="0.2"/>
    <row r="4575" hidden="1" x14ac:dyDescent="0.2"/>
    <row r="4576" hidden="1" x14ac:dyDescent="0.2"/>
    <row r="4577" hidden="1" x14ac:dyDescent="0.2"/>
    <row r="4578" hidden="1" x14ac:dyDescent="0.2"/>
    <row r="4579" hidden="1" x14ac:dyDescent="0.2"/>
    <row r="4580" hidden="1" x14ac:dyDescent="0.2"/>
    <row r="4581" hidden="1" x14ac:dyDescent="0.2"/>
    <row r="4582" hidden="1" x14ac:dyDescent="0.2"/>
    <row r="4583" hidden="1" x14ac:dyDescent="0.2"/>
    <row r="4584" hidden="1" x14ac:dyDescent="0.2"/>
    <row r="4585" hidden="1" x14ac:dyDescent="0.2"/>
    <row r="4586" hidden="1" x14ac:dyDescent="0.2"/>
    <row r="4587" hidden="1" x14ac:dyDescent="0.2"/>
    <row r="4588" hidden="1" x14ac:dyDescent="0.2"/>
    <row r="4589" hidden="1" x14ac:dyDescent="0.2"/>
    <row r="4590" hidden="1" x14ac:dyDescent="0.2"/>
    <row r="4591" hidden="1" x14ac:dyDescent="0.2"/>
    <row r="4592" hidden="1" x14ac:dyDescent="0.2"/>
    <row r="4593" hidden="1" x14ac:dyDescent="0.2"/>
    <row r="4594" hidden="1" x14ac:dyDescent="0.2"/>
    <row r="4595" hidden="1" x14ac:dyDescent="0.2"/>
    <row r="4596" hidden="1" x14ac:dyDescent="0.2"/>
    <row r="4597" hidden="1" x14ac:dyDescent="0.2"/>
    <row r="4598" hidden="1" x14ac:dyDescent="0.2"/>
    <row r="4599" hidden="1" x14ac:dyDescent="0.2"/>
    <row r="4600" hidden="1" x14ac:dyDescent="0.2"/>
    <row r="4601" hidden="1" x14ac:dyDescent="0.2"/>
    <row r="4602" hidden="1" x14ac:dyDescent="0.2"/>
    <row r="4603" hidden="1" x14ac:dyDescent="0.2"/>
    <row r="4604" hidden="1" x14ac:dyDescent="0.2"/>
    <row r="4605" hidden="1" x14ac:dyDescent="0.2"/>
    <row r="4606" hidden="1" x14ac:dyDescent="0.2"/>
    <row r="4607" hidden="1" x14ac:dyDescent="0.2"/>
    <row r="4608" hidden="1" x14ac:dyDescent="0.2"/>
    <row r="4609" hidden="1" x14ac:dyDescent="0.2"/>
    <row r="4610" hidden="1" x14ac:dyDescent="0.2"/>
    <row r="4611" hidden="1" x14ac:dyDescent="0.2"/>
    <row r="4612" hidden="1" x14ac:dyDescent="0.2"/>
    <row r="4613" hidden="1" x14ac:dyDescent="0.2"/>
    <row r="4614" hidden="1" x14ac:dyDescent="0.2"/>
    <row r="4615" hidden="1" x14ac:dyDescent="0.2"/>
    <row r="4616" hidden="1" x14ac:dyDescent="0.2"/>
    <row r="4617" hidden="1" x14ac:dyDescent="0.2"/>
    <row r="4618" hidden="1" x14ac:dyDescent="0.2"/>
    <row r="4619" hidden="1" x14ac:dyDescent="0.2"/>
    <row r="4620" hidden="1" x14ac:dyDescent="0.2"/>
    <row r="4621" hidden="1" x14ac:dyDescent="0.2"/>
    <row r="4622" hidden="1" x14ac:dyDescent="0.2"/>
    <row r="4623" hidden="1" x14ac:dyDescent="0.2"/>
    <row r="4624" hidden="1" x14ac:dyDescent="0.2"/>
    <row r="4625" hidden="1" x14ac:dyDescent="0.2"/>
    <row r="4626" hidden="1" x14ac:dyDescent="0.2"/>
    <row r="4627" hidden="1" x14ac:dyDescent="0.2"/>
    <row r="4628" hidden="1" x14ac:dyDescent="0.2"/>
    <row r="4629" hidden="1" x14ac:dyDescent="0.2"/>
    <row r="4630" hidden="1" x14ac:dyDescent="0.2"/>
    <row r="4631" hidden="1" x14ac:dyDescent="0.2"/>
    <row r="4632" hidden="1" x14ac:dyDescent="0.2"/>
    <row r="4633" hidden="1" x14ac:dyDescent="0.2"/>
    <row r="4634" hidden="1" x14ac:dyDescent="0.2"/>
    <row r="4635" hidden="1" x14ac:dyDescent="0.2"/>
    <row r="4636" hidden="1" x14ac:dyDescent="0.2"/>
    <row r="4637" hidden="1" x14ac:dyDescent="0.2"/>
    <row r="4638" hidden="1" x14ac:dyDescent="0.2"/>
    <row r="4639" hidden="1" x14ac:dyDescent="0.2"/>
    <row r="4640" hidden="1" x14ac:dyDescent="0.2"/>
    <row r="4641" hidden="1" x14ac:dyDescent="0.2"/>
    <row r="4642" hidden="1" x14ac:dyDescent="0.2"/>
    <row r="4643" hidden="1" x14ac:dyDescent="0.2"/>
    <row r="4644" hidden="1" x14ac:dyDescent="0.2"/>
    <row r="4645" hidden="1" x14ac:dyDescent="0.2"/>
    <row r="4646" hidden="1" x14ac:dyDescent="0.2"/>
    <row r="4647" hidden="1" x14ac:dyDescent="0.2"/>
    <row r="4648" hidden="1" x14ac:dyDescent="0.2"/>
    <row r="4649" hidden="1" x14ac:dyDescent="0.2"/>
    <row r="4650" hidden="1" x14ac:dyDescent="0.2"/>
    <row r="4651" hidden="1" x14ac:dyDescent="0.2"/>
    <row r="4652" hidden="1" x14ac:dyDescent="0.2"/>
    <row r="4653" hidden="1" x14ac:dyDescent="0.2"/>
    <row r="4654" hidden="1" x14ac:dyDescent="0.2"/>
    <row r="4655" hidden="1" x14ac:dyDescent="0.2"/>
    <row r="4656" hidden="1" x14ac:dyDescent="0.2"/>
    <row r="4657" hidden="1" x14ac:dyDescent="0.2"/>
    <row r="4658" hidden="1" x14ac:dyDescent="0.2"/>
    <row r="4659" hidden="1" x14ac:dyDescent="0.2"/>
    <row r="4660" hidden="1" x14ac:dyDescent="0.2"/>
    <row r="4661" hidden="1" x14ac:dyDescent="0.2"/>
    <row r="4662" hidden="1" x14ac:dyDescent="0.2"/>
    <row r="4663" hidden="1" x14ac:dyDescent="0.2"/>
    <row r="4664" hidden="1" x14ac:dyDescent="0.2"/>
    <row r="4665" hidden="1" x14ac:dyDescent="0.2"/>
    <row r="4666" hidden="1" x14ac:dyDescent="0.2"/>
    <row r="4667" hidden="1" x14ac:dyDescent="0.2"/>
    <row r="4668" hidden="1" x14ac:dyDescent="0.2"/>
    <row r="4669" hidden="1" x14ac:dyDescent="0.2"/>
    <row r="4670" hidden="1" x14ac:dyDescent="0.2"/>
    <row r="4671" hidden="1" x14ac:dyDescent="0.2"/>
    <row r="4672" hidden="1" x14ac:dyDescent="0.2"/>
    <row r="4673" hidden="1" x14ac:dyDescent="0.2"/>
    <row r="4674" hidden="1" x14ac:dyDescent="0.2"/>
    <row r="4675" hidden="1" x14ac:dyDescent="0.2"/>
    <row r="4676" hidden="1" x14ac:dyDescent="0.2"/>
    <row r="4677" hidden="1" x14ac:dyDescent="0.2"/>
    <row r="4678" hidden="1" x14ac:dyDescent="0.2"/>
    <row r="4679" hidden="1" x14ac:dyDescent="0.2"/>
    <row r="4680" hidden="1" x14ac:dyDescent="0.2"/>
    <row r="4681" hidden="1" x14ac:dyDescent="0.2"/>
    <row r="4682" hidden="1" x14ac:dyDescent="0.2"/>
    <row r="4683" hidden="1" x14ac:dyDescent="0.2"/>
    <row r="4684" hidden="1" x14ac:dyDescent="0.2"/>
    <row r="4685" hidden="1" x14ac:dyDescent="0.2"/>
    <row r="4686" hidden="1" x14ac:dyDescent="0.2"/>
    <row r="4687" hidden="1" x14ac:dyDescent="0.2"/>
    <row r="4688" hidden="1" x14ac:dyDescent="0.2"/>
    <row r="4689" hidden="1" x14ac:dyDescent="0.2"/>
    <row r="4690" hidden="1" x14ac:dyDescent="0.2"/>
    <row r="4691" hidden="1" x14ac:dyDescent="0.2"/>
    <row r="4692" hidden="1" x14ac:dyDescent="0.2"/>
    <row r="4693" hidden="1" x14ac:dyDescent="0.2"/>
    <row r="4694" hidden="1" x14ac:dyDescent="0.2"/>
    <row r="4695" hidden="1" x14ac:dyDescent="0.2"/>
    <row r="4696" hidden="1" x14ac:dyDescent="0.2"/>
    <row r="4697" hidden="1" x14ac:dyDescent="0.2"/>
    <row r="4698" hidden="1" x14ac:dyDescent="0.2"/>
    <row r="4699" hidden="1" x14ac:dyDescent="0.2"/>
    <row r="4700" hidden="1" x14ac:dyDescent="0.2"/>
    <row r="4701" hidden="1" x14ac:dyDescent="0.2"/>
    <row r="4702" hidden="1" x14ac:dyDescent="0.2"/>
    <row r="4703" hidden="1" x14ac:dyDescent="0.2"/>
    <row r="4704" hidden="1" x14ac:dyDescent="0.2"/>
    <row r="4705" hidden="1" x14ac:dyDescent="0.2"/>
    <row r="4706" hidden="1" x14ac:dyDescent="0.2"/>
    <row r="4707" hidden="1" x14ac:dyDescent="0.2"/>
    <row r="4708" hidden="1" x14ac:dyDescent="0.2"/>
    <row r="4709" hidden="1" x14ac:dyDescent="0.2"/>
    <row r="4710" hidden="1" x14ac:dyDescent="0.2"/>
    <row r="4711" hidden="1" x14ac:dyDescent="0.2"/>
    <row r="4712" hidden="1" x14ac:dyDescent="0.2"/>
    <row r="4713" hidden="1" x14ac:dyDescent="0.2"/>
    <row r="4714" hidden="1" x14ac:dyDescent="0.2"/>
    <row r="4715" hidden="1" x14ac:dyDescent="0.2"/>
    <row r="4716" hidden="1" x14ac:dyDescent="0.2"/>
    <row r="4717" hidden="1" x14ac:dyDescent="0.2"/>
    <row r="4718" hidden="1" x14ac:dyDescent="0.2"/>
    <row r="4719" hidden="1" x14ac:dyDescent="0.2"/>
    <row r="4720" hidden="1" x14ac:dyDescent="0.2"/>
    <row r="4721" hidden="1" x14ac:dyDescent="0.2"/>
    <row r="4722" hidden="1" x14ac:dyDescent="0.2"/>
    <row r="4723" hidden="1" x14ac:dyDescent="0.2"/>
    <row r="4724" hidden="1" x14ac:dyDescent="0.2"/>
    <row r="4725" hidden="1" x14ac:dyDescent="0.2"/>
    <row r="4726" hidden="1" x14ac:dyDescent="0.2"/>
    <row r="4727" hidden="1" x14ac:dyDescent="0.2"/>
    <row r="4728" hidden="1" x14ac:dyDescent="0.2"/>
    <row r="4729" hidden="1" x14ac:dyDescent="0.2"/>
    <row r="4730" hidden="1" x14ac:dyDescent="0.2"/>
    <row r="4731" hidden="1" x14ac:dyDescent="0.2"/>
    <row r="4732" hidden="1" x14ac:dyDescent="0.2"/>
    <row r="4733" hidden="1" x14ac:dyDescent="0.2"/>
    <row r="4734" hidden="1" x14ac:dyDescent="0.2"/>
    <row r="4735" hidden="1" x14ac:dyDescent="0.2"/>
    <row r="4736" hidden="1" x14ac:dyDescent="0.2"/>
    <row r="4737" hidden="1" x14ac:dyDescent="0.2"/>
    <row r="4738" hidden="1" x14ac:dyDescent="0.2"/>
    <row r="4739" hidden="1" x14ac:dyDescent="0.2"/>
    <row r="4740" hidden="1" x14ac:dyDescent="0.2"/>
    <row r="4741" hidden="1" x14ac:dyDescent="0.2"/>
    <row r="4742" hidden="1" x14ac:dyDescent="0.2"/>
    <row r="4743" hidden="1" x14ac:dyDescent="0.2"/>
    <row r="4744" hidden="1" x14ac:dyDescent="0.2"/>
    <row r="4745" hidden="1" x14ac:dyDescent="0.2"/>
    <row r="4746" hidden="1" x14ac:dyDescent="0.2"/>
    <row r="4747" hidden="1" x14ac:dyDescent="0.2"/>
    <row r="4748" hidden="1" x14ac:dyDescent="0.2"/>
    <row r="4749" hidden="1" x14ac:dyDescent="0.2"/>
    <row r="4750" hidden="1" x14ac:dyDescent="0.2"/>
    <row r="4751" hidden="1" x14ac:dyDescent="0.2"/>
    <row r="4752" hidden="1" x14ac:dyDescent="0.2"/>
    <row r="4753" hidden="1" x14ac:dyDescent="0.2"/>
    <row r="4754" hidden="1" x14ac:dyDescent="0.2"/>
    <row r="4755" hidden="1" x14ac:dyDescent="0.2"/>
    <row r="4756" hidden="1" x14ac:dyDescent="0.2"/>
    <row r="4757" hidden="1" x14ac:dyDescent="0.2"/>
    <row r="4758" hidden="1" x14ac:dyDescent="0.2"/>
    <row r="4759" hidden="1" x14ac:dyDescent="0.2"/>
    <row r="4760" hidden="1" x14ac:dyDescent="0.2"/>
    <row r="4761" hidden="1" x14ac:dyDescent="0.2"/>
    <row r="4762" hidden="1" x14ac:dyDescent="0.2"/>
    <row r="4763" hidden="1" x14ac:dyDescent="0.2"/>
    <row r="4764" hidden="1" x14ac:dyDescent="0.2"/>
    <row r="4765" hidden="1" x14ac:dyDescent="0.2"/>
    <row r="4766" hidden="1" x14ac:dyDescent="0.2"/>
    <row r="4767" hidden="1" x14ac:dyDescent="0.2"/>
    <row r="4768" hidden="1" x14ac:dyDescent="0.2"/>
    <row r="4769" hidden="1" x14ac:dyDescent="0.2"/>
    <row r="4770" hidden="1" x14ac:dyDescent="0.2"/>
    <row r="4771" hidden="1" x14ac:dyDescent="0.2"/>
    <row r="4772" hidden="1" x14ac:dyDescent="0.2"/>
    <row r="4773" hidden="1" x14ac:dyDescent="0.2"/>
    <row r="4774" hidden="1" x14ac:dyDescent="0.2"/>
    <row r="4775" hidden="1" x14ac:dyDescent="0.2"/>
    <row r="4776" hidden="1" x14ac:dyDescent="0.2"/>
    <row r="4777" hidden="1" x14ac:dyDescent="0.2"/>
    <row r="4778" hidden="1" x14ac:dyDescent="0.2"/>
    <row r="4779" hidden="1" x14ac:dyDescent="0.2"/>
    <row r="4780" hidden="1" x14ac:dyDescent="0.2"/>
    <row r="4781" hidden="1" x14ac:dyDescent="0.2"/>
    <row r="4782" hidden="1" x14ac:dyDescent="0.2"/>
    <row r="4783" hidden="1" x14ac:dyDescent="0.2"/>
    <row r="4784" hidden="1" x14ac:dyDescent="0.2"/>
    <row r="4785" hidden="1" x14ac:dyDescent="0.2"/>
    <row r="4786" hidden="1" x14ac:dyDescent="0.2"/>
    <row r="4787" hidden="1" x14ac:dyDescent="0.2"/>
    <row r="4788" hidden="1" x14ac:dyDescent="0.2"/>
    <row r="4789" hidden="1" x14ac:dyDescent="0.2"/>
    <row r="4790" hidden="1" x14ac:dyDescent="0.2"/>
    <row r="4791" hidden="1" x14ac:dyDescent="0.2"/>
    <row r="4792" hidden="1" x14ac:dyDescent="0.2"/>
    <row r="4793" hidden="1" x14ac:dyDescent="0.2"/>
    <row r="4794" hidden="1" x14ac:dyDescent="0.2"/>
    <row r="4795" hidden="1" x14ac:dyDescent="0.2"/>
    <row r="4796" hidden="1" x14ac:dyDescent="0.2"/>
    <row r="4797" hidden="1" x14ac:dyDescent="0.2"/>
    <row r="4798" hidden="1" x14ac:dyDescent="0.2"/>
    <row r="4799" hidden="1" x14ac:dyDescent="0.2"/>
    <row r="4800" hidden="1" x14ac:dyDescent="0.2"/>
    <row r="4801" hidden="1" x14ac:dyDescent="0.2"/>
    <row r="4802" hidden="1" x14ac:dyDescent="0.2"/>
    <row r="4803" hidden="1" x14ac:dyDescent="0.2"/>
    <row r="4804" hidden="1" x14ac:dyDescent="0.2"/>
    <row r="4805" hidden="1" x14ac:dyDescent="0.2"/>
    <row r="4806" hidden="1" x14ac:dyDescent="0.2"/>
    <row r="4807" hidden="1" x14ac:dyDescent="0.2"/>
    <row r="4808" hidden="1" x14ac:dyDescent="0.2"/>
    <row r="4809" hidden="1" x14ac:dyDescent="0.2"/>
    <row r="4810" hidden="1" x14ac:dyDescent="0.2"/>
    <row r="4811" hidden="1" x14ac:dyDescent="0.2"/>
    <row r="4812" hidden="1" x14ac:dyDescent="0.2"/>
    <row r="4813" hidden="1" x14ac:dyDescent="0.2"/>
    <row r="4814" hidden="1" x14ac:dyDescent="0.2"/>
    <row r="4815" hidden="1" x14ac:dyDescent="0.2"/>
    <row r="4816" hidden="1" x14ac:dyDescent="0.2"/>
    <row r="4817" hidden="1" x14ac:dyDescent="0.2"/>
    <row r="4818" hidden="1" x14ac:dyDescent="0.2"/>
    <row r="4819" hidden="1" x14ac:dyDescent="0.2"/>
    <row r="4820" hidden="1" x14ac:dyDescent="0.2"/>
    <row r="4821" hidden="1" x14ac:dyDescent="0.2"/>
    <row r="4822" hidden="1" x14ac:dyDescent="0.2"/>
    <row r="4823" hidden="1" x14ac:dyDescent="0.2"/>
    <row r="4824" hidden="1" x14ac:dyDescent="0.2"/>
    <row r="4825" hidden="1" x14ac:dyDescent="0.2"/>
    <row r="4826" hidden="1" x14ac:dyDescent="0.2"/>
    <row r="4827" hidden="1" x14ac:dyDescent="0.2"/>
    <row r="4828" hidden="1" x14ac:dyDescent="0.2"/>
    <row r="4829" hidden="1" x14ac:dyDescent="0.2"/>
    <row r="4830" hidden="1" x14ac:dyDescent="0.2"/>
    <row r="4831" hidden="1" x14ac:dyDescent="0.2"/>
    <row r="4832" hidden="1" x14ac:dyDescent="0.2"/>
    <row r="4833" hidden="1" x14ac:dyDescent="0.2"/>
    <row r="4834" hidden="1" x14ac:dyDescent="0.2"/>
    <row r="4835" hidden="1" x14ac:dyDescent="0.2"/>
    <row r="4836" hidden="1" x14ac:dyDescent="0.2"/>
    <row r="4837" hidden="1" x14ac:dyDescent="0.2"/>
    <row r="4838" hidden="1" x14ac:dyDescent="0.2"/>
    <row r="4839" hidden="1" x14ac:dyDescent="0.2"/>
    <row r="4840" hidden="1" x14ac:dyDescent="0.2"/>
    <row r="4841" hidden="1" x14ac:dyDescent="0.2"/>
    <row r="4842" hidden="1" x14ac:dyDescent="0.2"/>
    <row r="4843" hidden="1" x14ac:dyDescent="0.2"/>
    <row r="4844" hidden="1" x14ac:dyDescent="0.2"/>
    <row r="4845" hidden="1" x14ac:dyDescent="0.2"/>
    <row r="4846" hidden="1" x14ac:dyDescent="0.2"/>
    <row r="4847" hidden="1" x14ac:dyDescent="0.2"/>
    <row r="4848" hidden="1" x14ac:dyDescent="0.2"/>
    <row r="4849" hidden="1" x14ac:dyDescent="0.2"/>
    <row r="4850" hidden="1" x14ac:dyDescent="0.2"/>
    <row r="4851" hidden="1" x14ac:dyDescent="0.2"/>
    <row r="4852" hidden="1" x14ac:dyDescent="0.2"/>
    <row r="4853" hidden="1" x14ac:dyDescent="0.2"/>
    <row r="4854" hidden="1" x14ac:dyDescent="0.2"/>
    <row r="4855" hidden="1" x14ac:dyDescent="0.2"/>
    <row r="4856" hidden="1" x14ac:dyDescent="0.2"/>
    <row r="4857" hidden="1" x14ac:dyDescent="0.2"/>
    <row r="4858" hidden="1" x14ac:dyDescent="0.2"/>
    <row r="4859" hidden="1" x14ac:dyDescent="0.2"/>
    <row r="4860" hidden="1" x14ac:dyDescent="0.2"/>
    <row r="4861" hidden="1" x14ac:dyDescent="0.2"/>
    <row r="4862" hidden="1" x14ac:dyDescent="0.2"/>
    <row r="4863" hidden="1" x14ac:dyDescent="0.2"/>
    <row r="4864" hidden="1" x14ac:dyDescent="0.2"/>
    <row r="4865" hidden="1" x14ac:dyDescent="0.2"/>
    <row r="4866" hidden="1" x14ac:dyDescent="0.2"/>
    <row r="4867" hidden="1" x14ac:dyDescent="0.2"/>
    <row r="4868" hidden="1" x14ac:dyDescent="0.2"/>
    <row r="4869" hidden="1" x14ac:dyDescent="0.2"/>
    <row r="4870" hidden="1" x14ac:dyDescent="0.2"/>
    <row r="4871" hidden="1" x14ac:dyDescent="0.2"/>
    <row r="4872" hidden="1" x14ac:dyDescent="0.2"/>
    <row r="4873" hidden="1" x14ac:dyDescent="0.2"/>
    <row r="4874" hidden="1" x14ac:dyDescent="0.2"/>
    <row r="4875" hidden="1" x14ac:dyDescent="0.2"/>
    <row r="4876" hidden="1" x14ac:dyDescent="0.2"/>
    <row r="4877" hidden="1" x14ac:dyDescent="0.2"/>
    <row r="4878" hidden="1" x14ac:dyDescent="0.2"/>
    <row r="4879" hidden="1" x14ac:dyDescent="0.2"/>
    <row r="4880" hidden="1" x14ac:dyDescent="0.2"/>
    <row r="4881" hidden="1" x14ac:dyDescent="0.2"/>
    <row r="4882" hidden="1" x14ac:dyDescent="0.2"/>
    <row r="4883" hidden="1" x14ac:dyDescent="0.2"/>
    <row r="4884" hidden="1" x14ac:dyDescent="0.2"/>
    <row r="4885" hidden="1" x14ac:dyDescent="0.2"/>
    <row r="4886" hidden="1" x14ac:dyDescent="0.2"/>
    <row r="4887" hidden="1" x14ac:dyDescent="0.2"/>
    <row r="4888" hidden="1" x14ac:dyDescent="0.2"/>
    <row r="4889" hidden="1" x14ac:dyDescent="0.2"/>
    <row r="4890" hidden="1" x14ac:dyDescent="0.2"/>
    <row r="4891" hidden="1" x14ac:dyDescent="0.2"/>
    <row r="4892" hidden="1" x14ac:dyDescent="0.2"/>
    <row r="4893" hidden="1" x14ac:dyDescent="0.2"/>
    <row r="4894" hidden="1" x14ac:dyDescent="0.2"/>
    <row r="4895" hidden="1" x14ac:dyDescent="0.2"/>
    <row r="4896" hidden="1" x14ac:dyDescent="0.2"/>
    <row r="4897" hidden="1" x14ac:dyDescent="0.2"/>
    <row r="4898" hidden="1" x14ac:dyDescent="0.2"/>
    <row r="4899" hidden="1" x14ac:dyDescent="0.2"/>
    <row r="4900" hidden="1" x14ac:dyDescent="0.2"/>
    <row r="4901" hidden="1" x14ac:dyDescent="0.2"/>
    <row r="4902" hidden="1" x14ac:dyDescent="0.2"/>
    <row r="4903" hidden="1" x14ac:dyDescent="0.2"/>
    <row r="4904" hidden="1" x14ac:dyDescent="0.2"/>
    <row r="4905" hidden="1" x14ac:dyDescent="0.2"/>
    <row r="4906" hidden="1" x14ac:dyDescent="0.2"/>
    <row r="4907" hidden="1" x14ac:dyDescent="0.2"/>
    <row r="4908" hidden="1" x14ac:dyDescent="0.2"/>
    <row r="4909" hidden="1" x14ac:dyDescent="0.2"/>
    <row r="4910" hidden="1" x14ac:dyDescent="0.2"/>
    <row r="4911" hidden="1" x14ac:dyDescent="0.2"/>
    <row r="4912" hidden="1" x14ac:dyDescent="0.2"/>
    <row r="4913" hidden="1" x14ac:dyDescent="0.2"/>
    <row r="4914" hidden="1" x14ac:dyDescent="0.2"/>
    <row r="4915" hidden="1" x14ac:dyDescent="0.2"/>
    <row r="4916" hidden="1" x14ac:dyDescent="0.2"/>
    <row r="4917" hidden="1" x14ac:dyDescent="0.2"/>
    <row r="4918" hidden="1" x14ac:dyDescent="0.2"/>
    <row r="4919" hidden="1" x14ac:dyDescent="0.2"/>
    <row r="4920" hidden="1" x14ac:dyDescent="0.2"/>
    <row r="4921" hidden="1" x14ac:dyDescent="0.2"/>
    <row r="4922" hidden="1" x14ac:dyDescent="0.2"/>
    <row r="4923" hidden="1" x14ac:dyDescent="0.2"/>
    <row r="4924" hidden="1" x14ac:dyDescent="0.2"/>
    <row r="4925" hidden="1" x14ac:dyDescent="0.2"/>
    <row r="4926" hidden="1" x14ac:dyDescent="0.2"/>
    <row r="4927" hidden="1" x14ac:dyDescent="0.2"/>
    <row r="4928" hidden="1" x14ac:dyDescent="0.2"/>
    <row r="4929" hidden="1" x14ac:dyDescent="0.2"/>
    <row r="4930" hidden="1" x14ac:dyDescent="0.2"/>
    <row r="4931" hidden="1" x14ac:dyDescent="0.2"/>
    <row r="4932" hidden="1" x14ac:dyDescent="0.2"/>
    <row r="4933" hidden="1" x14ac:dyDescent="0.2"/>
    <row r="4934" hidden="1" x14ac:dyDescent="0.2"/>
    <row r="4935" hidden="1" x14ac:dyDescent="0.2"/>
    <row r="4936" hidden="1" x14ac:dyDescent="0.2"/>
    <row r="4937" hidden="1" x14ac:dyDescent="0.2"/>
    <row r="4938" hidden="1" x14ac:dyDescent="0.2"/>
    <row r="4939" hidden="1" x14ac:dyDescent="0.2"/>
    <row r="4940" hidden="1" x14ac:dyDescent="0.2"/>
    <row r="4941" hidden="1" x14ac:dyDescent="0.2"/>
    <row r="4942" hidden="1" x14ac:dyDescent="0.2"/>
    <row r="4943" hidden="1" x14ac:dyDescent="0.2"/>
    <row r="4944" hidden="1" x14ac:dyDescent="0.2"/>
    <row r="4945" hidden="1" x14ac:dyDescent="0.2"/>
    <row r="4946" hidden="1" x14ac:dyDescent="0.2"/>
    <row r="4947" hidden="1" x14ac:dyDescent="0.2"/>
    <row r="4948" hidden="1" x14ac:dyDescent="0.2"/>
    <row r="4949" hidden="1" x14ac:dyDescent="0.2"/>
    <row r="4950" hidden="1" x14ac:dyDescent="0.2"/>
    <row r="4951" hidden="1" x14ac:dyDescent="0.2"/>
    <row r="4952" hidden="1" x14ac:dyDescent="0.2"/>
    <row r="4953" hidden="1" x14ac:dyDescent="0.2"/>
    <row r="4954" hidden="1" x14ac:dyDescent="0.2"/>
    <row r="4955" hidden="1" x14ac:dyDescent="0.2"/>
    <row r="4956" hidden="1" x14ac:dyDescent="0.2"/>
    <row r="4957" hidden="1" x14ac:dyDescent="0.2"/>
    <row r="4958" hidden="1" x14ac:dyDescent="0.2"/>
    <row r="4959" hidden="1" x14ac:dyDescent="0.2"/>
    <row r="4960" hidden="1" x14ac:dyDescent="0.2"/>
    <row r="4961" hidden="1" x14ac:dyDescent="0.2"/>
    <row r="4962" hidden="1" x14ac:dyDescent="0.2"/>
    <row r="4963" hidden="1" x14ac:dyDescent="0.2"/>
    <row r="4964" hidden="1" x14ac:dyDescent="0.2"/>
    <row r="4965" hidden="1" x14ac:dyDescent="0.2"/>
    <row r="4966" hidden="1" x14ac:dyDescent="0.2"/>
    <row r="4967" hidden="1" x14ac:dyDescent="0.2"/>
    <row r="4968" hidden="1" x14ac:dyDescent="0.2"/>
    <row r="4969" hidden="1" x14ac:dyDescent="0.2"/>
    <row r="4970" hidden="1" x14ac:dyDescent="0.2"/>
    <row r="4971" hidden="1" x14ac:dyDescent="0.2"/>
    <row r="4972" hidden="1" x14ac:dyDescent="0.2"/>
    <row r="4973" hidden="1" x14ac:dyDescent="0.2"/>
    <row r="4974" hidden="1" x14ac:dyDescent="0.2"/>
    <row r="4975" hidden="1" x14ac:dyDescent="0.2"/>
    <row r="4976" hidden="1" x14ac:dyDescent="0.2"/>
    <row r="4977" hidden="1" x14ac:dyDescent="0.2"/>
    <row r="4978" hidden="1" x14ac:dyDescent="0.2"/>
    <row r="4979" hidden="1" x14ac:dyDescent="0.2"/>
    <row r="4980" hidden="1" x14ac:dyDescent="0.2"/>
    <row r="4981" hidden="1" x14ac:dyDescent="0.2"/>
    <row r="4982" hidden="1" x14ac:dyDescent="0.2"/>
    <row r="4983" hidden="1" x14ac:dyDescent="0.2"/>
    <row r="4984" hidden="1" x14ac:dyDescent="0.2"/>
    <row r="4985" hidden="1" x14ac:dyDescent="0.2"/>
    <row r="4986" hidden="1" x14ac:dyDescent="0.2"/>
    <row r="4987" hidden="1" x14ac:dyDescent="0.2"/>
    <row r="4988" hidden="1" x14ac:dyDescent="0.2"/>
    <row r="4989" hidden="1" x14ac:dyDescent="0.2"/>
    <row r="4990" hidden="1" x14ac:dyDescent="0.2"/>
    <row r="4991" hidden="1" x14ac:dyDescent="0.2"/>
    <row r="4992" hidden="1" x14ac:dyDescent="0.2"/>
    <row r="4993" hidden="1" x14ac:dyDescent="0.2"/>
    <row r="4994" hidden="1" x14ac:dyDescent="0.2"/>
    <row r="4995" hidden="1" x14ac:dyDescent="0.2"/>
    <row r="4996" hidden="1" x14ac:dyDescent="0.2"/>
    <row r="4997" hidden="1" x14ac:dyDescent="0.2"/>
    <row r="4998" hidden="1" x14ac:dyDescent="0.2"/>
    <row r="4999" hidden="1" x14ac:dyDescent="0.2"/>
    <row r="5000" hidden="1" x14ac:dyDescent="0.2"/>
    <row r="5001" hidden="1" x14ac:dyDescent="0.2"/>
    <row r="5002" hidden="1" x14ac:dyDescent="0.2"/>
    <row r="5003" hidden="1" x14ac:dyDescent="0.2"/>
    <row r="5004" hidden="1" x14ac:dyDescent="0.2"/>
    <row r="5005" hidden="1" x14ac:dyDescent="0.2"/>
    <row r="5006" hidden="1" x14ac:dyDescent="0.2"/>
    <row r="5007" hidden="1" x14ac:dyDescent="0.2"/>
    <row r="5008" hidden="1" x14ac:dyDescent="0.2"/>
    <row r="5009" hidden="1" x14ac:dyDescent="0.2"/>
    <row r="5010" hidden="1" x14ac:dyDescent="0.2"/>
    <row r="5011" hidden="1" x14ac:dyDescent="0.2"/>
    <row r="5012" hidden="1" x14ac:dyDescent="0.2"/>
    <row r="5013" hidden="1" x14ac:dyDescent="0.2"/>
    <row r="5014" hidden="1" x14ac:dyDescent="0.2"/>
    <row r="5015" hidden="1" x14ac:dyDescent="0.2"/>
    <row r="5016" hidden="1" x14ac:dyDescent="0.2"/>
    <row r="5017" hidden="1" x14ac:dyDescent="0.2"/>
    <row r="5018" hidden="1" x14ac:dyDescent="0.2"/>
    <row r="5019" hidden="1" x14ac:dyDescent="0.2"/>
    <row r="5020" hidden="1" x14ac:dyDescent="0.2"/>
    <row r="5021" hidden="1" x14ac:dyDescent="0.2"/>
    <row r="5022" hidden="1" x14ac:dyDescent="0.2"/>
    <row r="5023" hidden="1" x14ac:dyDescent="0.2"/>
    <row r="5024" hidden="1" x14ac:dyDescent="0.2"/>
    <row r="5025" hidden="1" x14ac:dyDescent="0.2"/>
    <row r="5026" hidden="1" x14ac:dyDescent="0.2"/>
    <row r="5027" hidden="1" x14ac:dyDescent="0.2"/>
    <row r="5028" hidden="1" x14ac:dyDescent="0.2"/>
    <row r="5029" hidden="1" x14ac:dyDescent="0.2"/>
    <row r="5030" hidden="1" x14ac:dyDescent="0.2"/>
    <row r="5031" hidden="1" x14ac:dyDescent="0.2"/>
    <row r="5032" hidden="1" x14ac:dyDescent="0.2"/>
    <row r="5033" hidden="1" x14ac:dyDescent="0.2"/>
    <row r="5034" hidden="1" x14ac:dyDescent="0.2"/>
    <row r="5035" hidden="1" x14ac:dyDescent="0.2"/>
    <row r="5036" hidden="1" x14ac:dyDescent="0.2"/>
    <row r="5037" hidden="1" x14ac:dyDescent="0.2"/>
    <row r="5038" hidden="1" x14ac:dyDescent="0.2"/>
    <row r="5039" hidden="1" x14ac:dyDescent="0.2"/>
    <row r="5040" hidden="1" x14ac:dyDescent="0.2"/>
    <row r="5041" hidden="1" x14ac:dyDescent="0.2"/>
    <row r="5042" hidden="1" x14ac:dyDescent="0.2"/>
    <row r="5043" hidden="1" x14ac:dyDescent="0.2"/>
    <row r="5044" hidden="1" x14ac:dyDescent="0.2"/>
    <row r="5045" hidden="1" x14ac:dyDescent="0.2"/>
    <row r="5046" hidden="1" x14ac:dyDescent="0.2"/>
    <row r="5047" hidden="1" x14ac:dyDescent="0.2"/>
    <row r="5048" hidden="1" x14ac:dyDescent="0.2"/>
    <row r="5049" hidden="1" x14ac:dyDescent="0.2"/>
    <row r="5050" hidden="1" x14ac:dyDescent="0.2"/>
    <row r="5051" hidden="1" x14ac:dyDescent="0.2"/>
    <row r="5052" hidden="1" x14ac:dyDescent="0.2"/>
    <row r="5053" hidden="1" x14ac:dyDescent="0.2"/>
    <row r="5054" hidden="1" x14ac:dyDescent="0.2"/>
    <row r="5055" hidden="1" x14ac:dyDescent="0.2"/>
    <row r="5056" hidden="1" x14ac:dyDescent="0.2"/>
    <row r="5057" hidden="1" x14ac:dyDescent="0.2"/>
    <row r="5058" hidden="1" x14ac:dyDescent="0.2"/>
    <row r="5059" hidden="1" x14ac:dyDescent="0.2"/>
    <row r="5060" hidden="1" x14ac:dyDescent="0.2"/>
    <row r="5061" hidden="1" x14ac:dyDescent="0.2"/>
    <row r="5062" hidden="1" x14ac:dyDescent="0.2"/>
    <row r="5063" hidden="1" x14ac:dyDescent="0.2"/>
    <row r="5064" hidden="1" x14ac:dyDescent="0.2"/>
    <row r="5065" hidden="1" x14ac:dyDescent="0.2"/>
    <row r="5066" hidden="1" x14ac:dyDescent="0.2"/>
    <row r="5067" hidden="1" x14ac:dyDescent="0.2"/>
    <row r="5068" hidden="1" x14ac:dyDescent="0.2"/>
    <row r="5069" hidden="1" x14ac:dyDescent="0.2"/>
    <row r="5070" hidden="1" x14ac:dyDescent="0.2"/>
    <row r="5071" hidden="1" x14ac:dyDescent="0.2"/>
    <row r="5072" hidden="1" x14ac:dyDescent="0.2"/>
    <row r="5073" hidden="1" x14ac:dyDescent="0.2"/>
    <row r="5074" hidden="1" x14ac:dyDescent="0.2"/>
    <row r="5075" hidden="1" x14ac:dyDescent="0.2"/>
    <row r="5076" hidden="1" x14ac:dyDescent="0.2"/>
    <row r="5077" hidden="1" x14ac:dyDescent="0.2"/>
    <row r="5078" hidden="1" x14ac:dyDescent="0.2"/>
    <row r="5079" hidden="1" x14ac:dyDescent="0.2"/>
    <row r="5080" hidden="1" x14ac:dyDescent="0.2"/>
    <row r="5081" hidden="1" x14ac:dyDescent="0.2"/>
    <row r="5082" hidden="1" x14ac:dyDescent="0.2"/>
    <row r="5083" hidden="1" x14ac:dyDescent="0.2"/>
    <row r="5084" hidden="1" x14ac:dyDescent="0.2"/>
    <row r="5085" hidden="1" x14ac:dyDescent="0.2"/>
    <row r="5086" hidden="1" x14ac:dyDescent="0.2"/>
    <row r="5087" hidden="1" x14ac:dyDescent="0.2"/>
    <row r="5088" hidden="1" x14ac:dyDescent="0.2"/>
    <row r="5089" hidden="1" x14ac:dyDescent="0.2"/>
    <row r="5090" hidden="1" x14ac:dyDescent="0.2"/>
    <row r="5091" hidden="1" x14ac:dyDescent="0.2"/>
    <row r="5092" hidden="1" x14ac:dyDescent="0.2"/>
    <row r="5093" hidden="1" x14ac:dyDescent="0.2"/>
    <row r="5094" hidden="1" x14ac:dyDescent="0.2"/>
    <row r="5095" hidden="1" x14ac:dyDescent="0.2"/>
    <row r="5096" hidden="1" x14ac:dyDescent="0.2"/>
    <row r="5097" hidden="1" x14ac:dyDescent="0.2"/>
    <row r="5098" hidden="1" x14ac:dyDescent="0.2"/>
    <row r="5099" hidden="1" x14ac:dyDescent="0.2"/>
    <row r="5100" hidden="1" x14ac:dyDescent="0.2"/>
    <row r="5101" hidden="1" x14ac:dyDescent="0.2"/>
    <row r="5102" hidden="1" x14ac:dyDescent="0.2"/>
    <row r="5103" hidden="1" x14ac:dyDescent="0.2"/>
    <row r="5104" hidden="1" x14ac:dyDescent="0.2"/>
    <row r="5105" hidden="1" x14ac:dyDescent="0.2"/>
    <row r="5106" hidden="1" x14ac:dyDescent="0.2"/>
    <row r="5107" hidden="1" x14ac:dyDescent="0.2"/>
    <row r="5108" hidden="1" x14ac:dyDescent="0.2"/>
    <row r="5109" hidden="1" x14ac:dyDescent="0.2"/>
    <row r="5110" hidden="1" x14ac:dyDescent="0.2"/>
    <row r="5111" hidden="1" x14ac:dyDescent="0.2"/>
    <row r="5112" hidden="1" x14ac:dyDescent="0.2"/>
    <row r="5113" hidden="1" x14ac:dyDescent="0.2"/>
    <row r="5114" hidden="1" x14ac:dyDescent="0.2"/>
    <row r="5115" hidden="1" x14ac:dyDescent="0.2"/>
    <row r="5116" hidden="1" x14ac:dyDescent="0.2"/>
    <row r="5117" hidden="1" x14ac:dyDescent="0.2"/>
    <row r="5118" hidden="1" x14ac:dyDescent="0.2"/>
    <row r="5119" hidden="1" x14ac:dyDescent="0.2"/>
    <row r="5120" hidden="1" x14ac:dyDescent="0.2"/>
    <row r="5121" hidden="1" x14ac:dyDescent="0.2"/>
    <row r="5122" hidden="1" x14ac:dyDescent="0.2"/>
    <row r="5123" hidden="1" x14ac:dyDescent="0.2"/>
    <row r="5124" hidden="1" x14ac:dyDescent="0.2"/>
    <row r="5125" hidden="1" x14ac:dyDescent="0.2"/>
    <row r="5126" hidden="1" x14ac:dyDescent="0.2"/>
    <row r="5127" hidden="1" x14ac:dyDescent="0.2"/>
    <row r="5128" hidden="1" x14ac:dyDescent="0.2"/>
    <row r="5129" hidden="1" x14ac:dyDescent="0.2"/>
    <row r="5130" hidden="1" x14ac:dyDescent="0.2"/>
    <row r="5131" hidden="1" x14ac:dyDescent="0.2"/>
    <row r="5132" hidden="1" x14ac:dyDescent="0.2"/>
    <row r="5133" hidden="1" x14ac:dyDescent="0.2"/>
    <row r="5134" hidden="1" x14ac:dyDescent="0.2"/>
    <row r="5135" hidden="1" x14ac:dyDescent="0.2"/>
    <row r="5136" hidden="1" x14ac:dyDescent="0.2"/>
    <row r="5137" hidden="1" x14ac:dyDescent="0.2"/>
    <row r="5138" hidden="1" x14ac:dyDescent="0.2"/>
    <row r="5139" hidden="1" x14ac:dyDescent="0.2"/>
    <row r="5140" hidden="1" x14ac:dyDescent="0.2"/>
    <row r="5141" hidden="1" x14ac:dyDescent="0.2"/>
    <row r="5142" hidden="1" x14ac:dyDescent="0.2"/>
    <row r="5143" hidden="1" x14ac:dyDescent="0.2"/>
    <row r="5144" hidden="1" x14ac:dyDescent="0.2"/>
    <row r="5145" hidden="1" x14ac:dyDescent="0.2"/>
    <row r="5146" hidden="1" x14ac:dyDescent="0.2"/>
    <row r="5147" hidden="1" x14ac:dyDescent="0.2"/>
    <row r="5148" hidden="1" x14ac:dyDescent="0.2"/>
    <row r="5149" hidden="1" x14ac:dyDescent="0.2"/>
    <row r="5150" hidden="1" x14ac:dyDescent="0.2"/>
    <row r="5151" hidden="1" x14ac:dyDescent="0.2"/>
    <row r="5152" hidden="1" x14ac:dyDescent="0.2"/>
    <row r="5153" hidden="1" x14ac:dyDescent="0.2"/>
    <row r="5154" hidden="1" x14ac:dyDescent="0.2"/>
    <row r="5155" hidden="1" x14ac:dyDescent="0.2"/>
    <row r="5156" hidden="1" x14ac:dyDescent="0.2"/>
    <row r="5157" hidden="1" x14ac:dyDescent="0.2"/>
    <row r="5158" hidden="1" x14ac:dyDescent="0.2"/>
    <row r="5159" hidden="1" x14ac:dyDescent="0.2"/>
    <row r="5160" hidden="1" x14ac:dyDescent="0.2"/>
    <row r="5161" hidden="1" x14ac:dyDescent="0.2"/>
    <row r="5162" hidden="1" x14ac:dyDescent="0.2"/>
    <row r="5163" hidden="1" x14ac:dyDescent="0.2"/>
    <row r="5164" hidden="1" x14ac:dyDescent="0.2"/>
    <row r="5165" hidden="1" x14ac:dyDescent="0.2"/>
    <row r="5166" hidden="1" x14ac:dyDescent="0.2"/>
    <row r="5167" hidden="1" x14ac:dyDescent="0.2"/>
    <row r="5168" hidden="1" x14ac:dyDescent="0.2"/>
    <row r="5169" hidden="1" x14ac:dyDescent="0.2"/>
    <row r="5170" hidden="1" x14ac:dyDescent="0.2"/>
    <row r="5171" hidden="1" x14ac:dyDescent="0.2"/>
    <row r="5172" hidden="1" x14ac:dyDescent="0.2"/>
    <row r="5173" hidden="1" x14ac:dyDescent="0.2"/>
    <row r="5174" hidden="1" x14ac:dyDescent="0.2"/>
    <row r="5175" hidden="1" x14ac:dyDescent="0.2"/>
    <row r="5176" hidden="1" x14ac:dyDescent="0.2"/>
    <row r="5177" hidden="1" x14ac:dyDescent="0.2"/>
    <row r="5178" hidden="1" x14ac:dyDescent="0.2"/>
    <row r="5179" hidden="1" x14ac:dyDescent="0.2"/>
    <row r="5180" hidden="1" x14ac:dyDescent="0.2"/>
    <row r="5181" hidden="1" x14ac:dyDescent="0.2"/>
    <row r="5182" hidden="1" x14ac:dyDescent="0.2"/>
    <row r="5183" hidden="1" x14ac:dyDescent="0.2"/>
    <row r="5184" hidden="1" x14ac:dyDescent="0.2"/>
    <row r="5185" hidden="1" x14ac:dyDescent="0.2"/>
    <row r="5186" hidden="1" x14ac:dyDescent="0.2"/>
    <row r="5187" hidden="1" x14ac:dyDescent="0.2"/>
    <row r="5188" hidden="1" x14ac:dyDescent="0.2"/>
    <row r="5189" hidden="1" x14ac:dyDescent="0.2"/>
    <row r="5190" hidden="1" x14ac:dyDescent="0.2"/>
    <row r="5191" hidden="1" x14ac:dyDescent="0.2"/>
    <row r="5192" hidden="1" x14ac:dyDescent="0.2"/>
    <row r="5193" hidden="1" x14ac:dyDescent="0.2"/>
    <row r="5194" hidden="1" x14ac:dyDescent="0.2"/>
    <row r="5195" hidden="1" x14ac:dyDescent="0.2"/>
    <row r="5196" hidden="1" x14ac:dyDescent="0.2"/>
    <row r="5197" hidden="1" x14ac:dyDescent="0.2"/>
    <row r="5198" hidden="1" x14ac:dyDescent="0.2"/>
    <row r="5199" hidden="1" x14ac:dyDescent="0.2"/>
    <row r="5200" hidden="1" x14ac:dyDescent="0.2"/>
    <row r="5201" hidden="1" x14ac:dyDescent="0.2"/>
    <row r="5202" hidden="1" x14ac:dyDescent="0.2"/>
    <row r="5203" hidden="1" x14ac:dyDescent="0.2"/>
    <row r="5204" hidden="1" x14ac:dyDescent="0.2"/>
    <row r="5205" hidden="1" x14ac:dyDescent="0.2"/>
    <row r="5206" hidden="1" x14ac:dyDescent="0.2"/>
    <row r="5207" hidden="1" x14ac:dyDescent="0.2"/>
    <row r="5208" hidden="1" x14ac:dyDescent="0.2"/>
    <row r="5209" hidden="1" x14ac:dyDescent="0.2"/>
    <row r="5210" hidden="1" x14ac:dyDescent="0.2"/>
    <row r="5211" hidden="1" x14ac:dyDescent="0.2"/>
    <row r="5212" hidden="1" x14ac:dyDescent="0.2"/>
    <row r="5213" hidden="1" x14ac:dyDescent="0.2"/>
    <row r="5214" hidden="1" x14ac:dyDescent="0.2"/>
    <row r="5215" hidden="1" x14ac:dyDescent="0.2"/>
    <row r="5216" hidden="1" x14ac:dyDescent="0.2"/>
    <row r="5217" hidden="1" x14ac:dyDescent="0.2"/>
    <row r="5218" hidden="1" x14ac:dyDescent="0.2"/>
    <row r="5219" hidden="1" x14ac:dyDescent="0.2"/>
    <row r="5220" hidden="1" x14ac:dyDescent="0.2"/>
    <row r="5221" hidden="1" x14ac:dyDescent="0.2"/>
    <row r="5222" hidden="1" x14ac:dyDescent="0.2"/>
    <row r="5223" hidden="1" x14ac:dyDescent="0.2"/>
    <row r="5224" hidden="1" x14ac:dyDescent="0.2"/>
    <row r="5225" hidden="1" x14ac:dyDescent="0.2"/>
    <row r="5226" hidden="1" x14ac:dyDescent="0.2"/>
    <row r="5227" hidden="1" x14ac:dyDescent="0.2"/>
    <row r="5228" hidden="1" x14ac:dyDescent="0.2"/>
    <row r="5229" hidden="1" x14ac:dyDescent="0.2"/>
    <row r="5230" hidden="1" x14ac:dyDescent="0.2"/>
    <row r="5231" hidden="1" x14ac:dyDescent="0.2"/>
    <row r="5232" hidden="1" x14ac:dyDescent="0.2"/>
    <row r="5233" hidden="1" x14ac:dyDescent="0.2"/>
    <row r="5234" hidden="1" x14ac:dyDescent="0.2"/>
    <row r="5235" hidden="1" x14ac:dyDescent="0.2"/>
    <row r="5236" hidden="1" x14ac:dyDescent="0.2"/>
    <row r="5237" hidden="1" x14ac:dyDescent="0.2"/>
    <row r="5238" hidden="1" x14ac:dyDescent="0.2"/>
    <row r="5239" hidden="1" x14ac:dyDescent="0.2"/>
    <row r="5240" hidden="1" x14ac:dyDescent="0.2"/>
    <row r="5241" hidden="1" x14ac:dyDescent="0.2"/>
    <row r="5242" hidden="1" x14ac:dyDescent="0.2"/>
    <row r="5243" hidden="1" x14ac:dyDescent="0.2"/>
    <row r="5244" hidden="1" x14ac:dyDescent="0.2"/>
    <row r="5245" hidden="1" x14ac:dyDescent="0.2"/>
    <row r="5246" hidden="1" x14ac:dyDescent="0.2"/>
    <row r="5247" hidden="1" x14ac:dyDescent="0.2"/>
    <row r="5248" hidden="1" x14ac:dyDescent="0.2"/>
    <row r="5249" hidden="1" x14ac:dyDescent="0.2"/>
    <row r="5250" hidden="1" x14ac:dyDescent="0.2"/>
    <row r="5251" hidden="1" x14ac:dyDescent="0.2"/>
    <row r="5252" hidden="1" x14ac:dyDescent="0.2"/>
    <row r="5253" hidden="1" x14ac:dyDescent="0.2"/>
    <row r="5254" hidden="1" x14ac:dyDescent="0.2"/>
    <row r="5255" hidden="1" x14ac:dyDescent="0.2"/>
    <row r="5256" hidden="1" x14ac:dyDescent="0.2"/>
    <row r="5257" hidden="1" x14ac:dyDescent="0.2"/>
    <row r="5258" hidden="1" x14ac:dyDescent="0.2"/>
    <row r="5259" hidden="1" x14ac:dyDescent="0.2"/>
    <row r="5260" hidden="1" x14ac:dyDescent="0.2"/>
    <row r="5261" hidden="1" x14ac:dyDescent="0.2"/>
    <row r="5262" hidden="1" x14ac:dyDescent="0.2"/>
    <row r="5263" hidden="1" x14ac:dyDescent="0.2"/>
    <row r="5264" hidden="1" x14ac:dyDescent="0.2"/>
    <row r="5265" hidden="1" x14ac:dyDescent="0.2"/>
    <row r="5266" hidden="1" x14ac:dyDescent="0.2"/>
    <row r="5267" hidden="1" x14ac:dyDescent="0.2"/>
    <row r="5268" hidden="1" x14ac:dyDescent="0.2"/>
    <row r="5269" hidden="1" x14ac:dyDescent="0.2"/>
    <row r="5270" hidden="1" x14ac:dyDescent="0.2"/>
    <row r="5271" hidden="1" x14ac:dyDescent="0.2"/>
    <row r="5272" hidden="1" x14ac:dyDescent="0.2"/>
    <row r="5273" hidden="1" x14ac:dyDescent="0.2"/>
    <row r="5274" hidden="1" x14ac:dyDescent="0.2"/>
    <row r="5275" hidden="1" x14ac:dyDescent="0.2"/>
    <row r="5276" hidden="1" x14ac:dyDescent="0.2"/>
    <row r="5277" hidden="1" x14ac:dyDescent="0.2"/>
    <row r="5278" hidden="1" x14ac:dyDescent="0.2"/>
    <row r="5279" hidden="1" x14ac:dyDescent="0.2"/>
    <row r="5280" hidden="1" x14ac:dyDescent="0.2"/>
    <row r="5281" hidden="1" x14ac:dyDescent="0.2"/>
    <row r="5282" hidden="1" x14ac:dyDescent="0.2"/>
    <row r="5283" hidden="1" x14ac:dyDescent="0.2"/>
    <row r="5284" hidden="1" x14ac:dyDescent="0.2"/>
    <row r="5285" hidden="1" x14ac:dyDescent="0.2"/>
    <row r="5286" hidden="1" x14ac:dyDescent="0.2"/>
    <row r="5287" hidden="1" x14ac:dyDescent="0.2"/>
    <row r="5288" hidden="1" x14ac:dyDescent="0.2"/>
    <row r="5289" hidden="1" x14ac:dyDescent="0.2"/>
    <row r="5290" hidden="1" x14ac:dyDescent="0.2"/>
    <row r="5291" hidden="1" x14ac:dyDescent="0.2"/>
    <row r="5292" hidden="1" x14ac:dyDescent="0.2"/>
    <row r="5293" hidden="1" x14ac:dyDescent="0.2"/>
    <row r="5294" hidden="1" x14ac:dyDescent="0.2"/>
    <row r="5295" hidden="1" x14ac:dyDescent="0.2"/>
    <row r="5296" hidden="1" x14ac:dyDescent="0.2"/>
    <row r="5297" hidden="1" x14ac:dyDescent="0.2"/>
    <row r="5298" hidden="1" x14ac:dyDescent="0.2"/>
    <row r="5299" hidden="1" x14ac:dyDescent="0.2"/>
    <row r="5300" hidden="1" x14ac:dyDescent="0.2"/>
    <row r="5301" hidden="1" x14ac:dyDescent="0.2"/>
    <row r="5302" hidden="1" x14ac:dyDescent="0.2"/>
    <row r="5303" hidden="1" x14ac:dyDescent="0.2"/>
    <row r="5304" hidden="1" x14ac:dyDescent="0.2"/>
    <row r="5305" hidden="1" x14ac:dyDescent="0.2"/>
    <row r="5306" hidden="1" x14ac:dyDescent="0.2"/>
    <row r="5307" hidden="1" x14ac:dyDescent="0.2"/>
    <row r="5308" hidden="1" x14ac:dyDescent="0.2"/>
    <row r="5309" hidden="1" x14ac:dyDescent="0.2"/>
    <row r="5310" hidden="1" x14ac:dyDescent="0.2"/>
    <row r="5311" hidden="1" x14ac:dyDescent="0.2"/>
    <row r="5312" hidden="1" x14ac:dyDescent="0.2"/>
    <row r="5313" hidden="1" x14ac:dyDescent="0.2"/>
    <row r="5314" hidden="1" x14ac:dyDescent="0.2"/>
    <row r="5315" hidden="1" x14ac:dyDescent="0.2"/>
    <row r="5316" hidden="1" x14ac:dyDescent="0.2"/>
    <row r="5317" hidden="1" x14ac:dyDescent="0.2"/>
    <row r="5318" hidden="1" x14ac:dyDescent="0.2"/>
    <row r="5319" hidden="1" x14ac:dyDescent="0.2"/>
    <row r="5320" hidden="1" x14ac:dyDescent="0.2"/>
    <row r="5321" hidden="1" x14ac:dyDescent="0.2"/>
    <row r="5322" hidden="1" x14ac:dyDescent="0.2"/>
    <row r="5323" hidden="1" x14ac:dyDescent="0.2"/>
    <row r="5324" hidden="1" x14ac:dyDescent="0.2"/>
    <row r="5325" hidden="1" x14ac:dyDescent="0.2"/>
    <row r="5326" hidden="1" x14ac:dyDescent="0.2"/>
    <row r="5327" hidden="1" x14ac:dyDescent="0.2"/>
    <row r="5328" hidden="1" x14ac:dyDescent="0.2"/>
    <row r="5329" hidden="1" x14ac:dyDescent="0.2"/>
    <row r="5330" hidden="1" x14ac:dyDescent="0.2"/>
    <row r="5331" hidden="1" x14ac:dyDescent="0.2"/>
    <row r="5332" hidden="1" x14ac:dyDescent="0.2"/>
    <row r="5333" hidden="1" x14ac:dyDescent="0.2"/>
    <row r="5334" hidden="1" x14ac:dyDescent="0.2"/>
    <row r="5335" hidden="1" x14ac:dyDescent="0.2"/>
    <row r="5336" hidden="1" x14ac:dyDescent="0.2"/>
    <row r="5337" hidden="1" x14ac:dyDescent="0.2"/>
    <row r="5338" hidden="1" x14ac:dyDescent="0.2"/>
    <row r="5339" hidden="1" x14ac:dyDescent="0.2"/>
    <row r="5340" hidden="1" x14ac:dyDescent="0.2"/>
    <row r="5341" hidden="1" x14ac:dyDescent="0.2"/>
    <row r="5342" hidden="1" x14ac:dyDescent="0.2"/>
    <row r="5343" hidden="1" x14ac:dyDescent="0.2"/>
    <row r="5344" hidden="1" x14ac:dyDescent="0.2"/>
    <row r="5345" hidden="1" x14ac:dyDescent="0.2"/>
    <row r="5346" hidden="1" x14ac:dyDescent="0.2"/>
    <row r="5347" hidden="1" x14ac:dyDescent="0.2"/>
    <row r="5348" hidden="1" x14ac:dyDescent="0.2"/>
    <row r="5349" hidden="1" x14ac:dyDescent="0.2"/>
    <row r="5350" hidden="1" x14ac:dyDescent="0.2"/>
    <row r="5351" hidden="1" x14ac:dyDescent="0.2"/>
    <row r="5352" hidden="1" x14ac:dyDescent="0.2"/>
    <row r="5353" hidden="1" x14ac:dyDescent="0.2"/>
    <row r="5354" hidden="1" x14ac:dyDescent="0.2"/>
    <row r="5355" hidden="1" x14ac:dyDescent="0.2"/>
    <row r="5356" hidden="1" x14ac:dyDescent="0.2"/>
    <row r="5357" hidden="1" x14ac:dyDescent="0.2"/>
    <row r="5358" hidden="1" x14ac:dyDescent="0.2"/>
    <row r="5359" hidden="1" x14ac:dyDescent="0.2"/>
    <row r="5360" hidden="1" x14ac:dyDescent="0.2"/>
    <row r="5361" hidden="1" x14ac:dyDescent="0.2"/>
    <row r="5362" hidden="1" x14ac:dyDescent="0.2"/>
    <row r="5363" hidden="1" x14ac:dyDescent="0.2"/>
    <row r="5364" hidden="1" x14ac:dyDescent="0.2"/>
    <row r="5365" hidden="1" x14ac:dyDescent="0.2"/>
    <row r="5366" hidden="1" x14ac:dyDescent="0.2"/>
    <row r="5367" hidden="1" x14ac:dyDescent="0.2"/>
    <row r="5368" hidden="1" x14ac:dyDescent="0.2"/>
    <row r="5369" hidden="1" x14ac:dyDescent="0.2"/>
    <row r="5370" hidden="1" x14ac:dyDescent="0.2"/>
    <row r="5371" hidden="1" x14ac:dyDescent="0.2"/>
    <row r="5372" hidden="1" x14ac:dyDescent="0.2"/>
    <row r="5373" hidden="1" x14ac:dyDescent="0.2"/>
    <row r="5374" hidden="1" x14ac:dyDescent="0.2"/>
    <row r="5375" hidden="1" x14ac:dyDescent="0.2"/>
    <row r="5376" hidden="1" x14ac:dyDescent="0.2"/>
    <row r="5377" hidden="1" x14ac:dyDescent="0.2"/>
    <row r="5378" hidden="1" x14ac:dyDescent="0.2"/>
    <row r="5379" hidden="1" x14ac:dyDescent="0.2"/>
    <row r="5380" hidden="1" x14ac:dyDescent="0.2"/>
    <row r="5381" hidden="1" x14ac:dyDescent="0.2"/>
    <row r="5382" hidden="1" x14ac:dyDescent="0.2"/>
    <row r="5383" hidden="1" x14ac:dyDescent="0.2"/>
    <row r="5384" hidden="1" x14ac:dyDescent="0.2"/>
    <row r="5385" hidden="1" x14ac:dyDescent="0.2"/>
    <row r="5386" hidden="1" x14ac:dyDescent="0.2"/>
    <row r="5387" hidden="1" x14ac:dyDescent="0.2"/>
    <row r="5388" hidden="1" x14ac:dyDescent="0.2"/>
    <row r="5389" hidden="1" x14ac:dyDescent="0.2"/>
    <row r="5390" hidden="1" x14ac:dyDescent="0.2"/>
    <row r="5391" hidden="1" x14ac:dyDescent="0.2"/>
    <row r="5392" hidden="1" x14ac:dyDescent="0.2"/>
    <row r="5393" hidden="1" x14ac:dyDescent="0.2"/>
    <row r="5394" hidden="1" x14ac:dyDescent="0.2"/>
    <row r="5395" hidden="1" x14ac:dyDescent="0.2"/>
    <row r="5396" hidden="1" x14ac:dyDescent="0.2"/>
    <row r="5397" hidden="1" x14ac:dyDescent="0.2"/>
    <row r="5398" hidden="1" x14ac:dyDescent="0.2"/>
    <row r="5399" hidden="1" x14ac:dyDescent="0.2"/>
    <row r="5400" hidden="1" x14ac:dyDescent="0.2"/>
    <row r="5401" hidden="1" x14ac:dyDescent="0.2"/>
    <row r="5402" hidden="1" x14ac:dyDescent="0.2"/>
    <row r="5403" hidden="1" x14ac:dyDescent="0.2"/>
    <row r="5404" hidden="1" x14ac:dyDescent="0.2"/>
    <row r="5405" hidden="1" x14ac:dyDescent="0.2"/>
    <row r="5406" hidden="1" x14ac:dyDescent="0.2"/>
    <row r="5407" hidden="1" x14ac:dyDescent="0.2"/>
    <row r="5408" hidden="1" x14ac:dyDescent="0.2"/>
    <row r="5409" hidden="1" x14ac:dyDescent="0.2"/>
    <row r="5410" hidden="1" x14ac:dyDescent="0.2"/>
    <row r="5411" hidden="1" x14ac:dyDescent="0.2"/>
    <row r="5412" hidden="1" x14ac:dyDescent="0.2"/>
    <row r="5413" hidden="1" x14ac:dyDescent="0.2"/>
    <row r="5414" hidden="1" x14ac:dyDescent="0.2"/>
    <row r="5415" hidden="1" x14ac:dyDescent="0.2"/>
    <row r="5416" hidden="1" x14ac:dyDescent="0.2"/>
    <row r="5417" hidden="1" x14ac:dyDescent="0.2"/>
    <row r="5418" hidden="1" x14ac:dyDescent="0.2"/>
    <row r="5419" hidden="1" x14ac:dyDescent="0.2"/>
    <row r="5420" hidden="1" x14ac:dyDescent="0.2"/>
    <row r="5421" hidden="1" x14ac:dyDescent="0.2"/>
    <row r="5422" hidden="1" x14ac:dyDescent="0.2"/>
    <row r="5423" hidden="1" x14ac:dyDescent="0.2"/>
    <row r="5424" hidden="1" x14ac:dyDescent="0.2"/>
    <row r="5425" hidden="1" x14ac:dyDescent="0.2"/>
    <row r="5426" hidden="1" x14ac:dyDescent="0.2"/>
    <row r="5427" hidden="1" x14ac:dyDescent="0.2"/>
    <row r="5428" hidden="1" x14ac:dyDescent="0.2"/>
    <row r="5429" hidden="1" x14ac:dyDescent="0.2"/>
    <row r="5430" hidden="1" x14ac:dyDescent="0.2"/>
    <row r="5431" hidden="1" x14ac:dyDescent="0.2"/>
    <row r="5432" hidden="1" x14ac:dyDescent="0.2"/>
    <row r="5433" hidden="1" x14ac:dyDescent="0.2"/>
    <row r="5434" hidden="1" x14ac:dyDescent="0.2"/>
    <row r="5435" hidden="1" x14ac:dyDescent="0.2"/>
    <row r="5436" hidden="1" x14ac:dyDescent="0.2"/>
    <row r="5437" hidden="1" x14ac:dyDescent="0.2"/>
    <row r="5438" hidden="1" x14ac:dyDescent="0.2"/>
    <row r="5439" hidden="1" x14ac:dyDescent="0.2"/>
    <row r="5440" hidden="1" x14ac:dyDescent="0.2"/>
    <row r="5441" hidden="1" x14ac:dyDescent="0.2"/>
    <row r="5442" hidden="1" x14ac:dyDescent="0.2"/>
    <row r="5443" hidden="1" x14ac:dyDescent="0.2"/>
    <row r="5444" hidden="1" x14ac:dyDescent="0.2"/>
    <row r="5445" hidden="1" x14ac:dyDescent="0.2"/>
    <row r="5446" hidden="1" x14ac:dyDescent="0.2"/>
    <row r="5447" hidden="1" x14ac:dyDescent="0.2"/>
    <row r="5448" hidden="1" x14ac:dyDescent="0.2"/>
    <row r="5449" hidden="1" x14ac:dyDescent="0.2"/>
    <row r="5450" hidden="1" x14ac:dyDescent="0.2"/>
    <row r="5451" hidden="1" x14ac:dyDescent="0.2"/>
    <row r="5452" hidden="1" x14ac:dyDescent="0.2"/>
    <row r="5453" hidden="1" x14ac:dyDescent="0.2"/>
    <row r="5454" hidden="1" x14ac:dyDescent="0.2"/>
    <row r="5455" hidden="1" x14ac:dyDescent="0.2"/>
    <row r="5456" hidden="1" x14ac:dyDescent="0.2"/>
    <row r="5457" hidden="1" x14ac:dyDescent="0.2"/>
    <row r="5458" hidden="1" x14ac:dyDescent="0.2"/>
    <row r="5459" hidden="1" x14ac:dyDescent="0.2"/>
    <row r="5460" hidden="1" x14ac:dyDescent="0.2"/>
    <row r="5461" hidden="1" x14ac:dyDescent="0.2"/>
    <row r="5462" hidden="1" x14ac:dyDescent="0.2"/>
    <row r="5463" hidden="1" x14ac:dyDescent="0.2"/>
    <row r="5464" hidden="1" x14ac:dyDescent="0.2"/>
    <row r="5465" hidden="1" x14ac:dyDescent="0.2"/>
    <row r="5466" hidden="1" x14ac:dyDescent="0.2"/>
    <row r="5467" hidden="1" x14ac:dyDescent="0.2"/>
    <row r="5468" hidden="1" x14ac:dyDescent="0.2"/>
    <row r="5469" hidden="1" x14ac:dyDescent="0.2"/>
    <row r="5470" hidden="1" x14ac:dyDescent="0.2"/>
    <row r="5471" hidden="1" x14ac:dyDescent="0.2"/>
    <row r="5472" hidden="1" x14ac:dyDescent="0.2"/>
    <row r="5473" hidden="1" x14ac:dyDescent="0.2"/>
    <row r="5474" hidden="1" x14ac:dyDescent="0.2"/>
    <row r="5475" hidden="1" x14ac:dyDescent="0.2"/>
    <row r="5476" hidden="1" x14ac:dyDescent="0.2"/>
    <row r="5477" hidden="1" x14ac:dyDescent="0.2"/>
    <row r="5478" hidden="1" x14ac:dyDescent="0.2"/>
    <row r="5479" hidden="1" x14ac:dyDescent="0.2"/>
    <row r="5480" hidden="1" x14ac:dyDescent="0.2"/>
    <row r="5481" hidden="1" x14ac:dyDescent="0.2"/>
    <row r="5482" hidden="1" x14ac:dyDescent="0.2"/>
    <row r="5483" hidden="1" x14ac:dyDescent="0.2"/>
    <row r="5484" hidden="1" x14ac:dyDescent="0.2"/>
    <row r="5485" hidden="1" x14ac:dyDescent="0.2"/>
    <row r="5486" hidden="1" x14ac:dyDescent="0.2"/>
    <row r="5487" hidden="1" x14ac:dyDescent="0.2"/>
    <row r="5488" hidden="1" x14ac:dyDescent="0.2"/>
    <row r="5489" hidden="1" x14ac:dyDescent="0.2"/>
    <row r="5490" hidden="1" x14ac:dyDescent="0.2"/>
    <row r="5491" hidden="1" x14ac:dyDescent="0.2"/>
    <row r="5492" hidden="1" x14ac:dyDescent="0.2"/>
    <row r="5493" hidden="1" x14ac:dyDescent="0.2"/>
    <row r="5494" hidden="1" x14ac:dyDescent="0.2"/>
    <row r="5495" hidden="1" x14ac:dyDescent="0.2"/>
    <row r="5496" hidden="1" x14ac:dyDescent="0.2"/>
    <row r="5497" hidden="1" x14ac:dyDescent="0.2"/>
    <row r="5498" hidden="1" x14ac:dyDescent="0.2"/>
    <row r="5499" hidden="1" x14ac:dyDescent="0.2"/>
    <row r="5500" hidden="1" x14ac:dyDescent="0.2"/>
    <row r="5501" hidden="1" x14ac:dyDescent="0.2"/>
    <row r="5502" hidden="1" x14ac:dyDescent="0.2"/>
    <row r="5503" hidden="1" x14ac:dyDescent="0.2"/>
    <row r="5504" hidden="1" x14ac:dyDescent="0.2"/>
    <row r="5505" hidden="1" x14ac:dyDescent="0.2"/>
    <row r="5506" hidden="1" x14ac:dyDescent="0.2"/>
    <row r="5507" hidden="1" x14ac:dyDescent="0.2"/>
    <row r="5508" hidden="1" x14ac:dyDescent="0.2"/>
    <row r="5509" hidden="1" x14ac:dyDescent="0.2"/>
    <row r="5510" hidden="1" x14ac:dyDescent="0.2"/>
    <row r="5511" hidden="1" x14ac:dyDescent="0.2"/>
    <row r="5512" hidden="1" x14ac:dyDescent="0.2"/>
    <row r="5513" hidden="1" x14ac:dyDescent="0.2"/>
    <row r="5514" hidden="1" x14ac:dyDescent="0.2"/>
    <row r="5515" hidden="1" x14ac:dyDescent="0.2"/>
    <row r="5516" hidden="1" x14ac:dyDescent="0.2"/>
    <row r="5517" hidden="1" x14ac:dyDescent="0.2"/>
    <row r="5518" hidden="1" x14ac:dyDescent="0.2"/>
    <row r="5519" hidden="1" x14ac:dyDescent="0.2"/>
    <row r="5520" hidden="1" x14ac:dyDescent="0.2"/>
    <row r="5521" hidden="1" x14ac:dyDescent="0.2"/>
    <row r="5522" hidden="1" x14ac:dyDescent="0.2"/>
    <row r="5523" hidden="1" x14ac:dyDescent="0.2"/>
    <row r="5524" hidden="1" x14ac:dyDescent="0.2"/>
    <row r="5525" hidden="1" x14ac:dyDescent="0.2"/>
    <row r="5526" hidden="1" x14ac:dyDescent="0.2"/>
    <row r="5527" hidden="1" x14ac:dyDescent="0.2"/>
    <row r="5528" hidden="1" x14ac:dyDescent="0.2"/>
    <row r="5529" hidden="1" x14ac:dyDescent="0.2"/>
    <row r="5530" hidden="1" x14ac:dyDescent="0.2"/>
    <row r="5531" hidden="1" x14ac:dyDescent="0.2"/>
    <row r="5532" hidden="1" x14ac:dyDescent="0.2"/>
    <row r="5533" hidden="1" x14ac:dyDescent="0.2"/>
    <row r="5534" hidden="1" x14ac:dyDescent="0.2"/>
    <row r="5535" hidden="1" x14ac:dyDescent="0.2"/>
    <row r="5536" hidden="1" x14ac:dyDescent="0.2"/>
    <row r="5537" hidden="1" x14ac:dyDescent="0.2"/>
    <row r="5538" hidden="1" x14ac:dyDescent="0.2"/>
    <row r="5539" hidden="1" x14ac:dyDescent="0.2"/>
    <row r="5540" hidden="1" x14ac:dyDescent="0.2"/>
    <row r="5541" hidden="1" x14ac:dyDescent="0.2"/>
    <row r="5542" hidden="1" x14ac:dyDescent="0.2"/>
    <row r="5543" hidden="1" x14ac:dyDescent="0.2"/>
    <row r="5544" hidden="1" x14ac:dyDescent="0.2"/>
    <row r="5545" hidden="1" x14ac:dyDescent="0.2"/>
    <row r="5546" hidden="1" x14ac:dyDescent="0.2"/>
    <row r="5547" hidden="1" x14ac:dyDescent="0.2"/>
    <row r="5548" hidden="1" x14ac:dyDescent="0.2"/>
    <row r="5549" hidden="1" x14ac:dyDescent="0.2"/>
    <row r="5550" hidden="1" x14ac:dyDescent="0.2"/>
    <row r="5551" hidden="1" x14ac:dyDescent="0.2"/>
    <row r="5552" hidden="1" x14ac:dyDescent="0.2"/>
    <row r="5553" hidden="1" x14ac:dyDescent="0.2"/>
    <row r="5554" hidden="1" x14ac:dyDescent="0.2"/>
    <row r="5555" hidden="1" x14ac:dyDescent="0.2"/>
    <row r="5556" hidden="1" x14ac:dyDescent="0.2"/>
    <row r="5557" hidden="1" x14ac:dyDescent="0.2"/>
    <row r="5558" hidden="1" x14ac:dyDescent="0.2"/>
    <row r="5559" hidden="1" x14ac:dyDescent="0.2"/>
    <row r="5560" hidden="1" x14ac:dyDescent="0.2"/>
    <row r="5561" hidden="1" x14ac:dyDescent="0.2"/>
    <row r="5562" hidden="1" x14ac:dyDescent="0.2"/>
    <row r="5563" hidden="1" x14ac:dyDescent="0.2"/>
    <row r="5564" hidden="1" x14ac:dyDescent="0.2"/>
    <row r="5565" hidden="1" x14ac:dyDescent="0.2"/>
    <row r="5566" hidden="1" x14ac:dyDescent="0.2"/>
    <row r="5567" hidden="1" x14ac:dyDescent="0.2"/>
    <row r="5568" hidden="1" x14ac:dyDescent="0.2"/>
    <row r="5569" hidden="1" x14ac:dyDescent="0.2"/>
    <row r="5570" hidden="1" x14ac:dyDescent="0.2"/>
    <row r="5571" hidden="1" x14ac:dyDescent="0.2"/>
    <row r="5572" hidden="1" x14ac:dyDescent="0.2"/>
    <row r="5573" hidden="1" x14ac:dyDescent="0.2"/>
    <row r="5574" hidden="1" x14ac:dyDescent="0.2"/>
    <row r="5575" hidden="1" x14ac:dyDescent="0.2"/>
    <row r="5576" hidden="1" x14ac:dyDescent="0.2"/>
    <row r="5577" hidden="1" x14ac:dyDescent="0.2"/>
    <row r="5578" hidden="1" x14ac:dyDescent="0.2"/>
    <row r="5579" hidden="1" x14ac:dyDescent="0.2"/>
    <row r="5580" hidden="1" x14ac:dyDescent="0.2"/>
    <row r="5581" hidden="1" x14ac:dyDescent="0.2"/>
    <row r="5582" hidden="1" x14ac:dyDescent="0.2"/>
    <row r="5583" hidden="1" x14ac:dyDescent="0.2"/>
    <row r="5584" hidden="1" x14ac:dyDescent="0.2"/>
    <row r="5585" hidden="1" x14ac:dyDescent="0.2"/>
    <row r="5586" hidden="1" x14ac:dyDescent="0.2"/>
    <row r="5587" hidden="1" x14ac:dyDescent="0.2"/>
    <row r="5588" hidden="1" x14ac:dyDescent="0.2"/>
    <row r="5589" hidden="1" x14ac:dyDescent="0.2"/>
    <row r="5590" hidden="1" x14ac:dyDescent="0.2"/>
    <row r="5591" hidden="1" x14ac:dyDescent="0.2"/>
    <row r="5592" hidden="1" x14ac:dyDescent="0.2"/>
    <row r="5593" hidden="1" x14ac:dyDescent="0.2"/>
    <row r="5594" hidden="1" x14ac:dyDescent="0.2"/>
    <row r="5595" hidden="1" x14ac:dyDescent="0.2"/>
    <row r="5596" hidden="1" x14ac:dyDescent="0.2"/>
    <row r="5597" hidden="1" x14ac:dyDescent="0.2"/>
    <row r="5598" hidden="1" x14ac:dyDescent="0.2"/>
    <row r="5599" hidden="1" x14ac:dyDescent="0.2"/>
    <row r="5600" hidden="1" x14ac:dyDescent="0.2"/>
    <row r="5601" hidden="1" x14ac:dyDescent="0.2"/>
    <row r="5602" hidden="1" x14ac:dyDescent="0.2"/>
    <row r="5603" hidden="1" x14ac:dyDescent="0.2"/>
    <row r="5604" hidden="1" x14ac:dyDescent="0.2"/>
    <row r="5605" hidden="1" x14ac:dyDescent="0.2"/>
    <row r="5606" hidden="1" x14ac:dyDescent="0.2"/>
    <row r="5607" hidden="1" x14ac:dyDescent="0.2"/>
    <row r="5608" hidden="1" x14ac:dyDescent="0.2"/>
    <row r="5609" hidden="1" x14ac:dyDescent="0.2"/>
    <row r="5610" hidden="1" x14ac:dyDescent="0.2"/>
    <row r="5611" hidden="1" x14ac:dyDescent="0.2"/>
    <row r="5612" hidden="1" x14ac:dyDescent="0.2"/>
    <row r="5613" hidden="1" x14ac:dyDescent="0.2"/>
    <row r="5614" hidden="1" x14ac:dyDescent="0.2"/>
    <row r="5615" hidden="1" x14ac:dyDescent="0.2"/>
    <row r="5616" hidden="1" x14ac:dyDescent="0.2"/>
    <row r="5617" hidden="1" x14ac:dyDescent="0.2"/>
    <row r="5618" hidden="1" x14ac:dyDescent="0.2"/>
    <row r="5619" hidden="1" x14ac:dyDescent="0.2"/>
    <row r="5620" hidden="1" x14ac:dyDescent="0.2"/>
    <row r="5621" hidden="1" x14ac:dyDescent="0.2"/>
    <row r="5622" hidden="1" x14ac:dyDescent="0.2"/>
    <row r="5623" hidden="1" x14ac:dyDescent="0.2"/>
    <row r="5624" hidden="1" x14ac:dyDescent="0.2"/>
    <row r="5625" hidden="1" x14ac:dyDescent="0.2"/>
    <row r="5626" hidden="1" x14ac:dyDescent="0.2"/>
    <row r="5627" hidden="1" x14ac:dyDescent="0.2"/>
    <row r="5628" hidden="1" x14ac:dyDescent="0.2"/>
    <row r="5629" hidden="1" x14ac:dyDescent="0.2"/>
    <row r="5630" hidden="1" x14ac:dyDescent="0.2"/>
    <row r="5631" hidden="1" x14ac:dyDescent="0.2"/>
    <row r="5632" hidden="1" x14ac:dyDescent="0.2"/>
    <row r="5633" hidden="1" x14ac:dyDescent="0.2"/>
    <row r="5634" hidden="1" x14ac:dyDescent="0.2"/>
    <row r="5635" hidden="1" x14ac:dyDescent="0.2"/>
    <row r="5636" hidden="1" x14ac:dyDescent="0.2"/>
    <row r="5637" hidden="1" x14ac:dyDescent="0.2"/>
    <row r="5638" hidden="1" x14ac:dyDescent="0.2"/>
    <row r="5639" hidden="1" x14ac:dyDescent="0.2"/>
    <row r="5640" hidden="1" x14ac:dyDescent="0.2"/>
    <row r="5641" hidden="1" x14ac:dyDescent="0.2"/>
    <row r="5642" hidden="1" x14ac:dyDescent="0.2"/>
    <row r="5643" hidden="1" x14ac:dyDescent="0.2"/>
    <row r="5644" hidden="1" x14ac:dyDescent="0.2"/>
    <row r="5645" hidden="1" x14ac:dyDescent="0.2"/>
    <row r="5646" hidden="1" x14ac:dyDescent="0.2"/>
    <row r="5647" hidden="1" x14ac:dyDescent="0.2"/>
    <row r="5648" hidden="1" x14ac:dyDescent="0.2"/>
    <row r="5649" hidden="1" x14ac:dyDescent="0.2"/>
    <row r="5650" hidden="1" x14ac:dyDescent="0.2"/>
    <row r="5651" hidden="1" x14ac:dyDescent="0.2"/>
    <row r="5652" hidden="1" x14ac:dyDescent="0.2"/>
    <row r="5653" hidden="1" x14ac:dyDescent="0.2"/>
    <row r="5654" hidden="1" x14ac:dyDescent="0.2"/>
    <row r="5655" hidden="1" x14ac:dyDescent="0.2"/>
    <row r="5656" hidden="1" x14ac:dyDescent="0.2"/>
    <row r="5657" hidden="1" x14ac:dyDescent="0.2"/>
    <row r="5658" hidden="1" x14ac:dyDescent="0.2"/>
    <row r="5659" hidden="1" x14ac:dyDescent="0.2"/>
    <row r="5660" hidden="1" x14ac:dyDescent="0.2"/>
    <row r="5661" hidden="1" x14ac:dyDescent="0.2"/>
    <row r="5662" hidden="1" x14ac:dyDescent="0.2"/>
    <row r="5663" hidden="1" x14ac:dyDescent="0.2"/>
    <row r="5664" hidden="1" x14ac:dyDescent="0.2"/>
    <row r="5665" hidden="1" x14ac:dyDescent="0.2"/>
    <row r="5666" hidden="1" x14ac:dyDescent="0.2"/>
    <row r="5667" hidden="1" x14ac:dyDescent="0.2"/>
    <row r="5668" hidden="1" x14ac:dyDescent="0.2"/>
    <row r="5669" hidden="1" x14ac:dyDescent="0.2"/>
    <row r="5670" hidden="1" x14ac:dyDescent="0.2"/>
    <row r="5671" hidden="1" x14ac:dyDescent="0.2"/>
    <row r="5672" hidden="1" x14ac:dyDescent="0.2"/>
    <row r="5673" hidden="1" x14ac:dyDescent="0.2"/>
    <row r="5674" hidden="1" x14ac:dyDescent="0.2"/>
    <row r="5675" hidden="1" x14ac:dyDescent="0.2"/>
    <row r="5676" hidden="1" x14ac:dyDescent="0.2"/>
    <row r="5677" hidden="1" x14ac:dyDescent="0.2"/>
    <row r="5678" hidden="1" x14ac:dyDescent="0.2"/>
    <row r="5679" hidden="1" x14ac:dyDescent="0.2"/>
    <row r="5680" hidden="1" x14ac:dyDescent="0.2"/>
    <row r="5681" hidden="1" x14ac:dyDescent="0.2"/>
    <row r="5682" hidden="1" x14ac:dyDescent="0.2"/>
    <row r="5683" hidden="1" x14ac:dyDescent="0.2"/>
    <row r="5684" hidden="1" x14ac:dyDescent="0.2"/>
    <row r="5685" hidden="1" x14ac:dyDescent="0.2"/>
    <row r="5686" hidden="1" x14ac:dyDescent="0.2"/>
    <row r="5687" hidden="1" x14ac:dyDescent="0.2"/>
    <row r="5688" hidden="1" x14ac:dyDescent="0.2"/>
    <row r="5689" hidden="1" x14ac:dyDescent="0.2"/>
    <row r="5690" hidden="1" x14ac:dyDescent="0.2"/>
    <row r="5691" hidden="1" x14ac:dyDescent="0.2"/>
    <row r="5692" hidden="1" x14ac:dyDescent="0.2"/>
    <row r="5693" hidden="1" x14ac:dyDescent="0.2"/>
    <row r="5694" hidden="1" x14ac:dyDescent="0.2"/>
    <row r="5695" hidden="1" x14ac:dyDescent="0.2"/>
    <row r="5696" hidden="1" x14ac:dyDescent="0.2"/>
    <row r="5697" hidden="1" x14ac:dyDescent="0.2"/>
    <row r="5698" hidden="1" x14ac:dyDescent="0.2"/>
    <row r="5699" hidden="1" x14ac:dyDescent="0.2"/>
    <row r="5700" hidden="1" x14ac:dyDescent="0.2"/>
    <row r="5701" hidden="1" x14ac:dyDescent="0.2"/>
    <row r="5702" hidden="1" x14ac:dyDescent="0.2"/>
    <row r="5703" hidden="1" x14ac:dyDescent="0.2"/>
    <row r="5704" hidden="1" x14ac:dyDescent="0.2"/>
    <row r="5705" hidden="1" x14ac:dyDescent="0.2"/>
    <row r="5706" hidden="1" x14ac:dyDescent="0.2"/>
    <row r="5707" hidden="1" x14ac:dyDescent="0.2"/>
    <row r="5708" hidden="1" x14ac:dyDescent="0.2"/>
    <row r="5709" hidden="1" x14ac:dyDescent="0.2"/>
    <row r="5710" hidden="1" x14ac:dyDescent="0.2"/>
    <row r="5711" hidden="1" x14ac:dyDescent="0.2"/>
    <row r="5712" hidden="1" x14ac:dyDescent="0.2"/>
    <row r="5713" hidden="1" x14ac:dyDescent="0.2"/>
    <row r="5714" hidden="1" x14ac:dyDescent="0.2"/>
    <row r="5715" hidden="1" x14ac:dyDescent="0.2"/>
    <row r="5716" hidden="1" x14ac:dyDescent="0.2"/>
    <row r="5717" hidden="1" x14ac:dyDescent="0.2"/>
    <row r="5718" hidden="1" x14ac:dyDescent="0.2"/>
    <row r="5719" hidden="1" x14ac:dyDescent="0.2"/>
    <row r="5720" hidden="1" x14ac:dyDescent="0.2"/>
    <row r="5721" hidden="1" x14ac:dyDescent="0.2"/>
    <row r="5722" hidden="1" x14ac:dyDescent="0.2"/>
    <row r="5723" hidden="1" x14ac:dyDescent="0.2"/>
    <row r="5724" hidden="1" x14ac:dyDescent="0.2"/>
    <row r="5725" hidden="1" x14ac:dyDescent="0.2"/>
    <row r="5726" hidden="1" x14ac:dyDescent="0.2"/>
    <row r="5727" hidden="1" x14ac:dyDescent="0.2"/>
    <row r="5728" hidden="1" x14ac:dyDescent="0.2"/>
    <row r="5729" hidden="1" x14ac:dyDescent="0.2"/>
    <row r="5730" hidden="1" x14ac:dyDescent="0.2"/>
    <row r="5731" hidden="1" x14ac:dyDescent="0.2"/>
    <row r="5732" hidden="1" x14ac:dyDescent="0.2"/>
    <row r="5733" hidden="1" x14ac:dyDescent="0.2"/>
    <row r="5734" hidden="1" x14ac:dyDescent="0.2"/>
    <row r="5735" hidden="1" x14ac:dyDescent="0.2"/>
    <row r="5736" hidden="1" x14ac:dyDescent="0.2"/>
    <row r="5737" hidden="1" x14ac:dyDescent="0.2"/>
    <row r="5738" hidden="1" x14ac:dyDescent="0.2"/>
    <row r="5739" hidden="1" x14ac:dyDescent="0.2"/>
    <row r="5740" hidden="1" x14ac:dyDescent="0.2"/>
    <row r="5741" hidden="1" x14ac:dyDescent="0.2"/>
    <row r="5742" hidden="1" x14ac:dyDescent="0.2"/>
    <row r="5743" hidden="1" x14ac:dyDescent="0.2"/>
    <row r="5744" hidden="1" x14ac:dyDescent="0.2"/>
    <row r="5745" hidden="1" x14ac:dyDescent="0.2"/>
    <row r="5746" hidden="1" x14ac:dyDescent="0.2"/>
    <row r="5747" hidden="1" x14ac:dyDescent="0.2"/>
    <row r="5748" hidden="1" x14ac:dyDescent="0.2"/>
    <row r="5749" hidden="1" x14ac:dyDescent="0.2"/>
    <row r="5750" hidden="1" x14ac:dyDescent="0.2"/>
    <row r="5751" hidden="1" x14ac:dyDescent="0.2"/>
    <row r="5752" hidden="1" x14ac:dyDescent="0.2"/>
    <row r="5753" hidden="1" x14ac:dyDescent="0.2"/>
    <row r="5754" hidden="1" x14ac:dyDescent="0.2"/>
    <row r="5755" hidden="1" x14ac:dyDescent="0.2"/>
    <row r="5756" hidden="1" x14ac:dyDescent="0.2"/>
    <row r="5757" hidden="1" x14ac:dyDescent="0.2"/>
    <row r="5758" hidden="1" x14ac:dyDescent="0.2"/>
    <row r="5759" hidden="1" x14ac:dyDescent="0.2"/>
    <row r="5760" hidden="1" x14ac:dyDescent="0.2"/>
    <row r="5761" hidden="1" x14ac:dyDescent="0.2"/>
    <row r="5762" hidden="1" x14ac:dyDescent="0.2"/>
    <row r="5763" hidden="1" x14ac:dyDescent="0.2"/>
    <row r="5764" hidden="1" x14ac:dyDescent="0.2"/>
    <row r="5765" hidden="1" x14ac:dyDescent="0.2"/>
    <row r="5766" hidden="1" x14ac:dyDescent="0.2"/>
    <row r="5767" hidden="1" x14ac:dyDescent="0.2"/>
    <row r="5768" hidden="1" x14ac:dyDescent="0.2"/>
    <row r="5769" hidden="1" x14ac:dyDescent="0.2"/>
    <row r="5770" hidden="1" x14ac:dyDescent="0.2"/>
    <row r="5771" hidden="1" x14ac:dyDescent="0.2"/>
    <row r="5772" hidden="1" x14ac:dyDescent="0.2"/>
    <row r="5773" hidden="1" x14ac:dyDescent="0.2"/>
    <row r="5774" hidden="1" x14ac:dyDescent="0.2"/>
    <row r="5775" hidden="1" x14ac:dyDescent="0.2"/>
    <row r="5776" hidden="1" x14ac:dyDescent="0.2"/>
    <row r="5777" hidden="1" x14ac:dyDescent="0.2"/>
    <row r="5778" hidden="1" x14ac:dyDescent="0.2"/>
    <row r="5779" hidden="1" x14ac:dyDescent="0.2"/>
    <row r="5780" hidden="1" x14ac:dyDescent="0.2"/>
    <row r="5781" hidden="1" x14ac:dyDescent="0.2"/>
    <row r="5782" hidden="1" x14ac:dyDescent="0.2"/>
    <row r="5783" hidden="1" x14ac:dyDescent="0.2"/>
    <row r="5784" hidden="1" x14ac:dyDescent="0.2"/>
    <row r="5785" hidden="1" x14ac:dyDescent="0.2"/>
    <row r="5786" hidden="1" x14ac:dyDescent="0.2"/>
    <row r="5787" hidden="1" x14ac:dyDescent="0.2"/>
    <row r="5788" hidden="1" x14ac:dyDescent="0.2"/>
    <row r="5789" hidden="1" x14ac:dyDescent="0.2"/>
    <row r="5790" hidden="1" x14ac:dyDescent="0.2"/>
    <row r="5791" hidden="1" x14ac:dyDescent="0.2"/>
    <row r="5792" hidden="1" x14ac:dyDescent="0.2"/>
    <row r="5793" hidden="1" x14ac:dyDescent="0.2"/>
    <row r="5794" hidden="1" x14ac:dyDescent="0.2"/>
    <row r="5795" hidden="1" x14ac:dyDescent="0.2"/>
    <row r="5796" hidden="1" x14ac:dyDescent="0.2"/>
    <row r="5797" hidden="1" x14ac:dyDescent="0.2"/>
    <row r="5798" hidden="1" x14ac:dyDescent="0.2"/>
    <row r="5799" hidden="1" x14ac:dyDescent="0.2"/>
    <row r="5800" hidden="1" x14ac:dyDescent="0.2"/>
    <row r="5801" hidden="1" x14ac:dyDescent="0.2"/>
    <row r="5802" hidden="1" x14ac:dyDescent="0.2"/>
    <row r="5803" hidden="1" x14ac:dyDescent="0.2"/>
    <row r="5804" hidden="1" x14ac:dyDescent="0.2"/>
    <row r="5805" hidden="1" x14ac:dyDescent="0.2"/>
    <row r="5806" hidden="1" x14ac:dyDescent="0.2"/>
    <row r="5807" hidden="1" x14ac:dyDescent="0.2"/>
    <row r="5808" hidden="1" x14ac:dyDescent="0.2"/>
    <row r="5809" hidden="1" x14ac:dyDescent="0.2"/>
    <row r="5810" hidden="1" x14ac:dyDescent="0.2"/>
    <row r="5811" hidden="1" x14ac:dyDescent="0.2"/>
    <row r="5812" hidden="1" x14ac:dyDescent="0.2"/>
    <row r="5813" hidden="1" x14ac:dyDescent="0.2"/>
    <row r="5814" hidden="1" x14ac:dyDescent="0.2"/>
    <row r="5815" hidden="1" x14ac:dyDescent="0.2"/>
    <row r="5816" hidden="1" x14ac:dyDescent="0.2"/>
    <row r="5817" hidden="1" x14ac:dyDescent="0.2"/>
    <row r="5818" hidden="1" x14ac:dyDescent="0.2"/>
    <row r="5819" hidden="1" x14ac:dyDescent="0.2"/>
    <row r="5820" hidden="1" x14ac:dyDescent="0.2"/>
    <row r="5821" hidden="1" x14ac:dyDescent="0.2"/>
    <row r="5822" hidden="1" x14ac:dyDescent="0.2"/>
    <row r="5823" hidden="1" x14ac:dyDescent="0.2"/>
    <row r="5824" hidden="1" x14ac:dyDescent="0.2"/>
    <row r="5825" hidden="1" x14ac:dyDescent="0.2"/>
    <row r="5826" hidden="1" x14ac:dyDescent="0.2"/>
    <row r="5827" hidden="1" x14ac:dyDescent="0.2"/>
    <row r="5828" hidden="1" x14ac:dyDescent="0.2"/>
    <row r="5829" hidden="1" x14ac:dyDescent="0.2"/>
    <row r="5830" hidden="1" x14ac:dyDescent="0.2"/>
    <row r="5831" hidden="1" x14ac:dyDescent="0.2"/>
    <row r="5832" hidden="1" x14ac:dyDescent="0.2"/>
    <row r="5833" hidden="1" x14ac:dyDescent="0.2"/>
    <row r="5834" hidden="1" x14ac:dyDescent="0.2"/>
    <row r="5835" hidden="1" x14ac:dyDescent="0.2"/>
    <row r="5836" hidden="1" x14ac:dyDescent="0.2"/>
    <row r="5837" hidden="1" x14ac:dyDescent="0.2"/>
    <row r="5838" hidden="1" x14ac:dyDescent="0.2"/>
    <row r="5839" hidden="1" x14ac:dyDescent="0.2"/>
    <row r="5840" hidden="1" x14ac:dyDescent="0.2"/>
    <row r="5841" hidden="1" x14ac:dyDescent="0.2"/>
    <row r="5842" hidden="1" x14ac:dyDescent="0.2"/>
    <row r="5843" hidden="1" x14ac:dyDescent="0.2"/>
    <row r="5844" hidden="1" x14ac:dyDescent="0.2"/>
    <row r="5845" hidden="1" x14ac:dyDescent="0.2"/>
    <row r="5846" hidden="1" x14ac:dyDescent="0.2"/>
    <row r="5847" hidden="1" x14ac:dyDescent="0.2"/>
    <row r="5848" hidden="1" x14ac:dyDescent="0.2"/>
    <row r="5849" hidden="1" x14ac:dyDescent="0.2"/>
    <row r="5850" hidden="1" x14ac:dyDescent="0.2"/>
    <row r="5851" hidden="1" x14ac:dyDescent="0.2"/>
    <row r="5852" hidden="1" x14ac:dyDescent="0.2"/>
    <row r="5853" hidden="1" x14ac:dyDescent="0.2"/>
    <row r="5854" hidden="1" x14ac:dyDescent="0.2"/>
    <row r="5855" hidden="1" x14ac:dyDescent="0.2"/>
    <row r="5856" hidden="1" x14ac:dyDescent="0.2"/>
    <row r="5857" hidden="1" x14ac:dyDescent="0.2"/>
    <row r="5858" hidden="1" x14ac:dyDescent="0.2"/>
    <row r="5859" hidden="1" x14ac:dyDescent="0.2"/>
    <row r="5860" hidden="1" x14ac:dyDescent="0.2"/>
    <row r="5861" hidden="1" x14ac:dyDescent="0.2"/>
    <row r="5862" hidden="1" x14ac:dyDescent="0.2"/>
    <row r="5863" hidden="1" x14ac:dyDescent="0.2"/>
    <row r="5864" hidden="1" x14ac:dyDescent="0.2"/>
    <row r="5865" hidden="1" x14ac:dyDescent="0.2"/>
    <row r="5866" hidden="1" x14ac:dyDescent="0.2"/>
    <row r="5867" hidden="1" x14ac:dyDescent="0.2"/>
    <row r="5868" hidden="1" x14ac:dyDescent="0.2"/>
    <row r="5869" hidden="1" x14ac:dyDescent="0.2"/>
    <row r="5870" hidden="1" x14ac:dyDescent="0.2"/>
    <row r="5871" hidden="1" x14ac:dyDescent="0.2"/>
    <row r="5872" hidden="1" x14ac:dyDescent="0.2"/>
    <row r="5873" hidden="1" x14ac:dyDescent="0.2"/>
    <row r="5874" hidden="1" x14ac:dyDescent="0.2"/>
    <row r="5875" hidden="1" x14ac:dyDescent="0.2"/>
    <row r="5876" hidden="1" x14ac:dyDescent="0.2"/>
    <row r="5877" hidden="1" x14ac:dyDescent="0.2"/>
    <row r="5878" hidden="1" x14ac:dyDescent="0.2"/>
    <row r="5879" hidden="1" x14ac:dyDescent="0.2"/>
    <row r="5880" hidden="1" x14ac:dyDescent="0.2"/>
    <row r="5881" hidden="1" x14ac:dyDescent="0.2"/>
    <row r="5882" hidden="1" x14ac:dyDescent="0.2"/>
    <row r="5883" hidden="1" x14ac:dyDescent="0.2"/>
    <row r="5884" hidden="1" x14ac:dyDescent="0.2"/>
    <row r="5885" hidden="1" x14ac:dyDescent="0.2"/>
    <row r="5886" hidden="1" x14ac:dyDescent="0.2"/>
    <row r="5887" hidden="1" x14ac:dyDescent="0.2"/>
    <row r="5888" hidden="1" x14ac:dyDescent="0.2"/>
    <row r="5889" hidden="1" x14ac:dyDescent="0.2"/>
    <row r="5890" hidden="1" x14ac:dyDescent="0.2"/>
    <row r="5891" hidden="1" x14ac:dyDescent="0.2"/>
    <row r="5892" hidden="1" x14ac:dyDescent="0.2"/>
    <row r="5893" hidden="1" x14ac:dyDescent="0.2"/>
    <row r="5894" hidden="1" x14ac:dyDescent="0.2"/>
    <row r="5895" hidden="1" x14ac:dyDescent="0.2"/>
    <row r="5896" hidden="1" x14ac:dyDescent="0.2"/>
    <row r="5897" hidden="1" x14ac:dyDescent="0.2"/>
    <row r="5898" hidden="1" x14ac:dyDescent="0.2"/>
    <row r="5899" hidden="1" x14ac:dyDescent="0.2"/>
    <row r="5900" hidden="1" x14ac:dyDescent="0.2"/>
    <row r="5901" hidden="1" x14ac:dyDescent="0.2"/>
    <row r="5902" hidden="1" x14ac:dyDescent="0.2"/>
    <row r="5903" hidden="1" x14ac:dyDescent="0.2"/>
    <row r="5904" hidden="1" x14ac:dyDescent="0.2"/>
    <row r="5905" hidden="1" x14ac:dyDescent="0.2"/>
    <row r="5906" hidden="1" x14ac:dyDescent="0.2"/>
    <row r="5907" hidden="1" x14ac:dyDescent="0.2"/>
    <row r="5908" hidden="1" x14ac:dyDescent="0.2"/>
    <row r="5909" hidden="1" x14ac:dyDescent="0.2"/>
    <row r="5910" hidden="1" x14ac:dyDescent="0.2"/>
    <row r="5911" hidden="1" x14ac:dyDescent="0.2"/>
    <row r="5912" hidden="1" x14ac:dyDescent="0.2"/>
    <row r="5913" hidden="1" x14ac:dyDescent="0.2"/>
    <row r="5914" hidden="1" x14ac:dyDescent="0.2"/>
    <row r="5915" hidden="1" x14ac:dyDescent="0.2"/>
    <row r="5916" hidden="1" x14ac:dyDescent="0.2"/>
    <row r="5917" hidden="1" x14ac:dyDescent="0.2"/>
    <row r="5918" hidden="1" x14ac:dyDescent="0.2"/>
    <row r="5919" hidden="1" x14ac:dyDescent="0.2"/>
    <row r="5920" hidden="1" x14ac:dyDescent="0.2"/>
    <row r="5921" hidden="1" x14ac:dyDescent="0.2"/>
    <row r="5922" hidden="1" x14ac:dyDescent="0.2"/>
    <row r="5923" hidden="1" x14ac:dyDescent="0.2"/>
    <row r="5924" hidden="1" x14ac:dyDescent="0.2"/>
    <row r="5925" hidden="1" x14ac:dyDescent="0.2"/>
    <row r="5926" hidden="1" x14ac:dyDescent="0.2"/>
    <row r="5927" hidden="1" x14ac:dyDescent="0.2"/>
    <row r="5928" hidden="1" x14ac:dyDescent="0.2"/>
    <row r="5929" hidden="1" x14ac:dyDescent="0.2"/>
    <row r="5930" hidden="1" x14ac:dyDescent="0.2"/>
    <row r="5931" hidden="1" x14ac:dyDescent="0.2"/>
    <row r="5932" hidden="1" x14ac:dyDescent="0.2"/>
    <row r="5933" hidden="1" x14ac:dyDescent="0.2"/>
    <row r="5934" hidden="1" x14ac:dyDescent="0.2"/>
    <row r="5935" hidden="1" x14ac:dyDescent="0.2"/>
    <row r="5936" hidden="1" x14ac:dyDescent="0.2"/>
    <row r="5937" hidden="1" x14ac:dyDescent="0.2"/>
    <row r="5938" hidden="1" x14ac:dyDescent="0.2"/>
    <row r="5939" hidden="1" x14ac:dyDescent="0.2"/>
    <row r="5940" hidden="1" x14ac:dyDescent="0.2"/>
    <row r="5941" hidden="1" x14ac:dyDescent="0.2"/>
    <row r="5942" hidden="1" x14ac:dyDescent="0.2"/>
    <row r="5943" hidden="1" x14ac:dyDescent="0.2"/>
    <row r="5944" hidden="1" x14ac:dyDescent="0.2"/>
    <row r="5945" hidden="1" x14ac:dyDescent="0.2"/>
    <row r="5946" hidden="1" x14ac:dyDescent="0.2"/>
    <row r="5947" hidden="1" x14ac:dyDescent="0.2"/>
    <row r="5948" hidden="1" x14ac:dyDescent="0.2"/>
    <row r="5949" hidden="1" x14ac:dyDescent="0.2"/>
    <row r="5950" hidden="1" x14ac:dyDescent="0.2"/>
    <row r="5951" hidden="1" x14ac:dyDescent="0.2"/>
    <row r="5952" hidden="1" x14ac:dyDescent="0.2"/>
    <row r="5953" hidden="1" x14ac:dyDescent="0.2"/>
    <row r="5954" hidden="1" x14ac:dyDescent="0.2"/>
    <row r="5955" hidden="1" x14ac:dyDescent="0.2"/>
    <row r="5956" hidden="1" x14ac:dyDescent="0.2"/>
    <row r="5957" hidden="1" x14ac:dyDescent="0.2"/>
    <row r="5958" hidden="1" x14ac:dyDescent="0.2"/>
    <row r="5959" hidden="1" x14ac:dyDescent="0.2"/>
    <row r="5960" hidden="1" x14ac:dyDescent="0.2"/>
    <row r="5961" hidden="1" x14ac:dyDescent="0.2"/>
    <row r="5962" hidden="1" x14ac:dyDescent="0.2"/>
    <row r="5963" hidden="1" x14ac:dyDescent="0.2"/>
    <row r="5964" hidden="1" x14ac:dyDescent="0.2"/>
    <row r="5965" hidden="1" x14ac:dyDescent="0.2"/>
    <row r="5966" hidden="1" x14ac:dyDescent="0.2"/>
    <row r="5967" hidden="1" x14ac:dyDescent="0.2"/>
    <row r="5968" hidden="1" x14ac:dyDescent="0.2"/>
    <row r="5969" hidden="1" x14ac:dyDescent="0.2"/>
    <row r="5970" hidden="1" x14ac:dyDescent="0.2"/>
    <row r="5971" hidden="1" x14ac:dyDescent="0.2"/>
    <row r="5972" hidden="1" x14ac:dyDescent="0.2"/>
    <row r="5973" hidden="1" x14ac:dyDescent="0.2"/>
    <row r="5974" hidden="1" x14ac:dyDescent="0.2"/>
    <row r="5975" hidden="1" x14ac:dyDescent="0.2"/>
    <row r="5976" hidden="1" x14ac:dyDescent="0.2"/>
    <row r="5977" hidden="1" x14ac:dyDescent="0.2"/>
    <row r="5978" hidden="1" x14ac:dyDescent="0.2"/>
    <row r="5979" hidden="1" x14ac:dyDescent="0.2"/>
    <row r="5980" hidden="1" x14ac:dyDescent="0.2"/>
    <row r="5981" hidden="1" x14ac:dyDescent="0.2"/>
    <row r="5982" hidden="1" x14ac:dyDescent="0.2"/>
    <row r="5983" hidden="1" x14ac:dyDescent="0.2"/>
    <row r="5984" hidden="1" x14ac:dyDescent="0.2"/>
    <row r="5985" hidden="1" x14ac:dyDescent="0.2"/>
    <row r="5986" hidden="1" x14ac:dyDescent="0.2"/>
    <row r="5987" hidden="1" x14ac:dyDescent="0.2"/>
    <row r="5988" hidden="1" x14ac:dyDescent="0.2"/>
    <row r="5989" hidden="1" x14ac:dyDescent="0.2"/>
    <row r="5990" hidden="1" x14ac:dyDescent="0.2"/>
    <row r="5991" hidden="1" x14ac:dyDescent="0.2"/>
    <row r="5992" hidden="1" x14ac:dyDescent="0.2"/>
    <row r="5993" hidden="1" x14ac:dyDescent="0.2"/>
    <row r="5994" hidden="1" x14ac:dyDescent="0.2"/>
    <row r="5995" hidden="1" x14ac:dyDescent="0.2"/>
    <row r="5996" hidden="1" x14ac:dyDescent="0.2"/>
    <row r="5997" hidden="1" x14ac:dyDescent="0.2"/>
    <row r="5998" hidden="1" x14ac:dyDescent="0.2"/>
    <row r="5999" hidden="1" x14ac:dyDescent="0.2"/>
    <row r="6000" hidden="1" x14ac:dyDescent="0.2"/>
    <row r="6001" hidden="1" x14ac:dyDescent="0.2"/>
    <row r="6002" hidden="1" x14ac:dyDescent="0.2"/>
    <row r="6003" hidden="1" x14ac:dyDescent="0.2"/>
    <row r="6004" hidden="1" x14ac:dyDescent="0.2"/>
    <row r="6005" hidden="1" x14ac:dyDescent="0.2"/>
    <row r="6006" hidden="1" x14ac:dyDescent="0.2"/>
    <row r="6007" hidden="1" x14ac:dyDescent="0.2"/>
    <row r="6008" hidden="1" x14ac:dyDescent="0.2"/>
    <row r="6009" hidden="1" x14ac:dyDescent="0.2"/>
    <row r="6010" hidden="1" x14ac:dyDescent="0.2"/>
    <row r="6011" hidden="1" x14ac:dyDescent="0.2"/>
    <row r="6012" hidden="1" x14ac:dyDescent="0.2"/>
    <row r="6013" hidden="1" x14ac:dyDescent="0.2"/>
    <row r="6014" hidden="1" x14ac:dyDescent="0.2"/>
    <row r="6015" hidden="1" x14ac:dyDescent="0.2"/>
    <row r="6016" hidden="1" x14ac:dyDescent="0.2"/>
    <row r="6017" hidden="1" x14ac:dyDescent="0.2"/>
    <row r="6018" hidden="1" x14ac:dyDescent="0.2"/>
    <row r="6019" hidden="1" x14ac:dyDescent="0.2"/>
    <row r="6020" hidden="1" x14ac:dyDescent="0.2"/>
    <row r="6021" hidden="1" x14ac:dyDescent="0.2"/>
    <row r="6022" hidden="1" x14ac:dyDescent="0.2"/>
    <row r="6023" hidden="1" x14ac:dyDescent="0.2"/>
    <row r="6024" hidden="1" x14ac:dyDescent="0.2"/>
    <row r="6025" hidden="1" x14ac:dyDescent="0.2"/>
    <row r="6026" hidden="1" x14ac:dyDescent="0.2"/>
    <row r="6027" hidden="1" x14ac:dyDescent="0.2"/>
    <row r="6028" hidden="1" x14ac:dyDescent="0.2"/>
    <row r="6029" hidden="1" x14ac:dyDescent="0.2"/>
    <row r="6030" hidden="1" x14ac:dyDescent="0.2"/>
    <row r="6031" hidden="1" x14ac:dyDescent="0.2"/>
    <row r="6032" hidden="1" x14ac:dyDescent="0.2"/>
    <row r="6033" hidden="1" x14ac:dyDescent="0.2"/>
    <row r="6034" hidden="1" x14ac:dyDescent="0.2"/>
    <row r="6035" hidden="1" x14ac:dyDescent="0.2"/>
    <row r="6036" hidden="1" x14ac:dyDescent="0.2"/>
    <row r="6037" hidden="1" x14ac:dyDescent="0.2"/>
    <row r="6038" hidden="1" x14ac:dyDescent="0.2"/>
    <row r="6039" hidden="1" x14ac:dyDescent="0.2"/>
    <row r="6040" hidden="1" x14ac:dyDescent="0.2"/>
    <row r="6041" hidden="1" x14ac:dyDescent="0.2"/>
    <row r="6042" hidden="1" x14ac:dyDescent="0.2"/>
    <row r="6043" hidden="1" x14ac:dyDescent="0.2"/>
    <row r="6044" hidden="1" x14ac:dyDescent="0.2"/>
    <row r="6045" hidden="1" x14ac:dyDescent="0.2"/>
    <row r="6046" hidden="1" x14ac:dyDescent="0.2"/>
    <row r="6047" hidden="1" x14ac:dyDescent="0.2"/>
    <row r="6048" hidden="1" x14ac:dyDescent="0.2"/>
    <row r="6049" hidden="1" x14ac:dyDescent="0.2"/>
    <row r="6050" hidden="1" x14ac:dyDescent="0.2"/>
    <row r="6051" hidden="1" x14ac:dyDescent="0.2"/>
    <row r="6052" hidden="1" x14ac:dyDescent="0.2"/>
    <row r="6053" hidden="1" x14ac:dyDescent="0.2"/>
    <row r="6054" hidden="1" x14ac:dyDescent="0.2"/>
    <row r="6055" hidden="1" x14ac:dyDescent="0.2"/>
    <row r="6056" hidden="1" x14ac:dyDescent="0.2"/>
    <row r="6057" hidden="1" x14ac:dyDescent="0.2"/>
    <row r="6058" hidden="1" x14ac:dyDescent="0.2"/>
    <row r="6059" hidden="1" x14ac:dyDescent="0.2"/>
    <row r="6060" hidden="1" x14ac:dyDescent="0.2"/>
    <row r="6061" hidden="1" x14ac:dyDescent="0.2"/>
    <row r="6062" hidden="1" x14ac:dyDescent="0.2"/>
    <row r="6063" hidden="1" x14ac:dyDescent="0.2"/>
    <row r="6064" hidden="1" x14ac:dyDescent="0.2"/>
    <row r="6065" hidden="1" x14ac:dyDescent="0.2"/>
    <row r="6066" hidden="1" x14ac:dyDescent="0.2"/>
    <row r="6067" hidden="1" x14ac:dyDescent="0.2"/>
    <row r="6068" hidden="1" x14ac:dyDescent="0.2"/>
    <row r="6069" hidden="1" x14ac:dyDescent="0.2"/>
    <row r="6070" hidden="1" x14ac:dyDescent="0.2"/>
    <row r="6071" hidden="1" x14ac:dyDescent="0.2"/>
    <row r="6072" hidden="1" x14ac:dyDescent="0.2"/>
    <row r="6073" hidden="1" x14ac:dyDescent="0.2"/>
    <row r="6074" hidden="1" x14ac:dyDescent="0.2"/>
    <row r="6075" hidden="1" x14ac:dyDescent="0.2"/>
    <row r="6076" hidden="1" x14ac:dyDescent="0.2"/>
    <row r="6077" hidden="1" x14ac:dyDescent="0.2"/>
    <row r="6078" hidden="1" x14ac:dyDescent="0.2"/>
    <row r="6079" hidden="1" x14ac:dyDescent="0.2"/>
    <row r="6080" hidden="1" x14ac:dyDescent="0.2"/>
    <row r="6081" hidden="1" x14ac:dyDescent="0.2"/>
    <row r="6082" hidden="1" x14ac:dyDescent="0.2"/>
    <row r="6083" hidden="1" x14ac:dyDescent="0.2"/>
    <row r="6084" hidden="1" x14ac:dyDescent="0.2"/>
    <row r="6085" hidden="1" x14ac:dyDescent="0.2"/>
    <row r="6086" hidden="1" x14ac:dyDescent="0.2"/>
    <row r="6087" hidden="1" x14ac:dyDescent="0.2"/>
    <row r="6088" hidden="1" x14ac:dyDescent="0.2"/>
    <row r="6089" hidden="1" x14ac:dyDescent="0.2"/>
    <row r="6090" hidden="1" x14ac:dyDescent="0.2"/>
    <row r="6091" hidden="1" x14ac:dyDescent="0.2"/>
    <row r="6092" hidden="1" x14ac:dyDescent="0.2"/>
    <row r="6093" hidden="1" x14ac:dyDescent="0.2"/>
    <row r="6094" hidden="1" x14ac:dyDescent="0.2"/>
    <row r="6095" hidden="1" x14ac:dyDescent="0.2"/>
    <row r="6096" hidden="1" x14ac:dyDescent="0.2"/>
    <row r="6097" hidden="1" x14ac:dyDescent="0.2"/>
    <row r="6098" hidden="1" x14ac:dyDescent="0.2"/>
    <row r="6099" hidden="1" x14ac:dyDescent="0.2"/>
    <row r="6100" hidden="1" x14ac:dyDescent="0.2"/>
    <row r="6101" hidden="1" x14ac:dyDescent="0.2"/>
    <row r="6102" hidden="1" x14ac:dyDescent="0.2"/>
    <row r="6103" hidden="1" x14ac:dyDescent="0.2"/>
    <row r="6104" hidden="1" x14ac:dyDescent="0.2"/>
    <row r="6105" hidden="1" x14ac:dyDescent="0.2"/>
    <row r="6106" hidden="1" x14ac:dyDescent="0.2"/>
    <row r="6107" hidden="1" x14ac:dyDescent="0.2"/>
    <row r="6108" hidden="1" x14ac:dyDescent="0.2"/>
    <row r="6109" hidden="1" x14ac:dyDescent="0.2"/>
    <row r="6110" hidden="1" x14ac:dyDescent="0.2"/>
    <row r="6111" hidden="1" x14ac:dyDescent="0.2"/>
    <row r="6112" hidden="1" x14ac:dyDescent="0.2"/>
    <row r="6113" hidden="1" x14ac:dyDescent="0.2"/>
    <row r="6114" hidden="1" x14ac:dyDescent="0.2"/>
    <row r="6115" hidden="1" x14ac:dyDescent="0.2"/>
    <row r="6116" hidden="1" x14ac:dyDescent="0.2"/>
    <row r="6117" hidden="1" x14ac:dyDescent="0.2"/>
    <row r="6118" hidden="1" x14ac:dyDescent="0.2"/>
    <row r="6119" hidden="1" x14ac:dyDescent="0.2"/>
    <row r="6120" hidden="1" x14ac:dyDescent="0.2"/>
    <row r="6121" hidden="1" x14ac:dyDescent="0.2"/>
    <row r="6122" hidden="1" x14ac:dyDescent="0.2"/>
    <row r="6123" hidden="1" x14ac:dyDescent="0.2"/>
    <row r="6124" hidden="1" x14ac:dyDescent="0.2"/>
    <row r="6125" hidden="1" x14ac:dyDescent="0.2"/>
    <row r="6126" hidden="1" x14ac:dyDescent="0.2"/>
    <row r="6127" hidden="1" x14ac:dyDescent="0.2"/>
    <row r="6128" hidden="1" x14ac:dyDescent="0.2"/>
    <row r="6129" hidden="1" x14ac:dyDescent="0.2"/>
    <row r="6130" hidden="1" x14ac:dyDescent="0.2"/>
    <row r="6131" hidden="1" x14ac:dyDescent="0.2"/>
    <row r="6132" hidden="1" x14ac:dyDescent="0.2"/>
    <row r="6133" hidden="1" x14ac:dyDescent="0.2"/>
    <row r="6134" hidden="1" x14ac:dyDescent="0.2"/>
    <row r="6135" hidden="1" x14ac:dyDescent="0.2"/>
    <row r="6136" hidden="1" x14ac:dyDescent="0.2"/>
    <row r="6137" hidden="1" x14ac:dyDescent="0.2"/>
    <row r="6138" hidden="1" x14ac:dyDescent="0.2"/>
    <row r="6139" hidden="1" x14ac:dyDescent="0.2"/>
    <row r="6140" hidden="1" x14ac:dyDescent="0.2"/>
    <row r="6141" hidden="1" x14ac:dyDescent="0.2"/>
    <row r="6142" hidden="1" x14ac:dyDescent="0.2"/>
    <row r="6143" hidden="1" x14ac:dyDescent="0.2"/>
    <row r="6144" hidden="1" x14ac:dyDescent="0.2"/>
    <row r="6145" hidden="1" x14ac:dyDescent="0.2"/>
    <row r="6146" hidden="1" x14ac:dyDescent="0.2"/>
    <row r="6147" hidden="1" x14ac:dyDescent="0.2"/>
    <row r="6148" hidden="1" x14ac:dyDescent="0.2"/>
    <row r="6149" hidden="1" x14ac:dyDescent="0.2"/>
    <row r="6150" hidden="1" x14ac:dyDescent="0.2"/>
    <row r="6151" hidden="1" x14ac:dyDescent="0.2"/>
    <row r="6152" hidden="1" x14ac:dyDescent="0.2"/>
    <row r="6153" hidden="1" x14ac:dyDescent="0.2"/>
    <row r="6154" hidden="1" x14ac:dyDescent="0.2"/>
    <row r="6155" hidden="1" x14ac:dyDescent="0.2"/>
    <row r="6156" hidden="1" x14ac:dyDescent="0.2"/>
    <row r="6157" hidden="1" x14ac:dyDescent="0.2"/>
    <row r="6158" hidden="1" x14ac:dyDescent="0.2"/>
    <row r="6159" hidden="1" x14ac:dyDescent="0.2"/>
    <row r="6160" hidden="1" x14ac:dyDescent="0.2"/>
    <row r="6161" hidden="1" x14ac:dyDescent="0.2"/>
    <row r="6162" hidden="1" x14ac:dyDescent="0.2"/>
    <row r="6163" hidden="1" x14ac:dyDescent="0.2"/>
    <row r="6164" hidden="1" x14ac:dyDescent="0.2"/>
    <row r="6165" hidden="1" x14ac:dyDescent="0.2"/>
    <row r="6166" hidden="1" x14ac:dyDescent="0.2"/>
    <row r="6167" hidden="1" x14ac:dyDescent="0.2"/>
    <row r="6168" hidden="1" x14ac:dyDescent="0.2"/>
    <row r="6169" hidden="1" x14ac:dyDescent="0.2"/>
    <row r="6170" hidden="1" x14ac:dyDescent="0.2"/>
    <row r="6171" hidden="1" x14ac:dyDescent="0.2"/>
    <row r="6172" hidden="1" x14ac:dyDescent="0.2"/>
    <row r="6173" hidden="1" x14ac:dyDescent="0.2"/>
    <row r="6174" hidden="1" x14ac:dyDescent="0.2"/>
    <row r="6175" hidden="1" x14ac:dyDescent="0.2"/>
    <row r="6176" hidden="1" x14ac:dyDescent="0.2"/>
    <row r="6177" hidden="1" x14ac:dyDescent="0.2"/>
    <row r="6178" hidden="1" x14ac:dyDescent="0.2"/>
    <row r="6179" hidden="1" x14ac:dyDescent="0.2"/>
    <row r="6180" hidden="1" x14ac:dyDescent="0.2"/>
    <row r="6181" hidden="1" x14ac:dyDescent="0.2"/>
    <row r="6182" hidden="1" x14ac:dyDescent="0.2"/>
    <row r="6183" hidden="1" x14ac:dyDescent="0.2"/>
    <row r="6184" hidden="1" x14ac:dyDescent="0.2"/>
    <row r="6185" hidden="1" x14ac:dyDescent="0.2"/>
    <row r="6186" hidden="1" x14ac:dyDescent="0.2"/>
    <row r="6187" hidden="1" x14ac:dyDescent="0.2"/>
    <row r="6188" hidden="1" x14ac:dyDescent="0.2"/>
    <row r="6189" hidden="1" x14ac:dyDescent="0.2"/>
    <row r="6190" hidden="1" x14ac:dyDescent="0.2"/>
    <row r="6191" hidden="1" x14ac:dyDescent="0.2"/>
    <row r="6192" hidden="1" x14ac:dyDescent="0.2"/>
    <row r="6193" hidden="1" x14ac:dyDescent="0.2"/>
    <row r="6194" hidden="1" x14ac:dyDescent="0.2"/>
    <row r="6195" hidden="1" x14ac:dyDescent="0.2"/>
    <row r="6196" hidden="1" x14ac:dyDescent="0.2"/>
    <row r="6197" hidden="1" x14ac:dyDescent="0.2"/>
    <row r="6198" hidden="1" x14ac:dyDescent="0.2"/>
    <row r="6199" hidden="1" x14ac:dyDescent="0.2"/>
    <row r="6200" hidden="1" x14ac:dyDescent="0.2"/>
    <row r="6201" hidden="1" x14ac:dyDescent="0.2"/>
    <row r="6202" hidden="1" x14ac:dyDescent="0.2"/>
    <row r="6203" hidden="1" x14ac:dyDescent="0.2"/>
    <row r="6204" hidden="1" x14ac:dyDescent="0.2"/>
    <row r="6205" hidden="1" x14ac:dyDescent="0.2"/>
    <row r="6206" hidden="1" x14ac:dyDescent="0.2"/>
    <row r="6207" hidden="1" x14ac:dyDescent="0.2"/>
    <row r="6208" hidden="1" x14ac:dyDescent="0.2"/>
    <row r="6209" hidden="1" x14ac:dyDescent="0.2"/>
    <row r="6210" hidden="1" x14ac:dyDescent="0.2"/>
    <row r="6211" hidden="1" x14ac:dyDescent="0.2"/>
    <row r="6212" hidden="1" x14ac:dyDescent="0.2"/>
    <row r="6213" hidden="1" x14ac:dyDescent="0.2"/>
    <row r="6214" hidden="1" x14ac:dyDescent="0.2"/>
    <row r="6215" hidden="1" x14ac:dyDescent="0.2"/>
    <row r="6216" hidden="1" x14ac:dyDescent="0.2"/>
    <row r="6217" hidden="1" x14ac:dyDescent="0.2"/>
    <row r="6218" hidden="1" x14ac:dyDescent="0.2"/>
    <row r="6219" hidden="1" x14ac:dyDescent="0.2"/>
    <row r="6220" hidden="1" x14ac:dyDescent="0.2"/>
    <row r="6221" hidden="1" x14ac:dyDescent="0.2"/>
    <row r="6222" hidden="1" x14ac:dyDescent="0.2"/>
    <row r="6223" hidden="1" x14ac:dyDescent="0.2"/>
    <row r="6224" hidden="1" x14ac:dyDescent="0.2"/>
    <row r="6225" hidden="1" x14ac:dyDescent="0.2"/>
    <row r="6226" hidden="1" x14ac:dyDescent="0.2"/>
    <row r="6227" hidden="1" x14ac:dyDescent="0.2"/>
    <row r="6228" hidden="1" x14ac:dyDescent="0.2"/>
    <row r="6229" hidden="1" x14ac:dyDescent="0.2"/>
    <row r="6230" hidden="1" x14ac:dyDescent="0.2"/>
    <row r="6231" hidden="1" x14ac:dyDescent="0.2"/>
    <row r="6232" hidden="1" x14ac:dyDescent="0.2"/>
    <row r="6233" hidden="1" x14ac:dyDescent="0.2"/>
    <row r="6234" hidden="1" x14ac:dyDescent="0.2"/>
    <row r="6235" hidden="1" x14ac:dyDescent="0.2"/>
    <row r="6236" hidden="1" x14ac:dyDescent="0.2"/>
    <row r="6237" hidden="1" x14ac:dyDescent="0.2"/>
    <row r="6238" hidden="1" x14ac:dyDescent="0.2"/>
    <row r="6239" hidden="1" x14ac:dyDescent="0.2"/>
    <row r="6240" hidden="1" x14ac:dyDescent="0.2"/>
    <row r="6241" hidden="1" x14ac:dyDescent="0.2"/>
    <row r="6242" hidden="1" x14ac:dyDescent="0.2"/>
    <row r="6243" hidden="1" x14ac:dyDescent="0.2"/>
    <row r="6244" hidden="1" x14ac:dyDescent="0.2"/>
    <row r="6245" hidden="1" x14ac:dyDescent="0.2"/>
    <row r="6246" hidden="1" x14ac:dyDescent="0.2"/>
    <row r="6247" hidden="1" x14ac:dyDescent="0.2"/>
    <row r="6248" hidden="1" x14ac:dyDescent="0.2"/>
    <row r="6249" hidden="1" x14ac:dyDescent="0.2"/>
    <row r="6250" hidden="1" x14ac:dyDescent="0.2"/>
    <row r="6251" hidden="1" x14ac:dyDescent="0.2"/>
    <row r="6252" hidden="1" x14ac:dyDescent="0.2"/>
    <row r="6253" hidden="1" x14ac:dyDescent="0.2"/>
    <row r="6254" hidden="1" x14ac:dyDescent="0.2"/>
    <row r="6255" hidden="1" x14ac:dyDescent="0.2"/>
    <row r="6256" hidden="1" x14ac:dyDescent="0.2"/>
    <row r="6257" hidden="1" x14ac:dyDescent="0.2"/>
    <row r="6258" hidden="1" x14ac:dyDescent="0.2"/>
    <row r="6259" hidden="1" x14ac:dyDescent="0.2"/>
    <row r="6260" hidden="1" x14ac:dyDescent="0.2"/>
    <row r="6261" hidden="1" x14ac:dyDescent="0.2"/>
    <row r="6262" hidden="1" x14ac:dyDescent="0.2"/>
    <row r="6263" hidden="1" x14ac:dyDescent="0.2"/>
    <row r="6264" hidden="1" x14ac:dyDescent="0.2"/>
    <row r="6265" hidden="1" x14ac:dyDescent="0.2"/>
    <row r="6266" hidden="1" x14ac:dyDescent="0.2"/>
    <row r="6267" hidden="1" x14ac:dyDescent="0.2"/>
    <row r="6268" hidden="1" x14ac:dyDescent="0.2"/>
    <row r="6269" hidden="1" x14ac:dyDescent="0.2"/>
    <row r="6270" hidden="1" x14ac:dyDescent="0.2"/>
    <row r="6271" hidden="1" x14ac:dyDescent="0.2"/>
    <row r="6272" hidden="1" x14ac:dyDescent="0.2"/>
    <row r="6273" hidden="1" x14ac:dyDescent="0.2"/>
    <row r="6274" hidden="1" x14ac:dyDescent="0.2"/>
    <row r="6275" hidden="1" x14ac:dyDescent="0.2"/>
    <row r="6276" hidden="1" x14ac:dyDescent="0.2"/>
    <row r="6277" hidden="1" x14ac:dyDescent="0.2"/>
    <row r="6278" hidden="1" x14ac:dyDescent="0.2"/>
    <row r="6279" hidden="1" x14ac:dyDescent="0.2"/>
    <row r="6280" hidden="1" x14ac:dyDescent="0.2"/>
    <row r="6281" hidden="1" x14ac:dyDescent="0.2"/>
    <row r="6282" hidden="1" x14ac:dyDescent="0.2"/>
    <row r="6283" hidden="1" x14ac:dyDescent="0.2"/>
    <row r="6284" hidden="1" x14ac:dyDescent="0.2"/>
    <row r="6285" hidden="1" x14ac:dyDescent="0.2"/>
    <row r="6286" hidden="1" x14ac:dyDescent="0.2"/>
    <row r="6287" hidden="1" x14ac:dyDescent="0.2"/>
    <row r="6288" hidden="1" x14ac:dyDescent="0.2"/>
    <row r="6289" hidden="1" x14ac:dyDescent="0.2"/>
    <row r="6290" hidden="1" x14ac:dyDescent="0.2"/>
    <row r="6291" hidden="1" x14ac:dyDescent="0.2"/>
    <row r="6292" hidden="1" x14ac:dyDescent="0.2"/>
    <row r="6293" hidden="1" x14ac:dyDescent="0.2"/>
    <row r="6294" hidden="1" x14ac:dyDescent="0.2"/>
    <row r="6295" hidden="1" x14ac:dyDescent="0.2"/>
    <row r="6296" hidden="1" x14ac:dyDescent="0.2"/>
    <row r="6297" hidden="1" x14ac:dyDescent="0.2"/>
    <row r="6298" hidden="1" x14ac:dyDescent="0.2"/>
    <row r="6299" hidden="1" x14ac:dyDescent="0.2"/>
    <row r="6300" hidden="1" x14ac:dyDescent="0.2"/>
    <row r="6301" hidden="1" x14ac:dyDescent="0.2"/>
    <row r="6302" hidden="1" x14ac:dyDescent="0.2"/>
    <row r="6303" hidden="1" x14ac:dyDescent="0.2"/>
    <row r="6304" hidden="1" x14ac:dyDescent="0.2"/>
    <row r="6305" hidden="1" x14ac:dyDescent="0.2"/>
    <row r="6306" hidden="1" x14ac:dyDescent="0.2"/>
    <row r="6307" hidden="1" x14ac:dyDescent="0.2"/>
    <row r="6308" hidden="1" x14ac:dyDescent="0.2"/>
    <row r="6309" hidden="1" x14ac:dyDescent="0.2"/>
    <row r="6310" hidden="1" x14ac:dyDescent="0.2"/>
    <row r="6311" hidden="1" x14ac:dyDescent="0.2"/>
    <row r="6312" hidden="1" x14ac:dyDescent="0.2"/>
    <row r="6313" hidden="1" x14ac:dyDescent="0.2"/>
    <row r="6314" hidden="1" x14ac:dyDescent="0.2"/>
    <row r="6315" hidden="1" x14ac:dyDescent="0.2"/>
    <row r="6316" hidden="1" x14ac:dyDescent="0.2"/>
    <row r="6317" hidden="1" x14ac:dyDescent="0.2"/>
    <row r="6318" hidden="1" x14ac:dyDescent="0.2"/>
    <row r="6319" hidden="1" x14ac:dyDescent="0.2"/>
    <row r="6320" hidden="1" x14ac:dyDescent="0.2"/>
    <row r="6321" hidden="1" x14ac:dyDescent="0.2"/>
    <row r="6322" hidden="1" x14ac:dyDescent="0.2"/>
    <row r="6323" hidden="1" x14ac:dyDescent="0.2"/>
    <row r="6324" hidden="1" x14ac:dyDescent="0.2"/>
    <row r="6325" hidden="1" x14ac:dyDescent="0.2"/>
    <row r="6326" hidden="1" x14ac:dyDescent="0.2"/>
    <row r="6327" hidden="1" x14ac:dyDescent="0.2"/>
    <row r="6328" hidden="1" x14ac:dyDescent="0.2"/>
    <row r="6329" hidden="1" x14ac:dyDescent="0.2"/>
    <row r="6330" hidden="1" x14ac:dyDescent="0.2"/>
    <row r="6331" hidden="1" x14ac:dyDescent="0.2"/>
    <row r="6332" hidden="1" x14ac:dyDescent="0.2"/>
    <row r="6333" hidden="1" x14ac:dyDescent="0.2"/>
    <row r="6334" hidden="1" x14ac:dyDescent="0.2"/>
    <row r="6335" hidden="1" x14ac:dyDescent="0.2"/>
    <row r="6336" hidden="1" x14ac:dyDescent="0.2"/>
    <row r="6337" hidden="1" x14ac:dyDescent="0.2"/>
    <row r="6338" hidden="1" x14ac:dyDescent="0.2"/>
    <row r="6339" hidden="1" x14ac:dyDescent="0.2"/>
    <row r="6340" hidden="1" x14ac:dyDescent="0.2"/>
    <row r="6341" hidden="1" x14ac:dyDescent="0.2"/>
    <row r="6342" hidden="1" x14ac:dyDescent="0.2"/>
    <row r="6343" hidden="1" x14ac:dyDescent="0.2"/>
    <row r="6344" hidden="1" x14ac:dyDescent="0.2"/>
    <row r="6345" hidden="1" x14ac:dyDescent="0.2"/>
    <row r="6346" hidden="1" x14ac:dyDescent="0.2"/>
    <row r="6347" hidden="1" x14ac:dyDescent="0.2"/>
    <row r="6348" hidden="1" x14ac:dyDescent="0.2"/>
  </sheetData>
  <autoFilter ref="W27:AP347" xr:uid="{00000000-0009-0000-0000-000001000000}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Aux!$A$6:$A$7</xm:f>
          </x14:formula1>
          <xm:sqref>K4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theme="7" tint="0.59999389629810485"/>
  </sheetPr>
  <dimension ref="A1:AT3096"/>
  <sheetViews>
    <sheetView zoomScale="55" zoomScaleNormal="5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0" customHeight="1" zeroHeight="1" x14ac:dyDescent="0.2"/>
  <cols>
    <col min="1" max="1" width="7.7109375" style="121" bestFit="1" customWidth="1"/>
    <col min="2" max="2" width="23.5703125" style="121" bestFit="1" customWidth="1"/>
    <col min="3" max="3" width="20.7109375" style="121" bestFit="1" customWidth="1"/>
    <col min="4" max="4" width="10.140625" style="121" bestFit="1" customWidth="1"/>
    <col min="5" max="7" width="10.28515625" style="121" bestFit="1" customWidth="1"/>
    <col min="8" max="8" width="10.42578125" style="121" bestFit="1" customWidth="1"/>
    <col min="9" max="9" width="10.5703125" style="121" bestFit="1" customWidth="1"/>
    <col min="10" max="11" width="11" style="121" bestFit="1" customWidth="1"/>
    <col min="12" max="12" width="10.5703125" style="121" bestFit="1" customWidth="1"/>
    <col min="13" max="15" width="11" style="121" bestFit="1" customWidth="1"/>
    <col min="16" max="16" width="11.28515625" style="121" bestFit="1" customWidth="1"/>
    <col min="17" max="17" width="14.5703125" style="121" bestFit="1" customWidth="1"/>
    <col min="18" max="18" width="11" style="121" customWidth="1"/>
    <col min="19" max="19" width="11.7109375" style="121" customWidth="1"/>
    <col min="20" max="20" width="15.140625" style="121" customWidth="1"/>
    <col min="21" max="21" width="15.140625" style="272" customWidth="1"/>
    <col min="22" max="33" width="8.5703125" style="121" customWidth="1"/>
    <col min="34" max="34" width="17" style="121" customWidth="1"/>
    <col min="35" max="35" width="22.28515625" style="121" customWidth="1"/>
    <col min="36" max="36" width="10.140625" style="121" bestFit="1" customWidth="1"/>
    <col min="37" max="37" width="15.7109375" style="121" customWidth="1"/>
    <col min="38" max="38" width="8.42578125" style="121" customWidth="1"/>
    <col min="39" max="39" width="11" style="121" customWidth="1"/>
    <col min="40" max="40" width="10.85546875" style="121" customWidth="1"/>
    <col min="41" max="42" width="9.7109375" style="121" customWidth="1"/>
    <col min="43" max="43" width="11.42578125" style="121" customWidth="1"/>
    <col min="44" max="44" width="9.28515625" style="121" customWidth="1"/>
    <col min="45" max="45" width="9.140625" style="121" customWidth="1"/>
    <col min="46" max="46" width="10.28515625" style="121" customWidth="1"/>
    <col min="47" max="51" width="10.28515625" style="121" bestFit="1" customWidth="1"/>
    <col min="52" max="53" width="10.140625" style="121" bestFit="1" customWidth="1"/>
    <col min="54" max="61" width="10.28515625" style="121" bestFit="1" customWidth="1"/>
    <col min="62" max="68" width="10.140625" style="121" bestFit="1" customWidth="1"/>
    <col min="69" max="81" width="9.140625" style="121"/>
    <col min="82" max="82" width="10.140625" style="121" bestFit="1" customWidth="1"/>
    <col min="83" max="98" width="9.140625" style="121"/>
    <col min="99" max="99" width="10.140625" style="121" bestFit="1" customWidth="1"/>
    <col min="100" max="102" width="9.140625" style="121"/>
    <col min="103" max="103" width="10.140625" style="121" bestFit="1" customWidth="1"/>
    <col min="104" max="16384" width="9.140625" style="121"/>
  </cols>
  <sheetData>
    <row r="1" spans="1:21" ht="33" customHeight="1" x14ac:dyDescent="0.2">
      <c r="A1" s="160"/>
      <c r="B1" s="161"/>
      <c r="C1" s="160"/>
    </row>
    <row r="2" spans="1:21" ht="12.75" x14ac:dyDescent="0.2">
      <c r="A2" s="160"/>
      <c r="B2" s="160"/>
      <c r="C2" s="160"/>
    </row>
    <row r="3" spans="1:21" ht="12.75" x14ac:dyDescent="0.2">
      <c r="A3" s="160"/>
      <c r="B3" s="160"/>
      <c r="C3" s="160"/>
    </row>
    <row r="4" spans="1:21" ht="12.75" x14ac:dyDescent="0.2">
      <c r="A4" s="160"/>
      <c r="B4" s="160"/>
      <c r="C4" s="160"/>
    </row>
    <row r="5" spans="1:21" ht="12.75" x14ac:dyDescent="0.2">
      <c r="A5" s="160"/>
      <c r="B5" s="160"/>
      <c r="C5" s="160"/>
    </row>
    <row r="6" spans="1:21" ht="12.75" x14ac:dyDescent="0.2">
      <c r="A6" s="160"/>
      <c r="B6" s="160"/>
      <c r="C6" s="160"/>
      <c r="I6" s="327"/>
      <c r="J6" s="327"/>
      <c r="K6" s="327"/>
      <c r="L6" s="327"/>
      <c r="M6" s="327"/>
      <c r="N6" s="327"/>
      <c r="O6" s="327"/>
      <c r="P6" s="327"/>
      <c r="Q6" s="327"/>
    </row>
    <row r="7" spans="1:21" ht="12.75" x14ac:dyDescent="0.2">
      <c r="A7" s="160"/>
      <c r="B7" s="160"/>
      <c r="C7" s="160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>
        <v>510.39999389648438</v>
      </c>
      <c r="T7" s="278">
        <v>495.6199951171875</v>
      </c>
    </row>
    <row r="8" spans="1:21" customFormat="1" ht="12.75" x14ac:dyDescent="0.2"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>
        <v>3042.8968501841523</v>
      </c>
      <c r="T8" s="278">
        <v>3020.7433589804764</v>
      </c>
      <c r="U8" s="272"/>
    </row>
    <row r="9" spans="1:21" customFormat="1" ht="12.75" hidden="1" x14ac:dyDescent="0.2">
      <c r="U9" s="272"/>
    </row>
    <row r="10" spans="1:21" customFormat="1" ht="12.75" hidden="1" x14ac:dyDescent="0.2">
      <c r="U10" s="272"/>
    </row>
    <row r="11" spans="1:21" customFormat="1" ht="12.75" hidden="1" x14ac:dyDescent="0.2">
      <c r="U11" s="272"/>
    </row>
    <row r="12" spans="1:21" customFormat="1" ht="13.5" hidden="1" customHeight="1" x14ac:dyDescent="0.2">
      <c r="U12" s="272"/>
    </row>
    <row r="13" spans="1:21" customFormat="1" ht="12.75" hidden="1" x14ac:dyDescent="0.2">
      <c r="U13" s="272"/>
    </row>
    <row r="14" spans="1:21" customFormat="1" ht="12.75" hidden="1" x14ac:dyDescent="0.2">
      <c r="U14" s="272"/>
    </row>
    <row r="15" spans="1:21" customFormat="1" ht="12.75" hidden="1" x14ac:dyDescent="0.2">
      <c r="U15" s="272"/>
    </row>
    <row r="16" spans="1:21" customFormat="1" ht="12.75" hidden="1" x14ac:dyDescent="0.2">
      <c r="U16" s="272"/>
    </row>
    <row r="17" spans="1:46" customFormat="1" ht="12.75" hidden="1" x14ac:dyDescent="0.2">
      <c r="U17" s="272"/>
    </row>
    <row r="18" spans="1:46" customFormat="1" ht="12.75" hidden="1" x14ac:dyDescent="0.2">
      <c r="U18" s="272"/>
    </row>
    <row r="19" spans="1:46" customFormat="1" ht="12.75" hidden="1" x14ac:dyDescent="0.2">
      <c r="U19" s="272"/>
    </row>
    <row r="20" spans="1:46" customFormat="1" ht="12.75" hidden="1" x14ac:dyDescent="0.2">
      <c r="U20" s="272"/>
    </row>
    <row r="21" spans="1:46" customFormat="1" ht="12.75" hidden="1" x14ac:dyDescent="0.2">
      <c r="U21" s="272"/>
    </row>
    <row r="22" spans="1:46" customFormat="1" ht="12.75" hidden="1" x14ac:dyDescent="0.2">
      <c r="U22" s="272"/>
    </row>
    <row r="23" spans="1:46" ht="12.75" hidden="1" x14ac:dyDescent="0.2"/>
    <row r="24" spans="1:46" ht="12.75" hidden="1" x14ac:dyDescent="0.2"/>
    <row r="25" spans="1:46" ht="12.75" x14ac:dyDescent="0.2"/>
    <row r="26" spans="1:46" ht="12.75" x14ac:dyDescent="0.2">
      <c r="D26" s="23"/>
      <c r="E26" s="251">
        <f ca="1">F26-1</f>
        <v>43836</v>
      </c>
      <c r="F26" s="252">
        <f ca="1">_data</f>
        <v>43837</v>
      </c>
      <c r="G26" s="251">
        <f t="shared" ref="G26:Q26" ca="1" si="0">F26+1</f>
        <v>43838</v>
      </c>
      <c r="H26" s="251">
        <f t="shared" ca="1" si="0"/>
        <v>43839</v>
      </c>
      <c r="I26" s="251">
        <f t="shared" ca="1" si="0"/>
        <v>43840</v>
      </c>
      <c r="J26" s="251">
        <f t="shared" ca="1" si="0"/>
        <v>43841</v>
      </c>
      <c r="K26" s="251">
        <f t="shared" ca="1" si="0"/>
        <v>43842</v>
      </c>
      <c r="L26" s="251">
        <f t="shared" ca="1" si="0"/>
        <v>43843</v>
      </c>
      <c r="M26" s="251">
        <f t="shared" ca="1" si="0"/>
        <v>43844</v>
      </c>
      <c r="N26" s="251">
        <f t="shared" ca="1" si="0"/>
        <v>43845</v>
      </c>
      <c r="O26" s="251">
        <f t="shared" ca="1" si="0"/>
        <v>43846</v>
      </c>
      <c r="P26" s="251">
        <f t="shared" ca="1" si="0"/>
        <v>43847</v>
      </c>
      <c r="Q26" s="251">
        <f t="shared" ca="1" si="0"/>
        <v>43848</v>
      </c>
      <c r="R26" s="251"/>
      <c r="S26" s="23"/>
      <c r="T26" s="23"/>
      <c r="U26" s="23"/>
      <c r="V26"/>
      <c r="W26"/>
      <c r="X26"/>
      <c r="Y26"/>
      <c r="Z26"/>
      <c r="AA26"/>
      <c r="AB26"/>
      <c r="AC26"/>
      <c r="AD26" s="23"/>
    </row>
    <row r="27" spans="1:46" ht="13.5" thickBot="1" x14ac:dyDescent="0.25">
      <c r="D27" s="23"/>
      <c r="E27" s="253">
        <f ca="1">F27-1</f>
        <v>43836</v>
      </c>
      <c r="F27" s="254">
        <f t="shared" ref="F27:Q27" ca="1" si="1">F26</f>
        <v>43837</v>
      </c>
      <c r="G27" s="253">
        <f t="shared" ca="1" si="1"/>
        <v>43838</v>
      </c>
      <c r="H27" s="253">
        <f t="shared" ca="1" si="1"/>
        <v>43839</v>
      </c>
      <c r="I27" s="253">
        <f t="shared" ca="1" si="1"/>
        <v>43840</v>
      </c>
      <c r="J27" s="253">
        <f t="shared" ca="1" si="1"/>
        <v>43841</v>
      </c>
      <c r="K27" s="253">
        <f t="shared" ca="1" si="1"/>
        <v>43842</v>
      </c>
      <c r="L27" s="253">
        <f t="shared" ca="1" si="1"/>
        <v>43843</v>
      </c>
      <c r="M27" s="253">
        <f t="shared" ca="1" si="1"/>
        <v>43844</v>
      </c>
      <c r="N27" s="253">
        <f t="shared" ca="1" si="1"/>
        <v>43845</v>
      </c>
      <c r="O27" s="253">
        <f t="shared" ca="1" si="1"/>
        <v>43846</v>
      </c>
      <c r="P27" s="253">
        <f t="shared" ca="1" si="1"/>
        <v>43847</v>
      </c>
      <c r="Q27" s="253">
        <f t="shared" ca="1" si="1"/>
        <v>43848</v>
      </c>
      <c r="R27" s="253"/>
      <c r="S27"/>
      <c r="T27"/>
      <c r="V27" s="23">
        <f t="shared" ref="V27:AG27" ca="1" si="2">F27</f>
        <v>43837</v>
      </c>
      <c r="W27" s="23">
        <f t="shared" ca="1" si="2"/>
        <v>43838</v>
      </c>
      <c r="X27" s="23">
        <f t="shared" ca="1" si="2"/>
        <v>43839</v>
      </c>
      <c r="Y27" s="23">
        <f t="shared" ca="1" si="2"/>
        <v>43840</v>
      </c>
      <c r="Z27" s="23">
        <f t="shared" ca="1" si="2"/>
        <v>43841</v>
      </c>
      <c r="AA27" s="23">
        <f t="shared" ca="1" si="2"/>
        <v>43842</v>
      </c>
      <c r="AB27" s="23">
        <f t="shared" ca="1" si="2"/>
        <v>43843</v>
      </c>
      <c r="AC27" s="23">
        <f t="shared" ca="1" si="2"/>
        <v>43844</v>
      </c>
      <c r="AD27" s="23">
        <f t="shared" ca="1" si="2"/>
        <v>43845</v>
      </c>
      <c r="AE27" s="23">
        <f t="shared" ca="1" si="2"/>
        <v>43846</v>
      </c>
      <c r="AF27" s="23">
        <f t="shared" ca="1" si="2"/>
        <v>43847</v>
      </c>
      <c r="AG27" s="23">
        <f t="shared" ca="1" si="2"/>
        <v>43848</v>
      </c>
      <c r="AP27"/>
      <c r="AQ27"/>
      <c r="AR27"/>
      <c r="AS27"/>
      <c r="AT27"/>
    </row>
    <row r="28" spans="1:46" ht="13.5" thickBot="1" x14ac:dyDescent="0.25">
      <c r="A28" s="133">
        <v>1</v>
      </c>
      <c r="B28" s="282" t="str">
        <f t="shared" ref="B28:B42" si="3">A28&amp;"_VN"</f>
        <v>1_VN</v>
      </c>
      <c r="C28" s="140" t="s">
        <v>17</v>
      </c>
      <c r="D28" s="135">
        <f t="shared" ref="D28:D59" si="4">A28</f>
        <v>1</v>
      </c>
      <c r="E28" s="132">
        <f t="array" aca="1" ref="E28" ca="1">SUM(IFERROR(Propagações_TOT_GRANDE!$B$7:$BZ$69*(Propagações_TOT_GRANDE!$B$6:$BZ$6=$B28&amp;"A")*(Propagações_TOT_GRANDE!$A$7:$A$69=E$26),0))</f>
        <v>124</v>
      </c>
      <c r="F28" s="132">
        <f t="array" aca="1" ref="F28" ca="1">SUM(IFERROR(Propagações_TOT_GRANDE!$B$7:$BZ$69*(Propagações_TOT_GRANDE!$B$6:$BZ$6=$B28&amp;"A")*(Propagações_TOT_GRANDE!$A$7:$A$69=F$26),0))</f>
        <v>0</v>
      </c>
      <c r="G28" s="132">
        <f t="array" aca="1" ref="G28" ca="1">SUM(IFERROR(Propagações_TOT_GRANDE!$B$7:$BZ$69*(Propagações_TOT_GRANDE!$B$6:$BZ$6=$B28&amp;"A")*(Propagações_TOT_GRANDE!$A$7:$A$69=G$26),0))</f>
        <v>0</v>
      </c>
      <c r="H28" s="132">
        <f t="array" aca="1" ref="H28" ca="1">SUM(IFERROR(Propagações_TOT_GRANDE!$B$7:$BZ$69*(Propagações_TOT_GRANDE!$B$6:$BZ$6=$B28&amp;"A")*(Propagações_TOT_GRANDE!$A$7:$A$69=H$26),0))</f>
        <v>0</v>
      </c>
      <c r="I28" s="132">
        <f t="array" aca="1" ref="I28" ca="1">SUM(IFERROR(Propagações_TOT_GRANDE!$B$7:$BZ$69*(Propagações_TOT_GRANDE!$B$6:$BZ$6=$B28&amp;"A")*(Propagações_TOT_GRANDE!$A$7:$A$69=I$26),0))</f>
        <v>0</v>
      </c>
      <c r="J28" s="132">
        <f t="array" aca="1" ref="J28" ca="1">SUM(IFERROR(Propagações_TOT_GRANDE!$B$7:$BZ$69*(Propagações_TOT_GRANDE!$B$6:$BZ$6=$B28&amp;"A")*(Propagações_TOT_GRANDE!$A$7:$A$69=J$26),0))</f>
        <v>0</v>
      </c>
      <c r="K28" s="132">
        <f t="array" aca="1" ref="K28" ca="1">SUM(IFERROR(Propagações_TOT_GRANDE!$B$7:$BZ$69*(Propagações_TOT_GRANDE!$B$6:$BZ$6=$B28&amp;"A")*(Propagações_TOT_GRANDE!$A$7:$A$69=K$26),0))</f>
        <v>0</v>
      </c>
      <c r="L28" s="132">
        <f t="array" aca="1" ref="L28" ca="1">SUM(IFERROR(Propagações_TOT_GRANDE!$B$7:$BZ$69*(Propagações_TOT_GRANDE!$B$6:$BZ$6=$B28&amp;"A")*(Propagações_TOT_GRANDE!$A$7:$A$69=L$26),0))</f>
        <v>0</v>
      </c>
      <c r="M28" s="132">
        <f t="array" aca="1" ref="M28" ca="1">SUM(IFERROR(Propagações_TOT_GRANDE!$B$7:$BZ$69*(Propagações_TOT_GRANDE!$B$6:$BZ$6=$B28&amp;"A")*(Propagações_TOT_GRANDE!$A$7:$A$69=M$26),0))</f>
        <v>0</v>
      </c>
      <c r="N28" s="132">
        <f t="array" aca="1" ref="N28" ca="1">SUM(IFERROR(Propagações_TOT_GRANDE!$B$7:$BZ$69*(Propagações_TOT_GRANDE!$B$6:$BZ$6=$B28&amp;"A")*(Propagações_TOT_GRANDE!$A$7:$A$69=N$26),0))</f>
        <v>0</v>
      </c>
      <c r="O28" s="132">
        <f t="array" aca="1" ref="O28" ca="1">SUM(IFERROR(Propagações_TOT_GRANDE!$B$7:$BZ$69*(Propagações_TOT_GRANDE!$B$6:$BZ$6=$B28&amp;"A")*(Propagações_TOT_GRANDE!$A$7:$A$69=O$26),0))</f>
        <v>0</v>
      </c>
      <c r="P28" s="132">
        <f t="array" aca="1" ref="P28" ca="1">SUM(IFERROR(Propagações_TOT_GRANDE!$B$7:$BZ$69*(Propagações_TOT_GRANDE!$B$6:$BZ$6=$B28&amp;"A")*(Propagações_TOT_GRANDE!$A$7:$A$69=P$26),0))</f>
        <v>0</v>
      </c>
      <c r="Q28" s="132">
        <f t="array" aca="1" ref="Q28" ca="1">SUM(IFERROR(Propagações_TOT_GRANDE!$B$7:$BZ$69*(Propagações_TOT_GRANDE!$B$6:$BZ$6=$B28&amp;"A")*(Propagações_TOT_GRANDE!$A$7:$A$69=Q$26),0))</f>
        <v>0</v>
      </c>
      <c r="R28" s="132"/>
      <c r="S28"/>
      <c r="T28" s="272">
        <v>1</v>
      </c>
      <c r="V28" s="202">
        <f ca="1">IFERROR(ROUND(INDEX(F:F,MATCH($T28,$A:$A,0)),0),INDEX(PREVIVAZ!$C2:$N2,1,MATCH(V$27,PREVIVAZ!$C$1:$N$1,1)))</f>
        <v>0</v>
      </c>
      <c r="W28" s="202">
        <f ca="1">IFERROR(ROUND(INDEX(G:G,MATCH($T28,$A:$A,0)),0),INDEX(PREVIVAZ!$C2:$N2,1,MATCH(W$27,PREVIVAZ!$C$1:$N$1,1)))</f>
        <v>0</v>
      </c>
      <c r="X28" s="202">
        <f ca="1">IFERROR(ROUND(INDEX(H:H,MATCH($T28,$A:$A,0)),0),INDEX(PREVIVAZ!$C2:$N2,1,MATCH(X$27,PREVIVAZ!$C$1:$N$1,1)))</f>
        <v>0</v>
      </c>
      <c r="Y28" s="202">
        <f ca="1">IFERROR(ROUND(INDEX(I:I,MATCH($T28,$A:$A,0)),0),INDEX(PREVIVAZ!$C2:$N2,1,MATCH(Y$27,PREVIVAZ!$C$1:$N$1,1)))</f>
        <v>0</v>
      </c>
      <c r="Z28" s="202">
        <f ca="1">IFERROR(ROUND(INDEX(J:J,MATCH($T28,$A:$A,0)),0),INDEX(PREVIVAZ!$C2:$N2,1,MATCH(Z$27,PREVIVAZ!$C$1:$N$1,1)))</f>
        <v>0</v>
      </c>
      <c r="AA28" s="202">
        <f ca="1">IFERROR(ROUND(INDEX(K:K,MATCH($T28,$A:$A,0)),0),INDEX(PREVIVAZ!$C2:$N2,1,MATCH(AA$27,PREVIVAZ!$C$1:$N$1,1)))</f>
        <v>0</v>
      </c>
      <c r="AB28" s="202">
        <f ca="1">IFERROR(ROUND(INDEX(L:L,MATCH($T28,$A:$A,0)),0),INDEX(PREVIVAZ!$C2:$N2,1,MATCH(AB$27,PREVIVAZ!$C$1:$N$1,1)))</f>
        <v>0</v>
      </c>
      <c r="AC28" s="202">
        <f ca="1">IFERROR(ROUND(INDEX(M:M,MATCH($T28,$A:$A,0)),0),INDEX(PREVIVAZ!$C2:$N2,1,MATCH(AC$27,PREVIVAZ!$C$1:$N$1,1)))</f>
        <v>0</v>
      </c>
      <c r="AD28" s="202">
        <f ca="1">IFERROR(ROUND(INDEX(N:N,MATCH($T28,$A:$A,0)),0),INDEX(PREVIVAZ!$C2:$N2,1,MATCH(AD$27,PREVIVAZ!$C$1:$N$1,1)))</f>
        <v>0</v>
      </c>
      <c r="AE28" s="202">
        <f ca="1">IFERROR(ROUND(INDEX(O:O,MATCH($T28,$A:$A,0)),0),INDEX(PREVIVAZ!$C2:$N2,1,MATCH(AE$27,PREVIVAZ!$C$1:$N$1,1)))</f>
        <v>0</v>
      </c>
      <c r="AF28" s="202">
        <f ca="1">IFERROR(ROUND(INDEX(P:P,MATCH($T28,$A:$A,0)),0),INDEX(PREVIVAZ!$C2:$N2,1,MATCH(AF$27,PREVIVAZ!$C$1:$N$1,1)))</f>
        <v>0</v>
      </c>
      <c r="AG28" s="202">
        <f ca="1">IFERROR(ROUND(INDEX(Q:Q,MATCH($T28,$A:$A,0)),0),INDEX(PREVIVAZ!$C2:$N2,1,MATCH(AG$27,PREVIVAZ!$C$1:$N$1,1)))</f>
        <v>0</v>
      </c>
      <c r="AP28"/>
      <c r="AQ28"/>
      <c r="AR28"/>
      <c r="AS28"/>
      <c r="AT28"/>
    </row>
    <row r="29" spans="1:46" ht="13.5" thickBot="1" x14ac:dyDescent="0.25">
      <c r="A29" s="147">
        <v>2</v>
      </c>
      <c r="B29" s="282" t="str">
        <f t="shared" si="3"/>
        <v>2_VN</v>
      </c>
      <c r="C29" s="137" t="s">
        <v>40</v>
      </c>
      <c r="D29" s="132">
        <f t="shared" si="4"/>
        <v>2</v>
      </c>
      <c r="E29" s="132">
        <f t="array" aca="1" ref="E29" ca="1">SUM(IFERROR(Propagações_TOT_GRANDE!$B$7:$BZ$69*(Propagações_TOT_GRANDE!$B$6:$BZ$6=$B29&amp;"A")*(Propagações_TOT_GRANDE!$A$7:$A$69=E$26),0))</f>
        <v>124</v>
      </c>
      <c r="F29" s="132">
        <f t="array" aca="1" ref="F29" ca="1">SUM(IFERROR(Propagações_TOT_GRANDE!$B$7:$BZ$69*(Propagações_TOT_GRANDE!$B$6:$BZ$6=$B29&amp;"A")*(Propagações_TOT_GRANDE!$A$7:$A$69=F$26),0))</f>
        <v>0</v>
      </c>
      <c r="G29" s="132">
        <f t="array" aca="1" ref="G29" ca="1">SUM(IFERROR(Propagações_TOT_GRANDE!$B$7:$BZ$69*(Propagações_TOT_GRANDE!$B$6:$BZ$6=$B29&amp;"A")*(Propagações_TOT_GRANDE!$A$7:$A$69=G$26),0))</f>
        <v>0</v>
      </c>
      <c r="H29" s="132">
        <f t="array" aca="1" ref="H29" ca="1">SUM(IFERROR(Propagações_TOT_GRANDE!$B$7:$BZ$69*(Propagações_TOT_GRANDE!$B$6:$BZ$6=$B29&amp;"A")*(Propagações_TOT_GRANDE!$A$7:$A$69=H$26),0))</f>
        <v>0</v>
      </c>
      <c r="I29" s="132">
        <f t="array" aca="1" ref="I29" ca="1">SUM(IFERROR(Propagações_TOT_GRANDE!$B$7:$BZ$69*(Propagações_TOT_GRANDE!$B$6:$BZ$6=$B29&amp;"A")*(Propagações_TOT_GRANDE!$A$7:$A$69=I$26),0))</f>
        <v>0</v>
      </c>
      <c r="J29" s="132">
        <f t="array" aca="1" ref="J29" ca="1">SUM(IFERROR(Propagações_TOT_GRANDE!$B$7:$BZ$69*(Propagações_TOT_GRANDE!$B$6:$BZ$6=$B29&amp;"A")*(Propagações_TOT_GRANDE!$A$7:$A$69=J$26),0))</f>
        <v>0</v>
      </c>
      <c r="K29" s="132">
        <f t="array" aca="1" ref="K29" ca="1">SUM(IFERROR(Propagações_TOT_GRANDE!$B$7:$BZ$69*(Propagações_TOT_GRANDE!$B$6:$BZ$6=$B29&amp;"A")*(Propagações_TOT_GRANDE!$A$7:$A$69=K$26),0))</f>
        <v>0</v>
      </c>
      <c r="L29" s="132">
        <f t="array" aca="1" ref="L29" ca="1">SUM(IFERROR(Propagações_TOT_GRANDE!$B$7:$BZ$69*(Propagações_TOT_GRANDE!$B$6:$BZ$6=$B29&amp;"A")*(Propagações_TOT_GRANDE!$A$7:$A$69=L$26),0))</f>
        <v>0</v>
      </c>
      <c r="M29" s="132">
        <f t="array" aca="1" ref="M29" ca="1">SUM(IFERROR(Propagações_TOT_GRANDE!$B$7:$BZ$69*(Propagações_TOT_GRANDE!$B$6:$BZ$6=$B29&amp;"A")*(Propagações_TOT_GRANDE!$A$7:$A$69=M$26),0))</f>
        <v>0</v>
      </c>
      <c r="N29" s="132">
        <f t="array" aca="1" ref="N29" ca="1">SUM(IFERROR(Propagações_TOT_GRANDE!$B$7:$BZ$69*(Propagações_TOT_GRANDE!$B$6:$BZ$6=$B29&amp;"A")*(Propagações_TOT_GRANDE!$A$7:$A$69=N$26),0))</f>
        <v>0</v>
      </c>
      <c r="O29" s="132">
        <f t="array" aca="1" ref="O29" ca="1">SUM(IFERROR(Propagações_TOT_GRANDE!$B$7:$BZ$69*(Propagações_TOT_GRANDE!$B$6:$BZ$6=$B29&amp;"A")*(Propagações_TOT_GRANDE!$A$7:$A$69=O$26),0))</f>
        <v>0</v>
      </c>
      <c r="P29" s="132">
        <f t="array" aca="1" ref="P29" ca="1">SUM(IFERROR(Propagações_TOT_GRANDE!$B$7:$BZ$69*(Propagações_TOT_GRANDE!$B$6:$BZ$6=$B29&amp;"A")*(Propagações_TOT_GRANDE!$A$7:$A$69=P$26),0))</f>
        <v>0</v>
      </c>
      <c r="Q29" s="132">
        <f t="array" aca="1" ref="Q29" ca="1">SUM(IFERROR(Propagações_TOT_GRANDE!$B$7:$BZ$69*(Propagações_TOT_GRANDE!$B$6:$BZ$6=$B29&amp;"A")*(Propagações_TOT_GRANDE!$A$7:$A$69=Q$26),0))</f>
        <v>0</v>
      </c>
      <c r="R29" s="132"/>
      <c r="S29"/>
      <c r="T29" s="272">
        <v>2</v>
      </c>
      <c r="V29" s="202">
        <f ca="1">IFERROR(ROUND(INDEX(F:F,MATCH($T29,$A:$A,0)),0),INDEX(PREVIVAZ!$C3:$N3,1,MATCH(V$27,PREVIVAZ!$C$1:$N$1,1)))</f>
        <v>0</v>
      </c>
      <c r="W29" s="202">
        <f ca="1">IFERROR(ROUND(INDEX(G:G,MATCH($T29,$A:$A,0)),0),INDEX(PREVIVAZ!$C3:$N3,1,MATCH(W$27,PREVIVAZ!$C$1:$N$1,1)))</f>
        <v>0</v>
      </c>
      <c r="X29" s="202">
        <f ca="1">IFERROR(ROUND(INDEX(H:H,MATCH($T29,$A:$A,0)),0),INDEX(PREVIVAZ!$C3:$N3,1,MATCH(X$27,PREVIVAZ!$C$1:$N$1,1)))</f>
        <v>0</v>
      </c>
      <c r="Y29" s="202">
        <f ca="1">IFERROR(ROUND(INDEX(I:I,MATCH($T29,$A:$A,0)),0),INDEX(PREVIVAZ!$C3:$N3,1,MATCH(Y$27,PREVIVAZ!$C$1:$N$1,1)))</f>
        <v>0</v>
      </c>
      <c r="Z29" s="202">
        <f ca="1">IFERROR(ROUND(INDEX(J:J,MATCH($T29,$A:$A,0)),0),INDEX(PREVIVAZ!$C3:$N3,1,MATCH(Z$27,PREVIVAZ!$C$1:$N$1,1)))</f>
        <v>0</v>
      </c>
      <c r="AA29" s="202">
        <f ca="1">IFERROR(ROUND(INDEX(K:K,MATCH($T29,$A:$A,0)),0),INDEX(PREVIVAZ!$C3:$N3,1,MATCH(AA$27,PREVIVAZ!$C$1:$N$1,1)))</f>
        <v>0</v>
      </c>
      <c r="AB29" s="202">
        <f ca="1">IFERROR(ROUND(INDEX(L:L,MATCH($T29,$A:$A,0)),0),INDEX(PREVIVAZ!$C3:$N3,1,MATCH(AB$27,PREVIVAZ!$C$1:$N$1,1)))</f>
        <v>0</v>
      </c>
      <c r="AC29" s="202">
        <f ca="1">IFERROR(ROUND(INDEX(M:M,MATCH($T29,$A:$A,0)),0),INDEX(PREVIVAZ!$C3:$N3,1,MATCH(AC$27,PREVIVAZ!$C$1:$N$1,1)))</f>
        <v>0</v>
      </c>
      <c r="AD29" s="202">
        <f ca="1">IFERROR(ROUND(INDEX(N:N,MATCH($T29,$A:$A,0)),0),INDEX(PREVIVAZ!$C3:$N3,1,MATCH(AD$27,PREVIVAZ!$C$1:$N$1,1)))</f>
        <v>0</v>
      </c>
      <c r="AE29" s="202">
        <f ca="1">IFERROR(ROUND(INDEX(O:O,MATCH($T29,$A:$A,0)),0),INDEX(PREVIVAZ!$C3:$N3,1,MATCH(AE$27,PREVIVAZ!$C$1:$N$1,1)))</f>
        <v>0</v>
      </c>
      <c r="AF29" s="202">
        <f ca="1">IFERROR(ROUND(INDEX(P:P,MATCH($T29,$A:$A,0)),0),INDEX(PREVIVAZ!$C3:$N3,1,MATCH(AF$27,PREVIVAZ!$C$1:$N$1,1)))</f>
        <v>0</v>
      </c>
      <c r="AG29" s="202">
        <f ca="1">IFERROR(ROUND(INDEX(Q:Q,MATCH($T29,$A:$A,0)),0),INDEX(PREVIVAZ!$C3:$N3,1,MATCH(AG$27,PREVIVAZ!$C$1:$N$1,1)))</f>
        <v>0</v>
      </c>
    </row>
    <row r="30" spans="1:46" ht="13.5" thickBot="1" x14ac:dyDescent="0.25">
      <c r="A30" s="147">
        <v>211</v>
      </c>
      <c r="B30" s="282" t="str">
        <f t="shared" si="3"/>
        <v>211_VN</v>
      </c>
      <c r="C30" s="142" t="s">
        <v>19</v>
      </c>
      <c r="D30" s="132">
        <f t="shared" si="4"/>
        <v>211</v>
      </c>
      <c r="E30" s="132">
        <f t="array" aca="1" ref="E30" ca="1">SUM(IFERROR(Propagações_TOT_GRANDE!$B$7:$BZ$69*(Propagações_TOT_GRANDE!$B$6:$BZ$6=$B30&amp;"A")*(Propagações_TOT_GRANDE!$A$7:$A$69=E$26),0))</f>
        <v>386</v>
      </c>
      <c r="F30" s="132">
        <f t="array" aca="1" ref="F30" ca="1">SUM(IFERROR(Propagações_TOT_GRANDE!$B$7:$BZ$69*(Propagações_TOT_GRANDE!$B$6:$BZ$6=$B30&amp;"A")*(Propagações_TOT_GRANDE!$A$7:$A$69=F$26),0))</f>
        <v>0</v>
      </c>
      <c r="G30" s="132">
        <f t="array" aca="1" ref="G30" ca="1">SUM(IFERROR(Propagações_TOT_GRANDE!$B$7:$BZ$69*(Propagações_TOT_GRANDE!$B$6:$BZ$6=$B30&amp;"A")*(Propagações_TOT_GRANDE!$A$7:$A$69=G$26),0))</f>
        <v>0</v>
      </c>
      <c r="H30" s="132">
        <f t="array" aca="1" ref="H30" ca="1">SUM(IFERROR(Propagações_TOT_GRANDE!$B$7:$BZ$69*(Propagações_TOT_GRANDE!$B$6:$BZ$6=$B30&amp;"A")*(Propagações_TOT_GRANDE!$A$7:$A$69=H$26),0))</f>
        <v>0</v>
      </c>
      <c r="I30" s="132">
        <f t="array" aca="1" ref="I30" ca="1">SUM(IFERROR(Propagações_TOT_GRANDE!$B$7:$BZ$69*(Propagações_TOT_GRANDE!$B$6:$BZ$6=$B30&amp;"A")*(Propagações_TOT_GRANDE!$A$7:$A$69=I$26),0))</f>
        <v>0</v>
      </c>
      <c r="J30" s="132">
        <f t="array" aca="1" ref="J30" ca="1">SUM(IFERROR(Propagações_TOT_GRANDE!$B$7:$BZ$69*(Propagações_TOT_GRANDE!$B$6:$BZ$6=$B30&amp;"A")*(Propagações_TOT_GRANDE!$A$7:$A$69=J$26),0))</f>
        <v>0</v>
      </c>
      <c r="K30" s="132">
        <f t="array" aca="1" ref="K30" ca="1">SUM(IFERROR(Propagações_TOT_GRANDE!$B$7:$BZ$69*(Propagações_TOT_GRANDE!$B$6:$BZ$6=$B30&amp;"A")*(Propagações_TOT_GRANDE!$A$7:$A$69=K$26),0))</f>
        <v>0</v>
      </c>
      <c r="L30" s="132">
        <f t="array" aca="1" ref="L30" ca="1">SUM(IFERROR(Propagações_TOT_GRANDE!$B$7:$BZ$69*(Propagações_TOT_GRANDE!$B$6:$BZ$6=$B30&amp;"A")*(Propagações_TOT_GRANDE!$A$7:$A$69=L$26),0))</f>
        <v>0</v>
      </c>
      <c r="M30" s="132">
        <f t="array" aca="1" ref="M30" ca="1">SUM(IFERROR(Propagações_TOT_GRANDE!$B$7:$BZ$69*(Propagações_TOT_GRANDE!$B$6:$BZ$6=$B30&amp;"A")*(Propagações_TOT_GRANDE!$A$7:$A$69=M$26),0))</f>
        <v>0</v>
      </c>
      <c r="N30" s="132">
        <f t="array" aca="1" ref="N30" ca="1">SUM(IFERROR(Propagações_TOT_GRANDE!$B$7:$BZ$69*(Propagações_TOT_GRANDE!$B$6:$BZ$6=$B30&amp;"A")*(Propagações_TOT_GRANDE!$A$7:$A$69=N$26),0))</f>
        <v>0</v>
      </c>
      <c r="O30" s="132">
        <f t="array" aca="1" ref="O30" ca="1">SUM(IFERROR(Propagações_TOT_GRANDE!$B$7:$BZ$69*(Propagações_TOT_GRANDE!$B$6:$BZ$6=$B30&amp;"A")*(Propagações_TOT_GRANDE!$A$7:$A$69=O$26),0))</f>
        <v>0</v>
      </c>
      <c r="P30" s="132">
        <f t="array" aca="1" ref="P30" ca="1">SUM(IFERROR(Propagações_TOT_GRANDE!$B$7:$BZ$69*(Propagações_TOT_GRANDE!$B$6:$BZ$6=$B30&amp;"A")*(Propagações_TOT_GRANDE!$A$7:$A$69=P$26),0))</f>
        <v>0</v>
      </c>
      <c r="Q30" s="132">
        <f t="array" aca="1" ref="Q30" ca="1">SUM(IFERROR(Propagações_TOT_GRANDE!$B$7:$BZ$69*(Propagações_TOT_GRANDE!$B$6:$BZ$6=$B30&amp;"A")*(Propagações_TOT_GRANDE!$A$7:$A$69=Q$26),0))</f>
        <v>0</v>
      </c>
      <c r="R30" s="132"/>
      <c r="S30"/>
      <c r="T30" s="272">
        <v>3</v>
      </c>
      <c r="V30" s="202" t="e">
        <f ca="1">IFERROR(ROUND(INDEX(F:F,MATCH($T30,$A:$A,0)),0),INDEX(PREVIVAZ!$C4:$N4,1,MATCH(V$27,PREVIVAZ!$C$1:$N$1,1)))</f>
        <v>#N/A</v>
      </c>
      <c r="W30" s="202" t="e">
        <f ca="1">IFERROR(ROUND(INDEX(G:G,MATCH($T30,$A:$A,0)),0),INDEX(PREVIVAZ!$C4:$N4,1,MATCH(W$27,PREVIVAZ!$C$1:$N$1,1)))</f>
        <v>#N/A</v>
      </c>
      <c r="X30" s="202" t="e">
        <f ca="1">IFERROR(ROUND(INDEX(H:H,MATCH($T30,$A:$A,0)),0),INDEX(PREVIVAZ!$C4:$N4,1,MATCH(X$27,PREVIVAZ!$C$1:$N$1,1)))</f>
        <v>#N/A</v>
      </c>
      <c r="Y30" s="202" t="e">
        <f ca="1">IFERROR(ROUND(INDEX(I:I,MATCH($T30,$A:$A,0)),0),INDEX(PREVIVAZ!$C4:$N4,1,MATCH(Y$27,PREVIVAZ!$C$1:$N$1,1)))</f>
        <v>#N/A</v>
      </c>
      <c r="Z30" s="202" t="e">
        <f ca="1">IFERROR(ROUND(INDEX(J:J,MATCH($T30,$A:$A,0)),0),INDEX(PREVIVAZ!$C4:$N4,1,MATCH(Z$27,PREVIVAZ!$C$1:$N$1,1)))</f>
        <v>#N/A</v>
      </c>
      <c r="AA30" s="202" t="e">
        <f ca="1">IFERROR(ROUND(INDEX(K:K,MATCH($T30,$A:$A,0)),0),INDEX(PREVIVAZ!$C4:$N4,1,MATCH(AA$27,PREVIVAZ!$C$1:$N$1,1)))</f>
        <v>#N/A</v>
      </c>
      <c r="AB30" s="202" t="e">
        <f ca="1">IFERROR(ROUND(INDEX(L:L,MATCH($T30,$A:$A,0)),0),INDEX(PREVIVAZ!$C4:$N4,1,MATCH(AB$27,PREVIVAZ!$C$1:$N$1,1)))</f>
        <v>#N/A</v>
      </c>
      <c r="AC30" s="202" t="e">
        <f ca="1">IFERROR(ROUND(INDEX(M:M,MATCH($T30,$A:$A,0)),0),INDEX(PREVIVAZ!$C4:$N4,1,MATCH(AC$27,PREVIVAZ!$C$1:$N$1,1)))</f>
        <v>#N/A</v>
      </c>
      <c r="AD30" s="202" t="e">
        <f ca="1">IFERROR(ROUND(INDEX(N:N,MATCH($T30,$A:$A,0)),0),INDEX(PREVIVAZ!$C4:$N4,1,MATCH(AD$27,PREVIVAZ!$C$1:$N$1,1)))</f>
        <v>#N/A</v>
      </c>
      <c r="AE30" s="202" t="e">
        <f ca="1">IFERROR(ROUND(INDEX(O:O,MATCH($T30,$A:$A,0)),0),INDEX(PREVIVAZ!$C4:$N4,1,MATCH(AE$27,PREVIVAZ!$C$1:$N$1,1)))</f>
        <v>#N/A</v>
      </c>
      <c r="AF30" s="202" t="e">
        <f ca="1">IFERROR(ROUND(INDEX(P:P,MATCH($T30,$A:$A,0)),0),INDEX(PREVIVAZ!$C4:$N4,1,MATCH(AF$27,PREVIVAZ!$C$1:$N$1,1)))</f>
        <v>#N/A</v>
      </c>
      <c r="AG30" s="202" t="e">
        <f ca="1">IFERROR(ROUND(INDEX(Q:Q,MATCH($T30,$A:$A,0)),0),INDEX(PREVIVAZ!$C4:$N4,1,MATCH(AG$27,PREVIVAZ!$C$1:$N$1,1)))</f>
        <v>#N/A</v>
      </c>
    </row>
    <row r="31" spans="1:46" ht="13.5" thickBot="1" x14ac:dyDescent="0.25">
      <c r="A31" s="147">
        <v>6</v>
      </c>
      <c r="B31" s="282" t="str">
        <f t="shared" si="3"/>
        <v>6_VN</v>
      </c>
      <c r="C31" s="142" t="s">
        <v>20</v>
      </c>
      <c r="D31" s="132">
        <f t="shared" si="4"/>
        <v>6</v>
      </c>
      <c r="E31" s="132">
        <f t="array" aca="1" ref="E31" ca="1">SUM(IFERROR(Propagações_TOT_GRANDE!$B$7:$BZ$69*(Propagações_TOT_GRANDE!$B$6:$BZ$6=$B31&amp;"A")*(Propagações_TOT_GRANDE!$A$7:$A$69=E$26),0))</f>
        <v>767</v>
      </c>
      <c r="F31" s="132">
        <f t="array" aca="1" ref="F31" ca="1">SUM(IFERROR(Propagações_TOT_GRANDE!$B$7:$BZ$69*(Propagações_TOT_GRANDE!$B$6:$BZ$6=$B31&amp;"A")*(Propagações_TOT_GRANDE!$A$7:$A$69=F$26),0))</f>
        <v>0</v>
      </c>
      <c r="G31" s="132">
        <f t="array" aca="1" ref="G31" ca="1">SUM(IFERROR(Propagações_TOT_GRANDE!$B$7:$BZ$69*(Propagações_TOT_GRANDE!$B$6:$BZ$6=$B31&amp;"A")*(Propagações_TOT_GRANDE!$A$7:$A$69=G$26),0))</f>
        <v>0</v>
      </c>
      <c r="H31" s="132">
        <f t="array" aca="1" ref="H31" ca="1">SUM(IFERROR(Propagações_TOT_GRANDE!$B$7:$BZ$69*(Propagações_TOT_GRANDE!$B$6:$BZ$6=$B31&amp;"A")*(Propagações_TOT_GRANDE!$A$7:$A$69=H$26),0))</f>
        <v>0</v>
      </c>
      <c r="I31" s="132">
        <f t="array" aca="1" ref="I31" ca="1">SUM(IFERROR(Propagações_TOT_GRANDE!$B$7:$BZ$69*(Propagações_TOT_GRANDE!$B$6:$BZ$6=$B31&amp;"A")*(Propagações_TOT_GRANDE!$A$7:$A$69=I$26),0))</f>
        <v>0</v>
      </c>
      <c r="J31" s="132">
        <f t="array" aca="1" ref="J31" ca="1">SUM(IFERROR(Propagações_TOT_GRANDE!$B$7:$BZ$69*(Propagações_TOT_GRANDE!$B$6:$BZ$6=$B31&amp;"A")*(Propagações_TOT_GRANDE!$A$7:$A$69=J$26),0))</f>
        <v>0</v>
      </c>
      <c r="K31" s="132">
        <f t="array" aca="1" ref="K31" ca="1">SUM(IFERROR(Propagações_TOT_GRANDE!$B$7:$BZ$69*(Propagações_TOT_GRANDE!$B$6:$BZ$6=$B31&amp;"A")*(Propagações_TOT_GRANDE!$A$7:$A$69=K$26),0))</f>
        <v>0</v>
      </c>
      <c r="L31" s="132">
        <f t="array" aca="1" ref="L31" ca="1">SUM(IFERROR(Propagações_TOT_GRANDE!$B$7:$BZ$69*(Propagações_TOT_GRANDE!$B$6:$BZ$6=$B31&amp;"A")*(Propagações_TOT_GRANDE!$A$7:$A$69=L$26),0))</f>
        <v>0</v>
      </c>
      <c r="M31" s="132">
        <f t="array" aca="1" ref="M31" ca="1">SUM(IFERROR(Propagações_TOT_GRANDE!$B$7:$BZ$69*(Propagações_TOT_GRANDE!$B$6:$BZ$6=$B31&amp;"A")*(Propagações_TOT_GRANDE!$A$7:$A$69=M$26),0))</f>
        <v>0</v>
      </c>
      <c r="N31" s="132">
        <f t="array" aca="1" ref="N31" ca="1">SUM(IFERROR(Propagações_TOT_GRANDE!$B$7:$BZ$69*(Propagações_TOT_GRANDE!$B$6:$BZ$6=$B31&amp;"A")*(Propagações_TOT_GRANDE!$A$7:$A$69=N$26),0))</f>
        <v>0</v>
      </c>
      <c r="O31" s="132">
        <f t="array" aca="1" ref="O31" ca="1">SUM(IFERROR(Propagações_TOT_GRANDE!$B$7:$BZ$69*(Propagações_TOT_GRANDE!$B$6:$BZ$6=$B31&amp;"A")*(Propagações_TOT_GRANDE!$A$7:$A$69=O$26),0))</f>
        <v>0</v>
      </c>
      <c r="P31" s="132">
        <f t="array" aca="1" ref="P31" ca="1">SUM(IFERROR(Propagações_TOT_GRANDE!$B$7:$BZ$69*(Propagações_TOT_GRANDE!$B$6:$BZ$6=$B31&amp;"A")*(Propagações_TOT_GRANDE!$A$7:$A$69=P$26),0))</f>
        <v>0</v>
      </c>
      <c r="Q31" s="132">
        <f t="array" aca="1" ref="Q31" ca="1">SUM(IFERROR(Propagações_TOT_GRANDE!$B$7:$BZ$69*(Propagações_TOT_GRANDE!$B$6:$BZ$6=$B31&amp;"A")*(Propagações_TOT_GRANDE!$A$7:$A$69=Q$26),0))</f>
        <v>0</v>
      </c>
      <c r="R31" s="132"/>
      <c r="S31"/>
      <c r="T31" s="272">
        <v>4</v>
      </c>
      <c r="V31" s="202" t="e">
        <f ca="1">IFERROR(ROUND(INDEX(F:F,MATCH($T31,$A:$A,0)),0),INDEX(PREVIVAZ!$C5:$N5,1,MATCH(V$27,PREVIVAZ!$C$1:$N$1,1)))</f>
        <v>#N/A</v>
      </c>
      <c r="W31" s="202" t="e">
        <f ca="1">IFERROR(ROUND(INDEX(G:G,MATCH($T31,$A:$A,0)),0),INDEX(PREVIVAZ!$C5:$N5,1,MATCH(W$27,PREVIVAZ!$C$1:$N$1,1)))</f>
        <v>#N/A</v>
      </c>
      <c r="X31" s="202" t="e">
        <f ca="1">IFERROR(ROUND(INDEX(H:H,MATCH($T31,$A:$A,0)),0),INDEX(PREVIVAZ!$C5:$N5,1,MATCH(X$27,PREVIVAZ!$C$1:$N$1,1)))</f>
        <v>#N/A</v>
      </c>
      <c r="Y31" s="202" t="e">
        <f ca="1">IFERROR(ROUND(INDEX(I:I,MATCH($T31,$A:$A,0)),0),INDEX(PREVIVAZ!$C5:$N5,1,MATCH(Y$27,PREVIVAZ!$C$1:$N$1,1)))</f>
        <v>#N/A</v>
      </c>
      <c r="Z31" s="202" t="e">
        <f ca="1">IFERROR(ROUND(INDEX(J:J,MATCH($T31,$A:$A,0)),0),INDEX(PREVIVAZ!$C5:$N5,1,MATCH(Z$27,PREVIVAZ!$C$1:$N$1,1)))</f>
        <v>#N/A</v>
      </c>
      <c r="AA31" s="202" t="e">
        <f ca="1">IFERROR(ROUND(INDEX(K:K,MATCH($T31,$A:$A,0)),0),INDEX(PREVIVAZ!$C5:$N5,1,MATCH(AA$27,PREVIVAZ!$C$1:$N$1,1)))</f>
        <v>#N/A</v>
      </c>
      <c r="AB31" s="202" t="e">
        <f ca="1">IFERROR(ROUND(INDEX(L:L,MATCH($T31,$A:$A,0)),0),INDEX(PREVIVAZ!$C5:$N5,1,MATCH(AB$27,PREVIVAZ!$C$1:$N$1,1)))</f>
        <v>#N/A</v>
      </c>
      <c r="AC31" s="202" t="e">
        <f ca="1">IFERROR(ROUND(INDEX(M:M,MATCH($T31,$A:$A,0)),0),INDEX(PREVIVAZ!$C5:$N5,1,MATCH(AC$27,PREVIVAZ!$C$1:$N$1,1)))</f>
        <v>#N/A</v>
      </c>
      <c r="AD31" s="202" t="e">
        <f ca="1">IFERROR(ROUND(INDEX(N:N,MATCH($T31,$A:$A,0)),0),INDEX(PREVIVAZ!$C5:$N5,1,MATCH(AD$27,PREVIVAZ!$C$1:$N$1,1)))</f>
        <v>#N/A</v>
      </c>
      <c r="AE31" s="202" t="e">
        <f ca="1">IFERROR(ROUND(INDEX(O:O,MATCH($T31,$A:$A,0)),0),INDEX(PREVIVAZ!$C5:$N5,1,MATCH(AE$27,PREVIVAZ!$C$1:$N$1,1)))</f>
        <v>#N/A</v>
      </c>
      <c r="AF31" s="202" t="e">
        <f ca="1">IFERROR(ROUND(INDEX(P:P,MATCH($T31,$A:$A,0)),0),INDEX(PREVIVAZ!$C5:$N5,1,MATCH(AF$27,PREVIVAZ!$C$1:$N$1,1)))</f>
        <v>#N/A</v>
      </c>
      <c r="AG31" s="202" t="e">
        <f ca="1">IFERROR(ROUND(INDEX(Q:Q,MATCH($T31,$A:$A,0)),0),INDEX(PREVIVAZ!$C5:$N5,1,MATCH(AG$27,PREVIVAZ!$C$1:$N$1,1)))</f>
        <v>#N/A</v>
      </c>
    </row>
    <row r="32" spans="1:46" ht="13.5" thickBot="1" x14ac:dyDescent="0.25">
      <c r="A32" s="147">
        <v>7</v>
      </c>
      <c r="B32" s="282" t="str">
        <f t="shared" si="3"/>
        <v>7_VN</v>
      </c>
      <c r="C32" s="137" t="s">
        <v>41</v>
      </c>
      <c r="D32" s="132">
        <f t="shared" si="4"/>
        <v>7</v>
      </c>
      <c r="E32" s="132">
        <f t="array" aca="1" ref="E32" ca="1">SUM(IFERROR(Propagações_TOT_GRANDE!$B$7:$BZ$69*(Propagações_TOT_GRANDE!$B$6:$BZ$6=$B32&amp;"A")*(Propagações_TOT_GRANDE!$A$7:$A$69=E$26),0))</f>
        <v>884</v>
      </c>
      <c r="F32" s="132">
        <f t="array" aca="1" ref="F32" ca="1">SUM(IFERROR(Propagações_TOT_GRANDE!$B$7:$BZ$69*(Propagações_TOT_GRANDE!$B$6:$BZ$6=$B32&amp;"A")*(Propagações_TOT_GRANDE!$A$7:$A$69=F$26),0))</f>
        <v>0</v>
      </c>
      <c r="G32" s="132">
        <f t="array" aca="1" ref="G32" ca="1">SUM(IFERROR(Propagações_TOT_GRANDE!$B$7:$BZ$69*(Propagações_TOT_GRANDE!$B$6:$BZ$6=$B32&amp;"A")*(Propagações_TOT_GRANDE!$A$7:$A$69=G$26),0))</f>
        <v>0</v>
      </c>
      <c r="H32" s="132">
        <f t="array" aca="1" ref="H32" ca="1">SUM(IFERROR(Propagações_TOT_GRANDE!$B$7:$BZ$69*(Propagações_TOT_GRANDE!$B$6:$BZ$6=$B32&amp;"A")*(Propagações_TOT_GRANDE!$A$7:$A$69=H$26),0))</f>
        <v>0</v>
      </c>
      <c r="I32" s="132">
        <f t="array" aca="1" ref="I32" ca="1">SUM(IFERROR(Propagações_TOT_GRANDE!$B$7:$BZ$69*(Propagações_TOT_GRANDE!$B$6:$BZ$6=$B32&amp;"A")*(Propagações_TOT_GRANDE!$A$7:$A$69=I$26),0))</f>
        <v>0</v>
      </c>
      <c r="J32" s="132">
        <f t="array" aca="1" ref="J32" ca="1">SUM(IFERROR(Propagações_TOT_GRANDE!$B$7:$BZ$69*(Propagações_TOT_GRANDE!$B$6:$BZ$6=$B32&amp;"A")*(Propagações_TOT_GRANDE!$A$7:$A$69=J$26),0))</f>
        <v>0</v>
      </c>
      <c r="K32" s="132">
        <f t="array" aca="1" ref="K32" ca="1">SUM(IFERROR(Propagações_TOT_GRANDE!$B$7:$BZ$69*(Propagações_TOT_GRANDE!$B$6:$BZ$6=$B32&amp;"A")*(Propagações_TOT_GRANDE!$A$7:$A$69=K$26),0))</f>
        <v>0</v>
      </c>
      <c r="L32" s="132">
        <f t="array" aca="1" ref="L32" ca="1">SUM(IFERROR(Propagações_TOT_GRANDE!$B$7:$BZ$69*(Propagações_TOT_GRANDE!$B$6:$BZ$6=$B32&amp;"A")*(Propagações_TOT_GRANDE!$A$7:$A$69=L$26),0))</f>
        <v>0</v>
      </c>
      <c r="M32" s="132">
        <f t="array" aca="1" ref="M32" ca="1">SUM(IFERROR(Propagações_TOT_GRANDE!$B$7:$BZ$69*(Propagações_TOT_GRANDE!$B$6:$BZ$6=$B32&amp;"A")*(Propagações_TOT_GRANDE!$A$7:$A$69=M$26),0))</f>
        <v>0</v>
      </c>
      <c r="N32" s="132">
        <f t="array" aca="1" ref="N32" ca="1">SUM(IFERROR(Propagações_TOT_GRANDE!$B$7:$BZ$69*(Propagações_TOT_GRANDE!$B$6:$BZ$6=$B32&amp;"A")*(Propagações_TOT_GRANDE!$A$7:$A$69=N$26),0))</f>
        <v>0</v>
      </c>
      <c r="O32" s="132">
        <f t="array" aca="1" ref="O32" ca="1">SUM(IFERROR(Propagações_TOT_GRANDE!$B$7:$BZ$69*(Propagações_TOT_GRANDE!$B$6:$BZ$6=$B32&amp;"A")*(Propagações_TOT_GRANDE!$A$7:$A$69=O$26),0))</f>
        <v>0</v>
      </c>
      <c r="P32" s="132">
        <f t="array" aca="1" ref="P32" ca="1">SUM(IFERROR(Propagações_TOT_GRANDE!$B$7:$BZ$69*(Propagações_TOT_GRANDE!$B$6:$BZ$6=$B32&amp;"A")*(Propagações_TOT_GRANDE!$A$7:$A$69=P$26),0))</f>
        <v>0</v>
      </c>
      <c r="Q32" s="132">
        <f t="array" aca="1" ref="Q32" ca="1">SUM(IFERROR(Propagações_TOT_GRANDE!$B$7:$BZ$69*(Propagações_TOT_GRANDE!$B$6:$BZ$6=$B32&amp;"A")*(Propagações_TOT_GRANDE!$A$7:$A$69=Q$26),0))</f>
        <v>0</v>
      </c>
      <c r="R32" s="132"/>
      <c r="S32"/>
      <c r="T32" s="272">
        <v>5</v>
      </c>
      <c r="V32" s="202" t="e">
        <f ca="1">IFERROR(ROUND(INDEX(F:F,MATCH($T32,$A:$A,0)),0),INDEX(PREVIVAZ!$C6:$N6,1,MATCH(V$27,PREVIVAZ!$C$1:$N$1,1)))</f>
        <v>#N/A</v>
      </c>
      <c r="W32" s="202" t="e">
        <f ca="1">IFERROR(ROUND(INDEX(G:G,MATCH($T32,$A:$A,0)),0),INDEX(PREVIVAZ!$C6:$N6,1,MATCH(W$27,PREVIVAZ!$C$1:$N$1,1)))</f>
        <v>#N/A</v>
      </c>
      <c r="X32" s="202" t="e">
        <f ca="1">IFERROR(ROUND(INDEX(H:H,MATCH($T32,$A:$A,0)),0),INDEX(PREVIVAZ!$C6:$N6,1,MATCH(X$27,PREVIVAZ!$C$1:$N$1,1)))</f>
        <v>#N/A</v>
      </c>
      <c r="Y32" s="202" t="e">
        <f ca="1">IFERROR(ROUND(INDEX(I:I,MATCH($T32,$A:$A,0)),0),INDEX(PREVIVAZ!$C6:$N6,1,MATCH(Y$27,PREVIVAZ!$C$1:$N$1,1)))</f>
        <v>#N/A</v>
      </c>
      <c r="Z32" s="202" t="e">
        <f ca="1">IFERROR(ROUND(INDEX(J:J,MATCH($T32,$A:$A,0)),0),INDEX(PREVIVAZ!$C6:$N6,1,MATCH(Z$27,PREVIVAZ!$C$1:$N$1,1)))</f>
        <v>#N/A</v>
      </c>
      <c r="AA32" s="202" t="e">
        <f ca="1">IFERROR(ROUND(INDEX(K:K,MATCH($T32,$A:$A,0)),0),INDEX(PREVIVAZ!$C6:$N6,1,MATCH(AA$27,PREVIVAZ!$C$1:$N$1,1)))</f>
        <v>#N/A</v>
      </c>
      <c r="AB32" s="202" t="e">
        <f ca="1">IFERROR(ROUND(INDEX(L:L,MATCH($T32,$A:$A,0)),0),INDEX(PREVIVAZ!$C6:$N6,1,MATCH(AB$27,PREVIVAZ!$C$1:$N$1,1)))</f>
        <v>#N/A</v>
      </c>
      <c r="AC32" s="202" t="e">
        <f ca="1">IFERROR(ROUND(INDEX(M:M,MATCH($T32,$A:$A,0)),0),INDEX(PREVIVAZ!$C6:$N6,1,MATCH(AC$27,PREVIVAZ!$C$1:$N$1,1)))</f>
        <v>#N/A</v>
      </c>
      <c r="AD32" s="202" t="e">
        <f ca="1">IFERROR(ROUND(INDEX(N:N,MATCH($T32,$A:$A,0)),0),INDEX(PREVIVAZ!$C6:$N6,1,MATCH(AD$27,PREVIVAZ!$C$1:$N$1,1)))</f>
        <v>#N/A</v>
      </c>
      <c r="AE32" s="202" t="e">
        <f ca="1">IFERROR(ROUND(INDEX(O:O,MATCH($T32,$A:$A,0)),0),INDEX(PREVIVAZ!$C6:$N6,1,MATCH(AE$27,PREVIVAZ!$C$1:$N$1,1)))</f>
        <v>#N/A</v>
      </c>
      <c r="AF32" s="202" t="e">
        <f ca="1">IFERROR(ROUND(INDEX(P:P,MATCH($T32,$A:$A,0)),0),INDEX(PREVIVAZ!$C6:$N6,1,MATCH(AF$27,PREVIVAZ!$C$1:$N$1,1)))</f>
        <v>#N/A</v>
      </c>
      <c r="AG32" s="202" t="e">
        <f ca="1">IFERROR(ROUND(INDEX(Q:Q,MATCH($T32,$A:$A,0)),0),INDEX(PREVIVAZ!$C6:$N6,1,MATCH(AG$27,PREVIVAZ!$C$1:$N$1,1)))</f>
        <v>#N/A</v>
      </c>
    </row>
    <row r="33" spans="1:33" ht="13.5" thickBot="1" x14ac:dyDescent="0.25">
      <c r="A33" s="147">
        <v>8</v>
      </c>
      <c r="B33" s="282" t="str">
        <f t="shared" si="3"/>
        <v>8_VN</v>
      </c>
      <c r="C33" s="137" t="s">
        <v>42</v>
      </c>
      <c r="D33" s="132">
        <f t="shared" si="4"/>
        <v>8</v>
      </c>
      <c r="E33" s="132">
        <f t="array" aca="1" ref="E33" ca="1">SUM(IFERROR(Propagações_TOT_GRANDE!$B$7:$BZ$69*(Propagações_TOT_GRANDE!$B$6:$BZ$6=$B33&amp;"A")*(Propagações_TOT_GRANDE!$A$7:$A$69=E$26),0))</f>
        <v>900</v>
      </c>
      <c r="F33" s="132">
        <f t="array" aca="1" ref="F33" ca="1">SUM(IFERROR(Propagações_TOT_GRANDE!$B$7:$BZ$69*(Propagações_TOT_GRANDE!$B$6:$BZ$6=$B33&amp;"A")*(Propagações_TOT_GRANDE!$A$7:$A$69=F$26),0))</f>
        <v>0</v>
      </c>
      <c r="G33" s="132">
        <f t="array" aca="1" ref="G33" ca="1">SUM(IFERROR(Propagações_TOT_GRANDE!$B$7:$BZ$69*(Propagações_TOT_GRANDE!$B$6:$BZ$6=$B33&amp;"A")*(Propagações_TOT_GRANDE!$A$7:$A$69=G$26),0))</f>
        <v>0</v>
      </c>
      <c r="H33" s="132">
        <f t="array" aca="1" ref="H33" ca="1">SUM(IFERROR(Propagações_TOT_GRANDE!$B$7:$BZ$69*(Propagações_TOT_GRANDE!$B$6:$BZ$6=$B33&amp;"A")*(Propagações_TOT_GRANDE!$A$7:$A$69=H$26),0))</f>
        <v>0</v>
      </c>
      <c r="I33" s="132">
        <f t="array" aca="1" ref="I33" ca="1">SUM(IFERROR(Propagações_TOT_GRANDE!$B$7:$BZ$69*(Propagações_TOT_GRANDE!$B$6:$BZ$6=$B33&amp;"A")*(Propagações_TOT_GRANDE!$A$7:$A$69=I$26),0))</f>
        <v>0</v>
      </c>
      <c r="J33" s="132">
        <f t="array" aca="1" ref="J33" ca="1">SUM(IFERROR(Propagações_TOT_GRANDE!$B$7:$BZ$69*(Propagações_TOT_GRANDE!$B$6:$BZ$6=$B33&amp;"A")*(Propagações_TOT_GRANDE!$A$7:$A$69=J$26),0))</f>
        <v>0</v>
      </c>
      <c r="K33" s="132">
        <f t="array" aca="1" ref="K33" ca="1">SUM(IFERROR(Propagações_TOT_GRANDE!$B$7:$BZ$69*(Propagações_TOT_GRANDE!$B$6:$BZ$6=$B33&amp;"A")*(Propagações_TOT_GRANDE!$A$7:$A$69=K$26),0))</f>
        <v>0</v>
      </c>
      <c r="L33" s="132">
        <f t="array" aca="1" ref="L33" ca="1">SUM(IFERROR(Propagações_TOT_GRANDE!$B$7:$BZ$69*(Propagações_TOT_GRANDE!$B$6:$BZ$6=$B33&amp;"A")*(Propagações_TOT_GRANDE!$A$7:$A$69=L$26),0))</f>
        <v>0</v>
      </c>
      <c r="M33" s="132">
        <f t="array" aca="1" ref="M33" ca="1">SUM(IFERROR(Propagações_TOT_GRANDE!$B$7:$BZ$69*(Propagações_TOT_GRANDE!$B$6:$BZ$6=$B33&amp;"A")*(Propagações_TOT_GRANDE!$A$7:$A$69=M$26),0))</f>
        <v>0</v>
      </c>
      <c r="N33" s="132">
        <f t="array" aca="1" ref="N33" ca="1">SUM(IFERROR(Propagações_TOT_GRANDE!$B$7:$BZ$69*(Propagações_TOT_GRANDE!$B$6:$BZ$6=$B33&amp;"A")*(Propagações_TOT_GRANDE!$A$7:$A$69=N$26),0))</f>
        <v>0</v>
      </c>
      <c r="O33" s="132">
        <f t="array" aca="1" ref="O33" ca="1">SUM(IFERROR(Propagações_TOT_GRANDE!$B$7:$BZ$69*(Propagações_TOT_GRANDE!$B$6:$BZ$6=$B33&amp;"A")*(Propagações_TOT_GRANDE!$A$7:$A$69=O$26),0))</f>
        <v>0</v>
      </c>
      <c r="P33" s="132">
        <f t="array" aca="1" ref="P33" ca="1">SUM(IFERROR(Propagações_TOT_GRANDE!$B$7:$BZ$69*(Propagações_TOT_GRANDE!$B$6:$BZ$6=$B33&amp;"A")*(Propagações_TOT_GRANDE!$A$7:$A$69=P$26),0))</f>
        <v>0</v>
      </c>
      <c r="Q33" s="132">
        <f t="array" aca="1" ref="Q33" ca="1">SUM(IFERROR(Propagações_TOT_GRANDE!$B$7:$BZ$69*(Propagações_TOT_GRANDE!$B$6:$BZ$6=$B33&amp;"A")*(Propagações_TOT_GRANDE!$A$7:$A$69=Q$26),0))</f>
        <v>0</v>
      </c>
      <c r="R33" s="132"/>
      <c r="S33"/>
      <c r="T33" s="272">
        <v>6</v>
      </c>
      <c r="V33" s="202">
        <f ca="1">IFERROR(ROUND(INDEX(F:F,MATCH($T33,$A:$A,0)),0),INDEX(PREVIVAZ!$C7:$N7,1,MATCH(V$27,PREVIVAZ!$C$1:$N$1,1)))</f>
        <v>0</v>
      </c>
      <c r="W33" s="202">
        <f ca="1">IFERROR(ROUND(INDEX(G:G,MATCH($T33,$A:$A,0)),0),INDEX(PREVIVAZ!$C7:$N7,1,MATCH(W$27,PREVIVAZ!$C$1:$N$1,1)))</f>
        <v>0</v>
      </c>
      <c r="X33" s="202">
        <f ca="1">IFERROR(ROUND(INDEX(H:H,MATCH($T33,$A:$A,0)),0),INDEX(PREVIVAZ!$C7:$N7,1,MATCH(X$27,PREVIVAZ!$C$1:$N$1,1)))</f>
        <v>0</v>
      </c>
      <c r="Y33" s="202">
        <f ca="1">IFERROR(ROUND(INDEX(I:I,MATCH($T33,$A:$A,0)),0),INDEX(PREVIVAZ!$C7:$N7,1,MATCH(Y$27,PREVIVAZ!$C$1:$N$1,1)))</f>
        <v>0</v>
      </c>
      <c r="Z33" s="202">
        <f ca="1">IFERROR(ROUND(INDEX(J:J,MATCH($T33,$A:$A,0)),0),INDEX(PREVIVAZ!$C7:$N7,1,MATCH(Z$27,PREVIVAZ!$C$1:$N$1,1)))</f>
        <v>0</v>
      </c>
      <c r="AA33" s="202">
        <f ca="1">IFERROR(ROUND(INDEX(K:K,MATCH($T33,$A:$A,0)),0),INDEX(PREVIVAZ!$C7:$N7,1,MATCH(AA$27,PREVIVAZ!$C$1:$N$1,1)))</f>
        <v>0</v>
      </c>
      <c r="AB33" s="202">
        <f ca="1">IFERROR(ROUND(INDEX(L:L,MATCH($T33,$A:$A,0)),0),INDEX(PREVIVAZ!$C7:$N7,1,MATCH(AB$27,PREVIVAZ!$C$1:$N$1,1)))</f>
        <v>0</v>
      </c>
      <c r="AC33" s="202">
        <f ca="1">IFERROR(ROUND(INDEX(M:M,MATCH($T33,$A:$A,0)),0),INDEX(PREVIVAZ!$C7:$N7,1,MATCH(AC$27,PREVIVAZ!$C$1:$N$1,1)))</f>
        <v>0</v>
      </c>
      <c r="AD33" s="202">
        <f ca="1">IFERROR(ROUND(INDEX(N:N,MATCH($T33,$A:$A,0)),0),INDEX(PREVIVAZ!$C7:$N7,1,MATCH(AD$27,PREVIVAZ!$C$1:$N$1,1)))</f>
        <v>0</v>
      </c>
      <c r="AE33" s="202">
        <f ca="1">IFERROR(ROUND(INDEX(O:O,MATCH($T33,$A:$A,0)),0),INDEX(PREVIVAZ!$C7:$N7,1,MATCH(AE$27,PREVIVAZ!$C$1:$N$1,1)))</f>
        <v>0</v>
      </c>
      <c r="AF33" s="202">
        <f ca="1">IFERROR(ROUND(INDEX(P:P,MATCH($T33,$A:$A,0)),0),INDEX(PREVIVAZ!$C7:$N7,1,MATCH(AF$27,PREVIVAZ!$C$1:$N$1,1)))</f>
        <v>0</v>
      </c>
      <c r="AG33" s="202">
        <f ca="1">IFERROR(ROUND(INDEX(Q:Q,MATCH($T33,$A:$A,0)),0),INDEX(PREVIVAZ!$C7:$N7,1,MATCH(AG$27,PREVIVAZ!$C$1:$N$1,1)))</f>
        <v>0</v>
      </c>
    </row>
    <row r="34" spans="1:33" ht="13.5" thickBot="1" x14ac:dyDescent="0.25">
      <c r="A34" s="147">
        <v>9</v>
      </c>
      <c r="B34" s="282" t="str">
        <f t="shared" si="3"/>
        <v>9_VN</v>
      </c>
      <c r="C34" s="137" t="s">
        <v>43</v>
      </c>
      <c r="D34" s="132">
        <f t="shared" si="4"/>
        <v>9</v>
      </c>
      <c r="E34" s="132">
        <f t="array" aca="1" ref="E34" ca="1">SUM(IFERROR(Propagações_TOT_GRANDE!$B$7:$BZ$69*(Propagações_TOT_GRANDE!$B$6:$BZ$6=$B34&amp;"A")*(Propagações_TOT_GRANDE!$A$7:$A$69=E$26),0))</f>
        <v>899</v>
      </c>
      <c r="F34" s="132">
        <f t="array" aca="1" ref="F34" ca="1">SUM(IFERROR(Propagações_TOT_GRANDE!$B$7:$BZ$69*(Propagações_TOT_GRANDE!$B$6:$BZ$6=$B34&amp;"A")*(Propagações_TOT_GRANDE!$A$7:$A$69=F$26),0))</f>
        <v>0</v>
      </c>
      <c r="G34" s="132">
        <f t="array" aca="1" ref="G34" ca="1">SUM(IFERROR(Propagações_TOT_GRANDE!$B$7:$BZ$69*(Propagações_TOT_GRANDE!$B$6:$BZ$6=$B34&amp;"A")*(Propagações_TOT_GRANDE!$A$7:$A$69=G$26),0))</f>
        <v>0</v>
      </c>
      <c r="H34" s="132">
        <f t="array" aca="1" ref="H34" ca="1">SUM(IFERROR(Propagações_TOT_GRANDE!$B$7:$BZ$69*(Propagações_TOT_GRANDE!$B$6:$BZ$6=$B34&amp;"A")*(Propagações_TOT_GRANDE!$A$7:$A$69=H$26),0))</f>
        <v>0</v>
      </c>
      <c r="I34" s="132">
        <f t="array" aca="1" ref="I34" ca="1">SUM(IFERROR(Propagações_TOT_GRANDE!$B$7:$BZ$69*(Propagações_TOT_GRANDE!$B$6:$BZ$6=$B34&amp;"A")*(Propagações_TOT_GRANDE!$A$7:$A$69=I$26),0))</f>
        <v>0</v>
      </c>
      <c r="J34" s="132">
        <f t="array" aca="1" ref="J34" ca="1">SUM(IFERROR(Propagações_TOT_GRANDE!$B$7:$BZ$69*(Propagações_TOT_GRANDE!$B$6:$BZ$6=$B34&amp;"A")*(Propagações_TOT_GRANDE!$A$7:$A$69=J$26),0))</f>
        <v>0</v>
      </c>
      <c r="K34" s="132">
        <f t="array" aca="1" ref="K34" ca="1">SUM(IFERROR(Propagações_TOT_GRANDE!$B$7:$BZ$69*(Propagações_TOT_GRANDE!$B$6:$BZ$6=$B34&amp;"A")*(Propagações_TOT_GRANDE!$A$7:$A$69=K$26),0))</f>
        <v>0</v>
      </c>
      <c r="L34" s="132">
        <f t="array" aca="1" ref="L34" ca="1">SUM(IFERROR(Propagações_TOT_GRANDE!$B$7:$BZ$69*(Propagações_TOT_GRANDE!$B$6:$BZ$6=$B34&amp;"A")*(Propagações_TOT_GRANDE!$A$7:$A$69=L$26),0))</f>
        <v>0</v>
      </c>
      <c r="M34" s="132">
        <f t="array" aca="1" ref="M34" ca="1">SUM(IFERROR(Propagações_TOT_GRANDE!$B$7:$BZ$69*(Propagações_TOT_GRANDE!$B$6:$BZ$6=$B34&amp;"A")*(Propagações_TOT_GRANDE!$A$7:$A$69=M$26),0))</f>
        <v>0</v>
      </c>
      <c r="N34" s="132">
        <f t="array" aca="1" ref="N34" ca="1">SUM(IFERROR(Propagações_TOT_GRANDE!$B$7:$BZ$69*(Propagações_TOT_GRANDE!$B$6:$BZ$6=$B34&amp;"A")*(Propagações_TOT_GRANDE!$A$7:$A$69=N$26),0))</f>
        <v>0</v>
      </c>
      <c r="O34" s="132">
        <f t="array" aca="1" ref="O34" ca="1">SUM(IFERROR(Propagações_TOT_GRANDE!$B$7:$BZ$69*(Propagações_TOT_GRANDE!$B$6:$BZ$6=$B34&amp;"A")*(Propagações_TOT_GRANDE!$A$7:$A$69=O$26),0))</f>
        <v>0</v>
      </c>
      <c r="P34" s="132">
        <f t="array" aca="1" ref="P34" ca="1">SUM(IFERROR(Propagações_TOT_GRANDE!$B$7:$BZ$69*(Propagações_TOT_GRANDE!$B$6:$BZ$6=$B34&amp;"A")*(Propagações_TOT_GRANDE!$A$7:$A$69=P$26),0))</f>
        <v>0</v>
      </c>
      <c r="Q34" s="132">
        <f t="array" aca="1" ref="Q34" ca="1">SUM(IFERROR(Propagações_TOT_GRANDE!$B$7:$BZ$69*(Propagações_TOT_GRANDE!$B$6:$BZ$6=$B34&amp;"A")*(Propagações_TOT_GRANDE!$A$7:$A$69=Q$26),0))</f>
        <v>0</v>
      </c>
      <c r="R34" s="132"/>
      <c r="S34"/>
      <c r="T34" s="272">
        <v>7</v>
      </c>
      <c r="V34" s="202">
        <f ca="1">IFERROR(ROUND(INDEX(F:F,MATCH($T34,$A:$A,0)),0),INDEX(PREVIVAZ!$C8:$N8,1,MATCH(V$27,PREVIVAZ!$C$1:$N$1,1)))</f>
        <v>0</v>
      </c>
      <c r="W34" s="202">
        <f ca="1">IFERROR(ROUND(INDEX(G:G,MATCH($T34,$A:$A,0)),0),INDEX(PREVIVAZ!$C8:$N8,1,MATCH(W$27,PREVIVAZ!$C$1:$N$1,1)))</f>
        <v>0</v>
      </c>
      <c r="X34" s="202">
        <f ca="1">IFERROR(ROUND(INDEX(H:H,MATCH($T34,$A:$A,0)),0),INDEX(PREVIVAZ!$C8:$N8,1,MATCH(X$27,PREVIVAZ!$C$1:$N$1,1)))</f>
        <v>0</v>
      </c>
      <c r="Y34" s="202">
        <f ca="1">IFERROR(ROUND(INDEX(I:I,MATCH($T34,$A:$A,0)),0),INDEX(PREVIVAZ!$C8:$N8,1,MATCH(Y$27,PREVIVAZ!$C$1:$N$1,1)))</f>
        <v>0</v>
      </c>
      <c r="Z34" s="202">
        <f ca="1">IFERROR(ROUND(INDEX(J:J,MATCH($T34,$A:$A,0)),0),INDEX(PREVIVAZ!$C8:$N8,1,MATCH(Z$27,PREVIVAZ!$C$1:$N$1,1)))</f>
        <v>0</v>
      </c>
      <c r="AA34" s="202">
        <f ca="1">IFERROR(ROUND(INDEX(K:K,MATCH($T34,$A:$A,0)),0),INDEX(PREVIVAZ!$C8:$N8,1,MATCH(AA$27,PREVIVAZ!$C$1:$N$1,1)))</f>
        <v>0</v>
      </c>
      <c r="AB34" s="202">
        <f ca="1">IFERROR(ROUND(INDEX(L:L,MATCH($T34,$A:$A,0)),0),INDEX(PREVIVAZ!$C8:$N8,1,MATCH(AB$27,PREVIVAZ!$C$1:$N$1,1)))</f>
        <v>0</v>
      </c>
      <c r="AC34" s="202">
        <f ca="1">IFERROR(ROUND(INDEX(M:M,MATCH($T34,$A:$A,0)),0),INDEX(PREVIVAZ!$C8:$N8,1,MATCH(AC$27,PREVIVAZ!$C$1:$N$1,1)))</f>
        <v>0</v>
      </c>
      <c r="AD34" s="202">
        <f ca="1">IFERROR(ROUND(INDEX(N:N,MATCH($T34,$A:$A,0)),0),INDEX(PREVIVAZ!$C8:$N8,1,MATCH(AD$27,PREVIVAZ!$C$1:$N$1,1)))</f>
        <v>0</v>
      </c>
      <c r="AE34" s="202">
        <f ca="1">IFERROR(ROUND(INDEX(O:O,MATCH($T34,$A:$A,0)),0),INDEX(PREVIVAZ!$C8:$N8,1,MATCH(AE$27,PREVIVAZ!$C$1:$N$1,1)))</f>
        <v>0</v>
      </c>
      <c r="AF34" s="202">
        <f ca="1">IFERROR(ROUND(INDEX(P:P,MATCH($T34,$A:$A,0)),0),INDEX(PREVIVAZ!$C8:$N8,1,MATCH(AF$27,PREVIVAZ!$C$1:$N$1,1)))</f>
        <v>0</v>
      </c>
      <c r="AG34" s="202">
        <f ca="1">IFERROR(ROUND(INDEX(Q:Q,MATCH($T34,$A:$A,0)),0),INDEX(PREVIVAZ!$C8:$N8,1,MATCH(AG$27,PREVIVAZ!$C$1:$N$1,1)))</f>
        <v>0</v>
      </c>
    </row>
    <row r="35" spans="1:33" ht="13.5" thickBot="1" x14ac:dyDescent="0.25">
      <c r="A35" s="147">
        <v>10</v>
      </c>
      <c r="B35" s="282" t="str">
        <f t="shared" si="3"/>
        <v>10_VN</v>
      </c>
      <c r="C35" s="137" t="s">
        <v>44</v>
      </c>
      <c r="D35" s="132">
        <f t="shared" si="4"/>
        <v>10</v>
      </c>
      <c r="E35" s="132">
        <f t="array" aca="1" ref="E35" ca="1">SUM(IFERROR(Propagações_TOT_GRANDE!$B$7:$BZ$69*(Propagações_TOT_GRANDE!$B$6:$BZ$6=$B35&amp;"A")*(Propagações_TOT_GRANDE!$A$7:$A$69=E$26),0))</f>
        <v>914</v>
      </c>
      <c r="F35" s="132">
        <f t="array" aca="1" ref="F35" ca="1">SUM(IFERROR(Propagações_TOT_GRANDE!$B$7:$BZ$69*(Propagações_TOT_GRANDE!$B$6:$BZ$6=$B35&amp;"A")*(Propagações_TOT_GRANDE!$A$7:$A$69=F$26),0))</f>
        <v>0</v>
      </c>
      <c r="G35" s="132">
        <f t="array" aca="1" ref="G35" ca="1">SUM(IFERROR(Propagações_TOT_GRANDE!$B$7:$BZ$69*(Propagações_TOT_GRANDE!$B$6:$BZ$6=$B35&amp;"A")*(Propagações_TOT_GRANDE!$A$7:$A$69=G$26),0))</f>
        <v>0</v>
      </c>
      <c r="H35" s="132">
        <f t="array" aca="1" ref="H35" ca="1">SUM(IFERROR(Propagações_TOT_GRANDE!$B$7:$BZ$69*(Propagações_TOT_GRANDE!$B$6:$BZ$6=$B35&amp;"A")*(Propagações_TOT_GRANDE!$A$7:$A$69=H$26),0))</f>
        <v>0</v>
      </c>
      <c r="I35" s="132">
        <f t="array" aca="1" ref="I35" ca="1">SUM(IFERROR(Propagações_TOT_GRANDE!$B$7:$BZ$69*(Propagações_TOT_GRANDE!$B$6:$BZ$6=$B35&amp;"A")*(Propagações_TOT_GRANDE!$A$7:$A$69=I$26),0))</f>
        <v>0</v>
      </c>
      <c r="J35" s="132">
        <f t="array" aca="1" ref="J35" ca="1">SUM(IFERROR(Propagações_TOT_GRANDE!$B$7:$BZ$69*(Propagações_TOT_GRANDE!$B$6:$BZ$6=$B35&amp;"A")*(Propagações_TOT_GRANDE!$A$7:$A$69=J$26),0))</f>
        <v>0</v>
      </c>
      <c r="K35" s="132">
        <f t="array" aca="1" ref="K35" ca="1">SUM(IFERROR(Propagações_TOT_GRANDE!$B$7:$BZ$69*(Propagações_TOT_GRANDE!$B$6:$BZ$6=$B35&amp;"A")*(Propagações_TOT_GRANDE!$A$7:$A$69=K$26),0))</f>
        <v>0</v>
      </c>
      <c r="L35" s="132">
        <f t="array" aca="1" ref="L35" ca="1">SUM(IFERROR(Propagações_TOT_GRANDE!$B$7:$BZ$69*(Propagações_TOT_GRANDE!$B$6:$BZ$6=$B35&amp;"A")*(Propagações_TOT_GRANDE!$A$7:$A$69=L$26),0))</f>
        <v>0</v>
      </c>
      <c r="M35" s="132">
        <f t="array" aca="1" ref="M35" ca="1">SUM(IFERROR(Propagações_TOT_GRANDE!$B$7:$BZ$69*(Propagações_TOT_GRANDE!$B$6:$BZ$6=$B35&amp;"A")*(Propagações_TOT_GRANDE!$A$7:$A$69=M$26),0))</f>
        <v>0</v>
      </c>
      <c r="N35" s="132">
        <f t="array" aca="1" ref="N35" ca="1">SUM(IFERROR(Propagações_TOT_GRANDE!$B$7:$BZ$69*(Propagações_TOT_GRANDE!$B$6:$BZ$6=$B35&amp;"A")*(Propagações_TOT_GRANDE!$A$7:$A$69=N$26),0))</f>
        <v>0</v>
      </c>
      <c r="O35" s="132">
        <f t="array" aca="1" ref="O35" ca="1">SUM(IFERROR(Propagações_TOT_GRANDE!$B$7:$BZ$69*(Propagações_TOT_GRANDE!$B$6:$BZ$6=$B35&amp;"A")*(Propagações_TOT_GRANDE!$A$7:$A$69=O$26),0))</f>
        <v>0</v>
      </c>
      <c r="P35" s="132">
        <f t="array" aca="1" ref="P35" ca="1">SUM(IFERROR(Propagações_TOT_GRANDE!$B$7:$BZ$69*(Propagações_TOT_GRANDE!$B$6:$BZ$6=$B35&amp;"A")*(Propagações_TOT_GRANDE!$A$7:$A$69=P$26),0))</f>
        <v>0</v>
      </c>
      <c r="Q35" s="132">
        <f t="array" aca="1" ref="Q35" ca="1">SUM(IFERROR(Propagações_TOT_GRANDE!$B$7:$BZ$69*(Propagações_TOT_GRANDE!$B$6:$BZ$6=$B35&amp;"A")*(Propagações_TOT_GRANDE!$A$7:$A$69=Q$26),0))</f>
        <v>0</v>
      </c>
      <c r="R35" s="132"/>
      <c r="S35"/>
      <c r="T35" s="272">
        <v>8</v>
      </c>
      <c r="V35" s="202">
        <f ca="1">IFERROR(ROUND(INDEX(F:F,MATCH($T35,$A:$A,0)),0),INDEX(PREVIVAZ!$C9:$N9,1,MATCH(V$27,PREVIVAZ!$C$1:$N$1,1)))</f>
        <v>0</v>
      </c>
      <c r="W35" s="202">
        <f ca="1">IFERROR(ROUND(INDEX(G:G,MATCH($T35,$A:$A,0)),0),INDEX(PREVIVAZ!$C9:$N9,1,MATCH(W$27,PREVIVAZ!$C$1:$N$1,1)))</f>
        <v>0</v>
      </c>
      <c r="X35" s="202">
        <f ca="1">IFERROR(ROUND(INDEX(H:H,MATCH($T35,$A:$A,0)),0),INDEX(PREVIVAZ!$C9:$N9,1,MATCH(X$27,PREVIVAZ!$C$1:$N$1,1)))</f>
        <v>0</v>
      </c>
      <c r="Y35" s="202">
        <f ca="1">IFERROR(ROUND(INDEX(I:I,MATCH($T35,$A:$A,0)),0),INDEX(PREVIVAZ!$C9:$N9,1,MATCH(Y$27,PREVIVAZ!$C$1:$N$1,1)))</f>
        <v>0</v>
      </c>
      <c r="Z35" s="202">
        <f ca="1">IFERROR(ROUND(INDEX(J:J,MATCH($T35,$A:$A,0)),0),INDEX(PREVIVAZ!$C9:$N9,1,MATCH(Z$27,PREVIVAZ!$C$1:$N$1,1)))</f>
        <v>0</v>
      </c>
      <c r="AA35" s="202">
        <f ca="1">IFERROR(ROUND(INDEX(K:K,MATCH($T35,$A:$A,0)),0),INDEX(PREVIVAZ!$C9:$N9,1,MATCH(AA$27,PREVIVAZ!$C$1:$N$1,1)))</f>
        <v>0</v>
      </c>
      <c r="AB35" s="202">
        <f ca="1">IFERROR(ROUND(INDEX(L:L,MATCH($T35,$A:$A,0)),0),INDEX(PREVIVAZ!$C9:$N9,1,MATCH(AB$27,PREVIVAZ!$C$1:$N$1,1)))</f>
        <v>0</v>
      </c>
      <c r="AC35" s="202">
        <f ca="1">IFERROR(ROUND(INDEX(M:M,MATCH($T35,$A:$A,0)),0),INDEX(PREVIVAZ!$C9:$N9,1,MATCH(AC$27,PREVIVAZ!$C$1:$N$1,1)))</f>
        <v>0</v>
      </c>
      <c r="AD35" s="202">
        <f ca="1">IFERROR(ROUND(INDEX(N:N,MATCH($T35,$A:$A,0)),0),INDEX(PREVIVAZ!$C9:$N9,1,MATCH(AD$27,PREVIVAZ!$C$1:$N$1,1)))</f>
        <v>0</v>
      </c>
      <c r="AE35" s="202">
        <f ca="1">IFERROR(ROUND(INDEX(O:O,MATCH($T35,$A:$A,0)),0),INDEX(PREVIVAZ!$C9:$N9,1,MATCH(AE$27,PREVIVAZ!$C$1:$N$1,1)))</f>
        <v>0</v>
      </c>
      <c r="AF35" s="202">
        <f ca="1">IFERROR(ROUND(INDEX(P:P,MATCH($T35,$A:$A,0)),0),INDEX(PREVIVAZ!$C9:$N9,1,MATCH(AF$27,PREVIVAZ!$C$1:$N$1,1)))</f>
        <v>0</v>
      </c>
      <c r="AG35" s="202">
        <f ca="1">IFERROR(ROUND(INDEX(Q:Q,MATCH($T35,$A:$A,0)),0),INDEX(PREVIVAZ!$C9:$N9,1,MATCH(AG$27,PREVIVAZ!$C$1:$N$1,1)))</f>
        <v>0</v>
      </c>
    </row>
    <row r="36" spans="1:33" ht="13.5" thickBot="1" x14ac:dyDescent="0.25">
      <c r="A36" s="147">
        <v>11</v>
      </c>
      <c r="B36" s="282" t="str">
        <f t="shared" si="3"/>
        <v>11_VN</v>
      </c>
      <c r="C36" s="137" t="s">
        <v>45</v>
      </c>
      <c r="D36" s="132">
        <f t="shared" si="4"/>
        <v>11</v>
      </c>
      <c r="E36" s="132">
        <f t="array" aca="1" ref="E36" ca="1">SUM(IFERROR(Propagações_TOT_GRANDE!$B$7:$BZ$69*(Propagações_TOT_GRANDE!$B$6:$BZ$6=$B36&amp;"A")*(Propagações_TOT_GRANDE!$A$7:$A$69=E$26),0))</f>
        <v>989</v>
      </c>
      <c r="F36" s="132">
        <f t="array" aca="1" ref="F36" ca="1">SUM(IFERROR(Propagações_TOT_GRANDE!$B$7:$BZ$69*(Propagações_TOT_GRANDE!$B$6:$BZ$6=$B36&amp;"A")*(Propagações_TOT_GRANDE!$A$7:$A$69=F$26),0))</f>
        <v>0</v>
      </c>
      <c r="G36" s="132">
        <f t="array" aca="1" ref="G36" ca="1">SUM(IFERROR(Propagações_TOT_GRANDE!$B$7:$BZ$69*(Propagações_TOT_GRANDE!$B$6:$BZ$6=$B36&amp;"A")*(Propagações_TOT_GRANDE!$A$7:$A$69=G$26),0))</f>
        <v>0</v>
      </c>
      <c r="H36" s="132">
        <f t="array" aca="1" ref="H36" ca="1">SUM(IFERROR(Propagações_TOT_GRANDE!$B$7:$BZ$69*(Propagações_TOT_GRANDE!$B$6:$BZ$6=$B36&amp;"A")*(Propagações_TOT_GRANDE!$A$7:$A$69=H$26),0))</f>
        <v>0</v>
      </c>
      <c r="I36" s="132">
        <f t="array" aca="1" ref="I36" ca="1">SUM(IFERROR(Propagações_TOT_GRANDE!$B$7:$BZ$69*(Propagações_TOT_GRANDE!$B$6:$BZ$6=$B36&amp;"A")*(Propagações_TOT_GRANDE!$A$7:$A$69=I$26),0))</f>
        <v>0</v>
      </c>
      <c r="J36" s="132">
        <f t="array" aca="1" ref="J36" ca="1">SUM(IFERROR(Propagações_TOT_GRANDE!$B$7:$BZ$69*(Propagações_TOT_GRANDE!$B$6:$BZ$6=$B36&amp;"A")*(Propagações_TOT_GRANDE!$A$7:$A$69=J$26),0))</f>
        <v>0</v>
      </c>
      <c r="K36" s="132">
        <f t="array" aca="1" ref="K36" ca="1">SUM(IFERROR(Propagações_TOT_GRANDE!$B$7:$BZ$69*(Propagações_TOT_GRANDE!$B$6:$BZ$6=$B36&amp;"A")*(Propagações_TOT_GRANDE!$A$7:$A$69=K$26),0))</f>
        <v>0</v>
      </c>
      <c r="L36" s="132">
        <f t="array" aca="1" ref="L36" ca="1">SUM(IFERROR(Propagações_TOT_GRANDE!$B$7:$BZ$69*(Propagações_TOT_GRANDE!$B$6:$BZ$6=$B36&amp;"A")*(Propagações_TOT_GRANDE!$A$7:$A$69=L$26),0))</f>
        <v>0</v>
      </c>
      <c r="M36" s="132">
        <f t="array" aca="1" ref="M36" ca="1">SUM(IFERROR(Propagações_TOT_GRANDE!$B$7:$BZ$69*(Propagações_TOT_GRANDE!$B$6:$BZ$6=$B36&amp;"A")*(Propagações_TOT_GRANDE!$A$7:$A$69=M$26),0))</f>
        <v>0</v>
      </c>
      <c r="N36" s="132">
        <f t="array" aca="1" ref="N36" ca="1">SUM(IFERROR(Propagações_TOT_GRANDE!$B$7:$BZ$69*(Propagações_TOT_GRANDE!$B$6:$BZ$6=$B36&amp;"A")*(Propagações_TOT_GRANDE!$A$7:$A$69=N$26),0))</f>
        <v>0</v>
      </c>
      <c r="O36" s="132">
        <f t="array" aca="1" ref="O36" ca="1">SUM(IFERROR(Propagações_TOT_GRANDE!$B$7:$BZ$69*(Propagações_TOT_GRANDE!$B$6:$BZ$6=$B36&amp;"A")*(Propagações_TOT_GRANDE!$A$7:$A$69=O$26),0))</f>
        <v>0</v>
      </c>
      <c r="P36" s="132">
        <f t="array" aca="1" ref="P36" ca="1">SUM(IFERROR(Propagações_TOT_GRANDE!$B$7:$BZ$69*(Propagações_TOT_GRANDE!$B$6:$BZ$6=$B36&amp;"A")*(Propagações_TOT_GRANDE!$A$7:$A$69=P$26),0))</f>
        <v>0</v>
      </c>
      <c r="Q36" s="132">
        <f t="array" aca="1" ref="Q36" ca="1">SUM(IFERROR(Propagações_TOT_GRANDE!$B$7:$BZ$69*(Propagações_TOT_GRANDE!$B$6:$BZ$6=$B36&amp;"A")*(Propagações_TOT_GRANDE!$A$7:$A$69=Q$26),0))</f>
        <v>0</v>
      </c>
      <c r="R36" s="132"/>
      <c r="S36"/>
      <c r="T36" s="272">
        <v>9</v>
      </c>
      <c r="V36" s="202">
        <f ca="1">IFERROR(ROUND(INDEX(F:F,MATCH($T36,$A:$A,0)),0),INDEX(PREVIVAZ!$C10:$N10,1,MATCH(V$27,PREVIVAZ!$C$1:$N$1,1)))</f>
        <v>0</v>
      </c>
      <c r="W36" s="202">
        <f ca="1">IFERROR(ROUND(INDEX(G:G,MATCH($T36,$A:$A,0)),0),INDEX(PREVIVAZ!$C10:$N10,1,MATCH(W$27,PREVIVAZ!$C$1:$N$1,1)))</f>
        <v>0</v>
      </c>
      <c r="X36" s="202">
        <f ca="1">IFERROR(ROUND(INDEX(H:H,MATCH($T36,$A:$A,0)),0),INDEX(PREVIVAZ!$C10:$N10,1,MATCH(X$27,PREVIVAZ!$C$1:$N$1,1)))</f>
        <v>0</v>
      </c>
      <c r="Y36" s="202">
        <f ca="1">IFERROR(ROUND(INDEX(I:I,MATCH($T36,$A:$A,0)),0),INDEX(PREVIVAZ!$C10:$N10,1,MATCH(Y$27,PREVIVAZ!$C$1:$N$1,1)))</f>
        <v>0</v>
      </c>
      <c r="Z36" s="202">
        <f ca="1">IFERROR(ROUND(INDEX(J:J,MATCH($T36,$A:$A,0)),0),INDEX(PREVIVAZ!$C10:$N10,1,MATCH(Z$27,PREVIVAZ!$C$1:$N$1,1)))</f>
        <v>0</v>
      </c>
      <c r="AA36" s="202">
        <f ca="1">IFERROR(ROUND(INDEX(K:K,MATCH($T36,$A:$A,0)),0),INDEX(PREVIVAZ!$C10:$N10,1,MATCH(AA$27,PREVIVAZ!$C$1:$N$1,1)))</f>
        <v>0</v>
      </c>
      <c r="AB36" s="202">
        <f ca="1">IFERROR(ROUND(INDEX(L:L,MATCH($T36,$A:$A,0)),0),INDEX(PREVIVAZ!$C10:$N10,1,MATCH(AB$27,PREVIVAZ!$C$1:$N$1,1)))</f>
        <v>0</v>
      </c>
      <c r="AC36" s="202">
        <f ca="1">IFERROR(ROUND(INDEX(M:M,MATCH($T36,$A:$A,0)),0),INDEX(PREVIVAZ!$C10:$N10,1,MATCH(AC$27,PREVIVAZ!$C$1:$N$1,1)))</f>
        <v>0</v>
      </c>
      <c r="AD36" s="202">
        <f ca="1">IFERROR(ROUND(INDEX(N:N,MATCH($T36,$A:$A,0)),0),INDEX(PREVIVAZ!$C10:$N10,1,MATCH(AD$27,PREVIVAZ!$C$1:$N$1,1)))</f>
        <v>0</v>
      </c>
      <c r="AE36" s="202">
        <f ca="1">IFERROR(ROUND(INDEX(O:O,MATCH($T36,$A:$A,0)),0),INDEX(PREVIVAZ!$C10:$N10,1,MATCH(AE$27,PREVIVAZ!$C$1:$N$1,1)))</f>
        <v>0</v>
      </c>
      <c r="AF36" s="202">
        <f ca="1">IFERROR(ROUND(INDEX(P:P,MATCH($T36,$A:$A,0)),0),INDEX(PREVIVAZ!$C10:$N10,1,MATCH(AF$27,PREVIVAZ!$C$1:$N$1,1)))</f>
        <v>0</v>
      </c>
      <c r="AG36" s="202">
        <f ca="1">IFERROR(ROUND(INDEX(Q:Q,MATCH($T36,$A:$A,0)),0),INDEX(PREVIVAZ!$C10:$N10,1,MATCH(AG$27,PREVIVAZ!$C$1:$N$1,1)))</f>
        <v>0</v>
      </c>
    </row>
    <row r="37" spans="1:33" ht="13.5" thickBot="1" x14ac:dyDescent="0.25">
      <c r="A37" s="147">
        <v>12</v>
      </c>
      <c r="B37" s="282" t="str">
        <f t="shared" si="3"/>
        <v>12_VN</v>
      </c>
      <c r="C37" s="142" t="s">
        <v>24</v>
      </c>
      <c r="D37" s="132">
        <f t="shared" si="4"/>
        <v>12</v>
      </c>
      <c r="E37" s="132">
        <f t="array" aca="1" ref="E37" ca="1">SUM(IFERROR(Propagações_TOT_GRANDE!$B$7:$BZ$69*(Propagações_TOT_GRANDE!$B$6:$BZ$6=$B37&amp;"A")*(Propagações_TOT_GRANDE!$A$7:$A$69=E$26),0))</f>
        <v>1161</v>
      </c>
      <c r="F37" s="132">
        <f t="array" aca="1" ref="F37" ca="1">SUM(IFERROR(Propagações_TOT_GRANDE!$B$7:$BZ$69*(Propagações_TOT_GRANDE!$B$6:$BZ$6=$B37&amp;"A")*(Propagações_TOT_GRANDE!$A$7:$A$69=F$26),0))</f>
        <v>0</v>
      </c>
      <c r="G37" s="132">
        <f t="array" aca="1" ref="G37" ca="1">SUM(IFERROR(Propagações_TOT_GRANDE!$B$7:$BZ$69*(Propagações_TOT_GRANDE!$B$6:$BZ$6=$B37&amp;"A")*(Propagações_TOT_GRANDE!$A$7:$A$69=G$26),0))</f>
        <v>0</v>
      </c>
      <c r="H37" s="132">
        <f t="array" aca="1" ref="H37" ca="1">SUM(IFERROR(Propagações_TOT_GRANDE!$B$7:$BZ$69*(Propagações_TOT_GRANDE!$B$6:$BZ$6=$B37&amp;"A")*(Propagações_TOT_GRANDE!$A$7:$A$69=H$26),0))</f>
        <v>0</v>
      </c>
      <c r="I37" s="132">
        <f t="array" aca="1" ref="I37" ca="1">SUM(IFERROR(Propagações_TOT_GRANDE!$B$7:$BZ$69*(Propagações_TOT_GRANDE!$B$6:$BZ$6=$B37&amp;"A")*(Propagações_TOT_GRANDE!$A$7:$A$69=I$26),0))</f>
        <v>0</v>
      </c>
      <c r="J37" s="132">
        <f t="array" aca="1" ref="J37" ca="1">SUM(IFERROR(Propagações_TOT_GRANDE!$B$7:$BZ$69*(Propagações_TOT_GRANDE!$B$6:$BZ$6=$B37&amp;"A")*(Propagações_TOT_GRANDE!$A$7:$A$69=J$26),0))</f>
        <v>0</v>
      </c>
      <c r="K37" s="132">
        <f t="array" aca="1" ref="K37" ca="1">SUM(IFERROR(Propagações_TOT_GRANDE!$B$7:$BZ$69*(Propagações_TOT_GRANDE!$B$6:$BZ$6=$B37&amp;"A")*(Propagações_TOT_GRANDE!$A$7:$A$69=K$26),0))</f>
        <v>0</v>
      </c>
      <c r="L37" s="132">
        <f t="array" aca="1" ref="L37" ca="1">SUM(IFERROR(Propagações_TOT_GRANDE!$B$7:$BZ$69*(Propagações_TOT_GRANDE!$B$6:$BZ$6=$B37&amp;"A")*(Propagações_TOT_GRANDE!$A$7:$A$69=L$26),0))</f>
        <v>0</v>
      </c>
      <c r="M37" s="132">
        <f t="array" aca="1" ref="M37" ca="1">SUM(IFERROR(Propagações_TOT_GRANDE!$B$7:$BZ$69*(Propagações_TOT_GRANDE!$B$6:$BZ$6=$B37&amp;"A")*(Propagações_TOT_GRANDE!$A$7:$A$69=M$26),0))</f>
        <v>0</v>
      </c>
      <c r="N37" s="132">
        <f t="array" aca="1" ref="N37" ca="1">SUM(IFERROR(Propagações_TOT_GRANDE!$B$7:$BZ$69*(Propagações_TOT_GRANDE!$B$6:$BZ$6=$B37&amp;"A")*(Propagações_TOT_GRANDE!$A$7:$A$69=N$26),0))</f>
        <v>0</v>
      </c>
      <c r="O37" s="132">
        <f t="array" aca="1" ref="O37" ca="1">SUM(IFERROR(Propagações_TOT_GRANDE!$B$7:$BZ$69*(Propagações_TOT_GRANDE!$B$6:$BZ$6=$B37&amp;"A")*(Propagações_TOT_GRANDE!$A$7:$A$69=O$26),0))</f>
        <v>0</v>
      </c>
      <c r="P37" s="132">
        <f t="array" aca="1" ref="P37" ca="1">SUM(IFERROR(Propagações_TOT_GRANDE!$B$7:$BZ$69*(Propagações_TOT_GRANDE!$B$6:$BZ$6=$B37&amp;"A")*(Propagações_TOT_GRANDE!$A$7:$A$69=P$26),0))</f>
        <v>0</v>
      </c>
      <c r="Q37" s="132">
        <f t="array" aca="1" ref="Q37" ca="1">SUM(IFERROR(Propagações_TOT_GRANDE!$B$7:$BZ$69*(Propagações_TOT_GRANDE!$B$6:$BZ$6=$B37&amp;"A")*(Propagações_TOT_GRANDE!$A$7:$A$69=Q$26),0))</f>
        <v>0</v>
      </c>
      <c r="R37" s="132"/>
      <c r="S37"/>
      <c r="T37" s="272">
        <v>10</v>
      </c>
      <c r="V37" s="202">
        <f ca="1">IFERROR(ROUND(INDEX(F:F,MATCH($T37,$A:$A,0)),0),INDEX(PREVIVAZ!$C11:$N11,1,MATCH(V$27,PREVIVAZ!$C$1:$N$1,1)))</f>
        <v>0</v>
      </c>
      <c r="W37" s="202">
        <f ca="1">IFERROR(ROUND(INDEX(G:G,MATCH($T37,$A:$A,0)),0),INDEX(PREVIVAZ!$C11:$N11,1,MATCH(W$27,PREVIVAZ!$C$1:$N$1,1)))</f>
        <v>0</v>
      </c>
      <c r="X37" s="202">
        <f ca="1">IFERROR(ROUND(INDEX(H:H,MATCH($T37,$A:$A,0)),0),INDEX(PREVIVAZ!$C11:$N11,1,MATCH(X$27,PREVIVAZ!$C$1:$N$1,1)))</f>
        <v>0</v>
      </c>
      <c r="Y37" s="202">
        <f ca="1">IFERROR(ROUND(INDEX(I:I,MATCH($T37,$A:$A,0)),0),INDEX(PREVIVAZ!$C11:$N11,1,MATCH(Y$27,PREVIVAZ!$C$1:$N$1,1)))</f>
        <v>0</v>
      </c>
      <c r="Z37" s="202">
        <f ca="1">IFERROR(ROUND(INDEX(J:J,MATCH($T37,$A:$A,0)),0),INDEX(PREVIVAZ!$C11:$N11,1,MATCH(Z$27,PREVIVAZ!$C$1:$N$1,1)))</f>
        <v>0</v>
      </c>
      <c r="AA37" s="202">
        <f ca="1">IFERROR(ROUND(INDEX(K:K,MATCH($T37,$A:$A,0)),0),INDEX(PREVIVAZ!$C11:$N11,1,MATCH(AA$27,PREVIVAZ!$C$1:$N$1,1)))</f>
        <v>0</v>
      </c>
      <c r="AB37" s="202">
        <f ca="1">IFERROR(ROUND(INDEX(L:L,MATCH($T37,$A:$A,0)),0),INDEX(PREVIVAZ!$C11:$N11,1,MATCH(AB$27,PREVIVAZ!$C$1:$N$1,1)))</f>
        <v>0</v>
      </c>
      <c r="AC37" s="202">
        <f ca="1">IFERROR(ROUND(INDEX(M:M,MATCH($T37,$A:$A,0)),0),INDEX(PREVIVAZ!$C11:$N11,1,MATCH(AC$27,PREVIVAZ!$C$1:$N$1,1)))</f>
        <v>0</v>
      </c>
      <c r="AD37" s="202">
        <f ca="1">IFERROR(ROUND(INDEX(N:N,MATCH($T37,$A:$A,0)),0),INDEX(PREVIVAZ!$C11:$N11,1,MATCH(AD$27,PREVIVAZ!$C$1:$N$1,1)))</f>
        <v>0</v>
      </c>
      <c r="AE37" s="202">
        <f ca="1">IFERROR(ROUND(INDEX(O:O,MATCH($T37,$A:$A,0)),0),INDEX(PREVIVAZ!$C11:$N11,1,MATCH(AE$27,PREVIVAZ!$C$1:$N$1,1)))</f>
        <v>0</v>
      </c>
      <c r="AF37" s="202">
        <f ca="1">IFERROR(ROUND(INDEX(P:P,MATCH($T37,$A:$A,0)),0),INDEX(PREVIVAZ!$C11:$N11,1,MATCH(AF$27,PREVIVAZ!$C$1:$N$1,1)))</f>
        <v>0</v>
      </c>
      <c r="AG37" s="202">
        <f ca="1">IFERROR(ROUND(INDEX(Q:Q,MATCH($T37,$A:$A,0)),0),INDEX(PREVIVAZ!$C11:$N11,1,MATCH(AG$27,PREVIVAZ!$C$1:$N$1,1)))</f>
        <v>0</v>
      </c>
    </row>
    <row r="38" spans="1:33" ht="13.5" thickBot="1" x14ac:dyDescent="0.25">
      <c r="A38" s="147">
        <v>14</v>
      </c>
      <c r="B38" s="282" t="str">
        <f t="shared" si="3"/>
        <v>14_VN</v>
      </c>
      <c r="C38" s="138" t="s">
        <v>46</v>
      </c>
      <c r="D38" s="132">
        <f t="shared" si="4"/>
        <v>14</v>
      </c>
      <c r="E38" s="132">
        <f t="array" aca="1" ref="E38" ca="1">SUM(IFERROR(Propagações_TOT_GRANDE!$B$7:$BZ$69*(Propagações_TOT_GRANDE!$B$6:$BZ$6=$B38&amp;"A")*(Propagações_TOT_GRANDE!$A$7:$A$69=E$26),0))</f>
        <v>65</v>
      </c>
      <c r="F38" s="132">
        <f t="array" aca="1" ref="F38" ca="1">SUM(IFERROR(Propagações_TOT_GRANDE!$B$7:$BZ$69*(Propagações_TOT_GRANDE!$B$6:$BZ$6=$B38&amp;"A")*(Propagações_TOT_GRANDE!$A$7:$A$69=F$26),0))</f>
        <v>0</v>
      </c>
      <c r="G38" s="132">
        <f t="array" aca="1" ref="G38" ca="1">SUM(IFERROR(Propagações_TOT_GRANDE!$B$7:$BZ$69*(Propagações_TOT_GRANDE!$B$6:$BZ$6=$B38&amp;"A")*(Propagações_TOT_GRANDE!$A$7:$A$69=G$26),0))</f>
        <v>0</v>
      </c>
      <c r="H38" s="132">
        <f t="array" aca="1" ref="H38" ca="1">SUM(IFERROR(Propagações_TOT_GRANDE!$B$7:$BZ$69*(Propagações_TOT_GRANDE!$B$6:$BZ$6=$B38&amp;"A")*(Propagações_TOT_GRANDE!$A$7:$A$69=H$26),0))</f>
        <v>0</v>
      </c>
      <c r="I38" s="132">
        <f t="array" aca="1" ref="I38" ca="1">SUM(IFERROR(Propagações_TOT_GRANDE!$B$7:$BZ$69*(Propagações_TOT_GRANDE!$B$6:$BZ$6=$B38&amp;"A")*(Propagações_TOT_GRANDE!$A$7:$A$69=I$26),0))</f>
        <v>0</v>
      </c>
      <c r="J38" s="132">
        <f t="array" aca="1" ref="J38" ca="1">SUM(IFERROR(Propagações_TOT_GRANDE!$B$7:$BZ$69*(Propagações_TOT_GRANDE!$B$6:$BZ$6=$B38&amp;"A")*(Propagações_TOT_GRANDE!$A$7:$A$69=J$26),0))</f>
        <v>0</v>
      </c>
      <c r="K38" s="132">
        <f t="array" aca="1" ref="K38" ca="1">SUM(IFERROR(Propagações_TOT_GRANDE!$B$7:$BZ$69*(Propagações_TOT_GRANDE!$B$6:$BZ$6=$B38&amp;"A")*(Propagações_TOT_GRANDE!$A$7:$A$69=K$26),0))</f>
        <v>0</v>
      </c>
      <c r="L38" s="132">
        <f t="array" aca="1" ref="L38" ca="1">SUM(IFERROR(Propagações_TOT_GRANDE!$B$7:$BZ$69*(Propagações_TOT_GRANDE!$B$6:$BZ$6=$B38&amp;"A")*(Propagações_TOT_GRANDE!$A$7:$A$69=L$26),0))</f>
        <v>0</v>
      </c>
      <c r="M38" s="132">
        <f t="array" aca="1" ref="M38" ca="1">SUM(IFERROR(Propagações_TOT_GRANDE!$B$7:$BZ$69*(Propagações_TOT_GRANDE!$B$6:$BZ$6=$B38&amp;"A")*(Propagações_TOT_GRANDE!$A$7:$A$69=M$26),0))</f>
        <v>0</v>
      </c>
      <c r="N38" s="132">
        <f t="array" aca="1" ref="N38" ca="1">SUM(IFERROR(Propagações_TOT_GRANDE!$B$7:$BZ$69*(Propagações_TOT_GRANDE!$B$6:$BZ$6=$B38&amp;"A")*(Propagações_TOT_GRANDE!$A$7:$A$69=N$26),0))</f>
        <v>0</v>
      </c>
      <c r="O38" s="132">
        <f t="array" aca="1" ref="O38" ca="1">SUM(IFERROR(Propagações_TOT_GRANDE!$B$7:$BZ$69*(Propagações_TOT_GRANDE!$B$6:$BZ$6=$B38&amp;"A")*(Propagações_TOT_GRANDE!$A$7:$A$69=O$26),0))</f>
        <v>0</v>
      </c>
      <c r="P38" s="132">
        <f t="array" aca="1" ref="P38" ca="1">SUM(IFERROR(Propagações_TOT_GRANDE!$B$7:$BZ$69*(Propagações_TOT_GRANDE!$B$6:$BZ$6=$B38&amp;"A")*(Propagações_TOT_GRANDE!$A$7:$A$69=P$26),0))</f>
        <v>0</v>
      </c>
      <c r="Q38" s="132">
        <f t="array" aca="1" ref="Q38" ca="1">SUM(IFERROR(Propagações_TOT_GRANDE!$B$7:$BZ$69*(Propagações_TOT_GRANDE!$B$6:$BZ$6=$B38&amp;"A")*(Propagações_TOT_GRANDE!$A$7:$A$69=Q$26),0))</f>
        <v>0</v>
      </c>
      <c r="R38" s="132"/>
      <c r="S38"/>
      <c r="T38" s="272">
        <v>11</v>
      </c>
      <c r="V38" s="202">
        <f ca="1">IFERROR(ROUND(INDEX(F:F,MATCH($T38,$A:$A,0)),0),INDEX(PREVIVAZ!$C12:$N12,1,MATCH(V$27,PREVIVAZ!$C$1:$N$1,1)))</f>
        <v>0</v>
      </c>
      <c r="W38" s="202">
        <f ca="1">IFERROR(ROUND(INDEX(G:G,MATCH($T38,$A:$A,0)),0),INDEX(PREVIVAZ!$C12:$N12,1,MATCH(W$27,PREVIVAZ!$C$1:$N$1,1)))</f>
        <v>0</v>
      </c>
      <c r="X38" s="202">
        <f ca="1">IFERROR(ROUND(INDEX(H:H,MATCH($T38,$A:$A,0)),0),INDEX(PREVIVAZ!$C12:$N12,1,MATCH(X$27,PREVIVAZ!$C$1:$N$1,1)))</f>
        <v>0</v>
      </c>
      <c r="Y38" s="202">
        <f ca="1">IFERROR(ROUND(INDEX(I:I,MATCH($T38,$A:$A,0)),0),INDEX(PREVIVAZ!$C12:$N12,1,MATCH(Y$27,PREVIVAZ!$C$1:$N$1,1)))</f>
        <v>0</v>
      </c>
      <c r="Z38" s="202">
        <f ca="1">IFERROR(ROUND(INDEX(J:J,MATCH($T38,$A:$A,0)),0),INDEX(PREVIVAZ!$C12:$N12,1,MATCH(Z$27,PREVIVAZ!$C$1:$N$1,1)))</f>
        <v>0</v>
      </c>
      <c r="AA38" s="202">
        <f ca="1">IFERROR(ROUND(INDEX(K:K,MATCH($T38,$A:$A,0)),0),INDEX(PREVIVAZ!$C12:$N12,1,MATCH(AA$27,PREVIVAZ!$C$1:$N$1,1)))</f>
        <v>0</v>
      </c>
      <c r="AB38" s="202">
        <f ca="1">IFERROR(ROUND(INDEX(L:L,MATCH($T38,$A:$A,0)),0),INDEX(PREVIVAZ!$C12:$N12,1,MATCH(AB$27,PREVIVAZ!$C$1:$N$1,1)))</f>
        <v>0</v>
      </c>
      <c r="AC38" s="202">
        <f ca="1">IFERROR(ROUND(INDEX(M:M,MATCH($T38,$A:$A,0)),0),INDEX(PREVIVAZ!$C12:$N12,1,MATCH(AC$27,PREVIVAZ!$C$1:$N$1,1)))</f>
        <v>0</v>
      </c>
      <c r="AD38" s="202">
        <f ca="1">IFERROR(ROUND(INDEX(N:N,MATCH($T38,$A:$A,0)),0),INDEX(PREVIVAZ!$C12:$N12,1,MATCH(AD$27,PREVIVAZ!$C$1:$N$1,1)))</f>
        <v>0</v>
      </c>
      <c r="AE38" s="202">
        <f ca="1">IFERROR(ROUND(INDEX(O:O,MATCH($T38,$A:$A,0)),0),INDEX(PREVIVAZ!$C12:$N12,1,MATCH(AE$27,PREVIVAZ!$C$1:$N$1,1)))</f>
        <v>0</v>
      </c>
      <c r="AF38" s="202">
        <f ca="1">IFERROR(ROUND(INDEX(P:P,MATCH($T38,$A:$A,0)),0),INDEX(PREVIVAZ!$C12:$N12,1,MATCH(AF$27,PREVIVAZ!$C$1:$N$1,1)))</f>
        <v>0</v>
      </c>
      <c r="AG38" s="202">
        <f ca="1">IFERROR(ROUND(INDEX(Q:Q,MATCH($T38,$A:$A,0)),0),INDEX(PREVIVAZ!$C12:$N12,1,MATCH(AG$27,PREVIVAZ!$C$1:$N$1,1)))</f>
        <v>0</v>
      </c>
    </row>
    <row r="39" spans="1:33" ht="13.5" thickBot="1" x14ac:dyDescent="0.25">
      <c r="A39" s="147">
        <v>15</v>
      </c>
      <c r="B39" s="282" t="str">
        <f t="shared" si="3"/>
        <v>15_VN</v>
      </c>
      <c r="C39" s="142" t="s">
        <v>18</v>
      </c>
      <c r="D39" s="132">
        <f t="shared" si="4"/>
        <v>15</v>
      </c>
      <c r="E39" s="132">
        <f t="array" aca="1" ref="E39" ca="1">SUM(IFERROR(Propagações_TOT_GRANDE!$B$7:$BZ$69*(Propagações_TOT_GRANDE!$B$6:$BZ$6=$B39&amp;"A")*(Propagações_TOT_GRANDE!$A$7:$A$69=E$26),0))</f>
        <v>108</v>
      </c>
      <c r="F39" s="132">
        <f t="array" aca="1" ref="F39" ca="1">SUM(IFERROR(Propagações_TOT_GRANDE!$B$7:$BZ$69*(Propagações_TOT_GRANDE!$B$6:$BZ$6=$B39&amp;"A")*(Propagações_TOT_GRANDE!$A$7:$A$69=F$26),0))</f>
        <v>0</v>
      </c>
      <c r="G39" s="132">
        <f t="array" aca="1" ref="G39" ca="1">SUM(IFERROR(Propagações_TOT_GRANDE!$B$7:$BZ$69*(Propagações_TOT_GRANDE!$B$6:$BZ$6=$B39&amp;"A")*(Propagações_TOT_GRANDE!$A$7:$A$69=G$26),0))</f>
        <v>0</v>
      </c>
      <c r="H39" s="132">
        <f t="array" aca="1" ref="H39" ca="1">SUM(IFERROR(Propagações_TOT_GRANDE!$B$7:$BZ$69*(Propagações_TOT_GRANDE!$B$6:$BZ$6=$B39&amp;"A")*(Propagações_TOT_GRANDE!$A$7:$A$69=H$26),0))</f>
        <v>0</v>
      </c>
      <c r="I39" s="132">
        <f t="array" aca="1" ref="I39" ca="1">SUM(IFERROR(Propagações_TOT_GRANDE!$B$7:$BZ$69*(Propagações_TOT_GRANDE!$B$6:$BZ$6=$B39&amp;"A")*(Propagações_TOT_GRANDE!$A$7:$A$69=I$26),0))</f>
        <v>0</v>
      </c>
      <c r="J39" s="132">
        <f t="array" aca="1" ref="J39" ca="1">SUM(IFERROR(Propagações_TOT_GRANDE!$B$7:$BZ$69*(Propagações_TOT_GRANDE!$B$6:$BZ$6=$B39&amp;"A")*(Propagações_TOT_GRANDE!$A$7:$A$69=J$26),0))</f>
        <v>0</v>
      </c>
      <c r="K39" s="132">
        <f t="array" aca="1" ref="K39" ca="1">SUM(IFERROR(Propagações_TOT_GRANDE!$B$7:$BZ$69*(Propagações_TOT_GRANDE!$B$6:$BZ$6=$B39&amp;"A")*(Propagações_TOT_GRANDE!$A$7:$A$69=K$26),0))</f>
        <v>0</v>
      </c>
      <c r="L39" s="132">
        <f t="array" aca="1" ref="L39" ca="1">SUM(IFERROR(Propagações_TOT_GRANDE!$B$7:$BZ$69*(Propagações_TOT_GRANDE!$B$6:$BZ$6=$B39&amp;"A")*(Propagações_TOT_GRANDE!$A$7:$A$69=L$26),0))</f>
        <v>0</v>
      </c>
      <c r="M39" s="132">
        <f t="array" aca="1" ref="M39" ca="1">SUM(IFERROR(Propagações_TOT_GRANDE!$B$7:$BZ$69*(Propagações_TOT_GRANDE!$B$6:$BZ$6=$B39&amp;"A")*(Propagações_TOT_GRANDE!$A$7:$A$69=M$26),0))</f>
        <v>0</v>
      </c>
      <c r="N39" s="132">
        <f t="array" aca="1" ref="N39" ca="1">SUM(IFERROR(Propagações_TOT_GRANDE!$B$7:$BZ$69*(Propagações_TOT_GRANDE!$B$6:$BZ$6=$B39&amp;"A")*(Propagações_TOT_GRANDE!$A$7:$A$69=N$26),0))</f>
        <v>0</v>
      </c>
      <c r="O39" s="132">
        <f t="array" aca="1" ref="O39" ca="1">SUM(IFERROR(Propagações_TOT_GRANDE!$B$7:$BZ$69*(Propagações_TOT_GRANDE!$B$6:$BZ$6=$B39&amp;"A")*(Propagações_TOT_GRANDE!$A$7:$A$69=O$26),0))</f>
        <v>0</v>
      </c>
      <c r="P39" s="132">
        <f t="array" aca="1" ref="P39" ca="1">SUM(IFERROR(Propagações_TOT_GRANDE!$B$7:$BZ$69*(Propagações_TOT_GRANDE!$B$6:$BZ$6=$B39&amp;"A")*(Propagações_TOT_GRANDE!$A$7:$A$69=P$26),0))</f>
        <v>0</v>
      </c>
      <c r="Q39" s="132">
        <f t="array" aca="1" ref="Q39" ca="1">SUM(IFERROR(Propagações_TOT_GRANDE!$B$7:$BZ$69*(Propagações_TOT_GRANDE!$B$6:$BZ$6=$B39&amp;"A")*(Propagações_TOT_GRANDE!$A$7:$A$69=Q$26),0))</f>
        <v>0</v>
      </c>
      <c r="R39" s="132"/>
      <c r="S39"/>
      <c r="T39" s="272">
        <v>12</v>
      </c>
      <c r="V39" s="202">
        <f ca="1">IFERROR(ROUND(INDEX(F:F,MATCH($T39,$A:$A,0)),0),INDEX(PREVIVAZ!$C13:$N13,1,MATCH(V$27,PREVIVAZ!$C$1:$N$1,1)))</f>
        <v>0</v>
      </c>
      <c r="W39" s="202">
        <f ca="1">IFERROR(ROUND(INDEX(G:G,MATCH($T39,$A:$A,0)),0),INDEX(PREVIVAZ!$C13:$N13,1,MATCH(W$27,PREVIVAZ!$C$1:$N$1,1)))</f>
        <v>0</v>
      </c>
      <c r="X39" s="202">
        <f ca="1">IFERROR(ROUND(INDEX(H:H,MATCH($T39,$A:$A,0)),0),INDEX(PREVIVAZ!$C13:$N13,1,MATCH(X$27,PREVIVAZ!$C$1:$N$1,1)))</f>
        <v>0</v>
      </c>
      <c r="Y39" s="202">
        <f ca="1">IFERROR(ROUND(INDEX(I:I,MATCH($T39,$A:$A,0)),0),INDEX(PREVIVAZ!$C13:$N13,1,MATCH(Y$27,PREVIVAZ!$C$1:$N$1,1)))</f>
        <v>0</v>
      </c>
      <c r="Z39" s="202">
        <f ca="1">IFERROR(ROUND(INDEX(J:J,MATCH($T39,$A:$A,0)),0),INDEX(PREVIVAZ!$C13:$N13,1,MATCH(Z$27,PREVIVAZ!$C$1:$N$1,1)))</f>
        <v>0</v>
      </c>
      <c r="AA39" s="202">
        <f ca="1">IFERROR(ROUND(INDEX(K:K,MATCH($T39,$A:$A,0)),0),INDEX(PREVIVAZ!$C13:$N13,1,MATCH(AA$27,PREVIVAZ!$C$1:$N$1,1)))</f>
        <v>0</v>
      </c>
      <c r="AB39" s="202">
        <f ca="1">IFERROR(ROUND(INDEX(L:L,MATCH($T39,$A:$A,0)),0),INDEX(PREVIVAZ!$C13:$N13,1,MATCH(AB$27,PREVIVAZ!$C$1:$N$1,1)))</f>
        <v>0</v>
      </c>
      <c r="AC39" s="202">
        <f ca="1">IFERROR(ROUND(INDEX(M:M,MATCH($T39,$A:$A,0)),0),INDEX(PREVIVAZ!$C13:$N13,1,MATCH(AC$27,PREVIVAZ!$C$1:$N$1,1)))</f>
        <v>0</v>
      </c>
      <c r="AD39" s="202">
        <f ca="1">IFERROR(ROUND(INDEX(N:N,MATCH($T39,$A:$A,0)),0),INDEX(PREVIVAZ!$C13:$N13,1,MATCH(AD$27,PREVIVAZ!$C$1:$N$1,1)))</f>
        <v>0</v>
      </c>
      <c r="AE39" s="202">
        <f ca="1">IFERROR(ROUND(INDEX(O:O,MATCH($T39,$A:$A,0)),0),INDEX(PREVIVAZ!$C13:$N13,1,MATCH(AE$27,PREVIVAZ!$C$1:$N$1,1)))</f>
        <v>0</v>
      </c>
      <c r="AF39" s="202">
        <f ca="1">IFERROR(ROUND(INDEX(P:P,MATCH($T39,$A:$A,0)),0),INDEX(PREVIVAZ!$C13:$N13,1,MATCH(AF$27,PREVIVAZ!$C$1:$N$1,1)))</f>
        <v>0</v>
      </c>
      <c r="AG39" s="202">
        <f ca="1">IFERROR(ROUND(INDEX(Q:Q,MATCH($T39,$A:$A,0)),0),INDEX(PREVIVAZ!$C13:$N13,1,MATCH(AG$27,PREVIVAZ!$C$1:$N$1,1)))</f>
        <v>0</v>
      </c>
    </row>
    <row r="40" spans="1:33" ht="13.5" thickBot="1" x14ac:dyDescent="0.25">
      <c r="A40" s="147">
        <v>16</v>
      </c>
      <c r="B40" s="282" t="str">
        <f t="shared" si="3"/>
        <v>16_VN</v>
      </c>
      <c r="C40" s="138" t="s">
        <v>47</v>
      </c>
      <c r="D40" s="132">
        <f t="shared" si="4"/>
        <v>16</v>
      </c>
      <c r="E40" s="132">
        <f t="array" aca="1" ref="E40" ca="1">SUM(IFERROR(Propagações_TOT_GRANDE!$B$7:$BZ$69*(Propagações_TOT_GRANDE!$B$6:$BZ$6=$B40&amp;"A")*(Propagações_TOT_GRANDE!$A$7:$A$69=E$26),0))</f>
        <v>110</v>
      </c>
      <c r="F40" s="132">
        <f t="array" aca="1" ref="F40" ca="1">SUM(IFERROR(Propagações_TOT_GRANDE!$B$7:$BZ$69*(Propagações_TOT_GRANDE!$B$6:$BZ$6=$B40&amp;"A")*(Propagações_TOT_GRANDE!$A$7:$A$69=F$26),0))</f>
        <v>0</v>
      </c>
      <c r="G40" s="132">
        <f t="array" aca="1" ref="G40" ca="1">SUM(IFERROR(Propagações_TOT_GRANDE!$B$7:$BZ$69*(Propagações_TOT_GRANDE!$B$6:$BZ$6=$B40&amp;"A")*(Propagações_TOT_GRANDE!$A$7:$A$69=G$26),0))</f>
        <v>0</v>
      </c>
      <c r="H40" s="132">
        <f t="array" aca="1" ref="H40" ca="1">SUM(IFERROR(Propagações_TOT_GRANDE!$B$7:$BZ$69*(Propagações_TOT_GRANDE!$B$6:$BZ$6=$B40&amp;"A")*(Propagações_TOT_GRANDE!$A$7:$A$69=H$26),0))</f>
        <v>0</v>
      </c>
      <c r="I40" s="132">
        <f t="array" aca="1" ref="I40" ca="1">SUM(IFERROR(Propagações_TOT_GRANDE!$B$7:$BZ$69*(Propagações_TOT_GRANDE!$B$6:$BZ$6=$B40&amp;"A")*(Propagações_TOT_GRANDE!$A$7:$A$69=I$26),0))</f>
        <v>0</v>
      </c>
      <c r="J40" s="132">
        <f t="array" aca="1" ref="J40" ca="1">SUM(IFERROR(Propagações_TOT_GRANDE!$B$7:$BZ$69*(Propagações_TOT_GRANDE!$B$6:$BZ$6=$B40&amp;"A")*(Propagações_TOT_GRANDE!$A$7:$A$69=J$26),0))</f>
        <v>0</v>
      </c>
      <c r="K40" s="132">
        <f t="array" aca="1" ref="K40" ca="1">SUM(IFERROR(Propagações_TOT_GRANDE!$B$7:$BZ$69*(Propagações_TOT_GRANDE!$B$6:$BZ$6=$B40&amp;"A")*(Propagações_TOT_GRANDE!$A$7:$A$69=K$26),0))</f>
        <v>0</v>
      </c>
      <c r="L40" s="132">
        <f t="array" aca="1" ref="L40" ca="1">SUM(IFERROR(Propagações_TOT_GRANDE!$B$7:$BZ$69*(Propagações_TOT_GRANDE!$B$6:$BZ$6=$B40&amp;"A")*(Propagações_TOT_GRANDE!$A$7:$A$69=L$26),0))</f>
        <v>0</v>
      </c>
      <c r="M40" s="132">
        <f t="array" aca="1" ref="M40" ca="1">SUM(IFERROR(Propagações_TOT_GRANDE!$B$7:$BZ$69*(Propagações_TOT_GRANDE!$B$6:$BZ$6=$B40&amp;"A")*(Propagações_TOT_GRANDE!$A$7:$A$69=M$26),0))</f>
        <v>0</v>
      </c>
      <c r="N40" s="132">
        <f t="array" aca="1" ref="N40" ca="1">SUM(IFERROR(Propagações_TOT_GRANDE!$B$7:$BZ$69*(Propagações_TOT_GRANDE!$B$6:$BZ$6=$B40&amp;"A")*(Propagações_TOT_GRANDE!$A$7:$A$69=N$26),0))</f>
        <v>0</v>
      </c>
      <c r="O40" s="132">
        <f t="array" aca="1" ref="O40" ca="1">SUM(IFERROR(Propagações_TOT_GRANDE!$B$7:$BZ$69*(Propagações_TOT_GRANDE!$B$6:$BZ$6=$B40&amp;"A")*(Propagações_TOT_GRANDE!$A$7:$A$69=O$26),0))</f>
        <v>0</v>
      </c>
      <c r="P40" s="132">
        <f t="array" aca="1" ref="P40" ca="1">SUM(IFERROR(Propagações_TOT_GRANDE!$B$7:$BZ$69*(Propagações_TOT_GRANDE!$B$6:$BZ$6=$B40&amp;"A")*(Propagações_TOT_GRANDE!$A$7:$A$69=P$26),0))</f>
        <v>0</v>
      </c>
      <c r="Q40" s="132">
        <f t="array" aca="1" ref="Q40" ca="1">SUM(IFERROR(Propagações_TOT_GRANDE!$B$7:$BZ$69*(Propagações_TOT_GRANDE!$B$6:$BZ$6=$B40&amp;"A")*(Propagações_TOT_GRANDE!$A$7:$A$69=Q$26),0))</f>
        <v>0</v>
      </c>
      <c r="R40" s="132"/>
      <c r="S40"/>
      <c r="T40" s="272">
        <v>13</v>
      </c>
      <c r="V40" s="202" t="e">
        <f ca="1">IFERROR(ROUND(INDEX(F:F,MATCH($T40,$A:$A,0)),0),INDEX(PREVIVAZ!$C14:$N14,1,MATCH(V$27,PREVIVAZ!$C$1:$N$1,1)))</f>
        <v>#N/A</v>
      </c>
      <c r="W40" s="202" t="e">
        <f ca="1">IFERROR(ROUND(INDEX(G:G,MATCH($T40,$A:$A,0)),0),INDEX(PREVIVAZ!$C14:$N14,1,MATCH(W$27,PREVIVAZ!$C$1:$N$1,1)))</f>
        <v>#N/A</v>
      </c>
      <c r="X40" s="202" t="e">
        <f ca="1">IFERROR(ROUND(INDEX(H:H,MATCH($T40,$A:$A,0)),0),INDEX(PREVIVAZ!$C14:$N14,1,MATCH(X$27,PREVIVAZ!$C$1:$N$1,1)))</f>
        <v>#N/A</v>
      </c>
      <c r="Y40" s="202" t="e">
        <f ca="1">IFERROR(ROUND(INDEX(I:I,MATCH($T40,$A:$A,0)),0),INDEX(PREVIVAZ!$C14:$N14,1,MATCH(Y$27,PREVIVAZ!$C$1:$N$1,1)))</f>
        <v>#N/A</v>
      </c>
      <c r="Z40" s="202" t="e">
        <f ca="1">IFERROR(ROUND(INDEX(J:J,MATCH($T40,$A:$A,0)),0),INDEX(PREVIVAZ!$C14:$N14,1,MATCH(Z$27,PREVIVAZ!$C$1:$N$1,1)))</f>
        <v>#N/A</v>
      </c>
      <c r="AA40" s="202" t="e">
        <f ca="1">IFERROR(ROUND(INDEX(K:K,MATCH($T40,$A:$A,0)),0),INDEX(PREVIVAZ!$C14:$N14,1,MATCH(AA$27,PREVIVAZ!$C$1:$N$1,1)))</f>
        <v>#N/A</v>
      </c>
      <c r="AB40" s="202" t="e">
        <f ca="1">IFERROR(ROUND(INDEX(L:L,MATCH($T40,$A:$A,0)),0),INDEX(PREVIVAZ!$C14:$N14,1,MATCH(AB$27,PREVIVAZ!$C$1:$N$1,1)))</f>
        <v>#N/A</v>
      </c>
      <c r="AC40" s="202" t="e">
        <f ca="1">IFERROR(ROUND(INDEX(M:M,MATCH($T40,$A:$A,0)),0),INDEX(PREVIVAZ!$C14:$N14,1,MATCH(AC$27,PREVIVAZ!$C$1:$N$1,1)))</f>
        <v>#N/A</v>
      </c>
      <c r="AD40" s="202" t="e">
        <f ca="1">IFERROR(ROUND(INDEX(N:N,MATCH($T40,$A:$A,0)),0),INDEX(PREVIVAZ!$C14:$N14,1,MATCH(AD$27,PREVIVAZ!$C$1:$N$1,1)))</f>
        <v>#N/A</v>
      </c>
      <c r="AE40" s="202" t="e">
        <f ca="1">IFERROR(ROUND(INDEX(O:O,MATCH($T40,$A:$A,0)),0),INDEX(PREVIVAZ!$C14:$N14,1,MATCH(AE$27,PREVIVAZ!$C$1:$N$1,1)))</f>
        <v>#N/A</v>
      </c>
      <c r="AF40" s="202" t="e">
        <f ca="1">IFERROR(ROUND(INDEX(P:P,MATCH($T40,$A:$A,0)),0),INDEX(PREVIVAZ!$C14:$N14,1,MATCH(AF$27,PREVIVAZ!$C$1:$N$1,1)))</f>
        <v>#N/A</v>
      </c>
      <c r="AG40" s="202" t="e">
        <f ca="1">IFERROR(ROUND(INDEX(Q:Q,MATCH($T40,$A:$A,0)),0),INDEX(PREVIVAZ!$C14:$N14,1,MATCH(AG$27,PREVIVAZ!$C$1:$N$1,1)))</f>
        <v>#N/A</v>
      </c>
    </row>
    <row r="41" spans="1:33" ht="13.5" thickBot="1" x14ac:dyDescent="0.25">
      <c r="A41" s="147">
        <v>17</v>
      </c>
      <c r="B41" s="282" t="str">
        <f t="shared" si="3"/>
        <v>17_VN</v>
      </c>
      <c r="C41" s="142" t="s">
        <v>21</v>
      </c>
      <c r="D41" s="132">
        <f t="shared" si="4"/>
        <v>17</v>
      </c>
      <c r="E41" s="132">
        <f t="array" aca="1" ref="E41" ca="1">SUM(IFERROR(Propagações_TOT_GRANDE!$B$7:$BZ$69*(Propagações_TOT_GRANDE!$B$6:$BZ$6=$B41&amp;"A")*(Propagações_TOT_GRANDE!$A$7:$A$69=E$26),0))</f>
        <v>1622</v>
      </c>
      <c r="F41" s="132">
        <f t="array" aca="1" ref="F41" ca="1">SUM(IFERROR(Propagações_TOT_GRANDE!$B$7:$BZ$69*(Propagações_TOT_GRANDE!$B$6:$BZ$6=$B41&amp;"A")*(Propagações_TOT_GRANDE!$A$7:$A$69=F$26),0))</f>
        <v>0</v>
      </c>
      <c r="G41" s="132">
        <f t="array" aca="1" ref="G41" ca="1">SUM(IFERROR(Propagações_TOT_GRANDE!$B$7:$BZ$69*(Propagações_TOT_GRANDE!$B$6:$BZ$6=$B41&amp;"A")*(Propagações_TOT_GRANDE!$A$7:$A$69=G$26),0))</f>
        <v>0</v>
      </c>
      <c r="H41" s="132">
        <f t="array" aca="1" ref="H41" ca="1">SUM(IFERROR(Propagações_TOT_GRANDE!$B$7:$BZ$69*(Propagações_TOT_GRANDE!$B$6:$BZ$6=$B41&amp;"A")*(Propagações_TOT_GRANDE!$A$7:$A$69=H$26),0))</f>
        <v>0</v>
      </c>
      <c r="I41" s="132">
        <f t="array" aca="1" ref="I41" ca="1">SUM(IFERROR(Propagações_TOT_GRANDE!$B$7:$BZ$69*(Propagações_TOT_GRANDE!$B$6:$BZ$6=$B41&amp;"A")*(Propagações_TOT_GRANDE!$A$7:$A$69=I$26),0))</f>
        <v>0</v>
      </c>
      <c r="J41" s="132">
        <f t="array" aca="1" ref="J41" ca="1">SUM(IFERROR(Propagações_TOT_GRANDE!$B$7:$BZ$69*(Propagações_TOT_GRANDE!$B$6:$BZ$6=$B41&amp;"A")*(Propagações_TOT_GRANDE!$A$7:$A$69=J$26),0))</f>
        <v>0</v>
      </c>
      <c r="K41" s="132">
        <f t="array" aca="1" ref="K41" ca="1">SUM(IFERROR(Propagações_TOT_GRANDE!$B$7:$BZ$69*(Propagações_TOT_GRANDE!$B$6:$BZ$6=$B41&amp;"A")*(Propagações_TOT_GRANDE!$A$7:$A$69=K$26),0))</f>
        <v>0</v>
      </c>
      <c r="L41" s="132">
        <f t="array" aca="1" ref="L41" ca="1">SUM(IFERROR(Propagações_TOT_GRANDE!$B$7:$BZ$69*(Propagações_TOT_GRANDE!$B$6:$BZ$6=$B41&amp;"A")*(Propagações_TOT_GRANDE!$A$7:$A$69=L$26),0))</f>
        <v>0</v>
      </c>
      <c r="M41" s="132">
        <f t="array" aca="1" ref="M41" ca="1">SUM(IFERROR(Propagações_TOT_GRANDE!$B$7:$BZ$69*(Propagações_TOT_GRANDE!$B$6:$BZ$6=$B41&amp;"A")*(Propagações_TOT_GRANDE!$A$7:$A$69=M$26),0))</f>
        <v>0</v>
      </c>
      <c r="N41" s="132">
        <f t="array" aca="1" ref="N41" ca="1">SUM(IFERROR(Propagações_TOT_GRANDE!$B$7:$BZ$69*(Propagações_TOT_GRANDE!$B$6:$BZ$6=$B41&amp;"A")*(Propagações_TOT_GRANDE!$A$7:$A$69=N$26),0))</f>
        <v>0</v>
      </c>
      <c r="O41" s="132">
        <f t="array" aca="1" ref="O41" ca="1">SUM(IFERROR(Propagações_TOT_GRANDE!$B$7:$BZ$69*(Propagações_TOT_GRANDE!$B$6:$BZ$6=$B41&amp;"A")*(Propagações_TOT_GRANDE!$A$7:$A$69=O$26),0))</f>
        <v>0</v>
      </c>
      <c r="P41" s="132">
        <f t="array" aca="1" ref="P41" ca="1">SUM(IFERROR(Propagações_TOT_GRANDE!$B$7:$BZ$69*(Propagações_TOT_GRANDE!$B$6:$BZ$6=$B41&amp;"A")*(Propagações_TOT_GRANDE!$A$7:$A$69=P$26),0))</f>
        <v>0</v>
      </c>
      <c r="Q41" s="132">
        <f t="array" aca="1" ref="Q41" ca="1">SUM(IFERROR(Propagações_TOT_GRANDE!$B$7:$BZ$69*(Propagações_TOT_GRANDE!$B$6:$BZ$6=$B41&amp;"A")*(Propagações_TOT_GRANDE!$A$7:$A$69=Q$26),0))</f>
        <v>0</v>
      </c>
      <c r="R41" s="132"/>
      <c r="S41"/>
      <c r="T41" s="272">
        <v>14</v>
      </c>
      <c r="V41" s="202">
        <f ca="1">IFERROR(ROUND(INDEX(F:F,MATCH($T41,$A:$A,0)),0),INDEX(PREVIVAZ!$C15:$N15,1,MATCH(V$27,PREVIVAZ!$C$1:$N$1,1)))</f>
        <v>0</v>
      </c>
      <c r="W41" s="202">
        <f ca="1">IFERROR(ROUND(INDEX(G:G,MATCH($T41,$A:$A,0)),0),INDEX(PREVIVAZ!$C15:$N15,1,MATCH(W$27,PREVIVAZ!$C$1:$N$1,1)))</f>
        <v>0</v>
      </c>
      <c r="X41" s="202">
        <f ca="1">IFERROR(ROUND(INDEX(H:H,MATCH($T41,$A:$A,0)),0),INDEX(PREVIVAZ!$C15:$N15,1,MATCH(X$27,PREVIVAZ!$C$1:$N$1,1)))</f>
        <v>0</v>
      </c>
      <c r="Y41" s="202">
        <f ca="1">IFERROR(ROUND(INDEX(I:I,MATCH($T41,$A:$A,0)),0),INDEX(PREVIVAZ!$C15:$N15,1,MATCH(Y$27,PREVIVAZ!$C$1:$N$1,1)))</f>
        <v>0</v>
      </c>
      <c r="Z41" s="202">
        <f ca="1">IFERROR(ROUND(INDEX(J:J,MATCH($T41,$A:$A,0)),0),INDEX(PREVIVAZ!$C15:$N15,1,MATCH(Z$27,PREVIVAZ!$C$1:$N$1,1)))</f>
        <v>0</v>
      </c>
      <c r="AA41" s="202">
        <f ca="1">IFERROR(ROUND(INDEX(K:K,MATCH($T41,$A:$A,0)),0),INDEX(PREVIVAZ!$C15:$N15,1,MATCH(AA$27,PREVIVAZ!$C$1:$N$1,1)))</f>
        <v>0</v>
      </c>
      <c r="AB41" s="202">
        <f ca="1">IFERROR(ROUND(INDEX(L:L,MATCH($T41,$A:$A,0)),0),INDEX(PREVIVAZ!$C15:$N15,1,MATCH(AB$27,PREVIVAZ!$C$1:$N$1,1)))</f>
        <v>0</v>
      </c>
      <c r="AC41" s="202">
        <f ca="1">IFERROR(ROUND(INDEX(M:M,MATCH($T41,$A:$A,0)),0),INDEX(PREVIVAZ!$C15:$N15,1,MATCH(AC$27,PREVIVAZ!$C$1:$N$1,1)))</f>
        <v>0</v>
      </c>
      <c r="AD41" s="202">
        <f ca="1">IFERROR(ROUND(INDEX(N:N,MATCH($T41,$A:$A,0)),0),INDEX(PREVIVAZ!$C15:$N15,1,MATCH(AD$27,PREVIVAZ!$C$1:$N$1,1)))</f>
        <v>0</v>
      </c>
      <c r="AE41" s="202">
        <f ca="1">IFERROR(ROUND(INDEX(O:O,MATCH($T41,$A:$A,0)),0),INDEX(PREVIVAZ!$C15:$N15,1,MATCH(AE$27,PREVIVAZ!$C$1:$N$1,1)))</f>
        <v>0</v>
      </c>
      <c r="AF41" s="202">
        <f ca="1">IFERROR(ROUND(INDEX(P:P,MATCH($T41,$A:$A,0)),0),INDEX(PREVIVAZ!$C15:$N15,1,MATCH(AF$27,PREVIVAZ!$C$1:$N$1,1)))</f>
        <v>0</v>
      </c>
      <c r="AG41" s="202">
        <f ca="1">IFERROR(ROUND(INDEX(Q:Q,MATCH($T41,$A:$A,0)),0),INDEX(PREVIVAZ!$C15:$N15,1,MATCH(AG$27,PREVIVAZ!$C$1:$N$1,1)))</f>
        <v>0</v>
      </c>
    </row>
    <row r="42" spans="1:33" ht="12.75" x14ac:dyDescent="0.2">
      <c r="A42" s="147">
        <v>18</v>
      </c>
      <c r="B42" s="282" t="str">
        <f t="shared" si="3"/>
        <v>18_VN</v>
      </c>
      <c r="C42" s="142" t="s">
        <v>16</v>
      </c>
      <c r="D42" s="132">
        <f t="shared" si="4"/>
        <v>18</v>
      </c>
      <c r="E42" s="132">
        <f t="array" aca="1" ref="E42" ca="1">SUM(IFERROR(Propagações_TOT_GRANDE!$B$7:$BZ$69*(Propagações_TOT_GRANDE!$B$6:$BZ$6=$B42&amp;"A")*(Propagações_TOT_GRANDE!$A$7:$A$69=E$26),0))</f>
        <v>1781</v>
      </c>
      <c r="F42" s="132">
        <f t="array" aca="1" ref="F42" ca="1">SUM(IFERROR(Propagações_TOT_GRANDE!$B$7:$BZ$69*(Propagações_TOT_GRANDE!$B$6:$BZ$6=$B42&amp;"A")*(Propagações_TOT_GRANDE!$A$7:$A$69=F$26),0))</f>
        <v>0</v>
      </c>
      <c r="G42" s="132">
        <f t="array" aca="1" ref="G42" ca="1">SUM(IFERROR(Propagações_TOT_GRANDE!$B$7:$BZ$69*(Propagações_TOT_GRANDE!$B$6:$BZ$6=$B42&amp;"A")*(Propagações_TOT_GRANDE!$A$7:$A$69=G$26),0))</f>
        <v>0</v>
      </c>
      <c r="H42" s="132">
        <f t="array" aca="1" ref="H42" ca="1">SUM(IFERROR(Propagações_TOT_GRANDE!$B$7:$BZ$69*(Propagações_TOT_GRANDE!$B$6:$BZ$6=$B42&amp;"A")*(Propagações_TOT_GRANDE!$A$7:$A$69=H$26),0))</f>
        <v>0</v>
      </c>
      <c r="I42" s="132">
        <f t="array" aca="1" ref="I42" ca="1">SUM(IFERROR(Propagações_TOT_GRANDE!$B$7:$BZ$69*(Propagações_TOT_GRANDE!$B$6:$BZ$6=$B42&amp;"A")*(Propagações_TOT_GRANDE!$A$7:$A$69=I$26),0))</f>
        <v>0</v>
      </c>
      <c r="J42" s="132">
        <f t="array" aca="1" ref="J42" ca="1">SUM(IFERROR(Propagações_TOT_GRANDE!$B$7:$BZ$69*(Propagações_TOT_GRANDE!$B$6:$BZ$6=$B42&amp;"A")*(Propagações_TOT_GRANDE!$A$7:$A$69=J$26),0))</f>
        <v>0</v>
      </c>
      <c r="K42" s="132">
        <f t="array" aca="1" ref="K42" ca="1">SUM(IFERROR(Propagações_TOT_GRANDE!$B$7:$BZ$69*(Propagações_TOT_GRANDE!$B$6:$BZ$6=$B42&amp;"A")*(Propagações_TOT_GRANDE!$A$7:$A$69=K$26),0))</f>
        <v>0</v>
      </c>
      <c r="L42" s="132">
        <f t="array" aca="1" ref="L42" ca="1">SUM(IFERROR(Propagações_TOT_GRANDE!$B$7:$BZ$69*(Propagações_TOT_GRANDE!$B$6:$BZ$6=$B42&amp;"A")*(Propagações_TOT_GRANDE!$A$7:$A$69=L$26),0))</f>
        <v>0</v>
      </c>
      <c r="M42" s="132">
        <f t="array" aca="1" ref="M42" ca="1">SUM(IFERROR(Propagações_TOT_GRANDE!$B$7:$BZ$69*(Propagações_TOT_GRANDE!$B$6:$BZ$6=$B42&amp;"A")*(Propagações_TOT_GRANDE!$A$7:$A$69=M$26),0))</f>
        <v>0</v>
      </c>
      <c r="N42" s="132">
        <f t="array" aca="1" ref="N42" ca="1">SUM(IFERROR(Propagações_TOT_GRANDE!$B$7:$BZ$69*(Propagações_TOT_GRANDE!$B$6:$BZ$6=$B42&amp;"A")*(Propagações_TOT_GRANDE!$A$7:$A$69=N$26),0))</f>
        <v>0</v>
      </c>
      <c r="O42" s="132">
        <f t="array" aca="1" ref="O42" ca="1">SUM(IFERROR(Propagações_TOT_GRANDE!$B$7:$BZ$69*(Propagações_TOT_GRANDE!$B$6:$BZ$6=$B42&amp;"A")*(Propagações_TOT_GRANDE!$A$7:$A$69=O$26),0))</f>
        <v>0</v>
      </c>
      <c r="P42" s="132">
        <f t="array" aca="1" ref="P42" ca="1">SUM(IFERROR(Propagações_TOT_GRANDE!$B$7:$BZ$69*(Propagações_TOT_GRANDE!$B$6:$BZ$6=$B42&amp;"A")*(Propagações_TOT_GRANDE!$A$7:$A$69=P$26),0))</f>
        <v>0</v>
      </c>
      <c r="Q42" s="132">
        <f t="array" aca="1" ref="Q42" ca="1">SUM(IFERROR(Propagações_TOT_GRANDE!$B$7:$BZ$69*(Propagações_TOT_GRANDE!$B$6:$BZ$6=$B42&amp;"A")*(Propagações_TOT_GRANDE!$A$7:$A$69=Q$26),0))</f>
        <v>0</v>
      </c>
      <c r="R42" s="132"/>
      <c r="S42"/>
      <c r="T42" s="272">
        <v>15</v>
      </c>
      <c r="V42" s="202">
        <f ca="1">IFERROR(ROUND(INDEX(F:F,MATCH($T42,$A:$A,0)),0),INDEX(PREVIVAZ!$C16:$N16,1,MATCH(V$27,PREVIVAZ!$C$1:$N$1,1)))</f>
        <v>0</v>
      </c>
      <c r="W42" s="202">
        <f ca="1">IFERROR(ROUND(INDEX(G:G,MATCH($T42,$A:$A,0)),0),INDEX(PREVIVAZ!$C16:$N16,1,MATCH(W$27,PREVIVAZ!$C$1:$N$1,1)))</f>
        <v>0</v>
      </c>
      <c r="X42" s="202">
        <f ca="1">IFERROR(ROUND(INDEX(H:H,MATCH($T42,$A:$A,0)),0),INDEX(PREVIVAZ!$C16:$N16,1,MATCH(X$27,PREVIVAZ!$C$1:$N$1,1)))</f>
        <v>0</v>
      </c>
      <c r="Y42" s="202">
        <f ca="1">IFERROR(ROUND(INDEX(I:I,MATCH($T42,$A:$A,0)),0),INDEX(PREVIVAZ!$C16:$N16,1,MATCH(Y$27,PREVIVAZ!$C$1:$N$1,1)))</f>
        <v>0</v>
      </c>
      <c r="Z42" s="202">
        <f ca="1">IFERROR(ROUND(INDEX(J:J,MATCH($T42,$A:$A,0)),0),INDEX(PREVIVAZ!$C16:$N16,1,MATCH(Z$27,PREVIVAZ!$C$1:$N$1,1)))</f>
        <v>0</v>
      </c>
      <c r="AA42" s="202">
        <f ca="1">IFERROR(ROUND(INDEX(K:K,MATCH($T42,$A:$A,0)),0),INDEX(PREVIVAZ!$C16:$N16,1,MATCH(AA$27,PREVIVAZ!$C$1:$N$1,1)))</f>
        <v>0</v>
      </c>
      <c r="AB42" s="202">
        <f ca="1">IFERROR(ROUND(INDEX(L:L,MATCH($T42,$A:$A,0)),0),INDEX(PREVIVAZ!$C16:$N16,1,MATCH(AB$27,PREVIVAZ!$C$1:$N$1,1)))</f>
        <v>0</v>
      </c>
      <c r="AC42" s="202">
        <f ca="1">IFERROR(ROUND(INDEX(M:M,MATCH($T42,$A:$A,0)),0),INDEX(PREVIVAZ!$C16:$N16,1,MATCH(AC$27,PREVIVAZ!$C$1:$N$1,1)))</f>
        <v>0</v>
      </c>
      <c r="AD42" s="202">
        <f ca="1">IFERROR(ROUND(INDEX(N:N,MATCH($T42,$A:$A,0)),0),INDEX(PREVIVAZ!$C16:$N16,1,MATCH(AD$27,PREVIVAZ!$C$1:$N$1,1)))</f>
        <v>0</v>
      </c>
      <c r="AE42" s="202">
        <f ca="1">IFERROR(ROUND(INDEX(O:O,MATCH($T42,$A:$A,0)),0),INDEX(PREVIVAZ!$C16:$N16,1,MATCH(AE$27,PREVIVAZ!$C$1:$N$1,1)))</f>
        <v>0</v>
      </c>
      <c r="AF42" s="202">
        <f ca="1">IFERROR(ROUND(INDEX(P:P,MATCH($T42,$A:$A,0)),0),INDEX(PREVIVAZ!$C16:$N16,1,MATCH(AF$27,PREVIVAZ!$C$1:$N$1,1)))</f>
        <v>0</v>
      </c>
      <c r="AG42" s="202">
        <f ca="1">IFERROR(ROUND(INDEX(Q:Q,MATCH($T42,$A:$A,0)),0),INDEX(PREVIVAZ!$C16:$N16,1,MATCH(AG$27,PREVIVAZ!$C$1:$N$1,1)))</f>
        <v>0</v>
      </c>
    </row>
    <row r="43" spans="1:33" ht="13.5" thickBot="1" x14ac:dyDescent="0.25">
      <c r="A43" s="141"/>
      <c r="B43" s="142"/>
      <c r="C43" s="142"/>
      <c r="D43" s="142"/>
      <c r="E43" s="134"/>
      <c r="F43" s="134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42"/>
      <c r="S43"/>
      <c r="T43" s="272">
        <v>16</v>
      </c>
      <c r="V43" s="202">
        <f ca="1">IFERROR(ROUND(INDEX(F:F,MATCH($T43,$A:$A,0)),0),INDEX(PREVIVAZ!$C17:$N17,1,MATCH(V$27,PREVIVAZ!$C$1:$N$1,1)))</f>
        <v>0</v>
      </c>
      <c r="W43" s="202">
        <f ca="1">IFERROR(ROUND(INDEX(G:G,MATCH($T43,$A:$A,0)),0),INDEX(PREVIVAZ!$C17:$N17,1,MATCH(W$27,PREVIVAZ!$C$1:$N$1,1)))</f>
        <v>0</v>
      </c>
      <c r="X43" s="202">
        <f ca="1">IFERROR(ROUND(INDEX(H:H,MATCH($T43,$A:$A,0)),0),INDEX(PREVIVAZ!$C17:$N17,1,MATCH(X$27,PREVIVAZ!$C$1:$N$1,1)))</f>
        <v>0</v>
      </c>
      <c r="Y43" s="202">
        <f ca="1">IFERROR(ROUND(INDEX(I:I,MATCH($T43,$A:$A,0)),0),INDEX(PREVIVAZ!$C17:$N17,1,MATCH(Y$27,PREVIVAZ!$C$1:$N$1,1)))</f>
        <v>0</v>
      </c>
      <c r="Z43" s="202">
        <f ca="1">IFERROR(ROUND(INDEX(J:J,MATCH($T43,$A:$A,0)),0),INDEX(PREVIVAZ!$C17:$N17,1,MATCH(Z$27,PREVIVAZ!$C$1:$N$1,1)))</f>
        <v>0</v>
      </c>
      <c r="AA43" s="202">
        <f ca="1">IFERROR(ROUND(INDEX(K:K,MATCH($T43,$A:$A,0)),0),INDEX(PREVIVAZ!$C17:$N17,1,MATCH(AA$27,PREVIVAZ!$C$1:$N$1,1)))</f>
        <v>0</v>
      </c>
      <c r="AB43" s="202">
        <f ca="1">IFERROR(ROUND(INDEX(L:L,MATCH($T43,$A:$A,0)),0),INDEX(PREVIVAZ!$C17:$N17,1,MATCH(AB$27,PREVIVAZ!$C$1:$N$1,1)))</f>
        <v>0</v>
      </c>
      <c r="AC43" s="202">
        <f ca="1">IFERROR(ROUND(INDEX(M:M,MATCH($T43,$A:$A,0)),0),INDEX(PREVIVAZ!$C17:$N17,1,MATCH(AC$27,PREVIVAZ!$C$1:$N$1,1)))</f>
        <v>0</v>
      </c>
      <c r="AD43" s="202">
        <f ca="1">IFERROR(ROUND(INDEX(N:N,MATCH($T43,$A:$A,0)),0),INDEX(PREVIVAZ!$C17:$N17,1,MATCH(AD$27,PREVIVAZ!$C$1:$N$1,1)))</f>
        <v>0</v>
      </c>
      <c r="AE43" s="202">
        <f ca="1">IFERROR(ROUND(INDEX(O:O,MATCH($T43,$A:$A,0)),0),INDEX(PREVIVAZ!$C17:$N17,1,MATCH(AE$27,PREVIVAZ!$C$1:$N$1,1)))</f>
        <v>0</v>
      </c>
      <c r="AF43" s="202">
        <f ca="1">IFERROR(ROUND(INDEX(P:P,MATCH($T43,$A:$A,0)),0),INDEX(PREVIVAZ!$C17:$N17,1,MATCH(AF$27,PREVIVAZ!$C$1:$N$1,1)))</f>
        <v>0</v>
      </c>
      <c r="AG43" s="202">
        <f ca="1">IFERROR(ROUND(INDEX(Q:Q,MATCH($T43,$A:$A,0)),0),INDEX(PREVIVAZ!$C17:$N17,1,MATCH(AG$27,PREVIVAZ!$C$1:$N$1,1)))</f>
        <v>0</v>
      </c>
    </row>
    <row r="44" spans="1:33" ht="13.5" thickBot="1" x14ac:dyDescent="0.25">
      <c r="A44" s="147">
        <v>205</v>
      </c>
      <c r="B44" s="282" t="str">
        <f t="shared" ref="B44:B55" si="5">A44&amp;"_VN"</f>
        <v>205_VN</v>
      </c>
      <c r="C44" s="149" t="s">
        <v>26</v>
      </c>
      <c r="D44" s="132">
        <f t="shared" si="4"/>
        <v>205</v>
      </c>
      <c r="E44" s="132">
        <f t="array" aca="1" ref="E44" ca="1">SUM(IFERROR(Propagações_TOT_PARANAIBA!$B$7:$CA$69*(Propagações_TOT_PARANAIBA!$B$6:$CA$6=$B44&amp;"A")*(Propagações_TOT_PARANAIBA!$A$7:$A$69&gt;=PREVS_SMAP_DIARIO!E$26)*(Propagações_TOT_PARANAIBA!$A$7:$A$69&lt;=PREVS_SMAP_DIARIO!E$27),0))</f>
        <v>442</v>
      </c>
      <c r="F44" s="132">
        <f t="array" aca="1" ref="F44" ca="1">SUM(IFERROR(Propagações_TOT_PARANAIBA!$B$7:$CA$69*(Propagações_TOT_PARANAIBA!$B$6:$CA$6=$B44&amp;"A")*(Propagações_TOT_PARANAIBA!$A$7:$A$69&gt;=PREVS_SMAP_DIARIO!F$26)*(Propagações_TOT_PARANAIBA!$A$7:$A$69&lt;=PREVS_SMAP_DIARIO!F$27),0))</f>
        <v>0</v>
      </c>
      <c r="G44" s="132">
        <f t="array" aca="1" ref="G44" ca="1">SUM(IFERROR(Propagações_TOT_PARANAIBA!$B$7:$CA$69*(Propagações_TOT_PARANAIBA!$B$6:$CA$6=$B44&amp;"I")*(Propagações_TOT_PARANAIBA!$A$7:$A$69&gt;=PREVS_SMAP_DIARIO!G$26)*(Propagações_TOT_PARANAIBA!$A$7:$A$69&lt;=PREVS_SMAP_DIARIO!G$27),0))</f>
        <v>0</v>
      </c>
      <c r="H44" s="132">
        <f t="array" aca="1" ref="H44" ca="1">SUM(IFERROR(Propagações_TOT_PARANAIBA!$B$7:$CA$69*(Propagações_TOT_PARANAIBA!$B$6:$CA$6=$B44&amp;"I")*(Propagações_TOT_PARANAIBA!$A$7:$A$69&gt;=PREVS_SMAP_DIARIO!H$26)*(Propagações_TOT_PARANAIBA!$A$7:$A$69&lt;=PREVS_SMAP_DIARIO!H$27),0))</f>
        <v>0</v>
      </c>
      <c r="I44" s="132">
        <f t="array" aca="1" ref="I44" ca="1">SUM(IFERROR(Propagações_TOT_PARANAIBA!$B$7:$CA$69*(Propagações_TOT_PARANAIBA!$B$6:$CA$6=$B44&amp;"I")*(Propagações_TOT_PARANAIBA!$A$7:$A$69&gt;=PREVS_SMAP_DIARIO!I$26)*(Propagações_TOT_PARANAIBA!$A$7:$A$69&lt;=PREVS_SMAP_DIARIO!I$27),0))</f>
        <v>0</v>
      </c>
      <c r="J44" s="132">
        <f t="array" aca="1" ref="J44" ca="1">SUM(IFERROR(Propagações_TOT_PARANAIBA!$B$7:$CA$69*(Propagações_TOT_PARANAIBA!$B$6:$CA$6=$B44&amp;"I")*(Propagações_TOT_PARANAIBA!$A$7:$A$69&gt;=PREVS_SMAP_DIARIO!J$26)*(Propagações_TOT_PARANAIBA!$A$7:$A$69&lt;=PREVS_SMAP_DIARIO!J$27),0))</f>
        <v>0</v>
      </c>
      <c r="K44" s="132">
        <f t="array" aca="1" ref="K44" ca="1">SUM(IFERROR(Propagações_TOT_PARANAIBA!$B$7:$CA$69*(Propagações_TOT_PARANAIBA!$B$6:$CA$6=$B44&amp;"I")*(Propagações_TOT_PARANAIBA!$A$7:$A$69&gt;=PREVS_SMAP_DIARIO!K$26)*(Propagações_TOT_PARANAIBA!$A$7:$A$69&lt;=PREVS_SMAP_DIARIO!K$27),0))</f>
        <v>0</v>
      </c>
      <c r="L44" s="132">
        <f t="array" aca="1" ref="L44" ca="1">SUM(IFERROR(Propagações_TOT_PARANAIBA!$B$7:$CA$69*(Propagações_TOT_PARANAIBA!$B$6:$CA$6=$B44&amp;"I")*(Propagações_TOT_PARANAIBA!$A$7:$A$69&gt;=PREVS_SMAP_DIARIO!L$26)*(Propagações_TOT_PARANAIBA!$A$7:$A$69&lt;=PREVS_SMAP_DIARIO!L$27),0))</f>
        <v>0</v>
      </c>
      <c r="M44" s="132">
        <f t="array" aca="1" ref="M44" ca="1">SUM(IFERROR(Propagações_TOT_PARANAIBA!$B$7:$CA$69*(Propagações_TOT_PARANAIBA!$B$6:$CA$6=$B44&amp;"I")*(Propagações_TOT_PARANAIBA!$A$7:$A$69&gt;=PREVS_SMAP_DIARIO!M$26)*(Propagações_TOT_PARANAIBA!$A$7:$A$69&lt;=PREVS_SMAP_DIARIO!M$27),0))</f>
        <v>0</v>
      </c>
      <c r="N44" s="132">
        <f t="array" aca="1" ref="N44" ca="1">SUM(IFERROR(Propagações_TOT_PARANAIBA!$B$7:$CA$69*(Propagações_TOT_PARANAIBA!$B$6:$CA$6=$B44&amp;"I")*(Propagações_TOT_PARANAIBA!$A$7:$A$69&gt;=PREVS_SMAP_DIARIO!N$26)*(Propagações_TOT_PARANAIBA!$A$7:$A$69&lt;=PREVS_SMAP_DIARIO!N$27),0))</f>
        <v>0</v>
      </c>
      <c r="O44" s="132">
        <f t="array" aca="1" ref="O44" ca="1">SUM(IFERROR(Propagações_TOT_PARANAIBA!$B$7:$CA$69*(Propagações_TOT_PARANAIBA!$B$6:$CA$6=$B44&amp;"I")*(Propagações_TOT_PARANAIBA!$A$7:$A$69&gt;=PREVS_SMAP_DIARIO!O$26)*(Propagações_TOT_PARANAIBA!$A$7:$A$69&lt;=PREVS_SMAP_DIARIO!O$27),0))</f>
        <v>0</v>
      </c>
      <c r="P44" s="132">
        <f t="array" aca="1" ref="P44" ca="1">SUM(IFERROR(Propagações_TOT_PARANAIBA!$B$7:$CA$69*(Propagações_TOT_PARANAIBA!$B$6:$CA$6=$B44&amp;"I")*(Propagações_TOT_PARANAIBA!$A$7:$A$69&gt;=PREVS_SMAP_DIARIO!P$26)*(Propagações_TOT_PARANAIBA!$A$7:$A$69&lt;=PREVS_SMAP_DIARIO!P$27),0))</f>
        <v>0</v>
      </c>
      <c r="Q44" s="132">
        <f t="array" aca="1" ref="Q44" ca="1">SUM(IFERROR(Propagações_TOT_PARANAIBA!$B$7:$CA$69*(Propagações_TOT_PARANAIBA!$B$6:$CA$6=$B44&amp;"I")*(Propagações_TOT_PARANAIBA!$A$7:$A$69&gt;=PREVS_SMAP_DIARIO!Q$26)*(Propagações_TOT_PARANAIBA!$A$7:$A$69&lt;=PREVS_SMAP_DIARIO!Q$27),0))</f>
        <v>0</v>
      </c>
      <c r="R44" s="132"/>
      <c r="S44"/>
      <c r="T44" s="272">
        <v>17</v>
      </c>
      <c r="V44" s="202">
        <f ca="1">IFERROR(ROUND(INDEX(F:F,MATCH($T44,$A:$A,0)),0),INDEX(PREVIVAZ!$C18:$N18,1,MATCH(V$27,PREVIVAZ!$C$1:$N$1,1)))</f>
        <v>0</v>
      </c>
      <c r="W44" s="202">
        <f ca="1">IFERROR(ROUND(INDEX(G:G,MATCH($T44,$A:$A,0)),0),INDEX(PREVIVAZ!$C18:$N18,1,MATCH(W$27,PREVIVAZ!$C$1:$N$1,1)))</f>
        <v>0</v>
      </c>
      <c r="X44" s="202">
        <f ca="1">IFERROR(ROUND(INDEX(H:H,MATCH($T44,$A:$A,0)),0),INDEX(PREVIVAZ!$C18:$N18,1,MATCH(X$27,PREVIVAZ!$C$1:$N$1,1)))</f>
        <v>0</v>
      </c>
      <c r="Y44" s="202">
        <f ca="1">IFERROR(ROUND(INDEX(I:I,MATCH($T44,$A:$A,0)),0),INDEX(PREVIVAZ!$C18:$N18,1,MATCH(Y$27,PREVIVAZ!$C$1:$N$1,1)))</f>
        <v>0</v>
      </c>
      <c r="Z44" s="202">
        <f ca="1">IFERROR(ROUND(INDEX(J:J,MATCH($T44,$A:$A,0)),0),INDEX(PREVIVAZ!$C18:$N18,1,MATCH(Z$27,PREVIVAZ!$C$1:$N$1,1)))</f>
        <v>0</v>
      </c>
      <c r="AA44" s="202">
        <f ca="1">IFERROR(ROUND(INDEX(K:K,MATCH($T44,$A:$A,0)),0),INDEX(PREVIVAZ!$C18:$N18,1,MATCH(AA$27,PREVIVAZ!$C$1:$N$1,1)))</f>
        <v>0</v>
      </c>
      <c r="AB44" s="202">
        <f ca="1">IFERROR(ROUND(INDEX(L:L,MATCH($T44,$A:$A,0)),0),INDEX(PREVIVAZ!$C18:$N18,1,MATCH(AB$27,PREVIVAZ!$C$1:$N$1,1)))</f>
        <v>0</v>
      </c>
      <c r="AC44" s="202">
        <f ca="1">IFERROR(ROUND(INDEX(M:M,MATCH($T44,$A:$A,0)),0),INDEX(PREVIVAZ!$C18:$N18,1,MATCH(AC$27,PREVIVAZ!$C$1:$N$1,1)))</f>
        <v>0</v>
      </c>
      <c r="AD44" s="202">
        <f ca="1">IFERROR(ROUND(INDEX(N:N,MATCH($T44,$A:$A,0)),0),INDEX(PREVIVAZ!$C18:$N18,1,MATCH(AD$27,PREVIVAZ!$C$1:$N$1,1)))</f>
        <v>0</v>
      </c>
      <c r="AE44" s="202">
        <f ca="1">IFERROR(ROUND(INDEX(O:O,MATCH($T44,$A:$A,0)),0),INDEX(PREVIVAZ!$C18:$N18,1,MATCH(AE$27,PREVIVAZ!$C$1:$N$1,1)))</f>
        <v>0</v>
      </c>
      <c r="AF44" s="202">
        <f ca="1">IFERROR(ROUND(INDEX(P:P,MATCH($T44,$A:$A,0)),0),INDEX(PREVIVAZ!$C18:$N18,1,MATCH(AF$27,PREVIVAZ!$C$1:$N$1,1)))</f>
        <v>0</v>
      </c>
      <c r="AG44" s="202">
        <f ca="1">IFERROR(ROUND(INDEX(Q:Q,MATCH($T44,$A:$A,0)),0),INDEX(PREVIVAZ!$C18:$N18,1,MATCH(AG$27,PREVIVAZ!$C$1:$N$1,1)))</f>
        <v>0</v>
      </c>
    </row>
    <row r="45" spans="1:33" ht="13.5" thickBot="1" x14ac:dyDescent="0.25">
      <c r="A45" s="147">
        <v>23</v>
      </c>
      <c r="B45" s="282" t="str">
        <f t="shared" si="5"/>
        <v>23_VN</v>
      </c>
      <c r="C45" s="137" t="s">
        <v>58</v>
      </c>
      <c r="D45" s="132">
        <f t="shared" si="4"/>
        <v>23</v>
      </c>
      <c r="E45" s="132">
        <f t="array" aca="1" ref="E45" ca="1">SUM(IFERROR(Propagações_TOT_PARANAIBA!$B$7:$CA$69*(Propagações_TOT_PARANAIBA!$B$6:$CA$6=$B45&amp;"A")*(Propagações_TOT_PARANAIBA!$A$7:$A$69&gt;=PREVS_SMAP_DIARIO!E$26)*(Propagações_TOT_PARANAIBA!$A$7:$A$69&lt;=PREVS_SMAP_DIARIO!E$27),0))</f>
        <v>344</v>
      </c>
      <c r="F45" s="132">
        <f t="array" aca="1" ref="F45" ca="1">SUM(IFERROR(Propagações_TOT_PARANAIBA!$B$7:$CA$69*(Propagações_TOT_PARANAIBA!$B$6:$CA$6=$B45&amp;"A")*(Propagações_TOT_PARANAIBA!$A$7:$A$69&gt;=PREVS_SMAP_DIARIO!F$26)*(Propagações_TOT_PARANAIBA!$A$7:$A$69&lt;=PREVS_SMAP_DIARIO!F$27),0))</f>
        <v>0</v>
      </c>
      <c r="G45" s="132">
        <f t="array" aca="1" ref="G45" ca="1">SUM(IFERROR(Propagações_TOT_PARANAIBA!$B$7:$CA$69*(Propagações_TOT_PARANAIBA!$B$6:$CA$6=$B45&amp;"I")*(Propagações_TOT_PARANAIBA!$A$7:$A$69&gt;=PREVS_SMAP_DIARIO!G$26)*(Propagações_TOT_PARANAIBA!$A$7:$A$69&lt;=PREVS_SMAP_DIARIO!G$27),0))+G44</f>
        <v>0</v>
      </c>
      <c r="H45" s="132">
        <f t="array" aca="1" ref="H45" ca="1">SUM(IFERROR(Propagações_TOT_PARANAIBA!$B$7:$CA$69*(Propagações_TOT_PARANAIBA!$B$6:$CA$6=$B45&amp;"I")*(Propagações_TOT_PARANAIBA!$A$7:$A$69&gt;=PREVS_SMAP_DIARIO!H$26)*(Propagações_TOT_PARANAIBA!$A$7:$A$69&lt;=PREVS_SMAP_DIARIO!H$27),0))+H44</f>
        <v>0</v>
      </c>
      <c r="I45" s="132">
        <f t="array" aca="1" ref="I45" ca="1">SUM(IFERROR(Propagações_TOT_PARANAIBA!$B$7:$CA$69*(Propagações_TOT_PARANAIBA!$B$6:$CA$6=$B45&amp;"I")*(Propagações_TOT_PARANAIBA!$A$7:$A$69&gt;=PREVS_SMAP_DIARIO!I$26)*(Propagações_TOT_PARANAIBA!$A$7:$A$69&lt;=PREVS_SMAP_DIARIO!I$27),0))+I44</f>
        <v>0</v>
      </c>
      <c r="J45" s="132">
        <f t="array" aca="1" ref="J45" ca="1">SUM(IFERROR(Propagações_TOT_PARANAIBA!$B$7:$CA$69*(Propagações_TOT_PARANAIBA!$B$6:$CA$6=$B45&amp;"I")*(Propagações_TOT_PARANAIBA!$A$7:$A$69&gt;=PREVS_SMAP_DIARIO!J$26)*(Propagações_TOT_PARANAIBA!$A$7:$A$69&lt;=PREVS_SMAP_DIARIO!J$27),0))+J44</f>
        <v>0</v>
      </c>
      <c r="K45" s="132">
        <f t="array" aca="1" ref="K45" ca="1">SUM(IFERROR(Propagações_TOT_PARANAIBA!$B$7:$CA$69*(Propagações_TOT_PARANAIBA!$B$6:$CA$6=$B45&amp;"I")*(Propagações_TOT_PARANAIBA!$A$7:$A$69&gt;=PREVS_SMAP_DIARIO!K$26)*(Propagações_TOT_PARANAIBA!$A$7:$A$69&lt;=PREVS_SMAP_DIARIO!K$27),0))+K44</f>
        <v>0</v>
      </c>
      <c r="L45" s="132">
        <f t="array" aca="1" ref="L45" ca="1">SUM(IFERROR(Propagações_TOT_PARANAIBA!$B$7:$CA$69*(Propagações_TOT_PARANAIBA!$B$6:$CA$6=$B45&amp;"I")*(Propagações_TOT_PARANAIBA!$A$7:$A$69&gt;=PREVS_SMAP_DIARIO!L$26)*(Propagações_TOT_PARANAIBA!$A$7:$A$69&lt;=PREVS_SMAP_DIARIO!L$27),0))+L44</f>
        <v>0</v>
      </c>
      <c r="M45" s="132">
        <f t="array" aca="1" ref="M45" ca="1">SUM(IFERROR(Propagações_TOT_PARANAIBA!$B$7:$CA$69*(Propagações_TOT_PARANAIBA!$B$6:$CA$6=$B45&amp;"I")*(Propagações_TOT_PARANAIBA!$A$7:$A$69&gt;=PREVS_SMAP_DIARIO!M$26)*(Propagações_TOT_PARANAIBA!$A$7:$A$69&lt;=PREVS_SMAP_DIARIO!M$27),0))+M44</f>
        <v>0</v>
      </c>
      <c r="N45" s="132">
        <f t="array" aca="1" ref="N45" ca="1">SUM(IFERROR(Propagações_TOT_PARANAIBA!$B$7:$CA$69*(Propagações_TOT_PARANAIBA!$B$6:$CA$6=$B45&amp;"I")*(Propagações_TOT_PARANAIBA!$A$7:$A$69&gt;=PREVS_SMAP_DIARIO!N$26)*(Propagações_TOT_PARANAIBA!$A$7:$A$69&lt;=PREVS_SMAP_DIARIO!N$27),0))+N44</f>
        <v>0</v>
      </c>
      <c r="O45" s="132">
        <f t="array" aca="1" ref="O45" ca="1">SUM(IFERROR(Propagações_TOT_PARANAIBA!$B$7:$CA$69*(Propagações_TOT_PARANAIBA!$B$6:$CA$6=$B45&amp;"I")*(Propagações_TOT_PARANAIBA!$A$7:$A$69&gt;=PREVS_SMAP_DIARIO!O$26)*(Propagações_TOT_PARANAIBA!$A$7:$A$69&lt;=PREVS_SMAP_DIARIO!O$27),0))+O44</f>
        <v>0</v>
      </c>
      <c r="P45" s="132">
        <f t="array" aca="1" ref="P45" ca="1">SUM(IFERROR(Propagações_TOT_PARANAIBA!$B$7:$CA$69*(Propagações_TOT_PARANAIBA!$B$6:$CA$6=$B45&amp;"I")*(Propagações_TOT_PARANAIBA!$A$7:$A$69&gt;=PREVS_SMAP_DIARIO!P$26)*(Propagações_TOT_PARANAIBA!$A$7:$A$69&lt;=PREVS_SMAP_DIARIO!P$27),0))+P44</f>
        <v>0</v>
      </c>
      <c r="Q45" s="132">
        <f t="array" aca="1" ref="Q45" ca="1">SUM(IFERROR(Propagações_TOT_PARANAIBA!$B$7:$CA$69*(Propagações_TOT_PARANAIBA!$B$6:$CA$6=$B45&amp;"I")*(Propagações_TOT_PARANAIBA!$A$7:$A$69&gt;=PREVS_SMAP_DIARIO!Q$26)*(Propagações_TOT_PARANAIBA!$A$7:$A$69&lt;=PREVS_SMAP_DIARIO!Q$27),0))+Q44</f>
        <v>0</v>
      </c>
      <c r="R45" s="132"/>
      <c r="S45"/>
      <c r="T45" s="162">
        <v>18</v>
      </c>
      <c r="U45" s="162"/>
      <c r="V45" s="202">
        <f ca="1">IFERROR(ROUND(INDEX(F:F,MATCH($T45,$A:$A,0)),0),INDEX(PREVIVAZ!$C19:$N19,1,MATCH(V$27,PREVIVAZ!$C$1:$N$1,1)))</f>
        <v>0</v>
      </c>
      <c r="W45" s="202">
        <f ca="1">IFERROR(ROUND(INDEX(G:G,MATCH($T45,$A:$A,0)),0),INDEX(PREVIVAZ!$C19:$N19,1,MATCH(W$27,PREVIVAZ!$C$1:$N$1,1)))</f>
        <v>0</v>
      </c>
      <c r="X45" s="202">
        <f ca="1">IFERROR(ROUND(INDEX(H:H,MATCH($T45,$A:$A,0)),0),INDEX(PREVIVAZ!$C19:$N19,1,MATCH(X$27,PREVIVAZ!$C$1:$N$1,1)))</f>
        <v>0</v>
      </c>
      <c r="Y45" s="202">
        <f ca="1">IFERROR(ROUND(INDEX(I:I,MATCH($T45,$A:$A,0)),0),INDEX(PREVIVAZ!$C19:$N19,1,MATCH(Y$27,PREVIVAZ!$C$1:$N$1,1)))</f>
        <v>0</v>
      </c>
      <c r="Z45" s="202">
        <f ca="1">IFERROR(ROUND(INDEX(J:J,MATCH($T45,$A:$A,0)),0),INDEX(PREVIVAZ!$C19:$N19,1,MATCH(Z$27,PREVIVAZ!$C$1:$N$1,1)))</f>
        <v>0</v>
      </c>
      <c r="AA45" s="202">
        <f ca="1">IFERROR(ROUND(INDEX(K:K,MATCH($T45,$A:$A,0)),0),INDEX(PREVIVAZ!$C19:$N19,1,MATCH(AA$27,PREVIVAZ!$C$1:$N$1,1)))</f>
        <v>0</v>
      </c>
      <c r="AB45" s="202">
        <f ca="1">IFERROR(ROUND(INDEX(L:L,MATCH($T45,$A:$A,0)),0),INDEX(PREVIVAZ!$C19:$N19,1,MATCH(AB$27,PREVIVAZ!$C$1:$N$1,1)))</f>
        <v>0</v>
      </c>
      <c r="AC45" s="202">
        <f ca="1">IFERROR(ROUND(INDEX(M:M,MATCH($T45,$A:$A,0)),0),INDEX(PREVIVAZ!$C19:$N19,1,MATCH(AC$27,PREVIVAZ!$C$1:$N$1,1)))</f>
        <v>0</v>
      </c>
      <c r="AD45" s="202">
        <f ca="1">IFERROR(ROUND(INDEX(N:N,MATCH($T45,$A:$A,0)),0),INDEX(PREVIVAZ!$C19:$N19,1,MATCH(AD$27,PREVIVAZ!$C$1:$N$1,1)))</f>
        <v>0</v>
      </c>
      <c r="AE45" s="202">
        <f ca="1">IFERROR(ROUND(INDEX(O:O,MATCH($T45,$A:$A,0)),0),INDEX(PREVIVAZ!$C19:$N19,1,MATCH(AE$27,PREVIVAZ!$C$1:$N$1,1)))</f>
        <v>0</v>
      </c>
      <c r="AF45" s="202">
        <f ca="1">IFERROR(ROUND(INDEX(P:P,MATCH($T45,$A:$A,0)),0),INDEX(PREVIVAZ!$C19:$N19,1,MATCH(AF$27,PREVIVAZ!$C$1:$N$1,1)))</f>
        <v>0</v>
      </c>
      <c r="AG45" s="202">
        <f ca="1">IFERROR(ROUND(INDEX(Q:Q,MATCH($T45,$A:$A,0)),0),INDEX(PREVIVAZ!$C19:$N19,1,MATCH(AG$27,PREVIVAZ!$C$1:$N$1,1)))</f>
        <v>0</v>
      </c>
    </row>
    <row r="46" spans="1:33" ht="13.5" thickBot="1" x14ac:dyDescent="0.25">
      <c r="A46" s="147">
        <v>209</v>
      </c>
      <c r="B46" s="282" t="str">
        <f t="shared" si="5"/>
        <v>209_VN</v>
      </c>
      <c r="C46" s="149" t="s">
        <v>25</v>
      </c>
      <c r="D46" s="132">
        <f t="shared" si="4"/>
        <v>209</v>
      </c>
      <c r="E46" s="132">
        <f t="array" aca="1" ref="E46" ca="1">SUM(IFERROR(Propagações_TOT_PARANAIBA!$B$7:$CA$69*(Propagações_TOT_PARANAIBA!$B$6:$CA$6=$B46&amp;"A")*(Propagações_TOT_PARANAIBA!$A$7:$A$69&gt;=PREVS_SMAP_DIARIO!E$26)*(Propagações_TOT_PARANAIBA!$A$7:$A$69&lt;=PREVS_SMAP_DIARIO!E$27),0))</f>
        <v>486</v>
      </c>
      <c r="F46" s="132">
        <f t="array" aca="1" ref="F46" ca="1">SUM(IFERROR(Propagações_TOT_PARANAIBA!$B$7:$CA$69*(Propagações_TOT_PARANAIBA!$B$6:$CA$6=$B46&amp;"A")*(Propagações_TOT_PARANAIBA!$A$7:$A$69&gt;=PREVS_SMAP_DIARIO!F$26)*(Propagações_TOT_PARANAIBA!$A$7:$A$69&lt;=PREVS_SMAP_DIARIO!F$27),0))</f>
        <v>0</v>
      </c>
      <c r="G46" s="132">
        <f t="array" aca="1" ref="G46" ca="1">SUM(IFERROR(Propagações_TOT_PARANAIBA!$B$7:$CA$69*(Propagações_TOT_PARANAIBA!$B$6:$CA$6=$B46&amp;"I")*(Propagações_TOT_PARANAIBA!$A$7:$A$69&gt;=PREVS_SMAP_DIARIO!G$26)*(Propagações_TOT_PARANAIBA!$A$7:$A$69&lt;=PREVS_SMAP_DIARIO!G$27),0))+G45</f>
        <v>0</v>
      </c>
      <c r="H46" s="132">
        <f t="array" aca="1" ref="H46" ca="1">SUM(IFERROR(Propagações_TOT_PARANAIBA!$B$7:$CA$69*(Propagações_TOT_PARANAIBA!$B$6:$CA$6=$B46&amp;"I")*(Propagações_TOT_PARANAIBA!$A$7:$A$69&gt;=PREVS_SMAP_DIARIO!H$26)*(Propagações_TOT_PARANAIBA!$A$7:$A$69&lt;=PREVS_SMAP_DIARIO!H$27),0))+H45</f>
        <v>0</v>
      </c>
      <c r="I46" s="132">
        <f t="array" aca="1" ref="I46" ca="1">SUM(IFERROR(Propagações_TOT_PARANAIBA!$B$7:$CA$69*(Propagações_TOT_PARANAIBA!$B$6:$CA$6=$B46&amp;"I")*(Propagações_TOT_PARANAIBA!$A$7:$A$69&gt;=PREVS_SMAP_DIARIO!I$26)*(Propagações_TOT_PARANAIBA!$A$7:$A$69&lt;=PREVS_SMAP_DIARIO!I$27),0))+I45</f>
        <v>0</v>
      </c>
      <c r="J46" s="132">
        <f t="array" aca="1" ref="J46" ca="1">SUM(IFERROR(Propagações_TOT_PARANAIBA!$B$7:$CA$69*(Propagações_TOT_PARANAIBA!$B$6:$CA$6=$B46&amp;"I")*(Propagações_TOT_PARANAIBA!$A$7:$A$69&gt;=PREVS_SMAP_DIARIO!J$26)*(Propagações_TOT_PARANAIBA!$A$7:$A$69&lt;=PREVS_SMAP_DIARIO!J$27),0))+J45</f>
        <v>0</v>
      </c>
      <c r="K46" s="132">
        <f t="array" aca="1" ref="K46" ca="1">SUM(IFERROR(Propagações_TOT_PARANAIBA!$B$7:$CA$69*(Propagações_TOT_PARANAIBA!$B$6:$CA$6=$B46&amp;"I")*(Propagações_TOT_PARANAIBA!$A$7:$A$69&gt;=PREVS_SMAP_DIARIO!K$26)*(Propagações_TOT_PARANAIBA!$A$7:$A$69&lt;=PREVS_SMAP_DIARIO!K$27),0))+K45</f>
        <v>0</v>
      </c>
      <c r="L46" s="132">
        <f t="array" aca="1" ref="L46" ca="1">SUM(IFERROR(Propagações_TOT_PARANAIBA!$B$7:$CA$69*(Propagações_TOT_PARANAIBA!$B$6:$CA$6=$B46&amp;"I")*(Propagações_TOT_PARANAIBA!$A$7:$A$69&gt;=PREVS_SMAP_DIARIO!L$26)*(Propagações_TOT_PARANAIBA!$A$7:$A$69&lt;=PREVS_SMAP_DIARIO!L$27),0))+L45</f>
        <v>0</v>
      </c>
      <c r="M46" s="132">
        <f t="array" aca="1" ref="M46" ca="1">SUM(IFERROR(Propagações_TOT_PARANAIBA!$B$7:$CA$69*(Propagações_TOT_PARANAIBA!$B$6:$CA$6=$B46&amp;"I")*(Propagações_TOT_PARANAIBA!$A$7:$A$69&gt;=PREVS_SMAP_DIARIO!M$26)*(Propagações_TOT_PARANAIBA!$A$7:$A$69&lt;=PREVS_SMAP_DIARIO!M$27),0))+M45</f>
        <v>0</v>
      </c>
      <c r="N46" s="132">
        <f t="array" aca="1" ref="N46" ca="1">SUM(IFERROR(Propagações_TOT_PARANAIBA!$B$7:$CA$69*(Propagações_TOT_PARANAIBA!$B$6:$CA$6=$B46&amp;"I")*(Propagações_TOT_PARANAIBA!$A$7:$A$69&gt;=PREVS_SMAP_DIARIO!N$26)*(Propagações_TOT_PARANAIBA!$A$7:$A$69&lt;=PREVS_SMAP_DIARIO!N$27),0))+N45</f>
        <v>0</v>
      </c>
      <c r="O46" s="132">
        <f t="array" aca="1" ref="O46" ca="1">SUM(IFERROR(Propagações_TOT_PARANAIBA!$B$7:$CA$69*(Propagações_TOT_PARANAIBA!$B$6:$CA$6=$B46&amp;"I")*(Propagações_TOT_PARANAIBA!$A$7:$A$69&gt;=PREVS_SMAP_DIARIO!O$26)*(Propagações_TOT_PARANAIBA!$A$7:$A$69&lt;=PREVS_SMAP_DIARIO!O$27),0))+O45</f>
        <v>0</v>
      </c>
      <c r="P46" s="132">
        <f t="array" aca="1" ref="P46" ca="1">SUM(IFERROR(Propagações_TOT_PARANAIBA!$B$7:$CA$69*(Propagações_TOT_PARANAIBA!$B$6:$CA$6=$B46&amp;"I")*(Propagações_TOT_PARANAIBA!$A$7:$A$69&gt;=PREVS_SMAP_DIARIO!P$26)*(Propagações_TOT_PARANAIBA!$A$7:$A$69&lt;=PREVS_SMAP_DIARIO!P$27),0))+P45</f>
        <v>0</v>
      </c>
      <c r="Q46" s="132">
        <f t="array" aca="1" ref="Q46" ca="1">SUM(IFERROR(Propagações_TOT_PARANAIBA!$B$7:$CA$69*(Propagações_TOT_PARANAIBA!$B$6:$CA$6=$B46&amp;"I")*(Propagações_TOT_PARANAIBA!$A$7:$A$69&gt;=PREVS_SMAP_DIARIO!Q$26)*(Propagações_TOT_PARANAIBA!$A$7:$A$69&lt;=PREVS_SMAP_DIARIO!Q$27),0))+Q45</f>
        <v>0</v>
      </c>
      <c r="R46" s="132"/>
      <c r="S46"/>
      <c r="T46" s="272">
        <v>19</v>
      </c>
      <c r="V46" s="202" t="e">
        <f ca="1">IFERROR(ROUND(INDEX(F:F,MATCH($T46,$A:$A,0)),0),INDEX(PREVIVAZ!$C20:$N20,1,MATCH(V$27,PREVIVAZ!$C$1:$N$1,1)))</f>
        <v>#N/A</v>
      </c>
      <c r="W46" s="202" t="e">
        <f ca="1">IFERROR(ROUND(INDEX(G:G,MATCH($T46,$A:$A,0)),0),INDEX(PREVIVAZ!$C20:$N20,1,MATCH(W$27,PREVIVAZ!$C$1:$N$1,1)))</f>
        <v>#N/A</v>
      </c>
      <c r="X46" s="202" t="e">
        <f ca="1">IFERROR(ROUND(INDEX(H:H,MATCH($T46,$A:$A,0)),0),INDEX(PREVIVAZ!$C20:$N20,1,MATCH(X$27,PREVIVAZ!$C$1:$N$1,1)))</f>
        <v>#N/A</v>
      </c>
      <c r="Y46" s="202" t="e">
        <f ca="1">IFERROR(ROUND(INDEX(I:I,MATCH($T46,$A:$A,0)),0),INDEX(PREVIVAZ!$C20:$N20,1,MATCH(Y$27,PREVIVAZ!$C$1:$N$1,1)))</f>
        <v>#N/A</v>
      </c>
      <c r="Z46" s="202" t="e">
        <f ca="1">IFERROR(ROUND(INDEX(J:J,MATCH($T46,$A:$A,0)),0),INDEX(PREVIVAZ!$C20:$N20,1,MATCH(Z$27,PREVIVAZ!$C$1:$N$1,1)))</f>
        <v>#N/A</v>
      </c>
      <c r="AA46" s="202" t="e">
        <f ca="1">IFERROR(ROUND(INDEX(K:K,MATCH($T46,$A:$A,0)),0),INDEX(PREVIVAZ!$C20:$N20,1,MATCH(AA$27,PREVIVAZ!$C$1:$N$1,1)))</f>
        <v>#N/A</v>
      </c>
      <c r="AB46" s="202" t="e">
        <f ca="1">IFERROR(ROUND(INDEX(L:L,MATCH($T46,$A:$A,0)),0),INDEX(PREVIVAZ!$C20:$N20,1,MATCH(AB$27,PREVIVAZ!$C$1:$N$1,1)))</f>
        <v>#N/A</v>
      </c>
      <c r="AC46" s="202" t="e">
        <f ca="1">IFERROR(ROUND(INDEX(M:M,MATCH($T46,$A:$A,0)),0),INDEX(PREVIVAZ!$C20:$N20,1,MATCH(AC$27,PREVIVAZ!$C$1:$N$1,1)))</f>
        <v>#N/A</v>
      </c>
      <c r="AD46" s="202" t="e">
        <f ca="1">IFERROR(ROUND(INDEX(N:N,MATCH($T46,$A:$A,0)),0),INDEX(PREVIVAZ!$C20:$N20,1,MATCH(AD$27,PREVIVAZ!$C$1:$N$1,1)))</f>
        <v>#N/A</v>
      </c>
      <c r="AE46" s="202" t="e">
        <f ca="1">IFERROR(ROUND(INDEX(O:O,MATCH($T46,$A:$A,0)),0),INDEX(PREVIVAZ!$C20:$N20,1,MATCH(AE$27,PREVIVAZ!$C$1:$N$1,1)))</f>
        <v>#N/A</v>
      </c>
      <c r="AF46" s="202" t="e">
        <f ca="1">IFERROR(ROUND(INDEX(P:P,MATCH($T46,$A:$A,0)),0),INDEX(PREVIVAZ!$C20:$N20,1,MATCH(AF$27,PREVIVAZ!$C$1:$N$1,1)))</f>
        <v>#N/A</v>
      </c>
      <c r="AG46" s="202" t="e">
        <f ca="1">IFERROR(ROUND(INDEX(Q:Q,MATCH($T46,$A:$A,0)),0),INDEX(PREVIVAZ!$C20:$N20,1,MATCH(AG$27,PREVIVAZ!$C$1:$N$1,1)))</f>
        <v>#N/A</v>
      </c>
    </row>
    <row r="47" spans="1:33" ht="13.5" thickBot="1" x14ac:dyDescent="0.25">
      <c r="A47" s="147">
        <v>251</v>
      </c>
      <c r="B47" s="282" t="str">
        <f t="shared" si="5"/>
        <v>251_VN</v>
      </c>
      <c r="C47" s="149" t="s">
        <v>30</v>
      </c>
      <c r="D47" s="132">
        <f t="shared" si="4"/>
        <v>251</v>
      </c>
      <c r="E47" s="132">
        <f t="array" aca="1" ref="E47" ca="1">SUM(IFERROR(Propagações_TOT_PARANAIBA!$B$7:$CA$69*(Propagações_TOT_PARANAIBA!$B$6:$CA$6=$B47&amp;"A")*(Propagações_TOT_PARANAIBA!$A$7:$A$69&gt;=PREVS_SMAP_DIARIO!E$26)*(Propagações_TOT_PARANAIBA!$A$7:$A$69&lt;=PREVS_SMAP_DIARIO!E$27),0))</f>
        <v>189</v>
      </c>
      <c r="F47" s="132">
        <f t="array" aca="1" ref="F47" ca="1">SUM(IFERROR(Propagações_TOT_PARANAIBA!$B$7:$CA$69*(Propagações_TOT_PARANAIBA!$B$6:$CA$6=$B47&amp;"A")*(Propagações_TOT_PARANAIBA!$A$7:$A$69&gt;=PREVS_SMAP_DIARIO!F$26)*(Propagações_TOT_PARANAIBA!$A$7:$A$69&lt;=PREVS_SMAP_DIARIO!F$27),0))</f>
        <v>0</v>
      </c>
      <c r="G47" s="132">
        <f t="array" aca="1" ref="G47" ca="1">SUM(IFERROR(Propagações_TOT_PARANAIBA!$B$7:$CA$69*(Propagações_TOT_PARANAIBA!$B$6:$CA$6=$B47&amp;"A")*(Propagações_TOT_PARANAIBA!$A$7:$A$69&gt;=PREVS_SMAP_DIARIO!G$26)*(Propagações_TOT_PARANAIBA!$A$7:$A$69&lt;=PREVS_SMAP_DIARIO!G$27),0))</f>
        <v>0</v>
      </c>
      <c r="H47" s="132">
        <f t="array" aca="1" ref="H47" ca="1">SUM(IFERROR(Propagações_TOT_PARANAIBA!$B$7:$CA$69*(Propagações_TOT_PARANAIBA!$B$6:$CA$6=$B47&amp;"A")*(Propagações_TOT_PARANAIBA!$A$7:$A$69&gt;=PREVS_SMAP_DIARIO!H$26)*(Propagações_TOT_PARANAIBA!$A$7:$A$69&lt;=PREVS_SMAP_DIARIO!H$27),0))</f>
        <v>0</v>
      </c>
      <c r="I47" s="132">
        <f t="array" aca="1" ref="I47" ca="1">SUM(IFERROR(Propagações_TOT_PARANAIBA!$B$7:$CA$69*(Propagações_TOT_PARANAIBA!$B$6:$CA$6=$B47&amp;"A")*(Propagações_TOT_PARANAIBA!$A$7:$A$69&gt;=PREVS_SMAP_DIARIO!I$26)*(Propagações_TOT_PARANAIBA!$A$7:$A$69&lt;=PREVS_SMAP_DIARIO!I$27),0))</f>
        <v>0</v>
      </c>
      <c r="J47" s="132">
        <f t="array" aca="1" ref="J47" ca="1">SUM(IFERROR(Propagações_TOT_PARANAIBA!$B$7:$CA$69*(Propagações_TOT_PARANAIBA!$B$6:$CA$6=$B47&amp;"A")*(Propagações_TOT_PARANAIBA!$A$7:$A$69&gt;=PREVS_SMAP_DIARIO!J$26)*(Propagações_TOT_PARANAIBA!$A$7:$A$69&lt;=PREVS_SMAP_DIARIO!J$27),0))</f>
        <v>0</v>
      </c>
      <c r="K47" s="132">
        <f t="array" aca="1" ref="K47" ca="1">SUM(IFERROR(Propagações_TOT_PARANAIBA!$B$7:$CA$69*(Propagações_TOT_PARANAIBA!$B$6:$CA$6=$B47&amp;"A")*(Propagações_TOT_PARANAIBA!$A$7:$A$69&gt;=PREVS_SMAP_DIARIO!K$26)*(Propagações_TOT_PARANAIBA!$A$7:$A$69&lt;=PREVS_SMAP_DIARIO!K$27),0))</f>
        <v>0</v>
      </c>
      <c r="L47" s="132">
        <f t="array" aca="1" ref="L47" ca="1">SUM(IFERROR(Propagações_TOT_PARANAIBA!$B$7:$CA$69*(Propagações_TOT_PARANAIBA!$B$6:$CA$6=$B47&amp;"A")*(Propagações_TOT_PARANAIBA!$A$7:$A$69&gt;=PREVS_SMAP_DIARIO!L$26)*(Propagações_TOT_PARANAIBA!$A$7:$A$69&lt;=PREVS_SMAP_DIARIO!L$27),0))</f>
        <v>0</v>
      </c>
      <c r="M47" s="132">
        <f t="array" aca="1" ref="M47" ca="1">SUM(IFERROR(Propagações_TOT_PARANAIBA!$B$7:$CA$69*(Propagações_TOT_PARANAIBA!$B$6:$CA$6=$B47&amp;"A")*(Propagações_TOT_PARANAIBA!$A$7:$A$69&gt;=PREVS_SMAP_DIARIO!M$26)*(Propagações_TOT_PARANAIBA!$A$7:$A$69&lt;=PREVS_SMAP_DIARIO!M$27),0))</f>
        <v>0</v>
      </c>
      <c r="N47" s="132">
        <f t="array" aca="1" ref="N47" ca="1">SUM(IFERROR(Propagações_TOT_PARANAIBA!$B$7:$CA$69*(Propagações_TOT_PARANAIBA!$B$6:$CA$6=$B47&amp;"A")*(Propagações_TOT_PARANAIBA!$A$7:$A$69&gt;=PREVS_SMAP_DIARIO!N$26)*(Propagações_TOT_PARANAIBA!$A$7:$A$69&lt;=PREVS_SMAP_DIARIO!N$27),0))</f>
        <v>0</v>
      </c>
      <c r="O47" s="132">
        <f t="array" aca="1" ref="O47" ca="1">SUM(IFERROR(Propagações_TOT_PARANAIBA!$B$7:$CA$69*(Propagações_TOT_PARANAIBA!$B$6:$CA$6=$B47&amp;"A")*(Propagações_TOT_PARANAIBA!$A$7:$A$69&gt;=PREVS_SMAP_DIARIO!O$26)*(Propagações_TOT_PARANAIBA!$A$7:$A$69&lt;=PREVS_SMAP_DIARIO!O$27),0))</f>
        <v>0</v>
      </c>
      <c r="P47" s="132">
        <f t="array" aca="1" ref="P47" ca="1">SUM(IFERROR(Propagações_TOT_PARANAIBA!$B$7:$CA$69*(Propagações_TOT_PARANAIBA!$B$6:$CA$6=$B47&amp;"A")*(Propagações_TOT_PARANAIBA!$A$7:$A$69&gt;=PREVS_SMAP_DIARIO!P$26)*(Propagações_TOT_PARANAIBA!$A$7:$A$69&lt;=PREVS_SMAP_DIARIO!P$27),0))</f>
        <v>0</v>
      </c>
      <c r="Q47" s="132">
        <f t="array" aca="1" ref="Q47" ca="1">SUM(IFERROR(Propagações_TOT_PARANAIBA!$B$7:$CA$69*(Propagações_TOT_PARANAIBA!$B$6:$CA$6=$B47&amp;"A")*(Propagações_TOT_PARANAIBA!$A$7:$A$69&gt;=PREVS_SMAP_DIARIO!Q$26)*(Propagações_TOT_PARANAIBA!$A$7:$A$69&lt;=PREVS_SMAP_DIARIO!Q$27),0))</f>
        <v>0</v>
      </c>
      <c r="R47" s="132"/>
      <c r="S47"/>
      <c r="T47" s="272">
        <v>20</v>
      </c>
      <c r="V47" s="202" t="e">
        <f ca="1">IFERROR(ROUND(INDEX(F:F,MATCH($T47,$A:$A,0)),0),INDEX(PREVIVAZ!$C21:$N21,1,MATCH(V$27,PREVIVAZ!$C$1:$N$1,1)))</f>
        <v>#N/A</v>
      </c>
      <c r="W47" s="202" t="e">
        <f ca="1">IFERROR(ROUND(INDEX(G:G,MATCH($T47,$A:$A,0)),0),INDEX(PREVIVAZ!$C21:$N21,1,MATCH(W$27,PREVIVAZ!$C$1:$N$1,1)))</f>
        <v>#N/A</v>
      </c>
      <c r="X47" s="202" t="e">
        <f ca="1">IFERROR(ROUND(INDEX(H:H,MATCH($T47,$A:$A,0)),0),INDEX(PREVIVAZ!$C21:$N21,1,MATCH(X$27,PREVIVAZ!$C$1:$N$1,1)))</f>
        <v>#N/A</v>
      </c>
      <c r="Y47" s="202" t="e">
        <f ca="1">IFERROR(ROUND(INDEX(I:I,MATCH($T47,$A:$A,0)),0),INDEX(PREVIVAZ!$C21:$N21,1,MATCH(Y$27,PREVIVAZ!$C$1:$N$1,1)))</f>
        <v>#N/A</v>
      </c>
      <c r="Z47" s="202" t="e">
        <f ca="1">IFERROR(ROUND(INDEX(J:J,MATCH($T47,$A:$A,0)),0),INDEX(PREVIVAZ!$C21:$N21,1,MATCH(Z$27,PREVIVAZ!$C$1:$N$1,1)))</f>
        <v>#N/A</v>
      </c>
      <c r="AA47" s="202" t="e">
        <f ca="1">IFERROR(ROUND(INDEX(K:K,MATCH($T47,$A:$A,0)),0),INDEX(PREVIVAZ!$C21:$N21,1,MATCH(AA$27,PREVIVAZ!$C$1:$N$1,1)))</f>
        <v>#N/A</v>
      </c>
      <c r="AB47" s="202" t="e">
        <f ca="1">IFERROR(ROUND(INDEX(L:L,MATCH($T47,$A:$A,0)),0),INDEX(PREVIVAZ!$C21:$N21,1,MATCH(AB$27,PREVIVAZ!$C$1:$N$1,1)))</f>
        <v>#N/A</v>
      </c>
      <c r="AC47" s="202" t="e">
        <f ca="1">IFERROR(ROUND(INDEX(M:M,MATCH($T47,$A:$A,0)),0),INDEX(PREVIVAZ!$C21:$N21,1,MATCH(AC$27,PREVIVAZ!$C$1:$N$1,1)))</f>
        <v>#N/A</v>
      </c>
      <c r="AD47" s="202" t="e">
        <f ca="1">IFERROR(ROUND(INDEX(N:N,MATCH($T47,$A:$A,0)),0),INDEX(PREVIVAZ!$C21:$N21,1,MATCH(AD$27,PREVIVAZ!$C$1:$N$1,1)))</f>
        <v>#N/A</v>
      </c>
      <c r="AE47" s="202" t="e">
        <f ca="1">IFERROR(ROUND(INDEX(O:O,MATCH($T47,$A:$A,0)),0),INDEX(PREVIVAZ!$C21:$N21,1,MATCH(AE$27,PREVIVAZ!$C$1:$N$1,1)))</f>
        <v>#N/A</v>
      </c>
      <c r="AF47" s="202" t="e">
        <f ca="1">IFERROR(ROUND(INDEX(P:P,MATCH($T47,$A:$A,0)),0),INDEX(PREVIVAZ!$C21:$N21,1,MATCH(AF$27,PREVIVAZ!$C$1:$N$1,1)))</f>
        <v>#N/A</v>
      </c>
      <c r="AG47" s="202" t="e">
        <f ca="1">IFERROR(ROUND(INDEX(Q:Q,MATCH($T47,$A:$A,0)),0),INDEX(PREVIVAZ!$C21:$N21,1,MATCH(AG$27,PREVIVAZ!$C$1:$N$1,1)))</f>
        <v>#N/A</v>
      </c>
    </row>
    <row r="48" spans="1:33" ht="13.5" thickBot="1" x14ac:dyDescent="0.25">
      <c r="A48" s="147">
        <v>24</v>
      </c>
      <c r="B48" s="282" t="str">
        <f t="shared" si="5"/>
        <v>24_VN</v>
      </c>
      <c r="C48" s="149" t="s">
        <v>27</v>
      </c>
      <c r="D48" s="132">
        <f t="shared" si="4"/>
        <v>24</v>
      </c>
      <c r="E48" s="132">
        <f t="array" aca="1" ref="E48" ca="1">SUM(IFERROR(Propagações_TOT_PARANAIBA!$B$7:$CA$69*(Propagações_TOT_PARANAIBA!$B$6:$CA$6=$B48&amp;"A")*(Propagações_TOT_PARANAIBA!$A$7:$A$69&gt;=PREVS_SMAP_DIARIO!E$26)*(Propagações_TOT_PARANAIBA!$A$7:$A$69&lt;=PREVS_SMAP_DIARIO!E$27),0))</f>
        <v>399</v>
      </c>
      <c r="F48" s="132">
        <f t="array" aca="1" ref="F48" ca="1">SUM(IFERROR(Propagações_TOT_PARANAIBA!$B$7:$CA$69*(Propagações_TOT_PARANAIBA!$B$6:$CA$6=$B48&amp;"A")*(Propagações_TOT_PARANAIBA!$A$7:$A$69&gt;=PREVS_SMAP_DIARIO!F$26)*(Propagações_TOT_PARANAIBA!$A$7:$A$69&lt;=PREVS_SMAP_DIARIO!F$27),0))</f>
        <v>0</v>
      </c>
      <c r="G48" s="132">
        <f t="array" aca="1" ref="G48" ca="1">SUM(IFERROR(Propagações_TOT_PARANAIBA!$B$7:$CA$69*(Propagações_TOT_PARANAIBA!$B$6:$CA$6=$B48&amp;"I")*(Propagações_TOT_PARANAIBA!$A$7:$A$69&gt;=PREVS_SMAP_DIARIO!G$26)*(Propagações_TOT_PARANAIBA!$A$7:$A$69&lt;=PREVS_SMAP_DIARIO!G$27),0))+G47</f>
        <v>0</v>
      </c>
      <c r="H48" s="132">
        <f t="array" aca="1" ref="H48" ca="1">SUM(IFERROR(Propagações_TOT_PARANAIBA!$B$7:$CA$69*(Propagações_TOT_PARANAIBA!$B$6:$CA$6=$B48&amp;"I")*(Propagações_TOT_PARANAIBA!$A$7:$A$69&gt;=PREVS_SMAP_DIARIO!H$26)*(Propagações_TOT_PARANAIBA!$A$7:$A$69&lt;=PREVS_SMAP_DIARIO!H$27),0))+H47</f>
        <v>0</v>
      </c>
      <c r="I48" s="132">
        <f t="array" aca="1" ref="I48" ca="1">SUM(IFERROR(Propagações_TOT_PARANAIBA!$B$7:$CA$69*(Propagações_TOT_PARANAIBA!$B$6:$CA$6=$B48&amp;"I")*(Propagações_TOT_PARANAIBA!$A$7:$A$69&gt;=PREVS_SMAP_DIARIO!I$26)*(Propagações_TOT_PARANAIBA!$A$7:$A$69&lt;=PREVS_SMAP_DIARIO!I$27),0))+I47</f>
        <v>0</v>
      </c>
      <c r="J48" s="132">
        <f t="array" aca="1" ref="J48" ca="1">SUM(IFERROR(Propagações_TOT_PARANAIBA!$B$7:$CA$69*(Propagações_TOT_PARANAIBA!$B$6:$CA$6=$B48&amp;"I")*(Propagações_TOT_PARANAIBA!$A$7:$A$69&gt;=PREVS_SMAP_DIARIO!J$26)*(Propagações_TOT_PARANAIBA!$A$7:$A$69&lt;=PREVS_SMAP_DIARIO!J$27),0))+J47</f>
        <v>0</v>
      </c>
      <c r="K48" s="132">
        <f t="array" aca="1" ref="K48" ca="1">SUM(IFERROR(Propagações_TOT_PARANAIBA!$B$7:$CA$69*(Propagações_TOT_PARANAIBA!$B$6:$CA$6=$B48&amp;"I")*(Propagações_TOT_PARANAIBA!$A$7:$A$69&gt;=PREVS_SMAP_DIARIO!K$26)*(Propagações_TOT_PARANAIBA!$A$7:$A$69&lt;=PREVS_SMAP_DIARIO!K$27),0))+K47</f>
        <v>0</v>
      </c>
      <c r="L48" s="132">
        <f t="array" aca="1" ref="L48" ca="1">SUM(IFERROR(Propagações_TOT_PARANAIBA!$B$7:$CA$69*(Propagações_TOT_PARANAIBA!$B$6:$CA$6=$B48&amp;"I")*(Propagações_TOT_PARANAIBA!$A$7:$A$69&gt;=PREVS_SMAP_DIARIO!L$26)*(Propagações_TOT_PARANAIBA!$A$7:$A$69&lt;=PREVS_SMAP_DIARIO!L$27),0))+L47</f>
        <v>0</v>
      </c>
      <c r="M48" s="132">
        <f t="array" aca="1" ref="M48" ca="1">SUM(IFERROR(Propagações_TOT_PARANAIBA!$B$7:$CA$69*(Propagações_TOT_PARANAIBA!$B$6:$CA$6=$B48&amp;"I")*(Propagações_TOT_PARANAIBA!$A$7:$A$69&gt;=PREVS_SMAP_DIARIO!M$26)*(Propagações_TOT_PARANAIBA!$A$7:$A$69&lt;=PREVS_SMAP_DIARIO!M$27),0))+M47</f>
        <v>0</v>
      </c>
      <c r="N48" s="132">
        <f t="array" aca="1" ref="N48" ca="1">SUM(IFERROR(Propagações_TOT_PARANAIBA!$B$7:$CA$69*(Propagações_TOT_PARANAIBA!$B$6:$CA$6=$B48&amp;"I")*(Propagações_TOT_PARANAIBA!$A$7:$A$69&gt;=PREVS_SMAP_DIARIO!N$26)*(Propagações_TOT_PARANAIBA!$A$7:$A$69&lt;=PREVS_SMAP_DIARIO!N$27),0))+N47</f>
        <v>0</v>
      </c>
      <c r="O48" s="132">
        <f t="array" aca="1" ref="O48" ca="1">SUM(IFERROR(Propagações_TOT_PARANAIBA!$B$7:$CA$69*(Propagações_TOT_PARANAIBA!$B$6:$CA$6=$B48&amp;"I")*(Propagações_TOT_PARANAIBA!$A$7:$A$69&gt;=PREVS_SMAP_DIARIO!O$26)*(Propagações_TOT_PARANAIBA!$A$7:$A$69&lt;=PREVS_SMAP_DIARIO!O$27),0))+O47</f>
        <v>0</v>
      </c>
      <c r="P48" s="132">
        <f t="array" aca="1" ref="P48" ca="1">SUM(IFERROR(Propagações_TOT_PARANAIBA!$B$7:$CA$69*(Propagações_TOT_PARANAIBA!$B$6:$CA$6=$B48&amp;"I")*(Propagações_TOT_PARANAIBA!$A$7:$A$69&gt;=PREVS_SMAP_DIARIO!P$26)*(Propagações_TOT_PARANAIBA!$A$7:$A$69&lt;=PREVS_SMAP_DIARIO!P$27),0))+P47</f>
        <v>0</v>
      </c>
      <c r="Q48" s="132">
        <f t="array" aca="1" ref="Q48" ca="1">SUM(IFERROR(Propagações_TOT_PARANAIBA!$B$7:$CA$69*(Propagações_TOT_PARANAIBA!$B$6:$CA$6=$B48&amp;"I")*(Propagações_TOT_PARANAIBA!$A$7:$A$69&gt;=PREVS_SMAP_DIARIO!Q$26)*(Propagações_TOT_PARANAIBA!$A$7:$A$69&lt;=PREVS_SMAP_DIARIO!Q$27),0))+Q47</f>
        <v>0</v>
      </c>
      <c r="R48" s="132"/>
      <c r="S48"/>
      <c r="T48" s="272">
        <v>21</v>
      </c>
      <c r="V48" s="202" t="e">
        <f ca="1">IFERROR(ROUND(INDEX(F:F,MATCH($T48,$A:$A,0)),0),INDEX(PREVIVAZ!$C22:$N22,1,MATCH(V$27,PREVIVAZ!$C$1:$N$1,1)))</f>
        <v>#N/A</v>
      </c>
      <c r="W48" s="202" t="e">
        <f ca="1">IFERROR(ROUND(INDEX(G:G,MATCH($T48,$A:$A,0)),0),INDEX(PREVIVAZ!$C22:$N22,1,MATCH(W$27,PREVIVAZ!$C$1:$N$1,1)))</f>
        <v>#N/A</v>
      </c>
      <c r="X48" s="202" t="e">
        <f ca="1">IFERROR(ROUND(INDEX(H:H,MATCH($T48,$A:$A,0)),0),INDEX(PREVIVAZ!$C22:$N22,1,MATCH(X$27,PREVIVAZ!$C$1:$N$1,1)))</f>
        <v>#N/A</v>
      </c>
      <c r="Y48" s="202" t="e">
        <f ca="1">IFERROR(ROUND(INDEX(I:I,MATCH($T48,$A:$A,0)),0),INDEX(PREVIVAZ!$C22:$N22,1,MATCH(Y$27,PREVIVAZ!$C$1:$N$1,1)))</f>
        <v>#N/A</v>
      </c>
      <c r="Z48" s="202" t="e">
        <f ca="1">IFERROR(ROUND(INDEX(J:J,MATCH($T48,$A:$A,0)),0),INDEX(PREVIVAZ!$C22:$N22,1,MATCH(Z$27,PREVIVAZ!$C$1:$N$1,1)))</f>
        <v>#N/A</v>
      </c>
      <c r="AA48" s="202" t="e">
        <f ca="1">IFERROR(ROUND(INDEX(K:K,MATCH($T48,$A:$A,0)),0),INDEX(PREVIVAZ!$C22:$N22,1,MATCH(AA$27,PREVIVAZ!$C$1:$N$1,1)))</f>
        <v>#N/A</v>
      </c>
      <c r="AB48" s="202" t="e">
        <f ca="1">IFERROR(ROUND(INDEX(L:L,MATCH($T48,$A:$A,0)),0),INDEX(PREVIVAZ!$C22:$N22,1,MATCH(AB$27,PREVIVAZ!$C$1:$N$1,1)))</f>
        <v>#N/A</v>
      </c>
      <c r="AC48" s="202" t="e">
        <f ca="1">IFERROR(ROUND(INDEX(M:M,MATCH($T48,$A:$A,0)),0),INDEX(PREVIVAZ!$C22:$N22,1,MATCH(AC$27,PREVIVAZ!$C$1:$N$1,1)))</f>
        <v>#N/A</v>
      </c>
      <c r="AD48" s="202" t="e">
        <f ca="1">IFERROR(ROUND(INDEX(N:N,MATCH($T48,$A:$A,0)),0),INDEX(PREVIVAZ!$C22:$N22,1,MATCH(AD$27,PREVIVAZ!$C$1:$N$1,1)))</f>
        <v>#N/A</v>
      </c>
      <c r="AE48" s="202" t="e">
        <f ca="1">IFERROR(ROUND(INDEX(O:O,MATCH($T48,$A:$A,0)),0),INDEX(PREVIVAZ!$C22:$N22,1,MATCH(AE$27,PREVIVAZ!$C$1:$N$1,1)))</f>
        <v>#N/A</v>
      </c>
      <c r="AF48" s="202" t="e">
        <f ca="1">IFERROR(ROUND(INDEX(P:P,MATCH($T48,$A:$A,0)),0),INDEX(PREVIVAZ!$C22:$N22,1,MATCH(AF$27,PREVIVAZ!$C$1:$N$1,1)))</f>
        <v>#N/A</v>
      </c>
      <c r="AG48" s="202" t="e">
        <f ca="1">IFERROR(ROUND(INDEX(Q:Q,MATCH($T48,$A:$A,0)),0),INDEX(PREVIVAZ!$C22:$N22,1,MATCH(AG$27,PREVIVAZ!$C$1:$N$1,1)))</f>
        <v>#N/A</v>
      </c>
    </row>
    <row r="49" spans="1:33" ht="13.5" thickBot="1" x14ac:dyDescent="0.25">
      <c r="A49" s="147">
        <v>25</v>
      </c>
      <c r="B49" s="282" t="str">
        <f t="shared" si="5"/>
        <v>25_VN</v>
      </c>
      <c r="C49" s="149" t="s">
        <v>29</v>
      </c>
      <c r="D49" s="132">
        <f t="shared" si="4"/>
        <v>25</v>
      </c>
      <c r="E49" s="132">
        <f t="array" aca="1" ref="E49" ca="1">SUM(IFERROR(Propagações_TOT_PARANAIBA!$B$7:$CA$69*(Propagações_TOT_PARANAIBA!$B$6:$CA$6=$B49&amp;"A")*(Propagações_TOT_PARANAIBA!$A$7:$A$69&gt;=PREVS_SMAP_DIARIO!E$26)*(Propagações_TOT_PARANAIBA!$A$7:$A$69&lt;=PREVS_SMAP_DIARIO!E$27),0))</f>
        <v>242</v>
      </c>
      <c r="F49" s="132">
        <f t="array" aca="1" ref="F49" ca="1">SUM(IFERROR(Propagações_TOT_PARANAIBA!$B$7:$CA$69*(Propagações_TOT_PARANAIBA!$B$6:$CA$6=$B49&amp;"A")*(Propagações_TOT_PARANAIBA!$A$7:$A$69&gt;=PREVS_SMAP_DIARIO!F$26)*(Propagações_TOT_PARANAIBA!$A$7:$A$69&lt;=PREVS_SMAP_DIARIO!F$27),0))</f>
        <v>0</v>
      </c>
      <c r="G49" s="132">
        <f t="array" aca="1" ref="G49" ca="1">SUM(IFERROR(Propagações_TOT_PARANAIBA!$B$7:$CA$69*(Propagações_TOT_PARANAIBA!$B$6:$CA$6=$B49&amp;"A")*(Propagações_TOT_PARANAIBA!$A$7:$A$69&gt;=PREVS_SMAP_DIARIO!G$26)*(Propagações_TOT_PARANAIBA!$A$7:$A$69&lt;=PREVS_SMAP_DIARIO!G$27),0))</f>
        <v>0</v>
      </c>
      <c r="H49" s="132">
        <f t="array" aca="1" ref="H49" ca="1">SUM(IFERROR(Propagações_TOT_PARANAIBA!$B$7:$CA$69*(Propagações_TOT_PARANAIBA!$B$6:$CA$6=$B49&amp;"A")*(Propagações_TOT_PARANAIBA!$A$7:$A$69&gt;=PREVS_SMAP_DIARIO!H$26)*(Propagações_TOT_PARANAIBA!$A$7:$A$69&lt;=PREVS_SMAP_DIARIO!H$27),0))</f>
        <v>0</v>
      </c>
      <c r="I49" s="132">
        <f t="array" aca="1" ref="I49" ca="1">SUM(IFERROR(Propagações_TOT_PARANAIBA!$B$7:$CA$69*(Propagações_TOT_PARANAIBA!$B$6:$CA$6=$B49&amp;"A")*(Propagações_TOT_PARANAIBA!$A$7:$A$69&gt;=PREVS_SMAP_DIARIO!I$26)*(Propagações_TOT_PARANAIBA!$A$7:$A$69&lt;=PREVS_SMAP_DIARIO!I$27),0))</f>
        <v>0</v>
      </c>
      <c r="J49" s="132">
        <f t="array" aca="1" ref="J49" ca="1">SUM(IFERROR(Propagações_TOT_PARANAIBA!$B$7:$CA$69*(Propagações_TOT_PARANAIBA!$B$6:$CA$6=$B49&amp;"A")*(Propagações_TOT_PARANAIBA!$A$7:$A$69&gt;=PREVS_SMAP_DIARIO!J$26)*(Propagações_TOT_PARANAIBA!$A$7:$A$69&lt;=PREVS_SMAP_DIARIO!J$27),0))</f>
        <v>0</v>
      </c>
      <c r="K49" s="132">
        <f t="array" aca="1" ref="K49" ca="1">SUM(IFERROR(Propagações_TOT_PARANAIBA!$B$7:$CA$69*(Propagações_TOT_PARANAIBA!$B$6:$CA$6=$B49&amp;"A")*(Propagações_TOT_PARANAIBA!$A$7:$A$69&gt;=PREVS_SMAP_DIARIO!K$26)*(Propagações_TOT_PARANAIBA!$A$7:$A$69&lt;=PREVS_SMAP_DIARIO!K$27),0))</f>
        <v>0</v>
      </c>
      <c r="L49" s="132">
        <f t="array" aca="1" ref="L49" ca="1">SUM(IFERROR(Propagações_TOT_PARANAIBA!$B$7:$CA$69*(Propagações_TOT_PARANAIBA!$B$6:$CA$6=$B49&amp;"A")*(Propagações_TOT_PARANAIBA!$A$7:$A$69&gt;=PREVS_SMAP_DIARIO!L$26)*(Propagações_TOT_PARANAIBA!$A$7:$A$69&lt;=PREVS_SMAP_DIARIO!L$27),0))</f>
        <v>0</v>
      </c>
      <c r="M49" s="132">
        <f t="array" aca="1" ref="M49" ca="1">SUM(IFERROR(Propagações_TOT_PARANAIBA!$B$7:$CA$69*(Propagações_TOT_PARANAIBA!$B$6:$CA$6=$B49&amp;"A")*(Propagações_TOT_PARANAIBA!$A$7:$A$69&gt;=PREVS_SMAP_DIARIO!M$26)*(Propagações_TOT_PARANAIBA!$A$7:$A$69&lt;=PREVS_SMAP_DIARIO!M$27),0))</f>
        <v>0</v>
      </c>
      <c r="N49" s="132">
        <f t="array" aca="1" ref="N49" ca="1">SUM(IFERROR(Propagações_TOT_PARANAIBA!$B$7:$CA$69*(Propagações_TOT_PARANAIBA!$B$6:$CA$6=$B49&amp;"A")*(Propagações_TOT_PARANAIBA!$A$7:$A$69&gt;=PREVS_SMAP_DIARIO!N$26)*(Propagações_TOT_PARANAIBA!$A$7:$A$69&lt;=PREVS_SMAP_DIARIO!N$27),0))</f>
        <v>0</v>
      </c>
      <c r="O49" s="132">
        <f t="array" aca="1" ref="O49" ca="1">SUM(IFERROR(Propagações_TOT_PARANAIBA!$B$7:$CA$69*(Propagações_TOT_PARANAIBA!$B$6:$CA$6=$B49&amp;"A")*(Propagações_TOT_PARANAIBA!$A$7:$A$69&gt;=PREVS_SMAP_DIARIO!O$26)*(Propagações_TOT_PARANAIBA!$A$7:$A$69&lt;=PREVS_SMAP_DIARIO!O$27),0))</f>
        <v>0</v>
      </c>
      <c r="P49" s="132">
        <f t="array" aca="1" ref="P49" ca="1">SUM(IFERROR(Propagações_TOT_PARANAIBA!$B$7:$CA$69*(Propagações_TOT_PARANAIBA!$B$6:$CA$6=$B49&amp;"A")*(Propagações_TOT_PARANAIBA!$A$7:$A$69&gt;=PREVS_SMAP_DIARIO!P$26)*(Propagações_TOT_PARANAIBA!$A$7:$A$69&lt;=PREVS_SMAP_DIARIO!P$27),0))</f>
        <v>0</v>
      </c>
      <c r="Q49" s="132">
        <f t="array" aca="1" ref="Q49" ca="1">SUM(IFERROR(Propagações_TOT_PARANAIBA!$B$7:$CA$69*(Propagações_TOT_PARANAIBA!$B$6:$CA$6=$B49&amp;"A")*(Propagações_TOT_PARANAIBA!$A$7:$A$69&gt;=PREVS_SMAP_DIARIO!Q$26)*(Propagações_TOT_PARANAIBA!$A$7:$A$69&lt;=PREVS_SMAP_DIARIO!Q$27),0))</f>
        <v>0</v>
      </c>
      <c r="R49" s="132"/>
      <c r="S49"/>
      <c r="T49" s="272">
        <v>22</v>
      </c>
      <c r="V49" s="202" t="e">
        <f ca="1">IFERROR(ROUND(INDEX(F:F,MATCH($T49,$A:$A,0)),0),INDEX(PREVIVAZ!$C23:$N23,1,MATCH(V$27,PREVIVAZ!$C$1:$N$1,1)))</f>
        <v>#N/A</v>
      </c>
      <c r="W49" s="202" t="e">
        <f ca="1">IFERROR(ROUND(INDEX(G:G,MATCH($T49,$A:$A,0)),0),INDEX(PREVIVAZ!$C23:$N23,1,MATCH(W$27,PREVIVAZ!$C$1:$N$1,1)))</f>
        <v>#N/A</v>
      </c>
      <c r="X49" s="202" t="e">
        <f ca="1">IFERROR(ROUND(INDEX(H:H,MATCH($T49,$A:$A,0)),0),INDEX(PREVIVAZ!$C23:$N23,1,MATCH(X$27,PREVIVAZ!$C$1:$N$1,1)))</f>
        <v>#N/A</v>
      </c>
      <c r="Y49" s="202" t="e">
        <f ca="1">IFERROR(ROUND(INDEX(I:I,MATCH($T49,$A:$A,0)),0),INDEX(PREVIVAZ!$C23:$N23,1,MATCH(Y$27,PREVIVAZ!$C$1:$N$1,1)))</f>
        <v>#N/A</v>
      </c>
      <c r="Z49" s="202" t="e">
        <f ca="1">IFERROR(ROUND(INDEX(J:J,MATCH($T49,$A:$A,0)),0),INDEX(PREVIVAZ!$C23:$N23,1,MATCH(Z$27,PREVIVAZ!$C$1:$N$1,1)))</f>
        <v>#N/A</v>
      </c>
      <c r="AA49" s="202" t="e">
        <f ca="1">IFERROR(ROUND(INDEX(K:K,MATCH($T49,$A:$A,0)),0),INDEX(PREVIVAZ!$C23:$N23,1,MATCH(AA$27,PREVIVAZ!$C$1:$N$1,1)))</f>
        <v>#N/A</v>
      </c>
      <c r="AB49" s="202" t="e">
        <f ca="1">IFERROR(ROUND(INDEX(L:L,MATCH($T49,$A:$A,0)),0),INDEX(PREVIVAZ!$C23:$N23,1,MATCH(AB$27,PREVIVAZ!$C$1:$N$1,1)))</f>
        <v>#N/A</v>
      </c>
      <c r="AC49" s="202" t="e">
        <f ca="1">IFERROR(ROUND(INDEX(M:M,MATCH($T49,$A:$A,0)),0),INDEX(PREVIVAZ!$C23:$N23,1,MATCH(AC$27,PREVIVAZ!$C$1:$N$1,1)))</f>
        <v>#N/A</v>
      </c>
      <c r="AD49" s="202" t="e">
        <f ca="1">IFERROR(ROUND(INDEX(N:N,MATCH($T49,$A:$A,0)),0),INDEX(PREVIVAZ!$C23:$N23,1,MATCH(AD$27,PREVIVAZ!$C$1:$N$1,1)))</f>
        <v>#N/A</v>
      </c>
      <c r="AE49" s="202" t="e">
        <f ca="1">IFERROR(ROUND(INDEX(O:O,MATCH($T49,$A:$A,0)),0),INDEX(PREVIVAZ!$C23:$N23,1,MATCH(AE$27,PREVIVAZ!$C$1:$N$1,1)))</f>
        <v>#N/A</v>
      </c>
      <c r="AF49" s="202" t="e">
        <f ca="1">IFERROR(ROUND(INDEX(P:P,MATCH($T49,$A:$A,0)),0),INDEX(PREVIVAZ!$C23:$N23,1,MATCH(AF$27,PREVIVAZ!$C$1:$N$1,1)))</f>
        <v>#N/A</v>
      </c>
      <c r="AG49" s="202" t="e">
        <f ca="1">IFERROR(ROUND(INDEX(Q:Q,MATCH($T49,$A:$A,0)),0),INDEX(PREVIVAZ!$C23:$N23,1,MATCH(AG$27,PREVIVAZ!$C$1:$N$1,1)))</f>
        <v>#N/A</v>
      </c>
    </row>
    <row r="50" spans="1:33" ht="13.5" thickBot="1" x14ac:dyDescent="0.25">
      <c r="A50" s="147">
        <v>206</v>
      </c>
      <c r="B50" s="282" t="str">
        <f t="shared" si="5"/>
        <v>206_VN</v>
      </c>
      <c r="C50" s="137" t="s">
        <v>59</v>
      </c>
      <c r="D50" s="132">
        <f t="shared" si="4"/>
        <v>206</v>
      </c>
      <c r="E50" s="132">
        <f t="array" aca="1" ref="E50" ca="1">SUM(IFERROR(Propagações_TOT_PARANAIBA!$B$7:$CA$69*(Propagações_TOT_PARANAIBA!$B$6:$CA$6=$B50&amp;"A")*(Propagações_TOT_PARANAIBA!$A$7:$A$69&gt;=PREVS_SMAP_DIARIO!E$26)*(Propagações_TOT_PARANAIBA!$A$7:$A$69&lt;=PREVS_SMAP_DIARIO!E$27),0))</f>
        <v>262</v>
      </c>
      <c r="F50" s="132">
        <f t="array" aca="1" ref="F50" ca="1">SUM(IFERROR(Propagações_TOT_PARANAIBA!$B$7:$CA$69*(Propagações_TOT_PARANAIBA!$B$6:$CA$6=$B50&amp;"A")*(Propagações_TOT_PARANAIBA!$A$7:$A$69&gt;=PREVS_SMAP_DIARIO!F$26)*(Propagações_TOT_PARANAIBA!$A$7:$A$69&lt;=PREVS_SMAP_DIARIO!F$27),0))</f>
        <v>0</v>
      </c>
      <c r="G50" s="132">
        <f t="array" aca="1" ref="G50" ca="1">SUM(IFERROR(Propagações_TOT_PARANAIBA!$B$7:$CA$69*(Propagações_TOT_PARANAIBA!$B$6:$CA$6=$B50&amp;"I")*(Propagações_TOT_PARANAIBA!$A$7:$A$69&gt;=PREVS_SMAP_DIARIO!G$26)*(Propagações_TOT_PARANAIBA!$A$7:$A$69&lt;=PREVS_SMAP_DIARIO!G$27),0))+G49</f>
        <v>0</v>
      </c>
      <c r="H50" s="132">
        <f t="array" aca="1" ref="H50" ca="1">SUM(IFERROR(Propagações_TOT_PARANAIBA!$B$7:$CA$69*(Propagações_TOT_PARANAIBA!$B$6:$CA$6=$B50&amp;"I")*(Propagações_TOT_PARANAIBA!$A$7:$A$69&gt;=PREVS_SMAP_DIARIO!H$26)*(Propagações_TOT_PARANAIBA!$A$7:$A$69&lt;=PREVS_SMAP_DIARIO!H$27),0))+H49</f>
        <v>0</v>
      </c>
      <c r="I50" s="132">
        <f t="array" aca="1" ref="I50" ca="1">SUM(IFERROR(Propagações_TOT_PARANAIBA!$B$7:$CA$69*(Propagações_TOT_PARANAIBA!$B$6:$CA$6=$B50&amp;"I")*(Propagações_TOT_PARANAIBA!$A$7:$A$69&gt;=PREVS_SMAP_DIARIO!I$26)*(Propagações_TOT_PARANAIBA!$A$7:$A$69&lt;=PREVS_SMAP_DIARIO!I$27),0))+I49</f>
        <v>0</v>
      </c>
      <c r="J50" s="132">
        <f t="array" aca="1" ref="J50" ca="1">SUM(IFERROR(Propagações_TOT_PARANAIBA!$B$7:$CA$69*(Propagações_TOT_PARANAIBA!$B$6:$CA$6=$B50&amp;"I")*(Propagações_TOT_PARANAIBA!$A$7:$A$69&gt;=PREVS_SMAP_DIARIO!J$26)*(Propagações_TOT_PARANAIBA!$A$7:$A$69&lt;=PREVS_SMAP_DIARIO!J$27),0))+J49</f>
        <v>0</v>
      </c>
      <c r="K50" s="132">
        <f t="array" aca="1" ref="K50" ca="1">SUM(IFERROR(Propagações_TOT_PARANAIBA!$B$7:$CA$69*(Propagações_TOT_PARANAIBA!$B$6:$CA$6=$B50&amp;"I")*(Propagações_TOT_PARANAIBA!$A$7:$A$69&gt;=PREVS_SMAP_DIARIO!K$26)*(Propagações_TOT_PARANAIBA!$A$7:$A$69&lt;=PREVS_SMAP_DIARIO!K$27),0))+K49</f>
        <v>0</v>
      </c>
      <c r="L50" s="132">
        <f t="array" aca="1" ref="L50" ca="1">SUM(IFERROR(Propagações_TOT_PARANAIBA!$B$7:$CA$69*(Propagações_TOT_PARANAIBA!$B$6:$CA$6=$B50&amp;"I")*(Propagações_TOT_PARANAIBA!$A$7:$A$69&gt;=PREVS_SMAP_DIARIO!L$26)*(Propagações_TOT_PARANAIBA!$A$7:$A$69&lt;=PREVS_SMAP_DIARIO!L$27),0))+L49</f>
        <v>0</v>
      </c>
      <c r="M50" s="132">
        <f t="array" aca="1" ref="M50" ca="1">SUM(IFERROR(Propagações_TOT_PARANAIBA!$B$7:$CA$69*(Propagações_TOT_PARANAIBA!$B$6:$CA$6=$B50&amp;"I")*(Propagações_TOT_PARANAIBA!$A$7:$A$69&gt;=PREVS_SMAP_DIARIO!M$26)*(Propagações_TOT_PARANAIBA!$A$7:$A$69&lt;=PREVS_SMAP_DIARIO!M$27),0))+M49</f>
        <v>0</v>
      </c>
      <c r="N50" s="132">
        <f t="array" aca="1" ref="N50" ca="1">SUM(IFERROR(Propagações_TOT_PARANAIBA!$B$7:$CA$69*(Propagações_TOT_PARANAIBA!$B$6:$CA$6=$B50&amp;"I")*(Propagações_TOT_PARANAIBA!$A$7:$A$69&gt;=PREVS_SMAP_DIARIO!N$26)*(Propagações_TOT_PARANAIBA!$A$7:$A$69&lt;=PREVS_SMAP_DIARIO!N$27),0))+N49</f>
        <v>0</v>
      </c>
      <c r="O50" s="132">
        <f t="array" aca="1" ref="O50" ca="1">SUM(IFERROR(Propagações_TOT_PARANAIBA!$B$7:$CA$69*(Propagações_TOT_PARANAIBA!$B$6:$CA$6=$B50&amp;"I")*(Propagações_TOT_PARANAIBA!$A$7:$A$69&gt;=PREVS_SMAP_DIARIO!O$26)*(Propagações_TOT_PARANAIBA!$A$7:$A$69&lt;=PREVS_SMAP_DIARIO!O$27),0))+O49</f>
        <v>0</v>
      </c>
      <c r="P50" s="132">
        <f t="array" aca="1" ref="P50" ca="1">SUM(IFERROR(Propagações_TOT_PARANAIBA!$B$7:$CA$69*(Propagações_TOT_PARANAIBA!$B$6:$CA$6=$B50&amp;"I")*(Propagações_TOT_PARANAIBA!$A$7:$A$69&gt;=PREVS_SMAP_DIARIO!P$26)*(Propagações_TOT_PARANAIBA!$A$7:$A$69&lt;=PREVS_SMAP_DIARIO!P$27),0))+P49</f>
        <v>0</v>
      </c>
      <c r="Q50" s="132">
        <f t="array" aca="1" ref="Q50" ca="1">SUM(IFERROR(Propagações_TOT_PARANAIBA!$B$7:$CA$69*(Propagações_TOT_PARANAIBA!$B$6:$CA$6=$B50&amp;"I")*(Propagações_TOT_PARANAIBA!$A$7:$A$69&gt;=PREVS_SMAP_DIARIO!Q$26)*(Propagações_TOT_PARANAIBA!$A$7:$A$69&lt;=PREVS_SMAP_DIARIO!Q$27),0))+Q49</f>
        <v>0</v>
      </c>
      <c r="R50" s="132"/>
      <c r="S50"/>
      <c r="T50" s="272">
        <v>23</v>
      </c>
      <c r="V50" s="202">
        <f ca="1">IFERROR(ROUND(INDEX(F:F,MATCH($T50,$A:$A,0)),0),INDEX(PREVIVAZ!$C24:$N24,1,MATCH(V$27,PREVIVAZ!$C$1:$N$1,1)))</f>
        <v>0</v>
      </c>
      <c r="W50" s="202">
        <f ca="1">IFERROR(ROUND(INDEX(G:G,MATCH($T50,$A:$A,0)),0),INDEX(PREVIVAZ!$C24:$N24,1,MATCH(W$27,PREVIVAZ!$C$1:$N$1,1)))</f>
        <v>0</v>
      </c>
      <c r="X50" s="202">
        <f ca="1">IFERROR(ROUND(INDEX(H:H,MATCH($T50,$A:$A,0)),0),INDEX(PREVIVAZ!$C24:$N24,1,MATCH(X$27,PREVIVAZ!$C$1:$N$1,1)))</f>
        <v>0</v>
      </c>
      <c r="Y50" s="202">
        <f ca="1">IFERROR(ROUND(INDEX(I:I,MATCH($T50,$A:$A,0)),0),INDEX(PREVIVAZ!$C24:$N24,1,MATCH(Y$27,PREVIVAZ!$C$1:$N$1,1)))</f>
        <v>0</v>
      </c>
      <c r="Z50" s="202">
        <f ca="1">IFERROR(ROUND(INDEX(J:J,MATCH($T50,$A:$A,0)),0),INDEX(PREVIVAZ!$C24:$N24,1,MATCH(Z$27,PREVIVAZ!$C$1:$N$1,1)))</f>
        <v>0</v>
      </c>
      <c r="AA50" s="202">
        <f ca="1">IFERROR(ROUND(INDEX(K:K,MATCH($T50,$A:$A,0)),0),INDEX(PREVIVAZ!$C24:$N24,1,MATCH(AA$27,PREVIVAZ!$C$1:$N$1,1)))</f>
        <v>0</v>
      </c>
      <c r="AB50" s="202">
        <f ca="1">IFERROR(ROUND(INDEX(L:L,MATCH($T50,$A:$A,0)),0),INDEX(PREVIVAZ!$C24:$N24,1,MATCH(AB$27,PREVIVAZ!$C$1:$N$1,1)))</f>
        <v>0</v>
      </c>
      <c r="AC50" s="202">
        <f ca="1">IFERROR(ROUND(INDEX(M:M,MATCH($T50,$A:$A,0)),0),INDEX(PREVIVAZ!$C24:$N24,1,MATCH(AC$27,PREVIVAZ!$C$1:$N$1,1)))</f>
        <v>0</v>
      </c>
      <c r="AD50" s="202">
        <f ca="1">IFERROR(ROUND(INDEX(N:N,MATCH($T50,$A:$A,0)),0),INDEX(PREVIVAZ!$C24:$N24,1,MATCH(AD$27,PREVIVAZ!$C$1:$N$1,1)))</f>
        <v>0</v>
      </c>
      <c r="AE50" s="202">
        <f ca="1">IFERROR(ROUND(INDEX(O:O,MATCH($T50,$A:$A,0)),0),INDEX(PREVIVAZ!$C24:$N24,1,MATCH(AE$27,PREVIVAZ!$C$1:$N$1,1)))</f>
        <v>0</v>
      </c>
      <c r="AF50" s="202">
        <f ca="1">IFERROR(ROUND(INDEX(P:P,MATCH($T50,$A:$A,0)),0),INDEX(PREVIVAZ!$C24:$N24,1,MATCH(AF$27,PREVIVAZ!$C$1:$N$1,1)))</f>
        <v>0</v>
      </c>
      <c r="AG50" s="202">
        <f ca="1">IFERROR(ROUND(INDEX(Q:Q,MATCH($T50,$A:$A,0)),0),INDEX(PREVIVAZ!$C24:$N24,1,MATCH(AG$27,PREVIVAZ!$C$1:$N$1,1)))</f>
        <v>0</v>
      </c>
    </row>
    <row r="51" spans="1:33" ht="13.5" thickBot="1" x14ac:dyDescent="0.25">
      <c r="A51" s="147">
        <v>207</v>
      </c>
      <c r="B51" s="282" t="str">
        <f t="shared" si="5"/>
        <v>207_VN</v>
      </c>
      <c r="C51" s="137" t="s">
        <v>60</v>
      </c>
      <c r="D51" s="132">
        <f t="shared" si="4"/>
        <v>207</v>
      </c>
      <c r="E51" s="132">
        <f t="array" aca="1" ref="E51" ca="1">SUM(IFERROR(Propagações_TOT_PARANAIBA!$B$7:$CA$69*(Propagações_TOT_PARANAIBA!$B$6:$CA$6=$B51&amp;"A")*(Propagações_TOT_PARANAIBA!$A$7:$A$69&gt;=PREVS_SMAP_DIARIO!E$26)*(Propagações_TOT_PARANAIBA!$A$7:$A$69&lt;=PREVS_SMAP_DIARIO!E$27),0))</f>
        <v>264</v>
      </c>
      <c r="F51" s="132">
        <f t="array" aca="1" ref="F51" ca="1">SUM(IFERROR(Propagações_TOT_PARANAIBA!$B$7:$CA$69*(Propagações_TOT_PARANAIBA!$B$6:$CA$6=$B51&amp;"A")*(Propagações_TOT_PARANAIBA!$A$7:$A$69&gt;=PREVS_SMAP_DIARIO!F$26)*(Propagações_TOT_PARANAIBA!$A$7:$A$69&lt;=PREVS_SMAP_DIARIO!F$27),0))</f>
        <v>0</v>
      </c>
      <c r="G51" s="132">
        <f t="array" aca="1" ref="G51" ca="1">SUM(IFERROR(Propagações_TOT_PARANAIBA!$B$7:$CA$69*(Propagações_TOT_PARANAIBA!$B$6:$CA$6=$B51&amp;"I")*(Propagações_TOT_PARANAIBA!$A$7:$A$69&gt;=PREVS_SMAP_DIARIO!G$26)*(Propagações_TOT_PARANAIBA!$A$7:$A$69&lt;=PREVS_SMAP_DIARIO!G$27),0))+G50</f>
        <v>0</v>
      </c>
      <c r="H51" s="132">
        <f t="array" aca="1" ref="H51" ca="1">SUM(IFERROR(Propagações_TOT_PARANAIBA!$B$7:$CA$69*(Propagações_TOT_PARANAIBA!$B$6:$CA$6=$B51&amp;"I")*(Propagações_TOT_PARANAIBA!$A$7:$A$69&gt;=PREVS_SMAP_DIARIO!H$26)*(Propagações_TOT_PARANAIBA!$A$7:$A$69&lt;=PREVS_SMAP_DIARIO!H$27),0))+H50</f>
        <v>0</v>
      </c>
      <c r="I51" s="132">
        <f t="array" aca="1" ref="I51" ca="1">SUM(IFERROR(Propagações_TOT_PARANAIBA!$B$7:$CA$69*(Propagações_TOT_PARANAIBA!$B$6:$CA$6=$B51&amp;"I")*(Propagações_TOT_PARANAIBA!$A$7:$A$69&gt;=PREVS_SMAP_DIARIO!I$26)*(Propagações_TOT_PARANAIBA!$A$7:$A$69&lt;=PREVS_SMAP_DIARIO!I$27),0))+I50</f>
        <v>0</v>
      </c>
      <c r="J51" s="132">
        <f t="array" aca="1" ref="J51" ca="1">SUM(IFERROR(Propagações_TOT_PARANAIBA!$B$7:$CA$69*(Propagações_TOT_PARANAIBA!$B$6:$CA$6=$B51&amp;"I")*(Propagações_TOT_PARANAIBA!$A$7:$A$69&gt;=PREVS_SMAP_DIARIO!J$26)*(Propagações_TOT_PARANAIBA!$A$7:$A$69&lt;=PREVS_SMAP_DIARIO!J$27),0))+J50</f>
        <v>0</v>
      </c>
      <c r="K51" s="132">
        <f t="array" aca="1" ref="K51" ca="1">SUM(IFERROR(Propagações_TOT_PARANAIBA!$B$7:$CA$69*(Propagações_TOT_PARANAIBA!$B$6:$CA$6=$B51&amp;"I")*(Propagações_TOT_PARANAIBA!$A$7:$A$69&gt;=PREVS_SMAP_DIARIO!K$26)*(Propagações_TOT_PARANAIBA!$A$7:$A$69&lt;=PREVS_SMAP_DIARIO!K$27),0))+K50</f>
        <v>0</v>
      </c>
      <c r="L51" s="132">
        <f t="array" aca="1" ref="L51" ca="1">SUM(IFERROR(Propagações_TOT_PARANAIBA!$B$7:$CA$69*(Propagações_TOT_PARANAIBA!$B$6:$CA$6=$B51&amp;"I")*(Propagações_TOT_PARANAIBA!$A$7:$A$69&gt;=PREVS_SMAP_DIARIO!L$26)*(Propagações_TOT_PARANAIBA!$A$7:$A$69&lt;=PREVS_SMAP_DIARIO!L$27),0))+L50</f>
        <v>0</v>
      </c>
      <c r="M51" s="132">
        <f t="array" aca="1" ref="M51" ca="1">SUM(IFERROR(Propagações_TOT_PARANAIBA!$B$7:$CA$69*(Propagações_TOT_PARANAIBA!$B$6:$CA$6=$B51&amp;"I")*(Propagações_TOT_PARANAIBA!$A$7:$A$69&gt;=PREVS_SMAP_DIARIO!M$26)*(Propagações_TOT_PARANAIBA!$A$7:$A$69&lt;=PREVS_SMAP_DIARIO!M$27),0))+M50</f>
        <v>0</v>
      </c>
      <c r="N51" s="132">
        <f t="array" aca="1" ref="N51" ca="1">SUM(IFERROR(Propagações_TOT_PARANAIBA!$B$7:$CA$69*(Propagações_TOT_PARANAIBA!$B$6:$CA$6=$B51&amp;"I")*(Propagações_TOT_PARANAIBA!$A$7:$A$69&gt;=PREVS_SMAP_DIARIO!N$26)*(Propagações_TOT_PARANAIBA!$A$7:$A$69&lt;=PREVS_SMAP_DIARIO!N$27),0))+N50</f>
        <v>0</v>
      </c>
      <c r="O51" s="132">
        <f t="array" aca="1" ref="O51" ca="1">SUM(IFERROR(Propagações_TOT_PARANAIBA!$B$7:$CA$69*(Propagações_TOT_PARANAIBA!$B$6:$CA$6=$B51&amp;"I")*(Propagações_TOT_PARANAIBA!$A$7:$A$69&gt;=PREVS_SMAP_DIARIO!O$26)*(Propagações_TOT_PARANAIBA!$A$7:$A$69&lt;=PREVS_SMAP_DIARIO!O$27),0))+O50</f>
        <v>0</v>
      </c>
      <c r="P51" s="132">
        <f t="array" aca="1" ref="P51" ca="1">SUM(IFERROR(Propagações_TOT_PARANAIBA!$B$7:$CA$69*(Propagações_TOT_PARANAIBA!$B$6:$CA$6=$B51&amp;"I")*(Propagações_TOT_PARANAIBA!$A$7:$A$69&gt;=PREVS_SMAP_DIARIO!P$26)*(Propagações_TOT_PARANAIBA!$A$7:$A$69&lt;=PREVS_SMAP_DIARIO!P$27),0))+P50</f>
        <v>0</v>
      </c>
      <c r="Q51" s="132">
        <f t="array" aca="1" ref="Q51" ca="1">SUM(IFERROR(Propagações_TOT_PARANAIBA!$B$7:$CA$69*(Propagações_TOT_PARANAIBA!$B$6:$CA$6=$B51&amp;"I")*(Propagações_TOT_PARANAIBA!$A$7:$A$69&gt;=PREVS_SMAP_DIARIO!Q$26)*(Propagações_TOT_PARANAIBA!$A$7:$A$69&lt;=PREVS_SMAP_DIARIO!Q$27),0))+Q50</f>
        <v>0</v>
      </c>
      <c r="R51" s="132"/>
      <c r="S51"/>
      <c r="T51" s="272">
        <v>24</v>
      </c>
      <c r="V51" s="202">
        <f ca="1">IFERROR(ROUND(INDEX(F:F,MATCH($T51,$A:$A,0)),0),INDEX(PREVIVAZ!$C25:$N25,1,MATCH(V$27,PREVIVAZ!$C$1:$N$1,1)))</f>
        <v>0</v>
      </c>
      <c r="W51" s="202">
        <f ca="1">IFERROR(ROUND(INDEX(G:G,MATCH($T51,$A:$A,0)),0),INDEX(PREVIVAZ!$C25:$N25,1,MATCH(W$27,PREVIVAZ!$C$1:$N$1,1)))</f>
        <v>0</v>
      </c>
      <c r="X51" s="202">
        <f ca="1">IFERROR(ROUND(INDEX(H:H,MATCH($T51,$A:$A,0)),0),INDEX(PREVIVAZ!$C25:$N25,1,MATCH(X$27,PREVIVAZ!$C$1:$N$1,1)))</f>
        <v>0</v>
      </c>
      <c r="Y51" s="202">
        <f ca="1">IFERROR(ROUND(INDEX(I:I,MATCH($T51,$A:$A,0)),0),INDEX(PREVIVAZ!$C25:$N25,1,MATCH(Y$27,PREVIVAZ!$C$1:$N$1,1)))</f>
        <v>0</v>
      </c>
      <c r="Z51" s="202">
        <f ca="1">IFERROR(ROUND(INDEX(J:J,MATCH($T51,$A:$A,0)),0),INDEX(PREVIVAZ!$C25:$N25,1,MATCH(Z$27,PREVIVAZ!$C$1:$N$1,1)))</f>
        <v>0</v>
      </c>
      <c r="AA51" s="202">
        <f ca="1">IFERROR(ROUND(INDEX(K:K,MATCH($T51,$A:$A,0)),0),INDEX(PREVIVAZ!$C25:$N25,1,MATCH(AA$27,PREVIVAZ!$C$1:$N$1,1)))</f>
        <v>0</v>
      </c>
      <c r="AB51" s="202">
        <f ca="1">IFERROR(ROUND(INDEX(L:L,MATCH($T51,$A:$A,0)),0),INDEX(PREVIVAZ!$C25:$N25,1,MATCH(AB$27,PREVIVAZ!$C$1:$N$1,1)))</f>
        <v>0</v>
      </c>
      <c r="AC51" s="202">
        <f ca="1">IFERROR(ROUND(INDEX(M:M,MATCH($T51,$A:$A,0)),0),INDEX(PREVIVAZ!$C25:$N25,1,MATCH(AC$27,PREVIVAZ!$C$1:$N$1,1)))</f>
        <v>0</v>
      </c>
      <c r="AD51" s="202">
        <f ca="1">IFERROR(ROUND(INDEX(N:N,MATCH($T51,$A:$A,0)),0),INDEX(PREVIVAZ!$C25:$N25,1,MATCH(AD$27,PREVIVAZ!$C$1:$N$1,1)))</f>
        <v>0</v>
      </c>
      <c r="AE51" s="202">
        <f ca="1">IFERROR(ROUND(INDEX(O:O,MATCH($T51,$A:$A,0)),0),INDEX(PREVIVAZ!$C25:$N25,1,MATCH(AE$27,PREVIVAZ!$C$1:$N$1,1)))</f>
        <v>0</v>
      </c>
      <c r="AF51" s="202">
        <f ca="1">IFERROR(ROUND(INDEX(P:P,MATCH($T51,$A:$A,0)),0),INDEX(PREVIVAZ!$C25:$N25,1,MATCH(AF$27,PREVIVAZ!$C$1:$N$1,1)))</f>
        <v>0</v>
      </c>
      <c r="AG51" s="202">
        <f ca="1">IFERROR(ROUND(INDEX(Q:Q,MATCH($T51,$A:$A,0)),0),INDEX(PREVIVAZ!$C25:$N25,1,MATCH(AG$27,PREVIVAZ!$C$1:$N$1,1)))</f>
        <v>0</v>
      </c>
    </row>
    <row r="52" spans="1:33" ht="13.5" thickBot="1" x14ac:dyDescent="0.25">
      <c r="A52" s="147">
        <v>28</v>
      </c>
      <c r="B52" s="282" t="str">
        <f t="shared" si="5"/>
        <v>28_VN</v>
      </c>
      <c r="C52" s="137" t="s">
        <v>61</v>
      </c>
      <c r="D52" s="132">
        <f t="shared" si="4"/>
        <v>28</v>
      </c>
      <c r="E52" s="132">
        <f t="array" aca="1" ref="E52" ca="1">SUM(IFERROR(Propagações_TOT_PARANAIBA!$B$7:$CA$69*(Propagações_TOT_PARANAIBA!$B$6:$CA$6=$B52&amp;"A")*(Propagações_TOT_PARANAIBA!$A$7:$A$69&gt;=PREVS_SMAP_DIARIO!E$26)*(Propagações_TOT_PARANAIBA!$A$7:$A$69&lt;=PREVS_SMAP_DIARIO!E$27),0))</f>
        <v>267</v>
      </c>
      <c r="F52" s="132">
        <f t="array" aca="1" ref="F52" ca="1">SUM(IFERROR(Propagações_TOT_PARANAIBA!$B$7:$CA$69*(Propagações_TOT_PARANAIBA!$B$6:$CA$6=$B52&amp;"A")*(Propagações_TOT_PARANAIBA!$A$7:$A$69&gt;=PREVS_SMAP_DIARIO!F$26)*(Propagações_TOT_PARANAIBA!$A$7:$A$69&lt;=PREVS_SMAP_DIARIO!F$27),0))</f>
        <v>0</v>
      </c>
      <c r="G52" s="132">
        <f t="array" aca="1" ref="G52" ca="1">SUM(IFERROR(Propagações_TOT_PARANAIBA!$B$7:$CA$69*(Propagações_TOT_PARANAIBA!$B$6:$CA$6=$B52&amp;"I")*(Propagações_TOT_PARANAIBA!$A$7:$A$69&gt;=PREVS_SMAP_DIARIO!G$26)*(Propagações_TOT_PARANAIBA!$A$7:$A$69&lt;=PREVS_SMAP_DIARIO!G$27),0))+G51</f>
        <v>0</v>
      </c>
      <c r="H52" s="132">
        <f t="array" aca="1" ref="H52" ca="1">SUM(IFERROR(Propagações_TOT_PARANAIBA!$B$7:$CA$69*(Propagações_TOT_PARANAIBA!$B$6:$CA$6=$B52&amp;"I")*(Propagações_TOT_PARANAIBA!$A$7:$A$69&gt;=PREVS_SMAP_DIARIO!H$26)*(Propagações_TOT_PARANAIBA!$A$7:$A$69&lt;=PREVS_SMAP_DIARIO!H$27),0))+H51</f>
        <v>0</v>
      </c>
      <c r="I52" s="132">
        <f t="array" aca="1" ref="I52" ca="1">SUM(IFERROR(Propagações_TOT_PARANAIBA!$B$7:$CA$69*(Propagações_TOT_PARANAIBA!$B$6:$CA$6=$B52&amp;"I")*(Propagações_TOT_PARANAIBA!$A$7:$A$69&gt;=PREVS_SMAP_DIARIO!I$26)*(Propagações_TOT_PARANAIBA!$A$7:$A$69&lt;=PREVS_SMAP_DIARIO!I$27),0))+I51</f>
        <v>0</v>
      </c>
      <c r="J52" s="132">
        <f t="array" aca="1" ref="J52" ca="1">SUM(IFERROR(Propagações_TOT_PARANAIBA!$B$7:$CA$69*(Propagações_TOT_PARANAIBA!$B$6:$CA$6=$B52&amp;"I")*(Propagações_TOT_PARANAIBA!$A$7:$A$69&gt;=PREVS_SMAP_DIARIO!J$26)*(Propagações_TOT_PARANAIBA!$A$7:$A$69&lt;=PREVS_SMAP_DIARIO!J$27),0))+J51</f>
        <v>0</v>
      </c>
      <c r="K52" s="132">
        <f t="array" aca="1" ref="K52" ca="1">SUM(IFERROR(Propagações_TOT_PARANAIBA!$B$7:$CA$69*(Propagações_TOT_PARANAIBA!$B$6:$CA$6=$B52&amp;"I")*(Propagações_TOT_PARANAIBA!$A$7:$A$69&gt;=PREVS_SMAP_DIARIO!K$26)*(Propagações_TOT_PARANAIBA!$A$7:$A$69&lt;=PREVS_SMAP_DIARIO!K$27),0))+K51</f>
        <v>0</v>
      </c>
      <c r="L52" s="132">
        <f t="array" aca="1" ref="L52" ca="1">SUM(IFERROR(Propagações_TOT_PARANAIBA!$B$7:$CA$69*(Propagações_TOT_PARANAIBA!$B$6:$CA$6=$B52&amp;"I")*(Propagações_TOT_PARANAIBA!$A$7:$A$69&gt;=PREVS_SMAP_DIARIO!L$26)*(Propagações_TOT_PARANAIBA!$A$7:$A$69&lt;=PREVS_SMAP_DIARIO!L$27),0))+L51</f>
        <v>0</v>
      </c>
      <c r="M52" s="132">
        <f t="array" aca="1" ref="M52" ca="1">SUM(IFERROR(Propagações_TOT_PARANAIBA!$B$7:$CA$69*(Propagações_TOT_PARANAIBA!$B$6:$CA$6=$B52&amp;"I")*(Propagações_TOT_PARANAIBA!$A$7:$A$69&gt;=PREVS_SMAP_DIARIO!M$26)*(Propagações_TOT_PARANAIBA!$A$7:$A$69&lt;=PREVS_SMAP_DIARIO!M$27),0))+M51</f>
        <v>0</v>
      </c>
      <c r="N52" s="132">
        <f t="array" aca="1" ref="N52" ca="1">SUM(IFERROR(Propagações_TOT_PARANAIBA!$B$7:$CA$69*(Propagações_TOT_PARANAIBA!$B$6:$CA$6=$B52&amp;"I")*(Propagações_TOT_PARANAIBA!$A$7:$A$69&gt;=PREVS_SMAP_DIARIO!N$26)*(Propagações_TOT_PARANAIBA!$A$7:$A$69&lt;=PREVS_SMAP_DIARIO!N$27),0))+N51</f>
        <v>0</v>
      </c>
      <c r="O52" s="132">
        <f t="array" aca="1" ref="O52" ca="1">SUM(IFERROR(Propagações_TOT_PARANAIBA!$B$7:$CA$69*(Propagações_TOT_PARANAIBA!$B$6:$CA$6=$B52&amp;"I")*(Propagações_TOT_PARANAIBA!$A$7:$A$69&gt;=PREVS_SMAP_DIARIO!O$26)*(Propagações_TOT_PARANAIBA!$A$7:$A$69&lt;=PREVS_SMAP_DIARIO!O$27),0))+O51</f>
        <v>0</v>
      </c>
      <c r="P52" s="132">
        <f t="array" aca="1" ref="P52" ca="1">SUM(IFERROR(Propagações_TOT_PARANAIBA!$B$7:$CA$69*(Propagações_TOT_PARANAIBA!$B$6:$CA$6=$B52&amp;"I")*(Propagações_TOT_PARANAIBA!$A$7:$A$69&gt;=PREVS_SMAP_DIARIO!P$26)*(Propagações_TOT_PARANAIBA!$A$7:$A$69&lt;=PREVS_SMAP_DIARIO!P$27),0))+P51</f>
        <v>0</v>
      </c>
      <c r="Q52" s="132">
        <f t="array" aca="1" ref="Q52" ca="1">SUM(IFERROR(Propagações_TOT_PARANAIBA!$B$7:$CA$69*(Propagações_TOT_PARANAIBA!$B$6:$CA$6=$B52&amp;"I")*(Propagações_TOT_PARANAIBA!$A$7:$A$69&gt;=PREVS_SMAP_DIARIO!Q$26)*(Propagações_TOT_PARANAIBA!$A$7:$A$69&lt;=PREVS_SMAP_DIARIO!Q$27),0))+Q51</f>
        <v>0</v>
      </c>
      <c r="R52" s="132"/>
      <c r="S52"/>
      <c r="T52" s="272">
        <v>25</v>
      </c>
      <c r="V52" s="202">
        <f ca="1">IFERROR(ROUND(INDEX(F:F,MATCH($T52,$A:$A,0)),0),INDEX(PREVIVAZ!$C26:$N26,1,MATCH(V$27,PREVIVAZ!$C$1:$N$1,1)))</f>
        <v>0</v>
      </c>
      <c r="W52" s="202">
        <f ca="1">IFERROR(ROUND(INDEX(G:G,MATCH($T52,$A:$A,0)),0),INDEX(PREVIVAZ!$C26:$N26,1,MATCH(W$27,PREVIVAZ!$C$1:$N$1,1)))</f>
        <v>0</v>
      </c>
      <c r="X52" s="202">
        <f ca="1">IFERROR(ROUND(INDEX(H:H,MATCH($T52,$A:$A,0)),0),INDEX(PREVIVAZ!$C26:$N26,1,MATCH(X$27,PREVIVAZ!$C$1:$N$1,1)))</f>
        <v>0</v>
      </c>
      <c r="Y52" s="202">
        <f ca="1">IFERROR(ROUND(INDEX(I:I,MATCH($T52,$A:$A,0)),0),INDEX(PREVIVAZ!$C26:$N26,1,MATCH(Y$27,PREVIVAZ!$C$1:$N$1,1)))</f>
        <v>0</v>
      </c>
      <c r="Z52" s="202">
        <f ca="1">IFERROR(ROUND(INDEX(J:J,MATCH($T52,$A:$A,0)),0),INDEX(PREVIVAZ!$C26:$N26,1,MATCH(Z$27,PREVIVAZ!$C$1:$N$1,1)))</f>
        <v>0</v>
      </c>
      <c r="AA52" s="202">
        <f ca="1">IFERROR(ROUND(INDEX(K:K,MATCH($T52,$A:$A,0)),0),INDEX(PREVIVAZ!$C26:$N26,1,MATCH(AA$27,PREVIVAZ!$C$1:$N$1,1)))</f>
        <v>0</v>
      </c>
      <c r="AB52" s="202">
        <f ca="1">IFERROR(ROUND(INDEX(L:L,MATCH($T52,$A:$A,0)),0),INDEX(PREVIVAZ!$C26:$N26,1,MATCH(AB$27,PREVIVAZ!$C$1:$N$1,1)))</f>
        <v>0</v>
      </c>
      <c r="AC52" s="202">
        <f ca="1">IFERROR(ROUND(INDEX(M:M,MATCH($T52,$A:$A,0)),0),INDEX(PREVIVAZ!$C26:$N26,1,MATCH(AC$27,PREVIVAZ!$C$1:$N$1,1)))</f>
        <v>0</v>
      </c>
      <c r="AD52" s="202">
        <f ca="1">IFERROR(ROUND(INDEX(N:N,MATCH($T52,$A:$A,0)),0),INDEX(PREVIVAZ!$C26:$N26,1,MATCH(AD$27,PREVIVAZ!$C$1:$N$1,1)))</f>
        <v>0</v>
      </c>
      <c r="AE52" s="202">
        <f ca="1">IFERROR(ROUND(INDEX(O:O,MATCH($T52,$A:$A,0)),0),INDEX(PREVIVAZ!$C26:$N26,1,MATCH(AE$27,PREVIVAZ!$C$1:$N$1,1)))</f>
        <v>0</v>
      </c>
      <c r="AF52" s="202">
        <f ca="1">IFERROR(ROUND(INDEX(P:P,MATCH($T52,$A:$A,0)),0),INDEX(PREVIVAZ!$C26:$N26,1,MATCH(AF$27,PREVIVAZ!$C$1:$N$1,1)))</f>
        <v>0</v>
      </c>
      <c r="AG52" s="202">
        <f ca="1">IFERROR(ROUND(INDEX(Q:Q,MATCH($T52,$A:$A,0)),0),INDEX(PREVIVAZ!$C26:$N26,1,MATCH(AG$27,PREVIVAZ!$C$1:$N$1,1)))</f>
        <v>0</v>
      </c>
    </row>
    <row r="53" spans="1:33" ht="13.5" thickBot="1" x14ac:dyDescent="0.25">
      <c r="A53" s="147">
        <v>31</v>
      </c>
      <c r="B53" s="282" t="str">
        <f t="shared" si="5"/>
        <v>31_VN</v>
      </c>
      <c r="C53" s="149" t="s">
        <v>28</v>
      </c>
      <c r="D53" s="132">
        <f t="shared" si="4"/>
        <v>31</v>
      </c>
      <c r="E53" s="132">
        <f t="array" aca="1" ref="E53" ca="1">SUM(IFERROR(Propagações_TOT_PARANAIBA!$B$7:$CA$69*(Propagações_TOT_PARANAIBA!$B$6:$CA$6=$B53&amp;"A")*(Propagações_TOT_PARANAIBA!$A$7:$A$69&gt;=PREVS_SMAP_DIARIO!E$26)*(Propagações_TOT_PARANAIBA!$A$7:$A$69&lt;=PREVS_SMAP_DIARIO!E$27),0))</f>
        <v>1358</v>
      </c>
      <c r="F53" s="132">
        <f t="array" aca="1" ref="F53" ca="1">SUM(IFERROR(Propagações_TOT_PARANAIBA!$B$7:$CA$69*(Propagações_TOT_PARANAIBA!$B$6:$CA$6=$B53&amp;"A")*(Propagações_TOT_PARANAIBA!$A$7:$A$69&gt;=PREVS_SMAP_DIARIO!F$26)*(Propagações_TOT_PARANAIBA!$A$7:$A$69&lt;=PREVS_SMAP_DIARIO!F$27),0))</f>
        <v>0</v>
      </c>
      <c r="G53" s="132">
        <f t="array" aca="1" ref="G53" ca="1">SUM(IFERROR(Propagações_TOT_PARANAIBA!$B$7:$CA$69*(Propagações_TOT_PARANAIBA!$B$6:$CA$6=$B53&amp;"I")*(Propagações_TOT_PARANAIBA!$A$7:$A$69&gt;=PREVS_SMAP_DIARIO!G$26)*(Propagações_TOT_PARANAIBA!$A$7:$A$69&lt;=PREVS_SMAP_DIARIO!G$27),0))+G52+G48+G46</f>
        <v>0</v>
      </c>
      <c r="H53" s="132">
        <f t="array" aca="1" ref="H53" ca="1">SUM(IFERROR(Propagações_TOT_PARANAIBA!$B$7:$CA$69*(Propagações_TOT_PARANAIBA!$B$6:$CA$6=$B53&amp;"I")*(Propagações_TOT_PARANAIBA!$A$7:$A$69&gt;=PREVS_SMAP_DIARIO!H$26)*(Propagações_TOT_PARANAIBA!$A$7:$A$69&lt;=PREVS_SMAP_DIARIO!H$27),0))+H52+H48+H46</f>
        <v>0</v>
      </c>
      <c r="I53" s="132">
        <f t="array" aca="1" ref="I53" ca="1">SUM(IFERROR(Propagações_TOT_PARANAIBA!$B$7:$CA$69*(Propagações_TOT_PARANAIBA!$B$6:$CA$6=$B53&amp;"I")*(Propagações_TOT_PARANAIBA!$A$7:$A$69&gt;=PREVS_SMAP_DIARIO!I$26)*(Propagações_TOT_PARANAIBA!$A$7:$A$69&lt;=PREVS_SMAP_DIARIO!I$27),0))+I52+I48+I46</f>
        <v>0</v>
      </c>
      <c r="J53" s="132">
        <f t="array" aca="1" ref="J53" ca="1">SUM(IFERROR(Propagações_TOT_PARANAIBA!$B$7:$CA$69*(Propagações_TOT_PARANAIBA!$B$6:$CA$6=$B53&amp;"I")*(Propagações_TOT_PARANAIBA!$A$7:$A$69&gt;=PREVS_SMAP_DIARIO!J$26)*(Propagações_TOT_PARANAIBA!$A$7:$A$69&lt;=PREVS_SMAP_DIARIO!J$27),0))+J52+J48+J46</f>
        <v>0</v>
      </c>
      <c r="K53" s="132">
        <f t="array" aca="1" ref="K53" ca="1">SUM(IFERROR(Propagações_TOT_PARANAIBA!$B$7:$CA$69*(Propagações_TOT_PARANAIBA!$B$6:$CA$6=$B53&amp;"I")*(Propagações_TOT_PARANAIBA!$A$7:$A$69&gt;=PREVS_SMAP_DIARIO!K$26)*(Propagações_TOT_PARANAIBA!$A$7:$A$69&lt;=PREVS_SMAP_DIARIO!K$27),0))+K52+K48+K46</f>
        <v>0</v>
      </c>
      <c r="L53" s="132">
        <f t="array" aca="1" ref="L53" ca="1">SUM(IFERROR(Propagações_TOT_PARANAIBA!$B$7:$CA$69*(Propagações_TOT_PARANAIBA!$B$6:$CA$6=$B53&amp;"I")*(Propagações_TOT_PARANAIBA!$A$7:$A$69&gt;=PREVS_SMAP_DIARIO!L$26)*(Propagações_TOT_PARANAIBA!$A$7:$A$69&lt;=PREVS_SMAP_DIARIO!L$27),0))+L52+L48+L46</f>
        <v>0</v>
      </c>
      <c r="M53" s="132">
        <f t="array" aca="1" ref="M53" ca="1">SUM(IFERROR(Propagações_TOT_PARANAIBA!$B$7:$CA$69*(Propagações_TOT_PARANAIBA!$B$6:$CA$6=$B53&amp;"I")*(Propagações_TOT_PARANAIBA!$A$7:$A$69&gt;=PREVS_SMAP_DIARIO!M$26)*(Propagações_TOT_PARANAIBA!$A$7:$A$69&lt;=PREVS_SMAP_DIARIO!M$27),0))+M52+M48+M46</f>
        <v>0</v>
      </c>
      <c r="N53" s="132">
        <f t="array" aca="1" ref="N53" ca="1">SUM(IFERROR(Propagações_TOT_PARANAIBA!$B$7:$CA$69*(Propagações_TOT_PARANAIBA!$B$6:$CA$6=$B53&amp;"I")*(Propagações_TOT_PARANAIBA!$A$7:$A$69&gt;=PREVS_SMAP_DIARIO!N$26)*(Propagações_TOT_PARANAIBA!$A$7:$A$69&lt;=PREVS_SMAP_DIARIO!N$27),0))+N52+N48+N46</f>
        <v>0</v>
      </c>
      <c r="O53" s="132">
        <f t="array" aca="1" ref="O53" ca="1">SUM(IFERROR(Propagações_TOT_PARANAIBA!$B$7:$CA$69*(Propagações_TOT_PARANAIBA!$B$6:$CA$6=$B53&amp;"I")*(Propagações_TOT_PARANAIBA!$A$7:$A$69&gt;=PREVS_SMAP_DIARIO!O$26)*(Propagações_TOT_PARANAIBA!$A$7:$A$69&lt;=PREVS_SMAP_DIARIO!O$27),0))+O52+O48+O46</f>
        <v>0</v>
      </c>
      <c r="P53" s="132">
        <f t="array" aca="1" ref="P53" ca="1">SUM(IFERROR(Propagações_TOT_PARANAIBA!$B$7:$CA$69*(Propagações_TOT_PARANAIBA!$B$6:$CA$6=$B53&amp;"I")*(Propagações_TOT_PARANAIBA!$A$7:$A$69&gt;=PREVS_SMAP_DIARIO!P$26)*(Propagações_TOT_PARANAIBA!$A$7:$A$69&lt;=PREVS_SMAP_DIARIO!P$27),0))+P52+P48+P46</f>
        <v>0</v>
      </c>
      <c r="Q53" s="132">
        <f t="array" aca="1" ref="Q53" ca="1">SUM(IFERROR(Propagações_TOT_PARANAIBA!$B$7:$CA$69*(Propagações_TOT_PARANAIBA!$B$6:$CA$6=$B53&amp;"I")*(Propagações_TOT_PARANAIBA!$A$7:$A$69&gt;=PREVS_SMAP_DIARIO!Q$26)*(Propagações_TOT_PARANAIBA!$A$7:$A$69&lt;=PREVS_SMAP_DIARIO!Q$27),0))+Q52+Q48+Q46</f>
        <v>0</v>
      </c>
      <c r="R53" s="132"/>
      <c r="S53"/>
      <c r="T53" s="272">
        <v>26</v>
      </c>
      <c r="V53" s="202" t="e">
        <f ca="1">IFERROR(ROUND(INDEX(F:F,MATCH($T53,$A:$A,0)),0),INDEX(PREVIVAZ!$C27:$N27,1,MATCH(V$27,PREVIVAZ!$C$1:$N$1,1)))</f>
        <v>#N/A</v>
      </c>
      <c r="W53" s="202" t="e">
        <f ca="1">IFERROR(ROUND(INDEX(G:G,MATCH($T53,$A:$A,0)),0),INDEX(PREVIVAZ!$C27:$N27,1,MATCH(W$27,PREVIVAZ!$C$1:$N$1,1)))</f>
        <v>#N/A</v>
      </c>
      <c r="X53" s="202" t="e">
        <f ca="1">IFERROR(ROUND(INDEX(H:H,MATCH($T53,$A:$A,0)),0),INDEX(PREVIVAZ!$C27:$N27,1,MATCH(X$27,PREVIVAZ!$C$1:$N$1,1)))</f>
        <v>#N/A</v>
      </c>
      <c r="Y53" s="202" t="e">
        <f ca="1">IFERROR(ROUND(INDEX(I:I,MATCH($T53,$A:$A,0)),0),INDEX(PREVIVAZ!$C27:$N27,1,MATCH(Y$27,PREVIVAZ!$C$1:$N$1,1)))</f>
        <v>#N/A</v>
      </c>
      <c r="Z53" s="202" t="e">
        <f ca="1">IFERROR(ROUND(INDEX(J:J,MATCH($T53,$A:$A,0)),0),INDEX(PREVIVAZ!$C27:$N27,1,MATCH(Z$27,PREVIVAZ!$C$1:$N$1,1)))</f>
        <v>#N/A</v>
      </c>
      <c r="AA53" s="202" t="e">
        <f ca="1">IFERROR(ROUND(INDEX(K:K,MATCH($T53,$A:$A,0)),0),INDEX(PREVIVAZ!$C27:$N27,1,MATCH(AA$27,PREVIVAZ!$C$1:$N$1,1)))</f>
        <v>#N/A</v>
      </c>
      <c r="AB53" s="202" t="e">
        <f ca="1">IFERROR(ROUND(INDEX(L:L,MATCH($T53,$A:$A,0)),0),INDEX(PREVIVAZ!$C27:$N27,1,MATCH(AB$27,PREVIVAZ!$C$1:$N$1,1)))</f>
        <v>#N/A</v>
      </c>
      <c r="AC53" s="202" t="e">
        <f ca="1">IFERROR(ROUND(INDEX(M:M,MATCH($T53,$A:$A,0)),0),INDEX(PREVIVAZ!$C27:$N27,1,MATCH(AC$27,PREVIVAZ!$C$1:$N$1,1)))</f>
        <v>#N/A</v>
      </c>
      <c r="AD53" s="202" t="e">
        <f ca="1">IFERROR(ROUND(INDEX(N:N,MATCH($T53,$A:$A,0)),0),INDEX(PREVIVAZ!$C27:$N27,1,MATCH(AD$27,PREVIVAZ!$C$1:$N$1,1)))</f>
        <v>#N/A</v>
      </c>
      <c r="AE53" s="202" t="e">
        <f ca="1">IFERROR(ROUND(INDEX(O:O,MATCH($T53,$A:$A,0)),0),INDEX(PREVIVAZ!$C27:$N27,1,MATCH(AE$27,PREVIVAZ!$C$1:$N$1,1)))</f>
        <v>#N/A</v>
      </c>
      <c r="AF53" s="202" t="e">
        <f ca="1">IFERROR(ROUND(INDEX(P:P,MATCH($T53,$A:$A,0)),0),INDEX(PREVIVAZ!$C27:$N27,1,MATCH(AF$27,PREVIVAZ!$C$1:$N$1,1)))</f>
        <v>#N/A</v>
      </c>
      <c r="AG53" s="202" t="e">
        <f ca="1">IFERROR(ROUND(INDEX(Q:Q,MATCH($T53,$A:$A,0)),0),INDEX(PREVIVAZ!$C27:$N27,1,MATCH(AG$27,PREVIVAZ!$C$1:$N$1,1)))</f>
        <v>#N/A</v>
      </c>
    </row>
    <row r="54" spans="1:33" ht="13.5" thickBot="1" x14ac:dyDescent="0.25">
      <c r="A54" s="147">
        <v>32</v>
      </c>
      <c r="B54" s="282" t="str">
        <f t="shared" si="5"/>
        <v>32_VN</v>
      </c>
      <c r="C54" s="149"/>
      <c r="D54" s="132">
        <f t="shared" si="4"/>
        <v>32</v>
      </c>
      <c r="E54" s="132">
        <f t="array" aca="1" ref="E54" ca="1">SUM(IFERROR(Propagações_TOT_PARANAIBA!$B$7:$CA$69*(Propagações_TOT_PARANAIBA!$B$6:$CA$6=$B54&amp;"A")*(Propagações_TOT_PARANAIBA!$A$7:$A$69&gt;=PREVS_SMAP_DIARIO!E$26)*(Propagações_TOT_PARANAIBA!$A$7:$A$69&lt;=PREVS_SMAP_DIARIO!E$27),0))</f>
        <v>1425</v>
      </c>
      <c r="F54" s="132">
        <f t="array" aca="1" ref="F54" ca="1">SUM(IFERROR(Propagações_TOT_PARANAIBA!$B$7:$CA$69*(Propagações_TOT_PARANAIBA!$B$6:$CA$6=$B54&amp;"A")*(Propagações_TOT_PARANAIBA!$A$7:$A$69&gt;=PREVS_SMAP_DIARIO!F$26)*(Propagações_TOT_PARANAIBA!$A$7:$A$69&lt;=PREVS_SMAP_DIARIO!F$27),0))</f>
        <v>0</v>
      </c>
      <c r="G54" s="132">
        <f t="array" aca="1" ref="G54" ca="1">SUM(IFERROR(Propagações_TOT_PARANAIBA!$B$7:$CA$69*(Propagações_TOT_PARANAIBA!$B$6:$CA$6=$B54&amp;"I")*(Propagações_TOT_PARANAIBA!$A$7:$A$69&gt;=PREVS_SMAP_DIARIO!G$26)*(Propagações_TOT_PARANAIBA!$A$7:$A$69&lt;=PREVS_SMAP_DIARIO!G$27),0))+G53</f>
        <v>0</v>
      </c>
      <c r="H54" s="132">
        <f t="array" aca="1" ref="H54" ca="1">SUM(IFERROR(Propagações_TOT_PARANAIBA!$B$7:$CA$69*(Propagações_TOT_PARANAIBA!$B$6:$CA$6=$B54&amp;"I")*(Propagações_TOT_PARANAIBA!$A$7:$A$69&gt;=PREVS_SMAP_DIARIO!H$26)*(Propagações_TOT_PARANAIBA!$A$7:$A$69&lt;=PREVS_SMAP_DIARIO!H$27),0))+H53</f>
        <v>0</v>
      </c>
      <c r="I54" s="132">
        <f t="array" aca="1" ref="I54" ca="1">SUM(IFERROR(Propagações_TOT_PARANAIBA!$B$7:$CA$69*(Propagações_TOT_PARANAIBA!$B$6:$CA$6=$B54&amp;"I")*(Propagações_TOT_PARANAIBA!$A$7:$A$69&gt;=PREVS_SMAP_DIARIO!I$26)*(Propagações_TOT_PARANAIBA!$A$7:$A$69&lt;=PREVS_SMAP_DIARIO!I$27),0))+I53</f>
        <v>0</v>
      </c>
      <c r="J54" s="132">
        <f t="array" aca="1" ref="J54" ca="1">SUM(IFERROR(Propagações_TOT_PARANAIBA!$B$7:$CA$69*(Propagações_TOT_PARANAIBA!$B$6:$CA$6=$B54&amp;"I")*(Propagações_TOT_PARANAIBA!$A$7:$A$69&gt;=PREVS_SMAP_DIARIO!J$26)*(Propagações_TOT_PARANAIBA!$A$7:$A$69&lt;=PREVS_SMAP_DIARIO!J$27),0))+J53</f>
        <v>0</v>
      </c>
      <c r="K54" s="132">
        <f t="array" aca="1" ref="K54" ca="1">SUM(IFERROR(Propagações_TOT_PARANAIBA!$B$7:$CA$69*(Propagações_TOT_PARANAIBA!$B$6:$CA$6=$B54&amp;"I")*(Propagações_TOT_PARANAIBA!$A$7:$A$69&gt;=PREVS_SMAP_DIARIO!K$26)*(Propagações_TOT_PARANAIBA!$A$7:$A$69&lt;=PREVS_SMAP_DIARIO!K$27),0))+K53</f>
        <v>0</v>
      </c>
      <c r="L54" s="132">
        <f t="array" aca="1" ref="L54" ca="1">SUM(IFERROR(Propagações_TOT_PARANAIBA!$B$7:$CA$69*(Propagações_TOT_PARANAIBA!$B$6:$CA$6=$B54&amp;"I")*(Propagações_TOT_PARANAIBA!$A$7:$A$69&gt;=PREVS_SMAP_DIARIO!L$26)*(Propagações_TOT_PARANAIBA!$A$7:$A$69&lt;=PREVS_SMAP_DIARIO!L$27),0))+L53</f>
        <v>0</v>
      </c>
      <c r="M54" s="132">
        <f t="array" aca="1" ref="M54" ca="1">SUM(IFERROR(Propagações_TOT_PARANAIBA!$B$7:$CA$69*(Propagações_TOT_PARANAIBA!$B$6:$CA$6=$B54&amp;"I")*(Propagações_TOT_PARANAIBA!$A$7:$A$69&gt;=PREVS_SMAP_DIARIO!M$26)*(Propagações_TOT_PARANAIBA!$A$7:$A$69&lt;=PREVS_SMAP_DIARIO!M$27),0))+M53</f>
        <v>0</v>
      </c>
      <c r="N54" s="132">
        <f t="array" aca="1" ref="N54" ca="1">SUM(IFERROR(Propagações_TOT_PARANAIBA!$B$7:$CA$69*(Propagações_TOT_PARANAIBA!$B$6:$CA$6=$B54&amp;"I")*(Propagações_TOT_PARANAIBA!$A$7:$A$69&gt;=PREVS_SMAP_DIARIO!N$26)*(Propagações_TOT_PARANAIBA!$A$7:$A$69&lt;=PREVS_SMAP_DIARIO!N$27),0))+N53</f>
        <v>0</v>
      </c>
      <c r="O54" s="132">
        <f t="array" aca="1" ref="O54" ca="1">SUM(IFERROR(Propagações_TOT_PARANAIBA!$B$7:$CA$69*(Propagações_TOT_PARANAIBA!$B$6:$CA$6=$B54&amp;"I")*(Propagações_TOT_PARANAIBA!$A$7:$A$69&gt;=PREVS_SMAP_DIARIO!O$26)*(Propagações_TOT_PARANAIBA!$A$7:$A$69&lt;=PREVS_SMAP_DIARIO!O$27),0))+O53</f>
        <v>0</v>
      </c>
      <c r="P54" s="132">
        <f t="array" aca="1" ref="P54" ca="1">SUM(IFERROR(Propagações_TOT_PARANAIBA!$B$7:$CA$69*(Propagações_TOT_PARANAIBA!$B$6:$CA$6=$B54&amp;"I")*(Propagações_TOT_PARANAIBA!$A$7:$A$69&gt;=PREVS_SMAP_DIARIO!P$26)*(Propagações_TOT_PARANAIBA!$A$7:$A$69&lt;=PREVS_SMAP_DIARIO!P$27),0))+P53</f>
        <v>0</v>
      </c>
      <c r="Q54" s="132">
        <f t="array" aca="1" ref="Q54" ca="1">SUM(IFERROR(Propagações_TOT_PARANAIBA!$B$7:$CA$69*(Propagações_TOT_PARANAIBA!$B$6:$CA$6=$B54&amp;"I")*(Propagações_TOT_PARANAIBA!$A$7:$A$69&gt;=PREVS_SMAP_DIARIO!Q$26)*(Propagações_TOT_PARANAIBA!$A$7:$A$69&lt;=PREVS_SMAP_DIARIO!Q$27),0))+Q53</f>
        <v>0</v>
      </c>
      <c r="R54" s="132"/>
      <c r="S54"/>
      <c r="T54" s="272">
        <v>27</v>
      </c>
      <c r="V54" s="202" t="e">
        <f ca="1">IFERROR(ROUND(INDEX(F:F,MATCH($T54,$A:$A,0)),0),INDEX(PREVIVAZ!$C28:$N28,1,MATCH(V$27,PREVIVAZ!$C$1:$N$1,1)))</f>
        <v>#N/A</v>
      </c>
      <c r="W54" s="202" t="e">
        <f ca="1">IFERROR(ROUND(INDEX(G:G,MATCH($T54,$A:$A,0)),0),INDEX(PREVIVAZ!$C28:$N28,1,MATCH(W$27,PREVIVAZ!$C$1:$N$1,1)))</f>
        <v>#N/A</v>
      </c>
      <c r="X54" s="202" t="e">
        <f ca="1">IFERROR(ROUND(INDEX(H:H,MATCH($T54,$A:$A,0)),0),INDEX(PREVIVAZ!$C28:$N28,1,MATCH(X$27,PREVIVAZ!$C$1:$N$1,1)))</f>
        <v>#N/A</v>
      </c>
      <c r="Y54" s="202" t="e">
        <f ca="1">IFERROR(ROUND(INDEX(I:I,MATCH($T54,$A:$A,0)),0),INDEX(PREVIVAZ!$C28:$N28,1,MATCH(Y$27,PREVIVAZ!$C$1:$N$1,1)))</f>
        <v>#N/A</v>
      </c>
      <c r="Z54" s="202" t="e">
        <f ca="1">IFERROR(ROUND(INDEX(J:J,MATCH($T54,$A:$A,0)),0),INDEX(PREVIVAZ!$C28:$N28,1,MATCH(Z$27,PREVIVAZ!$C$1:$N$1,1)))</f>
        <v>#N/A</v>
      </c>
      <c r="AA54" s="202" t="e">
        <f ca="1">IFERROR(ROUND(INDEX(K:K,MATCH($T54,$A:$A,0)),0),INDEX(PREVIVAZ!$C28:$N28,1,MATCH(AA$27,PREVIVAZ!$C$1:$N$1,1)))</f>
        <v>#N/A</v>
      </c>
      <c r="AB54" s="202" t="e">
        <f ca="1">IFERROR(ROUND(INDEX(L:L,MATCH($T54,$A:$A,0)),0),INDEX(PREVIVAZ!$C28:$N28,1,MATCH(AB$27,PREVIVAZ!$C$1:$N$1,1)))</f>
        <v>#N/A</v>
      </c>
      <c r="AC54" s="202" t="e">
        <f ca="1">IFERROR(ROUND(INDEX(M:M,MATCH($T54,$A:$A,0)),0),INDEX(PREVIVAZ!$C28:$N28,1,MATCH(AC$27,PREVIVAZ!$C$1:$N$1,1)))</f>
        <v>#N/A</v>
      </c>
      <c r="AD54" s="202" t="e">
        <f ca="1">IFERROR(ROUND(INDEX(N:N,MATCH($T54,$A:$A,0)),0),INDEX(PREVIVAZ!$C28:$N28,1,MATCH(AD$27,PREVIVAZ!$C$1:$N$1,1)))</f>
        <v>#N/A</v>
      </c>
      <c r="AE54" s="202" t="e">
        <f ca="1">IFERROR(ROUND(INDEX(O:O,MATCH($T54,$A:$A,0)),0),INDEX(PREVIVAZ!$C28:$N28,1,MATCH(AE$27,PREVIVAZ!$C$1:$N$1,1)))</f>
        <v>#N/A</v>
      </c>
      <c r="AF54" s="202" t="e">
        <f ca="1">IFERROR(ROUND(INDEX(P:P,MATCH($T54,$A:$A,0)),0),INDEX(PREVIVAZ!$C28:$N28,1,MATCH(AF$27,PREVIVAZ!$C$1:$N$1,1)))</f>
        <v>#N/A</v>
      </c>
      <c r="AG54" s="202" t="e">
        <f ca="1">IFERROR(ROUND(INDEX(Q:Q,MATCH($T54,$A:$A,0)),0),INDEX(PREVIVAZ!$C28:$N28,1,MATCH(AG$27,PREVIVAZ!$C$1:$N$1,1)))</f>
        <v>#N/A</v>
      </c>
    </row>
    <row r="55" spans="1:33" ht="12.75" x14ac:dyDescent="0.2">
      <c r="A55" s="147">
        <v>33</v>
      </c>
      <c r="B55" s="282" t="str">
        <f t="shared" si="5"/>
        <v>33_VN</v>
      </c>
      <c r="C55" s="149"/>
      <c r="D55" s="132">
        <f t="shared" si="4"/>
        <v>33</v>
      </c>
      <c r="E55" s="132">
        <f t="array" aca="1" ref="E55" ca="1">SUM(IFERROR(Propagações_TOT_PARANAIBA!$B$7:$CA$69*(Propagações_TOT_PARANAIBA!$B$6:$CA$6=$B55&amp;"A")*(Propagações_TOT_PARANAIBA!$A$7:$A$69&gt;=PREVS_SMAP_DIARIO!E$26)*(Propagações_TOT_PARANAIBA!$A$7:$A$69&lt;=PREVS_SMAP_DIARIO!E$27),0))</f>
        <v>2712</v>
      </c>
      <c r="F55" s="132">
        <f t="array" aca="1" ref="F55" ca="1">SUM(IFERROR(Propagações_TOT_PARANAIBA!$B$7:$CA$69*(Propagações_TOT_PARANAIBA!$B$6:$CA$6=$B55&amp;"A")*(Propagações_TOT_PARANAIBA!$A$7:$A$69&gt;=PREVS_SMAP_DIARIO!F$26)*(Propagações_TOT_PARANAIBA!$A$7:$A$69&lt;=PREVS_SMAP_DIARIO!F$27),0))</f>
        <v>0</v>
      </c>
      <c r="G55" s="132">
        <f t="array" aca="1" ref="G55" ca="1">SUM(IFERROR(Propagações_TOT_PARANAIBA!$B$7:$CA$69*(Propagações_TOT_PARANAIBA!$B$6:$CA$6=$B55&amp;"I")*(Propagações_TOT_PARANAIBA!$A$7:$A$69&gt;=PREVS_SMAP_DIARIO!G$26)*(Propagações_TOT_PARANAIBA!$A$7:$A$69&lt;=PREVS_SMAP_DIARIO!G$27),0))+G54</f>
        <v>0</v>
      </c>
      <c r="H55" s="132">
        <f t="array" aca="1" ref="H55" ca="1">SUM(IFERROR(Propagações_TOT_PARANAIBA!$B$7:$CA$69*(Propagações_TOT_PARANAIBA!$B$6:$CA$6=$B55&amp;"I")*(Propagações_TOT_PARANAIBA!$A$7:$A$69&gt;=PREVS_SMAP_DIARIO!H$26)*(Propagações_TOT_PARANAIBA!$A$7:$A$69&lt;=PREVS_SMAP_DIARIO!H$27),0))+H54</f>
        <v>0</v>
      </c>
      <c r="I55" s="132">
        <f t="array" aca="1" ref="I55" ca="1">SUM(IFERROR(Propagações_TOT_PARANAIBA!$B$7:$CA$69*(Propagações_TOT_PARANAIBA!$B$6:$CA$6=$B55&amp;"I")*(Propagações_TOT_PARANAIBA!$A$7:$A$69&gt;=PREVS_SMAP_DIARIO!I$26)*(Propagações_TOT_PARANAIBA!$A$7:$A$69&lt;=PREVS_SMAP_DIARIO!I$27),0))+I54</f>
        <v>0</v>
      </c>
      <c r="J55" s="132">
        <f t="array" aca="1" ref="J55" ca="1">SUM(IFERROR(Propagações_TOT_PARANAIBA!$B$7:$CA$69*(Propagações_TOT_PARANAIBA!$B$6:$CA$6=$B55&amp;"I")*(Propagações_TOT_PARANAIBA!$A$7:$A$69&gt;=PREVS_SMAP_DIARIO!J$26)*(Propagações_TOT_PARANAIBA!$A$7:$A$69&lt;=PREVS_SMAP_DIARIO!J$27),0))+J54</f>
        <v>0</v>
      </c>
      <c r="K55" s="132">
        <f t="array" aca="1" ref="K55" ca="1">SUM(IFERROR(Propagações_TOT_PARANAIBA!$B$7:$CA$69*(Propagações_TOT_PARANAIBA!$B$6:$CA$6=$B55&amp;"I")*(Propagações_TOT_PARANAIBA!$A$7:$A$69&gt;=PREVS_SMAP_DIARIO!K$26)*(Propagações_TOT_PARANAIBA!$A$7:$A$69&lt;=PREVS_SMAP_DIARIO!K$27),0))+K54</f>
        <v>0</v>
      </c>
      <c r="L55" s="132">
        <f t="array" aca="1" ref="L55" ca="1">SUM(IFERROR(Propagações_TOT_PARANAIBA!$B$7:$CA$69*(Propagações_TOT_PARANAIBA!$B$6:$CA$6=$B55&amp;"I")*(Propagações_TOT_PARANAIBA!$A$7:$A$69&gt;=PREVS_SMAP_DIARIO!L$26)*(Propagações_TOT_PARANAIBA!$A$7:$A$69&lt;=PREVS_SMAP_DIARIO!L$27),0))+L54</f>
        <v>0</v>
      </c>
      <c r="M55" s="132">
        <f t="array" aca="1" ref="M55" ca="1">SUM(IFERROR(Propagações_TOT_PARANAIBA!$B$7:$CA$69*(Propagações_TOT_PARANAIBA!$B$6:$CA$6=$B55&amp;"I")*(Propagações_TOT_PARANAIBA!$A$7:$A$69&gt;=PREVS_SMAP_DIARIO!M$26)*(Propagações_TOT_PARANAIBA!$A$7:$A$69&lt;=PREVS_SMAP_DIARIO!M$27),0))+M54</f>
        <v>0</v>
      </c>
      <c r="N55" s="132">
        <f t="array" aca="1" ref="N55" ca="1">SUM(IFERROR(Propagações_TOT_PARANAIBA!$B$7:$CA$69*(Propagações_TOT_PARANAIBA!$B$6:$CA$6=$B55&amp;"I")*(Propagações_TOT_PARANAIBA!$A$7:$A$69&gt;=PREVS_SMAP_DIARIO!N$26)*(Propagações_TOT_PARANAIBA!$A$7:$A$69&lt;=PREVS_SMAP_DIARIO!N$27),0))+N54</f>
        <v>0</v>
      </c>
      <c r="O55" s="132">
        <f t="array" aca="1" ref="O55" ca="1">SUM(IFERROR(Propagações_TOT_PARANAIBA!$B$7:$CA$69*(Propagações_TOT_PARANAIBA!$B$6:$CA$6=$B55&amp;"I")*(Propagações_TOT_PARANAIBA!$A$7:$A$69&gt;=PREVS_SMAP_DIARIO!O$26)*(Propagações_TOT_PARANAIBA!$A$7:$A$69&lt;=PREVS_SMAP_DIARIO!O$27),0))+O54</f>
        <v>0</v>
      </c>
      <c r="P55" s="132">
        <f t="array" aca="1" ref="P55" ca="1">SUM(IFERROR(Propagações_TOT_PARANAIBA!$B$7:$CA$69*(Propagações_TOT_PARANAIBA!$B$6:$CA$6=$B55&amp;"I")*(Propagações_TOT_PARANAIBA!$A$7:$A$69&gt;=PREVS_SMAP_DIARIO!P$26)*(Propagações_TOT_PARANAIBA!$A$7:$A$69&lt;=PREVS_SMAP_DIARIO!P$27),0))+P54</f>
        <v>0</v>
      </c>
      <c r="Q55" s="132">
        <f t="array" aca="1" ref="Q55" ca="1">SUM(IFERROR(Propagações_TOT_PARANAIBA!$B$7:$CA$69*(Propagações_TOT_PARANAIBA!$B$6:$CA$6=$B55&amp;"I")*(Propagações_TOT_PARANAIBA!$A$7:$A$69&gt;=PREVS_SMAP_DIARIO!Q$26)*(Propagações_TOT_PARANAIBA!$A$7:$A$69&lt;=PREVS_SMAP_DIARIO!Q$27),0))+Q54</f>
        <v>0</v>
      </c>
      <c r="R55" s="132"/>
      <c r="S55"/>
      <c r="T55" s="272">
        <v>28</v>
      </c>
      <c r="V55" s="202">
        <f ca="1">IFERROR(ROUND(INDEX(F:F,MATCH($T55,$A:$A,0)),0),INDEX(PREVIVAZ!$C29:$N29,1,MATCH(V$27,PREVIVAZ!$C$1:$N$1,1)))</f>
        <v>0</v>
      </c>
      <c r="W55" s="202">
        <f ca="1">IFERROR(ROUND(INDEX(G:G,MATCH($T55,$A:$A,0)),0),INDEX(PREVIVAZ!$C29:$N29,1,MATCH(W$27,PREVIVAZ!$C$1:$N$1,1)))</f>
        <v>0</v>
      </c>
      <c r="X55" s="202">
        <f ca="1">IFERROR(ROUND(INDEX(H:H,MATCH($T55,$A:$A,0)),0),INDEX(PREVIVAZ!$C29:$N29,1,MATCH(X$27,PREVIVAZ!$C$1:$N$1,1)))</f>
        <v>0</v>
      </c>
      <c r="Y55" s="202">
        <f ca="1">IFERROR(ROUND(INDEX(I:I,MATCH($T55,$A:$A,0)),0),INDEX(PREVIVAZ!$C29:$N29,1,MATCH(Y$27,PREVIVAZ!$C$1:$N$1,1)))</f>
        <v>0</v>
      </c>
      <c r="Z55" s="202">
        <f ca="1">IFERROR(ROUND(INDEX(J:J,MATCH($T55,$A:$A,0)),0),INDEX(PREVIVAZ!$C29:$N29,1,MATCH(Z$27,PREVIVAZ!$C$1:$N$1,1)))</f>
        <v>0</v>
      </c>
      <c r="AA55" s="202">
        <f ca="1">IFERROR(ROUND(INDEX(K:K,MATCH($T55,$A:$A,0)),0),INDEX(PREVIVAZ!$C29:$N29,1,MATCH(AA$27,PREVIVAZ!$C$1:$N$1,1)))</f>
        <v>0</v>
      </c>
      <c r="AB55" s="202">
        <f ca="1">IFERROR(ROUND(INDEX(L:L,MATCH($T55,$A:$A,0)),0),INDEX(PREVIVAZ!$C29:$N29,1,MATCH(AB$27,PREVIVAZ!$C$1:$N$1,1)))</f>
        <v>0</v>
      </c>
      <c r="AC55" s="202">
        <f ca="1">IFERROR(ROUND(INDEX(M:M,MATCH($T55,$A:$A,0)),0),INDEX(PREVIVAZ!$C29:$N29,1,MATCH(AC$27,PREVIVAZ!$C$1:$N$1,1)))</f>
        <v>0</v>
      </c>
      <c r="AD55" s="202">
        <f ca="1">IFERROR(ROUND(INDEX(N:N,MATCH($T55,$A:$A,0)),0),INDEX(PREVIVAZ!$C29:$N29,1,MATCH(AD$27,PREVIVAZ!$C$1:$N$1,1)))</f>
        <v>0</v>
      </c>
      <c r="AE55" s="202">
        <f ca="1">IFERROR(ROUND(INDEX(O:O,MATCH($T55,$A:$A,0)),0),INDEX(PREVIVAZ!$C29:$N29,1,MATCH(AE$27,PREVIVAZ!$C$1:$N$1,1)))</f>
        <v>0</v>
      </c>
      <c r="AF55" s="202">
        <f ca="1">IFERROR(ROUND(INDEX(P:P,MATCH($T55,$A:$A,0)),0),INDEX(PREVIVAZ!$C29:$N29,1,MATCH(AF$27,PREVIVAZ!$C$1:$N$1,1)))</f>
        <v>0</v>
      </c>
      <c r="AG55" s="202">
        <f ca="1">IFERROR(ROUND(INDEX(Q:Q,MATCH($T55,$A:$A,0)),0),INDEX(PREVIVAZ!$C29:$N29,1,MATCH(AG$27,PREVIVAZ!$C$1:$N$1,1)))</f>
        <v>0</v>
      </c>
    </row>
    <row r="56" spans="1:33" ht="12.75" x14ac:dyDescent="0.2">
      <c r="A56" s="141"/>
      <c r="B56" s="142"/>
      <c r="C56" s="142"/>
      <c r="D56" s="142"/>
      <c r="E56" s="134"/>
      <c r="F56" s="134"/>
      <c r="G56" s="132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42"/>
      <c r="S56"/>
      <c r="T56" s="272">
        <v>29</v>
      </c>
      <c r="V56" s="202" t="e">
        <f ca="1">IFERROR(ROUND(INDEX(F:F,MATCH($T56,$A:$A,0)),0),INDEX(PREVIVAZ!$C30:$N30,1,MATCH(V$27,PREVIVAZ!$C$1:$N$1,1)))</f>
        <v>#N/A</v>
      </c>
      <c r="W56" s="202" t="e">
        <f ca="1">IFERROR(ROUND(INDEX(G:G,MATCH($T56,$A:$A,0)),0),INDEX(PREVIVAZ!$C30:$N30,1,MATCH(W$27,PREVIVAZ!$C$1:$N$1,1)))</f>
        <v>#N/A</v>
      </c>
      <c r="X56" s="202" t="e">
        <f ca="1">IFERROR(ROUND(INDEX(H:H,MATCH($T56,$A:$A,0)),0),INDEX(PREVIVAZ!$C30:$N30,1,MATCH(X$27,PREVIVAZ!$C$1:$N$1,1)))</f>
        <v>#N/A</v>
      </c>
      <c r="Y56" s="202" t="e">
        <f ca="1">IFERROR(ROUND(INDEX(I:I,MATCH($T56,$A:$A,0)),0),INDEX(PREVIVAZ!$C30:$N30,1,MATCH(Y$27,PREVIVAZ!$C$1:$N$1,1)))</f>
        <v>#N/A</v>
      </c>
      <c r="Z56" s="202" t="e">
        <f ca="1">IFERROR(ROUND(INDEX(J:J,MATCH($T56,$A:$A,0)),0),INDEX(PREVIVAZ!$C30:$N30,1,MATCH(Z$27,PREVIVAZ!$C$1:$N$1,1)))</f>
        <v>#N/A</v>
      </c>
      <c r="AA56" s="202" t="e">
        <f ca="1">IFERROR(ROUND(INDEX(K:K,MATCH($T56,$A:$A,0)),0),INDEX(PREVIVAZ!$C30:$N30,1,MATCH(AA$27,PREVIVAZ!$C$1:$N$1,1)))</f>
        <v>#N/A</v>
      </c>
      <c r="AB56" s="202" t="e">
        <f ca="1">IFERROR(ROUND(INDEX(L:L,MATCH($T56,$A:$A,0)),0),INDEX(PREVIVAZ!$C30:$N30,1,MATCH(AB$27,PREVIVAZ!$C$1:$N$1,1)))</f>
        <v>#N/A</v>
      </c>
      <c r="AC56" s="202" t="e">
        <f ca="1">IFERROR(ROUND(INDEX(M:M,MATCH($T56,$A:$A,0)),0),INDEX(PREVIVAZ!$C30:$N30,1,MATCH(AC$27,PREVIVAZ!$C$1:$N$1,1)))</f>
        <v>#N/A</v>
      </c>
      <c r="AD56" s="202" t="e">
        <f ca="1">IFERROR(ROUND(INDEX(N:N,MATCH($T56,$A:$A,0)),0),INDEX(PREVIVAZ!$C30:$N30,1,MATCH(AD$27,PREVIVAZ!$C$1:$N$1,1)))</f>
        <v>#N/A</v>
      </c>
      <c r="AE56" s="202" t="e">
        <f ca="1">IFERROR(ROUND(INDEX(O:O,MATCH($T56,$A:$A,0)),0),INDEX(PREVIVAZ!$C30:$N30,1,MATCH(AE$27,PREVIVAZ!$C$1:$N$1,1)))</f>
        <v>#N/A</v>
      </c>
      <c r="AF56" s="202" t="e">
        <f ca="1">IFERROR(ROUND(INDEX(P:P,MATCH($T56,$A:$A,0)),0),INDEX(PREVIVAZ!$C30:$N30,1,MATCH(AF$27,PREVIVAZ!$C$1:$N$1,1)))</f>
        <v>#N/A</v>
      </c>
      <c r="AG56" s="202" t="e">
        <f ca="1">IFERROR(ROUND(INDEX(Q:Q,MATCH($T56,$A:$A,0)),0),INDEX(PREVIVAZ!$C30:$N30,1,MATCH(AG$27,PREVIVAZ!$C$1:$N$1,1)))</f>
        <v>#N/A</v>
      </c>
    </row>
    <row r="57" spans="1:33" ht="13.5" thickBot="1" x14ac:dyDescent="0.25">
      <c r="A57" s="141"/>
      <c r="B57" s="142"/>
      <c r="C57" s="142"/>
      <c r="D57" s="142"/>
      <c r="E57" s="134"/>
      <c r="F57" s="134"/>
      <c r="G57" s="132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42"/>
      <c r="S57"/>
      <c r="T57" s="272">
        <v>30</v>
      </c>
      <c r="V57" s="202" t="e">
        <f ca="1">IFERROR(ROUND(INDEX(F:F,MATCH($T57,$A:$A,0)),0),INDEX(PREVIVAZ!$C31:$N31,1,MATCH(V$27,PREVIVAZ!$C$1:$N$1,1)))</f>
        <v>#N/A</v>
      </c>
      <c r="W57" s="202" t="e">
        <f ca="1">IFERROR(ROUND(INDEX(G:G,MATCH($T57,$A:$A,0)),0),INDEX(PREVIVAZ!$C31:$N31,1,MATCH(W$27,PREVIVAZ!$C$1:$N$1,1)))</f>
        <v>#N/A</v>
      </c>
      <c r="X57" s="202" t="e">
        <f ca="1">IFERROR(ROUND(INDEX(H:H,MATCH($T57,$A:$A,0)),0),INDEX(PREVIVAZ!$C31:$N31,1,MATCH(X$27,PREVIVAZ!$C$1:$N$1,1)))</f>
        <v>#N/A</v>
      </c>
      <c r="Y57" s="202" t="e">
        <f ca="1">IFERROR(ROUND(INDEX(I:I,MATCH($T57,$A:$A,0)),0),INDEX(PREVIVAZ!$C31:$N31,1,MATCH(Y$27,PREVIVAZ!$C$1:$N$1,1)))</f>
        <v>#N/A</v>
      </c>
      <c r="Z57" s="202" t="e">
        <f ca="1">IFERROR(ROUND(INDEX(J:J,MATCH($T57,$A:$A,0)),0),INDEX(PREVIVAZ!$C31:$N31,1,MATCH(Z$27,PREVIVAZ!$C$1:$N$1,1)))</f>
        <v>#N/A</v>
      </c>
      <c r="AA57" s="202" t="e">
        <f ca="1">IFERROR(ROUND(INDEX(K:K,MATCH($T57,$A:$A,0)),0),INDEX(PREVIVAZ!$C31:$N31,1,MATCH(AA$27,PREVIVAZ!$C$1:$N$1,1)))</f>
        <v>#N/A</v>
      </c>
      <c r="AB57" s="202" t="e">
        <f ca="1">IFERROR(ROUND(INDEX(L:L,MATCH($T57,$A:$A,0)),0),INDEX(PREVIVAZ!$C31:$N31,1,MATCH(AB$27,PREVIVAZ!$C$1:$N$1,1)))</f>
        <v>#N/A</v>
      </c>
      <c r="AC57" s="202" t="e">
        <f ca="1">IFERROR(ROUND(INDEX(M:M,MATCH($T57,$A:$A,0)),0),INDEX(PREVIVAZ!$C31:$N31,1,MATCH(AC$27,PREVIVAZ!$C$1:$N$1,1)))</f>
        <v>#N/A</v>
      </c>
      <c r="AD57" s="202" t="e">
        <f ca="1">IFERROR(ROUND(INDEX(N:N,MATCH($T57,$A:$A,0)),0),INDEX(PREVIVAZ!$C31:$N31,1,MATCH(AD$27,PREVIVAZ!$C$1:$N$1,1)))</f>
        <v>#N/A</v>
      </c>
      <c r="AE57" s="202" t="e">
        <f ca="1">IFERROR(ROUND(INDEX(O:O,MATCH($T57,$A:$A,0)),0),INDEX(PREVIVAZ!$C31:$N31,1,MATCH(AE$27,PREVIVAZ!$C$1:$N$1,1)))</f>
        <v>#N/A</v>
      </c>
      <c r="AF57" s="202" t="e">
        <f ca="1">IFERROR(ROUND(INDEX(P:P,MATCH($T57,$A:$A,0)),0),INDEX(PREVIVAZ!$C31:$N31,1,MATCH(AF$27,PREVIVAZ!$C$1:$N$1,1)))</f>
        <v>#N/A</v>
      </c>
      <c r="AG57" s="202" t="e">
        <f ca="1">IFERROR(ROUND(INDEX(Q:Q,MATCH($T57,$A:$A,0)),0),INDEX(PREVIVAZ!$C31:$N31,1,MATCH(AG$27,PREVIVAZ!$C$1:$N$1,1)))</f>
        <v>#N/A</v>
      </c>
    </row>
    <row r="58" spans="1:33" ht="13.5" thickBot="1" x14ac:dyDescent="0.25">
      <c r="A58" s="147">
        <v>47</v>
      </c>
      <c r="B58" s="282" t="str">
        <f t="shared" ref="B58:B68" si="6">A58&amp;"_VN"</f>
        <v>47_VN</v>
      </c>
      <c r="C58" s="142" t="s">
        <v>34</v>
      </c>
      <c r="D58" s="132">
        <f t="shared" si="4"/>
        <v>47</v>
      </c>
      <c r="E58" s="132">
        <f t="array" aca="1" ref="E58" ca="1">SUM(IFERROR(Propagações_TOT_PARANAPANEMA!$B$7:$BO$69*(Propagações_TOT_PARANAPANEMA!$B$6:$BO$6=$B58&amp;"A")*(Propagações_TOT_PARANAPANEMA!$A$7:$A$69&gt;=PREVS_SMAP_DIARIO!E$26)*(Propagações_TOT_PARANAPANEMA!$A$7:$A$69&lt;=PREVS_SMAP_DIARIO!E$27),0))</f>
        <v>161</v>
      </c>
      <c r="F58" s="132">
        <f t="array" aca="1" ref="F58" ca="1">SUM(IFERROR(Propagações_TOT_PARANAPANEMA!$B$7:$BO$69*(Propagações_TOT_PARANAPANEMA!$B$6:$BO$6=$B58&amp;"A")*(Propagações_TOT_PARANAPANEMA!$A$7:$A$69&gt;=PREVS_SMAP_DIARIO!F$26)*(Propagações_TOT_PARANAPANEMA!$A$7:$A$69&lt;=PREVS_SMAP_DIARIO!F$27),0))</f>
        <v>0</v>
      </c>
      <c r="G58" s="132">
        <f t="array" aca="1" ref="G58" ca="1">SUM(IFERROR(Propagações_TOT_PARANAPANEMA!$B$7:$BO$69*(Propagações_TOT_PARANAPANEMA!$B$6:$BO$6=$B58&amp;"A")*(Propagações_TOT_PARANAPANEMA!$A$7:$A$69&gt;=PREVS_SMAP_DIARIO!G$26)*(Propagações_TOT_PARANAPANEMA!$A$7:$A$69&lt;=PREVS_SMAP_DIARIO!G$27),0))</f>
        <v>0</v>
      </c>
      <c r="H58" s="132">
        <f t="array" aca="1" ref="H58" ca="1">SUM(IFERROR(Propagações_TOT_PARANAPANEMA!$B$7:$BO$69*(Propagações_TOT_PARANAPANEMA!$B$6:$BO$6=$B58&amp;"A")*(Propagações_TOT_PARANAPANEMA!$A$7:$A$69&gt;=PREVS_SMAP_DIARIO!H$26)*(Propagações_TOT_PARANAPANEMA!$A$7:$A$69&lt;=PREVS_SMAP_DIARIO!H$27),0))</f>
        <v>0</v>
      </c>
      <c r="I58" s="132">
        <f t="array" aca="1" ref="I58" ca="1">SUM(IFERROR(Propagações_TOT_PARANAPANEMA!$B$7:$BO$69*(Propagações_TOT_PARANAPANEMA!$B$6:$BO$6=$B58&amp;"A")*(Propagações_TOT_PARANAPANEMA!$A$7:$A$69&gt;=PREVS_SMAP_DIARIO!I$26)*(Propagações_TOT_PARANAPANEMA!$A$7:$A$69&lt;=PREVS_SMAP_DIARIO!I$27),0))</f>
        <v>0</v>
      </c>
      <c r="J58" s="132">
        <f t="array" aca="1" ref="J58" ca="1">SUM(IFERROR(Propagações_TOT_PARANAPANEMA!$B$7:$BO$69*(Propagações_TOT_PARANAPANEMA!$B$6:$BO$6=$B58&amp;"A")*(Propagações_TOT_PARANAPANEMA!$A$7:$A$69&gt;=PREVS_SMAP_DIARIO!J$26)*(Propagações_TOT_PARANAPANEMA!$A$7:$A$69&lt;=PREVS_SMAP_DIARIO!J$27),0))</f>
        <v>0</v>
      </c>
      <c r="K58" s="132">
        <f t="array" aca="1" ref="K58" ca="1">SUM(IFERROR(Propagações_TOT_PARANAPANEMA!$B$7:$BO$69*(Propagações_TOT_PARANAPANEMA!$B$6:$BO$6=$B58&amp;"A")*(Propagações_TOT_PARANAPANEMA!$A$7:$A$69&gt;=PREVS_SMAP_DIARIO!K$26)*(Propagações_TOT_PARANAPANEMA!$A$7:$A$69&lt;=PREVS_SMAP_DIARIO!K$27),0))</f>
        <v>0</v>
      </c>
      <c r="L58" s="132">
        <f t="array" aca="1" ref="L58" ca="1">SUM(IFERROR(Propagações_TOT_PARANAPANEMA!$B$7:$BO$69*(Propagações_TOT_PARANAPANEMA!$B$6:$BO$6=$B58&amp;"A")*(Propagações_TOT_PARANAPANEMA!$A$7:$A$69&gt;=PREVS_SMAP_DIARIO!L$26)*(Propagações_TOT_PARANAPANEMA!$A$7:$A$69&lt;=PREVS_SMAP_DIARIO!L$27),0))</f>
        <v>0</v>
      </c>
      <c r="M58" s="132">
        <f t="array" aca="1" ref="M58" ca="1">SUM(IFERROR(Propagações_TOT_PARANAPANEMA!$B$7:$BO$69*(Propagações_TOT_PARANAPANEMA!$B$6:$BO$6=$B58&amp;"A")*(Propagações_TOT_PARANAPANEMA!$A$7:$A$69&gt;=PREVS_SMAP_DIARIO!M$26)*(Propagações_TOT_PARANAPANEMA!$A$7:$A$69&lt;=PREVS_SMAP_DIARIO!M$27),0))</f>
        <v>0</v>
      </c>
      <c r="N58" s="132">
        <f t="array" aca="1" ref="N58" ca="1">SUM(IFERROR(Propagações_TOT_PARANAPANEMA!$B$7:$BO$69*(Propagações_TOT_PARANAPANEMA!$B$6:$BO$6=$B58&amp;"A")*(Propagações_TOT_PARANAPANEMA!$A$7:$A$69&gt;=PREVS_SMAP_DIARIO!N$26)*(Propagações_TOT_PARANAPANEMA!$A$7:$A$69&lt;=PREVS_SMAP_DIARIO!N$27),0))</f>
        <v>0</v>
      </c>
      <c r="O58" s="132">
        <f t="array" aca="1" ref="O58" ca="1">SUM(IFERROR(Propagações_TOT_PARANAPANEMA!$B$7:$BO$69*(Propagações_TOT_PARANAPANEMA!$B$6:$BO$6=$B58&amp;"A")*(Propagações_TOT_PARANAPANEMA!$A$7:$A$69&gt;=PREVS_SMAP_DIARIO!O$26)*(Propagações_TOT_PARANAPANEMA!$A$7:$A$69&lt;=PREVS_SMAP_DIARIO!O$27),0))</f>
        <v>0</v>
      </c>
      <c r="P58" s="132">
        <f t="array" aca="1" ref="P58" ca="1">SUM(IFERROR(Propagações_TOT_PARANAPANEMA!$B$7:$BO$69*(Propagações_TOT_PARANAPANEMA!$B$6:$BO$6=$B58&amp;"A")*(Propagações_TOT_PARANAPANEMA!$A$7:$A$69&gt;=PREVS_SMAP_DIARIO!P$26)*(Propagações_TOT_PARANAPANEMA!$A$7:$A$69&lt;=PREVS_SMAP_DIARIO!P$27),0))</f>
        <v>0</v>
      </c>
      <c r="Q58" s="132">
        <f t="array" aca="1" ref="Q58" ca="1">SUM(IFERROR(Propagações_TOT_PARANAPANEMA!$B$7:$BO$69*(Propagações_TOT_PARANAPANEMA!$B$6:$BO$6=$B58&amp;"A")*(Propagações_TOT_PARANAPANEMA!$A$7:$A$69&gt;=PREVS_SMAP_DIARIO!Q$26)*(Propagações_TOT_PARANAPANEMA!$A$7:$A$69&lt;=PREVS_SMAP_DIARIO!Q$27),0))</f>
        <v>0</v>
      </c>
      <c r="R58" s="132"/>
      <c r="S58"/>
      <c r="T58" s="272">
        <v>31</v>
      </c>
      <c r="V58" s="202">
        <f ca="1">IFERROR(ROUND(INDEX(F:F,MATCH($T58,$A:$A,0)),0),INDEX(PREVIVAZ!$C32:$N32,1,MATCH(V$27,PREVIVAZ!$C$1:$N$1,1)))</f>
        <v>0</v>
      </c>
      <c r="W58" s="202">
        <f ca="1">IFERROR(ROUND(INDEX(G:G,MATCH($T58,$A:$A,0)),0),INDEX(PREVIVAZ!$C32:$N32,1,MATCH(W$27,PREVIVAZ!$C$1:$N$1,1)))</f>
        <v>0</v>
      </c>
      <c r="X58" s="202">
        <f ca="1">IFERROR(ROUND(INDEX(H:H,MATCH($T58,$A:$A,0)),0),INDEX(PREVIVAZ!$C32:$N32,1,MATCH(X$27,PREVIVAZ!$C$1:$N$1,1)))</f>
        <v>0</v>
      </c>
      <c r="Y58" s="202">
        <f ca="1">IFERROR(ROUND(INDEX(I:I,MATCH($T58,$A:$A,0)),0),INDEX(PREVIVAZ!$C32:$N32,1,MATCH(Y$27,PREVIVAZ!$C$1:$N$1,1)))</f>
        <v>0</v>
      </c>
      <c r="Z58" s="202">
        <f ca="1">IFERROR(ROUND(INDEX(J:J,MATCH($T58,$A:$A,0)),0),INDEX(PREVIVAZ!$C32:$N32,1,MATCH(Z$27,PREVIVAZ!$C$1:$N$1,1)))</f>
        <v>0</v>
      </c>
      <c r="AA58" s="202">
        <f ca="1">IFERROR(ROUND(INDEX(K:K,MATCH($T58,$A:$A,0)),0),INDEX(PREVIVAZ!$C32:$N32,1,MATCH(AA$27,PREVIVAZ!$C$1:$N$1,1)))</f>
        <v>0</v>
      </c>
      <c r="AB58" s="202">
        <f ca="1">IFERROR(ROUND(INDEX(L:L,MATCH($T58,$A:$A,0)),0),INDEX(PREVIVAZ!$C32:$N32,1,MATCH(AB$27,PREVIVAZ!$C$1:$N$1,1)))</f>
        <v>0</v>
      </c>
      <c r="AC58" s="202">
        <f ca="1">IFERROR(ROUND(INDEX(M:M,MATCH($T58,$A:$A,0)),0),INDEX(PREVIVAZ!$C32:$N32,1,MATCH(AC$27,PREVIVAZ!$C$1:$N$1,1)))</f>
        <v>0</v>
      </c>
      <c r="AD58" s="202">
        <f ca="1">IFERROR(ROUND(INDEX(N:N,MATCH($T58,$A:$A,0)),0),INDEX(PREVIVAZ!$C32:$N32,1,MATCH(AD$27,PREVIVAZ!$C$1:$N$1,1)))</f>
        <v>0</v>
      </c>
      <c r="AE58" s="202">
        <f ca="1">IFERROR(ROUND(INDEX(O:O,MATCH($T58,$A:$A,0)),0),INDEX(PREVIVAZ!$C32:$N32,1,MATCH(AE$27,PREVIVAZ!$C$1:$N$1,1)))</f>
        <v>0</v>
      </c>
      <c r="AF58" s="202">
        <f ca="1">IFERROR(ROUND(INDEX(P:P,MATCH($T58,$A:$A,0)),0),INDEX(PREVIVAZ!$C32:$N32,1,MATCH(AF$27,PREVIVAZ!$C$1:$N$1,1)))</f>
        <v>0</v>
      </c>
      <c r="AG58" s="202">
        <f ca="1">IFERROR(ROUND(INDEX(Q:Q,MATCH($T58,$A:$A,0)),0),INDEX(PREVIVAZ!$C32:$N32,1,MATCH(AG$27,PREVIVAZ!$C$1:$N$1,1)))</f>
        <v>0</v>
      </c>
    </row>
    <row r="59" spans="1:33" ht="13.5" thickBot="1" x14ac:dyDescent="0.25">
      <c r="A59" s="147">
        <v>48</v>
      </c>
      <c r="B59" s="282" t="str">
        <f t="shared" si="6"/>
        <v>48_VN</v>
      </c>
      <c r="C59" s="137" t="s">
        <v>62</v>
      </c>
      <c r="D59" s="132">
        <f t="shared" si="4"/>
        <v>48</v>
      </c>
      <c r="E59" s="132">
        <f t="array" aca="1" ref="E59" ca="1">SUM(IFERROR(Propagações_TOT_PARANAPANEMA!$B$7:$BO$69*(Propagações_TOT_PARANAPANEMA!$B$6:$BO$6=$B59&amp;"A")*(Propagações_TOT_PARANAPANEMA!$A$7:$A$69&gt;=PREVS_SMAP_DIARIO!E$26)*(Propagações_TOT_PARANAPANEMA!$A$7:$A$69&lt;=PREVS_SMAP_DIARIO!E$27),0))</f>
        <v>157</v>
      </c>
      <c r="F59" s="132">
        <f t="array" aca="1" ref="F59" ca="1">SUM(IFERROR(Propagações_TOT_PARANAPANEMA!$B$7:$BO$69*(Propagações_TOT_PARANAPANEMA!$B$6:$BO$6=$B59&amp;"A")*(Propagações_TOT_PARANAPANEMA!$A$7:$A$69&gt;=PREVS_SMAP_DIARIO!F$26)*(Propagações_TOT_PARANAPANEMA!$A$7:$A$69&lt;=PREVS_SMAP_DIARIO!F$27),0))</f>
        <v>0</v>
      </c>
      <c r="G59" s="132">
        <f t="array" aca="1" ref="G59" ca="1">SUM(IFERROR(Propagações_TOT_PARANAPANEMA!$B$7:$BO$69*(Propagações_TOT_PARANAPANEMA!$B$6:$BO$6=$B59&amp;"I")*(Propagações_TOT_PARANAPANEMA!$A$7:$A$69&gt;=PREVS_SMAP_DIARIO!G$26)*(Propagações_TOT_PARANAPANEMA!$A$7:$A$69&lt;=PREVS_SMAP_DIARIO!G$27),0))+G58</f>
        <v>0</v>
      </c>
      <c r="H59" s="132">
        <f t="array" aca="1" ref="H59" ca="1">SUM(IFERROR(Propagações_TOT_PARANAPANEMA!$B$7:$BO$69*(Propagações_TOT_PARANAPANEMA!$B$6:$BO$6=$B59&amp;"I")*(Propagações_TOT_PARANAPANEMA!$A$7:$A$69&gt;=PREVS_SMAP_DIARIO!H$26)*(Propagações_TOT_PARANAPANEMA!$A$7:$A$69&lt;=PREVS_SMAP_DIARIO!H$27),0))+H58</f>
        <v>0</v>
      </c>
      <c r="I59" s="132">
        <f t="array" aca="1" ref="I59" ca="1">SUM(IFERROR(Propagações_TOT_PARANAPANEMA!$B$7:$BO$69*(Propagações_TOT_PARANAPANEMA!$B$6:$BO$6=$B59&amp;"I")*(Propagações_TOT_PARANAPANEMA!$A$7:$A$69&gt;=PREVS_SMAP_DIARIO!I$26)*(Propagações_TOT_PARANAPANEMA!$A$7:$A$69&lt;=PREVS_SMAP_DIARIO!I$27),0))+I58</f>
        <v>0</v>
      </c>
      <c r="J59" s="132">
        <f t="array" aca="1" ref="J59" ca="1">SUM(IFERROR(Propagações_TOT_PARANAPANEMA!$B$7:$BO$69*(Propagações_TOT_PARANAPANEMA!$B$6:$BO$6=$B59&amp;"I")*(Propagações_TOT_PARANAPANEMA!$A$7:$A$69&gt;=PREVS_SMAP_DIARIO!J$26)*(Propagações_TOT_PARANAPANEMA!$A$7:$A$69&lt;=PREVS_SMAP_DIARIO!J$27),0))+J58</f>
        <v>0</v>
      </c>
      <c r="K59" s="132">
        <f t="array" aca="1" ref="K59" ca="1">SUM(IFERROR(Propagações_TOT_PARANAPANEMA!$B$7:$BO$69*(Propagações_TOT_PARANAPANEMA!$B$6:$BO$6=$B59&amp;"I")*(Propagações_TOT_PARANAPANEMA!$A$7:$A$69&gt;=PREVS_SMAP_DIARIO!K$26)*(Propagações_TOT_PARANAPANEMA!$A$7:$A$69&lt;=PREVS_SMAP_DIARIO!K$27),0))+K58</f>
        <v>0</v>
      </c>
      <c r="L59" s="132">
        <f t="array" aca="1" ref="L59" ca="1">SUM(IFERROR(Propagações_TOT_PARANAPANEMA!$B$7:$BO$69*(Propagações_TOT_PARANAPANEMA!$B$6:$BO$6=$B59&amp;"I")*(Propagações_TOT_PARANAPANEMA!$A$7:$A$69&gt;=PREVS_SMAP_DIARIO!L$26)*(Propagações_TOT_PARANAPANEMA!$A$7:$A$69&lt;=PREVS_SMAP_DIARIO!L$27),0))+L58</f>
        <v>0</v>
      </c>
      <c r="M59" s="132">
        <f t="array" aca="1" ref="M59" ca="1">SUM(IFERROR(Propagações_TOT_PARANAPANEMA!$B$7:$BO$69*(Propagações_TOT_PARANAPANEMA!$B$6:$BO$6=$B59&amp;"I")*(Propagações_TOT_PARANAPANEMA!$A$7:$A$69&gt;=PREVS_SMAP_DIARIO!M$26)*(Propagações_TOT_PARANAPANEMA!$A$7:$A$69&lt;=PREVS_SMAP_DIARIO!M$27),0))+M58</f>
        <v>0</v>
      </c>
      <c r="N59" s="132">
        <f t="array" aca="1" ref="N59" ca="1">SUM(IFERROR(Propagações_TOT_PARANAPANEMA!$B$7:$BO$69*(Propagações_TOT_PARANAPANEMA!$B$6:$BO$6=$B59&amp;"I")*(Propagações_TOT_PARANAPANEMA!$A$7:$A$69&gt;=PREVS_SMAP_DIARIO!N$26)*(Propagações_TOT_PARANAPANEMA!$A$7:$A$69&lt;=PREVS_SMAP_DIARIO!N$27),0))+N58</f>
        <v>0</v>
      </c>
      <c r="O59" s="132">
        <f t="array" aca="1" ref="O59" ca="1">SUM(IFERROR(Propagações_TOT_PARANAPANEMA!$B$7:$BO$69*(Propagações_TOT_PARANAPANEMA!$B$6:$BO$6=$B59&amp;"I")*(Propagações_TOT_PARANAPANEMA!$A$7:$A$69&gt;=PREVS_SMAP_DIARIO!O$26)*(Propagações_TOT_PARANAPANEMA!$A$7:$A$69&lt;=PREVS_SMAP_DIARIO!O$27),0))+O58</f>
        <v>0</v>
      </c>
      <c r="P59" s="132">
        <f t="array" aca="1" ref="P59" ca="1">SUM(IFERROR(Propagações_TOT_PARANAPANEMA!$B$7:$BO$69*(Propagações_TOT_PARANAPANEMA!$B$6:$BO$6=$B59&amp;"I")*(Propagações_TOT_PARANAPANEMA!$A$7:$A$69&gt;=PREVS_SMAP_DIARIO!P$26)*(Propagações_TOT_PARANAPANEMA!$A$7:$A$69&lt;=PREVS_SMAP_DIARIO!P$27),0))+P58</f>
        <v>0</v>
      </c>
      <c r="Q59" s="132">
        <f t="array" aca="1" ref="Q59" ca="1">SUM(IFERROR(Propagações_TOT_PARANAPANEMA!$B$7:$BO$69*(Propagações_TOT_PARANAPANEMA!$B$6:$BO$6=$B59&amp;"I")*(Propagações_TOT_PARANAPANEMA!$A$7:$A$69&gt;=PREVS_SMAP_DIARIO!Q$26)*(Propagações_TOT_PARANAPANEMA!$A$7:$A$69&lt;=PREVS_SMAP_DIARIO!Q$27),0))+Q58</f>
        <v>0</v>
      </c>
      <c r="R59" s="132"/>
      <c r="S59"/>
      <c r="T59" s="272">
        <v>32</v>
      </c>
      <c r="V59" s="202">
        <f ca="1">IFERROR(ROUND(INDEX(F:F,MATCH($T59,$A:$A,0)),0),INDEX(PREVIVAZ!$C33:$N33,1,MATCH(V$27,PREVIVAZ!$C$1:$N$1,1)))</f>
        <v>0</v>
      </c>
      <c r="W59" s="202">
        <f ca="1">IFERROR(ROUND(INDEX(G:G,MATCH($T59,$A:$A,0)),0),INDEX(PREVIVAZ!$C33:$N33,1,MATCH(W$27,PREVIVAZ!$C$1:$N$1,1)))</f>
        <v>0</v>
      </c>
      <c r="X59" s="202">
        <f ca="1">IFERROR(ROUND(INDEX(H:H,MATCH($T59,$A:$A,0)),0),INDEX(PREVIVAZ!$C33:$N33,1,MATCH(X$27,PREVIVAZ!$C$1:$N$1,1)))</f>
        <v>0</v>
      </c>
      <c r="Y59" s="202">
        <f ca="1">IFERROR(ROUND(INDEX(I:I,MATCH($T59,$A:$A,0)),0),INDEX(PREVIVAZ!$C33:$N33,1,MATCH(Y$27,PREVIVAZ!$C$1:$N$1,1)))</f>
        <v>0</v>
      </c>
      <c r="Z59" s="202">
        <f ca="1">IFERROR(ROUND(INDEX(J:J,MATCH($T59,$A:$A,0)),0),INDEX(PREVIVAZ!$C33:$N33,1,MATCH(Z$27,PREVIVAZ!$C$1:$N$1,1)))</f>
        <v>0</v>
      </c>
      <c r="AA59" s="202">
        <f ca="1">IFERROR(ROUND(INDEX(K:K,MATCH($T59,$A:$A,0)),0),INDEX(PREVIVAZ!$C33:$N33,1,MATCH(AA$27,PREVIVAZ!$C$1:$N$1,1)))</f>
        <v>0</v>
      </c>
      <c r="AB59" s="202">
        <f ca="1">IFERROR(ROUND(INDEX(L:L,MATCH($T59,$A:$A,0)),0),INDEX(PREVIVAZ!$C33:$N33,1,MATCH(AB$27,PREVIVAZ!$C$1:$N$1,1)))</f>
        <v>0</v>
      </c>
      <c r="AC59" s="202">
        <f ca="1">IFERROR(ROUND(INDEX(M:M,MATCH($T59,$A:$A,0)),0),INDEX(PREVIVAZ!$C33:$N33,1,MATCH(AC$27,PREVIVAZ!$C$1:$N$1,1)))</f>
        <v>0</v>
      </c>
      <c r="AD59" s="202">
        <f ca="1">IFERROR(ROUND(INDEX(N:N,MATCH($T59,$A:$A,0)),0),INDEX(PREVIVAZ!$C33:$N33,1,MATCH(AD$27,PREVIVAZ!$C$1:$N$1,1)))</f>
        <v>0</v>
      </c>
      <c r="AE59" s="202">
        <f ca="1">IFERROR(ROUND(INDEX(O:O,MATCH($T59,$A:$A,0)),0),INDEX(PREVIVAZ!$C33:$N33,1,MATCH(AE$27,PREVIVAZ!$C$1:$N$1,1)))</f>
        <v>0</v>
      </c>
      <c r="AF59" s="202">
        <f ca="1">IFERROR(ROUND(INDEX(P:P,MATCH($T59,$A:$A,0)),0),INDEX(PREVIVAZ!$C33:$N33,1,MATCH(AF$27,PREVIVAZ!$C$1:$N$1,1)))</f>
        <v>0</v>
      </c>
      <c r="AG59" s="202">
        <f ca="1">IFERROR(ROUND(INDEX(Q:Q,MATCH($T59,$A:$A,0)),0),INDEX(PREVIVAZ!$C33:$N33,1,MATCH(AG$27,PREVIVAZ!$C$1:$N$1,1)))</f>
        <v>0</v>
      </c>
    </row>
    <row r="60" spans="1:33" ht="13.5" thickBot="1" x14ac:dyDescent="0.25">
      <c r="A60" s="147">
        <v>49</v>
      </c>
      <c r="B60" s="282" t="str">
        <f t="shared" si="6"/>
        <v>49_VN</v>
      </c>
      <c r="C60" s="142" t="s">
        <v>33</v>
      </c>
      <c r="D60" s="132">
        <f t="shared" ref="D60:D70" si="7">A60</f>
        <v>49</v>
      </c>
      <c r="E60" s="132">
        <f t="array" aca="1" ref="E60" ca="1">SUM(IFERROR(Propagações_TOT_PARANAPANEMA!$B$7:$BO$69*(Propagações_TOT_PARANAPANEMA!$B$6:$BO$6=$B60&amp;"A")*(Propagações_TOT_PARANAPANEMA!$A$7:$A$69&gt;=PREVS_SMAP_DIARIO!E$26)*(Propagações_TOT_PARANAPANEMA!$A$7:$A$69&lt;=PREVS_SMAP_DIARIO!E$27),0))</f>
        <v>215</v>
      </c>
      <c r="F60" s="132">
        <f t="array" aca="1" ref="F60" ca="1">SUM(IFERROR(Propagações_TOT_PARANAPANEMA!$B$7:$BO$69*(Propagações_TOT_PARANAPANEMA!$B$6:$BO$6=$B60&amp;"A")*(Propagações_TOT_PARANAPANEMA!$A$7:$A$69&gt;=PREVS_SMAP_DIARIO!F$26)*(Propagações_TOT_PARANAPANEMA!$A$7:$A$69&lt;=PREVS_SMAP_DIARIO!F$27),0))</f>
        <v>0</v>
      </c>
      <c r="G60" s="132">
        <f t="array" aca="1" ref="G60" ca="1">SUM(IFERROR(Propagações_TOT_PARANAPANEMA!$B$7:$BO$69*(Propagações_TOT_PARANAPANEMA!$B$6:$BO$6=$B60&amp;"I")*(Propagações_TOT_PARANAPANEMA!$A$7:$A$69&gt;=PREVS_SMAP_DIARIO!G$26)*(Propagações_TOT_PARANAPANEMA!$A$7:$A$69&lt;=PREVS_SMAP_DIARIO!G$27),0))+G59</f>
        <v>0</v>
      </c>
      <c r="H60" s="132">
        <f t="array" aca="1" ref="H60" ca="1">SUM(IFERROR(Propagações_TOT_PARANAPANEMA!$B$7:$BO$69*(Propagações_TOT_PARANAPANEMA!$B$6:$BO$6=$B60&amp;"I")*(Propagações_TOT_PARANAPANEMA!$A$7:$A$69&gt;=PREVS_SMAP_DIARIO!H$26)*(Propagações_TOT_PARANAPANEMA!$A$7:$A$69&lt;=PREVS_SMAP_DIARIO!H$27),0))+H59</f>
        <v>0</v>
      </c>
      <c r="I60" s="132">
        <f t="array" aca="1" ref="I60" ca="1">SUM(IFERROR(Propagações_TOT_PARANAPANEMA!$B$7:$BO$69*(Propagações_TOT_PARANAPANEMA!$B$6:$BO$6=$B60&amp;"I")*(Propagações_TOT_PARANAPANEMA!$A$7:$A$69&gt;=PREVS_SMAP_DIARIO!I$26)*(Propagações_TOT_PARANAPANEMA!$A$7:$A$69&lt;=PREVS_SMAP_DIARIO!I$27),0))+I59</f>
        <v>0</v>
      </c>
      <c r="J60" s="132">
        <f t="array" aca="1" ref="J60" ca="1">SUM(IFERROR(Propagações_TOT_PARANAPANEMA!$B$7:$BO$69*(Propagações_TOT_PARANAPANEMA!$B$6:$BO$6=$B60&amp;"I")*(Propagações_TOT_PARANAPANEMA!$A$7:$A$69&gt;=PREVS_SMAP_DIARIO!J$26)*(Propagações_TOT_PARANAPANEMA!$A$7:$A$69&lt;=PREVS_SMAP_DIARIO!J$27),0))+J59</f>
        <v>0</v>
      </c>
      <c r="K60" s="132">
        <f t="array" aca="1" ref="K60" ca="1">SUM(IFERROR(Propagações_TOT_PARANAPANEMA!$B$7:$BO$69*(Propagações_TOT_PARANAPANEMA!$B$6:$BO$6=$B60&amp;"I")*(Propagações_TOT_PARANAPANEMA!$A$7:$A$69&gt;=PREVS_SMAP_DIARIO!K$26)*(Propagações_TOT_PARANAPANEMA!$A$7:$A$69&lt;=PREVS_SMAP_DIARIO!K$27),0))+K59</f>
        <v>0</v>
      </c>
      <c r="L60" s="132">
        <f t="array" aca="1" ref="L60" ca="1">SUM(IFERROR(Propagações_TOT_PARANAPANEMA!$B$7:$BO$69*(Propagações_TOT_PARANAPANEMA!$B$6:$BO$6=$B60&amp;"I")*(Propagações_TOT_PARANAPANEMA!$A$7:$A$69&gt;=PREVS_SMAP_DIARIO!L$26)*(Propagações_TOT_PARANAPANEMA!$A$7:$A$69&lt;=PREVS_SMAP_DIARIO!L$27),0))+L59</f>
        <v>0</v>
      </c>
      <c r="M60" s="132">
        <f t="array" aca="1" ref="M60" ca="1">SUM(IFERROR(Propagações_TOT_PARANAPANEMA!$B$7:$BO$69*(Propagações_TOT_PARANAPANEMA!$B$6:$BO$6=$B60&amp;"I")*(Propagações_TOT_PARANAPANEMA!$A$7:$A$69&gt;=PREVS_SMAP_DIARIO!M$26)*(Propagações_TOT_PARANAPANEMA!$A$7:$A$69&lt;=PREVS_SMAP_DIARIO!M$27),0))+M59</f>
        <v>0</v>
      </c>
      <c r="N60" s="132">
        <f t="array" aca="1" ref="N60" ca="1">SUM(IFERROR(Propagações_TOT_PARANAPANEMA!$B$7:$BO$69*(Propagações_TOT_PARANAPANEMA!$B$6:$BO$6=$B60&amp;"I")*(Propagações_TOT_PARANAPANEMA!$A$7:$A$69&gt;=PREVS_SMAP_DIARIO!N$26)*(Propagações_TOT_PARANAPANEMA!$A$7:$A$69&lt;=PREVS_SMAP_DIARIO!N$27),0))+N59</f>
        <v>0</v>
      </c>
      <c r="O60" s="132">
        <f t="array" aca="1" ref="O60" ca="1">SUM(IFERROR(Propagações_TOT_PARANAPANEMA!$B$7:$BO$69*(Propagações_TOT_PARANAPANEMA!$B$6:$BO$6=$B60&amp;"I")*(Propagações_TOT_PARANAPANEMA!$A$7:$A$69&gt;=PREVS_SMAP_DIARIO!O$26)*(Propagações_TOT_PARANAPANEMA!$A$7:$A$69&lt;=PREVS_SMAP_DIARIO!O$27),0))+O59</f>
        <v>0</v>
      </c>
      <c r="P60" s="132">
        <f t="array" aca="1" ref="P60" ca="1">SUM(IFERROR(Propagações_TOT_PARANAPANEMA!$B$7:$BO$69*(Propagações_TOT_PARANAPANEMA!$B$6:$BO$6=$B60&amp;"I")*(Propagações_TOT_PARANAPANEMA!$A$7:$A$69&gt;=PREVS_SMAP_DIARIO!P$26)*(Propagações_TOT_PARANAPANEMA!$A$7:$A$69&lt;=PREVS_SMAP_DIARIO!P$27),0))+P59</f>
        <v>0</v>
      </c>
      <c r="Q60" s="132">
        <f t="array" aca="1" ref="Q60" ca="1">SUM(IFERROR(Propagações_TOT_PARANAPANEMA!$B$7:$BO$69*(Propagações_TOT_PARANAPANEMA!$B$6:$BO$6=$B60&amp;"I")*(Propagações_TOT_PARANAPANEMA!$A$7:$A$69&gt;=PREVS_SMAP_DIARIO!Q$26)*(Propagações_TOT_PARANAPANEMA!$A$7:$A$69&lt;=PREVS_SMAP_DIARIO!Q$27),0))+Q59</f>
        <v>0</v>
      </c>
      <c r="R60" s="132"/>
      <c r="S60"/>
      <c r="T60" s="162">
        <v>33</v>
      </c>
      <c r="U60" s="162"/>
      <c r="V60" s="202">
        <f ca="1">IFERROR(ROUND(INDEX(F:F,MATCH($T60,$A:$A,0)),0),INDEX(PREVIVAZ!$C34:$N34,1,MATCH(V$27,PREVIVAZ!$C$1:$N$1,1)))</f>
        <v>0</v>
      </c>
      <c r="W60" s="202">
        <f ca="1">IFERROR(ROUND(INDEX(G:G,MATCH($T60,$A:$A,0)),0),INDEX(PREVIVAZ!$C34:$N34,1,MATCH(W$27,PREVIVAZ!$C$1:$N$1,1)))</f>
        <v>0</v>
      </c>
      <c r="X60" s="202">
        <f ca="1">IFERROR(ROUND(INDEX(H:H,MATCH($T60,$A:$A,0)),0),INDEX(PREVIVAZ!$C34:$N34,1,MATCH(X$27,PREVIVAZ!$C$1:$N$1,1)))</f>
        <v>0</v>
      </c>
      <c r="Y60" s="202">
        <f ca="1">IFERROR(ROUND(INDEX(I:I,MATCH($T60,$A:$A,0)),0),INDEX(PREVIVAZ!$C34:$N34,1,MATCH(Y$27,PREVIVAZ!$C$1:$N$1,1)))</f>
        <v>0</v>
      </c>
      <c r="Z60" s="202">
        <f ca="1">IFERROR(ROUND(INDEX(J:J,MATCH($T60,$A:$A,0)),0),INDEX(PREVIVAZ!$C34:$N34,1,MATCH(Z$27,PREVIVAZ!$C$1:$N$1,1)))</f>
        <v>0</v>
      </c>
      <c r="AA60" s="202">
        <f ca="1">IFERROR(ROUND(INDEX(K:K,MATCH($T60,$A:$A,0)),0),INDEX(PREVIVAZ!$C34:$N34,1,MATCH(AA$27,PREVIVAZ!$C$1:$N$1,1)))</f>
        <v>0</v>
      </c>
      <c r="AB60" s="202">
        <f ca="1">IFERROR(ROUND(INDEX(L:L,MATCH($T60,$A:$A,0)),0),INDEX(PREVIVAZ!$C34:$N34,1,MATCH(AB$27,PREVIVAZ!$C$1:$N$1,1)))</f>
        <v>0</v>
      </c>
      <c r="AC60" s="202">
        <f ca="1">IFERROR(ROUND(INDEX(M:M,MATCH($T60,$A:$A,0)),0),INDEX(PREVIVAZ!$C34:$N34,1,MATCH(AC$27,PREVIVAZ!$C$1:$N$1,1)))</f>
        <v>0</v>
      </c>
      <c r="AD60" s="202">
        <f ca="1">IFERROR(ROUND(INDEX(N:N,MATCH($T60,$A:$A,0)),0),INDEX(PREVIVAZ!$C34:$N34,1,MATCH(AD$27,PREVIVAZ!$C$1:$N$1,1)))</f>
        <v>0</v>
      </c>
      <c r="AE60" s="202">
        <f ca="1">IFERROR(ROUND(INDEX(O:O,MATCH($T60,$A:$A,0)),0),INDEX(PREVIVAZ!$C34:$N34,1,MATCH(AE$27,PREVIVAZ!$C$1:$N$1,1)))</f>
        <v>0</v>
      </c>
      <c r="AF60" s="202">
        <f ca="1">IFERROR(ROUND(INDEX(P:P,MATCH($T60,$A:$A,0)),0),INDEX(PREVIVAZ!$C34:$N34,1,MATCH(AF$27,PREVIVAZ!$C$1:$N$1,1)))</f>
        <v>0</v>
      </c>
      <c r="AG60" s="202">
        <f ca="1">IFERROR(ROUND(INDEX(Q:Q,MATCH($T60,$A:$A,0)),0),INDEX(PREVIVAZ!$C34:$N34,1,MATCH(AG$27,PREVIVAZ!$C$1:$N$1,1)))</f>
        <v>0</v>
      </c>
    </row>
    <row r="61" spans="1:33" ht="13.5" thickBot="1" x14ac:dyDescent="0.25">
      <c r="A61" s="147">
        <v>249</v>
      </c>
      <c r="B61" s="282" t="str">
        <f t="shared" si="6"/>
        <v>249_VN</v>
      </c>
      <c r="C61" s="137" t="s">
        <v>64</v>
      </c>
      <c r="D61" s="132">
        <f t="shared" si="7"/>
        <v>249</v>
      </c>
      <c r="E61" s="132">
        <f t="array" aca="1" ref="E61" ca="1">SUM(IFERROR(Propagações_TOT_PARANAPANEMA!$B$7:$BO$69*(Propagações_TOT_PARANAPANEMA!$B$6:$BO$6=$B61&amp;"A")*(Propagações_TOT_PARANAPANEMA!$A$7:$A$69&gt;=PREVS_SMAP_DIARIO!E$26)*(Propagações_TOT_PARANAPANEMA!$A$7:$A$69&lt;=PREVS_SMAP_DIARIO!E$27),0))</f>
        <v>217</v>
      </c>
      <c r="F61" s="132">
        <f t="array" aca="1" ref="F61" ca="1">SUM(IFERROR(Propagações_TOT_PARANAPANEMA!$B$7:$BO$69*(Propagações_TOT_PARANAPANEMA!$B$6:$BO$6=$B61&amp;"A")*(Propagações_TOT_PARANAPANEMA!$A$7:$A$69&gt;=PREVS_SMAP_DIARIO!F$26)*(Propagações_TOT_PARANAPANEMA!$A$7:$A$69&lt;=PREVS_SMAP_DIARIO!F$27),0))</f>
        <v>0</v>
      </c>
      <c r="G61" s="132">
        <f t="array" aca="1" ref="G61" ca="1">SUM(IFERROR(Propagações_TOT_PARANAPANEMA!$B$7:$BO$69*(Propagações_TOT_PARANAPANEMA!$B$6:$BO$6=$B61&amp;"I")*(Propagações_TOT_PARANAPANEMA!$A$7:$A$69&gt;=PREVS_SMAP_DIARIO!G$26)*(Propagações_TOT_PARANAPANEMA!$A$7:$A$69&lt;=PREVS_SMAP_DIARIO!G$27),0))+G60</f>
        <v>0</v>
      </c>
      <c r="H61" s="132">
        <f t="array" aca="1" ref="H61" ca="1">SUM(IFERROR(Propagações_TOT_PARANAPANEMA!$B$7:$BO$69*(Propagações_TOT_PARANAPANEMA!$B$6:$BO$6=$B61&amp;"I")*(Propagações_TOT_PARANAPANEMA!$A$7:$A$69&gt;=PREVS_SMAP_DIARIO!H$26)*(Propagações_TOT_PARANAPANEMA!$A$7:$A$69&lt;=PREVS_SMAP_DIARIO!H$27),0))+H60</f>
        <v>0</v>
      </c>
      <c r="I61" s="132">
        <f t="array" aca="1" ref="I61" ca="1">SUM(IFERROR(Propagações_TOT_PARANAPANEMA!$B$7:$BO$69*(Propagações_TOT_PARANAPANEMA!$B$6:$BO$6=$B61&amp;"I")*(Propagações_TOT_PARANAPANEMA!$A$7:$A$69&gt;=PREVS_SMAP_DIARIO!I$26)*(Propagações_TOT_PARANAPANEMA!$A$7:$A$69&lt;=PREVS_SMAP_DIARIO!I$27),0))+I60</f>
        <v>0</v>
      </c>
      <c r="J61" s="132">
        <f t="array" aca="1" ref="J61" ca="1">SUM(IFERROR(Propagações_TOT_PARANAPANEMA!$B$7:$BO$69*(Propagações_TOT_PARANAPANEMA!$B$6:$BO$6=$B61&amp;"I")*(Propagações_TOT_PARANAPANEMA!$A$7:$A$69&gt;=PREVS_SMAP_DIARIO!J$26)*(Propagações_TOT_PARANAPANEMA!$A$7:$A$69&lt;=PREVS_SMAP_DIARIO!J$27),0))+J60</f>
        <v>0</v>
      </c>
      <c r="K61" s="132">
        <f t="array" aca="1" ref="K61" ca="1">SUM(IFERROR(Propagações_TOT_PARANAPANEMA!$B$7:$BO$69*(Propagações_TOT_PARANAPANEMA!$B$6:$BO$6=$B61&amp;"I")*(Propagações_TOT_PARANAPANEMA!$A$7:$A$69&gt;=PREVS_SMAP_DIARIO!K$26)*(Propagações_TOT_PARANAPANEMA!$A$7:$A$69&lt;=PREVS_SMAP_DIARIO!K$27),0))+K60</f>
        <v>0</v>
      </c>
      <c r="L61" s="132">
        <f t="array" aca="1" ref="L61" ca="1">SUM(IFERROR(Propagações_TOT_PARANAPANEMA!$B$7:$BO$69*(Propagações_TOT_PARANAPANEMA!$B$6:$BO$6=$B61&amp;"I")*(Propagações_TOT_PARANAPANEMA!$A$7:$A$69&gt;=PREVS_SMAP_DIARIO!L$26)*(Propagações_TOT_PARANAPANEMA!$A$7:$A$69&lt;=PREVS_SMAP_DIARIO!L$27),0))+L60</f>
        <v>0</v>
      </c>
      <c r="M61" s="132">
        <f t="array" aca="1" ref="M61" ca="1">SUM(IFERROR(Propagações_TOT_PARANAPANEMA!$B$7:$BO$69*(Propagações_TOT_PARANAPANEMA!$B$6:$BO$6=$B61&amp;"I")*(Propagações_TOT_PARANAPANEMA!$A$7:$A$69&gt;=PREVS_SMAP_DIARIO!M$26)*(Propagações_TOT_PARANAPANEMA!$A$7:$A$69&lt;=PREVS_SMAP_DIARIO!M$27),0))+M60</f>
        <v>0</v>
      </c>
      <c r="N61" s="132">
        <f t="array" aca="1" ref="N61" ca="1">SUM(IFERROR(Propagações_TOT_PARANAPANEMA!$B$7:$BO$69*(Propagações_TOT_PARANAPANEMA!$B$6:$BO$6=$B61&amp;"I")*(Propagações_TOT_PARANAPANEMA!$A$7:$A$69&gt;=PREVS_SMAP_DIARIO!N$26)*(Propagações_TOT_PARANAPANEMA!$A$7:$A$69&lt;=PREVS_SMAP_DIARIO!N$27),0))+N60</f>
        <v>0</v>
      </c>
      <c r="O61" s="132">
        <f t="array" aca="1" ref="O61" ca="1">SUM(IFERROR(Propagações_TOT_PARANAPANEMA!$B$7:$BO$69*(Propagações_TOT_PARANAPANEMA!$B$6:$BO$6=$B61&amp;"I")*(Propagações_TOT_PARANAPANEMA!$A$7:$A$69&gt;=PREVS_SMAP_DIARIO!O$26)*(Propagações_TOT_PARANAPANEMA!$A$7:$A$69&lt;=PREVS_SMAP_DIARIO!O$27),0))+O60</f>
        <v>0</v>
      </c>
      <c r="P61" s="132">
        <f t="array" aca="1" ref="P61" ca="1">SUM(IFERROR(Propagações_TOT_PARANAPANEMA!$B$7:$BO$69*(Propagações_TOT_PARANAPANEMA!$B$6:$BO$6=$B61&amp;"I")*(Propagações_TOT_PARANAPANEMA!$A$7:$A$69&gt;=PREVS_SMAP_DIARIO!P$26)*(Propagações_TOT_PARANAPANEMA!$A$7:$A$69&lt;=PREVS_SMAP_DIARIO!P$27),0))+P60</f>
        <v>0</v>
      </c>
      <c r="Q61" s="132">
        <f t="array" aca="1" ref="Q61" ca="1">SUM(IFERROR(Propagações_TOT_PARANAPANEMA!$B$7:$BO$69*(Propagações_TOT_PARANAPANEMA!$B$6:$BO$6=$B61&amp;"I")*(Propagações_TOT_PARANAPANEMA!$A$7:$A$69&gt;=PREVS_SMAP_DIARIO!Q$26)*(Propagações_TOT_PARANAPANEMA!$A$7:$A$69&lt;=PREVS_SMAP_DIARIO!Q$27),0))+Q60</f>
        <v>0</v>
      </c>
      <c r="R61" s="132"/>
      <c r="S61"/>
      <c r="T61" s="272">
        <v>34</v>
      </c>
      <c r="V61" s="202" t="e">
        <f ca="1">IFERROR(ROUND(INDEX(F:F,MATCH($T61,$A:$A,0)),0),INDEX(PREVIVAZ!$C35:$N35,1,MATCH(V$27,PREVIVAZ!$C$1:$N$1,1)))</f>
        <v>#N/A</v>
      </c>
      <c r="W61" s="202" t="e">
        <f ca="1">IFERROR(ROUND(INDEX(G:G,MATCH($T61,$A:$A,0)),0),INDEX(PREVIVAZ!$C35:$N35,1,MATCH(W$27,PREVIVAZ!$C$1:$N$1,1)))</f>
        <v>#N/A</v>
      </c>
      <c r="X61" s="202" t="e">
        <f ca="1">IFERROR(ROUND(INDEX(H:H,MATCH($T61,$A:$A,0)),0),INDEX(PREVIVAZ!$C35:$N35,1,MATCH(X$27,PREVIVAZ!$C$1:$N$1,1)))</f>
        <v>#N/A</v>
      </c>
      <c r="Y61" s="202" t="e">
        <f ca="1">IFERROR(ROUND(INDEX(I:I,MATCH($T61,$A:$A,0)),0),INDEX(PREVIVAZ!$C35:$N35,1,MATCH(Y$27,PREVIVAZ!$C$1:$N$1,1)))</f>
        <v>#N/A</v>
      </c>
      <c r="Z61" s="202" t="e">
        <f ca="1">IFERROR(ROUND(INDEX(J:J,MATCH($T61,$A:$A,0)),0),INDEX(PREVIVAZ!$C35:$N35,1,MATCH(Z$27,PREVIVAZ!$C$1:$N$1,1)))</f>
        <v>#N/A</v>
      </c>
      <c r="AA61" s="202" t="e">
        <f ca="1">IFERROR(ROUND(INDEX(K:K,MATCH($T61,$A:$A,0)),0),INDEX(PREVIVAZ!$C35:$N35,1,MATCH(AA$27,PREVIVAZ!$C$1:$N$1,1)))</f>
        <v>#N/A</v>
      </c>
      <c r="AB61" s="202" t="e">
        <f ca="1">IFERROR(ROUND(INDEX(L:L,MATCH($T61,$A:$A,0)),0),INDEX(PREVIVAZ!$C35:$N35,1,MATCH(AB$27,PREVIVAZ!$C$1:$N$1,1)))</f>
        <v>#N/A</v>
      </c>
      <c r="AC61" s="202" t="e">
        <f ca="1">IFERROR(ROUND(INDEX(M:M,MATCH($T61,$A:$A,0)),0),INDEX(PREVIVAZ!$C35:$N35,1,MATCH(AC$27,PREVIVAZ!$C$1:$N$1,1)))</f>
        <v>#N/A</v>
      </c>
      <c r="AD61" s="202" t="e">
        <f ca="1">IFERROR(ROUND(INDEX(N:N,MATCH($T61,$A:$A,0)),0),INDEX(PREVIVAZ!$C35:$N35,1,MATCH(AD$27,PREVIVAZ!$C$1:$N$1,1)))</f>
        <v>#N/A</v>
      </c>
      <c r="AE61" s="202" t="e">
        <f ca="1">IFERROR(ROUND(INDEX(O:O,MATCH($T61,$A:$A,0)),0),INDEX(PREVIVAZ!$C35:$N35,1,MATCH(AE$27,PREVIVAZ!$C$1:$N$1,1)))</f>
        <v>#N/A</v>
      </c>
      <c r="AF61" s="202" t="e">
        <f ca="1">IFERROR(ROUND(INDEX(P:P,MATCH($T61,$A:$A,0)),0),INDEX(PREVIVAZ!$C35:$N35,1,MATCH(AF$27,PREVIVAZ!$C$1:$N$1,1)))</f>
        <v>#N/A</v>
      </c>
      <c r="AG61" s="202" t="e">
        <f ca="1">IFERROR(ROUND(INDEX(Q:Q,MATCH($T61,$A:$A,0)),0),INDEX(PREVIVAZ!$C35:$N35,1,MATCH(AG$27,PREVIVAZ!$C$1:$N$1,1)))</f>
        <v>#N/A</v>
      </c>
    </row>
    <row r="62" spans="1:33" ht="13.5" thickBot="1" x14ac:dyDescent="0.25">
      <c r="A62" s="147">
        <v>50</v>
      </c>
      <c r="B62" s="282" t="str">
        <f t="shared" si="6"/>
        <v>50_VN</v>
      </c>
      <c r="C62" s="137" t="s">
        <v>66</v>
      </c>
      <c r="D62" s="132">
        <f t="shared" si="7"/>
        <v>50</v>
      </c>
      <c r="E62" s="132">
        <f t="array" aca="1" ref="E62" ca="1">SUM(IFERROR(Propagações_TOT_PARANAPANEMA!$B$7:$BO$69*(Propagações_TOT_PARANAPANEMA!$B$6:$BO$6=$B62&amp;"A")*(Propagações_TOT_PARANAPANEMA!$A$7:$A$69&gt;=PREVS_SMAP_DIARIO!E$26)*(Propagações_TOT_PARANAPANEMA!$A$7:$A$69&lt;=PREVS_SMAP_DIARIO!E$27),0))</f>
        <v>288</v>
      </c>
      <c r="F62" s="132">
        <f t="array" aca="1" ref="F62" ca="1">SUM(IFERROR(Propagações_TOT_PARANAPANEMA!$B$7:$BO$69*(Propagações_TOT_PARANAPANEMA!$B$6:$BO$6=$B62&amp;"A")*(Propagações_TOT_PARANAPANEMA!$A$7:$A$69&gt;=PREVS_SMAP_DIARIO!F$26)*(Propagações_TOT_PARANAPANEMA!$A$7:$A$69&lt;=PREVS_SMAP_DIARIO!F$27),0))</f>
        <v>0</v>
      </c>
      <c r="G62" s="132">
        <f t="array" aca="1" ref="G62" ca="1">SUM(IFERROR(Propagações_TOT_PARANAPANEMA!$B$7:$BO$69*(Propagações_TOT_PARANAPANEMA!$B$6:$BO$6=$B62&amp;"I")*(Propagações_TOT_PARANAPANEMA!$A$7:$A$69&gt;=PREVS_SMAP_DIARIO!G$26)*(Propagações_TOT_PARANAPANEMA!$A$7:$A$69&lt;=PREVS_SMAP_DIARIO!G$27),0))+G61</f>
        <v>0</v>
      </c>
      <c r="H62" s="132">
        <f t="array" aca="1" ref="H62" ca="1">SUM(IFERROR(Propagações_TOT_PARANAPANEMA!$B$7:$BO$69*(Propagações_TOT_PARANAPANEMA!$B$6:$BO$6=$B62&amp;"I")*(Propagações_TOT_PARANAPANEMA!$A$7:$A$69&gt;=PREVS_SMAP_DIARIO!H$26)*(Propagações_TOT_PARANAPANEMA!$A$7:$A$69&lt;=PREVS_SMAP_DIARIO!H$27),0))+H61</f>
        <v>0</v>
      </c>
      <c r="I62" s="132">
        <f t="array" aca="1" ref="I62" ca="1">SUM(IFERROR(Propagações_TOT_PARANAPANEMA!$B$7:$BO$69*(Propagações_TOT_PARANAPANEMA!$B$6:$BO$6=$B62&amp;"I")*(Propagações_TOT_PARANAPANEMA!$A$7:$A$69&gt;=PREVS_SMAP_DIARIO!I$26)*(Propagações_TOT_PARANAPANEMA!$A$7:$A$69&lt;=PREVS_SMAP_DIARIO!I$27),0))+I61</f>
        <v>0</v>
      </c>
      <c r="J62" s="132">
        <f t="array" aca="1" ref="J62" ca="1">SUM(IFERROR(Propagações_TOT_PARANAPANEMA!$B$7:$BO$69*(Propagações_TOT_PARANAPANEMA!$B$6:$BO$6=$B62&amp;"I")*(Propagações_TOT_PARANAPANEMA!$A$7:$A$69&gt;=PREVS_SMAP_DIARIO!J$26)*(Propagações_TOT_PARANAPANEMA!$A$7:$A$69&lt;=PREVS_SMAP_DIARIO!J$27),0))+J61</f>
        <v>0</v>
      </c>
      <c r="K62" s="132">
        <f t="array" aca="1" ref="K62" ca="1">SUM(IFERROR(Propagações_TOT_PARANAPANEMA!$B$7:$BO$69*(Propagações_TOT_PARANAPANEMA!$B$6:$BO$6=$B62&amp;"I")*(Propagações_TOT_PARANAPANEMA!$A$7:$A$69&gt;=PREVS_SMAP_DIARIO!K$26)*(Propagações_TOT_PARANAPANEMA!$A$7:$A$69&lt;=PREVS_SMAP_DIARIO!K$27),0))+K61</f>
        <v>0</v>
      </c>
      <c r="L62" s="132">
        <f t="array" aca="1" ref="L62" ca="1">SUM(IFERROR(Propagações_TOT_PARANAPANEMA!$B$7:$BO$69*(Propagações_TOT_PARANAPANEMA!$B$6:$BO$6=$B62&amp;"I")*(Propagações_TOT_PARANAPANEMA!$A$7:$A$69&gt;=PREVS_SMAP_DIARIO!L$26)*(Propagações_TOT_PARANAPANEMA!$A$7:$A$69&lt;=PREVS_SMAP_DIARIO!L$27),0))+L61</f>
        <v>0</v>
      </c>
      <c r="M62" s="132">
        <f t="array" aca="1" ref="M62" ca="1">SUM(IFERROR(Propagações_TOT_PARANAPANEMA!$B$7:$BO$69*(Propagações_TOT_PARANAPANEMA!$B$6:$BO$6=$B62&amp;"I")*(Propagações_TOT_PARANAPANEMA!$A$7:$A$69&gt;=PREVS_SMAP_DIARIO!M$26)*(Propagações_TOT_PARANAPANEMA!$A$7:$A$69&lt;=PREVS_SMAP_DIARIO!M$27),0))+M61</f>
        <v>0</v>
      </c>
      <c r="N62" s="132">
        <f t="array" aca="1" ref="N62" ca="1">SUM(IFERROR(Propagações_TOT_PARANAPANEMA!$B$7:$BO$69*(Propagações_TOT_PARANAPANEMA!$B$6:$BO$6=$B62&amp;"I")*(Propagações_TOT_PARANAPANEMA!$A$7:$A$69&gt;=PREVS_SMAP_DIARIO!N$26)*(Propagações_TOT_PARANAPANEMA!$A$7:$A$69&lt;=PREVS_SMAP_DIARIO!N$27),0))+N61</f>
        <v>0</v>
      </c>
      <c r="O62" s="132">
        <f t="array" aca="1" ref="O62" ca="1">SUM(IFERROR(Propagações_TOT_PARANAPANEMA!$B$7:$BO$69*(Propagações_TOT_PARANAPANEMA!$B$6:$BO$6=$B62&amp;"I")*(Propagações_TOT_PARANAPANEMA!$A$7:$A$69&gt;=PREVS_SMAP_DIARIO!O$26)*(Propagações_TOT_PARANAPANEMA!$A$7:$A$69&lt;=PREVS_SMAP_DIARIO!O$27),0))+O61</f>
        <v>0</v>
      </c>
      <c r="P62" s="132">
        <f t="array" aca="1" ref="P62" ca="1">SUM(IFERROR(Propagações_TOT_PARANAPANEMA!$B$7:$BO$69*(Propagações_TOT_PARANAPANEMA!$B$6:$BO$6=$B62&amp;"I")*(Propagações_TOT_PARANAPANEMA!$A$7:$A$69&gt;=PREVS_SMAP_DIARIO!P$26)*(Propagações_TOT_PARANAPANEMA!$A$7:$A$69&lt;=PREVS_SMAP_DIARIO!P$27),0))+P61</f>
        <v>0</v>
      </c>
      <c r="Q62" s="132">
        <f t="array" aca="1" ref="Q62" ca="1">SUM(IFERROR(Propagações_TOT_PARANAPANEMA!$B$7:$BO$69*(Propagações_TOT_PARANAPANEMA!$B$6:$BO$6=$B62&amp;"I")*(Propagações_TOT_PARANAPANEMA!$A$7:$A$69&gt;=PREVS_SMAP_DIARIO!Q$26)*(Propagações_TOT_PARANAPANEMA!$A$7:$A$69&lt;=PREVS_SMAP_DIARIO!Q$27),0))+Q61</f>
        <v>0</v>
      </c>
      <c r="R62" s="132"/>
      <c r="S62"/>
      <c r="T62" s="272">
        <v>35</v>
      </c>
      <c r="V62" s="202" t="e">
        <f ca="1">IFERROR(ROUND(INDEX(F:F,MATCH($T62,$A:$A,0)),0),INDEX(PREVIVAZ!$C36:$N36,1,MATCH(V$27,PREVIVAZ!$C$1:$N$1,1)))</f>
        <v>#N/A</v>
      </c>
      <c r="W62" s="202" t="e">
        <f ca="1">IFERROR(ROUND(INDEX(G:G,MATCH($T62,$A:$A,0)),0),INDEX(PREVIVAZ!$C36:$N36,1,MATCH(W$27,PREVIVAZ!$C$1:$N$1,1)))</f>
        <v>#N/A</v>
      </c>
      <c r="X62" s="202" t="e">
        <f ca="1">IFERROR(ROUND(INDEX(H:H,MATCH($T62,$A:$A,0)),0),INDEX(PREVIVAZ!$C36:$N36,1,MATCH(X$27,PREVIVAZ!$C$1:$N$1,1)))</f>
        <v>#N/A</v>
      </c>
      <c r="Y62" s="202" t="e">
        <f ca="1">IFERROR(ROUND(INDEX(I:I,MATCH($T62,$A:$A,0)),0),INDEX(PREVIVAZ!$C36:$N36,1,MATCH(Y$27,PREVIVAZ!$C$1:$N$1,1)))</f>
        <v>#N/A</v>
      </c>
      <c r="Z62" s="202" t="e">
        <f ca="1">IFERROR(ROUND(INDEX(J:J,MATCH($T62,$A:$A,0)),0),INDEX(PREVIVAZ!$C36:$N36,1,MATCH(Z$27,PREVIVAZ!$C$1:$N$1,1)))</f>
        <v>#N/A</v>
      </c>
      <c r="AA62" s="202" t="e">
        <f ca="1">IFERROR(ROUND(INDEX(K:K,MATCH($T62,$A:$A,0)),0),INDEX(PREVIVAZ!$C36:$N36,1,MATCH(AA$27,PREVIVAZ!$C$1:$N$1,1)))</f>
        <v>#N/A</v>
      </c>
      <c r="AB62" s="202" t="e">
        <f ca="1">IFERROR(ROUND(INDEX(L:L,MATCH($T62,$A:$A,0)),0),INDEX(PREVIVAZ!$C36:$N36,1,MATCH(AB$27,PREVIVAZ!$C$1:$N$1,1)))</f>
        <v>#N/A</v>
      </c>
      <c r="AC62" s="202" t="e">
        <f ca="1">IFERROR(ROUND(INDEX(M:M,MATCH($T62,$A:$A,0)),0),INDEX(PREVIVAZ!$C36:$N36,1,MATCH(AC$27,PREVIVAZ!$C$1:$N$1,1)))</f>
        <v>#N/A</v>
      </c>
      <c r="AD62" s="202" t="e">
        <f ca="1">IFERROR(ROUND(INDEX(N:N,MATCH($T62,$A:$A,0)),0),INDEX(PREVIVAZ!$C36:$N36,1,MATCH(AD$27,PREVIVAZ!$C$1:$N$1,1)))</f>
        <v>#N/A</v>
      </c>
      <c r="AE62" s="202" t="e">
        <f ca="1">IFERROR(ROUND(INDEX(O:O,MATCH($T62,$A:$A,0)),0),INDEX(PREVIVAZ!$C36:$N36,1,MATCH(AE$27,PREVIVAZ!$C$1:$N$1,1)))</f>
        <v>#N/A</v>
      </c>
      <c r="AF62" s="202" t="e">
        <f ca="1">IFERROR(ROUND(INDEX(P:P,MATCH($T62,$A:$A,0)),0),INDEX(PREVIVAZ!$C36:$N36,1,MATCH(AF$27,PREVIVAZ!$C$1:$N$1,1)))</f>
        <v>#N/A</v>
      </c>
      <c r="AG62" s="202" t="e">
        <f ca="1">IFERROR(ROUND(INDEX(Q:Q,MATCH($T62,$A:$A,0)),0),INDEX(PREVIVAZ!$C36:$N36,1,MATCH(AG$27,PREVIVAZ!$C$1:$N$1,1)))</f>
        <v>#N/A</v>
      </c>
    </row>
    <row r="63" spans="1:33" ht="13.5" thickBot="1" x14ac:dyDescent="0.25">
      <c r="A63" s="147">
        <v>51</v>
      </c>
      <c r="B63" s="282" t="str">
        <f t="shared" si="6"/>
        <v>51_VN</v>
      </c>
      <c r="C63" s="137" t="s">
        <v>67</v>
      </c>
      <c r="D63" s="132">
        <f t="shared" si="7"/>
        <v>51</v>
      </c>
      <c r="E63" s="132">
        <f t="array" aca="1" ref="E63" ca="1">SUM(IFERROR(Propagações_TOT_PARANAPANEMA!$B$7:$BO$69*(Propagações_TOT_PARANAPANEMA!$B$6:$BO$6=$B63&amp;"A")*(Propagações_TOT_PARANAPANEMA!$A$7:$A$69&gt;=PREVS_SMAP_DIARIO!E$26)*(Propagações_TOT_PARANAPANEMA!$A$7:$A$69&lt;=PREVS_SMAP_DIARIO!E$27),0))</f>
        <v>292</v>
      </c>
      <c r="F63" s="132">
        <f t="array" aca="1" ref="F63" ca="1">SUM(IFERROR(Propagações_TOT_PARANAPANEMA!$B$7:$BO$69*(Propagações_TOT_PARANAPANEMA!$B$6:$BO$6=$B63&amp;"A")*(Propagações_TOT_PARANAPANEMA!$A$7:$A$69&gt;=PREVS_SMAP_DIARIO!F$26)*(Propagações_TOT_PARANAPANEMA!$A$7:$A$69&lt;=PREVS_SMAP_DIARIO!F$27),0))</f>
        <v>0</v>
      </c>
      <c r="G63" s="132">
        <f t="array" aca="1" ref="G63" ca="1">SUM(IFERROR(Propagações_TOT_PARANAPANEMA!$B$7:$BO$69*(Propagações_TOT_PARANAPANEMA!$B$6:$BO$6=$B63&amp;"I")*(Propagações_TOT_PARANAPANEMA!$A$7:$A$69&gt;=PREVS_SMAP_DIARIO!G$26)*(Propagações_TOT_PARANAPANEMA!$A$7:$A$69&lt;=PREVS_SMAP_DIARIO!G$27),0))+G62</f>
        <v>0</v>
      </c>
      <c r="H63" s="132">
        <f t="array" aca="1" ref="H63" ca="1">SUM(IFERROR(Propagações_TOT_PARANAPANEMA!$B$7:$BO$69*(Propagações_TOT_PARANAPANEMA!$B$6:$BO$6=$B63&amp;"I")*(Propagações_TOT_PARANAPANEMA!$A$7:$A$69&gt;=PREVS_SMAP_DIARIO!H$26)*(Propagações_TOT_PARANAPANEMA!$A$7:$A$69&lt;=PREVS_SMAP_DIARIO!H$27),0))+H62</f>
        <v>0</v>
      </c>
      <c r="I63" s="132">
        <f t="array" aca="1" ref="I63" ca="1">SUM(IFERROR(Propagações_TOT_PARANAPANEMA!$B$7:$BO$69*(Propagações_TOT_PARANAPANEMA!$B$6:$BO$6=$B63&amp;"I")*(Propagações_TOT_PARANAPANEMA!$A$7:$A$69&gt;=PREVS_SMAP_DIARIO!I$26)*(Propagações_TOT_PARANAPANEMA!$A$7:$A$69&lt;=PREVS_SMAP_DIARIO!I$27),0))+I62</f>
        <v>0</v>
      </c>
      <c r="J63" s="132">
        <f t="array" aca="1" ref="J63" ca="1">SUM(IFERROR(Propagações_TOT_PARANAPANEMA!$B$7:$BO$69*(Propagações_TOT_PARANAPANEMA!$B$6:$BO$6=$B63&amp;"I")*(Propagações_TOT_PARANAPANEMA!$A$7:$A$69&gt;=PREVS_SMAP_DIARIO!J$26)*(Propagações_TOT_PARANAPANEMA!$A$7:$A$69&lt;=PREVS_SMAP_DIARIO!J$27),0))+J62</f>
        <v>0</v>
      </c>
      <c r="K63" s="132">
        <f t="array" aca="1" ref="K63" ca="1">SUM(IFERROR(Propagações_TOT_PARANAPANEMA!$B$7:$BO$69*(Propagações_TOT_PARANAPANEMA!$B$6:$BO$6=$B63&amp;"I")*(Propagações_TOT_PARANAPANEMA!$A$7:$A$69&gt;=PREVS_SMAP_DIARIO!K$26)*(Propagações_TOT_PARANAPANEMA!$A$7:$A$69&lt;=PREVS_SMAP_DIARIO!K$27),0))+K62</f>
        <v>0</v>
      </c>
      <c r="L63" s="132">
        <f t="array" aca="1" ref="L63" ca="1">SUM(IFERROR(Propagações_TOT_PARANAPANEMA!$B$7:$BO$69*(Propagações_TOT_PARANAPANEMA!$B$6:$BO$6=$B63&amp;"I")*(Propagações_TOT_PARANAPANEMA!$A$7:$A$69&gt;=PREVS_SMAP_DIARIO!L$26)*(Propagações_TOT_PARANAPANEMA!$A$7:$A$69&lt;=PREVS_SMAP_DIARIO!L$27),0))+L62</f>
        <v>0</v>
      </c>
      <c r="M63" s="132">
        <f t="array" aca="1" ref="M63" ca="1">SUM(IFERROR(Propagações_TOT_PARANAPANEMA!$B$7:$BO$69*(Propagações_TOT_PARANAPANEMA!$B$6:$BO$6=$B63&amp;"I")*(Propagações_TOT_PARANAPANEMA!$A$7:$A$69&gt;=PREVS_SMAP_DIARIO!M$26)*(Propagações_TOT_PARANAPANEMA!$A$7:$A$69&lt;=PREVS_SMAP_DIARIO!M$27),0))+M62</f>
        <v>0</v>
      </c>
      <c r="N63" s="132">
        <f t="array" aca="1" ref="N63" ca="1">SUM(IFERROR(Propagações_TOT_PARANAPANEMA!$B$7:$BO$69*(Propagações_TOT_PARANAPANEMA!$B$6:$BO$6=$B63&amp;"I")*(Propagações_TOT_PARANAPANEMA!$A$7:$A$69&gt;=PREVS_SMAP_DIARIO!N$26)*(Propagações_TOT_PARANAPANEMA!$A$7:$A$69&lt;=PREVS_SMAP_DIARIO!N$27),0))+N62</f>
        <v>0</v>
      </c>
      <c r="O63" s="132">
        <f t="array" aca="1" ref="O63" ca="1">SUM(IFERROR(Propagações_TOT_PARANAPANEMA!$B$7:$BO$69*(Propagações_TOT_PARANAPANEMA!$B$6:$BO$6=$B63&amp;"I")*(Propagações_TOT_PARANAPANEMA!$A$7:$A$69&gt;=PREVS_SMAP_DIARIO!O$26)*(Propagações_TOT_PARANAPANEMA!$A$7:$A$69&lt;=PREVS_SMAP_DIARIO!O$27),0))+O62</f>
        <v>0</v>
      </c>
      <c r="P63" s="132">
        <f t="array" aca="1" ref="P63" ca="1">SUM(IFERROR(Propagações_TOT_PARANAPANEMA!$B$7:$BO$69*(Propagações_TOT_PARANAPANEMA!$B$6:$BO$6=$B63&amp;"I")*(Propagações_TOT_PARANAPANEMA!$A$7:$A$69&gt;=PREVS_SMAP_DIARIO!P$26)*(Propagações_TOT_PARANAPANEMA!$A$7:$A$69&lt;=PREVS_SMAP_DIARIO!P$27),0))+P62</f>
        <v>0</v>
      </c>
      <c r="Q63" s="132">
        <f t="array" aca="1" ref="Q63" ca="1">SUM(IFERROR(Propagações_TOT_PARANAPANEMA!$B$7:$BO$69*(Propagações_TOT_PARANAPANEMA!$B$6:$BO$6=$B63&amp;"I")*(Propagações_TOT_PARANAPANEMA!$A$7:$A$69&gt;=PREVS_SMAP_DIARIO!Q$26)*(Propagações_TOT_PARANAPANEMA!$A$7:$A$69&lt;=PREVS_SMAP_DIARIO!Q$27),0))+Q62</f>
        <v>0</v>
      </c>
      <c r="R63" s="132"/>
      <c r="S63"/>
      <c r="T63" s="272">
        <v>36</v>
      </c>
      <c r="V63" s="202" t="e">
        <f ca="1">IFERROR(ROUND(INDEX(F:F,MATCH($T63,$A:$A,0)),0),INDEX(PREVIVAZ!$C37:$N37,1,MATCH(V$27,PREVIVAZ!$C$1:$N$1,1)))</f>
        <v>#N/A</v>
      </c>
      <c r="W63" s="202" t="e">
        <f ca="1">IFERROR(ROUND(INDEX(G:G,MATCH($T63,$A:$A,0)),0),INDEX(PREVIVAZ!$C37:$N37,1,MATCH(W$27,PREVIVAZ!$C$1:$N$1,1)))</f>
        <v>#N/A</v>
      </c>
      <c r="X63" s="202" t="e">
        <f ca="1">IFERROR(ROUND(INDEX(H:H,MATCH($T63,$A:$A,0)),0),INDEX(PREVIVAZ!$C37:$N37,1,MATCH(X$27,PREVIVAZ!$C$1:$N$1,1)))</f>
        <v>#N/A</v>
      </c>
      <c r="Y63" s="202" t="e">
        <f ca="1">IFERROR(ROUND(INDEX(I:I,MATCH($T63,$A:$A,0)),0),INDEX(PREVIVAZ!$C37:$N37,1,MATCH(Y$27,PREVIVAZ!$C$1:$N$1,1)))</f>
        <v>#N/A</v>
      </c>
      <c r="Z63" s="202" t="e">
        <f ca="1">IFERROR(ROUND(INDEX(J:J,MATCH($T63,$A:$A,0)),0),INDEX(PREVIVAZ!$C37:$N37,1,MATCH(Z$27,PREVIVAZ!$C$1:$N$1,1)))</f>
        <v>#N/A</v>
      </c>
      <c r="AA63" s="202" t="e">
        <f ca="1">IFERROR(ROUND(INDEX(K:K,MATCH($T63,$A:$A,0)),0),INDEX(PREVIVAZ!$C37:$N37,1,MATCH(AA$27,PREVIVAZ!$C$1:$N$1,1)))</f>
        <v>#N/A</v>
      </c>
      <c r="AB63" s="202" t="e">
        <f ca="1">IFERROR(ROUND(INDEX(L:L,MATCH($T63,$A:$A,0)),0),INDEX(PREVIVAZ!$C37:$N37,1,MATCH(AB$27,PREVIVAZ!$C$1:$N$1,1)))</f>
        <v>#N/A</v>
      </c>
      <c r="AC63" s="202" t="e">
        <f ca="1">IFERROR(ROUND(INDEX(M:M,MATCH($T63,$A:$A,0)),0),INDEX(PREVIVAZ!$C37:$N37,1,MATCH(AC$27,PREVIVAZ!$C$1:$N$1,1)))</f>
        <v>#N/A</v>
      </c>
      <c r="AD63" s="202" t="e">
        <f ca="1">IFERROR(ROUND(INDEX(N:N,MATCH($T63,$A:$A,0)),0),INDEX(PREVIVAZ!$C37:$N37,1,MATCH(AD$27,PREVIVAZ!$C$1:$N$1,1)))</f>
        <v>#N/A</v>
      </c>
      <c r="AE63" s="202" t="e">
        <f ca="1">IFERROR(ROUND(INDEX(O:O,MATCH($T63,$A:$A,0)),0),INDEX(PREVIVAZ!$C37:$N37,1,MATCH(AE$27,PREVIVAZ!$C$1:$N$1,1)))</f>
        <v>#N/A</v>
      </c>
      <c r="AF63" s="202" t="e">
        <f ca="1">IFERROR(ROUND(INDEX(P:P,MATCH($T63,$A:$A,0)),0),INDEX(PREVIVAZ!$C37:$N37,1,MATCH(AF$27,PREVIVAZ!$C$1:$N$1,1)))</f>
        <v>#N/A</v>
      </c>
      <c r="AG63" s="202" t="e">
        <f ca="1">IFERROR(ROUND(INDEX(Q:Q,MATCH($T63,$A:$A,0)),0),INDEX(PREVIVAZ!$C37:$N37,1,MATCH(AG$27,PREVIVAZ!$C$1:$N$1,1)))</f>
        <v>#N/A</v>
      </c>
    </row>
    <row r="64" spans="1:33" ht="13.5" thickBot="1" x14ac:dyDescent="0.25">
      <c r="A64" s="147">
        <v>52</v>
      </c>
      <c r="B64" s="282" t="str">
        <f t="shared" si="6"/>
        <v>52_VN</v>
      </c>
      <c r="C64" s="142" t="s">
        <v>31</v>
      </c>
      <c r="D64" s="132">
        <f t="shared" si="7"/>
        <v>52</v>
      </c>
      <c r="E64" s="132">
        <f t="array" aca="1" ref="E64" ca="1">SUM(IFERROR(Propagações_TOT_PARANAPANEMA!$B$7:$BO$69*(Propagações_TOT_PARANAPANEMA!$B$6:$BO$6=$B64&amp;"A")*(Propagações_TOT_PARANAPANEMA!$A$7:$A$69&gt;=PREVS_SMAP_DIARIO!E$26)*(Propagações_TOT_PARANAPANEMA!$A$7:$A$69&lt;=PREVS_SMAP_DIARIO!E$27),0))</f>
        <v>302</v>
      </c>
      <c r="F64" s="132">
        <f t="array" aca="1" ref="F64" ca="1">SUM(IFERROR(Propagações_TOT_PARANAPANEMA!$B$7:$BO$69*(Propagações_TOT_PARANAPANEMA!$B$6:$BO$6=$B64&amp;"A")*(Propagações_TOT_PARANAPANEMA!$A$7:$A$69&gt;=PREVS_SMAP_DIARIO!F$26)*(Propagações_TOT_PARANAPANEMA!$A$7:$A$69&lt;=PREVS_SMAP_DIARIO!F$27),0))</f>
        <v>0</v>
      </c>
      <c r="G64" s="132">
        <f t="array" aca="1" ref="G64" ca="1">SUM(IFERROR(Propagações_TOT_PARANAPANEMA!$B$7:$BO$69*(Propagações_TOT_PARANAPANEMA!$B$6:$BO$6=$B64&amp;"I")*(Propagações_TOT_PARANAPANEMA!$A$7:$A$69&gt;=PREVS_SMAP_DIARIO!G$26)*(Propagações_TOT_PARANAPANEMA!$A$7:$A$69&lt;=PREVS_SMAP_DIARIO!G$27),0))+G63</f>
        <v>0</v>
      </c>
      <c r="H64" s="132">
        <f t="array" aca="1" ref="H64" ca="1">SUM(IFERROR(Propagações_TOT_PARANAPANEMA!$B$7:$BO$69*(Propagações_TOT_PARANAPANEMA!$B$6:$BO$6=$B64&amp;"I")*(Propagações_TOT_PARANAPANEMA!$A$7:$A$69&gt;=PREVS_SMAP_DIARIO!H$26)*(Propagações_TOT_PARANAPANEMA!$A$7:$A$69&lt;=PREVS_SMAP_DIARIO!H$27),0))+H63</f>
        <v>0</v>
      </c>
      <c r="I64" s="132">
        <f t="array" aca="1" ref="I64" ca="1">SUM(IFERROR(Propagações_TOT_PARANAPANEMA!$B$7:$BO$69*(Propagações_TOT_PARANAPANEMA!$B$6:$BO$6=$B64&amp;"I")*(Propagações_TOT_PARANAPANEMA!$A$7:$A$69&gt;=PREVS_SMAP_DIARIO!I$26)*(Propagações_TOT_PARANAPANEMA!$A$7:$A$69&lt;=PREVS_SMAP_DIARIO!I$27),0))+I63</f>
        <v>0</v>
      </c>
      <c r="J64" s="132">
        <f t="array" aca="1" ref="J64" ca="1">SUM(IFERROR(Propagações_TOT_PARANAPANEMA!$B$7:$BO$69*(Propagações_TOT_PARANAPANEMA!$B$6:$BO$6=$B64&amp;"I")*(Propagações_TOT_PARANAPANEMA!$A$7:$A$69&gt;=PREVS_SMAP_DIARIO!J$26)*(Propagações_TOT_PARANAPANEMA!$A$7:$A$69&lt;=PREVS_SMAP_DIARIO!J$27),0))+J63</f>
        <v>0</v>
      </c>
      <c r="K64" s="132">
        <f t="array" aca="1" ref="K64" ca="1">SUM(IFERROR(Propagações_TOT_PARANAPANEMA!$B$7:$BO$69*(Propagações_TOT_PARANAPANEMA!$B$6:$BO$6=$B64&amp;"I")*(Propagações_TOT_PARANAPANEMA!$A$7:$A$69&gt;=PREVS_SMAP_DIARIO!K$26)*(Propagações_TOT_PARANAPANEMA!$A$7:$A$69&lt;=PREVS_SMAP_DIARIO!K$27),0))+K63</f>
        <v>0</v>
      </c>
      <c r="L64" s="132">
        <f t="array" aca="1" ref="L64" ca="1">SUM(IFERROR(Propagações_TOT_PARANAPANEMA!$B$7:$BO$69*(Propagações_TOT_PARANAPANEMA!$B$6:$BO$6=$B64&amp;"I")*(Propagações_TOT_PARANAPANEMA!$A$7:$A$69&gt;=PREVS_SMAP_DIARIO!L$26)*(Propagações_TOT_PARANAPANEMA!$A$7:$A$69&lt;=PREVS_SMAP_DIARIO!L$27),0))+L63</f>
        <v>0</v>
      </c>
      <c r="M64" s="132">
        <f t="array" aca="1" ref="M64" ca="1">SUM(IFERROR(Propagações_TOT_PARANAPANEMA!$B$7:$BO$69*(Propagações_TOT_PARANAPANEMA!$B$6:$BO$6=$B64&amp;"I")*(Propagações_TOT_PARANAPANEMA!$A$7:$A$69&gt;=PREVS_SMAP_DIARIO!M$26)*(Propagações_TOT_PARANAPANEMA!$A$7:$A$69&lt;=PREVS_SMAP_DIARIO!M$27),0))+M63</f>
        <v>0</v>
      </c>
      <c r="N64" s="132">
        <f t="array" aca="1" ref="N64" ca="1">SUM(IFERROR(Propagações_TOT_PARANAPANEMA!$B$7:$BO$69*(Propagações_TOT_PARANAPANEMA!$B$6:$BO$6=$B64&amp;"I")*(Propagações_TOT_PARANAPANEMA!$A$7:$A$69&gt;=PREVS_SMAP_DIARIO!N$26)*(Propagações_TOT_PARANAPANEMA!$A$7:$A$69&lt;=PREVS_SMAP_DIARIO!N$27),0))+N63</f>
        <v>0</v>
      </c>
      <c r="O64" s="132">
        <f t="array" aca="1" ref="O64" ca="1">SUM(IFERROR(Propagações_TOT_PARANAPANEMA!$B$7:$BO$69*(Propagações_TOT_PARANAPANEMA!$B$6:$BO$6=$B64&amp;"I")*(Propagações_TOT_PARANAPANEMA!$A$7:$A$69&gt;=PREVS_SMAP_DIARIO!O$26)*(Propagações_TOT_PARANAPANEMA!$A$7:$A$69&lt;=PREVS_SMAP_DIARIO!O$27),0))+O63</f>
        <v>0</v>
      </c>
      <c r="P64" s="132">
        <f t="array" aca="1" ref="P64" ca="1">SUM(IFERROR(Propagações_TOT_PARANAPANEMA!$B$7:$BO$69*(Propagações_TOT_PARANAPANEMA!$B$6:$BO$6=$B64&amp;"I")*(Propagações_TOT_PARANAPANEMA!$A$7:$A$69&gt;=PREVS_SMAP_DIARIO!P$26)*(Propagações_TOT_PARANAPANEMA!$A$7:$A$69&lt;=PREVS_SMAP_DIARIO!P$27),0))+P63</f>
        <v>0</v>
      </c>
      <c r="Q64" s="132">
        <f t="array" aca="1" ref="Q64" ca="1">SUM(IFERROR(Propagações_TOT_PARANAPANEMA!$B$7:$BO$69*(Propagações_TOT_PARANAPANEMA!$B$6:$BO$6=$B64&amp;"I")*(Propagações_TOT_PARANAPANEMA!$A$7:$A$69&gt;=PREVS_SMAP_DIARIO!Q$26)*(Propagações_TOT_PARANAPANEMA!$A$7:$A$69&lt;=PREVS_SMAP_DIARIO!Q$27),0))+Q63</f>
        <v>0</v>
      </c>
      <c r="R64" s="132"/>
      <c r="S64"/>
      <c r="T64" s="272">
        <v>37</v>
      </c>
      <c r="V64" s="202" t="e">
        <f ca="1">IFERROR(ROUND(INDEX(F:F,MATCH($T64,$A:$A,0)),0),INDEX(PREVIVAZ!$C38:$N38,1,MATCH(V$27,PREVIVAZ!$C$1:$N$1,1)))</f>
        <v>#N/A</v>
      </c>
      <c r="W64" s="202" t="e">
        <f ca="1">IFERROR(ROUND(INDEX(G:G,MATCH($T64,$A:$A,0)),0),INDEX(PREVIVAZ!$C38:$N38,1,MATCH(W$27,PREVIVAZ!$C$1:$N$1,1)))</f>
        <v>#N/A</v>
      </c>
      <c r="X64" s="202" t="e">
        <f ca="1">IFERROR(ROUND(INDEX(H:H,MATCH($T64,$A:$A,0)),0),INDEX(PREVIVAZ!$C38:$N38,1,MATCH(X$27,PREVIVAZ!$C$1:$N$1,1)))</f>
        <v>#N/A</v>
      </c>
      <c r="Y64" s="202" t="e">
        <f ca="1">IFERROR(ROUND(INDEX(I:I,MATCH($T64,$A:$A,0)),0),INDEX(PREVIVAZ!$C38:$N38,1,MATCH(Y$27,PREVIVAZ!$C$1:$N$1,1)))</f>
        <v>#N/A</v>
      </c>
      <c r="Z64" s="202" t="e">
        <f ca="1">IFERROR(ROUND(INDEX(J:J,MATCH($T64,$A:$A,0)),0),INDEX(PREVIVAZ!$C38:$N38,1,MATCH(Z$27,PREVIVAZ!$C$1:$N$1,1)))</f>
        <v>#N/A</v>
      </c>
      <c r="AA64" s="202" t="e">
        <f ca="1">IFERROR(ROUND(INDEX(K:K,MATCH($T64,$A:$A,0)),0),INDEX(PREVIVAZ!$C38:$N38,1,MATCH(AA$27,PREVIVAZ!$C$1:$N$1,1)))</f>
        <v>#N/A</v>
      </c>
      <c r="AB64" s="202" t="e">
        <f ca="1">IFERROR(ROUND(INDEX(L:L,MATCH($T64,$A:$A,0)),0),INDEX(PREVIVAZ!$C38:$N38,1,MATCH(AB$27,PREVIVAZ!$C$1:$N$1,1)))</f>
        <v>#N/A</v>
      </c>
      <c r="AC64" s="202" t="e">
        <f ca="1">IFERROR(ROUND(INDEX(M:M,MATCH($T64,$A:$A,0)),0),INDEX(PREVIVAZ!$C38:$N38,1,MATCH(AC$27,PREVIVAZ!$C$1:$N$1,1)))</f>
        <v>#N/A</v>
      </c>
      <c r="AD64" s="202" t="e">
        <f ca="1">IFERROR(ROUND(INDEX(N:N,MATCH($T64,$A:$A,0)),0),INDEX(PREVIVAZ!$C38:$N38,1,MATCH(AD$27,PREVIVAZ!$C$1:$N$1,1)))</f>
        <v>#N/A</v>
      </c>
      <c r="AE64" s="202" t="e">
        <f ca="1">IFERROR(ROUND(INDEX(O:O,MATCH($T64,$A:$A,0)),0),INDEX(PREVIVAZ!$C38:$N38,1,MATCH(AE$27,PREVIVAZ!$C$1:$N$1,1)))</f>
        <v>#N/A</v>
      </c>
      <c r="AF64" s="202" t="e">
        <f ca="1">IFERROR(ROUND(INDEX(P:P,MATCH($T64,$A:$A,0)),0),INDEX(PREVIVAZ!$C38:$N38,1,MATCH(AF$27,PREVIVAZ!$C$1:$N$1,1)))</f>
        <v>#N/A</v>
      </c>
      <c r="AG64" s="202" t="e">
        <f ca="1">IFERROR(ROUND(INDEX(Q:Q,MATCH($T64,$A:$A,0)),0),INDEX(PREVIVAZ!$C38:$N38,1,MATCH(AG$27,PREVIVAZ!$C$1:$N$1,1)))</f>
        <v>#N/A</v>
      </c>
    </row>
    <row r="65" spans="1:33" ht="13.5" thickBot="1" x14ac:dyDescent="0.25">
      <c r="A65" s="147">
        <v>57</v>
      </c>
      <c r="B65" s="282" t="str">
        <f t="shared" si="6"/>
        <v>57_VN</v>
      </c>
      <c r="C65" s="142" t="s">
        <v>69</v>
      </c>
      <c r="D65" s="132">
        <f t="shared" si="7"/>
        <v>57</v>
      </c>
      <c r="E65" s="132">
        <f t="array" aca="1" ref="E65" ca="1">SUM(IFERROR(Propagações_TOT_PARANAPANEMA!$B$7:$BO$69*(Propagações_TOT_PARANAPANEMA!$B$6:$BO$6=$B65&amp;"A")*(Propagações_TOT_PARANAPANEMA!$A$7:$A$69&gt;=PREVS_SMAP_DIARIO!E$26)*(Propagações_TOT_PARANAPANEMA!$A$7:$A$69&lt;=PREVS_SMAP_DIARIO!E$27),0))</f>
        <v>171</v>
      </c>
      <c r="F65" s="132">
        <f t="array" aca="1" ref="F65" ca="1">SUM(IFERROR(Propagações_TOT_PARANAPANEMA!$B$7:$BO$69*(Propagações_TOT_PARANAPANEMA!$B$6:$BO$6=$B65&amp;"A")*(Propagações_TOT_PARANAPANEMA!$A$7:$A$69&gt;=PREVS_SMAP_DIARIO!F$26)*(Propagações_TOT_PARANAPANEMA!$A$7:$A$69&lt;=PREVS_SMAP_DIARIO!F$27),0))</f>
        <v>0</v>
      </c>
      <c r="G65" s="132">
        <f t="array" aca="1" ref="G65" ca="1">SUM(IFERROR(Propagações_TOT_PARANAPANEMA!$B$7:$BO$69*(Propagações_TOT_PARANAPANEMA!$B$6:$BO$6=$B65&amp;"A")*(Propagações_TOT_PARANAPANEMA!$A$7:$A$69&gt;=PREVS_SMAP_DIARIO!G$26)*(Propagações_TOT_PARANAPANEMA!$A$7:$A$69&lt;=PREVS_SMAP_DIARIO!G$27),0))</f>
        <v>0</v>
      </c>
      <c r="H65" s="132">
        <f t="array" aca="1" ref="H65" ca="1">SUM(IFERROR(Propagações_TOT_PARANAPANEMA!$B$7:$BO$69*(Propagações_TOT_PARANAPANEMA!$B$6:$BO$6=$B65&amp;"A")*(Propagações_TOT_PARANAPANEMA!$A$7:$A$69&gt;=PREVS_SMAP_DIARIO!H$26)*(Propagações_TOT_PARANAPANEMA!$A$7:$A$69&lt;=PREVS_SMAP_DIARIO!H$27),0))</f>
        <v>0</v>
      </c>
      <c r="I65" s="132">
        <f t="array" aca="1" ref="I65" ca="1">SUM(IFERROR(Propagações_TOT_PARANAPANEMA!$B$7:$BO$69*(Propagações_TOT_PARANAPANEMA!$B$6:$BO$6=$B65&amp;"A")*(Propagações_TOT_PARANAPANEMA!$A$7:$A$69&gt;=PREVS_SMAP_DIARIO!I$26)*(Propagações_TOT_PARANAPANEMA!$A$7:$A$69&lt;=PREVS_SMAP_DIARIO!I$27),0))</f>
        <v>0</v>
      </c>
      <c r="J65" s="132">
        <f t="array" aca="1" ref="J65" ca="1">SUM(IFERROR(Propagações_TOT_PARANAPANEMA!$B$7:$BO$69*(Propagações_TOT_PARANAPANEMA!$B$6:$BO$6=$B65&amp;"A")*(Propagações_TOT_PARANAPANEMA!$A$7:$A$69&gt;=PREVS_SMAP_DIARIO!J$26)*(Propagações_TOT_PARANAPANEMA!$A$7:$A$69&lt;=PREVS_SMAP_DIARIO!J$27),0))</f>
        <v>0</v>
      </c>
      <c r="K65" s="132">
        <f t="array" aca="1" ref="K65" ca="1">SUM(IFERROR(Propagações_TOT_PARANAPANEMA!$B$7:$BO$69*(Propagações_TOT_PARANAPANEMA!$B$6:$BO$6=$B65&amp;"A")*(Propagações_TOT_PARANAPANEMA!$A$7:$A$69&gt;=PREVS_SMAP_DIARIO!K$26)*(Propagações_TOT_PARANAPANEMA!$A$7:$A$69&lt;=PREVS_SMAP_DIARIO!K$27),0))</f>
        <v>0</v>
      </c>
      <c r="L65" s="132">
        <f t="array" aca="1" ref="L65" ca="1">SUM(IFERROR(Propagações_TOT_PARANAPANEMA!$B$7:$BO$69*(Propagações_TOT_PARANAPANEMA!$B$6:$BO$6=$B65&amp;"A")*(Propagações_TOT_PARANAPANEMA!$A$7:$A$69&gt;=PREVS_SMAP_DIARIO!L$26)*(Propagações_TOT_PARANAPANEMA!$A$7:$A$69&lt;=PREVS_SMAP_DIARIO!L$27),0))</f>
        <v>0</v>
      </c>
      <c r="M65" s="132">
        <f t="array" aca="1" ref="M65" ca="1">SUM(IFERROR(Propagações_TOT_PARANAPANEMA!$B$7:$BO$69*(Propagações_TOT_PARANAPANEMA!$B$6:$BO$6=$B65&amp;"A")*(Propagações_TOT_PARANAPANEMA!$A$7:$A$69&gt;=PREVS_SMAP_DIARIO!M$26)*(Propagações_TOT_PARANAPANEMA!$A$7:$A$69&lt;=PREVS_SMAP_DIARIO!M$27),0))</f>
        <v>0</v>
      </c>
      <c r="N65" s="132">
        <f t="array" aca="1" ref="N65" ca="1">SUM(IFERROR(Propagações_TOT_PARANAPANEMA!$B$7:$BO$69*(Propagações_TOT_PARANAPANEMA!$B$6:$BO$6=$B65&amp;"A")*(Propagações_TOT_PARANAPANEMA!$A$7:$A$69&gt;=PREVS_SMAP_DIARIO!N$26)*(Propagações_TOT_PARANAPANEMA!$A$7:$A$69&lt;=PREVS_SMAP_DIARIO!N$27),0))</f>
        <v>0</v>
      </c>
      <c r="O65" s="132">
        <f t="array" aca="1" ref="O65" ca="1">SUM(IFERROR(Propagações_TOT_PARANAPANEMA!$B$7:$BO$69*(Propagações_TOT_PARANAPANEMA!$B$6:$BO$6=$B65&amp;"A")*(Propagações_TOT_PARANAPANEMA!$A$7:$A$69&gt;=PREVS_SMAP_DIARIO!O$26)*(Propagações_TOT_PARANAPANEMA!$A$7:$A$69&lt;=PREVS_SMAP_DIARIO!O$27),0))</f>
        <v>0</v>
      </c>
      <c r="P65" s="132">
        <f t="array" aca="1" ref="P65" ca="1">SUM(IFERROR(Propagações_TOT_PARANAPANEMA!$B$7:$BO$69*(Propagações_TOT_PARANAPANEMA!$B$6:$BO$6=$B65&amp;"A")*(Propagações_TOT_PARANAPANEMA!$A$7:$A$69&gt;=PREVS_SMAP_DIARIO!P$26)*(Propagações_TOT_PARANAPANEMA!$A$7:$A$69&lt;=PREVS_SMAP_DIARIO!P$27),0))</f>
        <v>0</v>
      </c>
      <c r="Q65" s="132">
        <f t="array" aca="1" ref="Q65" ca="1">SUM(IFERROR(Propagações_TOT_PARANAPANEMA!$B$7:$BO$69*(Propagações_TOT_PARANAPANEMA!$B$6:$BO$6=$B65&amp;"A")*(Propagações_TOT_PARANAPANEMA!$A$7:$A$69&gt;=PREVS_SMAP_DIARIO!Q$26)*(Propagações_TOT_PARANAPANEMA!$A$7:$A$69&lt;=PREVS_SMAP_DIARIO!Q$27),0))</f>
        <v>0</v>
      </c>
      <c r="R65" s="132"/>
      <c r="S65"/>
      <c r="T65" s="272">
        <v>38</v>
      </c>
      <c r="V65" s="202" t="e">
        <f ca="1">IFERROR(ROUND(INDEX(F:F,MATCH($T65,$A:$A,0)),0),INDEX(PREVIVAZ!$C39:$N39,1,MATCH(V$27,PREVIVAZ!$C$1:$N$1,1)))</f>
        <v>#N/A</v>
      </c>
      <c r="W65" s="202" t="e">
        <f ca="1">IFERROR(ROUND(INDEX(G:G,MATCH($T65,$A:$A,0)),0),INDEX(PREVIVAZ!$C39:$N39,1,MATCH(W$27,PREVIVAZ!$C$1:$N$1,1)))</f>
        <v>#N/A</v>
      </c>
      <c r="X65" s="202" t="e">
        <f ca="1">IFERROR(ROUND(INDEX(H:H,MATCH($T65,$A:$A,0)),0),INDEX(PREVIVAZ!$C39:$N39,1,MATCH(X$27,PREVIVAZ!$C$1:$N$1,1)))</f>
        <v>#N/A</v>
      </c>
      <c r="Y65" s="202" t="e">
        <f ca="1">IFERROR(ROUND(INDEX(I:I,MATCH($T65,$A:$A,0)),0),INDEX(PREVIVAZ!$C39:$N39,1,MATCH(Y$27,PREVIVAZ!$C$1:$N$1,1)))</f>
        <v>#N/A</v>
      </c>
      <c r="Z65" s="202" t="e">
        <f ca="1">IFERROR(ROUND(INDEX(J:J,MATCH($T65,$A:$A,0)),0),INDEX(PREVIVAZ!$C39:$N39,1,MATCH(Z$27,PREVIVAZ!$C$1:$N$1,1)))</f>
        <v>#N/A</v>
      </c>
      <c r="AA65" s="202" t="e">
        <f ca="1">IFERROR(ROUND(INDEX(K:K,MATCH($T65,$A:$A,0)),0),INDEX(PREVIVAZ!$C39:$N39,1,MATCH(AA$27,PREVIVAZ!$C$1:$N$1,1)))</f>
        <v>#N/A</v>
      </c>
      <c r="AB65" s="202" t="e">
        <f ca="1">IFERROR(ROUND(INDEX(L:L,MATCH($T65,$A:$A,0)),0),INDEX(PREVIVAZ!$C39:$N39,1,MATCH(AB$27,PREVIVAZ!$C$1:$N$1,1)))</f>
        <v>#N/A</v>
      </c>
      <c r="AC65" s="202" t="e">
        <f ca="1">IFERROR(ROUND(INDEX(M:M,MATCH($T65,$A:$A,0)),0),INDEX(PREVIVAZ!$C39:$N39,1,MATCH(AC$27,PREVIVAZ!$C$1:$N$1,1)))</f>
        <v>#N/A</v>
      </c>
      <c r="AD65" s="202" t="e">
        <f ca="1">IFERROR(ROUND(INDEX(N:N,MATCH($T65,$A:$A,0)),0),INDEX(PREVIVAZ!$C39:$N39,1,MATCH(AD$27,PREVIVAZ!$C$1:$N$1,1)))</f>
        <v>#N/A</v>
      </c>
      <c r="AE65" s="202" t="e">
        <f ca="1">IFERROR(ROUND(INDEX(O:O,MATCH($T65,$A:$A,0)),0),INDEX(PREVIVAZ!$C39:$N39,1,MATCH(AE$27,PREVIVAZ!$C$1:$N$1,1)))</f>
        <v>#N/A</v>
      </c>
      <c r="AF65" s="202" t="e">
        <f ca="1">IFERROR(ROUND(INDEX(P:P,MATCH($T65,$A:$A,0)),0),INDEX(PREVIVAZ!$C39:$N39,1,MATCH(AF$27,PREVIVAZ!$C$1:$N$1,1)))</f>
        <v>#N/A</v>
      </c>
      <c r="AG65" s="202" t="e">
        <f ca="1">IFERROR(ROUND(INDEX(Q:Q,MATCH($T65,$A:$A,0)),0),INDEX(PREVIVAZ!$C39:$N39,1,MATCH(AG$27,PREVIVAZ!$C$1:$N$1,1)))</f>
        <v>#N/A</v>
      </c>
    </row>
    <row r="66" spans="1:33" ht="13.5" thickBot="1" x14ac:dyDescent="0.25">
      <c r="A66" s="147">
        <v>61</v>
      </c>
      <c r="B66" s="282" t="str">
        <f t="shared" si="6"/>
        <v>61_VN</v>
      </c>
      <c r="C66" s="142" t="s">
        <v>32</v>
      </c>
      <c r="D66" s="132">
        <f t="shared" si="7"/>
        <v>61</v>
      </c>
      <c r="E66" s="132">
        <f t="array" aca="1" ref="E66" ca="1">SUM(IFERROR(Propagações_TOT_PARANAPANEMA!$B$7:$BO$69*(Propagações_TOT_PARANAPANEMA!$B$6:$BO$6=$B66&amp;"A")*(Propagações_TOT_PARANAPANEMA!$A$7:$A$69&gt;=PREVS_SMAP_DIARIO!E$26)*(Propagações_TOT_PARANAPANEMA!$A$7:$A$69&lt;=PREVS_SMAP_DIARIO!E$27),0))</f>
        <v>677</v>
      </c>
      <c r="F66" s="132">
        <f t="array" aca="1" ref="F66" ca="1">SUM(IFERROR(Propagações_TOT_PARANAPANEMA!$B$7:$BO$69*(Propagações_TOT_PARANAPANEMA!$B$6:$BO$6=$B66&amp;"A")*(Propagações_TOT_PARANAPANEMA!$A$7:$A$69&gt;=PREVS_SMAP_DIARIO!F$26)*(Propagações_TOT_PARANAPANEMA!$A$7:$A$69&lt;=PREVS_SMAP_DIARIO!F$27),0))</f>
        <v>0</v>
      </c>
      <c r="G66" s="132">
        <f t="array" aca="1" ref="G66" ca="1">SUM(IFERROR(Propagações_TOT_PARANAPANEMA!$B$7:$BO$69*(Propagações_TOT_PARANAPANEMA!$B$6:$BO$6=$B66&amp;"I")*(Propagações_TOT_PARANAPANEMA!$A$7:$A$69&gt;=PREVS_SMAP_DIARIO!G$26)*(Propagações_TOT_PARANAPANEMA!$A$7:$A$69&lt;=PREVS_SMAP_DIARIO!G$27),0))+G65+G64</f>
        <v>0</v>
      </c>
      <c r="H66" s="132">
        <f t="array" aca="1" ref="H66" ca="1">SUM(IFERROR(Propagações_TOT_PARANAPANEMA!$B$7:$BO$69*(Propagações_TOT_PARANAPANEMA!$B$6:$BO$6=$B66&amp;"I")*(Propagações_TOT_PARANAPANEMA!$A$7:$A$69&gt;=PREVS_SMAP_DIARIO!H$26)*(Propagações_TOT_PARANAPANEMA!$A$7:$A$69&lt;=PREVS_SMAP_DIARIO!H$27),0))+H65+H64</f>
        <v>0</v>
      </c>
      <c r="I66" s="132">
        <f t="array" aca="1" ref="I66" ca="1">SUM(IFERROR(Propagações_TOT_PARANAPANEMA!$B$7:$BO$69*(Propagações_TOT_PARANAPANEMA!$B$6:$BO$6=$B66&amp;"I")*(Propagações_TOT_PARANAPANEMA!$A$7:$A$69&gt;=PREVS_SMAP_DIARIO!I$26)*(Propagações_TOT_PARANAPANEMA!$A$7:$A$69&lt;=PREVS_SMAP_DIARIO!I$27),0))+I65+I64</f>
        <v>0</v>
      </c>
      <c r="J66" s="132">
        <f t="array" aca="1" ref="J66" ca="1">SUM(IFERROR(Propagações_TOT_PARANAPANEMA!$B$7:$BO$69*(Propagações_TOT_PARANAPANEMA!$B$6:$BO$6=$B66&amp;"I")*(Propagações_TOT_PARANAPANEMA!$A$7:$A$69&gt;=PREVS_SMAP_DIARIO!J$26)*(Propagações_TOT_PARANAPANEMA!$A$7:$A$69&lt;=PREVS_SMAP_DIARIO!J$27),0))+J65+J64</f>
        <v>0</v>
      </c>
      <c r="K66" s="132">
        <f t="array" aca="1" ref="K66" ca="1">SUM(IFERROR(Propagações_TOT_PARANAPANEMA!$B$7:$BO$69*(Propagações_TOT_PARANAPANEMA!$B$6:$BO$6=$B66&amp;"I")*(Propagações_TOT_PARANAPANEMA!$A$7:$A$69&gt;=PREVS_SMAP_DIARIO!K$26)*(Propagações_TOT_PARANAPANEMA!$A$7:$A$69&lt;=PREVS_SMAP_DIARIO!K$27),0))+K65+K64</f>
        <v>0</v>
      </c>
      <c r="L66" s="132">
        <f t="array" aca="1" ref="L66" ca="1">SUM(IFERROR(Propagações_TOT_PARANAPANEMA!$B$7:$BO$69*(Propagações_TOT_PARANAPANEMA!$B$6:$BO$6=$B66&amp;"I")*(Propagações_TOT_PARANAPANEMA!$A$7:$A$69&gt;=PREVS_SMAP_DIARIO!L$26)*(Propagações_TOT_PARANAPANEMA!$A$7:$A$69&lt;=PREVS_SMAP_DIARIO!L$27),0))+L65+L64</f>
        <v>0</v>
      </c>
      <c r="M66" s="132">
        <f t="array" aca="1" ref="M66" ca="1">SUM(IFERROR(Propagações_TOT_PARANAPANEMA!$B$7:$BO$69*(Propagações_TOT_PARANAPANEMA!$B$6:$BO$6=$B66&amp;"I")*(Propagações_TOT_PARANAPANEMA!$A$7:$A$69&gt;=PREVS_SMAP_DIARIO!M$26)*(Propagações_TOT_PARANAPANEMA!$A$7:$A$69&lt;=PREVS_SMAP_DIARIO!M$27),0))+M65+M64</f>
        <v>0</v>
      </c>
      <c r="N66" s="132">
        <f t="array" aca="1" ref="N66" ca="1">SUM(IFERROR(Propagações_TOT_PARANAPANEMA!$B$7:$BO$69*(Propagações_TOT_PARANAPANEMA!$B$6:$BO$6=$B66&amp;"I")*(Propagações_TOT_PARANAPANEMA!$A$7:$A$69&gt;=PREVS_SMAP_DIARIO!N$26)*(Propagações_TOT_PARANAPANEMA!$A$7:$A$69&lt;=PREVS_SMAP_DIARIO!N$27),0))+N65+N64</f>
        <v>0</v>
      </c>
      <c r="O66" s="132">
        <f t="array" aca="1" ref="O66" ca="1">SUM(IFERROR(Propagações_TOT_PARANAPANEMA!$B$7:$BO$69*(Propagações_TOT_PARANAPANEMA!$B$6:$BO$6=$B66&amp;"I")*(Propagações_TOT_PARANAPANEMA!$A$7:$A$69&gt;=PREVS_SMAP_DIARIO!O$26)*(Propagações_TOT_PARANAPANEMA!$A$7:$A$69&lt;=PREVS_SMAP_DIARIO!O$27),0))+O65+O64</f>
        <v>0</v>
      </c>
      <c r="P66" s="132">
        <f t="array" aca="1" ref="P66" ca="1">SUM(IFERROR(Propagações_TOT_PARANAPANEMA!$B$7:$BO$69*(Propagações_TOT_PARANAPANEMA!$B$6:$BO$6=$B66&amp;"I")*(Propagações_TOT_PARANAPANEMA!$A$7:$A$69&gt;=PREVS_SMAP_DIARIO!P$26)*(Propagações_TOT_PARANAPANEMA!$A$7:$A$69&lt;=PREVS_SMAP_DIARIO!P$27),0))+P65+P64</f>
        <v>0</v>
      </c>
      <c r="Q66" s="132">
        <f t="array" aca="1" ref="Q66" ca="1">SUM(IFERROR(Propagações_TOT_PARANAPANEMA!$B$7:$BO$69*(Propagações_TOT_PARANAPANEMA!$B$6:$BO$6=$B66&amp;"I")*(Propagações_TOT_PARANAPANEMA!$A$7:$A$69&gt;=PREVS_SMAP_DIARIO!Q$26)*(Propagações_TOT_PARANAPANEMA!$A$7:$A$69&lt;=PREVS_SMAP_DIARIO!Q$27),0))+Q65+Q64</f>
        <v>0</v>
      </c>
      <c r="R66" s="132"/>
      <c r="S66"/>
      <c r="T66" s="272">
        <v>39</v>
      </c>
      <c r="V66" s="202" t="e">
        <f ca="1">IFERROR(ROUND(INDEX(F:F,MATCH($T66,$A:$A,0)),0),INDEX(PREVIVAZ!$C40:$N40,1,MATCH(V$27,PREVIVAZ!$C$1:$N$1,1)))</f>
        <v>#N/A</v>
      </c>
      <c r="W66" s="202" t="e">
        <f ca="1">IFERROR(ROUND(INDEX(G:G,MATCH($T66,$A:$A,0)),0),INDEX(PREVIVAZ!$C40:$N40,1,MATCH(W$27,PREVIVAZ!$C$1:$N$1,1)))</f>
        <v>#N/A</v>
      </c>
      <c r="X66" s="202" t="e">
        <f ca="1">IFERROR(ROUND(INDEX(H:H,MATCH($T66,$A:$A,0)),0),INDEX(PREVIVAZ!$C40:$N40,1,MATCH(X$27,PREVIVAZ!$C$1:$N$1,1)))</f>
        <v>#N/A</v>
      </c>
      <c r="Y66" s="202" t="e">
        <f ca="1">IFERROR(ROUND(INDEX(I:I,MATCH($T66,$A:$A,0)),0),INDEX(PREVIVAZ!$C40:$N40,1,MATCH(Y$27,PREVIVAZ!$C$1:$N$1,1)))</f>
        <v>#N/A</v>
      </c>
      <c r="Z66" s="202" t="e">
        <f ca="1">IFERROR(ROUND(INDEX(J:J,MATCH($T66,$A:$A,0)),0),INDEX(PREVIVAZ!$C40:$N40,1,MATCH(Z$27,PREVIVAZ!$C$1:$N$1,1)))</f>
        <v>#N/A</v>
      </c>
      <c r="AA66" s="202" t="e">
        <f ca="1">IFERROR(ROUND(INDEX(K:K,MATCH($T66,$A:$A,0)),0),INDEX(PREVIVAZ!$C40:$N40,1,MATCH(AA$27,PREVIVAZ!$C$1:$N$1,1)))</f>
        <v>#N/A</v>
      </c>
      <c r="AB66" s="202" t="e">
        <f ca="1">IFERROR(ROUND(INDEX(L:L,MATCH($T66,$A:$A,0)),0),INDEX(PREVIVAZ!$C40:$N40,1,MATCH(AB$27,PREVIVAZ!$C$1:$N$1,1)))</f>
        <v>#N/A</v>
      </c>
      <c r="AC66" s="202" t="e">
        <f ca="1">IFERROR(ROUND(INDEX(M:M,MATCH($T66,$A:$A,0)),0),INDEX(PREVIVAZ!$C40:$N40,1,MATCH(AC$27,PREVIVAZ!$C$1:$N$1,1)))</f>
        <v>#N/A</v>
      </c>
      <c r="AD66" s="202" t="e">
        <f ca="1">IFERROR(ROUND(INDEX(N:N,MATCH($T66,$A:$A,0)),0),INDEX(PREVIVAZ!$C40:$N40,1,MATCH(AD$27,PREVIVAZ!$C$1:$N$1,1)))</f>
        <v>#N/A</v>
      </c>
      <c r="AE66" s="202" t="e">
        <f ca="1">IFERROR(ROUND(INDEX(O:O,MATCH($T66,$A:$A,0)),0),INDEX(PREVIVAZ!$C40:$N40,1,MATCH(AE$27,PREVIVAZ!$C$1:$N$1,1)))</f>
        <v>#N/A</v>
      </c>
      <c r="AF66" s="202" t="e">
        <f ca="1">IFERROR(ROUND(INDEX(P:P,MATCH($T66,$A:$A,0)),0),INDEX(PREVIVAZ!$C40:$N40,1,MATCH(AF$27,PREVIVAZ!$C$1:$N$1,1)))</f>
        <v>#N/A</v>
      </c>
      <c r="AG66" s="202" t="e">
        <f ca="1">IFERROR(ROUND(INDEX(Q:Q,MATCH($T66,$A:$A,0)),0),INDEX(PREVIVAZ!$C40:$N40,1,MATCH(AG$27,PREVIVAZ!$C$1:$N$1,1)))</f>
        <v>#N/A</v>
      </c>
    </row>
    <row r="67" spans="1:33" ht="13.5" thickBot="1" x14ac:dyDescent="0.25">
      <c r="A67" s="147">
        <v>62</v>
      </c>
      <c r="B67" s="282" t="str">
        <f t="shared" si="6"/>
        <v>62_VN</v>
      </c>
      <c r="C67" s="137" t="s">
        <v>71</v>
      </c>
      <c r="D67" s="132">
        <f t="shared" si="7"/>
        <v>62</v>
      </c>
      <c r="E67" s="132">
        <f t="array" aca="1" ref="E67" ca="1">SUM(IFERROR(Propagações_TOT_PARANAPANEMA!$B$7:$BO$69*(Propagações_TOT_PARANAPANEMA!$B$6:$BO$6=$B67&amp;"A")*(Propagações_TOT_PARANAPANEMA!$A$7:$A$69&gt;=PREVS_SMAP_DIARIO!E$26)*(Propagações_TOT_PARANAPANEMA!$A$7:$A$69&lt;=PREVS_SMAP_DIARIO!E$27),0))</f>
        <v>747</v>
      </c>
      <c r="F67" s="132">
        <f t="array" aca="1" ref="F67" ca="1">SUM(IFERROR(Propagações_TOT_PARANAPANEMA!$B$7:$BO$69*(Propagações_TOT_PARANAPANEMA!$B$6:$BO$6=$B67&amp;"A")*(Propagações_TOT_PARANAPANEMA!$A$7:$A$69&gt;=PREVS_SMAP_DIARIO!F$26)*(Propagações_TOT_PARANAPANEMA!$A$7:$A$69&lt;=PREVS_SMAP_DIARIO!F$27),0))</f>
        <v>0</v>
      </c>
      <c r="G67" s="132">
        <f t="array" aca="1" ref="G67" ca="1">SUM(IFERROR(Propagações_TOT_PARANAPANEMA!$B$7:$BO$69*(Propagações_TOT_PARANAPANEMA!$B$6:$BO$6=$B67&amp;"I")*(Propagações_TOT_PARANAPANEMA!$A$7:$A$69&gt;=PREVS_SMAP_DIARIO!G$26)*(Propagações_TOT_PARANAPANEMA!$A$7:$A$69&lt;=PREVS_SMAP_DIARIO!G$27),0))+G66</f>
        <v>0</v>
      </c>
      <c r="H67" s="132">
        <f t="array" aca="1" ref="H67" ca="1">SUM(IFERROR(Propagações_TOT_PARANAPANEMA!$B$7:$BO$69*(Propagações_TOT_PARANAPANEMA!$B$6:$BO$6=$B67&amp;"I")*(Propagações_TOT_PARANAPANEMA!$A$7:$A$69&gt;=PREVS_SMAP_DIARIO!H$26)*(Propagações_TOT_PARANAPANEMA!$A$7:$A$69&lt;=PREVS_SMAP_DIARIO!H$27),0))+H66</f>
        <v>0</v>
      </c>
      <c r="I67" s="132">
        <f t="array" aca="1" ref="I67" ca="1">SUM(IFERROR(Propagações_TOT_PARANAPANEMA!$B$7:$BO$69*(Propagações_TOT_PARANAPANEMA!$B$6:$BO$6=$B67&amp;"I")*(Propagações_TOT_PARANAPANEMA!$A$7:$A$69&gt;=PREVS_SMAP_DIARIO!I$26)*(Propagações_TOT_PARANAPANEMA!$A$7:$A$69&lt;=PREVS_SMAP_DIARIO!I$27),0))+I66</f>
        <v>0</v>
      </c>
      <c r="J67" s="132">
        <f t="array" aca="1" ref="J67" ca="1">SUM(IFERROR(Propagações_TOT_PARANAPANEMA!$B$7:$BO$69*(Propagações_TOT_PARANAPANEMA!$B$6:$BO$6=$B67&amp;"I")*(Propagações_TOT_PARANAPANEMA!$A$7:$A$69&gt;=PREVS_SMAP_DIARIO!J$26)*(Propagações_TOT_PARANAPANEMA!$A$7:$A$69&lt;=PREVS_SMAP_DIARIO!J$27),0))+J66</f>
        <v>0</v>
      </c>
      <c r="K67" s="132">
        <f t="array" aca="1" ref="K67" ca="1">SUM(IFERROR(Propagações_TOT_PARANAPANEMA!$B$7:$BO$69*(Propagações_TOT_PARANAPANEMA!$B$6:$BO$6=$B67&amp;"I")*(Propagações_TOT_PARANAPANEMA!$A$7:$A$69&gt;=PREVS_SMAP_DIARIO!K$26)*(Propagações_TOT_PARANAPANEMA!$A$7:$A$69&lt;=PREVS_SMAP_DIARIO!K$27),0))+K66</f>
        <v>0</v>
      </c>
      <c r="L67" s="132">
        <f t="array" aca="1" ref="L67" ca="1">SUM(IFERROR(Propagações_TOT_PARANAPANEMA!$B$7:$BO$69*(Propagações_TOT_PARANAPANEMA!$B$6:$BO$6=$B67&amp;"I")*(Propagações_TOT_PARANAPANEMA!$A$7:$A$69&gt;=PREVS_SMAP_DIARIO!L$26)*(Propagações_TOT_PARANAPANEMA!$A$7:$A$69&lt;=PREVS_SMAP_DIARIO!L$27),0))+L66</f>
        <v>0</v>
      </c>
      <c r="M67" s="132">
        <f t="array" aca="1" ref="M67" ca="1">SUM(IFERROR(Propagações_TOT_PARANAPANEMA!$B$7:$BO$69*(Propagações_TOT_PARANAPANEMA!$B$6:$BO$6=$B67&amp;"I")*(Propagações_TOT_PARANAPANEMA!$A$7:$A$69&gt;=PREVS_SMAP_DIARIO!M$26)*(Propagações_TOT_PARANAPANEMA!$A$7:$A$69&lt;=PREVS_SMAP_DIARIO!M$27),0))+M66</f>
        <v>0</v>
      </c>
      <c r="N67" s="132">
        <f t="array" aca="1" ref="N67" ca="1">SUM(IFERROR(Propagações_TOT_PARANAPANEMA!$B$7:$BO$69*(Propagações_TOT_PARANAPANEMA!$B$6:$BO$6=$B67&amp;"I")*(Propagações_TOT_PARANAPANEMA!$A$7:$A$69&gt;=PREVS_SMAP_DIARIO!N$26)*(Propagações_TOT_PARANAPANEMA!$A$7:$A$69&lt;=PREVS_SMAP_DIARIO!N$27),0))+N66</f>
        <v>0</v>
      </c>
      <c r="O67" s="132">
        <f t="array" aca="1" ref="O67" ca="1">SUM(IFERROR(Propagações_TOT_PARANAPANEMA!$B$7:$BO$69*(Propagações_TOT_PARANAPANEMA!$B$6:$BO$6=$B67&amp;"I")*(Propagações_TOT_PARANAPANEMA!$A$7:$A$69&gt;=PREVS_SMAP_DIARIO!O$26)*(Propagações_TOT_PARANAPANEMA!$A$7:$A$69&lt;=PREVS_SMAP_DIARIO!O$27),0))+O66</f>
        <v>0</v>
      </c>
      <c r="P67" s="132">
        <f t="array" aca="1" ref="P67" ca="1">SUM(IFERROR(Propagações_TOT_PARANAPANEMA!$B$7:$BO$69*(Propagações_TOT_PARANAPANEMA!$B$6:$BO$6=$B67&amp;"I")*(Propagações_TOT_PARANAPANEMA!$A$7:$A$69&gt;=PREVS_SMAP_DIARIO!P$26)*(Propagações_TOT_PARANAPANEMA!$A$7:$A$69&lt;=PREVS_SMAP_DIARIO!P$27),0))+P66</f>
        <v>0</v>
      </c>
      <c r="Q67" s="132">
        <f t="array" aca="1" ref="Q67" ca="1">SUM(IFERROR(Propagações_TOT_PARANAPANEMA!$B$7:$BO$69*(Propagações_TOT_PARANAPANEMA!$B$6:$BO$6=$B67&amp;"I")*(Propagações_TOT_PARANAPANEMA!$A$7:$A$69&gt;=PREVS_SMAP_DIARIO!Q$26)*(Propagações_TOT_PARANAPANEMA!$A$7:$A$69&lt;=PREVS_SMAP_DIARIO!Q$27),0))+Q66</f>
        <v>0</v>
      </c>
      <c r="R67" s="132"/>
      <c r="S67"/>
      <c r="T67" s="272">
        <v>40</v>
      </c>
      <c r="V67" s="202" t="e">
        <f ca="1">IFERROR(ROUND(INDEX(F:F,MATCH($T67,$A:$A,0)),0),INDEX(PREVIVAZ!$C41:$N41,1,MATCH(V$27,PREVIVAZ!$C$1:$N$1,1)))</f>
        <v>#N/A</v>
      </c>
      <c r="W67" s="202" t="e">
        <f ca="1">IFERROR(ROUND(INDEX(G:G,MATCH($T67,$A:$A,0)),0),INDEX(PREVIVAZ!$C41:$N41,1,MATCH(W$27,PREVIVAZ!$C$1:$N$1,1)))</f>
        <v>#N/A</v>
      </c>
      <c r="X67" s="202" t="e">
        <f ca="1">IFERROR(ROUND(INDEX(H:H,MATCH($T67,$A:$A,0)),0),INDEX(PREVIVAZ!$C41:$N41,1,MATCH(X$27,PREVIVAZ!$C$1:$N$1,1)))</f>
        <v>#N/A</v>
      </c>
      <c r="Y67" s="202" t="e">
        <f ca="1">IFERROR(ROUND(INDEX(I:I,MATCH($T67,$A:$A,0)),0),INDEX(PREVIVAZ!$C41:$N41,1,MATCH(Y$27,PREVIVAZ!$C$1:$N$1,1)))</f>
        <v>#N/A</v>
      </c>
      <c r="Z67" s="202" t="e">
        <f ca="1">IFERROR(ROUND(INDEX(J:J,MATCH($T67,$A:$A,0)),0),INDEX(PREVIVAZ!$C41:$N41,1,MATCH(Z$27,PREVIVAZ!$C$1:$N$1,1)))</f>
        <v>#N/A</v>
      </c>
      <c r="AA67" s="202" t="e">
        <f ca="1">IFERROR(ROUND(INDEX(K:K,MATCH($T67,$A:$A,0)),0),INDEX(PREVIVAZ!$C41:$N41,1,MATCH(AA$27,PREVIVAZ!$C$1:$N$1,1)))</f>
        <v>#N/A</v>
      </c>
      <c r="AB67" s="202" t="e">
        <f ca="1">IFERROR(ROUND(INDEX(L:L,MATCH($T67,$A:$A,0)),0),INDEX(PREVIVAZ!$C41:$N41,1,MATCH(AB$27,PREVIVAZ!$C$1:$N$1,1)))</f>
        <v>#N/A</v>
      </c>
      <c r="AC67" s="202" t="e">
        <f ca="1">IFERROR(ROUND(INDEX(M:M,MATCH($T67,$A:$A,0)),0),INDEX(PREVIVAZ!$C41:$N41,1,MATCH(AC$27,PREVIVAZ!$C$1:$N$1,1)))</f>
        <v>#N/A</v>
      </c>
      <c r="AD67" s="202" t="e">
        <f ca="1">IFERROR(ROUND(INDEX(N:N,MATCH($T67,$A:$A,0)),0),INDEX(PREVIVAZ!$C41:$N41,1,MATCH(AD$27,PREVIVAZ!$C$1:$N$1,1)))</f>
        <v>#N/A</v>
      </c>
      <c r="AE67" s="202" t="e">
        <f ca="1">IFERROR(ROUND(INDEX(O:O,MATCH($T67,$A:$A,0)),0),INDEX(PREVIVAZ!$C41:$N41,1,MATCH(AE$27,PREVIVAZ!$C$1:$N$1,1)))</f>
        <v>#N/A</v>
      </c>
      <c r="AF67" s="202" t="e">
        <f ca="1">IFERROR(ROUND(INDEX(P:P,MATCH($T67,$A:$A,0)),0),INDEX(PREVIVAZ!$C41:$N41,1,MATCH(AF$27,PREVIVAZ!$C$1:$N$1,1)))</f>
        <v>#N/A</v>
      </c>
      <c r="AG67" s="202" t="e">
        <f ca="1">IFERROR(ROUND(INDEX(Q:Q,MATCH($T67,$A:$A,0)),0),INDEX(PREVIVAZ!$C41:$N41,1,MATCH(AG$27,PREVIVAZ!$C$1:$N$1,1)))</f>
        <v>#N/A</v>
      </c>
    </row>
    <row r="68" spans="1:33" ht="12.75" x14ac:dyDescent="0.2">
      <c r="A68" s="147">
        <v>63</v>
      </c>
      <c r="B68" s="282" t="str">
        <f t="shared" si="6"/>
        <v>63_VN</v>
      </c>
      <c r="C68" s="142" t="s">
        <v>35</v>
      </c>
      <c r="D68" s="132">
        <f t="shared" si="7"/>
        <v>63</v>
      </c>
      <c r="E68" s="132">
        <f t="array" aca="1" ref="E68" ca="1">SUM(IFERROR(Propagações_TOT_PARANAPANEMA!$B$7:$BO$69*(Propagações_TOT_PARANAPANEMA!$B$6:$BO$6=$B68&amp;"A")*(Propagações_TOT_PARANAPANEMA!$A$7:$A$69&gt;=PREVS_SMAP_DIARIO!E$26)*(Propagações_TOT_PARANAPANEMA!$A$7:$A$69&lt;=PREVS_SMAP_DIARIO!E$27),0))</f>
        <v>906</v>
      </c>
      <c r="F68" s="132">
        <f t="array" aca="1" ref="F68" ca="1">SUM(IFERROR(Propagações_TOT_PARANAPANEMA!$B$7:$BO$69*(Propagações_TOT_PARANAPANEMA!$B$6:$BO$6=$B68&amp;"A")*(Propagações_TOT_PARANAPANEMA!$A$7:$A$69&gt;=PREVS_SMAP_DIARIO!F$26)*(Propagações_TOT_PARANAPANEMA!$A$7:$A$69&lt;=PREVS_SMAP_DIARIO!F$27),0))</f>
        <v>0</v>
      </c>
      <c r="G68" s="132">
        <f t="array" aca="1" ref="G68" ca="1">SUM(IFERROR(Propagações_TOT_PARANAPANEMA!$B$7:$BO$69*(Propagações_TOT_PARANAPANEMA!$B$6:$BO$6=$B68&amp;"I")*(Propagações_TOT_PARANAPANEMA!$A$7:$A$69&gt;=PREVS_SMAP_DIARIO!G$26)*(Propagações_TOT_PARANAPANEMA!$A$7:$A$69&lt;=PREVS_SMAP_DIARIO!G$27),0))+G67</f>
        <v>0</v>
      </c>
      <c r="H68" s="132">
        <f t="array" aca="1" ref="H68" ca="1">SUM(IFERROR(Propagações_TOT_PARANAPANEMA!$B$7:$BO$69*(Propagações_TOT_PARANAPANEMA!$B$6:$BO$6=$B68&amp;"I")*(Propagações_TOT_PARANAPANEMA!$A$7:$A$69&gt;=PREVS_SMAP_DIARIO!H$26)*(Propagações_TOT_PARANAPANEMA!$A$7:$A$69&lt;=PREVS_SMAP_DIARIO!H$27),0))+H67</f>
        <v>0</v>
      </c>
      <c r="I68" s="132">
        <f t="array" aca="1" ref="I68" ca="1">SUM(IFERROR(Propagações_TOT_PARANAPANEMA!$B$7:$BO$69*(Propagações_TOT_PARANAPANEMA!$B$6:$BO$6=$B68&amp;"I")*(Propagações_TOT_PARANAPANEMA!$A$7:$A$69&gt;=PREVS_SMAP_DIARIO!I$26)*(Propagações_TOT_PARANAPANEMA!$A$7:$A$69&lt;=PREVS_SMAP_DIARIO!I$27),0))+I67</f>
        <v>0</v>
      </c>
      <c r="J68" s="132">
        <f t="array" aca="1" ref="J68" ca="1">SUM(IFERROR(Propagações_TOT_PARANAPANEMA!$B$7:$BO$69*(Propagações_TOT_PARANAPANEMA!$B$6:$BO$6=$B68&amp;"I")*(Propagações_TOT_PARANAPANEMA!$A$7:$A$69&gt;=PREVS_SMAP_DIARIO!J$26)*(Propagações_TOT_PARANAPANEMA!$A$7:$A$69&lt;=PREVS_SMAP_DIARIO!J$27),0))+J67</f>
        <v>0</v>
      </c>
      <c r="K68" s="132">
        <f t="array" aca="1" ref="K68" ca="1">SUM(IFERROR(Propagações_TOT_PARANAPANEMA!$B$7:$BO$69*(Propagações_TOT_PARANAPANEMA!$B$6:$BO$6=$B68&amp;"I")*(Propagações_TOT_PARANAPANEMA!$A$7:$A$69&gt;=PREVS_SMAP_DIARIO!K$26)*(Propagações_TOT_PARANAPANEMA!$A$7:$A$69&lt;=PREVS_SMAP_DIARIO!K$27),0))+K67</f>
        <v>0</v>
      </c>
      <c r="L68" s="132">
        <f t="array" aca="1" ref="L68" ca="1">SUM(IFERROR(Propagações_TOT_PARANAPANEMA!$B$7:$BO$69*(Propagações_TOT_PARANAPANEMA!$B$6:$BO$6=$B68&amp;"I")*(Propagações_TOT_PARANAPANEMA!$A$7:$A$69&gt;=PREVS_SMAP_DIARIO!L$26)*(Propagações_TOT_PARANAPANEMA!$A$7:$A$69&lt;=PREVS_SMAP_DIARIO!L$27),0))+L67</f>
        <v>0</v>
      </c>
      <c r="M68" s="132">
        <f t="array" aca="1" ref="M68" ca="1">SUM(IFERROR(Propagações_TOT_PARANAPANEMA!$B$7:$BO$69*(Propagações_TOT_PARANAPANEMA!$B$6:$BO$6=$B68&amp;"I")*(Propagações_TOT_PARANAPANEMA!$A$7:$A$69&gt;=PREVS_SMAP_DIARIO!M$26)*(Propagações_TOT_PARANAPANEMA!$A$7:$A$69&lt;=PREVS_SMAP_DIARIO!M$27),0))+M67</f>
        <v>0</v>
      </c>
      <c r="N68" s="132">
        <f t="array" aca="1" ref="N68" ca="1">SUM(IFERROR(Propagações_TOT_PARANAPANEMA!$B$7:$BO$69*(Propagações_TOT_PARANAPANEMA!$B$6:$BO$6=$B68&amp;"I")*(Propagações_TOT_PARANAPANEMA!$A$7:$A$69&gt;=PREVS_SMAP_DIARIO!N$26)*(Propagações_TOT_PARANAPANEMA!$A$7:$A$69&lt;=PREVS_SMAP_DIARIO!N$27),0))+N67</f>
        <v>0</v>
      </c>
      <c r="O68" s="132">
        <f t="array" aca="1" ref="O68" ca="1">SUM(IFERROR(Propagações_TOT_PARANAPANEMA!$B$7:$BO$69*(Propagações_TOT_PARANAPANEMA!$B$6:$BO$6=$B68&amp;"I")*(Propagações_TOT_PARANAPANEMA!$A$7:$A$69&gt;=PREVS_SMAP_DIARIO!O$26)*(Propagações_TOT_PARANAPANEMA!$A$7:$A$69&lt;=PREVS_SMAP_DIARIO!O$27),0))+O67</f>
        <v>0</v>
      </c>
      <c r="P68" s="132">
        <f t="array" aca="1" ref="P68" ca="1">SUM(IFERROR(Propagações_TOT_PARANAPANEMA!$B$7:$BO$69*(Propagações_TOT_PARANAPANEMA!$B$6:$BO$6=$B68&amp;"I")*(Propagações_TOT_PARANAPANEMA!$A$7:$A$69&gt;=PREVS_SMAP_DIARIO!P$26)*(Propagações_TOT_PARANAPANEMA!$A$7:$A$69&lt;=PREVS_SMAP_DIARIO!P$27),0))+P67</f>
        <v>0</v>
      </c>
      <c r="Q68" s="132">
        <f t="array" aca="1" ref="Q68" ca="1">SUM(IFERROR(Propagações_TOT_PARANAPANEMA!$B$7:$BO$69*(Propagações_TOT_PARANAPANEMA!$B$6:$BO$6=$B68&amp;"I")*(Propagações_TOT_PARANAPANEMA!$A$7:$A$69&gt;=PREVS_SMAP_DIARIO!Q$26)*(Propagações_TOT_PARANAPANEMA!$A$7:$A$69&lt;=PREVS_SMAP_DIARIO!Q$27),0))+Q67</f>
        <v>0</v>
      </c>
      <c r="R68" s="132"/>
      <c r="S68"/>
      <c r="T68" s="272">
        <v>41</v>
      </c>
      <c r="V68" s="202" t="e">
        <f ca="1">IFERROR(ROUND(INDEX(F:F,MATCH($T68,$A:$A,0)),0),INDEX(PREVIVAZ!$C42:$N42,1,MATCH(V$27,PREVIVAZ!$C$1:$N$1,1)))</f>
        <v>#N/A</v>
      </c>
      <c r="W68" s="202" t="e">
        <f ca="1">IFERROR(ROUND(INDEX(G:G,MATCH($T68,$A:$A,0)),0),INDEX(PREVIVAZ!$C42:$N42,1,MATCH(W$27,PREVIVAZ!$C$1:$N$1,1)))</f>
        <v>#N/A</v>
      </c>
      <c r="X68" s="202" t="e">
        <f ca="1">IFERROR(ROUND(INDEX(H:H,MATCH($T68,$A:$A,0)),0),INDEX(PREVIVAZ!$C42:$N42,1,MATCH(X$27,PREVIVAZ!$C$1:$N$1,1)))</f>
        <v>#N/A</v>
      </c>
      <c r="Y68" s="202" t="e">
        <f ca="1">IFERROR(ROUND(INDEX(I:I,MATCH($T68,$A:$A,0)),0),INDEX(PREVIVAZ!$C42:$N42,1,MATCH(Y$27,PREVIVAZ!$C$1:$N$1,1)))</f>
        <v>#N/A</v>
      </c>
      <c r="Z68" s="202" t="e">
        <f ca="1">IFERROR(ROUND(INDEX(J:J,MATCH($T68,$A:$A,0)),0),INDEX(PREVIVAZ!$C42:$N42,1,MATCH(Z$27,PREVIVAZ!$C$1:$N$1,1)))</f>
        <v>#N/A</v>
      </c>
      <c r="AA68" s="202" t="e">
        <f ca="1">IFERROR(ROUND(INDEX(K:K,MATCH($T68,$A:$A,0)),0),INDEX(PREVIVAZ!$C42:$N42,1,MATCH(AA$27,PREVIVAZ!$C$1:$N$1,1)))</f>
        <v>#N/A</v>
      </c>
      <c r="AB68" s="202" t="e">
        <f ca="1">IFERROR(ROUND(INDEX(L:L,MATCH($T68,$A:$A,0)),0),INDEX(PREVIVAZ!$C42:$N42,1,MATCH(AB$27,PREVIVAZ!$C$1:$N$1,1)))</f>
        <v>#N/A</v>
      </c>
      <c r="AC68" s="202" t="e">
        <f ca="1">IFERROR(ROUND(INDEX(M:M,MATCH($T68,$A:$A,0)),0),INDEX(PREVIVAZ!$C42:$N42,1,MATCH(AC$27,PREVIVAZ!$C$1:$N$1,1)))</f>
        <v>#N/A</v>
      </c>
      <c r="AD68" s="202" t="e">
        <f ca="1">IFERROR(ROUND(INDEX(N:N,MATCH($T68,$A:$A,0)),0),INDEX(PREVIVAZ!$C42:$N42,1,MATCH(AD$27,PREVIVAZ!$C$1:$N$1,1)))</f>
        <v>#N/A</v>
      </c>
      <c r="AE68" s="202" t="e">
        <f ca="1">IFERROR(ROUND(INDEX(O:O,MATCH($T68,$A:$A,0)),0),INDEX(PREVIVAZ!$C42:$N42,1,MATCH(AE$27,PREVIVAZ!$C$1:$N$1,1)))</f>
        <v>#N/A</v>
      </c>
      <c r="AF68" s="202" t="e">
        <f ca="1">IFERROR(ROUND(INDEX(P:P,MATCH($T68,$A:$A,0)),0),INDEX(PREVIVAZ!$C42:$N42,1,MATCH(AF$27,PREVIVAZ!$C$1:$N$1,1)))</f>
        <v>#N/A</v>
      </c>
      <c r="AG68" s="202" t="e">
        <f ca="1">IFERROR(ROUND(INDEX(Q:Q,MATCH($T68,$A:$A,0)),0),INDEX(PREVIVAZ!$C42:$N42,1,MATCH(AG$27,PREVIVAZ!$C$1:$N$1,1)))</f>
        <v>#N/A</v>
      </c>
    </row>
    <row r="69" spans="1:33" ht="12.75" x14ac:dyDescent="0.2">
      <c r="A69" s="141"/>
      <c r="B69" s="142"/>
      <c r="C69" s="142"/>
      <c r="D69" s="142"/>
      <c r="E69" s="134"/>
      <c r="F69" s="134"/>
      <c r="G69" s="132"/>
      <c r="H69" s="132"/>
      <c r="I69" s="132"/>
      <c r="J69" s="132"/>
      <c r="K69" s="132"/>
      <c r="L69" s="132"/>
      <c r="M69" s="132"/>
      <c r="N69" s="132"/>
      <c r="O69" s="132"/>
      <c r="P69" s="132"/>
      <c r="Q69" s="132"/>
      <c r="R69" s="142"/>
      <c r="S69"/>
      <c r="T69" s="272">
        <v>42</v>
      </c>
      <c r="V69" s="202" t="e">
        <f ca="1">IFERROR(ROUND(INDEX(F:F,MATCH($T69,$A:$A,0)),0),INDEX(PREVIVAZ!$C43:$N43,1,MATCH(V$27,PREVIVAZ!$C$1:$N$1,1)))</f>
        <v>#N/A</v>
      </c>
      <c r="W69" s="202" t="e">
        <f ca="1">IFERROR(ROUND(INDEX(G:G,MATCH($T69,$A:$A,0)),0),INDEX(PREVIVAZ!$C43:$N43,1,MATCH(W$27,PREVIVAZ!$C$1:$N$1,1)))</f>
        <v>#N/A</v>
      </c>
      <c r="X69" s="202" t="e">
        <f ca="1">IFERROR(ROUND(INDEX(H:H,MATCH($T69,$A:$A,0)),0),INDEX(PREVIVAZ!$C43:$N43,1,MATCH(X$27,PREVIVAZ!$C$1:$N$1,1)))</f>
        <v>#N/A</v>
      </c>
      <c r="Y69" s="202" t="e">
        <f ca="1">IFERROR(ROUND(INDEX(I:I,MATCH($T69,$A:$A,0)),0),INDEX(PREVIVAZ!$C43:$N43,1,MATCH(Y$27,PREVIVAZ!$C$1:$N$1,1)))</f>
        <v>#N/A</v>
      </c>
      <c r="Z69" s="202" t="e">
        <f ca="1">IFERROR(ROUND(INDEX(J:J,MATCH($T69,$A:$A,0)),0),INDEX(PREVIVAZ!$C43:$N43,1,MATCH(Z$27,PREVIVAZ!$C$1:$N$1,1)))</f>
        <v>#N/A</v>
      </c>
      <c r="AA69" s="202" t="e">
        <f ca="1">IFERROR(ROUND(INDEX(K:K,MATCH($T69,$A:$A,0)),0),INDEX(PREVIVAZ!$C43:$N43,1,MATCH(AA$27,PREVIVAZ!$C$1:$N$1,1)))</f>
        <v>#N/A</v>
      </c>
      <c r="AB69" s="202" t="e">
        <f ca="1">IFERROR(ROUND(INDEX(L:L,MATCH($T69,$A:$A,0)),0),INDEX(PREVIVAZ!$C43:$N43,1,MATCH(AB$27,PREVIVAZ!$C$1:$N$1,1)))</f>
        <v>#N/A</v>
      </c>
      <c r="AC69" s="202" t="e">
        <f ca="1">IFERROR(ROUND(INDEX(M:M,MATCH($T69,$A:$A,0)),0),INDEX(PREVIVAZ!$C43:$N43,1,MATCH(AC$27,PREVIVAZ!$C$1:$N$1,1)))</f>
        <v>#N/A</v>
      </c>
      <c r="AD69" s="202" t="e">
        <f ca="1">IFERROR(ROUND(INDEX(N:N,MATCH($T69,$A:$A,0)),0),INDEX(PREVIVAZ!$C43:$N43,1,MATCH(AD$27,PREVIVAZ!$C$1:$N$1,1)))</f>
        <v>#N/A</v>
      </c>
      <c r="AE69" s="202" t="e">
        <f ca="1">IFERROR(ROUND(INDEX(O:O,MATCH($T69,$A:$A,0)),0),INDEX(PREVIVAZ!$C43:$N43,1,MATCH(AE$27,PREVIVAZ!$C$1:$N$1,1)))</f>
        <v>#N/A</v>
      </c>
      <c r="AF69" s="202" t="e">
        <f ca="1">IFERROR(ROUND(INDEX(P:P,MATCH($T69,$A:$A,0)),0),INDEX(PREVIVAZ!$C43:$N43,1,MATCH(AF$27,PREVIVAZ!$C$1:$N$1,1)))</f>
        <v>#N/A</v>
      </c>
      <c r="AG69" s="202" t="e">
        <f ca="1">IFERROR(ROUND(INDEX(Q:Q,MATCH($T69,$A:$A,0)),0),INDEX(PREVIVAZ!$C43:$N43,1,MATCH(AG$27,PREVIVAZ!$C$1:$N$1,1)))</f>
        <v>#N/A</v>
      </c>
    </row>
    <row r="70" spans="1:33" ht="12.75" x14ac:dyDescent="0.2">
      <c r="A70" s="147">
        <v>166</v>
      </c>
      <c r="B70" s="283" t="s">
        <v>158</v>
      </c>
      <c r="C70" s="142" t="s">
        <v>118</v>
      </c>
      <c r="D70" s="132">
        <f t="shared" si="7"/>
        <v>166</v>
      </c>
      <c r="E70" s="132">
        <f t="array" aca="1" ref="E70" ca="1">SUM(IFERROR(Propagações_TOT_ITAIPU!$B$7:$BZ$69*(Propagações_TOT_ITAIPU!$B$6:$BZ$6=$B70&amp;"I")*(Propagações_TOT_ITAIPU!$A$7:$A$69&gt;=PREVS_SMAP_DIARIO!E$26)*(Propagações_TOT_ITAIPU!$A$7:$A$69&lt;=PREVS_SMAP_DIARIO!E$27),0))</f>
        <v>2139</v>
      </c>
      <c r="F70" s="132">
        <f t="array" aca="1" ref="F70" ca="1">SUM(IFERROR(Propagações_TOT_ITAIPU!$B$7:$BZ$69*(Propagações_TOT_ITAIPU!$B$6:$BZ$6=$B70&amp;"I")*(Propagações_TOT_ITAIPU!$A$7:$A$69&gt;=PREVS_SMAP_DIARIO!F$26)*(Propagações_TOT_ITAIPU!$A$7:$A$69&lt;=PREVS_SMAP_DIARIO!F$27),0))</f>
        <v>0</v>
      </c>
      <c r="G70" s="132">
        <f t="array" aca="1" ref="G70" ca="1">SUM(IFERROR(Propagações_TOT_ITAIPU!$B$7:$BZ$69*(Propagações_TOT_ITAIPU!$B$6:$BZ$6=$B70&amp;"I")*(Propagações_TOT_ITAIPU!$A$7:$A$69&gt;=PREVS_SMAP_DIARIO!G$26)*(Propagações_TOT_ITAIPU!$A$7:$A$69&lt;=PREVS_SMAP_DIARIO!G$27),0))</f>
        <v>0</v>
      </c>
      <c r="H70" s="132">
        <f t="array" aca="1" ref="H70" ca="1">SUM(IFERROR(Propagações_TOT_ITAIPU!$B$7:$BZ$69*(Propagações_TOT_ITAIPU!$B$6:$BZ$6=$B70&amp;"I")*(Propagações_TOT_ITAIPU!$A$7:$A$69&gt;=PREVS_SMAP_DIARIO!H$26)*(Propagações_TOT_ITAIPU!$A$7:$A$69&lt;=PREVS_SMAP_DIARIO!H$27),0))</f>
        <v>0</v>
      </c>
      <c r="I70" s="132">
        <f t="array" aca="1" ref="I70" ca="1">SUM(IFERROR(Propagações_TOT_ITAIPU!$B$7:$BZ$69*(Propagações_TOT_ITAIPU!$B$6:$BZ$6=$B70&amp;"I")*(Propagações_TOT_ITAIPU!$A$7:$A$69&gt;=PREVS_SMAP_DIARIO!I$26)*(Propagações_TOT_ITAIPU!$A$7:$A$69&lt;=PREVS_SMAP_DIARIO!I$27),0))</f>
        <v>0</v>
      </c>
      <c r="J70" s="132">
        <f t="array" aca="1" ref="J70" ca="1">SUM(IFERROR(Propagações_TOT_ITAIPU!$B$7:$BZ$69*(Propagações_TOT_ITAIPU!$B$6:$BZ$6=$B70&amp;"I")*(Propagações_TOT_ITAIPU!$A$7:$A$69&gt;=PREVS_SMAP_DIARIO!J$26)*(Propagações_TOT_ITAIPU!$A$7:$A$69&lt;=PREVS_SMAP_DIARIO!J$27),0))</f>
        <v>0</v>
      </c>
      <c r="K70" s="132">
        <f t="array" aca="1" ref="K70" ca="1">SUM(IFERROR(Propagações_TOT_ITAIPU!$B$7:$BZ$69*(Propagações_TOT_ITAIPU!$B$6:$BZ$6=$B70&amp;"I")*(Propagações_TOT_ITAIPU!$A$7:$A$69&gt;=PREVS_SMAP_DIARIO!K$26)*(Propagações_TOT_ITAIPU!$A$7:$A$69&lt;=PREVS_SMAP_DIARIO!K$27),0))</f>
        <v>0</v>
      </c>
      <c r="L70" s="132">
        <f t="array" aca="1" ref="L70" ca="1">SUM(IFERROR(Propagações_TOT_ITAIPU!$B$7:$BZ$69*(Propagações_TOT_ITAIPU!$B$6:$BZ$6=$B70&amp;"I")*(Propagações_TOT_ITAIPU!$A$7:$A$69&gt;=PREVS_SMAP_DIARIO!L$26)*(Propagações_TOT_ITAIPU!$A$7:$A$69&lt;=PREVS_SMAP_DIARIO!L$27),0))</f>
        <v>0</v>
      </c>
      <c r="M70" s="132">
        <f t="array" aca="1" ref="M70" ca="1">SUM(IFERROR(Propagações_TOT_ITAIPU!$B$7:$BZ$69*(Propagações_TOT_ITAIPU!$B$6:$BZ$6=$B70&amp;"I")*(Propagações_TOT_ITAIPU!$A$7:$A$69&gt;=PREVS_SMAP_DIARIO!M$26)*(Propagações_TOT_ITAIPU!$A$7:$A$69&lt;=PREVS_SMAP_DIARIO!M$27),0))</f>
        <v>0</v>
      </c>
      <c r="N70" s="132">
        <f t="array" aca="1" ref="N70" ca="1">SUM(IFERROR(Propagações_TOT_ITAIPU!$B$7:$BZ$69*(Propagações_TOT_ITAIPU!$B$6:$BZ$6=$B70&amp;"I")*(Propagações_TOT_ITAIPU!$A$7:$A$69&gt;=PREVS_SMAP_DIARIO!N$26)*(Propagações_TOT_ITAIPU!$A$7:$A$69&lt;=PREVS_SMAP_DIARIO!N$27),0))</f>
        <v>0</v>
      </c>
      <c r="O70" s="132">
        <f t="array" aca="1" ref="O70" ca="1">SUM(IFERROR(Propagações_TOT_ITAIPU!$B$7:$BZ$69*(Propagações_TOT_ITAIPU!$B$6:$BZ$6=$B70&amp;"I")*(Propagações_TOT_ITAIPU!$A$7:$A$69&gt;=PREVS_SMAP_DIARIO!O$26)*(Propagações_TOT_ITAIPU!$A$7:$A$69&lt;=PREVS_SMAP_DIARIO!O$27),0))</f>
        <v>0</v>
      </c>
      <c r="P70" s="132">
        <f t="array" aca="1" ref="P70" ca="1">SUM(IFERROR(Propagações_TOT_ITAIPU!$B$7:$BZ$69*(Propagações_TOT_ITAIPU!$B$6:$BZ$6=$B70&amp;"I")*(Propagações_TOT_ITAIPU!$A$7:$A$69&gt;=PREVS_SMAP_DIARIO!P$26)*(Propagações_TOT_ITAIPU!$A$7:$A$69&lt;=PREVS_SMAP_DIARIO!P$27),0))</f>
        <v>0</v>
      </c>
      <c r="Q70" s="132">
        <f t="array" aca="1" ref="Q70" ca="1">SUM(IFERROR(Propagações_TOT_ITAIPU!$B$7:$BZ$69*(Propagações_TOT_ITAIPU!$B$6:$BZ$6=$B70&amp;"I")*(Propagações_TOT_ITAIPU!$A$7:$A$69&gt;=PREVS_SMAP_DIARIO!Q$26)*(Propagações_TOT_ITAIPU!$A$7:$A$69&lt;=PREVS_SMAP_DIARIO!Q$27),0))</f>
        <v>0</v>
      </c>
      <c r="R70" s="132"/>
      <c r="S70"/>
      <c r="T70" s="272">
        <v>43</v>
      </c>
      <c r="V70" s="202" t="e">
        <f ca="1">IFERROR(ROUND(INDEX(F:F,MATCH($T70,$A:$A,0)),0),INDEX(PREVIVAZ!$C44:$N44,1,MATCH(V$27,PREVIVAZ!$C$1:$N$1,1)))</f>
        <v>#N/A</v>
      </c>
      <c r="W70" s="202" t="e">
        <f ca="1">IFERROR(ROUND(INDEX(G:G,MATCH($T70,$A:$A,0)),0),INDEX(PREVIVAZ!$C44:$N44,1,MATCH(W$27,PREVIVAZ!$C$1:$N$1,1)))</f>
        <v>#N/A</v>
      </c>
      <c r="X70" s="202" t="e">
        <f ca="1">IFERROR(ROUND(INDEX(H:H,MATCH($T70,$A:$A,0)),0),INDEX(PREVIVAZ!$C44:$N44,1,MATCH(X$27,PREVIVAZ!$C$1:$N$1,1)))</f>
        <v>#N/A</v>
      </c>
      <c r="Y70" s="202" t="e">
        <f ca="1">IFERROR(ROUND(INDEX(I:I,MATCH($T70,$A:$A,0)),0),INDEX(PREVIVAZ!$C44:$N44,1,MATCH(Y$27,PREVIVAZ!$C$1:$N$1,1)))</f>
        <v>#N/A</v>
      </c>
      <c r="Z70" s="202" t="e">
        <f ca="1">IFERROR(ROUND(INDEX(J:J,MATCH($T70,$A:$A,0)),0),INDEX(PREVIVAZ!$C44:$N44,1,MATCH(Z$27,PREVIVAZ!$C$1:$N$1,1)))</f>
        <v>#N/A</v>
      </c>
      <c r="AA70" s="202" t="e">
        <f ca="1">IFERROR(ROUND(INDEX(K:K,MATCH($T70,$A:$A,0)),0),INDEX(PREVIVAZ!$C44:$N44,1,MATCH(AA$27,PREVIVAZ!$C$1:$N$1,1)))</f>
        <v>#N/A</v>
      </c>
      <c r="AB70" s="202" t="e">
        <f ca="1">IFERROR(ROUND(INDEX(L:L,MATCH($T70,$A:$A,0)),0),INDEX(PREVIVAZ!$C44:$N44,1,MATCH(AB$27,PREVIVAZ!$C$1:$N$1,1)))</f>
        <v>#N/A</v>
      </c>
      <c r="AC70" s="202" t="e">
        <f ca="1">IFERROR(ROUND(INDEX(M:M,MATCH($T70,$A:$A,0)),0),INDEX(PREVIVAZ!$C44:$N44,1,MATCH(AC$27,PREVIVAZ!$C$1:$N$1,1)))</f>
        <v>#N/A</v>
      </c>
      <c r="AD70" s="202" t="e">
        <f ca="1">IFERROR(ROUND(INDEX(N:N,MATCH($T70,$A:$A,0)),0),INDEX(PREVIVAZ!$C44:$N44,1,MATCH(AD$27,PREVIVAZ!$C$1:$N$1,1)))</f>
        <v>#N/A</v>
      </c>
      <c r="AE70" s="202" t="e">
        <f ca="1">IFERROR(ROUND(INDEX(O:O,MATCH($T70,$A:$A,0)),0),INDEX(PREVIVAZ!$C44:$N44,1,MATCH(AE$27,PREVIVAZ!$C$1:$N$1,1)))</f>
        <v>#N/A</v>
      </c>
      <c r="AF70" s="202" t="e">
        <f ca="1">IFERROR(ROUND(INDEX(P:P,MATCH($T70,$A:$A,0)),0),INDEX(PREVIVAZ!$C44:$N44,1,MATCH(AF$27,PREVIVAZ!$C$1:$N$1,1)))</f>
        <v>#N/A</v>
      </c>
      <c r="AG70" s="202" t="e">
        <f ca="1">IFERROR(ROUND(INDEX(Q:Q,MATCH($T70,$A:$A,0)),0),INDEX(PREVIVAZ!$C44:$N44,1,MATCH(AG$27,PREVIVAZ!$C$1:$N$1,1)))</f>
        <v>#N/A</v>
      </c>
    </row>
    <row r="71" spans="1:33" ht="12.75" x14ac:dyDescent="0.2">
      <c r="E71" s="132">
        <f t="array" aca="1" ref="E71" ca="1">SUM(IFERROR(Propagações_TOT_ITAIPU!$B$7:$BZ$69*(Propagações_TOT_ITAIPU!$B$6:$BZ$6=$B72&amp;"A")*(Propagações_TOT_ITAIPU!$A$7:$A$69&gt;=PREVS_SMAP_DIARIO!E$26)*(Propagações_TOT_ITAIPU!$A$7:$A$69&lt;=PREVS_SMAP_DIARIO!E$27),0))</f>
        <v>9288</v>
      </c>
      <c r="F71" s="132">
        <f t="array" aca="1" ref="F71" ca="1">SUM(IFERROR(Propagações_TOT_ITAIPU!$B$7:$BZ$69*(Propagações_TOT_ITAIPU!$B$6:$BZ$6=$B72&amp;"A")*(Propagações_TOT_ITAIPU!$A$7:$A$69&gt;=PREVS_SMAP_DIARIO!F$26)*(Propagações_TOT_ITAIPU!$A$7:$A$69&lt;=PREVS_SMAP_DIARIO!F$27),0))</f>
        <v>0</v>
      </c>
      <c r="G71" s="132">
        <f t="array" aca="1" ref="G71" ca="1">SUM(IFERROR(Propagações_TOT_ITAIPU!$B$7:$BZ$69*(Propagações_TOT_ITAIPU!$B$6:$BZ$6=$B72&amp;"A")*(Propagações_TOT_ITAIPU!$A$7:$A$69&gt;=PREVS_SMAP_DIARIO!G$26)*(Propagações_TOT_ITAIPU!$A$7:$A$69&lt;=PREVS_SMAP_DIARIO!G$27),0))</f>
        <v>0</v>
      </c>
      <c r="H71" s="132">
        <f t="array" aca="1" ref="H71" ca="1">SUM(IFERROR(Propagações_TOT_ITAIPU!$B$7:$BZ$69*(Propagações_TOT_ITAIPU!$B$6:$BZ$6=$B72&amp;"A")*(Propagações_TOT_ITAIPU!$A$7:$A$69&gt;=PREVS_SMAP_DIARIO!H$26)*(Propagações_TOT_ITAIPU!$A$7:$A$69&lt;=PREVS_SMAP_DIARIO!H$27),0))</f>
        <v>0</v>
      </c>
      <c r="I71" s="132">
        <f t="array" aca="1" ref="I71" ca="1">SUM(IFERROR(Propagações_TOT_ITAIPU!$B$7:$BZ$69*(Propagações_TOT_ITAIPU!$B$6:$BZ$6=$B72&amp;"A")*(Propagações_TOT_ITAIPU!$A$7:$A$69&gt;=PREVS_SMAP_DIARIO!I$26)*(Propagações_TOT_ITAIPU!$A$7:$A$69&lt;=PREVS_SMAP_DIARIO!I$27),0))</f>
        <v>0</v>
      </c>
      <c r="J71" s="132">
        <f t="array" aca="1" ref="J71" ca="1">SUM(IFERROR(Propagações_TOT_ITAIPU!$B$7:$BZ$69*(Propagações_TOT_ITAIPU!$B$6:$BZ$6=$B72&amp;"A")*(Propagações_TOT_ITAIPU!$A$7:$A$69&gt;=PREVS_SMAP_DIARIO!J$26)*(Propagações_TOT_ITAIPU!$A$7:$A$69&lt;=PREVS_SMAP_DIARIO!J$27),0))</f>
        <v>0</v>
      </c>
      <c r="K71" s="132">
        <f t="array" aca="1" ref="K71" ca="1">SUM(IFERROR(Propagações_TOT_ITAIPU!$B$7:$BZ$69*(Propagações_TOT_ITAIPU!$B$6:$BZ$6=$B72&amp;"A")*(Propagações_TOT_ITAIPU!$A$7:$A$69&gt;=PREVS_SMAP_DIARIO!K$26)*(Propagações_TOT_ITAIPU!$A$7:$A$69&lt;=PREVS_SMAP_DIARIO!K$27),0))</f>
        <v>0</v>
      </c>
      <c r="L71" s="132">
        <f t="array" aca="1" ref="L71" ca="1">SUM(IFERROR(Propagações_TOT_ITAIPU!$B$7:$BZ$69*(Propagações_TOT_ITAIPU!$B$6:$BZ$6=$B72&amp;"A")*(Propagações_TOT_ITAIPU!$A$7:$A$69&gt;=PREVS_SMAP_DIARIO!L$26)*(Propagações_TOT_ITAIPU!$A$7:$A$69&lt;=PREVS_SMAP_DIARIO!L$27),0))</f>
        <v>0</v>
      </c>
      <c r="M71" s="132">
        <f t="array" aca="1" ref="M71" ca="1">SUM(IFERROR(Propagações_TOT_ITAIPU!$B$7:$BZ$69*(Propagações_TOT_ITAIPU!$B$6:$BZ$6=$B72&amp;"A")*(Propagações_TOT_ITAIPU!$A$7:$A$69&gt;=PREVS_SMAP_DIARIO!M$26)*(Propagações_TOT_ITAIPU!$A$7:$A$69&lt;=PREVS_SMAP_DIARIO!M$27),0))</f>
        <v>0</v>
      </c>
      <c r="N71" s="132">
        <f t="array" aca="1" ref="N71" ca="1">SUM(IFERROR(Propagações_TOT_ITAIPU!$B$7:$BZ$69*(Propagações_TOT_ITAIPU!$B$6:$BZ$6=$B72&amp;"A")*(Propagações_TOT_ITAIPU!$A$7:$A$69&gt;=PREVS_SMAP_DIARIO!N$26)*(Propagações_TOT_ITAIPU!$A$7:$A$69&lt;=PREVS_SMAP_DIARIO!N$27),0))</f>
        <v>0</v>
      </c>
      <c r="O71" s="132">
        <f t="array" aca="1" ref="O71" ca="1">SUM(IFERROR(Propagações_TOT_ITAIPU!$B$7:$BZ$69*(Propagações_TOT_ITAIPU!$B$6:$BZ$6=$B72&amp;"A")*(Propagações_TOT_ITAIPU!$A$7:$A$69&gt;=PREVS_SMAP_DIARIO!O$26)*(Propagações_TOT_ITAIPU!$A$7:$A$69&lt;=PREVS_SMAP_DIARIO!O$27),0))</f>
        <v>0</v>
      </c>
      <c r="P71" s="132">
        <f t="array" aca="1" ref="P71" ca="1">SUM(IFERROR(Propagações_TOT_ITAIPU!$B$7:$BZ$69*(Propagações_TOT_ITAIPU!$B$6:$BZ$6=$B72&amp;"A")*(Propagações_TOT_ITAIPU!$A$7:$A$69&gt;=PREVS_SMAP_DIARIO!P$26)*(Propagações_TOT_ITAIPU!$A$7:$A$69&lt;=PREVS_SMAP_DIARIO!P$27),0))</f>
        <v>0</v>
      </c>
      <c r="Q71" s="132">
        <f t="array" aca="1" ref="Q71" ca="1">SUM(IFERROR(Propagações_TOT_ITAIPU!$B$7:$BZ$69*(Propagações_TOT_ITAIPU!$B$6:$BZ$6=$B72&amp;"A")*(Propagações_TOT_ITAIPU!$A$7:$A$69&gt;=PREVS_SMAP_DIARIO!Q$26)*(Propagações_TOT_ITAIPU!$A$7:$A$69&lt;=PREVS_SMAP_DIARIO!Q$27),0))</f>
        <v>0</v>
      </c>
      <c r="R71" s="142"/>
      <c r="S71"/>
      <c r="T71" s="272">
        <v>44</v>
      </c>
      <c r="V71" s="202" t="e">
        <f ca="1">IFERROR(ROUND(INDEX(F:F,MATCH($T71,$A:$A,0)),0),INDEX(PREVIVAZ!$C45:$N45,1,MATCH(V$27,PREVIVAZ!$C$1:$N$1,1)))</f>
        <v>#N/A</v>
      </c>
      <c r="W71" s="202" t="e">
        <f ca="1">IFERROR(ROUND(INDEX(G:G,MATCH($T71,$A:$A,0)),0),INDEX(PREVIVAZ!$C45:$N45,1,MATCH(W$27,PREVIVAZ!$C$1:$N$1,1)))</f>
        <v>#N/A</v>
      </c>
      <c r="X71" s="202" t="e">
        <f ca="1">IFERROR(ROUND(INDEX(H:H,MATCH($T71,$A:$A,0)),0),INDEX(PREVIVAZ!$C45:$N45,1,MATCH(X$27,PREVIVAZ!$C$1:$N$1,1)))</f>
        <v>#N/A</v>
      </c>
      <c r="Y71" s="202" t="e">
        <f ca="1">IFERROR(ROUND(INDEX(I:I,MATCH($T71,$A:$A,0)),0),INDEX(PREVIVAZ!$C45:$N45,1,MATCH(Y$27,PREVIVAZ!$C$1:$N$1,1)))</f>
        <v>#N/A</v>
      </c>
      <c r="Z71" s="202" t="e">
        <f ca="1">IFERROR(ROUND(INDEX(J:J,MATCH($T71,$A:$A,0)),0),INDEX(PREVIVAZ!$C45:$N45,1,MATCH(Z$27,PREVIVAZ!$C$1:$N$1,1)))</f>
        <v>#N/A</v>
      </c>
      <c r="AA71" s="202" t="e">
        <f ca="1">IFERROR(ROUND(INDEX(K:K,MATCH($T71,$A:$A,0)),0),INDEX(PREVIVAZ!$C45:$N45,1,MATCH(AA$27,PREVIVAZ!$C$1:$N$1,1)))</f>
        <v>#N/A</v>
      </c>
      <c r="AB71" s="202" t="e">
        <f ca="1">IFERROR(ROUND(INDEX(L:L,MATCH($T71,$A:$A,0)),0),INDEX(PREVIVAZ!$C45:$N45,1,MATCH(AB$27,PREVIVAZ!$C$1:$N$1,1)))</f>
        <v>#N/A</v>
      </c>
      <c r="AC71" s="202" t="e">
        <f ca="1">IFERROR(ROUND(INDEX(M:M,MATCH($T71,$A:$A,0)),0),INDEX(PREVIVAZ!$C45:$N45,1,MATCH(AC$27,PREVIVAZ!$C$1:$N$1,1)))</f>
        <v>#N/A</v>
      </c>
      <c r="AD71" s="202" t="e">
        <f ca="1">IFERROR(ROUND(INDEX(N:N,MATCH($T71,$A:$A,0)),0),INDEX(PREVIVAZ!$C45:$N45,1,MATCH(AD$27,PREVIVAZ!$C$1:$N$1,1)))</f>
        <v>#N/A</v>
      </c>
      <c r="AE71" s="202" t="e">
        <f ca="1">IFERROR(ROUND(INDEX(O:O,MATCH($T71,$A:$A,0)),0),INDEX(PREVIVAZ!$C45:$N45,1,MATCH(AE$27,PREVIVAZ!$C$1:$N$1,1)))</f>
        <v>#N/A</v>
      </c>
      <c r="AF71" s="202" t="e">
        <f ca="1">IFERROR(ROUND(INDEX(P:P,MATCH($T71,$A:$A,0)),0),INDEX(PREVIVAZ!$C45:$N45,1,MATCH(AF$27,PREVIVAZ!$C$1:$N$1,1)))</f>
        <v>#N/A</v>
      </c>
      <c r="AG71" s="202" t="e">
        <f ca="1">IFERROR(ROUND(INDEX(Q:Q,MATCH($T71,$A:$A,0)),0),INDEX(PREVIVAZ!$C45:$N45,1,MATCH(AG$27,PREVIVAZ!$C$1:$N$1,1)))</f>
        <v>#N/A</v>
      </c>
    </row>
    <row r="72" spans="1:33" ht="13.5" thickBot="1" x14ac:dyDescent="0.25">
      <c r="A72" s="243">
        <v>266</v>
      </c>
      <c r="B72" s="242" t="s">
        <v>158</v>
      </c>
      <c r="C72" s="240" t="s">
        <v>118</v>
      </c>
      <c r="D72" s="241">
        <f>A72</f>
        <v>266</v>
      </c>
      <c r="E72" s="22">
        <f ca="1">IF(E71&gt;0,E71,NA())</f>
        <v>9288</v>
      </c>
      <c r="F72" s="22" t="e">
        <f t="shared" ref="F72:Q72" ca="1" si="8">IF(F71&gt;0,F71,NA())</f>
        <v>#N/A</v>
      </c>
      <c r="G72" s="22" t="e">
        <f t="shared" ca="1" si="8"/>
        <v>#N/A</v>
      </c>
      <c r="H72" s="22" t="e">
        <f t="shared" ca="1" si="8"/>
        <v>#N/A</v>
      </c>
      <c r="I72" s="22" t="e">
        <f t="shared" ca="1" si="8"/>
        <v>#N/A</v>
      </c>
      <c r="J72" s="22" t="e">
        <f t="shared" ca="1" si="8"/>
        <v>#N/A</v>
      </c>
      <c r="K72" s="22" t="e">
        <f t="shared" ca="1" si="8"/>
        <v>#N/A</v>
      </c>
      <c r="L72" s="22" t="e">
        <f t="shared" ca="1" si="8"/>
        <v>#N/A</v>
      </c>
      <c r="M72" s="22" t="e">
        <f t="shared" ca="1" si="8"/>
        <v>#N/A</v>
      </c>
      <c r="N72" s="22" t="e">
        <f t="shared" ca="1" si="8"/>
        <v>#N/A</v>
      </c>
      <c r="O72" s="22" t="e">
        <f t="shared" ca="1" si="8"/>
        <v>#N/A</v>
      </c>
      <c r="P72" s="22" t="e">
        <f t="shared" ca="1" si="8"/>
        <v>#N/A</v>
      </c>
      <c r="Q72" s="22" t="e">
        <f t="shared" ca="1" si="8"/>
        <v>#N/A</v>
      </c>
      <c r="R72"/>
      <c r="S72"/>
      <c r="T72" s="272">
        <v>45</v>
      </c>
      <c r="V72" s="202" t="e">
        <f ca="1">IFERROR(ROUND(INDEX(F:F,MATCH($T72,$A:$A,0)),0),INDEX(PREVIVAZ!$C46:$N46,1,MATCH(V$27,PREVIVAZ!$C$1:$N$1,1)))</f>
        <v>#N/A</v>
      </c>
      <c r="W72" s="202" t="e">
        <f ca="1">IFERROR(ROUND(INDEX(G:G,MATCH($T72,$A:$A,0)),0),INDEX(PREVIVAZ!$C46:$N46,1,MATCH(W$27,PREVIVAZ!$C$1:$N$1,1)))</f>
        <v>#N/A</v>
      </c>
      <c r="X72" s="202" t="e">
        <f ca="1">IFERROR(ROUND(INDEX(H:H,MATCH($T72,$A:$A,0)),0),INDEX(PREVIVAZ!$C46:$N46,1,MATCH(X$27,PREVIVAZ!$C$1:$N$1,1)))</f>
        <v>#N/A</v>
      </c>
      <c r="Y72" s="202" t="e">
        <f ca="1">IFERROR(ROUND(INDEX(I:I,MATCH($T72,$A:$A,0)),0),INDEX(PREVIVAZ!$C46:$N46,1,MATCH(Y$27,PREVIVAZ!$C$1:$N$1,1)))</f>
        <v>#N/A</v>
      </c>
      <c r="Z72" s="202" t="e">
        <f ca="1">IFERROR(ROUND(INDEX(J:J,MATCH($T72,$A:$A,0)),0),INDEX(PREVIVAZ!$C46:$N46,1,MATCH(Z$27,PREVIVAZ!$C$1:$N$1,1)))</f>
        <v>#N/A</v>
      </c>
      <c r="AA72" s="202" t="e">
        <f ca="1">IFERROR(ROUND(INDEX(K:K,MATCH($T72,$A:$A,0)),0),INDEX(PREVIVAZ!$C46:$N46,1,MATCH(AA$27,PREVIVAZ!$C$1:$N$1,1)))</f>
        <v>#N/A</v>
      </c>
      <c r="AB72" s="202" t="e">
        <f ca="1">IFERROR(ROUND(INDEX(L:L,MATCH($T72,$A:$A,0)),0),INDEX(PREVIVAZ!$C46:$N46,1,MATCH(AB$27,PREVIVAZ!$C$1:$N$1,1)))</f>
        <v>#N/A</v>
      </c>
      <c r="AC72" s="202" t="e">
        <f ca="1">IFERROR(ROUND(INDEX(M:M,MATCH($T72,$A:$A,0)),0),INDEX(PREVIVAZ!$C46:$N46,1,MATCH(AC$27,PREVIVAZ!$C$1:$N$1,1)))</f>
        <v>#N/A</v>
      </c>
      <c r="AD72" s="202" t="e">
        <f ca="1">IFERROR(ROUND(INDEX(N:N,MATCH($T72,$A:$A,0)),0),INDEX(PREVIVAZ!$C46:$N46,1,MATCH(AD$27,PREVIVAZ!$C$1:$N$1,1)))</f>
        <v>#N/A</v>
      </c>
      <c r="AE72" s="202" t="e">
        <f ca="1">IFERROR(ROUND(INDEX(O:O,MATCH($T72,$A:$A,0)),0),INDEX(PREVIVAZ!$C46:$N46,1,MATCH(AE$27,PREVIVAZ!$C$1:$N$1,1)))</f>
        <v>#N/A</v>
      </c>
      <c r="AF72" s="202" t="e">
        <f ca="1">IFERROR(ROUND(INDEX(P:P,MATCH($T72,$A:$A,0)),0),INDEX(PREVIVAZ!$C46:$N46,1,MATCH(AF$27,PREVIVAZ!$C$1:$N$1,1)))</f>
        <v>#N/A</v>
      </c>
      <c r="AG72" s="202" t="e">
        <f ca="1">IFERROR(ROUND(INDEX(Q:Q,MATCH($T72,$A:$A,0)),0),INDEX(PREVIVAZ!$C46:$N46,1,MATCH(AG$27,PREVIVAZ!$C$1:$N$1,1)))</f>
        <v>#N/A</v>
      </c>
    </row>
    <row r="73" spans="1:33" s="229" customFormat="1" ht="12.75" x14ac:dyDescent="0.2">
      <c r="A73" s="294">
        <v>270</v>
      </c>
      <c r="B73" s="282" t="str">
        <f t="shared" ref="B73" si="9">A73&amp;"_VN"</f>
        <v>270_VN</v>
      </c>
      <c r="C73" s="240" t="s">
        <v>162</v>
      </c>
      <c r="D73" s="241">
        <f>A73</f>
        <v>270</v>
      </c>
      <c r="E73" s="132">
        <f t="array" aca="1" ref="E73" ca="1">SUM(IFERROR(Propagações_TOT_TOCANTINS!$B$7:$BW$69*(Propagações_TOT_TOCANTINS!$B$6:$BW$6=$B73&amp;"A")*(Propagações_TOT_TOCANTINS!$A$7:$A$69&gt;=E$26)*(Propagações_TOT_TOCANTINS!$A$7:$A$69&lt;=E$27),0))</f>
        <v>538</v>
      </c>
      <c r="F73" s="132">
        <f t="array" aca="1" ref="F73" ca="1">SUM(IFERROR(Propagações_TOT_TOCANTINS!$B$7:$BW$69*(Propagações_TOT_TOCANTINS!$B$6:$BW$6=$B73&amp;"A")*(Propagações_TOT_TOCANTINS!$A$7:$A$69&gt;=F$26)*(Propagações_TOT_TOCANTINS!$A$7:$A$69&lt;=F$27),0))</f>
        <v>0</v>
      </c>
      <c r="G73" s="132">
        <f t="array" aca="1" ref="G73" ca="1">SUM(IFERROR(Propagações_TOT_TOCANTINS!$B$7:$BW$69*(Propagações_TOT_TOCANTINS!$B$6:$BW$6=$B73&amp;"A")*(Propagações_TOT_TOCANTINS!$A$7:$A$69&gt;=G$26)*(Propagações_TOT_TOCANTINS!$A$7:$A$69&lt;=G$27),0))</f>
        <v>0</v>
      </c>
      <c r="H73" s="132">
        <f t="array" aca="1" ref="H73" ca="1">SUM(IFERROR(Propagações_TOT_TOCANTINS!$B$7:$BW$69*(Propagações_TOT_TOCANTINS!$B$6:$BW$6=$B73&amp;"A")*(Propagações_TOT_TOCANTINS!$A$7:$A$69&gt;=H$26)*(Propagações_TOT_TOCANTINS!$A$7:$A$69&lt;=H$27),0))</f>
        <v>0</v>
      </c>
      <c r="I73" s="132">
        <f t="array" aca="1" ref="I73" ca="1">SUM(IFERROR(Propagações_TOT_TOCANTINS!$B$7:$BW$69*(Propagações_TOT_TOCANTINS!$B$6:$BW$6=$B73&amp;"A")*(Propagações_TOT_TOCANTINS!$A$7:$A$69&gt;=I$26)*(Propagações_TOT_TOCANTINS!$A$7:$A$69&lt;=I$27),0))</f>
        <v>0</v>
      </c>
      <c r="J73" s="132">
        <f t="array" aca="1" ref="J73" ca="1">SUM(IFERROR(Propagações_TOT_TOCANTINS!$B$7:$BW$69*(Propagações_TOT_TOCANTINS!$B$6:$BW$6=$B73&amp;"A")*(Propagações_TOT_TOCANTINS!$A$7:$A$69&gt;=J$26)*(Propagações_TOT_TOCANTINS!$A$7:$A$69&lt;=J$27),0))</f>
        <v>0</v>
      </c>
      <c r="K73" s="132">
        <f t="array" aca="1" ref="K73" ca="1">SUM(IFERROR(Propagações_TOT_TOCANTINS!$B$7:$BW$69*(Propagações_TOT_TOCANTINS!$B$6:$BW$6=$B73&amp;"A")*(Propagações_TOT_TOCANTINS!$A$7:$A$69&gt;=K$26)*(Propagações_TOT_TOCANTINS!$A$7:$A$69&lt;=K$27),0))</f>
        <v>0</v>
      </c>
      <c r="L73" s="132">
        <f t="array" aca="1" ref="L73" ca="1">SUM(IFERROR(Propagações_TOT_TOCANTINS!$B$7:$BW$69*(Propagações_TOT_TOCANTINS!$B$6:$BW$6=$B73&amp;"A")*(Propagações_TOT_TOCANTINS!$A$7:$A$69&gt;=L$26)*(Propagações_TOT_TOCANTINS!$A$7:$A$69&lt;=L$27),0))</f>
        <v>0</v>
      </c>
      <c r="M73" s="132">
        <f t="array" aca="1" ref="M73" ca="1">SUM(IFERROR(Propagações_TOT_TOCANTINS!$B$7:$BW$69*(Propagações_TOT_TOCANTINS!$B$6:$BW$6=$B73&amp;"A")*(Propagações_TOT_TOCANTINS!$A$7:$A$69&gt;=M$26)*(Propagações_TOT_TOCANTINS!$A$7:$A$69&lt;=M$27),0))</f>
        <v>0</v>
      </c>
      <c r="N73" s="132">
        <f t="array" aca="1" ref="N73" ca="1">SUM(IFERROR(Propagações_TOT_TOCANTINS!$B$7:$BW$69*(Propagações_TOT_TOCANTINS!$B$6:$BW$6=$B73&amp;"A")*(Propagações_TOT_TOCANTINS!$A$7:$A$69&gt;=N$26)*(Propagações_TOT_TOCANTINS!$A$7:$A$69&lt;=N$27),0))</f>
        <v>0</v>
      </c>
      <c r="O73" s="132">
        <f t="array" aca="1" ref="O73" ca="1">SUM(IFERROR(Propagações_TOT_TOCANTINS!$B$7:$BW$69*(Propagações_TOT_TOCANTINS!$B$6:$BW$6=$B73&amp;"A")*(Propagações_TOT_TOCANTINS!$A$7:$A$69&gt;=O$26)*(Propagações_TOT_TOCANTINS!$A$7:$A$69&lt;=O$27),0))</f>
        <v>0</v>
      </c>
      <c r="P73" s="132">
        <f t="array" aca="1" ref="P73" ca="1">SUM(IFERROR(Propagações_TOT_TOCANTINS!$B$7:$BW$69*(Propagações_TOT_TOCANTINS!$B$6:$BW$6=$B73&amp;"A")*(Propagações_TOT_TOCANTINS!$A$7:$A$69&gt;=P$26)*(Propagações_TOT_TOCANTINS!$A$7:$A$69&lt;=P$27),0))</f>
        <v>0</v>
      </c>
      <c r="Q73" s="132">
        <f t="array" aca="1" ref="Q73" ca="1">SUM(IFERROR(Propagações_TOT_TOCANTINS!$B$7:$BW$69*(Propagações_TOT_TOCANTINS!$B$6:$BW$6=$B73&amp;"A")*(Propagações_TOT_TOCANTINS!$A$7:$A$69&gt;=Q$26)*(Propagações_TOT_TOCANTINS!$A$7:$A$69&lt;=Q$27),0))</f>
        <v>0</v>
      </c>
      <c r="T73" s="272">
        <v>46</v>
      </c>
      <c r="U73" s="272"/>
      <c r="V73" s="202" t="e">
        <f ca="1">IFERROR(ROUND(INDEX(F:F,MATCH($T73,$A:$A,0)),0),INDEX(PREVIVAZ!$C47:$N47,1,MATCH(V$27,PREVIVAZ!$C$1:$N$1,1)))</f>
        <v>#N/A</v>
      </c>
      <c r="W73" s="202" t="e">
        <f ca="1">IFERROR(ROUND(INDEX(G:G,MATCH($T73,$A:$A,0)),0),INDEX(PREVIVAZ!$C47:$N47,1,MATCH(W$27,PREVIVAZ!$C$1:$N$1,1)))</f>
        <v>#N/A</v>
      </c>
      <c r="X73" s="202" t="e">
        <f ca="1">IFERROR(ROUND(INDEX(H:H,MATCH($T73,$A:$A,0)),0),INDEX(PREVIVAZ!$C47:$N47,1,MATCH(X$27,PREVIVAZ!$C$1:$N$1,1)))</f>
        <v>#N/A</v>
      </c>
      <c r="Y73" s="202" t="e">
        <f ca="1">IFERROR(ROUND(INDEX(I:I,MATCH($T73,$A:$A,0)),0),INDEX(PREVIVAZ!$C47:$N47,1,MATCH(Y$27,PREVIVAZ!$C$1:$N$1,1)))</f>
        <v>#N/A</v>
      </c>
      <c r="Z73" s="202" t="e">
        <f ca="1">IFERROR(ROUND(INDEX(J:J,MATCH($T73,$A:$A,0)),0),INDEX(PREVIVAZ!$C47:$N47,1,MATCH(Z$27,PREVIVAZ!$C$1:$N$1,1)))</f>
        <v>#N/A</v>
      </c>
      <c r="AA73" s="202" t="e">
        <f ca="1">IFERROR(ROUND(INDEX(K:K,MATCH($T73,$A:$A,0)),0),INDEX(PREVIVAZ!$C47:$N47,1,MATCH(AA$27,PREVIVAZ!$C$1:$N$1,1)))</f>
        <v>#N/A</v>
      </c>
      <c r="AB73" s="202" t="e">
        <f ca="1">IFERROR(ROUND(INDEX(L:L,MATCH($T73,$A:$A,0)),0),INDEX(PREVIVAZ!$C47:$N47,1,MATCH(AB$27,PREVIVAZ!$C$1:$N$1,1)))</f>
        <v>#N/A</v>
      </c>
      <c r="AC73" s="202" t="e">
        <f ca="1">IFERROR(ROUND(INDEX(M:M,MATCH($T73,$A:$A,0)),0),INDEX(PREVIVAZ!$C47:$N47,1,MATCH(AC$27,PREVIVAZ!$C$1:$N$1,1)))</f>
        <v>#N/A</v>
      </c>
      <c r="AD73" s="202" t="e">
        <f ca="1">IFERROR(ROUND(INDEX(N:N,MATCH($T73,$A:$A,0)),0),INDEX(PREVIVAZ!$C47:$N47,1,MATCH(AD$27,PREVIVAZ!$C$1:$N$1,1)))</f>
        <v>#N/A</v>
      </c>
      <c r="AE73" s="202" t="e">
        <f ca="1">IFERROR(ROUND(INDEX(O:O,MATCH($T73,$A:$A,0)),0),INDEX(PREVIVAZ!$C47:$N47,1,MATCH(AE$27,PREVIVAZ!$C$1:$N$1,1)))</f>
        <v>#N/A</v>
      </c>
      <c r="AF73" s="202" t="e">
        <f ca="1">IFERROR(ROUND(INDEX(P:P,MATCH($T73,$A:$A,0)),0),INDEX(PREVIVAZ!$C47:$N47,1,MATCH(AF$27,PREVIVAZ!$C$1:$N$1,1)))</f>
        <v>#N/A</v>
      </c>
      <c r="AG73" s="202" t="e">
        <f ca="1">IFERROR(ROUND(INDEX(Q:Q,MATCH($T73,$A:$A,0)),0),INDEX(PREVIVAZ!$C47:$N47,1,MATCH(AG$27,PREVIVAZ!$C$1:$N$1,1)))</f>
        <v>#N/A</v>
      </c>
    </row>
    <row r="74" spans="1:33" s="229" customFormat="1" ht="12.75" x14ac:dyDescent="0.2">
      <c r="A74" s="272"/>
      <c r="B74" s="272"/>
      <c r="C74" s="272"/>
      <c r="D74" s="240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T74" s="272">
        <v>47</v>
      </c>
      <c r="U74" s="272"/>
      <c r="V74" s="202">
        <f ca="1">IFERROR(ROUND(INDEX(F:F,MATCH($T74,$A:$A,0)),0),INDEX(PREVIVAZ!$C48:$N48,1,MATCH(V$27,PREVIVAZ!$C$1:$N$1,1)))</f>
        <v>0</v>
      </c>
      <c r="W74" s="202">
        <f ca="1">IFERROR(ROUND(INDEX(G:G,MATCH($T74,$A:$A,0)),0),INDEX(PREVIVAZ!$C48:$N48,1,MATCH(W$27,PREVIVAZ!$C$1:$N$1,1)))</f>
        <v>0</v>
      </c>
      <c r="X74" s="202">
        <f ca="1">IFERROR(ROUND(INDEX(H:H,MATCH($T74,$A:$A,0)),0),INDEX(PREVIVAZ!$C48:$N48,1,MATCH(X$27,PREVIVAZ!$C$1:$N$1,1)))</f>
        <v>0</v>
      </c>
      <c r="Y74" s="202">
        <f ca="1">IFERROR(ROUND(INDEX(I:I,MATCH($T74,$A:$A,0)),0),INDEX(PREVIVAZ!$C48:$N48,1,MATCH(Y$27,PREVIVAZ!$C$1:$N$1,1)))</f>
        <v>0</v>
      </c>
      <c r="Z74" s="202">
        <f ca="1">IFERROR(ROUND(INDEX(J:J,MATCH($T74,$A:$A,0)),0),INDEX(PREVIVAZ!$C48:$N48,1,MATCH(Z$27,PREVIVAZ!$C$1:$N$1,1)))</f>
        <v>0</v>
      </c>
      <c r="AA74" s="202">
        <f ca="1">IFERROR(ROUND(INDEX(K:K,MATCH($T74,$A:$A,0)),0),INDEX(PREVIVAZ!$C48:$N48,1,MATCH(AA$27,PREVIVAZ!$C$1:$N$1,1)))</f>
        <v>0</v>
      </c>
      <c r="AB74" s="202">
        <f ca="1">IFERROR(ROUND(INDEX(L:L,MATCH($T74,$A:$A,0)),0),INDEX(PREVIVAZ!$C48:$N48,1,MATCH(AB$27,PREVIVAZ!$C$1:$N$1,1)))</f>
        <v>0</v>
      </c>
      <c r="AC74" s="202">
        <f ca="1">IFERROR(ROUND(INDEX(M:M,MATCH($T74,$A:$A,0)),0),INDEX(PREVIVAZ!$C48:$N48,1,MATCH(AC$27,PREVIVAZ!$C$1:$N$1,1)))</f>
        <v>0</v>
      </c>
      <c r="AD74" s="202">
        <f ca="1">IFERROR(ROUND(INDEX(N:N,MATCH($T74,$A:$A,0)),0),INDEX(PREVIVAZ!$C48:$N48,1,MATCH(AD$27,PREVIVAZ!$C$1:$N$1,1)))</f>
        <v>0</v>
      </c>
      <c r="AE74" s="202">
        <f ca="1">IFERROR(ROUND(INDEX(O:O,MATCH($T74,$A:$A,0)),0),INDEX(PREVIVAZ!$C48:$N48,1,MATCH(AE$27,PREVIVAZ!$C$1:$N$1,1)))</f>
        <v>0</v>
      </c>
      <c r="AF74" s="202">
        <f ca="1">IFERROR(ROUND(INDEX(P:P,MATCH($T74,$A:$A,0)),0),INDEX(PREVIVAZ!$C48:$N48,1,MATCH(AF$27,PREVIVAZ!$C$1:$N$1,1)))</f>
        <v>0</v>
      </c>
      <c r="AG74" s="202">
        <f ca="1">IFERROR(ROUND(INDEX(Q:Q,MATCH($T74,$A:$A,0)),0),INDEX(PREVIVAZ!$C48:$N48,1,MATCH(AG$27,PREVIVAZ!$C$1:$N$1,1)))</f>
        <v>0</v>
      </c>
    </row>
    <row r="75" spans="1:33" s="229" customFormat="1" ht="12.75" x14ac:dyDescent="0.2">
      <c r="A75" s="272"/>
      <c r="B75" s="272"/>
      <c r="C75" s="272"/>
      <c r="D75" s="27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T75" s="272">
        <v>48</v>
      </c>
      <c r="U75" s="272"/>
      <c r="V75" s="202">
        <f ca="1">IFERROR(ROUND(INDEX(F:F,MATCH($T75,$A:$A,0)),0),INDEX(PREVIVAZ!$C49:$N49,1,MATCH(V$27,PREVIVAZ!$C$1:$N$1,1)))</f>
        <v>0</v>
      </c>
      <c r="W75" s="202">
        <f ca="1">IFERROR(ROUND(INDEX(G:G,MATCH($T75,$A:$A,0)),0),INDEX(PREVIVAZ!$C49:$N49,1,MATCH(W$27,PREVIVAZ!$C$1:$N$1,1)))</f>
        <v>0</v>
      </c>
      <c r="X75" s="202">
        <f ca="1">IFERROR(ROUND(INDEX(H:H,MATCH($T75,$A:$A,0)),0),INDEX(PREVIVAZ!$C49:$N49,1,MATCH(X$27,PREVIVAZ!$C$1:$N$1,1)))</f>
        <v>0</v>
      </c>
      <c r="Y75" s="202">
        <f ca="1">IFERROR(ROUND(INDEX(I:I,MATCH($T75,$A:$A,0)),0),INDEX(PREVIVAZ!$C49:$N49,1,MATCH(Y$27,PREVIVAZ!$C$1:$N$1,1)))</f>
        <v>0</v>
      </c>
      <c r="Z75" s="202">
        <f ca="1">IFERROR(ROUND(INDEX(J:J,MATCH($T75,$A:$A,0)),0),INDEX(PREVIVAZ!$C49:$N49,1,MATCH(Z$27,PREVIVAZ!$C$1:$N$1,1)))</f>
        <v>0</v>
      </c>
      <c r="AA75" s="202">
        <f ca="1">IFERROR(ROUND(INDEX(K:K,MATCH($T75,$A:$A,0)),0),INDEX(PREVIVAZ!$C49:$N49,1,MATCH(AA$27,PREVIVAZ!$C$1:$N$1,1)))</f>
        <v>0</v>
      </c>
      <c r="AB75" s="202">
        <f ca="1">IFERROR(ROUND(INDEX(L:L,MATCH($T75,$A:$A,0)),0),INDEX(PREVIVAZ!$C49:$N49,1,MATCH(AB$27,PREVIVAZ!$C$1:$N$1,1)))</f>
        <v>0</v>
      </c>
      <c r="AC75" s="202">
        <f ca="1">IFERROR(ROUND(INDEX(M:M,MATCH($T75,$A:$A,0)),0),INDEX(PREVIVAZ!$C49:$N49,1,MATCH(AC$27,PREVIVAZ!$C$1:$N$1,1)))</f>
        <v>0</v>
      </c>
      <c r="AD75" s="202">
        <f ca="1">IFERROR(ROUND(INDEX(N:N,MATCH($T75,$A:$A,0)),0),INDEX(PREVIVAZ!$C49:$N49,1,MATCH(AD$27,PREVIVAZ!$C$1:$N$1,1)))</f>
        <v>0</v>
      </c>
      <c r="AE75" s="202">
        <f ca="1">IFERROR(ROUND(INDEX(O:O,MATCH($T75,$A:$A,0)),0),INDEX(PREVIVAZ!$C49:$N49,1,MATCH(AE$27,PREVIVAZ!$C$1:$N$1,1)))</f>
        <v>0</v>
      </c>
      <c r="AF75" s="202">
        <f ca="1">IFERROR(ROUND(INDEX(P:P,MATCH($T75,$A:$A,0)),0),INDEX(PREVIVAZ!$C49:$N49,1,MATCH(AF$27,PREVIVAZ!$C$1:$N$1,1)))</f>
        <v>0</v>
      </c>
      <c r="AG75" s="202">
        <f ca="1">IFERROR(ROUND(INDEX(Q:Q,MATCH($T75,$A:$A,0)),0),INDEX(PREVIVAZ!$C49:$N49,1,MATCH(AG$27,PREVIVAZ!$C$1:$N$1,1)))</f>
        <v>0</v>
      </c>
    </row>
    <row r="76" spans="1:33" s="229" customFormat="1" ht="12.75" x14ac:dyDescent="0.2">
      <c r="A76" s="294">
        <v>117</v>
      </c>
      <c r="B76" s="283" t="str">
        <f t="shared" ref="B76:B82" si="10">A76&amp;"_VN"</f>
        <v>117_VN</v>
      </c>
      <c r="C76" s="272" t="s">
        <v>207</v>
      </c>
      <c r="D76" s="241">
        <f t="shared" ref="D76:D82" si="11">A76</f>
        <v>117</v>
      </c>
      <c r="E76" s="22">
        <f t="array" aca="1" ref="E76" ca="1">SUM(IFERROR(Propagações_TOT_TIETE!$B$7:$BW$69*(Propagações_TOT_TIETE!$B$6:$BW$6=$B76&amp;"A")*(Propagações_TOT_TIETE!$A$7:$A$69=E$26),0))</f>
        <v>33</v>
      </c>
      <c r="F76" s="22">
        <f t="array" aca="1" ref="F76" ca="1">SUM(IFERROR(Propagações_TOT_TIETE!$B$7:$BW$69*(Propagações_TOT_TIETE!$B$6:$BW$6=$B76&amp;"A")*(Propagações_TOT_TIETE!$A$7:$A$69=F$26),0))</f>
        <v>0</v>
      </c>
      <c r="G76" s="22">
        <f t="array" aca="1" ref="G76" ca="1">SUM(IFERROR(Propagações_TOT_TIETE!$B$7:$BW$69*(Propagações_TOT_TIETE!$B$6:$BW$6=$B76&amp;"A")*(Propagações_TOT_TIETE!$A$7:$A$69=G$26),0))</f>
        <v>0</v>
      </c>
      <c r="H76" s="22">
        <f t="array" aca="1" ref="H76" ca="1">SUM(IFERROR(Propagações_TOT_TIETE!$B$7:$BW$69*(Propagações_TOT_TIETE!$B$6:$BW$6=$B76&amp;"A")*(Propagações_TOT_TIETE!$A$7:$A$69=H$26),0))</f>
        <v>0</v>
      </c>
      <c r="I76" s="22">
        <f t="array" aca="1" ref="I76" ca="1">SUM(IFERROR(Propagações_TOT_TIETE!$B$7:$BW$69*(Propagações_TOT_TIETE!$B$6:$BW$6=$B76&amp;"A")*(Propagações_TOT_TIETE!$A$7:$A$69=I$26),0))</f>
        <v>0</v>
      </c>
      <c r="J76" s="22">
        <f t="array" aca="1" ref="J76" ca="1">SUM(IFERROR(Propagações_TOT_TIETE!$B$7:$BW$69*(Propagações_TOT_TIETE!$B$6:$BW$6=$B76&amp;"A")*(Propagações_TOT_TIETE!$A$7:$A$69=J$26),0))</f>
        <v>0</v>
      </c>
      <c r="K76" s="22">
        <f t="array" aca="1" ref="K76" ca="1">SUM(IFERROR(Propagações_TOT_TIETE!$B$7:$BW$69*(Propagações_TOT_TIETE!$B$6:$BW$6=$B76&amp;"A")*(Propagações_TOT_TIETE!$A$7:$A$69=K$26),0))</f>
        <v>0</v>
      </c>
      <c r="L76" s="22">
        <f t="array" aca="1" ref="L76" ca="1">SUM(IFERROR(Propagações_TOT_TIETE!$B$7:$BW$69*(Propagações_TOT_TIETE!$B$6:$BW$6=$B76&amp;"A")*(Propagações_TOT_TIETE!$A$7:$A$69=L$26),0))</f>
        <v>0</v>
      </c>
      <c r="M76" s="22">
        <f t="array" aca="1" ref="M76" ca="1">SUM(IFERROR(Propagações_TOT_TIETE!$B$7:$BW$69*(Propagações_TOT_TIETE!$B$6:$BW$6=$B76&amp;"A")*(Propagações_TOT_TIETE!$A$7:$A$69=M$26),0))</f>
        <v>0</v>
      </c>
      <c r="N76" s="22">
        <f t="array" aca="1" ref="N76" ca="1">SUM(IFERROR(Propagações_TOT_TIETE!$B$7:$BW$69*(Propagações_TOT_TIETE!$B$6:$BW$6=$B76&amp;"A")*(Propagações_TOT_TIETE!$A$7:$A$69=N$26),0))</f>
        <v>0</v>
      </c>
      <c r="O76" s="22">
        <f t="array" aca="1" ref="O76" ca="1">SUM(IFERROR(Propagações_TOT_TIETE!$B$7:$BW$69*(Propagações_TOT_TIETE!$B$6:$BW$6=$B76&amp;"A")*(Propagações_TOT_TIETE!$A$7:$A$69=O$26),0))</f>
        <v>0</v>
      </c>
      <c r="P76" s="22">
        <f t="array" aca="1" ref="P76" ca="1">SUM(IFERROR(Propagações_TOT_TIETE!$B$7:$BW$69*(Propagações_TOT_TIETE!$B$6:$BW$6=$B76&amp;"A")*(Propagações_TOT_TIETE!$A$7:$A$69=P$26),0))</f>
        <v>0</v>
      </c>
      <c r="Q76" s="22">
        <f t="array" aca="1" ref="Q76" ca="1">SUM(IFERROR(Propagações_TOT_TIETE!$B$7:$BW$69*(Propagações_TOT_TIETE!$B$6:$BW$6=$B76&amp;"A")*(Propagações_TOT_TIETE!$A$7:$A$69=Q$26),0))</f>
        <v>0</v>
      </c>
      <c r="T76" s="272">
        <v>49</v>
      </c>
      <c r="U76" s="272"/>
      <c r="V76" s="202">
        <f ca="1">IFERROR(ROUND(INDEX(F:F,MATCH($T76,$A:$A,0)),0),INDEX(PREVIVAZ!$C50:$N50,1,MATCH(V$27,PREVIVAZ!$C$1:$N$1,1)))</f>
        <v>0</v>
      </c>
      <c r="W76" s="202">
        <f ca="1">IFERROR(ROUND(INDEX(G:G,MATCH($T76,$A:$A,0)),0),INDEX(PREVIVAZ!$C50:$N50,1,MATCH(W$27,PREVIVAZ!$C$1:$N$1,1)))</f>
        <v>0</v>
      </c>
      <c r="X76" s="202">
        <f ca="1">IFERROR(ROUND(INDEX(H:H,MATCH($T76,$A:$A,0)),0),INDEX(PREVIVAZ!$C50:$N50,1,MATCH(X$27,PREVIVAZ!$C$1:$N$1,1)))</f>
        <v>0</v>
      </c>
      <c r="Y76" s="202">
        <f ca="1">IFERROR(ROUND(INDEX(I:I,MATCH($T76,$A:$A,0)),0),INDEX(PREVIVAZ!$C50:$N50,1,MATCH(Y$27,PREVIVAZ!$C$1:$N$1,1)))</f>
        <v>0</v>
      </c>
      <c r="Z76" s="202">
        <f ca="1">IFERROR(ROUND(INDEX(J:J,MATCH($T76,$A:$A,0)),0),INDEX(PREVIVAZ!$C50:$N50,1,MATCH(Z$27,PREVIVAZ!$C$1:$N$1,1)))</f>
        <v>0</v>
      </c>
      <c r="AA76" s="202">
        <f ca="1">IFERROR(ROUND(INDEX(K:K,MATCH($T76,$A:$A,0)),0),INDEX(PREVIVAZ!$C50:$N50,1,MATCH(AA$27,PREVIVAZ!$C$1:$N$1,1)))</f>
        <v>0</v>
      </c>
      <c r="AB76" s="202">
        <f ca="1">IFERROR(ROUND(INDEX(L:L,MATCH($T76,$A:$A,0)),0),INDEX(PREVIVAZ!$C50:$N50,1,MATCH(AB$27,PREVIVAZ!$C$1:$N$1,1)))</f>
        <v>0</v>
      </c>
      <c r="AC76" s="202">
        <f ca="1">IFERROR(ROUND(INDEX(M:M,MATCH($T76,$A:$A,0)),0),INDEX(PREVIVAZ!$C50:$N50,1,MATCH(AC$27,PREVIVAZ!$C$1:$N$1,1)))</f>
        <v>0</v>
      </c>
      <c r="AD76" s="202">
        <f ca="1">IFERROR(ROUND(INDEX(N:N,MATCH($T76,$A:$A,0)),0),INDEX(PREVIVAZ!$C50:$N50,1,MATCH(AD$27,PREVIVAZ!$C$1:$N$1,1)))</f>
        <v>0</v>
      </c>
      <c r="AE76" s="202">
        <f ca="1">IFERROR(ROUND(INDEX(O:O,MATCH($T76,$A:$A,0)),0),INDEX(PREVIVAZ!$C50:$N50,1,MATCH(AE$27,PREVIVAZ!$C$1:$N$1,1)))</f>
        <v>0</v>
      </c>
      <c r="AF76" s="202">
        <f ca="1">IFERROR(ROUND(INDEX(P:P,MATCH($T76,$A:$A,0)),0),INDEX(PREVIVAZ!$C50:$N50,1,MATCH(AF$27,PREVIVAZ!$C$1:$N$1,1)))</f>
        <v>0</v>
      </c>
      <c r="AG76" s="202">
        <f ca="1">IFERROR(ROUND(INDEX(Q:Q,MATCH($T76,$A:$A,0)),0),INDEX(PREVIVAZ!$C50:$N50,1,MATCH(AG$27,PREVIVAZ!$C$1:$N$1,1)))</f>
        <v>0</v>
      </c>
    </row>
    <row r="77" spans="1:33" s="229" customFormat="1" ht="12.75" x14ac:dyDescent="0.2">
      <c r="A77" s="294">
        <v>119</v>
      </c>
      <c r="B77" s="283" t="str">
        <f t="shared" si="10"/>
        <v>119_VN</v>
      </c>
      <c r="C77" s="272" t="s">
        <v>211</v>
      </c>
      <c r="D77" s="241">
        <f t="shared" si="11"/>
        <v>119</v>
      </c>
      <c r="E77" s="22">
        <f t="array" aca="1" ref="E77" ca="1">SUM(IFERROR(Propagações_TOT_TIETE!$B$7:$BW$69*(Propagações_TOT_TIETE!$B$6:$BW$6=$B77&amp;"A")*(Propagações_TOT_TIETE!$A$7:$A$69=E$26),0))</f>
        <v>27</v>
      </c>
      <c r="F77" s="22">
        <f t="array" aca="1" ref="F77" ca="1">SUM(IFERROR(Propagações_TOT_TIETE!$B$7:$BW$69*(Propagações_TOT_TIETE!$B$6:$BW$6=$B77&amp;"A")*(Propagações_TOT_TIETE!$A$7:$A$69=F$26),0))</f>
        <v>0</v>
      </c>
      <c r="G77" s="22">
        <f t="array" aca="1" ref="G77" ca="1">SUM(IFERROR(Propagações_TOT_TIETE!$B$7:$BW$69*(Propagações_TOT_TIETE!$B$6:$BW$6=$B77&amp;"A")*(Propagações_TOT_TIETE!$A$7:$A$69=G$26),0))</f>
        <v>0</v>
      </c>
      <c r="H77" s="22">
        <f t="array" aca="1" ref="H77" ca="1">SUM(IFERROR(Propagações_TOT_TIETE!$B$7:$BW$69*(Propagações_TOT_TIETE!$B$6:$BW$6=$B77&amp;"A")*(Propagações_TOT_TIETE!$A$7:$A$69=H$26),0))</f>
        <v>0</v>
      </c>
      <c r="I77" s="22">
        <f t="array" aca="1" ref="I77" ca="1">SUM(IFERROR(Propagações_TOT_TIETE!$B$7:$BW$69*(Propagações_TOT_TIETE!$B$6:$BW$6=$B77&amp;"A")*(Propagações_TOT_TIETE!$A$7:$A$69=I$26),0))</f>
        <v>0</v>
      </c>
      <c r="J77" s="22">
        <f t="array" aca="1" ref="J77" ca="1">SUM(IFERROR(Propagações_TOT_TIETE!$B$7:$BW$69*(Propagações_TOT_TIETE!$B$6:$BW$6=$B77&amp;"A")*(Propagações_TOT_TIETE!$A$7:$A$69=J$26),0))</f>
        <v>0</v>
      </c>
      <c r="K77" s="22">
        <f t="array" aca="1" ref="K77" ca="1">SUM(IFERROR(Propagações_TOT_TIETE!$B$7:$BW$69*(Propagações_TOT_TIETE!$B$6:$BW$6=$B77&amp;"A")*(Propagações_TOT_TIETE!$A$7:$A$69=K$26),0))</f>
        <v>0</v>
      </c>
      <c r="L77" s="22">
        <f t="array" aca="1" ref="L77" ca="1">SUM(IFERROR(Propagações_TOT_TIETE!$B$7:$BW$69*(Propagações_TOT_TIETE!$B$6:$BW$6=$B77&amp;"A")*(Propagações_TOT_TIETE!$A$7:$A$69=L$26),0))</f>
        <v>0</v>
      </c>
      <c r="M77" s="22">
        <f t="array" aca="1" ref="M77" ca="1">SUM(IFERROR(Propagações_TOT_TIETE!$B$7:$BW$69*(Propagações_TOT_TIETE!$B$6:$BW$6=$B77&amp;"A")*(Propagações_TOT_TIETE!$A$7:$A$69=M$26),0))</f>
        <v>0</v>
      </c>
      <c r="N77" s="22">
        <f t="array" aca="1" ref="N77" ca="1">SUM(IFERROR(Propagações_TOT_TIETE!$B$7:$BW$69*(Propagações_TOT_TIETE!$B$6:$BW$6=$B77&amp;"A")*(Propagações_TOT_TIETE!$A$7:$A$69=N$26),0))</f>
        <v>0</v>
      </c>
      <c r="O77" s="22">
        <f t="array" aca="1" ref="O77" ca="1">SUM(IFERROR(Propagações_TOT_TIETE!$B$7:$BW$69*(Propagações_TOT_TIETE!$B$6:$BW$6=$B77&amp;"A")*(Propagações_TOT_TIETE!$A$7:$A$69=O$26),0))</f>
        <v>0</v>
      </c>
      <c r="P77" s="22">
        <f t="array" aca="1" ref="P77" ca="1">SUM(IFERROR(Propagações_TOT_TIETE!$B$7:$BW$69*(Propagações_TOT_TIETE!$B$6:$BW$6=$B77&amp;"A")*(Propagações_TOT_TIETE!$A$7:$A$69=P$26),0))</f>
        <v>0</v>
      </c>
      <c r="Q77" s="22">
        <f t="array" aca="1" ref="Q77" ca="1">SUM(IFERROR(Propagações_TOT_TIETE!$B$7:$BW$69*(Propagações_TOT_TIETE!$B$6:$BW$6=$B77&amp;"A")*(Propagações_TOT_TIETE!$A$7:$A$69=Q$26),0))</f>
        <v>0</v>
      </c>
      <c r="T77" s="272">
        <v>50</v>
      </c>
      <c r="U77" s="272"/>
      <c r="V77" s="202">
        <f ca="1">IFERROR(ROUND(INDEX(F:F,MATCH($T77,$A:$A,0)),0),INDEX(PREVIVAZ!$C51:$N51,1,MATCH(V$27,PREVIVAZ!$C$1:$N$1,1)))</f>
        <v>0</v>
      </c>
      <c r="W77" s="202">
        <f ca="1">IFERROR(ROUND(INDEX(G:G,MATCH($T77,$A:$A,0)),0),INDEX(PREVIVAZ!$C51:$N51,1,MATCH(W$27,PREVIVAZ!$C$1:$N$1,1)))</f>
        <v>0</v>
      </c>
      <c r="X77" s="202">
        <f ca="1">IFERROR(ROUND(INDEX(H:H,MATCH($T77,$A:$A,0)),0),INDEX(PREVIVAZ!$C51:$N51,1,MATCH(X$27,PREVIVAZ!$C$1:$N$1,1)))</f>
        <v>0</v>
      </c>
      <c r="Y77" s="202">
        <f ca="1">IFERROR(ROUND(INDEX(I:I,MATCH($T77,$A:$A,0)),0),INDEX(PREVIVAZ!$C51:$N51,1,MATCH(Y$27,PREVIVAZ!$C$1:$N$1,1)))</f>
        <v>0</v>
      </c>
      <c r="Z77" s="202">
        <f ca="1">IFERROR(ROUND(INDEX(J:J,MATCH($T77,$A:$A,0)),0),INDEX(PREVIVAZ!$C51:$N51,1,MATCH(Z$27,PREVIVAZ!$C$1:$N$1,1)))</f>
        <v>0</v>
      </c>
      <c r="AA77" s="202">
        <f ca="1">IFERROR(ROUND(INDEX(K:K,MATCH($T77,$A:$A,0)),0),INDEX(PREVIVAZ!$C51:$N51,1,MATCH(AA$27,PREVIVAZ!$C$1:$N$1,1)))</f>
        <v>0</v>
      </c>
      <c r="AB77" s="202">
        <f ca="1">IFERROR(ROUND(INDEX(L:L,MATCH($T77,$A:$A,0)),0),INDEX(PREVIVAZ!$C51:$N51,1,MATCH(AB$27,PREVIVAZ!$C$1:$N$1,1)))</f>
        <v>0</v>
      </c>
      <c r="AC77" s="202">
        <f ca="1">IFERROR(ROUND(INDEX(M:M,MATCH($T77,$A:$A,0)),0),INDEX(PREVIVAZ!$C51:$N51,1,MATCH(AC$27,PREVIVAZ!$C$1:$N$1,1)))</f>
        <v>0</v>
      </c>
      <c r="AD77" s="202">
        <f ca="1">IFERROR(ROUND(INDEX(N:N,MATCH($T77,$A:$A,0)),0),INDEX(PREVIVAZ!$C51:$N51,1,MATCH(AD$27,PREVIVAZ!$C$1:$N$1,1)))</f>
        <v>0</v>
      </c>
      <c r="AE77" s="202">
        <f ca="1">IFERROR(ROUND(INDEX(O:O,MATCH($T77,$A:$A,0)),0),INDEX(PREVIVAZ!$C51:$N51,1,MATCH(AE$27,PREVIVAZ!$C$1:$N$1,1)))</f>
        <v>0</v>
      </c>
      <c r="AF77" s="202">
        <f ca="1">IFERROR(ROUND(INDEX(P:P,MATCH($T77,$A:$A,0)),0),INDEX(PREVIVAZ!$C51:$N51,1,MATCH(AF$27,PREVIVAZ!$C$1:$N$1,1)))</f>
        <v>0</v>
      </c>
      <c r="AG77" s="202">
        <f ca="1">IFERROR(ROUND(INDEX(Q:Q,MATCH($T77,$A:$A,0)),0),INDEX(PREVIVAZ!$C51:$N51,1,MATCH(AG$27,PREVIVAZ!$C$1:$N$1,1)))</f>
        <v>0</v>
      </c>
    </row>
    <row r="78" spans="1:33" s="229" customFormat="1" ht="12.75" x14ac:dyDescent="0.2">
      <c r="A78" s="294">
        <v>160</v>
      </c>
      <c r="B78" s="283" t="str">
        <f t="shared" si="10"/>
        <v>160_VN</v>
      </c>
      <c r="C78" s="272" t="s">
        <v>213</v>
      </c>
      <c r="D78" s="241">
        <f t="shared" si="11"/>
        <v>160</v>
      </c>
      <c r="E78" s="22">
        <f t="array" aca="1" ref="E78" ca="1">SUM(IFERROR(Propagações_TOT_TIETE!$B$7:$BW$69*(Propagações_TOT_TIETE!$B$6:$BW$6=$B78&amp;"A")*(Propagações_TOT_TIETE!$A$7:$A$69=E$26),0))</f>
        <v>8</v>
      </c>
      <c r="F78" s="22">
        <f t="array" aca="1" ref="F78" ca="1">SUM(IFERROR(Propagações_TOT_TIETE!$B$7:$BW$69*(Propagações_TOT_TIETE!$B$6:$BW$6=$B78&amp;"A")*(Propagações_TOT_TIETE!$A$7:$A$69=F$26),0))</f>
        <v>0</v>
      </c>
      <c r="G78" s="22">
        <f t="array" aca="1" ref="G78" ca="1">SUM(IFERROR(Propagações_TOT_TIETE!$B$7:$BW$69*(Propagações_TOT_TIETE!$B$6:$BW$6=$B78&amp;"A")*(Propagações_TOT_TIETE!$A$7:$A$69=G$26),0))</f>
        <v>0</v>
      </c>
      <c r="H78" s="22">
        <f t="array" aca="1" ref="H78" ca="1">SUM(IFERROR(Propagações_TOT_TIETE!$B$7:$BW$69*(Propagações_TOT_TIETE!$B$6:$BW$6=$B78&amp;"A")*(Propagações_TOT_TIETE!$A$7:$A$69=H$26),0))</f>
        <v>0</v>
      </c>
      <c r="I78" s="22">
        <f t="array" aca="1" ref="I78" ca="1">SUM(IFERROR(Propagações_TOT_TIETE!$B$7:$BW$69*(Propagações_TOT_TIETE!$B$6:$BW$6=$B78&amp;"A")*(Propagações_TOT_TIETE!$A$7:$A$69=I$26),0))</f>
        <v>0</v>
      </c>
      <c r="J78" s="22">
        <f t="array" aca="1" ref="J78" ca="1">SUM(IFERROR(Propagações_TOT_TIETE!$B$7:$BW$69*(Propagações_TOT_TIETE!$B$6:$BW$6=$B78&amp;"A")*(Propagações_TOT_TIETE!$A$7:$A$69=J$26),0))</f>
        <v>0</v>
      </c>
      <c r="K78" s="22">
        <f t="array" aca="1" ref="K78" ca="1">SUM(IFERROR(Propagações_TOT_TIETE!$B$7:$BW$69*(Propagações_TOT_TIETE!$B$6:$BW$6=$B78&amp;"A")*(Propagações_TOT_TIETE!$A$7:$A$69=K$26),0))</f>
        <v>0</v>
      </c>
      <c r="L78" s="22">
        <f t="array" aca="1" ref="L78" ca="1">SUM(IFERROR(Propagações_TOT_TIETE!$B$7:$BW$69*(Propagações_TOT_TIETE!$B$6:$BW$6=$B78&amp;"A")*(Propagações_TOT_TIETE!$A$7:$A$69=L$26),0))</f>
        <v>0</v>
      </c>
      <c r="M78" s="22">
        <f t="array" aca="1" ref="M78" ca="1">SUM(IFERROR(Propagações_TOT_TIETE!$B$7:$BW$69*(Propagações_TOT_TIETE!$B$6:$BW$6=$B78&amp;"A")*(Propagações_TOT_TIETE!$A$7:$A$69=M$26),0))</f>
        <v>0</v>
      </c>
      <c r="N78" s="22">
        <f t="array" aca="1" ref="N78" ca="1">SUM(IFERROR(Propagações_TOT_TIETE!$B$7:$BW$69*(Propagações_TOT_TIETE!$B$6:$BW$6=$B78&amp;"A")*(Propagações_TOT_TIETE!$A$7:$A$69=N$26),0))</f>
        <v>0</v>
      </c>
      <c r="O78" s="22">
        <f t="array" aca="1" ref="O78" ca="1">SUM(IFERROR(Propagações_TOT_TIETE!$B$7:$BW$69*(Propagações_TOT_TIETE!$B$6:$BW$6=$B78&amp;"A")*(Propagações_TOT_TIETE!$A$7:$A$69=O$26),0))</f>
        <v>0</v>
      </c>
      <c r="P78" s="22">
        <f t="array" aca="1" ref="P78" ca="1">SUM(IFERROR(Propagações_TOT_TIETE!$B$7:$BW$69*(Propagações_TOT_TIETE!$B$6:$BW$6=$B78&amp;"A")*(Propagações_TOT_TIETE!$A$7:$A$69=P$26),0))</f>
        <v>0</v>
      </c>
      <c r="Q78" s="22">
        <f t="array" aca="1" ref="Q78" ca="1">SUM(IFERROR(Propagações_TOT_TIETE!$B$7:$BW$69*(Propagações_TOT_TIETE!$B$6:$BW$6=$B78&amp;"A")*(Propagações_TOT_TIETE!$A$7:$A$69=Q$26),0))</f>
        <v>0</v>
      </c>
      <c r="T78" s="272">
        <v>51</v>
      </c>
      <c r="U78" s="272"/>
      <c r="V78" s="202">
        <f ca="1">IFERROR(ROUND(INDEX(F:F,MATCH($T78,$A:$A,0)),0),INDEX(PREVIVAZ!$C52:$N52,1,MATCH(V$27,PREVIVAZ!$C$1:$N$1,1)))</f>
        <v>0</v>
      </c>
      <c r="W78" s="202">
        <f ca="1">IFERROR(ROUND(INDEX(G:G,MATCH($T78,$A:$A,0)),0),INDEX(PREVIVAZ!$C52:$N52,1,MATCH(W$27,PREVIVAZ!$C$1:$N$1,1)))</f>
        <v>0</v>
      </c>
      <c r="X78" s="202">
        <f ca="1">IFERROR(ROUND(INDEX(H:H,MATCH($T78,$A:$A,0)),0),INDEX(PREVIVAZ!$C52:$N52,1,MATCH(X$27,PREVIVAZ!$C$1:$N$1,1)))</f>
        <v>0</v>
      </c>
      <c r="Y78" s="202">
        <f ca="1">IFERROR(ROUND(INDEX(I:I,MATCH($T78,$A:$A,0)),0),INDEX(PREVIVAZ!$C52:$N52,1,MATCH(Y$27,PREVIVAZ!$C$1:$N$1,1)))</f>
        <v>0</v>
      </c>
      <c r="Z78" s="202">
        <f ca="1">IFERROR(ROUND(INDEX(J:J,MATCH($T78,$A:$A,0)),0),INDEX(PREVIVAZ!$C52:$N52,1,MATCH(Z$27,PREVIVAZ!$C$1:$N$1,1)))</f>
        <v>0</v>
      </c>
      <c r="AA78" s="202">
        <f ca="1">IFERROR(ROUND(INDEX(K:K,MATCH($T78,$A:$A,0)),0),INDEX(PREVIVAZ!$C52:$N52,1,MATCH(AA$27,PREVIVAZ!$C$1:$N$1,1)))</f>
        <v>0</v>
      </c>
      <c r="AB78" s="202">
        <f ca="1">IFERROR(ROUND(INDEX(L:L,MATCH($T78,$A:$A,0)),0),INDEX(PREVIVAZ!$C52:$N52,1,MATCH(AB$27,PREVIVAZ!$C$1:$N$1,1)))</f>
        <v>0</v>
      </c>
      <c r="AC78" s="202">
        <f ca="1">IFERROR(ROUND(INDEX(M:M,MATCH($T78,$A:$A,0)),0),INDEX(PREVIVAZ!$C52:$N52,1,MATCH(AC$27,PREVIVAZ!$C$1:$N$1,1)))</f>
        <v>0</v>
      </c>
      <c r="AD78" s="202">
        <f ca="1">IFERROR(ROUND(INDEX(N:N,MATCH($T78,$A:$A,0)),0),INDEX(PREVIVAZ!$C52:$N52,1,MATCH(AD$27,PREVIVAZ!$C$1:$N$1,1)))</f>
        <v>0</v>
      </c>
      <c r="AE78" s="202">
        <f ca="1">IFERROR(ROUND(INDEX(O:O,MATCH($T78,$A:$A,0)),0),INDEX(PREVIVAZ!$C52:$N52,1,MATCH(AE$27,PREVIVAZ!$C$1:$N$1,1)))</f>
        <v>0</v>
      </c>
      <c r="AF78" s="202">
        <f ca="1">IFERROR(ROUND(INDEX(P:P,MATCH($T78,$A:$A,0)),0),INDEX(PREVIVAZ!$C52:$N52,1,MATCH(AF$27,PREVIVAZ!$C$1:$N$1,1)))</f>
        <v>0</v>
      </c>
      <c r="AG78" s="202">
        <f ca="1">IFERROR(ROUND(INDEX(Q:Q,MATCH($T78,$A:$A,0)),0),INDEX(PREVIVAZ!$C52:$N52,1,MATCH(AG$27,PREVIVAZ!$C$1:$N$1,1)))</f>
        <v>0</v>
      </c>
    </row>
    <row r="79" spans="1:33" s="229" customFormat="1" ht="12.75" x14ac:dyDescent="0.2">
      <c r="A79" s="294">
        <v>161</v>
      </c>
      <c r="B79" s="283" t="str">
        <f t="shared" si="10"/>
        <v>161_VN</v>
      </c>
      <c r="C79" s="272" t="s">
        <v>208</v>
      </c>
      <c r="D79" s="241">
        <f t="shared" si="11"/>
        <v>161</v>
      </c>
      <c r="E79" s="22">
        <f t="array" aca="1" ref="E79" ca="1">SUM(IFERROR(Propagações_TOT_TIETE!$B$7:$BW$69*(Propagações_TOT_TIETE!$B$6:$BW$6=$B79&amp;"A")*(Propagações_TOT_TIETE!$A$7:$A$69=E$26),0))</f>
        <v>230</v>
      </c>
      <c r="F79" s="22">
        <f t="array" aca="1" ref="F79" ca="1">SUM(IFERROR(Propagações_TOT_TIETE!$B$7:$BW$69*(Propagações_TOT_TIETE!$B$6:$BW$6=$B79&amp;"A")*(Propagações_TOT_TIETE!$A$7:$A$69=F$26),0))</f>
        <v>0</v>
      </c>
      <c r="G79" s="22">
        <f t="array" aca="1" ref="G79" ca="1">SUM(IFERROR(Propagações_TOT_TIETE!$B$7:$BW$69*(Propagações_TOT_TIETE!$B$6:$BW$6=$B79&amp;"A")*(Propagações_TOT_TIETE!$A$7:$A$69=G$26),0))</f>
        <v>0</v>
      </c>
      <c r="H79" s="22">
        <f t="array" aca="1" ref="H79" ca="1">SUM(IFERROR(Propagações_TOT_TIETE!$B$7:$BW$69*(Propagações_TOT_TIETE!$B$6:$BW$6=$B79&amp;"A")*(Propagações_TOT_TIETE!$A$7:$A$69=H$26),0))</f>
        <v>0</v>
      </c>
      <c r="I79" s="22">
        <f t="array" aca="1" ref="I79" ca="1">SUM(IFERROR(Propagações_TOT_TIETE!$B$7:$BW$69*(Propagações_TOT_TIETE!$B$6:$BW$6=$B79&amp;"A")*(Propagações_TOT_TIETE!$A$7:$A$69=I$26),0))</f>
        <v>0</v>
      </c>
      <c r="J79" s="22">
        <f t="array" aca="1" ref="J79" ca="1">SUM(IFERROR(Propagações_TOT_TIETE!$B$7:$BW$69*(Propagações_TOT_TIETE!$B$6:$BW$6=$B79&amp;"A")*(Propagações_TOT_TIETE!$A$7:$A$69=J$26),0))</f>
        <v>0</v>
      </c>
      <c r="K79" s="22">
        <f t="array" aca="1" ref="K79" ca="1">SUM(IFERROR(Propagações_TOT_TIETE!$B$7:$BW$69*(Propagações_TOT_TIETE!$B$6:$BW$6=$B79&amp;"A")*(Propagações_TOT_TIETE!$A$7:$A$69=K$26),0))</f>
        <v>0</v>
      </c>
      <c r="L79" s="22">
        <f t="array" aca="1" ref="L79" ca="1">SUM(IFERROR(Propagações_TOT_TIETE!$B$7:$BW$69*(Propagações_TOT_TIETE!$B$6:$BW$6=$B79&amp;"A")*(Propagações_TOT_TIETE!$A$7:$A$69=L$26),0))</f>
        <v>0</v>
      </c>
      <c r="M79" s="22">
        <f t="array" aca="1" ref="M79" ca="1">SUM(IFERROR(Propagações_TOT_TIETE!$B$7:$BW$69*(Propagações_TOT_TIETE!$B$6:$BW$6=$B79&amp;"A")*(Propagações_TOT_TIETE!$A$7:$A$69=M$26),0))</f>
        <v>0</v>
      </c>
      <c r="N79" s="22">
        <f t="array" aca="1" ref="N79" ca="1">SUM(IFERROR(Propagações_TOT_TIETE!$B$7:$BW$69*(Propagações_TOT_TIETE!$B$6:$BW$6=$B79&amp;"A")*(Propagações_TOT_TIETE!$A$7:$A$69=N$26),0))</f>
        <v>0</v>
      </c>
      <c r="O79" s="22">
        <f t="array" aca="1" ref="O79" ca="1">SUM(IFERROR(Propagações_TOT_TIETE!$B$7:$BW$69*(Propagações_TOT_TIETE!$B$6:$BW$6=$B79&amp;"A")*(Propagações_TOT_TIETE!$A$7:$A$69=O$26),0))</f>
        <v>0</v>
      </c>
      <c r="P79" s="22">
        <f t="array" aca="1" ref="P79" ca="1">SUM(IFERROR(Propagações_TOT_TIETE!$B$7:$BW$69*(Propagações_TOT_TIETE!$B$6:$BW$6=$B79&amp;"A")*(Propagações_TOT_TIETE!$A$7:$A$69=P$26),0))</f>
        <v>0</v>
      </c>
      <c r="Q79" s="22">
        <f t="array" aca="1" ref="Q79" ca="1">SUM(IFERROR(Propagações_TOT_TIETE!$B$7:$BW$69*(Propagações_TOT_TIETE!$B$6:$BW$6=$B79&amp;"A")*(Propagações_TOT_TIETE!$A$7:$A$69=Q$26),0))</f>
        <v>0</v>
      </c>
      <c r="T79" s="272">
        <v>52</v>
      </c>
      <c r="U79" s="272"/>
      <c r="V79" s="202">
        <f ca="1">IFERROR(ROUND(INDEX(F:F,MATCH($T79,$A:$A,0)),0),INDEX(PREVIVAZ!$C53:$N53,1,MATCH(V$27,PREVIVAZ!$C$1:$N$1,1)))</f>
        <v>0</v>
      </c>
      <c r="W79" s="202">
        <f ca="1">IFERROR(ROUND(INDEX(G:G,MATCH($T79,$A:$A,0)),0),INDEX(PREVIVAZ!$C53:$N53,1,MATCH(W$27,PREVIVAZ!$C$1:$N$1,1)))</f>
        <v>0</v>
      </c>
      <c r="X79" s="202">
        <f ca="1">IFERROR(ROUND(INDEX(H:H,MATCH($T79,$A:$A,0)),0),INDEX(PREVIVAZ!$C53:$N53,1,MATCH(X$27,PREVIVAZ!$C$1:$N$1,1)))</f>
        <v>0</v>
      </c>
      <c r="Y79" s="202">
        <f ca="1">IFERROR(ROUND(INDEX(I:I,MATCH($T79,$A:$A,0)),0),INDEX(PREVIVAZ!$C53:$N53,1,MATCH(Y$27,PREVIVAZ!$C$1:$N$1,1)))</f>
        <v>0</v>
      </c>
      <c r="Z79" s="202">
        <f ca="1">IFERROR(ROUND(INDEX(J:J,MATCH($T79,$A:$A,0)),0),INDEX(PREVIVAZ!$C53:$N53,1,MATCH(Z$27,PREVIVAZ!$C$1:$N$1,1)))</f>
        <v>0</v>
      </c>
      <c r="AA79" s="202">
        <f ca="1">IFERROR(ROUND(INDEX(K:K,MATCH($T79,$A:$A,0)),0),INDEX(PREVIVAZ!$C53:$N53,1,MATCH(AA$27,PREVIVAZ!$C$1:$N$1,1)))</f>
        <v>0</v>
      </c>
      <c r="AB79" s="202">
        <f ca="1">IFERROR(ROUND(INDEX(L:L,MATCH($T79,$A:$A,0)),0),INDEX(PREVIVAZ!$C53:$N53,1,MATCH(AB$27,PREVIVAZ!$C$1:$N$1,1)))</f>
        <v>0</v>
      </c>
      <c r="AC79" s="202">
        <f ca="1">IFERROR(ROUND(INDEX(M:M,MATCH($T79,$A:$A,0)),0),INDEX(PREVIVAZ!$C53:$N53,1,MATCH(AC$27,PREVIVAZ!$C$1:$N$1,1)))</f>
        <v>0</v>
      </c>
      <c r="AD79" s="202">
        <f ca="1">IFERROR(ROUND(INDEX(N:N,MATCH($T79,$A:$A,0)),0),INDEX(PREVIVAZ!$C53:$N53,1,MATCH(AD$27,PREVIVAZ!$C$1:$N$1,1)))</f>
        <v>0</v>
      </c>
      <c r="AE79" s="202">
        <f ca="1">IFERROR(ROUND(INDEX(O:O,MATCH($T79,$A:$A,0)),0),INDEX(PREVIVAZ!$C53:$N53,1,MATCH(AE$27,PREVIVAZ!$C$1:$N$1,1)))</f>
        <v>0</v>
      </c>
      <c r="AF79" s="202">
        <f ca="1">IFERROR(ROUND(INDEX(P:P,MATCH($T79,$A:$A,0)),0),INDEX(PREVIVAZ!$C53:$N53,1,MATCH(AF$27,PREVIVAZ!$C$1:$N$1,1)))</f>
        <v>0</v>
      </c>
      <c r="AG79" s="202">
        <f ca="1">IFERROR(ROUND(INDEX(Q:Q,MATCH($T79,$A:$A,0)),0),INDEX(PREVIVAZ!$C53:$N53,1,MATCH(AG$27,PREVIVAZ!$C$1:$N$1,1)))</f>
        <v>0</v>
      </c>
    </row>
    <row r="80" spans="1:33" ht="12.75" x14ac:dyDescent="0.2">
      <c r="A80" s="294">
        <v>237</v>
      </c>
      <c r="B80" s="283" t="str">
        <f t="shared" si="10"/>
        <v>237_VN</v>
      </c>
      <c r="C80" s="272" t="s">
        <v>209</v>
      </c>
      <c r="D80" s="241">
        <f t="shared" si="11"/>
        <v>237</v>
      </c>
      <c r="E80" s="22">
        <f t="array" aca="1" ref="E80" ca="1">SUM(IFERROR(Propagações_TOT_TIETE!$B$7:$BW$69*(Propagações_TOT_TIETE!$B$6:$BW$6=$B80&amp;"A")*(Propagações_TOT_TIETE!$A$7:$A$69=E$26),0))</f>
        <v>542</v>
      </c>
      <c r="F80" s="22">
        <f t="array" aca="1" ref="F80" ca="1">SUM(IFERROR(Propagações_TOT_TIETE!$B$7:$BW$69*(Propagações_TOT_TIETE!$B$6:$BW$6=$B80&amp;"A")*(Propagações_TOT_TIETE!$A$7:$A$69=F$26),0))</f>
        <v>0</v>
      </c>
      <c r="G80" s="22">
        <f t="array" aca="1" ref="G80" ca="1">SUM(IFERROR(Propagações_TOT_TIETE!$B$7:$BW$69*(Propagações_TOT_TIETE!$B$6:$BW$6=$B80&amp;"A")*(Propagações_TOT_TIETE!$A$7:$A$69=G$26),0))</f>
        <v>0</v>
      </c>
      <c r="H80" s="22">
        <f t="array" aca="1" ref="H80" ca="1">SUM(IFERROR(Propagações_TOT_TIETE!$B$7:$BW$69*(Propagações_TOT_TIETE!$B$6:$BW$6=$B80&amp;"A")*(Propagações_TOT_TIETE!$A$7:$A$69=H$26),0))</f>
        <v>0</v>
      </c>
      <c r="I80" s="22">
        <f t="array" aca="1" ref="I80" ca="1">SUM(IFERROR(Propagações_TOT_TIETE!$B$7:$BW$69*(Propagações_TOT_TIETE!$B$6:$BW$6=$B80&amp;"A")*(Propagações_TOT_TIETE!$A$7:$A$69=I$26),0))</f>
        <v>0</v>
      </c>
      <c r="J80" s="22">
        <f t="array" aca="1" ref="J80" ca="1">SUM(IFERROR(Propagações_TOT_TIETE!$B$7:$BW$69*(Propagações_TOT_TIETE!$B$6:$BW$6=$B80&amp;"A")*(Propagações_TOT_TIETE!$A$7:$A$69=J$26),0))</f>
        <v>0</v>
      </c>
      <c r="K80" s="22">
        <f t="array" aca="1" ref="K80" ca="1">SUM(IFERROR(Propagações_TOT_TIETE!$B$7:$BW$69*(Propagações_TOT_TIETE!$B$6:$BW$6=$B80&amp;"A")*(Propagações_TOT_TIETE!$A$7:$A$69=K$26),0))</f>
        <v>0</v>
      </c>
      <c r="L80" s="22">
        <f t="array" aca="1" ref="L80" ca="1">SUM(IFERROR(Propagações_TOT_TIETE!$B$7:$BW$69*(Propagações_TOT_TIETE!$B$6:$BW$6=$B80&amp;"A")*(Propagações_TOT_TIETE!$A$7:$A$69=L$26),0))</f>
        <v>0</v>
      </c>
      <c r="M80" s="22">
        <f t="array" aca="1" ref="M80" ca="1">SUM(IFERROR(Propagações_TOT_TIETE!$B$7:$BW$69*(Propagações_TOT_TIETE!$B$6:$BW$6=$B80&amp;"A")*(Propagações_TOT_TIETE!$A$7:$A$69=M$26),0))</f>
        <v>0</v>
      </c>
      <c r="N80" s="22">
        <f t="array" aca="1" ref="N80" ca="1">SUM(IFERROR(Propagações_TOT_TIETE!$B$7:$BW$69*(Propagações_TOT_TIETE!$B$6:$BW$6=$B80&amp;"A")*(Propagações_TOT_TIETE!$A$7:$A$69=N$26),0))</f>
        <v>0</v>
      </c>
      <c r="O80" s="22">
        <f t="array" aca="1" ref="O80" ca="1">SUM(IFERROR(Propagações_TOT_TIETE!$B$7:$BW$69*(Propagações_TOT_TIETE!$B$6:$BW$6=$B80&amp;"A")*(Propagações_TOT_TIETE!$A$7:$A$69=O$26),0))</f>
        <v>0</v>
      </c>
      <c r="P80" s="22">
        <f t="array" aca="1" ref="P80" ca="1">SUM(IFERROR(Propagações_TOT_TIETE!$B$7:$BW$69*(Propagações_TOT_TIETE!$B$6:$BW$6=$B80&amp;"A")*(Propagações_TOT_TIETE!$A$7:$A$69=P$26),0))</f>
        <v>0</v>
      </c>
      <c r="Q80" s="22">
        <f t="array" aca="1" ref="Q80" ca="1">SUM(IFERROR(Propagações_TOT_TIETE!$B$7:$BW$69*(Propagações_TOT_TIETE!$B$6:$BW$6=$B80&amp;"A")*(Propagações_TOT_TIETE!$A$7:$A$69=Q$26),0))</f>
        <v>0</v>
      </c>
      <c r="R80"/>
      <c r="S80"/>
      <c r="T80" s="272">
        <v>53</v>
      </c>
      <c r="V80" s="202" t="e">
        <f ca="1">IFERROR(ROUND(INDEX(F:F,MATCH($T80,$A:$A,0)),0),INDEX(PREVIVAZ!$C54:$N54,1,MATCH(V$27,PREVIVAZ!$C$1:$N$1,1)))</f>
        <v>#N/A</v>
      </c>
      <c r="W80" s="202" t="e">
        <f ca="1">IFERROR(ROUND(INDEX(G:G,MATCH($T80,$A:$A,0)),0),INDEX(PREVIVAZ!$C54:$N54,1,MATCH(W$27,PREVIVAZ!$C$1:$N$1,1)))</f>
        <v>#N/A</v>
      </c>
      <c r="X80" s="202" t="e">
        <f ca="1">IFERROR(ROUND(INDEX(H:H,MATCH($T80,$A:$A,0)),0),INDEX(PREVIVAZ!$C54:$N54,1,MATCH(X$27,PREVIVAZ!$C$1:$N$1,1)))</f>
        <v>#N/A</v>
      </c>
      <c r="Y80" s="202" t="e">
        <f ca="1">IFERROR(ROUND(INDEX(I:I,MATCH($T80,$A:$A,0)),0),INDEX(PREVIVAZ!$C54:$N54,1,MATCH(Y$27,PREVIVAZ!$C$1:$N$1,1)))</f>
        <v>#N/A</v>
      </c>
      <c r="Z80" s="202" t="e">
        <f ca="1">IFERROR(ROUND(INDEX(J:J,MATCH($T80,$A:$A,0)),0),INDEX(PREVIVAZ!$C54:$N54,1,MATCH(Z$27,PREVIVAZ!$C$1:$N$1,1)))</f>
        <v>#N/A</v>
      </c>
      <c r="AA80" s="202" t="e">
        <f ca="1">IFERROR(ROUND(INDEX(K:K,MATCH($T80,$A:$A,0)),0),INDEX(PREVIVAZ!$C54:$N54,1,MATCH(AA$27,PREVIVAZ!$C$1:$N$1,1)))</f>
        <v>#N/A</v>
      </c>
      <c r="AB80" s="202" t="e">
        <f ca="1">IFERROR(ROUND(INDEX(L:L,MATCH($T80,$A:$A,0)),0),INDEX(PREVIVAZ!$C54:$N54,1,MATCH(AB$27,PREVIVAZ!$C$1:$N$1,1)))</f>
        <v>#N/A</v>
      </c>
      <c r="AC80" s="202" t="e">
        <f ca="1">IFERROR(ROUND(INDEX(M:M,MATCH($T80,$A:$A,0)),0),INDEX(PREVIVAZ!$C54:$N54,1,MATCH(AC$27,PREVIVAZ!$C$1:$N$1,1)))</f>
        <v>#N/A</v>
      </c>
      <c r="AD80" s="202" t="e">
        <f ca="1">IFERROR(ROUND(INDEX(N:N,MATCH($T80,$A:$A,0)),0),INDEX(PREVIVAZ!$C54:$N54,1,MATCH(AD$27,PREVIVAZ!$C$1:$N$1,1)))</f>
        <v>#N/A</v>
      </c>
      <c r="AE80" s="202" t="e">
        <f ca="1">IFERROR(ROUND(INDEX(O:O,MATCH($T80,$A:$A,0)),0),INDEX(PREVIVAZ!$C54:$N54,1,MATCH(AE$27,PREVIVAZ!$C$1:$N$1,1)))</f>
        <v>#N/A</v>
      </c>
      <c r="AF80" s="202" t="e">
        <f ca="1">IFERROR(ROUND(INDEX(P:P,MATCH($T80,$A:$A,0)),0),INDEX(PREVIVAZ!$C54:$N54,1,MATCH(AF$27,PREVIVAZ!$C$1:$N$1,1)))</f>
        <v>#N/A</v>
      </c>
      <c r="AG80" s="202" t="e">
        <f ca="1">IFERROR(ROUND(INDEX(Q:Q,MATCH($T80,$A:$A,0)),0),INDEX(PREVIVAZ!$C54:$N54,1,MATCH(AG$27,PREVIVAZ!$C$1:$N$1,1)))</f>
        <v>#N/A</v>
      </c>
    </row>
    <row r="81" spans="1:33" ht="12.75" x14ac:dyDescent="0.2">
      <c r="A81" s="294">
        <v>239</v>
      </c>
      <c r="B81" s="283" t="str">
        <f t="shared" si="10"/>
        <v>239_VN</v>
      </c>
      <c r="C81" s="272" t="s">
        <v>210</v>
      </c>
      <c r="D81" s="241">
        <f t="shared" si="11"/>
        <v>239</v>
      </c>
      <c r="E81" s="22">
        <f t="array" aca="1" ref="E81" ca="1">SUM(IFERROR(Propagações_TOT_TIETE!$B$7:$BW$69*(Propagações_TOT_TIETE!$B$6:$BW$6=$B81&amp;"A")*(Propagações_TOT_TIETE!$A$7:$A$69=E$26),0))</f>
        <v>877</v>
      </c>
      <c r="F81" s="22">
        <f t="array" aca="1" ref="F81" ca="1">SUM(IFERROR(Propagações_TOT_TIETE!$B$7:$BW$69*(Propagações_TOT_TIETE!$B$6:$BW$6=$B81&amp;"A")*(Propagações_TOT_TIETE!$A$7:$A$69=F$26),0))</f>
        <v>0</v>
      </c>
      <c r="G81" s="22">
        <f t="array" aca="1" ref="G81" ca="1">SUM(IFERROR(Propagações_TOT_TIETE!$B$7:$BW$69*(Propagações_TOT_TIETE!$B$6:$BW$6=$B81&amp;"A")*(Propagações_TOT_TIETE!$A$7:$A$69=G$26),0))</f>
        <v>0</v>
      </c>
      <c r="H81" s="22">
        <f t="array" aca="1" ref="H81" ca="1">SUM(IFERROR(Propagações_TOT_TIETE!$B$7:$BW$69*(Propagações_TOT_TIETE!$B$6:$BW$6=$B81&amp;"A")*(Propagações_TOT_TIETE!$A$7:$A$69=H$26),0))</f>
        <v>0</v>
      </c>
      <c r="I81" s="22">
        <f t="array" aca="1" ref="I81" ca="1">SUM(IFERROR(Propagações_TOT_TIETE!$B$7:$BW$69*(Propagações_TOT_TIETE!$B$6:$BW$6=$B81&amp;"A")*(Propagações_TOT_TIETE!$A$7:$A$69=I$26),0))</f>
        <v>0</v>
      </c>
      <c r="J81" s="22">
        <f t="array" aca="1" ref="J81" ca="1">SUM(IFERROR(Propagações_TOT_TIETE!$B$7:$BW$69*(Propagações_TOT_TIETE!$B$6:$BW$6=$B81&amp;"A")*(Propagações_TOT_TIETE!$A$7:$A$69=J$26),0))</f>
        <v>0</v>
      </c>
      <c r="K81" s="22">
        <f t="array" aca="1" ref="K81" ca="1">SUM(IFERROR(Propagações_TOT_TIETE!$B$7:$BW$69*(Propagações_TOT_TIETE!$B$6:$BW$6=$B81&amp;"A")*(Propagações_TOT_TIETE!$A$7:$A$69=K$26),0))</f>
        <v>0</v>
      </c>
      <c r="L81" s="22">
        <f t="array" aca="1" ref="L81" ca="1">SUM(IFERROR(Propagações_TOT_TIETE!$B$7:$BW$69*(Propagações_TOT_TIETE!$B$6:$BW$6=$B81&amp;"A")*(Propagações_TOT_TIETE!$A$7:$A$69=L$26),0))</f>
        <v>0</v>
      </c>
      <c r="M81" s="22">
        <f t="array" aca="1" ref="M81" ca="1">SUM(IFERROR(Propagações_TOT_TIETE!$B$7:$BW$69*(Propagações_TOT_TIETE!$B$6:$BW$6=$B81&amp;"A")*(Propagações_TOT_TIETE!$A$7:$A$69=M$26),0))</f>
        <v>0</v>
      </c>
      <c r="N81" s="22">
        <f t="array" aca="1" ref="N81" ca="1">SUM(IFERROR(Propagações_TOT_TIETE!$B$7:$BW$69*(Propagações_TOT_TIETE!$B$6:$BW$6=$B81&amp;"A")*(Propagações_TOT_TIETE!$A$7:$A$69=N$26),0))</f>
        <v>0</v>
      </c>
      <c r="O81" s="22">
        <f t="array" aca="1" ref="O81" ca="1">SUM(IFERROR(Propagações_TOT_TIETE!$B$7:$BW$69*(Propagações_TOT_TIETE!$B$6:$BW$6=$B81&amp;"A")*(Propagações_TOT_TIETE!$A$7:$A$69=O$26),0))</f>
        <v>0</v>
      </c>
      <c r="P81" s="22">
        <f t="array" aca="1" ref="P81" ca="1">SUM(IFERROR(Propagações_TOT_TIETE!$B$7:$BW$69*(Propagações_TOT_TIETE!$B$6:$BW$6=$B81&amp;"A")*(Propagações_TOT_TIETE!$A$7:$A$69=P$26),0))</f>
        <v>0</v>
      </c>
      <c r="Q81" s="22">
        <f t="array" aca="1" ref="Q81" ca="1">SUM(IFERROR(Propagações_TOT_TIETE!$B$7:$BW$69*(Propagações_TOT_TIETE!$B$6:$BW$6=$B81&amp;"A")*(Propagações_TOT_TIETE!$A$7:$A$69=Q$26),0))</f>
        <v>0</v>
      </c>
      <c r="R81"/>
      <c r="S81"/>
      <c r="T81" s="272">
        <v>54</v>
      </c>
      <c r="V81" s="202" t="e">
        <f ca="1">IFERROR(ROUND(INDEX(F:F,MATCH($T81,$A:$A,0)),0),INDEX(PREVIVAZ!$C55:$N55,1,MATCH(V$27,PREVIVAZ!$C$1:$N$1,1)))</f>
        <v>#N/A</v>
      </c>
      <c r="W81" s="202" t="e">
        <f ca="1">IFERROR(ROUND(INDEX(G:G,MATCH($T81,$A:$A,0)),0),INDEX(PREVIVAZ!$C55:$N55,1,MATCH(W$27,PREVIVAZ!$C$1:$N$1,1)))</f>
        <v>#N/A</v>
      </c>
      <c r="X81" s="202" t="e">
        <f ca="1">IFERROR(ROUND(INDEX(H:H,MATCH($T81,$A:$A,0)),0),INDEX(PREVIVAZ!$C55:$N55,1,MATCH(X$27,PREVIVAZ!$C$1:$N$1,1)))</f>
        <v>#N/A</v>
      </c>
      <c r="Y81" s="202" t="e">
        <f ca="1">IFERROR(ROUND(INDEX(I:I,MATCH($T81,$A:$A,0)),0),INDEX(PREVIVAZ!$C55:$N55,1,MATCH(Y$27,PREVIVAZ!$C$1:$N$1,1)))</f>
        <v>#N/A</v>
      </c>
      <c r="Z81" s="202" t="e">
        <f ca="1">IFERROR(ROUND(INDEX(J:J,MATCH($T81,$A:$A,0)),0),INDEX(PREVIVAZ!$C55:$N55,1,MATCH(Z$27,PREVIVAZ!$C$1:$N$1,1)))</f>
        <v>#N/A</v>
      </c>
      <c r="AA81" s="202" t="e">
        <f ca="1">IFERROR(ROUND(INDEX(K:K,MATCH($T81,$A:$A,0)),0),INDEX(PREVIVAZ!$C55:$N55,1,MATCH(AA$27,PREVIVAZ!$C$1:$N$1,1)))</f>
        <v>#N/A</v>
      </c>
      <c r="AB81" s="202" t="e">
        <f ca="1">IFERROR(ROUND(INDEX(L:L,MATCH($T81,$A:$A,0)),0),INDEX(PREVIVAZ!$C55:$N55,1,MATCH(AB$27,PREVIVAZ!$C$1:$N$1,1)))</f>
        <v>#N/A</v>
      </c>
      <c r="AC81" s="202" t="e">
        <f ca="1">IFERROR(ROUND(INDEX(M:M,MATCH($T81,$A:$A,0)),0),INDEX(PREVIVAZ!$C55:$N55,1,MATCH(AC$27,PREVIVAZ!$C$1:$N$1,1)))</f>
        <v>#N/A</v>
      </c>
      <c r="AD81" s="202" t="e">
        <f ca="1">IFERROR(ROUND(INDEX(N:N,MATCH($T81,$A:$A,0)),0),INDEX(PREVIVAZ!$C55:$N55,1,MATCH(AD$27,PREVIVAZ!$C$1:$N$1,1)))</f>
        <v>#N/A</v>
      </c>
      <c r="AE81" s="202" t="e">
        <f ca="1">IFERROR(ROUND(INDEX(O:O,MATCH($T81,$A:$A,0)),0),INDEX(PREVIVAZ!$C55:$N55,1,MATCH(AE$27,PREVIVAZ!$C$1:$N$1,1)))</f>
        <v>#N/A</v>
      </c>
      <c r="AF81" s="202" t="e">
        <f ca="1">IFERROR(ROUND(INDEX(P:P,MATCH($T81,$A:$A,0)),0),INDEX(PREVIVAZ!$C55:$N55,1,MATCH(AF$27,PREVIVAZ!$C$1:$N$1,1)))</f>
        <v>#N/A</v>
      </c>
      <c r="AG81" s="202" t="e">
        <f ca="1">IFERROR(ROUND(INDEX(Q:Q,MATCH($T81,$A:$A,0)),0),INDEX(PREVIVAZ!$C55:$N55,1,MATCH(AG$27,PREVIVAZ!$C$1:$N$1,1)))</f>
        <v>#N/A</v>
      </c>
    </row>
    <row r="82" spans="1:33" ht="12.75" x14ac:dyDescent="0.2">
      <c r="A82" s="294">
        <v>242</v>
      </c>
      <c r="B82" s="283" t="str">
        <f t="shared" si="10"/>
        <v>242_VN</v>
      </c>
      <c r="C82" s="272" t="s">
        <v>212</v>
      </c>
      <c r="D82" s="241">
        <f t="shared" si="11"/>
        <v>242</v>
      </c>
      <c r="E82" s="22">
        <f t="array" aca="1" ref="E82" ca="1">SUM(IFERROR(Propagações_TOT_TIETE!$B$7:$BW$69*(Propagações_TOT_TIETE!$B$6:$BW$6=$B82&amp;"A")*(Propagações_TOT_TIETE!$A$7:$A$69=E$26),0))</f>
        <v>801</v>
      </c>
      <c r="F82" s="22">
        <f t="array" aca="1" ref="F82" ca="1">SUM(IFERROR(Propagações_TOT_TIETE!$B$7:$BW$69*(Propagações_TOT_TIETE!$B$6:$BW$6=$B82&amp;"A")*(Propagações_TOT_TIETE!$A$7:$A$69=F$26),0))</f>
        <v>0</v>
      </c>
      <c r="G82" s="22">
        <f t="array" aca="1" ref="G82" ca="1">SUM(IFERROR(Propagações_TOT_TIETE!$B$7:$BW$69*(Propagações_TOT_TIETE!$B$6:$BW$6=$B82&amp;"A")*(Propagações_TOT_TIETE!$A$7:$A$69=G$26),0))</f>
        <v>0</v>
      </c>
      <c r="H82" s="22">
        <f t="array" aca="1" ref="H82" ca="1">SUM(IFERROR(Propagações_TOT_TIETE!$B$7:$BW$69*(Propagações_TOT_TIETE!$B$6:$BW$6=$B82&amp;"A")*(Propagações_TOT_TIETE!$A$7:$A$69=H$26),0))</f>
        <v>0</v>
      </c>
      <c r="I82" s="22">
        <f t="array" aca="1" ref="I82" ca="1">SUM(IFERROR(Propagações_TOT_TIETE!$B$7:$BW$69*(Propagações_TOT_TIETE!$B$6:$BW$6=$B82&amp;"A")*(Propagações_TOT_TIETE!$A$7:$A$69=I$26),0))</f>
        <v>0</v>
      </c>
      <c r="J82" s="22">
        <f t="array" aca="1" ref="J82" ca="1">SUM(IFERROR(Propagações_TOT_TIETE!$B$7:$BW$69*(Propagações_TOT_TIETE!$B$6:$BW$6=$B82&amp;"A")*(Propagações_TOT_TIETE!$A$7:$A$69=J$26),0))</f>
        <v>0</v>
      </c>
      <c r="K82" s="22">
        <f t="array" aca="1" ref="K82" ca="1">SUM(IFERROR(Propagações_TOT_TIETE!$B$7:$BW$69*(Propagações_TOT_TIETE!$B$6:$BW$6=$B82&amp;"A")*(Propagações_TOT_TIETE!$A$7:$A$69=K$26),0))</f>
        <v>0</v>
      </c>
      <c r="L82" s="22">
        <f t="array" aca="1" ref="L82" ca="1">SUM(IFERROR(Propagações_TOT_TIETE!$B$7:$BW$69*(Propagações_TOT_TIETE!$B$6:$BW$6=$B82&amp;"A")*(Propagações_TOT_TIETE!$A$7:$A$69=L$26),0))</f>
        <v>0</v>
      </c>
      <c r="M82" s="22">
        <f t="array" aca="1" ref="M82" ca="1">SUM(IFERROR(Propagações_TOT_TIETE!$B$7:$BW$69*(Propagações_TOT_TIETE!$B$6:$BW$6=$B82&amp;"A")*(Propagações_TOT_TIETE!$A$7:$A$69=M$26),0))</f>
        <v>0</v>
      </c>
      <c r="N82" s="22">
        <f t="array" aca="1" ref="N82" ca="1">SUM(IFERROR(Propagações_TOT_TIETE!$B$7:$BW$69*(Propagações_TOT_TIETE!$B$6:$BW$6=$B82&amp;"A")*(Propagações_TOT_TIETE!$A$7:$A$69=N$26),0))</f>
        <v>0</v>
      </c>
      <c r="O82" s="22">
        <f t="array" aca="1" ref="O82" ca="1">SUM(IFERROR(Propagações_TOT_TIETE!$B$7:$BW$69*(Propagações_TOT_TIETE!$B$6:$BW$6=$B82&amp;"A")*(Propagações_TOT_TIETE!$A$7:$A$69=O$26),0))</f>
        <v>0</v>
      </c>
      <c r="P82" s="22">
        <f t="array" aca="1" ref="P82" ca="1">SUM(IFERROR(Propagações_TOT_TIETE!$B$7:$BW$69*(Propagações_TOT_TIETE!$B$6:$BW$6=$B82&amp;"A")*(Propagações_TOT_TIETE!$A$7:$A$69=P$26),0))</f>
        <v>0</v>
      </c>
      <c r="Q82" s="22">
        <f t="array" aca="1" ref="Q82" ca="1">SUM(IFERROR(Propagações_TOT_TIETE!$B$7:$BW$69*(Propagações_TOT_TIETE!$B$6:$BW$6=$B82&amp;"A")*(Propagações_TOT_TIETE!$A$7:$A$69=Q$26),0))</f>
        <v>0</v>
      </c>
      <c r="R82"/>
      <c r="S82"/>
      <c r="T82" s="272">
        <v>55</v>
      </c>
      <c r="V82" s="202" t="e">
        <f ca="1">IFERROR(ROUND(INDEX(F:F,MATCH($T82,$A:$A,0)),0),INDEX(PREVIVAZ!$C56:$N56,1,MATCH(V$27,PREVIVAZ!$C$1:$N$1,1)))</f>
        <v>#N/A</v>
      </c>
      <c r="W82" s="202" t="e">
        <f ca="1">IFERROR(ROUND(INDEX(G:G,MATCH($T82,$A:$A,0)),0),INDEX(PREVIVAZ!$C56:$N56,1,MATCH(W$27,PREVIVAZ!$C$1:$N$1,1)))</f>
        <v>#N/A</v>
      </c>
      <c r="X82" s="202" t="e">
        <f ca="1">IFERROR(ROUND(INDEX(H:H,MATCH($T82,$A:$A,0)),0),INDEX(PREVIVAZ!$C56:$N56,1,MATCH(X$27,PREVIVAZ!$C$1:$N$1,1)))</f>
        <v>#N/A</v>
      </c>
      <c r="Y82" s="202" t="e">
        <f ca="1">IFERROR(ROUND(INDEX(I:I,MATCH($T82,$A:$A,0)),0),INDEX(PREVIVAZ!$C56:$N56,1,MATCH(Y$27,PREVIVAZ!$C$1:$N$1,1)))</f>
        <v>#N/A</v>
      </c>
      <c r="Z82" s="202" t="e">
        <f ca="1">IFERROR(ROUND(INDEX(J:J,MATCH($T82,$A:$A,0)),0),INDEX(PREVIVAZ!$C56:$N56,1,MATCH(Z$27,PREVIVAZ!$C$1:$N$1,1)))</f>
        <v>#N/A</v>
      </c>
      <c r="AA82" s="202" t="e">
        <f ca="1">IFERROR(ROUND(INDEX(K:K,MATCH($T82,$A:$A,0)),0),INDEX(PREVIVAZ!$C56:$N56,1,MATCH(AA$27,PREVIVAZ!$C$1:$N$1,1)))</f>
        <v>#N/A</v>
      </c>
      <c r="AB82" s="202" t="e">
        <f ca="1">IFERROR(ROUND(INDEX(L:L,MATCH($T82,$A:$A,0)),0),INDEX(PREVIVAZ!$C56:$N56,1,MATCH(AB$27,PREVIVAZ!$C$1:$N$1,1)))</f>
        <v>#N/A</v>
      </c>
      <c r="AC82" s="202" t="e">
        <f ca="1">IFERROR(ROUND(INDEX(M:M,MATCH($T82,$A:$A,0)),0),INDEX(PREVIVAZ!$C56:$N56,1,MATCH(AC$27,PREVIVAZ!$C$1:$N$1,1)))</f>
        <v>#N/A</v>
      </c>
      <c r="AD82" s="202" t="e">
        <f ca="1">IFERROR(ROUND(INDEX(N:N,MATCH($T82,$A:$A,0)),0),INDEX(PREVIVAZ!$C56:$N56,1,MATCH(AD$27,PREVIVAZ!$C$1:$N$1,1)))</f>
        <v>#N/A</v>
      </c>
      <c r="AE82" s="202" t="e">
        <f ca="1">IFERROR(ROUND(INDEX(O:O,MATCH($T82,$A:$A,0)),0),INDEX(PREVIVAZ!$C56:$N56,1,MATCH(AE$27,PREVIVAZ!$C$1:$N$1,1)))</f>
        <v>#N/A</v>
      </c>
      <c r="AF82" s="202" t="e">
        <f ca="1">IFERROR(ROUND(INDEX(P:P,MATCH($T82,$A:$A,0)),0),INDEX(PREVIVAZ!$C56:$N56,1,MATCH(AF$27,PREVIVAZ!$C$1:$N$1,1)))</f>
        <v>#N/A</v>
      </c>
      <c r="AG82" s="202" t="e">
        <f ca="1">IFERROR(ROUND(INDEX(Q:Q,MATCH($T82,$A:$A,0)),0),INDEX(PREVIVAZ!$C56:$N56,1,MATCH(AG$27,PREVIVAZ!$C$1:$N$1,1)))</f>
        <v>#N/A</v>
      </c>
    </row>
    <row r="83" spans="1:33" ht="12.75" x14ac:dyDescent="0.2">
      <c r="A83" s="328">
        <v>116</v>
      </c>
      <c r="B83" s="283" t="str">
        <f t="shared" ref="B83" si="12">A83&amp;"_VN"</f>
        <v>116_VN</v>
      </c>
      <c r="C83" s="272" t="s">
        <v>215</v>
      </c>
      <c r="D83" s="241">
        <f t="shared" ref="D83" si="13">A83</f>
        <v>116</v>
      </c>
      <c r="E83" s="22">
        <f t="array" aca="1" ref="E83" ca="1">SUM(IFERROR(Propagações_TOT_TIETE!$B$7:$BW$69*(Propagações_TOT_TIETE!$B$6:$BW$6=$B83&amp;"A")*(Propagações_TOT_TIETE!$A$7:$A$69=E$26),0))</f>
        <v>4.9369000000000014</v>
      </c>
      <c r="F83" s="22">
        <f t="array" aca="1" ref="F83" ca="1">SUM(IFERROR(Propagações_TOT_TIETE!$B$7:$BW$69*(Propagações_TOT_TIETE!$B$6:$BW$6=$B83&amp;"A")*(Propagações_TOT_TIETE!$A$7:$A$69=F$26),0))</f>
        <v>0</v>
      </c>
      <c r="G83" s="22">
        <f t="array" aca="1" ref="G83" ca="1">SUM(IFERROR(Propagações_TOT_TIETE!$B$7:$BW$69*(Propagações_TOT_TIETE!$B$6:$BW$6=$B83&amp;"A")*(Propagações_TOT_TIETE!$A$7:$A$69=G$26),0))</f>
        <v>0</v>
      </c>
      <c r="H83" s="22">
        <f t="array" aca="1" ref="H83" ca="1">SUM(IFERROR(Propagações_TOT_TIETE!$B$7:$BW$69*(Propagações_TOT_TIETE!$B$6:$BW$6=$B83&amp;"A")*(Propagações_TOT_TIETE!$A$7:$A$69=H$26),0))</f>
        <v>0</v>
      </c>
      <c r="I83" s="22">
        <f t="array" aca="1" ref="I83" ca="1">SUM(IFERROR(Propagações_TOT_TIETE!$B$7:$BW$69*(Propagações_TOT_TIETE!$B$6:$BW$6=$B83&amp;"A")*(Propagações_TOT_TIETE!$A$7:$A$69=I$26),0))</f>
        <v>0</v>
      </c>
      <c r="J83" s="22">
        <f t="array" aca="1" ref="J83" ca="1">SUM(IFERROR(Propagações_TOT_TIETE!$B$7:$BW$69*(Propagações_TOT_TIETE!$B$6:$BW$6=$B83&amp;"A")*(Propagações_TOT_TIETE!$A$7:$A$69=J$26),0))</f>
        <v>0</v>
      </c>
      <c r="K83" s="22">
        <f t="array" aca="1" ref="K83" ca="1">SUM(IFERROR(Propagações_TOT_TIETE!$B$7:$BW$69*(Propagações_TOT_TIETE!$B$6:$BW$6=$B83&amp;"A")*(Propagações_TOT_TIETE!$A$7:$A$69=K$26),0))</f>
        <v>0</v>
      </c>
      <c r="L83" s="22">
        <f t="array" aca="1" ref="L83" ca="1">SUM(IFERROR(Propagações_TOT_TIETE!$B$7:$BW$69*(Propagações_TOT_TIETE!$B$6:$BW$6=$B83&amp;"A")*(Propagações_TOT_TIETE!$A$7:$A$69=L$26),0))</f>
        <v>0</v>
      </c>
      <c r="M83" s="22">
        <f t="array" aca="1" ref="M83" ca="1">SUM(IFERROR(Propagações_TOT_TIETE!$B$7:$BW$69*(Propagações_TOT_TIETE!$B$6:$BW$6=$B83&amp;"A")*(Propagações_TOT_TIETE!$A$7:$A$69=M$26),0))</f>
        <v>0</v>
      </c>
      <c r="N83" s="22">
        <f t="array" aca="1" ref="N83" ca="1">SUM(IFERROR(Propagações_TOT_TIETE!$B$7:$BW$69*(Propagações_TOT_TIETE!$B$6:$BW$6=$B83&amp;"A")*(Propagações_TOT_TIETE!$A$7:$A$69=N$26),0))</f>
        <v>0</v>
      </c>
      <c r="O83" s="22">
        <f t="array" aca="1" ref="O83" ca="1">SUM(IFERROR(Propagações_TOT_TIETE!$B$7:$BW$69*(Propagações_TOT_TIETE!$B$6:$BW$6=$B83&amp;"A")*(Propagações_TOT_TIETE!$A$7:$A$69=O$26),0))</f>
        <v>0</v>
      </c>
      <c r="P83" s="22">
        <f t="array" aca="1" ref="P83" ca="1">SUM(IFERROR(Propagações_TOT_TIETE!$B$7:$BW$69*(Propagações_TOT_TIETE!$B$6:$BW$6=$B83&amp;"A")*(Propagações_TOT_TIETE!$A$7:$A$69=P$26),0))</f>
        <v>0</v>
      </c>
      <c r="Q83" s="22">
        <f t="array" aca="1" ref="Q83" ca="1">SUM(IFERROR(Propagações_TOT_TIETE!$B$7:$BW$69*(Propagações_TOT_TIETE!$B$6:$BW$6=$B83&amp;"A")*(Propagações_TOT_TIETE!$A$7:$A$69=Q$26),0))</f>
        <v>0</v>
      </c>
      <c r="R83"/>
      <c r="S83"/>
      <c r="T83" s="272">
        <v>56</v>
      </c>
      <c r="V83" s="202" t="e">
        <f ca="1">IFERROR(ROUND(INDEX(F:F,MATCH($T83,$A:$A,0)),0),INDEX(PREVIVAZ!$C57:$N57,1,MATCH(V$27,PREVIVAZ!$C$1:$N$1,1)))</f>
        <v>#N/A</v>
      </c>
      <c r="W83" s="202" t="e">
        <f ca="1">IFERROR(ROUND(INDEX(G:G,MATCH($T83,$A:$A,0)),0),INDEX(PREVIVAZ!$C57:$N57,1,MATCH(W$27,PREVIVAZ!$C$1:$N$1,1)))</f>
        <v>#N/A</v>
      </c>
      <c r="X83" s="202" t="e">
        <f ca="1">IFERROR(ROUND(INDEX(H:H,MATCH($T83,$A:$A,0)),0),INDEX(PREVIVAZ!$C57:$N57,1,MATCH(X$27,PREVIVAZ!$C$1:$N$1,1)))</f>
        <v>#N/A</v>
      </c>
      <c r="Y83" s="202" t="e">
        <f ca="1">IFERROR(ROUND(INDEX(I:I,MATCH($T83,$A:$A,0)),0),INDEX(PREVIVAZ!$C57:$N57,1,MATCH(Y$27,PREVIVAZ!$C$1:$N$1,1)))</f>
        <v>#N/A</v>
      </c>
      <c r="Z83" s="202" t="e">
        <f ca="1">IFERROR(ROUND(INDEX(J:J,MATCH($T83,$A:$A,0)),0),INDEX(PREVIVAZ!$C57:$N57,1,MATCH(Z$27,PREVIVAZ!$C$1:$N$1,1)))</f>
        <v>#N/A</v>
      </c>
      <c r="AA83" s="202" t="e">
        <f ca="1">IFERROR(ROUND(INDEX(K:K,MATCH($T83,$A:$A,0)),0),INDEX(PREVIVAZ!$C57:$N57,1,MATCH(AA$27,PREVIVAZ!$C$1:$N$1,1)))</f>
        <v>#N/A</v>
      </c>
      <c r="AB83" s="202" t="e">
        <f ca="1">IFERROR(ROUND(INDEX(L:L,MATCH($T83,$A:$A,0)),0),INDEX(PREVIVAZ!$C57:$N57,1,MATCH(AB$27,PREVIVAZ!$C$1:$N$1,1)))</f>
        <v>#N/A</v>
      </c>
      <c r="AC83" s="202" t="e">
        <f ca="1">IFERROR(ROUND(INDEX(M:M,MATCH($T83,$A:$A,0)),0),INDEX(PREVIVAZ!$C57:$N57,1,MATCH(AC$27,PREVIVAZ!$C$1:$N$1,1)))</f>
        <v>#N/A</v>
      </c>
      <c r="AD83" s="202" t="e">
        <f ca="1">IFERROR(ROUND(INDEX(N:N,MATCH($T83,$A:$A,0)),0),INDEX(PREVIVAZ!$C57:$N57,1,MATCH(AD$27,PREVIVAZ!$C$1:$N$1,1)))</f>
        <v>#N/A</v>
      </c>
      <c r="AE83" s="202" t="e">
        <f ca="1">IFERROR(ROUND(INDEX(O:O,MATCH($T83,$A:$A,0)),0),INDEX(PREVIVAZ!$C57:$N57,1,MATCH(AE$27,PREVIVAZ!$C$1:$N$1,1)))</f>
        <v>#N/A</v>
      </c>
      <c r="AF83" s="202" t="e">
        <f ca="1">IFERROR(ROUND(INDEX(P:P,MATCH($T83,$A:$A,0)),0),INDEX(PREVIVAZ!$C57:$N57,1,MATCH(AF$27,PREVIVAZ!$C$1:$N$1,1)))</f>
        <v>#N/A</v>
      </c>
      <c r="AG83" s="202" t="e">
        <f ca="1">IFERROR(ROUND(INDEX(Q:Q,MATCH($T83,$A:$A,0)),0),INDEX(PREVIVAZ!$C57:$N57,1,MATCH(AG$27,PREVIVAZ!$C$1:$N$1,1)))</f>
        <v>#N/A</v>
      </c>
    </row>
    <row r="84" spans="1:33" ht="12.75" x14ac:dyDescent="0.2">
      <c r="A84" s="330">
        <v>118</v>
      </c>
      <c r="B84" s="283" t="str">
        <f t="shared" ref="B84" si="14">A84&amp;"_VN"</f>
        <v>118_VN</v>
      </c>
      <c r="C84" s="272" t="s">
        <v>214</v>
      </c>
      <c r="D84" s="241">
        <f t="shared" ref="D84" si="15">A84</f>
        <v>118</v>
      </c>
      <c r="E84" s="22">
        <f t="array" aca="1" ref="E84" ca="1">SUM(IFERROR(Propagações_TOT_TIETE!$B$7:$BW$69*(Propagações_TOT_TIETE!$B$6:$BW$6=$B84&amp;"A")*(Propagações_TOT_TIETE!$A$7:$A$69=E$26),0))</f>
        <v>22.063099999999999</v>
      </c>
      <c r="F84" s="22">
        <f t="array" aca="1" ref="F84" ca="1">SUM(IFERROR(Propagações_TOT_TIETE!$B$7:$BW$69*(Propagações_TOT_TIETE!$B$6:$BW$6=$B84&amp;"A")*(Propagações_TOT_TIETE!$A$7:$A$69=F$26),0))</f>
        <v>0</v>
      </c>
      <c r="G84" s="22">
        <f t="array" aca="1" ref="G84" ca="1">SUM(IFERROR(Propagações_TOT_TIETE!$B$7:$BW$69*(Propagações_TOT_TIETE!$B$6:$BW$6=$B84&amp;"A")*(Propagações_TOT_TIETE!$A$7:$A$69=G$26),0))</f>
        <v>0</v>
      </c>
      <c r="H84" s="22">
        <f t="array" aca="1" ref="H84" ca="1">SUM(IFERROR(Propagações_TOT_TIETE!$B$7:$BW$69*(Propagações_TOT_TIETE!$B$6:$BW$6=$B84&amp;"A")*(Propagações_TOT_TIETE!$A$7:$A$69=H$26),0))</f>
        <v>0</v>
      </c>
      <c r="I84" s="22">
        <f t="array" aca="1" ref="I84" ca="1">SUM(IFERROR(Propagações_TOT_TIETE!$B$7:$BW$69*(Propagações_TOT_TIETE!$B$6:$BW$6=$B84&amp;"A")*(Propagações_TOT_TIETE!$A$7:$A$69=I$26),0))</f>
        <v>0</v>
      </c>
      <c r="J84" s="22">
        <f t="array" aca="1" ref="J84" ca="1">SUM(IFERROR(Propagações_TOT_TIETE!$B$7:$BW$69*(Propagações_TOT_TIETE!$B$6:$BW$6=$B84&amp;"A")*(Propagações_TOT_TIETE!$A$7:$A$69=J$26),0))</f>
        <v>0</v>
      </c>
      <c r="K84" s="22">
        <f t="array" aca="1" ref="K84" ca="1">SUM(IFERROR(Propagações_TOT_TIETE!$B$7:$BW$69*(Propagações_TOT_TIETE!$B$6:$BW$6=$B84&amp;"A")*(Propagações_TOT_TIETE!$A$7:$A$69=K$26),0))</f>
        <v>0</v>
      </c>
      <c r="L84" s="22">
        <f t="array" aca="1" ref="L84" ca="1">SUM(IFERROR(Propagações_TOT_TIETE!$B$7:$BW$69*(Propagações_TOT_TIETE!$B$6:$BW$6=$B84&amp;"A")*(Propagações_TOT_TIETE!$A$7:$A$69=L$26),0))</f>
        <v>0</v>
      </c>
      <c r="M84" s="22">
        <f t="array" aca="1" ref="M84" ca="1">SUM(IFERROR(Propagações_TOT_TIETE!$B$7:$BW$69*(Propagações_TOT_TIETE!$B$6:$BW$6=$B84&amp;"A")*(Propagações_TOT_TIETE!$A$7:$A$69=M$26),0))</f>
        <v>0</v>
      </c>
      <c r="N84" s="22">
        <f t="array" aca="1" ref="N84" ca="1">SUM(IFERROR(Propagações_TOT_TIETE!$B$7:$BW$69*(Propagações_TOT_TIETE!$B$6:$BW$6=$B84&amp;"A")*(Propagações_TOT_TIETE!$A$7:$A$69=N$26),0))</f>
        <v>0</v>
      </c>
      <c r="O84" s="22">
        <f t="array" aca="1" ref="O84" ca="1">SUM(IFERROR(Propagações_TOT_TIETE!$B$7:$BW$69*(Propagações_TOT_TIETE!$B$6:$BW$6=$B84&amp;"A")*(Propagações_TOT_TIETE!$A$7:$A$69=O$26),0))</f>
        <v>0</v>
      </c>
      <c r="P84" s="22">
        <f t="array" aca="1" ref="P84" ca="1">SUM(IFERROR(Propagações_TOT_TIETE!$B$7:$BW$69*(Propagações_TOT_TIETE!$B$6:$BW$6=$B84&amp;"A")*(Propagações_TOT_TIETE!$A$7:$A$69=P$26),0))</f>
        <v>0</v>
      </c>
      <c r="Q84" s="22">
        <f t="array" aca="1" ref="Q84" ca="1">SUM(IFERROR(Propagações_TOT_TIETE!$B$7:$BW$69*(Propagações_TOT_TIETE!$B$6:$BW$6=$B84&amp;"A")*(Propagações_TOT_TIETE!$A$7:$A$69=Q$26),0))</f>
        <v>0</v>
      </c>
      <c r="R84"/>
      <c r="S84"/>
      <c r="T84" s="272">
        <v>57</v>
      </c>
      <c r="V84" s="202">
        <f ca="1">IFERROR(ROUND(INDEX(F:F,MATCH($T84,$A:$A,0)),0),INDEX(PREVIVAZ!$C58:$N58,1,MATCH(V$27,PREVIVAZ!$C$1:$N$1,1)))</f>
        <v>0</v>
      </c>
      <c r="W84" s="202">
        <f ca="1">IFERROR(ROUND(INDEX(G:G,MATCH($T84,$A:$A,0)),0),INDEX(PREVIVAZ!$C58:$N58,1,MATCH(W$27,PREVIVAZ!$C$1:$N$1,1)))</f>
        <v>0</v>
      </c>
      <c r="X84" s="202">
        <f ca="1">IFERROR(ROUND(INDEX(H:H,MATCH($T84,$A:$A,0)),0),INDEX(PREVIVAZ!$C58:$N58,1,MATCH(X$27,PREVIVAZ!$C$1:$N$1,1)))</f>
        <v>0</v>
      </c>
      <c r="Y84" s="202">
        <f ca="1">IFERROR(ROUND(INDEX(I:I,MATCH($T84,$A:$A,0)),0),INDEX(PREVIVAZ!$C58:$N58,1,MATCH(Y$27,PREVIVAZ!$C$1:$N$1,1)))</f>
        <v>0</v>
      </c>
      <c r="Z84" s="202">
        <f ca="1">IFERROR(ROUND(INDEX(J:J,MATCH($T84,$A:$A,0)),0),INDEX(PREVIVAZ!$C58:$N58,1,MATCH(Z$27,PREVIVAZ!$C$1:$N$1,1)))</f>
        <v>0</v>
      </c>
      <c r="AA84" s="202">
        <f ca="1">IFERROR(ROUND(INDEX(K:K,MATCH($T84,$A:$A,0)),0),INDEX(PREVIVAZ!$C58:$N58,1,MATCH(AA$27,PREVIVAZ!$C$1:$N$1,1)))</f>
        <v>0</v>
      </c>
      <c r="AB84" s="202">
        <f ca="1">IFERROR(ROUND(INDEX(L:L,MATCH($T84,$A:$A,0)),0),INDEX(PREVIVAZ!$C58:$N58,1,MATCH(AB$27,PREVIVAZ!$C$1:$N$1,1)))</f>
        <v>0</v>
      </c>
      <c r="AC84" s="202">
        <f ca="1">IFERROR(ROUND(INDEX(M:M,MATCH($T84,$A:$A,0)),0),INDEX(PREVIVAZ!$C58:$N58,1,MATCH(AC$27,PREVIVAZ!$C$1:$N$1,1)))</f>
        <v>0</v>
      </c>
      <c r="AD84" s="202">
        <f ca="1">IFERROR(ROUND(INDEX(N:N,MATCH($T84,$A:$A,0)),0),INDEX(PREVIVAZ!$C58:$N58,1,MATCH(AD$27,PREVIVAZ!$C$1:$N$1,1)))</f>
        <v>0</v>
      </c>
      <c r="AE84" s="202">
        <f ca="1">IFERROR(ROUND(INDEX(O:O,MATCH($T84,$A:$A,0)),0),INDEX(PREVIVAZ!$C58:$N58,1,MATCH(AE$27,PREVIVAZ!$C$1:$N$1,1)))</f>
        <v>0</v>
      </c>
      <c r="AF84" s="202">
        <f ca="1">IFERROR(ROUND(INDEX(P:P,MATCH($T84,$A:$A,0)),0),INDEX(PREVIVAZ!$C58:$N58,1,MATCH(AF$27,PREVIVAZ!$C$1:$N$1,1)))</f>
        <v>0</v>
      </c>
      <c r="AG84" s="202">
        <f ca="1">IFERROR(ROUND(INDEX(Q:Q,MATCH($T84,$A:$A,0)),0),INDEX(PREVIVAZ!$C58:$N58,1,MATCH(AG$27,PREVIVAZ!$C$1:$N$1,1)))</f>
        <v>0</v>
      </c>
    </row>
    <row r="85" spans="1:33" ht="12.75" x14ac:dyDescent="0.2">
      <c r="A85" s="329">
        <v>238</v>
      </c>
      <c r="B85" s="283" t="str">
        <f t="shared" ref="B85" si="16">A85&amp;"_VN"</f>
        <v>238_VN</v>
      </c>
      <c r="C85" s="272" t="s">
        <v>218</v>
      </c>
      <c r="D85" s="241">
        <f t="shared" ref="D85" si="17">A85</f>
        <v>238</v>
      </c>
      <c r="E85" s="22">
        <f t="array" aca="1" ref="E85" ca="1">SUM(IFERROR(Propagações_TOT_TIETE!$B$7:$BW$69*(Propagações_TOT_TIETE!$B$6:$BW$6=$B85&amp;"A")*(Propagações_TOT_TIETE!$A$7:$A$69=E$26),0))</f>
        <v>717</v>
      </c>
      <c r="F85" s="22">
        <f t="array" aca="1" ref="F85" ca="1">SUM(IFERROR(Propagações_TOT_TIETE!$B$7:$BW$69*(Propagações_TOT_TIETE!$B$6:$BW$6=$B85&amp;"A")*(Propagações_TOT_TIETE!$A$7:$A$69=F$26),0))</f>
        <v>0</v>
      </c>
      <c r="G85" s="22">
        <f t="array" aca="1" ref="G85" ca="1">SUM(IFERROR(Propagações_TOT_TIETE!$B$7:$BW$69*(Propagações_TOT_TIETE!$B$6:$BW$6=$B85&amp;"A")*(Propagações_TOT_TIETE!$A$7:$A$69=G$26),0))</f>
        <v>0</v>
      </c>
      <c r="H85" s="22">
        <f t="array" aca="1" ref="H85" ca="1">SUM(IFERROR(Propagações_TOT_TIETE!$B$7:$BW$69*(Propagações_TOT_TIETE!$B$6:$BW$6=$B85&amp;"A")*(Propagações_TOT_TIETE!$A$7:$A$69=H$26),0))</f>
        <v>0</v>
      </c>
      <c r="I85" s="22">
        <f t="array" aca="1" ref="I85" ca="1">SUM(IFERROR(Propagações_TOT_TIETE!$B$7:$BW$69*(Propagações_TOT_TIETE!$B$6:$BW$6=$B85&amp;"A")*(Propagações_TOT_TIETE!$A$7:$A$69=I$26),0))</f>
        <v>0</v>
      </c>
      <c r="J85" s="22">
        <f t="array" aca="1" ref="J85" ca="1">SUM(IFERROR(Propagações_TOT_TIETE!$B$7:$BW$69*(Propagações_TOT_TIETE!$B$6:$BW$6=$B85&amp;"A")*(Propagações_TOT_TIETE!$A$7:$A$69=J$26),0))</f>
        <v>0</v>
      </c>
      <c r="K85" s="22">
        <f t="array" aca="1" ref="K85" ca="1">SUM(IFERROR(Propagações_TOT_TIETE!$B$7:$BW$69*(Propagações_TOT_TIETE!$B$6:$BW$6=$B85&amp;"A")*(Propagações_TOT_TIETE!$A$7:$A$69=K$26),0))</f>
        <v>0</v>
      </c>
      <c r="L85" s="22">
        <f t="array" aca="1" ref="L85" ca="1">SUM(IFERROR(Propagações_TOT_TIETE!$B$7:$BW$69*(Propagações_TOT_TIETE!$B$6:$BW$6=$B85&amp;"A")*(Propagações_TOT_TIETE!$A$7:$A$69=L$26),0))</f>
        <v>0</v>
      </c>
      <c r="M85" s="22">
        <f t="array" aca="1" ref="M85" ca="1">SUM(IFERROR(Propagações_TOT_TIETE!$B$7:$BW$69*(Propagações_TOT_TIETE!$B$6:$BW$6=$B85&amp;"A")*(Propagações_TOT_TIETE!$A$7:$A$69=M$26),0))</f>
        <v>0</v>
      </c>
      <c r="N85" s="22">
        <f t="array" aca="1" ref="N85" ca="1">SUM(IFERROR(Propagações_TOT_TIETE!$B$7:$BW$69*(Propagações_TOT_TIETE!$B$6:$BW$6=$B85&amp;"A")*(Propagações_TOT_TIETE!$A$7:$A$69=N$26),0))</f>
        <v>0</v>
      </c>
      <c r="O85" s="22">
        <f t="array" aca="1" ref="O85" ca="1">SUM(IFERROR(Propagações_TOT_TIETE!$B$7:$BW$69*(Propagações_TOT_TIETE!$B$6:$BW$6=$B85&amp;"A")*(Propagações_TOT_TIETE!$A$7:$A$69=O$26),0))</f>
        <v>0</v>
      </c>
      <c r="P85" s="22">
        <f t="array" aca="1" ref="P85" ca="1">SUM(IFERROR(Propagações_TOT_TIETE!$B$7:$BW$69*(Propagações_TOT_TIETE!$B$6:$BW$6=$B85&amp;"A")*(Propagações_TOT_TIETE!$A$7:$A$69=P$26),0))</f>
        <v>0</v>
      </c>
      <c r="Q85" s="22">
        <f t="array" aca="1" ref="Q85" ca="1">SUM(IFERROR(Propagações_TOT_TIETE!$B$7:$BW$69*(Propagações_TOT_TIETE!$B$6:$BW$6=$B85&amp;"A")*(Propagações_TOT_TIETE!$A$7:$A$69=Q$26),0))</f>
        <v>0</v>
      </c>
      <c r="R85"/>
      <c r="S85"/>
      <c r="T85" s="272">
        <v>58</v>
      </c>
      <c r="V85" s="202" t="e">
        <f ca="1">IFERROR(ROUND(INDEX(F:F,MATCH($T85,$A:$A,0)),0),INDEX(PREVIVAZ!$C59:$N59,1,MATCH(V$27,PREVIVAZ!$C$1:$N$1,1)))</f>
        <v>#N/A</v>
      </c>
      <c r="W85" s="202" t="e">
        <f ca="1">IFERROR(ROUND(INDEX(G:G,MATCH($T85,$A:$A,0)),0),INDEX(PREVIVAZ!$C59:$N59,1,MATCH(W$27,PREVIVAZ!$C$1:$N$1,1)))</f>
        <v>#N/A</v>
      </c>
      <c r="X85" s="202" t="e">
        <f ca="1">IFERROR(ROUND(INDEX(H:H,MATCH($T85,$A:$A,0)),0),INDEX(PREVIVAZ!$C59:$N59,1,MATCH(X$27,PREVIVAZ!$C$1:$N$1,1)))</f>
        <v>#N/A</v>
      </c>
      <c r="Y85" s="202" t="e">
        <f ca="1">IFERROR(ROUND(INDEX(I:I,MATCH($T85,$A:$A,0)),0),INDEX(PREVIVAZ!$C59:$N59,1,MATCH(Y$27,PREVIVAZ!$C$1:$N$1,1)))</f>
        <v>#N/A</v>
      </c>
      <c r="Z85" s="202" t="e">
        <f ca="1">IFERROR(ROUND(INDEX(J:J,MATCH($T85,$A:$A,0)),0),INDEX(PREVIVAZ!$C59:$N59,1,MATCH(Z$27,PREVIVAZ!$C$1:$N$1,1)))</f>
        <v>#N/A</v>
      </c>
      <c r="AA85" s="202" t="e">
        <f ca="1">IFERROR(ROUND(INDEX(K:K,MATCH($T85,$A:$A,0)),0),INDEX(PREVIVAZ!$C59:$N59,1,MATCH(AA$27,PREVIVAZ!$C$1:$N$1,1)))</f>
        <v>#N/A</v>
      </c>
      <c r="AB85" s="202" t="e">
        <f ca="1">IFERROR(ROUND(INDEX(L:L,MATCH($T85,$A:$A,0)),0),INDEX(PREVIVAZ!$C59:$N59,1,MATCH(AB$27,PREVIVAZ!$C$1:$N$1,1)))</f>
        <v>#N/A</v>
      </c>
      <c r="AC85" s="202" t="e">
        <f ca="1">IFERROR(ROUND(INDEX(M:M,MATCH($T85,$A:$A,0)),0),INDEX(PREVIVAZ!$C59:$N59,1,MATCH(AC$27,PREVIVAZ!$C$1:$N$1,1)))</f>
        <v>#N/A</v>
      </c>
      <c r="AD85" s="202" t="e">
        <f ca="1">IFERROR(ROUND(INDEX(N:N,MATCH($T85,$A:$A,0)),0),INDEX(PREVIVAZ!$C59:$N59,1,MATCH(AD$27,PREVIVAZ!$C$1:$N$1,1)))</f>
        <v>#N/A</v>
      </c>
      <c r="AE85" s="202" t="e">
        <f ca="1">IFERROR(ROUND(INDEX(O:O,MATCH($T85,$A:$A,0)),0),INDEX(PREVIVAZ!$C59:$N59,1,MATCH(AE$27,PREVIVAZ!$C$1:$N$1,1)))</f>
        <v>#N/A</v>
      </c>
      <c r="AF85" s="202" t="e">
        <f ca="1">IFERROR(ROUND(INDEX(P:P,MATCH($T85,$A:$A,0)),0),INDEX(PREVIVAZ!$C59:$N59,1,MATCH(AF$27,PREVIVAZ!$C$1:$N$1,1)))</f>
        <v>#N/A</v>
      </c>
      <c r="AG85" s="202" t="e">
        <f ca="1">IFERROR(ROUND(INDEX(Q:Q,MATCH($T85,$A:$A,0)),0),INDEX(PREVIVAZ!$C59:$N59,1,MATCH(AG$27,PREVIVAZ!$C$1:$N$1,1)))</f>
        <v>#N/A</v>
      </c>
    </row>
    <row r="86" spans="1:33" ht="12.75" x14ac:dyDescent="0.2">
      <c r="A86" s="329">
        <v>240</v>
      </c>
      <c r="B86" s="283" t="str">
        <f t="shared" ref="B86" si="18">A86&amp;"_VN"</f>
        <v>240_VN</v>
      </c>
      <c r="C86" s="272" t="s">
        <v>219</v>
      </c>
      <c r="D86" s="241">
        <f t="shared" ref="D86" si="19">A86</f>
        <v>240</v>
      </c>
      <c r="E86" s="22">
        <f t="array" aca="1" ref="E86" ca="1">SUM(IFERROR(Propagações_TOT_TIETE!$B$7:$BW$69*(Propagações_TOT_TIETE!$B$6:$BW$6=$B86&amp;"A")*(Propagações_TOT_TIETE!$A$7:$A$69=E$26),0))</f>
        <v>887</v>
      </c>
      <c r="F86" s="22">
        <f t="array" aca="1" ref="F86" ca="1">SUM(IFERROR(Propagações_TOT_TIETE!$B$7:$BW$69*(Propagações_TOT_TIETE!$B$6:$BW$6=$B86&amp;"A")*(Propagações_TOT_TIETE!$A$7:$A$69=F$26),0))</f>
        <v>0</v>
      </c>
      <c r="G86" s="22">
        <f t="array" aca="1" ref="G86" ca="1">SUM(IFERROR(Propagações_TOT_TIETE!$B$7:$BW$69*(Propagações_TOT_TIETE!$B$6:$BW$6=$B86&amp;"A")*(Propagações_TOT_TIETE!$A$7:$A$69=G$26),0))</f>
        <v>0</v>
      </c>
      <c r="H86" s="22">
        <f t="array" aca="1" ref="H86" ca="1">SUM(IFERROR(Propagações_TOT_TIETE!$B$7:$BW$69*(Propagações_TOT_TIETE!$B$6:$BW$6=$B86&amp;"A")*(Propagações_TOT_TIETE!$A$7:$A$69=H$26),0))</f>
        <v>0</v>
      </c>
      <c r="I86" s="22">
        <f t="array" aca="1" ref="I86" ca="1">SUM(IFERROR(Propagações_TOT_TIETE!$B$7:$BW$69*(Propagações_TOT_TIETE!$B$6:$BW$6=$B86&amp;"A")*(Propagações_TOT_TIETE!$A$7:$A$69=I$26),0))</f>
        <v>0</v>
      </c>
      <c r="J86" s="22">
        <f t="array" aca="1" ref="J86" ca="1">SUM(IFERROR(Propagações_TOT_TIETE!$B$7:$BW$69*(Propagações_TOT_TIETE!$B$6:$BW$6=$B86&amp;"A")*(Propagações_TOT_TIETE!$A$7:$A$69=J$26),0))</f>
        <v>0</v>
      </c>
      <c r="K86" s="22">
        <f t="array" aca="1" ref="K86" ca="1">SUM(IFERROR(Propagações_TOT_TIETE!$B$7:$BW$69*(Propagações_TOT_TIETE!$B$6:$BW$6=$B86&amp;"A")*(Propagações_TOT_TIETE!$A$7:$A$69=K$26),0))</f>
        <v>0</v>
      </c>
      <c r="L86" s="22">
        <f t="array" aca="1" ref="L86" ca="1">SUM(IFERROR(Propagações_TOT_TIETE!$B$7:$BW$69*(Propagações_TOT_TIETE!$B$6:$BW$6=$B86&amp;"A")*(Propagações_TOT_TIETE!$A$7:$A$69=L$26),0))</f>
        <v>0</v>
      </c>
      <c r="M86" s="22">
        <f t="array" aca="1" ref="M86" ca="1">SUM(IFERROR(Propagações_TOT_TIETE!$B$7:$BW$69*(Propagações_TOT_TIETE!$B$6:$BW$6=$B86&amp;"A")*(Propagações_TOT_TIETE!$A$7:$A$69=M$26),0))</f>
        <v>0</v>
      </c>
      <c r="N86" s="22">
        <f t="array" aca="1" ref="N86" ca="1">SUM(IFERROR(Propagações_TOT_TIETE!$B$7:$BW$69*(Propagações_TOT_TIETE!$B$6:$BW$6=$B86&amp;"A")*(Propagações_TOT_TIETE!$A$7:$A$69=N$26),0))</f>
        <v>0</v>
      </c>
      <c r="O86" s="22">
        <f t="array" aca="1" ref="O86" ca="1">SUM(IFERROR(Propagações_TOT_TIETE!$B$7:$BW$69*(Propagações_TOT_TIETE!$B$6:$BW$6=$B86&amp;"A")*(Propagações_TOT_TIETE!$A$7:$A$69=O$26),0))</f>
        <v>0</v>
      </c>
      <c r="P86" s="22">
        <f t="array" aca="1" ref="P86" ca="1">SUM(IFERROR(Propagações_TOT_TIETE!$B$7:$BW$69*(Propagações_TOT_TIETE!$B$6:$BW$6=$B86&amp;"A")*(Propagações_TOT_TIETE!$A$7:$A$69=P$26),0))</f>
        <v>0</v>
      </c>
      <c r="Q86" s="22">
        <f t="array" aca="1" ref="Q86" ca="1">SUM(IFERROR(Propagações_TOT_TIETE!$B$7:$BW$69*(Propagações_TOT_TIETE!$B$6:$BW$6=$B86&amp;"A")*(Propagações_TOT_TIETE!$A$7:$A$69=Q$26),0))</f>
        <v>0</v>
      </c>
      <c r="R86"/>
      <c r="T86" s="272">
        <v>59</v>
      </c>
      <c r="V86" s="202" t="e">
        <f ca="1">IFERROR(ROUND(INDEX(F:F,MATCH($T86,$A:$A,0)),0),INDEX(PREVIVAZ!$C60:$N60,1,MATCH(V$27,PREVIVAZ!$C$1:$N$1,1)))</f>
        <v>#N/A</v>
      </c>
      <c r="W86" s="202" t="e">
        <f ca="1">IFERROR(ROUND(INDEX(G:G,MATCH($T86,$A:$A,0)),0),INDEX(PREVIVAZ!$C60:$N60,1,MATCH(W$27,PREVIVAZ!$C$1:$N$1,1)))</f>
        <v>#N/A</v>
      </c>
      <c r="X86" s="202" t="e">
        <f ca="1">IFERROR(ROUND(INDEX(H:H,MATCH($T86,$A:$A,0)),0),INDEX(PREVIVAZ!$C60:$N60,1,MATCH(X$27,PREVIVAZ!$C$1:$N$1,1)))</f>
        <v>#N/A</v>
      </c>
      <c r="Y86" s="202" t="e">
        <f ca="1">IFERROR(ROUND(INDEX(I:I,MATCH($T86,$A:$A,0)),0),INDEX(PREVIVAZ!$C60:$N60,1,MATCH(Y$27,PREVIVAZ!$C$1:$N$1,1)))</f>
        <v>#N/A</v>
      </c>
      <c r="Z86" s="202" t="e">
        <f ca="1">IFERROR(ROUND(INDEX(J:J,MATCH($T86,$A:$A,0)),0),INDEX(PREVIVAZ!$C60:$N60,1,MATCH(Z$27,PREVIVAZ!$C$1:$N$1,1)))</f>
        <v>#N/A</v>
      </c>
      <c r="AA86" s="202" t="e">
        <f ca="1">IFERROR(ROUND(INDEX(K:K,MATCH($T86,$A:$A,0)),0),INDEX(PREVIVAZ!$C60:$N60,1,MATCH(AA$27,PREVIVAZ!$C$1:$N$1,1)))</f>
        <v>#N/A</v>
      </c>
      <c r="AB86" s="202" t="e">
        <f ca="1">IFERROR(ROUND(INDEX(L:L,MATCH($T86,$A:$A,0)),0),INDEX(PREVIVAZ!$C60:$N60,1,MATCH(AB$27,PREVIVAZ!$C$1:$N$1,1)))</f>
        <v>#N/A</v>
      </c>
      <c r="AC86" s="202" t="e">
        <f ca="1">IFERROR(ROUND(INDEX(M:M,MATCH($T86,$A:$A,0)),0),INDEX(PREVIVAZ!$C60:$N60,1,MATCH(AC$27,PREVIVAZ!$C$1:$N$1,1)))</f>
        <v>#N/A</v>
      </c>
      <c r="AD86" s="202" t="e">
        <f ca="1">IFERROR(ROUND(INDEX(N:N,MATCH($T86,$A:$A,0)),0),INDEX(PREVIVAZ!$C60:$N60,1,MATCH(AD$27,PREVIVAZ!$C$1:$N$1,1)))</f>
        <v>#N/A</v>
      </c>
      <c r="AE86" s="202" t="e">
        <f ca="1">IFERROR(ROUND(INDEX(O:O,MATCH($T86,$A:$A,0)),0),INDEX(PREVIVAZ!$C60:$N60,1,MATCH(AE$27,PREVIVAZ!$C$1:$N$1,1)))</f>
        <v>#N/A</v>
      </c>
      <c r="AF86" s="202" t="e">
        <f ca="1">IFERROR(ROUND(INDEX(P:P,MATCH($T86,$A:$A,0)),0),INDEX(PREVIVAZ!$C60:$N60,1,MATCH(AF$27,PREVIVAZ!$C$1:$N$1,1)))</f>
        <v>#N/A</v>
      </c>
      <c r="AG86" s="202" t="e">
        <f ca="1">IFERROR(ROUND(INDEX(Q:Q,MATCH($T86,$A:$A,0)),0),INDEX(PREVIVAZ!$C60:$N60,1,MATCH(AG$27,PREVIVAZ!$C$1:$N$1,1)))</f>
        <v>#N/A</v>
      </c>
    </row>
    <row r="87" spans="1:33" ht="12.75" x14ac:dyDescent="0.2">
      <c r="A87" s="329">
        <v>318</v>
      </c>
      <c r="B87" s="283" t="str">
        <f t="shared" ref="B87" si="20">A87&amp;"_VN"</f>
        <v>318_VN</v>
      </c>
      <c r="C87" s="272" t="s">
        <v>217</v>
      </c>
      <c r="D87" s="241">
        <f t="shared" ref="D87" si="21">A87</f>
        <v>318</v>
      </c>
      <c r="E87" s="22">
        <f t="array" aca="1" ref="E87" ca="1">SUM(IFERROR(Propagações_TOT_TIETE!$B$7:$BW$69*(Propagações_TOT_TIETE!$B$6:$BW$6=$B87&amp;"A")*(Propagações_TOT_TIETE!$A$7:$A$69=E$26),0))</f>
        <v>78</v>
      </c>
      <c r="F87" s="22">
        <f t="array" aca="1" ref="F87" ca="1">SUM(IFERROR(Propagações_TOT_TIETE!$B$7:$BW$69*(Propagações_TOT_TIETE!$B$6:$BW$6=$B87&amp;"A")*(Propagações_TOT_TIETE!$A$7:$A$69=F$26),0))</f>
        <v>0</v>
      </c>
      <c r="G87" s="22">
        <f t="array" aca="1" ref="G87" ca="1">SUM(IFERROR(Propagações_TOT_TIETE!$B$7:$BW$69*(Propagações_TOT_TIETE!$B$6:$BW$6=$B87&amp;"A")*(Propagações_TOT_TIETE!$A$7:$A$69=G$26),0))</f>
        <v>0</v>
      </c>
      <c r="H87" s="22">
        <f t="array" aca="1" ref="H87" ca="1">SUM(IFERROR(Propagações_TOT_TIETE!$B$7:$BW$69*(Propagações_TOT_TIETE!$B$6:$BW$6=$B87&amp;"A")*(Propagações_TOT_TIETE!$A$7:$A$69=H$26),0))</f>
        <v>0</v>
      </c>
      <c r="I87" s="22">
        <f t="array" aca="1" ref="I87" ca="1">SUM(IFERROR(Propagações_TOT_TIETE!$B$7:$BW$69*(Propagações_TOT_TIETE!$B$6:$BW$6=$B87&amp;"A")*(Propagações_TOT_TIETE!$A$7:$A$69=I$26),0))</f>
        <v>0</v>
      </c>
      <c r="J87" s="22">
        <f t="array" aca="1" ref="J87" ca="1">SUM(IFERROR(Propagações_TOT_TIETE!$B$7:$BW$69*(Propagações_TOT_TIETE!$B$6:$BW$6=$B87&amp;"A")*(Propagações_TOT_TIETE!$A$7:$A$69=J$26),0))</f>
        <v>0</v>
      </c>
      <c r="K87" s="22">
        <f t="array" aca="1" ref="K87" ca="1">SUM(IFERROR(Propagações_TOT_TIETE!$B$7:$BW$69*(Propagações_TOT_TIETE!$B$6:$BW$6=$B87&amp;"A")*(Propagações_TOT_TIETE!$A$7:$A$69=K$26),0))</f>
        <v>0</v>
      </c>
      <c r="L87" s="22">
        <f t="array" aca="1" ref="L87" ca="1">SUM(IFERROR(Propagações_TOT_TIETE!$B$7:$BW$69*(Propagações_TOT_TIETE!$B$6:$BW$6=$B87&amp;"A")*(Propagações_TOT_TIETE!$A$7:$A$69=L$26),0))</f>
        <v>0</v>
      </c>
      <c r="M87" s="22">
        <f t="array" aca="1" ref="M87" ca="1">SUM(IFERROR(Propagações_TOT_TIETE!$B$7:$BW$69*(Propagações_TOT_TIETE!$B$6:$BW$6=$B87&amp;"A")*(Propagações_TOT_TIETE!$A$7:$A$69=M$26),0))</f>
        <v>0</v>
      </c>
      <c r="N87" s="22">
        <f t="array" aca="1" ref="N87" ca="1">SUM(IFERROR(Propagações_TOT_TIETE!$B$7:$BW$69*(Propagações_TOT_TIETE!$B$6:$BW$6=$B87&amp;"A")*(Propagações_TOT_TIETE!$A$7:$A$69=N$26),0))</f>
        <v>0</v>
      </c>
      <c r="O87" s="22">
        <f t="array" aca="1" ref="O87" ca="1">SUM(IFERROR(Propagações_TOT_TIETE!$B$7:$BW$69*(Propagações_TOT_TIETE!$B$6:$BW$6=$B87&amp;"A")*(Propagações_TOT_TIETE!$A$7:$A$69=O$26),0))</f>
        <v>0</v>
      </c>
      <c r="P87" s="22">
        <f t="array" aca="1" ref="P87" ca="1">SUM(IFERROR(Propagações_TOT_TIETE!$B$7:$BW$69*(Propagações_TOT_TIETE!$B$6:$BW$6=$B87&amp;"A")*(Propagações_TOT_TIETE!$A$7:$A$69=P$26),0))</f>
        <v>0</v>
      </c>
      <c r="Q87" s="22">
        <f t="array" aca="1" ref="Q87" ca="1">SUM(IFERROR(Propagações_TOT_TIETE!$B$7:$BW$69*(Propagações_TOT_TIETE!$B$6:$BW$6=$B87&amp;"A")*(Propagações_TOT_TIETE!$A$7:$A$69=Q$26),0))</f>
        <v>0</v>
      </c>
      <c r="R87"/>
      <c r="T87" s="272">
        <v>60</v>
      </c>
      <c r="V87" s="202" t="e">
        <f ca="1">IFERROR(ROUND(INDEX(F:F,MATCH($T87,$A:$A,0)),0),INDEX(PREVIVAZ!$C61:$N61,1,MATCH(V$27,PREVIVAZ!$C$1:$N$1,1)))</f>
        <v>#N/A</v>
      </c>
      <c r="W87" s="202" t="e">
        <f ca="1">IFERROR(ROUND(INDEX(G:G,MATCH($T87,$A:$A,0)),0),INDEX(PREVIVAZ!$C61:$N61,1,MATCH(W$27,PREVIVAZ!$C$1:$N$1,1)))</f>
        <v>#N/A</v>
      </c>
      <c r="X87" s="202" t="e">
        <f ca="1">IFERROR(ROUND(INDEX(H:H,MATCH($T87,$A:$A,0)),0),INDEX(PREVIVAZ!$C61:$N61,1,MATCH(X$27,PREVIVAZ!$C$1:$N$1,1)))</f>
        <v>#N/A</v>
      </c>
      <c r="Y87" s="202" t="e">
        <f ca="1">IFERROR(ROUND(INDEX(I:I,MATCH($T87,$A:$A,0)),0),INDEX(PREVIVAZ!$C61:$N61,1,MATCH(Y$27,PREVIVAZ!$C$1:$N$1,1)))</f>
        <v>#N/A</v>
      </c>
      <c r="Z87" s="202" t="e">
        <f ca="1">IFERROR(ROUND(INDEX(J:J,MATCH($T87,$A:$A,0)),0),INDEX(PREVIVAZ!$C61:$N61,1,MATCH(Z$27,PREVIVAZ!$C$1:$N$1,1)))</f>
        <v>#N/A</v>
      </c>
      <c r="AA87" s="202" t="e">
        <f ca="1">IFERROR(ROUND(INDEX(K:K,MATCH($T87,$A:$A,0)),0),INDEX(PREVIVAZ!$C61:$N61,1,MATCH(AA$27,PREVIVAZ!$C$1:$N$1,1)))</f>
        <v>#N/A</v>
      </c>
      <c r="AB87" s="202" t="e">
        <f ca="1">IFERROR(ROUND(INDEX(L:L,MATCH($T87,$A:$A,0)),0),INDEX(PREVIVAZ!$C61:$N61,1,MATCH(AB$27,PREVIVAZ!$C$1:$N$1,1)))</f>
        <v>#N/A</v>
      </c>
      <c r="AC87" s="202" t="e">
        <f ca="1">IFERROR(ROUND(INDEX(M:M,MATCH($T87,$A:$A,0)),0),INDEX(PREVIVAZ!$C61:$N61,1,MATCH(AC$27,PREVIVAZ!$C$1:$N$1,1)))</f>
        <v>#N/A</v>
      </c>
      <c r="AD87" s="202" t="e">
        <f ca="1">IFERROR(ROUND(INDEX(N:N,MATCH($T87,$A:$A,0)),0),INDEX(PREVIVAZ!$C61:$N61,1,MATCH(AD$27,PREVIVAZ!$C$1:$N$1,1)))</f>
        <v>#N/A</v>
      </c>
      <c r="AE87" s="202" t="e">
        <f ca="1">IFERROR(ROUND(INDEX(O:O,MATCH($T87,$A:$A,0)),0),INDEX(PREVIVAZ!$C61:$N61,1,MATCH(AE$27,PREVIVAZ!$C$1:$N$1,1)))</f>
        <v>#N/A</v>
      </c>
      <c r="AF87" s="202" t="e">
        <f ca="1">IFERROR(ROUND(INDEX(P:P,MATCH($T87,$A:$A,0)),0),INDEX(PREVIVAZ!$C61:$N61,1,MATCH(AF$27,PREVIVAZ!$C$1:$N$1,1)))</f>
        <v>#N/A</v>
      </c>
      <c r="AG87" s="202" t="e">
        <f ca="1">IFERROR(ROUND(INDEX(Q:Q,MATCH($T87,$A:$A,0)),0),INDEX(PREVIVAZ!$C61:$N61,1,MATCH(AG$27,PREVIVAZ!$C$1:$N$1,1)))</f>
        <v>#N/A</v>
      </c>
    </row>
    <row r="88" spans="1:33" ht="12.75" x14ac:dyDescent="0.2">
      <c r="A88" s="249"/>
      <c r="B88" s="240"/>
      <c r="C88" s="240"/>
      <c r="D88" s="240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T88" s="272">
        <v>61</v>
      </c>
      <c r="V88" s="202">
        <f ca="1">IFERROR(ROUND(INDEX(F:F,MATCH($T88,$A:$A,0)),0),INDEX(PREVIVAZ!$C62:$N62,1,MATCH(V$27,PREVIVAZ!$C$1:$N$1,1)))</f>
        <v>0</v>
      </c>
      <c r="W88" s="202">
        <f ca="1">IFERROR(ROUND(INDEX(G:G,MATCH($T88,$A:$A,0)),0),INDEX(PREVIVAZ!$C62:$N62,1,MATCH(W$27,PREVIVAZ!$C$1:$N$1,1)))</f>
        <v>0</v>
      </c>
      <c r="X88" s="202">
        <f ca="1">IFERROR(ROUND(INDEX(H:H,MATCH($T88,$A:$A,0)),0),INDEX(PREVIVAZ!$C62:$N62,1,MATCH(X$27,PREVIVAZ!$C$1:$N$1,1)))</f>
        <v>0</v>
      </c>
      <c r="Y88" s="202">
        <f ca="1">IFERROR(ROUND(INDEX(I:I,MATCH($T88,$A:$A,0)),0),INDEX(PREVIVAZ!$C62:$N62,1,MATCH(Y$27,PREVIVAZ!$C$1:$N$1,1)))</f>
        <v>0</v>
      </c>
      <c r="Z88" s="202">
        <f ca="1">IFERROR(ROUND(INDEX(J:J,MATCH($T88,$A:$A,0)),0),INDEX(PREVIVAZ!$C62:$N62,1,MATCH(Z$27,PREVIVAZ!$C$1:$N$1,1)))</f>
        <v>0</v>
      </c>
      <c r="AA88" s="202">
        <f ca="1">IFERROR(ROUND(INDEX(K:K,MATCH($T88,$A:$A,0)),0),INDEX(PREVIVAZ!$C62:$N62,1,MATCH(AA$27,PREVIVAZ!$C$1:$N$1,1)))</f>
        <v>0</v>
      </c>
      <c r="AB88" s="202">
        <f ca="1">IFERROR(ROUND(INDEX(L:L,MATCH($T88,$A:$A,0)),0),INDEX(PREVIVAZ!$C62:$N62,1,MATCH(AB$27,PREVIVAZ!$C$1:$N$1,1)))</f>
        <v>0</v>
      </c>
      <c r="AC88" s="202">
        <f ca="1">IFERROR(ROUND(INDEX(M:M,MATCH($T88,$A:$A,0)),0),INDEX(PREVIVAZ!$C62:$N62,1,MATCH(AC$27,PREVIVAZ!$C$1:$N$1,1)))</f>
        <v>0</v>
      </c>
      <c r="AD88" s="202">
        <f ca="1">IFERROR(ROUND(INDEX(N:N,MATCH($T88,$A:$A,0)),0),INDEX(PREVIVAZ!$C62:$N62,1,MATCH(AD$27,PREVIVAZ!$C$1:$N$1,1)))</f>
        <v>0</v>
      </c>
      <c r="AE88" s="202">
        <f ca="1">IFERROR(ROUND(INDEX(O:O,MATCH($T88,$A:$A,0)),0),INDEX(PREVIVAZ!$C62:$N62,1,MATCH(AE$27,PREVIVAZ!$C$1:$N$1,1)))</f>
        <v>0</v>
      </c>
      <c r="AF88" s="202">
        <f ca="1">IFERROR(ROUND(INDEX(P:P,MATCH($T88,$A:$A,0)),0),INDEX(PREVIVAZ!$C62:$N62,1,MATCH(AF$27,PREVIVAZ!$C$1:$N$1,1)))</f>
        <v>0</v>
      </c>
      <c r="AG88" s="202">
        <f ca="1">IFERROR(ROUND(INDEX(Q:Q,MATCH($T88,$A:$A,0)),0),INDEX(PREVIVAZ!$C62:$N62,1,MATCH(AG$27,PREVIVAZ!$C$1:$N$1,1)))</f>
        <v>0</v>
      </c>
    </row>
    <row r="89" spans="1:33" ht="13.5" thickBot="1" x14ac:dyDescent="0.25">
      <c r="A89" s="249"/>
      <c r="B89" s="240"/>
      <c r="C89" s="240"/>
      <c r="D89" s="240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T89" s="272">
        <v>62</v>
      </c>
      <c r="V89" s="202">
        <f ca="1">IFERROR(ROUND(INDEX(F:F,MATCH($T89,$A:$A,0)),0),INDEX(PREVIVAZ!$C63:$N63,1,MATCH(V$27,PREVIVAZ!$C$1:$N$1,1)))</f>
        <v>0</v>
      </c>
      <c r="W89" s="202">
        <f ca="1">IFERROR(ROUND(INDEX(G:G,MATCH($T89,$A:$A,0)),0),INDEX(PREVIVAZ!$C63:$N63,1,MATCH(W$27,PREVIVAZ!$C$1:$N$1,1)))</f>
        <v>0</v>
      </c>
      <c r="X89" s="202">
        <f ca="1">IFERROR(ROUND(INDEX(H:H,MATCH($T89,$A:$A,0)),0),INDEX(PREVIVAZ!$C63:$N63,1,MATCH(X$27,PREVIVAZ!$C$1:$N$1,1)))</f>
        <v>0</v>
      </c>
      <c r="Y89" s="202">
        <f ca="1">IFERROR(ROUND(INDEX(I:I,MATCH($T89,$A:$A,0)),0),INDEX(PREVIVAZ!$C63:$N63,1,MATCH(Y$27,PREVIVAZ!$C$1:$N$1,1)))</f>
        <v>0</v>
      </c>
      <c r="Z89" s="202">
        <f ca="1">IFERROR(ROUND(INDEX(J:J,MATCH($T89,$A:$A,0)),0),INDEX(PREVIVAZ!$C63:$N63,1,MATCH(Z$27,PREVIVAZ!$C$1:$N$1,1)))</f>
        <v>0</v>
      </c>
      <c r="AA89" s="202">
        <f ca="1">IFERROR(ROUND(INDEX(K:K,MATCH($T89,$A:$A,0)),0),INDEX(PREVIVAZ!$C63:$N63,1,MATCH(AA$27,PREVIVAZ!$C$1:$N$1,1)))</f>
        <v>0</v>
      </c>
      <c r="AB89" s="202">
        <f ca="1">IFERROR(ROUND(INDEX(L:L,MATCH($T89,$A:$A,0)),0),INDEX(PREVIVAZ!$C63:$N63,1,MATCH(AB$27,PREVIVAZ!$C$1:$N$1,1)))</f>
        <v>0</v>
      </c>
      <c r="AC89" s="202">
        <f ca="1">IFERROR(ROUND(INDEX(M:M,MATCH($T89,$A:$A,0)),0),INDEX(PREVIVAZ!$C63:$N63,1,MATCH(AC$27,PREVIVAZ!$C$1:$N$1,1)))</f>
        <v>0</v>
      </c>
      <c r="AD89" s="202">
        <f ca="1">IFERROR(ROUND(INDEX(N:N,MATCH($T89,$A:$A,0)),0),INDEX(PREVIVAZ!$C63:$N63,1,MATCH(AD$27,PREVIVAZ!$C$1:$N$1,1)))</f>
        <v>0</v>
      </c>
      <c r="AE89" s="202">
        <f ca="1">IFERROR(ROUND(INDEX(O:O,MATCH($T89,$A:$A,0)),0),INDEX(PREVIVAZ!$C63:$N63,1,MATCH(AE$27,PREVIVAZ!$C$1:$N$1,1)))</f>
        <v>0</v>
      </c>
      <c r="AF89" s="202">
        <f ca="1">IFERROR(ROUND(INDEX(P:P,MATCH($T89,$A:$A,0)),0),INDEX(PREVIVAZ!$C63:$N63,1,MATCH(AF$27,PREVIVAZ!$C$1:$N$1,1)))</f>
        <v>0</v>
      </c>
      <c r="AG89" s="202">
        <f ca="1">IFERROR(ROUND(INDEX(Q:Q,MATCH($T89,$A:$A,0)),0),INDEX(PREVIVAZ!$C63:$N63,1,MATCH(AG$27,PREVIVAZ!$C$1:$N$1,1)))</f>
        <v>0</v>
      </c>
    </row>
    <row r="90" spans="1:33" ht="13.5" thickBot="1" x14ac:dyDescent="0.25">
      <c r="A90" s="289">
        <v>155</v>
      </c>
      <c r="B90" s="282" t="str">
        <f t="shared" ref="B90:B92" si="22">A90&amp;"_VN"</f>
        <v>155_VN</v>
      </c>
      <c r="C90" s="272" t="s">
        <v>163</v>
      </c>
      <c r="D90" s="241">
        <f>A90</f>
        <v>155</v>
      </c>
      <c r="E90" s="132">
        <f t="array" aca="1" ref="E90" ca="1">SUM(IFERROR(Propagações_TOT_SAOFRAN!$B$7:$CA$69*(Propagações_TOT_SAOFRAN!$B$6:$CA$6=$B90&amp;"A")*(Propagações_TOT_SAOFRAN!$A$7:$A$69&gt;=E$26)*(Propagações_TOT_SAOFRAN!$A$7:$A$69&lt;=E$27),0))</f>
        <v>85</v>
      </c>
      <c r="F90" s="132">
        <f t="array" aca="1" ref="F90" ca="1">SUM(IFERROR(Propagações_TOT_SAOFRAN!$B$7:$CA$69*(Propagações_TOT_SAOFRAN!$B$6:$CA$6=$B90&amp;"A")*(Propagações_TOT_SAOFRAN!$A$7:$A$69&gt;=F$26)*(Propagações_TOT_SAOFRAN!$A$7:$A$69&lt;=F$27),0))</f>
        <v>0</v>
      </c>
      <c r="G90" s="132">
        <f t="array" aca="1" ref="G90" ca="1">SUM(IFERROR(Propagações_TOT_SAOFRAN!$B$7:$CA$69*(Propagações_TOT_SAOFRAN!$B$6:$CA$6=$B90&amp;"A")*(Propagações_TOT_SAOFRAN!$A$7:$A$69&gt;=G$26)*(Propagações_TOT_SAOFRAN!$A$7:$A$69&lt;=G$27),0))</f>
        <v>0</v>
      </c>
      <c r="H90" s="132">
        <f t="array" aca="1" ref="H90" ca="1">SUM(IFERROR(Propagações_TOT_SAOFRAN!$B$7:$CA$69*(Propagações_TOT_SAOFRAN!$B$6:$CA$6=$B90&amp;"A")*(Propagações_TOT_SAOFRAN!$A$7:$A$69&gt;=H$26)*(Propagações_TOT_SAOFRAN!$A$7:$A$69&lt;=H$27),0))</f>
        <v>0</v>
      </c>
      <c r="I90" s="132">
        <f t="array" aca="1" ref="I90" ca="1">SUM(IFERROR(Propagações_TOT_SAOFRAN!$B$7:$CA$69*(Propagações_TOT_SAOFRAN!$B$6:$CA$6=$B90&amp;"A")*(Propagações_TOT_SAOFRAN!$A$7:$A$69&gt;=I$26)*(Propagações_TOT_SAOFRAN!$A$7:$A$69&lt;=I$27),0))</f>
        <v>0</v>
      </c>
      <c r="J90" s="132">
        <f t="array" aca="1" ref="J90" ca="1">SUM(IFERROR(Propagações_TOT_SAOFRAN!$B$7:$CA$69*(Propagações_TOT_SAOFRAN!$B$6:$CA$6=$B90&amp;"A")*(Propagações_TOT_SAOFRAN!$A$7:$A$69&gt;=J$26)*(Propagações_TOT_SAOFRAN!$A$7:$A$69&lt;=J$27),0))</f>
        <v>0</v>
      </c>
      <c r="K90" s="132">
        <f t="array" aca="1" ref="K90" ca="1">SUM(IFERROR(Propagações_TOT_SAOFRAN!$B$7:$CA$69*(Propagações_TOT_SAOFRAN!$B$6:$CA$6=$B90&amp;"A")*(Propagações_TOT_SAOFRAN!$A$7:$A$69&gt;=K$26)*(Propagações_TOT_SAOFRAN!$A$7:$A$69&lt;=K$27),0))</f>
        <v>0</v>
      </c>
      <c r="L90" s="132">
        <f t="array" aca="1" ref="L90" ca="1">SUM(IFERROR(Propagações_TOT_SAOFRAN!$B$7:$CA$69*(Propagações_TOT_SAOFRAN!$B$6:$CA$6=$B90&amp;"A")*(Propagações_TOT_SAOFRAN!$A$7:$A$69&gt;=L$26)*(Propagações_TOT_SAOFRAN!$A$7:$A$69&lt;=L$27),0))</f>
        <v>0</v>
      </c>
      <c r="M90" s="132">
        <f t="array" aca="1" ref="M90" ca="1">SUM(IFERROR(Propagações_TOT_SAOFRAN!$B$7:$CA$69*(Propagações_TOT_SAOFRAN!$B$6:$CA$6=$B90&amp;"A")*(Propagações_TOT_SAOFRAN!$A$7:$A$69&gt;=M$26)*(Propagações_TOT_SAOFRAN!$A$7:$A$69&lt;=M$27),0))</f>
        <v>0</v>
      </c>
      <c r="N90" s="132">
        <f t="array" aca="1" ref="N90" ca="1">SUM(IFERROR(Propagações_TOT_SAOFRAN!$B$7:$CA$69*(Propagações_TOT_SAOFRAN!$B$6:$CA$6=$B90&amp;"A")*(Propagações_TOT_SAOFRAN!$A$7:$A$69&gt;=N$26)*(Propagações_TOT_SAOFRAN!$A$7:$A$69&lt;=N$27),0))</f>
        <v>0</v>
      </c>
      <c r="O90" s="132">
        <f t="array" aca="1" ref="O90" ca="1">SUM(IFERROR(Propagações_TOT_SAOFRAN!$B$7:$CA$69*(Propagações_TOT_SAOFRAN!$B$6:$CA$6=$B90&amp;"A")*(Propagações_TOT_SAOFRAN!$A$7:$A$69&gt;=O$26)*(Propagações_TOT_SAOFRAN!$A$7:$A$69&lt;=O$27),0))</f>
        <v>0</v>
      </c>
      <c r="P90" s="132">
        <f t="array" aca="1" ref="P90" ca="1">SUM(IFERROR(Propagações_TOT_SAOFRAN!$B$7:$CA$69*(Propagações_TOT_SAOFRAN!$B$6:$CA$6=$B90&amp;"A")*(Propagações_TOT_SAOFRAN!$A$7:$A$69&gt;=P$26)*(Propagações_TOT_SAOFRAN!$A$7:$A$69&lt;=P$27),0))</f>
        <v>0</v>
      </c>
      <c r="Q90" s="132">
        <f t="array" aca="1" ref="Q90" ca="1">SUM(IFERROR(Propagações_TOT_SAOFRAN!$B$7:$CA$69*(Propagações_TOT_SAOFRAN!$B$6:$CA$6=$B90&amp;"A")*(Propagações_TOT_SAOFRAN!$A$7:$A$69&gt;=Q$26)*(Propagações_TOT_SAOFRAN!$A$7:$A$69&lt;=Q$27),0))</f>
        <v>0</v>
      </c>
      <c r="R90" s="132"/>
      <c r="S90"/>
      <c r="T90" s="272">
        <v>63</v>
      </c>
      <c r="V90" s="202">
        <f ca="1">IFERROR(ROUND(INDEX(F:F,MATCH($T90,$A:$A,0)),0),INDEX(PREVIVAZ!$C64:$N64,1,MATCH(V$27,PREVIVAZ!$C$1:$N$1,1)))</f>
        <v>0</v>
      </c>
      <c r="W90" s="202">
        <f ca="1">IFERROR(ROUND(INDEX(G:G,MATCH($T90,$A:$A,0)),0),INDEX(PREVIVAZ!$C64:$N64,1,MATCH(W$27,PREVIVAZ!$C$1:$N$1,1)))</f>
        <v>0</v>
      </c>
      <c r="X90" s="202">
        <f ca="1">IFERROR(ROUND(INDEX(H:H,MATCH($T90,$A:$A,0)),0),INDEX(PREVIVAZ!$C64:$N64,1,MATCH(X$27,PREVIVAZ!$C$1:$N$1,1)))</f>
        <v>0</v>
      </c>
      <c r="Y90" s="202">
        <f ca="1">IFERROR(ROUND(INDEX(I:I,MATCH($T90,$A:$A,0)),0),INDEX(PREVIVAZ!$C64:$N64,1,MATCH(Y$27,PREVIVAZ!$C$1:$N$1,1)))</f>
        <v>0</v>
      </c>
      <c r="Z90" s="202">
        <f ca="1">IFERROR(ROUND(INDEX(J:J,MATCH($T90,$A:$A,0)),0),INDEX(PREVIVAZ!$C64:$N64,1,MATCH(Z$27,PREVIVAZ!$C$1:$N$1,1)))</f>
        <v>0</v>
      </c>
      <c r="AA90" s="202">
        <f ca="1">IFERROR(ROUND(INDEX(K:K,MATCH($T90,$A:$A,0)),0),INDEX(PREVIVAZ!$C64:$N64,1,MATCH(AA$27,PREVIVAZ!$C$1:$N$1,1)))</f>
        <v>0</v>
      </c>
      <c r="AB90" s="202">
        <f ca="1">IFERROR(ROUND(INDEX(L:L,MATCH($T90,$A:$A,0)),0),INDEX(PREVIVAZ!$C64:$N64,1,MATCH(AB$27,PREVIVAZ!$C$1:$N$1,1)))</f>
        <v>0</v>
      </c>
      <c r="AC90" s="202">
        <f ca="1">IFERROR(ROUND(INDEX(M:M,MATCH($T90,$A:$A,0)),0),INDEX(PREVIVAZ!$C64:$N64,1,MATCH(AC$27,PREVIVAZ!$C$1:$N$1,1)))</f>
        <v>0</v>
      </c>
      <c r="AD90" s="202">
        <f ca="1">IFERROR(ROUND(INDEX(N:N,MATCH($T90,$A:$A,0)),0),INDEX(PREVIVAZ!$C64:$N64,1,MATCH(AD$27,PREVIVAZ!$C$1:$N$1,1)))</f>
        <v>0</v>
      </c>
      <c r="AE90" s="202">
        <f ca="1">IFERROR(ROUND(INDEX(O:O,MATCH($T90,$A:$A,0)),0),INDEX(PREVIVAZ!$C64:$N64,1,MATCH(AE$27,PREVIVAZ!$C$1:$N$1,1)))</f>
        <v>0</v>
      </c>
      <c r="AF90" s="202">
        <f ca="1">IFERROR(ROUND(INDEX(P:P,MATCH($T90,$A:$A,0)),0),INDEX(PREVIVAZ!$C64:$N64,1,MATCH(AF$27,PREVIVAZ!$C$1:$N$1,1)))</f>
        <v>0</v>
      </c>
      <c r="AG90" s="202">
        <f ca="1">IFERROR(ROUND(INDEX(Q:Q,MATCH($T90,$A:$A,0)),0),INDEX(PREVIVAZ!$C64:$N64,1,MATCH(AG$27,PREVIVAZ!$C$1:$N$1,1)))</f>
        <v>0</v>
      </c>
    </row>
    <row r="91" spans="1:33" ht="12.75" x14ac:dyDescent="0.2">
      <c r="A91" s="101">
        <v>156</v>
      </c>
      <c r="B91" s="282" t="str">
        <f t="shared" si="22"/>
        <v>156_VN</v>
      </c>
      <c r="C91" s="272" t="s">
        <v>164</v>
      </c>
      <c r="D91" s="241">
        <f>A91</f>
        <v>156</v>
      </c>
      <c r="E91" s="132">
        <f t="array" aca="1" ref="E91" ca="1">SUM(IFERROR(Propagações_TOT_SAOFRAN!$B$7:$CA$69*(Propagações_TOT_SAOFRAN!$B$6:$CA$6=$B91&amp;"A")*(Propagações_TOT_SAOFRAN!$A$7:$A$69&gt;=E$26)*(Propagações_TOT_SAOFRAN!$A$7:$A$69&lt;=E$27),0))</f>
        <v>539</v>
      </c>
      <c r="F91" s="132">
        <f t="array" aca="1" ref="F91" ca="1">SUM(IFERROR(Propagações_TOT_SAOFRAN!$B$7:$CA$69*(Propagações_TOT_SAOFRAN!$B$6:$CA$6=$B91&amp;"A")*(Propagações_TOT_SAOFRAN!$A$7:$A$69&gt;=F$26)*(Propagações_TOT_SAOFRAN!$A$7:$A$69&lt;=F$27),0))</f>
        <v>0</v>
      </c>
      <c r="G91" s="132">
        <f t="array" aca="1" ref="G91" ca="1">SUM(IFERROR(Propagações_TOT_SAOFRAN!$B$7:$CA$69*(Propagações_TOT_SAOFRAN!$B$6:$CA$6=$B91&amp;"A")*(Propagações_TOT_SAOFRAN!$A$7:$A$69&gt;=G$26)*(Propagações_TOT_SAOFRAN!$A$7:$A$69&lt;=G$27),0))</f>
        <v>0</v>
      </c>
      <c r="H91" s="132">
        <f t="array" aca="1" ref="H91" ca="1">SUM(IFERROR(Propagações_TOT_SAOFRAN!$B$7:$CA$69*(Propagações_TOT_SAOFRAN!$B$6:$CA$6=$B91&amp;"A")*(Propagações_TOT_SAOFRAN!$A$7:$A$69&gt;=H$26)*(Propagações_TOT_SAOFRAN!$A$7:$A$69&lt;=H$27),0))</f>
        <v>0</v>
      </c>
      <c r="I91" s="132">
        <f t="array" aca="1" ref="I91" ca="1">SUM(IFERROR(Propagações_TOT_SAOFRAN!$B$7:$CA$69*(Propagações_TOT_SAOFRAN!$B$6:$CA$6=$B91&amp;"A")*(Propagações_TOT_SAOFRAN!$A$7:$A$69&gt;=I$26)*(Propagações_TOT_SAOFRAN!$A$7:$A$69&lt;=I$27),0))</f>
        <v>0</v>
      </c>
      <c r="J91" s="132">
        <f t="array" aca="1" ref="J91" ca="1">SUM(IFERROR(Propagações_TOT_SAOFRAN!$B$7:$CA$69*(Propagações_TOT_SAOFRAN!$B$6:$CA$6=$B91&amp;"A")*(Propagações_TOT_SAOFRAN!$A$7:$A$69&gt;=J$26)*(Propagações_TOT_SAOFRAN!$A$7:$A$69&lt;=J$27),0))</f>
        <v>0</v>
      </c>
      <c r="K91" s="132">
        <f t="array" aca="1" ref="K91" ca="1">SUM(IFERROR(Propagações_TOT_SAOFRAN!$B$7:$CA$69*(Propagações_TOT_SAOFRAN!$B$6:$CA$6=$B91&amp;"A")*(Propagações_TOT_SAOFRAN!$A$7:$A$69&gt;=K$26)*(Propagações_TOT_SAOFRAN!$A$7:$A$69&lt;=K$27),0))</f>
        <v>0</v>
      </c>
      <c r="L91" s="132">
        <f t="array" aca="1" ref="L91" ca="1">SUM(IFERROR(Propagações_TOT_SAOFRAN!$B$7:$CA$69*(Propagações_TOT_SAOFRAN!$B$6:$CA$6=$B91&amp;"A")*(Propagações_TOT_SAOFRAN!$A$7:$A$69&gt;=L$26)*(Propagações_TOT_SAOFRAN!$A$7:$A$69&lt;=L$27),0))</f>
        <v>0</v>
      </c>
      <c r="M91" s="132">
        <f t="array" aca="1" ref="M91" ca="1">SUM(IFERROR(Propagações_TOT_SAOFRAN!$B$7:$CA$69*(Propagações_TOT_SAOFRAN!$B$6:$CA$6=$B91&amp;"A")*(Propagações_TOT_SAOFRAN!$A$7:$A$69&gt;=M$26)*(Propagações_TOT_SAOFRAN!$A$7:$A$69&lt;=M$27),0))</f>
        <v>0</v>
      </c>
      <c r="N91" s="132">
        <f t="array" aca="1" ref="N91" ca="1">SUM(IFERROR(Propagações_TOT_SAOFRAN!$B$7:$CA$69*(Propagações_TOT_SAOFRAN!$B$6:$CA$6=$B91&amp;"A")*(Propagações_TOT_SAOFRAN!$A$7:$A$69&gt;=N$26)*(Propagações_TOT_SAOFRAN!$A$7:$A$69&lt;=N$27),0))</f>
        <v>0</v>
      </c>
      <c r="O91" s="132">
        <f t="array" aca="1" ref="O91" ca="1">SUM(IFERROR(Propagações_TOT_SAOFRAN!$B$7:$CA$69*(Propagações_TOT_SAOFRAN!$B$6:$CA$6=$B91&amp;"A")*(Propagações_TOT_SAOFRAN!$A$7:$A$69&gt;=O$26)*(Propagações_TOT_SAOFRAN!$A$7:$A$69&lt;=O$27),0))</f>
        <v>0</v>
      </c>
      <c r="P91" s="132">
        <f t="array" aca="1" ref="P91" ca="1">SUM(IFERROR(Propagações_TOT_SAOFRAN!$B$7:$CA$69*(Propagações_TOT_SAOFRAN!$B$6:$CA$6=$B91&amp;"A")*(Propagações_TOT_SAOFRAN!$A$7:$A$69&gt;=P$26)*(Propagações_TOT_SAOFRAN!$A$7:$A$69&lt;=P$27),0))</f>
        <v>0</v>
      </c>
      <c r="Q91" s="132">
        <f t="array" aca="1" ref="Q91" ca="1">SUM(IFERROR(Propagações_TOT_SAOFRAN!$B$7:$CA$69*(Propagações_TOT_SAOFRAN!$B$6:$CA$6=$B91&amp;"A")*(Propagações_TOT_SAOFRAN!$A$7:$A$69&gt;=Q$26)*(Propagações_TOT_SAOFRAN!$A$7:$A$69&lt;=Q$27),0))</f>
        <v>0</v>
      </c>
      <c r="R91" s="132"/>
      <c r="S91"/>
      <c r="T91" s="272">
        <v>64</v>
      </c>
      <c r="V91" s="202" t="e">
        <f ca="1">IFERROR(ROUND(INDEX(F:F,MATCH($T91,$A:$A,0)),0),INDEX(PREVIVAZ!$C65:$N65,1,MATCH(V$27,PREVIVAZ!$C$1:$N$1,1)))</f>
        <v>#N/A</v>
      </c>
      <c r="W91" s="202" t="e">
        <f ca="1">IFERROR(ROUND(INDEX(G:G,MATCH($T91,$A:$A,0)),0),INDEX(PREVIVAZ!$C65:$N65,1,MATCH(W$27,PREVIVAZ!$C$1:$N$1,1)))</f>
        <v>#N/A</v>
      </c>
      <c r="X91" s="202" t="e">
        <f ca="1">IFERROR(ROUND(INDEX(H:H,MATCH($T91,$A:$A,0)),0),INDEX(PREVIVAZ!$C65:$N65,1,MATCH(X$27,PREVIVAZ!$C$1:$N$1,1)))</f>
        <v>#N/A</v>
      </c>
      <c r="Y91" s="202" t="e">
        <f ca="1">IFERROR(ROUND(INDEX(I:I,MATCH($T91,$A:$A,0)),0),INDEX(PREVIVAZ!$C65:$N65,1,MATCH(Y$27,PREVIVAZ!$C$1:$N$1,1)))</f>
        <v>#N/A</v>
      </c>
      <c r="Z91" s="202" t="e">
        <f ca="1">IFERROR(ROUND(INDEX(J:J,MATCH($T91,$A:$A,0)),0),INDEX(PREVIVAZ!$C65:$N65,1,MATCH(Z$27,PREVIVAZ!$C$1:$N$1,1)))</f>
        <v>#N/A</v>
      </c>
      <c r="AA91" s="202" t="e">
        <f ca="1">IFERROR(ROUND(INDEX(K:K,MATCH($T91,$A:$A,0)),0),INDEX(PREVIVAZ!$C65:$N65,1,MATCH(AA$27,PREVIVAZ!$C$1:$N$1,1)))</f>
        <v>#N/A</v>
      </c>
      <c r="AB91" s="202" t="e">
        <f ca="1">IFERROR(ROUND(INDEX(L:L,MATCH($T91,$A:$A,0)),0),INDEX(PREVIVAZ!$C65:$N65,1,MATCH(AB$27,PREVIVAZ!$C$1:$N$1,1)))</f>
        <v>#N/A</v>
      </c>
      <c r="AC91" s="202" t="e">
        <f ca="1">IFERROR(ROUND(INDEX(M:M,MATCH($T91,$A:$A,0)),0),INDEX(PREVIVAZ!$C65:$N65,1,MATCH(AC$27,PREVIVAZ!$C$1:$N$1,1)))</f>
        <v>#N/A</v>
      </c>
      <c r="AD91" s="202" t="e">
        <f ca="1">IFERROR(ROUND(INDEX(N:N,MATCH($T91,$A:$A,0)),0),INDEX(PREVIVAZ!$C65:$N65,1,MATCH(AD$27,PREVIVAZ!$C$1:$N$1,1)))</f>
        <v>#N/A</v>
      </c>
      <c r="AE91" s="202" t="e">
        <f ca="1">IFERROR(ROUND(INDEX(O:O,MATCH($T91,$A:$A,0)),0),INDEX(PREVIVAZ!$C65:$N65,1,MATCH(AE$27,PREVIVAZ!$C$1:$N$1,1)))</f>
        <v>#N/A</v>
      </c>
      <c r="AF91" s="202" t="e">
        <f ca="1">IFERROR(ROUND(INDEX(P:P,MATCH($T91,$A:$A,0)),0),INDEX(PREVIVAZ!$C65:$N65,1,MATCH(AF$27,PREVIVAZ!$C$1:$N$1,1)))</f>
        <v>#N/A</v>
      </c>
      <c r="AG91" s="202" t="e">
        <f ca="1">IFERROR(ROUND(INDEX(Q:Q,MATCH($T91,$A:$A,0)),0),INDEX(PREVIVAZ!$C65:$N65,1,MATCH(AG$27,PREVIVAZ!$C$1:$N$1,1)))</f>
        <v>#N/A</v>
      </c>
    </row>
    <row r="92" spans="1:33" ht="12.75" x14ac:dyDescent="0.2">
      <c r="A92" s="289">
        <v>158</v>
      </c>
      <c r="B92" s="283" t="str">
        <f t="shared" si="22"/>
        <v>158_VN</v>
      </c>
      <c r="C92" s="272" t="s">
        <v>206</v>
      </c>
      <c r="D92" s="241">
        <f>A92</f>
        <v>158</v>
      </c>
      <c r="E92" s="132">
        <f t="array" aca="1" ref="E92" ca="1">SUM(IFERROR(Propagações_TOT_SAOFRAN!$B$7:$CA$69*(Propagações_TOT_SAOFRAN!$B$6:$CA$6=$B92&amp;"A")*(Propagações_TOT_SAOFRAN!$A$7:$A$69&gt;=E$26)*(Propagações_TOT_SAOFRAN!$A$7:$A$69&lt;=E$27),0))</f>
        <v>38</v>
      </c>
      <c r="F92" s="132">
        <f t="array" aca="1" ref="F92" ca="1">SUM(IFERROR(Propagações_TOT_SAOFRAN!$B$7:$CA$69*(Propagações_TOT_SAOFRAN!$B$6:$CA$6=$B92&amp;"A")*(Propagações_TOT_SAOFRAN!$A$7:$A$69&gt;=F$26)*(Propagações_TOT_SAOFRAN!$A$7:$A$69&lt;=F$27),0))</f>
        <v>0</v>
      </c>
      <c r="G92" s="132">
        <f t="array" aca="1" ref="G92" ca="1">SUM(IFERROR(Propagações_TOT_SAOFRAN!$B$7:$CA$69*(Propagações_TOT_SAOFRAN!$B$6:$CA$6=$B92&amp;"A")*(Propagações_TOT_SAOFRAN!$A$7:$A$69&gt;=G$26)*(Propagações_TOT_SAOFRAN!$A$7:$A$69&lt;=G$27),0))</f>
        <v>0</v>
      </c>
      <c r="H92" s="132">
        <f t="array" aca="1" ref="H92" ca="1">SUM(IFERROR(Propagações_TOT_SAOFRAN!$B$7:$CA$69*(Propagações_TOT_SAOFRAN!$B$6:$CA$6=$B92&amp;"A")*(Propagações_TOT_SAOFRAN!$A$7:$A$69&gt;=H$26)*(Propagações_TOT_SAOFRAN!$A$7:$A$69&lt;=H$27),0))</f>
        <v>0</v>
      </c>
      <c r="I92" s="132">
        <f t="array" aca="1" ref="I92" ca="1">SUM(IFERROR(Propagações_TOT_SAOFRAN!$B$7:$CA$69*(Propagações_TOT_SAOFRAN!$B$6:$CA$6=$B92&amp;"A")*(Propagações_TOT_SAOFRAN!$A$7:$A$69&gt;=I$26)*(Propagações_TOT_SAOFRAN!$A$7:$A$69&lt;=I$27),0))</f>
        <v>0</v>
      </c>
      <c r="J92" s="132">
        <f t="array" aca="1" ref="J92" ca="1">SUM(IFERROR(Propagações_TOT_SAOFRAN!$B$7:$CA$69*(Propagações_TOT_SAOFRAN!$B$6:$CA$6=$B92&amp;"A")*(Propagações_TOT_SAOFRAN!$A$7:$A$69&gt;=J$26)*(Propagações_TOT_SAOFRAN!$A$7:$A$69&lt;=J$27),0))</f>
        <v>0</v>
      </c>
      <c r="K92" s="132">
        <f t="array" aca="1" ref="K92" ca="1">SUM(IFERROR(Propagações_TOT_SAOFRAN!$B$7:$CA$69*(Propagações_TOT_SAOFRAN!$B$6:$CA$6=$B92&amp;"A")*(Propagações_TOT_SAOFRAN!$A$7:$A$69&gt;=K$26)*(Propagações_TOT_SAOFRAN!$A$7:$A$69&lt;=K$27),0))</f>
        <v>0</v>
      </c>
      <c r="L92" s="132">
        <f t="array" aca="1" ref="L92" ca="1">SUM(IFERROR(Propagações_TOT_SAOFRAN!$B$7:$CA$69*(Propagações_TOT_SAOFRAN!$B$6:$CA$6=$B92&amp;"A")*(Propagações_TOT_SAOFRAN!$A$7:$A$69&gt;=L$26)*(Propagações_TOT_SAOFRAN!$A$7:$A$69&lt;=L$27),0))</f>
        <v>0</v>
      </c>
      <c r="M92" s="132">
        <f t="array" aca="1" ref="M92" ca="1">SUM(IFERROR(Propagações_TOT_SAOFRAN!$B$7:$CA$69*(Propagações_TOT_SAOFRAN!$B$6:$CA$6=$B92&amp;"A")*(Propagações_TOT_SAOFRAN!$A$7:$A$69&gt;=M$26)*(Propagações_TOT_SAOFRAN!$A$7:$A$69&lt;=M$27),0))</f>
        <v>0</v>
      </c>
      <c r="N92" s="132">
        <f t="array" aca="1" ref="N92" ca="1">SUM(IFERROR(Propagações_TOT_SAOFRAN!$B$7:$CA$69*(Propagações_TOT_SAOFRAN!$B$6:$CA$6=$B92&amp;"A")*(Propagações_TOT_SAOFRAN!$A$7:$A$69&gt;=N$26)*(Propagações_TOT_SAOFRAN!$A$7:$A$69&lt;=N$27),0))</f>
        <v>0</v>
      </c>
      <c r="O92" s="132">
        <f t="array" aca="1" ref="O92" ca="1">SUM(IFERROR(Propagações_TOT_SAOFRAN!$B$7:$CA$69*(Propagações_TOT_SAOFRAN!$B$6:$CA$6=$B92&amp;"A")*(Propagações_TOT_SAOFRAN!$A$7:$A$69&gt;=O$26)*(Propagações_TOT_SAOFRAN!$A$7:$A$69&lt;=O$27),0))</f>
        <v>0</v>
      </c>
      <c r="P92" s="132">
        <f t="array" aca="1" ref="P92" ca="1">SUM(IFERROR(Propagações_TOT_SAOFRAN!$B$7:$CA$69*(Propagações_TOT_SAOFRAN!$B$6:$CA$6=$B92&amp;"A")*(Propagações_TOT_SAOFRAN!$A$7:$A$69&gt;=P$26)*(Propagações_TOT_SAOFRAN!$A$7:$A$69&lt;=P$27),0))</f>
        <v>0</v>
      </c>
      <c r="Q92" s="132">
        <f t="array" aca="1" ref="Q92" ca="1">SUM(IFERROR(Propagações_TOT_SAOFRAN!$B$7:$CA$69*(Propagações_TOT_SAOFRAN!$B$6:$CA$6=$B92&amp;"A")*(Propagações_TOT_SAOFRAN!$A$7:$A$69&gt;=Q$26)*(Propagações_TOT_SAOFRAN!$A$7:$A$69&lt;=Q$27),0))</f>
        <v>0</v>
      </c>
      <c r="R92" s="132"/>
      <c r="S92"/>
      <c r="T92" s="272">
        <v>65</v>
      </c>
      <c r="V92" s="202" t="e">
        <f ca="1">IFERROR(ROUND(INDEX(F:F,MATCH($T92,$A:$A,0)),0),INDEX(PREVIVAZ!$C66:$N66,1,MATCH(V$27,PREVIVAZ!$C$1:$N$1,1)))</f>
        <v>#N/A</v>
      </c>
      <c r="W92" s="202" t="e">
        <f ca="1">IFERROR(ROUND(INDEX(G:G,MATCH($T92,$A:$A,0)),0),INDEX(PREVIVAZ!$C66:$N66,1,MATCH(W$27,PREVIVAZ!$C$1:$N$1,1)))</f>
        <v>#N/A</v>
      </c>
      <c r="X92" s="202" t="e">
        <f ca="1">IFERROR(ROUND(INDEX(H:H,MATCH($T92,$A:$A,0)),0),INDEX(PREVIVAZ!$C66:$N66,1,MATCH(X$27,PREVIVAZ!$C$1:$N$1,1)))</f>
        <v>#N/A</v>
      </c>
      <c r="Y92" s="202" t="e">
        <f ca="1">IFERROR(ROUND(INDEX(I:I,MATCH($T92,$A:$A,0)),0),INDEX(PREVIVAZ!$C66:$N66,1,MATCH(Y$27,PREVIVAZ!$C$1:$N$1,1)))</f>
        <v>#N/A</v>
      </c>
      <c r="Z92" s="202" t="e">
        <f ca="1">IFERROR(ROUND(INDEX(J:J,MATCH($T92,$A:$A,0)),0),INDEX(PREVIVAZ!$C66:$N66,1,MATCH(Z$27,PREVIVAZ!$C$1:$N$1,1)))</f>
        <v>#N/A</v>
      </c>
      <c r="AA92" s="202" t="e">
        <f ca="1">IFERROR(ROUND(INDEX(K:K,MATCH($T92,$A:$A,0)),0),INDEX(PREVIVAZ!$C66:$N66,1,MATCH(AA$27,PREVIVAZ!$C$1:$N$1,1)))</f>
        <v>#N/A</v>
      </c>
      <c r="AB92" s="202" t="e">
        <f ca="1">IFERROR(ROUND(INDEX(L:L,MATCH($T92,$A:$A,0)),0),INDEX(PREVIVAZ!$C66:$N66,1,MATCH(AB$27,PREVIVAZ!$C$1:$N$1,1)))</f>
        <v>#N/A</v>
      </c>
      <c r="AC92" s="202" t="e">
        <f ca="1">IFERROR(ROUND(INDEX(M:M,MATCH($T92,$A:$A,0)),0),INDEX(PREVIVAZ!$C66:$N66,1,MATCH(AC$27,PREVIVAZ!$C$1:$N$1,1)))</f>
        <v>#N/A</v>
      </c>
      <c r="AD92" s="202" t="e">
        <f ca="1">IFERROR(ROUND(INDEX(N:N,MATCH($T92,$A:$A,0)),0),INDEX(PREVIVAZ!$C66:$N66,1,MATCH(AD$27,PREVIVAZ!$C$1:$N$1,1)))</f>
        <v>#N/A</v>
      </c>
      <c r="AE92" s="202" t="e">
        <f ca="1">IFERROR(ROUND(INDEX(O:O,MATCH($T92,$A:$A,0)),0),INDEX(PREVIVAZ!$C66:$N66,1,MATCH(AE$27,PREVIVAZ!$C$1:$N$1,1)))</f>
        <v>#N/A</v>
      </c>
      <c r="AF92" s="202" t="e">
        <f ca="1">IFERROR(ROUND(INDEX(P:P,MATCH($T92,$A:$A,0)),0),INDEX(PREVIVAZ!$C66:$N66,1,MATCH(AF$27,PREVIVAZ!$C$1:$N$1,1)))</f>
        <v>#N/A</v>
      </c>
      <c r="AG92" s="202" t="e">
        <f ca="1">IFERROR(ROUND(INDEX(Q:Q,MATCH($T92,$A:$A,0)),0),INDEX(PREVIVAZ!$C66:$N66,1,MATCH(AG$27,PREVIVAZ!$C$1:$N$1,1)))</f>
        <v>#N/A</v>
      </c>
    </row>
    <row r="93" spans="1:33" ht="12.75" x14ac:dyDescent="0.2">
      <c r="A93" s="249"/>
      <c r="B93" s="240"/>
      <c r="C93" s="240"/>
      <c r="D93" s="240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/>
      <c r="S93"/>
      <c r="T93" s="272">
        <v>66</v>
      </c>
      <c r="V93" s="202" t="e">
        <f ca="1">IFERROR(ROUND(INDEX(F:F,MATCH($T93,$A:$A,0)),0),INDEX(PREVIVAZ!$C67:$N67,1,MATCH(V$27,PREVIVAZ!$C$1:$N$1,1)))</f>
        <v>#N/A</v>
      </c>
      <c r="W93" s="202" t="e">
        <f ca="1">IFERROR(ROUND(INDEX(G:G,MATCH($T93,$A:$A,0)),0),INDEX(PREVIVAZ!$C67:$N67,1,MATCH(W$27,PREVIVAZ!$C$1:$N$1,1)))</f>
        <v>#N/A</v>
      </c>
      <c r="X93" s="202" t="e">
        <f ca="1">IFERROR(ROUND(INDEX(H:H,MATCH($T93,$A:$A,0)),0),INDEX(PREVIVAZ!$C67:$N67,1,MATCH(X$27,PREVIVAZ!$C$1:$N$1,1)))</f>
        <v>#N/A</v>
      </c>
      <c r="Y93" s="202" t="e">
        <f ca="1">IFERROR(ROUND(INDEX(I:I,MATCH($T93,$A:$A,0)),0),INDEX(PREVIVAZ!$C67:$N67,1,MATCH(Y$27,PREVIVAZ!$C$1:$N$1,1)))</f>
        <v>#N/A</v>
      </c>
      <c r="Z93" s="202" t="e">
        <f ca="1">IFERROR(ROUND(INDEX(J:J,MATCH($T93,$A:$A,0)),0),INDEX(PREVIVAZ!$C67:$N67,1,MATCH(Z$27,PREVIVAZ!$C$1:$N$1,1)))</f>
        <v>#N/A</v>
      </c>
      <c r="AA93" s="202" t="e">
        <f ca="1">IFERROR(ROUND(INDEX(K:K,MATCH($T93,$A:$A,0)),0),INDEX(PREVIVAZ!$C67:$N67,1,MATCH(AA$27,PREVIVAZ!$C$1:$N$1,1)))</f>
        <v>#N/A</v>
      </c>
      <c r="AB93" s="202" t="e">
        <f ca="1">IFERROR(ROUND(INDEX(L:L,MATCH($T93,$A:$A,0)),0),INDEX(PREVIVAZ!$C67:$N67,1,MATCH(AB$27,PREVIVAZ!$C$1:$N$1,1)))</f>
        <v>#N/A</v>
      </c>
      <c r="AC93" s="202" t="e">
        <f ca="1">IFERROR(ROUND(INDEX(M:M,MATCH($T93,$A:$A,0)),0),INDEX(PREVIVAZ!$C67:$N67,1,MATCH(AC$27,PREVIVAZ!$C$1:$N$1,1)))</f>
        <v>#N/A</v>
      </c>
      <c r="AD93" s="202" t="e">
        <f ca="1">IFERROR(ROUND(INDEX(N:N,MATCH($T93,$A:$A,0)),0),INDEX(PREVIVAZ!$C67:$N67,1,MATCH(AD$27,PREVIVAZ!$C$1:$N$1,1)))</f>
        <v>#N/A</v>
      </c>
      <c r="AE93" s="202" t="e">
        <f ca="1">IFERROR(ROUND(INDEX(O:O,MATCH($T93,$A:$A,0)),0),INDEX(PREVIVAZ!$C67:$N67,1,MATCH(AE$27,PREVIVAZ!$C$1:$N$1,1)))</f>
        <v>#N/A</v>
      </c>
      <c r="AF93" s="202" t="e">
        <f ca="1">IFERROR(ROUND(INDEX(P:P,MATCH($T93,$A:$A,0)),0),INDEX(PREVIVAZ!$C67:$N67,1,MATCH(AF$27,PREVIVAZ!$C$1:$N$1,1)))</f>
        <v>#N/A</v>
      </c>
      <c r="AG93" s="202" t="e">
        <f ca="1">IFERROR(ROUND(INDEX(Q:Q,MATCH($T93,$A:$A,0)),0),INDEX(PREVIVAZ!$C67:$N67,1,MATCH(AG$27,PREVIVAZ!$C$1:$N$1,1)))</f>
        <v>#N/A</v>
      </c>
    </row>
    <row r="94" spans="1:33" ht="13.5" thickBot="1" x14ac:dyDescent="0.25">
      <c r="A94" s="249"/>
      <c r="B94" s="240"/>
      <c r="C94" s="240"/>
      <c r="D94" s="240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/>
      <c r="S94"/>
      <c r="T94" s="272">
        <v>67</v>
      </c>
      <c r="V94" s="202" t="e">
        <f ca="1">IFERROR(ROUND(INDEX(F:F,MATCH($T94,$A:$A,0)),0),INDEX(PREVIVAZ!$C68:$N68,1,MATCH(V$27,PREVIVAZ!$C$1:$N$1,1)))</f>
        <v>#N/A</v>
      </c>
      <c r="W94" s="202" t="e">
        <f ca="1">IFERROR(ROUND(INDEX(G:G,MATCH($T94,$A:$A,0)),0),INDEX(PREVIVAZ!$C68:$N68,1,MATCH(W$27,PREVIVAZ!$C$1:$N$1,1)))</f>
        <v>#N/A</v>
      </c>
      <c r="X94" s="202" t="e">
        <f ca="1">IFERROR(ROUND(INDEX(H:H,MATCH($T94,$A:$A,0)),0),INDEX(PREVIVAZ!$C68:$N68,1,MATCH(X$27,PREVIVAZ!$C$1:$N$1,1)))</f>
        <v>#N/A</v>
      </c>
      <c r="Y94" s="202" t="e">
        <f ca="1">IFERROR(ROUND(INDEX(I:I,MATCH($T94,$A:$A,0)),0),INDEX(PREVIVAZ!$C68:$N68,1,MATCH(Y$27,PREVIVAZ!$C$1:$N$1,1)))</f>
        <v>#N/A</v>
      </c>
      <c r="Z94" s="202" t="e">
        <f ca="1">IFERROR(ROUND(INDEX(J:J,MATCH($T94,$A:$A,0)),0),INDEX(PREVIVAZ!$C68:$N68,1,MATCH(Z$27,PREVIVAZ!$C$1:$N$1,1)))</f>
        <v>#N/A</v>
      </c>
      <c r="AA94" s="202" t="e">
        <f ca="1">IFERROR(ROUND(INDEX(K:K,MATCH($T94,$A:$A,0)),0),INDEX(PREVIVAZ!$C68:$N68,1,MATCH(AA$27,PREVIVAZ!$C$1:$N$1,1)))</f>
        <v>#N/A</v>
      </c>
      <c r="AB94" s="202" t="e">
        <f ca="1">IFERROR(ROUND(INDEX(L:L,MATCH($T94,$A:$A,0)),0),INDEX(PREVIVAZ!$C68:$N68,1,MATCH(AB$27,PREVIVAZ!$C$1:$N$1,1)))</f>
        <v>#N/A</v>
      </c>
      <c r="AC94" s="202" t="e">
        <f ca="1">IFERROR(ROUND(INDEX(M:M,MATCH($T94,$A:$A,0)),0),INDEX(PREVIVAZ!$C68:$N68,1,MATCH(AC$27,PREVIVAZ!$C$1:$N$1,1)))</f>
        <v>#N/A</v>
      </c>
      <c r="AD94" s="202" t="e">
        <f ca="1">IFERROR(ROUND(INDEX(N:N,MATCH($T94,$A:$A,0)),0),INDEX(PREVIVAZ!$C68:$N68,1,MATCH(AD$27,PREVIVAZ!$C$1:$N$1,1)))</f>
        <v>#N/A</v>
      </c>
      <c r="AE94" s="202" t="e">
        <f ca="1">IFERROR(ROUND(INDEX(O:O,MATCH($T94,$A:$A,0)),0),INDEX(PREVIVAZ!$C68:$N68,1,MATCH(AE$27,PREVIVAZ!$C$1:$N$1,1)))</f>
        <v>#N/A</v>
      </c>
      <c r="AF94" s="202" t="e">
        <f ca="1">IFERROR(ROUND(INDEX(P:P,MATCH($T94,$A:$A,0)),0),INDEX(PREVIVAZ!$C68:$N68,1,MATCH(AF$27,PREVIVAZ!$C$1:$N$1,1)))</f>
        <v>#N/A</v>
      </c>
      <c r="AG94" s="202" t="e">
        <f ca="1">IFERROR(ROUND(INDEX(Q:Q,MATCH($T94,$A:$A,0)),0),INDEX(PREVIVAZ!$C68:$N68,1,MATCH(AG$27,PREVIVAZ!$C$1:$N$1,1)))</f>
        <v>#N/A</v>
      </c>
    </row>
    <row r="95" spans="1:33" ht="13.5" thickBot="1" x14ac:dyDescent="0.25">
      <c r="A95" s="150">
        <v>74</v>
      </c>
      <c r="B95" s="282" t="str">
        <f t="shared" ref="B95:B101" si="23">A95&amp;"_VN"</f>
        <v>74_VN</v>
      </c>
      <c r="C95" s="139" t="s">
        <v>82</v>
      </c>
      <c r="D95" s="132">
        <f t="shared" ref="D95:D101" si="24">A95</f>
        <v>74</v>
      </c>
      <c r="E95" s="132">
        <f t="array" aca="1" ref="E95" ca="1">SUM(IFERROR(Propagações_TOT_IGUACU!$B$7:$BZ$69*(Propagações_TOT_IGUACU!$B$6:$BZ$6=$B95&amp;"A")*(Propagações_TOT_IGUACU!$A$7:$A$69&gt;=PREVS_SMAP_DIARIO!E$26)*(Propagações_TOT_IGUACU!$A$7:$A$69&lt;=PREVS_SMAP_DIARIO!E$27),0))</f>
        <v>292</v>
      </c>
      <c r="F95" s="132">
        <f t="array" aca="1" ref="F95" ca="1">SUM(IFERROR(Propagações_TOT_IGUACU!$B$7:$BZ$69*(Propagações_TOT_IGUACU!$B$6:$BZ$6=$B95&amp;"A")*(Propagações_TOT_IGUACU!$A$7:$A$69&gt;=PREVS_SMAP_DIARIO!F$26)*(Propagações_TOT_IGUACU!$A$7:$A$69&lt;=PREVS_SMAP_DIARIO!F$27),0))</f>
        <v>0</v>
      </c>
      <c r="G95" s="132">
        <f t="array" aca="1" ref="G95" ca="1">SUM(IFERROR(Propagações_TOT_IGUACU!$B$7:$BZ$69*(Propagações_TOT_IGUACU!$B$6:$BZ$6=$B95&amp;"A")*(Propagações_TOT_IGUACU!$A$7:$A$69&gt;=PREVS_SMAP_DIARIO!G$26)*(Propagações_TOT_IGUACU!$A$7:$A$69&lt;=PREVS_SMAP_DIARIO!G$27),0))</f>
        <v>0</v>
      </c>
      <c r="H95" s="132">
        <f t="array" aca="1" ref="H95" ca="1">SUM(IFERROR(Propagações_TOT_IGUACU!$B$7:$BZ$69*(Propagações_TOT_IGUACU!$B$6:$BZ$6=$B95&amp;"A")*(Propagações_TOT_IGUACU!$A$7:$A$69&gt;=PREVS_SMAP_DIARIO!H$26)*(Propagações_TOT_IGUACU!$A$7:$A$69&lt;=PREVS_SMAP_DIARIO!H$27),0))</f>
        <v>0</v>
      </c>
      <c r="I95" s="132">
        <f t="array" aca="1" ref="I95" ca="1">SUM(IFERROR(Propagações_TOT_IGUACU!$B$7:$BZ$69*(Propagações_TOT_IGUACU!$B$6:$BZ$6=$B95&amp;"A")*(Propagações_TOT_IGUACU!$A$7:$A$69&gt;=PREVS_SMAP_DIARIO!I$26)*(Propagações_TOT_IGUACU!$A$7:$A$69&lt;=PREVS_SMAP_DIARIO!I$27),0))</f>
        <v>0</v>
      </c>
      <c r="J95" s="132">
        <f t="array" aca="1" ref="J95" ca="1">SUM(IFERROR(Propagações_TOT_IGUACU!$B$7:$BZ$69*(Propagações_TOT_IGUACU!$B$6:$BZ$6=$B95&amp;"A")*(Propagações_TOT_IGUACU!$A$7:$A$69&gt;=PREVS_SMAP_DIARIO!J$26)*(Propagações_TOT_IGUACU!$A$7:$A$69&lt;=PREVS_SMAP_DIARIO!J$27),0))</f>
        <v>0</v>
      </c>
      <c r="K95" s="132">
        <f t="array" aca="1" ref="K95" ca="1">SUM(IFERROR(Propagações_TOT_IGUACU!$B$7:$BZ$69*(Propagações_TOT_IGUACU!$B$6:$BZ$6=$B95&amp;"A")*(Propagações_TOT_IGUACU!$A$7:$A$69&gt;=PREVS_SMAP_DIARIO!K$26)*(Propagações_TOT_IGUACU!$A$7:$A$69&lt;=PREVS_SMAP_DIARIO!K$27),0))</f>
        <v>0</v>
      </c>
      <c r="L95" s="132">
        <f t="array" aca="1" ref="L95" ca="1">SUM(IFERROR(Propagações_TOT_IGUACU!$B$7:$BZ$69*(Propagações_TOT_IGUACU!$B$6:$BZ$6=$B95&amp;"A")*(Propagações_TOT_IGUACU!$A$7:$A$69&gt;=PREVS_SMAP_DIARIO!L$26)*(Propagações_TOT_IGUACU!$A$7:$A$69&lt;=PREVS_SMAP_DIARIO!L$27),0))</f>
        <v>0</v>
      </c>
      <c r="M95" s="132">
        <f t="array" aca="1" ref="M95" ca="1">SUM(IFERROR(Propagações_TOT_IGUACU!$B$7:$BZ$69*(Propagações_TOT_IGUACU!$B$6:$BZ$6=$B95&amp;"A")*(Propagações_TOT_IGUACU!$A$7:$A$69&gt;=PREVS_SMAP_DIARIO!M$26)*(Propagações_TOT_IGUACU!$A$7:$A$69&lt;=PREVS_SMAP_DIARIO!M$27),0))</f>
        <v>0</v>
      </c>
      <c r="N95" s="132">
        <f t="array" aca="1" ref="N95" ca="1">SUM(IFERROR(Propagações_TOT_IGUACU!$B$7:$BZ$69*(Propagações_TOT_IGUACU!$B$6:$BZ$6=$B95&amp;"A")*(Propagações_TOT_IGUACU!$A$7:$A$69&gt;=PREVS_SMAP_DIARIO!N$26)*(Propagações_TOT_IGUACU!$A$7:$A$69&lt;=PREVS_SMAP_DIARIO!N$27),0))</f>
        <v>0</v>
      </c>
      <c r="O95" s="132">
        <f t="array" aca="1" ref="O95" ca="1">SUM(IFERROR(Propagações_TOT_IGUACU!$B$7:$BZ$69*(Propagações_TOT_IGUACU!$B$6:$BZ$6=$B95&amp;"A")*(Propagações_TOT_IGUACU!$A$7:$A$69&gt;=PREVS_SMAP_DIARIO!O$26)*(Propagações_TOT_IGUACU!$A$7:$A$69&lt;=PREVS_SMAP_DIARIO!O$27),0))</f>
        <v>0</v>
      </c>
      <c r="P95" s="132">
        <f t="array" aca="1" ref="P95" ca="1">SUM(IFERROR(Propagações_TOT_IGUACU!$B$7:$BZ$69*(Propagações_TOT_IGUACU!$B$6:$BZ$6=$B95&amp;"A")*(Propagações_TOT_IGUACU!$A$7:$A$69&gt;=PREVS_SMAP_DIARIO!P$26)*(Propagações_TOT_IGUACU!$A$7:$A$69&lt;=PREVS_SMAP_DIARIO!P$27),0))</f>
        <v>0</v>
      </c>
      <c r="Q95" s="132">
        <f t="array" aca="1" ref="Q95" ca="1">SUM(IFERROR(Propagações_TOT_IGUACU!$B$7:$BZ$69*(Propagações_TOT_IGUACU!$B$6:$BZ$6=$B95&amp;"A")*(Propagações_TOT_IGUACU!$A$7:$A$69&gt;=PREVS_SMAP_DIARIO!Q$26)*(Propagações_TOT_IGUACU!$A$7:$A$69&lt;=PREVS_SMAP_DIARIO!Q$27),0))</f>
        <v>0</v>
      </c>
      <c r="R95"/>
      <c r="S95"/>
      <c r="T95" s="272">
        <v>68</v>
      </c>
      <c r="V95" s="202" t="e">
        <f ca="1">IFERROR(ROUND(INDEX(F:F,MATCH($T95,$A:$A,0)),0),INDEX(PREVIVAZ!$C69:$N69,1,MATCH(V$27,PREVIVAZ!$C$1:$N$1,1)))</f>
        <v>#N/A</v>
      </c>
      <c r="W95" s="202" t="e">
        <f ca="1">IFERROR(ROUND(INDEX(G:G,MATCH($T95,$A:$A,0)),0),INDEX(PREVIVAZ!$C69:$N69,1,MATCH(W$27,PREVIVAZ!$C$1:$N$1,1)))</f>
        <v>#N/A</v>
      </c>
      <c r="X95" s="202" t="e">
        <f ca="1">IFERROR(ROUND(INDEX(H:H,MATCH($T95,$A:$A,0)),0),INDEX(PREVIVAZ!$C69:$N69,1,MATCH(X$27,PREVIVAZ!$C$1:$N$1,1)))</f>
        <v>#N/A</v>
      </c>
      <c r="Y95" s="202" t="e">
        <f ca="1">IFERROR(ROUND(INDEX(I:I,MATCH($T95,$A:$A,0)),0),INDEX(PREVIVAZ!$C69:$N69,1,MATCH(Y$27,PREVIVAZ!$C$1:$N$1,1)))</f>
        <v>#N/A</v>
      </c>
      <c r="Z95" s="202" t="e">
        <f ca="1">IFERROR(ROUND(INDEX(J:J,MATCH($T95,$A:$A,0)),0),INDEX(PREVIVAZ!$C69:$N69,1,MATCH(Z$27,PREVIVAZ!$C$1:$N$1,1)))</f>
        <v>#N/A</v>
      </c>
      <c r="AA95" s="202" t="e">
        <f ca="1">IFERROR(ROUND(INDEX(K:K,MATCH($T95,$A:$A,0)),0),INDEX(PREVIVAZ!$C69:$N69,1,MATCH(AA$27,PREVIVAZ!$C$1:$N$1,1)))</f>
        <v>#N/A</v>
      </c>
      <c r="AB95" s="202" t="e">
        <f ca="1">IFERROR(ROUND(INDEX(L:L,MATCH($T95,$A:$A,0)),0),INDEX(PREVIVAZ!$C69:$N69,1,MATCH(AB$27,PREVIVAZ!$C$1:$N$1,1)))</f>
        <v>#N/A</v>
      </c>
      <c r="AC95" s="202" t="e">
        <f ca="1">IFERROR(ROUND(INDEX(M:M,MATCH($T95,$A:$A,0)),0),INDEX(PREVIVAZ!$C69:$N69,1,MATCH(AC$27,PREVIVAZ!$C$1:$N$1,1)))</f>
        <v>#N/A</v>
      </c>
      <c r="AD95" s="202" t="e">
        <f ca="1">IFERROR(ROUND(INDEX(N:N,MATCH($T95,$A:$A,0)),0),INDEX(PREVIVAZ!$C69:$N69,1,MATCH(AD$27,PREVIVAZ!$C$1:$N$1,1)))</f>
        <v>#N/A</v>
      </c>
      <c r="AE95" s="202" t="e">
        <f ca="1">IFERROR(ROUND(INDEX(O:O,MATCH($T95,$A:$A,0)),0),INDEX(PREVIVAZ!$C69:$N69,1,MATCH(AE$27,PREVIVAZ!$C$1:$N$1,1)))</f>
        <v>#N/A</v>
      </c>
      <c r="AF95" s="202" t="e">
        <f ca="1">IFERROR(ROUND(INDEX(P:P,MATCH($T95,$A:$A,0)),0),INDEX(PREVIVAZ!$C69:$N69,1,MATCH(AF$27,PREVIVAZ!$C$1:$N$1,1)))</f>
        <v>#N/A</v>
      </c>
      <c r="AG95" s="202" t="e">
        <f ca="1">IFERROR(ROUND(INDEX(Q:Q,MATCH($T95,$A:$A,0)),0),INDEX(PREVIVAZ!$C69:$N69,1,MATCH(AG$27,PREVIVAZ!$C$1:$N$1,1)))</f>
        <v>#N/A</v>
      </c>
    </row>
    <row r="96" spans="1:33" ht="13.5" thickBot="1" x14ac:dyDescent="0.25">
      <c r="A96" s="150">
        <v>73</v>
      </c>
      <c r="B96" s="282" t="str">
        <f t="shared" si="23"/>
        <v>73_VN</v>
      </c>
      <c r="C96" s="139" t="s">
        <v>83</v>
      </c>
      <c r="D96" s="132">
        <f t="shared" si="24"/>
        <v>73</v>
      </c>
      <c r="E96" s="132">
        <f t="array" aca="1" ref="E96" ca="1">SUM(IFERROR(Propagações_TOT_IGUACU!$B$7:$BZ$69*(Propagações_TOT_IGUACU!$B$6:$BZ$6=$B96&amp;"A")*(Propagações_TOT_IGUACU!$A$7:$A$69&gt;=PREVS_SMAP_DIARIO!E$26)*(Propagações_TOT_IGUACU!$A$7:$A$69&lt;=PREVS_SMAP_DIARIO!E$27),0))</f>
        <v>51</v>
      </c>
      <c r="F96" s="132">
        <f t="array" aca="1" ref="F96" ca="1">SUM(IFERROR(Propagações_TOT_IGUACU!$B$7:$BZ$69*(Propagações_TOT_IGUACU!$B$6:$BZ$6=$B96&amp;"A")*(Propagações_TOT_IGUACU!$A$7:$A$69&gt;=PREVS_SMAP_DIARIO!F$26)*(Propagações_TOT_IGUACU!$A$7:$A$69&lt;=PREVS_SMAP_DIARIO!F$27),0))</f>
        <v>0</v>
      </c>
      <c r="G96" s="132">
        <f t="array" aca="1" ref="G96" ca="1">SUM(IFERROR(Propagações_TOT_IGUACU!$B$7:$BZ$69*(Propagações_TOT_IGUACU!$B$6:$BZ$6=$B96&amp;"A")*(Propagações_TOT_IGUACU!$A$7:$A$69&gt;=PREVS_SMAP_DIARIO!G$26)*(Propagações_TOT_IGUACU!$A$7:$A$69&lt;=PREVS_SMAP_DIARIO!G$27),0))</f>
        <v>0</v>
      </c>
      <c r="H96" s="132">
        <f t="array" aca="1" ref="H96" ca="1">SUM(IFERROR(Propagações_TOT_IGUACU!$B$7:$BZ$69*(Propagações_TOT_IGUACU!$B$6:$BZ$6=$B96&amp;"A")*(Propagações_TOT_IGUACU!$A$7:$A$69&gt;=PREVS_SMAP_DIARIO!H$26)*(Propagações_TOT_IGUACU!$A$7:$A$69&lt;=PREVS_SMAP_DIARIO!H$27),0))</f>
        <v>0</v>
      </c>
      <c r="I96" s="132">
        <f t="array" aca="1" ref="I96" ca="1">SUM(IFERROR(Propagações_TOT_IGUACU!$B$7:$BZ$69*(Propagações_TOT_IGUACU!$B$6:$BZ$6=$B96&amp;"A")*(Propagações_TOT_IGUACU!$A$7:$A$69&gt;=PREVS_SMAP_DIARIO!I$26)*(Propagações_TOT_IGUACU!$A$7:$A$69&lt;=PREVS_SMAP_DIARIO!I$27),0))</f>
        <v>0</v>
      </c>
      <c r="J96" s="132">
        <f t="array" aca="1" ref="J96" ca="1">SUM(IFERROR(Propagações_TOT_IGUACU!$B$7:$BZ$69*(Propagações_TOT_IGUACU!$B$6:$BZ$6=$B96&amp;"A")*(Propagações_TOT_IGUACU!$A$7:$A$69&gt;=PREVS_SMAP_DIARIO!J$26)*(Propagações_TOT_IGUACU!$A$7:$A$69&lt;=PREVS_SMAP_DIARIO!J$27),0))</f>
        <v>0</v>
      </c>
      <c r="K96" s="132">
        <f t="array" aca="1" ref="K96" ca="1">SUM(IFERROR(Propagações_TOT_IGUACU!$B$7:$BZ$69*(Propagações_TOT_IGUACU!$B$6:$BZ$6=$B96&amp;"A")*(Propagações_TOT_IGUACU!$A$7:$A$69&gt;=PREVS_SMAP_DIARIO!K$26)*(Propagações_TOT_IGUACU!$A$7:$A$69&lt;=PREVS_SMAP_DIARIO!K$27),0))</f>
        <v>0</v>
      </c>
      <c r="L96" s="132">
        <f t="array" aca="1" ref="L96" ca="1">SUM(IFERROR(Propagações_TOT_IGUACU!$B$7:$BZ$69*(Propagações_TOT_IGUACU!$B$6:$BZ$6=$B96&amp;"A")*(Propagações_TOT_IGUACU!$A$7:$A$69&gt;=PREVS_SMAP_DIARIO!L$26)*(Propagações_TOT_IGUACU!$A$7:$A$69&lt;=PREVS_SMAP_DIARIO!L$27),0))</f>
        <v>0</v>
      </c>
      <c r="M96" s="132">
        <f t="array" aca="1" ref="M96" ca="1">SUM(IFERROR(Propagações_TOT_IGUACU!$B$7:$BZ$69*(Propagações_TOT_IGUACU!$B$6:$BZ$6=$B96&amp;"A")*(Propagações_TOT_IGUACU!$A$7:$A$69&gt;=PREVS_SMAP_DIARIO!M$26)*(Propagações_TOT_IGUACU!$A$7:$A$69&lt;=PREVS_SMAP_DIARIO!M$27),0))</f>
        <v>0</v>
      </c>
      <c r="N96" s="132">
        <f t="array" aca="1" ref="N96" ca="1">SUM(IFERROR(Propagações_TOT_IGUACU!$B$7:$BZ$69*(Propagações_TOT_IGUACU!$B$6:$BZ$6=$B96&amp;"A")*(Propagações_TOT_IGUACU!$A$7:$A$69&gt;=PREVS_SMAP_DIARIO!N$26)*(Propagações_TOT_IGUACU!$A$7:$A$69&lt;=PREVS_SMAP_DIARIO!N$27),0))</f>
        <v>0</v>
      </c>
      <c r="O96" s="132">
        <f t="array" aca="1" ref="O96" ca="1">SUM(IFERROR(Propagações_TOT_IGUACU!$B$7:$BZ$69*(Propagações_TOT_IGUACU!$B$6:$BZ$6=$B96&amp;"A")*(Propagações_TOT_IGUACU!$A$7:$A$69&gt;=PREVS_SMAP_DIARIO!O$26)*(Propagações_TOT_IGUACU!$A$7:$A$69&lt;=PREVS_SMAP_DIARIO!O$27),0))</f>
        <v>0</v>
      </c>
      <c r="P96" s="132">
        <f t="array" aca="1" ref="P96" ca="1">SUM(IFERROR(Propagações_TOT_IGUACU!$B$7:$BZ$69*(Propagações_TOT_IGUACU!$B$6:$BZ$6=$B96&amp;"A")*(Propagações_TOT_IGUACU!$A$7:$A$69&gt;=PREVS_SMAP_DIARIO!P$26)*(Propagações_TOT_IGUACU!$A$7:$A$69&lt;=PREVS_SMAP_DIARIO!P$27),0))</f>
        <v>0</v>
      </c>
      <c r="Q96" s="132">
        <f t="array" aca="1" ref="Q96" ca="1">SUM(IFERROR(Propagações_TOT_IGUACU!$B$7:$BZ$69*(Propagações_TOT_IGUACU!$B$6:$BZ$6=$B96&amp;"A")*(Propagações_TOT_IGUACU!$A$7:$A$69&gt;=PREVS_SMAP_DIARIO!Q$26)*(Propagações_TOT_IGUACU!$A$7:$A$69&lt;=PREVS_SMAP_DIARIO!Q$27),0))</f>
        <v>0</v>
      </c>
      <c r="R96"/>
      <c r="S96"/>
      <c r="T96" s="272">
        <v>69</v>
      </c>
      <c r="V96" s="202" t="e">
        <f ca="1">IFERROR(ROUND(INDEX(F:F,MATCH($T96,$A:$A,0)),0),INDEX(PREVIVAZ!$C70:$N70,1,MATCH(V$27,PREVIVAZ!$C$1:$N$1,1)))</f>
        <v>#N/A</v>
      </c>
      <c r="W96" s="202" t="e">
        <f ca="1">IFERROR(ROUND(INDEX(G:G,MATCH($T96,$A:$A,0)),0),INDEX(PREVIVAZ!$C70:$N70,1,MATCH(W$27,PREVIVAZ!$C$1:$N$1,1)))</f>
        <v>#N/A</v>
      </c>
      <c r="X96" s="202" t="e">
        <f ca="1">IFERROR(ROUND(INDEX(H:H,MATCH($T96,$A:$A,0)),0),INDEX(PREVIVAZ!$C70:$N70,1,MATCH(X$27,PREVIVAZ!$C$1:$N$1,1)))</f>
        <v>#N/A</v>
      </c>
      <c r="Y96" s="202" t="e">
        <f ca="1">IFERROR(ROUND(INDEX(I:I,MATCH($T96,$A:$A,0)),0),INDEX(PREVIVAZ!$C70:$N70,1,MATCH(Y$27,PREVIVAZ!$C$1:$N$1,1)))</f>
        <v>#N/A</v>
      </c>
      <c r="Z96" s="202" t="e">
        <f ca="1">IFERROR(ROUND(INDEX(J:J,MATCH($T96,$A:$A,0)),0),INDEX(PREVIVAZ!$C70:$N70,1,MATCH(Z$27,PREVIVAZ!$C$1:$N$1,1)))</f>
        <v>#N/A</v>
      </c>
      <c r="AA96" s="202" t="e">
        <f ca="1">IFERROR(ROUND(INDEX(K:K,MATCH($T96,$A:$A,0)),0),INDEX(PREVIVAZ!$C70:$N70,1,MATCH(AA$27,PREVIVAZ!$C$1:$N$1,1)))</f>
        <v>#N/A</v>
      </c>
      <c r="AB96" s="202" t="e">
        <f ca="1">IFERROR(ROUND(INDEX(L:L,MATCH($T96,$A:$A,0)),0),INDEX(PREVIVAZ!$C70:$N70,1,MATCH(AB$27,PREVIVAZ!$C$1:$N$1,1)))</f>
        <v>#N/A</v>
      </c>
      <c r="AC96" s="202" t="e">
        <f ca="1">IFERROR(ROUND(INDEX(M:M,MATCH($T96,$A:$A,0)),0),INDEX(PREVIVAZ!$C70:$N70,1,MATCH(AC$27,PREVIVAZ!$C$1:$N$1,1)))</f>
        <v>#N/A</v>
      </c>
      <c r="AD96" s="202" t="e">
        <f ca="1">IFERROR(ROUND(INDEX(N:N,MATCH($T96,$A:$A,0)),0),INDEX(PREVIVAZ!$C70:$N70,1,MATCH(AD$27,PREVIVAZ!$C$1:$N$1,1)))</f>
        <v>#N/A</v>
      </c>
      <c r="AE96" s="202" t="e">
        <f ca="1">IFERROR(ROUND(INDEX(O:O,MATCH($T96,$A:$A,0)),0),INDEX(PREVIVAZ!$C70:$N70,1,MATCH(AE$27,PREVIVAZ!$C$1:$N$1,1)))</f>
        <v>#N/A</v>
      </c>
      <c r="AF96" s="202" t="e">
        <f ca="1">IFERROR(ROUND(INDEX(P:P,MATCH($T96,$A:$A,0)),0),INDEX(PREVIVAZ!$C70:$N70,1,MATCH(AF$27,PREVIVAZ!$C$1:$N$1,1)))</f>
        <v>#N/A</v>
      </c>
      <c r="AG96" s="202" t="e">
        <f ca="1">IFERROR(ROUND(INDEX(Q:Q,MATCH($T96,$A:$A,0)),0),INDEX(PREVIVAZ!$C70:$N70,1,MATCH(AG$27,PREVIVAZ!$C$1:$N$1,1)))</f>
        <v>#N/A</v>
      </c>
    </row>
    <row r="97" spans="1:33" ht="13.5" thickBot="1" x14ac:dyDescent="0.25">
      <c r="A97" s="182">
        <v>78</v>
      </c>
      <c r="B97" s="282" t="str">
        <f t="shared" si="23"/>
        <v>78_VN</v>
      </c>
      <c r="C97" s="183" t="s">
        <v>84</v>
      </c>
      <c r="D97" s="132">
        <f t="shared" si="24"/>
        <v>78</v>
      </c>
      <c r="E97" s="132">
        <f t="array" aca="1" ref="E97" ca="1">SUM(IFERROR(Propagações_TOT_IGUACU!$B$7:$BZ$69*(Propagações_TOT_IGUACU!$B$6:$BZ$6=$B97&amp;"A")*(Propagações_TOT_IGUACU!$A$7:$A$69&gt;=PREVS_SMAP_DIARIO!E$26)*(Propagações_TOT_IGUACU!$A$7:$A$69&lt;=PREVS_SMAP_DIARIO!E$27),0))</f>
        <v>389</v>
      </c>
      <c r="F97" s="132">
        <f t="array" aca="1" ref="F97" ca="1">SUM(IFERROR(Propagações_TOT_IGUACU!$B$7:$BZ$69*(Propagações_TOT_IGUACU!$B$6:$BZ$6=$B97&amp;"A")*(Propagações_TOT_IGUACU!$A$7:$A$69&gt;=PREVS_SMAP_DIARIO!F$26)*(Propagações_TOT_IGUACU!$A$7:$A$69&lt;=PREVS_SMAP_DIARIO!F$27),0))</f>
        <v>0</v>
      </c>
      <c r="G97" s="132">
        <f t="array" aca="1" ref="G97" ca="1">SUM(IFERROR(Propagações_TOT_IGUACU!$B$7:$BZ$69*(Propagações_TOT_IGUACU!$B$6:$BZ$6=$B97&amp;"A")*(Propagações_TOT_IGUACU!$A$7:$A$69&gt;=PREVS_SMAP_DIARIO!G$26)*(Propagações_TOT_IGUACU!$A$7:$A$69&lt;=PREVS_SMAP_DIARIO!G$27),0))</f>
        <v>0</v>
      </c>
      <c r="H97" s="132">
        <f t="array" aca="1" ref="H97" ca="1">SUM(IFERROR(Propagações_TOT_IGUACU!$B$7:$BZ$69*(Propagações_TOT_IGUACU!$B$6:$BZ$6=$B97&amp;"A")*(Propagações_TOT_IGUACU!$A$7:$A$69&gt;=PREVS_SMAP_DIARIO!H$26)*(Propagações_TOT_IGUACU!$A$7:$A$69&lt;=PREVS_SMAP_DIARIO!H$27),0))</f>
        <v>0</v>
      </c>
      <c r="I97" s="132">
        <f t="array" aca="1" ref="I97" ca="1">SUM(IFERROR(Propagações_TOT_IGUACU!$B$7:$BZ$69*(Propagações_TOT_IGUACU!$B$6:$BZ$6=$B97&amp;"A")*(Propagações_TOT_IGUACU!$A$7:$A$69&gt;=PREVS_SMAP_DIARIO!I$26)*(Propagações_TOT_IGUACU!$A$7:$A$69&lt;=PREVS_SMAP_DIARIO!I$27),0))</f>
        <v>0</v>
      </c>
      <c r="J97" s="132">
        <f t="array" aca="1" ref="J97" ca="1">SUM(IFERROR(Propagações_TOT_IGUACU!$B$7:$BZ$69*(Propagações_TOT_IGUACU!$B$6:$BZ$6=$B97&amp;"A")*(Propagações_TOT_IGUACU!$A$7:$A$69&gt;=PREVS_SMAP_DIARIO!J$26)*(Propagações_TOT_IGUACU!$A$7:$A$69&lt;=PREVS_SMAP_DIARIO!J$27),0))</f>
        <v>0</v>
      </c>
      <c r="K97" s="132">
        <f t="array" aca="1" ref="K97" ca="1">SUM(IFERROR(Propagações_TOT_IGUACU!$B$7:$BZ$69*(Propagações_TOT_IGUACU!$B$6:$BZ$6=$B97&amp;"A")*(Propagações_TOT_IGUACU!$A$7:$A$69&gt;=PREVS_SMAP_DIARIO!K$26)*(Propagações_TOT_IGUACU!$A$7:$A$69&lt;=PREVS_SMAP_DIARIO!K$27),0))</f>
        <v>0</v>
      </c>
      <c r="L97" s="132">
        <f t="array" aca="1" ref="L97" ca="1">SUM(IFERROR(Propagações_TOT_IGUACU!$B$7:$BZ$69*(Propagações_TOT_IGUACU!$B$6:$BZ$6=$B97&amp;"A")*(Propagações_TOT_IGUACU!$A$7:$A$69&gt;=PREVS_SMAP_DIARIO!L$26)*(Propagações_TOT_IGUACU!$A$7:$A$69&lt;=PREVS_SMAP_DIARIO!L$27),0))</f>
        <v>0</v>
      </c>
      <c r="M97" s="132">
        <f t="array" aca="1" ref="M97" ca="1">SUM(IFERROR(Propagações_TOT_IGUACU!$B$7:$BZ$69*(Propagações_TOT_IGUACU!$B$6:$BZ$6=$B97&amp;"A")*(Propagações_TOT_IGUACU!$A$7:$A$69&gt;=PREVS_SMAP_DIARIO!M$26)*(Propagações_TOT_IGUACU!$A$7:$A$69&lt;=PREVS_SMAP_DIARIO!M$27),0))</f>
        <v>0</v>
      </c>
      <c r="N97" s="132">
        <f t="array" aca="1" ref="N97" ca="1">SUM(IFERROR(Propagações_TOT_IGUACU!$B$7:$BZ$69*(Propagações_TOT_IGUACU!$B$6:$BZ$6=$B97&amp;"A")*(Propagações_TOT_IGUACU!$A$7:$A$69&gt;=PREVS_SMAP_DIARIO!N$26)*(Propagações_TOT_IGUACU!$A$7:$A$69&lt;=PREVS_SMAP_DIARIO!N$27),0))</f>
        <v>0</v>
      </c>
      <c r="O97" s="132">
        <f t="array" aca="1" ref="O97" ca="1">SUM(IFERROR(Propagações_TOT_IGUACU!$B$7:$BZ$69*(Propagações_TOT_IGUACU!$B$6:$BZ$6=$B97&amp;"A")*(Propagações_TOT_IGUACU!$A$7:$A$69&gt;=PREVS_SMAP_DIARIO!O$26)*(Propagações_TOT_IGUACU!$A$7:$A$69&lt;=PREVS_SMAP_DIARIO!O$27),0))</f>
        <v>0</v>
      </c>
      <c r="P97" s="132">
        <f t="array" aca="1" ref="P97" ca="1">SUM(IFERROR(Propagações_TOT_IGUACU!$B$7:$BZ$69*(Propagações_TOT_IGUACU!$B$6:$BZ$6=$B97&amp;"A")*(Propagações_TOT_IGUACU!$A$7:$A$69&gt;=PREVS_SMAP_DIARIO!P$26)*(Propagações_TOT_IGUACU!$A$7:$A$69&lt;=PREVS_SMAP_DIARIO!P$27),0))</f>
        <v>0</v>
      </c>
      <c r="Q97" s="132">
        <f t="array" aca="1" ref="Q97" ca="1">SUM(IFERROR(Propagações_TOT_IGUACU!$B$7:$BZ$69*(Propagações_TOT_IGUACU!$B$6:$BZ$6=$B97&amp;"A")*(Propagações_TOT_IGUACU!$A$7:$A$69&gt;=PREVS_SMAP_DIARIO!Q$26)*(Propagações_TOT_IGUACU!$A$7:$A$69&lt;=PREVS_SMAP_DIARIO!Q$27),0))</f>
        <v>0</v>
      </c>
      <c r="R97"/>
      <c r="S97"/>
      <c r="T97" s="272">
        <v>70</v>
      </c>
      <c r="V97" s="202" t="e">
        <f ca="1">IFERROR(ROUND(INDEX(F:F,MATCH($T97,$A:$A,0)),0),INDEX(PREVIVAZ!$C71:$N71,1,MATCH(V$27,PREVIVAZ!$C$1:$N$1,1)))</f>
        <v>#N/A</v>
      </c>
      <c r="W97" s="202" t="e">
        <f ca="1">IFERROR(ROUND(INDEX(G:G,MATCH($T97,$A:$A,0)),0),INDEX(PREVIVAZ!$C71:$N71,1,MATCH(W$27,PREVIVAZ!$C$1:$N$1,1)))</f>
        <v>#N/A</v>
      </c>
      <c r="X97" s="202" t="e">
        <f ca="1">IFERROR(ROUND(INDEX(H:H,MATCH($T97,$A:$A,0)),0),INDEX(PREVIVAZ!$C71:$N71,1,MATCH(X$27,PREVIVAZ!$C$1:$N$1,1)))</f>
        <v>#N/A</v>
      </c>
      <c r="Y97" s="202" t="e">
        <f ca="1">IFERROR(ROUND(INDEX(I:I,MATCH($T97,$A:$A,0)),0),INDEX(PREVIVAZ!$C71:$N71,1,MATCH(Y$27,PREVIVAZ!$C$1:$N$1,1)))</f>
        <v>#N/A</v>
      </c>
      <c r="Z97" s="202" t="e">
        <f ca="1">IFERROR(ROUND(INDEX(J:J,MATCH($T97,$A:$A,0)),0),INDEX(PREVIVAZ!$C71:$N71,1,MATCH(Z$27,PREVIVAZ!$C$1:$N$1,1)))</f>
        <v>#N/A</v>
      </c>
      <c r="AA97" s="202" t="e">
        <f ca="1">IFERROR(ROUND(INDEX(K:K,MATCH($T97,$A:$A,0)),0),INDEX(PREVIVAZ!$C71:$N71,1,MATCH(AA$27,PREVIVAZ!$C$1:$N$1,1)))</f>
        <v>#N/A</v>
      </c>
      <c r="AB97" s="202" t="e">
        <f ca="1">IFERROR(ROUND(INDEX(L:L,MATCH($T97,$A:$A,0)),0),INDEX(PREVIVAZ!$C71:$N71,1,MATCH(AB$27,PREVIVAZ!$C$1:$N$1,1)))</f>
        <v>#N/A</v>
      </c>
      <c r="AC97" s="202" t="e">
        <f ca="1">IFERROR(ROUND(INDEX(M:M,MATCH($T97,$A:$A,0)),0),INDEX(PREVIVAZ!$C71:$N71,1,MATCH(AC$27,PREVIVAZ!$C$1:$N$1,1)))</f>
        <v>#N/A</v>
      </c>
      <c r="AD97" s="202" t="e">
        <f ca="1">IFERROR(ROUND(INDEX(N:N,MATCH($T97,$A:$A,0)),0),INDEX(PREVIVAZ!$C71:$N71,1,MATCH(AD$27,PREVIVAZ!$C$1:$N$1,1)))</f>
        <v>#N/A</v>
      </c>
      <c r="AE97" s="202" t="e">
        <f ca="1">IFERROR(ROUND(INDEX(O:O,MATCH($T97,$A:$A,0)),0),INDEX(PREVIVAZ!$C71:$N71,1,MATCH(AE$27,PREVIVAZ!$C$1:$N$1,1)))</f>
        <v>#N/A</v>
      </c>
      <c r="AF97" s="202" t="e">
        <f ca="1">IFERROR(ROUND(INDEX(P:P,MATCH($T97,$A:$A,0)),0),INDEX(PREVIVAZ!$C71:$N71,1,MATCH(AF$27,PREVIVAZ!$C$1:$N$1,1)))</f>
        <v>#N/A</v>
      </c>
      <c r="AG97" s="202" t="e">
        <f ca="1">IFERROR(ROUND(INDEX(Q:Q,MATCH($T97,$A:$A,0)),0),INDEX(PREVIVAZ!$C71:$N71,1,MATCH(AG$27,PREVIVAZ!$C$1:$N$1,1)))</f>
        <v>#N/A</v>
      </c>
    </row>
    <row r="98" spans="1:33" ht="13.5" thickBot="1" x14ac:dyDescent="0.25">
      <c r="A98" s="150">
        <v>77</v>
      </c>
      <c r="B98" s="282" t="str">
        <f t="shared" si="23"/>
        <v>77_VN</v>
      </c>
      <c r="C98" s="139" t="s">
        <v>85</v>
      </c>
      <c r="D98" s="132">
        <f t="shared" si="24"/>
        <v>77</v>
      </c>
      <c r="E98" s="132">
        <f t="array" aca="1" ref="E98" ca="1">SUM(IFERROR(Propagações_TOT_IGUACU!$B$7:$BZ$69*(Propagações_TOT_IGUACU!$B$6:$BZ$6=$B98&amp;"A")*(Propagações_TOT_IGUACU!$A$7:$A$69&gt;=PREVS_SMAP_DIARIO!E$26)*(Propagações_TOT_IGUACU!$A$7:$A$69&lt;=PREVS_SMAP_DIARIO!E$27),0))</f>
        <v>390</v>
      </c>
      <c r="F98" s="132">
        <f t="array" aca="1" ref="F98" ca="1">SUM(IFERROR(Propagações_TOT_IGUACU!$B$7:$BZ$69*(Propagações_TOT_IGUACU!$B$6:$BZ$6=$B98&amp;"A")*(Propagações_TOT_IGUACU!$A$7:$A$69&gt;=PREVS_SMAP_DIARIO!F$26)*(Propagações_TOT_IGUACU!$A$7:$A$69&lt;=PREVS_SMAP_DIARIO!F$27),0))</f>
        <v>0</v>
      </c>
      <c r="G98" s="132">
        <f t="array" aca="1" ref="G98" ca="1">SUM(IFERROR(Propagações_TOT_IGUACU!$B$7:$BZ$69*(Propagações_TOT_IGUACU!$B$6:$BZ$6=$B98&amp;"A")*(Propagações_TOT_IGUACU!$A$7:$A$69&gt;=PREVS_SMAP_DIARIO!G$26)*(Propagações_TOT_IGUACU!$A$7:$A$69&lt;=PREVS_SMAP_DIARIO!G$27),0))</f>
        <v>0</v>
      </c>
      <c r="H98" s="132">
        <f t="array" aca="1" ref="H98" ca="1">SUM(IFERROR(Propagações_TOT_IGUACU!$B$7:$BZ$69*(Propagações_TOT_IGUACU!$B$6:$BZ$6=$B98&amp;"A")*(Propagações_TOT_IGUACU!$A$7:$A$69&gt;=PREVS_SMAP_DIARIO!H$26)*(Propagações_TOT_IGUACU!$A$7:$A$69&lt;=PREVS_SMAP_DIARIO!H$27),0))</f>
        <v>0</v>
      </c>
      <c r="I98" s="132">
        <f t="array" aca="1" ref="I98" ca="1">SUM(IFERROR(Propagações_TOT_IGUACU!$B$7:$BZ$69*(Propagações_TOT_IGUACU!$B$6:$BZ$6=$B98&amp;"A")*(Propagações_TOT_IGUACU!$A$7:$A$69&gt;=PREVS_SMAP_DIARIO!I$26)*(Propagações_TOT_IGUACU!$A$7:$A$69&lt;=PREVS_SMAP_DIARIO!I$27),0))</f>
        <v>0</v>
      </c>
      <c r="J98" s="132">
        <f t="array" aca="1" ref="J98" ca="1">SUM(IFERROR(Propagações_TOT_IGUACU!$B$7:$BZ$69*(Propagações_TOT_IGUACU!$B$6:$BZ$6=$B98&amp;"A")*(Propagações_TOT_IGUACU!$A$7:$A$69&gt;=PREVS_SMAP_DIARIO!J$26)*(Propagações_TOT_IGUACU!$A$7:$A$69&lt;=PREVS_SMAP_DIARIO!J$27),0))</f>
        <v>0</v>
      </c>
      <c r="K98" s="132">
        <f t="array" aca="1" ref="K98" ca="1">SUM(IFERROR(Propagações_TOT_IGUACU!$B$7:$BZ$69*(Propagações_TOT_IGUACU!$B$6:$BZ$6=$B98&amp;"A")*(Propagações_TOT_IGUACU!$A$7:$A$69&gt;=PREVS_SMAP_DIARIO!K$26)*(Propagações_TOT_IGUACU!$A$7:$A$69&lt;=PREVS_SMAP_DIARIO!K$27),0))</f>
        <v>0</v>
      </c>
      <c r="L98" s="132">
        <f t="array" aca="1" ref="L98" ca="1">SUM(IFERROR(Propagações_TOT_IGUACU!$B$7:$BZ$69*(Propagações_TOT_IGUACU!$B$6:$BZ$6=$B98&amp;"A")*(Propagações_TOT_IGUACU!$A$7:$A$69&gt;=PREVS_SMAP_DIARIO!L$26)*(Propagações_TOT_IGUACU!$A$7:$A$69&lt;=PREVS_SMAP_DIARIO!L$27),0))</f>
        <v>0</v>
      </c>
      <c r="M98" s="132">
        <f t="array" aca="1" ref="M98" ca="1">SUM(IFERROR(Propagações_TOT_IGUACU!$B$7:$BZ$69*(Propagações_TOT_IGUACU!$B$6:$BZ$6=$B98&amp;"A")*(Propagações_TOT_IGUACU!$A$7:$A$69&gt;=PREVS_SMAP_DIARIO!M$26)*(Propagações_TOT_IGUACU!$A$7:$A$69&lt;=PREVS_SMAP_DIARIO!M$27),0))</f>
        <v>0</v>
      </c>
      <c r="N98" s="132">
        <f t="array" aca="1" ref="N98" ca="1">SUM(IFERROR(Propagações_TOT_IGUACU!$B$7:$BZ$69*(Propagações_TOT_IGUACU!$B$6:$BZ$6=$B98&amp;"A")*(Propagações_TOT_IGUACU!$A$7:$A$69&gt;=PREVS_SMAP_DIARIO!N$26)*(Propagações_TOT_IGUACU!$A$7:$A$69&lt;=PREVS_SMAP_DIARIO!N$27),0))</f>
        <v>0</v>
      </c>
      <c r="O98" s="132">
        <f t="array" aca="1" ref="O98" ca="1">SUM(IFERROR(Propagações_TOT_IGUACU!$B$7:$BZ$69*(Propagações_TOT_IGUACU!$B$6:$BZ$6=$B98&amp;"A")*(Propagações_TOT_IGUACU!$A$7:$A$69&gt;=PREVS_SMAP_DIARIO!O$26)*(Propagações_TOT_IGUACU!$A$7:$A$69&lt;=PREVS_SMAP_DIARIO!O$27),0))</f>
        <v>0</v>
      </c>
      <c r="P98" s="132">
        <f t="array" aca="1" ref="P98" ca="1">SUM(IFERROR(Propagações_TOT_IGUACU!$B$7:$BZ$69*(Propagações_TOT_IGUACU!$B$6:$BZ$6=$B98&amp;"A")*(Propagações_TOT_IGUACU!$A$7:$A$69&gt;=PREVS_SMAP_DIARIO!P$26)*(Propagações_TOT_IGUACU!$A$7:$A$69&lt;=PREVS_SMAP_DIARIO!P$27),0))</f>
        <v>0</v>
      </c>
      <c r="Q98" s="132">
        <f t="array" aca="1" ref="Q98" ca="1">SUM(IFERROR(Propagações_TOT_IGUACU!$B$7:$BZ$69*(Propagações_TOT_IGUACU!$B$6:$BZ$6=$B98&amp;"A")*(Propagações_TOT_IGUACU!$A$7:$A$69&gt;=PREVS_SMAP_DIARIO!Q$26)*(Propagações_TOT_IGUACU!$A$7:$A$69&lt;=PREVS_SMAP_DIARIO!Q$27),0))</f>
        <v>0</v>
      </c>
      <c r="R98"/>
      <c r="S98"/>
      <c r="T98" s="272">
        <v>71</v>
      </c>
      <c r="V98" s="202">
        <f ca="1">IFERROR(ROUND(INDEX(F:F,MATCH($T98,$A:$A,0)),0),INDEX(PREVIVAZ!$C72:$N72,1,MATCH(V$27,PREVIVAZ!$C$1:$N$1,1)))</f>
        <v>0</v>
      </c>
      <c r="W98" s="202">
        <f ca="1">IFERROR(ROUND(INDEX(G:G,MATCH($T98,$A:$A,0)),0),INDEX(PREVIVAZ!$C72:$N72,1,MATCH(W$27,PREVIVAZ!$C$1:$N$1,1)))</f>
        <v>0</v>
      </c>
      <c r="X98" s="202">
        <f ca="1">IFERROR(ROUND(INDEX(H:H,MATCH($T98,$A:$A,0)),0),INDEX(PREVIVAZ!$C72:$N72,1,MATCH(X$27,PREVIVAZ!$C$1:$N$1,1)))</f>
        <v>0</v>
      </c>
      <c r="Y98" s="202">
        <f ca="1">IFERROR(ROUND(INDEX(I:I,MATCH($T98,$A:$A,0)),0),INDEX(PREVIVAZ!$C72:$N72,1,MATCH(Y$27,PREVIVAZ!$C$1:$N$1,1)))</f>
        <v>0</v>
      </c>
      <c r="Z98" s="202">
        <f ca="1">IFERROR(ROUND(INDEX(J:J,MATCH($T98,$A:$A,0)),0),INDEX(PREVIVAZ!$C72:$N72,1,MATCH(Z$27,PREVIVAZ!$C$1:$N$1,1)))</f>
        <v>0</v>
      </c>
      <c r="AA98" s="202">
        <f ca="1">IFERROR(ROUND(INDEX(K:K,MATCH($T98,$A:$A,0)),0),INDEX(PREVIVAZ!$C72:$N72,1,MATCH(AA$27,PREVIVAZ!$C$1:$N$1,1)))</f>
        <v>0</v>
      </c>
      <c r="AB98" s="202">
        <f ca="1">IFERROR(ROUND(INDEX(L:L,MATCH($T98,$A:$A,0)),0),INDEX(PREVIVAZ!$C72:$N72,1,MATCH(AB$27,PREVIVAZ!$C$1:$N$1,1)))</f>
        <v>0</v>
      </c>
      <c r="AC98" s="202">
        <f ca="1">IFERROR(ROUND(INDEX(M:M,MATCH($T98,$A:$A,0)),0),INDEX(PREVIVAZ!$C72:$N72,1,MATCH(AC$27,PREVIVAZ!$C$1:$N$1,1)))</f>
        <v>0</v>
      </c>
      <c r="AD98" s="202">
        <f ca="1">IFERROR(ROUND(INDEX(N:N,MATCH($T98,$A:$A,0)),0),INDEX(PREVIVAZ!$C72:$N72,1,MATCH(AD$27,PREVIVAZ!$C$1:$N$1,1)))</f>
        <v>0</v>
      </c>
      <c r="AE98" s="202">
        <f ca="1">IFERROR(ROUND(INDEX(O:O,MATCH($T98,$A:$A,0)),0),INDEX(PREVIVAZ!$C72:$N72,1,MATCH(AE$27,PREVIVAZ!$C$1:$N$1,1)))</f>
        <v>0</v>
      </c>
      <c r="AF98" s="202">
        <f ca="1">IFERROR(ROUND(INDEX(P:P,MATCH($T98,$A:$A,0)),0),INDEX(PREVIVAZ!$C72:$N72,1,MATCH(AF$27,PREVIVAZ!$C$1:$N$1,1)))</f>
        <v>0</v>
      </c>
      <c r="AG98" s="202">
        <f ca="1">IFERROR(ROUND(INDEX(Q:Q,MATCH($T98,$A:$A,0)),0),INDEX(PREVIVAZ!$C72:$N72,1,MATCH(AG$27,PREVIVAZ!$C$1:$N$1,1)))</f>
        <v>0</v>
      </c>
    </row>
    <row r="99" spans="1:33" ht="13.5" thickBot="1" x14ac:dyDescent="0.25">
      <c r="A99" s="182">
        <v>76</v>
      </c>
      <c r="B99" s="282" t="str">
        <f t="shared" si="23"/>
        <v>76_VN</v>
      </c>
      <c r="C99" s="183" t="s">
        <v>86</v>
      </c>
      <c r="D99" s="132">
        <f t="shared" si="24"/>
        <v>76</v>
      </c>
      <c r="E99" s="132">
        <f t="array" aca="1" ref="E99" ca="1">SUM(IFERROR(Propagações_TOT_IGUACU!$B$7:$BZ$69*(Propagações_TOT_IGUACU!$B$6:$BZ$6=$B99&amp;"A")*(Propagações_TOT_IGUACU!$A$7:$A$69&gt;=PREVS_SMAP_DIARIO!E$26)*(Propagações_TOT_IGUACU!$A$7:$A$69&lt;=PREVS_SMAP_DIARIO!E$27),0))</f>
        <v>327</v>
      </c>
      <c r="F99" s="132">
        <f t="array" aca="1" ref="F99" ca="1">SUM(IFERROR(Propagações_TOT_IGUACU!$B$7:$BZ$69*(Propagações_TOT_IGUACU!$B$6:$BZ$6=$B99&amp;"A")*(Propagações_TOT_IGUACU!$A$7:$A$69&gt;=PREVS_SMAP_DIARIO!F$26)*(Propagações_TOT_IGUACU!$A$7:$A$69&lt;=PREVS_SMAP_DIARIO!F$27),0))</f>
        <v>0</v>
      </c>
      <c r="G99" s="132">
        <f t="array" aca="1" ref="G99" ca="1">SUM(IFERROR(Propagações_TOT_IGUACU!$B$7:$BZ$69*(Propagações_TOT_IGUACU!$B$6:$BZ$6=$B99&amp;"A")*(Propagações_TOT_IGUACU!$A$7:$A$69&gt;=PREVS_SMAP_DIARIO!G$26)*(Propagações_TOT_IGUACU!$A$7:$A$69&lt;=PREVS_SMAP_DIARIO!G$27),0))</f>
        <v>0</v>
      </c>
      <c r="H99" s="132">
        <f t="array" aca="1" ref="H99" ca="1">SUM(IFERROR(Propagações_TOT_IGUACU!$B$7:$BZ$69*(Propagações_TOT_IGUACU!$B$6:$BZ$6=$B99&amp;"A")*(Propagações_TOT_IGUACU!$A$7:$A$69&gt;=PREVS_SMAP_DIARIO!H$26)*(Propagações_TOT_IGUACU!$A$7:$A$69&lt;=PREVS_SMAP_DIARIO!H$27),0))</f>
        <v>0</v>
      </c>
      <c r="I99" s="132">
        <f t="array" aca="1" ref="I99" ca="1">SUM(IFERROR(Propagações_TOT_IGUACU!$B$7:$BZ$69*(Propagações_TOT_IGUACU!$B$6:$BZ$6=$B99&amp;"A")*(Propagações_TOT_IGUACU!$A$7:$A$69&gt;=PREVS_SMAP_DIARIO!I$26)*(Propagações_TOT_IGUACU!$A$7:$A$69&lt;=PREVS_SMAP_DIARIO!I$27),0))</f>
        <v>0</v>
      </c>
      <c r="J99" s="132">
        <f t="array" aca="1" ref="J99" ca="1">SUM(IFERROR(Propagações_TOT_IGUACU!$B$7:$BZ$69*(Propagações_TOT_IGUACU!$B$6:$BZ$6=$B99&amp;"A")*(Propagações_TOT_IGUACU!$A$7:$A$69&gt;=PREVS_SMAP_DIARIO!J$26)*(Propagações_TOT_IGUACU!$A$7:$A$69&lt;=PREVS_SMAP_DIARIO!J$27),0))</f>
        <v>0</v>
      </c>
      <c r="K99" s="132">
        <f t="array" aca="1" ref="K99" ca="1">SUM(IFERROR(Propagações_TOT_IGUACU!$B$7:$BZ$69*(Propagações_TOT_IGUACU!$B$6:$BZ$6=$B99&amp;"A")*(Propagações_TOT_IGUACU!$A$7:$A$69&gt;=PREVS_SMAP_DIARIO!K$26)*(Propagações_TOT_IGUACU!$A$7:$A$69&lt;=PREVS_SMAP_DIARIO!K$27),0))</f>
        <v>0</v>
      </c>
      <c r="L99" s="132">
        <f t="array" aca="1" ref="L99" ca="1">SUM(IFERROR(Propagações_TOT_IGUACU!$B$7:$BZ$69*(Propagações_TOT_IGUACU!$B$6:$BZ$6=$B99&amp;"A")*(Propagações_TOT_IGUACU!$A$7:$A$69&gt;=PREVS_SMAP_DIARIO!L$26)*(Propagações_TOT_IGUACU!$A$7:$A$69&lt;=PREVS_SMAP_DIARIO!L$27),0))</f>
        <v>0</v>
      </c>
      <c r="M99" s="132">
        <f t="array" aca="1" ref="M99" ca="1">SUM(IFERROR(Propagações_TOT_IGUACU!$B$7:$BZ$69*(Propagações_TOT_IGUACU!$B$6:$BZ$6=$B99&amp;"A")*(Propagações_TOT_IGUACU!$A$7:$A$69&gt;=PREVS_SMAP_DIARIO!M$26)*(Propagações_TOT_IGUACU!$A$7:$A$69&lt;=PREVS_SMAP_DIARIO!M$27),0))</f>
        <v>0</v>
      </c>
      <c r="N99" s="132">
        <f t="array" aca="1" ref="N99" ca="1">SUM(IFERROR(Propagações_TOT_IGUACU!$B$7:$BZ$69*(Propagações_TOT_IGUACU!$B$6:$BZ$6=$B99&amp;"A")*(Propagações_TOT_IGUACU!$A$7:$A$69&gt;=PREVS_SMAP_DIARIO!N$26)*(Propagações_TOT_IGUACU!$A$7:$A$69&lt;=PREVS_SMAP_DIARIO!N$27),0))</f>
        <v>0</v>
      </c>
      <c r="O99" s="132">
        <f t="array" aca="1" ref="O99" ca="1">SUM(IFERROR(Propagações_TOT_IGUACU!$B$7:$BZ$69*(Propagações_TOT_IGUACU!$B$6:$BZ$6=$B99&amp;"A")*(Propagações_TOT_IGUACU!$A$7:$A$69&gt;=PREVS_SMAP_DIARIO!O$26)*(Propagações_TOT_IGUACU!$A$7:$A$69&lt;=PREVS_SMAP_DIARIO!O$27),0))</f>
        <v>0</v>
      </c>
      <c r="P99" s="132">
        <f t="array" aca="1" ref="P99" ca="1">SUM(IFERROR(Propagações_TOT_IGUACU!$B$7:$BZ$69*(Propagações_TOT_IGUACU!$B$6:$BZ$6=$B99&amp;"A")*(Propagações_TOT_IGUACU!$A$7:$A$69&gt;=PREVS_SMAP_DIARIO!P$26)*(Propagações_TOT_IGUACU!$A$7:$A$69&lt;=PREVS_SMAP_DIARIO!P$27),0))</f>
        <v>0</v>
      </c>
      <c r="Q99" s="132">
        <f t="array" aca="1" ref="Q99" ca="1">SUM(IFERROR(Propagações_TOT_IGUACU!$B$7:$BZ$69*(Propagações_TOT_IGUACU!$B$6:$BZ$6=$B99&amp;"A")*(Propagações_TOT_IGUACU!$A$7:$A$69&gt;=PREVS_SMAP_DIARIO!Q$26)*(Propagações_TOT_IGUACU!$A$7:$A$69&lt;=PREVS_SMAP_DIARIO!Q$27),0))</f>
        <v>0</v>
      </c>
      <c r="R99"/>
      <c r="S99"/>
      <c r="T99" s="272">
        <v>72</v>
      </c>
      <c r="V99" s="202">
        <f ca="1">IFERROR(ROUND(INDEX(F:F,MATCH($T99,$A:$A,0)),0),INDEX(PREVIVAZ!$C73:$N73,1,MATCH(V$27,PREVIVAZ!$C$1:$N$1,1)))</f>
        <v>0</v>
      </c>
      <c r="W99" s="202">
        <f ca="1">IFERROR(ROUND(INDEX(G:G,MATCH($T99,$A:$A,0)),0),INDEX(PREVIVAZ!$C73:$N73,1,MATCH(W$27,PREVIVAZ!$C$1:$N$1,1)))</f>
        <v>0</v>
      </c>
      <c r="X99" s="202">
        <f ca="1">IFERROR(ROUND(INDEX(H:H,MATCH($T99,$A:$A,0)),0),INDEX(PREVIVAZ!$C73:$N73,1,MATCH(X$27,PREVIVAZ!$C$1:$N$1,1)))</f>
        <v>0</v>
      </c>
      <c r="Y99" s="202">
        <f ca="1">IFERROR(ROUND(INDEX(I:I,MATCH($T99,$A:$A,0)),0),INDEX(PREVIVAZ!$C73:$N73,1,MATCH(Y$27,PREVIVAZ!$C$1:$N$1,1)))</f>
        <v>0</v>
      </c>
      <c r="Z99" s="202">
        <f ca="1">IFERROR(ROUND(INDEX(J:J,MATCH($T99,$A:$A,0)),0),INDEX(PREVIVAZ!$C73:$N73,1,MATCH(Z$27,PREVIVAZ!$C$1:$N$1,1)))</f>
        <v>0</v>
      </c>
      <c r="AA99" s="202">
        <f ca="1">IFERROR(ROUND(INDEX(K:K,MATCH($T99,$A:$A,0)),0),INDEX(PREVIVAZ!$C73:$N73,1,MATCH(AA$27,PREVIVAZ!$C$1:$N$1,1)))</f>
        <v>0</v>
      </c>
      <c r="AB99" s="202">
        <f ca="1">IFERROR(ROUND(INDEX(L:L,MATCH($T99,$A:$A,0)),0),INDEX(PREVIVAZ!$C73:$N73,1,MATCH(AB$27,PREVIVAZ!$C$1:$N$1,1)))</f>
        <v>0</v>
      </c>
      <c r="AC99" s="202">
        <f ca="1">IFERROR(ROUND(INDEX(M:M,MATCH($T99,$A:$A,0)),0),INDEX(PREVIVAZ!$C73:$N73,1,MATCH(AC$27,PREVIVAZ!$C$1:$N$1,1)))</f>
        <v>0</v>
      </c>
      <c r="AD99" s="202">
        <f ca="1">IFERROR(ROUND(INDEX(N:N,MATCH($T99,$A:$A,0)),0),INDEX(PREVIVAZ!$C73:$N73,1,MATCH(AD$27,PREVIVAZ!$C$1:$N$1,1)))</f>
        <v>0</v>
      </c>
      <c r="AE99" s="202">
        <f ca="1">IFERROR(ROUND(INDEX(O:O,MATCH($T99,$A:$A,0)),0),INDEX(PREVIVAZ!$C73:$N73,1,MATCH(AE$27,PREVIVAZ!$C$1:$N$1,1)))</f>
        <v>0</v>
      </c>
      <c r="AF99" s="202">
        <f ca="1">IFERROR(ROUND(INDEX(P:P,MATCH($T99,$A:$A,0)),0),INDEX(PREVIVAZ!$C73:$N73,1,MATCH(AF$27,PREVIVAZ!$C$1:$N$1,1)))</f>
        <v>0</v>
      </c>
      <c r="AG99" s="202">
        <f ca="1">IFERROR(ROUND(INDEX(Q:Q,MATCH($T99,$A:$A,0)),0),INDEX(PREVIVAZ!$C73:$N73,1,MATCH(AG$27,PREVIVAZ!$C$1:$N$1,1)))</f>
        <v>0</v>
      </c>
    </row>
    <row r="100" spans="1:33" ht="13.5" thickBot="1" x14ac:dyDescent="0.25">
      <c r="A100" s="179">
        <v>71</v>
      </c>
      <c r="B100" s="282" t="str">
        <f t="shared" si="23"/>
        <v>71_VN</v>
      </c>
      <c r="C100" s="180" t="s">
        <v>148</v>
      </c>
      <c r="D100" s="132">
        <f t="shared" si="24"/>
        <v>71</v>
      </c>
      <c r="E100" s="132">
        <f t="array" aca="1" ref="E100" ca="1">SUM(IFERROR(Propagações_TOT_IGUACU!$B$7:$BZ$69*(Propagações_TOT_IGUACU!$B$6:$BZ$6=$B100&amp;"A")*(Propagações_TOT_IGUACU!$A$7:$A$69&gt;=PREVS_SMAP_DIARIO!E$26)*(Propagações_TOT_IGUACU!$A$7:$A$69&lt;=PREVS_SMAP_DIARIO!E$27),0))</f>
        <v>40</v>
      </c>
      <c r="F100" s="132">
        <f t="array" aca="1" ref="F100" ca="1">SUM(IFERROR(Propagações_TOT_IGUACU!$B$7:$BZ$69*(Propagações_TOT_IGUACU!$B$6:$BZ$6=$B100&amp;"A")*(Propagações_TOT_IGUACU!$A$7:$A$69&gt;=PREVS_SMAP_DIARIO!F$26)*(Propagações_TOT_IGUACU!$A$7:$A$69&lt;=PREVS_SMAP_DIARIO!F$27),0))</f>
        <v>0</v>
      </c>
      <c r="G100" s="132">
        <f t="array" aca="1" ref="G100" ca="1">SUM(IFERROR(Propagações_TOT_IGUACU!$B$7:$BZ$69*(Propagações_TOT_IGUACU!$B$6:$BZ$6=$B100&amp;"A")*(Propagações_TOT_IGUACU!$A$7:$A$69&gt;=PREVS_SMAP_DIARIO!G$26)*(Propagações_TOT_IGUACU!$A$7:$A$69&lt;=PREVS_SMAP_DIARIO!G$27),0))</f>
        <v>0</v>
      </c>
      <c r="H100" s="132">
        <f t="array" aca="1" ref="H100" ca="1">SUM(IFERROR(Propagações_TOT_IGUACU!$B$7:$BZ$69*(Propagações_TOT_IGUACU!$B$6:$BZ$6=$B100&amp;"A")*(Propagações_TOT_IGUACU!$A$7:$A$69&gt;=PREVS_SMAP_DIARIO!H$26)*(Propagações_TOT_IGUACU!$A$7:$A$69&lt;=PREVS_SMAP_DIARIO!H$27),0))</f>
        <v>0</v>
      </c>
      <c r="I100" s="132">
        <f t="array" aca="1" ref="I100" ca="1">SUM(IFERROR(Propagações_TOT_IGUACU!$B$7:$BZ$69*(Propagações_TOT_IGUACU!$B$6:$BZ$6=$B100&amp;"A")*(Propagações_TOT_IGUACU!$A$7:$A$69&gt;=PREVS_SMAP_DIARIO!I$26)*(Propagações_TOT_IGUACU!$A$7:$A$69&lt;=PREVS_SMAP_DIARIO!I$27),0))</f>
        <v>0</v>
      </c>
      <c r="J100" s="132">
        <f t="array" aca="1" ref="J100" ca="1">SUM(IFERROR(Propagações_TOT_IGUACU!$B$7:$BZ$69*(Propagações_TOT_IGUACU!$B$6:$BZ$6=$B100&amp;"A")*(Propagações_TOT_IGUACU!$A$7:$A$69&gt;=PREVS_SMAP_DIARIO!J$26)*(Propagações_TOT_IGUACU!$A$7:$A$69&lt;=PREVS_SMAP_DIARIO!J$27),0))</f>
        <v>0</v>
      </c>
      <c r="K100" s="132">
        <f t="array" aca="1" ref="K100" ca="1">SUM(IFERROR(Propagações_TOT_IGUACU!$B$7:$BZ$69*(Propagações_TOT_IGUACU!$B$6:$BZ$6=$B100&amp;"A")*(Propagações_TOT_IGUACU!$A$7:$A$69&gt;=PREVS_SMAP_DIARIO!K$26)*(Propagações_TOT_IGUACU!$A$7:$A$69&lt;=PREVS_SMAP_DIARIO!K$27),0))</f>
        <v>0</v>
      </c>
      <c r="L100" s="132">
        <f t="array" aca="1" ref="L100" ca="1">SUM(IFERROR(Propagações_TOT_IGUACU!$B$7:$BZ$69*(Propagações_TOT_IGUACU!$B$6:$BZ$6=$B100&amp;"A")*(Propagações_TOT_IGUACU!$A$7:$A$69&gt;=PREVS_SMAP_DIARIO!L$26)*(Propagações_TOT_IGUACU!$A$7:$A$69&lt;=PREVS_SMAP_DIARIO!L$27),0))</f>
        <v>0</v>
      </c>
      <c r="M100" s="132">
        <f t="array" aca="1" ref="M100" ca="1">SUM(IFERROR(Propagações_TOT_IGUACU!$B$7:$BZ$69*(Propagações_TOT_IGUACU!$B$6:$BZ$6=$B100&amp;"A")*(Propagações_TOT_IGUACU!$A$7:$A$69&gt;=PREVS_SMAP_DIARIO!M$26)*(Propagações_TOT_IGUACU!$A$7:$A$69&lt;=PREVS_SMAP_DIARIO!M$27),0))</f>
        <v>0</v>
      </c>
      <c r="N100" s="132">
        <f t="array" aca="1" ref="N100" ca="1">SUM(IFERROR(Propagações_TOT_IGUACU!$B$7:$BZ$69*(Propagações_TOT_IGUACU!$B$6:$BZ$6=$B100&amp;"A")*(Propagações_TOT_IGUACU!$A$7:$A$69&gt;=PREVS_SMAP_DIARIO!N$26)*(Propagações_TOT_IGUACU!$A$7:$A$69&lt;=PREVS_SMAP_DIARIO!N$27),0))</f>
        <v>0</v>
      </c>
      <c r="O100" s="132">
        <f t="array" aca="1" ref="O100" ca="1">SUM(IFERROR(Propagações_TOT_IGUACU!$B$7:$BZ$69*(Propagações_TOT_IGUACU!$B$6:$BZ$6=$B100&amp;"A")*(Propagações_TOT_IGUACU!$A$7:$A$69&gt;=PREVS_SMAP_DIARIO!O$26)*(Propagações_TOT_IGUACU!$A$7:$A$69&lt;=PREVS_SMAP_DIARIO!O$27),0))</f>
        <v>0</v>
      </c>
      <c r="P100" s="132">
        <f t="array" aca="1" ref="P100" ca="1">SUM(IFERROR(Propagações_TOT_IGUACU!$B$7:$BZ$69*(Propagações_TOT_IGUACU!$B$6:$BZ$6=$B100&amp;"A")*(Propagações_TOT_IGUACU!$A$7:$A$69&gt;=PREVS_SMAP_DIARIO!P$26)*(Propagações_TOT_IGUACU!$A$7:$A$69&lt;=PREVS_SMAP_DIARIO!P$27),0))</f>
        <v>0</v>
      </c>
      <c r="Q100" s="132">
        <f t="array" aca="1" ref="Q100" ca="1">SUM(IFERROR(Propagações_TOT_IGUACU!$B$7:$BZ$69*(Propagações_TOT_IGUACU!$B$6:$BZ$6=$B100&amp;"A")*(Propagações_TOT_IGUACU!$A$7:$A$69&gt;=PREVS_SMAP_DIARIO!Q$26)*(Propagações_TOT_IGUACU!$A$7:$A$69&lt;=PREVS_SMAP_DIARIO!Q$27),0))</f>
        <v>0</v>
      </c>
      <c r="R100"/>
      <c r="S100"/>
      <c r="T100" s="272">
        <v>73</v>
      </c>
      <c r="V100" s="202">
        <f ca="1">IFERROR(ROUND(INDEX(F:F,MATCH($T100,$A:$A,0)),0),INDEX(PREVIVAZ!$C74:$N74,1,MATCH(V$27,PREVIVAZ!$C$1:$N$1,1)))</f>
        <v>0</v>
      </c>
      <c r="W100" s="202">
        <f ca="1">IFERROR(ROUND(INDEX(G:G,MATCH($T100,$A:$A,0)),0),INDEX(PREVIVAZ!$C74:$N74,1,MATCH(W$27,PREVIVAZ!$C$1:$N$1,1)))</f>
        <v>0</v>
      </c>
      <c r="X100" s="202">
        <f ca="1">IFERROR(ROUND(INDEX(H:H,MATCH($T100,$A:$A,0)),0),INDEX(PREVIVAZ!$C74:$N74,1,MATCH(X$27,PREVIVAZ!$C$1:$N$1,1)))</f>
        <v>0</v>
      </c>
      <c r="Y100" s="202">
        <f ca="1">IFERROR(ROUND(INDEX(I:I,MATCH($T100,$A:$A,0)),0),INDEX(PREVIVAZ!$C74:$N74,1,MATCH(Y$27,PREVIVAZ!$C$1:$N$1,1)))</f>
        <v>0</v>
      </c>
      <c r="Z100" s="202">
        <f ca="1">IFERROR(ROUND(INDEX(J:J,MATCH($T100,$A:$A,0)),0),INDEX(PREVIVAZ!$C74:$N74,1,MATCH(Z$27,PREVIVAZ!$C$1:$N$1,1)))</f>
        <v>0</v>
      </c>
      <c r="AA100" s="202">
        <f ca="1">IFERROR(ROUND(INDEX(K:K,MATCH($T100,$A:$A,0)),0),INDEX(PREVIVAZ!$C74:$N74,1,MATCH(AA$27,PREVIVAZ!$C$1:$N$1,1)))</f>
        <v>0</v>
      </c>
      <c r="AB100" s="202">
        <f ca="1">IFERROR(ROUND(INDEX(L:L,MATCH($T100,$A:$A,0)),0),INDEX(PREVIVAZ!$C74:$N74,1,MATCH(AB$27,PREVIVAZ!$C$1:$N$1,1)))</f>
        <v>0</v>
      </c>
      <c r="AC100" s="202">
        <f ca="1">IFERROR(ROUND(INDEX(M:M,MATCH($T100,$A:$A,0)),0),INDEX(PREVIVAZ!$C74:$N74,1,MATCH(AC$27,PREVIVAZ!$C$1:$N$1,1)))</f>
        <v>0</v>
      </c>
      <c r="AD100" s="202">
        <f ca="1">IFERROR(ROUND(INDEX(N:N,MATCH($T100,$A:$A,0)),0),INDEX(PREVIVAZ!$C74:$N74,1,MATCH(AD$27,PREVIVAZ!$C$1:$N$1,1)))</f>
        <v>0</v>
      </c>
      <c r="AE100" s="202">
        <f ca="1">IFERROR(ROUND(INDEX(O:O,MATCH($T100,$A:$A,0)),0),INDEX(PREVIVAZ!$C74:$N74,1,MATCH(AE$27,PREVIVAZ!$C$1:$N$1,1)))</f>
        <v>0</v>
      </c>
      <c r="AF100" s="202">
        <f ca="1">IFERROR(ROUND(INDEX(P:P,MATCH($T100,$A:$A,0)),0),INDEX(PREVIVAZ!$C74:$N74,1,MATCH(AF$27,PREVIVAZ!$C$1:$N$1,1)))</f>
        <v>0</v>
      </c>
      <c r="AG100" s="202">
        <f ca="1">IFERROR(ROUND(INDEX(Q:Q,MATCH($T100,$A:$A,0)),0),INDEX(PREVIVAZ!$C74:$N74,1,MATCH(AG$27,PREVIVAZ!$C$1:$N$1,1)))</f>
        <v>0</v>
      </c>
    </row>
    <row r="101" spans="1:33" ht="12.75" x14ac:dyDescent="0.2">
      <c r="A101" s="181">
        <v>72</v>
      </c>
      <c r="B101" s="282" t="str">
        <f t="shared" si="23"/>
        <v>72_VN</v>
      </c>
      <c r="C101" s="201" t="s">
        <v>143</v>
      </c>
      <c r="D101" s="132">
        <f t="shared" si="24"/>
        <v>72</v>
      </c>
      <c r="E101" s="132">
        <f t="array" aca="1" ref="E101" ca="1">SUM(IFERROR(Propagações_TOT_IGUACU!$B$7:$BZ$69*(Propagações_TOT_IGUACU!$B$6:$BZ$6=$B101&amp;"A")*(Propagações_TOT_IGUACU!$A$7:$A$69&gt;=PREVS_SMAP_DIARIO!E$26)*(Propagações_TOT_IGUACU!$A$7:$A$69&lt;=PREVS_SMAP_DIARIO!E$27),0))</f>
        <v>42</v>
      </c>
      <c r="F101" s="132">
        <f t="array" aca="1" ref="F101" ca="1">SUM(IFERROR(Propagações_TOT_IGUACU!$B$7:$BZ$69*(Propagações_TOT_IGUACU!$B$6:$BZ$6=$B101&amp;"A")*(Propagações_TOT_IGUACU!$A$7:$A$69&gt;=PREVS_SMAP_DIARIO!F$26)*(Propagações_TOT_IGUACU!$A$7:$A$69&lt;=PREVS_SMAP_DIARIO!F$27),0))</f>
        <v>0</v>
      </c>
      <c r="G101" s="132">
        <f t="array" aca="1" ref="G101" ca="1">SUM(IFERROR(Propagações_TOT_IGUACU!$B$7:$BZ$69*(Propagações_TOT_IGUACU!$B$6:$BZ$6=$B101&amp;"A")*(Propagações_TOT_IGUACU!$A$7:$A$69&gt;=PREVS_SMAP_DIARIO!G$26)*(Propagações_TOT_IGUACU!$A$7:$A$69&lt;=PREVS_SMAP_DIARIO!G$27),0))</f>
        <v>0</v>
      </c>
      <c r="H101" s="132">
        <f t="array" aca="1" ref="H101" ca="1">SUM(IFERROR(Propagações_TOT_IGUACU!$B$7:$BZ$69*(Propagações_TOT_IGUACU!$B$6:$BZ$6=$B101&amp;"A")*(Propagações_TOT_IGUACU!$A$7:$A$69&gt;=PREVS_SMAP_DIARIO!H$26)*(Propagações_TOT_IGUACU!$A$7:$A$69&lt;=PREVS_SMAP_DIARIO!H$27),0))</f>
        <v>0</v>
      </c>
      <c r="I101" s="132">
        <f t="array" aca="1" ref="I101" ca="1">SUM(IFERROR(Propagações_TOT_IGUACU!$B$7:$BZ$69*(Propagações_TOT_IGUACU!$B$6:$BZ$6=$B101&amp;"A")*(Propagações_TOT_IGUACU!$A$7:$A$69&gt;=PREVS_SMAP_DIARIO!I$26)*(Propagações_TOT_IGUACU!$A$7:$A$69&lt;=PREVS_SMAP_DIARIO!I$27),0))</f>
        <v>0</v>
      </c>
      <c r="J101" s="132">
        <f t="array" aca="1" ref="J101" ca="1">SUM(IFERROR(Propagações_TOT_IGUACU!$B$7:$BZ$69*(Propagações_TOT_IGUACU!$B$6:$BZ$6=$B101&amp;"A")*(Propagações_TOT_IGUACU!$A$7:$A$69&gt;=PREVS_SMAP_DIARIO!J$26)*(Propagações_TOT_IGUACU!$A$7:$A$69&lt;=PREVS_SMAP_DIARIO!J$27),0))</f>
        <v>0</v>
      </c>
      <c r="K101" s="132">
        <f t="array" aca="1" ref="K101" ca="1">SUM(IFERROR(Propagações_TOT_IGUACU!$B$7:$BZ$69*(Propagações_TOT_IGUACU!$B$6:$BZ$6=$B101&amp;"A")*(Propagações_TOT_IGUACU!$A$7:$A$69&gt;=PREVS_SMAP_DIARIO!K$26)*(Propagações_TOT_IGUACU!$A$7:$A$69&lt;=PREVS_SMAP_DIARIO!K$27),0))</f>
        <v>0</v>
      </c>
      <c r="L101" s="132">
        <f t="array" aca="1" ref="L101" ca="1">SUM(IFERROR(Propagações_TOT_IGUACU!$B$7:$BZ$69*(Propagações_TOT_IGUACU!$B$6:$BZ$6=$B101&amp;"A")*(Propagações_TOT_IGUACU!$A$7:$A$69&gt;=PREVS_SMAP_DIARIO!L$26)*(Propagações_TOT_IGUACU!$A$7:$A$69&lt;=PREVS_SMAP_DIARIO!L$27),0))</f>
        <v>0</v>
      </c>
      <c r="M101" s="132">
        <f t="array" aca="1" ref="M101" ca="1">SUM(IFERROR(Propagações_TOT_IGUACU!$B$7:$BZ$69*(Propagações_TOT_IGUACU!$B$6:$BZ$6=$B101&amp;"A")*(Propagações_TOT_IGUACU!$A$7:$A$69&gt;=PREVS_SMAP_DIARIO!M$26)*(Propagações_TOT_IGUACU!$A$7:$A$69&lt;=PREVS_SMAP_DIARIO!M$27),0))</f>
        <v>0</v>
      </c>
      <c r="N101" s="132">
        <f t="array" aca="1" ref="N101" ca="1">SUM(IFERROR(Propagações_TOT_IGUACU!$B$7:$BZ$69*(Propagações_TOT_IGUACU!$B$6:$BZ$6=$B101&amp;"A")*(Propagações_TOT_IGUACU!$A$7:$A$69&gt;=PREVS_SMAP_DIARIO!N$26)*(Propagações_TOT_IGUACU!$A$7:$A$69&lt;=PREVS_SMAP_DIARIO!N$27),0))</f>
        <v>0</v>
      </c>
      <c r="O101" s="132">
        <f t="array" aca="1" ref="O101" ca="1">SUM(IFERROR(Propagações_TOT_IGUACU!$B$7:$BZ$69*(Propagações_TOT_IGUACU!$B$6:$BZ$6=$B101&amp;"A")*(Propagações_TOT_IGUACU!$A$7:$A$69&gt;=PREVS_SMAP_DIARIO!O$26)*(Propagações_TOT_IGUACU!$A$7:$A$69&lt;=PREVS_SMAP_DIARIO!O$27),0))</f>
        <v>0</v>
      </c>
      <c r="P101" s="132">
        <f t="array" aca="1" ref="P101" ca="1">SUM(IFERROR(Propagações_TOT_IGUACU!$B$7:$BZ$69*(Propagações_TOT_IGUACU!$B$6:$BZ$6=$B101&amp;"A")*(Propagações_TOT_IGUACU!$A$7:$A$69&gt;=PREVS_SMAP_DIARIO!P$26)*(Propagações_TOT_IGUACU!$A$7:$A$69&lt;=PREVS_SMAP_DIARIO!P$27),0))</f>
        <v>0</v>
      </c>
      <c r="Q101" s="132">
        <f t="array" aca="1" ref="Q101" ca="1">SUM(IFERROR(Propagações_TOT_IGUACU!$B$7:$BZ$69*(Propagações_TOT_IGUACU!$B$6:$BZ$6=$B101&amp;"A")*(Propagações_TOT_IGUACU!$A$7:$A$69&gt;=PREVS_SMAP_DIARIO!Q$26)*(Propagações_TOT_IGUACU!$A$7:$A$69&lt;=PREVS_SMAP_DIARIO!Q$27),0))</f>
        <v>0</v>
      </c>
      <c r="R101"/>
      <c r="S101"/>
      <c r="T101" s="272">
        <v>74</v>
      </c>
      <c r="V101" s="202">
        <f ca="1">IFERROR(ROUND(INDEX(F:F,MATCH($T101,$A:$A,0)),0),INDEX(PREVIVAZ!$C75:$N75,1,MATCH(V$27,PREVIVAZ!$C$1:$N$1,1)))</f>
        <v>0</v>
      </c>
      <c r="W101" s="202">
        <f ca="1">IFERROR(ROUND(INDEX(G:G,MATCH($T101,$A:$A,0)),0),INDEX(PREVIVAZ!$C75:$N75,1,MATCH(W$27,PREVIVAZ!$C$1:$N$1,1)))</f>
        <v>0</v>
      </c>
      <c r="X101" s="202">
        <f ca="1">IFERROR(ROUND(INDEX(H:H,MATCH($T101,$A:$A,0)),0),INDEX(PREVIVAZ!$C75:$N75,1,MATCH(X$27,PREVIVAZ!$C$1:$N$1,1)))</f>
        <v>0</v>
      </c>
      <c r="Y101" s="202">
        <f ca="1">IFERROR(ROUND(INDEX(I:I,MATCH($T101,$A:$A,0)),0),INDEX(PREVIVAZ!$C75:$N75,1,MATCH(Y$27,PREVIVAZ!$C$1:$N$1,1)))</f>
        <v>0</v>
      </c>
      <c r="Z101" s="202">
        <f ca="1">IFERROR(ROUND(INDEX(J:J,MATCH($T101,$A:$A,0)),0),INDEX(PREVIVAZ!$C75:$N75,1,MATCH(Z$27,PREVIVAZ!$C$1:$N$1,1)))</f>
        <v>0</v>
      </c>
      <c r="AA101" s="202">
        <f ca="1">IFERROR(ROUND(INDEX(K:K,MATCH($T101,$A:$A,0)),0),INDEX(PREVIVAZ!$C75:$N75,1,MATCH(AA$27,PREVIVAZ!$C$1:$N$1,1)))</f>
        <v>0</v>
      </c>
      <c r="AB101" s="202">
        <f ca="1">IFERROR(ROUND(INDEX(L:L,MATCH($T101,$A:$A,0)),0),INDEX(PREVIVAZ!$C75:$N75,1,MATCH(AB$27,PREVIVAZ!$C$1:$N$1,1)))</f>
        <v>0</v>
      </c>
      <c r="AC101" s="202">
        <f ca="1">IFERROR(ROUND(INDEX(M:M,MATCH($T101,$A:$A,0)),0),INDEX(PREVIVAZ!$C75:$N75,1,MATCH(AC$27,PREVIVAZ!$C$1:$N$1,1)))</f>
        <v>0</v>
      </c>
      <c r="AD101" s="202">
        <f ca="1">IFERROR(ROUND(INDEX(N:N,MATCH($T101,$A:$A,0)),0),INDEX(PREVIVAZ!$C75:$N75,1,MATCH(AD$27,PREVIVAZ!$C$1:$N$1,1)))</f>
        <v>0</v>
      </c>
      <c r="AE101" s="202">
        <f ca="1">IFERROR(ROUND(INDEX(O:O,MATCH($T101,$A:$A,0)),0),INDEX(PREVIVAZ!$C75:$N75,1,MATCH(AE$27,PREVIVAZ!$C$1:$N$1,1)))</f>
        <v>0</v>
      </c>
      <c r="AF101" s="202">
        <f ca="1">IFERROR(ROUND(INDEX(P:P,MATCH($T101,$A:$A,0)),0),INDEX(PREVIVAZ!$C75:$N75,1,MATCH(AF$27,PREVIVAZ!$C$1:$N$1,1)))</f>
        <v>0</v>
      </c>
      <c r="AG101" s="202">
        <f ca="1">IFERROR(ROUND(INDEX(Q:Q,MATCH($T101,$A:$A,0)),0),INDEX(PREVIVAZ!$C75:$N75,1,MATCH(AG$27,PREVIVAZ!$C$1:$N$1,1)))</f>
        <v>0</v>
      </c>
    </row>
    <row r="102" spans="1:33" ht="12.75" x14ac:dyDescent="0.2">
      <c r="A102" s="272"/>
      <c r="B102" s="272"/>
      <c r="C102" s="272"/>
      <c r="D102" s="27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/>
      <c r="S102"/>
      <c r="T102" s="272">
        <v>75</v>
      </c>
      <c r="V102" s="202" t="e">
        <f ca="1">IFERROR(ROUND(INDEX(F:F,MATCH($T102,$A:$A,0)),0),INDEX(PREVIVAZ!$C76:$N76,1,MATCH(V$27,PREVIVAZ!$C$1:$N$1,1)))</f>
        <v>#N/A</v>
      </c>
      <c r="W102" s="202" t="e">
        <f ca="1">IFERROR(ROUND(INDEX(G:G,MATCH($T102,$A:$A,0)),0),INDEX(PREVIVAZ!$C76:$N76,1,MATCH(W$27,PREVIVAZ!$C$1:$N$1,1)))</f>
        <v>#N/A</v>
      </c>
      <c r="X102" s="202" t="e">
        <f ca="1">IFERROR(ROUND(INDEX(H:H,MATCH($T102,$A:$A,0)),0),INDEX(PREVIVAZ!$C76:$N76,1,MATCH(X$27,PREVIVAZ!$C$1:$N$1,1)))</f>
        <v>#N/A</v>
      </c>
      <c r="Y102" s="202" t="e">
        <f ca="1">IFERROR(ROUND(INDEX(I:I,MATCH($T102,$A:$A,0)),0),INDEX(PREVIVAZ!$C76:$N76,1,MATCH(Y$27,PREVIVAZ!$C$1:$N$1,1)))</f>
        <v>#N/A</v>
      </c>
      <c r="Z102" s="202" t="e">
        <f ca="1">IFERROR(ROUND(INDEX(J:J,MATCH($T102,$A:$A,0)),0),INDEX(PREVIVAZ!$C76:$N76,1,MATCH(Z$27,PREVIVAZ!$C$1:$N$1,1)))</f>
        <v>#N/A</v>
      </c>
      <c r="AA102" s="202" t="e">
        <f ca="1">IFERROR(ROUND(INDEX(K:K,MATCH($T102,$A:$A,0)),0),INDEX(PREVIVAZ!$C76:$N76,1,MATCH(AA$27,PREVIVAZ!$C$1:$N$1,1)))</f>
        <v>#N/A</v>
      </c>
      <c r="AB102" s="202" t="e">
        <f ca="1">IFERROR(ROUND(INDEX(L:L,MATCH($T102,$A:$A,0)),0),INDEX(PREVIVAZ!$C76:$N76,1,MATCH(AB$27,PREVIVAZ!$C$1:$N$1,1)))</f>
        <v>#N/A</v>
      </c>
      <c r="AC102" s="202" t="e">
        <f ca="1">IFERROR(ROUND(INDEX(M:M,MATCH($T102,$A:$A,0)),0),INDEX(PREVIVAZ!$C76:$N76,1,MATCH(AC$27,PREVIVAZ!$C$1:$N$1,1)))</f>
        <v>#N/A</v>
      </c>
      <c r="AD102" s="202" t="e">
        <f ca="1">IFERROR(ROUND(INDEX(N:N,MATCH($T102,$A:$A,0)),0),INDEX(PREVIVAZ!$C76:$N76,1,MATCH(AD$27,PREVIVAZ!$C$1:$N$1,1)))</f>
        <v>#N/A</v>
      </c>
      <c r="AE102" s="202" t="e">
        <f ca="1">IFERROR(ROUND(INDEX(O:O,MATCH($T102,$A:$A,0)),0),INDEX(PREVIVAZ!$C76:$N76,1,MATCH(AE$27,PREVIVAZ!$C$1:$N$1,1)))</f>
        <v>#N/A</v>
      </c>
      <c r="AF102" s="202" t="e">
        <f ca="1">IFERROR(ROUND(INDEX(P:P,MATCH($T102,$A:$A,0)),0),INDEX(PREVIVAZ!$C76:$N76,1,MATCH(AF$27,PREVIVAZ!$C$1:$N$1,1)))</f>
        <v>#N/A</v>
      </c>
      <c r="AG102" s="202" t="e">
        <f ca="1">IFERROR(ROUND(INDEX(Q:Q,MATCH($T102,$A:$A,0)),0),INDEX(PREVIVAZ!$C76:$N76,1,MATCH(AG$27,PREVIVAZ!$C$1:$N$1,1)))</f>
        <v>#N/A</v>
      </c>
    </row>
    <row r="103" spans="1:33" ht="12.75" x14ac:dyDescent="0.2">
      <c r="A103" s="272"/>
      <c r="B103" s="272"/>
      <c r="C103" s="272"/>
      <c r="D103" s="27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/>
      <c r="S103"/>
      <c r="T103" s="272">
        <v>76</v>
      </c>
      <c r="V103" s="202">
        <f ca="1">IFERROR(ROUND(INDEX(F:F,MATCH($T103,$A:$A,0)),0),INDEX(PREVIVAZ!$C77:$N77,1,MATCH(V$27,PREVIVAZ!$C$1:$N$1,1)))</f>
        <v>0</v>
      </c>
      <c r="W103" s="202">
        <f ca="1">IFERROR(ROUND(INDEX(G:G,MATCH($T103,$A:$A,0)),0),INDEX(PREVIVAZ!$C77:$N77,1,MATCH(W$27,PREVIVAZ!$C$1:$N$1,1)))</f>
        <v>0</v>
      </c>
      <c r="X103" s="202">
        <f ca="1">IFERROR(ROUND(INDEX(H:H,MATCH($T103,$A:$A,0)),0),INDEX(PREVIVAZ!$C77:$N77,1,MATCH(X$27,PREVIVAZ!$C$1:$N$1,1)))</f>
        <v>0</v>
      </c>
      <c r="Y103" s="202">
        <f ca="1">IFERROR(ROUND(INDEX(I:I,MATCH($T103,$A:$A,0)),0),INDEX(PREVIVAZ!$C77:$N77,1,MATCH(Y$27,PREVIVAZ!$C$1:$N$1,1)))</f>
        <v>0</v>
      </c>
      <c r="Z103" s="202">
        <f ca="1">IFERROR(ROUND(INDEX(J:J,MATCH($T103,$A:$A,0)),0),INDEX(PREVIVAZ!$C77:$N77,1,MATCH(Z$27,PREVIVAZ!$C$1:$N$1,1)))</f>
        <v>0</v>
      </c>
      <c r="AA103" s="202">
        <f ca="1">IFERROR(ROUND(INDEX(K:K,MATCH($T103,$A:$A,0)),0),INDEX(PREVIVAZ!$C77:$N77,1,MATCH(AA$27,PREVIVAZ!$C$1:$N$1,1)))</f>
        <v>0</v>
      </c>
      <c r="AB103" s="202">
        <f ca="1">IFERROR(ROUND(INDEX(L:L,MATCH($T103,$A:$A,0)),0),INDEX(PREVIVAZ!$C77:$N77,1,MATCH(AB$27,PREVIVAZ!$C$1:$N$1,1)))</f>
        <v>0</v>
      </c>
      <c r="AC103" s="202">
        <f ca="1">IFERROR(ROUND(INDEX(M:M,MATCH($T103,$A:$A,0)),0),INDEX(PREVIVAZ!$C77:$N77,1,MATCH(AC$27,PREVIVAZ!$C$1:$N$1,1)))</f>
        <v>0</v>
      </c>
      <c r="AD103" s="202">
        <f ca="1">IFERROR(ROUND(INDEX(N:N,MATCH($T103,$A:$A,0)),0),INDEX(PREVIVAZ!$C77:$N77,1,MATCH(AD$27,PREVIVAZ!$C$1:$N$1,1)))</f>
        <v>0</v>
      </c>
      <c r="AE103" s="202">
        <f ca="1">IFERROR(ROUND(INDEX(O:O,MATCH($T103,$A:$A,0)),0),INDEX(PREVIVAZ!$C77:$N77,1,MATCH(AE$27,PREVIVAZ!$C$1:$N$1,1)))</f>
        <v>0</v>
      </c>
      <c r="AF103" s="202">
        <f ca="1">IFERROR(ROUND(INDEX(P:P,MATCH($T103,$A:$A,0)),0),INDEX(PREVIVAZ!$C77:$N77,1,MATCH(AF$27,PREVIVAZ!$C$1:$N$1,1)))</f>
        <v>0</v>
      </c>
      <c r="AG103" s="202">
        <f ca="1">IFERROR(ROUND(INDEX(Q:Q,MATCH($T103,$A:$A,0)),0),INDEX(PREVIVAZ!$C77:$N77,1,MATCH(AG$27,PREVIVAZ!$C$1:$N$1,1)))</f>
        <v>0</v>
      </c>
    </row>
    <row r="104" spans="1:33" ht="13.5" thickBot="1" x14ac:dyDescent="0.25">
      <c r="A104" s="272"/>
      <c r="B104" s="272"/>
      <c r="C104" s="272"/>
      <c r="D104" s="27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/>
      <c r="S104"/>
      <c r="T104" s="272">
        <v>77</v>
      </c>
      <c r="V104" s="202">
        <f ca="1">IFERROR(ROUND(INDEX(F:F,MATCH($T104,$A:$A,0)),0),INDEX(PREVIVAZ!$C78:$N78,1,MATCH(V$27,PREVIVAZ!$C$1:$N$1,1)))</f>
        <v>0</v>
      </c>
      <c r="W104" s="202">
        <f ca="1">IFERROR(ROUND(INDEX(G:G,MATCH($T104,$A:$A,0)),0),INDEX(PREVIVAZ!$C78:$N78,1,MATCH(W$27,PREVIVAZ!$C$1:$N$1,1)))</f>
        <v>0</v>
      </c>
      <c r="X104" s="202">
        <f ca="1">IFERROR(ROUND(INDEX(H:H,MATCH($T104,$A:$A,0)),0),INDEX(PREVIVAZ!$C78:$N78,1,MATCH(X$27,PREVIVAZ!$C$1:$N$1,1)))</f>
        <v>0</v>
      </c>
      <c r="Y104" s="202">
        <f ca="1">IFERROR(ROUND(INDEX(I:I,MATCH($T104,$A:$A,0)),0),INDEX(PREVIVAZ!$C78:$N78,1,MATCH(Y$27,PREVIVAZ!$C$1:$N$1,1)))</f>
        <v>0</v>
      </c>
      <c r="Z104" s="202">
        <f ca="1">IFERROR(ROUND(INDEX(J:J,MATCH($T104,$A:$A,0)),0),INDEX(PREVIVAZ!$C78:$N78,1,MATCH(Z$27,PREVIVAZ!$C$1:$N$1,1)))</f>
        <v>0</v>
      </c>
      <c r="AA104" s="202">
        <f ca="1">IFERROR(ROUND(INDEX(K:K,MATCH($T104,$A:$A,0)),0),INDEX(PREVIVAZ!$C78:$N78,1,MATCH(AA$27,PREVIVAZ!$C$1:$N$1,1)))</f>
        <v>0</v>
      </c>
      <c r="AB104" s="202">
        <f ca="1">IFERROR(ROUND(INDEX(L:L,MATCH($T104,$A:$A,0)),0),INDEX(PREVIVAZ!$C78:$N78,1,MATCH(AB$27,PREVIVAZ!$C$1:$N$1,1)))</f>
        <v>0</v>
      </c>
      <c r="AC104" s="202">
        <f ca="1">IFERROR(ROUND(INDEX(M:M,MATCH($T104,$A:$A,0)),0),INDEX(PREVIVAZ!$C78:$N78,1,MATCH(AC$27,PREVIVAZ!$C$1:$N$1,1)))</f>
        <v>0</v>
      </c>
      <c r="AD104" s="202">
        <f ca="1">IFERROR(ROUND(INDEX(N:N,MATCH($T104,$A:$A,0)),0),INDEX(PREVIVAZ!$C78:$N78,1,MATCH(AD$27,PREVIVAZ!$C$1:$N$1,1)))</f>
        <v>0</v>
      </c>
      <c r="AE104" s="202">
        <f ca="1">IFERROR(ROUND(INDEX(O:O,MATCH($T104,$A:$A,0)),0),INDEX(PREVIVAZ!$C78:$N78,1,MATCH(AE$27,PREVIVAZ!$C$1:$N$1,1)))</f>
        <v>0</v>
      </c>
      <c r="AF104" s="202">
        <f ca="1">IFERROR(ROUND(INDEX(P:P,MATCH($T104,$A:$A,0)),0),INDEX(PREVIVAZ!$C78:$N78,1,MATCH(AF$27,PREVIVAZ!$C$1:$N$1,1)))</f>
        <v>0</v>
      </c>
      <c r="AG104" s="202">
        <f ca="1">IFERROR(ROUND(INDEX(Q:Q,MATCH($T104,$A:$A,0)),0),INDEX(PREVIVAZ!$C78:$N78,1,MATCH(AG$27,PREVIVAZ!$C$1:$N$1,1)))</f>
        <v>0</v>
      </c>
    </row>
    <row r="105" spans="1:33" ht="12.75" x14ac:dyDescent="0.2">
      <c r="A105" s="263">
        <v>215</v>
      </c>
      <c r="B105" s="261" t="str">
        <f t="shared" ref="B105" si="25">A105&amp;"_VN"</f>
        <v>215_VN</v>
      </c>
      <c r="C105" s="285" t="s">
        <v>173</v>
      </c>
      <c r="D105" s="140">
        <f t="shared" ref="D105" si="26">A105</f>
        <v>215</v>
      </c>
      <c r="E105" s="132">
        <f t="array" aca="1" ref="E105" ca="1">SUM(IFERROR(Propagações_TOT_URUGUAI!$B$7:$BZ$69*(Propagações_TOT_URUGUAI!$B$6:$BZ$6=$B105&amp;"A")*(Propagações_TOT_URUGUAI!$A$7:$A$69&gt;=PREVS_SMAP_DIARIO!E$26)*(Propagações_TOT_URUGUAI!$A$7:$A$69&lt;=PREVS_SMAP_DIARIO!E$27),0))</f>
        <v>0</v>
      </c>
      <c r="F105" s="132">
        <f t="array" aca="1" ref="F105" ca="1">SUM(IFERROR(Propagações_TOT_URUGUAI!$B$7:$BZ$69*(Propagações_TOT_URUGUAI!$B$6:$BZ$6=$B105&amp;"A")*(Propagações_TOT_URUGUAI!$A$7:$A$69&gt;=PREVS_SMAP_DIARIO!F$26)*(Propagações_TOT_URUGUAI!$A$7:$A$69&lt;=PREVS_SMAP_DIARIO!F$27),0))</f>
        <v>0</v>
      </c>
      <c r="G105" s="132">
        <f t="array" aca="1" ref="G105" ca="1">SUM(IFERROR(Propagações_TOT_URUGUAI!$B$7:$BZ$69*(Propagações_TOT_URUGUAI!$B$6:$BZ$6=$B105&amp;"A")*(Propagações_TOT_URUGUAI!$A$7:$A$69&gt;=PREVS_SMAP_DIARIO!G$26)*(Propagações_TOT_URUGUAI!$A$7:$A$69&lt;=PREVS_SMAP_DIARIO!G$27),0))</f>
        <v>0</v>
      </c>
      <c r="H105" s="132">
        <f t="array" aca="1" ref="H105" ca="1">SUM(IFERROR(Propagações_TOT_URUGUAI!$B$7:$BZ$69*(Propagações_TOT_URUGUAI!$B$6:$BZ$6=$B105&amp;"A")*(Propagações_TOT_URUGUAI!$A$7:$A$69&gt;=PREVS_SMAP_DIARIO!H$26)*(Propagações_TOT_URUGUAI!$A$7:$A$69&lt;=PREVS_SMAP_DIARIO!H$27),0))</f>
        <v>0</v>
      </c>
      <c r="I105" s="132">
        <f t="array" aca="1" ref="I105" ca="1">SUM(IFERROR(Propagações_TOT_URUGUAI!$B$7:$BZ$69*(Propagações_TOT_URUGUAI!$B$6:$BZ$6=$B105&amp;"A")*(Propagações_TOT_URUGUAI!$A$7:$A$69&gt;=PREVS_SMAP_DIARIO!I$26)*(Propagações_TOT_URUGUAI!$A$7:$A$69&lt;=PREVS_SMAP_DIARIO!I$27),0))</f>
        <v>0</v>
      </c>
      <c r="J105" s="132">
        <f t="array" aca="1" ref="J105" ca="1">SUM(IFERROR(Propagações_TOT_URUGUAI!$B$7:$BZ$69*(Propagações_TOT_URUGUAI!$B$6:$BZ$6=$B105&amp;"A")*(Propagações_TOT_URUGUAI!$A$7:$A$69&gt;=PREVS_SMAP_DIARIO!J$26)*(Propagações_TOT_URUGUAI!$A$7:$A$69&lt;=PREVS_SMAP_DIARIO!J$27),0))</f>
        <v>0</v>
      </c>
      <c r="K105" s="132">
        <f t="array" aca="1" ref="K105" ca="1">SUM(IFERROR(Propagações_TOT_URUGUAI!$B$7:$BZ$69*(Propagações_TOT_URUGUAI!$B$6:$BZ$6=$B105&amp;"A")*(Propagações_TOT_URUGUAI!$A$7:$A$69&gt;=PREVS_SMAP_DIARIO!K$26)*(Propagações_TOT_URUGUAI!$A$7:$A$69&lt;=PREVS_SMAP_DIARIO!K$27),0))</f>
        <v>0</v>
      </c>
      <c r="L105" s="132">
        <f t="array" aca="1" ref="L105" ca="1">SUM(IFERROR(Propagações_TOT_URUGUAI!$B$7:$BZ$69*(Propagações_TOT_URUGUAI!$B$6:$BZ$6=$B105&amp;"A")*(Propagações_TOT_URUGUAI!$A$7:$A$69&gt;=PREVS_SMAP_DIARIO!L$26)*(Propagações_TOT_URUGUAI!$A$7:$A$69&lt;=PREVS_SMAP_DIARIO!L$27),0))</f>
        <v>0</v>
      </c>
      <c r="M105" s="132">
        <f t="array" aca="1" ref="M105" ca="1">SUM(IFERROR(Propagações_TOT_URUGUAI!$B$7:$BZ$69*(Propagações_TOT_URUGUAI!$B$6:$BZ$6=$B105&amp;"A")*(Propagações_TOT_URUGUAI!$A$7:$A$69&gt;=PREVS_SMAP_DIARIO!M$26)*(Propagações_TOT_URUGUAI!$A$7:$A$69&lt;=PREVS_SMAP_DIARIO!M$27),0))</f>
        <v>0</v>
      </c>
      <c r="N105" s="132">
        <f t="array" aca="1" ref="N105" ca="1">SUM(IFERROR(Propagações_TOT_URUGUAI!$B$7:$BZ$69*(Propagações_TOT_URUGUAI!$B$6:$BZ$6=$B105&amp;"A")*(Propagações_TOT_URUGUAI!$A$7:$A$69&gt;=PREVS_SMAP_DIARIO!N$26)*(Propagações_TOT_URUGUAI!$A$7:$A$69&lt;=PREVS_SMAP_DIARIO!N$27),0))</f>
        <v>0</v>
      </c>
      <c r="O105" s="132">
        <f t="array" aca="1" ref="O105" ca="1">SUM(IFERROR(Propagações_TOT_URUGUAI!$B$7:$BZ$69*(Propagações_TOT_URUGUAI!$B$6:$BZ$6=$B105&amp;"A")*(Propagações_TOT_URUGUAI!$A$7:$A$69&gt;=PREVS_SMAP_DIARIO!O$26)*(Propagações_TOT_URUGUAI!$A$7:$A$69&lt;=PREVS_SMAP_DIARIO!O$27),0))</f>
        <v>0</v>
      </c>
      <c r="P105" s="132">
        <f t="array" aca="1" ref="P105" ca="1">SUM(IFERROR(Propagações_TOT_URUGUAI!$B$7:$BZ$69*(Propagações_TOT_URUGUAI!$B$6:$BZ$6=$B105&amp;"A")*(Propagações_TOT_URUGUAI!$A$7:$A$69&gt;=PREVS_SMAP_DIARIO!P$26)*(Propagações_TOT_URUGUAI!$A$7:$A$69&lt;=PREVS_SMAP_DIARIO!P$27),0))</f>
        <v>0</v>
      </c>
      <c r="Q105" s="132">
        <f t="array" aca="1" ref="Q105" ca="1">SUM(IFERROR(Propagações_TOT_URUGUAI!$B$7:$BZ$69*(Propagações_TOT_URUGUAI!$B$6:$BZ$6=$B105&amp;"A")*(Propagações_TOT_URUGUAI!$A$7:$A$69&gt;=PREVS_SMAP_DIARIO!Q$26)*(Propagações_TOT_URUGUAI!$A$7:$A$69&lt;=PREVS_SMAP_DIARIO!Q$27),0))</f>
        <v>0</v>
      </c>
      <c r="R105"/>
      <c r="S105"/>
      <c r="T105" s="272">
        <v>78</v>
      </c>
      <c r="V105" s="202">
        <f ca="1">IFERROR(ROUND(INDEX(F:F,MATCH($T105,$A:$A,0)),0),INDEX(PREVIVAZ!$C79:$N79,1,MATCH(V$27,PREVIVAZ!$C$1:$N$1,1)))</f>
        <v>0</v>
      </c>
      <c r="W105" s="202">
        <f ca="1">IFERROR(ROUND(INDEX(G:G,MATCH($T105,$A:$A,0)),0),INDEX(PREVIVAZ!$C79:$N79,1,MATCH(W$27,PREVIVAZ!$C$1:$N$1,1)))</f>
        <v>0</v>
      </c>
      <c r="X105" s="202">
        <f ca="1">IFERROR(ROUND(INDEX(H:H,MATCH($T105,$A:$A,0)),0),INDEX(PREVIVAZ!$C79:$N79,1,MATCH(X$27,PREVIVAZ!$C$1:$N$1,1)))</f>
        <v>0</v>
      </c>
      <c r="Y105" s="202">
        <f ca="1">IFERROR(ROUND(INDEX(I:I,MATCH($T105,$A:$A,0)),0),INDEX(PREVIVAZ!$C79:$N79,1,MATCH(Y$27,PREVIVAZ!$C$1:$N$1,1)))</f>
        <v>0</v>
      </c>
      <c r="Z105" s="202">
        <f ca="1">IFERROR(ROUND(INDEX(J:J,MATCH($T105,$A:$A,0)),0),INDEX(PREVIVAZ!$C79:$N79,1,MATCH(Z$27,PREVIVAZ!$C$1:$N$1,1)))</f>
        <v>0</v>
      </c>
      <c r="AA105" s="202">
        <f ca="1">IFERROR(ROUND(INDEX(K:K,MATCH($T105,$A:$A,0)),0),INDEX(PREVIVAZ!$C79:$N79,1,MATCH(AA$27,PREVIVAZ!$C$1:$N$1,1)))</f>
        <v>0</v>
      </c>
      <c r="AB105" s="202">
        <f ca="1">IFERROR(ROUND(INDEX(L:L,MATCH($T105,$A:$A,0)),0),INDEX(PREVIVAZ!$C79:$N79,1,MATCH(AB$27,PREVIVAZ!$C$1:$N$1,1)))</f>
        <v>0</v>
      </c>
      <c r="AC105" s="202">
        <f ca="1">IFERROR(ROUND(INDEX(M:M,MATCH($T105,$A:$A,0)),0),INDEX(PREVIVAZ!$C79:$N79,1,MATCH(AC$27,PREVIVAZ!$C$1:$N$1,1)))</f>
        <v>0</v>
      </c>
      <c r="AD105" s="202">
        <f ca="1">IFERROR(ROUND(INDEX(N:N,MATCH($T105,$A:$A,0)),0),INDEX(PREVIVAZ!$C79:$N79,1,MATCH(AD$27,PREVIVAZ!$C$1:$N$1,1)))</f>
        <v>0</v>
      </c>
      <c r="AE105" s="202">
        <f ca="1">IFERROR(ROUND(INDEX(O:O,MATCH($T105,$A:$A,0)),0),INDEX(PREVIVAZ!$C79:$N79,1,MATCH(AE$27,PREVIVAZ!$C$1:$N$1,1)))</f>
        <v>0</v>
      </c>
      <c r="AF105" s="202">
        <f ca="1">IFERROR(ROUND(INDEX(P:P,MATCH($T105,$A:$A,0)),0),INDEX(PREVIVAZ!$C79:$N79,1,MATCH(AF$27,PREVIVAZ!$C$1:$N$1,1)))</f>
        <v>0</v>
      </c>
      <c r="AG105" s="202">
        <f ca="1">IFERROR(ROUND(INDEX(Q:Q,MATCH($T105,$A:$A,0)),0),INDEX(PREVIVAZ!$C79:$N79,1,MATCH(AG$27,PREVIVAZ!$C$1:$N$1,1)))</f>
        <v>0</v>
      </c>
    </row>
    <row r="106" spans="1:33" ht="13.5" thickBot="1" x14ac:dyDescent="0.25">
      <c r="A106" s="268"/>
      <c r="B106" s="268"/>
      <c r="C106" s="284"/>
      <c r="D106" s="240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/>
      <c r="S106"/>
      <c r="T106" s="272">
        <v>79</v>
      </c>
      <c r="V106" s="202" t="e">
        <f ca="1">IFERROR(ROUND(INDEX(F:F,MATCH($T106,$A:$A,0)),0),INDEX(PREVIVAZ!$C80:$N80,1,MATCH(V$27,PREVIVAZ!$C$1:$N$1,1)))</f>
        <v>#N/A</v>
      </c>
      <c r="W106" s="202" t="e">
        <f ca="1">IFERROR(ROUND(INDEX(G:G,MATCH($T106,$A:$A,0)),0),INDEX(PREVIVAZ!$C80:$N80,1,MATCH(W$27,PREVIVAZ!$C$1:$N$1,1)))</f>
        <v>#N/A</v>
      </c>
      <c r="X106" s="202" t="e">
        <f ca="1">IFERROR(ROUND(INDEX(H:H,MATCH($T106,$A:$A,0)),0),INDEX(PREVIVAZ!$C80:$N80,1,MATCH(X$27,PREVIVAZ!$C$1:$N$1,1)))</f>
        <v>#N/A</v>
      </c>
      <c r="Y106" s="202" t="e">
        <f ca="1">IFERROR(ROUND(INDEX(I:I,MATCH($T106,$A:$A,0)),0),INDEX(PREVIVAZ!$C80:$N80,1,MATCH(Y$27,PREVIVAZ!$C$1:$N$1,1)))</f>
        <v>#N/A</v>
      </c>
      <c r="Z106" s="202" t="e">
        <f ca="1">IFERROR(ROUND(INDEX(J:J,MATCH($T106,$A:$A,0)),0),INDEX(PREVIVAZ!$C80:$N80,1,MATCH(Z$27,PREVIVAZ!$C$1:$N$1,1)))</f>
        <v>#N/A</v>
      </c>
      <c r="AA106" s="202" t="e">
        <f ca="1">IFERROR(ROUND(INDEX(K:K,MATCH($T106,$A:$A,0)),0),INDEX(PREVIVAZ!$C80:$N80,1,MATCH(AA$27,PREVIVAZ!$C$1:$N$1,1)))</f>
        <v>#N/A</v>
      </c>
      <c r="AB106" s="202" t="e">
        <f ca="1">IFERROR(ROUND(INDEX(L:L,MATCH($T106,$A:$A,0)),0),INDEX(PREVIVAZ!$C80:$N80,1,MATCH(AB$27,PREVIVAZ!$C$1:$N$1,1)))</f>
        <v>#N/A</v>
      </c>
      <c r="AC106" s="202" t="e">
        <f ca="1">IFERROR(ROUND(INDEX(M:M,MATCH($T106,$A:$A,0)),0),INDEX(PREVIVAZ!$C80:$N80,1,MATCH(AC$27,PREVIVAZ!$C$1:$N$1,1)))</f>
        <v>#N/A</v>
      </c>
      <c r="AD106" s="202" t="e">
        <f ca="1">IFERROR(ROUND(INDEX(N:N,MATCH($T106,$A:$A,0)),0),INDEX(PREVIVAZ!$C80:$N80,1,MATCH(AD$27,PREVIVAZ!$C$1:$N$1,1)))</f>
        <v>#N/A</v>
      </c>
      <c r="AE106" s="202" t="e">
        <f ca="1">IFERROR(ROUND(INDEX(O:O,MATCH($T106,$A:$A,0)),0),INDEX(PREVIVAZ!$C80:$N80,1,MATCH(AE$27,PREVIVAZ!$C$1:$N$1,1)))</f>
        <v>#N/A</v>
      </c>
      <c r="AF106" s="202" t="e">
        <f ca="1">IFERROR(ROUND(INDEX(P:P,MATCH($T106,$A:$A,0)),0),INDEX(PREVIVAZ!$C80:$N80,1,MATCH(AF$27,PREVIVAZ!$C$1:$N$1,1)))</f>
        <v>#N/A</v>
      </c>
      <c r="AG106" s="202" t="e">
        <f ca="1">IFERROR(ROUND(INDEX(Q:Q,MATCH($T106,$A:$A,0)),0),INDEX(PREVIVAZ!$C80:$N80,1,MATCH(AG$27,PREVIVAZ!$C$1:$N$1,1)))</f>
        <v>#N/A</v>
      </c>
    </row>
    <row r="107" spans="1:33" ht="13.5" thickBot="1" x14ac:dyDescent="0.25">
      <c r="A107" s="271">
        <v>89</v>
      </c>
      <c r="B107" s="261" t="str">
        <f t="shared" ref="B107:B116" si="27">A107&amp;"_VN"</f>
        <v>89_VN</v>
      </c>
      <c r="C107" s="286" t="s">
        <v>170</v>
      </c>
      <c r="D107" s="145">
        <f t="shared" ref="D107:D116" si="28">A107</f>
        <v>89</v>
      </c>
      <c r="E107" s="132">
        <f t="array" aca="1" ref="E107" ca="1">SUM(IFERROR(Propagações_TOT_URUGUAI!$B$7:$BZ$69*(Propagações_TOT_URUGUAI!$B$6:$BZ$6=$B107&amp;"A")*(Propagações_TOT_URUGUAI!$A$7:$A$69&gt;=PREVS_SMAP_DIARIO!E$26)*(Propagações_TOT_URUGUAI!$A$7:$A$69&lt;=PREVS_SMAP_DIARIO!E$27),0))</f>
        <v>0</v>
      </c>
      <c r="F107" s="132">
        <f t="array" aca="1" ref="F107" ca="1">SUM(IFERROR(Propagações_TOT_URUGUAI!$B$7:$BZ$69*(Propagações_TOT_URUGUAI!$B$6:$BZ$6=$B107&amp;"A")*(Propagações_TOT_URUGUAI!$A$7:$A$69&gt;=PREVS_SMAP_DIARIO!F$26)*(Propagações_TOT_URUGUAI!$A$7:$A$69&lt;=PREVS_SMAP_DIARIO!F$27),0))</f>
        <v>0</v>
      </c>
      <c r="G107" s="132">
        <f t="array" aca="1" ref="G107" ca="1">SUM(IFERROR(Propagações_TOT_URUGUAI!$B$7:$BZ$69*(Propagações_TOT_URUGUAI!$B$6:$BZ$6=$B107&amp;"A")*(Propagações_TOT_URUGUAI!$A$7:$A$69&gt;=PREVS_SMAP_DIARIO!G$26)*(Propagações_TOT_URUGUAI!$A$7:$A$69&lt;=PREVS_SMAP_DIARIO!G$27),0))</f>
        <v>0</v>
      </c>
      <c r="H107" s="132">
        <f t="array" aca="1" ref="H107" ca="1">SUM(IFERROR(Propagações_TOT_URUGUAI!$B$7:$BZ$69*(Propagações_TOT_URUGUAI!$B$6:$BZ$6=$B107&amp;"A")*(Propagações_TOT_URUGUAI!$A$7:$A$69&gt;=PREVS_SMAP_DIARIO!H$26)*(Propagações_TOT_URUGUAI!$A$7:$A$69&lt;=PREVS_SMAP_DIARIO!H$27),0))</f>
        <v>0</v>
      </c>
      <c r="I107" s="132">
        <f t="array" aca="1" ref="I107" ca="1">SUM(IFERROR(Propagações_TOT_URUGUAI!$B$7:$BZ$69*(Propagações_TOT_URUGUAI!$B$6:$BZ$6=$B107&amp;"A")*(Propagações_TOT_URUGUAI!$A$7:$A$69&gt;=PREVS_SMAP_DIARIO!I$26)*(Propagações_TOT_URUGUAI!$A$7:$A$69&lt;=PREVS_SMAP_DIARIO!I$27),0))</f>
        <v>0</v>
      </c>
      <c r="J107" s="132">
        <f t="array" aca="1" ref="J107" ca="1">SUM(IFERROR(Propagações_TOT_URUGUAI!$B$7:$BZ$69*(Propagações_TOT_URUGUAI!$B$6:$BZ$6=$B107&amp;"A")*(Propagações_TOT_URUGUAI!$A$7:$A$69&gt;=PREVS_SMAP_DIARIO!J$26)*(Propagações_TOT_URUGUAI!$A$7:$A$69&lt;=PREVS_SMAP_DIARIO!J$27),0))</f>
        <v>0</v>
      </c>
      <c r="K107" s="132">
        <f t="array" aca="1" ref="K107" ca="1">SUM(IFERROR(Propagações_TOT_URUGUAI!$B$7:$BZ$69*(Propagações_TOT_URUGUAI!$B$6:$BZ$6=$B107&amp;"A")*(Propagações_TOT_URUGUAI!$A$7:$A$69&gt;=PREVS_SMAP_DIARIO!K$26)*(Propagações_TOT_URUGUAI!$A$7:$A$69&lt;=PREVS_SMAP_DIARIO!K$27),0))</f>
        <v>0</v>
      </c>
      <c r="L107" s="132">
        <f t="array" aca="1" ref="L107" ca="1">SUM(IFERROR(Propagações_TOT_URUGUAI!$B$7:$BZ$69*(Propagações_TOT_URUGUAI!$B$6:$BZ$6=$B107&amp;"A")*(Propagações_TOT_URUGUAI!$A$7:$A$69&gt;=PREVS_SMAP_DIARIO!L$26)*(Propagações_TOT_URUGUAI!$A$7:$A$69&lt;=PREVS_SMAP_DIARIO!L$27),0))</f>
        <v>0</v>
      </c>
      <c r="M107" s="132">
        <f t="array" aca="1" ref="M107" ca="1">SUM(IFERROR(Propagações_TOT_URUGUAI!$B$7:$BZ$69*(Propagações_TOT_URUGUAI!$B$6:$BZ$6=$B107&amp;"A")*(Propagações_TOT_URUGUAI!$A$7:$A$69&gt;=PREVS_SMAP_DIARIO!M$26)*(Propagações_TOT_URUGUAI!$A$7:$A$69&lt;=PREVS_SMAP_DIARIO!M$27),0))</f>
        <v>0</v>
      </c>
      <c r="N107" s="132">
        <f t="array" aca="1" ref="N107" ca="1">SUM(IFERROR(Propagações_TOT_URUGUAI!$B$7:$BZ$69*(Propagações_TOT_URUGUAI!$B$6:$BZ$6=$B107&amp;"A")*(Propagações_TOT_URUGUAI!$A$7:$A$69&gt;=PREVS_SMAP_DIARIO!N$26)*(Propagações_TOT_URUGUAI!$A$7:$A$69&lt;=PREVS_SMAP_DIARIO!N$27),0))</f>
        <v>0</v>
      </c>
      <c r="O107" s="132">
        <f t="array" aca="1" ref="O107" ca="1">SUM(IFERROR(Propagações_TOT_URUGUAI!$B$7:$BZ$69*(Propagações_TOT_URUGUAI!$B$6:$BZ$6=$B107&amp;"A")*(Propagações_TOT_URUGUAI!$A$7:$A$69&gt;=PREVS_SMAP_DIARIO!O$26)*(Propagações_TOT_URUGUAI!$A$7:$A$69&lt;=PREVS_SMAP_DIARIO!O$27),0))</f>
        <v>0</v>
      </c>
      <c r="P107" s="132">
        <f t="array" aca="1" ref="P107" ca="1">SUM(IFERROR(Propagações_TOT_URUGUAI!$B$7:$BZ$69*(Propagações_TOT_URUGUAI!$B$6:$BZ$6=$B107&amp;"A")*(Propagações_TOT_URUGUAI!$A$7:$A$69&gt;=PREVS_SMAP_DIARIO!P$26)*(Propagações_TOT_URUGUAI!$A$7:$A$69&lt;=PREVS_SMAP_DIARIO!P$27),0))</f>
        <v>0</v>
      </c>
      <c r="Q107" s="132">
        <f t="array" aca="1" ref="Q107" ca="1">SUM(IFERROR(Propagações_TOT_URUGUAI!$B$7:$BZ$69*(Propagações_TOT_URUGUAI!$B$6:$BZ$6=$B107&amp;"A")*(Propagações_TOT_URUGUAI!$A$7:$A$69&gt;=PREVS_SMAP_DIARIO!Q$26)*(Propagações_TOT_URUGUAI!$A$7:$A$69&lt;=PREVS_SMAP_DIARIO!Q$27),0))</f>
        <v>0</v>
      </c>
      <c r="R107"/>
      <c r="S107"/>
      <c r="T107" s="272">
        <v>80</v>
      </c>
      <c r="V107" s="202" t="e">
        <f ca="1">IFERROR(ROUND(INDEX(F:F,MATCH($T107,$A:$A,0)),0),INDEX(PREVIVAZ!$C81:$N81,1,MATCH(V$27,PREVIVAZ!$C$1:$N$1,1)))</f>
        <v>#N/A</v>
      </c>
      <c r="W107" s="202" t="e">
        <f ca="1">IFERROR(ROUND(INDEX(G:G,MATCH($T107,$A:$A,0)),0),INDEX(PREVIVAZ!$C81:$N81,1,MATCH(W$27,PREVIVAZ!$C$1:$N$1,1)))</f>
        <v>#N/A</v>
      </c>
      <c r="X107" s="202" t="e">
        <f ca="1">IFERROR(ROUND(INDEX(H:H,MATCH($T107,$A:$A,0)),0),INDEX(PREVIVAZ!$C81:$N81,1,MATCH(X$27,PREVIVAZ!$C$1:$N$1,1)))</f>
        <v>#N/A</v>
      </c>
      <c r="Y107" s="202" t="e">
        <f ca="1">IFERROR(ROUND(INDEX(I:I,MATCH($T107,$A:$A,0)),0),INDEX(PREVIVAZ!$C81:$N81,1,MATCH(Y$27,PREVIVAZ!$C$1:$N$1,1)))</f>
        <v>#N/A</v>
      </c>
      <c r="Z107" s="202" t="e">
        <f ca="1">IFERROR(ROUND(INDEX(J:J,MATCH($T107,$A:$A,0)),0),INDEX(PREVIVAZ!$C81:$N81,1,MATCH(Z$27,PREVIVAZ!$C$1:$N$1,1)))</f>
        <v>#N/A</v>
      </c>
      <c r="AA107" s="202" t="e">
        <f ca="1">IFERROR(ROUND(INDEX(K:K,MATCH($T107,$A:$A,0)),0),INDEX(PREVIVAZ!$C81:$N81,1,MATCH(AA$27,PREVIVAZ!$C$1:$N$1,1)))</f>
        <v>#N/A</v>
      </c>
      <c r="AB107" s="202" t="e">
        <f ca="1">IFERROR(ROUND(INDEX(L:L,MATCH($T107,$A:$A,0)),0),INDEX(PREVIVAZ!$C81:$N81,1,MATCH(AB$27,PREVIVAZ!$C$1:$N$1,1)))</f>
        <v>#N/A</v>
      </c>
      <c r="AC107" s="202" t="e">
        <f ca="1">IFERROR(ROUND(INDEX(M:M,MATCH($T107,$A:$A,0)),0),INDEX(PREVIVAZ!$C81:$N81,1,MATCH(AC$27,PREVIVAZ!$C$1:$N$1,1)))</f>
        <v>#N/A</v>
      </c>
      <c r="AD107" s="202" t="e">
        <f ca="1">IFERROR(ROUND(INDEX(N:N,MATCH($T107,$A:$A,0)),0),INDEX(PREVIVAZ!$C81:$N81,1,MATCH(AD$27,PREVIVAZ!$C$1:$N$1,1)))</f>
        <v>#N/A</v>
      </c>
      <c r="AE107" s="202" t="e">
        <f ca="1">IFERROR(ROUND(INDEX(O:O,MATCH($T107,$A:$A,0)),0),INDEX(PREVIVAZ!$C81:$N81,1,MATCH(AE$27,PREVIVAZ!$C$1:$N$1,1)))</f>
        <v>#N/A</v>
      </c>
      <c r="AF107" s="202" t="e">
        <f ca="1">IFERROR(ROUND(INDEX(P:P,MATCH($T107,$A:$A,0)),0),INDEX(PREVIVAZ!$C81:$N81,1,MATCH(AF$27,PREVIVAZ!$C$1:$N$1,1)))</f>
        <v>#N/A</v>
      </c>
      <c r="AG107" s="202" t="e">
        <f ca="1">IFERROR(ROUND(INDEX(Q:Q,MATCH($T107,$A:$A,0)),0),INDEX(PREVIVAZ!$C81:$N81,1,MATCH(AG$27,PREVIVAZ!$C$1:$N$1,1)))</f>
        <v>#N/A</v>
      </c>
    </row>
    <row r="108" spans="1:33" ht="13.5" thickBot="1" x14ac:dyDescent="0.25">
      <c r="A108" s="264">
        <v>216</v>
      </c>
      <c r="B108" s="261" t="str">
        <f t="shared" si="27"/>
        <v>216_VN</v>
      </c>
      <c r="C108" s="264" t="s">
        <v>174</v>
      </c>
      <c r="D108" s="240">
        <f t="shared" si="28"/>
        <v>216</v>
      </c>
      <c r="E108" s="132">
        <f t="array" aca="1" ref="E108" ca="1">SUM(IFERROR(Propagações_TOT_URUGUAI!$B$7:$BZ$69*(Propagações_TOT_URUGUAI!$B$6:$BZ$6=$B108&amp;"A")*(Propagações_TOT_URUGUAI!$A$7:$A$69&gt;=PREVS_SMAP_DIARIO!E$26)*(Propagações_TOT_URUGUAI!$A$7:$A$69&lt;=PREVS_SMAP_DIARIO!E$27),0))</f>
        <v>75</v>
      </c>
      <c r="F108" s="132">
        <f t="array" aca="1" ref="F108" ca="1">SUM(IFERROR(Propagações_TOT_URUGUAI!$B$7:$BZ$69*(Propagações_TOT_URUGUAI!$B$6:$BZ$6=$B108&amp;"A")*(Propagações_TOT_URUGUAI!$A$7:$A$69&gt;=PREVS_SMAP_DIARIO!F$26)*(Propagações_TOT_URUGUAI!$A$7:$A$69&lt;=PREVS_SMAP_DIARIO!F$27),0))</f>
        <v>0</v>
      </c>
      <c r="G108" s="132">
        <f t="array" aca="1" ref="G108" ca="1">SUM(IFERROR(Propagações_TOT_URUGUAI!$B$7:$BZ$69*(Propagações_TOT_URUGUAI!$B$6:$BZ$6=$B108&amp;"A")*(Propagações_TOT_URUGUAI!$A$7:$A$69&gt;=PREVS_SMAP_DIARIO!G$26)*(Propagações_TOT_URUGUAI!$A$7:$A$69&lt;=PREVS_SMAP_DIARIO!G$27),0))</f>
        <v>0</v>
      </c>
      <c r="H108" s="132">
        <f t="array" aca="1" ref="H108" ca="1">SUM(IFERROR(Propagações_TOT_URUGUAI!$B$7:$BZ$69*(Propagações_TOT_URUGUAI!$B$6:$BZ$6=$B108&amp;"A")*(Propagações_TOT_URUGUAI!$A$7:$A$69&gt;=PREVS_SMAP_DIARIO!H$26)*(Propagações_TOT_URUGUAI!$A$7:$A$69&lt;=PREVS_SMAP_DIARIO!H$27),0))</f>
        <v>0</v>
      </c>
      <c r="I108" s="132">
        <f t="array" aca="1" ref="I108" ca="1">SUM(IFERROR(Propagações_TOT_URUGUAI!$B$7:$BZ$69*(Propagações_TOT_URUGUAI!$B$6:$BZ$6=$B108&amp;"A")*(Propagações_TOT_URUGUAI!$A$7:$A$69&gt;=PREVS_SMAP_DIARIO!I$26)*(Propagações_TOT_URUGUAI!$A$7:$A$69&lt;=PREVS_SMAP_DIARIO!I$27),0))</f>
        <v>0</v>
      </c>
      <c r="J108" s="132">
        <f t="array" aca="1" ref="J108" ca="1">SUM(IFERROR(Propagações_TOT_URUGUAI!$B$7:$BZ$69*(Propagações_TOT_URUGUAI!$B$6:$BZ$6=$B108&amp;"A")*(Propagações_TOT_URUGUAI!$A$7:$A$69&gt;=PREVS_SMAP_DIARIO!J$26)*(Propagações_TOT_URUGUAI!$A$7:$A$69&lt;=PREVS_SMAP_DIARIO!J$27),0))</f>
        <v>0</v>
      </c>
      <c r="K108" s="132">
        <f t="array" aca="1" ref="K108" ca="1">SUM(IFERROR(Propagações_TOT_URUGUAI!$B$7:$BZ$69*(Propagações_TOT_URUGUAI!$B$6:$BZ$6=$B108&amp;"A")*(Propagações_TOT_URUGUAI!$A$7:$A$69&gt;=PREVS_SMAP_DIARIO!K$26)*(Propagações_TOT_URUGUAI!$A$7:$A$69&lt;=PREVS_SMAP_DIARIO!K$27),0))</f>
        <v>0</v>
      </c>
      <c r="L108" s="132">
        <f t="array" aca="1" ref="L108" ca="1">SUM(IFERROR(Propagações_TOT_URUGUAI!$B$7:$BZ$69*(Propagações_TOT_URUGUAI!$B$6:$BZ$6=$B108&amp;"A")*(Propagações_TOT_URUGUAI!$A$7:$A$69&gt;=PREVS_SMAP_DIARIO!L$26)*(Propagações_TOT_URUGUAI!$A$7:$A$69&lt;=PREVS_SMAP_DIARIO!L$27),0))</f>
        <v>0</v>
      </c>
      <c r="M108" s="132">
        <f t="array" aca="1" ref="M108" ca="1">SUM(IFERROR(Propagações_TOT_URUGUAI!$B$7:$BZ$69*(Propagações_TOT_URUGUAI!$B$6:$BZ$6=$B108&amp;"A")*(Propagações_TOT_URUGUAI!$A$7:$A$69&gt;=PREVS_SMAP_DIARIO!M$26)*(Propagações_TOT_URUGUAI!$A$7:$A$69&lt;=PREVS_SMAP_DIARIO!M$27),0))</f>
        <v>0</v>
      </c>
      <c r="N108" s="132">
        <f t="array" aca="1" ref="N108" ca="1">SUM(IFERROR(Propagações_TOT_URUGUAI!$B$7:$BZ$69*(Propagações_TOT_URUGUAI!$B$6:$BZ$6=$B108&amp;"A")*(Propagações_TOT_URUGUAI!$A$7:$A$69&gt;=PREVS_SMAP_DIARIO!N$26)*(Propagações_TOT_URUGUAI!$A$7:$A$69&lt;=PREVS_SMAP_DIARIO!N$27),0))</f>
        <v>0</v>
      </c>
      <c r="O108" s="132">
        <f t="array" aca="1" ref="O108" ca="1">SUM(IFERROR(Propagações_TOT_URUGUAI!$B$7:$BZ$69*(Propagações_TOT_URUGUAI!$B$6:$BZ$6=$B108&amp;"A")*(Propagações_TOT_URUGUAI!$A$7:$A$69&gt;=PREVS_SMAP_DIARIO!O$26)*(Propagações_TOT_URUGUAI!$A$7:$A$69&lt;=PREVS_SMAP_DIARIO!O$27),0))</f>
        <v>0</v>
      </c>
      <c r="P108" s="132">
        <f t="array" aca="1" ref="P108" ca="1">SUM(IFERROR(Propagações_TOT_URUGUAI!$B$7:$BZ$69*(Propagações_TOT_URUGUAI!$B$6:$BZ$6=$B108&amp;"A")*(Propagações_TOT_URUGUAI!$A$7:$A$69&gt;=PREVS_SMAP_DIARIO!P$26)*(Propagações_TOT_URUGUAI!$A$7:$A$69&lt;=PREVS_SMAP_DIARIO!P$27),0))</f>
        <v>0</v>
      </c>
      <c r="Q108" s="132">
        <f t="array" aca="1" ref="Q108" ca="1">SUM(IFERROR(Propagações_TOT_URUGUAI!$B$7:$BZ$69*(Propagações_TOT_URUGUAI!$B$6:$BZ$6=$B108&amp;"A")*(Propagações_TOT_URUGUAI!$A$7:$A$69&gt;=PREVS_SMAP_DIARIO!Q$26)*(Propagações_TOT_URUGUAI!$A$7:$A$69&lt;=PREVS_SMAP_DIARIO!Q$27),0))</f>
        <v>0</v>
      </c>
      <c r="R108"/>
      <c r="S108"/>
      <c r="T108" s="272">
        <v>81</v>
      </c>
      <c r="V108" s="202" t="e">
        <f ca="1">IFERROR(ROUND(INDEX(F:F,MATCH($T108,$A:$A,0)),0),INDEX(PREVIVAZ!$C82:$N82,1,MATCH(V$27,PREVIVAZ!$C$1:$N$1,1)))</f>
        <v>#N/A</v>
      </c>
      <c r="W108" s="202" t="e">
        <f ca="1">IFERROR(ROUND(INDEX(G:G,MATCH($T108,$A:$A,0)),0),INDEX(PREVIVAZ!$C82:$N82,1,MATCH(W$27,PREVIVAZ!$C$1:$N$1,1)))</f>
        <v>#N/A</v>
      </c>
      <c r="X108" s="202" t="e">
        <f ca="1">IFERROR(ROUND(INDEX(H:H,MATCH($T108,$A:$A,0)),0),INDEX(PREVIVAZ!$C82:$N82,1,MATCH(X$27,PREVIVAZ!$C$1:$N$1,1)))</f>
        <v>#N/A</v>
      </c>
      <c r="Y108" s="202" t="e">
        <f ca="1">IFERROR(ROUND(INDEX(I:I,MATCH($T108,$A:$A,0)),0),INDEX(PREVIVAZ!$C82:$N82,1,MATCH(Y$27,PREVIVAZ!$C$1:$N$1,1)))</f>
        <v>#N/A</v>
      </c>
      <c r="Z108" s="202" t="e">
        <f ca="1">IFERROR(ROUND(INDEX(J:J,MATCH($T108,$A:$A,0)),0),INDEX(PREVIVAZ!$C82:$N82,1,MATCH(Z$27,PREVIVAZ!$C$1:$N$1,1)))</f>
        <v>#N/A</v>
      </c>
      <c r="AA108" s="202" t="e">
        <f ca="1">IFERROR(ROUND(INDEX(K:K,MATCH($T108,$A:$A,0)),0),INDEX(PREVIVAZ!$C82:$N82,1,MATCH(AA$27,PREVIVAZ!$C$1:$N$1,1)))</f>
        <v>#N/A</v>
      </c>
      <c r="AB108" s="202" t="e">
        <f ca="1">IFERROR(ROUND(INDEX(L:L,MATCH($T108,$A:$A,0)),0),INDEX(PREVIVAZ!$C82:$N82,1,MATCH(AB$27,PREVIVAZ!$C$1:$N$1,1)))</f>
        <v>#N/A</v>
      </c>
      <c r="AC108" s="202" t="e">
        <f ca="1">IFERROR(ROUND(INDEX(M:M,MATCH($T108,$A:$A,0)),0),INDEX(PREVIVAZ!$C82:$N82,1,MATCH(AC$27,PREVIVAZ!$C$1:$N$1,1)))</f>
        <v>#N/A</v>
      </c>
      <c r="AD108" s="202" t="e">
        <f ca="1">IFERROR(ROUND(INDEX(N:N,MATCH($T108,$A:$A,0)),0),INDEX(PREVIVAZ!$C82:$N82,1,MATCH(AD$27,PREVIVAZ!$C$1:$N$1,1)))</f>
        <v>#N/A</v>
      </c>
      <c r="AE108" s="202" t="e">
        <f ca="1">IFERROR(ROUND(INDEX(O:O,MATCH($T108,$A:$A,0)),0),INDEX(PREVIVAZ!$C82:$N82,1,MATCH(AE$27,PREVIVAZ!$C$1:$N$1,1)))</f>
        <v>#N/A</v>
      </c>
      <c r="AF108" s="202" t="e">
        <f ca="1">IFERROR(ROUND(INDEX(P:P,MATCH($T108,$A:$A,0)),0),INDEX(PREVIVAZ!$C82:$N82,1,MATCH(AF$27,PREVIVAZ!$C$1:$N$1,1)))</f>
        <v>#N/A</v>
      </c>
      <c r="AG108" s="202" t="e">
        <f ca="1">IFERROR(ROUND(INDEX(Q:Q,MATCH($T108,$A:$A,0)),0),INDEX(PREVIVAZ!$C82:$N82,1,MATCH(AG$27,PREVIVAZ!$C$1:$N$1,1)))</f>
        <v>#N/A</v>
      </c>
    </row>
    <row r="109" spans="1:33" ht="13.5" thickBot="1" x14ac:dyDescent="0.25">
      <c r="A109" s="264">
        <v>217</v>
      </c>
      <c r="B109" s="261" t="str">
        <f t="shared" si="27"/>
        <v>217_VN</v>
      </c>
      <c r="C109" s="264" t="s">
        <v>166</v>
      </c>
      <c r="D109" s="272">
        <f t="shared" si="28"/>
        <v>217</v>
      </c>
      <c r="E109" s="132">
        <f t="array" aca="1" ref="E109" ca="1">SUM(IFERROR(Propagações_TOT_URUGUAI!$B$7:$BZ$69*(Propagações_TOT_URUGUAI!$B$6:$BZ$6=$B109&amp;"A")*(Propagações_TOT_URUGUAI!$A$7:$A$69&gt;=PREVS_SMAP_DIARIO!E$26)*(Propagações_TOT_URUGUAI!$A$7:$A$69&lt;=PREVS_SMAP_DIARIO!E$27),0))</f>
        <v>213</v>
      </c>
      <c r="F109" s="132">
        <f t="array" aca="1" ref="F109" ca="1">SUM(IFERROR(Propagações_TOT_URUGUAI!$B$7:$BZ$69*(Propagações_TOT_URUGUAI!$B$6:$BZ$6=$B109&amp;"A")*(Propagações_TOT_URUGUAI!$A$7:$A$69&gt;=PREVS_SMAP_DIARIO!F$26)*(Propagações_TOT_URUGUAI!$A$7:$A$69&lt;=PREVS_SMAP_DIARIO!F$27),0))</f>
        <v>0</v>
      </c>
      <c r="G109" s="132">
        <f t="array" aca="1" ref="G109" ca="1">SUM(IFERROR(Propagações_TOT_URUGUAI!$B$7:$BZ$69*(Propagações_TOT_URUGUAI!$B$6:$BZ$6=$B109&amp;"A")*(Propagações_TOT_URUGUAI!$A$7:$A$69&gt;=PREVS_SMAP_DIARIO!G$26)*(Propagações_TOT_URUGUAI!$A$7:$A$69&lt;=PREVS_SMAP_DIARIO!G$27),0))</f>
        <v>0</v>
      </c>
      <c r="H109" s="132">
        <f t="array" aca="1" ref="H109" ca="1">SUM(IFERROR(Propagações_TOT_URUGUAI!$B$7:$BZ$69*(Propagações_TOT_URUGUAI!$B$6:$BZ$6=$B109&amp;"A")*(Propagações_TOT_URUGUAI!$A$7:$A$69&gt;=PREVS_SMAP_DIARIO!H$26)*(Propagações_TOT_URUGUAI!$A$7:$A$69&lt;=PREVS_SMAP_DIARIO!H$27),0))</f>
        <v>0</v>
      </c>
      <c r="I109" s="132">
        <f t="array" aca="1" ref="I109" ca="1">SUM(IFERROR(Propagações_TOT_URUGUAI!$B$7:$BZ$69*(Propagações_TOT_URUGUAI!$B$6:$BZ$6=$B109&amp;"A")*(Propagações_TOT_URUGUAI!$A$7:$A$69&gt;=PREVS_SMAP_DIARIO!I$26)*(Propagações_TOT_URUGUAI!$A$7:$A$69&lt;=PREVS_SMAP_DIARIO!I$27),0))</f>
        <v>0</v>
      </c>
      <c r="J109" s="132">
        <f t="array" aca="1" ref="J109" ca="1">SUM(IFERROR(Propagações_TOT_URUGUAI!$B$7:$BZ$69*(Propagações_TOT_URUGUAI!$B$6:$BZ$6=$B109&amp;"A")*(Propagações_TOT_URUGUAI!$A$7:$A$69&gt;=PREVS_SMAP_DIARIO!J$26)*(Propagações_TOT_URUGUAI!$A$7:$A$69&lt;=PREVS_SMAP_DIARIO!J$27),0))</f>
        <v>0</v>
      </c>
      <c r="K109" s="132">
        <f t="array" aca="1" ref="K109" ca="1">SUM(IFERROR(Propagações_TOT_URUGUAI!$B$7:$BZ$69*(Propagações_TOT_URUGUAI!$B$6:$BZ$6=$B109&amp;"A")*(Propagações_TOT_URUGUAI!$A$7:$A$69&gt;=PREVS_SMAP_DIARIO!K$26)*(Propagações_TOT_URUGUAI!$A$7:$A$69&lt;=PREVS_SMAP_DIARIO!K$27),0))</f>
        <v>0</v>
      </c>
      <c r="L109" s="132">
        <f t="array" aca="1" ref="L109" ca="1">SUM(IFERROR(Propagações_TOT_URUGUAI!$B$7:$BZ$69*(Propagações_TOT_URUGUAI!$B$6:$BZ$6=$B109&amp;"A")*(Propagações_TOT_URUGUAI!$A$7:$A$69&gt;=PREVS_SMAP_DIARIO!L$26)*(Propagações_TOT_URUGUAI!$A$7:$A$69&lt;=PREVS_SMAP_DIARIO!L$27),0))</f>
        <v>0</v>
      </c>
      <c r="M109" s="132">
        <f t="array" aca="1" ref="M109" ca="1">SUM(IFERROR(Propagações_TOT_URUGUAI!$B$7:$BZ$69*(Propagações_TOT_URUGUAI!$B$6:$BZ$6=$B109&amp;"A")*(Propagações_TOT_URUGUAI!$A$7:$A$69&gt;=PREVS_SMAP_DIARIO!M$26)*(Propagações_TOT_URUGUAI!$A$7:$A$69&lt;=PREVS_SMAP_DIARIO!M$27),0))</f>
        <v>0</v>
      </c>
      <c r="N109" s="132">
        <f t="array" aca="1" ref="N109" ca="1">SUM(IFERROR(Propagações_TOT_URUGUAI!$B$7:$BZ$69*(Propagações_TOT_URUGUAI!$B$6:$BZ$6=$B109&amp;"A")*(Propagações_TOT_URUGUAI!$A$7:$A$69&gt;=PREVS_SMAP_DIARIO!N$26)*(Propagações_TOT_URUGUAI!$A$7:$A$69&lt;=PREVS_SMAP_DIARIO!N$27),0))</f>
        <v>0</v>
      </c>
      <c r="O109" s="132">
        <f t="array" aca="1" ref="O109" ca="1">SUM(IFERROR(Propagações_TOT_URUGUAI!$B$7:$BZ$69*(Propagações_TOT_URUGUAI!$B$6:$BZ$6=$B109&amp;"A")*(Propagações_TOT_URUGUAI!$A$7:$A$69&gt;=PREVS_SMAP_DIARIO!O$26)*(Propagações_TOT_URUGUAI!$A$7:$A$69&lt;=PREVS_SMAP_DIARIO!O$27),0))</f>
        <v>0</v>
      </c>
      <c r="P109" s="132">
        <f t="array" aca="1" ref="P109" ca="1">SUM(IFERROR(Propagações_TOT_URUGUAI!$B$7:$BZ$69*(Propagações_TOT_URUGUAI!$B$6:$BZ$6=$B109&amp;"A")*(Propagações_TOT_URUGUAI!$A$7:$A$69&gt;=PREVS_SMAP_DIARIO!P$26)*(Propagações_TOT_URUGUAI!$A$7:$A$69&lt;=PREVS_SMAP_DIARIO!P$27),0))</f>
        <v>0</v>
      </c>
      <c r="Q109" s="132">
        <f t="array" aca="1" ref="Q109" ca="1">SUM(IFERROR(Propagações_TOT_URUGUAI!$B$7:$BZ$69*(Propagações_TOT_URUGUAI!$B$6:$BZ$6=$B109&amp;"A")*(Propagações_TOT_URUGUAI!$A$7:$A$69&gt;=PREVS_SMAP_DIARIO!Q$26)*(Propagações_TOT_URUGUAI!$A$7:$A$69&lt;=PREVS_SMAP_DIARIO!Q$27),0))</f>
        <v>0</v>
      </c>
      <c r="R109"/>
      <c r="S109"/>
      <c r="T109" s="272">
        <v>82</v>
      </c>
      <c r="V109" s="202" t="e">
        <f ca="1">IFERROR(ROUND(INDEX(F:F,MATCH($T109,$A:$A,0)),0),INDEX(PREVIVAZ!$C83:$N83,1,MATCH(V$27,PREVIVAZ!$C$1:$N$1,1)))</f>
        <v>#N/A</v>
      </c>
      <c r="W109" s="202" t="e">
        <f ca="1">IFERROR(ROUND(INDEX(G:G,MATCH($T109,$A:$A,0)),0),INDEX(PREVIVAZ!$C83:$N83,1,MATCH(W$27,PREVIVAZ!$C$1:$N$1,1)))</f>
        <v>#N/A</v>
      </c>
      <c r="X109" s="202" t="e">
        <f ca="1">IFERROR(ROUND(INDEX(H:H,MATCH($T109,$A:$A,0)),0),INDEX(PREVIVAZ!$C83:$N83,1,MATCH(X$27,PREVIVAZ!$C$1:$N$1,1)))</f>
        <v>#N/A</v>
      </c>
      <c r="Y109" s="202" t="e">
        <f ca="1">IFERROR(ROUND(INDEX(I:I,MATCH($T109,$A:$A,0)),0),INDEX(PREVIVAZ!$C83:$N83,1,MATCH(Y$27,PREVIVAZ!$C$1:$N$1,1)))</f>
        <v>#N/A</v>
      </c>
      <c r="Z109" s="202" t="e">
        <f ca="1">IFERROR(ROUND(INDEX(J:J,MATCH($T109,$A:$A,0)),0),INDEX(PREVIVAZ!$C83:$N83,1,MATCH(Z$27,PREVIVAZ!$C$1:$N$1,1)))</f>
        <v>#N/A</v>
      </c>
      <c r="AA109" s="202" t="e">
        <f ca="1">IFERROR(ROUND(INDEX(K:K,MATCH($T109,$A:$A,0)),0),INDEX(PREVIVAZ!$C83:$N83,1,MATCH(AA$27,PREVIVAZ!$C$1:$N$1,1)))</f>
        <v>#N/A</v>
      </c>
      <c r="AB109" s="202" t="e">
        <f ca="1">IFERROR(ROUND(INDEX(L:L,MATCH($T109,$A:$A,0)),0),INDEX(PREVIVAZ!$C83:$N83,1,MATCH(AB$27,PREVIVAZ!$C$1:$N$1,1)))</f>
        <v>#N/A</v>
      </c>
      <c r="AC109" s="202" t="e">
        <f ca="1">IFERROR(ROUND(INDEX(M:M,MATCH($T109,$A:$A,0)),0),INDEX(PREVIVAZ!$C83:$N83,1,MATCH(AC$27,PREVIVAZ!$C$1:$N$1,1)))</f>
        <v>#N/A</v>
      </c>
      <c r="AD109" s="202" t="e">
        <f ca="1">IFERROR(ROUND(INDEX(N:N,MATCH($T109,$A:$A,0)),0),INDEX(PREVIVAZ!$C83:$N83,1,MATCH(AD$27,PREVIVAZ!$C$1:$N$1,1)))</f>
        <v>#N/A</v>
      </c>
      <c r="AE109" s="202" t="e">
        <f ca="1">IFERROR(ROUND(INDEX(O:O,MATCH($T109,$A:$A,0)),0),INDEX(PREVIVAZ!$C83:$N83,1,MATCH(AE$27,PREVIVAZ!$C$1:$N$1,1)))</f>
        <v>#N/A</v>
      </c>
      <c r="AF109" s="202" t="e">
        <f ca="1">IFERROR(ROUND(INDEX(P:P,MATCH($T109,$A:$A,0)),0),INDEX(PREVIVAZ!$C83:$N83,1,MATCH(AF$27,PREVIVAZ!$C$1:$N$1,1)))</f>
        <v>#N/A</v>
      </c>
      <c r="AG109" s="202" t="e">
        <f ca="1">IFERROR(ROUND(INDEX(Q:Q,MATCH($T109,$A:$A,0)),0),INDEX(PREVIVAZ!$C83:$N83,1,MATCH(AG$27,PREVIVAZ!$C$1:$N$1,1)))</f>
        <v>#N/A</v>
      </c>
    </row>
    <row r="110" spans="1:33" ht="13.5" thickBot="1" x14ac:dyDescent="0.25">
      <c r="A110" s="264">
        <v>92</v>
      </c>
      <c r="B110" s="261" t="str">
        <f t="shared" si="27"/>
        <v>92_VN</v>
      </c>
      <c r="C110" s="264" t="s">
        <v>175</v>
      </c>
      <c r="D110" s="272">
        <f t="shared" si="28"/>
        <v>92</v>
      </c>
      <c r="E110" s="132">
        <f t="array" aca="1" ref="E110" ca="1">SUM(IFERROR(Propagações_TOT_URUGUAI!$B$7:$BZ$69*(Propagações_TOT_URUGUAI!$B$6:$BZ$6=$B110&amp;"A")*(Propagações_TOT_URUGUAI!$A$7:$A$69&gt;=PREVS_SMAP_DIARIO!E$26)*(Propagações_TOT_URUGUAI!$A$7:$A$69&lt;=PREVS_SMAP_DIARIO!E$27),0))</f>
        <v>256</v>
      </c>
      <c r="F110" s="132">
        <f t="array" aca="1" ref="F110" ca="1">SUM(IFERROR(Propagações_TOT_URUGUAI!$B$7:$BZ$69*(Propagações_TOT_URUGUAI!$B$6:$BZ$6=$B110&amp;"A")*(Propagações_TOT_URUGUAI!$A$7:$A$69&gt;=PREVS_SMAP_DIARIO!F$26)*(Propagações_TOT_URUGUAI!$A$7:$A$69&lt;=PREVS_SMAP_DIARIO!F$27),0))</f>
        <v>0</v>
      </c>
      <c r="G110" s="132">
        <f t="array" aca="1" ref="G110" ca="1">SUM(IFERROR(Propagações_TOT_URUGUAI!$B$7:$BZ$69*(Propagações_TOT_URUGUAI!$B$6:$BZ$6=$B110&amp;"A")*(Propagações_TOT_URUGUAI!$A$7:$A$69&gt;=PREVS_SMAP_DIARIO!G$26)*(Propagações_TOT_URUGUAI!$A$7:$A$69&lt;=PREVS_SMAP_DIARIO!G$27),0))</f>
        <v>0</v>
      </c>
      <c r="H110" s="132">
        <f t="array" aca="1" ref="H110" ca="1">SUM(IFERROR(Propagações_TOT_URUGUAI!$B$7:$BZ$69*(Propagações_TOT_URUGUAI!$B$6:$BZ$6=$B110&amp;"A")*(Propagações_TOT_URUGUAI!$A$7:$A$69&gt;=PREVS_SMAP_DIARIO!H$26)*(Propagações_TOT_URUGUAI!$A$7:$A$69&lt;=PREVS_SMAP_DIARIO!H$27),0))</f>
        <v>0</v>
      </c>
      <c r="I110" s="132">
        <f t="array" aca="1" ref="I110" ca="1">SUM(IFERROR(Propagações_TOT_URUGUAI!$B$7:$BZ$69*(Propagações_TOT_URUGUAI!$B$6:$BZ$6=$B110&amp;"A")*(Propagações_TOT_URUGUAI!$A$7:$A$69&gt;=PREVS_SMAP_DIARIO!I$26)*(Propagações_TOT_URUGUAI!$A$7:$A$69&lt;=PREVS_SMAP_DIARIO!I$27),0))</f>
        <v>0</v>
      </c>
      <c r="J110" s="132">
        <f t="array" aca="1" ref="J110" ca="1">SUM(IFERROR(Propagações_TOT_URUGUAI!$B$7:$BZ$69*(Propagações_TOT_URUGUAI!$B$6:$BZ$6=$B110&amp;"A")*(Propagações_TOT_URUGUAI!$A$7:$A$69&gt;=PREVS_SMAP_DIARIO!J$26)*(Propagações_TOT_URUGUAI!$A$7:$A$69&lt;=PREVS_SMAP_DIARIO!J$27),0))</f>
        <v>0</v>
      </c>
      <c r="K110" s="132">
        <f t="array" aca="1" ref="K110" ca="1">SUM(IFERROR(Propagações_TOT_URUGUAI!$B$7:$BZ$69*(Propagações_TOT_URUGUAI!$B$6:$BZ$6=$B110&amp;"A")*(Propagações_TOT_URUGUAI!$A$7:$A$69&gt;=PREVS_SMAP_DIARIO!K$26)*(Propagações_TOT_URUGUAI!$A$7:$A$69&lt;=PREVS_SMAP_DIARIO!K$27),0))</f>
        <v>0</v>
      </c>
      <c r="L110" s="132">
        <f t="array" aca="1" ref="L110" ca="1">SUM(IFERROR(Propagações_TOT_URUGUAI!$B$7:$BZ$69*(Propagações_TOT_URUGUAI!$B$6:$BZ$6=$B110&amp;"A")*(Propagações_TOT_URUGUAI!$A$7:$A$69&gt;=PREVS_SMAP_DIARIO!L$26)*(Propagações_TOT_URUGUAI!$A$7:$A$69&lt;=PREVS_SMAP_DIARIO!L$27),0))</f>
        <v>0</v>
      </c>
      <c r="M110" s="132">
        <f t="array" aca="1" ref="M110" ca="1">SUM(IFERROR(Propagações_TOT_URUGUAI!$B$7:$BZ$69*(Propagações_TOT_URUGUAI!$B$6:$BZ$6=$B110&amp;"A")*(Propagações_TOT_URUGUAI!$A$7:$A$69&gt;=PREVS_SMAP_DIARIO!M$26)*(Propagações_TOT_URUGUAI!$A$7:$A$69&lt;=PREVS_SMAP_DIARIO!M$27),0))</f>
        <v>0</v>
      </c>
      <c r="N110" s="132">
        <f t="array" aca="1" ref="N110" ca="1">SUM(IFERROR(Propagações_TOT_URUGUAI!$B$7:$BZ$69*(Propagações_TOT_URUGUAI!$B$6:$BZ$6=$B110&amp;"A")*(Propagações_TOT_URUGUAI!$A$7:$A$69&gt;=PREVS_SMAP_DIARIO!N$26)*(Propagações_TOT_URUGUAI!$A$7:$A$69&lt;=PREVS_SMAP_DIARIO!N$27),0))</f>
        <v>0</v>
      </c>
      <c r="O110" s="132">
        <f t="array" aca="1" ref="O110" ca="1">SUM(IFERROR(Propagações_TOT_URUGUAI!$B$7:$BZ$69*(Propagações_TOT_URUGUAI!$B$6:$BZ$6=$B110&amp;"A")*(Propagações_TOT_URUGUAI!$A$7:$A$69&gt;=PREVS_SMAP_DIARIO!O$26)*(Propagações_TOT_URUGUAI!$A$7:$A$69&lt;=PREVS_SMAP_DIARIO!O$27),0))</f>
        <v>0</v>
      </c>
      <c r="P110" s="132">
        <f t="array" aca="1" ref="P110" ca="1">SUM(IFERROR(Propagações_TOT_URUGUAI!$B$7:$BZ$69*(Propagações_TOT_URUGUAI!$B$6:$BZ$6=$B110&amp;"A")*(Propagações_TOT_URUGUAI!$A$7:$A$69&gt;=PREVS_SMAP_DIARIO!P$26)*(Propagações_TOT_URUGUAI!$A$7:$A$69&lt;=PREVS_SMAP_DIARIO!P$27),0))</f>
        <v>0</v>
      </c>
      <c r="Q110" s="132">
        <f t="array" aca="1" ref="Q110" ca="1">SUM(IFERROR(Propagações_TOT_URUGUAI!$B$7:$BZ$69*(Propagações_TOT_URUGUAI!$B$6:$BZ$6=$B110&amp;"A")*(Propagações_TOT_URUGUAI!$A$7:$A$69&gt;=PREVS_SMAP_DIARIO!Q$26)*(Propagações_TOT_URUGUAI!$A$7:$A$69&lt;=PREVS_SMAP_DIARIO!Q$27),0))</f>
        <v>0</v>
      </c>
      <c r="R110"/>
      <c r="S110"/>
      <c r="T110" s="272">
        <v>83</v>
      </c>
      <c r="V110" s="202" t="e">
        <f ca="1">IFERROR(ROUND(INDEX(F:F,MATCH($T110,$A:$A,0)),0),INDEX(PREVIVAZ!$C84:$N84,1,MATCH(V$27,PREVIVAZ!$C$1:$N$1,1)))</f>
        <v>#N/A</v>
      </c>
      <c r="W110" s="202" t="e">
        <f ca="1">IFERROR(ROUND(INDEX(G:G,MATCH($T110,$A:$A,0)),0),INDEX(PREVIVAZ!$C84:$N84,1,MATCH(W$27,PREVIVAZ!$C$1:$N$1,1)))</f>
        <v>#N/A</v>
      </c>
      <c r="X110" s="202" t="e">
        <f ca="1">IFERROR(ROUND(INDEX(H:H,MATCH($T110,$A:$A,0)),0),INDEX(PREVIVAZ!$C84:$N84,1,MATCH(X$27,PREVIVAZ!$C$1:$N$1,1)))</f>
        <v>#N/A</v>
      </c>
      <c r="Y110" s="202" t="e">
        <f ca="1">IFERROR(ROUND(INDEX(I:I,MATCH($T110,$A:$A,0)),0),INDEX(PREVIVAZ!$C84:$N84,1,MATCH(Y$27,PREVIVAZ!$C$1:$N$1,1)))</f>
        <v>#N/A</v>
      </c>
      <c r="Z110" s="202" t="e">
        <f ca="1">IFERROR(ROUND(INDEX(J:J,MATCH($T110,$A:$A,0)),0),INDEX(PREVIVAZ!$C84:$N84,1,MATCH(Z$27,PREVIVAZ!$C$1:$N$1,1)))</f>
        <v>#N/A</v>
      </c>
      <c r="AA110" s="202" t="e">
        <f ca="1">IFERROR(ROUND(INDEX(K:K,MATCH($T110,$A:$A,0)),0),INDEX(PREVIVAZ!$C84:$N84,1,MATCH(AA$27,PREVIVAZ!$C$1:$N$1,1)))</f>
        <v>#N/A</v>
      </c>
      <c r="AB110" s="202" t="e">
        <f ca="1">IFERROR(ROUND(INDEX(L:L,MATCH($T110,$A:$A,0)),0),INDEX(PREVIVAZ!$C84:$N84,1,MATCH(AB$27,PREVIVAZ!$C$1:$N$1,1)))</f>
        <v>#N/A</v>
      </c>
      <c r="AC110" s="202" t="e">
        <f ca="1">IFERROR(ROUND(INDEX(M:M,MATCH($T110,$A:$A,0)),0),INDEX(PREVIVAZ!$C84:$N84,1,MATCH(AC$27,PREVIVAZ!$C$1:$N$1,1)))</f>
        <v>#N/A</v>
      </c>
      <c r="AD110" s="202" t="e">
        <f ca="1">IFERROR(ROUND(INDEX(N:N,MATCH($T110,$A:$A,0)),0),INDEX(PREVIVAZ!$C84:$N84,1,MATCH(AD$27,PREVIVAZ!$C$1:$N$1,1)))</f>
        <v>#N/A</v>
      </c>
      <c r="AE110" s="202" t="e">
        <f ca="1">IFERROR(ROUND(INDEX(O:O,MATCH($T110,$A:$A,0)),0),INDEX(PREVIVAZ!$C84:$N84,1,MATCH(AE$27,PREVIVAZ!$C$1:$N$1,1)))</f>
        <v>#N/A</v>
      </c>
      <c r="AF110" s="202" t="e">
        <f ca="1">IFERROR(ROUND(INDEX(P:P,MATCH($T110,$A:$A,0)),0),INDEX(PREVIVAZ!$C84:$N84,1,MATCH(AF$27,PREVIVAZ!$C$1:$N$1,1)))</f>
        <v>#N/A</v>
      </c>
      <c r="AG110" s="202" t="e">
        <f ca="1">IFERROR(ROUND(INDEX(Q:Q,MATCH($T110,$A:$A,0)),0),INDEX(PREVIVAZ!$C84:$N84,1,MATCH(AG$27,PREVIVAZ!$C$1:$N$1,1)))</f>
        <v>#N/A</v>
      </c>
    </row>
    <row r="111" spans="1:33" ht="13.5" thickBot="1" x14ac:dyDescent="0.25">
      <c r="A111" s="264">
        <v>93</v>
      </c>
      <c r="B111" s="261" t="str">
        <f t="shared" si="27"/>
        <v>93_VN</v>
      </c>
      <c r="C111" s="264" t="s">
        <v>176</v>
      </c>
      <c r="D111" s="272">
        <f t="shared" si="28"/>
        <v>93</v>
      </c>
      <c r="E111" s="132">
        <f t="array" aca="1" ref="E111" ca="1">SUM(IFERROR(Propagações_TOT_URUGUAI!$B$7:$BZ$69*(Propagações_TOT_URUGUAI!$B$6:$BZ$6=$B111&amp;"A")*(Propagações_TOT_URUGUAI!$A$7:$A$69&gt;=PREVS_SMAP_DIARIO!E$26)*(Propagações_TOT_URUGUAI!$A$7:$A$69&lt;=PREVS_SMAP_DIARIO!E$27),0))</f>
        <v>10</v>
      </c>
      <c r="F111" s="132">
        <f t="array" aca="1" ref="F111" ca="1">SUM(IFERROR(Propagações_TOT_URUGUAI!$B$7:$BZ$69*(Propagações_TOT_URUGUAI!$B$6:$BZ$6=$B111&amp;"A")*(Propagações_TOT_URUGUAI!$A$7:$A$69&gt;=PREVS_SMAP_DIARIO!F$26)*(Propagações_TOT_URUGUAI!$A$7:$A$69&lt;=PREVS_SMAP_DIARIO!F$27),0))</f>
        <v>0</v>
      </c>
      <c r="G111" s="132">
        <f t="array" aca="1" ref="G111" ca="1">SUM(IFERROR(Propagações_TOT_URUGUAI!$B$7:$BZ$69*(Propagações_TOT_URUGUAI!$B$6:$BZ$6=$B111&amp;"A")*(Propagações_TOT_URUGUAI!$A$7:$A$69&gt;=PREVS_SMAP_DIARIO!G$26)*(Propagações_TOT_URUGUAI!$A$7:$A$69&lt;=PREVS_SMAP_DIARIO!G$27),0))</f>
        <v>0</v>
      </c>
      <c r="H111" s="132">
        <f t="array" aca="1" ref="H111" ca="1">SUM(IFERROR(Propagações_TOT_URUGUAI!$B$7:$BZ$69*(Propagações_TOT_URUGUAI!$B$6:$BZ$6=$B111&amp;"A")*(Propagações_TOT_URUGUAI!$A$7:$A$69&gt;=PREVS_SMAP_DIARIO!H$26)*(Propagações_TOT_URUGUAI!$A$7:$A$69&lt;=PREVS_SMAP_DIARIO!H$27),0))</f>
        <v>0</v>
      </c>
      <c r="I111" s="132">
        <f t="array" aca="1" ref="I111" ca="1">SUM(IFERROR(Propagações_TOT_URUGUAI!$B$7:$BZ$69*(Propagações_TOT_URUGUAI!$B$6:$BZ$6=$B111&amp;"A")*(Propagações_TOT_URUGUAI!$A$7:$A$69&gt;=PREVS_SMAP_DIARIO!I$26)*(Propagações_TOT_URUGUAI!$A$7:$A$69&lt;=PREVS_SMAP_DIARIO!I$27),0))</f>
        <v>0</v>
      </c>
      <c r="J111" s="132">
        <f t="array" aca="1" ref="J111" ca="1">SUM(IFERROR(Propagações_TOT_URUGUAI!$B$7:$BZ$69*(Propagações_TOT_URUGUAI!$B$6:$BZ$6=$B111&amp;"A")*(Propagações_TOT_URUGUAI!$A$7:$A$69&gt;=PREVS_SMAP_DIARIO!J$26)*(Propagações_TOT_URUGUAI!$A$7:$A$69&lt;=PREVS_SMAP_DIARIO!J$27),0))</f>
        <v>0</v>
      </c>
      <c r="K111" s="132">
        <f t="array" aca="1" ref="K111" ca="1">SUM(IFERROR(Propagações_TOT_URUGUAI!$B$7:$BZ$69*(Propagações_TOT_URUGUAI!$B$6:$BZ$6=$B111&amp;"A")*(Propagações_TOT_URUGUAI!$A$7:$A$69&gt;=PREVS_SMAP_DIARIO!K$26)*(Propagações_TOT_URUGUAI!$A$7:$A$69&lt;=PREVS_SMAP_DIARIO!K$27),0))</f>
        <v>0</v>
      </c>
      <c r="L111" s="132">
        <f t="array" aca="1" ref="L111" ca="1">SUM(IFERROR(Propagações_TOT_URUGUAI!$B$7:$BZ$69*(Propagações_TOT_URUGUAI!$B$6:$BZ$6=$B111&amp;"A")*(Propagações_TOT_URUGUAI!$A$7:$A$69&gt;=PREVS_SMAP_DIARIO!L$26)*(Propagações_TOT_URUGUAI!$A$7:$A$69&lt;=PREVS_SMAP_DIARIO!L$27),0))</f>
        <v>0</v>
      </c>
      <c r="M111" s="132">
        <f t="array" aca="1" ref="M111" ca="1">SUM(IFERROR(Propagações_TOT_URUGUAI!$B$7:$BZ$69*(Propagações_TOT_URUGUAI!$B$6:$BZ$6=$B111&amp;"A")*(Propagações_TOT_URUGUAI!$A$7:$A$69&gt;=PREVS_SMAP_DIARIO!M$26)*(Propagações_TOT_URUGUAI!$A$7:$A$69&lt;=PREVS_SMAP_DIARIO!M$27),0))</f>
        <v>0</v>
      </c>
      <c r="N111" s="132">
        <f t="array" aca="1" ref="N111" ca="1">SUM(IFERROR(Propagações_TOT_URUGUAI!$B$7:$BZ$69*(Propagações_TOT_URUGUAI!$B$6:$BZ$6=$B111&amp;"A")*(Propagações_TOT_URUGUAI!$A$7:$A$69&gt;=PREVS_SMAP_DIARIO!N$26)*(Propagações_TOT_URUGUAI!$A$7:$A$69&lt;=PREVS_SMAP_DIARIO!N$27),0))</f>
        <v>0</v>
      </c>
      <c r="O111" s="132">
        <f t="array" aca="1" ref="O111" ca="1">SUM(IFERROR(Propagações_TOT_URUGUAI!$B$7:$BZ$69*(Propagações_TOT_URUGUAI!$B$6:$BZ$6=$B111&amp;"A")*(Propagações_TOT_URUGUAI!$A$7:$A$69&gt;=PREVS_SMAP_DIARIO!O$26)*(Propagações_TOT_URUGUAI!$A$7:$A$69&lt;=PREVS_SMAP_DIARIO!O$27),0))</f>
        <v>0</v>
      </c>
      <c r="P111" s="132">
        <f t="array" aca="1" ref="P111" ca="1">SUM(IFERROR(Propagações_TOT_URUGUAI!$B$7:$BZ$69*(Propagações_TOT_URUGUAI!$B$6:$BZ$6=$B111&amp;"A")*(Propagações_TOT_URUGUAI!$A$7:$A$69&gt;=PREVS_SMAP_DIARIO!P$26)*(Propagações_TOT_URUGUAI!$A$7:$A$69&lt;=PREVS_SMAP_DIARIO!P$27),0))</f>
        <v>0</v>
      </c>
      <c r="Q111" s="132">
        <f t="array" aca="1" ref="Q111" ca="1">SUM(IFERROR(Propagações_TOT_URUGUAI!$B$7:$BZ$69*(Propagações_TOT_URUGUAI!$B$6:$BZ$6=$B111&amp;"A")*(Propagações_TOT_URUGUAI!$A$7:$A$69&gt;=PREVS_SMAP_DIARIO!Q$26)*(Propagações_TOT_URUGUAI!$A$7:$A$69&lt;=PREVS_SMAP_DIARIO!Q$27),0))</f>
        <v>0</v>
      </c>
      <c r="R111"/>
      <c r="S111"/>
      <c r="T111" s="272">
        <v>84</v>
      </c>
      <c r="V111" s="202" t="e">
        <f ca="1">IFERROR(ROUND(INDEX(F:F,MATCH($T111,$A:$A,0)),0),INDEX(PREVIVAZ!$C85:$N85,1,MATCH(V$27,PREVIVAZ!$C$1:$N$1,1)))</f>
        <v>#N/A</v>
      </c>
      <c r="W111" s="202" t="e">
        <f ca="1">IFERROR(ROUND(INDEX(G:G,MATCH($T111,$A:$A,0)),0),INDEX(PREVIVAZ!$C85:$N85,1,MATCH(W$27,PREVIVAZ!$C$1:$N$1,1)))</f>
        <v>#N/A</v>
      </c>
      <c r="X111" s="202" t="e">
        <f ca="1">IFERROR(ROUND(INDEX(H:H,MATCH($T111,$A:$A,0)),0),INDEX(PREVIVAZ!$C85:$N85,1,MATCH(X$27,PREVIVAZ!$C$1:$N$1,1)))</f>
        <v>#N/A</v>
      </c>
      <c r="Y111" s="202" t="e">
        <f ca="1">IFERROR(ROUND(INDEX(I:I,MATCH($T111,$A:$A,0)),0),INDEX(PREVIVAZ!$C85:$N85,1,MATCH(Y$27,PREVIVAZ!$C$1:$N$1,1)))</f>
        <v>#N/A</v>
      </c>
      <c r="Z111" s="202" t="e">
        <f ca="1">IFERROR(ROUND(INDEX(J:J,MATCH($T111,$A:$A,0)),0),INDEX(PREVIVAZ!$C85:$N85,1,MATCH(Z$27,PREVIVAZ!$C$1:$N$1,1)))</f>
        <v>#N/A</v>
      </c>
      <c r="AA111" s="202" t="e">
        <f ca="1">IFERROR(ROUND(INDEX(K:K,MATCH($T111,$A:$A,0)),0),INDEX(PREVIVAZ!$C85:$N85,1,MATCH(AA$27,PREVIVAZ!$C$1:$N$1,1)))</f>
        <v>#N/A</v>
      </c>
      <c r="AB111" s="202" t="e">
        <f ca="1">IFERROR(ROUND(INDEX(L:L,MATCH($T111,$A:$A,0)),0),INDEX(PREVIVAZ!$C85:$N85,1,MATCH(AB$27,PREVIVAZ!$C$1:$N$1,1)))</f>
        <v>#N/A</v>
      </c>
      <c r="AC111" s="202" t="e">
        <f ca="1">IFERROR(ROUND(INDEX(M:M,MATCH($T111,$A:$A,0)),0),INDEX(PREVIVAZ!$C85:$N85,1,MATCH(AC$27,PREVIVAZ!$C$1:$N$1,1)))</f>
        <v>#N/A</v>
      </c>
      <c r="AD111" s="202" t="e">
        <f ca="1">IFERROR(ROUND(INDEX(N:N,MATCH($T111,$A:$A,0)),0),INDEX(PREVIVAZ!$C85:$N85,1,MATCH(AD$27,PREVIVAZ!$C$1:$N$1,1)))</f>
        <v>#N/A</v>
      </c>
      <c r="AE111" s="202" t="e">
        <f ca="1">IFERROR(ROUND(INDEX(O:O,MATCH($T111,$A:$A,0)),0),INDEX(PREVIVAZ!$C85:$N85,1,MATCH(AE$27,PREVIVAZ!$C$1:$N$1,1)))</f>
        <v>#N/A</v>
      </c>
      <c r="AF111" s="202" t="e">
        <f ca="1">IFERROR(ROUND(INDEX(P:P,MATCH($T111,$A:$A,0)),0),INDEX(PREVIVAZ!$C85:$N85,1,MATCH(AF$27,PREVIVAZ!$C$1:$N$1,1)))</f>
        <v>#N/A</v>
      </c>
      <c r="AG111" s="202" t="e">
        <f ca="1">IFERROR(ROUND(INDEX(Q:Q,MATCH($T111,$A:$A,0)),0),INDEX(PREVIVAZ!$C85:$N85,1,MATCH(AG$27,PREVIVAZ!$C$1:$N$1,1)))</f>
        <v>#N/A</v>
      </c>
    </row>
    <row r="112" spans="1:33" ht="13.5" thickBot="1" x14ac:dyDescent="0.25">
      <c r="A112" s="264">
        <v>220</v>
      </c>
      <c r="B112" s="261" t="str">
        <f t="shared" si="27"/>
        <v>220_VN</v>
      </c>
      <c r="C112" s="264" t="s">
        <v>167</v>
      </c>
      <c r="D112" s="272">
        <f t="shared" si="28"/>
        <v>220</v>
      </c>
      <c r="E112" s="132">
        <f t="array" aca="1" ref="E112" ca="1">SUM(IFERROR(Propagações_TOT_URUGUAI!$B$7:$BZ$69*(Propagações_TOT_URUGUAI!$B$6:$BZ$6=$B112&amp;"A")*(Propagações_TOT_URUGUAI!$A$7:$A$69&gt;=PREVS_SMAP_DIARIO!E$26)*(Propagações_TOT_URUGUAI!$A$7:$A$69&lt;=PREVS_SMAP_DIARIO!E$27),0))</f>
        <v>17</v>
      </c>
      <c r="F112" s="132">
        <f t="array" aca="1" ref="F112" ca="1">SUM(IFERROR(Propagações_TOT_URUGUAI!$B$7:$BZ$69*(Propagações_TOT_URUGUAI!$B$6:$BZ$6=$B112&amp;"A")*(Propagações_TOT_URUGUAI!$A$7:$A$69&gt;=PREVS_SMAP_DIARIO!F$26)*(Propagações_TOT_URUGUAI!$A$7:$A$69&lt;=PREVS_SMAP_DIARIO!F$27),0))</f>
        <v>0</v>
      </c>
      <c r="G112" s="132">
        <f t="array" aca="1" ref="G112" ca="1">SUM(IFERROR(Propagações_TOT_URUGUAI!$B$7:$BZ$69*(Propagações_TOT_URUGUAI!$B$6:$BZ$6=$B112&amp;"A")*(Propagações_TOT_URUGUAI!$A$7:$A$69&gt;=PREVS_SMAP_DIARIO!G$26)*(Propagações_TOT_URUGUAI!$A$7:$A$69&lt;=PREVS_SMAP_DIARIO!G$27),0))</f>
        <v>0</v>
      </c>
      <c r="H112" s="132">
        <f t="array" aca="1" ref="H112" ca="1">SUM(IFERROR(Propagações_TOT_URUGUAI!$B$7:$BZ$69*(Propagações_TOT_URUGUAI!$B$6:$BZ$6=$B112&amp;"A")*(Propagações_TOT_URUGUAI!$A$7:$A$69&gt;=PREVS_SMAP_DIARIO!H$26)*(Propagações_TOT_URUGUAI!$A$7:$A$69&lt;=PREVS_SMAP_DIARIO!H$27),0))</f>
        <v>0</v>
      </c>
      <c r="I112" s="132">
        <f t="array" aca="1" ref="I112" ca="1">SUM(IFERROR(Propagações_TOT_URUGUAI!$B$7:$BZ$69*(Propagações_TOT_URUGUAI!$B$6:$BZ$6=$B112&amp;"A")*(Propagações_TOT_URUGUAI!$A$7:$A$69&gt;=PREVS_SMAP_DIARIO!I$26)*(Propagações_TOT_URUGUAI!$A$7:$A$69&lt;=PREVS_SMAP_DIARIO!I$27),0))</f>
        <v>0</v>
      </c>
      <c r="J112" s="132">
        <f t="array" aca="1" ref="J112" ca="1">SUM(IFERROR(Propagações_TOT_URUGUAI!$B$7:$BZ$69*(Propagações_TOT_URUGUAI!$B$6:$BZ$6=$B112&amp;"A")*(Propagações_TOT_URUGUAI!$A$7:$A$69&gt;=PREVS_SMAP_DIARIO!J$26)*(Propagações_TOT_URUGUAI!$A$7:$A$69&lt;=PREVS_SMAP_DIARIO!J$27),0))</f>
        <v>0</v>
      </c>
      <c r="K112" s="132">
        <f t="array" aca="1" ref="K112" ca="1">SUM(IFERROR(Propagações_TOT_URUGUAI!$B$7:$BZ$69*(Propagações_TOT_URUGUAI!$B$6:$BZ$6=$B112&amp;"A")*(Propagações_TOT_URUGUAI!$A$7:$A$69&gt;=PREVS_SMAP_DIARIO!K$26)*(Propagações_TOT_URUGUAI!$A$7:$A$69&lt;=PREVS_SMAP_DIARIO!K$27),0))</f>
        <v>0</v>
      </c>
      <c r="L112" s="132">
        <f t="array" aca="1" ref="L112" ca="1">SUM(IFERROR(Propagações_TOT_URUGUAI!$B$7:$BZ$69*(Propagações_TOT_URUGUAI!$B$6:$BZ$6=$B112&amp;"A")*(Propagações_TOT_URUGUAI!$A$7:$A$69&gt;=PREVS_SMAP_DIARIO!L$26)*(Propagações_TOT_URUGUAI!$A$7:$A$69&lt;=PREVS_SMAP_DIARIO!L$27),0))</f>
        <v>0</v>
      </c>
      <c r="M112" s="132">
        <f t="array" aca="1" ref="M112" ca="1">SUM(IFERROR(Propagações_TOT_URUGUAI!$B$7:$BZ$69*(Propagações_TOT_URUGUAI!$B$6:$BZ$6=$B112&amp;"A")*(Propagações_TOT_URUGUAI!$A$7:$A$69&gt;=PREVS_SMAP_DIARIO!M$26)*(Propagações_TOT_URUGUAI!$A$7:$A$69&lt;=PREVS_SMAP_DIARIO!M$27),0))</f>
        <v>0</v>
      </c>
      <c r="N112" s="132">
        <f t="array" aca="1" ref="N112" ca="1">SUM(IFERROR(Propagações_TOT_URUGUAI!$B$7:$BZ$69*(Propagações_TOT_URUGUAI!$B$6:$BZ$6=$B112&amp;"A")*(Propagações_TOT_URUGUAI!$A$7:$A$69&gt;=PREVS_SMAP_DIARIO!N$26)*(Propagações_TOT_URUGUAI!$A$7:$A$69&lt;=PREVS_SMAP_DIARIO!N$27),0))</f>
        <v>0</v>
      </c>
      <c r="O112" s="132">
        <f t="array" aca="1" ref="O112" ca="1">SUM(IFERROR(Propagações_TOT_URUGUAI!$B$7:$BZ$69*(Propagações_TOT_URUGUAI!$B$6:$BZ$6=$B112&amp;"A")*(Propagações_TOT_URUGUAI!$A$7:$A$69&gt;=PREVS_SMAP_DIARIO!O$26)*(Propagações_TOT_URUGUAI!$A$7:$A$69&lt;=PREVS_SMAP_DIARIO!O$27),0))</f>
        <v>0</v>
      </c>
      <c r="P112" s="132">
        <f t="array" aca="1" ref="P112" ca="1">SUM(IFERROR(Propagações_TOT_URUGUAI!$B$7:$BZ$69*(Propagações_TOT_URUGUAI!$B$6:$BZ$6=$B112&amp;"A")*(Propagações_TOT_URUGUAI!$A$7:$A$69&gt;=PREVS_SMAP_DIARIO!P$26)*(Propagações_TOT_URUGUAI!$A$7:$A$69&lt;=PREVS_SMAP_DIARIO!P$27),0))</f>
        <v>0</v>
      </c>
      <c r="Q112" s="132">
        <f t="array" aca="1" ref="Q112" ca="1">SUM(IFERROR(Propagações_TOT_URUGUAI!$B$7:$BZ$69*(Propagações_TOT_URUGUAI!$B$6:$BZ$6=$B112&amp;"A")*(Propagações_TOT_URUGUAI!$A$7:$A$69&gt;=PREVS_SMAP_DIARIO!Q$26)*(Propagações_TOT_URUGUAI!$A$7:$A$69&lt;=PREVS_SMAP_DIARIO!Q$27),0))</f>
        <v>0</v>
      </c>
      <c r="R112"/>
      <c r="S112"/>
      <c r="T112" s="272">
        <v>85</v>
      </c>
      <c r="V112" s="202" t="e">
        <f ca="1">IFERROR(ROUND(INDEX(F:F,MATCH($T112,$A:$A,0)),0),INDEX(PREVIVAZ!$C86:$N86,1,MATCH(V$27,PREVIVAZ!$C$1:$N$1,1)))</f>
        <v>#N/A</v>
      </c>
      <c r="W112" s="202" t="e">
        <f ca="1">IFERROR(ROUND(INDEX(G:G,MATCH($T112,$A:$A,0)),0),INDEX(PREVIVAZ!$C86:$N86,1,MATCH(W$27,PREVIVAZ!$C$1:$N$1,1)))</f>
        <v>#N/A</v>
      </c>
      <c r="X112" s="202" t="e">
        <f ca="1">IFERROR(ROUND(INDEX(H:H,MATCH($T112,$A:$A,0)),0),INDEX(PREVIVAZ!$C86:$N86,1,MATCH(X$27,PREVIVAZ!$C$1:$N$1,1)))</f>
        <v>#N/A</v>
      </c>
      <c r="Y112" s="202" t="e">
        <f ca="1">IFERROR(ROUND(INDEX(I:I,MATCH($T112,$A:$A,0)),0),INDEX(PREVIVAZ!$C86:$N86,1,MATCH(Y$27,PREVIVAZ!$C$1:$N$1,1)))</f>
        <v>#N/A</v>
      </c>
      <c r="Z112" s="202" t="e">
        <f ca="1">IFERROR(ROUND(INDEX(J:J,MATCH($T112,$A:$A,0)),0),INDEX(PREVIVAZ!$C86:$N86,1,MATCH(Z$27,PREVIVAZ!$C$1:$N$1,1)))</f>
        <v>#N/A</v>
      </c>
      <c r="AA112" s="202" t="e">
        <f ca="1">IFERROR(ROUND(INDEX(K:K,MATCH($T112,$A:$A,0)),0),INDEX(PREVIVAZ!$C86:$N86,1,MATCH(AA$27,PREVIVAZ!$C$1:$N$1,1)))</f>
        <v>#N/A</v>
      </c>
      <c r="AB112" s="202" t="e">
        <f ca="1">IFERROR(ROUND(INDEX(L:L,MATCH($T112,$A:$A,0)),0),INDEX(PREVIVAZ!$C86:$N86,1,MATCH(AB$27,PREVIVAZ!$C$1:$N$1,1)))</f>
        <v>#N/A</v>
      </c>
      <c r="AC112" s="202" t="e">
        <f ca="1">IFERROR(ROUND(INDEX(M:M,MATCH($T112,$A:$A,0)),0),INDEX(PREVIVAZ!$C86:$N86,1,MATCH(AC$27,PREVIVAZ!$C$1:$N$1,1)))</f>
        <v>#N/A</v>
      </c>
      <c r="AD112" s="202" t="e">
        <f ca="1">IFERROR(ROUND(INDEX(N:N,MATCH($T112,$A:$A,0)),0),INDEX(PREVIVAZ!$C86:$N86,1,MATCH(AD$27,PREVIVAZ!$C$1:$N$1,1)))</f>
        <v>#N/A</v>
      </c>
      <c r="AE112" s="202" t="e">
        <f ca="1">IFERROR(ROUND(INDEX(O:O,MATCH($T112,$A:$A,0)),0),INDEX(PREVIVAZ!$C86:$N86,1,MATCH(AE$27,PREVIVAZ!$C$1:$N$1,1)))</f>
        <v>#N/A</v>
      </c>
      <c r="AF112" s="202" t="e">
        <f ca="1">IFERROR(ROUND(INDEX(P:P,MATCH($T112,$A:$A,0)),0),INDEX(PREVIVAZ!$C86:$N86,1,MATCH(AF$27,PREVIVAZ!$C$1:$N$1,1)))</f>
        <v>#N/A</v>
      </c>
      <c r="AG112" s="202" t="e">
        <f ca="1">IFERROR(ROUND(INDEX(Q:Q,MATCH($T112,$A:$A,0)),0),INDEX(PREVIVAZ!$C86:$N86,1,MATCH(AG$27,PREVIVAZ!$C$1:$N$1,1)))</f>
        <v>#N/A</v>
      </c>
    </row>
    <row r="113" spans="1:33" ht="13.5" thickBot="1" x14ac:dyDescent="0.25">
      <c r="A113" s="264">
        <v>94</v>
      </c>
      <c r="B113" s="261" t="str">
        <f t="shared" si="27"/>
        <v>94_VN</v>
      </c>
      <c r="C113" s="264" t="s">
        <v>177</v>
      </c>
      <c r="D113" s="272">
        <f t="shared" si="28"/>
        <v>94</v>
      </c>
      <c r="E113" s="132">
        <f t="array" aca="1" ref="E113" ca="1">SUM(IFERROR(Propagações_TOT_URUGUAI!$B$7:$BZ$69*(Propagações_TOT_URUGUAI!$B$6:$BZ$6=$B113&amp;"A")*(Propagações_TOT_URUGUAI!$A$7:$A$69&gt;=PREVS_SMAP_DIARIO!E$26)*(Propagações_TOT_URUGUAI!$A$7:$A$69&lt;=PREVS_SMAP_DIARIO!E$27),0))</f>
        <v>313</v>
      </c>
      <c r="F113" s="132">
        <f t="array" aca="1" ref="F113" ca="1">SUM(IFERROR(Propagações_TOT_URUGUAI!$B$7:$BZ$69*(Propagações_TOT_URUGUAI!$B$6:$BZ$6=$B113&amp;"A")*(Propagações_TOT_URUGUAI!$A$7:$A$69&gt;=PREVS_SMAP_DIARIO!F$26)*(Propagações_TOT_URUGUAI!$A$7:$A$69&lt;=PREVS_SMAP_DIARIO!F$27),0))</f>
        <v>0</v>
      </c>
      <c r="G113" s="132">
        <f t="array" aca="1" ref="G113" ca="1">SUM(IFERROR(Propagações_TOT_URUGUAI!$B$7:$BZ$69*(Propagações_TOT_URUGUAI!$B$6:$BZ$6=$B113&amp;"A")*(Propagações_TOT_URUGUAI!$A$7:$A$69&gt;=PREVS_SMAP_DIARIO!G$26)*(Propagações_TOT_URUGUAI!$A$7:$A$69&lt;=PREVS_SMAP_DIARIO!G$27),0))</f>
        <v>0</v>
      </c>
      <c r="H113" s="132">
        <f t="array" aca="1" ref="H113" ca="1">SUM(IFERROR(Propagações_TOT_URUGUAI!$B$7:$BZ$69*(Propagações_TOT_URUGUAI!$B$6:$BZ$6=$B113&amp;"A")*(Propagações_TOT_URUGUAI!$A$7:$A$69&gt;=PREVS_SMAP_DIARIO!H$26)*(Propagações_TOT_URUGUAI!$A$7:$A$69&lt;=PREVS_SMAP_DIARIO!H$27),0))</f>
        <v>0</v>
      </c>
      <c r="I113" s="132">
        <f t="array" aca="1" ref="I113" ca="1">SUM(IFERROR(Propagações_TOT_URUGUAI!$B$7:$BZ$69*(Propagações_TOT_URUGUAI!$B$6:$BZ$6=$B113&amp;"A")*(Propagações_TOT_URUGUAI!$A$7:$A$69&gt;=PREVS_SMAP_DIARIO!I$26)*(Propagações_TOT_URUGUAI!$A$7:$A$69&lt;=PREVS_SMAP_DIARIO!I$27),0))</f>
        <v>0</v>
      </c>
      <c r="J113" s="132">
        <f t="array" aca="1" ref="J113" ca="1">SUM(IFERROR(Propagações_TOT_URUGUAI!$B$7:$BZ$69*(Propagações_TOT_URUGUAI!$B$6:$BZ$6=$B113&amp;"A")*(Propagações_TOT_URUGUAI!$A$7:$A$69&gt;=PREVS_SMAP_DIARIO!J$26)*(Propagações_TOT_URUGUAI!$A$7:$A$69&lt;=PREVS_SMAP_DIARIO!J$27),0))</f>
        <v>0</v>
      </c>
      <c r="K113" s="132">
        <f t="array" aca="1" ref="K113" ca="1">SUM(IFERROR(Propagações_TOT_URUGUAI!$B$7:$BZ$69*(Propagações_TOT_URUGUAI!$B$6:$BZ$6=$B113&amp;"A")*(Propagações_TOT_URUGUAI!$A$7:$A$69&gt;=PREVS_SMAP_DIARIO!K$26)*(Propagações_TOT_URUGUAI!$A$7:$A$69&lt;=PREVS_SMAP_DIARIO!K$27),0))</f>
        <v>0</v>
      </c>
      <c r="L113" s="132">
        <f t="array" aca="1" ref="L113" ca="1">SUM(IFERROR(Propagações_TOT_URUGUAI!$B$7:$BZ$69*(Propagações_TOT_URUGUAI!$B$6:$BZ$6=$B113&amp;"A")*(Propagações_TOT_URUGUAI!$A$7:$A$69&gt;=PREVS_SMAP_DIARIO!L$26)*(Propagações_TOT_URUGUAI!$A$7:$A$69&lt;=PREVS_SMAP_DIARIO!L$27),0))</f>
        <v>0</v>
      </c>
      <c r="M113" s="132">
        <f t="array" aca="1" ref="M113" ca="1">SUM(IFERROR(Propagações_TOT_URUGUAI!$B$7:$BZ$69*(Propagações_TOT_URUGUAI!$B$6:$BZ$6=$B113&amp;"A")*(Propagações_TOT_URUGUAI!$A$7:$A$69&gt;=PREVS_SMAP_DIARIO!M$26)*(Propagações_TOT_URUGUAI!$A$7:$A$69&lt;=PREVS_SMAP_DIARIO!M$27),0))</f>
        <v>0</v>
      </c>
      <c r="N113" s="132">
        <f t="array" aca="1" ref="N113" ca="1">SUM(IFERROR(Propagações_TOT_URUGUAI!$B$7:$BZ$69*(Propagações_TOT_URUGUAI!$B$6:$BZ$6=$B113&amp;"A")*(Propagações_TOT_URUGUAI!$A$7:$A$69&gt;=PREVS_SMAP_DIARIO!N$26)*(Propagações_TOT_URUGUAI!$A$7:$A$69&lt;=PREVS_SMAP_DIARIO!N$27),0))</f>
        <v>0</v>
      </c>
      <c r="O113" s="132">
        <f t="array" aca="1" ref="O113" ca="1">SUM(IFERROR(Propagações_TOT_URUGUAI!$B$7:$BZ$69*(Propagações_TOT_URUGUAI!$B$6:$BZ$6=$B113&amp;"A")*(Propagações_TOT_URUGUAI!$A$7:$A$69&gt;=PREVS_SMAP_DIARIO!O$26)*(Propagações_TOT_URUGUAI!$A$7:$A$69&lt;=PREVS_SMAP_DIARIO!O$27),0))</f>
        <v>0</v>
      </c>
      <c r="P113" s="132">
        <f t="array" aca="1" ref="P113" ca="1">SUM(IFERROR(Propagações_TOT_URUGUAI!$B$7:$BZ$69*(Propagações_TOT_URUGUAI!$B$6:$BZ$6=$B113&amp;"A")*(Propagações_TOT_URUGUAI!$A$7:$A$69&gt;=PREVS_SMAP_DIARIO!P$26)*(Propagações_TOT_URUGUAI!$A$7:$A$69&lt;=PREVS_SMAP_DIARIO!P$27),0))</f>
        <v>0</v>
      </c>
      <c r="Q113" s="132">
        <f t="array" aca="1" ref="Q113" ca="1">SUM(IFERROR(Propagações_TOT_URUGUAI!$B$7:$BZ$69*(Propagações_TOT_URUGUAI!$B$6:$BZ$6=$B113&amp;"A")*(Propagações_TOT_URUGUAI!$A$7:$A$69&gt;=PREVS_SMAP_DIARIO!Q$26)*(Propagações_TOT_URUGUAI!$A$7:$A$69&lt;=PREVS_SMAP_DIARIO!Q$27),0))</f>
        <v>0</v>
      </c>
      <c r="R113"/>
      <c r="S113"/>
      <c r="T113" s="272">
        <v>86</v>
      </c>
      <c r="V113" s="202" t="e">
        <f ca="1">IFERROR(ROUND(INDEX(F:F,MATCH($T113,$A:$A,0)),0),INDEX(PREVIVAZ!$C87:$N87,1,MATCH(V$27,PREVIVAZ!$C$1:$N$1,1)))</f>
        <v>#N/A</v>
      </c>
      <c r="W113" s="202" t="e">
        <f ca="1">IFERROR(ROUND(INDEX(G:G,MATCH($T113,$A:$A,0)),0),INDEX(PREVIVAZ!$C87:$N87,1,MATCH(W$27,PREVIVAZ!$C$1:$N$1,1)))</f>
        <v>#N/A</v>
      </c>
      <c r="X113" s="202" t="e">
        <f ca="1">IFERROR(ROUND(INDEX(H:H,MATCH($T113,$A:$A,0)),0),INDEX(PREVIVAZ!$C87:$N87,1,MATCH(X$27,PREVIVAZ!$C$1:$N$1,1)))</f>
        <v>#N/A</v>
      </c>
      <c r="Y113" s="202" t="e">
        <f ca="1">IFERROR(ROUND(INDEX(I:I,MATCH($T113,$A:$A,0)),0),INDEX(PREVIVAZ!$C87:$N87,1,MATCH(Y$27,PREVIVAZ!$C$1:$N$1,1)))</f>
        <v>#N/A</v>
      </c>
      <c r="Z113" s="202" t="e">
        <f ca="1">IFERROR(ROUND(INDEX(J:J,MATCH($T113,$A:$A,0)),0),INDEX(PREVIVAZ!$C87:$N87,1,MATCH(Z$27,PREVIVAZ!$C$1:$N$1,1)))</f>
        <v>#N/A</v>
      </c>
      <c r="AA113" s="202" t="e">
        <f ca="1">IFERROR(ROUND(INDEX(K:K,MATCH($T113,$A:$A,0)),0),INDEX(PREVIVAZ!$C87:$N87,1,MATCH(AA$27,PREVIVAZ!$C$1:$N$1,1)))</f>
        <v>#N/A</v>
      </c>
      <c r="AB113" s="202" t="e">
        <f ca="1">IFERROR(ROUND(INDEX(L:L,MATCH($T113,$A:$A,0)),0),INDEX(PREVIVAZ!$C87:$N87,1,MATCH(AB$27,PREVIVAZ!$C$1:$N$1,1)))</f>
        <v>#N/A</v>
      </c>
      <c r="AC113" s="202" t="e">
        <f ca="1">IFERROR(ROUND(INDEX(M:M,MATCH($T113,$A:$A,0)),0),INDEX(PREVIVAZ!$C87:$N87,1,MATCH(AC$27,PREVIVAZ!$C$1:$N$1,1)))</f>
        <v>#N/A</v>
      </c>
      <c r="AD113" s="202" t="e">
        <f ca="1">IFERROR(ROUND(INDEX(N:N,MATCH($T113,$A:$A,0)),0),INDEX(PREVIVAZ!$C87:$N87,1,MATCH(AD$27,PREVIVAZ!$C$1:$N$1,1)))</f>
        <v>#N/A</v>
      </c>
      <c r="AE113" s="202" t="e">
        <f ca="1">IFERROR(ROUND(INDEX(O:O,MATCH($T113,$A:$A,0)),0),INDEX(PREVIVAZ!$C87:$N87,1,MATCH(AE$27,PREVIVAZ!$C$1:$N$1,1)))</f>
        <v>#N/A</v>
      </c>
      <c r="AF113" s="202" t="e">
        <f ca="1">IFERROR(ROUND(INDEX(P:P,MATCH($T113,$A:$A,0)),0),INDEX(PREVIVAZ!$C87:$N87,1,MATCH(AF$27,PREVIVAZ!$C$1:$N$1,1)))</f>
        <v>#N/A</v>
      </c>
      <c r="AG113" s="202" t="e">
        <f ca="1">IFERROR(ROUND(INDEX(Q:Q,MATCH($T113,$A:$A,0)),0),INDEX(PREVIVAZ!$C87:$N87,1,MATCH(AG$27,PREVIVAZ!$C$1:$N$1,1)))</f>
        <v>#N/A</v>
      </c>
    </row>
    <row r="114" spans="1:33" ht="13.5" thickBot="1" x14ac:dyDescent="0.25">
      <c r="A114" s="264">
        <v>286</v>
      </c>
      <c r="B114" s="261" t="str">
        <f t="shared" si="27"/>
        <v>286_VN</v>
      </c>
      <c r="C114" s="264" t="s">
        <v>178</v>
      </c>
      <c r="D114" s="272">
        <f t="shared" si="28"/>
        <v>286</v>
      </c>
      <c r="E114" s="132">
        <f t="array" aca="1" ref="E114" ca="1">SUM(IFERROR(Propagações_TOT_URUGUAI!$B$7:$BZ$69*(Propagações_TOT_URUGUAI!$B$6:$BZ$6=$B114&amp;"A")*(Propagações_TOT_URUGUAI!$A$7:$A$69&gt;=PREVS_SMAP_DIARIO!E$26)*(Propagações_TOT_URUGUAI!$A$7:$A$69&lt;=PREVS_SMAP_DIARIO!E$27),0))</f>
        <v>26</v>
      </c>
      <c r="F114" s="132">
        <f t="array" aca="1" ref="F114" ca="1">SUM(IFERROR(Propagações_TOT_URUGUAI!$B$7:$BZ$69*(Propagações_TOT_URUGUAI!$B$6:$BZ$6=$B114&amp;"A")*(Propagações_TOT_URUGUAI!$A$7:$A$69&gt;=PREVS_SMAP_DIARIO!F$26)*(Propagações_TOT_URUGUAI!$A$7:$A$69&lt;=PREVS_SMAP_DIARIO!F$27),0))</f>
        <v>0</v>
      </c>
      <c r="G114" s="132">
        <f t="array" aca="1" ref="G114" ca="1">SUM(IFERROR(Propagações_TOT_URUGUAI!$B$7:$BZ$69*(Propagações_TOT_URUGUAI!$B$6:$BZ$6=$B114&amp;"A")*(Propagações_TOT_URUGUAI!$A$7:$A$69&gt;=PREVS_SMAP_DIARIO!G$26)*(Propagações_TOT_URUGUAI!$A$7:$A$69&lt;=PREVS_SMAP_DIARIO!G$27),0))</f>
        <v>0</v>
      </c>
      <c r="H114" s="132">
        <f t="array" aca="1" ref="H114" ca="1">SUM(IFERROR(Propagações_TOT_URUGUAI!$B$7:$BZ$69*(Propagações_TOT_URUGUAI!$B$6:$BZ$6=$B114&amp;"A")*(Propagações_TOT_URUGUAI!$A$7:$A$69&gt;=PREVS_SMAP_DIARIO!H$26)*(Propagações_TOT_URUGUAI!$A$7:$A$69&lt;=PREVS_SMAP_DIARIO!H$27),0))</f>
        <v>0</v>
      </c>
      <c r="I114" s="132">
        <f t="array" aca="1" ref="I114" ca="1">SUM(IFERROR(Propagações_TOT_URUGUAI!$B$7:$BZ$69*(Propagações_TOT_URUGUAI!$B$6:$BZ$6=$B114&amp;"A")*(Propagações_TOT_URUGUAI!$A$7:$A$69&gt;=PREVS_SMAP_DIARIO!I$26)*(Propagações_TOT_URUGUAI!$A$7:$A$69&lt;=PREVS_SMAP_DIARIO!I$27),0))</f>
        <v>0</v>
      </c>
      <c r="J114" s="132">
        <f t="array" aca="1" ref="J114" ca="1">SUM(IFERROR(Propagações_TOT_URUGUAI!$B$7:$BZ$69*(Propagações_TOT_URUGUAI!$B$6:$BZ$6=$B114&amp;"A")*(Propagações_TOT_URUGUAI!$A$7:$A$69&gt;=PREVS_SMAP_DIARIO!J$26)*(Propagações_TOT_URUGUAI!$A$7:$A$69&lt;=PREVS_SMAP_DIARIO!J$27),0))</f>
        <v>0</v>
      </c>
      <c r="K114" s="132">
        <f t="array" aca="1" ref="K114" ca="1">SUM(IFERROR(Propagações_TOT_URUGUAI!$B$7:$BZ$69*(Propagações_TOT_URUGUAI!$B$6:$BZ$6=$B114&amp;"A")*(Propagações_TOT_URUGUAI!$A$7:$A$69&gt;=PREVS_SMAP_DIARIO!K$26)*(Propagações_TOT_URUGUAI!$A$7:$A$69&lt;=PREVS_SMAP_DIARIO!K$27),0))</f>
        <v>0</v>
      </c>
      <c r="L114" s="132">
        <f t="array" aca="1" ref="L114" ca="1">SUM(IFERROR(Propagações_TOT_URUGUAI!$B$7:$BZ$69*(Propagações_TOT_URUGUAI!$B$6:$BZ$6=$B114&amp;"A")*(Propagações_TOT_URUGUAI!$A$7:$A$69&gt;=PREVS_SMAP_DIARIO!L$26)*(Propagações_TOT_URUGUAI!$A$7:$A$69&lt;=PREVS_SMAP_DIARIO!L$27),0))</f>
        <v>0</v>
      </c>
      <c r="M114" s="132">
        <f t="array" aca="1" ref="M114" ca="1">SUM(IFERROR(Propagações_TOT_URUGUAI!$B$7:$BZ$69*(Propagações_TOT_URUGUAI!$B$6:$BZ$6=$B114&amp;"A")*(Propagações_TOT_URUGUAI!$A$7:$A$69&gt;=PREVS_SMAP_DIARIO!M$26)*(Propagações_TOT_URUGUAI!$A$7:$A$69&lt;=PREVS_SMAP_DIARIO!M$27),0))</f>
        <v>0</v>
      </c>
      <c r="N114" s="132">
        <f t="array" aca="1" ref="N114" ca="1">SUM(IFERROR(Propagações_TOT_URUGUAI!$B$7:$BZ$69*(Propagações_TOT_URUGUAI!$B$6:$BZ$6=$B114&amp;"A")*(Propagações_TOT_URUGUAI!$A$7:$A$69&gt;=PREVS_SMAP_DIARIO!N$26)*(Propagações_TOT_URUGUAI!$A$7:$A$69&lt;=PREVS_SMAP_DIARIO!N$27),0))</f>
        <v>0</v>
      </c>
      <c r="O114" s="132">
        <f t="array" aca="1" ref="O114" ca="1">SUM(IFERROR(Propagações_TOT_URUGUAI!$B$7:$BZ$69*(Propagações_TOT_URUGUAI!$B$6:$BZ$6=$B114&amp;"A")*(Propagações_TOT_URUGUAI!$A$7:$A$69&gt;=PREVS_SMAP_DIARIO!O$26)*(Propagações_TOT_URUGUAI!$A$7:$A$69&lt;=PREVS_SMAP_DIARIO!O$27),0))</f>
        <v>0</v>
      </c>
      <c r="P114" s="132">
        <f t="array" aca="1" ref="P114" ca="1">SUM(IFERROR(Propagações_TOT_URUGUAI!$B$7:$BZ$69*(Propagações_TOT_URUGUAI!$B$6:$BZ$6=$B114&amp;"A")*(Propagações_TOT_URUGUAI!$A$7:$A$69&gt;=PREVS_SMAP_DIARIO!P$26)*(Propagações_TOT_URUGUAI!$A$7:$A$69&lt;=PREVS_SMAP_DIARIO!P$27),0))</f>
        <v>0</v>
      </c>
      <c r="Q114" s="132">
        <f t="array" aca="1" ref="Q114" ca="1">SUM(IFERROR(Propagações_TOT_URUGUAI!$B$7:$BZ$69*(Propagações_TOT_URUGUAI!$B$6:$BZ$6=$B114&amp;"A")*(Propagações_TOT_URUGUAI!$A$7:$A$69&gt;=PREVS_SMAP_DIARIO!Q$26)*(Propagações_TOT_URUGUAI!$A$7:$A$69&lt;=PREVS_SMAP_DIARIO!Q$27),0))</f>
        <v>0</v>
      </c>
      <c r="R114"/>
      <c r="S114"/>
      <c r="T114" s="272">
        <v>87</v>
      </c>
      <c r="V114" s="202" t="e">
        <f ca="1">IFERROR(ROUND(INDEX(F:F,MATCH($T114,$A:$A,0)),0),INDEX(PREVIVAZ!$C88:$N88,1,MATCH(V$27,PREVIVAZ!$C$1:$N$1,1)))</f>
        <v>#N/A</v>
      </c>
      <c r="W114" s="202" t="e">
        <f ca="1">IFERROR(ROUND(INDEX(G:G,MATCH($T114,$A:$A,0)),0),INDEX(PREVIVAZ!$C88:$N88,1,MATCH(W$27,PREVIVAZ!$C$1:$N$1,1)))</f>
        <v>#N/A</v>
      </c>
      <c r="X114" s="202" t="e">
        <f ca="1">IFERROR(ROUND(INDEX(H:H,MATCH($T114,$A:$A,0)),0),INDEX(PREVIVAZ!$C88:$N88,1,MATCH(X$27,PREVIVAZ!$C$1:$N$1,1)))</f>
        <v>#N/A</v>
      </c>
      <c r="Y114" s="202" t="e">
        <f ca="1">IFERROR(ROUND(INDEX(I:I,MATCH($T114,$A:$A,0)),0),INDEX(PREVIVAZ!$C88:$N88,1,MATCH(Y$27,PREVIVAZ!$C$1:$N$1,1)))</f>
        <v>#N/A</v>
      </c>
      <c r="Z114" s="202" t="e">
        <f ca="1">IFERROR(ROUND(INDEX(J:J,MATCH($T114,$A:$A,0)),0),INDEX(PREVIVAZ!$C88:$N88,1,MATCH(Z$27,PREVIVAZ!$C$1:$N$1,1)))</f>
        <v>#N/A</v>
      </c>
      <c r="AA114" s="202" t="e">
        <f ca="1">IFERROR(ROUND(INDEX(K:K,MATCH($T114,$A:$A,0)),0),INDEX(PREVIVAZ!$C88:$N88,1,MATCH(AA$27,PREVIVAZ!$C$1:$N$1,1)))</f>
        <v>#N/A</v>
      </c>
      <c r="AB114" s="202" t="e">
        <f ca="1">IFERROR(ROUND(INDEX(L:L,MATCH($T114,$A:$A,0)),0),INDEX(PREVIVAZ!$C88:$N88,1,MATCH(AB$27,PREVIVAZ!$C$1:$N$1,1)))</f>
        <v>#N/A</v>
      </c>
      <c r="AC114" s="202" t="e">
        <f ca="1">IFERROR(ROUND(INDEX(M:M,MATCH($T114,$A:$A,0)),0),INDEX(PREVIVAZ!$C88:$N88,1,MATCH(AC$27,PREVIVAZ!$C$1:$N$1,1)))</f>
        <v>#N/A</v>
      </c>
      <c r="AD114" s="202" t="e">
        <f ca="1">IFERROR(ROUND(INDEX(N:N,MATCH($T114,$A:$A,0)),0),INDEX(PREVIVAZ!$C88:$N88,1,MATCH(AD$27,PREVIVAZ!$C$1:$N$1,1)))</f>
        <v>#N/A</v>
      </c>
      <c r="AE114" s="202" t="e">
        <f ca="1">IFERROR(ROUND(INDEX(O:O,MATCH($T114,$A:$A,0)),0),INDEX(PREVIVAZ!$C88:$N88,1,MATCH(AE$27,PREVIVAZ!$C$1:$N$1,1)))</f>
        <v>#N/A</v>
      </c>
      <c r="AF114" s="202" t="e">
        <f ca="1">IFERROR(ROUND(INDEX(P:P,MATCH($T114,$A:$A,0)),0),INDEX(PREVIVAZ!$C88:$N88,1,MATCH(AF$27,PREVIVAZ!$C$1:$N$1,1)))</f>
        <v>#N/A</v>
      </c>
      <c r="AG114" s="202" t="e">
        <f ca="1">IFERROR(ROUND(INDEX(Q:Q,MATCH($T114,$A:$A,0)),0),INDEX(PREVIVAZ!$C88:$N88,1,MATCH(AG$27,PREVIVAZ!$C$1:$N$1,1)))</f>
        <v>#N/A</v>
      </c>
    </row>
    <row r="115" spans="1:33" ht="13.5" thickBot="1" x14ac:dyDescent="0.25">
      <c r="A115" s="264">
        <v>102</v>
      </c>
      <c r="B115" s="261" t="str">
        <f t="shared" si="27"/>
        <v>102_VN</v>
      </c>
      <c r="C115" s="264" t="s">
        <v>179</v>
      </c>
      <c r="D115" s="272">
        <f t="shared" si="28"/>
        <v>102</v>
      </c>
      <c r="E115" s="132">
        <f t="array" aca="1" ref="E115" ca="1">SUM(IFERROR(Propagações_TOT_URUGUAI!$B$7:$BZ$69*(Propagações_TOT_URUGUAI!$B$6:$BZ$6=$B115&amp;"A")*(Propagações_TOT_URUGUAI!$A$7:$A$69&gt;=PREVS_SMAP_DIARIO!E$26)*(Propagações_TOT_URUGUAI!$A$7:$A$69&lt;=PREVS_SMAP_DIARIO!E$27),0))</f>
        <v>79</v>
      </c>
      <c r="F115" s="132">
        <f t="array" aca="1" ref="F115" ca="1">SUM(IFERROR(Propagações_TOT_URUGUAI!$B$7:$BZ$69*(Propagações_TOT_URUGUAI!$B$6:$BZ$6=$B115&amp;"A")*(Propagações_TOT_URUGUAI!$A$7:$A$69&gt;=PREVS_SMAP_DIARIO!F$26)*(Propagações_TOT_URUGUAI!$A$7:$A$69&lt;=PREVS_SMAP_DIARIO!F$27),0))</f>
        <v>0</v>
      </c>
      <c r="G115" s="132">
        <f t="array" aca="1" ref="G115" ca="1">SUM(IFERROR(Propagações_TOT_URUGUAI!$B$7:$BZ$69*(Propagações_TOT_URUGUAI!$B$6:$BZ$6=$B115&amp;"A")*(Propagações_TOT_URUGUAI!$A$7:$A$69&gt;=PREVS_SMAP_DIARIO!G$26)*(Propagações_TOT_URUGUAI!$A$7:$A$69&lt;=PREVS_SMAP_DIARIO!G$27),0))</f>
        <v>0</v>
      </c>
      <c r="H115" s="132">
        <f t="array" aca="1" ref="H115" ca="1">SUM(IFERROR(Propagações_TOT_URUGUAI!$B$7:$BZ$69*(Propagações_TOT_URUGUAI!$B$6:$BZ$6=$B115&amp;"A")*(Propagações_TOT_URUGUAI!$A$7:$A$69&gt;=PREVS_SMAP_DIARIO!H$26)*(Propagações_TOT_URUGUAI!$A$7:$A$69&lt;=PREVS_SMAP_DIARIO!H$27),0))</f>
        <v>0</v>
      </c>
      <c r="I115" s="132">
        <f t="array" aca="1" ref="I115" ca="1">SUM(IFERROR(Propagações_TOT_URUGUAI!$B$7:$BZ$69*(Propagações_TOT_URUGUAI!$B$6:$BZ$6=$B115&amp;"A")*(Propagações_TOT_URUGUAI!$A$7:$A$69&gt;=PREVS_SMAP_DIARIO!I$26)*(Propagações_TOT_URUGUAI!$A$7:$A$69&lt;=PREVS_SMAP_DIARIO!I$27),0))</f>
        <v>0</v>
      </c>
      <c r="J115" s="132">
        <f t="array" aca="1" ref="J115" ca="1">SUM(IFERROR(Propagações_TOT_URUGUAI!$B$7:$BZ$69*(Propagações_TOT_URUGUAI!$B$6:$BZ$6=$B115&amp;"A")*(Propagações_TOT_URUGUAI!$A$7:$A$69&gt;=PREVS_SMAP_DIARIO!J$26)*(Propagações_TOT_URUGUAI!$A$7:$A$69&lt;=PREVS_SMAP_DIARIO!J$27),0))</f>
        <v>0</v>
      </c>
      <c r="K115" s="132">
        <f t="array" aca="1" ref="K115" ca="1">SUM(IFERROR(Propagações_TOT_URUGUAI!$B$7:$BZ$69*(Propagações_TOT_URUGUAI!$B$6:$BZ$6=$B115&amp;"A")*(Propagações_TOT_URUGUAI!$A$7:$A$69&gt;=PREVS_SMAP_DIARIO!K$26)*(Propagações_TOT_URUGUAI!$A$7:$A$69&lt;=PREVS_SMAP_DIARIO!K$27),0))</f>
        <v>0</v>
      </c>
      <c r="L115" s="132">
        <f t="array" aca="1" ref="L115" ca="1">SUM(IFERROR(Propagações_TOT_URUGUAI!$B$7:$BZ$69*(Propagações_TOT_URUGUAI!$B$6:$BZ$6=$B115&amp;"A")*(Propagações_TOT_URUGUAI!$A$7:$A$69&gt;=PREVS_SMAP_DIARIO!L$26)*(Propagações_TOT_URUGUAI!$A$7:$A$69&lt;=PREVS_SMAP_DIARIO!L$27),0))</f>
        <v>0</v>
      </c>
      <c r="M115" s="132">
        <f t="array" aca="1" ref="M115" ca="1">SUM(IFERROR(Propagações_TOT_URUGUAI!$B$7:$BZ$69*(Propagações_TOT_URUGUAI!$B$6:$BZ$6=$B115&amp;"A")*(Propagações_TOT_URUGUAI!$A$7:$A$69&gt;=PREVS_SMAP_DIARIO!M$26)*(Propagações_TOT_URUGUAI!$A$7:$A$69&lt;=PREVS_SMAP_DIARIO!M$27),0))</f>
        <v>0</v>
      </c>
      <c r="N115" s="132">
        <f t="array" aca="1" ref="N115" ca="1">SUM(IFERROR(Propagações_TOT_URUGUAI!$B$7:$BZ$69*(Propagações_TOT_URUGUAI!$B$6:$BZ$6=$B115&amp;"A")*(Propagações_TOT_URUGUAI!$A$7:$A$69&gt;=PREVS_SMAP_DIARIO!N$26)*(Propagações_TOT_URUGUAI!$A$7:$A$69&lt;=PREVS_SMAP_DIARIO!N$27),0))</f>
        <v>0</v>
      </c>
      <c r="O115" s="132">
        <f t="array" aca="1" ref="O115" ca="1">SUM(IFERROR(Propagações_TOT_URUGUAI!$B$7:$BZ$69*(Propagações_TOT_URUGUAI!$B$6:$BZ$6=$B115&amp;"A")*(Propagações_TOT_URUGUAI!$A$7:$A$69&gt;=PREVS_SMAP_DIARIO!O$26)*(Propagações_TOT_URUGUAI!$A$7:$A$69&lt;=PREVS_SMAP_DIARIO!O$27),0))</f>
        <v>0</v>
      </c>
      <c r="P115" s="132">
        <f t="array" aca="1" ref="P115" ca="1">SUM(IFERROR(Propagações_TOT_URUGUAI!$B$7:$BZ$69*(Propagações_TOT_URUGUAI!$B$6:$BZ$6=$B115&amp;"A")*(Propagações_TOT_URUGUAI!$A$7:$A$69&gt;=PREVS_SMAP_DIARIO!P$26)*(Propagações_TOT_URUGUAI!$A$7:$A$69&lt;=PREVS_SMAP_DIARIO!P$27),0))</f>
        <v>0</v>
      </c>
      <c r="Q115" s="132">
        <f t="array" aca="1" ref="Q115" ca="1">SUM(IFERROR(Propagações_TOT_URUGUAI!$B$7:$BZ$69*(Propagações_TOT_URUGUAI!$B$6:$BZ$6=$B115&amp;"A")*(Propagações_TOT_URUGUAI!$A$7:$A$69&gt;=PREVS_SMAP_DIARIO!Q$26)*(Propagações_TOT_URUGUAI!$A$7:$A$69&lt;=PREVS_SMAP_DIARIO!Q$27),0))</f>
        <v>0</v>
      </c>
      <c r="R115"/>
      <c r="S115"/>
      <c r="T115" s="272">
        <v>88</v>
      </c>
      <c r="V115" s="202" t="e">
        <f ca="1">IFERROR(ROUND(INDEX(F:F,MATCH($T115,$A:$A,0)),0),INDEX(PREVIVAZ!$C89:$N89,1,MATCH(V$27,PREVIVAZ!$C$1:$N$1,1)))</f>
        <v>#N/A</v>
      </c>
      <c r="W115" s="202" t="e">
        <f ca="1">IFERROR(ROUND(INDEX(G:G,MATCH($T115,$A:$A,0)),0),INDEX(PREVIVAZ!$C89:$N89,1,MATCH(W$27,PREVIVAZ!$C$1:$N$1,1)))</f>
        <v>#N/A</v>
      </c>
      <c r="X115" s="202" t="e">
        <f ca="1">IFERROR(ROUND(INDEX(H:H,MATCH($T115,$A:$A,0)),0),INDEX(PREVIVAZ!$C89:$N89,1,MATCH(X$27,PREVIVAZ!$C$1:$N$1,1)))</f>
        <v>#N/A</v>
      </c>
      <c r="Y115" s="202" t="e">
        <f ca="1">IFERROR(ROUND(INDEX(I:I,MATCH($T115,$A:$A,0)),0),INDEX(PREVIVAZ!$C89:$N89,1,MATCH(Y$27,PREVIVAZ!$C$1:$N$1,1)))</f>
        <v>#N/A</v>
      </c>
      <c r="Z115" s="202" t="e">
        <f ca="1">IFERROR(ROUND(INDEX(J:J,MATCH($T115,$A:$A,0)),0),INDEX(PREVIVAZ!$C89:$N89,1,MATCH(Z$27,PREVIVAZ!$C$1:$N$1,1)))</f>
        <v>#N/A</v>
      </c>
      <c r="AA115" s="202" t="e">
        <f ca="1">IFERROR(ROUND(INDEX(K:K,MATCH($T115,$A:$A,0)),0),INDEX(PREVIVAZ!$C89:$N89,1,MATCH(AA$27,PREVIVAZ!$C$1:$N$1,1)))</f>
        <v>#N/A</v>
      </c>
      <c r="AB115" s="202" t="e">
        <f ca="1">IFERROR(ROUND(INDEX(L:L,MATCH($T115,$A:$A,0)),0),INDEX(PREVIVAZ!$C89:$N89,1,MATCH(AB$27,PREVIVAZ!$C$1:$N$1,1)))</f>
        <v>#N/A</v>
      </c>
      <c r="AC115" s="202" t="e">
        <f ca="1">IFERROR(ROUND(INDEX(M:M,MATCH($T115,$A:$A,0)),0),INDEX(PREVIVAZ!$C89:$N89,1,MATCH(AC$27,PREVIVAZ!$C$1:$N$1,1)))</f>
        <v>#N/A</v>
      </c>
      <c r="AD115" s="202" t="e">
        <f ca="1">IFERROR(ROUND(INDEX(N:N,MATCH($T115,$A:$A,0)),0),INDEX(PREVIVAZ!$C89:$N89,1,MATCH(AD$27,PREVIVAZ!$C$1:$N$1,1)))</f>
        <v>#N/A</v>
      </c>
      <c r="AE115" s="202" t="e">
        <f ca="1">IFERROR(ROUND(INDEX(O:O,MATCH($T115,$A:$A,0)),0),INDEX(PREVIVAZ!$C89:$N89,1,MATCH(AE$27,PREVIVAZ!$C$1:$N$1,1)))</f>
        <v>#N/A</v>
      </c>
      <c r="AF115" s="202" t="e">
        <f ca="1">IFERROR(ROUND(INDEX(P:P,MATCH($T115,$A:$A,0)),0),INDEX(PREVIVAZ!$C89:$N89,1,MATCH(AF$27,PREVIVAZ!$C$1:$N$1,1)))</f>
        <v>#N/A</v>
      </c>
      <c r="AG115" s="202" t="e">
        <f ca="1">IFERROR(ROUND(INDEX(Q:Q,MATCH($T115,$A:$A,0)),0),INDEX(PREVIVAZ!$C89:$N89,1,MATCH(AG$27,PREVIVAZ!$C$1:$N$1,1)))</f>
        <v>#N/A</v>
      </c>
    </row>
    <row r="116" spans="1:33" ht="12.75" x14ac:dyDescent="0.2">
      <c r="A116" s="264">
        <v>103</v>
      </c>
      <c r="B116" s="261" t="str">
        <f t="shared" si="27"/>
        <v>103_VN</v>
      </c>
      <c r="C116" s="264" t="s">
        <v>180</v>
      </c>
      <c r="D116" s="272">
        <f t="shared" si="28"/>
        <v>103</v>
      </c>
      <c r="E116" s="132">
        <f t="array" aca="1" ref="E116" ca="1">SUM(IFERROR(Propagações_TOT_URUGUAI!$B$7:$BZ$69*(Propagações_TOT_URUGUAI!$B$6:$BZ$6=$B116&amp;"A")*(Propagações_TOT_URUGUAI!$A$7:$A$69&gt;=PREVS_SMAP_DIARIO!E$26)*(Propagações_TOT_URUGUAI!$A$7:$A$69&lt;=PREVS_SMAP_DIARIO!E$27),0))</f>
        <v>82</v>
      </c>
      <c r="F116" s="132">
        <f t="array" aca="1" ref="F116" ca="1">SUM(IFERROR(Propagações_TOT_URUGUAI!$B$7:$BZ$69*(Propagações_TOT_URUGUAI!$B$6:$BZ$6=$B116&amp;"A")*(Propagações_TOT_URUGUAI!$A$7:$A$69&gt;=PREVS_SMAP_DIARIO!F$26)*(Propagações_TOT_URUGUAI!$A$7:$A$69&lt;=PREVS_SMAP_DIARIO!F$27),0))</f>
        <v>0</v>
      </c>
      <c r="G116" s="132">
        <f t="array" aca="1" ref="G116" ca="1">SUM(IFERROR(Propagações_TOT_URUGUAI!$B$7:$BZ$69*(Propagações_TOT_URUGUAI!$B$6:$BZ$6=$B116&amp;"A")*(Propagações_TOT_URUGUAI!$A$7:$A$69&gt;=PREVS_SMAP_DIARIO!G$26)*(Propagações_TOT_URUGUAI!$A$7:$A$69&lt;=PREVS_SMAP_DIARIO!G$27),0))</f>
        <v>0</v>
      </c>
      <c r="H116" s="132">
        <f t="array" aca="1" ref="H116" ca="1">SUM(IFERROR(Propagações_TOT_URUGUAI!$B$7:$BZ$69*(Propagações_TOT_URUGUAI!$B$6:$BZ$6=$B116&amp;"A")*(Propagações_TOT_URUGUAI!$A$7:$A$69&gt;=PREVS_SMAP_DIARIO!H$26)*(Propagações_TOT_URUGUAI!$A$7:$A$69&lt;=PREVS_SMAP_DIARIO!H$27),0))</f>
        <v>0</v>
      </c>
      <c r="I116" s="132">
        <f t="array" aca="1" ref="I116" ca="1">SUM(IFERROR(Propagações_TOT_URUGUAI!$B$7:$BZ$69*(Propagações_TOT_URUGUAI!$B$6:$BZ$6=$B116&amp;"A")*(Propagações_TOT_URUGUAI!$A$7:$A$69&gt;=PREVS_SMAP_DIARIO!I$26)*(Propagações_TOT_URUGUAI!$A$7:$A$69&lt;=PREVS_SMAP_DIARIO!I$27),0))</f>
        <v>0</v>
      </c>
      <c r="J116" s="132">
        <f t="array" aca="1" ref="J116" ca="1">SUM(IFERROR(Propagações_TOT_URUGUAI!$B$7:$BZ$69*(Propagações_TOT_URUGUAI!$B$6:$BZ$6=$B116&amp;"A")*(Propagações_TOT_URUGUAI!$A$7:$A$69&gt;=PREVS_SMAP_DIARIO!J$26)*(Propagações_TOT_URUGUAI!$A$7:$A$69&lt;=PREVS_SMAP_DIARIO!J$27),0))</f>
        <v>0</v>
      </c>
      <c r="K116" s="132">
        <f t="array" aca="1" ref="K116" ca="1">SUM(IFERROR(Propagações_TOT_URUGUAI!$B$7:$BZ$69*(Propagações_TOT_URUGUAI!$B$6:$BZ$6=$B116&amp;"A")*(Propagações_TOT_URUGUAI!$A$7:$A$69&gt;=PREVS_SMAP_DIARIO!K$26)*(Propagações_TOT_URUGUAI!$A$7:$A$69&lt;=PREVS_SMAP_DIARIO!K$27),0))</f>
        <v>0</v>
      </c>
      <c r="L116" s="132">
        <f t="array" aca="1" ref="L116" ca="1">SUM(IFERROR(Propagações_TOT_URUGUAI!$B$7:$BZ$69*(Propagações_TOT_URUGUAI!$B$6:$BZ$6=$B116&amp;"A")*(Propagações_TOT_URUGUAI!$A$7:$A$69&gt;=PREVS_SMAP_DIARIO!L$26)*(Propagações_TOT_URUGUAI!$A$7:$A$69&lt;=PREVS_SMAP_DIARIO!L$27),0))</f>
        <v>0</v>
      </c>
      <c r="M116" s="132">
        <f t="array" aca="1" ref="M116" ca="1">SUM(IFERROR(Propagações_TOT_URUGUAI!$B$7:$BZ$69*(Propagações_TOT_URUGUAI!$B$6:$BZ$6=$B116&amp;"A")*(Propagações_TOT_URUGUAI!$A$7:$A$69&gt;=PREVS_SMAP_DIARIO!M$26)*(Propagações_TOT_URUGUAI!$A$7:$A$69&lt;=PREVS_SMAP_DIARIO!M$27),0))</f>
        <v>0</v>
      </c>
      <c r="N116" s="132">
        <f t="array" aca="1" ref="N116" ca="1">SUM(IFERROR(Propagações_TOT_URUGUAI!$B$7:$BZ$69*(Propagações_TOT_URUGUAI!$B$6:$BZ$6=$B116&amp;"A")*(Propagações_TOT_URUGUAI!$A$7:$A$69&gt;=PREVS_SMAP_DIARIO!N$26)*(Propagações_TOT_URUGUAI!$A$7:$A$69&lt;=PREVS_SMAP_DIARIO!N$27),0))</f>
        <v>0</v>
      </c>
      <c r="O116" s="132">
        <f t="array" aca="1" ref="O116" ca="1">SUM(IFERROR(Propagações_TOT_URUGUAI!$B$7:$BZ$69*(Propagações_TOT_URUGUAI!$B$6:$BZ$6=$B116&amp;"A")*(Propagações_TOT_URUGUAI!$A$7:$A$69&gt;=PREVS_SMAP_DIARIO!O$26)*(Propagações_TOT_URUGUAI!$A$7:$A$69&lt;=PREVS_SMAP_DIARIO!O$27),0))</f>
        <v>0</v>
      </c>
      <c r="P116" s="132">
        <f t="array" aca="1" ref="P116" ca="1">SUM(IFERROR(Propagações_TOT_URUGUAI!$B$7:$BZ$69*(Propagações_TOT_URUGUAI!$B$6:$BZ$6=$B116&amp;"A")*(Propagações_TOT_URUGUAI!$A$7:$A$69&gt;=PREVS_SMAP_DIARIO!P$26)*(Propagações_TOT_URUGUAI!$A$7:$A$69&lt;=PREVS_SMAP_DIARIO!P$27),0))</f>
        <v>0</v>
      </c>
      <c r="Q116" s="132">
        <f t="array" aca="1" ref="Q116" ca="1">SUM(IFERROR(Propagações_TOT_URUGUAI!$B$7:$BZ$69*(Propagações_TOT_URUGUAI!$B$6:$BZ$6=$B116&amp;"A")*(Propagações_TOT_URUGUAI!$A$7:$A$69&gt;=PREVS_SMAP_DIARIO!Q$26)*(Propagações_TOT_URUGUAI!$A$7:$A$69&lt;=PREVS_SMAP_DIARIO!Q$27),0))</f>
        <v>0</v>
      </c>
      <c r="R116"/>
      <c r="S116"/>
      <c r="T116" s="272">
        <v>89</v>
      </c>
      <c r="V116" s="202">
        <f ca="1">IFERROR(ROUND(INDEX(F:F,MATCH($T116,$A:$A,0)),0),INDEX(PREVIVAZ!$C90:$N90,1,MATCH(V$27,PREVIVAZ!$C$1:$N$1,1)))</f>
        <v>0</v>
      </c>
      <c r="W116" s="202">
        <f ca="1">IFERROR(ROUND(INDEX(G:G,MATCH($T116,$A:$A,0)),0),INDEX(PREVIVAZ!$C90:$N90,1,MATCH(W$27,PREVIVAZ!$C$1:$N$1,1)))</f>
        <v>0</v>
      </c>
      <c r="X116" s="202">
        <f ca="1">IFERROR(ROUND(INDEX(H:H,MATCH($T116,$A:$A,0)),0),INDEX(PREVIVAZ!$C90:$N90,1,MATCH(X$27,PREVIVAZ!$C$1:$N$1,1)))</f>
        <v>0</v>
      </c>
      <c r="Y116" s="202">
        <f ca="1">IFERROR(ROUND(INDEX(I:I,MATCH($T116,$A:$A,0)),0),INDEX(PREVIVAZ!$C90:$N90,1,MATCH(Y$27,PREVIVAZ!$C$1:$N$1,1)))</f>
        <v>0</v>
      </c>
      <c r="Z116" s="202">
        <f ca="1">IFERROR(ROUND(INDEX(J:J,MATCH($T116,$A:$A,0)),0),INDEX(PREVIVAZ!$C90:$N90,1,MATCH(Z$27,PREVIVAZ!$C$1:$N$1,1)))</f>
        <v>0</v>
      </c>
      <c r="AA116" s="202">
        <f ca="1">IFERROR(ROUND(INDEX(K:K,MATCH($T116,$A:$A,0)),0),INDEX(PREVIVAZ!$C90:$N90,1,MATCH(AA$27,PREVIVAZ!$C$1:$N$1,1)))</f>
        <v>0</v>
      </c>
      <c r="AB116" s="202">
        <f ca="1">IFERROR(ROUND(INDEX(L:L,MATCH($T116,$A:$A,0)),0),INDEX(PREVIVAZ!$C90:$N90,1,MATCH(AB$27,PREVIVAZ!$C$1:$N$1,1)))</f>
        <v>0</v>
      </c>
      <c r="AC116" s="202">
        <f ca="1">IFERROR(ROUND(INDEX(M:M,MATCH($T116,$A:$A,0)),0),INDEX(PREVIVAZ!$C90:$N90,1,MATCH(AC$27,PREVIVAZ!$C$1:$N$1,1)))</f>
        <v>0</v>
      </c>
      <c r="AD116" s="202">
        <f ca="1">IFERROR(ROUND(INDEX(N:N,MATCH($T116,$A:$A,0)),0),INDEX(PREVIVAZ!$C90:$N90,1,MATCH(AD$27,PREVIVAZ!$C$1:$N$1,1)))</f>
        <v>0</v>
      </c>
      <c r="AE116" s="202">
        <f ca="1">IFERROR(ROUND(INDEX(O:O,MATCH($T116,$A:$A,0)),0),INDEX(PREVIVAZ!$C90:$N90,1,MATCH(AE$27,PREVIVAZ!$C$1:$N$1,1)))</f>
        <v>0</v>
      </c>
      <c r="AF116" s="202">
        <f ca="1">IFERROR(ROUND(INDEX(P:P,MATCH($T116,$A:$A,0)),0),INDEX(PREVIVAZ!$C90:$N90,1,MATCH(AF$27,PREVIVAZ!$C$1:$N$1,1)))</f>
        <v>0</v>
      </c>
      <c r="AG116" s="202">
        <f ca="1">IFERROR(ROUND(INDEX(Q:Q,MATCH($T116,$A:$A,0)),0),INDEX(PREVIVAZ!$C90:$N90,1,MATCH(AG$27,PREVIVAZ!$C$1:$N$1,1)))</f>
        <v>0</v>
      </c>
    </row>
    <row r="117" spans="1:33" ht="12.75" x14ac:dyDescent="0.2">
      <c r="A117" s="272"/>
      <c r="B117" s="272"/>
      <c r="C117" s="272"/>
      <c r="D117" s="27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/>
      <c r="S117"/>
      <c r="T117" s="272">
        <v>90</v>
      </c>
      <c r="V117" s="202" t="e">
        <f ca="1">IFERROR(ROUND(INDEX(F:F,MATCH($T117,$A:$A,0)),0),INDEX(PREVIVAZ!$C91:$N91,1,MATCH(V$27,PREVIVAZ!$C$1:$N$1,1)))</f>
        <v>#N/A</v>
      </c>
      <c r="W117" s="202" t="e">
        <f ca="1">IFERROR(ROUND(INDEX(G:G,MATCH($T117,$A:$A,0)),0),INDEX(PREVIVAZ!$C91:$N91,1,MATCH(W$27,PREVIVAZ!$C$1:$N$1,1)))</f>
        <v>#N/A</v>
      </c>
      <c r="X117" s="202" t="e">
        <f ca="1">IFERROR(ROUND(INDEX(H:H,MATCH($T117,$A:$A,0)),0),INDEX(PREVIVAZ!$C91:$N91,1,MATCH(X$27,PREVIVAZ!$C$1:$N$1,1)))</f>
        <v>#N/A</v>
      </c>
      <c r="Y117" s="202" t="e">
        <f ca="1">IFERROR(ROUND(INDEX(I:I,MATCH($T117,$A:$A,0)),0),INDEX(PREVIVAZ!$C91:$N91,1,MATCH(Y$27,PREVIVAZ!$C$1:$N$1,1)))</f>
        <v>#N/A</v>
      </c>
      <c r="Z117" s="202" t="e">
        <f ca="1">IFERROR(ROUND(INDEX(J:J,MATCH($T117,$A:$A,0)),0),INDEX(PREVIVAZ!$C91:$N91,1,MATCH(Z$27,PREVIVAZ!$C$1:$N$1,1)))</f>
        <v>#N/A</v>
      </c>
      <c r="AA117" s="202" t="e">
        <f ca="1">IFERROR(ROUND(INDEX(K:K,MATCH($T117,$A:$A,0)),0),INDEX(PREVIVAZ!$C91:$N91,1,MATCH(AA$27,PREVIVAZ!$C$1:$N$1,1)))</f>
        <v>#N/A</v>
      </c>
      <c r="AB117" s="202" t="e">
        <f ca="1">IFERROR(ROUND(INDEX(L:L,MATCH($T117,$A:$A,0)),0),INDEX(PREVIVAZ!$C91:$N91,1,MATCH(AB$27,PREVIVAZ!$C$1:$N$1,1)))</f>
        <v>#N/A</v>
      </c>
      <c r="AC117" s="202" t="e">
        <f ca="1">IFERROR(ROUND(INDEX(M:M,MATCH($T117,$A:$A,0)),0),INDEX(PREVIVAZ!$C91:$N91,1,MATCH(AC$27,PREVIVAZ!$C$1:$N$1,1)))</f>
        <v>#N/A</v>
      </c>
      <c r="AD117" s="202" t="e">
        <f ca="1">IFERROR(ROUND(INDEX(N:N,MATCH($T117,$A:$A,0)),0),INDEX(PREVIVAZ!$C91:$N91,1,MATCH(AD$27,PREVIVAZ!$C$1:$N$1,1)))</f>
        <v>#N/A</v>
      </c>
      <c r="AE117" s="202" t="e">
        <f ca="1">IFERROR(ROUND(INDEX(O:O,MATCH($T117,$A:$A,0)),0),INDEX(PREVIVAZ!$C91:$N91,1,MATCH(AE$27,PREVIVAZ!$C$1:$N$1,1)))</f>
        <v>#N/A</v>
      </c>
      <c r="AF117" s="202" t="e">
        <f ca="1">IFERROR(ROUND(INDEX(P:P,MATCH($T117,$A:$A,0)),0),INDEX(PREVIVAZ!$C91:$N91,1,MATCH(AF$27,PREVIVAZ!$C$1:$N$1,1)))</f>
        <v>#N/A</v>
      </c>
      <c r="AG117" s="202" t="e">
        <f ca="1">IFERROR(ROUND(INDEX(Q:Q,MATCH($T117,$A:$A,0)),0),INDEX(PREVIVAZ!$C91:$N91,1,MATCH(AG$27,PREVIVAZ!$C$1:$N$1,1)))</f>
        <v>#N/A</v>
      </c>
    </row>
    <row r="118" spans="1:33" ht="12.75" x14ac:dyDescent="0.2">
      <c r="E118" s="308">
        <f t="array" aca="1" ref="E118" ca="1">SUM(IFERROR(Propagações_TOT_ITAIPU!$B$7:$BZ$69*(Propagações_TOT_ITAIPU!$B$6:$BZ$6=$B121&amp;"A")*(Propagações_TOT_ITAIPU!$A$7:$A$69&gt;=PREVS_SMAP_DIARIO!E$26)*(Propagações_TOT_ITAIPU!$A$7:$A$69&lt;=PREVS_SMAP_DIARIO!E$27),0))</f>
        <v>4391</v>
      </c>
      <c r="F118" s="308">
        <f t="array" aca="1" ref="F118" ca="1">SUM(IFERROR(Propagações_TOT_ITAIPU!$B$7:$BZ$69*(Propagações_TOT_ITAIPU!$B$6:$BZ$6=$B121&amp;"A")*(Propagações_TOT_ITAIPU!$A$7:$A$69&gt;=PREVS_SMAP_DIARIO!F$26)*(Propagações_TOT_ITAIPU!$A$7:$A$69&lt;=PREVS_SMAP_DIARIO!F$27),0))</f>
        <v>0</v>
      </c>
      <c r="G118" s="308">
        <f t="array" aca="1" ref="G118" ca="1">SUM(IFERROR(Propagações_TOT_ITAIPU!$B$7:$BZ$69*(Propagações_TOT_ITAIPU!$B$6:$BZ$6=$B121&amp;"A")*(Propagações_TOT_ITAIPU!$A$7:$A$69&gt;=PREVS_SMAP_DIARIO!G$26)*(Propagações_TOT_ITAIPU!$A$7:$A$69&lt;=PREVS_SMAP_DIARIO!G$27),0))</f>
        <v>0</v>
      </c>
      <c r="H118" s="308">
        <f t="array" aca="1" ref="H118" ca="1">SUM(IFERROR(Propagações_TOT_ITAIPU!$B$7:$BZ$69*(Propagações_TOT_ITAIPU!$B$6:$BZ$6=$B121&amp;"A")*(Propagações_TOT_ITAIPU!$A$7:$A$69&gt;=PREVS_SMAP_DIARIO!H$26)*(Propagações_TOT_ITAIPU!$A$7:$A$69&lt;=PREVS_SMAP_DIARIO!H$27),0))</f>
        <v>0</v>
      </c>
      <c r="I118" s="308">
        <f t="array" aca="1" ref="I118" ca="1">SUM(IFERROR(Propagações_TOT_ITAIPU!$B$7:$BZ$69*(Propagações_TOT_ITAIPU!$B$6:$BZ$6=$B121&amp;"A")*(Propagações_TOT_ITAIPU!$A$7:$A$69&gt;=PREVS_SMAP_DIARIO!I$26)*(Propagações_TOT_ITAIPU!$A$7:$A$69&lt;=PREVS_SMAP_DIARIO!I$27),0))</f>
        <v>0</v>
      </c>
      <c r="J118" s="308">
        <f t="array" aca="1" ref="J118" ca="1">SUM(IFERROR(Propagações_TOT_ITAIPU!$B$7:$BZ$69*(Propagações_TOT_ITAIPU!$B$6:$BZ$6=$B121&amp;"A")*(Propagações_TOT_ITAIPU!$A$7:$A$69&gt;=PREVS_SMAP_DIARIO!J$26)*(Propagações_TOT_ITAIPU!$A$7:$A$69&lt;=PREVS_SMAP_DIARIO!J$27),0))</f>
        <v>0</v>
      </c>
      <c r="K118" s="308">
        <f t="array" aca="1" ref="K118" ca="1">SUM(IFERROR(Propagações_TOT_ITAIPU!$B$7:$BZ$69*(Propagações_TOT_ITAIPU!$B$6:$BZ$6=$B121&amp;"A")*(Propagações_TOT_ITAIPU!$A$7:$A$69&gt;=PREVS_SMAP_DIARIO!K$26)*(Propagações_TOT_ITAIPU!$A$7:$A$69&lt;=PREVS_SMAP_DIARIO!K$27),0))</f>
        <v>0</v>
      </c>
      <c r="L118" s="308">
        <f t="array" aca="1" ref="L118" ca="1">SUM(IFERROR(Propagações_TOT_ITAIPU!$B$7:$BZ$69*(Propagações_TOT_ITAIPU!$B$6:$BZ$6=$B121&amp;"A")*(Propagações_TOT_ITAIPU!$A$7:$A$69&gt;=PREVS_SMAP_DIARIO!L$26)*(Propagações_TOT_ITAIPU!$A$7:$A$69&lt;=PREVS_SMAP_DIARIO!L$27),0))</f>
        <v>0</v>
      </c>
      <c r="M118" s="308">
        <f t="array" aca="1" ref="M118" ca="1">SUM(IFERROR(Propagações_TOT_ITAIPU!$B$7:$BZ$69*(Propagações_TOT_ITAIPU!$B$6:$BZ$6=$B121&amp;"A")*(Propagações_TOT_ITAIPU!$A$7:$A$69&gt;=PREVS_SMAP_DIARIO!M$26)*(Propagações_TOT_ITAIPU!$A$7:$A$69&lt;=PREVS_SMAP_DIARIO!M$27),0))</f>
        <v>0</v>
      </c>
      <c r="N118" s="308">
        <f t="array" aca="1" ref="N118" ca="1">SUM(IFERROR(Propagações_TOT_ITAIPU!$B$7:$BZ$69*(Propagações_TOT_ITAIPU!$B$6:$BZ$6=$B121&amp;"A")*(Propagações_TOT_ITAIPU!$A$7:$A$69&gt;=PREVS_SMAP_DIARIO!N$26)*(Propagações_TOT_ITAIPU!$A$7:$A$69&lt;=PREVS_SMAP_DIARIO!N$27),0))</f>
        <v>0</v>
      </c>
      <c r="O118" s="308">
        <f t="array" aca="1" ref="O118" ca="1">SUM(IFERROR(Propagações_TOT_ITAIPU!$B$7:$BZ$69*(Propagações_TOT_ITAIPU!$B$6:$BZ$6=$B121&amp;"A")*(Propagações_TOT_ITAIPU!$A$7:$A$69&gt;=PREVS_SMAP_DIARIO!O$26)*(Propagações_TOT_ITAIPU!$A$7:$A$69&lt;=PREVS_SMAP_DIARIO!O$27),0))</f>
        <v>0</v>
      </c>
      <c r="P118" s="308">
        <f t="array" aca="1" ref="P118" ca="1">SUM(IFERROR(Propagações_TOT_ITAIPU!$B$7:$BZ$69*(Propagações_TOT_ITAIPU!$B$6:$BZ$6=$B121&amp;"A")*(Propagações_TOT_ITAIPU!$A$7:$A$69&gt;=PREVS_SMAP_DIARIO!P$26)*(Propagações_TOT_ITAIPU!$A$7:$A$69&lt;=PREVS_SMAP_DIARIO!P$27),0))</f>
        <v>0</v>
      </c>
      <c r="Q118" s="308">
        <f t="array" aca="1" ref="Q118" ca="1">SUM(IFERROR(Propagações_TOT_ITAIPU!$B$7:$BZ$69*(Propagações_TOT_ITAIPU!$B$6:$BZ$6=$B121&amp;"A")*(Propagações_TOT_ITAIPU!$A$7:$A$69&gt;=PREVS_SMAP_DIARIO!Q$26)*(Propagações_TOT_ITAIPU!$A$7:$A$69&lt;=PREVS_SMAP_DIARIO!Q$27),0))</f>
        <v>0</v>
      </c>
      <c r="R118"/>
      <c r="S118"/>
      <c r="T118" s="272">
        <v>91</v>
      </c>
      <c r="V118" s="202" t="e">
        <f ca="1">IFERROR(ROUND(INDEX(F:F,MATCH($T118,$A:$A,0)),0),INDEX(PREVIVAZ!$C92:$N92,1,MATCH(V$27,PREVIVAZ!$C$1:$N$1,1)))</f>
        <v>#N/A</v>
      </c>
      <c r="W118" s="202" t="e">
        <f ca="1">IFERROR(ROUND(INDEX(G:G,MATCH($T118,$A:$A,0)),0),INDEX(PREVIVAZ!$C92:$N92,1,MATCH(W$27,PREVIVAZ!$C$1:$N$1,1)))</f>
        <v>#N/A</v>
      </c>
      <c r="X118" s="202" t="e">
        <f ca="1">IFERROR(ROUND(INDEX(H:H,MATCH($T118,$A:$A,0)),0),INDEX(PREVIVAZ!$C92:$N92,1,MATCH(X$27,PREVIVAZ!$C$1:$N$1,1)))</f>
        <v>#N/A</v>
      </c>
      <c r="Y118" s="202" t="e">
        <f ca="1">IFERROR(ROUND(INDEX(I:I,MATCH($T118,$A:$A,0)),0),INDEX(PREVIVAZ!$C92:$N92,1,MATCH(Y$27,PREVIVAZ!$C$1:$N$1,1)))</f>
        <v>#N/A</v>
      </c>
      <c r="Z118" s="202" t="e">
        <f ca="1">IFERROR(ROUND(INDEX(J:J,MATCH($T118,$A:$A,0)),0),INDEX(PREVIVAZ!$C92:$N92,1,MATCH(Z$27,PREVIVAZ!$C$1:$N$1,1)))</f>
        <v>#N/A</v>
      </c>
      <c r="AA118" s="202" t="e">
        <f ca="1">IFERROR(ROUND(INDEX(K:K,MATCH($T118,$A:$A,0)),0),INDEX(PREVIVAZ!$C92:$N92,1,MATCH(AA$27,PREVIVAZ!$C$1:$N$1,1)))</f>
        <v>#N/A</v>
      </c>
      <c r="AB118" s="202" t="e">
        <f ca="1">IFERROR(ROUND(INDEX(L:L,MATCH($T118,$A:$A,0)),0),INDEX(PREVIVAZ!$C92:$N92,1,MATCH(AB$27,PREVIVAZ!$C$1:$N$1,1)))</f>
        <v>#N/A</v>
      </c>
      <c r="AC118" s="202" t="e">
        <f ca="1">IFERROR(ROUND(INDEX(M:M,MATCH($T118,$A:$A,0)),0),INDEX(PREVIVAZ!$C92:$N92,1,MATCH(AC$27,PREVIVAZ!$C$1:$N$1,1)))</f>
        <v>#N/A</v>
      </c>
      <c r="AD118" s="202" t="e">
        <f ca="1">IFERROR(ROUND(INDEX(N:N,MATCH($T118,$A:$A,0)),0),INDEX(PREVIVAZ!$C92:$N92,1,MATCH(AD$27,PREVIVAZ!$C$1:$N$1,1)))</f>
        <v>#N/A</v>
      </c>
      <c r="AE118" s="202" t="e">
        <f ca="1">IFERROR(ROUND(INDEX(O:O,MATCH($T118,$A:$A,0)),0),INDEX(PREVIVAZ!$C92:$N92,1,MATCH(AE$27,PREVIVAZ!$C$1:$N$1,1)))</f>
        <v>#N/A</v>
      </c>
      <c r="AF118" s="202" t="e">
        <f ca="1">IFERROR(ROUND(INDEX(P:P,MATCH($T118,$A:$A,0)),0),INDEX(PREVIVAZ!$C92:$N92,1,MATCH(AF$27,PREVIVAZ!$C$1:$N$1,1)))</f>
        <v>#N/A</v>
      </c>
      <c r="AG118" s="202" t="e">
        <f ca="1">IFERROR(ROUND(INDEX(Q:Q,MATCH($T118,$A:$A,0)),0),INDEX(PREVIVAZ!$C92:$N92,1,MATCH(AG$27,PREVIVAZ!$C$1:$N$1,1)))</f>
        <v>#N/A</v>
      </c>
    </row>
    <row r="119" spans="1:33" ht="12.75" x14ac:dyDescent="0.2">
      <c r="E119" s="308">
        <f t="array" aca="1" ref="E119" ca="1">SUM(IFERROR(Propagações_TOT_ITAIPU!$B$7:$BZ$69*(Propagações_TOT_ITAIPU!$B$6:$BZ$6=$B122&amp;"A")*(Propagações_TOT_ITAIPU!$A$7:$A$69&gt;=PREVS_SMAP_DIARIO!E$26)*(Propagações_TOT_ITAIPU!$A$7:$A$69&lt;=PREVS_SMAP_DIARIO!E$27),0))</f>
        <v>5418</v>
      </c>
      <c r="F119" s="308">
        <f t="array" aca="1" ref="F119" ca="1">SUM(IFERROR(Propagações_TOT_ITAIPU!$B$7:$BZ$69*(Propagações_TOT_ITAIPU!$B$6:$BZ$6=$B122&amp;"A")*(Propagações_TOT_ITAIPU!$A$7:$A$69&gt;=PREVS_SMAP_DIARIO!F$26)*(Propagações_TOT_ITAIPU!$A$7:$A$69&lt;=PREVS_SMAP_DIARIO!F$27),0))</f>
        <v>0</v>
      </c>
      <c r="G119" s="308">
        <f t="array" aca="1" ref="G119" ca="1">SUM(IFERROR(Propagações_TOT_ITAIPU!$B$7:$BZ$69*(Propagações_TOT_ITAIPU!$B$6:$BZ$6=$B122&amp;"A")*(Propagações_TOT_ITAIPU!$A$7:$A$69&gt;=PREVS_SMAP_DIARIO!G$26)*(Propagações_TOT_ITAIPU!$A$7:$A$69&lt;=PREVS_SMAP_DIARIO!G$27),0))</f>
        <v>0</v>
      </c>
      <c r="H119" s="308">
        <f t="array" aca="1" ref="H119" ca="1">SUM(IFERROR(Propagações_TOT_ITAIPU!$B$7:$BZ$69*(Propagações_TOT_ITAIPU!$B$6:$BZ$6=$B122&amp;"A")*(Propagações_TOT_ITAIPU!$A$7:$A$69&gt;=PREVS_SMAP_DIARIO!H$26)*(Propagações_TOT_ITAIPU!$A$7:$A$69&lt;=PREVS_SMAP_DIARIO!H$27),0))</f>
        <v>0</v>
      </c>
      <c r="I119" s="308">
        <f t="array" aca="1" ref="I119" ca="1">SUM(IFERROR(Propagações_TOT_ITAIPU!$B$7:$BZ$69*(Propagações_TOT_ITAIPU!$B$6:$BZ$6=$B122&amp;"A")*(Propagações_TOT_ITAIPU!$A$7:$A$69&gt;=PREVS_SMAP_DIARIO!I$26)*(Propagações_TOT_ITAIPU!$A$7:$A$69&lt;=PREVS_SMAP_DIARIO!I$27),0))</f>
        <v>0</v>
      </c>
      <c r="J119" s="308">
        <f t="array" aca="1" ref="J119" ca="1">SUM(IFERROR(Propagações_TOT_ITAIPU!$B$7:$BZ$69*(Propagações_TOT_ITAIPU!$B$6:$BZ$6=$B122&amp;"A")*(Propagações_TOT_ITAIPU!$A$7:$A$69&gt;=PREVS_SMAP_DIARIO!J$26)*(Propagações_TOT_ITAIPU!$A$7:$A$69&lt;=PREVS_SMAP_DIARIO!J$27),0))</f>
        <v>0</v>
      </c>
      <c r="K119" s="308">
        <f t="array" aca="1" ref="K119" ca="1">SUM(IFERROR(Propagações_TOT_ITAIPU!$B$7:$BZ$69*(Propagações_TOT_ITAIPU!$B$6:$BZ$6=$B122&amp;"A")*(Propagações_TOT_ITAIPU!$A$7:$A$69&gt;=PREVS_SMAP_DIARIO!K$26)*(Propagações_TOT_ITAIPU!$A$7:$A$69&lt;=PREVS_SMAP_DIARIO!K$27),0))</f>
        <v>0</v>
      </c>
      <c r="L119" s="308">
        <f t="array" aca="1" ref="L119" ca="1">SUM(IFERROR(Propagações_TOT_ITAIPU!$B$7:$BZ$69*(Propagações_TOT_ITAIPU!$B$6:$BZ$6=$B122&amp;"A")*(Propagações_TOT_ITAIPU!$A$7:$A$69&gt;=PREVS_SMAP_DIARIO!L$26)*(Propagações_TOT_ITAIPU!$A$7:$A$69&lt;=PREVS_SMAP_DIARIO!L$27),0))</f>
        <v>0</v>
      </c>
      <c r="M119" s="308">
        <f t="array" aca="1" ref="M119" ca="1">SUM(IFERROR(Propagações_TOT_ITAIPU!$B$7:$BZ$69*(Propagações_TOT_ITAIPU!$B$6:$BZ$6=$B122&amp;"A")*(Propagações_TOT_ITAIPU!$A$7:$A$69&gt;=PREVS_SMAP_DIARIO!M$26)*(Propagações_TOT_ITAIPU!$A$7:$A$69&lt;=PREVS_SMAP_DIARIO!M$27),0))</f>
        <v>0</v>
      </c>
      <c r="N119" s="308">
        <f t="array" aca="1" ref="N119" ca="1">SUM(IFERROR(Propagações_TOT_ITAIPU!$B$7:$BZ$69*(Propagações_TOT_ITAIPU!$B$6:$BZ$6=$B122&amp;"A")*(Propagações_TOT_ITAIPU!$A$7:$A$69&gt;=PREVS_SMAP_DIARIO!N$26)*(Propagações_TOT_ITAIPU!$A$7:$A$69&lt;=PREVS_SMAP_DIARIO!N$27),0))</f>
        <v>0</v>
      </c>
      <c r="O119" s="308">
        <f t="array" aca="1" ref="O119" ca="1">SUM(IFERROR(Propagações_TOT_ITAIPU!$B$7:$BZ$69*(Propagações_TOT_ITAIPU!$B$6:$BZ$6=$B122&amp;"A")*(Propagações_TOT_ITAIPU!$A$7:$A$69&gt;=PREVS_SMAP_DIARIO!O$26)*(Propagações_TOT_ITAIPU!$A$7:$A$69&lt;=PREVS_SMAP_DIARIO!O$27),0))</f>
        <v>0</v>
      </c>
      <c r="P119" s="308">
        <f t="array" aca="1" ref="P119" ca="1">SUM(IFERROR(Propagações_TOT_ITAIPU!$B$7:$BZ$69*(Propagações_TOT_ITAIPU!$B$6:$BZ$6=$B122&amp;"A")*(Propagações_TOT_ITAIPU!$A$7:$A$69&gt;=PREVS_SMAP_DIARIO!P$26)*(Propagações_TOT_ITAIPU!$A$7:$A$69&lt;=PREVS_SMAP_DIARIO!P$27),0))</f>
        <v>0</v>
      </c>
      <c r="Q119" s="308">
        <f t="array" aca="1" ref="Q119" ca="1">SUM(IFERROR(Propagações_TOT_ITAIPU!$B$7:$BZ$69*(Propagações_TOT_ITAIPU!$B$6:$BZ$6=$B122&amp;"A")*(Propagações_TOT_ITAIPU!$A$7:$A$69&gt;=PREVS_SMAP_DIARIO!Q$26)*(Propagações_TOT_ITAIPU!$A$7:$A$69&lt;=PREVS_SMAP_DIARIO!Q$27),0))</f>
        <v>0</v>
      </c>
      <c r="R119"/>
      <c r="S119"/>
      <c r="T119" s="272">
        <v>92</v>
      </c>
      <c r="V119" s="202">
        <f ca="1">IFERROR(ROUND(INDEX(F:F,MATCH($T119,$A:$A,0)),0),INDEX(PREVIVAZ!$C93:$N93,1,MATCH(V$27,PREVIVAZ!$C$1:$N$1,1)))</f>
        <v>0</v>
      </c>
      <c r="W119" s="202">
        <f ca="1">IFERROR(ROUND(INDEX(G:G,MATCH($T119,$A:$A,0)),0),INDEX(PREVIVAZ!$C93:$N93,1,MATCH(W$27,PREVIVAZ!$C$1:$N$1,1)))</f>
        <v>0</v>
      </c>
      <c r="X119" s="202">
        <f ca="1">IFERROR(ROUND(INDEX(H:H,MATCH($T119,$A:$A,0)),0),INDEX(PREVIVAZ!$C93:$N93,1,MATCH(X$27,PREVIVAZ!$C$1:$N$1,1)))</f>
        <v>0</v>
      </c>
      <c r="Y119" s="202">
        <f ca="1">IFERROR(ROUND(INDEX(I:I,MATCH($T119,$A:$A,0)),0),INDEX(PREVIVAZ!$C93:$N93,1,MATCH(Y$27,PREVIVAZ!$C$1:$N$1,1)))</f>
        <v>0</v>
      </c>
      <c r="Z119" s="202">
        <f ca="1">IFERROR(ROUND(INDEX(J:J,MATCH($T119,$A:$A,0)),0),INDEX(PREVIVAZ!$C93:$N93,1,MATCH(Z$27,PREVIVAZ!$C$1:$N$1,1)))</f>
        <v>0</v>
      </c>
      <c r="AA119" s="202">
        <f ca="1">IFERROR(ROUND(INDEX(K:K,MATCH($T119,$A:$A,0)),0),INDEX(PREVIVAZ!$C93:$N93,1,MATCH(AA$27,PREVIVAZ!$C$1:$N$1,1)))</f>
        <v>0</v>
      </c>
      <c r="AB119" s="202">
        <f ca="1">IFERROR(ROUND(INDEX(L:L,MATCH($T119,$A:$A,0)),0),INDEX(PREVIVAZ!$C93:$N93,1,MATCH(AB$27,PREVIVAZ!$C$1:$N$1,1)))</f>
        <v>0</v>
      </c>
      <c r="AC119" s="202">
        <f ca="1">IFERROR(ROUND(INDEX(M:M,MATCH($T119,$A:$A,0)),0),INDEX(PREVIVAZ!$C93:$N93,1,MATCH(AC$27,PREVIVAZ!$C$1:$N$1,1)))</f>
        <v>0</v>
      </c>
      <c r="AD119" s="202">
        <f ca="1">IFERROR(ROUND(INDEX(N:N,MATCH($T119,$A:$A,0)),0),INDEX(PREVIVAZ!$C93:$N93,1,MATCH(AD$27,PREVIVAZ!$C$1:$N$1,1)))</f>
        <v>0</v>
      </c>
      <c r="AE119" s="202">
        <f ca="1">IFERROR(ROUND(INDEX(O:O,MATCH($T119,$A:$A,0)),0),INDEX(PREVIVAZ!$C93:$N93,1,MATCH(AE$27,PREVIVAZ!$C$1:$N$1,1)))</f>
        <v>0</v>
      </c>
      <c r="AF119" s="202">
        <f ca="1">IFERROR(ROUND(INDEX(P:P,MATCH($T119,$A:$A,0)),0),INDEX(PREVIVAZ!$C93:$N93,1,MATCH(AF$27,PREVIVAZ!$C$1:$N$1,1)))</f>
        <v>0</v>
      </c>
      <c r="AG119" s="202">
        <f ca="1">IFERROR(ROUND(INDEX(Q:Q,MATCH($T119,$A:$A,0)),0),INDEX(PREVIVAZ!$C93:$N93,1,MATCH(AG$27,PREVIVAZ!$C$1:$N$1,1)))</f>
        <v>0</v>
      </c>
    </row>
    <row r="120" spans="1:33" ht="12.75" x14ac:dyDescent="0.2">
      <c r="E120" s="308">
        <f t="array" aca="1" ref="E120" ca="1">SUM(IFERROR(Propagações_TOT_ITAIPU!$B$7:$BZ$69*(Propagações_TOT_ITAIPU!$B$6:$BZ$6=$B123&amp;"A")*(Propagações_TOT_ITAIPU!$A$7:$A$69&gt;=PREVS_SMAP_DIARIO!E$26)*(Propagações_TOT_ITAIPU!$A$7:$A$69&lt;=PREVS_SMAP_DIARIO!E$27),0))</f>
        <v>5882</v>
      </c>
      <c r="F120" s="308">
        <f t="array" aca="1" ref="F120" ca="1">SUM(IFERROR(Propagações_TOT_ITAIPU!$B$7:$BZ$69*(Propagações_TOT_ITAIPU!$B$6:$BZ$6=$B123&amp;"A")*(Propagações_TOT_ITAIPU!$A$7:$A$69&gt;=PREVS_SMAP_DIARIO!F$26)*(Propagações_TOT_ITAIPU!$A$7:$A$69&lt;=PREVS_SMAP_DIARIO!F$27),0))</f>
        <v>5973.4285714285716</v>
      </c>
      <c r="G120" s="308">
        <f t="array" aca="1" ref="G120" ca="1">SUM(IFERROR(Propagações_TOT_ITAIPU!$B$7:$BZ$69*(Propagações_TOT_ITAIPU!$B$6:$BZ$6=$B123&amp;"A")*(Propagações_TOT_ITAIPU!$A$7:$A$69&gt;=PREVS_SMAP_DIARIO!G$26)*(Propagações_TOT_ITAIPU!$A$7:$A$69&lt;=PREVS_SMAP_DIARIO!G$27),0))</f>
        <v>6333.5176931516198</v>
      </c>
      <c r="H120" s="308">
        <f t="array" aca="1" ref="H120" ca="1">SUM(IFERROR(Propagações_TOT_ITAIPU!$B$7:$BZ$69*(Propagações_TOT_ITAIPU!$B$6:$BZ$6=$B123&amp;"A")*(Propagações_TOT_ITAIPU!$A$7:$A$69&gt;=PREVS_SMAP_DIARIO!H$26)*(Propagações_TOT_ITAIPU!$A$7:$A$69&lt;=PREVS_SMAP_DIARIO!H$27),0))</f>
        <v>0</v>
      </c>
      <c r="I120" s="308">
        <f t="array" aca="1" ref="I120" ca="1">SUM(IFERROR(Propagações_TOT_ITAIPU!$B$7:$BZ$69*(Propagações_TOT_ITAIPU!$B$6:$BZ$6=$B123&amp;"A")*(Propagações_TOT_ITAIPU!$A$7:$A$69&gt;=PREVS_SMAP_DIARIO!I$26)*(Propagações_TOT_ITAIPU!$A$7:$A$69&lt;=PREVS_SMAP_DIARIO!I$27),0))</f>
        <v>0</v>
      </c>
      <c r="J120" s="308">
        <f t="array" aca="1" ref="J120" ca="1">SUM(IFERROR(Propagações_TOT_ITAIPU!$B$7:$BZ$69*(Propagações_TOT_ITAIPU!$B$6:$BZ$6=$B123&amp;"A")*(Propagações_TOT_ITAIPU!$A$7:$A$69&gt;=PREVS_SMAP_DIARIO!J$26)*(Propagações_TOT_ITAIPU!$A$7:$A$69&lt;=PREVS_SMAP_DIARIO!J$27),0))</f>
        <v>0</v>
      </c>
      <c r="K120" s="308">
        <f t="array" aca="1" ref="K120" ca="1">SUM(IFERROR(Propagações_TOT_ITAIPU!$B$7:$BZ$69*(Propagações_TOT_ITAIPU!$B$6:$BZ$6=$B123&amp;"A")*(Propagações_TOT_ITAIPU!$A$7:$A$69&gt;=PREVS_SMAP_DIARIO!K$26)*(Propagações_TOT_ITAIPU!$A$7:$A$69&lt;=PREVS_SMAP_DIARIO!K$27),0))</f>
        <v>0</v>
      </c>
      <c r="L120" s="308">
        <f t="array" aca="1" ref="L120" ca="1">SUM(IFERROR(Propagações_TOT_ITAIPU!$B$7:$BZ$69*(Propagações_TOT_ITAIPU!$B$6:$BZ$6=$B123&amp;"A")*(Propagações_TOT_ITAIPU!$A$7:$A$69&gt;=PREVS_SMAP_DIARIO!L$26)*(Propagações_TOT_ITAIPU!$A$7:$A$69&lt;=PREVS_SMAP_DIARIO!L$27),0))</f>
        <v>0</v>
      </c>
      <c r="M120" s="308">
        <f t="array" aca="1" ref="M120" ca="1">SUM(IFERROR(Propagações_TOT_ITAIPU!$B$7:$BZ$69*(Propagações_TOT_ITAIPU!$B$6:$BZ$6=$B123&amp;"A")*(Propagações_TOT_ITAIPU!$A$7:$A$69&gt;=PREVS_SMAP_DIARIO!M$26)*(Propagações_TOT_ITAIPU!$A$7:$A$69&lt;=PREVS_SMAP_DIARIO!M$27),0))</f>
        <v>0</v>
      </c>
      <c r="N120" s="308">
        <f t="array" aca="1" ref="N120" ca="1">SUM(IFERROR(Propagações_TOT_ITAIPU!$B$7:$BZ$69*(Propagações_TOT_ITAIPU!$B$6:$BZ$6=$B123&amp;"A")*(Propagações_TOT_ITAIPU!$A$7:$A$69&gt;=PREVS_SMAP_DIARIO!N$26)*(Propagações_TOT_ITAIPU!$A$7:$A$69&lt;=PREVS_SMAP_DIARIO!N$27),0))</f>
        <v>0</v>
      </c>
      <c r="O120" s="308">
        <f t="array" aca="1" ref="O120" ca="1">SUM(IFERROR(Propagações_TOT_ITAIPU!$B$7:$BZ$69*(Propagações_TOT_ITAIPU!$B$6:$BZ$6=$B123&amp;"A")*(Propagações_TOT_ITAIPU!$A$7:$A$69&gt;=PREVS_SMAP_DIARIO!O$26)*(Propagações_TOT_ITAIPU!$A$7:$A$69&lt;=PREVS_SMAP_DIARIO!O$27),0))</f>
        <v>0</v>
      </c>
      <c r="P120" s="308">
        <f t="array" aca="1" ref="P120" ca="1">SUM(IFERROR(Propagações_TOT_ITAIPU!$B$7:$BZ$69*(Propagações_TOT_ITAIPU!$B$6:$BZ$6=$B123&amp;"A")*(Propagações_TOT_ITAIPU!$A$7:$A$69&gt;=PREVS_SMAP_DIARIO!P$26)*(Propagações_TOT_ITAIPU!$A$7:$A$69&lt;=PREVS_SMAP_DIARIO!P$27),0))</f>
        <v>0</v>
      </c>
      <c r="Q120" s="308">
        <f t="array" aca="1" ref="Q120" ca="1">SUM(IFERROR(Propagações_TOT_ITAIPU!$B$7:$BZ$69*(Propagações_TOT_ITAIPU!$B$6:$BZ$6=$B123&amp;"A")*(Propagações_TOT_ITAIPU!$A$7:$A$69&gt;=PREVS_SMAP_DIARIO!Q$26)*(Propagações_TOT_ITAIPU!$A$7:$A$69&lt;=PREVS_SMAP_DIARIO!Q$27),0))</f>
        <v>0</v>
      </c>
      <c r="R120"/>
      <c r="S120"/>
      <c r="T120" s="272">
        <v>93</v>
      </c>
      <c r="V120" s="202">
        <f ca="1">IFERROR(ROUND(INDEX(F:F,MATCH($T120,$A:$A,0)),0),INDEX(PREVIVAZ!$C94:$N94,1,MATCH(V$27,PREVIVAZ!$C$1:$N$1,1)))</f>
        <v>0</v>
      </c>
      <c r="W120" s="202">
        <f ca="1">IFERROR(ROUND(INDEX(G:G,MATCH($T120,$A:$A,0)),0),INDEX(PREVIVAZ!$C94:$N94,1,MATCH(W$27,PREVIVAZ!$C$1:$N$1,1)))</f>
        <v>0</v>
      </c>
      <c r="X120" s="202">
        <f ca="1">IFERROR(ROUND(INDEX(H:H,MATCH($T120,$A:$A,0)),0),INDEX(PREVIVAZ!$C94:$N94,1,MATCH(X$27,PREVIVAZ!$C$1:$N$1,1)))</f>
        <v>0</v>
      </c>
      <c r="Y120" s="202">
        <f ca="1">IFERROR(ROUND(INDEX(I:I,MATCH($T120,$A:$A,0)),0),INDEX(PREVIVAZ!$C94:$N94,1,MATCH(Y$27,PREVIVAZ!$C$1:$N$1,1)))</f>
        <v>0</v>
      </c>
      <c r="Z120" s="202">
        <f ca="1">IFERROR(ROUND(INDEX(J:J,MATCH($T120,$A:$A,0)),0),INDEX(PREVIVAZ!$C94:$N94,1,MATCH(Z$27,PREVIVAZ!$C$1:$N$1,1)))</f>
        <v>0</v>
      </c>
      <c r="AA120" s="202">
        <f ca="1">IFERROR(ROUND(INDEX(K:K,MATCH($T120,$A:$A,0)),0),INDEX(PREVIVAZ!$C94:$N94,1,MATCH(AA$27,PREVIVAZ!$C$1:$N$1,1)))</f>
        <v>0</v>
      </c>
      <c r="AB120" s="202">
        <f ca="1">IFERROR(ROUND(INDEX(L:L,MATCH($T120,$A:$A,0)),0),INDEX(PREVIVAZ!$C94:$N94,1,MATCH(AB$27,PREVIVAZ!$C$1:$N$1,1)))</f>
        <v>0</v>
      </c>
      <c r="AC120" s="202">
        <f ca="1">IFERROR(ROUND(INDEX(M:M,MATCH($T120,$A:$A,0)),0),INDEX(PREVIVAZ!$C94:$N94,1,MATCH(AC$27,PREVIVAZ!$C$1:$N$1,1)))</f>
        <v>0</v>
      </c>
      <c r="AD120" s="202">
        <f ca="1">IFERROR(ROUND(INDEX(N:N,MATCH($T120,$A:$A,0)),0),INDEX(PREVIVAZ!$C94:$N94,1,MATCH(AD$27,PREVIVAZ!$C$1:$N$1,1)))</f>
        <v>0</v>
      </c>
      <c r="AE120" s="202">
        <f ca="1">IFERROR(ROUND(INDEX(O:O,MATCH($T120,$A:$A,0)),0),INDEX(PREVIVAZ!$C94:$N94,1,MATCH(AE$27,PREVIVAZ!$C$1:$N$1,1)))</f>
        <v>0</v>
      </c>
      <c r="AF120" s="202">
        <f ca="1">IFERROR(ROUND(INDEX(P:P,MATCH($T120,$A:$A,0)),0),INDEX(PREVIVAZ!$C94:$N94,1,MATCH(AF$27,PREVIVAZ!$C$1:$N$1,1)))</f>
        <v>0</v>
      </c>
      <c r="AG120" s="202">
        <f ca="1">IFERROR(ROUND(INDEX(Q:Q,MATCH($T120,$A:$A,0)),0),INDEX(PREVIVAZ!$C94:$N94,1,MATCH(AG$27,PREVIVAZ!$C$1:$N$1,1)))</f>
        <v>0</v>
      </c>
    </row>
    <row r="121" spans="1:33" ht="12.75" x14ac:dyDescent="0.2">
      <c r="A121" s="294">
        <v>34</v>
      </c>
      <c r="B121" s="283" t="str">
        <f>A121 &amp; "_VN"</f>
        <v>34_VN</v>
      </c>
      <c r="C121" s="240"/>
      <c r="D121" s="307">
        <f>A121</f>
        <v>34</v>
      </c>
      <c r="E121" s="22">
        <f t="shared" ref="E121:Q121" ca="1" si="29">IF(E118&gt;0,E118,NA())</f>
        <v>4391</v>
      </c>
      <c r="F121" s="22" t="e">
        <f t="shared" ca="1" si="29"/>
        <v>#N/A</v>
      </c>
      <c r="G121" s="22" t="e">
        <f t="shared" ca="1" si="29"/>
        <v>#N/A</v>
      </c>
      <c r="H121" s="22" t="e">
        <f t="shared" ca="1" si="29"/>
        <v>#N/A</v>
      </c>
      <c r="I121" s="22" t="e">
        <f t="shared" ca="1" si="29"/>
        <v>#N/A</v>
      </c>
      <c r="J121" s="22" t="e">
        <f t="shared" ca="1" si="29"/>
        <v>#N/A</v>
      </c>
      <c r="K121" s="22" t="e">
        <f t="shared" ca="1" si="29"/>
        <v>#N/A</v>
      </c>
      <c r="L121" s="22" t="e">
        <f t="shared" ca="1" si="29"/>
        <v>#N/A</v>
      </c>
      <c r="M121" s="22" t="e">
        <f t="shared" ca="1" si="29"/>
        <v>#N/A</v>
      </c>
      <c r="N121" s="22" t="e">
        <f t="shared" ca="1" si="29"/>
        <v>#N/A</v>
      </c>
      <c r="O121" s="22" t="e">
        <f t="shared" ca="1" si="29"/>
        <v>#N/A</v>
      </c>
      <c r="P121" s="22" t="e">
        <f t="shared" ca="1" si="29"/>
        <v>#N/A</v>
      </c>
      <c r="Q121" s="22" t="e">
        <f t="shared" ca="1" si="29"/>
        <v>#N/A</v>
      </c>
      <c r="R121"/>
      <c r="S121"/>
      <c r="T121" s="272">
        <v>94</v>
      </c>
      <c r="V121" s="202">
        <f ca="1">IFERROR(ROUND(INDEX(F:F,MATCH($T121,$A:$A,0)),0),INDEX(PREVIVAZ!$C95:$N95,1,MATCH(V$27,PREVIVAZ!$C$1:$N$1,1)))</f>
        <v>0</v>
      </c>
      <c r="W121" s="202">
        <f ca="1">IFERROR(ROUND(INDEX(G:G,MATCH($T121,$A:$A,0)),0),INDEX(PREVIVAZ!$C95:$N95,1,MATCH(W$27,PREVIVAZ!$C$1:$N$1,1)))</f>
        <v>0</v>
      </c>
      <c r="X121" s="202">
        <f ca="1">IFERROR(ROUND(INDEX(H:H,MATCH($T121,$A:$A,0)),0),INDEX(PREVIVAZ!$C95:$N95,1,MATCH(X$27,PREVIVAZ!$C$1:$N$1,1)))</f>
        <v>0</v>
      </c>
      <c r="Y121" s="202">
        <f ca="1">IFERROR(ROUND(INDEX(I:I,MATCH($T121,$A:$A,0)),0),INDEX(PREVIVAZ!$C95:$N95,1,MATCH(Y$27,PREVIVAZ!$C$1:$N$1,1)))</f>
        <v>0</v>
      </c>
      <c r="Z121" s="202">
        <f ca="1">IFERROR(ROUND(INDEX(J:J,MATCH($T121,$A:$A,0)),0),INDEX(PREVIVAZ!$C95:$N95,1,MATCH(Z$27,PREVIVAZ!$C$1:$N$1,1)))</f>
        <v>0</v>
      </c>
      <c r="AA121" s="202">
        <f ca="1">IFERROR(ROUND(INDEX(K:K,MATCH($T121,$A:$A,0)),0),INDEX(PREVIVAZ!$C95:$N95,1,MATCH(AA$27,PREVIVAZ!$C$1:$N$1,1)))</f>
        <v>0</v>
      </c>
      <c r="AB121" s="202">
        <f ca="1">IFERROR(ROUND(INDEX(L:L,MATCH($T121,$A:$A,0)),0),INDEX(PREVIVAZ!$C95:$N95,1,MATCH(AB$27,PREVIVAZ!$C$1:$N$1,1)))</f>
        <v>0</v>
      </c>
      <c r="AC121" s="202">
        <f ca="1">IFERROR(ROUND(INDEX(M:M,MATCH($T121,$A:$A,0)),0),INDEX(PREVIVAZ!$C95:$N95,1,MATCH(AC$27,PREVIVAZ!$C$1:$N$1,1)))</f>
        <v>0</v>
      </c>
      <c r="AD121" s="202">
        <f ca="1">IFERROR(ROUND(INDEX(N:N,MATCH($T121,$A:$A,0)),0),INDEX(PREVIVAZ!$C95:$N95,1,MATCH(AD$27,PREVIVAZ!$C$1:$N$1,1)))</f>
        <v>0</v>
      </c>
      <c r="AE121" s="202">
        <f ca="1">IFERROR(ROUND(INDEX(O:O,MATCH($T121,$A:$A,0)),0),INDEX(PREVIVAZ!$C95:$N95,1,MATCH(AE$27,PREVIVAZ!$C$1:$N$1,1)))</f>
        <v>0</v>
      </c>
      <c r="AF121" s="202">
        <f ca="1">IFERROR(ROUND(INDEX(P:P,MATCH($T121,$A:$A,0)),0),INDEX(PREVIVAZ!$C95:$N95,1,MATCH(AF$27,PREVIVAZ!$C$1:$N$1,1)))</f>
        <v>0</v>
      </c>
      <c r="AG121" s="202">
        <f ca="1">IFERROR(ROUND(INDEX(Q:Q,MATCH($T121,$A:$A,0)),0),INDEX(PREVIVAZ!$C95:$N95,1,MATCH(AG$27,PREVIVAZ!$C$1:$N$1,1)))</f>
        <v>0</v>
      </c>
    </row>
    <row r="122" spans="1:33" ht="12.75" x14ac:dyDescent="0.2">
      <c r="A122" s="294">
        <v>245</v>
      </c>
      <c r="B122" s="283" t="str">
        <f>A122 &amp; "_VN"</f>
        <v>245_VN</v>
      </c>
      <c r="C122" s="240"/>
      <c r="D122" s="307">
        <f>A122</f>
        <v>245</v>
      </c>
      <c r="E122" s="22">
        <f t="shared" ref="E122:Q122" ca="1" si="30">IF(E119&gt;0,E119,NA())</f>
        <v>5418</v>
      </c>
      <c r="F122" s="22" t="e">
        <f t="shared" ca="1" si="30"/>
        <v>#N/A</v>
      </c>
      <c r="G122" s="22" t="e">
        <f t="shared" ca="1" si="30"/>
        <v>#N/A</v>
      </c>
      <c r="H122" s="22" t="e">
        <f t="shared" ca="1" si="30"/>
        <v>#N/A</v>
      </c>
      <c r="I122" s="22" t="e">
        <f t="shared" ca="1" si="30"/>
        <v>#N/A</v>
      </c>
      <c r="J122" s="22" t="e">
        <f t="shared" ca="1" si="30"/>
        <v>#N/A</v>
      </c>
      <c r="K122" s="22" t="e">
        <f t="shared" ca="1" si="30"/>
        <v>#N/A</v>
      </c>
      <c r="L122" s="22" t="e">
        <f t="shared" ca="1" si="30"/>
        <v>#N/A</v>
      </c>
      <c r="M122" s="22" t="e">
        <f t="shared" ca="1" si="30"/>
        <v>#N/A</v>
      </c>
      <c r="N122" s="22" t="e">
        <f t="shared" ca="1" si="30"/>
        <v>#N/A</v>
      </c>
      <c r="O122" s="22" t="e">
        <f t="shared" ca="1" si="30"/>
        <v>#N/A</v>
      </c>
      <c r="P122" s="22" t="e">
        <f t="shared" ca="1" si="30"/>
        <v>#N/A</v>
      </c>
      <c r="Q122" s="22" t="e">
        <f t="shared" ca="1" si="30"/>
        <v>#N/A</v>
      </c>
      <c r="R122"/>
      <c r="S122"/>
      <c r="T122" s="272">
        <v>95</v>
      </c>
      <c r="V122" s="202" t="e">
        <f ca="1">IFERROR(ROUND(INDEX(F:F,MATCH($T122,$A:$A,0)),0),INDEX(PREVIVAZ!$C96:$N96,1,MATCH(V$27,PREVIVAZ!$C$1:$N$1,1)))</f>
        <v>#N/A</v>
      </c>
      <c r="W122" s="202" t="e">
        <f ca="1">IFERROR(ROUND(INDEX(G:G,MATCH($T122,$A:$A,0)),0),INDEX(PREVIVAZ!$C96:$N96,1,MATCH(W$27,PREVIVAZ!$C$1:$N$1,1)))</f>
        <v>#N/A</v>
      </c>
      <c r="X122" s="202" t="e">
        <f ca="1">IFERROR(ROUND(INDEX(H:H,MATCH($T122,$A:$A,0)),0),INDEX(PREVIVAZ!$C96:$N96,1,MATCH(X$27,PREVIVAZ!$C$1:$N$1,1)))</f>
        <v>#N/A</v>
      </c>
      <c r="Y122" s="202" t="e">
        <f ca="1">IFERROR(ROUND(INDEX(I:I,MATCH($T122,$A:$A,0)),0),INDEX(PREVIVAZ!$C96:$N96,1,MATCH(Y$27,PREVIVAZ!$C$1:$N$1,1)))</f>
        <v>#N/A</v>
      </c>
      <c r="Z122" s="202" t="e">
        <f ca="1">IFERROR(ROUND(INDEX(J:J,MATCH($T122,$A:$A,0)),0),INDEX(PREVIVAZ!$C96:$N96,1,MATCH(Z$27,PREVIVAZ!$C$1:$N$1,1)))</f>
        <v>#N/A</v>
      </c>
      <c r="AA122" s="202" t="e">
        <f ca="1">IFERROR(ROUND(INDEX(K:K,MATCH($T122,$A:$A,0)),0),INDEX(PREVIVAZ!$C96:$N96,1,MATCH(AA$27,PREVIVAZ!$C$1:$N$1,1)))</f>
        <v>#N/A</v>
      </c>
      <c r="AB122" s="202" t="e">
        <f ca="1">IFERROR(ROUND(INDEX(L:L,MATCH($T122,$A:$A,0)),0),INDEX(PREVIVAZ!$C96:$N96,1,MATCH(AB$27,PREVIVAZ!$C$1:$N$1,1)))</f>
        <v>#N/A</v>
      </c>
      <c r="AC122" s="202" t="e">
        <f ca="1">IFERROR(ROUND(INDEX(M:M,MATCH($T122,$A:$A,0)),0),INDEX(PREVIVAZ!$C96:$N96,1,MATCH(AC$27,PREVIVAZ!$C$1:$N$1,1)))</f>
        <v>#N/A</v>
      </c>
      <c r="AD122" s="202" t="e">
        <f ca="1">IFERROR(ROUND(INDEX(N:N,MATCH($T122,$A:$A,0)),0),INDEX(PREVIVAZ!$C96:$N96,1,MATCH(AD$27,PREVIVAZ!$C$1:$N$1,1)))</f>
        <v>#N/A</v>
      </c>
      <c r="AE122" s="202" t="e">
        <f ca="1">IFERROR(ROUND(INDEX(O:O,MATCH($T122,$A:$A,0)),0),INDEX(PREVIVAZ!$C96:$N96,1,MATCH(AE$27,PREVIVAZ!$C$1:$N$1,1)))</f>
        <v>#N/A</v>
      </c>
      <c r="AF122" s="202" t="e">
        <f ca="1">IFERROR(ROUND(INDEX(P:P,MATCH($T122,$A:$A,0)),0),INDEX(PREVIVAZ!$C96:$N96,1,MATCH(AF$27,PREVIVAZ!$C$1:$N$1,1)))</f>
        <v>#N/A</v>
      </c>
      <c r="AG122" s="202" t="e">
        <f ca="1">IFERROR(ROUND(INDEX(Q:Q,MATCH($T122,$A:$A,0)),0),INDEX(PREVIVAZ!$C96:$N96,1,MATCH(AG$27,PREVIVAZ!$C$1:$N$1,1)))</f>
        <v>#N/A</v>
      </c>
    </row>
    <row r="123" spans="1:33" ht="12.75" x14ac:dyDescent="0.2">
      <c r="A123" s="294">
        <v>246</v>
      </c>
      <c r="B123" s="283" t="str">
        <f>A123 &amp; "_VN"</f>
        <v>246_VN</v>
      </c>
      <c r="C123" s="240"/>
      <c r="D123" s="202">
        <f>A123</f>
        <v>246</v>
      </c>
      <c r="E123" s="22">
        <f ca="1">IF(E120&gt;0,E120,NA())</f>
        <v>5882</v>
      </c>
      <c r="F123" s="22">
        <f t="shared" ref="F123:Q123" ca="1" si="31">IF(F120&gt;0,F120,NA())</f>
        <v>5973.4285714285716</v>
      </c>
      <c r="G123" s="22">
        <f t="shared" ca="1" si="31"/>
        <v>6333.5176931516198</v>
      </c>
      <c r="H123" s="22" t="e">
        <f t="shared" ca="1" si="31"/>
        <v>#N/A</v>
      </c>
      <c r="I123" s="22" t="e">
        <f t="shared" ca="1" si="31"/>
        <v>#N/A</v>
      </c>
      <c r="J123" s="22" t="e">
        <f t="shared" ca="1" si="31"/>
        <v>#N/A</v>
      </c>
      <c r="K123" s="22" t="e">
        <f t="shared" ca="1" si="31"/>
        <v>#N/A</v>
      </c>
      <c r="L123" s="22" t="e">
        <f t="shared" ca="1" si="31"/>
        <v>#N/A</v>
      </c>
      <c r="M123" s="22" t="e">
        <f t="shared" ca="1" si="31"/>
        <v>#N/A</v>
      </c>
      <c r="N123" s="22" t="e">
        <f t="shared" ca="1" si="31"/>
        <v>#N/A</v>
      </c>
      <c r="O123" s="22" t="e">
        <f t="shared" ca="1" si="31"/>
        <v>#N/A</v>
      </c>
      <c r="P123" s="22" t="e">
        <f t="shared" ca="1" si="31"/>
        <v>#N/A</v>
      </c>
      <c r="Q123" s="22" t="e">
        <f t="shared" ca="1" si="31"/>
        <v>#N/A</v>
      </c>
      <c r="R123"/>
      <c r="S123"/>
      <c r="T123" s="272">
        <v>96</v>
      </c>
      <c r="V123" s="202" t="e">
        <f ca="1">IFERROR(ROUND(INDEX(F:F,MATCH($T123,$A:$A,0)),0),INDEX(PREVIVAZ!$C97:$N97,1,MATCH(V$27,PREVIVAZ!$C$1:$N$1,1)))</f>
        <v>#N/A</v>
      </c>
      <c r="W123" s="202" t="e">
        <f ca="1">IFERROR(ROUND(INDEX(G:G,MATCH($T123,$A:$A,0)),0),INDEX(PREVIVAZ!$C97:$N97,1,MATCH(W$27,PREVIVAZ!$C$1:$N$1,1)))</f>
        <v>#N/A</v>
      </c>
      <c r="X123" s="202" t="e">
        <f ca="1">IFERROR(ROUND(INDEX(H:H,MATCH($T123,$A:$A,0)),0),INDEX(PREVIVAZ!$C97:$N97,1,MATCH(X$27,PREVIVAZ!$C$1:$N$1,1)))</f>
        <v>#N/A</v>
      </c>
      <c r="Y123" s="202" t="e">
        <f ca="1">IFERROR(ROUND(INDEX(I:I,MATCH($T123,$A:$A,0)),0),INDEX(PREVIVAZ!$C97:$N97,1,MATCH(Y$27,PREVIVAZ!$C$1:$N$1,1)))</f>
        <v>#N/A</v>
      </c>
      <c r="Z123" s="202" t="e">
        <f ca="1">IFERROR(ROUND(INDEX(J:J,MATCH($T123,$A:$A,0)),0),INDEX(PREVIVAZ!$C97:$N97,1,MATCH(Z$27,PREVIVAZ!$C$1:$N$1,1)))</f>
        <v>#N/A</v>
      </c>
      <c r="AA123" s="202" t="e">
        <f ca="1">IFERROR(ROUND(INDEX(K:K,MATCH($T123,$A:$A,0)),0),INDEX(PREVIVAZ!$C97:$N97,1,MATCH(AA$27,PREVIVAZ!$C$1:$N$1,1)))</f>
        <v>#N/A</v>
      </c>
      <c r="AB123" s="202" t="e">
        <f ca="1">IFERROR(ROUND(INDEX(L:L,MATCH($T123,$A:$A,0)),0),INDEX(PREVIVAZ!$C97:$N97,1,MATCH(AB$27,PREVIVAZ!$C$1:$N$1,1)))</f>
        <v>#N/A</v>
      </c>
      <c r="AC123" s="202" t="e">
        <f ca="1">IFERROR(ROUND(INDEX(M:M,MATCH($T123,$A:$A,0)),0),INDEX(PREVIVAZ!$C97:$N97,1,MATCH(AC$27,PREVIVAZ!$C$1:$N$1,1)))</f>
        <v>#N/A</v>
      </c>
      <c r="AD123" s="202" t="e">
        <f ca="1">IFERROR(ROUND(INDEX(N:N,MATCH($T123,$A:$A,0)),0),INDEX(PREVIVAZ!$C97:$N97,1,MATCH(AD$27,PREVIVAZ!$C$1:$N$1,1)))</f>
        <v>#N/A</v>
      </c>
      <c r="AE123" s="202" t="e">
        <f ca="1">IFERROR(ROUND(INDEX(O:O,MATCH($T123,$A:$A,0)),0),INDEX(PREVIVAZ!$C97:$N97,1,MATCH(AE$27,PREVIVAZ!$C$1:$N$1,1)))</f>
        <v>#N/A</v>
      </c>
      <c r="AF123" s="202" t="e">
        <f ca="1">IFERROR(ROUND(INDEX(P:P,MATCH($T123,$A:$A,0)),0),INDEX(PREVIVAZ!$C97:$N97,1,MATCH(AF$27,PREVIVAZ!$C$1:$N$1,1)))</f>
        <v>#N/A</v>
      </c>
      <c r="AG123" s="202" t="e">
        <f ca="1">IFERROR(ROUND(INDEX(Q:Q,MATCH($T123,$A:$A,0)),0),INDEX(PREVIVAZ!$C97:$N97,1,MATCH(AG$27,PREVIVAZ!$C$1:$N$1,1)))</f>
        <v>#N/A</v>
      </c>
    </row>
    <row r="124" spans="1:33" ht="12.75" x14ac:dyDescent="0.2">
      <c r="R124"/>
      <c r="S124"/>
      <c r="T124" s="202">
        <v>97</v>
      </c>
      <c r="U124" s="202"/>
      <c r="V124" s="202" t="e">
        <f ca="1">IFERROR(ROUND(INDEX(F:F,MATCH($T124,$A:$A,0)),0),INDEX(PREVIVAZ!$C98:$N98,1,MATCH(V$27,PREVIVAZ!$C$1:$N$1,1)))</f>
        <v>#N/A</v>
      </c>
      <c r="W124" s="202" t="e">
        <f ca="1">IFERROR(ROUND(INDEX(G:G,MATCH($T124,$A:$A,0)),0),INDEX(PREVIVAZ!$C98:$N98,1,MATCH(W$27,PREVIVAZ!$C$1:$N$1,1)))</f>
        <v>#N/A</v>
      </c>
      <c r="X124" s="202" t="e">
        <f ca="1">IFERROR(ROUND(INDEX(H:H,MATCH($T124,$A:$A,0)),0),INDEX(PREVIVAZ!$C98:$N98,1,MATCH(X$27,PREVIVAZ!$C$1:$N$1,1)))</f>
        <v>#N/A</v>
      </c>
      <c r="Y124" s="202" t="e">
        <f ca="1">IFERROR(ROUND(INDEX(I:I,MATCH($T124,$A:$A,0)),0),INDEX(PREVIVAZ!$C98:$N98,1,MATCH(Y$27,PREVIVAZ!$C$1:$N$1,1)))</f>
        <v>#N/A</v>
      </c>
      <c r="Z124" s="202" t="e">
        <f ca="1">IFERROR(ROUND(INDEX(J:J,MATCH($T124,$A:$A,0)),0),INDEX(PREVIVAZ!$C98:$N98,1,MATCH(Z$27,PREVIVAZ!$C$1:$N$1,1)))</f>
        <v>#N/A</v>
      </c>
      <c r="AA124" s="202" t="e">
        <f ca="1">IFERROR(ROUND(INDEX(K:K,MATCH($T124,$A:$A,0)),0),INDEX(PREVIVAZ!$C98:$N98,1,MATCH(AA$27,PREVIVAZ!$C$1:$N$1,1)))</f>
        <v>#N/A</v>
      </c>
      <c r="AB124" s="202" t="e">
        <f ca="1">IFERROR(ROUND(INDEX(L:L,MATCH($T124,$A:$A,0)),0),INDEX(PREVIVAZ!$C98:$N98,1,MATCH(AB$27,PREVIVAZ!$C$1:$N$1,1)))</f>
        <v>#N/A</v>
      </c>
      <c r="AC124" s="202" t="e">
        <f ca="1">IFERROR(ROUND(INDEX(M:M,MATCH($T124,$A:$A,0)),0),INDEX(PREVIVAZ!$C98:$N98,1,MATCH(AC$27,PREVIVAZ!$C$1:$N$1,1)))</f>
        <v>#N/A</v>
      </c>
      <c r="AD124" s="202" t="e">
        <f ca="1">IFERROR(ROUND(INDEX(N:N,MATCH($T124,$A:$A,0)),0),INDEX(PREVIVAZ!$C98:$N98,1,MATCH(AD$27,PREVIVAZ!$C$1:$N$1,1)))</f>
        <v>#N/A</v>
      </c>
      <c r="AE124" s="202" t="e">
        <f ca="1">IFERROR(ROUND(INDEX(O:O,MATCH($T124,$A:$A,0)),0),INDEX(PREVIVAZ!$C98:$N98,1,MATCH(AE$27,PREVIVAZ!$C$1:$N$1,1)))</f>
        <v>#N/A</v>
      </c>
      <c r="AF124" s="202" t="e">
        <f ca="1">IFERROR(ROUND(INDEX(P:P,MATCH($T124,$A:$A,0)),0),INDEX(PREVIVAZ!$C98:$N98,1,MATCH(AF$27,PREVIVAZ!$C$1:$N$1,1)))</f>
        <v>#N/A</v>
      </c>
      <c r="AG124" s="202" t="e">
        <f ca="1">IFERROR(ROUND(INDEX(Q:Q,MATCH($T124,$A:$A,0)),0),INDEX(PREVIVAZ!$C98:$N98,1,MATCH(AG$27,PREVIVAZ!$C$1:$N$1,1)))</f>
        <v>#N/A</v>
      </c>
    </row>
    <row r="125" spans="1:33" ht="12.75" x14ac:dyDescent="0.2">
      <c r="O125"/>
      <c r="P125"/>
      <c r="Q125"/>
      <c r="R125"/>
      <c r="S125"/>
      <c r="T125" s="202">
        <v>98</v>
      </c>
      <c r="U125" s="202"/>
      <c r="V125" s="202" t="e">
        <f ca="1">IFERROR(ROUND(INDEX(F:F,MATCH($T125,$A:$A,0)),0),INDEX(PREVIVAZ!$C99:$N99,1,MATCH(V$27,PREVIVAZ!$C$1:$N$1,1)))</f>
        <v>#N/A</v>
      </c>
      <c r="W125" s="202" t="e">
        <f ca="1">IFERROR(ROUND(INDEX(G:G,MATCH($T125,$A:$A,0)),0),INDEX(PREVIVAZ!$C99:$N99,1,MATCH(W$27,PREVIVAZ!$C$1:$N$1,1)))</f>
        <v>#N/A</v>
      </c>
      <c r="X125" s="202" t="e">
        <f ca="1">IFERROR(ROUND(INDEX(H:H,MATCH($T125,$A:$A,0)),0),INDEX(PREVIVAZ!$C99:$N99,1,MATCH(X$27,PREVIVAZ!$C$1:$N$1,1)))</f>
        <v>#N/A</v>
      </c>
      <c r="Y125" s="202" t="e">
        <f ca="1">IFERROR(ROUND(INDEX(I:I,MATCH($T125,$A:$A,0)),0),INDEX(PREVIVAZ!$C99:$N99,1,MATCH(Y$27,PREVIVAZ!$C$1:$N$1,1)))</f>
        <v>#N/A</v>
      </c>
      <c r="Z125" s="202" t="e">
        <f ca="1">IFERROR(ROUND(INDEX(J:J,MATCH($T125,$A:$A,0)),0),INDEX(PREVIVAZ!$C99:$N99,1,MATCH(Z$27,PREVIVAZ!$C$1:$N$1,1)))</f>
        <v>#N/A</v>
      </c>
      <c r="AA125" s="202" t="e">
        <f ca="1">IFERROR(ROUND(INDEX(K:K,MATCH($T125,$A:$A,0)),0),INDEX(PREVIVAZ!$C99:$N99,1,MATCH(AA$27,PREVIVAZ!$C$1:$N$1,1)))</f>
        <v>#N/A</v>
      </c>
      <c r="AB125" s="202" t="e">
        <f ca="1">IFERROR(ROUND(INDEX(L:L,MATCH($T125,$A:$A,0)),0),INDEX(PREVIVAZ!$C99:$N99,1,MATCH(AB$27,PREVIVAZ!$C$1:$N$1,1)))</f>
        <v>#N/A</v>
      </c>
      <c r="AC125" s="202" t="e">
        <f ca="1">IFERROR(ROUND(INDEX(M:M,MATCH($T125,$A:$A,0)),0),INDEX(PREVIVAZ!$C99:$N99,1,MATCH(AC$27,PREVIVAZ!$C$1:$N$1,1)))</f>
        <v>#N/A</v>
      </c>
      <c r="AD125" s="202" t="e">
        <f ca="1">IFERROR(ROUND(INDEX(N:N,MATCH($T125,$A:$A,0)),0),INDEX(PREVIVAZ!$C99:$N99,1,MATCH(AD$27,PREVIVAZ!$C$1:$N$1,1)))</f>
        <v>#N/A</v>
      </c>
      <c r="AE125" s="202" t="e">
        <f ca="1">IFERROR(ROUND(INDEX(O:O,MATCH($T125,$A:$A,0)),0),INDEX(PREVIVAZ!$C99:$N99,1,MATCH(AE$27,PREVIVAZ!$C$1:$N$1,1)))</f>
        <v>#N/A</v>
      </c>
      <c r="AF125" s="202" t="e">
        <f ca="1">IFERROR(ROUND(INDEX(P:P,MATCH($T125,$A:$A,0)),0),INDEX(PREVIVAZ!$C99:$N99,1,MATCH(AF$27,PREVIVAZ!$C$1:$N$1,1)))</f>
        <v>#N/A</v>
      </c>
      <c r="AG125" s="202" t="e">
        <f ca="1">IFERROR(ROUND(INDEX(Q:Q,MATCH($T125,$A:$A,0)),0),INDEX(PREVIVAZ!$C99:$N99,1,MATCH(AG$27,PREVIVAZ!$C$1:$N$1,1)))</f>
        <v>#N/A</v>
      </c>
    </row>
    <row r="126" spans="1:33" ht="12.75" x14ac:dyDescent="0.2">
      <c r="O126"/>
      <c r="P126"/>
      <c r="Q126"/>
      <c r="R126"/>
      <c r="S126"/>
      <c r="T126" s="272">
        <v>99</v>
      </c>
      <c r="V126" s="202" t="e">
        <f ca="1">IFERROR(ROUND(INDEX(F:F,MATCH($T126,$A:$A,0)),0),INDEX(PREVIVAZ!$C100:$N100,1,MATCH(V$27,PREVIVAZ!$C$1:$N$1,1)))</f>
        <v>#N/A</v>
      </c>
      <c r="W126" s="202" t="e">
        <f ca="1">IFERROR(ROUND(INDEX(G:G,MATCH($T126,$A:$A,0)),0),INDEX(PREVIVAZ!$C100:$N100,1,MATCH(W$27,PREVIVAZ!$C$1:$N$1,1)))</f>
        <v>#N/A</v>
      </c>
      <c r="X126" s="202" t="e">
        <f ca="1">IFERROR(ROUND(INDEX(H:H,MATCH($T126,$A:$A,0)),0),INDEX(PREVIVAZ!$C100:$N100,1,MATCH(X$27,PREVIVAZ!$C$1:$N$1,1)))</f>
        <v>#N/A</v>
      </c>
      <c r="Y126" s="202" t="e">
        <f ca="1">IFERROR(ROUND(INDEX(I:I,MATCH($T126,$A:$A,0)),0),INDEX(PREVIVAZ!$C100:$N100,1,MATCH(Y$27,PREVIVAZ!$C$1:$N$1,1)))</f>
        <v>#N/A</v>
      </c>
      <c r="Z126" s="202" t="e">
        <f ca="1">IFERROR(ROUND(INDEX(J:J,MATCH($T126,$A:$A,0)),0),INDEX(PREVIVAZ!$C100:$N100,1,MATCH(Z$27,PREVIVAZ!$C$1:$N$1,1)))</f>
        <v>#N/A</v>
      </c>
      <c r="AA126" s="202" t="e">
        <f ca="1">IFERROR(ROUND(INDEX(K:K,MATCH($T126,$A:$A,0)),0),INDEX(PREVIVAZ!$C100:$N100,1,MATCH(AA$27,PREVIVAZ!$C$1:$N$1,1)))</f>
        <v>#N/A</v>
      </c>
      <c r="AB126" s="202" t="e">
        <f ca="1">IFERROR(ROUND(INDEX(L:L,MATCH($T126,$A:$A,0)),0),INDEX(PREVIVAZ!$C100:$N100,1,MATCH(AB$27,PREVIVAZ!$C$1:$N$1,1)))</f>
        <v>#N/A</v>
      </c>
      <c r="AC126" s="202" t="e">
        <f ca="1">IFERROR(ROUND(INDEX(M:M,MATCH($T126,$A:$A,0)),0),INDEX(PREVIVAZ!$C100:$N100,1,MATCH(AC$27,PREVIVAZ!$C$1:$N$1,1)))</f>
        <v>#N/A</v>
      </c>
      <c r="AD126" s="202" t="e">
        <f ca="1">IFERROR(ROUND(INDEX(N:N,MATCH($T126,$A:$A,0)),0),INDEX(PREVIVAZ!$C100:$N100,1,MATCH(AD$27,PREVIVAZ!$C$1:$N$1,1)))</f>
        <v>#N/A</v>
      </c>
      <c r="AE126" s="202" t="e">
        <f ca="1">IFERROR(ROUND(INDEX(O:O,MATCH($T126,$A:$A,0)),0),INDEX(PREVIVAZ!$C100:$N100,1,MATCH(AE$27,PREVIVAZ!$C$1:$N$1,1)))</f>
        <v>#N/A</v>
      </c>
      <c r="AF126" s="202" t="e">
        <f ca="1">IFERROR(ROUND(INDEX(P:P,MATCH($T126,$A:$A,0)),0),INDEX(PREVIVAZ!$C100:$N100,1,MATCH(AF$27,PREVIVAZ!$C$1:$N$1,1)))</f>
        <v>#N/A</v>
      </c>
      <c r="AG126" s="202" t="e">
        <f ca="1">IFERROR(ROUND(INDEX(Q:Q,MATCH($T126,$A:$A,0)),0),INDEX(PREVIVAZ!$C100:$N100,1,MATCH(AG$27,PREVIVAZ!$C$1:$N$1,1)))</f>
        <v>#N/A</v>
      </c>
    </row>
    <row r="127" spans="1:33" ht="12.75" x14ac:dyDescent="0.2">
      <c r="O127"/>
      <c r="P127"/>
      <c r="Q127"/>
      <c r="R127"/>
      <c r="S127"/>
      <c r="T127" s="272">
        <v>100</v>
      </c>
      <c r="V127" s="202" t="e">
        <f ca="1">IFERROR(ROUND(INDEX(F:F,MATCH($T127,$A:$A,0)),0),INDEX(PREVIVAZ!$C101:$N101,1,MATCH(V$27,PREVIVAZ!$C$1:$N$1,1)))</f>
        <v>#N/A</v>
      </c>
      <c r="W127" s="202" t="e">
        <f ca="1">IFERROR(ROUND(INDEX(G:G,MATCH($T127,$A:$A,0)),0),INDEX(PREVIVAZ!$C101:$N101,1,MATCH(W$27,PREVIVAZ!$C$1:$N$1,1)))</f>
        <v>#N/A</v>
      </c>
      <c r="X127" s="202" t="e">
        <f ca="1">IFERROR(ROUND(INDEX(H:H,MATCH($T127,$A:$A,0)),0),INDEX(PREVIVAZ!$C101:$N101,1,MATCH(X$27,PREVIVAZ!$C$1:$N$1,1)))</f>
        <v>#N/A</v>
      </c>
      <c r="Y127" s="202" t="e">
        <f ca="1">IFERROR(ROUND(INDEX(I:I,MATCH($T127,$A:$A,0)),0),INDEX(PREVIVAZ!$C101:$N101,1,MATCH(Y$27,PREVIVAZ!$C$1:$N$1,1)))</f>
        <v>#N/A</v>
      </c>
      <c r="Z127" s="202" t="e">
        <f ca="1">IFERROR(ROUND(INDEX(J:J,MATCH($T127,$A:$A,0)),0),INDEX(PREVIVAZ!$C101:$N101,1,MATCH(Z$27,PREVIVAZ!$C$1:$N$1,1)))</f>
        <v>#N/A</v>
      </c>
      <c r="AA127" s="202" t="e">
        <f ca="1">IFERROR(ROUND(INDEX(K:K,MATCH($T127,$A:$A,0)),0),INDEX(PREVIVAZ!$C101:$N101,1,MATCH(AA$27,PREVIVAZ!$C$1:$N$1,1)))</f>
        <v>#N/A</v>
      </c>
      <c r="AB127" s="202" t="e">
        <f ca="1">IFERROR(ROUND(INDEX(L:L,MATCH($T127,$A:$A,0)),0),INDEX(PREVIVAZ!$C101:$N101,1,MATCH(AB$27,PREVIVAZ!$C$1:$N$1,1)))</f>
        <v>#N/A</v>
      </c>
      <c r="AC127" s="202" t="e">
        <f ca="1">IFERROR(ROUND(INDEX(M:M,MATCH($T127,$A:$A,0)),0),INDEX(PREVIVAZ!$C101:$N101,1,MATCH(AC$27,PREVIVAZ!$C$1:$N$1,1)))</f>
        <v>#N/A</v>
      </c>
      <c r="AD127" s="202" t="e">
        <f ca="1">IFERROR(ROUND(INDEX(N:N,MATCH($T127,$A:$A,0)),0),INDEX(PREVIVAZ!$C101:$N101,1,MATCH(AD$27,PREVIVAZ!$C$1:$N$1,1)))</f>
        <v>#N/A</v>
      </c>
      <c r="AE127" s="202" t="e">
        <f ca="1">IFERROR(ROUND(INDEX(O:O,MATCH($T127,$A:$A,0)),0),INDEX(PREVIVAZ!$C101:$N101,1,MATCH(AE$27,PREVIVAZ!$C$1:$N$1,1)))</f>
        <v>#N/A</v>
      </c>
      <c r="AF127" s="202" t="e">
        <f ca="1">IFERROR(ROUND(INDEX(P:P,MATCH($T127,$A:$A,0)),0),INDEX(PREVIVAZ!$C101:$N101,1,MATCH(AF$27,PREVIVAZ!$C$1:$N$1,1)))</f>
        <v>#N/A</v>
      </c>
      <c r="AG127" s="202" t="e">
        <f ca="1">IFERROR(ROUND(INDEX(Q:Q,MATCH($T127,$A:$A,0)),0),INDEX(PREVIVAZ!$C101:$N101,1,MATCH(AG$27,PREVIVAZ!$C$1:$N$1,1)))</f>
        <v>#N/A</v>
      </c>
    </row>
    <row r="128" spans="1:33" ht="12.75" x14ac:dyDescent="0.2">
      <c r="O128"/>
      <c r="P128"/>
      <c r="Q128"/>
      <c r="R128"/>
      <c r="S128"/>
      <c r="T128" s="272">
        <v>101</v>
      </c>
      <c r="V128" s="202" t="e">
        <f ca="1">IFERROR(ROUND(INDEX(F:F,MATCH($T128,$A:$A,0)),0),INDEX(PREVIVAZ!$C102:$N102,1,MATCH(V$27,PREVIVAZ!$C$1:$N$1,1)))</f>
        <v>#N/A</v>
      </c>
      <c r="W128" s="202" t="e">
        <f ca="1">IFERROR(ROUND(INDEX(G:G,MATCH($T128,$A:$A,0)),0),INDEX(PREVIVAZ!$C102:$N102,1,MATCH(W$27,PREVIVAZ!$C$1:$N$1,1)))</f>
        <v>#N/A</v>
      </c>
      <c r="X128" s="202" t="e">
        <f ca="1">IFERROR(ROUND(INDEX(H:H,MATCH($T128,$A:$A,0)),0),INDEX(PREVIVAZ!$C102:$N102,1,MATCH(X$27,PREVIVAZ!$C$1:$N$1,1)))</f>
        <v>#N/A</v>
      </c>
      <c r="Y128" s="202" t="e">
        <f ca="1">IFERROR(ROUND(INDEX(I:I,MATCH($T128,$A:$A,0)),0),INDEX(PREVIVAZ!$C102:$N102,1,MATCH(Y$27,PREVIVAZ!$C$1:$N$1,1)))</f>
        <v>#N/A</v>
      </c>
      <c r="Z128" s="202" t="e">
        <f ca="1">IFERROR(ROUND(INDEX(J:J,MATCH($T128,$A:$A,0)),0),INDEX(PREVIVAZ!$C102:$N102,1,MATCH(Z$27,PREVIVAZ!$C$1:$N$1,1)))</f>
        <v>#N/A</v>
      </c>
      <c r="AA128" s="202" t="e">
        <f ca="1">IFERROR(ROUND(INDEX(K:K,MATCH($T128,$A:$A,0)),0),INDEX(PREVIVAZ!$C102:$N102,1,MATCH(AA$27,PREVIVAZ!$C$1:$N$1,1)))</f>
        <v>#N/A</v>
      </c>
      <c r="AB128" s="202" t="e">
        <f ca="1">IFERROR(ROUND(INDEX(L:L,MATCH($T128,$A:$A,0)),0),INDEX(PREVIVAZ!$C102:$N102,1,MATCH(AB$27,PREVIVAZ!$C$1:$N$1,1)))</f>
        <v>#N/A</v>
      </c>
      <c r="AC128" s="202" t="e">
        <f ca="1">IFERROR(ROUND(INDEX(M:M,MATCH($T128,$A:$A,0)),0),INDEX(PREVIVAZ!$C102:$N102,1,MATCH(AC$27,PREVIVAZ!$C$1:$N$1,1)))</f>
        <v>#N/A</v>
      </c>
      <c r="AD128" s="202" t="e">
        <f ca="1">IFERROR(ROUND(INDEX(N:N,MATCH($T128,$A:$A,0)),0),INDEX(PREVIVAZ!$C102:$N102,1,MATCH(AD$27,PREVIVAZ!$C$1:$N$1,1)))</f>
        <v>#N/A</v>
      </c>
      <c r="AE128" s="202" t="e">
        <f ca="1">IFERROR(ROUND(INDEX(O:O,MATCH($T128,$A:$A,0)),0),INDEX(PREVIVAZ!$C102:$N102,1,MATCH(AE$27,PREVIVAZ!$C$1:$N$1,1)))</f>
        <v>#N/A</v>
      </c>
      <c r="AF128" s="202" t="e">
        <f ca="1">IFERROR(ROUND(INDEX(P:P,MATCH($T128,$A:$A,0)),0),INDEX(PREVIVAZ!$C102:$N102,1,MATCH(AF$27,PREVIVAZ!$C$1:$N$1,1)))</f>
        <v>#N/A</v>
      </c>
      <c r="AG128" s="202" t="e">
        <f ca="1">IFERROR(ROUND(INDEX(Q:Q,MATCH($T128,$A:$A,0)),0),INDEX(PREVIVAZ!$C102:$N102,1,MATCH(AG$27,PREVIVAZ!$C$1:$N$1,1)))</f>
        <v>#N/A</v>
      </c>
    </row>
    <row r="129" spans="1:33" ht="12.75" x14ac:dyDescent="0.2">
      <c r="O129"/>
      <c r="P129"/>
      <c r="Q129"/>
      <c r="R129"/>
      <c r="S129"/>
      <c r="T129" s="272">
        <v>102</v>
      </c>
      <c r="V129" s="202">
        <f ca="1">IFERROR(ROUND(INDEX(F:F,MATCH($T129,$A:$A,0)),0),INDEX(PREVIVAZ!$C103:$N103,1,MATCH(V$27,PREVIVAZ!$C$1:$N$1,1)))</f>
        <v>0</v>
      </c>
      <c r="W129" s="202">
        <f ca="1">IFERROR(ROUND(INDEX(G:G,MATCH($T129,$A:$A,0)),0),INDEX(PREVIVAZ!$C103:$N103,1,MATCH(W$27,PREVIVAZ!$C$1:$N$1,1)))</f>
        <v>0</v>
      </c>
      <c r="X129" s="202">
        <f ca="1">IFERROR(ROUND(INDEX(H:H,MATCH($T129,$A:$A,0)),0),INDEX(PREVIVAZ!$C103:$N103,1,MATCH(X$27,PREVIVAZ!$C$1:$N$1,1)))</f>
        <v>0</v>
      </c>
      <c r="Y129" s="202">
        <f ca="1">IFERROR(ROUND(INDEX(I:I,MATCH($T129,$A:$A,0)),0),INDEX(PREVIVAZ!$C103:$N103,1,MATCH(Y$27,PREVIVAZ!$C$1:$N$1,1)))</f>
        <v>0</v>
      </c>
      <c r="Z129" s="202">
        <f ca="1">IFERROR(ROUND(INDEX(J:J,MATCH($T129,$A:$A,0)),0),INDEX(PREVIVAZ!$C103:$N103,1,MATCH(Z$27,PREVIVAZ!$C$1:$N$1,1)))</f>
        <v>0</v>
      </c>
      <c r="AA129" s="202">
        <f ca="1">IFERROR(ROUND(INDEX(K:K,MATCH($T129,$A:$A,0)),0),INDEX(PREVIVAZ!$C103:$N103,1,MATCH(AA$27,PREVIVAZ!$C$1:$N$1,1)))</f>
        <v>0</v>
      </c>
      <c r="AB129" s="202">
        <f ca="1">IFERROR(ROUND(INDEX(L:L,MATCH($T129,$A:$A,0)),0),INDEX(PREVIVAZ!$C103:$N103,1,MATCH(AB$27,PREVIVAZ!$C$1:$N$1,1)))</f>
        <v>0</v>
      </c>
      <c r="AC129" s="202">
        <f ca="1">IFERROR(ROUND(INDEX(M:M,MATCH($T129,$A:$A,0)),0),INDEX(PREVIVAZ!$C103:$N103,1,MATCH(AC$27,PREVIVAZ!$C$1:$N$1,1)))</f>
        <v>0</v>
      </c>
      <c r="AD129" s="202">
        <f ca="1">IFERROR(ROUND(INDEX(N:N,MATCH($T129,$A:$A,0)),0),INDEX(PREVIVAZ!$C103:$N103,1,MATCH(AD$27,PREVIVAZ!$C$1:$N$1,1)))</f>
        <v>0</v>
      </c>
      <c r="AE129" s="202">
        <f ca="1">IFERROR(ROUND(INDEX(O:O,MATCH($T129,$A:$A,0)),0),INDEX(PREVIVAZ!$C103:$N103,1,MATCH(AE$27,PREVIVAZ!$C$1:$N$1,1)))</f>
        <v>0</v>
      </c>
      <c r="AF129" s="202">
        <f ca="1">IFERROR(ROUND(INDEX(P:P,MATCH($T129,$A:$A,0)),0),INDEX(PREVIVAZ!$C103:$N103,1,MATCH(AF$27,PREVIVAZ!$C$1:$N$1,1)))</f>
        <v>0</v>
      </c>
      <c r="AG129" s="202">
        <f ca="1">IFERROR(ROUND(INDEX(Q:Q,MATCH($T129,$A:$A,0)),0),INDEX(PREVIVAZ!$C103:$N103,1,MATCH(AG$27,PREVIVAZ!$C$1:$N$1,1)))</f>
        <v>0</v>
      </c>
    </row>
    <row r="130" spans="1:33" ht="12.75" x14ac:dyDescent="0.2">
      <c r="A130" s="203"/>
      <c r="B130" s="203"/>
      <c r="C130" s="203" t="s">
        <v>149</v>
      </c>
      <c r="D130" s="309"/>
      <c r="E130" s="309"/>
      <c r="F130" s="309">
        <f t="shared" ref="F130:Q130" ca="1" si="32">AVERAGE(F95:F101)/AVERAGE(E95:E101)</f>
        <v>0</v>
      </c>
      <c r="G130" s="309" t="e">
        <f t="shared" ca="1" si="32"/>
        <v>#DIV/0!</v>
      </c>
      <c r="H130" s="309" t="e">
        <f t="shared" ca="1" si="32"/>
        <v>#DIV/0!</v>
      </c>
      <c r="I130" s="309" t="e">
        <f t="shared" ca="1" si="32"/>
        <v>#DIV/0!</v>
      </c>
      <c r="J130" s="309" t="e">
        <f t="shared" ca="1" si="32"/>
        <v>#DIV/0!</v>
      </c>
      <c r="K130" s="309" t="e">
        <f t="shared" ca="1" si="32"/>
        <v>#DIV/0!</v>
      </c>
      <c r="L130" s="309" t="e">
        <f t="shared" ca="1" si="32"/>
        <v>#DIV/0!</v>
      </c>
      <c r="M130" s="309" t="e">
        <f t="shared" ca="1" si="32"/>
        <v>#DIV/0!</v>
      </c>
      <c r="N130" s="309" t="e">
        <f t="shared" ca="1" si="32"/>
        <v>#DIV/0!</v>
      </c>
      <c r="O130" s="309" t="e">
        <f t="shared" ca="1" si="32"/>
        <v>#DIV/0!</v>
      </c>
      <c r="P130" s="309" t="e">
        <f t="shared" ca="1" si="32"/>
        <v>#DIV/0!</v>
      </c>
      <c r="Q130" s="309" t="e">
        <f t="shared" ca="1" si="32"/>
        <v>#DIV/0!</v>
      </c>
      <c r="R130"/>
      <c r="S130"/>
      <c r="T130" s="272">
        <v>103</v>
      </c>
      <c r="V130" s="202">
        <f ca="1">IFERROR(ROUND(INDEX(F:F,MATCH($T130,$A:$A,0)),0),INDEX(PREVIVAZ!$C104:$N104,1,MATCH(V$27,PREVIVAZ!$C$1:$N$1,1)))</f>
        <v>0</v>
      </c>
      <c r="W130" s="202">
        <f ca="1">IFERROR(ROUND(INDEX(G:G,MATCH($T130,$A:$A,0)),0),INDEX(PREVIVAZ!$C104:$N104,1,MATCH(W$27,PREVIVAZ!$C$1:$N$1,1)))</f>
        <v>0</v>
      </c>
      <c r="X130" s="202">
        <f ca="1">IFERROR(ROUND(INDEX(H:H,MATCH($T130,$A:$A,0)),0),INDEX(PREVIVAZ!$C104:$N104,1,MATCH(X$27,PREVIVAZ!$C$1:$N$1,1)))</f>
        <v>0</v>
      </c>
      <c r="Y130" s="202">
        <f ca="1">IFERROR(ROUND(INDEX(I:I,MATCH($T130,$A:$A,0)),0),INDEX(PREVIVAZ!$C104:$N104,1,MATCH(Y$27,PREVIVAZ!$C$1:$N$1,1)))</f>
        <v>0</v>
      </c>
      <c r="Z130" s="202">
        <f ca="1">IFERROR(ROUND(INDEX(J:J,MATCH($T130,$A:$A,0)),0),INDEX(PREVIVAZ!$C104:$N104,1,MATCH(Z$27,PREVIVAZ!$C$1:$N$1,1)))</f>
        <v>0</v>
      </c>
      <c r="AA130" s="202">
        <f ca="1">IFERROR(ROUND(INDEX(K:K,MATCH($T130,$A:$A,0)),0),INDEX(PREVIVAZ!$C104:$N104,1,MATCH(AA$27,PREVIVAZ!$C$1:$N$1,1)))</f>
        <v>0</v>
      </c>
      <c r="AB130" s="202">
        <f ca="1">IFERROR(ROUND(INDEX(L:L,MATCH($T130,$A:$A,0)),0),INDEX(PREVIVAZ!$C104:$N104,1,MATCH(AB$27,PREVIVAZ!$C$1:$N$1,1)))</f>
        <v>0</v>
      </c>
      <c r="AC130" s="202">
        <f ca="1">IFERROR(ROUND(INDEX(M:M,MATCH($T130,$A:$A,0)),0),INDEX(PREVIVAZ!$C104:$N104,1,MATCH(AC$27,PREVIVAZ!$C$1:$N$1,1)))</f>
        <v>0</v>
      </c>
      <c r="AD130" s="202">
        <f ca="1">IFERROR(ROUND(INDEX(N:N,MATCH($T130,$A:$A,0)),0),INDEX(PREVIVAZ!$C104:$N104,1,MATCH(AD$27,PREVIVAZ!$C$1:$N$1,1)))</f>
        <v>0</v>
      </c>
      <c r="AE130" s="202">
        <f ca="1">IFERROR(ROUND(INDEX(O:O,MATCH($T130,$A:$A,0)),0),INDEX(PREVIVAZ!$C104:$N104,1,MATCH(AE$27,PREVIVAZ!$C$1:$N$1,1)))</f>
        <v>0</v>
      </c>
      <c r="AF130" s="202">
        <f ca="1">IFERROR(ROUND(INDEX(P:P,MATCH($T130,$A:$A,0)),0),INDEX(PREVIVAZ!$C104:$N104,1,MATCH(AF$27,PREVIVAZ!$C$1:$N$1,1)))</f>
        <v>0</v>
      </c>
      <c r="AG130" s="202">
        <f ca="1">IFERROR(ROUND(INDEX(Q:Q,MATCH($T130,$A:$A,0)),0),INDEX(PREVIVAZ!$C104:$N104,1,MATCH(AG$27,PREVIVAZ!$C$1:$N$1,1)))</f>
        <v>0</v>
      </c>
    </row>
    <row r="131" spans="1:33" ht="12.75" x14ac:dyDescent="0.2">
      <c r="A131" s="272"/>
      <c r="B131" s="272"/>
      <c r="C131" s="272"/>
      <c r="D131" s="310"/>
      <c r="E131" s="310"/>
      <c r="F131" s="310"/>
      <c r="G131" s="310"/>
      <c r="H131" s="310"/>
      <c r="I131" s="310"/>
      <c r="J131" s="310"/>
      <c r="K131" s="310"/>
      <c r="L131" s="310"/>
      <c r="M131" s="310"/>
      <c r="N131" s="310"/>
      <c r="O131" s="310"/>
      <c r="P131" s="310"/>
      <c r="Q131" s="310"/>
      <c r="R131"/>
      <c r="S131"/>
      <c r="T131" s="272">
        <v>104</v>
      </c>
      <c r="V131" s="202" t="e">
        <f ca="1">IFERROR(ROUND(INDEX(F:F,MATCH($T131,$A:$A,0)),0),INDEX(PREVIVAZ!$C105:$N105,1,MATCH(V$27,PREVIVAZ!$C$1:$N$1,1)))</f>
        <v>#N/A</v>
      </c>
      <c r="W131" s="202" t="e">
        <f ca="1">IFERROR(ROUND(INDEX(G:G,MATCH($T131,$A:$A,0)),0),INDEX(PREVIVAZ!$C105:$N105,1,MATCH(W$27,PREVIVAZ!$C$1:$N$1,1)))</f>
        <v>#N/A</v>
      </c>
      <c r="X131" s="202" t="e">
        <f ca="1">IFERROR(ROUND(INDEX(H:H,MATCH($T131,$A:$A,0)),0),INDEX(PREVIVAZ!$C105:$N105,1,MATCH(X$27,PREVIVAZ!$C$1:$N$1,1)))</f>
        <v>#N/A</v>
      </c>
      <c r="Y131" s="202" t="e">
        <f ca="1">IFERROR(ROUND(INDEX(I:I,MATCH($T131,$A:$A,0)),0),INDEX(PREVIVAZ!$C105:$N105,1,MATCH(Y$27,PREVIVAZ!$C$1:$N$1,1)))</f>
        <v>#N/A</v>
      </c>
      <c r="Z131" s="202" t="e">
        <f ca="1">IFERROR(ROUND(INDEX(J:J,MATCH($T131,$A:$A,0)),0),INDEX(PREVIVAZ!$C105:$N105,1,MATCH(Z$27,PREVIVAZ!$C$1:$N$1,1)))</f>
        <v>#N/A</v>
      </c>
      <c r="AA131" s="202" t="e">
        <f ca="1">IFERROR(ROUND(INDEX(K:K,MATCH($T131,$A:$A,0)),0),INDEX(PREVIVAZ!$C105:$N105,1,MATCH(AA$27,PREVIVAZ!$C$1:$N$1,1)))</f>
        <v>#N/A</v>
      </c>
      <c r="AB131" s="202" t="e">
        <f ca="1">IFERROR(ROUND(INDEX(L:L,MATCH($T131,$A:$A,0)),0),INDEX(PREVIVAZ!$C105:$N105,1,MATCH(AB$27,PREVIVAZ!$C$1:$N$1,1)))</f>
        <v>#N/A</v>
      </c>
      <c r="AC131" s="202" t="e">
        <f ca="1">IFERROR(ROUND(INDEX(M:M,MATCH($T131,$A:$A,0)),0),INDEX(PREVIVAZ!$C105:$N105,1,MATCH(AC$27,PREVIVAZ!$C$1:$N$1,1)))</f>
        <v>#N/A</v>
      </c>
      <c r="AD131" s="202" t="e">
        <f ca="1">IFERROR(ROUND(INDEX(N:N,MATCH($T131,$A:$A,0)),0),INDEX(PREVIVAZ!$C105:$N105,1,MATCH(AD$27,PREVIVAZ!$C$1:$N$1,1)))</f>
        <v>#N/A</v>
      </c>
      <c r="AE131" s="202" t="e">
        <f ca="1">IFERROR(ROUND(INDEX(O:O,MATCH($T131,$A:$A,0)),0),INDEX(PREVIVAZ!$C105:$N105,1,MATCH(AE$27,PREVIVAZ!$C$1:$N$1,1)))</f>
        <v>#N/A</v>
      </c>
      <c r="AF131" s="202" t="e">
        <f ca="1">IFERROR(ROUND(INDEX(P:P,MATCH($T131,$A:$A,0)),0),INDEX(PREVIVAZ!$C105:$N105,1,MATCH(AF$27,PREVIVAZ!$C$1:$N$1,1)))</f>
        <v>#N/A</v>
      </c>
      <c r="AG131" s="202" t="e">
        <f ca="1">IFERROR(ROUND(INDEX(Q:Q,MATCH($T131,$A:$A,0)),0),INDEX(PREVIVAZ!$C105:$N105,1,MATCH(AG$27,PREVIVAZ!$C$1:$N$1,1)))</f>
        <v>#N/A</v>
      </c>
    </row>
    <row r="132" spans="1:33" ht="12.75" x14ac:dyDescent="0.2">
      <c r="A132" s="203"/>
      <c r="B132" s="203"/>
      <c r="C132" s="203" t="s">
        <v>150</v>
      </c>
      <c r="D132" s="309"/>
      <c r="E132" s="309"/>
      <c r="F132" s="309">
        <f t="shared" ref="F132:Q132" ca="1" si="33">AVERAGE(F70,F68,F42,F97)/AVERAGE(E70,E68,E42,E97)</f>
        <v>0</v>
      </c>
      <c r="G132" s="309" t="e">
        <f t="shared" ca="1" si="33"/>
        <v>#DIV/0!</v>
      </c>
      <c r="H132" s="309" t="e">
        <f t="shared" ca="1" si="33"/>
        <v>#DIV/0!</v>
      </c>
      <c r="I132" s="309" t="e">
        <f t="shared" ca="1" si="33"/>
        <v>#DIV/0!</v>
      </c>
      <c r="J132" s="309" t="e">
        <f t="shared" ca="1" si="33"/>
        <v>#DIV/0!</v>
      </c>
      <c r="K132" s="309" t="e">
        <f t="shared" ca="1" si="33"/>
        <v>#DIV/0!</v>
      </c>
      <c r="L132" s="309" t="e">
        <f t="shared" ca="1" si="33"/>
        <v>#DIV/0!</v>
      </c>
      <c r="M132" s="309" t="e">
        <f t="shared" ca="1" si="33"/>
        <v>#DIV/0!</v>
      </c>
      <c r="N132" s="309" t="e">
        <f t="shared" ca="1" si="33"/>
        <v>#DIV/0!</v>
      </c>
      <c r="O132" s="309" t="e">
        <f t="shared" ca="1" si="33"/>
        <v>#DIV/0!</v>
      </c>
      <c r="P132" s="309" t="e">
        <f t="shared" ca="1" si="33"/>
        <v>#DIV/0!</v>
      </c>
      <c r="Q132" s="309" t="e">
        <f t="shared" ca="1" si="33"/>
        <v>#DIV/0!</v>
      </c>
      <c r="R132"/>
      <c r="S132"/>
      <c r="T132" s="272">
        <v>105</v>
      </c>
      <c r="V132" s="202" t="e">
        <f ca="1">IFERROR(ROUND(INDEX(F:F,MATCH($T132,$A:$A,0)),0),INDEX(PREVIVAZ!$C106:$N106,1,MATCH(V$27,PREVIVAZ!$C$1:$N$1,1)))</f>
        <v>#N/A</v>
      </c>
      <c r="W132" s="202" t="e">
        <f ca="1">IFERROR(ROUND(INDEX(G:G,MATCH($T132,$A:$A,0)),0),INDEX(PREVIVAZ!$C106:$N106,1,MATCH(W$27,PREVIVAZ!$C$1:$N$1,1)))</f>
        <v>#N/A</v>
      </c>
      <c r="X132" s="202" t="e">
        <f ca="1">IFERROR(ROUND(INDEX(H:H,MATCH($T132,$A:$A,0)),0),INDEX(PREVIVAZ!$C106:$N106,1,MATCH(X$27,PREVIVAZ!$C$1:$N$1,1)))</f>
        <v>#N/A</v>
      </c>
      <c r="Y132" s="202" t="e">
        <f ca="1">IFERROR(ROUND(INDEX(I:I,MATCH($T132,$A:$A,0)),0),INDEX(PREVIVAZ!$C106:$N106,1,MATCH(Y$27,PREVIVAZ!$C$1:$N$1,1)))</f>
        <v>#N/A</v>
      </c>
      <c r="Z132" s="202" t="e">
        <f ca="1">IFERROR(ROUND(INDEX(J:J,MATCH($T132,$A:$A,0)),0),INDEX(PREVIVAZ!$C106:$N106,1,MATCH(Z$27,PREVIVAZ!$C$1:$N$1,1)))</f>
        <v>#N/A</v>
      </c>
      <c r="AA132" s="202" t="e">
        <f ca="1">IFERROR(ROUND(INDEX(K:K,MATCH($T132,$A:$A,0)),0),INDEX(PREVIVAZ!$C106:$N106,1,MATCH(AA$27,PREVIVAZ!$C$1:$N$1,1)))</f>
        <v>#N/A</v>
      </c>
      <c r="AB132" s="202" t="e">
        <f ca="1">IFERROR(ROUND(INDEX(L:L,MATCH($T132,$A:$A,0)),0),INDEX(PREVIVAZ!$C106:$N106,1,MATCH(AB$27,PREVIVAZ!$C$1:$N$1,1)))</f>
        <v>#N/A</v>
      </c>
      <c r="AC132" s="202" t="e">
        <f ca="1">IFERROR(ROUND(INDEX(M:M,MATCH($T132,$A:$A,0)),0),INDEX(PREVIVAZ!$C106:$N106,1,MATCH(AC$27,PREVIVAZ!$C$1:$N$1,1)))</f>
        <v>#N/A</v>
      </c>
      <c r="AD132" s="202" t="e">
        <f ca="1">IFERROR(ROUND(INDEX(N:N,MATCH($T132,$A:$A,0)),0),INDEX(PREVIVAZ!$C106:$N106,1,MATCH(AD$27,PREVIVAZ!$C$1:$N$1,1)))</f>
        <v>#N/A</v>
      </c>
      <c r="AE132" s="202" t="e">
        <f ca="1">IFERROR(ROUND(INDEX(O:O,MATCH($T132,$A:$A,0)),0),INDEX(PREVIVAZ!$C106:$N106,1,MATCH(AE$27,PREVIVAZ!$C$1:$N$1,1)))</f>
        <v>#N/A</v>
      </c>
      <c r="AF132" s="202" t="e">
        <f ca="1">IFERROR(ROUND(INDEX(P:P,MATCH($T132,$A:$A,0)),0),INDEX(PREVIVAZ!$C106:$N106,1,MATCH(AF$27,PREVIVAZ!$C$1:$N$1,1)))</f>
        <v>#N/A</v>
      </c>
      <c r="AG132" s="202" t="e">
        <f ca="1">IFERROR(ROUND(INDEX(Q:Q,MATCH($T132,$A:$A,0)),0),INDEX(PREVIVAZ!$C106:$N106,1,MATCH(AG$27,PREVIVAZ!$C$1:$N$1,1)))</f>
        <v>#N/A</v>
      </c>
    </row>
    <row r="133" spans="1:33" ht="12.75" x14ac:dyDescent="0.2">
      <c r="O133"/>
      <c r="P133"/>
      <c r="Q133"/>
      <c r="R133"/>
      <c r="S133"/>
      <c r="T133" s="272">
        <v>106</v>
      </c>
      <c r="V133" s="202" t="e">
        <f ca="1">IFERROR(ROUND(INDEX(F:F,MATCH($T133,$A:$A,0)),0),INDEX(PREVIVAZ!$C107:$N107,1,MATCH(V$27,PREVIVAZ!$C$1:$N$1,1)))</f>
        <v>#N/A</v>
      </c>
      <c r="W133" s="202" t="e">
        <f ca="1">IFERROR(ROUND(INDEX(G:G,MATCH($T133,$A:$A,0)),0),INDEX(PREVIVAZ!$C107:$N107,1,MATCH(W$27,PREVIVAZ!$C$1:$N$1,1)))</f>
        <v>#N/A</v>
      </c>
      <c r="X133" s="202" t="e">
        <f ca="1">IFERROR(ROUND(INDEX(H:H,MATCH($T133,$A:$A,0)),0),INDEX(PREVIVAZ!$C107:$N107,1,MATCH(X$27,PREVIVAZ!$C$1:$N$1,1)))</f>
        <v>#N/A</v>
      </c>
      <c r="Y133" s="202" t="e">
        <f ca="1">IFERROR(ROUND(INDEX(I:I,MATCH($T133,$A:$A,0)),0),INDEX(PREVIVAZ!$C107:$N107,1,MATCH(Y$27,PREVIVAZ!$C$1:$N$1,1)))</f>
        <v>#N/A</v>
      </c>
      <c r="Z133" s="202" t="e">
        <f ca="1">IFERROR(ROUND(INDEX(J:J,MATCH($T133,$A:$A,0)),0),INDEX(PREVIVAZ!$C107:$N107,1,MATCH(Z$27,PREVIVAZ!$C$1:$N$1,1)))</f>
        <v>#N/A</v>
      </c>
      <c r="AA133" s="202" t="e">
        <f ca="1">IFERROR(ROUND(INDEX(K:K,MATCH($T133,$A:$A,0)),0),INDEX(PREVIVAZ!$C107:$N107,1,MATCH(AA$27,PREVIVAZ!$C$1:$N$1,1)))</f>
        <v>#N/A</v>
      </c>
      <c r="AB133" s="202" t="e">
        <f ca="1">IFERROR(ROUND(INDEX(L:L,MATCH($T133,$A:$A,0)),0),INDEX(PREVIVAZ!$C107:$N107,1,MATCH(AB$27,PREVIVAZ!$C$1:$N$1,1)))</f>
        <v>#N/A</v>
      </c>
      <c r="AC133" s="202" t="e">
        <f ca="1">IFERROR(ROUND(INDEX(M:M,MATCH($T133,$A:$A,0)),0),INDEX(PREVIVAZ!$C107:$N107,1,MATCH(AC$27,PREVIVAZ!$C$1:$N$1,1)))</f>
        <v>#N/A</v>
      </c>
      <c r="AD133" s="202" t="e">
        <f ca="1">IFERROR(ROUND(INDEX(N:N,MATCH($T133,$A:$A,0)),0),INDEX(PREVIVAZ!$C107:$N107,1,MATCH(AD$27,PREVIVAZ!$C$1:$N$1,1)))</f>
        <v>#N/A</v>
      </c>
      <c r="AE133" s="202" t="e">
        <f ca="1">IFERROR(ROUND(INDEX(O:O,MATCH($T133,$A:$A,0)),0),INDEX(PREVIVAZ!$C107:$N107,1,MATCH(AE$27,PREVIVAZ!$C$1:$N$1,1)))</f>
        <v>#N/A</v>
      </c>
      <c r="AF133" s="202" t="e">
        <f ca="1">IFERROR(ROUND(INDEX(P:P,MATCH($T133,$A:$A,0)),0),INDEX(PREVIVAZ!$C107:$N107,1,MATCH(AF$27,PREVIVAZ!$C$1:$N$1,1)))</f>
        <v>#N/A</v>
      </c>
      <c r="AG133" s="202" t="e">
        <f ca="1">IFERROR(ROUND(INDEX(Q:Q,MATCH($T133,$A:$A,0)),0),INDEX(PREVIVAZ!$C107:$N107,1,MATCH(AG$27,PREVIVAZ!$C$1:$N$1,1)))</f>
        <v>#N/A</v>
      </c>
    </row>
    <row r="134" spans="1:33" ht="12.75" x14ac:dyDescent="0.2">
      <c r="O134"/>
      <c r="P134"/>
      <c r="Q134"/>
      <c r="R134"/>
      <c r="S134"/>
      <c r="T134" s="272">
        <v>107</v>
      </c>
      <c r="V134" s="202" t="e">
        <f ca="1">IFERROR(ROUND(INDEX(F:F,MATCH($T134,$A:$A,0)),0),INDEX(PREVIVAZ!$C108:$N108,1,MATCH(V$27,PREVIVAZ!$C$1:$N$1,1)))</f>
        <v>#N/A</v>
      </c>
      <c r="W134" s="202" t="e">
        <f ca="1">IFERROR(ROUND(INDEX(G:G,MATCH($T134,$A:$A,0)),0),INDEX(PREVIVAZ!$C108:$N108,1,MATCH(W$27,PREVIVAZ!$C$1:$N$1,1)))</f>
        <v>#N/A</v>
      </c>
      <c r="X134" s="202" t="e">
        <f ca="1">IFERROR(ROUND(INDEX(H:H,MATCH($T134,$A:$A,0)),0),INDEX(PREVIVAZ!$C108:$N108,1,MATCH(X$27,PREVIVAZ!$C$1:$N$1,1)))</f>
        <v>#N/A</v>
      </c>
      <c r="Y134" s="202" t="e">
        <f ca="1">IFERROR(ROUND(INDEX(I:I,MATCH($T134,$A:$A,0)),0),INDEX(PREVIVAZ!$C108:$N108,1,MATCH(Y$27,PREVIVAZ!$C$1:$N$1,1)))</f>
        <v>#N/A</v>
      </c>
      <c r="Z134" s="202" t="e">
        <f ca="1">IFERROR(ROUND(INDEX(J:J,MATCH($T134,$A:$A,0)),0),INDEX(PREVIVAZ!$C108:$N108,1,MATCH(Z$27,PREVIVAZ!$C$1:$N$1,1)))</f>
        <v>#N/A</v>
      </c>
      <c r="AA134" s="202" t="e">
        <f ca="1">IFERROR(ROUND(INDEX(K:K,MATCH($T134,$A:$A,0)),0),INDEX(PREVIVAZ!$C108:$N108,1,MATCH(AA$27,PREVIVAZ!$C$1:$N$1,1)))</f>
        <v>#N/A</v>
      </c>
      <c r="AB134" s="202" t="e">
        <f ca="1">IFERROR(ROUND(INDEX(L:L,MATCH($T134,$A:$A,0)),0),INDEX(PREVIVAZ!$C108:$N108,1,MATCH(AB$27,PREVIVAZ!$C$1:$N$1,1)))</f>
        <v>#N/A</v>
      </c>
      <c r="AC134" s="202" t="e">
        <f ca="1">IFERROR(ROUND(INDEX(M:M,MATCH($T134,$A:$A,0)),0),INDEX(PREVIVAZ!$C108:$N108,1,MATCH(AC$27,PREVIVAZ!$C$1:$N$1,1)))</f>
        <v>#N/A</v>
      </c>
      <c r="AD134" s="202" t="e">
        <f ca="1">IFERROR(ROUND(INDEX(N:N,MATCH($T134,$A:$A,0)),0),INDEX(PREVIVAZ!$C108:$N108,1,MATCH(AD$27,PREVIVAZ!$C$1:$N$1,1)))</f>
        <v>#N/A</v>
      </c>
      <c r="AE134" s="202" t="e">
        <f ca="1">IFERROR(ROUND(INDEX(O:O,MATCH($T134,$A:$A,0)),0),INDEX(PREVIVAZ!$C108:$N108,1,MATCH(AE$27,PREVIVAZ!$C$1:$N$1,1)))</f>
        <v>#N/A</v>
      </c>
      <c r="AF134" s="202" t="e">
        <f ca="1">IFERROR(ROUND(INDEX(P:P,MATCH($T134,$A:$A,0)),0),INDEX(PREVIVAZ!$C108:$N108,1,MATCH(AF$27,PREVIVAZ!$C$1:$N$1,1)))</f>
        <v>#N/A</v>
      </c>
      <c r="AG134" s="202" t="e">
        <f ca="1">IFERROR(ROUND(INDEX(Q:Q,MATCH($T134,$A:$A,0)),0),INDEX(PREVIVAZ!$C108:$N108,1,MATCH(AG$27,PREVIVAZ!$C$1:$N$1,1)))</f>
        <v>#N/A</v>
      </c>
    </row>
    <row r="135" spans="1:33" ht="12.75" x14ac:dyDescent="0.2">
      <c r="O135"/>
      <c r="P135"/>
      <c r="Q135"/>
      <c r="R135"/>
      <c r="S135"/>
      <c r="T135" s="272">
        <v>108</v>
      </c>
      <c r="V135" s="202" t="e">
        <f ca="1">IFERROR(ROUND(INDEX(F:F,MATCH($T135,$A:$A,0)),0),INDEX(PREVIVAZ!$C109:$N109,1,MATCH(V$27,PREVIVAZ!$C$1:$N$1,1)))</f>
        <v>#N/A</v>
      </c>
      <c r="W135" s="202" t="e">
        <f ca="1">IFERROR(ROUND(INDEX(G:G,MATCH($T135,$A:$A,0)),0),INDEX(PREVIVAZ!$C109:$N109,1,MATCH(W$27,PREVIVAZ!$C$1:$N$1,1)))</f>
        <v>#N/A</v>
      </c>
      <c r="X135" s="202" t="e">
        <f ca="1">IFERROR(ROUND(INDEX(H:H,MATCH($T135,$A:$A,0)),0),INDEX(PREVIVAZ!$C109:$N109,1,MATCH(X$27,PREVIVAZ!$C$1:$N$1,1)))</f>
        <v>#N/A</v>
      </c>
      <c r="Y135" s="202" t="e">
        <f ca="1">IFERROR(ROUND(INDEX(I:I,MATCH($T135,$A:$A,0)),0),INDEX(PREVIVAZ!$C109:$N109,1,MATCH(Y$27,PREVIVAZ!$C$1:$N$1,1)))</f>
        <v>#N/A</v>
      </c>
      <c r="Z135" s="202" t="e">
        <f ca="1">IFERROR(ROUND(INDEX(J:J,MATCH($T135,$A:$A,0)),0),INDEX(PREVIVAZ!$C109:$N109,1,MATCH(Z$27,PREVIVAZ!$C$1:$N$1,1)))</f>
        <v>#N/A</v>
      </c>
      <c r="AA135" s="202" t="e">
        <f ca="1">IFERROR(ROUND(INDEX(K:K,MATCH($T135,$A:$A,0)),0),INDEX(PREVIVAZ!$C109:$N109,1,MATCH(AA$27,PREVIVAZ!$C$1:$N$1,1)))</f>
        <v>#N/A</v>
      </c>
      <c r="AB135" s="202" t="e">
        <f ca="1">IFERROR(ROUND(INDEX(L:L,MATCH($T135,$A:$A,0)),0),INDEX(PREVIVAZ!$C109:$N109,1,MATCH(AB$27,PREVIVAZ!$C$1:$N$1,1)))</f>
        <v>#N/A</v>
      </c>
      <c r="AC135" s="202" t="e">
        <f ca="1">IFERROR(ROUND(INDEX(M:M,MATCH($T135,$A:$A,0)),0),INDEX(PREVIVAZ!$C109:$N109,1,MATCH(AC$27,PREVIVAZ!$C$1:$N$1,1)))</f>
        <v>#N/A</v>
      </c>
      <c r="AD135" s="202" t="e">
        <f ca="1">IFERROR(ROUND(INDEX(N:N,MATCH($T135,$A:$A,0)),0),INDEX(PREVIVAZ!$C109:$N109,1,MATCH(AD$27,PREVIVAZ!$C$1:$N$1,1)))</f>
        <v>#N/A</v>
      </c>
      <c r="AE135" s="202" t="e">
        <f ca="1">IFERROR(ROUND(INDEX(O:O,MATCH($T135,$A:$A,0)),0),INDEX(PREVIVAZ!$C109:$N109,1,MATCH(AE$27,PREVIVAZ!$C$1:$N$1,1)))</f>
        <v>#N/A</v>
      </c>
      <c r="AF135" s="202" t="e">
        <f ca="1">IFERROR(ROUND(INDEX(P:P,MATCH($T135,$A:$A,0)),0),INDEX(PREVIVAZ!$C109:$N109,1,MATCH(AF$27,PREVIVAZ!$C$1:$N$1,1)))</f>
        <v>#N/A</v>
      </c>
      <c r="AG135" s="202" t="e">
        <f ca="1">IFERROR(ROUND(INDEX(Q:Q,MATCH($T135,$A:$A,0)),0),INDEX(PREVIVAZ!$C109:$N109,1,MATCH(AG$27,PREVIVAZ!$C$1:$N$1,1)))</f>
        <v>#N/A</v>
      </c>
    </row>
    <row r="136" spans="1:33" ht="12.75" x14ac:dyDescent="0.2">
      <c r="O136"/>
      <c r="P136"/>
      <c r="Q136"/>
      <c r="R136"/>
      <c r="S136"/>
      <c r="T136" s="272">
        <v>109</v>
      </c>
      <c r="V136" s="202" t="e">
        <f ca="1">IFERROR(ROUND(INDEX(F:F,MATCH($T136,$A:$A,0)),0),INDEX(PREVIVAZ!$C110:$N110,1,MATCH(V$27,PREVIVAZ!$C$1:$N$1,1)))</f>
        <v>#N/A</v>
      </c>
      <c r="W136" s="202" t="e">
        <f ca="1">IFERROR(ROUND(INDEX(G:G,MATCH($T136,$A:$A,0)),0),INDEX(PREVIVAZ!$C110:$N110,1,MATCH(W$27,PREVIVAZ!$C$1:$N$1,1)))</f>
        <v>#N/A</v>
      </c>
      <c r="X136" s="202" t="e">
        <f ca="1">IFERROR(ROUND(INDEX(H:H,MATCH($T136,$A:$A,0)),0),INDEX(PREVIVAZ!$C110:$N110,1,MATCH(X$27,PREVIVAZ!$C$1:$N$1,1)))</f>
        <v>#N/A</v>
      </c>
      <c r="Y136" s="202" t="e">
        <f ca="1">IFERROR(ROUND(INDEX(I:I,MATCH($T136,$A:$A,0)),0),INDEX(PREVIVAZ!$C110:$N110,1,MATCH(Y$27,PREVIVAZ!$C$1:$N$1,1)))</f>
        <v>#N/A</v>
      </c>
      <c r="Z136" s="202" t="e">
        <f ca="1">IFERROR(ROUND(INDEX(J:J,MATCH($T136,$A:$A,0)),0),INDEX(PREVIVAZ!$C110:$N110,1,MATCH(Z$27,PREVIVAZ!$C$1:$N$1,1)))</f>
        <v>#N/A</v>
      </c>
      <c r="AA136" s="202" t="e">
        <f ca="1">IFERROR(ROUND(INDEX(K:K,MATCH($T136,$A:$A,0)),0),INDEX(PREVIVAZ!$C110:$N110,1,MATCH(AA$27,PREVIVAZ!$C$1:$N$1,1)))</f>
        <v>#N/A</v>
      </c>
      <c r="AB136" s="202" t="e">
        <f ca="1">IFERROR(ROUND(INDEX(L:L,MATCH($T136,$A:$A,0)),0),INDEX(PREVIVAZ!$C110:$N110,1,MATCH(AB$27,PREVIVAZ!$C$1:$N$1,1)))</f>
        <v>#N/A</v>
      </c>
      <c r="AC136" s="202" t="e">
        <f ca="1">IFERROR(ROUND(INDEX(M:M,MATCH($T136,$A:$A,0)),0),INDEX(PREVIVAZ!$C110:$N110,1,MATCH(AC$27,PREVIVAZ!$C$1:$N$1,1)))</f>
        <v>#N/A</v>
      </c>
      <c r="AD136" s="202" t="e">
        <f ca="1">IFERROR(ROUND(INDEX(N:N,MATCH($T136,$A:$A,0)),0),INDEX(PREVIVAZ!$C110:$N110,1,MATCH(AD$27,PREVIVAZ!$C$1:$N$1,1)))</f>
        <v>#N/A</v>
      </c>
      <c r="AE136" s="202" t="e">
        <f ca="1">IFERROR(ROUND(INDEX(O:O,MATCH($T136,$A:$A,0)),0),INDEX(PREVIVAZ!$C110:$N110,1,MATCH(AE$27,PREVIVAZ!$C$1:$N$1,1)))</f>
        <v>#N/A</v>
      </c>
      <c r="AF136" s="202" t="e">
        <f ca="1">IFERROR(ROUND(INDEX(P:P,MATCH($T136,$A:$A,0)),0),INDEX(PREVIVAZ!$C110:$N110,1,MATCH(AF$27,PREVIVAZ!$C$1:$N$1,1)))</f>
        <v>#N/A</v>
      </c>
      <c r="AG136" s="202" t="e">
        <f ca="1">IFERROR(ROUND(INDEX(Q:Q,MATCH($T136,$A:$A,0)),0),INDEX(PREVIVAZ!$C110:$N110,1,MATCH(AG$27,PREVIVAZ!$C$1:$N$1,1)))</f>
        <v>#N/A</v>
      </c>
    </row>
    <row r="137" spans="1:33" ht="12.75" x14ac:dyDescent="0.2">
      <c r="O137"/>
      <c r="P137"/>
      <c r="Q137"/>
      <c r="R137"/>
      <c r="S137"/>
      <c r="T137" s="202">
        <v>110</v>
      </c>
      <c r="U137" s="202"/>
      <c r="V137" s="202" t="e">
        <f ca="1">IFERROR(ROUND(INDEX(F:F,MATCH($T137,$A:$A,0)),0),INDEX(PREVIVAZ!$C111:$N111,1,MATCH(V$27,PREVIVAZ!$C$1:$N$1,1)))</f>
        <v>#N/A</v>
      </c>
      <c r="W137" s="202" t="e">
        <f ca="1">IFERROR(ROUND(INDEX(G:G,MATCH($T137,$A:$A,0)),0),INDEX(PREVIVAZ!$C111:$N111,1,MATCH(W$27,PREVIVAZ!$C$1:$N$1,1)))</f>
        <v>#N/A</v>
      </c>
      <c r="X137" s="202" t="e">
        <f ca="1">IFERROR(ROUND(INDEX(H:H,MATCH($T137,$A:$A,0)),0),INDEX(PREVIVAZ!$C111:$N111,1,MATCH(X$27,PREVIVAZ!$C$1:$N$1,1)))</f>
        <v>#N/A</v>
      </c>
      <c r="Y137" s="202" t="e">
        <f ca="1">IFERROR(ROUND(INDEX(I:I,MATCH($T137,$A:$A,0)),0),INDEX(PREVIVAZ!$C111:$N111,1,MATCH(Y$27,PREVIVAZ!$C$1:$N$1,1)))</f>
        <v>#N/A</v>
      </c>
      <c r="Z137" s="202" t="e">
        <f ca="1">IFERROR(ROUND(INDEX(J:J,MATCH($T137,$A:$A,0)),0),INDEX(PREVIVAZ!$C111:$N111,1,MATCH(Z$27,PREVIVAZ!$C$1:$N$1,1)))</f>
        <v>#N/A</v>
      </c>
      <c r="AA137" s="202" t="e">
        <f ca="1">IFERROR(ROUND(INDEX(K:K,MATCH($T137,$A:$A,0)),0),INDEX(PREVIVAZ!$C111:$N111,1,MATCH(AA$27,PREVIVAZ!$C$1:$N$1,1)))</f>
        <v>#N/A</v>
      </c>
      <c r="AB137" s="202" t="e">
        <f ca="1">IFERROR(ROUND(INDEX(L:L,MATCH($T137,$A:$A,0)),0),INDEX(PREVIVAZ!$C111:$N111,1,MATCH(AB$27,PREVIVAZ!$C$1:$N$1,1)))</f>
        <v>#N/A</v>
      </c>
      <c r="AC137" s="202" t="e">
        <f ca="1">IFERROR(ROUND(INDEX(M:M,MATCH($T137,$A:$A,0)),0),INDEX(PREVIVAZ!$C111:$N111,1,MATCH(AC$27,PREVIVAZ!$C$1:$N$1,1)))</f>
        <v>#N/A</v>
      </c>
      <c r="AD137" s="202" t="e">
        <f ca="1">IFERROR(ROUND(INDEX(N:N,MATCH($T137,$A:$A,0)),0),INDEX(PREVIVAZ!$C111:$N111,1,MATCH(AD$27,PREVIVAZ!$C$1:$N$1,1)))</f>
        <v>#N/A</v>
      </c>
      <c r="AE137" s="202" t="e">
        <f ca="1">IFERROR(ROUND(INDEX(O:O,MATCH($T137,$A:$A,0)),0),INDEX(PREVIVAZ!$C111:$N111,1,MATCH(AE$27,PREVIVAZ!$C$1:$N$1,1)))</f>
        <v>#N/A</v>
      </c>
      <c r="AF137" s="202" t="e">
        <f ca="1">IFERROR(ROUND(INDEX(P:P,MATCH($T137,$A:$A,0)),0),INDEX(PREVIVAZ!$C111:$N111,1,MATCH(AF$27,PREVIVAZ!$C$1:$N$1,1)))</f>
        <v>#N/A</v>
      </c>
      <c r="AG137" s="202" t="e">
        <f ca="1">IFERROR(ROUND(INDEX(Q:Q,MATCH($T137,$A:$A,0)),0),INDEX(PREVIVAZ!$C111:$N111,1,MATCH(AG$27,PREVIVAZ!$C$1:$N$1,1)))</f>
        <v>#N/A</v>
      </c>
    </row>
    <row r="138" spans="1:33" ht="12.75" x14ac:dyDescent="0.2">
      <c r="O138"/>
      <c r="P138"/>
      <c r="Q138"/>
      <c r="R138"/>
      <c r="S138"/>
      <c r="T138" s="202">
        <v>111</v>
      </c>
      <c r="U138" s="202"/>
      <c r="V138" s="202" t="e">
        <f ca="1">IFERROR(ROUND(INDEX(F:F,MATCH($T138,$A:$A,0)),0),INDEX(PREVIVAZ!$C112:$N112,1,MATCH(V$27,PREVIVAZ!$C$1:$N$1,1)))</f>
        <v>#N/A</v>
      </c>
      <c r="W138" s="202" t="e">
        <f ca="1">IFERROR(ROUND(INDEX(G:G,MATCH($T138,$A:$A,0)),0),INDEX(PREVIVAZ!$C112:$N112,1,MATCH(W$27,PREVIVAZ!$C$1:$N$1,1)))</f>
        <v>#N/A</v>
      </c>
      <c r="X138" s="202" t="e">
        <f ca="1">IFERROR(ROUND(INDEX(H:H,MATCH($T138,$A:$A,0)),0),INDEX(PREVIVAZ!$C112:$N112,1,MATCH(X$27,PREVIVAZ!$C$1:$N$1,1)))</f>
        <v>#N/A</v>
      </c>
      <c r="Y138" s="202" t="e">
        <f ca="1">IFERROR(ROUND(INDEX(I:I,MATCH($T138,$A:$A,0)),0),INDEX(PREVIVAZ!$C112:$N112,1,MATCH(Y$27,PREVIVAZ!$C$1:$N$1,1)))</f>
        <v>#N/A</v>
      </c>
      <c r="Z138" s="202" t="e">
        <f ca="1">IFERROR(ROUND(INDEX(J:J,MATCH($T138,$A:$A,0)),0),INDEX(PREVIVAZ!$C112:$N112,1,MATCH(Z$27,PREVIVAZ!$C$1:$N$1,1)))</f>
        <v>#N/A</v>
      </c>
      <c r="AA138" s="202" t="e">
        <f ca="1">IFERROR(ROUND(INDEX(K:K,MATCH($T138,$A:$A,0)),0),INDEX(PREVIVAZ!$C112:$N112,1,MATCH(AA$27,PREVIVAZ!$C$1:$N$1,1)))</f>
        <v>#N/A</v>
      </c>
      <c r="AB138" s="202" t="e">
        <f ca="1">IFERROR(ROUND(INDEX(L:L,MATCH($T138,$A:$A,0)),0),INDEX(PREVIVAZ!$C112:$N112,1,MATCH(AB$27,PREVIVAZ!$C$1:$N$1,1)))</f>
        <v>#N/A</v>
      </c>
      <c r="AC138" s="202" t="e">
        <f ca="1">IFERROR(ROUND(INDEX(M:M,MATCH($T138,$A:$A,0)),0),INDEX(PREVIVAZ!$C112:$N112,1,MATCH(AC$27,PREVIVAZ!$C$1:$N$1,1)))</f>
        <v>#N/A</v>
      </c>
      <c r="AD138" s="202" t="e">
        <f ca="1">IFERROR(ROUND(INDEX(N:N,MATCH($T138,$A:$A,0)),0),INDEX(PREVIVAZ!$C112:$N112,1,MATCH(AD$27,PREVIVAZ!$C$1:$N$1,1)))</f>
        <v>#N/A</v>
      </c>
      <c r="AE138" s="202" t="e">
        <f ca="1">IFERROR(ROUND(INDEX(O:O,MATCH($T138,$A:$A,0)),0),INDEX(PREVIVAZ!$C112:$N112,1,MATCH(AE$27,PREVIVAZ!$C$1:$N$1,1)))</f>
        <v>#N/A</v>
      </c>
      <c r="AF138" s="202" t="e">
        <f ca="1">IFERROR(ROUND(INDEX(P:P,MATCH($T138,$A:$A,0)),0),INDEX(PREVIVAZ!$C112:$N112,1,MATCH(AF$27,PREVIVAZ!$C$1:$N$1,1)))</f>
        <v>#N/A</v>
      </c>
      <c r="AG138" s="202" t="e">
        <f ca="1">IFERROR(ROUND(INDEX(Q:Q,MATCH($T138,$A:$A,0)),0),INDEX(PREVIVAZ!$C112:$N112,1,MATCH(AG$27,PREVIVAZ!$C$1:$N$1,1)))</f>
        <v>#N/A</v>
      </c>
    </row>
    <row r="139" spans="1:33" ht="12.75" x14ac:dyDescent="0.2">
      <c r="O139"/>
      <c r="P139"/>
      <c r="Q139"/>
      <c r="R139"/>
      <c r="S139"/>
      <c r="T139" s="202">
        <v>112</v>
      </c>
      <c r="U139" s="202"/>
      <c r="V139" s="202" t="e">
        <f ca="1">IFERROR(ROUND(INDEX(F:F,MATCH($T139,$A:$A,0)),0),INDEX(PREVIVAZ!$C113:$N113,1,MATCH(V$27,PREVIVAZ!$C$1:$N$1,1)))</f>
        <v>#N/A</v>
      </c>
      <c r="W139" s="202" t="e">
        <f ca="1">IFERROR(ROUND(INDEX(G:G,MATCH($T139,$A:$A,0)),0),INDEX(PREVIVAZ!$C113:$N113,1,MATCH(W$27,PREVIVAZ!$C$1:$N$1,1)))</f>
        <v>#N/A</v>
      </c>
      <c r="X139" s="202" t="e">
        <f ca="1">IFERROR(ROUND(INDEX(H:H,MATCH($T139,$A:$A,0)),0),INDEX(PREVIVAZ!$C113:$N113,1,MATCH(X$27,PREVIVAZ!$C$1:$N$1,1)))</f>
        <v>#N/A</v>
      </c>
      <c r="Y139" s="202" t="e">
        <f ca="1">IFERROR(ROUND(INDEX(I:I,MATCH($T139,$A:$A,0)),0),INDEX(PREVIVAZ!$C113:$N113,1,MATCH(Y$27,PREVIVAZ!$C$1:$N$1,1)))</f>
        <v>#N/A</v>
      </c>
      <c r="Z139" s="202" t="e">
        <f ca="1">IFERROR(ROUND(INDEX(J:J,MATCH($T139,$A:$A,0)),0),INDEX(PREVIVAZ!$C113:$N113,1,MATCH(Z$27,PREVIVAZ!$C$1:$N$1,1)))</f>
        <v>#N/A</v>
      </c>
      <c r="AA139" s="202" t="e">
        <f ca="1">IFERROR(ROUND(INDEX(K:K,MATCH($T139,$A:$A,0)),0),INDEX(PREVIVAZ!$C113:$N113,1,MATCH(AA$27,PREVIVAZ!$C$1:$N$1,1)))</f>
        <v>#N/A</v>
      </c>
      <c r="AB139" s="202" t="e">
        <f ca="1">IFERROR(ROUND(INDEX(L:L,MATCH($T139,$A:$A,0)),0),INDEX(PREVIVAZ!$C113:$N113,1,MATCH(AB$27,PREVIVAZ!$C$1:$N$1,1)))</f>
        <v>#N/A</v>
      </c>
      <c r="AC139" s="202" t="e">
        <f ca="1">IFERROR(ROUND(INDEX(M:M,MATCH($T139,$A:$A,0)),0),INDEX(PREVIVAZ!$C113:$N113,1,MATCH(AC$27,PREVIVAZ!$C$1:$N$1,1)))</f>
        <v>#N/A</v>
      </c>
      <c r="AD139" s="202" t="e">
        <f ca="1">IFERROR(ROUND(INDEX(N:N,MATCH($T139,$A:$A,0)),0),INDEX(PREVIVAZ!$C113:$N113,1,MATCH(AD$27,PREVIVAZ!$C$1:$N$1,1)))</f>
        <v>#N/A</v>
      </c>
      <c r="AE139" s="202" t="e">
        <f ca="1">IFERROR(ROUND(INDEX(O:O,MATCH($T139,$A:$A,0)),0),INDEX(PREVIVAZ!$C113:$N113,1,MATCH(AE$27,PREVIVAZ!$C$1:$N$1,1)))</f>
        <v>#N/A</v>
      </c>
      <c r="AF139" s="202" t="e">
        <f ca="1">IFERROR(ROUND(INDEX(P:P,MATCH($T139,$A:$A,0)),0),INDEX(PREVIVAZ!$C113:$N113,1,MATCH(AF$27,PREVIVAZ!$C$1:$N$1,1)))</f>
        <v>#N/A</v>
      </c>
      <c r="AG139" s="202" t="e">
        <f ca="1">IFERROR(ROUND(INDEX(Q:Q,MATCH($T139,$A:$A,0)),0),INDEX(PREVIVAZ!$C113:$N113,1,MATCH(AG$27,PREVIVAZ!$C$1:$N$1,1)))</f>
        <v>#N/A</v>
      </c>
    </row>
    <row r="140" spans="1:33" ht="12.75" x14ac:dyDescent="0.2">
      <c r="O140"/>
      <c r="P140"/>
      <c r="Q140"/>
      <c r="R140"/>
      <c r="S140"/>
      <c r="T140" s="202">
        <v>113</v>
      </c>
      <c r="U140" s="202"/>
      <c r="V140" s="202" t="e">
        <f ca="1">IFERROR(ROUND(INDEX(F:F,MATCH($T140,$A:$A,0)),0),INDEX(PREVIVAZ!$C114:$N114,1,MATCH(V$27,PREVIVAZ!$C$1:$N$1,1)))</f>
        <v>#N/A</v>
      </c>
      <c r="W140" s="202" t="e">
        <f ca="1">IFERROR(ROUND(INDEX(G:G,MATCH($T140,$A:$A,0)),0),INDEX(PREVIVAZ!$C114:$N114,1,MATCH(W$27,PREVIVAZ!$C$1:$N$1,1)))</f>
        <v>#N/A</v>
      </c>
      <c r="X140" s="202" t="e">
        <f ca="1">IFERROR(ROUND(INDEX(H:H,MATCH($T140,$A:$A,0)),0),INDEX(PREVIVAZ!$C114:$N114,1,MATCH(X$27,PREVIVAZ!$C$1:$N$1,1)))</f>
        <v>#N/A</v>
      </c>
      <c r="Y140" s="202" t="e">
        <f ca="1">IFERROR(ROUND(INDEX(I:I,MATCH($T140,$A:$A,0)),0),INDEX(PREVIVAZ!$C114:$N114,1,MATCH(Y$27,PREVIVAZ!$C$1:$N$1,1)))</f>
        <v>#N/A</v>
      </c>
      <c r="Z140" s="202" t="e">
        <f ca="1">IFERROR(ROUND(INDEX(J:J,MATCH($T140,$A:$A,0)),0),INDEX(PREVIVAZ!$C114:$N114,1,MATCH(Z$27,PREVIVAZ!$C$1:$N$1,1)))</f>
        <v>#N/A</v>
      </c>
      <c r="AA140" s="202" t="e">
        <f ca="1">IFERROR(ROUND(INDEX(K:K,MATCH($T140,$A:$A,0)),0),INDEX(PREVIVAZ!$C114:$N114,1,MATCH(AA$27,PREVIVAZ!$C$1:$N$1,1)))</f>
        <v>#N/A</v>
      </c>
      <c r="AB140" s="202" t="e">
        <f ca="1">IFERROR(ROUND(INDEX(L:L,MATCH($T140,$A:$A,0)),0),INDEX(PREVIVAZ!$C114:$N114,1,MATCH(AB$27,PREVIVAZ!$C$1:$N$1,1)))</f>
        <v>#N/A</v>
      </c>
      <c r="AC140" s="202" t="e">
        <f ca="1">IFERROR(ROUND(INDEX(M:M,MATCH($T140,$A:$A,0)),0),INDEX(PREVIVAZ!$C114:$N114,1,MATCH(AC$27,PREVIVAZ!$C$1:$N$1,1)))</f>
        <v>#N/A</v>
      </c>
      <c r="AD140" s="202" t="e">
        <f ca="1">IFERROR(ROUND(INDEX(N:N,MATCH($T140,$A:$A,0)),0),INDEX(PREVIVAZ!$C114:$N114,1,MATCH(AD$27,PREVIVAZ!$C$1:$N$1,1)))</f>
        <v>#N/A</v>
      </c>
      <c r="AE140" s="202" t="e">
        <f ca="1">IFERROR(ROUND(INDEX(O:O,MATCH($T140,$A:$A,0)),0),INDEX(PREVIVAZ!$C114:$N114,1,MATCH(AE$27,PREVIVAZ!$C$1:$N$1,1)))</f>
        <v>#N/A</v>
      </c>
      <c r="AF140" s="202" t="e">
        <f ca="1">IFERROR(ROUND(INDEX(P:P,MATCH($T140,$A:$A,0)),0),INDEX(PREVIVAZ!$C114:$N114,1,MATCH(AF$27,PREVIVAZ!$C$1:$N$1,1)))</f>
        <v>#N/A</v>
      </c>
      <c r="AG140" s="202" t="e">
        <f ca="1">IFERROR(ROUND(INDEX(Q:Q,MATCH($T140,$A:$A,0)),0),INDEX(PREVIVAZ!$C114:$N114,1,MATCH(AG$27,PREVIVAZ!$C$1:$N$1,1)))</f>
        <v>#N/A</v>
      </c>
    </row>
    <row r="141" spans="1:33" ht="12.75" x14ac:dyDescent="0.2">
      <c r="O141"/>
      <c r="P141"/>
      <c r="Q141"/>
      <c r="R141"/>
      <c r="S141"/>
      <c r="T141" s="202">
        <v>114</v>
      </c>
      <c r="U141" s="202"/>
      <c r="V141" s="202" t="e">
        <f ca="1">IFERROR(ROUND(INDEX(F:F,MATCH($T141,$A:$A,0)),0),INDEX(PREVIVAZ!$C115:$N115,1,MATCH(V$27,PREVIVAZ!$C$1:$N$1,1)))</f>
        <v>#N/A</v>
      </c>
      <c r="W141" s="202" t="e">
        <f ca="1">IFERROR(ROUND(INDEX(G:G,MATCH($T141,$A:$A,0)),0),INDEX(PREVIVAZ!$C115:$N115,1,MATCH(W$27,PREVIVAZ!$C$1:$N$1,1)))</f>
        <v>#N/A</v>
      </c>
      <c r="X141" s="202" t="e">
        <f ca="1">IFERROR(ROUND(INDEX(H:H,MATCH($T141,$A:$A,0)),0),INDEX(PREVIVAZ!$C115:$N115,1,MATCH(X$27,PREVIVAZ!$C$1:$N$1,1)))</f>
        <v>#N/A</v>
      </c>
      <c r="Y141" s="202" t="e">
        <f ca="1">IFERROR(ROUND(INDEX(I:I,MATCH($T141,$A:$A,0)),0),INDEX(PREVIVAZ!$C115:$N115,1,MATCH(Y$27,PREVIVAZ!$C$1:$N$1,1)))</f>
        <v>#N/A</v>
      </c>
      <c r="Z141" s="202" t="e">
        <f ca="1">IFERROR(ROUND(INDEX(J:J,MATCH($T141,$A:$A,0)),0),INDEX(PREVIVAZ!$C115:$N115,1,MATCH(Z$27,PREVIVAZ!$C$1:$N$1,1)))</f>
        <v>#N/A</v>
      </c>
      <c r="AA141" s="202" t="e">
        <f ca="1">IFERROR(ROUND(INDEX(K:K,MATCH($T141,$A:$A,0)),0),INDEX(PREVIVAZ!$C115:$N115,1,MATCH(AA$27,PREVIVAZ!$C$1:$N$1,1)))</f>
        <v>#N/A</v>
      </c>
      <c r="AB141" s="202" t="e">
        <f ca="1">IFERROR(ROUND(INDEX(L:L,MATCH($T141,$A:$A,0)),0),INDEX(PREVIVAZ!$C115:$N115,1,MATCH(AB$27,PREVIVAZ!$C$1:$N$1,1)))</f>
        <v>#N/A</v>
      </c>
      <c r="AC141" s="202" t="e">
        <f ca="1">IFERROR(ROUND(INDEX(M:M,MATCH($T141,$A:$A,0)),0),INDEX(PREVIVAZ!$C115:$N115,1,MATCH(AC$27,PREVIVAZ!$C$1:$N$1,1)))</f>
        <v>#N/A</v>
      </c>
      <c r="AD141" s="202" t="e">
        <f ca="1">IFERROR(ROUND(INDEX(N:N,MATCH($T141,$A:$A,0)),0),INDEX(PREVIVAZ!$C115:$N115,1,MATCH(AD$27,PREVIVAZ!$C$1:$N$1,1)))</f>
        <v>#N/A</v>
      </c>
      <c r="AE141" s="202" t="e">
        <f ca="1">IFERROR(ROUND(INDEX(O:O,MATCH($T141,$A:$A,0)),0),INDEX(PREVIVAZ!$C115:$N115,1,MATCH(AE$27,PREVIVAZ!$C$1:$N$1,1)))</f>
        <v>#N/A</v>
      </c>
      <c r="AF141" s="202" t="e">
        <f ca="1">IFERROR(ROUND(INDEX(P:P,MATCH($T141,$A:$A,0)),0),INDEX(PREVIVAZ!$C115:$N115,1,MATCH(AF$27,PREVIVAZ!$C$1:$N$1,1)))</f>
        <v>#N/A</v>
      </c>
      <c r="AG141" s="202" t="e">
        <f ca="1">IFERROR(ROUND(INDEX(Q:Q,MATCH($T141,$A:$A,0)),0),INDEX(PREVIVAZ!$C115:$N115,1,MATCH(AG$27,PREVIVAZ!$C$1:$N$1,1)))</f>
        <v>#N/A</v>
      </c>
    </row>
    <row r="142" spans="1:33" ht="12.75" x14ac:dyDescent="0.2">
      <c r="O142"/>
      <c r="P142"/>
      <c r="Q142"/>
      <c r="R142"/>
      <c r="S142"/>
      <c r="T142" s="272">
        <v>115</v>
      </c>
      <c r="V142" s="202" t="e">
        <f ca="1">IFERROR(ROUND(INDEX(F:F,MATCH($T142,$A:$A,0)),0),INDEX(PREVIVAZ!$C116:$N116,1,MATCH(V$27,PREVIVAZ!$C$1:$N$1,1)))</f>
        <v>#N/A</v>
      </c>
      <c r="W142" s="202" t="e">
        <f ca="1">IFERROR(ROUND(INDEX(G:G,MATCH($T142,$A:$A,0)),0),INDEX(PREVIVAZ!$C116:$N116,1,MATCH(W$27,PREVIVAZ!$C$1:$N$1,1)))</f>
        <v>#N/A</v>
      </c>
      <c r="X142" s="202" t="e">
        <f ca="1">IFERROR(ROUND(INDEX(H:H,MATCH($T142,$A:$A,0)),0),INDEX(PREVIVAZ!$C116:$N116,1,MATCH(X$27,PREVIVAZ!$C$1:$N$1,1)))</f>
        <v>#N/A</v>
      </c>
      <c r="Y142" s="202" t="e">
        <f ca="1">IFERROR(ROUND(INDEX(I:I,MATCH($T142,$A:$A,0)),0),INDEX(PREVIVAZ!$C116:$N116,1,MATCH(Y$27,PREVIVAZ!$C$1:$N$1,1)))</f>
        <v>#N/A</v>
      </c>
      <c r="Z142" s="202" t="e">
        <f ca="1">IFERROR(ROUND(INDEX(J:J,MATCH($T142,$A:$A,0)),0),INDEX(PREVIVAZ!$C116:$N116,1,MATCH(Z$27,PREVIVAZ!$C$1:$N$1,1)))</f>
        <v>#N/A</v>
      </c>
      <c r="AA142" s="202" t="e">
        <f ca="1">IFERROR(ROUND(INDEX(K:K,MATCH($T142,$A:$A,0)),0),INDEX(PREVIVAZ!$C116:$N116,1,MATCH(AA$27,PREVIVAZ!$C$1:$N$1,1)))</f>
        <v>#N/A</v>
      </c>
      <c r="AB142" s="202" t="e">
        <f ca="1">IFERROR(ROUND(INDEX(L:L,MATCH($T142,$A:$A,0)),0),INDEX(PREVIVAZ!$C116:$N116,1,MATCH(AB$27,PREVIVAZ!$C$1:$N$1,1)))</f>
        <v>#N/A</v>
      </c>
      <c r="AC142" s="202" t="e">
        <f ca="1">IFERROR(ROUND(INDEX(M:M,MATCH($T142,$A:$A,0)),0),INDEX(PREVIVAZ!$C116:$N116,1,MATCH(AC$27,PREVIVAZ!$C$1:$N$1,1)))</f>
        <v>#N/A</v>
      </c>
      <c r="AD142" s="202" t="e">
        <f ca="1">IFERROR(ROUND(INDEX(N:N,MATCH($T142,$A:$A,0)),0),INDEX(PREVIVAZ!$C116:$N116,1,MATCH(AD$27,PREVIVAZ!$C$1:$N$1,1)))</f>
        <v>#N/A</v>
      </c>
      <c r="AE142" s="202" t="e">
        <f ca="1">IFERROR(ROUND(INDEX(O:O,MATCH($T142,$A:$A,0)),0),INDEX(PREVIVAZ!$C116:$N116,1,MATCH(AE$27,PREVIVAZ!$C$1:$N$1,1)))</f>
        <v>#N/A</v>
      </c>
      <c r="AF142" s="202" t="e">
        <f ca="1">IFERROR(ROUND(INDEX(P:P,MATCH($T142,$A:$A,0)),0),INDEX(PREVIVAZ!$C116:$N116,1,MATCH(AF$27,PREVIVAZ!$C$1:$N$1,1)))</f>
        <v>#N/A</v>
      </c>
      <c r="AG142" s="202" t="e">
        <f ca="1">IFERROR(ROUND(INDEX(Q:Q,MATCH($T142,$A:$A,0)),0),INDEX(PREVIVAZ!$C116:$N116,1,MATCH(AG$27,PREVIVAZ!$C$1:$N$1,1)))</f>
        <v>#N/A</v>
      </c>
    </row>
    <row r="143" spans="1:33" ht="12.75" x14ac:dyDescent="0.2">
      <c r="O143"/>
      <c r="P143"/>
      <c r="Q143"/>
      <c r="R143"/>
      <c r="S143"/>
      <c r="T143" s="272">
        <v>116</v>
      </c>
      <c r="V143" s="202">
        <f ca="1">IFERROR(ROUND(INDEX(F:F,MATCH($T143,$A:$A,0)),0),INDEX(PREVIVAZ!$C117:$N117,1,MATCH(V$27,PREVIVAZ!$C$1:$N$1,1)))</f>
        <v>0</v>
      </c>
      <c r="W143" s="202">
        <f ca="1">IFERROR(ROUND(INDEX(G:G,MATCH($T143,$A:$A,0)),0),INDEX(PREVIVAZ!$C117:$N117,1,MATCH(W$27,PREVIVAZ!$C$1:$N$1,1)))</f>
        <v>0</v>
      </c>
      <c r="X143" s="202">
        <f ca="1">IFERROR(ROUND(INDEX(H:H,MATCH($T143,$A:$A,0)),0),INDEX(PREVIVAZ!$C117:$N117,1,MATCH(X$27,PREVIVAZ!$C$1:$N$1,1)))</f>
        <v>0</v>
      </c>
      <c r="Y143" s="202">
        <f ca="1">IFERROR(ROUND(INDEX(I:I,MATCH($T143,$A:$A,0)),0),INDEX(PREVIVAZ!$C117:$N117,1,MATCH(Y$27,PREVIVAZ!$C$1:$N$1,1)))</f>
        <v>0</v>
      </c>
      <c r="Z143" s="202">
        <f ca="1">IFERROR(ROUND(INDEX(J:J,MATCH($T143,$A:$A,0)),0),INDEX(PREVIVAZ!$C117:$N117,1,MATCH(Z$27,PREVIVAZ!$C$1:$N$1,1)))</f>
        <v>0</v>
      </c>
      <c r="AA143" s="202">
        <f ca="1">IFERROR(ROUND(INDEX(K:K,MATCH($T143,$A:$A,0)),0),INDEX(PREVIVAZ!$C117:$N117,1,MATCH(AA$27,PREVIVAZ!$C$1:$N$1,1)))</f>
        <v>0</v>
      </c>
      <c r="AB143" s="202">
        <f ca="1">IFERROR(ROUND(INDEX(L:L,MATCH($T143,$A:$A,0)),0),INDEX(PREVIVAZ!$C117:$N117,1,MATCH(AB$27,PREVIVAZ!$C$1:$N$1,1)))</f>
        <v>0</v>
      </c>
      <c r="AC143" s="202">
        <f ca="1">IFERROR(ROUND(INDEX(M:M,MATCH($T143,$A:$A,0)),0),INDEX(PREVIVAZ!$C117:$N117,1,MATCH(AC$27,PREVIVAZ!$C$1:$N$1,1)))</f>
        <v>0</v>
      </c>
      <c r="AD143" s="202">
        <f ca="1">IFERROR(ROUND(INDEX(N:N,MATCH($T143,$A:$A,0)),0),INDEX(PREVIVAZ!$C117:$N117,1,MATCH(AD$27,PREVIVAZ!$C$1:$N$1,1)))</f>
        <v>0</v>
      </c>
      <c r="AE143" s="202">
        <f ca="1">IFERROR(ROUND(INDEX(O:O,MATCH($T143,$A:$A,0)),0),INDEX(PREVIVAZ!$C117:$N117,1,MATCH(AE$27,PREVIVAZ!$C$1:$N$1,1)))</f>
        <v>0</v>
      </c>
      <c r="AF143" s="202">
        <f ca="1">IFERROR(ROUND(INDEX(P:P,MATCH($T143,$A:$A,0)),0),INDEX(PREVIVAZ!$C117:$N117,1,MATCH(AF$27,PREVIVAZ!$C$1:$N$1,1)))</f>
        <v>0</v>
      </c>
      <c r="AG143" s="202">
        <f ca="1">IFERROR(ROUND(INDEX(Q:Q,MATCH($T143,$A:$A,0)),0),INDEX(PREVIVAZ!$C117:$N117,1,MATCH(AG$27,PREVIVAZ!$C$1:$N$1,1)))</f>
        <v>0</v>
      </c>
    </row>
    <row r="144" spans="1:33" ht="12.75" x14ac:dyDescent="0.2">
      <c r="O144"/>
      <c r="P144"/>
      <c r="Q144"/>
      <c r="R144"/>
      <c r="S144"/>
      <c r="T144" s="272">
        <v>117</v>
      </c>
      <c r="V144" s="202">
        <f ca="1">IFERROR(ROUND(INDEX(F:F,MATCH($T144,$A:$A,0)),0),INDEX(PREVIVAZ!$C118:$N118,1,MATCH(V$27,PREVIVAZ!$C$1:$N$1,1)))</f>
        <v>0</v>
      </c>
      <c r="W144" s="202">
        <f ca="1">IFERROR(ROUND(INDEX(G:G,MATCH($T144,$A:$A,0)),0),INDEX(PREVIVAZ!$C118:$N118,1,MATCH(W$27,PREVIVAZ!$C$1:$N$1,1)))</f>
        <v>0</v>
      </c>
      <c r="X144" s="202">
        <f ca="1">IFERROR(ROUND(INDEX(H:H,MATCH($T144,$A:$A,0)),0),INDEX(PREVIVAZ!$C118:$N118,1,MATCH(X$27,PREVIVAZ!$C$1:$N$1,1)))</f>
        <v>0</v>
      </c>
      <c r="Y144" s="202">
        <f ca="1">IFERROR(ROUND(INDEX(I:I,MATCH($T144,$A:$A,0)),0),INDEX(PREVIVAZ!$C118:$N118,1,MATCH(Y$27,PREVIVAZ!$C$1:$N$1,1)))</f>
        <v>0</v>
      </c>
      <c r="Z144" s="202">
        <f ca="1">IFERROR(ROUND(INDEX(J:J,MATCH($T144,$A:$A,0)),0),INDEX(PREVIVAZ!$C118:$N118,1,MATCH(Z$27,PREVIVAZ!$C$1:$N$1,1)))</f>
        <v>0</v>
      </c>
      <c r="AA144" s="202">
        <f ca="1">IFERROR(ROUND(INDEX(K:K,MATCH($T144,$A:$A,0)),0),INDEX(PREVIVAZ!$C118:$N118,1,MATCH(AA$27,PREVIVAZ!$C$1:$N$1,1)))</f>
        <v>0</v>
      </c>
      <c r="AB144" s="202">
        <f ca="1">IFERROR(ROUND(INDEX(L:L,MATCH($T144,$A:$A,0)),0),INDEX(PREVIVAZ!$C118:$N118,1,MATCH(AB$27,PREVIVAZ!$C$1:$N$1,1)))</f>
        <v>0</v>
      </c>
      <c r="AC144" s="202">
        <f ca="1">IFERROR(ROUND(INDEX(M:M,MATCH($T144,$A:$A,0)),0),INDEX(PREVIVAZ!$C118:$N118,1,MATCH(AC$27,PREVIVAZ!$C$1:$N$1,1)))</f>
        <v>0</v>
      </c>
      <c r="AD144" s="202">
        <f ca="1">IFERROR(ROUND(INDEX(N:N,MATCH($T144,$A:$A,0)),0),INDEX(PREVIVAZ!$C118:$N118,1,MATCH(AD$27,PREVIVAZ!$C$1:$N$1,1)))</f>
        <v>0</v>
      </c>
      <c r="AE144" s="202">
        <f ca="1">IFERROR(ROUND(INDEX(O:O,MATCH($T144,$A:$A,0)),0),INDEX(PREVIVAZ!$C118:$N118,1,MATCH(AE$27,PREVIVAZ!$C$1:$N$1,1)))</f>
        <v>0</v>
      </c>
      <c r="AF144" s="202">
        <f ca="1">IFERROR(ROUND(INDEX(P:P,MATCH($T144,$A:$A,0)),0),INDEX(PREVIVAZ!$C118:$N118,1,MATCH(AF$27,PREVIVAZ!$C$1:$N$1,1)))</f>
        <v>0</v>
      </c>
      <c r="AG144" s="202">
        <f ca="1">IFERROR(ROUND(INDEX(Q:Q,MATCH($T144,$A:$A,0)),0),INDEX(PREVIVAZ!$C118:$N118,1,MATCH(AG$27,PREVIVAZ!$C$1:$N$1,1)))</f>
        <v>0</v>
      </c>
    </row>
    <row r="145" spans="15:33" ht="12.75" x14ac:dyDescent="0.2">
      <c r="O145"/>
      <c r="P145"/>
      <c r="Q145"/>
      <c r="R145"/>
      <c r="S145"/>
      <c r="T145" s="272">
        <v>118</v>
      </c>
      <c r="V145" s="202">
        <f ca="1">IFERROR(ROUND(INDEX(F:F,MATCH($T145,$A:$A,0)),0),INDEX(PREVIVAZ!$C119:$N119,1,MATCH(V$27,PREVIVAZ!$C$1:$N$1,1)))</f>
        <v>0</v>
      </c>
      <c r="W145" s="202">
        <f ca="1">IFERROR(ROUND(INDEX(G:G,MATCH($T145,$A:$A,0)),0),INDEX(PREVIVAZ!$C119:$N119,1,MATCH(W$27,PREVIVAZ!$C$1:$N$1,1)))</f>
        <v>0</v>
      </c>
      <c r="X145" s="202">
        <f ca="1">IFERROR(ROUND(INDEX(H:H,MATCH($T145,$A:$A,0)),0),INDEX(PREVIVAZ!$C119:$N119,1,MATCH(X$27,PREVIVAZ!$C$1:$N$1,1)))</f>
        <v>0</v>
      </c>
      <c r="Y145" s="202">
        <f ca="1">IFERROR(ROUND(INDEX(I:I,MATCH($T145,$A:$A,0)),0),INDEX(PREVIVAZ!$C119:$N119,1,MATCH(Y$27,PREVIVAZ!$C$1:$N$1,1)))</f>
        <v>0</v>
      </c>
      <c r="Z145" s="202">
        <f ca="1">IFERROR(ROUND(INDEX(J:J,MATCH($T145,$A:$A,0)),0),INDEX(PREVIVAZ!$C119:$N119,1,MATCH(Z$27,PREVIVAZ!$C$1:$N$1,1)))</f>
        <v>0</v>
      </c>
      <c r="AA145" s="202">
        <f ca="1">IFERROR(ROUND(INDEX(K:K,MATCH($T145,$A:$A,0)),0),INDEX(PREVIVAZ!$C119:$N119,1,MATCH(AA$27,PREVIVAZ!$C$1:$N$1,1)))</f>
        <v>0</v>
      </c>
      <c r="AB145" s="202">
        <f ca="1">IFERROR(ROUND(INDEX(L:L,MATCH($T145,$A:$A,0)),0),INDEX(PREVIVAZ!$C119:$N119,1,MATCH(AB$27,PREVIVAZ!$C$1:$N$1,1)))</f>
        <v>0</v>
      </c>
      <c r="AC145" s="202">
        <f ca="1">IFERROR(ROUND(INDEX(M:M,MATCH($T145,$A:$A,0)),0),INDEX(PREVIVAZ!$C119:$N119,1,MATCH(AC$27,PREVIVAZ!$C$1:$N$1,1)))</f>
        <v>0</v>
      </c>
      <c r="AD145" s="202">
        <f ca="1">IFERROR(ROUND(INDEX(N:N,MATCH($T145,$A:$A,0)),0),INDEX(PREVIVAZ!$C119:$N119,1,MATCH(AD$27,PREVIVAZ!$C$1:$N$1,1)))</f>
        <v>0</v>
      </c>
      <c r="AE145" s="202">
        <f ca="1">IFERROR(ROUND(INDEX(O:O,MATCH($T145,$A:$A,0)),0),INDEX(PREVIVAZ!$C119:$N119,1,MATCH(AE$27,PREVIVAZ!$C$1:$N$1,1)))</f>
        <v>0</v>
      </c>
      <c r="AF145" s="202">
        <f ca="1">IFERROR(ROUND(INDEX(P:P,MATCH($T145,$A:$A,0)),0),INDEX(PREVIVAZ!$C119:$N119,1,MATCH(AF$27,PREVIVAZ!$C$1:$N$1,1)))</f>
        <v>0</v>
      </c>
      <c r="AG145" s="202">
        <f ca="1">IFERROR(ROUND(INDEX(Q:Q,MATCH($T145,$A:$A,0)),0),INDEX(PREVIVAZ!$C119:$N119,1,MATCH(AG$27,PREVIVAZ!$C$1:$N$1,1)))</f>
        <v>0</v>
      </c>
    </row>
    <row r="146" spans="15:33" ht="12.75" x14ac:dyDescent="0.2">
      <c r="O146"/>
      <c r="P146"/>
      <c r="Q146"/>
      <c r="R146"/>
      <c r="S146"/>
      <c r="T146" s="272">
        <v>119</v>
      </c>
      <c r="V146" s="202">
        <f ca="1">IFERROR(ROUND(INDEX(F:F,MATCH($T146,$A:$A,0)),0),INDEX(PREVIVAZ!$C120:$N120,1,MATCH(V$27,PREVIVAZ!$C$1:$N$1,1)))</f>
        <v>0</v>
      </c>
      <c r="W146" s="202">
        <f ca="1">IFERROR(ROUND(INDEX(G:G,MATCH($T146,$A:$A,0)),0),INDEX(PREVIVAZ!$C120:$N120,1,MATCH(W$27,PREVIVAZ!$C$1:$N$1,1)))</f>
        <v>0</v>
      </c>
      <c r="X146" s="202">
        <f ca="1">IFERROR(ROUND(INDEX(H:H,MATCH($T146,$A:$A,0)),0),INDEX(PREVIVAZ!$C120:$N120,1,MATCH(X$27,PREVIVAZ!$C$1:$N$1,1)))</f>
        <v>0</v>
      </c>
      <c r="Y146" s="202">
        <f ca="1">IFERROR(ROUND(INDEX(I:I,MATCH($T146,$A:$A,0)),0),INDEX(PREVIVAZ!$C120:$N120,1,MATCH(Y$27,PREVIVAZ!$C$1:$N$1,1)))</f>
        <v>0</v>
      </c>
      <c r="Z146" s="202">
        <f ca="1">IFERROR(ROUND(INDEX(J:J,MATCH($T146,$A:$A,0)),0),INDEX(PREVIVAZ!$C120:$N120,1,MATCH(Z$27,PREVIVAZ!$C$1:$N$1,1)))</f>
        <v>0</v>
      </c>
      <c r="AA146" s="202">
        <f ca="1">IFERROR(ROUND(INDEX(K:K,MATCH($T146,$A:$A,0)),0),INDEX(PREVIVAZ!$C120:$N120,1,MATCH(AA$27,PREVIVAZ!$C$1:$N$1,1)))</f>
        <v>0</v>
      </c>
      <c r="AB146" s="202">
        <f ca="1">IFERROR(ROUND(INDEX(L:L,MATCH($T146,$A:$A,0)),0),INDEX(PREVIVAZ!$C120:$N120,1,MATCH(AB$27,PREVIVAZ!$C$1:$N$1,1)))</f>
        <v>0</v>
      </c>
      <c r="AC146" s="202">
        <f ca="1">IFERROR(ROUND(INDEX(M:M,MATCH($T146,$A:$A,0)),0),INDEX(PREVIVAZ!$C120:$N120,1,MATCH(AC$27,PREVIVAZ!$C$1:$N$1,1)))</f>
        <v>0</v>
      </c>
      <c r="AD146" s="202">
        <f ca="1">IFERROR(ROUND(INDEX(N:N,MATCH($T146,$A:$A,0)),0),INDEX(PREVIVAZ!$C120:$N120,1,MATCH(AD$27,PREVIVAZ!$C$1:$N$1,1)))</f>
        <v>0</v>
      </c>
      <c r="AE146" s="202">
        <f ca="1">IFERROR(ROUND(INDEX(O:O,MATCH($T146,$A:$A,0)),0),INDEX(PREVIVAZ!$C120:$N120,1,MATCH(AE$27,PREVIVAZ!$C$1:$N$1,1)))</f>
        <v>0</v>
      </c>
      <c r="AF146" s="202">
        <f ca="1">IFERROR(ROUND(INDEX(P:P,MATCH($T146,$A:$A,0)),0),INDEX(PREVIVAZ!$C120:$N120,1,MATCH(AF$27,PREVIVAZ!$C$1:$N$1,1)))</f>
        <v>0</v>
      </c>
      <c r="AG146" s="202">
        <f ca="1">IFERROR(ROUND(INDEX(Q:Q,MATCH($T146,$A:$A,0)),0),INDEX(PREVIVAZ!$C120:$N120,1,MATCH(AG$27,PREVIVAZ!$C$1:$N$1,1)))</f>
        <v>0</v>
      </c>
    </row>
    <row r="147" spans="15:33" ht="12.75" x14ac:dyDescent="0.2">
      <c r="O147"/>
      <c r="P147"/>
      <c r="Q147"/>
      <c r="R147"/>
      <c r="S147"/>
      <c r="T147" s="272">
        <v>120</v>
      </c>
      <c r="V147" s="202" t="e">
        <f ca="1">IFERROR(ROUND(INDEX(F:F,MATCH($T147,$A:$A,0)),0),INDEX(PREVIVAZ!$C121:$N121,1,MATCH(V$27,PREVIVAZ!$C$1:$N$1,1)))</f>
        <v>#N/A</v>
      </c>
      <c r="W147" s="202" t="e">
        <f ca="1">IFERROR(ROUND(INDEX(G:G,MATCH($T147,$A:$A,0)),0),INDEX(PREVIVAZ!$C121:$N121,1,MATCH(W$27,PREVIVAZ!$C$1:$N$1,1)))</f>
        <v>#N/A</v>
      </c>
      <c r="X147" s="202" t="e">
        <f ca="1">IFERROR(ROUND(INDEX(H:H,MATCH($T147,$A:$A,0)),0),INDEX(PREVIVAZ!$C121:$N121,1,MATCH(X$27,PREVIVAZ!$C$1:$N$1,1)))</f>
        <v>#N/A</v>
      </c>
      <c r="Y147" s="202" t="e">
        <f ca="1">IFERROR(ROUND(INDEX(I:I,MATCH($T147,$A:$A,0)),0),INDEX(PREVIVAZ!$C121:$N121,1,MATCH(Y$27,PREVIVAZ!$C$1:$N$1,1)))</f>
        <v>#N/A</v>
      </c>
      <c r="Z147" s="202" t="e">
        <f ca="1">IFERROR(ROUND(INDEX(J:J,MATCH($T147,$A:$A,0)),0),INDEX(PREVIVAZ!$C121:$N121,1,MATCH(Z$27,PREVIVAZ!$C$1:$N$1,1)))</f>
        <v>#N/A</v>
      </c>
      <c r="AA147" s="202" t="e">
        <f ca="1">IFERROR(ROUND(INDEX(K:K,MATCH($T147,$A:$A,0)),0),INDEX(PREVIVAZ!$C121:$N121,1,MATCH(AA$27,PREVIVAZ!$C$1:$N$1,1)))</f>
        <v>#N/A</v>
      </c>
      <c r="AB147" s="202" t="e">
        <f ca="1">IFERROR(ROUND(INDEX(L:L,MATCH($T147,$A:$A,0)),0),INDEX(PREVIVAZ!$C121:$N121,1,MATCH(AB$27,PREVIVAZ!$C$1:$N$1,1)))</f>
        <v>#N/A</v>
      </c>
      <c r="AC147" s="202" t="e">
        <f ca="1">IFERROR(ROUND(INDEX(M:M,MATCH($T147,$A:$A,0)),0),INDEX(PREVIVAZ!$C121:$N121,1,MATCH(AC$27,PREVIVAZ!$C$1:$N$1,1)))</f>
        <v>#N/A</v>
      </c>
      <c r="AD147" s="202" t="e">
        <f ca="1">IFERROR(ROUND(INDEX(N:N,MATCH($T147,$A:$A,0)),0),INDEX(PREVIVAZ!$C121:$N121,1,MATCH(AD$27,PREVIVAZ!$C$1:$N$1,1)))</f>
        <v>#N/A</v>
      </c>
      <c r="AE147" s="202" t="e">
        <f ca="1">IFERROR(ROUND(INDEX(O:O,MATCH($T147,$A:$A,0)),0),INDEX(PREVIVAZ!$C121:$N121,1,MATCH(AE$27,PREVIVAZ!$C$1:$N$1,1)))</f>
        <v>#N/A</v>
      </c>
      <c r="AF147" s="202" t="e">
        <f ca="1">IFERROR(ROUND(INDEX(P:P,MATCH($T147,$A:$A,0)),0),INDEX(PREVIVAZ!$C121:$N121,1,MATCH(AF$27,PREVIVAZ!$C$1:$N$1,1)))</f>
        <v>#N/A</v>
      </c>
      <c r="AG147" s="202" t="e">
        <f ca="1">IFERROR(ROUND(INDEX(Q:Q,MATCH($T147,$A:$A,0)),0),INDEX(PREVIVAZ!$C121:$N121,1,MATCH(AG$27,PREVIVAZ!$C$1:$N$1,1)))</f>
        <v>#N/A</v>
      </c>
    </row>
    <row r="148" spans="15:33" ht="12.75" x14ac:dyDescent="0.2">
      <c r="O148"/>
      <c r="P148"/>
      <c r="Q148"/>
      <c r="R148"/>
      <c r="S148"/>
      <c r="T148" s="272">
        <v>121</v>
      </c>
      <c r="V148" s="202" t="e">
        <f ca="1">IFERROR(ROUND(INDEX(F:F,MATCH($T148,$A:$A,0)),0),INDEX(PREVIVAZ!$C122:$N122,1,MATCH(V$27,PREVIVAZ!$C$1:$N$1,1)))</f>
        <v>#N/A</v>
      </c>
      <c r="W148" s="202" t="e">
        <f ca="1">IFERROR(ROUND(INDEX(G:G,MATCH($T148,$A:$A,0)),0),INDEX(PREVIVAZ!$C122:$N122,1,MATCH(W$27,PREVIVAZ!$C$1:$N$1,1)))</f>
        <v>#N/A</v>
      </c>
      <c r="X148" s="202" t="e">
        <f ca="1">IFERROR(ROUND(INDEX(H:H,MATCH($T148,$A:$A,0)),0),INDEX(PREVIVAZ!$C122:$N122,1,MATCH(X$27,PREVIVAZ!$C$1:$N$1,1)))</f>
        <v>#N/A</v>
      </c>
      <c r="Y148" s="202" t="e">
        <f ca="1">IFERROR(ROUND(INDEX(I:I,MATCH($T148,$A:$A,0)),0),INDEX(PREVIVAZ!$C122:$N122,1,MATCH(Y$27,PREVIVAZ!$C$1:$N$1,1)))</f>
        <v>#N/A</v>
      </c>
      <c r="Z148" s="202" t="e">
        <f ca="1">IFERROR(ROUND(INDEX(J:J,MATCH($T148,$A:$A,0)),0),INDEX(PREVIVAZ!$C122:$N122,1,MATCH(Z$27,PREVIVAZ!$C$1:$N$1,1)))</f>
        <v>#N/A</v>
      </c>
      <c r="AA148" s="202" t="e">
        <f ca="1">IFERROR(ROUND(INDEX(K:K,MATCH($T148,$A:$A,0)),0),INDEX(PREVIVAZ!$C122:$N122,1,MATCH(AA$27,PREVIVAZ!$C$1:$N$1,1)))</f>
        <v>#N/A</v>
      </c>
      <c r="AB148" s="202" t="e">
        <f ca="1">IFERROR(ROUND(INDEX(L:L,MATCH($T148,$A:$A,0)),0),INDEX(PREVIVAZ!$C122:$N122,1,MATCH(AB$27,PREVIVAZ!$C$1:$N$1,1)))</f>
        <v>#N/A</v>
      </c>
      <c r="AC148" s="202" t="e">
        <f ca="1">IFERROR(ROUND(INDEX(M:M,MATCH($T148,$A:$A,0)),0),INDEX(PREVIVAZ!$C122:$N122,1,MATCH(AC$27,PREVIVAZ!$C$1:$N$1,1)))</f>
        <v>#N/A</v>
      </c>
      <c r="AD148" s="202" t="e">
        <f ca="1">IFERROR(ROUND(INDEX(N:N,MATCH($T148,$A:$A,0)),0),INDEX(PREVIVAZ!$C122:$N122,1,MATCH(AD$27,PREVIVAZ!$C$1:$N$1,1)))</f>
        <v>#N/A</v>
      </c>
      <c r="AE148" s="202" t="e">
        <f ca="1">IFERROR(ROUND(INDEX(O:O,MATCH($T148,$A:$A,0)),0),INDEX(PREVIVAZ!$C122:$N122,1,MATCH(AE$27,PREVIVAZ!$C$1:$N$1,1)))</f>
        <v>#N/A</v>
      </c>
      <c r="AF148" s="202" t="e">
        <f ca="1">IFERROR(ROUND(INDEX(P:P,MATCH($T148,$A:$A,0)),0),INDEX(PREVIVAZ!$C122:$N122,1,MATCH(AF$27,PREVIVAZ!$C$1:$N$1,1)))</f>
        <v>#N/A</v>
      </c>
      <c r="AG148" s="202" t="e">
        <f ca="1">IFERROR(ROUND(INDEX(Q:Q,MATCH($T148,$A:$A,0)),0),INDEX(PREVIVAZ!$C122:$N122,1,MATCH(AG$27,PREVIVAZ!$C$1:$N$1,1)))</f>
        <v>#N/A</v>
      </c>
    </row>
    <row r="149" spans="15:33" ht="12.75" x14ac:dyDescent="0.2">
      <c r="O149"/>
      <c r="P149"/>
      <c r="Q149"/>
      <c r="R149"/>
      <c r="S149"/>
      <c r="T149" s="272">
        <v>122</v>
      </c>
      <c r="V149" s="202" t="e">
        <f ca="1">IFERROR(ROUND(INDEX(F:F,MATCH($T149,$A:$A,0)),0),INDEX(PREVIVAZ!$C123:$N123,1,MATCH(V$27,PREVIVAZ!$C$1:$N$1,1)))</f>
        <v>#N/A</v>
      </c>
      <c r="W149" s="202" t="e">
        <f ca="1">IFERROR(ROUND(INDEX(G:G,MATCH($T149,$A:$A,0)),0),INDEX(PREVIVAZ!$C123:$N123,1,MATCH(W$27,PREVIVAZ!$C$1:$N$1,1)))</f>
        <v>#N/A</v>
      </c>
      <c r="X149" s="202" t="e">
        <f ca="1">IFERROR(ROUND(INDEX(H:H,MATCH($T149,$A:$A,0)),0),INDEX(PREVIVAZ!$C123:$N123,1,MATCH(X$27,PREVIVAZ!$C$1:$N$1,1)))</f>
        <v>#N/A</v>
      </c>
      <c r="Y149" s="202" t="e">
        <f ca="1">IFERROR(ROUND(INDEX(I:I,MATCH($T149,$A:$A,0)),0),INDEX(PREVIVAZ!$C123:$N123,1,MATCH(Y$27,PREVIVAZ!$C$1:$N$1,1)))</f>
        <v>#N/A</v>
      </c>
      <c r="Z149" s="202" t="e">
        <f ca="1">IFERROR(ROUND(INDEX(J:J,MATCH($T149,$A:$A,0)),0),INDEX(PREVIVAZ!$C123:$N123,1,MATCH(Z$27,PREVIVAZ!$C$1:$N$1,1)))</f>
        <v>#N/A</v>
      </c>
      <c r="AA149" s="202" t="e">
        <f ca="1">IFERROR(ROUND(INDEX(K:K,MATCH($T149,$A:$A,0)),0),INDEX(PREVIVAZ!$C123:$N123,1,MATCH(AA$27,PREVIVAZ!$C$1:$N$1,1)))</f>
        <v>#N/A</v>
      </c>
      <c r="AB149" s="202" t="e">
        <f ca="1">IFERROR(ROUND(INDEX(L:L,MATCH($T149,$A:$A,0)),0),INDEX(PREVIVAZ!$C123:$N123,1,MATCH(AB$27,PREVIVAZ!$C$1:$N$1,1)))</f>
        <v>#N/A</v>
      </c>
      <c r="AC149" s="202" t="e">
        <f ca="1">IFERROR(ROUND(INDEX(M:M,MATCH($T149,$A:$A,0)),0),INDEX(PREVIVAZ!$C123:$N123,1,MATCH(AC$27,PREVIVAZ!$C$1:$N$1,1)))</f>
        <v>#N/A</v>
      </c>
      <c r="AD149" s="202" t="e">
        <f ca="1">IFERROR(ROUND(INDEX(N:N,MATCH($T149,$A:$A,0)),0),INDEX(PREVIVAZ!$C123:$N123,1,MATCH(AD$27,PREVIVAZ!$C$1:$N$1,1)))</f>
        <v>#N/A</v>
      </c>
      <c r="AE149" s="202" t="e">
        <f ca="1">IFERROR(ROUND(INDEX(O:O,MATCH($T149,$A:$A,0)),0),INDEX(PREVIVAZ!$C123:$N123,1,MATCH(AE$27,PREVIVAZ!$C$1:$N$1,1)))</f>
        <v>#N/A</v>
      </c>
      <c r="AF149" s="202" t="e">
        <f ca="1">IFERROR(ROUND(INDEX(P:P,MATCH($T149,$A:$A,0)),0),INDEX(PREVIVAZ!$C123:$N123,1,MATCH(AF$27,PREVIVAZ!$C$1:$N$1,1)))</f>
        <v>#N/A</v>
      </c>
      <c r="AG149" s="202" t="e">
        <f ca="1">IFERROR(ROUND(INDEX(Q:Q,MATCH($T149,$A:$A,0)),0),INDEX(PREVIVAZ!$C123:$N123,1,MATCH(AG$27,PREVIVAZ!$C$1:$N$1,1)))</f>
        <v>#N/A</v>
      </c>
    </row>
    <row r="150" spans="15:33" ht="12.75" x14ac:dyDescent="0.2">
      <c r="O150"/>
      <c r="P150"/>
      <c r="Q150"/>
      <c r="R150"/>
      <c r="S150"/>
      <c r="T150" s="272">
        <v>123</v>
      </c>
      <c r="V150" s="202" t="e">
        <f ca="1">IFERROR(ROUND(INDEX(F:F,MATCH($T150,$A:$A,0)),0),INDEX(PREVIVAZ!$C124:$N124,1,MATCH(V$27,PREVIVAZ!$C$1:$N$1,1)))</f>
        <v>#N/A</v>
      </c>
      <c r="W150" s="202" t="e">
        <f ca="1">IFERROR(ROUND(INDEX(G:G,MATCH($T150,$A:$A,0)),0),INDEX(PREVIVAZ!$C124:$N124,1,MATCH(W$27,PREVIVAZ!$C$1:$N$1,1)))</f>
        <v>#N/A</v>
      </c>
      <c r="X150" s="202" t="e">
        <f ca="1">IFERROR(ROUND(INDEX(H:H,MATCH($T150,$A:$A,0)),0),INDEX(PREVIVAZ!$C124:$N124,1,MATCH(X$27,PREVIVAZ!$C$1:$N$1,1)))</f>
        <v>#N/A</v>
      </c>
      <c r="Y150" s="202" t="e">
        <f ca="1">IFERROR(ROUND(INDEX(I:I,MATCH($T150,$A:$A,0)),0),INDEX(PREVIVAZ!$C124:$N124,1,MATCH(Y$27,PREVIVAZ!$C$1:$N$1,1)))</f>
        <v>#N/A</v>
      </c>
      <c r="Z150" s="202" t="e">
        <f ca="1">IFERROR(ROUND(INDEX(J:J,MATCH($T150,$A:$A,0)),0),INDEX(PREVIVAZ!$C124:$N124,1,MATCH(Z$27,PREVIVAZ!$C$1:$N$1,1)))</f>
        <v>#N/A</v>
      </c>
      <c r="AA150" s="202" t="e">
        <f ca="1">IFERROR(ROUND(INDEX(K:K,MATCH($T150,$A:$A,0)),0),INDEX(PREVIVAZ!$C124:$N124,1,MATCH(AA$27,PREVIVAZ!$C$1:$N$1,1)))</f>
        <v>#N/A</v>
      </c>
      <c r="AB150" s="202" t="e">
        <f ca="1">IFERROR(ROUND(INDEX(L:L,MATCH($T150,$A:$A,0)),0),INDEX(PREVIVAZ!$C124:$N124,1,MATCH(AB$27,PREVIVAZ!$C$1:$N$1,1)))</f>
        <v>#N/A</v>
      </c>
      <c r="AC150" s="202" t="e">
        <f ca="1">IFERROR(ROUND(INDEX(M:M,MATCH($T150,$A:$A,0)),0),INDEX(PREVIVAZ!$C124:$N124,1,MATCH(AC$27,PREVIVAZ!$C$1:$N$1,1)))</f>
        <v>#N/A</v>
      </c>
      <c r="AD150" s="202" t="e">
        <f ca="1">IFERROR(ROUND(INDEX(N:N,MATCH($T150,$A:$A,0)),0),INDEX(PREVIVAZ!$C124:$N124,1,MATCH(AD$27,PREVIVAZ!$C$1:$N$1,1)))</f>
        <v>#N/A</v>
      </c>
      <c r="AE150" s="202" t="e">
        <f ca="1">IFERROR(ROUND(INDEX(O:O,MATCH($T150,$A:$A,0)),0),INDEX(PREVIVAZ!$C124:$N124,1,MATCH(AE$27,PREVIVAZ!$C$1:$N$1,1)))</f>
        <v>#N/A</v>
      </c>
      <c r="AF150" s="202" t="e">
        <f ca="1">IFERROR(ROUND(INDEX(P:P,MATCH($T150,$A:$A,0)),0),INDEX(PREVIVAZ!$C124:$N124,1,MATCH(AF$27,PREVIVAZ!$C$1:$N$1,1)))</f>
        <v>#N/A</v>
      </c>
      <c r="AG150" s="202" t="e">
        <f ca="1">IFERROR(ROUND(INDEX(Q:Q,MATCH($T150,$A:$A,0)),0),INDEX(PREVIVAZ!$C124:$N124,1,MATCH(AG$27,PREVIVAZ!$C$1:$N$1,1)))</f>
        <v>#N/A</v>
      </c>
    </row>
    <row r="151" spans="15:33" ht="12.75" x14ac:dyDescent="0.2">
      <c r="O151"/>
      <c r="P151"/>
      <c r="Q151"/>
      <c r="R151"/>
      <c r="S151"/>
      <c r="T151" s="272">
        <v>124</v>
      </c>
      <c r="V151" s="202" t="e">
        <f ca="1">IFERROR(ROUND(INDEX(F:F,MATCH($T151,$A:$A,0)),0),INDEX(PREVIVAZ!$C125:$N125,1,MATCH(V$27,PREVIVAZ!$C$1:$N$1,1)))</f>
        <v>#N/A</v>
      </c>
      <c r="W151" s="202" t="e">
        <f ca="1">IFERROR(ROUND(INDEX(G:G,MATCH($T151,$A:$A,0)),0),INDEX(PREVIVAZ!$C125:$N125,1,MATCH(W$27,PREVIVAZ!$C$1:$N$1,1)))</f>
        <v>#N/A</v>
      </c>
      <c r="X151" s="202" t="e">
        <f ca="1">IFERROR(ROUND(INDEX(H:H,MATCH($T151,$A:$A,0)),0),INDEX(PREVIVAZ!$C125:$N125,1,MATCH(X$27,PREVIVAZ!$C$1:$N$1,1)))</f>
        <v>#N/A</v>
      </c>
      <c r="Y151" s="202" t="e">
        <f ca="1">IFERROR(ROUND(INDEX(I:I,MATCH($T151,$A:$A,0)),0),INDEX(PREVIVAZ!$C125:$N125,1,MATCH(Y$27,PREVIVAZ!$C$1:$N$1,1)))</f>
        <v>#N/A</v>
      </c>
      <c r="Z151" s="202" t="e">
        <f ca="1">IFERROR(ROUND(INDEX(J:J,MATCH($T151,$A:$A,0)),0),INDEX(PREVIVAZ!$C125:$N125,1,MATCH(Z$27,PREVIVAZ!$C$1:$N$1,1)))</f>
        <v>#N/A</v>
      </c>
      <c r="AA151" s="202" t="e">
        <f ca="1">IFERROR(ROUND(INDEX(K:K,MATCH($T151,$A:$A,0)),0),INDEX(PREVIVAZ!$C125:$N125,1,MATCH(AA$27,PREVIVAZ!$C$1:$N$1,1)))</f>
        <v>#N/A</v>
      </c>
      <c r="AB151" s="202" t="e">
        <f ca="1">IFERROR(ROUND(INDEX(L:L,MATCH($T151,$A:$A,0)),0),INDEX(PREVIVAZ!$C125:$N125,1,MATCH(AB$27,PREVIVAZ!$C$1:$N$1,1)))</f>
        <v>#N/A</v>
      </c>
      <c r="AC151" s="202" t="e">
        <f ca="1">IFERROR(ROUND(INDEX(M:M,MATCH($T151,$A:$A,0)),0),INDEX(PREVIVAZ!$C125:$N125,1,MATCH(AC$27,PREVIVAZ!$C$1:$N$1,1)))</f>
        <v>#N/A</v>
      </c>
      <c r="AD151" s="202" t="e">
        <f ca="1">IFERROR(ROUND(INDEX(N:N,MATCH($T151,$A:$A,0)),0),INDEX(PREVIVAZ!$C125:$N125,1,MATCH(AD$27,PREVIVAZ!$C$1:$N$1,1)))</f>
        <v>#N/A</v>
      </c>
      <c r="AE151" s="202" t="e">
        <f ca="1">IFERROR(ROUND(INDEX(O:O,MATCH($T151,$A:$A,0)),0),INDEX(PREVIVAZ!$C125:$N125,1,MATCH(AE$27,PREVIVAZ!$C$1:$N$1,1)))</f>
        <v>#N/A</v>
      </c>
      <c r="AF151" s="202" t="e">
        <f ca="1">IFERROR(ROUND(INDEX(P:P,MATCH($T151,$A:$A,0)),0),INDEX(PREVIVAZ!$C125:$N125,1,MATCH(AF$27,PREVIVAZ!$C$1:$N$1,1)))</f>
        <v>#N/A</v>
      </c>
      <c r="AG151" s="202" t="e">
        <f ca="1">IFERROR(ROUND(INDEX(Q:Q,MATCH($T151,$A:$A,0)),0),INDEX(PREVIVAZ!$C125:$N125,1,MATCH(AG$27,PREVIVAZ!$C$1:$N$1,1)))</f>
        <v>#N/A</v>
      </c>
    </row>
    <row r="152" spans="15:33" ht="12.75" x14ac:dyDescent="0.2">
      <c r="O152"/>
      <c r="P152"/>
      <c r="Q152"/>
      <c r="R152"/>
      <c r="S152"/>
      <c r="T152" s="272">
        <v>125</v>
      </c>
      <c r="V152" s="202" t="e">
        <f ca="1">IFERROR(ROUND(INDEX(F:F,MATCH($T152,$A:$A,0)),0),INDEX(PREVIVAZ!$C126:$N126,1,MATCH(V$27,PREVIVAZ!$C$1:$N$1,1)))</f>
        <v>#N/A</v>
      </c>
      <c r="W152" s="202" t="e">
        <f ca="1">IFERROR(ROUND(INDEX(G:G,MATCH($T152,$A:$A,0)),0),INDEX(PREVIVAZ!$C126:$N126,1,MATCH(W$27,PREVIVAZ!$C$1:$N$1,1)))</f>
        <v>#N/A</v>
      </c>
      <c r="X152" s="202" t="e">
        <f ca="1">IFERROR(ROUND(INDEX(H:H,MATCH($T152,$A:$A,0)),0),INDEX(PREVIVAZ!$C126:$N126,1,MATCH(X$27,PREVIVAZ!$C$1:$N$1,1)))</f>
        <v>#N/A</v>
      </c>
      <c r="Y152" s="202" t="e">
        <f ca="1">IFERROR(ROUND(INDEX(I:I,MATCH($T152,$A:$A,0)),0),INDEX(PREVIVAZ!$C126:$N126,1,MATCH(Y$27,PREVIVAZ!$C$1:$N$1,1)))</f>
        <v>#N/A</v>
      </c>
      <c r="Z152" s="202" t="e">
        <f ca="1">IFERROR(ROUND(INDEX(J:J,MATCH($T152,$A:$A,0)),0),INDEX(PREVIVAZ!$C126:$N126,1,MATCH(Z$27,PREVIVAZ!$C$1:$N$1,1)))</f>
        <v>#N/A</v>
      </c>
      <c r="AA152" s="202" t="e">
        <f ca="1">IFERROR(ROUND(INDEX(K:K,MATCH($T152,$A:$A,0)),0),INDEX(PREVIVAZ!$C126:$N126,1,MATCH(AA$27,PREVIVAZ!$C$1:$N$1,1)))</f>
        <v>#N/A</v>
      </c>
      <c r="AB152" s="202" t="e">
        <f ca="1">IFERROR(ROUND(INDEX(L:L,MATCH($T152,$A:$A,0)),0),INDEX(PREVIVAZ!$C126:$N126,1,MATCH(AB$27,PREVIVAZ!$C$1:$N$1,1)))</f>
        <v>#N/A</v>
      </c>
      <c r="AC152" s="202" t="e">
        <f ca="1">IFERROR(ROUND(INDEX(M:M,MATCH($T152,$A:$A,0)),0),INDEX(PREVIVAZ!$C126:$N126,1,MATCH(AC$27,PREVIVAZ!$C$1:$N$1,1)))</f>
        <v>#N/A</v>
      </c>
      <c r="AD152" s="202" t="e">
        <f ca="1">IFERROR(ROUND(INDEX(N:N,MATCH($T152,$A:$A,0)),0),INDEX(PREVIVAZ!$C126:$N126,1,MATCH(AD$27,PREVIVAZ!$C$1:$N$1,1)))</f>
        <v>#N/A</v>
      </c>
      <c r="AE152" s="202" t="e">
        <f ca="1">IFERROR(ROUND(INDEX(O:O,MATCH($T152,$A:$A,0)),0),INDEX(PREVIVAZ!$C126:$N126,1,MATCH(AE$27,PREVIVAZ!$C$1:$N$1,1)))</f>
        <v>#N/A</v>
      </c>
      <c r="AF152" s="202" t="e">
        <f ca="1">IFERROR(ROUND(INDEX(P:P,MATCH($T152,$A:$A,0)),0),INDEX(PREVIVAZ!$C126:$N126,1,MATCH(AF$27,PREVIVAZ!$C$1:$N$1,1)))</f>
        <v>#N/A</v>
      </c>
      <c r="AG152" s="202" t="e">
        <f ca="1">IFERROR(ROUND(INDEX(Q:Q,MATCH($T152,$A:$A,0)),0),INDEX(PREVIVAZ!$C126:$N126,1,MATCH(AG$27,PREVIVAZ!$C$1:$N$1,1)))</f>
        <v>#N/A</v>
      </c>
    </row>
    <row r="153" spans="15:33" ht="12.75" x14ac:dyDescent="0.2">
      <c r="O153"/>
      <c r="P153"/>
      <c r="Q153"/>
      <c r="R153"/>
      <c r="S153"/>
      <c r="T153" s="272">
        <v>126</v>
      </c>
      <c r="V153" s="202" t="e">
        <f ca="1">IFERROR(ROUND(INDEX(F:F,MATCH($T153,$A:$A,0)),0),INDEX(PREVIVAZ!$C127:$N127,1,MATCH(V$27,PREVIVAZ!$C$1:$N$1,1)))</f>
        <v>#N/A</v>
      </c>
      <c r="W153" s="202" t="e">
        <f ca="1">IFERROR(ROUND(INDEX(G:G,MATCH($T153,$A:$A,0)),0),INDEX(PREVIVAZ!$C127:$N127,1,MATCH(W$27,PREVIVAZ!$C$1:$N$1,1)))</f>
        <v>#N/A</v>
      </c>
      <c r="X153" s="202" t="e">
        <f ca="1">IFERROR(ROUND(INDEX(H:H,MATCH($T153,$A:$A,0)),0),INDEX(PREVIVAZ!$C127:$N127,1,MATCH(X$27,PREVIVAZ!$C$1:$N$1,1)))</f>
        <v>#N/A</v>
      </c>
      <c r="Y153" s="202" t="e">
        <f ca="1">IFERROR(ROUND(INDEX(I:I,MATCH($T153,$A:$A,0)),0),INDEX(PREVIVAZ!$C127:$N127,1,MATCH(Y$27,PREVIVAZ!$C$1:$N$1,1)))</f>
        <v>#N/A</v>
      </c>
      <c r="Z153" s="202" t="e">
        <f ca="1">IFERROR(ROUND(INDEX(J:J,MATCH($T153,$A:$A,0)),0),INDEX(PREVIVAZ!$C127:$N127,1,MATCH(Z$27,PREVIVAZ!$C$1:$N$1,1)))</f>
        <v>#N/A</v>
      </c>
      <c r="AA153" s="202" t="e">
        <f ca="1">IFERROR(ROUND(INDEX(K:K,MATCH($T153,$A:$A,0)),0),INDEX(PREVIVAZ!$C127:$N127,1,MATCH(AA$27,PREVIVAZ!$C$1:$N$1,1)))</f>
        <v>#N/A</v>
      </c>
      <c r="AB153" s="202" t="e">
        <f ca="1">IFERROR(ROUND(INDEX(L:L,MATCH($T153,$A:$A,0)),0),INDEX(PREVIVAZ!$C127:$N127,1,MATCH(AB$27,PREVIVAZ!$C$1:$N$1,1)))</f>
        <v>#N/A</v>
      </c>
      <c r="AC153" s="202" t="e">
        <f ca="1">IFERROR(ROUND(INDEX(M:M,MATCH($T153,$A:$A,0)),0),INDEX(PREVIVAZ!$C127:$N127,1,MATCH(AC$27,PREVIVAZ!$C$1:$N$1,1)))</f>
        <v>#N/A</v>
      </c>
      <c r="AD153" s="202" t="e">
        <f ca="1">IFERROR(ROUND(INDEX(N:N,MATCH($T153,$A:$A,0)),0),INDEX(PREVIVAZ!$C127:$N127,1,MATCH(AD$27,PREVIVAZ!$C$1:$N$1,1)))</f>
        <v>#N/A</v>
      </c>
      <c r="AE153" s="202" t="e">
        <f ca="1">IFERROR(ROUND(INDEX(O:O,MATCH($T153,$A:$A,0)),0),INDEX(PREVIVAZ!$C127:$N127,1,MATCH(AE$27,PREVIVAZ!$C$1:$N$1,1)))</f>
        <v>#N/A</v>
      </c>
      <c r="AF153" s="202" t="e">
        <f ca="1">IFERROR(ROUND(INDEX(P:P,MATCH($T153,$A:$A,0)),0),INDEX(PREVIVAZ!$C127:$N127,1,MATCH(AF$27,PREVIVAZ!$C$1:$N$1,1)))</f>
        <v>#N/A</v>
      </c>
      <c r="AG153" s="202" t="e">
        <f ca="1">IFERROR(ROUND(INDEX(Q:Q,MATCH($T153,$A:$A,0)),0),INDEX(PREVIVAZ!$C127:$N127,1,MATCH(AG$27,PREVIVAZ!$C$1:$N$1,1)))</f>
        <v>#N/A</v>
      </c>
    </row>
    <row r="154" spans="15:33" ht="12.75" x14ac:dyDescent="0.2">
      <c r="O154"/>
      <c r="P154"/>
      <c r="Q154"/>
      <c r="R154"/>
      <c r="S154"/>
      <c r="T154" s="272">
        <v>127</v>
      </c>
      <c r="V154" s="202" t="e">
        <f ca="1">IFERROR(ROUND(INDEX(F:F,MATCH($T154,$A:$A,0)),0),INDEX(PREVIVAZ!$C128:$N128,1,MATCH(V$27,PREVIVAZ!$C$1:$N$1,1)))</f>
        <v>#N/A</v>
      </c>
      <c r="W154" s="202" t="e">
        <f ca="1">IFERROR(ROUND(INDEX(G:G,MATCH($T154,$A:$A,0)),0),INDEX(PREVIVAZ!$C128:$N128,1,MATCH(W$27,PREVIVAZ!$C$1:$N$1,1)))</f>
        <v>#N/A</v>
      </c>
      <c r="X154" s="202" t="e">
        <f ca="1">IFERROR(ROUND(INDEX(H:H,MATCH($T154,$A:$A,0)),0),INDEX(PREVIVAZ!$C128:$N128,1,MATCH(X$27,PREVIVAZ!$C$1:$N$1,1)))</f>
        <v>#N/A</v>
      </c>
      <c r="Y154" s="202" t="e">
        <f ca="1">IFERROR(ROUND(INDEX(I:I,MATCH($T154,$A:$A,0)),0),INDEX(PREVIVAZ!$C128:$N128,1,MATCH(Y$27,PREVIVAZ!$C$1:$N$1,1)))</f>
        <v>#N/A</v>
      </c>
      <c r="Z154" s="202" t="e">
        <f ca="1">IFERROR(ROUND(INDEX(J:J,MATCH($T154,$A:$A,0)),0),INDEX(PREVIVAZ!$C128:$N128,1,MATCH(Z$27,PREVIVAZ!$C$1:$N$1,1)))</f>
        <v>#N/A</v>
      </c>
      <c r="AA154" s="202" t="e">
        <f ca="1">IFERROR(ROUND(INDEX(K:K,MATCH($T154,$A:$A,0)),0),INDEX(PREVIVAZ!$C128:$N128,1,MATCH(AA$27,PREVIVAZ!$C$1:$N$1,1)))</f>
        <v>#N/A</v>
      </c>
      <c r="AB154" s="202" t="e">
        <f ca="1">IFERROR(ROUND(INDEX(L:L,MATCH($T154,$A:$A,0)),0),INDEX(PREVIVAZ!$C128:$N128,1,MATCH(AB$27,PREVIVAZ!$C$1:$N$1,1)))</f>
        <v>#N/A</v>
      </c>
      <c r="AC154" s="202" t="e">
        <f ca="1">IFERROR(ROUND(INDEX(M:M,MATCH($T154,$A:$A,0)),0),INDEX(PREVIVAZ!$C128:$N128,1,MATCH(AC$27,PREVIVAZ!$C$1:$N$1,1)))</f>
        <v>#N/A</v>
      </c>
      <c r="AD154" s="202" t="e">
        <f ca="1">IFERROR(ROUND(INDEX(N:N,MATCH($T154,$A:$A,0)),0),INDEX(PREVIVAZ!$C128:$N128,1,MATCH(AD$27,PREVIVAZ!$C$1:$N$1,1)))</f>
        <v>#N/A</v>
      </c>
      <c r="AE154" s="202" t="e">
        <f ca="1">IFERROR(ROUND(INDEX(O:O,MATCH($T154,$A:$A,0)),0),INDEX(PREVIVAZ!$C128:$N128,1,MATCH(AE$27,PREVIVAZ!$C$1:$N$1,1)))</f>
        <v>#N/A</v>
      </c>
      <c r="AF154" s="202" t="e">
        <f ca="1">IFERROR(ROUND(INDEX(P:P,MATCH($T154,$A:$A,0)),0),INDEX(PREVIVAZ!$C128:$N128,1,MATCH(AF$27,PREVIVAZ!$C$1:$N$1,1)))</f>
        <v>#N/A</v>
      </c>
      <c r="AG154" s="202" t="e">
        <f ca="1">IFERROR(ROUND(INDEX(Q:Q,MATCH($T154,$A:$A,0)),0),INDEX(PREVIVAZ!$C128:$N128,1,MATCH(AG$27,PREVIVAZ!$C$1:$N$1,1)))</f>
        <v>#N/A</v>
      </c>
    </row>
    <row r="155" spans="15:33" ht="12.75" x14ac:dyDescent="0.2">
      <c r="O155"/>
      <c r="P155"/>
      <c r="Q155"/>
      <c r="R155"/>
      <c r="S155"/>
      <c r="T155" s="272">
        <v>128</v>
      </c>
      <c r="V155" s="202" t="e">
        <f ca="1">IFERROR(ROUND(INDEX(F:F,MATCH($T155,$A:$A,0)),0),INDEX(PREVIVAZ!$C129:$N129,1,MATCH(V$27,PREVIVAZ!$C$1:$N$1,1)))</f>
        <v>#N/A</v>
      </c>
      <c r="W155" s="202" t="e">
        <f ca="1">IFERROR(ROUND(INDEX(G:G,MATCH($T155,$A:$A,0)),0),INDEX(PREVIVAZ!$C129:$N129,1,MATCH(W$27,PREVIVAZ!$C$1:$N$1,1)))</f>
        <v>#N/A</v>
      </c>
      <c r="X155" s="202" t="e">
        <f ca="1">IFERROR(ROUND(INDEX(H:H,MATCH($T155,$A:$A,0)),0),INDEX(PREVIVAZ!$C129:$N129,1,MATCH(X$27,PREVIVAZ!$C$1:$N$1,1)))</f>
        <v>#N/A</v>
      </c>
      <c r="Y155" s="202" t="e">
        <f ca="1">IFERROR(ROUND(INDEX(I:I,MATCH($T155,$A:$A,0)),0),INDEX(PREVIVAZ!$C129:$N129,1,MATCH(Y$27,PREVIVAZ!$C$1:$N$1,1)))</f>
        <v>#N/A</v>
      </c>
      <c r="Z155" s="202" t="e">
        <f ca="1">IFERROR(ROUND(INDEX(J:J,MATCH($T155,$A:$A,0)),0),INDEX(PREVIVAZ!$C129:$N129,1,MATCH(Z$27,PREVIVAZ!$C$1:$N$1,1)))</f>
        <v>#N/A</v>
      </c>
      <c r="AA155" s="202" t="e">
        <f ca="1">IFERROR(ROUND(INDEX(K:K,MATCH($T155,$A:$A,0)),0),INDEX(PREVIVAZ!$C129:$N129,1,MATCH(AA$27,PREVIVAZ!$C$1:$N$1,1)))</f>
        <v>#N/A</v>
      </c>
      <c r="AB155" s="202" t="e">
        <f ca="1">IFERROR(ROUND(INDEX(L:L,MATCH($T155,$A:$A,0)),0),INDEX(PREVIVAZ!$C129:$N129,1,MATCH(AB$27,PREVIVAZ!$C$1:$N$1,1)))</f>
        <v>#N/A</v>
      </c>
      <c r="AC155" s="202" t="e">
        <f ca="1">IFERROR(ROUND(INDEX(M:M,MATCH($T155,$A:$A,0)),0),INDEX(PREVIVAZ!$C129:$N129,1,MATCH(AC$27,PREVIVAZ!$C$1:$N$1,1)))</f>
        <v>#N/A</v>
      </c>
      <c r="AD155" s="202" t="e">
        <f ca="1">IFERROR(ROUND(INDEX(N:N,MATCH($T155,$A:$A,0)),0),INDEX(PREVIVAZ!$C129:$N129,1,MATCH(AD$27,PREVIVAZ!$C$1:$N$1,1)))</f>
        <v>#N/A</v>
      </c>
      <c r="AE155" s="202" t="e">
        <f ca="1">IFERROR(ROUND(INDEX(O:O,MATCH($T155,$A:$A,0)),0),INDEX(PREVIVAZ!$C129:$N129,1,MATCH(AE$27,PREVIVAZ!$C$1:$N$1,1)))</f>
        <v>#N/A</v>
      </c>
      <c r="AF155" s="202" t="e">
        <f ca="1">IFERROR(ROUND(INDEX(P:P,MATCH($T155,$A:$A,0)),0),INDEX(PREVIVAZ!$C129:$N129,1,MATCH(AF$27,PREVIVAZ!$C$1:$N$1,1)))</f>
        <v>#N/A</v>
      </c>
      <c r="AG155" s="202" t="e">
        <f ca="1">IFERROR(ROUND(INDEX(Q:Q,MATCH($T155,$A:$A,0)),0),INDEX(PREVIVAZ!$C129:$N129,1,MATCH(AG$27,PREVIVAZ!$C$1:$N$1,1)))</f>
        <v>#N/A</v>
      </c>
    </row>
    <row r="156" spans="15:33" ht="12.75" x14ac:dyDescent="0.2">
      <c r="O156"/>
      <c r="P156"/>
      <c r="Q156"/>
      <c r="R156"/>
      <c r="S156"/>
      <c r="T156" s="272">
        <v>129</v>
      </c>
      <c r="V156" s="202" t="e">
        <f ca="1">IFERROR(ROUND(INDEX(F:F,MATCH($T156,$A:$A,0)),0),INDEX(PREVIVAZ!$C130:$N130,1,MATCH(V$27,PREVIVAZ!$C$1:$N$1,1)))</f>
        <v>#N/A</v>
      </c>
      <c r="W156" s="202" t="e">
        <f ca="1">IFERROR(ROUND(INDEX(G:G,MATCH($T156,$A:$A,0)),0),INDEX(PREVIVAZ!$C130:$N130,1,MATCH(W$27,PREVIVAZ!$C$1:$N$1,1)))</f>
        <v>#N/A</v>
      </c>
      <c r="X156" s="202" t="e">
        <f ca="1">IFERROR(ROUND(INDEX(H:H,MATCH($T156,$A:$A,0)),0),INDEX(PREVIVAZ!$C130:$N130,1,MATCH(X$27,PREVIVAZ!$C$1:$N$1,1)))</f>
        <v>#N/A</v>
      </c>
      <c r="Y156" s="202" t="e">
        <f ca="1">IFERROR(ROUND(INDEX(I:I,MATCH($T156,$A:$A,0)),0),INDEX(PREVIVAZ!$C130:$N130,1,MATCH(Y$27,PREVIVAZ!$C$1:$N$1,1)))</f>
        <v>#N/A</v>
      </c>
      <c r="Z156" s="202" t="e">
        <f ca="1">IFERROR(ROUND(INDEX(J:J,MATCH($T156,$A:$A,0)),0),INDEX(PREVIVAZ!$C130:$N130,1,MATCH(Z$27,PREVIVAZ!$C$1:$N$1,1)))</f>
        <v>#N/A</v>
      </c>
      <c r="AA156" s="202" t="e">
        <f ca="1">IFERROR(ROUND(INDEX(K:K,MATCH($T156,$A:$A,0)),0),INDEX(PREVIVAZ!$C130:$N130,1,MATCH(AA$27,PREVIVAZ!$C$1:$N$1,1)))</f>
        <v>#N/A</v>
      </c>
      <c r="AB156" s="202" t="e">
        <f ca="1">IFERROR(ROUND(INDEX(L:L,MATCH($T156,$A:$A,0)),0),INDEX(PREVIVAZ!$C130:$N130,1,MATCH(AB$27,PREVIVAZ!$C$1:$N$1,1)))</f>
        <v>#N/A</v>
      </c>
      <c r="AC156" s="202" t="e">
        <f ca="1">IFERROR(ROUND(INDEX(M:M,MATCH($T156,$A:$A,0)),0),INDEX(PREVIVAZ!$C130:$N130,1,MATCH(AC$27,PREVIVAZ!$C$1:$N$1,1)))</f>
        <v>#N/A</v>
      </c>
      <c r="AD156" s="202" t="e">
        <f ca="1">IFERROR(ROUND(INDEX(N:N,MATCH($T156,$A:$A,0)),0),INDEX(PREVIVAZ!$C130:$N130,1,MATCH(AD$27,PREVIVAZ!$C$1:$N$1,1)))</f>
        <v>#N/A</v>
      </c>
      <c r="AE156" s="202" t="e">
        <f ca="1">IFERROR(ROUND(INDEX(O:O,MATCH($T156,$A:$A,0)),0),INDEX(PREVIVAZ!$C130:$N130,1,MATCH(AE$27,PREVIVAZ!$C$1:$N$1,1)))</f>
        <v>#N/A</v>
      </c>
      <c r="AF156" s="202" t="e">
        <f ca="1">IFERROR(ROUND(INDEX(P:P,MATCH($T156,$A:$A,0)),0),INDEX(PREVIVAZ!$C130:$N130,1,MATCH(AF$27,PREVIVAZ!$C$1:$N$1,1)))</f>
        <v>#N/A</v>
      </c>
      <c r="AG156" s="202" t="e">
        <f ca="1">IFERROR(ROUND(INDEX(Q:Q,MATCH($T156,$A:$A,0)),0),INDEX(PREVIVAZ!$C130:$N130,1,MATCH(AG$27,PREVIVAZ!$C$1:$N$1,1)))</f>
        <v>#N/A</v>
      </c>
    </row>
    <row r="157" spans="15:33" ht="12.75" x14ac:dyDescent="0.2">
      <c r="O157"/>
      <c r="P157"/>
      <c r="Q157"/>
      <c r="R157"/>
      <c r="S157"/>
      <c r="T157" s="272">
        <v>130</v>
      </c>
      <c r="V157" s="202" t="e">
        <f ca="1">IFERROR(ROUND(INDEX(F:F,MATCH($T157,$A:$A,0)),0),INDEX(PREVIVAZ!$C131:$N131,1,MATCH(V$27,PREVIVAZ!$C$1:$N$1,1)))</f>
        <v>#N/A</v>
      </c>
      <c r="W157" s="202" t="e">
        <f ca="1">IFERROR(ROUND(INDEX(G:G,MATCH($T157,$A:$A,0)),0),INDEX(PREVIVAZ!$C131:$N131,1,MATCH(W$27,PREVIVAZ!$C$1:$N$1,1)))</f>
        <v>#N/A</v>
      </c>
      <c r="X157" s="202" t="e">
        <f ca="1">IFERROR(ROUND(INDEX(H:H,MATCH($T157,$A:$A,0)),0),INDEX(PREVIVAZ!$C131:$N131,1,MATCH(X$27,PREVIVAZ!$C$1:$N$1,1)))</f>
        <v>#N/A</v>
      </c>
      <c r="Y157" s="202" t="e">
        <f ca="1">IFERROR(ROUND(INDEX(I:I,MATCH($T157,$A:$A,0)),0),INDEX(PREVIVAZ!$C131:$N131,1,MATCH(Y$27,PREVIVAZ!$C$1:$N$1,1)))</f>
        <v>#N/A</v>
      </c>
      <c r="Z157" s="202" t="e">
        <f ca="1">IFERROR(ROUND(INDEX(J:J,MATCH($T157,$A:$A,0)),0),INDEX(PREVIVAZ!$C131:$N131,1,MATCH(Z$27,PREVIVAZ!$C$1:$N$1,1)))</f>
        <v>#N/A</v>
      </c>
      <c r="AA157" s="202" t="e">
        <f ca="1">IFERROR(ROUND(INDEX(K:K,MATCH($T157,$A:$A,0)),0),INDEX(PREVIVAZ!$C131:$N131,1,MATCH(AA$27,PREVIVAZ!$C$1:$N$1,1)))</f>
        <v>#N/A</v>
      </c>
      <c r="AB157" s="202" t="e">
        <f ca="1">IFERROR(ROUND(INDEX(L:L,MATCH($T157,$A:$A,0)),0),INDEX(PREVIVAZ!$C131:$N131,1,MATCH(AB$27,PREVIVAZ!$C$1:$N$1,1)))</f>
        <v>#N/A</v>
      </c>
      <c r="AC157" s="202" t="e">
        <f ca="1">IFERROR(ROUND(INDEX(M:M,MATCH($T157,$A:$A,0)),0),INDEX(PREVIVAZ!$C131:$N131,1,MATCH(AC$27,PREVIVAZ!$C$1:$N$1,1)))</f>
        <v>#N/A</v>
      </c>
      <c r="AD157" s="202" t="e">
        <f ca="1">IFERROR(ROUND(INDEX(N:N,MATCH($T157,$A:$A,0)),0),INDEX(PREVIVAZ!$C131:$N131,1,MATCH(AD$27,PREVIVAZ!$C$1:$N$1,1)))</f>
        <v>#N/A</v>
      </c>
      <c r="AE157" s="202" t="e">
        <f ca="1">IFERROR(ROUND(INDEX(O:O,MATCH($T157,$A:$A,0)),0),INDEX(PREVIVAZ!$C131:$N131,1,MATCH(AE$27,PREVIVAZ!$C$1:$N$1,1)))</f>
        <v>#N/A</v>
      </c>
      <c r="AF157" s="202" t="e">
        <f ca="1">IFERROR(ROUND(INDEX(P:P,MATCH($T157,$A:$A,0)),0),INDEX(PREVIVAZ!$C131:$N131,1,MATCH(AF$27,PREVIVAZ!$C$1:$N$1,1)))</f>
        <v>#N/A</v>
      </c>
      <c r="AG157" s="202" t="e">
        <f ca="1">IFERROR(ROUND(INDEX(Q:Q,MATCH($T157,$A:$A,0)),0),INDEX(PREVIVAZ!$C131:$N131,1,MATCH(AG$27,PREVIVAZ!$C$1:$N$1,1)))</f>
        <v>#N/A</v>
      </c>
    </row>
    <row r="158" spans="15:33" ht="12.75" x14ac:dyDescent="0.2">
      <c r="O158"/>
      <c r="P158"/>
      <c r="Q158"/>
      <c r="R158"/>
      <c r="S158"/>
      <c r="T158" s="272">
        <v>131</v>
      </c>
      <c r="V158" s="202" t="e">
        <f ca="1">IFERROR(ROUND(INDEX(F:F,MATCH($T158,$A:$A,0)),0),INDEX(PREVIVAZ!$C132:$N132,1,MATCH(V$27,PREVIVAZ!$C$1:$N$1,1)))</f>
        <v>#N/A</v>
      </c>
      <c r="W158" s="202" t="e">
        <f ca="1">IFERROR(ROUND(INDEX(G:G,MATCH($T158,$A:$A,0)),0),INDEX(PREVIVAZ!$C132:$N132,1,MATCH(W$27,PREVIVAZ!$C$1:$N$1,1)))</f>
        <v>#N/A</v>
      </c>
      <c r="X158" s="202" t="e">
        <f ca="1">IFERROR(ROUND(INDEX(H:H,MATCH($T158,$A:$A,0)),0),INDEX(PREVIVAZ!$C132:$N132,1,MATCH(X$27,PREVIVAZ!$C$1:$N$1,1)))</f>
        <v>#N/A</v>
      </c>
      <c r="Y158" s="202" t="e">
        <f ca="1">IFERROR(ROUND(INDEX(I:I,MATCH($T158,$A:$A,0)),0),INDEX(PREVIVAZ!$C132:$N132,1,MATCH(Y$27,PREVIVAZ!$C$1:$N$1,1)))</f>
        <v>#N/A</v>
      </c>
      <c r="Z158" s="202" t="e">
        <f ca="1">IFERROR(ROUND(INDEX(J:J,MATCH($T158,$A:$A,0)),0),INDEX(PREVIVAZ!$C132:$N132,1,MATCH(Z$27,PREVIVAZ!$C$1:$N$1,1)))</f>
        <v>#N/A</v>
      </c>
      <c r="AA158" s="202" t="e">
        <f ca="1">IFERROR(ROUND(INDEX(K:K,MATCH($T158,$A:$A,0)),0),INDEX(PREVIVAZ!$C132:$N132,1,MATCH(AA$27,PREVIVAZ!$C$1:$N$1,1)))</f>
        <v>#N/A</v>
      </c>
      <c r="AB158" s="202" t="e">
        <f ca="1">IFERROR(ROUND(INDEX(L:L,MATCH($T158,$A:$A,0)),0),INDEX(PREVIVAZ!$C132:$N132,1,MATCH(AB$27,PREVIVAZ!$C$1:$N$1,1)))</f>
        <v>#N/A</v>
      </c>
      <c r="AC158" s="202" t="e">
        <f ca="1">IFERROR(ROUND(INDEX(M:M,MATCH($T158,$A:$A,0)),0),INDEX(PREVIVAZ!$C132:$N132,1,MATCH(AC$27,PREVIVAZ!$C$1:$N$1,1)))</f>
        <v>#N/A</v>
      </c>
      <c r="AD158" s="202" t="e">
        <f ca="1">IFERROR(ROUND(INDEX(N:N,MATCH($T158,$A:$A,0)),0),INDEX(PREVIVAZ!$C132:$N132,1,MATCH(AD$27,PREVIVAZ!$C$1:$N$1,1)))</f>
        <v>#N/A</v>
      </c>
      <c r="AE158" s="202" t="e">
        <f ca="1">IFERROR(ROUND(INDEX(O:O,MATCH($T158,$A:$A,0)),0),INDEX(PREVIVAZ!$C132:$N132,1,MATCH(AE$27,PREVIVAZ!$C$1:$N$1,1)))</f>
        <v>#N/A</v>
      </c>
      <c r="AF158" s="202" t="e">
        <f ca="1">IFERROR(ROUND(INDEX(P:P,MATCH($T158,$A:$A,0)),0),INDEX(PREVIVAZ!$C132:$N132,1,MATCH(AF$27,PREVIVAZ!$C$1:$N$1,1)))</f>
        <v>#N/A</v>
      </c>
      <c r="AG158" s="202" t="e">
        <f ca="1">IFERROR(ROUND(INDEX(Q:Q,MATCH($T158,$A:$A,0)),0),INDEX(PREVIVAZ!$C132:$N132,1,MATCH(AG$27,PREVIVAZ!$C$1:$N$1,1)))</f>
        <v>#N/A</v>
      </c>
    </row>
    <row r="159" spans="15:33" ht="12.75" x14ac:dyDescent="0.2">
      <c r="O159"/>
      <c r="P159"/>
      <c r="Q159"/>
      <c r="R159"/>
      <c r="S159"/>
      <c r="T159" s="272">
        <v>132</v>
      </c>
      <c r="V159" s="202" t="e">
        <f ca="1">IFERROR(ROUND(INDEX(F:F,MATCH($T159,$A:$A,0)),0),INDEX(PREVIVAZ!$C133:$N133,1,MATCH(V$27,PREVIVAZ!$C$1:$N$1,1)))</f>
        <v>#N/A</v>
      </c>
      <c r="W159" s="202" t="e">
        <f ca="1">IFERROR(ROUND(INDEX(G:G,MATCH($T159,$A:$A,0)),0),INDEX(PREVIVAZ!$C133:$N133,1,MATCH(W$27,PREVIVAZ!$C$1:$N$1,1)))</f>
        <v>#N/A</v>
      </c>
      <c r="X159" s="202" t="e">
        <f ca="1">IFERROR(ROUND(INDEX(H:H,MATCH($T159,$A:$A,0)),0),INDEX(PREVIVAZ!$C133:$N133,1,MATCH(X$27,PREVIVAZ!$C$1:$N$1,1)))</f>
        <v>#N/A</v>
      </c>
      <c r="Y159" s="202" t="e">
        <f ca="1">IFERROR(ROUND(INDEX(I:I,MATCH($T159,$A:$A,0)),0),INDEX(PREVIVAZ!$C133:$N133,1,MATCH(Y$27,PREVIVAZ!$C$1:$N$1,1)))</f>
        <v>#N/A</v>
      </c>
      <c r="Z159" s="202" t="e">
        <f ca="1">IFERROR(ROUND(INDEX(J:J,MATCH($T159,$A:$A,0)),0),INDEX(PREVIVAZ!$C133:$N133,1,MATCH(Z$27,PREVIVAZ!$C$1:$N$1,1)))</f>
        <v>#N/A</v>
      </c>
      <c r="AA159" s="202" t="e">
        <f ca="1">IFERROR(ROUND(INDEX(K:K,MATCH($T159,$A:$A,0)),0),INDEX(PREVIVAZ!$C133:$N133,1,MATCH(AA$27,PREVIVAZ!$C$1:$N$1,1)))</f>
        <v>#N/A</v>
      </c>
      <c r="AB159" s="202" t="e">
        <f ca="1">IFERROR(ROUND(INDEX(L:L,MATCH($T159,$A:$A,0)),0),INDEX(PREVIVAZ!$C133:$N133,1,MATCH(AB$27,PREVIVAZ!$C$1:$N$1,1)))</f>
        <v>#N/A</v>
      </c>
      <c r="AC159" s="202" t="e">
        <f ca="1">IFERROR(ROUND(INDEX(M:M,MATCH($T159,$A:$A,0)),0),INDEX(PREVIVAZ!$C133:$N133,1,MATCH(AC$27,PREVIVAZ!$C$1:$N$1,1)))</f>
        <v>#N/A</v>
      </c>
      <c r="AD159" s="202" t="e">
        <f ca="1">IFERROR(ROUND(INDEX(N:N,MATCH($T159,$A:$A,0)),0),INDEX(PREVIVAZ!$C133:$N133,1,MATCH(AD$27,PREVIVAZ!$C$1:$N$1,1)))</f>
        <v>#N/A</v>
      </c>
      <c r="AE159" s="202" t="e">
        <f ca="1">IFERROR(ROUND(INDEX(O:O,MATCH($T159,$A:$A,0)),0),INDEX(PREVIVAZ!$C133:$N133,1,MATCH(AE$27,PREVIVAZ!$C$1:$N$1,1)))</f>
        <v>#N/A</v>
      </c>
      <c r="AF159" s="202" t="e">
        <f ca="1">IFERROR(ROUND(INDEX(P:P,MATCH($T159,$A:$A,0)),0),INDEX(PREVIVAZ!$C133:$N133,1,MATCH(AF$27,PREVIVAZ!$C$1:$N$1,1)))</f>
        <v>#N/A</v>
      </c>
      <c r="AG159" s="202" t="e">
        <f ca="1">IFERROR(ROUND(INDEX(Q:Q,MATCH($T159,$A:$A,0)),0),INDEX(PREVIVAZ!$C133:$N133,1,MATCH(AG$27,PREVIVAZ!$C$1:$N$1,1)))</f>
        <v>#N/A</v>
      </c>
    </row>
    <row r="160" spans="15:33" ht="12.75" x14ac:dyDescent="0.2">
      <c r="O160"/>
      <c r="P160"/>
      <c r="Q160"/>
      <c r="R160"/>
      <c r="S160"/>
      <c r="T160" s="272">
        <v>133</v>
      </c>
      <c r="V160" s="202" t="e">
        <f ca="1">IFERROR(ROUND(INDEX(F:F,MATCH($T160,$A:$A,0)),0),INDEX(PREVIVAZ!$C134:$N134,1,MATCH(V$27,PREVIVAZ!$C$1:$N$1,1)))</f>
        <v>#N/A</v>
      </c>
      <c r="W160" s="202" t="e">
        <f ca="1">IFERROR(ROUND(INDEX(G:G,MATCH($T160,$A:$A,0)),0),INDEX(PREVIVAZ!$C134:$N134,1,MATCH(W$27,PREVIVAZ!$C$1:$N$1,1)))</f>
        <v>#N/A</v>
      </c>
      <c r="X160" s="202" t="e">
        <f ca="1">IFERROR(ROUND(INDEX(H:H,MATCH($T160,$A:$A,0)),0),INDEX(PREVIVAZ!$C134:$N134,1,MATCH(X$27,PREVIVAZ!$C$1:$N$1,1)))</f>
        <v>#N/A</v>
      </c>
      <c r="Y160" s="202" t="e">
        <f ca="1">IFERROR(ROUND(INDEX(I:I,MATCH($T160,$A:$A,0)),0),INDEX(PREVIVAZ!$C134:$N134,1,MATCH(Y$27,PREVIVAZ!$C$1:$N$1,1)))</f>
        <v>#N/A</v>
      </c>
      <c r="Z160" s="202" t="e">
        <f ca="1">IFERROR(ROUND(INDEX(J:J,MATCH($T160,$A:$A,0)),0),INDEX(PREVIVAZ!$C134:$N134,1,MATCH(Z$27,PREVIVAZ!$C$1:$N$1,1)))</f>
        <v>#N/A</v>
      </c>
      <c r="AA160" s="202" t="e">
        <f ca="1">IFERROR(ROUND(INDEX(K:K,MATCH($T160,$A:$A,0)),0),INDEX(PREVIVAZ!$C134:$N134,1,MATCH(AA$27,PREVIVAZ!$C$1:$N$1,1)))</f>
        <v>#N/A</v>
      </c>
      <c r="AB160" s="202" t="e">
        <f ca="1">IFERROR(ROUND(INDEX(L:L,MATCH($T160,$A:$A,0)),0),INDEX(PREVIVAZ!$C134:$N134,1,MATCH(AB$27,PREVIVAZ!$C$1:$N$1,1)))</f>
        <v>#N/A</v>
      </c>
      <c r="AC160" s="202" t="e">
        <f ca="1">IFERROR(ROUND(INDEX(M:M,MATCH($T160,$A:$A,0)),0),INDEX(PREVIVAZ!$C134:$N134,1,MATCH(AC$27,PREVIVAZ!$C$1:$N$1,1)))</f>
        <v>#N/A</v>
      </c>
      <c r="AD160" s="202" t="e">
        <f ca="1">IFERROR(ROUND(INDEX(N:N,MATCH($T160,$A:$A,0)),0),INDEX(PREVIVAZ!$C134:$N134,1,MATCH(AD$27,PREVIVAZ!$C$1:$N$1,1)))</f>
        <v>#N/A</v>
      </c>
      <c r="AE160" s="202" t="e">
        <f ca="1">IFERROR(ROUND(INDEX(O:O,MATCH($T160,$A:$A,0)),0),INDEX(PREVIVAZ!$C134:$N134,1,MATCH(AE$27,PREVIVAZ!$C$1:$N$1,1)))</f>
        <v>#N/A</v>
      </c>
      <c r="AF160" s="202" t="e">
        <f ca="1">IFERROR(ROUND(INDEX(P:P,MATCH($T160,$A:$A,0)),0),INDEX(PREVIVAZ!$C134:$N134,1,MATCH(AF$27,PREVIVAZ!$C$1:$N$1,1)))</f>
        <v>#N/A</v>
      </c>
      <c r="AG160" s="202" t="e">
        <f ca="1">IFERROR(ROUND(INDEX(Q:Q,MATCH($T160,$A:$A,0)),0),INDEX(PREVIVAZ!$C134:$N134,1,MATCH(AG$27,PREVIVAZ!$C$1:$N$1,1)))</f>
        <v>#N/A</v>
      </c>
    </row>
    <row r="161" spans="15:33" ht="12.75" x14ac:dyDescent="0.2">
      <c r="O161"/>
      <c r="P161"/>
      <c r="Q161"/>
      <c r="R161"/>
      <c r="S161"/>
      <c r="T161" s="272">
        <v>134</v>
      </c>
      <c r="V161" s="202" t="e">
        <f ca="1">IFERROR(ROUND(INDEX(F:F,MATCH($T161,$A:$A,0)),0),INDEX(PREVIVAZ!$C135:$N135,1,MATCH(V$27,PREVIVAZ!$C$1:$N$1,1)))</f>
        <v>#N/A</v>
      </c>
      <c r="W161" s="202" t="e">
        <f ca="1">IFERROR(ROUND(INDEX(G:G,MATCH($T161,$A:$A,0)),0),INDEX(PREVIVAZ!$C135:$N135,1,MATCH(W$27,PREVIVAZ!$C$1:$N$1,1)))</f>
        <v>#N/A</v>
      </c>
      <c r="X161" s="202" t="e">
        <f ca="1">IFERROR(ROUND(INDEX(H:H,MATCH($T161,$A:$A,0)),0),INDEX(PREVIVAZ!$C135:$N135,1,MATCH(X$27,PREVIVAZ!$C$1:$N$1,1)))</f>
        <v>#N/A</v>
      </c>
      <c r="Y161" s="202" t="e">
        <f ca="1">IFERROR(ROUND(INDEX(I:I,MATCH($T161,$A:$A,0)),0),INDEX(PREVIVAZ!$C135:$N135,1,MATCH(Y$27,PREVIVAZ!$C$1:$N$1,1)))</f>
        <v>#N/A</v>
      </c>
      <c r="Z161" s="202" t="e">
        <f ca="1">IFERROR(ROUND(INDEX(J:J,MATCH($T161,$A:$A,0)),0),INDEX(PREVIVAZ!$C135:$N135,1,MATCH(Z$27,PREVIVAZ!$C$1:$N$1,1)))</f>
        <v>#N/A</v>
      </c>
      <c r="AA161" s="202" t="e">
        <f ca="1">IFERROR(ROUND(INDEX(K:K,MATCH($T161,$A:$A,0)),0),INDEX(PREVIVAZ!$C135:$N135,1,MATCH(AA$27,PREVIVAZ!$C$1:$N$1,1)))</f>
        <v>#N/A</v>
      </c>
      <c r="AB161" s="202" t="e">
        <f ca="1">IFERROR(ROUND(INDEX(L:L,MATCH($T161,$A:$A,0)),0),INDEX(PREVIVAZ!$C135:$N135,1,MATCH(AB$27,PREVIVAZ!$C$1:$N$1,1)))</f>
        <v>#N/A</v>
      </c>
      <c r="AC161" s="202" t="e">
        <f ca="1">IFERROR(ROUND(INDEX(M:M,MATCH($T161,$A:$A,0)),0),INDEX(PREVIVAZ!$C135:$N135,1,MATCH(AC$27,PREVIVAZ!$C$1:$N$1,1)))</f>
        <v>#N/A</v>
      </c>
      <c r="AD161" s="202" t="e">
        <f ca="1">IFERROR(ROUND(INDEX(N:N,MATCH($T161,$A:$A,0)),0),INDEX(PREVIVAZ!$C135:$N135,1,MATCH(AD$27,PREVIVAZ!$C$1:$N$1,1)))</f>
        <v>#N/A</v>
      </c>
      <c r="AE161" s="202" t="e">
        <f ca="1">IFERROR(ROUND(INDEX(O:O,MATCH($T161,$A:$A,0)),0),INDEX(PREVIVAZ!$C135:$N135,1,MATCH(AE$27,PREVIVAZ!$C$1:$N$1,1)))</f>
        <v>#N/A</v>
      </c>
      <c r="AF161" s="202" t="e">
        <f ca="1">IFERROR(ROUND(INDEX(P:P,MATCH($T161,$A:$A,0)),0),INDEX(PREVIVAZ!$C135:$N135,1,MATCH(AF$27,PREVIVAZ!$C$1:$N$1,1)))</f>
        <v>#N/A</v>
      </c>
      <c r="AG161" s="202" t="e">
        <f ca="1">IFERROR(ROUND(INDEX(Q:Q,MATCH($T161,$A:$A,0)),0),INDEX(PREVIVAZ!$C135:$N135,1,MATCH(AG$27,PREVIVAZ!$C$1:$N$1,1)))</f>
        <v>#N/A</v>
      </c>
    </row>
    <row r="162" spans="15:33" ht="12.75" x14ac:dyDescent="0.2">
      <c r="O162"/>
      <c r="P162"/>
      <c r="Q162"/>
      <c r="R162"/>
      <c r="S162"/>
      <c r="T162" s="272">
        <v>135</v>
      </c>
      <c r="V162" s="202" t="e">
        <f ca="1">IFERROR(ROUND(INDEX(F:F,MATCH($T162,$A:$A,0)),0),INDEX(PREVIVAZ!$C136:$N136,1,MATCH(V$27,PREVIVAZ!$C$1:$N$1,1)))</f>
        <v>#N/A</v>
      </c>
      <c r="W162" s="202" t="e">
        <f ca="1">IFERROR(ROUND(INDEX(G:G,MATCH($T162,$A:$A,0)),0),INDEX(PREVIVAZ!$C136:$N136,1,MATCH(W$27,PREVIVAZ!$C$1:$N$1,1)))</f>
        <v>#N/A</v>
      </c>
      <c r="X162" s="202" t="e">
        <f ca="1">IFERROR(ROUND(INDEX(H:H,MATCH($T162,$A:$A,0)),0),INDEX(PREVIVAZ!$C136:$N136,1,MATCH(X$27,PREVIVAZ!$C$1:$N$1,1)))</f>
        <v>#N/A</v>
      </c>
      <c r="Y162" s="202" t="e">
        <f ca="1">IFERROR(ROUND(INDEX(I:I,MATCH($T162,$A:$A,0)),0),INDEX(PREVIVAZ!$C136:$N136,1,MATCH(Y$27,PREVIVAZ!$C$1:$N$1,1)))</f>
        <v>#N/A</v>
      </c>
      <c r="Z162" s="202" t="e">
        <f ca="1">IFERROR(ROUND(INDEX(J:J,MATCH($T162,$A:$A,0)),0),INDEX(PREVIVAZ!$C136:$N136,1,MATCH(Z$27,PREVIVAZ!$C$1:$N$1,1)))</f>
        <v>#N/A</v>
      </c>
      <c r="AA162" s="202" t="e">
        <f ca="1">IFERROR(ROUND(INDEX(K:K,MATCH($T162,$A:$A,0)),0),INDEX(PREVIVAZ!$C136:$N136,1,MATCH(AA$27,PREVIVAZ!$C$1:$N$1,1)))</f>
        <v>#N/A</v>
      </c>
      <c r="AB162" s="202" t="e">
        <f ca="1">IFERROR(ROUND(INDEX(L:L,MATCH($T162,$A:$A,0)),0),INDEX(PREVIVAZ!$C136:$N136,1,MATCH(AB$27,PREVIVAZ!$C$1:$N$1,1)))</f>
        <v>#N/A</v>
      </c>
      <c r="AC162" s="202" t="e">
        <f ca="1">IFERROR(ROUND(INDEX(M:M,MATCH($T162,$A:$A,0)),0),INDEX(PREVIVAZ!$C136:$N136,1,MATCH(AC$27,PREVIVAZ!$C$1:$N$1,1)))</f>
        <v>#N/A</v>
      </c>
      <c r="AD162" s="202" t="e">
        <f ca="1">IFERROR(ROUND(INDEX(N:N,MATCH($T162,$A:$A,0)),0),INDEX(PREVIVAZ!$C136:$N136,1,MATCH(AD$27,PREVIVAZ!$C$1:$N$1,1)))</f>
        <v>#N/A</v>
      </c>
      <c r="AE162" s="202" t="e">
        <f ca="1">IFERROR(ROUND(INDEX(O:O,MATCH($T162,$A:$A,0)),0),INDEX(PREVIVAZ!$C136:$N136,1,MATCH(AE$27,PREVIVAZ!$C$1:$N$1,1)))</f>
        <v>#N/A</v>
      </c>
      <c r="AF162" s="202" t="e">
        <f ca="1">IFERROR(ROUND(INDEX(P:P,MATCH($T162,$A:$A,0)),0),INDEX(PREVIVAZ!$C136:$N136,1,MATCH(AF$27,PREVIVAZ!$C$1:$N$1,1)))</f>
        <v>#N/A</v>
      </c>
      <c r="AG162" s="202" t="e">
        <f ca="1">IFERROR(ROUND(INDEX(Q:Q,MATCH($T162,$A:$A,0)),0),INDEX(PREVIVAZ!$C136:$N136,1,MATCH(AG$27,PREVIVAZ!$C$1:$N$1,1)))</f>
        <v>#N/A</v>
      </c>
    </row>
    <row r="163" spans="15:33" ht="12.75" x14ac:dyDescent="0.2">
      <c r="O163"/>
      <c r="P163"/>
      <c r="Q163"/>
      <c r="R163"/>
      <c r="S163"/>
      <c r="T163" s="272">
        <v>136</v>
      </c>
      <c r="V163" s="202" t="e">
        <f ca="1">IFERROR(ROUND(INDEX(F:F,MATCH($T163,$A:$A,0)),0),INDEX(PREVIVAZ!$C137:$N137,1,MATCH(V$27,PREVIVAZ!$C$1:$N$1,1)))</f>
        <v>#N/A</v>
      </c>
      <c r="W163" s="202" t="e">
        <f ca="1">IFERROR(ROUND(INDEX(G:G,MATCH($T163,$A:$A,0)),0),INDEX(PREVIVAZ!$C137:$N137,1,MATCH(W$27,PREVIVAZ!$C$1:$N$1,1)))</f>
        <v>#N/A</v>
      </c>
      <c r="X163" s="202" t="e">
        <f ca="1">IFERROR(ROUND(INDEX(H:H,MATCH($T163,$A:$A,0)),0),INDEX(PREVIVAZ!$C137:$N137,1,MATCH(X$27,PREVIVAZ!$C$1:$N$1,1)))</f>
        <v>#N/A</v>
      </c>
      <c r="Y163" s="202" t="e">
        <f ca="1">IFERROR(ROUND(INDEX(I:I,MATCH($T163,$A:$A,0)),0),INDEX(PREVIVAZ!$C137:$N137,1,MATCH(Y$27,PREVIVAZ!$C$1:$N$1,1)))</f>
        <v>#N/A</v>
      </c>
      <c r="Z163" s="202" t="e">
        <f ca="1">IFERROR(ROUND(INDEX(J:J,MATCH($T163,$A:$A,0)),0),INDEX(PREVIVAZ!$C137:$N137,1,MATCH(Z$27,PREVIVAZ!$C$1:$N$1,1)))</f>
        <v>#N/A</v>
      </c>
      <c r="AA163" s="202" t="e">
        <f ca="1">IFERROR(ROUND(INDEX(K:K,MATCH($T163,$A:$A,0)),0),INDEX(PREVIVAZ!$C137:$N137,1,MATCH(AA$27,PREVIVAZ!$C$1:$N$1,1)))</f>
        <v>#N/A</v>
      </c>
      <c r="AB163" s="202" t="e">
        <f ca="1">IFERROR(ROUND(INDEX(L:L,MATCH($T163,$A:$A,0)),0),INDEX(PREVIVAZ!$C137:$N137,1,MATCH(AB$27,PREVIVAZ!$C$1:$N$1,1)))</f>
        <v>#N/A</v>
      </c>
      <c r="AC163" s="202" t="e">
        <f ca="1">IFERROR(ROUND(INDEX(M:M,MATCH($T163,$A:$A,0)),0),INDEX(PREVIVAZ!$C137:$N137,1,MATCH(AC$27,PREVIVAZ!$C$1:$N$1,1)))</f>
        <v>#N/A</v>
      </c>
      <c r="AD163" s="202" t="e">
        <f ca="1">IFERROR(ROUND(INDEX(N:N,MATCH($T163,$A:$A,0)),0),INDEX(PREVIVAZ!$C137:$N137,1,MATCH(AD$27,PREVIVAZ!$C$1:$N$1,1)))</f>
        <v>#N/A</v>
      </c>
      <c r="AE163" s="202" t="e">
        <f ca="1">IFERROR(ROUND(INDEX(O:O,MATCH($T163,$A:$A,0)),0),INDEX(PREVIVAZ!$C137:$N137,1,MATCH(AE$27,PREVIVAZ!$C$1:$N$1,1)))</f>
        <v>#N/A</v>
      </c>
      <c r="AF163" s="202" t="e">
        <f ca="1">IFERROR(ROUND(INDEX(P:P,MATCH($T163,$A:$A,0)),0),INDEX(PREVIVAZ!$C137:$N137,1,MATCH(AF$27,PREVIVAZ!$C$1:$N$1,1)))</f>
        <v>#N/A</v>
      </c>
      <c r="AG163" s="202" t="e">
        <f ca="1">IFERROR(ROUND(INDEX(Q:Q,MATCH($T163,$A:$A,0)),0),INDEX(PREVIVAZ!$C137:$N137,1,MATCH(AG$27,PREVIVAZ!$C$1:$N$1,1)))</f>
        <v>#N/A</v>
      </c>
    </row>
    <row r="164" spans="15:33" ht="12.75" x14ac:dyDescent="0.2">
      <c r="O164"/>
      <c r="P164"/>
      <c r="Q164"/>
      <c r="R164"/>
      <c r="S164"/>
      <c r="T164" s="272">
        <v>137</v>
      </c>
      <c r="V164" s="202" t="e">
        <f ca="1">IFERROR(ROUND(INDEX(F:F,MATCH($T164,$A:$A,0)),0),INDEX(PREVIVAZ!$C138:$N138,1,MATCH(V$27,PREVIVAZ!$C$1:$N$1,1)))</f>
        <v>#N/A</v>
      </c>
      <c r="W164" s="202" t="e">
        <f ca="1">IFERROR(ROUND(INDEX(G:G,MATCH($T164,$A:$A,0)),0),INDEX(PREVIVAZ!$C138:$N138,1,MATCH(W$27,PREVIVAZ!$C$1:$N$1,1)))</f>
        <v>#N/A</v>
      </c>
      <c r="X164" s="202" t="e">
        <f ca="1">IFERROR(ROUND(INDEX(H:H,MATCH($T164,$A:$A,0)),0),INDEX(PREVIVAZ!$C138:$N138,1,MATCH(X$27,PREVIVAZ!$C$1:$N$1,1)))</f>
        <v>#N/A</v>
      </c>
      <c r="Y164" s="202" t="e">
        <f ca="1">IFERROR(ROUND(INDEX(I:I,MATCH($T164,$A:$A,0)),0),INDEX(PREVIVAZ!$C138:$N138,1,MATCH(Y$27,PREVIVAZ!$C$1:$N$1,1)))</f>
        <v>#N/A</v>
      </c>
      <c r="Z164" s="202" t="e">
        <f ca="1">IFERROR(ROUND(INDEX(J:J,MATCH($T164,$A:$A,0)),0),INDEX(PREVIVAZ!$C138:$N138,1,MATCH(Z$27,PREVIVAZ!$C$1:$N$1,1)))</f>
        <v>#N/A</v>
      </c>
      <c r="AA164" s="202" t="e">
        <f ca="1">IFERROR(ROUND(INDEX(K:K,MATCH($T164,$A:$A,0)),0),INDEX(PREVIVAZ!$C138:$N138,1,MATCH(AA$27,PREVIVAZ!$C$1:$N$1,1)))</f>
        <v>#N/A</v>
      </c>
      <c r="AB164" s="202" t="e">
        <f ca="1">IFERROR(ROUND(INDEX(L:L,MATCH($T164,$A:$A,0)),0),INDEX(PREVIVAZ!$C138:$N138,1,MATCH(AB$27,PREVIVAZ!$C$1:$N$1,1)))</f>
        <v>#N/A</v>
      </c>
      <c r="AC164" s="202" t="e">
        <f ca="1">IFERROR(ROUND(INDEX(M:M,MATCH($T164,$A:$A,0)),0),INDEX(PREVIVAZ!$C138:$N138,1,MATCH(AC$27,PREVIVAZ!$C$1:$N$1,1)))</f>
        <v>#N/A</v>
      </c>
      <c r="AD164" s="202" t="e">
        <f ca="1">IFERROR(ROUND(INDEX(N:N,MATCH($T164,$A:$A,0)),0),INDEX(PREVIVAZ!$C138:$N138,1,MATCH(AD$27,PREVIVAZ!$C$1:$N$1,1)))</f>
        <v>#N/A</v>
      </c>
      <c r="AE164" s="202" t="e">
        <f ca="1">IFERROR(ROUND(INDEX(O:O,MATCH($T164,$A:$A,0)),0),INDEX(PREVIVAZ!$C138:$N138,1,MATCH(AE$27,PREVIVAZ!$C$1:$N$1,1)))</f>
        <v>#N/A</v>
      </c>
      <c r="AF164" s="202" t="e">
        <f ca="1">IFERROR(ROUND(INDEX(P:P,MATCH($T164,$A:$A,0)),0),INDEX(PREVIVAZ!$C138:$N138,1,MATCH(AF$27,PREVIVAZ!$C$1:$N$1,1)))</f>
        <v>#N/A</v>
      </c>
      <c r="AG164" s="202" t="e">
        <f ca="1">IFERROR(ROUND(INDEX(Q:Q,MATCH($T164,$A:$A,0)),0),INDEX(PREVIVAZ!$C138:$N138,1,MATCH(AG$27,PREVIVAZ!$C$1:$N$1,1)))</f>
        <v>#N/A</v>
      </c>
    </row>
    <row r="165" spans="15:33" ht="12.75" x14ac:dyDescent="0.2">
      <c r="O165"/>
      <c r="P165"/>
      <c r="Q165"/>
      <c r="R165"/>
      <c r="S165"/>
      <c r="T165" s="272">
        <v>138</v>
      </c>
      <c r="V165" s="202" t="e">
        <f ca="1">IFERROR(ROUND(INDEX(F:F,MATCH($T165,$A:$A,0)),0),INDEX(PREVIVAZ!$C139:$N139,1,MATCH(V$27,PREVIVAZ!$C$1:$N$1,1)))</f>
        <v>#N/A</v>
      </c>
      <c r="W165" s="202" t="e">
        <f ca="1">IFERROR(ROUND(INDEX(G:G,MATCH($T165,$A:$A,0)),0),INDEX(PREVIVAZ!$C139:$N139,1,MATCH(W$27,PREVIVAZ!$C$1:$N$1,1)))</f>
        <v>#N/A</v>
      </c>
      <c r="X165" s="202" t="e">
        <f ca="1">IFERROR(ROUND(INDEX(H:H,MATCH($T165,$A:$A,0)),0),INDEX(PREVIVAZ!$C139:$N139,1,MATCH(X$27,PREVIVAZ!$C$1:$N$1,1)))</f>
        <v>#N/A</v>
      </c>
      <c r="Y165" s="202" t="e">
        <f ca="1">IFERROR(ROUND(INDEX(I:I,MATCH($T165,$A:$A,0)),0),INDEX(PREVIVAZ!$C139:$N139,1,MATCH(Y$27,PREVIVAZ!$C$1:$N$1,1)))</f>
        <v>#N/A</v>
      </c>
      <c r="Z165" s="202" t="e">
        <f ca="1">IFERROR(ROUND(INDEX(J:J,MATCH($T165,$A:$A,0)),0),INDEX(PREVIVAZ!$C139:$N139,1,MATCH(Z$27,PREVIVAZ!$C$1:$N$1,1)))</f>
        <v>#N/A</v>
      </c>
      <c r="AA165" s="202" t="e">
        <f ca="1">IFERROR(ROUND(INDEX(K:K,MATCH($T165,$A:$A,0)),0),INDEX(PREVIVAZ!$C139:$N139,1,MATCH(AA$27,PREVIVAZ!$C$1:$N$1,1)))</f>
        <v>#N/A</v>
      </c>
      <c r="AB165" s="202" t="e">
        <f ca="1">IFERROR(ROUND(INDEX(L:L,MATCH($T165,$A:$A,0)),0),INDEX(PREVIVAZ!$C139:$N139,1,MATCH(AB$27,PREVIVAZ!$C$1:$N$1,1)))</f>
        <v>#N/A</v>
      </c>
      <c r="AC165" s="202" t="e">
        <f ca="1">IFERROR(ROUND(INDEX(M:M,MATCH($T165,$A:$A,0)),0),INDEX(PREVIVAZ!$C139:$N139,1,MATCH(AC$27,PREVIVAZ!$C$1:$N$1,1)))</f>
        <v>#N/A</v>
      </c>
      <c r="AD165" s="202" t="e">
        <f ca="1">IFERROR(ROUND(INDEX(N:N,MATCH($T165,$A:$A,0)),0),INDEX(PREVIVAZ!$C139:$N139,1,MATCH(AD$27,PREVIVAZ!$C$1:$N$1,1)))</f>
        <v>#N/A</v>
      </c>
      <c r="AE165" s="202" t="e">
        <f ca="1">IFERROR(ROUND(INDEX(O:O,MATCH($T165,$A:$A,0)),0),INDEX(PREVIVAZ!$C139:$N139,1,MATCH(AE$27,PREVIVAZ!$C$1:$N$1,1)))</f>
        <v>#N/A</v>
      </c>
      <c r="AF165" s="202" t="e">
        <f ca="1">IFERROR(ROUND(INDEX(P:P,MATCH($T165,$A:$A,0)),0),INDEX(PREVIVAZ!$C139:$N139,1,MATCH(AF$27,PREVIVAZ!$C$1:$N$1,1)))</f>
        <v>#N/A</v>
      </c>
      <c r="AG165" s="202" t="e">
        <f ca="1">IFERROR(ROUND(INDEX(Q:Q,MATCH($T165,$A:$A,0)),0),INDEX(PREVIVAZ!$C139:$N139,1,MATCH(AG$27,PREVIVAZ!$C$1:$N$1,1)))</f>
        <v>#N/A</v>
      </c>
    </row>
    <row r="166" spans="15:33" ht="12.75" x14ac:dyDescent="0.2">
      <c r="O166"/>
      <c r="P166"/>
      <c r="Q166"/>
      <c r="R166"/>
      <c r="S166"/>
      <c r="T166" s="272">
        <v>139</v>
      </c>
      <c r="V166" s="202" t="e">
        <f ca="1">IFERROR(ROUND(INDEX(F:F,MATCH($T166,$A:$A,0)),0),INDEX(PREVIVAZ!$C140:$N140,1,MATCH(V$27,PREVIVAZ!$C$1:$N$1,1)))</f>
        <v>#N/A</v>
      </c>
      <c r="W166" s="202" t="e">
        <f ca="1">IFERROR(ROUND(INDEX(G:G,MATCH($T166,$A:$A,0)),0),INDEX(PREVIVAZ!$C140:$N140,1,MATCH(W$27,PREVIVAZ!$C$1:$N$1,1)))</f>
        <v>#N/A</v>
      </c>
      <c r="X166" s="202" t="e">
        <f ca="1">IFERROR(ROUND(INDEX(H:H,MATCH($T166,$A:$A,0)),0),INDEX(PREVIVAZ!$C140:$N140,1,MATCH(X$27,PREVIVAZ!$C$1:$N$1,1)))</f>
        <v>#N/A</v>
      </c>
      <c r="Y166" s="202" t="e">
        <f ca="1">IFERROR(ROUND(INDEX(I:I,MATCH($T166,$A:$A,0)),0),INDEX(PREVIVAZ!$C140:$N140,1,MATCH(Y$27,PREVIVAZ!$C$1:$N$1,1)))</f>
        <v>#N/A</v>
      </c>
      <c r="Z166" s="202" t="e">
        <f ca="1">IFERROR(ROUND(INDEX(J:J,MATCH($T166,$A:$A,0)),0),INDEX(PREVIVAZ!$C140:$N140,1,MATCH(Z$27,PREVIVAZ!$C$1:$N$1,1)))</f>
        <v>#N/A</v>
      </c>
      <c r="AA166" s="202" t="e">
        <f ca="1">IFERROR(ROUND(INDEX(K:K,MATCH($T166,$A:$A,0)),0),INDEX(PREVIVAZ!$C140:$N140,1,MATCH(AA$27,PREVIVAZ!$C$1:$N$1,1)))</f>
        <v>#N/A</v>
      </c>
      <c r="AB166" s="202" t="e">
        <f ca="1">IFERROR(ROUND(INDEX(L:L,MATCH($T166,$A:$A,0)),0),INDEX(PREVIVAZ!$C140:$N140,1,MATCH(AB$27,PREVIVAZ!$C$1:$N$1,1)))</f>
        <v>#N/A</v>
      </c>
      <c r="AC166" s="202" t="e">
        <f ca="1">IFERROR(ROUND(INDEX(M:M,MATCH($T166,$A:$A,0)),0),INDEX(PREVIVAZ!$C140:$N140,1,MATCH(AC$27,PREVIVAZ!$C$1:$N$1,1)))</f>
        <v>#N/A</v>
      </c>
      <c r="AD166" s="202" t="e">
        <f ca="1">IFERROR(ROUND(INDEX(N:N,MATCH($T166,$A:$A,0)),0),INDEX(PREVIVAZ!$C140:$N140,1,MATCH(AD$27,PREVIVAZ!$C$1:$N$1,1)))</f>
        <v>#N/A</v>
      </c>
      <c r="AE166" s="202" t="e">
        <f ca="1">IFERROR(ROUND(INDEX(O:O,MATCH($T166,$A:$A,0)),0),INDEX(PREVIVAZ!$C140:$N140,1,MATCH(AE$27,PREVIVAZ!$C$1:$N$1,1)))</f>
        <v>#N/A</v>
      </c>
      <c r="AF166" s="202" t="e">
        <f ca="1">IFERROR(ROUND(INDEX(P:P,MATCH($T166,$A:$A,0)),0),INDEX(PREVIVAZ!$C140:$N140,1,MATCH(AF$27,PREVIVAZ!$C$1:$N$1,1)))</f>
        <v>#N/A</v>
      </c>
      <c r="AG166" s="202" t="e">
        <f ca="1">IFERROR(ROUND(INDEX(Q:Q,MATCH($T166,$A:$A,0)),0),INDEX(PREVIVAZ!$C140:$N140,1,MATCH(AG$27,PREVIVAZ!$C$1:$N$1,1)))</f>
        <v>#N/A</v>
      </c>
    </row>
    <row r="167" spans="15:33" ht="12.75" x14ac:dyDescent="0.2">
      <c r="O167"/>
      <c r="P167"/>
      <c r="Q167"/>
      <c r="R167"/>
      <c r="S167"/>
      <c r="T167" s="272">
        <v>140</v>
      </c>
      <c r="V167" s="202" t="e">
        <f ca="1">IFERROR(ROUND(INDEX(F:F,MATCH($T167,$A:$A,0)),0),INDEX(PREVIVAZ!$C141:$N141,1,MATCH(V$27,PREVIVAZ!$C$1:$N$1,1)))</f>
        <v>#N/A</v>
      </c>
      <c r="W167" s="202" t="e">
        <f ca="1">IFERROR(ROUND(INDEX(G:G,MATCH($T167,$A:$A,0)),0),INDEX(PREVIVAZ!$C141:$N141,1,MATCH(W$27,PREVIVAZ!$C$1:$N$1,1)))</f>
        <v>#N/A</v>
      </c>
      <c r="X167" s="202" t="e">
        <f ca="1">IFERROR(ROUND(INDEX(H:H,MATCH($T167,$A:$A,0)),0),INDEX(PREVIVAZ!$C141:$N141,1,MATCH(X$27,PREVIVAZ!$C$1:$N$1,1)))</f>
        <v>#N/A</v>
      </c>
      <c r="Y167" s="202" t="e">
        <f ca="1">IFERROR(ROUND(INDEX(I:I,MATCH($T167,$A:$A,0)),0),INDEX(PREVIVAZ!$C141:$N141,1,MATCH(Y$27,PREVIVAZ!$C$1:$N$1,1)))</f>
        <v>#N/A</v>
      </c>
      <c r="Z167" s="202" t="e">
        <f ca="1">IFERROR(ROUND(INDEX(J:J,MATCH($T167,$A:$A,0)),0),INDEX(PREVIVAZ!$C141:$N141,1,MATCH(Z$27,PREVIVAZ!$C$1:$N$1,1)))</f>
        <v>#N/A</v>
      </c>
      <c r="AA167" s="202" t="e">
        <f ca="1">IFERROR(ROUND(INDEX(K:K,MATCH($T167,$A:$A,0)),0),INDEX(PREVIVAZ!$C141:$N141,1,MATCH(AA$27,PREVIVAZ!$C$1:$N$1,1)))</f>
        <v>#N/A</v>
      </c>
      <c r="AB167" s="202" t="e">
        <f ca="1">IFERROR(ROUND(INDEX(L:L,MATCH($T167,$A:$A,0)),0),INDEX(PREVIVAZ!$C141:$N141,1,MATCH(AB$27,PREVIVAZ!$C$1:$N$1,1)))</f>
        <v>#N/A</v>
      </c>
      <c r="AC167" s="202" t="e">
        <f ca="1">IFERROR(ROUND(INDEX(M:M,MATCH($T167,$A:$A,0)),0),INDEX(PREVIVAZ!$C141:$N141,1,MATCH(AC$27,PREVIVAZ!$C$1:$N$1,1)))</f>
        <v>#N/A</v>
      </c>
      <c r="AD167" s="202" t="e">
        <f ca="1">IFERROR(ROUND(INDEX(N:N,MATCH($T167,$A:$A,0)),0),INDEX(PREVIVAZ!$C141:$N141,1,MATCH(AD$27,PREVIVAZ!$C$1:$N$1,1)))</f>
        <v>#N/A</v>
      </c>
      <c r="AE167" s="202" t="e">
        <f ca="1">IFERROR(ROUND(INDEX(O:O,MATCH($T167,$A:$A,0)),0),INDEX(PREVIVAZ!$C141:$N141,1,MATCH(AE$27,PREVIVAZ!$C$1:$N$1,1)))</f>
        <v>#N/A</v>
      </c>
      <c r="AF167" s="202" t="e">
        <f ca="1">IFERROR(ROUND(INDEX(P:P,MATCH($T167,$A:$A,0)),0),INDEX(PREVIVAZ!$C141:$N141,1,MATCH(AF$27,PREVIVAZ!$C$1:$N$1,1)))</f>
        <v>#N/A</v>
      </c>
      <c r="AG167" s="202" t="e">
        <f ca="1">IFERROR(ROUND(INDEX(Q:Q,MATCH($T167,$A:$A,0)),0),INDEX(PREVIVAZ!$C141:$N141,1,MATCH(AG$27,PREVIVAZ!$C$1:$N$1,1)))</f>
        <v>#N/A</v>
      </c>
    </row>
    <row r="168" spans="15:33" ht="12.75" x14ac:dyDescent="0.2">
      <c r="O168"/>
      <c r="P168"/>
      <c r="Q168"/>
      <c r="R168"/>
      <c r="S168"/>
      <c r="T168" s="272">
        <v>141</v>
      </c>
      <c r="V168" s="202" t="e">
        <f ca="1">IFERROR(ROUND(INDEX(F:F,MATCH($T168,$A:$A,0)),0),INDEX(PREVIVAZ!$C142:$N142,1,MATCH(V$27,PREVIVAZ!$C$1:$N$1,1)))</f>
        <v>#N/A</v>
      </c>
      <c r="W168" s="202" t="e">
        <f ca="1">IFERROR(ROUND(INDEX(G:G,MATCH($T168,$A:$A,0)),0),INDEX(PREVIVAZ!$C142:$N142,1,MATCH(W$27,PREVIVAZ!$C$1:$N$1,1)))</f>
        <v>#N/A</v>
      </c>
      <c r="X168" s="202" t="e">
        <f ca="1">IFERROR(ROUND(INDEX(H:H,MATCH($T168,$A:$A,0)),0),INDEX(PREVIVAZ!$C142:$N142,1,MATCH(X$27,PREVIVAZ!$C$1:$N$1,1)))</f>
        <v>#N/A</v>
      </c>
      <c r="Y168" s="202" t="e">
        <f ca="1">IFERROR(ROUND(INDEX(I:I,MATCH($T168,$A:$A,0)),0),INDEX(PREVIVAZ!$C142:$N142,1,MATCH(Y$27,PREVIVAZ!$C$1:$N$1,1)))</f>
        <v>#N/A</v>
      </c>
      <c r="Z168" s="202" t="e">
        <f ca="1">IFERROR(ROUND(INDEX(J:J,MATCH($T168,$A:$A,0)),0),INDEX(PREVIVAZ!$C142:$N142,1,MATCH(Z$27,PREVIVAZ!$C$1:$N$1,1)))</f>
        <v>#N/A</v>
      </c>
      <c r="AA168" s="202" t="e">
        <f ca="1">IFERROR(ROUND(INDEX(K:K,MATCH($T168,$A:$A,0)),0),INDEX(PREVIVAZ!$C142:$N142,1,MATCH(AA$27,PREVIVAZ!$C$1:$N$1,1)))</f>
        <v>#N/A</v>
      </c>
      <c r="AB168" s="202" t="e">
        <f ca="1">IFERROR(ROUND(INDEX(L:L,MATCH($T168,$A:$A,0)),0),INDEX(PREVIVAZ!$C142:$N142,1,MATCH(AB$27,PREVIVAZ!$C$1:$N$1,1)))</f>
        <v>#N/A</v>
      </c>
      <c r="AC168" s="202" t="e">
        <f ca="1">IFERROR(ROUND(INDEX(M:M,MATCH($T168,$A:$A,0)),0),INDEX(PREVIVAZ!$C142:$N142,1,MATCH(AC$27,PREVIVAZ!$C$1:$N$1,1)))</f>
        <v>#N/A</v>
      </c>
      <c r="AD168" s="202" t="e">
        <f ca="1">IFERROR(ROUND(INDEX(N:N,MATCH($T168,$A:$A,0)),0),INDEX(PREVIVAZ!$C142:$N142,1,MATCH(AD$27,PREVIVAZ!$C$1:$N$1,1)))</f>
        <v>#N/A</v>
      </c>
      <c r="AE168" s="202" t="e">
        <f ca="1">IFERROR(ROUND(INDEX(O:O,MATCH($T168,$A:$A,0)),0),INDEX(PREVIVAZ!$C142:$N142,1,MATCH(AE$27,PREVIVAZ!$C$1:$N$1,1)))</f>
        <v>#N/A</v>
      </c>
      <c r="AF168" s="202" t="e">
        <f ca="1">IFERROR(ROUND(INDEX(P:P,MATCH($T168,$A:$A,0)),0),INDEX(PREVIVAZ!$C142:$N142,1,MATCH(AF$27,PREVIVAZ!$C$1:$N$1,1)))</f>
        <v>#N/A</v>
      </c>
      <c r="AG168" s="202" t="e">
        <f ca="1">IFERROR(ROUND(INDEX(Q:Q,MATCH($T168,$A:$A,0)),0),INDEX(PREVIVAZ!$C142:$N142,1,MATCH(AG$27,PREVIVAZ!$C$1:$N$1,1)))</f>
        <v>#N/A</v>
      </c>
    </row>
    <row r="169" spans="15:33" ht="12.75" x14ac:dyDescent="0.2">
      <c r="O169"/>
      <c r="P169"/>
      <c r="Q169"/>
      <c r="R169"/>
      <c r="S169"/>
      <c r="T169" s="272">
        <v>142</v>
      </c>
      <c r="V169" s="202" t="e">
        <f ca="1">IFERROR(ROUND(INDEX(F:F,MATCH($T169,$A:$A,0)),0),INDEX(PREVIVAZ!$C143:$N143,1,MATCH(V$27,PREVIVAZ!$C$1:$N$1,1)))</f>
        <v>#N/A</v>
      </c>
      <c r="W169" s="202" t="e">
        <f ca="1">IFERROR(ROUND(INDEX(G:G,MATCH($T169,$A:$A,0)),0),INDEX(PREVIVAZ!$C143:$N143,1,MATCH(W$27,PREVIVAZ!$C$1:$N$1,1)))</f>
        <v>#N/A</v>
      </c>
      <c r="X169" s="202" t="e">
        <f ca="1">IFERROR(ROUND(INDEX(H:H,MATCH($T169,$A:$A,0)),0),INDEX(PREVIVAZ!$C143:$N143,1,MATCH(X$27,PREVIVAZ!$C$1:$N$1,1)))</f>
        <v>#N/A</v>
      </c>
      <c r="Y169" s="202" t="e">
        <f ca="1">IFERROR(ROUND(INDEX(I:I,MATCH($T169,$A:$A,0)),0),INDEX(PREVIVAZ!$C143:$N143,1,MATCH(Y$27,PREVIVAZ!$C$1:$N$1,1)))</f>
        <v>#N/A</v>
      </c>
      <c r="Z169" s="202" t="e">
        <f ca="1">IFERROR(ROUND(INDEX(J:J,MATCH($T169,$A:$A,0)),0),INDEX(PREVIVAZ!$C143:$N143,1,MATCH(Z$27,PREVIVAZ!$C$1:$N$1,1)))</f>
        <v>#N/A</v>
      </c>
      <c r="AA169" s="202" t="e">
        <f ca="1">IFERROR(ROUND(INDEX(K:K,MATCH($T169,$A:$A,0)),0),INDEX(PREVIVAZ!$C143:$N143,1,MATCH(AA$27,PREVIVAZ!$C$1:$N$1,1)))</f>
        <v>#N/A</v>
      </c>
      <c r="AB169" s="202" t="e">
        <f ca="1">IFERROR(ROUND(INDEX(L:L,MATCH($T169,$A:$A,0)),0),INDEX(PREVIVAZ!$C143:$N143,1,MATCH(AB$27,PREVIVAZ!$C$1:$N$1,1)))</f>
        <v>#N/A</v>
      </c>
      <c r="AC169" s="202" t="e">
        <f ca="1">IFERROR(ROUND(INDEX(M:M,MATCH($T169,$A:$A,0)),0),INDEX(PREVIVAZ!$C143:$N143,1,MATCH(AC$27,PREVIVAZ!$C$1:$N$1,1)))</f>
        <v>#N/A</v>
      </c>
      <c r="AD169" s="202" t="e">
        <f ca="1">IFERROR(ROUND(INDEX(N:N,MATCH($T169,$A:$A,0)),0),INDEX(PREVIVAZ!$C143:$N143,1,MATCH(AD$27,PREVIVAZ!$C$1:$N$1,1)))</f>
        <v>#N/A</v>
      </c>
      <c r="AE169" s="202" t="e">
        <f ca="1">IFERROR(ROUND(INDEX(O:O,MATCH($T169,$A:$A,0)),0),INDEX(PREVIVAZ!$C143:$N143,1,MATCH(AE$27,PREVIVAZ!$C$1:$N$1,1)))</f>
        <v>#N/A</v>
      </c>
      <c r="AF169" s="202" t="e">
        <f ca="1">IFERROR(ROUND(INDEX(P:P,MATCH($T169,$A:$A,0)),0),INDEX(PREVIVAZ!$C143:$N143,1,MATCH(AF$27,PREVIVAZ!$C$1:$N$1,1)))</f>
        <v>#N/A</v>
      </c>
      <c r="AG169" s="202" t="e">
        <f ca="1">IFERROR(ROUND(INDEX(Q:Q,MATCH($T169,$A:$A,0)),0),INDEX(PREVIVAZ!$C143:$N143,1,MATCH(AG$27,PREVIVAZ!$C$1:$N$1,1)))</f>
        <v>#N/A</v>
      </c>
    </row>
    <row r="170" spans="15:33" ht="12.75" x14ac:dyDescent="0.2">
      <c r="O170"/>
      <c r="P170"/>
      <c r="Q170"/>
      <c r="R170"/>
      <c r="S170"/>
      <c r="T170" s="272">
        <v>143</v>
      </c>
      <c r="V170" s="202" t="e">
        <f ca="1">IFERROR(ROUND(INDEX(F:F,MATCH($T170,$A:$A,0)),0),INDEX(PREVIVAZ!$C144:$N144,1,MATCH(V$27,PREVIVAZ!$C$1:$N$1,1)))</f>
        <v>#N/A</v>
      </c>
      <c r="W170" s="202" t="e">
        <f ca="1">IFERROR(ROUND(INDEX(G:G,MATCH($T170,$A:$A,0)),0),INDEX(PREVIVAZ!$C144:$N144,1,MATCH(W$27,PREVIVAZ!$C$1:$N$1,1)))</f>
        <v>#N/A</v>
      </c>
      <c r="X170" s="202" t="e">
        <f ca="1">IFERROR(ROUND(INDEX(H:H,MATCH($T170,$A:$A,0)),0),INDEX(PREVIVAZ!$C144:$N144,1,MATCH(X$27,PREVIVAZ!$C$1:$N$1,1)))</f>
        <v>#N/A</v>
      </c>
      <c r="Y170" s="202" t="e">
        <f ca="1">IFERROR(ROUND(INDEX(I:I,MATCH($T170,$A:$A,0)),0),INDEX(PREVIVAZ!$C144:$N144,1,MATCH(Y$27,PREVIVAZ!$C$1:$N$1,1)))</f>
        <v>#N/A</v>
      </c>
      <c r="Z170" s="202" t="e">
        <f ca="1">IFERROR(ROUND(INDEX(J:J,MATCH($T170,$A:$A,0)),0),INDEX(PREVIVAZ!$C144:$N144,1,MATCH(Z$27,PREVIVAZ!$C$1:$N$1,1)))</f>
        <v>#N/A</v>
      </c>
      <c r="AA170" s="202" t="e">
        <f ca="1">IFERROR(ROUND(INDEX(K:K,MATCH($T170,$A:$A,0)),0),INDEX(PREVIVAZ!$C144:$N144,1,MATCH(AA$27,PREVIVAZ!$C$1:$N$1,1)))</f>
        <v>#N/A</v>
      </c>
      <c r="AB170" s="202" t="e">
        <f ca="1">IFERROR(ROUND(INDEX(L:L,MATCH($T170,$A:$A,0)),0),INDEX(PREVIVAZ!$C144:$N144,1,MATCH(AB$27,PREVIVAZ!$C$1:$N$1,1)))</f>
        <v>#N/A</v>
      </c>
      <c r="AC170" s="202" t="e">
        <f ca="1">IFERROR(ROUND(INDEX(M:M,MATCH($T170,$A:$A,0)),0),INDEX(PREVIVAZ!$C144:$N144,1,MATCH(AC$27,PREVIVAZ!$C$1:$N$1,1)))</f>
        <v>#N/A</v>
      </c>
      <c r="AD170" s="202" t="e">
        <f ca="1">IFERROR(ROUND(INDEX(N:N,MATCH($T170,$A:$A,0)),0),INDEX(PREVIVAZ!$C144:$N144,1,MATCH(AD$27,PREVIVAZ!$C$1:$N$1,1)))</f>
        <v>#N/A</v>
      </c>
      <c r="AE170" s="202" t="e">
        <f ca="1">IFERROR(ROUND(INDEX(O:O,MATCH($T170,$A:$A,0)),0),INDEX(PREVIVAZ!$C144:$N144,1,MATCH(AE$27,PREVIVAZ!$C$1:$N$1,1)))</f>
        <v>#N/A</v>
      </c>
      <c r="AF170" s="202" t="e">
        <f ca="1">IFERROR(ROUND(INDEX(P:P,MATCH($T170,$A:$A,0)),0),INDEX(PREVIVAZ!$C144:$N144,1,MATCH(AF$27,PREVIVAZ!$C$1:$N$1,1)))</f>
        <v>#N/A</v>
      </c>
      <c r="AG170" s="202" t="e">
        <f ca="1">IFERROR(ROUND(INDEX(Q:Q,MATCH($T170,$A:$A,0)),0),INDEX(PREVIVAZ!$C144:$N144,1,MATCH(AG$27,PREVIVAZ!$C$1:$N$1,1)))</f>
        <v>#N/A</v>
      </c>
    </row>
    <row r="171" spans="15:33" ht="12.75" x14ac:dyDescent="0.2">
      <c r="O171"/>
      <c r="P171"/>
      <c r="Q171"/>
      <c r="R171"/>
      <c r="S171"/>
      <c r="T171" s="272">
        <v>144</v>
      </c>
      <c r="V171" s="202" t="e">
        <f ca="1">IFERROR(ROUND(INDEX(F:F,MATCH($T171,$A:$A,0)),0),INDEX(PREVIVAZ!$C145:$N145,1,MATCH(V$27,PREVIVAZ!$C$1:$N$1,1)))</f>
        <v>#N/A</v>
      </c>
      <c r="W171" s="202" t="e">
        <f ca="1">IFERROR(ROUND(INDEX(G:G,MATCH($T171,$A:$A,0)),0),INDEX(PREVIVAZ!$C145:$N145,1,MATCH(W$27,PREVIVAZ!$C$1:$N$1,1)))</f>
        <v>#N/A</v>
      </c>
      <c r="X171" s="202" t="e">
        <f ca="1">IFERROR(ROUND(INDEX(H:H,MATCH($T171,$A:$A,0)),0),INDEX(PREVIVAZ!$C145:$N145,1,MATCH(X$27,PREVIVAZ!$C$1:$N$1,1)))</f>
        <v>#N/A</v>
      </c>
      <c r="Y171" s="202" t="e">
        <f ca="1">IFERROR(ROUND(INDEX(I:I,MATCH($T171,$A:$A,0)),0),INDEX(PREVIVAZ!$C145:$N145,1,MATCH(Y$27,PREVIVAZ!$C$1:$N$1,1)))</f>
        <v>#N/A</v>
      </c>
      <c r="Z171" s="202" t="e">
        <f ca="1">IFERROR(ROUND(INDEX(J:J,MATCH($T171,$A:$A,0)),0),INDEX(PREVIVAZ!$C145:$N145,1,MATCH(Z$27,PREVIVAZ!$C$1:$N$1,1)))</f>
        <v>#N/A</v>
      </c>
      <c r="AA171" s="202" t="e">
        <f ca="1">IFERROR(ROUND(INDEX(K:K,MATCH($T171,$A:$A,0)),0),INDEX(PREVIVAZ!$C145:$N145,1,MATCH(AA$27,PREVIVAZ!$C$1:$N$1,1)))</f>
        <v>#N/A</v>
      </c>
      <c r="AB171" s="202" t="e">
        <f ca="1">IFERROR(ROUND(INDEX(L:L,MATCH($T171,$A:$A,0)),0),INDEX(PREVIVAZ!$C145:$N145,1,MATCH(AB$27,PREVIVAZ!$C$1:$N$1,1)))</f>
        <v>#N/A</v>
      </c>
      <c r="AC171" s="202" t="e">
        <f ca="1">IFERROR(ROUND(INDEX(M:M,MATCH($T171,$A:$A,0)),0),INDEX(PREVIVAZ!$C145:$N145,1,MATCH(AC$27,PREVIVAZ!$C$1:$N$1,1)))</f>
        <v>#N/A</v>
      </c>
      <c r="AD171" s="202" t="e">
        <f ca="1">IFERROR(ROUND(INDEX(N:N,MATCH($T171,$A:$A,0)),0),INDEX(PREVIVAZ!$C145:$N145,1,MATCH(AD$27,PREVIVAZ!$C$1:$N$1,1)))</f>
        <v>#N/A</v>
      </c>
      <c r="AE171" s="202" t="e">
        <f ca="1">IFERROR(ROUND(INDEX(O:O,MATCH($T171,$A:$A,0)),0),INDEX(PREVIVAZ!$C145:$N145,1,MATCH(AE$27,PREVIVAZ!$C$1:$N$1,1)))</f>
        <v>#N/A</v>
      </c>
      <c r="AF171" s="202" t="e">
        <f ca="1">IFERROR(ROUND(INDEX(P:P,MATCH($T171,$A:$A,0)),0),INDEX(PREVIVAZ!$C145:$N145,1,MATCH(AF$27,PREVIVAZ!$C$1:$N$1,1)))</f>
        <v>#N/A</v>
      </c>
      <c r="AG171" s="202" t="e">
        <f ca="1">IFERROR(ROUND(INDEX(Q:Q,MATCH($T171,$A:$A,0)),0),INDEX(PREVIVAZ!$C145:$N145,1,MATCH(AG$27,PREVIVAZ!$C$1:$N$1,1)))</f>
        <v>#N/A</v>
      </c>
    </row>
    <row r="172" spans="15:33" ht="12.75" x14ac:dyDescent="0.2">
      <c r="O172"/>
      <c r="P172"/>
      <c r="Q172"/>
      <c r="R172"/>
      <c r="S172"/>
      <c r="T172" s="272">
        <v>145</v>
      </c>
      <c r="V172" s="202" t="e">
        <f ca="1">IFERROR(ROUND(INDEX(F:F,MATCH($T172,$A:$A,0)),0),INDEX(PREVIVAZ!$C146:$N146,1,MATCH(V$27,PREVIVAZ!$C$1:$N$1,1)))</f>
        <v>#N/A</v>
      </c>
      <c r="W172" s="202" t="e">
        <f ca="1">IFERROR(ROUND(INDEX(G:G,MATCH($T172,$A:$A,0)),0),INDEX(PREVIVAZ!$C146:$N146,1,MATCH(W$27,PREVIVAZ!$C$1:$N$1,1)))</f>
        <v>#N/A</v>
      </c>
      <c r="X172" s="202" t="e">
        <f ca="1">IFERROR(ROUND(INDEX(H:H,MATCH($T172,$A:$A,0)),0),INDEX(PREVIVAZ!$C146:$N146,1,MATCH(X$27,PREVIVAZ!$C$1:$N$1,1)))</f>
        <v>#N/A</v>
      </c>
      <c r="Y172" s="202" t="e">
        <f ca="1">IFERROR(ROUND(INDEX(I:I,MATCH($T172,$A:$A,0)),0),INDEX(PREVIVAZ!$C146:$N146,1,MATCH(Y$27,PREVIVAZ!$C$1:$N$1,1)))</f>
        <v>#N/A</v>
      </c>
      <c r="Z172" s="202" t="e">
        <f ca="1">IFERROR(ROUND(INDEX(J:J,MATCH($T172,$A:$A,0)),0),INDEX(PREVIVAZ!$C146:$N146,1,MATCH(Z$27,PREVIVAZ!$C$1:$N$1,1)))</f>
        <v>#N/A</v>
      </c>
      <c r="AA172" s="202" t="e">
        <f ca="1">IFERROR(ROUND(INDEX(K:K,MATCH($T172,$A:$A,0)),0),INDEX(PREVIVAZ!$C146:$N146,1,MATCH(AA$27,PREVIVAZ!$C$1:$N$1,1)))</f>
        <v>#N/A</v>
      </c>
      <c r="AB172" s="202" t="e">
        <f ca="1">IFERROR(ROUND(INDEX(L:L,MATCH($T172,$A:$A,0)),0),INDEX(PREVIVAZ!$C146:$N146,1,MATCH(AB$27,PREVIVAZ!$C$1:$N$1,1)))</f>
        <v>#N/A</v>
      </c>
      <c r="AC172" s="202" t="e">
        <f ca="1">IFERROR(ROUND(INDEX(M:M,MATCH($T172,$A:$A,0)),0),INDEX(PREVIVAZ!$C146:$N146,1,MATCH(AC$27,PREVIVAZ!$C$1:$N$1,1)))</f>
        <v>#N/A</v>
      </c>
      <c r="AD172" s="202" t="e">
        <f ca="1">IFERROR(ROUND(INDEX(N:N,MATCH($T172,$A:$A,0)),0),INDEX(PREVIVAZ!$C146:$N146,1,MATCH(AD$27,PREVIVAZ!$C$1:$N$1,1)))</f>
        <v>#N/A</v>
      </c>
      <c r="AE172" s="202" t="e">
        <f ca="1">IFERROR(ROUND(INDEX(O:O,MATCH($T172,$A:$A,0)),0),INDEX(PREVIVAZ!$C146:$N146,1,MATCH(AE$27,PREVIVAZ!$C$1:$N$1,1)))</f>
        <v>#N/A</v>
      </c>
      <c r="AF172" s="202" t="e">
        <f ca="1">IFERROR(ROUND(INDEX(P:P,MATCH($T172,$A:$A,0)),0),INDEX(PREVIVAZ!$C146:$N146,1,MATCH(AF$27,PREVIVAZ!$C$1:$N$1,1)))</f>
        <v>#N/A</v>
      </c>
      <c r="AG172" s="202" t="e">
        <f ca="1">IFERROR(ROUND(INDEX(Q:Q,MATCH($T172,$A:$A,0)),0),INDEX(PREVIVAZ!$C146:$N146,1,MATCH(AG$27,PREVIVAZ!$C$1:$N$1,1)))</f>
        <v>#N/A</v>
      </c>
    </row>
    <row r="173" spans="15:33" ht="12.75" x14ac:dyDescent="0.2">
      <c r="O173"/>
      <c r="P173"/>
      <c r="Q173"/>
      <c r="R173"/>
      <c r="S173"/>
      <c r="T173" s="272">
        <v>146</v>
      </c>
      <c r="V173" s="202" t="e">
        <f ca="1">IFERROR(ROUND(INDEX(F:F,MATCH($T173,$A:$A,0)),0),INDEX(PREVIVAZ!$C147:$N147,1,MATCH(V$27,PREVIVAZ!$C$1:$N$1,1)))</f>
        <v>#N/A</v>
      </c>
      <c r="W173" s="202" t="e">
        <f ca="1">IFERROR(ROUND(INDEX(G:G,MATCH($T173,$A:$A,0)),0),INDEX(PREVIVAZ!$C147:$N147,1,MATCH(W$27,PREVIVAZ!$C$1:$N$1,1)))</f>
        <v>#N/A</v>
      </c>
      <c r="X173" s="202" t="e">
        <f ca="1">IFERROR(ROUND(INDEX(H:H,MATCH($T173,$A:$A,0)),0),INDEX(PREVIVAZ!$C147:$N147,1,MATCH(X$27,PREVIVAZ!$C$1:$N$1,1)))</f>
        <v>#N/A</v>
      </c>
      <c r="Y173" s="202" t="e">
        <f ca="1">IFERROR(ROUND(INDEX(I:I,MATCH($T173,$A:$A,0)),0),INDEX(PREVIVAZ!$C147:$N147,1,MATCH(Y$27,PREVIVAZ!$C$1:$N$1,1)))</f>
        <v>#N/A</v>
      </c>
      <c r="Z173" s="202" t="e">
        <f ca="1">IFERROR(ROUND(INDEX(J:J,MATCH($T173,$A:$A,0)),0),INDEX(PREVIVAZ!$C147:$N147,1,MATCH(Z$27,PREVIVAZ!$C$1:$N$1,1)))</f>
        <v>#N/A</v>
      </c>
      <c r="AA173" s="202" t="e">
        <f ca="1">IFERROR(ROUND(INDEX(K:K,MATCH($T173,$A:$A,0)),0),INDEX(PREVIVAZ!$C147:$N147,1,MATCH(AA$27,PREVIVAZ!$C$1:$N$1,1)))</f>
        <v>#N/A</v>
      </c>
      <c r="AB173" s="202" t="e">
        <f ca="1">IFERROR(ROUND(INDEX(L:L,MATCH($T173,$A:$A,0)),0),INDEX(PREVIVAZ!$C147:$N147,1,MATCH(AB$27,PREVIVAZ!$C$1:$N$1,1)))</f>
        <v>#N/A</v>
      </c>
      <c r="AC173" s="202" t="e">
        <f ca="1">IFERROR(ROUND(INDEX(M:M,MATCH($T173,$A:$A,0)),0),INDEX(PREVIVAZ!$C147:$N147,1,MATCH(AC$27,PREVIVAZ!$C$1:$N$1,1)))</f>
        <v>#N/A</v>
      </c>
      <c r="AD173" s="202" t="e">
        <f ca="1">IFERROR(ROUND(INDEX(N:N,MATCH($T173,$A:$A,0)),0),INDEX(PREVIVAZ!$C147:$N147,1,MATCH(AD$27,PREVIVAZ!$C$1:$N$1,1)))</f>
        <v>#N/A</v>
      </c>
      <c r="AE173" s="202" t="e">
        <f ca="1">IFERROR(ROUND(INDEX(O:O,MATCH($T173,$A:$A,0)),0),INDEX(PREVIVAZ!$C147:$N147,1,MATCH(AE$27,PREVIVAZ!$C$1:$N$1,1)))</f>
        <v>#N/A</v>
      </c>
      <c r="AF173" s="202" t="e">
        <f ca="1">IFERROR(ROUND(INDEX(P:P,MATCH($T173,$A:$A,0)),0),INDEX(PREVIVAZ!$C147:$N147,1,MATCH(AF$27,PREVIVAZ!$C$1:$N$1,1)))</f>
        <v>#N/A</v>
      </c>
      <c r="AG173" s="202" t="e">
        <f ca="1">IFERROR(ROUND(INDEX(Q:Q,MATCH($T173,$A:$A,0)),0),INDEX(PREVIVAZ!$C147:$N147,1,MATCH(AG$27,PREVIVAZ!$C$1:$N$1,1)))</f>
        <v>#N/A</v>
      </c>
    </row>
    <row r="174" spans="15:33" ht="12.75" x14ac:dyDescent="0.2">
      <c r="O174"/>
      <c r="P174"/>
      <c r="Q174"/>
      <c r="R174"/>
      <c r="S174"/>
      <c r="T174" s="272">
        <v>147</v>
      </c>
      <c r="V174" s="202" t="e">
        <f ca="1">IFERROR(ROUND(INDEX(F:F,MATCH($T174,$A:$A,0)),0),INDEX(PREVIVAZ!$C148:$N148,1,MATCH(V$27,PREVIVAZ!$C$1:$N$1,1)))</f>
        <v>#N/A</v>
      </c>
      <c r="W174" s="202" t="e">
        <f ca="1">IFERROR(ROUND(INDEX(G:G,MATCH($T174,$A:$A,0)),0),INDEX(PREVIVAZ!$C148:$N148,1,MATCH(W$27,PREVIVAZ!$C$1:$N$1,1)))</f>
        <v>#N/A</v>
      </c>
      <c r="X174" s="202" t="e">
        <f ca="1">IFERROR(ROUND(INDEX(H:H,MATCH($T174,$A:$A,0)),0),INDEX(PREVIVAZ!$C148:$N148,1,MATCH(X$27,PREVIVAZ!$C$1:$N$1,1)))</f>
        <v>#N/A</v>
      </c>
      <c r="Y174" s="202" t="e">
        <f ca="1">IFERROR(ROUND(INDEX(I:I,MATCH($T174,$A:$A,0)),0),INDEX(PREVIVAZ!$C148:$N148,1,MATCH(Y$27,PREVIVAZ!$C$1:$N$1,1)))</f>
        <v>#N/A</v>
      </c>
      <c r="Z174" s="202" t="e">
        <f ca="1">IFERROR(ROUND(INDEX(J:J,MATCH($T174,$A:$A,0)),0),INDEX(PREVIVAZ!$C148:$N148,1,MATCH(Z$27,PREVIVAZ!$C$1:$N$1,1)))</f>
        <v>#N/A</v>
      </c>
      <c r="AA174" s="202" t="e">
        <f ca="1">IFERROR(ROUND(INDEX(K:K,MATCH($T174,$A:$A,0)),0),INDEX(PREVIVAZ!$C148:$N148,1,MATCH(AA$27,PREVIVAZ!$C$1:$N$1,1)))</f>
        <v>#N/A</v>
      </c>
      <c r="AB174" s="202" t="e">
        <f ca="1">IFERROR(ROUND(INDEX(L:L,MATCH($T174,$A:$A,0)),0),INDEX(PREVIVAZ!$C148:$N148,1,MATCH(AB$27,PREVIVAZ!$C$1:$N$1,1)))</f>
        <v>#N/A</v>
      </c>
      <c r="AC174" s="202" t="e">
        <f ca="1">IFERROR(ROUND(INDEX(M:M,MATCH($T174,$A:$A,0)),0),INDEX(PREVIVAZ!$C148:$N148,1,MATCH(AC$27,PREVIVAZ!$C$1:$N$1,1)))</f>
        <v>#N/A</v>
      </c>
      <c r="AD174" s="202" t="e">
        <f ca="1">IFERROR(ROUND(INDEX(N:N,MATCH($T174,$A:$A,0)),0),INDEX(PREVIVAZ!$C148:$N148,1,MATCH(AD$27,PREVIVAZ!$C$1:$N$1,1)))</f>
        <v>#N/A</v>
      </c>
      <c r="AE174" s="202" t="e">
        <f ca="1">IFERROR(ROUND(INDEX(O:O,MATCH($T174,$A:$A,0)),0),INDEX(PREVIVAZ!$C148:$N148,1,MATCH(AE$27,PREVIVAZ!$C$1:$N$1,1)))</f>
        <v>#N/A</v>
      </c>
      <c r="AF174" s="202" t="e">
        <f ca="1">IFERROR(ROUND(INDEX(P:P,MATCH($T174,$A:$A,0)),0),INDEX(PREVIVAZ!$C148:$N148,1,MATCH(AF$27,PREVIVAZ!$C$1:$N$1,1)))</f>
        <v>#N/A</v>
      </c>
      <c r="AG174" s="202" t="e">
        <f ca="1">IFERROR(ROUND(INDEX(Q:Q,MATCH($T174,$A:$A,0)),0),INDEX(PREVIVAZ!$C148:$N148,1,MATCH(AG$27,PREVIVAZ!$C$1:$N$1,1)))</f>
        <v>#N/A</v>
      </c>
    </row>
    <row r="175" spans="15:33" ht="12.75" x14ac:dyDescent="0.2">
      <c r="O175"/>
      <c r="P175"/>
      <c r="Q175"/>
      <c r="R175"/>
      <c r="S175"/>
      <c r="T175" s="272">
        <v>148</v>
      </c>
      <c r="V175" s="202" t="e">
        <f ca="1">IFERROR(ROUND(INDEX(F:F,MATCH($T175,$A:$A,0)),0),INDEX(PREVIVAZ!$C149:$N149,1,MATCH(V$27,PREVIVAZ!$C$1:$N$1,1)))</f>
        <v>#N/A</v>
      </c>
      <c r="W175" s="202" t="e">
        <f ca="1">IFERROR(ROUND(INDEX(G:G,MATCH($T175,$A:$A,0)),0),INDEX(PREVIVAZ!$C149:$N149,1,MATCH(W$27,PREVIVAZ!$C$1:$N$1,1)))</f>
        <v>#N/A</v>
      </c>
      <c r="X175" s="202" t="e">
        <f ca="1">IFERROR(ROUND(INDEX(H:H,MATCH($T175,$A:$A,0)),0),INDEX(PREVIVAZ!$C149:$N149,1,MATCH(X$27,PREVIVAZ!$C$1:$N$1,1)))</f>
        <v>#N/A</v>
      </c>
      <c r="Y175" s="202" t="e">
        <f ca="1">IFERROR(ROUND(INDEX(I:I,MATCH($T175,$A:$A,0)),0),INDEX(PREVIVAZ!$C149:$N149,1,MATCH(Y$27,PREVIVAZ!$C$1:$N$1,1)))</f>
        <v>#N/A</v>
      </c>
      <c r="Z175" s="202" t="e">
        <f ca="1">IFERROR(ROUND(INDEX(J:J,MATCH($T175,$A:$A,0)),0),INDEX(PREVIVAZ!$C149:$N149,1,MATCH(Z$27,PREVIVAZ!$C$1:$N$1,1)))</f>
        <v>#N/A</v>
      </c>
      <c r="AA175" s="202" t="e">
        <f ca="1">IFERROR(ROUND(INDEX(K:K,MATCH($T175,$A:$A,0)),0),INDEX(PREVIVAZ!$C149:$N149,1,MATCH(AA$27,PREVIVAZ!$C$1:$N$1,1)))</f>
        <v>#N/A</v>
      </c>
      <c r="AB175" s="202" t="e">
        <f ca="1">IFERROR(ROUND(INDEX(L:L,MATCH($T175,$A:$A,0)),0),INDEX(PREVIVAZ!$C149:$N149,1,MATCH(AB$27,PREVIVAZ!$C$1:$N$1,1)))</f>
        <v>#N/A</v>
      </c>
      <c r="AC175" s="202" t="e">
        <f ca="1">IFERROR(ROUND(INDEX(M:M,MATCH($T175,$A:$A,0)),0),INDEX(PREVIVAZ!$C149:$N149,1,MATCH(AC$27,PREVIVAZ!$C$1:$N$1,1)))</f>
        <v>#N/A</v>
      </c>
      <c r="AD175" s="202" t="e">
        <f ca="1">IFERROR(ROUND(INDEX(N:N,MATCH($T175,$A:$A,0)),0),INDEX(PREVIVAZ!$C149:$N149,1,MATCH(AD$27,PREVIVAZ!$C$1:$N$1,1)))</f>
        <v>#N/A</v>
      </c>
      <c r="AE175" s="202" t="e">
        <f ca="1">IFERROR(ROUND(INDEX(O:O,MATCH($T175,$A:$A,0)),0),INDEX(PREVIVAZ!$C149:$N149,1,MATCH(AE$27,PREVIVAZ!$C$1:$N$1,1)))</f>
        <v>#N/A</v>
      </c>
      <c r="AF175" s="202" t="e">
        <f ca="1">IFERROR(ROUND(INDEX(P:P,MATCH($T175,$A:$A,0)),0),INDEX(PREVIVAZ!$C149:$N149,1,MATCH(AF$27,PREVIVAZ!$C$1:$N$1,1)))</f>
        <v>#N/A</v>
      </c>
      <c r="AG175" s="202" t="e">
        <f ca="1">IFERROR(ROUND(INDEX(Q:Q,MATCH($T175,$A:$A,0)),0),INDEX(PREVIVAZ!$C149:$N149,1,MATCH(AG$27,PREVIVAZ!$C$1:$N$1,1)))</f>
        <v>#N/A</v>
      </c>
    </row>
    <row r="176" spans="15:33" ht="12.75" x14ac:dyDescent="0.2">
      <c r="O176"/>
      <c r="P176"/>
      <c r="Q176"/>
      <c r="R176"/>
      <c r="S176"/>
      <c r="T176" s="272">
        <v>149</v>
      </c>
      <c r="V176" s="202" t="e">
        <f ca="1">IFERROR(ROUND(INDEX(F:F,MATCH($T176,$A:$A,0)),0),INDEX(PREVIVAZ!$C150:$N150,1,MATCH(V$27,PREVIVAZ!$C$1:$N$1,1)))</f>
        <v>#N/A</v>
      </c>
      <c r="W176" s="202" t="e">
        <f ca="1">IFERROR(ROUND(INDEX(G:G,MATCH($T176,$A:$A,0)),0),INDEX(PREVIVAZ!$C150:$N150,1,MATCH(W$27,PREVIVAZ!$C$1:$N$1,1)))</f>
        <v>#N/A</v>
      </c>
      <c r="X176" s="202" t="e">
        <f ca="1">IFERROR(ROUND(INDEX(H:H,MATCH($T176,$A:$A,0)),0),INDEX(PREVIVAZ!$C150:$N150,1,MATCH(X$27,PREVIVAZ!$C$1:$N$1,1)))</f>
        <v>#N/A</v>
      </c>
      <c r="Y176" s="202" t="e">
        <f ca="1">IFERROR(ROUND(INDEX(I:I,MATCH($T176,$A:$A,0)),0),INDEX(PREVIVAZ!$C150:$N150,1,MATCH(Y$27,PREVIVAZ!$C$1:$N$1,1)))</f>
        <v>#N/A</v>
      </c>
      <c r="Z176" s="202" t="e">
        <f ca="1">IFERROR(ROUND(INDEX(J:J,MATCH($T176,$A:$A,0)),0),INDEX(PREVIVAZ!$C150:$N150,1,MATCH(Z$27,PREVIVAZ!$C$1:$N$1,1)))</f>
        <v>#N/A</v>
      </c>
      <c r="AA176" s="202" t="e">
        <f ca="1">IFERROR(ROUND(INDEX(K:K,MATCH($T176,$A:$A,0)),0),INDEX(PREVIVAZ!$C150:$N150,1,MATCH(AA$27,PREVIVAZ!$C$1:$N$1,1)))</f>
        <v>#N/A</v>
      </c>
      <c r="AB176" s="202" t="e">
        <f ca="1">IFERROR(ROUND(INDEX(L:L,MATCH($T176,$A:$A,0)),0),INDEX(PREVIVAZ!$C150:$N150,1,MATCH(AB$27,PREVIVAZ!$C$1:$N$1,1)))</f>
        <v>#N/A</v>
      </c>
      <c r="AC176" s="202" t="e">
        <f ca="1">IFERROR(ROUND(INDEX(M:M,MATCH($T176,$A:$A,0)),0),INDEX(PREVIVAZ!$C150:$N150,1,MATCH(AC$27,PREVIVAZ!$C$1:$N$1,1)))</f>
        <v>#N/A</v>
      </c>
      <c r="AD176" s="202" t="e">
        <f ca="1">IFERROR(ROUND(INDEX(N:N,MATCH($T176,$A:$A,0)),0),INDEX(PREVIVAZ!$C150:$N150,1,MATCH(AD$27,PREVIVAZ!$C$1:$N$1,1)))</f>
        <v>#N/A</v>
      </c>
      <c r="AE176" s="202" t="e">
        <f ca="1">IFERROR(ROUND(INDEX(O:O,MATCH($T176,$A:$A,0)),0),INDEX(PREVIVAZ!$C150:$N150,1,MATCH(AE$27,PREVIVAZ!$C$1:$N$1,1)))</f>
        <v>#N/A</v>
      </c>
      <c r="AF176" s="202" t="e">
        <f ca="1">IFERROR(ROUND(INDEX(P:P,MATCH($T176,$A:$A,0)),0),INDEX(PREVIVAZ!$C150:$N150,1,MATCH(AF$27,PREVIVAZ!$C$1:$N$1,1)))</f>
        <v>#N/A</v>
      </c>
      <c r="AG176" s="202" t="e">
        <f ca="1">IFERROR(ROUND(INDEX(Q:Q,MATCH($T176,$A:$A,0)),0),INDEX(PREVIVAZ!$C150:$N150,1,MATCH(AG$27,PREVIVAZ!$C$1:$N$1,1)))</f>
        <v>#N/A</v>
      </c>
    </row>
    <row r="177" spans="15:33" ht="12.75" x14ac:dyDescent="0.2">
      <c r="O177"/>
      <c r="P177"/>
      <c r="Q177"/>
      <c r="R177"/>
      <c r="S177"/>
      <c r="T177" s="272">
        <v>150</v>
      </c>
      <c r="V177" s="202" t="e">
        <f ca="1">IFERROR(ROUND(INDEX(F:F,MATCH($T177,$A:$A,0)),0),INDEX(PREVIVAZ!$C151:$N151,1,MATCH(V$27,PREVIVAZ!$C$1:$N$1,1)))</f>
        <v>#N/A</v>
      </c>
      <c r="W177" s="202" t="e">
        <f ca="1">IFERROR(ROUND(INDEX(G:G,MATCH($T177,$A:$A,0)),0),INDEX(PREVIVAZ!$C151:$N151,1,MATCH(W$27,PREVIVAZ!$C$1:$N$1,1)))</f>
        <v>#N/A</v>
      </c>
      <c r="X177" s="202" t="e">
        <f ca="1">IFERROR(ROUND(INDEX(H:H,MATCH($T177,$A:$A,0)),0),INDEX(PREVIVAZ!$C151:$N151,1,MATCH(X$27,PREVIVAZ!$C$1:$N$1,1)))</f>
        <v>#N/A</v>
      </c>
      <c r="Y177" s="202" t="e">
        <f ca="1">IFERROR(ROUND(INDEX(I:I,MATCH($T177,$A:$A,0)),0),INDEX(PREVIVAZ!$C151:$N151,1,MATCH(Y$27,PREVIVAZ!$C$1:$N$1,1)))</f>
        <v>#N/A</v>
      </c>
      <c r="Z177" s="202" t="e">
        <f ca="1">IFERROR(ROUND(INDEX(J:J,MATCH($T177,$A:$A,0)),0),INDEX(PREVIVAZ!$C151:$N151,1,MATCH(Z$27,PREVIVAZ!$C$1:$N$1,1)))</f>
        <v>#N/A</v>
      </c>
      <c r="AA177" s="202" t="e">
        <f ca="1">IFERROR(ROUND(INDEX(K:K,MATCH($T177,$A:$A,0)),0),INDEX(PREVIVAZ!$C151:$N151,1,MATCH(AA$27,PREVIVAZ!$C$1:$N$1,1)))</f>
        <v>#N/A</v>
      </c>
      <c r="AB177" s="202" t="e">
        <f ca="1">IFERROR(ROUND(INDEX(L:L,MATCH($T177,$A:$A,0)),0),INDEX(PREVIVAZ!$C151:$N151,1,MATCH(AB$27,PREVIVAZ!$C$1:$N$1,1)))</f>
        <v>#N/A</v>
      </c>
      <c r="AC177" s="202" t="e">
        <f ca="1">IFERROR(ROUND(INDEX(M:M,MATCH($T177,$A:$A,0)),0),INDEX(PREVIVAZ!$C151:$N151,1,MATCH(AC$27,PREVIVAZ!$C$1:$N$1,1)))</f>
        <v>#N/A</v>
      </c>
      <c r="AD177" s="202" t="e">
        <f ca="1">IFERROR(ROUND(INDEX(N:N,MATCH($T177,$A:$A,0)),0),INDEX(PREVIVAZ!$C151:$N151,1,MATCH(AD$27,PREVIVAZ!$C$1:$N$1,1)))</f>
        <v>#N/A</v>
      </c>
      <c r="AE177" s="202" t="e">
        <f ca="1">IFERROR(ROUND(INDEX(O:O,MATCH($T177,$A:$A,0)),0),INDEX(PREVIVAZ!$C151:$N151,1,MATCH(AE$27,PREVIVAZ!$C$1:$N$1,1)))</f>
        <v>#N/A</v>
      </c>
      <c r="AF177" s="202" t="e">
        <f ca="1">IFERROR(ROUND(INDEX(P:P,MATCH($T177,$A:$A,0)),0),INDEX(PREVIVAZ!$C151:$N151,1,MATCH(AF$27,PREVIVAZ!$C$1:$N$1,1)))</f>
        <v>#N/A</v>
      </c>
      <c r="AG177" s="202" t="e">
        <f ca="1">IFERROR(ROUND(INDEX(Q:Q,MATCH($T177,$A:$A,0)),0),INDEX(PREVIVAZ!$C151:$N151,1,MATCH(AG$27,PREVIVAZ!$C$1:$N$1,1)))</f>
        <v>#N/A</v>
      </c>
    </row>
    <row r="178" spans="15:33" ht="12.75" x14ac:dyDescent="0.2">
      <c r="O178"/>
      <c r="P178"/>
      <c r="Q178"/>
      <c r="R178"/>
      <c r="S178"/>
      <c r="T178" s="272">
        <v>151</v>
      </c>
      <c r="V178" s="202" t="e">
        <f ca="1">IFERROR(ROUND(INDEX(F:F,MATCH($T178,$A:$A,0)),0),INDEX(PREVIVAZ!$C152:$N152,1,MATCH(V$27,PREVIVAZ!$C$1:$N$1,1)))</f>
        <v>#N/A</v>
      </c>
      <c r="W178" s="202" t="e">
        <f ca="1">IFERROR(ROUND(INDEX(G:G,MATCH($T178,$A:$A,0)),0),INDEX(PREVIVAZ!$C152:$N152,1,MATCH(W$27,PREVIVAZ!$C$1:$N$1,1)))</f>
        <v>#N/A</v>
      </c>
      <c r="X178" s="202" t="e">
        <f ca="1">IFERROR(ROUND(INDEX(H:H,MATCH($T178,$A:$A,0)),0),INDEX(PREVIVAZ!$C152:$N152,1,MATCH(X$27,PREVIVAZ!$C$1:$N$1,1)))</f>
        <v>#N/A</v>
      </c>
      <c r="Y178" s="202" t="e">
        <f ca="1">IFERROR(ROUND(INDEX(I:I,MATCH($T178,$A:$A,0)),0),INDEX(PREVIVAZ!$C152:$N152,1,MATCH(Y$27,PREVIVAZ!$C$1:$N$1,1)))</f>
        <v>#N/A</v>
      </c>
      <c r="Z178" s="202" t="e">
        <f ca="1">IFERROR(ROUND(INDEX(J:J,MATCH($T178,$A:$A,0)),0),INDEX(PREVIVAZ!$C152:$N152,1,MATCH(Z$27,PREVIVAZ!$C$1:$N$1,1)))</f>
        <v>#N/A</v>
      </c>
      <c r="AA178" s="202" t="e">
        <f ca="1">IFERROR(ROUND(INDEX(K:K,MATCH($T178,$A:$A,0)),0),INDEX(PREVIVAZ!$C152:$N152,1,MATCH(AA$27,PREVIVAZ!$C$1:$N$1,1)))</f>
        <v>#N/A</v>
      </c>
      <c r="AB178" s="202" t="e">
        <f ca="1">IFERROR(ROUND(INDEX(L:L,MATCH($T178,$A:$A,0)),0),INDEX(PREVIVAZ!$C152:$N152,1,MATCH(AB$27,PREVIVAZ!$C$1:$N$1,1)))</f>
        <v>#N/A</v>
      </c>
      <c r="AC178" s="202" t="e">
        <f ca="1">IFERROR(ROUND(INDEX(M:M,MATCH($T178,$A:$A,0)),0),INDEX(PREVIVAZ!$C152:$N152,1,MATCH(AC$27,PREVIVAZ!$C$1:$N$1,1)))</f>
        <v>#N/A</v>
      </c>
      <c r="AD178" s="202" t="e">
        <f ca="1">IFERROR(ROUND(INDEX(N:N,MATCH($T178,$A:$A,0)),0),INDEX(PREVIVAZ!$C152:$N152,1,MATCH(AD$27,PREVIVAZ!$C$1:$N$1,1)))</f>
        <v>#N/A</v>
      </c>
      <c r="AE178" s="202" t="e">
        <f ca="1">IFERROR(ROUND(INDEX(O:O,MATCH($T178,$A:$A,0)),0),INDEX(PREVIVAZ!$C152:$N152,1,MATCH(AE$27,PREVIVAZ!$C$1:$N$1,1)))</f>
        <v>#N/A</v>
      </c>
      <c r="AF178" s="202" t="e">
        <f ca="1">IFERROR(ROUND(INDEX(P:P,MATCH($T178,$A:$A,0)),0),INDEX(PREVIVAZ!$C152:$N152,1,MATCH(AF$27,PREVIVAZ!$C$1:$N$1,1)))</f>
        <v>#N/A</v>
      </c>
      <c r="AG178" s="202" t="e">
        <f ca="1">IFERROR(ROUND(INDEX(Q:Q,MATCH($T178,$A:$A,0)),0),INDEX(PREVIVAZ!$C152:$N152,1,MATCH(AG$27,PREVIVAZ!$C$1:$N$1,1)))</f>
        <v>#N/A</v>
      </c>
    </row>
    <row r="179" spans="15:33" ht="12.75" x14ac:dyDescent="0.2">
      <c r="O179"/>
      <c r="P179"/>
      <c r="Q179"/>
      <c r="R179"/>
      <c r="S179"/>
      <c r="T179" s="272">
        <v>152</v>
      </c>
      <c r="V179" s="202" t="e">
        <f ca="1">IFERROR(ROUND(INDEX(F:F,MATCH($T179,$A:$A,0)),0),INDEX(PREVIVAZ!$C153:$N153,1,MATCH(V$27,PREVIVAZ!$C$1:$N$1,1)))</f>
        <v>#N/A</v>
      </c>
      <c r="W179" s="202" t="e">
        <f ca="1">IFERROR(ROUND(INDEX(G:G,MATCH($T179,$A:$A,0)),0),INDEX(PREVIVAZ!$C153:$N153,1,MATCH(W$27,PREVIVAZ!$C$1:$N$1,1)))</f>
        <v>#N/A</v>
      </c>
      <c r="X179" s="202" t="e">
        <f ca="1">IFERROR(ROUND(INDEX(H:H,MATCH($T179,$A:$A,0)),0),INDEX(PREVIVAZ!$C153:$N153,1,MATCH(X$27,PREVIVAZ!$C$1:$N$1,1)))</f>
        <v>#N/A</v>
      </c>
      <c r="Y179" s="202" t="e">
        <f ca="1">IFERROR(ROUND(INDEX(I:I,MATCH($T179,$A:$A,0)),0),INDEX(PREVIVAZ!$C153:$N153,1,MATCH(Y$27,PREVIVAZ!$C$1:$N$1,1)))</f>
        <v>#N/A</v>
      </c>
      <c r="Z179" s="202" t="e">
        <f ca="1">IFERROR(ROUND(INDEX(J:J,MATCH($T179,$A:$A,0)),0),INDEX(PREVIVAZ!$C153:$N153,1,MATCH(Z$27,PREVIVAZ!$C$1:$N$1,1)))</f>
        <v>#N/A</v>
      </c>
      <c r="AA179" s="202" t="e">
        <f ca="1">IFERROR(ROUND(INDEX(K:K,MATCH($T179,$A:$A,0)),0),INDEX(PREVIVAZ!$C153:$N153,1,MATCH(AA$27,PREVIVAZ!$C$1:$N$1,1)))</f>
        <v>#N/A</v>
      </c>
      <c r="AB179" s="202" t="e">
        <f ca="1">IFERROR(ROUND(INDEX(L:L,MATCH($T179,$A:$A,0)),0),INDEX(PREVIVAZ!$C153:$N153,1,MATCH(AB$27,PREVIVAZ!$C$1:$N$1,1)))</f>
        <v>#N/A</v>
      </c>
      <c r="AC179" s="202" t="e">
        <f ca="1">IFERROR(ROUND(INDEX(M:M,MATCH($T179,$A:$A,0)),0),INDEX(PREVIVAZ!$C153:$N153,1,MATCH(AC$27,PREVIVAZ!$C$1:$N$1,1)))</f>
        <v>#N/A</v>
      </c>
      <c r="AD179" s="202" t="e">
        <f ca="1">IFERROR(ROUND(INDEX(N:N,MATCH($T179,$A:$A,0)),0),INDEX(PREVIVAZ!$C153:$N153,1,MATCH(AD$27,PREVIVAZ!$C$1:$N$1,1)))</f>
        <v>#N/A</v>
      </c>
      <c r="AE179" s="202" t="e">
        <f ca="1">IFERROR(ROUND(INDEX(O:O,MATCH($T179,$A:$A,0)),0),INDEX(PREVIVAZ!$C153:$N153,1,MATCH(AE$27,PREVIVAZ!$C$1:$N$1,1)))</f>
        <v>#N/A</v>
      </c>
      <c r="AF179" s="202" t="e">
        <f ca="1">IFERROR(ROUND(INDEX(P:P,MATCH($T179,$A:$A,0)),0),INDEX(PREVIVAZ!$C153:$N153,1,MATCH(AF$27,PREVIVAZ!$C$1:$N$1,1)))</f>
        <v>#N/A</v>
      </c>
      <c r="AG179" s="202" t="e">
        <f ca="1">IFERROR(ROUND(INDEX(Q:Q,MATCH($T179,$A:$A,0)),0),INDEX(PREVIVAZ!$C153:$N153,1,MATCH(AG$27,PREVIVAZ!$C$1:$N$1,1)))</f>
        <v>#N/A</v>
      </c>
    </row>
    <row r="180" spans="15:33" ht="12.75" x14ac:dyDescent="0.2">
      <c r="O180"/>
      <c r="P180"/>
      <c r="Q180"/>
      <c r="R180"/>
      <c r="S180"/>
      <c r="T180" s="272">
        <v>153</v>
      </c>
      <c r="V180" s="202" t="e">
        <f ca="1">IFERROR(ROUND(INDEX(F:F,MATCH($T180,$A:$A,0)),0),INDEX(PREVIVAZ!$C154:$N154,1,MATCH(V$27,PREVIVAZ!$C$1:$N$1,1)))</f>
        <v>#N/A</v>
      </c>
      <c r="W180" s="202" t="e">
        <f ca="1">IFERROR(ROUND(INDEX(G:G,MATCH($T180,$A:$A,0)),0),INDEX(PREVIVAZ!$C154:$N154,1,MATCH(W$27,PREVIVAZ!$C$1:$N$1,1)))</f>
        <v>#N/A</v>
      </c>
      <c r="X180" s="202" t="e">
        <f ca="1">IFERROR(ROUND(INDEX(H:H,MATCH($T180,$A:$A,0)),0),INDEX(PREVIVAZ!$C154:$N154,1,MATCH(X$27,PREVIVAZ!$C$1:$N$1,1)))</f>
        <v>#N/A</v>
      </c>
      <c r="Y180" s="202" t="e">
        <f ca="1">IFERROR(ROUND(INDEX(I:I,MATCH($T180,$A:$A,0)),0),INDEX(PREVIVAZ!$C154:$N154,1,MATCH(Y$27,PREVIVAZ!$C$1:$N$1,1)))</f>
        <v>#N/A</v>
      </c>
      <c r="Z180" s="202" t="e">
        <f ca="1">IFERROR(ROUND(INDEX(J:J,MATCH($T180,$A:$A,0)),0),INDEX(PREVIVAZ!$C154:$N154,1,MATCH(Z$27,PREVIVAZ!$C$1:$N$1,1)))</f>
        <v>#N/A</v>
      </c>
      <c r="AA180" s="202" t="e">
        <f ca="1">IFERROR(ROUND(INDEX(K:K,MATCH($T180,$A:$A,0)),0),INDEX(PREVIVAZ!$C154:$N154,1,MATCH(AA$27,PREVIVAZ!$C$1:$N$1,1)))</f>
        <v>#N/A</v>
      </c>
      <c r="AB180" s="202" t="e">
        <f ca="1">IFERROR(ROUND(INDEX(L:L,MATCH($T180,$A:$A,0)),0),INDEX(PREVIVAZ!$C154:$N154,1,MATCH(AB$27,PREVIVAZ!$C$1:$N$1,1)))</f>
        <v>#N/A</v>
      </c>
      <c r="AC180" s="202" t="e">
        <f ca="1">IFERROR(ROUND(INDEX(M:M,MATCH($T180,$A:$A,0)),0),INDEX(PREVIVAZ!$C154:$N154,1,MATCH(AC$27,PREVIVAZ!$C$1:$N$1,1)))</f>
        <v>#N/A</v>
      </c>
      <c r="AD180" s="202" t="e">
        <f ca="1">IFERROR(ROUND(INDEX(N:N,MATCH($T180,$A:$A,0)),0),INDEX(PREVIVAZ!$C154:$N154,1,MATCH(AD$27,PREVIVAZ!$C$1:$N$1,1)))</f>
        <v>#N/A</v>
      </c>
      <c r="AE180" s="202" t="e">
        <f ca="1">IFERROR(ROUND(INDEX(O:O,MATCH($T180,$A:$A,0)),0),INDEX(PREVIVAZ!$C154:$N154,1,MATCH(AE$27,PREVIVAZ!$C$1:$N$1,1)))</f>
        <v>#N/A</v>
      </c>
      <c r="AF180" s="202" t="e">
        <f ca="1">IFERROR(ROUND(INDEX(P:P,MATCH($T180,$A:$A,0)),0),INDEX(PREVIVAZ!$C154:$N154,1,MATCH(AF$27,PREVIVAZ!$C$1:$N$1,1)))</f>
        <v>#N/A</v>
      </c>
      <c r="AG180" s="202" t="e">
        <f ca="1">IFERROR(ROUND(INDEX(Q:Q,MATCH($T180,$A:$A,0)),0),INDEX(PREVIVAZ!$C154:$N154,1,MATCH(AG$27,PREVIVAZ!$C$1:$N$1,1)))</f>
        <v>#N/A</v>
      </c>
    </row>
    <row r="181" spans="15:33" ht="12.75" x14ac:dyDescent="0.2">
      <c r="O181"/>
      <c r="P181"/>
      <c r="Q181"/>
      <c r="R181"/>
      <c r="S181"/>
      <c r="T181" s="272">
        <v>154</v>
      </c>
      <c r="V181" s="202" t="e">
        <f ca="1">IFERROR(ROUND(INDEX(F:F,MATCH($T181,$A:$A,0)),0),INDEX(PREVIVAZ!$C155:$N155,1,MATCH(V$27,PREVIVAZ!$C$1:$N$1,1)))</f>
        <v>#N/A</v>
      </c>
      <c r="W181" s="202" t="e">
        <f ca="1">IFERROR(ROUND(INDEX(G:G,MATCH($T181,$A:$A,0)),0),INDEX(PREVIVAZ!$C155:$N155,1,MATCH(W$27,PREVIVAZ!$C$1:$N$1,1)))</f>
        <v>#N/A</v>
      </c>
      <c r="X181" s="202" t="e">
        <f ca="1">IFERROR(ROUND(INDEX(H:H,MATCH($T181,$A:$A,0)),0),INDEX(PREVIVAZ!$C155:$N155,1,MATCH(X$27,PREVIVAZ!$C$1:$N$1,1)))</f>
        <v>#N/A</v>
      </c>
      <c r="Y181" s="202" t="e">
        <f ca="1">IFERROR(ROUND(INDEX(I:I,MATCH($T181,$A:$A,0)),0),INDEX(PREVIVAZ!$C155:$N155,1,MATCH(Y$27,PREVIVAZ!$C$1:$N$1,1)))</f>
        <v>#N/A</v>
      </c>
      <c r="Z181" s="202" t="e">
        <f ca="1">IFERROR(ROUND(INDEX(J:J,MATCH($T181,$A:$A,0)),0),INDEX(PREVIVAZ!$C155:$N155,1,MATCH(Z$27,PREVIVAZ!$C$1:$N$1,1)))</f>
        <v>#N/A</v>
      </c>
      <c r="AA181" s="202" t="e">
        <f ca="1">IFERROR(ROUND(INDEX(K:K,MATCH($T181,$A:$A,0)),0),INDEX(PREVIVAZ!$C155:$N155,1,MATCH(AA$27,PREVIVAZ!$C$1:$N$1,1)))</f>
        <v>#N/A</v>
      </c>
      <c r="AB181" s="202" t="e">
        <f ca="1">IFERROR(ROUND(INDEX(L:L,MATCH($T181,$A:$A,0)),0),INDEX(PREVIVAZ!$C155:$N155,1,MATCH(AB$27,PREVIVAZ!$C$1:$N$1,1)))</f>
        <v>#N/A</v>
      </c>
      <c r="AC181" s="202" t="e">
        <f ca="1">IFERROR(ROUND(INDEX(M:M,MATCH($T181,$A:$A,0)),0),INDEX(PREVIVAZ!$C155:$N155,1,MATCH(AC$27,PREVIVAZ!$C$1:$N$1,1)))</f>
        <v>#N/A</v>
      </c>
      <c r="AD181" s="202" t="e">
        <f ca="1">IFERROR(ROUND(INDEX(N:N,MATCH($T181,$A:$A,0)),0),INDEX(PREVIVAZ!$C155:$N155,1,MATCH(AD$27,PREVIVAZ!$C$1:$N$1,1)))</f>
        <v>#N/A</v>
      </c>
      <c r="AE181" s="202" t="e">
        <f ca="1">IFERROR(ROUND(INDEX(O:O,MATCH($T181,$A:$A,0)),0),INDEX(PREVIVAZ!$C155:$N155,1,MATCH(AE$27,PREVIVAZ!$C$1:$N$1,1)))</f>
        <v>#N/A</v>
      </c>
      <c r="AF181" s="202" t="e">
        <f ca="1">IFERROR(ROUND(INDEX(P:P,MATCH($T181,$A:$A,0)),0),INDEX(PREVIVAZ!$C155:$N155,1,MATCH(AF$27,PREVIVAZ!$C$1:$N$1,1)))</f>
        <v>#N/A</v>
      </c>
      <c r="AG181" s="202" t="e">
        <f ca="1">IFERROR(ROUND(INDEX(Q:Q,MATCH($T181,$A:$A,0)),0),INDEX(PREVIVAZ!$C155:$N155,1,MATCH(AG$27,PREVIVAZ!$C$1:$N$1,1)))</f>
        <v>#N/A</v>
      </c>
    </row>
    <row r="182" spans="15:33" ht="12.75" x14ac:dyDescent="0.2">
      <c r="O182"/>
      <c r="P182"/>
      <c r="Q182"/>
      <c r="R182"/>
      <c r="S182"/>
      <c r="T182" s="272">
        <v>155</v>
      </c>
      <c r="V182" s="202">
        <f ca="1">IFERROR(ROUND(INDEX(F:F,MATCH($T182,$A:$A,0)),0),INDEX(PREVIVAZ!$C156:$N156,1,MATCH(V$27,PREVIVAZ!$C$1:$N$1,1)))</f>
        <v>0</v>
      </c>
      <c r="W182" s="202">
        <f ca="1">IFERROR(ROUND(INDEX(G:G,MATCH($T182,$A:$A,0)),0),INDEX(PREVIVAZ!$C156:$N156,1,MATCH(W$27,PREVIVAZ!$C$1:$N$1,1)))</f>
        <v>0</v>
      </c>
      <c r="X182" s="202">
        <f ca="1">IFERROR(ROUND(INDEX(H:H,MATCH($T182,$A:$A,0)),0),INDEX(PREVIVAZ!$C156:$N156,1,MATCH(X$27,PREVIVAZ!$C$1:$N$1,1)))</f>
        <v>0</v>
      </c>
      <c r="Y182" s="202">
        <f ca="1">IFERROR(ROUND(INDEX(I:I,MATCH($T182,$A:$A,0)),0),INDEX(PREVIVAZ!$C156:$N156,1,MATCH(Y$27,PREVIVAZ!$C$1:$N$1,1)))</f>
        <v>0</v>
      </c>
      <c r="Z182" s="202">
        <f ca="1">IFERROR(ROUND(INDEX(J:J,MATCH($T182,$A:$A,0)),0),INDEX(PREVIVAZ!$C156:$N156,1,MATCH(Z$27,PREVIVAZ!$C$1:$N$1,1)))</f>
        <v>0</v>
      </c>
      <c r="AA182" s="202">
        <f ca="1">IFERROR(ROUND(INDEX(K:K,MATCH($T182,$A:$A,0)),0),INDEX(PREVIVAZ!$C156:$N156,1,MATCH(AA$27,PREVIVAZ!$C$1:$N$1,1)))</f>
        <v>0</v>
      </c>
      <c r="AB182" s="202">
        <f ca="1">IFERROR(ROUND(INDEX(L:L,MATCH($T182,$A:$A,0)),0),INDEX(PREVIVAZ!$C156:$N156,1,MATCH(AB$27,PREVIVAZ!$C$1:$N$1,1)))</f>
        <v>0</v>
      </c>
      <c r="AC182" s="202">
        <f ca="1">IFERROR(ROUND(INDEX(M:M,MATCH($T182,$A:$A,0)),0),INDEX(PREVIVAZ!$C156:$N156,1,MATCH(AC$27,PREVIVAZ!$C$1:$N$1,1)))</f>
        <v>0</v>
      </c>
      <c r="AD182" s="202">
        <f ca="1">IFERROR(ROUND(INDEX(N:N,MATCH($T182,$A:$A,0)),0),INDEX(PREVIVAZ!$C156:$N156,1,MATCH(AD$27,PREVIVAZ!$C$1:$N$1,1)))</f>
        <v>0</v>
      </c>
      <c r="AE182" s="202">
        <f ca="1">IFERROR(ROUND(INDEX(O:O,MATCH($T182,$A:$A,0)),0),INDEX(PREVIVAZ!$C156:$N156,1,MATCH(AE$27,PREVIVAZ!$C$1:$N$1,1)))</f>
        <v>0</v>
      </c>
      <c r="AF182" s="202">
        <f ca="1">IFERROR(ROUND(INDEX(P:P,MATCH($T182,$A:$A,0)),0),INDEX(PREVIVAZ!$C156:$N156,1,MATCH(AF$27,PREVIVAZ!$C$1:$N$1,1)))</f>
        <v>0</v>
      </c>
      <c r="AG182" s="202">
        <f ca="1">IFERROR(ROUND(INDEX(Q:Q,MATCH($T182,$A:$A,0)),0),INDEX(PREVIVAZ!$C156:$N156,1,MATCH(AG$27,PREVIVAZ!$C$1:$N$1,1)))</f>
        <v>0</v>
      </c>
    </row>
    <row r="183" spans="15:33" ht="12.75" x14ac:dyDescent="0.2">
      <c r="O183"/>
      <c r="P183"/>
      <c r="Q183"/>
      <c r="R183"/>
      <c r="S183"/>
      <c r="T183" s="272">
        <v>156</v>
      </c>
      <c r="V183" s="202">
        <f ca="1">IFERROR(ROUND(INDEX(F:F,MATCH($T183,$A:$A,0)),0),INDEX(PREVIVAZ!$C157:$N157,1,MATCH(V$27,PREVIVAZ!$C$1:$N$1,1)))</f>
        <v>0</v>
      </c>
      <c r="W183" s="202">
        <f ca="1">IFERROR(ROUND(INDEX(G:G,MATCH($T183,$A:$A,0)),0),INDEX(PREVIVAZ!$C157:$N157,1,MATCH(W$27,PREVIVAZ!$C$1:$N$1,1)))</f>
        <v>0</v>
      </c>
      <c r="X183" s="202">
        <f ca="1">IFERROR(ROUND(INDEX(H:H,MATCH($T183,$A:$A,0)),0),INDEX(PREVIVAZ!$C157:$N157,1,MATCH(X$27,PREVIVAZ!$C$1:$N$1,1)))</f>
        <v>0</v>
      </c>
      <c r="Y183" s="202">
        <f ca="1">IFERROR(ROUND(INDEX(I:I,MATCH($T183,$A:$A,0)),0),INDEX(PREVIVAZ!$C157:$N157,1,MATCH(Y$27,PREVIVAZ!$C$1:$N$1,1)))</f>
        <v>0</v>
      </c>
      <c r="Z183" s="202">
        <f ca="1">IFERROR(ROUND(INDEX(J:J,MATCH($T183,$A:$A,0)),0),INDEX(PREVIVAZ!$C157:$N157,1,MATCH(Z$27,PREVIVAZ!$C$1:$N$1,1)))</f>
        <v>0</v>
      </c>
      <c r="AA183" s="202">
        <f ca="1">IFERROR(ROUND(INDEX(K:K,MATCH($T183,$A:$A,0)),0),INDEX(PREVIVAZ!$C157:$N157,1,MATCH(AA$27,PREVIVAZ!$C$1:$N$1,1)))</f>
        <v>0</v>
      </c>
      <c r="AB183" s="202">
        <f ca="1">IFERROR(ROUND(INDEX(L:L,MATCH($T183,$A:$A,0)),0),INDEX(PREVIVAZ!$C157:$N157,1,MATCH(AB$27,PREVIVAZ!$C$1:$N$1,1)))</f>
        <v>0</v>
      </c>
      <c r="AC183" s="202">
        <f ca="1">IFERROR(ROUND(INDEX(M:M,MATCH($T183,$A:$A,0)),0),INDEX(PREVIVAZ!$C157:$N157,1,MATCH(AC$27,PREVIVAZ!$C$1:$N$1,1)))</f>
        <v>0</v>
      </c>
      <c r="AD183" s="202">
        <f ca="1">IFERROR(ROUND(INDEX(N:N,MATCH($T183,$A:$A,0)),0),INDEX(PREVIVAZ!$C157:$N157,1,MATCH(AD$27,PREVIVAZ!$C$1:$N$1,1)))</f>
        <v>0</v>
      </c>
      <c r="AE183" s="202">
        <f ca="1">IFERROR(ROUND(INDEX(O:O,MATCH($T183,$A:$A,0)),0),INDEX(PREVIVAZ!$C157:$N157,1,MATCH(AE$27,PREVIVAZ!$C$1:$N$1,1)))</f>
        <v>0</v>
      </c>
      <c r="AF183" s="202">
        <f ca="1">IFERROR(ROUND(INDEX(P:P,MATCH($T183,$A:$A,0)),0),INDEX(PREVIVAZ!$C157:$N157,1,MATCH(AF$27,PREVIVAZ!$C$1:$N$1,1)))</f>
        <v>0</v>
      </c>
      <c r="AG183" s="202">
        <f ca="1">IFERROR(ROUND(INDEX(Q:Q,MATCH($T183,$A:$A,0)),0),INDEX(PREVIVAZ!$C157:$N157,1,MATCH(AG$27,PREVIVAZ!$C$1:$N$1,1)))</f>
        <v>0</v>
      </c>
    </row>
    <row r="184" spans="15:33" ht="12.75" x14ac:dyDescent="0.2">
      <c r="O184"/>
      <c r="P184"/>
      <c r="Q184"/>
      <c r="R184"/>
      <c r="S184"/>
      <c r="T184" s="272">
        <v>157</v>
      </c>
      <c r="V184" s="202" t="e">
        <f ca="1">IFERROR(ROUND(INDEX(F:F,MATCH($T184,$A:$A,0)),0),INDEX(PREVIVAZ!$C158:$N158,1,MATCH(V$27,PREVIVAZ!$C$1:$N$1,1)))</f>
        <v>#N/A</v>
      </c>
      <c r="W184" s="202" t="e">
        <f ca="1">IFERROR(ROUND(INDEX(G:G,MATCH($T184,$A:$A,0)),0),INDEX(PREVIVAZ!$C158:$N158,1,MATCH(W$27,PREVIVAZ!$C$1:$N$1,1)))</f>
        <v>#N/A</v>
      </c>
      <c r="X184" s="202" t="e">
        <f ca="1">IFERROR(ROUND(INDEX(H:H,MATCH($T184,$A:$A,0)),0),INDEX(PREVIVAZ!$C158:$N158,1,MATCH(X$27,PREVIVAZ!$C$1:$N$1,1)))</f>
        <v>#N/A</v>
      </c>
      <c r="Y184" s="202" t="e">
        <f ca="1">IFERROR(ROUND(INDEX(I:I,MATCH($T184,$A:$A,0)),0),INDEX(PREVIVAZ!$C158:$N158,1,MATCH(Y$27,PREVIVAZ!$C$1:$N$1,1)))</f>
        <v>#N/A</v>
      </c>
      <c r="Z184" s="202" t="e">
        <f ca="1">IFERROR(ROUND(INDEX(J:J,MATCH($T184,$A:$A,0)),0),INDEX(PREVIVAZ!$C158:$N158,1,MATCH(Z$27,PREVIVAZ!$C$1:$N$1,1)))</f>
        <v>#N/A</v>
      </c>
      <c r="AA184" s="202" t="e">
        <f ca="1">IFERROR(ROUND(INDEX(K:K,MATCH($T184,$A:$A,0)),0),INDEX(PREVIVAZ!$C158:$N158,1,MATCH(AA$27,PREVIVAZ!$C$1:$N$1,1)))</f>
        <v>#N/A</v>
      </c>
      <c r="AB184" s="202" t="e">
        <f ca="1">IFERROR(ROUND(INDEX(L:L,MATCH($T184,$A:$A,0)),0),INDEX(PREVIVAZ!$C158:$N158,1,MATCH(AB$27,PREVIVAZ!$C$1:$N$1,1)))</f>
        <v>#N/A</v>
      </c>
      <c r="AC184" s="202" t="e">
        <f ca="1">IFERROR(ROUND(INDEX(M:M,MATCH($T184,$A:$A,0)),0),INDEX(PREVIVAZ!$C158:$N158,1,MATCH(AC$27,PREVIVAZ!$C$1:$N$1,1)))</f>
        <v>#N/A</v>
      </c>
      <c r="AD184" s="202" t="e">
        <f ca="1">IFERROR(ROUND(INDEX(N:N,MATCH($T184,$A:$A,0)),0),INDEX(PREVIVAZ!$C158:$N158,1,MATCH(AD$27,PREVIVAZ!$C$1:$N$1,1)))</f>
        <v>#N/A</v>
      </c>
      <c r="AE184" s="202" t="e">
        <f ca="1">IFERROR(ROUND(INDEX(O:O,MATCH($T184,$A:$A,0)),0),INDEX(PREVIVAZ!$C158:$N158,1,MATCH(AE$27,PREVIVAZ!$C$1:$N$1,1)))</f>
        <v>#N/A</v>
      </c>
      <c r="AF184" s="202" t="e">
        <f ca="1">IFERROR(ROUND(INDEX(P:P,MATCH($T184,$A:$A,0)),0),INDEX(PREVIVAZ!$C158:$N158,1,MATCH(AF$27,PREVIVAZ!$C$1:$N$1,1)))</f>
        <v>#N/A</v>
      </c>
      <c r="AG184" s="202" t="e">
        <f ca="1">IFERROR(ROUND(INDEX(Q:Q,MATCH($T184,$A:$A,0)),0),INDEX(PREVIVAZ!$C158:$N158,1,MATCH(AG$27,PREVIVAZ!$C$1:$N$1,1)))</f>
        <v>#N/A</v>
      </c>
    </row>
    <row r="185" spans="15:33" ht="12.75" x14ac:dyDescent="0.2">
      <c r="O185"/>
      <c r="P185"/>
      <c r="Q185"/>
      <c r="R185"/>
      <c r="S185"/>
      <c r="T185" s="272">
        <v>158</v>
      </c>
      <c r="V185" s="202">
        <f ca="1">IFERROR(ROUND(INDEX(F:F,MATCH($T185,$A:$A,0)),0),INDEX(PREVIVAZ!$C159:$N159,1,MATCH(V$27,PREVIVAZ!$C$1:$N$1,1)))</f>
        <v>0</v>
      </c>
      <c r="W185" s="202">
        <f ca="1">IFERROR(ROUND(INDEX(G:G,MATCH($T185,$A:$A,0)),0),INDEX(PREVIVAZ!$C159:$N159,1,MATCH(W$27,PREVIVAZ!$C$1:$N$1,1)))</f>
        <v>0</v>
      </c>
      <c r="X185" s="202">
        <f ca="1">IFERROR(ROUND(INDEX(H:H,MATCH($T185,$A:$A,0)),0),INDEX(PREVIVAZ!$C159:$N159,1,MATCH(X$27,PREVIVAZ!$C$1:$N$1,1)))</f>
        <v>0</v>
      </c>
      <c r="Y185" s="202">
        <f ca="1">IFERROR(ROUND(INDEX(I:I,MATCH($T185,$A:$A,0)),0),INDEX(PREVIVAZ!$C159:$N159,1,MATCH(Y$27,PREVIVAZ!$C$1:$N$1,1)))</f>
        <v>0</v>
      </c>
      <c r="Z185" s="202">
        <f ca="1">IFERROR(ROUND(INDEX(J:J,MATCH($T185,$A:$A,0)),0),INDEX(PREVIVAZ!$C159:$N159,1,MATCH(Z$27,PREVIVAZ!$C$1:$N$1,1)))</f>
        <v>0</v>
      </c>
      <c r="AA185" s="202">
        <f ca="1">IFERROR(ROUND(INDEX(K:K,MATCH($T185,$A:$A,0)),0),INDEX(PREVIVAZ!$C159:$N159,1,MATCH(AA$27,PREVIVAZ!$C$1:$N$1,1)))</f>
        <v>0</v>
      </c>
      <c r="AB185" s="202">
        <f ca="1">IFERROR(ROUND(INDEX(L:L,MATCH($T185,$A:$A,0)),0),INDEX(PREVIVAZ!$C159:$N159,1,MATCH(AB$27,PREVIVAZ!$C$1:$N$1,1)))</f>
        <v>0</v>
      </c>
      <c r="AC185" s="202">
        <f ca="1">IFERROR(ROUND(INDEX(M:M,MATCH($T185,$A:$A,0)),0),INDEX(PREVIVAZ!$C159:$N159,1,MATCH(AC$27,PREVIVAZ!$C$1:$N$1,1)))</f>
        <v>0</v>
      </c>
      <c r="AD185" s="202">
        <f ca="1">IFERROR(ROUND(INDEX(N:N,MATCH($T185,$A:$A,0)),0),INDEX(PREVIVAZ!$C159:$N159,1,MATCH(AD$27,PREVIVAZ!$C$1:$N$1,1)))</f>
        <v>0</v>
      </c>
      <c r="AE185" s="202">
        <f ca="1">IFERROR(ROUND(INDEX(O:O,MATCH($T185,$A:$A,0)),0),INDEX(PREVIVAZ!$C159:$N159,1,MATCH(AE$27,PREVIVAZ!$C$1:$N$1,1)))</f>
        <v>0</v>
      </c>
      <c r="AF185" s="202">
        <f ca="1">IFERROR(ROUND(INDEX(P:P,MATCH($T185,$A:$A,0)),0),INDEX(PREVIVAZ!$C159:$N159,1,MATCH(AF$27,PREVIVAZ!$C$1:$N$1,1)))</f>
        <v>0</v>
      </c>
      <c r="AG185" s="202">
        <f ca="1">IFERROR(ROUND(INDEX(Q:Q,MATCH($T185,$A:$A,0)),0),INDEX(PREVIVAZ!$C159:$N159,1,MATCH(AG$27,PREVIVAZ!$C$1:$N$1,1)))</f>
        <v>0</v>
      </c>
    </row>
    <row r="186" spans="15:33" ht="12.75" x14ac:dyDescent="0.2">
      <c r="O186"/>
      <c r="P186"/>
      <c r="Q186"/>
      <c r="R186"/>
      <c r="S186"/>
      <c r="T186" s="272">
        <v>159</v>
      </c>
      <c r="V186" s="202" t="e">
        <f ca="1">IFERROR(ROUND(INDEX(F:F,MATCH($T186,$A:$A,0)),0),INDEX(PREVIVAZ!$C160:$N160,1,MATCH(V$27,PREVIVAZ!$C$1:$N$1,1)))</f>
        <v>#N/A</v>
      </c>
      <c r="W186" s="202" t="e">
        <f ca="1">IFERROR(ROUND(INDEX(G:G,MATCH($T186,$A:$A,0)),0),INDEX(PREVIVAZ!$C160:$N160,1,MATCH(W$27,PREVIVAZ!$C$1:$N$1,1)))</f>
        <v>#N/A</v>
      </c>
      <c r="X186" s="202" t="e">
        <f ca="1">IFERROR(ROUND(INDEX(H:H,MATCH($T186,$A:$A,0)),0),INDEX(PREVIVAZ!$C160:$N160,1,MATCH(X$27,PREVIVAZ!$C$1:$N$1,1)))</f>
        <v>#N/A</v>
      </c>
      <c r="Y186" s="202" t="e">
        <f ca="1">IFERROR(ROUND(INDEX(I:I,MATCH($T186,$A:$A,0)),0),INDEX(PREVIVAZ!$C160:$N160,1,MATCH(Y$27,PREVIVAZ!$C$1:$N$1,1)))</f>
        <v>#N/A</v>
      </c>
      <c r="Z186" s="202" t="e">
        <f ca="1">IFERROR(ROUND(INDEX(J:J,MATCH($T186,$A:$A,0)),0),INDEX(PREVIVAZ!$C160:$N160,1,MATCH(Z$27,PREVIVAZ!$C$1:$N$1,1)))</f>
        <v>#N/A</v>
      </c>
      <c r="AA186" s="202" t="e">
        <f ca="1">IFERROR(ROUND(INDEX(K:K,MATCH($T186,$A:$A,0)),0),INDEX(PREVIVAZ!$C160:$N160,1,MATCH(AA$27,PREVIVAZ!$C$1:$N$1,1)))</f>
        <v>#N/A</v>
      </c>
      <c r="AB186" s="202" t="e">
        <f ca="1">IFERROR(ROUND(INDEX(L:L,MATCH($T186,$A:$A,0)),0),INDEX(PREVIVAZ!$C160:$N160,1,MATCH(AB$27,PREVIVAZ!$C$1:$N$1,1)))</f>
        <v>#N/A</v>
      </c>
      <c r="AC186" s="202" t="e">
        <f ca="1">IFERROR(ROUND(INDEX(M:M,MATCH($T186,$A:$A,0)),0),INDEX(PREVIVAZ!$C160:$N160,1,MATCH(AC$27,PREVIVAZ!$C$1:$N$1,1)))</f>
        <v>#N/A</v>
      </c>
      <c r="AD186" s="202" t="e">
        <f ca="1">IFERROR(ROUND(INDEX(N:N,MATCH($T186,$A:$A,0)),0),INDEX(PREVIVAZ!$C160:$N160,1,MATCH(AD$27,PREVIVAZ!$C$1:$N$1,1)))</f>
        <v>#N/A</v>
      </c>
      <c r="AE186" s="202" t="e">
        <f ca="1">IFERROR(ROUND(INDEX(O:O,MATCH($T186,$A:$A,0)),0),INDEX(PREVIVAZ!$C160:$N160,1,MATCH(AE$27,PREVIVAZ!$C$1:$N$1,1)))</f>
        <v>#N/A</v>
      </c>
      <c r="AF186" s="202" t="e">
        <f ca="1">IFERROR(ROUND(INDEX(P:P,MATCH($T186,$A:$A,0)),0),INDEX(PREVIVAZ!$C160:$N160,1,MATCH(AF$27,PREVIVAZ!$C$1:$N$1,1)))</f>
        <v>#N/A</v>
      </c>
      <c r="AG186" s="202" t="e">
        <f ca="1">IFERROR(ROUND(INDEX(Q:Q,MATCH($T186,$A:$A,0)),0),INDEX(PREVIVAZ!$C160:$N160,1,MATCH(AG$27,PREVIVAZ!$C$1:$N$1,1)))</f>
        <v>#N/A</v>
      </c>
    </row>
    <row r="187" spans="15:33" ht="12.75" x14ac:dyDescent="0.2">
      <c r="O187"/>
      <c r="P187"/>
      <c r="Q187"/>
      <c r="R187"/>
      <c r="S187"/>
      <c r="T187" s="272">
        <v>160</v>
      </c>
      <c r="V187" s="202">
        <f ca="1">IFERROR(ROUND(INDEX(F:F,MATCH($T187,$A:$A,0)),0),INDEX(PREVIVAZ!$C161:$N161,1,MATCH(V$27,PREVIVAZ!$C$1:$N$1,1)))</f>
        <v>0</v>
      </c>
      <c r="W187" s="202">
        <f ca="1">IFERROR(ROUND(INDEX(G:G,MATCH($T187,$A:$A,0)),0),INDEX(PREVIVAZ!$C161:$N161,1,MATCH(W$27,PREVIVAZ!$C$1:$N$1,1)))</f>
        <v>0</v>
      </c>
      <c r="X187" s="202">
        <f ca="1">IFERROR(ROUND(INDEX(H:H,MATCH($T187,$A:$A,0)),0),INDEX(PREVIVAZ!$C161:$N161,1,MATCH(X$27,PREVIVAZ!$C$1:$N$1,1)))</f>
        <v>0</v>
      </c>
      <c r="Y187" s="202">
        <f ca="1">IFERROR(ROUND(INDEX(I:I,MATCH($T187,$A:$A,0)),0),INDEX(PREVIVAZ!$C161:$N161,1,MATCH(Y$27,PREVIVAZ!$C$1:$N$1,1)))</f>
        <v>0</v>
      </c>
      <c r="Z187" s="202">
        <f ca="1">IFERROR(ROUND(INDEX(J:J,MATCH($T187,$A:$A,0)),0),INDEX(PREVIVAZ!$C161:$N161,1,MATCH(Z$27,PREVIVAZ!$C$1:$N$1,1)))</f>
        <v>0</v>
      </c>
      <c r="AA187" s="202">
        <f ca="1">IFERROR(ROUND(INDEX(K:K,MATCH($T187,$A:$A,0)),0),INDEX(PREVIVAZ!$C161:$N161,1,MATCH(AA$27,PREVIVAZ!$C$1:$N$1,1)))</f>
        <v>0</v>
      </c>
      <c r="AB187" s="202">
        <f ca="1">IFERROR(ROUND(INDEX(L:L,MATCH($T187,$A:$A,0)),0),INDEX(PREVIVAZ!$C161:$N161,1,MATCH(AB$27,PREVIVAZ!$C$1:$N$1,1)))</f>
        <v>0</v>
      </c>
      <c r="AC187" s="202">
        <f ca="1">IFERROR(ROUND(INDEX(M:M,MATCH($T187,$A:$A,0)),0),INDEX(PREVIVAZ!$C161:$N161,1,MATCH(AC$27,PREVIVAZ!$C$1:$N$1,1)))</f>
        <v>0</v>
      </c>
      <c r="AD187" s="202">
        <f ca="1">IFERROR(ROUND(INDEX(N:N,MATCH($T187,$A:$A,0)),0),INDEX(PREVIVAZ!$C161:$N161,1,MATCH(AD$27,PREVIVAZ!$C$1:$N$1,1)))</f>
        <v>0</v>
      </c>
      <c r="AE187" s="202">
        <f ca="1">IFERROR(ROUND(INDEX(O:O,MATCH($T187,$A:$A,0)),0),INDEX(PREVIVAZ!$C161:$N161,1,MATCH(AE$27,PREVIVAZ!$C$1:$N$1,1)))</f>
        <v>0</v>
      </c>
      <c r="AF187" s="202">
        <f ca="1">IFERROR(ROUND(INDEX(P:P,MATCH($T187,$A:$A,0)),0),INDEX(PREVIVAZ!$C161:$N161,1,MATCH(AF$27,PREVIVAZ!$C$1:$N$1,1)))</f>
        <v>0</v>
      </c>
      <c r="AG187" s="202">
        <f ca="1">IFERROR(ROUND(INDEX(Q:Q,MATCH($T187,$A:$A,0)),0),INDEX(PREVIVAZ!$C161:$N161,1,MATCH(AG$27,PREVIVAZ!$C$1:$N$1,1)))</f>
        <v>0</v>
      </c>
    </row>
    <row r="188" spans="15:33" ht="12.75" x14ac:dyDescent="0.2">
      <c r="O188"/>
      <c r="P188"/>
      <c r="Q188"/>
      <c r="R188"/>
      <c r="S188"/>
      <c r="T188" s="272">
        <v>161</v>
      </c>
      <c r="V188" s="202">
        <f ca="1">IFERROR(ROUND(INDEX(F:F,MATCH($T188,$A:$A,0)),0),INDEX(PREVIVAZ!$C162:$N162,1,MATCH(V$27,PREVIVAZ!$C$1:$N$1,1)))</f>
        <v>0</v>
      </c>
      <c r="W188" s="202">
        <f ca="1">IFERROR(ROUND(INDEX(G:G,MATCH($T188,$A:$A,0)),0),INDEX(PREVIVAZ!$C162:$N162,1,MATCH(W$27,PREVIVAZ!$C$1:$N$1,1)))</f>
        <v>0</v>
      </c>
      <c r="X188" s="202">
        <f ca="1">IFERROR(ROUND(INDEX(H:H,MATCH($T188,$A:$A,0)),0),INDEX(PREVIVAZ!$C162:$N162,1,MATCH(X$27,PREVIVAZ!$C$1:$N$1,1)))</f>
        <v>0</v>
      </c>
      <c r="Y188" s="202">
        <f ca="1">IFERROR(ROUND(INDEX(I:I,MATCH($T188,$A:$A,0)),0),INDEX(PREVIVAZ!$C162:$N162,1,MATCH(Y$27,PREVIVAZ!$C$1:$N$1,1)))</f>
        <v>0</v>
      </c>
      <c r="Z188" s="202">
        <f ca="1">IFERROR(ROUND(INDEX(J:J,MATCH($T188,$A:$A,0)),0),INDEX(PREVIVAZ!$C162:$N162,1,MATCH(Z$27,PREVIVAZ!$C$1:$N$1,1)))</f>
        <v>0</v>
      </c>
      <c r="AA188" s="202">
        <f ca="1">IFERROR(ROUND(INDEX(K:K,MATCH($T188,$A:$A,0)),0),INDEX(PREVIVAZ!$C162:$N162,1,MATCH(AA$27,PREVIVAZ!$C$1:$N$1,1)))</f>
        <v>0</v>
      </c>
      <c r="AB188" s="202">
        <f ca="1">IFERROR(ROUND(INDEX(L:L,MATCH($T188,$A:$A,0)),0),INDEX(PREVIVAZ!$C162:$N162,1,MATCH(AB$27,PREVIVAZ!$C$1:$N$1,1)))</f>
        <v>0</v>
      </c>
      <c r="AC188" s="202">
        <f ca="1">IFERROR(ROUND(INDEX(M:M,MATCH($T188,$A:$A,0)),0),INDEX(PREVIVAZ!$C162:$N162,1,MATCH(AC$27,PREVIVAZ!$C$1:$N$1,1)))</f>
        <v>0</v>
      </c>
      <c r="AD188" s="202">
        <f ca="1">IFERROR(ROUND(INDEX(N:N,MATCH($T188,$A:$A,0)),0),INDEX(PREVIVAZ!$C162:$N162,1,MATCH(AD$27,PREVIVAZ!$C$1:$N$1,1)))</f>
        <v>0</v>
      </c>
      <c r="AE188" s="202">
        <f ca="1">IFERROR(ROUND(INDEX(O:O,MATCH($T188,$A:$A,0)),0),INDEX(PREVIVAZ!$C162:$N162,1,MATCH(AE$27,PREVIVAZ!$C$1:$N$1,1)))</f>
        <v>0</v>
      </c>
      <c r="AF188" s="202">
        <f ca="1">IFERROR(ROUND(INDEX(P:P,MATCH($T188,$A:$A,0)),0),INDEX(PREVIVAZ!$C162:$N162,1,MATCH(AF$27,PREVIVAZ!$C$1:$N$1,1)))</f>
        <v>0</v>
      </c>
      <c r="AG188" s="202">
        <f ca="1">IFERROR(ROUND(INDEX(Q:Q,MATCH($T188,$A:$A,0)),0),INDEX(PREVIVAZ!$C162:$N162,1,MATCH(AG$27,PREVIVAZ!$C$1:$N$1,1)))</f>
        <v>0</v>
      </c>
    </row>
    <row r="189" spans="15:33" ht="12.75" x14ac:dyDescent="0.2">
      <c r="O189"/>
      <c r="P189"/>
      <c r="Q189"/>
      <c r="R189"/>
      <c r="S189"/>
      <c r="T189" s="272">
        <v>162</v>
      </c>
      <c r="V189" s="202" t="e">
        <f ca="1">IFERROR(ROUND(INDEX(F:F,MATCH($T189,$A:$A,0)),0),INDEX(PREVIVAZ!$C163:$N163,1,MATCH(V$27,PREVIVAZ!$C$1:$N$1,1)))</f>
        <v>#N/A</v>
      </c>
      <c r="W189" s="202" t="e">
        <f ca="1">IFERROR(ROUND(INDEX(G:G,MATCH($T189,$A:$A,0)),0),INDEX(PREVIVAZ!$C163:$N163,1,MATCH(W$27,PREVIVAZ!$C$1:$N$1,1)))</f>
        <v>#N/A</v>
      </c>
      <c r="X189" s="202" t="e">
        <f ca="1">IFERROR(ROUND(INDEX(H:H,MATCH($T189,$A:$A,0)),0),INDEX(PREVIVAZ!$C163:$N163,1,MATCH(X$27,PREVIVAZ!$C$1:$N$1,1)))</f>
        <v>#N/A</v>
      </c>
      <c r="Y189" s="202" t="e">
        <f ca="1">IFERROR(ROUND(INDEX(I:I,MATCH($T189,$A:$A,0)),0),INDEX(PREVIVAZ!$C163:$N163,1,MATCH(Y$27,PREVIVAZ!$C$1:$N$1,1)))</f>
        <v>#N/A</v>
      </c>
      <c r="Z189" s="202" t="e">
        <f ca="1">IFERROR(ROUND(INDEX(J:J,MATCH($T189,$A:$A,0)),0),INDEX(PREVIVAZ!$C163:$N163,1,MATCH(Z$27,PREVIVAZ!$C$1:$N$1,1)))</f>
        <v>#N/A</v>
      </c>
      <c r="AA189" s="202" t="e">
        <f ca="1">IFERROR(ROUND(INDEX(K:K,MATCH($T189,$A:$A,0)),0),INDEX(PREVIVAZ!$C163:$N163,1,MATCH(AA$27,PREVIVAZ!$C$1:$N$1,1)))</f>
        <v>#N/A</v>
      </c>
      <c r="AB189" s="202" t="e">
        <f ca="1">IFERROR(ROUND(INDEX(L:L,MATCH($T189,$A:$A,0)),0),INDEX(PREVIVAZ!$C163:$N163,1,MATCH(AB$27,PREVIVAZ!$C$1:$N$1,1)))</f>
        <v>#N/A</v>
      </c>
      <c r="AC189" s="202" t="e">
        <f ca="1">IFERROR(ROUND(INDEX(M:M,MATCH($T189,$A:$A,0)),0),INDEX(PREVIVAZ!$C163:$N163,1,MATCH(AC$27,PREVIVAZ!$C$1:$N$1,1)))</f>
        <v>#N/A</v>
      </c>
      <c r="AD189" s="202" t="e">
        <f ca="1">IFERROR(ROUND(INDEX(N:N,MATCH($T189,$A:$A,0)),0),INDEX(PREVIVAZ!$C163:$N163,1,MATCH(AD$27,PREVIVAZ!$C$1:$N$1,1)))</f>
        <v>#N/A</v>
      </c>
      <c r="AE189" s="202" t="e">
        <f ca="1">IFERROR(ROUND(INDEX(O:O,MATCH($T189,$A:$A,0)),0),INDEX(PREVIVAZ!$C163:$N163,1,MATCH(AE$27,PREVIVAZ!$C$1:$N$1,1)))</f>
        <v>#N/A</v>
      </c>
      <c r="AF189" s="202" t="e">
        <f ca="1">IFERROR(ROUND(INDEX(P:P,MATCH($T189,$A:$A,0)),0),INDEX(PREVIVAZ!$C163:$N163,1,MATCH(AF$27,PREVIVAZ!$C$1:$N$1,1)))</f>
        <v>#N/A</v>
      </c>
      <c r="AG189" s="202" t="e">
        <f ca="1">IFERROR(ROUND(INDEX(Q:Q,MATCH($T189,$A:$A,0)),0),INDEX(PREVIVAZ!$C163:$N163,1,MATCH(AG$27,PREVIVAZ!$C$1:$N$1,1)))</f>
        <v>#N/A</v>
      </c>
    </row>
    <row r="190" spans="15:33" ht="12.75" x14ac:dyDescent="0.2">
      <c r="O190"/>
      <c r="P190"/>
      <c r="Q190"/>
      <c r="R190"/>
      <c r="S190"/>
      <c r="T190" s="272">
        <v>163</v>
      </c>
      <c r="V190" s="202" t="e">
        <f ca="1">IFERROR(ROUND(INDEX(F:F,MATCH($T190,$A:$A,0)),0),INDEX(PREVIVAZ!$C164:$N164,1,MATCH(V$27,PREVIVAZ!$C$1:$N$1,1)))</f>
        <v>#N/A</v>
      </c>
      <c r="W190" s="202" t="e">
        <f ca="1">IFERROR(ROUND(INDEX(G:G,MATCH($T190,$A:$A,0)),0),INDEX(PREVIVAZ!$C164:$N164,1,MATCH(W$27,PREVIVAZ!$C$1:$N$1,1)))</f>
        <v>#N/A</v>
      </c>
      <c r="X190" s="202" t="e">
        <f ca="1">IFERROR(ROUND(INDEX(H:H,MATCH($T190,$A:$A,0)),0),INDEX(PREVIVAZ!$C164:$N164,1,MATCH(X$27,PREVIVAZ!$C$1:$N$1,1)))</f>
        <v>#N/A</v>
      </c>
      <c r="Y190" s="202" t="e">
        <f ca="1">IFERROR(ROUND(INDEX(I:I,MATCH($T190,$A:$A,0)),0),INDEX(PREVIVAZ!$C164:$N164,1,MATCH(Y$27,PREVIVAZ!$C$1:$N$1,1)))</f>
        <v>#N/A</v>
      </c>
      <c r="Z190" s="202" t="e">
        <f ca="1">IFERROR(ROUND(INDEX(J:J,MATCH($T190,$A:$A,0)),0),INDEX(PREVIVAZ!$C164:$N164,1,MATCH(Z$27,PREVIVAZ!$C$1:$N$1,1)))</f>
        <v>#N/A</v>
      </c>
      <c r="AA190" s="202" t="e">
        <f ca="1">IFERROR(ROUND(INDEX(K:K,MATCH($T190,$A:$A,0)),0),INDEX(PREVIVAZ!$C164:$N164,1,MATCH(AA$27,PREVIVAZ!$C$1:$N$1,1)))</f>
        <v>#N/A</v>
      </c>
      <c r="AB190" s="202" t="e">
        <f ca="1">IFERROR(ROUND(INDEX(L:L,MATCH($T190,$A:$A,0)),0),INDEX(PREVIVAZ!$C164:$N164,1,MATCH(AB$27,PREVIVAZ!$C$1:$N$1,1)))</f>
        <v>#N/A</v>
      </c>
      <c r="AC190" s="202" t="e">
        <f ca="1">IFERROR(ROUND(INDEX(M:M,MATCH($T190,$A:$A,0)),0),INDEX(PREVIVAZ!$C164:$N164,1,MATCH(AC$27,PREVIVAZ!$C$1:$N$1,1)))</f>
        <v>#N/A</v>
      </c>
      <c r="AD190" s="202" t="e">
        <f ca="1">IFERROR(ROUND(INDEX(N:N,MATCH($T190,$A:$A,0)),0),INDEX(PREVIVAZ!$C164:$N164,1,MATCH(AD$27,PREVIVAZ!$C$1:$N$1,1)))</f>
        <v>#N/A</v>
      </c>
      <c r="AE190" s="202" t="e">
        <f ca="1">IFERROR(ROUND(INDEX(O:O,MATCH($T190,$A:$A,0)),0),INDEX(PREVIVAZ!$C164:$N164,1,MATCH(AE$27,PREVIVAZ!$C$1:$N$1,1)))</f>
        <v>#N/A</v>
      </c>
      <c r="AF190" s="202" t="e">
        <f ca="1">IFERROR(ROUND(INDEX(P:P,MATCH($T190,$A:$A,0)),0),INDEX(PREVIVAZ!$C164:$N164,1,MATCH(AF$27,PREVIVAZ!$C$1:$N$1,1)))</f>
        <v>#N/A</v>
      </c>
      <c r="AG190" s="202" t="e">
        <f ca="1">IFERROR(ROUND(INDEX(Q:Q,MATCH($T190,$A:$A,0)),0),INDEX(PREVIVAZ!$C164:$N164,1,MATCH(AG$27,PREVIVAZ!$C$1:$N$1,1)))</f>
        <v>#N/A</v>
      </c>
    </row>
    <row r="191" spans="15:33" ht="12.75" x14ac:dyDescent="0.2">
      <c r="O191"/>
      <c r="P191"/>
      <c r="Q191"/>
      <c r="R191"/>
      <c r="S191"/>
      <c r="T191" s="272">
        <v>164</v>
      </c>
      <c r="V191" s="202" t="e">
        <f ca="1">IFERROR(ROUND(INDEX(F:F,MATCH($T191,$A:$A,0)),0),INDEX(PREVIVAZ!$C165:$N165,1,MATCH(V$27,PREVIVAZ!$C$1:$N$1,1)))</f>
        <v>#N/A</v>
      </c>
      <c r="W191" s="202" t="e">
        <f ca="1">IFERROR(ROUND(INDEX(G:G,MATCH($T191,$A:$A,0)),0),INDEX(PREVIVAZ!$C165:$N165,1,MATCH(W$27,PREVIVAZ!$C$1:$N$1,1)))</f>
        <v>#N/A</v>
      </c>
      <c r="X191" s="202" t="e">
        <f ca="1">IFERROR(ROUND(INDEX(H:H,MATCH($T191,$A:$A,0)),0),INDEX(PREVIVAZ!$C165:$N165,1,MATCH(X$27,PREVIVAZ!$C$1:$N$1,1)))</f>
        <v>#N/A</v>
      </c>
      <c r="Y191" s="202" t="e">
        <f ca="1">IFERROR(ROUND(INDEX(I:I,MATCH($T191,$A:$A,0)),0),INDEX(PREVIVAZ!$C165:$N165,1,MATCH(Y$27,PREVIVAZ!$C$1:$N$1,1)))</f>
        <v>#N/A</v>
      </c>
      <c r="Z191" s="202" t="e">
        <f ca="1">IFERROR(ROUND(INDEX(J:J,MATCH($T191,$A:$A,0)),0),INDEX(PREVIVAZ!$C165:$N165,1,MATCH(Z$27,PREVIVAZ!$C$1:$N$1,1)))</f>
        <v>#N/A</v>
      </c>
      <c r="AA191" s="202" t="e">
        <f ca="1">IFERROR(ROUND(INDEX(K:K,MATCH($T191,$A:$A,0)),0),INDEX(PREVIVAZ!$C165:$N165,1,MATCH(AA$27,PREVIVAZ!$C$1:$N$1,1)))</f>
        <v>#N/A</v>
      </c>
      <c r="AB191" s="202" t="e">
        <f ca="1">IFERROR(ROUND(INDEX(L:L,MATCH($T191,$A:$A,0)),0),INDEX(PREVIVAZ!$C165:$N165,1,MATCH(AB$27,PREVIVAZ!$C$1:$N$1,1)))</f>
        <v>#N/A</v>
      </c>
      <c r="AC191" s="202" t="e">
        <f ca="1">IFERROR(ROUND(INDEX(M:M,MATCH($T191,$A:$A,0)),0),INDEX(PREVIVAZ!$C165:$N165,1,MATCH(AC$27,PREVIVAZ!$C$1:$N$1,1)))</f>
        <v>#N/A</v>
      </c>
      <c r="AD191" s="202" t="e">
        <f ca="1">IFERROR(ROUND(INDEX(N:N,MATCH($T191,$A:$A,0)),0),INDEX(PREVIVAZ!$C165:$N165,1,MATCH(AD$27,PREVIVAZ!$C$1:$N$1,1)))</f>
        <v>#N/A</v>
      </c>
      <c r="AE191" s="202" t="e">
        <f ca="1">IFERROR(ROUND(INDEX(O:O,MATCH($T191,$A:$A,0)),0),INDEX(PREVIVAZ!$C165:$N165,1,MATCH(AE$27,PREVIVAZ!$C$1:$N$1,1)))</f>
        <v>#N/A</v>
      </c>
      <c r="AF191" s="202" t="e">
        <f ca="1">IFERROR(ROUND(INDEX(P:P,MATCH($T191,$A:$A,0)),0),INDEX(PREVIVAZ!$C165:$N165,1,MATCH(AF$27,PREVIVAZ!$C$1:$N$1,1)))</f>
        <v>#N/A</v>
      </c>
      <c r="AG191" s="202" t="e">
        <f ca="1">IFERROR(ROUND(INDEX(Q:Q,MATCH($T191,$A:$A,0)),0),INDEX(PREVIVAZ!$C165:$N165,1,MATCH(AG$27,PREVIVAZ!$C$1:$N$1,1)))</f>
        <v>#N/A</v>
      </c>
    </row>
    <row r="192" spans="15:33" ht="12.75" x14ac:dyDescent="0.2">
      <c r="O192"/>
      <c r="P192"/>
      <c r="Q192"/>
      <c r="R192"/>
      <c r="S192"/>
      <c r="T192" s="272">
        <v>165</v>
      </c>
      <c r="V192" s="202" t="e">
        <f ca="1">IFERROR(ROUND(INDEX(F:F,MATCH($T192,$A:$A,0)),0),INDEX(PREVIVAZ!$C166:$N166,1,MATCH(V$27,PREVIVAZ!$C$1:$N$1,1)))</f>
        <v>#N/A</v>
      </c>
      <c r="W192" s="202" t="e">
        <f ca="1">IFERROR(ROUND(INDEX(G:G,MATCH($T192,$A:$A,0)),0),INDEX(PREVIVAZ!$C166:$N166,1,MATCH(W$27,PREVIVAZ!$C$1:$N$1,1)))</f>
        <v>#N/A</v>
      </c>
      <c r="X192" s="202" t="e">
        <f ca="1">IFERROR(ROUND(INDEX(H:H,MATCH($T192,$A:$A,0)),0),INDEX(PREVIVAZ!$C166:$N166,1,MATCH(X$27,PREVIVAZ!$C$1:$N$1,1)))</f>
        <v>#N/A</v>
      </c>
      <c r="Y192" s="202" t="e">
        <f ca="1">IFERROR(ROUND(INDEX(I:I,MATCH($T192,$A:$A,0)),0),INDEX(PREVIVAZ!$C166:$N166,1,MATCH(Y$27,PREVIVAZ!$C$1:$N$1,1)))</f>
        <v>#N/A</v>
      </c>
      <c r="Z192" s="202" t="e">
        <f ca="1">IFERROR(ROUND(INDEX(J:J,MATCH($T192,$A:$A,0)),0),INDEX(PREVIVAZ!$C166:$N166,1,MATCH(Z$27,PREVIVAZ!$C$1:$N$1,1)))</f>
        <v>#N/A</v>
      </c>
      <c r="AA192" s="202" t="e">
        <f ca="1">IFERROR(ROUND(INDEX(K:K,MATCH($T192,$A:$A,0)),0),INDEX(PREVIVAZ!$C166:$N166,1,MATCH(AA$27,PREVIVAZ!$C$1:$N$1,1)))</f>
        <v>#N/A</v>
      </c>
      <c r="AB192" s="202" t="e">
        <f ca="1">IFERROR(ROUND(INDEX(L:L,MATCH($T192,$A:$A,0)),0),INDEX(PREVIVAZ!$C166:$N166,1,MATCH(AB$27,PREVIVAZ!$C$1:$N$1,1)))</f>
        <v>#N/A</v>
      </c>
      <c r="AC192" s="202" t="e">
        <f ca="1">IFERROR(ROUND(INDEX(M:M,MATCH($T192,$A:$A,0)),0),INDEX(PREVIVAZ!$C166:$N166,1,MATCH(AC$27,PREVIVAZ!$C$1:$N$1,1)))</f>
        <v>#N/A</v>
      </c>
      <c r="AD192" s="202" t="e">
        <f ca="1">IFERROR(ROUND(INDEX(N:N,MATCH($T192,$A:$A,0)),0),INDEX(PREVIVAZ!$C166:$N166,1,MATCH(AD$27,PREVIVAZ!$C$1:$N$1,1)))</f>
        <v>#N/A</v>
      </c>
      <c r="AE192" s="202" t="e">
        <f ca="1">IFERROR(ROUND(INDEX(O:O,MATCH($T192,$A:$A,0)),0),INDEX(PREVIVAZ!$C166:$N166,1,MATCH(AE$27,PREVIVAZ!$C$1:$N$1,1)))</f>
        <v>#N/A</v>
      </c>
      <c r="AF192" s="202" t="e">
        <f ca="1">IFERROR(ROUND(INDEX(P:P,MATCH($T192,$A:$A,0)),0),INDEX(PREVIVAZ!$C166:$N166,1,MATCH(AF$27,PREVIVAZ!$C$1:$N$1,1)))</f>
        <v>#N/A</v>
      </c>
      <c r="AG192" s="202" t="e">
        <f ca="1">IFERROR(ROUND(INDEX(Q:Q,MATCH($T192,$A:$A,0)),0),INDEX(PREVIVAZ!$C166:$N166,1,MATCH(AG$27,PREVIVAZ!$C$1:$N$1,1)))</f>
        <v>#N/A</v>
      </c>
    </row>
    <row r="193" spans="15:33" ht="12.75" x14ac:dyDescent="0.2">
      <c r="O193"/>
      <c r="P193"/>
      <c r="Q193"/>
      <c r="R193"/>
      <c r="S193"/>
      <c r="T193" s="272">
        <v>166</v>
      </c>
      <c r="V193" s="202">
        <f ca="1">IFERROR(ROUND(INDEX(F:F,MATCH($T193,$A:$A,0)),0),INDEX(PREVIVAZ!$C167:$N167,1,MATCH(V$27,PREVIVAZ!$C$1:$N$1,1)))</f>
        <v>0</v>
      </c>
      <c r="W193" s="202">
        <f ca="1">IFERROR(ROUND(INDEX(G:G,MATCH($T193,$A:$A,0)),0),INDEX(PREVIVAZ!$C167:$N167,1,MATCH(W$27,PREVIVAZ!$C$1:$N$1,1)))</f>
        <v>0</v>
      </c>
      <c r="X193" s="202">
        <f ca="1">IFERROR(ROUND(INDEX(H:H,MATCH($T193,$A:$A,0)),0),INDEX(PREVIVAZ!$C167:$N167,1,MATCH(X$27,PREVIVAZ!$C$1:$N$1,1)))</f>
        <v>0</v>
      </c>
      <c r="Y193" s="202">
        <f ca="1">IFERROR(ROUND(INDEX(I:I,MATCH($T193,$A:$A,0)),0),INDEX(PREVIVAZ!$C167:$N167,1,MATCH(Y$27,PREVIVAZ!$C$1:$N$1,1)))</f>
        <v>0</v>
      </c>
      <c r="Z193" s="202">
        <f ca="1">IFERROR(ROUND(INDEX(J:J,MATCH($T193,$A:$A,0)),0),INDEX(PREVIVAZ!$C167:$N167,1,MATCH(Z$27,PREVIVAZ!$C$1:$N$1,1)))</f>
        <v>0</v>
      </c>
      <c r="AA193" s="202">
        <f ca="1">IFERROR(ROUND(INDEX(K:K,MATCH($T193,$A:$A,0)),0),INDEX(PREVIVAZ!$C167:$N167,1,MATCH(AA$27,PREVIVAZ!$C$1:$N$1,1)))</f>
        <v>0</v>
      </c>
      <c r="AB193" s="202">
        <f ca="1">IFERROR(ROUND(INDEX(L:L,MATCH($T193,$A:$A,0)),0),INDEX(PREVIVAZ!$C167:$N167,1,MATCH(AB$27,PREVIVAZ!$C$1:$N$1,1)))</f>
        <v>0</v>
      </c>
      <c r="AC193" s="202">
        <f ca="1">IFERROR(ROUND(INDEX(M:M,MATCH($T193,$A:$A,0)),0),INDEX(PREVIVAZ!$C167:$N167,1,MATCH(AC$27,PREVIVAZ!$C$1:$N$1,1)))</f>
        <v>0</v>
      </c>
      <c r="AD193" s="202">
        <f ca="1">IFERROR(ROUND(INDEX(N:N,MATCH($T193,$A:$A,0)),0),INDEX(PREVIVAZ!$C167:$N167,1,MATCH(AD$27,PREVIVAZ!$C$1:$N$1,1)))</f>
        <v>0</v>
      </c>
      <c r="AE193" s="202">
        <f ca="1">IFERROR(ROUND(INDEX(O:O,MATCH($T193,$A:$A,0)),0),INDEX(PREVIVAZ!$C167:$N167,1,MATCH(AE$27,PREVIVAZ!$C$1:$N$1,1)))</f>
        <v>0</v>
      </c>
      <c r="AF193" s="202">
        <f ca="1">IFERROR(ROUND(INDEX(P:P,MATCH($T193,$A:$A,0)),0),INDEX(PREVIVAZ!$C167:$N167,1,MATCH(AF$27,PREVIVAZ!$C$1:$N$1,1)))</f>
        <v>0</v>
      </c>
      <c r="AG193" s="202">
        <f ca="1">IFERROR(ROUND(INDEX(Q:Q,MATCH($T193,$A:$A,0)),0),INDEX(PREVIVAZ!$C167:$N167,1,MATCH(AG$27,PREVIVAZ!$C$1:$N$1,1)))</f>
        <v>0</v>
      </c>
    </row>
    <row r="194" spans="15:33" ht="12.75" x14ac:dyDescent="0.2">
      <c r="O194"/>
      <c r="P194"/>
      <c r="Q194"/>
      <c r="R194"/>
      <c r="S194"/>
      <c r="T194" s="272">
        <v>167</v>
      </c>
      <c r="V194" s="202" t="e">
        <f ca="1">IFERROR(ROUND(INDEX(F:F,MATCH($T194,$A:$A,0)),0),INDEX(PREVIVAZ!$C168:$N168,1,MATCH(V$27,PREVIVAZ!$C$1:$N$1,1)))</f>
        <v>#N/A</v>
      </c>
      <c r="W194" s="202" t="e">
        <f ca="1">IFERROR(ROUND(INDEX(G:G,MATCH($T194,$A:$A,0)),0),INDEX(PREVIVAZ!$C168:$N168,1,MATCH(W$27,PREVIVAZ!$C$1:$N$1,1)))</f>
        <v>#N/A</v>
      </c>
      <c r="X194" s="202" t="e">
        <f ca="1">IFERROR(ROUND(INDEX(H:H,MATCH($T194,$A:$A,0)),0),INDEX(PREVIVAZ!$C168:$N168,1,MATCH(X$27,PREVIVAZ!$C$1:$N$1,1)))</f>
        <v>#N/A</v>
      </c>
      <c r="Y194" s="202" t="e">
        <f ca="1">IFERROR(ROUND(INDEX(I:I,MATCH($T194,$A:$A,0)),0),INDEX(PREVIVAZ!$C168:$N168,1,MATCH(Y$27,PREVIVAZ!$C$1:$N$1,1)))</f>
        <v>#N/A</v>
      </c>
      <c r="Z194" s="202" t="e">
        <f ca="1">IFERROR(ROUND(INDEX(J:J,MATCH($T194,$A:$A,0)),0),INDEX(PREVIVAZ!$C168:$N168,1,MATCH(Z$27,PREVIVAZ!$C$1:$N$1,1)))</f>
        <v>#N/A</v>
      </c>
      <c r="AA194" s="202" t="e">
        <f ca="1">IFERROR(ROUND(INDEX(K:K,MATCH($T194,$A:$A,0)),0),INDEX(PREVIVAZ!$C168:$N168,1,MATCH(AA$27,PREVIVAZ!$C$1:$N$1,1)))</f>
        <v>#N/A</v>
      </c>
      <c r="AB194" s="202" t="e">
        <f ca="1">IFERROR(ROUND(INDEX(L:L,MATCH($T194,$A:$A,0)),0),INDEX(PREVIVAZ!$C168:$N168,1,MATCH(AB$27,PREVIVAZ!$C$1:$N$1,1)))</f>
        <v>#N/A</v>
      </c>
      <c r="AC194" s="202" t="e">
        <f ca="1">IFERROR(ROUND(INDEX(M:M,MATCH($T194,$A:$A,0)),0),INDEX(PREVIVAZ!$C168:$N168,1,MATCH(AC$27,PREVIVAZ!$C$1:$N$1,1)))</f>
        <v>#N/A</v>
      </c>
      <c r="AD194" s="202" t="e">
        <f ca="1">IFERROR(ROUND(INDEX(N:N,MATCH($T194,$A:$A,0)),0),INDEX(PREVIVAZ!$C168:$N168,1,MATCH(AD$27,PREVIVAZ!$C$1:$N$1,1)))</f>
        <v>#N/A</v>
      </c>
      <c r="AE194" s="202" t="e">
        <f ca="1">IFERROR(ROUND(INDEX(O:O,MATCH($T194,$A:$A,0)),0),INDEX(PREVIVAZ!$C168:$N168,1,MATCH(AE$27,PREVIVAZ!$C$1:$N$1,1)))</f>
        <v>#N/A</v>
      </c>
      <c r="AF194" s="202" t="e">
        <f ca="1">IFERROR(ROUND(INDEX(P:P,MATCH($T194,$A:$A,0)),0),INDEX(PREVIVAZ!$C168:$N168,1,MATCH(AF$27,PREVIVAZ!$C$1:$N$1,1)))</f>
        <v>#N/A</v>
      </c>
      <c r="AG194" s="202" t="e">
        <f ca="1">IFERROR(ROUND(INDEX(Q:Q,MATCH($T194,$A:$A,0)),0),INDEX(PREVIVAZ!$C168:$N168,1,MATCH(AG$27,PREVIVAZ!$C$1:$N$1,1)))</f>
        <v>#N/A</v>
      </c>
    </row>
    <row r="195" spans="15:33" ht="12.75" x14ac:dyDescent="0.2">
      <c r="O195"/>
      <c r="P195"/>
      <c r="Q195"/>
      <c r="R195"/>
      <c r="S195"/>
      <c r="T195" s="272">
        <v>168</v>
      </c>
      <c r="V195" s="202" t="e">
        <f ca="1">IFERROR(ROUND(INDEX(F:F,MATCH($T195,$A:$A,0)),0),INDEX(PREVIVAZ!$C169:$N169,1,MATCH(V$27,PREVIVAZ!$C$1:$N$1,1)))</f>
        <v>#N/A</v>
      </c>
      <c r="W195" s="202" t="e">
        <f ca="1">IFERROR(ROUND(INDEX(G:G,MATCH($T195,$A:$A,0)),0),INDEX(PREVIVAZ!$C169:$N169,1,MATCH(W$27,PREVIVAZ!$C$1:$N$1,1)))</f>
        <v>#N/A</v>
      </c>
      <c r="X195" s="202" t="e">
        <f ca="1">IFERROR(ROUND(INDEX(H:H,MATCH($T195,$A:$A,0)),0),INDEX(PREVIVAZ!$C169:$N169,1,MATCH(X$27,PREVIVAZ!$C$1:$N$1,1)))</f>
        <v>#N/A</v>
      </c>
      <c r="Y195" s="202" t="e">
        <f ca="1">IFERROR(ROUND(INDEX(I:I,MATCH($T195,$A:$A,0)),0),INDEX(PREVIVAZ!$C169:$N169,1,MATCH(Y$27,PREVIVAZ!$C$1:$N$1,1)))</f>
        <v>#N/A</v>
      </c>
      <c r="Z195" s="202" t="e">
        <f ca="1">IFERROR(ROUND(INDEX(J:J,MATCH($T195,$A:$A,0)),0),INDEX(PREVIVAZ!$C169:$N169,1,MATCH(Z$27,PREVIVAZ!$C$1:$N$1,1)))</f>
        <v>#N/A</v>
      </c>
      <c r="AA195" s="202" t="e">
        <f ca="1">IFERROR(ROUND(INDEX(K:K,MATCH($T195,$A:$A,0)),0),INDEX(PREVIVAZ!$C169:$N169,1,MATCH(AA$27,PREVIVAZ!$C$1:$N$1,1)))</f>
        <v>#N/A</v>
      </c>
      <c r="AB195" s="202" t="e">
        <f ca="1">IFERROR(ROUND(INDEX(L:L,MATCH($T195,$A:$A,0)),0),INDEX(PREVIVAZ!$C169:$N169,1,MATCH(AB$27,PREVIVAZ!$C$1:$N$1,1)))</f>
        <v>#N/A</v>
      </c>
      <c r="AC195" s="202" t="e">
        <f ca="1">IFERROR(ROUND(INDEX(M:M,MATCH($T195,$A:$A,0)),0),INDEX(PREVIVAZ!$C169:$N169,1,MATCH(AC$27,PREVIVAZ!$C$1:$N$1,1)))</f>
        <v>#N/A</v>
      </c>
      <c r="AD195" s="202" t="e">
        <f ca="1">IFERROR(ROUND(INDEX(N:N,MATCH($T195,$A:$A,0)),0),INDEX(PREVIVAZ!$C169:$N169,1,MATCH(AD$27,PREVIVAZ!$C$1:$N$1,1)))</f>
        <v>#N/A</v>
      </c>
      <c r="AE195" s="202" t="e">
        <f ca="1">IFERROR(ROUND(INDEX(O:O,MATCH($T195,$A:$A,0)),0),INDEX(PREVIVAZ!$C169:$N169,1,MATCH(AE$27,PREVIVAZ!$C$1:$N$1,1)))</f>
        <v>#N/A</v>
      </c>
      <c r="AF195" s="202" t="e">
        <f ca="1">IFERROR(ROUND(INDEX(P:P,MATCH($T195,$A:$A,0)),0),INDEX(PREVIVAZ!$C169:$N169,1,MATCH(AF$27,PREVIVAZ!$C$1:$N$1,1)))</f>
        <v>#N/A</v>
      </c>
      <c r="AG195" s="202" t="e">
        <f ca="1">IFERROR(ROUND(INDEX(Q:Q,MATCH($T195,$A:$A,0)),0),INDEX(PREVIVAZ!$C169:$N169,1,MATCH(AG$27,PREVIVAZ!$C$1:$N$1,1)))</f>
        <v>#N/A</v>
      </c>
    </row>
    <row r="196" spans="15:33" ht="12.75" x14ac:dyDescent="0.2">
      <c r="O196"/>
      <c r="P196"/>
      <c r="Q196"/>
      <c r="R196"/>
      <c r="S196"/>
      <c r="T196" s="272">
        <v>169</v>
      </c>
      <c r="V196" s="202" t="e">
        <f ca="1">IFERROR(ROUND(INDEX(F:F,MATCH($T196,$A:$A,0)),0),INDEX(PREVIVAZ!$C170:$N170,1,MATCH(V$27,PREVIVAZ!$C$1:$N$1,1)))</f>
        <v>#N/A</v>
      </c>
      <c r="W196" s="202" t="e">
        <f ca="1">IFERROR(ROUND(INDEX(G:G,MATCH($T196,$A:$A,0)),0),INDEX(PREVIVAZ!$C170:$N170,1,MATCH(W$27,PREVIVAZ!$C$1:$N$1,1)))</f>
        <v>#N/A</v>
      </c>
      <c r="X196" s="202" t="e">
        <f ca="1">IFERROR(ROUND(INDEX(H:H,MATCH($T196,$A:$A,0)),0),INDEX(PREVIVAZ!$C170:$N170,1,MATCH(X$27,PREVIVAZ!$C$1:$N$1,1)))</f>
        <v>#N/A</v>
      </c>
      <c r="Y196" s="202" t="e">
        <f ca="1">IFERROR(ROUND(INDEX(I:I,MATCH($T196,$A:$A,0)),0),INDEX(PREVIVAZ!$C170:$N170,1,MATCH(Y$27,PREVIVAZ!$C$1:$N$1,1)))</f>
        <v>#N/A</v>
      </c>
      <c r="Z196" s="202" t="e">
        <f ca="1">IFERROR(ROUND(INDEX(J:J,MATCH($T196,$A:$A,0)),0),INDEX(PREVIVAZ!$C170:$N170,1,MATCH(Z$27,PREVIVAZ!$C$1:$N$1,1)))</f>
        <v>#N/A</v>
      </c>
      <c r="AA196" s="202" t="e">
        <f ca="1">IFERROR(ROUND(INDEX(K:K,MATCH($T196,$A:$A,0)),0),INDEX(PREVIVAZ!$C170:$N170,1,MATCH(AA$27,PREVIVAZ!$C$1:$N$1,1)))</f>
        <v>#N/A</v>
      </c>
      <c r="AB196" s="202" t="e">
        <f ca="1">IFERROR(ROUND(INDEX(L:L,MATCH($T196,$A:$A,0)),0),INDEX(PREVIVAZ!$C170:$N170,1,MATCH(AB$27,PREVIVAZ!$C$1:$N$1,1)))</f>
        <v>#N/A</v>
      </c>
      <c r="AC196" s="202" t="e">
        <f ca="1">IFERROR(ROUND(INDEX(M:M,MATCH($T196,$A:$A,0)),0),INDEX(PREVIVAZ!$C170:$N170,1,MATCH(AC$27,PREVIVAZ!$C$1:$N$1,1)))</f>
        <v>#N/A</v>
      </c>
      <c r="AD196" s="202" t="e">
        <f ca="1">IFERROR(ROUND(INDEX(N:N,MATCH($T196,$A:$A,0)),0),INDEX(PREVIVAZ!$C170:$N170,1,MATCH(AD$27,PREVIVAZ!$C$1:$N$1,1)))</f>
        <v>#N/A</v>
      </c>
      <c r="AE196" s="202" t="e">
        <f ca="1">IFERROR(ROUND(INDEX(O:O,MATCH($T196,$A:$A,0)),0),INDEX(PREVIVAZ!$C170:$N170,1,MATCH(AE$27,PREVIVAZ!$C$1:$N$1,1)))</f>
        <v>#N/A</v>
      </c>
      <c r="AF196" s="202" t="e">
        <f ca="1">IFERROR(ROUND(INDEX(P:P,MATCH($T196,$A:$A,0)),0),INDEX(PREVIVAZ!$C170:$N170,1,MATCH(AF$27,PREVIVAZ!$C$1:$N$1,1)))</f>
        <v>#N/A</v>
      </c>
      <c r="AG196" s="202" t="e">
        <f ca="1">IFERROR(ROUND(INDEX(Q:Q,MATCH($T196,$A:$A,0)),0),INDEX(PREVIVAZ!$C170:$N170,1,MATCH(AG$27,PREVIVAZ!$C$1:$N$1,1)))</f>
        <v>#N/A</v>
      </c>
    </row>
    <row r="197" spans="15:33" ht="12.75" x14ac:dyDescent="0.2">
      <c r="O197"/>
      <c r="P197"/>
      <c r="Q197"/>
      <c r="R197"/>
      <c r="S197"/>
      <c r="T197" s="272">
        <v>170</v>
      </c>
      <c r="V197" s="202" t="e">
        <f ca="1">IFERROR(ROUND(INDEX(F:F,MATCH($T197,$A:$A,0)),0),INDEX(PREVIVAZ!$C171:$N171,1,MATCH(V$27,PREVIVAZ!$C$1:$N$1,1)))</f>
        <v>#N/A</v>
      </c>
      <c r="W197" s="202" t="e">
        <f ca="1">IFERROR(ROUND(INDEX(G:G,MATCH($T197,$A:$A,0)),0),INDEX(PREVIVAZ!$C171:$N171,1,MATCH(W$27,PREVIVAZ!$C$1:$N$1,1)))</f>
        <v>#N/A</v>
      </c>
      <c r="X197" s="202" t="e">
        <f ca="1">IFERROR(ROUND(INDEX(H:H,MATCH($T197,$A:$A,0)),0),INDEX(PREVIVAZ!$C171:$N171,1,MATCH(X$27,PREVIVAZ!$C$1:$N$1,1)))</f>
        <v>#N/A</v>
      </c>
      <c r="Y197" s="202" t="e">
        <f ca="1">IFERROR(ROUND(INDEX(I:I,MATCH($T197,$A:$A,0)),0),INDEX(PREVIVAZ!$C171:$N171,1,MATCH(Y$27,PREVIVAZ!$C$1:$N$1,1)))</f>
        <v>#N/A</v>
      </c>
      <c r="Z197" s="202" t="e">
        <f ca="1">IFERROR(ROUND(INDEX(J:J,MATCH($T197,$A:$A,0)),0),INDEX(PREVIVAZ!$C171:$N171,1,MATCH(Z$27,PREVIVAZ!$C$1:$N$1,1)))</f>
        <v>#N/A</v>
      </c>
      <c r="AA197" s="202" t="e">
        <f ca="1">IFERROR(ROUND(INDEX(K:K,MATCH($T197,$A:$A,0)),0),INDEX(PREVIVAZ!$C171:$N171,1,MATCH(AA$27,PREVIVAZ!$C$1:$N$1,1)))</f>
        <v>#N/A</v>
      </c>
      <c r="AB197" s="202" t="e">
        <f ca="1">IFERROR(ROUND(INDEX(L:L,MATCH($T197,$A:$A,0)),0),INDEX(PREVIVAZ!$C171:$N171,1,MATCH(AB$27,PREVIVAZ!$C$1:$N$1,1)))</f>
        <v>#N/A</v>
      </c>
      <c r="AC197" s="202" t="e">
        <f ca="1">IFERROR(ROUND(INDEX(M:M,MATCH($T197,$A:$A,0)),0),INDEX(PREVIVAZ!$C171:$N171,1,MATCH(AC$27,PREVIVAZ!$C$1:$N$1,1)))</f>
        <v>#N/A</v>
      </c>
      <c r="AD197" s="202" t="e">
        <f ca="1">IFERROR(ROUND(INDEX(N:N,MATCH($T197,$A:$A,0)),0),INDEX(PREVIVAZ!$C171:$N171,1,MATCH(AD$27,PREVIVAZ!$C$1:$N$1,1)))</f>
        <v>#N/A</v>
      </c>
      <c r="AE197" s="202" t="e">
        <f ca="1">IFERROR(ROUND(INDEX(O:O,MATCH($T197,$A:$A,0)),0),INDEX(PREVIVAZ!$C171:$N171,1,MATCH(AE$27,PREVIVAZ!$C$1:$N$1,1)))</f>
        <v>#N/A</v>
      </c>
      <c r="AF197" s="202" t="e">
        <f ca="1">IFERROR(ROUND(INDEX(P:P,MATCH($T197,$A:$A,0)),0),INDEX(PREVIVAZ!$C171:$N171,1,MATCH(AF$27,PREVIVAZ!$C$1:$N$1,1)))</f>
        <v>#N/A</v>
      </c>
      <c r="AG197" s="202" t="e">
        <f ca="1">IFERROR(ROUND(INDEX(Q:Q,MATCH($T197,$A:$A,0)),0),INDEX(PREVIVAZ!$C171:$N171,1,MATCH(AG$27,PREVIVAZ!$C$1:$N$1,1)))</f>
        <v>#N/A</v>
      </c>
    </row>
    <row r="198" spans="15:33" ht="12.75" x14ac:dyDescent="0.2">
      <c r="O198"/>
      <c r="P198"/>
      <c r="Q198"/>
      <c r="R198"/>
      <c r="S198"/>
      <c r="T198" s="272">
        <v>171</v>
      </c>
      <c r="V198" s="202" t="e">
        <f ca="1">IFERROR(ROUND(INDEX(F:F,MATCH($T198,$A:$A,0)),0),INDEX(PREVIVAZ!$C172:$N172,1,MATCH(V$27,PREVIVAZ!$C$1:$N$1,1)))</f>
        <v>#N/A</v>
      </c>
      <c r="W198" s="202" t="e">
        <f ca="1">IFERROR(ROUND(INDEX(G:G,MATCH($T198,$A:$A,0)),0),INDEX(PREVIVAZ!$C172:$N172,1,MATCH(W$27,PREVIVAZ!$C$1:$N$1,1)))</f>
        <v>#N/A</v>
      </c>
      <c r="X198" s="202" t="e">
        <f ca="1">IFERROR(ROUND(INDEX(H:H,MATCH($T198,$A:$A,0)),0),INDEX(PREVIVAZ!$C172:$N172,1,MATCH(X$27,PREVIVAZ!$C$1:$N$1,1)))</f>
        <v>#N/A</v>
      </c>
      <c r="Y198" s="202" t="e">
        <f ca="1">IFERROR(ROUND(INDEX(I:I,MATCH($T198,$A:$A,0)),0),INDEX(PREVIVAZ!$C172:$N172,1,MATCH(Y$27,PREVIVAZ!$C$1:$N$1,1)))</f>
        <v>#N/A</v>
      </c>
      <c r="Z198" s="202" t="e">
        <f ca="1">IFERROR(ROUND(INDEX(J:J,MATCH($T198,$A:$A,0)),0),INDEX(PREVIVAZ!$C172:$N172,1,MATCH(Z$27,PREVIVAZ!$C$1:$N$1,1)))</f>
        <v>#N/A</v>
      </c>
      <c r="AA198" s="202" t="e">
        <f ca="1">IFERROR(ROUND(INDEX(K:K,MATCH($T198,$A:$A,0)),0),INDEX(PREVIVAZ!$C172:$N172,1,MATCH(AA$27,PREVIVAZ!$C$1:$N$1,1)))</f>
        <v>#N/A</v>
      </c>
      <c r="AB198" s="202" t="e">
        <f ca="1">IFERROR(ROUND(INDEX(L:L,MATCH($T198,$A:$A,0)),0),INDEX(PREVIVAZ!$C172:$N172,1,MATCH(AB$27,PREVIVAZ!$C$1:$N$1,1)))</f>
        <v>#N/A</v>
      </c>
      <c r="AC198" s="202" t="e">
        <f ca="1">IFERROR(ROUND(INDEX(M:M,MATCH($T198,$A:$A,0)),0),INDEX(PREVIVAZ!$C172:$N172,1,MATCH(AC$27,PREVIVAZ!$C$1:$N$1,1)))</f>
        <v>#N/A</v>
      </c>
      <c r="AD198" s="202" t="e">
        <f ca="1">IFERROR(ROUND(INDEX(N:N,MATCH($T198,$A:$A,0)),0),INDEX(PREVIVAZ!$C172:$N172,1,MATCH(AD$27,PREVIVAZ!$C$1:$N$1,1)))</f>
        <v>#N/A</v>
      </c>
      <c r="AE198" s="202" t="e">
        <f ca="1">IFERROR(ROUND(INDEX(O:O,MATCH($T198,$A:$A,0)),0),INDEX(PREVIVAZ!$C172:$N172,1,MATCH(AE$27,PREVIVAZ!$C$1:$N$1,1)))</f>
        <v>#N/A</v>
      </c>
      <c r="AF198" s="202" t="e">
        <f ca="1">IFERROR(ROUND(INDEX(P:P,MATCH($T198,$A:$A,0)),0),INDEX(PREVIVAZ!$C172:$N172,1,MATCH(AF$27,PREVIVAZ!$C$1:$N$1,1)))</f>
        <v>#N/A</v>
      </c>
      <c r="AG198" s="202" t="e">
        <f ca="1">IFERROR(ROUND(INDEX(Q:Q,MATCH($T198,$A:$A,0)),0),INDEX(PREVIVAZ!$C172:$N172,1,MATCH(AG$27,PREVIVAZ!$C$1:$N$1,1)))</f>
        <v>#N/A</v>
      </c>
    </row>
    <row r="199" spans="15:33" ht="12.75" x14ac:dyDescent="0.2">
      <c r="O199"/>
      <c r="P199"/>
      <c r="Q199"/>
      <c r="R199"/>
      <c r="S199"/>
      <c r="T199" s="272">
        <v>172</v>
      </c>
      <c r="V199" s="202" t="e">
        <f ca="1">IFERROR(ROUND(INDEX(F:F,MATCH($T199,$A:$A,0)),0),INDEX(PREVIVAZ!$C173:$N173,1,MATCH(V$27,PREVIVAZ!$C$1:$N$1,1)))</f>
        <v>#N/A</v>
      </c>
      <c r="W199" s="202" t="e">
        <f ca="1">IFERROR(ROUND(INDEX(G:G,MATCH($T199,$A:$A,0)),0),INDEX(PREVIVAZ!$C173:$N173,1,MATCH(W$27,PREVIVAZ!$C$1:$N$1,1)))</f>
        <v>#N/A</v>
      </c>
      <c r="X199" s="202" t="e">
        <f ca="1">IFERROR(ROUND(INDEX(H:H,MATCH($T199,$A:$A,0)),0),INDEX(PREVIVAZ!$C173:$N173,1,MATCH(X$27,PREVIVAZ!$C$1:$N$1,1)))</f>
        <v>#N/A</v>
      </c>
      <c r="Y199" s="202" t="e">
        <f ca="1">IFERROR(ROUND(INDEX(I:I,MATCH($T199,$A:$A,0)),0),INDEX(PREVIVAZ!$C173:$N173,1,MATCH(Y$27,PREVIVAZ!$C$1:$N$1,1)))</f>
        <v>#N/A</v>
      </c>
      <c r="Z199" s="202" t="e">
        <f ca="1">IFERROR(ROUND(INDEX(J:J,MATCH($T199,$A:$A,0)),0),INDEX(PREVIVAZ!$C173:$N173,1,MATCH(Z$27,PREVIVAZ!$C$1:$N$1,1)))</f>
        <v>#N/A</v>
      </c>
      <c r="AA199" s="202" t="e">
        <f ca="1">IFERROR(ROUND(INDEX(K:K,MATCH($T199,$A:$A,0)),0),INDEX(PREVIVAZ!$C173:$N173,1,MATCH(AA$27,PREVIVAZ!$C$1:$N$1,1)))</f>
        <v>#N/A</v>
      </c>
      <c r="AB199" s="202" t="e">
        <f ca="1">IFERROR(ROUND(INDEX(L:L,MATCH($T199,$A:$A,0)),0),INDEX(PREVIVAZ!$C173:$N173,1,MATCH(AB$27,PREVIVAZ!$C$1:$N$1,1)))</f>
        <v>#N/A</v>
      </c>
      <c r="AC199" s="202" t="e">
        <f ca="1">IFERROR(ROUND(INDEX(M:M,MATCH($T199,$A:$A,0)),0),INDEX(PREVIVAZ!$C173:$N173,1,MATCH(AC$27,PREVIVAZ!$C$1:$N$1,1)))</f>
        <v>#N/A</v>
      </c>
      <c r="AD199" s="202" t="e">
        <f ca="1">IFERROR(ROUND(INDEX(N:N,MATCH($T199,$A:$A,0)),0),INDEX(PREVIVAZ!$C173:$N173,1,MATCH(AD$27,PREVIVAZ!$C$1:$N$1,1)))</f>
        <v>#N/A</v>
      </c>
      <c r="AE199" s="202" t="e">
        <f ca="1">IFERROR(ROUND(INDEX(O:O,MATCH($T199,$A:$A,0)),0),INDEX(PREVIVAZ!$C173:$N173,1,MATCH(AE$27,PREVIVAZ!$C$1:$N$1,1)))</f>
        <v>#N/A</v>
      </c>
      <c r="AF199" s="202" t="e">
        <f ca="1">IFERROR(ROUND(INDEX(P:P,MATCH($T199,$A:$A,0)),0),INDEX(PREVIVAZ!$C173:$N173,1,MATCH(AF$27,PREVIVAZ!$C$1:$N$1,1)))</f>
        <v>#N/A</v>
      </c>
      <c r="AG199" s="202" t="e">
        <f ca="1">IFERROR(ROUND(INDEX(Q:Q,MATCH($T199,$A:$A,0)),0),INDEX(PREVIVAZ!$C173:$N173,1,MATCH(AG$27,PREVIVAZ!$C$1:$N$1,1)))</f>
        <v>#N/A</v>
      </c>
    </row>
    <row r="200" spans="15:33" ht="12.75" x14ac:dyDescent="0.2">
      <c r="O200"/>
      <c r="P200"/>
      <c r="Q200"/>
      <c r="R200"/>
      <c r="S200"/>
      <c r="T200" s="272">
        <v>173</v>
      </c>
      <c r="V200" s="202" t="e">
        <f ca="1">IFERROR(ROUND(INDEX(F:F,MATCH($T200,$A:$A,0)),0),INDEX(PREVIVAZ!$C174:$N174,1,MATCH(V$27,PREVIVAZ!$C$1:$N$1,1)))</f>
        <v>#N/A</v>
      </c>
      <c r="W200" s="202" t="e">
        <f ca="1">IFERROR(ROUND(INDEX(G:G,MATCH($T200,$A:$A,0)),0),INDEX(PREVIVAZ!$C174:$N174,1,MATCH(W$27,PREVIVAZ!$C$1:$N$1,1)))</f>
        <v>#N/A</v>
      </c>
      <c r="X200" s="202" t="e">
        <f ca="1">IFERROR(ROUND(INDEX(H:H,MATCH($T200,$A:$A,0)),0),INDEX(PREVIVAZ!$C174:$N174,1,MATCH(X$27,PREVIVAZ!$C$1:$N$1,1)))</f>
        <v>#N/A</v>
      </c>
      <c r="Y200" s="202" t="e">
        <f ca="1">IFERROR(ROUND(INDEX(I:I,MATCH($T200,$A:$A,0)),0),INDEX(PREVIVAZ!$C174:$N174,1,MATCH(Y$27,PREVIVAZ!$C$1:$N$1,1)))</f>
        <v>#N/A</v>
      </c>
      <c r="Z200" s="202" t="e">
        <f ca="1">IFERROR(ROUND(INDEX(J:J,MATCH($T200,$A:$A,0)),0),INDEX(PREVIVAZ!$C174:$N174,1,MATCH(Z$27,PREVIVAZ!$C$1:$N$1,1)))</f>
        <v>#N/A</v>
      </c>
      <c r="AA200" s="202" t="e">
        <f ca="1">IFERROR(ROUND(INDEX(K:K,MATCH($T200,$A:$A,0)),0),INDEX(PREVIVAZ!$C174:$N174,1,MATCH(AA$27,PREVIVAZ!$C$1:$N$1,1)))</f>
        <v>#N/A</v>
      </c>
      <c r="AB200" s="202" t="e">
        <f ca="1">IFERROR(ROUND(INDEX(L:L,MATCH($T200,$A:$A,0)),0),INDEX(PREVIVAZ!$C174:$N174,1,MATCH(AB$27,PREVIVAZ!$C$1:$N$1,1)))</f>
        <v>#N/A</v>
      </c>
      <c r="AC200" s="202" t="e">
        <f ca="1">IFERROR(ROUND(INDEX(M:M,MATCH($T200,$A:$A,0)),0),INDEX(PREVIVAZ!$C174:$N174,1,MATCH(AC$27,PREVIVAZ!$C$1:$N$1,1)))</f>
        <v>#N/A</v>
      </c>
      <c r="AD200" s="202" t="e">
        <f ca="1">IFERROR(ROUND(INDEX(N:N,MATCH($T200,$A:$A,0)),0),INDEX(PREVIVAZ!$C174:$N174,1,MATCH(AD$27,PREVIVAZ!$C$1:$N$1,1)))</f>
        <v>#N/A</v>
      </c>
      <c r="AE200" s="202" t="e">
        <f ca="1">IFERROR(ROUND(INDEX(O:O,MATCH($T200,$A:$A,0)),0),INDEX(PREVIVAZ!$C174:$N174,1,MATCH(AE$27,PREVIVAZ!$C$1:$N$1,1)))</f>
        <v>#N/A</v>
      </c>
      <c r="AF200" s="202" t="e">
        <f ca="1">IFERROR(ROUND(INDEX(P:P,MATCH($T200,$A:$A,0)),0),INDEX(PREVIVAZ!$C174:$N174,1,MATCH(AF$27,PREVIVAZ!$C$1:$N$1,1)))</f>
        <v>#N/A</v>
      </c>
      <c r="AG200" s="202" t="e">
        <f ca="1">IFERROR(ROUND(INDEX(Q:Q,MATCH($T200,$A:$A,0)),0),INDEX(PREVIVAZ!$C174:$N174,1,MATCH(AG$27,PREVIVAZ!$C$1:$N$1,1)))</f>
        <v>#N/A</v>
      </c>
    </row>
    <row r="201" spans="15:33" ht="12.75" x14ac:dyDescent="0.2">
      <c r="O201"/>
      <c r="P201"/>
      <c r="Q201"/>
      <c r="R201"/>
      <c r="S201"/>
      <c r="T201" s="272">
        <v>174</v>
      </c>
      <c r="V201" s="202" t="e">
        <f ca="1">IFERROR(ROUND(INDEX(F:F,MATCH($T201,$A:$A,0)),0),INDEX(PREVIVAZ!$C175:$N175,1,MATCH(V$27,PREVIVAZ!$C$1:$N$1,1)))</f>
        <v>#N/A</v>
      </c>
      <c r="W201" s="202" t="e">
        <f ca="1">IFERROR(ROUND(INDEX(G:G,MATCH($T201,$A:$A,0)),0),INDEX(PREVIVAZ!$C175:$N175,1,MATCH(W$27,PREVIVAZ!$C$1:$N$1,1)))</f>
        <v>#N/A</v>
      </c>
      <c r="X201" s="202" t="e">
        <f ca="1">IFERROR(ROUND(INDEX(H:H,MATCH($T201,$A:$A,0)),0),INDEX(PREVIVAZ!$C175:$N175,1,MATCH(X$27,PREVIVAZ!$C$1:$N$1,1)))</f>
        <v>#N/A</v>
      </c>
      <c r="Y201" s="202" t="e">
        <f ca="1">IFERROR(ROUND(INDEX(I:I,MATCH($T201,$A:$A,0)),0),INDEX(PREVIVAZ!$C175:$N175,1,MATCH(Y$27,PREVIVAZ!$C$1:$N$1,1)))</f>
        <v>#N/A</v>
      </c>
      <c r="Z201" s="202" t="e">
        <f ca="1">IFERROR(ROUND(INDEX(J:J,MATCH($T201,$A:$A,0)),0),INDEX(PREVIVAZ!$C175:$N175,1,MATCH(Z$27,PREVIVAZ!$C$1:$N$1,1)))</f>
        <v>#N/A</v>
      </c>
      <c r="AA201" s="202" t="e">
        <f ca="1">IFERROR(ROUND(INDEX(K:K,MATCH($T201,$A:$A,0)),0),INDEX(PREVIVAZ!$C175:$N175,1,MATCH(AA$27,PREVIVAZ!$C$1:$N$1,1)))</f>
        <v>#N/A</v>
      </c>
      <c r="AB201" s="202" t="e">
        <f ca="1">IFERROR(ROUND(INDEX(L:L,MATCH($T201,$A:$A,0)),0),INDEX(PREVIVAZ!$C175:$N175,1,MATCH(AB$27,PREVIVAZ!$C$1:$N$1,1)))</f>
        <v>#N/A</v>
      </c>
      <c r="AC201" s="202" t="e">
        <f ca="1">IFERROR(ROUND(INDEX(M:M,MATCH($T201,$A:$A,0)),0),INDEX(PREVIVAZ!$C175:$N175,1,MATCH(AC$27,PREVIVAZ!$C$1:$N$1,1)))</f>
        <v>#N/A</v>
      </c>
      <c r="AD201" s="202" t="e">
        <f ca="1">IFERROR(ROUND(INDEX(N:N,MATCH($T201,$A:$A,0)),0),INDEX(PREVIVAZ!$C175:$N175,1,MATCH(AD$27,PREVIVAZ!$C$1:$N$1,1)))</f>
        <v>#N/A</v>
      </c>
      <c r="AE201" s="202" t="e">
        <f ca="1">IFERROR(ROUND(INDEX(O:O,MATCH($T201,$A:$A,0)),0),INDEX(PREVIVAZ!$C175:$N175,1,MATCH(AE$27,PREVIVAZ!$C$1:$N$1,1)))</f>
        <v>#N/A</v>
      </c>
      <c r="AF201" s="202" t="e">
        <f ca="1">IFERROR(ROUND(INDEX(P:P,MATCH($T201,$A:$A,0)),0),INDEX(PREVIVAZ!$C175:$N175,1,MATCH(AF$27,PREVIVAZ!$C$1:$N$1,1)))</f>
        <v>#N/A</v>
      </c>
      <c r="AG201" s="202" t="e">
        <f ca="1">IFERROR(ROUND(INDEX(Q:Q,MATCH($T201,$A:$A,0)),0),INDEX(PREVIVAZ!$C175:$N175,1,MATCH(AG$27,PREVIVAZ!$C$1:$N$1,1)))</f>
        <v>#N/A</v>
      </c>
    </row>
    <row r="202" spans="15:33" ht="12.75" x14ac:dyDescent="0.2">
      <c r="O202"/>
      <c r="P202"/>
      <c r="Q202"/>
      <c r="R202"/>
      <c r="S202"/>
      <c r="T202" s="272">
        <v>175</v>
      </c>
      <c r="V202" s="202" t="e">
        <f ca="1">IFERROR(ROUND(INDEX(F:F,MATCH($T202,$A:$A,0)),0),INDEX(PREVIVAZ!$C176:$N176,1,MATCH(V$27,PREVIVAZ!$C$1:$N$1,1)))</f>
        <v>#N/A</v>
      </c>
      <c r="W202" s="202" t="e">
        <f ca="1">IFERROR(ROUND(INDEX(G:G,MATCH($T202,$A:$A,0)),0),INDEX(PREVIVAZ!$C176:$N176,1,MATCH(W$27,PREVIVAZ!$C$1:$N$1,1)))</f>
        <v>#N/A</v>
      </c>
      <c r="X202" s="202" t="e">
        <f ca="1">IFERROR(ROUND(INDEX(H:H,MATCH($T202,$A:$A,0)),0),INDEX(PREVIVAZ!$C176:$N176,1,MATCH(X$27,PREVIVAZ!$C$1:$N$1,1)))</f>
        <v>#N/A</v>
      </c>
      <c r="Y202" s="202" t="e">
        <f ca="1">IFERROR(ROUND(INDEX(I:I,MATCH($T202,$A:$A,0)),0),INDEX(PREVIVAZ!$C176:$N176,1,MATCH(Y$27,PREVIVAZ!$C$1:$N$1,1)))</f>
        <v>#N/A</v>
      </c>
      <c r="Z202" s="202" t="e">
        <f ca="1">IFERROR(ROUND(INDEX(J:J,MATCH($T202,$A:$A,0)),0),INDEX(PREVIVAZ!$C176:$N176,1,MATCH(Z$27,PREVIVAZ!$C$1:$N$1,1)))</f>
        <v>#N/A</v>
      </c>
      <c r="AA202" s="202" t="e">
        <f ca="1">IFERROR(ROUND(INDEX(K:K,MATCH($T202,$A:$A,0)),0),INDEX(PREVIVAZ!$C176:$N176,1,MATCH(AA$27,PREVIVAZ!$C$1:$N$1,1)))</f>
        <v>#N/A</v>
      </c>
      <c r="AB202" s="202" t="e">
        <f ca="1">IFERROR(ROUND(INDEX(L:L,MATCH($T202,$A:$A,0)),0),INDEX(PREVIVAZ!$C176:$N176,1,MATCH(AB$27,PREVIVAZ!$C$1:$N$1,1)))</f>
        <v>#N/A</v>
      </c>
      <c r="AC202" s="202" t="e">
        <f ca="1">IFERROR(ROUND(INDEX(M:M,MATCH($T202,$A:$A,0)),0),INDEX(PREVIVAZ!$C176:$N176,1,MATCH(AC$27,PREVIVAZ!$C$1:$N$1,1)))</f>
        <v>#N/A</v>
      </c>
      <c r="AD202" s="202" t="e">
        <f ca="1">IFERROR(ROUND(INDEX(N:N,MATCH($T202,$A:$A,0)),0),INDEX(PREVIVAZ!$C176:$N176,1,MATCH(AD$27,PREVIVAZ!$C$1:$N$1,1)))</f>
        <v>#N/A</v>
      </c>
      <c r="AE202" s="202" t="e">
        <f ca="1">IFERROR(ROUND(INDEX(O:O,MATCH($T202,$A:$A,0)),0),INDEX(PREVIVAZ!$C176:$N176,1,MATCH(AE$27,PREVIVAZ!$C$1:$N$1,1)))</f>
        <v>#N/A</v>
      </c>
      <c r="AF202" s="202" t="e">
        <f ca="1">IFERROR(ROUND(INDEX(P:P,MATCH($T202,$A:$A,0)),0),INDEX(PREVIVAZ!$C176:$N176,1,MATCH(AF$27,PREVIVAZ!$C$1:$N$1,1)))</f>
        <v>#N/A</v>
      </c>
      <c r="AG202" s="202" t="e">
        <f ca="1">IFERROR(ROUND(INDEX(Q:Q,MATCH($T202,$A:$A,0)),0),INDEX(PREVIVAZ!$C176:$N176,1,MATCH(AG$27,PREVIVAZ!$C$1:$N$1,1)))</f>
        <v>#N/A</v>
      </c>
    </row>
    <row r="203" spans="15:33" ht="12.75" x14ac:dyDescent="0.2">
      <c r="O203"/>
      <c r="P203"/>
      <c r="Q203"/>
      <c r="R203"/>
      <c r="S203"/>
      <c r="T203" s="272">
        <v>176</v>
      </c>
      <c r="V203" s="202" t="e">
        <f ca="1">IFERROR(ROUND(INDEX(F:F,MATCH($T203,$A:$A,0)),0),INDEX(PREVIVAZ!$C177:$N177,1,MATCH(V$27,PREVIVAZ!$C$1:$N$1,1)))</f>
        <v>#N/A</v>
      </c>
      <c r="W203" s="202" t="e">
        <f ca="1">IFERROR(ROUND(INDEX(G:G,MATCH($T203,$A:$A,0)),0),INDEX(PREVIVAZ!$C177:$N177,1,MATCH(W$27,PREVIVAZ!$C$1:$N$1,1)))</f>
        <v>#N/A</v>
      </c>
      <c r="X203" s="202" t="e">
        <f ca="1">IFERROR(ROUND(INDEX(H:H,MATCH($T203,$A:$A,0)),0),INDEX(PREVIVAZ!$C177:$N177,1,MATCH(X$27,PREVIVAZ!$C$1:$N$1,1)))</f>
        <v>#N/A</v>
      </c>
      <c r="Y203" s="202" t="e">
        <f ca="1">IFERROR(ROUND(INDEX(I:I,MATCH($T203,$A:$A,0)),0),INDEX(PREVIVAZ!$C177:$N177,1,MATCH(Y$27,PREVIVAZ!$C$1:$N$1,1)))</f>
        <v>#N/A</v>
      </c>
      <c r="Z203" s="202" t="e">
        <f ca="1">IFERROR(ROUND(INDEX(J:J,MATCH($T203,$A:$A,0)),0),INDEX(PREVIVAZ!$C177:$N177,1,MATCH(Z$27,PREVIVAZ!$C$1:$N$1,1)))</f>
        <v>#N/A</v>
      </c>
      <c r="AA203" s="202" t="e">
        <f ca="1">IFERROR(ROUND(INDEX(K:K,MATCH($T203,$A:$A,0)),0),INDEX(PREVIVAZ!$C177:$N177,1,MATCH(AA$27,PREVIVAZ!$C$1:$N$1,1)))</f>
        <v>#N/A</v>
      </c>
      <c r="AB203" s="202" t="e">
        <f ca="1">IFERROR(ROUND(INDEX(L:L,MATCH($T203,$A:$A,0)),0),INDEX(PREVIVAZ!$C177:$N177,1,MATCH(AB$27,PREVIVAZ!$C$1:$N$1,1)))</f>
        <v>#N/A</v>
      </c>
      <c r="AC203" s="202" t="e">
        <f ca="1">IFERROR(ROUND(INDEX(M:M,MATCH($T203,$A:$A,0)),0),INDEX(PREVIVAZ!$C177:$N177,1,MATCH(AC$27,PREVIVAZ!$C$1:$N$1,1)))</f>
        <v>#N/A</v>
      </c>
      <c r="AD203" s="202" t="e">
        <f ca="1">IFERROR(ROUND(INDEX(N:N,MATCH($T203,$A:$A,0)),0),INDEX(PREVIVAZ!$C177:$N177,1,MATCH(AD$27,PREVIVAZ!$C$1:$N$1,1)))</f>
        <v>#N/A</v>
      </c>
      <c r="AE203" s="202" t="e">
        <f ca="1">IFERROR(ROUND(INDEX(O:O,MATCH($T203,$A:$A,0)),0),INDEX(PREVIVAZ!$C177:$N177,1,MATCH(AE$27,PREVIVAZ!$C$1:$N$1,1)))</f>
        <v>#N/A</v>
      </c>
      <c r="AF203" s="202" t="e">
        <f ca="1">IFERROR(ROUND(INDEX(P:P,MATCH($T203,$A:$A,0)),0),INDEX(PREVIVAZ!$C177:$N177,1,MATCH(AF$27,PREVIVAZ!$C$1:$N$1,1)))</f>
        <v>#N/A</v>
      </c>
      <c r="AG203" s="202" t="e">
        <f ca="1">IFERROR(ROUND(INDEX(Q:Q,MATCH($T203,$A:$A,0)),0),INDEX(PREVIVAZ!$C177:$N177,1,MATCH(AG$27,PREVIVAZ!$C$1:$N$1,1)))</f>
        <v>#N/A</v>
      </c>
    </row>
    <row r="204" spans="15:33" ht="12.75" x14ac:dyDescent="0.2">
      <c r="O204"/>
      <c r="P204"/>
      <c r="Q204"/>
      <c r="R204"/>
      <c r="S204"/>
      <c r="T204" s="272">
        <v>177</v>
      </c>
      <c r="V204" s="202" t="e">
        <f ca="1">IFERROR(ROUND(INDEX(F:F,MATCH($T204,$A:$A,0)),0),INDEX(PREVIVAZ!$C178:$N178,1,MATCH(V$27,PREVIVAZ!$C$1:$N$1,1)))</f>
        <v>#N/A</v>
      </c>
      <c r="W204" s="202" t="e">
        <f ca="1">IFERROR(ROUND(INDEX(G:G,MATCH($T204,$A:$A,0)),0),INDEX(PREVIVAZ!$C178:$N178,1,MATCH(W$27,PREVIVAZ!$C$1:$N$1,1)))</f>
        <v>#N/A</v>
      </c>
      <c r="X204" s="202" t="e">
        <f ca="1">IFERROR(ROUND(INDEX(H:H,MATCH($T204,$A:$A,0)),0),INDEX(PREVIVAZ!$C178:$N178,1,MATCH(X$27,PREVIVAZ!$C$1:$N$1,1)))</f>
        <v>#N/A</v>
      </c>
      <c r="Y204" s="202" t="e">
        <f ca="1">IFERROR(ROUND(INDEX(I:I,MATCH($T204,$A:$A,0)),0),INDEX(PREVIVAZ!$C178:$N178,1,MATCH(Y$27,PREVIVAZ!$C$1:$N$1,1)))</f>
        <v>#N/A</v>
      </c>
      <c r="Z204" s="202" t="e">
        <f ca="1">IFERROR(ROUND(INDEX(J:J,MATCH($T204,$A:$A,0)),0),INDEX(PREVIVAZ!$C178:$N178,1,MATCH(Z$27,PREVIVAZ!$C$1:$N$1,1)))</f>
        <v>#N/A</v>
      </c>
      <c r="AA204" s="202" t="e">
        <f ca="1">IFERROR(ROUND(INDEX(K:K,MATCH($T204,$A:$A,0)),0),INDEX(PREVIVAZ!$C178:$N178,1,MATCH(AA$27,PREVIVAZ!$C$1:$N$1,1)))</f>
        <v>#N/A</v>
      </c>
      <c r="AB204" s="202" t="e">
        <f ca="1">IFERROR(ROUND(INDEX(L:L,MATCH($T204,$A:$A,0)),0),INDEX(PREVIVAZ!$C178:$N178,1,MATCH(AB$27,PREVIVAZ!$C$1:$N$1,1)))</f>
        <v>#N/A</v>
      </c>
      <c r="AC204" s="202" t="e">
        <f ca="1">IFERROR(ROUND(INDEX(M:M,MATCH($T204,$A:$A,0)),0),INDEX(PREVIVAZ!$C178:$N178,1,MATCH(AC$27,PREVIVAZ!$C$1:$N$1,1)))</f>
        <v>#N/A</v>
      </c>
      <c r="AD204" s="202" t="e">
        <f ca="1">IFERROR(ROUND(INDEX(N:N,MATCH($T204,$A:$A,0)),0),INDEX(PREVIVAZ!$C178:$N178,1,MATCH(AD$27,PREVIVAZ!$C$1:$N$1,1)))</f>
        <v>#N/A</v>
      </c>
      <c r="AE204" s="202" t="e">
        <f ca="1">IFERROR(ROUND(INDEX(O:O,MATCH($T204,$A:$A,0)),0),INDEX(PREVIVAZ!$C178:$N178,1,MATCH(AE$27,PREVIVAZ!$C$1:$N$1,1)))</f>
        <v>#N/A</v>
      </c>
      <c r="AF204" s="202" t="e">
        <f ca="1">IFERROR(ROUND(INDEX(P:P,MATCH($T204,$A:$A,0)),0),INDEX(PREVIVAZ!$C178:$N178,1,MATCH(AF$27,PREVIVAZ!$C$1:$N$1,1)))</f>
        <v>#N/A</v>
      </c>
      <c r="AG204" s="202" t="e">
        <f ca="1">IFERROR(ROUND(INDEX(Q:Q,MATCH($T204,$A:$A,0)),0),INDEX(PREVIVAZ!$C178:$N178,1,MATCH(AG$27,PREVIVAZ!$C$1:$N$1,1)))</f>
        <v>#N/A</v>
      </c>
    </row>
    <row r="205" spans="15:33" ht="12.75" x14ac:dyDescent="0.2">
      <c r="O205"/>
      <c r="P205"/>
      <c r="Q205"/>
      <c r="R205"/>
      <c r="S205"/>
      <c r="T205" s="272">
        <v>178</v>
      </c>
      <c r="V205" s="202" t="e">
        <f ca="1">IFERROR(ROUND(INDEX(F:F,MATCH($T205,$A:$A,0)),0),INDEX(PREVIVAZ!$C179:$N179,1,MATCH(V$27,PREVIVAZ!$C$1:$N$1,1)))</f>
        <v>#N/A</v>
      </c>
      <c r="W205" s="202" t="e">
        <f ca="1">IFERROR(ROUND(INDEX(G:G,MATCH($T205,$A:$A,0)),0),INDEX(PREVIVAZ!$C179:$N179,1,MATCH(W$27,PREVIVAZ!$C$1:$N$1,1)))</f>
        <v>#N/A</v>
      </c>
      <c r="X205" s="202" t="e">
        <f ca="1">IFERROR(ROUND(INDEX(H:H,MATCH($T205,$A:$A,0)),0),INDEX(PREVIVAZ!$C179:$N179,1,MATCH(X$27,PREVIVAZ!$C$1:$N$1,1)))</f>
        <v>#N/A</v>
      </c>
      <c r="Y205" s="202" t="e">
        <f ca="1">IFERROR(ROUND(INDEX(I:I,MATCH($T205,$A:$A,0)),0),INDEX(PREVIVAZ!$C179:$N179,1,MATCH(Y$27,PREVIVAZ!$C$1:$N$1,1)))</f>
        <v>#N/A</v>
      </c>
      <c r="Z205" s="202" t="e">
        <f ca="1">IFERROR(ROUND(INDEX(J:J,MATCH($T205,$A:$A,0)),0),INDEX(PREVIVAZ!$C179:$N179,1,MATCH(Z$27,PREVIVAZ!$C$1:$N$1,1)))</f>
        <v>#N/A</v>
      </c>
      <c r="AA205" s="202" t="e">
        <f ca="1">IFERROR(ROUND(INDEX(K:K,MATCH($T205,$A:$A,0)),0),INDEX(PREVIVAZ!$C179:$N179,1,MATCH(AA$27,PREVIVAZ!$C$1:$N$1,1)))</f>
        <v>#N/A</v>
      </c>
      <c r="AB205" s="202" t="e">
        <f ca="1">IFERROR(ROUND(INDEX(L:L,MATCH($T205,$A:$A,0)),0),INDEX(PREVIVAZ!$C179:$N179,1,MATCH(AB$27,PREVIVAZ!$C$1:$N$1,1)))</f>
        <v>#N/A</v>
      </c>
      <c r="AC205" s="202" t="e">
        <f ca="1">IFERROR(ROUND(INDEX(M:M,MATCH($T205,$A:$A,0)),0),INDEX(PREVIVAZ!$C179:$N179,1,MATCH(AC$27,PREVIVAZ!$C$1:$N$1,1)))</f>
        <v>#N/A</v>
      </c>
      <c r="AD205" s="202" t="e">
        <f ca="1">IFERROR(ROUND(INDEX(N:N,MATCH($T205,$A:$A,0)),0),INDEX(PREVIVAZ!$C179:$N179,1,MATCH(AD$27,PREVIVAZ!$C$1:$N$1,1)))</f>
        <v>#N/A</v>
      </c>
      <c r="AE205" s="202" t="e">
        <f ca="1">IFERROR(ROUND(INDEX(O:O,MATCH($T205,$A:$A,0)),0),INDEX(PREVIVAZ!$C179:$N179,1,MATCH(AE$27,PREVIVAZ!$C$1:$N$1,1)))</f>
        <v>#N/A</v>
      </c>
      <c r="AF205" s="202" t="e">
        <f ca="1">IFERROR(ROUND(INDEX(P:P,MATCH($T205,$A:$A,0)),0),INDEX(PREVIVAZ!$C179:$N179,1,MATCH(AF$27,PREVIVAZ!$C$1:$N$1,1)))</f>
        <v>#N/A</v>
      </c>
      <c r="AG205" s="202" t="e">
        <f ca="1">IFERROR(ROUND(INDEX(Q:Q,MATCH($T205,$A:$A,0)),0),INDEX(PREVIVAZ!$C179:$N179,1,MATCH(AG$27,PREVIVAZ!$C$1:$N$1,1)))</f>
        <v>#N/A</v>
      </c>
    </row>
    <row r="206" spans="15:33" ht="12.75" x14ac:dyDescent="0.2">
      <c r="O206"/>
      <c r="P206"/>
      <c r="Q206"/>
      <c r="R206"/>
      <c r="S206"/>
      <c r="T206" s="272">
        <v>179</v>
      </c>
      <c r="V206" s="202" t="e">
        <f ca="1">IFERROR(ROUND(INDEX(F:F,MATCH($T206,$A:$A,0)),0),INDEX(PREVIVAZ!$C180:$N180,1,MATCH(V$27,PREVIVAZ!$C$1:$N$1,1)))</f>
        <v>#N/A</v>
      </c>
      <c r="W206" s="202" t="e">
        <f ca="1">IFERROR(ROUND(INDEX(G:G,MATCH($T206,$A:$A,0)),0),INDEX(PREVIVAZ!$C180:$N180,1,MATCH(W$27,PREVIVAZ!$C$1:$N$1,1)))</f>
        <v>#N/A</v>
      </c>
      <c r="X206" s="202" t="e">
        <f ca="1">IFERROR(ROUND(INDEX(H:H,MATCH($T206,$A:$A,0)),0),INDEX(PREVIVAZ!$C180:$N180,1,MATCH(X$27,PREVIVAZ!$C$1:$N$1,1)))</f>
        <v>#N/A</v>
      </c>
      <c r="Y206" s="202" t="e">
        <f ca="1">IFERROR(ROUND(INDEX(I:I,MATCH($T206,$A:$A,0)),0),INDEX(PREVIVAZ!$C180:$N180,1,MATCH(Y$27,PREVIVAZ!$C$1:$N$1,1)))</f>
        <v>#N/A</v>
      </c>
      <c r="Z206" s="202" t="e">
        <f ca="1">IFERROR(ROUND(INDEX(J:J,MATCH($T206,$A:$A,0)),0),INDEX(PREVIVAZ!$C180:$N180,1,MATCH(Z$27,PREVIVAZ!$C$1:$N$1,1)))</f>
        <v>#N/A</v>
      </c>
      <c r="AA206" s="202" t="e">
        <f ca="1">IFERROR(ROUND(INDEX(K:K,MATCH($T206,$A:$A,0)),0),INDEX(PREVIVAZ!$C180:$N180,1,MATCH(AA$27,PREVIVAZ!$C$1:$N$1,1)))</f>
        <v>#N/A</v>
      </c>
      <c r="AB206" s="202" t="e">
        <f ca="1">IFERROR(ROUND(INDEX(L:L,MATCH($T206,$A:$A,0)),0),INDEX(PREVIVAZ!$C180:$N180,1,MATCH(AB$27,PREVIVAZ!$C$1:$N$1,1)))</f>
        <v>#N/A</v>
      </c>
      <c r="AC206" s="202" t="e">
        <f ca="1">IFERROR(ROUND(INDEX(M:M,MATCH($T206,$A:$A,0)),0),INDEX(PREVIVAZ!$C180:$N180,1,MATCH(AC$27,PREVIVAZ!$C$1:$N$1,1)))</f>
        <v>#N/A</v>
      </c>
      <c r="AD206" s="202" t="e">
        <f ca="1">IFERROR(ROUND(INDEX(N:N,MATCH($T206,$A:$A,0)),0),INDEX(PREVIVAZ!$C180:$N180,1,MATCH(AD$27,PREVIVAZ!$C$1:$N$1,1)))</f>
        <v>#N/A</v>
      </c>
      <c r="AE206" s="202" t="e">
        <f ca="1">IFERROR(ROUND(INDEX(O:O,MATCH($T206,$A:$A,0)),0),INDEX(PREVIVAZ!$C180:$N180,1,MATCH(AE$27,PREVIVAZ!$C$1:$N$1,1)))</f>
        <v>#N/A</v>
      </c>
      <c r="AF206" s="202" t="e">
        <f ca="1">IFERROR(ROUND(INDEX(P:P,MATCH($T206,$A:$A,0)),0),INDEX(PREVIVAZ!$C180:$N180,1,MATCH(AF$27,PREVIVAZ!$C$1:$N$1,1)))</f>
        <v>#N/A</v>
      </c>
      <c r="AG206" s="202" t="e">
        <f ca="1">IFERROR(ROUND(INDEX(Q:Q,MATCH($T206,$A:$A,0)),0),INDEX(PREVIVAZ!$C180:$N180,1,MATCH(AG$27,PREVIVAZ!$C$1:$N$1,1)))</f>
        <v>#N/A</v>
      </c>
    </row>
    <row r="207" spans="15:33" ht="12.75" x14ac:dyDescent="0.2">
      <c r="O207"/>
      <c r="P207"/>
      <c r="Q207"/>
      <c r="R207"/>
      <c r="S207"/>
      <c r="T207" s="272">
        <v>180</v>
      </c>
      <c r="V207" s="202" t="e">
        <f ca="1">IFERROR(ROUND(INDEX(F:F,MATCH($T207,$A:$A,0)),0),INDEX(PREVIVAZ!$C181:$N181,1,MATCH(V$27,PREVIVAZ!$C$1:$N$1,1)))</f>
        <v>#N/A</v>
      </c>
      <c r="W207" s="202" t="e">
        <f ca="1">IFERROR(ROUND(INDEX(G:G,MATCH($T207,$A:$A,0)),0),INDEX(PREVIVAZ!$C181:$N181,1,MATCH(W$27,PREVIVAZ!$C$1:$N$1,1)))</f>
        <v>#N/A</v>
      </c>
      <c r="X207" s="202" t="e">
        <f ca="1">IFERROR(ROUND(INDEX(H:H,MATCH($T207,$A:$A,0)),0),INDEX(PREVIVAZ!$C181:$N181,1,MATCH(X$27,PREVIVAZ!$C$1:$N$1,1)))</f>
        <v>#N/A</v>
      </c>
      <c r="Y207" s="202" t="e">
        <f ca="1">IFERROR(ROUND(INDEX(I:I,MATCH($T207,$A:$A,0)),0),INDEX(PREVIVAZ!$C181:$N181,1,MATCH(Y$27,PREVIVAZ!$C$1:$N$1,1)))</f>
        <v>#N/A</v>
      </c>
      <c r="Z207" s="202" t="e">
        <f ca="1">IFERROR(ROUND(INDEX(J:J,MATCH($T207,$A:$A,0)),0),INDEX(PREVIVAZ!$C181:$N181,1,MATCH(Z$27,PREVIVAZ!$C$1:$N$1,1)))</f>
        <v>#N/A</v>
      </c>
      <c r="AA207" s="202" t="e">
        <f ca="1">IFERROR(ROUND(INDEX(K:K,MATCH($T207,$A:$A,0)),0),INDEX(PREVIVAZ!$C181:$N181,1,MATCH(AA$27,PREVIVAZ!$C$1:$N$1,1)))</f>
        <v>#N/A</v>
      </c>
      <c r="AB207" s="202" t="e">
        <f ca="1">IFERROR(ROUND(INDEX(L:L,MATCH($T207,$A:$A,0)),0),INDEX(PREVIVAZ!$C181:$N181,1,MATCH(AB$27,PREVIVAZ!$C$1:$N$1,1)))</f>
        <v>#N/A</v>
      </c>
      <c r="AC207" s="202" t="e">
        <f ca="1">IFERROR(ROUND(INDEX(M:M,MATCH($T207,$A:$A,0)),0),INDEX(PREVIVAZ!$C181:$N181,1,MATCH(AC$27,PREVIVAZ!$C$1:$N$1,1)))</f>
        <v>#N/A</v>
      </c>
      <c r="AD207" s="202" t="e">
        <f ca="1">IFERROR(ROUND(INDEX(N:N,MATCH($T207,$A:$A,0)),0),INDEX(PREVIVAZ!$C181:$N181,1,MATCH(AD$27,PREVIVAZ!$C$1:$N$1,1)))</f>
        <v>#N/A</v>
      </c>
      <c r="AE207" s="202" t="e">
        <f ca="1">IFERROR(ROUND(INDEX(O:O,MATCH($T207,$A:$A,0)),0),INDEX(PREVIVAZ!$C181:$N181,1,MATCH(AE$27,PREVIVAZ!$C$1:$N$1,1)))</f>
        <v>#N/A</v>
      </c>
      <c r="AF207" s="202" t="e">
        <f ca="1">IFERROR(ROUND(INDEX(P:P,MATCH($T207,$A:$A,0)),0),INDEX(PREVIVAZ!$C181:$N181,1,MATCH(AF$27,PREVIVAZ!$C$1:$N$1,1)))</f>
        <v>#N/A</v>
      </c>
      <c r="AG207" s="202" t="e">
        <f ca="1">IFERROR(ROUND(INDEX(Q:Q,MATCH($T207,$A:$A,0)),0),INDEX(PREVIVAZ!$C181:$N181,1,MATCH(AG$27,PREVIVAZ!$C$1:$N$1,1)))</f>
        <v>#N/A</v>
      </c>
    </row>
    <row r="208" spans="15:33" ht="12.75" x14ac:dyDescent="0.2">
      <c r="O208"/>
      <c r="P208"/>
      <c r="Q208"/>
      <c r="R208"/>
      <c r="S208"/>
      <c r="T208" s="272">
        <v>181</v>
      </c>
      <c r="V208" s="202" t="e">
        <f ca="1">IFERROR(ROUND(INDEX(F:F,MATCH($T208,$A:$A,0)),0),INDEX(PREVIVAZ!$C182:$N182,1,MATCH(V$27,PREVIVAZ!$C$1:$N$1,1)))</f>
        <v>#N/A</v>
      </c>
      <c r="W208" s="202" t="e">
        <f ca="1">IFERROR(ROUND(INDEX(G:G,MATCH($T208,$A:$A,0)),0),INDEX(PREVIVAZ!$C182:$N182,1,MATCH(W$27,PREVIVAZ!$C$1:$N$1,1)))</f>
        <v>#N/A</v>
      </c>
      <c r="X208" s="202" t="e">
        <f ca="1">IFERROR(ROUND(INDEX(H:H,MATCH($T208,$A:$A,0)),0),INDEX(PREVIVAZ!$C182:$N182,1,MATCH(X$27,PREVIVAZ!$C$1:$N$1,1)))</f>
        <v>#N/A</v>
      </c>
      <c r="Y208" s="202" t="e">
        <f ca="1">IFERROR(ROUND(INDEX(I:I,MATCH($T208,$A:$A,0)),0),INDEX(PREVIVAZ!$C182:$N182,1,MATCH(Y$27,PREVIVAZ!$C$1:$N$1,1)))</f>
        <v>#N/A</v>
      </c>
      <c r="Z208" s="202" t="e">
        <f ca="1">IFERROR(ROUND(INDEX(J:J,MATCH($T208,$A:$A,0)),0),INDEX(PREVIVAZ!$C182:$N182,1,MATCH(Z$27,PREVIVAZ!$C$1:$N$1,1)))</f>
        <v>#N/A</v>
      </c>
      <c r="AA208" s="202" t="e">
        <f ca="1">IFERROR(ROUND(INDEX(K:K,MATCH($T208,$A:$A,0)),0),INDEX(PREVIVAZ!$C182:$N182,1,MATCH(AA$27,PREVIVAZ!$C$1:$N$1,1)))</f>
        <v>#N/A</v>
      </c>
      <c r="AB208" s="202" t="e">
        <f ca="1">IFERROR(ROUND(INDEX(L:L,MATCH($T208,$A:$A,0)),0),INDEX(PREVIVAZ!$C182:$N182,1,MATCH(AB$27,PREVIVAZ!$C$1:$N$1,1)))</f>
        <v>#N/A</v>
      </c>
      <c r="AC208" s="202" t="e">
        <f ca="1">IFERROR(ROUND(INDEX(M:M,MATCH($T208,$A:$A,0)),0),INDEX(PREVIVAZ!$C182:$N182,1,MATCH(AC$27,PREVIVAZ!$C$1:$N$1,1)))</f>
        <v>#N/A</v>
      </c>
      <c r="AD208" s="202" t="e">
        <f ca="1">IFERROR(ROUND(INDEX(N:N,MATCH($T208,$A:$A,0)),0),INDEX(PREVIVAZ!$C182:$N182,1,MATCH(AD$27,PREVIVAZ!$C$1:$N$1,1)))</f>
        <v>#N/A</v>
      </c>
      <c r="AE208" s="202" t="e">
        <f ca="1">IFERROR(ROUND(INDEX(O:O,MATCH($T208,$A:$A,0)),0),INDEX(PREVIVAZ!$C182:$N182,1,MATCH(AE$27,PREVIVAZ!$C$1:$N$1,1)))</f>
        <v>#N/A</v>
      </c>
      <c r="AF208" s="202" t="e">
        <f ca="1">IFERROR(ROUND(INDEX(P:P,MATCH($T208,$A:$A,0)),0),INDEX(PREVIVAZ!$C182:$N182,1,MATCH(AF$27,PREVIVAZ!$C$1:$N$1,1)))</f>
        <v>#N/A</v>
      </c>
      <c r="AG208" s="202" t="e">
        <f ca="1">IFERROR(ROUND(INDEX(Q:Q,MATCH($T208,$A:$A,0)),0),INDEX(PREVIVAZ!$C182:$N182,1,MATCH(AG$27,PREVIVAZ!$C$1:$N$1,1)))</f>
        <v>#N/A</v>
      </c>
    </row>
    <row r="209" spans="15:33" ht="12.75" x14ac:dyDescent="0.2">
      <c r="O209"/>
      <c r="P209"/>
      <c r="Q209"/>
      <c r="R209"/>
      <c r="S209"/>
      <c r="T209" s="272">
        <v>182</v>
      </c>
      <c r="V209" s="202" t="e">
        <f ca="1">IFERROR(ROUND(INDEX(F:F,MATCH($T209,$A:$A,0)),0),INDEX(PREVIVAZ!$C183:$N183,1,MATCH(V$27,PREVIVAZ!$C$1:$N$1,1)))</f>
        <v>#N/A</v>
      </c>
      <c r="W209" s="202" t="e">
        <f ca="1">IFERROR(ROUND(INDEX(G:G,MATCH($T209,$A:$A,0)),0),INDEX(PREVIVAZ!$C183:$N183,1,MATCH(W$27,PREVIVAZ!$C$1:$N$1,1)))</f>
        <v>#N/A</v>
      </c>
      <c r="X209" s="202" t="e">
        <f ca="1">IFERROR(ROUND(INDEX(H:H,MATCH($T209,$A:$A,0)),0),INDEX(PREVIVAZ!$C183:$N183,1,MATCH(X$27,PREVIVAZ!$C$1:$N$1,1)))</f>
        <v>#N/A</v>
      </c>
      <c r="Y209" s="202" t="e">
        <f ca="1">IFERROR(ROUND(INDEX(I:I,MATCH($T209,$A:$A,0)),0),INDEX(PREVIVAZ!$C183:$N183,1,MATCH(Y$27,PREVIVAZ!$C$1:$N$1,1)))</f>
        <v>#N/A</v>
      </c>
      <c r="Z209" s="202" t="e">
        <f ca="1">IFERROR(ROUND(INDEX(J:J,MATCH($T209,$A:$A,0)),0),INDEX(PREVIVAZ!$C183:$N183,1,MATCH(Z$27,PREVIVAZ!$C$1:$N$1,1)))</f>
        <v>#N/A</v>
      </c>
      <c r="AA209" s="202" t="e">
        <f ca="1">IFERROR(ROUND(INDEX(K:K,MATCH($T209,$A:$A,0)),0),INDEX(PREVIVAZ!$C183:$N183,1,MATCH(AA$27,PREVIVAZ!$C$1:$N$1,1)))</f>
        <v>#N/A</v>
      </c>
      <c r="AB209" s="202" t="e">
        <f ca="1">IFERROR(ROUND(INDEX(L:L,MATCH($T209,$A:$A,0)),0),INDEX(PREVIVAZ!$C183:$N183,1,MATCH(AB$27,PREVIVAZ!$C$1:$N$1,1)))</f>
        <v>#N/A</v>
      </c>
      <c r="AC209" s="202" t="e">
        <f ca="1">IFERROR(ROUND(INDEX(M:M,MATCH($T209,$A:$A,0)),0),INDEX(PREVIVAZ!$C183:$N183,1,MATCH(AC$27,PREVIVAZ!$C$1:$N$1,1)))</f>
        <v>#N/A</v>
      </c>
      <c r="AD209" s="202" t="e">
        <f ca="1">IFERROR(ROUND(INDEX(N:N,MATCH($T209,$A:$A,0)),0),INDEX(PREVIVAZ!$C183:$N183,1,MATCH(AD$27,PREVIVAZ!$C$1:$N$1,1)))</f>
        <v>#N/A</v>
      </c>
      <c r="AE209" s="202" t="e">
        <f ca="1">IFERROR(ROUND(INDEX(O:O,MATCH($T209,$A:$A,0)),0),INDEX(PREVIVAZ!$C183:$N183,1,MATCH(AE$27,PREVIVAZ!$C$1:$N$1,1)))</f>
        <v>#N/A</v>
      </c>
      <c r="AF209" s="202" t="e">
        <f ca="1">IFERROR(ROUND(INDEX(P:P,MATCH($T209,$A:$A,0)),0),INDEX(PREVIVAZ!$C183:$N183,1,MATCH(AF$27,PREVIVAZ!$C$1:$N$1,1)))</f>
        <v>#N/A</v>
      </c>
      <c r="AG209" s="202" t="e">
        <f ca="1">IFERROR(ROUND(INDEX(Q:Q,MATCH($T209,$A:$A,0)),0),INDEX(PREVIVAZ!$C183:$N183,1,MATCH(AG$27,PREVIVAZ!$C$1:$N$1,1)))</f>
        <v>#N/A</v>
      </c>
    </row>
    <row r="210" spans="15:33" ht="12.75" x14ac:dyDescent="0.2">
      <c r="O210"/>
      <c r="P210"/>
      <c r="Q210"/>
      <c r="R210"/>
      <c r="S210"/>
      <c r="T210" s="272">
        <v>183</v>
      </c>
      <c r="V210" s="202" t="e">
        <f ca="1">IFERROR(ROUND(INDEX(F:F,MATCH($T210,$A:$A,0)),0),INDEX(PREVIVAZ!$C184:$N184,1,MATCH(V$27,PREVIVAZ!$C$1:$N$1,1)))</f>
        <v>#N/A</v>
      </c>
      <c r="W210" s="202" t="e">
        <f ca="1">IFERROR(ROUND(INDEX(G:G,MATCH($T210,$A:$A,0)),0),INDEX(PREVIVAZ!$C184:$N184,1,MATCH(W$27,PREVIVAZ!$C$1:$N$1,1)))</f>
        <v>#N/A</v>
      </c>
      <c r="X210" s="202" t="e">
        <f ca="1">IFERROR(ROUND(INDEX(H:H,MATCH($T210,$A:$A,0)),0),INDEX(PREVIVAZ!$C184:$N184,1,MATCH(X$27,PREVIVAZ!$C$1:$N$1,1)))</f>
        <v>#N/A</v>
      </c>
      <c r="Y210" s="202" t="e">
        <f ca="1">IFERROR(ROUND(INDEX(I:I,MATCH($T210,$A:$A,0)),0),INDEX(PREVIVAZ!$C184:$N184,1,MATCH(Y$27,PREVIVAZ!$C$1:$N$1,1)))</f>
        <v>#N/A</v>
      </c>
      <c r="Z210" s="202" t="e">
        <f ca="1">IFERROR(ROUND(INDEX(J:J,MATCH($T210,$A:$A,0)),0),INDEX(PREVIVAZ!$C184:$N184,1,MATCH(Z$27,PREVIVAZ!$C$1:$N$1,1)))</f>
        <v>#N/A</v>
      </c>
      <c r="AA210" s="202" t="e">
        <f ca="1">IFERROR(ROUND(INDEX(K:K,MATCH($T210,$A:$A,0)),0),INDEX(PREVIVAZ!$C184:$N184,1,MATCH(AA$27,PREVIVAZ!$C$1:$N$1,1)))</f>
        <v>#N/A</v>
      </c>
      <c r="AB210" s="202" t="e">
        <f ca="1">IFERROR(ROUND(INDEX(L:L,MATCH($T210,$A:$A,0)),0),INDEX(PREVIVAZ!$C184:$N184,1,MATCH(AB$27,PREVIVAZ!$C$1:$N$1,1)))</f>
        <v>#N/A</v>
      </c>
      <c r="AC210" s="202" t="e">
        <f ca="1">IFERROR(ROUND(INDEX(M:M,MATCH($T210,$A:$A,0)),0),INDEX(PREVIVAZ!$C184:$N184,1,MATCH(AC$27,PREVIVAZ!$C$1:$N$1,1)))</f>
        <v>#N/A</v>
      </c>
      <c r="AD210" s="202" t="e">
        <f ca="1">IFERROR(ROUND(INDEX(N:N,MATCH($T210,$A:$A,0)),0),INDEX(PREVIVAZ!$C184:$N184,1,MATCH(AD$27,PREVIVAZ!$C$1:$N$1,1)))</f>
        <v>#N/A</v>
      </c>
      <c r="AE210" s="202" t="e">
        <f ca="1">IFERROR(ROUND(INDEX(O:O,MATCH($T210,$A:$A,0)),0),INDEX(PREVIVAZ!$C184:$N184,1,MATCH(AE$27,PREVIVAZ!$C$1:$N$1,1)))</f>
        <v>#N/A</v>
      </c>
      <c r="AF210" s="202" t="e">
        <f ca="1">IFERROR(ROUND(INDEX(P:P,MATCH($T210,$A:$A,0)),0),INDEX(PREVIVAZ!$C184:$N184,1,MATCH(AF$27,PREVIVAZ!$C$1:$N$1,1)))</f>
        <v>#N/A</v>
      </c>
      <c r="AG210" s="202" t="e">
        <f ca="1">IFERROR(ROUND(INDEX(Q:Q,MATCH($T210,$A:$A,0)),0),INDEX(PREVIVAZ!$C184:$N184,1,MATCH(AG$27,PREVIVAZ!$C$1:$N$1,1)))</f>
        <v>#N/A</v>
      </c>
    </row>
    <row r="211" spans="15:33" ht="12.75" x14ac:dyDescent="0.2">
      <c r="O211"/>
      <c r="P211"/>
      <c r="Q211"/>
      <c r="R211"/>
      <c r="S211"/>
      <c r="T211" s="272">
        <v>184</v>
      </c>
      <c r="V211" s="202" t="e">
        <f ca="1">IFERROR(ROUND(INDEX(F:F,MATCH($T211,$A:$A,0)),0),INDEX(PREVIVAZ!$C185:$N185,1,MATCH(V$27,PREVIVAZ!$C$1:$N$1,1)))</f>
        <v>#N/A</v>
      </c>
      <c r="W211" s="202" t="e">
        <f ca="1">IFERROR(ROUND(INDEX(G:G,MATCH($T211,$A:$A,0)),0),INDEX(PREVIVAZ!$C185:$N185,1,MATCH(W$27,PREVIVAZ!$C$1:$N$1,1)))</f>
        <v>#N/A</v>
      </c>
      <c r="X211" s="202" t="e">
        <f ca="1">IFERROR(ROUND(INDEX(H:H,MATCH($T211,$A:$A,0)),0),INDEX(PREVIVAZ!$C185:$N185,1,MATCH(X$27,PREVIVAZ!$C$1:$N$1,1)))</f>
        <v>#N/A</v>
      </c>
      <c r="Y211" s="202" t="e">
        <f ca="1">IFERROR(ROUND(INDEX(I:I,MATCH($T211,$A:$A,0)),0),INDEX(PREVIVAZ!$C185:$N185,1,MATCH(Y$27,PREVIVAZ!$C$1:$N$1,1)))</f>
        <v>#N/A</v>
      </c>
      <c r="Z211" s="202" t="e">
        <f ca="1">IFERROR(ROUND(INDEX(J:J,MATCH($T211,$A:$A,0)),0),INDEX(PREVIVAZ!$C185:$N185,1,MATCH(Z$27,PREVIVAZ!$C$1:$N$1,1)))</f>
        <v>#N/A</v>
      </c>
      <c r="AA211" s="202" t="e">
        <f ca="1">IFERROR(ROUND(INDEX(K:K,MATCH($T211,$A:$A,0)),0),INDEX(PREVIVAZ!$C185:$N185,1,MATCH(AA$27,PREVIVAZ!$C$1:$N$1,1)))</f>
        <v>#N/A</v>
      </c>
      <c r="AB211" s="202" t="e">
        <f ca="1">IFERROR(ROUND(INDEX(L:L,MATCH($T211,$A:$A,0)),0),INDEX(PREVIVAZ!$C185:$N185,1,MATCH(AB$27,PREVIVAZ!$C$1:$N$1,1)))</f>
        <v>#N/A</v>
      </c>
      <c r="AC211" s="202" t="e">
        <f ca="1">IFERROR(ROUND(INDEX(M:M,MATCH($T211,$A:$A,0)),0),INDEX(PREVIVAZ!$C185:$N185,1,MATCH(AC$27,PREVIVAZ!$C$1:$N$1,1)))</f>
        <v>#N/A</v>
      </c>
      <c r="AD211" s="202" t="e">
        <f ca="1">IFERROR(ROUND(INDEX(N:N,MATCH($T211,$A:$A,0)),0),INDEX(PREVIVAZ!$C185:$N185,1,MATCH(AD$27,PREVIVAZ!$C$1:$N$1,1)))</f>
        <v>#N/A</v>
      </c>
      <c r="AE211" s="202" t="e">
        <f ca="1">IFERROR(ROUND(INDEX(O:O,MATCH($T211,$A:$A,0)),0),INDEX(PREVIVAZ!$C185:$N185,1,MATCH(AE$27,PREVIVAZ!$C$1:$N$1,1)))</f>
        <v>#N/A</v>
      </c>
      <c r="AF211" s="202" t="e">
        <f ca="1">IFERROR(ROUND(INDEX(P:P,MATCH($T211,$A:$A,0)),0),INDEX(PREVIVAZ!$C185:$N185,1,MATCH(AF$27,PREVIVAZ!$C$1:$N$1,1)))</f>
        <v>#N/A</v>
      </c>
      <c r="AG211" s="202" t="e">
        <f ca="1">IFERROR(ROUND(INDEX(Q:Q,MATCH($T211,$A:$A,0)),0),INDEX(PREVIVAZ!$C185:$N185,1,MATCH(AG$27,PREVIVAZ!$C$1:$N$1,1)))</f>
        <v>#N/A</v>
      </c>
    </row>
    <row r="212" spans="15:33" ht="12.75" x14ac:dyDescent="0.2">
      <c r="O212"/>
      <c r="P212"/>
      <c r="Q212"/>
      <c r="R212"/>
      <c r="S212"/>
      <c r="T212" s="272">
        <v>185</v>
      </c>
      <c r="V212" s="202" t="e">
        <f ca="1">IFERROR(ROUND(INDEX(F:F,MATCH($T212,$A:$A,0)),0),INDEX(PREVIVAZ!$C186:$N186,1,MATCH(V$27,PREVIVAZ!$C$1:$N$1,1)))</f>
        <v>#N/A</v>
      </c>
      <c r="W212" s="202" t="e">
        <f ca="1">IFERROR(ROUND(INDEX(G:G,MATCH($T212,$A:$A,0)),0),INDEX(PREVIVAZ!$C186:$N186,1,MATCH(W$27,PREVIVAZ!$C$1:$N$1,1)))</f>
        <v>#N/A</v>
      </c>
      <c r="X212" s="202" t="e">
        <f ca="1">IFERROR(ROUND(INDEX(H:H,MATCH($T212,$A:$A,0)),0),INDEX(PREVIVAZ!$C186:$N186,1,MATCH(X$27,PREVIVAZ!$C$1:$N$1,1)))</f>
        <v>#N/A</v>
      </c>
      <c r="Y212" s="202" t="e">
        <f ca="1">IFERROR(ROUND(INDEX(I:I,MATCH($T212,$A:$A,0)),0),INDEX(PREVIVAZ!$C186:$N186,1,MATCH(Y$27,PREVIVAZ!$C$1:$N$1,1)))</f>
        <v>#N/A</v>
      </c>
      <c r="Z212" s="202" t="e">
        <f ca="1">IFERROR(ROUND(INDEX(J:J,MATCH($T212,$A:$A,0)),0),INDEX(PREVIVAZ!$C186:$N186,1,MATCH(Z$27,PREVIVAZ!$C$1:$N$1,1)))</f>
        <v>#N/A</v>
      </c>
      <c r="AA212" s="202" t="e">
        <f ca="1">IFERROR(ROUND(INDEX(K:K,MATCH($T212,$A:$A,0)),0),INDEX(PREVIVAZ!$C186:$N186,1,MATCH(AA$27,PREVIVAZ!$C$1:$N$1,1)))</f>
        <v>#N/A</v>
      </c>
      <c r="AB212" s="202" t="e">
        <f ca="1">IFERROR(ROUND(INDEX(L:L,MATCH($T212,$A:$A,0)),0),INDEX(PREVIVAZ!$C186:$N186,1,MATCH(AB$27,PREVIVAZ!$C$1:$N$1,1)))</f>
        <v>#N/A</v>
      </c>
      <c r="AC212" s="202" t="e">
        <f ca="1">IFERROR(ROUND(INDEX(M:M,MATCH($T212,$A:$A,0)),0),INDEX(PREVIVAZ!$C186:$N186,1,MATCH(AC$27,PREVIVAZ!$C$1:$N$1,1)))</f>
        <v>#N/A</v>
      </c>
      <c r="AD212" s="202" t="e">
        <f ca="1">IFERROR(ROUND(INDEX(N:N,MATCH($T212,$A:$A,0)),0),INDEX(PREVIVAZ!$C186:$N186,1,MATCH(AD$27,PREVIVAZ!$C$1:$N$1,1)))</f>
        <v>#N/A</v>
      </c>
      <c r="AE212" s="202" t="e">
        <f ca="1">IFERROR(ROUND(INDEX(O:O,MATCH($T212,$A:$A,0)),0),INDEX(PREVIVAZ!$C186:$N186,1,MATCH(AE$27,PREVIVAZ!$C$1:$N$1,1)))</f>
        <v>#N/A</v>
      </c>
      <c r="AF212" s="202" t="e">
        <f ca="1">IFERROR(ROUND(INDEX(P:P,MATCH($T212,$A:$A,0)),0),INDEX(PREVIVAZ!$C186:$N186,1,MATCH(AF$27,PREVIVAZ!$C$1:$N$1,1)))</f>
        <v>#N/A</v>
      </c>
      <c r="AG212" s="202" t="e">
        <f ca="1">IFERROR(ROUND(INDEX(Q:Q,MATCH($T212,$A:$A,0)),0),INDEX(PREVIVAZ!$C186:$N186,1,MATCH(AG$27,PREVIVAZ!$C$1:$N$1,1)))</f>
        <v>#N/A</v>
      </c>
    </row>
    <row r="213" spans="15:33" ht="12.75" x14ac:dyDescent="0.2">
      <c r="O213"/>
      <c r="P213"/>
      <c r="Q213"/>
      <c r="R213"/>
      <c r="S213"/>
      <c r="T213" s="272">
        <v>186</v>
      </c>
      <c r="V213" s="202" t="e">
        <f ca="1">IFERROR(ROUND(INDEX(F:F,MATCH($T213,$A:$A,0)),0),INDEX(PREVIVAZ!$C187:$N187,1,MATCH(V$27,PREVIVAZ!$C$1:$N$1,1)))</f>
        <v>#N/A</v>
      </c>
      <c r="W213" s="202" t="e">
        <f ca="1">IFERROR(ROUND(INDEX(G:G,MATCH($T213,$A:$A,0)),0),INDEX(PREVIVAZ!$C187:$N187,1,MATCH(W$27,PREVIVAZ!$C$1:$N$1,1)))</f>
        <v>#N/A</v>
      </c>
      <c r="X213" s="202" t="e">
        <f ca="1">IFERROR(ROUND(INDEX(H:H,MATCH($T213,$A:$A,0)),0),INDEX(PREVIVAZ!$C187:$N187,1,MATCH(X$27,PREVIVAZ!$C$1:$N$1,1)))</f>
        <v>#N/A</v>
      </c>
      <c r="Y213" s="202" t="e">
        <f ca="1">IFERROR(ROUND(INDEX(I:I,MATCH($T213,$A:$A,0)),0),INDEX(PREVIVAZ!$C187:$N187,1,MATCH(Y$27,PREVIVAZ!$C$1:$N$1,1)))</f>
        <v>#N/A</v>
      </c>
      <c r="Z213" s="202" t="e">
        <f ca="1">IFERROR(ROUND(INDEX(J:J,MATCH($T213,$A:$A,0)),0),INDEX(PREVIVAZ!$C187:$N187,1,MATCH(Z$27,PREVIVAZ!$C$1:$N$1,1)))</f>
        <v>#N/A</v>
      </c>
      <c r="AA213" s="202" t="e">
        <f ca="1">IFERROR(ROUND(INDEX(K:K,MATCH($T213,$A:$A,0)),0),INDEX(PREVIVAZ!$C187:$N187,1,MATCH(AA$27,PREVIVAZ!$C$1:$N$1,1)))</f>
        <v>#N/A</v>
      </c>
      <c r="AB213" s="202" t="e">
        <f ca="1">IFERROR(ROUND(INDEX(L:L,MATCH($T213,$A:$A,0)),0),INDEX(PREVIVAZ!$C187:$N187,1,MATCH(AB$27,PREVIVAZ!$C$1:$N$1,1)))</f>
        <v>#N/A</v>
      </c>
      <c r="AC213" s="202" t="e">
        <f ca="1">IFERROR(ROUND(INDEX(M:M,MATCH($T213,$A:$A,0)),0),INDEX(PREVIVAZ!$C187:$N187,1,MATCH(AC$27,PREVIVAZ!$C$1:$N$1,1)))</f>
        <v>#N/A</v>
      </c>
      <c r="AD213" s="202" t="e">
        <f ca="1">IFERROR(ROUND(INDEX(N:N,MATCH($T213,$A:$A,0)),0),INDEX(PREVIVAZ!$C187:$N187,1,MATCH(AD$27,PREVIVAZ!$C$1:$N$1,1)))</f>
        <v>#N/A</v>
      </c>
      <c r="AE213" s="202" t="e">
        <f ca="1">IFERROR(ROUND(INDEX(O:O,MATCH($T213,$A:$A,0)),0),INDEX(PREVIVAZ!$C187:$N187,1,MATCH(AE$27,PREVIVAZ!$C$1:$N$1,1)))</f>
        <v>#N/A</v>
      </c>
      <c r="AF213" s="202" t="e">
        <f ca="1">IFERROR(ROUND(INDEX(P:P,MATCH($T213,$A:$A,0)),0),INDEX(PREVIVAZ!$C187:$N187,1,MATCH(AF$27,PREVIVAZ!$C$1:$N$1,1)))</f>
        <v>#N/A</v>
      </c>
      <c r="AG213" s="202" t="e">
        <f ca="1">IFERROR(ROUND(INDEX(Q:Q,MATCH($T213,$A:$A,0)),0),INDEX(PREVIVAZ!$C187:$N187,1,MATCH(AG$27,PREVIVAZ!$C$1:$N$1,1)))</f>
        <v>#N/A</v>
      </c>
    </row>
    <row r="214" spans="15:33" ht="12.75" x14ac:dyDescent="0.2">
      <c r="O214"/>
      <c r="P214"/>
      <c r="Q214"/>
      <c r="R214"/>
      <c r="S214"/>
      <c r="T214" s="272">
        <v>187</v>
      </c>
      <c r="V214" s="202" t="e">
        <f ca="1">IFERROR(ROUND(INDEX(F:F,MATCH($T214,$A:$A,0)),0),INDEX(PREVIVAZ!$C188:$N188,1,MATCH(V$27,PREVIVAZ!$C$1:$N$1,1)))</f>
        <v>#N/A</v>
      </c>
      <c r="W214" s="202" t="e">
        <f ca="1">IFERROR(ROUND(INDEX(G:G,MATCH($T214,$A:$A,0)),0),INDEX(PREVIVAZ!$C188:$N188,1,MATCH(W$27,PREVIVAZ!$C$1:$N$1,1)))</f>
        <v>#N/A</v>
      </c>
      <c r="X214" s="202" t="e">
        <f ca="1">IFERROR(ROUND(INDEX(H:H,MATCH($T214,$A:$A,0)),0),INDEX(PREVIVAZ!$C188:$N188,1,MATCH(X$27,PREVIVAZ!$C$1:$N$1,1)))</f>
        <v>#N/A</v>
      </c>
      <c r="Y214" s="202" t="e">
        <f ca="1">IFERROR(ROUND(INDEX(I:I,MATCH($T214,$A:$A,0)),0),INDEX(PREVIVAZ!$C188:$N188,1,MATCH(Y$27,PREVIVAZ!$C$1:$N$1,1)))</f>
        <v>#N/A</v>
      </c>
      <c r="Z214" s="202" t="e">
        <f ca="1">IFERROR(ROUND(INDEX(J:J,MATCH($T214,$A:$A,0)),0),INDEX(PREVIVAZ!$C188:$N188,1,MATCH(Z$27,PREVIVAZ!$C$1:$N$1,1)))</f>
        <v>#N/A</v>
      </c>
      <c r="AA214" s="202" t="e">
        <f ca="1">IFERROR(ROUND(INDEX(K:K,MATCH($T214,$A:$A,0)),0),INDEX(PREVIVAZ!$C188:$N188,1,MATCH(AA$27,PREVIVAZ!$C$1:$N$1,1)))</f>
        <v>#N/A</v>
      </c>
      <c r="AB214" s="202" t="e">
        <f ca="1">IFERROR(ROUND(INDEX(L:L,MATCH($T214,$A:$A,0)),0),INDEX(PREVIVAZ!$C188:$N188,1,MATCH(AB$27,PREVIVAZ!$C$1:$N$1,1)))</f>
        <v>#N/A</v>
      </c>
      <c r="AC214" s="202" t="e">
        <f ca="1">IFERROR(ROUND(INDEX(M:M,MATCH($T214,$A:$A,0)),0),INDEX(PREVIVAZ!$C188:$N188,1,MATCH(AC$27,PREVIVAZ!$C$1:$N$1,1)))</f>
        <v>#N/A</v>
      </c>
      <c r="AD214" s="202" t="e">
        <f ca="1">IFERROR(ROUND(INDEX(N:N,MATCH($T214,$A:$A,0)),0),INDEX(PREVIVAZ!$C188:$N188,1,MATCH(AD$27,PREVIVAZ!$C$1:$N$1,1)))</f>
        <v>#N/A</v>
      </c>
      <c r="AE214" s="202" t="e">
        <f ca="1">IFERROR(ROUND(INDEX(O:O,MATCH($T214,$A:$A,0)),0),INDEX(PREVIVAZ!$C188:$N188,1,MATCH(AE$27,PREVIVAZ!$C$1:$N$1,1)))</f>
        <v>#N/A</v>
      </c>
      <c r="AF214" s="202" t="e">
        <f ca="1">IFERROR(ROUND(INDEX(P:P,MATCH($T214,$A:$A,0)),0),INDEX(PREVIVAZ!$C188:$N188,1,MATCH(AF$27,PREVIVAZ!$C$1:$N$1,1)))</f>
        <v>#N/A</v>
      </c>
      <c r="AG214" s="202" t="e">
        <f ca="1">IFERROR(ROUND(INDEX(Q:Q,MATCH($T214,$A:$A,0)),0),INDEX(PREVIVAZ!$C188:$N188,1,MATCH(AG$27,PREVIVAZ!$C$1:$N$1,1)))</f>
        <v>#N/A</v>
      </c>
    </row>
    <row r="215" spans="15:33" ht="12.75" x14ac:dyDescent="0.2">
      <c r="O215"/>
      <c r="P215"/>
      <c r="Q215"/>
      <c r="R215"/>
      <c r="S215"/>
      <c r="T215" s="272">
        <v>188</v>
      </c>
      <c r="V215" s="202" t="e">
        <f ca="1">IFERROR(ROUND(INDEX(F:F,MATCH($T215,$A:$A,0)),0),INDEX(PREVIVAZ!$C189:$N189,1,MATCH(V$27,PREVIVAZ!$C$1:$N$1,1)))</f>
        <v>#N/A</v>
      </c>
      <c r="W215" s="202" t="e">
        <f ca="1">IFERROR(ROUND(INDEX(G:G,MATCH($T215,$A:$A,0)),0),INDEX(PREVIVAZ!$C189:$N189,1,MATCH(W$27,PREVIVAZ!$C$1:$N$1,1)))</f>
        <v>#N/A</v>
      </c>
      <c r="X215" s="202" t="e">
        <f ca="1">IFERROR(ROUND(INDEX(H:H,MATCH($T215,$A:$A,0)),0),INDEX(PREVIVAZ!$C189:$N189,1,MATCH(X$27,PREVIVAZ!$C$1:$N$1,1)))</f>
        <v>#N/A</v>
      </c>
      <c r="Y215" s="202" t="e">
        <f ca="1">IFERROR(ROUND(INDEX(I:I,MATCH($T215,$A:$A,0)),0),INDEX(PREVIVAZ!$C189:$N189,1,MATCH(Y$27,PREVIVAZ!$C$1:$N$1,1)))</f>
        <v>#N/A</v>
      </c>
      <c r="Z215" s="202" t="e">
        <f ca="1">IFERROR(ROUND(INDEX(J:J,MATCH($T215,$A:$A,0)),0),INDEX(PREVIVAZ!$C189:$N189,1,MATCH(Z$27,PREVIVAZ!$C$1:$N$1,1)))</f>
        <v>#N/A</v>
      </c>
      <c r="AA215" s="202" t="e">
        <f ca="1">IFERROR(ROUND(INDEX(K:K,MATCH($T215,$A:$A,0)),0),INDEX(PREVIVAZ!$C189:$N189,1,MATCH(AA$27,PREVIVAZ!$C$1:$N$1,1)))</f>
        <v>#N/A</v>
      </c>
      <c r="AB215" s="202" t="e">
        <f ca="1">IFERROR(ROUND(INDEX(L:L,MATCH($T215,$A:$A,0)),0),INDEX(PREVIVAZ!$C189:$N189,1,MATCH(AB$27,PREVIVAZ!$C$1:$N$1,1)))</f>
        <v>#N/A</v>
      </c>
      <c r="AC215" s="202" t="e">
        <f ca="1">IFERROR(ROUND(INDEX(M:M,MATCH($T215,$A:$A,0)),0),INDEX(PREVIVAZ!$C189:$N189,1,MATCH(AC$27,PREVIVAZ!$C$1:$N$1,1)))</f>
        <v>#N/A</v>
      </c>
      <c r="AD215" s="202" t="e">
        <f ca="1">IFERROR(ROUND(INDEX(N:N,MATCH($T215,$A:$A,0)),0),INDEX(PREVIVAZ!$C189:$N189,1,MATCH(AD$27,PREVIVAZ!$C$1:$N$1,1)))</f>
        <v>#N/A</v>
      </c>
      <c r="AE215" s="202" t="e">
        <f ca="1">IFERROR(ROUND(INDEX(O:O,MATCH($T215,$A:$A,0)),0),INDEX(PREVIVAZ!$C189:$N189,1,MATCH(AE$27,PREVIVAZ!$C$1:$N$1,1)))</f>
        <v>#N/A</v>
      </c>
      <c r="AF215" s="202" t="e">
        <f ca="1">IFERROR(ROUND(INDEX(P:P,MATCH($T215,$A:$A,0)),0),INDEX(PREVIVAZ!$C189:$N189,1,MATCH(AF$27,PREVIVAZ!$C$1:$N$1,1)))</f>
        <v>#N/A</v>
      </c>
      <c r="AG215" s="202" t="e">
        <f ca="1">IFERROR(ROUND(INDEX(Q:Q,MATCH($T215,$A:$A,0)),0),INDEX(PREVIVAZ!$C189:$N189,1,MATCH(AG$27,PREVIVAZ!$C$1:$N$1,1)))</f>
        <v>#N/A</v>
      </c>
    </row>
    <row r="216" spans="15:33" ht="12.75" x14ac:dyDescent="0.2">
      <c r="O216"/>
      <c r="P216"/>
      <c r="Q216"/>
      <c r="R216"/>
      <c r="S216"/>
      <c r="T216" s="272">
        <v>189</v>
      </c>
      <c r="V216" s="202" t="e">
        <f ca="1">IFERROR(ROUND(INDEX(F:F,MATCH($T216,$A:$A,0)),0),INDEX(PREVIVAZ!$C190:$N190,1,MATCH(V$27,PREVIVAZ!$C$1:$N$1,1)))</f>
        <v>#N/A</v>
      </c>
      <c r="W216" s="202" t="e">
        <f ca="1">IFERROR(ROUND(INDEX(G:G,MATCH($T216,$A:$A,0)),0),INDEX(PREVIVAZ!$C190:$N190,1,MATCH(W$27,PREVIVAZ!$C$1:$N$1,1)))</f>
        <v>#N/A</v>
      </c>
      <c r="X216" s="202" t="e">
        <f ca="1">IFERROR(ROUND(INDEX(H:H,MATCH($T216,$A:$A,0)),0),INDEX(PREVIVAZ!$C190:$N190,1,MATCH(X$27,PREVIVAZ!$C$1:$N$1,1)))</f>
        <v>#N/A</v>
      </c>
      <c r="Y216" s="202" t="e">
        <f ca="1">IFERROR(ROUND(INDEX(I:I,MATCH($T216,$A:$A,0)),0),INDEX(PREVIVAZ!$C190:$N190,1,MATCH(Y$27,PREVIVAZ!$C$1:$N$1,1)))</f>
        <v>#N/A</v>
      </c>
      <c r="Z216" s="202" t="e">
        <f ca="1">IFERROR(ROUND(INDEX(J:J,MATCH($T216,$A:$A,0)),0),INDEX(PREVIVAZ!$C190:$N190,1,MATCH(Z$27,PREVIVAZ!$C$1:$N$1,1)))</f>
        <v>#N/A</v>
      </c>
      <c r="AA216" s="202" t="e">
        <f ca="1">IFERROR(ROUND(INDEX(K:K,MATCH($T216,$A:$A,0)),0),INDEX(PREVIVAZ!$C190:$N190,1,MATCH(AA$27,PREVIVAZ!$C$1:$N$1,1)))</f>
        <v>#N/A</v>
      </c>
      <c r="AB216" s="202" t="e">
        <f ca="1">IFERROR(ROUND(INDEX(L:L,MATCH($T216,$A:$A,0)),0),INDEX(PREVIVAZ!$C190:$N190,1,MATCH(AB$27,PREVIVAZ!$C$1:$N$1,1)))</f>
        <v>#N/A</v>
      </c>
      <c r="AC216" s="202" t="e">
        <f ca="1">IFERROR(ROUND(INDEX(M:M,MATCH($T216,$A:$A,0)),0),INDEX(PREVIVAZ!$C190:$N190,1,MATCH(AC$27,PREVIVAZ!$C$1:$N$1,1)))</f>
        <v>#N/A</v>
      </c>
      <c r="AD216" s="202" t="e">
        <f ca="1">IFERROR(ROUND(INDEX(N:N,MATCH($T216,$A:$A,0)),0),INDEX(PREVIVAZ!$C190:$N190,1,MATCH(AD$27,PREVIVAZ!$C$1:$N$1,1)))</f>
        <v>#N/A</v>
      </c>
      <c r="AE216" s="202" t="e">
        <f ca="1">IFERROR(ROUND(INDEX(O:O,MATCH($T216,$A:$A,0)),0),INDEX(PREVIVAZ!$C190:$N190,1,MATCH(AE$27,PREVIVAZ!$C$1:$N$1,1)))</f>
        <v>#N/A</v>
      </c>
      <c r="AF216" s="202" t="e">
        <f ca="1">IFERROR(ROUND(INDEX(P:P,MATCH($T216,$A:$A,0)),0),INDEX(PREVIVAZ!$C190:$N190,1,MATCH(AF$27,PREVIVAZ!$C$1:$N$1,1)))</f>
        <v>#N/A</v>
      </c>
      <c r="AG216" s="202" t="e">
        <f ca="1">IFERROR(ROUND(INDEX(Q:Q,MATCH($T216,$A:$A,0)),0),INDEX(PREVIVAZ!$C190:$N190,1,MATCH(AG$27,PREVIVAZ!$C$1:$N$1,1)))</f>
        <v>#N/A</v>
      </c>
    </row>
    <row r="217" spans="15:33" ht="12.75" x14ac:dyDescent="0.2">
      <c r="O217"/>
      <c r="P217"/>
      <c r="Q217"/>
      <c r="R217"/>
      <c r="S217"/>
      <c r="T217" s="272">
        <v>190</v>
      </c>
      <c r="V217" s="202" t="e">
        <f ca="1">IFERROR(ROUND(INDEX(F:F,MATCH($T217,$A:$A,0)),0),INDEX(PREVIVAZ!$C191:$N191,1,MATCH(V$27,PREVIVAZ!$C$1:$N$1,1)))</f>
        <v>#N/A</v>
      </c>
      <c r="W217" s="202" t="e">
        <f ca="1">IFERROR(ROUND(INDEX(G:G,MATCH($T217,$A:$A,0)),0),INDEX(PREVIVAZ!$C191:$N191,1,MATCH(W$27,PREVIVAZ!$C$1:$N$1,1)))</f>
        <v>#N/A</v>
      </c>
      <c r="X217" s="202" t="e">
        <f ca="1">IFERROR(ROUND(INDEX(H:H,MATCH($T217,$A:$A,0)),0),INDEX(PREVIVAZ!$C191:$N191,1,MATCH(X$27,PREVIVAZ!$C$1:$N$1,1)))</f>
        <v>#N/A</v>
      </c>
      <c r="Y217" s="202" t="e">
        <f ca="1">IFERROR(ROUND(INDEX(I:I,MATCH($T217,$A:$A,0)),0),INDEX(PREVIVAZ!$C191:$N191,1,MATCH(Y$27,PREVIVAZ!$C$1:$N$1,1)))</f>
        <v>#N/A</v>
      </c>
      <c r="Z217" s="202" t="e">
        <f ca="1">IFERROR(ROUND(INDEX(J:J,MATCH($T217,$A:$A,0)),0),INDEX(PREVIVAZ!$C191:$N191,1,MATCH(Z$27,PREVIVAZ!$C$1:$N$1,1)))</f>
        <v>#N/A</v>
      </c>
      <c r="AA217" s="202" t="e">
        <f ca="1">IFERROR(ROUND(INDEX(K:K,MATCH($T217,$A:$A,0)),0),INDEX(PREVIVAZ!$C191:$N191,1,MATCH(AA$27,PREVIVAZ!$C$1:$N$1,1)))</f>
        <v>#N/A</v>
      </c>
      <c r="AB217" s="202" t="e">
        <f ca="1">IFERROR(ROUND(INDEX(L:L,MATCH($T217,$A:$A,0)),0),INDEX(PREVIVAZ!$C191:$N191,1,MATCH(AB$27,PREVIVAZ!$C$1:$N$1,1)))</f>
        <v>#N/A</v>
      </c>
      <c r="AC217" s="202" t="e">
        <f ca="1">IFERROR(ROUND(INDEX(M:M,MATCH($T217,$A:$A,0)),0),INDEX(PREVIVAZ!$C191:$N191,1,MATCH(AC$27,PREVIVAZ!$C$1:$N$1,1)))</f>
        <v>#N/A</v>
      </c>
      <c r="AD217" s="202" t="e">
        <f ca="1">IFERROR(ROUND(INDEX(N:N,MATCH($T217,$A:$A,0)),0),INDEX(PREVIVAZ!$C191:$N191,1,MATCH(AD$27,PREVIVAZ!$C$1:$N$1,1)))</f>
        <v>#N/A</v>
      </c>
      <c r="AE217" s="202" t="e">
        <f ca="1">IFERROR(ROUND(INDEX(O:O,MATCH($T217,$A:$A,0)),0),INDEX(PREVIVAZ!$C191:$N191,1,MATCH(AE$27,PREVIVAZ!$C$1:$N$1,1)))</f>
        <v>#N/A</v>
      </c>
      <c r="AF217" s="202" t="e">
        <f ca="1">IFERROR(ROUND(INDEX(P:P,MATCH($T217,$A:$A,0)),0),INDEX(PREVIVAZ!$C191:$N191,1,MATCH(AF$27,PREVIVAZ!$C$1:$N$1,1)))</f>
        <v>#N/A</v>
      </c>
      <c r="AG217" s="202" t="e">
        <f ca="1">IFERROR(ROUND(INDEX(Q:Q,MATCH($T217,$A:$A,0)),0),INDEX(PREVIVAZ!$C191:$N191,1,MATCH(AG$27,PREVIVAZ!$C$1:$N$1,1)))</f>
        <v>#N/A</v>
      </c>
    </row>
    <row r="218" spans="15:33" ht="12.75" x14ac:dyDescent="0.2">
      <c r="O218"/>
      <c r="P218"/>
      <c r="Q218"/>
      <c r="R218"/>
      <c r="S218"/>
      <c r="T218" s="272">
        <v>191</v>
      </c>
      <c r="V218" s="202" t="e">
        <f ca="1">IFERROR(ROUND(INDEX(F:F,MATCH($T218,$A:$A,0)),0),INDEX(PREVIVAZ!$C192:$N192,1,MATCH(V$27,PREVIVAZ!$C$1:$N$1,1)))</f>
        <v>#N/A</v>
      </c>
      <c r="W218" s="202" t="e">
        <f ca="1">IFERROR(ROUND(INDEX(G:G,MATCH($T218,$A:$A,0)),0),INDEX(PREVIVAZ!$C192:$N192,1,MATCH(W$27,PREVIVAZ!$C$1:$N$1,1)))</f>
        <v>#N/A</v>
      </c>
      <c r="X218" s="202" t="e">
        <f ca="1">IFERROR(ROUND(INDEX(H:H,MATCH($T218,$A:$A,0)),0),INDEX(PREVIVAZ!$C192:$N192,1,MATCH(X$27,PREVIVAZ!$C$1:$N$1,1)))</f>
        <v>#N/A</v>
      </c>
      <c r="Y218" s="202" t="e">
        <f ca="1">IFERROR(ROUND(INDEX(I:I,MATCH($T218,$A:$A,0)),0),INDEX(PREVIVAZ!$C192:$N192,1,MATCH(Y$27,PREVIVAZ!$C$1:$N$1,1)))</f>
        <v>#N/A</v>
      </c>
      <c r="Z218" s="202" t="e">
        <f ca="1">IFERROR(ROUND(INDEX(J:J,MATCH($T218,$A:$A,0)),0),INDEX(PREVIVAZ!$C192:$N192,1,MATCH(Z$27,PREVIVAZ!$C$1:$N$1,1)))</f>
        <v>#N/A</v>
      </c>
      <c r="AA218" s="202" t="e">
        <f ca="1">IFERROR(ROUND(INDEX(K:K,MATCH($T218,$A:$A,0)),0),INDEX(PREVIVAZ!$C192:$N192,1,MATCH(AA$27,PREVIVAZ!$C$1:$N$1,1)))</f>
        <v>#N/A</v>
      </c>
      <c r="AB218" s="202" t="e">
        <f ca="1">IFERROR(ROUND(INDEX(L:L,MATCH($T218,$A:$A,0)),0),INDEX(PREVIVAZ!$C192:$N192,1,MATCH(AB$27,PREVIVAZ!$C$1:$N$1,1)))</f>
        <v>#N/A</v>
      </c>
      <c r="AC218" s="202" t="e">
        <f ca="1">IFERROR(ROUND(INDEX(M:M,MATCH($T218,$A:$A,0)),0),INDEX(PREVIVAZ!$C192:$N192,1,MATCH(AC$27,PREVIVAZ!$C$1:$N$1,1)))</f>
        <v>#N/A</v>
      </c>
      <c r="AD218" s="202" t="e">
        <f ca="1">IFERROR(ROUND(INDEX(N:N,MATCH($T218,$A:$A,0)),0),INDEX(PREVIVAZ!$C192:$N192,1,MATCH(AD$27,PREVIVAZ!$C$1:$N$1,1)))</f>
        <v>#N/A</v>
      </c>
      <c r="AE218" s="202" t="e">
        <f ca="1">IFERROR(ROUND(INDEX(O:O,MATCH($T218,$A:$A,0)),0),INDEX(PREVIVAZ!$C192:$N192,1,MATCH(AE$27,PREVIVAZ!$C$1:$N$1,1)))</f>
        <v>#N/A</v>
      </c>
      <c r="AF218" s="202" t="e">
        <f ca="1">IFERROR(ROUND(INDEX(P:P,MATCH($T218,$A:$A,0)),0),INDEX(PREVIVAZ!$C192:$N192,1,MATCH(AF$27,PREVIVAZ!$C$1:$N$1,1)))</f>
        <v>#N/A</v>
      </c>
      <c r="AG218" s="202" t="e">
        <f ca="1">IFERROR(ROUND(INDEX(Q:Q,MATCH($T218,$A:$A,0)),0),INDEX(PREVIVAZ!$C192:$N192,1,MATCH(AG$27,PREVIVAZ!$C$1:$N$1,1)))</f>
        <v>#N/A</v>
      </c>
    </row>
    <row r="219" spans="15:33" ht="12.75" x14ac:dyDescent="0.2">
      <c r="O219"/>
      <c r="P219"/>
      <c r="Q219"/>
      <c r="R219"/>
      <c r="S219"/>
      <c r="T219" s="272">
        <v>192</v>
      </c>
      <c r="V219" s="202" t="e">
        <f ca="1">IFERROR(ROUND(INDEX(F:F,MATCH($T219,$A:$A,0)),0),INDEX(PREVIVAZ!$C193:$N193,1,MATCH(V$27,PREVIVAZ!$C$1:$N$1,1)))</f>
        <v>#N/A</v>
      </c>
      <c r="W219" s="202" t="e">
        <f ca="1">IFERROR(ROUND(INDEX(G:G,MATCH($T219,$A:$A,0)),0),INDEX(PREVIVAZ!$C193:$N193,1,MATCH(W$27,PREVIVAZ!$C$1:$N$1,1)))</f>
        <v>#N/A</v>
      </c>
      <c r="X219" s="202" t="e">
        <f ca="1">IFERROR(ROUND(INDEX(H:H,MATCH($T219,$A:$A,0)),0),INDEX(PREVIVAZ!$C193:$N193,1,MATCH(X$27,PREVIVAZ!$C$1:$N$1,1)))</f>
        <v>#N/A</v>
      </c>
      <c r="Y219" s="202" t="e">
        <f ca="1">IFERROR(ROUND(INDEX(I:I,MATCH($T219,$A:$A,0)),0),INDEX(PREVIVAZ!$C193:$N193,1,MATCH(Y$27,PREVIVAZ!$C$1:$N$1,1)))</f>
        <v>#N/A</v>
      </c>
      <c r="Z219" s="202" t="e">
        <f ca="1">IFERROR(ROUND(INDEX(J:J,MATCH($T219,$A:$A,0)),0),INDEX(PREVIVAZ!$C193:$N193,1,MATCH(Z$27,PREVIVAZ!$C$1:$N$1,1)))</f>
        <v>#N/A</v>
      </c>
      <c r="AA219" s="202" t="e">
        <f ca="1">IFERROR(ROUND(INDEX(K:K,MATCH($T219,$A:$A,0)),0),INDEX(PREVIVAZ!$C193:$N193,1,MATCH(AA$27,PREVIVAZ!$C$1:$N$1,1)))</f>
        <v>#N/A</v>
      </c>
      <c r="AB219" s="202" t="e">
        <f ca="1">IFERROR(ROUND(INDEX(L:L,MATCH($T219,$A:$A,0)),0),INDEX(PREVIVAZ!$C193:$N193,1,MATCH(AB$27,PREVIVAZ!$C$1:$N$1,1)))</f>
        <v>#N/A</v>
      </c>
      <c r="AC219" s="202" t="e">
        <f ca="1">IFERROR(ROUND(INDEX(M:M,MATCH($T219,$A:$A,0)),0),INDEX(PREVIVAZ!$C193:$N193,1,MATCH(AC$27,PREVIVAZ!$C$1:$N$1,1)))</f>
        <v>#N/A</v>
      </c>
      <c r="AD219" s="202" t="e">
        <f ca="1">IFERROR(ROUND(INDEX(N:N,MATCH($T219,$A:$A,0)),0),INDEX(PREVIVAZ!$C193:$N193,1,MATCH(AD$27,PREVIVAZ!$C$1:$N$1,1)))</f>
        <v>#N/A</v>
      </c>
      <c r="AE219" s="202" t="e">
        <f ca="1">IFERROR(ROUND(INDEX(O:O,MATCH($T219,$A:$A,0)),0),INDEX(PREVIVAZ!$C193:$N193,1,MATCH(AE$27,PREVIVAZ!$C$1:$N$1,1)))</f>
        <v>#N/A</v>
      </c>
      <c r="AF219" s="202" t="e">
        <f ca="1">IFERROR(ROUND(INDEX(P:P,MATCH($T219,$A:$A,0)),0),INDEX(PREVIVAZ!$C193:$N193,1,MATCH(AF$27,PREVIVAZ!$C$1:$N$1,1)))</f>
        <v>#N/A</v>
      </c>
      <c r="AG219" s="202" t="e">
        <f ca="1">IFERROR(ROUND(INDEX(Q:Q,MATCH($T219,$A:$A,0)),0),INDEX(PREVIVAZ!$C193:$N193,1,MATCH(AG$27,PREVIVAZ!$C$1:$N$1,1)))</f>
        <v>#N/A</v>
      </c>
    </row>
    <row r="220" spans="15:33" ht="12.75" x14ac:dyDescent="0.2">
      <c r="O220"/>
      <c r="P220"/>
      <c r="Q220"/>
      <c r="R220"/>
      <c r="S220"/>
      <c r="T220" s="272">
        <v>193</v>
      </c>
      <c r="V220" s="202" t="e">
        <f ca="1">IFERROR(ROUND(INDEX(F:F,MATCH($T220,$A:$A,0)),0),INDEX(PREVIVAZ!$C194:$N194,1,MATCH(V$27,PREVIVAZ!$C$1:$N$1,1)))</f>
        <v>#N/A</v>
      </c>
      <c r="W220" s="202" t="e">
        <f ca="1">IFERROR(ROUND(INDEX(G:G,MATCH($T220,$A:$A,0)),0),INDEX(PREVIVAZ!$C194:$N194,1,MATCH(W$27,PREVIVAZ!$C$1:$N$1,1)))</f>
        <v>#N/A</v>
      </c>
      <c r="X220" s="202" t="e">
        <f ca="1">IFERROR(ROUND(INDEX(H:H,MATCH($T220,$A:$A,0)),0),INDEX(PREVIVAZ!$C194:$N194,1,MATCH(X$27,PREVIVAZ!$C$1:$N$1,1)))</f>
        <v>#N/A</v>
      </c>
      <c r="Y220" s="202" t="e">
        <f ca="1">IFERROR(ROUND(INDEX(I:I,MATCH($T220,$A:$A,0)),0),INDEX(PREVIVAZ!$C194:$N194,1,MATCH(Y$27,PREVIVAZ!$C$1:$N$1,1)))</f>
        <v>#N/A</v>
      </c>
      <c r="Z220" s="202" t="e">
        <f ca="1">IFERROR(ROUND(INDEX(J:J,MATCH($T220,$A:$A,0)),0),INDEX(PREVIVAZ!$C194:$N194,1,MATCH(Z$27,PREVIVAZ!$C$1:$N$1,1)))</f>
        <v>#N/A</v>
      </c>
      <c r="AA220" s="202" t="e">
        <f ca="1">IFERROR(ROUND(INDEX(K:K,MATCH($T220,$A:$A,0)),0),INDEX(PREVIVAZ!$C194:$N194,1,MATCH(AA$27,PREVIVAZ!$C$1:$N$1,1)))</f>
        <v>#N/A</v>
      </c>
      <c r="AB220" s="202" t="e">
        <f ca="1">IFERROR(ROUND(INDEX(L:L,MATCH($T220,$A:$A,0)),0),INDEX(PREVIVAZ!$C194:$N194,1,MATCH(AB$27,PREVIVAZ!$C$1:$N$1,1)))</f>
        <v>#N/A</v>
      </c>
      <c r="AC220" s="202" t="e">
        <f ca="1">IFERROR(ROUND(INDEX(M:M,MATCH($T220,$A:$A,0)),0),INDEX(PREVIVAZ!$C194:$N194,1,MATCH(AC$27,PREVIVAZ!$C$1:$N$1,1)))</f>
        <v>#N/A</v>
      </c>
      <c r="AD220" s="202" t="e">
        <f ca="1">IFERROR(ROUND(INDEX(N:N,MATCH($T220,$A:$A,0)),0),INDEX(PREVIVAZ!$C194:$N194,1,MATCH(AD$27,PREVIVAZ!$C$1:$N$1,1)))</f>
        <v>#N/A</v>
      </c>
      <c r="AE220" s="202" t="e">
        <f ca="1">IFERROR(ROUND(INDEX(O:O,MATCH($T220,$A:$A,0)),0),INDEX(PREVIVAZ!$C194:$N194,1,MATCH(AE$27,PREVIVAZ!$C$1:$N$1,1)))</f>
        <v>#N/A</v>
      </c>
      <c r="AF220" s="202" t="e">
        <f ca="1">IFERROR(ROUND(INDEX(P:P,MATCH($T220,$A:$A,0)),0),INDEX(PREVIVAZ!$C194:$N194,1,MATCH(AF$27,PREVIVAZ!$C$1:$N$1,1)))</f>
        <v>#N/A</v>
      </c>
      <c r="AG220" s="202" t="e">
        <f ca="1">IFERROR(ROUND(INDEX(Q:Q,MATCH($T220,$A:$A,0)),0),INDEX(PREVIVAZ!$C194:$N194,1,MATCH(AG$27,PREVIVAZ!$C$1:$N$1,1)))</f>
        <v>#N/A</v>
      </c>
    </row>
    <row r="221" spans="15:33" ht="12.75" x14ac:dyDescent="0.2">
      <c r="O221"/>
      <c r="P221"/>
      <c r="Q221"/>
      <c r="R221"/>
      <c r="S221"/>
      <c r="T221" s="272">
        <v>194</v>
      </c>
      <c r="V221" s="202" t="e">
        <f ca="1">IFERROR(ROUND(INDEX(F:F,MATCH($T221,$A:$A,0)),0),INDEX(PREVIVAZ!$C195:$N195,1,MATCH(V$27,PREVIVAZ!$C$1:$N$1,1)))</f>
        <v>#N/A</v>
      </c>
      <c r="W221" s="202" t="e">
        <f ca="1">IFERROR(ROUND(INDEX(G:G,MATCH($T221,$A:$A,0)),0),INDEX(PREVIVAZ!$C195:$N195,1,MATCH(W$27,PREVIVAZ!$C$1:$N$1,1)))</f>
        <v>#N/A</v>
      </c>
      <c r="X221" s="202" t="e">
        <f ca="1">IFERROR(ROUND(INDEX(H:H,MATCH($T221,$A:$A,0)),0),INDEX(PREVIVAZ!$C195:$N195,1,MATCH(X$27,PREVIVAZ!$C$1:$N$1,1)))</f>
        <v>#N/A</v>
      </c>
      <c r="Y221" s="202" t="e">
        <f ca="1">IFERROR(ROUND(INDEX(I:I,MATCH($T221,$A:$A,0)),0),INDEX(PREVIVAZ!$C195:$N195,1,MATCH(Y$27,PREVIVAZ!$C$1:$N$1,1)))</f>
        <v>#N/A</v>
      </c>
      <c r="Z221" s="202" t="e">
        <f ca="1">IFERROR(ROUND(INDEX(J:J,MATCH($T221,$A:$A,0)),0),INDEX(PREVIVAZ!$C195:$N195,1,MATCH(Z$27,PREVIVAZ!$C$1:$N$1,1)))</f>
        <v>#N/A</v>
      </c>
      <c r="AA221" s="202" t="e">
        <f ca="1">IFERROR(ROUND(INDEX(K:K,MATCH($T221,$A:$A,0)),0),INDEX(PREVIVAZ!$C195:$N195,1,MATCH(AA$27,PREVIVAZ!$C$1:$N$1,1)))</f>
        <v>#N/A</v>
      </c>
      <c r="AB221" s="202" t="e">
        <f ca="1">IFERROR(ROUND(INDEX(L:L,MATCH($T221,$A:$A,0)),0),INDEX(PREVIVAZ!$C195:$N195,1,MATCH(AB$27,PREVIVAZ!$C$1:$N$1,1)))</f>
        <v>#N/A</v>
      </c>
      <c r="AC221" s="202" t="e">
        <f ca="1">IFERROR(ROUND(INDEX(M:M,MATCH($T221,$A:$A,0)),0),INDEX(PREVIVAZ!$C195:$N195,1,MATCH(AC$27,PREVIVAZ!$C$1:$N$1,1)))</f>
        <v>#N/A</v>
      </c>
      <c r="AD221" s="202" t="e">
        <f ca="1">IFERROR(ROUND(INDEX(N:N,MATCH($T221,$A:$A,0)),0),INDEX(PREVIVAZ!$C195:$N195,1,MATCH(AD$27,PREVIVAZ!$C$1:$N$1,1)))</f>
        <v>#N/A</v>
      </c>
      <c r="AE221" s="202" t="e">
        <f ca="1">IFERROR(ROUND(INDEX(O:O,MATCH($T221,$A:$A,0)),0),INDEX(PREVIVAZ!$C195:$N195,1,MATCH(AE$27,PREVIVAZ!$C$1:$N$1,1)))</f>
        <v>#N/A</v>
      </c>
      <c r="AF221" s="202" t="e">
        <f ca="1">IFERROR(ROUND(INDEX(P:P,MATCH($T221,$A:$A,0)),0),INDEX(PREVIVAZ!$C195:$N195,1,MATCH(AF$27,PREVIVAZ!$C$1:$N$1,1)))</f>
        <v>#N/A</v>
      </c>
      <c r="AG221" s="202" t="e">
        <f ca="1">IFERROR(ROUND(INDEX(Q:Q,MATCH($T221,$A:$A,0)),0),INDEX(PREVIVAZ!$C195:$N195,1,MATCH(AG$27,PREVIVAZ!$C$1:$N$1,1)))</f>
        <v>#N/A</v>
      </c>
    </row>
    <row r="222" spans="15:33" ht="12.75" x14ac:dyDescent="0.2">
      <c r="O222"/>
      <c r="P222"/>
      <c r="Q222"/>
      <c r="R222"/>
      <c r="S222"/>
      <c r="T222" s="272">
        <v>195</v>
      </c>
      <c r="V222" s="202" t="e">
        <f ca="1">IFERROR(ROUND(INDEX(F:F,MATCH($T222,$A:$A,0)),0),INDEX(PREVIVAZ!$C196:$N196,1,MATCH(V$27,PREVIVAZ!$C$1:$N$1,1)))</f>
        <v>#N/A</v>
      </c>
      <c r="W222" s="202" t="e">
        <f ca="1">IFERROR(ROUND(INDEX(G:G,MATCH($T222,$A:$A,0)),0),INDEX(PREVIVAZ!$C196:$N196,1,MATCH(W$27,PREVIVAZ!$C$1:$N$1,1)))</f>
        <v>#N/A</v>
      </c>
      <c r="X222" s="202" t="e">
        <f ca="1">IFERROR(ROUND(INDEX(H:H,MATCH($T222,$A:$A,0)),0),INDEX(PREVIVAZ!$C196:$N196,1,MATCH(X$27,PREVIVAZ!$C$1:$N$1,1)))</f>
        <v>#N/A</v>
      </c>
      <c r="Y222" s="202" t="e">
        <f ca="1">IFERROR(ROUND(INDEX(I:I,MATCH($T222,$A:$A,0)),0),INDEX(PREVIVAZ!$C196:$N196,1,MATCH(Y$27,PREVIVAZ!$C$1:$N$1,1)))</f>
        <v>#N/A</v>
      </c>
      <c r="Z222" s="202" t="e">
        <f ca="1">IFERROR(ROUND(INDEX(J:J,MATCH($T222,$A:$A,0)),0),INDEX(PREVIVAZ!$C196:$N196,1,MATCH(Z$27,PREVIVAZ!$C$1:$N$1,1)))</f>
        <v>#N/A</v>
      </c>
      <c r="AA222" s="202" t="e">
        <f ca="1">IFERROR(ROUND(INDEX(K:K,MATCH($T222,$A:$A,0)),0),INDEX(PREVIVAZ!$C196:$N196,1,MATCH(AA$27,PREVIVAZ!$C$1:$N$1,1)))</f>
        <v>#N/A</v>
      </c>
      <c r="AB222" s="202" t="e">
        <f ca="1">IFERROR(ROUND(INDEX(L:L,MATCH($T222,$A:$A,0)),0),INDEX(PREVIVAZ!$C196:$N196,1,MATCH(AB$27,PREVIVAZ!$C$1:$N$1,1)))</f>
        <v>#N/A</v>
      </c>
      <c r="AC222" s="202" t="e">
        <f ca="1">IFERROR(ROUND(INDEX(M:M,MATCH($T222,$A:$A,0)),0),INDEX(PREVIVAZ!$C196:$N196,1,MATCH(AC$27,PREVIVAZ!$C$1:$N$1,1)))</f>
        <v>#N/A</v>
      </c>
      <c r="AD222" s="202" t="e">
        <f ca="1">IFERROR(ROUND(INDEX(N:N,MATCH($T222,$A:$A,0)),0),INDEX(PREVIVAZ!$C196:$N196,1,MATCH(AD$27,PREVIVAZ!$C$1:$N$1,1)))</f>
        <v>#N/A</v>
      </c>
      <c r="AE222" s="202" t="e">
        <f ca="1">IFERROR(ROUND(INDEX(O:O,MATCH($T222,$A:$A,0)),0),INDEX(PREVIVAZ!$C196:$N196,1,MATCH(AE$27,PREVIVAZ!$C$1:$N$1,1)))</f>
        <v>#N/A</v>
      </c>
      <c r="AF222" s="202" t="e">
        <f ca="1">IFERROR(ROUND(INDEX(P:P,MATCH($T222,$A:$A,0)),0),INDEX(PREVIVAZ!$C196:$N196,1,MATCH(AF$27,PREVIVAZ!$C$1:$N$1,1)))</f>
        <v>#N/A</v>
      </c>
      <c r="AG222" s="202" t="e">
        <f ca="1">IFERROR(ROUND(INDEX(Q:Q,MATCH($T222,$A:$A,0)),0),INDEX(PREVIVAZ!$C196:$N196,1,MATCH(AG$27,PREVIVAZ!$C$1:$N$1,1)))</f>
        <v>#N/A</v>
      </c>
    </row>
    <row r="223" spans="15:33" ht="12.75" x14ac:dyDescent="0.2">
      <c r="O223"/>
      <c r="P223"/>
      <c r="Q223"/>
      <c r="R223"/>
      <c r="S223"/>
      <c r="T223" s="272">
        <v>196</v>
      </c>
      <c r="V223" s="202" t="e">
        <f ca="1">IFERROR(ROUND(INDEX(F:F,MATCH($T223,$A:$A,0)),0),INDEX(PREVIVAZ!$C197:$N197,1,MATCH(V$27,PREVIVAZ!$C$1:$N$1,1)))</f>
        <v>#N/A</v>
      </c>
      <c r="W223" s="202" t="e">
        <f ca="1">IFERROR(ROUND(INDEX(G:G,MATCH($T223,$A:$A,0)),0),INDEX(PREVIVAZ!$C197:$N197,1,MATCH(W$27,PREVIVAZ!$C$1:$N$1,1)))</f>
        <v>#N/A</v>
      </c>
      <c r="X223" s="202" t="e">
        <f ca="1">IFERROR(ROUND(INDEX(H:H,MATCH($T223,$A:$A,0)),0),INDEX(PREVIVAZ!$C197:$N197,1,MATCH(X$27,PREVIVAZ!$C$1:$N$1,1)))</f>
        <v>#N/A</v>
      </c>
      <c r="Y223" s="202" t="e">
        <f ca="1">IFERROR(ROUND(INDEX(I:I,MATCH($T223,$A:$A,0)),0),INDEX(PREVIVAZ!$C197:$N197,1,MATCH(Y$27,PREVIVAZ!$C$1:$N$1,1)))</f>
        <v>#N/A</v>
      </c>
      <c r="Z223" s="202" t="e">
        <f ca="1">IFERROR(ROUND(INDEX(J:J,MATCH($T223,$A:$A,0)),0),INDEX(PREVIVAZ!$C197:$N197,1,MATCH(Z$27,PREVIVAZ!$C$1:$N$1,1)))</f>
        <v>#N/A</v>
      </c>
      <c r="AA223" s="202" t="e">
        <f ca="1">IFERROR(ROUND(INDEX(K:K,MATCH($T223,$A:$A,0)),0),INDEX(PREVIVAZ!$C197:$N197,1,MATCH(AA$27,PREVIVAZ!$C$1:$N$1,1)))</f>
        <v>#N/A</v>
      </c>
      <c r="AB223" s="202" t="e">
        <f ca="1">IFERROR(ROUND(INDEX(L:L,MATCH($T223,$A:$A,0)),0),INDEX(PREVIVAZ!$C197:$N197,1,MATCH(AB$27,PREVIVAZ!$C$1:$N$1,1)))</f>
        <v>#N/A</v>
      </c>
      <c r="AC223" s="202" t="e">
        <f ca="1">IFERROR(ROUND(INDEX(M:M,MATCH($T223,$A:$A,0)),0),INDEX(PREVIVAZ!$C197:$N197,1,MATCH(AC$27,PREVIVAZ!$C$1:$N$1,1)))</f>
        <v>#N/A</v>
      </c>
      <c r="AD223" s="202" t="e">
        <f ca="1">IFERROR(ROUND(INDEX(N:N,MATCH($T223,$A:$A,0)),0),INDEX(PREVIVAZ!$C197:$N197,1,MATCH(AD$27,PREVIVAZ!$C$1:$N$1,1)))</f>
        <v>#N/A</v>
      </c>
      <c r="AE223" s="202" t="e">
        <f ca="1">IFERROR(ROUND(INDEX(O:O,MATCH($T223,$A:$A,0)),0),INDEX(PREVIVAZ!$C197:$N197,1,MATCH(AE$27,PREVIVAZ!$C$1:$N$1,1)))</f>
        <v>#N/A</v>
      </c>
      <c r="AF223" s="202" t="e">
        <f ca="1">IFERROR(ROUND(INDEX(P:P,MATCH($T223,$A:$A,0)),0),INDEX(PREVIVAZ!$C197:$N197,1,MATCH(AF$27,PREVIVAZ!$C$1:$N$1,1)))</f>
        <v>#N/A</v>
      </c>
      <c r="AG223" s="202" t="e">
        <f ca="1">IFERROR(ROUND(INDEX(Q:Q,MATCH($T223,$A:$A,0)),0),INDEX(PREVIVAZ!$C197:$N197,1,MATCH(AG$27,PREVIVAZ!$C$1:$N$1,1)))</f>
        <v>#N/A</v>
      </c>
    </row>
    <row r="224" spans="15:33" ht="12.75" x14ac:dyDescent="0.2">
      <c r="O224"/>
      <c r="P224"/>
      <c r="Q224"/>
      <c r="R224"/>
      <c r="S224"/>
      <c r="T224" s="272">
        <v>197</v>
      </c>
      <c r="V224" s="202" t="e">
        <f ca="1">IFERROR(ROUND(INDEX(F:F,MATCH($T224,$A:$A,0)),0),INDEX(PREVIVAZ!$C198:$N198,1,MATCH(V$27,PREVIVAZ!$C$1:$N$1,1)))</f>
        <v>#N/A</v>
      </c>
      <c r="W224" s="202" t="e">
        <f ca="1">IFERROR(ROUND(INDEX(G:G,MATCH($T224,$A:$A,0)),0),INDEX(PREVIVAZ!$C198:$N198,1,MATCH(W$27,PREVIVAZ!$C$1:$N$1,1)))</f>
        <v>#N/A</v>
      </c>
      <c r="X224" s="202" t="e">
        <f ca="1">IFERROR(ROUND(INDEX(H:H,MATCH($T224,$A:$A,0)),0),INDEX(PREVIVAZ!$C198:$N198,1,MATCH(X$27,PREVIVAZ!$C$1:$N$1,1)))</f>
        <v>#N/A</v>
      </c>
      <c r="Y224" s="202" t="e">
        <f ca="1">IFERROR(ROUND(INDEX(I:I,MATCH($T224,$A:$A,0)),0),INDEX(PREVIVAZ!$C198:$N198,1,MATCH(Y$27,PREVIVAZ!$C$1:$N$1,1)))</f>
        <v>#N/A</v>
      </c>
      <c r="Z224" s="202" t="e">
        <f ca="1">IFERROR(ROUND(INDEX(J:J,MATCH($T224,$A:$A,0)),0),INDEX(PREVIVAZ!$C198:$N198,1,MATCH(Z$27,PREVIVAZ!$C$1:$N$1,1)))</f>
        <v>#N/A</v>
      </c>
      <c r="AA224" s="202" t="e">
        <f ca="1">IFERROR(ROUND(INDEX(K:K,MATCH($T224,$A:$A,0)),0),INDEX(PREVIVAZ!$C198:$N198,1,MATCH(AA$27,PREVIVAZ!$C$1:$N$1,1)))</f>
        <v>#N/A</v>
      </c>
      <c r="AB224" s="202" t="e">
        <f ca="1">IFERROR(ROUND(INDEX(L:L,MATCH($T224,$A:$A,0)),0),INDEX(PREVIVAZ!$C198:$N198,1,MATCH(AB$27,PREVIVAZ!$C$1:$N$1,1)))</f>
        <v>#N/A</v>
      </c>
      <c r="AC224" s="202" t="e">
        <f ca="1">IFERROR(ROUND(INDEX(M:M,MATCH($T224,$A:$A,0)),0),INDEX(PREVIVAZ!$C198:$N198,1,MATCH(AC$27,PREVIVAZ!$C$1:$N$1,1)))</f>
        <v>#N/A</v>
      </c>
      <c r="AD224" s="202" t="e">
        <f ca="1">IFERROR(ROUND(INDEX(N:N,MATCH($T224,$A:$A,0)),0),INDEX(PREVIVAZ!$C198:$N198,1,MATCH(AD$27,PREVIVAZ!$C$1:$N$1,1)))</f>
        <v>#N/A</v>
      </c>
      <c r="AE224" s="202" t="e">
        <f ca="1">IFERROR(ROUND(INDEX(O:O,MATCH($T224,$A:$A,0)),0),INDEX(PREVIVAZ!$C198:$N198,1,MATCH(AE$27,PREVIVAZ!$C$1:$N$1,1)))</f>
        <v>#N/A</v>
      </c>
      <c r="AF224" s="202" t="e">
        <f ca="1">IFERROR(ROUND(INDEX(P:P,MATCH($T224,$A:$A,0)),0),INDEX(PREVIVAZ!$C198:$N198,1,MATCH(AF$27,PREVIVAZ!$C$1:$N$1,1)))</f>
        <v>#N/A</v>
      </c>
      <c r="AG224" s="202" t="e">
        <f ca="1">IFERROR(ROUND(INDEX(Q:Q,MATCH($T224,$A:$A,0)),0),INDEX(PREVIVAZ!$C198:$N198,1,MATCH(AG$27,PREVIVAZ!$C$1:$N$1,1)))</f>
        <v>#N/A</v>
      </c>
    </row>
    <row r="225" spans="15:33" ht="12.75" x14ac:dyDescent="0.2">
      <c r="O225"/>
      <c r="P225"/>
      <c r="Q225"/>
      <c r="R225"/>
      <c r="S225"/>
      <c r="T225" s="272">
        <v>198</v>
      </c>
      <c r="V225" s="202" t="e">
        <f ca="1">IFERROR(ROUND(INDEX(F:F,MATCH($T225,$A:$A,0)),0),INDEX(PREVIVAZ!$C199:$N199,1,MATCH(V$27,PREVIVAZ!$C$1:$N$1,1)))</f>
        <v>#N/A</v>
      </c>
      <c r="W225" s="202" t="e">
        <f ca="1">IFERROR(ROUND(INDEX(G:G,MATCH($T225,$A:$A,0)),0),INDEX(PREVIVAZ!$C199:$N199,1,MATCH(W$27,PREVIVAZ!$C$1:$N$1,1)))</f>
        <v>#N/A</v>
      </c>
      <c r="X225" s="202" t="e">
        <f ca="1">IFERROR(ROUND(INDEX(H:H,MATCH($T225,$A:$A,0)),0),INDEX(PREVIVAZ!$C199:$N199,1,MATCH(X$27,PREVIVAZ!$C$1:$N$1,1)))</f>
        <v>#N/A</v>
      </c>
      <c r="Y225" s="202" t="e">
        <f ca="1">IFERROR(ROUND(INDEX(I:I,MATCH($T225,$A:$A,0)),0),INDEX(PREVIVAZ!$C199:$N199,1,MATCH(Y$27,PREVIVAZ!$C$1:$N$1,1)))</f>
        <v>#N/A</v>
      </c>
      <c r="Z225" s="202" t="e">
        <f ca="1">IFERROR(ROUND(INDEX(J:J,MATCH($T225,$A:$A,0)),0),INDEX(PREVIVAZ!$C199:$N199,1,MATCH(Z$27,PREVIVAZ!$C$1:$N$1,1)))</f>
        <v>#N/A</v>
      </c>
      <c r="AA225" s="202" t="e">
        <f ca="1">IFERROR(ROUND(INDEX(K:K,MATCH($T225,$A:$A,0)),0),INDEX(PREVIVAZ!$C199:$N199,1,MATCH(AA$27,PREVIVAZ!$C$1:$N$1,1)))</f>
        <v>#N/A</v>
      </c>
      <c r="AB225" s="202" t="e">
        <f ca="1">IFERROR(ROUND(INDEX(L:L,MATCH($T225,$A:$A,0)),0),INDEX(PREVIVAZ!$C199:$N199,1,MATCH(AB$27,PREVIVAZ!$C$1:$N$1,1)))</f>
        <v>#N/A</v>
      </c>
      <c r="AC225" s="202" t="e">
        <f ca="1">IFERROR(ROUND(INDEX(M:M,MATCH($T225,$A:$A,0)),0),INDEX(PREVIVAZ!$C199:$N199,1,MATCH(AC$27,PREVIVAZ!$C$1:$N$1,1)))</f>
        <v>#N/A</v>
      </c>
      <c r="AD225" s="202" t="e">
        <f ca="1">IFERROR(ROUND(INDEX(N:N,MATCH($T225,$A:$A,0)),0),INDEX(PREVIVAZ!$C199:$N199,1,MATCH(AD$27,PREVIVAZ!$C$1:$N$1,1)))</f>
        <v>#N/A</v>
      </c>
      <c r="AE225" s="202" t="e">
        <f ca="1">IFERROR(ROUND(INDEX(O:O,MATCH($T225,$A:$A,0)),0),INDEX(PREVIVAZ!$C199:$N199,1,MATCH(AE$27,PREVIVAZ!$C$1:$N$1,1)))</f>
        <v>#N/A</v>
      </c>
      <c r="AF225" s="202" t="e">
        <f ca="1">IFERROR(ROUND(INDEX(P:P,MATCH($T225,$A:$A,0)),0),INDEX(PREVIVAZ!$C199:$N199,1,MATCH(AF$27,PREVIVAZ!$C$1:$N$1,1)))</f>
        <v>#N/A</v>
      </c>
      <c r="AG225" s="202" t="e">
        <f ca="1">IFERROR(ROUND(INDEX(Q:Q,MATCH($T225,$A:$A,0)),0),INDEX(PREVIVAZ!$C199:$N199,1,MATCH(AG$27,PREVIVAZ!$C$1:$N$1,1)))</f>
        <v>#N/A</v>
      </c>
    </row>
    <row r="226" spans="15:33" ht="12.75" x14ac:dyDescent="0.2">
      <c r="O226"/>
      <c r="P226"/>
      <c r="Q226"/>
      <c r="R226"/>
      <c r="S226"/>
      <c r="T226" s="272">
        <v>199</v>
      </c>
      <c r="V226" s="202" t="e">
        <f ca="1">IFERROR(ROUND(INDEX(F:F,MATCH($T226,$A:$A,0)),0),INDEX(PREVIVAZ!$C200:$N200,1,MATCH(V$27,PREVIVAZ!$C$1:$N$1,1)))</f>
        <v>#N/A</v>
      </c>
      <c r="W226" s="202" t="e">
        <f ca="1">IFERROR(ROUND(INDEX(G:G,MATCH($T226,$A:$A,0)),0),INDEX(PREVIVAZ!$C200:$N200,1,MATCH(W$27,PREVIVAZ!$C$1:$N$1,1)))</f>
        <v>#N/A</v>
      </c>
      <c r="X226" s="202" t="e">
        <f ca="1">IFERROR(ROUND(INDEX(H:H,MATCH($T226,$A:$A,0)),0),INDEX(PREVIVAZ!$C200:$N200,1,MATCH(X$27,PREVIVAZ!$C$1:$N$1,1)))</f>
        <v>#N/A</v>
      </c>
      <c r="Y226" s="202" t="e">
        <f ca="1">IFERROR(ROUND(INDEX(I:I,MATCH($T226,$A:$A,0)),0),INDEX(PREVIVAZ!$C200:$N200,1,MATCH(Y$27,PREVIVAZ!$C$1:$N$1,1)))</f>
        <v>#N/A</v>
      </c>
      <c r="Z226" s="202" t="e">
        <f ca="1">IFERROR(ROUND(INDEX(J:J,MATCH($T226,$A:$A,0)),0),INDEX(PREVIVAZ!$C200:$N200,1,MATCH(Z$27,PREVIVAZ!$C$1:$N$1,1)))</f>
        <v>#N/A</v>
      </c>
      <c r="AA226" s="202" t="e">
        <f ca="1">IFERROR(ROUND(INDEX(K:K,MATCH($T226,$A:$A,0)),0),INDEX(PREVIVAZ!$C200:$N200,1,MATCH(AA$27,PREVIVAZ!$C$1:$N$1,1)))</f>
        <v>#N/A</v>
      </c>
      <c r="AB226" s="202" t="e">
        <f ca="1">IFERROR(ROUND(INDEX(L:L,MATCH($T226,$A:$A,0)),0),INDEX(PREVIVAZ!$C200:$N200,1,MATCH(AB$27,PREVIVAZ!$C$1:$N$1,1)))</f>
        <v>#N/A</v>
      </c>
      <c r="AC226" s="202" t="e">
        <f ca="1">IFERROR(ROUND(INDEX(M:M,MATCH($T226,$A:$A,0)),0),INDEX(PREVIVAZ!$C200:$N200,1,MATCH(AC$27,PREVIVAZ!$C$1:$N$1,1)))</f>
        <v>#N/A</v>
      </c>
      <c r="AD226" s="202" t="e">
        <f ca="1">IFERROR(ROUND(INDEX(N:N,MATCH($T226,$A:$A,0)),0),INDEX(PREVIVAZ!$C200:$N200,1,MATCH(AD$27,PREVIVAZ!$C$1:$N$1,1)))</f>
        <v>#N/A</v>
      </c>
      <c r="AE226" s="202" t="e">
        <f ca="1">IFERROR(ROUND(INDEX(O:O,MATCH($T226,$A:$A,0)),0),INDEX(PREVIVAZ!$C200:$N200,1,MATCH(AE$27,PREVIVAZ!$C$1:$N$1,1)))</f>
        <v>#N/A</v>
      </c>
      <c r="AF226" s="202" t="e">
        <f ca="1">IFERROR(ROUND(INDEX(P:P,MATCH($T226,$A:$A,0)),0),INDEX(PREVIVAZ!$C200:$N200,1,MATCH(AF$27,PREVIVAZ!$C$1:$N$1,1)))</f>
        <v>#N/A</v>
      </c>
      <c r="AG226" s="202" t="e">
        <f ca="1">IFERROR(ROUND(INDEX(Q:Q,MATCH($T226,$A:$A,0)),0),INDEX(PREVIVAZ!$C200:$N200,1,MATCH(AG$27,PREVIVAZ!$C$1:$N$1,1)))</f>
        <v>#N/A</v>
      </c>
    </row>
    <row r="227" spans="15:33" ht="12.75" x14ac:dyDescent="0.2">
      <c r="O227"/>
      <c r="P227"/>
      <c r="Q227"/>
      <c r="R227"/>
      <c r="S227"/>
      <c r="T227" s="272">
        <v>200</v>
      </c>
      <c r="V227" s="202" t="e">
        <f ca="1">IFERROR(ROUND(INDEX(F:F,MATCH($T227,$A:$A,0)),0),INDEX(PREVIVAZ!$C201:$N201,1,MATCH(V$27,PREVIVAZ!$C$1:$N$1,1)))</f>
        <v>#N/A</v>
      </c>
      <c r="W227" s="202" t="e">
        <f ca="1">IFERROR(ROUND(INDEX(G:G,MATCH($T227,$A:$A,0)),0),INDEX(PREVIVAZ!$C201:$N201,1,MATCH(W$27,PREVIVAZ!$C$1:$N$1,1)))</f>
        <v>#N/A</v>
      </c>
      <c r="X227" s="202" t="e">
        <f ca="1">IFERROR(ROUND(INDEX(H:H,MATCH($T227,$A:$A,0)),0),INDEX(PREVIVAZ!$C201:$N201,1,MATCH(X$27,PREVIVAZ!$C$1:$N$1,1)))</f>
        <v>#N/A</v>
      </c>
      <c r="Y227" s="202" t="e">
        <f ca="1">IFERROR(ROUND(INDEX(I:I,MATCH($T227,$A:$A,0)),0),INDEX(PREVIVAZ!$C201:$N201,1,MATCH(Y$27,PREVIVAZ!$C$1:$N$1,1)))</f>
        <v>#N/A</v>
      </c>
      <c r="Z227" s="202" t="e">
        <f ca="1">IFERROR(ROUND(INDEX(J:J,MATCH($T227,$A:$A,0)),0),INDEX(PREVIVAZ!$C201:$N201,1,MATCH(Z$27,PREVIVAZ!$C$1:$N$1,1)))</f>
        <v>#N/A</v>
      </c>
      <c r="AA227" s="202" t="e">
        <f ca="1">IFERROR(ROUND(INDEX(K:K,MATCH($T227,$A:$A,0)),0),INDEX(PREVIVAZ!$C201:$N201,1,MATCH(AA$27,PREVIVAZ!$C$1:$N$1,1)))</f>
        <v>#N/A</v>
      </c>
      <c r="AB227" s="202" t="e">
        <f ca="1">IFERROR(ROUND(INDEX(L:L,MATCH($T227,$A:$A,0)),0),INDEX(PREVIVAZ!$C201:$N201,1,MATCH(AB$27,PREVIVAZ!$C$1:$N$1,1)))</f>
        <v>#N/A</v>
      </c>
      <c r="AC227" s="202" t="e">
        <f ca="1">IFERROR(ROUND(INDEX(M:M,MATCH($T227,$A:$A,0)),0),INDEX(PREVIVAZ!$C201:$N201,1,MATCH(AC$27,PREVIVAZ!$C$1:$N$1,1)))</f>
        <v>#N/A</v>
      </c>
      <c r="AD227" s="202" t="e">
        <f ca="1">IFERROR(ROUND(INDEX(N:N,MATCH($T227,$A:$A,0)),0),INDEX(PREVIVAZ!$C201:$N201,1,MATCH(AD$27,PREVIVAZ!$C$1:$N$1,1)))</f>
        <v>#N/A</v>
      </c>
      <c r="AE227" s="202" t="e">
        <f ca="1">IFERROR(ROUND(INDEX(O:O,MATCH($T227,$A:$A,0)),0),INDEX(PREVIVAZ!$C201:$N201,1,MATCH(AE$27,PREVIVAZ!$C$1:$N$1,1)))</f>
        <v>#N/A</v>
      </c>
      <c r="AF227" s="202" t="e">
        <f ca="1">IFERROR(ROUND(INDEX(P:P,MATCH($T227,$A:$A,0)),0),INDEX(PREVIVAZ!$C201:$N201,1,MATCH(AF$27,PREVIVAZ!$C$1:$N$1,1)))</f>
        <v>#N/A</v>
      </c>
      <c r="AG227" s="202" t="e">
        <f ca="1">IFERROR(ROUND(INDEX(Q:Q,MATCH($T227,$A:$A,0)),0),INDEX(PREVIVAZ!$C201:$N201,1,MATCH(AG$27,PREVIVAZ!$C$1:$N$1,1)))</f>
        <v>#N/A</v>
      </c>
    </row>
    <row r="228" spans="15:33" ht="12.75" x14ac:dyDescent="0.2">
      <c r="O228"/>
      <c r="P228"/>
      <c r="Q228"/>
      <c r="R228"/>
      <c r="S228"/>
      <c r="T228" s="272">
        <v>201</v>
      </c>
      <c r="V228" s="202" t="e">
        <f ca="1">IFERROR(ROUND(INDEX(F:F,MATCH($T228,$A:$A,0)),0),INDEX(PREVIVAZ!$C202:$N202,1,MATCH(V$27,PREVIVAZ!$C$1:$N$1,1)))</f>
        <v>#N/A</v>
      </c>
      <c r="W228" s="202" t="e">
        <f ca="1">IFERROR(ROUND(INDEX(G:G,MATCH($T228,$A:$A,0)),0),INDEX(PREVIVAZ!$C202:$N202,1,MATCH(W$27,PREVIVAZ!$C$1:$N$1,1)))</f>
        <v>#N/A</v>
      </c>
      <c r="X228" s="202" t="e">
        <f ca="1">IFERROR(ROUND(INDEX(H:H,MATCH($T228,$A:$A,0)),0),INDEX(PREVIVAZ!$C202:$N202,1,MATCH(X$27,PREVIVAZ!$C$1:$N$1,1)))</f>
        <v>#N/A</v>
      </c>
      <c r="Y228" s="202" t="e">
        <f ca="1">IFERROR(ROUND(INDEX(I:I,MATCH($T228,$A:$A,0)),0),INDEX(PREVIVAZ!$C202:$N202,1,MATCH(Y$27,PREVIVAZ!$C$1:$N$1,1)))</f>
        <v>#N/A</v>
      </c>
      <c r="Z228" s="202" t="e">
        <f ca="1">IFERROR(ROUND(INDEX(J:J,MATCH($T228,$A:$A,0)),0),INDEX(PREVIVAZ!$C202:$N202,1,MATCH(Z$27,PREVIVAZ!$C$1:$N$1,1)))</f>
        <v>#N/A</v>
      </c>
      <c r="AA228" s="202" t="e">
        <f ca="1">IFERROR(ROUND(INDEX(K:K,MATCH($T228,$A:$A,0)),0),INDEX(PREVIVAZ!$C202:$N202,1,MATCH(AA$27,PREVIVAZ!$C$1:$N$1,1)))</f>
        <v>#N/A</v>
      </c>
      <c r="AB228" s="202" t="e">
        <f ca="1">IFERROR(ROUND(INDEX(L:L,MATCH($T228,$A:$A,0)),0),INDEX(PREVIVAZ!$C202:$N202,1,MATCH(AB$27,PREVIVAZ!$C$1:$N$1,1)))</f>
        <v>#N/A</v>
      </c>
      <c r="AC228" s="202" t="e">
        <f ca="1">IFERROR(ROUND(INDEX(M:M,MATCH($T228,$A:$A,0)),0),INDEX(PREVIVAZ!$C202:$N202,1,MATCH(AC$27,PREVIVAZ!$C$1:$N$1,1)))</f>
        <v>#N/A</v>
      </c>
      <c r="AD228" s="202" t="e">
        <f ca="1">IFERROR(ROUND(INDEX(N:N,MATCH($T228,$A:$A,0)),0),INDEX(PREVIVAZ!$C202:$N202,1,MATCH(AD$27,PREVIVAZ!$C$1:$N$1,1)))</f>
        <v>#N/A</v>
      </c>
      <c r="AE228" s="202" t="e">
        <f ca="1">IFERROR(ROUND(INDEX(O:O,MATCH($T228,$A:$A,0)),0),INDEX(PREVIVAZ!$C202:$N202,1,MATCH(AE$27,PREVIVAZ!$C$1:$N$1,1)))</f>
        <v>#N/A</v>
      </c>
      <c r="AF228" s="202" t="e">
        <f ca="1">IFERROR(ROUND(INDEX(P:P,MATCH($T228,$A:$A,0)),0),INDEX(PREVIVAZ!$C202:$N202,1,MATCH(AF$27,PREVIVAZ!$C$1:$N$1,1)))</f>
        <v>#N/A</v>
      </c>
      <c r="AG228" s="202" t="e">
        <f ca="1">IFERROR(ROUND(INDEX(Q:Q,MATCH($T228,$A:$A,0)),0),INDEX(PREVIVAZ!$C202:$N202,1,MATCH(AG$27,PREVIVAZ!$C$1:$N$1,1)))</f>
        <v>#N/A</v>
      </c>
    </row>
    <row r="229" spans="15:33" ht="12.75" x14ac:dyDescent="0.2">
      <c r="O229"/>
      <c r="P229"/>
      <c r="Q229"/>
      <c r="R229"/>
      <c r="S229"/>
      <c r="T229" s="272">
        <v>202</v>
      </c>
      <c r="V229" s="202" t="e">
        <f ca="1">IFERROR(ROUND(INDEX(F:F,MATCH($T229,$A:$A,0)),0),INDEX(PREVIVAZ!$C203:$N203,1,MATCH(V$27,PREVIVAZ!$C$1:$N$1,1)))</f>
        <v>#N/A</v>
      </c>
      <c r="W229" s="202" t="e">
        <f ca="1">IFERROR(ROUND(INDEX(G:G,MATCH($T229,$A:$A,0)),0),INDEX(PREVIVAZ!$C203:$N203,1,MATCH(W$27,PREVIVAZ!$C$1:$N$1,1)))</f>
        <v>#N/A</v>
      </c>
      <c r="X229" s="202" t="e">
        <f ca="1">IFERROR(ROUND(INDEX(H:H,MATCH($T229,$A:$A,0)),0),INDEX(PREVIVAZ!$C203:$N203,1,MATCH(X$27,PREVIVAZ!$C$1:$N$1,1)))</f>
        <v>#N/A</v>
      </c>
      <c r="Y229" s="202" t="e">
        <f ca="1">IFERROR(ROUND(INDEX(I:I,MATCH($T229,$A:$A,0)),0),INDEX(PREVIVAZ!$C203:$N203,1,MATCH(Y$27,PREVIVAZ!$C$1:$N$1,1)))</f>
        <v>#N/A</v>
      </c>
      <c r="Z229" s="202" t="e">
        <f ca="1">IFERROR(ROUND(INDEX(J:J,MATCH($T229,$A:$A,0)),0),INDEX(PREVIVAZ!$C203:$N203,1,MATCH(Z$27,PREVIVAZ!$C$1:$N$1,1)))</f>
        <v>#N/A</v>
      </c>
      <c r="AA229" s="202" t="e">
        <f ca="1">IFERROR(ROUND(INDEX(K:K,MATCH($T229,$A:$A,0)),0),INDEX(PREVIVAZ!$C203:$N203,1,MATCH(AA$27,PREVIVAZ!$C$1:$N$1,1)))</f>
        <v>#N/A</v>
      </c>
      <c r="AB229" s="202" t="e">
        <f ca="1">IFERROR(ROUND(INDEX(L:L,MATCH($T229,$A:$A,0)),0),INDEX(PREVIVAZ!$C203:$N203,1,MATCH(AB$27,PREVIVAZ!$C$1:$N$1,1)))</f>
        <v>#N/A</v>
      </c>
      <c r="AC229" s="202" t="e">
        <f ca="1">IFERROR(ROUND(INDEX(M:M,MATCH($T229,$A:$A,0)),0),INDEX(PREVIVAZ!$C203:$N203,1,MATCH(AC$27,PREVIVAZ!$C$1:$N$1,1)))</f>
        <v>#N/A</v>
      </c>
      <c r="AD229" s="202" t="e">
        <f ca="1">IFERROR(ROUND(INDEX(N:N,MATCH($T229,$A:$A,0)),0),INDEX(PREVIVAZ!$C203:$N203,1,MATCH(AD$27,PREVIVAZ!$C$1:$N$1,1)))</f>
        <v>#N/A</v>
      </c>
      <c r="AE229" s="202" t="e">
        <f ca="1">IFERROR(ROUND(INDEX(O:O,MATCH($T229,$A:$A,0)),0),INDEX(PREVIVAZ!$C203:$N203,1,MATCH(AE$27,PREVIVAZ!$C$1:$N$1,1)))</f>
        <v>#N/A</v>
      </c>
      <c r="AF229" s="202" t="e">
        <f ca="1">IFERROR(ROUND(INDEX(P:P,MATCH($T229,$A:$A,0)),0),INDEX(PREVIVAZ!$C203:$N203,1,MATCH(AF$27,PREVIVAZ!$C$1:$N$1,1)))</f>
        <v>#N/A</v>
      </c>
      <c r="AG229" s="202" t="e">
        <f ca="1">IFERROR(ROUND(INDEX(Q:Q,MATCH($T229,$A:$A,0)),0),INDEX(PREVIVAZ!$C203:$N203,1,MATCH(AG$27,PREVIVAZ!$C$1:$N$1,1)))</f>
        <v>#N/A</v>
      </c>
    </row>
    <row r="230" spans="15:33" ht="12.75" x14ac:dyDescent="0.2">
      <c r="O230"/>
      <c r="P230"/>
      <c r="Q230"/>
      <c r="R230"/>
      <c r="S230"/>
      <c r="T230" s="272">
        <v>203</v>
      </c>
      <c r="V230" s="202" t="e">
        <f ca="1">IFERROR(ROUND(INDEX(F:F,MATCH($T230,$A:$A,0)),0),INDEX(PREVIVAZ!$C204:$N204,1,MATCH(V$27,PREVIVAZ!$C$1:$N$1,1)))</f>
        <v>#N/A</v>
      </c>
      <c r="W230" s="202" t="e">
        <f ca="1">IFERROR(ROUND(INDEX(G:G,MATCH($T230,$A:$A,0)),0),INDEX(PREVIVAZ!$C204:$N204,1,MATCH(W$27,PREVIVAZ!$C$1:$N$1,1)))</f>
        <v>#N/A</v>
      </c>
      <c r="X230" s="202" t="e">
        <f ca="1">IFERROR(ROUND(INDEX(H:H,MATCH($T230,$A:$A,0)),0),INDEX(PREVIVAZ!$C204:$N204,1,MATCH(X$27,PREVIVAZ!$C$1:$N$1,1)))</f>
        <v>#N/A</v>
      </c>
      <c r="Y230" s="202" t="e">
        <f ca="1">IFERROR(ROUND(INDEX(I:I,MATCH($T230,$A:$A,0)),0),INDEX(PREVIVAZ!$C204:$N204,1,MATCH(Y$27,PREVIVAZ!$C$1:$N$1,1)))</f>
        <v>#N/A</v>
      </c>
      <c r="Z230" s="202" t="e">
        <f ca="1">IFERROR(ROUND(INDEX(J:J,MATCH($T230,$A:$A,0)),0),INDEX(PREVIVAZ!$C204:$N204,1,MATCH(Z$27,PREVIVAZ!$C$1:$N$1,1)))</f>
        <v>#N/A</v>
      </c>
      <c r="AA230" s="202" t="e">
        <f ca="1">IFERROR(ROUND(INDEX(K:K,MATCH($T230,$A:$A,0)),0),INDEX(PREVIVAZ!$C204:$N204,1,MATCH(AA$27,PREVIVAZ!$C$1:$N$1,1)))</f>
        <v>#N/A</v>
      </c>
      <c r="AB230" s="202" t="e">
        <f ca="1">IFERROR(ROUND(INDEX(L:L,MATCH($T230,$A:$A,0)),0),INDEX(PREVIVAZ!$C204:$N204,1,MATCH(AB$27,PREVIVAZ!$C$1:$N$1,1)))</f>
        <v>#N/A</v>
      </c>
      <c r="AC230" s="202" t="e">
        <f ca="1">IFERROR(ROUND(INDEX(M:M,MATCH($T230,$A:$A,0)),0),INDEX(PREVIVAZ!$C204:$N204,1,MATCH(AC$27,PREVIVAZ!$C$1:$N$1,1)))</f>
        <v>#N/A</v>
      </c>
      <c r="AD230" s="202" t="e">
        <f ca="1">IFERROR(ROUND(INDEX(N:N,MATCH($T230,$A:$A,0)),0),INDEX(PREVIVAZ!$C204:$N204,1,MATCH(AD$27,PREVIVAZ!$C$1:$N$1,1)))</f>
        <v>#N/A</v>
      </c>
      <c r="AE230" s="202" t="e">
        <f ca="1">IFERROR(ROUND(INDEX(O:O,MATCH($T230,$A:$A,0)),0),INDEX(PREVIVAZ!$C204:$N204,1,MATCH(AE$27,PREVIVAZ!$C$1:$N$1,1)))</f>
        <v>#N/A</v>
      </c>
      <c r="AF230" s="202" t="e">
        <f ca="1">IFERROR(ROUND(INDEX(P:P,MATCH($T230,$A:$A,0)),0),INDEX(PREVIVAZ!$C204:$N204,1,MATCH(AF$27,PREVIVAZ!$C$1:$N$1,1)))</f>
        <v>#N/A</v>
      </c>
      <c r="AG230" s="202" t="e">
        <f ca="1">IFERROR(ROUND(INDEX(Q:Q,MATCH($T230,$A:$A,0)),0),INDEX(PREVIVAZ!$C204:$N204,1,MATCH(AG$27,PREVIVAZ!$C$1:$N$1,1)))</f>
        <v>#N/A</v>
      </c>
    </row>
    <row r="231" spans="15:33" ht="12.75" x14ac:dyDescent="0.2">
      <c r="O231"/>
      <c r="P231"/>
      <c r="Q231"/>
      <c r="R231"/>
      <c r="S231"/>
      <c r="T231" s="272">
        <v>204</v>
      </c>
      <c r="V231" s="202" t="e">
        <f ca="1">IFERROR(ROUND(INDEX(F:F,MATCH($T231,$A:$A,0)),0),INDEX(PREVIVAZ!$C205:$N205,1,MATCH(V$27,PREVIVAZ!$C$1:$N$1,1)))</f>
        <v>#N/A</v>
      </c>
      <c r="W231" s="202" t="e">
        <f ca="1">IFERROR(ROUND(INDEX(G:G,MATCH($T231,$A:$A,0)),0),INDEX(PREVIVAZ!$C205:$N205,1,MATCH(W$27,PREVIVAZ!$C$1:$N$1,1)))</f>
        <v>#N/A</v>
      </c>
      <c r="X231" s="202" t="e">
        <f ca="1">IFERROR(ROUND(INDEX(H:H,MATCH($T231,$A:$A,0)),0),INDEX(PREVIVAZ!$C205:$N205,1,MATCH(X$27,PREVIVAZ!$C$1:$N$1,1)))</f>
        <v>#N/A</v>
      </c>
      <c r="Y231" s="202" t="e">
        <f ca="1">IFERROR(ROUND(INDEX(I:I,MATCH($T231,$A:$A,0)),0),INDEX(PREVIVAZ!$C205:$N205,1,MATCH(Y$27,PREVIVAZ!$C$1:$N$1,1)))</f>
        <v>#N/A</v>
      </c>
      <c r="Z231" s="202" t="e">
        <f ca="1">IFERROR(ROUND(INDEX(J:J,MATCH($T231,$A:$A,0)),0),INDEX(PREVIVAZ!$C205:$N205,1,MATCH(Z$27,PREVIVAZ!$C$1:$N$1,1)))</f>
        <v>#N/A</v>
      </c>
      <c r="AA231" s="202" t="e">
        <f ca="1">IFERROR(ROUND(INDEX(K:K,MATCH($T231,$A:$A,0)),0),INDEX(PREVIVAZ!$C205:$N205,1,MATCH(AA$27,PREVIVAZ!$C$1:$N$1,1)))</f>
        <v>#N/A</v>
      </c>
      <c r="AB231" s="202" t="e">
        <f ca="1">IFERROR(ROUND(INDEX(L:L,MATCH($T231,$A:$A,0)),0),INDEX(PREVIVAZ!$C205:$N205,1,MATCH(AB$27,PREVIVAZ!$C$1:$N$1,1)))</f>
        <v>#N/A</v>
      </c>
      <c r="AC231" s="202" t="e">
        <f ca="1">IFERROR(ROUND(INDEX(M:M,MATCH($T231,$A:$A,0)),0),INDEX(PREVIVAZ!$C205:$N205,1,MATCH(AC$27,PREVIVAZ!$C$1:$N$1,1)))</f>
        <v>#N/A</v>
      </c>
      <c r="AD231" s="202" t="e">
        <f ca="1">IFERROR(ROUND(INDEX(N:N,MATCH($T231,$A:$A,0)),0),INDEX(PREVIVAZ!$C205:$N205,1,MATCH(AD$27,PREVIVAZ!$C$1:$N$1,1)))</f>
        <v>#N/A</v>
      </c>
      <c r="AE231" s="202" t="e">
        <f ca="1">IFERROR(ROUND(INDEX(O:O,MATCH($T231,$A:$A,0)),0),INDEX(PREVIVAZ!$C205:$N205,1,MATCH(AE$27,PREVIVAZ!$C$1:$N$1,1)))</f>
        <v>#N/A</v>
      </c>
      <c r="AF231" s="202" t="e">
        <f ca="1">IFERROR(ROUND(INDEX(P:P,MATCH($T231,$A:$A,0)),0),INDEX(PREVIVAZ!$C205:$N205,1,MATCH(AF$27,PREVIVAZ!$C$1:$N$1,1)))</f>
        <v>#N/A</v>
      </c>
      <c r="AG231" s="202" t="e">
        <f ca="1">IFERROR(ROUND(INDEX(Q:Q,MATCH($T231,$A:$A,0)),0),INDEX(PREVIVAZ!$C205:$N205,1,MATCH(AG$27,PREVIVAZ!$C$1:$N$1,1)))</f>
        <v>#N/A</v>
      </c>
    </row>
    <row r="232" spans="15:33" ht="12.75" x14ac:dyDescent="0.2">
      <c r="O232"/>
      <c r="P232"/>
      <c r="Q232"/>
      <c r="R232"/>
      <c r="S232"/>
      <c r="T232" s="272">
        <v>205</v>
      </c>
      <c r="V232" s="202">
        <f ca="1">IFERROR(ROUND(INDEX(F:F,MATCH($T232,$A:$A,0)),0),INDEX(PREVIVAZ!$C206:$N206,1,MATCH(V$27,PREVIVAZ!$C$1:$N$1,1)))</f>
        <v>0</v>
      </c>
      <c r="W232" s="202">
        <f ca="1">IFERROR(ROUND(INDEX(G:G,MATCH($T232,$A:$A,0)),0),INDEX(PREVIVAZ!$C206:$N206,1,MATCH(W$27,PREVIVAZ!$C$1:$N$1,1)))</f>
        <v>0</v>
      </c>
      <c r="X232" s="202">
        <f ca="1">IFERROR(ROUND(INDEX(H:H,MATCH($T232,$A:$A,0)),0),INDEX(PREVIVAZ!$C206:$N206,1,MATCH(X$27,PREVIVAZ!$C$1:$N$1,1)))</f>
        <v>0</v>
      </c>
      <c r="Y232" s="202">
        <f ca="1">IFERROR(ROUND(INDEX(I:I,MATCH($T232,$A:$A,0)),0),INDEX(PREVIVAZ!$C206:$N206,1,MATCH(Y$27,PREVIVAZ!$C$1:$N$1,1)))</f>
        <v>0</v>
      </c>
      <c r="Z232" s="202">
        <f ca="1">IFERROR(ROUND(INDEX(J:J,MATCH($T232,$A:$A,0)),0),INDEX(PREVIVAZ!$C206:$N206,1,MATCH(Z$27,PREVIVAZ!$C$1:$N$1,1)))</f>
        <v>0</v>
      </c>
      <c r="AA232" s="202">
        <f ca="1">IFERROR(ROUND(INDEX(K:K,MATCH($T232,$A:$A,0)),0),INDEX(PREVIVAZ!$C206:$N206,1,MATCH(AA$27,PREVIVAZ!$C$1:$N$1,1)))</f>
        <v>0</v>
      </c>
      <c r="AB232" s="202">
        <f ca="1">IFERROR(ROUND(INDEX(L:L,MATCH($T232,$A:$A,0)),0),INDEX(PREVIVAZ!$C206:$N206,1,MATCH(AB$27,PREVIVAZ!$C$1:$N$1,1)))</f>
        <v>0</v>
      </c>
      <c r="AC232" s="202">
        <f ca="1">IFERROR(ROUND(INDEX(M:M,MATCH($T232,$A:$A,0)),0),INDEX(PREVIVAZ!$C206:$N206,1,MATCH(AC$27,PREVIVAZ!$C$1:$N$1,1)))</f>
        <v>0</v>
      </c>
      <c r="AD232" s="202">
        <f ca="1">IFERROR(ROUND(INDEX(N:N,MATCH($T232,$A:$A,0)),0),INDEX(PREVIVAZ!$C206:$N206,1,MATCH(AD$27,PREVIVAZ!$C$1:$N$1,1)))</f>
        <v>0</v>
      </c>
      <c r="AE232" s="202">
        <f ca="1">IFERROR(ROUND(INDEX(O:O,MATCH($T232,$A:$A,0)),0),INDEX(PREVIVAZ!$C206:$N206,1,MATCH(AE$27,PREVIVAZ!$C$1:$N$1,1)))</f>
        <v>0</v>
      </c>
      <c r="AF232" s="202">
        <f ca="1">IFERROR(ROUND(INDEX(P:P,MATCH($T232,$A:$A,0)),0),INDEX(PREVIVAZ!$C206:$N206,1,MATCH(AF$27,PREVIVAZ!$C$1:$N$1,1)))</f>
        <v>0</v>
      </c>
      <c r="AG232" s="202">
        <f ca="1">IFERROR(ROUND(INDEX(Q:Q,MATCH($T232,$A:$A,0)),0),INDEX(PREVIVAZ!$C206:$N206,1,MATCH(AG$27,PREVIVAZ!$C$1:$N$1,1)))</f>
        <v>0</v>
      </c>
    </row>
    <row r="233" spans="15:33" ht="12.75" x14ac:dyDescent="0.2">
      <c r="O233"/>
      <c r="P233"/>
      <c r="Q233"/>
      <c r="R233"/>
      <c r="S233"/>
      <c r="T233" s="272">
        <v>206</v>
      </c>
      <c r="V233" s="202">
        <f ca="1">IFERROR(ROUND(INDEX(F:F,MATCH($T233,$A:$A,0)),0),INDEX(PREVIVAZ!$C207:$N207,1,MATCH(V$27,PREVIVAZ!$C$1:$N$1,1)))</f>
        <v>0</v>
      </c>
      <c r="W233" s="202">
        <f ca="1">IFERROR(ROUND(INDEX(G:G,MATCH($T233,$A:$A,0)),0),INDEX(PREVIVAZ!$C207:$N207,1,MATCH(W$27,PREVIVAZ!$C$1:$N$1,1)))</f>
        <v>0</v>
      </c>
      <c r="X233" s="202">
        <f ca="1">IFERROR(ROUND(INDEX(H:H,MATCH($T233,$A:$A,0)),0),INDEX(PREVIVAZ!$C207:$N207,1,MATCH(X$27,PREVIVAZ!$C$1:$N$1,1)))</f>
        <v>0</v>
      </c>
      <c r="Y233" s="202">
        <f ca="1">IFERROR(ROUND(INDEX(I:I,MATCH($T233,$A:$A,0)),0),INDEX(PREVIVAZ!$C207:$N207,1,MATCH(Y$27,PREVIVAZ!$C$1:$N$1,1)))</f>
        <v>0</v>
      </c>
      <c r="Z233" s="202">
        <f ca="1">IFERROR(ROUND(INDEX(J:J,MATCH($T233,$A:$A,0)),0),INDEX(PREVIVAZ!$C207:$N207,1,MATCH(Z$27,PREVIVAZ!$C$1:$N$1,1)))</f>
        <v>0</v>
      </c>
      <c r="AA233" s="202">
        <f ca="1">IFERROR(ROUND(INDEX(K:K,MATCH($T233,$A:$A,0)),0),INDEX(PREVIVAZ!$C207:$N207,1,MATCH(AA$27,PREVIVAZ!$C$1:$N$1,1)))</f>
        <v>0</v>
      </c>
      <c r="AB233" s="202">
        <f ca="1">IFERROR(ROUND(INDEX(L:L,MATCH($T233,$A:$A,0)),0),INDEX(PREVIVAZ!$C207:$N207,1,MATCH(AB$27,PREVIVAZ!$C$1:$N$1,1)))</f>
        <v>0</v>
      </c>
      <c r="AC233" s="202">
        <f ca="1">IFERROR(ROUND(INDEX(M:M,MATCH($T233,$A:$A,0)),0),INDEX(PREVIVAZ!$C207:$N207,1,MATCH(AC$27,PREVIVAZ!$C$1:$N$1,1)))</f>
        <v>0</v>
      </c>
      <c r="AD233" s="202">
        <f ca="1">IFERROR(ROUND(INDEX(N:N,MATCH($T233,$A:$A,0)),0),INDEX(PREVIVAZ!$C207:$N207,1,MATCH(AD$27,PREVIVAZ!$C$1:$N$1,1)))</f>
        <v>0</v>
      </c>
      <c r="AE233" s="202">
        <f ca="1">IFERROR(ROUND(INDEX(O:O,MATCH($T233,$A:$A,0)),0),INDEX(PREVIVAZ!$C207:$N207,1,MATCH(AE$27,PREVIVAZ!$C$1:$N$1,1)))</f>
        <v>0</v>
      </c>
      <c r="AF233" s="202">
        <f ca="1">IFERROR(ROUND(INDEX(P:P,MATCH($T233,$A:$A,0)),0),INDEX(PREVIVAZ!$C207:$N207,1,MATCH(AF$27,PREVIVAZ!$C$1:$N$1,1)))</f>
        <v>0</v>
      </c>
      <c r="AG233" s="202">
        <f ca="1">IFERROR(ROUND(INDEX(Q:Q,MATCH($T233,$A:$A,0)),0),INDEX(PREVIVAZ!$C207:$N207,1,MATCH(AG$27,PREVIVAZ!$C$1:$N$1,1)))</f>
        <v>0</v>
      </c>
    </row>
    <row r="234" spans="15:33" ht="12.75" x14ac:dyDescent="0.2">
      <c r="O234"/>
      <c r="P234"/>
      <c r="Q234"/>
      <c r="R234"/>
      <c r="S234"/>
      <c r="T234" s="272">
        <v>207</v>
      </c>
      <c r="V234" s="202">
        <f ca="1">IFERROR(ROUND(INDEX(F:F,MATCH($T234,$A:$A,0)),0),INDEX(PREVIVAZ!$C208:$N208,1,MATCH(V$27,PREVIVAZ!$C$1:$N$1,1)))</f>
        <v>0</v>
      </c>
      <c r="W234" s="202">
        <f ca="1">IFERROR(ROUND(INDEX(G:G,MATCH($T234,$A:$A,0)),0),INDEX(PREVIVAZ!$C208:$N208,1,MATCH(W$27,PREVIVAZ!$C$1:$N$1,1)))</f>
        <v>0</v>
      </c>
      <c r="X234" s="202">
        <f ca="1">IFERROR(ROUND(INDEX(H:H,MATCH($T234,$A:$A,0)),0),INDEX(PREVIVAZ!$C208:$N208,1,MATCH(X$27,PREVIVAZ!$C$1:$N$1,1)))</f>
        <v>0</v>
      </c>
      <c r="Y234" s="202">
        <f ca="1">IFERROR(ROUND(INDEX(I:I,MATCH($T234,$A:$A,0)),0),INDEX(PREVIVAZ!$C208:$N208,1,MATCH(Y$27,PREVIVAZ!$C$1:$N$1,1)))</f>
        <v>0</v>
      </c>
      <c r="Z234" s="202">
        <f ca="1">IFERROR(ROUND(INDEX(J:J,MATCH($T234,$A:$A,0)),0),INDEX(PREVIVAZ!$C208:$N208,1,MATCH(Z$27,PREVIVAZ!$C$1:$N$1,1)))</f>
        <v>0</v>
      </c>
      <c r="AA234" s="202">
        <f ca="1">IFERROR(ROUND(INDEX(K:K,MATCH($T234,$A:$A,0)),0),INDEX(PREVIVAZ!$C208:$N208,1,MATCH(AA$27,PREVIVAZ!$C$1:$N$1,1)))</f>
        <v>0</v>
      </c>
      <c r="AB234" s="202">
        <f ca="1">IFERROR(ROUND(INDEX(L:L,MATCH($T234,$A:$A,0)),0),INDEX(PREVIVAZ!$C208:$N208,1,MATCH(AB$27,PREVIVAZ!$C$1:$N$1,1)))</f>
        <v>0</v>
      </c>
      <c r="AC234" s="202">
        <f ca="1">IFERROR(ROUND(INDEX(M:M,MATCH($T234,$A:$A,0)),0),INDEX(PREVIVAZ!$C208:$N208,1,MATCH(AC$27,PREVIVAZ!$C$1:$N$1,1)))</f>
        <v>0</v>
      </c>
      <c r="AD234" s="202">
        <f ca="1">IFERROR(ROUND(INDEX(N:N,MATCH($T234,$A:$A,0)),0),INDEX(PREVIVAZ!$C208:$N208,1,MATCH(AD$27,PREVIVAZ!$C$1:$N$1,1)))</f>
        <v>0</v>
      </c>
      <c r="AE234" s="202">
        <f ca="1">IFERROR(ROUND(INDEX(O:O,MATCH($T234,$A:$A,0)),0),INDEX(PREVIVAZ!$C208:$N208,1,MATCH(AE$27,PREVIVAZ!$C$1:$N$1,1)))</f>
        <v>0</v>
      </c>
      <c r="AF234" s="202">
        <f ca="1">IFERROR(ROUND(INDEX(P:P,MATCH($T234,$A:$A,0)),0),INDEX(PREVIVAZ!$C208:$N208,1,MATCH(AF$27,PREVIVAZ!$C$1:$N$1,1)))</f>
        <v>0</v>
      </c>
      <c r="AG234" s="202">
        <f ca="1">IFERROR(ROUND(INDEX(Q:Q,MATCH($T234,$A:$A,0)),0),INDEX(PREVIVAZ!$C208:$N208,1,MATCH(AG$27,PREVIVAZ!$C$1:$N$1,1)))</f>
        <v>0</v>
      </c>
    </row>
    <row r="235" spans="15:33" ht="12.75" x14ac:dyDescent="0.2">
      <c r="O235"/>
      <c r="P235"/>
      <c r="Q235"/>
      <c r="R235"/>
      <c r="S235"/>
      <c r="T235" s="272">
        <v>208</v>
      </c>
      <c r="V235" s="202" t="e">
        <f ca="1">IFERROR(ROUND(INDEX(F:F,MATCH($T235,$A:$A,0)),0),INDEX(PREVIVAZ!$C209:$N209,1,MATCH(V$27,PREVIVAZ!$C$1:$N$1,1)))</f>
        <v>#N/A</v>
      </c>
      <c r="W235" s="202" t="e">
        <f ca="1">IFERROR(ROUND(INDEX(G:G,MATCH($T235,$A:$A,0)),0),INDEX(PREVIVAZ!$C209:$N209,1,MATCH(W$27,PREVIVAZ!$C$1:$N$1,1)))</f>
        <v>#N/A</v>
      </c>
      <c r="X235" s="202" t="e">
        <f ca="1">IFERROR(ROUND(INDEX(H:H,MATCH($T235,$A:$A,0)),0),INDEX(PREVIVAZ!$C209:$N209,1,MATCH(X$27,PREVIVAZ!$C$1:$N$1,1)))</f>
        <v>#N/A</v>
      </c>
      <c r="Y235" s="202" t="e">
        <f ca="1">IFERROR(ROUND(INDEX(I:I,MATCH($T235,$A:$A,0)),0),INDEX(PREVIVAZ!$C209:$N209,1,MATCH(Y$27,PREVIVAZ!$C$1:$N$1,1)))</f>
        <v>#N/A</v>
      </c>
      <c r="Z235" s="202" t="e">
        <f ca="1">IFERROR(ROUND(INDEX(J:J,MATCH($T235,$A:$A,0)),0),INDEX(PREVIVAZ!$C209:$N209,1,MATCH(Z$27,PREVIVAZ!$C$1:$N$1,1)))</f>
        <v>#N/A</v>
      </c>
      <c r="AA235" s="202" t="e">
        <f ca="1">IFERROR(ROUND(INDEX(K:K,MATCH($T235,$A:$A,0)),0),INDEX(PREVIVAZ!$C209:$N209,1,MATCH(AA$27,PREVIVAZ!$C$1:$N$1,1)))</f>
        <v>#N/A</v>
      </c>
      <c r="AB235" s="202" t="e">
        <f ca="1">IFERROR(ROUND(INDEX(L:L,MATCH($T235,$A:$A,0)),0),INDEX(PREVIVAZ!$C209:$N209,1,MATCH(AB$27,PREVIVAZ!$C$1:$N$1,1)))</f>
        <v>#N/A</v>
      </c>
      <c r="AC235" s="202" t="e">
        <f ca="1">IFERROR(ROUND(INDEX(M:M,MATCH($T235,$A:$A,0)),0),INDEX(PREVIVAZ!$C209:$N209,1,MATCH(AC$27,PREVIVAZ!$C$1:$N$1,1)))</f>
        <v>#N/A</v>
      </c>
      <c r="AD235" s="202" t="e">
        <f ca="1">IFERROR(ROUND(INDEX(N:N,MATCH($T235,$A:$A,0)),0),INDEX(PREVIVAZ!$C209:$N209,1,MATCH(AD$27,PREVIVAZ!$C$1:$N$1,1)))</f>
        <v>#N/A</v>
      </c>
      <c r="AE235" s="202" t="e">
        <f ca="1">IFERROR(ROUND(INDEX(O:O,MATCH($T235,$A:$A,0)),0),INDEX(PREVIVAZ!$C209:$N209,1,MATCH(AE$27,PREVIVAZ!$C$1:$N$1,1)))</f>
        <v>#N/A</v>
      </c>
      <c r="AF235" s="202" t="e">
        <f ca="1">IFERROR(ROUND(INDEX(P:P,MATCH($T235,$A:$A,0)),0),INDEX(PREVIVAZ!$C209:$N209,1,MATCH(AF$27,PREVIVAZ!$C$1:$N$1,1)))</f>
        <v>#N/A</v>
      </c>
      <c r="AG235" s="202" t="e">
        <f ca="1">IFERROR(ROUND(INDEX(Q:Q,MATCH($T235,$A:$A,0)),0),INDEX(PREVIVAZ!$C209:$N209,1,MATCH(AG$27,PREVIVAZ!$C$1:$N$1,1)))</f>
        <v>#N/A</v>
      </c>
    </row>
    <row r="236" spans="15:33" ht="12.75" x14ac:dyDescent="0.2">
      <c r="O236"/>
      <c r="P236"/>
      <c r="Q236"/>
      <c r="R236"/>
      <c r="S236"/>
      <c r="T236" s="272">
        <v>209</v>
      </c>
      <c r="V236" s="202">
        <f ca="1">IFERROR(ROUND(INDEX(F:F,MATCH($T236,$A:$A,0)),0),INDEX(PREVIVAZ!$C210:$N210,1,MATCH(V$27,PREVIVAZ!$C$1:$N$1,1)))</f>
        <v>0</v>
      </c>
      <c r="W236" s="202">
        <f ca="1">IFERROR(ROUND(INDEX(G:G,MATCH($T236,$A:$A,0)),0),INDEX(PREVIVAZ!$C210:$N210,1,MATCH(W$27,PREVIVAZ!$C$1:$N$1,1)))</f>
        <v>0</v>
      </c>
      <c r="X236" s="202">
        <f ca="1">IFERROR(ROUND(INDEX(H:H,MATCH($T236,$A:$A,0)),0),INDEX(PREVIVAZ!$C210:$N210,1,MATCH(X$27,PREVIVAZ!$C$1:$N$1,1)))</f>
        <v>0</v>
      </c>
      <c r="Y236" s="202">
        <f ca="1">IFERROR(ROUND(INDEX(I:I,MATCH($T236,$A:$A,0)),0),INDEX(PREVIVAZ!$C210:$N210,1,MATCH(Y$27,PREVIVAZ!$C$1:$N$1,1)))</f>
        <v>0</v>
      </c>
      <c r="Z236" s="202">
        <f ca="1">IFERROR(ROUND(INDEX(J:J,MATCH($T236,$A:$A,0)),0),INDEX(PREVIVAZ!$C210:$N210,1,MATCH(Z$27,PREVIVAZ!$C$1:$N$1,1)))</f>
        <v>0</v>
      </c>
      <c r="AA236" s="202">
        <f ca="1">IFERROR(ROUND(INDEX(K:K,MATCH($T236,$A:$A,0)),0),INDEX(PREVIVAZ!$C210:$N210,1,MATCH(AA$27,PREVIVAZ!$C$1:$N$1,1)))</f>
        <v>0</v>
      </c>
      <c r="AB236" s="202">
        <f ca="1">IFERROR(ROUND(INDEX(L:L,MATCH($T236,$A:$A,0)),0),INDEX(PREVIVAZ!$C210:$N210,1,MATCH(AB$27,PREVIVAZ!$C$1:$N$1,1)))</f>
        <v>0</v>
      </c>
      <c r="AC236" s="202">
        <f ca="1">IFERROR(ROUND(INDEX(M:M,MATCH($T236,$A:$A,0)),0),INDEX(PREVIVAZ!$C210:$N210,1,MATCH(AC$27,PREVIVAZ!$C$1:$N$1,1)))</f>
        <v>0</v>
      </c>
      <c r="AD236" s="202">
        <f ca="1">IFERROR(ROUND(INDEX(N:N,MATCH($T236,$A:$A,0)),0),INDEX(PREVIVAZ!$C210:$N210,1,MATCH(AD$27,PREVIVAZ!$C$1:$N$1,1)))</f>
        <v>0</v>
      </c>
      <c r="AE236" s="202">
        <f ca="1">IFERROR(ROUND(INDEX(O:O,MATCH($T236,$A:$A,0)),0),INDEX(PREVIVAZ!$C210:$N210,1,MATCH(AE$27,PREVIVAZ!$C$1:$N$1,1)))</f>
        <v>0</v>
      </c>
      <c r="AF236" s="202">
        <f ca="1">IFERROR(ROUND(INDEX(P:P,MATCH($T236,$A:$A,0)),0),INDEX(PREVIVAZ!$C210:$N210,1,MATCH(AF$27,PREVIVAZ!$C$1:$N$1,1)))</f>
        <v>0</v>
      </c>
      <c r="AG236" s="202">
        <f ca="1">IFERROR(ROUND(INDEX(Q:Q,MATCH($T236,$A:$A,0)),0),INDEX(PREVIVAZ!$C210:$N210,1,MATCH(AG$27,PREVIVAZ!$C$1:$N$1,1)))</f>
        <v>0</v>
      </c>
    </row>
    <row r="237" spans="15:33" ht="12.75" x14ac:dyDescent="0.2">
      <c r="O237"/>
      <c r="P237"/>
      <c r="Q237"/>
      <c r="R237"/>
      <c r="S237"/>
      <c r="T237" s="272">
        <v>210</v>
      </c>
      <c r="V237" s="202" t="e">
        <f ca="1">IFERROR(ROUND(INDEX(F:F,MATCH($T237,$A:$A,0)),0),INDEX(PREVIVAZ!$C211:$N211,1,MATCH(V$27,PREVIVAZ!$C$1:$N$1,1)))</f>
        <v>#N/A</v>
      </c>
      <c r="W237" s="202" t="e">
        <f ca="1">IFERROR(ROUND(INDEX(G:G,MATCH($T237,$A:$A,0)),0),INDEX(PREVIVAZ!$C211:$N211,1,MATCH(W$27,PREVIVAZ!$C$1:$N$1,1)))</f>
        <v>#N/A</v>
      </c>
      <c r="X237" s="202" t="e">
        <f ca="1">IFERROR(ROUND(INDEX(H:H,MATCH($T237,$A:$A,0)),0),INDEX(PREVIVAZ!$C211:$N211,1,MATCH(X$27,PREVIVAZ!$C$1:$N$1,1)))</f>
        <v>#N/A</v>
      </c>
      <c r="Y237" s="202" t="e">
        <f ca="1">IFERROR(ROUND(INDEX(I:I,MATCH($T237,$A:$A,0)),0),INDEX(PREVIVAZ!$C211:$N211,1,MATCH(Y$27,PREVIVAZ!$C$1:$N$1,1)))</f>
        <v>#N/A</v>
      </c>
      <c r="Z237" s="202" t="e">
        <f ca="1">IFERROR(ROUND(INDEX(J:J,MATCH($T237,$A:$A,0)),0),INDEX(PREVIVAZ!$C211:$N211,1,MATCH(Z$27,PREVIVAZ!$C$1:$N$1,1)))</f>
        <v>#N/A</v>
      </c>
      <c r="AA237" s="202" t="e">
        <f ca="1">IFERROR(ROUND(INDEX(K:K,MATCH($T237,$A:$A,0)),0),INDEX(PREVIVAZ!$C211:$N211,1,MATCH(AA$27,PREVIVAZ!$C$1:$N$1,1)))</f>
        <v>#N/A</v>
      </c>
      <c r="AB237" s="202" t="e">
        <f ca="1">IFERROR(ROUND(INDEX(L:L,MATCH($T237,$A:$A,0)),0),INDEX(PREVIVAZ!$C211:$N211,1,MATCH(AB$27,PREVIVAZ!$C$1:$N$1,1)))</f>
        <v>#N/A</v>
      </c>
      <c r="AC237" s="202" t="e">
        <f ca="1">IFERROR(ROUND(INDEX(M:M,MATCH($T237,$A:$A,0)),0),INDEX(PREVIVAZ!$C211:$N211,1,MATCH(AC$27,PREVIVAZ!$C$1:$N$1,1)))</f>
        <v>#N/A</v>
      </c>
      <c r="AD237" s="202" t="e">
        <f ca="1">IFERROR(ROUND(INDEX(N:N,MATCH($T237,$A:$A,0)),0),INDEX(PREVIVAZ!$C211:$N211,1,MATCH(AD$27,PREVIVAZ!$C$1:$N$1,1)))</f>
        <v>#N/A</v>
      </c>
      <c r="AE237" s="202" t="e">
        <f ca="1">IFERROR(ROUND(INDEX(O:O,MATCH($T237,$A:$A,0)),0),INDEX(PREVIVAZ!$C211:$N211,1,MATCH(AE$27,PREVIVAZ!$C$1:$N$1,1)))</f>
        <v>#N/A</v>
      </c>
      <c r="AF237" s="202" t="e">
        <f ca="1">IFERROR(ROUND(INDEX(P:P,MATCH($T237,$A:$A,0)),0),INDEX(PREVIVAZ!$C211:$N211,1,MATCH(AF$27,PREVIVAZ!$C$1:$N$1,1)))</f>
        <v>#N/A</v>
      </c>
      <c r="AG237" s="202" t="e">
        <f ca="1">IFERROR(ROUND(INDEX(Q:Q,MATCH($T237,$A:$A,0)),0),INDEX(PREVIVAZ!$C211:$N211,1,MATCH(AG$27,PREVIVAZ!$C$1:$N$1,1)))</f>
        <v>#N/A</v>
      </c>
    </row>
    <row r="238" spans="15:33" ht="12.75" x14ac:dyDescent="0.2">
      <c r="O238"/>
      <c r="P238"/>
      <c r="Q238"/>
      <c r="R238"/>
      <c r="S238"/>
      <c r="T238" s="272">
        <v>211</v>
      </c>
      <c r="V238" s="202">
        <f ca="1">IFERROR(ROUND(INDEX(F:F,MATCH($T238,$A:$A,0)),0),INDEX(PREVIVAZ!$C212:$N212,1,MATCH(V$27,PREVIVAZ!$C$1:$N$1,1)))</f>
        <v>0</v>
      </c>
      <c r="W238" s="202">
        <f ca="1">IFERROR(ROUND(INDEX(G:G,MATCH($T238,$A:$A,0)),0),INDEX(PREVIVAZ!$C212:$N212,1,MATCH(W$27,PREVIVAZ!$C$1:$N$1,1)))</f>
        <v>0</v>
      </c>
      <c r="X238" s="202">
        <f ca="1">IFERROR(ROUND(INDEX(H:H,MATCH($T238,$A:$A,0)),0),INDEX(PREVIVAZ!$C212:$N212,1,MATCH(X$27,PREVIVAZ!$C$1:$N$1,1)))</f>
        <v>0</v>
      </c>
      <c r="Y238" s="202">
        <f ca="1">IFERROR(ROUND(INDEX(I:I,MATCH($T238,$A:$A,0)),0),INDEX(PREVIVAZ!$C212:$N212,1,MATCH(Y$27,PREVIVAZ!$C$1:$N$1,1)))</f>
        <v>0</v>
      </c>
      <c r="Z238" s="202">
        <f ca="1">IFERROR(ROUND(INDEX(J:J,MATCH($T238,$A:$A,0)),0),INDEX(PREVIVAZ!$C212:$N212,1,MATCH(Z$27,PREVIVAZ!$C$1:$N$1,1)))</f>
        <v>0</v>
      </c>
      <c r="AA238" s="202">
        <f ca="1">IFERROR(ROUND(INDEX(K:K,MATCH($T238,$A:$A,0)),0),INDEX(PREVIVAZ!$C212:$N212,1,MATCH(AA$27,PREVIVAZ!$C$1:$N$1,1)))</f>
        <v>0</v>
      </c>
      <c r="AB238" s="202">
        <f ca="1">IFERROR(ROUND(INDEX(L:L,MATCH($T238,$A:$A,0)),0),INDEX(PREVIVAZ!$C212:$N212,1,MATCH(AB$27,PREVIVAZ!$C$1:$N$1,1)))</f>
        <v>0</v>
      </c>
      <c r="AC238" s="202">
        <f ca="1">IFERROR(ROUND(INDEX(M:M,MATCH($T238,$A:$A,0)),0),INDEX(PREVIVAZ!$C212:$N212,1,MATCH(AC$27,PREVIVAZ!$C$1:$N$1,1)))</f>
        <v>0</v>
      </c>
      <c r="AD238" s="202">
        <f ca="1">IFERROR(ROUND(INDEX(N:N,MATCH($T238,$A:$A,0)),0),INDEX(PREVIVAZ!$C212:$N212,1,MATCH(AD$27,PREVIVAZ!$C$1:$N$1,1)))</f>
        <v>0</v>
      </c>
      <c r="AE238" s="202">
        <f ca="1">IFERROR(ROUND(INDEX(O:O,MATCH($T238,$A:$A,0)),0),INDEX(PREVIVAZ!$C212:$N212,1,MATCH(AE$27,PREVIVAZ!$C$1:$N$1,1)))</f>
        <v>0</v>
      </c>
      <c r="AF238" s="202">
        <f ca="1">IFERROR(ROUND(INDEX(P:P,MATCH($T238,$A:$A,0)),0),INDEX(PREVIVAZ!$C212:$N212,1,MATCH(AF$27,PREVIVAZ!$C$1:$N$1,1)))</f>
        <v>0</v>
      </c>
      <c r="AG238" s="202">
        <f ca="1">IFERROR(ROUND(INDEX(Q:Q,MATCH($T238,$A:$A,0)),0),INDEX(PREVIVAZ!$C212:$N212,1,MATCH(AG$27,PREVIVAZ!$C$1:$N$1,1)))</f>
        <v>0</v>
      </c>
    </row>
    <row r="239" spans="15:33" ht="12.75" x14ac:dyDescent="0.2">
      <c r="O239"/>
      <c r="P239"/>
      <c r="Q239"/>
      <c r="R239"/>
      <c r="S239"/>
      <c r="T239" s="272">
        <v>212</v>
      </c>
      <c r="V239" s="202" t="e">
        <f ca="1">IFERROR(ROUND(INDEX(F:F,MATCH($T239,$A:$A,0)),0),INDEX(PREVIVAZ!$C213:$N213,1,MATCH(V$27,PREVIVAZ!$C$1:$N$1,1)))</f>
        <v>#N/A</v>
      </c>
      <c r="W239" s="202" t="e">
        <f ca="1">IFERROR(ROUND(INDEX(G:G,MATCH($T239,$A:$A,0)),0),INDEX(PREVIVAZ!$C213:$N213,1,MATCH(W$27,PREVIVAZ!$C$1:$N$1,1)))</f>
        <v>#N/A</v>
      </c>
      <c r="X239" s="202" t="e">
        <f ca="1">IFERROR(ROUND(INDEX(H:H,MATCH($T239,$A:$A,0)),0),INDEX(PREVIVAZ!$C213:$N213,1,MATCH(X$27,PREVIVAZ!$C$1:$N$1,1)))</f>
        <v>#N/A</v>
      </c>
      <c r="Y239" s="202" t="e">
        <f ca="1">IFERROR(ROUND(INDEX(I:I,MATCH($T239,$A:$A,0)),0),INDEX(PREVIVAZ!$C213:$N213,1,MATCH(Y$27,PREVIVAZ!$C$1:$N$1,1)))</f>
        <v>#N/A</v>
      </c>
      <c r="Z239" s="202" t="e">
        <f ca="1">IFERROR(ROUND(INDEX(J:J,MATCH($T239,$A:$A,0)),0),INDEX(PREVIVAZ!$C213:$N213,1,MATCH(Z$27,PREVIVAZ!$C$1:$N$1,1)))</f>
        <v>#N/A</v>
      </c>
      <c r="AA239" s="202" t="e">
        <f ca="1">IFERROR(ROUND(INDEX(K:K,MATCH($T239,$A:$A,0)),0),INDEX(PREVIVAZ!$C213:$N213,1,MATCH(AA$27,PREVIVAZ!$C$1:$N$1,1)))</f>
        <v>#N/A</v>
      </c>
      <c r="AB239" s="202" t="e">
        <f ca="1">IFERROR(ROUND(INDEX(L:L,MATCH($T239,$A:$A,0)),0),INDEX(PREVIVAZ!$C213:$N213,1,MATCH(AB$27,PREVIVAZ!$C$1:$N$1,1)))</f>
        <v>#N/A</v>
      </c>
      <c r="AC239" s="202" t="e">
        <f ca="1">IFERROR(ROUND(INDEX(M:M,MATCH($T239,$A:$A,0)),0),INDEX(PREVIVAZ!$C213:$N213,1,MATCH(AC$27,PREVIVAZ!$C$1:$N$1,1)))</f>
        <v>#N/A</v>
      </c>
      <c r="AD239" s="202" t="e">
        <f ca="1">IFERROR(ROUND(INDEX(N:N,MATCH($T239,$A:$A,0)),0),INDEX(PREVIVAZ!$C213:$N213,1,MATCH(AD$27,PREVIVAZ!$C$1:$N$1,1)))</f>
        <v>#N/A</v>
      </c>
      <c r="AE239" s="202" t="e">
        <f ca="1">IFERROR(ROUND(INDEX(O:O,MATCH($T239,$A:$A,0)),0),INDEX(PREVIVAZ!$C213:$N213,1,MATCH(AE$27,PREVIVAZ!$C$1:$N$1,1)))</f>
        <v>#N/A</v>
      </c>
      <c r="AF239" s="202" t="e">
        <f ca="1">IFERROR(ROUND(INDEX(P:P,MATCH($T239,$A:$A,0)),0),INDEX(PREVIVAZ!$C213:$N213,1,MATCH(AF$27,PREVIVAZ!$C$1:$N$1,1)))</f>
        <v>#N/A</v>
      </c>
      <c r="AG239" s="202" t="e">
        <f ca="1">IFERROR(ROUND(INDEX(Q:Q,MATCH($T239,$A:$A,0)),0),INDEX(PREVIVAZ!$C213:$N213,1,MATCH(AG$27,PREVIVAZ!$C$1:$N$1,1)))</f>
        <v>#N/A</v>
      </c>
    </row>
    <row r="240" spans="15:33" ht="12.75" x14ac:dyDescent="0.2">
      <c r="O240"/>
      <c r="P240"/>
      <c r="Q240"/>
      <c r="R240"/>
      <c r="S240"/>
      <c r="T240" s="272">
        <v>213</v>
      </c>
      <c r="V240" s="202" t="e">
        <f ca="1">IFERROR(ROUND(INDEX(F:F,MATCH($T240,$A:$A,0)),0),INDEX(PREVIVAZ!$C214:$N214,1,MATCH(V$27,PREVIVAZ!$C$1:$N$1,1)))</f>
        <v>#N/A</v>
      </c>
      <c r="W240" s="202" t="e">
        <f ca="1">IFERROR(ROUND(INDEX(G:G,MATCH($T240,$A:$A,0)),0),INDEX(PREVIVAZ!$C214:$N214,1,MATCH(W$27,PREVIVAZ!$C$1:$N$1,1)))</f>
        <v>#N/A</v>
      </c>
      <c r="X240" s="202" t="e">
        <f ca="1">IFERROR(ROUND(INDEX(H:H,MATCH($T240,$A:$A,0)),0),INDEX(PREVIVAZ!$C214:$N214,1,MATCH(X$27,PREVIVAZ!$C$1:$N$1,1)))</f>
        <v>#N/A</v>
      </c>
      <c r="Y240" s="202" t="e">
        <f ca="1">IFERROR(ROUND(INDEX(I:I,MATCH($T240,$A:$A,0)),0),INDEX(PREVIVAZ!$C214:$N214,1,MATCH(Y$27,PREVIVAZ!$C$1:$N$1,1)))</f>
        <v>#N/A</v>
      </c>
      <c r="Z240" s="202" t="e">
        <f ca="1">IFERROR(ROUND(INDEX(J:J,MATCH($T240,$A:$A,0)),0),INDEX(PREVIVAZ!$C214:$N214,1,MATCH(Z$27,PREVIVAZ!$C$1:$N$1,1)))</f>
        <v>#N/A</v>
      </c>
      <c r="AA240" s="202" t="e">
        <f ca="1">IFERROR(ROUND(INDEX(K:K,MATCH($T240,$A:$A,0)),0),INDEX(PREVIVAZ!$C214:$N214,1,MATCH(AA$27,PREVIVAZ!$C$1:$N$1,1)))</f>
        <v>#N/A</v>
      </c>
      <c r="AB240" s="202" t="e">
        <f ca="1">IFERROR(ROUND(INDEX(L:L,MATCH($T240,$A:$A,0)),0),INDEX(PREVIVAZ!$C214:$N214,1,MATCH(AB$27,PREVIVAZ!$C$1:$N$1,1)))</f>
        <v>#N/A</v>
      </c>
      <c r="AC240" s="202" t="e">
        <f ca="1">IFERROR(ROUND(INDEX(M:M,MATCH($T240,$A:$A,0)),0),INDEX(PREVIVAZ!$C214:$N214,1,MATCH(AC$27,PREVIVAZ!$C$1:$N$1,1)))</f>
        <v>#N/A</v>
      </c>
      <c r="AD240" s="202" t="e">
        <f ca="1">IFERROR(ROUND(INDEX(N:N,MATCH($T240,$A:$A,0)),0),INDEX(PREVIVAZ!$C214:$N214,1,MATCH(AD$27,PREVIVAZ!$C$1:$N$1,1)))</f>
        <v>#N/A</v>
      </c>
      <c r="AE240" s="202" t="e">
        <f ca="1">IFERROR(ROUND(INDEX(O:O,MATCH($T240,$A:$A,0)),0),INDEX(PREVIVAZ!$C214:$N214,1,MATCH(AE$27,PREVIVAZ!$C$1:$N$1,1)))</f>
        <v>#N/A</v>
      </c>
      <c r="AF240" s="202" t="e">
        <f ca="1">IFERROR(ROUND(INDEX(P:P,MATCH($T240,$A:$A,0)),0),INDEX(PREVIVAZ!$C214:$N214,1,MATCH(AF$27,PREVIVAZ!$C$1:$N$1,1)))</f>
        <v>#N/A</v>
      </c>
      <c r="AG240" s="202" t="e">
        <f ca="1">IFERROR(ROUND(INDEX(Q:Q,MATCH($T240,$A:$A,0)),0),INDEX(PREVIVAZ!$C214:$N214,1,MATCH(AG$27,PREVIVAZ!$C$1:$N$1,1)))</f>
        <v>#N/A</v>
      </c>
    </row>
    <row r="241" spans="15:33" ht="12.75" x14ac:dyDescent="0.2">
      <c r="O241"/>
      <c r="P241"/>
      <c r="Q241"/>
      <c r="R241"/>
      <c r="S241"/>
      <c r="T241" s="272">
        <v>214</v>
      </c>
      <c r="V241" s="202" t="e">
        <f ca="1">IFERROR(ROUND(INDEX(F:F,MATCH($T241,$A:$A,0)),0),INDEX(PREVIVAZ!$C215:$N215,1,MATCH(V$27,PREVIVAZ!$C$1:$N$1,1)))</f>
        <v>#N/A</v>
      </c>
      <c r="W241" s="202" t="e">
        <f ca="1">IFERROR(ROUND(INDEX(G:G,MATCH($T241,$A:$A,0)),0),INDEX(PREVIVAZ!$C215:$N215,1,MATCH(W$27,PREVIVAZ!$C$1:$N$1,1)))</f>
        <v>#N/A</v>
      </c>
      <c r="X241" s="202" t="e">
        <f ca="1">IFERROR(ROUND(INDEX(H:H,MATCH($T241,$A:$A,0)),0),INDEX(PREVIVAZ!$C215:$N215,1,MATCH(X$27,PREVIVAZ!$C$1:$N$1,1)))</f>
        <v>#N/A</v>
      </c>
      <c r="Y241" s="202" t="e">
        <f ca="1">IFERROR(ROUND(INDEX(I:I,MATCH($T241,$A:$A,0)),0),INDEX(PREVIVAZ!$C215:$N215,1,MATCH(Y$27,PREVIVAZ!$C$1:$N$1,1)))</f>
        <v>#N/A</v>
      </c>
      <c r="Z241" s="202" t="e">
        <f ca="1">IFERROR(ROUND(INDEX(J:J,MATCH($T241,$A:$A,0)),0),INDEX(PREVIVAZ!$C215:$N215,1,MATCH(Z$27,PREVIVAZ!$C$1:$N$1,1)))</f>
        <v>#N/A</v>
      </c>
      <c r="AA241" s="202" t="e">
        <f ca="1">IFERROR(ROUND(INDEX(K:K,MATCH($T241,$A:$A,0)),0),INDEX(PREVIVAZ!$C215:$N215,1,MATCH(AA$27,PREVIVAZ!$C$1:$N$1,1)))</f>
        <v>#N/A</v>
      </c>
      <c r="AB241" s="202" t="e">
        <f ca="1">IFERROR(ROUND(INDEX(L:L,MATCH($T241,$A:$A,0)),0),INDEX(PREVIVAZ!$C215:$N215,1,MATCH(AB$27,PREVIVAZ!$C$1:$N$1,1)))</f>
        <v>#N/A</v>
      </c>
      <c r="AC241" s="202" t="e">
        <f ca="1">IFERROR(ROUND(INDEX(M:M,MATCH($T241,$A:$A,0)),0),INDEX(PREVIVAZ!$C215:$N215,1,MATCH(AC$27,PREVIVAZ!$C$1:$N$1,1)))</f>
        <v>#N/A</v>
      </c>
      <c r="AD241" s="202" t="e">
        <f ca="1">IFERROR(ROUND(INDEX(N:N,MATCH($T241,$A:$A,0)),0),INDEX(PREVIVAZ!$C215:$N215,1,MATCH(AD$27,PREVIVAZ!$C$1:$N$1,1)))</f>
        <v>#N/A</v>
      </c>
      <c r="AE241" s="202" t="e">
        <f ca="1">IFERROR(ROUND(INDEX(O:O,MATCH($T241,$A:$A,0)),0),INDEX(PREVIVAZ!$C215:$N215,1,MATCH(AE$27,PREVIVAZ!$C$1:$N$1,1)))</f>
        <v>#N/A</v>
      </c>
      <c r="AF241" s="202" t="e">
        <f ca="1">IFERROR(ROUND(INDEX(P:P,MATCH($T241,$A:$A,0)),0),INDEX(PREVIVAZ!$C215:$N215,1,MATCH(AF$27,PREVIVAZ!$C$1:$N$1,1)))</f>
        <v>#N/A</v>
      </c>
      <c r="AG241" s="202" t="e">
        <f ca="1">IFERROR(ROUND(INDEX(Q:Q,MATCH($T241,$A:$A,0)),0),INDEX(PREVIVAZ!$C215:$N215,1,MATCH(AG$27,PREVIVAZ!$C$1:$N$1,1)))</f>
        <v>#N/A</v>
      </c>
    </row>
    <row r="242" spans="15:33" ht="12.75" x14ac:dyDescent="0.2">
      <c r="O242"/>
      <c r="P242"/>
      <c r="Q242"/>
      <c r="R242"/>
      <c r="S242"/>
      <c r="T242" s="272">
        <v>215</v>
      </c>
      <c r="V242" s="202">
        <f ca="1">IFERROR(ROUND(INDEX(F:F,MATCH($T242,$A:$A,0)),0),INDEX(PREVIVAZ!$C216:$N216,1,MATCH(V$27,PREVIVAZ!$C$1:$N$1,1)))</f>
        <v>0</v>
      </c>
      <c r="W242" s="202">
        <f ca="1">IFERROR(ROUND(INDEX(G:G,MATCH($T242,$A:$A,0)),0),INDEX(PREVIVAZ!$C216:$N216,1,MATCH(W$27,PREVIVAZ!$C$1:$N$1,1)))</f>
        <v>0</v>
      </c>
      <c r="X242" s="202">
        <f ca="1">IFERROR(ROUND(INDEX(H:H,MATCH($T242,$A:$A,0)),0),INDEX(PREVIVAZ!$C216:$N216,1,MATCH(X$27,PREVIVAZ!$C$1:$N$1,1)))</f>
        <v>0</v>
      </c>
      <c r="Y242" s="202">
        <f ca="1">IFERROR(ROUND(INDEX(I:I,MATCH($T242,$A:$A,0)),0),INDEX(PREVIVAZ!$C216:$N216,1,MATCH(Y$27,PREVIVAZ!$C$1:$N$1,1)))</f>
        <v>0</v>
      </c>
      <c r="Z242" s="202">
        <f ca="1">IFERROR(ROUND(INDEX(J:J,MATCH($T242,$A:$A,0)),0),INDEX(PREVIVAZ!$C216:$N216,1,MATCH(Z$27,PREVIVAZ!$C$1:$N$1,1)))</f>
        <v>0</v>
      </c>
      <c r="AA242" s="202">
        <f ca="1">IFERROR(ROUND(INDEX(K:K,MATCH($T242,$A:$A,0)),0),INDEX(PREVIVAZ!$C216:$N216,1,MATCH(AA$27,PREVIVAZ!$C$1:$N$1,1)))</f>
        <v>0</v>
      </c>
      <c r="AB242" s="202">
        <f ca="1">IFERROR(ROUND(INDEX(L:L,MATCH($T242,$A:$A,0)),0),INDEX(PREVIVAZ!$C216:$N216,1,MATCH(AB$27,PREVIVAZ!$C$1:$N$1,1)))</f>
        <v>0</v>
      </c>
      <c r="AC242" s="202">
        <f ca="1">IFERROR(ROUND(INDEX(M:M,MATCH($T242,$A:$A,0)),0),INDEX(PREVIVAZ!$C216:$N216,1,MATCH(AC$27,PREVIVAZ!$C$1:$N$1,1)))</f>
        <v>0</v>
      </c>
      <c r="AD242" s="202">
        <f ca="1">IFERROR(ROUND(INDEX(N:N,MATCH($T242,$A:$A,0)),0),INDEX(PREVIVAZ!$C216:$N216,1,MATCH(AD$27,PREVIVAZ!$C$1:$N$1,1)))</f>
        <v>0</v>
      </c>
      <c r="AE242" s="202">
        <f ca="1">IFERROR(ROUND(INDEX(O:O,MATCH($T242,$A:$A,0)),0),INDEX(PREVIVAZ!$C216:$N216,1,MATCH(AE$27,PREVIVAZ!$C$1:$N$1,1)))</f>
        <v>0</v>
      </c>
      <c r="AF242" s="202">
        <f ca="1">IFERROR(ROUND(INDEX(P:P,MATCH($T242,$A:$A,0)),0),INDEX(PREVIVAZ!$C216:$N216,1,MATCH(AF$27,PREVIVAZ!$C$1:$N$1,1)))</f>
        <v>0</v>
      </c>
      <c r="AG242" s="202">
        <f ca="1">IFERROR(ROUND(INDEX(Q:Q,MATCH($T242,$A:$A,0)),0),INDEX(PREVIVAZ!$C216:$N216,1,MATCH(AG$27,PREVIVAZ!$C$1:$N$1,1)))</f>
        <v>0</v>
      </c>
    </row>
    <row r="243" spans="15:33" ht="12.75" x14ac:dyDescent="0.2">
      <c r="O243"/>
      <c r="P243"/>
      <c r="Q243"/>
      <c r="R243"/>
      <c r="S243"/>
      <c r="T243" s="272">
        <v>216</v>
      </c>
      <c r="V243" s="202">
        <f ca="1">IFERROR(ROUND(INDEX(F:F,MATCH($T243,$A:$A,0)),0),INDEX(PREVIVAZ!$C217:$N217,1,MATCH(V$27,PREVIVAZ!$C$1:$N$1,1)))</f>
        <v>0</v>
      </c>
      <c r="W243" s="202">
        <f ca="1">IFERROR(ROUND(INDEX(G:G,MATCH($T243,$A:$A,0)),0),INDEX(PREVIVAZ!$C217:$N217,1,MATCH(W$27,PREVIVAZ!$C$1:$N$1,1)))</f>
        <v>0</v>
      </c>
      <c r="X243" s="202">
        <f ca="1">IFERROR(ROUND(INDEX(H:H,MATCH($T243,$A:$A,0)),0),INDEX(PREVIVAZ!$C217:$N217,1,MATCH(X$27,PREVIVAZ!$C$1:$N$1,1)))</f>
        <v>0</v>
      </c>
      <c r="Y243" s="202">
        <f ca="1">IFERROR(ROUND(INDEX(I:I,MATCH($T243,$A:$A,0)),0),INDEX(PREVIVAZ!$C217:$N217,1,MATCH(Y$27,PREVIVAZ!$C$1:$N$1,1)))</f>
        <v>0</v>
      </c>
      <c r="Z243" s="202">
        <f ca="1">IFERROR(ROUND(INDEX(J:J,MATCH($T243,$A:$A,0)),0),INDEX(PREVIVAZ!$C217:$N217,1,MATCH(Z$27,PREVIVAZ!$C$1:$N$1,1)))</f>
        <v>0</v>
      </c>
      <c r="AA243" s="202">
        <f ca="1">IFERROR(ROUND(INDEX(K:K,MATCH($T243,$A:$A,0)),0),INDEX(PREVIVAZ!$C217:$N217,1,MATCH(AA$27,PREVIVAZ!$C$1:$N$1,1)))</f>
        <v>0</v>
      </c>
      <c r="AB243" s="202">
        <f ca="1">IFERROR(ROUND(INDEX(L:L,MATCH($T243,$A:$A,0)),0),INDEX(PREVIVAZ!$C217:$N217,1,MATCH(AB$27,PREVIVAZ!$C$1:$N$1,1)))</f>
        <v>0</v>
      </c>
      <c r="AC243" s="202">
        <f ca="1">IFERROR(ROUND(INDEX(M:M,MATCH($T243,$A:$A,0)),0),INDEX(PREVIVAZ!$C217:$N217,1,MATCH(AC$27,PREVIVAZ!$C$1:$N$1,1)))</f>
        <v>0</v>
      </c>
      <c r="AD243" s="202">
        <f ca="1">IFERROR(ROUND(INDEX(N:N,MATCH($T243,$A:$A,0)),0),INDEX(PREVIVAZ!$C217:$N217,1,MATCH(AD$27,PREVIVAZ!$C$1:$N$1,1)))</f>
        <v>0</v>
      </c>
      <c r="AE243" s="202">
        <f ca="1">IFERROR(ROUND(INDEX(O:O,MATCH($T243,$A:$A,0)),0),INDEX(PREVIVAZ!$C217:$N217,1,MATCH(AE$27,PREVIVAZ!$C$1:$N$1,1)))</f>
        <v>0</v>
      </c>
      <c r="AF243" s="202">
        <f ca="1">IFERROR(ROUND(INDEX(P:P,MATCH($T243,$A:$A,0)),0),INDEX(PREVIVAZ!$C217:$N217,1,MATCH(AF$27,PREVIVAZ!$C$1:$N$1,1)))</f>
        <v>0</v>
      </c>
      <c r="AG243" s="202">
        <f ca="1">IFERROR(ROUND(INDEX(Q:Q,MATCH($T243,$A:$A,0)),0),INDEX(PREVIVAZ!$C217:$N217,1,MATCH(AG$27,PREVIVAZ!$C$1:$N$1,1)))</f>
        <v>0</v>
      </c>
    </row>
    <row r="244" spans="15:33" ht="12.75" x14ac:dyDescent="0.2">
      <c r="O244"/>
      <c r="P244"/>
      <c r="Q244"/>
      <c r="R244"/>
      <c r="S244"/>
      <c r="T244" s="272">
        <v>217</v>
      </c>
      <c r="V244" s="202">
        <f ca="1">IFERROR(ROUND(INDEX(F:F,MATCH($T244,$A:$A,0)),0),INDEX(PREVIVAZ!$C218:$N218,1,MATCH(V$27,PREVIVAZ!$C$1:$N$1,1)))</f>
        <v>0</v>
      </c>
      <c r="W244" s="202">
        <f ca="1">IFERROR(ROUND(INDEX(G:G,MATCH($T244,$A:$A,0)),0),INDEX(PREVIVAZ!$C218:$N218,1,MATCH(W$27,PREVIVAZ!$C$1:$N$1,1)))</f>
        <v>0</v>
      </c>
      <c r="X244" s="202">
        <f ca="1">IFERROR(ROUND(INDEX(H:H,MATCH($T244,$A:$A,0)),0),INDEX(PREVIVAZ!$C218:$N218,1,MATCH(X$27,PREVIVAZ!$C$1:$N$1,1)))</f>
        <v>0</v>
      </c>
      <c r="Y244" s="202">
        <f ca="1">IFERROR(ROUND(INDEX(I:I,MATCH($T244,$A:$A,0)),0),INDEX(PREVIVAZ!$C218:$N218,1,MATCH(Y$27,PREVIVAZ!$C$1:$N$1,1)))</f>
        <v>0</v>
      </c>
      <c r="Z244" s="202">
        <f ca="1">IFERROR(ROUND(INDEX(J:J,MATCH($T244,$A:$A,0)),0),INDEX(PREVIVAZ!$C218:$N218,1,MATCH(Z$27,PREVIVAZ!$C$1:$N$1,1)))</f>
        <v>0</v>
      </c>
      <c r="AA244" s="202">
        <f ca="1">IFERROR(ROUND(INDEX(K:K,MATCH($T244,$A:$A,0)),0),INDEX(PREVIVAZ!$C218:$N218,1,MATCH(AA$27,PREVIVAZ!$C$1:$N$1,1)))</f>
        <v>0</v>
      </c>
      <c r="AB244" s="202">
        <f ca="1">IFERROR(ROUND(INDEX(L:L,MATCH($T244,$A:$A,0)),0),INDEX(PREVIVAZ!$C218:$N218,1,MATCH(AB$27,PREVIVAZ!$C$1:$N$1,1)))</f>
        <v>0</v>
      </c>
      <c r="AC244" s="202">
        <f ca="1">IFERROR(ROUND(INDEX(M:M,MATCH($T244,$A:$A,0)),0),INDEX(PREVIVAZ!$C218:$N218,1,MATCH(AC$27,PREVIVAZ!$C$1:$N$1,1)))</f>
        <v>0</v>
      </c>
      <c r="AD244" s="202">
        <f ca="1">IFERROR(ROUND(INDEX(N:N,MATCH($T244,$A:$A,0)),0),INDEX(PREVIVAZ!$C218:$N218,1,MATCH(AD$27,PREVIVAZ!$C$1:$N$1,1)))</f>
        <v>0</v>
      </c>
      <c r="AE244" s="202">
        <f ca="1">IFERROR(ROUND(INDEX(O:O,MATCH($T244,$A:$A,0)),0),INDEX(PREVIVAZ!$C218:$N218,1,MATCH(AE$27,PREVIVAZ!$C$1:$N$1,1)))</f>
        <v>0</v>
      </c>
      <c r="AF244" s="202">
        <f ca="1">IFERROR(ROUND(INDEX(P:P,MATCH($T244,$A:$A,0)),0),INDEX(PREVIVAZ!$C218:$N218,1,MATCH(AF$27,PREVIVAZ!$C$1:$N$1,1)))</f>
        <v>0</v>
      </c>
      <c r="AG244" s="202">
        <f ca="1">IFERROR(ROUND(INDEX(Q:Q,MATCH($T244,$A:$A,0)),0),INDEX(PREVIVAZ!$C218:$N218,1,MATCH(AG$27,PREVIVAZ!$C$1:$N$1,1)))</f>
        <v>0</v>
      </c>
    </row>
    <row r="245" spans="15:33" ht="12.75" x14ac:dyDescent="0.2">
      <c r="O245"/>
      <c r="P245"/>
      <c r="Q245"/>
      <c r="R245"/>
      <c r="S245"/>
      <c r="T245" s="272">
        <v>218</v>
      </c>
      <c r="V245" s="202" t="e">
        <f ca="1">IFERROR(ROUND(INDEX(F:F,MATCH($T245,$A:$A,0)),0),INDEX(PREVIVAZ!$C219:$N219,1,MATCH(V$27,PREVIVAZ!$C$1:$N$1,1)))</f>
        <v>#N/A</v>
      </c>
      <c r="W245" s="202" t="e">
        <f ca="1">IFERROR(ROUND(INDEX(G:G,MATCH($T245,$A:$A,0)),0),INDEX(PREVIVAZ!$C219:$N219,1,MATCH(W$27,PREVIVAZ!$C$1:$N$1,1)))</f>
        <v>#N/A</v>
      </c>
      <c r="X245" s="202" t="e">
        <f ca="1">IFERROR(ROUND(INDEX(H:H,MATCH($T245,$A:$A,0)),0),INDEX(PREVIVAZ!$C219:$N219,1,MATCH(X$27,PREVIVAZ!$C$1:$N$1,1)))</f>
        <v>#N/A</v>
      </c>
      <c r="Y245" s="202" t="e">
        <f ca="1">IFERROR(ROUND(INDEX(I:I,MATCH($T245,$A:$A,0)),0),INDEX(PREVIVAZ!$C219:$N219,1,MATCH(Y$27,PREVIVAZ!$C$1:$N$1,1)))</f>
        <v>#N/A</v>
      </c>
      <c r="Z245" s="202" t="e">
        <f ca="1">IFERROR(ROUND(INDEX(J:J,MATCH($T245,$A:$A,0)),0),INDEX(PREVIVAZ!$C219:$N219,1,MATCH(Z$27,PREVIVAZ!$C$1:$N$1,1)))</f>
        <v>#N/A</v>
      </c>
      <c r="AA245" s="202" t="e">
        <f ca="1">IFERROR(ROUND(INDEX(K:K,MATCH($T245,$A:$A,0)),0),INDEX(PREVIVAZ!$C219:$N219,1,MATCH(AA$27,PREVIVAZ!$C$1:$N$1,1)))</f>
        <v>#N/A</v>
      </c>
      <c r="AB245" s="202" t="e">
        <f ca="1">IFERROR(ROUND(INDEX(L:L,MATCH($T245,$A:$A,0)),0),INDEX(PREVIVAZ!$C219:$N219,1,MATCH(AB$27,PREVIVAZ!$C$1:$N$1,1)))</f>
        <v>#N/A</v>
      </c>
      <c r="AC245" s="202" t="e">
        <f ca="1">IFERROR(ROUND(INDEX(M:M,MATCH($T245,$A:$A,0)),0),INDEX(PREVIVAZ!$C219:$N219,1,MATCH(AC$27,PREVIVAZ!$C$1:$N$1,1)))</f>
        <v>#N/A</v>
      </c>
      <c r="AD245" s="202" t="e">
        <f ca="1">IFERROR(ROUND(INDEX(N:N,MATCH($T245,$A:$A,0)),0),INDEX(PREVIVAZ!$C219:$N219,1,MATCH(AD$27,PREVIVAZ!$C$1:$N$1,1)))</f>
        <v>#N/A</v>
      </c>
      <c r="AE245" s="202" t="e">
        <f ca="1">IFERROR(ROUND(INDEX(O:O,MATCH($T245,$A:$A,0)),0),INDEX(PREVIVAZ!$C219:$N219,1,MATCH(AE$27,PREVIVAZ!$C$1:$N$1,1)))</f>
        <v>#N/A</v>
      </c>
      <c r="AF245" s="202" t="e">
        <f ca="1">IFERROR(ROUND(INDEX(P:P,MATCH($T245,$A:$A,0)),0),INDEX(PREVIVAZ!$C219:$N219,1,MATCH(AF$27,PREVIVAZ!$C$1:$N$1,1)))</f>
        <v>#N/A</v>
      </c>
      <c r="AG245" s="202" t="e">
        <f ca="1">IFERROR(ROUND(INDEX(Q:Q,MATCH($T245,$A:$A,0)),0),INDEX(PREVIVAZ!$C219:$N219,1,MATCH(AG$27,PREVIVAZ!$C$1:$N$1,1)))</f>
        <v>#N/A</v>
      </c>
    </row>
    <row r="246" spans="15:33" ht="12.75" x14ac:dyDescent="0.2">
      <c r="O246"/>
      <c r="P246"/>
      <c r="Q246"/>
      <c r="R246"/>
      <c r="S246"/>
      <c r="T246" s="272">
        <v>219</v>
      </c>
      <c r="V246" s="202" t="e">
        <f ca="1">IFERROR(ROUND(INDEX(F:F,MATCH($T246,$A:$A,0)),0),INDEX(PREVIVAZ!$C220:$N220,1,MATCH(V$27,PREVIVAZ!$C$1:$N$1,1)))</f>
        <v>#N/A</v>
      </c>
      <c r="W246" s="202" t="e">
        <f ca="1">IFERROR(ROUND(INDEX(G:G,MATCH($T246,$A:$A,0)),0),INDEX(PREVIVAZ!$C220:$N220,1,MATCH(W$27,PREVIVAZ!$C$1:$N$1,1)))</f>
        <v>#N/A</v>
      </c>
      <c r="X246" s="202" t="e">
        <f ca="1">IFERROR(ROUND(INDEX(H:H,MATCH($T246,$A:$A,0)),0),INDEX(PREVIVAZ!$C220:$N220,1,MATCH(X$27,PREVIVAZ!$C$1:$N$1,1)))</f>
        <v>#N/A</v>
      </c>
      <c r="Y246" s="202" t="e">
        <f ca="1">IFERROR(ROUND(INDEX(I:I,MATCH($T246,$A:$A,0)),0),INDEX(PREVIVAZ!$C220:$N220,1,MATCH(Y$27,PREVIVAZ!$C$1:$N$1,1)))</f>
        <v>#N/A</v>
      </c>
      <c r="Z246" s="202" t="e">
        <f ca="1">IFERROR(ROUND(INDEX(J:J,MATCH($T246,$A:$A,0)),0),INDEX(PREVIVAZ!$C220:$N220,1,MATCH(Z$27,PREVIVAZ!$C$1:$N$1,1)))</f>
        <v>#N/A</v>
      </c>
      <c r="AA246" s="202" t="e">
        <f ca="1">IFERROR(ROUND(INDEX(K:K,MATCH($T246,$A:$A,0)),0),INDEX(PREVIVAZ!$C220:$N220,1,MATCH(AA$27,PREVIVAZ!$C$1:$N$1,1)))</f>
        <v>#N/A</v>
      </c>
      <c r="AB246" s="202" t="e">
        <f ca="1">IFERROR(ROUND(INDEX(L:L,MATCH($T246,$A:$A,0)),0),INDEX(PREVIVAZ!$C220:$N220,1,MATCH(AB$27,PREVIVAZ!$C$1:$N$1,1)))</f>
        <v>#N/A</v>
      </c>
      <c r="AC246" s="202" t="e">
        <f ca="1">IFERROR(ROUND(INDEX(M:M,MATCH($T246,$A:$A,0)),0),INDEX(PREVIVAZ!$C220:$N220,1,MATCH(AC$27,PREVIVAZ!$C$1:$N$1,1)))</f>
        <v>#N/A</v>
      </c>
      <c r="AD246" s="202" t="e">
        <f ca="1">IFERROR(ROUND(INDEX(N:N,MATCH($T246,$A:$A,0)),0),INDEX(PREVIVAZ!$C220:$N220,1,MATCH(AD$27,PREVIVAZ!$C$1:$N$1,1)))</f>
        <v>#N/A</v>
      </c>
      <c r="AE246" s="202" t="e">
        <f ca="1">IFERROR(ROUND(INDEX(O:O,MATCH($T246,$A:$A,0)),0),INDEX(PREVIVAZ!$C220:$N220,1,MATCH(AE$27,PREVIVAZ!$C$1:$N$1,1)))</f>
        <v>#N/A</v>
      </c>
      <c r="AF246" s="202" t="e">
        <f ca="1">IFERROR(ROUND(INDEX(P:P,MATCH($T246,$A:$A,0)),0),INDEX(PREVIVAZ!$C220:$N220,1,MATCH(AF$27,PREVIVAZ!$C$1:$N$1,1)))</f>
        <v>#N/A</v>
      </c>
      <c r="AG246" s="202" t="e">
        <f ca="1">IFERROR(ROUND(INDEX(Q:Q,MATCH($T246,$A:$A,0)),0),INDEX(PREVIVAZ!$C220:$N220,1,MATCH(AG$27,PREVIVAZ!$C$1:$N$1,1)))</f>
        <v>#N/A</v>
      </c>
    </row>
    <row r="247" spans="15:33" ht="12.75" x14ac:dyDescent="0.2">
      <c r="O247"/>
      <c r="P247"/>
      <c r="Q247"/>
      <c r="R247"/>
      <c r="S247"/>
      <c r="T247" s="272">
        <v>220</v>
      </c>
      <c r="V247" s="202">
        <f ca="1">IFERROR(ROUND(INDEX(F:F,MATCH($T247,$A:$A,0)),0),INDEX(PREVIVAZ!$C221:$N221,1,MATCH(V$27,PREVIVAZ!$C$1:$N$1,1)))</f>
        <v>0</v>
      </c>
      <c r="W247" s="202">
        <f ca="1">IFERROR(ROUND(INDEX(G:G,MATCH($T247,$A:$A,0)),0),INDEX(PREVIVAZ!$C221:$N221,1,MATCH(W$27,PREVIVAZ!$C$1:$N$1,1)))</f>
        <v>0</v>
      </c>
      <c r="X247" s="202">
        <f ca="1">IFERROR(ROUND(INDEX(H:H,MATCH($T247,$A:$A,0)),0),INDEX(PREVIVAZ!$C221:$N221,1,MATCH(X$27,PREVIVAZ!$C$1:$N$1,1)))</f>
        <v>0</v>
      </c>
      <c r="Y247" s="202">
        <f ca="1">IFERROR(ROUND(INDEX(I:I,MATCH($T247,$A:$A,0)),0),INDEX(PREVIVAZ!$C221:$N221,1,MATCH(Y$27,PREVIVAZ!$C$1:$N$1,1)))</f>
        <v>0</v>
      </c>
      <c r="Z247" s="202">
        <f ca="1">IFERROR(ROUND(INDEX(J:J,MATCH($T247,$A:$A,0)),0),INDEX(PREVIVAZ!$C221:$N221,1,MATCH(Z$27,PREVIVAZ!$C$1:$N$1,1)))</f>
        <v>0</v>
      </c>
      <c r="AA247" s="202">
        <f ca="1">IFERROR(ROUND(INDEX(K:K,MATCH($T247,$A:$A,0)),0),INDEX(PREVIVAZ!$C221:$N221,1,MATCH(AA$27,PREVIVAZ!$C$1:$N$1,1)))</f>
        <v>0</v>
      </c>
      <c r="AB247" s="202">
        <f ca="1">IFERROR(ROUND(INDEX(L:L,MATCH($T247,$A:$A,0)),0),INDEX(PREVIVAZ!$C221:$N221,1,MATCH(AB$27,PREVIVAZ!$C$1:$N$1,1)))</f>
        <v>0</v>
      </c>
      <c r="AC247" s="202">
        <f ca="1">IFERROR(ROUND(INDEX(M:M,MATCH($T247,$A:$A,0)),0),INDEX(PREVIVAZ!$C221:$N221,1,MATCH(AC$27,PREVIVAZ!$C$1:$N$1,1)))</f>
        <v>0</v>
      </c>
      <c r="AD247" s="202">
        <f ca="1">IFERROR(ROUND(INDEX(N:N,MATCH($T247,$A:$A,0)),0),INDEX(PREVIVAZ!$C221:$N221,1,MATCH(AD$27,PREVIVAZ!$C$1:$N$1,1)))</f>
        <v>0</v>
      </c>
      <c r="AE247" s="202">
        <f ca="1">IFERROR(ROUND(INDEX(O:O,MATCH($T247,$A:$A,0)),0),INDEX(PREVIVAZ!$C221:$N221,1,MATCH(AE$27,PREVIVAZ!$C$1:$N$1,1)))</f>
        <v>0</v>
      </c>
      <c r="AF247" s="202">
        <f ca="1">IFERROR(ROUND(INDEX(P:P,MATCH($T247,$A:$A,0)),0),INDEX(PREVIVAZ!$C221:$N221,1,MATCH(AF$27,PREVIVAZ!$C$1:$N$1,1)))</f>
        <v>0</v>
      </c>
      <c r="AG247" s="202">
        <f ca="1">IFERROR(ROUND(INDEX(Q:Q,MATCH($T247,$A:$A,0)),0),INDEX(PREVIVAZ!$C221:$N221,1,MATCH(AG$27,PREVIVAZ!$C$1:$N$1,1)))</f>
        <v>0</v>
      </c>
    </row>
    <row r="248" spans="15:33" ht="12.75" x14ac:dyDescent="0.2">
      <c r="O248"/>
      <c r="P248"/>
      <c r="Q248"/>
      <c r="R248"/>
      <c r="S248"/>
      <c r="T248" s="272">
        <v>221</v>
      </c>
      <c r="V248" s="202" t="e">
        <f ca="1">IFERROR(ROUND(INDEX(F:F,MATCH($T248,$A:$A,0)),0),INDEX(PREVIVAZ!$C222:$N222,1,MATCH(V$27,PREVIVAZ!$C$1:$N$1,1)))</f>
        <v>#N/A</v>
      </c>
      <c r="W248" s="202" t="e">
        <f ca="1">IFERROR(ROUND(INDEX(G:G,MATCH($T248,$A:$A,0)),0),INDEX(PREVIVAZ!$C222:$N222,1,MATCH(W$27,PREVIVAZ!$C$1:$N$1,1)))</f>
        <v>#N/A</v>
      </c>
      <c r="X248" s="202" t="e">
        <f ca="1">IFERROR(ROUND(INDEX(H:H,MATCH($T248,$A:$A,0)),0),INDEX(PREVIVAZ!$C222:$N222,1,MATCH(X$27,PREVIVAZ!$C$1:$N$1,1)))</f>
        <v>#N/A</v>
      </c>
      <c r="Y248" s="202" t="e">
        <f ca="1">IFERROR(ROUND(INDEX(I:I,MATCH($T248,$A:$A,0)),0),INDEX(PREVIVAZ!$C222:$N222,1,MATCH(Y$27,PREVIVAZ!$C$1:$N$1,1)))</f>
        <v>#N/A</v>
      </c>
      <c r="Z248" s="202" t="e">
        <f ca="1">IFERROR(ROUND(INDEX(J:J,MATCH($T248,$A:$A,0)),0),INDEX(PREVIVAZ!$C222:$N222,1,MATCH(Z$27,PREVIVAZ!$C$1:$N$1,1)))</f>
        <v>#N/A</v>
      </c>
      <c r="AA248" s="202" t="e">
        <f ca="1">IFERROR(ROUND(INDEX(K:K,MATCH($T248,$A:$A,0)),0),INDEX(PREVIVAZ!$C222:$N222,1,MATCH(AA$27,PREVIVAZ!$C$1:$N$1,1)))</f>
        <v>#N/A</v>
      </c>
      <c r="AB248" s="202" t="e">
        <f ca="1">IFERROR(ROUND(INDEX(L:L,MATCH($T248,$A:$A,0)),0),INDEX(PREVIVAZ!$C222:$N222,1,MATCH(AB$27,PREVIVAZ!$C$1:$N$1,1)))</f>
        <v>#N/A</v>
      </c>
      <c r="AC248" s="202" t="e">
        <f ca="1">IFERROR(ROUND(INDEX(M:M,MATCH($T248,$A:$A,0)),0),INDEX(PREVIVAZ!$C222:$N222,1,MATCH(AC$27,PREVIVAZ!$C$1:$N$1,1)))</f>
        <v>#N/A</v>
      </c>
      <c r="AD248" s="202" t="e">
        <f ca="1">IFERROR(ROUND(INDEX(N:N,MATCH($T248,$A:$A,0)),0),INDEX(PREVIVAZ!$C222:$N222,1,MATCH(AD$27,PREVIVAZ!$C$1:$N$1,1)))</f>
        <v>#N/A</v>
      </c>
      <c r="AE248" s="202" t="e">
        <f ca="1">IFERROR(ROUND(INDEX(O:O,MATCH($T248,$A:$A,0)),0),INDEX(PREVIVAZ!$C222:$N222,1,MATCH(AE$27,PREVIVAZ!$C$1:$N$1,1)))</f>
        <v>#N/A</v>
      </c>
      <c r="AF248" s="202" t="e">
        <f ca="1">IFERROR(ROUND(INDEX(P:P,MATCH($T248,$A:$A,0)),0),INDEX(PREVIVAZ!$C222:$N222,1,MATCH(AF$27,PREVIVAZ!$C$1:$N$1,1)))</f>
        <v>#N/A</v>
      </c>
      <c r="AG248" s="202" t="e">
        <f ca="1">IFERROR(ROUND(INDEX(Q:Q,MATCH($T248,$A:$A,0)),0),INDEX(PREVIVAZ!$C222:$N222,1,MATCH(AG$27,PREVIVAZ!$C$1:$N$1,1)))</f>
        <v>#N/A</v>
      </c>
    </row>
    <row r="249" spans="15:33" ht="12.75" x14ac:dyDescent="0.2">
      <c r="O249"/>
      <c r="P249"/>
      <c r="Q249"/>
      <c r="R249"/>
      <c r="S249"/>
      <c r="T249" s="202">
        <v>222</v>
      </c>
      <c r="U249" s="202"/>
      <c r="V249" s="202" t="e">
        <f ca="1">IFERROR(ROUND(INDEX(F:F,MATCH($T249,$A:$A,0)),0),INDEX(PREVIVAZ!$C223:$N223,1,MATCH(V$27,PREVIVAZ!$C$1:$N$1,1)))</f>
        <v>#N/A</v>
      </c>
      <c r="W249" s="202" t="e">
        <f ca="1">IFERROR(ROUND(INDEX(G:G,MATCH($T249,$A:$A,0)),0),INDEX(PREVIVAZ!$C223:$N223,1,MATCH(W$27,PREVIVAZ!$C$1:$N$1,1)))</f>
        <v>#N/A</v>
      </c>
      <c r="X249" s="202" t="e">
        <f ca="1">IFERROR(ROUND(INDEX(H:H,MATCH($T249,$A:$A,0)),0),INDEX(PREVIVAZ!$C223:$N223,1,MATCH(X$27,PREVIVAZ!$C$1:$N$1,1)))</f>
        <v>#N/A</v>
      </c>
      <c r="Y249" s="202" t="e">
        <f ca="1">IFERROR(ROUND(INDEX(I:I,MATCH($T249,$A:$A,0)),0),INDEX(PREVIVAZ!$C223:$N223,1,MATCH(Y$27,PREVIVAZ!$C$1:$N$1,1)))</f>
        <v>#N/A</v>
      </c>
      <c r="Z249" s="202" t="e">
        <f ca="1">IFERROR(ROUND(INDEX(J:J,MATCH($T249,$A:$A,0)),0),INDEX(PREVIVAZ!$C223:$N223,1,MATCH(Z$27,PREVIVAZ!$C$1:$N$1,1)))</f>
        <v>#N/A</v>
      </c>
      <c r="AA249" s="202" t="e">
        <f ca="1">IFERROR(ROUND(INDEX(K:K,MATCH($T249,$A:$A,0)),0),INDEX(PREVIVAZ!$C223:$N223,1,MATCH(AA$27,PREVIVAZ!$C$1:$N$1,1)))</f>
        <v>#N/A</v>
      </c>
      <c r="AB249" s="202" t="e">
        <f ca="1">IFERROR(ROUND(INDEX(L:L,MATCH($T249,$A:$A,0)),0),INDEX(PREVIVAZ!$C223:$N223,1,MATCH(AB$27,PREVIVAZ!$C$1:$N$1,1)))</f>
        <v>#N/A</v>
      </c>
      <c r="AC249" s="202" t="e">
        <f ca="1">IFERROR(ROUND(INDEX(M:M,MATCH($T249,$A:$A,0)),0),INDEX(PREVIVAZ!$C223:$N223,1,MATCH(AC$27,PREVIVAZ!$C$1:$N$1,1)))</f>
        <v>#N/A</v>
      </c>
      <c r="AD249" s="202" t="e">
        <f ca="1">IFERROR(ROUND(INDEX(N:N,MATCH($T249,$A:$A,0)),0),INDEX(PREVIVAZ!$C223:$N223,1,MATCH(AD$27,PREVIVAZ!$C$1:$N$1,1)))</f>
        <v>#N/A</v>
      </c>
      <c r="AE249" s="202" t="e">
        <f ca="1">IFERROR(ROUND(INDEX(O:O,MATCH($T249,$A:$A,0)),0),INDEX(PREVIVAZ!$C223:$N223,1,MATCH(AE$27,PREVIVAZ!$C$1:$N$1,1)))</f>
        <v>#N/A</v>
      </c>
      <c r="AF249" s="202" t="e">
        <f ca="1">IFERROR(ROUND(INDEX(P:P,MATCH($T249,$A:$A,0)),0),INDEX(PREVIVAZ!$C223:$N223,1,MATCH(AF$27,PREVIVAZ!$C$1:$N$1,1)))</f>
        <v>#N/A</v>
      </c>
      <c r="AG249" s="202" t="e">
        <f ca="1">IFERROR(ROUND(INDEX(Q:Q,MATCH($T249,$A:$A,0)),0),INDEX(PREVIVAZ!$C223:$N223,1,MATCH(AG$27,PREVIVAZ!$C$1:$N$1,1)))</f>
        <v>#N/A</v>
      </c>
    </row>
    <row r="250" spans="15:33" ht="12.75" x14ac:dyDescent="0.2">
      <c r="O250"/>
      <c r="P250"/>
      <c r="Q250"/>
      <c r="R250"/>
      <c r="S250"/>
      <c r="T250" s="272">
        <v>223</v>
      </c>
      <c r="V250" s="202" t="e">
        <f ca="1">IFERROR(ROUND(INDEX(F:F,MATCH($T250,$A:$A,0)),0),INDEX(PREVIVAZ!$C224:$N224,1,MATCH(V$27,PREVIVAZ!$C$1:$N$1,1)))</f>
        <v>#N/A</v>
      </c>
      <c r="W250" s="202" t="e">
        <f ca="1">IFERROR(ROUND(INDEX(G:G,MATCH($T250,$A:$A,0)),0),INDEX(PREVIVAZ!$C224:$N224,1,MATCH(W$27,PREVIVAZ!$C$1:$N$1,1)))</f>
        <v>#N/A</v>
      </c>
      <c r="X250" s="202" t="e">
        <f ca="1">IFERROR(ROUND(INDEX(H:H,MATCH($T250,$A:$A,0)),0),INDEX(PREVIVAZ!$C224:$N224,1,MATCH(X$27,PREVIVAZ!$C$1:$N$1,1)))</f>
        <v>#N/A</v>
      </c>
      <c r="Y250" s="202" t="e">
        <f ca="1">IFERROR(ROUND(INDEX(I:I,MATCH($T250,$A:$A,0)),0),INDEX(PREVIVAZ!$C224:$N224,1,MATCH(Y$27,PREVIVAZ!$C$1:$N$1,1)))</f>
        <v>#N/A</v>
      </c>
      <c r="Z250" s="202" t="e">
        <f ca="1">IFERROR(ROUND(INDEX(J:J,MATCH($T250,$A:$A,0)),0),INDEX(PREVIVAZ!$C224:$N224,1,MATCH(Z$27,PREVIVAZ!$C$1:$N$1,1)))</f>
        <v>#N/A</v>
      </c>
      <c r="AA250" s="202" t="e">
        <f ca="1">IFERROR(ROUND(INDEX(K:K,MATCH($T250,$A:$A,0)),0),INDEX(PREVIVAZ!$C224:$N224,1,MATCH(AA$27,PREVIVAZ!$C$1:$N$1,1)))</f>
        <v>#N/A</v>
      </c>
      <c r="AB250" s="202" t="e">
        <f ca="1">IFERROR(ROUND(INDEX(L:L,MATCH($T250,$A:$A,0)),0),INDEX(PREVIVAZ!$C224:$N224,1,MATCH(AB$27,PREVIVAZ!$C$1:$N$1,1)))</f>
        <v>#N/A</v>
      </c>
      <c r="AC250" s="202" t="e">
        <f ca="1">IFERROR(ROUND(INDEX(M:M,MATCH($T250,$A:$A,0)),0),INDEX(PREVIVAZ!$C224:$N224,1,MATCH(AC$27,PREVIVAZ!$C$1:$N$1,1)))</f>
        <v>#N/A</v>
      </c>
      <c r="AD250" s="202" t="e">
        <f ca="1">IFERROR(ROUND(INDEX(N:N,MATCH($T250,$A:$A,0)),0),INDEX(PREVIVAZ!$C224:$N224,1,MATCH(AD$27,PREVIVAZ!$C$1:$N$1,1)))</f>
        <v>#N/A</v>
      </c>
      <c r="AE250" s="202" t="e">
        <f ca="1">IFERROR(ROUND(INDEX(O:O,MATCH($T250,$A:$A,0)),0),INDEX(PREVIVAZ!$C224:$N224,1,MATCH(AE$27,PREVIVAZ!$C$1:$N$1,1)))</f>
        <v>#N/A</v>
      </c>
      <c r="AF250" s="202" t="e">
        <f ca="1">IFERROR(ROUND(INDEX(P:P,MATCH($T250,$A:$A,0)),0),INDEX(PREVIVAZ!$C224:$N224,1,MATCH(AF$27,PREVIVAZ!$C$1:$N$1,1)))</f>
        <v>#N/A</v>
      </c>
      <c r="AG250" s="202" t="e">
        <f ca="1">IFERROR(ROUND(INDEX(Q:Q,MATCH($T250,$A:$A,0)),0),INDEX(PREVIVAZ!$C224:$N224,1,MATCH(AG$27,PREVIVAZ!$C$1:$N$1,1)))</f>
        <v>#N/A</v>
      </c>
    </row>
    <row r="251" spans="15:33" ht="12.75" x14ac:dyDescent="0.2">
      <c r="O251"/>
      <c r="P251"/>
      <c r="Q251"/>
      <c r="R251"/>
      <c r="S251"/>
      <c r="T251" s="272">
        <v>224</v>
      </c>
      <c r="V251" s="202" t="e">
        <f ca="1">IFERROR(ROUND(INDEX(F:F,MATCH($T251,$A:$A,0)),0),INDEX(PREVIVAZ!$C225:$N225,1,MATCH(V$27,PREVIVAZ!$C$1:$N$1,1)))</f>
        <v>#N/A</v>
      </c>
      <c r="W251" s="202" t="e">
        <f ca="1">IFERROR(ROUND(INDEX(G:G,MATCH($T251,$A:$A,0)),0),INDEX(PREVIVAZ!$C225:$N225,1,MATCH(W$27,PREVIVAZ!$C$1:$N$1,1)))</f>
        <v>#N/A</v>
      </c>
      <c r="X251" s="202" t="e">
        <f ca="1">IFERROR(ROUND(INDEX(H:H,MATCH($T251,$A:$A,0)),0),INDEX(PREVIVAZ!$C225:$N225,1,MATCH(X$27,PREVIVAZ!$C$1:$N$1,1)))</f>
        <v>#N/A</v>
      </c>
      <c r="Y251" s="202" t="e">
        <f ca="1">IFERROR(ROUND(INDEX(I:I,MATCH($T251,$A:$A,0)),0),INDEX(PREVIVAZ!$C225:$N225,1,MATCH(Y$27,PREVIVAZ!$C$1:$N$1,1)))</f>
        <v>#N/A</v>
      </c>
      <c r="Z251" s="202" t="e">
        <f ca="1">IFERROR(ROUND(INDEX(J:J,MATCH($T251,$A:$A,0)),0),INDEX(PREVIVAZ!$C225:$N225,1,MATCH(Z$27,PREVIVAZ!$C$1:$N$1,1)))</f>
        <v>#N/A</v>
      </c>
      <c r="AA251" s="202" t="e">
        <f ca="1">IFERROR(ROUND(INDEX(K:K,MATCH($T251,$A:$A,0)),0),INDEX(PREVIVAZ!$C225:$N225,1,MATCH(AA$27,PREVIVAZ!$C$1:$N$1,1)))</f>
        <v>#N/A</v>
      </c>
      <c r="AB251" s="202" t="e">
        <f ca="1">IFERROR(ROUND(INDEX(L:L,MATCH($T251,$A:$A,0)),0),INDEX(PREVIVAZ!$C225:$N225,1,MATCH(AB$27,PREVIVAZ!$C$1:$N$1,1)))</f>
        <v>#N/A</v>
      </c>
      <c r="AC251" s="202" t="e">
        <f ca="1">IFERROR(ROUND(INDEX(M:M,MATCH($T251,$A:$A,0)),0),INDEX(PREVIVAZ!$C225:$N225,1,MATCH(AC$27,PREVIVAZ!$C$1:$N$1,1)))</f>
        <v>#N/A</v>
      </c>
      <c r="AD251" s="202" t="e">
        <f ca="1">IFERROR(ROUND(INDEX(N:N,MATCH($T251,$A:$A,0)),0),INDEX(PREVIVAZ!$C225:$N225,1,MATCH(AD$27,PREVIVAZ!$C$1:$N$1,1)))</f>
        <v>#N/A</v>
      </c>
      <c r="AE251" s="202" t="e">
        <f ca="1">IFERROR(ROUND(INDEX(O:O,MATCH($T251,$A:$A,0)),0),INDEX(PREVIVAZ!$C225:$N225,1,MATCH(AE$27,PREVIVAZ!$C$1:$N$1,1)))</f>
        <v>#N/A</v>
      </c>
      <c r="AF251" s="202" t="e">
        <f ca="1">IFERROR(ROUND(INDEX(P:P,MATCH($T251,$A:$A,0)),0),INDEX(PREVIVAZ!$C225:$N225,1,MATCH(AF$27,PREVIVAZ!$C$1:$N$1,1)))</f>
        <v>#N/A</v>
      </c>
      <c r="AG251" s="202" t="e">
        <f ca="1">IFERROR(ROUND(INDEX(Q:Q,MATCH($T251,$A:$A,0)),0),INDEX(PREVIVAZ!$C225:$N225,1,MATCH(AG$27,PREVIVAZ!$C$1:$N$1,1)))</f>
        <v>#N/A</v>
      </c>
    </row>
    <row r="252" spans="15:33" ht="12.75" x14ac:dyDescent="0.2">
      <c r="O252"/>
      <c r="P252"/>
      <c r="Q252"/>
      <c r="R252"/>
      <c r="S252"/>
      <c r="T252" s="272">
        <v>225</v>
      </c>
      <c r="V252" s="202" t="e">
        <f ca="1">IFERROR(ROUND(INDEX(F:F,MATCH($T252,$A:$A,0)),0),INDEX(PREVIVAZ!$C226:$N226,1,MATCH(V$27,PREVIVAZ!$C$1:$N$1,1)))</f>
        <v>#N/A</v>
      </c>
      <c r="W252" s="202" t="e">
        <f ca="1">IFERROR(ROUND(INDEX(G:G,MATCH($T252,$A:$A,0)),0),INDEX(PREVIVAZ!$C226:$N226,1,MATCH(W$27,PREVIVAZ!$C$1:$N$1,1)))</f>
        <v>#N/A</v>
      </c>
      <c r="X252" s="202" t="e">
        <f ca="1">IFERROR(ROUND(INDEX(H:H,MATCH($T252,$A:$A,0)),0),INDEX(PREVIVAZ!$C226:$N226,1,MATCH(X$27,PREVIVAZ!$C$1:$N$1,1)))</f>
        <v>#N/A</v>
      </c>
      <c r="Y252" s="202" t="e">
        <f ca="1">IFERROR(ROUND(INDEX(I:I,MATCH($T252,$A:$A,0)),0),INDEX(PREVIVAZ!$C226:$N226,1,MATCH(Y$27,PREVIVAZ!$C$1:$N$1,1)))</f>
        <v>#N/A</v>
      </c>
      <c r="Z252" s="202" t="e">
        <f ca="1">IFERROR(ROUND(INDEX(J:J,MATCH($T252,$A:$A,0)),0),INDEX(PREVIVAZ!$C226:$N226,1,MATCH(Z$27,PREVIVAZ!$C$1:$N$1,1)))</f>
        <v>#N/A</v>
      </c>
      <c r="AA252" s="202" t="e">
        <f ca="1">IFERROR(ROUND(INDEX(K:K,MATCH($T252,$A:$A,0)),0),INDEX(PREVIVAZ!$C226:$N226,1,MATCH(AA$27,PREVIVAZ!$C$1:$N$1,1)))</f>
        <v>#N/A</v>
      </c>
      <c r="AB252" s="202" t="e">
        <f ca="1">IFERROR(ROUND(INDEX(L:L,MATCH($T252,$A:$A,0)),0),INDEX(PREVIVAZ!$C226:$N226,1,MATCH(AB$27,PREVIVAZ!$C$1:$N$1,1)))</f>
        <v>#N/A</v>
      </c>
      <c r="AC252" s="202" t="e">
        <f ca="1">IFERROR(ROUND(INDEX(M:M,MATCH($T252,$A:$A,0)),0),INDEX(PREVIVAZ!$C226:$N226,1,MATCH(AC$27,PREVIVAZ!$C$1:$N$1,1)))</f>
        <v>#N/A</v>
      </c>
      <c r="AD252" s="202" t="e">
        <f ca="1">IFERROR(ROUND(INDEX(N:N,MATCH($T252,$A:$A,0)),0),INDEX(PREVIVAZ!$C226:$N226,1,MATCH(AD$27,PREVIVAZ!$C$1:$N$1,1)))</f>
        <v>#N/A</v>
      </c>
      <c r="AE252" s="202" t="e">
        <f ca="1">IFERROR(ROUND(INDEX(O:O,MATCH($T252,$A:$A,0)),0),INDEX(PREVIVAZ!$C226:$N226,1,MATCH(AE$27,PREVIVAZ!$C$1:$N$1,1)))</f>
        <v>#N/A</v>
      </c>
      <c r="AF252" s="202" t="e">
        <f ca="1">IFERROR(ROUND(INDEX(P:P,MATCH($T252,$A:$A,0)),0),INDEX(PREVIVAZ!$C226:$N226,1,MATCH(AF$27,PREVIVAZ!$C$1:$N$1,1)))</f>
        <v>#N/A</v>
      </c>
      <c r="AG252" s="202" t="e">
        <f ca="1">IFERROR(ROUND(INDEX(Q:Q,MATCH($T252,$A:$A,0)),0),INDEX(PREVIVAZ!$C226:$N226,1,MATCH(AG$27,PREVIVAZ!$C$1:$N$1,1)))</f>
        <v>#N/A</v>
      </c>
    </row>
    <row r="253" spans="15:33" ht="12.75" x14ac:dyDescent="0.2">
      <c r="O253"/>
      <c r="P253"/>
      <c r="Q253"/>
      <c r="R253"/>
      <c r="S253"/>
      <c r="T253" s="272">
        <v>226</v>
      </c>
      <c r="V253" s="202" t="e">
        <f ca="1">IFERROR(ROUND(INDEX(F:F,MATCH($T253,$A:$A,0)),0),INDEX(PREVIVAZ!$C227:$N227,1,MATCH(V$27,PREVIVAZ!$C$1:$N$1,1)))</f>
        <v>#N/A</v>
      </c>
      <c r="W253" s="202" t="e">
        <f ca="1">IFERROR(ROUND(INDEX(G:G,MATCH($T253,$A:$A,0)),0),INDEX(PREVIVAZ!$C227:$N227,1,MATCH(W$27,PREVIVAZ!$C$1:$N$1,1)))</f>
        <v>#N/A</v>
      </c>
      <c r="X253" s="202" t="e">
        <f ca="1">IFERROR(ROUND(INDEX(H:H,MATCH($T253,$A:$A,0)),0),INDEX(PREVIVAZ!$C227:$N227,1,MATCH(X$27,PREVIVAZ!$C$1:$N$1,1)))</f>
        <v>#N/A</v>
      </c>
      <c r="Y253" s="202" t="e">
        <f ca="1">IFERROR(ROUND(INDEX(I:I,MATCH($T253,$A:$A,0)),0),INDEX(PREVIVAZ!$C227:$N227,1,MATCH(Y$27,PREVIVAZ!$C$1:$N$1,1)))</f>
        <v>#N/A</v>
      </c>
      <c r="Z253" s="202" t="e">
        <f ca="1">IFERROR(ROUND(INDEX(J:J,MATCH($T253,$A:$A,0)),0),INDEX(PREVIVAZ!$C227:$N227,1,MATCH(Z$27,PREVIVAZ!$C$1:$N$1,1)))</f>
        <v>#N/A</v>
      </c>
      <c r="AA253" s="202" t="e">
        <f ca="1">IFERROR(ROUND(INDEX(K:K,MATCH($T253,$A:$A,0)),0),INDEX(PREVIVAZ!$C227:$N227,1,MATCH(AA$27,PREVIVAZ!$C$1:$N$1,1)))</f>
        <v>#N/A</v>
      </c>
      <c r="AB253" s="202" t="e">
        <f ca="1">IFERROR(ROUND(INDEX(L:L,MATCH($T253,$A:$A,0)),0),INDEX(PREVIVAZ!$C227:$N227,1,MATCH(AB$27,PREVIVAZ!$C$1:$N$1,1)))</f>
        <v>#N/A</v>
      </c>
      <c r="AC253" s="202" t="e">
        <f ca="1">IFERROR(ROUND(INDEX(M:M,MATCH($T253,$A:$A,0)),0),INDEX(PREVIVAZ!$C227:$N227,1,MATCH(AC$27,PREVIVAZ!$C$1:$N$1,1)))</f>
        <v>#N/A</v>
      </c>
      <c r="AD253" s="202" t="e">
        <f ca="1">IFERROR(ROUND(INDEX(N:N,MATCH($T253,$A:$A,0)),0),INDEX(PREVIVAZ!$C227:$N227,1,MATCH(AD$27,PREVIVAZ!$C$1:$N$1,1)))</f>
        <v>#N/A</v>
      </c>
      <c r="AE253" s="202" t="e">
        <f ca="1">IFERROR(ROUND(INDEX(O:O,MATCH($T253,$A:$A,0)),0),INDEX(PREVIVAZ!$C227:$N227,1,MATCH(AE$27,PREVIVAZ!$C$1:$N$1,1)))</f>
        <v>#N/A</v>
      </c>
      <c r="AF253" s="202" t="e">
        <f ca="1">IFERROR(ROUND(INDEX(P:P,MATCH($T253,$A:$A,0)),0),INDEX(PREVIVAZ!$C227:$N227,1,MATCH(AF$27,PREVIVAZ!$C$1:$N$1,1)))</f>
        <v>#N/A</v>
      </c>
      <c r="AG253" s="202" t="e">
        <f ca="1">IFERROR(ROUND(INDEX(Q:Q,MATCH($T253,$A:$A,0)),0),INDEX(PREVIVAZ!$C227:$N227,1,MATCH(AG$27,PREVIVAZ!$C$1:$N$1,1)))</f>
        <v>#N/A</v>
      </c>
    </row>
    <row r="254" spans="15:33" ht="12.75" x14ac:dyDescent="0.2">
      <c r="O254"/>
      <c r="P254"/>
      <c r="Q254"/>
      <c r="R254"/>
      <c r="S254"/>
      <c r="T254" s="272">
        <v>227</v>
      </c>
      <c r="V254" s="202" t="e">
        <f ca="1">IFERROR(ROUND(INDEX(F:F,MATCH($T254,$A:$A,0)),0),INDEX(PREVIVAZ!$C228:$N228,1,MATCH(V$27,PREVIVAZ!$C$1:$N$1,1)))</f>
        <v>#N/A</v>
      </c>
      <c r="W254" s="202" t="e">
        <f ca="1">IFERROR(ROUND(INDEX(G:G,MATCH($T254,$A:$A,0)),0),INDEX(PREVIVAZ!$C228:$N228,1,MATCH(W$27,PREVIVAZ!$C$1:$N$1,1)))</f>
        <v>#N/A</v>
      </c>
      <c r="X254" s="202" t="e">
        <f ca="1">IFERROR(ROUND(INDEX(H:H,MATCH($T254,$A:$A,0)),0),INDEX(PREVIVAZ!$C228:$N228,1,MATCH(X$27,PREVIVAZ!$C$1:$N$1,1)))</f>
        <v>#N/A</v>
      </c>
      <c r="Y254" s="202" t="e">
        <f ca="1">IFERROR(ROUND(INDEX(I:I,MATCH($T254,$A:$A,0)),0),INDEX(PREVIVAZ!$C228:$N228,1,MATCH(Y$27,PREVIVAZ!$C$1:$N$1,1)))</f>
        <v>#N/A</v>
      </c>
      <c r="Z254" s="202" t="e">
        <f ca="1">IFERROR(ROUND(INDEX(J:J,MATCH($T254,$A:$A,0)),0),INDEX(PREVIVAZ!$C228:$N228,1,MATCH(Z$27,PREVIVAZ!$C$1:$N$1,1)))</f>
        <v>#N/A</v>
      </c>
      <c r="AA254" s="202" t="e">
        <f ca="1">IFERROR(ROUND(INDEX(K:K,MATCH($T254,$A:$A,0)),0),INDEX(PREVIVAZ!$C228:$N228,1,MATCH(AA$27,PREVIVAZ!$C$1:$N$1,1)))</f>
        <v>#N/A</v>
      </c>
      <c r="AB254" s="202" t="e">
        <f ca="1">IFERROR(ROUND(INDEX(L:L,MATCH($T254,$A:$A,0)),0),INDEX(PREVIVAZ!$C228:$N228,1,MATCH(AB$27,PREVIVAZ!$C$1:$N$1,1)))</f>
        <v>#N/A</v>
      </c>
      <c r="AC254" s="202" t="e">
        <f ca="1">IFERROR(ROUND(INDEX(M:M,MATCH($T254,$A:$A,0)),0),INDEX(PREVIVAZ!$C228:$N228,1,MATCH(AC$27,PREVIVAZ!$C$1:$N$1,1)))</f>
        <v>#N/A</v>
      </c>
      <c r="AD254" s="202" t="e">
        <f ca="1">IFERROR(ROUND(INDEX(N:N,MATCH($T254,$A:$A,0)),0),INDEX(PREVIVAZ!$C228:$N228,1,MATCH(AD$27,PREVIVAZ!$C$1:$N$1,1)))</f>
        <v>#N/A</v>
      </c>
      <c r="AE254" s="202" t="e">
        <f ca="1">IFERROR(ROUND(INDEX(O:O,MATCH($T254,$A:$A,0)),0),INDEX(PREVIVAZ!$C228:$N228,1,MATCH(AE$27,PREVIVAZ!$C$1:$N$1,1)))</f>
        <v>#N/A</v>
      </c>
      <c r="AF254" s="202" t="e">
        <f ca="1">IFERROR(ROUND(INDEX(P:P,MATCH($T254,$A:$A,0)),0),INDEX(PREVIVAZ!$C228:$N228,1,MATCH(AF$27,PREVIVAZ!$C$1:$N$1,1)))</f>
        <v>#N/A</v>
      </c>
      <c r="AG254" s="202" t="e">
        <f ca="1">IFERROR(ROUND(INDEX(Q:Q,MATCH($T254,$A:$A,0)),0),INDEX(PREVIVAZ!$C228:$N228,1,MATCH(AG$27,PREVIVAZ!$C$1:$N$1,1)))</f>
        <v>#N/A</v>
      </c>
    </row>
    <row r="255" spans="15:33" ht="12.75" x14ac:dyDescent="0.2">
      <c r="O255"/>
      <c r="P255"/>
      <c r="Q255"/>
      <c r="R255"/>
      <c r="S255"/>
      <c r="T255" s="272">
        <v>228</v>
      </c>
      <c r="V255" s="202" t="e">
        <f ca="1">IFERROR(ROUND(INDEX(F:F,MATCH($T255,$A:$A,0)),0),INDEX(PREVIVAZ!$C229:$N229,1,MATCH(V$27,PREVIVAZ!$C$1:$N$1,1)))</f>
        <v>#N/A</v>
      </c>
      <c r="W255" s="202" t="e">
        <f ca="1">IFERROR(ROUND(INDEX(G:G,MATCH($T255,$A:$A,0)),0),INDEX(PREVIVAZ!$C229:$N229,1,MATCH(W$27,PREVIVAZ!$C$1:$N$1,1)))</f>
        <v>#N/A</v>
      </c>
      <c r="X255" s="202" t="e">
        <f ca="1">IFERROR(ROUND(INDEX(H:H,MATCH($T255,$A:$A,0)),0),INDEX(PREVIVAZ!$C229:$N229,1,MATCH(X$27,PREVIVAZ!$C$1:$N$1,1)))</f>
        <v>#N/A</v>
      </c>
      <c r="Y255" s="202" t="e">
        <f ca="1">IFERROR(ROUND(INDEX(I:I,MATCH($T255,$A:$A,0)),0),INDEX(PREVIVAZ!$C229:$N229,1,MATCH(Y$27,PREVIVAZ!$C$1:$N$1,1)))</f>
        <v>#N/A</v>
      </c>
      <c r="Z255" s="202" t="e">
        <f ca="1">IFERROR(ROUND(INDEX(J:J,MATCH($T255,$A:$A,0)),0),INDEX(PREVIVAZ!$C229:$N229,1,MATCH(Z$27,PREVIVAZ!$C$1:$N$1,1)))</f>
        <v>#N/A</v>
      </c>
      <c r="AA255" s="202" t="e">
        <f ca="1">IFERROR(ROUND(INDEX(K:K,MATCH($T255,$A:$A,0)),0),INDEX(PREVIVAZ!$C229:$N229,1,MATCH(AA$27,PREVIVAZ!$C$1:$N$1,1)))</f>
        <v>#N/A</v>
      </c>
      <c r="AB255" s="202" t="e">
        <f ca="1">IFERROR(ROUND(INDEX(L:L,MATCH($T255,$A:$A,0)),0),INDEX(PREVIVAZ!$C229:$N229,1,MATCH(AB$27,PREVIVAZ!$C$1:$N$1,1)))</f>
        <v>#N/A</v>
      </c>
      <c r="AC255" s="202" t="e">
        <f ca="1">IFERROR(ROUND(INDEX(M:M,MATCH($T255,$A:$A,0)),0),INDEX(PREVIVAZ!$C229:$N229,1,MATCH(AC$27,PREVIVAZ!$C$1:$N$1,1)))</f>
        <v>#N/A</v>
      </c>
      <c r="AD255" s="202" t="e">
        <f ca="1">IFERROR(ROUND(INDEX(N:N,MATCH($T255,$A:$A,0)),0),INDEX(PREVIVAZ!$C229:$N229,1,MATCH(AD$27,PREVIVAZ!$C$1:$N$1,1)))</f>
        <v>#N/A</v>
      </c>
      <c r="AE255" s="202" t="e">
        <f ca="1">IFERROR(ROUND(INDEX(O:O,MATCH($T255,$A:$A,0)),0),INDEX(PREVIVAZ!$C229:$N229,1,MATCH(AE$27,PREVIVAZ!$C$1:$N$1,1)))</f>
        <v>#N/A</v>
      </c>
      <c r="AF255" s="202" t="e">
        <f ca="1">IFERROR(ROUND(INDEX(P:P,MATCH($T255,$A:$A,0)),0),INDEX(PREVIVAZ!$C229:$N229,1,MATCH(AF$27,PREVIVAZ!$C$1:$N$1,1)))</f>
        <v>#N/A</v>
      </c>
      <c r="AG255" s="202" t="e">
        <f ca="1">IFERROR(ROUND(INDEX(Q:Q,MATCH($T255,$A:$A,0)),0),INDEX(PREVIVAZ!$C229:$N229,1,MATCH(AG$27,PREVIVAZ!$C$1:$N$1,1)))</f>
        <v>#N/A</v>
      </c>
    </row>
    <row r="256" spans="15:33" ht="12.75" x14ac:dyDescent="0.2">
      <c r="O256"/>
      <c r="P256"/>
      <c r="Q256"/>
      <c r="R256"/>
      <c r="S256"/>
      <c r="T256" s="272">
        <v>229</v>
      </c>
      <c r="V256" s="202" t="e">
        <f ca="1">IFERROR(ROUND(INDEX(F:F,MATCH($T256,$A:$A,0)),0),INDEX(PREVIVAZ!$C230:$N230,1,MATCH(V$27,PREVIVAZ!$C$1:$N$1,1)))</f>
        <v>#N/A</v>
      </c>
      <c r="W256" s="202" t="e">
        <f ca="1">IFERROR(ROUND(INDEX(G:G,MATCH($T256,$A:$A,0)),0),INDEX(PREVIVAZ!$C230:$N230,1,MATCH(W$27,PREVIVAZ!$C$1:$N$1,1)))</f>
        <v>#N/A</v>
      </c>
      <c r="X256" s="202" t="e">
        <f ca="1">IFERROR(ROUND(INDEX(H:H,MATCH($T256,$A:$A,0)),0),INDEX(PREVIVAZ!$C230:$N230,1,MATCH(X$27,PREVIVAZ!$C$1:$N$1,1)))</f>
        <v>#N/A</v>
      </c>
      <c r="Y256" s="202" t="e">
        <f ca="1">IFERROR(ROUND(INDEX(I:I,MATCH($T256,$A:$A,0)),0),INDEX(PREVIVAZ!$C230:$N230,1,MATCH(Y$27,PREVIVAZ!$C$1:$N$1,1)))</f>
        <v>#N/A</v>
      </c>
      <c r="Z256" s="202" t="e">
        <f ca="1">IFERROR(ROUND(INDEX(J:J,MATCH($T256,$A:$A,0)),0),INDEX(PREVIVAZ!$C230:$N230,1,MATCH(Z$27,PREVIVAZ!$C$1:$N$1,1)))</f>
        <v>#N/A</v>
      </c>
      <c r="AA256" s="202" t="e">
        <f ca="1">IFERROR(ROUND(INDEX(K:K,MATCH($T256,$A:$A,0)),0),INDEX(PREVIVAZ!$C230:$N230,1,MATCH(AA$27,PREVIVAZ!$C$1:$N$1,1)))</f>
        <v>#N/A</v>
      </c>
      <c r="AB256" s="202" t="e">
        <f ca="1">IFERROR(ROUND(INDEX(L:L,MATCH($T256,$A:$A,0)),0),INDEX(PREVIVAZ!$C230:$N230,1,MATCH(AB$27,PREVIVAZ!$C$1:$N$1,1)))</f>
        <v>#N/A</v>
      </c>
      <c r="AC256" s="202" t="e">
        <f ca="1">IFERROR(ROUND(INDEX(M:M,MATCH($T256,$A:$A,0)),0),INDEX(PREVIVAZ!$C230:$N230,1,MATCH(AC$27,PREVIVAZ!$C$1:$N$1,1)))</f>
        <v>#N/A</v>
      </c>
      <c r="AD256" s="202" t="e">
        <f ca="1">IFERROR(ROUND(INDEX(N:N,MATCH($T256,$A:$A,0)),0),INDEX(PREVIVAZ!$C230:$N230,1,MATCH(AD$27,PREVIVAZ!$C$1:$N$1,1)))</f>
        <v>#N/A</v>
      </c>
      <c r="AE256" s="202" t="e">
        <f ca="1">IFERROR(ROUND(INDEX(O:O,MATCH($T256,$A:$A,0)),0),INDEX(PREVIVAZ!$C230:$N230,1,MATCH(AE$27,PREVIVAZ!$C$1:$N$1,1)))</f>
        <v>#N/A</v>
      </c>
      <c r="AF256" s="202" t="e">
        <f ca="1">IFERROR(ROUND(INDEX(P:P,MATCH($T256,$A:$A,0)),0),INDEX(PREVIVAZ!$C230:$N230,1,MATCH(AF$27,PREVIVAZ!$C$1:$N$1,1)))</f>
        <v>#N/A</v>
      </c>
      <c r="AG256" s="202" t="e">
        <f ca="1">IFERROR(ROUND(INDEX(Q:Q,MATCH($T256,$A:$A,0)),0),INDEX(PREVIVAZ!$C230:$N230,1,MATCH(AG$27,PREVIVAZ!$C$1:$N$1,1)))</f>
        <v>#N/A</v>
      </c>
    </row>
    <row r="257" spans="15:33" ht="12.75" x14ac:dyDescent="0.2">
      <c r="O257"/>
      <c r="P257"/>
      <c r="Q257"/>
      <c r="R257"/>
      <c r="S257"/>
      <c r="T257" s="272">
        <v>230</v>
      </c>
      <c r="V257" s="202" t="e">
        <f ca="1">IFERROR(ROUND(INDEX(F:F,MATCH($T257,$A:$A,0)),0),INDEX(PREVIVAZ!$C231:$N231,1,MATCH(V$27,PREVIVAZ!$C$1:$N$1,1)))</f>
        <v>#N/A</v>
      </c>
      <c r="W257" s="202" t="e">
        <f ca="1">IFERROR(ROUND(INDEX(G:G,MATCH($T257,$A:$A,0)),0),INDEX(PREVIVAZ!$C231:$N231,1,MATCH(W$27,PREVIVAZ!$C$1:$N$1,1)))</f>
        <v>#N/A</v>
      </c>
      <c r="X257" s="202" t="e">
        <f ca="1">IFERROR(ROUND(INDEX(H:H,MATCH($T257,$A:$A,0)),0),INDEX(PREVIVAZ!$C231:$N231,1,MATCH(X$27,PREVIVAZ!$C$1:$N$1,1)))</f>
        <v>#N/A</v>
      </c>
      <c r="Y257" s="202" t="e">
        <f ca="1">IFERROR(ROUND(INDEX(I:I,MATCH($T257,$A:$A,0)),0),INDEX(PREVIVAZ!$C231:$N231,1,MATCH(Y$27,PREVIVAZ!$C$1:$N$1,1)))</f>
        <v>#N/A</v>
      </c>
      <c r="Z257" s="202" t="e">
        <f ca="1">IFERROR(ROUND(INDEX(J:J,MATCH($T257,$A:$A,0)),0),INDEX(PREVIVAZ!$C231:$N231,1,MATCH(Z$27,PREVIVAZ!$C$1:$N$1,1)))</f>
        <v>#N/A</v>
      </c>
      <c r="AA257" s="202" t="e">
        <f ca="1">IFERROR(ROUND(INDEX(K:K,MATCH($T257,$A:$A,0)),0),INDEX(PREVIVAZ!$C231:$N231,1,MATCH(AA$27,PREVIVAZ!$C$1:$N$1,1)))</f>
        <v>#N/A</v>
      </c>
      <c r="AB257" s="202" t="e">
        <f ca="1">IFERROR(ROUND(INDEX(L:L,MATCH($T257,$A:$A,0)),0),INDEX(PREVIVAZ!$C231:$N231,1,MATCH(AB$27,PREVIVAZ!$C$1:$N$1,1)))</f>
        <v>#N/A</v>
      </c>
      <c r="AC257" s="202" t="e">
        <f ca="1">IFERROR(ROUND(INDEX(M:M,MATCH($T257,$A:$A,0)),0),INDEX(PREVIVAZ!$C231:$N231,1,MATCH(AC$27,PREVIVAZ!$C$1:$N$1,1)))</f>
        <v>#N/A</v>
      </c>
      <c r="AD257" s="202" t="e">
        <f ca="1">IFERROR(ROUND(INDEX(N:N,MATCH($T257,$A:$A,0)),0),INDEX(PREVIVAZ!$C231:$N231,1,MATCH(AD$27,PREVIVAZ!$C$1:$N$1,1)))</f>
        <v>#N/A</v>
      </c>
      <c r="AE257" s="202" t="e">
        <f ca="1">IFERROR(ROUND(INDEX(O:O,MATCH($T257,$A:$A,0)),0),INDEX(PREVIVAZ!$C231:$N231,1,MATCH(AE$27,PREVIVAZ!$C$1:$N$1,1)))</f>
        <v>#N/A</v>
      </c>
      <c r="AF257" s="202" t="e">
        <f ca="1">IFERROR(ROUND(INDEX(P:P,MATCH($T257,$A:$A,0)),0),INDEX(PREVIVAZ!$C231:$N231,1,MATCH(AF$27,PREVIVAZ!$C$1:$N$1,1)))</f>
        <v>#N/A</v>
      </c>
      <c r="AG257" s="202" t="e">
        <f ca="1">IFERROR(ROUND(INDEX(Q:Q,MATCH($T257,$A:$A,0)),0),INDEX(PREVIVAZ!$C231:$N231,1,MATCH(AG$27,PREVIVAZ!$C$1:$N$1,1)))</f>
        <v>#N/A</v>
      </c>
    </row>
    <row r="258" spans="15:33" ht="12.75" x14ac:dyDescent="0.2">
      <c r="O258"/>
      <c r="P258"/>
      <c r="Q258"/>
      <c r="R258"/>
      <c r="S258"/>
      <c r="T258" s="272">
        <v>231</v>
      </c>
      <c r="V258" s="202" t="e">
        <f ca="1">IFERROR(ROUND(INDEX(F:F,MATCH($T258,$A:$A,0)),0),INDEX(PREVIVAZ!$C232:$N232,1,MATCH(V$27,PREVIVAZ!$C$1:$N$1,1)))</f>
        <v>#N/A</v>
      </c>
      <c r="W258" s="202" t="e">
        <f ca="1">IFERROR(ROUND(INDEX(G:G,MATCH($T258,$A:$A,0)),0),INDEX(PREVIVAZ!$C232:$N232,1,MATCH(W$27,PREVIVAZ!$C$1:$N$1,1)))</f>
        <v>#N/A</v>
      </c>
      <c r="X258" s="202" t="e">
        <f ca="1">IFERROR(ROUND(INDEX(H:H,MATCH($T258,$A:$A,0)),0),INDEX(PREVIVAZ!$C232:$N232,1,MATCH(X$27,PREVIVAZ!$C$1:$N$1,1)))</f>
        <v>#N/A</v>
      </c>
      <c r="Y258" s="202" t="e">
        <f ca="1">IFERROR(ROUND(INDEX(I:I,MATCH($T258,$A:$A,0)),0),INDEX(PREVIVAZ!$C232:$N232,1,MATCH(Y$27,PREVIVAZ!$C$1:$N$1,1)))</f>
        <v>#N/A</v>
      </c>
      <c r="Z258" s="202" t="e">
        <f ca="1">IFERROR(ROUND(INDEX(J:J,MATCH($T258,$A:$A,0)),0),INDEX(PREVIVAZ!$C232:$N232,1,MATCH(Z$27,PREVIVAZ!$C$1:$N$1,1)))</f>
        <v>#N/A</v>
      </c>
      <c r="AA258" s="202" t="e">
        <f ca="1">IFERROR(ROUND(INDEX(K:K,MATCH($T258,$A:$A,0)),0),INDEX(PREVIVAZ!$C232:$N232,1,MATCH(AA$27,PREVIVAZ!$C$1:$N$1,1)))</f>
        <v>#N/A</v>
      </c>
      <c r="AB258" s="202" t="e">
        <f ca="1">IFERROR(ROUND(INDEX(L:L,MATCH($T258,$A:$A,0)),0),INDEX(PREVIVAZ!$C232:$N232,1,MATCH(AB$27,PREVIVAZ!$C$1:$N$1,1)))</f>
        <v>#N/A</v>
      </c>
      <c r="AC258" s="202" t="e">
        <f ca="1">IFERROR(ROUND(INDEX(M:M,MATCH($T258,$A:$A,0)),0),INDEX(PREVIVAZ!$C232:$N232,1,MATCH(AC$27,PREVIVAZ!$C$1:$N$1,1)))</f>
        <v>#N/A</v>
      </c>
      <c r="AD258" s="202" t="e">
        <f ca="1">IFERROR(ROUND(INDEX(N:N,MATCH($T258,$A:$A,0)),0),INDEX(PREVIVAZ!$C232:$N232,1,MATCH(AD$27,PREVIVAZ!$C$1:$N$1,1)))</f>
        <v>#N/A</v>
      </c>
      <c r="AE258" s="202" t="e">
        <f ca="1">IFERROR(ROUND(INDEX(O:O,MATCH($T258,$A:$A,0)),0),INDEX(PREVIVAZ!$C232:$N232,1,MATCH(AE$27,PREVIVAZ!$C$1:$N$1,1)))</f>
        <v>#N/A</v>
      </c>
      <c r="AF258" s="202" t="e">
        <f ca="1">IFERROR(ROUND(INDEX(P:P,MATCH($T258,$A:$A,0)),0),INDEX(PREVIVAZ!$C232:$N232,1,MATCH(AF$27,PREVIVAZ!$C$1:$N$1,1)))</f>
        <v>#N/A</v>
      </c>
      <c r="AG258" s="202" t="e">
        <f ca="1">IFERROR(ROUND(INDEX(Q:Q,MATCH($T258,$A:$A,0)),0),INDEX(PREVIVAZ!$C232:$N232,1,MATCH(AG$27,PREVIVAZ!$C$1:$N$1,1)))</f>
        <v>#N/A</v>
      </c>
    </row>
    <row r="259" spans="15:33" ht="12.75" x14ac:dyDescent="0.2">
      <c r="O259"/>
      <c r="P259"/>
      <c r="Q259"/>
      <c r="R259"/>
      <c r="S259"/>
      <c r="T259" s="272">
        <v>232</v>
      </c>
      <c r="V259" s="202" t="e">
        <f ca="1">IFERROR(ROUND(INDEX(F:F,MATCH($T259,$A:$A,0)),0),INDEX(PREVIVAZ!$C233:$N233,1,MATCH(V$27,PREVIVAZ!$C$1:$N$1,1)))</f>
        <v>#N/A</v>
      </c>
      <c r="W259" s="202" t="e">
        <f ca="1">IFERROR(ROUND(INDEX(G:G,MATCH($T259,$A:$A,0)),0),INDEX(PREVIVAZ!$C233:$N233,1,MATCH(W$27,PREVIVAZ!$C$1:$N$1,1)))</f>
        <v>#N/A</v>
      </c>
      <c r="X259" s="202" t="e">
        <f ca="1">IFERROR(ROUND(INDEX(H:H,MATCH($T259,$A:$A,0)),0),INDEX(PREVIVAZ!$C233:$N233,1,MATCH(X$27,PREVIVAZ!$C$1:$N$1,1)))</f>
        <v>#N/A</v>
      </c>
      <c r="Y259" s="202" t="e">
        <f ca="1">IFERROR(ROUND(INDEX(I:I,MATCH($T259,$A:$A,0)),0),INDEX(PREVIVAZ!$C233:$N233,1,MATCH(Y$27,PREVIVAZ!$C$1:$N$1,1)))</f>
        <v>#N/A</v>
      </c>
      <c r="Z259" s="202" t="e">
        <f ca="1">IFERROR(ROUND(INDEX(J:J,MATCH($T259,$A:$A,0)),0),INDEX(PREVIVAZ!$C233:$N233,1,MATCH(Z$27,PREVIVAZ!$C$1:$N$1,1)))</f>
        <v>#N/A</v>
      </c>
      <c r="AA259" s="202" t="e">
        <f ca="1">IFERROR(ROUND(INDEX(K:K,MATCH($T259,$A:$A,0)),0),INDEX(PREVIVAZ!$C233:$N233,1,MATCH(AA$27,PREVIVAZ!$C$1:$N$1,1)))</f>
        <v>#N/A</v>
      </c>
      <c r="AB259" s="202" t="e">
        <f ca="1">IFERROR(ROUND(INDEX(L:L,MATCH($T259,$A:$A,0)),0),INDEX(PREVIVAZ!$C233:$N233,1,MATCH(AB$27,PREVIVAZ!$C$1:$N$1,1)))</f>
        <v>#N/A</v>
      </c>
      <c r="AC259" s="202" t="e">
        <f ca="1">IFERROR(ROUND(INDEX(M:M,MATCH($T259,$A:$A,0)),0),INDEX(PREVIVAZ!$C233:$N233,1,MATCH(AC$27,PREVIVAZ!$C$1:$N$1,1)))</f>
        <v>#N/A</v>
      </c>
      <c r="AD259" s="202" t="e">
        <f ca="1">IFERROR(ROUND(INDEX(N:N,MATCH($T259,$A:$A,0)),0),INDEX(PREVIVAZ!$C233:$N233,1,MATCH(AD$27,PREVIVAZ!$C$1:$N$1,1)))</f>
        <v>#N/A</v>
      </c>
      <c r="AE259" s="202" t="e">
        <f ca="1">IFERROR(ROUND(INDEX(O:O,MATCH($T259,$A:$A,0)),0),INDEX(PREVIVAZ!$C233:$N233,1,MATCH(AE$27,PREVIVAZ!$C$1:$N$1,1)))</f>
        <v>#N/A</v>
      </c>
      <c r="AF259" s="202" t="e">
        <f ca="1">IFERROR(ROUND(INDEX(P:P,MATCH($T259,$A:$A,0)),0),INDEX(PREVIVAZ!$C233:$N233,1,MATCH(AF$27,PREVIVAZ!$C$1:$N$1,1)))</f>
        <v>#N/A</v>
      </c>
      <c r="AG259" s="202" t="e">
        <f ca="1">IFERROR(ROUND(INDEX(Q:Q,MATCH($T259,$A:$A,0)),0),INDEX(PREVIVAZ!$C233:$N233,1,MATCH(AG$27,PREVIVAZ!$C$1:$N$1,1)))</f>
        <v>#N/A</v>
      </c>
    </row>
    <row r="260" spans="15:33" ht="12.75" x14ac:dyDescent="0.2">
      <c r="O260"/>
      <c r="P260"/>
      <c r="Q260"/>
      <c r="R260"/>
      <c r="S260"/>
      <c r="T260" s="272">
        <v>233</v>
      </c>
      <c r="V260" s="202" t="e">
        <f ca="1">IFERROR(ROUND(INDEX(F:F,MATCH($T260,$A:$A,0)),0),INDEX(PREVIVAZ!$C234:$N234,1,MATCH(V$27,PREVIVAZ!$C$1:$N$1,1)))</f>
        <v>#N/A</v>
      </c>
      <c r="W260" s="202" t="e">
        <f ca="1">IFERROR(ROUND(INDEX(G:G,MATCH($T260,$A:$A,0)),0),INDEX(PREVIVAZ!$C234:$N234,1,MATCH(W$27,PREVIVAZ!$C$1:$N$1,1)))</f>
        <v>#N/A</v>
      </c>
      <c r="X260" s="202" t="e">
        <f ca="1">IFERROR(ROUND(INDEX(H:H,MATCH($T260,$A:$A,0)),0),INDEX(PREVIVAZ!$C234:$N234,1,MATCH(X$27,PREVIVAZ!$C$1:$N$1,1)))</f>
        <v>#N/A</v>
      </c>
      <c r="Y260" s="202" t="e">
        <f ca="1">IFERROR(ROUND(INDEX(I:I,MATCH($T260,$A:$A,0)),0),INDEX(PREVIVAZ!$C234:$N234,1,MATCH(Y$27,PREVIVAZ!$C$1:$N$1,1)))</f>
        <v>#N/A</v>
      </c>
      <c r="Z260" s="202" t="e">
        <f ca="1">IFERROR(ROUND(INDEX(J:J,MATCH($T260,$A:$A,0)),0),INDEX(PREVIVAZ!$C234:$N234,1,MATCH(Z$27,PREVIVAZ!$C$1:$N$1,1)))</f>
        <v>#N/A</v>
      </c>
      <c r="AA260" s="202" t="e">
        <f ca="1">IFERROR(ROUND(INDEX(K:K,MATCH($T260,$A:$A,0)),0),INDEX(PREVIVAZ!$C234:$N234,1,MATCH(AA$27,PREVIVAZ!$C$1:$N$1,1)))</f>
        <v>#N/A</v>
      </c>
      <c r="AB260" s="202" t="e">
        <f ca="1">IFERROR(ROUND(INDEX(L:L,MATCH($T260,$A:$A,0)),0),INDEX(PREVIVAZ!$C234:$N234,1,MATCH(AB$27,PREVIVAZ!$C$1:$N$1,1)))</f>
        <v>#N/A</v>
      </c>
      <c r="AC260" s="202" t="e">
        <f ca="1">IFERROR(ROUND(INDEX(M:M,MATCH($T260,$A:$A,0)),0),INDEX(PREVIVAZ!$C234:$N234,1,MATCH(AC$27,PREVIVAZ!$C$1:$N$1,1)))</f>
        <v>#N/A</v>
      </c>
      <c r="AD260" s="202" t="e">
        <f ca="1">IFERROR(ROUND(INDEX(N:N,MATCH($T260,$A:$A,0)),0),INDEX(PREVIVAZ!$C234:$N234,1,MATCH(AD$27,PREVIVAZ!$C$1:$N$1,1)))</f>
        <v>#N/A</v>
      </c>
      <c r="AE260" s="202" t="e">
        <f ca="1">IFERROR(ROUND(INDEX(O:O,MATCH($T260,$A:$A,0)),0),INDEX(PREVIVAZ!$C234:$N234,1,MATCH(AE$27,PREVIVAZ!$C$1:$N$1,1)))</f>
        <v>#N/A</v>
      </c>
      <c r="AF260" s="202" t="e">
        <f ca="1">IFERROR(ROUND(INDEX(P:P,MATCH($T260,$A:$A,0)),0),INDEX(PREVIVAZ!$C234:$N234,1,MATCH(AF$27,PREVIVAZ!$C$1:$N$1,1)))</f>
        <v>#N/A</v>
      </c>
      <c r="AG260" s="202" t="e">
        <f ca="1">IFERROR(ROUND(INDEX(Q:Q,MATCH($T260,$A:$A,0)),0),INDEX(PREVIVAZ!$C234:$N234,1,MATCH(AG$27,PREVIVAZ!$C$1:$N$1,1)))</f>
        <v>#N/A</v>
      </c>
    </row>
    <row r="261" spans="15:33" ht="12.75" x14ac:dyDescent="0.2">
      <c r="O261"/>
      <c r="P261"/>
      <c r="Q261"/>
      <c r="R261"/>
      <c r="S261"/>
      <c r="T261" s="272">
        <v>234</v>
      </c>
      <c r="V261" s="202" t="e">
        <f ca="1">IFERROR(ROUND(INDEX(F:F,MATCH($T261,$A:$A,0)),0),INDEX(PREVIVAZ!$C235:$N235,1,MATCH(V$27,PREVIVAZ!$C$1:$N$1,1)))</f>
        <v>#N/A</v>
      </c>
      <c r="W261" s="202" t="e">
        <f ca="1">IFERROR(ROUND(INDEX(G:G,MATCH($T261,$A:$A,0)),0),INDEX(PREVIVAZ!$C235:$N235,1,MATCH(W$27,PREVIVAZ!$C$1:$N$1,1)))</f>
        <v>#N/A</v>
      </c>
      <c r="X261" s="202" t="e">
        <f ca="1">IFERROR(ROUND(INDEX(H:H,MATCH($T261,$A:$A,0)),0),INDEX(PREVIVAZ!$C235:$N235,1,MATCH(X$27,PREVIVAZ!$C$1:$N$1,1)))</f>
        <v>#N/A</v>
      </c>
      <c r="Y261" s="202" t="e">
        <f ca="1">IFERROR(ROUND(INDEX(I:I,MATCH($T261,$A:$A,0)),0),INDEX(PREVIVAZ!$C235:$N235,1,MATCH(Y$27,PREVIVAZ!$C$1:$N$1,1)))</f>
        <v>#N/A</v>
      </c>
      <c r="Z261" s="202" t="e">
        <f ca="1">IFERROR(ROUND(INDEX(J:J,MATCH($T261,$A:$A,0)),0),INDEX(PREVIVAZ!$C235:$N235,1,MATCH(Z$27,PREVIVAZ!$C$1:$N$1,1)))</f>
        <v>#N/A</v>
      </c>
      <c r="AA261" s="202" t="e">
        <f ca="1">IFERROR(ROUND(INDEX(K:K,MATCH($T261,$A:$A,0)),0),INDEX(PREVIVAZ!$C235:$N235,1,MATCH(AA$27,PREVIVAZ!$C$1:$N$1,1)))</f>
        <v>#N/A</v>
      </c>
      <c r="AB261" s="202" t="e">
        <f ca="1">IFERROR(ROUND(INDEX(L:L,MATCH($T261,$A:$A,0)),0),INDEX(PREVIVAZ!$C235:$N235,1,MATCH(AB$27,PREVIVAZ!$C$1:$N$1,1)))</f>
        <v>#N/A</v>
      </c>
      <c r="AC261" s="202" t="e">
        <f ca="1">IFERROR(ROUND(INDEX(M:M,MATCH($T261,$A:$A,0)),0),INDEX(PREVIVAZ!$C235:$N235,1,MATCH(AC$27,PREVIVAZ!$C$1:$N$1,1)))</f>
        <v>#N/A</v>
      </c>
      <c r="AD261" s="202" t="e">
        <f ca="1">IFERROR(ROUND(INDEX(N:N,MATCH($T261,$A:$A,0)),0),INDEX(PREVIVAZ!$C235:$N235,1,MATCH(AD$27,PREVIVAZ!$C$1:$N$1,1)))</f>
        <v>#N/A</v>
      </c>
      <c r="AE261" s="202" t="e">
        <f ca="1">IFERROR(ROUND(INDEX(O:O,MATCH($T261,$A:$A,0)),0),INDEX(PREVIVAZ!$C235:$N235,1,MATCH(AE$27,PREVIVAZ!$C$1:$N$1,1)))</f>
        <v>#N/A</v>
      </c>
      <c r="AF261" s="202" t="e">
        <f ca="1">IFERROR(ROUND(INDEX(P:P,MATCH($T261,$A:$A,0)),0),INDEX(PREVIVAZ!$C235:$N235,1,MATCH(AF$27,PREVIVAZ!$C$1:$N$1,1)))</f>
        <v>#N/A</v>
      </c>
      <c r="AG261" s="202" t="e">
        <f ca="1">IFERROR(ROUND(INDEX(Q:Q,MATCH($T261,$A:$A,0)),0),INDEX(PREVIVAZ!$C235:$N235,1,MATCH(AG$27,PREVIVAZ!$C$1:$N$1,1)))</f>
        <v>#N/A</v>
      </c>
    </row>
    <row r="262" spans="15:33" ht="12.75" x14ac:dyDescent="0.2">
      <c r="O262"/>
      <c r="P262"/>
      <c r="Q262"/>
      <c r="R262"/>
      <c r="S262"/>
      <c r="T262" s="272">
        <v>235</v>
      </c>
      <c r="V262" s="202" t="e">
        <f ca="1">IFERROR(ROUND(INDEX(F:F,MATCH($T262,$A:$A,0)),0),INDEX(PREVIVAZ!$C236:$N236,1,MATCH(V$27,PREVIVAZ!$C$1:$N$1,1)))</f>
        <v>#N/A</v>
      </c>
      <c r="W262" s="202" t="e">
        <f ca="1">IFERROR(ROUND(INDEX(G:G,MATCH($T262,$A:$A,0)),0),INDEX(PREVIVAZ!$C236:$N236,1,MATCH(W$27,PREVIVAZ!$C$1:$N$1,1)))</f>
        <v>#N/A</v>
      </c>
      <c r="X262" s="202" t="e">
        <f ca="1">IFERROR(ROUND(INDEX(H:H,MATCH($T262,$A:$A,0)),0),INDEX(PREVIVAZ!$C236:$N236,1,MATCH(X$27,PREVIVAZ!$C$1:$N$1,1)))</f>
        <v>#N/A</v>
      </c>
      <c r="Y262" s="202" t="e">
        <f ca="1">IFERROR(ROUND(INDEX(I:I,MATCH($T262,$A:$A,0)),0),INDEX(PREVIVAZ!$C236:$N236,1,MATCH(Y$27,PREVIVAZ!$C$1:$N$1,1)))</f>
        <v>#N/A</v>
      </c>
      <c r="Z262" s="202" t="e">
        <f ca="1">IFERROR(ROUND(INDEX(J:J,MATCH($T262,$A:$A,0)),0),INDEX(PREVIVAZ!$C236:$N236,1,MATCH(Z$27,PREVIVAZ!$C$1:$N$1,1)))</f>
        <v>#N/A</v>
      </c>
      <c r="AA262" s="202" t="e">
        <f ca="1">IFERROR(ROUND(INDEX(K:K,MATCH($T262,$A:$A,0)),0),INDEX(PREVIVAZ!$C236:$N236,1,MATCH(AA$27,PREVIVAZ!$C$1:$N$1,1)))</f>
        <v>#N/A</v>
      </c>
      <c r="AB262" s="202" t="e">
        <f ca="1">IFERROR(ROUND(INDEX(L:L,MATCH($T262,$A:$A,0)),0),INDEX(PREVIVAZ!$C236:$N236,1,MATCH(AB$27,PREVIVAZ!$C$1:$N$1,1)))</f>
        <v>#N/A</v>
      </c>
      <c r="AC262" s="202" t="e">
        <f ca="1">IFERROR(ROUND(INDEX(M:M,MATCH($T262,$A:$A,0)),0),INDEX(PREVIVAZ!$C236:$N236,1,MATCH(AC$27,PREVIVAZ!$C$1:$N$1,1)))</f>
        <v>#N/A</v>
      </c>
      <c r="AD262" s="202" t="e">
        <f ca="1">IFERROR(ROUND(INDEX(N:N,MATCH($T262,$A:$A,0)),0),INDEX(PREVIVAZ!$C236:$N236,1,MATCH(AD$27,PREVIVAZ!$C$1:$N$1,1)))</f>
        <v>#N/A</v>
      </c>
      <c r="AE262" s="202" t="e">
        <f ca="1">IFERROR(ROUND(INDEX(O:O,MATCH($T262,$A:$A,0)),0),INDEX(PREVIVAZ!$C236:$N236,1,MATCH(AE$27,PREVIVAZ!$C$1:$N$1,1)))</f>
        <v>#N/A</v>
      </c>
      <c r="AF262" s="202" t="e">
        <f ca="1">IFERROR(ROUND(INDEX(P:P,MATCH($T262,$A:$A,0)),0),INDEX(PREVIVAZ!$C236:$N236,1,MATCH(AF$27,PREVIVAZ!$C$1:$N$1,1)))</f>
        <v>#N/A</v>
      </c>
      <c r="AG262" s="202" t="e">
        <f ca="1">IFERROR(ROUND(INDEX(Q:Q,MATCH($T262,$A:$A,0)),0),INDEX(PREVIVAZ!$C236:$N236,1,MATCH(AG$27,PREVIVAZ!$C$1:$N$1,1)))</f>
        <v>#N/A</v>
      </c>
    </row>
    <row r="263" spans="15:33" ht="12.75" x14ac:dyDescent="0.2">
      <c r="O263"/>
      <c r="P263"/>
      <c r="Q263"/>
      <c r="R263"/>
      <c r="S263"/>
      <c r="T263" s="272">
        <v>236</v>
      </c>
      <c r="V263" s="202" t="e">
        <f ca="1">IFERROR(ROUND(INDEX(F:F,MATCH($T263,$A:$A,0)),0),INDEX(PREVIVAZ!$C237:$N237,1,MATCH(V$27,PREVIVAZ!$C$1:$N$1,1)))</f>
        <v>#N/A</v>
      </c>
      <c r="W263" s="202" t="e">
        <f ca="1">IFERROR(ROUND(INDEX(G:G,MATCH($T263,$A:$A,0)),0),INDEX(PREVIVAZ!$C237:$N237,1,MATCH(W$27,PREVIVAZ!$C$1:$N$1,1)))</f>
        <v>#N/A</v>
      </c>
      <c r="X263" s="202" t="e">
        <f ca="1">IFERROR(ROUND(INDEX(H:H,MATCH($T263,$A:$A,0)),0),INDEX(PREVIVAZ!$C237:$N237,1,MATCH(X$27,PREVIVAZ!$C$1:$N$1,1)))</f>
        <v>#N/A</v>
      </c>
      <c r="Y263" s="202" t="e">
        <f ca="1">IFERROR(ROUND(INDEX(I:I,MATCH($T263,$A:$A,0)),0),INDEX(PREVIVAZ!$C237:$N237,1,MATCH(Y$27,PREVIVAZ!$C$1:$N$1,1)))</f>
        <v>#N/A</v>
      </c>
      <c r="Z263" s="202" t="e">
        <f ca="1">IFERROR(ROUND(INDEX(J:J,MATCH($T263,$A:$A,0)),0),INDEX(PREVIVAZ!$C237:$N237,1,MATCH(Z$27,PREVIVAZ!$C$1:$N$1,1)))</f>
        <v>#N/A</v>
      </c>
      <c r="AA263" s="202" t="e">
        <f ca="1">IFERROR(ROUND(INDEX(K:K,MATCH($T263,$A:$A,0)),0),INDEX(PREVIVAZ!$C237:$N237,1,MATCH(AA$27,PREVIVAZ!$C$1:$N$1,1)))</f>
        <v>#N/A</v>
      </c>
      <c r="AB263" s="202" t="e">
        <f ca="1">IFERROR(ROUND(INDEX(L:L,MATCH($T263,$A:$A,0)),0),INDEX(PREVIVAZ!$C237:$N237,1,MATCH(AB$27,PREVIVAZ!$C$1:$N$1,1)))</f>
        <v>#N/A</v>
      </c>
      <c r="AC263" s="202" t="e">
        <f ca="1">IFERROR(ROUND(INDEX(M:M,MATCH($T263,$A:$A,0)),0),INDEX(PREVIVAZ!$C237:$N237,1,MATCH(AC$27,PREVIVAZ!$C$1:$N$1,1)))</f>
        <v>#N/A</v>
      </c>
      <c r="AD263" s="202" t="e">
        <f ca="1">IFERROR(ROUND(INDEX(N:N,MATCH($T263,$A:$A,0)),0),INDEX(PREVIVAZ!$C237:$N237,1,MATCH(AD$27,PREVIVAZ!$C$1:$N$1,1)))</f>
        <v>#N/A</v>
      </c>
      <c r="AE263" s="202" t="e">
        <f ca="1">IFERROR(ROUND(INDEX(O:O,MATCH($T263,$A:$A,0)),0),INDEX(PREVIVAZ!$C237:$N237,1,MATCH(AE$27,PREVIVAZ!$C$1:$N$1,1)))</f>
        <v>#N/A</v>
      </c>
      <c r="AF263" s="202" t="e">
        <f ca="1">IFERROR(ROUND(INDEX(P:P,MATCH($T263,$A:$A,0)),0),INDEX(PREVIVAZ!$C237:$N237,1,MATCH(AF$27,PREVIVAZ!$C$1:$N$1,1)))</f>
        <v>#N/A</v>
      </c>
      <c r="AG263" s="202" t="e">
        <f ca="1">IFERROR(ROUND(INDEX(Q:Q,MATCH($T263,$A:$A,0)),0),INDEX(PREVIVAZ!$C237:$N237,1,MATCH(AG$27,PREVIVAZ!$C$1:$N$1,1)))</f>
        <v>#N/A</v>
      </c>
    </row>
    <row r="264" spans="15:33" ht="12.75" x14ac:dyDescent="0.2">
      <c r="O264"/>
      <c r="P264"/>
      <c r="Q264"/>
      <c r="R264"/>
      <c r="S264"/>
      <c r="T264" s="272">
        <v>237</v>
      </c>
      <c r="V264" s="202">
        <f ca="1">IFERROR(ROUND(INDEX(F:F,MATCH($T264,$A:$A,0)),0),INDEX(PREVIVAZ!$C238:$N238,1,MATCH(V$27,PREVIVAZ!$C$1:$N$1,1)))</f>
        <v>0</v>
      </c>
      <c r="W264" s="202">
        <f ca="1">IFERROR(ROUND(INDEX(G:G,MATCH($T264,$A:$A,0)),0),INDEX(PREVIVAZ!$C238:$N238,1,MATCH(W$27,PREVIVAZ!$C$1:$N$1,1)))</f>
        <v>0</v>
      </c>
      <c r="X264" s="202">
        <f ca="1">IFERROR(ROUND(INDEX(H:H,MATCH($T264,$A:$A,0)),0),INDEX(PREVIVAZ!$C238:$N238,1,MATCH(X$27,PREVIVAZ!$C$1:$N$1,1)))</f>
        <v>0</v>
      </c>
      <c r="Y264" s="202">
        <f ca="1">IFERROR(ROUND(INDEX(I:I,MATCH($T264,$A:$A,0)),0),INDEX(PREVIVAZ!$C238:$N238,1,MATCH(Y$27,PREVIVAZ!$C$1:$N$1,1)))</f>
        <v>0</v>
      </c>
      <c r="Z264" s="202">
        <f ca="1">IFERROR(ROUND(INDEX(J:J,MATCH($T264,$A:$A,0)),0),INDEX(PREVIVAZ!$C238:$N238,1,MATCH(Z$27,PREVIVAZ!$C$1:$N$1,1)))</f>
        <v>0</v>
      </c>
      <c r="AA264" s="202">
        <f ca="1">IFERROR(ROUND(INDEX(K:K,MATCH($T264,$A:$A,0)),0),INDEX(PREVIVAZ!$C238:$N238,1,MATCH(AA$27,PREVIVAZ!$C$1:$N$1,1)))</f>
        <v>0</v>
      </c>
      <c r="AB264" s="202">
        <f ca="1">IFERROR(ROUND(INDEX(L:L,MATCH($T264,$A:$A,0)),0),INDEX(PREVIVAZ!$C238:$N238,1,MATCH(AB$27,PREVIVAZ!$C$1:$N$1,1)))</f>
        <v>0</v>
      </c>
      <c r="AC264" s="202">
        <f ca="1">IFERROR(ROUND(INDEX(M:M,MATCH($T264,$A:$A,0)),0),INDEX(PREVIVAZ!$C238:$N238,1,MATCH(AC$27,PREVIVAZ!$C$1:$N$1,1)))</f>
        <v>0</v>
      </c>
      <c r="AD264" s="202">
        <f ca="1">IFERROR(ROUND(INDEX(N:N,MATCH($T264,$A:$A,0)),0),INDEX(PREVIVAZ!$C238:$N238,1,MATCH(AD$27,PREVIVAZ!$C$1:$N$1,1)))</f>
        <v>0</v>
      </c>
      <c r="AE264" s="202">
        <f ca="1">IFERROR(ROUND(INDEX(O:O,MATCH($T264,$A:$A,0)),0),INDEX(PREVIVAZ!$C238:$N238,1,MATCH(AE$27,PREVIVAZ!$C$1:$N$1,1)))</f>
        <v>0</v>
      </c>
      <c r="AF264" s="202">
        <f ca="1">IFERROR(ROUND(INDEX(P:P,MATCH($T264,$A:$A,0)),0),INDEX(PREVIVAZ!$C238:$N238,1,MATCH(AF$27,PREVIVAZ!$C$1:$N$1,1)))</f>
        <v>0</v>
      </c>
      <c r="AG264" s="202">
        <f ca="1">IFERROR(ROUND(INDEX(Q:Q,MATCH($T264,$A:$A,0)),0),INDEX(PREVIVAZ!$C238:$N238,1,MATCH(AG$27,PREVIVAZ!$C$1:$N$1,1)))</f>
        <v>0</v>
      </c>
    </row>
    <row r="265" spans="15:33" ht="12.75" x14ac:dyDescent="0.2">
      <c r="O265"/>
      <c r="P265"/>
      <c r="Q265"/>
      <c r="R265"/>
      <c r="S265"/>
      <c r="T265" s="272">
        <v>238</v>
      </c>
      <c r="V265" s="202">
        <f ca="1">IFERROR(ROUND(INDEX(F:F,MATCH($T265,$A:$A,0)),0),INDEX(PREVIVAZ!$C239:$N239,1,MATCH(V$27,PREVIVAZ!$C$1:$N$1,1)))</f>
        <v>0</v>
      </c>
      <c r="W265" s="202">
        <f ca="1">IFERROR(ROUND(INDEX(G:G,MATCH($T265,$A:$A,0)),0),INDEX(PREVIVAZ!$C239:$N239,1,MATCH(W$27,PREVIVAZ!$C$1:$N$1,1)))</f>
        <v>0</v>
      </c>
      <c r="X265" s="202">
        <f ca="1">IFERROR(ROUND(INDEX(H:H,MATCH($T265,$A:$A,0)),0),INDEX(PREVIVAZ!$C239:$N239,1,MATCH(X$27,PREVIVAZ!$C$1:$N$1,1)))</f>
        <v>0</v>
      </c>
      <c r="Y265" s="202">
        <f ca="1">IFERROR(ROUND(INDEX(I:I,MATCH($T265,$A:$A,0)),0),INDEX(PREVIVAZ!$C239:$N239,1,MATCH(Y$27,PREVIVAZ!$C$1:$N$1,1)))</f>
        <v>0</v>
      </c>
      <c r="Z265" s="202">
        <f ca="1">IFERROR(ROUND(INDEX(J:J,MATCH($T265,$A:$A,0)),0),INDEX(PREVIVAZ!$C239:$N239,1,MATCH(Z$27,PREVIVAZ!$C$1:$N$1,1)))</f>
        <v>0</v>
      </c>
      <c r="AA265" s="202">
        <f ca="1">IFERROR(ROUND(INDEX(K:K,MATCH($T265,$A:$A,0)),0),INDEX(PREVIVAZ!$C239:$N239,1,MATCH(AA$27,PREVIVAZ!$C$1:$N$1,1)))</f>
        <v>0</v>
      </c>
      <c r="AB265" s="202">
        <f ca="1">IFERROR(ROUND(INDEX(L:L,MATCH($T265,$A:$A,0)),0),INDEX(PREVIVAZ!$C239:$N239,1,MATCH(AB$27,PREVIVAZ!$C$1:$N$1,1)))</f>
        <v>0</v>
      </c>
      <c r="AC265" s="202">
        <f ca="1">IFERROR(ROUND(INDEX(M:M,MATCH($T265,$A:$A,0)),0),INDEX(PREVIVAZ!$C239:$N239,1,MATCH(AC$27,PREVIVAZ!$C$1:$N$1,1)))</f>
        <v>0</v>
      </c>
      <c r="AD265" s="202">
        <f ca="1">IFERROR(ROUND(INDEX(N:N,MATCH($T265,$A:$A,0)),0),INDEX(PREVIVAZ!$C239:$N239,1,MATCH(AD$27,PREVIVAZ!$C$1:$N$1,1)))</f>
        <v>0</v>
      </c>
      <c r="AE265" s="202">
        <f ca="1">IFERROR(ROUND(INDEX(O:O,MATCH($T265,$A:$A,0)),0),INDEX(PREVIVAZ!$C239:$N239,1,MATCH(AE$27,PREVIVAZ!$C$1:$N$1,1)))</f>
        <v>0</v>
      </c>
      <c r="AF265" s="202">
        <f ca="1">IFERROR(ROUND(INDEX(P:P,MATCH($T265,$A:$A,0)),0),INDEX(PREVIVAZ!$C239:$N239,1,MATCH(AF$27,PREVIVAZ!$C$1:$N$1,1)))</f>
        <v>0</v>
      </c>
      <c r="AG265" s="202">
        <f ca="1">IFERROR(ROUND(INDEX(Q:Q,MATCH($T265,$A:$A,0)),0),INDEX(PREVIVAZ!$C239:$N239,1,MATCH(AG$27,PREVIVAZ!$C$1:$N$1,1)))</f>
        <v>0</v>
      </c>
    </row>
    <row r="266" spans="15:33" ht="12.75" x14ac:dyDescent="0.2">
      <c r="O266"/>
      <c r="P266"/>
      <c r="Q266"/>
      <c r="R266"/>
      <c r="S266"/>
      <c r="T266" s="272">
        <v>239</v>
      </c>
      <c r="V266" s="202">
        <f ca="1">IFERROR(ROUND(INDEX(F:F,MATCH($T266,$A:$A,0)),0),INDEX(PREVIVAZ!$C240:$N240,1,MATCH(V$27,PREVIVAZ!$C$1:$N$1,1)))</f>
        <v>0</v>
      </c>
      <c r="W266" s="202">
        <f ca="1">IFERROR(ROUND(INDEX(G:G,MATCH($T266,$A:$A,0)),0),INDEX(PREVIVAZ!$C240:$N240,1,MATCH(W$27,PREVIVAZ!$C$1:$N$1,1)))</f>
        <v>0</v>
      </c>
      <c r="X266" s="202">
        <f ca="1">IFERROR(ROUND(INDEX(H:H,MATCH($T266,$A:$A,0)),0),INDEX(PREVIVAZ!$C240:$N240,1,MATCH(X$27,PREVIVAZ!$C$1:$N$1,1)))</f>
        <v>0</v>
      </c>
      <c r="Y266" s="202">
        <f ca="1">IFERROR(ROUND(INDEX(I:I,MATCH($T266,$A:$A,0)),0),INDEX(PREVIVAZ!$C240:$N240,1,MATCH(Y$27,PREVIVAZ!$C$1:$N$1,1)))</f>
        <v>0</v>
      </c>
      <c r="Z266" s="202">
        <f ca="1">IFERROR(ROUND(INDEX(J:J,MATCH($T266,$A:$A,0)),0),INDEX(PREVIVAZ!$C240:$N240,1,MATCH(Z$27,PREVIVAZ!$C$1:$N$1,1)))</f>
        <v>0</v>
      </c>
      <c r="AA266" s="202">
        <f ca="1">IFERROR(ROUND(INDEX(K:K,MATCH($T266,$A:$A,0)),0),INDEX(PREVIVAZ!$C240:$N240,1,MATCH(AA$27,PREVIVAZ!$C$1:$N$1,1)))</f>
        <v>0</v>
      </c>
      <c r="AB266" s="202">
        <f ca="1">IFERROR(ROUND(INDEX(L:L,MATCH($T266,$A:$A,0)),0),INDEX(PREVIVAZ!$C240:$N240,1,MATCH(AB$27,PREVIVAZ!$C$1:$N$1,1)))</f>
        <v>0</v>
      </c>
      <c r="AC266" s="202">
        <f ca="1">IFERROR(ROUND(INDEX(M:M,MATCH($T266,$A:$A,0)),0),INDEX(PREVIVAZ!$C240:$N240,1,MATCH(AC$27,PREVIVAZ!$C$1:$N$1,1)))</f>
        <v>0</v>
      </c>
      <c r="AD266" s="202">
        <f ca="1">IFERROR(ROUND(INDEX(N:N,MATCH($T266,$A:$A,0)),0),INDEX(PREVIVAZ!$C240:$N240,1,MATCH(AD$27,PREVIVAZ!$C$1:$N$1,1)))</f>
        <v>0</v>
      </c>
      <c r="AE266" s="202">
        <f ca="1">IFERROR(ROUND(INDEX(O:O,MATCH($T266,$A:$A,0)),0),INDEX(PREVIVAZ!$C240:$N240,1,MATCH(AE$27,PREVIVAZ!$C$1:$N$1,1)))</f>
        <v>0</v>
      </c>
      <c r="AF266" s="202">
        <f ca="1">IFERROR(ROUND(INDEX(P:P,MATCH($T266,$A:$A,0)),0),INDEX(PREVIVAZ!$C240:$N240,1,MATCH(AF$27,PREVIVAZ!$C$1:$N$1,1)))</f>
        <v>0</v>
      </c>
      <c r="AG266" s="202">
        <f ca="1">IFERROR(ROUND(INDEX(Q:Q,MATCH($T266,$A:$A,0)),0),INDEX(PREVIVAZ!$C240:$N240,1,MATCH(AG$27,PREVIVAZ!$C$1:$N$1,1)))</f>
        <v>0</v>
      </c>
    </row>
    <row r="267" spans="15:33" ht="12.75" x14ac:dyDescent="0.2">
      <c r="O267"/>
      <c r="P267"/>
      <c r="Q267"/>
      <c r="R267"/>
      <c r="S267"/>
      <c r="T267" s="272">
        <v>240</v>
      </c>
      <c r="V267" s="202">
        <f ca="1">IFERROR(ROUND(INDEX(F:F,MATCH($T267,$A:$A,0)),0),INDEX(PREVIVAZ!$C241:$N241,1,MATCH(V$27,PREVIVAZ!$C$1:$N$1,1)))</f>
        <v>0</v>
      </c>
      <c r="W267" s="202">
        <f ca="1">IFERROR(ROUND(INDEX(G:G,MATCH($T267,$A:$A,0)),0),INDEX(PREVIVAZ!$C241:$N241,1,MATCH(W$27,PREVIVAZ!$C$1:$N$1,1)))</f>
        <v>0</v>
      </c>
      <c r="X267" s="202">
        <f ca="1">IFERROR(ROUND(INDEX(H:H,MATCH($T267,$A:$A,0)),0),INDEX(PREVIVAZ!$C241:$N241,1,MATCH(X$27,PREVIVAZ!$C$1:$N$1,1)))</f>
        <v>0</v>
      </c>
      <c r="Y267" s="202">
        <f ca="1">IFERROR(ROUND(INDEX(I:I,MATCH($T267,$A:$A,0)),0),INDEX(PREVIVAZ!$C241:$N241,1,MATCH(Y$27,PREVIVAZ!$C$1:$N$1,1)))</f>
        <v>0</v>
      </c>
      <c r="Z267" s="202">
        <f ca="1">IFERROR(ROUND(INDEX(J:J,MATCH($T267,$A:$A,0)),0),INDEX(PREVIVAZ!$C241:$N241,1,MATCH(Z$27,PREVIVAZ!$C$1:$N$1,1)))</f>
        <v>0</v>
      </c>
      <c r="AA267" s="202">
        <f ca="1">IFERROR(ROUND(INDEX(K:K,MATCH($T267,$A:$A,0)),0),INDEX(PREVIVAZ!$C241:$N241,1,MATCH(AA$27,PREVIVAZ!$C$1:$N$1,1)))</f>
        <v>0</v>
      </c>
      <c r="AB267" s="202">
        <f ca="1">IFERROR(ROUND(INDEX(L:L,MATCH($T267,$A:$A,0)),0),INDEX(PREVIVAZ!$C241:$N241,1,MATCH(AB$27,PREVIVAZ!$C$1:$N$1,1)))</f>
        <v>0</v>
      </c>
      <c r="AC267" s="202">
        <f ca="1">IFERROR(ROUND(INDEX(M:M,MATCH($T267,$A:$A,0)),0),INDEX(PREVIVAZ!$C241:$N241,1,MATCH(AC$27,PREVIVAZ!$C$1:$N$1,1)))</f>
        <v>0</v>
      </c>
      <c r="AD267" s="202">
        <f ca="1">IFERROR(ROUND(INDEX(N:N,MATCH($T267,$A:$A,0)),0),INDEX(PREVIVAZ!$C241:$N241,1,MATCH(AD$27,PREVIVAZ!$C$1:$N$1,1)))</f>
        <v>0</v>
      </c>
      <c r="AE267" s="202">
        <f ca="1">IFERROR(ROUND(INDEX(O:O,MATCH($T267,$A:$A,0)),0),INDEX(PREVIVAZ!$C241:$N241,1,MATCH(AE$27,PREVIVAZ!$C$1:$N$1,1)))</f>
        <v>0</v>
      </c>
      <c r="AF267" s="202">
        <f ca="1">IFERROR(ROUND(INDEX(P:P,MATCH($T267,$A:$A,0)),0),INDEX(PREVIVAZ!$C241:$N241,1,MATCH(AF$27,PREVIVAZ!$C$1:$N$1,1)))</f>
        <v>0</v>
      </c>
      <c r="AG267" s="202">
        <f ca="1">IFERROR(ROUND(INDEX(Q:Q,MATCH($T267,$A:$A,0)),0),INDEX(PREVIVAZ!$C241:$N241,1,MATCH(AG$27,PREVIVAZ!$C$1:$N$1,1)))</f>
        <v>0</v>
      </c>
    </row>
    <row r="268" spans="15:33" ht="12.75" x14ac:dyDescent="0.2">
      <c r="O268"/>
      <c r="P268"/>
      <c r="Q268"/>
      <c r="R268"/>
      <c r="S268"/>
      <c r="T268" s="272">
        <v>241</v>
      </c>
      <c r="V268" s="202" t="e">
        <f ca="1">IFERROR(ROUND(INDEX(F:F,MATCH($T268,$A:$A,0)),0),INDEX(PREVIVAZ!$C242:$N242,1,MATCH(V$27,PREVIVAZ!$C$1:$N$1,1)))</f>
        <v>#N/A</v>
      </c>
      <c r="W268" s="202" t="e">
        <f ca="1">IFERROR(ROUND(INDEX(G:G,MATCH($T268,$A:$A,0)),0),INDEX(PREVIVAZ!$C242:$N242,1,MATCH(W$27,PREVIVAZ!$C$1:$N$1,1)))</f>
        <v>#N/A</v>
      </c>
      <c r="X268" s="202" t="e">
        <f ca="1">IFERROR(ROUND(INDEX(H:H,MATCH($T268,$A:$A,0)),0),INDEX(PREVIVAZ!$C242:$N242,1,MATCH(X$27,PREVIVAZ!$C$1:$N$1,1)))</f>
        <v>#N/A</v>
      </c>
      <c r="Y268" s="202" t="e">
        <f ca="1">IFERROR(ROUND(INDEX(I:I,MATCH($T268,$A:$A,0)),0),INDEX(PREVIVAZ!$C242:$N242,1,MATCH(Y$27,PREVIVAZ!$C$1:$N$1,1)))</f>
        <v>#N/A</v>
      </c>
      <c r="Z268" s="202" t="e">
        <f ca="1">IFERROR(ROUND(INDEX(J:J,MATCH($T268,$A:$A,0)),0),INDEX(PREVIVAZ!$C242:$N242,1,MATCH(Z$27,PREVIVAZ!$C$1:$N$1,1)))</f>
        <v>#N/A</v>
      </c>
      <c r="AA268" s="202" t="e">
        <f ca="1">IFERROR(ROUND(INDEX(K:K,MATCH($T268,$A:$A,0)),0),INDEX(PREVIVAZ!$C242:$N242,1,MATCH(AA$27,PREVIVAZ!$C$1:$N$1,1)))</f>
        <v>#N/A</v>
      </c>
      <c r="AB268" s="202" t="e">
        <f ca="1">IFERROR(ROUND(INDEX(L:L,MATCH($T268,$A:$A,0)),0),INDEX(PREVIVAZ!$C242:$N242,1,MATCH(AB$27,PREVIVAZ!$C$1:$N$1,1)))</f>
        <v>#N/A</v>
      </c>
      <c r="AC268" s="202" t="e">
        <f ca="1">IFERROR(ROUND(INDEX(M:M,MATCH($T268,$A:$A,0)),0),INDEX(PREVIVAZ!$C242:$N242,1,MATCH(AC$27,PREVIVAZ!$C$1:$N$1,1)))</f>
        <v>#N/A</v>
      </c>
      <c r="AD268" s="202" t="e">
        <f ca="1">IFERROR(ROUND(INDEX(N:N,MATCH($T268,$A:$A,0)),0),INDEX(PREVIVAZ!$C242:$N242,1,MATCH(AD$27,PREVIVAZ!$C$1:$N$1,1)))</f>
        <v>#N/A</v>
      </c>
      <c r="AE268" s="202" t="e">
        <f ca="1">IFERROR(ROUND(INDEX(O:O,MATCH($T268,$A:$A,0)),0),INDEX(PREVIVAZ!$C242:$N242,1,MATCH(AE$27,PREVIVAZ!$C$1:$N$1,1)))</f>
        <v>#N/A</v>
      </c>
      <c r="AF268" s="202" t="e">
        <f ca="1">IFERROR(ROUND(INDEX(P:P,MATCH($T268,$A:$A,0)),0),INDEX(PREVIVAZ!$C242:$N242,1,MATCH(AF$27,PREVIVAZ!$C$1:$N$1,1)))</f>
        <v>#N/A</v>
      </c>
      <c r="AG268" s="202" t="e">
        <f ca="1">IFERROR(ROUND(INDEX(Q:Q,MATCH($T268,$A:$A,0)),0),INDEX(PREVIVAZ!$C242:$N242,1,MATCH(AG$27,PREVIVAZ!$C$1:$N$1,1)))</f>
        <v>#N/A</v>
      </c>
    </row>
    <row r="269" spans="15:33" ht="12.75" x14ac:dyDescent="0.2">
      <c r="O269"/>
      <c r="P269"/>
      <c r="Q269"/>
      <c r="R269"/>
      <c r="S269"/>
      <c r="T269" s="272">
        <v>242</v>
      </c>
      <c r="V269" s="202">
        <f ca="1">IFERROR(ROUND(INDEX(F:F,MATCH($T269,$A:$A,0)),0),INDEX(PREVIVAZ!$C243:$N243,1,MATCH(V$27,PREVIVAZ!$C$1:$N$1,1)))</f>
        <v>0</v>
      </c>
      <c r="W269" s="202">
        <f ca="1">IFERROR(ROUND(INDEX(G:G,MATCH($T269,$A:$A,0)),0),INDEX(PREVIVAZ!$C243:$N243,1,MATCH(W$27,PREVIVAZ!$C$1:$N$1,1)))</f>
        <v>0</v>
      </c>
      <c r="X269" s="202">
        <f ca="1">IFERROR(ROUND(INDEX(H:H,MATCH($T269,$A:$A,0)),0),INDEX(PREVIVAZ!$C243:$N243,1,MATCH(X$27,PREVIVAZ!$C$1:$N$1,1)))</f>
        <v>0</v>
      </c>
      <c r="Y269" s="202">
        <f ca="1">IFERROR(ROUND(INDEX(I:I,MATCH($T269,$A:$A,0)),0),INDEX(PREVIVAZ!$C243:$N243,1,MATCH(Y$27,PREVIVAZ!$C$1:$N$1,1)))</f>
        <v>0</v>
      </c>
      <c r="Z269" s="202">
        <f ca="1">IFERROR(ROUND(INDEX(J:J,MATCH($T269,$A:$A,0)),0),INDEX(PREVIVAZ!$C243:$N243,1,MATCH(Z$27,PREVIVAZ!$C$1:$N$1,1)))</f>
        <v>0</v>
      </c>
      <c r="AA269" s="202">
        <f ca="1">IFERROR(ROUND(INDEX(K:K,MATCH($T269,$A:$A,0)),0),INDEX(PREVIVAZ!$C243:$N243,1,MATCH(AA$27,PREVIVAZ!$C$1:$N$1,1)))</f>
        <v>0</v>
      </c>
      <c r="AB269" s="202">
        <f ca="1">IFERROR(ROUND(INDEX(L:L,MATCH($T269,$A:$A,0)),0),INDEX(PREVIVAZ!$C243:$N243,1,MATCH(AB$27,PREVIVAZ!$C$1:$N$1,1)))</f>
        <v>0</v>
      </c>
      <c r="AC269" s="202">
        <f ca="1">IFERROR(ROUND(INDEX(M:M,MATCH($T269,$A:$A,0)),0),INDEX(PREVIVAZ!$C243:$N243,1,MATCH(AC$27,PREVIVAZ!$C$1:$N$1,1)))</f>
        <v>0</v>
      </c>
      <c r="AD269" s="202">
        <f ca="1">IFERROR(ROUND(INDEX(N:N,MATCH($T269,$A:$A,0)),0),INDEX(PREVIVAZ!$C243:$N243,1,MATCH(AD$27,PREVIVAZ!$C$1:$N$1,1)))</f>
        <v>0</v>
      </c>
      <c r="AE269" s="202">
        <f ca="1">IFERROR(ROUND(INDEX(O:O,MATCH($T269,$A:$A,0)),0),INDEX(PREVIVAZ!$C243:$N243,1,MATCH(AE$27,PREVIVAZ!$C$1:$N$1,1)))</f>
        <v>0</v>
      </c>
      <c r="AF269" s="202">
        <f ca="1">IFERROR(ROUND(INDEX(P:P,MATCH($T269,$A:$A,0)),0),INDEX(PREVIVAZ!$C243:$N243,1,MATCH(AF$27,PREVIVAZ!$C$1:$N$1,1)))</f>
        <v>0</v>
      </c>
      <c r="AG269" s="202">
        <f ca="1">IFERROR(ROUND(INDEX(Q:Q,MATCH($T269,$A:$A,0)),0),INDEX(PREVIVAZ!$C243:$N243,1,MATCH(AG$27,PREVIVAZ!$C$1:$N$1,1)))</f>
        <v>0</v>
      </c>
    </row>
    <row r="270" spans="15:33" ht="12.75" x14ac:dyDescent="0.2">
      <c r="O270"/>
      <c r="P270"/>
      <c r="Q270"/>
      <c r="R270"/>
      <c r="S270"/>
      <c r="T270" s="272">
        <v>243</v>
      </c>
      <c r="V270" s="202" t="e">
        <f ca="1">IFERROR(ROUND(INDEX(F:F,MATCH($T270,$A:$A,0)),0),INDEX(PREVIVAZ!$C244:$N244,1,MATCH(V$27,PREVIVAZ!$C$1:$N$1,1)))</f>
        <v>#N/A</v>
      </c>
      <c r="W270" s="202" t="e">
        <f ca="1">IFERROR(ROUND(INDEX(G:G,MATCH($T270,$A:$A,0)),0),INDEX(PREVIVAZ!$C244:$N244,1,MATCH(W$27,PREVIVAZ!$C$1:$N$1,1)))</f>
        <v>#N/A</v>
      </c>
      <c r="X270" s="202" t="e">
        <f ca="1">IFERROR(ROUND(INDEX(H:H,MATCH($T270,$A:$A,0)),0),INDEX(PREVIVAZ!$C244:$N244,1,MATCH(X$27,PREVIVAZ!$C$1:$N$1,1)))</f>
        <v>#N/A</v>
      </c>
      <c r="Y270" s="202" t="e">
        <f ca="1">IFERROR(ROUND(INDEX(I:I,MATCH($T270,$A:$A,0)),0),INDEX(PREVIVAZ!$C244:$N244,1,MATCH(Y$27,PREVIVAZ!$C$1:$N$1,1)))</f>
        <v>#N/A</v>
      </c>
      <c r="Z270" s="202" t="e">
        <f ca="1">IFERROR(ROUND(INDEX(J:J,MATCH($T270,$A:$A,0)),0),INDEX(PREVIVAZ!$C244:$N244,1,MATCH(Z$27,PREVIVAZ!$C$1:$N$1,1)))</f>
        <v>#N/A</v>
      </c>
      <c r="AA270" s="202" t="e">
        <f ca="1">IFERROR(ROUND(INDEX(K:K,MATCH($T270,$A:$A,0)),0),INDEX(PREVIVAZ!$C244:$N244,1,MATCH(AA$27,PREVIVAZ!$C$1:$N$1,1)))</f>
        <v>#N/A</v>
      </c>
      <c r="AB270" s="202" t="e">
        <f ca="1">IFERROR(ROUND(INDEX(L:L,MATCH($T270,$A:$A,0)),0),INDEX(PREVIVAZ!$C244:$N244,1,MATCH(AB$27,PREVIVAZ!$C$1:$N$1,1)))</f>
        <v>#N/A</v>
      </c>
      <c r="AC270" s="202" t="e">
        <f ca="1">IFERROR(ROUND(INDEX(M:M,MATCH($T270,$A:$A,0)),0),INDEX(PREVIVAZ!$C244:$N244,1,MATCH(AC$27,PREVIVAZ!$C$1:$N$1,1)))</f>
        <v>#N/A</v>
      </c>
      <c r="AD270" s="202" t="e">
        <f ca="1">IFERROR(ROUND(INDEX(N:N,MATCH($T270,$A:$A,0)),0),INDEX(PREVIVAZ!$C244:$N244,1,MATCH(AD$27,PREVIVAZ!$C$1:$N$1,1)))</f>
        <v>#N/A</v>
      </c>
      <c r="AE270" s="202" t="e">
        <f ca="1">IFERROR(ROUND(INDEX(O:O,MATCH($T270,$A:$A,0)),0),INDEX(PREVIVAZ!$C244:$N244,1,MATCH(AE$27,PREVIVAZ!$C$1:$N$1,1)))</f>
        <v>#N/A</v>
      </c>
      <c r="AF270" s="202" t="e">
        <f ca="1">IFERROR(ROUND(INDEX(P:P,MATCH($T270,$A:$A,0)),0),INDEX(PREVIVAZ!$C244:$N244,1,MATCH(AF$27,PREVIVAZ!$C$1:$N$1,1)))</f>
        <v>#N/A</v>
      </c>
      <c r="AG270" s="202" t="e">
        <f ca="1">IFERROR(ROUND(INDEX(Q:Q,MATCH($T270,$A:$A,0)),0),INDEX(PREVIVAZ!$C244:$N244,1,MATCH(AG$27,PREVIVAZ!$C$1:$N$1,1)))</f>
        <v>#N/A</v>
      </c>
    </row>
    <row r="271" spans="15:33" ht="12.75" x14ac:dyDescent="0.2">
      <c r="O271"/>
      <c r="P271"/>
      <c r="Q271"/>
      <c r="R271"/>
      <c r="S271"/>
      <c r="T271" s="272">
        <v>244</v>
      </c>
      <c r="V271" s="202" t="e">
        <f ca="1">IFERROR(ROUND(INDEX(F:F,MATCH($T271,$A:$A,0)),0),INDEX(PREVIVAZ!$C245:$N245,1,MATCH(V$27,PREVIVAZ!$C$1:$N$1,1)))</f>
        <v>#N/A</v>
      </c>
      <c r="W271" s="202" t="e">
        <f ca="1">IFERROR(ROUND(INDEX(G:G,MATCH($T271,$A:$A,0)),0),INDEX(PREVIVAZ!$C245:$N245,1,MATCH(W$27,PREVIVAZ!$C$1:$N$1,1)))</f>
        <v>#N/A</v>
      </c>
      <c r="X271" s="202" t="e">
        <f ca="1">IFERROR(ROUND(INDEX(H:H,MATCH($T271,$A:$A,0)),0),INDEX(PREVIVAZ!$C245:$N245,1,MATCH(X$27,PREVIVAZ!$C$1:$N$1,1)))</f>
        <v>#N/A</v>
      </c>
      <c r="Y271" s="202" t="e">
        <f ca="1">IFERROR(ROUND(INDEX(I:I,MATCH($T271,$A:$A,0)),0),INDEX(PREVIVAZ!$C245:$N245,1,MATCH(Y$27,PREVIVAZ!$C$1:$N$1,1)))</f>
        <v>#N/A</v>
      </c>
      <c r="Z271" s="202" t="e">
        <f ca="1">IFERROR(ROUND(INDEX(J:J,MATCH($T271,$A:$A,0)),0),INDEX(PREVIVAZ!$C245:$N245,1,MATCH(Z$27,PREVIVAZ!$C$1:$N$1,1)))</f>
        <v>#N/A</v>
      </c>
      <c r="AA271" s="202" t="e">
        <f ca="1">IFERROR(ROUND(INDEX(K:K,MATCH($T271,$A:$A,0)),0),INDEX(PREVIVAZ!$C245:$N245,1,MATCH(AA$27,PREVIVAZ!$C$1:$N$1,1)))</f>
        <v>#N/A</v>
      </c>
      <c r="AB271" s="202" t="e">
        <f ca="1">IFERROR(ROUND(INDEX(L:L,MATCH($T271,$A:$A,0)),0),INDEX(PREVIVAZ!$C245:$N245,1,MATCH(AB$27,PREVIVAZ!$C$1:$N$1,1)))</f>
        <v>#N/A</v>
      </c>
      <c r="AC271" s="202" t="e">
        <f ca="1">IFERROR(ROUND(INDEX(M:M,MATCH($T271,$A:$A,0)),0),INDEX(PREVIVAZ!$C245:$N245,1,MATCH(AC$27,PREVIVAZ!$C$1:$N$1,1)))</f>
        <v>#N/A</v>
      </c>
      <c r="AD271" s="202" t="e">
        <f ca="1">IFERROR(ROUND(INDEX(N:N,MATCH($T271,$A:$A,0)),0),INDEX(PREVIVAZ!$C245:$N245,1,MATCH(AD$27,PREVIVAZ!$C$1:$N$1,1)))</f>
        <v>#N/A</v>
      </c>
      <c r="AE271" s="202" t="e">
        <f ca="1">IFERROR(ROUND(INDEX(O:O,MATCH($T271,$A:$A,0)),0),INDEX(PREVIVAZ!$C245:$N245,1,MATCH(AE$27,PREVIVAZ!$C$1:$N$1,1)))</f>
        <v>#N/A</v>
      </c>
      <c r="AF271" s="202" t="e">
        <f ca="1">IFERROR(ROUND(INDEX(P:P,MATCH($T271,$A:$A,0)),0),INDEX(PREVIVAZ!$C245:$N245,1,MATCH(AF$27,PREVIVAZ!$C$1:$N$1,1)))</f>
        <v>#N/A</v>
      </c>
      <c r="AG271" s="202" t="e">
        <f ca="1">IFERROR(ROUND(INDEX(Q:Q,MATCH($T271,$A:$A,0)),0),INDEX(PREVIVAZ!$C245:$N245,1,MATCH(AG$27,PREVIVAZ!$C$1:$N$1,1)))</f>
        <v>#N/A</v>
      </c>
    </row>
    <row r="272" spans="15:33" ht="12.75" x14ac:dyDescent="0.2">
      <c r="O272"/>
      <c r="P272"/>
      <c r="Q272"/>
      <c r="R272"/>
      <c r="S272"/>
      <c r="T272" s="272">
        <v>245</v>
      </c>
      <c r="V272" s="202" t="e">
        <f ca="1">IFERROR(ROUND(INDEX(F:F,MATCH($T272,$A:$A,0)),0),INDEX(PREVIVAZ!$C246:$N246,1,MATCH(V$27,PREVIVAZ!$C$1:$N$1,1)))</f>
        <v>#N/A</v>
      </c>
      <c r="W272" s="202" t="e">
        <f ca="1">IFERROR(ROUND(INDEX(G:G,MATCH($T272,$A:$A,0)),0),INDEX(PREVIVAZ!$C246:$N246,1,MATCH(W$27,PREVIVAZ!$C$1:$N$1,1)))</f>
        <v>#N/A</v>
      </c>
      <c r="X272" s="202" t="e">
        <f ca="1">IFERROR(ROUND(INDEX(H:H,MATCH($T272,$A:$A,0)),0),INDEX(PREVIVAZ!$C246:$N246,1,MATCH(X$27,PREVIVAZ!$C$1:$N$1,1)))</f>
        <v>#N/A</v>
      </c>
      <c r="Y272" s="202" t="e">
        <f ca="1">IFERROR(ROUND(INDEX(I:I,MATCH($T272,$A:$A,0)),0),INDEX(PREVIVAZ!$C246:$N246,1,MATCH(Y$27,PREVIVAZ!$C$1:$N$1,1)))</f>
        <v>#N/A</v>
      </c>
      <c r="Z272" s="202" t="e">
        <f ca="1">IFERROR(ROUND(INDEX(J:J,MATCH($T272,$A:$A,0)),0),INDEX(PREVIVAZ!$C246:$N246,1,MATCH(Z$27,PREVIVAZ!$C$1:$N$1,1)))</f>
        <v>#N/A</v>
      </c>
      <c r="AA272" s="202" t="e">
        <f ca="1">IFERROR(ROUND(INDEX(K:K,MATCH($T272,$A:$A,0)),0),INDEX(PREVIVAZ!$C246:$N246,1,MATCH(AA$27,PREVIVAZ!$C$1:$N$1,1)))</f>
        <v>#N/A</v>
      </c>
      <c r="AB272" s="202" t="e">
        <f ca="1">IFERROR(ROUND(INDEX(L:L,MATCH($T272,$A:$A,0)),0),INDEX(PREVIVAZ!$C246:$N246,1,MATCH(AB$27,PREVIVAZ!$C$1:$N$1,1)))</f>
        <v>#N/A</v>
      </c>
      <c r="AC272" s="202" t="e">
        <f ca="1">IFERROR(ROUND(INDEX(M:M,MATCH($T272,$A:$A,0)),0),INDEX(PREVIVAZ!$C246:$N246,1,MATCH(AC$27,PREVIVAZ!$C$1:$N$1,1)))</f>
        <v>#N/A</v>
      </c>
      <c r="AD272" s="202" t="e">
        <f ca="1">IFERROR(ROUND(INDEX(N:N,MATCH($T272,$A:$A,0)),0),INDEX(PREVIVAZ!$C246:$N246,1,MATCH(AD$27,PREVIVAZ!$C$1:$N$1,1)))</f>
        <v>#N/A</v>
      </c>
      <c r="AE272" s="202" t="e">
        <f ca="1">IFERROR(ROUND(INDEX(O:O,MATCH($T272,$A:$A,0)),0),INDEX(PREVIVAZ!$C246:$N246,1,MATCH(AE$27,PREVIVAZ!$C$1:$N$1,1)))</f>
        <v>#N/A</v>
      </c>
      <c r="AF272" s="202" t="e">
        <f ca="1">IFERROR(ROUND(INDEX(P:P,MATCH($T272,$A:$A,0)),0),INDEX(PREVIVAZ!$C246:$N246,1,MATCH(AF$27,PREVIVAZ!$C$1:$N$1,1)))</f>
        <v>#N/A</v>
      </c>
      <c r="AG272" s="202" t="e">
        <f ca="1">IFERROR(ROUND(INDEX(Q:Q,MATCH($T272,$A:$A,0)),0),INDEX(PREVIVAZ!$C246:$N246,1,MATCH(AG$27,PREVIVAZ!$C$1:$N$1,1)))</f>
        <v>#N/A</v>
      </c>
    </row>
    <row r="273" spans="15:33" ht="12.75" x14ac:dyDescent="0.2">
      <c r="O273"/>
      <c r="P273"/>
      <c r="Q273"/>
      <c r="R273"/>
      <c r="S273"/>
      <c r="T273" s="272">
        <v>246</v>
      </c>
      <c r="V273" s="202">
        <f ca="1">IFERROR(ROUND(INDEX(F:F,MATCH($T273,$A:$A,0)),0),INDEX(PREVIVAZ!$C247:$N247,1,MATCH(V$27,PREVIVAZ!$C$1:$N$1,1)))</f>
        <v>5973</v>
      </c>
      <c r="W273" s="202">
        <f ca="1">IFERROR(ROUND(INDEX(G:G,MATCH($T273,$A:$A,0)),0),INDEX(PREVIVAZ!$C247:$N247,1,MATCH(W$27,PREVIVAZ!$C$1:$N$1,1)))</f>
        <v>6334</v>
      </c>
      <c r="X273" s="202" t="e">
        <f ca="1">IFERROR(ROUND(INDEX(H:H,MATCH($T273,$A:$A,0)),0),INDEX(PREVIVAZ!$C247:$N247,1,MATCH(X$27,PREVIVAZ!$C$1:$N$1,1)))</f>
        <v>#N/A</v>
      </c>
      <c r="Y273" s="202" t="e">
        <f ca="1">IFERROR(ROUND(INDEX(I:I,MATCH($T273,$A:$A,0)),0),INDEX(PREVIVAZ!$C247:$N247,1,MATCH(Y$27,PREVIVAZ!$C$1:$N$1,1)))</f>
        <v>#N/A</v>
      </c>
      <c r="Z273" s="202" t="e">
        <f ca="1">IFERROR(ROUND(INDEX(J:J,MATCH($T273,$A:$A,0)),0),INDEX(PREVIVAZ!$C247:$N247,1,MATCH(Z$27,PREVIVAZ!$C$1:$N$1,1)))</f>
        <v>#N/A</v>
      </c>
      <c r="AA273" s="202" t="e">
        <f ca="1">IFERROR(ROUND(INDEX(K:K,MATCH($T273,$A:$A,0)),0),INDEX(PREVIVAZ!$C247:$N247,1,MATCH(AA$27,PREVIVAZ!$C$1:$N$1,1)))</f>
        <v>#N/A</v>
      </c>
      <c r="AB273" s="202" t="e">
        <f ca="1">IFERROR(ROUND(INDEX(L:L,MATCH($T273,$A:$A,0)),0),INDEX(PREVIVAZ!$C247:$N247,1,MATCH(AB$27,PREVIVAZ!$C$1:$N$1,1)))</f>
        <v>#N/A</v>
      </c>
      <c r="AC273" s="202" t="e">
        <f ca="1">IFERROR(ROUND(INDEX(M:M,MATCH($T273,$A:$A,0)),0),INDEX(PREVIVAZ!$C247:$N247,1,MATCH(AC$27,PREVIVAZ!$C$1:$N$1,1)))</f>
        <v>#N/A</v>
      </c>
      <c r="AD273" s="202" t="e">
        <f ca="1">IFERROR(ROUND(INDEX(N:N,MATCH($T273,$A:$A,0)),0),INDEX(PREVIVAZ!$C247:$N247,1,MATCH(AD$27,PREVIVAZ!$C$1:$N$1,1)))</f>
        <v>#N/A</v>
      </c>
      <c r="AE273" s="202" t="e">
        <f ca="1">IFERROR(ROUND(INDEX(O:O,MATCH($T273,$A:$A,0)),0),INDEX(PREVIVAZ!$C247:$N247,1,MATCH(AE$27,PREVIVAZ!$C$1:$N$1,1)))</f>
        <v>#N/A</v>
      </c>
      <c r="AF273" s="202" t="e">
        <f ca="1">IFERROR(ROUND(INDEX(P:P,MATCH($T273,$A:$A,0)),0),INDEX(PREVIVAZ!$C247:$N247,1,MATCH(AF$27,PREVIVAZ!$C$1:$N$1,1)))</f>
        <v>#N/A</v>
      </c>
      <c r="AG273" s="202" t="e">
        <f ca="1">IFERROR(ROUND(INDEX(Q:Q,MATCH($T273,$A:$A,0)),0),INDEX(PREVIVAZ!$C247:$N247,1,MATCH(AG$27,PREVIVAZ!$C$1:$N$1,1)))</f>
        <v>#N/A</v>
      </c>
    </row>
    <row r="274" spans="15:33" ht="12.75" x14ac:dyDescent="0.2">
      <c r="O274"/>
      <c r="P274"/>
      <c r="Q274"/>
      <c r="R274"/>
      <c r="S274"/>
      <c r="T274" s="272">
        <v>247</v>
      </c>
      <c r="V274" s="202" t="e">
        <f ca="1">IFERROR(ROUND(INDEX(F:F,MATCH($T274,$A:$A,0)),0),INDEX(PREVIVAZ!$C248:$N248,1,MATCH(V$27,PREVIVAZ!$C$1:$N$1,1)))</f>
        <v>#N/A</v>
      </c>
      <c r="W274" s="202" t="e">
        <f ca="1">IFERROR(ROUND(INDEX(G:G,MATCH($T274,$A:$A,0)),0),INDEX(PREVIVAZ!$C248:$N248,1,MATCH(W$27,PREVIVAZ!$C$1:$N$1,1)))</f>
        <v>#N/A</v>
      </c>
      <c r="X274" s="202" t="e">
        <f ca="1">IFERROR(ROUND(INDEX(H:H,MATCH($T274,$A:$A,0)),0),INDEX(PREVIVAZ!$C248:$N248,1,MATCH(X$27,PREVIVAZ!$C$1:$N$1,1)))</f>
        <v>#N/A</v>
      </c>
      <c r="Y274" s="202" t="e">
        <f ca="1">IFERROR(ROUND(INDEX(I:I,MATCH($T274,$A:$A,0)),0),INDEX(PREVIVAZ!$C248:$N248,1,MATCH(Y$27,PREVIVAZ!$C$1:$N$1,1)))</f>
        <v>#N/A</v>
      </c>
      <c r="Z274" s="202" t="e">
        <f ca="1">IFERROR(ROUND(INDEX(J:J,MATCH($T274,$A:$A,0)),0),INDEX(PREVIVAZ!$C248:$N248,1,MATCH(Z$27,PREVIVAZ!$C$1:$N$1,1)))</f>
        <v>#N/A</v>
      </c>
      <c r="AA274" s="202" t="e">
        <f ca="1">IFERROR(ROUND(INDEX(K:K,MATCH($T274,$A:$A,0)),0),INDEX(PREVIVAZ!$C248:$N248,1,MATCH(AA$27,PREVIVAZ!$C$1:$N$1,1)))</f>
        <v>#N/A</v>
      </c>
      <c r="AB274" s="202" t="e">
        <f ca="1">IFERROR(ROUND(INDEX(L:L,MATCH($T274,$A:$A,0)),0),INDEX(PREVIVAZ!$C248:$N248,1,MATCH(AB$27,PREVIVAZ!$C$1:$N$1,1)))</f>
        <v>#N/A</v>
      </c>
      <c r="AC274" s="202" t="e">
        <f ca="1">IFERROR(ROUND(INDEX(M:M,MATCH($T274,$A:$A,0)),0),INDEX(PREVIVAZ!$C248:$N248,1,MATCH(AC$27,PREVIVAZ!$C$1:$N$1,1)))</f>
        <v>#N/A</v>
      </c>
      <c r="AD274" s="202" t="e">
        <f ca="1">IFERROR(ROUND(INDEX(N:N,MATCH($T274,$A:$A,0)),0),INDEX(PREVIVAZ!$C248:$N248,1,MATCH(AD$27,PREVIVAZ!$C$1:$N$1,1)))</f>
        <v>#N/A</v>
      </c>
      <c r="AE274" s="202" t="e">
        <f ca="1">IFERROR(ROUND(INDEX(O:O,MATCH($T274,$A:$A,0)),0),INDEX(PREVIVAZ!$C248:$N248,1,MATCH(AE$27,PREVIVAZ!$C$1:$N$1,1)))</f>
        <v>#N/A</v>
      </c>
      <c r="AF274" s="202" t="e">
        <f ca="1">IFERROR(ROUND(INDEX(P:P,MATCH($T274,$A:$A,0)),0),INDEX(PREVIVAZ!$C248:$N248,1,MATCH(AF$27,PREVIVAZ!$C$1:$N$1,1)))</f>
        <v>#N/A</v>
      </c>
      <c r="AG274" s="202" t="e">
        <f ca="1">IFERROR(ROUND(INDEX(Q:Q,MATCH($T274,$A:$A,0)),0),INDEX(PREVIVAZ!$C248:$N248,1,MATCH(AG$27,PREVIVAZ!$C$1:$N$1,1)))</f>
        <v>#N/A</v>
      </c>
    </row>
    <row r="275" spans="15:33" ht="12.75" x14ac:dyDescent="0.2">
      <c r="O275"/>
      <c r="P275"/>
      <c r="Q275"/>
      <c r="R275"/>
      <c r="S275"/>
      <c r="T275" s="272">
        <v>248</v>
      </c>
      <c r="V275" s="202" t="e">
        <f ca="1">IFERROR(ROUND(INDEX(F:F,MATCH($T275,$A:$A,0)),0),INDEX(PREVIVAZ!$C249:$N249,1,MATCH(V$27,PREVIVAZ!$C$1:$N$1,1)))</f>
        <v>#N/A</v>
      </c>
      <c r="W275" s="202" t="e">
        <f ca="1">IFERROR(ROUND(INDEX(G:G,MATCH($T275,$A:$A,0)),0),INDEX(PREVIVAZ!$C249:$N249,1,MATCH(W$27,PREVIVAZ!$C$1:$N$1,1)))</f>
        <v>#N/A</v>
      </c>
      <c r="X275" s="202" t="e">
        <f ca="1">IFERROR(ROUND(INDEX(H:H,MATCH($T275,$A:$A,0)),0),INDEX(PREVIVAZ!$C249:$N249,1,MATCH(X$27,PREVIVAZ!$C$1:$N$1,1)))</f>
        <v>#N/A</v>
      </c>
      <c r="Y275" s="202" t="e">
        <f ca="1">IFERROR(ROUND(INDEX(I:I,MATCH($T275,$A:$A,0)),0),INDEX(PREVIVAZ!$C249:$N249,1,MATCH(Y$27,PREVIVAZ!$C$1:$N$1,1)))</f>
        <v>#N/A</v>
      </c>
      <c r="Z275" s="202" t="e">
        <f ca="1">IFERROR(ROUND(INDEX(J:J,MATCH($T275,$A:$A,0)),0),INDEX(PREVIVAZ!$C249:$N249,1,MATCH(Z$27,PREVIVAZ!$C$1:$N$1,1)))</f>
        <v>#N/A</v>
      </c>
      <c r="AA275" s="202" t="e">
        <f ca="1">IFERROR(ROUND(INDEX(K:K,MATCH($T275,$A:$A,0)),0),INDEX(PREVIVAZ!$C249:$N249,1,MATCH(AA$27,PREVIVAZ!$C$1:$N$1,1)))</f>
        <v>#N/A</v>
      </c>
      <c r="AB275" s="202" t="e">
        <f ca="1">IFERROR(ROUND(INDEX(L:L,MATCH($T275,$A:$A,0)),0),INDEX(PREVIVAZ!$C249:$N249,1,MATCH(AB$27,PREVIVAZ!$C$1:$N$1,1)))</f>
        <v>#N/A</v>
      </c>
      <c r="AC275" s="202" t="e">
        <f ca="1">IFERROR(ROUND(INDEX(M:M,MATCH($T275,$A:$A,0)),0),INDEX(PREVIVAZ!$C249:$N249,1,MATCH(AC$27,PREVIVAZ!$C$1:$N$1,1)))</f>
        <v>#N/A</v>
      </c>
      <c r="AD275" s="202" t="e">
        <f ca="1">IFERROR(ROUND(INDEX(N:N,MATCH($T275,$A:$A,0)),0),INDEX(PREVIVAZ!$C249:$N249,1,MATCH(AD$27,PREVIVAZ!$C$1:$N$1,1)))</f>
        <v>#N/A</v>
      </c>
      <c r="AE275" s="202" t="e">
        <f ca="1">IFERROR(ROUND(INDEX(O:O,MATCH($T275,$A:$A,0)),0),INDEX(PREVIVAZ!$C249:$N249,1,MATCH(AE$27,PREVIVAZ!$C$1:$N$1,1)))</f>
        <v>#N/A</v>
      </c>
      <c r="AF275" s="202" t="e">
        <f ca="1">IFERROR(ROUND(INDEX(P:P,MATCH($T275,$A:$A,0)),0),INDEX(PREVIVAZ!$C249:$N249,1,MATCH(AF$27,PREVIVAZ!$C$1:$N$1,1)))</f>
        <v>#N/A</v>
      </c>
      <c r="AG275" s="202" t="e">
        <f ca="1">IFERROR(ROUND(INDEX(Q:Q,MATCH($T275,$A:$A,0)),0),INDEX(PREVIVAZ!$C249:$N249,1,MATCH(AG$27,PREVIVAZ!$C$1:$N$1,1)))</f>
        <v>#N/A</v>
      </c>
    </row>
    <row r="276" spans="15:33" ht="12.75" x14ac:dyDescent="0.2">
      <c r="O276"/>
      <c r="P276"/>
      <c r="Q276"/>
      <c r="R276"/>
      <c r="S276"/>
      <c r="T276" s="272">
        <v>249</v>
      </c>
      <c r="V276" s="202">
        <f ca="1">IFERROR(ROUND(INDEX(F:F,MATCH($T276,$A:$A,0)),0),INDEX(PREVIVAZ!$C250:$N250,1,MATCH(V$27,PREVIVAZ!$C$1:$N$1,1)))</f>
        <v>0</v>
      </c>
      <c r="W276" s="202">
        <f ca="1">IFERROR(ROUND(INDEX(G:G,MATCH($T276,$A:$A,0)),0),INDEX(PREVIVAZ!$C250:$N250,1,MATCH(W$27,PREVIVAZ!$C$1:$N$1,1)))</f>
        <v>0</v>
      </c>
      <c r="X276" s="202">
        <f ca="1">IFERROR(ROUND(INDEX(H:H,MATCH($T276,$A:$A,0)),0),INDEX(PREVIVAZ!$C250:$N250,1,MATCH(X$27,PREVIVAZ!$C$1:$N$1,1)))</f>
        <v>0</v>
      </c>
      <c r="Y276" s="202">
        <f ca="1">IFERROR(ROUND(INDEX(I:I,MATCH($T276,$A:$A,0)),0),INDEX(PREVIVAZ!$C250:$N250,1,MATCH(Y$27,PREVIVAZ!$C$1:$N$1,1)))</f>
        <v>0</v>
      </c>
      <c r="Z276" s="202">
        <f ca="1">IFERROR(ROUND(INDEX(J:J,MATCH($T276,$A:$A,0)),0),INDEX(PREVIVAZ!$C250:$N250,1,MATCH(Z$27,PREVIVAZ!$C$1:$N$1,1)))</f>
        <v>0</v>
      </c>
      <c r="AA276" s="202">
        <f ca="1">IFERROR(ROUND(INDEX(K:K,MATCH($T276,$A:$A,0)),0),INDEX(PREVIVAZ!$C250:$N250,1,MATCH(AA$27,PREVIVAZ!$C$1:$N$1,1)))</f>
        <v>0</v>
      </c>
      <c r="AB276" s="202">
        <f ca="1">IFERROR(ROUND(INDEX(L:L,MATCH($T276,$A:$A,0)),0),INDEX(PREVIVAZ!$C250:$N250,1,MATCH(AB$27,PREVIVAZ!$C$1:$N$1,1)))</f>
        <v>0</v>
      </c>
      <c r="AC276" s="202">
        <f ca="1">IFERROR(ROUND(INDEX(M:M,MATCH($T276,$A:$A,0)),0),INDEX(PREVIVAZ!$C250:$N250,1,MATCH(AC$27,PREVIVAZ!$C$1:$N$1,1)))</f>
        <v>0</v>
      </c>
      <c r="AD276" s="202">
        <f ca="1">IFERROR(ROUND(INDEX(N:N,MATCH($T276,$A:$A,0)),0),INDEX(PREVIVAZ!$C250:$N250,1,MATCH(AD$27,PREVIVAZ!$C$1:$N$1,1)))</f>
        <v>0</v>
      </c>
      <c r="AE276" s="202">
        <f ca="1">IFERROR(ROUND(INDEX(O:O,MATCH($T276,$A:$A,0)),0),INDEX(PREVIVAZ!$C250:$N250,1,MATCH(AE$27,PREVIVAZ!$C$1:$N$1,1)))</f>
        <v>0</v>
      </c>
      <c r="AF276" s="202">
        <f ca="1">IFERROR(ROUND(INDEX(P:P,MATCH($T276,$A:$A,0)),0),INDEX(PREVIVAZ!$C250:$N250,1,MATCH(AF$27,PREVIVAZ!$C$1:$N$1,1)))</f>
        <v>0</v>
      </c>
      <c r="AG276" s="202">
        <f ca="1">IFERROR(ROUND(INDEX(Q:Q,MATCH($T276,$A:$A,0)),0),INDEX(PREVIVAZ!$C250:$N250,1,MATCH(AG$27,PREVIVAZ!$C$1:$N$1,1)))</f>
        <v>0</v>
      </c>
    </row>
    <row r="277" spans="15:33" ht="12.75" x14ac:dyDescent="0.2">
      <c r="O277"/>
      <c r="P277"/>
      <c r="Q277"/>
      <c r="R277"/>
      <c r="S277"/>
      <c r="T277" s="272">
        <v>250</v>
      </c>
      <c r="V277" s="202" t="e">
        <f ca="1">IFERROR(ROUND(INDEX(F:F,MATCH($T277,$A:$A,0)),0),INDEX(PREVIVAZ!$C251:$N251,1,MATCH(V$27,PREVIVAZ!$C$1:$N$1,1)))</f>
        <v>#N/A</v>
      </c>
      <c r="W277" s="202" t="e">
        <f ca="1">IFERROR(ROUND(INDEX(G:G,MATCH($T277,$A:$A,0)),0),INDEX(PREVIVAZ!$C251:$N251,1,MATCH(W$27,PREVIVAZ!$C$1:$N$1,1)))</f>
        <v>#N/A</v>
      </c>
      <c r="X277" s="202" t="e">
        <f ca="1">IFERROR(ROUND(INDEX(H:H,MATCH($T277,$A:$A,0)),0),INDEX(PREVIVAZ!$C251:$N251,1,MATCH(X$27,PREVIVAZ!$C$1:$N$1,1)))</f>
        <v>#N/A</v>
      </c>
      <c r="Y277" s="202" t="e">
        <f ca="1">IFERROR(ROUND(INDEX(I:I,MATCH($T277,$A:$A,0)),0),INDEX(PREVIVAZ!$C251:$N251,1,MATCH(Y$27,PREVIVAZ!$C$1:$N$1,1)))</f>
        <v>#N/A</v>
      </c>
      <c r="Z277" s="202" t="e">
        <f ca="1">IFERROR(ROUND(INDEX(J:J,MATCH($T277,$A:$A,0)),0),INDEX(PREVIVAZ!$C251:$N251,1,MATCH(Z$27,PREVIVAZ!$C$1:$N$1,1)))</f>
        <v>#N/A</v>
      </c>
      <c r="AA277" s="202" t="e">
        <f ca="1">IFERROR(ROUND(INDEX(K:K,MATCH($T277,$A:$A,0)),0),INDEX(PREVIVAZ!$C251:$N251,1,MATCH(AA$27,PREVIVAZ!$C$1:$N$1,1)))</f>
        <v>#N/A</v>
      </c>
      <c r="AB277" s="202" t="e">
        <f ca="1">IFERROR(ROUND(INDEX(L:L,MATCH($T277,$A:$A,0)),0),INDEX(PREVIVAZ!$C251:$N251,1,MATCH(AB$27,PREVIVAZ!$C$1:$N$1,1)))</f>
        <v>#N/A</v>
      </c>
      <c r="AC277" s="202" t="e">
        <f ca="1">IFERROR(ROUND(INDEX(M:M,MATCH($T277,$A:$A,0)),0),INDEX(PREVIVAZ!$C251:$N251,1,MATCH(AC$27,PREVIVAZ!$C$1:$N$1,1)))</f>
        <v>#N/A</v>
      </c>
      <c r="AD277" s="202" t="e">
        <f ca="1">IFERROR(ROUND(INDEX(N:N,MATCH($T277,$A:$A,0)),0),INDEX(PREVIVAZ!$C251:$N251,1,MATCH(AD$27,PREVIVAZ!$C$1:$N$1,1)))</f>
        <v>#N/A</v>
      </c>
      <c r="AE277" s="202" t="e">
        <f ca="1">IFERROR(ROUND(INDEX(O:O,MATCH($T277,$A:$A,0)),0),INDEX(PREVIVAZ!$C251:$N251,1,MATCH(AE$27,PREVIVAZ!$C$1:$N$1,1)))</f>
        <v>#N/A</v>
      </c>
      <c r="AF277" s="202" t="e">
        <f ca="1">IFERROR(ROUND(INDEX(P:P,MATCH($T277,$A:$A,0)),0),INDEX(PREVIVAZ!$C251:$N251,1,MATCH(AF$27,PREVIVAZ!$C$1:$N$1,1)))</f>
        <v>#N/A</v>
      </c>
      <c r="AG277" s="202" t="e">
        <f ca="1">IFERROR(ROUND(INDEX(Q:Q,MATCH($T277,$A:$A,0)),0),INDEX(PREVIVAZ!$C251:$N251,1,MATCH(AG$27,PREVIVAZ!$C$1:$N$1,1)))</f>
        <v>#N/A</v>
      </c>
    </row>
    <row r="278" spans="15:33" ht="12.75" x14ac:dyDescent="0.2">
      <c r="O278"/>
      <c r="P278"/>
      <c r="Q278"/>
      <c r="R278"/>
      <c r="S278"/>
      <c r="T278" s="272">
        <v>251</v>
      </c>
      <c r="V278" s="202">
        <f ca="1">IFERROR(ROUND(INDEX(F:F,MATCH($T278,$A:$A,0)),0),INDEX(PREVIVAZ!$C252:$N252,1,MATCH(V$27,PREVIVAZ!$C$1:$N$1,1)))</f>
        <v>0</v>
      </c>
      <c r="W278" s="202">
        <f ca="1">IFERROR(ROUND(INDEX(G:G,MATCH($T278,$A:$A,0)),0),INDEX(PREVIVAZ!$C252:$N252,1,MATCH(W$27,PREVIVAZ!$C$1:$N$1,1)))</f>
        <v>0</v>
      </c>
      <c r="X278" s="202">
        <f ca="1">IFERROR(ROUND(INDEX(H:H,MATCH($T278,$A:$A,0)),0),INDEX(PREVIVAZ!$C252:$N252,1,MATCH(X$27,PREVIVAZ!$C$1:$N$1,1)))</f>
        <v>0</v>
      </c>
      <c r="Y278" s="202">
        <f ca="1">IFERROR(ROUND(INDEX(I:I,MATCH($T278,$A:$A,0)),0),INDEX(PREVIVAZ!$C252:$N252,1,MATCH(Y$27,PREVIVAZ!$C$1:$N$1,1)))</f>
        <v>0</v>
      </c>
      <c r="Z278" s="202">
        <f ca="1">IFERROR(ROUND(INDEX(J:J,MATCH($T278,$A:$A,0)),0),INDEX(PREVIVAZ!$C252:$N252,1,MATCH(Z$27,PREVIVAZ!$C$1:$N$1,1)))</f>
        <v>0</v>
      </c>
      <c r="AA278" s="202">
        <f ca="1">IFERROR(ROUND(INDEX(K:K,MATCH($T278,$A:$A,0)),0),INDEX(PREVIVAZ!$C252:$N252,1,MATCH(AA$27,PREVIVAZ!$C$1:$N$1,1)))</f>
        <v>0</v>
      </c>
      <c r="AB278" s="202">
        <f ca="1">IFERROR(ROUND(INDEX(L:L,MATCH($T278,$A:$A,0)),0),INDEX(PREVIVAZ!$C252:$N252,1,MATCH(AB$27,PREVIVAZ!$C$1:$N$1,1)))</f>
        <v>0</v>
      </c>
      <c r="AC278" s="202">
        <f ca="1">IFERROR(ROUND(INDEX(M:M,MATCH($T278,$A:$A,0)),0),INDEX(PREVIVAZ!$C252:$N252,1,MATCH(AC$27,PREVIVAZ!$C$1:$N$1,1)))</f>
        <v>0</v>
      </c>
      <c r="AD278" s="202">
        <f ca="1">IFERROR(ROUND(INDEX(N:N,MATCH($T278,$A:$A,0)),0),INDEX(PREVIVAZ!$C252:$N252,1,MATCH(AD$27,PREVIVAZ!$C$1:$N$1,1)))</f>
        <v>0</v>
      </c>
      <c r="AE278" s="202">
        <f ca="1">IFERROR(ROUND(INDEX(O:O,MATCH($T278,$A:$A,0)),0),INDEX(PREVIVAZ!$C252:$N252,1,MATCH(AE$27,PREVIVAZ!$C$1:$N$1,1)))</f>
        <v>0</v>
      </c>
      <c r="AF278" s="202">
        <f ca="1">IFERROR(ROUND(INDEX(P:P,MATCH($T278,$A:$A,0)),0),INDEX(PREVIVAZ!$C252:$N252,1,MATCH(AF$27,PREVIVAZ!$C$1:$N$1,1)))</f>
        <v>0</v>
      </c>
      <c r="AG278" s="202">
        <f ca="1">IFERROR(ROUND(INDEX(Q:Q,MATCH($T278,$A:$A,0)),0),INDEX(PREVIVAZ!$C252:$N252,1,MATCH(AG$27,PREVIVAZ!$C$1:$N$1,1)))</f>
        <v>0</v>
      </c>
    </row>
    <row r="279" spans="15:33" ht="12.75" x14ac:dyDescent="0.2">
      <c r="O279"/>
      <c r="P279"/>
      <c r="Q279"/>
      <c r="R279"/>
      <c r="S279"/>
      <c r="T279" s="272">
        <v>252</v>
      </c>
      <c r="V279" s="202" t="e">
        <f ca="1">IFERROR(ROUND(INDEX(F:F,MATCH($T279,$A:$A,0)),0),INDEX(PREVIVAZ!$C253:$N253,1,MATCH(V$27,PREVIVAZ!$C$1:$N$1,1)))</f>
        <v>#N/A</v>
      </c>
      <c r="W279" s="202" t="e">
        <f ca="1">IFERROR(ROUND(INDEX(G:G,MATCH($T279,$A:$A,0)),0),INDEX(PREVIVAZ!$C253:$N253,1,MATCH(W$27,PREVIVAZ!$C$1:$N$1,1)))</f>
        <v>#N/A</v>
      </c>
      <c r="X279" s="202" t="e">
        <f ca="1">IFERROR(ROUND(INDEX(H:H,MATCH($T279,$A:$A,0)),0),INDEX(PREVIVAZ!$C253:$N253,1,MATCH(X$27,PREVIVAZ!$C$1:$N$1,1)))</f>
        <v>#N/A</v>
      </c>
      <c r="Y279" s="202" t="e">
        <f ca="1">IFERROR(ROUND(INDEX(I:I,MATCH($T279,$A:$A,0)),0),INDEX(PREVIVAZ!$C253:$N253,1,MATCH(Y$27,PREVIVAZ!$C$1:$N$1,1)))</f>
        <v>#N/A</v>
      </c>
      <c r="Z279" s="202" t="e">
        <f ca="1">IFERROR(ROUND(INDEX(J:J,MATCH($T279,$A:$A,0)),0),INDEX(PREVIVAZ!$C253:$N253,1,MATCH(Z$27,PREVIVAZ!$C$1:$N$1,1)))</f>
        <v>#N/A</v>
      </c>
      <c r="AA279" s="202" t="e">
        <f ca="1">IFERROR(ROUND(INDEX(K:K,MATCH($T279,$A:$A,0)),0),INDEX(PREVIVAZ!$C253:$N253,1,MATCH(AA$27,PREVIVAZ!$C$1:$N$1,1)))</f>
        <v>#N/A</v>
      </c>
      <c r="AB279" s="202" t="e">
        <f ca="1">IFERROR(ROUND(INDEX(L:L,MATCH($T279,$A:$A,0)),0),INDEX(PREVIVAZ!$C253:$N253,1,MATCH(AB$27,PREVIVAZ!$C$1:$N$1,1)))</f>
        <v>#N/A</v>
      </c>
      <c r="AC279" s="202" t="e">
        <f ca="1">IFERROR(ROUND(INDEX(M:M,MATCH($T279,$A:$A,0)),0),INDEX(PREVIVAZ!$C253:$N253,1,MATCH(AC$27,PREVIVAZ!$C$1:$N$1,1)))</f>
        <v>#N/A</v>
      </c>
      <c r="AD279" s="202" t="e">
        <f ca="1">IFERROR(ROUND(INDEX(N:N,MATCH($T279,$A:$A,0)),0),INDEX(PREVIVAZ!$C253:$N253,1,MATCH(AD$27,PREVIVAZ!$C$1:$N$1,1)))</f>
        <v>#N/A</v>
      </c>
      <c r="AE279" s="202" t="e">
        <f ca="1">IFERROR(ROUND(INDEX(O:O,MATCH($T279,$A:$A,0)),0),INDEX(PREVIVAZ!$C253:$N253,1,MATCH(AE$27,PREVIVAZ!$C$1:$N$1,1)))</f>
        <v>#N/A</v>
      </c>
      <c r="AF279" s="202" t="e">
        <f ca="1">IFERROR(ROUND(INDEX(P:P,MATCH($T279,$A:$A,0)),0),INDEX(PREVIVAZ!$C253:$N253,1,MATCH(AF$27,PREVIVAZ!$C$1:$N$1,1)))</f>
        <v>#N/A</v>
      </c>
      <c r="AG279" s="202" t="e">
        <f ca="1">IFERROR(ROUND(INDEX(Q:Q,MATCH($T279,$A:$A,0)),0),INDEX(PREVIVAZ!$C253:$N253,1,MATCH(AG$27,PREVIVAZ!$C$1:$N$1,1)))</f>
        <v>#N/A</v>
      </c>
    </row>
    <row r="280" spans="15:33" ht="12.75" x14ac:dyDescent="0.2">
      <c r="O280"/>
      <c r="P280"/>
      <c r="Q280"/>
      <c r="R280"/>
      <c r="S280"/>
      <c r="T280" s="272">
        <v>253</v>
      </c>
      <c r="V280" s="202" t="e">
        <f ca="1">IFERROR(ROUND(INDEX(F:F,MATCH($T280,$A:$A,0)),0),INDEX(PREVIVAZ!$C254:$N254,1,MATCH(V$27,PREVIVAZ!$C$1:$N$1,1)))</f>
        <v>#N/A</v>
      </c>
      <c r="W280" s="202" t="e">
        <f ca="1">IFERROR(ROUND(INDEX(G:G,MATCH($T280,$A:$A,0)),0),INDEX(PREVIVAZ!$C254:$N254,1,MATCH(W$27,PREVIVAZ!$C$1:$N$1,1)))</f>
        <v>#N/A</v>
      </c>
      <c r="X280" s="202" t="e">
        <f ca="1">IFERROR(ROUND(INDEX(H:H,MATCH($T280,$A:$A,0)),0),INDEX(PREVIVAZ!$C254:$N254,1,MATCH(X$27,PREVIVAZ!$C$1:$N$1,1)))</f>
        <v>#N/A</v>
      </c>
      <c r="Y280" s="202" t="e">
        <f ca="1">IFERROR(ROUND(INDEX(I:I,MATCH($T280,$A:$A,0)),0),INDEX(PREVIVAZ!$C254:$N254,1,MATCH(Y$27,PREVIVAZ!$C$1:$N$1,1)))</f>
        <v>#N/A</v>
      </c>
      <c r="Z280" s="202" t="e">
        <f ca="1">IFERROR(ROUND(INDEX(J:J,MATCH($T280,$A:$A,0)),0),INDEX(PREVIVAZ!$C254:$N254,1,MATCH(Z$27,PREVIVAZ!$C$1:$N$1,1)))</f>
        <v>#N/A</v>
      </c>
      <c r="AA280" s="202" t="e">
        <f ca="1">IFERROR(ROUND(INDEX(K:K,MATCH($T280,$A:$A,0)),0),INDEX(PREVIVAZ!$C254:$N254,1,MATCH(AA$27,PREVIVAZ!$C$1:$N$1,1)))</f>
        <v>#N/A</v>
      </c>
      <c r="AB280" s="202" t="e">
        <f ca="1">IFERROR(ROUND(INDEX(L:L,MATCH($T280,$A:$A,0)),0),INDEX(PREVIVAZ!$C254:$N254,1,MATCH(AB$27,PREVIVAZ!$C$1:$N$1,1)))</f>
        <v>#N/A</v>
      </c>
      <c r="AC280" s="202" t="e">
        <f ca="1">IFERROR(ROUND(INDEX(M:M,MATCH($T280,$A:$A,0)),0),INDEX(PREVIVAZ!$C254:$N254,1,MATCH(AC$27,PREVIVAZ!$C$1:$N$1,1)))</f>
        <v>#N/A</v>
      </c>
      <c r="AD280" s="202" t="e">
        <f ca="1">IFERROR(ROUND(INDEX(N:N,MATCH($T280,$A:$A,0)),0),INDEX(PREVIVAZ!$C254:$N254,1,MATCH(AD$27,PREVIVAZ!$C$1:$N$1,1)))</f>
        <v>#N/A</v>
      </c>
      <c r="AE280" s="202" t="e">
        <f ca="1">IFERROR(ROUND(INDEX(O:O,MATCH($T280,$A:$A,0)),0),INDEX(PREVIVAZ!$C254:$N254,1,MATCH(AE$27,PREVIVAZ!$C$1:$N$1,1)))</f>
        <v>#N/A</v>
      </c>
      <c r="AF280" s="202" t="e">
        <f ca="1">IFERROR(ROUND(INDEX(P:P,MATCH($T280,$A:$A,0)),0),INDEX(PREVIVAZ!$C254:$N254,1,MATCH(AF$27,PREVIVAZ!$C$1:$N$1,1)))</f>
        <v>#N/A</v>
      </c>
      <c r="AG280" s="202" t="e">
        <f ca="1">IFERROR(ROUND(INDEX(Q:Q,MATCH($T280,$A:$A,0)),0),INDEX(PREVIVAZ!$C254:$N254,1,MATCH(AG$27,PREVIVAZ!$C$1:$N$1,1)))</f>
        <v>#N/A</v>
      </c>
    </row>
    <row r="281" spans="15:33" ht="12.75" x14ac:dyDescent="0.2">
      <c r="O281"/>
      <c r="P281"/>
      <c r="Q281"/>
      <c r="R281"/>
      <c r="S281"/>
      <c r="T281" s="272">
        <v>254</v>
      </c>
      <c r="V281" s="202" t="e">
        <f ca="1">IFERROR(ROUND(INDEX(F:F,MATCH($T281,$A:$A,0)),0),INDEX(PREVIVAZ!$C255:$N255,1,MATCH(V$27,PREVIVAZ!$C$1:$N$1,1)))</f>
        <v>#N/A</v>
      </c>
      <c r="W281" s="202" t="e">
        <f ca="1">IFERROR(ROUND(INDEX(G:G,MATCH($T281,$A:$A,0)),0),INDEX(PREVIVAZ!$C255:$N255,1,MATCH(W$27,PREVIVAZ!$C$1:$N$1,1)))</f>
        <v>#N/A</v>
      </c>
      <c r="X281" s="202" t="e">
        <f ca="1">IFERROR(ROUND(INDEX(H:H,MATCH($T281,$A:$A,0)),0),INDEX(PREVIVAZ!$C255:$N255,1,MATCH(X$27,PREVIVAZ!$C$1:$N$1,1)))</f>
        <v>#N/A</v>
      </c>
      <c r="Y281" s="202" t="e">
        <f ca="1">IFERROR(ROUND(INDEX(I:I,MATCH($T281,$A:$A,0)),0),INDEX(PREVIVAZ!$C255:$N255,1,MATCH(Y$27,PREVIVAZ!$C$1:$N$1,1)))</f>
        <v>#N/A</v>
      </c>
      <c r="Z281" s="202" t="e">
        <f ca="1">IFERROR(ROUND(INDEX(J:J,MATCH($T281,$A:$A,0)),0),INDEX(PREVIVAZ!$C255:$N255,1,MATCH(Z$27,PREVIVAZ!$C$1:$N$1,1)))</f>
        <v>#N/A</v>
      </c>
      <c r="AA281" s="202" t="e">
        <f ca="1">IFERROR(ROUND(INDEX(K:K,MATCH($T281,$A:$A,0)),0),INDEX(PREVIVAZ!$C255:$N255,1,MATCH(AA$27,PREVIVAZ!$C$1:$N$1,1)))</f>
        <v>#N/A</v>
      </c>
      <c r="AB281" s="202" t="e">
        <f ca="1">IFERROR(ROUND(INDEX(L:L,MATCH($T281,$A:$A,0)),0),INDEX(PREVIVAZ!$C255:$N255,1,MATCH(AB$27,PREVIVAZ!$C$1:$N$1,1)))</f>
        <v>#N/A</v>
      </c>
      <c r="AC281" s="202" t="e">
        <f ca="1">IFERROR(ROUND(INDEX(M:M,MATCH($T281,$A:$A,0)),0),INDEX(PREVIVAZ!$C255:$N255,1,MATCH(AC$27,PREVIVAZ!$C$1:$N$1,1)))</f>
        <v>#N/A</v>
      </c>
      <c r="AD281" s="202" t="e">
        <f ca="1">IFERROR(ROUND(INDEX(N:N,MATCH($T281,$A:$A,0)),0),INDEX(PREVIVAZ!$C255:$N255,1,MATCH(AD$27,PREVIVAZ!$C$1:$N$1,1)))</f>
        <v>#N/A</v>
      </c>
      <c r="AE281" s="202" t="e">
        <f ca="1">IFERROR(ROUND(INDEX(O:O,MATCH($T281,$A:$A,0)),0),INDEX(PREVIVAZ!$C255:$N255,1,MATCH(AE$27,PREVIVAZ!$C$1:$N$1,1)))</f>
        <v>#N/A</v>
      </c>
      <c r="AF281" s="202" t="e">
        <f ca="1">IFERROR(ROUND(INDEX(P:P,MATCH($T281,$A:$A,0)),0),INDEX(PREVIVAZ!$C255:$N255,1,MATCH(AF$27,PREVIVAZ!$C$1:$N$1,1)))</f>
        <v>#N/A</v>
      </c>
      <c r="AG281" s="202" t="e">
        <f ca="1">IFERROR(ROUND(INDEX(Q:Q,MATCH($T281,$A:$A,0)),0),INDEX(PREVIVAZ!$C255:$N255,1,MATCH(AG$27,PREVIVAZ!$C$1:$N$1,1)))</f>
        <v>#N/A</v>
      </c>
    </row>
    <row r="282" spans="15:33" ht="12.75" x14ac:dyDescent="0.2">
      <c r="O282"/>
      <c r="P282"/>
      <c r="Q282"/>
      <c r="R282"/>
      <c r="S282"/>
      <c r="T282" s="272">
        <v>255</v>
      </c>
      <c r="V282" s="202" t="e">
        <f ca="1">IFERROR(ROUND(INDEX(F:F,MATCH($T282,$A:$A,0)),0),INDEX(PREVIVAZ!$C256:$N256,1,MATCH(V$27,PREVIVAZ!$C$1:$N$1,1)))</f>
        <v>#N/A</v>
      </c>
      <c r="W282" s="202" t="e">
        <f ca="1">IFERROR(ROUND(INDEX(G:G,MATCH($T282,$A:$A,0)),0),INDEX(PREVIVAZ!$C256:$N256,1,MATCH(W$27,PREVIVAZ!$C$1:$N$1,1)))</f>
        <v>#N/A</v>
      </c>
      <c r="X282" s="202" t="e">
        <f ca="1">IFERROR(ROUND(INDEX(H:H,MATCH($T282,$A:$A,0)),0),INDEX(PREVIVAZ!$C256:$N256,1,MATCH(X$27,PREVIVAZ!$C$1:$N$1,1)))</f>
        <v>#N/A</v>
      </c>
      <c r="Y282" s="202" t="e">
        <f ca="1">IFERROR(ROUND(INDEX(I:I,MATCH($T282,$A:$A,0)),0),INDEX(PREVIVAZ!$C256:$N256,1,MATCH(Y$27,PREVIVAZ!$C$1:$N$1,1)))</f>
        <v>#N/A</v>
      </c>
      <c r="Z282" s="202" t="e">
        <f ca="1">IFERROR(ROUND(INDEX(J:J,MATCH($T282,$A:$A,0)),0),INDEX(PREVIVAZ!$C256:$N256,1,MATCH(Z$27,PREVIVAZ!$C$1:$N$1,1)))</f>
        <v>#N/A</v>
      </c>
      <c r="AA282" s="202" t="e">
        <f ca="1">IFERROR(ROUND(INDEX(K:K,MATCH($T282,$A:$A,0)),0),INDEX(PREVIVAZ!$C256:$N256,1,MATCH(AA$27,PREVIVAZ!$C$1:$N$1,1)))</f>
        <v>#N/A</v>
      </c>
      <c r="AB282" s="202" t="e">
        <f ca="1">IFERROR(ROUND(INDEX(L:L,MATCH($T282,$A:$A,0)),0),INDEX(PREVIVAZ!$C256:$N256,1,MATCH(AB$27,PREVIVAZ!$C$1:$N$1,1)))</f>
        <v>#N/A</v>
      </c>
      <c r="AC282" s="202" t="e">
        <f ca="1">IFERROR(ROUND(INDEX(M:M,MATCH($T282,$A:$A,0)),0),INDEX(PREVIVAZ!$C256:$N256,1,MATCH(AC$27,PREVIVAZ!$C$1:$N$1,1)))</f>
        <v>#N/A</v>
      </c>
      <c r="AD282" s="202" t="e">
        <f ca="1">IFERROR(ROUND(INDEX(N:N,MATCH($T282,$A:$A,0)),0),INDEX(PREVIVAZ!$C256:$N256,1,MATCH(AD$27,PREVIVAZ!$C$1:$N$1,1)))</f>
        <v>#N/A</v>
      </c>
      <c r="AE282" s="202" t="e">
        <f ca="1">IFERROR(ROUND(INDEX(O:O,MATCH($T282,$A:$A,0)),0),INDEX(PREVIVAZ!$C256:$N256,1,MATCH(AE$27,PREVIVAZ!$C$1:$N$1,1)))</f>
        <v>#N/A</v>
      </c>
      <c r="AF282" s="202" t="e">
        <f ca="1">IFERROR(ROUND(INDEX(P:P,MATCH($T282,$A:$A,0)),0),INDEX(PREVIVAZ!$C256:$N256,1,MATCH(AF$27,PREVIVAZ!$C$1:$N$1,1)))</f>
        <v>#N/A</v>
      </c>
      <c r="AG282" s="202" t="e">
        <f ca="1">IFERROR(ROUND(INDEX(Q:Q,MATCH($T282,$A:$A,0)),0),INDEX(PREVIVAZ!$C256:$N256,1,MATCH(AG$27,PREVIVAZ!$C$1:$N$1,1)))</f>
        <v>#N/A</v>
      </c>
    </row>
    <row r="283" spans="15:33" ht="12.75" x14ac:dyDescent="0.2">
      <c r="O283"/>
      <c r="P283"/>
      <c r="Q283"/>
      <c r="R283"/>
      <c r="S283"/>
      <c r="T283" s="272">
        <v>256</v>
      </c>
      <c r="V283" s="202" t="e">
        <f ca="1">IFERROR(ROUND(INDEX(F:F,MATCH($T283,$A:$A,0)),0),INDEX(PREVIVAZ!$C257:$N257,1,MATCH(V$27,PREVIVAZ!$C$1:$N$1,1)))</f>
        <v>#N/A</v>
      </c>
      <c r="W283" s="202" t="e">
        <f ca="1">IFERROR(ROUND(INDEX(G:G,MATCH($T283,$A:$A,0)),0),INDEX(PREVIVAZ!$C257:$N257,1,MATCH(W$27,PREVIVAZ!$C$1:$N$1,1)))</f>
        <v>#N/A</v>
      </c>
      <c r="X283" s="202" t="e">
        <f ca="1">IFERROR(ROUND(INDEX(H:H,MATCH($T283,$A:$A,0)),0),INDEX(PREVIVAZ!$C257:$N257,1,MATCH(X$27,PREVIVAZ!$C$1:$N$1,1)))</f>
        <v>#N/A</v>
      </c>
      <c r="Y283" s="202" t="e">
        <f ca="1">IFERROR(ROUND(INDEX(I:I,MATCH($T283,$A:$A,0)),0),INDEX(PREVIVAZ!$C257:$N257,1,MATCH(Y$27,PREVIVAZ!$C$1:$N$1,1)))</f>
        <v>#N/A</v>
      </c>
      <c r="Z283" s="202" t="e">
        <f ca="1">IFERROR(ROUND(INDEX(J:J,MATCH($T283,$A:$A,0)),0),INDEX(PREVIVAZ!$C257:$N257,1,MATCH(Z$27,PREVIVAZ!$C$1:$N$1,1)))</f>
        <v>#N/A</v>
      </c>
      <c r="AA283" s="202" t="e">
        <f ca="1">IFERROR(ROUND(INDEX(K:K,MATCH($T283,$A:$A,0)),0),INDEX(PREVIVAZ!$C257:$N257,1,MATCH(AA$27,PREVIVAZ!$C$1:$N$1,1)))</f>
        <v>#N/A</v>
      </c>
      <c r="AB283" s="202" t="e">
        <f ca="1">IFERROR(ROUND(INDEX(L:L,MATCH($T283,$A:$A,0)),0),INDEX(PREVIVAZ!$C257:$N257,1,MATCH(AB$27,PREVIVAZ!$C$1:$N$1,1)))</f>
        <v>#N/A</v>
      </c>
      <c r="AC283" s="202" t="e">
        <f ca="1">IFERROR(ROUND(INDEX(M:M,MATCH($T283,$A:$A,0)),0),INDEX(PREVIVAZ!$C257:$N257,1,MATCH(AC$27,PREVIVAZ!$C$1:$N$1,1)))</f>
        <v>#N/A</v>
      </c>
      <c r="AD283" s="202" t="e">
        <f ca="1">IFERROR(ROUND(INDEX(N:N,MATCH($T283,$A:$A,0)),0),INDEX(PREVIVAZ!$C257:$N257,1,MATCH(AD$27,PREVIVAZ!$C$1:$N$1,1)))</f>
        <v>#N/A</v>
      </c>
      <c r="AE283" s="202" t="e">
        <f ca="1">IFERROR(ROUND(INDEX(O:O,MATCH($T283,$A:$A,0)),0),INDEX(PREVIVAZ!$C257:$N257,1,MATCH(AE$27,PREVIVAZ!$C$1:$N$1,1)))</f>
        <v>#N/A</v>
      </c>
      <c r="AF283" s="202" t="e">
        <f ca="1">IFERROR(ROUND(INDEX(P:P,MATCH($T283,$A:$A,0)),0),INDEX(PREVIVAZ!$C257:$N257,1,MATCH(AF$27,PREVIVAZ!$C$1:$N$1,1)))</f>
        <v>#N/A</v>
      </c>
      <c r="AG283" s="202" t="e">
        <f ca="1">IFERROR(ROUND(INDEX(Q:Q,MATCH($T283,$A:$A,0)),0),INDEX(PREVIVAZ!$C257:$N257,1,MATCH(AG$27,PREVIVAZ!$C$1:$N$1,1)))</f>
        <v>#N/A</v>
      </c>
    </row>
    <row r="284" spans="15:33" ht="12.75" x14ac:dyDescent="0.2">
      <c r="O284"/>
      <c r="P284"/>
      <c r="Q284"/>
      <c r="R284"/>
      <c r="S284"/>
      <c r="T284" s="272">
        <v>257</v>
      </c>
      <c r="V284" s="202" t="e">
        <f ca="1">IFERROR(ROUND(INDEX(F:F,MATCH($T284,$A:$A,0)),0),INDEX(PREVIVAZ!$C258:$N258,1,MATCH(V$27,PREVIVAZ!$C$1:$N$1,1)))</f>
        <v>#N/A</v>
      </c>
      <c r="W284" s="202" t="e">
        <f ca="1">IFERROR(ROUND(INDEX(G:G,MATCH($T284,$A:$A,0)),0),INDEX(PREVIVAZ!$C258:$N258,1,MATCH(W$27,PREVIVAZ!$C$1:$N$1,1)))</f>
        <v>#N/A</v>
      </c>
      <c r="X284" s="202" t="e">
        <f ca="1">IFERROR(ROUND(INDEX(H:H,MATCH($T284,$A:$A,0)),0),INDEX(PREVIVAZ!$C258:$N258,1,MATCH(X$27,PREVIVAZ!$C$1:$N$1,1)))</f>
        <v>#N/A</v>
      </c>
      <c r="Y284" s="202" t="e">
        <f ca="1">IFERROR(ROUND(INDEX(I:I,MATCH($T284,$A:$A,0)),0),INDEX(PREVIVAZ!$C258:$N258,1,MATCH(Y$27,PREVIVAZ!$C$1:$N$1,1)))</f>
        <v>#N/A</v>
      </c>
      <c r="Z284" s="202" t="e">
        <f ca="1">IFERROR(ROUND(INDEX(J:J,MATCH($T284,$A:$A,0)),0),INDEX(PREVIVAZ!$C258:$N258,1,MATCH(Z$27,PREVIVAZ!$C$1:$N$1,1)))</f>
        <v>#N/A</v>
      </c>
      <c r="AA284" s="202" t="e">
        <f ca="1">IFERROR(ROUND(INDEX(K:K,MATCH($T284,$A:$A,0)),0),INDEX(PREVIVAZ!$C258:$N258,1,MATCH(AA$27,PREVIVAZ!$C$1:$N$1,1)))</f>
        <v>#N/A</v>
      </c>
      <c r="AB284" s="202" t="e">
        <f ca="1">IFERROR(ROUND(INDEX(L:L,MATCH($T284,$A:$A,0)),0),INDEX(PREVIVAZ!$C258:$N258,1,MATCH(AB$27,PREVIVAZ!$C$1:$N$1,1)))</f>
        <v>#N/A</v>
      </c>
      <c r="AC284" s="202" t="e">
        <f ca="1">IFERROR(ROUND(INDEX(M:M,MATCH($T284,$A:$A,0)),0),INDEX(PREVIVAZ!$C258:$N258,1,MATCH(AC$27,PREVIVAZ!$C$1:$N$1,1)))</f>
        <v>#N/A</v>
      </c>
      <c r="AD284" s="202" t="e">
        <f ca="1">IFERROR(ROUND(INDEX(N:N,MATCH($T284,$A:$A,0)),0),INDEX(PREVIVAZ!$C258:$N258,1,MATCH(AD$27,PREVIVAZ!$C$1:$N$1,1)))</f>
        <v>#N/A</v>
      </c>
      <c r="AE284" s="202" t="e">
        <f ca="1">IFERROR(ROUND(INDEX(O:O,MATCH($T284,$A:$A,0)),0),INDEX(PREVIVAZ!$C258:$N258,1,MATCH(AE$27,PREVIVAZ!$C$1:$N$1,1)))</f>
        <v>#N/A</v>
      </c>
      <c r="AF284" s="202" t="e">
        <f ca="1">IFERROR(ROUND(INDEX(P:P,MATCH($T284,$A:$A,0)),0),INDEX(PREVIVAZ!$C258:$N258,1,MATCH(AF$27,PREVIVAZ!$C$1:$N$1,1)))</f>
        <v>#N/A</v>
      </c>
      <c r="AG284" s="202" t="e">
        <f ca="1">IFERROR(ROUND(INDEX(Q:Q,MATCH($T284,$A:$A,0)),0),INDEX(PREVIVAZ!$C258:$N258,1,MATCH(AG$27,PREVIVAZ!$C$1:$N$1,1)))</f>
        <v>#N/A</v>
      </c>
    </row>
    <row r="285" spans="15:33" ht="12.75" x14ac:dyDescent="0.2">
      <c r="O285"/>
      <c r="P285"/>
      <c r="Q285"/>
      <c r="R285"/>
      <c r="S285"/>
      <c r="T285" s="272">
        <v>258</v>
      </c>
      <c r="V285" s="202" t="e">
        <f ca="1">IFERROR(ROUND(INDEX(F:F,MATCH($T285,$A:$A,0)),0),INDEX(PREVIVAZ!$C259:$N259,1,MATCH(V$27,PREVIVAZ!$C$1:$N$1,1)))</f>
        <v>#N/A</v>
      </c>
      <c r="W285" s="202" t="e">
        <f ca="1">IFERROR(ROUND(INDEX(G:G,MATCH($T285,$A:$A,0)),0),INDEX(PREVIVAZ!$C259:$N259,1,MATCH(W$27,PREVIVAZ!$C$1:$N$1,1)))</f>
        <v>#N/A</v>
      </c>
      <c r="X285" s="202" t="e">
        <f ca="1">IFERROR(ROUND(INDEX(H:H,MATCH($T285,$A:$A,0)),0),INDEX(PREVIVAZ!$C259:$N259,1,MATCH(X$27,PREVIVAZ!$C$1:$N$1,1)))</f>
        <v>#N/A</v>
      </c>
      <c r="Y285" s="202" t="e">
        <f ca="1">IFERROR(ROUND(INDEX(I:I,MATCH($T285,$A:$A,0)),0),INDEX(PREVIVAZ!$C259:$N259,1,MATCH(Y$27,PREVIVAZ!$C$1:$N$1,1)))</f>
        <v>#N/A</v>
      </c>
      <c r="Z285" s="202" t="e">
        <f ca="1">IFERROR(ROUND(INDEX(J:J,MATCH($T285,$A:$A,0)),0),INDEX(PREVIVAZ!$C259:$N259,1,MATCH(Z$27,PREVIVAZ!$C$1:$N$1,1)))</f>
        <v>#N/A</v>
      </c>
      <c r="AA285" s="202" t="e">
        <f ca="1">IFERROR(ROUND(INDEX(K:K,MATCH($T285,$A:$A,0)),0),INDEX(PREVIVAZ!$C259:$N259,1,MATCH(AA$27,PREVIVAZ!$C$1:$N$1,1)))</f>
        <v>#N/A</v>
      </c>
      <c r="AB285" s="202" t="e">
        <f ca="1">IFERROR(ROUND(INDEX(L:L,MATCH($T285,$A:$A,0)),0),INDEX(PREVIVAZ!$C259:$N259,1,MATCH(AB$27,PREVIVAZ!$C$1:$N$1,1)))</f>
        <v>#N/A</v>
      </c>
      <c r="AC285" s="202" t="e">
        <f ca="1">IFERROR(ROUND(INDEX(M:M,MATCH($T285,$A:$A,0)),0),INDEX(PREVIVAZ!$C259:$N259,1,MATCH(AC$27,PREVIVAZ!$C$1:$N$1,1)))</f>
        <v>#N/A</v>
      </c>
      <c r="AD285" s="202" t="e">
        <f ca="1">IFERROR(ROUND(INDEX(N:N,MATCH($T285,$A:$A,0)),0),INDEX(PREVIVAZ!$C259:$N259,1,MATCH(AD$27,PREVIVAZ!$C$1:$N$1,1)))</f>
        <v>#N/A</v>
      </c>
      <c r="AE285" s="202" t="e">
        <f ca="1">IFERROR(ROUND(INDEX(O:O,MATCH($T285,$A:$A,0)),0),INDEX(PREVIVAZ!$C259:$N259,1,MATCH(AE$27,PREVIVAZ!$C$1:$N$1,1)))</f>
        <v>#N/A</v>
      </c>
      <c r="AF285" s="202" t="e">
        <f ca="1">IFERROR(ROUND(INDEX(P:P,MATCH($T285,$A:$A,0)),0),INDEX(PREVIVAZ!$C259:$N259,1,MATCH(AF$27,PREVIVAZ!$C$1:$N$1,1)))</f>
        <v>#N/A</v>
      </c>
      <c r="AG285" s="202" t="e">
        <f ca="1">IFERROR(ROUND(INDEX(Q:Q,MATCH($T285,$A:$A,0)),0),INDEX(PREVIVAZ!$C259:$N259,1,MATCH(AG$27,PREVIVAZ!$C$1:$N$1,1)))</f>
        <v>#N/A</v>
      </c>
    </row>
    <row r="286" spans="15:33" ht="12.75" x14ac:dyDescent="0.2">
      <c r="O286"/>
      <c r="P286"/>
      <c r="Q286"/>
      <c r="R286"/>
      <c r="S286"/>
      <c r="T286" s="272">
        <v>259</v>
      </c>
      <c r="V286" s="202" t="e">
        <f ca="1">IFERROR(ROUND(INDEX(F:F,MATCH($T286,$A:$A,0)),0),INDEX(PREVIVAZ!$C260:$N260,1,MATCH(V$27,PREVIVAZ!$C$1:$N$1,1)))</f>
        <v>#N/A</v>
      </c>
      <c r="W286" s="202" t="e">
        <f ca="1">IFERROR(ROUND(INDEX(G:G,MATCH($T286,$A:$A,0)),0),INDEX(PREVIVAZ!$C260:$N260,1,MATCH(W$27,PREVIVAZ!$C$1:$N$1,1)))</f>
        <v>#N/A</v>
      </c>
      <c r="X286" s="202" t="e">
        <f ca="1">IFERROR(ROUND(INDEX(H:H,MATCH($T286,$A:$A,0)),0),INDEX(PREVIVAZ!$C260:$N260,1,MATCH(X$27,PREVIVAZ!$C$1:$N$1,1)))</f>
        <v>#N/A</v>
      </c>
      <c r="Y286" s="202" t="e">
        <f ca="1">IFERROR(ROUND(INDEX(I:I,MATCH($T286,$A:$A,0)),0),INDEX(PREVIVAZ!$C260:$N260,1,MATCH(Y$27,PREVIVAZ!$C$1:$N$1,1)))</f>
        <v>#N/A</v>
      </c>
      <c r="Z286" s="202" t="e">
        <f ca="1">IFERROR(ROUND(INDEX(J:J,MATCH($T286,$A:$A,0)),0),INDEX(PREVIVAZ!$C260:$N260,1,MATCH(Z$27,PREVIVAZ!$C$1:$N$1,1)))</f>
        <v>#N/A</v>
      </c>
      <c r="AA286" s="202" t="e">
        <f ca="1">IFERROR(ROUND(INDEX(K:K,MATCH($T286,$A:$A,0)),0),INDEX(PREVIVAZ!$C260:$N260,1,MATCH(AA$27,PREVIVAZ!$C$1:$N$1,1)))</f>
        <v>#N/A</v>
      </c>
      <c r="AB286" s="202" t="e">
        <f ca="1">IFERROR(ROUND(INDEX(L:L,MATCH($T286,$A:$A,0)),0),INDEX(PREVIVAZ!$C260:$N260,1,MATCH(AB$27,PREVIVAZ!$C$1:$N$1,1)))</f>
        <v>#N/A</v>
      </c>
      <c r="AC286" s="202" t="e">
        <f ca="1">IFERROR(ROUND(INDEX(M:M,MATCH($T286,$A:$A,0)),0),INDEX(PREVIVAZ!$C260:$N260,1,MATCH(AC$27,PREVIVAZ!$C$1:$N$1,1)))</f>
        <v>#N/A</v>
      </c>
      <c r="AD286" s="202" t="e">
        <f ca="1">IFERROR(ROUND(INDEX(N:N,MATCH($T286,$A:$A,0)),0),INDEX(PREVIVAZ!$C260:$N260,1,MATCH(AD$27,PREVIVAZ!$C$1:$N$1,1)))</f>
        <v>#N/A</v>
      </c>
      <c r="AE286" s="202" t="e">
        <f ca="1">IFERROR(ROUND(INDEX(O:O,MATCH($T286,$A:$A,0)),0),INDEX(PREVIVAZ!$C260:$N260,1,MATCH(AE$27,PREVIVAZ!$C$1:$N$1,1)))</f>
        <v>#N/A</v>
      </c>
      <c r="AF286" s="202" t="e">
        <f ca="1">IFERROR(ROUND(INDEX(P:P,MATCH($T286,$A:$A,0)),0),INDEX(PREVIVAZ!$C260:$N260,1,MATCH(AF$27,PREVIVAZ!$C$1:$N$1,1)))</f>
        <v>#N/A</v>
      </c>
      <c r="AG286" s="202" t="e">
        <f ca="1">IFERROR(ROUND(INDEX(Q:Q,MATCH($T286,$A:$A,0)),0),INDEX(PREVIVAZ!$C260:$N260,1,MATCH(AG$27,PREVIVAZ!$C$1:$N$1,1)))</f>
        <v>#N/A</v>
      </c>
    </row>
    <row r="287" spans="15:33" ht="12.75" x14ac:dyDescent="0.2">
      <c r="O287"/>
      <c r="P287"/>
      <c r="Q287"/>
      <c r="R287"/>
      <c r="S287"/>
      <c r="T287" s="272">
        <v>260</v>
      </c>
      <c r="V287" s="202" t="e">
        <f ca="1">IFERROR(ROUND(INDEX(F:F,MATCH($T287,$A:$A,0)),0),INDEX(PREVIVAZ!$C261:$N261,1,MATCH(V$27,PREVIVAZ!$C$1:$N$1,1)))</f>
        <v>#N/A</v>
      </c>
      <c r="W287" s="202" t="e">
        <f ca="1">IFERROR(ROUND(INDEX(G:G,MATCH($T287,$A:$A,0)),0),INDEX(PREVIVAZ!$C261:$N261,1,MATCH(W$27,PREVIVAZ!$C$1:$N$1,1)))</f>
        <v>#N/A</v>
      </c>
      <c r="X287" s="202" t="e">
        <f ca="1">IFERROR(ROUND(INDEX(H:H,MATCH($T287,$A:$A,0)),0),INDEX(PREVIVAZ!$C261:$N261,1,MATCH(X$27,PREVIVAZ!$C$1:$N$1,1)))</f>
        <v>#N/A</v>
      </c>
      <c r="Y287" s="202" t="e">
        <f ca="1">IFERROR(ROUND(INDEX(I:I,MATCH($T287,$A:$A,0)),0),INDEX(PREVIVAZ!$C261:$N261,1,MATCH(Y$27,PREVIVAZ!$C$1:$N$1,1)))</f>
        <v>#N/A</v>
      </c>
      <c r="Z287" s="202" t="e">
        <f ca="1">IFERROR(ROUND(INDEX(J:J,MATCH($T287,$A:$A,0)),0),INDEX(PREVIVAZ!$C261:$N261,1,MATCH(Z$27,PREVIVAZ!$C$1:$N$1,1)))</f>
        <v>#N/A</v>
      </c>
      <c r="AA287" s="202" t="e">
        <f ca="1">IFERROR(ROUND(INDEX(K:K,MATCH($T287,$A:$A,0)),0),INDEX(PREVIVAZ!$C261:$N261,1,MATCH(AA$27,PREVIVAZ!$C$1:$N$1,1)))</f>
        <v>#N/A</v>
      </c>
      <c r="AB287" s="202" t="e">
        <f ca="1">IFERROR(ROUND(INDEX(L:L,MATCH($T287,$A:$A,0)),0),INDEX(PREVIVAZ!$C261:$N261,1,MATCH(AB$27,PREVIVAZ!$C$1:$N$1,1)))</f>
        <v>#N/A</v>
      </c>
      <c r="AC287" s="202" t="e">
        <f ca="1">IFERROR(ROUND(INDEX(M:M,MATCH($T287,$A:$A,0)),0),INDEX(PREVIVAZ!$C261:$N261,1,MATCH(AC$27,PREVIVAZ!$C$1:$N$1,1)))</f>
        <v>#N/A</v>
      </c>
      <c r="AD287" s="202" t="e">
        <f ca="1">IFERROR(ROUND(INDEX(N:N,MATCH($T287,$A:$A,0)),0),INDEX(PREVIVAZ!$C261:$N261,1,MATCH(AD$27,PREVIVAZ!$C$1:$N$1,1)))</f>
        <v>#N/A</v>
      </c>
      <c r="AE287" s="202" t="e">
        <f ca="1">IFERROR(ROUND(INDEX(O:O,MATCH($T287,$A:$A,0)),0),INDEX(PREVIVAZ!$C261:$N261,1,MATCH(AE$27,PREVIVAZ!$C$1:$N$1,1)))</f>
        <v>#N/A</v>
      </c>
      <c r="AF287" s="202" t="e">
        <f ca="1">IFERROR(ROUND(INDEX(P:P,MATCH($T287,$A:$A,0)),0),INDEX(PREVIVAZ!$C261:$N261,1,MATCH(AF$27,PREVIVAZ!$C$1:$N$1,1)))</f>
        <v>#N/A</v>
      </c>
      <c r="AG287" s="202" t="e">
        <f ca="1">IFERROR(ROUND(INDEX(Q:Q,MATCH($T287,$A:$A,0)),0),INDEX(PREVIVAZ!$C261:$N261,1,MATCH(AG$27,PREVIVAZ!$C$1:$N$1,1)))</f>
        <v>#N/A</v>
      </c>
    </row>
    <row r="288" spans="15:33" ht="12.75" x14ac:dyDescent="0.2">
      <c r="O288"/>
      <c r="P288"/>
      <c r="Q288"/>
      <c r="R288"/>
      <c r="S288"/>
      <c r="T288" s="272">
        <v>261</v>
      </c>
      <c r="V288" s="202" t="e">
        <f ca="1">IFERROR(ROUND(INDEX(F:F,MATCH($T288,$A:$A,0)),0),INDEX(PREVIVAZ!$C262:$N262,1,MATCH(V$27,PREVIVAZ!$C$1:$N$1,1)))</f>
        <v>#N/A</v>
      </c>
      <c r="W288" s="202" t="e">
        <f ca="1">IFERROR(ROUND(INDEX(G:G,MATCH($T288,$A:$A,0)),0),INDEX(PREVIVAZ!$C262:$N262,1,MATCH(W$27,PREVIVAZ!$C$1:$N$1,1)))</f>
        <v>#N/A</v>
      </c>
      <c r="X288" s="202" t="e">
        <f ca="1">IFERROR(ROUND(INDEX(H:H,MATCH($T288,$A:$A,0)),0),INDEX(PREVIVAZ!$C262:$N262,1,MATCH(X$27,PREVIVAZ!$C$1:$N$1,1)))</f>
        <v>#N/A</v>
      </c>
      <c r="Y288" s="202" t="e">
        <f ca="1">IFERROR(ROUND(INDEX(I:I,MATCH($T288,$A:$A,0)),0),INDEX(PREVIVAZ!$C262:$N262,1,MATCH(Y$27,PREVIVAZ!$C$1:$N$1,1)))</f>
        <v>#N/A</v>
      </c>
      <c r="Z288" s="202" t="e">
        <f ca="1">IFERROR(ROUND(INDEX(J:J,MATCH($T288,$A:$A,0)),0),INDEX(PREVIVAZ!$C262:$N262,1,MATCH(Z$27,PREVIVAZ!$C$1:$N$1,1)))</f>
        <v>#N/A</v>
      </c>
      <c r="AA288" s="202" t="e">
        <f ca="1">IFERROR(ROUND(INDEX(K:K,MATCH($T288,$A:$A,0)),0),INDEX(PREVIVAZ!$C262:$N262,1,MATCH(AA$27,PREVIVAZ!$C$1:$N$1,1)))</f>
        <v>#N/A</v>
      </c>
      <c r="AB288" s="202" t="e">
        <f ca="1">IFERROR(ROUND(INDEX(L:L,MATCH($T288,$A:$A,0)),0),INDEX(PREVIVAZ!$C262:$N262,1,MATCH(AB$27,PREVIVAZ!$C$1:$N$1,1)))</f>
        <v>#N/A</v>
      </c>
      <c r="AC288" s="202" t="e">
        <f ca="1">IFERROR(ROUND(INDEX(M:M,MATCH($T288,$A:$A,0)),0),INDEX(PREVIVAZ!$C262:$N262,1,MATCH(AC$27,PREVIVAZ!$C$1:$N$1,1)))</f>
        <v>#N/A</v>
      </c>
      <c r="AD288" s="202" t="e">
        <f ca="1">IFERROR(ROUND(INDEX(N:N,MATCH($T288,$A:$A,0)),0),INDEX(PREVIVAZ!$C262:$N262,1,MATCH(AD$27,PREVIVAZ!$C$1:$N$1,1)))</f>
        <v>#N/A</v>
      </c>
      <c r="AE288" s="202" t="e">
        <f ca="1">IFERROR(ROUND(INDEX(O:O,MATCH($T288,$A:$A,0)),0),INDEX(PREVIVAZ!$C262:$N262,1,MATCH(AE$27,PREVIVAZ!$C$1:$N$1,1)))</f>
        <v>#N/A</v>
      </c>
      <c r="AF288" s="202" t="e">
        <f ca="1">IFERROR(ROUND(INDEX(P:P,MATCH($T288,$A:$A,0)),0),INDEX(PREVIVAZ!$C262:$N262,1,MATCH(AF$27,PREVIVAZ!$C$1:$N$1,1)))</f>
        <v>#N/A</v>
      </c>
      <c r="AG288" s="202" t="e">
        <f ca="1">IFERROR(ROUND(INDEX(Q:Q,MATCH($T288,$A:$A,0)),0),INDEX(PREVIVAZ!$C262:$N262,1,MATCH(AG$27,PREVIVAZ!$C$1:$N$1,1)))</f>
        <v>#N/A</v>
      </c>
    </row>
    <row r="289" spans="15:33" ht="12.75" x14ac:dyDescent="0.2">
      <c r="O289"/>
      <c r="P289"/>
      <c r="Q289"/>
      <c r="R289"/>
      <c r="S289"/>
      <c r="T289" s="272">
        <v>262</v>
      </c>
      <c r="V289" s="202" t="e">
        <f ca="1">IFERROR(ROUND(INDEX(F:F,MATCH($T289,$A:$A,0)),0),INDEX(PREVIVAZ!$C263:$N263,1,MATCH(V$27,PREVIVAZ!$C$1:$N$1,1)))</f>
        <v>#N/A</v>
      </c>
      <c r="W289" s="202" t="e">
        <f ca="1">IFERROR(ROUND(INDEX(G:G,MATCH($T289,$A:$A,0)),0),INDEX(PREVIVAZ!$C263:$N263,1,MATCH(W$27,PREVIVAZ!$C$1:$N$1,1)))</f>
        <v>#N/A</v>
      </c>
      <c r="X289" s="202" t="e">
        <f ca="1">IFERROR(ROUND(INDEX(H:H,MATCH($T289,$A:$A,0)),0),INDEX(PREVIVAZ!$C263:$N263,1,MATCH(X$27,PREVIVAZ!$C$1:$N$1,1)))</f>
        <v>#N/A</v>
      </c>
      <c r="Y289" s="202" t="e">
        <f ca="1">IFERROR(ROUND(INDEX(I:I,MATCH($T289,$A:$A,0)),0),INDEX(PREVIVAZ!$C263:$N263,1,MATCH(Y$27,PREVIVAZ!$C$1:$N$1,1)))</f>
        <v>#N/A</v>
      </c>
      <c r="Z289" s="202" t="e">
        <f ca="1">IFERROR(ROUND(INDEX(J:J,MATCH($T289,$A:$A,0)),0),INDEX(PREVIVAZ!$C263:$N263,1,MATCH(Z$27,PREVIVAZ!$C$1:$N$1,1)))</f>
        <v>#N/A</v>
      </c>
      <c r="AA289" s="202" t="e">
        <f ca="1">IFERROR(ROUND(INDEX(K:K,MATCH($T289,$A:$A,0)),0),INDEX(PREVIVAZ!$C263:$N263,1,MATCH(AA$27,PREVIVAZ!$C$1:$N$1,1)))</f>
        <v>#N/A</v>
      </c>
      <c r="AB289" s="202" t="e">
        <f ca="1">IFERROR(ROUND(INDEX(L:L,MATCH($T289,$A:$A,0)),0),INDEX(PREVIVAZ!$C263:$N263,1,MATCH(AB$27,PREVIVAZ!$C$1:$N$1,1)))</f>
        <v>#N/A</v>
      </c>
      <c r="AC289" s="202" t="e">
        <f ca="1">IFERROR(ROUND(INDEX(M:M,MATCH($T289,$A:$A,0)),0),INDEX(PREVIVAZ!$C263:$N263,1,MATCH(AC$27,PREVIVAZ!$C$1:$N$1,1)))</f>
        <v>#N/A</v>
      </c>
      <c r="AD289" s="202" t="e">
        <f ca="1">IFERROR(ROUND(INDEX(N:N,MATCH($T289,$A:$A,0)),0),INDEX(PREVIVAZ!$C263:$N263,1,MATCH(AD$27,PREVIVAZ!$C$1:$N$1,1)))</f>
        <v>#N/A</v>
      </c>
      <c r="AE289" s="202" t="e">
        <f ca="1">IFERROR(ROUND(INDEX(O:O,MATCH($T289,$A:$A,0)),0),INDEX(PREVIVAZ!$C263:$N263,1,MATCH(AE$27,PREVIVAZ!$C$1:$N$1,1)))</f>
        <v>#N/A</v>
      </c>
      <c r="AF289" s="202" t="e">
        <f ca="1">IFERROR(ROUND(INDEX(P:P,MATCH($T289,$A:$A,0)),0),INDEX(PREVIVAZ!$C263:$N263,1,MATCH(AF$27,PREVIVAZ!$C$1:$N$1,1)))</f>
        <v>#N/A</v>
      </c>
      <c r="AG289" s="202" t="e">
        <f ca="1">IFERROR(ROUND(INDEX(Q:Q,MATCH($T289,$A:$A,0)),0),INDEX(PREVIVAZ!$C263:$N263,1,MATCH(AG$27,PREVIVAZ!$C$1:$N$1,1)))</f>
        <v>#N/A</v>
      </c>
    </row>
    <row r="290" spans="15:33" ht="12.75" x14ac:dyDescent="0.2">
      <c r="O290"/>
      <c r="P290"/>
      <c r="Q290"/>
      <c r="R290"/>
      <c r="S290"/>
      <c r="T290" s="272">
        <v>263</v>
      </c>
      <c r="V290" s="202" t="e">
        <f ca="1">IFERROR(ROUND(INDEX(F:F,MATCH($T290,$A:$A,0)),0),INDEX(PREVIVAZ!$C264:$N264,1,MATCH(V$27,PREVIVAZ!$C$1:$N$1,1)))</f>
        <v>#N/A</v>
      </c>
      <c r="W290" s="202" t="e">
        <f ca="1">IFERROR(ROUND(INDEX(G:G,MATCH($T290,$A:$A,0)),0),INDEX(PREVIVAZ!$C264:$N264,1,MATCH(W$27,PREVIVAZ!$C$1:$N$1,1)))</f>
        <v>#N/A</v>
      </c>
      <c r="X290" s="202" t="e">
        <f ca="1">IFERROR(ROUND(INDEX(H:H,MATCH($T290,$A:$A,0)),0),INDEX(PREVIVAZ!$C264:$N264,1,MATCH(X$27,PREVIVAZ!$C$1:$N$1,1)))</f>
        <v>#N/A</v>
      </c>
      <c r="Y290" s="202" t="e">
        <f ca="1">IFERROR(ROUND(INDEX(I:I,MATCH($T290,$A:$A,0)),0),INDEX(PREVIVAZ!$C264:$N264,1,MATCH(Y$27,PREVIVAZ!$C$1:$N$1,1)))</f>
        <v>#N/A</v>
      </c>
      <c r="Z290" s="202" t="e">
        <f ca="1">IFERROR(ROUND(INDEX(J:J,MATCH($T290,$A:$A,0)),0),INDEX(PREVIVAZ!$C264:$N264,1,MATCH(Z$27,PREVIVAZ!$C$1:$N$1,1)))</f>
        <v>#N/A</v>
      </c>
      <c r="AA290" s="202" t="e">
        <f ca="1">IFERROR(ROUND(INDEX(K:K,MATCH($T290,$A:$A,0)),0),INDEX(PREVIVAZ!$C264:$N264,1,MATCH(AA$27,PREVIVAZ!$C$1:$N$1,1)))</f>
        <v>#N/A</v>
      </c>
      <c r="AB290" s="202" t="e">
        <f ca="1">IFERROR(ROUND(INDEX(L:L,MATCH($T290,$A:$A,0)),0),INDEX(PREVIVAZ!$C264:$N264,1,MATCH(AB$27,PREVIVAZ!$C$1:$N$1,1)))</f>
        <v>#N/A</v>
      </c>
      <c r="AC290" s="202" t="e">
        <f ca="1">IFERROR(ROUND(INDEX(M:M,MATCH($T290,$A:$A,0)),0),INDEX(PREVIVAZ!$C264:$N264,1,MATCH(AC$27,PREVIVAZ!$C$1:$N$1,1)))</f>
        <v>#N/A</v>
      </c>
      <c r="AD290" s="202" t="e">
        <f ca="1">IFERROR(ROUND(INDEX(N:N,MATCH($T290,$A:$A,0)),0),INDEX(PREVIVAZ!$C264:$N264,1,MATCH(AD$27,PREVIVAZ!$C$1:$N$1,1)))</f>
        <v>#N/A</v>
      </c>
      <c r="AE290" s="202" t="e">
        <f ca="1">IFERROR(ROUND(INDEX(O:O,MATCH($T290,$A:$A,0)),0),INDEX(PREVIVAZ!$C264:$N264,1,MATCH(AE$27,PREVIVAZ!$C$1:$N$1,1)))</f>
        <v>#N/A</v>
      </c>
      <c r="AF290" s="202" t="e">
        <f ca="1">IFERROR(ROUND(INDEX(P:P,MATCH($T290,$A:$A,0)),0),INDEX(PREVIVAZ!$C264:$N264,1,MATCH(AF$27,PREVIVAZ!$C$1:$N$1,1)))</f>
        <v>#N/A</v>
      </c>
      <c r="AG290" s="202" t="e">
        <f ca="1">IFERROR(ROUND(INDEX(Q:Q,MATCH($T290,$A:$A,0)),0),INDEX(PREVIVAZ!$C264:$N264,1,MATCH(AG$27,PREVIVAZ!$C$1:$N$1,1)))</f>
        <v>#N/A</v>
      </c>
    </row>
    <row r="291" spans="15:33" ht="12.75" x14ac:dyDescent="0.2">
      <c r="O291"/>
      <c r="P291"/>
      <c r="Q291"/>
      <c r="R291"/>
      <c r="S291"/>
      <c r="T291" s="272">
        <v>264</v>
      </c>
      <c r="V291" s="202" t="e">
        <f ca="1">IFERROR(ROUND(INDEX(F:F,MATCH($T291,$A:$A,0)),0),INDEX(PREVIVAZ!$C265:$N265,1,MATCH(V$27,PREVIVAZ!$C$1:$N$1,1)))</f>
        <v>#N/A</v>
      </c>
      <c r="W291" s="202" t="e">
        <f ca="1">IFERROR(ROUND(INDEX(G:G,MATCH($T291,$A:$A,0)),0),INDEX(PREVIVAZ!$C265:$N265,1,MATCH(W$27,PREVIVAZ!$C$1:$N$1,1)))</f>
        <v>#N/A</v>
      </c>
      <c r="X291" s="202" t="e">
        <f ca="1">IFERROR(ROUND(INDEX(H:H,MATCH($T291,$A:$A,0)),0),INDEX(PREVIVAZ!$C265:$N265,1,MATCH(X$27,PREVIVAZ!$C$1:$N$1,1)))</f>
        <v>#N/A</v>
      </c>
      <c r="Y291" s="202" t="e">
        <f ca="1">IFERROR(ROUND(INDEX(I:I,MATCH($T291,$A:$A,0)),0),INDEX(PREVIVAZ!$C265:$N265,1,MATCH(Y$27,PREVIVAZ!$C$1:$N$1,1)))</f>
        <v>#N/A</v>
      </c>
      <c r="Z291" s="202" t="e">
        <f ca="1">IFERROR(ROUND(INDEX(J:J,MATCH($T291,$A:$A,0)),0),INDEX(PREVIVAZ!$C265:$N265,1,MATCH(Z$27,PREVIVAZ!$C$1:$N$1,1)))</f>
        <v>#N/A</v>
      </c>
      <c r="AA291" s="202" t="e">
        <f ca="1">IFERROR(ROUND(INDEX(K:K,MATCH($T291,$A:$A,0)),0),INDEX(PREVIVAZ!$C265:$N265,1,MATCH(AA$27,PREVIVAZ!$C$1:$N$1,1)))</f>
        <v>#N/A</v>
      </c>
      <c r="AB291" s="202" t="e">
        <f ca="1">IFERROR(ROUND(INDEX(L:L,MATCH($T291,$A:$A,0)),0),INDEX(PREVIVAZ!$C265:$N265,1,MATCH(AB$27,PREVIVAZ!$C$1:$N$1,1)))</f>
        <v>#N/A</v>
      </c>
      <c r="AC291" s="202" t="e">
        <f ca="1">IFERROR(ROUND(INDEX(M:M,MATCH($T291,$A:$A,0)),0),INDEX(PREVIVAZ!$C265:$N265,1,MATCH(AC$27,PREVIVAZ!$C$1:$N$1,1)))</f>
        <v>#N/A</v>
      </c>
      <c r="AD291" s="202" t="e">
        <f ca="1">IFERROR(ROUND(INDEX(N:N,MATCH($T291,$A:$A,0)),0),INDEX(PREVIVAZ!$C265:$N265,1,MATCH(AD$27,PREVIVAZ!$C$1:$N$1,1)))</f>
        <v>#N/A</v>
      </c>
      <c r="AE291" s="202" t="e">
        <f ca="1">IFERROR(ROUND(INDEX(O:O,MATCH($T291,$A:$A,0)),0),INDEX(PREVIVAZ!$C265:$N265,1,MATCH(AE$27,PREVIVAZ!$C$1:$N$1,1)))</f>
        <v>#N/A</v>
      </c>
      <c r="AF291" s="202" t="e">
        <f ca="1">IFERROR(ROUND(INDEX(P:P,MATCH($T291,$A:$A,0)),0),INDEX(PREVIVAZ!$C265:$N265,1,MATCH(AF$27,PREVIVAZ!$C$1:$N$1,1)))</f>
        <v>#N/A</v>
      </c>
      <c r="AG291" s="202" t="e">
        <f ca="1">IFERROR(ROUND(INDEX(Q:Q,MATCH($T291,$A:$A,0)),0),INDEX(PREVIVAZ!$C265:$N265,1,MATCH(AG$27,PREVIVAZ!$C$1:$N$1,1)))</f>
        <v>#N/A</v>
      </c>
    </row>
    <row r="292" spans="15:33" ht="12.75" x14ac:dyDescent="0.2">
      <c r="O292"/>
      <c r="P292"/>
      <c r="Q292"/>
      <c r="R292"/>
      <c r="S292"/>
      <c r="T292" s="272">
        <v>265</v>
      </c>
      <c r="V292" s="202" t="e">
        <f ca="1">IFERROR(ROUND(INDEX(F:F,MATCH($T292,$A:$A,0)),0),INDEX(PREVIVAZ!$C266:$N266,1,MATCH(V$27,PREVIVAZ!$C$1:$N$1,1)))</f>
        <v>#N/A</v>
      </c>
      <c r="W292" s="202" t="e">
        <f ca="1">IFERROR(ROUND(INDEX(G:G,MATCH($T292,$A:$A,0)),0),INDEX(PREVIVAZ!$C266:$N266,1,MATCH(W$27,PREVIVAZ!$C$1:$N$1,1)))</f>
        <v>#N/A</v>
      </c>
      <c r="X292" s="202" t="e">
        <f ca="1">IFERROR(ROUND(INDEX(H:H,MATCH($T292,$A:$A,0)),0),INDEX(PREVIVAZ!$C266:$N266,1,MATCH(X$27,PREVIVAZ!$C$1:$N$1,1)))</f>
        <v>#N/A</v>
      </c>
      <c r="Y292" s="202" t="e">
        <f ca="1">IFERROR(ROUND(INDEX(I:I,MATCH($T292,$A:$A,0)),0),INDEX(PREVIVAZ!$C266:$N266,1,MATCH(Y$27,PREVIVAZ!$C$1:$N$1,1)))</f>
        <v>#N/A</v>
      </c>
      <c r="Z292" s="202" t="e">
        <f ca="1">IFERROR(ROUND(INDEX(J:J,MATCH($T292,$A:$A,0)),0),INDEX(PREVIVAZ!$C266:$N266,1,MATCH(Z$27,PREVIVAZ!$C$1:$N$1,1)))</f>
        <v>#N/A</v>
      </c>
      <c r="AA292" s="202" t="e">
        <f ca="1">IFERROR(ROUND(INDEX(K:K,MATCH($T292,$A:$A,0)),0),INDEX(PREVIVAZ!$C266:$N266,1,MATCH(AA$27,PREVIVAZ!$C$1:$N$1,1)))</f>
        <v>#N/A</v>
      </c>
      <c r="AB292" s="202" t="e">
        <f ca="1">IFERROR(ROUND(INDEX(L:L,MATCH($T292,$A:$A,0)),0),INDEX(PREVIVAZ!$C266:$N266,1,MATCH(AB$27,PREVIVAZ!$C$1:$N$1,1)))</f>
        <v>#N/A</v>
      </c>
      <c r="AC292" s="202" t="e">
        <f ca="1">IFERROR(ROUND(INDEX(M:M,MATCH($T292,$A:$A,0)),0),INDEX(PREVIVAZ!$C266:$N266,1,MATCH(AC$27,PREVIVAZ!$C$1:$N$1,1)))</f>
        <v>#N/A</v>
      </c>
      <c r="AD292" s="202" t="e">
        <f ca="1">IFERROR(ROUND(INDEX(N:N,MATCH($T292,$A:$A,0)),0),INDEX(PREVIVAZ!$C266:$N266,1,MATCH(AD$27,PREVIVAZ!$C$1:$N$1,1)))</f>
        <v>#N/A</v>
      </c>
      <c r="AE292" s="202" t="e">
        <f ca="1">IFERROR(ROUND(INDEX(O:O,MATCH($T292,$A:$A,0)),0),INDEX(PREVIVAZ!$C266:$N266,1,MATCH(AE$27,PREVIVAZ!$C$1:$N$1,1)))</f>
        <v>#N/A</v>
      </c>
      <c r="AF292" s="202" t="e">
        <f ca="1">IFERROR(ROUND(INDEX(P:P,MATCH($T292,$A:$A,0)),0),INDEX(PREVIVAZ!$C266:$N266,1,MATCH(AF$27,PREVIVAZ!$C$1:$N$1,1)))</f>
        <v>#N/A</v>
      </c>
      <c r="AG292" s="202" t="e">
        <f ca="1">IFERROR(ROUND(INDEX(Q:Q,MATCH($T292,$A:$A,0)),0),INDEX(PREVIVAZ!$C266:$N266,1,MATCH(AG$27,PREVIVAZ!$C$1:$N$1,1)))</f>
        <v>#N/A</v>
      </c>
    </row>
    <row r="293" spans="15:33" ht="12.75" x14ac:dyDescent="0.2">
      <c r="O293"/>
      <c r="P293"/>
      <c r="Q293"/>
      <c r="R293"/>
      <c r="S293"/>
      <c r="T293" s="272">
        <v>266</v>
      </c>
      <c r="V293" s="311" t="e">
        <f ca="1">IFERROR(ROUND(INDEX(F:F,MATCH($T293,$A:$A,0)),0),INDEX(PREVIVAZ!$C267:$N267,1,MATCH(V$27,PREVIVAZ!$C$1:$N$1,1)))</f>
        <v>#N/A</v>
      </c>
      <c r="W293" s="311" t="e">
        <f ca="1">IFERROR(ROUND(INDEX(G:G,MATCH($T293,$A:$A,0)),0),INDEX(PREVIVAZ!$C267:$N267,1,MATCH(W$27,PREVIVAZ!$C$1:$N$1,1)))</f>
        <v>#N/A</v>
      </c>
      <c r="X293" s="311" t="e">
        <f ca="1">IFERROR(ROUND(INDEX(H:H,MATCH($T293,$A:$A,0)),0),INDEX(PREVIVAZ!$C267:$N267,1,MATCH(X$27,PREVIVAZ!$C$1:$N$1,1)))</f>
        <v>#N/A</v>
      </c>
      <c r="Y293" s="311">
        <f ca="1">IFERROR(ROUND(INDEX(I:I,MATCH($T293,$A:$A,0)),0),(V273+W273)/2+(V90+W90)/2+Y193)</f>
        <v>6153.5</v>
      </c>
      <c r="Z293" s="311" t="e">
        <f t="shared" ref="Z293:AG293" ca="1" si="34">IFERROR(ROUND(INDEX(J:J,MATCH($T293,$A:$A,0)),0),(W273+X273)/2+(W90+X90)/2+Z193)</f>
        <v>#N/A</v>
      </c>
      <c r="AA293" s="311" t="e">
        <f t="shared" ca="1" si="34"/>
        <v>#N/A</v>
      </c>
      <c r="AB293" s="311" t="e">
        <f t="shared" ca="1" si="34"/>
        <v>#N/A</v>
      </c>
      <c r="AC293" s="311" t="e">
        <f t="shared" ca="1" si="34"/>
        <v>#N/A</v>
      </c>
      <c r="AD293" s="311" t="e">
        <f t="shared" ca="1" si="34"/>
        <v>#N/A</v>
      </c>
      <c r="AE293" s="311" t="e">
        <f t="shared" ca="1" si="34"/>
        <v>#N/A</v>
      </c>
      <c r="AF293" s="311" t="e">
        <f t="shared" ca="1" si="34"/>
        <v>#N/A</v>
      </c>
      <c r="AG293" s="311" t="e">
        <f t="shared" ca="1" si="34"/>
        <v>#N/A</v>
      </c>
    </row>
    <row r="294" spans="15:33" ht="12.75" x14ac:dyDescent="0.2">
      <c r="O294"/>
      <c r="P294"/>
      <c r="Q294"/>
      <c r="R294"/>
      <c r="S294"/>
      <c r="T294" s="272">
        <v>267</v>
      </c>
      <c r="V294" s="202" t="e">
        <f ca="1">IFERROR(ROUND(INDEX(F:F,MATCH($T294,$A:$A,0)),0),INDEX(PREVIVAZ!$C268:$N268,1,MATCH(V$27,PREVIVAZ!$C$1:$N$1,1)))</f>
        <v>#N/A</v>
      </c>
      <c r="W294" s="202" t="e">
        <f ca="1">IFERROR(ROUND(INDEX(G:G,MATCH($T294,$A:$A,0)),0),INDEX(PREVIVAZ!$C268:$N268,1,MATCH(W$27,PREVIVAZ!$C$1:$N$1,1)))</f>
        <v>#N/A</v>
      </c>
      <c r="X294" s="202" t="e">
        <f ca="1">IFERROR(ROUND(INDEX(H:H,MATCH($T294,$A:$A,0)),0),INDEX(PREVIVAZ!$C268:$N268,1,MATCH(X$27,PREVIVAZ!$C$1:$N$1,1)))</f>
        <v>#N/A</v>
      </c>
      <c r="Y294" s="202" t="e">
        <f ca="1">IFERROR(ROUND(INDEX(I:I,MATCH($T294,$A:$A,0)),0),INDEX(PREVIVAZ!$C268:$N268,1,MATCH(Y$27,PREVIVAZ!$C$1:$N$1,1)))</f>
        <v>#N/A</v>
      </c>
      <c r="Z294" s="202" t="e">
        <f ca="1">IFERROR(ROUND(INDEX(J:J,MATCH($T294,$A:$A,0)),0),INDEX(PREVIVAZ!$C268:$N268,1,MATCH(Z$27,PREVIVAZ!$C$1:$N$1,1)))</f>
        <v>#N/A</v>
      </c>
      <c r="AA294" s="202" t="e">
        <f ca="1">IFERROR(ROUND(INDEX(K:K,MATCH($T294,$A:$A,0)),0),INDEX(PREVIVAZ!$C268:$N268,1,MATCH(AA$27,PREVIVAZ!$C$1:$N$1,1)))</f>
        <v>#N/A</v>
      </c>
      <c r="AB294" s="202" t="e">
        <f ca="1">IFERROR(ROUND(INDEX(L:L,MATCH($T294,$A:$A,0)),0),INDEX(PREVIVAZ!$C268:$N268,1,MATCH(AB$27,PREVIVAZ!$C$1:$N$1,1)))</f>
        <v>#N/A</v>
      </c>
      <c r="AC294" s="202" t="e">
        <f ca="1">IFERROR(ROUND(INDEX(M:M,MATCH($T294,$A:$A,0)),0),INDEX(PREVIVAZ!$C268:$N268,1,MATCH(AC$27,PREVIVAZ!$C$1:$N$1,1)))</f>
        <v>#N/A</v>
      </c>
      <c r="AD294" s="202" t="e">
        <f ca="1">IFERROR(ROUND(INDEX(N:N,MATCH($T294,$A:$A,0)),0),INDEX(PREVIVAZ!$C268:$N268,1,MATCH(AD$27,PREVIVAZ!$C$1:$N$1,1)))</f>
        <v>#N/A</v>
      </c>
      <c r="AE294" s="202" t="e">
        <f ca="1">IFERROR(ROUND(INDEX(O:O,MATCH($T294,$A:$A,0)),0),INDEX(PREVIVAZ!$C268:$N268,1,MATCH(AE$27,PREVIVAZ!$C$1:$N$1,1)))</f>
        <v>#N/A</v>
      </c>
      <c r="AF294" s="202" t="e">
        <f ca="1">IFERROR(ROUND(INDEX(P:P,MATCH($T294,$A:$A,0)),0),INDEX(PREVIVAZ!$C268:$N268,1,MATCH(AF$27,PREVIVAZ!$C$1:$N$1,1)))</f>
        <v>#N/A</v>
      </c>
      <c r="AG294" s="202" t="e">
        <f ca="1">IFERROR(ROUND(INDEX(Q:Q,MATCH($T294,$A:$A,0)),0),INDEX(PREVIVAZ!$C268:$N268,1,MATCH(AG$27,PREVIVAZ!$C$1:$N$1,1)))</f>
        <v>#N/A</v>
      </c>
    </row>
    <row r="295" spans="15:33" ht="12.75" x14ac:dyDescent="0.2">
      <c r="O295"/>
      <c r="P295"/>
      <c r="Q295"/>
      <c r="R295"/>
      <c r="S295"/>
      <c r="T295" s="272">
        <v>268</v>
      </c>
      <c r="V295" s="202" t="e">
        <f ca="1">IFERROR(ROUND(INDEX(F:F,MATCH($T295,$A:$A,0)),0),INDEX(PREVIVAZ!$C269:$N269,1,MATCH(V$27,PREVIVAZ!$C$1:$N$1,1)))</f>
        <v>#N/A</v>
      </c>
      <c r="W295" s="202" t="e">
        <f ca="1">IFERROR(ROUND(INDEX(G:G,MATCH($T295,$A:$A,0)),0),INDEX(PREVIVAZ!$C269:$N269,1,MATCH(W$27,PREVIVAZ!$C$1:$N$1,1)))</f>
        <v>#N/A</v>
      </c>
      <c r="X295" s="202" t="e">
        <f ca="1">IFERROR(ROUND(INDEX(H:H,MATCH($T295,$A:$A,0)),0),INDEX(PREVIVAZ!$C269:$N269,1,MATCH(X$27,PREVIVAZ!$C$1:$N$1,1)))</f>
        <v>#N/A</v>
      </c>
      <c r="Y295" s="202" t="e">
        <f ca="1">IFERROR(ROUND(INDEX(I:I,MATCH($T295,$A:$A,0)),0),INDEX(PREVIVAZ!$C269:$N269,1,MATCH(Y$27,PREVIVAZ!$C$1:$N$1,1)))</f>
        <v>#N/A</v>
      </c>
      <c r="Z295" s="202" t="e">
        <f ca="1">IFERROR(ROUND(INDEX(J:J,MATCH($T295,$A:$A,0)),0),INDEX(PREVIVAZ!$C269:$N269,1,MATCH(Z$27,PREVIVAZ!$C$1:$N$1,1)))</f>
        <v>#N/A</v>
      </c>
      <c r="AA295" s="202" t="e">
        <f ca="1">IFERROR(ROUND(INDEX(K:K,MATCH($T295,$A:$A,0)),0),INDEX(PREVIVAZ!$C269:$N269,1,MATCH(AA$27,PREVIVAZ!$C$1:$N$1,1)))</f>
        <v>#N/A</v>
      </c>
      <c r="AB295" s="202" t="e">
        <f ca="1">IFERROR(ROUND(INDEX(L:L,MATCH($T295,$A:$A,0)),0),INDEX(PREVIVAZ!$C269:$N269,1,MATCH(AB$27,PREVIVAZ!$C$1:$N$1,1)))</f>
        <v>#N/A</v>
      </c>
      <c r="AC295" s="202" t="e">
        <f ca="1">IFERROR(ROUND(INDEX(M:M,MATCH($T295,$A:$A,0)),0),INDEX(PREVIVAZ!$C269:$N269,1,MATCH(AC$27,PREVIVAZ!$C$1:$N$1,1)))</f>
        <v>#N/A</v>
      </c>
      <c r="AD295" s="202" t="e">
        <f ca="1">IFERROR(ROUND(INDEX(N:N,MATCH($T295,$A:$A,0)),0),INDEX(PREVIVAZ!$C269:$N269,1,MATCH(AD$27,PREVIVAZ!$C$1:$N$1,1)))</f>
        <v>#N/A</v>
      </c>
      <c r="AE295" s="202" t="e">
        <f ca="1">IFERROR(ROUND(INDEX(O:O,MATCH($T295,$A:$A,0)),0),INDEX(PREVIVAZ!$C269:$N269,1,MATCH(AE$27,PREVIVAZ!$C$1:$N$1,1)))</f>
        <v>#N/A</v>
      </c>
      <c r="AF295" s="202" t="e">
        <f ca="1">IFERROR(ROUND(INDEX(P:P,MATCH($T295,$A:$A,0)),0),INDEX(PREVIVAZ!$C269:$N269,1,MATCH(AF$27,PREVIVAZ!$C$1:$N$1,1)))</f>
        <v>#N/A</v>
      </c>
      <c r="AG295" s="202" t="e">
        <f ca="1">IFERROR(ROUND(INDEX(Q:Q,MATCH($T295,$A:$A,0)),0),INDEX(PREVIVAZ!$C269:$N269,1,MATCH(AG$27,PREVIVAZ!$C$1:$N$1,1)))</f>
        <v>#N/A</v>
      </c>
    </row>
    <row r="296" spans="15:33" ht="12.75" x14ac:dyDescent="0.2">
      <c r="O296"/>
      <c r="P296"/>
      <c r="Q296"/>
      <c r="R296"/>
      <c r="S296"/>
      <c r="T296" s="272">
        <v>269</v>
      </c>
      <c r="V296" s="202" t="e">
        <f ca="1">IFERROR(ROUND(INDEX(F:F,MATCH($T296,$A:$A,0)),0),INDEX(PREVIVAZ!$C270:$N270,1,MATCH(V$27,PREVIVAZ!$C$1:$N$1,1)))</f>
        <v>#N/A</v>
      </c>
      <c r="W296" s="202" t="e">
        <f ca="1">IFERROR(ROUND(INDEX(G:G,MATCH($T296,$A:$A,0)),0),INDEX(PREVIVAZ!$C270:$N270,1,MATCH(W$27,PREVIVAZ!$C$1:$N$1,1)))</f>
        <v>#N/A</v>
      </c>
      <c r="X296" s="202" t="e">
        <f ca="1">IFERROR(ROUND(INDEX(H:H,MATCH($T296,$A:$A,0)),0),INDEX(PREVIVAZ!$C270:$N270,1,MATCH(X$27,PREVIVAZ!$C$1:$N$1,1)))</f>
        <v>#N/A</v>
      </c>
      <c r="Y296" s="202" t="e">
        <f ca="1">IFERROR(ROUND(INDEX(I:I,MATCH($T296,$A:$A,0)),0),INDEX(PREVIVAZ!$C270:$N270,1,MATCH(Y$27,PREVIVAZ!$C$1:$N$1,1)))</f>
        <v>#N/A</v>
      </c>
      <c r="Z296" s="202" t="e">
        <f ca="1">IFERROR(ROUND(INDEX(J:J,MATCH($T296,$A:$A,0)),0),INDEX(PREVIVAZ!$C270:$N270,1,MATCH(Z$27,PREVIVAZ!$C$1:$N$1,1)))</f>
        <v>#N/A</v>
      </c>
      <c r="AA296" s="202" t="e">
        <f ca="1">IFERROR(ROUND(INDEX(K:K,MATCH($T296,$A:$A,0)),0),INDEX(PREVIVAZ!$C270:$N270,1,MATCH(AA$27,PREVIVAZ!$C$1:$N$1,1)))</f>
        <v>#N/A</v>
      </c>
      <c r="AB296" s="202" t="e">
        <f ca="1">IFERROR(ROUND(INDEX(L:L,MATCH($T296,$A:$A,0)),0),INDEX(PREVIVAZ!$C270:$N270,1,MATCH(AB$27,PREVIVAZ!$C$1:$N$1,1)))</f>
        <v>#N/A</v>
      </c>
      <c r="AC296" s="202" t="e">
        <f ca="1">IFERROR(ROUND(INDEX(M:M,MATCH($T296,$A:$A,0)),0),INDEX(PREVIVAZ!$C270:$N270,1,MATCH(AC$27,PREVIVAZ!$C$1:$N$1,1)))</f>
        <v>#N/A</v>
      </c>
      <c r="AD296" s="202" t="e">
        <f ca="1">IFERROR(ROUND(INDEX(N:N,MATCH($T296,$A:$A,0)),0),INDEX(PREVIVAZ!$C270:$N270,1,MATCH(AD$27,PREVIVAZ!$C$1:$N$1,1)))</f>
        <v>#N/A</v>
      </c>
      <c r="AE296" s="202" t="e">
        <f ca="1">IFERROR(ROUND(INDEX(O:O,MATCH($T296,$A:$A,0)),0),INDEX(PREVIVAZ!$C270:$N270,1,MATCH(AE$27,PREVIVAZ!$C$1:$N$1,1)))</f>
        <v>#N/A</v>
      </c>
      <c r="AF296" s="202" t="e">
        <f ca="1">IFERROR(ROUND(INDEX(P:P,MATCH($T296,$A:$A,0)),0),INDEX(PREVIVAZ!$C270:$N270,1,MATCH(AF$27,PREVIVAZ!$C$1:$N$1,1)))</f>
        <v>#N/A</v>
      </c>
      <c r="AG296" s="202" t="e">
        <f ca="1">IFERROR(ROUND(INDEX(Q:Q,MATCH($T296,$A:$A,0)),0),INDEX(PREVIVAZ!$C270:$N270,1,MATCH(AG$27,PREVIVAZ!$C$1:$N$1,1)))</f>
        <v>#N/A</v>
      </c>
    </row>
    <row r="297" spans="15:33" ht="12.75" x14ac:dyDescent="0.2">
      <c r="O297"/>
      <c r="P297"/>
      <c r="Q297"/>
      <c r="R297"/>
      <c r="S297"/>
      <c r="T297" s="272">
        <v>270</v>
      </c>
      <c r="V297" s="202">
        <f ca="1">IFERROR(ROUND(INDEX(F:F,MATCH($T297,$A:$A,0)),0),INDEX(PREVIVAZ!$C271:$N271,1,MATCH(V$27,PREVIVAZ!$C$1:$N$1,1)))</f>
        <v>0</v>
      </c>
      <c r="W297" s="202">
        <f ca="1">IFERROR(ROUND(INDEX(G:G,MATCH($T297,$A:$A,0)),0),INDEX(PREVIVAZ!$C271:$N271,1,MATCH(W$27,PREVIVAZ!$C$1:$N$1,1)))</f>
        <v>0</v>
      </c>
      <c r="X297" s="202">
        <f ca="1">IFERROR(ROUND(INDEX(H:H,MATCH($T297,$A:$A,0)),0),INDEX(PREVIVAZ!$C271:$N271,1,MATCH(X$27,PREVIVAZ!$C$1:$N$1,1)))</f>
        <v>0</v>
      </c>
      <c r="Y297" s="202">
        <f ca="1">IFERROR(ROUND(INDEX(I:I,MATCH($T297,$A:$A,0)),0),INDEX(PREVIVAZ!$C271:$N271,1,MATCH(Y$27,PREVIVAZ!$C$1:$N$1,1)))</f>
        <v>0</v>
      </c>
      <c r="Z297" s="202">
        <f ca="1">IFERROR(ROUND(INDEX(J:J,MATCH($T297,$A:$A,0)),0),INDEX(PREVIVAZ!$C271:$N271,1,MATCH(Z$27,PREVIVAZ!$C$1:$N$1,1)))</f>
        <v>0</v>
      </c>
      <c r="AA297" s="202">
        <f ca="1">IFERROR(ROUND(INDEX(K:K,MATCH($T297,$A:$A,0)),0),INDEX(PREVIVAZ!$C271:$N271,1,MATCH(AA$27,PREVIVAZ!$C$1:$N$1,1)))</f>
        <v>0</v>
      </c>
      <c r="AB297" s="202">
        <f ca="1">IFERROR(ROUND(INDEX(L:L,MATCH($T297,$A:$A,0)),0),INDEX(PREVIVAZ!$C271:$N271,1,MATCH(AB$27,PREVIVAZ!$C$1:$N$1,1)))</f>
        <v>0</v>
      </c>
      <c r="AC297" s="202">
        <f ca="1">IFERROR(ROUND(INDEX(M:M,MATCH($T297,$A:$A,0)),0),INDEX(PREVIVAZ!$C271:$N271,1,MATCH(AC$27,PREVIVAZ!$C$1:$N$1,1)))</f>
        <v>0</v>
      </c>
      <c r="AD297" s="202">
        <f ca="1">IFERROR(ROUND(INDEX(N:N,MATCH($T297,$A:$A,0)),0),INDEX(PREVIVAZ!$C271:$N271,1,MATCH(AD$27,PREVIVAZ!$C$1:$N$1,1)))</f>
        <v>0</v>
      </c>
      <c r="AE297" s="202">
        <f ca="1">IFERROR(ROUND(INDEX(O:O,MATCH($T297,$A:$A,0)),0),INDEX(PREVIVAZ!$C271:$N271,1,MATCH(AE$27,PREVIVAZ!$C$1:$N$1,1)))</f>
        <v>0</v>
      </c>
      <c r="AF297" s="202">
        <f ca="1">IFERROR(ROUND(INDEX(P:P,MATCH($T297,$A:$A,0)),0),INDEX(PREVIVAZ!$C271:$N271,1,MATCH(AF$27,PREVIVAZ!$C$1:$N$1,1)))</f>
        <v>0</v>
      </c>
      <c r="AG297" s="202">
        <f ca="1">IFERROR(ROUND(INDEX(Q:Q,MATCH($T297,$A:$A,0)),0),INDEX(PREVIVAZ!$C271:$N271,1,MATCH(AG$27,PREVIVAZ!$C$1:$N$1,1)))</f>
        <v>0</v>
      </c>
    </row>
    <row r="298" spans="15:33" ht="12.75" x14ac:dyDescent="0.2">
      <c r="O298"/>
      <c r="P298"/>
      <c r="Q298"/>
      <c r="R298"/>
      <c r="S298"/>
      <c r="T298" s="272">
        <v>271</v>
      </c>
      <c r="V298" s="202" t="e">
        <f ca="1">IFERROR(ROUND(INDEX(F:F,MATCH($T298,$A:$A,0)),0),INDEX(PREVIVAZ!$C272:$N272,1,MATCH(V$27,PREVIVAZ!$C$1:$N$1,1)))</f>
        <v>#N/A</v>
      </c>
      <c r="W298" s="202" t="e">
        <f ca="1">IFERROR(ROUND(INDEX(G:G,MATCH($T298,$A:$A,0)),0),INDEX(PREVIVAZ!$C272:$N272,1,MATCH(W$27,PREVIVAZ!$C$1:$N$1,1)))</f>
        <v>#N/A</v>
      </c>
      <c r="X298" s="202" t="e">
        <f ca="1">IFERROR(ROUND(INDEX(H:H,MATCH($T298,$A:$A,0)),0),INDEX(PREVIVAZ!$C272:$N272,1,MATCH(X$27,PREVIVAZ!$C$1:$N$1,1)))</f>
        <v>#N/A</v>
      </c>
      <c r="Y298" s="202" t="e">
        <f ca="1">IFERROR(ROUND(INDEX(I:I,MATCH($T298,$A:$A,0)),0),INDEX(PREVIVAZ!$C272:$N272,1,MATCH(Y$27,PREVIVAZ!$C$1:$N$1,1)))</f>
        <v>#N/A</v>
      </c>
      <c r="Z298" s="202" t="e">
        <f ca="1">IFERROR(ROUND(INDEX(J:J,MATCH($T298,$A:$A,0)),0),INDEX(PREVIVAZ!$C272:$N272,1,MATCH(Z$27,PREVIVAZ!$C$1:$N$1,1)))</f>
        <v>#N/A</v>
      </c>
      <c r="AA298" s="202" t="e">
        <f ca="1">IFERROR(ROUND(INDEX(K:K,MATCH($T298,$A:$A,0)),0),INDEX(PREVIVAZ!$C272:$N272,1,MATCH(AA$27,PREVIVAZ!$C$1:$N$1,1)))</f>
        <v>#N/A</v>
      </c>
      <c r="AB298" s="202" t="e">
        <f ca="1">IFERROR(ROUND(INDEX(L:L,MATCH($T298,$A:$A,0)),0),INDEX(PREVIVAZ!$C272:$N272,1,MATCH(AB$27,PREVIVAZ!$C$1:$N$1,1)))</f>
        <v>#N/A</v>
      </c>
      <c r="AC298" s="202" t="e">
        <f ca="1">IFERROR(ROUND(INDEX(M:M,MATCH($T298,$A:$A,0)),0),INDEX(PREVIVAZ!$C272:$N272,1,MATCH(AC$27,PREVIVAZ!$C$1:$N$1,1)))</f>
        <v>#N/A</v>
      </c>
      <c r="AD298" s="202" t="e">
        <f ca="1">IFERROR(ROUND(INDEX(N:N,MATCH($T298,$A:$A,0)),0),INDEX(PREVIVAZ!$C272:$N272,1,MATCH(AD$27,PREVIVAZ!$C$1:$N$1,1)))</f>
        <v>#N/A</v>
      </c>
      <c r="AE298" s="202" t="e">
        <f ca="1">IFERROR(ROUND(INDEX(O:O,MATCH($T298,$A:$A,0)),0),INDEX(PREVIVAZ!$C272:$N272,1,MATCH(AE$27,PREVIVAZ!$C$1:$N$1,1)))</f>
        <v>#N/A</v>
      </c>
      <c r="AF298" s="202" t="e">
        <f ca="1">IFERROR(ROUND(INDEX(P:P,MATCH($T298,$A:$A,0)),0),INDEX(PREVIVAZ!$C272:$N272,1,MATCH(AF$27,PREVIVAZ!$C$1:$N$1,1)))</f>
        <v>#N/A</v>
      </c>
      <c r="AG298" s="202" t="e">
        <f ca="1">IFERROR(ROUND(INDEX(Q:Q,MATCH($T298,$A:$A,0)),0),INDEX(PREVIVAZ!$C272:$N272,1,MATCH(AG$27,PREVIVAZ!$C$1:$N$1,1)))</f>
        <v>#N/A</v>
      </c>
    </row>
    <row r="299" spans="15:33" ht="12.75" x14ac:dyDescent="0.2">
      <c r="O299"/>
      <c r="P299"/>
      <c r="Q299"/>
      <c r="R299"/>
      <c r="S299"/>
      <c r="T299" s="272">
        <v>272</v>
      </c>
      <c r="V299" s="202" t="e">
        <f ca="1">IFERROR(ROUND(INDEX(F:F,MATCH($T299,$A:$A,0)),0),INDEX(PREVIVAZ!$C273:$N273,1,MATCH(V$27,PREVIVAZ!$C$1:$N$1,1)))</f>
        <v>#N/A</v>
      </c>
      <c r="W299" s="202" t="e">
        <f ca="1">IFERROR(ROUND(INDEX(G:G,MATCH($T299,$A:$A,0)),0),INDEX(PREVIVAZ!$C273:$N273,1,MATCH(W$27,PREVIVAZ!$C$1:$N$1,1)))</f>
        <v>#N/A</v>
      </c>
      <c r="X299" s="202" t="e">
        <f ca="1">IFERROR(ROUND(INDEX(H:H,MATCH($T299,$A:$A,0)),0),INDEX(PREVIVAZ!$C273:$N273,1,MATCH(X$27,PREVIVAZ!$C$1:$N$1,1)))</f>
        <v>#N/A</v>
      </c>
      <c r="Y299" s="202" t="e">
        <f ca="1">IFERROR(ROUND(INDEX(I:I,MATCH($T299,$A:$A,0)),0),INDEX(PREVIVAZ!$C273:$N273,1,MATCH(Y$27,PREVIVAZ!$C$1:$N$1,1)))</f>
        <v>#N/A</v>
      </c>
      <c r="Z299" s="202" t="e">
        <f ca="1">IFERROR(ROUND(INDEX(J:J,MATCH($T299,$A:$A,0)),0),INDEX(PREVIVAZ!$C273:$N273,1,MATCH(Z$27,PREVIVAZ!$C$1:$N$1,1)))</f>
        <v>#N/A</v>
      </c>
      <c r="AA299" s="202" t="e">
        <f ca="1">IFERROR(ROUND(INDEX(K:K,MATCH($T299,$A:$A,0)),0),INDEX(PREVIVAZ!$C273:$N273,1,MATCH(AA$27,PREVIVAZ!$C$1:$N$1,1)))</f>
        <v>#N/A</v>
      </c>
      <c r="AB299" s="202" t="e">
        <f ca="1">IFERROR(ROUND(INDEX(L:L,MATCH($T299,$A:$A,0)),0),INDEX(PREVIVAZ!$C273:$N273,1,MATCH(AB$27,PREVIVAZ!$C$1:$N$1,1)))</f>
        <v>#N/A</v>
      </c>
      <c r="AC299" s="202" t="e">
        <f ca="1">IFERROR(ROUND(INDEX(M:M,MATCH($T299,$A:$A,0)),0),INDEX(PREVIVAZ!$C273:$N273,1,MATCH(AC$27,PREVIVAZ!$C$1:$N$1,1)))</f>
        <v>#N/A</v>
      </c>
      <c r="AD299" s="202" t="e">
        <f ca="1">IFERROR(ROUND(INDEX(N:N,MATCH($T299,$A:$A,0)),0),INDEX(PREVIVAZ!$C273:$N273,1,MATCH(AD$27,PREVIVAZ!$C$1:$N$1,1)))</f>
        <v>#N/A</v>
      </c>
      <c r="AE299" s="202" t="e">
        <f ca="1">IFERROR(ROUND(INDEX(O:O,MATCH($T299,$A:$A,0)),0),INDEX(PREVIVAZ!$C273:$N273,1,MATCH(AE$27,PREVIVAZ!$C$1:$N$1,1)))</f>
        <v>#N/A</v>
      </c>
      <c r="AF299" s="202" t="e">
        <f ca="1">IFERROR(ROUND(INDEX(P:P,MATCH($T299,$A:$A,0)),0),INDEX(PREVIVAZ!$C273:$N273,1,MATCH(AF$27,PREVIVAZ!$C$1:$N$1,1)))</f>
        <v>#N/A</v>
      </c>
      <c r="AG299" s="202" t="e">
        <f ca="1">IFERROR(ROUND(INDEX(Q:Q,MATCH($T299,$A:$A,0)),0),INDEX(PREVIVAZ!$C273:$N273,1,MATCH(AG$27,PREVIVAZ!$C$1:$N$1,1)))</f>
        <v>#N/A</v>
      </c>
    </row>
    <row r="300" spans="15:33" ht="12.75" x14ac:dyDescent="0.2">
      <c r="O300"/>
      <c r="P300"/>
      <c r="Q300"/>
      <c r="R300"/>
      <c r="S300"/>
      <c r="T300" s="272">
        <v>273</v>
      </c>
      <c r="V300" s="202" t="e">
        <f ca="1">IFERROR(ROUND(INDEX(F:F,MATCH($T300,$A:$A,0)),0),INDEX(PREVIVAZ!$C274:$N274,1,MATCH(V$27,PREVIVAZ!$C$1:$N$1,1)))</f>
        <v>#N/A</v>
      </c>
      <c r="W300" s="202" t="e">
        <f ca="1">IFERROR(ROUND(INDEX(G:G,MATCH($T300,$A:$A,0)),0),INDEX(PREVIVAZ!$C274:$N274,1,MATCH(W$27,PREVIVAZ!$C$1:$N$1,1)))</f>
        <v>#N/A</v>
      </c>
      <c r="X300" s="202" t="e">
        <f ca="1">IFERROR(ROUND(INDEX(H:H,MATCH($T300,$A:$A,0)),0),INDEX(PREVIVAZ!$C274:$N274,1,MATCH(X$27,PREVIVAZ!$C$1:$N$1,1)))</f>
        <v>#N/A</v>
      </c>
      <c r="Y300" s="202" t="e">
        <f ca="1">IFERROR(ROUND(INDEX(I:I,MATCH($T300,$A:$A,0)),0),INDEX(PREVIVAZ!$C274:$N274,1,MATCH(Y$27,PREVIVAZ!$C$1:$N$1,1)))</f>
        <v>#N/A</v>
      </c>
      <c r="Z300" s="202" t="e">
        <f ca="1">IFERROR(ROUND(INDEX(J:J,MATCH($T300,$A:$A,0)),0),INDEX(PREVIVAZ!$C274:$N274,1,MATCH(Z$27,PREVIVAZ!$C$1:$N$1,1)))</f>
        <v>#N/A</v>
      </c>
      <c r="AA300" s="202" t="e">
        <f ca="1">IFERROR(ROUND(INDEX(K:K,MATCH($T300,$A:$A,0)),0),INDEX(PREVIVAZ!$C274:$N274,1,MATCH(AA$27,PREVIVAZ!$C$1:$N$1,1)))</f>
        <v>#N/A</v>
      </c>
      <c r="AB300" s="202" t="e">
        <f ca="1">IFERROR(ROUND(INDEX(L:L,MATCH($T300,$A:$A,0)),0),INDEX(PREVIVAZ!$C274:$N274,1,MATCH(AB$27,PREVIVAZ!$C$1:$N$1,1)))</f>
        <v>#N/A</v>
      </c>
      <c r="AC300" s="202" t="e">
        <f ca="1">IFERROR(ROUND(INDEX(M:M,MATCH($T300,$A:$A,0)),0),INDEX(PREVIVAZ!$C274:$N274,1,MATCH(AC$27,PREVIVAZ!$C$1:$N$1,1)))</f>
        <v>#N/A</v>
      </c>
      <c r="AD300" s="202" t="e">
        <f ca="1">IFERROR(ROUND(INDEX(N:N,MATCH($T300,$A:$A,0)),0),INDEX(PREVIVAZ!$C274:$N274,1,MATCH(AD$27,PREVIVAZ!$C$1:$N$1,1)))</f>
        <v>#N/A</v>
      </c>
      <c r="AE300" s="202" t="e">
        <f ca="1">IFERROR(ROUND(INDEX(O:O,MATCH($T300,$A:$A,0)),0),INDEX(PREVIVAZ!$C274:$N274,1,MATCH(AE$27,PREVIVAZ!$C$1:$N$1,1)))</f>
        <v>#N/A</v>
      </c>
      <c r="AF300" s="202" t="e">
        <f ca="1">IFERROR(ROUND(INDEX(P:P,MATCH($T300,$A:$A,0)),0),INDEX(PREVIVAZ!$C274:$N274,1,MATCH(AF$27,PREVIVAZ!$C$1:$N$1,1)))</f>
        <v>#N/A</v>
      </c>
      <c r="AG300" s="202" t="e">
        <f ca="1">IFERROR(ROUND(INDEX(Q:Q,MATCH($T300,$A:$A,0)),0),INDEX(PREVIVAZ!$C274:$N274,1,MATCH(AG$27,PREVIVAZ!$C$1:$N$1,1)))</f>
        <v>#N/A</v>
      </c>
    </row>
    <row r="301" spans="15:33" ht="12.75" x14ac:dyDescent="0.2">
      <c r="O301"/>
      <c r="P301"/>
      <c r="Q301"/>
      <c r="R301"/>
      <c r="S301"/>
      <c r="T301" s="272">
        <v>274</v>
      </c>
      <c r="V301" s="202" t="e">
        <f ca="1">IFERROR(ROUND(INDEX(F:F,MATCH($T301,$A:$A,0)),0),INDEX(PREVIVAZ!$C275:$N275,1,MATCH(V$27,PREVIVAZ!$C$1:$N$1,1)))</f>
        <v>#N/A</v>
      </c>
      <c r="W301" s="202" t="e">
        <f ca="1">IFERROR(ROUND(INDEX(G:G,MATCH($T301,$A:$A,0)),0),INDEX(PREVIVAZ!$C275:$N275,1,MATCH(W$27,PREVIVAZ!$C$1:$N$1,1)))</f>
        <v>#N/A</v>
      </c>
      <c r="X301" s="202" t="e">
        <f ca="1">IFERROR(ROUND(INDEX(H:H,MATCH($T301,$A:$A,0)),0),INDEX(PREVIVAZ!$C275:$N275,1,MATCH(X$27,PREVIVAZ!$C$1:$N$1,1)))</f>
        <v>#N/A</v>
      </c>
      <c r="Y301" s="202" t="e">
        <f ca="1">IFERROR(ROUND(INDEX(I:I,MATCH($T301,$A:$A,0)),0),INDEX(PREVIVAZ!$C275:$N275,1,MATCH(Y$27,PREVIVAZ!$C$1:$N$1,1)))</f>
        <v>#N/A</v>
      </c>
      <c r="Z301" s="202" t="e">
        <f ca="1">IFERROR(ROUND(INDEX(J:J,MATCH($T301,$A:$A,0)),0),INDEX(PREVIVAZ!$C275:$N275,1,MATCH(Z$27,PREVIVAZ!$C$1:$N$1,1)))</f>
        <v>#N/A</v>
      </c>
      <c r="AA301" s="202" t="e">
        <f ca="1">IFERROR(ROUND(INDEX(K:K,MATCH($T301,$A:$A,0)),0),INDEX(PREVIVAZ!$C275:$N275,1,MATCH(AA$27,PREVIVAZ!$C$1:$N$1,1)))</f>
        <v>#N/A</v>
      </c>
      <c r="AB301" s="202" t="e">
        <f ca="1">IFERROR(ROUND(INDEX(L:L,MATCH($T301,$A:$A,0)),0),INDEX(PREVIVAZ!$C275:$N275,1,MATCH(AB$27,PREVIVAZ!$C$1:$N$1,1)))</f>
        <v>#N/A</v>
      </c>
      <c r="AC301" s="202" t="e">
        <f ca="1">IFERROR(ROUND(INDEX(M:M,MATCH($T301,$A:$A,0)),0),INDEX(PREVIVAZ!$C275:$N275,1,MATCH(AC$27,PREVIVAZ!$C$1:$N$1,1)))</f>
        <v>#N/A</v>
      </c>
      <c r="AD301" s="202" t="e">
        <f ca="1">IFERROR(ROUND(INDEX(N:N,MATCH($T301,$A:$A,0)),0),INDEX(PREVIVAZ!$C275:$N275,1,MATCH(AD$27,PREVIVAZ!$C$1:$N$1,1)))</f>
        <v>#N/A</v>
      </c>
      <c r="AE301" s="202" t="e">
        <f ca="1">IFERROR(ROUND(INDEX(O:O,MATCH($T301,$A:$A,0)),0),INDEX(PREVIVAZ!$C275:$N275,1,MATCH(AE$27,PREVIVAZ!$C$1:$N$1,1)))</f>
        <v>#N/A</v>
      </c>
      <c r="AF301" s="202" t="e">
        <f ca="1">IFERROR(ROUND(INDEX(P:P,MATCH($T301,$A:$A,0)),0),INDEX(PREVIVAZ!$C275:$N275,1,MATCH(AF$27,PREVIVAZ!$C$1:$N$1,1)))</f>
        <v>#N/A</v>
      </c>
      <c r="AG301" s="202" t="e">
        <f ca="1">IFERROR(ROUND(INDEX(Q:Q,MATCH($T301,$A:$A,0)),0),INDEX(PREVIVAZ!$C275:$N275,1,MATCH(AG$27,PREVIVAZ!$C$1:$N$1,1)))</f>
        <v>#N/A</v>
      </c>
    </row>
    <row r="302" spans="15:33" ht="12.75" x14ac:dyDescent="0.2">
      <c r="O302"/>
      <c r="P302"/>
      <c r="Q302"/>
      <c r="R302"/>
      <c r="S302"/>
      <c r="T302" s="272">
        <v>275</v>
      </c>
      <c r="V302" s="202" t="e">
        <f ca="1">IFERROR(ROUND(INDEX(F:F,MATCH($T302,$A:$A,0)),0),INDEX(PREVIVAZ!$C276:$N276,1,MATCH(V$27,PREVIVAZ!$C$1:$N$1,1)))</f>
        <v>#N/A</v>
      </c>
      <c r="W302" s="202" t="e">
        <f ca="1">IFERROR(ROUND(INDEX(G:G,MATCH($T302,$A:$A,0)),0),INDEX(PREVIVAZ!$C276:$N276,1,MATCH(W$27,PREVIVAZ!$C$1:$N$1,1)))</f>
        <v>#N/A</v>
      </c>
      <c r="X302" s="202" t="e">
        <f ca="1">IFERROR(ROUND(INDEX(H:H,MATCH($T302,$A:$A,0)),0),INDEX(PREVIVAZ!$C276:$N276,1,MATCH(X$27,PREVIVAZ!$C$1:$N$1,1)))</f>
        <v>#N/A</v>
      </c>
      <c r="Y302" s="202" t="e">
        <f ca="1">IFERROR(ROUND(INDEX(I:I,MATCH($T302,$A:$A,0)),0),INDEX(PREVIVAZ!$C276:$N276,1,MATCH(Y$27,PREVIVAZ!$C$1:$N$1,1)))</f>
        <v>#N/A</v>
      </c>
      <c r="Z302" s="202" t="e">
        <f ca="1">IFERROR(ROUND(INDEX(J:J,MATCH($T302,$A:$A,0)),0),INDEX(PREVIVAZ!$C276:$N276,1,MATCH(Z$27,PREVIVAZ!$C$1:$N$1,1)))</f>
        <v>#N/A</v>
      </c>
      <c r="AA302" s="202" t="e">
        <f ca="1">IFERROR(ROUND(INDEX(K:K,MATCH($T302,$A:$A,0)),0),INDEX(PREVIVAZ!$C276:$N276,1,MATCH(AA$27,PREVIVAZ!$C$1:$N$1,1)))</f>
        <v>#N/A</v>
      </c>
      <c r="AB302" s="202" t="e">
        <f ca="1">IFERROR(ROUND(INDEX(L:L,MATCH($T302,$A:$A,0)),0),INDEX(PREVIVAZ!$C276:$N276,1,MATCH(AB$27,PREVIVAZ!$C$1:$N$1,1)))</f>
        <v>#N/A</v>
      </c>
      <c r="AC302" s="202" t="e">
        <f ca="1">IFERROR(ROUND(INDEX(M:M,MATCH($T302,$A:$A,0)),0),INDEX(PREVIVAZ!$C276:$N276,1,MATCH(AC$27,PREVIVAZ!$C$1:$N$1,1)))</f>
        <v>#N/A</v>
      </c>
      <c r="AD302" s="202" t="e">
        <f ca="1">IFERROR(ROUND(INDEX(N:N,MATCH($T302,$A:$A,0)),0),INDEX(PREVIVAZ!$C276:$N276,1,MATCH(AD$27,PREVIVAZ!$C$1:$N$1,1)))</f>
        <v>#N/A</v>
      </c>
      <c r="AE302" s="202" t="e">
        <f ca="1">IFERROR(ROUND(INDEX(O:O,MATCH($T302,$A:$A,0)),0),INDEX(PREVIVAZ!$C276:$N276,1,MATCH(AE$27,PREVIVAZ!$C$1:$N$1,1)))</f>
        <v>#N/A</v>
      </c>
      <c r="AF302" s="202" t="e">
        <f ca="1">IFERROR(ROUND(INDEX(P:P,MATCH($T302,$A:$A,0)),0),INDEX(PREVIVAZ!$C276:$N276,1,MATCH(AF$27,PREVIVAZ!$C$1:$N$1,1)))</f>
        <v>#N/A</v>
      </c>
      <c r="AG302" s="202" t="e">
        <f ca="1">IFERROR(ROUND(INDEX(Q:Q,MATCH($T302,$A:$A,0)),0),INDEX(PREVIVAZ!$C276:$N276,1,MATCH(AG$27,PREVIVAZ!$C$1:$N$1,1)))</f>
        <v>#N/A</v>
      </c>
    </row>
    <row r="303" spans="15:33" ht="12.75" x14ac:dyDescent="0.2">
      <c r="O303"/>
      <c r="P303"/>
      <c r="Q303"/>
      <c r="R303"/>
      <c r="S303"/>
      <c r="T303" s="272">
        <v>276</v>
      </c>
      <c r="V303" s="202" t="e">
        <f ca="1">IFERROR(ROUND(INDEX(F:F,MATCH($T303,$A:$A,0)),0),INDEX(PREVIVAZ!$C277:$N277,1,MATCH(V$27,PREVIVAZ!$C$1:$N$1,1)))</f>
        <v>#N/A</v>
      </c>
      <c r="W303" s="202" t="e">
        <f ca="1">IFERROR(ROUND(INDEX(G:G,MATCH($T303,$A:$A,0)),0),INDEX(PREVIVAZ!$C277:$N277,1,MATCH(W$27,PREVIVAZ!$C$1:$N$1,1)))</f>
        <v>#N/A</v>
      </c>
      <c r="X303" s="202" t="e">
        <f ca="1">IFERROR(ROUND(INDEX(H:H,MATCH($T303,$A:$A,0)),0),INDEX(PREVIVAZ!$C277:$N277,1,MATCH(X$27,PREVIVAZ!$C$1:$N$1,1)))</f>
        <v>#N/A</v>
      </c>
      <c r="Y303" s="202" t="e">
        <f ca="1">IFERROR(ROUND(INDEX(I:I,MATCH($T303,$A:$A,0)),0),INDEX(PREVIVAZ!$C277:$N277,1,MATCH(Y$27,PREVIVAZ!$C$1:$N$1,1)))</f>
        <v>#N/A</v>
      </c>
      <c r="Z303" s="202" t="e">
        <f ca="1">IFERROR(ROUND(INDEX(J:J,MATCH($T303,$A:$A,0)),0),INDEX(PREVIVAZ!$C277:$N277,1,MATCH(Z$27,PREVIVAZ!$C$1:$N$1,1)))</f>
        <v>#N/A</v>
      </c>
      <c r="AA303" s="202" t="e">
        <f ca="1">IFERROR(ROUND(INDEX(K:K,MATCH($T303,$A:$A,0)),0),INDEX(PREVIVAZ!$C277:$N277,1,MATCH(AA$27,PREVIVAZ!$C$1:$N$1,1)))</f>
        <v>#N/A</v>
      </c>
      <c r="AB303" s="202" t="e">
        <f ca="1">IFERROR(ROUND(INDEX(L:L,MATCH($T303,$A:$A,0)),0),INDEX(PREVIVAZ!$C277:$N277,1,MATCH(AB$27,PREVIVAZ!$C$1:$N$1,1)))</f>
        <v>#N/A</v>
      </c>
      <c r="AC303" s="202" t="e">
        <f ca="1">IFERROR(ROUND(INDEX(M:M,MATCH($T303,$A:$A,0)),0),INDEX(PREVIVAZ!$C277:$N277,1,MATCH(AC$27,PREVIVAZ!$C$1:$N$1,1)))</f>
        <v>#N/A</v>
      </c>
      <c r="AD303" s="202" t="e">
        <f ca="1">IFERROR(ROUND(INDEX(N:N,MATCH($T303,$A:$A,0)),0),INDEX(PREVIVAZ!$C277:$N277,1,MATCH(AD$27,PREVIVAZ!$C$1:$N$1,1)))</f>
        <v>#N/A</v>
      </c>
      <c r="AE303" s="202" t="e">
        <f ca="1">IFERROR(ROUND(INDEX(O:O,MATCH($T303,$A:$A,0)),0),INDEX(PREVIVAZ!$C277:$N277,1,MATCH(AE$27,PREVIVAZ!$C$1:$N$1,1)))</f>
        <v>#N/A</v>
      </c>
      <c r="AF303" s="202" t="e">
        <f ca="1">IFERROR(ROUND(INDEX(P:P,MATCH($T303,$A:$A,0)),0),INDEX(PREVIVAZ!$C277:$N277,1,MATCH(AF$27,PREVIVAZ!$C$1:$N$1,1)))</f>
        <v>#N/A</v>
      </c>
      <c r="AG303" s="202" t="e">
        <f ca="1">IFERROR(ROUND(INDEX(Q:Q,MATCH($T303,$A:$A,0)),0),INDEX(PREVIVAZ!$C277:$N277,1,MATCH(AG$27,PREVIVAZ!$C$1:$N$1,1)))</f>
        <v>#N/A</v>
      </c>
    </row>
    <row r="304" spans="15:33" ht="12.75" x14ac:dyDescent="0.2">
      <c r="O304"/>
      <c r="P304"/>
      <c r="Q304"/>
      <c r="R304"/>
      <c r="S304"/>
      <c r="T304" s="272">
        <v>277</v>
      </c>
      <c r="V304" s="202" t="e">
        <f ca="1">IFERROR(ROUND(INDEX(F:F,MATCH($T304,$A:$A,0)),0),INDEX(PREVIVAZ!$C278:$N278,1,MATCH(V$27,PREVIVAZ!$C$1:$N$1,1)))</f>
        <v>#N/A</v>
      </c>
      <c r="W304" s="202" t="e">
        <f ca="1">IFERROR(ROUND(INDEX(G:G,MATCH($T304,$A:$A,0)),0),INDEX(PREVIVAZ!$C278:$N278,1,MATCH(W$27,PREVIVAZ!$C$1:$N$1,1)))</f>
        <v>#N/A</v>
      </c>
      <c r="X304" s="202" t="e">
        <f ca="1">IFERROR(ROUND(INDEX(H:H,MATCH($T304,$A:$A,0)),0),INDEX(PREVIVAZ!$C278:$N278,1,MATCH(X$27,PREVIVAZ!$C$1:$N$1,1)))</f>
        <v>#N/A</v>
      </c>
      <c r="Y304" s="202" t="e">
        <f ca="1">IFERROR(ROUND(INDEX(I:I,MATCH($T304,$A:$A,0)),0),INDEX(PREVIVAZ!$C278:$N278,1,MATCH(Y$27,PREVIVAZ!$C$1:$N$1,1)))</f>
        <v>#N/A</v>
      </c>
      <c r="Z304" s="202" t="e">
        <f ca="1">IFERROR(ROUND(INDEX(J:J,MATCH($T304,$A:$A,0)),0),INDEX(PREVIVAZ!$C278:$N278,1,MATCH(Z$27,PREVIVAZ!$C$1:$N$1,1)))</f>
        <v>#N/A</v>
      </c>
      <c r="AA304" s="202" t="e">
        <f ca="1">IFERROR(ROUND(INDEX(K:K,MATCH($T304,$A:$A,0)),0),INDEX(PREVIVAZ!$C278:$N278,1,MATCH(AA$27,PREVIVAZ!$C$1:$N$1,1)))</f>
        <v>#N/A</v>
      </c>
      <c r="AB304" s="202" t="e">
        <f ca="1">IFERROR(ROUND(INDEX(L:L,MATCH($T304,$A:$A,0)),0),INDEX(PREVIVAZ!$C278:$N278,1,MATCH(AB$27,PREVIVAZ!$C$1:$N$1,1)))</f>
        <v>#N/A</v>
      </c>
      <c r="AC304" s="202" t="e">
        <f ca="1">IFERROR(ROUND(INDEX(M:M,MATCH($T304,$A:$A,0)),0),INDEX(PREVIVAZ!$C278:$N278,1,MATCH(AC$27,PREVIVAZ!$C$1:$N$1,1)))</f>
        <v>#N/A</v>
      </c>
      <c r="AD304" s="202" t="e">
        <f ca="1">IFERROR(ROUND(INDEX(N:N,MATCH($T304,$A:$A,0)),0),INDEX(PREVIVAZ!$C278:$N278,1,MATCH(AD$27,PREVIVAZ!$C$1:$N$1,1)))</f>
        <v>#N/A</v>
      </c>
      <c r="AE304" s="202" t="e">
        <f ca="1">IFERROR(ROUND(INDEX(O:O,MATCH($T304,$A:$A,0)),0),INDEX(PREVIVAZ!$C278:$N278,1,MATCH(AE$27,PREVIVAZ!$C$1:$N$1,1)))</f>
        <v>#N/A</v>
      </c>
      <c r="AF304" s="202" t="e">
        <f ca="1">IFERROR(ROUND(INDEX(P:P,MATCH($T304,$A:$A,0)),0),INDEX(PREVIVAZ!$C278:$N278,1,MATCH(AF$27,PREVIVAZ!$C$1:$N$1,1)))</f>
        <v>#N/A</v>
      </c>
      <c r="AG304" s="202" t="e">
        <f ca="1">IFERROR(ROUND(INDEX(Q:Q,MATCH($T304,$A:$A,0)),0),INDEX(PREVIVAZ!$C278:$N278,1,MATCH(AG$27,PREVIVAZ!$C$1:$N$1,1)))</f>
        <v>#N/A</v>
      </c>
    </row>
    <row r="305" spans="15:33" ht="12.75" x14ac:dyDescent="0.2">
      <c r="O305"/>
      <c r="P305"/>
      <c r="Q305"/>
      <c r="R305"/>
      <c r="S305"/>
      <c r="T305" s="272">
        <v>278</v>
      </c>
      <c r="V305" s="202" t="e">
        <f ca="1">IFERROR(ROUND(INDEX(F:F,MATCH($T305,$A:$A,0)),0),INDEX(PREVIVAZ!$C279:$N279,1,MATCH(V$27,PREVIVAZ!$C$1:$N$1,1)))</f>
        <v>#N/A</v>
      </c>
      <c r="W305" s="202" t="e">
        <f ca="1">IFERROR(ROUND(INDEX(G:G,MATCH($T305,$A:$A,0)),0),INDEX(PREVIVAZ!$C279:$N279,1,MATCH(W$27,PREVIVAZ!$C$1:$N$1,1)))</f>
        <v>#N/A</v>
      </c>
      <c r="X305" s="202" t="e">
        <f ca="1">IFERROR(ROUND(INDEX(H:H,MATCH($T305,$A:$A,0)),0),INDEX(PREVIVAZ!$C279:$N279,1,MATCH(X$27,PREVIVAZ!$C$1:$N$1,1)))</f>
        <v>#N/A</v>
      </c>
      <c r="Y305" s="202" t="e">
        <f ca="1">IFERROR(ROUND(INDEX(I:I,MATCH($T305,$A:$A,0)),0),INDEX(PREVIVAZ!$C279:$N279,1,MATCH(Y$27,PREVIVAZ!$C$1:$N$1,1)))</f>
        <v>#N/A</v>
      </c>
      <c r="Z305" s="202" t="e">
        <f ca="1">IFERROR(ROUND(INDEX(J:J,MATCH($T305,$A:$A,0)),0),INDEX(PREVIVAZ!$C279:$N279,1,MATCH(Z$27,PREVIVAZ!$C$1:$N$1,1)))</f>
        <v>#N/A</v>
      </c>
      <c r="AA305" s="202" t="e">
        <f ca="1">IFERROR(ROUND(INDEX(K:K,MATCH($T305,$A:$A,0)),0),INDEX(PREVIVAZ!$C279:$N279,1,MATCH(AA$27,PREVIVAZ!$C$1:$N$1,1)))</f>
        <v>#N/A</v>
      </c>
      <c r="AB305" s="202" t="e">
        <f ca="1">IFERROR(ROUND(INDEX(L:L,MATCH($T305,$A:$A,0)),0),INDEX(PREVIVAZ!$C279:$N279,1,MATCH(AB$27,PREVIVAZ!$C$1:$N$1,1)))</f>
        <v>#N/A</v>
      </c>
      <c r="AC305" s="202" t="e">
        <f ca="1">IFERROR(ROUND(INDEX(M:M,MATCH($T305,$A:$A,0)),0),INDEX(PREVIVAZ!$C279:$N279,1,MATCH(AC$27,PREVIVAZ!$C$1:$N$1,1)))</f>
        <v>#N/A</v>
      </c>
      <c r="AD305" s="202" t="e">
        <f ca="1">IFERROR(ROUND(INDEX(N:N,MATCH($T305,$A:$A,0)),0),INDEX(PREVIVAZ!$C279:$N279,1,MATCH(AD$27,PREVIVAZ!$C$1:$N$1,1)))</f>
        <v>#N/A</v>
      </c>
      <c r="AE305" s="202" t="e">
        <f ca="1">IFERROR(ROUND(INDEX(O:O,MATCH($T305,$A:$A,0)),0),INDEX(PREVIVAZ!$C279:$N279,1,MATCH(AE$27,PREVIVAZ!$C$1:$N$1,1)))</f>
        <v>#N/A</v>
      </c>
      <c r="AF305" s="202" t="e">
        <f ca="1">IFERROR(ROUND(INDEX(P:P,MATCH($T305,$A:$A,0)),0),INDEX(PREVIVAZ!$C279:$N279,1,MATCH(AF$27,PREVIVAZ!$C$1:$N$1,1)))</f>
        <v>#N/A</v>
      </c>
      <c r="AG305" s="202" t="e">
        <f ca="1">IFERROR(ROUND(INDEX(Q:Q,MATCH($T305,$A:$A,0)),0),INDEX(PREVIVAZ!$C279:$N279,1,MATCH(AG$27,PREVIVAZ!$C$1:$N$1,1)))</f>
        <v>#N/A</v>
      </c>
    </row>
    <row r="306" spans="15:33" ht="12.75" x14ac:dyDescent="0.2">
      <c r="O306"/>
      <c r="P306"/>
      <c r="Q306"/>
      <c r="R306"/>
      <c r="S306"/>
      <c r="T306" s="272">
        <v>279</v>
      </c>
      <c r="V306" s="202" t="e">
        <f ca="1">IFERROR(ROUND(INDEX(F:F,MATCH($T306,$A:$A,0)),0),INDEX(PREVIVAZ!$C280:$N280,1,MATCH(V$27,PREVIVAZ!$C$1:$N$1,1)))</f>
        <v>#N/A</v>
      </c>
      <c r="W306" s="202" t="e">
        <f ca="1">IFERROR(ROUND(INDEX(G:G,MATCH($T306,$A:$A,0)),0),INDEX(PREVIVAZ!$C280:$N280,1,MATCH(W$27,PREVIVAZ!$C$1:$N$1,1)))</f>
        <v>#N/A</v>
      </c>
      <c r="X306" s="202" t="e">
        <f ca="1">IFERROR(ROUND(INDEX(H:H,MATCH($T306,$A:$A,0)),0),INDEX(PREVIVAZ!$C280:$N280,1,MATCH(X$27,PREVIVAZ!$C$1:$N$1,1)))</f>
        <v>#N/A</v>
      </c>
      <c r="Y306" s="202" t="e">
        <f ca="1">IFERROR(ROUND(INDEX(I:I,MATCH($T306,$A:$A,0)),0),INDEX(PREVIVAZ!$C280:$N280,1,MATCH(Y$27,PREVIVAZ!$C$1:$N$1,1)))</f>
        <v>#N/A</v>
      </c>
      <c r="Z306" s="202" t="e">
        <f ca="1">IFERROR(ROUND(INDEX(J:J,MATCH($T306,$A:$A,0)),0),INDEX(PREVIVAZ!$C280:$N280,1,MATCH(Z$27,PREVIVAZ!$C$1:$N$1,1)))</f>
        <v>#N/A</v>
      </c>
      <c r="AA306" s="202" t="e">
        <f ca="1">IFERROR(ROUND(INDEX(K:K,MATCH($T306,$A:$A,0)),0),INDEX(PREVIVAZ!$C280:$N280,1,MATCH(AA$27,PREVIVAZ!$C$1:$N$1,1)))</f>
        <v>#N/A</v>
      </c>
      <c r="AB306" s="202" t="e">
        <f ca="1">IFERROR(ROUND(INDEX(L:L,MATCH($T306,$A:$A,0)),0),INDEX(PREVIVAZ!$C280:$N280,1,MATCH(AB$27,PREVIVAZ!$C$1:$N$1,1)))</f>
        <v>#N/A</v>
      </c>
      <c r="AC306" s="202" t="e">
        <f ca="1">IFERROR(ROUND(INDEX(M:M,MATCH($T306,$A:$A,0)),0),INDEX(PREVIVAZ!$C280:$N280,1,MATCH(AC$27,PREVIVAZ!$C$1:$N$1,1)))</f>
        <v>#N/A</v>
      </c>
      <c r="AD306" s="202" t="e">
        <f ca="1">IFERROR(ROUND(INDEX(N:N,MATCH($T306,$A:$A,0)),0),INDEX(PREVIVAZ!$C280:$N280,1,MATCH(AD$27,PREVIVAZ!$C$1:$N$1,1)))</f>
        <v>#N/A</v>
      </c>
      <c r="AE306" s="202" t="e">
        <f ca="1">IFERROR(ROUND(INDEX(O:O,MATCH($T306,$A:$A,0)),0),INDEX(PREVIVAZ!$C280:$N280,1,MATCH(AE$27,PREVIVAZ!$C$1:$N$1,1)))</f>
        <v>#N/A</v>
      </c>
      <c r="AF306" s="202" t="e">
        <f ca="1">IFERROR(ROUND(INDEX(P:P,MATCH($T306,$A:$A,0)),0),INDEX(PREVIVAZ!$C280:$N280,1,MATCH(AF$27,PREVIVAZ!$C$1:$N$1,1)))</f>
        <v>#N/A</v>
      </c>
      <c r="AG306" s="202" t="e">
        <f ca="1">IFERROR(ROUND(INDEX(Q:Q,MATCH($T306,$A:$A,0)),0),INDEX(PREVIVAZ!$C280:$N280,1,MATCH(AG$27,PREVIVAZ!$C$1:$N$1,1)))</f>
        <v>#N/A</v>
      </c>
    </row>
    <row r="307" spans="15:33" ht="12.75" x14ac:dyDescent="0.2">
      <c r="O307"/>
      <c r="P307"/>
      <c r="Q307"/>
      <c r="R307"/>
      <c r="S307"/>
      <c r="T307" s="272">
        <v>280</v>
      </c>
      <c r="V307" s="202" t="e">
        <f ca="1">IFERROR(ROUND(INDEX(F:F,MATCH($T307,$A:$A,0)),0),INDEX(PREVIVAZ!$C281:$N281,1,MATCH(V$27,PREVIVAZ!$C$1:$N$1,1)))</f>
        <v>#N/A</v>
      </c>
      <c r="W307" s="202" t="e">
        <f ca="1">IFERROR(ROUND(INDEX(G:G,MATCH($T307,$A:$A,0)),0),INDEX(PREVIVAZ!$C281:$N281,1,MATCH(W$27,PREVIVAZ!$C$1:$N$1,1)))</f>
        <v>#N/A</v>
      </c>
      <c r="X307" s="202" t="e">
        <f ca="1">IFERROR(ROUND(INDEX(H:H,MATCH($T307,$A:$A,0)),0),INDEX(PREVIVAZ!$C281:$N281,1,MATCH(X$27,PREVIVAZ!$C$1:$N$1,1)))</f>
        <v>#N/A</v>
      </c>
      <c r="Y307" s="202" t="e">
        <f ca="1">IFERROR(ROUND(INDEX(I:I,MATCH($T307,$A:$A,0)),0),INDEX(PREVIVAZ!$C281:$N281,1,MATCH(Y$27,PREVIVAZ!$C$1:$N$1,1)))</f>
        <v>#N/A</v>
      </c>
      <c r="Z307" s="202" t="e">
        <f ca="1">IFERROR(ROUND(INDEX(J:J,MATCH($T307,$A:$A,0)),0),INDEX(PREVIVAZ!$C281:$N281,1,MATCH(Z$27,PREVIVAZ!$C$1:$N$1,1)))</f>
        <v>#N/A</v>
      </c>
      <c r="AA307" s="202" t="e">
        <f ca="1">IFERROR(ROUND(INDEX(K:K,MATCH($T307,$A:$A,0)),0),INDEX(PREVIVAZ!$C281:$N281,1,MATCH(AA$27,PREVIVAZ!$C$1:$N$1,1)))</f>
        <v>#N/A</v>
      </c>
      <c r="AB307" s="202" t="e">
        <f ca="1">IFERROR(ROUND(INDEX(L:L,MATCH($T307,$A:$A,0)),0),INDEX(PREVIVAZ!$C281:$N281,1,MATCH(AB$27,PREVIVAZ!$C$1:$N$1,1)))</f>
        <v>#N/A</v>
      </c>
      <c r="AC307" s="202" t="e">
        <f ca="1">IFERROR(ROUND(INDEX(M:M,MATCH($T307,$A:$A,0)),0),INDEX(PREVIVAZ!$C281:$N281,1,MATCH(AC$27,PREVIVAZ!$C$1:$N$1,1)))</f>
        <v>#N/A</v>
      </c>
      <c r="AD307" s="202" t="e">
        <f ca="1">IFERROR(ROUND(INDEX(N:N,MATCH($T307,$A:$A,0)),0),INDEX(PREVIVAZ!$C281:$N281,1,MATCH(AD$27,PREVIVAZ!$C$1:$N$1,1)))</f>
        <v>#N/A</v>
      </c>
      <c r="AE307" s="202" t="e">
        <f ca="1">IFERROR(ROUND(INDEX(O:O,MATCH($T307,$A:$A,0)),0),INDEX(PREVIVAZ!$C281:$N281,1,MATCH(AE$27,PREVIVAZ!$C$1:$N$1,1)))</f>
        <v>#N/A</v>
      </c>
      <c r="AF307" s="202" t="e">
        <f ca="1">IFERROR(ROUND(INDEX(P:P,MATCH($T307,$A:$A,0)),0),INDEX(PREVIVAZ!$C281:$N281,1,MATCH(AF$27,PREVIVAZ!$C$1:$N$1,1)))</f>
        <v>#N/A</v>
      </c>
      <c r="AG307" s="202" t="e">
        <f ca="1">IFERROR(ROUND(INDEX(Q:Q,MATCH($T307,$A:$A,0)),0),INDEX(PREVIVAZ!$C281:$N281,1,MATCH(AG$27,PREVIVAZ!$C$1:$N$1,1)))</f>
        <v>#N/A</v>
      </c>
    </row>
    <row r="308" spans="15:33" ht="12.75" x14ac:dyDescent="0.2">
      <c r="O308"/>
      <c r="P308"/>
      <c r="Q308"/>
      <c r="R308"/>
      <c r="S308"/>
      <c r="T308" s="272">
        <v>281</v>
      </c>
      <c r="V308" s="202" t="e">
        <f ca="1">IFERROR(ROUND(INDEX(F:F,MATCH($T308,$A:$A,0)),0),INDEX(PREVIVAZ!$C282:$N282,1,MATCH(V$27,PREVIVAZ!$C$1:$N$1,1)))</f>
        <v>#N/A</v>
      </c>
      <c r="W308" s="202" t="e">
        <f ca="1">IFERROR(ROUND(INDEX(G:G,MATCH($T308,$A:$A,0)),0),INDEX(PREVIVAZ!$C282:$N282,1,MATCH(W$27,PREVIVAZ!$C$1:$N$1,1)))</f>
        <v>#N/A</v>
      </c>
      <c r="X308" s="202" t="e">
        <f ca="1">IFERROR(ROUND(INDEX(H:H,MATCH($T308,$A:$A,0)),0),INDEX(PREVIVAZ!$C282:$N282,1,MATCH(X$27,PREVIVAZ!$C$1:$N$1,1)))</f>
        <v>#N/A</v>
      </c>
      <c r="Y308" s="202" t="e">
        <f ca="1">IFERROR(ROUND(INDEX(I:I,MATCH($T308,$A:$A,0)),0),INDEX(PREVIVAZ!$C282:$N282,1,MATCH(Y$27,PREVIVAZ!$C$1:$N$1,1)))</f>
        <v>#N/A</v>
      </c>
      <c r="Z308" s="202" t="e">
        <f ca="1">IFERROR(ROUND(INDEX(J:J,MATCH($T308,$A:$A,0)),0),INDEX(PREVIVAZ!$C282:$N282,1,MATCH(Z$27,PREVIVAZ!$C$1:$N$1,1)))</f>
        <v>#N/A</v>
      </c>
      <c r="AA308" s="202" t="e">
        <f ca="1">IFERROR(ROUND(INDEX(K:K,MATCH($T308,$A:$A,0)),0),INDEX(PREVIVAZ!$C282:$N282,1,MATCH(AA$27,PREVIVAZ!$C$1:$N$1,1)))</f>
        <v>#N/A</v>
      </c>
      <c r="AB308" s="202" t="e">
        <f ca="1">IFERROR(ROUND(INDEX(L:L,MATCH($T308,$A:$A,0)),0),INDEX(PREVIVAZ!$C282:$N282,1,MATCH(AB$27,PREVIVAZ!$C$1:$N$1,1)))</f>
        <v>#N/A</v>
      </c>
      <c r="AC308" s="202" t="e">
        <f ca="1">IFERROR(ROUND(INDEX(M:M,MATCH($T308,$A:$A,0)),0),INDEX(PREVIVAZ!$C282:$N282,1,MATCH(AC$27,PREVIVAZ!$C$1:$N$1,1)))</f>
        <v>#N/A</v>
      </c>
      <c r="AD308" s="202" t="e">
        <f ca="1">IFERROR(ROUND(INDEX(N:N,MATCH($T308,$A:$A,0)),0),INDEX(PREVIVAZ!$C282:$N282,1,MATCH(AD$27,PREVIVAZ!$C$1:$N$1,1)))</f>
        <v>#N/A</v>
      </c>
      <c r="AE308" s="202" t="e">
        <f ca="1">IFERROR(ROUND(INDEX(O:O,MATCH($T308,$A:$A,0)),0),INDEX(PREVIVAZ!$C282:$N282,1,MATCH(AE$27,PREVIVAZ!$C$1:$N$1,1)))</f>
        <v>#N/A</v>
      </c>
      <c r="AF308" s="202" t="e">
        <f ca="1">IFERROR(ROUND(INDEX(P:P,MATCH($T308,$A:$A,0)),0),INDEX(PREVIVAZ!$C282:$N282,1,MATCH(AF$27,PREVIVAZ!$C$1:$N$1,1)))</f>
        <v>#N/A</v>
      </c>
      <c r="AG308" s="202" t="e">
        <f ca="1">IFERROR(ROUND(INDEX(Q:Q,MATCH($T308,$A:$A,0)),0),INDEX(PREVIVAZ!$C282:$N282,1,MATCH(AG$27,PREVIVAZ!$C$1:$N$1,1)))</f>
        <v>#N/A</v>
      </c>
    </row>
    <row r="309" spans="15:33" ht="12.75" x14ac:dyDescent="0.2">
      <c r="O309"/>
      <c r="P309"/>
      <c r="Q309"/>
      <c r="R309"/>
      <c r="S309"/>
      <c r="T309" s="272">
        <v>282</v>
      </c>
      <c r="V309" s="202" t="e">
        <f ca="1">IFERROR(ROUND(INDEX(F:F,MATCH($T309,$A:$A,0)),0),INDEX(PREVIVAZ!$C283:$N283,1,MATCH(V$27,PREVIVAZ!$C$1:$N$1,1)))</f>
        <v>#N/A</v>
      </c>
      <c r="W309" s="202" t="e">
        <f ca="1">IFERROR(ROUND(INDEX(G:G,MATCH($T309,$A:$A,0)),0),INDEX(PREVIVAZ!$C283:$N283,1,MATCH(W$27,PREVIVAZ!$C$1:$N$1,1)))</f>
        <v>#N/A</v>
      </c>
      <c r="X309" s="202" t="e">
        <f ca="1">IFERROR(ROUND(INDEX(H:H,MATCH($T309,$A:$A,0)),0),INDEX(PREVIVAZ!$C283:$N283,1,MATCH(X$27,PREVIVAZ!$C$1:$N$1,1)))</f>
        <v>#N/A</v>
      </c>
      <c r="Y309" s="202" t="e">
        <f ca="1">IFERROR(ROUND(INDEX(I:I,MATCH($T309,$A:$A,0)),0),INDEX(PREVIVAZ!$C283:$N283,1,MATCH(Y$27,PREVIVAZ!$C$1:$N$1,1)))</f>
        <v>#N/A</v>
      </c>
      <c r="Z309" s="202" t="e">
        <f ca="1">IFERROR(ROUND(INDEX(J:J,MATCH($T309,$A:$A,0)),0),INDEX(PREVIVAZ!$C283:$N283,1,MATCH(Z$27,PREVIVAZ!$C$1:$N$1,1)))</f>
        <v>#N/A</v>
      </c>
      <c r="AA309" s="202" t="e">
        <f ca="1">IFERROR(ROUND(INDEX(K:K,MATCH($T309,$A:$A,0)),0),INDEX(PREVIVAZ!$C283:$N283,1,MATCH(AA$27,PREVIVAZ!$C$1:$N$1,1)))</f>
        <v>#N/A</v>
      </c>
      <c r="AB309" s="202" t="e">
        <f ca="1">IFERROR(ROUND(INDEX(L:L,MATCH($T309,$A:$A,0)),0),INDEX(PREVIVAZ!$C283:$N283,1,MATCH(AB$27,PREVIVAZ!$C$1:$N$1,1)))</f>
        <v>#N/A</v>
      </c>
      <c r="AC309" s="202" t="e">
        <f ca="1">IFERROR(ROUND(INDEX(M:M,MATCH($T309,$A:$A,0)),0),INDEX(PREVIVAZ!$C283:$N283,1,MATCH(AC$27,PREVIVAZ!$C$1:$N$1,1)))</f>
        <v>#N/A</v>
      </c>
      <c r="AD309" s="202" t="e">
        <f ca="1">IFERROR(ROUND(INDEX(N:N,MATCH($T309,$A:$A,0)),0),INDEX(PREVIVAZ!$C283:$N283,1,MATCH(AD$27,PREVIVAZ!$C$1:$N$1,1)))</f>
        <v>#N/A</v>
      </c>
      <c r="AE309" s="202" t="e">
        <f ca="1">IFERROR(ROUND(INDEX(O:O,MATCH($T309,$A:$A,0)),0),INDEX(PREVIVAZ!$C283:$N283,1,MATCH(AE$27,PREVIVAZ!$C$1:$N$1,1)))</f>
        <v>#N/A</v>
      </c>
      <c r="AF309" s="202" t="e">
        <f ca="1">IFERROR(ROUND(INDEX(P:P,MATCH($T309,$A:$A,0)),0),INDEX(PREVIVAZ!$C283:$N283,1,MATCH(AF$27,PREVIVAZ!$C$1:$N$1,1)))</f>
        <v>#N/A</v>
      </c>
      <c r="AG309" s="202" t="e">
        <f ca="1">IFERROR(ROUND(INDEX(Q:Q,MATCH($T309,$A:$A,0)),0),INDEX(PREVIVAZ!$C283:$N283,1,MATCH(AG$27,PREVIVAZ!$C$1:$N$1,1)))</f>
        <v>#N/A</v>
      </c>
    </row>
    <row r="310" spans="15:33" ht="12.75" x14ac:dyDescent="0.2">
      <c r="O310"/>
      <c r="P310"/>
      <c r="Q310"/>
      <c r="R310"/>
      <c r="S310"/>
      <c r="T310" s="272">
        <v>283</v>
      </c>
      <c r="V310" s="202" t="e">
        <f ca="1">IFERROR(ROUND(INDEX(F:F,MATCH($T310,$A:$A,0)),0),INDEX(PREVIVAZ!$C284:$N284,1,MATCH(V$27,PREVIVAZ!$C$1:$N$1,1)))</f>
        <v>#N/A</v>
      </c>
      <c r="W310" s="202" t="e">
        <f ca="1">IFERROR(ROUND(INDEX(G:G,MATCH($T310,$A:$A,0)),0),INDEX(PREVIVAZ!$C284:$N284,1,MATCH(W$27,PREVIVAZ!$C$1:$N$1,1)))</f>
        <v>#N/A</v>
      </c>
      <c r="X310" s="202" t="e">
        <f ca="1">IFERROR(ROUND(INDEX(H:H,MATCH($T310,$A:$A,0)),0),INDEX(PREVIVAZ!$C284:$N284,1,MATCH(X$27,PREVIVAZ!$C$1:$N$1,1)))</f>
        <v>#N/A</v>
      </c>
      <c r="Y310" s="202" t="e">
        <f ca="1">IFERROR(ROUND(INDEX(I:I,MATCH($T310,$A:$A,0)),0),INDEX(PREVIVAZ!$C284:$N284,1,MATCH(Y$27,PREVIVAZ!$C$1:$N$1,1)))</f>
        <v>#N/A</v>
      </c>
      <c r="Z310" s="202" t="e">
        <f ca="1">IFERROR(ROUND(INDEX(J:J,MATCH($T310,$A:$A,0)),0),INDEX(PREVIVAZ!$C284:$N284,1,MATCH(Z$27,PREVIVAZ!$C$1:$N$1,1)))</f>
        <v>#N/A</v>
      </c>
      <c r="AA310" s="202" t="e">
        <f ca="1">IFERROR(ROUND(INDEX(K:K,MATCH($T310,$A:$A,0)),0),INDEX(PREVIVAZ!$C284:$N284,1,MATCH(AA$27,PREVIVAZ!$C$1:$N$1,1)))</f>
        <v>#N/A</v>
      </c>
      <c r="AB310" s="202" t="e">
        <f ca="1">IFERROR(ROUND(INDEX(L:L,MATCH($T310,$A:$A,0)),0),INDEX(PREVIVAZ!$C284:$N284,1,MATCH(AB$27,PREVIVAZ!$C$1:$N$1,1)))</f>
        <v>#N/A</v>
      </c>
      <c r="AC310" s="202" t="e">
        <f ca="1">IFERROR(ROUND(INDEX(M:M,MATCH($T310,$A:$A,0)),0),INDEX(PREVIVAZ!$C284:$N284,1,MATCH(AC$27,PREVIVAZ!$C$1:$N$1,1)))</f>
        <v>#N/A</v>
      </c>
      <c r="AD310" s="202" t="e">
        <f ca="1">IFERROR(ROUND(INDEX(N:N,MATCH($T310,$A:$A,0)),0),INDEX(PREVIVAZ!$C284:$N284,1,MATCH(AD$27,PREVIVAZ!$C$1:$N$1,1)))</f>
        <v>#N/A</v>
      </c>
      <c r="AE310" s="202" t="e">
        <f ca="1">IFERROR(ROUND(INDEX(O:O,MATCH($T310,$A:$A,0)),0),INDEX(PREVIVAZ!$C284:$N284,1,MATCH(AE$27,PREVIVAZ!$C$1:$N$1,1)))</f>
        <v>#N/A</v>
      </c>
      <c r="AF310" s="202" t="e">
        <f ca="1">IFERROR(ROUND(INDEX(P:P,MATCH($T310,$A:$A,0)),0),INDEX(PREVIVAZ!$C284:$N284,1,MATCH(AF$27,PREVIVAZ!$C$1:$N$1,1)))</f>
        <v>#N/A</v>
      </c>
      <c r="AG310" s="202" t="e">
        <f ca="1">IFERROR(ROUND(INDEX(Q:Q,MATCH($T310,$A:$A,0)),0),INDEX(PREVIVAZ!$C284:$N284,1,MATCH(AG$27,PREVIVAZ!$C$1:$N$1,1)))</f>
        <v>#N/A</v>
      </c>
    </row>
    <row r="311" spans="15:33" ht="12.75" x14ac:dyDescent="0.2">
      <c r="O311"/>
      <c r="P311"/>
      <c r="Q311"/>
      <c r="R311"/>
      <c r="S311"/>
      <c r="T311" s="202">
        <v>284</v>
      </c>
      <c r="U311" s="202"/>
      <c r="V311" s="202" t="e">
        <f ca="1">IFERROR(ROUND(INDEX(F:F,MATCH($T311,$A:$A,0)),0),INDEX(PREVIVAZ!$C285:$N285,1,MATCH(V$27,PREVIVAZ!$C$1:$N$1,1)))</f>
        <v>#N/A</v>
      </c>
      <c r="W311" s="202" t="e">
        <f ca="1">IFERROR(ROUND(INDEX(G:G,MATCH($T311,$A:$A,0)),0),INDEX(PREVIVAZ!$C285:$N285,1,MATCH(W$27,PREVIVAZ!$C$1:$N$1,1)))</f>
        <v>#N/A</v>
      </c>
      <c r="X311" s="202" t="e">
        <f ca="1">IFERROR(ROUND(INDEX(H:H,MATCH($T311,$A:$A,0)),0),INDEX(PREVIVAZ!$C285:$N285,1,MATCH(X$27,PREVIVAZ!$C$1:$N$1,1)))</f>
        <v>#N/A</v>
      </c>
      <c r="Y311" s="202" t="e">
        <f ca="1">IFERROR(ROUND(INDEX(I:I,MATCH($T311,$A:$A,0)),0),INDEX(PREVIVAZ!$C285:$N285,1,MATCH(Y$27,PREVIVAZ!$C$1:$N$1,1)))</f>
        <v>#N/A</v>
      </c>
      <c r="Z311" s="202" t="e">
        <f ca="1">IFERROR(ROUND(INDEX(J:J,MATCH($T311,$A:$A,0)),0),INDEX(PREVIVAZ!$C285:$N285,1,MATCH(Z$27,PREVIVAZ!$C$1:$N$1,1)))</f>
        <v>#N/A</v>
      </c>
      <c r="AA311" s="202" t="e">
        <f ca="1">IFERROR(ROUND(INDEX(K:K,MATCH($T311,$A:$A,0)),0),INDEX(PREVIVAZ!$C285:$N285,1,MATCH(AA$27,PREVIVAZ!$C$1:$N$1,1)))</f>
        <v>#N/A</v>
      </c>
      <c r="AB311" s="202" t="e">
        <f ca="1">IFERROR(ROUND(INDEX(L:L,MATCH($T311,$A:$A,0)),0),INDEX(PREVIVAZ!$C285:$N285,1,MATCH(AB$27,PREVIVAZ!$C$1:$N$1,1)))</f>
        <v>#N/A</v>
      </c>
      <c r="AC311" s="202" t="e">
        <f ca="1">IFERROR(ROUND(INDEX(M:M,MATCH($T311,$A:$A,0)),0),INDEX(PREVIVAZ!$C285:$N285,1,MATCH(AC$27,PREVIVAZ!$C$1:$N$1,1)))</f>
        <v>#N/A</v>
      </c>
      <c r="AD311" s="202" t="e">
        <f ca="1">IFERROR(ROUND(INDEX(N:N,MATCH($T311,$A:$A,0)),0),INDEX(PREVIVAZ!$C285:$N285,1,MATCH(AD$27,PREVIVAZ!$C$1:$N$1,1)))</f>
        <v>#N/A</v>
      </c>
      <c r="AE311" s="202" t="e">
        <f ca="1">IFERROR(ROUND(INDEX(O:O,MATCH($T311,$A:$A,0)),0),INDEX(PREVIVAZ!$C285:$N285,1,MATCH(AE$27,PREVIVAZ!$C$1:$N$1,1)))</f>
        <v>#N/A</v>
      </c>
      <c r="AF311" s="202" t="e">
        <f ca="1">IFERROR(ROUND(INDEX(P:P,MATCH($T311,$A:$A,0)),0),INDEX(PREVIVAZ!$C285:$N285,1,MATCH(AF$27,PREVIVAZ!$C$1:$N$1,1)))</f>
        <v>#N/A</v>
      </c>
      <c r="AG311" s="202" t="e">
        <f ca="1">IFERROR(ROUND(INDEX(Q:Q,MATCH($T311,$A:$A,0)),0),INDEX(PREVIVAZ!$C285:$N285,1,MATCH(AG$27,PREVIVAZ!$C$1:$N$1,1)))</f>
        <v>#N/A</v>
      </c>
    </row>
    <row r="312" spans="15:33" ht="12.75" x14ac:dyDescent="0.2">
      <c r="O312"/>
      <c r="P312"/>
      <c r="Q312"/>
      <c r="R312"/>
      <c r="S312"/>
      <c r="T312" s="272">
        <v>285</v>
      </c>
      <c r="V312" s="202" t="e">
        <f ca="1">IFERROR(ROUND(INDEX(F:F,MATCH($T312,$A:$A,0)),0),INDEX(PREVIVAZ!$C286:$N286,1,MATCH(V$27,PREVIVAZ!$C$1:$N$1,1)))</f>
        <v>#N/A</v>
      </c>
      <c r="W312" s="202" t="e">
        <f ca="1">IFERROR(ROUND(INDEX(G:G,MATCH($T312,$A:$A,0)),0),INDEX(PREVIVAZ!$C286:$N286,1,MATCH(W$27,PREVIVAZ!$C$1:$N$1,1)))</f>
        <v>#N/A</v>
      </c>
      <c r="X312" s="202" t="e">
        <f ca="1">IFERROR(ROUND(INDEX(H:H,MATCH($T312,$A:$A,0)),0),INDEX(PREVIVAZ!$C286:$N286,1,MATCH(X$27,PREVIVAZ!$C$1:$N$1,1)))</f>
        <v>#N/A</v>
      </c>
      <c r="Y312" s="202" t="e">
        <f ca="1">IFERROR(ROUND(INDEX(I:I,MATCH($T312,$A:$A,0)),0),INDEX(PREVIVAZ!$C286:$N286,1,MATCH(Y$27,PREVIVAZ!$C$1:$N$1,1)))</f>
        <v>#N/A</v>
      </c>
      <c r="Z312" s="202" t="e">
        <f ca="1">IFERROR(ROUND(INDEX(J:J,MATCH($T312,$A:$A,0)),0),INDEX(PREVIVAZ!$C286:$N286,1,MATCH(Z$27,PREVIVAZ!$C$1:$N$1,1)))</f>
        <v>#N/A</v>
      </c>
      <c r="AA312" s="202" t="e">
        <f ca="1">IFERROR(ROUND(INDEX(K:K,MATCH($T312,$A:$A,0)),0),INDEX(PREVIVAZ!$C286:$N286,1,MATCH(AA$27,PREVIVAZ!$C$1:$N$1,1)))</f>
        <v>#N/A</v>
      </c>
      <c r="AB312" s="202" t="e">
        <f ca="1">IFERROR(ROUND(INDEX(L:L,MATCH($T312,$A:$A,0)),0),INDEX(PREVIVAZ!$C286:$N286,1,MATCH(AB$27,PREVIVAZ!$C$1:$N$1,1)))</f>
        <v>#N/A</v>
      </c>
      <c r="AC312" s="202" t="e">
        <f ca="1">IFERROR(ROUND(INDEX(M:M,MATCH($T312,$A:$A,0)),0),INDEX(PREVIVAZ!$C286:$N286,1,MATCH(AC$27,PREVIVAZ!$C$1:$N$1,1)))</f>
        <v>#N/A</v>
      </c>
      <c r="AD312" s="202" t="e">
        <f ca="1">IFERROR(ROUND(INDEX(N:N,MATCH($T312,$A:$A,0)),0),INDEX(PREVIVAZ!$C286:$N286,1,MATCH(AD$27,PREVIVAZ!$C$1:$N$1,1)))</f>
        <v>#N/A</v>
      </c>
      <c r="AE312" s="202" t="e">
        <f ca="1">IFERROR(ROUND(INDEX(O:O,MATCH($T312,$A:$A,0)),0),INDEX(PREVIVAZ!$C286:$N286,1,MATCH(AE$27,PREVIVAZ!$C$1:$N$1,1)))</f>
        <v>#N/A</v>
      </c>
      <c r="AF312" s="202" t="e">
        <f ca="1">IFERROR(ROUND(INDEX(P:P,MATCH($T312,$A:$A,0)),0),INDEX(PREVIVAZ!$C286:$N286,1,MATCH(AF$27,PREVIVAZ!$C$1:$N$1,1)))</f>
        <v>#N/A</v>
      </c>
      <c r="AG312" s="202" t="e">
        <f ca="1">IFERROR(ROUND(INDEX(Q:Q,MATCH($T312,$A:$A,0)),0),INDEX(PREVIVAZ!$C286:$N286,1,MATCH(AG$27,PREVIVAZ!$C$1:$N$1,1)))</f>
        <v>#N/A</v>
      </c>
    </row>
    <row r="313" spans="15:33" ht="12.75" x14ac:dyDescent="0.2">
      <c r="O313"/>
      <c r="P313"/>
      <c r="Q313"/>
      <c r="R313"/>
      <c r="S313"/>
      <c r="T313" s="272">
        <v>286</v>
      </c>
      <c r="V313" s="202">
        <f ca="1">IFERROR(ROUND(INDEX(F:F,MATCH($T313,$A:$A,0)),0),INDEX(PREVIVAZ!$C287:$N287,1,MATCH(V$27,PREVIVAZ!$C$1:$N$1,1)))</f>
        <v>0</v>
      </c>
      <c r="W313" s="202">
        <f ca="1">IFERROR(ROUND(INDEX(G:G,MATCH($T313,$A:$A,0)),0),INDEX(PREVIVAZ!$C287:$N287,1,MATCH(W$27,PREVIVAZ!$C$1:$N$1,1)))</f>
        <v>0</v>
      </c>
      <c r="X313" s="202">
        <f ca="1">IFERROR(ROUND(INDEX(H:H,MATCH($T313,$A:$A,0)),0),INDEX(PREVIVAZ!$C287:$N287,1,MATCH(X$27,PREVIVAZ!$C$1:$N$1,1)))</f>
        <v>0</v>
      </c>
      <c r="Y313" s="202">
        <f ca="1">IFERROR(ROUND(INDEX(I:I,MATCH($T313,$A:$A,0)),0),INDEX(PREVIVAZ!$C287:$N287,1,MATCH(Y$27,PREVIVAZ!$C$1:$N$1,1)))</f>
        <v>0</v>
      </c>
      <c r="Z313" s="202">
        <f ca="1">IFERROR(ROUND(INDEX(J:J,MATCH($T313,$A:$A,0)),0),INDEX(PREVIVAZ!$C287:$N287,1,MATCH(Z$27,PREVIVAZ!$C$1:$N$1,1)))</f>
        <v>0</v>
      </c>
      <c r="AA313" s="202">
        <f ca="1">IFERROR(ROUND(INDEX(K:K,MATCH($T313,$A:$A,0)),0),INDEX(PREVIVAZ!$C287:$N287,1,MATCH(AA$27,PREVIVAZ!$C$1:$N$1,1)))</f>
        <v>0</v>
      </c>
      <c r="AB313" s="202">
        <f ca="1">IFERROR(ROUND(INDEX(L:L,MATCH($T313,$A:$A,0)),0),INDEX(PREVIVAZ!$C287:$N287,1,MATCH(AB$27,PREVIVAZ!$C$1:$N$1,1)))</f>
        <v>0</v>
      </c>
      <c r="AC313" s="202">
        <f ca="1">IFERROR(ROUND(INDEX(M:M,MATCH($T313,$A:$A,0)),0),INDEX(PREVIVAZ!$C287:$N287,1,MATCH(AC$27,PREVIVAZ!$C$1:$N$1,1)))</f>
        <v>0</v>
      </c>
      <c r="AD313" s="202">
        <f ca="1">IFERROR(ROUND(INDEX(N:N,MATCH($T313,$A:$A,0)),0),INDEX(PREVIVAZ!$C287:$N287,1,MATCH(AD$27,PREVIVAZ!$C$1:$N$1,1)))</f>
        <v>0</v>
      </c>
      <c r="AE313" s="202">
        <f ca="1">IFERROR(ROUND(INDEX(O:O,MATCH($T313,$A:$A,0)),0),INDEX(PREVIVAZ!$C287:$N287,1,MATCH(AE$27,PREVIVAZ!$C$1:$N$1,1)))</f>
        <v>0</v>
      </c>
      <c r="AF313" s="202">
        <f ca="1">IFERROR(ROUND(INDEX(P:P,MATCH($T313,$A:$A,0)),0),INDEX(PREVIVAZ!$C287:$N287,1,MATCH(AF$27,PREVIVAZ!$C$1:$N$1,1)))</f>
        <v>0</v>
      </c>
      <c r="AG313" s="202">
        <f ca="1">IFERROR(ROUND(INDEX(Q:Q,MATCH($T313,$A:$A,0)),0),INDEX(PREVIVAZ!$C287:$N287,1,MATCH(AG$27,PREVIVAZ!$C$1:$N$1,1)))</f>
        <v>0</v>
      </c>
    </row>
    <row r="314" spans="15:33" ht="12.75" x14ac:dyDescent="0.2">
      <c r="O314"/>
      <c r="P314"/>
      <c r="Q314"/>
      <c r="R314"/>
      <c r="S314"/>
      <c r="T314" s="272">
        <v>287</v>
      </c>
      <c r="V314" s="202" t="e">
        <f ca="1">IFERROR(ROUND(INDEX(F:F,MATCH($T314,$A:$A,0)),0),INDEX(PREVIVAZ!$C288:$N288,1,MATCH(V$27,PREVIVAZ!$C$1:$N$1,1)))</f>
        <v>#N/A</v>
      </c>
      <c r="W314" s="202" t="e">
        <f ca="1">IFERROR(ROUND(INDEX(G:G,MATCH($T314,$A:$A,0)),0),INDEX(PREVIVAZ!$C288:$N288,1,MATCH(W$27,PREVIVAZ!$C$1:$N$1,1)))</f>
        <v>#N/A</v>
      </c>
      <c r="X314" s="202" t="e">
        <f ca="1">IFERROR(ROUND(INDEX(H:H,MATCH($T314,$A:$A,0)),0),INDEX(PREVIVAZ!$C288:$N288,1,MATCH(X$27,PREVIVAZ!$C$1:$N$1,1)))</f>
        <v>#N/A</v>
      </c>
      <c r="Y314" s="202" t="e">
        <f ca="1">IFERROR(ROUND(INDEX(I:I,MATCH($T314,$A:$A,0)),0),INDEX(PREVIVAZ!$C288:$N288,1,MATCH(Y$27,PREVIVAZ!$C$1:$N$1,1)))</f>
        <v>#N/A</v>
      </c>
      <c r="Z314" s="202" t="e">
        <f ca="1">IFERROR(ROUND(INDEX(J:J,MATCH($T314,$A:$A,0)),0),INDEX(PREVIVAZ!$C288:$N288,1,MATCH(Z$27,PREVIVAZ!$C$1:$N$1,1)))</f>
        <v>#N/A</v>
      </c>
      <c r="AA314" s="202" t="e">
        <f ca="1">IFERROR(ROUND(INDEX(K:K,MATCH($T314,$A:$A,0)),0),INDEX(PREVIVAZ!$C288:$N288,1,MATCH(AA$27,PREVIVAZ!$C$1:$N$1,1)))</f>
        <v>#N/A</v>
      </c>
      <c r="AB314" s="202" t="e">
        <f ca="1">IFERROR(ROUND(INDEX(L:L,MATCH($T314,$A:$A,0)),0),INDEX(PREVIVAZ!$C288:$N288,1,MATCH(AB$27,PREVIVAZ!$C$1:$N$1,1)))</f>
        <v>#N/A</v>
      </c>
      <c r="AC314" s="202" t="e">
        <f ca="1">IFERROR(ROUND(INDEX(M:M,MATCH($T314,$A:$A,0)),0),INDEX(PREVIVAZ!$C288:$N288,1,MATCH(AC$27,PREVIVAZ!$C$1:$N$1,1)))</f>
        <v>#N/A</v>
      </c>
      <c r="AD314" s="202" t="e">
        <f ca="1">IFERROR(ROUND(INDEX(N:N,MATCH($T314,$A:$A,0)),0),INDEX(PREVIVAZ!$C288:$N288,1,MATCH(AD$27,PREVIVAZ!$C$1:$N$1,1)))</f>
        <v>#N/A</v>
      </c>
      <c r="AE314" s="202" t="e">
        <f ca="1">IFERROR(ROUND(INDEX(O:O,MATCH($T314,$A:$A,0)),0),INDEX(PREVIVAZ!$C288:$N288,1,MATCH(AE$27,PREVIVAZ!$C$1:$N$1,1)))</f>
        <v>#N/A</v>
      </c>
      <c r="AF314" s="202" t="e">
        <f ca="1">IFERROR(ROUND(INDEX(P:P,MATCH($T314,$A:$A,0)),0),INDEX(PREVIVAZ!$C288:$N288,1,MATCH(AF$27,PREVIVAZ!$C$1:$N$1,1)))</f>
        <v>#N/A</v>
      </c>
      <c r="AG314" s="202" t="e">
        <f ca="1">IFERROR(ROUND(INDEX(Q:Q,MATCH($T314,$A:$A,0)),0),INDEX(PREVIVAZ!$C288:$N288,1,MATCH(AG$27,PREVIVAZ!$C$1:$N$1,1)))</f>
        <v>#N/A</v>
      </c>
    </row>
    <row r="315" spans="15:33" ht="12.75" x14ac:dyDescent="0.2">
      <c r="O315"/>
      <c r="P315"/>
      <c r="Q315"/>
      <c r="R315"/>
      <c r="S315"/>
      <c r="T315" s="272">
        <v>288</v>
      </c>
      <c r="V315" s="202" t="e">
        <f ca="1">IFERROR(ROUND(INDEX(F:F,MATCH($T315,$A:$A,0)),0),INDEX(PREVIVAZ!$C289:$N289,1,MATCH(V$27,PREVIVAZ!$C$1:$N$1,1)))</f>
        <v>#N/A</v>
      </c>
      <c r="W315" s="202" t="e">
        <f ca="1">IFERROR(ROUND(INDEX(G:G,MATCH($T315,$A:$A,0)),0),INDEX(PREVIVAZ!$C289:$N289,1,MATCH(W$27,PREVIVAZ!$C$1:$N$1,1)))</f>
        <v>#N/A</v>
      </c>
      <c r="X315" s="202" t="e">
        <f ca="1">IFERROR(ROUND(INDEX(H:H,MATCH($T315,$A:$A,0)),0),INDEX(PREVIVAZ!$C289:$N289,1,MATCH(X$27,PREVIVAZ!$C$1:$N$1,1)))</f>
        <v>#N/A</v>
      </c>
      <c r="Y315" s="202" t="e">
        <f ca="1">IFERROR(ROUND(INDEX(I:I,MATCH($T315,$A:$A,0)),0),INDEX(PREVIVAZ!$C289:$N289,1,MATCH(Y$27,PREVIVAZ!$C$1:$N$1,1)))</f>
        <v>#N/A</v>
      </c>
      <c r="Z315" s="202" t="e">
        <f ca="1">IFERROR(ROUND(INDEX(J:J,MATCH($T315,$A:$A,0)),0),INDEX(PREVIVAZ!$C289:$N289,1,MATCH(Z$27,PREVIVAZ!$C$1:$N$1,1)))</f>
        <v>#N/A</v>
      </c>
      <c r="AA315" s="202" t="e">
        <f ca="1">IFERROR(ROUND(INDEX(K:K,MATCH($T315,$A:$A,0)),0),INDEX(PREVIVAZ!$C289:$N289,1,MATCH(AA$27,PREVIVAZ!$C$1:$N$1,1)))</f>
        <v>#N/A</v>
      </c>
      <c r="AB315" s="202" t="e">
        <f ca="1">IFERROR(ROUND(INDEX(L:L,MATCH($T315,$A:$A,0)),0),INDEX(PREVIVAZ!$C289:$N289,1,MATCH(AB$27,PREVIVAZ!$C$1:$N$1,1)))</f>
        <v>#N/A</v>
      </c>
      <c r="AC315" s="202" t="e">
        <f ca="1">IFERROR(ROUND(INDEX(M:M,MATCH($T315,$A:$A,0)),0),INDEX(PREVIVAZ!$C289:$N289,1,MATCH(AC$27,PREVIVAZ!$C$1:$N$1,1)))</f>
        <v>#N/A</v>
      </c>
      <c r="AD315" s="202" t="e">
        <f ca="1">IFERROR(ROUND(INDEX(N:N,MATCH($T315,$A:$A,0)),0),INDEX(PREVIVAZ!$C289:$N289,1,MATCH(AD$27,PREVIVAZ!$C$1:$N$1,1)))</f>
        <v>#N/A</v>
      </c>
      <c r="AE315" s="202" t="e">
        <f ca="1">IFERROR(ROUND(INDEX(O:O,MATCH($T315,$A:$A,0)),0),INDEX(PREVIVAZ!$C289:$N289,1,MATCH(AE$27,PREVIVAZ!$C$1:$N$1,1)))</f>
        <v>#N/A</v>
      </c>
      <c r="AF315" s="202" t="e">
        <f ca="1">IFERROR(ROUND(INDEX(P:P,MATCH($T315,$A:$A,0)),0),INDEX(PREVIVAZ!$C289:$N289,1,MATCH(AF$27,PREVIVAZ!$C$1:$N$1,1)))</f>
        <v>#N/A</v>
      </c>
      <c r="AG315" s="202" t="e">
        <f ca="1">IFERROR(ROUND(INDEX(Q:Q,MATCH($T315,$A:$A,0)),0),INDEX(PREVIVAZ!$C289:$N289,1,MATCH(AG$27,PREVIVAZ!$C$1:$N$1,1)))</f>
        <v>#N/A</v>
      </c>
    </row>
    <row r="316" spans="15:33" ht="12.75" x14ac:dyDescent="0.2">
      <c r="O316"/>
      <c r="P316"/>
      <c r="Q316"/>
      <c r="R316"/>
      <c r="S316"/>
      <c r="T316" s="272">
        <v>289</v>
      </c>
      <c r="V316" s="202" t="e">
        <f ca="1">IFERROR(ROUND(INDEX(F:F,MATCH($T316,$A:$A,0)),0),INDEX(PREVIVAZ!$C290:$N290,1,MATCH(V$27,PREVIVAZ!$C$1:$N$1,1)))</f>
        <v>#N/A</v>
      </c>
      <c r="W316" s="202" t="e">
        <f ca="1">IFERROR(ROUND(INDEX(G:G,MATCH($T316,$A:$A,0)),0),INDEX(PREVIVAZ!$C290:$N290,1,MATCH(W$27,PREVIVAZ!$C$1:$N$1,1)))</f>
        <v>#N/A</v>
      </c>
      <c r="X316" s="202" t="e">
        <f ca="1">IFERROR(ROUND(INDEX(H:H,MATCH($T316,$A:$A,0)),0),INDEX(PREVIVAZ!$C290:$N290,1,MATCH(X$27,PREVIVAZ!$C$1:$N$1,1)))</f>
        <v>#N/A</v>
      </c>
      <c r="Y316" s="202" t="e">
        <f ca="1">IFERROR(ROUND(INDEX(I:I,MATCH($T316,$A:$A,0)),0),INDEX(PREVIVAZ!$C290:$N290,1,MATCH(Y$27,PREVIVAZ!$C$1:$N$1,1)))</f>
        <v>#N/A</v>
      </c>
      <c r="Z316" s="202" t="e">
        <f ca="1">IFERROR(ROUND(INDEX(J:J,MATCH($T316,$A:$A,0)),0),INDEX(PREVIVAZ!$C290:$N290,1,MATCH(Z$27,PREVIVAZ!$C$1:$N$1,1)))</f>
        <v>#N/A</v>
      </c>
      <c r="AA316" s="202" t="e">
        <f ca="1">IFERROR(ROUND(INDEX(K:K,MATCH($T316,$A:$A,0)),0),INDEX(PREVIVAZ!$C290:$N290,1,MATCH(AA$27,PREVIVAZ!$C$1:$N$1,1)))</f>
        <v>#N/A</v>
      </c>
      <c r="AB316" s="202" t="e">
        <f ca="1">IFERROR(ROUND(INDEX(L:L,MATCH($T316,$A:$A,0)),0),INDEX(PREVIVAZ!$C290:$N290,1,MATCH(AB$27,PREVIVAZ!$C$1:$N$1,1)))</f>
        <v>#N/A</v>
      </c>
      <c r="AC316" s="202" t="e">
        <f ca="1">IFERROR(ROUND(INDEX(M:M,MATCH($T316,$A:$A,0)),0),INDEX(PREVIVAZ!$C290:$N290,1,MATCH(AC$27,PREVIVAZ!$C$1:$N$1,1)))</f>
        <v>#N/A</v>
      </c>
      <c r="AD316" s="202" t="e">
        <f ca="1">IFERROR(ROUND(INDEX(N:N,MATCH($T316,$A:$A,0)),0),INDEX(PREVIVAZ!$C290:$N290,1,MATCH(AD$27,PREVIVAZ!$C$1:$N$1,1)))</f>
        <v>#N/A</v>
      </c>
      <c r="AE316" s="202" t="e">
        <f ca="1">IFERROR(ROUND(INDEX(O:O,MATCH($T316,$A:$A,0)),0),INDEX(PREVIVAZ!$C290:$N290,1,MATCH(AE$27,PREVIVAZ!$C$1:$N$1,1)))</f>
        <v>#N/A</v>
      </c>
      <c r="AF316" s="202" t="e">
        <f ca="1">IFERROR(ROUND(INDEX(P:P,MATCH($T316,$A:$A,0)),0),INDEX(PREVIVAZ!$C290:$N290,1,MATCH(AF$27,PREVIVAZ!$C$1:$N$1,1)))</f>
        <v>#N/A</v>
      </c>
      <c r="AG316" s="202" t="e">
        <f ca="1">IFERROR(ROUND(INDEX(Q:Q,MATCH($T316,$A:$A,0)),0),INDEX(PREVIVAZ!$C290:$N290,1,MATCH(AG$27,PREVIVAZ!$C$1:$N$1,1)))</f>
        <v>#N/A</v>
      </c>
    </row>
    <row r="317" spans="15:33" ht="12.75" x14ac:dyDescent="0.2">
      <c r="O317"/>
      <c r="P317"/>
      <c r="Q317"/>
      <c r="R317"/>
      <c r="S317"/>
      <c r="T317" s="272">
        <v>290</v>
      </c>
      <c r="V317" s="202" t="e">
        <f ca="1">IFERROR(ROUND(INDEX(F:F,MATCH($T317,$A:$A,0)),0),INDEX(PREVIVAZ!$C291:$N291,1,MATCH(V$27,PREVIVAZ!$C$1:$N$1,1)))</f>
        <v>#N/A</v>
      </c>
      <c r="W317" s="202" t="e">
        <f ca="1">IFERROR(ROUND(INDEX(G:G,MATCH($T317,$A:$A,0)),0),INDEX(PREVIVAZ!$C291:$N291,1,MATCH(W$27,PREVIVAZ!$C$1:$N$1,1)))</f>
        <v>#N/A</v>
      </c>
      <c r="X317" s="202" t="e">
        <f ca="1">IFERROR(ROUND(INDEX(H:H,MATCH($T317,$A:$A,0)),0),INDEX(PREVIVAZ!$C291:$N291,1,MATCH(X$27,PREVIVAZ!$C$1:$N$1,1)))</f>
        <v>#N/A</v>
      </c>
      <c r="Y317" s="202" t="e">
        <f ca="1">IFERROR(ROUND(INDEX(I:I,MATCH($T317,$A:$A,0)),0),INDEX(PREVIVAZ!$C291:$N291,1,MATCH(Y$27,PREVIVAZ!$C$1:$N$1,1)))</f>
        <v>#N/A</v>
      </c>
      <c r="Z317" s="202" t="e">
        <f ca="1">IFERROR(ROUND(INDEX(J:J,MATCH($T317,$A:$A,0)),0),INDEX(PREVIVAZ!$C291:$N291,1,MATCH(Z$27,PREVIVAZ!$C$1:$N$1,1)))</f>
        <v>#N/A</v>
      </c>
      <c r="AA317" s="202" t="e">
        <f ca="1">IFERROR(ROUND(INDEX(K:K,MATCH($T317,$A:$A,0)),0),INDEX(PREVIVAZ!$C291:$N291,1,MATCH(AA$27,PREVIVAZ!$C$1:$N$1,1)))</f>
        <v>#N/A</v>
      </c>
      <c r="AB317" s="202" t="e">
        <f ca="1">IFERROR(ROUND(INDEX(L:L,MATCH($T317,$A:$A,0)),0),INDEX(PREVIVAZ!$C291:$N291,1,MATCH(AB$27,PREVIVAZ!$C$1:$N$1,1)))</f>
        <v>#N/A</v>
      </c>
      <c r="AC317" s="202" t="e">
        <f ca="1">IFERROR(ROUND(INDEX(M:M,MATCH($T317,$A:$A,0)),0),INDEX(PREVIVAZ!$C291:$N291,1,MATCH(AC$27,PREVIVAZ!$C$1:$N$1,1)))</f>
        <v>#N/A</v>
      </c>
      <c r="AD317" s="202" t="e">
        <f ca="1">IFERROR(ROUND(INDEX(N:N,MATCH($T317,$A:$A,0)),0),INDEX(PREVIVAZ!$C291:$N291,1,MATCH(AD$27,PREVIVAZ!$C$1:$N$1,1)))</f>
        <v>#N/A</v>
      </c>
      <c r="AE317" s="202" t="e">
        <f ca="1">IFERROR(ROUND(INDEX(O:O,MATCH($T317,$A:$A,0)),0),INDEX(PREVIVAZ!$C291:$N291,1,MATCH(AE$27,PREVIVAZ!$C$1:$N$1,1)))</f>
        <v>#N/A</v>
      </c>
      <c r="AF317" s="202" t="e">
        <f ca="1">IFERROR(ROUND(INDEX(P:P,MATCH($T317,$A:$A,0)),0),INDEX(PREVIVAZ!$C291:$N291,1,MATCH(AF$27,PREVIVAZ!$C$1:$N$1,1)))</f>
        <v>#N/A</v>
      </c>
      <c r="AG317" s="202" t="e">
        <f ca="1">IFERROR(ROUND(INDEX(Q:Q,MATCH($T317,$A:$A,0)),0),INDEX(PREVIVAZ!$C291:$N291,1,MATCH(AG$27,PREVIVAZ!$C$1:$N$1,1)))</f>
        <v>#N/A</v>
      </c>
    </row>
    <row r="318" spans="15:33" ht="12.75" x14ac:dyDescent="0.2">
      <c r="O318"/>
      <c r="P318"/>
      <c r="Q318"/>
      <c r="R318"/>
      <c r="S318"/>
      <c r="T318" s="272">
        <v>291</v>
      </c>
      <c r="V318" s="202" t="e">
        <f ca="1">IFERROR(ROUND(INDEX(F:F,MATCH($T318,$A:$A,0)),0),INDEX(PREVIVAZ!$C292:$N292,1,MATCH(V$27,PREVIVAZ!$C$1:$N$1,1)))</f>
        <v>#N/A</v>
      </c>
      <c r="W318" s="202" t="e">
        <f ca="1">IFERROR(ROUND(INDEX(G:G,MATCH($T318,$A:$A,0)),0),INDEX(PREVIVAZ!$C292:$N292,1,MATCH(W$27,PREVIVAZ!$C$1:$N$1,1)))</f>
        <v>#N/A</v>
      </c>
      <c r="X318" s="202" t="e">
        <f ca="1">IFERROR(ROUND(INDEX(H:H,MATCH($T318,$A:$A,0)),0),INDEX(PREVIVAZ!$C292:$N292,1,MATCH(X$27,PREVIVAZ!$C$1:$N$1,1)))</f>
        <v>#N/A</v>
      </c>
      <c r="Y318" s="202" t="e">
        <f ca="1">IFERROR(ROUND(INDEX(I:I,MATCH($T318,$A:$A,0)),0),INDEX(PREVIVAZ!$C292:$N292,1,MATCH(Y$27,PREVIVAZ!$C$1:$N$1,1)))</f>
        <v>#N/A</v>
      </c>
      <c r="Z318" s="202" t="e">
        <f ca="1">IFERROR(ROUND(INDEX(J:J,MATCH($T318,$A:$A,0)),0),INDEX(PREVIVAZ!$C292:$N292,1,MATCH(Z$27,PREVIVAZ!$C$1:$N$1,1)))</f>
        <v>#N/A</v>
      </c>
      <c r="AA318" s="202" t="e">
        <f ca="1">IFERROR(ROUND(INDEX(K:K,MATCH($T318,$A:$A,0)),0),INDEX(PREVIVAZ!$C292:$N292,1,MATCH(AA$27,PREVIVAZ!$C$1:$N$1,1)))</f>
        <v>#N/A</v>
      </c>
      <c r="AB318" s="202" t="e">
        <f ca="1">IFERROR(ROUND(INDEX(L:L,MATCH($T318,$A:$A,0)),0),INDEX(PREVIVAZ!$C292:$N292,1,MATCH(AB$27,PREVIVAZ!$C$1:$N$1,1)))</f>
        <v>#N/A</v>
      </c>
      <c r="AC318" s="202" t="e">
        <f ca="1">IFERROR(ROUND(INDEX(M:M,MATCH($T318,$A:$A,0)),0),INDEX(PREVIVAZ!$C292:$N292,1,MATCH(AC$27,PREVIVAZ!$C$1:$N$1,1)))</f>
        <v>#N/A</v>
      </c>
      <c r="AD318" s="202" t="e">
        <f ca="1">IFERROR(ROUND(INDEX(N:N,MATCH($T318,$A:$A,0)),0),INDEX(PREVIVAZ!$C292:$N292,1,MATCH(AD$27,PREVIVAZ!$C$1:$N$1,1)))</f>
        <v>#N/A</v>
      </c>
      <c r="AE318" s="202" t="e">
        <f ca="1">IFERROR(ROUND(INDEX(O:O,MATCH($T318,$A:$A,0)),0),INDEX(PREVIVAZ!$C292:$N292,1,MATCH(AE$27,PREVIVAZ!$C$1:$N$1,1)))</f>
        <v>#N/A</v>
      </c>
      <c r="AF318" s="202" t="e">
        <f ca="1">IFERROR(ROUND(INDEX(P:P,MATCH($T318,$A:$A,0)),0),INDEX(PREVIVAZ!$C292:$N292,1,MATCH(AF$27,PREVIVAZ!$C$1:$N$1,1)))</f>
        <v>#N/A</v>
      </c>
      <c r="AG318" s="202" t="e">
        <f ca="1">IFERROR(ROUND(INDEX(Q:Q,MATCH($T318,$A:$A,0)),0),INDEX(PREVIVAZ!$C292:$N292,1,MATCH(AG$27,PREVIVAZ!$C$1:$N$1,1)))</f>
        <v>#N/A</v>
      </c>
    </row>
    <row r="319" spans="15:33" ht="12.75" x14ac:dyDescent="0.2">
      <c r="O319"/>
      <c r="P319"/>
      <c r="Q319"/>
      <c r="R319"/>
      <c r="S319"/>
      <c r="T319" s="272">
        <v>292</v>
      </c>
      <c r="V319" s="202" t="e">
        <f ca="1">IFERROR(ROUND(INDEX(F:F,MATCH($T319,$A:$A,0)),0),INDEX(PREVIVAZ!$C293:$N293,1,MATCH(V$27,PREVIVAZ!$C$1:$N$1,1)))</f>
        <v>#N/A</v>
      </c>
      <c r="W319" s="202" t="e">
        <f ca="1">IFERROR(ROUND(INDEX(G:G,MATCH($T319,$A:$A,0)),0),INDEX(PREVIVAZ!$C293:$N293,1,MATCH(W$27,PREVIVAZ!$C$1:$N$1,1)))</f>
        <v>#N/A</v>
      </c>
      <c r="X319" s="202" t="e">
        <f ca="1">IFERROR(ROUND(INDEX(H:H,MATCH($T319,$A:$A,0)),0),INDEX(PREVIVAZ!$C293:$N293,1,MATCH(X$27,PREVIVAZ!$C$1:$N$1,1)))</f>
        <v>#N/A</v>
      </c>
      <c r="Y319" s="202" t="e">
        <f ca="1">IFERROR(ROUND(INDEX(I:I,MATCH($T319,$A:$A,0)),0),INDEX(PREVIVAZ!$C293:$N293,1,MATCH(Y$27,PREVIVAZ!$C$1:$N$1,1)))</f>
        <v>#N/A</v>
      </c>
      <c r="Z319" s="202" t="e">
        <f ca="1">IFERROR(ROUND(INDEX(J:J,MATCH($T319,$A:$A,0)),0),INDEX(PREVIVAZ!$C293:$N293,1,MATCH(Z$27,PREVIVAZ!$C$1:$N$1,1)))</f>
        <v>#N/A</v>
      </c>
      <c r="AA319" s="202" t="e">
        <f ca="1">IFERROR(ROUND(INDEX(K:K,MATCH($T319,$A:$A,0)),0),INDEX(PREVIVAZ!$C293:$N293,1,MATCH(AA$27,PREVIVAZ!$C$1:$N$1,1)))</f>
        <v>#N/A</v>
      </c>
      <c r="AB319" s="202" t="e">
        <f ca="1">IFERROR(ROUND(INDEX(L:L,MATCH($T319,$A:$A,0)),0),INDEX(PREVIVAZ!$C293:$N293,1,MATCH(AB$27,PREVIVAZ!$C$1:$N$1,1)))</f>
        <v>#N/A</v>
      </c>
      <c r="AC319" s="202" t="e">
        <f ca="1">IFERROR(ROUND(INDEX(M:M,MATCH($T319,$A:$A,0)),0),INDEX(PREVIVAZ!$C293:$N293,1,MATCH(AC$27,PREVIVAZ!$C$1:$N$1,1)))</f>
        <v>#N/A</v>
      </c>
      <c r="AD319" s="202" t="e">
        <f ca="1">IFERROR(ROUND(INDEX(N:N,MATCH($T319,$A:$A,0)),0),INDEX(PREVIVAZ!$C293:$N293,1,MATCH(AD$27,PREVIVAZ!$C$1:$N$1,1)))</f>
        <v>#N/A</v>
      </c>
      <c r="AE319" s="202" t="e">
        <f ca="1">IFERROR(ROUND(INDEX(O:O,MATCH($T319,$A:$A,0)),0),INDEX(PREVIVAZ!$C293:$N293,1,MATCH(AE$27,PREVIVAZ!$C$1:$N$1,1)))</f>
        <v>#N/A</v>
      </c>
      <c r="AF319" s="202" t="e">
        <f ca="1">IFERROR(ROUND(INDEX(P:P,MATCH($T319,$A:$A,0)),0),INDEX(PREVIVAZ!$C293:$N293,1,MATCH(AF$27,PREVIVAZ!$C$1:$N$1,1)))</f>
        <v>#N/A</v>
      </c>
      <c r="AG319" s="202" t="e">
        <f ca="1">IFERROR(ROUND(INDEX(Q:Q,MATCH($T319,$A:$A,0)),0),INDEX(PREVIVAZ!$C293:$N293,1,MATCH(AG$27,PREVIVAZ!$C$1:$N$1,1)))</f>
        <v>#N/A</v>
      </c>
    </row>
    <row r="320" spans="15:33" ht="12.75" x14ac:dyDescent="0.2">
      <c r="O320"/>
      <c r="P320"/>
      <c r="Q320"/>
      <c r="R320"/>
      <c r="S320"/>
      <c r="T320" s="272">
        <v>293</v>
      </c>
      <c r="V320" s="202" t="e">
        <f ca="1">IFERROR(ROUND(INDEX(F:F,MATCH($T320,$A:$A,0)),0),INDEX(PREVIVAZ!$C294:$N294,1,MATCH(V$27,PREVIVAZ!$C$1:$N$1,1)))</f>
        <v>#N/A</v>
      </c>
      <c r="W320" s="202" t="e">
        <f ca="1">IFERROR(ROUND(INDEX(G:G,MATCH($T320,$A:$A,0)),0),INDEX(PREVIVAZ!$C294:$N294,1,MATCH(W$27,PREVIVAZ!$C$1:$N$1,1)))</f>
        <v>#N/A</v>
      </c>
      <c r="X320" s="202" t="e">
        <f ca="1">IFERROR(ROUND(INDEX(H:H,MATCH($T320,$A:$A,0)),0),INDEX(PREVIVAZ!$C294:$N294,1,MATCH(X$27,PREVIVAZ!$C$1:$N$1,1)))</f>
        <v>#N/A</v>
      </c>
      <c r="Y320" s="202" t="e">
        <f ca="1">IFERROR(ROUND(INDEX(I:I,MATCH($T320,$A:$A,0)),0),INDEX(PREVIVAZ!$C294:$N294,1,MATCH(Y$27,PREVIVAZ!$C$1:$N$1,1)))</f>
        <v>#N/A</v>
      </c>
      <c r="Z320" s="202" t="e">
        <f ca="1">IFERROR(ROUND(INDEX(J:J,MATCH($T320,$A:$A,0)),0),INDEX(PREVIVAZ!$C294:$N294,1,MATCH(Z$27,PREVIVAZ!$C$1:$N$1,1)))</f>
        <v>#N/A</v>
      </c>
      <c r="AA320" s="202" t="e">
        <f ca="1">IFERROR(ROUND(INDEX(K:K,MATCH($T320,$A:$A,0)),0),INDEX(PREVIVAZ!$C294:$N294,1,MATCH(AA$27,PREVIVAZ!$C$1:$N$1,1)))</f>
        <v>#N/A</v>
      </c>
      <c r="AB320" s="202" t="e">
        <f ca="1">IFERROR(ROUND(INDEX(L:L,MATCH($T320,$A:$A,0)),0),INDEX(PREVIVAZ!$C294:$N294,1,MATCH(AB$27,PREVIVAZ!$C$1:$N$1,1)))</f>
        <v>#N/A</v>
      </c>
      <c r="AC320" s="202" t="e">
        <f ca="1">IFERROR(ROUND(INDEX(M:M,MATCH($T320,$A:$A,0)),0),INDEX(PREVIVAZ!$C294:$N294,1,MATCH(AC$27,PREVIVAZ!$C$1:$N$1,1)))</f>
        <v>#N/A</v>
      </c>
      <c r="AD320" s="202" t="e">
        <f ca="1">IFERROR(ROUND(INDEX(N:N,MATCH($T320,$A:$A,0)),0),INDEX(PREVIVAZ!$C294:$N294,1,MATCH(AD$27,PREVIVAZ!$C$1:$N$1,1)))</f>
        <v>#N/A</v>
      </c>
      <c r="AE320" s="202" t="e">
        <f ca="1">IFERROR(ROUND(INDEX(O:O,MATCH($T320,$A:$A,0)),0),INDEX(PREVIVAZ!$C294:$N294,1,MATCH(AE$27,PREVIVAZ!$C$1:$N$1,1)))</f>
        <v>#N/A</v>
      </c>
      <c r="AF320" s="202" t="e">
        <f ca="1">IFERROR(ROUND(INDEX(P:P,MATCH($T320,$A:$A,0)),0),INDEX(PREVIVAZ!$C294:$N294,1,MATCH(AF$27,PREVIVAZ!$C$1:$N$1,1)))</f>
        <v>#N/A</v>
      </c>
      <c r="AG320" s="202" t="e">
        <f ca="1">IFERROR(ROUND(INDEX(Q:Q,MATCH($T320,$A:$A,0)),0),INDEX(PREVIVAZ!$C294:$N294,1,MATCH(AG$27,PREVIVAZ!$C$1:$N$1,1)))</f>
        <v>#N/A</v>
      </c>
    </row>
    <row r="321" spans="15:33" ht="12.75" x14ac:dyDescent="0.2">
      <c r="O321"/>
      <c r="P321"/>
      <c r="Q321"/>
      <c r="R321"/>
      <c r="S321"/>
      <c r="T321" s="272">
        <v>294</v>
      </c>
      <c r="V321" s="202" t="e">
        <f ca="1">IFERROR(ROUND(INDEX(F:F,MATCH($T321,$A:$A,0)),0),INDEX(PREVIVAZ!$C295:$N295,1,MATCH(V$27,PREVIVAZ!$C$1:$N$1,1)))</f>
        <v>#N/A</v>
      </c>
      <c r="W321" s="202" t="e">
        <f ca="1">IFERROR(ROUND(INDEX(G:G,MATCH($T321,$A:$A,0)),0),INDEX(PREVIVAZ!$C295:$N295,1,MATCH(W$27,PREVIVAZ!$C$1:$N$1,1)))</f>
        <v>#N/A</v>
      </c>
      <c r="X321" s="202" t="e">
        <f ca="1">IFERROR(ROUND(INDEX(H:H,MATCH($T321,$A:$A,0)),0),INDEX(PREVIVAZ!$C295:$N295,1,MATCH(X$27,PREVIVAZ!$C$1:$N$1,1)))</f>
        <v>#N/A</v>
      </c>
      <c r="Y321" s="202" t="e">
        <f ca="1">IFERROR(ROUND(INDEX(I:I,MATCH($T321,$A:$A,0)),0),INDEX(PREVIVAZ!$C295:$N295,1,MATCH(Y$27,PREVIVAZ!$C$1:$N$1,1)))</f>
        <v>#N/A</v>
      </c>
      <c r="Z321" s="202" t="e">
        <f ca="1">IFERROR(ROUND(INDEX(J:J,MATCH($T321,$A:$A,0)),0),INDEX(PREVIVAZ!$C295:$N295,1,MATCH(Z$27,PREVIVAZ!$C$1:$N$1,1)))</f>
        <v>#N/A</v>
      </c>
      <c r="AA321" s="202" t="e">
        <f ca="1">IFERROR(ROUND(INDEX(K:K,MATCH($T321,$A:$A,0)),0),INDEX(PREVIVAZ!$C295:$N295,1,MATCH(AA$27,PREVIVAZ!$C$1:$N$1,1)))</f>
        <v>#N/A</v>
      </c>
      <c r="AB321" s="202" t="e">
        <f ca="1">IFERROR(ROUND(INDEX(L:L,MATCH($T321,$A:$A,0)),0),INDEX(PREVIVAZ!$C295:$N295,1,MATCH(AB$27,PREVIVAZ!$C$1:$N$1,1)))</f>
        <v>#N/A</v>
      </c>
      <c r="AC321" s="202" t="e">
        <f ca="1">IFERROR(ROUND(INDEX(M:M,MATCH($T321,$A:$A,0)),0),INDEX(PREVIVAZ!$C295:$N295,1,MATCH(AC$27,PREVIVAZ!$C$1:$N$1,1)))</f>
        <v>#N/A</v>
      </c>
      <c r="AD321" s="202" t="e">
        <f ca="1">IFERROR(ROUND(INDEX(N:N,MATCH($T321,$A:$A,0)),0),INDEX(PREVIVAZ!$C295:$N295,1,MATCH(AD$27,PREVIVAZ!$C$1:$N$1,1)))</f>
        <v>#N/A</v>
      </c>
      <c r="AE321" s="202" t="e">
        <f ca="1">IFERROR(ROUND(INDEX(O:O,MATCH($T321,$A:$A,0)),0),INDEX(PREVIVAZ!$C295:$N295,1,MATCH(AE$27,PREVIVAZ!$C$1:$N$1,1)))</f>
        <v>#N/A</v>
      </c>
      <c r="AF321" s="202" t="e">
        <f ca="1">IFERROR(ROUND(INDEX(P:P,MATCH($T321,$A:$A,0)),0),INDEX(PREVIVAZ!$C295:$N295,1,MATCH(AF$27,PREVIVAZ!$C$1:$N$1,1)))</f>
        <v>#N/A</v>
      </c>
      <c r="AG321" s="202" t="e">
        <f ca="1">IFERROR(ROUND(INDEX(Q:Q,MATCH($T321,$A:$A,0)),0),INDEX(PREVIVAZ!$C295:$N295,1,MATCH(AG$27,PREVIVAZ!$C$1:$N$1,1)))</f>
        <v>#N/A</v>
      </c>
    </row>
    <row r="322" spans="15:33" ht="12.75" x14ac:dyDescent="0.2">
      <c r="O322"/>
      <c r="P322"/>
      <c r="Q322"/>
      <c r="R322"/>
      <c r="S322"/>
      <c r="T322" s="272">
        <v>295</v>
      </c>
      <c r="V322" s="202" t="e">
        <f ca="1">IFERROR(ROUND(INDEX(F:F,MATCH($T322,$A:$A,0)),0),INDEX(PREVIVAZ!$C296:$N296,1,MATCH(V$27,PREVIVAZ!$C$1:$N$1,1)))</f>
        <v>#N/A</v>
      </c>
      <c r="W322" s="202" t="e">
        <f ca="1">IFERROR(ROUND(INDEX(G:G,MATCH($T322,$A:$A,0)),0),INDEX(PREVIVAZ!$C296:$N296,1,MATCH(W$27,PREVIVAZ!$C$1:$N$1,1)))</f>
        <v>#N/A</v>
      </c>
      <c r="X322" s="202" t="e">
        <f ca="1">IFERROR(ROUND(INDEX(H:H,MATCH($T322,$A:$A,0)),0),INDEX(PREVIVAZ!$C296:$N296,1,MATCH(X$27,PREVIVAZ!$C$1:$N$1,1)))</f>
        <v>#N/A</v>
      </c>
      <c r="Y322" s="202" t="e">
        <f ca="1">IFERROR(ROUND(INDEX(I:I,MATCH($T322,$A:$A,0)),0),INDEX(PREVIVAZ!$C296:$N296,1,MATCH(Y$27,PREVIVAZ!$C$1:$N$1,1)))</f>
        <v>#N/A</v>
      </c>
      <c r="Z322" s="202" t="e">
        <f ca="1">IFERROR(ROUND(INDEX(J:J,MATCH($T322,$A:$A,0)),0),INDEX(PREVIVAZ!$C296:$N296,1,MATCH(Z$27,PREVIVAZ!$C$1:$N$1,1)))</f>
        <v>#N/A</v>
      </c>
      <c r="AA322" s="202" t="e">
        <f ca="1">IFERROR(ROUND(INDEX(K:K,MATCH($T322,$A:$A,0)),0),INDEX(PREVIVAZ!$C296:$N296,1,MATCH(AA$27,PREVIVAZ!$C$1:$N$1,1)))</f>
        <v>#N/A</v>
      </c>
      <c r="AB322" s="202" t="e">
        <f ca="1">IFERROR(ROUND(INDEX(L:L,MATCH($T322,$A:$A,0)),0),INDEX(PREVIVAZ!$C296:$N296,1,MATCH(AB$27,PREVIVAZ!$C$1:$N$1,1)))</f>
        <v>#N/A</v>
      </c>
      <c r="AC322" s="202" t="e">
        <f ca="1">IFERROR(ROUND(INDEX(M:M,MATCH($T322,$A:$A,0)),0),INDEX(PREVIVAZ!$C296:$N296,1,MATCH(AC$27,PREVIVAZ!$C$1:$N$1,1)))</f>
        <v>#N/A</v>
      </c>
      <c r="AD322" s="202" t="e">
        <f ca="1">IFERROR(ROUND(INDEX(N:N,MATCH($T322,$A:$A,0)),0),INDEX(PREVIVAZ!$C296:$N296,1,MATCH(AD$27,PREVIVAZ!$C$1:$N$1,1)))</f>
        <v>#N/A</v>
      </c>
      <c r="AE322" s="202" t="e">
        <f ca="1">IFERROR(ROUND(INDEX(O:O,MATCH($T322,$A:$A,0)),0),INDEX(PREVIVAZ!$C296:$N296,1,MATCH(AE$27,PREVIVAZ!$C$1:$N$1,1)))</f>
        <v>#N/A</v>
      </c>
      <c r="AF322" s="202" t="e">
        <f ca="1">IFERROR(ROUND(INDEX(P:P,MATCH($T322,$A:$A,0)),0),INDEX(PREVIVAZ!$C296:$N296,1,MATCH(AF$27,PREVIVAZ!$C$1:$N$1,1)))</f>
        <v>#N/A</v>
      </c>
      <c r="AG322" s="202" t="e">
        <f ca="1">IFERROR(ROUND(INDEX(Q:Q,MATCH($T322,$A:$A,0)),0),INDEX(PREVIVAZ!$C296:$N296,1,MATCH(AG$27,PREVIVAZ!$C$1:$N$1,1)))</f>
        <v>#N/A</v>
      </c>
    </row>
    <row r="323" spans="15:33" ht="12.75" x14ac:dyDescent="0.2">
      <c r="O323"/>
      <c r="P323"/>
      <c r="Q323"/>
      <c r="R323"/>
      <c r="S323"/>
      <c r="T323" s="272">
        <v>296</v>
      </c>
      <c r="V323" s="202" t="e">
        <f ca="1">IFERROR(ROUND(INDEX(F:F,MATCH($T323,$A:$A,0)),0),INDEX(PREVIVAZ!$C297:$N297,1,MATCH(V$27,PREVIVAZ!$C$1:$N$1,1)))</f>
        <v>#N/A</v>
      </c>
      <c r="W323" s="202" t="e">
        <f ca="1">IFERROR(ROUND(INDEX(G:G,MATCH($T323,$A:$A,0)),0),INDEX(PREVIVAZ!$C297:$N297,1,MATCH(W$27,PREVIVAZ!$C$1:$N$1,1)))</f>
        <v>#N/A</v>
      </c>
      <c r="X323" s="202" t="e">
        <f ca="1">IFERROR(ROUND(INDEX(H:H,MATCH($T323,$A:$A,0)),0),INDEX(PREVIVAZ!$C297:$N297,1,MATCH(X$27,PREVIVAZ!$C$1:$N$1,1)))</f>
        <v>#N/A</v>
      </c>
      <c r="Y323" s="202" t="e">
        <f ca="1">IFERROR(ROUND(INDEX(I:I,MATCH($T323,$A:$A,0)),0),INDEX(PREVIVAZ!$C297:$N297,1,MATCH(Y$27,PREVIVAZ!$C$1:$N$1,1)))</f>
        <v>#N/A</v>
      </c>
      <c r="Z323" s="202" t="e">
        <f ca="1">IFERROR(ROUND(INDEX(J:J,MATCH($T323,$A:$A,0)),0),INDEX(PREVIVAZ!$C297:$N297,1,MATCH(Z$27,PREVIVAZ!$C$1:$N$1,1)))</f>
        <v>#N/A</v>
      </c>
      <c r="AA323" s="202" t="e">
        <f ca="1">IFERROR(ROUND(INDEX(K:K,MATCH($T323,$A:$A,0)),0),INDEX(PREVIVAZ!$C297:$N297,1,MATCH(AA$27,PREVIVAZ!$C$1:$N$1,1)))</f>
        <v>#N/A</v>
      </c>
      <c r="AB323" s="202" t="e">
        <f ca="1">IFERROR(ROUND(INDEX(L:L,MATCH($T323,$A:$A,0)),0),INDEX(PREVIVAZ!$C297:$N297,1,MATCH(AB$27,PREVIVAZ!$C$1:$N$1,1)))</f>
        <v>#N/A</v>
      </c>
      <c r="AC323" s="202" t="e">
        <f ca="1">IFERROR(ROUND(INDEX(M:M,MATCH($T323,$A:$A,0)),0),INDEX(PREVIVAZ!$C297:$N297,1,MATCH(AC$27,PREVIVAZ!$C$1:$N$1,1)))</f>
        <v>#N/A</v>
      </c>
      <c r="AD323" s="202" t="e">
        <f ca="1">IFERROR(ROUND(INDEX(N:N,MATCH($T323,$A:$A,0)),0),INDEX(PREVIVAZ!$C297:$N297,1,MATCH(AD$27,PREVIVAZ!$C$1:$N$1,1)))</f>
        <v>#N/A</v>
      </c>
      <c r="AE323" s="202" t="e">
        <f ca="1">IFERROR(ROUND(INDEX(O:O,MATCH($T323,$A:$A,0)),0),INDEX(PREVIVAZ!$C297:$N297,1,MATCH(AE$27,PREVIVAZ!$C$1:$N$1,1)))</f>
        <v>#N/A</v>
      </c>
      <c r="AF323" s="202" t="e">
        <f ca="1">IFERROR(ROUND(INDEX(P:P,MATCH($T323,$A:$A,0)),0),INDEX(PREVIVAZ!$C297:$N297,1,MATCH(AF$27,PREVIVAZ!$C$1:$N$1,1)))</f>
        <v>#N/A</v>
      </c>
      <c r="AG323" s="202" t="e">
        <f ca="1">IFERROR(ROUND(INDEX(Q:Q,MATCH($T323,$A:$A,0)),0),INDEX(PREVIVAZ!$C297:$N297,1,MATCH(AG$27,PREVIVAZ!$C$1:$N$1,1)))</f>
        <v>#N/A</v>
      </c>
    </row>
    <row r="324" spans="15:33" ht="12.75" x14ac:dyDescent="0.2">
      <c r="O324"/>
      <c r="P324"/>
      <c r="Q324"/>
      <c r="R324"/>
      <c r="S324"/>
      <c r="T324" s="272">
        <v>297</v>
      </c>
      <c r="V324" s="202" t="e">
        <f ca="1">IFERROR(ROUND(INDEX(F:F,MATCH($T324,$A:$A,0)),0),INDEX(PREVIVAZ!$C298:$N298,1,MATCH(V$27,PREVIVAZ!$C$1:$N$1,1)))</f>
        <v>#N/A</v>
      </c>
      <c r="W324" s="202" t="e">
        <f ca="1">IFERROR(ROUND(INDEX(G:G,MATCH($T324,$A:$A,0)),0),INDEX(PREVIVAZ!$C298:$N298,1,MATCH(W$27,PREVIVAZ!$C$1:$N$1,1)))</f>
        <v>#N/A</v>
      </c>
      <c r="X324" s="202" t="e">
        <f ca="1">IFERROR(ROUND(INDEX(H:H,MATCH($T324,$A:$A,0)),0),INDEX(PREVIVAZ!$C298:$N298,1,MATCH(X$27,PREVIVAZ!$C$1:$N$1,1)))</f>
        <v>#N/A</v>
      </c>
      <c r="Y324" s="202" t="e">
        <f ca="1">IFERROR(ROUND(INDEX(I:I,MATCH($T324,$A:$A,0)),0),INDEX(PREVIVAZ!$C298:$N298,1,MATCH(Y$27,PREVIVAZ!$C$1:$N$1,1)))</f>
        <v>#N/A</v>
      </c>
      <c r="Z324" s="202" t="e">
        <f ca="1">IFERROR(ROUND(INDEX(J:J,MATCH($T324,$A:$A,0)),0),INDEX(PREVIVAZ!$C298:$N298,1,MATCH(Z$27,PREVIVAZ!$C$1:$N$1,1)))</f>
        <v>#N/A</v>
      </c>
      <c r="AA324" s="202" t="e">
        <f ca="1">IFERROR(ROUND(INDEX(K:K,MATCH($T324,$A:$A,0)),0),INDEX(PREVIVAZ!$C298:$N298,1,MATCH(AA$27,PREVIVAZ!$C$1:$N$1,1)))</f>
        <v>#N/A</v>
      </c>
      <c r="AB324" s="202" t="e">
        <f ca="1">IFERROR(ROUND(INDEX(L:L,MATCH($T324,$A:$A,0)),0),INDEX(PREVIVAZ!$C298:$N298,1,MATCH(AB$27,PREVIVAZ!$C$1:$N$1,1)))</f>
        <v>#N/A</v>
      </c>
      <c r="AC324" s="202" t="e">
        <f ca="1">IFERROR(ROUND(INDEX(M:M,MATCH($T324,$A:$A,0)),0),INDEX(PREVIVAZ!$C298:$N298,1,MATCH(AC$27,PREVIVAZ!$C$1:$N$1,1)))</f>
        <v>#N/A</v>
      </c>
      <c r="AD324" s="202" t="e">
        <f ca="1">IFERROR(ROUND(INDEX(N:N,MATCH($T324,$A:$A,0)),0),INDEX(PREVIVAZ!$C298:$N298,1,MATCH(AD$27,PREVIVAZ!$C$1:$N$1,1)))</f>
        <v>#N/A</v>
      </c>
      <c r="AE324" s="202" t="e">
        <f ca="1">IFERROR(ROUND(INDEX(O:O,MATCH($T324,$A:$A,0)),0),INDEX(PREVIVAZ!$C298:$N298,1,MATCH(AE$27,PREVIVAZ!$C$1:$N$1,1)))</f>
        <v>#N/A</v>
      </c>
      <c r="AF324" s="202" t="e">
        <f ca="1">IFERROR(ROUND(INDEX(P:P,MATCH($T324,$A:$A,0)),0),INDEX(PREVIVAZ!$C298:$N298,1,MATCH(AF$27,PREVIVAZ!$C$1:$N$1,1)))</f>
        <v>#N/A</v>
      </c>
      <c r="AG324" s="202" t="e">
        <f ca="1">IFERROR(ROUND(INDEX(Q:Q,MATCH($T324,$A:$A,0)),0),INDEX(PREVIVAZ!$C298:$N298,1,MATCH(AG$27,PREVIVAZ!$C$1:$N$1,1)))</f>
        <v>#N/A</v>
      </c>
    </row>
    <row r="325" spans="15:33" ht="12.75" x14ac:dyDescent="0.2">
      <c r="O325"/>
      <c r="P325"/>
      <c r="Q325"/>
      <c r="R325"/>
      <c r="S325"/>
      <c r="T325" s="272">
        <v>298</v>
      </c>
      <c r="V325" s="202" t="e">
        <f ca="1">IFERROR(ROUND(INDEX(F:F,MATCH($T325,$A:$A,0)),0),INDEX(PREVIVAZ!$C299:$N299,1,MATCH(V$27,PREVIVAZ!$C$1:$N$1,1)))</f>
        <v>#N/A</v>
      </c>
      <c r="W325" s="202" t="e">
        <f ca="1">IFERROR(ROUND(INDEX(G:G,MATCH($T325,$A:$A,0)),0),INDEX(PREVIVAZ!$C299:$N299,1,MATCH(W$27,PREVIVAZ!$C$1:$N$1,1)))</f>
        <v>#N/A</v>
      </c>
      <c r="X325" s="202" t="e">
        <f ca="1">IFERROR(ROUND(INDEX(H:H,MATCH($T325,$A:$A,0)),0),INDEX(PREVIVAZ!$C299:$N299,1,MATCH(X$27,PREVIVAZ!$C$1:$N$1,1)))</f>
        <v>#N/A</v>
      </c>
      <c r="Y325" s="202" t="e">
        <f ca="1">IFERROR(ROUND(INDEX(I:I,MATCH($T325,$A:$A,0)),0),INDEX(PREVIVAZ!$C299:$N299,1,MATCH(Y$27,PREVIVAZ!$C$1:$N$1,1)))</f>
        <v>#N/A</v>
      </c>
      <c r="Z325" s="202" t="e">
        <f ca="1">IFERROR(ROUND(INDEX(J:J,MATCH($T325,$A:$A,0)),0),INDEX(PREVIVAZ!$C299:$N299,1,MATCH(Z$27,PREVIVAZ!$C$1:$N$1,1)))</f>
        <v>#N/A</v>
      </c>
      <c r="AA325" s="202" t="e">
        <f ca="1">IFERROR(ROUND(INDEX(K:K,MATCH($T325,$A:$A,0)),0),INDEX(PREVIVAZ!$C299:$N299,1,MATCH(AA$27,PREVIVAZ!$C$1:$N$1,1)))</f>
        <v>#N/A</v>
      </c>
      <c r="AB325" s="202" t="e">
        <f ca="1">IFERROR(ROUND(INDEX(L:L,MATCH($T325,$A:$A,0)),0),INDEX(PREVIVAZ!$C299:$N299,1,MATCH(AB$27,PREVIVAZ!$C$1:$N$1,1)))</f>
        <v>#N/A</v>
      </c>
      <c r="AC325" s="202" t="e">
        <f ca="1">IFERROR(ROUND(INDEX(M:M,MATCH($T325,$A:$A,0)),0),INDEX(PREVIVAZ!$C299:$N299,1,MATCH(AC$27,PREVIVAZ!$C$1:$N$1,1)))</f>
        <v>#N/A</v>
      </c>
      <c r="AD325" s="202" t="e">
        <f ca="1">IFERROR(ROUND(INDEX(N:N,MATCH($T325,$A:$A,0)),0),INDEX(PREVIVAZ!$C299:$N299,1,MATCH(AD$27,PREVIVAZ!$C$1:$N$1,1)))</f>
        <v>#N/A</v>
      </c>
      <c r="AE325" s="202" t="e">
        <f ca="1">IFERROR(ROUND(INDEX(O:O,MATCH($T325,$A:$A,0)),0),INDEX(PREVIVAZ!$C299:$N299,1,MATCH(AE$27,PREVIVAZ!$C$1:$N$1,1)))</f>
        <v>#N/A</v>
      </c>
      <c r="AF325" s="202" t="e">
        <f ca="1">IFERROR(ROUND(INDEX(P:P,MATCH($T325,$A:$A,0)),0),INDEX(PREVIVAZ!$C299:$N299,1,MATCH(AF$27,PREVIVAZ!$C$1:$N$1,1)))</f>
        <v>#N/A</v>
      </c>
      <c r="AG325" s="202" t="e">
        <f ca="1">IFERROR(ROUND(INDEX(Q:Q,MATCH($T325,$A:$A,0)),0),INDEX(PREVIVAZ!$C299:$N299,1,MATCH(AG$27,PREVIVAZ!$C$1:$N$1,1)))</f>
        <v>#N/A</v>
      </c>
    </row>
    <row r="326" spans="15:33" ht="12.75" x14ac:dyDescent="0.2">
      <c r="O326"/>
      <c r="P326"/>
      <c r="Q326"/>
      <c r="R326"/>
      <c r="S326"/>
      <c r="T326" s="272">
        <v>299</v>
      </c>
      <c r="V326" s="202" t="e">
        <f ca="1">IFERROR(ROUND(INDEX(F:F,MATCH($T326,$A:$A,0)),0),INDEX(PREVIVAZ!$C300:$N300,1,MATCH(V$27,PREVIVAZ!$C$1:$N$1,1)))</f>
        <v>#N/A</v>
      </c>
      <c r="W326" s="202" t="e">
        <f ca="1">IFERROR(ROUND(INDEX(G:G,MATCH($T326,$A:$A,0)),0),INDEX(PREVIVAZ!$C300:$N300,1,MATCH(W$27,PREVIVAZ!$C$1:$N$1,1)))</f>
        <v>#N/A</v>
      </c>
      <c r="X326" s="202" t="e">
        <f ca="1">IFERROR(ROUND(INDEX(H:H,MATCH($T326,$A:$A,0)),0),INDEX(PREVIVAZ!$C300:$N300,1,MATCH(X$27,PREVIVAZ!$C$1:$N$1,1)))</f>
        <v>#N/A</v>
      </c>
      <c r="Y326" s="202" t="e">
        <f ca="1">IFERROR(ROUND(INDEX(I:I,MATCH($T326,$A:$A,0)),0),INDEX(PREVIVAZ!$C300:$N300,1,MATCH(Y$27,PREVIVAZ!$C$1:$N$1,1)))</f>
        <v>#N/A</v>
      </c>
      <c r="Z326" s="202" t="e">
        <f ca="1">IFERROR(ROUND(INDEX(J:J,MATCH($T326,$A:$A,0)),0),INDEX(PREVIVAZ!$C300:$N300,1,MATCH(Z$27,PREVIVAZ!$C$1:$N$1,1)))</f>
        <v>#N/A</v>
      </c>
      <c r="AA326" s="202" t="e">
        <f ca="1">IFERROR(ROUND(INDEX(K:K,MATCH($T326,$A:$A,0)),0),INDEX(PREVIVAZ!$C300:$N300,1,MATCH(AA$27,PREVIVAZ!$C$1:$N$1,1)))</f>
        <v>#N/A</v>
      </c>
      <c r="AB326" s="202" t="e">
        <f ca="1">IFERROR(ROUND(INDEX(L:L,MATCH($T326,$A:$A,0)),0),INDEX(PREVIVAZ!$C300:$N300,1,MATCH(AB$27,PREVIVAZ!$C$1:$N$1,1)))</f>
        <v>#N/A</v>
      </c>
      <c r="AC326" s="202" t="e">
        <f ca="1">IFERROR(ROUND(INDEX(M:M,MATCH($T326,$A:$A,0)),0),INDEX(PREVIVAZ!$C300:$N300,1,MATCH(AC$27,PREVIVAZ!$C$1:$N$1,1)))</f>
        <v>#N/A</v>
      </c>
      <c r="AD326" s="202" t="e">
        <f ca="1">IFERROR(ROUND(INDEX(N:N,MATCH($T326,$A:$A,0)),0),INDEX(PREVIVAZ!$C300:$N300,1,MATCH(AD$27,PREVIVAZ!$C$1:$N$1,1)))</f>
        <v>#N/A</v>
      </c>
      <c r="AE326" s="202" t="e">
        <f ca="1">IFERROR(ROUND(INDEX(O:O,MATCH($T326,$A:$A,0)),0),INDEX(PREVIVAZ!$C300:$N300,1,MATCH(AE$27,PREVIVAZ!$C$1:$N$1,1)))</f>
        <v>#N/A</v>
      </c>
      <c r="AF326" s="202" t="e">
        <f ca="1">IFERROR(ROUND(INDEX(P:P,MATCH($T326,$A:$A,0)),0),INDEX(PREVIVAZ!$C300:$N300,1,MATCH(AF$27,PREVIVAZ!$C$1:$N$1,1)))</f>
        <v>#N/A</v>
      </c>
      <c r="AG326" s="202" t="e">
        <f ca="1">IFERROR(ROUND(INDEX(Q:Q,MATCH($T326,$A:$A,0)),0),INDEX(PREVIVAZ!$C300:$N300,1,MATCH(AG$27,PREVIVAZ!$C$1:$N$1,1)))</f>
        <v>#N/A</v>
      </c>
    </row>
    <row r="327" spans="15:33" ht="12.75" x14ac:dyDescent="0.2">
      <c r="O327"/>
      <c r="P327"/>
      <c r="Q327"/>
      <c r="R327"/>
      <c r="S327"/>
      <c r="T327" s="272">
        <v>300</v>
      </c>
      <c r="V327" s="202" t="e">
        <f ca="1">IFERROR(ROUND(INDEX(F:F,MATCH($T327,$A:$A,0)),0),INDEX(PREVIVAZ!$C301:$N301,1,MATCH(V$27,PREVIVAZ!$C$1:$N$1,1)))</f>
        <v>#N/A</v>
      </c>
      <c r="W327" s="202" t="e">
        <f ca="1">IFERROR(ROUND(INDEX(G:G,MATCH($T327,$A:$A,0)),0),INDEX(PREVIVAZ!$C301:$N301,1,MATCH(W$27,PREVIVAZ!$C$1:$N$1,1)))</f>
        <v>#N/A</v>
      </c>
      <c r="X327" s="202" t="e">
        <f ca="1">IFERROR(ROUND(INDEX(H:H,MATCH($T327,$A:$A,0)),0),INDEX(PREVIVAZ!$C301:$N301,1,MATCH(X$27,PREVIVAZ!$C$1:$N$1,1)))</f>
        <v>#N/A</v>
      </c>
      <c r="Y327" s="202" t="e">
        <f ca="1">IFERROR(ROUND(INDEX(I:I,MATCH($T327,$A:$A,0)),0),INDEX(PREVIVAZ!$C301:$N301,1,MATCH(Y$27,PREVIVAZ!$C$1:$N$1,1)))</f>
        <v>#N/A</v>
      </c>
      <c r="Z327" s="202" t="e">
        <f ca="1">IFERROR(ROUND(INDEX(J:J,MATCH($T327,$A:$A,0)),0),INDEX(PREVIVAZ!$C301:$N301,1,MATCH(Z$27,PREVIVAZ!$C$1:$N$1,1)))</f>
        <v>#N/A</v>
      </c>
      <c r="AA327" s="202" t="e">
        <f ca="1">IFERROR(ROUND(INDEX(K:K,MATCH($T327,$A:$A,0)),0),INDEX(PREVIVAZ!$C301:$N301,1,MATCH(AA$27,PREVIVAZ!$C$1:$N$1,1)))</f>
        <v>#N/A</v>
      </c>
      <c r="AB327" s="202" t="e">
        <f ca="1">IFERROR(ROUND(INDEX(L:L,MATCH($T327,$A:$A,0)),0),INDEX(PREVIVAZ!$C301:$N301,1,MATCH(AB$27,PREVIVAZ!$C$1:$N$1,1)))</f>
        <v>#N/A</v>
      </c>
      <c r="AC327" s="202" t="e">
        <f ca="1">IFERROR(ROUND(INDEX(M:M,MATCH($T327,$A:$A,0)),0),INDEX(PREVIVAZ!$C301:$N301,1,MATCH(AC$27,PREVIVAZ!$C$1:$N$1,1)))</f>
        <v>#N/A</v>
      </c>
      <c r="AD327" s="202" t="e">
        <f ca="1">IFERROR(ROUND(INDEX(N:N,MATCH($T327,$A:$A,0)),0),INDEX(PREVIVAZ!$C301:$N301,1,MATCH(AD$27,PREVIVAZ!$C$1:$N$1,1)))</f>
        <v>#N/A</v>
      </c>
      <c r="AE327" s="202" t="e">
        <f ca="1">IFERROR(ROUND(INDEX(O:O,MATCH($T327,$A:$A,0)),0),INDEX(PREVIVAZ!$C301:$N301,1,MATCH(AE$27,PREVIVAZ!$C$1:$N$1,1)))</f>
        <v>#N/A</v>
      </c>
      <c r="AF327" s="202" t="e">
        <f ca="1">IFERROR(ROUND(INDEX(P:P,MATCH($T327,$A:$A,0)),0),INDEX(PREVIVAZ!$C301:$N301,1,MATCH(AF$27,PREVIVAZ!$C$1:$N$1,1)))</f>
        <v>#N/A</v>
      </c>
      <c r="AG327" s="202" t="e">
        <f ca="1">IFERROR(ROUND(INDEX(Q:Q,MATCH($T327,$A:$A,0)),0),INDEX(PREVIVAZ!$C301:$N301,1,MATCH(AG$27,PREVIVAZ!$C$1:$N$1,1)))</f>
        <v>#N/A</v>
      </c>
    </row>
    <row r="328" spans="15:33" ht="12.75" x14ac:dyDescent="0.2">
      <c r="O328"/>
      <c r="P328"/>
      <c r="Q328"/>
      <c r="R328"/>
      <c r="S328"/>
      <c r="T328" s="272">
        <v>301</v>
      </c>
      <c r="V328" s="202" t="e">
        <f ca="1">IFERROR(ROUND(INDEX(F:F,MATCH($T328,$A:$A,0)),0),INDEX(PREVIVAZ!$C302:$N302,1,MATCH(V$27,PREVIVAZ!$C$1:$N$1,1)))</f>
        <v>#N/A</v>
      </c>
      <c r="W328" s="202" t="e">
        <f ca="1">IFERROR(ROUND(INDEX(G:G,MATCH($T328,$A:$A,0)),0),INDEX(PREVIVAZ!$C302:$N302,1,MATCH(W$27,PREVIVAZ!$C$1:$N$1,1)))</f>
        <v>#N/A</v>
      </c>
      <c r="X328" s="202" t="e">
        <f ca="1">IFERROR(ROUND(INDEX(H:H,MATCH($T328,$A:$A,0)),0),INDEX(PREVIVAZ!$C302:$N302,1,MATCH(X$27,PREVIVAZ!$C$1:$N$1,1)))</f>
        <v>#N/A</v>
      </c>
      <c r="Y328" s="202" t="e">
        <f ca="1">IFERROR(ROUND(INDEX(I:I,MATCH($T328,$A:$A,0)),0),INDEX(PREVIVAZ!$C302:$N302,1,MATCH(Y$27,PREVIVAZ!$C$1:$N$1,1)))</f>
        <v>#N/A</v>
      </c>
      <c r="Z328" s="202" t="e">
        <f ca="1">IFERROR(ROUND(INDEX(J:J,MATCH($T328,$A:$A,0)),0),INDEX(PREVIVAZ!$C302:$N302,1,MATCH(Z$27,PREVIVAZ!$C$1:$N$1,1)))</f>
        <v>#N/A</v>
      </c>
      <c r="AA328" s="202" t="e">
        <f ca="1">IFERROR(ROUND(INDEX(K:K,MATCH($T328,$A:$A,0)),0),INDEX(PREVIVAZ!$C302:$N302,1,MATCH(AA$27,PREVIVAZ!$C$1:$N$1,1)))</f>
        <v>#N/A</v>
      </c>
      <c r="AB328" s="202" t="e">
        <f ca="1">IFERROR(ROUND(INDEX(L:L,MATCH($T328,$A:$A,0)),0),INDEX(PREVIVAZ!$C302:$N302,1,MATCH(AB$27,PREVIVAZ!$C$1:$N$1,1)))</f>
        <v>#N/A</v>
      </c>
      <c r="AC328" s="202" t="e">
        <f ca="1">IFERROR(ROUND(INDEX(M:M,MATCH($T328,$A:$A,0)),0),INDEX(PREVIVAZ!$C302:$N302,1,MATCH(AC$27,PREVIVAZ!$C$1:$N$1,1)))</f>
        <v>#N/A</v>
      </c>
      <c r="AD328" s="202" t="e">
        <f ca="1">IFERROR(ROUND(INDEX(N:N,MATCH($T328,$A:$A,0)),0),INDEX(PREVIVAZ!$C302:$N302,1,MATCH(AD$27,PREVIVAZ!$C$1:$N$1,1)))</f>
        <v>#N/A</v>
      </c>
      <c r="AE328" s="202" t="e">
        <f ca="1">IFERROR(ROUND(INDEX(O:O,MATCH($T328,$A:$A,0)),0),INDEX(PREVIVAZ!$C302:$N302,1,MATCH(AE$27,PREVIVAZ!$C$1:$N$1,1)))</f>
        <v>#N/A</v>
      </c>
      <c r="AF328" s="202" t="e">
        <f ca="1">IFERROR(ROUND(INDEX(P:P,MATCH($T328,$A:$A,0)),0),INDEX(PREVIVAZ!$C302:$N302,1,MATCH(AF$27,PREVIVAZ!$C$1:$N$1,1)))</f>
        <v>#N/A</v>
      </c>
      <c r="AG328" s="202" t="e">
        <f ca="1">IFERROR(ROUND(INDEX(Q:Q,MATCH($T328,$A:$A,0)),0),INDEX(PREVIVAZ!$C302:$N302,1,MATCH(AG$27,PREVIVAZ!$C$1:$N$1,1)))</f>
        <v>#N/A</v>
      </c>
    </row>
    <row r="329" spans="15:33" ht="12.75" x14ac:dyDescent="0.2">
      <c r="O329"/>
      <c r="P329"/>
      <c r="Q329"/>
      <c r="R329"/>
      <c r="S329"/>
      <c r="T329" s="272">
        <v>302</v>
      </c>
      <c r="V329" s="202" t="e">
        <f ca="1">IFERROR(ROUND(INDEX(F:F,MATCH($T329,$A:$A,0)),0),INDEX(PREVIVAZ!$C303:$N303,1,MATCH(V$27,PREVIVAZ!$C$1:$N$1,1)))</f>
        <v>#N/A</v>
      </c>
      <c r="W329" s="202" t="e">
        <f ca="1">IFERROR(ROUND(INDEX(G:G,MATCH($T329,$A:$A,0)),0),INDEX(PREVIVAZ!$C303:$N303,1,MATCH(W$27,PREVIVAZ!$C$1:$N$1,1)))</f>
        <v>#N/A</v>
      </c>
      <c r="X329" s="202" t="e">
        <f ca="1">IFERROR(ROUND(INDEX(H:H,MATCH($T329,$A:$A,0)),0),INDEX(PREVIVAZ!$C303:$N303,1,MATCH(X$27,PREVIVAZ!$C$1:$N$1,1)))</f>
        <v>#N/A</v>
      </c>
      <c r="Y329" s="202" t="e">
        <f ca="1">IFERROR(ROUND(INDEX(I:I,MATCH($T329,$A:$A,0)),0),INDEX(PREVIVAZ!$C303:$N303,1,MATCH(Y$27,PREVIVAZ!$C$1:$N$1,1)))</f>
        <v>#N/A</v>
      </c>
      <c r="Z329" s="202" t="e">
        <f ca="1">IFERROR(ROUND(INDEX(J:J,MATCH($T329,$A:$A,0)),0),INDEX(PREVIVAZ!$C303:$N303,1,MATCH(Z$27,PREVIVAZ!$C$1:$N$1,1)))</f>
        <v>#N/A</v>
      </c>
      <c r="AA329" s="202" t="e">
        <f ca="1">IFERROR(ROUND(INDEX(K:K,MATCH($T329,$A:$A,0)),0),INDEX(PREVIVAZ!$C303:$N303,1,MATCH(AA$27,PREVIVAZ!$C$1:$N$1,1)))</f>
        <v>#N/A</v>
      </c>
      <c r="AB329" s="202" t="e">
        <f ca="1">IFERROR(ROUND(INDEX(L:L,MATCH($T329,$A:$A,0)),0),INDEX(PREVIVAZ!$C303:$N303,1,MATCH(AB$27,PREVIVAZ!$C$1:$N$1,1)))</f>
        <v>#N/A</v>
      </c>
      <c r="AC329" s="202" t="e">
        <f ca="1">IFERROR(ROUND(INDEX(M:M,MATCH($T329,$A:$A,0)),0),INDEX(PREVIVAZ!$C303:$N303,1,MATCH(AC$27,PREVIVAZ!$C$1:$N$1,1)))</f>
        <v>#N/A</v>
      </c>
      <c r="AD329" s="202" t="e">
        <f ca="1">IFERROR(ROUND(INDEX(N:N,MATCH($T329,$A:$A,0)),0),INDEX(PREVIVAZ!$C303:$N303,1,MATCH(AD$27,PREVIVAZ!$C$1:$N$1,1)))</f>
        <v>#N/A</v>
      </c>
      <c r="AE329" s="202" t="e">
        <f ca="1">IFERROR(ROUND(INDEX(O:O,MATCH($T329,$A:$A,0)),0),INDEX(PREVIVAZ!$C303:$N303,1,MATCH(AE$27,PREVIVAZ!$C$1:$N$1,1)))</f>
        <v>#N/A</v>
      </c>
      <c r="AF329" s="202" t="e">
        <f ca="1">IFERROR(ROUND(INDEX(P:P,MATCH($T329,$A:$A,0)),0),INDEX(PREVIVAZ!$C303:$N303,1,MATCH(AF$27,PREVIVAZ!$C$1:$N$1,1)))</f>
        <v>#N/A</v>
      </c>
      <c r="AG329" s="202" t="e">
        <f ca="1">IFERROR(ROUND(INDEX(Q:Q,MATCH($T329,$A:$A,0)),0),INDEX(PREVIVAZ!$C303:$N303,1,MATCH(AG$27,PREVIVAZ!$C$1:$N$1,1)))</f>
        <v>#N/A</v>
      </c>
    </row>
    <row r="330" spans="15:33" ht="12.75" x14ac:dyDescent="0.2">
      <c r="O330"/>
      <c r="P330"/>
      <c r="Q330"/>
      <c r="R330"/>
      <c r="S330"/>
      <c r="T330" s="272">
        <v>303</v>
      </c>
      <c r="V330" s="202" t="e">
        <f ca="1">IFERROR(ROUND(INDEX(F:F,MATCH($T330,$A:$A,0)),0),INDEX(PREVIVAZ!$C304:$N304,1,MATCH(V$27,PREVIVAZ!$C$1:$N$1,1)))</f>
        <v>#N/A</v>
      </c>
      <c r="W330" s="202" t="e">
        <f ca="1">IFERROR(ROUND(INDEX(G:G,MATCH($T330,$A:$A,0)),0),INDEX(PREVIVAZ!$C304:$N304,1,MATCH(W$27,PREVIVAZ!$C$1:$N$1,1)))</f>
        <v>#N/A</v>
      </c>
      <c r="X330" s="202" t="e">
        <f ca="1">IFERROR(ROUND(INDEX(H:H,MATCH($T330,$A:$A,0)),0),INDEX(PREVIVAZ!$C304:$N304,1,MATCH(X$27,PREVIVAZ!$C$1:$N$1,1)))</f>
        <v>#N/A</v>
      </c>
      <c r="Y330" s="202" t="e">
        <f ca="1">IFERROR(ROUND(INDEX(I:I,MATCH($T330,$A:$A,0)),0),INDEX(PREVIVAZ!$C304:$N304,1,MATCH(Y$27,PREVIVAZ!$C$1:$N$1,1)))</f>
        <v>#N/A</v>
      </c>
      <c r="Z330" s="202" t="e">
        <f ca="1">IFERROR(ROUND(INDEX(J:J,MATCH($T330,$A:$A,0)),0),INDEX(PREVIVAZ!$C304:$N304,1,MATCH(Z$27,PREVIVAZ!$C$1:$N$1,1)))</f>
        <v>#N/A</v>
      </c>
      <c r="AA330" s="202" t="e">
        <f ca="1">IFERROR(ROUND(INDEX(K:K,MATCH($T330,$A:$A,0)),0),INDEX(PREVIVAZ!$C304:$N304,1,MATCH(AA$27,PREVIVAZ!$C$1:$N$1,1)))</f>
        <v>#N/A</v>
      </c>
      <c r="AB330" s="202" t="e">
        <f ca="1">IFERROR(ROUND(INDEX(L:L,MATCH($T330,$A:$A,0)),0),INDEX(PREVIVAZ!$C304:$N304,1,MATCH(AB$27,PREVIVAZ!$C$1:$N$1,1)))</f>
        <v>#N/A</v>
      </c>
      <c r="AC330" s="202" t="e">
        <f ca="1">IFERROR(ROUND(INDEX(M:M,MATCH($T330,$A:$A,0)),0),INDEX(PREVIVAZ!$C304:$N304,1,MATCH(AC$27,PREVIVAZ!$C$1:$N$1,1)))</f>
        <v>#N/A</v>
      </c>
      <c r="AD330" s="202" t="e">
        <f ca="1">IFERROR(ROUND(INDEX(N:N,MATCH($T330,$A:$A,0)),0),INDEX(PREVIVAZ!$C304:$N304,1,MATCH(AD$27,PREVIVAZ!$C$1:$N$1,1)))</f>
        <v>#N/A</v>
      </c>
      <c r="AE330" s="202" t="e">
        <f ca="1">IFERROR(ROUND(INDEX(O:O,MATCH($T330,$A:$A,0)),0),INDEX(PREVIVAZ!$C304:$N304,1,MATCH(AE$27,PREVIVAZ!$C$1:$N$1,1)))</f>
        <v>#N/A</v>
      </c>
      <c r="AF330" s="202" t="e">
        <f ca="1">IFERROR(ROUND(INDEX(P:P,MATCH($T330,$A:$A,0)),0),INDEX(PREVIVAZ!$C304:$N304,1,MATCH(AF$27,PREVIVAZ!$C$1:$N$1,1)))</f>
        <v>#N/A</v>
      </c>
      <c r="AG330" s="202" t="e">
        <f ca="1">IFERROR(ROUND(INDEX(Q:Q,MATCH($T330,$A:$A,0)),0),INDEX(PREVIVAZ!$C304:$N304,1,MATCH(AG$27,PREVIVAZ!$C$1:$N$1,1)))</f>
        <v>#N/A</v>
      </c>
    </row>
    <row r="331" spans="15:33" ht="12.75" x14ac:dyDescent="0.2">
      <c r="O331"/>
      <c r="P331"/>
      <c r="Q331"/>
      <c r="R331"/>
      <c r="S331"/>
      <c r="T331" s="272">
        <v>304</v>
      </c>
      <c r="V331" s="202" t="e">
        <f ca="1">IFERROR(ROUND(INDEX(F:F,MATCH($T331,$A:$A,0)),0),INDEX(PREVIVAZ!$C305:$N305,1,MATCH(V$27,PREVIVAZ!$C$1:$N$1,1)))</f>
        <v>#N/A</v>
      </c>
      <c r="W331" s="202" t="e">
        <f ca="1">IFERROR(ROUND(INDEX(G:G,MATCH($T331,$A:$A,0)),0),INDEX(PREVIVAZ!$C305:$N305,1,MATCH(W$27,PREVIVAZ!$C$1:$N$1,1)))</f>
        <v>#N/A</v>
      </c>
      <c r="X331" s="202" t="e">
        <f ca="1">IFERROR(ROUND(INDEX(H:H,MATCH($T331,$A:$A,0)),0),INDEX(PREVIVAZ!$C305:$N305,1,MATCH(X$27,PREVIVAZ!$C$1:$N$1,1)))</f>
        <v>#N/A</v>
      </c>
      <c r="Y331" s="202" t="e">
        <f ca="1">IFERROR(ROUND(INDEX(I:I,MATCH($T331,$A:$A,0)),0),INDEX(PREVIVAZ!$C305:$N305,1,MATCH(Y$27,PREVIVAZ!$C$1:$N$1,1)))</f>
        <v>#N/A</v>
      </c>
      <c r="Z331" s="202" t="e">
        <f ca="1">IFERROR(ROUND(INDEX(J:J,MATCH($T331,$A:$A,0)),0),INDEX(PREVIVAZ!$C305:$N305,1,MATCH(Z$27,PREVIVAZ!$C$1:$N$1,1)))</f>
        <v>#N/A</v>
      </c>
      <c r="AA331" s="202" t="e">
        <f ca="1">IFERROR(ROUND(INDEX(K:K,MATCH($T331,$A:$A,0)),0),INDEX(PREVIVAZ!$C305:$N305,1,MATCH(AA$27,PREVIVAZ!$C$1:$N$1,1)))</f>
        <v>#N/A</v>
      </c>
      <c r="AB331" s="202" t="e">
        <f ca="1">IFERROR(ROUND(INDEX(L:L,MATCH($T331,$A:$A,0)),0),INDEX(PREVIVAZ!$C305:$N305,1,MATCH(AB$27,PREVIVAZ!$C$1:$N$1,1)))</f>
        <v>#N/A</v>
      </c>
      <c r="AC331" s="202" t="e">
        <f ca="1">IFERROR(ROUND(INDEX(M:M,MATCH($T331,$A:$A,0)),0),INDEX(PREVIVAZ!$C305:$N305,1,MATCH(AC$27,PREVIVAZ!$C$1:$N$1,1)))</f>
        <v>#N/A</v>
      </c>
      <c r="AD331" s="202" t="e">
        <f ca="1">IFERROR(ROUND(INDEX(N:N,MATCH($T331,$A:$A,0)),0),INDEX(PREVIVAZ!$C305:$N305,1,MATCH(AD$27,PREVIVAZ!$C$1:$N$1,1)))</f>
        <v>#N/A</v>
      </c>
      <c r="AE331" s="202" t="e">
        <f ca="1">IFERROR(ROUND(INDEX(O:O,MATCH($T331,$A:$A,0)),0),INDEX(PREVIVAZ!$C305:$N305,1,MATCH(AE$27,PREVIVAZ!$C$1:$N$1,1)))</f>
        <v>#N/A</v>
      </c>
      <c r="AF331" s="202" t="e">
        <f ca="1">IFERROR(ROUND(INDEX(P:P,MATCH($T331,$A:$A,0)),0),INDEX(PREVIVAZ!$C305:$N305,1,MATCH(AF$27,PREVIVAZ!$C$1:$N$1,1)))</f>
        <v>#N/A</v>
      </c>
      <c r="AG331" s="202" t="e">
        <f ca="1">IFERROR(ROUND(INDEX(Q:Q,MATCH($T331,$A:$A,0)),0),INDEX(PREVIVAZ!$C305:$N305,1,MATCH(AG$27,PREVIVAZ!$C$1:$N$1,1)))</f>
        <v>#N/A</v>
      </c>
    </row>
    <row r="332" spans="15:33" ht="12.75" x14ac:dyDescent="0.2">
      <c r="O332"/>
      <c r="P332"/>
      <c r="Q332"/>
      <c r="R332"/>
      <c r="S332"/>
      <c r="T332" s="272">
        <v>305</v>
      </c>
      <c r="V332" s="202" t="e">
        <f ca="1">IFERROR(ROUND(INDEX(F:F,MATCH($T332,$A:$A,0)),0),INDEX(PREVIVAZ!$C306:$N306,1,MATCH(V$27,PREVIVAZ!$C$1:$N$1,1)))</f>
        <v>#N/A</v>
      </c>
      <c r="W332" s="202" t="e">
        <f ca="1">IFERROR(ROUND(INDEX(G:G,MATCH($T332,$A:$A,0)),0),INDEX(PREVIVAZ!$C306:$N306,1,MATCH(W$27,PREVIVAZ!$C$1:$N$1,1)))</f>
        <v>#N/A</v>
      </c>
      <c r="X332" s="202" t="e">
        <f ca="1">IFERROR(ROUND(INDEX(H:H,MATCH($T332,$A:$A,0)),0),INDEX(PREVIVAZ!$C306:$N306,1,MATCH(X$27,PREVIVAZ!$C$1:$N$1,1)))</f>
        <v>#N/A</v>
      </c>
      <c r="Y332" s="202" t="e">
        <f ca="1">IFERROR(ROUND(INDEX(I:I,MATCH($T332,$A:$A,0)),0),INDEX(PREVIVAZ!$C306:$N306,1,MATCH(Y$27,PREVIVAZ!$C$1:$N$1,1)))</f>
        <v>#N/A</v>
      </c>
      <c r="Z332" s="202" t="e">
        <f ca="1">IFERROR(ROUND(INDEX(J:J,MATCH($T332,$A:$A,0)),0),INDEX(PREVIVAZ!$C306:$N306,1,MATCH(Z$27,PREVIVAZ!$C$1:$N$1,1)))</f>
        <v>#N/A</v>
      </c>
      <c r="AA332" s="202" t="e">
        <f ca="1">IFERROR(ROUND(INDEX(K:K,MATCH($T332,$A:$A,0)),0),INDEX(PREVIVAZ!$C306:$N306,1,MATCH(AA$27,PREVIVAZ!$C$1:$N$1,1)))</f>
        <v>#N/A</v>
      </c>
      <c r="AB332" s="202" t="e">
        <f ca="1">IFERROR(ROUND(INDEX(L:L,MATCH($T332,$A:$A,0)),0),INDEX(PREVIVAZ!$C306:$N306,1,MATCH(AB$27,PREVIVAZ!$C$1:$N$1,1)))</f>
        <v>#N/A</v>
      </c>
      <c r="AC332" s="202" t="e">
        <f ca="1">IFERROR(ROUND(INDEX(M:M,MATCH($T332,$A:$A,0)),0),INDEX(PREVIVAZ!$C306:$N306,1,MATCH(AC$27,PREVIVAZ!$C$1:$N$1,1)))</f>
        <v>#N/A</v>
      </c>
      <c r="AD332" s="202" t="e">
        <f ca="1">IFERROR(ROUND(INDEX(N:N,MATCH($T332,$A:$A,0)),0),INDEX(PREVIVAZ!$C306:$N306,1,MATCH(AD$27,PREVIVAZ!$C$1:$N$1,1)))</f>
        <v>#N/A</v>
      </c>
      <c r="AE332" s="202" t="e">
        <f ca="1">IFERROR(ROUND(INDEX(O:O,MATCH($T332,$A:$A,0)),0),INDEX(PREVIVAZ!$C306:$N306,1,MATCH(AE$27,PREVIVAZ!$C$1:$N$1,1)))</f>
        <v>#N/A</v>
      </c>
      <c r="AF332" s="202" t="e">
        <f ca="1">IFERROR(ROUND(INDEX(P:P,MATCH($T332,$A:$A,0)),0),INDEX(PREVIVAZ!$C306:$N306,1,MATCH(AF$27,PREVIVAZ!$C$1:$N$1,1)))</f>
        <v>#N/A</v>
      </c>
      <c r="AG332" s="202" t="e">
        <f ca="1">IFERROR(ROUND(INDEX(Q:Q,MATCH($T332,$A:$A,0)),0),INDEX(PREVIVAZ!$C306:$N306,1,MATCH(AG$27,PREVIVAZ!$C$1:$N$1,1)))</f>
        <v>#N/A</v>
      </c>
    </row>
    <row r="333" spans="15:33" ht="12.75" x14ac:dyDescent="0.2">
      <c r="O333"/>
      <c r="P333"/>
      <c r="Q333"/>
      <c r="R333"/>
      <c r="S333"/>
      <c r="T333" s="272">
        <v>306</v>
      </c>
      <c r="V333" s="202" t="e">
        <f ca="1">IFERROR(ROUND(INDEX(F:F,MATCH($T333,$A:$A,0)),0),INDEX(PREVIVAZ!$C307:$N307,1,MATCH(V$27,PREVIVAZ!$C$1:$N$1,1)))</f>
        <v>#N/A</v>
      </c>
      <c r="W333" s="202" t="e">
        <f ca="1">IFERROR(ROUND(INDEX(G:G,MATCH($T333,$A:$A,0)),0),INDEX(PREVIVAZ!$C307:$N307,1,MATCH(W$27,PREVIVAZ!$C$1:$N$1,1)))</f>
        <v>#N/A</v>
      </c>
      <c r="X333" s="202" t="e">
        <f ca="1">IFERROR(ROUND(INDEX(H:H,MATCH($T333,$A:$A,0)),0),INDEX(PREVIVAZ!$C307:$N307,1,MATCH(X$27,PREVIVAZ!$C$1:$N$1,1)))</f>
        <v>#N/A</v>
      </c>
      <c r="Y333" s="202" t="e">
        <f ca="1">IFERROR(ROUND(INDEX(I:I,MATCH($T333,$A:$A,0)),0),INDEX(PREVIVAZ!$C307:$N307,1,MATCH(Y$27,PREVIVAZ!$C$1:$N$1,1)))</f>
        <v>#N/A</v>
      </c>
      <c r="Z333" s="202" t="e">
        <f ca="1">IFERROR(ROUND(INDEX(J:J,MATCH($T333,$A:$A,0)),0),INDEX(PREVIVAZ!$C307:$N307,1,MATCH(Z$27,PREVIVAZ!$C$1:$N$1,1)))</f>
        <v>#N/A</v>
      </c>
      <c r="AA333" s="202" t="e">
        <f ca="1">IFERROR(ROUND(INDEX(K:K,MATCH($T333,$A:$A,0)),0),INDEX(PREVIVAZ!$C307:$N307,1,MATCH(AA$27,PREVIVAZ!$C$1:$N$1,1)))</f>
        <v>#N/A</v>
      </c>
      <c r="AB333" s="202" t="e">
        <f ca="1">IFERROR(ROUND(INDEX(L:L,MATCH($T333,$A:$A,0)),0),INDEX(PREVIVAZ!$C307:$N307,1,MATCH(AB$27,PREVIVAZ!$C$1:$N$1,1)))</f>
        <v>#N/A</v>
      </c>
      <c r="AC333" s="202" t="e">
        <f ca="1">IFERROR(ROUND(INDEX(M:M,MATCH($T333,$A:$A,0)),0),INDEX(PREVIVAZ!$C307:$N307,1,MATCH(AC$27,PREVIVAZ!$C$1:$N$1,1)))</f>
        <v>#N/A</v>
      </c>
      <c r="AD333" s="202" t="e">
        <f ca="1">IFERROR(ROUND(INDEX(N:N,MATCH($T333,$A:$A,0)),0),INDEX(PREVIVAZ!$C307:$N307,1,MATCH(AD$27,PREVIVAZ!$C$1:$N$1,1)))</f>
        <v>#N/A</v>
      </c>
      <c r="AE333" s="202" t="e">
        <f ca="1">IFERROR(ROUND(INDEX(O:O,MATCH($T333,$A:$A,0)),0),INDEX(PREVIVAZ!$C307:$N307,1,MATCH(AE$27,PREVIVAZ!$C$1:$N$1,1)))</f>
        <v>#N/A</v>
      </c>
      <c r="AF333" s="202" t="e">
        <f ca="1">IFERROR(ROUND(INDEX(P:P,MATCH($T333,$A:$A,0)),0),INDEX(PREVIVAZ!$C307:$N307,1,MATCH(AF$27,PREVIVAZ!$C$1:$N$1,1)))</f>
        <v>#N/A</v>
      </c>
      <c r="AG333" s="202" t="e">
        <f ca="1">IFERROR(ROUND(INDEX(Q:Q,MATCH($T333,$A:$A,0)),0),INDEX(PREVIVAZ!$C307:$N307,1,MATCH(AG$27,PREVIVAZ!$C$1:$N$1,1)))</f>
        <v>#N/A</v>
      </c>
    </row>
    <row r="334" spans="15:33" ht="12.75" x14ac:dyDescent="0.2">
      <c r="O334"/>
      <c r="P334"/>
      <c r="Q334"/>
      <c r="R334"/>
      <c r="S334"/>
      <c r="T334" s="272">
        <v>307</v>
      </c>
      <c r="V334" s="202" t="e">
        <f ca="1">IFERROR(ROUND(INDEX(F:F,MATCH($T334,$A:$A,0)),0),INDEX(PREVIVAZ!$C308:$N308,1,MATCH(V$27,PREVIVAZ!$C$1:$N$1,1)))</f>
        <v>#N/A</v>
      </c>
      <c r="W334" s="202" t="e">
        <f ca="1">IFERROR(ROUND(INDEX(G:G,MATCH($T334,$A:$A,0)),0),INDEX(PREVIVAZ!$C308:$N308,1,MATCH(W$27,PREVIVAZ!$C$1:$N$1,1)))</f>
        <v>#N/A</v>
      </c>
      <c r="X334" s="202" t="e">
        <f ca="1">IFERROR(ROUND(INDEX(H:H,MATCH($T334,$A:$A,0)),0),INDEX(PREVIVAZ!$C308:$N308,1,MATCH(X$27,PREVIVAZ!$C$1:$N$1,1)))</f>
        <v>#N/A</v>
      </c>
      <c r="Y334" s="202" t="e">
        <f ca="1">IFERROR(ROUND(INDEX(I:I,MATCH($T334,$A:$A,0)),0),INDEX(PREVIVAZ!$C308:$N308,1,MATCH(Y$27,PREVIVAZ!$C$1:$N$1,1)))</f>
        <v>#N/A</v>
      </c>
      <c r="Z334" s="202" t="e">
        <f ca="1">IFERROR(ROUND(INDEX(J:J,MATCH($T334,$A:$A,0)),0),INDEX(PREVIVAZ!$C308:$N308,1,MATCH(Z$27,PREVIVAZ!$C$1:$N$1,1)))</f>
        <v>#N/A</v>
      </c>
      <c r="AA334" s="202" t="e">
        <f ca="1">IFERROR(ROUND(INDEX(K:K,MATCH($T334,$A:$A,0)),0),INDEX(PREVIVAZ!$C308:$N308,1,MATCH(AA$27,PREVIVAZ!$C$1:$N$1,1)))</f>
        <v>#N/A</v>
      </c>
      <c r="AB334" s="202" t="e">
        <f ca="1">IFERROR(ROUND(INDEX(L:L,MATCH($T334,$A:$A,0)),0),INDEX(PREVIVAZ!$C308:$N308,1,MATCH(AB$27,PREVIVAZ!$C$1:$N$1,1)))</f>
        <v>#N/A</v>
      </c>
      <c r="AC334" s="202" t="e">
        <f ca="1">IFERROR(ROUND(INDEX(M:M,MATCH($T334,$A:$A,0)),0),INDEX(PREVIVAZ!$C308:$N308,1,MATCH(AC$27,PREVIVAZ!$C$1:$N$1,1)))</f>
        <v>#N/A</v>
      </c>
      <c r="AD334" s="202" t="e">
        <f ca="1">IFERROR(ROUND(INDEX(N:N,MATCH($T334,$A:$A,0)),0),INDEX(PREVIVAZ!$C308:$N308,1,MATCH(AD$27,PREVIVAZ!$C$1:$N$1,1)))</f>
        <v>#N/A</v>
      </c>
      <c r="AE334" s="202" t="e">
        <f ca="1">IFERROR(ROUND(INDEX(O:O,MATCH($T334,$A:$A,0)),0),INDEX(PREVIVAZ!$C308:$N308,1,MATCH(AE$27,PREVIVAZ!$C$1:$N$1,1)))</f>
        <v>#N/A</v>
      </c>
      <c r="AF334" s="202" t="e">
        <f ca="1">IFERROR(ROUND(INDEX(P:P,MATCH($T334,$A:$A,0)),0),INDEX(PREVIVAZ!$C308:$N308,1,MATCH(AF$27,PREVIVAZ!$C$1:$N$1,1)))</f>
        <v>#N/A</v>
      </c>
      <c r="AG334" s="202" t="e">
        <f ca="1">IFERROR(ROUND(INDEX(Q:Q,MATCH($T334,$A:$A,0)),0),INDEX(PREVIVAZ!$C308:$N308,1,MATCH(AG$27,PREVIVAZ!$C$1:$N$1,1)))</f>
        <v>#N/A</v>
      </c>
    </row>
    <row r="335" spans="15:33" ht="12.75" x14ac:dyDescent="0.2">
      <c r="O335"/>
      <c r="P335"/>
      <c r="Q335"/>
      <c r="R335"/>
      <c r="S335"/>
      <c r="T335" s="272">
        <v>308</v>
      </c>
      <c r="V335" s="202" t="e">
        <f ca="1">IFERROR(ROUND(INDEX(F:F,MATCH($T335,$A:$A,0)),0),INDEX(PREVIVAZ!$C309:$N309,1,MATCH(V$27,PREVIVAZ!$C$1:$N$1,1)))</f>
        <v>#N/A</v>
      </c>
      <c r="W335" s="202" t="e">
        <f ca="1">IFERROR(ROUND(INDEX(G:G,MATCH($T335,$A:$A,0)),0),INDEX(PREVIVAZ!$C309:$N309,1,MATCH(W$27,PREVIVAZ!$C$1:$N$1,1)))</f>
        <v>#N/A</v>
      </c>
      <c r="X335" s="202" t="e">
        <f ca="1">IFERROR(ROUND(INDEX(H:H,MATCH($T335,$A:$A,0)),0),INDEX(PREVIVAZ!$C309:$N309,1,MATCH(X$27,PREVIVAZ!$C$1:$N$1,1)))</f>
        <v>#N/A</v>
      </c>
      <c r="Y335" s="202" t="e">
        <f ca="1">IFERROR(ROUND(INDEX(I:I,MATCH($T335,$A:$A,0)),0),INDEX(PREVIVAZ!$C309:$N309,1,MATCH(Y$27,PREVIVAZ!$C$1:$N$1,1)))</f>
        <v>#N/A</v>
      </c>
      <c r="Z335" s="202" t="e">
        <f ca="1">IFERROR(ROUND(INDEX(J:J,MATCH($T335,$A:$A,0)),0),INDEX(PREVIVAZ!$C309:$N309,1,MATCH(Z$27,PREVIVAZ!$C$1:$N$1,1)))</f>
        <v>#N/A</v>
      </c>
      <c r="AA335" s="202" t="e">
        <f ca="1">IFERROR(ROUND(INDEX(K:K,MATCH($T335,$A:$A,0)),0),INDEX(PREVIVAZ!$C309:$N309,1,MATCH(AA$27,PREVIVAZ!$C$1:$N$1,1)))</f>
        <v>#N/A</v>
      </c>
      <c r="AB335" s="202" t="e">
        <f ca="1">IFERROR(ROUND(INDEX(L:L,MATCH($T335,$A:$A,0)),0),INDEX(PREVIVAZ!$C309:$N309,1,MATCH(AB$27,PREVIVAZ!$C$1:$N$1,1)))</f>
        <v>#N/A</v>
      </c>
      <c r="AC335" s="202" t="e">
        <f ca="1">IFERROR(ROUND(INDEX(M:M,MATCH($T335,$A:$A,0)),0),INDEX(PREVIVAZ!$C309:$N309,1,MATCH(AC$27,PREVIVAZ!$C$1:$N$1,1)))</f>
        <v>#N/A</v>
      </c>
      <c r="AD335" s="202" t="e">
        <f ca="1">IFERROR(ROUND(INDEX(N:N,MATCH($T335,$A:$A,0)),0),INDEX(PREVIVAZ!$C309:$N309,1,MATCH(AD$27,PREVIVAZ!$C$1:$N$1,1)))</f>
        <v>#N/A</v>
      </c>
      <c r="AE335" s="202" t="e">
        <f ca="1">IFERROR(ROUND(INDEX(O:O,MATCH($T335,$A:$A,0)),0),INDEX(PREVIVAZ!$C309:$N309,1,MATCH(AE$27,PREVIVAZ!$C$1:$N$1,1)))</f>
        <v>#N/A</v>
      </c>
      <c r="AF335" s="202" t="e">
        <f ca="1">IFERROR(ROUND(INDEX(P:P,MATCH($T335,$A:$A,0)),0),INDEX(PREVIVAZ!$C309:$N309,1,MATCH(AF$27,PREVIVAZ!$C$1:$N$1,1)))</f>
        <v>#N/A</v>
      </c>
      <c r="AG335" s="202" t="e">
        <f ca="1">IFERROR(ROUND(INDEX(Q:Q,MATCH($T335,$A:$A,0)),0),INDEX(PREVIVAZ!$C309:$N309,1,MATCH(AG$27,PREVIVAZ!$C$1:$N$1,1)))</f>
        <v>#N/A</v>
      </c>
    </row>
    <row r="336" spans="15:33" ht="12.75" x14ac:dyDescent="0.2">
      <c r="O336"/>
      <c r="P336"/>
      <c r="Q336"/>
      <c r="R336"/>
      <c r="S336"/>
      <c r="T336" s="272">
        <v>309</v>
      </c>
      <c r="V336" s="202" t="e">
        <f ca="1">IFERROR(ROUND(INDEX(F:F,MATCH($T336,$A:$A,0)),0),INDEX(PREVIVAZ!$C310:$N310,1,MATCH(V$27,PREVIVAZ!$C$1:$N$1,1)))</f>
        <v>#N/A</v>
      </c>
      <c r="W336" s="202" t="e">
        <f ca="1">IFERROR(ROUND(INDEX(G:G,MATCH($T336,$A:$A,0)),0),INDEX(PREVIVAZ!$C310:$N310,1,MATCH(W$27,PREVIVAZ!$C$1:$N$1,1)))</f>
        <v>#N/A</v>
      </c>
      <c r="X336" s="202" t="e">
        <f ca="1">IFERROR(ROUND(INDEX(H:H,MATCH($T336,$A:$A,0)),0),INDEX(PREVIVAZ!$C310:$N310,1,MATCH(X$27,PREVIVAZ!$C$1:$N$1,1)))</f>
        <v>#N/A</v>
      </c>
      <c r="Y336" s="202" t="e">
        <f ca="1">IFERROR(ROUND(INDEX(I:I,MATCH($T336,$A:$A,0)),0),INDEX(PREVIVAZ!$C310:$N310,1,MATCH(Y$27,PREVIVAZ!$C$1:$N$1,1)))</f>
        <v>#N/A</v>
      </c>
      <c r="Z336" s="202" t="e">
        <f ca="1">IFERROR(ROUND(INDEX(J:J,MATCH($T336,$A:$A,0)),0),INDEX(PREVIVAZ!$C310:$N310,1,MATCH(Z$27,PREVIVAZ!$C$1:$N$1,1)))</f>
        <v>#N/A</v>
      </c>
      <c r="AA336" s="202" t="e">
        <f ca="1">IFERROR(ROUND(INDEX(K:K,MATCH($T336,$A:$A,0)),0),INDEX(PREVIVAZ!$C310:$N310,1,MATCH(AA$27,PREVIVAZ!$C$1:$N$1,1)))</f>
        <v>#N/A</v>
      </c>
      <c r="AB336" s="202" t="e">
        <f ca="1">IFERROR(ROUND(INDEX(L:L,MATCH($T336,$A:$A,0)),0),INDEX(PREVIVAZ!$C310:$N310,1,MATCH(AB$27,PREVIVAZ!$C$1:$N$1,1)))</f>
        <v>#N/A</v>
      </c>
      <c r="AC336" s="202" t="e">
        <f ca="1">IFERROR(ROUND(INDEX(M:M,MATCH($T336,$A:$A,0)),0),INDEX(PREVIVAZ!$C310:$N310,1,MATCH(AC$27,PREVIVAZ!$C$1:$N$1,1)))</f>
        <v>#N/A</v>
      </c>
      <c r="AD336" s="202" t="e">
        <f ca="1">IFERROR(ROUND(INDEX(N:N,MATCH($T336,$A:$A,0)),0),INDEX(PREVIVAZ!$C310:$N310,1,MATCH(AD$27,PREVIVAZ!$C$1:$N$1,1)))</f>
        <v>#N/A</v>
      </c>
      <c r="AE336" s="202" t="e">
        <f ca="1">IFERROR(ROUND(INDEX(O:O,MATCH($T336,$A:$A,0)),0),INDEX(PREVIVAZ!$C310:$N310,1,MATCH(AE$27,PREVIVAZ!$C$1:$N$1,1)))</f>
        <v>#N/A</v>
      </c>
      <c r="AF336" s="202" t="e">
        <f ca="1">IFERROR(ROUND(INDEX(P:P,MATCH($T336,$A:$A,0)),0),INDEX(PREVIVAZ!$C310:$N310,1,MATCH(AF$27,PREVIVAZ!$C$1:$N$1,1)))</f>
        <v>#N/A</v>
      </c>
      <c r="AG336" s="202" t="e">
        <f ca="1">IFERROR(ROUND(INDEX(Q:Q,MATCH($T336,$A:$A,0)),0),INDEX(PREVIVAZ!$C310:$N310,1,MATCH(AG$27,PREVIVAZ!$C$1:$N$1,1)))</f>
        <v>#N/A</v>
      </c>
    </row>
    <row r="337" spans="15:33" ht="12.75" x14ac:dyDescent="0.2">
      <c r="O337"/>
      <c r="P337"/>
      <c r="Q337"/>
      <c r="R337"/>
      <c r="S337"/>
      <c r="T337" s="272">
        <v>310</v>
      </c>
      <c r="V337" s="202" t="e">
        <f ca="1">IFERROR(ROUND(INDEX(F:F,MATCH($T337,$A:$A,0)),0),INDEX(PREVIVAZ!$C311:$N311,1,MATCH(V$27,PREVIVAZ!$C$1:$N$1,1)))</f>
        <v>#N/A</v>
      </c>
      <c r="W337" s="202" t="e">
        <f ca="1">IFERROR(ROUND(INDEX(G:G,MATCH($T337,$A:$A,0)),0),INDEX(PREVIVAZ!$C311:$N311,1,MATCH(W$27,PREVIVAZ!$C$1:$N$1,1)))</f>
        <v>#N/A</v>
      </c>
      <c r="X337" s="202" t="e">
        <f ca="1">IFERROR(ROUND(INDEX(H:H,MATCH($T337,$A:$A,0)),0),INDEX(PREVIVAZ!$C311:$N311,1,MATCH(X$27,PREVIVAZ!$C$1:$N$1,1)))</f>
        <v>#N/A</v>
      </c>
      <c r="Y337" s="202" t="e">
        <f ca="1">IFERROR(ROUND(INDEX(I:I,MATCH($T337,$A:$A,0)),0),INDEX(PREVIVAZ!$C311:$N311,1,MATCH(Y$27,PREVIVAZ!$C$1:$N$1,1)))</f>
        <v>#N/A</v>
      </c>
      <c r="Z337" s="202" t="e">
        <f ca="1">IFERROR(ROUND(INDEX(J:J,MATCH($T337,$A:$A,0)),0),INDEX(PREVIVAZ!$C311:$N311,1,MATCH(Z$27,PREVIVAZ!$C$1:$N$1,1)))</f>
        <v>#N/A</v>
      </c>
      <c r="AA337" s="202" t="e">
        <f ca="1">IFERROR(ROUND(INDEX(K:K,MATCH($T337,$A:$A,0)),0),INDEX(PREVIVAZ!$C311:$N311,1,MATCH(AA$27,PREVIVAZ!$C$1:$N$1,1)))</f>
        <v>#N/A</v>
      </c>
      <c r="AB337" s="202" t="e">
        <f ca="1">IFERROR(ROUND(INDEX(L:L,MATCH($T337,$A:$A,0)),0),INDEX(PREVIVAZ!$C311:$N311,1,MATCH(AB$27,PREVIVAZ!$C$1:$N$1,1)))</f>
        <v>#N/A</v>
      </c>
      <c r="AC337" s="202" t="e">
        <f ca="1">IFERROR(ROUND(INDEX(M:M,MATCH($T337,$A:$A,0)),0),INDEX(PREVIVAZ!$C311:$N311,1,MATCH(AC$27,PREVIVAZ!$C$1:$N$1,1)))</f>
        <v>#N/A</v>
      </c>
      <c r="AD337" s="202" t="e">
        <f ca="1">IFERROR(ROUND(INDEX(N:N,MATCH($T337,$A:$A,0)),0),INDEX(PREVIVAZ!$C311:$N311,1,MATCH(AD$27,PREVIVAZ!$C$1:$N$1,1)))</f>
        <v>#N/A</v>
      </c>
      <c r="AE337" s="202" t="e">
        <f ca="1">IFERROR(ROUND(INDEX(O:O,MATCH($T337,$A:$A,0)),0),INDEX(PREVIVAZ!$C311:$N311,1,MATCH(AE$27,PREVIVAZ!$C$1:$N$1,1)))</f>
        <v>#N/A</v>
      </c>
      <c r="AF337" s="202" t="e">
        <f ca="1">IFERROR(ROUND(INDEX(P:P,MATCH($T337,$A:$A,0)),0),INDEX(PREVIVAZ!$C311:$N311,1,MATCH(AF$27,PREVIVAZ!$C$1:$N$1,1)))</f>
        <v>#N/A</v>
      </c>
      <c r="AG337" s="202" t="e">
        <f ca="1">IFERROR(ROUND(INDEX(Q:Q,MATCH($T337,$A:$A,0)),0),INDEX(PREVIVAZ!$C311:$N311,1,MATCH(AG$27,PREVIVAZ!$C$1:$N$1,1)))</f>
        <v>#N/A</v>
      </c>
    </row>
    <row r="338" spans="15:33" ht="12.75" x14ac:dyDescent="0.2">
      <c r="O338"/>
      <c r="P338"/>
      <c r="Q338"/>
      <c r="R338"/>
      <c r="S338"/>
      <c r="T338" s="272">
        <v>311</v>
      </c>
      <c r="V338" s="202" t="e">
        <f ca="1">IFERROR(ROUND(INDEX(F:F,MATCH($T338,$A:$A,0)),0),INDEX(PREVIVAZ!$C312:$N312,1,MATCH(V$27,PREVIVAZ!$C$1:$N$1,1)))</f>
        <v>#N/A</v>
      </c>
      <c r="W338" s="202" t="e">
        <f ca="1">IFERROR(ROUND(INDEX(G:G,MATCH($T338,$A:$A,0)),0),INDEX(PREVIVAZ!$C312:$N312,1,MATCH(W$27,PREVIVAZ!$C$1:$N$1,1)))</f>
        <v>#N/A</v>
      </c>
      <c r="X338" s="202" t="e">
        <f ca="1">IFERROR(ROUND(INDEX(H:H,MATCH($T338,$A:$A,0)),0),INDEX(PREVIVAZ!$C312:$N312,1,MATCH(X$27,PREVIVAZ!$C$1:$N$1,1)))</f>
        <v>#N/A</v>
      </c>
      <c r="Y338" s="202" t="e">
        <f ca="1">IFERROR(ROUND(INDEX(I:I,MATCH($T338,$A:$A,0)),0),INDEX(PREVIVAZ!$C312:$N312,1,MATCH(Y$27,PREVIVAZ!$C$1:$N$1,1)))</f>
        <v>#N/A</v>
      </c>
      <c r="Z338" s="202" t="e">
        <f ca="1">IFERROR(ROUND(INDEX(J:J,MATCH($T338,$A:$A,0)),0),INDEX(PREVIVAZ!$C312:$N312,1,MATCH(Z$27,PREVIVAZ!$C$1:$N$1,1)))</f>
        <v>#N/A</v>
      </c>
      <c r="AA338" s="202" t="e">
        <f ca="1">IFERROR(ROUND(INDEX(K:K,MATCH($T338,$A:$A,0)),0),INDEX(PREVIVAZ!$C312:$N312,1,MATCH(AA$27,PREVIVAZ!$C$1:$N$1,1)))</f>
        <v>#N/A</v>
      </c>
      <c r="AB338" s="202" t="e">
        <f ca="1">IFERROR(ROUND(INDEX(L:L,MATCH($T338,$A:$A,0)),0),INDEX(PREVIVAZ!$C312:$N312,1,MATCH(AB$27,PREVIVAZ!$C$1:$N$1,1)))</f>
        <v>#N/A</v>
      </c>
      <c r="AC338" s="202" t="e">
        <f ca="1">IFERROR(ROUND(INDEX(M:M,MATCH($T338,$A:$A,0)),0),INDEX(PREVIVAZ!$C312:$N312,1,MATCH(AC$27,PREVIVAZ!$C$1:$N$1,1)))</f>
        <v>#N/A</v>
      </c>
      <c r="AD338" s="202" t="e">
        <f ca="1">IFERROR(ROUND(INDEX(N:N,MATCH($T338,$A:$A,0)),0),INDEX(PREVIVAZ!$C312:$N312,1,MATCH(AD$27,PREVIVAZ!$C$1:$N$1,1)))</f>
        <v>#N/A</v>
      </c>
      <c r="AE338" s="202" t="e">
        <f ca="1">IFERROR(ROUND(INDEX(O:O,MATCH($T338,$A:$A,0)),0),INDEX(PREVIVAZ!$C312:$N312,1,MATCH(AE$27,PREVIVAZ!$C$1:$N$1,1)))</f>
        <v>#N/A</v>
      </c>
      <c r="AF338" s="202" t="e">
        <f ca="1">IFERROR(ROUND(INDEX(P:P,MATCH($T338,$A:$A,0)),0),INDEX(PREVIVAZ!$C312:$N312,1,MATCH(AF$27,PREVIVAZ!$C$1:$N$1,1)))</f>
        <v>#N/A</v>
      </c>
      <c r="AG338" s="202" t="e">
        <f ca="1">IFERROR(ROUND(INDEX(Q:Q,MATCH($T338,$A:$A,0)),0),INDEX(PREVIVAZ!$C312:$N312,1,MATCH(AG$27,PREVIVAZ!$C$1:$N$1,1)))</f>
        <v>#N/A</v>
      </c>
    </row>
    <row r="339" spans="15:33" ht="12.75" x14ac:dyDescent="0.2">
      <c r="O339"/>
      <c r="P339"/>
      <c r="Q339"/>
      <c r="R339"/>
      <c r="S339"/>
      <c r="T339" s="272">
        <v>312</v>
      </c>
      <c r="V339" s="202" t="e">
        <f ca="1">IFERROR(ROUND(INDEX(F:F,MATCH($T339,$A:$A,0)),0),INDEX(PREVIVAZ!$C313:$N313,1,MATCH(V$27,PREVIVAZ!$C$1:$N$1,1)))</f>
        <v>#N/A</v>
      </c>
      <c r="W339" s="202" t="e">
        <f ca="1">IFERROR(ROUND(INDEX(G:G,MATCH($T339,$A:$A,0)),0),INDEX(PREVIVAZ!$C313:$N313,1,MATCH(W$27,PREVIVAZ!$C$1:$N$1,1)))</f>
        <v>#N/A</v>
      </c>
      <c r="X339" s="202" t="e">
        <f ca="1">IFERROR(ROUND(INDEX(H:H,MATCH($T339,$A:$A,0)),0),INDEX(PREVIVAZ!$C313:$N313,1,MATCH(X$27,PREVIVAZ!$C$1:$N$1,1)))</f>
        <v>#N/A</v>
      </c>
      <c r="Y339" s="202" t="e">
        <f ca="1">IFERROR(ROUND(INDEX(I:I,MATCH($T339,$A:$A,0)),0),INDEX(PREVIVAZ!$C313:$N313,1,MATCH(Y$27,PREVIVAZ!$C$1:$N$1,1)))</f>
        <v>#N/A</v>
      </c>
      <c r="Z339" s="202" t="e">
        <f ca="1">IFERROR(ROUND(INDEX(J:J,MATCH($T339,$A:$A,0)),0),INDEX(PREVIVAZ!$C313:$N313,1,MATCH(Z$27,PREVIVAZ!$C$1:$N$1,1)))</f>
        <v>#N/A</v>
      </c>
      <c r="AA339" s="202" t="e">
        <f ca="1">IFERROR(ROUND(INDEX(K:K,MATCH($T339,$A:$A,0)),0),INDEX(PREVIVAZ!$C313:$N313,1,MATCH(AA$27,PREVIVAZ!$C$1:$N$1,1)))</f>
        <v>#N/A</v>
      </c>
      <c r="AB339" s="202" t="e">
        <f ca="1">IFERROR(ROUND(INDEX(L:L,MATCH($T339,$A:$A,0)),0),INDEX(PREVIVAZ!$C313:$N313,1,MATCH(AB$27,PREVIVAZ!$C$1:$N$1,1)))</f>
        <v>#N/A</v>
      </c>
      <c r="AC339" s="202" t="e">
        <f ca="1">IFERROR(ROUND(INDEX(M:M,MATCH($T339,$A:$A,0)),0),INDEX(PREVIVAZ!$C313:$N313,1,MATCH(AC$27,PREVIVAZ!$C$1:$N$1,1)))</f>
        <v>#N/A</v>
      </c>
      <c r="AD339" s="202" t="e">
        <f ca="1">IFERROR(ROUND(INDEX(N:N,MATCH($T339,$A:$A,0)),0),INDEX(PREVIVAZ!$C313:$N313,1,MATCH(AD$27,PREVIVAZ!$C$1:$N$1,1)))</f>
        <v>#N/A</v>
      </c>
      <c r="AE339" s="202" t="e">
        <f ca="1">IFERROR(ROUND(INDEX(O:O,MATCH($T339,$A:$A,0)),0),INDEX(PREVIVAZ!$C313:$N313,1,MATCH(AE$27,PREVIVAZ!$C$1:$N$1,1)))</f>
        <v>#N/A</v>
      </c>
      <c r="AF339" s="202" t="e">
        <f ca="1">IFERROR(ROUND(INDEX(P:P,MATCH($T339,$A:$A,0)),0),INDEX(PREVIVAZ!$C313:$N313,1,MATCH(AF$27,PREVIVAZ!$C$1:$N$1,1)))</f>
        <v>#N/A</v>
      </c>
      <c r="AG339" s="202" t="e">
        <f ca="1">IFERROR(ROUND(INDEX(Q:Q,MATCH($T339,$A:$A,0)),0),INDEX(PREVIVAZ!$C313:$N313,1,MATCH(AG$27,PREVIVAZ!$C$1:$N$1,1)))</f>
        <v>#N/A</v>
      </c>
    </row>
    <row r="340" spans="15:33" ht="12.75" x14ac:dyDescent="0.2">
      <c r="O340"/>
      <c r="P340"/>
      <c r="Q340"/>
      <c r="R340"/>
      <c r="S340"/>
      <c r="T340" s="272">
        <v>313</v>
      </c>
      <c r="V340" s="202" t="e">
        <f ca="1">IFERROR(ROUND(INDEX(F:F,MATCH($T340,$A:$A,0)),0),INDEX(PREVIVAZ!$C314:$N314,1,MATCH(V$27,PREVIVAZ!$C$1:$N$1,1)))</f>
        <v>#N/A</v>
      </c>
      <c r="W340" s="202" t="e">
        <f ca="1">IFERROR(ROUND(INDEX(G:G,MATCH($T340,$A:$A,0)),0),INDEX(PREVIVAZ!$C314:$N314,1,MATCH(W$27,PREVIVAZ!$C$1:$N$1,1)))</f>
        <v>#N/A</v>
      </c>
      <c r="X340" s="202" t="e">
        <f ca="1">IFERROR(ROUND(INDEX(H:H,MATCH($T340,$A:$A,0)),0),INDEX(PREVIVAZ!$C314:$N314,1,MATCH(X$27,PREVIVAZ!$C$1:$N$1,1)))</f>
        <v>#N/A</v>
      </c>
      <c r="Y340" s="202" t="e">
        <f ca="1">IFERROR(ROUND(INDEX(I:I,MATCH($T340,$A:$A,0)),0),INDEX(PREVIVAZ!$C314:$N314,1,MATCH(Y$27,PREVIVAZ!$C$1:$N$1,1)))</f>
        <v>#N/A</v>
      </c>
      <c r="Z340" s="202" t="e">
        <f ca="1">IFERROR(ROUND(INDEX(J:J,MATCH($T340,$A:$A,0)),0),INDEX(PREVIVAZ!$C314:$N314,1,MATCH(Z$27,PREVIVAZ!$C$1:$N$1,1)))</f>
        <v>#N/A</v>
      </c>
      <c r="AA340" s="202" t="e">
        <f ca="1">IFERROR(ROUND(INDEX(K:K,MATCH($T340,$A:$A,0)),0),INDEX(PREVIVAZ!$C314:$N314,1,MATCH(AA$27,PREVIVAZ!$C$1:$N$1,1)))</f>
        <v>#N/A</v>
      </c>
      <c r="AB340" s="202" t="e">
        <f ca="1">IFERROR(ROUND(INDEX(L:L,MATCH($T340,$A:$A,0)),0),INDEX(PREVIVAZ!$C314:$N314,1,MATCH(AB$27,PREVIVAZ!$C$1:$N$1,1)))</f>
        <v>#N/A</v>
      </c>
      <c r="AC340" s="202" t="e">
        <f ca="1">IFERROR(ROUND(INDEX(M:M,MATCH($T340,$A:$A,0)),0),INDEX(PREVIVAZ!$C314:$N314,1,MATCH(AC$27,PREVIVAZ!$C$1:$N$1,1)))</f>
        <v>#N/A</v>
      </c>
      <c r="AD340" s="202" t="e">
        <f ca="1">IFERROR(ROUND(INDEX(N:N,MATCH($T340,$A:$A,0)),0),INDEX(PREVIVAZ!$C314:$N314,1,MATCH(AD$27,PREVIVAZ!$C$1:$N$1,1)))</f>
        <v>#N/A</v>
      </c>
      <c r="AE340" s="202" t="e">
        <f ca="1">IFERROR(ROUND(INDEX(O:O,MATCH($T340,$A:$A,0)),0),INDEX(PREVIVAZ!$C314:$N314,1,MATCH(AE$27,PREVIVAZ!$C$1:$N$1,1)))</f>
        <v>#N/A</v>
      </c>
      <c r="AF340" s="202" t="e">
        <f ca="1">IFERROR(ROUND(INDEX(P:P,MATCH($T340,$A:$A,0)),0),INDEX(PREVIVAZ!$C314:$N314,1,MATCH(AF$27,PREVIVAZ!$C$1:$N$1,1)))</f>
        <v>#N/A</v>
      </c>
      <c r="AG340" s="202" t="e">
        <f ca="1">IFERROR(ROUND(INDEX(Q:Q,MATCH($T340,$A:$A,0)),0),INDEX(PREVIVAZ!$C314:$N314,1,MATCH(AG$27,PREVIVAZ!$C$1:$N$1,1)))</f>
        <v>#N/A</v>
      </c>
    </row>
    <row r="341" spans="15:33" ht="12.75" x14ac:dyDescent="0.2">
      <c r="O341"/>
      <c r="P341"/>
      <c r="Q341"/>
      <c r="R341"/>
      <c r="S341"/>
      <c r="T341" s="272">
        <v>314</v>
      </c>
      <c r="V341" s="202" t="e">
        <f ca="1">IFERROR(ROUND(INDEX(F:F,MATCH($T341,$A:$A,0)),0),INDEX(PREVIVAZ!$C315:$N315,1,MATCH(V$27,PREVIVAZ!$C$1:$N$1,1)))</f>
        <v>#N/A</v>
      </c>
      <c r="W341" s="202" t="e">
        <f ca="1">IFERROR(ROUND(INDEX(G:G,MATCH($T341,$A:$A,0)),0),INDEX(PREVIVAZ!$C315:$N315,1,MATCH(W$27,PREVIVAZ!$C$1:$N$1,1)))</f>
        <v>#N/A</v>
      </c>
      <c r="X341" s="202" t="e">
        <f ca="1">IFERROR(ROUND(INDEX(H:H,MATCH($T341,$A:$A,0)),0),INDEX(PREVIVAZ!$C315:$N315,1,MATCH(X$27,PREVIVAZ!$C$1:$N$1,1)))</f>
        <v>#N/A</v>
      </c>
      <c r="Y341" s="202" t="e">
        <f ca="1">IFERROR(ROUND(INDEX(I:I,MATCH($T341,$A:$A,0)),0),INDEX(PREVIVAZ!$C315:$N315,1,MATCH(Y$27,PREVIVAZ!$C$1:$N$1,1)))</f>
        <v>#N/A</v>
      </c>
      <c r="Z341" s="202" t="e">
        <f ca="1">IFERROR(ROUND(INDEX(J:J,MATCH($T341,$A:$A,0)),0),INDEX(PREVIVAZ!$C315:$N315,1,MATCH(Z$27,PREVIVAZ!$C$1:$N$1,1)))</f>
        <v>#N/A</v>
      </c>
      <c r="AA341" s="202" t="e">
        <f ca="1">IFERROR(ROUND(INDEX(K:K,MATCH($T341,$A:$A,0)),0),INDEX(PREVIVAZ!$C315:$N315,1,MATCH(AA$27,PREVIVAZ!$C$1:$N$1,1)))</f>
        <v>#N/A</v>
      </c>
      <c r="AB341" s="202" t="e">
        <f ca="1">IFERROR(ROUND(INDEX(L:L,MATCH($T341,$A:$A,0)),0),INDEX(PREVIVAZ!$C315:$N315,1,MATCH(AB$27,PREVIVAZ!$C$1:$N$1,1)))</f>
        <v>#N/A</v>
      </c>
      <c r="AC341" s="202" t="e">
        <f ca="1">IFERROR(ROUND(INDEX(M:M,MATCH($T341,$A:$A,0)),0),INDEX(PREVIVAZ!$C315:$N315,1,MATCH(AC$27,PREVIVAZ!$C$1:$N$1,1)))</f>
        <v>#N/A</v>
      </c>
      <c r="AD341" s="202" t="e">
        <f ca="1">IFERROR(ROUND(INDEX(N:N,MATCH($T341,$A:$A,0)),0),INDEX(PREVIVAZ!$C315:$N315,1,MATCH(AD$27,PREVIVAZ!$C$1:$N$1,1)))</f>
        <v>#N/A</v>
      </c>
      <c r="AE341" s="202" t="e">
        <f ca="1">IFERROR(ROUND(INDEX(O:O,MATCH($T341,$A:$A,0)),0),INDEX(PREVIVAZ!$C315:$N315,1,MATCH(AE$27,PREVIVAZ!$C$1:$N$1,1)))</f>
        <v>#N/A</v>
      </c>
      <c r="AF341" s="202" t="e">
        <f ca="1">IFERROR(ROUND(INDEX(P:P,MATCH($T341,$A:$A,0)),0),INDEX(PREVIVAZ!$C315:$N315,1,MATCH(AF$27,PREVIVAZ!$C$1:$N$1,1)))</f>
        <v>#N/A</v>
      </c>
      <c r="AG341" s="202" t="e">
        <f ca="1">IFERROR(ROUND(INDEX(Q:Q,MATCH($T341,$A:$A,0)),0),INDEX(PREVIVAZ!$C315:$N315,1,MATCH(AG$27,PREVIVAZ!$C$1:$N$1,1)))</f>
        <v>#N/A</v>
      </c>
    </row>
    <row r="342" spans="15:33" ht="12.75" x14ac:dyDescent="0.2">
      <c r="O342"/>
      <c r="P342"/>
      <c r="Q342"/>
      <c r="R342"/>
      <c r="S342"/>
      <c r="T342" s="272">
        <v>315</v>
      </c>
      <c r="V342" s="202" t="e">
        <f ca="1">IFERROR(ROUND(INDEX(F:F,MATCH($T342,$A:$A,0)),0),INDEX(PREVIVAZ!$C316:$N316,1,MATCH(V$27,PREVIVAZ!$C$1:$N$1,1)))</f>
        <v>#N/A</v>
      </c>
      <c r="W342" s="202" t="e">
        <f ca="1">IFERROR(ROUND(INDEX(G:G,MATCH($T342,$A:$A,0)),0),INDEX(PREVIVAZ!$C316:$N316,1,MATCH(W$27,PREVIVAZ!$C$1:$N$1,1)))</f>
        <v>#N/A</v>
      </c>
      <c r="X342" s="202" t="e">
        <f ca="1">IFERROR(ROUND(INDEX(H:H,MATCH($T342,$A:$A,0)),0),INDEX(PREVIVAZ!$C316:$N316,1,MATCH(X$27,PREVIVAZ!$C$1:$N$1,1)))</f>
        <v>#N/A</v>
      </c>
      <c r="Y342" s="202" t="e">
        <f ca="1">IFERROR(ROUND(INDEX(I:I,MATCH($T342,$A:$A,0)),0),INDEX(PREVIVAZ!$C316:$N316,1,MATCH(Y$27,PREVIVAZ!$C$1:$N$1,1)))</f>
        <v>#N/A</v>
      </c>
      <c r="Z342" s="202" t="e">
        <f ca="1">IFERROR(ROUND(INDEX(J:J,MATCH($T342,$A:$A,0)),0),INDEX(PREVIVAZ!$C316:$N316,1,MATCH(Z$27,PREVIVAZ!$C$1:$N$1,1)))</f>
        <v>#N/A</v>
      </c>
      <c r="AA342" s="202" t="e">
        <f ca="1">IFERROR(ROUND(INDEX(K:K,MATCH($T342,$A:$A,0)),0),INDEX(PREVIVAZ!$C316:$N316,1,MATCH(AA$27,PREVIVAZ!$C$1:$N$1,1)))</f>
        <v>#N/A</v>
      </c>
      <c r="AB342" s="202" t="e">
        <f ca="1">IFERROR(ROUND(INDEX(L:L,MATCH($T342,$A:$A,0)),0),INDEX(PREVIVAZ!$C316:$N316,1,MATCH(AB$27,PREVIVAZ!$C$1:$N$1,1)))</f>
        <v>#N/A</v>
      </c>
      <c r="AC342" s="202" t="e">
        <f ca="1">IFERROR(ROUND(INDEX(M:M,MATCH($T342,$A:$A,0)),0),INDEX(PREVIVAZ!$C316:$N316,1,MATCH(AC$27,PREVIVAZ!$C$1:$N$1,1)))</f>
        <v>#N/A</v>
      </c>
      <c r="AD342" s="202" t="e">
        <f ca="1">IFERROR(ROUND(INDEX(N:N,MATCH($T342,$A:$A,0)),0),INDEX(PREVIVAZ!$C316:$N316,1,MATCH(AD$27,PREVIVAZ!$C$1:$N$1,1)))</f>
        <v>#N/A</v>
      </c>
      <c r="AE342" s="202" t="e">
        <f ca="1">IFERROR(ROUND(INDEX(O:O,MATCH($T342,$A:$A,0)),0),INDEX(PREVIVAZ!$C316:$N316,1,MATCH(AE$27,PREVIVAZ!$C$1:$N$1,1)))</f>
        <v>#N/A</v>
      </c>
      <c r="AF342" s="202" t="e">
        <f ca="1">IFERROR(ROUND(INDEX(P:P,MATCH($T342,$A:$A,0)),0),INDEX(PREVIVAZ!$C316:$N316,1,MATCH(AF$27,PREVIVAZ!$C$1:$N$1,1)))</f>
        <v>#N/A</v>
      </c>
      <c r="AG342" s="202" t="e">
        <f ca="1">IFERROR(ROUND(INDEX(Q:Q,MATCH($T342,$A:$A,0)),0),INDEX(PREVIVAZ!$C316:$N316,1,MATCH(AG$27,PREVIVAZ!$C$1:$N$1,1)))</f>
        <v>#N/A</v>
      </c>
    </row>
    <row r="343" spans="15:33" ht="12.75" x14ac:dyDescent="0.2">
      <c r="O343"/>
      <c r="P343"/>
      <c r="Q343"/>
      <c r="R343"/>
      <c r="S343"/>
      <c r="T343" s="272">
        <v>316</v>
      </c>
      <c r="V343" s="202" t="e">
        <f ca="1">IFERROR(ROUND(INDEX(F:F,MATCH($T343,$A:$A,0)),0),INDEX(PREVIVAZ!$C317:$N317,1,MATCH(V$27,PREVIVAZ!$C$1:$N$1,1)))</f>
        <v>#N/A</v>
      </c>
      <c r="W343" s="202" t="e">
        <f ca="1">IFERROR(ROUND(INDEX(G:G,MATCH($T343,$A:$A,0)),0),INDEX(PREVIVAZ!$C317:$N317,1,MATCH(W$27,PREVIVAZ!$C$1:$N$1,1)))</f>
        <v>#N/A</v>
      </c>
      <c r="X343" s="202" t="e">
        <f ca="1">IFERROR(ROUND(INDEX(H:H,MATCH($T343,$A:$A,0)),0),INDEX(PREVIVAZ!$C317:$N317,1,MATCH(X$27,PREVIVAZ!$C$1:$N$1,1)))</f>
        <v>#N/A</v>
      </c>
      <c r="Y343" s="202" t="e">
        <f ca="1">IFERROR(ROUND(INDEX(I:I,MATCH($T343,$A:$A,0)),0),INDEX(PREVIVAZ!$C317:$N317,1,MATCH(Y$27,PREVIVAZ!$C$1:$N$1,1)))</f>
        <v>#N/A</v>
      </c>
      <c r="Z343" s="202" t="e">
        <f ca="1">IFERROR(ROUND(INDEX(J:J,MATCH($T343,$A:$A,0)),0),INDEX(PREVIVAZ!$C317:$N317,1,MATCH(Z$27,PREVIVAZ!$C$1:$N$1,1)))</f>
        <v>#N/A</v>
      </c>
      <c r="AA343" s="202" t="e">
        <f ca="1">IFERROR(ROUND(INDEX(K:K,MATCH($T343,$A:$A,0)),0),INDEX(PREVIVAZ!$C317:$N317,1,MATCH(AA$27,PREVIVAZ!$C$1:$N$1,1)))</f>
        <v>#N/A</v>
      </c>
      <c r="AB343" s="202" t="e">
        <f ca="1">IFERROR(ROUND(INDEX(L:L,MATCH($T343,$A:$A,0)),0),INDEX(PREVIVAZ!$C317:$N317,1,MATCH(AB$27,PREVIVAZ!$C$1:$N$1,1)))</f>
        <v>#N/A</v>
      </c>
      <c r="AC343" s="202" t="e">
        <f ca="1">IFERROR(ROUND(INDEX(M:M,MATCH($T343,$A:$A,0)),0),INDEX(PREVIVAZ!$C317:$N317,1,MATCH(AC$27,PREVIVAZ!$C$1:$N$1,1)))</f>
        <v>#N/A</v>
      </c>
      <c r="AD343" s="202" t="e">
        <f ca="1">IFERROR(ROUND(INDEX(N:N,MATCH($T343,$A:$A,0)),0),INDEX(PREVIVAZ!$C317:$N317,1,MATCH(AD$27,PREVIVAZ!$C$1:$N$1,1)))</f>
        <v>#N/A</v>
      </c>
      <c r="AE343" s="202" t="e">
        <f ca="1">IFERROR(ROUND(INDEX(O:O,MATCH($T343,$A:$A,0)),0),INDEX(PREVIVAZ!$C317:$N317,1,MATCH(AE$27,PREVIVAZ!$C$1:$N$1,1)))</f>
        <v>#N/A</v>
      </c>
      <c r="AF343" s="202" t="e">
        <f ca="1">IFERROR(ROUND(INDEX(P:P,MATCH($T343,$A:$A,0)),0),INDEX(PREVIVAZ!$C317:$N317,1,MATCH(AF$27,PREVIVAZ!$C$1:$N$1,1)))</f>
        <v>#N/A</v>
      </c>
      <c r="AG343" s="202" t="e">
        <f ca="1">IFERROR(ROUND(INDEX(Q:Q,MATCH($T343,$A:$A,0)),0),INDEX(PREVIVAZ!$C317:$N317,1,MATCH(AG$27,PREVIVAZ!$C$1:$N$1,1)))</f>
        <v>#N/A</v>
      </c>
    </row>
    <row r="344" spans="15:33" ht="12.75" x14ac:dyDescent="0.2">
      <c r="O344"/>
      <c r="P344"/>
      <c r="Q344"/>
      <c r="R344"/>
      <c r="S344"/>
      <c r="T344" s="272">
        <v>317</v>
      </c>
      <c r="V344" s="202" t="e">
        <f ca="1">IFERROR(ROUND(INDEX(F:F,MATCH($T344,$A:$A,0)),0),INDEX(PREVIVAZ!$C318:$N318,1,MATCH(V$27,PREVIVAZ!$C$1:$N$1,1)))</f>
        <v>#N/A</v>
      </c>
      <c r="W344" s="202" t="e">
        <f ca="1">IFERROR(ROUND(INDEX(G:G,MATCH($T344,$A:$A,0)),0),INDEX(PREVIVAZ!$C318:$N318,1,MATCH(W$27,PREVIVAZ!$C$1:$N$1,1)))</f>
        <v>#N/A</v>
      </c>
      <c r="X344" s="202" t="e">
        <f ca="1">IFERROR(ROUND(INDEX(H:H,MATCH($T344,$A:$A,0)),0),INDEX(PREVIVAZ!$C318:$N318,1,MATCH(X$27,PREVIVAZ!$C$1:$N$1,1)))</f>
        <v>#N/A</v>
      </c>
      <c r="Y344" s="202" t="e">
        <f ca="1">IFERROR(ROUND(INDEX(I:I,MATCH($T344,$A:$A,0)),0),INDEX(PREVIVAZ!$C318:$N318,1,MATCH(Y$27,PREVIVAZ!$C$1:$N$1,1)))</f>
        <v>#N/A</v>
      </c>
      <c r="Z344" s="202" t="e">
        <f ca="1">IFERROR(ROUND(INDEX(J:J,MATCH($T344,$A:$A,0)),0),INDEX(PREVIVAZ!$C318:$N318,1,MATCH(Z$27,PREVIVAZ!$C$1:$N$1,1)))</f>
        <v>#N/A</v>
      </c>
      <c r="AA344" s="202" t="e">
        <f ca="1">IFERROR(ROUND(INDEX(K:K,MATCH($T344,$A:$A,0)),0),INDEX(PREVIVAZ!$C318:$N318,1,MATCH(AA$27,PREVIVAZ!$C$1:$N$1,1)))</f>
        <v>#N/A</v>
      </c>
      <c r="AB344" s="202" t="e">
        <f ca="1">IFERROR(ROUND(INDEX(L:L,MATCH($T344,$A:$A,0)),0),INDEX(PREVIVAZ!$C318:$N318,1,MATCH(AB$27,PREVIVAZ!$C$1:$N$1,1)))</f>
        <v>#N/A</v>
      </c>
      <c r="AC344" s="202" t="e">
        <f ca="1">IFERROR(ROUND(INDEX(M:M,MATCH($T344,$A:$A,0)),0),INDEX(PREVIVAZ!$C318:$N318,1,MATCH(AC$27,PREVIVAZ!$C$1:$N$1,1)))</f>
        <v>#N/A</v>
      </c>
      <c r="AD344" s="202" t="e">
        <f ca="1">IFERROR(ROUND(INDEX(N:N,MATCH($T344,$A:$A,0)),0),INDEX(PREVIVAZ!$C318:$N318,1,MATCH(AD$27,PREVIVAZ!$C$1:$N$1,1)))</f>
        <v>#N/A</v>
      </c>
      <c r="AE344" s="202" t="e">
        <f ca="1">IFERROR(ROUND(INDEX(O:O,MATCH($T344,$A:$A,0)),0),INDEX(PREVIVAZ!$C318:$N318,1,MATCH(AE$27,PREVIVAZ!$C$1:$N$1,1)))</f>
        <v>#N/A</v>
      </c>
      <c r="AF344" s="202" t="e">
        <f ca="1">IFERROR(ROUND(INDEX(P:P,MATCH($T344,$A:$A,0)),0),INDEX(PREVIVAZ!$C318:$N318,1,MATCH(AF$27,PREVIVAZ!$C$1:$N$1,1)))</f>
        <v>#N/A</v>
      </c>
      <c r="AG344" s="202" t="e">
        <f ca="1">IFERROR(ROUND(INDEX(Q:Q,MATCH($T344,$A:$A,0)),0),INDEX(PREVIVAZ!$C318:$N318,1,MATCH(AG$27,PREVIVAZ!$C$1:$N$1,1)))</f>
        <v>#N/A</v>
      </c>
    </row>
    <row r="345" spans="15:33" ht="12.75" x14ac:dyDescent="0.2">
      <c r="O345"/>
      <c r="P345"/>
      <c r="Q345"/>
      <c r="R345"/>
      <c r="S345"/>
      <c r="T345" s="272">
        <v>318</v>
      </c>
      <c r="V345" s="202">
        <f ca="1">IFERROR(ROUND(INDEX(F:F,MATCH($T345,$A:$A,0)),0),INDEX(PREVIVAZ!$C319:$N319,1,MATCH(V$27,PREVIVAZ!$C$1:$N$1,1)))</f>
        <v>0</v>
      </c>
      <c r="W345" s="202">
        <f ca="1">IFERROR(ROUND(INDEX(G:G,MATCH($T345,$A:$A,0)),0),INDEX(PREVIVAZ!$C319:$N319,1,MATCH(W$27,PREVIVAZ!$C$1:$N$1,1)))</f>
        <v>0</v>
      </c>
      <c r="X345" s="202">
        <f ca="1">IFERROR(ROUND(INDEX(H:H,MATCH($T345,$A:$A,0)),0),INDEX(PREVIVAZ!$C319:$N319,1,MATCH(X$27,PREVIVAZ!$C$1:$N$1,1)))</f>
        <v>0</v>
      </c>
      <c r="Y345" s="202">
        <f ca="1">IFERROR(ROUND(INDEX(I:I,MATCH($T345,$A:$A,0)),0),INDEX(PREVIVAZ!$C319:$N319,1,MATCH(Y$27,PREVIVAZ!$C$1:$N$1,1)))</f>
        <v>0</v>
      </c>
      <c r="Z345" s="202">
        <f ca="1">IFERROR(ROUND(INDEX(J:J,MATCH($T345,$A:$A,0)),0),INDEX(PREVIVAZ!$C319:$N319,1,MATCH(Z$27,PREVIVAZ!$C$1:$N$1,1)))</f>
        <v>0</v>
      </c>
      <c r="AA345" s="202">
        <f ca="1">IFERROR(ROUND(INDEX(K:K,MATCH($T345,$A:$A,0)),0),INDEX(PREVIVAZ!$C319:$N319,1,MATCH(AA$27,PREVIVAZ!$C$1:$N$1,1)))</f>
        <v>0</v>
      </c>
      <c r="AB345" s="202">
        <f ca="1">IFERROR(ROUND(INDEX(L:L,MATCH($T345,$A:$A,0)),0),INDEX(PREVIVAZ!$C319:$N319,1,MATCH(AB$27,PREVIVAZ!$C$1:$N$1,1)))</f>
        <v>0</v>
      </c>
      <c r="AC345" s="202">
        <f ca="1">IFERROR(ROUND(INDEX(M:M,MATCH($T345,$A:$A,0)),0),INDEX(PREVIVAZ!$C319:$N319,1,MATCH(AC$27,PREVIVAZ!$C$1:$N$1,1)))</f>
        <v>0</v>
      </c>
      <c r="AD345" s="202">
        <f ca="1">IFERROR(ROUND(INDEX(N:N,MATCH($T345,$A:$A,0)),0),INDEX(PREVIVAZ!$C319:$N319,1,MATCH(AD$27,PREVIVAZ!$C$1:$N$1,1)))</f>
        <v>0</v>
      </c>
      <c r="AE345" s="202">
        <f ca="1">IFERROR(ROUND(INDEX(O:O,MATCH($T345,$A:$A,0)),0),INDEX(PREVIVAZ!$C319:$N319,1,MATCH(AE$27,PREVIVAZ!$C$1:$N$1,1)))</f>
        <v>0</v>
      </c>
      <c r="AF345" s="202">
        <f ca="1">IFERROR(ROUND(INDEX(P:P,MATCH($T345,$A:$A,0)),0),INDEX(PREVIVAZ!$C319:$N319,1,MATCH(AF$27,PREVIVAZ!$C$1:$N$1,1)))</f>
        <v>0</v>
      </c>
      <c r="AG345" s="202">
        <f ca="1">IFERROR(ROUND(INDEX(Q:Q,MATCH($T345,$A:$A,0)),0),INDEX(PREVIVAZ!$C319:$N319,1,MATCH(AG$27,PREVIVAZ!$C$1:$N$1,1)))</f>
        <v>0</v>
      </c>
    </row>
    <row r="346" spans="15:33" ht="12.75" x14ac:dyDescent="0.2">
      <c r="O346"/>
      <c r="P346"/>
      <c r="Q346"/>
      <c r="R346"/>
      <c r="S346"/>
      <c r="T346" s="272">
        <v>319</v>
      </c>
      <c r="V346" s="202" t="e">
        <f ca="1">IFERROR(ROUND(INDEX(F:F,MATCH($T346,$A:$A,0)),0),INDEX(PREVIVAZ!$C320:$N320,1,MATCH(V$27,PREVIVAZ!$C$1:$N$1,1)))</f>
        <v>#N/A</v>
      </c>
      <c r="W346" s="202" t="e">
        <f ca="1">IFERROR(ROUND(INDEX(G:G,MATCH($T346,$A:$A,0)),0),INDEX(PREVIVAZ!$C320:$N320,1,MATCH(W$27,PREVIVAZ!$C$1:$N$1,1)))</f>
        <v>#N/A</v>
      </c>
      <c r="X346" s="202" t="e">
        <f ca="1">IFERROR(ROUND(INDEX(H:H,MATCH($T346,$A:$A,0)),0),INDEX(PREVIVAZ!$C320:$N320,1,MATCH(X$27,PREVIVAZ!$C$1:$N$1,1)))</f>
        <v>#N/A</v>
      </c>
      <c r="Y346" s="202" t="e">
        <f ca="1">IFERROR(ROUND(INDEX(I:I,MATCH($T346,$A:$A,0)),0),INDEX(PREVIVAZ!$C320:$N320,1,MATCH(Y$27,PREVIVAZ!$C$1:$N$1,1)))</f>
        <v>#N/A</v>
      </c>
      <c r="Z346" s="202" t="e">
        <f ca="1">IFERROR(ROUND(INDEX(J:J,MATCH($T346,$A:$A,0)),0),INDEX(PREVIVAZ!$C320:$N320,1,MATCH(Z$27,PREVIVAZ!$C$1:$N$1,1)))</f>
        <v>#N/A</v>
      </c>
      <c r="AA346" s="202" t="e">
        <f ca="1">IFERROR(ROUND(INDEX(K:K,MATCH($T346,$A:$A,0)),0),INDEX(PREVIVAZ!$C320:$N320,1,MATCH(AA$27,PREVIVAZ!$C$1:$N$1,1)))</f>
        <v>#N/A</v>
      </c>
      <c r="AB346" s="202" t="e">
        <f ca="1">IFERROR(ROUND(INDEX(L:L,MATCH($T346,$A:$A,0)),0),INDEX(PREVIVAZ!$C320:$N320,1,MATCH(AB$27,PREVIVAZ!$C$1:$N$1,1)))</f>
        <v>#N/A</v>
      </c>
      <c r="AC346" s="202" t="e">
        <f ca="1">IFERROR(ROUND(INDEX(M:M,MATCH($T346,$A:$A,0)),0),INDEX(PREVIVAZ!$C320:$N320,1,MATCH(AC$27,PREVIVAZ!$C$1:$N$1,1)))</f>
        <v>#N/A</v>
      </c>
      <c r="AD346" s="202" t="e">
        <f ca="1">IFERROR(ROUND(INDEX(N:N,MATCH($T346,$A:$A,0)),0),INDEX(PREVIVAZ!$C320:$N320,1,MATCH(AD$27,PREVIVAZ!$C$1:$N$1,1)))</f>
        <v>#N/A</v>
      </c>
      <c r="AE346" s="202" t="e">
        <f ca="1">IFERROR(ROUND(INDEX(O:O,MATCH($T346,$A:$A,0)),0),INDEX(PREVIVAZ!$C320:$N320,1,MATCH(AE$27,PREVIVAZ!$C$1:$N$1,1)))</f>
        <v>#N/A</v>
      </c>
      <c r="AF346" s="202" t="e">
        <f ca="1">IFERROR(ROUND(INDEX(P:P,MATCH($T346,$A:$A,0)),0),INDEX(PREVIVAZ!$C320:$N320,1,MATCH(AF$27,PREVIVAZ!$C$1:$N$1,1)))</f>
        <v>#N/A</v>
      </c>
      <c r="AG346" s="202" t="e">
        <f ca="1">IFERROR(ROUND(INDEX(Q:Q,MATCH($T346,$A:$A,0)),0),INDEX(PREVIVAZ!$C320:$N320,1,MATCH(AG$27,PREVIVAZ!$C$1:$N$1,1)))</f>
        <v>#N/A</v>
      </c>
    </row>
    <row r="347" spans="15:33" ht="12.75" x14ac:dyDescent="0.2">
      <c r="O347"/>
      <c r="P347"/>
      <c r="Q347"/>
      <c r="R347"/>
      <c r="S347"/>
      <c r="T347" s="272">
        <v>320</v>
      </c>
      <c r="V347" s="202" t="e">
        <f ca="1">IFERROR(ROUND(INDEX(F:F,MATCH($T347,$A:$A,0)),0),INDEX(PREVIVAZ!$C321:$N321,1,MATCH(V$27,PREVIVAZ!$C$1:$N$1,1)))</f>
        <v>#N/A</v>
      </c>
      <c r="W347" s="202" t="e">
        <f ca="1">IFERROR(ROUND(INDEX(G:G,MATCH($T347,$A:$A,0)),0),INDEX(PREVIVAZ!$C321:$N321,1,MATCH(W$27,PREVIVAZ!$C$1:$N$1,1)))</f>
        <v>#N/A</v>
      </c>
      <c r="X347" s="202" t="e">
        <f ca="1">IFERROR(ROUND(INDEX(H:H,MATCH($T347,$A:$A,0)),0),INDEX(PREVIVAZ!$C321:$N321,1,MATCH(X$27,PREVIVAZ!$C$1:$N$1,1)))</f>
        <v>#N/A</v>
      </c>
      <c r="Y347" s="202" t="e">
        <f ca="1">IFERROR(ROUND(INDEX(I:I,MATCH($T347,$A:$A,0)),0),INDEX(PREVIVAZ!$C321:$N321,1,MATCH(Y$27,PREVIVAZ!$C$1:$N$1,1)))</f>
        <v>#N/A</v>
      </c>
      <c r="Z347" s="202" t="e">
        <f ca="1">IFERROR(ROUND(INDEX(J:J,MATCH($T347,$A:$A,0)),0),INDEX(PREVIVAZ!$C321:$N321,1,MATCH(Z$27,PREVIVAZ!$C$1:$N$1,1)))</f>
        <v>#N/A</v>
      </c>
      <c r="AA347" s="202" t="e">
        <f ca="1">IFERROR(ROUND(INDEX(K:K,MATCH($T347,$A:$A,0)),0),INDEX(PREVIVAZ!$C321:$N321,1,MATCH(AA$27,PREVIVAZ!$C$1:$N$1,1)))</f>
        <v>#N/A</v>
      </c>
      <c r="AB347" s="202" t="e">
        <f ca="1">IFERROR(ROUND(INDEX(L:L,MATCH($T347,$A:$A,0)),0),INDEX(PREVIVAZ!$C321:$N321,1,MATCH(AB$27,PREVIVAZ!$C$1:$N$1,1)))</f>
        <v>#N/A</v>
      </c>
      <c r="AC347" s="202" t="e">
        <f ca="1">IFERROR(ROUND(INDEX(M:M,MATCH($T347,$A:$A,0)),0),INDEX(PREVIVAZ!$C321:$N321,1,MATCH(AC$27,PREVIVAZ!$C$1:$N$1,1)))</f>
        <v>#N/A</v>
      </c>
      <c r="AD347" s="202" t="e">
        <f ca="1">IFERROR(ROUND(INDEX(N:N,MATCH($T347,$A:$A,0)),0),INDEX(PREVIVAZ!$C321:$N321,1,MATCH(AD$27,PREVIVAZ!$C$1:$N$1,1)))</f>
        <v>#N/A</v>
      </c>
      <c r="AE347" s="202" t="e">
        <f ca="1">IFERROR(ROUND(INDEX(O:O,MATCH($T347,$A:$A,0)),0),INDEX(PREVIVAZ!$C321:$N321,1,MATCH(AE$27,PREVIVAZ!$C$1:$N$1,1)))</f>
        <v>#N/A</v>
      </c>
      <c r="AF347" s="202" t="e">
        <f ca="1">IFERROR(ROUND(INDEX(P:P,MATCH($T347,$A:$A,0)),0),INDEX(PREVIVAZ!$C321:$N321,1,MATCH(AF$27,PREVIVAZ!$C$1:$N$1,1)))</f>
        <v>#N/A</v>
      </c>
      <c r="AG347" s="202" t="e">
        <f ca="1">IFERROR(ROUND(INDEX(Q:Q,MATCH($T347,$A:$A,0)),0),INDEX(PREVIVAZ!$C321:$N321,1,MATCH(AG$27,PREVIVAZ!$C$1:$N$1,1)))</f>
        <v>#N/A</v>
      </c>
    </row>
    <row r="348" spans="15:33" ht="12.75" x14ac:dyDescent="0.2">
      <c r="O348"/>
      <c r="P348"/>
      <c r="Q348"/>
      <c r="R348"/>
      <c r="S348"/>
      <c r="T348"/>
      <c r="V348"/>
      <c r="W348"/>
      <c r="X348"/>
      <c r="Y348"/>
      <c r="Z348"/>
      <c r="AA348"/>
      <c r="AB348"/>
      <c r="AC348"/>
      <c r="AD348"/>
      <c r="AE348"/>
      <c r="AF348"/>
    </row>
    <row r="349" spans="15:33" ht="12.75" hidden="1" x14ac:dyDescent="0.2">
      <c r="O349"/>
      <c r="P349"/>
      <c r="Q349"/>
      <c r="R349"/>
      <c r="S349"/>
      <c r="T349"/>
      <c r="V349"/>
      <c r="W349"/>
      <c r="X349"/>
      <c r="Y349"/>
      <c r="Z349"/>
      <c r="AA349"/>
      <c r="AB349"/>
      <c r="AC349"/>
      <c r="AD349"/>
      <c r="AE349"/>
      <c r="AF349"/>
    </row>
    <row r="350" spans="15:33" ht="12.75" hidden="1" x14ac:dyDescent="0.2">
      <c r="O350"/>
      <c r="P350"/>
      <c r="Q350"/>
      <c r="R350"/>
      <c r="S350"/>
      <c r="T350"/>
      <c r="V350"/>
      <c r="W350"/>
      <c r="X350"/>
      <c r="Y350"/>
      <c r="Z350"/>
      <c r="AA350"/>
      <c r="AB350"/>
      <c r="AC350"/>
      <c r="AD350"/>
      <c r="AE350"/>
      <c r="AF350"/>
    </row>
    <row r="351" spans="15:33" ht="12.75" hidden="1" x14ac:dyDescent="0.2">
      <c r="O351"/>
      <c r="P351"/>
      <c r="Q351"/>
      <c r="R351"/>
      <c r="S351"/>
      <c r="T351"/>
      <c r="V351"/>
      <c r="W351"/>
      <c r="X351"/>
      <c r="Y351"/>
      <c r="Z351"/>
      <c r="AA351"/>
      <c r="AB351"/>
      <c r="AC351"/>
      <c r="AD351"/>
      <c r="AE351"/>
      <c r="AF351"/>
    </row>
    <row r="352" spans="15:33" ht="12.75" hidden="1" x14ac:dyDescent="0.2">
      <c r="O352"/>
      <c r="P352"/>
      <c r="Q352"/>
      <c r="R352"/>
      <c r="S352"/>
      <c r="T352"/>
      <c r="V352"/>
      <c r="W352"/>
      <c r="X352"/>
      <c r="Y352"/>
      <c r="Z352"/>
      <c r="AA352"/>
      <c r="AB352"/>
      <c r="AC352"/>
      <c r="AD352"/>
      <c r="AE352"/>
      <c r="AF352"/>
    </row>
    <row r="353" spans="15:32" ht="12.75" hidden="1" x14ac:dyDescent="0.2">
      <c r="O353"/>
      <c r="P353"/>
      <c r="Q353"/>
      <c r="R353"/>
      <c r="S353"/>
      <c r="T353"/>
      <c r="V353"/>
      <c r="W353"/>
      <c r="X353"/>
      <c r="Y353"/>
      <c r="Z353"/>
      <c r="AA353"/>
      <c r="AB353"/>
      <c r="AC353"/>
      <c r="AD353"/>
      <c r="AE353"/>
      <c r="AF353"/>
    </row>
    <row r="354" spans="15:32" ht="12.75" hidden="1" x14ac:dyDescent="0.2">
      <c r="O354"/>
      <c r="P354"/>
      <c r="Q354"/>
      <c r="R354"/>
      <c r="S354"/>
      <c r="T354"/>
      <c r="V354"/>
      <c r="W354"/>
      <c r="X354"/>
      <c r="Y354"/>
      <c r="Z354"/>
      <c r="AA354"/>
      <c r="AB354"/>
      <c r="AC354"/>
      <c r="AD354"/>
      <c r="AE354"/>
      <c r="AF354"/>
    </row>
    <row r="355" spans="15:32" ht="12.75" hidden="1" x14ac:dyDescent="0.2">
      <c r="O355"/>
      <c r="P355"/>
      <c r="Q355"/>
      <c r="R355"/>
      <c r="S355"/>
      <c r="T355"/>
      <c r="V355"/>
      <c r="W355"/>
      <c r="X355"/>
      <c r="Y355"/>
      <c r="Z355"/>
      <c r="AA355"/>
      <c r="AB355"/>
      <c r="AC355"/>
      <c r="AD355"/>
      <c r="AE355"/>
      <c r="AF355"/>
    </row>
    <row r="356" spans="15:32" ht="12.75" hidden="1" x14ac:dyDescent="0.2">
      <c r="O356"/>
      <c r="P356"/>
      <c r="Q356"/>
      <c r="R356"/>
      <c r="S356"/>
      <c r="T356"/>
      <c r="V356"/>
      <c r="W356"/>
      <c r="X356"/>
      <c r="Y356"/>
      <c r="Z356"/>
      <c r="AA356"/>
      <c r="AB356"/>
      <c r="AC356"/>
      <c r="AD356"/>
      <c r="AE356"/>
      <c r="AF356"/>
    </row>
    <row r="357" spans="15:32" ht="12.75" hidden="1" x14ac:dyDescent="0.2">
      <c r="O357"/>
      <c r="P357"/>
      <c r="Q357"/>
      <c r="R357"/>
      <c r="S357"/>
      <c r="T357"/>
      <c r="V357"/>
      <c r="W357"/>
      <c r="X357"/>
      <c r="Y357"/>
      <c r="Z357"/>
      <c r="AA357"/>
      <c r="AB357"/>
      <c r="AC357"/>
      <c r="AD357"/>
      <c r="AE357"/>
      <c r="AF357"/>
    </row>
    <row r="358" spans="15:32" ht="12.75" hidden="1" x14ac:dyDescent="0.2">
      <c r="O358"/>
      <c r="P358"/>
      <c r="Q358"/>
      <c r="R358"/>
      <c r="S358"/>
      <c r="T358"/>
      <c r="V358"/>
      <c r="W358"/>
      <c r="X358"/>
      <c r="Y358"/>
      <c r="Z358"/>
      <c r="AA358"/>
      <c r="AB358"/>
      <c r="AC358"/>
      <c r="AD358"/>
      <c r="AE358"/>
      <c r="AF358"/>
    </row>
    <row r="359" spans="15:32" ht="12.75" hidden="1" x14ac:dyDescent="0.2">
      <c r="O359"/>
      <c r="P359"/>
      <c r="Q359"/>
      <c r="R359"/>
      <c r="S359"/>
      <c r="T359"/>
      <c r="V359"/>
      <c r="W359"/>
      <c r="X359"/>
      <c r="Y359"/>
      <c r="Z359"/>
      <c r="AA359"/>
      <c r="AB359"/>
      <c r="AC359"/>
      <c r="AD359"/>
      <c r="AE359"/>
      <c r="AF359"/>
    </row>
    <row r="360" spans="15:32" ht="12.75" hidden="1" x14ac:dyDescent="0.2">
      <c r="O360"/>
      <c r="P360"/>
      <c r="Q360"/>
      <c r="R360"/>
      <c r="S360"/>
      <c r="T360"/>
      <c r="V360"/>
      <c r="W360"/>
      <c r="X360"/>
      <c r="Y360"/>
      <c r="Z360"/>
      <c r="AA360"/>
      <c r="AB360"/>
      <c r="AC360"/>
      <c r="AD360"/>
      <c r="AE360"/>
      <c r="AF360"/>
    </row>
    <row r="361" spans="15:32" ht="12.75" hidden="1" x14ac:dyDescent="0.2">
      <c r="O361"/>
      <c r="P361"/>
      <c r="Q361"/>
      <c r="R361"/>
      <c r="S361"/>
      <c r="T361"/>
      <c r="V361"/>
      <c r="W361"/>
      <c r="X361"/>
      <c r="Y361"/>
      <c r="Z361"/>
      <c r="AA361"/>
      <c r="AB361"/>
      <c r="AC361"/>
      <c r="AD361"/>
      <c r="AE361"/>
    </row>
    <row r="362" spans="15:32" ht="12.75" hidden="1" x14ac:dyDescent="0.2">
      <c r="O362"/>
      <c r="P362"/>
      <c r="Q362"/>
      <c r="R362"/>
      <c r="S362"/>
      <c r="T362"/>
      <c r="V362"/>
      <c r="W362"/>
      <c r="X362"/>
      <c r="Y362"/>
      <c r="Z362"/>
      <c r="AA362"/>
      <c r="AB362"/>
      <c r="AC362"/>
      <c r="AD362"/>
      <c r="AE362"/>
    </row>
    <row r="363" spans="15:32" ht="12.75" hidden="1" x14ac:dyDescent="0.2">
      <c r="O363"/>
      <c r="P363"/>
      <c r="Q363"/>
      <c r="R363"/>
      <c r="S363"/>
      <c r="T363"/>
      <c r="V363"/>
      <c r="W363"/>
      <c r="X363"/>
      <c r="Y363"/>
      <c r="Z363"/>
      <c r="AA363"/>
      <c r="AB363"/>
      <c r="AC363"/>
      <c r="AD363"/>
      <c r="AE363"/>
    </row>
    <row r="364" spans="15:32" ht="12.75" hidden="1" x14ac:dyDescent="0.2">
      <c r="O364"/>
      <c r="P364"/>
      <c r="Q364"/>
      <c r="R364"/>
      <c r="S364"/>
      <c r="T364"/>
      <c r="V364"/>
      <c r="W364"/>
      <c r="X364"/>
      <c r="Y364"/>
      <c r="Z364"/>
      <c r="AA364"/>
      <c r="AB364"/>
      <c r="AC364"/>
      <c r="AD364"/>
      <c r="AE364"/>
    </row>
    <row r="365" spans="15:32" ht="12.75" hidden="1" x14ac:dyDescent="0.2"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</row>
    <row r="366" spans="15:32" ht="12.75" hidden="1" x14ac:dyDescent="0.2"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</row>
    <row r="367" spans="15:32" ht="12.75" hidden="1" x14ac:dyDescent="0.2"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</row>
    <row r="368" spans="15:32" ht="12.75" hidden="1" x14ac:dyDescent="0.2"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</row>
    <row r="369" spans="16:30" ht="12.75" hidden="1" x14ac:dyDescent="0.2"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</row>
    <row r="370" spans="16:30" ht="12.75" hidden="1" x14ac:dyDescent="0.2"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</row>
    <row r="371" spans="16:30" ht="12.75" hidden="1" x14ac:dyDescent="0.2"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</row>
    <row r="372" spans="16:30" ht="12.75" hidden="1" x14ac:dyDescent="0.2"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</row>
    <row r="373" spans="16:30" ht="12.75" hidden="1" x14ac:dyDescent="0.2"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</row>
    <row r="374" spans="16:30" ht="12.75" hidden="1" x14ac:dyDescent="0.2"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</row>
    <row r="375" spans="16:30" ht="12.75" hidden="1" x14ac:dyDescent="0.2"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</row>
    <row r="376" spans="16:30" ht="12.75" hidden="1" x14ac:dyDescent="0.2"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</row>
    <row r="377" spans="16:30" ht="12.75" hidden="1" x14ac:dyDescent="0.2"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</row>
    <row r="378" spans="16:30" ht="12.75" hidden="1" x14ac:dyDescent="0.2"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</row>
    <row r="379" spans="16:30" ht="12.75" hidden="1" x14ac:dyDescent="0.2"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</row>
    <row r="380" spans="16:30" ht="12.75" hidden="1" x14ac:dyDescent="0.2"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</row>
    <row r="381" spans="16:30" ht="12.75" hidden="1" x14ac:dyDescent="0.2"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</row>
    <row r="382" spans="16:30" ht="12.75" hidden="1" x14ac:dyDescent="0.2"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</row>
    <row r="383" spans="16:30" ht="12.75" hidden="1" x14ac:dyDescent="0.2"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</row>
    <row r="384" spans="16:30" ht="12.75" hidden="1" x14ac:dyDescent="0.2"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</row>
    <row r="385" spans="16:30" ht="12.75" hidden="1" x14ac:dyDescent="0.2"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</row>
    <row r="386" spans="16:30" ht="12.75" hidden="1" x14ac:dyDescent="0.2"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</row>
    <row r="387" spans="16:30" ht="12.75" hidden="1" x14ac:dyDescent="0.2"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</row>
    <row r="388" spans="16:30" ht="12.75" hidden="1" x14ac:dyDescent="0.2"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</row>
    <row r="389" spans="16:30" ht="12.75" hidden="1" x14ac:dyDescent="0.2"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</row>
    <row r="390" spans="16:30" ht="12.75" hidden="1" x14ac:dyDescent="0.2"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</row>
    <row r="391" spans="16:30" ht="12.75" hidden="1" x14ac:dyDescent="0.2"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</row>
    <row r="392" spans="16:30" ht="12.75" hidden="1" x14ac:dyDescent="0.2"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</row>
    <row r="393" spans="16:30" ht="12.75" hidden="1" x14ac:dyDescent="0.2"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</row>
    <row r="394" spans="16:30" ht="12.75" hidden="1" x14ac:dyDescent="0.2"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</row>
    <row r="395" spans="16:30" ht="12.75" hidden="1" x14ac:dyDescent="0.2"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</row>
    <row r="396" spans="16:30" ht="12.75" hidden="1" x14ac:dyDescent="0.2"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</row>
    <row r="397" spans="16:30" ht="12.75" hidden="1" x14ac:dyDescent="0.2"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</row>
    <row r="398" spans="16:30" ht="12.75" hidden="1" x14ac:dyDescent="0.2"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</row>
    <row r="399" spans="16:30" ht="12.75" hidden="1" x14ac:dyDescent="0.2"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</row>
    <row r="400" spans="16:30" ht="12.75" hidden="1" x14ac:dyDescent="0.2"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</row>
    <row r="401" spans="16:30" ht="12.75" hidden="1" x14ac:dyDescent="0.2"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</row>
    <row r="402" spans="16:30" ht="12.75" hidden="1" x14ac:dyDescent="0.2"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</row>
    <row r="403" spans="16:30" ht="12.75" hidden="1" x14ac:dyDescent="0.2"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</row>
    <row r="404" spans="16:30" ht="12.75" hidden="1" x14ac:dyDescent="0.2"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</row>
    <row r="405" spans="16:30" ht="12.75" hidden="1" x14ac:dyDescent="0.2"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</row>
    <row r="406" spans="16:30" ht="12.75" hidden="1" x14ac:dyDescent="0.2"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</row>
    <row r="407" spans="16:30" ht="12.75" hidden="1" x14ac:dyDescent="0.2"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</row>
    <row r="408" spans="16:30" ht="12.75" hidden="1" x14ac:dyDescent="0.2"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</row>
    <row r="409" spans="16:30" ht="12.75" hidden="1" x14ac:dyDescent="0.2"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</row>
    <row r="410" spans="16:30" ht="12.75" hidden="1" x14ac:dyDescent="0.2"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</row>
    <row r="411" spans="16:30" ht="12.75" hidden="1" x14ac:dyDescent="0.2"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</row>
    <row r="412" spans="16:30" ht="12.75" hidden="1" x14ac:dyDescent="0.2"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</row>
    <row r="413" spans="16:30" ht="12.75" hidden="1" x14ac:dyDescent="0.2"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</row>
    <row r="414" spans="16:30" ht="12.75" hidden="1" x14ac:dyDescent="0.2"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</row>
    <row r="415" spans="16:30" ht="12.75" hidden="1" x14ac:dyDescent="0.2"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</row>
    <row r="416" spans="16:30" ht="12.75" hidden="1" x14ac:dyDescent="0.2"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</row>
    <row r="417" spans="16:30" ht="12.75" hidden="1" x14ac:dyDescent="0.2"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</row>
    <row r="418" spans="16:30" ht="12.75" hidden="1" x14ac:dyDescent="0.2"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</row>
    <row r="419" spans="16:30" ht="12.75" hidden="1" x14ac:dyDescent="0.2"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</row>
    <row r="420" spans="16:30" ht="12.75" hidden="1" x14ac:dyDescent="0.2"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</row>
    <row r="421" spans="16:30" ht="12.75" hidden="1" x14ac:dyDescent="0.2"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</row>
    <row r="422" spans="16:30" ht="12.75" hidden="1" x14ac:dyDescent="0.2"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</row>
    <row r="423" spans="16:30" ht="12.75" hidden="1" x14ac:dyDescent="0.2"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</row>
    <row r="424" spans="16:30" ht="12.75" hidden="1" x14ac:dyDescent="0.2"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</row>
    <row r="425" spans="16:30" ht="12.75" hidden="1" x14ac:dyDescent="0.2"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</row>
    <row r="426" spans="16:30" ht="12.75" hidden="1" x14ac:dyDescent="0.2"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</row>
    <row r="427" spans="16:30" ht="12.75" hidden="1" x14ac:dyDescent="0.2"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</row>
    <row r="428" spans="16:30" ht="12.75" hidden="1" x14ac:dyDescent="0.2"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</row>
    <row r="429" spans="16:30" ht="12.75" hidden="1" x14ac:dyDescent="0.2"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</row>
    <row r="430" spans="16:30" ht="12.75" hidden="1" x14ac:dyDescent="0.2"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</row>
    <row r="431" spans="16:30" ht="12.75" hidden="1" x14ac:dyDescent="0.2"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</row>
    <row r="432" spans="16:30" ht="12.75" hidden="1" x14ac:dyDescent="0.2"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</row>
    <row r="433" spans="16:30" ht="12.75" hidden="1" x14ac:dyDescent="0.2"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</row>
    <row r="434" spans="16:30" ht="12.75" hidden="1" x14ac:dyDescent="0.2"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</row>
    <row r="435" spans="16:30" ht="12.75" hidden="1" x14ac:dyDescent="0.2"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</row>
    <row r="436" spans="16:30" ht="12.75" hidden="1" x14ac:dyDescent="0.2"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</row>
    <row r="437" spans="16:30" ht="12.75" hidden="1" x14ac:dyDescent="0.2"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</row>
    <row r="438" spans="16:30" ht="12.75" hidden="1" x14ac:dyDescent="0.2"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</row>
    <row r="439" spans="16:30" ht="12.75" hidden="1" x14ac:dyDescent="0.2"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</row>
    <row r="440" spans="16:30" ht="12.75" hidden="1" x14ac:dyDescent="0.2"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</row>
    <row r="441" spans="16:30" ht="12.75" hidden="1" x14ac:dyDescent="0.2"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</row>
    <row r="442" spans="16:30" ht="12.75" hidden="1" x14ac:dyDescent="0.2"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</row>
    <row r="443" spans="16:30" ht="12.75" hidden="1" x14ac:dyDescent="0.2"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</row>
    <row r="444" spans="16:30" ht="12.75" hidden="1" x14ac:dyDescent="0.2"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</row>
    <row r="445" spans="16:30" ht="12.75" hidden="1" x14ac:dyDescent="0.2"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</row>
    <row r="446" spans="16:30" ht="12.75" hidden="1" x14ac:dyDescent="0.2"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</row>
    <row r="447" spans="16:30" ht="12.75" hidden="1" x14ac:dyDescent="0.2"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</row>
    <row r="448" spans="16:30" ht="12.75" hidden="1" x14ac:dyDescent="0.2"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</row>
    <row r="449" spans="16:30" ht="12.75" hidden="1" x14ac:dyDescent="0.2"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</row>
    <row r="450" spans="16:30" ht="12.75" hidden="1" x14ac:dyDescent="0.2"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</row>
    <row r="451" spans="16:30" ht="12.75" hidden="1" x14ac:dyDescent="0.2"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</row>
    <row r="452" spans="16:30" ht="12.75" hidden="1" x14ac:dyDescent="0.2"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</row>
    <row r="453" spans="16:30" ht="12.75" hidden="1" x14ac:dyDescent="0.2"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</row>
    <row r="454" spans="16:30" ht="12.75" hidden="1" x14ac:dyDescent="0.2"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</row>
    <row r="455" spans="16:30" ht="12.75" hidden="1" x14ac:dyDescent="0.2"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</row>
    <row r="456" spans="16:30" ht="12.75" hidden="1" x14ac:dyDescent="0.2"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</row>
    <row r="457" spans="16:30" ht="12.75" hidden="1" x14ac:dyDescent="0.2"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</row>
    <row r="458" spans="16:30" ht="12.75" hidden="1" x14ac:dyDescent="0.2"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</row>
    <row r="459" spans="16:30" ht="12.75" hidden="1" x14ac:dyDescent="0.2"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</row>
    <row r="460" spans="16:30" ht="12.75" hidden="1" x14ac:dyDescent="0.2"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</row>
    <row r="461" spans="16:30" ht="12.75" hidden="1" x14ac:dyDescent="0.2"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</row>
    <row r="462" spans="16:30" ht="12.75" hidden="1" x14ac:dyDescent="0.2"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</row>
    <row r="463" spans="16:30" ht="12.75" hidden="1" x14ac:dyDescent="0.2"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</row>
    <row r="464" spans="16:30" ht="12.75" hidden="1" x14ac:dyDescent="0.2"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</row>
    <row r="465" spans="16:30" ht="12.75" hidden="1" x14ac:dyDescent="0.2"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</row>
    <row r="466" spans="16:30" ht="12.75" hidden="1" x14ac:dyDescent="0.2"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</row>
    <row r="467" spans="16:30" ht="12.75" hidden="1" x14ac:dyDescent="0.2"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</row>
    <row r="468" spans="16:30" ht="12.75" hidden="1" x14ac:dyDescent="0.2"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</row>
    <row r="469" spans="16:30" ht="12.75" hidden="1" x14ac:dyDescent="0.2"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</row>
    <row r="470" spans="16:30" ht="12.75" hidden="1" x14ac:dyDescent="0.2"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</row>
    <row r="471" spans="16:30" ht="12.75" hidden="1" x14ac:dyDescent="0.2"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</row>
    <row r="472" spans="16:30" ht="12.75" hidden="1" x14ac:dyDescent="0.2"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</row>
    <row r="473" spans="16:30" ht="12.75" hidden="1" x14ac:dyDescent="0.2"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</row>
    <row r="474" spans="16:30" ht="12.75" hidden="1" x14ac:dyDescent="0.2"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</row>
    <row r="475" spans="16:30" ht="12.75" hidden="1" x14ac:dyDescent="0.2"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</row>
    <row r="476" spans="16:30" ht="12.75" hidden="1" x14ac:dyDescent="0.2"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</row>
    <row r="477" spans="16:30" ht="12.75" hidden="1" x14ac:dyDescent="0.2"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</row>
    <row r="478" spans="16:30" ht="12.75" hidden="1" x14ac:dyDescent="0.2"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</row>
    <row r="479" spans="16:30" ht="12.75" hidden="1" x14ac:dyDescent="0.2"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</row>
    <row r="480" spans="16:30" ht="12.75" hidden="1" x14ac:dyDescent="0.2"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</row>
    <row r="481" spans="16:30" ht="12.75" hidden="1" x14ac:dyDescent="0.2"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</row>
    <row r="482" spans="16:30" ht="12.75" hidden="1" x14ac:dyDescent="0.2"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</row>
    <row r="483" spans="16:30" ht="12.75" hidden="1" x14ac:dyDescent="0.2"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</row>
    <row r="484" spans="16:30" ht="12.75" hidden="1" x14ac:dyDescent="0.2"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</row>
    <row r="485" spans="16:30" ht="12.75" hidden="1" x14ac:dyDescent="0.2"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</row>
    <row r="486" spans="16:30" ht="12.75" hidden="1" x14ac:dyDescent="0.2"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</row>
    <row r="487" spans="16:30" ht="12.75" hidden="1" x14ac:dyDescent="0.2"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</row>
    <row r="488" spans="16:30" ht="12.75" hidden="1" x14ac:dyDescent="0.2"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</row>
    <row r="489" spans="16:30" ht="12.75" hidden="1" x14ac:dyDescent="0.2"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</row>
    <row r="490" spans="16:30" ht="12.75" hidden="1" x14ac:dyDescent="0.2"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</row>
    <row r="491" spans="16:30" ht="12.75" hidden="1" x14ac:dyDescent="0.2"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</row>
    <row r="492" spans="16:30" ht="12.75" hidden="1" x14ac:dyDescent="0.2"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</row>
    <row r="493" spans="16:30" ht="12.75" hidden="1" x14ac:dyDescent="0.2"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</row>
    <row r="494" spans="16:30" ht="12.75" hidden="1" x14ac:dyDescent="0.2"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</row>
    <row r="495" spans="16:30" ht="12.75" hidden="1" x14ac:dyDescent="0.2"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</row>
    <row r="496" spans="16:30" ht="12.75" hidden="1" x14ac:dyDescent="0.2"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</row>
    <row r="497" spans="16:30" ht="12.75" hidden="1" x14ac:dyDescent="0.2"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</row>
    <row r="498" spans="16:30" ht="12.75" hidden="1" x14ac:dyDescent="0.2"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</row>
    <row r="499" spans="16:30" ht="12.75" hidden="1" x14ac:dyDescent="0.2"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</row>
    <row r="500" spans="16:30" ht="12.75" hidden="1" x14ac:dyDescent="0.2"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</row>
    <row r="501" spans="16:30" ht="12.75" hidden="1" x14ac:dyDescent="0.2"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</row>
    <row r="502" spans="16:30" ht="12.75" hidden="1" x14ac:dyDescent="0.2"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</row>
    <row r="503" spans="16:30" ht="12.75" hidden="1" x14ac:dyDescent="0.2"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</row>
    <row r="504" spans="16:30" ht="12.75" hidden="1" x14ac:dyDescent="0.2"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</row>
    <row r="505" spans="16:30" ht="12.75" hidden="1" x14ac:dyDescent="0.2"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</row>
    <row r="506" spans="16:30" ht="12.75" hidden="1" x14ac:dyDescent="0.2"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</row>
    <row r="507" spans="16:30" ht="12.75" hidden="1" x14ac:dyDescent="0.2"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</row>
    <row r="508" spans="16:30" ht="12.75" hidden="1" x14ac:dyDescent="0.2"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</row>
    <row r="509" spans="16:30" ht="12.75" hidden="1" x14ac:dyDescent="0.2"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</row>
    <row r="510" spans="16:30" ht="12.75" hidden="1" x14ac:dyDescent="0.2"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</row>
    <row r="511" spans="16:30" ht="12.75" hidden="1" x14ac:dyDescent="0.2"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</row>
    <row r="512" spans="16:30" ht="12.75" hidden="1" x14ac:dyDescent="0.2"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</row>
    <row r="513" ht="12.75" hidden="1" x14ac:dyDescent="0.2"/>
    <row r="514" ht="12.75" hidden="1" x14ac:dyDescent="0.2"/>
    <row r="515" ht="12.75" hidden="1" x14ac:dyDescent="0.2"/>
    <row r="516" ht="12.75" hidden="1" x14ac:dyDescent="0.2"/>
    <row r="517" ht="12.75" hidden="1" x14ac:dyDescent="0.2"/>
    <row r="518" ht="12.75" hidden="1" x14ac:dyDescent="0.2"/>
    <row r="519" ht="12.75" hidden="1" x14ac:dyDescent="0.2"/>
    <row r="520" ht="12.75" hidden="1" x14ac:dyDescent="0.2"/>
    <row r="521" ht="12.75" hidden="1" x14ac:dyDescent="0.2"/>
    <row r="522" ht="12.75" hidden="1" x14ac:dyDescent="0.2"/>
    <row r="523" ht="12.75" hidden="1" x14ac:dyDescent="0.2"/>
    <row r="524" ht="12.75" hidden="1" x14ac:dyDescent="0.2"/>
    <row r="525" ht="12.75" hidden="1" x14ac:dyDescent="0.2"/>
    <row r="526" ht="12.75" hidden="1" x14ac:dyDescent="0.2"/>
    <row r="527" ht="12.75" hidden="1" x14ac:dyDescent="0.2"/>
    <row r="528" ht="12.75" hidden="1" x14ac:dyDescent="0.2"/>
    <row r="529" ht="12.75" hidden="1" x14ac:dyDescent="0.2"/>
    <row r="530" ht="12.75" hidden="1" x14ac:dyDescent="0.2"/>
    <row r="531" ht="12.75" hidden="1" x14ac:dyDescent="0.2"/>
    <row r="532" ht="12.75" hidden="1" x14ac:dyDescent="0.2"/>
    <row r="533" ht="12.75" hidden="1" x14ac:dyDescent="0.2"/>
    <row r="534" ht="12.75" hidden="1" x14ac:dyDescent="0.2"/>
    <row r="535" ht="12.75" hidden="1" x14ac:dyDescent="0.2"/>
    <row r="536" ht="12.75" hidden="1" x14ac:dyDescent="0.2"/>
    <row r="537" ht="12.75" hidden="1" x14ac:dyDescent="0.2"/>
    <row r="538" ht="12.75" hidden="1" x14ac:dyDescent="0.2"/>
    <row r="539" ht="12.75" hidden="1" x14ac:dyDescent="0.2"/>
    <row r="540" ht="12.75" hidden="1" x14ac:dyDescent="0.2"/>
    <row r="541" ht="12.75" hidden="1" x14ac:dyDescent="0.2"/>
    <row r="542" ht="12.75" hidden="1" x14ac:dyDescent="0.2"/>
    <row r="543" ht="12.75" hidden="1" x14ac:dyDescent="0.2"/>
    <row r="544" ht="12.75" hidden="1" x14ac:dyDescent="0.2"/>
    <row r="545" ht="12.75" hidden="1" x14ac:dyDescent="0.2"/>
    <row r="546" ht="12.75" hidden="1" x14ac:dyDescent="0.2"/>
    <row r="547" ht="12.75" hidden="1" x14ac:dyDescent="0.2"/>
    <row r="548" ht="12.75" hidden="1" x14ac:dyDescent="0.2"/>
    <row r="549" ht="12.75" hidden="1" x14ac:dyDescent="0.2"/>
    <row r="550" ht="12.75" hidden="1" x14ac:dyDescent="0.2"/>
    <row r="551" ht="12.75" hidden="1" x14ac:dyDescent="0.2"/>
    <row r="552" ht="12.75" hidden="1" x14ac:dyDescent="0.2"/>
    <row r="553" ht="12.75" hidden="1" x14ac:dyDescent="0.2"/>
    <row r="554" ht="12.75" hidden="1" x14ac:dyDescent="0.2"/>
    <row r="555" ht="12.75" hidden="1" x14ac:dyDescent="0.2"/>
    <row r="556" ht="12.75" hidden="1" x14ac:dyDescent="0.2"/>
    <row r="557" ht="12.75" hidden="1" x14ac:dyDescent="0.2"/>
    <row r="558" ht="12.75" hidden="1" x14ac:dyDescent="0.2"/>
    <row r="559" ht="12.75" hidden="1" x14ac:dyDescent="0.2"/>
    <row r="560" ht="12.75" hidden="1" x14ac:dyDescent="0.2"/>
    <row r="561" ht="12.75" hidden="1" x14ac:dyDescent="0.2"/>
    <row r="562" ht="12.75" hidden="1" x14ac:dyDescent="0.2"/>
    <row r="563" ht="12.75" hidden="1" x14ac:dyDescent="0.2"/>
    <row r="564" ht="12.75" hidden="1" x14ac:dyDescent="0.2"/>
    <row r="565" ht="12.75" hidden="1" x14ac:dyDescent="0.2"/>
    <row r="566" ht="12.75" hidden="1" x14ac:dyDescent="0.2"/>
    <row r="567" ht="12.75" hidden="1" x14ac:dyDescent="0.2"/>
    <row r="568" ht="12.75" hidden="1" x14ac:dyDescent="0.2"/>
    <row r="569" ht="12.75" hidden="1" x14ac:dyDescent="0.2"/>
    <row r="570" ht="12.75" hidden="1" x14ac:dyDescent="0.2"/>
    <row r="571" ht="12.75" hidden="1" x14ac:dyDescent="0.2"/>
    <row r="572" ht="12.75" hidden="1" x14ac:dyDescent="0.2"/>
    <row r="573" ht="12.75" hidden="1" x14ac:dyDescent="0.2"/>
    <row r="574" ht="12.75" hidden="1" x14ac:dyDescent="0.2"/>
    <row r="575" ht="12.75" hidden="1" x14ac:dyDescent="0.2"/>
    <row r="576" ht="12.75" hidden="1" x14ac:dyDescent="0.2"/>
    <row r="577" ht="12.75" hidden="1" x14ac:dyDescent="0.2"/>
    <row r="578" ht="12.75" hidden="1" x14ac:dyDescent="0.2"/>
    <row r="579" ht="12.75" hidden="1" x14ac:dyDescent="0.2"/>
    <row r="580" ht="12.75" hidden="1" x14ac:dyDescent="0.2"/>
    <row r="581" ht="12.75" hidden="1" x14ac:dyDescent="0.2"/>
    <row r="582" ht="12.75" hidden="1" x14ac:dyDescent="0.2"/>
    <row r="583" ht="12.75" hidden="1" x14ac:dyDescent="0.2"/>
    <row r="584" ht="12.75" hidden="1" x14ac:dyDescent="0.2"/>
    <row r="585" ht="12.75" hidden="1" x14ac:dyDescent="0.2"/>
    <row r="586" ht="12.75" hidden="1" x14ac:dyDescent="0.2"/>
    <row r="587" ht="12.75" hidden="1" x14ac:dyDescent="0.2"/>
    <row r="588" ht="12.75" hidden="1" x14ac:dyDescent="0.2"/>
    <row r="589" ht="12.75" hidden="1" x14ac:dyDescent="0.2"/>
    <row r="590" ht="12.75" hidden="1" x14ac:dyDescent="0.2"/>
    <row r="591" ht="12.75" hidden="1" x14ac:dyDescent="0.2"/>
    <row r="592" ht="12.75" hidden="1" x14ac:dyDescent="0.2"/>
    <row r="593" ht="12.75" hidden="1" x14ac:dyDescent="0.2"/>
    <row r="594" ht="12.75" hidden="1" x14ac:dyDescent="0.2"/>
    <row r="595" ht="12.75" hidden="1" x14ac:dyDescent="0.2"/>
    <row r="596" ht="12.75" hidden="1" x14ac:dyDescent="0.2"/>
    <row r="597" ht="12.75" hidden="1" x14ac:dyDescent="0.2"/>
    <row r="598" ht="12.75" hidden="1" x14ac:dyDescent="0.2"/>
    <row r="599" ht="12.75" hidden="1" x14ac:dyDescent="0.2"/>
    <row r="600" ht="12.75" hidden="1" x14ac:dyDescent="0.2"/>
    <row r="601" ht="12.75" hidden="1" x14ac:dyDescent="0.2"/>
    <row r="602" ht="12.75" hidden="1" x14ac:dyDescent="0.2"/>
    <row r="603" ht="12.75" hidden="1" x14ac:dyDescent="0.2"/>
    <row r="604" ht="12.75" hidden="1" x14ac:dyDescent="0.2"/>
    <row r="605" ht="12.75" hidden="1" x14ac:dyDescent="0.2"/>
    <row r="606" ht="12.75" hidden="1" x14ac:dyDescent="0.2"/>
    <row r="607" ht="12.75" hidden="1" x14ac:dyDescent="0.2"/>
    <row r="608" ht="12.75" hidden="1" x14ac:dyDescent="0.2"/>
    <row r="609" ht="12.75" hidden="1" x14ac:dyDescent="0.2"/>
    <row r="610" ht="12.75" hidden="1" x14ac:dyDescent="0.2"/>
    <row r="611" ht="12.75" hidden="1" x14ac:dyDescent="0.2"/>
    <row r="612" ht="12.75" hidden="1" x14ac:dyDescent="0.2"/>
    <row r="613" ht="12.75" hidden="1" x14ac:dyDescent="0.2"/>
    <row r="614" ht="12.75" hidden="1" x14ac:dyDescent="0.2"/>
    <row r="615" ht="12.75" hidden="1" x14ac:dyDescent="0.2"/>
    <row r="616" ht="12.75" hidden="1" x14ac:dyDescent="0.2"/>
    <row r="617" ht="12.75" hidden="1" x14ac:dyDescent="0.2"/>
    <row r="618" ht="12.75" hidden="1" x14ac:dyDescent="0.2"/>
    <row r="619" ht="12.75" hidden="1" x14ac:dyDescent="0.2"/>
    <row r="620" ht="12.75" hidden="1" x14ac:dyDescent="0.2"/>
    <row r="621" ht="12.75" hidden="1" x14ac:dyDescent="0.2"/>
    <row r="622" ht="12.75" hidden="1" x14ac:dyDescent="0.2"/>
    <row r="623" ht="12.75" hidden="1" x14ac:dyDescent="0.2"/>
    <row r="624" ht="12.75" hidden="1" x14ac:dyDescent="0.2"/>
    <row r="625" ht="12.75" hidden="1" x14ac:dyDescent="0.2"/>
    <row r="626" ht="12.75" hidden="1" x14ac:dyDescent="0.2"/>
    <row r="627" ht="12.75" hidden="1" x14ac:dyDescent="0.2"/>
    <row r="628" ht="12.75" hidden="1" x14ac:dyDescent="0.2"/>
    <row r="629" ht="12.75" hidden="1" x14ac:dyDescent="0.2"/>
    <row r="630" ht="12.75" hidden="1" x14ac:dyDescent="0.2"/>
    <row r="631" ht="12.75" hidden="1" x14ac:dyDescent="0.2"/>
    <row r="632" ht="12.75" hidden="1" x14ac:dyDescent="0.2"/>
    <row r="633" ht="12.75" hidden="1" x14ac:dyDescent="0.2"/>
    <row r="634" ht="12.75" hidden="1" x14ac:dyDescent="0.2"/>
    <row r="635" ht="12.75" hidden="1" x14ac:dyDescent="0.2"/>
    <row r="636" ht="12.75" hidden="1" x14ac:dyDescent="0.2"/>
    <row r="637" ht="12.75" hidden="1" x14ac:dyDescent="0.2"/>
    <row r="638" ht="12.75" hidden="1" x14ac:dyDescent="0.2"/>
    <row r="639" ht="12.75" hidden="1" x14ac:dyDescent="0.2"/>
    <row r="640" ht="12.75" hidden="1" x14ac:dyDescent="0.2"/>
    <row r="641" ht="12.75" hidden="1" x14ac:dyDescent="0.2"/>
    <row r="642" ht="12.75" hidden="1" x14ac:dyDescent="0.2"/>
    <row r="643" ht="12.75" hidden="1" x14ac:dyDescent="0.2"/>
    <row r="644" ht="12.75" hidden="1" x14ac:dyDescent="0.2"/>
    <row r="645" ht="12.75" hidden="1" x14ac:dyDescent="0.2"/>
    <row r="646" ht="12.75" hidden="1" x14ac:dyDescent="0.2"/>
    <row r="647" ht="12.75" hidden="1" x14ac:dyDescent="0.2"/>
    <row r="648" ht="12.75" hidden="1" x14ac:dyDescent="0.2"/>
    <row r="649" ht="12.75" hidden="1" x14ac:dyDescent="0.2"/>
    <row r="650" ht="12.75" hidden="1" x14ac:dyDescent="0.2"/>
    <row r="651" ht="12.75" hidden="1" x14ac:dyDescent="0.2"/>
    <row r="652" ht="12.75" hidden="1" x14ac:dyDescent="0.2"/>
    <row r="653" ht="12.75" hidden="1" x14ac:dyDescent="0.2"/>
    <row r="654" ht="12.75" hidden="1" x14ac:dyDescent="0.2"/>
    <row r="655" ht="12.75" hidden="1" x14ac:dyDescent="0.2"/>
    <row r="656" ht="12.75" hidden="1" x14ac:dyDescent="0.2"/>
    <row r="657" ht="12.75" hidden="1" x14ac:dyDescent="0.2"/>
    <row r="658" ht="12.75" hidden="1" x14ac:dyDescent="0.2"/>
    <row r="659" ht="12.75" hidden="1" x14ac:dyDescent="0.2"/>
    <row r="660" ht="12.75" hidden="1" x14ac:dyDescent="0.2"/>
    <row r="661" ht="12.75" hidden="1" x14ac:dyDescent="0.2"/>
    <row r="662" ht="12.75" hidden="1" x14ac:dyDescent="0.2"/>
    <row r="663" ht="12.75" hidden="1" x14ac:dyDescent="0.2"/>
    <row r="664" ht="12.75" hidden="1" x14ac:dyDescent="0.2"/>
    <row r="665" ht="12.75" hidden="1" x14ac:dyDescent="0.2"/>
    <row r="666" ht="12.75" hidden="1" x14ac:dyDescent="0.2"/>
    <row r="667" ht="12.75" hidden="1" x14ac:dyDescent="0.2"/>
    <row r="668" ht="12.75" hidden="1" x14ac:dyDescent="0.2"/>
    <row r="669" ht="12.75" hidden="1" x14ac:dyDescent="0.2"/>
    <row r="670" ht="12.75" hidden="1" x14ac:dyDescent="0.2"/>
    <row r="671" ht="12.75" hidden="1" x14ac:dyDescent="0.2"/>
    <row r="672" ht="12.75" hidden="1" x14ac:dyDescent="0.2"/>
    <row r="673" ht="12.75" hidden="1" x14ac:dyDescent="0.2"/>
    <row r="674" ht="12.75" hidden="1" x14ac:dyDescent="0.2"/>
    <row r="675" ht="12.75" hidden="1" x14ac:dyDescent="0.2"/>
    <row r="676" ht="12.75" hidden="1" x14ac:dyDescent="0.2"/>
    <row r="677" ht="12.75" hidden="1" x14ac:dyDescent="0.2"/>
    <row r="678" ht="12.75" hidden="1" x14ac:dyDescent="0.2"/>
    <row r="679" ht="12.75" hidden="1" x14ac:dyDescent="0.2"/>
    <row r="680" ht="12.75" hidden="1" x14ac:dyDescent="0.2"/>
    <row r="681" ht="12.75" hidden="1" x14ac:dyDescent="0.2"/>
    <row r="682" ht="12.75" hidden="1" x14ac:dyDescent="0.2"/>
    <row r="683" ht="12.75" hidden="1" x14ac:dyDescent="0.2"/>
    <row r="684" ht="12.75" hidden="1" x14ac:dyDescent="0.2"/>
    <row r="685" ht="12.75" hidden="1" x14ac:dyDescent="0.2"/>
    <row r="686" ht="12.75" hidden="1" x14ac:dyDescent="0.2"/>
    <row r="687" ht="12.75" hidden="1" x14ac:dyDescent="0.2"/>
    <row r="688" ht="12.75" hidden="1" x14ac:dyDescent="0.2"/>
    <row r="689" ht="12.75" hidden="1" x14ac:dyDescent="0.2"/>
    <row r="690" ht="12.75" hidden="1" x14ac:dyDescent="0.2"/>
    <row r="691" ht="12.75" hidden="1" x14ac:dyDescent="0.2"/>
    <row r="692" ht="12.75" hidden="1" x14ac:dyDescent="0.2"/>
    <row r="693" ht="12.75" hidden="1" x14ac:dyDescent="0.2"/>
    <row r="694" ht="12.75" hidden="1" x14ac:dyDescent="0.2"/>
    <row r="695" ht="12.75" hidden="1" x14ac:dyDescent="0.2"/>
    <row r="696" ht="12.75" hidden="1" x14ac:dyDescent="0.2"/>
    <row r="697" ht="12.75" hidden="1" x14ac:dyDescent="0.2"/>
    <row r="698" ht="12.75" hidden="1" x14ac:dyDescent="0.2"/>
    <row r="699" ht="12.75" hidden="1" x14ac:dyDescent="0.2"/>
    <row r="700" ht="12.75" hidden="1" x14ac:dyDescent="0.2"/>
    <row r="701" ht="12.75" hidden="1" x14ac:dyDescent="0.2"/>
    <row r="702" ht="12.75" hidden="1" x14ac:dyDescent="0.2"/>
    <row r="703" ht="12.75" hidden="1" x14ac:dyDescent="0.2"/>
    <row r="704" ht="12.75" hidden="1" x14ac:dyDescent="0.2"/>
    <row r="705" ht="12.75" hidden="1" x14ac:dyDescent="0.2"/>
    <row r="706" ht="12.75" hidden="1" x14ac:dyDescent="0.2"/>
    <row r="707" ht="12.75" hidden="1" x14ac:dyDescent="0.2"/>
    <row r="708" ht="12.75" hidden="1" x14ac:dyDescent="0.2"/>
    <row r="709" ht="12.75" hidden="1" x14ac:dyDescent="0.2"/>
    <row r="710" ht="12.75" hidden="1" x14ac:dyDescent="0.2"/>
    <row r="711" ht="12.75" hidden="1" x14ac:dyDescent="0.2"/>
    <row r="712" ht="12.75" hidden="1" x14ac:dyDescent="0.2"/>
    <row r="713" ht="12.75" hidden="1" x14ac:dyDescent="0.2"/>
    <row r="714" ht="12.75" hidden="1" x14ac:dyDescent="0.2"/>
    <row r="715" ht="12.75" hidden="1" x14ac:dyDescent="0.2"/>
    <row r="716" ht="12.75" hidden="1" x14ac:dyDescent="0.2"/>
    <row r="717" ht="12.75" hidden="1" x14ac:dyDescent="0.2"/>
    <row r="718" ht="12.75" hidden="1" x14ac:dyDescent="0.2"/>
    <row r="719" ht="12.75" hidden="1" x14ac:dyDescent="0.2"/>
    <row r="720" ht="12.75" hidden="1" x14ac:dyDescent="0.2"/>
    <row r="721" ht="12.75" hidden="1" x14ac:dyDescent="0.2"/>
    <row r="722" ht="12.75" hidden="1" x14ac:dyDescent="0.2"/>
    <row r="723" ht="12.75" hidden="1" x14ac:dyDescent="0.2"/>
    <row r="724" ht="12.75" hidden="1" x14ac:dyDescent="0.2"/>
    <row r="725" ht="12.75" hidden="1" x14ac:dyDescent="0.2"/>
    <row r="726" ht="12.75" hidden="1" x14ac:dyDescent="0.2"/>
    <row r="727" ht="12.75" hidden="1" x14ac:dyDescent="0.2"/>
    <row r="728" ht="12.75" hidden="1" x14ac:dyDescent="0.2"/>
    <row r="729" ht="12.75" hidden="1" x14ac:dyDescent="0.2"/>
    <row r="730" ht="12.75" hidden="1" x14ac:dyDescent="0.2"/>
    <row r="731" ht="12.75" hidden="1" x14ac:dyDescent="0.2"/>
    <row r="732" ht="12.75" hidden="1" x14ac:dyDescent="0.2"/>
    <row r="733" ht="12.75" hidden="1" x14ac:dyDescent="0.2"/>
    <row r="734" ht="12.75" hidden="1" x14ac:dyDescent="0.2"/>
    <row r="735" ht="12.75" hidden="1" x14ac:dyDescent="0.2"/>
    <row r="736" ht="12.75" hidden="1" x14ac:dyDescent="0.2"/>
    <row r="737" ht="12.75" hidden="1" x14ac:dyDescent="0.2"/>
    <row r="738" ht="12.75" hidden="1" x14ac:dyDescent="0.2"/>
    <row r="739" ht="12.75" hidden="1" x14ac:dyDescent="0.2"/>
    <row r="740" ht="12.75" hidden="1" x14ac:dyDescent="0.2"/>
    <row r="741" ht="12.75" hidden="1" x14ac:dyDescent="0.2"/>
    <row r="742" ht="12.75" hidden="1" x14ac:dyDescent="0.2"/>
    <row r="743" ht="12.75" hidden="1" x14ac:dyDescent="0.2"/>
    <row r="744" ht="12.75" hidden="1" x14ac:dyDescent="0.2"/>
    <row r="745" ht="12.75" hidden="1" x14ac:dyDescent="0.2"/>
    <row r="746" ht="12.75" hidden="1" x14ac:dyDescent="0.2"/>
    <row r="747" ht="12.75" hidden="1" x14ac:dyDescent="0.2"/>
    <row r="748" ht="12.75" hidden="1" x14ac:dyDescent="0.2"/>
    <row r="749" ht="12.75" hidden="1" x14ac:dyDescent="0.2"/>
    <row r="750" ht="12.75" hidden="1" x14ac:dyDescent="0.2"/>
    <row r="751" ht="12.75" hidden="1" x14ac:dyDescent="0.2"/>
    <row r="752" ht="12.75" hidden="1" x14ac:dyDescent="0.2"/>
    <row r="753" ht="12.75" hidden="1" x14ac:dyDescent="0.2"/>
    <row r="754" ht="12.75" hidden="1" x14ac:dyDescent="0.2"/>
    <row r="755" ht="12.75" hidden="1" x14ac:dyDescent="0.2"/>
    <row r="756" ht="12.75" hidden="1" x14ac:dyDescent="0.2"/>
    <row r="757" ht="12.75" hidden="1" x14ac:dyDescent="0.2"/>
    <row r="758" ht="12.75" hidden="1" x14ac:dyDescent="0.2"/>
    <row r="759" ht="12.75" hidden="1" x14ac:dyDescent="0.2"/>
    <row r="760" ht="12.75" hidden="1" x14ac:dyDescent="0.2"/>
    <row r="761" ht="12.75" hidden="1" x14ac:dyDescent="0.2"/>
    <row r="762" ht="12.75" hidden="1" x14ac:dyDescent="0.2"/>
    <row r="763" ht="12.75" hidden="1" x14ac:dyDescent="0.2"/>
    <row r="764" ht="12.75" hidden="1" x14ac:dyDescent="0.2"/>
    <row r="765" ht="12.75" hidden="1" x14ac:dyDescent="0.2"/>
    <row r="766" ht="12.75" hidden="1" x14ac:dyDescent="0.2"/>
    <row r="767" ht="12.75" hidden="1" x14ac:dyDescent="0.2"/>
    <row r="768" ht="12.75" hidden="1" x14ac:dyDescent="0.2"/>
    <row r="769" ht="12.75" hidden="1" x14ac:dyDescent="0.2"/>
    <row r="770" ht="12.75" hidden="1" x14ac:dyDescent="0.2"/>
    <row r="771" ht="12.75" hidden="1" x14ac:dyDescent="0.2"/>
    <row r="772" ht="12.75" hidden="1" x14ac:dyDescent="0.2"/>
    <row r="773" ht="12.75" hidden="1" x14ac:dyDescent="0.2"/>
    <row r="774" ht="12.75" hidden="1" x14ac:dyDescent="0.2"/>
    <row r="775" ht="12.75" hidden="1" x14ac:dyDescent="0.2"/>
    <row r="776" ht="12.75" hidden="1" x14ac:dyDescent="0.2"/>
    <row r="777" ht="12.75" hidden="1" x14ac:dyDescent="0.2"/>
    <row r="778" ht="12.75" hidden="1" x14ac:dyDescent="0.2"/>
    <row r="779" ht="12.75" hidden="1" x14ac:dyDescent="0.2"/>
    <row r="780" ht="12.75" hidden="1" x14ac:dyDescent="0.2"/>
    <row r="781" ht="12.75" hidden="1" x14ac:dyDescent="0.2"/>
    <row r="782" ht="12.75" hidden="1" x14ac:dyDescent="0.2"/>
    <row r="783" ht="12.75" hidden="1" x14ac:dyDescent="0.2"/>
    <row r="784" ht="12.75" hidden="1" x14ac:dyDescent="0.2"/>
    <row r="785" ht="12.75" hidden="1" x14ac:dyDescent="0.2"/>
    <row r="786" ht="12.75" hidden="1" x14ac:dyDescent="0.2"/>
    <row r="787" ht="12.75" hidden="1" x14ac:dyDescent="0.2"/>
    <row r="788" ht="12.75" hidden="1" x14ac:dyDescent="0.2"/>
    <row r="789" ht="12.75" hidden="1" x14ac:dyDescent="0.2"/>
    <row r="790" ht="12.75" hidden="1" x14ac:dyDescent="0.2"/>
    <row r="791" ht="12.75" hidden="1" x14ac:dyDescent="0.2"/>
    <row r="792" ht="12.75" hidden="1" x14ac:dyDescent="0.2"/>
    <row r="793" ht="12.75" hidden="1" x14ac:dyDescent="0.2"/>
    <row r="794" ht="12.75" hidden="1" x14ac:dyDescent="0.2"/>
    <row r="795" ht="12.75" hidden="1" x14ac:dyDescent="0.2"/>
    <row r="796" ht="12.75" hidden="1" x14ac:dyDescent="0.2"/>
    <row r="797" ht="12.75" hidden="1" x14ac:dyDescent="0.2"/>
    <row r="798" ht="12.75" hidden="1" x14ac:dyDescent="0.2"/>
    <row r="799" ht="12.75" hidden="1" x14ac:dyDescent="0.2"/>
    <row r="800" ht="12.75" hidden="1" x14ac:dyDescent="0.2"/>
    <row r="801" ht="12.75" hidden="1" x14ac:dyDescent="0.2"/>
    <row r="802" ht="12.75" hidden="1" x14ac:dyDescent="0.2"/>
    <row r="803" ht="12.75" hidden="1" x14ac:dyDescent="0.2"/>
    <row r="804" ht="12.75" hidden="1" x14ac:dyDescent="0.2"/>
    <row r="805" ht="12.75" hidden="1" x14ac:dyDescent="0.2"/>
    <row r="806" ht="12.75" hidden="1" x14ac:dyDescent="0.2"/>
    <row r="807" ht="12.75" hidden="1" x14ac:dyDescent="0.2"/>
    <row r="808" ht="12.75" hidden="1" x14ac:dyDescent="0.2"/>
    <row r="809" ht="12.75" hidden="1" x14ac:dyDescent="0.2"/>
    <row r="810" ht="12.75" hidden="1" x14ac:dyDescent="0.2"/>
    <row r="811" ht="12.75" hidden="1" x14ac:dyDescent="0.2"/>
    <row r="812" ht="12.75" hidden="1" x14ac:dyDescent="0.2"/>
    <row r="813" ht="12.75" hidden="1" x14ac:dyDescent="0.2"/>
    <row r="814" ht="12.75" hidden="1" x14ac:dyDescent="0.2"/>
    <row r="815" ht="12.75" hidden="1" x14ac:dyDescent="0.2"/>
    <row r="816" ht="12.75" hidden="1" x14ac:dyDescent="0.2"/>
    <row r="817" ht="12.75" hidden="1" x14ac:dyDescent="0.2"/>
    <row r="818" ht="12.75" hidden="1" x14ac:dyDescent="0.2"/>
    <row r="819" ht="12.75" hidden="1" x14ac:dyDescent="0.2"/>
    <row r="820" ht="12.75" hidden="1" x14ac:dyDescent="0.2"/>
    <row r="821" ht="12.75" hidden="1" x14ac:dyDescent="0.2"/>
    <row r="822" ht="12.75" hidden="1" x14ac:dyDescent="0.2"/>
    <row r="823" ht="12.75" hidden="1" x14ac:dyDescent="0.2"/>
    <row r="824" ht="12.75" hidden="1" x14ac:dyDescent="0.2"/>
    <row r="825" ht="12.75" hidden="1" x14ac:dyDescent="0.2"/>
    <row r="826" ht="12.75" hidden="1" x14ac:dyDescent="0.2"/>
    <row r="827" ht="12.75" hidden="1" x14ac:dyDescent="0.2"/>
    <row r="828" ht="12.75" hidden="1" x14ac:dyDescent="0.2"/>
    <row r="829" ht="12.75" hidden="1" x14ac:dyDescent="0.2"/>
    <row r="830" ht="12.75" hidden="1" x14ac:dyDescent="0.2"/>
    <row r="831" ht="12.75" hidden="1" x14ac:dyDescent="0.2"/>
    <row r="832" ht="12.75" hidden="1" x14ac:dyDescent="0.2"/>
    <row r="833" ht="12.75" hidden="1" x14ac:dyDescent="0.2"/>
    <row r="834" ht="12.75" hidden="1" x14ac:dyDescent="0.2"/>
    <row r="835" ht="12.75" hidden="1" x14ac:dyDescent="0.2"/>
    <row r="836" ht="12.75" hidden="1" x14ac:dyDescent="0.2"/>
    <row r="837" ht="12.75" hidden="1" x14ac:dyDescent="0.2"/>
    <row r="838" ht="12.75" hidden="1" x14ac:dyDescent="0.2"/>
    <row r="839" ht="12.75" hidden="1" x14ac:dyDescent="0.2"/>
    <row r="840" ht="12.75" hidden="1" x14ac:dyDescent="0.2"/>
    <row r="841" ht="12.75" hidden="1" x14ac:dyDescent="0.2"/>
    <row r="842" ht="12.75" hidden="1" x14ac:dyDescent="0.2"/>
    <row r="843" ht="12.75" hidden="1" x14ac:dyDescent="0.2"/>
    <row r="844" ht="12.75" hidden="1" x14ac:dyDescent="0.2"/>
    <row r="845" ht="12.75" hidden="1" x14ac:dyDescent="0.2"/>
    <row r="846" ht="12.75" hidden="1" x14ac:dyDescent="0.2"/>
    <row r="847" ht="12.75" hidden="1" x14ac:dyDescent="0.2"/>
    <row r="848" ht="12.75" hidden="1" x14ac:dyDescent="0.2"/>
    <row r="849" ht="12.75" hidden="1" x14ac:dyDescent="0.2"/>
    <row r="850" ht="12.75" hidden="1" x14ac:dyDescent="0.2"/>
    <row r="851" ht="12.75" hidden="1" x14ac:dyDescent="0.2"/>
    <row r="852" ht="12.75" hidden="1" x14ac:dyDescent="0.2"/>
    <row r="853" ht="12.75" hidden="1" x14ac:dyDescent="0.2"/>
    <row r="854" ht="12.75" hidden="1" x14ac:dyDescent="0.2"/>
    <row r="855" ht="12.75" hidden="1" x14ac:dyDescent="0.2"/>
    <row r="856" ht="12.75" hidden="1" x14ac:dyDescent="0.2"/>
    <row r="857" ht="12.75" hidden="1" x14ac:dyDescent="0.2"/>
    <row r="858" ht="12.75" hidden="1" x14ac:dyDescent="0.2"/>
    <row r="859" ht="12.75" hidden="1" x14ac:dyDescent="0.2"/>
    <row r="860" ht="12.75" hidden="1" x14ac:dyDescent="0.2"/>
    <row r="861" ht="12.75" hidden="1" x14ac:dyDescent="0.2"/>
    <row r="862" ht="12.75" hidden="1" x14ac:dyDescent="0.2"/>
    <row r="863" ht="12.75" hidden="1" x14ac:dyDescent="0.2"/>
    <row r="864" ht="12.75" hidden="1" x14ac:dyDescent="0.2"/>
    <row r="865" ht="12.75" hidden="1" x14ac:dyDescent="0.2"/>
    <row r="866" ht="12.75" hidden="1" x14ac:dyDescent="0.2"/>
    <row r="867" ht="12.75" hidden="1" x14ac:dyDescent="0.2"/>
    <row r="868" ht="12.75" hidden="1" x14ac:dyDescent="0.2"/>
    <row r="869" ht="12.75" hidden="1" x14ac:dyDescent="0.2"/>
    <row r="870" ht="12.75" hidden="1" x14ac:dyDescent="0.2"/>
    <row r="871" ht="12.75" hidden="1" x14ac:dyDescent="0.2"/>
    <row r="872" ht="12.75" hidden="1" x14ac:dyDescent="0.2"/>
    <row r="873" ht="12.75" hidden="1" x14ac:dyDescent="0.2"/>
    <row r="874" ht="12.75" hidden="1" x14ac:dyDescent="0.2"/>
    <row r="875" ht="12.75" hidden="1" x14ac:dyDescent="0.2"/>
    <row r="876" ht="12.75" hidden="1" x14ac:dyDescent="0.2"/>
    <row r="877" ht="12.75" hidden="1" x14ac:dyDescent="0.2"/>
    <row r="878" ht="12.75" hidden="1" x14ac:dyDescent="0.2"/>
    <row r="879" ht="12.75" hidden="1" x14ac:dyDescent="0.2"/>
    <row r="880" ht="12.75" hidden="1" x14ac:dyDescent="0.2"/>
    <row r="881" ht="12.75" hidden="1" x14ac:dyDescent="0.2"/>
    <row r="882" ht="12.75" hidden="1" x14ac:dyDescent="0.2"/>
    <row r="883" ht="12.75" hidden="1" x14ac:dyDescent="0.2"/>
    <row r="884" ht="12.75" hidden="1" x14ac:dyDescent="0.2"/>
    <row r="885" ht="12.75" hidden="1" x14ac:dyDescent="0.2"/>
    <row r="886" ht="12.75" hidden="1" x14ac:dyDescent="0.2"/>
    <row r="887" ht="12.75" hidden="1" x14ac:dyDescent="0.2"/>
    <row r="888" ht="12.75" hidden="1" x14ac:dyDescent="0.2"/>
    <row r="889" ht="12.75" hidden="1" x14ac:dyDescent="0.2"/>
    <row r="890" ht="12.75" hidden="1" x14ac:dyDescent="0.2"/>
    <row r="891" ht="12.75" hidden="1" x14ac:dyDescent="0.2"/>
    <row r="892" ht="12.75" hidden="1" x14ac:dyDescent="0.2"/>
    <row r="893" ht="12.75" hidden="1" x14ac:dyDescent="0.2"/>
    <row r="894" ht="12.75" hidden="1" x14ac:dyDescent="0.2"/>
    <row r="895" ht="12.75" hidden="1" x14ac:dyDescent="0.2"/>
    <row r="896" ht="12.75" hidden="1" x14ac:dyDescent="0.2"/>
    <row r="897" ht="12.75" hidden="1" x14ac:dyDescent="0.2"/>
    <row r="898" ht="12.75" hidden="1" x14ac:dyDescent="0.2"/>
    <row r="899" ht="12.75" hidden="1" x14ac:dyDescent="0.2"/>
    <row r="900" ht="12.75" hidden="1" x14ac:dyDescent="0.2"/>
    <row r="901" ht="12.75" hidden="1" x14ac:dyDescent="0.2"/>
    <row r="902" ht="12.75" hidden="1" x14ac:dyDescent="0.2"/>
    <row r="903" ht="12.75" hidden="1" x14ac:dyDescent="0.2"/>
    <row r="904" ht="12.75" hidden="1" x14ac:dyDescent="0.2"/>
    <row r="905" ht="12.75" hidden="1" x14ac:dyDescent="0.2"/>
    <row r="906" ht="12.75" hidden="1" x14ac:dyDescent="0.2"/>
    <row r="907" ht="12.75" hidden="1" x14ac:dyDescent="0.2"/>
    <row r="908" ht="12.75" hidden="1" x14ac:dyDescent="0.2"/>
    <row r="909" ht="12.75" hidden="1" x14ac:dyDescent="0.2"/>
    <row r="910" ht="12.75" hidden="1" x14ac:dyDescent="0.2"/>
    <row r="911" ht="12.75" hidden="1" x14ac:dyDescent="0.2"/>
    <row r="912" ht="12.75" hidden="1" x14ac:dyDescent="0.2"/>
    <row r="913" ht="12.75" hidden="1" x14ac:dyDescent="0.2"/>
    <row r="914" ht="12.75" hidden="1" x14ac:dyDescent="0.2"/>
    <row r="915" ht="12.75" hidden="1" x14ac:dyDescent="0.2"/>
    <row r="916" ht="12.75" hidden="1" x14ac:dyDescent="0.2"/>
    <row r="917" ht="12.75" hidden="1" x14ac:dyDescent="0.2"/>
    <row r="918" ht="12.75" hidden="1" x14ac:dyDescent="0.2"/>
    <row r="919" ht="12.75" hidden="1" x14ac:dyDescent="0.2"/>
    <row r="920" ht="12.75" hidden="1" x14ac:dyDescent="0.2"/>
    <row r="921" ht="12.75" hidden="1" x14ac:dyDescent="0.2"/>
    <row r="922" ht="12.75" hidden="1" x14ac:dyDescent="0.2"/>
    <row r="923" ht="12.75" hidden="1" x14ac:dyDescent="0.2"/>
    <row r="924" ht="12.75" hidden="1" x14ac:dyDescent="0.2"/>
    <row r="925" ht="12.75" hidden="1" x14ac:dyDescent="0.2"/>
    <row r="926" ht="12.75" hidden="1" x14ac:dyDescent="0.2"/>
    <row r="927" ht="12.75" hidden="1" x14ac:dyDescent="0.2"/>
    <row r="928" ht="12.75" hidden="1" x14ac:dyDescent="0.2"/>
    <row r="929" ht="12.75" hidden="1" x14ac:dyDescent="0.2"/>
    <row r="930" ht="12.75" hidden="1" x14ac:dyDescent="0.2"/>
    <row r="931" ht="12.75" hidden="1" x14ac:dyDescent="0.2"/>
    <row r="932" ht="12.75" hidden="1" x14ac:dyDescent="0.2"/>
    <row r="933" ht="12.75" hidden="1" x14ac:dyDescent="0.2"/>
    <row r="934" ht="12.75" hidden="1" x14ac:dyDescent="0.2"/>
    <row r="935" ht="12.75" hidden="1" x14ac:dyDescent="0.2"/>
    <row r="936" ht="12.75" hidden="1" x14ac:dyDescent="0.2"/>
    <row r="937" ht="12.75" hidden="1" x14ac:dyDescent="0.2"/>
    <row r="938" ht="12.75" hidden="1" x14ac:dyDescent="0.2"/>
    <row r="939" ht="12.75" hidden="1" x14ac:dyDescent="0.2"/>
    <row r="940" ht="12.75" hidden="1" x14ac:dyDescent="0.2"/>
    <row r="941" ht="12.75" hidden="1" x14ac:dyDescent="0.2"/>
    <row r="942" ht="12.75" hidden="1" x14ac:dyDescent="0.2"/>
    <row r="943" ht="12.75" hidden="1" x14ac:dyDescent="0.2"/>
    <row r="944" ht="12.75" hidden="1" x14ac:dyDescent="0.2"/>
    <row r="945" ht="12.75" hidden="1" x14ac:dyDescent="0.2"/>
    <row r="946" ht="12.75" hidden="1" x14ac:dyDescent="0.2"/>
    <row r="947" ht="12.75" hidden="1" x14ac:dyDescent="0.2"/>
    <row r="948" ht="12.75" hidden="1" x14ac:dyDescent="0.2"/>
    <row r="949" ht="12.75" hidden="1" x14ac:dyDescent="0.2"/>
    <row r="950" ht="12.75" hidden="1" x14ac:dyDescent="0.2"/>
    <row r="951" ht="12.75" hidden="1" x14ac:dyDescent="0.2"/>
    <row r="952" ht="12.75" hidden="1" x14ac:dyDescent="0.2"/>
    <row r="953" ht="12.75" hidden="1" x14ac:dyDescent="0.2"/>
    <row r="954" ht="12.75" hidden="1" x14ac:dyDescent="0.2"/>
    <row r="955" ht="12.75" hidden="1" x14ac:dyDescent="0.2"/>
    <row r="956" ht="12.75" hidden="1" x14ac:dyDescent="0.2"/>
    <row r="957" ht="12.75" hidden="1" x14ac:dyDescent="0.2"/>
    <row r="958" ht="12.75" hidden="1" x14ac:dyDescent="0.2"/>
    <row r="959" ht="12.75" hidden="1" x14ac:dyDescent="0.2"/>
    <row r="960" ht="12.75" hidden="1" x14ac:dyDescent="0.2"/>
    <row r="961" ht="12.75" hidden="1" x14ac:dyDescent="0.2"/>
    <row r="962" ht="12.75" hidden="1" x14ac:dyDescent="0.2"/>
    <row r="963" ht="12.75" hidden="1" x14ac:dyDescent="0.2"/>
    <row r="964" ht="12.75" hidden="1" x14ac:dyDescent="0.2"/>
    <row r="965" ht="12.75" hidden="1" x14ac:dyDescent="0.2"/>
    <row r="966" ht="12.75" hidden="1" x14ac:dyDescent="0.2"/>
    <row r="967" ht="12.75" hidden="1" x14ac:dyDescent="0.2"/>
    <row r="968" ht="12.75" hidden="1" x14ac:dyDescent="0.2"/>
    <row r="969" ht="12.75" hidden="1" x14ac:dyDescent="0.2"/>
    <row r="970" ht="12.75" hidden="1" x14ac:dyDescent="0.2"/>
    <row r="971" ht="12.75" hidden="1" x14ac:dyDescent="0.2"/>
    <row r="972" ht="12.75" hidden="1" x14ac:dyDescent="0.2"/>
    <row r="973" ht="12.75" hidden="1" x14ac:dyDescent="0.2"/>
    <row r="974" ht="12.75" hidden="1" x14ac:dyDescent="0.2"/>
    <row r="975" ht="12.75" hidden="1" x14ac:dyDescent="0.2"/>
    <row r="976" ht="12.75" hidden="1" x14ac:dyDescent="0.2"/>
    <row r="977" ht="12.75" hidden="1" x14ac:dyDescent="0.2"/>
    <row r="978" ht="12.75" hidden="1" x14ac:dyDescent="0.2"/>
    <row r="979" ht="12.75" hidden="1" x14ac:dyDescent="0.2"/>
    <row r="980" ht="12.75" hidden="1" x14ac:dyDescent="0.2"/>
    <row r="981" ht="12.75" hidden="1" x14ac:dyDescent="0.2"/>
    <row r="982" ht="12.75" hidden="1" x14ac:dyDescent="0.2"/>
    <row r="983" ht="12.75" hidden="1" x14ac:dyDescent="0.2"/>
    <row r="984" ht="12.75" hidden="1" x14ac:dyDescent="0.2"/>
    <row r="985" ht="12.75" hidden="1" x14ac:dyDescent="0.2"/>
    <row r="986" ht="12.75" hidden="1" x14ac:dyDescent="0.2"/>
    <row r="987" ht="12.75" hidden="1" x14ac:dyDescent="0.2"/>
    <row r="988" ht="12.75" hidden="1" x14ac:dyDescent="0.2"/>
    <row r="989" ht="12.75" hidden="1" x14ac:dyDescent="0.2"/>
    <row r="990" ht="12.75" hidden="1" x14ac:dyDescent="0.2"/>
    <row r="991" ht="12.75" hidden="1" x14ac:dyDescent="0.2"/>
    <row r="992" ht="12.75" hidden="1" x14ac:dyDescent="0.2"/>
    <row r="993" ht="12.75" hidden="1" x14ac:dyDescent="0.2"/>
    <row r="994" ht="12.75" hidden="1" x14ac:dyDescent="0.2"/>
    <row r="995" ht="12.75" hidden="1" x14ac:dyDescent="0.2"/>
    <row r="996" ht="12.75" hidden="1" x14ac:dyDescent="0.2"/>
    <row r="997" ht="12.75" hidden="1" x14ac:dyDescent="0.2"/>
    <row r="998" ht="12.75" hidden="1" x14ac:dyDescent="0.2"/>
    <row r="999" ht="12.75" hidden="1" x14ac:dyDescent="0.2"/>
    <row r="1000" ht="12.75" hidden="1" x14ac:dyDescent="0.2"/>
    <row r="1001" ht="12.75" hidden="1" x14ac:dyDescent="0.2"/>
    <row r="1002" ht="12.75" hidden="1" x14ac:dyDescent="0.2"/>
    <row r="1003" ht="12.75" hidden="1" x14ac:dyDescent="0.2"/>
    <row r="1004" ht="12.75" hidden="1" x14ac:dyDescent="0.2"/>
    <row r="1005" ht="12.75" hidden="1" x14ac:dyDescent="0.2"/>
    <row r="1006" ht="12.75" hidden="1" x14ac:dyDescent="0.2"/>
    <row r="1007" ht="12.75" hidden="1" x14ac:dyDescent="0.2"/>
    <row r="1008" ht="12.75" hidden="1" x14ac:dyDescent="0.2"/>
    <row r="1009" ht="12.75" hidden="1" x14ac:dyDescent="0.2"/>
    <row r="1010" ht="12.75" hidden="1" x14ac:dyDescent="0.2"/>
    <row r="1011" ht="12.75" hidden="1" x14ac:dyDescent="0.2"/>
    <row r="1012" ht="12.75" hidden="1" x14ac:dyDescent="0.2"/>
    <row r="1013" ht="12.75" hidden="1" x14ac:dyDescent="0.2"/>
    <row r="1014" ht="12.75" hidden="1" x14ac:dyDescent="0.2"/>
    <row r="1015" ht="12.75" hidden="1" x14ac:dyDescent="0.2"/>
    <row r="1016" ht="12.75" hidden="1" x14ac:dyDescent="0.2"/>
    <row r="1017" ht="12.75" hidden="1" x14ac:dyDescent="0.2"/>
    <row r="1018" ht="12.75" hidden="1" x14ac:dyDescent="0.2"/>
    <row r="1019" ht="12.75" hidden="1" x14ac:dyDescent="0.2"/>
    <row r="1020" ht="12.75" hidden="1" x14ac:dyDescent="0.2"/>
    <row r="1021" ht="12.75" hidden="1" x14ac:dyDescent="0.2"/>
    <row r="1022" ht="12.75" hidden="1" x14ac:dyDescent="0.2"/>
    <row r="1023" ht="12.75" hidden="1" x14ac:dyDescent="0.2"/>
    <row r="1024" ht="12.75" hidden="1" x14ac:dyDescent="0.2"/>
    <row r="1025" ht="12.75" hidden="1" x14ac:dyDescent="0.2"/>
    <row r="1026" ht="12.75" hidden="1" x14ac:dyDescent="0.2"/>
    <row r="1027" ht="12.75" hidden="1" x14ac:dyDescent="0.2"/>
    <row r="1028" ht="12.75" hidden="1" x14ac:dyDescent="0.2"/>
    <row r="1029" ht="12.75" hidden="1" x14ac:dyDescent="0.2"/>
    <row r="1030" ht="12.75" hidden="1" x14ac:dyDescent="0.2"/>
    <row r="1031" ht="12.75" hidden="1" x14ac:dyDescent="0.2"/>
    <row r="1032" ht="12.75" hidden="1" x14ac:dyDescent="0.2"/>
    <row r="1033" ht="12.75" hidden="1" x14ac:dyDescent="0.2"/>
    <row r="1034" ht="12.75" hidden="1" x14ac:dyDescent="0.2"/>
    <row r="1035" ht="12.75" hidden="1" x14ac:dyDescent="0.2"/>
    <row r="1036" ht="12.75" hidden="1" x14ac:dyDescent="0.2"/>
    <row r="1037" ht="12.75" hidden="1" x14ac:dyDescent="0.2"/>
    <row r="1038" ht="12.75" hidden="1" x14ac:dyDescent="0.2"/>
    <row r="1039" ht="12.75" hidden="1" x14ac:dyDescent="0.2"/>
    <row r="1040" ht="12.75" hidden="1" x14ac:dyDescent="0.2"/>
    <row r="1041" ht="12.75" hidden="1" x14ac:dyDescent="0.2"/>
    <row r="1042" ht="12.75" hidden="1" x14ac:dyDescent="0.2"/>
    <row r="1043" ht="12.75" hidden="1" x14ac:dyDescent="0.2"/>
    <row r="1044" ht="12.75" hidden="1" x14ac:dyDescent="0.2"/>
    <row r="1045" ht="12.75" hidden="1" x14ac:dyDescent="0.2"/>
    <row r="1046" ht="12.75" hidden="1" x14ac:dyDescent="0.2"/>
    <row r="1047" ht="12.75" hidden="1" x14ac:dyDescent="0.2"/>
    <row r="1048" ht="12.75" hidden="1" x14ac:dyDescent="0.2"/>
    <row r="1049" ht="12.75" hidden="1" x14ac:dyDescent="0.2"/>
    <row r="1050" ht="12.75" hidden="1" x14ac:dyDescent="0.2"/>
    <row r="1051" ht="12.75" hidden="1" x14ac:dyDescent="0.2"/>
    <row r="1052" ht="12.75" hidden="1" x14ac:dyDescent="0.2"/>
    <row r="1053" ht="12.75" hidden="1" x14ac:dyDescent="0.2"/>
    <row r="1054" ht="12.75" hidden="1" x14ac:dyDescent="0.2"/>
    <row r="1055" ht="12.75" hidden="1" x14ac:dyDescent="0.2"/>
    <row r="1056" ht="12.75" hidden="1" x14ac:dyDescent="0.2"/>
    <row r="1057" ht="12.75" hidden="1" x14ac:dyDescent="0.2"/>
    <row r="1058" ht="12.75" hidden="1" x14ac:dyDescent="0.2"/>
    <row r="1059" ht="12.75" hidden="1" x14ac:dyDescent="0.2"/>
    <row r="1060" ht="12.75" hidden="1" x14ac:dyDescent="0.2"/>
    <row r="1061" ht="12.75" hidden="1" x14ac:dyDescent="0.2"/>
    <row r="1062" ht="12.75" hidden="1" x14ac:dyDescent="0.2"/>
    <row r="1063" ht="12.75" hidden="1" x14ac:dyDescent="0.2"/>
    <row r="1064" ht="12.75" hidden="1" x14ac:dyDescent="0.2"/>
    <row r="1065" ht="12.75" hidden="1" x14ac:dyDescent="0.2"/>
    <row r="1066" ht="12.75" hidden="1" x14ac:dyDescent="0.2"/>
    <row r="1067" ht="12.75" hidden="1" x14ac:dyDescent="0.2"/>
    <row r="1068" ht="12.75" hidden="1" x14ac:dyDescent="0.2"/>
    <row r="1069" ht="12.75" hidden="1" x14ac:dyDescent="0.2"/>
    <row r="1070" ht="12.75" hidden="1" x14ac:dyDescent="0.2"/>
    <row r="1071" ht="12.75" hidden="1" x14ac:dyDescent="0.2"/>
    <row r="1072" ht="12.75" hidden="1" x14ac:dyDescent="0.2"/>
    <row r="1073" ht="12.75" hidden="1" x14ac:dyDescent="0.2"/>
    <row r="1074" ht="12.75" hidden="1" x14ac:dyDescent="0.2"/>
    <row r="1075" ht="12.75" hidden="1" x14ac:dyDescent="0.2"/>
    <row r="1076" ht="12.75" hidden="1" x14ac:dyDescent="0.2"/>
    <row r="1077" ht="12.75" hidden="1" x14ac:dyDescent="0.2"/>
    <row r="1078" ht="12.75" hidden="1" x14ac:dyDescent="0.2"/>
    <row r="1079" ht="12.75" hidden="1" x14ac:dyDescent="0.2"/>
    <row r="1080" ht="12.75" hidden="1" x14ac:dyDescent="0.2"/>
    <row r="1081" ht="12.75" hidden="1" x14ac:dyDescent="0.2"/>
    <row r="1082" ht="12.75" hidden="1" x14ac:dyDescent="0.2"/>
    <row r="1083" ht="12.75" hidden="1" x14ac:dyDescent="0.2"/>
    <row r="1084" ht="12.75" hidden="1" x14ac:dyDescent="0.2"/>
    <row r="1085" ht="12.75" hidden="1" x14ac:dyDescent="0.2"/>
    <row r="1086" ht="12.75" hidden="1" x14ac:dyDescent="0.2"/>
    <row r="1087" ht="12.75" hidden="1" x14ac:dyDescent="0.2"/>
    <row r="1088" ht="12.75" hidden="1" x14ac:dyDescent="0.2"/>
    <row r="1089" ht="12.75" hidden="1" x14ac:dyDescent="0.2"/>
    <row r="1090" ht="12.75" hidden="1" x14ac:dyDescent="0.2"/>
    <row r="1091" ht="12.75" hidden="1" x14ac:dyDescent="0.2"/>
    <row r="1092" ht="12.75" hidden="1" x14ac:dyDescent="0.2"/>
    <row r="1093" ht="12.75" hidden="1" x14ac:dyDescent="0.2"/>
    <row r="1094" ht="12.75" hidden="1" x14ac:dyDescent="0.2"/>
    <row r="1095" ht="12.75" hidden="1" x14ac:dyDescent="0.2"/>
    <row r="1096" ht="12.75" hidden="1" x14ac:dyDescent="0.2"/>
    <row r="1097" ht="12.75" hidden="1" x14ac:dyDescent="0.2"/>
    <row r="1098" ht="12.75" hidden="1" x14ac:dyDescent="0.2"/>
    <row r="1099" ht="12.75" hidden="1" x14ac:dyDescent="0.2"/>
    <row r="1100" ht="12.75" hidden="1" x14ac:dyDescent="0.2"/>
    <row r="1101" ht="12.75" hidden="1" x14ac:dyDescent="0.2"/>
    <row r="1102" ht="12.75" hidden="1" x14ac:dyDescent="0.2"/>
    <row r="1103" ht="12.75" hidden="1" x14ac:dyDescent="0.2"/>
    <row r="1104" ht="12.75" hidden="1" x14ac:dyDescent="0.2"/>
    <row r="1105" ht="12.75" hidden="1" x14ac:dyDescent="0.2"/>
    <row r="1106" ht="12.75" hidden="1" x14ac:dyDescent="0.2"/>
    <row r="1107" ht="12.75" hidden="1" x14ac:dyDescent="0.2"/>
    <row r="1108" ht="12.75" hidden="1" x14ac:dyDescent="0.2"/>
    <row r="1109" ht="12.75" hidden="1" x14ac:dyDescent="0.2"/>
    <row r="1110" ht="12.75" hidden="1" x14ac:dyDescent="0.2"/>
    <row r="1111" ht="12.75" hidden="1" x14ac:dyDescent="0.2"/>
    <row r="1112" ht="12.75" hidden="1" x14ac:dyDescent="0.2"/>
    <row r="1113" ht="12.75" hidden="1" x14ac:dyDescent="0.2"/>
    <row r="1114" ht="12.75" hidden="1" x14ac:dyDescent="0.2"/>
    <row r="1115" ht="12.75" hidden="1" x14ac:dyDescent="0.2"/>
    <row r="1116" ht="12.75" hidden="1" x14ac:dyDescent="0.2"/>
    <row r="1117" ht="12.75" hidden="1" x14ac:dyDescent="0.2"/>
    <row r="1118" ht="12.75" hidden="1" x14ac:dyDescent="0.2"/>
    <row r="1119" ht="12.75" hidden="1" x14ac:dyDescent="0.2"/>
    <row r="1120" ht="12.75" hidden="1" x14ac:dyDescent="0.2"/>
    <row r="1121" ht="12.75" hidden="1" x14ac:dyDescent="0.2"/>
    <row r="1122" ht="12.75" hidden="1" x14ac:dyDescent="0.2"/>
    <row r="1123" ht="12.75" hidden="1" x14ac:dyDescent="0.2"/>
    <row r="1124" ht="12.75" hidden="1" x14ac:dyDescent="0.2"/>
    <row r="1125" ht="12.75" hidden="1" x14ac:dyDescent="0.2"/>
    <row r="1126" ht="12.75" hidden="1" x14ac:dyDescent="0.2"/>
    <row r="1127" ht="12.75" hidden="1" x14ac:dyDescent="0.2"/>
    <row r="1128" ht="12.75" hidden="1" x14ac:dyDescent="0.2"/>
    <row r="1129" ht="12.75" hidden="1" x14ac:dyDescent="0.2"/>
    <row r="1130" ht="12.75" hidden="1" x14ac:dyDescent="0.2"/>
    <row r="1131" ht="12.75" hidden="1" x14ac:dyDescent="0.2"/>
    <row r="1132" ht="12.75" hidden="1" x14ac:dyDescent="0.2"/>
    <row r="1133" ht="12.75" hidden="1" x14ac:dyDescent="0.2"/>
    <row r="1134" ht="12.75" hidden="1" x14ac:dyDescent="0.2"/>
    <row r="1135" ht="12.75" hidden="1" x14ac:dyDescent="0.2"/>
    <row r="1136" ht="12.75" hidden="1" x14ac:dyDescent="0.2"/>
    <row r="1137" ht="12.75" hidden="1" x14ac:dyDescent="0.2"/>
    <row r="1138" ht="12.75" hidden="1" x14ac:dyDescent="0.2"/>
    <row r="1139" ht="12.75" hidden="1" x14ac:dyDescent="0.2"/>
    <row r="1140" ht="12.75" hidden="1" x14ac:dyDescent="0.2"/>
    <row r="1141" ht="12.75" hidden="1" x14ac:dyDescent="0.2"/>
    <row r="1142" ht="12.75" hidden="1" x14ac:dyDescent="0.2"/>
    <row r="1143" ht="12.75" hidden="1" x14ac:dyDescent="0.2"/>
    <row r="1144" ht="12.75" hidden="1" x14ac:dyDescent="0.2"/>
    <row r="1145" ht="12.75" hidden="1" x14ac:dyDescent="0.2"/>
    <row r="1146" ht="12.75" hidden="1" x14ac:dyDescent="0.2"/>
    <row r="1147" ht="12.75" hidden="1" x14ac:dyDescent="0.2"/>
    <row r="1148" ht="12.75" hidden="1" x14ac:dyDescent="0.2"/>
    <row r="1149" ht="12.75" hidden="1" x14ac:dyDescent="0.2"/>
    <row r="1150" ht="12.75" hidden="1" x14ac:dyDescent="0.2"/>
    <row r="1151" ht="12.75" hidden="1" x14ac:dyDescent="0.2"/>
    <row r="1152" ht="12.75" hidden="1" x14ac:dyDescent="0.2"/>
    <row r="1153" spans="32:32" ht="12.75" hidden="1" x14ac:dyDescent="0.2"/>
    <row r="1154" spans="32:32" ht="12.75" hidden="1" x14ac:dyDescent="0.2"/>
    <row r="1155" spans="32:32" ht="12.75" hidden="1" x14ac:dyDescent="0.2"/>
    <row r="1156" spans="32:32" ht="12.75" hidden="1" x14ac:dyDescent="0.2"/>
    <row r="1157" spans="32:32" ht="12.75" hidden="1" x14ac:dyDescent="0.2"/>
    <row r="1158" spans="32:32" ht="12.75" hidden="1" x14ac:dyDescent="0.2"/>
    <row r="1159" spans="32:32" ht="12.75" hidden="1" x14ac:dyDescent="0.2"/>
    <row r="1160" spans="32:32" ht="12.75" hidden="1" x14ac:dyDescent="0.2"/>
    <row r="1161" spans="32:32" ht="12.75" hidden="1" x14ac:dyDescent="0.2"/>
    <row r="1162" spans="32:32" ht="12.75" hidden="1" x14ac:dyDescent="0.2"/>
    <row r="1163" spans="32:32" ht="12.75" hidden="1" x14ac:dyDescent="0.2">
      <c r="AF1163" s="22"/>
    </row>
    <row r="1164" spans="32:32" ht="12.75" hidden="1" x14ac:dyDescent="0.2">
      <c r="AF1164" s="22"/>
    </row>
    <row r="1165" spans="32:32" ht="12.75" hidden="1" x14ac:dyDescent="0.2">
      <c r="AF1165" s="22"/>
    </row>
    <row r="1166" spans="32:32" ht="12.75" hidden="1" x14ac:dyDescent="0.2">
      <c r="AF1166" s="22"/>
    </row>
    <row r="1167" spans="32:32" ht="12.75" hidden="1" x14ac:dyDescent="0.2">
      <c r="AF1167" s="22"/>
    </row>
    <row r="1168" spans="32:32" ht="12.75" hidden="1" x14ac:dyDescent="0.2">
      <c r="AF1168" s="22"/>
    </row>
    <row r="1169" spans="32:32" ht="12.75" hidden="1" x14ac:dyDescent="0.2">
      <c r="AF1169" s="22"/>
    </row>
    <row r="1170" spans="32:32" ht="12.75" hidden="1" x14ac:dyDescent="0.2">
      <c r="AF1170" s="22"/>
    </row>
    <row r="1171" spans="32:32" ht="12.75" hidden="1" x14ac:dyDescent="0.2">
      <c r="AF1171" s="22"/>
    </row>
    <row r="1172" spans="32:32" ht="12.75" hidden="1" x14ac:dyDescent="0.2">
      <c r="AF1172" s="22"/>
    </row>
    <row r="1173" spans="32:32" ht="12.75" hidden="1" x14ac:dyDescent="0.2">
      <c r="AF1173" s="22"/>
    </row>
    <row r="1174" spans="32:32" ht="12.75" hidden="1" x14ac:dyDescent="0.2">
      <c r="AF1174" s="22"/>
    </row>
    <row r="1175" spans="32:32" ht="12.75" hidden="1" x14ac:dyDescent="0.2">
      <c r="AF1175" s="22"/>
    </row>
    <row r="1176" spans="32:32" ht="12.75" hidden="1" x14ac:dyDescent="0.2">
      <c r="AF1176" s="22"/>
    </row>
    <row r="1177" spans="32:32" ht="12.75" hidden="1" x14ac:dyDescent="0.2">
      <c r="AF1177" s="22"/>
    </row>
    <row r="1178" spans="32:32" ht="12.75" hidden="1" x14ac:dyDescent="0.2">
      <c r="AF1178" s="22"/>
    </row>
    <row r="1179" spans="32:32" ht="12.75" hidden="1" x14ac:dyDescent="0.2">
      <c r="AF1179" s="22"/>
    </row>
    <row r="1180" spans="32:32" ht="12.75" hidden="1" x14ac:dyDescent="0.2">
      <c r="AF1180" s="22"/>
    </row>
    <row r="1181" spans="32:32" ht="12.75" hidden="1" x14ac:dyDescent="0.2">
      <c r="AF1181" s="22"/>
    </row>
    <row r="1182" spans="32:32" ht="12.75" hidden="1" x14ac:dyDescent="0.2">
      <c r="AF1182" s="22"/>
    </row>
    <row r="1183" spans="32:32" ht="12.75" hidden="1" x14ac:dyDescent="0.2">
      <c r="AF1183" s="22"/>
    </row>
    <row r="1184" spans="32:32" ht="12.75" hidden="1" x14ac:dyDescent="0.2"/>
    <row r="1185" ht="12.75" hidden="1" x14ac:dyDescent="0.2"/>
    <row r="1186" ht="12.75" hidden="1" x14ac:dyDescent="0.2"/>
    <row r="1187" ht="12.75" hidden="1" x14ac:dyDescent="0.2"/>
    <row r="1188" ht="12.75" hidden="1" x14ac:dyDescent="0.2"/>
    <row r="1189" ht="12.75" hidden="1" x14ac:dyDescent="0.2"/>
    <row r="1190" ht="12.75" hidden="1" x14ac:dyDescent="0.2"/>
    <row r="1191" ht="12.75" hidden="1" x14ac:dyDescent="0.2"/>
    <row r="1192" ht="12.75" hidden="1" x14ac:dyDescent="0.2"/>
    <row r="1193" ht="12.75" hidden="1" x14ac:dyDescent="0.2"/>
    <row r="1194" ht="12.75" hidden="1" x14ac:dyDescent="0.2"/>
    <row r="1195" ht="12.75" hidden="1" x14ac:dyDescent="0.2"/>
    <row r="1196" ht="12.75" hidden="1" x14ac:dyDescent="0.2"/>
    <row r="1197" ht="12.75" hidden="1" x14ac:dyDescent="0.2"/>
    <row r="1198" ht="12.75" hidden="1" x14ac:dyDescent="0.2"/>
    <row r="1199" ht="12.75" hidden="1" x14ac:dyDescent="0.2"/>
    <row r="1200" ht="12.75" hidden="1" x14ac:dyDescent="0.2"/>
    <row r="1201" ht="12.75" hidden="1" x14ac:dyDescent="0.2"/>
    <row r="1202" ht="12.75" hidden="1" x14ac:dyDescent="0.2"/>
    <row r="1203" ht="12.75" hidden="1" x14ac:dyDescent="0.2"/>
    <row r="1204" ht="12.75" hidden="1" x14ac:dyDescent="0.2"/>
    <row r="1205" ht="12.75" hidden="1" x14ac:dyDescent="0.2"/>
    <row r="1206" ht="12.75" hidden="1" x14ac:dyDescent="0.2"/>
    <row r="1207" ht="12.75" hidden="1" x14ac:dyDescent="0.2"/>
    <row r="1208" ht="12.75" hidden="1" x14ac:dyDescent="0.2"/>
    <row r="1209" ht="12.75" hidden="1" x14ac:dyDescent="0.2"/>
    <row r="1210" ht="12.75" hidden="1" x14ac:dyDescent="0.2"/>
    <row r="1211" ht="12.75" hidden="1" x14ac:dyDescent="0.2"/>
    <row r="1212" ht="12.75" hidden="1" x14ac:dyDescent="0.2"/>
    <row r="1213" ht="12.75" hidden="1" x14ac:dyDescent="0.2"/>
    <row r="1214" ht="12.75" hidden="1" x14ac:dyDescent="0.2"/>
    <row r="1215" ht="12.75" hidden="1" x14ac:dyDescent="0.2"/>
    <row r="1216" ht="12.75" hidden="1" x14ac:dyDescent="0.2"/>
    <row r="1217" ht="12.75" hidden="1" x14ac:dyDescent="0.2"/>
    <row r="1218" ht="12.75" hidden="1" x14ac:dyDescent="0.2"/>
    <row r="1219" ht="12.75" hidden="1" x14ac:dyDescent="0.2"/>
    <row r="1220" ht="12.75" hidden="1" x14ac:dyDescent="0.2"/>
    <row r="1221" ht="12.75" hidden="1" x14ac:dyDescent="0.2"/>
    <row r="1222" ht="12.75" hidden="1" x14ac:dyDescent="0.2"/>
    <row r="1223" ht="12.75" hidden="1" x14ac:dyDescent="0.2"/>
    <row r="1224" ht="12.75" hidden="1" x14ac:dyDescent="0.2"/>
    <row r="1225" ht="12.75" hidden="1" x14ac:dyDescent="0.2"/>
    <row r="1226" ht="12.75" hidden="1" x14ac:dyDescent="0.2"/>
    <row r="1227" ht="12.75" hidden="1" x14ac:dyDescent="0.2"/>
    <row r="1228" ht="12.75" hidden="1" x14ac:dyDescent="0.2"/>
    <row r="1229" ht="12.75" hidden="1" x14ac:dyDescent="0.2"/>
    <row r="1230" ht="12.75" hidden="1" x14ac:dyDescent="0.2"/>
    <row r="1231" ht="12.75" hidden="1" x14ac:dyDescent="0.2"/>
    <row r="1232" ht="12.75" hidden="1" x14ac:dyDescent="0.2"/>
    <row r="1233" ht="12.75" hidden="1" x14ac:dyDescent="0.2"/>
    <row r="1234" ht="12.75" hidden="1" x14ac:dyDescent="0.2"/>
    <row r="1235" ht="12.75" hidden="1" x14ac:dyDescent="0.2"/>
    <row r="1236" ht="12.75" hidden="1" x14ac:dyDescent="0.2"/>
    <row r="1237" ht="12.75" hidden="1" x14ac:dyDescent="0.2"/>
    <row r="1238" ht="12.75" hidden="1" x14ac:dyDescent="0.2"/>
    <row r="1239" ht="12.75" hidden="1" x14ac:dyDescent="0.2"/>
    <row r="1240" ht="12.75" hidden="1" x14ac:dyDescent="0.2"/>
    <row r="1241" ht="12.75" hidden="1" x14ac:dyDescent="0.2"/>
    <row r="1242" ht="12.75" hidden="1" x14ac:dyDescent="0.2"/>
    <row r="1243" ht="12.75" hidden="1" x14ac:dyDescent="0.2"/>
    <row r="1244" ht="12.75" hidden="1" x14ac:dyDescent="0.2"/>
    <row r="1245" ht="12.75" hidden="1" x14ac:dyDescent="0.2"/>
    <row r="1246" ht="12.75" hidden="1" x14ac:dyDescent="0.2"/>
    <row r="1247" ht="12.75" hidden="1" x14ac:dyDescent="0.2"/>
    <row r="1248" ht="12.75" hidden="1" x14ac:dyDescent="0.2"/>
    <row r="1249" ht="12.75" hidden="1" x14ac:dyDescent="0.2"/>
    <row r="1250" ht="12.75" hidden="1" x14ac:dyDescent="0.2"/>
    <row r="1251" ht="12.75" hidden="1" x14ac:dyDescent="0.2"/>
    <row r="1252" ht="12.75" hidden="1" x14ac:dyDescent="0.2"/>
    <row r="1253" ht="12.75" hidden="1" x14ac:dyDescent="0.2"/>
    <row r="1254" ht="12.75" hidden="1" x14ac:dyDescent="0.2"/>
    <row r="1255" ht="12.75" hidden="1" x14ac:dyDescent="0.2"/>
    <row r="1256" ht="12.75" hidden="1" x14ac:dyDescent="0.2"/>
    <row r="1257" ht="12.75" hidden="1" x14ac:dyDescent="0.2"/>
    <row r="1258" ht="12.75" hidden="1" x14ac:dyDescent="0.2"/>
    <row r="1259" ht="12.75" hidden="1" x14ac:dyDescent="0.2"/>
    <row r="1260" ht="12.75" hidden="1" x14ac:dyDescent="0.2"/>
    <row r="1261" ht="12.75" hidden="1" x14ac:dyDescent="0.2"/>
    <row r="1262" ht="12.75" hidden="1" x14ac:dyDescent="0.2"/>
    <row r="1263" ht="12.75" hidden="1" x14ac:dyDescent="0.2"/>
    <row r="1264" ht="12.75" hidden="1" x14ac:dyDescent="0.2"/>
    <row r="1265" ht="12.75" hidden="1" x14ac:dyDescent="0.2"/>
    <row r="1266" ht="12.75" hidden="1" x14ac:dyDescent="0.2"/>
    <row r="1267" ht="12.75" hidden="1" x14ac:dyDescent="0.2"/>
    <row r="1268" ht="12.75" hidden="1" x14ac:dyDescent="0.2"/>
    <row r="1269" ht="12.75" hidden="1" x14ac:dyDescent="0.2"/>
    <row r="1270" ht="12.75" hidden="1" x14ac:dyDescent="0.2"/>
    <row r="1271" ht="12.75" hidden="1" x14ac:dyDescent="0.2"/>
    <row r="1272" ht="12.75" hidden="1" x14ac:dyDescent="0.2"/>
    <row r="1273" ht="12.75" hidden="1" x14ac:dyDescent="0.2"/>
    <row r="1274" ht="12.75" hidden="1" x14ac:dyDescent="0.2"/>
    <row r="1275" ht="12.75" hidden="1" x14ac:dyDescent="0.2"/>
    <row r="1276" ht="12.75" hidden="1" x14ac:dyDescent="0.2"/>
    <row r="1277" ht="12.75" hidden="1" x14ac:dyDescent="0.2"/>
    <row r="1278" ht="12.75" hidden="1" x14ac:dyDescent="0.2"/>
    <row r="1279" ht="12.75" hidden="1" x14ac:dyDescent="0.2"/>
    <row r="1280" ht="12.75" hidden="1" x14ac:dyDescent="0.2"/>
    <row r="1281" ht="12.75" hidden="1" x14ac:dyDescent="0.2"/>
    <row r="1282" ht="12.75" hidden="1" x14ac:dyDescent="0.2"/>
    <row r="1283" ht="12.75" hidden="1" x14ac:dyDescent="0.2"/>
    <row r="1284" ht="12.75" hidden="1" x14ac:dyDescent="0.2"/>
    <row r="1285" ht="12.75" hidden="1" x14ac:dyDescent="0.2"/>
    <row r="1286" ht="12.75" hidden="1" x14ac:dyDescent="0.2"/>
    <row r="1287" ht="12.75" hidden="1" x14ac:dyDescent="0.2"/>
    <row r="1288" ht="12.75" hidden="1" x14ac:dyDescent="0.2"/>
    <row r="1289" ht="12.75" hidden="1" x14ac:dyDescent="0.2"/>
    <row r="1290" ht="12.75" hidden="1" x14ac:dyDescent="0.2"/>
    <row r="1291" ht="12.75" hidden="1" x14ac:dyDescent="0.2"/>
    <row r="1292" ht="12.75" hidden="1" x14ac:dyDescent="0.2"/>
    <row r="1293" ht="12.75" hidden="1" x14ac:dyDescent="0.2"/>
    <row r="1294" ht="12.75" hidden="1" x14ac:dyDescent="0.2"/>
    <row r="1295" ht="12.75" hidden="1" x14ac:dyDescent="0.2"/>
    <row r="1296" ht="12.75" hidden="1" x14ac:dyDescent="0.2"/>
    <row r="1297" ht="12.75" hidden="1" x14ac:dyDescent="0.2"/>
    <row r="1298" ht="12.75" hidden="1" x14ac:dyDescent="0.2"/>
    <row r="1299" ht="12.75" hidden="1" x14ac:dyDescent="0.2"/>
    <row r="1300" ht="12.75" hidden="1" x14ac:dyDescent="0.2"/>
    <row r="1301" ht="12.75" hidden="1" x14ac:dyDescent="0.2"/>
    <row r="1302" ht="12.75" hidden="1" x14ac:dyDescent="0.2"/>
    <row r="1303" ht="12.75" hidden="1" x14ac:dyDescent="0.2"/>
    <row r="1304" ht="12.75" hidden="1" x14ac:dyDescent="0.2"/>
    <row r="1305" ht="12.75" hidden="1" x14ac:dyDescent="0.2"/>
    <row r="1306" ht="12.75" hidden="1" x14ac:dyDescent="0.2"/>
    <row r="1307" ht="12.75" hidden="1" x14ac:dyDescent="0.2"/>
    <row r="1308" ht="12.75" hidden="1" x14ac:dyDescent="0.2"/>
    <row r="1309" ht="12.75" hidden="1" x14ac:dyDescent="0.2"/>
    <row r="1310" ht="12.75" hidden="1" x14ac:dyDescent="0.2"/>
    <row r="1311" ht="12.75" hidden="1" x14ac:dyDescent="0.2"/>
    <row r="1312" ht="12.75" hidden="1" x14ac:dyDescent="0.2"/>
    <row r="1313" ht="12.75" hidden="1" x14ac:dyDescent="0.2"/>
    <row r="1314" ht="12.75" hidden="1" x14ac:dyDescent="0.2"/>
    <row r="1315" ht="12.75" hidden="1" x14ac:dyDescent="0.2"/>
    <row r="1316" ht="12.75" hidden="1" x14ac:dyDescent="0.2"/>
    <row r="1317" ht="12.75" hidden="1" x14ac:dyDescent="0.2"/>
    <row r="1318" ht="12.75" hidden="1" x14ac:dyDescent="0.2"/>
    <row r="1319" ht="12.75" hidden="1" x14ac:dyDescent="0.2"/>
    <row r="1320" ht="12.75" hidden="1" x14ac:dyDescent="0.2"/>
    <row r="1321" ht="12.75" hidden="1" x14ac:dyDescent="0.2"/>
    <row r="1322" ht="12.75" hidden="1" x14ac:dyDescent="0.2"/>
    <row r="1323" ht="12.75" hidden="1" x14ac:dyDescent="0.2"/>
    <row r="1324" ht="12.75" hidden="1" x14ac:dyDescent="0.2"/>
    <row r="1325" ht="12.75" hidden="1" x14ac:dyDescent="0.2"/>
    <row r="1326" ht="12.75" hidden="1" x14ac:dyDescent="0.2"/>
    <row r="1327" ht="12.75" hidden="1" x14ac:dyDescent="0.2"/>
    <row r="1328" ht="12.75" hidden="1" x14ac:dyDescent="0.2"/>
    <row r="1329" ht="12.75" hidden="1" x14ac:dyDescent="0.2"/>
    <row r="1330" ht="12.75" hidden="1" x14ac:dyDescent="0.2"/>
    <row r="1331" ht="12.75" hidden="1" x14ac:dyDescent="0.2"/>
    <row r="1332" ht="12.75" hidden="1" x14ac:dyDescent="0.2"/>
    <row r="1333" ht="12.75" hidden="1" x14ac:dyDescent="0.2"/>
    <row r="1334" ht="12.75" hidden="1" x14ac:dyDescent="0.2"/>
    <row r="1335" ht="12.75" hidden="1" x14ac:dyDescent="0.2"/>
    <row r="1336" ht="12.75" hidden="1" x14ac:dyDescent="0.2"/>
    <row r="1337" ht="12.75" hidden="1" x14ac:dyDescent="0.2"/>
    <row r="1338" ht="12.75" hidden="1" x14ac:dyDescent="0.2"/>
    <row r="1339" ht="12.75" hidden="1" x14ac:dyDescent="0.2"/>
    <row r="1340" ht="12.75" hidden="1" x14ac:dyDescent="0.2"/>
    <row r="1341" ht="12.75" hidden="1" x14ac:dyDescent="0.2"/>
    <row r="1342" ht="12.75" hidden="1" x14ac:dyDescent="0.2"/>
    <row r="1343" ht="12.75" hidden="1" x14ac:dyDescent="0.2"/>
    <row r="1344" ht="12.75" hidden="1" x14ac:dyDescent="0.2"/>
    <row r="1345" ht="12.75" hidden="1" x14ac:dyDescent="0.2"/>
    <row r="1346" ht="12.75" hidden="1" x14ac:dyDescent="0.2"/>
    <row r="1347" ht="12.75" hidden="1" x14ac:dyDescent="0.2"/>
    <row r="1348" ht="12.75" hidden="1" x14ac:dyDescent="0.2"/>
    <row r="1349" ht="12.75" hidden="1" x14ac:dyDescent="0.2"/>
    <row r="1350" ht="12.75" hidden="1" x14ac:dyDescent="0.2"/>
    <row r="1351" ht="12.75" hidden="1" x14ac:dyDescent="0.2"/>
    <row r="1352" ht="12.75" hidden="1" x14ac:dyDescent="0.2"/>
    <row r="1353" ht="12.75" hidden="1" x14ac:dyDescent="0.2"/>
    <row r="1354" ht="12.75" hidden="1" x14ac:dyDescent="0.2"/>
    <row r="1355" ht="12.75" hidden="1" x14ac:dyDescent="0.2"/>
    <row r="1356" ht="12.75" hidden="1" x14ac:dyDescent="0.2"/>
    <row r="1357" ht="12.75" hidden="1" x14ac:dyDescent="0.2"/>
    <row r="1358" ht="12.75" hidden="1" x14ac:dyDescent="0.2"/>
    <row r="1359" ht="12.75" hidden="1" x14ac:dyDescent="0.2"/>
    <row r="1360" ht="12.75" hidden="1" x14ac:dyDescent="0.2"/>
    <row r="1361" ht="12.75" hidden="1" x14ac:dyDescent="0.2"/>
    <row r="1362" ht="12.75" hidden="1" x14ac:dyDescent="0.2"/>
    <row r="1363" ht="12.75" hidden="1" x14ac:dyDescent="0.2"/>
    <row r="1364" ht="12.75" hidden="1" x14ac:dyDescent="0.2"/>
    <row r="1365" ht="12.75" hidden="1" x14ac:dyDescent="0.2"/>
    <row r="1366" ht="12.75" hidden="1" x14ac:dyDescent="0.2"/>
    <row r="1367" ht="12.75" hidden="1" x14ac:dyDescent="0.2"/>
    <row r="1368" ht="12.75" hidden="1" x14ac:dyDescent="0.2"/>
    <row r="1369" ht="12.75" hidden="1" x14ac:dyDescent="0.2"/>
    <row r="1370" ht="12.75" hidden="1" x14ac:dyDescent="0.2"/>
    <row r="1371" ht="12.75" hidden="1" x14ac:dyDescent="0.2"/>
    <row r="1372" ht="12.75" hidden="1" x14ac:dyDescent="0.2"/>
    <row r="1373" ht="12.75" hidden="1" x14ac:dyDescent="0.2"/>
    <row r="1374" ht="12.75" hidden="1" x14ac:dyDescent="0.2"/>
    <row r="1375" ht="12.75" hidden="1" x14ac:dyDescent="0.2"/>
    <row r="1376" ht="12.75" hidden="1" x14ac:dyDescent="0.2"/>
    <row r="1377" ht="12.75" hidden="1" x14ac:dyDescent="0.2"/>
    <row r="1378" ht="12.75" hidden="1" x14ac:dyDescent="0.2"/>
    <row r="1379" ht="12.75" hidden="1" x14ac:dyDescent="0.2"/>
    <row r="1380" ht="12.75" hidden="1" x14ac:dyDescent="0.2"/>
    <row r="1381" ht="12.75" hidden="1" x14ac:dyDescent="0.2"/>
    <row r="1382" ht="12.75" hidden="1" x14ac:dyDescent="0.2"/>
    <row r="1383" ht="12.75" hidden="1" x14ac:dyDescent="0.2"/>
    <row r="1384" ht="12.75" hidden="1" x14ac:dyDescent="0.2"/>
    <row r="1385" ht="12.75" hidden="1" x14ac:dyDescent="0.2"/>
    <row r="1386" ht="12.75" hidden="1" x14ac:dyDescent="0.2"/>
    <row r="1387" ht="12.75" hidden="1" x14ac:dyDescent="0.2"/>
    <row r="1388" ht="12.75" hidden="1" x14ac:dyDescent="0.2"/>
    <row r="1389" ht="12.75" hidden="1" x14ac:dyDescent="0.2"/>
    <row r="1390" ht="12.75" hidden="1" x14ac:dyDescent="0.2"/>
    <row r="1391" ht="12.75" hidden="1" x14ac:dyDescent="0.2"/>
    <row r="1392" ht="12.75" hidden="1" x14ac:dyDescent="0.2"/>
    <row r="1393" ht="12.75" hidden="1" x14ac:dyDescent="0.2"/>
    <row r="1394" ht="12.75" hidden="1" x14ac:dyDescent="0.2"/>
    <row r="1395" ht="12.75" hidden="1" x14ac:dyDescent="0.2"/>
    <row r="1396" ht="12.75" hidden="1" x14ac:dyDescent="0.2"/>
    <row r="1397" ht="12.75" hidden="1" x14ac:dyDescent="0.2"/>
    <row r="1398" ht="12.75" hidden="1" x14ac:dyDescent="0.2"/>
    <row r="1399" ht="12.75" hidden="1" x14ac:dyDescent="0.2"/>
    <row r="1400" ht="12.75" hidden="1" x14ac:dyDescent="0.2"/>
    <row r="1401" ht="12.75" hidden="1" x14ac:dyDescent="0.2"/>
    <row r="1402" ht="12.75" hidden="1" x14ac:dyDescent="0.2"/>
    <row r="1403" ht="12.75" hidden="1" x14ac:dyDescent="0.2"/>
    <row r="1404" ht="12.75" hidden="1" x14ac:dyDescent="0.2"/>
    <row r="1405" ht="12.75" hidden="1" x14ac:dyDescent="0.2"/>
    <row r="1406" ht="12.75" hidden="1" x14ac:dyDescent="0.2"/>
    <row r="1407" ht="12.75" hidden="1" x14ac:dyDescent="0.2"/>
    <row r="1408" ht="12.75" hidden="1" x14ac:dyDescent="0.2"/>
    <row r="1409" ht="12.75" hidden="1" x14ac:dyDescent="0.2"/>
    <row r="1410" ht="12.75" hidden="1" x14ac:dyDescent="0.2"/>
    <row r="1411" ht="12.75" hidden="1" x14ac:dyDescent="0.2"/>
    <row r="1412" ht="12.75" hidden="1" x14ac:dyDescent="0.2"/>
    <row r="1413" ht="12.75" hidden="1" x14ac:dyDescent="0.2"/>
    <row r="1414" ht="12.75" hidden="1" x14ac:dyDescent="0.2"/>
    <row r="1415" ht="12.75" hidden="1" x14ac:dyDescent="0.2"/>
    <row r="1416" ht="12.75" hidden="1" x14ac:dyDescent="0.2"/>
    <row r="1417" ht="12.75" hidden="1" x14ac:dyDescent="0.2"/>
    <row r="1418" ht="12.75" hidden="1" x14ac:dyDescent="0.2"/>
    <row r="1419" ht="12.75" hidden="1" x14ac:dyDescent="0.2"/>
    <row r="1420" ht="12.75" hidden="1" x14ac:dyDescent="0.2"/>
    <row r="1421" ht="12.75" hidden="1" x14ac:dyDescent="0.2"/>
    <row r="1422" ht="12.75" hidden="1" x14ac:dyDescent="0.2"/>
    <row r="1423" ht="12.75" hidden="1" x14ac:dyDescent="0.2"/>
    <row r="1424" ht="12.75" hidden="1" x14ac:dyDescent="0.2"/>
    <row r="1425" ht="12.75" hidden="1" x14ac:dyDescent="0.2"/>
    <row r="1426" ht="12.75" hidden="1" x14ac:dyDescent="0.2"/>
    <row r="1427" ht="12.75" hidden="1" x14ac:dyDescent="0.2"/>
    <row r="1428" ht="12.75" hidden="1" x14ac:dyDescent="0.2"/>
    <row r="1429" ht="12.75" hidden="1" x14ac:dyDescent="0.2"/>
    <row r="1430" ht="12.75" hidden="1" x14ac:dyDescent="0.2"/>
    <row r="1431" ht="12.75" hidden="1" x14ac:dyDescent="0.2"/>
    <row r="1432" ht="12.75" hidden="1" x14ac:dyDescent="0.2"/>
    <row r="1433" ht="12.75" hidden="1" x14ac:dyDescent="0.2"/>
    <row r="1434" ht="12.75" hidden="1" x14ac:dyDescent="0.2"/>
    <row r="1435" ht="12.75" hidden="1" x14ac:dyDescent="0.2"/>
    <row r="1436" ht="12.75" hidden="1" x14ac:dyDescent="0.2"/>
    <row r="1437" ht="12.75" hidden="1" x14ac:dyDescent="0.2"/>
    <row r="1438" ht="12.75" hidden="1" x14ac:dyDescent="0.2"/>
    <row r="1439" ht="12.75" hidden="1" x14ac:dyDescent="0.2"/>
    <row r="1440" ht="12.75" hidden="1" x14ac:dyDescent="0.2"/>
    <row r="1441" ht="12.75" hidden="1" x14ac:dyDescent="0.2"/>
    <row r="1442" ht="12.75" hidden="1" x14ac:dyDescent="0.2"/>
    <row r="1443" ht="12.75" hidden="1" x14ac:dyDescent="0.2"/>
    <row r="1444" ht="12.75" hidden="1" x14ac:dyDescent="0.2"/>
    <row r="1445" ht="12.75" hidden="1" x14ac:dyDescent="0.2"/>
    <row r="1446" ht="12.75" hidden="1" x14ac:dyDescent="0.2"/>
    <row r="1447" ht="12.75" hidden="1" x14ac:dyDescent="0.2"/>
    <row r="1448" ht="12.75" hidden="1" x14ac:dyDescent="0.2"/>
    <row r="1449" ht="12.75" hidden="1" x14ac:dyDescent="0.2"/>
    <row r="1450" ht="12.75" hidden="1" x14ac:dyDescent="0.2"/>
    <row r="1451" ht="12.75" hidden="1" x14ac:dyDescent="0.2"/>
    <row r="1452" ht="12.75" hidden="1" x14ac:dyDescent="0.2"/>
    <row r="1453" ht="12.75" hidden="1" x14ac:dyDescent="0.2"/>
    <row r="1454" ht="12.75" hidden="1" x14ac:dyDescent="0.2"/>
    <row r="1455" ht="12.75" hidden="1" x14ac:dyDescent="0.2"/>
    <row r="1456" ht="12.75" hidden="1" x14ac:dyDescent="0.2"/>
    <row r="1457" ht="12.75" hidden="1" x14ac:dyDescent="0.2"/>
    <row r="1458" ht="12.75" hidden="1" x14ac:dyDescent="0.2"/>
    <row r="1459" ht="12.75" hidden="1" x14ac:dyDescent="0.2"/>
    <row r="1460" ht="12.75" hidden="1" x14ac:dyDescent="0.2"/>
    <row r="1461" ht="12.75" hidden="1" x14ac:dyDescent="0.2"/>
    <row r="1462" ht="12.75" hidden="1" x14ac:dyDescent="0.2"/>
    <row r="1463" ht="12.75" hidden="1" x14ac:dyDescent="0.2"/>
    <row r="1464" ht="12.75" hidden="1" x14ac:dyDescent="0.2"/>
    <row r="1465" ht="12.75" hidden="1" x14ac:dyDescent="0.2"/>
    <row r="1466" ht="12.75" hidden="1" x14ac:dyDescent="0.2"/>
    <row r="1467" ht="12.75" hidden="1" x14ac:dyDescent="0.2"/>
    <row r="1468" ht="12.75" hidden="1" x14ac:dyDescent="0.2"/>
    <row r="1469" ht="12.75" hidden="1" x14ac:dyDescent="0.2"/>
    <row r="1470" ht="12.75" hidden="1" x14ac:dyDescent="0.2"/>
    <row r="1471" ht="12.75" hidden="1" x14ac:dyDescent="0.2"/>
    <row r="1472" ht="12.75" hidden="1" x14ac:dyDescent="0.2"/>
    <row r="1473" ht="12.75" hidden="1" x14ac:dyDescent="0.2"/>
    <row r="1474" ht="12.75" hidden="1" x14ac:dyDescent="0.2"/>
    <row r="1475" ht="12.75" hidden="1" x14ac:dyDescent="0.2"/>
    <row r="1476" ht="12.75" hidden="1" x14ac:dyDescent="0.2"/>
    <row r="1477" ht="12.75" hidden="1" x14ac:dyDescent="0.2"/>
    <row r="1478" ht="12.75" hidden="1" x14ac:dyDescent="0.2"/>
    <row r="1479" ht="12.75" hidden="1" x14ac:dyDescent="0.2"/>
    <row r="1480" ht="12.75" hidden="1" x14ac:dyDescent="0.2"/>
    <row r="1481" ht="12.75" hidden="1" x14ac:dyDescent="0.2"/>
    <row r="1482" ht="12.75" hidden="1" x14ac:dyDescent="0.2"/>
    <row r="1483" ht="12.75" hidden="1" x14ac:dyDescent="0.2"/>
    <row r="1484" ht="12.75" hidden="1" x14ac:dyDescent="0.2"/>
    <row r="1485" ht="12.75" hidden="1" x14ac:dyDescent="0.2"/>
    <row r="1486" ht="12.75" hidden="1" x14ac:dyDescent="0.2"/>
    <row r="1487" ht="12.75" hidden="1" x14ac:dyDescent="0.2"/>
    <row r="1488" ht="12.75" hidden="1" x14ac:dyDescent="0.2"/>
    <row r="1489" ht="12.75" hidden="1" x14ac:dyDescent="0.2"/>
    <row r="1490" ht="12.75" hidden="1" x14ac:dyDescent="0.2"/>
    <row r="1491" ht="12.75" hidden="1" x14ac:dyDescent="0.2"/>
    <row r="1492" ht="12.75" hidden="1" x14ac:dyDescent="0.2"/>
    <row r="1493" ht="12.75" hidden="1" x14ac:dyDescent="0.2"/>
    <row r="1494" ht="12.75" hidden="1" x14ac:dyDescent="0.2"/>
    <row r="1495" ht="12.75" hidden="1" x14ac:dyDescent="0.2"/>
    <row r="1496" ht="12.75" hidden="1" x14ac:dyDescent="0.2"/>
    <row r="1497" ht="12.75" hidden="1" x14ac:dyDescent="0.2"/>
    <row r="1498" ht="12.75" hidden="1" x14ac:dyDescent="0.2"/>
    <row r="1499" ht="12.75" hidden="1" x14ac:dyDescent="0.2"/>
    <row r="1500" ht="12.75" hidden="1" x14ac:dyDescent="0.2"/>
    <row r="1501" ht="12.75" hidden="1" x14ac:dyDescent="0.2"/>
    <row r="1502" ht="12.75" hidden="1" x14ac:dyDescent="0.2"/>
    <row r="1503" ht="12.75" hidden="1" x14ac:dyDescent="0.2"/>
    <row r="1504" ht="12.75" hidden="1" x14ac:dyDescent="0.2"/>
    <row r="1505" ht="12.75" hidden="1" x14ac:dyDescent="0.2"/>
    <row r="1506" ht="12.75" hidden="1" x14ac:dyDescent="0.2"/>
    <row r="1507" ht="12.75" hidden="1" x14ac:dyDescent="0.2"/>
    <row r="1508" ht="12.75" hidden="1" x14ac:dyDescent="0.2"/>
    <row r="1509" ht="12.75" hidden="1" x14ac:dyDescent="0.2"/>
    <row r="1510" ht="12.75" hidden="1" x14ac:dyDescent="0.2"/>
    <row r="1511" ht="12.75" hidden="1" x14ac:dyDescent="0.2"/>
    <row r="1512" ht="12.75" hidden="1" x14ac:dyDescent="0.2"/>
    <row r="1513" ht="12.75" hidden="1" x14ac:dyDescent="0.2"/>
    <row r="1514" ht="12.75" hidden="1" x14ac:dyDescent="0.2"/>
    <row r="1515" ht="12.75" hidden="1" x14ac:dyDescent="0.2"/>
    <row r="1516" ht="12.75" hidden="1" x14ac:dyDescent="0.2"/>
    <row r="1517" ht="12.75" hidden="1" x14ac:dyDescent="0.2"/>
    <row r="1518" ht="12.75" hidden="1" x14ac:dyDescent="0.2"/>
    <row r="1519" ht="12.75" hidden="1" x14ac:dyDescent="0.2"/>
    <row r="1520" ht="12.75" hidden="1" x14ac:dyDescent="0.2"/>
    <row r="1521" ht="12.75" hidden="1" x14ac:dyDescent="0.2"/>
    <row r="1522" ht="12.75" hidden="1" x14ac:dyDescent="0.2"/>
    <row r="1523" ht="12.75" hidden="1" x14ac:dyDescent="0.2"/>
    <row r="1524" ht="12.75" hidden="1" x14ac:dyDescent="0.2"/>
    <row r="1525" ht="12.75" hidden="1" x14ac:dyDescent="0.2"/>
    <row r="1526" ht="12.75" hidden="1" x14ac:dyDescent="0.2"/>
    <row r="1527" ht="12.75" hidden="1" x14ac:dyDescent="0.2"/>
    <row r="1528" ht="12.75" hidden="1" x14ac:dyDescent="0.2"/>
    <row r="1529" ht="12.75" hidden="1" x14ac:dyDescent="0.2"/>
    <row r="1530" ht="12.75" hidden="1" x14ac:dyDescent="0.2"/>
    <row r="1531" ht="12.75" hidden="1" x14ac:dyDescent="0.2"/>
    <row r="1532" ht="12.75" hidden="1" x14ac:dyDescent="0.2"/>
    <row r="1533" ht="12.75" hidden="1" x14ac:dyDescent="0.2"/>
    <row r="1534" ht="12.75" hidden="1" x14ac:dyDescent="0.2"/>
    <row r="1535" ht="12.75" hidden="1" x14ac:dyDescent="0.2"/>
    <row r="1536" ht="12.75" hidden="1" x14ac:dyDescent="0.2"/>
    <row r="1537" ht="12.75" hidden="1" x14ac:dyDescent="0.2"/>
    <row r="1538" ht="12.75" hidden="1" x14ac:dyDescent="0.2"/>
    <row r="1539" ht="12.75" hidden="1" x14ac:dyDescent="0.2"/>
    <row r="1540" ht="12.75" hidden="1" x14ac:dyDescent="0.2"/>
    <row r="1541" ht="12.75" hidden="1" x14ac:dyDescent="0.2"/>
    <row r="1542" ht="12.75" hidden="1" x14ac:dyDescent="0.2"/>
    <row r="1543" ht="12.75" hidden="1" x14ac:dyDescent="0.2"/>
    <row r="1544" ht="12.75" hidden="1" x14ac:dyDescent="0.2"/>
    <row r="1545" ht="12.75" hidden="1" x14ac:dyDescent="0.2"/>
    <row r="1546" ht="12.75" hidden="1" x14ac:dyDescent="0.2"/>
    <row r="1547" ht="12.75" hidden="1" x14ac:dyDescent="0.2"/>
    <row r="1548" ht="12.75" hidden="1" x14ac:dyDescent="0.2"/>
    <row r="1549" ht="12.75" hidden="1" x14ac:dyDescent="0.2"/>
    <row r="1550" ht="12.75" hidden="1" x14ac:dyDescent="0.2"/>
    <row r="1551" ht="12.75" hidden="1" x14ac:dyDescent="0.2"/>
    <row r="1552" ht="12.75" hidden="1" x14ac:dyDescent="0.2"/>
    <row r="1553" ht="12.75" hidden="1" x14ac:dyDescent="0.2"/>
    <row r="1554" ht="12.75" hidden="1" x14ac:dyDescent="0.2"/>
    <row r="1555" ht="12.75" hidden="1" x14ac:dyDescent="0.2"/>
    <row r="1556" ht="12.75" hidden="1" x14ac:dyDescent="0.2"/>
    <row r="1557" ht="12.75" hidden="1" x14ac:dyDescent="0.2"/>
    <row r="1558" ht="12.75" hidden="1" x14ac:dyDescent="0.2"/>
    <row r="1559" ht="12.75" hidden="1" x14ac:dyDescent="0.2"/>
    <row r="1560" ht="12.75" hidden="1" x14ac:dyDescent="0.2"/>
    <row r="1561" ht="12.75" hidden="1" x14ac:dyDescent="0.2"/>
    <row r="1562" ht="12.75" hidden="1" x14ac:dyDescent="0.2"/>
    <row r="1563" ht="12.75" hidden="1" x14ac:dyDescent="0.2"/>
    <row r="1564" ht="12.75" hidden="1" x14ac:dyDescent="0.2"/>
    <row r="1565" ht="12.75" hidden="1" x14ac:dyDescent="0.2"/>
    <row r="1566" ht="12.75" hidden="1" x14ac:dyDescent="0.2"/>
    <row r="1567" ht="12.75" hidden="1" x14ac:dyDescent="0.2"/>
    <row r="1568" ht="12.75" hidden="1" x14ac:dyDescent="0.2"/>
    <row r="1569" ht="12.75" hidden="1" x14ac:dyDescent="0.2"/>
    <row r="1570" ht="12.75" hidden="1" x14ac:dyDescent="0.2"/>
    <row r="1571" ht="12.75" hidden="1" x14ac:dyDescent="0.2"/>
    <row r="1572" ht="12.75" hidden="1" x14ac:dyDescent="0.2"/>
    <row r="1573" ht="12.75" hidden="1" x14ac:dyDescent="0.2"/>
    <row r="1574" ht="12.75" hidden="1" x14ac:dyDescent="0.2"/>
    <row r="1575" ht="12.75" hidden="1" x14ac:dyDescent="0.2"/>
    <row r="1576" ht="12.75" hidden="1" x14ac:dyDescent="0.2"/>
    <row r="1577" ht="12.75" hidden="1" x14ac:dyDescent="0.2"/>
    <row r="1578" ht="12.75" hidden="1" x14ac:dyDescent="0.2"/>
    <row r="1579" ht="12.75" hidden="1" x14ac:dyDescent="0.2"/>
    <row r="1580" ht="12.75" hidden="1" x14ac:dyDescent="0.2"/>
    <row r="1581" ht="12.75" hidden="1" x14ac:dyDescent="0.2"/>
    <row r="1582" ht="12.75" hidden="1" x14ac:dyDescent="0.2"/>
    <row r="1583" ht="12.75" hidden="1" x14ac:dyDescent="0.2"/>
    <row r="1584" ht="12.75" hidden="1" x14ac:dyDescent="0.2"/>
    <row r="1585" ht="12.75" hidden="1" x14ac:dyDescent="0.2"/>
    <row r="1586" ht="12.75" hidden="1" x14ac:dyDescent="0.2"/>
    <row r="1587" ht="12.75" hidden="1" x14ac:dyDescent="0.2"/>
    <row r="1588" ht="12.75" hidden="1" x14ac:dyDescent="0.2"/>
    <row r="1589" ht="12.75" hidden="1" x14ac:dyDescent="0.2"/>
    <row r="1590" ht="12.75" hidden="1" x14ac:dyDescent="0.2"/>
    <row r="1591" ht="12.75" hidden="1" x14ac:dyDescent="0.2"/>
    <row r="1592" ht="12.75" hidden="1" x14ac:dyDescent="0.2"/>
    <row r="1593" ht="12.75" hidden="1" x14ac:dyDescent="0.2"/>
    <row r="1594" ht="12.75" hidden="1" x14ac:dyDescent="0.2"/>
    <row r="1595" ht="12.75" hidden="1" x14ac:dyDescent="0.2"/>
    <row r="1596" ht="12.75" hidden="1" x14ac:dyDescent="0.2"/>
    <row r="1597" ht="12.75" hidden="1" x14ac:dyDescent="0.2"/>
    <row r="1598" ht="12.75" hidden="1" x14ac:dyDescent="0.2"/>
    <row r="1599" ht="12.75" hidden="1" x14ac:dyDescent="0.2"/>
    <row r="1600" ht="12.75" hidden="1" x14ac:dyDescent="0.2"/>
    <row r="1601" ht="12.75" hidden="1" x14ac:dyDescent="0.2"/>
    <row r="1602" ht="12.75" hidden="1" x14ac:dyDescent="0.2"/>
    <row r="1603" ht="12.75" hidden="1" x14ac:dyDescent="0.2"/>
    <row r="1604" ht="12.75" hidden="1" x14ac:dyDescent="0.2"/>
    <row r="1605" ht="12.75" hidden="1" x14ac:dyDescent="0.2"/>
    <row r="1606" ht="12.75" hidden="1" x14ac:dyDescent="0.2"/>
    <row r="1607" ht="12.75" hidden="1" x14ac:dyDescent="0.2"/>
    <row r="1608" ht="12.75" hidden="1" x14ac:dyDescent="0.2"/>
    <row r="1609" ht="12.75" hidden="1" x14ac:dyDescent="0.2"/>
    <row r="1610" ht="12.75" hidden="1" x14ac:dyDescent="0.2"/>
    <row r="1611" ht="12.75" hidden="1" x14ac:dyDescent="0.2"/>
    <row r="1612" ht="12.75" hidden="1" x14ac:dyDescent="0.2"/>
    <row r="1613" ht="12.75" hidden="1" x14ac:dyDescent="0.2"/>
    <row r="1614" ht="12.75" hidden="1" x14ac:dyDescent="0.2"/>
    <row r="1615" ht="12.75" hidden="1" x14ac:dyDescent="0.2"/>
    <row r="1616" ht="12.75" hidden="1" x14ac:dyDescent="0.2"/>
    <row r="1617" ht="12.75" hidden="1" x14ac:dyDescent="0.2"/>
    <row r="1618" ht="12.75" hidden="1" x14ac:dyDescent="0.2"/>
    <row r="1619" ht="12.75" hidden="1" x14ac:dyDescent="0.2"/>
    <row r="1620" ht="12.75" hidden="1" x14ac:dyDescent="0.2"/>
    <row r="1621" ht="12.75" hidden="1" x14ac:dyDescent="0.2"/>
    <row r="1622" ht="12.75" hidden="1" x14ac:dyDescent="0.2"/>
    <row r="1623" ht="12.75" hidden="1" x14ac:dyDescent="0.2"/>
    <row r="1624" ht="12.75" hidden="1" x14ac:dyDescent="0.2"/>
    <row r="1625" ht="12.75" hidden="1" x14ac:dyDescent="0.2"/>
    <row r="1626" ht="12.75" hidden="1" x14ac:dyDescent="0.2"/>
    <row r="1627" ht="12.75" hidden="1" x14ac:dyDescent="0.2"/>
    <row r="1628" ht="12.75" hidden="1" x14ac:dyDescent="0.2"/>
    <row r="1629" ht="12.75" hidden="1" x14ac:dyDescent="0.2"/>
    <row r="1630" ht="12.75" hidden="1" x14ac:dyDescent="0.2"/>
    <row r="1631" ht="12.75" hidden="1" x14ac:dyDescent="0.2"/>
    <row r="1632" ht="12.75" hidden="1" x14ac:dyDescent="0.2"/>
    <row r="1633" ht="12.75" hidden="1" x14ac:dyDescent="0.2"/>
    <row r="1634" ht="12.75" hidden="1" x14ac:dyDescent="0.2"/>
    <row r="1635" ht="12.75" hidden="1" x14ac:dyDescent="0.2"/>
    <row r="1636" ht="12.75" hidden="1" x14ac:dyDescent="0.2"/>
    <row r="1637" ht="12.75" hidden="1" x14ac:dyDescent="0.2"/>
    <row r="1638" ht="12.75" hidden="1" x14ac:dyDescent="0.2"/>
    <row r="1639" ht="12.75" hidden="1" x14ac:dyDescent="0.2"/>
    <row r="1640" ht="12.75" hidden="1" x14ac:dyDescent="0.2"/>
    <row r="1641" ht="12.75" hidden="1" x14ac:dyDescent="0.2"/>
    <row r="1642" ht="12.75" hidden="1" x14ac:dyDescent="0.2"/>
    <row r="1643" ht="12.75" hidden="1" x14ac:dyDescent="0.2"/>
    <row r="1644" ht="12.75" hidden="1" x14ac:dyDescent="0.2"/>
    <row r="1645" ht="12.75" hidden="1" x14ac:dyDescent="0.2"/>
    <row r="1646" ht="12.75" hidden="1" x14ac:dyDescent="0.2"/>
    <row r="1647" ht="12.75" hidden="1" x14ac:dyDescent="0.2"/>
    <row r="1648" ht="12.75" hidden="1" x14ac:dyDescent="0.2"/>
    <row r="1649" ht="12.75" hidden="1" x14ac:dyDescent="0.2"/>
    <row r="1650" ht="12.75" hidden="1" x14ac:dyDescent="0.2"/>
    <row r="1651" ht="12.75" hidden="1" x14ac:dyDescent="0.2"/>
    <row r="1652" ht="12.75" hidden="1" x14ac:dyDescent="0.2"/>
    <row r="1653" ht="12.75" hidden="1" x14ac:dyDescent="0.2"/>
    <row r="1654" ht="12.75" hidden="1" x14ac:dyDescent="0.2"/>
    <row r="1655" ht="12.75" hidden="1" x14ac:dyDescent="0.2"/>
    <row r="1656" ht="12.75" hidden="1" x14ac:dyDescent="0.2"/>
    <row r="1657" ht="12.75" hidden="1" x14ac:dyDescent="0.2"/>
    <row r="1658" ht="12.75" hidden="1" x14ac:dyDescent="0.2"/>
    <row r="1659" ht="12.75" hidden="1" x14ac:dyDescent="0.2"/>
    <row r="1660" ht="12.75" hidden="1" x14ac:dyDescent="0.2"/>
    <row r="1661" ht="12.75" hidden="1" x14ac:dyDescent="0.2"/>
    <row r="1662" ht="12.75" hidden="1" x14ac:dyDescent="0.2"/>
    <row r="1663" ht="12.75" hidden="1" x14ac:dyDescent="0.2"/>
    <row r="1664" ht="12.75" hidden="1" x14ac:dyDescent="0.2"/>
    <row r="1665" ht="12.75" hidden="1" x14ac:dyDescent="0.2"/>
    <row r="1666" ht="12.75" hidden="1" x14ac:dyDescent="0.2"/>
    <row r="1667" ht="12.75" hidden="1" x14ac:dyDescent="0.2"/>
    <row r="1668" ht="12.75" hidden="1" x14ac:dyDescent="0.2"/>
    <row r="1669" ht="12.75" hidden="1" x14ac:dyDescent="0.2"/>
    <row r="1670" ht="12.75" hidden="1" x14ac:dyDescent="0.2"/>
    <row r="1671" ht="12.75" hidden="1" x14ac:dyDescent="0.2"/>
    <row r="1672" ht="12.75" hidden="1" x14ac:dyDescent="0.2"/>
    <row r="1673" ht="12.75" hidden="1" x14ac:dyDescent="0.2"/>
    <row r="1674" ht="12.75" hidden="1" x14ac:dyDescent="0.2"/>
    <row r="1675" ht="12.75" hidden="1" x14ac:dyDescent="0.2"/>
    <row r="1676" ht="12.75" hidden="1" x14ac:dyDescent="0.2"/>
    <row r="1677" ht="12.75" hidden="1" x14ac:dyDescent="0.2"/>
    <row r="1678" ht="12.75" hidden="1" x14ac:dyDescent="0.2"/>
    <row r="1679" ht="12.75" hidden="1" x14ac:dyDescent="0.2"/>
    <row r="1680" ht="12.75" hidden="1" x14ac:dyDescent="0.2"/>
    <row r="1681" ht="12.75" hidden="1" x14ac:dyDescent="0.2"/>
    <row r="1682" ht="12.75" hidden="1" x14ac:dyDescent="0.2"/>
    <row r="1683" ht="12.75" hidden="1" x14ac:dyDescent="0.2"/>
    <row r="1684" ht="12.75" hidden="1" x14ac:dyDescent="0.2"/>
    <row r="1685" ht="12.75" hidden="1" x14ac:dyDescent="0.2"/>
    <row r="1686" ht="12.75" hidden="1" x14ac:dyDescent="0.2"/>
    <row r="1687" ht="12.75" hidden="1" x14ac:dyDescent="0.2"/>
    <row r="1688" ht="12.75" hidden="1" x14ac:dyDescent="0.2"/>
    <row r="1689" ht="12.75" hidden="1" x14ac:dyDescent="0.2"/>
    <row r="1690" ht="12.75" hidden="1" x14ac:dyDescent="0.2"/>
    <row r="1691" ht="12.75" hidden="1" x14ac:dyDescent="0.2"/>
    <row r="1692" ht="12.75" hidden="1" x14ac:dyDescent="0.2"/>
    <row r="1693" ht="12.75" hidden="1" x14ac:dyDescent="0.2"/>
    <row r="1694" ht="12.75" hidden="1" x14ac:dyDescent="0.2"/>
    <row r="1695" ht="12.75" hidden="1" x14ac:dyDescent="0.2"/>
    <row r="1696" ht="12.75" hidden="1" x14ac:dyDescent="0.2"/>
    <row r="1697" ht="12.75" hidden="1" x14ac:dyDescent="0.2"/>
    <row r="1698" ht="12.75" hidden="1" x14ac:dyDescent="0.2"/>
    <row r="1699" ht="12.75" hidden="1" x14ac:dyDescent="0.2"/>
    <row r="1700" ht="12.75" hidden="1" x14ac:dyDescent="0.2"/>
    <row r="1701" ht="12.75" hidden="1" x14ac:dyDescent="0.2"/>
    <row r="1702" ht="12.75" hidden="1" x14ac:dyDescent="0.2"/>
    <row r="1703" ht="12.75" hidden="1" x14ac:dyDescent="0.2"/>
    <row r="1704" ht="12.75" hidden="1" x14ac:dyDescent="0.2"/>
    <row r="1705" ht="12.75" hidden="1" x14ac:dyDescent="0.2"/>
    <row r="1706" ht="12.75" hidden="1" x14ac:dyDescent="0.2"/>
    <row r="1707" ht="12.75" hidden="1" x14ac:dyDescent="0.2"/>
    <row r="1708" ht="12.75" hidden="1" x14ac:dyDescent="0.2"/>
    <row r="1709" ht="12.75" hidden="1" x14ac:dyDescent="0.2"/>
    <row r="1710" ht="12.75" hidden="1" x14ac:dyDescent="0.2"/>
    <row r="1711" ht="12.75" hidden="1" x14ac:dyDescent="0.2"/>
    <row r="1712" ht="12.75" hidden="1" x14ac:dyDescent="0.2"/>
    <row r="1713" ht="12.75" hidden="1" x14ac:dyDescent="0.2"/>
    <row r="1714" ht="12.75" hidden="1" x14ac:dyDescent="0.2"/>
    <row r="1715" ht="12.75" hidden="1" x14ac:dyDescent="0.2"/>
    <row r="1716" ht="12.75" hidden="1" x14ac:dyDescent="0.2"/>
    <row r="1717" ht="12.75" hidden="1" x14ac:dyDescent="0.2"/>
    <row r="1718" ht="12.75" hidden="1" x14ac:dyDescent="0.2"/>
    <row r="1719" ht="12.75" hidden="1" x14ac:dyDescent="0.2"/>
    <row r="1720" ht="12.75" hidden="1" x14ac:dyDescent="0.2"/>
    <row r="1721" ht="12.75" hidden="1" x14ac:dyDescent="0.2"/>
    <row r="1722" ht="12.75" hidden="1" x14ac:dyDescent="0.2"/>
    <row r="1723" ht="12.75" hidden="1" x14ac:dyDescent="0.2"/>
    <row r="1724" ht="12.75" hidden="1" x14ac:dyDescent="0.2"/>
    <row r="1725" ht="12.75" hidden="1" x14ac:dyDescent="0.2"/>
    <row r="1726" ht="12.75" hidden="1" x14ac:dyDescent="0.2"/>
    <row r="1727" ht="12.75" hidden="1" x14ac:dyDescent="0.2"/>
    <row r="1728" ht="12.75" hidden="1" x14ac:dyDescent="0.2"/>
    <row r="1729" ht="12.75" hidden="1" x14ac:dyDescent="0.2"/>
    <row r="1730" ht="12.75" hidden="1" x14ac:dyDescent="0.2"/>
    <row r="1731" ht="12.75" hidden="1" x14ac:dyDescent="0.2"/>
    <row r="1732" ht="12.75" hidden="1" x14ac:dyDescent="0.2"/>
    <row r="1733" ht="12.75" hidden="1" x14ac:dyDescent="0.2"/>
    <row r="1734" ht="12.75" hidden="1" x14ac:dyDescent="0.2"/>
    <row r="1735" ht="12.75" hidden="1" x14ac:dyDescent="0.2"/>
    <row r="1736" ht="12.75" hidden="1" x14ac:dyDescent="0.2"/>
    <row r="1737" ht="12.75" hidden="1" x14ac:dyDescent="0.2"/>
    <row r="1738" ht="12.75" hidden="1" x14ac:dyDescent="0.2"/>
    <row r="1739" ht="12.75" hidden="1" x14ac:dyDescent="0.2"/>
    <row r="1740" ht="12.75" hidden="1" x14ac:dyDescent="0.2"/>
    <row r="1741" ht="12.75" hidden="1" x14ac:dyDescent="0.2"/>
    <row r="1742" ht="12.75" hidden="1" x14ac:dyDescent="0.2"/>
    <row r="1743" ht="12.75" hidden="1" x14ac:dyDescent="0.2"/>
    <row r="1744" ht="12.75" hidden="1" x14ac:dyDescent="0.2"/>
    <row r="1745" ht="12.75" hidden="1" x14ac:dyDescent="0.2"/>
    <row r="1746" ht="12.75" hidden="1" x14ac:dyDescent="0.2"/>
    <row r="1747" ht="12.75" hidden="1" x14ac:dyDescent="0.2"/>
    <row r="1748" ht="12.75" hidden="1" x14ac:dyDescent="0.2"/>
    <row r="1749" ht="12.75" hidden="1" x14ac:dyDescent="0.2"/>
    <row r="1750" ht="12.75" hidden="1" x14ac:dyDescent="0.2"/>
    <row r="1751" ht="12.75" hidden="1" x14ac:dyDescent="0.2"/>
    <row r="1752" ht="12.75" hidden="1" x14ac:dyDescent="0.2"/>
    <row r="1753" ht="12.75" hidden="1" x14ac:dyDescent="0.2"/>
    <row r="1754" ht="12.75" hidden="1" x14ac:dyDescent="0.2"/>
    <row r="1755" ht="12.75" hidden="1" x14ac:dyDescent="0.2"/>
    <row r="1756" ht="12.75" hidden="1" x14ac:dyDescent="0.2"/>
    <row r="1757" ht="12.75" hidden="1" x14ac:dyDescent="0.2"/>
    <row r="1758" ht="12.75" hidden="1" x14ac:dyDescent="0.2"/>
    <row r="1759" ht="12.75" hidden="1" x14ac:dyDescent="0.2"/>
    <row r="1760" ht="12.75" hidden="1" x14ac:dyDescent="0.2"/>
    <row r="1761" ht="12.75" hidden="1" x14ac:dyDescent="0.2"/>
    <row r="1762" ht="12.75" hidden="1" x14ac:dyDescent="0.2"/>
    <row r="1763" ht="12.75" hidden="1" x14ac:dyDescent="0.2"/>
    <row r="1764" ht="12.75" hidden="1" x14ac:dyDescent="0.2"/>
    <row r="1765" ht="12.75" hidden="1" x14ac:dyDescent="0.2"/>
    <row r="1766" ht="12.75" hidden="1" x14ac:dyDescent="0.2"/>
    <row r="1767" ht="12.75" hidden="1" x14ac:dyDescent="0.2"/>
    <row r="1768" ht="12.75" hidden="1" x14ac:dyDescent="0.2"/>
    <row r="1769" ht="12.75" hidden="1" x14ac:dyDescent="0.2"/>
    <row r="1770" ht="12.75" hidden="1" x14ac:dyDescent="0.2"/>
    <row r="1771" ht="12.75" hidden="1" x14ac:dyDescent="0.2"/>
    <row r="1772" ht="12.75" hidden="1" x14ac:dyDescent="0.2"/>
    <row r="1773" ht="12.75" hidden="1" x14ac:dyDescent="0.2"/>
    <row r="1774" ht="12.75" hidden="1" x14ac:dyDescent="0.2"/>
    <row r="1775" ht="12.75" hidden="1" x14ac:dyDescent="0.2"/>
    <row r="1776" ht="12.75" hidden="1" x14ac:dyDescent="0.2"/>
    <row r="1777" ht="12.75" hidden="1" x14ac:dyDescent="0.2"/>
    <row r="1778" ht="12.75" hidden="1" x14ac:dyDescent="0.2"/>
    <row r="1779" ht="12.75" hidden="1" x14ac:dyDescent="0.2"/>
    <row r="1780" ht="12.75" hidden="1" x14ac:dyDescent="0.2"/>
    <row r="1781" ht="12.75" hidden="1" x14ac:dyDescent="0.2"/>
    <row r="1782" ht="12.75" hidden="1" x14ac:dyDescent="0.2"/>
    <row r="1783" ht="12.75" hidden="1" x14ac:dyDescent="0.2"/>
    <row r="1784" ht="12.75" hidden="1" x14ac:dyDescent="0.2"/>
    <row r="1785" ht="12.75" hidden="1" x14ac:dyDescent="0.2"/>
    <row r="1786" ht="12.75" hidden="1" x14ac:dyDescent="0.2"/>
    <row r="1787" ht="12.75" hidden="1" x14ac:dyDescent="0.2"/>
    <row r="1788" ht="12.75" hidden="1" x14ac:dyDescent="0.2"/>
    <row r="1789" ht="12.75" hidden="1" x14ac:dyDescent="0.2"/>
    <row r="1790" ht="12.75" hidden="1" x14ac:dyDescent="0.2"/>
    <row r="1791" ht="12.75" hidden="1" x14ac:dyDescent="0.2"/>
    <row r="1792" ht="12.75" hidden="1" x14ac:dyDescent="0.2"/>
    <row r="1793" ht="12.75" hidden="1" x14ac:dyDescent="0.2"/>
    <row r="1794" ht="12.75" hidden="1" x14ac:dyDescent="0.2"/>
    <row r="1795" ht="12.75" hidden="1" x14ac:dyDescent="0.2"/>
    <row r="1796" ht="12.75" hidden="1" x14ac:dyDescent="0.2"/>
    <row r="1797" ht="12.75" hidden="1" x14ac:dyDescent="0.2"/>
    <row r="1798" ht="12.75" hidden="1" x14ac:dyDescent="0.2"/>
    <row r="1799" ht="12.75" hidden="1" x14ac:dyDescent="0.2"/>
    <row r="1800" ht="12.75" hidden="1" x14ac:dyDescent="0.2"/>
    <row r="1801" ht="12.75" hidden="1" x14ac:dyDescent="0.2"/>
    <row r="1802" ht="12.75" hidden="1" x14ac:dyDescent="0.2"/>
    <row r="1803" ht="12.75" hidden="1" x14ac:dyDescent="0.2"/>
    <row r="1804" ht="12.75" hidden="1" x14ac:dyDescent="0.2"/>
    <row r="1805" ht="12.75" hidden="1" x14ac:dyDescent="0.2"/>
    <row r="1806" ht="12.75" hidden="1" x14ac:dyDescent="0.2"/>
    <row r="1807" ht="12.75" hidden="1" x14ac:dyDescent="0.2"/>
    <row r="1808" ht="12.75" hidden="1" x14ac:dyDescent="0.2"/>
    <row r="1809" ht="12.75" hidden="1" x14ac:dyDescent="0.2"/>
    <row r="1810" ht="12.75" hidden="1" x14ac:dyDescent="0.2"/>
    <row r="1811" ht="12.75" hidden="1" x14ac:dyDescent="0.2"/>
    <row r="1812" ht="12.75" hidden="1" x14ac:dyDescent="0.2"/>
    <row r="1813" ht="12.75" hidden="1" x14ac:dyDescent="0.2"/>
    <row r="1814" ht="12.75" hidden="1" x14ac:dyDescent="0.2"/>
    <row r="1815" ht="12.75" hidden="1" x14ac:dyDescent="0.2"/>
    <row r="1816" ht="12.75" hidden="1" x14ac:dyDescent="0.2"/>
    <row r="1817" ht="12.75" hidden="1" x14ac:dyDescent="0.2"/>
    <row r="1818" ht="12.75" hidden="1" x14ac:dyDescent="0.2"/>
    <row r="1819" ht="12.75" hidden="1" x14ac:dyDescent="0.2"/>
    <row r="1820" ht="12.75" hidden="1" x14ac:dyDescent="0.2"/>
    <row r="1821" ht="12.75" hidden="1" x14ac:dyDescent="0.2"/>
    <row r="1822" ht="12.75" hidden="1" x14ac:dyDescent="0.2"/>
    <row r="1823" ht="12.75" hidden="1" x14ac:dyDescent="0.2"/>
    <row r="1824" ht="12.75" hidden="1" x14ac:dyDescent="0.2"/>
    <row r="1825" ht="12.75" hidden="1" x14ac:dyDescent="0.2"/>
    <row r="1826" ht="12.75" hidden="1" x14ac:dyDescent="0.2"/>
    <row r="1827" ht="12.75" hidden="1" x14ac:dyDescent="0.2"/>
    <row r="1828" ht="12.75" hidden="1" x14ac:dyDescent="0.2"/>
    <row r="1829" ht="12.75" hidden="1" x14ac:dyDescent="0.2"/>
    <row r="1830" ht="12.75" hidden="1" x14ac:dyDescent="0.2"/>
    <row r="1831" ht="12.75" hidden="1" x14ac:dyDescent="0.2"/>
    <row r="1832" ht="12.75" hidden="1" x14ac:dyDescent="0.2"/>
    <row r="1833" ht="12.75" hidden="1" x14ac:dyDescent="0.2"/>
    <row r="1834" ht="12.75" hidden="1" x14ac:dyDescent="0.2"/>
    <row r="1835" ht="12.75" hidden="1" x14ac:dyDescent="0.2"/>
    <row r="1836" ht="12.75" hidden="1" x14ac:dyDescent="0.2"/>
    <row r="1837" ht="12.75" hidden="1" x14ac:dyDescent="0.2"/>
    <row r="1838" ht="12.75" hidden="1" x14ac:dyDescent="0.2"/>
    <row r="1839" ht="12.75" hidden="1" x14ac:dyDescent="0.2"/>
    <row r="1840" ht="12.75" hidden="1" x14ac:dyDescent="0.2"/>
    <row r="1841" ht="12.75" hidden="1" x14ac:dyDescent="0.2"/>
    <row r="1842" ht="12.75" hidden="1" x14ac:dyDescent="0.2"/>
    <row r="1843" ht="12.75" hidden="1" x14ac:dyDescent="0.2"/>
    <row r="1844" ht="12.75" hidden="1" x14ac:dyDescent="0.2"/>
    <row r="1845" ht="12.75" hidden="1" x14ac:dyDescent="0.2"/>
    <row r="1846" ht="12.75" hidden="1" x14ac:dyDescent="0.2"/>
    <row r="1847" ht="12.75" hidden="1" x14ac:dyDescent="0.2"/>
    <row r="1848" ht="12.75" hidden="1" x14ac:dyDescent="0.2"/>
    <row r="1849" ht="12.75" hidden="1" x14ac:dyDescent="0.2"/>
    <row r="1850" ht="12.75" hidden="1" x14ac:dyDescent="0.2"/>
    <row r="1851" ht="12.75" hidden="1" x14ac:dyDescent="0.2"/>
    <row r="1852" ht="12.75" hidden="1" x14ac:dyDescent="0.2"/>
    <row r="1853" ht="12.75" hidden="1" x14ac:dyDescent="0.2"/>
    <row r="1854" ht="12.75" hidden="1" x14ac:dyDescent="0.2"/>
    <row r="1855" ht="12.75" hidden="1" x14ac:dyDescent="0.2"/>
    <row r="1856" ht="12.75" hidden="1" x14ac:dyDescent="0.2"/>
    <row r="1857" ht="12.75" hidden="1" x14ac:dyDescent="0.2"/>
    <row r="1858" ht="12.75" hidden="1" x14ac:dyDescent="0.2"/>
    <row r="1859" ht="12.75" hidden="1" x14ac:dyDescent="0.2"/>
    <row r="1860" ht="12.75" hidden="1" x14ac:dyDescent="0.2"/>
    <row r="1861" ht="12.75" hidden="1" x14ac:dyDescent="0.2"/>
    <row r="1862" ht="12.75" hidden="1" x14ac:dyDescent="0.2"/>
    <row r="1863" ht="12.75" hidden="1" x14ac:dyDescent="0.2"/>
    <row r="1864" ht="12.75" hidden="1" x14ac:dyDescent="0.2"/>
    <row r="1865" ht="12.75" hidden="1" x14ac:dyDescent="0.2"/>
    <row r="1866" ht="12.75" hidden="1" x14ac:dyDescent="0.2"/>
    <row r="1867" ht="12.75" hidden="1" x14ac:dyDescent="0.2"/>
    <row r="1868" ht="12.75" hidden="1" x14ac:dyDescent="0.2"/>
    <row r="1869" ht="12.75" hidden="1" x14ac:dyDescent="0.2"/>
    <row r="1870" ht="12.75" hidden="1" x14ac:dyDescent="0.2"/>
    <row r="1871" ht="12.75" hidden="1" x14ac:dyDescent="0.2"/>
    <row r="1872" ht="12.75" hidden="1" x14ac:dyDescent="0.2"/>
    <row r="1873" ht="12.75" hidden="1" x14ac:dyDescent="0.2"/>
    <row r="1874" ht="12.75" hidden="1" x14ac:dyDescent="0.2"/>
    <row r="1875" ht="12.75" hidden="1" x14ac:dyDescent="0.2"/>
    <row r="1876" ht="12.75" hidden="1" x14ac:dyDescent="0.2"/>
    <row r="1877" ht="12.75" hidden="1" x14ac:dyDescent="0.2"/>
    <row r="1878" ht="12.75" hidden="1" x14ac:dyDescent="0.2"/>
    <row r="1879" ht="12.75" hidden="1" x14ac:dyDescent="0.2"/>
    <row r="1880" ht="12.75" hidden="1" x14ac:dyDescent="0.2"/>
    <row r="1881" ht="12.75" hidden="1" x14ac:dyDescent="0.2"/>
    <row r="1882" ht="12.75" hidden="1" x14ac:dyDescent="0.2"/>
    <row r="1883" ht="12.75" hidden="1" x14ac:dyDescent="0.2"/>
    <row r="1884" ht="12.75" hidden="1" x14ac:dyDescent="0.2"/>
    <row r="1885" ht="12.75" hidden="1" x14ac:dyDescent="0.2"/>
    <row r="1886" ht="12.75" hidden="1" x14ac:dyDescent="0.2"/>
    <row r="1887" ht="12.75" hidden="1" x14ac:dyDescent="0.2"/>
    <row r="1888" ht="12.75" hidden="1" x14ac:dyDescent="0.2"/>
    <row r="1889" ht="12.75" hidden="1" x14ac:dyDescent="0.2"/>
    <row r="1890" ht="12.75" hidden="1" x14ac:dyDescent="0.2"/>
    <row r="1891" ht="12.75" hidden="1" x14ac:dyDescent="0.2"/>
    <row r="1892" ht="12.75" hidden="1" x14ac:dyDescent="0.2"/>
    <row r="1893" ht="12.75" hidden="1" x14ac:dyDescent="0.2"/>
    <row r="1894" ht="12.75" hidden="1" x14ac:dyDescent="0.2"/>
    <row r="1895" ht="12.75" hidden="1" x14ac:dyDescent="0.2"/>
    <row r="1896" ht="12.75" hidden="1" x14ac:dyDescent="0.2"/>
    <row r="1897" ht="12.75" hidden="1" x14ac:dyDescent="0.2"/>
    <row r="1898" ht="12.75" hidden="1" x14ac:dyDescent="0.2"/>
    <row r="1899" ht="12.75" hidden="1" x14ac:dyDescent="0.2"/>
    <row r="1900" ht="12.75" hidden="1" x14ac:dyDescent="0.2"/>
    <row r="1901" ht="12.75" hidden="1" x14ac:dyDescent="0.2"/>
    <row r="1902" ht="12.75" hidden="1" x14ac:dyDescent="0.2"/>
    <row r="1903" ht="12.75" hidden="1" x14ac:dyDescent="0.2"/>
    <row r="1904" ht="12.75" hidden="1" x14ac:dyDescent="0.2"/>
    <row r="1905" ht="12.75" hidden="1" x14ac:dyDescent="0.2"/>
    <row r="1906" ht="12.75" hidden="1" x14ac:dyDescent="0.2"/>
    <row r="1907" ht="12.75" hidden="1" x14ac:dyDescent="0.2"/>
    <row r="1908" ht="12.75" hidden="1" x14ac:dyDescent="0.2"/>
    <row r="1909" ht="12.75" hidden="1" x14ac:dyDescent="0.2"/>
    <row r="1910" ht="12.75" hidden="1" x14ac:dyDescent="0.2"/>
    <row r="1911" ht="12.75" hidden="1" x14ac:dyDescent="0.2"/>
    <row r="1912" ht="12.75" hidden="1" x14ac:dyDescent="0.2"/>
    <row r="1913" ht="12.75" hidden="1" x14ac:dyDescent="0.2"/>
    <row r="1914" ht="12.75" hidden="1" x14ac:dyDescent="0.2"/>
    <row r="1915" ht="12.75" hidden="1" x14ac:dyDescent="0.2"/>
    <row r="1916" ht="12.75" hidden="1" x14ac:dyDescent="0.2"/>
    <row r="1917" ht="12.75" hidden="1" x14ac:dyDescent="0.2"/>
    <row r="1918" ht="12.75" hidden="1" x14ac:dyDescent="0.2"/>
    <row r="1919" ht="12.75" hidden="1" x14ac:dyDescent="0.2"/>
    <row r="1920" ht="12.75" hidden="1" x14ac:dyDescent="0.2"/>
    <row r="1921" ht="12.75" hidden="1" x14ac:dyDescent="0.2"/>
    <row r="1922" ht="12.75" hidden="1" x14ac:dyDescent="0.2"/>
    <row r="1923" ht="12.75" hidden="1" x14ac:dyDescent="0.2"/>
    <row r="1924" ht="12.75" hidden="1" x14ac:dyDescent="0.2"/>
    <row r="1925" ht="12.75" hidden="1" x14ac:dyDescent="0.2"/>
    <row r="1926" ht="12.75" hidden="1" x14ac:dyDescent="0.2"/>
    <row r="1927" ht="12.75" hidden="1" x14ac:dyDescent="0.2"/>
    <row r="1928" ht="12.75" hidden="1" x14ac:dyDescent="0.2"/>
    <row r="1929" ht="12.75" hidden="1" x14ac:dyDescent="0.2"/>
    <row r="1930" ht="12.75" hidden="1" x14ac:dyDescent="0.2"/>
    <row r="1931" ht="12.75" hidden="1" x14ac:dyDescent="0.2"/>
    <row r="1932" ht="12.75" hidden="1" x14ac:dyDescent="0.2"/>
    <row r="1933" ht="12.75" hidden="1" x14ac:dyDescent="0.2"/>
    <row r="1934" ht="12.75" hidden="1" x14ac:dyDescent="0.2"/>
    <row r="1935" ht="12.75" hidden="1" x14ac:dyDescent="0.2"/>
    <row r="1936" ht="12.75" hidden="1" x14ac:dyDescent="0.2"/>
    <row r="1937" ht="12.75" hidden="1" x14ac:dyDescent="0.2"/>
    <row r="1938" ht="12.75" hidden="1" x14ac:dyDescent="0.2"/>
    <row r="1939" ht="12.75" hidden="1" x14ac:dyDescent="0.2"/>
    <row r="1940" ht="12.75" hidden="1" x14ac:dyDescent="0.2"/>
    <row r="1941" ht="12.75" hidden="1" x14ac:dyDescent="0.2"/>
    <row r="1942" ht="12.75" hidden="1" x14ac:dyDescent="0.2"/>
    <row r="1943" ht="12.75" hidden="1" x14ac:dyDescent="0.2"/>
    <row r="1944" ht="12.75" hidden="1" x14ac:dyDescent="0.2"/>
    <row r="1945" ht="12.75" hidden="1" x14ac:dyDescent="0.2"/>
    <row r="1946" ht="12.75" hidden="1" x14ac:dyDescent="0.2"/>
    <row r="1947" ht="12.75" hidden="1" x14ac:dyDescent="0.2"/>
    <row r="1948" ht="12.75" hidden="1" x14ac:dyDescent="0.2"/>
    <row r="1949" ht="12.75" hidden="1" x14ac:dyDescent="0.2"/>
    <row r="1950" ht="12.75" hidden="1" x14ac:dyDescent="0.2"/>
    <row r="1951" ht="12.75" hidden="1" x14ac:dyDescent="0.2"/>
    <row r="1952" ht="12.75" hidden="1" x14ac:dyDescent="0.2"/>
    <row r="1953" ht="12.75" hidden="1" x14ac:dyDescent="0.2"/>
    <row r="1954" ht="12.75" hidden="1" x14ac:dyDescent="0.2"/>
    <row r="1955" ht="12.75" hidden="1" x14ac:dyDescent="0.2"/>
    <row r="1956" ht="12.75" hidden="1" x14ac:dyDescent="0.2"/>
    <row r="1957" ht="12.75" hidden="1" x14ac:dyDescent="0.2"/>
    <row r="1958" ht="12.75" hidden="1" x14ac:dyDescent="0.2"/>
    <row r="1959" ht="12.75" hidden="1" x14ac:dyDescent="0.2"/>
    <row r="1960" ht="12.75" hidden="1" x14ac:dyDescent="0.2"/>
    <row r="1961" ht="12.75" hidden="1" x14ac:dyDescent="0.2"/>
    <row r="1962" ht="12.75" hidden="1" x14ac:dyDescent="0.2"/>
    <row r="1963" ht="12.75" hidden="1" x14ac:dyDescent="0.2"/>
    <row r="1964" ht="12.75" hidden="1" x14ac:dyDescent="0.2"/>
    <row r="1965" ht="12.75" hidden="1" x14ac:dyDescent="0.2"/>
    <row r="1966" ht="12.75" hidden="1" x14ac:dyDescent="0.2"/>
    <row r="1967" ht="12.75" hidden="1" x14ac:dyDescent="0.2"/>
    <row r="1968" ht="12.75" hidden="1" x14ac:dyDescent="0.2"/>
    <row r="1969" ht="12.75" hidden="1" x14ac:dyDescent="0.2"/>
    <row r="1970" ht="12.75" hidden="1" x14ac:dyDescent="0.2"/>
    <row r="1971" ht="12.75" hidden="1" x14ac:dyDescent="0.2"/>
    <row r="1972" ht="12.75" hidden="1" x14ac:dyDescent="0.2"/>
    <row r="1973" ht="12.75" hidden="1" x14ac:dyDescent="0.2"/>
    <row r="1974" ht="12.75" hidden="1" x14ac:dyDescent="0.2"/>
    <row r="1975" ht="12.75" hidden="1" x14ac:dyDescent="0.2"/>
    <row r="1976" ht="12.75" hidden="1" x14ac:dyDescent="0.2"/>
    <row r="1977" ht="12.75" hidden="1" x14ac:dyDescent="0.2"/>
    <row r="1978" ht="12.75" hidden="1" x14ac:dyDescent="0.2"/>
    <row r="1979" ht="12.75" hidden="1" x14ac:dyDescent="0.2"/>
    <row r="1980" ht="12.75" hidden="1" x14ac:dyDescent="0.2"/>
    <row r="1981" ht="12.75" hidden="1" x14ac:dyDescent="0.2"/>
    <row r="1982" ht="12.75" hidden="1" x14ac:dyDescent="0.2"/>
    <row r="1983" ht="12.75" hidden="1" x14ac:dyDescent="0.2"/>
    <row r="1984" ht="12.75" hidden="1" x14ac:dyDescent="0.2"/>
    <row r="1985" ht="12.75" hidden="1" x14ac:dyDescent="0.2"/>
    <row r="1986" ht="12.75" hidden="1" x14ac:dyDescent="0.2"/>
    <row r="1987" ht="12.75" hidden="1" x14ac:dyDescent="0.2"/>
    <row r="1988" ht="12.75" hidden="1" x14ac:dyDescent="0.2"/>
    <row r="1989" ht="12.75" hidden="1" x14ac:dyDescent="0.2"/>
    <row r="1990" ht="12.75" hidden="1" x14ac:dyDescent="0.2"/>
    <row r="1991" ht="12.75" hidden="1" x14ac:dyDescent="0.2"/>
    <row r="1992" ht="12.75" hidden="1" x14ac:dyDescent="0.2"/>
    <row r="1993" ht="12.75" hidden="1" x14ac:dyDescent="0.2"/>
    <row r="1994" ht="12.75" hidden="1" x14ac:dyDescent="0.2"/>
    <row r="1995" ht="12.75" hidden="1" x14ac:dyDescent="0.2"/>
    <row r="1996" ht="12.75" hidden="1" x14ac:dyDescent="0.2"/>
    <row r="1997" ht="12.75" hidden="1" x14ac:dyDescent="0.2"/>
    <row r="1998" ht="12.75" hidden="1" x14ac:dyDescent="0.2"/>
    <row r="1999" ht="12.75" hidden="1" x14ac:dyDescent="0.2"/>
    <row r="2000" ht="12.75" hidden="1" x14ac:dyDescent="0.2"/>
    <row r="2001" ht="12.75" hidden="1" x14ac:dyDescent="0.2"/>
    <row r="2002" ht="12.75" hidden="1" x14ac:dyDescent="0.2"/>
    <row r="2003" ht="12.75" hidden="1" x14ac:dyDescent="0.2"/>
    <row r="2004" ht="12.75" hidden="1" x14ac:dyDescent="0.2"/>
    <row r="2005" ht="12.75" hidden="1" x14ac:dyDescent="0.2"/>
    <row r="2006" ht="12.75" hidden="1" x14ac:dyDescent="0.2"/>
    <row r="2007" ht="12.75" hidden="1" x14ac:dyDescent="0.2"/>
    <row r="2008" ht="12.75" hidden="1" x14ac:dyDescent="0.2"/>
    <row r="2009" ht="12.75" hidden="1" x14ac:dyDescent="0.2"/>
    <row r="2010" ht="12.75" hidden="1" x14ac:dyDescent="0.2"/>
    <row r="2011" ht="12.75" hidden="1" x14ac:dyDescent="0.2"/>
    <row r="2012" ht="12.75" hidden="1" x14ac:dyDescent="0.2"/>
    <row r="2013" ht="12.75" hidden="1" x14ac:dyDescent="0.2"/>
    <row r="2014" ht="12.75" hidden="1" x14ac:dyDescent="0.2"/>
    <row r="2015" ht="12.75" hidden="1" x14ac:dyDescent="0.2"/>
    <row r="2016" ht="12.75" hidden="1" x14ac:dyDescent="0.2"/>
    <row r="2017" ht="12.75" hidden="1" x14ac:dyDescent="0.2"/>
    <row r="2018" ht="12.75" hidden="1" x14ac:dyDescent="0.2"/>
    <row r="2019" ht="12.75" hidden="1" x14ac:dyDescent="0.2"/>
    <row r="2020" ht="12.75" hidden="1" x14ac:dyDescent="0.2"/>
    <row r="2021" ht="12.75" hidden="1" x14ac:dyDescent="0.2"/>
    <row r="2022" ht="12.75" hidden="1" x14ac:dyDescent="0.2"/>
    <row r="2023" ht="12.75" hidden="1" x14ac:dyDescent="0.2"/>
    <row r="2024" ht="12.75" hidden="1" x14ac:dyDescent="0.2"/>
    <row r="2025" ht="12.75" hidden="1" x14ac:dyDescent="0.2"/>
    <row r="2026" ht="12.75" hidden="1" x14ac:dyDescent="0.2"/>
    <row r="2027" ht="12.75" hidden="1" x14ac:dyDescent="0.2"/>
    <row r="2028" ht="12.75" hidden="1" x14ac:dyDescent="0.2"/>
    <row r="2029" ht="12.75" hidden="1" x14ac:dyDescent="0.2"/>
    <row r="2030" ht="12.75" hidden="1" x14ac:dyDescent="0.2"/>
    <row r="2031" ht="12.75" hidden="1" x14ac:dyDescent="0.2"/>
    <row r="2032" ht="12.75" hidden="1" x14ac:dyDescent="0.2"/>
    <row r="2033" ht="12.75" hidden="1" x14ac:dyDescent="0.2"/>
    <row r="2034" ht="12.75" hidden="1" x14ac:dyDescent="0.2"/>
    <row r="2035" ht="12.75" hidden="1" x14ac:dyDescent="0.2"/>
    <row r="2036" ht="12.75" hidden="1" x14ac:dyDescent="0.2"/>
    <row r="2037" ht="12.75" hidden="1" x14ac:dyDescent="0.2"/>
    <row r="2038" ht="12.75" hidden="1" x14ac:dyDescent="0.2"/>
    <row r="2039" ht="12.75" hidden="1" x14ac:dyDescent="0.2"/>
    <row r="2040" ht="12.75" hidden="1" x14ac:dyDescent="0.2"/>
    <row r="2041" ht="12.75" hidden="1" x14ac:dyDescent="0.2"/>
    <row r="2042" ht="12.75" hidden="1" x14ac:dyDescent="0.2"/>
    <row r="2043" ht="12.75" hidden="1" x14ac:dyDescent="0.2"/>
    <row r="2044" ht="12.75" hidden="1" x14ac:dyDescent="0.2"/>
    <row r="2045" ht="12.75" hidden="1" x14ac:dyDescent="0.2"/>
    <row r="2046" ht="12.75" hidden="1" x14ac:dyDescent="0.2"/>
    <row r="2047" ht="12.75" hidden="1" x14ac:dyDescent="0.2"/>
    <row r="2048" ht="12.75" hidden="1" x14ac:dyDescent="0.2"/>
    <row r="2049" ht="12.75" hidden="1" x14ac:dyDescent="0.2"/>
    <row r="2050" ht="12.75" hidden="1" x14ac:dyDescent="0.2"/>
    <row r="2051" ht="12.75" hidden="1" x14ac:dyDescent="0.2"/>
    <row r="2052" ht="12.75" hidden="1" x14ac:dyDescent="0.2"/>
    <row r="2053" ht="12.75" hidden="1" x14ac:dyDescent="0.2"/>
    <row r="2054" ht="12.75" hidden="1" x14ac:dyDescent="0.2"/>
    <row r="2055" ht="12.75" hidden="1" x14ac:dyDescent="0.2"/>
    <row r="2056" ht="12.75" hidden="1" x14ac:dyDescent="0.2"/>
    <row r="2057" ht="12.75" hidden="1" x14ac:dyDescent="0.2"/>
    <row r="2058" ht="12.75" hidden="1" x14ac:dyDescent="0.2"/>
    <row r="2059" ht="12.75" hidden="1" x14ac:dyDescent="0.2"/>
    <row r="2060" ht="12.75" hidden="1" x14ac:dyDescent="0.2"/>
    <row r="2061" ht="12.75" hidden="1" x14ac:dyDescent="0.2"/>
    <row r="2062" ht="12.75" hidden="1" x14ac:dyDescent="0.2"/>
    <row r="2063" ht="12.75" hidden="1" x14ac:dyDescent="0.2"/>
    <row r="2064" ht="12.75" hidden="1" x14ac:dyDescent="0.2"/>
    <row r="2065" ht="12.75" hidden="1" x14ac:dyDescent="0.2"/>
    <row r="2066" ht="12.75" hidden="1" x14ac:dyDescent="0.2"/>
    <row r="2067" ht="12.75" hidden="1" x14ac:dyDescent="0.2"/>
    <row r="2068" ht="12.75" hidden="1" x14ac:dyDescent="0.2"/>
    <row r="2069" ht="12.75" hidden="1" x14ac:dyDescent="0.2"/>
    <row r="2070" ht="12.75" hidden="1" x14ac:dyDescent="0.2"/>
    <row r="2071" ht="12.75" hidden="1" x14ac:dyDescent="0.2"/>
    <row r="2072" ht="12.75" hidden="1" x14ac:dyDescent="0.2"/>
    <row r="2073" ht="12.75" hidden="1" x14ac:dyDescent="0.2"/>
    <row r="2074" ht="12.75" hidden="1" x14ac:dyDescent="0.2"/>
    <row r="2075" ht="12.75" hidden="1" x14ac:dyDescent="0.2"/>
    <row r="2076" ht="12.75" hidden="1" x14ac:dyDescent="0.2"/>
    <row r="2077" ht="12.75" hidden="1" x14ac:dyDescent="0.2"/>
    <row r="2078" ht="12.75" hidden="1" x14ac:dyDescent="0.2"/>
    <row r="2079" ht="12.75" hidden="1" x14ac:dyDescent="0.2"/>
    <row r="2080" ht="12.75" hidden="1" x14ac:dyDescent="0.2"/>
    <row r="2081" ht="12.75" hidden="1" x14ac:dyDescent="0.2"/>
    <row r="2082" ht="12.75" hidden="1" x14ac:dyDescent="0.2"/>
    <row r="2083" ht="12.75" hidden="1" x14ac:dyDescent="0.2"/>
    <row r="2084" ht="12.75" hidden="1" x14ac:dyDescent="0.2"/>
    <row r="2085" ht="12.75" hidden="1" x14ac:dyDescent="0.2"/>
    <row r="2086" ht="12.75" hidden="1" x14ac:dyDescent="0.2"/>
    <row r="2087" ht="12.75" hidden="1" x14ac:dyDescent="0.2"/>
    <row r="2088" ht="12.75" hidden="1" x14ac:dyDescent="0.2"/>
    <row r="2089" ht="12.75" hidden="1" x14ac:dyDescent="0.2"/>
    <row r="2090" ht="12.75" hidden="1" x14ac:dyDescent="0.2"/>
    <row r="2091" ht="12.75" hidden="1" x14ac:dyDescent="0.2"/>
    <row r="2092" ht="12.75" hidden="1" x14ac:dyDescent="0.2"/>
    <row r="2093" ht="12.75" hidden="1" x14ac:dyDescent="0.2"/>
    <row r="2094" ht="12.75" hidden="1" x14ac:dyDescent="0.2"/>
    <row r="2095" ht="12.75" hidden="1" x14ac:dyDescent="0.2"/>
    <row r="2096" ht="12.75" hidden="1" x14ac:dyDescent="0.2"/>
    <row r="2097" ht="12.75" hidden="1" x14ac:dyDescent="0.2"/>
    <row r="2098" ht="12.75" hidden="1" x14ac:dyDescent="0.2"/>
    <row r="2099" ht="12.75" hidden="1" x14ac:dyDescent="0.2"/>
    <row r="2100" ht="12.75" hidden="1" x14ac:dyDescent="0.2"/>
    <row r="2101" ht="12.75" hidden="1" x14ac:dyDescent="0.2"/>
    <row r="2102" ht="12.75" hidden="1" x14ac:dyDescent="0.2"/>
    <row r="2103" ht="12.75" hidden="1" x14ac:dyDescent="0.2"/>
    <row r="2104" ht="12.75" hidden="1" x14ac:dyDescent="0.2"/>
    <row r="2105" ht="12.75" hidden="1" x14ac:dyDescent="0.2"/>
    <row r="2106" ht="12.75" hidden="1" x14ac:dyDescent="0.2"/>
    <row r="2107" ht="12.75" hidden="1" x14ac:dyDescent="0.2"/>
    <row r="2108" ht="12.75" hidden="1" x14ac:dyDescent="0.2"/>
    <row r="2109" ht="12.75" hidden="1" x14ac:dyDescent="0.2"/>
    <row r="2110" ht="12.75" hidden="1" x14ac:dyDescent="0.2"/>
    <row r="2111" ht="12.75" hidden="1" x14ac:dyDescent="0.2"/>
    <row r="2112" ht="12.75" hidden="1" x14ac:dyDescent="0.2"/>
    <row r="2113" ht="12.75" hidden="1" x14ac:dyDescent="0.2"/>
    <row r="2114" ht="12.75" hidden="1" x14ac:dyDescent="0.2"/>
    <row r="2115" ht="12.75" hidden="1" x14ac:dyDescent="0.2"/>
    <row r="2116" ht="12.75" hidden="1" x14ac:dyDescent="0.2"/>
    <row r="2117" ht="12.75" hidden="1" x14ac:dyDescent="0.2"/>
    <row r="2118" ht="12.75" hidden="1" x14ac:dyDescent="0.2"/>
    <row r="2119" ht="12.75" hidden="1" x14ac:dyDescent="0.2"/>
    <row r="2120" ht="12.75" hidden="1" x14ac:dyDescent="0.2"/>
    <row r="2121" ht="12.75" hidden="1" x14ac:dyDescent="0.2"/>
    <row r="2122" ht="12.75" hidden="1" x14ac:dyDescent="0.2"/>
    <row r="2123" ht="12.75" hidden="1" x14ac:dyDescent="0.2"/>
    <row r="2124" ht="12.75" hidden="1" x14ac:dyDescent="0.2"/>
    <row r="2125" ht="12.75" hidden="1" x14ac:dyDescent="0.2"/>
    <row r="2126" ht="12.75" hidden="1" x14ac:dyDescent="0.2"/>
    <row r="2127" ht="12.75" hidden="1" x14ac:dyDescent="0.2"/>
    <row r="2128" ht="12.75" hidden="1" x14ac:dyDescent="0.2"/>
    <row r="2129" ht="12.75" hidden="1" x14ac:dyDescent="0.2"/>
    <row r="2130" ht="12.75" hidden="1" x14ac:dyDescent="0.2"/>
    <row r="2131" ht="12.75" hidden="1" x14ac:dyDescent="0.2"/>
    <row r="2132" ht="12.75" hidden="1" x14ac:dyDescent="0.2"/>
    <row r="2133" ht="12.75" hidden="1" x14ac:dyDescent="0.2"/>
    <row r="2134" ht="12.75" hidden="1" x14ac:dyDescent="0.2"/>
    <row r="2135" ht="12.75" hidden="1" x14ac:dyDescent="0.2"/>
    <row r="2136" ht="12.75" hidden="1" x14ac:dyDescent="0.2"/>
    <row r="2137" ht="12.75" hidden="1" x14ac:dyDescent="0.2"/>
    <row r="2138" ht="12.75" hidden="1" x14ac:dyDescent="0.2"/>
    <row r="2139" ht="12.75" hidden="1" x14ac:dyDescent="0.2"/>
    <row r="2140" ht="12.75" hidden="1" x14ac:dyDescent="0.2"/>
    <row r="2141" ht="12.75" hidden="1" x14ac:dyDescent="0.2"/>
    <row r="2142" ht="12.75" hidden="1" x14ac:dyDescent="0.2"/>
    <row r="2143" ht="12.75" hidden="1" x14ac:dyDescent="0.2"/>
    <row r="2144" ht="12.75" hidden="1" x14ac:dyDescent="0.2"/>
    <row r="2145" ht="12.75" hidden="1" x14ac:dyDescent="0.2"/>
    <row r="2146" ht="12.75" hidden="1" x14ac:dyDescent="0.2"/>
    <row r="2147" ht="12.75" hidden="1" x14ac:dyDescent="0.2"/>
    <row r="2148" ht="12.75" hidden="1" x14ac:dyDescent="0.2"/>
    <row r="2149" ht="12.75" hidden="1" x14ac:dyDescent="0.2"/>
    <row r="2150" ht="12.75" hidden="1" x14ac:dyDescent="0.2"/>
    <row r="2151" ht="12.75" hidden="1" x14ac:dyDescent="0.2"/>
    <row r="2152" ht="12.75" hidden="1" x14ac:dyDescent="0.2"/>
    <row r="2153" ht="12.75" hidden="1" x14ac:dyDescent="0.2"/>
    <row r="2154" ht="12.75" hidden="1" x14ac:dyDescent="0.2"/>
    <row r="2155" ht="12.75" hidden="1" x14ac:dyDescent="0.2"/>
    <row r="2156" ht="12.75" hidden="1" x14ac:dyDescent="0.2"/>
    <row r="2157" ht="12.75" hidden="1" x14ac:dyDescent="0.2"/>
    <row r="2158" ht="12.75" hidden="1" x14ac:dyDescent="0.2"/>
    <row r="2159" ht="12.75" hidden="1" x14ac:dyDescent="0.2"/>
    <row r="2160" ht="12.75" hidden="1" x14ac:dyDescent="0.2"/>
    <row r="2161" ht="12.75" hidden="1" x14ac:dyDescent="0.2"/>
    <row r="2162" ht="12.75" hidden="1" x14ac:dyDescent="0.2"/>
    <row r="2163" ht="12.75" hidden="1" x14ac:dyDescent="0.2"/>
    <row r="2164" ht="12.75" hidden="1" x14ac:dyDescent="0.2"/>
    <row r="2165" ht="12.75" hidden="1" x14ac:dyDescent="0.2"/>
    <row r="2166" ht="12.75" hidden="1" x14ac:dyDescent="0.2"/>
    <row r="2167" ht="12.75" hidden="1" x14ac:dyDescent="0.2"/>
    <row r="2168" ht="12.75" hidden="1" x14ac:dyDescent="0.2"/>
    <row r="2169" ht="12.75" hidden="1" x14ac:dyDescent="0.2"/>
    <row r="2170" ht="12.75" hidden="1" x14ac:dyDescent="0.2"/>
    <row r="2171" ht="12.75" hidden="1" x14ac:dyDescent="0.2"/>
    <row r="2172" ht="12.75" hidden="1" x14ac:dyDescent="0.2"/>
    <row r="2173" ht="12.75" hidden="1" x14ac:dyDescent="0.2"/>
    <row r="2174" ht="12.75" hidden="1" x14ac:dyDescent="0.2"/>
    <row r="2175" ht="12.75" hidden="1" x14ac:dyDescent="0.2"/>
    <row r="2176" ht="12.75" hidden="1" x14ac:dyDescent="0.2"/>
    <row r="2177" ht="12.75" hidden="1" x14ac:dyDescent="0.2"/>
    <row r="2178" ht="12.75" hidden="1" x14ac:dyDescent="0.2"/>
    <row r="2179" ht="12.75" hidden="1" x14ac:dyDescent="0.2"/>
    <row r="2180" ht="12.75" hidden="1" x14ac:dyDescent="0.2"/>
    <row r="2181" ht="12.75" hidden="1" x14ac:dyDescent="0.2"/>
    <row r="2182" ht="12.75" hidden="1" x14ac:dyDescent="0.2"/>
    <row r="2183" ht="12.75" hidden="1" x14ac:dyDescent="0.2"/>
    <row r="2184" ht="12.75" hidden="1" x14ac:dyDescent="0.2"/>
    <row r="2185" ht="12.75" hidden="1" x14ac:dyDescent="0.2"/>
    <row r="2186" ht="12.75" hidden="1" x14ac:dyDescent="0.2"/>
    <row r="2187" ht="12.75" hidden="1" x14ac:dyDescent="0.2"/>
    <row r="2188" ht="12.75" hidden="1" x14ac:dyDescent="0.2"/>
    <row r="2189" ht="12.75" hidden="1" x14ac:dyDescent="0.2"/>
    <row r="2190" ht="12.75" hidden="1" x14ac:dyDescent="0.2"/>
    <row r="2191" ht="12.75" hidden="1" x14ac:dyDescent="0.2"/>
    <row r="2192" ht="12.75" hidden="1" x14ac:dyDescent="0.2"/>
    <row r="2193" ht="12.75" hidden="1" x14ac:dyDescent="0.2"/>
    <row r="2194" ht="12.75" hidden="1" x14ac:dyDescent="0.2"/>
    <row r="2195" ht="12.75" hidden="1" x14ac:dyDescent="0.2"/>
    <row r="2196" ht="12.75" hidden="1" x14ac:dyDescent="0.2"/>
    <row r="2197" ht="12.75" hidden="1" x14ac:dyDescent="0.2"/>
    <row r="2198" ht="12.75" hidden="1" x14ac:dyDescent="0.2"/>
    <row r="2199" ht="12.75" hidden="1" x14ac:dyDescent="0.2"/>
    <row r="2200" ht="12.75" hidden="1" x14ac:dyDescent="0.2"/>
    <row r="2201" ht="12.75" hidden="1" x14ac:dyDescent="0.2"/>
    <row r="2202" ht="12.75" hidden="1" x14ac:dyDescent="0.2"/>
    <row r="2203" ht="12.75" hidden="1" x14ac:dyDescent="0.2"/>
    <row r="2204" ht="12.75" hidden="1" x14ac:dyDescent="0.2"/>
    <row r="2205" ht="12.75" hidden="1" x14ac:dyDescent="0.2"/>
    <row r="2206" ht="12.75" hidden="1" x14ac:dyDescent="0.2"/>
    <row r="2207" ht="12.75" hidden="1" x14ac:dyDescent="0.2"/>
    <row r="2208" ht="12.75" hidden="1" x14ac:dyDescent="0.2"/>
    <row r="2209" ht="12.75" hidden="1" x14ac:dyDescent="0.2"/>
    <row r="2210" ht="12.75" hidden="1" x14ac:dyDescent="0.2"/>
    <row r="2211" ht="12.75" hidden="1" x14ac:dyDescent="0.2"/>
    <row r="2212" ht="12.75" hidden="1" x14ac:dyDescent="0.2"/>
    <row r="2213" ht="12.75" hidden="1" x14ac:dyDescent="0.2"/>
    <row r="2214" ht="12.75" hidden="1" x14ac:dyDescent="0.2"/>
    <row r="2215" ht="12.75" hidden="1" x14ac:dyDescent="0.2"/>
    <row r="2216" ht="12.75" hidden="1" x14ac:dyDescent="0.2"/>
    <row r="2217" ht="12.75" hidden="1" x14ac:dyDescent="0.2"/>
    <row r="2218" ht="12.75" hidden="1" x14ac:dyDescent="0.2"/>
    <row r="2219" ht="12.75" hidden="1" x14ac:dyDescent="0.2"/>
    <row r="2220" ht="12.75" hidden="1" x14ac:dyDescent="0.2"/>
    <row r="2221" ht="12.75" hidden="1" x14ac:dyDescent="0.2"/>
    <row r="2222" ht="12.75" hidden="1" x14ac:dyDescent="0.2"/>
    <row r="2223" ht="12.75" hidden="1" x14ac:dyDescent="0.2"/>
    <row r="2224" ht="12.75" hidden="1" x14ac:dyDescent="0.2"/>
    <row r="2225" ht="12.75" hidden="1" x14ac:dyDescent="0.2"/>
    <row r="2226" ht="12.75" hidden="1" x14ac:dyDescent="0.2"/>
    <row r="2227" ht="12.75" hidden="1" x14ac:dyDescent="0.2"/>
    <row r="2228" ht="12.75" hidden="1" x14ac:dyDescent="0.2"/>
    <row r="2229" ht="12.75" hidden="1" x14ac:dyDescent="0.2"/>
    <row r="2230" ht="12.75" hidden="1" x14ac:dyDescent="0.2"/>
    <row r="2231" ht="12.75" hidden="1" x14ac:dyDescent="0.2"/>
    <row r="2232" ht="12.75" hidden="1" x14ac:dyDescent="0.2"/>
    <row r="2233" ht="12.75" hidden="1" x14ac:dyDescent="0.2"/>
    <row r="2234" ht="12.75" hidden="1" x14ac:dyDescent="0.2"/>
    <row r="2235" ht="12.75" hidden="1" x14ac:dyDescent="0.2"/>
    <row r="2236" ht="12.75" hidden="1" x14ac:dyDescent="0.2"/>
    <row r="2237" ht="12.75" hidden="1" x14ac:dyDescent="0.2"/>
    <row r="2238" ht="12.75" hidden="1" x14ac:dyDescent="0.2"/>
    <row r="2239" ht="12.75" hidden="1" x14ac:dyDescent="0.2"/>
    <row r="2240" ht="12.75" hidden="1" x14ac:dyDescent="0.2"/>
    <row r="2241" ht="12.75" hidden="1" x14ac:dyDescent="0.2"/>
    <row r="2242" ht="12.75" hidden="1" x14ac:dyDescent="0.2"/>
    <row r="2243" ht="12.75" hidden="1" x14ac:dyDescent="0.2"/>
    <row r="2244" ht="12.75" hidden="1" x14ac:dyDescent="0.2"/>
    <row r="2245" ht="12.75" hidden="1" x14ac:dyDescent="0.2"/>
    <row r="2246" ht="12.75" hidden="1" x14ac:dyDescent="0.2"/>
    <row r="2247" ht="12.75" hidden="1" x14ac:dyDescent="0.2"/>
    <row r="2248" ht="12.75" hidden="1" x14ac:dyDescent="0.2"/>
    <row r="2249" ht="12.75" hidden="1" x14ac:dyDescent="0.2"/>
    <row r="2250" ht="12.75" hidden="1" x14ac:dyDescent="0.2"/>
    <row r="2251" ht="12.75" hidden="1" x14ac:dyDescent="0.2"/>
    <row r="2252" ht="12.75" hidden="1" x14ac:dyDescent="0.2"/>
    <row r="2253" ht="12.75" hidden="1" x14ac:dyDescent="0.2"/>
    <row r="2254" ht="12.75" hidden="1" x14ac:dyDescent="0.2"/>
    <row r="2255" ht="12.75" hidden="1" x14ac:dyDescent="0.2"/>
    <row r="2256" ht="12.75" hidden="1" x14ac:dyDescent="0.2"/>
    <row r="2257" ht="12.75" hidden="1" x14ac:dyDescent="0.2"/>
    <row r="2258" ht="12.75" hidden="1" x14ac:dyDescent="0.2"/>
    <row r="2259" ht="12.75" hidden="1" x14ac:dyDescent="0.2"/>
    <row r="2260" ht="12.75" hidden="1" x14ac:dyDescent="0.2"/>
    <row r="2261" ht="12.75" hidden="1" x14ac:dyDescent="0.2"/>
    <row r="2262" ht="12.75" hidden="1" x14ac:dyDescent="0.2"/>
    <row r="2263" ht="12.75" hidden="1" x14ac:dyDescent="0.2"/>
    <row r="2264" ht="12.75" hidden="1" x14ac:dyDescent="0.2"/>
    <row r="2265" ht="12.75" hidden="1" x14ac:dyDescent="0.2"/>
    <row r="2266" ht="12.75" hidden="1" x14ac:dyDescent="0.2"/>
    <row r="2267" ht="12.75" hidden="1" x14ac:dyDescent="0.2"/>
    <row r="2268" ht="12.75" hidden="1" x14ac:dyDescent="0.2"/>
    <row r="2269" ht="12.75" hidden="1" x14ac:dyDescent="0.2"/>
    <row r="2270" ht="12.75" hidden="1" x14ac:dyDescent="0.2"/>
    <row r="2271" ht="12.75" hidden="1" x14ac:dyDescent="0.2"/>
    <row r="2272" ht="12.75" hidden="1" x14ac:dyDescent="0.2"/>
    <row r="2273" ht="12.75" hidden="1" x14ac:dyDescent="0.2"/>
    <row r="2274" ht="12.75" hidden="1" x14ac:dyDescent="0.2"/>
    <row r="2275" ht="12.75" hidden="1" x14ac:dyDescent="0.2"/>
    <row r="2276" ht="12.75" hidden="1" x14ac:dyDescent="0.2"/>
    <row r="2277" ht="12.75" hidden="1" x14ac:dyDescent="0.2"/>
    <row r="2278" ht="12.75" hidden="1" x14ac:dyDescent="0.2"/>
    <row r="2279" ht="12.75" hidden="1" x14ac:dyDescent="0.2"/>
    <row r="2280" ht="12.75" hidden="1" x14ac:dyDescent="0.2"/>
    <row r="2281" ht="12.75" hidden="1" x14ac:dyDescent="0.2"/>
    <row r="2282" ht="12.75" hidden="1" x14ac:dyDescent="0.2"/>
    <row r="2283" ht="12.75" hidden="1" x14ac:dyDescent="0.2"/>
    <row r="2284" ht="12.75" hidden="1" x14ac:dyDescent="0.2"/>
    <row r="2285" ht="12.75" hidden="1" x14ac:dyDescent="0.2"/>
    <row r="2286" ht="12.75" hidden="1" x14ac:dyDescent="0.2"/>
    <row r="2287" ht="12.75" hidden="1" x14ac:dyDescent="0.2"/>
    <row r="2288" ht="12.75" hidden="1" x14ac:dyDescent="0.2"/>
    <row r="2289" ht="12.75" hidden="1" x14ac:dyDescent="0.2"/>
    <row r="2290" ht="12.75" hidden="1" x14ac:dyDescent="0.2"/>
    <row r="2291" ht="12.75" hidden="1" x14ac:dyDescent="0.2"/>
    <row r="2292" ht="12.75" hidden="1" x14ac:dyDescent="0.2"/>
    <row r="2293" ht="12.75" hidden="1" x14ac:dyDescent="0.2"/>
    <row r="2294" ht="12.75" hidden="1" x14ac:dyDescent="0.2"/>
    <row r="2295" ht="12.75" hidden="1" x14ac:dyDescent="0.2"/>
    <row r="2296" ht="12.75" hidden="1" x14ac:dyDescent="0.2"/>
    <row r="2297" ht="12.75" hidden="1" x14ac:dyDescent="0.2"/>
    <row r="2298" ht="12.75" hidden="1" x14ac:dyDescent="0.2"/>
    <row r="2299" ht="12.75" hidden="1" x14ac:dyDescent="0.2"/>
    <row r="2300" ht="12.75" hidden="1" x14ac:dyDescent="0.2"/>
    <row r="2301" ht="12.75" hidden="1" x14ac:dyDescent="0.2"/>
    <row r="2302" ht="12.75" hidden="1" x14ac:dyDescent="0.2"/>
    <row r="2303" ht="12.75" hidden="1" x14ac:dyDescent="0.2"/>
    <row r="2304" ht="12.75" hidden="1" x14ac:dyDescent="0.2"/>
    <row r="2305" ht="12.75" hidden="1" x14ac:dyDescent="0.2"/>
    <row r="2306" ht="12.75" hidden="1" x14ac:dyDescent="0.2"/>
    <row r="2307" ht="12.75" hidden="1" x14ac:dyDescent="0.2"/>
    <row r="2308" ht="12.75" hidden="1" x14ac:dyDescent="0.2"/>
    <row r="2309" ht="12.75" hidden="1" x14ac:dyDescent="0.2"/>
    <row r="2310" ht="12.75" hidden="1" x14ac:dyDescent="0.2"/>
    <row r="2311" ht="12.75" hidden="1" x14ac:dyDescent="0.2"/>
    <row r="2312" ht="12.75" hidden="1" x14ac:dyDescent="0.2"/>
    <row r="2313" ht="12.75" hidden="1" x14ac:dyDescent="0.2"/>
    <row r="2314" ht="12.75" hidden="1" x14ac:dyDescent="0.2"/>
    <row r="2315" ht="12.75" hidden="1" x14ac:dyDescent="0.2"/>
    <row r="2316" ht="12.75" hidden="1" x14ac:dyDescent="0.2"/>
    <row r="2317" ht="12.75" hidden="1" x14ac:dyDescent="0.2"/>
    <row r="2318" ht="12.75" hidden="1" x14ac:dyDescent="0.2"/>
    <row r="2319" ht="12.75" hidden="1" x14ac:dyDescent="0.2"/>
    <row r="2320" ht="12.75" hidden="1" x14ac:dyDescent="0.2"/>
    <row r="2321" ht="12.75" hidden="1" x14ac:dyDescent="0.2"/>
    <row r="2322" ht="12.75" hidden="1" x14ac:dyDescent="0.2"/>
    <row r="2323" ht="12.75" hidden="1" x14ac:dyDescent="0.2"/>
    <row r="2324" ht="12.75" hidden="1" x14ac:dyDescent="0.2"/>
    <row r="2325" ht="12.75" hidden="1" x14ac:dyDescent="0.2"/>
    <row r="2326" ht="12.75" hidden="1" x14ac:dyDescent="0.2"/>
    <row r="2327" ht="12.75" hidden="1" x14ac:dyDescent="0.2"/>
    <row r="2328" ht="12.75" hidden="1" x14ac:dyDescent="0.2"/>
    <row r="2329" ht="12.75" hidden="1" x14ac:dyDescent="0.2"/>
    <row r="2330" ht="12.75" hidden="1" x14ac:dyDescent="0.2"/>
    <row r="2331" ht="12.75" hidden="1" x14ac:dyDescent="0.2"/>
    <row r="2332" ht="12.75" hidden="1" x14ac:dyDescent="0.2"/>
    <row r="2333" ht="12.75" hidden="1" x14ac:dyDescent="0.2"/>
    <row r="2334" ht="12.75" hidden="1" x14ac:dyDescent="0.2"/>
    <row r="2335" ht="12.75" hidden="1" x14ac:dyDescent="0.2"/>
    <row r="2336" ht="12.75" hidden="1" x14ac:dyDescent="0.2"/>
    <row r="2337" ht="12.75" hidden="1" x14ac:dyDescent="0.2"/>
    <row r="2338" ht="12.75" hidden="1" x14ac:dyDescent="0.2"/>
    <row r="2339" ht="12.75" hidden="1" x14ac:dyDescent="0.2"/>
    <row r="2340" ht="12.75" hidden="1" x14ac:dyDescent="0.2"/>
    <row r="2341" ht="12.75" hidden="1" x14ac:dyDescent="0.2"/>
    <row r="2342" ht="12.75" hidden="1" x14ac:dyDescent="0.2"/>
    <row r="2343" ht="12.75" hidden="1" x14ac:dyDescent="0.2"/>
    <row r="2344" ht="12.75" hidden="1" x14ac:dyDescent="0.2"/>
    <row r="2345" ht="12.75" hidden="1" x14ac:dyDescent="0.2"/>
    <row r="2346" ht="12.75" hidden="1" x14ac:dyDescent="0.2"/>
    <row r="2347" ht="12.75" hidden="1" x14ac:dyDescent="0.2"/>
    <row r="2348" ht="12.75" hidden="1" x14ac:dyDescent="0.2"/>
    <row r="2349" ht="12.75" hidden="1" x14ac:dyDescent="0.2"/>
    <row r="2350" ht="12.75" hidden="1" x14ac:dyDescent="0.2"/>
    <row r="2351" ht="12.75" hidden="1" x14ac:dyDescent="0.2"/>
    <row r="2352" ht="12.75" hidden="1" x14ac:dyDescent="0.2"/>
    <row r="2353" ht="12.75" hidden="1" x14ac:dyDescent="0.2"/>
    <row r="2354" ht="12.75" hidden="1" x14ac:dyDescent="0.2"/>
    <row r="2355" ht="12.75" hidden="1" x14ac:dyDescent="0.2"/>
    <row r="2356" ht="12.75" hidden="1" x14ac:dyDescent="0.2"/>
    <row r="2357" ht="12.75" hidden="1" x14ac:dyDescent="0.2"/>
    <row r="2358" ht="12.75" hidden="1" x14ac:dyDescent="0.2"/>
    <row r="2359" ht="12.75" hidden="1" x14ac:dyDescent="0.2"/>
    <row r="2360" ht="12.75" hidden="1" x14ac:dyDescent="0.2"/>
    <row r="2361" ht="12.75" hidden="1" x14ac:dyDescent="0.2"/>
    <row r="2362" ht="12.75" hidden="1" x14ac:dyDescent="0.2"/>
    <row r="2363" ht="12.75" hidden="1" x14ac:dyDescent="0.2"/>
    <row r="2364" ht="12.75" hidden="1" x14ac:dyDescent="0.2"/>
    <row r="2365" ht="12.75" hidden="1" x14ac:dyDescent="0.2"/>
    <row r="2366" ht="12.75" hidden="1" x14ac:dyDescent="0.2"/>
    <row r="2367" ht="12.75" hidden="1" x14ac:dyDescent="0.2"/>
    <row r="2368" ht="12.75" hidden="1" x14ac:dyDescent="0.2"/>
    <row r="2369" ht="12.75" hidden="1" x14ac:dyDescent="0.2"/>
    <row r="2370" ht="12.75" hidden="1" x14ac:dyDescent="0.2"/>
    <row r="2371" ht="12.75" hidden="1" x14ac:dyDescent="0.2"/>
    <row r="2372" ht="12.75" hidden="1" x14ac:dyDescent="0.2"/>
    <row r="2373" ht="12.75" hidden="1" x14ac:dyDescent="0.2"/>
    <row r="2374" ht="12.75" hidden="1" x14ac:dyDescent="0.2"/>
    <row r="2375" ht="12.75" hidden="1" x14ac:dyDescent="0.2"/>
    <row r="2376" ht="12.75" hidden="1" x14ac:dyDescent="0.2"/>
    <row r="2377" ht="12.75" hidden="1" x14ac:dyDescent="0.2"/>
    <row r="2378" ht="12.75" hidden="1" x14ac:dyDescent="0.2"/>
    <row r="2379" ht="12.75" hidden="1" x14ac:dyDescent="0.2"/>
    <row r="2380" ht="12.75" hidden="1" x14ac:dyDescent="0.2"/>
    <row r="2381" ht="12.75" hidden="1" x14ac:dyDescent="0.2"/>
    <row r="2382" ht="12.75" hidden="1" x14ac:dyDescent="0.2"/>
    <row r="2383" ht="12.75" hidden="1" x14ac:dyDescent="0.2"/>
    <row r="2384" ht="12.75" hidden="1" x14ac:dyDescent="0.2"/>
    <row r="2385" ht="12.75" hidden="1" x14ac:dyDescent="0.2"/>
    <row r="2386" ht="12.75" hidden="1" x14ac:dyDescent="0.2"/>
    <row r="2387" ht="12.75" hidden="1" x14ac:dyDescent="0.2"/>
    <row r="2388" ht="12.75" hidden="1" x14ac:dyDescent="0.2"/>
    <row r="2389" ht="12.75" hidden="1" x14ac:dyDescent="0.2"/>
    <row r="2390" ht="12.75" hidden="1" x14ac:dyDescent="0.2"/>
    <row r="2391" ht="12.75" hidden="1" x14ac:dyDescent="0.2"/>
    <row r="2392" ht="12.75" hidden="1" x14ac:dyDescent="0.2"/>
    <row r="2393" ht="12.75" hidden="1" x14ac:dyDescent="0.2"/>
    <row r="2394" ht="12.75" hidden="1" x14ac:dyDescent="0.2"/>
    <row r="2395" ht="12.75" hidden="1" x14ac:dyDescent="0.2"/>
    <row r="2396" ht="12.75" hidden="1" x14ac:dyDescent="0.2"/>
    <row r="2397" ht="12.75" hidden="1" x14ac:dyDescent="0.2"/>
    <row r="2398" ht="12.75" hidden="1" x14ac:dyDescent="0.2"/>
    <row r="2399" ht="12.75" hidden="1" x14ac:dyDescent="0.2"/>
    <row r="2400" ht="12.75" hidden="1" x14ac:dyDescent="0.2"/>
    <row r="2401" ht="12.75" hidden="1" x14ac:dyDescent="0.2"/>
    <row r="2402" ht="12.75" hidden="1" x14ac:dyDescent="0.2"/>
    <row r="2403" ht="12.75" hidden="1" x14ac:dyDescent="0.2"/>
    <row r="2404" ht="12.75" hidden="1" x14ac:dyDescent="0.2"/>
    <row r="2405" ht="12.75" hidden="1" x14ac:dyDescent="0.2"/>
    <row r="2406" ht="12.75" hidden="1" x14ac:dyDescent="0.2"/>
    <row r="2407" ht="12.75" hidden="1" x14ac:dyDescent="0.2"/>
    <row r="2408" ht="12.75" hidden="1" x14ac:dyDescent="0.2"/>
    <row r="2409" ht="12.75" hidden="1" x14ac:dyDescent="0.2"/>
    <row r="2410" ht="12.75" hidden="1" x14ac:dyDescent="0.2"/>
    <row r="2411" ht="12.75" hidden="1" x14ac:dyDescent="0.2"/>
    <row r="2412" ht="12.75" hidden="1" x14ac:dyDescent="0.2"/>
    <row r="2413" ht="12.75" hidden="1" x14ac:dyDescent="0.2"/>
    <row r="2414" ht="12.75" hidden="1" x14ac:dyDescent="0.2"/>
    <row r="2415" ht="12.75" hidden="1" x14ac:dyDescent="0.2"/>
    <row r="2416" ht="12.75" hidden="1" x14ac:dyDescent="0.2"/>
    <row r="2417" ht="12.75" hidden="1" x14ac:dyDescent="0.2"/>
    <row r="2418" ht="12.75" hidden="1" x14ac:dyDescent="0.2"/>
    <row r="2419" ht="12.75" hidden="1" x14ac:dyDescent="0.2"/>
    <row r="2420" ht="12.75" hidden="1" x14ac:dyDescent="0.2"/>
    <row r="2421" ht="12.75" hidden="1" x14ac:dyDescent="0.2"/>
    <row r="2422" ht="12.75" hidden="1" x14ac:dyDescent="0.2"/>
    <row r="2423" ht="12.75" hidden="1" x14ac:dyDescent="0.2"/>
    <row r="2424" ht="12.75" hidden="1" x14ac:dyDescent="0.2"/>
    <row r="2425" ht="12.75" hidden="1" x14ac:dyDescent="0.2"/>
    <row r="2426" ht="12.75" hidden="1" x14ac:dyDescent="0.2"/>
    <row r="2427" ht="12.75" hidden="1" x14ac:dyDescent="0.2"/>
    <row r="2428" ht="12.75" hidden="1" x14ac:dyDescent="0.2"/>
    <row r="2429" ht="12.75" hidden="1" x14ac:dyDescent="0.2"/>
    <row r="2430" ht="12.75" hidden="1" x14ac:dyDescent="0.2"/>
    <row r="2431" ht="12.75" hidden="1" x14ac:dyDescent="0.2"/>
    <row r="2432" ht="12.75" hidden="1" x14ac:dyDescent="0.2"/>
    <row r="2433" ht="12.75" hidden="1" x14ac:dyDescent="0.2"/>
    <row r="2434" ht="12.75" hidden="1" x14ac:dyDescent="0.2"/>
    <row r="2435" ht="12.75" hidden="1" x14ac:dyDescent="0.2"/>
    <row r="2436" ht="12.75" hidden="1" x14ac:dyDescent="0.2"/>
    <row r="2437" ht="12.75" hidden="1" x14ac:dyDescent="0.2"/>
    <row r="2438" ht="12.75" hidden="1" x14ac:dyDescent="0.2"/>
    <row r="2439" ht="12.75" hidden="1" x14ac:dyDescent="0.2"/>
    <row r="2440" ht="12.75" hidden="1" x14ac:dyDescent="0.2"/>
    <row r="2441" ht="12.75" hidden="1" x14ac:dyDescent="0.2"/>
    <row r="2442" ht="12.75" hidden="1" x14ac:dyDescent="0.2"/>
    <row r="2443" ht="12.75" hidden="1" x14ac:dyDescent="0.2"/>
    <row r="2444" ht="12.75" hidden="1" x14ac:dyDescent="0.2"/>
    <row r="2445" ht="12.75" hidden="1" x14ac:dyDescent="0.2"/>
    <row r="2446" ht="12.75" hidden="1" x14ac:dyDescent="0.2"/>
    <row r="2447" ht="12.75" hidden="1" x14ac:dyDescent="0.2"/>
    <row r="2448" ht="12.75" hidden="1" x14ac:dyDescent="0.2"/>
    <row r="2449" ht="12.75" hidden="1" x14ac:dyDescent="0.2"/>
    <row r="2450" ht="12.75" hidden="1" x14ac:dyDescent="0.2"/>
    <row r="2451" ht="12.75" hidden="1" x14ac:dyDescent="0.2"/>
    <row r="2452" ht="12.75" hidden="1" x14ac:dyDescent="0.2"/>
    <row r="2453" ht="12.75" hidden="1" x14ac:dyDescent="0.2"/>
    <row r="2454" ht="12.75" hidden="1" x14ac:dyDescent="0.2"/>
    <row r="2455" ht="12.75" hidden="1" x14ac:dyDescent="0.2"/>
    <row r="2456" ht="12.75" hidden="1" x14ac:dyDescent="0.2"/>
    <row r="2457" ht="12.75" hidden="1" x14ac:dyDescent="0.2"/>
    <row r="2458" ht="12.75" hidden="1" x14ac:dyDescent="0.2"/>
    <row r="2459" ht="12.75" hidden="1" x14ac:dyDescent="0.2"/>
    <row r="2460" ht="12.75" hidden="1" x14ac:dyDescent="0.2"/>
    <row r="2461" ht="12.75" hidden="1" x14ac:dyDescent="0.2"/>
    <row r="2462" ht="12.75" hidden="1" x14ac:dyDescent="0.2"/>
    <row r="2463" ht="12.75" hidden="1" x14ac:dyDescent="0.2"/>
    <row r="2464" ht="12.75" hidden="1" x14ac:dyDescent="0.2"/>
    <row r="2465" ht="12.75" hidden="1" x14ac:dyDescent="0.2"/>
    <row r="2466" ht="12.75" hidden="1" x14ac:dyDescent="0.2"/>
    <row r="2467" ht="12.75" hidden="1" x14ac:dyDescent="0.2"/>
    <row r="2468" ht="12.75" hidden="1" x14ac:dyDescent="0.2"/>
    <row r="2469" ht="12.75" hidden="1" x14ac:dyDescent="0.2"/>
    <row r="2470" ht="12.75" hidden="1" x14ac:dyDescent="0.2"/>
    <row r="2471" ht="12.75" hidden="1" x14ac:dyDescent="0.2"/>
    <row r="2472" ht="12.75" hidden="1" x14ac:dyDescent="0.2"/>
    <row r="2473" ht="12.75" hidden="1" x14ac:dyDescent="0.2"/>
    <row r="2474" ht="12.75" hidden="1" x14ac:dyDescent="0.2"/>
    <row r="2475" ht="12.75" hidden="1" x14ac:dyDescent="0.2"/>
    <row r="2476" ht="12.75" hidden="1" x14ac:dyDescent="0.2"/>
    <row r="2477" ht="12.75" hidden="1" x14ac:dyDescent="0.2"/>
    <row r="2478" ht="12.75" hidden="1" x14ac:dyDescent="0.2"/>
    <row r="2479" ht="12.75" hidden="1" x14ac:dyDescent="0.2"/>
    <row r="2480" ht="12.75" hidden="1" x14ac:dyDescent="0.2"/>
    <row r="2481" ht="12.75" hidden="1" x14ac:dyDescent="0.2"/>
    <row r="2482" ht="12.75" hidden="1" x14ac:dyDescent="0.2"/>
    <row r="2483" ht="12.75" hidden="1" x14ac:dyDescent="0.2"/>
    <row r="2484" ht="12.75" hidden="1" x14ac:dyDescent="0.2"/>
    <row r="2485" ht="12.75" hidden="1" x14ac:dyDescent="0.2"/>
    <row r="2486" ht="12.75" hidden="1" x14ac:dyDescent="0.2"/>
    <row r="2487" ht="12.75" hidden="1" x14ac:dyDescent="0.2"/>
    <row r="2488" ht="12.75" hidden="1" x14ac:dyDescent="0.2"/>
    <row r="2489" ht="12.75" hidden="1" x14ac:dyDescent="0.2"/>
    <row r="2490" ht="12.75" hidden="1" x14ac:dyDescent="0.2"/>
    <row r="2491" ht="12.75" hidden="1" x14ac:dyDescent="0.2"/>
    <row r="2492" ht="12.75" hidden="1" x14ac:dyDescent="0.2"/>
    <row r="2493" ht="12.75" hidden="1" x14ac:dyDescent="0.2"/>
    <row r="2494" ht="12.75" hidden="1" x14ac:dyDescent="0.2"/>
    <row r="2495" ht="12.75" hidden="1" x14ac:dyDescent="0.2"/>
    <row r="2496" ht="12.75" hidden="1" x14ac:dyDescent="0.2"/>
    <row r="2497" ht="12.75" hidden="1" x14ac:dyDescent="0.2"/>
    <row r="2498" ht="12.75" hidden="1" x14ac:dyDescent="0.2"/>
    <row r="2499" ht="12.75" hidden="1" x14ac:dyDescent="0.2"/>
    <row r="2500" ht="12.75" hidden="1" x14ac:dyDescent="0.2"/>
    <row r="2501" ht="12.75" hidden="1" x14ac:dyDescent="0.2"/>
    <row r="2502" ht="12.75" hidden="1" x14ac:dyDescent="0.2"/>
    <row r="2503" ht="12.75" hidden="1" x14ac:dyDescent="0.2"/>
    <row r="2504" ht="12.75" hidden="1" x14ac:dyDescent="0.2"/>
    <row r="2505" ht="12.75" hidden="1" x14ac:dyDescent="0.2"/>
    <row r="2506" ht="12.75" hidden="1" x14ac:dyDescent="0.2"/>
    <row r="2507" ht="12.75" hidden="1" x14ac:dyDescent="0.2"/>
    <row r="2508" ht="12.75" hidden="1" x14ac:dyDescent="0.2"/>
    <row r="2509" ht="12.75" hidden="1" x14ac:dyDescent="0.2"/>
    <row r="2510" ht="12.75" hidden="1" x14ac:dyDescent="0.2"/>
    <row r="2511" ht="12.75" hidden="1" x14ac:dyDescent="0.2"/>
    <row r="2512" ht="12.75" hidden="1" x14ac:dyDescent="0.2"/>
    <row r="2513" ht="12.75" hidden="1" x14ac:dyDescent="0.2"/>
    <row r="2514" ht="12.75" hidden="1" x14ac:dyDescent="0.2"/>
    <row r="2515" ht="12.75" hidden="1" x14ac:dyDescent="0.2"/>
    <row r="2516" ht="12.75" hidden="1" x14ac:dyDescent="0.2"/>
    <row r="2517" ht="12.75" hidden="1" x14ac:dyDescent="0.2"/>
    <row r="2518" ht="12.75" hidden="1" x14ac:dyDescent="0.2"/>
    <row r="2519" ht="12.75" hidden="1" x14ac:dyDescent="0.2"/>
    <row r="2520" ht="12.75" hidden="1" x14ac:dyDescent="0.2"/>
    <row r="2521" ht="12.75" hidden="1" x14ac:dyDescent="0.2"/>
    <row r="2522" ht="12.75" hidden="1" x14ac:dyDescent="0.2"/>
    <row r="2523" ht="12.75" hidden="1" x14ac:dyDescent="0.2"/>
    <row r="2524" ht="12.75" hidden="1" x14ac:dyDescent="0.2"/>
    <row r="2525" ht="12.75" hidden="1" x14ac:dyDescent="0.2"/>
    <row r="2526" ht="12.75" hidden="1" x14ac:dyDescent="0.2"/>
    <row r="2527" ht="12.75" hidden="1" x14ac:dyDescent="0.2"/>
    <row r="2528" ht="12.75" hidden="1" x14ac:dyDescent="0.2"/>
    <row r="2529" ht="12.75" hidden="1" x14ac:dyDescent="0.2"/>
    <row r="2530" ht="12.75" hidden="1" x14ac:dyDescent="0.2"/>
    <row r="2531" ht="12.75" hidden="1" x14ac:dyDescent="0.2"/>
    <row r="2532" ht="12.75" hidden="1" x14ac:dyDescent="0.2"/>
    <row r="2533" ht="12.75" hidden="1" x14ac:dyDescent="0.2"/>
    <row r="2534" ht="12.75" hidden="1" x14ac:dyDescent="0.2"/>
    <row r="2535" ht="12.75" hidden="1" x14ac:dyDescent="0.2"/>
    <row r="2536" ht="12.75" hidden="1" x14ac:dyDescent="0.2"/>
    <row r="2537" ht="12.75" hidden="1" x14ac:dyDescent="0.2"/>
    <row r="2538" ht="12.75" hidden="1" x14ac:dyDescent="0.2"/>
    <row r="2539" ht="12.75" hidden="1" x14ac:dyDescent="0.2"/>
    <row r="2540" ht="12.75" hidden="1" x14ac:dyDescent="0.2"/>
    <row r="2541" ht="12.75" hidden="1" x14ac:dyDescent="0.2"/>
    <row r="2542" ht="12.75" hidden="1" x14ac:dyDescent="0.2"/>
    <row r="2543" ht="12.75" hidden="1" x14ac:dyDescent="0.2"/>
    <row r="2544" ht="12.75" hidden="1" x14ac:dyDescent="0.2"/>
    <row r="2545" ht="12.75" hidden="1" x14ac:dyDescent="0.2"/>
    <row r="2546" ht="12.75" hidden="1" x14ac:dyDescent="0.2"/>
    <row r="2547" ht="12.75" hidden="1" x14ac:dyDescent="0.2"/>
    <row r="2548" ht="12.75" hidden="1" x14ac:dyDescent="0.2"/>
    <row r="2549" ht="12.75" hidden="1" x14ac:dyDescent="0.2"/>
    <row r="2550" ht="12.75" hidden="1" x14ac:dyDescent="0.2"/>
    <row r="2551" ht="12.75" hidden="1" x14ac:dyDescent="0.2"/>
    <row r="2552" ht="12.75" hidden="1" x14ac:dyDescent="0.2"/>
    <row r="2553" ht="12.75" hidden="1" x14ac:dyDescent="0.2"/>
    <row r="2554" ht="12.75" hidden="1" x14ac:dyDescent="0.2"/>
    <row r="2555" ht="12.75" hidden="1" x14ac:dyDescent="0.2"/>
    <row r="2556" ht="12.75" hidden="1" x14ac:dyDescent="0.2"/>
    <row r="2557" ht="12.75" hidden="1" x14ac:dyDescent="0.2"/>
    <row r="2558" ht="12.75" hidden="1" x14ac:dyDescent="0.2"/>
    <row r="2559" ht="12.75" hidden="1" x14ac:dyDescent="0.2"/>
    <row r="2560" ht="12.75" hidden="1" x14ac:dyDescent="0.2"/>
    <row r="2561" ht="12.75" hidden="1" x14ac:dyDescent="0.2"/>
    <row r="2562" ht="12.75" hidden="1" x14ac:dyDescent="0.2"/>
    <row r="2563" ht="12.75" hidden="1" x14ac:dyDescent="0.2"/>
    <row r="2564" ht="12.75" hidden="1" x14ac:dyDescent="0.2"/>
    <row r="2565" ht="12.75" hidden="1" x14ac:dyDescent="0.2"/>
    <row r="2566" ht="12.75" hidden="1" x14ac:dyDescent="0.2"/>
    <row r="2567" ht="12.75" hidden="1" x14ac:dyDescent="0.2"/>
    <row r="2568" ht="12.75" hidden="1" x14ac:dyDescent="0.2"/>
    <row r="2569" ht="12.75" hidden="1" x14ac:dyDescent="0.2"/>
    <row r="2570" ht="12.75" hidden="1" x14ac:dyDescent="0.2"/>
    <row r="2571" ht="12.75" hidden="1" x14ac:dyDescent="0.2"/>
    <row r="2572" ht="12.75" hidden="1" x14ac:dyDescent="0.2"/>
    <row r="2573" ht="12.75" hidden="1" x14ac:dyDescent="0.2"/>
    <row r="2574" ht="12.75" hidden="1" x14ac:dyDescent="0.2"/>
    <row r="2575" ht="12.75" hidden="1" x14ac:dyDescent="0.2"/>
    <row r="2576" ht="12.75" hidden="1" x14ac:dyDescent="0.2"/>
    <row r="2577" ht="12.75" hidden="1" x14ac:dyDescent="0.2"/>
    <row r="2578" ht="12.75" hidden="1" x14ac:dyDescent="0.2"/>
    <row r="2579" ht="12.75" hidden="1" x14ac:dyDescent="0.2"/>
    <row r="2580" ht="12.75" hidden="1" x14ac:dyDescent="0.2"/>
    <row r="2581" ht="12.75" hidden="1" x14ac:dyDescent="0.2"/>
    <row r="2582" ht="12.75" hidden="1" x14ac:dyDescent="0.2"/>
    <row r="2583" ht="12.75" hidden="1" x14ac:dyDescent="0.2"/>
    <row r="2584" ht="12.75" hidden="1" x14ac:dyDescent="0.2"/>
    <row r="2585" ht="12.75" hidden="1" x14ac:dyDescent="0.2"/>
    <row r="2586" ht="12.75" hidden="1" x14ac:dyDescent="0.2"/>
    <row r="2587" ht="12.75" hidden="1" x14ac:dyDescent="0.2"/>
    <row r="2588" ht="12.75" hidden="1" x14ac:dyDescent="0.2"/>
    <row r="2589" ht="12.75" hidden="1" x14ac:dyDescent="0.2"/>
    <row r="2590" ht="12.75" hidden="1" x14ac:dyDescent="0.2"/>
    <row r="2591" ht="12.75" hidden="1" x14ac:dyDescent="0.2"/>
    <row r="2592" ht="12.75" hidden="1" x14ac:dyDescent="0.2"/>
    <row r="2593" ht="12.75" hidden="1" x14ac:dyDescent="0.2"/>
    <row r="2594" ht="12.75" hidden="1" x14ac:dyDescent="0.2"/>
    <row r="2595" ht="12.75" hidden="1" x14ac:dyDescent="0.2"/>
    <row r="2596" ht="12.75" hidden="1" x14ac:dyDescent="0.2"/>
    <row r="2597" ht="12.75" hidden="1" x14ac:dyDescent="0.2"/>
    <row r="2598" ht="12.75" hidden="1" x14ac:dyDescent="0.2"/>
    <row r="2599" ht="12.75" hidden="1" x14ac:dyDescent="0.2"/>
    <row r="2600" ht="12.75" hidden="1" x14ac:dyDescent="0.2"/>
    <row r="2601" ht="12.75" hidden="1" x14ac:dyDescent="0.2"/>
    <row r="2602" ht="12.75" hidden="1" x14ac:dyDescent="0.2"/>
    <row r="2603" ht="12.75" hidden="1" x14ac:dyDescent="0.2"/>
    <row r="2604" ht="12.75" hidden="1" x14ac:dyDescent="0.2"/>
    <row r="2605" ht="12.75" hidden="1" x14ac:dyDescent="0.2"/>
    <row r="2606" ht="12.75" hidden="1" x14ac:dyDescent="0.2"/>
    <row r="2607" ht="12.75" hidden="1" x14ac:dyDescent="0.2"/>
    <row r="2608" ht="12.75" hidden="1" x14ac:dyDescent="0.2"/>
    <row r="2609" ht="12.75" hidden="1" x14ac:dyDescent="0.2"/>
    <row r="2610" ht="12.75" hidden="1" x14ac:dyDescent="0.2"/>
    <row r="2611" ht="12.75" hidden="1" x14ac:dyDescent="0.2"/>
    <row r="2612" ht="12.75" hidden="1" x14ac:dyDescent="0.2"/>
    <row r="2613" ht="12.75" hidden="1" x14ac:dyDescent="0.2"/>
    <row r="2614" ht="12.75" hidden="1" x14ac:dyDescent="0.2"/>
    <row r="2615" ht="12.75" hidden="1" x14ac:dyDescent="0.2"/>
    <row r="2616" ht="12.75" hidden="1" x14ac:dyDescent="0.2"/>
    <row r="2617" ht="12.75" hidden="1" x14ac:dyDescent="0.2"/>
    <row r="2618" ht="12.75" hidden="1" x14ac:dyDescent="0.2"/>
    <row r="2619" ht="12.75" hidden="1" x14ac:dyDescent="0.2"/>
    <row r="2620" ht="12.75" hidden="1" x14ac:dyDescent="0.2"/>
    <row r="2621" ht="12.75" hidden="1" x14ac:dyDescent="0.2"/>
    <row r="2622" ht="12.75" hidden="1" x14ac:dyDescent="0.2"/>
    <row r="2623" ht="12.75" hidden="1" x14ac:dyDescent="0.2"/>
    <row r="2624" ht="12.75" hidden="1" x14ac:dyDescent="0.2"/>
    <row r="2625" ht="12.75" hidden="1" x14ac:dyDescent="0.2"/>
    <row r="2626" ht="12.75" hidden="1" x14ac:dyDescent="0.2"/>
    <row r="2627" ht="12.75" hidden="1" x14ac:dyDescent="0.2"/>
    <row r="2628" ht="12.75" hidden="1" x14ac:dyDescent="0.2"/>
    <row r="2629" ht="12.75" hidden="1" x14ac:dyDescent="0.2"/>
    <row r="2630" ht="12.75" hidden="1" x14ac:dyDescent="0.2"/>
    <row r="2631" ht="12.75" hidden="1" x14ac:dyDescent="0.2"/>
    <row r="2632" ht="12.75" hidden="1" x14ac:dyDescent="0.2"/>
    <row r="2633" ht="12.75" hidden="1" x14ac:dyDescent="0.2"/>
    <row r="2634" ht="12.75" hidden="1" x14ac:dyDescent="0.2"/>
    <row r="2635" ht="12.75" hidden="1" x14ac:dyDescent="0.2"/>
    <row r="2636" ht="12.75" hidden="1" x14ac:dyDescent="0.2"/>
    <row r="2637" ht="12.75" hidden="1" x14ac:dyDescent="0.2"/>
    <row r="2638" ht="12.75" hidden="1" x14ac:dyDescent="0.2"/>
    <row r="2639" ht="12.75" hidden="1" x14ac:dyDescent="0.2"/>
    <row r="2640" ht="12.75" hidden="1" x14ac:dyDescent="0.2"/>
    <row r="2641" ht="12.75" hidden="1" x14ac:dyDescent="0.2"/>
    <row r="2642" ht="12.75" hidden="1" x14ac:dyDescent="0.2"/>
    <row r="2643" ht="12.75" hidden="1" x14ac:dyDescent="0.2"/>
    <row r="2644" ht="12.75" hidden="1" x14ac:dyDescent="0.2"/>
    <row r="2645" ht="12.75" hidden="1" x14ac:dyDescent="0.2"/>
    <row r="2646" ht="12.75" hidden="1" x14ac:dyDescent="0.2"/>
    <row r="2647" ht="12.75" hidden="1" x14ac:dyDescent="0.2"/>
    <row r="2648" ht="12.75" hidden="1" x14ac:dyDescent="0.2"/>
    <row r="2649" ht="12.75" hidden="1" x14ac:dyDescent="0.2"/>
    <row r="2650" ht="12.75" hidden="1" x14ac:dyDescent="0.2"/>
    <row r="2651" ht="12.75" hidden="1" x14ac:dyDescent="0.2"/>
    <row r="2652" ht="12.75" hidden="1" x14ac:dyDescent="0.2"/>
    <row r="2653" ht="12.75" hidden="1" x14ac:dyDescent="0.2"/>
    <row r="2654" ht="12.75" hidden="1" x14ac:dyDescent="0.2"/>
    <row r="2655" ht="12.75" hidden="1" x14ac:dyDescent="0.2"/>
    <row r="2656" ht="12.75" hidden="1" x14ac:dyDescent="0.2"/>
    <row r="2657" ht="12.75" hidden="1" x14ac:dyDescent="0.2"/>
    <row r="2658" ht="12.75" hidden="1" x14ac:dyDescent="0.2"/>
    <row r="2659" ht="12.75" hidden="1" x14ac:dyDescent="0.2"/>
    <row r="2660" ht="12.75" hidden="1" x14ac:dyDescent="0.2"/>
    <row r="2661" ht="12.75" hidden="1" x14ac:dyDescent="0.2"/>
    <row r="2662" ht="12.75" hidden="1" x14ac:dyDescent="0.2"/>
    <row r="2663" ht="12.75" hidden="1" x14ac:dyDescent="0.2"/>
    <row r="2664" ht="12.75" hidden="1" x14ac:dyDescent="0.2"/>
    <row r="2665" ht="12.75" hidden="1" x14ac:dyDescent="0.2"/>
    <row r="2666" ht="12.75" hidden="1" x14ac:dyDescent="0.2"/>
    <row r="2667" ht="12.75" hidden="1" x14ac:dyDescent="0.2"/>
    <row r="2668" ht="12.75" hidden="1" x14ac:dyDescent="0.2"/>
    <row r="2669" ht="12.75" hidden="1" x14ac:dyDescent="0.2"/>
    <row r="2670" ht="12.75" hidden="1" x14ac:dyDescent="0.2"/>
    <row r="2671" ht="12.75" hidden="1" x14ac:dyDescent="0.2"/>
    <row r="2672" ht="12.75" hidden="1" x14ac:dyDescent="0.2"/>
    <row r="2673" ht="12.75" hidden="1" x14ac:dyDescent="0.2"/>
    <row r="2674" ht="12.75" hidden="1" x14ac:dyDescent="0.2"/>
    <row r="2675" ht="12.75" hidden="1" x14ac:dyDescent="0.2"/>
    <row r="2676" ht="12.75" hidden="1" x14ac:dyDescent="0.2"/>
    <row r="2677" ht="12.75" hidden="1" x14ac:dyDescent="0.2"/>
    <row r="2678" ht="12.75" hidden="1" x14ac:dyDescent="0.2"/>
    <row r="2679" ht="12.75" hidden="1" x14ac:dyDescent="0.2"/>
    <row r="2680" ht="12.75" hidden="1" x14ac:dyDescent="0.2"/>
    <row r="2681" ht="12.75" hidden="1" x14ac:dyDescent="0.2"/>
    <row r="2682" ht="12.75" hidden="1" x14ac:dyDescent="0.2"/>
    <row r="2683" ht="12.75" hidden="1" x14ac:dyDescent="0.2"/>
    <row r="2684" ht="12.75" hidden="1" x14ac:dyDescent="0.2"/>
    <row r="2685" ht="12.75" hidden="1" x14ac:dyDescent="0.2"/>
    <row r="2686" ht="12.75" hidden="1" x14ac:dyDescent="0.2"/>
    <row r="2687" ht="12.75" hidden="1" x14ac:dyDescent="0.2"/>
    <row r="2688" ht="12.75" hidden="1" x14ac:dyDescent="0.2"/>
    <row r="2689" ht="12.75" hidden="1" x14ac:dyDescent="0.2"/>
    <row r="2690" ht="12.75" hidden="1" x14ac:dyDescent="0.2"/>
    <row r="2691" ht="12.75" hidden="1" x14ac:dyDescent="0.2"/>
    <row r="2692" ht="12.75" hidden="1" x14ac:dyDescent="0.2"/>
    <row r="2693" ht="12.75" hidden="1" x14ac:dyDescent="0.2"/>
    <row r="2694" ht="12.75" hidden="1" x14ac:dyDescent="0.2"/>
    <row r="2695" ht="12.75" hidden="1" x14ac:dyDescent="0.2"/>
    <row r="2696" ht="12.75" hidden="1" x14ac:dyDescent="0.2"/>
    <row r="2697" ht="12.75" hidden="1" x14ac:dyDescent="0.2"/>
    <row r="2698" ht="12.75" hidden="1" x14ac:dyDescent="0.2"/>
    <row r="2699" ht="12.75" hidden="1" x14ac:dyDescent="0.2"/>
    <row r="2700" ht="12.75" hidden="1" x14ac:dyDescent="0.2"/>
    <row r="2701" ht="12.75" hidden="1" x14ac:dyDescent="0.2"/>
    <row r="2702" ht="12.75" hidden="1" x14ac:dyDescent="0.2"/>
    <row r="2703" ht="12.75" hidden="1" x14ac:dyDescent="0.2"/>
    <row r="2704" ht="12.75" hidden="1" x14ac:dyDescent="0.2"/>
    <row r="2705" ht="12.75" hidden="1" x14ac:dyDescent="0.2"/>
    <row r="2706" ht="12.75" hidden="1" x14ac:dyDescent="0.2"/>
    <row r="2707" ht="12.75" hidden="1" x14ac:dyDescent="0.2"/>
    <row r="2708" ht="12.75" hidden="1" x14ac:dyDescent="0.2"/>
    <row r="2709" ht="12.75" hidden="1" x14ac:dyDescent="0.2"/>
    <row r="2710" ht="12.75" hidden="1" x14ac:dyDescent="0.2"/>
    <row r="2711" ht="12.75" hidden="1" x14ac:dyDescent="0.2"/>
    <row r="2712" ht="12.75" hidden="1" x14ac:dyDescent="0.2"/>
    <row r="2713" ht="12.75" hidden="1" x14ac:dyDescent="0.2"/>
    <row r="2714" ht="12.75" hidden="1" x14ac:dyDescent="0.2"/>
    <row r="2715" ht="12.75" hidden="1" x14ac:dyDescent="0.2"/>
    <row r="2716" ht="12.75" hidden="1" x14ac:dyDescent="0.2"/>
    <row r="2717" ht="12.75" hidden="1" x14ac:dyDescent="0.2"/>
    <row r="2718" ht="12.75" hidden="1" x14ac:dyDescent="0.2"/>
    <row r="2719" ht="12.75" hidden="1" x14ac:dyDescent="0.2"/>
    <row r="2720" ht="12.75" hidden="1" x14ac:dyDescent="0.2"/>
    <row r="2721" ht="12.75" hidden="1" x14ac:dyDescent="0.2"/>
    <row r="2722" ht="12.75" hidden="1" x14ac:dyDescent="0.2"/>
    <row r="2723" ht="12.75" hidden="1" x14ac:dyDescent="0.2"/>
    <row r="2724" ht="12.75" hidden="1" x14ac:dyDescent="0.2"/>
    <row r="2725" ht="12.75" hidden="1" x14ac:dyDescent="0.2"/>
    <row r="2726" ht="12.75" hidden="1" x14ac:dyDescent="0.2"/>
    <row r="2727" ht="12.75" hidden="1" x14ac:dyDescent="0.2"/>
    <row r="2728" ht="12.75" hidden="1" x14ac:dyDescent="0.2"/>
    <row r="2729" ht="12.75" hidden="1" x14ac:dyDescent="0.2"/>
    <row r="2730" ht="12.75" hidden="1" x14ac:dyDescent="0.2"/>
    <row r="2731" ht="12.75" hidden="1" x14ac:dyDescent="0.2"/>
    <row r="2732" ht="12.75" hidden="1" x14ac:dyDescent="0.2"/>
    <row r="2733" ht="12.75" hidden="1" x14ac:dyDescent="0.2"/>
    <row r="2734" ht="12.75" hidden="1" x14ac:dyDescent="0.2"/>
    <row r="2735" ht="12.75" hidden="1" x14ac:dyDescent="0.2"/>
    <row r="2736" ht="12.75" hidden="1" x14ac:dyDescent="0.2"/>
    <row r="2737" ht="12.75" hidden="1" x14ac:dyDescent="0.2"/>
    <row r="2738" ht="12.75" hidden="1" x14ac:dyDescent="0.2"/>
    <row r="2739" ht="12.75" hidden="1" x14ac:dyDescent="0.2"/>
    <row r="2740" ht="12.75" hidden="1" x14ac:dyDescent="0.2"/>
    <row r="2741" ht="12.75" hidden="1" x14ac:dyDescent="0.2"/>
    <row r="2742" ht="12.75" hidden="1" x14ac:dyDescent="0.2"/>
    <row r="2743" ht="12.75" hidden="1" x14ac:dyDescent="0.2"/>
    <row r="2744" ht="12.75" hidden="1" x14ac:dyDescent="0.2"/>
    <row r="2745" ht="12.75" hidden="1" x14ac:dyDescent="0.2"/>
    <row r="2746" ht="12.75" hidden="1" x14ac:dyDescent="0.2"/>
    <row r="2747" ht="12.75" hidden="1" x14ac:dyDescent="0.2"/>
    <row r="2748" ht="12.75" hidden="1" x14ac:dyDescent="0.2"/>
    <row r="2749" ht="12.75" hidden="1" x14ac:dyDescent="0.2"/>
    <row r="2750" ht="12.75" hidden="1" x14ac:dyDescent="0.2"/>
    <row r="2751" ht="12.75" hidden="1" x14ac:dyDescent="0.2"/>
    <row r="2752" ht="12.75" hidden="1" x14ac:dyDescent="0.2"/>
    <row r="2753" ht="12.75" hidden="1" x14ac:dyDescent="0.2"/>
    <row r="2754" ht="12.75" hidden="1" x14ac:dyDescent="0.2"/>
    <row r="2755" ht="12.75" hidden="1" x14ac:dyDescent="0.2"/>
    <row r="2756" ht="12.75" hidden="1" x14ac:dyDescent="0.2"/>
    <row r="2757" ht="12.75" hidden="1" x14ac:dyDescent="0.2"/>
    <row r="2758" ht="12.75" hidden="1" x14ac:dyDescent="0.2"/>
    <row r="2759" ht="12.75" hidden="1" x14ac:dyDescent="0.2"/>
    <row r="2760" ht="12.75" hidden="1" x14ac:dyDescent="0.2"/>
    <row r="2761" ht="12.75" hidden="1" x14ac:dyDescent="0.2"/>
    <row r="2762" ht="12.75" hidden="1" x14ac:dyDescent="0.2"/>
    <row r="2763" ht="12.75" hidden="1" x14ac:dyDescent="0.2"/>
    <row r="2764" ht="12.75" hidden="1" x14ac:dyDescent="0.2"/>
    <row r="2765" ht="12.75" hidden="1" x14ac:dyDescent="0.2"/>
    <row r="2766" ht="12.75" hidden="1" x14ac:dyDescent="0.2"/>
    <row r="2767" ht="12.75" hidden="1" x14ac:dyDescent="0.2"/>
    <row r="2768" ht="12.75" hidden="1" x14ac:dyDescent="0.2"/>
    <row r="2769" ht="12.75" hidden="1" x14ac:dyDescent="0.2"/>
    <row r="2770" ht="12.75" hidden="1" x14ac:dyDescent="0.2"/>
    <row r="2771" ht="12.75" hidden="1" x14ac:dyDescent="0.2"/>
    <row r="2772" ht="12.75" hidden="1" x14ac:dyDescent="0.2"/>
    <row r="2773" ht="12.75" hidden="1" x14ac:dyDescent="0.2"/>
    <row r="2774" ht="12.75" hidden="1" x14ac:dyDescent="0.2"/>
    <row r="2775" ht="12.75" hidden="1" x14ac:dyDescent="0.2"/>
    <row r="2776" ht="12.75" hidden="1" x14ac:dyDescent="0.2"/>
    <row r="2777" ht="12.75" hidden="1" x14ac:dyDescent="0.2"/>
    <row r="2778" ht="12.75" hidden="1" x14ac:dyDescent="0.2"/>
    <row r="2779" ht="12.75" hidden="1" x14ac:dyDescent="0.2"/>
    <row r="2780" ht="12.75" hidden="1" x14ac:dyDescent="0.2"/>
    <row r="2781" ht="12.75" hidden="1" x14ac:dyDescent="0.2"/>
    <row r="2782" ht="12.75" hidden="1" x14ac:dyDescent="0.2"/>
    <row r="2783" ht="12.75" hidden="1" x14ac:dyDescent="0.2"/>
    <row r="2784" ht="12.75" hidden="1" x14ac:dyDescent="0.2"/>
    <row r="2785" ht="12.75" hidden="1" x14ac:dyDescent="0.2"/>
    <row r="2786" ht="12.75" hidden="1" x14ac:dyDescent="0.2"/>
    <row r="2787" ht="12.75" hidden="1" x14ac:dyDescent="0.2"/>
    <row r="2788" ht="12.75" hidden="1" x14ac:dyDescent="0.2"/>
    <row r="2789" ht="12.75" hidden="1" x14ac:dyDescent="0.2"/>
    <row r="2790" ht="12.75" hidden="1" x14ac:dyDescent="0.2"/>
    <row r="2791" ht="12.75" hidden="1" x14ac:dyDescent="0.2"/>
    <row r="2792" ht="12.75" hidden="1" x14ac:dyDescent="0.2"/>
    <row r="2793" ht="12.75" hidden="1" x14ac:dyDescent="0.2"/>
    <row r="2794" ht="12.75" hidden="1" x14ac:dyDescent="0.2"/>
    <row r="2795" ht="12.75" hidden="1" x14ac:dyDescent="0.2"/>
    <row r="2796" ht="12.75" hidden="1" x14ac:dyDescent="0.2"/>
    <row r="2797" ht="12.75" hidden="1" x14ac:dyDescent="0.2"/>
    <row r="2798" ht="12.75" hidden="1" x14ac:dyDescent="0.2"/>
    <row r="2799" ht="12.75" hidden="1" x14ac:dyDescent="0.2"/>
    <row r="2800" ht="12.75" hidden="1" x14ac:dyDescent="0.2"/>
    <row r="2801" ht="12.75" hidden="1" x14ac:dyDescent="0.2"/>
    <row r="2802" ht="12.75" hidden="1" x14ac:dyDescent="0.2"/>
    <row r="2803" ht="12.75" hidden="1" x14ac:dyDescent="0.2"/>
    <row r="2804" ht="12.75" hidden="1" x14ac:dyDescent="0.2"/>
    <row r="2805" ht="12.75" hidden="1" x14ac:dyDescent="0.2"/>
    <row r="2806" ht="12.75" hidden="1" x14ac:dyDescent="0.2"/>
    <row r="2807" ht="12.75" hidden="1" x14ac:dyDescent="0.2"/>
    <row r="2808" ht="12.75" hidden="1" x14ac:dyDescent="0.2"/>
    <row r="2809" ht="12.75" hidden="1" x14ac:dyDescent="0.2"/>
    <row r="2810" ht="12.75" hidden="1" x14ac:dyDescent="0.2"/>
    <row r="2811" ht="12.75" hidden="1" x14ac:dyDescent="0.2"/>
    <row r="2812" ht="12.75" hidden="1" x14ac:dyDescent="0.2"/>
    <row r="2813" ht="12.75" hidden="1" x14ac:dyDescent="0.2"/>
    <row r="2814" ht="12.75" hidden="1" x14ac:dyDescent="0.2"/>
    <row r="2815" ht="12.75" hidden="1" x14ac:dyDescent="0.2"/>
    <row r="2816" ht="12.75" hidden="1" x14ac:dyDescent="0.2"/>
    <row r="2817" ht="12.75" hidden="1" x14ac:dyDescent="0.2"/>
    <row r="2818" ht="12.75" hidden="1" x14ac:dyDescent="0.2"/>
    <row r="2819" ht="12.75" hidden="1" x14ac:dyDescent="0.2"/>
    <row r="2820" ht="12.75" hidden="1" x14ac:dyDescent="0.2"/>
    <row r="2821" ht="12.75" hidden="1" x14ac:dyDescent="0.2"/>
    <row r="2822" ht="12.75" hidden="1" x14ac:dyDescent="0.2"/>
    <row r="2823" ht="12.75" hidden="1" x14ac:dyDescent="0.2"/>
    <row r="2824" ht="12.75" hidden="1" x14ac:dyDescent="0.2"/>
    <row r="2825" ht="12.75" hidden="1" x14ac:dyDescent="0.2"/>
    <row r="2826" ht="12.75" hidden="1" x14ac:dyDescent="0.2"/>
    <row r="2827" ht="12.75" hidden="1" x14ac:dyDescent="0.2"/>
    <row r="2828" ht="12.75" hidden="1" x14ac:dyDescent="0.2"/>
    <row r="2829" ht="12.75" hidden="1" x14ac:dyDescent="0.2"/>
    <row r="2830" ht="12.75" hidden="1" x14ac:dyDescent="0.2"/>
    <row r="2831" ht="12.75" hidden="1" x14ac:dyDescent="0.2"/>
    <row r="2832" ht="12.75" hidden="1" x14ac:dyDescent="0.2"/>
    <row r="2833" ht="12.75" hidden="1" x14ac:dyDescent="0.2"/>
    <row r="2834" ht="12.75" hidden="1" x14ac:dyDescent="0.2"/>
    <row r="2835" ht="12.75" hidden="1" x14ac:dyDescent="0.2"/>
    <row r="2836" ht="12.75" hidden="1" x14ac:dyDescent="0.2"/>
    <row r="2837" ht="12.75" hidden="1" x14ac:dyDescent="0.2"/>
    <row r="2838" ht="12.75" hidden="1" x14ac:dyDescent="0.2"/>
    <row r="2839" ht="12.75" hidden="1" x14ac:dyDescent="0.2"/>
    <row r="2840" ht="12.75" hidden="1" x14ac:dyDescent="0.2"/>
    <row r="2841" ht="12.75" hidden="1" x14ac:dyDescent="0.2"/>
    <row r="2842" ht="12.75" hidden="1" x14ac:dyDescent="0.2"/>
    <row r="2843" ht="12.75" hidden="1" x14ac:dyDescent="0.2"/>
    <row r="2844" ht="12.75" hidden="1" x14ac:dyDescent="0.2"/>
    <row r="2845" ht="12.75" hidden="1" x14ac:dyDescent="0.2"/>
    <row r="2846" ht="12.75" hidden="1" x14ac:dyDescent="0.2"/>
    <row r="2847" ht="12.75" hidden="1" x14ac:dyDescent="0.2"/>
    <row r="2848" ht="12.75" hidden="1" x14ac:dyDescent="0.2"/>
    <row r="2849" ht="12.75" hidden="1" x14ac:dyDescent="0.2"/>
    <row r="2850" ht="12.75" hidden="1" x14ac:dyDescent="0.2"/>
    <row r="2851" ht="12.75" hidden="1" x14ac:dyDescent="0.2"/>
    <row r="2852" ht="12.75" hidden="1" x14ac:dyDescent="0.2"/>
    <row r="2853" ht="12.75" hidden="1" x14ac:dyDescent="0.2"/>
    <row r="2854" ht="12.75" hidden="1" x14ac:dyDescent="0.2"/>
    <row r="2855" ht="12.75" hidden="1" x14ac:dyDescent="0.2"/>
    <row r="2856" ht="12.75" hidden="1" x14ac:dyDescent="0.2"/>
    <row r="2857" ht="12.75" hidden="1" x14ac:dyDescent="0.2"/>
    <row r="2858" ht="12.75" hidden="1" x14ac:dyDescent="0.2"/>
    <row r="2859" ht="12.75" hidden="1" x14ac:dyDescent="0.2"/>
    <row r="2860" ht="12.75" hidden="1" x14ac:dyDescent="0.2"/>
    <row r="2861" ht="12.75" hidden="1" x14ac:dyDescent="0.2"/>
    <row r="2862" ht="12.75" hidden="1" x14ac:dyDescent="0.2"/>
    <row r="2863" ht="12.75" hidden="1" x14ac:dyDescent="0.2"/>
    <row r="2864" ht="12.75" hidden="1" x14ac:dyDescent="0.2"/>
    <row r="2865" ht="12.75" hidden="1" x14ac:dyDescent="0.2"/>
    <row r="2866" ht="12.75" hidden="1" x14ac:dyDescent="0.2"/>
    <row r="2867" ht="12.75" hidden="1" x14ac:dyDescent="0.2"/>
    <row r="2868" ht="12.75" hidden="1" x14ac:dyDescent="0.2"/>
    <row r="2869" ht="12.75" hidden="1" x14ac:dyDescent="0.2"/>
    <row r="2870" ht="12.75" hidden="1" x14ac:dyDescent="0.2"/>
    <row r="2871" ht="12.75" hidden="1" x14ac:dyDescent="0.2"/>
    <row r="2872" ht="12.75" hidden="1" x14ac:dyDescent="0.2"/>
    <row r="2873" ht="12.75" hidden="1" x14ac:dyDescent="0.2"/>
    <row r="2874" ht="12.75" hidden="1" x14ac:dyDescent="0.2"/>
    <row r="2875" ht="12.75" hidden="1" x14ac:dyDescent="0.2"/>
    <row r="2876" ht="12.75" hidden="1" x14ac:dyDescent="0.2"/>
    <row r="2877" ht="12.75" hidden="1" x14ac:dyDescent="0.2"/>
    <row r="2878" ht="12.75" hidden="1" x14ac:dyDescent="0.2"/>
    <row r="2879" ht="12.75" hidden="1" x14ac:dyDescent="0.2"/>
    <row r="2880" ht="12.75" hidden="1" x14ac:dyDescent="0.2"/>
    <row r="2881" ht="12.75" hidden="1" x14ac:dyDescent="0.2"/>
    <row r="2882" ht="12.75" hidden="1" x14ac:dyDescent="0.2"/>
    <row r="2883" ht="12.75" hidden="1" x14ac:dyDescent="0.2"/>
    <row r="2884" ht="12.75" hidden="1" x14ac:dyDescent="0.2"/>
    <row r="2885" ht="12.75" hidden="1" x14ac:dyDescent="0.2"/>
    <row r="2886" ht="12.75" hidden="1" x14ac:dyDescent="0.2"/>
    <row r="2887" ht="12.75" hidden="1" x14ac:dyDescent="0.2"/>
    <row r="2888" ht="12.75" hidden="1" x14ac:dyDescent="0.2"/>
    <row r="2889" ht="12.75" hidden="1" x14ac:dyDescent="0.2"/>
    <row r="2890" ht="12.75" hidden="1" x14ac:dyDescent="0.2"/>
    <row r="2891" ht="12.75" hidden="1" x14ac:dyDescent="0.2"/>
    <row r="2892" ht="12.75" hidden="1" x14ac:dyDescent="0.2"/>
    <row r="2893" ht="12.75" hidden="1" x14ac:dyDescent="0.2"/>
    <row r="2894" ht="12.75" hidden="1" x14ac:dyDescent="0.2"/>
    <row r="2895" ht="12.75" hidden="1" x14ac:dyDescent="0.2"/>
    <row r="2896" ht="12.75" hidden="1" x14ac:dyDescent="0.2"/>
    <row r="2897" ht="12.75" hidden="1" x14ac:dyDescent="0.2"/>
    <row r="2898" ht="12.75" hidden="1" x14ac:dyDescent="0.2"/>
    <row r="2899" ht="12.75" hidden="1" x14ac:dyDescent="0.2"/>
    <row r="2900" ht="12.75" hidden="1" x14ac:dyDescent="0.2"/>
    <row r="2901" ht="12.75" hidden="1" x14ac:dyDescent="0.2"/>
    <row r="2902" ht="12.75" hidden="1" x14ac:dyDescent="0.2"/>
    <row r="2903" ht="12.75" hidden="1" x14ac:dyDescent="0.2"/>
    <row r="2904" ht="12.75" hidden="1" x14ac:dyDescent="0.2"/>
    <row r="2905" ht="12.75" hidden="1" x14ac:dyDescent="0.2"/>
    <row r="2906" ht="12.75" hidden="1" x14ac:dyDescent="0.2"/>
    <row r="2907" ht="12.75" hidden="1" x14ac:dyDescent="0.2"/>
    <row r="2908" ht="12.75" hidden="1" x14ac:dyDescent="0.2"/>
    <row r="2909" ht="12.75" hidden="1" x14ac:dyDescent="0.2"/>
    <row r="2910" ht="12.75" hidden="1" x14ac:dyDescent="0.2"/>
    <row r="2911" ht="12.75" hidden="1" x14ac:dyDescent="0.2"/>
    <row r="2912" ht="12.75" hidden="1" x14ac:dyDescent="0.2"/>
    <row r="2913" ht="12.75" hidden="1" x14ac:dyDescent="0.2"/>
    <row r="2914" ht="12.75" hidden="1" x14ac:dyDescent="0.2"/>
    <row r="2915" ht="12.75" hidden="1" x14ac:dyDescent="0.2"/>
    <row r="2916" ht="12.75" hidden="1" x14ac:dyDescent="0.2"/>
    <row r="2917" ht="12.75" hidden="1" x14ac:dyDescent="0.2"/>
    <row r="2918" ht="12.75" hidden="1" x14ac:dyDescent="0.2"/>
    <row r="2919" ht="12.75" hidden="1" x14ac:dyDescent="0.2"/>
    <row r="2920" ht="12.75" hidden="1" x14ac:dyDescent="0.2"/>
    <row r="2921" ht="12.75" hidden="1" x14ac:dyDescent="0.2"/>
    <row r="2922" ht="12.75" hidden="1" x14ac:dyDescent="0.2"/>
    <row r="2923" ht="12.75" hidden="1" x14ac:dyDescent="0.2"/>
    <row r="2924" ht="12.75" hidden="1" x14ac:dyDescent="0.2"/>
    <row r="2925" ht="12.75" hidden="1" x14ac:dyDescent="0.2"/>
    <row r="2926" ht="12.75" hidden="1" x14ac:dyDescent="0.2"/>
    <row r="2927" ht="12.75" hidden="1" x14ac:dyDescent="0.2"/>
    <row r="2928" ht="12.75" hidden="1" x14ac:dyDescent="0.2"/>
    <row r="2929" ht="12.75" hidden="1" x14ac:dyDescent="0.2"/>
    <row r="2930" ht="12.75" hidden="1" x14ac:dyDescent="0.2"/>
    <row r="2931" ht="12.75" hidden="1" x14ac:dyDescent="0.2"/>
    <row r="2932" ht="12.75" hidden="1" x14ac:dyDescent="0.2"/>
    <row r="2933" ht="12.75" hidden="1" x14ac:dyDescent="0.2"/>
    <row r="2934" ht="12.75" hidden="1" x14ac:dyDescent="0.2"/>
    <row r="2935" ht="12.75" hidden="1" x14ac:dyDescent="0.2"/>
    <row r="2936" ht="12.75" hidden="1" x14ac:dyDescent="0.2"/>
    <row r="2937" ht="12.75" hidden="1" x14ac:dyDescent="0.2"/>
    <row r="2938" ht="12.75" hidden="1" x14ac:dyDescent="0.2"/>
    <row r="2939" ht="12.75" hidden="1" x14ac:dyDescent="0.2"/>
    <row r="2940" ht="12.75" hidden="1" x14ac:dyDescent="0.2"/>
    <row r="2941" ht="12.75" hidden="1" x14ac:dyDescent="0.2"/>
    <row r="2942" ht="12.75" hidden="1" x14ac:dyDescent="0.2"/>
    <row r="2943" ht="12.75" hidden="1" x14ac:dyDescent="0.2"/>
    <row r="2944" ht="12.75" hidden="1" x14ac:dyDescent="0.2"/>
    <row r="2945" ht="12.75" hidden="1" x14ac:dyDescent="0.2"/>
    <row r="2946" ht="12.75" hidden="1" x14ac:dyDescent="0.2"/>
    <row r="2947" ht="12.75" hidden="1" x14ac:dyDescent="0.2"/>
    <row r="2948" ht="12.75" hidden="1" x14ac:dyDescent="0.2"/>
    <row r="2949" ht="12.75" hidden="1" x14ac:dyDescent="0.2"/>
    <row r="2950" ht="12.75" hidden="1" x14ac:dyDescent="0.2"/>
    <row r="2951" ht="12.75" hidden="1" x14ac:dyDescent="0.2"/>
    <row r="2952" ht="12.75" hidden="1" x14ac:dyDescent="0.2"/>
    <row r="2953" ht="12.75" hidden="1" x14ac:dyDescent="0.2"/>
    <row r="2954" ht="12.75" hidden="1" x14ac:dyDescent="0.2"/>
    <row r="2955" ht="12.75" hidden="1" x14ac:dyDescent="0.2"/>
    <row r="2956" ht="12.75" hidden="1" x14ac:dyDescent="0.2"/>
    <row r="2957" ht="12.75" hidden="1" x14ac:dyDescent="0.2"/>
    <row r="2958" ht="12.75" hidden="1" x14ac:dyDescent="0.2"/>
    <row r="2959" ht="12.75" hidden="1" x14ac:dyDescent="0.2"/>
    <row r="2960" ht="12.75" hidden="1" x14ac:dyDescent="0.2"/>
    <row r="2961" ht="12.75" hidden="1" x14ac:dyDescent="0.2"/>
    <row r="2962" ht="12.75" hidden="1" x14ac:dyDescent="0.2"/>
    <row r="2963" ht="12.75" hidden="1" x14ac:dyDescent="0.2"/>
    <row r="2964" ht="12.75" hidden="1" x14ac:dyDescent="0.2"/>
    <row r="2965" ht="12.75" hidden="1" x14ac:dyDescent="0.2"/>
    <row r="2966" ht="12.75" hidden="1" x14ac:dyDescent="0.2"/>
    <row r="2967" ht="12.75" hidden="1" x14ac:dyDescent="0.2"/>
    <row r="2968" ht="12.75" hidden="1" x14ac:dyDescent="0.2"/>
    <row r="2969" ht="12.75" hidden="1" x14ac:dyDescent="0.2"/>
    <row r="2970" ht="12.75" hidden="1" x14ac:dyDescent="0.2"/>
    <row r="2971" ht="12.75" hidden="1" x14ac:dyDescent="0.2"/>
    <row r="2972" ht="12.75" hidden="1" x14ac:dyDescent="0.2"/>
    <row r="2973" ht="12.75" hidden="1" x14ac:dyDescent="0.2"/>
    <row r="2974" ht="12.75" hidden="1" x14ac:dyDescent="0.2"/>
    <row r="2975" ht="12.75" hidden="1" x14ac:dyDescent="0.2"/>
    <row r="2976" ht="12.75" hidden="1" x14ac:dyDescent="0.2"/>
    <row r="2977" ht="12.75" hidden="1" x14ac:dyDescent="0.2"/>
    <row r="2978" ht="12.75" hidden="1" x14ac:dyDescent="0.2"/>
    <row r="2979" ht="12.75" hidden="1" x14ac:dyDescent="0.2"/>
    <row r="2980" ht="12.75" hidden="1" x14ac:dyDescent="0.2"/>
    <row r="2981" ht="12.75" hidden="1" x14ac:dyDescent="0.2"/>
    <row r="2982" ht="12.75" hidden="1" x14ac:dyDescent="0.2"/>
    <row r="2983" ht="12.75" hidden="1" x14ac:dyDescent="0.2"/>
    <row r="2984" ht="12.75" hidden="1" x14ac:dyDescent="0.2"/>
    <row r="2985" ht="12.75" hidden="1" x14ac:dyDescent="0.2"/>
    <row r="2986" ht="12.75" hidden="1" x14ac:dyDescent="0.2"/>
    <row r="2987" ht="12.75" hidden="1" x14ac:dyDescent="0.2"/>
    <row r="2988" ht="12.75" hidden="1" x14ac:dyDescent="0.2"/>
    <row r="2989" ht="12.75" hidden="1" x14ac:dyDescent="0.2"/>
    <row r="2990" ht="12.75" hidden="1" x14ac:dyDescent="0.2"/>
    <row r="2991" ht="12.75" hidden="1" x14ac:dyDescent="0.2"/>
    <row r="2992" ht="12.75" hidden="1" x14ac:dyDescent="0.2"/>
    <row r="2993" ht="12.75" hidden="1" x14ac:dyDescent="0.2"/>
    <row r="2994" ht="12.75" hidden="1" x14ac:dyDescent="0.2"/>
    <row r="2995" ht="12.75" hidden="1" x14ac:dyDescent="0.2"/>
    <row r="2996" ht="12.75" hidden="1" x14ac:dyDescent="0.2"/>
    <row r="2997" ht="12.75" hidden="1" x14ac:dyDescent="0.2"/>
    <row r="2998" ht="12.75" hidden="1" x14ac:dyDescent="0.2"/>
    <row r="2999" ht="12.75" hidden="1" x14ac:dyDescent="0.2"/>
    <row r="3000" ht="12.75" hidden="1" x14ac:dyDescent="0.2"/>
    <row r="3001" ht="12.75" hidden="1" x14ac:dyDescent="0.2"/>
    <row r="3002" ht="12.75" hidden="1" x14ac:dyDescent="0.2"/>
    <row r="3003" ht="12.75" hidden="1" x14ac:dyDescent="0.2"/>
    <row r="3004" ht="12.75" hidden="1" x14ac:dyDescent="0.2"/>
    <row r="3005" ht="12.75" hidden="1" x14ac:dyDescent="0.2"/>
    <row r="3006" ht="12.75" hidden="1" x14ac:dyDescent="0.2"/>
    <row r="3007" ht="12.75" hidden="1" x14ac:dyDescent="0.2"/>
    <row r="3008" ht="12.75" hidden="1" x14ac:dyDescent="0.2"/>
    <row r="3009" ht="12.75" hidden="1" x14ac:dyDescent="0.2"/>
    <row r="3010" ht="12.75" hidden="1" x14ac:dyDescent="0.2"/>
    <row r="3011" ht="12.75" hidden="1" x14ac:dyDescent="0.2"/>
    <row r="3012" ht="12.75" hidden="1" x14ac:dyDescent="0.2"/>
    <row r="3013" ht="12.75" hidden="1" x14ac:dyDescent="0.2"/>
    <row r="3014" ht="12.75" hidden="1" x14ac:dyDescent="0.2"/>
    <row r="3015" ht="12.75" hidden="1" x14ac:dyDescent="0.2"/>
    <row r="3016" ht="12.75" hidden="1" x14ac:dyDescent="0.2"/>
    <row r="3017" ht="12.75" hidden="1" x14ac:dyDescent="0.2"/>
    <row r="3018" ht="12.75" hidden="1" x14ac:dyDescent="0.2"/>
    <row r="3019" ht="12.75" hidden="1" x14ac:dyDescent="0.2"/>
    <row r="3020" ht="12.75" hidden="1" x14ac:dyDescent="0.2"/>
    <row r="3021" ht="12.75" hidden="1" x14ac:dyDescent="0.2"/>
    <row r="3022" ht="12.75" hidden="1" x14ac:dyDescent="0.2"/>
    <row r="3023" ht="12.75" hidden="1" x14ac:dyDescent="0.2"/>
    <row r="3024" ht="12.75" hidden="1" x14ac:dyDescent="0.2"/>
    <row r="3025" ht="12.75" hidden="1" x14ac:dyDescent="0.2"/>
    <row r="3026" ht="12.75" hidden="1" x14ac:dyDescent="0.2"/>
    <row r="3027" ht="12.75" hidden="1" x14ac:dyDescent="0.2"/>
    <row r="3028" ht="12.75" hidden="1" x14ac:dyDescent="0.2"/>
    <row r="3029" ht="12.75" hidden="1" x14ac:dyDescent="0.2"/>
    <row r="3030" ht="12.75" hidden="1" x14ac:dyDescent="0.2"/>
    <row r="3031" ht="12.75" hidden="1" x14ac:dyDescent="0.2"/>
    <row r="3032" ht="12.75" hidden="1" x14ac:dyDescent="0.2"/>
    <row r="3033" ht="12.75" hidden="1" x14ac:dyDescent="0.2"/>
    <row r="3034" ht="12.75" hidden="1" x14ac:dyDescent="0.2"/>
    <row r="3035" ht="12.75" hidden="1" x14ac:dyDescent="0.2"/>
    <row r="3036" ht="12.75" hidden="1" x14ac:dyDescent="0.2"/>
    <row r="3037" ht="12.75" hidden="1" x14ac:dyDescent="0.2"/>
    <row r="3038" ht="12.75" hidden="1" x14ac:dyDescent="0.2"/>
    <row r="3039" ht="12.75" hidden="1" x14ac:dyDescent="0.2"/>
    <row r="3040" ht="12.75" hidden="1" x14ac:dyDescent="0.2"/>
    <row r="3041" ht="12.75" hidden="1" x14ac:dyDescent="0.2"/>
    <row r="3042" ht="12.75" hidden="1" x14ac:dyDescent="0.2"/>
    <row r="3043" ht="12.75" hidden="1" x14ac:dyDescent="0.2"/>
    <row r="3044" ht="12.75" hidden="1" x14ac:dyDescent="0.2"/>
    <row r="3045" ht="12.75" hidden="1" x14ac:dyDescent="0.2"/>
    <row r="3046" ht="12.75" hidden="1" x14ac:dyDescent="0.2"/>
    <row r="3047" ht="12.75" hidden="1" x14ac:dyDescent="0.2"/>
    <row r="3048" ht="12.75" hidden="1" x14ac:dyDescent="0.2"/>
    <row r="3049" ht="12.75" hidden="1" x14ac:dyDescent="0.2"/>
    <row r="3050" ht="12.75" hidden="1" x14ac:dyDescent="0.2"/>
    <row r="3051" ht="12.75" hidden="1" x14ac:dyDescent="0.2"/>
    <row r="3052" ht="12.75" hidden="1" x14ac:dyDescent="0.2"/>
    <row r="3053" ht="12.75" hidden="1" x14ac:dyDescent="0.2"/>
    <row r="3054" ht="12.75" hidden="1" x14ac:dyDescent="0.2"/>
    <row r="3055" ht="12.75" hidden="1" x14ac:dyDescent="0.2"/>
    <row r="3056" ht="12.75" hidden="1" x14ac:dyDescent="0.2"/>
    <row r="3057" ht="12.75" hidden="1" x14ac:dyDescent="0.2"/>
    <row r="3058" ht="12.75" hidden="1" x14ac:dyDescent="0.2"/>
    <row r="3059" ht="12.75" hidden="1" x14ac:dyDescent="0.2"/>
    <row r="3060" ht="12.75" hidden="1" x14ac:dyDescent="0.2"/>
    <row r="3061" ht="12.75" hidden="1" x14ac:dyDescent="0.2"/>
    <row r="3062" ht="12.75" hidden="1" x14ac:dyDescent="0.2"/>
    <row r="3063" ht="12.75" hidden="1" x14ac:dyDescent="0.2"/>
    <row r="3064" ht="12.75" hidden="1" x14ac:dyDescent="0.2"/>
    <row r="3065" ht="12.75" hidden="1" x14ac:dyDescent="0.2"/>
    <row r="3066" ht="12.75" hidden="1" x14ac:dyDescent="0.2"/>
    <row r="3067" ht="12.75" hidden="1" x14ac:dyDescent="0.2"/>
    <row r="3068" ht="12.75" hidden="1" x14ac:dyDescent="0.2"/>
    <row r="3069" ht="12.75" hidden="1" x14ac:dyDescent="0.2"/>
    <row r="3070" ht="12.75" hidden="1" x14ac:dyDescent="0.2"/>
    <row r="3071" ht="12.75" hidden="1" x14ac:dyDescent="0.2"/>
    <row r="3072" ht="12.75" hidden="1" x14ac:dyDescent="0.2"/>
    <row r="3073" ht="12.75" hidden="1" x14ac:dyDescent="0.2"/>
    <row r="3074" ht="12.75" hidden="1" x14ac:dyDescent="0.2"/>
    <row r="3075" ht="12.75" hidden="1" x14ac:dyDescent="0.2"/>
    <row r="3076" ht="12.75" hidden="1" x14ac:dyDescent="0.2"/>
    <row r="3077" ht="12.75" hidden="1" x14ac:dyDescent="0.2"/>
    <row r="3078" ht="12.75" hidden="1" x14ac:dyDescent="0.2"/>
    <row r="3079" ht="12.75" hidden="1" x14ac:dyDescent="0.2"/>
    <row r="3080" ht="12.75" hidden="1" x14ac:dyDescent="0.2"/>
    <row r="3081" ht="12.75" hidden="1" x14ac:dyDescent="0.2"/>
    <row r="3082" ht="12.75" hidden="1" x14ac:dyDescent="0.2"/>
    <row r="3083" ht="12.75" hidden="1" x14ac:dyDescent="0.2"/>
    <row r="3084" ht="12.75" hidden="1" x14ac:dyDescent="0.2"/>
    <row r="3085" ht="12.75" hidden="1" x14ac:dyDescent="0.2"/>
    <row r="3086" ht="12.75" hidden="1" x14ac:dyDescent="0.2"/>
    <row r="3087" ht="12.75" hidden="1" x14ac:dyDescent="0.2"/>
    <row r="3088" ht="12.75" hidden="1" x14ac:dyDescent="0.2"/>
    <row r="3089" ht="12.75" hidden="1" x14ac:dyDescent="0.2"/>
    <row r="3090" ht="12.75" hidden="1" x14ac:dyDescent="0.2"/>
    <row r="3091" ht="12.75" hidden="1" x14ac:dyDescent="0.2"/>
    <row r="3092" ht="12.75" hidden="1" x14ac:dyDescent="0.2"/>
    <row r="3093" ht="12.75" hidden="1" x14ac:dyDescent="0.2"/>
    <row r="3094" ht="12.75" hidden="1" x14ac:dyDescent="0.2"/>
    <row r="3095" ht="12.75" hidden="1" x14ac:dyDescent="0.2"/>
    <row r="3096" ht="12.75" hidden="1" x14ac:dyDescent="0.2"/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B5378-B7B1-4E06-8B4C-B4E407713DB5}">
  <sheetPr codeName="Sheet2"/>
  <dimension ref="A1:N321"/>
  <sheetViews>
    <sheetView workbookViewId="0"/>
  </sheetViews>
  <sheetFormatPr defaultRowHeight="12.75" x14ac:dyDescent="0.2"/>
  <cols>
    <col min="1" max="1" width="4" bestFit="1" customWidth="1"/>
    <col min="3" max="14" width="10.140625" bestFit="1" customWidth="1"/>
  </cols>
  <sheetData>
    <row r="1" spans="1:14" x14ac:dyDescent="0.2"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x14ac:dyDescent="0.2">
      <c r="A2" s="313"/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</row>
    <row r="3" spans="1:14" x14ac:dyDescent="0.2">
      <c r="A3" s="315"/>
      <c r="B3" s="316"/>
      <c r="C3" s="316"/>
      <c r="D3" s="316"/>
      <c r="E3" s="316"/>
      <c r="F3" s="316"/>
      <c r="G3" s="316"/>
      <c r="H3" s="316"/>
      <c r="I3" s="316"/>
      <c r="J3" s="316"/>
      <c r="K3" s="316"/>
      <c r="L3" s="316"/>
      <c r="M3" s="316"/>
      <c r="N3" s="316"/>
    </row>
    <row r="4" spans="1:14" x14ac:dyDescent="0.2">
      <c r="A4" s="315"/>
      <c r="B4" s="316"/>
      <c r="C4" s="316"/>
      <c r="D4" s="316"/>
      <c r="E4" s="316"/>
      <c r="F4" s="316"/>
      <c r="G4" s="316"/>
      <c r="H4" s="316"/>
      <c r="I4" s="316"/>
      <c r="J4" s="316"/>
      <c r="K4" s="316"/>
      <c r="L4" s="316"/>
      <c r="M4" s="316"/>
      <c r="N4" s="316"/>
    </row>
    <row r="5" spans="1:14" x14ac:dyDescent="0.2">
      <c r="A5" s="315"/>
      <c r="B5" s="316"/>
      <c r="C5" s="316"/>
      <c r="D5" s="316"/>
      <c r="E5" s="316"/>
      <c r="F5" s="316"/>
      <c r="G5" s="316"/>
      <c r="H5" s="316"/>
      <c r="I5" s="316"/>
      <c r="J5" s="316"/>
      <c r="K5" s="316"/>
      <c r="L5" s="316"/>
      <c r="M5" s="316"/>
      <c r="N5" s="316"/>
    </row>
    <row r="6" spans="1:14" x14ac:dyDescent="0.2">
      <c r="A6" s="315"/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</row>
    <row r="7" spans="1:14" x14ac:dyDescent="0.2">
      <c r="A7" s="315"/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16"/>
      <c r="N7" s="316"/>
    </row>
    <row r="8" spans="1:14" x14ac:dyDescent="0.2">
      <c r="A8" s="315"/>
      <c r="B8" s="316"/>
      <c r="C8" s="316"/>
      <c r="D8" s="316"/>
      <c r="E8" s="316"/>
      <c r="F8" s="316"/>
      <c r="G8" s="316"/>
      <c r="H8" s="316"/>
      <c r="I8" s="316"/>
      <c r="J8" s="316"/>
      <c r="K8" s="316"/>
      <c r="L8" s="316"/>
      <c r="M8" s="316"/>
      <c r="N8" s="316"/>
    </row>
    <row r="9" spans="1:14" x14ac:dyDescent="0.2">
      <c r="A9" s="315"/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</row>
    <row r="10" spans="1:14" x14ac:dyDescent="0.2">
      <c r="A10" s="315"/>
      <c r="B10" s="316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</row>
    <row r="11" spans="1:14" x14ac:dyDescent="0.2">
      <c r="A11" s="315"/>
      <c r="B11" s="316"/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</row>
    <row r="12" spans="1:14" x14ac:dyDescent="0.2">
      <c r="A12" s="315"/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</row>
    <row r="13" spans="1:14" x14ac:dyDescent="0.2">
      <c r="A13" s="315"/>
      <c r="B13" s="316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</row>
    <row r="14" spans="1:14" x14ac:dyDescent="0.2">
      <c r="A14" s="315"/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</row>
    <row r="15" spans="1:14" x14ac:dyDescent="0.2">
      <c r="A15" s="315"/>
      <c r="B15" s="316"/>
      <c r="C15" s="316"/>
      <c r="D15" s="316"/>
      <c r="E15" s="316"/>
      <c r="F15" s="316"/>
      <c r="G15" s="316"/>
      <c r="H15" s="316"/>
      <c r="I15" s="316"/>
      <c r="J15" s="316"/>
      <c r="K15" s="316"/>
      <c r="L15" s="316"/>
      <c r="M15" s="316"/>
      <c r="N15" s="316"/>
    </row>
    <row r="16" spans="1:14" x14ac:dyDescent="0.2">
      <c r="A16" s="315"/>
      <c r="B16" s="316"/>
      <c r="C16" s="316"/>
      <c r="D16" s="316"/>
      <c r="E16" s="316"/>
      <c r="F16" s="316"/>
      <c r="G16" s="316"/>
      <c r="H16" s="316"/>
      <c r="I16" s="316"/>
      <c r="J16" s="316"/>
      <c r="K16" s="316"/>
      <c r="L16" s="316"/>
      <c r="M16" s="316"/>
      <c r="N16" s="316"/>
    </row>
    <row r="17" spans="1:14" x14ac:dyDescent="0.2">
      <c r="A17" s="315"/>
      <c r="B17" s="316"/>
      <c r="C17" s="316"/>
      <c r="D17" s="316"/>
      <c r="E17" s="316"/>
      <c r="F17" s="316"/>
      <c r="G17" s="316"/>
      <c r="H17" s="316"/>
      <c r="I17" s="316"/>
      <c r="J17" s="316"/>
      <c r="K17" s="316"/>
      <c r="L17" s="316"/>
      <c r="M17" s="316"/>
      <c r="N17" s="316"/>
    </row>
    <row r="18" spans="1:14" x14ac:dyDescent="0.2">
      <c r="A18" s="315"/>
      <c r="B18" s="316"/>
      <c r="C18" s="316"/>
      <c r="D18" s="316"/>
      <c r="E18" s="316"/>
      <c r="F18" s="316"/>
      <c r="G18" s="316"/>
      <c r="H18" s="316"/>
      <c r="I18" s="316"/>
      <c r="J18" s="316"/>
      <c r="K18" s="316"/>
      <c r="L18" s="316"/>
      <c r="M18" s="316"/>
      <c r="N18" s="316"/>
    </row>
    <row r="19" spans="1:14" x14ac:dyDescent="0.2">
      <c r="A19" s="315"/>
      <c r="B19" s="316"/>
      <c r="C19" s="316"/>
      <c r="D19" s="316"/>
      <c r="E19" s="316"/>
      <c r="F19" s="316"/>
      <c r="G19" s="316"/>
      <c r="H19" s="316"/>
      <c r="I19" s="316"/>
      <c r="J19" s="316"/>
      <c r="K19" s="316"/>
      <c r="L19" s="316"/>
      <c r="M19" s="316"/>
      <c r="N19" s="316"/>
    </row>
    <row r="20" spans="1:14" x14ac:dyDescent="0.2">
      <c r="A20" s="315"/>
      <c r="B20" s="316"/>
      <c r="C20" s="316"/>
      <c r="D20" s="316"/>
      <c r="E20" s="316"/>
      <c r="F20" s="316"/>
      <c r="G20" s="316"/>
      <c r="H20" s="316"/>
      <c r="I20" s="316"/>
      <c r="J20" s="316"/>
      <c r="K20" s="316"/>
      <c r="L20" s="316"/>
      <c r="M20" s="316"/>
      <c r="N20" s="316"/>
    </row>
    <row r="21" spans="1:14" x14ac:dyDescent="0.2">
      <c r="A21" s="315"/>
      <c r="B21" s="316"/>
      <c r="C21" s="316"/>
      <c r="D21" s="316"/>
      <c r="E21" s="316"/>
      <c r="F21" s="316"/>
      <c r="G21" s="316"/>
      <c r="H21" s="316"/>
      <c r="I21" s="316"/>
      <c r="J21" s="316"/>
      <c r="K21" s="316"/>
      <c r="L21" s="316"/>
      <c r="M21" s="316"/>
      <c r="N21" s="316"/>
    </row>
    <row r="22" spans="1:14" x14ac:dyDescent="0.2">
      <c r="A22" s="315"/>
      <c r="B22" s="316"/>
      <c r="C22" s="316"/>
      <c r="D22" s="316"/>
      <c r="E22" s="316"/>
      <c r="F22" s="316"/>
      <c r="G22" s="316"/>
      <c r="H22" s="316"/>
      <c r="I22" s="316"/>
      <c r="J22" s="316"/>
      <c r="K22" s="316"/>
      <c r="L22" s="316"/>
      <c r="M22" s="316"/>
      <c r="N22" s="316"/>
    </row>
    <row r="23" spans="1:14" x14ac:dyDescent="0.2">
      <c r="A23" s="315"/>
      <c r="B23" s="316"/>
      <c r="C23" s="316"/>
      <c r="D23" s="316"/>
      <c r="E23" s="316"/>
      <c r="F23" s="316"/>
      <c r="G23" s="316"/>
      <c r="H23" s="316"/>
      <c r="I23" s="316"/>
      <c r="J23" s="316"/>
      <c r="K23" s="316"/>
      <c r="L23" s="316"/>
      <c r="M23" s="316"/>
      <c r="N23" s="316"/>
    </row>
    <row r="24" spans="1:14" x14ac:dyDescent="0.2">
      <c r="A24" s="315"/>
      <c r="B24" s="316"/>
      <c r="C24" s="317"/>
      <c r="D24" s="317"/>
      <c r="E24" s="317"/>
      <c r="F24" s="317"/>
      <c r="G24" s="317"/>
      <c r="H24" s="317"/>
      <c r="I24" s="317"/>
      <c r="J24" s="317"/>
      <c r="K24" s="317"/>
      <c r="L24" s="317"/>
      <c r="M24" s="317"/>
      <c r="N24" s="317"/>
    </row>
    <row r="25" spans="1:14" x14ac:dyDescent="0.2">
      <c r="A25" s="315"/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</row>
    <row r="26" spans="1:14" x14ac:dyDescent="0.2">
      <c r="A26" s="315"/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</row>
    <row r="27" spans="1:14" x14ac:dyDescent="0.2">
      <c r="A27" s="315"/>
      <c r="B27" s="316"/>
      <c r="C27" s="316"/>
      <c r="D27" s="316"/>
      <c r="E27" s="316"/>
      <c r="F27" s="316"/>
      <c r="G27" s="316"/>
      <c r="H27" s="316"/>
      <c r="I27" s="316"/>
      <c r="J27" s="316"/>
      <c r="K27" s="316"/>
      <c r="L27" s="316"/>
      <c r="M27" s="316"/>
      <c r="N27" s="316"/>
    </row>
    <row r="28" spans="1:14" x14ac:dyDescent="0.2">
      <c r="A28" s="315"/>
      <c r="B28" s="316"/>
      <c r="C28" s="316"/>
      <c r="D28" s="316"/>
      <c r="E28" s="316"/>
      <c r="F28" s="316"/>
      <c r="G28" s="316"/>
      <c r="H28" s="316"/>
      <c r="I28" s="316"/>
      <c r="J28" s="316"/>
      <c r="K28" s="316"/>
      <c r="L28" s="316"/>
      <c r="M28" s="316"/>
      <c r="N28" s="316"/>
    </row>
    <row r="29" spans="1:14" x14ac:dyDescent="0.2">
      <c r="A29" s="315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</row>
    <row r="30" spans="1:14" x14ac:dyDescent="0.2">
      <c r="A30" s="315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</row>
    <row r="31" spans="1:14" x14ac:dyDescent="0.2">
      <c r="A31" s="315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</row>
    <row r="32" spans="1:14" x14ac:dyDescent="0.2">
      <c r="A32" s="315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</row>
    <row r="33" spans="1:14" x14ac:dyDescent="0.2">
      <c r="A33" s="315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</row>
    <row r="34" spans="1:14" x14ac:dyDescent="0.2">
      <c r="A34" s="315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</row>
    <row r="35" spans="1:14" x14ac:dyDescent="0.2">
      <c r="A35" s="315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</row>
    <row r="36" spans="1:14" x14ac:dyDescent="0.2">
      <c r="A36" s="315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</row>
    <row r="37" spans="1:14" x14ac:dyDescent="0.2">
      <c r="A37" s="315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</row>
    <row r="38" spans="1:14" x14ac:dyDescent="0.2">
      <c r="A38" s="315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</row>
    <row r="39" spans="1:14" x14ac:dyDescent="0.2">
      <c r="A39" s="315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</row>
    <row r="40" spans="1:14" x14ac:dyDescent="0.2">
      <c r="A40" s="315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</row>
    <row r="41" spans="1:14" x14ac:dyDescent="0.2">
      <c r="A41" s="315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</row>
    <row r="42" spans="1:14" x14ac:dyDescent="0.2">
      <c r="A42" s="315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</row>
    <row r="43" spans="1:14" x14ac:dyDescent="0.2">
      <c r="A43" s="315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</row>
    <row r="44" spans="1:14" x14ac:dyDescent="0.2">
      <c r="A44" s="315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</row>
    <row r="45" spans="1:14" x14ac:dyDescent="0.2">
      <c r="A45" s="315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</row>
    <row r="46" spans="1:14" x14ac:dyDescent="0.2">
      <c r="A46" s="315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</row>
    <row r="47" spans="1:14" x14ac:dyDescent="0.2">
      <c r="A47" s="315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</row>
    <row r="48" spans="1:14" x14ac:dyDescent="0.2">
      <c r="A48" s="315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</row>
    <row r="49" spans="1:14" x14ac:dyDescent="0.2">
      <c r="A49" s="315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</row>
    <row r="50" spans="1:14" x14ac:dyDescent="0.2">
      <c r="A50" s="315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</row>
    <row r="51" spans="1:14" x14ac:dyDescent="0.2">
      <c r="A51" s="315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</row>
    <row r="52" spans="1:14" x14ac:dyDescent="0.2">
      <c r="A52" s="315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</row>
    <row r="53" spans="1:14" x14ac:dyDescent="0.2">
      <c r="A53" s="315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</row>
    <row r="54" spans="1:14" x14ac:dyDescent="0.2">
      <c r="A54" s="315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</row>
    <row r="55" spans="1:14" x14ac:dyDescent="0.2">
      <c r="A55" s="315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</row>
    <row r="56" spans="1:14" x14ac:dyDescent="0.2">
      <c r="A56" s="315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</row>
    <row r="57" spans="1:14" x14ac:dyDescent="0.2">
      <c r="A57" s="315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</row>
    <row r="58" spans="1:14" x14ac:dyDescent="0.2">
      <c r="A58" s="315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</row>
    <row r="59" spans="1:14" x14ac:dyDescent="0.2">
      <c r="A59" s="315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</row>
    <row r="60" spans="1:14" x14ac:dyDescent="0.2">
      <c r="A60" s="315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</row>
    <row r="61" spans="1:14" x14ac:dyDescent="0.2">
      <c r="A61" s="315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</row>
    <row r="62" spans="1:14" x14ac:dyDescent="0.2">
      <c r="A62" s="315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</row>
    <row r="63" spans="1:14" x14ac:dyDescent="0.2">
      <c r="A63" s="315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</row>
    <row r="64" spans="1:14" x14ac:dyDescent="0.2">
      <c r="A64" s="315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</row>
    <row r="65" spans="1:14" x14ac:dyDescent="0.2">
      <c r="A65" s="315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</row>
    <row r="66" spans="1:14" x14ac:dyDescent="0.2">
      <c r="A66" s="315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</row>
    <row r="67" spans="1:14" x14ac:dyDescent="0.2">
      <c r="A67" s="315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</row>
    <row r="68" spans="1:14" x14ac:dyDescent="0.2">
      <c r="A68" s="315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</row>
    <row r="69" spans="1:14" x14ac:dyDescent="0.2">
      <c r="A69" s="315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</row>
    <row r="70" spans="1:14" x14ac:dyDescent="0.2">
      <c r="A70" s="315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</row>
    <row r="71" spans="1:14" x14ac:dyDescent="0.2">
      <c r="A71" s="315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</row>
    <row r="72" spans="1:14" x14ac:dyDescent="0.2">
      <c r="A72" s="315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</row>
    <row r="73" spans="1:14" x14ac:dyDescent="0.2">
      <c r="A73" s="315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</row>
    <row r="74" spans="1:14" x14ac:dyDescent="0.2">
      <c r="A74" s="315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</row>
    <row r="75" spans="1:14" x14ac:dyDescent="0.2">
      <c r="A75" s="315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</row>
    <row r="76" spans="1:14" x14ac:dyDescent="0.2">
      <c r="A76" s="315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</row>
    <row r="77" spans="1:14" x14ac:dyDescent="0.2">
      <c r="A77" s="315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</row>
    <row r="78" spans="1:14" x14ac:dyDescent="0.2">
      <c r="A78" s="315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</row>
    <row r="79" spans="1:14" x14ac:dyDescent="0.2">
      <c r="A79" s="315"/>
      <c r="B79" s="316"/>
      <c r="C79" s="316"/>
      <c r="D79" s="316"/>
      <c r="E79" s="316"/>
      <c r="F79" s="316"/>
      <c r="G79" s="316"/>
      <c r="H79" s="316"/>
      <c r="I79" s="316"/>
      <c r="J79" s="316"/>
      <c r="K79" s="316"/>
      <c r="L79" s="316"/>
      <c r="M79" s="316"/>
      <c r="N79" s="316"/>
    </row>
    <row r="80" spans="1:14" x14ac:dyDescent="0.2">
      <c r="A80" s="315"/>
      <c r="B80" s="316"/>
      <c r="C80" s="316"/>
      <c r="D80" s="316"/>
      <c r="E80" s="316"/>
      <c r="F80" s="316"/>
      <c r="G80" s="316"/>
      <c r="H80" s="316"/>
      <c r="I80" s="316"/>
      <c r="J80" s="316"/>
      <c r="K80" s="316"/>
      <c r="L80" s="316"/>
      <c r="M80" s="316"/>
      <c r="N80" s="316"/>
    </row>
    <row r="81" spans="1:14" x14ac:dyDescent="0.2">
      <c r="A81" s="315"/>
      <c r="B81" s="316"/>
      <c r="C81" s="316"/>
      <c r="D81" s="316"/>
      <c r="E81" s="316"/>
      <c r="F81" s="316"/>
      <c r="G81" s="316"/>
      <c r="H81" s="316"/>
      <c r="I81" s="316"/>
      <c r="J81" s="316"/>
      <c r="K81" s="316"/>
      <c r="L81" s="316"/>
      <c r="M81" s="316"/>
      <c r="N81" s="316"/>
    </row>
    <row r="82" spans="1:14" x14ac:dyDescent="0.2">
      <c r="A82" s="315"/>
      <c r="B82" s="316"/>
      <c r="C82" s="316"/>
      <c r="D82" s="316"/>
      <c r="E82" s="316"/>
      <c r="F82" s="316"/>
      <c r="G82" s="316"/>
      <c r="H82" s="316"/>
      <c r="I82" s="316"/>
      <c r="J82" s="316"/>
      <c r="K82" s="316"/>
      <c r="L82" s="316"/>
      <c r="M82" s="316"/>
      <c r="N82" s="316"/>
    </row>
    <row r="83" spans="1:14" x14ac:dyDescent="0.2">
      <c r="A83" s="315"/>
      <c r="B83" s="316"/>
      <c r="C83" s="316"/>
      <c r="D83" s="316"/>
      <c r="E83" s="316"/>
      <c r="F83" s="316"/>
      <c r="G83" s="316"/>
      <c r="H83" s="316"/>
      <c r="I83" s="316"/>
      <c r="J83" s="316"/>
      <c r="K83" s="316"/>
      <c r="L83" s="316"/>
      <c r="M83" s="316"/>
      <c r="N83" s="316"/>
    </row>
    <row r="84" spans="1:14" x14ac:dyDescent="0.2">
      <c r="A84" s="315"/>
      <c r="B84" s="316"/>
      <c r="C84" s="316"/>
      <c r="D84" s="316"/>
      <c r="E84" s="316"/>
      <c r="F84" s="316"/>
      <c r="G84" s="316"/>
      <c r="H84" s="316"/>
      <c r="I84" s="316"/>
      <c r="J84" s="316"/>
      <c r="K84" s="316"/>
      <c r="L84" s="316"/>
      <c r="M84" s="316"/>
      <c r="N84" s="316"/>
    </row>
    <row r="85" spans="1:14" x14ac:dyDescent="0.2">
      <c r="A85" s="315"/>
      <c r="B85" s="316"/>
      <c r="C85" s="316"/>
      <c r="D85" s="316"/>
      <c r="E85" s="316"/>
      <c r="F85" s="316"/>
      <c r="G85" s="316"/>
      <c r="H85" s="316"/>
      <c r="I85" s="316"/>
      <c r="J85" s="316"/>
      <c r="K85" s="316"/>
      <c r="L85" s="316"/>
      <c r="M85" s="316"/>
      <c r="N85" s="316"/>
    </row>
    <row r="86" spans="1:14" x14ac:dyDescent="0.2">
      <c r="A86" s="315"/>
      <c r="B86" s="316"/>
      <c r="C86" s="316"/>
      <c r="D86" s="316"/>
      <c r="E86" s="316"/>
      <c r="F86" s="316"/>
      <c r="G86" s="316"/>
      <c r="H86" s="316"/>
      <c r="I86" s="316"/>
      <c r="J86" s="316"/>
      <c r="K86" s="316"/>
      <c r="L86" s="316"/>
      <c r="M86" s="316"/>
      <c r="N86" s="316"/>
    </row>
    <row r="87" spans="1:14" x14ac:dyDescent="0.2">
      <c r="A87" s="315"/>
      <c r="B87" s="316"/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</row>
    <row r="88" spans="1:14" x14ac:dyDescent="0.2">
      <c r="A88" s="315"/>
      <c r="B88" s="316"/>
      <c r="C88" s="316"/>
      <c r="D88" s="316"/>
      <c r="E88" s="316"/>
      <c r="F88" s="316"/>
      <c r="G88" s="316"/>
      <c r="H88" s="316"/>
      <c r="I88" s="316"/>
      <c r="J88" s="316"/>
      <c r="K88" s="316"/>
      <c r="L88" s="316"/>
      <c r="M88" s="316"/>
      <c r="N88" s="316"/>
    </row>
    <row r="89" spans="1:14" x14ac:dyDescent="0.2">
      <c r="A89" s="315"/>
      <c r="B89" s="316"/>
      <c r="C89" s="316"/>
      <c r="D89" s="316"/>
      <c r="E89" s="316"/>
      <c r="F89" s="316"/>
      <c r="G89" s="316"/>
      <c r="H89" s="316"/>
      <c r="I89" s="316"/>
      <c r="J89" s="316"/>
      <c r="K89" s="316"/>
      <c r="L89" s="316"/>
      <c r="M89" s="316"/>
      <c r="N89" s="316"/>
    </row>
    <row r="90" spans="1:14" x14ac:dyDescent="0.2">
      <c r="A90" s="315"/>
      <c r="B90" s="316"/>
      <c r="C90" s="316"/>
      <c r="D90" s="316"/>
      <c r="E90" s="316"/>
      <c r="F90" s="316"/>
      <c r="G90" s="316"/>
      <c r="H90" s="316"/>
      <c r="I90" s="316"/>
      <c r="J90" s="316"/>
      <c r="K90" s="316"/>
      <c r="L90" s="316"/>
      <c r="M90" s="316"/>
      <c r="N90" s="316"/>
    </row>
    <row r="91" spans="1:14" x14ac:dyDescent="0.2">
      <c r="A91" s="315"/>
      <c r="B91" s="316"/>
      <c r="C91" s="316"/>
      <c r="D91" s="316"/>
      <c r="E91" s="316"/>
      <c r="F91" s="316"/>
      <c r="G91" s="316"/>
      <c r="H91" s="316"/>
      <c r="I91" s="316"/>
      <c r="J91" s="316"/>
      <c r="K91" s="316"/>
      <c r="L91" s="316"/>
      <c r="M91" s="316"/>
      <c r="N91" s="316"/>
    </row>
    <row r="92" spans="1:14" x14ac:dyDescent="0.2">
      <c r="A92" s="315"/>
      <c r="B92" s="316"/>
      <c r="C92" s="316"/>
      <c r="D92" s="316"/>
      <c r="E92" s="316"/>
      <c r="F92" s="316"/>
      <c r="G92" s="316"/>
      <c r="H92" s="316"/>
      <c r="I92" s="316"/>
      <c r="J92" s="316"/>
      <c r="K92" s="316"/>
      <c r="L92" s="316"/>
      <c r="M92" s="316"/>
      <c r="N92" s="316"/>
    </row>
    <row r="93" spans="1:14" x14ac:dyDescent="0.2">
      <c r="A93" s="315"/>
      <c r="B93" s="316"/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</row>
    <row r="94" spans="1:14" x14ac:dyDescent="0.2">
      <c r="A94" s="315"/>
      <c r="B94" s="316"/>
      <c r="C94" s="316"/>
      <c r="D94" s="316"/>
      <c r="E94" s="316"/>
      <c r="F94" s="316"/>
      <c r="G94" s="316"/>
      <c r="H94" s="316"/>
      <c r="I94" s="316"/>
      <c r="J94" s="316"/>
      <c r="K94" s="316"/>
      <c r="L94" s="316"/>
      <c r="M94" s="316"/>
      <c r="N94" s="316"/>
    </row>
    <row r="95" spans="1:14" x14ac:dyDescent="0.2">
      <c r="A95" s="315"/>
      <c r="B95" s="316"/>
      <c r="C95" s="316"/>
      <c r="D95" s="316"/>
      <c r="E95" s="316"/>
      <c r="F95" s="316"/>
      <c r="G95" s="316"/>
      <c r="H95" s="316"/>
      <c r="I95" s="316"/>
      <c r="J95" s="316"/>
      <c r="K95" s="316"/>
      <c r="L95" s="316"/>
      <c r="M95" s="316"/>
      <c r="N95" s="316"/>
    </row>
    <row r="96" spans="1:14" x14ac:dyDescent="0.2">
      <c r="A96" s="315"/>
      <c r="B96" s="316"/>
      <c r="C96" s="316"/>
      <c r="D96" s="316"/>
      <c r="E96" s="316"/>
      <c r="F96" s="316"/>
      <c r="G96" s="316"/>
      <c r="H96" s="316"/>
      <c r="I96" s="316"/>
      <c r="J96" s="316"/>
      <c r="K96" s="316"/>
      <c r="L96" s="316"/>
      <c r="M96" s="316"/>
      <c r="N96" s="316"/>
    </row>
    <row r="97" spans="1:14" x14ac:dyDescent="0.2">
      <c r="A97" s="315"/>
      <c r="B97" s="316"/>
      <c r="C97" s="316"/>
      <c r="D97" s="316"/>
      <c r="E97" s="316"/>
      <c r="F97" s="316"/>
      <c r="G97" s="316"/>
      <c r="H97" s="316"/>
      <c r="I97" s="316"/>
      <c r="J97" s="316"/>
      <c r="K97" s="316"/>
      <c r="L97" s="316"/>
      <c r="M97" s="316"/>
      <c r="N97" s="316"/>
    </row>
    <row r="98" spans="1:14" x14ac:dyDescent="0.2">
      <c r="A98" s="315"/>
      <c r="B98" s="316"/>
      <c r="C98" s="316"/>
      <c r="D98" s="316"/>
      <c r="E98" s="316"/>
      <c r="F98" s="316"/>
      <c r="G98" s="316"/>
      <c r="H98" s="316"/>
      <c r="I98" s="316"/>
      <c r="J98" s="316"/>
      <c r="K98" s="316"/>
      <c r="L98" s="316"/>
      <c r="M98" s="316"/>
      <c r="N98" s="316"/>
    </row>
    <row r="99" spans="1:14" x14ac:dyDescent="0.2">
      <c r="A99" s="315"/>
      <c r="B99" s="316"/>
      <c r="C99" s="316"/>
      <c r="D99" s="316"/>
      <c r="E99" s="316"/>
      <c r="F99" s="316"/>
      <c r="G99" s="316"/>
      <c r="H99" s="316"/>
      <c r="I99" s="316"/>
      <c r="J99" s="316"/>
      <c r="K99" s="316"/>
      <c r="L99" s="316"/>
      <c r="M99" s="316"/>
      <c r="N99" s="316"/>
    </row>
    <row r="100" spans="1:14" x14ac:dyDescent="0.2">
      <c r="A100" s="315"/>
      <c r="B100" s="316"/>
      <c r="C100" s="316"/>
      <c r="D100" s="316"/>
      <c r="E100" s="316"/>
      <c r="F100" s="316"/>
      <c r="G100" s="316"/>
      <c r="H100" s="316"/>
      <c r="I100" s="316"/>
      <c r="J100" s="316"/>
      <c r="K100" s="316"/>
      <c r="L100" s="316"/>
      <c r="M100" s="316"/>
      <c r="N100" s="316"/>
    </row>
    <row r="101" spans="1:14" x14ac:dyDescent="0.2">
      <c r="A101" s="315"/>
      <c r="B101" s="316"/>
      <c r="C101" s="316"/>
      <c r="D101" s="316"/>
      <c r="E101" s="316"/>
      <c r="F101" s="316"/>
      <c r="G101" s="316"/>
      <c r="H101" s="316"/>
      <c r="I101" s="316"/>
      <c r="J101" s="316"/>
      <c r="K101" s="316"/>
      <c r="L101" s="316"/>
      <c r="M101" s="316"/>
      <c r="N101" s="316"/>
    </row>
    <row r="102" spans="1:14" x14ac:dyDescent="0.2">
      <c r="A102" s="315"/>
      <c r="B102" s="316"/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</row>
    <row r="103" spans="1:14" x14ac:dyDescent="0.2">
      <c r="A103" s="315"/>
      <c r="B103" s="316"/>
      <c r="C103" s="316"/>
      <c r="D103" s="316"/>
      <c r="E103" s="316"/>
      <c r="F103" s="316"/>
      <c r="G103" s="316"/>
      <c r="H103" s="316"/>
      <c r="I103" s="316"/>
      <c r="J103" s="316"/>
      <c r="K103" s="316"/>
      <c r="L103" s="316"/>
      <c r="M103" s="316"/>
      <c r="N103" s="316"/>
    </row>
    <row r="104" spans="1:14" x14ac:dyDescent="0.2">
      <c r="A104" s="315"/>
      <c r="B104" s="316"/>
      <c r="C104" s="316"/>
      <c r="D104" s="316"/>
      <c r="E104" s="316"/>
      <c r="F104" s="316"/>
      <c r="G104" s="316"/>
      <c r="H104" s="316"/>
      <c r="I104" s="316"/>
      <c r="J104" s="316"/>
      <c r="K104" s="316"/>
      <c r="L104" s="316"/>
      <c r="M104" s="316"/>
      <c r="N104" s="316"/>
    </row>
    <row r="105" spans="1:14" x14ac:dyDescent="0.2">
      <c r="A105" s="315"/>
      <c r="B105" s="316"/>
      <c r="C105" s="316"/>
      <c r="D105" s="316"/>
      <c r="E105" s="316"/>
      <c r="F105" s="316"/>
      <c r="G105" s="316"/>
      <c r="H105" s="316"/>
      <c r="I105" s="316"/>
      <c r="J105" s="316"/>
      <c r="K105" s="316"/>
      <c r="L105" s="316"/>
      <c r="M105" s="316"/>
      <c r="N105" s="316"/>
    </row>
    <row r="106" spans="1:14" x14ac:dyDescent="0.2">
      <c r="A106" s="315"/>
      <c r="B106" s="316"/>
      <c r="C106" s="316"/>
      <c r="D106" s="316"/>
      <c r="E106" s="316"/>
      <c r="F106" s="316"/>
      <c r="G106" s="316"/>
      <c r="H106" s="316"/>
      <c r="I106" s="316"/>
      <c r="J106" s="316"/>
      <c r="K106" s="316"/>
      <c r="L106" s="316"/>
      <c r="M106" s="316"/>
      <c r="N106" s="316"/>
    </row>
    <row r="107" spans="1:14" x14ac:dyDescent="0.2">
      <c r="A107" s="315"/>
      <c r="B107" s="316"/>
      <c r="C107" s="316"/>
      <c r="D107" s="316"/>
      <c r="E107" s="316"/>
      <c r="F107" s="316"/>
      <c r="G107" s="316"/>
      <c r="H107" s="316"/>
      <c r="I107" s="316"/>
      <c r="J107" s="316"/>
      <c r="K107" s="316"/>
      <c r="L107" s="316"/>
      <c r="M107" s="316"/>
      <c r="N107" s="316"/>
    </row>
    <row r="108" spans="1:14" x14ac:dyDescent="0.2">
      <c r="A108" s="315"/>
      <c r="B108" s="316"/>
      <c r="C108" s="316"/>
      <c r="D108" s="316"/>
      <c r="E108" s="316"/>
      <c r="F108" s="316"/>
      <c r="G108" s="316"/>
      <c r="H108" s="316"/>
      <c r="I108" s="316"/>
      <c r="J108" s="316"/>
      <c r="K108" s="316"/>
      <c r="L108" s="316"/>
      <c r="M108" s="316"/>
      <c r="N108" s="316"/>
    </row>
    <row r="109" spans="1:14" x14ac:dyDescent="0.2">
      <c r="A109" s="315"/>
      <c r="B109" s="316"/>
      <c r="C109" s="316"/>
      <c r="D109" s="316"/>
      <c r="E109" s="316"/>
      <c r="F109" s="316"/>
      <c r="G109" s="316"/>
      <c r="H109" s="316"/>
      <c r="I109" s="316"/>
      <c r="J109" s="316"/>
      <c r="K109" s="316"/>
      <c r="L109" s="316"/>
      <c r="M109" s="316"/>
      <c r="N109" s="316"/>
    </row>
    <row r="110" spans="1:14" x14ac:dyDescent="0.2">
      <c r="A110" s="315"/>
      <c r="B110" s="316"/>
      <c r="C110" s="316"/>
      <c r="D110" s="316"/>
      <c r="E110" s="316"/>
      <c r="F110" s="316"/>
      <c r="G110" s="316"/>
      <c r="H110" s="316"/>
      <c r="I110" s="316"/>
      <c r="J110" s="316"/>
      <c r="K110" s="316"/>
      <c r="L110" s="316"/>
      <c r="M110" s="316"/>
      <c r="N110" s="316"/>
    </row>
    <row r="111" spans="1:14" x14ac:dyDescent="0.2">
      <c r="A111" s="315"/>
      <c r="B111" s="316"/>
      <c r="C111" s="316"/>
      <c r="D111" s="316"/>
      <c r="E111" s="316"/>
      <c r="F111" s="316"/>
      <c r="G111" s="316"/>
      <c r="H111" s="316"/>
      <c r="I111" s="316"/>
      <c r="J111" s="316"/>
      <c r="K111" s="316"/>
      <c r="L111" s="316"/>
      <c r="M111" s="316"/>
      <c r="N111" s="316"/>
    </row>
    <row r="112" spans="1:14" x14ac:dyDescent="0.2">
      <c r="A112" s="315"/>
      <c r="B112" s="316"/>
      <c r="C112" s="316"/>
      <c r="D112" s="316"/>
      <c r="E112" s="316"/>
      <c r="F112" s="316"/>
      <c r="G112" s="316"/>
      <c r="H112" s="316"/>
      <c r="I112" s="316"/>
      <c r="J112" s="316"/>
      <c r="K112" s="316"/>
      <c r="L112" s="316"/>
      <c r="M112" s="316"/>
      <c r="N112" s="316"/>
    </row>
    <row r="113" spans="1:14" x14ac:dyDescent="0.2">
      <c r="A113" s="315"/>
      <c r="B113" s="316"/>
      <c r="C113" s="316"/>
      <c r="D113" s="316"/>
      <c r="E113" s="316"/>
      <c r="F113" s="316"/>
      <c r="G113" s="316"/>
      <c r="H113" s="316"/>
      <c r="I113" s="316"/>
      <c r="J113" s="316"/>
      <c r="K113" s="316"/>
      <c r="L113" s="316"/>
      <c r="M113" s="316"/>
      <c r="N113" s="316"/>
    </row>
    <row r="114" spans="1:14" x14ac:dyDescent="0.2">
      <c r="A114" s="315"/>
      <c r="B114" s="316"/>
      <c r="C114" s="316"/>
      <c r="D114" s="316"/>
      <c r="E114" s="316"/>
      <c r="F114" s="316"/>
      <c r="G114" s="316"/>
      <c r="H114" s="316"/>
      <c r="I114" s="316"/>
      <c r="J114" s="316"/>
      <c r="K114" s="316"/>
      <c r="L114" s="316"/>
      <c r="M114" s="316"/>
      <c r="N114" s="316"/>
    </row>
    <row r="115" spans="1:14" x14ac:dyDescent="0.2">
      <c r="A115" s="315"/>
      <c r="B115" s="316"/>
      <c r="C115" s="316"/>
      <c r="D115" s="316"/>
      <c r="E115" s="316"/>
      <c r="F115" s="316"/>
      <c r="G115" s="316"/>
      <c r="H115" s="316"/>
      <c r="I115" s="316"/>
      <c r="J115" s="316"/>
      <c r="K115" s="316"/>
      <c r="L115" s="316"/>
      <c r="M115" s="316"/>
      <c r="N115" s="316"/>
    </row>
    <row r="116" spans="1:14" x14ac:dyDescent="0.2">
      <c r="A116" s="315"/>
      <c r="B116" s="316"/>
      <c r="C116" s="316"/>
      <c r="D116" s="316"/>
      <c r="E116" s="316"/>
      <c r="F116" s="316"/>
      <c r="G116" s="316"/>
      <c r="H116" s="316"/>
      <c r="I116" s="316"/>
      <c r="J116" s="316"/>
      <c r="K116" s="316"/>
      <c r="L116" s="316"/>
      <c r="M116" s="316"/>
      <c r="N116" s="316"/>
    </row>
    <row r="117" spans="1:14" x14ac:dyDescent="0.2">
      <c r="A117" s="315"/>
      <c r="B117" s="316"/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</row>
    <row r="118" spans="1:14" x14ac:dyDescent="0.2">
      <c r="A118" s="315"/>
      <c r="B118" s="316"/>
      <c r="C118" s="316"/>
      <c r="D118" s="316"/>
      <c r="E118" s="316"/>
      <c r="F118" s="316"/>
      <c r="G118" s="316"/>
      <c r="H118" s="316"/>
      <c r="I118" s="316"/>
      <c r="J118" s="316"/>
      <c r="K118" s="316"/>
      <c r="L118" s="316"/>
      <c r="M118" s="316"/>
      <c r="N118" s="316"/>
    </row>
    <row r="119" spans="1:14" x14ac:dyDescent="0.2">
      <c r="A119" s="315"/>
      <c r="B119" s="316"/>
      <c r="C119" s="316"/>
      <c r="D119" s="316"/>
      <c r="E119" s="316"/>
      <c r="F119" s="316"/>
      <c r="G119" s="316"/>
      <c r="H119" s="316"/>
      <c r="I119" s="316"/>
      <c r="J119" s="316"/>
      <c r="K119" s="316"/>
      <c r="L119" s="316"/>
      <c r="M119" s="316"/>
      <c r="N119" s="316"/>
    </row>
    <row r="120" spans="1:14" x14ac:dyDescent="0.2">
      <c r="A120" s="315"/>
      <c r="B120" s="316"/>
      <c r="C120" s="316"/>
      <c r="D120" s="316"/>
      <c r="E120" s="316"/>
      <c r="F120" s="316"/>
      <c r="G120" s="316"/>
      <c r="H120" s="316"/>
      <c r="I120" s="316"/>
      <c r="J120" s="316"/>
      <c r="K120" s="316"/>
      <c r="L120" s="316"/>
      <c r="M120" s="316"/>
      <c r="N120" s="316"/>
    </row>
    <row r="121" spans="1:14" x14ac:dyDescent="0.2">
      <c r="A121" s="315"/>
      <c r="B121" s="316"/>
      <c r="C121" s="316"/>
      <c r="D121" s="316"/>
      <c r="E121" s="316"/>
      <c r="F121" s="316"/>
      <c r="G121" s="316"/>
      <c r="H121" s="316"/>
      <c r="I121" s="316"/>
      <c r="J121" s="316"/>
      <c r="K121" s="316"/>
      <c r="L121" s="316"/>
      <c r="M121" s="316"/>
      <c r="N121" s="316"/>
    </row>
    <row r="122" spans="1:14" x14ac:dyDescent="0.2">
      <c r="A122" s="315"/>
      <c r="B122" s="316"/>
      <c r="C122" s="316"/>
      <c r="D122" s="316"/>
      <c r="E122" s="316"/>
      <c r="F122" s="316"/>
      <c r="G122" s="316"/>
      <c r="H122" s="316"/>
      <c r="I122" s="316"/>
      <c r="J122" s="316"/>
      <c r="K122" s="316"/>
      <c r="L122" s="316"/>
      <c r="M122" s="316"/>
      <c r="N122" s="316"/>
    </row>
    <row r="123" spans="1:14" x14ac:dyDescent="0.2">
      <c r="A123" s="315"/>
      <c r="B123" s="316"/>
      <c r="C123" s="316"/>
      <c r="D123" s="316"/>
      <c r="E123" s="316"/>
      <c r="F123" s="316"/>
      <c r="G123" s="316"/>
      <c r="H123" s="316"/>
      <c r="I123" s="316"/>
      <c r="J123" s="316"/>
      <c r="K123" s="316"/>
      <c r="L123" s="316"/>
      <c r="M123" s="316"/>
      <c r="N123" s="316"/>
    </row>
    <row r="124" spans="1:14" x14ac:dyDescent="0.2">
      <c r="A124" s="315"/>
      <c r="B124" s="316"/>
      <c r="C124" s="316"/>
      <c r="D124" s="316"/>
      <c r="E124" s="316"/>
      <c r="F124" s="316"/>
      <c r="G124" s="316"/>
      <c r="H124" s="316"/>
      <c r="I124" s="316"/>
      <c r="J124" s="316"/>
      <c r="K124" s="316"/>
      <c r="L124" s="316"/>
      <c r="M124" s="316"/>
      <c r="N124" s="316"/>
    </row>
    <row r="125" spans="1:14" x14ac:dyDescent="0.2">
      <c r="A125" s="315"/>
      <c r="B125" s="316"/>
      <c r="C125" s="316"/>
      <c r="D125" s="316"/>
      <c r="E125" s="316"/>
      <c r="F125" s="316"/>
      <c r="G125" s="316"/>
      <c r="H125" s="316"/>
      <c r="I125" s="316"/>
      <c r="J125" s="316"/>
      <c r="K125" s="316"/>
      <c r="L125" s="316"/>
      <c r="M125" s="316"/>
      <c r="N125" s="316"/>
    </row>
    <row r="126" spans="1:14" x14ac:dyDescent="0.2">
      <c r="A126" s="315"/>
      <c r="B126" s="316"/>
      <c r="C126" s="316"/>
      <c r="D126" s="316"/>
      <c r="E126" s="316"/>
      <c r="F126" s="316"/>
      <c r="G126" s="316"/>
      <c r="H126" s="316"/>
      <c r="I126" s="316"/>
      <c r="J126" s="316"/>
      <c r="K126" s="316"/>
      <c r="L126" s="316"/>
      <c r="M126" s="316"/>
      <c r="N126" s="316"/>
    </row>
    <row r="127" spans="1:14" x14ac:dyDescent="0.2">
      <c r="A127" s="315"/>
      <c r="B127" s="316"/>
      <c r="C127" s="316"/>
      <c r="D127" s="316"/>
      <c r="E127" s="316"/>
      <c r="F127" s="316"/>
      <c r="G127" s="316"/>
      <c r="H127" s="316"/>
      <c r="I127" s="316"/>
      <c r="J127" s="316"/>
      <c r="K127" s="316"/>
      <c r="L127" s="316"/>
      <c r="M127" s="316"/>
      <c r="N127" s="316"/>
    </row>
    <row r="128" spans="1:14" x14ac:dyDescent="0.2">
      <c r="A128" s="315"/>
      <c r="B128" s="316"/>
      <c r="C128" s="316"/>
      <c r="D128" s="316"/>
      <c r="E128" s="316"/>
      <c r="F128" s="316"/>
      <c r="G128" s="316"/>
      <c r="H128" s="316"/>
      <c r="I128" s="316"/>
      <c r="J128" s="316"/>
      <c r="K128" s="316"/>
      <c r="L128" s="316"/>
      <c r="M128" s="316"/>
      <c r="N128" s="316"/>
    </row>
    <row r="129" spans="1:14" x14ac:dyDescent="0.2">
      <c r="A129" s="315"/>
      <c r="B129" s="316"/>
      <c r="C129" s="316"/>
      <c r="D129" s="316"/>
      <c r="E129" s="316"/>
      <c r="F129" s="316"/>
      <c r="G129" s="316"/>
      <c r="H129" s="316"/>
      <c r="I129" s="316"/>
      <c r="J129" s="316"/>
      <c r="K129" s="316"/>
      <c r="L129" s="316"/>
      <c r="M129" s="316"/>
      <c r="N129" s="316"/>
    </row>
    <row r="130" spans="1:14" x14ac:dyDescent="0.2">
      <c r="A130" s="315"/>
      <c r="B130" s="316"/>
      <c r="C130" s="316"/>
      <c r="D130" s="316"/>
      <c r="E130" s="316"/>
      <c r="F130" s="316"/>
      <c r="G130" s="316"/>
      <c r="H130" s="316"/>
      <c r="I130" s="316"/>
      <c r="J130" s="316"/>
      <c r="K130" s="316"/>
      <c r="L130" s="316"/>
      <c r="M130" s="316"/>
      <c r="N130" s="316"/>
    </row>
    <row r="131" spans="1:14" x14ac:dyDescent="0.2">
      <c r="A131" s="315"/>
      <c r="B131" s="316"/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</row>
    <row r="132" spans="1:14" x14ac:dyDescent="0.2">
      <c r="A132" s="315"/>
      <c r="B132" s="316"/>
      <c r="C132" s="316"/>
      <c r="D132" s="316"/>
      <c r="E132" s="316"/>
      <c r="F132" s="316"/>
      <c r="G132" s="316"/>
      <c r="H132" s="316"/>
      <c r="I132" s="316"/>
      <c r="J132" s="316"/>
      <c r="K132" s="316"/>
      <c r="L132" s="316"/>
      <c r="M132" s="316"/>
      <c r="N132" s="316"/>
    </row>
    <row r="133" spans="1:14" x14ac:dyDescent="0.2">
      <c r="A133" s="315"/>
      <c r="B133" s="316"/>
      <c r="C133" s="316"/>
      <c r="D133" s="316"/>
      <c r="E133" s="316"/>
      <c r="F133" s="316"/>
      <c r="G133" s="316"/>
      <c r="H133" s="316"/>
      <c r="I133" s="316"/>
      <c r="J133" s="316"/>
      <c r="K133" s="316"/>
      <c r="L133" s="316"/>
      <c r="M133" s="316"/>
      <c r="N133" s="316"/>
    </row>
    <row r="134" spans="1:14" x14ac:dyDescent="0.2">
      <c r="A134" s="315"/>
      <c r="B134" s="316"/>
      <c r="C134" s="316"/>
      <c r="D134" s="316"/>
      <c r="E134" s="316"/>
      <c r="F134" s="316"/>
      <c r="G134" s="316"/>
      <c r="H134" s="316"/>
      <c r="I134" s="316"/>
      <c r="J134" s="316"/>
      <c r="K134" s="316"/>
      <c r="L134" s="316"/>
      <c r="M134" s="316"/>
      <c r="N134" s="316"/>
    </row>
    <row r="135" spans="1:14" x14ac:dyDescent="0.2">
      <c r="A135" s="315"/>
      <c r="B135" s="316"/>
      <c r="C135" s="316"/>
      <c r="D135" s="316"/>
      <c r="E135" s="316"/>
      <c r="F135" s="316"/>
      <c r="G135" s="316"/>
      <c r="H135" s="316"/>
      <c r="I135" s="316"/>
      <c r="J135" s="316"/>
      <c r="K135" s="316"/>
      <c r="L135" s="316"/>
      <c r="M135" s="316"/>
      <c r="N135" s="316"/>
    </row>
    <row r="136" spans="1:14" x14ac:dyDescent="0.2">
      <c r="A136" s="315"/>
      <c r="B136" s="316"/>
      <c r="C136" s="316"/>
      <c r="D136" s="316"/>
      <c r="E136" s="316"/>
      <c r="F136" s="316"/>
      <c r="G136" s="316"/>
      <c r="H136" s="316"/>
      <c r="I136" s="316"/>
      <c r="J136" s="316"/>
      <c r="K136" s="316"/>
      <c r="L136" s="316"/>
      <c r="M136" s="316"/>
      <c r="N136" s="316"/>
    </row>
    <row r="137" spans="1:14" x14ac:dyDescent="0.2">
      <c r="A137" s="315"/>
      <c r="B137" s="316"/>
      <c r="C137" s="316"/>
      <c r="D137" s="316"/>
      <c r="E137" s="316"/>
      <c r="F137" s="316"/>
      <c r="G137" s="316"/>
      <c r="H137" s="316"/>
      <c r="I137" s="316"/>
      <c r="J137" s="316"/>
      <c r="K137" s="316"/>
      <c r="L137" s="316"/>
      <c r="M137" s="316"/>
      <c r="N137" s="316"/>
    </row>
    <row r="138" spans="1:14" x14ac:dyDescent="0.2">
      <c r="A138" s="315"/>
      <c r="B138" s="316"/>
      <c r="C138" s="316"/>
      <c r="D138" s="316"/>
      <c r="E138" s="316"/>
      <c r="F138" s="316"/>
      <c r="G138" s="316"/>
      <c r="H138" s="316"/>
      <c r="I138" s="316"/>
      <c r="J138" s="316"/>
      <c r="K138" s="316"/>
      <c r="L138" s="316"/>
      <c r="M138" s="316"/>
      <c r="N138" s="316"/>
    </row>
    <row r="139" spans="1:14" x14ac:dyDescent="0.2">
      <c r="A139" s="315"/>
      <c r="B139" s="316"/>
      <c r="C139" s="316"/>
      <c r="D139" s="316"/>
      <c r="E139" s="316"/>
      <c r="F139" s="316"/>
      <c r="G139" s="316"/>
      <c r="H139" s="316"/>
      <c r="I139" s="316"/>
      <c r="J139" s="316"/>
      <c r="K139" s="316"/>
      <c r="L139" s="316"/>
      <c r="M139" s="316"/>
      <c r="N139" s="316"/>
    </row>
    <row r="140" spans="1:14" x14ac:dyDescent="0.2">
      <c r="A140" s="315"/>
      <c r="B140" s="316"/>
      <c r="C140" s="316"/>
      <c r="D140" s="316"/>
      <c r="E140" s="316"/>
      <c r="F140" s="316"/>
      <c r="G140" s="316"/>
      <c r="H140" s="316"/>
      <c r="I140" s="316"/>
      <c r="J140" s="316"/>
      <c r="K140" s="316"/>
      <c r="L140" s="316"/>
      <c r="M140" s="316"/>
      <c r="N140" s="316"/>
    </row>
    <row r="141" spans="1:14" x14ac:dyDescent="0.2">
      <c r="A141" s="315"/>
      <c r="B141" s="316"/>
      <c r="C141" s="316"/>
      <c r="D141" s="316"/>
      <c r="E141" s="316"/>
      <c r="F141" s="316"/>
      <c r="G141" s="316"/>
      <c r="H141" s="316"/>
      <c r="I141" s="316"/>
      <c r="J141" s="316"/>
      <c r="K141" s="316"/>
      <c r="L141" s="316"/>
      <c r="M141" s="316"/>
      <c r="N141" s="316"/>
    </row>
    <row r="142" spans="1:14" x14ac:dyDescent="0.2">
      <c r="A142" s="315"/>
      <c r="B142" s="316"/>
      <c r="C142" s="316"/>
      <c r="D142" s="316"/>
      <c r="E142" s="316"/>
      <c r="F142" s="316"/>
      <c r="G142" s="316"/>
      <c r="H142" s="316"/>
      <c r="I142" s="316"/>
      <c r="J142" s="316"/>
      <c r="K142" s="316"/>
      <c r="L142" s="316"/>
      <c r="M142" s="316"/>
      <c r="N142" s="316"/>
    </row>
    <row r="143" spans="1:14" x14ac:dyDescent="0.2">
      <c r="A143" s="315"/>
      <c r="B143" s="316"/>
      <c r="C143" s="316"/>
      <c r="D143" s="316"/>
      <c r="E143" s="316"/>
      <c r="F143" s="316"/>
      <c r="G143" s="316"/>
      <c r="H143" s="316"/>
      <c r="I143" s="316"/>
      <c r="J143" s="316"/>
      <c r="K143" s="316"/>
      <c r="L143" s="316"/>
      <c r="M143" s="316"/>
      <c r="N143" s="316"/>
    </row>
    <row r="144" spans="1:14" x14ac:dyDescent="0.2">
      <c r="A144" s="315"/>
      <c r="B144" s="316"/>
      <c r="C144" s="316"/>
      <c r="D144" s="316"/>
      <c r="E144" s="316"/>
      <c r="F144" s="316"/>
      <c r="G144" s="316"/>
      <c r="H144" s="316"/>
      <c r="I144" s="316"/>
      <c r="J144" s="316"/>
      <c r="K144" s="316"/>
      <c r="L144" s="316"/>
      <c r="M144" s="316"/>
      <c r="N144" s="316"/>
    </row>
    <row r="145" spans="1:14" x14ac:dyDescent="0.2">
      <c r="A145" s="315"/>
      <c r="B145" s="316"/>
      <c r="C145" s="316"/>
      <c r="D145" s="316"/>
      <c r="E145" s="316"/>
      <c r="F145" s="316"/>
      <c r="G145" s="316"/>
      <c r="H145" s="316"/>
      <c r="I145" s="316"/>
      <c r="J145" s="316"/>
      <c r="K145" s="316"/>
      <c r="L145" s="316"/>
      <c r="M145" s="316"/>
      <c r="N145" s="316"/>
    </row>
    <row r="146" spans="1:14" x14ac:dyDescent="0.2">
      <c r="A146" s="315"/>
      <c r="B146" s="316"/>
      <c r="C146" s="316"/>
      <c r="D146" s="316"/>
      <c r="E146" s="316"/>
      <c r="F146" s="316"/>
      <c r="G146" s="316"/>
      <c r="H146" s="316"/>
      <c r="I146" s="316"/>
      <c r="J146" s="316"/>
      <c r="K146" s="316"/>
      <c r="L146" s="316"/>
      <c r="M146" s="316"/>
      <c r="N146" s="316"/>
    </row>
    <row r="147" spans="1:14" x14ac:dyDescent="0.2">
      <c r="A147" s="315"/>
      <c r="B147" s="316"/>
      <c r="C147" s="316"/>
      <c r="D147" s="316"/>
      <c r="E147" s="316"/>
      <c r="F147" s="316"/>
      <c r="G147" s="316"/>
      <c r="H147" s="316"/>
      <c r="I147" s="316"/>
      <c r="J147" s="316"/>
      <c r="K147" s="316"/>
      <c r="L147" s="316"/>
      <c r="M147" s="316"/>
      <c r="N147" s="316"/>
    </row>
    <row r="148" spans="1:14" x14ac:dyDescent="0.2">
      <c r="A148" s="315"/>
      <c r="B148" s="316"/>
      <c r="C148" s="316"/>
      <c r="D148" s="316"/>
      <c r="E148" s="316"/>
      <c r="F148" s="316"/>
      <c r="G148" s="316"/>
      <c r="H148" s="316"/>
      <c r="I148" s="316"/>
      <c r="J148" s="316"/>
      <c r="K148" s="316"/>
      <c r="L148" s="316"/>
      <c r="M148" s="316"/>
      <c r="N148" s="316"/>
    </row>
    <row r="149" spans="1:14" x14ac:dyDescent="0.2">
      <c r="A149" s="315"/>
      <c r="B149" s="316"/>
      <c r="C149" s="316"/>
      <c r="D149" s="316"/>
      <c r="E149" s="316"/>
      <c r="F149" s="316"/>
      <c r="G149" s="316"/>
      <c r="H149" s="316"/>
      <c r="I149" s="316"/>
      <c r="J149" s="316"/>
      <c r="K149" s="316"/>
      <c r="L149" s="316"/>
      <c r="M149" s="316"/>
      <c r="N149" s="316"/>
    </row>
    <row r="150" spans="1:14" x14ac:dyDescent="0.2">
      <c r="A150" s="315"/>
      <c r="B150" s="316"/>
      <c r="C150" s="316"/>
      <c r="D150" s="316"/>
      <c r="E150" s="316"/>
      <c r="F150" s="316"/>
      <c r="G150" s="316"/>
      <c r="H150" s="316"/>
      <c r="I150" s="316"/>
      <c r="J150" s="316"/>
      <c r="K150" s="316"/>
      <c r="L150" s="316"/>
      <c r="M150" s="316"/>
      <c r="N150" s="316"/>
    </row>
    <row r="151" spans="1:14" x14ac:dyDescent="0.2">
      <c r="A151" s="315"/>
      <c r="B151" s="316"/>
      <c r="C151" s="316"/>
      <c r="D151" s="316"/>
      <c r="E151" s="316"/>
      <c r="F151" s="316"/>
      <c r="G151" s="316"/>
      <c r="H151" s="316"/>
      <c r="I151" s="316"/>
      <c r="J151" s="316"/>
      <c r="K151" s="316"/>
      <c r="L151" s="316"/>
      <c r="M151" s="316"/>
      <c r="N151" s="316"/>
    </row>
    <row r="152" spans="1:14" x14ac:dyDescent="0.2">
      <c r="A152" s="315"/>
      <c r="B152" s="316"/>
      <c r="C152" s="316"/>
      <c r="D152" s="316"/>
      <c r="E152" s="316"/>
      <c r="F152" s="316"/>
      <c r="G152" s="316"/>
      <c r="H152" s="316"/>
      <c r="I152" s="316"/>
      <c r="J152" s="316"/>
      <c r="K152" s="316"/>
      <c r="L152" s="316"/>
      <c r="M152" s="316"/>
      <c r="N152" s="316"/>
    </row>
    <row r="153" spans="1:14" x14ac:dyDescent="0.2">
      <c r="A153" s="315"/>
      <c r="B153" s="316"/>
      <c r="C153" s="316"/>
      <c r="D153" s="316"/>
      <c r="E153" s="316"/>
      <c r="F153" s="316"/>
      <c r="G153" s="316"/>
      <c r="H153" s="316"/>
      <c r="I153" s="316"/>
      <c r="J153" s="316"/>
      <c r="K153" s="316"/>
      <c r="L153" s="316"/>
      <c r="M153" s="316"/>
      <c r="N153" s="316"/>
    </row>
    <row r="154" spans="1:14" x14ac:dyDescent="0.2">
      <c r="A154" s="315"/>
      <c r="B154" s="316"/>
      <c r="C154" s="316"/>
      <c r="D154" s="316"/>
      <c r="E154" s="316"/>
      <c r="F154" s="316"/>
      <c r="G154" s="316"/>
      <c r="H154" s="316"/>
      <c r="I154" s="316"/>
      <c r="J154" s="316"/>
      <c r="K154" s="316"/>
      <c r="L154" s="316"/>
      <c r="M154" s="316"/>
      <c r="N154" s="316"/>
    </row>
    <row r="155" spans="1:14" x14ac:dyDescent="0.2">
      <c r="A155" s="315"/>
      <c r="B155" s="316"/>
      <c r="C155" s="316"/>
      <c r="D155" s="316"/>
      <c r="E155" s="316"/>
      <c r="F155" s="316"/>
      <c r="G155" s="316"/>
      <c r="H155" s="316"/>
      <c r="I155" s="316"/>
      <c r="J155" s="316"/>
      <c r="K155" s="316"/>
      <c r="L155" s="316"/>
      <c r="M155" s="316"/>
      <c r="N155" s="316"/>
    </row>
    <row r="156" spans="1:14" x14ac:dyDescent="0.2">
      <c r="A156" s="315"/>
      <c r="B156" s="316"/>
      <c r="C156" s="316"/>
      <c r="D156" s="316"/>
      <c r="E156" s="316"/>
      <c r="F156" s="316"/>
      <c r="G156" s="316"/>
      <c r="H156" s="316"/>
      <c r="I156" s="316"/>
      <c r="J156" s="316"/>
      <c r="K156" s="316"/>
      <c r="L156" s="316"/>
      <c r="M156" s="316"/>
      <c r="N156" s="316"/>
    </row>
    <row r="157" spans="1:14" x14ac:dyDescent="0.2">
      <c r="A157" s="315"/>
      <c r="B157" s="316"/>
      <c r="C157" s="316"/>
      <c r="D157" s="316"/>
      <c r="E157" s="316"/>
      <c r="F157" s="316"/>
      <c r="G157" s="316"/>
      <c r="H157" s="316"/>
      <c r="I157" s="316"/>
      <c r="J157" s="316"/>
      <c r="K157" s="316"/>
      <c r="L157" s="316"/>
      <c r="M157" s="316"/>
      <c r="N157" s="316"/>
    </row>
    <row r="158" spans="1:14" x14ac:dyDescent="0.2">
      <c r="A158" s="315"/>
      <c r="B158" s="316"/>
      <c r="C158" s="316"/>
      <c r="D158" s="316"/>
      <c r="E158" s="316"/>
      <c r="F158" s="316"/>
      <c r="G158" s="316"/>
      <c r="H158" s="316"/>
      <c r="I158" s="316"/>
      <c r="J158" s="316"/>
      <c r="K158" s="316"/>
      <c r="L158" s="316"/>
      <c r="M158" s="316"/>
      <c r="N158" s="316"/>
    </row>
    <row r="159" spans="1:14" x14ac:dyDescent="0.2">
      <c r="A159" s="315"/>
      <c r="B159" s="316"/>
      <c r="C159" s="316"/>
      <c r="D159" s="316"/>
      <c r="E159" s="316"/>
      <c r="F159" s="316"/>
      <c r="G159" s="316"/>
      <c r="H159" s="316"/>
      <c r="I159" s="316"/>
      <c r="J159" s="316"/>
      <c r="K159" s="316"/>
      <c r="L159" s="316"/>
      <c r="M159" s="316"/>
      <c r="N159" s="316"/>
    </row>
    <row r="160" spans="1:14" x14ac:dyDescent="0.2">
      <c r="A160" s="315"/>
      <c r="B160" s="316"/>
      <c r="C160" s="316"/>
      <c r="D160" s="316"/>
      <c r="E160" s="316"/>
      <c r="F160" s="316"/>
      <c r="G160" s="316"/>
      <c r="H160" s="316"/>
      <c r="I160" s="316"/>
      <c r="J160" s="316"/>
      <c r="K160" s="316"/>
      <c r="L160" s="316"/>
      <c r="M160" s="316"/>
      <c r="N160" s="316"/>
    </row>
    <row r="161" spans="1:14" x14ac:dyDescent="0.2">
      <c r="A161" s="315"/>
      <c r="B161" s="316"/>
      <c r="C161" s="316"/>
      <c r="D161" s="316"/>
      <c r="E161" s="316"/>
      <c r="F161" s="316"/>
      <c r="G161" s="316"/>
      <c r="H161" s="316"/>
      <c r="I161" s="316"/>
      <c r="J161" s="316"/>
      <c r="K161" s="316"/>
      <c r="L161" s="316"/>
      <c r="M161" s="316"/>
      <c r="N161" s="316"/>
    </row>
    <row r="162" spans="1:14" x14ac:dyDescent="0.2">
      <c r="A162" s="315"/>
      <c r="B162" s="316"/>
      <c r="C162" s="316"/>
      <c r="D162" s="316"/>
      <c r="E162" s="316"/>
      <c r="F162" s="316"/>
      <c r="G162" s="316"/>
      <c r="H162" s="316"/>
      <c r="I162" s="316"/>
      <c r="J162" s="316"/>
      <c r="K162" s="316"/>
      <c r="L162" s="316"/>
      <c r="M162" s="316"/>
      <c r="N162" s="316"/>
    </row>
    <row r="163" spans="1:14" x14ac:dyDescent="0.2">
      <c r="A163" s="315"/>
      <c r="B163" s="316"/>
      <c r="C163" s="316"/>
      <c r="D163" s="316"/>
      <c r="E163" s="316"/>
      <c r="F163" s="316"/>
      <c r="G163" s="316"/>
      <c r="H163" s="316"/>
      <c r="I163" s="316"/>
      <c r="J163" s="316"/>
      <c r="K163" s="316"/>
      <c r="L163" s="316"/>
      <c r="M163" s="316"/>
      <c r="N163" s="316"/>
    </row>
    <row r="164" spans="1:14" x14ac:dyDescent="0.2">
      <c r="A164" s="315"/>
      <c r="B164" s="316"/>
      <c r="C164" s="316"/>
      <c r="D164" s="316"/>
      <c r="E164" s="316"/>
      <c r="F164" s="316"/>
      <c r="G164" s="316"/>
      <c r="H164" s="316"/>
      <c r="I164" s="316"/>
      <c r="J164" s="316"/>
      <c r="K164" s="316"/>
      <c r="L164" s="316"/>
      <c r="M164" s="316"/>
      <c r="N164" s="316"/>
    </row>
    <row r="165" spans="1:14" x14ac:dyDescent="0.2">
      <c r="A165" s="315"/>
      <c r="B165" s="316"/>
      <c r="C165" s="316"/>
      <c r="D165" s="316"/>
      <c r="E165" s="316"/>
      <c r="F165" s="316"/>
      <c r="G165" s="316"/>
      <c r="H165" s="316"/>
      <c r="I165" s="316"/>
      <c r="J165" s="316"/>
      <c r="K165" s="316"/>
      <c r="L165" s="316"/>
      <c r="M165" s="316"/>
      <c r="N165" s="316"/>
    </row>
    <row r="166" spans="1:14" x14ac:dyDescent="0.2">
      <c r="A166" s="315"/>
      <c r="B166" s="316"/>
      <c r="C166" s="316"/>
      <c r="D166" s="316"/>
      <c r="E166" s="316"/>
      <c r="F166" s="316"/>
      <c r="G166" s="316"/>
      <c r="H166" s="316"/>
      <c r="I166" s="316"/>
      <c r="J166" s="316"/>
      <c r="K166" s="316"/>
      <c r="L166" s="316"/>
      <c r="M166" s="316"/>
      <c r="N166" s="316"/>
    </row>
    <row r="167" spans="1:14" x14ac:dyDescent="0.2">
      <c r="A167" s="315"/>
      <c r="B167" s="316"/>
      <c r="C167" s="316"/>
      <c r="D167" s="316"/>
      <c r="E167" s="316"/>
      <c r="F167" s="316"/>
      <c r="G167" s="316"/>
      <c r="H167" s="316"/>
      <c r="I167" s="316"/>
      <c r="J167" s="316"/>
      <c r="K167" s="316"/>
      <c r="L167" s="316"/>
      <c r="M167" s="316"/>
      <c r="N167" s="316"/>
    </row>
    <row r="168" spans="1:14" x14ac:dyDescent="0.2">
      <c r="A168" s="315"/>
      <c r="B168" s="316"/>
      <c r="C168" s="316"/>
      <c r="D168" s="316"/>
      <c r="E168" s="316"/>
      <c r="F168" s="316"/>
      <c r="G168" s="316"/>
      <c r="H168" s="316"/>
      <c r="I168" s="316"/>
      <c r="J168" s="316"/>
      <c r="K168" s="316"/>
      <c r="L168" s="316"/>
      <c r="M168" s="316"/>
      <c r="N168" s="316"/>
    </row>
    <row r="169" spans="1:14" x14ac:dyDescent="0.2">
      <c r="A169" s="315"/>
      <c r="B169" s="316"/>
      <c r="C169" s="316"/>
      <c r="D169" s="316"/>
      <c r="E169" s="316"/>
      <c r="F169" s="316"/>
      <c r="G169" s="316"/>
      <c r="H169" s="316"/>
      <c r="I169" s="316"/>
      <c r="J169" s="316"/>
      <c r="K169" s="316"/>
      <c r="L169" s="316"/>
      <c r="M169" s="316"/>
      <c r="N169" s="316"/>
    </row>
    <row r="170" spans="1:14" x14ac:dyDescent="0.2">
      <c r="A170" s="315"/>
      <c r="B170" s="316"/>
      <c r="C170" s="316"/>
      <c r="D170" s="316"/>
      <c r="E170" s="316"/>
      <c r="F170" s="316"/>
      <c r="G170" s="316"/>
      <c r="H170" s="316"/>
      <c r="I170" s="316"/>
      <c r="J170" s="316"/>
      <c r="K170" s="316"/>
      <c r="L170" s="316"/>
      <c r="M170" s="316"/>
      <c r="N170" s="316"/>
    </row>
    <row r="171" spans="1:14" x14ac:dyDescent="0.2">
      <c r="A171" s="315"/>
      <c r="B171" s="316"/>
      <c r="C171" s="316"/>
      <c r="D171" s="316"/>
      <c r="E171" s="316"/>
      <c r="F171" s="316"/>
      <c r="G171" s="316"/>
      <c r="H171" s="316"/>
      <c r="I171" s="316"/>
      <c r="J171" s="316"/>
      <c r="K171" s="316"/>
      <c r="L171" s="316"/>
      <c r="M171" s="316"/>
      <c r="N171" s="316"/>
    </row>
    <row r="172" spans="1:14" x14ac:dyDescent="0.2">
      <c r="A172" s="315"/>
      <c r="B172" s="316"/>
      <c r="C172" s="316"/>
      <c r="D172" s="316"/>
      <c r="E172" s="316"/>
      <c r="F172" s="316"/>
      <c r="G172" s="316"/>
      <c r="H172" s="316"/>
      <c r="I172" s="316"/>
      <c r="J172" s="316"/>
      <c r="K172" s="316"/>
      <c r="L172" s="316"/>
      <c r="M172" s="316"/>
      <c r="N172" s="316"/>
    </row>
    <row r="173" spans="1:14" x14ac:dyDescent="0.2">
      <c r="A173" s="315"/>
      <c r="B173" s="316"/>
      <c r="C173" s="316"/>
      <c r="D173" s="316"/>
      <c r="E173" s="316"/>
      <c r="F173" s="316"/>
      <c r="G173" s="316"/>
      <c r="H173" s="316"/>
      <c r="I173" s="316"/>
      <c r="J173" s="316"/>
      <c r="K173" s="316"/>
      <c r="L173" s="316"/>
      <c r="M173" s="316"/>
      <c r="N173" s="316"/>
    </row>
    <row r="174" spans="1:14" x14ac:dyDescent="0.2">
      <c r="A174" s="315"/>
      <c r="B174" s="316"/>
      <c r="C174" s="316"/>
      <c r="D174" s="316"/>
      <c r="E174" s="316"/>
      <c r="F174" s="316"/>
      <c r="G174" s="316"/>
      <c r="H174" s="316"/>
      <c r="I174" s="316"/>
      <c r="J174" s="316"/>
      <c r="K174" s="316"/>
      <c r="L174" s="316"/>
      <c r="M174" s="316"/>
      <c r="N174" s="316"/>
    </row>
    <row r="175" spans="1:14" x14ac:dyDescent="0.2">
      <c r="A175" s="315"/>
      <c r="B175" s="316"/>
      <c r="C175" s="316"/>
      <c r="D175" s="316"/>
      <c r="E175" s="316"/>
      <c r="F175" s="316"/>
      <c r="G175" s="316"/>
      <c r="H175" s="316"/>
      <c r="I175" s="316"/>
      <c r="J175" s="316"/>
      <c r="K175" s="316"/>
      <c r="L175" s="316"/>
      <c r="M175" s="316"/>
      <c r="N175" s="316"/>
    </row>
    <row r="176" spans="1:14" x14ac:dyDescent="0.2">
      <c r="A176" s="315"/>
      <c r="B176" s="316"/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</row>
    <row r="177" spans="1:14" x14ac:dyDescent="0.2">
      <c r="A177" s="315"/>
      <c r="B177" s="316"/>
      <c r="C177" s="316"/>
      <c r="D177" s="316"/>
      <c r="E177" s="316"/>
      <c r="F177" s="316"/>
      <c r="G177" s="316"/>
      <c r="H177" s="316"/>
      <c r="I177" s="316"/>
      <c r="J177" s="316"/>
      <c r="K177" s="316"/>
      <c r="L177" s="316"/>
      <c r="M177" s="316"/>
      <c r="N177" s="316"/>
    </row>
    <row r="178" spans="1:14" x14ac:dyDescent="0.2">
      <c r="A178" s="315"/>
      <c r="B178" s="316"/>
      <c r="C178" s="316"/>
      <c r="D178" s="316"/>
      <c r="E178" s="316"/>
      <c r="F178" s="316"/>
      <c r="G178" s="316"/>
      <c r="H178" s="316"/>
      <c r="I178" s="316"/>
      <c r="J178" s="316"/>
      <c r="K178" s="316"/>
      <c r="L178" s="316"/>
      <c r="M178" s="316"/>
      <c r="N178" s="316"/>
    </row>
    <row r="179" spans="1:14" x14ac:dyDescent="0.2">
      <c r="A179" s="315"/>
      <c r="B179" s="316"/>
      <c r="C179" s="316"/>
      <c r="D179" s="316"/>
      <c r="E179" s="316"/>
      <c r="F179" s="316"/>
      <c r="G179" s="316"/>
      <c r="H179" s="316"/>
      <c r="I179" s="316"/>
      <c r="J179" s="316"/>
      <c r="K179" s="316"/>
      <c r="L179" s="316"/>
      <c r="M179" s="316"/>
      <c r="N179" s="316"/>
    </row>
    <row r="180" spans="1:14" x14ac:dyDescent="0.2">
      <c r="A180" s="315"/>
      <c r="B180" s="316"/>
      <c r="C180" s="316"/>
      <c r="D180" s="316"/>
      <c r="E180" s="316"/>
      <c r="F180" s="316"/>
      <c r="G180" s="316"/>
      <c r="H180" s="316"/>
      <c r="I180" s="316"/>
      <c r="J180" s="316"/>
      <c r="K180" s="316"/>
      <c r="L180" s="316"/>
      <c r="M180" s="316"/>
      <c r="N180" s="316"/>
    </row>
    <row r="181" spans="1:14" x14ac:dyDescent="0.2">
      <c r="A181" s="315"/>
      <c r="B181" s="316"/>
      <c r="C181" s="316"/>
      <c r="D181" s="316"/>
      <c r="E181" s="316"/>
      <c r="F181" s="316"/>
      <c r="G181" s="316"/>
      <c r="H181" s="316"/>
      <c r="I181" s="316"/>
      <c r="J181" s="316"/>
      <c r="K181" s="316"/>
      <c r="L181" s="316"/>
      <c r="M181" s="316"/>
      <c r="N181" s="316"/>
    </row>
    <row r="182" spans="1:14" x14ac:dyDescent="0.2">
      <c r="A182" s="315"/>
      <c r="B182" s="316"/>
      <c r="C182" s="316"/>
      <c r="D182" s="316"/>
      <c r="E182" s="316"/>
      <c r="F182" s="316"/>
      <c r="G182" s="316"/>
      <c r="H182" s="316"/>
      <c r="I182" s="316"/>
      <c r="J182" s="316"/>
      <c r="K182" s="316"/>
      <c r="L182" s="316"/>
      <c r="M182" s="316"/>
      <c r="N182" s="316"/>
    </row>
    <row r="183" spans="1:14" x14ac:dyDescent="0.2">
      <c r="A183" s="315"/>
      <c r="B183" s="316"/>
      <c r="C183" s="316"/>
      <c r="D183" s="316"/>
      <c r="E183" s="316"/>
      <c r="F183" s="316"/>
      <c r="G183" s="316"/>
      <c r="H183" s="316"/>
      <c r="I183" s="316"/>
      <c r="J183" s="316"/>
      <c r="K183" s="316"/>
      <c r="L183" s="316"/>
      <c r="M183" s="316"/>
      <c r="N183" s="316"/>
    </row>
    <row r="184" spans="1:14" x14ac:dyDescent="0.2">
      <c r="A184" s="315"/>
      <c r="B184" s="316"/>
      <c r="C184" s="316"/>
      <c r="D184" s="316"/>
      <c r="E184" s="316"/>
      <c r="F184" s="316"/>
      <c r="G184" s="316"/>
      <c r="H184" s="316"/>
      <c r="I184" s="316"/>
      <c r="J184" s="316"/>
      <c r="K184" s="316"/>
      <c r="L184" s="316"/>
      <c r="M184" s="316"/>
      <c r="N184" s="316"/>
    </row>
    <row r="185" spans="1:14" x14ac:dyDescent="0.2">
      <c r="A185" s="315"/>
      <c r="B185" s="316"/>
      <c r="C185" s="316"/>
      <c r="D185" s="316"/>
      <c r="E185" s="316"/>
      <c r="F185" s="316"/>
      <c r="G185" s="316"/>
      <c r="H185" s="316"/>
      <c r="I185" s="316"/>
      <c r="J185" s="316"/>
      <c r="K185" s="316"/>
      <c r="L185" s="316"/>
      <c r="M185" s="316"/>
      <c r="N185" s="316"/>
    </row>
    <row r="186" spans="1:14" x14ac:dyDescent="0.2">
      <c r="A186" s="315"/>
      <c r="B186" s="316"/>
      <c r="C186" s="316"/>
      <c r="D186" s="316"/>
      <c r="E186" s="316"/>
      <c r="F186" s="316"/>
      <c r="G186" s="316"/>
      <c r="H186" s="316"/>
      <c r="I186" s="316"/>
      <c r="J186" s="316"/>
      <c r="K186" s="316"/>
      <c r="L186" s="316"/>
      <c r="M186" s="316"/>
      <c r="N186" s="316"/>
    </row>
    <row r="187" spans="1:14" x14ac:dyDescent="0.2">
      <c r="A187" s="315"/>
      <c r="B187" s="316"/>
      <c r="C187" s="316"/>
      <c r="D187" s="316"/>
      <c r="E187" s="316"/>
      <c r="F187" s="316"/>
      <c r="G187" s="316"/>
      <c r="H187" s="316"/>
      <c r="I187" s="316"/>
      <c r="J187" s="316"/>
      <c r="K187" s="316"/>
      <c r="L187" s="316"/>
      <c r="M187" s="316"/>
      <c r="N187" s="316"/>
    </row>
    <row r="188" spans="1:14" x14ac:dyDescent="0.2">
      <c r="A188" s="315"/>
      <c r="B188" s="316"/>
      <c r="C188" s="316"/>
      <c r="D188" s="316"/>
      <c r="E188" s="316"/>
      <c r="F188" s="316"/>
      <c r="G188" s="316"/>
      <c r="H188" s="316"/>
      <c r="I188" s="316"/>
      <c r="J188" s="316"/>
      <c r="K188" s="316"/>
      <c r="L188" s="316"/>
      <c r="M188" s="316"/>
      <c r="N188" s="316"/>
    </row>
    <row r="189" spans="1:14" x14ac:dyDescent="0.2">
      <c r="A189" s="315"/>
      <c r="B189" s="316"/>
      <c r="C189" s="316"/>
      <c r="D189" s="316"/>
      <c r="E189" s="316"/>
      <c r="F189" s="316"/>
      <c r="G189" s="316"/>
      <c r="H189" s="316"/>
      <c r="I189" s="316"/>
      <c r="J189" s="316"/>
      <c r="K189" s="316"/>
      <c r="L189" s="316"/>
      <c r="M189" s="316"/>
      <c r="N189" s="316"/>
    </row>
    <row r="190" spans="1:14" x14ac:dyDescent="0.2">
      <c r="A190" s="315"/>
      <c r="B190" s="316"/>
      <c r="C190" s="316"/>
      <c r="D190" s="316"/>
      <c r="E190" s="316"/>
      <c r="F190" s="316"/>
      <c r="G190" s="316"/>
      <c r="H190" s="316"/>
      <c r="I190" s="316"/>
      <c r="J190" s="316"/>
      <c r="K190" s="316"/>
      <c r="L190" s="316"/>
      <c r="M190" s="316"/>
      <c r="N190" s="316"/>
    </row>
    <row r="191" spans="1:14" x14ac:dyDescent="0.2">
      <c r="A191" s="315"/>
      <c r="B191" s="316"/>
      <c r="C191" s="316"/>
      <c r="D191" s="316"/>
      <c r="E191" s="316"/>
      <c r="F191" s="316"/>
      <c r="G191" s="316"/>
      <c r="H191" s="316"/>
      <c r="I191" s="316"/>
      <c r="J191" s="316"/>
      <c r="K191" s="316"/>
      <c r="L191" s="316"/>
      <c r="M191" s="316"/>
      <c r="N191" s="316"/>
    </row>
    <row r="192" spans="1:14" x14ac:dyDescent="0.2">
      <c r="A192" s="315"/>
      <c r="B192" s="316"/>
      <c r="C192" s="316"/>
      <c r="D192" s="316"/>
      <c r="E192" s="316"/>
      <c r="F192" s="316"/>
      <c r="G192" s="316"/>
      <c r="H192" s="316"/>
      <c r="I192" s="316"/>
      <c r="J192" s="316"/>
      <c r="K192" s="316"/>
      <c r="L192" s="316"/>
      <c r="M192" s="316"/>
      <c r="N192" s="316"/>
    </row>
    <row r="193" spans="1:14" x14ac:dyDescent="0.2">
      <c r="A193" s="315"/>
      <c r="B193" s="316"/>
      <c r="C193" s="316"/>
      <c r="D193" s="316"/>
      <c r="E193" s="316"/>
      <c r="F193" s="316"/>
      <c r="G193" s="316"/>
      <c r="H193" s="316"/>
      <c r="I193" s="316"/>
      <c r="J193" s="316"/>
      <c r="K193" s="316"/>
      <c r="L193" s="316"/>
      <c r="M193" s="316"/>
      <c r="N193" s="316"/>
    </row>
    <row r="194" spans="1:14" x14ac:dyDescent="0.2">
      <c r="A194" s="315"/>
      <c r="B194" s="316"/>
      <c r="C194" s="316"/>
      <c r="D194" s="316"/>
      <c r="E194" s="316"/>
      <c r="F194" s="316"/>
      <c r="G194" s="316"/>
      <c r="H194" s="316"/>
      <c r="I194" s="316"/>
      <c r="J194" s="316"/>
      <c r="K194" s="316"/>
      <c r="L194" s="316"/>
      <c r="M194" s="316"/>
      <c r="N194" s="316"/>
    </row>
    <row r="195" spans="1:14" x14ac:dyDescent="0.2">
      <c r="A195" s="315"/>
      <c r="B195" s="316"/>
      <c r="C195" s="316"/>
      <c r="D195" s="316"/>
      <c r="E195" s="316"/>
      <c r="F195" s="316"/>
      <c r="G195" s="316"/>
      <c r="H195" s="316"/>
      <c r="I195" s="316"/>
      <c r="J195" s="316"/>
      <c r="K195" s="316"/>
      <c r="L195" s="316"/>
      <c r="M195" s="316"/>
      <c r="N195" s="316"/>
    </row>
    <row r="196" spans="1:14" x14ac:dyDescent="0.2">
      <c r="A196" s="315"/>
      <c r="B196" s="316"/>
      <c r="C196" s="316"/>
      <c r="D196" s="316"/>
      <c r="E196" s="316"/>
      <c r="F196" s="316"/>
      <c r="G196" s="316"/>
      <c r="H196" s="316"/>
      <c r="I196" s="316"/>
      <c r="J196" s="316"/>
      <c r="K196" s="316"/>
      <c r="L196" s="316"/>
      <c r="M196" s="316"/>
      <c r="N196" s="316"/>
    </row>
    <row r="197" spans="1:14" x14ac:dyDescent="0.2">
      <c r="A197" s="315"/>
      <c r="B197" s="316"/>
      <c r="C197" s="316"/>
      <c r="D197" s="316"/>
      <c r="E197" s="316"/>
      <c r="F197" s="316"/>
      <c r="G197" s="316"/>
      <c r="H197" s="316"/>
      <c r="I197" s="316"/>
      <c r="J197" s="316"/>
      <c r="K197" s="316"/>
      <c r="L197" s="316"/>
      <c r="M197" s="316"/>
      <c r="N197" s="316"/>
    </row>
    <row r="198" spans="1:14" x14ac:dyDescent="0.2">
      <c r="A198" s="315"/>
      <c r="B198" s="316"/>
      <c r="C198" s="316"/>
      <c r="D198" s="316"/>
      <c r="E198" s="316"/>
      <c r="F198" s="316"/>
      <c r="G198" s="316"/>
      <c r="H198" s="316"/>
      <c r="I198" s="316"/>
      <c r="J198" s="316"/>
      <c r="K198" s="316"/>
      <c r="L198" s="316"/>
      <c r="M198" s="316"/>
      <c r="N198" s="316"/>
    </row>
    <row r="199" spans="1:14" x14ac:dyDescent="0.2">
      <c r="A199" s="315"/>
      <c r="B199" s="316"/>
      <c r="C199" s="316"/>
      <c r="D199" s="316"/>
      <c r="E199" s="316"/>
      <c r="F199" s="316"/>
      <c r="G199" s="316"/>
      <c r="H199" s="316"/>
      <c r="I199" s="316"/>
      <c r="J199" s="316"/>
      <c r="K199" s="316"/>
      <c r="L199" s="316"/>
      <c r="M199" s="316"/>
      <c r="N199" s="316"/>
    </row>
    <row r="200" spans="1:14" x14ac:dyDescent="0.2">
      <c r="A200" s="315"/>
      <c r="B200" s="316"/>
      <c r="C200" s="316"/>
      <c r="D200" s="316"/>
      <c r="E200" s="316"/>
      <c r="F200" s="316"/>
      <c r="G200" s="316"/>
      <c r="H200" s="316"/>
      <c r="I200" s="316"/>
      <c r="J200" s="316"/>
      <c r="K200" s="316"/>
      <c r="L200" s="316"/>
      <c r="M200" s="316"/>
      <c r="N200" s="316"/>
    </row>
    <row r="201" spans="1:14" x14ac:dyDescent="0.2">
      <c r="A201" s="315"/>
      <c r="B201" s="316"/>
      <c r="C201" s="316"/>
      <c r="D201" s="316"/>
      <c r="E201" s="316"/>
      <c r="F201" s="316"/>
      <c r="G201" s="316"/>
      <c r="H201" s="316"/>
      <c r="I201" s="316"/>
      <c r="J201" s="316"/>
      <c r="K201" s="316"/>
      <c r="L201" s="316"/>
      <c r="M201" s="316"/>
      <c r="N201" s="316"/>
    </row>
    <row r="202" spans="1:14" x14ac:dyDescent="0.2">
      <c r="A202" s="315"/>
      <c r="B202" s="316"/>
      <c r="C202" s="316"/>
      <c r="D202" s="316"/>
      <c r="E202" s="316"/>
      <c r="F202" s="316"/>
      <c r="G202" s="316"/>
      <c r="H202" s="316"/>
      <c r="I202" s="316"/>
      <c r="J202" s="316"/>
      <c r="K202" s="316"/>
      <c r="L202" s="316"/>
      <c r="M202" s="316"/>
      <c r="N202" s="316"/>
    </row>
    <row r="203" spans="1:14" x14ac:dyDescent="0.2">
      <c r="A203" s="315"/>
      <c r="B203" s="316"/>
      <c r="C203" s="318"/>
      <c r="D203" s="318"/>
      <c r="E203" s="318"/>
      <c r="F203" s="318"/>
      <c r="G203" s="318"/>
      <c r="H203" s="318"/>
      <c r="I203" s="318"/>
      <c r="J203" s="318"/>
      <c r="K203" s="318"/>
      <c r="L203" s="318"/>
      <c r="M203" s="318"/>
      <c r="N203" s="318"/>
    </row>
    <row r="204" spans="1:14" x14ac:dyDescent="0.2">
      <c r="A204" s="315"/>
      <c r="B204" s="316"/>
      <c r="C204" s="316"/>
      <c r="D204" s="316"/>
      <c r="E204" s="316"/>
      <c r="F204" s="316"/>
      <c r="G204" s="316"/>
      <c r="H204" s="316"/>
      <c r="I204" s="316"/>
      <c r="J204" s="316"/>
      <c r="K204" s="316"/>
      <c r="L204" s="316"/>
      <c r="M204" s="316"/>
      <c r="N204" s="316"/>
    </row>
    <row r="205" spans="1:14" x14ac:dyDescent="0.2">
      <c r="A205" s="315"/>
      <c r="B205" s="316"/>
      <c r="C205" s="316"/>
      <c r="D205" s="316"/>
      <c r="E205" s="316"/>
      <c r="F205" s="316"/>
      <c r="G205" s="316"/>
      <c r="H205" s="316"/>
      <c r="I205" s="316"/>
      <c r="J205" s="316"/>
      <c r="K205" s="316"/>
      <c r="L205" s="316"/>
      <c r="M205" s="316"/>
      <c r="N205" s="316"/>
    </row>
    <row r="206" spans="1:14" x14ac:dyDescent="0.2">
      <c r="A206" s="315"/>
      <c r="B206" s="316"/>
      <c r="C206" s="316"/>
      <c r="D206" s="316"/>
      <c r="E206" s="316"/>
      <c r="F206" s="316"/>
      <c r="G206" s="316"/>
      <c r="H206" s="316"/>
      <c r="I206" s="316"/>
      <c r="J206" s="316"/>
      <c r="K206" s="316"/>
      <c r="L206" s="316"/>
      <c r="M206" s="316"/>
      <c r="N206" s="316"/>
    </row>
    <row r="207" spans="1:14" x14ac:dyDescent="0.2">
      <c r="A207" s="315"/>
      <c r="B207" s="316"/>
      <c r="C207" s="316"/>
      <c r="D207" s="316"/>
      <c r="E207" s="316"/>
      <c r="F207" s="316"/>
      <c r="G207" s="316"/>
      <c r="H207" s="316"/>
      <c r="I207" s="316"/>
      <c r="J207" s="316"/>
      <c r="K207" s="316"/>
      <c r="L207" s="316"/>
      <c r="M207" s="316"/>
      <c r="N207" s="316"/>
    </row>
    <row r="208" spans="1:14" x14ac:dyDescent="0.2">
      <c r="A208" s="315"/>
      <c r="B208" s="316"/>
      <c r="C208" s="316"/>
      <c r="D208" s="316"/>
      <c r="E208" s="316"/>
      <c r="F208" s="316"/>
      <c r="G208" s="316"/>
      <c r="H208" s="316"/>
      <c r="I208" s="316"/>
      <c r="J208" s="316"/>
      <c r="K208" s="316"/>
      <c r="L208" s="316"/>
      <c r="M208" s="316"/>
      <c r="N208" s="316"/>
    </row>
    <row r="209" spans="1:14" x14ac:dyDescent="0.2">
      <c r="A209" s="315"/>
      <c r="B209" s="316"/>
      <c r="C209" s="316"/>
      <c r="D209" s="316"/>
      <c r="E209" s="316"/>
      <c r="F209" s="316"/>
      <c r="G209" s="316"/>
      <c r="H209" s="316"/>
      <c r="I209" s="316"/>
      <c r="J209" s="316"/>
      <c r="K209" s="316"/>
      <c r="L209" s="316"/>
      <c r="M209" s="316"/>
      <c r="N209" s="316"/>
    </row>
    <row r="210" spans="1:14" x14ac:dyDescent="0.2">
      <c r="A210" s="315"/>
      <c r="B210" s="316"/>
      <c r="C210" s="316"/>
      <c r="D210" s="316"/>
      <c r="E210" s="316"/>
      <c r="F210" s="316"/>
      <c r="G210" s="316"/>
      <c r="H210" s="316"/>
      <c r="I210" s="316"/>
      <c r="J210" s="316"/>
      <c r="K210" s="316"/>
      <c r="L210" s="316"/>
      <c r="M210" s="316"/>
      <c r="N210" s="316"/>
    </row>
    <row r="211" spans="1:14" x14ac:dyDescent="0.2">
      <c r="A211" s="315"/>
      <c r="B211" s="316"/>
      <c r="C211" s="316"/>
      <c r="D211" s="316"/>
      <c r="E211" s="316"/>
      <c r="F211" s="316"/>
      <c r="G211" s="316"/>
      <c r="H211" s="316"/>
      <c r="I211" s="316"/>
      <c r="J211" s="316"/>
      <c r="K211" s="316"/>
      <c r="L211" s="316"/>
      <c r="M211" s="316"/>
      <c r="N211" s="316"/>
    </row>
    <row r="212" spans="1:14" x14ac:dyDescent="0.2">
      <c r="A212" s="315"/>
      <c r="B212" s="316"/>
      <c r="C212" s="316"/>
      <c r="D212" s="316"/>
      <c r="E212" s="316"/>
      <c r="F212" s="316"/>
      <c r="G212" s="316"/>
      <c r="H212" s="316"/>
      <c r="I212" s="316"/>
      <c r="J212" s="316"/>
      <c r="K212" s="316"/>
      <c r="L212" s="316"/>
      <c r="M212" s="316"/>
      <c r="N212" s="316"/>
    </row>
    <row r="213" spans="1:14" x14ac:dyDescent="0.2">
      <c r="A213" s="315"/>
      <c r="B213" s="316"/>
      <c r="C213" s="316"/>
      <c r="D213" s="316"/>
      <c r="E213" s="316"/>
      <c r="F213" s="316"/>
      <c r="G213" s="316"/>
      <c r="H213" s="316"/>
      <c r="I213" s="316"/>
      <c r="J213" s="316"/>
      <c r="K213" s="316"/>
      <c r="L213" s="316"/>
      <c r="M213" s="316"/>
      <c r="N213" s="316"/>
    </row>
    <row r="214" spans="1:14" x14ac:dyDescent="0.2">
      <c r="A214" s="315"/>
      <c r="B214" s="316"/>
      <c r="C214" s="316"/>
      <c r="D214" s="316"/>
      <c r="E214" s="316"/>
      <c r="F214" s="316"/>
      <c r="G214" s="316"/>
      <c r="H214" s="316"/>
      <c r="I214" s="316"/>
      <c r="J214" s="316"/>
      <c r="K214" s="316"/>
      <c r="L214" s="316"/>
      <c r="M214" s="316"/>
      <c r="N214" s="316"/>
    </row>
    <row r="215" spans="1:14" x14ac:dyDescent="0.2">
      <c r="A215" s="315"/>
      <c r="B215" s="316"/>
      <c r="C215" s="316"/>
      <c r="D215" s="316"/>
      <c r="E215" s="316"/>
      <c r="F215" s="316"/>
      <c r="G215" s="316"/>
      <c r="H215" s="316"/>
      <c r="I215" s="316"/>
      <c r="J215" s="316"/>
      <c r="K215" s="316"/>
      <c r="L215" s="316"/>
      <c r="M215" s="316"/>
      <c r="N215" s="316"/>
    </row>
    <row r="216" spans="1:14" x14ac:dyDescent="0.2">
      <c r="A216" s="315"/>
      <c r="B216" s="316"/>
      <c r="C216" s="316"/>
      <c r="D216" s="316"/>
      <c r="E216" s="316"/>
      <c r="F216" s="316"/>
      <c r="G216" s="316"/>
      <c r="H216" s="316"/>
      <c r="I216" s="316"/>
      <c r="J216" s="316"/>
      <c r="K216" s="316"/>
      <c r="L216" s="316"/>
      <c r="M216" s="316"/>
      <c r="N216" s="316"/>
    </row>
    <row r="217" spans="1:14" x14ac:dyDescent="0.2">
      <c r="A217" s="315"/>
      <c r="B217" s="316"/>
      <c r="C217" s="316"/>
      <c r="D217" s="316"/>
      <c r="E217" s="316"/>
      <c r="F217" s="316"/>
      <c r="G217" s="316"/>
      <c r="H217" s="316"/>
      <c r="I217" s="316"/>
      <c r="J217" s="316"/>
      <c r="K217" s="316"/>
      <c r="L217" s="316"/>
      <c r="M217" s="316"/>
      <c r="N217" s="316"/>
    </row>
    <row r="218" spans="1:14" x14ac:dyDescent="0.2">
      <c r="A218" s="315"/>
      <c r="B218" s="316"/>
      <c r="C218" s="316"/>
      <c r="D218" s="316"/>
      <c r="E218" s="316"/>
      <c r="F218" s="316"/>
      <c r="G218" s="316"/>
      <c r="H218" s="316"/>
      <c r="I218" s="316"/>
      <c r="J218" s="316"/>
      <c r="K218" s="316"/>
      <c r="L218" s="316"/>
      <c r="M218" s="316"/>
      <c r="N218" s="316"/>
    </row>
    <row r="219" spans="1:14" x14ac:dyDescent="0.2">
      <c r="A219" s="315"/>
      <c r="B219" s="316"/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</row>
    <row r="220" spans="1:14" x14ac:dyDescent="0.2">
      <c r="A220" s="315"/>
      <c r="B220" s="316"/>
      <c r="C220" s="316"/>
      <c r="D220" s="316"/>
      <c r="E220" s="316"/>
      <c r="F220" s="316"/>
      <c r="G220" s="316"/>
      <c r="H220" s="316"/>
      <c r="I220" s="316"/>
      <c r="J220" s="316"/>
      <c r="K220" s="316"/>
      <c r="L220" s="316"/>
      <c r="M220" s="316"/>
      <c r="N220" s="316"/>
    </row>
    <row r="221" spans="1:14" x14ac:dyDescent="0.2">
      <c r="A221" s="315"/>
      <c r="B221" s="316"/>
      <c r="C221" s="316"/>
      <c r="D221" s="316"/>
      <c r="E221" s="316"/>
      <c r="F221" s="316"/>
      <c r="G221" s="316"/>
      <c r="H221" s="316"/>
      <c r="I221" s="316"/>
      <c r="J221" s="316"/>
      <c r="K221" s="316"/>
      <c r="L221" s="316"/>
      <c r="M221" s="316"/>
      <c r="N221" s="316"/>
    </row>
    <row r="222" spans="1:14" x14ac:dyDescent="0.2">
      <c r="A222" s="315"/>
      <c r="B222" s="316"/>
      <c r="C222" s="316"/>
      <c r="D222" s="316"/>
      <c r="E222" s="316"/>
      <c r="F222" s="316"/>
      <c r="G222" s="316"/>
      <c r="H222" s="316"/>
      <c r="I222" s="316"/>
      <c r="J222" s="316"/>
      <c r="K222" s="316"/>
      <c r="L222" s="316"/>
      <c r="M222" s="316"/>
      <c r="N222" s="316"/>
    </row>
    <row r="223" spans="1:14" x14ac:dyDescent="0.2">
      <c r="A223" s="315"/>
      <c r="B223" s="316"/>
      <c r="C223" s="316"/>
      <c r="D223" s="316"/>
      <c r="E223" s="316"/>
      <c r="F223" s="316"/>
      <c r="G223" s="316"/>
      <c r="H223" s="316"/>
      <c r="I223" s="316"/>
      <c r="J223" s="316"/>
      <c r="K223" s="316"/>
      <c r="L223" s="316"/>
      <c r="M223" s="316"/>
      <c r="N223" s="316"/>
    </row>
    <row r="224" spans="1:14" x14ac:dyDescent="0.2">
      <c r="A224" s="315"/>
      <c r="B224" s="316"/>
      <c r="C224" s="316"/>
      <c r="D224" s="316"/>
      <c r="E224" s="316"/>
      <c r="F224" s="316"/>
      <c r="G224" s="316"/>
      <c r="H224" s="316"/>
      <c r="I224" s="316"/>
      <c r="J224" s="316"/>
      <c r="K224" s="316"/>
      <c r="L224" s="316"/>
      <c r="M224" s="316"/>
      <c r="N224" s="316"/>
    </row>
    <row r="225" spans="1:14" x14ac:dyDescent="0.2">
      <c r="A225" s="315"/>
      <c r="B225" s="316"/>
      <c r="C225" s="316"/>
      <c r="D225" s="316"/>
      <c r="E225" s="316"/>
      <c r="F225" s="316"/>
      <c r="G225" s="316"/>
      <c r="H225" s="316"/>
      <c r="I225" s="316"/>
      <c r="J225" s="316"/>
      <c r="K225" s="316"/>
      <c r="L225" s="316"/>
      <c r="M225" s="316"/>
      <c r="N225" s="316"/>
    </row>
    <row r="226" spans="1:14" x14ac:dyDescent="0.2">
      <c r="A226" s="315"/>
      <c r="B226" s="316"/>
      <c r="C226" s="316"/>
      <c r="D226" s="316"/>
      <c r="E226" s="316"/>
      <c r="F226" s="316"/>
      <c r="G226" s="316"/>
      <c r="H226" s="316"/>
      <c r="I226" s="316"/>
      <c r="J226" s="316"/>
      <c r="K226" s="316"/>
      <c r="L226" s="316"/>
      <c r="M226" s="316"/>
      <c r="N226" s="316"/>
    </row>
    <row r="227" spans="1:14" x14ac:dyDescent="0.2">
      <c r="A227" s="315"/>
      <c r="B227" s="316"/>
      <c r="C227" s="316"/>
      <c r="D227" s="316"/>
      <c r="E227" s="316"/>
      <c r="F227" s="316"/>
      <c r="G227" s="316"/>
      <c r="H227" s="316"/>
      <c r="I227" s="316"/>
      <c r="J227" s="316"/>
      <c r="K227" s="316"/>
      <c r="L227" s="316"/>
      <c r="M227" s="316"/>
      <c r="N227" s="316"/>
    </row>
    <row r="228" spans="1:14" x14ac:dyDescent="0.2">
      <c r="A228" s="315"/>
      <c r="B228" s="316"/>
      <c r="C228" s="316"/>
      <c r="D228" s="316"/>
      <c r="E228" s="316"/>
      <c r="F228" s="316"/>
      <c r="G228" s="316"/>
      <c r="H228" s="316"/>
      <c r="I228" s="316"/>
      <c r="J228" s="316"/>
      <c r="K228" s="316"/>
      <c r="L228" s="316"/>
      <c r="M228" s="316"/>
      <c r="N228" s="316"/>
    </row>
    <row r="229" spans="1:14" x14ac:dyDescent="0.2">
      <c r="A229" s="315"/>
      <c r="B229" s="316"/>
      <c r="C229" s="316"/>
      <c r="D229" s="316"/>
      <c r="E229" s="316"/>
      <c r="F229" s="316"/>
      <c r="G229" s="316"/>
      <c r="H229" s="316"/>
      <c r="I229" s="316"/>
      <c r="J229" s="316"/>
      <c r="K229" s="316"/>
      <c r="L229" s="316"/>
      <c r="M229" s="316"/>
      <c r="N229" s="316"/>
    </row>
    <row r="230" spans="1:14" x14ac:dyDescent="0.2">
      <c r="A230" s="315"/>
      <c r="B230" s="316"/>
      <c r="C230" s="316"/>
      <c r="D230" s="316"/>
      <c r="E230" s="316"/>
      <c r="F230" s="316"/>
      <c r="G230" s="316"/>
      <c r="H230" s="316"/>
      <c r="I230" s="316"/>
      <c r="J230" s="316"/>
      <c r="K230" s="316"/>
      <c r="L230" s="316"/>
      <c r="M230" s="316"/>
      <c r="N230" s="316"/>
    </row>
    <row r="231" spans="1:14" x14ac:dyDescent="0.2">
      <c r="A231" s="315"/>
      <c r="B231" s="316"/>
      <c r="C231" s="316"/>
      <c r="D231" s="316"/>
      <c r="E231" s="316"/>
      <c r="F231" s="316"/>
      <c r="G231" s="316"/>
      <c r="H231" s="316"/>
      <c r="I231" s="316"/>
      <c r="J231" s="316"/>
      <c r="K231" s="316"/>
      <c r="L231" s="316"/>
      <c r="M231" s="316"/>
      <c r="N231" s="316"/>
    </row>
    <row r="232" spans="1:14" x14ac:dyDescent="0.2">
      <c r="A232" s="315"/>
      <c r="B232" s="316"/>
      <c r="C232" s="316"/>
      <c r="D232" s="316"/>
      <c r="E232" s="316"/>
      <c r="F232" s="316"/>
      <c r="G232" s="316"/>
      <c r="H232" s="316"/>
      <c r="I232" s="316"/>
      <c r="J232" s="316"/>
      <c r="K232" s="316"/>
      <c r="L232" s="316"/>
      <c r="M232" s="316"/>
      <c r="N232" s="316"/>
    </row>
    <row r="233" spans="1:14" x14ac:dyDescent="0.2">
      <c r="A233" s="315"/>
      <c r="B233" s="316"/>
      <c r="C233" s="316"/>
      <c r="D233" s="316"/>
      <c r="E233" s="316"/>
      <c r="F233" s="316"/>
      <c r="G233" s="316"/>
      <c r="H233" s="316"/>
      <c r="I233" s="316"/>
      <c r="J233" s="316"/>
      <c r="K233" s="316"/>
      <c r="L233" s="316"/>
      <c r="M233" s="316"/>
      <c r="N233" s="316"/>
    </row>
    <row r="234" spans="1:14" x14ac:dyDescent="0.2">
      <c r="A234" s="315"/>
      <c r="B234" s="316"/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</row>
    <row r="235" spans="1:14" x14ac:dyDescent="0.2">
      <c r="A235" s="315"/>
      <c r="B235" s="316"/>
      <c r="C235" s="316"/>
      <c r="D235" s="316"/>
      <c r="E235" s="316"/>
      <c r="F235" s="316"/>
      <c r="G235" s="316"/>
      <c r="H235" s="316"/>
      <c r="I235" s="316"/>
      <c r="J235" s="316"/>
      <c r="K235" s="316"/>
      <c r="L235" s="316"/>
      <c r="M235" s="316"/>
      <c r="N235" s="316"/>
    </row>
    <row r="236" spans="1:14" x14ac:dyDescent="0.2">
      <c r="A236" s="315"/>
      <c r="B236" s="316"/>
      <c r="C236" s="316"/>
      <c r="D236" s="316"/>
      <c r="E236" s="316"/>
      <c r="F236" s="316"/>
      <c r="G236" s="316"/>
      <c r="H236" s="316"/>
      <c r="I236" s="316"/>
      <c r="J236" s="316"/>
      <c r="K236" s="316"/>
      <c r="L236" s="316"/>
      <c r="M236" s="316"/>
      <c r="N236" s="316"/>
    </row>
    <row r="237" spans="1:14" x14ac:dyDescent="0.2">
      <c r="A237" s="315"/>
      <c r="B237" s="316"/>
      <c r="C237" s="316"/>
      <c r="D237" s="316"/>
      <c r="E237" s="316"/>
      <c r="F237" s="316"/>
      <c r="G237" s="316"/>
      <c r="H237" s="316"/>
      <c r="I237" s="316"/>
      <c r="J237" s="316"/>
      <c r="K237" s="316"/>
      <c r="L237" s="316"/>
      <c r="M237" s="316"/>
      <c r="N237" s="316"/>
    </row>
    <row r="238" spans="1:14" x14ac:dyDescent="0.2">
      <c r="A238" s="315"/>
      <c r="B238" s="316"/>
      <c r="C238" s="316"/>
      <c r="D238" s="316"/>
      <c r="E238" s="316"/>
      <c r="F238" s="316"/>
      <c r="G238" s="316"/>
      <c r="H238" s="316"/>
      <c r="I238" s="316"/>
      <c r="J238" s="316"/>
      <c r="K238" s="316"/>
      <c r="L238" s="316"/>
      <c r="M238" s="316"/>
      <c r="N238" s="316"/>
    </row>
    <row r="239" spans="1:14" x14ac:dyDescent="0.2">
      <c r="A239" s="315"/>
      <c r="B239" s="316"/>
      <c r="C239" s="316"/>
      <c r="D239" s="316"/>
      <c r="E239" s="316"/>
      <c r="F239" s="316"/>
      <c r="G239" s="316"/>
      <c r="H239" s="316"/>
      <c r="I239" s="316"/>
      <c r="J239" s="316"/>
      <c r="K239" s="316"/>
      <c r="L239" s="316"/>
      <c r="M239" s="316"/>
      <c r="N239" s="316"/>
    </row>
    <row r="240" spans="1:14" x14ac:dyDescent="0.2">
      <c r="A240" s="315"/>
      <c r="B240" s="316"/>
      <c r="C240" s="316"/>
      <c r="D240" s="316"/>
      <c r="E240" s="316"/>
      <c r="F240" s="316"/>
      <c r="G240" s="316"/>
      <c r="H240" s="316"/>
      <c r="I240" s="316"/>
      <c r="J240" s="316"/>
      <c r="K240" s="316"/>
      <c r="L240" s="316"/>
      <c r="M240" s="316"/>
      <c r="N240" s="316"/>
    </row>
    <row r="241" spans="1:14" x14ac:dyDescent="0.2">
      <c r="A241" s="315"/>
      <c r="B241" s="316"/>
      <c r="C241" s="316"/>
      <c r="D241" s="316"/>
      <c r="E241" s="316"/>
      <c r="F241" s="316"/>
      <c r="G241" s="316"/>
      <c r="H241" s="316"/>
      <c r="I241" s="316"/>
      <c r="J241" s="316"/>
      <c r="K241" s="316"/>
      <c r="L241" s="316"/>
      <c r="M241" s="316"/>
      <c r="N241" s="316"/>
    </row>
    <row r="242" spans="1:14" x14ac:dyDescent="0.2">
      <c r="A242" s="315"/>
      <c r="B242" s="316"/>
      <c r="C242" s="316"/>
      <c r="D242" s="316"/>
      <c r="E242" s="316"/>
      <c r="F242" s="316"/>
      <c r="G242" s="316"/>
      <c r="H242" s="316"/>
      <c r="I242" s="316"/>
      <c r="J242" s="316"/>
      <c r="K242" s="316"/>
      <c r="L242" s="316"/>
      <c r="M242" s="316"/>
      <c r="N242" s="316"/>
    </row>
    <row r="243" spans="1:14" x14ac:dyDescent="0.2">
      <c r="A243" s="315"/>
      <c r="B243" s="316"/>
      <c r="C243" s="316"/>
      <c r="D243" s="316"/>
      <c r="E243" s="316"/>
      <c r="F243" s="316"/>
      <c r="G243" s="316"/>
      <c r="H243" s="316"/>
      <c r="I243" s="316"/>
      <c r="J243" s="316"/>
      <c r="K243" s="316"/>
      <c r="L243" s="316"/>
      <c r="M243" s="316"/>
      <c r="N243" s="316"/>
    </row>
    <row r="244" spans="1:14" x14ac:dyDescent="0.2">
      <c r="A244" s="315"/>
      <c r="B244" s="316"/>
      <c r="C244" s="316"/>
      <c r="D244" s="316"/>
      <c r="E244" s="316"/>
      <c r="F244" s="316"/>
      <c r="G244" s="316"/>
      <c r="H244" s="316"/>
      <c r="I244" s="316"/>
      <c r="J244" s="316"/>
      <c r="K244" s="316"/>
      <c r="L244" s="316"/>
      <c r="M244" s="316"/>
      <c r="N244" s="316"/>
    </row>
    <row r="245" spans="1:14" x14ac:dyDescent="0.2">
      <c r="A245" s="315"/>
      <c r="B245" s="316"/>
      <c r="C245" s="316"/>
      <c r="D245" s="316"/>
      <c r="E245" s="316"/>
      <c r="F245" s="316"/>
      <c r="G245" s="316"/>
      <c r="H245" s="316"/>
      <c r="I245" s="316"/>
      <c r="J245" s="316"/>
      <c r="K245" s="316"/>
      <c r="L245" s="316"/>
      <c r="M245" s="316"/>
      <c r="N245" s="316"/>
    </row>
    <row r="246" spans="1:14" x14ac:dyDescent="0.2">
      <c r="A246" s="315"/>
      <c r="B246" s="316"/>
      <c r="C246" s="316"/>
      <c r="D246" s="316"/>
      <c r="E246" s="316"/>
      <c r="F246" s="316"/>
      <c r="G246" s="316"/>
      <c r="H246" s="316"/>
      <c r="I246" s="316"/>
      <c r="J246" s="316"/>
      <c r="K246" s="316"/>
      <c r="L246" s="316"/>
      <c r="M246" s="316"/>
      <c r="N246" s="316"/>
    </row>
    <row r="247" spans="1:14" x14ac:dyDescent="0.2">
      <c r="A247" s="315"/>
      <c r="B247" s="316"/>
      <c r="C247" s="316"/>
      <c r="D247" s="316"/>
      <c r="E247" s="316"/>
      <c r="F247" s="316"/>
      <c r="G247" s="316"/>
      <c r="H247" s="316"/>
      <c r="I247" s="316"/>
      <c r="J247" s="316"/>
      <c r="K247" s="316"/>
      <c r="L247" s="316"/>
      <c r="M247" s="316"/>
      <c r="N247" s="316"/>
    </row>
    <row r="248" spans="1:14" x14ac:dyDescent="0.2">
      <c r="A248" s="315"/>
      <c r="B248" s="316"/>
      <c r="C248" s="316"/>
      <c r="D248" s="316"/>
      <c r="E248" s="316"/>
      <c r="F248" s="316"/>
      <c r="G248" s="316"/>
      <c r="H248" s="316"/>
      <c r="I248" s="316"/>
      <c r="J248" s="316"/>
      <c r="K248" s="316"/>
      <c r="L248" s="316"/>
      <c r="M248" s="316"/>
      <c r="N248" s="316"/>
    </row>
    <row r="249" spans="1:14" x14ac:dyDescent="0.2">
      <c r="A249" s="315"/>
      <c r="B249" s="316"/>
      <c r="C249" s="316"/>
      <c r="D249" s="316"/>
      <c r="E249" s="316"/>
      <c r="F249" s="316"/>
      <c r="G249" s="316"/>
      <c r="H249" s="316"/>
      <c r="I249" s="316"/>
      <c r="J249" s="316"/>
      <c r="K249" s="316"/>
      <c r="L249" s="316"/>
      <c r="M249" s="316"/>
      <c r="N249" s="316"/>
    </row>
    <row r="250" spans="1:14" x14ac:dyDescent="0.2">
      <c r="A250" s="315"/>
      <c r="B250" s="316"/>
      <c r="C250" s="316"/>
      <c r="D250" s="316"/>
      <c r="E250" s="316"/>
      <c r="F250" s="316"/>
      <c r="G250" s="316"/>
      <c r="H250" s="316"/>
      <c r="I250" s="316"/>
      <c r="J250" s="316"/>
      <c r="K250" s="316"/>
      <c r="L250" s="316"/>
      <c r="M250" s="316"/>
      <c r="N250" s="316"/>
    </row>
    <row r="251" spans="1:14" x14ac:dyDescent="0.2">
      <c r="A251" s="315"/>
      <c r="B251" s="316"/>
      <c r="C251" s="316"/>
      <c r="D251" s="316"/>
      <c r="E251" s="316"/>
      <c r="F251" s="316"/>
      <c r="G251" s="316"/>
      <c r="H251" s="316"/>
      <c r="I251" s="316"/>
      <c r="J251" s="316"/>
      <c r="K251" s="316"/>
      <c r="L251" s="316"/>
      <c r="M251" s="316"/>
      <c r="N251" s="316"/>
    </row>
    <row r="252" spans="1:14" x14ac:dyDescent="0.2">
      <c r="A252" s="315"/>
      <c r="B252" s="316"/>
      <c r="C252" s="316"/>
      <c r="D252" s="316"/>
      <c r="E252" s="316"/>
      <c r="F252" s="316"/>
      <c r="G252" s="316"/>
      <c r="H252" s="316"/>
      <c r="I252" s="316"/>
      <c r="J252" s="316"/>
      <c r="K252" s="316"/>
      <c r="L252" s="316"/>
      <c r="M252" s="316"/>
      <c r="N252" s="316"/>
    </row>
    <row r="253" spans="1:14" x14ac:dyDescent="0.2">
      <c r="A253" s="315"/>
      <c r="B253" s="316"/>
      <c r="C253" s="316"/>
      <c r="D253" s="316"/>
      <c r="E253" s="316"/>
      <c r="F253" s="316"/>
      <c r="G253" s="316"/>
      <c r="H253" s="316"/>
      <c r="I253" s="316"/>
      <c r="J253" s="316"/>
      <c r="K253" s="316"/>
      <c r="L253" s="316"/>
      <c r="M253" s="316"/>
      <c r="N253" s="316"/>
    </row>
    <row r="254" spans="1:14" x14ac:dyDescent="0.2">
      <c r="A254" s="315"/>
      <c r="B254" s="316"/>
      <c r="C254" s="316"/>
      <c r="D254" s="316"/>
      <c r="E254" s="316"/>
      <c r="F254" s="316"/>
      <c r="G254" s="316"/>
      <c r="H254" s="316"/>
      <c r="I254" s="316"/>
      <c r="J254" s="316"/>
      <c r="K254" s="316"/>
      <c r="L254" s="316"/>
      <c r="M254" s="316"/>
      <c r="N254" s="316"/>
    </row>
    <row r="255" spans="1:14" x14ac:dyDescent="0.2">
      <c r="A255" s="315"/>
      <c r="B255" s="316"/>
      <c r="C255" s="316"/>
      <c r="D255" s="316"/>
      <c r="E255" s="316"/>
      <c r="F255" s="316"/>
      <c r="G255" s="316"/>
      <c r="H255" s="316"/>
      <c r="I255" s="316"/>
      <c r="J255" s="316"/>
      <c r="K255" s="316"/>
      <c r="L255" s="316"/>
      <c r="M255" s="316"/>
      <c r="N255" s="316"/>
    </row>
    <row r="256" spans="1:14" x14ac:dyDescent="0.2">
      <c r="A256" s="315"/>
      <c r="B256" s="316"/>
      <c r="C256" s="316"/>
      <c r="D256" s="316"/>
      <c r="E256" s="316"/>
      <c r="F256" s="316"/>
      <c r="G256" s="316"/>
      <c r="H256" s="316"/>
      <c r="I256" s="316"/>
      <c r="J256" s="316"/>
      <c r="K256" s="316"/>
      <c r="L256" s="316"/>
      <c r="M256" s="316"/>
      <c r="N256" s="316"/>
    </row>
    <row r="257" spans="1:14" x14ac:dyDescent="0.2">
      <c r="A257" s="315"/>
      <c r="B257" s="316"/>
      <c r="C257" s="316"/>
      <c r="D257" s="316"/>
      <c r="E257" s="316"/>
      <c r="F257" s="316"/>
      <c r="G257" s="316"/>
      <c r="H257" s="316"/>
      <c r="I257" s="316"/>
      <c r="J257" s="316"/>
      <c r="K257" s="316"/>
      <c r="L257" s="316"/>
      <c r="M257" s="316"/>
      <c r="N257" s="316"/>
    </row>
    <row r="258" spans="1:14" x14ac:dyDescent="0.2">
      <c r="A258" s="315"/>
      <c r="B258" s="316"/>
      <c r="C258" s="316"/>
      <c r="D258" s="316"/>
      <c r="E258" s="316"/>
      <c r="F258" s="316"/>
      <c r="G258" s="316"/>
      <c r="H258" s="316"/>
      <c r="I258" s="316"/>
      <c r="J258" s="316"/>
      <c r="K258" s="316"/>
      <c r="L258" s="316"/>
      <c r="M258" s="316"/>
      <c r="N258" s="316"/>
    </row>
    <row r="259" spans="1:14" x14ac:dyDescent="0.2">
      <c r="A259" s="315"/>
      <c r="B259" s="316"/>
      <c r="C259" s="316"/>
      <c r="D259" s="316"/>
      <c r="E259" s="316"/>
      <c r="F259" s="316"/>
      <c r="G259" s="316"/>
      <c r="H259" s="316"/>
      <c r="I259" s="316"/>
      <c r="J259" s="316"/>
      <c r="K259" s="316"/>
      <c r="L259" s="316"/>
      <c r="M259" s="316"/>
      <c r="N259" s="316"/>
    </row>
    <row r="260" spans="1:14" x14ac:dyDescent="0.2">
      <c r="A260" s="315"/>
      <c r="B260" s="316"/>
      <c r="C260" s="316"/>
      <c r="D260" s="316"/>
      <c r="E260" s="316"/>
      <c r="F260" s="316"/>
      <c r="G260" s="316"/>
      <c r="H260" s="316"/>
      <c r="I260" s="316"/>
      <c r="J260" s="316"/>
      <c r="K260" s="316"/>
      <c r="L260" s="316"/>
      <c r="M260" s="316"/>
      <c r="N260" s="316"/>
    </row>
    <row r="261" spans="1:14" x14ac:dyDescent="0.2">
      <c r="A261" s="315"/>
      <c r="B261" s="316"/>
      <c r="C261" s="316"/>
      <c r="D261" s="316"/>
      <c r="E261" s="316"/>
      <c r="F261" s="316"/>
      <c r="G261" s="316"/>
      <c r="H261" s="316"/>
      <c r="I261" s="316"/>
      <c r="J261" s="316"/>
      <c r="K261" s="316"/>
      <c r="L261" s="316"/>
      <c r="M261" s="316"/>
      <c r="N261" s="316"/>
    </row>
    <row r="262" spans="1:14" x14ac:dyDescent="0.2">
      <c r="A262" s="315"/>
      <c r="B262" s="316"/>
      <c r="C262" s="316"/>
      <c r="D262" s="316"/>
      <c r="E262" s="316"/>
      <c r="F262" s="316"/>
      <c r="G262" s="316"/>
      <c r="H262" s="316"/>
      <c r="I262" s="316"/>
      <c r="J262" s="316"/>
      <c r="K262" s="316"/>
      <c r="L262" s="316"/>
      <c r="M262" s="316"/>
      <c r="N262" s="316"/>
    </row>
    <row r="263" spans="1:14" x14ac:dyDescent="0.2">
      <c r="A263" s="315"/>
      <c r="B263" s="316"/>
      <c r="C263" s="316"/>
      <c r="D263" s="316"/>
      <c r="E263" s="316"/>
      <c r="F263" s="316"/>
      <c r="G263" s="316"/>
      <c r="H263" s="316"/>
      <c r="I263" s="316"/>
      <c r="J263" s="316"/>
      <c r="K263" s="316"/>
      <c r="L263" s="316"/>
      <c r="M263" s="316"/>
      <c r="N263" s="316"/>
    </row>
    <row r="264" spans="1:14" x14ac:dyDescent="0.2">
      <c r="A264" s="315"/>
      <c r="B264" s="316"/>
      <c r="C264" s="316"/>
      <c r="D264" s="316"/>
      <c r="E264" s="316"/>
      <c r="F264" s="316"/>
      <c r="G264" s="316"/>
      <c r="H264" s="316"/>
      <c r="I264" s="316"/>
      <c r="J264" s="316"/>
      <c r="K264" s="316"/>
      <c r="L264" s="316"/>
      <c r="M264" s="316"/>
      <c r="N264" s="316"/>
    </row>
    <row r="265" spans="1:14" x14ac:dyDescent="0.2">
      <c r="A265" s="315"/>
      <c r="B265" s="316"/>
      <c r="C265" s="316"/>
      <c r="D265" s="316"/>
      <c r="E265" s="316"/>
      <c r="F265" s="316"/>
      <c r="G265" s="316"/>
      <c r="H265" s="316"/>
      <c r="I265" s="316"/>
      <c r="J265" s="316"/>
      <c r="K265" s="316"/>
      <c r="L265" s="316"/>
      <c r="M265" s="316"/>
      <c r="N265" s="316"/>
    </row>
    <row r="266" spans="1:14" x14ac:dyDescent="0.2">
      <c r="A266" s="315"/>
      <c r="B266" s="316"/>
      <c r="C266" s="316"/>
      <c r="D266" s="316"/>
      <c r="E266" s="316"/>
      <c r="F266" s="316"/>
      <c r="G266" s="316"/>
      <c r="H266" s="316"/>
      <c r="I266" s="316"/>
      <c r="J266" s="316"/>
      <c r="K266" s="316"/>
      <c r="L266" s="316"/>
      <c r="M266" s="316"/>
      <c r="N266" s="316"/>
    </row>
    <row r="267" spans="1:14" x14ac:dyDescent="0.2">
      <c r="A267" s="315"/>
      <c r="B267" s="316"/>
      <c r="C267" s="316"/>
      <c r="D267" s="316"/>
      <c r="E267" s="316"/>
      <c r="F267" s="316"/>
      <c r="G267" s="316"/>
      <c r="H267" s="316"/>
      <c r="I267" s="316"/>
      <c r="J267" s="316"/>
      <c r="K267" s="316"/>
      <c r="L267" s="316"/>
      <c r="M267" s="316"/>
      <c r="N267" s="316"/>
    </row>
    <row r="268" spans="1:14" x14ac:dyDescent="0.2">
      <c r="A268" s="315"/>
      <c r="B268" s="316"/>
      <c r="C268" s="316"/>
      <c r="D268" s="316"/>
      <c r="E268" s="316"/>
      <c r="F268" s="316"/>
      <c r="G268" s="316"/>
      <c r="H268" s="316"/>
      <c r="I268" s="316"/>
      <c r="J268" s="316"/>
      <c r="K268" s="316"/>
      <c r="L268" s="316"/>
      <c r="M268" s="316"/>
      <c r="N268" s="316"/>
    </row>
    <row r="269" spans="1:14" x14ac:dyDescent="0.2">
      <c r="A269" s="315"/>
      <c r="B269" s="316"/>
      <c r="C269" s="316"/>
      <c r="D269" s="316"/>
      <c r="E269" s="316"/>
      <c r="F269" s="316"/>
      <c r="G269" s="316"/>
      <c r="H269" s="316"/>
      <c r="I269" s="316"/>
      <c r="J269" s="316"/>
      <c r="K269" s="316"/>
      <c r="L269" s="316"/>
      <c r="M269" s="316"/>
      <c r="N269" s="316"/>
    </row>
    <row r="270" spans="1:14" x14ac:dyDescent="0.2">
      <c r="A270" s="315"/>
      <c r="B270" s="316"/>
      <c r="C270" s="316"/>
      <c r="D270" s="316"/>
      <c r="E270" s="316"/>
      <c r="F270" s="316"/>
      <c r="G270" s="316"/>
      <c r="H270" s="316"/>
      <c r="I270" s="316"/>
      <c r="J270" s="316"/>
      <c r="K270" s="316"/>
      <c r="L270" s="316"/>
      <c r="M270" s="316"/>
      <c r="N270" s="316"/>
    </row>
    <row r="271" spans="1:14" x14ac:dyDescent="0.2">
      <c r="A271" s="315"/>
      <c r="B271" s="316"/>
      <c r="C271" s="316"/>
      <c r="D271" s="316"/>
      <c r="E271" s="316"/>
      <c r="F271" s="316"/>
      <c r="G271" s="316"/>
      <c r="H271" s="316"/>
      <c r="I271" s="316"/>
      <c r="J271" s="316"/>
      <c r="K271" s="316"/>
      <c r="L271" s="316"/>
      <c r="M271" s="316"/>
      <c r="N271" s="316"/>
    </row>
    <row r="272" spans="1:14" x14ac:dyDescent="0.2">
      <c r="A272" s="315"/>
      <c r="B272" s="316"/>
      <c r="C272" s="316"/>
      <c r="D272" s="316"/>
      <c r="E272" s="316"/>
      <c r="F272" s="316"/>
      <c r="G272" s="316"/>
      <c r="H272" s="316"/>
      <c r="I272" s="316"/>
      <c r="J272" s="316"/>
      <c r="K272" s="316"/>
      <c r="L272" s="316"/>
      <c r="M272" s="316"/>
      <c r="N272" s="316"/>
    </row>
    <row r="273" spans="1:14" x14ac:dyDescent="0.2">
      <c r="A273" s="315"/>
      <c r="B273" s="316"/>
      <c r="C273" s="316"/>
      <c r="D273" s="316"/>
      <c r="E273" s="316"/>
      <c r="F273" s="316"/>
      <c r="G273" s="316"/>
      <c r="H273" s="316"/>
      <c r="I273" s="316"/>
      <c r="J273" s="316"/>
      <c r="K273" s="316"/>
      <c r="L273" s="316"/>
      <c r="M273" s="316"/>
      <c r="N273" s="316"/>
    </row>
    <row r="274" spans="1:14" x14ac:dyDescent="0.2">
      <c r="A274" s="315"/>
      <c r="B274" s="316"/>
      <c r="C274" s="316"/>
      <c r="D274" s="316"/>
      <c r="E274" s="316"/>
      <c r="F274" s="316"/>
      <c r="G274" s="316"/>
      <c r="H274" s="316"/>
      <c r="I274" s="316"/>
      <c r="J274" s="316"/>
      <c r="K274" s="316"/>
      <c r="L274" s="316"/>
      <c r="M274" s="316"/>
      <c r="N274" s="316"/>
    </row>
    <row r="275" spans="1:14" x14ac:dyDescent="0.2">
      <c r="A275" s="315"/>
      <c r="B275" s="316"/>
      <c r="C275" s="316"/>
      <c r="D275" s="316"/>
      <c r="E275" s="316"/>
      <c r="F275" s="316"/>
      <c r="G275" s="316"/>
      <c r="H275" s="316"/>
      <c r="I275" s="316"/>
      <c r="J275" s="316"/>
      <c r="K275" s="316"/>
      <c r="L275" s="316"/>
      <c r="M275" s="316"/>
      <c r="N275" s="316"/>
    </row>
    <row r="276" spans="1:14" x14ac:dyDescent="0.2">
      <c r="A276" s="315"/>
      <c r="B276" s="316"/>
      <c r="C276" s="316"/>
      <c r="D276" s="316"/>
      <c r="E276" s="316"/>
      <c r="F276" s="316"/>
      <c r="G276" s="316"/>
      <c r="H276" s="316"/>
      <c r="I276" s="316"/>
      <c r="J276" s="316"/>
      <c r="K276" s="316"/>
      <c r="L276" s="316"/>
      <c r="M276" s="316"/>
      <c r="N276" s="316"/>
    </row>
    <row r="277" spans="1:14" x14ac:dyDescent="0.2">
      <c r="A277" s="315"/>
      <c r="B277" s="316"/>
      <c r="C277" s="316"/>
      <c r="D277" s="316"/>
      <c r="E277" s="316"/>
      <c r="F277" s="316"/>
      <c r="G277" s="316"/>
      <c r="H277" s="316"/>
      <c r="I277" s="316"/>
      <c r="J277" s="316"/>
      <c r="K277" s="316"/>
      <c r="L277" s="316"/>
      <c r="M277" s="316"/>
      <c r="N277" s="316"/>
    </row>
    <row r="278" spans="1:14" x14ac:dyDescent="0.2">
      <c r="A278" s="315"/>
      <c r="B278" s="316"/>
      <c r="C278" s="316"/>
      <c r="D278" s="316"/>
      <c r="E278" s="316"/>
      <c r="F278" s="316"/>
      <c r="G278" s="316"/>
      <c r="H278" s="316"/>
      <c r="I278" s="316"/>
      <c r="J278" s="316"/>
      <c r="K278" s="316"/>
      <c r="L278" s="316"/>
      <c r="M278" s="316"/>
      <c r="N278" s="316"/>
    </row>
    <row r="279" spans="1:14" x14ac:dyDescent="0.2">
      <c r="A279" s="315"/>
      <c r="B279" s="316"/>
      <c r="C279" s="316"/>
      <c r="D279" s="316"/>
      <c r="E279" s="316"/>
      <c r="F279" s="316"/>
      <c r="G279" s="316"/>
      <c r="H279" s="316"/>
      <c r="I279" s="316"/>
      <c r="J279" s="316"/>
      <c r="K279" s="316"/>
      <c r="L279" s="316"/>
      <c r="M279" s="316"/>
      <c r="N279" s="316"/>
    </row>
    <row r="280" spans="1:14" x14ac:dyDescent="0.2">
      <c r="A280" s="315"/>
      <c r="B280" s="316"/>
      <c r="C280" s="316"/>
      <c r="D280" s="316"/>
      <c r="E280" s="316"/>
      <c r="F280" s="316"/>
      <c r="G280" s="316"/>
      <c r="H280" s="316"/>
      <c r="I280" s="316"/>
      <c r="J280" s="316"/>
      <c r="K280" s="316"/>
      <c r="L280" s="316"/>
      <c r="M280" s="316"/>
      <c r="N280" s="316"/>
    </row>
    <row r="281" spans="1:14" x14ac:dyDescent="0.2">
      <c r="A281" s="315"/>
      <c r="B281" s="316"/>
      <c r="C281" s="316"/>
      <c r="D281" s="316"/>
      <c r="E281" s="316"/>
      <c r="F281" s="316"/>
      <c r="G281" s="316"/>
      <c r="H281" s="316"/>
      <c r="I281" s="316"/>
      <c r="J281" s="316"/>
      <c r="K281" s="316"/>
      <c r="L281" s="316"/>
      <c r="M281" s="316"/>
      <c r="N281" s="316"/>
    </row>
    <row r="282" spans="1:14" x14ac:dyDescent="0.2">
      <c r="A282" s="315"/>
      <c r="B282" s="316"/>
      <c r="C282" s="316"/>
      <c r="D282" s="316"/>
      <c r="E282" s="316"/>
      <c r="F282" s="316"/>
      <c r="G282" s="316"/>
      <c r="H282" s="316"/>
      <c r="I282" s="316"/>
      <c r="J282" s="316"/>
      <c r="K282" s="316"/>
      <c r="L282" s="316"/>
      <c r="M282" s="316"/>
      <c r="N282" s="316"/>
    </row>
    <row r="283" spans="1:14" x14ac:dyDescent="0.2">
      <c r="A283" s="315"/>
      <c r="B283" s="316"/>
      <c r="C283" s="316"/>
      <c r="D283" s="316"/>
      <c r="E283" s="316"/>
      <c r="F283" s="316"/>
      <c r="G283" s="316"/>
      <c r="H283" s="316"/>
      <c r="I283" s="316"/>
      <c r="J283" s="316"/>
      <c r="K283" s="316"/>
      <c r="L283" s="316"/>
      <c r="M283" s="316"/>
      <c r="N283" s="316"/>
    </row>
    <row r="284" spans="1:14" x14ac:dyDescent="0.2">
      <c r="A284" s="315"/>
      <c r="B284" s="316"/>
      <c r="C284" s="316"/>
      <c r="D284" s="316"/>
      <c r="E284" s="316"/>
      <c r="F284" s="316"/>
      <c r="G284" s="316"/>
      <c r="H284" s="316"/>
      <c r="I284" s="316"/>
      <c r="J284" s="316"/>
      <c r="K284" s="316"/>
      <c r="L284" s="316"/>
      <c r="M284" s="316"/>
      <c r="N284" s="316"/>
    </row>
    <row r="285" spans="1:14" x14ac:dyDescent="0.2">
      <c r="A285" s="315"/>
      <c r="B285" s="316"/>
      <c r="C285" s="316"/>
      <c r="D285" s="316"/>
      <c r="E285" s="316"/>
      <c r="F285" s="316"/>
      <c r="G285" s="316"/>
      <c r="H285" s="316"/>
      <c r="I285" s="316"/>
      <c r="J285" s="316"/>
      <c r="K285" s="316"/>
      <c r="L285" s="316"/>
      <c r="M285" s="316"/>
      <c r="N285" s="316"/>
    </row>
    <row r="286" spans="1:14" x14ac:dyDescent="0.2">
      <c r="A286" s="315"/>
      <c r="B286" s="316"/>
      <c r="C286" s="316"/>
      <c r="D286" s="316"/>
      <c r="E286" s="316"/>
      <c r="F286" s="316"/>
      <c r="G286" s="316"/>
      <c r="H286" s="316"/>
      <c r="I286" s="316"/>
      <c r="J286" s="316"/>
      <c r="K286" s="316"/>
      <c r="L286" s="316"/>
      <c r="M286" s="316"/>
      <c r="N286" s="316"/>
    </row>
    <row r="287" spans="1:14" x14ac:dyDescent="0.2">
      <c r="A287" s="315"/>
      <c r="B287" s="316"/>
      <c r="C287" s="316"/>
      <c r="D287" s="316"/>
      <c r="E287" s="316"/>
      <c r="F287" s="316"/>
      <c r="G287" s="316"/>
      <c r="H287" s="316"/>
      <c r="I287" s="316"/>
      <c r="J287" s="316"/>
      <c r="K287" s="316"/>
      <c r="L287" s="316"/>
      <c r="M287" s="316"/>
      <c r="N287" s="316"/>
    </row>
    <row r="288" spans="1:14" x14ac:dyDescent="0.2">
      <c r="A288" s="315"/>
      <c r="B288" s="316"/>
      <c r="C288" s="316"/>
      <c r="D288" s="316"/>
      <c r="E288" s="316"/>
      <c r="F288" s="316"/>
      <c r="G288" s="316"/>
      <c r="H288" s="316"/>
      <c r="I288" s="316"/>
      <c r="J288" s="316"/>
      <c r="K288" s="316"/>
      <c r="L288" s="316"/>
      <c r="M288" s="316"/>
      <c r="N288" s="316"/>
    </row>
    <row r="289" spans="1:14" x14ac:dyDescent="0.2">
      <c r="A289" s="315"/>
      <c r="B289" s="316"/>
      <c r="C289" s="316"/>
      <c r="D289" s="316"/>
      <c r="E289" s="316"/>
      <c r="F289" s="316"/>
      <c r="G289" s="316"/>
      <c r="H289" s="316"/>
      <c r="I289" s="316"/>
      <c r="J289" s="316"/>
      <c r="K289" s="316"/>
      <c r="L289" s="316"/>
      <c r="M289" s="316"/>
      <c r="N289" s="316"/>
    </row>
    <row r="290" spans="1:14" x14ac:dyDescent="0.2">
      <c r="A290" s="315"/>
      <c r="B290" s="316"/>
      <c r="C290" s="316"/>
      <c r="D290" s="316"/>
      <c r="E290" s="316"/>
      <c r="F290" s="316"/>
      <c r="G290" s="316"/>
      <c r="H290" s="316"/>
      <c r="I290" s="316"/>
      <c r="J290" s="316"/>
      <c r="K290" s="316"/>
      <c r="L290" s="316"/>
      <c r="M290" s="316"/>
      <c r="N290" s="316"/>
    </row>
    <row r="291" spans="1:14" x14ac:dyDescent="0.2">
      <c r="A291" s="315"/>
      <c r="B291" s="316"/>
      <c r="C291" s="316"/>
      <c r="D291" s="316"/>
      <c r="E291" s="316"/>
      <c r="F291" s="316"/>
      <c r="G291" s="316"/>
      <c r="H291" s="316"/>
      <c r="I291" s="316"/>
      <c r="J291" s="316"/>
      <c r="K291" s="316"/>
      <c r="L291" s="316"/>
      <c r="M291" s="316"/>
      <c r="N291" s="316"/>
    </row>
    <row r="292" spans="1:14" x14ac:dyDescent="0.2">
      <c r="A292" s="315"/>
      <c r="B292" s="316"/>
      <c r="C292" s="316"/>
      <c r="D292" s="316"/>
      <c r="E292" s="316"/>
      <c r="F292" s="316"/>
      <c r="G292" s="316"/>
      <c r="H292" s="316"/>
      <c r="I292" s="316"/>
      <c r="J292" s="316"/>
      <c r="K292" s="316"/>
      <c r="L292" s="316"/>
      <c r="M292" s="316"/>
      <c r="N292" s="316"/>
    </row>
    <row r="293" spans="1:14" x14ac:dyDescent="0.2">
      <c r="A293" s="315"/>
      <c r="B293" s="316"/>
      <c r="C293" s="316"/>
      <c r="D293" s="316"/>
      <c r="E293" s="316"/>
      <c r="F293" s="316"/>
      <c r="G293" s="316"/>
      <c r="H293" s="316"/>
      <c r="I293" s="316"/>
      <c r="J293" s="316"/>
      <c r="K293" s="316"/>
      <c r="L293" s="316"/>
      <c r="M293" s="316"/>
      <c r="N293" s="316"/>
    </row>
    <row r="294" spans="1:14" x14ac:dyDescent="0.2">
      <c r="A294" s="315"/>
      <c r="B294" s="316"/>
      <c r="C294" s="316"/>
      <c r="D294" s="316"/>
      <c r="E294" s="316"/>
      <c r="F294" s="316"/>
      <c r="G294" s="316"/>
      <c r="H294" s="316"/>
      <c r="I294" s="316"/>
      <c r="J294" s="316"/>
      <c r="K294" s="316"/>
      <c r="L294" s="316"/>
      <c r="M294" s="316"/>
      <c r="N294" s="316"/>
    </row>
    <row r="295" spans="1:14" x14ac:dyDescent="0.2">
      <c r="A295" s="315"/>
      <c r="B295" s="316"/>
      <c r="C295" s="316"/>
      <c r="D295" s="316"/>
      <c r="E295" s="316"/>
      <c r="F295" s="316"/>
      <c r="G295" s="316"/>
      <c r="H295" s="316"/>
      <c r="I295" s="316"/>
      <c r="J295" s="316"/>
      <c r="K295" s="316"/>
      <c r="L295" s="316"/>
      <c r="M295" s="316"/>
      <c r="N295" s="316"/>
    </row>
    <row r="296" spans="1:14" x14ac:dyDescent="0.2">
      <c r="A296" s="315"/>
      <c r="B296" s="316"/>
      <c r="C296" s="316"/>
      <c r="D296" s="316"/>
      <c r="E296" s="316"/>
      <c r="F296" s="316"/>
      <c r="G296" s="316"/>
      <c r="H296" s="316"/>
      <c r="I296" s="316"/>
      <c r="J296" s="316"/>
      <c r="K296" s="316"/>
      <c r="L296" s="316"/>
      <c r="M296" s="316"/>
      <c r="N296" s="316"/>
    </row>
    <row r="297" spans="1:14" x14ac:dyDescent="0.2">
      <c r="A297" s="315"/>
      <c r="B297" s="316"/>
      <c r="C297" s="316"/>
      <c r="D297" s="316"/>
      <c r="E297" s="316"/>
      <c r="F297" s="316"/>
      <c r="G297" s="316"/>
      <c r="H297" s="316"/>
      <c r="I297" s="316"/>
      <c r="J297" s="316"/>
      <c r="K297" s="316"/>
      <c r="L297" s="316"/>
      <c r="M297" s="316"/>
      <c r="N297" s="316"/>
    </row>
    <row r="298" spans="1:14" x14ac:dyDescent="0.2">
      <c r="A298" s="315"/>
      <c r="B298" s="316"/>
      <c r="C298" s="316"/>
      <c r="D298" s="316"/>
      <c r="E298" s="316"/>
      <c r="F298" s="316"/>
      <c r="G298" s="316"/>
      <c r="H298" s="316"/>
      <c r="I298" s="316"/>
      <c r="J298" s="316"/>
      <c r="K298" s="316"/>
      <c r="L298" s="316"/>
      <c r="M298" s="316"/>
      <c r="N298" s="316"/>
    </row>
    <row r="299" spans="1:14" x14ac:dyDescent="0.2">
      <c r="A299" s="315"/>
      <c r="B299" s="316"/>
      <c r="C299" s="316"/>
      <c r="D299" s="316"/>
      <c r="E299" s="316"/>
      <c r="F299" s="316"/>
      <c r="G299" s="316"/>
      <c r="H299" s="316"/>
      <c r="I299" s="316"/>
      <c r="J299" s="316"/>
      <c r="K299" s="316"/>
      <c r="L299" s="316"/>
      <c r="M299" s="316"/>
      <c r="N299" s="316"/>
    </row>
    <row r="300" spans="1:14" x14ac:dyDescent="0.2">
      <c r="A300" s="315"/>
      <c r="B300" s="316"/>
      <c r="C300" s="316"/>
      <c r="D300" s="316"/>
      <c r="E300" s="316"/>
      <c r="F300" s="316"/>
      <c r="G300" s="316"/>
      <c r="H300" s="316"/>
      <c r="I300" s="316"/>
      <c r="J300" s="316"/>
      <c r="K300" s="316"/>
      <c r="L300" s="316"/>
      <c r="M300" s="316"/>
      <c r="N300" s="316"/>
    </row>
    <row r="301" spans="1:14" x14ac:dyDescent="0.2">
      <c r="A301" s="315"/>
      <c r="B301" s="316"/>
      <c r="C301" s="316"/>
      <c r="D301" s="316"/>
      <c r="E301" s="316"/>
      <c r="F301" s="316"/>
      <c r="G301" s="316"/>
      <c r="H301" s="316"/>
      <c r="I301" s="316"/>
      <c r="J301" s="316"/>
      <c r="K301" s="316"/>
      <c r="L301" s="316"/>
      <c r="M301" s="316"/>
      <c r="N301" s="316"/>
    </row>
    <row r="302" spans="1:14" x14ac:dyDescent="0.2">
      <c r="A302" s="315"/>
      <c r="B302" s="316"/>
      <c r="C302" s="316"/>
      <c r="D302" s="316"/>
      <c r="E302" s="316"/>
      <c r="F302" s="316"/>
      <c r="G302" s="316"/>
      <c r="H302" s="316"/>
      <c r="I302" s="316"/>
      <c r="J302" s="316"/>
      <c r="K302" s="316"/>
      <c r="L302" s="316"/>
      <c r="M302" s="316"/>
      <c r="N302" s="316"/>
    </row>
    <row r="303" spans="1:14" x14ac:dyDescent="0.2">
      <c r="A303" s="315"/>
      <c r="B303" s="316"/>
      <c r="C303" s="316"/>
      <c r="D303" s="316"/>
      <c r="E303" s="316"/>
      <c r="F303" s="316"/>
      <c r="G303" s="316"/>
      <c r="H303" s="316"/>
      <c r="I303" s="316"/>
      <c r="J303" s="316"/>
      <c r="K303" s="316"/>
      <c r="L303" s="316"/>
      <c r="M303" s="316"/>
      <c r="N303" s="316"/>
    </row>
    <row r="304" spans="1:14" x14ac:dyDescent="0.2">
      <c r="A304" s="315"/>
      <c r="B304" s="316"/>
      <c r="C304" s="316"/>
      <c r="D304" s="316"/>
      <c r="E304" s="316"/>
      <c r="F304" s="316"/>
      <c r="G304" s="316"/>
      <c r="H304" s="316"/>
      <c r="I304" s="316"/>
      <c r="J304" s="316"/>
      <c r="K304" s="316"/>
      <c r="L304" s="316"/>
      <c r="M304" s="316"/>
      <c r="N304" s="316"/>
    </row>
    <row r="305" spans="1:14" x14ac:dyDescent="0.2">
      <c r="A305" s="315"/>
      <c r="B305" s="316"/>
      <c r="C305" s="316"/>
      <c r="D305" s="316"/>
      <c r="E305" s="316"/>
      <c r="F305" s="316"/>
      <c r="G305" s="316"/>
      <c r="H305" s="316"/>
      <c r="I305" s="316"/>
      <c r="J305" s="316"/>
      <c r="K305" s="316"/>
      <c r="L305" s="316"/>
      <c r="M305" s="316"/>
      <c r="N305" s="316"/>
    </row>
    <row r="306" spans="1:14" x14ac:dyDescent="0.2">
      <c r="A306" s="315"/>
      <c r="B306" s="316"/>
      <c r="C306" s="316"/>
      <c r="D306" s="316"/>
      <c r="E306" s="316"/>
      <c r="F306" s="316"/>
      <c r="G306" s="316"/>
      <c r="H306" s="316"/>
      <c r="I306" s="316"/>
      <c r="J306" s="316"/>
      <c r="K306" s="316"/>
      <c r="L306" s="316"/>
      <c r="M306" s="316"/>
      <c r="N306" s="316"/>
    </row>
    <row r="307" spans="1:14" x14ac:dyDescent="0.2">
      <c r="A307" s="315"/>
      <c r="B307" s="316"/>
      <c r="C307" s="316"/>
      <c r="D307" s="316"/>
      <c r="E307" s="316"/>
      <c r="F307" s="316"/>
      <c r="G307" s="316"/>
      <c r="H307" s="316"/>
      <c r="I307" s="316"/>
      <c r="J307" s="316"/>
      <c r="K307" s="316"/>
      <c r="L307" s="316"/>
      <c r="M307" s="316"/>
      <c r="N307" s="316"/>
    </row>
    <row r="308" spans="1:14" x14ac:dyDescent="0.2">
      <c r="A308" s="315"/>
      <c r="B308" s="316"/>
      <c r="C308" s="316"/>
      <c r="D308" s="316"/>
      <c r="E308" s="316"/>
      <c r="F308" s="316"/>
      <c r="G308" s="316"/>
      <c r="H308" s="316"/>
      <c r="I308" s="316"/>
      <c r="J308" s="316"/>
      <c r="K308" s="316"/>
      <c r="L308" s="316"/>
      <c r="M308" s="316"/>
      <c r="N308" s="316"/>
    </row>
    <row r="309" spans="1:14" x14ac:dyDescent="0.2">
      <c r="A309" s="315"/>
      <c r="B309" s="316"/>
      <c r="C309" s="316"/>
      <c r="D309" s="316"/>
      <c r="E309" s="316"/>
      <c r="F309" s="316"/>
      <c r="G309" s="316"/>
      <c r="H309" s="316"/>
      <c r="I309" s="316"/>
      <c r="J309" s="316"/>
      <c r="K309" s="316"/>
      <c r="L309" s="316"/>
      <c r="M309" s="316"/>
      <c r="N309" s="316"/>
    </row>
    <row r="310" spans="1:14" x14ac:dyDescent="0.2">
      <c r="A310" s="315"/>
      <c r="B310" s="316"/>
      <c r="C310" s="316"/>
      <c r="D310" s="316"/>
      <c r="E310" s="316"/>
      <c r="F310" s="316"/>
      <c r="G310" s="316"/>
      <c r="H310" s="316"/>
      <c r="I310" s="316"/>
      <c r="J310" s="316"/>
      <c r="K310" s="316"/>
      <c r="L310" s="316"/>
      <c r="M310" s="316"/>
      <c r="N310" s="316"/>
    </row>
    <row r="311" spans="1:14" x14ac:dyDescent="0.2">
      <c r="A311" s="315"/>
      <c r="B311" s="316"/>
      <c r="C311" s="316"/>
      <c r="D311" s="316"/>
      <c r="E311" s="316"/>
      <c r="F311" s="316"/>
      <c r="G311" s="316"/>
      <c r="H311" s="316"/>
      <c r="I311" s="316"/>
      <c r="J311" s="316"/>
      <c r="K311" s="316"/>
      <c r="L311" s="316"/>
      <c r="M311" s="316"/>
      <c r="N311" s="316"/>
    </row>
    <row r="312" spans="1:14" x14ac:dyDescent="0.2">
      <c r="A312" s="315"/>
      <c r="B312" s="316"/>
      <c r="C312" s="316"/>
      <c r="D312" s="316"/>
      <c r="E312" s="316"/>
      <c r="F312" s="316"/>
      <c r="G312" s="316"/>
      <c r="H312" s="316"/>
      <c r="I312" s="316"/>
      <c r="J312" s="316"/>
      <c r="K312" s="316"/>
      <c r="L312" s="316"/>
      <c r="M312" s="316"/>
      <c r="N312" s="316"/>
    </row>
    <row r="313" spans="1:14" x14ac:dyDescent="0.2">
      <c r="A313" s="315"/>
      <c r="B313" s="316"/>
      <c r="C313" s="316"/>
      <c r="D313" s="316"/>
      <c r="E313" s="316"/>
      <c r="F313" s="316"/>
      <c r="G313" s="316"/>
      <c r="H313" s="316"/>
      <c r="I313" s="316"/>
      <c r="J313" s="316"/>
      <c r="K313" s="316"/>
      <c r="L313" s="316"/>
      <c r="M313" s="316"/>
      <c r="N313" s="316"/>
    </row>
    <row r="314" spans="1:14" x14ac:dyDescent="0.2">
      <c r="A314" s="315"/>
      <c r="B314" s="316"/>
      <c r="C314" s="316"/>
      <c r="D314" s="316"/>
      <c r="E314" s="316"/>
      <c r="F314" s="316"/>
      <c r="G314" s="316"/>
      <c r="H314" s="316"/>
      <c r="I314" s="316"/>
      <c r="J314" s="316"/>
      <c r="K314" s="316"/>
      <c r="L314" s="316"/>
      <c r="M314" s="316"/>
      <c r="N314" s="316"/>
    </row>
    <row r="315" spans="1:14" x14ac:dyDescent="0.2">
      <c r="A315" s="315"/>
      <c r="B315" s="316"/>
      <c r="C315" s="316"/>
      <c r="D315" s="316"/>
      <c r="E315" s="316"/>
      <c r="F315" s="316"/>
      <c r="G315" s="316"/>
      <c r="H315" s="316"/>
      <c r="I315" s="316"/>
      <c r="J315" s="316"/>
      <c r="K315" s="316"/>
      <c r="L315" s="316"/>
      <c r="M315" s="316"/>
      <c r="N315" s="316"/>
    </row>
    <row r="316" spans="1:14" x14ac:dyDescent="0.2">
      <c r="A316" s="315"/>
      <c r="B316" s="316"/>
      <c r="C316" s="316"/>
      <c r="D316" s="316"/>
      <c r="E316" s="316"/>
      <c r="F316" s="316"/>
      <c r="G316" s="316"/>
      <c r="H316" s="316"/>
      <c r="I316" s="316"/>
      <c r="J316" s="316"/>
      <c r="K316" s="316"/>
      <c r="L316" s="316"/>
      <c r="M316" s="316"/>
      <c r="N316" s="316"/>
    </row>
    <row r="317" spans="1:14" x14ac:dyDescent="0.2">
      <c r="A317" s="315"/>
      <c r="B317" s="316"/>
      <c r="C317" s="316"/>
      <c r="D317" s="316"/>
      <c r="E317" s="316"/>
      <c r="F317" s="316"/>
      <c r="G317" s="316"/>
      <c r="H317" s="316"/>
      <c r="I317" s="316"/>
      <c r="J317" s="316"/>
      <c r="K317" s="316"/>
      <c r="L317" s="316"/>
      <c r="M317" s="316"/>
      <c r="N317" s="316"/>
    </row>
    <row r="318" spans="1:14" x14ac:dyDescent="0.2">
      <c r="A318" s="315"/>
      <c r="B318" s="316"/>
      <c r="C318" s="316"/>
      <c r="D318" s="316"/>
      <c r="E318" s="316"/>
      <c r="F318" s="316"/>
      <c r="G318" s="316"/>
      <c r="H318" s="316"/>
      <c r="I318" s="316"/>
      <c r="J318" s="316"/>
      <c r="K318" s="316"/>
      <c r="L318" s="316"/>
      <c r="M318" s="316"/>
      <c r="N318" s="316"/>
    </row>
    <row r="319" spans="1:14" x14ac:dyDescent="0.2">
      <c r="A319" s="315"/>
      <c r="B319" s="316"/>
      <c r="C319" s="316"/>
      <c r="D319" s="316"/>
      <c r="E319" s="316"/>
      <c r="F319" s="316"/>
      <c r="G319" s="316"/>
      <c r="H319" s="316"/>
      <c r="I319" s="316"/>
      <c r="J319" s="316"/>
      <c r="K319" s="316"/>
      <c r="L319" s="316"/>
      <c r="M319" s="316"/>
      <c r="N319" s="316"/>
    </row>
    <row r="320" spans="1:14" x14ac:dyDescent="0.2">
      <c r="A320" s="315"/>
      <c r="B320" s="316"/>
      <c r="C320" s="316"/>
      <c r="D320" s="316"/>
      <c r="E320" s="316"/>
      <c r="F320" s="316"/>
      <c r="G320" s="316"/>
      <c r="H320" s="316"/>
      <c r="I320" s="316"/>
      <c r="J320" s="316"/>
      <c r="K320" s="316"/>
      <c r="L320" s="316"/>
      <c r="M320" s="316"/>
      <c r="N320" s="316"/>
    </row>
    <row r="321" spans="1:14" x14ac:dyDescent="0.2">
      <c r="A321" s="319"/>
      <c r="B321" s="316"/>
      <c r="C321" s="320"/>
      <c r="D321" s="320"/>
      <c r="E321" s="320"/>
      <c r="F321" s="320"/>
      <c r="G321" s="320"/>
      <c r="H321" s="320"/>
      <c r="I321" s="320"/>
      <c r="J321" s="320"/>
      <c r="K321" s="320"/>
      <c r="L321" s="320"/>
      <c r="M321" s="320"/>
      <c r="N321" s="3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>
    <tabColor theme="6"/>
  </sheetPr>
  <dimension ref="A1:AE110"/>
  <sheetViews>
    <sheetView workbookViewId="0">
      <pane xSplit="1" ySplit="6" topLeftCell="V22" activePane="bottomRight" state="frozen"/>
      <selection pane="topRight" activeCell="B1" sqref="B1"/>
      <selection pane="bottomLeft" activeCell="A7" sqref="A7"/>
      <selection pane="bottomRight" activeCell="AC44" sqref="AC44"/>
    </sheetView>
  </sheetViews>
  <sheetFormatPr defaultRowHeight="12.75" x14ac:dyDescent="0.2"/>
  <cols>
    <col min="1" max="1" width="10.85546875" bestFit="1" customWidth="1"/>
    <col min="5" max="5" width="13.28515625" bestFit="1" customWidth="1"/>
    <col min="6" max="6" width="13.7109375" bestFit="1" customWidth="1"/>
    <col min="7" max="7" width="13.5703125" bestFit="1" customWidth="1"/>
    <col min="8" max="8" width="13.140625" bestFit="1" customWidth="1"/>
    <col min="9" max="9" width="12.7109375" bestFit="1" customWidth="1"/>
    <col min="10" max="10" width="11.5703125" bestFit="1" customWidth="1"/>
    <col min="13" max="13" width="13.85546875" bestFit="1" customWidth="1"/>
  </cols>
  <sheetData>
    <row r="1" spans="1:31" x14ac:dyDescent="0.2">
      <c r="A1" s="43"/>
      <c r="B1" s="43"/>
      <c r="C1" s="43"/>
      <c r="D1" s="44"/>
      <c r="E1" s="43" t="s">
        <v>108</v>
      </c>
      <c r="F1" s="43" t="s">
        <v>109</v>
      </c>
      <c r="G1" s="43" t="s">
        <v>110</v>
      </c>
      <c r="H1" s="43" t="s">
        <v>111</v>
      </c>
      <c r="I1" s="43" t="s">
        <v>112</v>
      </c>
      <c r="J1" s="287" t="s">
        <v>157</v>
      </c>
      <c r="K1" s="43"/>
      <c r="L1" s="43"/>
      <c r="M1" s="127" t="str">
        <f>Propagações_TOT_PARANAPANEMA!AB1</f>
        <v>Rosana</v>
      </c>
      <c r="N1" s="209" t="s">
        <v>154</v>
      </c>
      <c r="O1" s="209" t="s">
        <v>152</v>
      </c>
      <c r="P1" s="209" t="s">
        <v>155</v>
      </c>
      <c r="Q1" s="209" t="s">
        <v>153</v>
      </c>
      <c r="R1" s="209" t="s">
        <v>157</v>
      </c>
      <c r="S1" s="210" t="s">
        <v>154</v>
      </c>
      <c r="T1" s="210" t="s">
        <v>152</v>
      </c>
      <c r="U1" s="210" t="s">
        <v>155</v>
      </c>
      <c r="V1" s="210" t="s">
        <v>153</v>
      </c>
      <c r="W1" s="210" t="s">
        <v>157</v>
      </c>
      <c r="X1" s="43"/>
      <c r="Y1" s="43">
        <v>34</v>
      </c>
      <c r="Z1" s="43">
        <v>34</v>
      </c>
      <c r="AA1" s="43">
        <v>34</v>
      </c>
      <c r="AB1" s="43">
        <v>34</v>
      </c>
      <c r="AC1" s="43">
        <v>34</v>
      </c>
      <c r="AE1" t="s">
        <v>226</v>
      </c>
    </row>
    <row r="2" spans="1:31" x14ac:dyDescent="0.2">
      <c r="A2" s="43" t="s">
        <v>1</v>
      </c>
      <c r="B2" s="54"/>
      <c r="C2" s="54"/>
      <c r="D2" s="44"/>
      <c r="E2" s="61" t="s">
        <v>113</v>
      </c>
      <c r="F2" s="58" t="s">
        <v>114</v>
      </c>
      <c r="G2" s="58" t="s">
        <v>115</v>
      </c>
      <c r="H2" s="81" t="s">
        <v>116</v>
      </c>
      <c r="I2" s="54" t="s">
        <v>117</v>
      </c>
      <c r="J2" s="54">
        <v>266</v>
      </c>
      <c r="K2" s="43"/>
      <c r="L2" s="205" t="s">
        <v>156</v>
      </c>
      <c r="M2" s="127">
        <v>63</v>
      </c>
      <c r="N2" s="209">
        <v>246</v>
      </c>
      <c r="O2" s="209">
        <v>245</v>
      </c>
      <c r="P2" s="209">
        <v>243</v>
      </c>
      <c r="Q2" s="209">
        <v>34</v>
      </c>
      <c r="R2" s="209">
        <v>266</v>
      </c>
      <c r="S2" s="210">
        <v>246</v>
      </c>
      <c r="T2" s="210">
        <v>245</v>
      </c>
      <c r="U2" s="210">
        <v>243</v>
      </c>
      <c r="V2" s="210">
        <v>34</v>
      </c>
      <c r="W2" s="210">
        <v>266</v>
      </c>
      <c r="X2" s="43"/>
      <c r="Y2" s="210">
        <v>18</v>
      </c>
      <c r="Z2" s="210">
        <v>33</v>
      </c>
      <c r="AA2" s="210">
        <v>99</v>
      </c>
      <c r="AB2" s="210">
        <v>241</v>
      </c>
      <c r="AC2" s="210">
        <v>261</v>
      </c>
      <c r="AE2" s="288">
        <v>242</v>
      </c>
    </row>
    <row r="3" spans="1:31" x14ac:dyDescent="0.2">
      <c r="A3" s="48" t="s">
        <v>2</v>
      </c>
      <c r="B3" s="54"/>
      <c r="C3" s="54"/>
      <c r="D3" s="44"/>
      <c r="E3" s="61">
        <v>32</v>
      </c>
      <c r="F3" s="54">
        <v>33</v>
      </c>
      <c r="G3" s="54">
        <v>45</v>
      </c>
      <c r="H3" s="60">
        <v>36</v>
      </c>
      <c r="I3" s="54" t="s">
        <v>3</v>
      </c>
      <c r="J3" s="47"/>
      <c r="K3" s="43"/>
      <c r="L3" s="43"/>
      <c r="M3" s="127">
        <v>56</v>
      </c>
      <c r="N3" s="209">
        <v>56</v>
      </c>
      <c r="O3" s="209">
        <v>48</v>
      </c>
      <c r="P3" s="209">
        <v>7</v>
      </c>
      <c r="Q3" s="209">
        <v>5</v>
      </c>
      <c r="R3" s="209"/>
      <c r="S3" s="210">
        <v>56</v>
      </c>
      <c r="T3" s="210">
        <v>48</v>
      </c>
      <c r="U3" s="210">
        <v>7</v>
      </c>
      <c r="V3" s="210">
        <v>5</v>
      </c>
      <c r="W3" s="210"/>
      <c r="X3" s="43"/>
      <c r="Y3" s="43">
        <v>18</v>
      </c>
      <c r="Z3" s="43">
        <v>30</v>
      </c>
      <c r="AA3" s="43">
        <v>35</v>
      </c>
      <c r="AB3" s="43">
        <v>24</v>
      </c>
      <c r="AC3" s="43">
        <v>24</v>
      </c>
      <c r="AE3">
        <v>42</v>
      </c>
    </row>
    <row r="4" spans="1:31" x14ac:dyDescent="0.2">
      <c r="A4" s="43" t="s">
        <v>4</v>
      </c>
      <c r="B4" s="54"/>
      <c r="C4" s="54"/>
      <c r="D4" s="44"/>
      <c r="E4" s="61"/>
      <c r="F4" s="54"/>
      <c r="G4" s="54"/>
      <c r="H4" s="60"/>
      <c r="I4" s="54"/>
      <c r="J4" s="46"/>
      <c r="K4" s="43"/>
      <c r="L4" s="43"/>
      <c r="M4" s="127"/>
      <c r="N4" s="209"/>
      <c r="O4" s="209"/>
      <c r="P4" s="209"/>
      <c r="Q4" s="209"/>
      <c r="R4" s="209"/>
      <c r="S4" s="210"/>
      <c r="T4" s="210"/>
      <c r="U4" s="210"/>
      <c r="V4" s="210"/>
      <c r="W4" s="210"/>
      <c r="X4" s="43"/>
      <c r="Y4" s="43"/>
      <c r="Z4" s="43"/>
      <c r="AA4" s="43"/>
      <c r="AB4" s="43"/>
      <c r="AC4" s="43"/>
    </row>
    <row r="5" spans="1:31" x14ac:dyDescent="0.2">
      <c r="A5" s="43"/>
      <c r="B5" s="54"/>
      <c r="C5" s="54"/>
      <c r="D5" s="44"/>
      <c r="E5" s="61" t="s">
        <v>6</v>
      </c>
      <c r="F5" s="61" t="s">
        <v>6</v>
      </c>
      <c r="G5" s="61" t="s">
        <v>6</v>
      </c>
      <c r="H5" s="61" t="s">
        <v>6</v>
      </c>
      <c r="I5" s="54"/>
      <c r="J5" s="46" t="s">
        <v>7</v>
      </c>
      <c r="K5" s="43"/>
      <c r="L5" s="43"/>
      <c r="M5" s="127" t="str">
        <f>Propagações_TOT_PARANAPANEMA!AB5</f>
        <v>VNA</v>
      </c>
      <c r="N5" s="209" t="s">
        <v>7</v>
      </c>
      <c r="O5" s="209" t="s">
        <v>7</v>
      </c>
      <c r="P5" s="209" t="s">
        <v>7</v>
      </c>
      <c r="Q5" s="209" t="s">
        <v>7</v>
      </c>
      <c r="R5" s="209" t="s">
        <v>7</v>
      </c>
      <c r="S5" s="210" t="s">
        <v>6</v>
      </c>
      <c r="T5" s="210" t="s">
        <v>6</v>
      </c>
      <c r="U5" s="210" t="s">
        <v>6</v>
      </c>
      <c r="V5" s="210" t="s">
        <v>6</v>
      </c>
      <c r="W5" s="210" t="s">
        <v>6</v>
      </c>
      <c r="X5" s="43"/>
      <c r="Y5" s="210" t="s">
        <v>6</v>
      </c>
      <c r="Z5" s="210" t="s">
        <v>6</v>
      </c>
      <c r="AA5" s="210" t="s">
        <v>6</v>
      </c>
      <c r="AB5" s="210" t="s">
        <v>6</v>
      </c>
      <c r="AC5" s="210" t="s">
        <v>6</v>
      </c>
    </row>
    <row r="6" spans="1:31" x14ac:dyDescent="0.2">
      <c r="A6" s="43"/>
      <c r="B6" s="54"/>
      <c r="C6" s="54"/>
      <c r="D6" s="54"/>
      <c r="E6" s="61" t="str">
        <f t="shared" ref="E6:J6" si="0">CONCATENATE(E2,"_",E5)</f>
        <v>PPBALS_VNA</v>
      </c>
      <c r="F6" s="61" t="str">
        <f t="shared" si="0"/>
        <v>PPFLOR_VNA</v>
      </c>
      <c r="G6" s="61" t="str">
        <f t="shared" si="0"/>
        <v>PPIVIN_VNA</v>
      </c>
      <c r="H6" s="61" t="str">
        <f t="shared" si="0"/>
        <v>PPPTAQU_VNA</v>
      </c>
      <c r="I6" s="61"/>
      <c r="J6" s="61" t="str">
        <f t="shared" si="0"/>
        <v>266_VNI</v>
      </c>
      <c r="K6" s="43"/>
      <c r="L6" s="43"/>
      <c r="M6" s="127" t="str">
        <f>Propagações_TOT_PARANAPANEMA!AB6</f>
        <v>63_VNA</v>
      </c>
      <c r="N6" s="209">
        <v>137</v>
      </c>
      <c r="O6" s="209">
        <v>136</v>
      </c>
      <c r="P6" s="209">
        <v>138</v>
      </c>
      <c r="Q6" s="209">
        <v>135</v>
      </c>
      <c r="R6" s="209"/>
      <c r="S6" s="127" t="str">
        <f>CONCATENATE(S2,"_",S5)</f>
        <v>246_VNA</v>
      </c>
      <c r="T6" s="127" t="str">
        <f>CONCATENATE(T2,"_",T5)</f>
        <v>245_VNA</v>
      </c>
      <c r="U6" s="210"/>
      <c r="V6" s="127" t="str">
        <f>CONCATENATE(V2,"_",V5)</f>
        <v>34_VNA</v>
      </c>
      <c r="W6" s="127" t="str">
        <f>CONCATENATE(W2,"_",W5)</f>
        <v>266_VNA</v>
      </c>
      <c r="X6" s="43"/>
      <c r="Y6" s="43"/>
      <c r="Z6" s="43"/>
      <c r="AA6" s="43"/>
      <c r="AB6" s="43"/>
      <c r="AC6" s="43"/>
    </row>
    <row r="7" spans="1:31" x14ac:dyDescent="0.2">
      <c r="A7" s="49">
        <f t="shared" ref="A7:A36" ca="1" si="1">A8-1</f>
        <v>43806</v>
      </c>
      <c r="B7" s="50"/>
      <c r="C7" s="51"/>
      <c r="D7" s="50"/>
      <c r="E7" s="67" t="e">
        <f ca="1">INDEX(RESULTADOS!$A:$BA,MATCH($A7,RESULTADOS!$A:$A,0),MATCH(E$1,RESULTADOS!$1:$1,0))</f>
        <v>#N/A</v>
      </c>
      <c r="F7" s="67" t="e">
        <f ca="1">INDEX(RESULTADOS!$A:$BA,MATCH($A7,RESULTADOS!$A:$A,0),MATCH(F$1,RESULTADOS!$1:$1,0))</f>
        <v>#N/A</v>
      </c>
      <c r="G7" s="67" t="e">
        <f ca="1">INDEX(RESULTADOS!$A:$BA,MATCH($A7,RESULTADOS!$A:$A,0),MATCH(G$1,RESULTADOS!$1:$1,0))</f>
        <v>#N/A</v>
      </c>
      <c r="H7" s="67" t="e">
        <f ca="1">INDEX(RESULTADOS!$A:$BA,MATCH($A7,RESULTADOS!$A:$A,0),MATCH(H$1,RESULTADOS!$1:$1,0))</f>
        <v>#N/A</v>
      </c>
      <c r="I7" s="67" t="e">
        <f ca="1">INDEX(RESULTADOS!$A:$BA,MATCH($A7,RESULTADOS!$A:$A,0),MATCH(I$1,RESULTADOS!$1:$1,0))</f>
        <v>#N/A</v>
      </c>
      <c r="J7" s="287">
        <f ca="1">SUMPRODUCT((TABELA_VAZAO[Posto]=J$2)*1,(TABELA_VAZAO[Data]=$A7)*1,TABELA_VAZAO[qinc])</f>
        <v>0</v>
      </c>
      <c r="K7" s="43"/>
      <c r="L7" s="43"/>
      <c r="M7" s="210">
        <f ca="1">SUMPRODUCT((TABELA_VAZAO[Posto]=M$2)*1,(TABELA_VAZAO[Data]=$A7)*1,TABELA_VAZAO[qnat])</f>
        <v>0</v>
      </c>
      <c r="N7" s="209">
        <f ca="1">SUMPRODUCT((TABELA_VAZAO[Posto]=N$2)*1,(TABELA_VAZAO[Data]=$A7)*1,TABELA_VAZAO[qinc])</f>
        <v>0</v>
      </c>
      <c r="O7" s="209">
        <f ca="1">SUMPRODUCT((TABELA_VAZAO[Posto]=O$2)*1,(TABELA_VAZAO[Data]=$A7)*1,TABELA_VAZAO[qinc])</f>
        <v>0</v>
      </c>
      <c r="P7" s="209">
        <f ca="1">SUMPRODUCT((TABELA_VAZAO[Posto]=P$2)*1,(TABELA_VAZAO[Data]=$A7)*1,TABELA_VAZAO[qinc])</f>
        <v>0</v>
      </c>
      <c r="Q7" s="209">
        <f ca="1">SUMPRODUCT((TABELA_VAZAO[Posto]=Q$2)*1,(TABELA_VAZAO[Data]=$A7)*1,TABELA_VAZAO[qinc])</f>
        <v>0</v>
      </c>
      <c r="R7" s="209">
        <f ca="1">SUMPRODUCT((TABELA_VAZAO[Posto]=R$2)*1,(TABELA_VAZAO[Data]=$A7)*1,TABELA_VAZAO[qinc])</f>
        <v>0</v>
      </c>
      <c r="S7" s="210">
        <f ca="1">SUMPRODUCT((TABELA_VAZAO[Posto]=S$2)*1,(TABELA_VAZAO[Data]=$A7)*1,TABELA_VAZAO[qnat])</f>
        <v>0</v>
      </c>
      <c r="T7" s="210">
        <f ca="1">SUMPRODUCT((TABELA_VAZAO[Posto]=T$2)*1,(TABELA_VAZAO[Data]=$A7)*1,TABELA_VAZAO[qnat])</f>
        <v>0</v>
      </c>
      <c r="U7" s="210">
        <f ca="1">SUMPRODUCT((TABELA_VAZAO[Posto]=U$2)*1,(TABELA_VAZAO[Data]=$A7)*1,TABELA_VAZAO[qnat])</f>
        <v>0</v>
      </c>
      <c r="V7" s="210">
        <f ca="1">SUMPRODUCT((TABELA_VAZAO[Posto]=V$2)*1,(TABELA_VAZAO[Data]=$A7)*1,TABELA_VAZAO[qnat])</f>
        <v>0</v>
      </c>
      <c r="W7" s="210">
        <f ca="1">SUMPRODUCT((TABELA_VAZAO[Posto]=W$2)*1,(TABELA_VAZAO[Data]=$A7)*1,TABELA_VAZAO[qnat])</f>
        <v>0</v>
      </c>
      <c r="X7" s="43">
        <f ca="1">SUMPRODUCT((TABELA_VAZAO[Posto]=X$2)*1,(TABELA_VAZAO[Data]=$A7)*1,TABELA_VAZAO[qnat])</f>
        <v>0</v>
      </c>
      <c r="Y7" s="210">
        <f ca="1">SUMPRODUCT((TABELA_VAZAO[Posto]=Y$2)*1,(TABELA_VAZAO[Data]=$A7)*1,TABELA_VAZAO[qnat])</f>
        <v>0</v>
      </c>
      <c r="Z7" s="210">
        <f ca="1">SUMPRODUCT((TABELA_VAZAO[Posto]=Z$2)*1,(TABELA_VAZAO[Data]=$A7)*1,TABELA_VAZAO[qnat])</f>
        <v>0</v>
      </c>
      <c r="AA7" s="210">
        <f ca="1">SUMPRODUCT((TABELA_VAZAO[Posto]=AA$2)*1,(TABELA_VAZAO[Data]=$A7)*1,TABELA_VAZAO[qnat])</f>
        <v>0</v>
      </c>
      <c r="AB7" s="210">
        <f ca="1">SUMPRODUCT((TABELA_VAZAO[Posto]=AB$2)*1,(TABELA_VAZAO[Data]=$A7)*1,TABELA_VAZAO[qnat])</f>
        <v>0</v>
      </c>
      <c r="AC7" s="210">
        <f ca="1">SUMPRODUCT((TABELA_VAZAO[Posto]=AC$2)*1,(TABELA_VAZAO[Data]=$A7)*1,TABELA_VAZAO[qnat])</f>
        <v>0</v>
      </c>
      <c r="AE7" s="272">
        <f ca="1">Propagações_TOT_TIETE!$X7</f>
        <v>0</v>
      </c>
    </row>
    <row r="8" spans="1:31" x14ac:dyDescent="0.2">
      <c r="A8" s="49">
        <f t="shared" ca="1" si="1"/>
        <v>43807</v>
      </c>
      <c r="B8" s="51"/>
      <c r="C8" s="51"/>
      <c r="D8" s="50"/>
      <c r="E8" s="67" t="e">
        <f ca="1">INDEX(RESULTADOS!$A:$BA,MATCH($A8,RESULTADOS!$A:$A,0),MATCH(E$1,RESULTADOS!$1:$1,0))</f>
        <v>#N/A</v>
      </c>
      <c r="F8" s="67" t="e">
        <f ca="1">INDEX(RESULTADOS!$A:$BA,MATCH($A8,RESULTADOS!$A:$A,0),MATCH(F$1,RESULTADOS!$1:$1,0))</f>
        <v>#N/A</v>
      </c>
      <c r="G8" s="67" t="e">
        <f ca="1">INDEX(RESULTADOS!$A:$BA,MATCH($A8,RESULTADOS!$A:$A,0),MATCH(G$1,RESULTADOS!$1:$1,0))</f>
        <v>#N/A</v>
      </c>
      <c r="H8" s="67" t="e">
        <f ca="1">INDEX(RESULTADOS!$A:$BA,MATCH($A8,RESULTADOS!$A:$A,0),MATCH(H$1,RESULTADOS!$1:$1,0))</f>
        <v>#N/A</v>
      </c>
      <c r="I8" s="67" t="e">
        <f ca="1">INDEX(RESULTADOS!$A:$BA,MATCH($A8,RESULTADOS!$A:$A,0),MATCH(I$1,RESULTADOS!$1:$1,0))</f>
        <v>#N/A</v>
      </c>
      <c r="J8" s="287">
        <f ca="1">SUMPRODUCT((TABELA_VAZAO[Posto]=J$2)*1,(TABELA_VAZAO[Data]=$A8)*1,TABELA_VAZAO[qinc])</f>
        <v>0</v>
      </c>
      <c r="K8" s="43"/>
      <c r="L8" s="43"/>
      <c r="M8" s="210">
        <f ca="1">SUMPRODUCT((TABELA_VAZAO[Posto]=M$2)*1,(TABELA_VAZAO[Data]=$A8)*1,TABELA_VAZAO[qnat])</f>
        <v>0</v>
      </c>
      <c r="N8" s="209">
        <f ca="1">SUMPRODUCT((TABELA_VAZAO[Posto]=N$2)*1,(TABELA_VAZAO[Data]=$A8)*1,TABELA_VAZAO[qinc])</f>
        <v>0</v>
      </c>
      <c r="O8" s="209">
        <f ca="1">SUMPRODUCT((TABELA_VAZAO[Posto]=O$2)*1,(TABELA_VAZAO[Data]=$A8)*1,TABELA_VAZAO[qinc])</f>
        <v>0</v>
      </c>
      <c r="P8" s="209">
        <f ca="1">SUMPRODUCT((TABELA_VAZAO[Posto]=P$2)*1,(TABELA_VAZAO[Data]=$A8)*1,TABELA_VAZAO[qinc])</f>
        <v>0</v>
      </c>
      <c r="Q8" s="209">
        <f ca="1">SUMPRODUCT((TABELA_VAZAO[Posto]=Q$2)*1,(TABELA_VAZAO[Data]=$A8)*1,TABELA_VAZAO[qinc])</f>
        <v>0</v>
      </c>
      <c r="R8" s="209">
        <f ca="1">SUMPRODUCT((TABELA_VAZAO[Posto]=R$2)*1,(TABELA_VAZAO[Data]=$A8)*1,TABELA_VAZAO[qinc])</f>
        <v>0</v>
      </c>
      <c r="S8" s="210">
        <f ca="1">SUMPRODUCT((TABELA_VAZAO[Posto]=S$2)*1,(TABELA_VAZAO[Data]=$A8)*1,TABELA_VAZAO[qnat])</f>
        <v>0</v>
      </c>
      <c r="T8" s="210">
        <f ca="1">SUMPRODUCT((TABELA_VAZAO[Posto]=T$2)*1,(TABELA_VAZAO[Data]=$A8)*1,TABELA_VAZAO[qnat])</f>
        <v>0</v>
      </c>
      <c r="U8" s="210">
        <f ca="1">SUMPRODUCT((TABELA_VAZAO[Posto]=U$2)*1,(TABELA_VAZAO[Data]=$A8)*1,TABELA_VAZAO[qnat])</f>
        <v>0</v>
      </c>
      <c r="V8" s="210">
        <f ca="1">SUMPRODUCT((TABELA_VAZAO[Posto]=V$2)*1,(TABELA_VAZAO[Data]=$A8)*1,TABELA_VAZAO[qnat])</f>
        <v>0</v>
      </c>
      <c r="W8" s="210">
        <f ca="1">SUMPRODUCT((TABELA_VAZAO[Posto]=W$2)*1,(TABELA_VAZAO[Data]=$A8)*1,TABELA_VAZAO[qnat])</f>
        <v>0</v>
      </c>
      <c r="X8" s="43">
        <f ca="1">SUMPRODUCT((TABELA_VAZAO[Posto]=X$2)*1,(TABELA_VAZAO[Data]=$A8)*1,TABELA_VAZAO[qnat])</f>
        <v>0</v>
      </c>
      <c r="Y8" s="210">
        <f ca="1">SUMPRODUCT((TABELA_VAZAO[Posto]=Y$2)*1,(TABELA_VAZAO[Data]=$A8)*1,TABELA_VAZAO[qnat])</f>
        <v>0</v>
      </c>
      <c r="Z8" s="210">
        <f ca="1">SUMPRODUCT((TABELA_VAZAO[Posto]=Z$2)*1,(TABELA_VAZAO[Data]=$A8)*1,TABELA_VAZAO[qnat])</f>
        <v>0</v>
      </c>
      <c r="AA8" s="210">
        <f ca="1">SUMPRODUCT((TABELA_VAZAO[Posto]=AA$2)*1,(TABELA_VAZAO[Data]=$A8)*1,TABELA_VAZAO[qnat])</f>
        <v>0</v>
      </c>
      <c r="AB8" s="210">
        <f ca="1">SUMPRODUCT((TABELA_VAZAO[Posto]=AB$2)*1,(TABELA_VAZAO[Data]=$A8)*1,TABELA_VAZAO[qnat])</f>
        <v>0</v>
      </c>
      <c r="AC8" s="210">
        <f ca="1">SUMPRODUCT((TABELA_VAZAO[Posto]=AC$2)*1,(TABELA_VAZAO[Data]=$A8)*1,TABELA_VAZAO[qnat])</f>
        <v>0</v>
      </c>
      <c r="AE8" s="272">
        <f ca="1">Propagações_TOT_TIETE!$X8</f>
        <v>0</v>
      </c>
    </row>
    <row r="9" spans="1:31" x14ac:dyDescent="0.2">
      <c r="A9" s="49">
        <f t="shared" ca="1" si="1"/>
        <v>43808</v>
      </c>
      <c r="B9" s="51"/>
      <c r="C9" s="51"/>
      <c r="D9" s="50"/>
      <c r="E9" s="67" t="e">
        <f ca="1">INDEX(RESULTADOS!$A:$BA,MATCH($A9,RESULTADOS!$A:$A,0),MATCH(E$1,RESULTADOS!$1:$1,0))</f>
        <v>#N/A</v>
      </c>
      <c r="F9" s="67" t="e">
        <f ca="1">INDEX(RESULTADOS!$A:$BA,MATCH($A9,RESULTADOS!$A:$A,0),MATCH(F$1,RESULTADOS!$1:$1,0))</f>
        <v>#N/A</v>
      </c>
      <c r="G9" s="67" t="e">
        <f ca="1">INDEX(RESULTADOS!$A:$BA,MATCH($A9,RESULTADOS!$A:$A,0),MATCH(G$1,RESULTADOS!$1:$1,0))</f>
        <v>#N/A</v>
      </c>
      <c r="H9" s="67" t="e">
        <f ca="1">INDEX(RESULTADOS!$A:$BA,MATCH($A9,RESULTADOS!$A:$A,0),MATCH(H$1,RESULTADOS!$1:$1,0))</f>
        <v>#N/A</v>
      </c>
      <c r="I9" s="67" t="e">
        <f ca="1">INDEX(RESULTADOS!$A:$BA,MATCH($A9,RESULTADOS!$A:$A,0),MATCH(I$1,RESULTADOS!$1:$1,0))</f>
        <v>#N/A</v>
      </c>
      <c r="J9" s="287">
        <f ca="1">SUMPRODUCT((TABELA_VAZAO[Posto]=J$2)*1,(TABELA_VAZAO[Data]=$A9)*1,TABELA_VAZAO[qinc])</f>
        <v>0</v>
      </c>
      <c r="K9" s="43"/>
      <c r="L9" s="43"/>
      <c r="M9" s="210">
        <f ca="1">SUMPRODUCT((TABELA_VAZAO[Posto]=M$2)*1,(TABELA_VAZAO[Data]=$A9)*1,TABELA_VAZAO[qnat])</f>
        <v>0</v>
      </c>
      <c r="N9" s="209">
        <f ca="1">SUMPRODUCT((TABELA_VAZAO[Posto]=N$2)*1,(TABELA_VAZAO[Data]=$A9)*1,TABELA_VAZAO[qinc])</f>
        <v>0</v>
      </c>
      <c r="O9" s="209">
        <f ca="1">SUMPRODUCT((TABELA_VAZAO[Posto]=O$2)*1,(TABELA_VAZAO[Data]=$A9)*1,TABELA_VAZAO[qinc])</f>
        <v>0</v>
      </c>
      <c r="P9" s="209">
        <f ca="1">SUMPRODUCT((TABELA_VAZAO[Posto]=P$2)*1,(TABELA_VAZAO[Data]=$A9)*1,TABELA_VAZAO[qinc])</f>
        <v>0</v>
      </c>
      <c r="Q9" s="209">
        <f ca="1">SUMPRODUCT((TABELA_VAZAO[Posto]=Q$2)*1,(TABELA_VAZAO[Data]=$A9)*1,TABELA_VAZAO[qinc])</f>
        <v>0</v>
      </c>
      <c r="R9" s="209">
        <f ca="1">SUMPRODUCT((TABELA_VAZAO[Posto]=R$2)*1,(TABELA_VAZAO[Data]=$A9)*1,TABELA_VAZAO[qinc])</f>
        <v>0</v>
      </c>
      <c r="S9" s="210">
        <f ca="1">SUMPRODUCT((TABELA_VAZAO[Posto]=S$2)*1,(TABELA_VAZAO[Data]=$A9)*1,TABELA_VAZAO[qnat])</f>
        <v>0</v>
      </c>
      <c r="T9" s="210">
        <f ca="1">SUMPRODUCT((TABELA_VAZAO[Posto]=T$2)*1,(TABELA_VAZAO[Data]=$A9)*1,TABELA_VAZAO[qnat])</f>
        <v>0</v>
      </c>
      <c r="U9" s="210">
        <f ca="1">SUMPRODUCT((TABELA_VAZAO[Posto]=U$2)*1,(TABELA_VAZAO[Data]=$A9)*1,TABELA_VAZAO[qnat])</f>
        <v>0</v>
      </c>
      <c r="V9" s="210">
        <f ca="1">SUMPRODUCT((TABELA_VAZAO[Posto]=V$2)*1,(TABELA_VAZAO[Data]=$A9)*1,TABELA_VAZAO[qnat])</f>
        <v>0</v>
      </c>
      <c r="W9" s="210">
        <f ca="1">SUMPRODUCT((TABELA_VAZAO[Posto]=W$2)*1,(TABELA_VAZAO[Data]=$A9)*1,TABELA_VAZAO[qnat])</f>
        <v>0</v>
      </c>
      <c r="X9" s="43">
        <f ca="1">SUMPRODUCT((TABELA_VAZAO[Posto]=X$2)*1,(TABELA_VAZAO[Data]=$A9)*1,TABELA_VAZAO[qnat])</f>
        <v>0</v>
      </c>
      <c r="Y9" s="210">
        <f ca="1">SUMPRODUCT((TABELA_VAZAO[Posto]=Y$2)*1,(TABELA_VAZAO[Data]=$A9)*1,TABELA_VAZAO[qnat])</f>
        <v>0</v>
      </c>
      <c r="Z9" s="210">
        <f ca="1">SUMPRODUCT((TABELA_VAZAO[Posto]=Z$2)*1,(TABELA_VAZAO[Data]=$A9)*1,TABELA_VAZAO[qnat])</f>
        <v>0</v>
      </c>
      <c r="AA9" s="210">
        <f ca="1">SUMPRODUCT((TABELA_VAZAO[Posto]=AA$2)*1,(TABELA_VAZAO[Data]=$A9)*1,TABELA_VAZAO[qnat])</f>
        <v>0</v>
      </c>
      <c r="AB9" s="210">
        <f ca="1">SUMPRODUCT((TABELA_VAZAO[Posto]=AB$2)*1,(TABELA_VAZAO[Data]=$A9)*1,TABELA_VAZAO[qnat])</f>
        <v>0</v>
      </c>
      <c r="AC9" s="210">
        <f ca="1">SUMPRODUCT((TABELA_VAZAO[Posto]=AC$2)*1,(TABELA_VAZAO[Data]=$A9)*1,TABELA_VAZAO[qnat])</f>
        <v>0</v>
      </c>
      <c r="AE9" s="272">
        <f ca="1">Propagações_TOT_TIETE!$X9</f>
        <v>0</v>
      </c>
    </row>
    <row r="10" spans="1:31" x14ac:dyDescent="0.2">
      <c r="A10" s="49">
        <f t="shared" ca="1" si="1"/>
        <v>43809</v>
      </c>
      <c r="B10" s="51"/>
      <c r="C10" s="51"/>
      <c r="D10" s="50"/>
      <c r="E10" s="67" t="e">
        <f ca="1">INDEX(RESULTADOS!$A:$BA,MATCH($A10,RESULTADOS!$A:$A,0),MATCH(E$1,RESULTADOS!$1:$1,0))</f>
        <v>#N/A</v>
      </c>
      <c r="F10" s="67" t="e">
        <f ca="1">INDEX(RESULTADOS!$A:$BA,MATCH($A10,RESULTADOS!$A:$A,0),MATCH(F$1,RESULTADOS!$1:$1,0))</f>
        <v>#N/A</v>
      </c>
      <c r="G10" s="67" t="e">
        <f ca="1">INDEX(RESULTADOS!$A:$BA,MATCH($A10,RESULTADOS!$A:$A,0),MATCH(G$1,RESULTADOS!$1:$1,0))</f>
        <v>#N/A</v>
      </c>
      <c r="H10" s="67" t="e">
        <f ca="1">INDEX(RESULTADOS!$A:$BA,MATCH($A10,RESULTADOS!$A:$A,0),MATCH(H$1,RESULTADOS!$1:$1,0))</f>
        <v>#N/A</v>
      </c>
      <c r="I10" s="67" t="e">
        <f ca="1">INDEX(RESULTADOS!$A:$BA,MATCH($A10,RESULTADOS!$A:$A,0),MATCH(I$1,RESULTADOS!$1:$1,0))</f>
        <v>#N/A</v>
      </c>
      <c r="J10" s="287">
        <f ca="1">SUMPRODUCT((TABELA_VAZAO[Posto]=J$2)*1,(TABELA_VAZAO[Data]=$A10)*1,TABELA_VAZAO[qinc])</f>
        <v>0</v>
      </c>
      <c r="K10" s="43"/>
      <c r="L10" s="43"/>
      <c r="M10" s="210">
        <f ca="1">SUMPRODUCT((TABELA_VAZAO[Posto]=M$2)*1,(TABELA_VAZAO[Data]=$A10)*1,TABELA_VAZAO[qnat])</f>
        <v>0</v>
      </c>
      <c r="N10" s="209">
        <f ca="1">SUMPRODUCT((TABELA_VAZAO[Posto]=N$2)*1,(TABELA_VAZAO[Data]=$A10)*1,TABELA_VAZAO[qinc])</f>
        <v>0</v>
      </c>
      <c r="O10" s="209">
        <f ca="1">SUMPRODUCT((TABELA_VAZAO[Posto]=O$2)*1,(TABELA_VAZAO[Data]=$A10)*1,TABELA_VAZAO[qinc])</f>
        <v>0</v>
      </c>
      <c r="P10" s="209">
        <f ca="1">SUMPRODUCT((TABELA_VAZAO[Posto]=P$2)*1,(TABELA_VAZAO[Data]=$A10)*1,TABELA_VAZAO[qinc])</f>
        <v>0</v>
      </c>
      <c r="Q10" s="209">
        <f ca="1">SUMPRODUCT((TABELA_VAZAO[Posto]=Q$2)*1,(TABELA_VAZAO[Data]=$A10)*1,TABELA_VAZAO[qinc])</f>
        <v>0</v>
      </c>
      <c r="R10" s="209">
        <f ca="1">SUMPRODUCT((TABELA_VAZAO[Posto]=R$2)*1,(TABELA_VAZAO[Data]=$A10)*1,TABELA_VAZAO[qinc])</f>
        <v>0</v>
      </c>
      <c r="S10" s="210">
        <f ca="1">SUMPRODUCT((TABELA_VAZAO[Posto]=S$2)*1,(TABELA_VAZAO[Data]=$A10)*1,TABELA_VAZAO[qnat])</f>
        <v>0</v>
      </c>
      <c r="T10" s="210">
        <f ca="1">SUMPRODUCT((TABELA_VAZAO[Posto]=T$2)*1,(TABELA_VAZAO[Data]=$A10)*1,TABELA_VAZAO[qnat])</f>
        <v>0</v>
      </c>
      <c r="U10" s="210">
        <f ca="1">SUMPRODUCT((TABELA_VAZAO[Posto]=U$2)*1,(TABELA_VAZAO[Data]=$A10)*1,TABELA_VAZAO[qnat])</f>
        <v>0</v>
      </c>
      <c r="V10" s="210">
        <f ca="1">SUMPRODUCT((TABELA_VAZAO[Posto]=V$2)*1,(TABELA_VAZAO[Data]=$A10)*1,TABELA_VAZAO[qnat])</f>
        <v>0</v>
      </c>
      <c r="W10" s="210">
        <f ca="1">SUMPRODUCT((TABELA_VAZAO[Posto]=W$2)*1,(TABELA_VAZAO[Data]=$A10)*1,TABELA_VAZAO[qnat])</f>
        <v>0</v>
      </c>
      <c r="X10" s="43">
        <f ca="1">SUMPRODUCT((TABELA_VAZAO[Posto]=X$2)*1,(TABELA_VAZAO[Data]=$A10)*1,TABELA_VAZAO[qnat])</f>
        <v>0</v>
      </c>
      <c r="Y10" s="210">
        <f ca="1">SUMPRODUCT((TABELA_VAZAO[Posto]=Y$2)*1,(TABELA_VAZAO[Data]=$A10)*1,TABELA_VAZAO[qnat])</f>
        <v>0</v>
      </c>
      <c r="Z10" s="210">
        <f ca="1">SUMPRODUCT((TABELA_VAZAO[Posto]=Z$2)*1,(TABELA_VAZAO[Data]=$A10)*1,TABELA_VAZAO[qnat])</f>
        <v>0</v>
      </c>
      <c r="AA10" s="210">
        <f ca="1">SUMPRODUCT((TABELA_VAZAO[Posto]=AA$2)*1,(TABELA_VAZAO[Data]=$A10)*1,TABELA_VAZAO[qnat])</f>
        <v>0</v>
      </c>
      <c r="AB10" s="210">
        <f ca="1">SUMPRODUCT((TABELA_VAZAO[Posto]=AB$2)*1,(TABELA_VAZAO[Data]=$A10)*1,TABELA_VAZAO[qnat])</f>
        <v>0</v>
      </c>
      <c r="AC10" s="210">
        <f ca="1">SUMPRODUCT((TABELA_VAZAO[Posto]=AC$2)*1,(TABELA_VAZAO[Data]=$A10)*1,TABELA_VAZAO[qnat])</f>
        <v>0</v>
      </c>
      <c r="AE10" s="272">
        <f ca="1">Propagações_TOT_TIETE!$X10</f>
        <v>0</v>
      </c>
    </row>
    <row r="11" spans="1:31" x14ac:dyDescent="0.2">
      <c r="A11" s="49">
        <f t="shared" ca="1" si="1"/>
        <v>43810</v>
      </c>
      <c r="B11" s="51"/>
      <c r="C11" s="51"/>
      <c r="D11" s="50"/>
      <c r="E11" s="67" t="e">
        <f ca="1">INDEX(RESULTADOS!$A:$BA,MATCH($A11,RESULTADOS!$A:$A,0),MATCH(E$1,RESULTADOS!$1:$1,0))</f>
        <v>#N/A</v>
      </c>
      <c r="F11" s="67" t="e">
        <f ca="1">INDEX(RESULTADOS!$A:$BA,MATCH($A11,RESULTADOS!$A:$A,0),MATCH(F$1,RESULTADOS!$1:$1,0))</f>
        <v>#N/A</v>
      </c>
      <c r="G11" s="67" t="e">
        <f ca="1">INDEX(RESULTADOS!$A:$BA,MATCH($A11,RESULTADOS!$A:$A,0),MATCH(G$1,RESULTADOS!$1:$1,0))</f>
        <v>#N/A</v>
      </c>
      <c r="H11" s="67" t="e">
        <f ca="1">INDEX(RESULTADOS!$A:$BA,MATCH($A11,RESULTADOS!$A:$A,0),MATCH(H$1,RESULTADOS!$1:$1,0))</f>
        <v>#N/A</v>
      </c>
      <c r="I11" s="67" t="e">
        <f ca="1">INDEX(RESULTADOS!$A:$BA,MATCH($A11,RESULTADOS!$A:$A,0),MATCH(I$1,RESULTADOS!$1:$1,0))</f>
        <v>#N/A</v>
      </c>
      <c r="J11" s="287">
        <f ca="1">SUMPRODUCT((TABELA_VAZAO[Posto]=J$2)*1,(TABELA_VAZAO[Data]=$A11)*1,TABELA_VAZAO[qinc])</f>
        <v>0</v>
      </c>
      <c r="K11" s="43"/>
      <c r="L11" s="43"/>
      <c r="M11" s="210">
        <f ca="1">SUMPRODUCT((TABELA_VAZAO[Posto]=M$2)*1,(TABELA_VAZAO[Data]=$A11)*1,TABELA_VAZAO[qnat])</f>
        <v>0</v>
      </c>
      <c r="N11" s="209">
        <f ca="1">SUMPRODUCT((TABELA_VAZAO[Posto]=N$2)*1,(TABELA_VAZAO[Data]=$A11)*1,TABELA_VAZAO[qinc])</f>
        <v>0</v>
      </c>
      <c r="O11" s="209">
        <f ca="1">SUMPRODUCT((TABELA_VAZAO[Posto]=O$2)*1,(TABELA_VAZAO[Data]=$A11)*1,TABELA_VAZAO[qinc])</f>
        <v>0</v>
      </c>
      <c r="P11" s="209">
        <f ca="1">SUMPRODUCT((TABELA_VAZAO[Posto]=P$2)*1,(TABELA_VAZAO[Data]=$A11)*1,TABELA_VAZAO[qinc])</f>
        <v>0</v>
      </c>
      <c r="Q11" s="209">
        <f ca="1">SUMPRODUCT((TABELA_VAZAO[Posto]=Q$2)*1,(TABELA_VAZAO[Data]=$A11)*1,TABELA_VAZAO[qinc])</f>
        <v>0</v>
      </c>
      <c r="R11" s="209">
        <f ca="1">SUMPRODUCT((TABELA_VAZAO[Posto]=R$2)*1,(TABELA_VAZAO[Data]=$A11)*1,TABELA_VAZAO[qinc])</f>
        <v>0</v>
      </c>
      <c r="S11" s="210">
        <f ca="1">SUMPRODUCT((TABELA_VAZAO[Posto]=S$2)*1,(TABELA_VAZAO[Data]=$A11)*1,TABELA_VAZAO[qnat])</f>
        <v>0</v>
      </c>
      <c r="T11" s="210">
        <f ca="1">SUMPRODUCT((TABELA_VAZAO[Posto]=T$2)*1,(TABELA_VAZAO[Data]=$A11)*1,TABELA_VAZAO[qnat])</f>
        <v>0</v>
      </c>
      <c r="U11" s="210">
        <f ca="1">SUMPRODUCT((TABELA_VAZAO[Posto]=U$2)*1,(TABELA_VAZAO[Data]=$A11)*1,TABELA_VAZAO[qnat])</f>
        <v>0</v>
      </c>
      <c r="V11" s="210">
        <f ca="1">SUMPRODUCT((TABELA_VAZAO[Posto]=V$2)*1,(TABELA_VAZAO[Data]=$A11)*1,TABELA_VAZAO[qnat])</f>
        <v>0</v>
      </c>
      <c r="W11" s="210">
        <f ca="1">SUMPRODUCT((TABELA_VAZAO[Posto]=W$2)*1,(TABELA_VAZAO[Data]=$A11)*1,TABELA_VAZAO[qnat])</f>
        <v>0</v>
      </c>
      <c r="X11" s="43">
        <f ca="1">SUMPRODUCT((TABELA_VAZAO[Posto]=X$2)*1,(TABELA_VAZAO[Data]=$A11)*1,TABELA_VAZAO[qnat])</f>
        <v>0</v>
      </c>
      <c r="Y11" s="210">
        <f ca="1">SUMPRODUCT((TABELA_VAZAO[Posto]=Y$2)*1,(TABELA_VAZAO[Data]=$A11)*1,TABELA_VAZAO[qnat])</f>
        <v>0</v>
      </c>
      <c r="Z11" s="210">
        <f ca="1">SUMPRODUCT((TABELA_VAZAO[Posto]=Z$2)*1,(TABELA_VAZAO[Data]=$A11)*1,TABELA_VAZAO[qnat])</f>
        <v>0</v>
      </c>
      <c r="AA11" s="210">
        <f ca="1">SUMPRODUCT((TABELA_VAZAO[Posto]=AA$2)*1,(TABELA_VAZAO[Data]=$A11)*1,TABELA_VAZAO[qnat])</f>
        <v>0</v>
      </c>
      <c r="AB11" s="210">
        <f ca="1">SUMPRODUCT((TABELA_VAZAO[Posto]=AB$2)*1,(TABELA_VAZAO[Data]=$A11)*1,TABELA_VAZAO[qnat])</f>
        <v>0</v>
      </c>
      <c r="AC11" s="210">
        <f ca="1">SUMPRODUCT((TABELA_VAZAO[Posto]=AC$2)*1,(TABELA_VAZAO[Data]=$A11)*1,TABELA_VAZAO[qnat])</f>
        <v>0</v>
      </c>
      <c r="AE11" s="272">
        <f ca="1">Propagações_TOT_TIETE!$X11</f>
        <v>0</v>
      </c>
    </row>
    <row r="12" spans="1:31" x14ac:dyDescent="0.2">
      <c r="A12" s="82">
        <f t="shared" ca="1" si="1"/>
        <v>43811</v>
      </c>
      <c r="B12" s="83"/>
      <c r="C12" s="83"/>
      <c r="D12" s="84"/>
      <c r="E12" s="67" t="e">
        <f ca="1">INDEX(RESULTADOS!$A:$BA,MATCH($A12,RESULTADOS!$A:$A,0),MATCH(E$1,RESULTADOS!$1:$1,0))</f>
        <v>#N/A</v>
      </c>
      <c r="F12" s="67" t="e">
        <f ca="1">INDEX(RESULTADOS!$A:$BA,MATCH($A12,RESULTADOS!$A:$A,0),MATCH(F$1,RESULTADOS!$1:$1,0))</f>
        <v>#N/A</v>
      </c>
      <c r="G12" s="67" t="e">
        <f ca="1">INDEX(RESULTADOS!$A:$BA,MATCH($A12,RESULTADOS!$A:$A,0),MATCH(G$1,RESULTADOS!$1:$1,0))</f>
        <v>#N/A</v>
      </c>
      <c r="H12" s="67" t="e">
        <f ca="1">INDEX(RESULTADOS!$A:$BA,MATCH($A12,RESULTADOS!$A:$A,0),MATCH(H$1,RESULTADOS!$1:$1,0))</f>
        <v>#N/A</v>
      </c>
      <c r="I12" s="67" t="e">
        <f ca="1">INDEX(RESULTADOS!$A:$BA,MATCH($A12,RESULTADOS!$A:$A,0),MATCH(I$1,RESULTADOS!$1:$1,0))</f>
        <v>#N/A</v>
      </c>
      <c r="J12" s="287">
        <f ca="1">SUMPRODUCT((TABELA_VAZAO[Posto]=J$2)*1,(TABELA_VAZAO[Data]=$A12)*1,TABELA_VAZAO[qinc])</f>
        <v>0</v>
      </c>
      <c r="K12" s="85"/>
      <c r="L12" s="86"/>
      <c r="M12" s="210">
        <f ca="1">SUMPRODUCT((TABELA_VAZAO[Posto]=M$2)*1,(TABELA_VAZAO[Data]=$A12)*1,TABELA_VAZAO[qnat])</f>
        <v>0</v>
      </c>
      <c r="N12" s="209">
        <f ca="1">SUMPRODUCT((TABELA_VAZAO[Posto]=N$2)*1,(TABELA_VAZAO[Data]=$A12)*1,TABELA_VAZAO[qinc])</f>
        <v>0</v>
      </c>
      <c r="O12" s="209">
        <f ca="1">SUMPRODUCT((TABELA_VAZAO[Posto]=O$2)*1,(TABELA_VAZAO[Data]=$A12)*1,TABELA_VAZAO[qinc])</f>
        <v>0</v>
      </c>
      <c r="P12" s="209">
        <f ca="1">SUMPRODUCT((TABELA_VAZAO[Posto]=P$2)*1,(TABELA_VAZAO[Data]=$A12)*1,TABELA_VAZAO[qinc])</f>
        <v>0</v>
      </c>
      <c r="Q12" s="209">
        <f ca="1">SUMPRODUCT((TABELA_VAZAO[Posto]=Q$2)*1,(TABELA_VAZAO[Data]=$A12)*1,TABELA_VAZAO[qinc])</f>
        <v>0</v>
      </c>
      <c r="R12" s="209">
        <f ca="1">SUMPRODUCT((TABELA_VAZAO[Posto]=R$2)*1,(TABELA_VAZAO[Data]=$A12)*1,TABELA_VAZAO[qinc])</f>
        <v>0</v>
      </c>
      <c r="S12" s="210">
        <f ca="1">SUMPRODUCT((TABELA_VAZAO[Posto]=S$2)*1,(TABELA_VAZAO[Data]=$A12)*1,TABELA_VAZAO[qnat])</f>
        <v>0</v>
      </c>
      <c r="T12" s="210">
        <f ca="1">SUMPRODUCT((TABELA_VAZAO[Posto]=T$2)*1,(TABELA_VAZAO[Data]=$A12)*1,TABELA_VAZAO[qnat])</f>
        <v>0</v>
      </c>
      <c r="U12" s="210">
        <f ca="1">SUMPRODUCT((TABELA_VAZAO[Posto]=U$2)*1,(TABELA_VAZAO[Data]=$A12)*1,TABELA_VAZAO[qnat])</f>
        <v>0</v>
      </c>
      <c r="V12" s="210">
        <f ca="1">SUMPRODUCT((TABELA_VAZAO[Posto]=V$2)*1,(TABELA_VAZAO[Data]=$A12)*1,TABELA_VAZAO[qnat])</f>
        <v>0</v>
      </c>
      <c r="W12" s="210">
        <f ca="1">SUMPRODUCT((TABELA_VAZAO[Posto]=W$2)*1,(TABELA_VAZAO[Data]=$A12)*1,TABELA_VAZAO[qnat])</f>
        <v>0</v>
      </c>
      <c r="X12" s="85">
        <f ca="1">SUMPRODUCT((TABELA_VAZAO[Posto]=X$2)*1,(TABELA_VAZAO[Data]=$A12)*1,TABELA_VAZAO[qnat])</f>
        <v>0</v>
      </c>
      <c r="Y12" s="210">
        <f ca="1">SUMPRODUCT((TABELA_VAZAO[Posto]=Y$2)*1,(TABELA_VAZAO[Data]=$A12)*1,TABELA_VAZAO[qnat])</f>
        <v>0</v>
      </c>
      <c r="Z12" s="210">
        <f ca="1">SUMPRODUCT((TABELA_VAZAO[Posto]=Z$2)*1,(TABELA_VAZAO[Data]=$A12)*1,TABELA_VAZAO[qnat])</f>
        <v>0</v>
      </c>
      <c r="AA12" s="210">
        <f ca="1">SUMPRODUCT((TABELA_VAZAO[Posto]=AA$2)*1,(TABELA_VAZAO[Data]=$A12)*1,TABELA_VAZAO[qnat])</f>
        <v>0</v>
      </c>
      <c r="AB12" s="210">
        <f ca="1">SUMPRODUCT((TABELA_VAZAO[Posto]=AB$2)*1,(TABELA_VAZAO[Data]=$A12)*1,TABELA_VAZAO[qnat])</f>
        <v>0</v>
      </c>
      <c r="AC12" s="210">
        <f ca="1">SUMPRODUCT((TABELA_VAZAO[Posto]=AC$2)*1,(TABELA_VAZAO[Data]=$A12)*1,TABELA_VAZAO[qnat])</f>
        <v>0</v>
      </c>
      <c r="AE12" s="272">
        <f ca="1">Propagações_TOT_TIETE!$X12</f>
        <v>0</v>
      </c>
    </row>
    <row r="13" spans="1:31" x14ac:dyDescent="0.2">
      <c r="A13" s="49">
        <f t="shared" ca="1" si="1"/>
        <v>43812</v>
      </c>
      <c r="B13" s="51"/>
      <c r="C13" s="51"/>
      <c r="D13" s="50"/>
      <c r="E13" s="67" t="e">
        <f ca="1">INDEX(RESULTADOS!$A:$BA,MATCH($A13,RESULTADOS!$A:$A,0),MATCH(E$1,RESULTADOS!$1:$1,0))</f>
        <v>#N/A</v>
      </c>
      <c r="F13" s="67" t="e">
        <f ca="1">INDEX(RESULTADOS!$A:$BA,MATCH($A13,RESULTADOS!$A:$A,0),MATCH(F$1,RESULTADOS!$1:$1,0))</f>
        <v>#N/A</v>
      </c>
      <c r="G13" s="67" t="e">
        <f ca="1">INDEX(RESULTADOS!$A:$BA,MATCH($A13,RESULTADOS!$A:$A,0),MATCH(G$1,RESULTADOS!$1:$1,0))</f>
        <v>#N/A</v>
      </c>
      <c r="H13" s="67" t="e">
        <f ca="1">INDEX(RESULTADOS!$A:$BA,MATCH($A13,RESULTADOS!$A:$A,0),MATCH(H$1,RESULTADOS!$1:$1,0))</f>
        <v>#N/A</v>
      </c>
      <c r="I13" s="67" t="e">
        <f ca="1">INDEX(RESULTADOS!$A:$BA,MATCH($A13,RESULTADOS!$A:$A,0),MATCH(I$1,RESULTADOS!$1:$1,0))</f>
        <v>#N/A</v>
      </c>
      <c r="J13" s="287">
        <f ca="1">SUMPRODUCT((TABELA_VAZAO[Posto]=J$2)*1,(TABELA_VAZAO[Data]=$A13)*1,TABELA_VAZAO[qinc])</f>
        <v>0</v>
      </c>
      <c r="K13" s="43"/>
      <c r="L13" s="43"/>
      <c r="M13" s="210">
        <f ca="1">SUMPRODUCT((TABELA_VAZAO[Posto]=M$2)*1,(TABELA_VAZAO[Data]=$A13)*1,TABELA_VAZAO[qnat])</f>
        <v>0</v>
      </c>
      <c r="N13" s="209">
        <f ca="1">SUMPRODUCT((TABELA_VAZAO[Posto]=N$2)*1,(TABELA_VAZAO[Data]=$A13)*1,TABELA_VAZAO[qinc])</f>
        <v>0</v>
      </c>
      <c r="O13" s="209">
        <f ca="1">SUMPRODUCT((TABELA_VAZAO[Posto]=O$2)*1,(TABELA_VAZAO[Data]=$A13)*1,TABELA_VAZAO[qinc])</f>
        <v>0</v>
      </c>
      <c r="P13" s="209">
        <f ca="1">SUMPRODUCT((TABELA_VAZAO[Posto]=P$2)*1,(TABELA_VAZAO[Data]=$A13)*1,TABELA_VAZAO[qinc])</f>
        <v>0</v>
      </c>
      <c r="Q13" s="209">
        <f ca="1">SUMPRODUCT((TABELA_VAZAO[Posto]=Q$2)*1,(TABELA_VAZAO[Data]=$A13)*1,TABELA_VAZAO[qinc])</f>
        <v>0</v>
      </c>
      <c r="R13" s="209">
        <f ca="1">SUMPRODUCT((TABELA_VAZAO[Posto]=R$2)*1,(TABELA_VAZAO[Data]=$A13)*1,TABELA_VAZAO[qinc])</f>
        <v>0</v>
      </c>
      <c r="S13" s="210">
        <f ca="1">SUMPRODUCT((TABELA_VAZAO[Posto]=S$2)*1,(TABELA_VAZAO[Data]=$A13)*1,TABELA_VAZAO[qnat])</f>
        <v>0</v>
      </c>
      <c r="T13" s="210">
        <f ca="1">SUMPRODUCT((TABELA_VAZAO[Posto]=T$2)*1,(TABELA_VAZAO[Data]=$A13)*1,TABELA_VAZAO[qnat])</f>
        <v>0</v>
      </c>
      <c r="U13" s="210">
        <f ca="1">SUMPRODUCT((TABELA_VAZAO[Posto]=U$2)*1,(TABELA_VAZAO[Data]=$A13)*1,TABELA_VAZAO[qnat])</f>
        <v>0</v>
      </c>
      <c r="V13" s="210">
        <f ca="1">SUMPRODUCT((TABELA_VAZAO[Posto]=V$2)*1,(TABELA_VAZAO[Data]=$A13)*1,TABELA_VAZAO[qnat])</f>
        <v>0</v>
      </c>
      <c r="W13" s="210">
        <f ca="1">SUMPRODUCT((TABELA_VAZAO[Posto]=W$2)*1,(TABELA_VAZAO[Data]=$A13)*1,TABELA_VAZAO[qnat])</f>
        <v>0</v>
      </c>
      <c r="X13" s="43">
        <f ca="1">SUMPRODUCT((TABELA_VAZAO[Posto]=X$2)*1,(TABELA_VAZAO[Data]=$A13)*1,TABELA_VAZAO[qnat])</f>
        <v>0</v>
      </c>
      <c r="Y13" s="210">
        <f ca="1">SUMPRODUCT((TABELA_VAZAO[Posto]=Y$2)*1,(TABELA_VAZAO[Data]=$A13)*1,TABELA_VAZAO[qnat])</f>
        <v>0</v>
      </c>
      <c r="Z13" s="210">
        <f ca="1">SUMPRODUCT((TABELA_VAZAO[Posto]=Z$2)*1,(TABELA_VAZAO[Data]=$A13)*1,TABELA_VAZAO[qnat])</f>
        <v>0</v>
      </c>
      <c r="AA13" s="210">
        <f ca="1">SUMPRODUCT((TABELA_VAZAO[Posto]=AA$2)*1,(TABELA_VAZAO[Data]=$A13)*1,TABELA_VAZAO[qnat])</f>
        <v>0</v>
      </c>
      <c r="AB13" s="210">
        <f ca="1">SUMPRODUCT((TABELA_VAZAO[Posto]=AB$2)*1,(TABELA_VAZAO[Data]=$A13)*1,TABELA_VAZAO[qnat])</f>
        <v>0</v>
      </c>
      <c r="AC13" s="210">
        <f ca="1">SUMPRODUCT((TABELA_VAZAO[Posto]=AC$2)*1,(TABELA_VAZAO[Data]=$A13)*1,TABELA_VAZAO[qnat])</f>
        <v>0</v>
      </c>
      <c r="AE13" s="272">
        <f ca="1">Propagações_TOT_TIETE!$X13</f>
        <v>0</v>
      </c>
    </row>
    <row r="14" spans="1:31" x14ac:dyDescent="0.2">
      <c r="A14" s="49">
        <f t="shared" ca="1" si="1"/>
        <v>43813</v>
      </c>
      <c r="B14" s="51"/>
      <c r="C14" s="51"/>
      <c r="D14" s="50"/>
      <c r="E14" s="67" t="e">
        <f ca="1">INDEX(RESULTADOS!$A:$BA,MATCH($A14,RESULTADOS!$A:$A,0),MATCH(E$1,RESULTADOS!$1:$1,0))</f>
        <v>#N/A</v>
      </c>
      <c r="F14" s="67" t="e">
        <f ca="1">INDEX(RESULTADOS!$A:$BA,MATCH($A14,RESULTADOS!$A:$A,0),MATCH(F$1,RESULTADOS!$1:$1,0))</f>
        <v>#N/A</v>
      </c>
      <c r="G14" s="67" t="e">
        <f ca="1">INDEX(RESULTADOS!$A:$BA,MATCH($A14,RESULTADOS!$A:$A,0),MATCH(G$1,RESULTADOS!$1:$1,0))</f>
        <v>#N/A</v>
      </c>
      <c r="H14" s="67" t="e">
        <f ca="1">INDEX(RESULTADOS!$A:$BA,MATCH($A14,RESULTADOS!$A:$A,0),MATCH(H$1,RESULTADOS!$1:$1,0))</f>
        <v>#N/A</v>
      </c>
      <c r="I14" s="67" t="e">
        <f ca="1">INDEX(RESULTADOS!$A:$BA,MATCH($A14,RESULTADOS!$A:$A,0),MATCH(I$1,RESULTADOS!$1:$1,0))</f>
        <v>#N/A</v>
      </c>
      <c r="J14" s="287">
        <f ca="1">SUMPRODUCT((TABELA_VAZAO[Posto]=J$2)*1,(TABELA_VAZAO[Data]=$A14)*1,TABELA_VAZAO[qinc])</f>
        <v>0</v>
      </c>
      <c r="K14" s="43"/>
      <c r="L14" s="43"/>
      <c r="M14" s="210">
        <f ca="1">SUMPRODUCT((TABELA_VAZAO[Posto]=M$2)*1,(TABELA_VAZAO[Data]=$A14)*1,TABELA_VAZAO[qnat])</f>
        <v>0</v>
      </c>
      <c r="N14" s="209">
        <f ca="1">SUMPRODUCT((TABELA_VAZAO[Posto]=N$2)*1,(TABELA_VAZAO[Data]=$A14)*1,TABELA_VAZAO[qinc])</f>
        <v>0</v>
      </c>
      <c r="O14" s="209">
        <f ca="1">SUMPRODUCT((TABELA_VAZAO[Posto]=O$2)*1,(TABELA_VAZAO[Data]=$A14)*1,TABELA_VAZAO[qinc])</f>
        <v>0</v>
      </c>
      <c r="P14" s="209">
        <f ca="1">SUMPRODUCT((TABELA_VAZAO[Posto]=P$2)*1,(TABELA_VAZAO[Data]=$A14)*1,TABELA_VAZAO[qinc])</f>
        <v>0</v>
      </c>
      <c r="Q14" s="209">
        <f ca="1">SUMPRODUCT((TABELA_VAZAO[Posto]=Q$2)*1,(TABELA_VAZAO[Data]=$A14)*1,TABELA_VAZAO[qinc])</f>
        <v>0</v>
      </c>
      <c r="R14" s="209">
        <f ca="1">SUMPRODUCT((TABELA_VAZAO[Posto]=R$2)*1,(TABELA_VAZAO[Data]=$A14)*1,TABELA_VAZAO[qinc])</f>
        <v>0</v>
      </c>
      <c r="S14" s="210">
        <f ca="1">SUMPRODUCT((TABELA_VAZAO[Posto]=S$2)*1,(TABELA_VAZAO[Data]=$A14)*1,TABELA_VAZAO[qnat])</f>
        <v>0</v>
      </c>
      <c r="T14" s="210">
        <f ca="1">SUMPRODUCT((TABELA_VAZAO[Posto]=T$2)*1,(TABELA_VAZAO[Data]=$A14)*1,TABELA_VAZAO[qnat])</f>
        <v>0</v>
      </c>
      <c r="U14" s="210">
        <f ca="1">SUMPRODUCT((TABELA_VAZAO[Posto]=U$2)*1,(TABELA_VAZAO[Data]=$A14)*1,TABELA_VAZAO[qnat])</f>
        <v>0</v>
      </c>
      <c r="V14" s="210">
        <f ca="1">SUMPRODUCT((TABELA_VAZAO[Posto]=V$2)*1,(TABELA_VAZAO[Data]=$A14)*1,TABELA_VAZAO[qnat])</f>
        <v>0</v>
      </c>
      <c r="W14" s="210">
        <f ca="1">SUMPRODUCT((TABELA_VAZAO[Posto]=W$2)*1,(TABELA_VAZAO[Data]=$A14)*1,TABELA_VAZAO[qnat])</f>
        <v>0</v>
      </c>
      <c r="X14" s="43">
        <f ca="1">SUMPRODUCT((TABELA_VAZAO[Posto]=X$2)*1,(TABELA_VAZAO[Data]=$A14)*1,TABELA_VAZAO[qnat])</f>
        <v>0</v>
      </c>
      <c r="Y14" s="210">
        <f ca="1">SUMPRODUCT((TABELA_VAZAO[Posto]=Y$2)*1,(TABELA_VAZAO[Data]=$A14)*1,TABELA_VAZAO[qnat])</f>
        <v>0</v>
      </c>
      <c r="Z14" s="210">
        <f ca="1">SUMPRODUCT((TABELA_VAZAO[Posto]=Z$2)*1,(TABELA_VAZAO[Data]=$A14)*1,TABELA_VAZAO[qnat])</f>
        <v>0</v>
      </c>
      <c r="AA14" s="210">
        <f ca="1">SUMPRODUCT((TABELA_VAZAO[Posto]=AA$2)*1,(TABELA_VAZAO[Data]=$A14)*1,TABELA_VAZAO[qnat])</f>
        <v>0</v>
      </c>
      <c r="AB14" s="210">
        <f ca="1">SUMPRODUCT((TABELA_VAZAO[Posto]=AB$2)*1,(TABELA_VAZAO[Data]=$A14)*1,TABELA_VAZAO[qnat])</f>
        <v>0</v>
      </c>
      <c r="AC14" s="210">
        <f ca="1">SUMPRODUCT((TABELA_VAZAO[Posto]=AC$2)*1,(TABELA_VAZAO[Data]=$A14)*1,TABELA_VAZAO[qnat])</f>
        <v>0</v>
      </c>
      <c r="AE14" s="272">
        <f ca="1">Propagações_TOT_TIETE!$X14</f>
        <v>0</v>
      </c>
    </row>
    <row r="15" spans="1:31" x14ac:dyDescent="0.2">
      <c r="A15" s="49">
        <f t="shared" ca="1" si="1"/>
        <v>43814</v>
      </c>
      <c r="B15" s="51"/>
      <c r="C15" s="51"/>
      <c r="D15" s="50"/>
      <c r="E15" s="67" t="e">
        <f ca="1">INDEX(RESULTADOS!$A:$BA,MATCH($A15,RESULTADOS!$A:$A,0),MATCH(E$1,RESULTADOS!$1:$1,0))</f>
        <v>#N/A</v>
      </c>
      <c r="F15" s="67" t="e">
        <f ca="1">INDEX(RESULTADOS!$A:$BA,MATCH($A15,RESULTADOS!$A:$A,0),MATCH(F$1,RESULTADOS!$1:$1,0))</f>
        <v>#N/A</v>
      </c>
      <c r="G15" s="67" t="e">
        <f ca="1">INDEX(RESULTADOS!$A:$BA,MATCH($A15,RESULTADOS!$A:$A,0),MATCH(G$1,RESULTADOS!$1:$1,0))</f>
        <v>#N/A</v>
      </c>
      <c r="H15" s="67" t="e">
        <f ca="1">INDEX(RESULTADOS!$A:$BA,MATCH($A15,RESULTADOS!$A:$A,0),MATCH(H$1,RESULTADOS!$1:$1,0))</f>
        <v>#N/A</v>
      </c>
      <c r="I15" s="67" t="e">
        <f ca="1">INDEX(RESULTADOS!$A:$BA,MATCH($A15,RESULTADOS!$A:$A,0),MATCH(I$1,RESULTADOS!$1:$1,0))</f>
        <v>#N/A</v>
      </c>
      <c r="J15" s="287">
        <f ca="1">SUMPRODUCT((TABELA_VAZAO[Posto]=J$2)*1,(TABELA_VAZAO[Data]=$A15)*1,TABELA_VAZAO[qinc])</f>
        <v>0</v>
      </c>
      <c r="K15" s="43"/>
      <c r="L15" s="43"/>
      <c r="M15" s="210">
        <f ca="1">SUMPRODUCT((TABELA_VAZAO[Posto]=M$2)*1,(TABELA_VAZAO[Data]=$A15)*1,TABELA_VAZAO[qnat])</f>
        <v>0</v>
      </c>
      <c r="N15" s="209">
        <f ca="1">SUMPRODUCT((TABELA_VAZAO[Posto]=N$2)*1,(TABELA_VAZAO[Data]=$A15)*1,TABELA_VAZAO[qinc])</f>
        <v>0</v>
      </c>
      <c r="O15" s="209">
        <f ca="1">SUMPRODUCT((TABELA_VAZAO[Posto]=O$2)*1,(TABELA_VAZAO[Data]=$A15)*1,TABELA_VAZAO[qinc])</f>
        <v>0</v>
      </c>
      <c r="P15" s="209">
        <f ca="1">SUMPRODUCT((TABELA_VAZAO[Posto]=P$2)*1,(TABELA_VAZAO[Data]=$A15)*1,TABELA_VAZAO[qinc])</f>
        <v>0</v>
      </c>
      <c r="Q15" s="209">
        <f ca="1">SUMPRODUCT((TABELA_VAZAO[Posto]=Q$2)*1,(TABELA_VAZAO[Data]=$A15)*1,TABELA_VAZAO[qinc])</f>
        <v>0</v>
      </c>
      <c r="R15" s="209">
        <f ca="1">SUMPRODUCT((TABELA_VAZAO[Posto]=R$2)*1,(TABELA_VAZAO[Data]=$A15)*1,TABELA_VAZAO[qinc])</f>
        <v>0</v>
      </c>
      <c r="S15" s="210">
        <f ca="1">SUMPRODUCT((TABELA_VAZAO[Posto]=S$2)*1,(TABELA_VAZAO[Data]=$A15)*1,TABELA_VAZAO[qnat])</f>
        <v>0</v>
      </c>
      <c r="T15" s="210">
        <f ca="1">SUMPRODUCT((TABELA_VAZAO[Posto]=T$2)*1,(TABELA_VAZAO[Data]=$A15)*1,TABELA_VAZAO[qnat])</f>
        <v>0</v>
      </c>
      <c r="U15" s="210">
        <f ca="1">SUMPRODUCT((TABELA_VAZAO[Posto]=U$2)*1,(TABELA_VAZAO[Data]=$A15)*1,TABELA_VAZAO[qnat])</f>
        <v>0</v>
      </c>
      <c r="V15" s="210">
        <f ca="1">SUMPRODUCT((TABELA_VAZAO[Posto]=V$2)*1,(TABELA_VAZAO[Data]=$A15)*1,TABELA_VAZAO[qnat])</f>
        <v>0</v>
      </c>
      <c r="W15" s="210">
        <f ca="1">SUMPRODUCT((TABELA_VAZAO[Posto]=W$2)*1,(TABELA_VAZAO[Data]=$A15)*1,TABELA_VAZAO[qnat])</f>
        <v>0</v>
      </c>
      <c r="X15" s="43">
        <f ca="1">SUMPRODUCT((TABELA_VAZAO[Posto]=X$2)*1,(TABELA_VAZAO[Data]=$A15)*1,TABELA_VAZAO[qnat])</f>
        <v>0</v>
      </c>
      <c r="Y15" s="210">
        <f ca="1">SUMPRODUCT((TABELA_VAZAO[Posto]=Y$2)*1,(TABELA_VAZAO[Data]=$A15)*1,TABELA_VAZAO[qnat])</f>
        <v>0</v>
      </c>
      <c r="Z15" s="210">
        <f ca="1">SUMPRODUCT((TABELA_VAZAO[Posto]=Z$2)*1,(TABELA_VAZAO[Data]=$A15)*1,TABELA_VAZAO[qnat])</f>
        <v>0</v>
      </c>
      <c r="AA15" s="210">
        <f ca="1">SUMPRODUCT((TABELA_VAZAO[Posto]=AA$2)*1,(TABELA_VAZAO[Data]=$A15)*1,TABELA_VAZAO[qnat])</f>
        <v>0</v>
      </c>
      <c r="AB15" s="210">
        <f ca="1">SUMPRODUCT((TABELA_VAZAO[Posto]=AB$2)*1,(TABELA_VAZAO[Data]=$A15)*1,TABELA_VAZAO[qnat])</f>
        <v>0</v>
      </c>
      <c r="AC15" s="210">
        <f ca="1">SUMPRODUCT((TABELA_VAZAO[Posto]=AC$2)*1,(TABELA_VAZAO[Data]=$A15)*1,TABELA_VAZAO[qnat])</f>
        <v>0</v>
      </c>
      <c r="AE15" s="272">
        <f ca="1">Propagações_TOT_TIETE!$X15</f>
        <v>0</v>
      </c>
    </row>
    <row r="16" spans="1:31" x14ac:dyDescent="0.2">
      <c r="A16" s="49">
        <f t="shared" ca="1" si="1"/>
        <v>43815</v>
      </c>
      <c r="B16" s="51"/>
      <c r="C16" s="51"/>
      <c r="D16" s="50"/>
      <c r="E16" s="67" t="e">
        <f ca="1">INDEX(RESULTADOS!$A:$BA,MATCH($A16,RESULTADOS!$A:$A,0),MATCH(E$1,RESULTADOS!$1:$1,0))</f>
        <v>#N/A</v>
      </c>
      <c r="F16" s="67" t="e">
        <f ca="1">INDEX(RESULTADOS!$A:$BA,MATCH($A16,RESULTADOS!$A:$A,0),MATCH(F$1,RESULTADOS!$1:$1,0))</f>
        <v>#N/A</v>
      </c>
      <c r="G16" s="67" t="e">
        <f ca="1">INDEX(RESULTADOS!$A:$BA,MATCH($A16,RESULTADOS!$A:$A,0),MATCH(G$1,RESULTADOS!$1:$1,0))</f>
        <v>#N/A</v>
      </c>
      <c r="H16" s="67" t="e">
        <f ca="1">INDEX(RESULTADOS!$A:$BA,MATCH($A16,RESULTADOS!$A:$A,0),MATCH(H$1,RESULTADOS!$1:$1,0))</f>
        <v>#N/A</v>
      </c>
      <c r="I16" s="67" t="e">
        <f ca="1">INDEX(RESULTADOS!$A:$BA,MATCH($A16,RESULTADOS!$A:$A,0),MATCH(I$1,RESULTADOS!$1:$1,0))</f>
        <v>#N/A</v>
      </c>
      <c r="J16" s="287">
        <f ca="1">SUMPRODUCT((TABELA_VAZAO[Posto]=J$2)*1,(TABELA_VAZAO[Data]=$A16)*1,TABELA_VAZAO[qinc])</f>
        <v>0</v>
      </c>
      <c r="K16" s="43"/>
      <c r="L16" s="43"/>
      <c r="M16" s="210">
        <f ca="1">SUMPRODUCT((TABELA_VAZAO[Posto]=M$2)*1,(TABELA_VAZAO[Data]=$A16)*1,TABELA_VAZAO[qnat])</f>
        <v>0</v>
      </c>
      <c r="N16" s="209">
        <f ca="1">SUMPRODUCT((TABELA_VAZAO[Posto]=N$2)*1,(TABELA_VAZAO[Data]=$A16)*1,TABELA_VAZAO[qinc])</f>
        <v>0</v>
      </c>
      <c r="O16" s="209">
        <f ca="1">SUMPRODUCT((TABELA_VAZAO[Posto]=O$2)*1,(TABELA_VAZAO[Data]=$A16)*1,TABELA_VAZAO[qinc])</f>
        <v>0</v>
      </c>
      <c r="P16" s="209">
        <f ca="1">SUMPRODUCT((TABELA_VAZAO[Posto]=P$2)*1,(TABELA_VAZAO[Data]=$A16)*1,TABELA_VAZAO[qinc])</f>
        <v>0</v>
      </c>
      <c r="Q16" s="209">
        <f ca="1">SUMPRODUCT((TABELA_VAZAO[Posto]=Q$2)*1,(TABELA_VAZAO[Data]=$A16)*1,TABELA_VAZAO[qinc])</f>
        <v>0</v>
      </c>
      <c r="R16" s="209">
        <f ca="1">SUMPRODUCT((TABELA_VAZAO[Posto]=R$2)*1,(TABELA_VAZAO[Data]=$A16)*1,TABELA_VAZAO[qinc])</f>
        <v>0</v>
      </c>
      <c r="S16" s="210">
        <f ca="1">SUMPRODUCT((TABELA_VAZAO[Posto]=S$2)*1,(TABELA_VAZAO[Data]=$A16)*1,TABELA_VAZAO[qnat])</f>
        <v>0</v>
      </c>
      <c r="T16" s="210">
        <f ca="1">SUMPRODUCT((TABELA_VAZAO[Posto]=T$2)*1,(TABELA_VAZAO[Data]=$A16)*1,TABELA_VAZAO[qnat])</f>
        <v>0</v>
      </c>
      <c r="U16" s="210">
        <f ca="1">SUMPRODUCT((TABELA_VAZAO[Posto]=U$2)*1,(TABELA_VAZAO[Data]=$A16)*1,TABELA_VAZAO[qnat])</f>
        <v>0</v>
      </c>
      <c r="V16" s="210">
        <f ca="1">SUMPRODUCT((TABELA_VAZAO[Posto]=V$2)*1,(TABELA_VAZAO[Data]=$A16)*1,TABELA_VAZAO[qnat])</f>
        <v>0</v>
      </c>
      <c r="W16" s="210">
        <f ca="1">SUMPRODUCT((TABELA_VAZAO[Posto]=W$2)*1,(TABELA_VAZAO[Data]=$A16)*1,TABELA_VAZAO[qnat])</f>
        <v>0</v>
      </c>
      <c r="X16" s="43">
        <f ca="1">SUMPRODUCT((TABELA_VAZAO[Posto]=X$2)*1,(TABELA_VAZAO[Data]=$A16)*1,TABELA_VAZAO[qnat])</f>
        <v>0</v>
      </c>
      <c r="Y16" s="210">
        <f ca="1">SUMPRODUCT((TABELA_VAZAO[Posto]=Y$2)*1,(TABELA_VAZAO[Data]=$A16)*1,TABELA_VAZAO[qnat])</f>
        <v>0</v>
      </c>
      <c r="Z16" s="210">
        <f ca="1">SUMPRODUCT((TABELA_VAZAO[Posto]=Z$2)*1,(TABELA_VAZAO[Data]=$A16)*1,TABELA_VAZAO[qnat])</f>
        <v>0</v>
      </c>
      <c r="AA16" s="210">
        <f ca="1">SUMPRODUCT((TABELA_VAZAO[Posto]=AA$2)*1,(TABELA_VAZAO[Data]=$A16)*1,TABELA_VAZAO[qnat])</f>
        <v>0</v>
      </c>
      <c r="AB16" s="210">
        <f ca="1">SUMPRODUCT((TABELA_VAZAO[Posto]=AB$2)*1,(TABELA_VAZAO[Data]=$A16)*1,TABELA_VAZAO[qnat])</f>
        <v>0</v>
      </c>
      <c r="AC16" s="210">
        <f ca="1">SUMPRODUCT((TABELA_VAZAO[Posto]=AC$2)*1,(TABELA_VAZAO[Data]=$A16)*1,TABELA_VAZAO[qnat])</f>
        <v>0</v>
      </c>
      <c r="AE16" s="272">
        <f ca="1">Propagações_TOT_TIETE!$X16</f>
        <v>0</v>
      </c>
    </row>
    <row r="17" spans="1:31" x14ac:dyDescent="0.2">
      <c r="A17" s="49">
        <f t="shared" ca="1" si="1"/>
        <v>43816</v>
      </c>
      <c r="B17" s="51"/>
      <c r="C17" s="51"/>
      <c r="D17" s="50"/>
      <c r="E17" s="67" t="e">
        <f ca="1">INDEX(RESULTADOS!$A:$BA,MATCH($A17,RESULTADOS!$A:$A,0),MATCH(E$1,RESULTADOS!$1:$1,0))</f>
        <v>#N/A</v>
      </c>
      <c r="F17" s="67" t="e">
        <f ca="1">INDEX(RESULTADOS!$A:$BA,MATCH($A17,RESULTADOS!$A:$A,0),MATCH(F$1,RESULTADOS!$1:$1,0))</f>
        <v>#N/A</v>
      </c>
      <c r="G17" s="67" t="e">
        <f ca="1">INDEX(RESULTADOS!$A:$BA,MATCH($A17,RESULTADOS!$A:$A,0),MATCH(G$1,RESULTADOS!$1:$1,0))</f>
        <v>#N/A</v>
      </c>
      <c r="H17" s="67" t="e">
        <f ca="1">INDEX(RESULTADOS!$A:$BA,MATCH($A17,RESULTADOS!$A:$A,0),MATCH(H$1,RESULTADOS!$1:$1,0))</f>
        <v>#N/A</v>
      </c>
      <c r="I17" s="67" t="e">
        <f ca="1">INDEX(RESULTADOS!$A:$BA,MATCH($A17,RESULTADOS!$A:$A,0),MATCH(I$1,RESULTADOS!$1:$1,0))</f>
        <v>#N/A</v>
      </c>
      <c r="J17" s="287">
        <f ca="1">SUMPRODUCT((TABELA_VAZAO[Posto]=J$2)*1,(TABELA_VAZAO[Data]=$A17)*1,TABELA_VAZAO[qinc])</f>
        <v>0</v>
      </c>
      <c r="K17" s="43"/>
      <c r="L17" s="43"/>
      <c r="M17" s="210">
        <f ca="1">SUMPRODUCT((TABELA_VAZAO[Posto]=M$2)*1,(TABELA_VAZAO[Data]=$A17)*1,TABELA_VAZAO[qnat])</f>
        <v>0</v>
      </c>
      <c r="N17" s="209">
        <f ca="1">SUMPRODUCT((TABELA_VAZAO[Posto]=N$2)*1,(TABELA_VAZAO[Data]=$A17)*1,TABELA_VAZAO[qinc])</f>
        <v>0</v>
      </c>
      <c r="O17" s="209">
        <f ca="1">SUMPRODUCT((TABELA_VAZAO[Posto]=O$2)*1,(TABELA_VAZAO[Data]=$A17)*1,TABELA_VAZAO[qinc])</f>
        <v>0</v>
      </c>
      <c r="P17" s="209">
        <f ca="1">SUMPRODUCT((TABELA_VAZAO[Posto]=P$2)*1,(TABELA_VAZAO[Data]=$A17)*1,TABELA_VAZAO[qinc])</f>
        <v>0</v>
      </c>
      <c r="Q17" s="209">
        <f ca="1">SUMPRODUCT((TABELA_VAZAO[Posto]=Q$2)*1,(TABELA_VAZAO[Data]=$A17)*1,TABELA_VAZAO[qinc])</f>
        <v>0</v>
      </c>
      <c r="R17" s="209">
        <f ca="1">SUMPRODUCT((TABELA_VAZAO[Posto]=R$2)*1,(TABELA_VAZAO[Data]=$A17)*1,TABELA_VAZAO[qinc])</f>
        <v>0</v>
      </c>
      <c r="S17" s="210">
        <f ca="1">SUMPRODUCT((TABELA_VAZAO[Posto]=S$2)*1,(TABELA_VAZAO[Data]=$A17)*1,TABELA_VAZAO[qnat])</f>
        <v>0</v>
      </c>
      <c r="T17" s="210">
        <f ca="1">SUMPRODUCT((TABELA_VAZAO[Posto]=T$2)*1,(TABELA_VAZAO[Data]=$A17)*1,TABELA_VAZAO[qnat])</f>
        <v>0</v>
      </c>
      <c r="U17" s="210">
        <f ca="1">SUMPRODUCT((TABELA_VAZAO[Posto]=U$2)*1,(TABELA_VAZAO[Data]=$A17)*1,TABELA_VAZAO[qnat])</f>
        <v>0</v>
      </c>
      <c r="V17" s="210">
        <f ca="1">SUMPRODUCT((TABELA_VAZAO[Posto]=V$2)*1,(TABELA_VAZAO[Data]=$A17)*1,TABELA_VAZAO[qnat])</f>
        <v>0</v>
      </c>
      <c r="W17" s="210">
        <f ca="1">SUMPRODUCT((TABELA_VAZAO[Posto]=W$2)*1,(TABELA_VAZAO[Data]=$A17)*1,TABELA_VAZAO[qnat])</f>
        <v>0</v>
      </c>
      <c r="X17" s="43">
        <f ca="1">SUMPRODUCT((TABELA_VAZAO[Posto]=X$2)*1,(TABELA_VAZAO[Data]=$A17)*1,TABELA_VAZAO[qnat])</f>
        <v>0</v>
      </c>
      <c r="Y17" s="210">
        <f ca="1">SUMPRODUCT((TABELA_VAZAO[Posto]=Y$2)*1,(TABELA_VAZAO[Data]=$A17)*1,TABELA_VAZAO[qnat])</f>
        <v>0</v>
      </c>
      <c r="Z17" s="210">
        <f ca="1">SUMPRODUCT((TABELA_VAZAO[Posto]=Z$2)*1,(TABELA_VAZAO[Data]=$A17)*1,TABELA_VAZAO[qnat])</f>
        <v>0</v>
      </c>
      <c r="AA17" s="210">
        <f ca="1">SUMPRODUCT((TABELA_VAZAO[Posto]=AA$2)*1,(TABELA_VAZAO[Data]=$A17)*1,TABELA_VAZAO[qnat])</f>
        <v>0</v>
      </c>
      <c r="AB17" s="210">
        <f ca="1">SUMPRODUCT((TABELA_VAZAO[Posto]=AB$2)*1,(TABELA_VAZAO[Data]=$A17)*1,TABELA_VAZAO[qnat])</f>
        <v>0</v>
      </c>
      <c r="AC17" s="210">
        <f ca="1">SUMPRODUCT((TABELA_VAZAO[Posto]=AC$2)*1,(TABELA_VAZAO[Data]=$A17)*1,TABELA_VAZAO[qnat])</f>
        <v>0</v>
      </c>
      <c r="AE17" s="272">
        <f ca="1">Propagações_TOT_TIETE!$X17</f>
        <v>0</v>
      </c>
    </row>
    <row r="18" spans="1:31" x14ac:dyDescent="0.2">
      <c r="A18" s="49">
        <f t="shared" ca="1" si="1"/>
        <v>43817</v>
      </c>
      <c r="B18" s="51"/>
      <c r="C18" s="51"/>
      <c r="D18" s="50"/>
      <c r="E18" s="67" t="e">
        <f ca="1">INDEX(RESULTADOS!$A:$BA,MATCH($A18,RESULTADOS!$A:$A,0),MATCH(E$1,RESULTADOS!$1:$1,0))</f>
        <v>#N/A</v>
      </c>
      <c r="F18" s="67" t="e">
        <f ca="1">INDEX(RESULTADOS!$A:$BA,MATCH($A18,RESULTADOS!$A:$A,0),MATCH(F$1,RESULTADOS!$1:$1,0))</f>
        <v>#N/A</v>
      </c>
      <c r="G18" s="67" t="e">
        <f ca="1">INDEX(RESULTADOS!$A:$BA,MATCH($A18,RESULTADOS!$A:$A,0),MATCH(G$1,RESULTADOS!$1:$1,0))</f>
        <v>#N/A</v>
      </c>
      <c r="H18" s="67" t="e">
        <f ca="1">INDEX(RESULTADOS!$A:$BA,MATCH($A18,RESULTADOS!$A:$A,0),MATCH(H$1,RESULTADOS!$1:$1,0))</f>
        <v>#N/A</v>
      </c>
      <c r="I18" s="67" t="e">
        <f ca="1">INDEX(RESULTADOS!$A:$BA,MATCH($A18,RESULTADOS!$A:$A,0),MATCH(I$1,RESULTADOS!$1:$1,0))</f>
        <v>#N/A</v>
      </c>
      <c r="J18" s="287">
        <f ca="1">SUMPRODUCT((TABELA_VAZAO[Posto]=J$2)*1,(TABELA_VAZAO[Data]=$A18)*1,TABELA_VAZAO[qinc])</f>
        <v>0</v>
      </c>
      <c r="K18" s="43"/>
      <c r="L18" s="43"/>
      <c r="M18" s="210">
        <f ca="1">SUMPRODUCT((TABELA_VAZAO[Posto]=M$2)*1,(TABELA_VAZAO[Data]=$A18)*1,TABELA_VAZAO[qnat])</f>
        <v>0</v>
      </c>
      <c r="N18" s="209">
        <f ca="1">SUMPRODUCT((TABELA_VAZAO[Posto]=N$2)*1,(TABELA_VAZAO[Data]=$A18)*1,TABELA_VAZAO[qinc])</f>
        <v>0</v>
      </c>
      <c r="O18" s="209">
        <f ca="1">SUMPRODUCT((TABELA_VAZAO[Posto]=O$2)*1,(TABELA_VAZAO[Data]=$A18)*1,TABELA_VAZAO[qinc])</f>
        <v>0</v>
      </c>
      <c r="P18" s="209">
        <f ca="1">SUMPRODUCT((TABELA_VAZAO[Posto]=P$2)*1,(TABELA_VAZAO[Data]=$A18)*1,TABELA_VAZAO[qinc])</f>
        <v>0</v>
      </c>
      <c r="Q18" s="209">
        <f ca="1">SUMPRODUCT((TABELA_VAZAO[Posto]=Q$2)*1,(TABELA_VAZAO[Data]=$A18)*1,TABELA_VAZAO[qinc])</f>
        <v>0</v>
      </c>
      <c r="R18" s="209">
        <f ca="1">SUMPRODUCT((TABELA_VAZAO[Posto]=R$2)*1,(TABELA_VAZAO[Data]=$A18)*1,TABELA_VAZAO[qinc])</f>
        <v>0</v>
      </c>
      <c r="S18" s="210">
        <f ca="1">SUMPRODUCT((TABELA_VAZAO[Posto]=S$2)*1,(TABELA_VAZAO[Data]=$A18)*1,TABELA_VAZAO[qnat])</f>
        <v>0</v>
      </c>
      <c r="T18" s="210">
        <f ca="1">SUMPRODUCT((TABELA_VAZAO[Posto]=T$2)*1,(TABELA_VAZAO[Data]=$A18)*1,TABELA_VAZAO[qnat])</f>
        <v>0</v>
      </c>
      <c r="U18" s="210">
        <f ca="1">SUMPRODUCT((TABELA_VAZAO[Posto]=U$2)*1,(TABELA_VAZAO[Data]=$A18)*1,TABELA_VAZAO[qnat])</f>
        <v>0</v>
      </c>
      <c r="V18" s="210">
        <f ca="1">SUMPRODUCT((TABELA_VAZAO[Posto]=V$2)*1,(TABELA_VAZAO[Data]=$A18)*1,TABELA_VAZAO[qnat])</f>
        <v>0</v>
      </c>
      <c r="W18" s="210">
        <f ca="1">SUMPRODUCT((TABELA_VAZAO[Posto]=W$2)*1,(TABELA_VAZAO[Data]=$A18)*1,TABELA_VAZAO[qnat])</f>
        <v>0</v>
      </c>
      <c r="X18" s="43">
        <f ca="1">SUMPRODUCT((TABELA_VAZAO[Posto]=X$2)*1,(TABELA_VAZAO[Data]=$A18)*1,TABELA_VAZAO[qnat])</f>
        <v>0</v>
      </c>
      <c r="Y18" s="210">
        <f ca="1">SUMPRODUCT((TABELA_VAZAO[Posto]=Y$2)*1,(TABELA_VAZAO[Data]=$A18)*1,TABELA_VAZAO[qnat])</f>
        <v>0</v>
      </c>
      <c r="Z18" s="210">
        <f ca="1">SUMPRODUCT((TABELA_VAZAO[Posto]=Z$2)*1,(TABELA_VAZAO[Data]=$A18)*1,TABELA_VAZAO[qnat])</f>
        <v>0</v>
      </c>
      <c r="AA18" s="210">
        <f ca="1">SUMPRODUCT((TABELA_VAZAO[Posto]=AA$2)*1,(TABELA_VAZAO[Data]=$A18)*1,TABELA_VAZAO[qnat])</f>
        <v>0</v>
      </c>
      <c r="AB18" s="210">
        <f ca="1">SUMPRODUCT((TABELA_VAZAO[Posto]=AB$2)*1,(TABELA_VAZAO[Data]=$A18)*1,TABELA_VAZAO[qnat])</f>
        <v>0</v>
      </c>
      <c r="AC18" s="210">
        <f ca="1">SUMPRODUCT((TABELA_VAZAO[Posto]=AC$2)*1,(TABELA_VAZAO[Data]=$A18)*1,TABELA_VAZAO[qnat])</f>
        <v>0</v>
      </c>
      <c r="AE18" s="272">
        <f ca="1">Propagações_TOT_TIETE!$X18</f>
        <v>0</v>
      </c>
    </row>
    <row r="19" spans="1:31" x14ac:dyDescent="0.2">
      <c r="A19" s="82">
        <f t="shared" ca="1" si="1"/>
        <v>43818</v>
      </c>
      <c r="B19" s="83"/>
      <c r="C19" s="83"/>
      <c r="D19" s="84"/>
      <c r="E19" s="67" t="e">
        <f ca="1">INDEX(RESULTADOS!$A:$BA,MATCH($A19,RESULTADOS!$A:$A,0),MATCH(E$1,RESULTADOS!$1:$1,0))</f>
        <v>#N/A</v>
      </c>
      <c r="F19" s="67" t="e">
        <f ca="1">INDEX(RESULTADOS!$A:$BA,MATCH($A19,RESULTADOS!$A:$A,0),MATCH(F$1,RESULTADOS!$1:$1,0))</f>
        <v>#N/A</v>
      </c>
      <c r="G19" s="67" t="e">
        <f ca="1">INDEX(RESULTADOS!$A:$BA,MATCH($A19,RESULTADOS!$A:$A,0),MATCH(G$1,RESULTADOS!$1:$1,0))</f>
        <v>#N/A</v>
      </c>
      <c r="H19" s="67" t="e">
        <f ca="1">INDEX(RESULTADOS!$A:$BA,MATCH($A19,RESULTADOS!$A:$A,0),MATCH(H$1,RESULTADOS!$1:$1,0))</f>
        <v>#N/A</v>
      </c>
      <c r="I19" s="67" t="e">
        <f ca="1">INDEX(RESULTADOS!$A:$BA,MATCH($A19,RESULTADOS!$A:$A,0),MATCH(I$1,RESULTADOS!$1:$1,0))</f>
        <v>#N/A</v>
      </c>
      <c r="J19" s="287">
        <f ca="1">SUMPRODUCT((TABELA_VAZAO[Posto]=J$2)*1,(TABELA_VAZAO[Data]=$A19)*1,TABELA_VAZAO[qinc])</f>
        <v>0</v>
      </c>
      <c r="K19" s="85"/>
      <c r="L19" s="86"/>
      <c r="M19" s="210">
        <f ca="1">SUMPRODUCT((TABELA_VAZAO[Posto]=M$2)*1,(TABELA_VAZAO[Data]=$A19)*1,TABELA_VAZAO[qnat])</f>
        <v>0</v>
      </c>
      <c r="N19" s="209">
        <f ca="1">SUMPRODUCT((TABELA_VAZAO[Posto]=N$2)*1,(TABELA_VAZAO[Data]=$A19)*1,TABELA_VAZAO[qinc])</f>
        <v>0</v>
      </c>
      <c r="O19" s="209">
        <f ca="1">SUMPRODUCT((TABELA_VAZAO[Posto]=O$2)*1,(TABELA_VAZAO[Data]=$A19)*1,TABELA_VAZAO[qinc])</f>
        <v>0</v>
      </c>
      <c r="P19" s="209">
        <f ca="1">SUMPRODUCT((TABELA_VAZAO[Posto]=P$2)*1,(TABELA_VAZAO[Data]=$A19)*1,TABELA_VAZAO[qinc])</f>
        <v>0</v>
      </c>
      <c r="Q19" s="209">
        <f ca="1">SUMPRODUCT((TABELA_VAZAO[Posto]=Q$2)*1,(TABELA_VAZAO[Data]=$A19)*1,TABELA_VAZAO[qinc])</f>
        <v>0</v>
      </c>
      <c r="R19" s="209">
        <f ca="1">SUMPRODUCT((TABELA_VAZAO[Posto]=R$2)*1,(TABELA_VAZAO[Data]=$A19)*1,TABELA_VAZAO[qinc])</f>
        <v>0</v>
      </c>
      <c r="S19" s="210">
        <f ca="1">SUMPRODUCT((TABELA_VAZAO[Posto]=S$2)*1,(TABELA_VAZAO[Data]=$A19)*1,TABELA_VAZAO[qnat])</f>
        <v>0</v>
      </c>
      <c r="T19" s="210">
        <f ca="1">SUMPRODUCT((TABELA_VAZAO[Posto]=T$2)*1,(TABELA_VAZAO[Data]=$A19)*1,TABELA_VAZAO[qnat])</f>
        <v>0</v>
      </c>
      <c r="U19" s="210">
        <f ca="1">SUMPRODUCT((TABELA_VAZAO[Posto]=U$2)*1,(TABELA_VAZAO[Data]=$A19)*1,TABELA_VAZAO[qnat])</f>
        <v>0</v>
      </c>
      <c r="V19" s="210">
        <f ca="1">SUMPRODUCT((TABELA_VAZAO[Posto]=V$2)*1,(TABELA_VAZAO[Data]=$A19)*1,TABELA_VAZAO[qnat])</f>
        <v>0</v>
      </c>
      <c r="W19" s="210">
        <f ca="1">SUMPRODUCT((TABELA_VAZAO[Posto]=W$2)*1,(TABELA_VAZAO[Data]=$A19)*1,TABELA_VAZAO[qnat])</f>
        <v>0</v>
      </c>
      <c r="X19" s="85">
        <f ca="1">SUMPRODUCT((TABELA_VAZAO[Posto]=X$2)*1,(TABELA_VAZAO[Data]=$A19)*1,TABELA_VAZAO[qnat])</f>
        <v>0</v>
      </c>
      <c r="Y19" s="210">
        <f ca="1">SUMPRODUCT((TABELA_VAZAO[Posto]=Y$2)*1,(TABELA_VAZAO[Data]=$A19)*1,TABELA_VAZAO[qnat])</f>
        <v>0</v>
      </c>
      <c r="Z19" s="210">
        <f ca="1">SUMPRODUCT((TABELA_VAZAO[Posto]=Z$2)*1,(TABELA_VAZAO[Data]=$A19)*1,TABELA_VAZAO[qnat])</f>
        <v>0</v>
      </c>
      <c r="AA19" s="210">
        <f ca="1">SUMPRODUCT((TABELA_VAZAO[Posto]=AA$2)*1,(TABELA_VAZAO[Data]=$A19)*1,TABELA_VAZAO[qnat])</f>
        <v>0</v>
      </c>
      <c r="AB19" s="210">
        <f ca="1">SUMPRODUCT((TABELA_VAZAO[Posto]=AB$2)*1,(TABELA_VAZAO[Data]=$A19)*1,TABELA_VAZAO[qnat])</f>
        <v>0</v>
      </c>
      <c r="AC19" s="210">
        <f ca="1">SUMPRODUCT((TABELA_VAZAO[Posto]=AC$2)*1,(TABELA_VAZAO[Data]=$A19)*1,TABELA_VAZAO[qnat])</f>
        <v>0</v>
      </c>
      <c r="AE19" s="272">
        <f ca="1">Propagações_TOT_TIETE!$X19</f>
        <v>0</v>
      </c>
    </row>
    <row r="20" spans="1:31" x14ac:dyDescent="0.2">
      <c r="A20" s="49">
        <f t="shared" ca="1" si="1"/>
        <v>43819</v>
      </c>
      <c r="B20" s="51"/>
      <c r="C20" s="51"/>
      <c r="D20" s="50"/>
      <c r="E20" s="67" t="e">
        <f ca="1">INDEX(RESULTADOS!$A:$BA,MATCH($A20,RESULTADOS!$A:$A,0),MATCH(E$1,RESULTADOS!$1:$1,0))</f>
        <v>#N/A</v>
      </c>
      <c r="F20" s="67" t="e">
        <f ca="1">INDEX(RESULTADOS!$A:$BA,MATCH($A20,RESULTADOS!$A:$A,0),MATCH(F$1,RESULTADOS!$1:$1,0))</f>
        <v>#N/A</v>
      </c>
      <c r="G20" s="67" t="e">
        <f ca="1">INDEX(RESULTADOS!$A:$BA,MATCH($A20,RESULTADOS!$A:$A,0),MATCH(G$1,RESULTADOS!$1:$1,0))</f>
        <v>#N/A</v>
      </c>
      <c r="H20" s="67" t="e">
        <f ca="1">INDEX(RESULTADOS!$A:$BA,MATCH($A20,RESULTADOS!$A:$A,0),MATCH(H$1,RESULTADOS!$1:$1,0))</f>
        <v>#N/A</v>
      </c>
      <c r="I20" s="67" t="e">
        <f ca="1">INDEX(RESULTADOS!$A:$BA,MATCH($A20,RESULTADOS!$A:$A,0),MATCH(I$1,RESULTADOS!$1:$1,0))</f>
        <v>#N/A</v>
      </c>
      <c r="J20" s="287">
        <f ca="1">SUMPRODUCT((TABELA_VAZAO[Posto]=J$2)*1,(TABELA_VAZAO[Data]=$A20)*1,TABELA_VAZAO[qinc])</f>
        <v>0</v>
      </c>
      <c r="K20" s="43"/>
      <c r="L20" s="43"/>
      <c r="M20" s="210">
        <f ca="1">SUMPRODUCT((TABELA_VAZAO[Posto]=M$2)*1,(TABELA_VAZAO[Data]=$A20)*1,TABELA_VAZAO[qnat])</f>
        <v>0</v>
      </c>
      <c r="N20" s="209">
        <f ca="1">SUMPRODUCT((TABELA_VAZAO[Posto]=N$2)*1,(TABELA_VAZAO[Data]=$A20)*1,TABELA_VAZAO[qinc])</f>
        <v>0</v>
      </c>
      <c r="O20" s="209">
        <f ca="1">SUMPRODUCT((TABELA_VAZAO[Posto]=O$2)*1,(TABELA_VAZAO[Data]=$A20)*1,TABELA_VAZAO[qinc])</f>
        <v>0</v>
      </c>
      <c r="P20" s="209">
        <f ca="1">SUMPRODUCT((TABELA_VAZAO[Posto]=P$2)*1,(TABELA_VAZAO[Data]=$A20)*1,TABELA_VAZAO[qinc])</f>
        <v>0</v>
      </c>
      <c r="Q20" s="209">
        <f ca="1">SUMPRODUCT((TABELA_VAZAO[Posto]=Q$2)*1,(TABELA_VAZAO[Data]=$A20)*1,TABELA_VAZAO[qinc])</f>
        <v>0</v>
      </c>
      <c r="R20" s="209">
        <f ca="1">SUMPRODUCT((TABELA_VAZAO[Posto]=R$2)*1,(TABELA_VAZAO[Data]=$A20)*1,TABELA_VAZAO[qinc])</f>
        <v>0</v>
      </c>
      <c r="S20" s="210">
        <f ca="1">SUMPRODUCT((TABELA_VAZAO[Posto]=S$2)*1,(TABELA_VAZAO[Data]=$A20)*1,TABELA_VAZAO[qnat])</f>
        <v>0</v>
      </c>
      <c r="T20" s="210">
        <f ca="1">SUMPRODUCT((TABELA_VAZAO[Posto]=T$2)*1,(TABELA_VAZAO[Data]=$A20)*1,TABELA_VAZAO[qnat])</f>
        <v>0</v>
      </c>
      <c r="U20" s="210">
        <f ca="1">SUMPRODUCT((TABELA_VAZAO[Posto]=U$2)*1,(TABELA_VAZAO[Data]=$A20)*1,TABELA_VAZAO[qnat])</f>
        <v>0</v>
      </c>
      <c r="V20" s="210">
        <f ca="1">SUMPRODUCT((TABELA_VAZAO[Posto]=V$2)*1,(TABELA_VAZAO[Data]=$A20)*1,TABELA_VAZAO[qnat])</f>
        <v>0</v>
      </c>
      <c r="W20" s="210">
        <f ca="1">SUMPRODUCT((TABELA_VAZAO[Posto]=W$2)*1,(TABELA_VAZAO[Data]=$A20)*1,TABELA_VAZAO[qnat])</f>
        <v>0</v>
      </c>
      <c r="X20" s="43">
        <f ca="1">SUMPRODUCT((TABELA_VAZAO[Posto]=X$2)*1,(TABELA_VAZAO[Data]=$A20)*1,TABELA_VAZAO[qnat])</f>
        <v>0</v>
      </c>
      <c r="Y20" s="210">
        <f ca="1">SUMPRODUCT((TABELA_VAZAO[Posto]=Y$2)*1,(TABELA_VAZAO[Data]=$A20)*1,TABELA_VAZAO[qnat])</f>
        <v>0</v>
      </c>
      <c r="Z20" s="210">
        <f ca="1">SUMPRODUCT((TABELA_VAZAO[Posto]=Z$2)*1,(TABELA_VAZAO[Data]=$A20)*1,TABELA_VAZAO[qnat])</f>
        <v>0</v>
      </c>
      <c r="AA20" s="210">
        <f ca="1">SUMPRODUCT((TABELA_VAZAO[Posto]=AA$2)*1,(TABELA_VAZAO[Data]=$A20)*1,TABELA_VAZAO[qnat])</f>
        <v>0</v>
      </c>
      <c r="AB20" s="210">
        <f ca="1">SUMPRODUCT((TABELA_VAZAO[Posto]=AB$2)*1,(TABELA_VAZAO[Data]=$A20)*1,TABELA_VAZAO[qnat])</f>
        <v>0</v>
      </c>
      <c r="AC20" s="210">
        <f ca="1">SUMPRODUCT((TABELA_VAZAO[Posto]=AC$2)*1,(TABELA_VAZAO[Data]=$A20)*1,TABELA_VAZAO[qnat])</f>
        <v>0</v>
      </c>
      <c r="AE20" s="272">
        <f ca="1">Propagações_TOT_TIETE!$X20</f>
        <v>0</v>
      </c>
    </row>
    <row r="21" spans="1:31" x14ac:dyDescent="0.2">
      <c r="A21" s="49">
        <f t="shared" ca="1" si="1"/>
        <v>43820</v>
      </c>
      <c r="B21" s="51"/>
      <c r="C21" s="51"/>
      <c r="D21" s="50"/>
      <c r="E21" s="67" t="e">
        <f ca="1">INDEX(RESULTADOS!$A:$BA,MATCH($A21,RESULTADOS!$A:$A,0),MATCH(E$1,RESULTADOS!$1:$1,0))</f>
        <v>#N/A</v>
      </c>
      <c r="F21" s="67" t="e">
        <f ca="1">INDEX(RESULTADOS!$A:$BA,MATCH($A21,RESULTADOS!$A:$A,0),MATCH(F$1,RESULTADOS!$1:$1,0))</f>
        <v>#N/A</v>
      </c>
      <c r="G21" s="67" t="e">
        <f ca="1">INDEX(RESULTADOS!$A:$BA,MATCH($A21,RESULTADOS!$A:$A,0),MATCH(G$1,RESULTADOS!$1:$1,0))</f>
        <v>#N/A</v>
      </c>
      <c r="H21" s="67" t="e">
        <f ca="1">INDEX(RESULTADOS!$A:$BA,MATCH($A21,RESULTADOS!$A:$A,0),MATCH(H$1,RESULTADOS!$1:$1,0))</f>
        <v>#N/A</v>
      </c>
      <c r="I21" s="67" t="e">
        <f ca="1">INDEX(RESULTADOS!$A:$BA,MATCH($A21,RESULTADOS!$A:$A,0),MATCH(I$1,RESULTADOS!$1:$1,0))</f>
        <v>#N/A</v>
      </c>
      <c r="J21" s="287">
        <f ca="1">SUMPRODUCT((TABELA_VAZAO[Posto]=J$2)*1,(TABELA_VAZAO[Data]=$A21)*1,TABELA_VAZAO[qinc])</f>
        <v>0</v>
      </c>
      <c r="K21" s="43"/>
      <c r="L21" s="43"/>
      <c r="M21" s="210">
        <f ca="1">SUMPRODUCT((TABELA_VAZAO[Posto]=M$2)*1,(TABELA_VAZAO[Data]=$A21)*1,TABELA_VAZAO[qnat])</f>
        <v>0</v>
      </c>
      <c r="N21" s="209">
        <f ca="1">SUMPRODUCT((TABELA_VAZAO[Posto]=N$2)*1,(TABELA_VAZAO[Data]=$A21)*1,TABELA_VAZAO[qinc])</f>
        <v>0</v>
      </c>
      <c r="O21" s="209">
        <f ca="1">SUMPRODUCT((TABELA_VAZAO[Posto]=O$2)*1,(TABELA_VAZAO[Data]=$A21)*1,TABELA_VAZAO[qinc])</f>
        <v>0</v>
      </c>
      <c r="P21" s="209">
        <f ca="1">SUMPRODUCT((TABELA_VAZAO[Posto]=P$2)*1,(TABELA_VAZAO[Data]=$A21)*1,TABELA_VAZAO[qinc])</f>
        <v>0</v>
      </c>
      <c r="Q21" s="209">
        <f ca="1">SUMPRODUCT((TABELA_VAZAO[Posto]=Q$2)*1,(TABELA_VAZAO[Data]=$A21)*1,TABELA_VAZAO[qinc])</f>
        <v>0</v>
      </c>
      <c r="R21" s="209">
        <f ca="1">SUMPRODUCT((TABELA_VAZAO[Posto]=R$2)*1,(TABELA_VAZAO[Data]=$A21)*1,TABELA_VAZAO[qinc])</f>
        <v>0</v>
      </c>
      <c r="S21" s="210">
        <f ca="1">SUMPRODUCT((TABELA_VAZAO[Posto]=S$2)*1,(TABELA_VAZAO[Data]=$A21)*1,TABELA_VAZAO[qnat])</f>
        <v>0</v>
      </c>
      <c r="T21" s="210">
        <f ca="1">SUMPRODUCT((TABELA_VAZAO[Posto]=T$2)*1,(TABELA_VAZAO[Data]=$A21)*1,TABELA_VAZAO[qnat])</f>
        <v>0</v>
      </c>
      <c r="U21" s="210">
        <f ca="1">SUMPRODUCT((TABELA_VAZAO[Posto]=U$2)*1,(TABELA_VAZAO[Data]=$A21)*1,TABELA_VAZAO[qnat])</f>
        <v>0</v>
      </c>
      <c r="V21" s="210">
        <f ca="1">SUMPRODUCT((TABELA_VAZAO[Posto]=V$2)*1,(TABELA_VAZAO[Data]=$A21)*1,TABELA_VAZAO[qnat])</f>
        <v>0</v>
      </c>
      <c r="W21" s="210">
        <f ca="1">SUMPRODUCT((TABELA_VAZAO[Posto]=W$2)*1,(TABELA_VAZAO[Data]=$A21)*1,TABELA_VAZAO[qnat])</f>
        <v>0</v>
      </c>
      <c r="X21" s="43">
        <f ca="1">SUMPRODUCT((TABELA_VAZAO[Posto]=X$2)*1,(TABELA_VAZAO[Data]=$A21)*1,TABELA_VAZAO[qnat])</f>
        <v>0</v>
      </c>
      <c r="Y21" s="210">
        <f ca="1">SUMPRODUCT((TABELA_VAZAO[Posto]=Y$2)*1,(TABELA_VAZAO[Data]=$A21)*1,TABELA_VAZAO[qnat])</f>
        <v>0</v>
      </c>
      <c r="Z21" s="210">
        <f ca="1">SUMPRODUCT((TABELA_VAZAO[Posto]=Z$2)*1,(TABELA_VAZAO[Data]=$A21)*1,TABELA_VAZAO[qnat])</f>
        <v>0</v>
      </c>
      <c r="AA21" s="210">
        <f ca="1">SUMPRODUCT((TABELA_VAZAO[Posto]=AA$2)*1,(TABELA_VAZAO[Data]=$A21)*1,TABELA_VAZAO[qnat])</f>
        <v>0</v>
      </c>
      <c r="AB21" s="210">
        <f ca="1">SUMPRODUCT((TABELA_VAZAO[Posto]=AB$2)*1,(TABELA_VAZAO[Data]=$A21)*1,TABELA_VAZAO[qnat])</f>
        <v>0</v>
      </c>
      <c r="AC21" s="210">
        <f ca="1">SUMPRODUCT((TABELA_VAZAO[Posto]=AC$2)*1,(TABELA_VAZAO[Data]=$A21)*1,TABELA_VAZAO[qnat])</f>
        <v>0</v>
      </c>
      <c r="AE21" s="272">
        <f ca="1">Propagações_TOT_TIETE!$X21</f>
        <v>0</v>
      </c>
    </row>
    <row r="22" spans="1:31" x14ac:dyDescent="0.2">
      <c r="A22" s="49">
        <f t="shared" ca="1" si="1"/>
        <v>43821</v>
      </c>
      <c r="B22" s="51"/>
      <c r="C22" s="51"/>
      <c r="D22" s="50"/>
      <c r="E22" s="67" t="e">
        <f ca="1">INDEX(RESULTADOS!$A:$BA,MATCH($A22,RESULTADOS!$A:$A,0),MATCH(E$1,RESULTADOS!$1:$1,0))</f>
        <v>#N/A</v>
      </c>
      <c r="F22" s="67" t="e">
        <f ca="1">INDEX(RESULTADOS!$A:$BA,MATCH($A22,RESULTADOS!$A:$A,0),MATCH(F$1,RESULTADOS!$1:$1,0))</f>
        <v>#N/A</v>
      </c>
      <c r="G22" s="67" t="e">
        <f ca="1">INDEX(RESULTADOS!$A:$BA,MATCH($A22,RESULTADOS!$A:$A,0),MATCH(G$1,RESULTADOS!$1:$1,0))</f>
        <v>#N/A</v>
      </c>
      <c r="H22" s="67" t="e">
        <f ca="1">INDEX(RESULTADOS!$A:$BA,MATCH($A22,RESULTADOS!$A:$A,0),MATCH(H$1,RESULTADOS!$1:$1,0))</f>
        <v>#N/A</v>
      </c>
      <c r="I22" s="67" t="e">
        <f ca="1">INDEX(RESULTADOS!$A:$BA,MATCH($A22,RESULTADOS!$A:$A,0),MATCH(I$1,RESULTADOS!$1:$1,0))</f>
        <v>#N/A</v>
      </c>
      <c r="J22" s="287">
        <f ca="1">SUMPRODUCT((TABELA_VAZAO[Posto]=J$2)*1,(TABELA_VAZAO[Data]=$A22)*1,TABELA_VAZAO[qinc])</f>
        <v>0</v>
      </c>
      <c r="K22" s="43"/>
      <c r="L22" s="43"/>
      <c r="M22" s="210">
        <f ca="1">SUMPRODUCT((TABELA_VAZAO[Posto]=M$2)*1,(TABELA_VAZAO[Data]=$A22)*1,TABELA_VAZAO[qnat])</f>
        <v>0</v>
      </c>
      <c r="N22" s="209">
        <f ca="1">SUMPRODUCT((TABELA_VAZAO[Posto]=N$2)*1,(TABELA_VAZAO[Data]=$A22)*1,TABELA_VAZAO[qinc])</f>
        <v>0</v>
      </c>
      <c r="O22" s="209">
        <f ca="1">SUMPRODUCT((TABELA_VAZAO[Posto]=O$2)*1,(TABELA_VAZAO[Data]=$A22)*1,TABELA_VAZAO[qinc])</f>
        <v>0</v>
      </c>
      <c r="P22" s="209">
        <f ca="1">SUMPRODUCT((TABELA_VAZAO[Posto]=P$2)*1,(TABELA_VAZAO[Data]=$A22)*1,TABELA_VAZAO[qinc])</f>
        <v>0</v>
      </c>
      <c r="Q22" s="209">
        <f ca="1">SUMPRODUCT((TABELA_VAZAO[Posto]=Q$2)*1,(TABELA_VAZAO[Data]=$A22)*1,TABELA_VAZAO[qinc])</f>
        <v>0</v>
      </c>
      <c r="R22" s="209">
        <f ca="1">SUMPRODUCT((TABELA_VAZAO[Posto]=R$2)*1,(TABELA_VAZAO[Data]=$A22)*1,TABELA_VAZAO[qinc])</f>
        <v>0</v>
      </c>
      <c r="S22" s="210">
        <f ca="1">SUMPRODUCT((TABELA_VAZAO[Posto]=S$2)*1,(TABELA_VAZAO[Data]=$A22)*1,TABELA_VAZAO[qnat])</f>
        <v>0</v>
      </c>
      <c r="T22" s="210">
        <f ca="1">SUMPRODUCT((TABELA_VAZAO[Posto]=T$2)*1,(TABELA_VAZAO[Data]=$A22)*1,TABELA_VAZAO[qnat])</f>
        <v>0</v>
      </c>
      <c r="U22" s="210">
        <f ca="1">SUMPRODUCT((TABELA_VAZAO[Posto]=U$2)*1,(TABELA_VAZAO[Data]=$A22)*1,TABELA_VAZAO[qnat])</f>
        <v>0</v>
      </c>
      <c r="V22" s="210">
        <f ca="1">SUMPRODUCT((TABELA_VAZAO[Posto]=V$2)*1,(TABELA_VAZAO[Data]=$A22)*1,TABELA_VAZAO[qnat])</f>
        <v>0</v>
      </c>
      <c r="W22" s="210">
        <f ca="1">SUMPRODUCT((TABELA_VAZAO[Posto]=W$2)*1,(TABELA_VAZAO[Data]=$A22)*1,TABELA_VAZAO[qnat])</f>
        <v>0</v>
      </c>
      <c r="X22" s="43">
        <f ca="1">SUMPRODUCT((TABELA_VAZAO[Posto]=X$2)*1,(TABELA_VAZAO[Data]=$A22)*1,TABELA_VAZAO[qnat])</f>
        <v>0</v>
      </c>
      <c r="Y22" s="210">
        <f ca="1">SUMPRODUCT((TABELA_VAZAO[Posto]=Y$2)*1,(TABELA_VAZAO[Data]=$A22)*1,TABELA_VAZAO[qnat])</f>
        <v>0</v>
      </c>
      <c r="Z22" s="210">
        <f ca="1">SUMPRODUCT((TABELA_VAZAO[Posto]=Z$2)*1,(TABELA_VAZAO[Data]=$A22)*1,TABELA_VAZAO[qnat])</f>
        <v>0</v>
      </c>
      <c r="AA22" s="210">
        <f ca="1">SUMPRODUCT((TABELA_VAZAO[Posto]=AA$2)*1,(TABELA_VAZAO[Data]=$A22)*1,TABELA_VAZAO[qnat])</f>
        <v>0</v>
      </c>
      <c r="AB22" s="210">
        <f ca="1">SUMPRODUCT((TABELA_VAZAO[Posto]=AB$2)*1,(TABELA_VAZAO[Data]=$A22)*1,TABELA_VAZAO[qnat])</f>
        <v>0</v>
      </c>
      <c r="AC22" s="210">
        <f ca="1">SUMPRODUCT((TABELA_VAZAO[Posto]=AC$2)*1,(TABELA_VAZAO[Data]=$A22)*1,TABELA_VAZAO[qnat])</f>
        <v>0</v>
      </c>
      <c r="AE22" s="272">
        <f ca="1">Propagações_TOT_TIETE!$X22</f>
        <v>0</v>
      </c>
    </row>
    <row r="23" spans="1:31" x14ac:dyDescent="0.2">
      <c r="A23" s="49">
        <f t="shared" ca="1" si="1"/>
        <v>43822</v>
      </c>
      <c r="B23" s="51"/>
      <c r="C23" s="51"/>
      <c r="D23" s="50"/>
      <c r="E23" s="67" t="e">
        <f ca="1">INDEX(RESULTADOS!$A:$BA,MATCH($A23,RESULTADOS!$A:$A,0),MATCH(E$1,RESULTADOS!$1:$1,0))</f>
        <v>#N/A</v>
      </c>
      <c r="F23" s="67" t="e">
        <f ca="1">INDEX(RESULTADOS!$A:$BA,MATCH($A23,RESULTADOS!$A:$A,0),MATCH(F$1,RESULTADOS!$1:$1,0))</f>
        <v>#N/A</v>
      </c>
      <c r="G23" s="67" t="e">
        <f ca="1">INDEX(RESULTADOS!$A:$BA,MATCH($A23,RESULTADOS!$A:$A,0),MATCH(G$1,RESULTADOS!$1:$1,0))</f>
        <v>#N/A</v>
      </c>
      <c r="H23" s="67" t="e">
        <f ca="1">INDEX(RESULTADOS!$A:$BA,MATCH($A23,RESULTADOS!$A:$A,0),MATCH(H$1,RESULTADOS!$1:$1,0))</f>
        <v>#N/A</v>
      </c>
      <c r="I23" s="67" t="e">
        <f ca="1">INDEX(RESULTADOS!$A:$BA,MATCH($A23,RESULTADOS!$A:$A,0),MATCH(I$1,RESULTADOS!$1:$1,0))</f>
        <v>#N/A</v>
      </c>
      <c r="J23" s="287">
        <f ca="1">SUMPRODUCT((TABELA_VAZAO[Posto]=J$2)*1,(TABELA_VAZAO[Data]=$A23)*1,TABELA_VAZAO[qinc])</f>
        <v>0</v>
      </c>
      <c r="K23" s="43"/>
      <c r="L23" s="43"/>
      <c r="M23" s="210">
        <f ca="1">SUMPRODUCT((TABELA_VAZAO[Posto]=M$2)*1,(TABELA_VAZAO[Data]=$A23)*1,TABELA_VAZAO[qnat])</f>
        <v>0</v>
      </c>
      <c r="N23" s="209">
        <f ca="1">SUMPRODUCT((TABELA_VAZAO[Posto]=N$2)*1,(TABELA_VAZAO[Data]=$A23)*1,TABELA_VAZAO[qinc])</f>
        <v>0</v>
      </c>
      <c r="O23" s="209">
        <f ca="1">SUMPRODUCT((TABELA_VAZAO[Posto]=O$2)*1,(TABELA_VAZAO[Data]=$A23)*1,TABELA_VAZAO[qinc])</f>
        <v>0</v>
      </c>
      <c r="P23" s="209">
        <f ca="1">SUMPRODUCT((TABELA_VAZAO[Posto]=P$2)*1,(TABELA_VAZAO[Data]=$A23)*1,TABELA_VAZAO[qinc])</f>
        <v>0</v>
      </c>
      <c r="Q23" s="209">
        <f ca="1">SUMPRODUCT((TABELA_VAZAO[Posto]=Q$2)*1,(TABELA_VAZAO[Data]=$A23)*1,TABELA_VAZAO[qinc])</f>
        <v>0</v>
      </c>
      <c r="R23" s="209">
        <f ca="1">SUMPRODUCT((TABELA_VAZAO[Posto]=R$2)*1,(TABELA_VAZAO[Data]=$A23)*1,TABELA_VAZAO[qinc])</f>
        <v>0</v>
      </c>
      <c r="S23" s="210">
        <f ca="1">SUMPRODUCT((TABELA_VAZAO[Posto]=S$2)*1,(TABELA_VAZAO[Data]=$A23)*1,TABELA_VAZAO[qnat])</f>
        <v>0</v>
      </c>
      <c r="T23" s="210">
        <f ca="1">SUMPRODUCT((TABELA_VAZAO[Posto]=T$2)*1,(TABELA_VAZAO[Data]=$A23)*1,TABELA_VAZAO[qnat])</f>
        <v>0</v>
      </c>
      <c r="U23" s="210">
        <f ca="1">SUMPRODUCT((TABELA_VAZAO[Posto]=U$2)*1,(TABELA_VAZAO[Data]=$A23)*1,TABELA_VAZAO[qnat])</f>
        <v>0</v>
      </c>
      <c r="V23" s="210">
        <f ca="1">SUMPRODUCT((TABELA_VAZAO[Posto]=V$2)*1,(TABELA_VAZAO[Data]=$A23)*1,TABELA_VAZAO[qnat])</f>
        <v>0</v>
      </c>
      <c r="W23" s="210">
        <f ca="1">SUMPRODUCT((TABELA_VAZAO[Posto]=W$2)*1,(TABELA_VAZAO[Data]=$A23)*1,TABELA_VAZAO[qnat])</f>
        <v>0</v>
      </c>
      <c r="X23" s="43">
        <f ca="1">SUMPRODUCT((TABELA_VAZAO[Posto]=X$2)*1,(TABELA_VAZAO[Data]=$A23)*1,TABELA_VAZAO[qnat])</f>
        <v>0</v>
      </c>
      <c r="Y23" s="210">
        <f ca="1">SUMPRODUCT((TABELA_VAZAO[Posto]=Y$2)*1,(TABELA_VAZAO[Data]=$A23)*1,TABELA_VAZAO[qnat])</f>
        <v>0</v>
      </c>
      <c r="Z23" s="210">
        <f ca="1">SUMPRODUCT((TABELA_VAZAO[Posto]=Z$2)*1,(TABELA_VAZAO[Data]=$A23)*1,TABELA_VAZAO[qnat])</f>
        <v>0</v>
      </c>
      <c r="AA23" s="210">
        <f ca="1">SUMPRODUCT((TABELA_VAZAO[Posto]=AA$2)*1,(TABELA_VAZAO[Data]=$A23)*1,TABELA_VAZAO[qnat])</f>
        <v>0</v>
      </c>
      <c r="AB23" s="210">
        <f ca="1">SUMPRODUCT((TABELA_VAZAO[Posto]=AB$2)*1,(TABELA_VAZAO[Data]=$A23)*1,TABELA_VAZAO[qnat])</f>
        <v>0</v>
      </c>
      <c r="AC23" s="210">
        <f ca="1">SUMPRODUCT((TABELA_VAZAO[Posto]=AC$2)*1,(TABELA_VAZAO[Data]=$A23)*1,TABELA_VAZAO[qnat])</f>
        <v>0</v>
      </c>
      <c r="AE23" s="272">
        <f ca="1">Propagações_TOT_TIETE!$X23</f>
        <v>0</v>
      </c>
    </row>
    <row r="24" spans="1:31" x14ac:dyDescent="0.2">
      <c r="A24" s="49">
        <f t="shared" ca="1" si="1"/>
        <v>43823</v>
      </c>
      <c r="B24" s="51"/>
      <c r="C24" s="51"/>
      <c r="D24" s="50"/>
      <c r="E24" s="67" t="e">
        <f ca="1">INDEX(RESULTADOS!$A:$BA,MATCH($A24,RESULTADOS!$A:$A,0),MATCH(E$1,RESULTADOS!$1:$1,0))</f>
        <v>#N/A</v>
      </c>
      <c r="F24" s="67" t="e">
        <f ca="1">INDEX(RESULTADOS!$A:$BA,MATCH($A24,RESULTADOS!$A:$A,0),MATCH(F$1,RESULTADOS!$1:$1,0))</f>
        <v>#N/A</v>
      </c>
      <c r="G24" s="67" t="e">
        <f ca="1">INDEX(RESULTADOS!$A:$BA,MATCH($A24,RESULTADOS!$A:$A,0),MATCH(G$1,RESULTADOS!$1:$1,0))</f>
        <v>#N/A</v>
      </c>
      <c r="H24" s="67" t="e">
        <f ca="1">INDEX(RESULTADOS!$A:$BA,MATCH($A24,RESULTADOS!$A:$A,0),MATCH(H$1,RESULTADOS!$1:$1,0))</f>
        <v>#N/A</v>
      </c>
      <c r="I24" s="67" t="e">
        <f ca="1">INDEX(RESULTADOS!$A:$BA,MATCH($A24,RESULTADOS!$A:$A,0),MATCH(I$1,RESULTADOS!$1:$1,0))</f>
        <v>#N/A</v>
      </c>
      <c r="J24" s="287">
        <f ca="1">SUMPRODUCT((TABELA_VAZAO[Posto]=J$2)*1,(TABELA_VAZAO[Data]=$A24)*1,TABELA_VAZAO[qinc])</f>
        <v>0</v>
      </c>
      <c r="K24" s="43"/>
      <c r="L24" s="43"/>
      <c r="M24" s="210">
        <f ca="1">SUMPRODUCT((TABELA_VAZAO[Posto]=M$2)*1,(TABELA_VAZAO[Data]=$A24)*1,TABELA_VAZAO[qnat])</f>
        <v>0</v>
      </c>
      <c r="N24" s="209">
        <f ca="1">SUMPRODUCT((TABELA_VAZAO[Posto]=N$2)*1,(TABELA_VAZAO[Data]=$A24)*1,TABELA_VAZAO[qinc])</f>
        <v>0</v>
      </c>
      <c r="O24" s="209">
        <f ca="1">SUMPRODUCT((TABELA_VAZAO[Posto]=O$2)*1,(TABELA_VAZAO[Data]=$A24)*1,TABELA_VAZAO[qinc])</f>
        <v>0</v>
      </c>
      <c r="P24" s="209">
        <f ca="1">SUMPRODUCT((TABELA_VAZAO[Posto]=P$2)*1,(TABELA_VAZAO[Data]=$A24)*1,TABELA_VAZAO[qinc])</f>
        <v>0</v>
      </c>
      <c r="Q24" s="209">
        <f ca="1">SUMPRODUCT((TABELA_VAZAO[Posto]=Q$2)*1,(TABELA_VAZAO[Data]=$A24)*1,TABELA_VAZAO[qinc])</f>
        <v>0</v>
      </c>
      <c r="R24" s="209">
        <f ca="1">SUMPRODUCT((TABELA_VAZAO[Posto]=R$2)*1,(TABELA_VAZAO[Data]=$A24)*1,TABELA_VAZAO[qinc])</f>
        <v>0</v>
      </c>
      <c r="S24" s="210">
        <f ca="1">SUMPRODUCT((TABELA_VAZAO[Posto]=S$2)*1,(TABELA_VAZAO[Data]=$A24)*1,TABELA_VAZAO[qnat])</f>
        <v>0</v>
      </c>
      <c r="T24" s="210">
        <f ca="1">SUMPRODUCT((TABELA_VAZAO[Posto]=T$2)*1,(TABELA_VAZAO[Data]=$A24)*1,TABELA_VAZAO[qnat])</f>
        <v>0</v>
      </c>
      <c r="U24" s="210">
        <f ca="1">SUMPRODUCT((TABELA_VAZAO[Posto]=U$2)*1,(TABELA_VAZAO[Data]=$A24)*1,TABELA_VAZAO[qnat])</f>
        <v>0</v>
      </c>
      <c r="V24" s="210">
        <f ca="1">SUMPRODUCT((TABELA_VAZAO[Posto]=V$2)*1,(TABELA_VAZAO[Data]=$A24)*1,TABELA_VAZAO[qnat])</f>
        <v>0</v>
      </c>
      <c r="W24" s="210">
        <f ca="1">SUMPRODUCT((TABELA_VAZAO[Posto]=W$2)*1,(TABELA_VAZAO[Data]=$A24)*1,TABELA_VAZAO[qnat])</f>
        <v>0</v>
      </c>
      <c r="X24" s="43">
        <f ca="1">SUMPRODUCT((TABELA_VAZAO[Posto]=X$2)*1,(TABELA_VAZAO[Data]=$A24)*1,TABELA_VAZAO[qnat])</f>
        <v>0</v>
      </c>
      <c r="Y24" s="210">
        <f ca="1">SUMPRODUCT((TABELA_VAZAO[Posto]=Y$2)*1,(TABELA_VAZAO[Data]=$A24)*1,TABELA_VAZAO[qnat])</f>
        <v>0</v>
      </c>
      <c r="Z24" s="210">
        <f ca="1">SUMPRODUCT((TABELA_VAZAO[Posto]=Z$2)*1,(TABELA_VAZAO[Data]=$A24)*1,TABELA_VAZAO[qnat])</f>
        <v>0</v>
      </c>
      <c r="AA24" s="210">
        <f ca="1">SUMPRODUCT((TABELA_VAZAO[Posto]=AA$2)*1,(TABELA_VAZAO[Data]=$A24)*1,TABELA_VAZAO[qnat])</f>
        <v>0</v>
      </c>
      <c r="AB24" s="210">
        <f ca="1">SUMPRODUCT((TABELA_VAZAO[Posto]=AB$2)*1,(TABELA_VAZAO[Data]=$A24)*1,TABELA_VAZAO[qnat])</f>
        <v>0</v>
      </c>
      <c r="AC24" s="210">
        <f ca="1">SUMPRODUCT((TABELA_VAZAO[Posto]=AC$2)*1,(TABELA_VAZAO[Data]=$A24)*1,TABELA_VAZAO[qnat])</f>
        <v>0</v>
      </c>
      <c r="AE24" s="272">
        <f ca="1">Propagações_TOT_TIETE!$X24</f>
        <v>0</v>
      </c>
    </row>
    <row r="25" spans="1:31" x14ac:dyDescent="0.2">
      <c r="A25" s="49">
        <f t="shared" ca="1" si="1"/>
        <v>43824</v>
      </c>
      <c r="B25" s="51"/>
      <c r="C25" s="51"/>
      <c r="D25" s="50"/>
      <c r="E25" s="67" t="e">
        <f ca="1">INDEX(RESULTADOS!$A:$BA,MATCH($A25,RESULTADOS!$A:$A,0),MATCH(E$1,RESULTADOS!$1:$1,0))</f>
        <v>#N/A</v>
      </c>
      <c r="F25" s="67" t="e">
        <f ca="1">INDEX(RESULTADOS!$A:$BA,MATCH($A25,RESULTADOS!$A:$A,0),MATCH(F$1,RESULTADOS!$1:$1,0))</f>
        <v>#N/A</v>
      </c>
      <c r="G25" s="67" t="e">
        <f ca="1">INDEX(RESULTADOS!$A:$BA,MATCH($A25,RESULTADOS!$A:$A,0),MATCH(G$1,RESULTADOS!$1:$1,0))</f>
        <v>#N/A</v>
      </c>
      <c r="H25" s="67" t="e">
        <f ca="1">INDEX(RESULTADOS!$A:$BA,MATCH($A25,RESULTADOS!$A:$A,0),MATCH(H$1,RESULTADOS!$1:$1,0))</f>
        <v>#N/A</v>
      </c>
      <c r="I25" s="67" t="e">
        <f ca="1">INDEX(RESULTADOS!$A:$BA,MATCH($A25,RESULTADOS!$A:$A,0),MATCH(I$1,RESULTADOS!$1:$1,0))</f>
        <v>#N/A</v>
      </c>
      <c r="J25" s="287">
        <f ca="1">SUMPRODUCT((TABELA_VAZAO[Posto]=J$2)*1,(TABELA_VAZAO[Data]=$A25)*1,TABELA_VAZAO[qinc])</f>
        <v>0</v>
      </c>
      <c r="K25" s="43"/>
      <c r="L25" s="42"/>
      <c r="M25" s="210">
        <f ca="1">SUMPRODUCT((TABELA_VAZAO[Posto]=M$2)*1,(TABELA_VAZAO[Data]=$A25)*1,TABELA_VAZAO[qnat])</f>
        <v>0</v>
      </c>
      <c r="N25" s="209">
        <f ca="1">SUMPRODUCT((TABELA_VAZAO[Posto]=N$2)*1,(TABELA_VAZAO[Data]=$A25)*1,TABELA_VAZAO[qinc])</f>
        <v>0</v>
      </c>
      <c r="O25" s="209">
        <f ca="1">SUMPRODUCT((TABELA_VAZAO[Posto]=O$2)*1,(TABELA_VAZAO[Data]=$A25)*1,TABELA_VAZAO[qinc])</f>
        <v>0</v>
      </c>
      <c r="P25" s="209">
        <f ca="1">SUMPRODUCT((TABELA_VAZAO[Posto]=P$2)*1,(TABELA_VAZAO[Data]=$A25)*1,TABELA_VAZAO[qinc])</f>
        <v>0</v>
      </c>
      <c r="Q25" s="209">
        <f ca="1">SUMPRODUCT((TABELA_VAZAO[Posto]=Q$2)*1,(TABELA_VAZAO[Data]=$A25)*1,TABELA_VAZAO[qinc])</f>
        <v>0</v>
      </c>
      <c r="R25" s="209">
        <f ca="1">SUMPRODUCT((TABELA_VAZAO[Posto]=R$2)*1,(TABELA_VAZAO[Data]=$A25)*1,TABELA_VAZAO[qinc])</f>
        <v>0</v>
      </c>
      <c r="S25" s="210">
        <f ca="1">SUMPRODUCT((TABELA_VAZAO[Posto]=S$2)*1,(TABELA_VAZAO[Data]=$A25)*1,TABELA_VAZAO[qnat])</f>
        <v>0</v>
      </c>
      <c r="T25" s="210">
        <f ca="1">SUMPRODUCT((TABELA_VAZAO[Posto]=T$2)*1,(TABELA_VAZAO[Data]=$A25)*1,TABELA_VAZAO[qnat])</f>
        <v>0</v>
      </c>
      <c r="U25" s="210">
        <f ca="1">SUMPRODUCT((TABELA_VAZAO[Posto]=U$2)*1,(TABELA_VAZAO[Data]=$A25)*1,TABELA_VAZAO[qnat])</f>
        <v>0</v>
      </c>
      <c r="V25" s="210">
        <f ca="1">SUMPRODUCT((TABELA_VAZAO[Posto]=V$2)*1,(TABELA_VAZAO[Data]=$A25)*1,TABELA_VAZAO[qnat])</f>
        <v>0</v>
      </c>
      <c r="W25" s="210">
        <f ca="1">SUMPRODUCT((TABELA_VAZAO[Posto]=W$2)*1,(TABELA_VAZAO[Data]=$A25)*1,TABELA_VAZAO[qnat])</f>
        <v>0</v>
      </c>
      <c r="X25" s="43">
        <f ca="1">SUMPRODUCT((TABELA_VAZAO[Posto]=X$2)*1,(TABELA_VAZAO[Data]=$A25)*1,TABELA_VAZAO[qnat])</f>
        <v>0</v>
      </c>
      <c r="Y25" s="210">
        <f ca="1">SUMPRODUCT((TABELA_VAZAO[Posto]=Y$2)*1,(TABELA_VAZAO[Data]=$A25)*1,TABELA_VAZAO[qnat])</f>
        <v>0</v>
      </c>
      <c r="Z25" s="210">
        <f ca="1">SUMPRODUCT((TABELA_VAZAO[Posto]=Z$2)*1,(TABELA_VAZAO[Data]=$A25)*1,TABELA_VAZAO[qnat])</f>
        <v>0</v>
      </c>
      <c r="AA25" s="210">
        <f ca="1">SUMPRODUCT((TABELA_VAZAO[Posto]=AA$2)*1,(TABELA_VAZAO[Data]=$A25)*1,TABELA_VAZAO[qnat])</f>
        <v>0</v>
      </c>
      <c r="AB25" s="210">
        <f ca="1">SUMPRODUCT((TABELA_VAZAO[Posto]=AB$2)*1,(TABELA_VAZAO[Data]=$A25)*1,TABELA_VAZAO[qnat])</f>
        <v>0</v>
      </c>
      <c r="AC25" s="210">
        <f ca="1">SUMPRODUCT((TABELA_VAZAO[Posto]=AC$2)*1,(TABELA_VAZAO[Data]=$A25)*1,TABELA_VAZAO[qnat])</f>
        <v>0</v>
      </c>
      <c r="AE25" s="272">
        <f ca="1">Propagações_TOT_TIETE!$X25</f>
        <v>0</v>
      </c>
    </row>
    <row r="26" spans="1:31" x14ac:dyDescent="0.2">
      <c r="A26" s="82">
        <f t="shared" ca="1" si="1"/>
        <v>43825</v>
      </c>
      <c r="B26" s="83"/>
      <c r="C26" s="83"/>
      <c r="D26" s="84"/>
      <c r="E26" s="67" t="e">
        <f ca="1">INDEX(RESULTADOS!$A:$BA,MATCH($A26,RESULTADOS!$A:$A,0),MATCH(E$1,RESULTADOS!$1:$1,0))</f>
        <v>#N/A</v>
      </c>
      <c r="F26" s="67" t="e">
        <f ca="1">INDEX(RESULTADOS!$A:$BA,MATCH($A26,RESULTADOS!$A:$A,0),MATCH(F$1,RESULTADOS!$1:$1,0))</f>
        <v>#N/A</v>
      </c>
      <c r="G26" s="67" t="e">
        <f ca="1">INDEX(RESULTADOS!$A:$BA,MATCH($A26,RESULTADOS!$A:$A,0),MATCH(G$1,RESULTADOS!$1:$1,0))</f>
        <v>#N/A</v>
      </c>
      <c r="H26" s="67" t="e">
        <f ca="1">INDEX(RESULTADOS!$A:$BA,MATCH($A26,RESULTADOS!$A:$A,0),MATCH(H$1,RESULTADOS!$1:$1,0))</f>
        <v>#N/A</v>
      </c>
      <c r="I26" s="67" t="e">
        <f ca="1">INDEX(RESULTADOS!$A:$BA,MATCH($A26,RESULTADOS!$A:$A,0),MATCH(I$1,RESULTADOS!$1:$1,0))</f>
        <v>#N/A</v>
      </c>
      <c r="J26" s="287">
        <f ca="1">SUMPRODUCT((TABELA_VAZAO[Posto]=J$2)*1,(TABELA_VAZAO[Data]=$A26)*1,TABELA_VAZAO[qinc])</f>
        <v>0</v>
      </c>
      <c r="K26" s="85"/>
      <c r="L26" s="86"/>
      <c r="M26" s="210">
        <f ca="1">SUMPRODUCT((TABELA_VAZAO[Posto]=M$2)*1,(TABELA_VAZAO[Data]=$A26)*1,TABELA_VAZAO[qnat])</f>
        <v>0</v>
      </c>
      <c r="N26" s="209">
        <f ca="1">SUMPRODUCT((TABELA_VAZAO[Posto]=N$2)*1,(TABELA_VAZAO[Data]=$A26)*1,TABELA_VAZAO[qinc])</f>
        <v>0</v>
      </c>
      <c r="O26" s="209">
        <f ca="1">SUMPRODUCT((TABELA_VAZAO[Posto]=O$2)*1,(TABELA_VAZAO[Data]=$A26)*1,TABELA_VAZAO[qinc])</f>
        <v>0</v>
      </c>
      <c r="P26" s="209">
        <f ca="1">SUMPRODUCT((TABELA_VAZAO[Posto]=P$2)*1,(TABELA_VAZAO[Data]=$A26)*1,TABELA_VAZAO[qinc])</f>
        <v>0</v>
      </c>
      <c r="Q26" s="209">
        <f ca="1">SUMPRODUCT((TABELA_VAZAO[Posto]=Q$2)*1,(TABELA_VAZAO[Data]=$A26)*1,TABELA_VAZAO[qinc])</f>
        <v>0</v>
      </c>
      <c r="R26" s="209">
        <f ca="1">SUMPRODUCT((TABELA_VAZAO[Posto]=R$2)*1,(TABELA_VAZAO[Data]=$A26)*1,TABELA_VAZAO[qinc])</f>
        <v>0</v>
      </c>
      <c r="S26" s="210">
        <f ca="1">SUMPRODUCT((TABELA_VAZAO[Posto]=S$2)*1,(TABELA_VAZAO[Data]=$A26)*1,TABELA_VAZAO[qnat])</f>
        <v>0</v>
      </c>
      <c r="T26" s="210">
        <f ca="1">SUMPRODUCT((TABELA_VAZAO[Posto]=T$2)*1,(TABELA_VAZAO[Data]=$A26)*1,TABELA_VAZAO[qnat])</f>
        <v>0</v>
      </c>
      <c r="U26" s="210">
        <f ca="1">SUMPRODUCT((TABELA_VAZAO[Posto]=U$2)*1,(TABELA_VAZAO[Data]=$A26)*1,TABELA_VAZAO[qnat])</f>
        <v>0</v>
      </c>
      <c r="V26" s="210">
        <f ca="1">SUMPRODUCT((TABELA_VAZAO[Posto]=V$2)*1,(TABELA_VAZAO[Data]=$A26)*1,TABELA_VAZAO[qnat])</f>
        <v>0</v>
      </c>
      <c r="W26" s="210">
        <f ca="1">SUMPRODUCT((TABELA_VAZAO[Posto]=W$2)*1,(TABELA_VAZAO[Data]=$A26)*1,TABELA_VAZAO[qnat])</f>
        <v>0</v>
      </c>
      <c r="X26" s="85">
        <f ca="1">SUMPRODUCT((TABELA_VAZAO[Posto]=X$2)*1,(TABELA_VAZAO[Data]=$A26)*1,TABELA_VAZAO[qnat])</f>
        <v>0</v>
      </c>
      <c r="Y26" s="210">
        <f ca="1">SUMPRODUCT((TABELA_VAZAO[Posto]=Y$2)*1,(TABELA_VAZAO[Data]=$A26)*1,TABELA_VAZAO[qnat])</f>
        <v>0</v>
      </c>
      <c r="Z26" s="210">
        <f ca="1">SUMPRODUCT((TABELA_VAZAO[Posto]=Z$2)*1,(TABELA_VAZAO[Data]=$A26)*1,TABELA_VAZAO[qnat])</f>
        <v>0</v>
      </c>
      <c r="AA26" s="210">
        <f ca="1">SUMPRODUCT((TABELA_VAZAO[Posto]=AA$2)*1,(TABELA_VAZAO[Data]=$A26)*1,TABELA_VAZAO[qnat])</f>
        <v>0</v>
      </c>
      <c r="AB26" s="210">
        <f ca="1">SUMPRODUCT((TABELA_VAZAO[Posto]=AB$2)*1,(TABELA_VAZAO[Data]=$A26)*1,TABELA_VAZAO[qnat])</f>
        <v>0</v>
      </c>
      <c r="AC26" s="210">
        <f ca="1">SUMPRODUCT((TABELA_VAZAO[Posto]=AC$2)*1,(TABELA_VAZAO[Data]=$A26)*1,TABELA_VAZAO[qnat])</f>
        <v>0</v>
      </c>
      <c r="AE26" s="272">
        <f ca="1">Propagações_TOT_TIETE!$X26</f>
        <v>0</v>
      </c>
    </row>
    <row r="27" spans="1:31" x14ac:dyDescent="0.2">
      <c r="A27" s="49">
        <f t="shared" ca="1" si="1"/>
        <v>43826</v>
      </c>
      <c r="B27" s="51"/>
      <c r="C27" s="51"/>
      <c r="D27" s="50"/>
      <c r="E27" s="67" t="e">
        <f ca="1">INDEX(RESULTADOS!$A:$BA,MATCH($A27,RESULTADOS!$A:$A,0),MATCH(E$1,RESULTADOS!$1:$1,0))</f>
        <v>#N/A</v>
      </c>
      <c r="F27" s="67" t="e">
        <f ca="1">INDEX(RESULTADOS!$A:$BA,MATCH($A27,RESULTADOS!$A:$A,0),MATCH(F$1,RESULTADOS!$1:$1,0))</f>
        <v>#N/A</v>
      </c>
      <c r="G27" s="67" t="e">
        <f ca="1">INDEX(RESULTADOS!$A:$BA,MATCH($A27,RESULTADOS!$A:$A,0),MATCH(G$1,RESULTADOS!$1:$1,0))</f>
        <v>#N/A</v>
      </c>
      <c r="H27" s="67" t="e">
        <f ca="1">INDEX(RESULTADOS!$A:$BA,MATCH($A27,RESULTADOS!$A:$A,0),MATCH(H$1,RESULTADOS!$1:$1,0))</f>
        <v>#N/A</v>
      </c>
      <c r="I27" s="67" t="e">
        <f ca="1">INDEX(RESULTADOS!$A:$BA,MATCH($A27,RESULTADOS!$A:$A,0),MATCH(I$1,RESULTADOS!$1:$1,0))</f>
        <v>#N/A</v>
      </c>
      <c r="J27" s="281">
        <f ca="1">SUMPRODUCT((TABELA_VAZAO[Posto]=J$2)*1,(TABELA_VAZAO[Data]=$A27)*1,TABELA_VAZAO[qinc])</f>
        <v>0</v>
      </c>
      <c r="K27" s="43"/>
      <c r="L27" s="43"/>
      <c r="M27" s="70">
        <f ca="1">SUMPRODUCT((TABELA_VAZAO[Posto]=M$2)*1,(TABELA_VAZAO[Data]=$A27)*1,TABELA_VAZAO[qnat])</f>
        <v>0</v>
      </c>
      <c r="N27" s="70">
        <f ca="1">SUMPRODUCT((TABELA_VAZAO[Posto]=N$2)*1,(TABELA_VAZAO[Data]=$A27)*1,TABELA_VAZAO[qinc])</f>
        <v>0</v>
      </c>
      <c r="O27" s="70">
        <f ca="1">SUMPRODUCT((TABELA_VAZAO[Posto]=O$2)*1,(TABELA_VAZAO[Data]=$A27)*1,TABELA_VAZAO[qinc])</f>
        <v>0</v>
      </c>
      <c r="P27" s="70">
        <f ca="1">SUMPRODUCT((TABELA_VAZAO[Posto]=P$2)*1,(TABELA_VAZAO[Data]=$A27)*1,TABELA_VAZAO[qinc])</f>
        <v>0</v>
      </c>
      <c r="Q27" s="70">
        <f ca="1">SUMPRODUCT((TABELA_VAZAO[Posto]=Q$2)*1,(TABELA_VAZAO[Data]=$A27)*1,TABELA_VAZAO[qinc])</f>
        <v>0</v>
      </c>
      <c r="R27" s="70">
        <f ca="1">SUMPRODUCT((TABELA_VAZAO[Posto]=R$2)*1,(TABELA_VAZAO[Data]=$A27)*1,TABELA_VAZAO[qinc])</f>
        <v>0</v>
      </c>
      <c r="S27" s="70">
        <f ca="1">SUMPRODUCT((TABELA_VAZAO[Posto]=S$2)*1,(TABELA_VAZAO[Data]=$A27)*1,TABELA_VAZAO[qnat])</f>
        <v>0</v>
      </c>
      <c r="T27" s="70">
        <f ca="1">SUMPRODUCT((TABELA_VAZAO[Posto]=T$2)*1,(TABELA_VAZAO[Data]=$A27)*1,TABELA_VAZAO[qnat])</f>
        <v>0</v>
      </c>
      <c r="U27" s="70">
        <f ca="1">SUMPRODUCT((TABELA_VAZAO[Posto]=U$2)*1,(TABELA_VAZAO[Data]=$A27)*1,TABELA_VAZAO[qnat])</f>
        <v>0</v>
      </c>
      <c r="V27" s="70">
        <f ca="1">SUMPRODUCT((TABELA_VAZAO[Posto]=V$2)*1,(TABELA_VAZAO[Data]=$A27)*1,TABELA_VAZAO[qnat])</f>
        <v>0</v>
      </c>
      <c r="W27" s="70">
        <f ca="1">SUMPRODUCT((TABELA_VAZAO[Posto]=W$2)*1,(TABELA_VAZAO[Data]=$A27)*1,TABELA_VAZAO[qnat])</f>
        <v>0</v>
      </c>
      <c r="X27" s="70">
        <f ca="1">SUMPRODUCT((TABELA_VAZAO[Posto]=X$2)*1,(TABELA_VAZAO[Data]=$A27)*1,TABELA_VAZAO[qnat])</f>
        <v>0</v>
      </c>
      <c r="Y27" s="70">
        <f ca="1">SUMPRODUCT((TABELA_VAZAO[Posto]=Y$2)*1,(TABELA_VAZAO[Data]=$A27)*1,TABELA_VAZAO[qnat])</f>
        <v>0</v>
      </c>
      <c r="Z27" s="70">
        <f ca="1">SUMPRODUCT((TABELA_VAZAO[Posto]=Z$2)*1,(TABELA_VAZAO[Data]=$A27)*1,TABELA_VAZAO[qnat])</f>
        <v>0</v>
      </c>
      <c r="AA27" s="70">
        <f ca="1">SUMPRODUCT((TABELA_VAZAO[Posto]=AA$2)*1,(TABELA_VAZAO[Data]=$A27)*1,TABELA_VAZAO[qnat])</f>
        <v>0</v>
      </c>
      <c r="AB27" s="70">
        <f ca="1">SUMPRODUCT((TABELA_VAZAO[Posto]=AB$2)*1,(TABELA_VAZAO[Data]=$A27)*1,TABELA_VAZAO[qnat])</f>
        <v>0</v>
      </c>
      <c r="AC27" s="70">
        <f ca="1">SUMPRODUCT((TABELA_VAZAO[Posto]=AC$2)*1,(TABELA_VAZAO[Data]=$A27)*1,TABELA_VAZAO[qnat])</f>
        <v>0</v>
      </c>
      <c r="AE27" s="272">
        <f ca="1">Propagações_TOT_TIETE!$X27</f>
        <v>0</v>
      </c>
    </row>
    <row r="28" spans="1:31" x14ac:dyDescent="0.2">
      <c r="A28" s="49">
        <f t="shared" ca="1" si="1"/>
        <v>43827</v>
      </c>
      <c r="B28" s="51"/>
      <c r="C28" s="51"/>
      <c r="D28" s="50"/>
      <c r="E28" s="67" t="e">
        <f ca="1">INDEX(RESULTADOS!$A:$BA,MATCH($A28,RESULTADOS!$A:$A,0),MATCH(E$1,RESULTADOS!$1:$1,0))</f>
        <v>#N/A</v>
      </c>
      <c r="F28" s="67" t="e">
        <f ca="1">INDEX(RESULTADOS!$A:$BA,MATCH($A28,RESULTADOS!$A:$A,0),MATCH(F$1,RESULTADOS!$1:$1,0))</f>
        <v>#N/A</v>
      </c>
      <c r="G28" s="67" t="e">
        <f ca="1">INDEX(RESULTADOS!$A:$BA,MATCH($A28,RESULTADOS!$A:$A,0),MATCH(G$1,RESULTADOS!$1:$1,0))</f>
        <v>#N/A</v>
      </c>
      <c r="H28" s="67" t="e">
        <f ca="1">INDEX(RESULTADOS!$A:$BA,MATCH($A28,RESULTADOS!$A:$A,0),MATCH(H$1,RESULTADOS!$1:$1,0))</f>
        <v>#N/A</v>
      </c>
      <c r="I28" s="67" t="e">
        <f ca="1">INDEX(RESULTADOS!$A:$BA,MATCH($A28,RESULTADOS!$A:$A,0),MATCH(I$1,RESULTADOS!$1:$1,0))</f>
        <v>#N/A</v>
      </c>
      <c r="J28" s="281">
        <f ca="1">SUMPRODUCT((TABELA_VAZAO[Posto]=J$2)*1,(TABELA_VAZAO[Data]=$A28)*1,TABELA_VAZAO[qinc])</f>
        <v>2956</v>
      </c>
      <c r="K28" s="43"/>
      <c r="L28" s="43"/>
      <c r="M28" s="70">
        <f ca="1">SUMPRODUCT((TABELA_VAZAO[Posto]=M$2)*1,(TABELA_VAZAO[Data]=$A28)*1,TABELA_VAZAO[qnat])</f>
        <v>1128</v>
      </c>
      <c r="N28" s="70">
        <f ca="1">SUMPRODUCT((TABELA_VAZAO[Posto]=N$2)*1,(TABELA_VAZAO[Data]=$A28)*1,TABELA_VAZAO[qinc])</f>
        <v>1022</v>
      </c>
      <c r="O28" s="70">
        <f ca="1">SUMPRODUCT((TABELA_VAZAO[Posto]=O$2)*1,(TABELA_VAZAO[Data]=$A28)*1,TABELA_VAZAO[qinc])</f>
        <v>456</v>
      </c>
      <c r="P28" s="70">
        <f ca="1">SUMPRODUCT((TABELA_VAZAO[Posto]=P$2)*1,(TABELA_VAZAO[Data]=$A28)*1,TABELA_VAZAO[qinc])</f>
        <v>33</v>
      </c>
      <c r="Q28" s="70">
        <f ca="1">SUMPRODUCT((TABELA_VAZAO[Posto]=Q$2)*1,(TABELA_VAZAO[Data]=$A28)*1,TABELA_VAZAO[qinc])</f>
        <v>519</v>
      </c>
      <c r="R28" s="70">
        <f ca="1">SUMPRODUCT((TABELA_VAZAO[Posto]=R$2)*1,(TABELA_VAZAO[Data]=$A28)*1,TABELA_VAZAO[qinc])</f>
        <v>2956</v>
      </c>
      <c r="S28" s="70">
        <f ca="1">SUMPRODUCT((TABELA_VAZAO[Posto]=S$2)*1,(TABELA_VAZAO[Data]=$A28)*1,TABELA_VAZAO[qnat])</f>
        <v>7627</v>
      </c>
      <c r="T28" s="70">
        <f ca="1">SUMPRODUCT((TABELA_VAZAO[Posto]=T$2)*1,(TABELA_VAZAO[Data]=$A28)*1,TABELA_VAZAO[qnat])</f>
        <v>6202</v>
      </c>
      <c r="U28" s="70">
        <f ca="1">SUMPRODUCT((TABELA_VAZAO[Posto]=U$2)*1,(TABELA_VAZAO[Data]=$A28)*1,TABELA_VAZAO[qnat])</f>
        <v>681</v>
      </c>
      <c r="V28" s="70">
        <f ca="1">SUMPRODUCT((TABELA_VAZAO[Posto]=V$2)*1,(TABELA_VAZAO[Data]=$A28)*1,TABELA_VAZAO[qnat])</f>
        <v>5056</v>
      </c>
      <c r="W28" s="70">
        <f ca="1">SUMPRODUCT((TABELA_VAZAO[Posto]=W$2)*1,(TABELA_VAZAO[Data]=$A28)*1,TABELA_VAZAO[qnat])</f>
        <v>12731</v>
      </c>
      <c r="X28" s="70">
        <f ca="1">SUMPRODUCT((TABELA_VAZAO[Posto]=X$2)*1,(TABELA_VAZAO[Data]=$A28)*1,TABELA_VAZAO[qnat])</f>
        <v>0</v>
      </c>
      <c r="Y28" s="70">
        <f ca="1">SUMPRODUCT((TABELA_VAZAO[Posto]=Y$2)*1,(TABELA_VAZAO[Data]=$A28)*1,TABELA_VAZAO[qnat])</f>
        <v>1957</v>
      </c>
      <c r="Z28" s="70">
        <f ca="1">SUMPRODUCT((TABELA_VAZAO[Posto]=Z$2)*1,(TABELA_VAZAO[Data]=$A28)*1,TABELA_VAZAO[qnat])</f>
        <v>1994</v>
      </c>
      <c r="AA28" s="70">
        <f ca="1">SUMPRODUCT((TABELA_VAZAO[Posto]=AA$2)*1,(TABELA_VAZAO[Data]=$A28)*1,TABELA_VAZAO[qnat])</f>
        <v>74</v>
      </c>
      <c r="AB28" s="70">
        <f ca="1">SUMPRODUCT((TABELA_VAZAO[Posto]=AB$2)*1,(TABELA_VAZAO[Data]=$A28)*1,TABELA_VAZAO[qnat])</f>
        <v>184</v>
      </c>
      <c r="AC28" s="70">
        <f ca="1">SUMPRODUCT((TABELA_VAZAO[Posto]=AC$2)*1,(TABELA_VAZAO[Data]=$A28)*1,TABELA_VAZAO[qnat])</f>
        <v>199</v>
      </c>
      <c r="AE28" s="272">
        <f ca="1">Propagações_TOT_TIETE!$X28</f>
        <v>836</v>
      </c>
    </row>
    <row r="29" spans="1:31" x14ac:dyDescent="0.2">
      <c r="A29" s="49">
        <f t="shared" ca="1" si="1"/>
        <v>43828</v>
      </c>
      <c r="B29" s="51"/>
      <c r="C29" s="51"/>
      <c r="D29" s="50"/>
      <c r="E29" s="67" t="e">
        <f ca="1">INDEX(RESULTADOS!$A:$BA,MATCH($A29,RESULTADOS!$A:$A,0),MATCH(E$1,RESULTADOS!$1:$1,0))</f>
        <v>#N/A</v>
      </c>
      <c r="F29" s="67" t="e">
        <f ca="1">INDEX(RESULTADOS!$A:$BA,MATCH($A29,RESULTADOS!$A:$A,0),MATCH(F$1,RESULTADOS!$1:$1,0))</f>
        <v>#N/A</v>
      </c>
      <c r="G29" s="67" t="e">
        <f ca="1">INDEX(RESULTADOS!$A:$BA,MATCH($A29,RESULTADOS!$A:$A,0),MATCH(G$1,RESULTADOS!$1:$1,0))</f>
        <v>#N/A</v>
      </c>
      <c r="H29" s="67" t="e">
        <f ca="1">INDEX(RESULTADOS!$A:$BA,MATCH($A29,RESULTADOS!$A:$A,0),MATCH(H$1,RESULTADOS!$1:$1,0))</f>
        <v>#N/A</v>
      </c>
      <c r="I29" s="67" t="e">
        <f ca="1">INDEX(RESULTADOS!$A:$BA,MATCH($A29,RESULTADOS!$A:$A,0),MATCH(I$1,RESULTADOS!$1:$1,0))</f>
        <v>#N/A</v>
      </c>
      <c r="J29" s="281">
        <f ca="1">SUMPRODUCT((TABELA_VAZAO[Posto]=J$2)*1,(TABELA_VAZAO[Data]=$A29)*1,TABELA_VAZAO[qinc])</f>
        <v>2770</v>
      </c>
      <c r="K29" s="43"/>
      <c r="L29" s="43"/>
      <c r="M29" s="70">
        <f ca="1">SUMPRODUCT((TABELA_VAZAO[Posto]=M$2)*1,(TABELA_VAZAO[Data]=$A29)*1,TABELA_VAZAO[qnat])</f>
        <v>996</v>
      </c>
      <c r="N29" s="70">
        <f ca="1">SUMPRODUCT((TABELA_VAZAO[Posto]=N$2)*1,(TABELA_VAZAO[Data]=$A29)*1,TABELA_VAZAO[qinc])</f>
        <v>911</v>
      </c>
      <c r="O29" s="70">
        <f ca="1">SUMPRODUCT((TABELA_VAZAO[Posto]=O$2)*1,(TABELA_VAZAO[Data]=$A29)*1,TABELA_VAZAO[qinc])</f>
        <v>437</v>
      </c>
      <c r="P29" s="70">
        <f ca="1">SUMPRODUCT((TABELA_VAZAO[Posto]=P$2)*1,(TABELA_VAZAO[Data]=$A29)*1,TABELA_VAZAO[qinc])</f>
        <v>33</v>
      </c>
      <c r="Q29" s="70">
        <f ca="1">SUMPRODUCT((TABELA_VAZAO[Posto]=Q$2)*1,(TABELA_VAZAO[Data]=$A29)*1,TABELA_VAZAO[qinc])</f>
        <v>510</v>
      </c>
      <c r="R29" s="70">
        <f ca="1">SUMPRODUCT((TABELA_VAZAO[Posto]=R$2)*1,(TABELA_VAZAO[Data]=$A29)*1,TABELA_VAZAO[qinc])</f>
        <v>2770</v>
      </c>
      <c r="S29" s="70">
        <f ca="1">SUMPRODUCT((TABELA_VAZAO[Posto]=S$2)*1,(TABELA_VAZAO[Data]=$A29)*1,TABELA_VAZAO[qnat])</f>
        <v>7345</v>
      </c>
      <c r="T29" s="70">
        <f ca="1">SUMPRODUCT((TABELA_VAZAO[Posto]=T$2)*1,(TABELA_VAZAO[Data]=$A29)*1,TABELA_VAZAO[qnat])</f>
        <v>6162</v>
      </c>
      <c r="U29" s="70">
        <f ca="1">SUMPRODUCT((TABELA_VAZAO[Posto]=U$2)*1,(TABELA_VAZAO[Data]=$A29)*1,TABELA_VAZAO[qnat])</f>
        <v>792</v>
      </c>
      <c r="V29" s="70">
        <f ca="1">SUMPRODUCT((TABELA_VAZAO[Posto]=V$2)*1,(TABELA_VAZAO[Data]=$A29)*1,TABELA_VAZAO[qnat])</f>
        <v>4941</v>
      </c>
      <c r="W29" s="70">
        <f ca="1">SUMPRODUCT((TABELA_VAZAO[Posto]=W$2)*1,(TABELA_VAZAO[Data]=$A29)*1,TABELA_VAZAO[qnat])</f>
        <v>12195</v>
      </c>
      <c r="X29" s="70">
        <f ca="1">SUMPRODUCT((TABELA_VAZAO[Posto]=X$2)*1,(TABELA_VAZAO[Data]=$A29)*1,TABELA_VAZAO[qnat])</f>
        <v>0</v>
      </c>
      <c r="Y29" s="70">
        <f ca="1">SUMPRODUCT((TABELA_VAZAO[Posto]=Y$2)*1,(TABELA_VAZAO[Data]=$A29)*1,TABELA_VAZAO[qnat])</f>
        <v>1941</v>
      </c>
      <c r="Z29" s="70">
        <f ca="1">SUMPRODUCT((TABELA_VAZAO[Posto]=Z$2)*1,(TABELA_VAZAO[Data]=$A29)*1,TABELA_VAZAO[qnat])</f>
        <v>1861</v>
      </c>
      <c r="AA29" s="70">
        <f ca="1">SUMPRODUCT((TABELA_VAZAO[Posto]=AA$2)*1,(TABELA_VAZAO[Data]=$A29)*1,TABELA_VAZAO[qnat])</f>
        <v>74</v>
      </c>
      <c r="AB29" s="70">
        <f ca="1">SUMPRODUCT((TABELA_VAZAO[Posto]=AB$2)*1,(TABELA_VAZAO[Data]=$A29)*1,TABELA_VAZAO[qnat])</f>
        <v>178</v>
      </c>
      <c r="AC29" s="70">
        <f ca="1">SUMPRODUCT((TABELA_VAZAO[Posto]=AC$2)*1,(TABELA_VAZAO[Data]=$A29)*1,TABELA_VAZAO[qnat])</f>
        <v>193</v>
      </c>
      <c r="AE29" s="272">
        <f ca="1">Propagações_TOT_TIETE!$X29</f>
        <v>791</v>
      </c>
    </row>
    <row r="30" spans="1:31" x14ac:dyDescent="0.2">
      <c r="A30" s="49">
        <f t="shared" ca="1" si="1"/>
        <v>43829</v>
      </c>
      <c r="B30" s="51"/>
      <c r="C30" s="51"/>
      <c r="D30" s="50"/>
      <c r="E30" s="67" t="e">
        <f ca="1">INDEX(RESULTADOS!$A:$BA,MATCH($A30,RESULTADOS!$A:$A,0),MATCH(E$1,RESULTADOS!$1:$1,0))</f>
        <v>#N/A</v>
      </c>
      <c r="F30" s="67" t="e">
        <f ca="1">INDEX(RESULTADOS!$A:$BA,MATCH($A30,RESULTADOS!$A:$A,0),MATCH(F$1,RESULTADOS!$1:$1,0))</f>
        <v>#N/A</v>
      </c>
      <c r="G30" s="67" t="e">
        <f ca="1">INDEX(RESULTADOS!$A:$BA,MATCH($A30,RESULTADOS!$A:$A,0),MATCH(G$1,RESULTADOS!$1:$1,0))</f>
        <v>#N/A</v>
      </c>
      <c r="H30" s="67" t="e">
        <f ca="1">INDEX(RESULTADOS!$A:$BA,MATCH($A30,RESULTADOS!$A:$A,0),MATCH(H$1,RESULTADOS!$1:$1,0))</f>
        <v>#N/A</v>
      </c>
      <c r="I30" s="67" t="e">
        <f ca="1">INDEX(RESULTADOS!$A:$BA,MATCH($A30,RESULTADOS!$A:$A,0),MATCH(I$1,RESULTADOS!$1:$1,0))</f>
        <v>#N/A</v>
      </c>
      <c r="J30" s="281">
        <f ca="1">SUMPRODUCT((TABELA_VAZAO[Posto]=J$2)*1,(TABELA_VAZAO[Data]=$A30)*1,TABELA_VAZAO[qinc])</f>
        <v>2606</v>
      </c>
      <c r="K30" s="43"/>
      <c r="L30" s="43"/>
      <c r="M30" s="70">
        <f ca="1">SUMPRODUCT((TABELA_VAZAO[Posto]=M$2)*1,(TABELA_VAZAO[Data]=$A30)*1,TABELA_VAZAO[qnat])</f>
        <v>901</v>
      </c>
      <c r="N30" s="70">
        <f ca="1">SUMPRODUCT((TABELA_VAZAO[Posto]=N$2)*1,(TABELA_VAZAO[Data]=$A30)*1,TABELA_VAZAO[qinc])</f>
        <v>840</v>
      </c>
      <c r="O30" s="70">
        <f ca="1">SUMPRODUCT((TABELA_VAZAO[Posto]=O$2)*1,(TABELA_VAZAO[Data]=$A30)*1,TABELA_VAZAO[qinc])</f>
        <v>426</v>
      </c>
      <c r="P30" s="70">
        <f ca="1">SUMPRODUCT((TABELA_VAZAO[Posto]=P$2)*1,(TABELA_VAZAO[Data]=$A30)*1,TABELA_VAZAO[qinc])</f>
        <v>32</v>
      </c>
      <c r="Q30" s="70">
        <f ca="1">SUMPRODUCT((TABELA_VAZAO[Posto]=Q$2)*1,(TABELA_VAZAO[Data]=$A30)*1,TABELA_VAZAO[qinc])</f>
        <v>498</v>
      </c>
      <c r="R30" s="70">
        <f ca="1">SUMPRODUCT((TABELA_VAZAO[Posto]=R$2)*1,(TABELA_VAZAO[Data]=$A30)*1,TABELA_VAZAO[qinc])</f>
        <v>2606</v>
      </c>
      <c r="S30" s="70">
        <f ca="1">SUMPRODUCT((TABELA_VAZAO[Posto]=S$2)*1,(TABELA_VAZAO[Data]=$A30)*1,TABELA_VAZAO[qnat])</f>
        <v>7163</v>
      </c>
      <c r="T30" s="70">
        <f ca="1">SUMPRODUCT((TABELA_VAZAO[Posto]=T$2)*1,(TABELA_VAZAO[Data]=$A30)*1,TABELA_VAZAO[qnat])</f>
        <v>6072</v>
      </c>
      <c r="U30" s="70">
        <f ca="1">SUMPRODUCT((TABELA_VAZAO[Posto]=U$2)*1,(TABELA_VAZAO[Data]=$A30)*1,TABELA_VAZAO[qnat])</f>
        <v>856</v>
      </c>
      <c r="V30" s="70">
        <f ca="1">SUMPRODUCT((TABELA_VAZAO[Posto]=V$2)*1,(TABELA_VAZAO[Data]=$A30)*1,TABELA_VAZAO[qnat])</f>
        <v>4774</v>
      </c>
      <c r="W30" s="70">
        <f ca="1">SUMPRODUCT((TABELA_VAZAO[Posto]=W$2)*1,(TABELA_VAZAO[Data]=$A30)*1,TABELA_VAZAO[qnat])</f>
        <v>11694</v>
      </c>
      <c r="X30" s="70">
        <f ca="1">SUMPRODUCT((TABELA_VAZAO[Posto]=X$2)*1,(TABELA_VAZAO[Data]=$A30)*1,TABELA_VAZAO[qnat])</f>
        <v>0</v>
      </c>
      <c r="Y30" s="70">
        <f ca="1">SUMPRODUCT((TABELA_VAZAO[Posto]=Y$2)*1,(TABELA_VAZAO[Data]=$A30)*1,TABELA_VAZAO[qnat])</f>
        <v>1916</v>
      </c>
      <c r="Z30" s="70">
        <f ca="1">SUMPRODUCT((TABELA_VAZAO[Posto]=Z$2)*1,(TABELA_VAZAO[Data]=$A30)*1,TABELA_VAZAO[qnat])</f>
        <v>1679</v>
      </c>
      <c r="AA30" s="70">
        <f ca="1">SUMPRODUCT((TABELA_VAZAO[Posto]=AA$2)*1,(TABELA_VAZAO[Data]=$A30)*1,TABELA_VAZAO[qnat])</f>
        <v>72</v>
      </c>
      <c r="AB30" s="70">
        <f ca="1">SUMPRODUCT((TABELA_VAZAO[Posto]=AB$2)*1,(TABELA_VAZAO[Data]=$A30)*1,TABELA_VAZAO[qnat])</f>
        <v>173</v>
      </c>
      <c r="AC30" s="70">
        <f ca="1">SUMPRODUCT((TABELA_VAZAO[Posto]=AC$2)*1,(TABELA_VAZAO[Data]=$A30)*1,TABELA_VAZAO[qnat])</f>
        <v>184</v>
      </c>
      <c r="AE30" s="272">
        <f ca="1">Propagações_TOT_TIETE!$X30</f>
        <v>653</v>
      </c>
    </row>
    <row r="31" spans="1:31" x14ac:dyDescent="0.2">
      <c r="A31" s="49">
        <f t="shared" ca="1" si="1"/>
        <v>43830</v>
      </c>
      <c r="B31" s="51"/>
      <c r="C31" s="51"/>
      <c r="D31" s="50"/>
      <c r="E31" s="67" t="e">
        <f ca="1">INDEX(RESULTADOS!$A:$BA,MATCH($A31,RESULTADOS!$A:$A,0),MATCH(E$1,RESULTADOS!$1:$1,0))</f>
        <v>#N/A</v>
      </c>
      <c r="F31" s="67" t="e">
        <f ca="1">INDEX(RESULTADOS!$A:$BA,MATCH($A31,RESULTADOS!$A:$A,0),MATCH(F$1,RESULTADOS!$1:$1,0))</f>
        <v>#N/A</v>
      </c>
      <c r="G31" s="67" t="e">
        <f ca="1">INDEX(RESULTADOS!$A:$BA,MATCH($A31,RESULTADOS!$A:$A,0),MATCH(G$1,RESULTADOS!$1:$1,0))</f>
        <v>#N/A</v>
      </c>
      <c r="H31" s="67" t="e">
        <f ca="1">INDEX(RESULTADOS!$A:$BA,MATCH($A31,RESULTADOS!$A:$A,0),MATCH(H$1,RESULTADOS!$1:$1,0))</f>
        <v>#N/A</v>
      </c>
      <c r="I31" s="67" t="e">
        <f ca="1">INDEX(RESULTADOS!$A:$BA,MATCH($A31,RESULTADOS!$A:$A,0),MATCH(I$1,RESULTADOS!$1:$1,0))</f>
        <v>#N/A</v>
      </c>
      <c r="J31" s="281">
        <f ca="1">SUMPRODUCT((TABELA_VAZAO[Posto]=J$2)*1,(TABELA_VAZAO[Data]=$A31)*1,TABELA_VAZAO[qinc])</f>
        <v>2434</v>
      </c>
      <c r="K31" s="43"/>
      <c r="L31" s="43"/>
      <c r="M31" s="70">
        <f ca="1">SUMPRODUCT((TABELA_VAZAO[Posto]=M$2)*1,(TABELA_VAZAO[Data]=$A31)*1,TABELA_VAZAO[qnat])</f>
        <v>840</v>
      </c>
      <c r="N31" s="70">
        <f ca="1">SUMPRODUCT((TABELA_VAZAO[Posto]=N$2)*1,(TABELA_VAZAO[Data]=$A31)*1,TABELA_VAZAO[qinc])</f>
        <v>817</v>
      </c>
      <c r="O31" s="70">
        <f ca="1">SUMPRODUCT((TABELA_VAZAO[Posto]=O$2)*1,(TABELA_VAZAO[Data]=$A31)*1,TABELA_VAZAO[qinc])</f>
        <v>425</v>
      </c>
      <c r="P31" s="70">
        <f ca="1">SUMPRODUCT((TABELA_VAZAO[Posto]=P$2)*1,(TABELA_VAZAO[Data]=$A31)*1,TABELA_VAZAO[qinc])</f>
        <v>31</v>
      </c>
      <c r="Q31" s="70">
        <f ca="1">SUMPRODUCT((TABELA_VAZAO[Posto]=Q$2)*1,(TABELA_VAZAO[Data]=$A31)*1,TABELA_VAZAO[qinc])</f>
        <v>484</v>
      </c>
      <c r="R31" s="70">
        <f ca="1">SUMPRODUCT((TABELA_VAZAO[Posto]=R$2)*1,(TABELA_VAZAO[Data]=$A31)*1,TABELA_VAZAO[qinc])</f>
        <v>2434</v>
      </c>
      <c r="S31" s="70">
        <f ca="1">SUMPRODUCT((TABELA_VAZAO[Posto]=S$2)*1,(TABELA_VAZAO[Data]=$A31)*1,TABELA_VAZAO[qnat])</f>
        <v>7096</v>
      </c>
      <c r="T31" s="70">
        <f ca="1">SUMPRODUCT((TABELA_VAZAO[Posto]=T$2)*1,(TABELA_VAZAO[Data]=$A31)*1,TABELA_VAZAO[qnat])</f>
        <v>5826</v>
      </c>
      <c r="U31" s="70">
        <f ca="1">SUMPRODUCT((TABELA_VAZAO[Posto]=U$2)*1,(TABELA_VAZAO[Data]=$A31)*1,TABELA_VAZAO[qnat])</f>
        <v>788</v>
      </c>
      <c r="V31" s="70">
        <f ca="1">SUMPRODUCT((TABELA_VAZAO[Posto]=V$2)*1,(TABELA_VAZAO[Data]=$A31)*1,TABELA_VAZAO[qnat])</f>
        <v>4547</v>
      </c>
      <c r="W31" s="70">
        <f ca="1">SUMPRODUCT((TABELA_VAZAO[Posto]=W$2)*1,(TABELA_VAZAO[Data]=$A31)*1,TABELA_VAZAO[qnat])</f>
        <v>11173</v>
      </c>
      <c r="X31" s="70">
        <f ca="1">SUMPRODUCT((TABELA_VAZAO[Posto]=X$2)*1,(TABELA_VAZAO[Data]=$A31)*1,TABELA_VAZAO[qnat])</f>
        <v>0</v>
      </c>
      <c r="Y31" s="70">
        <f ca="1">SUMPRODUCT((TABELA_VAZAO[Posto]=Y$2)*1,(TABELA_VAZAO[Data]=$A31)*1,TABELA_VAZAO[qnat])</f>
        <v>1873</v>
      </c>
      <c r="Z31" s="70">
        <f ca="1">SUMPRODUCT((TABELA_VAZAO[Posto]=Z$2)*1,(TABELA_VAZAO[Data]=$A31)*1,TABELA_VAZAO[qnat])</f>
        <v>1534</v>
      </c>
      <c r="AA31" s="70">
        <f ca="1">SUMPRODUCT((TABELA_VAZAO[Posto]=AA$2)*1,(TABELA_VAZAO[Data]=$A31)*1,TABELA_VAZAO[qnat])</f>
        <v>70</v>
      </c>
      <c r="AB31" s="70">
        <f ca="1">SUMPRODUCT((TABELA_VAZAO[Posto]=AB$2)*1,(TABELA_VAZAO[Data]=$A31)*1,TABELA_VAZAO[qnat])</f>
        <v>168</v>
      </c>
      <c r="AC31" s="70">
        <f ca="1">SUMPRODUCT((TABELA_VAZAO[Posto]=AC$2)*1,(TABELA_VAZAO[Data]=$A31)*1,TABELA_VAZAO[qnat])</f>
        <v>177</v>
      </c>
      <c r="AE31" s="272">
        <f ca="1">Propagações_TOT_TIETE!$X31</f>
        <v>555</v>
      </c>
    </row>
    <row r="32" spans="1:31" x14ac:dyDescent="0.2">
      <c r="A32" s="49">
        <f t="shared" ca="1" si="1"/>
        <v>43831</v>
      </c>
      <c r="B32" s="51"/>
      <c r="C32" s="51"/>
      <c r="D32" s="50"/>
      <c r="E32" s="67" t="e">
        <f ca="1">INDEX(RESULTADOS!$A:$BA,MATCH($A32,RESULTADOS!$A:$A,0),MATCH(E$1,RESULTADOS!$1:$1,0))</f>
        <v>#N/A</v>
      </c>
      <c r="F32" s="67" t="e">
        <f ca="1">INDEX(RESULTADOS!$A:$BA,MATCH($A32,RESULTADOS!$A:$A,0),MATCH(F$1,RESULTADOS!$1:$1,0))</f>
        <v>#N/A</v>
      </c>
      <c r="G32" s="67" t="e">
        <f ca="1">INDEX(RESULTADOS!$A:$BA,MATCH($A32,RESULTADOS!$A:$A,0),MATCH(G$1,RESULTADOS!$1:$1,0))</f>
        <v>#N/A</v>
      </c>
      <c r="H32" s="67" t="e">
        <f ca="1">INDEX(RESULTADOS!$A:$BA,MATCH($A32,RESULTADOS!$A:$A,0),MATCH(H$1,RESULTADOS!$1:$1,0))</f>
        <v>#N/A</v>
      </c>
      <c r="I32" s="67" t="e">
        <f ca="1">INDEX(RESULTADOS!$A:$BA,MATCH($A32,RESULTADOS!$A:$A,0),MATCH(I$1,RESULTADOS!$1:$1,0))</f>
        <v>#N/A</v>
      </c>
      <c r="J32" s="281">
        <f ca="1">SUMPRODUCT((TABELA_VAZAO[Posto]=J$2)*1,(TABELA_VAZAO[Data]=$A32)*1,TABELA_VAZAO[qinc])</f>
        <v>2328</v>
      </c>
      <c r="K32" s="43"/>
      <c r="L32" s="42"/>
      <c r="M32" s="70">
        <f ca="1">SUMPRODUCT((TABELA_VAZAO[Posto]=M$2)*1,(TABELA_VAZAO[Data]=$A32)*1,TABELA_VAZAO[qnat])</f>
        <v>785</v>
      </c>
      <c r="N32" s="70">
        <f ca="1">SUMPRODUCT((TABELA_VAZAO[Posto]=N$2)*1,(TABELA_VAZAO[Data]=$A32)*1,TABELA_VAZAO[qinc])</f>
        <v>815</v>
      </c>
      <c r="O32" s="70">
        <f ca="1">SUMPRODUCT((TABELA_VAZAO[Posto]=O$2)*1,(TABELA_VAZAO[Data]=$A32)*1,TABELA_VAZAO[qinc])</f>
        <v>425</v>
      </c>
      <c r="P32" s="70">
        <f ca="1">SUMPRODUCT((TABELA_VAZAO[Posto]=P$2)*1,(TABELA_VAZAO[Data]=$A32)*1,TABELA_VAZAO[qinc])</f>
        <v>30</v>
      </c>
      <c r="Q32" s="70">
        <f ca="1">SUMPRODUCT((TABELA_VAZAO[Posto]=Q$2)*1,(TABELA_VAZAO[Data]=$A32)*1,TABELA_VAZAO[qinc])</f>
        <v>472</v>
      </c>
      <c r="R32" s="70">
        <f ca="1">SUMPRODUCT((TABELA_VAZAO[Posto]=R$2)*1,(TABELA_VAZAO[Data]=$A32)*1,TABELA_VAZAO[qinc])</f>
        <v>2328</v>
      </c>
      <c r="S32" s="70">
        <f ca="1">SUMPRODUCT((TABELA_VAZAO[Posto]=S$2)*1,(TABELA_VAZAO[Data]=$A32)*1,TABELA_VAZAO[qnat])</f>
        <v>7002</v>
      </c>
      <c r="T32" s="70">
        <f ca="1">SUMPRODUCT((TABELA_VAZAO[Posto]=T$2)*1,(TABELA_VAZAO[Data]=$A32)*1,TABELA_VAZAO[qnat])</f>
        <v>5480</v>
      </c>
      <c r="U32" s="70">
        <f ca="1">SUMPRODUCT((TABELA_VAZAO[Posto]=U$2)*1,(TABELA_VAZAO[Data]=$A32)*1,TABELA_VAZAO[qnat])</f>
        <v>659</v>
      </c>
      <c r="V32" s="70">
        <f ca="1">SUMPRODUCT((TABELA_VAZAO[Posto]=V$2)*1,(TABELA_VAZAO[Data]=$A32)*1,TABELA_VAZAO[qnat])</f>
        <v>4309</v>
      </c>
      <c r="W32" s="70">
        <f ca="1">SUMPRODUCT((TABELA_VAZAO[Posto]=W$2)*1,(TABELA_VAZAO[Data]=$A32)*1,TABELA_VAZAO[qnat])</f>
        <v>10743</v>
      </c>
      <c r="X32" s="70">
        <f ca="1">SUMPRODUCT((TABELA_VAZAO[Posto]=X$2)*1,(TABELA_VAZAO[Data]=$A32)*1,TABELA_VAZAO[qnat])</f>
        <v>0</v>
      </c>
      <c r="Y32" s="70">
        <f ca="1">SUMPRODUCT((TABELA_VAZAO[Posto]=Y$2)*1,(TABELA_VAZAO[Data]=$A32)*1,TABELA_VAZAO[qnat])</f>
        <v>1766</v>
      </c>
      <c r="Z32" s="70">
        <f ca="1">SUMPRODUCT((TABELA_VAZAO[Posto]=Z$2)*1,(TABELA_VAZAO[Data]=$A32)*1,TABELA_VAZAO[qnat])</f>
        <v>1444</v>
      </c>
      <c r="AA32" s="70">
        <f ca="1">SUMPRODUCT((TABELA_VAZAO[Posto]=AA$2)*1,(TABELA_VAZAO[Data]=$A32)*1,TABELA_VAZAO[qnat])</f>
        <v>68</v>
      </c>
      <c r="AB32" s="70">
        <f ca="1">SUMPRODUCT((TABELA_VAZAO[Posto]=AB$2)*1,(TABELA_VAZAO[Data]=$A32)*1,TABELA_VAZAO[qnat])</f>
        <v>164</v>
      </c>
      <c r="AC32" s="70">
        <f ca="1">SUMPRODUCT((TABELA_VAZAO[Posto]=AC$2)*1,(TABELA_VAZAO[Data]=$A32)*1,TABELA_VAZAO[qnat])</f>
        <v>172</v>
      </c>
      <c r="AE32" s="272">
        <f ca="1">Propagações_TOT_TIETE!$X32</f>
        <v>519</v>
      </c>
    </row>
    <row r="33" spans="1:31" x14ac:dyDescent="0.2">
      <c r="A33" s="82">
        <f t="shared" ca="1" si="1"/>
        <v>43832</v>
      </c>
      <c r="B33" s="83"/>
      <c r="C33" s="83"/>
      <c r="D33" s="84"/>
      <c r="E33" s="67" t="e">
        <f ca="1">INDEX(RESULTADOS!$A:$BA,MATCH($A33,RESULTADOS!$A:$A,0),MATCH(E$1,RESULTADOS!$1:$1,0))</f>
        <v>#N/A</v>
      </c>
      <c r="F33" s="67" t="e">
        <f ca="1">INDEX(RESULTADOS!$A:$BA,MATCH($A33,RESULTADOS!$A:$A,0),MATCH(F$1,RESULTADOS!$1:$1,0))</f>
        <v>#N/A</v>
      </c>
      <c r="G33" s="67" t="e">
        <f ca="1">INDEX(RESULTADOS!$A:$BA,MATCH($A33,RESULTADOS!$A:$A,0),MATCH(G$1,RESULTADOS!$1:$1,0))</f>
        <v>#N/A</v>
      </c>
      <c r="H33" s="67" t="e">
        <f ca="1">INDEX(RESULTADOS!$A:$BA,MATCH($A33,RESULTADOS!$A:$A,0),MATCH(H$1,RESULTADOS!$1:$1,0))</f>
        <v>#N/A</v>
      </c>
      <c r="I33" s="67" t="e">
        <f ca="1">INDEX(RESULTADOS!$A:$BA,MATCH($A33,RESULTADOS!$A:$A,0),MATCH(I$1,RESULTADOS!$1:$1,0))</f>
        <v>#N/A</v>
      </c>
      <c r="J33" s="281">
        <f ca="1">SUMPRODUCT((TABELA_VAZAO[Posto]=J$2)*1,(TABELA_VAZAO[Data]=$A33)*1,TABELA_VAZAO[qinc])</f>
        <v>2252</v>
      </c>
      <c r="K33" s="85"/>
      <c r="L33" s="86"/>
      <c r="M33" s="70">
        <f ca="1">SUMPRODUCT((TABELA_VAZAO[Posto]=M$2)*1,(TABELA_VAZAO[Data]=$A33)*1,TABELA_VAZAO[qnat])</f>
        <v>764</v>
      </c>
      <c r="N33" s="70">
        <f ca="1">SUMPRODUCT((TABELA_VAZAO[Posto]=N$2)*1,(TABELA_VAZAO[Data]=$A33)*1,TABELA_VAZAO[qinc])</f>
        <v>776</v>
      </c>
      <c r="O33" s="70">
        <f ca="1">SUMPRODUCT((TABELA_VAZAO[Posto]=O$2)*1,(TABELA_VAZAO[Data]=$A33)*1,TABELA_VAZAO[qinc])</f>
        <v>432</v>
      </c>
      <c r="P33" s="70">
        <f ca="1">SUMPRODUCT((TABELA_VAZAO[Posto]=P$2)*1,(TABELA_VAZAO[Data]=$A33)*1,TABELA_VAZAO[qinc])</f>
        <v>29</v>
      </c>
      <c r="Q33" s="70">
        <f ca="1">SUMPRODUCT((TABELA_VAZAO[Posto]=Q$2)*1,(TABELA_VAZAO[Data]=$A33)*1,TABELA_VAZAO[qinc])</f>
        <v>459</v>
      </c>
      <c r="R33" s="70">
        <f ca="1">SUMPRODUCT((TABELA_VAZAO[Posto]=R$2)*1,(TABELA_VAZAO[Data]=$A33)*1,TABELA_VAZAO[qinc])</f>
        <v>2252</v>
      </c>
      <c r="S33" s="70">
        <f ca="1">SUMPRODUCT((TABELA_VAZAO[Posto]=S$2)*1,(TABELA_VAZAO[Data]=$A33)*1,TABELA_VAZAO[qnat])</f>
        <v>6716</v>
      </c>
      <c r="T33" s="70">
        <f ca="1">SUMPRODUCT((TABELA_VAZAO[Posto]=T$2)*1,(TABELA_VAZAO[Data]=$A33)*1,TABELA_VAZAO[qnat])</f>
        <v>5147</v>
      </c>
      <c r="U33" s="70">
        <f ca="1">SUMPRODUCT((TABELA_VAZAO[Posto]=U$2)*1,(TABELA_VAZAO[Data]=$A33)*1,TABELA_VAZAO[qnat])</f>
        <v>575</v>
      </c>
      <c r="V33" s="70">
        <f ca="1">SUMPRODUCT((TABELA_VAZAO[Posto]=V$2)*1,(TABELA_VAZAO[Data]=$A33)*1,TABELA_VAZAO[qnat])</f>
        <v>4065</v>
      </c>
      <c r="W33" s="70">
        <f ca="1">SUMPRODUCT((TABELA_VAZAO[Posto]=W$2)*1,(TABELA_VAZAO[Data]=$A33)*1,TABELA_VAZAO[qnat])</f>
        <v>10428</v>
      </c>
      <c r="X33" s="228">
        <f ca="1">SUMPRODUCT((TABELA_VAZAO[Posto]=X$2)*1,(TABELA_VAZAO[Data]=$A33)*1,TABELA_VAZAO[qnat])</f>
        <v>0</v>
      </c>
      <c r="Y33" s="70">
        <f ca="1">SUMPRODUCT((TABELA_VAZAO[Posto]=Y$2)*1,(TABELA_VAZAO[Data]=$A33)*1,TABELA_VAZAO[qnat])</f>
        <v>1626</v>
      </c>
      <c r="Z33" s="70">
        <f ca="1">SUMPRODUCT((TABELA_VAZAO[Posto]=Z$2)*1,(TABELA_VAZAO[Data]=$A33)*1,TABELA_VAZAO[qnat])</f>
        <v>1388</v>
      </c>
      <c r="AA33" s="70">
        <f ca="1">SUMPRODUCT((TABELA_VAZAO[Posto]=AA$2)*1,(TABELA_VAZAO[Data]=$A33)*1,TABELA_VAZAO[qnat])</f>
        <v>66</v>
      </c>
      <c r="AB33" s="70">
        <f ca="1">SUMPRODUCT((TABELA_VAZAO[Posto]=AB$2)*1,(TABELA_VAZAO[Data]=$A33)*1,TABELA_VAZAO[qnat])</f>
        <v>161</v>
      </c>
      <c r="AC33" s="70">
        <f ca="1">SUMPRODUCT((TABELA_VAZAO[Posto]=AC$2)*1,(TABELA_VAZAO[Data]=$A33)*1,TABELA_VAZAO[qnat])</f>
        <v>168</v>
      </c>
      <c r="AE33" s="272">
        <f ca="1">Propagações_TOT_TIETE!$X33</f>
        <v>507</v>
      </c>
    </row>
    <row r="34" spans="1:31" x14ac:dyDescent="0.2">
      <c r="A34" s="49">
        <f t="shared" ca="1" si="1"/>
        <v>43833</v>
      </c>
      <c r="B34" s="51"/>
      <c r="C34" s="51"/>
      <c r="D34" s="50"/>
      <c r="E34" s="67" t="e">
        <f ca="1">INDEX(RESULTADOS!$A:$BA,MATCH($A34,RESULTADOS!$A:$A,0),MATCH(E$1,RESULTADOS!$1:$1,0))</f>
        <v>#N/A</v>
      </c>
      <c r="F34" s="67" t="e">
        <f ca="1">INDEX(RESULTADOS!$A:$BA,MATCH($A34,RESULTADOS!$A:$A,0),MATCH(F$1,RESULTADOS!$1:$1,0))</f>
        <v>#N/A</v>
      </c>
      <c r="G34" s="67" t="e">
        <f ca="1">INDEX(RESULTADOS!$A:$BA,MATCH($A34,RESULTADOS!$A:$A,0),MATCH(G$1,RESULTADOS!$1:$1,0))</f>
        <v>#N/A</v>
      </c>
      <c r="H34" s="67" t="e">
        <f ca="1">INDEX(RESULTADOS!$A:$BA,MATCH($A34,RESULTADOS!$A:$A,0),MATCH(H$1,RESULTADOS!$1:$1,0))</f>
        <v>#N/A</v>
      </c>
      <c r="I34" s="67" t="e">
        <f ca="1">INDEX(RESULTADOS!$A:$BA,MATCH($A34,RESULTADOS!$A:$A,0),MATCH(I$1,RESULTADOS!$1:$1,0))</f>
        <v>#N/A</v>
      </c>
      <c r="J34" s="287">
        <f ca="1">SUMPRODUCT((TABELA_VAZAO[Posto]=J$2)*1,(TABELA_VAZAO[Data]=$A34)*1,TABELA_VAZAO[qinc])</f>
        <v>2253</v>
      </c>
      <c r="K34" s="43"/>
      <c r="L34" s="43"/>
      <c r="M34" s="210">
        <f ca="1">SUMPRODUCT((TABELA_VAZAO[Posto]=M$2)*1,(TABELA_VAZAO[Data]=$A34)*1,TABELA_VAZAO[qnat])</f>
        <v>779</v>
      </c>
      <c r="N34" s="209">
        <f ca="1">SUMPRODUCT((TABELA_VAZAO[Posto]=N$2)*1,(TABELA_VAZAO[Data]=$A34)*1,TABELA_VAZAO[qinc])</f>
        <v>768</v>
      </c>
      <c r="O34" s="209">
        <f ca="1">SUMPRODUCT((TABELA_VAZAO[Posto]=O$2)*1,(TABELA_VAZAO[Data]=$A34)*1,TABELA_VAZAO[qinc])</f>
        <v>456</v>
      </c>
      <c r="P34" s="209">
        <f ca="1">SUMPRODUCT((TABELA_VAZAO[Posto]=P$2)*1,(TABELA_VAZAO[Data]=$A34)*1,TABELA_VAZAO[qinc])</f>
        <v>29</v>
      </c>
      <c r="Q34" s="209">
        <f ca="1">SUMPRODUCT((TABELA_VAZAO[Posto]=Q$2)*1,(TABELA_VAZAO[Data]=$A34)*1,TABELA_VAZAO[qinc])</f>
        <v>447</v>
      </c>
      <c r="R34" s="209">
        <f ca="1">SUMPRODUCT((TABELA_VAZAO[Posto]=R$2)*1,(TABELA_VAZAO[Data]=$A34)*1,TABELA_VAZAO[qinc])</f>
        <v>2253</v>
      </c>
      <c r="S34" s="210">
        <f ca="1">SUMPRODUCT((TABELA_VAZAO[Posto]=S$2)*1,(TABELA_VAZAO[Data]=$A34)*1,TABELA_VAZAO[qnat])</f>
        <v>6361</v>
      </c>
      <c r="T34" s="210">
        <f ca="1">SUMPRODUCT((TABELA_VAZAO[Posto]=T$2)*1,(TABELA_VAZAO[Data]=$A34)*1,TABELA_VAZAO[qnat])</f>
        <v>4897</v>
      </c>
      <c r="U34" s="210">
        <f ca="1">SUMPRODUCT((TABELA_VAZAO[Posto]=U$2)*1,(TABELA_VAZAO[Data]=$A34)*1,TABELA_VAZAO[qnat])</f>
        <v>545</v>
      </c>
      <c r="V34" s="210">
        <f ca="1">SUMPRODUCT((TABELA_VAZAO[Posto]=V$2)*1,(TABELA_VAZAO[Data]=$A34)*1,TABELA_VAZAO[qnat])</f>
        <v>3841</v>
      </c>
      <c r="W34" s="210">
        <f ca="1">SUMPRODUCT((TABELA_VAZAO[Posto]=W$2)*1,(TABELA_VAZAO[Data]=$A34)*1,TABELA_VAZAO[qnat])</f>
        <v>10224</v>
      </c>
      <c r="X34" s="43">
        <f ca="1">SUMPRODUCT((TABELA_VAZAO[Posto]=X$2)*1,(TABELA_VAZAO[Data]=$A34)*1,TABELA_VAZAO[qnat])</f>
        <v>0</v>
      </c>
      <c r="Y34" s="210">
        <f ca="1">SUMPRODUCT((TABELA_VAZAO[Posto]=Y$2)*1,(TABELA_VAZAO[Data]=$A34)*1,TABELA_VAZAO[qnat])</f>
        <v>1499</v>
      </c>
      <c r="Z34" s="210">
        <f ca="1">SUMPRODUCT((TABELA_VAZAO[Posto]=Z$2)*1,(TABELA_VAZAO[Data]=$A34)*1,TABELA_VAZAO[qnat])</f>
        <v>1545</v>
      </c>
      <c r="AA34" s="210">
        <f ca="1">SUMPRODUCT((TABELA_VAZAO[Posto]=AA$2)*1,(TABELA_VAZAO[Data]=$A34)*1,TABELA_VAZAO[qnat])</f>
        <v>64</v>
      </c>
      <c r="AB34" s="210">
        <f ca="1">SUMPRODUCT((TABELA_VAZAO[Posto]=AB$2)*1,(TABELA_VAZAO[Data]=$A34)*1,TABELA_VAZAO[qnat])</f>
        <v>158</v>
      </c>
      <c r="AC34" s="210">
        <f ca="1">SUMPRODUCT((TABELA_VAZAO[Posto]=AC$2)*1,(TABELA_VAZAO[Data]=$A34)*1,TABELA_VAZAO[qnat])</f>
        <v>164</v>
      </c>
      <c r="AE34" s="272">
        <f ca="1">Propagações_TOT_TIETE!$X34</f>
        <v>499</v>
      </c>
    </row>
    <row r="35" spans="1:31" x14ac:dyDescent="0.2">
      <c r="A35" s="49">
        <f t="shared" ca="1" si="1"/>
        <v>43834</v>
      </c>
      <c r="B35" s="51"/>
      <c r="C35" s="51"/>
      <c r="D35" s="50"/>
      <c r="E35" s="67" t="e">
        <f ca="1">INDEX(RESULTADOS!$A:$BA,MATCH($A35,RESULTADOS!$A:$A,0),MATCH(E$1,RESULTADOS!$1:$1,0))</f>
        <v>#N/A</v>
      </c>
      <c r="F35" s="67" t="e">
        <f ca="1">INDEX(RESULTADOS!$A:$BA,MATCH($A35,RESULTADOS!$A:$A,0),MATCH(F$1,RESULTADOS!$1:$1,0))</f>
        <v>#N/A</v>
      </c>
      <c r="G35" s="67" t="e">
        <f ca="1">INDEX(RESULTADOS!$A:$BA,MATCH($A35,RESULTADOS!$A:$A,0),MATCH(G$1,RESULTADOS!$1:$1,0))</f>
        <v>#N/A</v>
      </c>
      <c r="H35" s="67" t="e">
        <f ca="1">INDEX(RESULTADOS!$A:$BA,MATCH($A35,RESULTADOS!$A:$A,0),MATCH(H$1,RESULTADOS!$1:$1,0))</f>
        <v>#N/A</v>
      </c>
      <c r="I35" s="67" t="e">
        <f ca="1">INDEX(RESULTADOS!$A:$BA,MATCH($A35,RESULTADOS!$A:$A,0),MATCH(I$1,RESULTADOS!$1:$1,0))</f>
        <v>#N/A</v>
      </c>
      <c r="J35" s="287">
        <f ca="1">SUMPRODUCT((TABELA_VAZAO[Posto]=J$2)*1,(TABELA_VAZAO[Data]=$A35)*1,TABELA_VAZAO[qinc])</f>
        <v>2207</v>
      </c>
      <c r="K35" s="43"/>
      <c r="L35" s="43"/>
      <c r="M35" s="210">
        <f ca="1">SUMPRODUCT((TABELA_VAZAO[Posto]=M$2)*1,(TABELA_VAZAO[Data]=$A35)*1,TABELA_VAZAO[qnat])</f>
        <v>790</v>
      </c>
      <c r="N35" s="209">
        <f ca="1">SUMPRODUCT((TABELA_VAZAO[Posto]=N$2)*1,(TABELA_VAZAO[Data]=$A35)*1,TABELA_VAZAO[qinc])</f>
        <v>756</v>
      </c>
      <c r="O35" s="209">
        <f ca="1">SUMPRODUCT((TABELA_VAZAO[Posto]=O$2)*1,(TABELA_VAZAO[Data]=$A35)*1,TABELA_VAZAO[qinc])</f>
        <v>547</v>
      </c>
      <c r="P35" s="209">
        <f ca="1">SUMPRODUCT((TABELA_VAZAO[Posto]=P$2)*1,(TABELA_VAZAO[Data]=$A35)*1,TABELA_VAZAO[qinc])</f>
        <v>28</v>
      </c>
      <c r="Q35" s="209">
        <f ca="1">SUMPRODUCT((TABELA_VAZAO[Posto]=Q$2)*1,(TABELA_VAZAO[Data]=$A35)*1,TABELA_VAZAO[qinc])</f>
        <v>439</v>
      </c>
      <c r="R35" s="209">
        <f ca="1">SUMPRODUCT((TABELA_VAZAO[Posto]=R$2)*1,(TABELA_VAZAO[Data]=$A35)*1,TABELA_VAZAO[qinc])</f>
        <v>2207</v>
      </c>
      <c r="S35" s="210">
        <f ca="1">SUMPRODUCT((TABELA_VAZAO[Posto]=S$2)*1,(TABELA_VAZAO[Data]=$A35)*1,TABELA_VAZAO[qnat])</f>
        <v>6015</v>
      </c>
      <c r="T35" s="210">
        <f ca="1">SUMPRODUCT((TABELA_VAZAO[Posto]=T$2)*1,(TABELA_VAZAO[Data]=$A35)*1,TABELA_VAZAO[qnat])</f>
        <v>4917</v>
      </c>
      <c r="U35" s="210">
        <f ca="1">SUMPRODUCT((TABELA_VAZAO[Posto]=U$2)*1,(TABELA_VAZAO[Data]=$A35)*1,TABELA_VAZAO[qnat])</f>
        <v>533</v>
      </c>
      <c r="V35" s="210">
        <f ca="1">SUMPRODUCT((TABELA_VAZAO[Posto]=V$2)*1,(TABELA_VAZAO[Data]=$A35)*1,TABELA_VAZAO[qnat])</f>
        <v>3831</v>
      </c>
      <c r="W35" s="210">
        <f ca="1">SUMPRODUCT((TABELA_VAZAO[Posto]=W$2)*1,(TABELA_VAZAO[Data]=$A35)*1,TABELA_VAZAO[qnat])</f>
        <v>9940</v>
      </c>
      <c r="X35" s="43">
        <f ca="1">SUMPRODUCT((TABELA_VAZAO[Posto]=X$2)*1,(TABELA_VAZAO[Data]=$A35)*1,TABELA_VAZAO[qnat])</f>
        <v>0</v>
      </c>
      <c r="Y35" s="210">
        <f ca="1">SUMPRODUCT((TABELA_VAZAO[Posto]=Y$2)*1,(TABELA_VAZAO[Data]=$A35)*1,TABELA_VAZAO[qnat])</f>
        <v>1494</v>
      </c>
      <c r="Z35" s="210">
        <f ca="1">SUMPRODUCT((TABELA_VAZAO[Posto]=Z$2)*1,(TABELA_VAZAO[Data]=$A35)*1,TABELA_VAZAO[qnat])</f>
        <v>1758</v>
      </c>
      <c r="AA35" s="210">
        <f ca="1">SUMPRODUCT((TABELA_VAZAO[Posto]=AA$2)*1,(TABELA_VAZAO[Data]=$A35)*1,TABELA_VAZAO[qnat])</f>
        <v>63</v>
      </c>
      <c r="AB35" s="210">
        <f ca="1">SUMPRODUCT((TABELA_VAZAO[Posto]=AB$2)*1,(TABELA_VAZAO[Data]=$A35)*1,TABELA_VAZAO[qnat])</f>
        <v>156</v>
      </c>
      <c r="AC35" s="210">
        <f ca="1">SUMPRODUCT((TABELA_VAZAO[Posto]=AC$2)*1,(TABELA_VAZAO[Data]=$A35)*1,TABELA_VAZAO[qnat])</f>
        <v>164</v>
      </c>
      <c r="AE35" s="272">
        <f ca="1">Propagações_TOT_TIETE!$X35</f>
        <v>509</v>
      </c>
    </row>
    <row r="36" spans="1:31" x14ac:dyDescent="0.2">
      <c r="A36" s="49">
        <f t="shared" ca="1" si="1"/>
        <v>43835</v>
      </c>
      <c r="B36" s="51"/>
      <c r="C36" s="51"/>
      <c r="D36" s="50"/>
      <c r="E36" s="67" t="e">
        <f ca="1">INDEX(RESULTADOS!$A:$BA,MATCH($A36,RESULTADOS!$A:$A,0),MATCH(E$1,RESULTADOS!$1:$1,0))</f>
        <v>#N/A</v>
      </c>
      <c r="F36" s="67" t="e">
        <f ca="1">INDEX(RESULTADOS!$A:$BA,MATCH($A36,RESULTADOS!$A:$A,0),MATCH(F$1,RESULTADOS!$1:$1,0))</f>
        <v>#N/A</v>
      </c>
      <c r="G36" s="67" t="e">
        <f ca="1">INDEX(RESULTADOS!$A:$BA,MATCH($A36,RESULTADOS!$A:$A,0),MATCH(G$1,RESULTADOS!$1:$1,0))</f>
        <v>#N/A</v>
      </c>
      <c r="H36" s="67" t="e">
        <f ca="1">INDEX(RESULTADOS!$A:$BA,MATCH($A36,RESULTADOS!$A:$A,0),MATCH(H$1,RESULTADOS!$1:$1,0))</f>
        <v>#N/A</v>
      </c>
      <c r="I36" s="67" t="e">
        <f ca="1">INDEX(RESULTADOS!$A:$BA,MATCH($A36,RESULTADOS!$A:$A,0),MATCH(I$1,RESULTADOS!$1:$1,0))</f>
        <v>#N/A</v>
      </c>
      <c r="J36" s="287">
        <f ca="1">SUMPRODUCT((TABELA_VAZAO[Posto]=J$2)*1,(TABELA_VAZAO[Data]=$A36)*1,TABELA_VAZAO[qinc])</f>
        <v>2185</v>
      </c>
      <c r="K36" s="43"/>
      <c r="L36" s="43"/>
      <c r="M36" s="210">
        <f ca="1">SUMPRODUCT((TABELA_VAZAO[Posto]=M$2)*1,(TABELA_VAZAO[Data]=$A36)*1,TABELA_VAZAO[qnat])</f>
        <v>829</v>
      </c>
      <c r="N36" s="209">
        <f ca="1">SUMPRODUCT((TABELA_VAZAO[Posto]=N$2)*1,(TABELA_VAZAO[Data]=$A36)*1,TABELA_VAZAO[qinc])</f>
        <v>765</v>
      </c>
      <c r="O36" s="209">
        <f ca="1">SUMPRODUCT((TABELA_VAZAO[Posto]=O$2)*1,(TABELA_VAZAO[Data]=$A36)*1,TABELA_VAZAO[qinc])</f>
        <v>550</v>
      </c>
      <c r="P36" s="209">
        <f ca="1">SUMPRODUCT((TABELA_VAZAO[Posto]=P$2)*1,(TABELA_VAZAO[Data]=$A36)*1,TABELA_VAZAO[qinc])</f>
        <v>28</v>
      </c>
      <c r="Q36" s="209">
        <f ca="1">SUMPRODUCT((TABELA_VAZAO[Posto]=Q$2)*1,(TABELA_VAZAO[Data]=$A36)*1,TABELA_VAZAO[qinc])</f>
        <v>436</v>
      </c>
      <c r="R36" s="209">
        <f ca="1">SUMPRODUCT((TABELA_VAZAO[Posto]=R$2)*1,(TABELA_VAZAO[Data]=$A36)*1,TABELA_VAZAO[qinc])</f>
        <v>2185</v>
      </c>
      <c r="S36" s="210">
        <f ca="1">SUMPRODUCT((TABELA_VAZAO[Posto]=S$2)*1,(TABELA_VAZAO[Data]=$A36)*1,TABELA_VAZAO[qnat])</f>
        <v>5773</v>
      </c>
      <c r="T36" s="210">
        <f ca="1">SUMPRODUCT((TABELA_VAZAO[Posto]=T$2)*1,(TABELA_VAZAO[Data]=$A36)*1,TABELA_VAZAO[qnat])</f>
        <v>5083</v>
      </c>
      <c r="U36" s="210">
        <f ca="1">SUMPRODUCT((TABELA_VAZAO[Posto]=U$2)*1,(TABELA_VAZAO[Data]=$A36)*1,TABELA_VAZAO[qnat])</f>
        <v>529</v>
      </c>
      <c r="V36" s="210">
        <f ca="1">SUMPRODUCT((TABELA_VAZAO[Posto]=V$2)*1,(TABELA_VAZAO[Data]=$A36)*1,TABELA_VAZAO[qnat])</f>
        <v>4048</v>
      </c>
      <c r="W36" s="210">
        <f ca="1">SUMPRODUCT((TABELA_VAZAO[Posto]=W$2)*1,(TABELA_VAZAO[Data]=$A36)*1,TABELA_VAZAO[qnat])</f>
        <v>9641</v>
      </c>
      <c r="X36" s="43">
        <f ca="1">SUMPRODUCT((TABELA_VAZAO[Posto]=X$2)*1,(TABELA_VAZAO[Data]=$A36)*1,TABELA_VAZAO[qnat])</f>
        <v>0</v>
      </c>
      <c r="Y36" s="210">
        <f ca="1">SUMPRODUCT((TABELA_VAZAO[Posto]=Y$2)*1,(TABELA_VAZAO[Data]=$A36)*1,TABELA_VAZAO[qnat])</f>
        <v>1612</v>
      </c>
      <c r="Z36" s="210">
        <f ca="1">SUMPRODUCT((TABELA_VAZAO[Posto]=Z$2)*1,(TABELA_VAZAO[Data]=$A36)*1,TABELA_VAZAO[qnat])</f>
        <v>1968</v>
      </c>
      <c r="AA36" s="210">
        <f ca="1">SUMPRODUCT((TABELA_VAZAO[Posto]=AA$2)*1,(TABELA_VAZAO[Data]=$A36)*1,TABELA_VAZAO[qnat])</f>
        <v>62</v>
      </c>
      <c r="AB36" s="210">
        <f ca="1">SUMPRODUCT((TABELA_VAZAO[Posto]=AB$2)*1,(TABELA_VAZAO[Data]=$A36)*1,TABELA_VAZAO[qnat])</f>
        <v>154</v>
      </c>
      <c r="AC36" s="210">
        <f ca="1">SUMPRODUCT((TABELA_VAZAO[Posto]=AC$2)*1,(TABELA_VAZAO[Data]=$A36)*1,TABELA_VAZAO[qnat])</f>
        <v>168</v>
      </c>
      <c r="AE36" s="272">
        <f ca="1">Propagações_TOT_TIETE!$X36</f>
        <v>598</v>
      </c>
    </row>
    <row r="37" spans="1:31" ht="13.5" thickBot="1" x14ac:dyDescent="0.25">
      <c r="A37" s="49">
        <f ca="1">A38-1</f>
        <v>43836</v>
      </c>
      <c r="B37" s="51"/>
      <c r="C37" s="51"/>
      <c r="D37" s="50"/>
      <c r="E37" s="67" t="e">
        <f ca="1">INDEX(RESULTADOS!$A:$BA,MATCH($A37,RESULTADOS!$A:$A,0),MATCH(E$1,RESULTADOS!$1:$1,0))</f>
        <v>#N/A</v>
      </c>
      <c r="F37" s="67" t="e">
        <f ca="1">INDEX(RESULTADOS!$A:$BA,MATCH($A37,RESULTADOS!$A:$A,0),MATCH(F$1,RESULTADOS!$1:$1,0))</f>
        <v>#N/A</v>
      </c>
      <c r="G37" s="67" t="e">
        <f ca="1">INDEX(RESULTADOS!$A:$BA,MATCH($A37,RESULTADOS!$A:$A,0),MATCH(G$1,RESULTADOS!$1:$1,0))</f>
        <v>#N/A</v>
      </c>
      <c r="H37" s="67" t="e">
        <f ca="1">INDEX(RESULTADOS!$A:$BA,MATCH($A37,RESULTADOS!$A:$A,0),MATCH(H$1,RESULTADOS!$1:$1,0))</f>
        <v>#N/A</v>
      </c>
      <c r="I37" s="67" t="e">
        <f ca="1">INDEX(RESULTADOS!$A:$BA,MATCH($A37,RESULTADOS!$A:$A,0),MATCH(I$1,RESULTADOS!$1:$1,0))</f>
        <v>#N/A</v>
      </c>
      <c r="J37" s="287">
        <f ca="1">SUMPRODUCT((TABELA_VAZAO[Posto]=J$2)*1,(TABELA_VAZAO[Data]=$A37)*1,TABELA_VAZAO[qinc])</f>
        <v>2139</v>
      </c>
      <c r="K37" s="43"/>
      <c r="L37" s="43"/>
      <c r="M37" s="210">
        <f ca="1">SUMPRODUCT((TABELA_VAZAO[Posto]=M$2)*1,(TABELA_VAZAO[Data]=$A37)*1,TABELA_VAZAO[qnat])</f>
        <v>906</v>
      </c>
      <c r="N37" s="209">
        <f ca="1">SUMPRODUCT((TABELA_VAZAO[Posto]=N$2)*1,(TABELA_VAZAO[Data]=$A37)*1,TABELA_VAZAO[qinc])</f>
        <v>853</v>
      </c>
      <c r="O37" s="209">
        <f ca="1">SUMPRODUCT((TABELA_VAZAO[Posto]=O$2)*1,(TABELA_VAZAO[Data]=$A37)*1,TABELA_VAZAO[qinc])</f>
        <v>547</v>
      </c>
      <c r="P37" s="209">
        <f ca="1">SUMPRODUCT((TABELA_VAZAO[Posto]=P$2)*1,(TABELA_VAZAO[Data]=$A37)*1,TABELA_VAZAO[qinc])</f>
        <v>28</v>
      </c>
      <c r="Q37" s="209">
        <f ca="1">SUMPRODUCT((TABELA_VAZAO[Posto]=Q$2)*1,(TABELA_VAZAO[Data]=$A37)*1,TABELA_VAZAO[qinc])</f>
        <v>438</v>
      </c>
      <c r="R37" s="209">
        <f ca="1">SUMPRODUCT((TABELA_VAZAO[Posto]=R$2)*1,(TABELA_VAZAO[Data]=$A37)*1,TABELA_VAZAO[qinc])</f>
        <v>2139</v>
      </c>
      <c r="S37" s="210">
        <f ca="1">SUMPRODUCT((TABELA_VAZAO[Posto]=S$2)*1,(TABELA_VAZAO[Data]=$A37)*1,TABELA_VAZAO[qnat])</f>
        <v>5882</v>
      </c>
      <c r="T37" s="210">
        <f ca="1">SUMPRODUCT((TABELA_VAZAO[Posto]=T$2)*1,(TABELA_VAZAO[Data]=$A37)*1,TABELA_VAZAO[qnat])</f>
        <v>5418</v>
      </c>
      <c r="U37" s="210">
        <f ca="1">SUMPRODUCT((TABELA_VAZAO[Posto]=U$2)*1,(TABELA_VAZAO[Data]=$A37)*1,TABELA_VAZAO[qnat])</f>
        <v>560</v>
      </c>
      <c r="V37" s="210">
        <f ca="1">SUMPRODUCT((TABELA_VAZAO[Posto]=V$2)*1,(TABELA_VAZAO[Data]=$A37)*1,TABELA_VAZAO[qnat])</f>
        <v>4391</v>
      </c>
      <c r="W37" s="210">
        <f ca="1">SUMPRODUCT((TABELA_VAZAO[Posto]=W$2)*1,(TABELA_VAZAO[Data]=$A37)*1,TABELA_VAZAO[qnat])</f>
        <v>9288</v>
      </c>
      <c r="X37" s="43">
        <f ca="1">SUMPRODUCT((TABELA_VAZAO[Posto]=X$2)*1,(TABELA_VAZAO[Data]=$A37)*1,TABELA_VAZAO[qnat])</f>
        <v>0</v>
      </c>
      <c r="Y37" s="210">
        <f ca="1">SUMPRODUCT((TABELA_VAZAO[Posto]=Y$2)*1,(TABELA_VAZAO[Data]=$A37)*1,TABELA_VAZAO[qnat])</f>
        <v>1781</v>
      </c>
      <c r="Z37" s="210">
        <f ca="1">SUMPRODUCT((TABELA_VAZAO[Posto]=Z$2)*1,(TABELA_VAZAO[Data]=$A37)*1,TABELA_VAZAO[qnat])</f>
        <v>2712</v>
      </c>
      <c r="AA37" s="210">
        <f ca="1">SUMPRODUCT((TABELA_VAZAO[Posto]=AA$2)*1,(TABELA_VAZAO[Data]=$A37)*1,TABELA_VAZAO[qnat])</f>
        <v>63</v>
      </c>
      <c r="AB37" s="210">
        <f ca="1">SUMPRODUCT((TABELA_VAZAO[Posto]=AB$2)*1,(TABELA_VAZAO[Data]=$A37)*1,TABELA_VAZAO[qnat])</f>
        <v>153</v>
      </c>
      <c r="AC37" s="210">
        <f ca="1">SUMPRODUCT((TABELA_VAZAO[Posto]=AC$2)*1,(TABELA_VAZAO[Data]=$A37)*1,TABELA_VAZAO[qnat])</f>
        <v>172</v>
      </c>
      <c r="AE37" s="272">
        <f ca="1">Propagações_TOT_TIETE!$X37</f>
        <v>801</v>
      </c>
    </row>
    <row r="38" spans="1:31" ht="13.5" thickBot="1" x14ac:dyDescent="0.25">
      <c r="A38" s="55">
        <f ca="1">_data</f>
        <v>43837</v>
      </c>
      <c r="B38" s="53"/>
      <c r="C38" s="53"/>
      <c r="D38" s="52"/>
      <c r="E38" s="67" t="e">
        <f ca="1">INDEX(RESULTADOS!$A:$BA,MATCH($A38,RESULTADOS!$A:$A,0),MATCH(E$1,RESULTADOS!$1:$1,0))</f>
        <v>#N/A</v>
      </c>
      <c r="F38" s="67" t="e">
        <f ca="1">INDEX(RESULTADOS!$A:$BA,MATCH($A38,RESULTADOS!$A:$A,0),MATCH(F$1,RESULTADOS!$1:$1,0))</f>
        <v>#N/A</v>
      </c>
      <c r="G38" s="67" t="e">
        <f ca="1">INDEX(RESULTADOS!$A:$BA,MATCH($A38,RESULTADOS!$A:$A,0),MATCH(G$1,RESULTADOS!$1:$1,0))</f>
        <v>#N/A</v>
      </c>
      <c r="H38" s="67" t="e">
        <f ca="1">INDEX(RESULTADOS!$A:$BA,MATCH($A38,RESULTADOS!$A:$A,0),MATCH(H$1,RESULTADOS!$1:$1,0))</f>
        <v>#N/A</v>
      </c>
      <c r="I38" s="67" t="e">
        <f ca="1">INDEX(RESULTADOS!$A:$BA,MATCH($A38,RESULTADOS!$A:$A,0),MATCH(I$1,RESULTADOS!$1:$1,0))</f>
        <v>#N/A</v>
      </c>
      <c r="J38" s="51" t="e">
        <f t="shared" ref="J38:J73" ca="1" si="2">((48-$H$3)*H37+($H$3-24)*H36)/24+((48-$G$3)*G37+($G$3-24)*G36)/24+((48-$F$3)*F37+($F$3-24)*F36)/24+((48-$E$3)*E37+($E$3-24)*E36)/24+I38</f>
        <v>#N/A</v>
      </c>
      <c r="K38" s="43"/>
      <c r="L38" s="43"/>
      <c r="M38" s="211" t="e">
        <f ca="1">Propagações_TOT_PARANAPANEMA!AB38</f>
        <v>#N/A</v>
      </c>
      <c r="N38" s="213">
        <f ca="1">INDEX(PREVS_SMAP!$D$132:$J$134,MATCH(Propagações_TOT_ITAIPU!N$2,PREVS_SMAP!$A$132:$A$134,0),MATCH(Propagações_TOT_ITAIPU!$A38,PREVS_SMAP!$D$131:$J$131,0))</f>
        <v>890.42857142857144</v>
      </c>
      <c r="O38" s="213">
        <f ca="1">INDEX(PREVS_SMAP!$D$132:$J$134,MATCH(Propagações_TOT_ITAIPU!O$2,PREVS_SMAP!$A$132:$A$134,0),MATCH(Propagações_TOT_ITAIPU!$A38,PREVS_SMAP!$D$131:$J$131,0))</f>
        <v>563</v>
      </c>
      <c r="P38" s="213">
        <f ca="1">INDEX(PREVS_SMAP!$D$132:$J$135,MATCH(Propagações_TOT_ITAIPU!P$2,PREVS_SMAP!$A$132:$A$135,0),MATCH(Propagações_TOT_ITAIPU!$A38,PREVS_SMAP!$D$131:$J$131,0))</f>
        <v>27.857142857142858</v>
      </c>
      <c r="Q38" s="213">
        <f ca="1">INDEX(PREVS_SMAP!$D$132:$J$134,MATCH(Propagações_TOT_ITAIPU!Q$2,PREVS_SMAP!$A$132:$A$134,0),MATCH(Propagações_TOT_ITAIPU!$A38,PREVS_SMAP!$D$131:$J$131,0))</f>
        <v>435.14285714285717</v>
      </c>
      <c r="R38" s="211" t="e">
        <f t="shared" ref="R38:R48" ca="1" si="3">J38</f>
        <v>#N/A</v>
      </c>
      <c r="S38" s="214">
        <f t="shared" ref="S38:S48" ca="1" si="4">N38+T36</f>
        <v>5973.4285714285716</v>
      </c>
      <c r="T38" s="214" t="e">
        <f t="shared" ref="T38:T48" ca="1" si="5">((24-$U$3)*U38+($U$3-0)*U37)/24 + ((24-$V$3)*V38+($V$3-0)*V37)/24 + O38</f>
        <v>#N/A</v>
      </c>
      <c r="U38" s="215">
        <f ca="1">P38 + ((48-$AE$3)*AE37+($AE$3-24)*AE36)/24</f>
        <v>676.60714285714289</v>
      </c>
      <c r="V38" s="214" t="e">
        <f t="shared" ref="V38:V48" ca="1" si="6">Q38+((48-$AC$3)*AC37+($AC$3-24)*AC36)/24+((48-$AB$3)*AB37+($AB$3-24)*AB36)/24+((48-$AA$3)*AA37+($AA$3-24)*AA36)/24+((48-$Z$3)*Z37+($Z$3-24)*Z36)/24+((24-$Y$3)*Y38+($Y$3-0)*Y37)/24</f>
        <v>#N/A</v>
      </c>
      <c r="W38" s="214" t="e">
        <f ca="1">((72-$M$3)*M36+($M$3-48)*M35)/24 + ((72-$S$3)*S36+($S$3-48)*S35)/24 + R38</f>
        <v>#N/A</v>
      </c>
      <c r="X38" s="212"/>
      <c r="Y38" s="211" t="e">
        <f ca="1">Propagações_TOT_GRANDE!AP38</f>
        <v>#N/A</v>
      </c>
      <c r="Z38" s="211" t="e">
        <f ca="1">Propagações_TOT_PARANAIBA!AJ38</f>
        <v>#N/A</v>
      </c>
      <c r="AA38" s="215">
        <f ca="1">IFERROR(INDEX(PREVS_SMAP!$AU$28:$BA$347,MATCH(Propagações_TOT_ITAIPU!AA$2,PREVS_SMAP!$R$28:$R$347,0),MATCH(Propagações_TOT_ITAIPU!$A38,PREVS_SMAP!$AU$27:$BA$27,0)),INDEX(INDIRECT("PREVIVAZ!$C$"&amp;$AA$2+1&amp;":$N$"&amp;$AA$2+1&amp;""),1,MATCH($A38,PREVIVAZ!$C$1:$N$1,1)))</f>
        <v>62.714285714285715</v>
      </c>
      <c r="AB38" s="215">
        <f ca="1">IFERROR(INDEX(PREVS_SMAP!$AU$28:$BA$347,MATCH(Propagações_TOT_ITAIPU!AB$2,PREVS_SMAP!$R$28:$R$347,0),MATCH(Propagações_TOT_ITAIPU!$A38,PREVS_SMAP!$AU$27:$BA$27,0)),INDEX(INDIRECT("PREVIVAZ!$C$"&amp;AB$2+1&amp;":$N$"&amp;AB$2+1&amp;""),1,MATCH($A38,PREVIVAZ!$C$1:$N$1,1)))</f>
        <v>151.28571428571428</v>
      </c>
      <c r="AC38" s="215">
        <f ca="1">IFERROR(INDEX(PREVS_SMAP!$AU$28:$BA$347,MATCH(Propagações_TOT_ITAIPU!AC$2,PREVS_SMAP!$R$28:$R$347,0),MATCH(Propagações_TOT_ITAIPU!$A38,PREVS_SMAP!$AU$27:$BA$27,0)),INDEX(INDIRECT("PREVIVAZ!$C$"&amp;AC$2+1&amp;":$N$"&amp;AC$2+1&amp;""),1,MATCH($A38,PREVIVAZ!$C$1:$N$1,1)))</f>
        <v>174.28571428571428</v>
      </c>
      <c r="AE38" s="272" t="e">
        <f ca="1">Propagações_TOT_TIETE!$X38</f>
        <v>#N/A</v>
      </c>
    </row>
    <row r="39" spans="1:31" x14ac:dyDescent="0.2">
      <c r="A39" s="49">
        <f ca="1">A38+1</f>
        <v>43838</v>
      </c>
      <c r="B39" s="53"/>
      <c r="C39" s="53"/>
      <c r="D39" s="52"/>
      <c r="E39" s="67" t="e">
        <f ca="1">INDEX(RESULTADOS!$A:$BA,MATCH($A39,RESULTADOS!$A:$A,0),MATCH(E$1,RESULTADOS!$1:$1,0))</f>
        <v>#N/A</v>
      </c>
      <c r="F39" s="67" t="e">
        <f ca="1">INDEX(RESULTADOS!$A:$BA,MATCH($A39,RESULTADOS!$A:$A,0),MATCH(F$1,RESULTADOS!$1:$1,0))</f>
        <v>#N/A</v>
      </c>
      <c r="G39" s="67" t="e">
        <f ca="1">INDEX(RESULTADOS!$A:$BA,MATCH($A39,RESULTADOS!$A:$A,0),MATCH(G$1,RESULTADOS!$1:$1,0))</f>
        <v>#N/A</v>
      </c>
      <c r="H39" s="67" t="e">
        <f ca="1">INDEX(RESULTADOS!$A:$BA,MATCH($A39,RESULTADOS!$A:$A,0),MATCH(H$1,RESULTADOS!$1:$1,0))</f>
        <v>#N/A</v>
      </c>
      <c r="I39" s="67" t="e">
        <f ca="1">INDEX(RESULTADOS!$A:$BA,MATCH($A39,RESULTADOS!$A:$A,0),MATCH(I$1,RESULTADOS!$1:$1,0))</f>
        <v>#N/A</v>
      </c>
      <c r="J39" s="51" t="e">
        <f t="shared" ca="1" si="2"/>
        <v>#N/A</v>
      </c>
      <c r="K39" s="43"/>
      <c r="L39" s="42"/>
      <c r="M39" s="211" t="e">
        <f ca="1">Propagações_TOT_PARANAPANEMA!AB39</f>
        <v>#N/A</v>
      </c>
      <c r="N39" s="213">
        <f ca="1">INDEX(PREVS_SMAP!$D$132:$J$134,MATCH(Propagações_TOT_ITAIPU!N$2,PREVS_SMAP!$A$132:$A$134,0),MATCH(Propagações_TOT_ITAIPU!$A39,PREVS_SMAP!$D$131:$J$131,0))</f>
        <v>915.51769315161971</v>
      </c>
      <c r="O39" s="213">
        <f ca="1">INDEX(PREVS_SMAP!$D$132:$J$134,MATCH(Propagações_TOT_ITAIPU!O$2,PREVS_SMAP!$A$132:$A$134,0),MATCH(Propagações_TOT_ITAIPU!$A39,PREVS_SMAP!$D$131:$J$131,0))</f>
        <v>573.72512073657026</v>
      </c>
      <c r="P39" s="213">
        <f ca="1">INDEX(PREVS_SMAP!$D$132:$J$135,MATCH(Propagações_TOT_ITAIPU!P$2,PREVS_SMAP!$A$132:$A$135,0),MATCH(Propagações_TOT_ITAIPU!$A39,PREVS_SMAP!$D$131:$J$131,0))</f>
        <v>27.761382850566338</v>
      </c>
      <c r="Q39" s="213">
        <f ca="1">INDEX(PREVS_SMAP!$D$132:$J$134,MATCH(Propagações_TOT_ITAIPU!Q$2,PREVS_SMAP!$A$132:$A$134,0),MATCH(Propagações_TOT_ITAIPU!$A39,PREVS_SMAP!$D$131:$J$131,0))</f>
        <v>433.22765701132676</v>
      </c>
      <c r="R39" s="211" t="e">
        <f t="shared" ca="1" si="3"/>
        <v>#N/A</v>
      </c>
      <c r="S39" s="214">
        <f t="shared" ca="1" si="4"/>
        <v>6333.5176931516198</v>
      </c>
      <c r="T39" s="214" t="e">
        <f t="shared" ca="1" si="5"/>
        <v>#N/A</v>
      </c>
      <c r="U39" s="215" t="e">
        <f t="shared" ref="U39:U48" ca="1" si="7">P39 + ((48-$AE$3)*AE38+($AE$3-24)*AE37)/24</f>
        <v>#N/A</v>
      </c>
      <c r="V39" s="214" t="e">
        <f t="shared" ca="1" si="6"/>
        <v>#N/A</v>
      </c>
      <c r="W39" s="214" t="e">
        <f t="shared" ref="W39:W48" ca="1" si="8">((72-$M$3)*M37+($M$3-48)*M36)/24 + ((72-$S$3)*S37+($S$3-48)*S36)/24 + R39</f>
        <v>#N/A</v>
      </c>
      <c r="X39" s="216"/>
      <c r="Y39" s="211" t="e">
        <f ca="1">Propagações_TOT_GRANDE!AP39</f>
        <v>#N/A</v>
      </c>
      <c r="Z39" s="211" t="e">
        <f ca="1">Propagações_TOT_PARANAIBA!AJ39</f>
        <v>#N/A</v>
      </c>
      <c r="AA39" s="215">
        <f ca="1">IFERROR(INDEX(PREVS_SMAP!$AU$28:$BA$347,MATCH(Propagações_TOT_ITAIPU!AA$2,PREVS_SMAP!$R$28:$R$347,0),MATCH(Propagações_TOT_ITAIPU!$A39,PREVS_SMAP!$AU$27:$BA$27,0)),INDEX(INDIRECT("PREVIVAZ!$C$"&amp;$AA$2+1&amp;":$N$"&amp;$AA$2+1&amp;""),1,MATCH($A39,PREVIVAZ!$C$1:$N$1,1)))</f>
        <v>62.522765701132677</v>
      </c>
      <c r="AB39" s="215">
        <f ca="1">IFERROR(INDEX(PREVS_SMAP!$AU$28:$BA$347,MATCH(Propagações_TOT_ITAIPU!AB$2,PREVS_SMAP!$R$28:$R$347,0),MATCH(Propagações_TOT_ITAIPU!$A39,PREVS_SMAP!$AU$27:$BA$27,0)),INDEX(INDIRECT("PREVIVAZ!$C$"&amp;AB$2+1&amp;":$N$"&amp;AB$2+1&amp;""),1,MATCH($A39,PREVIVAZ!$C$1:$N$1,1)))</f>
        <v>150.13659420679605</v>
      </c>
      <c r="AC39" s="215">
        <f ca="1">IFERROR(INDEX(PREVS_SMAP!$AU$28:$BA$347,MATCH(Propagações_TOT_ITAIPU!AC$2,PREVS_SMAP!$R$28:$R$347,0),MATCH(Propagações_TOT_ITAIPU!$A39,PREVS_SMAP!$AU$27:$BA$27,0)),INDEX(INDIRECT("PREVIVAZ!$C$"&amp;AC$2+1&amp;":$N$"&amp;AC$2+1&amp;""),1,MATCH($A39,PREVIVAZ!$C$1:$N$1,1)))</f>
        <v>175.81787439093858</v>
      </c>
      <c r="AE39" s="272" t="e">
        <f ca="1">Propagações_TOT_TIETE!$X39</f>
        <v>#N/A</v>
      </c>
    </row>
    <row r="40" spans="1:31" x14ac:dyDescent="0.2">
      <c r="A40" s="82">
        <f t="shared" ref="A40:A103" ca="1" si="9">A39+1</f>
        <v>43839</v>
      </c>
      <c r="B40" s="87"/>
      <c r="C40" s="87"/>
      <c r="D40" s="88"/>
      <c r="E40" s="67" t="e">
        <f ca="1">INDEX(RESULTADOS!$A:$BA,MATCH($A40,RESULTADOS!$A:$A,0),MATCH(E$1,RESULTADOS!$1:$1,0))</f>
        <v>#N/A</v>
      </c>
      <c r="F40" s="67" t="e">
        <f ca="1">INDEX(RESULTADOS!$A:$BA,MATCH($A40,RESULTADOS!$A:$A,0),MATCH(F$1,RESULTADOS!$1:$1,0))</f>
        <v>#N/A</v>
      </c>
      <c r="G40" s="67" t="e">
        <f ca="1">INDEX(RESULTADOS!$A:$BA,MATCH($A40,RESULTADOS!$A:$A,0),MATCH(G$1,RESULTADOS!$1:$1,0))</f>
        <v>#N/A</v>
      </c>
      <c r="H40" s="67" t="e">
        <f ca="1">INDEX(RESULTADOS!$A:$BA,MATCH($A40,RESULTADOS!$A:$A,0),MATCH(H$1,RESULTADOS!$1:$1,0))</f>
        <v>#N/A</v>
      </c>
      <c r="I40" s="67" t="e">
        <f ca="1">INDEX(RESULTADOS!$A:$BA,MATCH($A40,RESULTADOS!$A:$A,0),MATCH(I$1,RESULTADOS!$1:$1,0))</f>
        <v>#N/A</v>
      </c>
      <c r="J40" s="83" t="e">
        <f ca="1">((48-$H$3)*H39+($H$3-24)*H38)/24+((48-$G$3)*G39+($G$3-24)*G38)/24+((48-$F$3)*F39+($F$3-24)*F38)/24+((48-$E$3)*E39+($E$3-24)*E38)/24+I40</f>
        <v>#N/A</v>
      </c>
      <c r="K40" s="85"/>
      <c r="L40" s="86"/>
      <c r="M40" s="211" t="e">
        <f ca="1">Propagações_TOT_PARANAPANEMA!AB40</f>
        <v>#N/A</v>
      </c>
      <c r="N40" s="213">
        <f ca="1">INDEX(PREVS_SMAP!$D$132:$J$134,MATCH(Propagações_TOT_ITAIPU!N$2,PREVS_SMAP!$A$132:$A$134,0),MATCH(Propagações_TOT_ITAIPU!$A40,PREVS_SMAP!$D$131:$J$131,0))</f>
        <v>950.82119429823229</v>
      </c>
      <c r="O40" s="213">
        <f ca="1">INDEX(PREVS_SMAP!$D$132:$J$134,MATCH(Propagações_TOT_ITAIPU!O$2,PREVS_SMAP!$A$132:$A$134,0),MATCH(Propagações_TOT_ITAIPU!$A40,PREVS_SMAP!$D$131:$J$131,0))</f>
        <v>582.89302962367185</v>
      </c>
      <c r="P40" s="213">
        <f ca="1">INDEX(PREVS_SMAP!$D$132:$J$135,MATCH(Propagações_TOT_ITAIPU!P$2,PREVS_SMAP!$A$132:$A$135,0),MATCH(Propagações_TOT_ITAIPU!$A40,PREVS_SMAP!$D$131:$J$131,0))</f>
        <v>27.67952652121722</v>
      </c>
      <c r="Q40" s="213">
        <f ca="1">INDEX(PREVS_SMAP!$D$132:$J$134,MATCH(Propagações_TOT_ITAIPU!Q$2,PREVS_SMAP!$A$132:$A$134,0),MATCH(Propagações_TOT_ITAIPU!$A40,PREVS_SMAP!$D$131:$J$131,0))</f>
        <v>431.4476732814872</v>
      </c>
      <c r="R40" s="211" t="e">
        <f t="shared" ca="1" si="3"/>
        <v>#N/A</v>
      </c>
      <c r="S40" s="217" t="e">
        <f t="shared" ca="1" si="4"/>
        <v>#N/A</v>
      </c>
      <c r="T40" s="217" t="e">
        <f t="shared" ca="1" si="5"/>
        <v>#N/A</v>
      </c>
      <c r="U40" s="215" t="e">
        <f t="shared" ca="1" si="7"/>
        <v>#N/A</v>
      </c>
      <c r="V40" s="214" t="e">
        <f t="shared" ca="1" si="6"/>
        <v>#N/A</v>
      </c>
      <c r="W40" s="214" t="e">
        <f t="shared" ca="1" si="8"/>
        <v>#N/A</v>
      </c>
      <c r="X40" s="218"/>
      <c r="Y40" s="211" t="e">
        <f ca="1">Propagações_TOT_GRANDE!AP40</f>
        <v>#N/A</v>
      </c>
      <c r="Z40" s="211" t="e">
        <f ca="1">Propagações_TOT_PARANAIBA!AJ40</f>
        <v>#N/A</v>
      </c>
      <c r="AA40" s="215">
        <f ca="1">IFERROR(INDEX(PREVS_SMAP!$AU$28:$BA$347,MATCH(Propagações_TOT_ITAIPU!AA$2,PREVS_SMAP!$R$28:$R$347,0),MATCH(Propagações_TOT_ITAIPU!$A40,PREVS_SMAP!$AU$27:$BA$27,0)),INDEX(INDIRECT("PREVIVAZ!$C$"&amp;$AA$2+1&amp;":$N$"&amp;$AA$2+1&amp;""),1,MATCH($A40,PREVIVAZ!$C$1:$N$1,1)))</f>
        <v>62.394385997099185</v>
      </c>
      <c r="AB40" s="215">
        <f ca="1">IFERROR(INDEX(PREVS_SMAP!$AU$28:$BA$347,MATCH(Propagações_TOT_ITAIPU!AB$2,PREVS_SMAP!$R$28:$R$347,0),MATCH(Propagações_TOT_ITAIPU!$A40,PREVS_SMAP!$AU$27:$BA$27,0)),INDEX(INDIRECT("PREVIVAZ!$C$"&amp;AB$2+1&amp;":$N$"&amp;AB$2+1&amp;""),1,MATCH($A40,PREVIVAZ!$C$1:$N$1,1)))</f>
        <v>149.3663159825951</v>
      </c>
      <c r="AC40" s="215">
        <f ca="1">IFERROR(INDEX(PREVS_SMAP!$AU$28:$BA$347,MATCH(Propagações_TOT_ITAIPU!AC$2,PREVS_SMAP!$R$28:$R$347,0),MATCH(Propagações_TOT_ITAIPU!$A40,PREVS_SMAP!$AU$27:$BA$27,0)),INDEX(INDIRECT("PREVIVAZ!$C$"&amp;AC$2+1&amp;":$N$"&amp;AC$2+1&amp;""),1,MATCH($A40,PREVIVAZ!$C$1:$N$1,1)))</f>
        <v>176.84491202320652</v>
      </c>
      <c r="AE40" s="272" t="e">
        <f ca="1">Propagações_TOT_TIETE!$X40</f>
        <v>#N/A</v>
      </c>
    </row>
    <row r="41" spans="1:31" x14ac:dyDescent="0.2">
      <c r="A41" s="49">
        <f t="shared" ca="1" si="9"/>
        <v>43840</v>
      </c>
      <c r="B41" s="68"/>
      <c r="C41" s="68"/>
      <c r="D41" s="33"/>
      <c r="E41" s="67" t="e">
        <f ca="1">INDEX(RESULTADOS!$A:$BA,MATCH($A41,RESULTADOS!$A:$A,0),MATCH(E$1,RESULTADOS!$1:$1,0))</f>
        <v>#N/A</v>
      </c>
      <c r="F41" s="67" t="e">
        <f ca="1">INDEX(RESULTADOS!$A:$BA,MATCH($A41,RESULTADOS!$A:$A,0),MATCH(F$1,RESULTADOS!$1:$1,0))</f>
        <v>#N/A</v>
      </c>
      <c r="G41" s="67" t="e">
        <f ca="1">INDEX(RESULTADOS!$A:$BA,MATCH($A41,RESULTADOS!$A:$A,0),MATCH(G$1,RESULTADOS!$1:$1,0))</f>
        <v>#N/A</v>
      </c>
      <c r="H41" s="67" t="e">
        <f ca="1">INDEX(RESULTADOS!$A:$BA,MATCH($A41,RESULTADOS!$A:$A,0),MATCH(H$1,RESULTADOS!$1:$1,0))</f>
        <v>#N/A</v>
      </c>
      <c r="I41" s="67" t="e">
        <f ca="1">INDEX(RESULTADOS!$A:$BA,MATCH($A41,RESULTADOS!$A:$A,0),MATCH(I$1,RESULTADOS!$1:$1,0))</f>
        <v>#N/A</v>
      </c>
      <c r="J41" s="51" t="e">
        <f t="shared" ca="1" si="2"/>
        <v>#N/A</v>
      </c>
      <c r="K41" s="43"/>
      <c r="L41" s="43"/>
      <c r="M41" s="211" t="e">
        <f ca="1">Propagações_TOT_PARANAPANEMA!AB41</f>
        <v>#N/A</v>
      </c>
      <c r="N41" s="213">
        <f ca="1">INDEX(PREVS_SMAP!$D$132:$J$134,MATCH(Propagações_TOT_ITAIPU!N$2,PREVS_SMAP!$A$132:$A$134,0),MATCH(Propagações_TOT_ITAIPU!$A41,PREVS_SMAP!$D$131:$J$131,0))</f>
        <v>986.12469544484486</v>
      </c>
      <c r="O41" s="213">
        <f ca="1">INDEX(PREVS_SMAP!$D$132:$J$134,MATCH(Propagações_TOT_ITAIPU!O$2,PREVS_SMAP!$A$132:$A$134,0),MATCH(Propagações_TOT_ITAIPU!$A41,PREVS_SMAP!$D$131:$J$131,0))</f>
        <v>592.06093851077344</v>
      </c>
      <c r="P41" s="213">
        <f ca="1">INDEX(PREVS_SMAP!$D$132:$J$135,MATCH(Propagações_TOT_ITAIPU!P$2,PREVS_SMAP!$A$132:$A$135,0),MATCH(Propagações_TOT_ITAIPU!$A41,PREVS_SMAP!$D$131:$J$131,0))</f>
        <v>27.597670191868101</v>
      </c>
      <c r="Q41" s="213">
        <f ca="1">INDEX(PREVS_SMAP!$D$132:$J$134,MATCH(Propagações_TOT_ITAIPU!Q$2,PREVS_SMAP!$A$132:$A$134,0),MATCH(Propagações_TOT_ITAIPU!$A41,PREVS_SMAP!$D$131:$J$131,0))</f>
        <v>429.66768955164764</v>
      </c>
      <c r="R41" s="211" t="e">
        <f t="shared" ca="1" si="3"/>
        <v>#N/A</v>
      </c>
      <c r="S41" s="214" t="e">
        <f t="shared" ca="1" si="4"/>
        <v>#N/A</v>
      </c>
      <c r="T41" s="219" t="e">
        <f t="shared" ca="1" si="5"/>
        <v>#N/A</v>
      </c>
      <c r="U41" s="215" t="e">
        <f t="shared" ca="1" si="7"/>
        <v>#N/A</v>
      </c>
      <c r="V41" s="214" t="e">
        <f t="shared" ca="1" si="6"/>
        <v>#N/A</v>
      </c>
      <c r="W41" s="214" t="e">
        <f ca="1">((72-$M$3)*M39+($M$3-48)*M38)/24 + ((72-$S$3)*S39+($S$3-48)*S38)/24 + R41</f>
        <v>#N/A</v>
      </c>
      <c r="X41" s="220"/>
      <c r="Y41" s="211" t="e">
        <f ca="1">Propagações_TOT_GRANDE!AP41</f>
        <v>#N/A</v>
      </c>
      <c r="Z41" s="211" t="e">
        <f ca="1">Propagações_TOT_PARANAIBA!AJ41</f>
        <v>#N/A</v>
      </c>
      <c r="AA41" s="215">
        <f ca="1">IFERROR(INDEX(PREVS_SMAP!$AU$28:$BA$347,MATCH(Propagações_TOT_ITAIPU!AA$2,PREVS_SMAP!$R$28:$R$347,0),MATCH(Propagações_TOT_ITAIPU!$A41,PREVS_SMAP!$AU$27:$BA$27,0)),INDEX(INDIRECT("PREVIVAZ!$C$"&amp;$AA$2+1&amp;":$N$"&amp;$AA$2+1&amp;""),1,MATCH($A41,PREVIVAZ!$C$1:$N$1,1)))</f>
        <v>62.308330507981417</v>
      </c>
      <c r="AB41" s="215">
        <f ca="1">IFERROR(INDEX(PREVS_SMAP!$AU$28:$BA$347,MATCH(Propagações_TOT_ITAIPU!AB$2,PREVS_SMAP!$R$28:$R$347,0),MATCH(Propagações_TOT_ITAIPU!$A41,PREVS_SMAP!$AU$27:$BA$27,0)),INDEX(INDIRECT("PREVIVAZ!$C$"&amp;AB$2+1&amp;":$N$"&amp;AB$2+1&amp;""),1,MATCH($A41,PREVIVAZ!$C$1:$N$1,1)))</f>
        <v>148.84998304788846</v>
      </c>
      <c r="AC41" s="215">
        <f ca="1">IFERROR(INDEX(PREVS_SMAP!$AU$28:$BA$347,MATCH(Propagações_TOT_ITAIPU!AC$2,PREVS_SMAP!$R$28:$R$347,0),MATCH(Propagações_TOT_ITAIPU!$A41,PREVS_SMAP!$AU$27:$BA$27,0)),INDEX(INDIRECT("PREVIVAZ!$C$"&amp;AC$2+1&amp;":$N$"&amp;AC$2+1&amp;""),1,MATCH($A41,PREVIVAZ!$C$1:$N$1,1)))</f>
        <v>177.53335593614869</v>
      </c>
      <c r="AE41" s="272" t="e">
        <f ca="1">Propagações_TOT_TIETE!$X41</f>
        <v>#N/A</v>
      </c>
    </row>
    <row r="42" spans="1:31" x14ac:dyDescent="0.2">
      <c r="A42" s="49">
        <f t="shared" ca="1" si="9"/>
        <v>43841</v>
      </c>
      <c r="B42" s="68"/>
      <c r="C42" s="68"/>
      <c r="D42" s="33"/>
      <c r="E42" s="67" t="e">
        <f ca="1">INDEX(RESULTADOS!$A:$BA,MATCH($A42,RESULTADOS!$A:$A,0),MATCH(E$1,RESULTADOS!$1:$1,0))</f>
        <v>#N/A</v>
      </c>
      <c r="F42" s="67" t="e">
        <f ca="1">INDEX(RESULTADOS!$A:$BA,MATCH($A42,RESULTADOS!$A:$A,0),MATCH(F$1,RESULTADOS!$1:$1,0))</f>
        <v>#N/A</v>
      </c>
      <c r="G42" s="67" t="e">
        <f ca="1">INDEX(RESULTADOS!$A:$BA,MATCH($A42,RESULTADOS!$A:$A,0),MATCH(G$1,RESULTADOS!$1:$1,0))</f>
        <v>#N/A</v>
      </c>
      <c r="H42" s="67" t="e">
        <f ca="1">INDEX(RESULTADOS!$A:$BA,MATCH($A42,RESULTADOS!$A:$A,0),MATCH(H$1,RESULTADOS!$1:$1,0))</f>
        <v>#N/A</v>
      </c>
      <c r="I42" s="67" t="e">
        <f ca="1">INDEX(RESULTADOS!$A:$BA,MATCH($A42,RESULTADOS!$A:$A,0),MATCH(I$1,RESULTADOS!$1:$1,0))</f>
        <v>#N/A</v>
      </c>
      <c r="J42" s="51" t="e">
        <f t="shared" ca="1" si="2"/>
        <v>#N/A</v>
      </c>
      <c r="K42" s="43"/>
      <c r="L42" s="43"/>
      <c r="M42" s="211" t="e">
        <f ca="1">Propagações_TOT_PARANAPANEMA!AB42</f>
        <v>#N/A</v>
      </c>
      <c r="N42" s="213" t="e">
        <f ca="1">INDEX(PREVS_SMAP!$D$132:$Q$135,MATCH(Propagações_TOT_ITAIPU!N$2,PREVS_SMAP!$A$132:$A$135,0),MATCH(Propagações_TOT_ITAIPU!$A42,PREVS_SMAP!$D$131:$Q$131,0))</f>
        <v>#N/A</v>
      </c>
      <c r="O42" s="213" t="e">
        <f ca="1">INDEX(PREVS_SMAP!$D$132:$Q$135,MATCH(Propagações_TOT_ITAIPU!O$2,PREVS_SMAP!$A$132:$A$135,0),MATCH(Propagações_TOT_ITAIPU!$A42,PREVS_SMAP!$D$131:$Q$131,0))</f>
        <v>#N/A</v>
      </c>
      <c r="P42" s="213" t="e">
        <f ca="1">INDEX(PREVS_SMAP!$D$132:$Q$135,MATCH(Propagações_TOT_ITAIPU!P$2,PREVS_SMAP!$A$132:$A$135,0),MATCH(Propagações_TOT_ITAIPU!$A42,PREVS_SMAP!$D$131:$Q$131,0))</f>
        <v>#N/A</v>
      </c>
      <c r="Q42" s="213" t="e">
        <f ca="1">INDEX(PREVS_SMAP!$D$132:$Q$135,MATCH(Propagações_TOT_ITAIPU!Q$2,PREVS_SMAP!$A$132:$A$135,0),MATCH(Propagações_TOT_ITAIPU!$A42,PREVS_SMAP!$D$131:$Q$131,0))</f>
        <v>#N/A</v>
      </c>
      <c r="R42" s="211" t="e">
        <f t="shared" ca="1" si="3"/>
        <v>#N/A</v>
      </c>
      <c r="S42" s="214" t="e">
        <f t="shared" ca="1" si="4"/>
        <v>#N/A</v>
      </c>
      <c r="T42" s="219" t="e">
        <f t="shared" ca="1" si="5"/>
        <v>#N/A</v>
      </c>
      <c r="U42" s="215" t="e">
        <f t="shared" ca="1" si="7"/>
        <v>#N/A</v>
      </c>
      <c r="V42" s="214" t="e">
        <f t="shared" ca="1" si="6"/>
        <v>#N/A</v>
      </c>
      <c r="W42" s="214" t="e">
        <f t="shared" ca="1" si="8"/>
        <v>#N/A</v>
      </c>
      <c r="X42" s="220"/>
      <c r="Y42" s="211" t="e">
        <f ca="1">Propagações_TOT_GRANDE!AP42</f>
        <v>#N/A</v>
      </c>
      <c r="Z42" s="211" t="e">
        <f ca="1">Propagações_TOT_PARANAIBA!AJ42</f>
        <v>#N/A</v>
      </c>
      <c r="AA42" s="215" t="e">
        <f ca="1">IFERROR(INDEX(PREVS_SMAP!$AU$28:$BA$347,MATCH(Propagações_TOT_ITAIPU!AA$2,PREVS_SMAP!$R$28:$R$347,0),MATCH(Propagações_TOT_ITAIPU!$A42,PREVS_SMAP!$AU$27:$BA$27,0)),INDEX(INDIRECT("PREVIVAZ!$C$"&amp;$AA$2+1&amp;":$N$"&amp;$AA$2+1&amp;""),1,MATCH($A42,PREVIVAZ!$C$1:$N$1,1)))</f>
        <v>#N/A</v>
      </c>
      <c r="AB42" s="215" t="e">
        <f ca="1">IFERROR(INDEX(PREVS_SMAP!$AU$28:$BA$347,MATCH(Propagações_TOT_ITAIPU!AB$2,PREVS_SMAP!$R$28:$R$347,0),MATCH(Propagações_TOT_ITAIPU!$A42,PREVS_SMAP!$AU$27:$BA$27,0)),INDEX(INDIRECT("PREVIVAZ!$C$"&amp;AB$2+1&amp;":$N$"&amp;AB$2+1&amp;""),1,MATCH($A42,PREVIVAZ!$C$1:$N$1,1)))</f>
        <v>#N/A</v>
      </c>
      <c r="AC42" s="215" t="e">
        <f ca="1">IFERROR(INDEX(PREVS_SMAP!$AU$28:$BA$347,MATCH(Propagações_TOT_ITAIPU!AC$2,PREVS_SMAP!$R$28:$R$347,0),MATCH(Propagações_TOT_ITAIPU!$A42,PREVS_SMAP!$AU$27:$BA$27,0)),INDEX(INDIRECT("PREVIVAZ!$C$"&amp;AC$2+1&amp;":$N$"&amp;AC$2+1&amp;""),1,MATCH($A42,PREVIVAZ!$C$1:$N$1,1)))</f>
        <v>#N/A</v>
      </c>
      <c r="AE42" s="272" t="e">
        <f ca="1">Propagações_TOT_TIETE!$X42</f>
        <v>#N/A</v>
      </c>
    </row>
    <row r="43" spans="1:31" x14ac:dyDescent="0.2">
      <c r="A43" s="49">
        <f t="shared" ca="1" si="9"/>
        <v>43842</v>
      </c>
      <c r="B43" s="68"/>
      <c r="C43" s="68"/>
      <c r="D43" s="33"/>
      <c r="E43" s="67" t="e">
        <f ca="1">INDEX(RESULTADOS!$A:$BA,MATCH($A43,RESULTADOS!$A:$A,0),MATCH(E$1,RESULTADOS!$1:$1,0))</f>
        <v>#N/A</v>
      </c>
      <c r="F43" s="67" t="e">
        <f ca="1">INDEX(RESULTADOS!$A:$BA,MATCH($A43,RESULTADOS!$A:$A,0),MATCH(F$1,RESULTADOS!$1:$1,0))</f>
        <v>#N/A</v>
      </c>
      <c r="G43" s="67" t="e">
        <f ca="1">INDEX(RESULTADOS!$A:$BA,MATCH($A43,RESULTADOS!$A:$A,0),MATCH(G$1,RESULTADOS!$1:$1,0))</f>
        <v>#N/A</v>
      </c>
      <c r="H43" s="67" t="e">
        <f ca="1">INDEX(RESULTADOS!$A:$BA,MATCH($A43,RESULTADOS!$A:$A,0),MATCH(H$1,RESULTADOS!$1:$1,0))</f>
        <v>#N/A</v>
      </c>
      <c r="I43" s="67" t="e">
        <f ca="1">INDEX(RESULTADOS!$A:$BA,MATCH($A43,RESULTADOS!$A:$A,0),MATCH(I$1,RESULTADOS!$1:$1,0))</f>
        <v>#N/A</v>
      </c>
      <c r="J43" s="51" t="e">
        <f t="shared" ca="1" si="2"/>
        <v>#N/A</v>
      </c>
      <c r="K43" s="43"/>
      <c r="L43" s="43"/>
      <c r="M43" s="211" t="e">
        <f ca="1">Propagações_TOT_PARANAPANEMA!AB43</f>
        <v>#N/A</v>
      </c>
      <c r="N43" s="213" t="e">
        <f ca="1">IFERROR(INDEX(PREVS_SMAP!$D$132:$Q$134,MATCH(Propagações_TOT_ITAIPU!N$2,PREVS_SMAP!$A$132:$A$134,0),MATCH(Propagações_TOT_ITAIPU!$A43,PREVS_SMAP!$D$131:$Q$131,0)),INDEX(INDIRECT("PREVIVAZ!$C$"&amp;N$6+1&amp;":$N$"&amp;N$6+1&amp;""),1,MATCH($A43,PREVIVAZ!$C$1:$N$1,1)))</f>
        <v>#N/A</v>
      </c>
      <c r="O43" s="213" t="e">
        <f ca="1">IFERROR(INDEX(PREVS_SMAP!$D$132:$Q$134,MATCH(Propagações_TOT_ITAIPU!O$2,PREVS_SMAP!$A$132:$A$134,0),MATCH(Propagações_TOT_ITAIPU!$A43,PREVS_SMAP!$D$131:$Q$131,0)),INDEX(INDIRECT("PREVIVAZ!$C$"&amp;O$6+1&amp;":$N$"&amp;O$6+1&amp;""),1,MATCH($A43,PREVIVAZ!$C$1:$N$1,1)))</f>
        <v>#N/A</v>
      </c>
      <c r="P43" s="213" t="e">
        <f ca="1">IFERROR(INDEX(PREVS_SMAP!$D$132:$Q$134,MATCH(Propagações_TOT_ITAIPU!P$2,PREVS_SMAP!$A$132:$A$134,0),MATCH(Propagações_TOT_ITAIPU!$A43,PREVS_SMAP!$D$131:$Q$131,0)),INDEX(INDIRECT("PREVIVAZ!$C$"&amp;P$6+1&amp;":$N$"&amp;P$6+1&amp;""),1,MATCH($A43,PREVIVAZ!$C$1:$N$1,1)))</f>
        <v>#N/A</v>
      </c>
      <c r="Q43" s="213" t="e">
        <f ca="1">IFERROR(INDEX(PREVS_SMAP!$D$132:$Q$134,MATCH(Propagações_TOT_ITAIPU!Q$2,PREVS_SMAP!$A$132:$A$134,0),MATCH(Propagações_TOT_ITAIPU!$A43,PREVS_SMAP!$D$131:$Q$131,0)),INDEX(INDIRECT("PREVIVAZ!$C$"&amp;Q$6+1&amp;":$N$"&amp;Q$6+1&amp;""),1,MATCH($A43,PREVIVAZ!$C$1:$N$1,1)))</f>
        <v>#N/A</v>
      </c>
      <c r="R43" s="211" t="e">
        <f t="shared" ca="1" si="3"/>
        <v>#N/A</v>
      </c>
      <c r="S43" s="214" t="e">
        <f t="shared" ca="1" si="4"/>
        <v>#N/A</v>
      </c>
      <c r="T43" s="219" t="e">
        <f t="shared" ca="1" si="5"/>
        <v>#N/A</v>
      </c>
      <c r="U43" s="215" t="e">
        <f t="shared" ca="1" si="7"/>
        <v>#N/A</v>
      </c>
      <c r="V43" s="214" t="e">
        <f t="shared" ca="1" si="6"/>
        <v>#N/A</v>
      </c>
      <c r="W43" s="214" t="e">
        <f t="shared" ca="1" si="8"/>
        <v>#N/A</v>
      </c>
      <c r="X43" s="220"/>
      <c r="Y43" s="211" t="e">
        <f ca="1">Propagações_TOT_GRANDE!AP43</f>
        <v>#N/A</v>
      </c>
      <c r="Z43" s="211" t="e">
        <f ca="1">Propagações_TOT_PARANAIBA!AJ43</f>
        <v>#N/A</v>
      </c>
      <c r="AA43" s="213" t="e">
        <f ca="1">IFERROR(INDEX(PREVS_SMAP!$AU$28:$BA$347,MATCH(Propagações_TOT_ITAIPU!AA$2,PREVS_SMAP!$R$28:$R$347,0),MATCH(Propagações_TOT_ITAIPU!$A43,PREVS_SMAP!$AU$27:$BA$27,0)),INDEX(INDIRECT("PREVIVAZ!$C$"&amp;$AA$2+1&amp;":$N$"&amp;$AA$2+1&amp;""),1,MATCH($A43,PREVIVAZ!$C$1:$N$1,1)))</f>
        <v>#N/A</v>
      </c>
      <c r="AB43" s="213" t="e">
        <f ca="1">IFERROR(INDEX(PREVS_SMAP!$AU$28:$BA$347,MATCH(Propagações_TOT_ITAIPU!AB$2,PREVS_SMAP!$R$28:$R$347,0),MATCH(Propagações_TOT_ITAIPU!$A43,PREVS_SMAP!$AU$27:$BA$27,0)),INDEX(INDIRECT("PREVIVAZ!$C$"&amp;AB$2+1&amp;":$N$"&amp;AB$2+1&amp;""),1,MATCH($A43,PREVIVAZ!$C$1:$N$1,1)))</f>
        <v>#N/A</v>
      </c>
      <c r="AC43" s="213" t="e">
        <f ca="1">IFERROR(INDEX(PREVS_SMAP!$AU$28:$BA$347,MATCH(Propagações_TOT_ITAIPU!AC$2,PREVS_SMAP!$R$28:$R$347,0),MATCH(Propagações_TOT_ITAIPU!$A43,PREVS_SMAP!$AU$27:$BA$27,0)),INDEX(INDIRECT("PREVIVAZ!$C$"&amp;AC$2+1&amp;":$N$"&amp;AC$2+1&amp;""),1,MATCH($A43,PREVIVAZ!$C$1:$N$1,1)))</f>
        <v>#N/A</v>
      </c>
      <c r="AE43" s="272" t="e">
        <f ca="1">Propagações_TOT_TIETE!$X43</f>
        <v>#N/A</v>
      </c>
    </row>
    <row r="44" spans="1:31" x14ac:dyDescent="0.2">
      <c r="A44" s="49">
        <f t="shared" ca="1" si="9"/>
        <v>43843</v>
      </c>
      <c r="B44" s="68"/>
      <c r="C44" s="68"/>
      <c r="D44" s="33"/>
      <c r="E44" s="67" t="e">
        <f ca="1">INDEX(RESULTADOS!$A:$BA,MATCH($A44,RESULTADOS!$A:$A,0),MATCH(E$1,RESULTADOS!$1:$1,0))</f>
        <v>#N/A</v>
      </c>
      <c r="F44" s="67" t="e">
        <f ca="1">INDEX(RESULTADOS!$A:$BA,MATCH($A44,RESULTADOS!$A:$A,0),MATCH(F$1,RESULTADOS!$1:$1,0))</f>
        <v>#N/A</v>
      </c>
      <c r="G44" s="67" t="e">
        <f ca="1">INDEX(RESULTADOS!$A:$BA,MATCH($A44,RESULTADOS!$A:$A,0),MATCH(G$1,RESULTADOS!$1:$1,0))</f>
        <v>#N/A</v>
      </c>
      <c r="H44" s="67" t="e">
        <f ca="1">INDEX(RESULTADOS!$A:$BA,MATCH($A44,RESULTADOS!$A:$A,0),MATCH(H$1,RESULTADOS!$1:$1,0))</f>
        <v>#N/A</v>
      </c>
      <c r="I44" s="67" t="e">
        <f ca="1">INDEX(RESULTADOS!$A:$BA,MATCH($A44,RESULTADOS!$A:$A,0),MATCH(I$1,RESULTADOS!$1:$1,0))</f>
        <v>#N/A</v>
      </c>
      <c r="J44" s="51" t="e">
        <f t="shared" ca="1" si="2"/>
        <v>#N/A</v>
      </c>
      <c r="K44" s="43"/>
      <c r="L44" s="43"/>
      <c r="M44" s="211" t="e">
        <f ca="1">Propagações_TOT_PARANAPANEMA!AB44</f>
        <v>#N/A</v>
      </c>
      <c r="N44" s="213" t="e">
        <f ca="1">IFERROR(INDEX(PREVS_SMAP!$D$132:$Q$134,MATCH(Propagações_TOT_ITAIPU!N$2,PREVS_SMAP!$A$132:$A$134,0),MATCH(Propagações_TOT_ITAIPU!$A44,PREVS_SMAP!$D$131:$Q$131,0)),INDEX(INDIRECT("PREVIVAZ!$C$"&amp;N$6+1&amp;":$N$"&amp;N$6+1&amp;""),1,MATCH($A44,PREVIVAZ!$C$1:$N$1,1)))</f>
        <v>#N/A</v>
      </c>
      <c r="O44" s="213" t="e">
        <f ca="1">IFERROR(INDEX(PREVS_SMAP!$D$132:$Q$134,MATCH(Propagações_TOT_ITAIPU!O$2,PREVS_SMAP!$A$132:$A$134,0),MATCH(Propagações_TOT_ITAIPU!$A44,PREVS_SMAP!$D$131:$Q$131,0)),INDEX(INDIRECT("PREVIVAZ!$C$"&amp;O$6+1&amp;":$N$"&amp;O$6+1&amp;""),1,MATCH($A44,PREVIVAZ!$C$1:$N$1,1)))</f>
        <v>#N/A</v>
      </c>
      <c r="P44" s="213" t="e">
        <f ca="1">IFERROR(INDEX(PREVS_SMAP!$D$132:$Q$134,MATCH(Propagações_TOT_ITAIPU!P$2,PREVS_SMAP!$A$132:$A$134,0),MATCH(Propagações_TOT_ITAIPU!$A44,PREVS_SMAP!$D$131:$Q$131,0)),INDEX(INDIRECT("PREVIVAZ!$C$"&amp;P$6+1&amp;":$N$"&amp;P$6+1&amp;""),1,MATCH($A44,PREVIVAZ!$C$1:$N$1,1)))</f>
        <v>#N/A</v>
      </c>
      <c r="Q44" s="213" t="e">
        <f ca="1">IFERROR(INDEX(PREVS_SMAP!$D$132:$Q$134,MATCH(Propagações_TOT_ITAIPU!Q$2,PREVS_SMAP!$A$132:$A$134,0),MATCH(Propagações_TOT_ITAIPU!$A44,PREVS_SMAP!$D$131:$Q$131,0)),INDEX(INDIRECT("PREVIVAZ!$C$"&amp;Q$6+1&amp;":$N$"&amp;Q$6+1&amp;""),1,MATCH($A44,PREVIVAZ!$C$1:$N$1,1)))</f>
        <v>#N/A</v>
      </c>
      <c r="R44" s="211" t="e">
        <f t="shared" ca="1" si="3"/>
        <v>#N/A</v>
      </c>
      <c r="S44" s="214" t="e">
        <f t="shared" ca="1" si="4"/>
        <v>#N/A</v>
      </c>
      <c r="T44" s="219" t="e">
        <f t="shared" ca="1" si="5"/>
        <v>#N/A</v>
      </c>
      <c r="U44" s="215" t="e">
        <f t="shared" ca="1" si="7"/>
        <v>#N/A</v>
      </c>
      <c r="V44" s="214" t="e">
        <f t="shared" ca="1" si="6"/>
        <v>#N/A</v>
      </c>
      <c r="W44" s="214" t="e">
        <f t="shared" ca="1" si="8"/>
        <v>#N/A</v>
      </c>
      <c r="X44" s="220"/>
      <c r="Y44" s="211" t="e">
        <f ca="1">Propagações_TOT_GRANDE!AP44</f>
        <v>#N/A</v>
      </c>
      <c r="Z44" s="211" t="e">
        <f ca="1">Propagações_TOT_PARANAIBA!AJ44</f>
        <v>#N/A</v>
      </c>
      <c r="AA44" s="213" t="e">
        <f ca="1">IFERROR(INDEX(PREVS_SMAP!$AU$28:$BA$347,MATCH(Propagações_TOT_ITAIPU!AA$2,PREVS_SMAP!$R$28:$R$347,0),MATCH(Propagações_TOT_ITAIPU!$A44,PREVS_SMAP!$AU$27:$BA$27,0)),INDEX(INDIRECT("PREVIVAZ!$C$"&amp;$AA$2+1&amp;":$N$"&amp;$AA$2+1&amp;""),1,MATCH($A44,PREVIVAZ!$C$1:$N$1,1)))</f>
        <v>#N/A</v>
      </c>
      <c r="AB44" s="213" t="e">
        <f ca="1">IFERROR(INDEX(PREVS_SMAP!$AU$28:$BA$347,MATCH(Propagações_TOT_ITAIPU!AB$2,PREVS_SMAP!$R$28:$R$347,0),MATCH(Propagações_TOT_ITAIPU!$A44,PREVS_SMAP!$AU$27:$BA$27,0)),INDEX(INDIRECT("PREVIVAZ!$C$"&amp;AB$2+1&amp;":$N$"&amp;AB$2+1&amp;""),1,MATCH($A44,PREVIVAZ!$C$1:$N$1,1)))</f>
        <v>#N/A</v>
      </c>
      <c r="AC44" s="213" t="e">
        <f ca="1">IFERROR(INDEX(PREVS_SMAP!$AU$28:$BA$347,MATCH(Propagações_TOT_ITAIPU!AC$2,PREVS_SMAP!$R$28:$R$347,0),MATCH(Propagações_TOT_ITAIPU!$A44,PREVS_SMAP!$AU$27:$BA$27,0)),INDEX(INDIRECT("PREVIVAZ!$C$"&amp;AC$2+1&amp;":$N$"&amp;AC$2+1&amp;""),1,MATCH($A44,PREVIVAZ!$C$1:$N$1,1)))</f>
        <v>#N/A</v>
      </c>
      <c r="AE44" s="272" t="e">
        <f ca="1">Propagações_TOT_TIETE!$X44</f>
        <v>#N/A</v>
      </c>
    </row>
    <row r="45" spans="1:31" x14ac:dyDescent="0.2">
      <c r="A45" s="49">
        <f t="shared" ca="1" si="9"/>
        <v>43844</v>
      </c>
      <c r="B45" s="68"/>
      <c r="C45" s="68"/>
      <c r="D45" s="33"/>
      <c r="E45" s="67" t="e">
        <f ca="1">INDEX(RESULTADOS!$A:$BA,MATCH($A45,RESULTADOS!$A:$A,0),MATCH(E$1,RESULTADOS!$1:$1,0))</f>
        <v>#N/A</v>
      </c>
      <c r="F45" s="67" t="e">
        <f ca="1">INDEX(RESULTADOS!$A:$BA,MATCH($A45,RESULTADOS!$A:$A,0),MATCH(F$1,RESULTADOS!$1:$1,0))</f>
        <v>#N/A</v>
      </c>
      <c r="G45" s="67" t="e">
        <f ca="1">INDEX(RESULTADOS!$A:$BA,MATCH($A45,RESULTADOS!$A:$A,0),MATCH(G$1,RESULTADOS!$1:$1,0))</f>
        <v>#N/A</v>
      </c>
      <c r="H45" s="67" t="e">
        <f ca="1">INDEX(RESULTADOS!$A:$BA,MATCH($A45,RESULTADOS!$A:$A,0),MATCH(H$1,RESULTADOS!$1:$1,0))</f>
        <v>#N/A</v>
      </c>
      <c r="I45" s="67" t="e">
        <f ca="1">INDEX(RESULTADOS!$A:$BA,MATCH($A45,RESULTADOS!$A:$A,0),MATCH(I$1,RESULTADOS!$1:$1,0))</f>
        <v>#N/A</v>
      </c>
      <c r="J45" s="51" t="e">
        <f t="shared" ca="1" si="2"/>
        <v>#N/A</v>
      </c>
      <c r="K45" s="43"/>
      <c r="L45" s="43"/>
      <c r="M45" s="211" t="e">
        <f ca="1">Propagações_TOT_PARANAPANEMA!AB45</f>
        <v>#N/A</v>
      </c>
      <c r="N45" s="213" t="e">
        <f ca="1">IFERROR(INDEX(PREVS_SMAP!$D$132:$Q$134,MATCH(Propagações_TOT_ITAIPU!N$2,PREVS_SMAP!$A$132:$A$134,0),MATCH(Propagações_TOT_ITAIPU!$A45,PREVS_SMAP!$D$131:$Q$131,0)),INDEX(INDIRECT("PREVIVAZ!$C$"&amp;N$6+1&amp;":$N$"&amp;N$6+1&amp;""),1,MATCH($A45,PREVIVAZ!$C$1:$N$1,1)))</f>
        <v>#N/A</v>
      </c>
      <c r="O45" s="213" t="e">
        <f ca="1">IFERROR(INDEX(PREVS_SMAP!$D$132:$Q$134,MATCH(Propagações_TOT_ITAIPU!O$2,PREVS_SMAP!$A$132:$A$134,0),MATCH(Propagações_TOT_ITAIPU!$A45,PREVS_SMAP!$D$131:$Q$131,0)),INDEX(INDIRECT("PREVIVAZ!$C$"&amp;O$6+1&amp;":$N$"&amp;O$6+1&amp;""),1,MATCH($A45,PREVIVAZ!$C$1:$N$1,1)))</f>
        <v>#N/A</v>
      </c>
      <c r="P45" s="213" t="e">
        <f ca="1">IFERROR(INDEX(PREVS_SMAP!$D$132:$Q$134,MATCH(Propagações_TOT_ITAIPU!P$2,PREVS_SMAP!$A$132:$A$134,0),MATCH(Propagações_TOT_ITAIPU!$A45,PREVS_SMAP!$D$131:$Q$131,0)),INDEX(INDIRECT("PREVIVAZ!$C$"&amp;P$6+1&amp;":$N$"&amp;P$6+1&amp;""),1,MATCH($A45,PREVIVAZ!$C$1:$N$1,1)))</f>
        <v>#N/A</v>
      </c>
      <c r="Q45" s="213" t="e">
        <f ca="1">IFERROR(INDEX(PREVS_SMAP!$D$132:$Q$134,MATCH(Propagações_TOT_ITAIPU!Q$2,PREVS_SMAP!$A$132:$A$134,0),MATCH(Propagações_TOT_ITAIPU!$A45,PREVS_SMAP!$D$131:$Q$131,0)),INDEX(INDIRECT("PREVIVAZ!$C$"&amp;Q$6+1&amp;":$N$"&amp;Q$6+1&amp;""),1,MATCH($A45,PREVIVAZ!$C$1:$N$1,1)))</f>
        <v>#N/A</v>
      </c>
      <c r="R45" s="211" t="e">
        <f t="shared" ca="1" si="3"/>
        <v>#N/A</v>
      </c>
      <c r="S45" s="214" t="e">
        <f t="shared" ca="1" si="4"/>
        <v>#N/A</v>
      </c>
      <c r="T45" s="219" t="e">
        <f t="shared" ca="1" si="5"/>
        <v>#N/A</v>
      </c>
      <c r="U45" s="215" t="e">
        <f t="shared" ca="1" si="7"/>
        <v>#N/A</v>
      </c>
      <c r="V45" s="214" t="e">
        <f t="shared" ca="1" si="6"/>
        <v>#N/A</v>
      </c>
      <c r="W45" s="214" t="e">
        <f t="shared" ca="1" si="8"/>
        <v>#N/A</v>
      </c>
      <c r="X45" s="220"/>
      <c r="Y45" s="211" t="e">
        <f ca="1">Propagações_TOT_GRANDE!AP45</f>
        <v>#N/A</v>
      </c>
      <c r="Z45" s="211" t="e">
        <f ca="1">Propagações_TOT_PARANAIBA!AJ45</f>
        <v>#N/A</v>
      </c>
      <c r="AA45" s="213" t="e">
        <f ca="1">IFERROR(INDEX(PREVS_SMAP!$AU$28:$BA$347,MATCH(Propagações_TOT_ITAIPU!AA$2,PREVS_SMAP!$R$28:$R$347,0),MATCH(Propagações_TOT_ITAIPU!$A45,PREVS_SMAP!$AU$27:$BA$27,0)),INDEX(INDIRECT("PREVIVAZ!$C$"&amp;$AA$2+1&amp;":$N$"&amp;$AA$2+1&amp;""),1,MATCH($A45,PREVIVAZ!$C$1:$N$1,1)))</f>
        <v>#N/A</v>
      </c>
      <c r="AB45" s="213" t="e">
        <f ca="1">IFERROR(INDEX(PREVS_SMAP!$AU$28:$BA$347,MATCH(Propagações_TOT_ITAIPU!AB$2,PREVS_SMAP!$R$28:$R$347,0),MATCH(Propagações_TOT_ITAIPU!$A45,PREVS_SMAP!$AU$27:$BA$27,0)),INDEX(INDIRECT("PREVIVAZ!$C$"&amp;AB$2+1&amp;":$N$"&amp;AB$2+1&amp;""),1,MATCH($A45,PREVIVAZ!$C$1:$N$1,1)))</f>
        <v>#N/A</v>
      </c>
      <c r="AC45" s="213" t="e">
        <f ca="1">IFERROR(INDEX(PREVS_SMAP!$AU$28:$BA$347,MATCH(Propagações_TOT_ITAIPU!AC$2,PREVS_SMAP!$R$28:$R$347,0),MATCH(Propagações_TOT_ITAIPU!$A45,PREVS_SMAP!$AU$27:$BA$27,0)),INDEX(INDIRECT("PREVIVAZ!$C$"&amp;AC$2+1&amp;":$N$"&amp;AC$2+1&amp;""),1,MATCH($A45,PREVIVAZ!$C$1:$N$1,1)))</f>
        <v>#N/A</v>
      </c>
      <c r="AE45" s="272" t="e">
        <f ca="1">Propagações_TOT_TIETE!$X45</f>
        <v>#N/A</v>
      </c>
    </row>
    <row r="46" spans="1:31" x14ac:dyDescent="0.2">
      <c r="A46" s="49">
        <f t="shared" ca="1" si="9"/>
        <v>43845</v>
      </c>
      <c r="B46" s="68"/>
      <c r="C46" s="68"/>
      <c r="D46" s="33"/>
      <c r="E46" s="67" t="e">
        <f ca="1">INDEX(RESULTADOS!$A:$BA,MATCH($A46,RESULTADOS!$A:$A,0),MATCH(E$1,RESULTADOS!$1:$1,0))</f>
        <v>#N/A</v>
      </c>
      <c r="F46" s="67" t="e">
        <f ca="1">INDEX(RESULTADOS!$A:$BA,MATCH($A46,RESULTADOS!$A:$A,0),MATCH(F$1,RESULTADOS!$1:$1,0))</f>
        <v>#N/A</v>
      </c>
      <c r="G46" s="67" t="e">
        <f ca="1">INDEX(RESULTADOS!$A:$BA,MATCH($A46,RESULTADOS!$A:$A,0),MATCH(G$1,RESULTADOS!$1:$1,0))</f>
        <v>#N/A</v>
      </c>
      <c r="H46" s="67" t="e">
        <f ca="1">INDEX(RESULTADOS!$A:$BA,MATCH($A46,RESULTADOS!$A:$A,0),MATCH(H$1,RESULTADOS!$1:$1,0))</f>
        <v>#N/A</v>
      </c>
      <c r="I46" s="67" t="e">
        <f ca="1">INDEX(RESULTADOS!$A:$BA,MATCH($A46,RESULTADOS!$A:$A,0),MATCH(I$1,RESULTADOS!$1:$1,0))</f>
        <v>#N/A</v>
      </c>
      <c r="J46" s="51" t="e">
        <f t="shared" ca="1" si="2"/>
        <v>#N/A</v>
      </c>
      <c r="K46" s="43"/>
      <c r="L46" s="42"/>
      <c r="M46" s="211" t="e">
        <f ca="1">Propagações_TOT_PARANAPANEMA!AB46</f>
        <v>#N/A</v>
      </c>
      <c r="N46" s="213" t="e">
        <f ca="1">IFERROR(INDEX(PREVS_SMAP!$D$132:$Q$134,MATCH(Propagações_TOT_ITAIPU!N$2,PREVS_SMAP!$A$132:$A$134,0),MATCH(Propagações_TOT_ITAIPU!$A46,PREVS_SMAP!$D$131:$Q$131,0)),INDEX(INDIRECT("PREVIVAZ!$C$"&amp;N$6+1&amp;":$N$"&amp;N$6+1&amp;""),1,MATCH($A46,PREVIVAZ!$C$1:$N$1,1)))</f>
        <v>#N/A</v>
      </c>
      <c r="O46" s="213" t="e">
        <f ca="1">IFERROR(INDEX(PREVS_SMAP!$D$132:$Q$134,MATCH(Propagações_TOT_ITAIPU!O$2,PREVS_SMAP!$A$132:$A$134,0),MATCH(Propagações_TOT_ITAIPU!$A46,PREVS_SMAP!$D$131:$Q$131,0)),INDEX(INDIRECT("PREVIVAZ!$C$"&amp;O$6+1&amp;":$N$"&amp;O$6+1&amp;""),1,MATCH($A46,PREVIVAZ!$C$1:$N$1,1)))</f>
        <v>#N/A</v>
      </c>
      <c r="P46" s="213" t="e">
        <f ca="1">IFERROR(INDEX(PREVS_SMAP!$D$132:$Q$134,MATCH(Propagações_TOT_ITAIPU!P$2,PREVS_SMAP!$A$132:$A$134,0),MATCH(Propagações_TOT_ITAIPU!$A46,PREVS_SMAP!$D$131:$Q$131,0)),INDEX(INDIRECT("PREVIVAZ!$C$"&amp;P$6+1&amp;":$N$"&amp;P$6+1&amp;""),1,MATCH($A46,PREVIVAZ!$C$1:$N$1,1)))</f>
        <v>#N/A</v>
      </c>
      <c r="Q46" s="213" t="e">
        <f ca="1">IFERROR(INDEX(PREVS_SMAP!$D$132:$Q$134,MATCH(Propagações_TOT_ITAIPU!Q$2,PREVS_SMAP!$A$132:$A$134,0),MATCH(Propagações_TOT_ITAIPU!$A46,PREVS_SMAP!$D$131:$Q$131,0)),INDEX(INDIRECT("PREVIVAZ!$C$"&amp;Q$6+1&amp;":$N$"&amp;Q$6+1&amp;""),1,MATCH($A46,PREVIVAZ!$C$1:$N$1,1)))</f>
        <v>#N/A</v>
      </c>
      <c r="R46" s="211" t="e">
        <f t="shared" ca="1" si="3"/>
        <v>#N/A</v>
      </c>
      <c r="S46" s="214" t="e">
        <f t="shared" ca="1" si="4"/>
        <v>#N/A</v>
      </c>
      <c r="T46" s="219" t="e">
        <f t="shared" ca="1" si="5"/>
        <v>#N/A</v>
      </c>
      <c r="U46" s="215" t="e">
        <f t="shared" ca="1" si="7"/>
        <v>#N/A</v>
      </c>
      <c r="V46" s="214" t="e">
        <f t="shared" ca="1" si="6"/>
        <v>#N/A</v>
      </c>
      <c r="W46" s="214" t="e">
        <f t="shared" ca="1" si="8"/>
        <v>#N/A</v>
      </c>
      <c r="X46" s="220"/>
      <c r="Y46" s="211" t="e">
        <f ca="1">Propagações_TOT_GRANDE!AP46</f>
        <v>#N/A</v>
      </c>
      <c r="Z46" s="211" t="e">
        <f ca="1">Propagações_TOT_PARANAIBA!AJ46</f>
        <v>#N/A</v>
      </c>
      <c r="AA46" s="213" t="e">
        <f ca="1">IFERROR(INDEX(PREVS_SMAP!$AU$28:$BA$347,MATCH(Propagações_TOT_ITAIPU!AA$2,PREVS_SMAP!$R$28:$R$347,0),MATCH(Propagações_TOT_ITAIPU!$A46,PREVS_SMAP!$AU$27:$BA$27,0)),INDEX(INDIRECT("PREVIVAZ!$C$"&amp;$AA$2+1&amp;":$N$"&amp;$AA$2+1&amp;""),1,MATCH($A46,PREVIVAZ!$C$1:$N$1,1)))</f>
        <v>#N/A</v>
      </c>
      <c r="AB46" s="213" t="e">
        <f ca="1">IFERROR(INDEX(PREVS_SMAP!$AU$28:$BA$347,MATCH(Propagações_TOT_ITAIPU!AB$2,PREVS_SMAP!$R$28:$R$347,0),MATCH(Propagações_TOT_ITAIPU!$A46,PREVS_SMAP!$AU$27:$BA$27,0)),INDEX(INDIRECT("PREVIVAZ!$C$"&amp;AB$2+1&amp;":$N$"&amp;AB$2+1&amp;""),1,MATCH($A46,PREVIVAZ!$C$1:$N$1,1)))</f>
        <v>#N/A</v>
      </c>
      <c r="AC46" s="213" t="e">
        <f ca="1">IFERROR(INDEX(PREVS_SMAP!$AU$28:$BA$347,MATCH(Propagações_TOT_ITAIPU!AC$2,PREVS_SMAP!$R$28:$R$347,0),MATCH(Propagações_TOT_ITAIPU!$A46,PREVS_SMAP!$AU$27:$BA$27,0)),INDEX(INDIRECT("PREVIVAZ!$C$"&amp;AC$2+1&amp;":$N$"&amp;AC$2+1&amp;""),1,MATCH($A46,PREVIVAZ!$C$1:$N$1,1)))</f>
        <v>#N/A</v>
      </c>
      <c r="AE46" s="272" t="e">
        <f ca="1">Propagações_TOT_TIETE!$X46</f>
        <v>#N/A</v>
      </c>
    </row>
    <row r="47" spans="1:31" x14ac:dyDescent="0.2">
      <c r="A47" s="82">
        <f t="shared" ca="1" si="9"/>
        <v>43846</v>
      </c>
      <c r="B47" s="87"/>
      <c r="C47" s="87"/>
      <c r="D47" s="88"/>
      <c r="E47" s="67" t="e">
        <f ca="1">INDEX(RESULTADOS!$A:$BA,MATCH($A47,RESULTADOS!$A:$A,0),MATCH(E$1,RESULTADOS!$1:$1,0))</f>
        <v>#N/A</v>
      </c>
      <c r="F47" s="67" t="e">
        <f ca="1">INDEX(RESULTADOS!$A:$BA,MATCH($A47,RESULTADOS!$A:$A,0),MATCH(F$1,RESULTADOS!$1:$1,0))</f>
        <v>#N/A</v>
      </c>
      <c r="G47" s="67" t="e">
        <f ca="1">INDEX(RESULTADOS!$A:$BA,MATCH($A47,RESULTADOS!$A:$A,0),MATCH(G$1,RESULTADOS!$1:$1,0))</f>
        <v>#N/A</v>
      </c>
      <c r="H47" s="67" t="e">
        <f ca="1">INDEX(RESULTADOS!$A:$BA,MATCH($A47,RESULTADOS!$A:$A,0),MATCH(H$1,RESULTADOS!$1:$1,0))</f>
        <v>#N/A</v>
      </c>
      <c r="I47" s="67" t="e">
        <f ca="1">INDEX(RESULTADOS!$A:$BA,MATCH($A47,RESULTADOS!$A:$A,0),MATCH(I$1,RESULTADOS!$1:$1,0))</f>
        <v>#N/A</v>
      </c>
      <c r="J47" s="83" t="e">
        <f t="shared" ca="1" si="2"/>
        <v>#N/A</v>
      </c>
      <c r="K47" s="85"/>
      <c r="L47" s="86"/>
      <c r="M47" s="211" t="e">
        <f ca="1">Propagações_TOT_PARANAPANEMA!AB47</f>
        <v>#N/A</v>
      </c>
      <c r="N47" s="213" t="e">
        <f ca="1">IFERROR(INDEX(PREVS_SMAP!$D$132:$Q$134,MATCH(Propagações_TOT_ITAIPU!N$2,PREVS_SMAP!$A$132:$A$134,0),MATCH(Propagações_TOT_ITAIPU!$A47,PREVS_SMAP!$D$131:$Q$131,0)),INDEX(INDIRECT("PREVIVAZ!$C$"&amp;N$6+1&amp;":$N$"&amp;N$6+1&amp;""),1,MATCH($A47,PREVIVAZ!$C$1:$N$1,1)))</f>
        <v>#N/A</v>
      </c>
      <c r="O47" s="213" t="e">
        <f ca="1">IFERROR(INDEX(PREVS_SMAP!$D$132:$Q$134,MATCH(Propagações_TOT_ITAIPU!O$2,PREVS_SMAP!$A$132:$A$134,0),MATCH(Propagações_TOT_ITAIPU!$A47,PREVS_SMAP!$D$131:$Q$131,0)),INDEX(INDIRECT("PREVIVAZ!$C$"&amp;O$6+1&amp;":$N$"&amp;O$6+1&amp;""),1,MATCH($A47,PREVIVAZ!$C$1:$N$1,1)))</f>
        <v>#N/A</v>
      </c>
      <c r="P47" s="213" t="e">
        <f ca="1">IFERROR(INDEX(PREVS_SMAP!$D$132:$Q$134,MATCH(Propagações_TOT_ITAIPU!P$2,PREVS_SMAP!$A$132:$A$134,0),MATCH(Propagações_TOT_ITAIPU!$A47,PREVS_SMAP!$D$131:$Q$131,0)),INDEX(INDIRECT("PREVIVAZ!$C$"&amp;P$6+1&amp;":$N$"&amp;P$6+1&amp;""),1,MATCH($A47,PREVIVAZ!$C$1:$N$1,1)))</f>
        <v>#N/A</v>
      </c>
      <c r="Q47" s="213" t="e">
        <f ca="1">IFERROR(INDEX(PREVS_SMAP!$D$132:$Q$134,MATCH(Propagações_TOT_ITAIPU!Q$2,PREVS_SMAP!$A$132:$A$134,0),MATCH(Propagações_TOT_ITAIPU!$A47,PREVS_SMAP!$D$131:$Q$131,0)),INDEX(INDIRECT("PREVIVAZ!$C$"&amp;Q$6+1&amp;":$N$"&amp;Q$6+1&amp;""),1,MATCH($A47,PREVIVAZ!$C$1:$N$1,1)))</f>
        <v>#N/A</v>
      </c>
      <c r="R47" s="211" t="e">
        <f t="shared" ca="1" si="3"/>
        <v>#N/A</v>
      </c>
      <c r="S47" s="217" t="e">
        <f t="shared" ca="1" si="4"/>
        <v>#N/A</v>
      </c>
      <c r="T47" s="217" t="e">
        <f t="shared" ca="1" si="5"/>
        <v>#N/A</v>
      </c>
      <c r="U47" s="215" t="e">
        <f t="shared" ca="1" si="7"/>
        <v>#N/A</v>
      </c>
      <c r="V47" s="214" t="e">
        <f t="shared" ca="1" si="6"/>
        <v>#N/A</v>
      </c>
      <c r="W47" s="214" t="e">
        <f t="shared" ca="1" si="8"/>
        <v>#N/A</v>
      </c>
      <c r="X47" s="218"/>
      <c r="Y47" s="211" t="e">
        <f ca="1">Propagações_TOT_GRANDE!AP47</f>
        <v>#N/A</v>
      </c>
      <c r="Z47" s="211" t="e">
        <f ca="1">Propagações_TOT_PARANAIBA!AJ47</f>
        <v>#N/A</v>
      </c>
      <c r="AA47" s="213" t="e">
        <f ca="1">IFERROR(INDEX(PREVS_SMAP!$AU$28:$BA$347,MATCH(Propagações_TOT_ITAIPU!AA$2,PREVS_SMAP!$R$28:$R$347,0),MATCH(Propagações_TOT_ITAIPU!$A47,PREVS_SMAP!$AU$27:$BA$27,0)),INDEX(INDIRECT("PREVIVAZ!$C$"&amp;$AA$2+1&amp;":$N$"&amp;$AA$2+1&amp;""),1,MATCH($A47,PREVIVAZ!$C$1:$N$1,1)))</f>
        <v>#N/A</v>
      </c>
      <c r="AB47" s="213" t="e">
        <f ca="1">IFERROR(INDEX(PREVS_SMAP!$AU$28:$BA$347,MATCH(Propagações_TOT_ITAIPU!AB$2,PREVS_SMAP!$R$28:$R$347,0),MATCH(Propagações_TOT_ITAIPU!$A47,PREVS_SMAP!$AU$27:$BA$27,0)),INDEX(INDIRECT("PREVIVAZ!$C$"&amp;AB$2+1&amp;":$N$"&amp;AB$2+1&amp;""),1,MATCH($A47,PREVIVAZ!$C$1:$N$1,1)))</f>
        <v>#N/A</v>
      </c>
      <c r="AC47" s="213" t="e">
        <f ca="1">IFERROR(INDEX(PREVS_SMAP!$AU$28:$BA$347,MATCH(Propagações_TOT_ITAIPU!AC$2,PREVS_SMAP!$R$28:$R$347,0),MATCH(Propagações_TOT_ITAIPU!$A47,PREVS_SMAP!$AU$27:$BA$27,0)),INDEX(INDIRECT("PREVIVAZ!$C$"&amp;AC$2+1&amp;":$N$"&amp;AC$2+1&amp;""),1,MATCH($A47,PREVIVAZ!$C$1:$N$1,1)))</f>
        <v>#N/A</v>
      </c>
      <c r="AE47" s="272" t="e">
        <f ca="1">Propagações_TOT_TIETE!$X47</f>
        <v>#N/A</v>
      </c>
    </row>
    <row r="48" spans="1:31" x14ac:dyDescent="0.2">
      <c r="A48" s="49">
        <f t="shared" ca="1" si="9"/>
        <v>43847</v>
      </c>
      <c r="B48" s="53"/>
      <c r="C48" s="53"/>
      <c r="D48" s="52"/>
      <c r="E48" s="67" t="e">
        <f ca="1">INDEX(RESULTADOS!$A:$BA,MATCH($A48,RESULTADOS!$A:$A,0),MATCH(E$1,RESULTADOS!$1:$1,0))</f>
        <v>#N/A</v>
      </c>
      <c r="F48" s="67" t="e">
        <f ca="1">INDEX(RESULTADOS!$A:$BA,MATCH($A48,RESULTADOS!$A:$A,0),MATCH(F$1,RESULTADOS!$1:$1,0))</f>
        <v>#N/A</v>
      </c>
      <c r="G48" s="67" t="e">
        <f ca="1">INDEX(RESULTADOS!$A:$BA,MATCH($A48,RESULTADOS!$A:$A,0),MATCH(G$1,RESULTADOS!$1:$1,0))</f>
        <v>#N/A</v>
      </c>
      <c r="H48" s="67" t="e">
        <f ca="1">INDEX(RESULTADOS!$A:$BA,MATCH($A48,RESULTADOS!$A:$A,0),MATCH(H$1,RESULTADOS!$1:$1,0))</f>
        <v>#N/A</v>
      </c>
      <c r="I48" s="67" t="e">
        <f ca="1">INDEX(RESULTADOS!$A:$BA,MATCH($A48,RESULTADOS!$A:$A,0),MATCH(I$1,RESULTADOS!$1:$1,0))</f>
        <v>#N/A</v>
      </c>
      <c r="J48" s="51" t="e">
        <f t="shared" ca="1" si="2"/>
        <v>#N/A</v>
      </c>
      <c r="K48" s="43"/>
      <c r="L48" s="43"/>
      <c r="M48" s="211" t="e">
        <f ca="1">Propagações_TOT_PARANAPANEMA!AB48</f>
        <v>#N/A</v>
      </c>
      <c r="N48" s="213" t="e">
        <f ca="1">IFERROR(INDEX(PREVS_SMAP!$D$132:$Q$134,MATCH(Propagações_TOT_ITAIPU!N$2,PREVS_SMAP!$A$132:$A$134,0),MATCH(Propagações_TOT_ITAIPU!$A48,PREVS_SMAP!$D$131:$Q$131,0)),INDEX(INDIRECT("PREVIVAZ!$C$"&amp;N$6+1&amp;":$N$"&amp;N$6+1&amp;""),1,MATCH($A48,PREVIVAZ!$C$1:$N$1,1)))</f>
        <v>#N/A</v>
      </c>
      <c r="O48" s="213" t="e">
        <f ca="1">IFERROR(INDEX(PREVS_SMAP!$D$132:$Q$134,MATCH(Propagações_TOT_ITAIPU!O$2,PREVS_SMAP!$A$132:$A$134,0),MATCH(Propagações_TOT_ITAIPU!$A48,PREVS_SMAP!$D$131:$Q$131,0)),INDEX(INDIRECT("PREVIVAZ!$C$"&amp;O$6+1&amp;":$N$"&amp;O$6+1&amp;""),1,MATCH($A48,PREVIVAZ!$C$1:$N$1,1)))</f>
        <v>#N/A</v>
      </c>
      <c r="P48" s="213" t="e">
        <f ca="1">IFERROR(INDEX(PREVS_SMAP!$D$132:$Q$134,MATCH(Propagações_TOT_ITAIPU!P$2,PREVS_SMAP!$A$132:$A$134,0),MATCH(Propagações_TOT_ITAIPU!$A48,PREVS_SMAP!$D$131:$Q$131,0)),INDEX(INDIRECT("PREVIVAZ!$C$"&amp;P$6+1&amp;":$N$"&amp;P$6+1&amp;""),1,MATCH($A48,PREVIVAZ!$C$1:$N$1,1)))</f>
        <v>#N/A</v>
      </c>
      <c r="Q48" s="213" t="e">
        <f ca="1">IFERROR(INDEX(PREVS_SMAP!$D$132:$Q$134,MATCH(Propagações_TOT_ITAIPU!Q$2,PREVS_SMAP!$A$132:$A$134,0),MATCH(Propagações_TOT_ITAIPU!$A48,PREVS_SMAP!$D$131:$Q$131,0)),INDEX(INDIRECT("PREVIVAZ!$C$"&amp;Q$6+1&amp;":$N$"&amp;Q$6+1&amp;""),1,MATCH($A48,PREVIVAZ!$C$1:$N$1,1)))</f>
        <v>#N/A</v>
      </c>
      <c r="R48" s="211" t="e">
        <f t="shared" ca="1" si="3"/>
        <v>#N/A</v>
      </c>
      <c r="S48" s="214" t="e">
        <f t="shared" ca="1" si="4"/>
        <v>#N/A</v>
      </c>
      <c r="T48" s="214" t="e">
        <f t="shared" ca="1" si="5"/>
        <v>#N/A</v>
      </c>
      <c r="U48" s="215" t="e">
        <f t="shared" ca="1" si="7"/>
        <v>#N/A</v>
      </c>
      <c r="V48" s="214" t="e">
        <f t="shared" ca="1" si="6"/>
        <v>#N/A</v>
      </c>
      <c r="W48" s="214" t="e">
        <f t="shared" ca="1" si="8"/>
        <v>#N/A</v>
      </c>
      <c r="X48" s="216"/>
      <c r="Y48" s="211" t="e">
        <f ca="1">Propagações_TOT_GRANDE!AP48</f>
        <v>#N/A</v>
      </c>
      <c r="Z48" s="211" t="e">
        <f ca="1">Propagações_TOT_PARANAIBA!AJ48</f>
        <v>#N/A</v>
      </c>
      <c r="AA48" s="213" t="e">
        <f ca="1">IFERROR(INDEX(PREVS_SMAP!$AU$28:$BA$347,MATCH(Propagações_TOT_ITAIPU!AA$2,PREVS_SMAP!$R$28:$R$347,0),MATCH(Propagações_TOT_ITAIPU!$A48,PREVS_SMAP!$AU$27:$BA$27,0)),INDEX(INDIRECT("PREVIVAZ!$C$"&amp;$AA$2+1&amp;":$N$"&amp;$AA$2+1&amp;""),1,MATCH($A48,PREVIVAZ!$C$1:$N$1,1)))</f>
        <v>#N/A</v>
      </c>
      <c r="AB48" s="213" t="e">
        <f ca="1">IFERROR(INDEX(PREVS_SMAP!$AU$28:$BA$347,MATCH(Propagações_TOT_ITAIPU!AB$2,PREVS_SMAP!$R$28:$R$347,0),MATCH(Propagações_TOT_ITAIPU!$A48,PREVS_SMAP!$AU$27:$BA$27,0)),INDEX(INDIRECT("PREVIVAZ!$C$"&amp;AB$2+1&amp;":$N$"&amp;AB$2+1&amp;""),1,MATCH($A48,PREVIVAZ!$C$1:$N$1,1)))</f>
        <v>#N/A</v>
      </c>
      <c r="AC48" s="213" t="e">
        <f ca="1">IFERROR(INDEX(PREVS_SMAP!$AU$28:$BA$347,MATCH(Propagações_TOT_ITAIPU!AC$2,PREVS_SMAP!$R$28:$R$347,0),MATCH(Propagações_TOT_ITAIPU!$A48,PREVS_SMAP!$AU$27:$BA$27,0)),INDEX(INDIRECT("PREVIVAZ!$C$"&amp;AC$2+1&amp;":$N$"&amp;AC$2+1&amp;""),1,MATCH($A48,PREVIVAZ!$C$1:$N$1,1)))</f>
        <v>#N/A</v>
      </c>
      <c r="AE48" s="272" t="e">
        <f ca="1">Propagações_TOT_TIETE!$X48</f>
        <v>#N/A</v>
      </c>
    </row>
    <row r="49" spans="1:31" x14ac:dyDescent="0.2">
      <c r="A49" s="49">
        <f t="shared" ca="1" si="9"/>
        <v>43848</v>
      </c>
      <c r="B49" s="53"/>
      <c r="C49" s="53"/>
      <c r="D49" s="52"/>
      <c r="E49" s="67" t="e">
        <f ca="1">INDEX(RESULTADOS!$A:$BA,MATCH($A49,RESULTADOS!$A:$A,0),MATCH(E$1,RESULTADOS!$1:$1,0))</f>
        <v>#N/A</v>
      </c>
      <c r="F49" s="67" t="e">
        <f ca="1">INDEX(RESULTADOS!$A:$BA,MATCH($A49,RESULTADOS!$A:$A,0),MATCH(F$1,RESULTADOS!$1:$1,0))</f>
        <v>#N/A</v>
      </c>
      <c r="G49" s="67" t="e">
        <f ca="1">INDEX(RESULTADOS!$A:$BA,MATCH($A49,RESULTADOS!$A:$A,0),MATCH(G$1,RESULTADOS!$1:$1,0))</f>
        <v>#N/A</v>
      </c>
      <c r="H49" s="67" t="e">
        <f ca="1">INDEX(RESULTADOS!$A:$BA,MATCH($A49,RESULTADOS!$A:$A,0),MATCH(H$1,RESULTADOS!$1:$1,0))</f>
        <v>#N/A</v>
      </c>
      <c r="I49" s="67" t="e">
        <f ca="1">INDEX(RESULTADOS!$A:$BA,MATCH($A49,RESULTADOS!$A:$A,0),MATCH(I$1,RESULTADOS!$1:$1,0))</f>
        <v>#N/A</v>
      </c>
      <c r="J49" s="51" t="e">
        <f t="shared" ca="1" si="2"/>
        <v>#N/A</v>
      </c>
      <c r="K49" s="43"/>
      <c r="L49" s="43"/>
      <c r="M49" s="211" t="e">
        <f ca="1">Propagações_TOT_PARANAPANEMA!AB49</f>
        <v>#N/A</v>
      </c>
      <c r="N49" s="213" t="e">
        <f ca="1">IFERROR(INDEX(PREVS_SMAP!$D$132:$Q$134,MATCH(Propagações_TOT_ITAIPU!N$2,PREVS_SMAP!$A$132:$A$134,0),MATCH(Propagações_TOT_ITAIPU!$A49,PREVS_SMAP!$D$131:$Q$131,0)),INDEX(INDIRECT("PREVIVAZ!$C$"&amp;N$6+1&amp;":$N$"&amp;N$6+1&amp;""),1,MATCH($A49,PREVIVAZ!$C$1:$N$1,1)))</f>
        <v>#N/A</v>
      </c>
      <c r="O49" s="213" t="e">
        <f ca="1">IFERROR(INDEX(PREVS_SMAP!$D$132:$Q$134,MATCH(Propagações_TOT_ITAIPU!O$2,PREVS_SMAP!$A$132:$A$134,0),MATCH(Propagações_TOT_ITAIPU!$A49,PREVS_SMAP!$D$131:$Q$131,0)),INDEX(INDIRECT("PREVIVAZ!$C$"&amp;O$6+1&amp;":$N$"&amp;O$6+1&amp;""),1,MATCH($A49,PREVIVAZ!$C$1:$N$1,1)))</f>
        <v>#N/A</v>
      </c>
      <c r="P49" s="213" t="e">
        <f ca="1">IFERROR(INDEX(PREVS_SMAP!$D$132:$Q$134,MATCH(Propagações_TOT_ITAIPU!P$2,PREVS_SMAP!$A$132:$A$134,0),MATCH(Propagações_TOT_ITAIPU!$A49,PREVS_SMAP!$D$131:$Q$131,0)),INDEX(INDIRECT("PREVIVAZ!$C$"&amp;P$6+1&amp;":$N$"&amp;P$6+1&amp;""),1,MATCH($A49,PREVIVAZ!$C$1:$N$1,1)))</f>
        <v>#N/A</v>
      </c>
      <c r="Q49" s="213" t="e">
        <f ca="1">IFERROR(INDEX(PREVS_SMAP!$D$132:$Q$134,MATCH(Propagações_TOT_ITAIPU!Q$2,PREVS_SMAP!$A$132:$A$134,0),MATCH(Propagações_TOT_ITAIPU!$A49,PREVS_SMAP!$D$131:$Q$131,0)),INDEX(INDIRECT("PREVIVAZ!$C$"&amp;Q$6+1&amp;":$N$"&amp;Q$6+1&amp;""),1,MATCH($A49,PREVIVAZ!$C$1:$N$1,1)))</f>
        <v>#N/A</v>
      </c>
      <c r="R49" s="211" t="e">
        <f t="shared" ref="R49:R110" ca="1" si="10">J49</f>
        <v>#N/A</v>
      </c>
      <c r="S49" s="214" t="e">
        <f t="shared" ref="S49:S110" ca="1" si="11">N49+T47</f>
        <v>#N/A</v>
      </c>
      <c r="T49" s="214" t="e">
        <f t="shared" ref="T49:T110" ca="1" si="12">((24-$U$3)*U49+($U$3-0)*U48)/24 + ((24-$V$3)*V49+($V$3-0)*V48)/24 + O49</f>
        <v>#N/A</v>
      </c>
      <c r="U49" s="215" t="e">
        <f t="shared" ref="U49:U110" ca="1" si="13">P49 + ((48-$AE$3)*AE48+($AE$3-24)*AE47)/24</f>
        <v>#N/A</v>
      </c>
      <c r="V49" s="214" t="e">
        <f t="shared" ref="V49:V110" ca="1" si="14">Q49+((48-$AC$3)*AC48+($AC$3-24)*AC47)/24+((48-$AB$3)*AB48+($AB$3-24)*AB47)/24+((48-$AA$3)*AA48+($AA$3-24)*AA47)/24+((48-$Z$3)*Z48+($Z$3-24)*Z47)/24+((24-$Y$3)*Y49+($Y$3-0)*Y48)/24</f>
        <v>#N/A</v>
      </c>
      <c r="W49" s="214" t="e">
        <f t="shared" ref="W49:W110" ca="1" si="15">((72-$M$3)*M47+($M$3-48)*M46)/24 + ((72-$S$3)*S47+($S$3-48)*S46)/24 + R49</f>
        <v>#N/A</v>
      </c>
      <c r="X49" s="216"/>
      <c r="Y49" s="211" t="e">
        <f ca="1">Propagações_TOT_GRANDE!AP49</f>
        <v>#N/A</v>
      </c>
      <c r="Z49" s="211" t="e">
        <f ca="1">Propagações_TOT_PARANAIBA!AJ49</f>
        <v>#N/A</v>
      </c>
      <c r="AA49" s="213" t="e">
        <f ca="1">IFERROR(INDEX(PREVS_SMAP!$AU$28:$BA$347,MATCH(Propagações_TOT_ITAIPU!AA$2,PREVS_SMAP!$R$28:$R$347,0),MATCH(Propagações_TOT_ITAIPU!$A49,PREVS_SMAP!$AU$27:$BA$27,0)),INDEX(INDIRECT("PREVIVAZ!$C$"&amp;$AA$2+1&amp;":$N$"&amp;$AA$2+1&amp;""),1,MATCH($A49,PREVIVAZ!$C$1:$N$1,1)))</f>
        <v>#N/A</v>
      </c>
      <c r="AB49" s="213" t="e">
        <f ca="1">IFERROR(INDEX(PREVS_SMAP!$AU$28:$BA$347,MATCH(Propagações_TOT_ITAIPU!AB$2,PREVS_SMAP!$R$28:$R$347,0),MATCH(Propagações_TOT_ITAIPU!$A49,PREVS_SMAP!$AU$27:$BA$27,0)),INDEX(INDIRECT("PREVIVAZ!$C$"&amp;AB$2+1&amp;":$N$"&amp;AB$2+1&amp;""),1,MATCH($A49,PREVIVAZ!$C$1:$N$1,1)))</f>
        <v>#N/A</v>
      </c>
      <c r="AC49" s="213" t="e">
        <f ca="1">IFERROR(INDEX(PREVS_SMAP!$AU$28:$BA$347,MATCH(Propagações_TOT_ITAIPU!AC$2,PREVS_SMAP!$R$28:$R$347,0),MATCH(Propagações_TOT_ITAIPU!$A49,PREVS_SMAP!$AU$27:$BA$27,0)),INDEX(INDIRECT("PREVIVAZ!$C$"&amp;AC$2+1&amp;":$N$"&amp;AC$2+1&amp;""),1,MATCH($A49,PREVIVAZ!$C$1:$N$1,1)))</f>
        <v>#N/A</v>
      </c>
      <c r="AE49" s="272" t="e">
        <f ca="1">Propagações_TOT_TIETE!$X49</f>
        <v>#N/A</v>
      </c>
    </row>
    <row r="50" spans="1:31" x14ac:dyDescent="0.2">
      <c r="A50" s="49">
        <f t="shared" ca="1" si="9"/>
        <v>43849</v>
      </c>
      <c r="B50" s="53"/>
      <c r="C50" s="53"/>
      <c r="D50" s="52"/>
      <c r="E50" s="67" t="e">
        <f ca="1">INDEX(RESULTADOS!$A:$BA,MATCH($A50,RESULTADOS!$A:$A,0),MATCH(E$1,RESULTADOS!$1:$1,0))</f>
        <v>#N/A</v>
      </c>
      <c r="F50" s="67" t="e">
        <f ca="1">INDEX(RESULTADOS!$A:$BA,MATCH($A50,RESULTADOS!$A:$A,0),MATCH(F$1,RESULTADOS!$1:$1,0))</f>
        <v>#N/A</v>
      </c>
      <c r="G50" s="67" t="e">
        <f ca="1">INDEX(RESULTADOS!$A:$BA,MATCH($A50,RESULTADOS!$A:$A,0),MATCH(G$1,RESULTADOS!$1:$1,0))</f>
        <v>#N/A</v>
      </c>
      <c r="H50" s="67" t="e">
        <f ca="1">INDEX(RESULTADOS!$A:$BA,MATCH($A50,RESULTADOS!$A:$A,0),MATCH(H$1,RESULTADOS!$1:$1,0))</f>
        <v>#N/A</v>
      </c>
      <c r="I50" s="67" t="e">
        <f ca="1">INDEX(RESULTADOS!$A:$BA,MATCH($A50,RESULTADOS!$A:$A,0),MATCH(I$1,RESULTADOS!$1:$1,0))</f>
        <v>#N/A</v>
      </c>
      <c r="J50" s="51" t="e">
        <f t="shared" ca="1" si="2"/>
        <v>#N/A</v>
      </c>
      <c r="K50" s="43"/>
      <c r="L50" s="43"/>
      <c r="M50" s="211" t="e">
        <f ca="1">Propagações_TOT_PARANAPANEMA!AB50</f>
        <v>#N/A</v>
      </c>
      <c r="N50" s="213" t="e">
        <f ca="1">IFERROR(INDEX(PREVS_SMAP!$D$132:$Q$134,MATCH(Propagações_TOT_ITAIPU!N$2,PREVS_SMAP!$A$132:$A$134,0),MATCH(Propagações_TOT_ITAIPU!$A50,PREVS_SMAP!$D$131:$Q$131,0)),INDEX(INDIRECT("PREVIVAZ!$C$"&amp;N$6+1&amp;":$N$"&amp;N$6+1&amp;""),1,MATCH($A50,PREVIVAZ!$C$1:$N$1,1)))</f>
        <v>#N/A</v>
      </c>
      <c r="O50" s="213" t="e">
        <f ca="1">IFERROR(INDEX(PREVS_SMAP!$D$132:$Q$134,MATCH(Propagações_TOT_ITAIPU!O$2,PREVS_SMAP!$A$132:$A$134,0),MATCH(Propagações_TOT_ITAIPU!$A50,PREVS_SMAP!$D$131:$Q$131,0)),INDEX(INDIRECT("PREVIVAZ!$C$"&amp;O$6+1&amp;":$N$"&amp;O$6+1&amp;""),1,MATCH($A50,PREVIVAZ!$C$1:$N$1,1)))</f>
        <v>#N/A</v>
      </c>
      <c r="P50" s="213" t="e">
        <f ca="1">IFERROR(INDEX(PREVS_SMAP!$D$132:$Q$134,MATCH(Propagações_TOT_ITAIPU!P$2,PREVS_SMAP!$A$132:$A$134,0),MATCH(Propagações_TOT_ITAIPU!$A50,PREVS_SMAP!$D$131:$Q$131,0)),INDEX(INDIRECT("PREVIVAZ!$C$"&amp;P$6+1&amp;":$N$"&amp;P$6+1&amp;""),1,MATCH($A50,PREVIVAZ!$C$1:$N$1,1)))</f>
        <v>#N/A</v>
      </c>
      <c r="Q50" s="213" t="e">
        <f ca="1">IFERROR(INDEX(PREVS_SMAP!$D$132:$Q$134,MATCH(Propagações_TOT_ITAIPU!Q$2,PREVS_SMAP!$A$132:$A$134,0),MATCH(Propagações_TOT_ITAIPU!$A50,PREVS_SMAP!$D$131:$Q$131,0)),INDEX(INDIRECT("PREVIVAZ!$C$"&amp;Q$6+1&amp;":$N$"&amp;Q$6+1&amp;""),1,MATCH($A50,PREVIVAZ!$C$1:$N$1,1)))</f>
        <v>#N/A</v>
      </c>
      <c r="R50" s="211" t="e">
        <f t="shared" ca="1" si="10"/>
        <v>#N/A</v>
      </c>
      <c r="S50" s="214" t="e">
        <f t="shared" ca="1" si="11"/>
        <v>#N/A</v>
      </c>
      <c r="T50" s="214" t="e">
        <f t="shared" ca="1" si="12"/>
        <v>#N/A</v>
      </c>
      <c r="U50" s="215" t="e">
        <f t="shared" ca="1" si="13"/>
        <v>#N/A</v>
      </c>
      <c r="V50" s="214" t="e">
        <f t="shared" ca="1" si="14"/>
        <v>#N/A</v>
      </c>
      <c r="W50" s="214" t="e">
        <f t="shared" ca="1" si="15"/>
        <v>#N/A</v>
      </c>
      <c r="X50" s="216"/>
      <c r="Y50" s="211" t="e">
        <f ca="1">Propagações_TOT_GRANDE!AP50</f>
        <v>#N/A</v>
      </c>
      <c r="Z50" s="211" t="e">
        <f ca="1">Propagações_TOT_PARANAIBA!AJ50</f>
        <v>#N/A</v>
      </c>
      <c r="AA50" s="213" t="e">
        <f ca="1">IFERROR(INDEX(PREVS_SMAP!$AU$28:$BA$347,MATCH(Propagações_TOT_ITAIPU!AA$2,PREVS_SMAP!$R$28:$R$347,0),MATCH(Propagações_TOT_ITAIPU!$A50,PREVS_SMAP!$AU$27:$BA$27,0)),INDEX(INDIRECT("PREVIVAZ!$C$"&amp;$AA$2+1&amp;":$N$"&amp;$AA$2+1&amp;""),1,MATCH($A50,PREVIVAZ!$C$1:$N$1,1)))</f>
        <v>#N/A</v>
      </c>
      <c r="AB50" s="213" t="e">
        <f ca="1">IFERROR(INDEX(PREVS_SMAP!$AU$28:$BA$347,MATCH(Propagações_TOT_ITAIPU!AB$2,PREVS_SMAP!$R$28:$R$347,0),MATCH(Propagações_TOT_ITAIPU!$A50,PREVS_SMAP!$AU$27:$BA$27,0)),INDEX(INDIRECT("PREVIVAZ!$C$"&amp;AB$2+1&amp;":$N$"&amp;AB$2+1&amp;""),1,MATCH($A50,PREVIVAZ!$C$1:$N$1,1)))</f>
        <v>#N/A</v>
      </c>
      <c r="AC50" s="213" t="e">
        <f ca="1">IFERROR(INDEX(PREVS_SMAP!$AU$28:$BA$347,MATCH(Propagações_TOT_ITAIPU!AC$2,PREVS_SMAP!$R$28:$R$347,0),MATCH(Propagações_TOT_ITAIPU!$A50,PREVS_SMAP!$AU$27:$BA$27,0)),INDEX(INDIRECT("PREVIVAZ!$C$"&amp;AC$2+1&amp;":$N$"&amp;AC$2+1&amp;""),1,MATCH($A50,PREVIVAZ!$C$1:$N$1,1)))</f>
        <v>#N/A</v>
      </c>
      <c r="AE50" s="272" t="e">
        <f ca="1">Propagações_TOT_TIETE!$X50</f>
        <v>#N/A</v>
      </c>
    </row>
    <row r="51" spans="1:31" x14ac:dyDescent="0.2">
      <c r="A51" s="49">
        <f t="shared" ca="1" si="9"/>
        <v>43850</v>
      </c>
      <c r="B51" s="72"/>
      <c r="C51" s="72"/>
      <c r="D51" s="72"/>
      <c r="E51" s="67" t="e">
        <f ca="1">INDEX(RESULTADOS!$A:$BA,MATCH($A51,RESULTADOS!$A:$A,0),MATCH(E$1,RESULTADOS!$1:$1,0))</f>
        <v>#N/A</v>
      </c>
      <c r="F51" s="67" t="e">
        <f ca="1">INDEX(RESULTADOS!$A:$BA,MATCH($A51,RESULTADOS!$A:$A,0),MATCH(F$1,RESULTADOS!$1:$1,0))</f>
        <v>#N/A</v>
      </c>
      <c r="G51" s="67" t="e">
        <f ca="1">INDEX(RESULTADOS!$A:$BA,MATCH($A51,RESULTADOS!$A:$A,0),MATCH(G$1,RESULTADOS!$1:$1,0))</f>
        <v>#N/A</v>
      </c>
      <c r="H51" s="67" t="e">
        <f ca="1">INDEX(RESULTADOS!$A:$BA,MATCH($A51,RESULTADOS!$A:$A,0),MATCH(H$1,RESULTADOS!$1:$1,0))</f>
        <v>#N/A</v>
      </c>
      <c r="I51" s="67" t="e">
        <f ca="1">INDEX(RESULTADOS!$A:$BA,MATCH($A51,RESULTADOS!$A:$A,0),MATCH(I$1,RESULTADOS!$1:$1,0))</f>
        <v>#N/A</v>
      </c>
      <c r="J51" s="51" t="e">
        <f t="shared" ca="1" si="2"/>
        <v>#N/A</v>
      </c>
      <c r="K51" s="43"/>
      <c r="L51" s="43"/>
      <c r="M51" s="211" t="e">
        <f ca="1">Propagações_TOT_PARANAPANEMA!AB51</f>
        <v>#N/A</v>
      </c>
      <c r="N51" s="213" t="e">
        <f ca="1">IFERROR(INDEX(PREVS_SMAP!$D$132:$Q$134,MATCH(Propagações_TOT_ITAIPU!N$2,PREVS_SMAP!$A$132:$A$134,0),MATCH(Propagações_TOT_ITAIPU!$A51,PREVS_SMAP!$D$131:$Q$131,0)),INDEX(INDIRECT("PREVIVAZ!$C$"&amp;N$6+1&amp;":$N$"&amp;N$6+1&amp;""),1,MATCH($A51,PREVIVAZ!$C$1:$N$1,1)))</f>
        <v>#N/A</v>
      </c>
      <c r="O51" s="213" t="e">
        <f ca="1">IFERROR(INDEX(PREVS_SMAP!$D$132:$Q$134,MATCH(Propagações_TOT_ITAIPU!O$2,PREVS_SMAP!$A$132:$A$134,0),MATCH(Propagações_TOT_ITAIPU!$A51,PREVS_SMAP!$D$131:$Q$131,0)),INDEX(INDIRECT("PREVIVAZ!$C$"&amp;O$6+1&amp;":$N$"&amp;O$6+1&amp;""),1,MATCH($A51,PREVIVAZ!$C$1:$N$1,1)))</f>
        <v>#N/A</v>
      </c>
      <c r="P51" s="213" t="e">
        <f ca="1">IFERROR(INDEX(PREVS_SMAP!$D$132:$Q$134,MATCH(Propagações_TOT_ITAIPU!P$2,PREVS_SMAP!$A$132:$A$134,0),MATCH(Propagações_TOT_ITAIPU!$A51,PREVS_SMAP!$D$131:$Q$131,0)),INDEX(INDIRECT("PREVIVAZ!$C$"&amp;P$6+1&amp;":$N$"&amp;P$6+1&amp;""),1,MATCH($A51,PREVIVAZ!$C$1:$N$1,1)))</f>
        <v>#N/A</v>
      </c>
      <c r="Q51" s="213" t="e">
        <f ca="1">IFERROR(INDEX(PREVS_SMAP!$D$132:$Q$134,MATCH(Propagações_TOT_ITAIPU!Q$2,PREVS_SMAP!$A$132:$A$134,0),MATCH(Propagações_TOT_ITAIPU!$A51,PREVS_SMAP!$D$131:$Q$131,0)),INDEX(INDIRECT("PREVIVAZ!$C$"&amp;Q$6+1&amp;":$N$"&amp;Q$6+1&amp;""),1,MATCH($A51,PREVIVAZ!$C$1:$N$1,1)))</f>
        <v>#N/A</v>
      </c>
      <c r="R51" s="211" t="e">
        <f t="shared" ca="1" si="10"/>
        <v>#N/A</v>
      </c>
      <c r="S51" s="214" t="e">
        <f t="shared" ca="1" si="11"/>
        <v>#N/A</v>
      </c>
      <c r="T51" s="214" t="e">
        <f t="shared" ca="1" si="12"/>
        <v>#N/A</v>
      </c>
      <c r="U51" s="215" t="e">
        <f t="shared" ca="1" si="13"/>
        <v>#N/A</v>
      </c>
      <c r="V51" s="214" t="e">
        <f t="shared" ca="1" si="14"/>
        <v>#N/A</v>
      </c>
      <c r="W51" s="214" t="e">
        <f t="shared" ca="1" si="15"/>
        <v>#N/A</v>
      </c>
      <c r="X51" s="216"/>
      <c r="Y51" s="211" t="e">
        <f ca="1">Propagações_TOT_GRANDE!AP51</f>
        <v>#N/A</v>
      </c>
      <c r="Z51" s="211" t="e">
        <f ca="1">Propagações_TOT_PARANAIBA!AJ51</f>
        <v>#N/A</v>
      </c>
      <c r="AA51" s="213" t="e">
        <f ca="1">IFERROR(INDEX(PREVS_SMAP!$AU$28:$BA$347,MATCH(Propagações_TOT_ITAIPU!AA$2,PREVS_SMAP!$R$28:$R$347,0),MATCH(Propagações_TOT_ITAIPU!$A51,PREVS_SMAP!$AU$27:$BA$27,0)),INDEX(INDIRECT("PREVIVAZ!$C$"&amp;$AA$2+1&amp;":$N$"&amp;$AA$2+1&amp;""),1,MATCH($A51,PREVIVAZ!$C$1:$N$1,1)))</f>
        <v>#N/A</v>
      </c>
      <c r="AB51" s="213" t="e">
        <f ca="1">IFERROR(INDEX(PREVS_SMAP!$AU$28:$BA$347,MATCH(Propagações_TOT_ITAIPU!AB$2,PREVS_SMAP!$R$28:$R$347,0),MATCH(Propagações_TOT_ITAIPU!$A51,PREVS_SMAP!$AU$27:$BA$27,0)),INDEX(INDIRECT("PREVIVAZ!$C$"&amp;AB$2+1&amp;":$N$"&amp;AB$2+1&amp;""),1,MATCH($A51,PREVIVAZ!$C$1:$N$1,1)))</f>
        <v>#N/A</v>
      </c>
      <c r="AC51" s="213" t="e">
        <f ca="1">IFERROR(INDEX(PREVS_SMAP!$AU$28:$BA$347,MATCH(Propagações_TOT_ITAIPU!AC$2,PREVS_SMAP!$R$28:$R$347,0),MATCH(Propagações_TOT_ITAIPU!$A51,PREVS_SMAP!$AU$27:$BA$27,0)),INDEX(INDIRECT("PREVIVAZ!$C$"&amp;AC$2+1&amp;":$N$"&amp;AC$2+1&amp;""),1,MATCH($A51,PREVIVAZ!$C$1:$N$1,1)))</f>
        <v>#N/A</v>
      </c>
      <c r="AE51" s="272" t="e">
        <f ca="1">Propagações_TOT_TIETE!$X51</f>
        <v>#N/A</v>
      </c>
    </row>
    <row r="52" spans="1:31" x14ac:dyDescent="0.2">
      <c r="A52" s="49">
        <f t="shared" ca="1" si="9"/>
        <v>43851</v>
      </c>
      <c r="B52" s="53"/>
      <c r="C52" s="53"/>
      <c r="D52" s="52"/>
      <c r="E52" s="67" t="e">
        <f ca="1">INDEX(RESULTADOS!$A:$BA,MATCH($A52,RESULTADOS!$A:$A,0),MATCH(E$1,RESULTADOS!$1:$1,0))</f>
        <v>#N/A</v>
      </c>
      <c r="F52" s="67" t="e">
        <f ca="1">INDEX(RESULTADOS!$A:$BA,MATCH($A52,RESULTADOS!$A:$A,0),MATCH(F$1,RESULTADOS!$1:$1,0))</f>
        <v>#N/A</v>
      </c>
      <c r="G52" s="67" t="e">
        <f ca="1">INDEX(RESULTADOS!$A:$BA,MATCH($A52,RESULTADOS!$A:$A,0),MATCH(G$1,RESULTADOS!$1:$1,0))</f>
        <v>#N/A</v>
      </c>
      <c r="H52" s="67" t="e">
        <f ca="1">INDEX(RESULTADOS!$A:$BA,MATCH($A52,RESULTADOS!$A:$A,0),MATCH(H$1,RESULTADOS!$1:$1,0))</f>
        <v>#N/A</v>
      </c>
      <c r="I52" s="67" t="e">
        <f ca="1">INDEX(RESULTADOS!$A:$BA,MATCH($A52,RESULTADOS!$A:$A,0),MATCH(I$1,RESULTADOS!$1:$1,0))</f>
        <v>#N/A</v>
      </c>
      <c r="J52" s="51" t="e">
        <f t="shared" ca="1" si="2"/>
        <v>#N/A</v>
      </c>
      <c r="K52" s="43"/>
      <c r="L52" s="43"/>
      <c r="M52" s="211" t="e">
        <f ca="1">Propagações_TOT_PARANAPANEMA!AB52</f>
        <v>#N/A</v>
      </c>
      <c r="N52" s="213" t="e">
        <f ca="1">IFERROR(INDEX(PREVS_SMAP!$D$132:$Q$134,MATCH(Propagações_TOT_ITAIPU!N$2,PREVS_SMAP!$A$132:$A$134,0),MATCH(Propagações_TOT_ITAIPU!$A52,PREVS_SMAP!$D$131:$Q$131,0)),INDEX(INDIRECT("PREVIVAZ!$C$"&amp;N$6+1&amp;":$N$"&amp;N$6+1&amp;""),1,MATCH($A52,PREVIVAZ!$C$1:$N$1,1)))</f>
        <v>#N/A</v>
      </c>
      <c r="O52" s="213" t="e">
        <f ca="1">IFERROR(INDEX(PREVS_SMAP!$D$132:$Q$134,MATCH(Propagações_TOT_ITAIPU!O$2,PREVS_SMAP!$A$132:$A$134,0),MATCH(Propagações_TOT_ITAIPU!$A52,PREVS_SMAP!$D$131:$Q$131,0)),INDEX(INDIRECT("PREVIVAZ!$C$"&amp;O$6+1&amp;":$N$"&amp;O$6+1&amp;""),1,MATCH($A52,PREVIVAZ!$C$1:$N$1,1)))</f>
        <v>#N/A</v>
      </c>
      <c r="P52" s="213" t="e">
        <f ca="1">IFERROR(INDEX(PREVS_SMAP!$D$132:$Q$134,MATCH(Propagações_TOT_ITAIPU!P$2,PREVS_SMAP!$A$132:$A$134,0),MATCH(Propagações_TOT_ITAIPU!$A52,PREVS_SMAP!$D$131:$Q$131,0)),INDEX(INDIRECT("PREVIVAZ!$C$"&amp;P$6+1&amp;":$N$"&amp;P$6+1&amp;""),1,MATCH($A52,PREVIVAZ!$C$1:$N$1,1)))</f>
        <v>#N/A</v>
      </c>
      <c r="Q52" s="213" t="e">
        <f ca="1">IFERROR(INDEX(PREVS_SMAP!$D$132:$Q$134,MATCH(Propagações_TOT_ITAIPU!Q$2,PREVS_SMAP!$A$132:$A$134,0),MATCH(Propagações_TOT_ITAIPU!$A52,PREVS_SMAP!$D$131:$Q$131,0)),INDEX(INDIRECT("PREVIVAZ!$C$"&amp;Q$6+1&amp;":$N$"&amp;Q$6+1&amp;""),1,MATCH($A52,PREVIVAZ!$C$1:$N$1,1)))</f>
        <v>#N/A</v>
      </c>
      <c r="R52" s="211" t="e">
        <f t="shared" ca="1" si="10"/>
        <v>#N/A</v>
      </c>
      <c r="S52" s="214" t="e">
        <f t="shared" ca="1" si="11"/>
        <v>#N/A</v>
      </c>
      <c r="T52" s="214" t="e">
        <f t="shared" ca="1" si="12"/>
        <v>#N/A</v>
      </c>
      <c r="U52" s="215" t="e">
        <f t="shared" ca="1" si="13"/>
        <v>#N/A</v>
      </c>
      <c r="V52" s="214" t="e">
        <f t="shared" ca="1" si="14"/>
        <v>#N/A</v>
      </c>
      <c r="W52" s="214" t="e">
        <f t="shared" ca="1" si="15"/>
        <v>#N/A</v>
      </c>
      <c r="X52" s="216"/>
      <c r="Y52" s="211" t="e">
        <f ca="1">Propagações_TOT_GRANDE!AP52</f>
        <v>#N/A</v>
      </c>
      <c r="Z52" s="211" t="e">
        <f ca="1">Propagações_TOT_PARANAIBA!AJ52</f>
        <v>#N/A</v>
      </c>
      <c r="AA52" s="213" t="e">
        <f ca="1">IFERROR(INDEX(PREVS_SMAP!$AU$28:$BA$347,MATCH(Propagações_TOT_ITAIPU!AA$2,PREVS_SMAP!$R$28:$R$347,0),MATCH(Propagações_TOT_ITAIPU!$A52,PREVS_SMAP!$AU$27:$BA$27,0)),INDEX(INDIRECT("PREVIVAZ!$C$"&amp;$AA$2+1&amp;":$N$"&amp;$AA$2+1&amp;""),1,MATCH($A52,PREVIVAZ!$C$1:$N$1,1)))</f>
        <v>#N/A</v>
      </c>
      <c r="AB52" s="213" t="e">
        <f ca="1">IFERROR(INDEX(PREVS_SMAP!$AU$28:$BA$347,MATCH(Propagações_TOT_ITAIPU!AB$2,PREVS_SMAP!$R$28:$R$347,0),MATCH(Propagações_TOT_ITAIPU!$A52,PREVS_SMAP!$AU$27:$BA$27,0)),INDEX(INDIRECT("PREVIVAZ!$C$"&amp;AB$2+1&amp;":$N$"&amp;AB$2+1&amp;""),1,MATCH($A52,PREVIVAZ!$C$1:$N$1,1)))</f>
        <v>#N/A</v>
      </c>
      <c r="AC52" s="213" t="e">
        <f ca="1">IFERROR(INDEX(PREVS_SMAP!$AU$28:$BA$347,MATCH(Propagações_TOT_ITAIPU!AC$2,PREVS_SMAP!$R$28:$R$347,0),MATCH(Propagações_TOT_ITAIPU!$A52,PREVS_SMAP!$AU$27:$BA$27,0)),INDEX(INDIRECT("PREVIVAZ!$C$"&amp;AC$2+1&amp;":$N$"&amp;AC$2+1&amp;""),1,MATCH($A52,PREVIVAZ!$C$1:$N$1,1)))</f>
        <v>#N/A</v>
      </c>
      <c r="AE52" s="272" t="e">
        <f ca="1">Propagações_TOT_TIETE!$X52</f>
        <v>#N/A</v>
      </c>
    </row>
    <row r="53" spans="1:31" x14ac:dyDescent="0.2">
      <c r="A53" s="49">
        <f t="shared" ca="1" si="9"/>
        <v>43852</v>
      </c>
      <c r="B53" s="53"/>
      <c r="C53" s="53"/>
      <c r="D53" s="52"/>
      <c r="E53" s="67" t="e">
        <f ca="1">INDEX(RESULTADOS!$A:$BA,MATCH($A53,RESULTADOS!$A:$A,0),MATCH(E$1,RESULTADOS!$1:$1,0))</f>
        <v>#N/A</v>
      </c>
      <c r="F53" s="67" t="e">
        <f ca="1">INDEX(RESULTADOS!$A:$BA,MATCH($A53,RESULTADOS!$A:$A,0),MATCH(F$1,RESULTADOS!$1:$1,0))</f>
        <v>#N/A</v>
      </c>
      <c r="G53" s="67" t="e">
        <f ca="1">INDEX(RESULTADOS!$A:$BA,MATCH($A53,RESULTADOS!$A:$A,0),MATCH(G$1,RESULTADOS!$1:$1,0))</f>
        <v>#N/A</v>
      </c>
      <c r="H53" s="67" t="e">
        <f ca="1">INDEX(RESULTADOS!$A:$BA,MATCH($A53,RESULTADOS!$A:$A,0),MATCH(H$1,RESULTADOS!$1:$1,0))</f>
        <v>#N/A</v>
      </c>
      <c r="I53" s="67" t="e">
        <f ca="1">INDEX(RESULTADOS!$A:$BA,MATCH($A53,RESULTADOS!$A:$A,0),MATCH(I$1,RESULTADOS!$1:$1,0))</f>
        <v>#N/A</v>
      </c>
      <c r="J53" s="51" t="e">
        <f t="shared" ca="1" si="2"/>
        <v>#N/A</v>
      </c>
      <c r="K53" s="43"/>
      <c r="L53" s="43"/>
      <c r="M53" s="211" t="e">
        <f ca="1">Propagações_TOT_PARANAPANEMA!AB53</f>
        <v>#N/A</v>
      </c>
      <c r="N53" s="213" t="e">
        <f ca="1">IFERROR(INDEX(PREVS_SMAP!$D$132:$Q$134,MATCH(Propagações_TOT_ITAIPU!N$2,PREVS_SMAP!$A$132:$A$134,0),MATCH(Propagações_TOT_ITAIPU!$A53,PREVS_SMAP!$D$131:$Q$131,0)),INDEX(INDIRECT("PREVIVAZ!$C$"&amp;N$6+1&amp;":$N$"&amp;N$6+1&amp;""),1,MATCH($A53,PREVIVAZ!$C$1:$N$1,1)))</f>
        <v>#N/A</v>
      </c>
      <c r="O53" s="213" t="e">
        <f ca="1">IFERROR(INDEX(PREVS_SMAP!$D$132:$Q$134,MATCH(Propagações_TOT_ITAIPU!O$2,PREVS_SMAP!$A$132:$A$134,0),MATCH(Propagações_TOT_ITAIPU!$A53,PREVS_SMAP!$D$131:$Q$131,0)),INDEX(INDIRECT("PREVIVAZ!$C$"&amp;O$6+1&amp;":$N$"&amp;O$6+1&amp;""),1,MATCH($A53,PREVIVAZ!$C$1:$N$1,1)))</f>
        <v>#N/A</v>
      </c>
      <c r="P53" s="213" t="e">
        <f ca="1">IFERROR(INDEX(PREVS_SMAP!$D$132:$Q$134,MATCH(Propagações_TOT_ITAIPU!P$2,PREVS_SMAP!$A$132:$A$134,0),MATCH(Propagações_TOT_ITAIPU!$A53,PREVS_SMAP!$D$131:$Q$131,0)),INDEX(INDIRECT("PREVIVAZ!$C$"&amp;P$6+1&amp;":$N$"&amp;P$6+1&amp;""),1,MATCH($A53,PREVIVAZ!$C$1:$N$1,1)))</f>
        <v>#N/A</v>
      </c>
      <c r="Q53" s="213" t="e">
        <f ca="1">IFERROR(INDEX(PREVS_SMAP!$D$132:$Q$134,MATCH(Propagações_TOT_ITAIPU!Q$2,PREVS_SMAP!$A$132:$A$134,0),MATCH(Propagações_TOT_ITAIPU!$A53,PREVS_SMAP!$D$131:$Q$131,0)),INDEX(INDIRECT("PREVIVAZ!$C$"&amp;Q$6+1&amp;":$N$"&amp;Q$6+1&amp;""),1,MATCH($A53,PREVIVAZ!$C$1:$N$1,1)))</f>
        <v>#N/A</v>
      </c>
      <c r="R53" s="211" t="e">
        <f t="shared" ca="1" si="10"/>
        <v>#N/A</v>
      </c>
      <c r="S53" s="214" t="e">
        <f t="shared" ca="1" si="11"/>
        <v>#N/A</v>
      </c>
      <c r="T53" s="214" t="e">
        <f t="shared" ca="1" si="12"/>
        <v>#N/A</v>
      </c>
      <c r="U53" s="215" t="e">
        <f t="shared" ca="1" si="13"/>
        <v>#N/A</v>
      </c>
      <c r="V53" s="214" t="e">
        <f t="shared" ca="1" si="14"/>
        <v>#N/A</v>
      </c>
      <c r="W53" s="214" t="e">
        <f t="shared" ca="1" si="15"/>
        <v>#N/A</v>
      </c>
      <c r="X53" s="216"/>
      <c r="Y53" s="211" t="e">
        <f ca="1">Propagações_TOT_GRANDE!AP53</f>
        <v>#N/A</v>
      </c>
      <c r="Z53" s="211" t="e">
        <f ca="1">Propagações_TOT_PARANAIBA!AJ53</f>
        <v>#N/A</v>
      </c>
      <c r="AA53" s="213" t="e">
        <f ca="1">IFERROR(INDEX(PREVS_SMAP!$AU$28:$BA$347,MATCH(Propagações_TOT_ITAIPU!AA$2,PREVS_SMAP!$R$28:$R$347,0),MATCH(Propagações_TOT_ITAIPU!$A53,PREVS_SMAP!$AU$27:$BA$27,0)),INDEX(INDIRECT("PREVIVAZ!$C$"&amp;$AA$2+1&amp;":$N$"&amp;$AA$2+1&amp;""),1,MATCH($A53,PREVIVAZ!$C$1:$N$1,1)))</f>
        <v>#N/A</v>
      </c>
      <c r="AB53" s="213" t="e">
        <f ca="1">IFERROR(INDEX(PREVS_SMAP!$AU$28:$BA$347,MATCH(Propagações_TOT_ITAIPU!AB$2,PREVS_SMAP!$R$28:$R$347,0),MATCH(Propagações_TOT_ITAIPU!$A53,PREVS_SMAP!$AU$27:$BA$27,0)),INDEX(INDIRECT("PREVIVAZ!$C$"&amp;AB$2+1&amp;":$N$"&amp;AB$2+1&amp;""),1,MATCH($A53,PREVIVAZ!$C$1:$N$1,1)))</f>
        <v>#N/A</v>
      </c>
      <c r="AC53" s="213" t="e">
        <f ca="1">IFERROR(INDEX(PREVS_SMAP!$AU$28:$BA$347,MATCH(Propagações_TOT_ITAIPU!AC$2,PREVS_SMAP!$R$28:$R$347,0),MATCH(Propagações_TOT_ITAIPU!$A53,PREVS_SMAP!$AU$27:$BA$27,0)),INDEX(INDIRECT("PREVIVAZ!$C$"&amp;AC$2+1&amp;":$N$"&amp;AC$2+1&amp;""),1,MATCH($A53,PREVIVAZ!$C$1:$N$1,1)))</f>
        <v>#N/A</v>
      </c>
      <c r="AE53" s="272" t="e">
        <f ca="1">Propagações_TOT_TIETE!$X53</f>
        <v>#N/A</v>
      </c>
    </row>
    <row r="54" spans="1:31" x14ac:dyDescent="0.2">
      <c r="A54" s="82">
        <f t="shared" ca="1" si="9"/>
        <v>43853</v>
      </c>
      <c r="B54" s="89"/>
      <c r="C54" s="89"/>
      <c r="D54" s="89"/>
      <c r="E54" s="67" t="e">
        <f ca="1">INDEX(RESULTADOS!$A:$BA,MATCH($A54,RESULTADOS!$A:$A,0),MATCH(E$1,RESULTADOS!$1:$1,0))</f>
        <v>#N/A</v>
      </c>
      <c r="F54" s="67" t="e">
        <f ca="1">INDEX(RESULTADOS!$A:$BA,MATCH($A54,RESULTADOS!$A:$A,0),MATCH(F$1,RESULTADOS!$1:$1,0))</f>
        <v>#N/A</v>
      </c>
      <c r="G54" s="67" t="e">
        <f ca="1">INDEX(RESULTADOS!$A:$BA,MATCH($A54,RESULTADOS!$A:$A,0),MATCH(G$1,RESULTADOS!$1:$1,0))</f>
        <v>#N/A</v>
      </c>
      <c r="H54" s="67" t="e">
        <f ca="1">INDEX(RESULTADOS!$A:$BA,MATCH($A54,RESULTADOS!$A:$A,0),MATCH(H$1,RESULTADOS!$1:$1,0))</f>
        <v>#N/A</v>
      </c>
      <c r="I54" s="67" t="e">
        <f ca="1">INDEX(RESULTADOS!$A:$BA,MATCH($A54,RESULTADOS!$A:$A,0),MATCH(I$1,RESULTADOS!$1:$1,0))</f>
        <v>#N/A</v>
      </c>
      <c r="J54" s="83" t="e">
        <f t="shared" ca="1" si="2"/>
        <v>#N/A</v>
      </c>
      <c r="K54" s="85"/>
      <c r="L54" s="86"/>
      <c r="M54" s="211" t="e">
        <f ca="1">Propagações_TOT_PARANAPANEMA!AB54</f>
        <v>#N/A</v>
      </c>
      <c r="N54" s="213" t="e">
        <f ca="1">IFERROR(INDEX(PREVS_SMAP!$D$132:$Q$134,MATCH(Propagações_TOT_ITAIPU!N$2,PREVS_SMAP!$A$132:$A$134,0),MATCH(Propagações_TOT_ITAIPU!$A54,PREVS_SMAP!$D$131:$Q$131,0)),INDEX(INDIRECT("PREVIVAZ!$C$"&amp;N$6+1&amp;":$N$"&amp;N$6+1&amp;""),1,MATCH($A54,PREVIVAZ!$C$1:$N$1,1)))</f>
        <v>#N/A</v>
      </c>
      <c r="O54" s="213" t="e">
        <f ca="1">IFERROR(INDEX(PREVS_SMAP!$D$132:$Q$134,MATCH(Propagações_TOT_ITAIPU!O$2,PREVS_SMAP!$A$132:$A$134,0),MATCH(Propagações_TOT_ITAIPU!$A54,PREVS_SMAP!$D$131:$Q$131,0)),INDEX(INDIRECT("PREVIVAZ!$C$"&amp;O$6+1&amp;":$N$"&amp;O$6+1&amp;""),1,MATCH($A54,PREVIVAZ!$C$1:$N$1,1)))</f>
        <v>#N/A</v>
      </c>
      <c r="P54" s="213" t="e">
        <f ca="1">IFERROR(INDEX(PREVS_SMAP!$D$132:$Q$134,MATCH(Propagações_TOT_ITAIPU!P$2,PREVS_SMAP!$A$132:$A$134,0),MATCH(Propagações_TOT_ITAIPU!$A54,PREVS_SMAP!$D$131:$Q$131,0)),INDEX(INDIRECT("PREVIVAZ!$C$"&amp;P$6+1&amp;":$N$"&amp;P$6+1&amp;""),1,MATCH($A54,PREVIVAZ!$C$1:$N$1,1)))</f>
        <v>#N/A</v>
      </c>
      <c r="Q54" s="213" t="e">
        <f ca="1">IFERROR(INDEX(PREVS_SMAP!$D$132:$Q$134,MATCH(Propagações_TOT_ITAIPU!Q$2,PREVS_SMAP!$A$132:$A$134,0),MATCH(Propagações_TOT_ITAIPU!$A54,PREVS_SMAP!$D$131:$Q$131,0)),INDEX(INDIRECT("PREVIVAZ!$C$"&amp;Q$6+1&amp;":$N$"&amp;Q$6+1&amp;""),1,MATCH($A54,PREVIVAZ!$C$1:$N$1,1)))</f>
        <v>#N/A</v>
      </c>
      <c r="R54" s="211" t="e">
        <f t="shared" ca="1" si="10"/>
        <v>#N/A</v>
      </c>
      <c r="S54" s="214" t="e">
        <f t="shared" ca="1" si="11"/>
        <v>#N/A</v>
      </c>
      <c r="T54" s="214" t="e">
        <f t="shared" ca="1" si="12"/>
        <v>#N/A</v>
      </c>
      <c r="U54" s="215" t="e">
        <f t="shared" ca="1" si="13"/>
        <v>#N/A</v>
      </c>
      <c r="V54" s="214" t="e">
        <f t="shared" ca="1" si="14"/>
        <v>#N/A</v>
      </c>
      <c r="W54" s="214" t="e">
        <f t="shared" ca="1" si="15"/>
        <v>#N/A</v>
      </c>
      <c r="X54" s="216"/>
      <c r="Y54" s="211" t="e">
        <f ca="1">Propagações_TOT_GRANDE!AP54</f>
        <v>#N/A</v>
      </c>
      <c r="Z54" s="211" t="e">
        <f ca="1">Propagações_TOT_PARANAIBA!AJ54</f>
        <v>#N/A</v>
      </c>
      <c r="AA54" s="213" t="e">
        <f ca="1">IFERROR(INDEX(PREVS_SMAP!$AU$28:$BA$347,MATCH(Propagações_TOT_ITAIPU!AA$2,PREVS_SMAP!$R$28:$R$347,0),MATCH(Propagações_TOT_ITAIPU!$A54,PREVS_SMAP!$AU$27:$BA$27,0)),INDEX(INDIRECT("PREVIVAZ!$C$"&amp;$AA$2+1&amp;":$N$"&amp;$AA$2+1&amp;""),1,MATCH($A54,PREVIVAZ!$C$1:$N$1,1)))</f>
        <v>#N/A</v>
      </c>
      <c r="AB54" s="213" t="e">
        <f ca="1">IFERROR(INDEX(PREVS_SMAP!$AU$28:$BA$347,MATCH(Propagações_TOT_ITAIPU!AB$2,PREVS_SMAP!$R$28:$R$347,0),MATCH(Propagações_TOT_ITAIPU!$A54,PREVS_SMAP!$AU$27:$BA$27,0)),INDEX(INDIRECT("PREVIVAZ!$C$"&amp;AB$2+1&amp;":$N$"&amp;AB$2+1&amp;""),1,MATCH($A54,PREVIVAZ!$C$1:$N$1,1)))</f>
        <v>#N/A</v>
      </c>
      <c r="AC54" s="213" t="e">
        <f ca="1">IFERROR(INDEX(PREVS_SMAP!$AU$28:$BA$347,MATCH(Propagações_TOT_ITAIPU!AC$2,PREVS_SMAP!$R$28:$R$347,0),MATCH(Propagações_TOT_ITAIPU!$A54,PREVS_SMAP!$AU$27:$BA$27,0)),INDEX(INDIRECT("PREVIVAZ!$C$"&amp;AC$2+1&amp;":$N$"&amp;AC$2+1&amp;""),1,MATCH($A54,PREVIVAZ!$C$1:$N$1,1)))</f>
        <v>#N/A</v>
      </c>
      <c r="AE54" s="272" t="e">
        <f ca="1">Propagações_TOT_TIETE!$X54</f>
        <v>#N/A</v>
      </c>
    </row>
    <row r="55" spans="1:31" x14ac:dyDescent="0.2">
      <c r="A55" s="49">
        <f t="shared" ca="1" si="9"/>
        <v>43854</v>
      </c>
      <c r="B55" s="53"/>
      <c r="C55" s="53"/>
      <c r="D55" s="52"/>
      <c r="E55" s="67" t="e">
        <f ca="1">INDEX(RESULTADOS!$A:$BA,MATCH($A55,RESULTADOS!$A:$A,0),MATCH(E$1,RESULTADOS!$1:$1,0))</f>
        <v>#N/A</v>
      </c>
      <c r="F55" s="67" t="e">
        <f ca="1">INDEX(RESULTADOS!$A:$BA,MATCH($A55,RESULTADOS!$A:$A,0),MATCH(F$1,RESULTADOS!$1:$1,0))</f>
        <v>#N/A</v>
      </c>
      <c r="G55" s="67" t="e">
        <f ca="1">INDEX(RESULTADOS!$A:$BA,MATCH($A55,RESULTADOS!$A:$A,0),MATCH(G$1,RESULTADOS!$1:$1,0))</f>
        <v>#N/A</v>
      </c>
      <c r="H55" s="67" t="e">
        <f ca="1">INDEX(RESULTADOS!$A:$BA,MATCH($A55,RESULTADOS!$A:$A,0),MATCH(H$1,RESULTADOS!$1:$1,0))</f>
        <v>#N/A</v>
      </c>
      <c r="I55" s="67" t="e">
        <f ca="1">INDEX(RESULTADOS!$A:$BA,MATCH($A55,RESULTADOS!$A:$A,0),MATCH(I$1,RESULTADOS!$1:$1,0))</f>
        <v>#N/A</v>
      </c>
      <c r="J55" s="51" t="e">
        <f t="shared" ca="1" si="2"/>
        <v>#N/A</v>
      </c>
      <c r="K55" s="43"/>
      <c r="L55" s="43"/>
      <c r="M55" s="211" t="e">
        <f ca="1">Propagações_TOT_PARANAPANEMA!AB55</f>
        <v>#N/A</v>
      </c>
      <c r="N55" s="213" t="e">
        <f ca="1">IFERROR(INDEX(PREVS_SMAP!$D$132:$Q$134,MATCH(Propagações_TOT_ITAIPU!N$2,PREVS_SMAP!$A$132:$A$134,0),MATCH(Propagações_TOT_ITAIPU!$A55,PREVS_SMAP!$D$131:$Q$131,0)),INDEX(INDIRECT("PREVIVAZ!$C$"&amp;N$6+1&amp;":$N$"&amp;N$6+1&amp;""),1,MATCH($A55,PREVIVAZ!$C$1:$N$1,1)))</f>
        <v>#N/A</v>
      </c>
      <c r="O55" s="213" t="e">
        <f ca="1">IFERROR(INDEX(PREVS_SMAP!$D$132:$Q$134,MATCH(Propagações_TOT_ITAIPU!O$2,PREVS_SMAP!$A$132:$A$134,0),MATCH(Propagações_TOT_ITAIPU!$A55,PREVS_SMAP!$D$131:$Q$131,0)),INDEX(INDIRECT("PREVIVAZ!$C$"&amp;O$6+1&amp;":$N$"&amp;O$6+1&amp;""),1,MATCH($A55,PREVIVAZ!$C$1:$N$1,1)))</f>
        <v>#N/A</v>
      </c>
      <c r="P55" s="213" t="e">
        <f ca="1">IFERROR(INDEX(PREVS_SMAP!$D$132:$Q$134,MATCH(Propagações_TOT_ITAIPU!P$2,PREVS_SMAP!$A$132:$A$134,0),MATCH(Propagações_TOT_ITAIPU!$A55,PREVS_SMAP!$D$131:$Q$131,0)),INDEX(INDIRECT("PREVIVAZ!$C$"&amp;P$6+1&amp;":$N$"&amp;P$6+1&amp;""),1,MATCH($A55,PREVIVAZ!$C$1:$N$1,1)))</f>
        <v>#N/A</v>
      </c>
      <c r="Q55" s="213" t="e">
        <f ca="1">IFERROR(INDEX(PREVS_SMAP!$D$132:$Q$134,MATCH(Propagações_TOT_ITAIPU!Q$2,PREVS_SMAP!$A$132:$A$134,0),MATCH(Propagações_TOT_ITAIPU!$A55,PREVS_SMAP!$D$131:$Q$131,0)),INDEX(INDIRECT("PREVIVAZ!$C$"&amp;Q$6+1&amp;":$N$"&amp;Q$6+1&amp;""),1,MATCH($A55,PREVIVAZ!$C$1:$N$1,1)))</f>
        <v>#N/A</v>
      </c>
      <c r="R55" s="211" t="e">
        <f t="shared" ca="1" si="10"/>
        <v>#N/A</v>
      </c>
      <c r="S55" s="214" t="e">
        <f t="shared" ca="1" si="11"/>
        <v>#N/A</v>
      </c>
      <c r="T55" s="214" t="e">
        <f t="shared" ca="1" si="12"/>
        <v>#N/A</v>
      </c>
      <c r="U55" s="215" t="e">
        <f t="shared" ca="1" si="13"/>
        <v>#N/A</v>
      </c>
      <c r="V55" s="214" t="e">
        <f t="shared" ca="1" si="14"/>
        <v>#N/A</v>
      </c>
      <c r="W55" s="214" t="e">
        <f t="shared" ca="1" si="15"/>
        <v>#N/A</v>
      </c>
      <c r="X55" s="216"/>
      <c r="Y55" s="211" t="e">
        <f ca="1">Propagações_TOT_GRANDE!AP55</f>
        <v>#N/A</v>
      </c>
      <c r="Z55" s="211" t="e">
        <f ca="1">Propagações_TOT_PARANAIBA!AJ55</f>
        <v>#N/A</v>
      </c>
      <c r="AA55" s="213" t="e">
        <f ca="1">IFERROR(INDEX(PREVS_SMAP!$AU$28:$BA$347,MATCH(Propagações_TOT_ITAIPU!AA$2,PREVS_SMAP!$R$28:$R$347,0),MATCH(Propagações_TOT_ITAIPU!$A55,PREVS_SMAP!$AU$27:$BA$27,0)),INDEX(INDIRECT("PREVIVAZ!$C$"&amp;$AA$2+1&amp;":$N$"&amp;$AA$2+1&amp;""),1,MATCH($A55,PREVIVAZ!$C$1:$N$1,1)))</f>
        <v>#N/A</v>
      </c>
      <c r="AB55" s="213" t="e">
        <f ca="1">IFERROR(INDEX(PREVS_SMAP!$AU$28:$BA$347,MATCH(Propagações_TOT_ITAIPU!AB$2,PREVS_SMAP!$R$28:$R$347,0),MATCH(Propagações_TOT_ITAIPU!$A55,PREVS_SMAP!$AU$27:$BA$27,0)),INDEX(INDIRECT("PREVIVAZ!$C$"&amp;AB$2+1&amp;":$N$"&amp;AB$2+1&amp;""),1,MATCH($A55,PREVIVAZ!$C$1:$N$1,1)))</f>
        <v>#N/A</v>
      </c>
      <c r="AC55" s="213" t="e">
        <f ca="1">IFERROR(INDEX(PREVS_SMAP!$AU$28:$BA$347,MATCH(Propagações_TOT_ITAIPU!AC$2,PREVS_SMAP!$R$28:$R$347,0),MATCH(Propagações_TOT_ITAIPU!$A55,PREVS_SMAP!$AU$27:$BA$27,0)),INDEX(INDIRECT("PREVIVAZ!$C$"&amp;AC$2+1&amp;":$N$"&amp;AC$2+1&amp;""),1,MATCH($A55,PREVIVAZ!$C$1:$N$1,1)))</f>
        <v>#N/A</v>
      </c>
      <c r="AE55" s="272" t="e">
        <f ca="1">Propagações_TOT_TIETE!$X55</f>
        <v>#N/A</v>
      </c>
    </row>
    <row r="56" spans="1:31" x14ac:dyDescent="0.2">
      <c r="A56" s="49">
        <f t="shared" ca="1" si="9"/>
        <v>43855</v>
      </c>
      <c r="B56" s="53"/>
      <c r="C56" s="53"/>
      <c r="D56" s="52"/>
      <c r="E56" s="67" t="e">
        <f ca="1">INDEX(RESULTADOS!$A:$BA,MATCH($A56,RESULTADOS!$A:$A,0),MATCH(E$1,RESULTADOS!$1:$1,0))</f>
        <v>#N/A</v>
      </c>
      <c r="F56" s="67" t="e">
        <f ca="1">INDEX(RESULTADOS!$A:$BA,MATCH($A56,RESULTADOS!$A:$A,0),MATCH(F$1,RESULTADOS!$1:$1,0))</f>
        <v>#N/A</v>
      </c>
      <c r="G56" s="67" t="e">
        <f ca="1">INDEX(RESULTADOS!$A:$BA,MATCH($A56,RESULTADOS!$A:$A,0),MATCH(G$1,RESULTADOS!$1:$1,0))</f>
        <v>#N/A</v>
      </c>
      <c r="H56" s="67" t="e">
        <f ca="1">INDEX(RESULTADOS!$A:$BA,MATCH($A56,RESULTADOS!$A:$A,0),MATCH(H$1,RESULTADOS!$1:$1,0))</f>
        <v>#N/A</v>
      </c>
      <c r="I56" s="67" t="e">
        <f ca="1">INDEX(RESULTADOS!$A:$BA,MATCH($A56,RESULTADOS!$A:$A,0),MATCH(I$1,RESULTADOS!$1:$1,0))</f>
        <v>#N/A</v>
      </c>
      <c r="J56" s="51" t="e">
        <f t="shared" ca="1" si="2"/>
        <v>#N/A</v>
      </c>
      <c r="K56" s="43"/>
      <c r="L56" s="43"/>
      <c r="M56" s="211" t="e">
        <f ca="1">Propagações_TOT_PARANAPANEMA!AB56</f>
        <v>#N/A</v>
      </c>
      <c r="N56" s="213" t="e">
        <f ca="1">IFERROR(INDEX(PREVS_SMAP!$D$132:$Q$134,MATCH(Propagações_TOT_ITAIPU!N$2,PREVS_SMAP!$A$132:$A$134,0),MATCH(Propagações_TOT_ITAIPU!$A56,PREVS_SMAP!$D$131:$Q$131,0)),INDEX(INDIRECT("PREVIVAZ!$C$"&amp;N$6+1&amp;":$N$"&amp;N$6+1&amp;""),1,MATCH($A56,PREVIVAZ!$C$1:$N$1,1)))</f>
        <v>#N/A</v>
      </c>
      <c r="O56" s="213" t="e">
        <f ca="1">IFERROR(INDEX(PREVS_SMAP!$D$132:$Q$134,MATCH(Propagações_TOT_ITAIPU!O$2,PREVS_SMAP!$A$132:$A$134,0),MATCH(Propagações_TOT_ITAIPU!$A56,PREVS_SMAP!$D$131:$Q$131,0)),INDEX(INDIRECT("PREVIVAZ!$C$"&amp;O$6+1&amp;":$N$"&amp;O$6+1&amp;""),1,MATCH($A56,PREVIVAZ!$C$1:$N$1,1)))</f>
        <v>#N/A</v>
      </c>
      <c r="P56" s="213" t="e">
        <f ca="1">IFERROR(INDEX(PREVS_SMAP!$D$132:$Q$134,MATCH(Propagações_TOT_ITAIPU!P$2,PREVS_SMAP!$A$132:$A$134,0),MATCH(Propagações_TOT_ITAIPU!$A56,PREVS_SMAP!$D$131:$Q$131,0)),INDEX(INDIRECT("PREVIVAZ!$C$"&amp;P$6+1&amp;":$N$"&amp;P$6+1&amp;""),1,MATCH($A56,PREVIVAZ!$C$1:$N$1,1)))</f>
        <v>#N/A</v>
      </c>
      <c r="Q56" s="213" t="e">
        <f ca="1">IFERROR(INDEX(PREVS_SMAP!$D$132:$Q$134,MATCH(Propagações_TOT_ITAIPU!Q$2,PREVS_SMAP!$A$132:$A$134,0),MATCH(Propagações_TOT_ITAIPU!$A56,PREVS_SMAP!$D$131:$Q$131,0)),INDEX(INDIRECT("PREVIVAZ!$C$"&amp;Q$6+1&amp;":$N$"&amp;Q$6+1&amp;""),1,MATCH($A56,PREVIVAZ!$C$1:$N$1,1)))</f>
        <v>#N/A</v>
      </c>
      <c r="R56" s="211" t="e">
        <f t="shared" ca="1" si="10"/>
        <v>#N/A</v>
      </c>
      <c r="S56" s="214" t="e">
        <f t="shared" ca="1" si="11"/>
        <v>#N/A</v>
      </c>
      <c r="T56" s="214" t="e">
        <f t="shared" ca="1" si="12"/>
        <v>#N/A</v>
      </c>
      <c r="U56" s="215" t="e">
        <f t="shared" ca="1" si="13"/>
        <v>#N/A</v>
      </c>
      <c r="V56" s="214" t="e">
        <f t="shared" ca="1" si="14"/>
        <v>#N/A</v>
      </c>
      <c r="W56" s="214" t="e">
        <f t="shared" ca="1" si="15"/>
        <v>#N/A</v>
      </c>
      <c r="X56" s="216"/>
      <c r="Y56" s="211" t="e">
        <f ca="1">Propagações_TOT_GRANDE!AP56</f>
        <v>#N/A</v>
      </c>
      <c r="Z56" s="211" t="e">
        <f ca="1">Propagações_TOT_PARANAIBA!AJ56</f>
        <v>#N/A</v>
      </c>
      <c r="AA56" s="213" t="e">
        <f ca="1">IFERROR(INDEX(PREVS_SMAP!$AU$28:$BA$347,MATCH(Propagações_TOT_ITAIPU!AA$2,PREVS_SMAP!$R$28:$R$347,0),MATCH(Propagações_TOT_ITAIPU!$A56,PREVS_SMAP!$AU$27:$BA$27,0)),INDEX(INDIRECT("PREVIVAZ!$C$"&amp;$AA$2+1&amp;":$N$"&amp;$AA$2+1&amp;""),1,MATCH($A56,PREVIVAZ!$C$1:$N$1,1)))</f>
        <v>#N/A</v>
      </c>
      <c r="AB56" s="213" t="e">
        <f ca="1">IFERROR(INDEX(PREVS_SMAP!$AU$28:$BA$347,MATCH(Propagações_TOT_ITAIPU!AB$2,PREVS_SMAP!$R$28:$R$347,0),MATCH(Propagações_TOT_ITAIPU!$A56,PREVS_SMAP!$AU$27:$BA$27,0)),INDEX(INDIRECT("PREVIVAZ!$C$"&amp;AB$2+1&amp;":$N$"&amp;AB$2+1&amp;""),1,MATCH($A56,PREVIVAZ!$C$1:$N$1,1)))</f>
        <v>#N/A</v>
      </c>
      <c r="AC56" s="213" t="e">
        <f ca="1">IFERROR(INDEX(PREVS_SMAP!$AU$28:$BA$347,MATCH(Propagações_TOT_ITAIPU!AC$2,PREVS_SMAP!$R$28:$R$347,0),MATCH(Propagações_TOT_ITAIPU!$A56,PREVS_SMAP!$AU$27:$BA$27,0)),INDEX(INDIRECT("PREVIVAZ!$C$"&amp;AC$2+1&amp;":$N$"&amp;AC$2+1&amp;""),1,MATCH($A56,PREVIVAZ!$C$1:$N$1,1)))</f>
        <v>#N/A</v>
      </c>
      <c r="AE56" s="272" t="e">
        <f ca="1">Propagações_TOT_TIETE!$X56</f>
        <v>#N/A</v>
      </c>
    </row>
    <row r="57" spans="1:31" x14ac:dyDescent="0.2">
      <c r="A57" s="49">
        <f t="shared" ca="1" si="9"/>
        <v>43856</v>
      </c>
      <c r="B57" s="53"/>
      <c r="C57" s="53"/>
      <c r="D57" s="52"/>
      <c r="E57" s="67" t="e">
        <f ca="1">INDEX(RESULTADOS!$A:$BA,MATCH($A57,RESULTADOS!$A:$A,0),MATCH(E$1,RESULTADOS!$1:$1,0))</f>
        <v>#N/A</v>
      </c>
      <c r="F57" s="67" t="e">
        <f ca="1">INDEX(RESULTADOS!$A:$BA,MATCH($A57,RESULTADOS!$A:$A,0),MATCH(F$1,RESULTADOS!$1:$1,0))</f>
        <v>#N/A</v>
      </c>
      <c r="G57" s="67" t="e">
        <f ca="1">INDEX(RESULTADOS!$A:$BA,MATCH($A57,RESULTADOS!$A:$A,0),MATCH(G$1,RESULTADOS!$1:$1,0))</f>
        <v>#N/A</v>
      </c>
      <c r="H57" s="67" t="e">
        <f ca="1">INDEX(RESULTADOS!$A:$BA,MATCH($A57,RESULTADOS!$A:$A,0),MATCH(H$1,RESULTADOS!$1:$1,0))</f>
        <v>#N/A</v>
      </c>
      <c r="I57" s="67" t="e">
        <f ca="1">INDEX(RESULTADOS!$A:$BA,MATCH($A57,RESULTADOS!$A:$A,0),MATCH(I$1,RESULTADOS!$1:$1,0))</f>
        <v>#N/A</v>
      </c>
      <c r="J57" s="51" t="e">
        <f t="shared" ca="1" si="2"/>
        <v>#N/A</v>
      </c>
      <c r="K57" s="43"/>
      <c r="L57" s="43"/>
      <c r="M57" s="211" t="e">
        <f ca="1">Propagações_TOT_PARANAPANEMA!AB57</f>
        <v>#N/A</v>
      </c>
      <c r="N57" s="213" t="e">
        <f ca="1">IFERROR(INDEX(PREVS_SMAP!$D$132:$Q$134,MATCH(Propagações_TOT_ITAIPU!N$2,PREVS_SMAP!$A$132:$A$134,0),MATCH(Propagações_TOT_ITAIPU!$A57,PREVS_SMAP!$D$131:$Q$131,0)),INDEX(INDIRECT("PREVIVAZ!$C$"&amp;N$6+1&amp;":$N$"&amp;N$6+1&amp;""),1,MATCH($A57,PREVIVAZ!$C$1:$N$1,1)))</f>
        <v>#N/A</v>
      </c>
      <c r="O57" s="213" t="e">
        <f ca="1">IFERROR(INDEX(PREVS_SMAP!$D$132:$Q$134,MATCH(Propagações_TOT_ITAIPU!O$2,PREVS_SMAP!$A$132:$A$134,0),MATCH(Propagações_TOT_ITAIPU!$A57,PREVS_SMAP!$D$131:$Q$131,0)),INDEX(INDIRECT("PREVIVAZ!$C$"&amp;O$6+1&amp;":$N$"&amp;O$6+1&amp;""),1,MATCH($A57,PREVIVAZ!$C$1:$N$1,1)))</f>
        <v>#N/A</v>
      </c>
      <c r="P57" s="213" t="e">
        <f ca="1">IFERROR(INDEX(PREVS_SMAP!$D$132:$Q$134,MATCH(Propagações_TOT_ITAIPU!P$2,PREVS_SMAP!$A$132:$A$134,0),MATCH(Propagações_TOT_ITAIPU!$A57,PREVS_SMAP!$D$131:$Q$131,0)),INDEX(INDIRECT("PREVIVAZ!$C$"&amp;P$6+1&amp;":$N$"&amp;P$6+1&amp;""),1,MATCH($A57,PREVIVAZ!$C$1:$N$1,1)))</f>
        <v>#N/A</v>
      </c>
      <c r="Q57" s="213" t="e">
        <f ca="1">IFERROR(INDEX(PREVS_SMAP!$D$132:$Q$134,MATCH(Propagações_TOT_ITAIPU!Q$2,PREVS_SMAP!$A$132:$A$134,0),MATCH(Propagações_TOT_ITAIPU!$A57,PREVS_SMAP!$D$131:$Q$131,0)),INDEX(INDIRECT("PREVIVAZ!$C$"&amp;Q$6+1&amp;":$N$"&amp;Q$6+1&amp;""),1,MATCH($A57,PREVIVAZ!$C$1:$N$1,1)))</f>
        <v>#N/A</v>
      </c>
      <c r="R57" s="211" t="e">
        <f t="shared" ca="1" si="10"/>
        <v>#N/A</v>
      </c>
      <c r="S57" s="214" t="e">
        <f t="shared" ca="1" si="11"/>
        <v>#N/A</v>
      </c>
      <c r="T57" s="214" t="e">
        <f t="shared" ca="1" si="12"/>
        <v>#N/A</v>
      </c>
      <c r="U57" s="215" t="e">
        <f t="shared" ca="1" si="13"/>
        <v>#N/A</v>
      </c>
      <c r="V57" s="214" t="e">
        <f t="shared" ca="1" si="14"/>
        <v>#N/A</v>
      </c>
      <c r="W57" s="214" t="e">
        <f t="shared" ca="1" si="15"/>
        <v>#N/A</v>
      </c>
      <c r="X57" s="216"/>
      <c r="Y57" s="211" t="e">
        <f ca="1">Propagações_TOT_GRANDE!AP57</f>
        <v>#N/A</v>
      </c>
      <c r="Z57" s="211" t="e">
        <f ca="1">Propagações_TOT_PARANAIBA!AJ57</f>
        <v>#N/A</v>
      </c>
      <c r="AA57" s="213" t="e">
        <f ca="1">IFERROR(INDEX(PREVS_SMAP!$AU$28:$BA$347,MATCH(Propagações_TOT_ITAIPU!AA$2,PREVS_SMAP!$R$28:$R$347,0),MATCH(Propagações_TOT_ITAIPU!$A57,PREVS_SMAP!$AU$27:$BA$27,0)),INDEX(INDIRECT("PREVIVAZ!$C$"&amp;$AA$2+1&amp;":$N$"&amp;$AA$2+1&amp;""),1,MATCH($A57,PREVIVAZ!$C$1:$N$1,1)))</f>
        <v>#N/A</v>
      </c>
      <c r="AB57" s="213" t="e">
        <f ca="1">IFERROR(INDEX(PREVS_SMAP!$AU$28:$BA$347,MATCH(Propagações_TOT_ITAIPU!AB$2,PREVS_SMAP!$R$28:$R$347,0),MATCH(Propagações_TOT_ITAIPU!$A57,PREVS_SMAP!$AU$27:$BA$27,0)),INDEX(INDIRECT("PREVIVAZ!$C$"&amp;AB$2+1&amp;":$N$"&amp;AB$2+1&amp;""),1,MATCH($A57,PREVIVAZ!$C$1:$N$1,1)))</f>
        <v>#N/A</v>
      </c>
      <c r="AC57" s="213" t="e">
        <f ca="1">IFERROR(INDEX(PREVS_SMAP!$AU$28:$BA$347,MATCH(Propagações_TOT_ITAIPU!AC$2,PREVS_SMAP!$R$28:$R$347,0),MATCH(Propagações_TOT_ITAIPU!$A57,PREVS_SMAP!$AU$27:$BA$27,0)),INDEX(INDIRECT("PREVIVAZ!$C$"&amp;AC$2+1&amp;":$N$"&amp;AC$2+1&amp;""),1,MATCH($A57,PREVIVAZ!$C$1:$N$1,1)))</f>
        <v>#N/A</v>
      </c>
      <c r="AE57" s="272" t="e">
        <f ca="1">Propagações_TOT_TIETE!$X57</f>
        <v>#N/A</v>
      </c>
    </row>
    <row r="58" spans="1:31" x14ac:dyDescent="0.2">
      <c r="A58" s="49">
        <f t="shared" ca="1" si="9"/>
        <v>43857</v>
      </c>
      <c r="B58" s="53"/>
      <c r="C58" s="53"/>
      <c r="D58" s="52"/>
      <c r="E58" s="67" t="e">
        <f ca="1">INDEX(RESULTADOS!$A:$BA,MATCH($A58,RESULTADOS!$A:$A,0),MATCH(E$1,RESULTADOS!$1:$1,0))</f>
        <v>#N/A</v>
      </c>
      <c r="F58" s="67" t="e">
        <f ca="1">INDEX(RESULTADOS!$A:$BA,MATCH($A58,RESULTADOS!$A:$A,0),MATCH(F$1,RESULTADOS!$1:$1,0))</f>
        <v>#N/A</v>
      </c>
      <c r="G58" s="67" t="e">
        <f ca="1">INDEX(RESULTADOS!$A:$BA,MATCH($A58,RESULTADOS!$A:$A,0),MATCH(G$1,RESULTADOS!$1:$1,0))</f>
        <v>#N/A</v>
      </c>
      <c r="H58" s="67" t="e">
        <f ca="1">INDEX(RESULTADOS!$A:$BA,MATCH($A58,RESULTADOS!$A:$A,0),MATCH(H$1,RESULTADOS!$1:$1,0))</f>
        <v>#N/A</v>
      </c>
      <c r="I58" s="67" t="e">
        <f ca="1">INDEX(RESULTADOS!$A:$BA,MATCH($A58,RESULTADOS!$A:$A,0),MATCH(I$1,RESULTADOS!$1:$1,0))</f>
        <v>#N/A</v>
      </c>
      <c r="J58" s="51" t="e">
        <f t="shared" ca="1" si="2"/>
        <v>#N/A</v>
      </c>
      <c r="K58" s="43"/>
      <c r="L58" s="43"/>
      <c r="M58" s="211" t="e">
        <f ca="1">Propagações_TOT_PARANAPANEMA!AB58</f>
        <v>#N/A</v>
      </c>
      <c r="N58" s="213" t="e">
        <f ca="1">IFERROR(INDEX(PREVS_SMAP!$D$132:$Q$134,MATCH(Propagações_TOT_ITAIPU!N$2,PREVS_SMAP!$A$132:$A$134,0),MATCH(Propagações_TOT_ITAIPU!$A58,PREVS_SMAP!$D$131:$Q$131,0)),INDEX(INDIRECT("PREVIVAZ!$C$"&amp;N$6+1&amp;":$N$"&amp;N$6+1&amp;""),1,MATCH($A58,PREVIVAZ!$C$1:$N$1,1)))</f>
        <v>#N/A</v>
      </c>
      <c r="O58" s="213" t="e">
        <f ca="1">IFERROR(INDEX(PREVS_SMAP!$D$132:$Q$134,MATCH(Propagações_TOT_ITAIPU!O$2,PREVS_SMAP!$A$132:$A$134,0),MATCH(Propagações_TOT_ITAIPU!$A58,PREVS_SMAP!$D$131:$Q$131,0)),INDEX(INDIRECT("PREVIVAZ!$C$"&amp;O$6+1&amp;":$N$"&amp;O$6+1&amp;""),1,MATCH($A58,PREVIVAZ!$C$1:$N$1,1)))</f>
        <v>#N/A</v>
      </c>
      <c r="P58" s="213" t="e">
        <f ca="1">IFERROR(INDEX(PREVS_SMAP!$D$132:$Q$134,MATCH(Propagações_TOT_ITAIPU!P$2,PREVS_SMAP!$A$132:$A$134,0),MATCH(Propagações_TOT_ITAIPU!$A58,PREVS_SMAP!$D$131:$Q$131,0)),INDEX(INDIRECT("PREVIVAZ!$C$"&amp;P$6+1&amp;":$N$"&amp;P$6+1&amp;""),1,MATCH($A58,PREVIVAZ!$C$1:$N$1,1)))</f>
        <v>#N/A</v>
      </c>
      <c r="Q58" s="213" t="e">
        <f ca="1">IFERROR(INDEX(PREVS_SMAP!$D$132:$Q$134,MATCH(Propagações_TOT_ITAIPU!Q$2,PREVS_SMAP!$A$132:$A$134,0),MATCH(Propagações_TOT_ITAIPU!$A58,PREVS_SMAP!$D$131:$Q$131,0)),INDEX(INDIRECT("PREVIVAZ!$C$"&amp;Q$6+1&amp;":$N$"&amp;Q$6+1&amp;""),1,MATCH($A58,PREVIVAZ!$C$1:$N$1,1)))</f>
        <v>#N/A</v>
      </c>
      <c r="R58" s="211" t="e">
        <f t="shared" ca="1" si="10"/>
        <v>#N/A</v>
      </c>
      <c r="S58" s="214" t="e">
        <f t="shared" ca="1" si="11"/>
        <v>#N/A</v>
      </c>
      <c r="T58" s="214" t="e">
        <f t="shared" ca="1" si="12"/>
        <v>#N/A</v>
      </c>
      <c r="U58" s="215" t="e">
        <f t="shared" ca="1" si="13"/>
        <v>#N/A</v>
      </c>
      <c r="V58" s="214" t="e">
        <f t="shared" ca="1" si="14"/>
        <v>#N/A</v>
      </c>
      <c r="W58" s="214" t="e">
        <f t="shared" ca="1" si="15"/>
        <v>#N/A</v>
      </c>
      <c r="X58" s="216"/>
      <c r="Y58" s="211" t="e">
        <f ca="1">Propagações_TOT_GRANDE!AP58</f>
        <v>#N/A</v>
      </c>
      <c r="Z58" s="211" t="e">
        <f ca="1">Propagações_TOT_PARANAIBA!AJ58</f>
        <v>#N/A</v>
      </c>
      <c r="AA58" s="213" t="e">
        <f ca="1">IFERROR(INDEX(PREVS_SMAP!$AU$28:$BA$347,MATCH(Propagações_TOT_ITAIPU!AA$2,PREVS_SMAP!$R$28:$R$347,0),MATCH(Propagações_TOT_ITAIPU!$A58,PREVS_SMAP!$AU$27:$BA$27,0)),INDEX(INDIRECT("PREVIVAZ!$C$"&amp;$AA$2+1&amp;":$N$"&amp;$AA$2+1&amp;""),1,MATCH($A58,PREVIVAZ!$C$1:$N$1,1)))</f>
        <v>#N/A</v>
      </c>
      <c r="AB58" s="213" t="e">
        <f ca="1">IFERROR(INDEX(PREVS_SMAP!$AU$28:$BA$347,MATCH(Propagações_TOT_ITAIPU!AB$2,PREVS_SMAP!$R$28:$R$347,0),MATCH(Propagações_TOT_ITAIPU!$A58,PREVS_SMAP!$AU$27:$BA$27,0)),INDEX(INDIRECT("PREVIVAZ!$C$"&amp;AB$2+1&amp;":$N$"&amp;AB$2+1&amp;""),1,MATCH($A58,PREVIVAZ!$C$1:$N$1,1)))</f>
        <v>#N/A</v>
      </c>
      <c r="AC58" s="213" t="e">
        <f ca="1">IFERROR(INDEX(PREVS_SMAP!$AU$28:$BA$347,MATCH(Propagações_TOT_ITAIPU!AC$2,PREVS_SMAP!$R$28:$R$347,0),MATCH(Propagações_TOT_ITAIPU!$A58,PREVS_SMAP!$AU$27:$BA$27,0)),INDEX(INDIRECT("PREVIVAZ!$C$"&amp;AC$2+1&amp;":$N$"&amp;AC$2+1&amp;""),1,MATCH($A58,PREVIVAZ!$C$1:$N$1,1)))</f>
        <v>#N/A</v>
      </c>
      <c r="AE58" s="272" t="e">
        <f ca="1">Propagações_TOT_TIETE!$X58</f>
        <v>#N/A</v>
      </c>
    </row>
    <row r="59" spans="1:31" x14ac:dyDescent="0.2">
      <c r="A59" s="49">
        <f t="shared" ca="1" si="9"/>
        <v>43858</v>
      </c>
      <c r="B59" s="53"/>
      <c r="C59" s="53"/>
      <c r="D59" s="52"/>
      <c r="E59" s="67" t="e">
        <f ca="1">INDEX(RESULTADOS!$A:$BA,MATCH($A59,RESULTADOS!$A:$A,0),MATCH(E$1,RESULTADOS!$1:$1,0))</f>
        <v>#N/A</v>
      </c>
      <c r="F59" s="67" t="e">
        <f ca="1">INDEX(RESULTADOS!$A:$BA,MATCH($A59,RESULTADOS!$A:$A,0),MATCH(F$1,RESULTADOS!$1:$1,0))</f>
        <v>#N/A</v>
      </c>
      <c r="G59" s="67" t="e">
        <f ca="1">INDEX(RESULTADOS!$A:$BA,MATCH($A59,RESULTADOS!$A:$A,0),MATCH(G$1,RESULTADOS!$1:$1,0))</f>
        <v>#N/A</v>
      </c>
      <c r="H59" s="67" t="e">
        <f ca="1">INDEX(RESULTADOS!$A:$BA,MATCH($A59,RESULTADOS!$A:$A,0),MATCH(H$1,RESULTADOS!$1:$1,0))</f>
        <v>#N/A</v>
      </c>
      <c r="I59" s="67" t="e">
        <f ca="1">INDEX(RESULTADOS!$A:$BA,MATCH($A59,RESULTADOS!$A:$A,0),MATCH(I$1,RESULTADOS!$1:$1,0))</f>
        <v>#N/A</v>
      </c>
      <c r="J59" s="51" t="e">
        <f t="shared" ca="1" si="2"/>
        <v>#N/A</v>
      </c>
      <c r="K59" s="43"/>
      <c r="L59" s="43"/>
      <c r="M59" s="211" t="e">
        <f ca="1">Propagações_TOT_PARANAPANEMA!AB59</f>
        <v>#N/A</v>
      </c>
      <c r="N59" s="213" t="e">
        <f ca="1">IFERROR(INDEX(PREVS_SMAP!$D$132:$Q$134,MATCH(Propagações_TOT_ITAIPU!N$2,PREVS_SMAP!$A$132:$A$134,0),MATCH(Propagações_TOT_ITAIPU!$A59,PREVS_SMAP!$D$131:$Q$131,0)),INDEX(INDIRECT("PREVIVAZ!$C$"&amp;N$6+1&amp;":$N$"&amp;N$6+1&amp;""),1,MATCH($A59,PREVIVAZ!$C$1:$N$1,1)))</f>
        <v>#N/A</v>
      </c>
      <c r="O59" s="213" t="e">
        <f ca="1">IFERROR(INDEX(PREVS_SMAP!$D$132:$Q$134,MATCH(Propagações_TOT_ITAIPU!O$2,PREVS_SMAP!$A$132:$A$134,0),MATCH(Propagações_TOT_ITAIPU!$A59,PREVS_SMAP!$D$131:$Q$131,0)),INDEX(INDIRECT("PREVIVAZ!$C$"&amp;O$6+1&amp;":$N$"&amp;O$6+1&amp;""),1,MATCH($A59,PREVIVAZ!$C$1:$N$1,1)))</f>
        <v>#N/A</v>
      </c>
      <c r="P59" s="213" t="e">
        <f ca="1">IFERROR(INDEX(PREVS_SMAP!$D$132:$Q$134,MATCH(Propagações_TOT_ITAIPU!P$2,PREVS_SMAP!$A$132:$A$134,0),MATCH(Propagações_TOT_ITAIPU!$A59,PREVS_SMAP!$D$131:$Q$131,0)),INDEX(INDIRECT("PREVIVAZ!$C$"&amp;P$6+1&amp;":$N$"&amp;P$6+1&amp;""),1,MATCH($A59,PREVIVAZ!$C$1:$N$1,1)))</f>
        <v>#N/A</v>
      </c>
      <c r="Q59" s="213" t="e">
        <f ca="1">IFERROR(INDEX(PREVS_SMAP!$D$132:$Q$134,MATCH(Propagações_TOT_ITAIPU!Q$2,PREVS_SMAP!$A$132:$A$134,0),MATCH(Propagações_TOT_ITAIPU!$A59,PREVS_SMAP!$D$131:$Q$131,0)),INDEX(INDIRECT("PREVIVAZ!$C$"&amp;Q$6+1&amp;":$N$"&amp;Q$6+1&amp;""),1,MATCH($A59,PREVIVAZ!$C$1:$N$1,1)))</f>
        <v>#N/A</v>
      </c>
      <c r="R59" s="211" t="e">
        <f t="shared" ca="1" si="10"/>
        <v>#N/A</v>
      </c>
      <c r="S59" s="214" t="e">
        <f t="shared" ca="1" si="11"/>
        <v>#N/A</v>
      </c>
      <c r="T59" s="214" t="e">
        <f t="shared" ca="1" si="12"/>
        <v>#N/A</v>
      </c>
      <c r="U59" s="215" t="e">
        <f t="shared" ca="1" si="13"/>
        <v>#N/A</v>
      </c>
      <c r="V59" s="214" t="e">
        <f t="shared" ca="1" si="14"/>
        <v>#N/A</v>
      </c>
      <c r="W59" s="214" t="e">
        <f t="shared" ca="1" si="15"/>
        <v>#N/A</v>
      </c>
      <c r="X59" s="216"/>
      <c r="Y59" s="211" t="e">
        <f ca="1">Propagações_TOT_GRANDE!AP59</f>
        <v>#N/A</v>
      </c>
      <c r="Z59" s="211" t="e">
        <f ca="1">Propagações_TOT_PARANAIBA!AJ59</f>
        <v>#N/A</v>
      </c>
      <c r="AA59" s="213" t="e">
        <f ca="1">IFERROR(INDEX(PREVS_SMAP!$AU$28:$BA$347,MATCH(Propagações_TOT_ITAIPU!AA$2,PREVS_SMAP!$R$28:$R$347,0),MATCH(Propagações_TOT_ITAIPU!$A59,PREVS_SMAP!$AU$27:$BA$27,0)),INDEX(INDIRECT("PREVIVAZ!$C$"&amp;$AA$2+1&amp;":$N$"&amp;$AA$2+1&amp;""),1,MATCH($A59,PREVIVAZ!$C$1:$N$1,1)))</f>
        <v>#N/A</v>
      </c>
      <c r="AB59" s="213" t="e">
        <f ca="1">IFERROR(INDEX(PREVS_SMAP!$AU$28:$BA$347,MATCH(Propagações_TOT_ITAIPU!AB$2,PREVS_SMAP!$R$28:$R$347,0),MATCH(Propagações_TOT_ITAIPU!$A59,PREVS_SMAP!$AU$27:$BA$27,0)),INDEX(INDIRECT("PREVIVAZ!$C$"&amp;AB$2+1&amp;":$N$"&amp;AB$2+1&amp;""),1,MATCH($A59,PREVIVAZ!$C$1:$N$1,1)))</f>
        <v>#N/A</v>
      </c>
      <c r="AC59" s="213" t="e">
        <f ca="1">IFERROR(INDEX(PREVS_SMAP!$AU$28:$BA$347,MATCH(Propagações_TOT_ITAIPU!AC$2,PREVS_SMAP!$R$28:$R$347,0),MATCH(Propagações_TOT_ITAIPU!$A59,PREVS_SMAP!$AU$27:$BA$27,0)),INDEX(INDIRECT("PREVIVAZ!$C$"&amp;AC$2+1&amp;":$N$"&amp;AC$2+1&amp;""),1,MATCH($A59,PREVIVAZ!$C$1:$N$1,1)))</f>
        <v>#N/A</v>
      </c>
      <c r="AE59" s="272" t="e">
        <f ca="1">Propagações_TOT_TIETE!$X59</f>
        <v>#N/A</v>
      </c>
    </row>
    <row r="60" spans="1:31" x14ac:dyDescent="0.2">
      <c r="A60" s="49">
        <f t="shared" ca="1" si="9"/>
        <v>43859</v>
      </c>
      <c r="B60" s="53"/>
      <c r="C60" s="53"/>
      <c r="D60" s="52"/>
      <c r="E60" s="67" t="e">
        <f ca="1">INDEX(RESULTADOS!$A:$BA,MATCH($A60,RESULTADOS!$A:$A,0),MATCH(E$1,RESULTADOS!$1:$1,0))</f>
        <v>#N/A</v>
      </c>
      <c r="F60" s="67" t="e">
        <f ca="1">INDEX(RESULTADOS!$A:$BA,MATCH($A60,RESULTADOS!$A:$A,0),MATCH(F$1,RESULTADOS!$1:$1,0))</f>
        <v>#N/A</v>
      </c>
      <c r="G60" s="67" t="e">
        <f ca="1">INDEX(RESULTADOS!$A:$BA,MATCH($A60,RESULTADOS!$A:$A,0),MATCH(G$1,RESULTADOS!$1:$1,0))</f>
        <v>#N/A</v>
      </c>
      <c r="H60" s="67" t="e">
        <f ca="1">INDEX(RESULTADOS!$A:$BA,MATCH($A60,RESULTADOS!$A:$A,0),MATCH(H$1,RESULTADOS!$1:$1,0))</f>
        <v>#N/A</v>
      </c>
      <c r="I60" s="67" t="e">
        <f ca="1">INDEX(RESULTADOS!$A:$BA,MATCH($A60,RESULTADOS!$A:$A,0),MATCH(I$1,RESULTADOS!$1:$1,0))</f>
        <v>#N/A</v>
      </c>
      <c r="J60" s="51" t="e">
        <f t="shared" ca="1" si="2"/>
        <v>#N/A</v>
      </c>
      <c r="K60" s="43"/>
      <c r="L60" s="43"/>
      <c r="M60" s="211" t="e">
        <f ca="1">Propagações_TOT_PARANAPANEMA!AB60</f>
        <v>#N/A</v>
      </c>
      <c r="N60" s="213" t="e">
        <f ca="1">IFERROR(INDEX(PREVS_SMAP!$D$132:$Q$134,MATCH(Propagações_TOT_ITAIPU!N$2,PREVS_SMAP!$A$132:$A$134,0),MATCH(Propagações_TOT_ITAIPU!$A60,PREVS_SMAP!$D$131:$Q$131,0)),INDEX(INDIRECT("PREVIVAZ!$C$"&amp;N$6+1&amp;":$N$"&amp;N$6+1&amp;""),1,MATCH($A60,PREVIVAZ!$C$1:$N$1,1)))</f>
        <v>#N/A</v>
      </c>
      <c r="O60" s="213" t="e">
        <f ca="1">IFERROR(INDEX(PREVS_SMAP!$D$132:$Q$134,MATCH(Propagações_TOT_ITAIPU!O$2,PREVS_SMAP!$A$132:$A$134,0),MATCH(Propagações_TOT_ITAIPU!$A60,PREVS_SMAP!$D$131:$Q$131,0)),INDEX(INDIRECT("PREVIVAZ!$C$"&amp;O$6+1&amp;":$N$"&amp;O$6+1&amp;""),1,MATCH($A60,PREVIVAZ!$C$1:$N$1,1)))</f>
        <v>#N/A</v>
      </c>
      <c r="P60" s="213" t="e">
        <f ca="1">IFERROR(INDEX(PREVS_SMAP!$D$132:$Q$134,MATCH(Propagações_TOT_ITAIPU!P$2,PREVS_SMAP!$A$132:$A$134,0),MATCH(Propagações_TOT_ITAIPU!$A60,PREVS_SMAP!$D$131:$Q$131,0)),INDEX(INDIRECT("PREVIVAZ!$C$"&amp;P$6+1&amp;":$N$"&amp;P$6+1&amp;""),1,MATCH($A60,PREVIVAZ!$C$1:$N$1,1)))</f>
        <v>#N/A</v>
      </c>
      <c r="Q60" s="213" t="e">
        <f ca="1">IFERROR(INDEX(PREVS_SMAP!$D$132:$Q$134,MATCH(Propagações_TOT_ITAIPU!Q$2,PREVS_SMAP!$A$132:$A$134,0),MATCH(Propagações_TOT_ITAIPU!$A60,PREVS_SMAP!$D$131:$Q$131,0)),INDEX(INDIRECT("PREVIVAZ!$C$"&amp;Q$6+1&amp;":$N$"&amp;Q$6+1&amp;""),1,MATCH($A60,PREVIVAZ!$C$1:$N$1,1)))</f>
        <v>#N/A</v>
      </c>
      <c r="R60" s="211" t="e">
        <f t="shared" ca="1" si="10"/>
        <v>#N/A</v>
      </c>
      <c r="S60" s="214" t="e">
        <f t="shared" ca="1" si="11"/>
        <v>#N/A</v>
      </c>
      <c r="T60" s="214" t="e">
        <f t="shared" ca="1" si="12"/>
        <v>#N/A</v>
      </c>
      <c r="U60" s="215" t="e">
        <f t="shared" ca="1" si="13"/>
        <v>#N/A</v>
      </c>
      <c r="V60" s="214" t="e">
        <f t="shared" ca="1" si="14"/>
        <v>#N/A</v>
      </c>
      <c r="W60" s="214" t="e">
        <f t="shared" ca="1" si="15"/>
        <v>#N/A</v>
      </c>
      <c r="X60" s="216"/>
      <c r="Y60" s="211" t="e">
        <f ca="1">Propagações_TOT_GRANDE!AP60</f>
        <v>#N/A</v>
      </c>
      <c r="Z60" s="211" t="e">
        <f ca="1">Propagações_TOT_PARANAIBA!AJ60</f>
        <v>#N/A</v>
      </c>
      <c r="AA60" s="213" t="e">
        <f ca="1">IFERROR(INDEX(PREVS_SMAP!$AU$28:$BA$347,MATCH(Propagações_TOT_ITAIPU!AA$2,PREVS_SMAP!$R$28:$R$347,0),MATCH(Propagações_TOT_ITAIPU!$A60,PREVS_SMAP!$AU$27:$BA$27,0)),INDEX(INDIRECT("PREVIVAZ!$C$"&amp;$AA$2+1&amp;":$N$"&amp;$AA$2+1&amp;""),1,MATCH($A60,PREVIVAZ!$C$1:$N$1,1)))</f>
        <v>#N/A</v>
      </c>
      <c r="AB60" s="213" t="e">
        <f ca="1">IFERROR(INDEX(PREVS_SMAP!$AU$28:$BA$347,MATCH(Propagações_TOT_ITAIPU!AB$2,PREVS_SMAP!$R$28:$R$347,0),MATCH(Propagações_TOT_ITAIPU!$A60,PREVS_SMAP!$AU$27:$BA$27,0)),INDEX(INDIRECT("PREVIVAZ!$C$"&amp;AB$2+1&amp;":$N$"&amp;AB$2+1&amp;""),1,MATCH($A60,PREVIVAZ!$C$1:$N$1,1)))</f>
        <v>#N/A</v>
      </c>
      <c r="AC60" s="213" t="e">
        <f ca="1">IFERROR(INDEX(PREVS_SMAP!$AU$28:$BA$347,MATCH(Propagações_TOT_ITAIPU!AC$2,PREVS_SMAP!$R$28:$R$347,0),MATCH(Propagações_TOT_ITAIPU!$A60,PREVS_SMAP!$AU$27:$BA$27,0)),INDEX(INDIRECT("PREVIVAZ!$C$"&amp;AC$2+1&amp;":$N$"&amp;AC$2+1&amp;""),1,MATCH($A60,PREVIVAZ!$C$1:$N$1,1)))</f>
        <v>#N/A</v>
      </c>
      <c r="AE60" s="272" t="e">
        <f ca="1">Propagações_TOT_TIETE!$X60</f>
        <v>#N/A</v>
      </c>
    </row>
    <row r="61" spans="1:31" x14ac:dyDescent="0.2">
      <c r="A61" s="82">
        <f t="shared" ca="1" si="9"/>
        <v>43860</v>
      </c>
      <c r="B61" s="87"/>
      <c r="C61" s="87"/>
      <c r="D61" s="88"/>
      <c r="E61" s="67" t="e">
        <f ca="1">INDEX(RESULTADOS!$A:$BA,MATCH($A61,RESULTADOS!$A:$A,0),MATCH(E$1,RESULTADOS!$1:$1,0))</f>
        <v>#N/A</v>
      </c>
      <c r="F61" s="67" t="e">
        <f ca="1">INDEX(RESULTADOS!$A:$BA,MATCH($A61,RESULTADOS!$A:$A,0),MATCH(F$1,RESULTADOS!$1:$1,0))</f>
        <v>#N/A</v>
      </c>
      <c r="G61" s="67" t="e">
        <f ca="1">INDEX(RESULTADOS!$A:$BA,MATCH($A61,RESULTADOS!$A:$A,0),MATCH(G$1,RESULTADOS!$1:$1,0))</f>
        <v>#N/A</v>
      </c>
      <c r="H61" s="67" t="e">
        <f ca="1">INDEX(RESULTADOS!$A:$BA,MATCH($A61,RESULTADOS!$A:$A,0),MATCH(H$1,RESULTADOS!$1:$1,0))</f>
        <v>#N/A</v>
      </c>
      <c r="I61" s="67" t="e">
        <f ca="1">INDEX(RESULTADOS!$A:$BA,MATCH($A61,RESULTADOS!$A:$A,0),MATCH(I$1,RESULTADOS!$1:$1,0))</f>
        <v>#N/A</v>
      </c>
      <c r="J61" s="83" t="e">
        <f t="shared" ca="1" si="2"/>
        <v>#N/A</v>
      </c>
      <c r="K61" s="85"/>
      <c r="L61" s="90"/>
      <c r="M61" s="211" t="e">
        <f ca="1">Propagações_TOT_PARANAPANEMA!AB61</f>
        <v>#N/A</v>
      </c>
      <c r="N61" s="213" t="e">
        <f ca="1">IFERROR(INDEX(PREVS_SMAP!$D$132:$Q$134,MATCH(Propagações_TOT_ITAIPU!N$2,PREVS_SMAP!$A$132:$A$134,0),MATCH(Propagações_TOT_ITAIPU!$A61,PREVS_SMAP!$D$131:$Q$131,0)),INDEX(INDIRECT("PREVIVAZ!$C$"&amp;N$6+1&amp;":$N$"&amp;N$6+1&amp;""),1,MATCH($A61,PREVIVAZ!$C$1:$N$1,1)))</f>
        <v>#N/A</v>
      </c>
      <c r="O61" s="213" t="e">
        <f ca="1">IFERROR(INDEX(PREVS_SMAP!$D$132:$Q$134,MATCH(Propagações_TOT_ITAIPU!O$2,PREVS_SMAP!$A$132:$A$134,0),MATCH(Propagações_TOT_ITAIPU!$A61,PREVS_SMAP!$D$131:$Q$131,0)),INDEX(INDIRECT("PREVIVAZ!$C$"&amp;O$6+1&amp;":$N$"&amp;O$6+1&amp;""),1,MATCH($A61,PREVIVAZ!$C$1:$N$1,1)))</f>
        <v>#N/A</v>
      </c>
      <c r="P61" s="213" t="e">
        <f ca="1">IFERROR(INDEX(PREVS_SMAP!$D$132:$Q$134,MATCH(Propagações_TOT_ITAIPU!P$2,PREVS_SMAP!$A$132:$A$134,0),MATCH(Propagações_TOT_ITAIPU!$A61,PREVS_SMAP!$D$131:$Q$131,0)),INDEX(INDIRECT("PREVIVAZ!$C$"&amp;P$6+1&amp;":$N$"&amp;P$6+1&amp;""),1,MATCH($A61,PREVIVAZ!$C$1:$N$1,1)))</f>
        <v>#N/A</v>
      </c>
      <c r="Q61" s="213" t="e">
        <f ca="1">IFERROR(INDEX(PREVS_SMAP!$D$132:$Q$134,MATCH(Propagações_TOT_ITAIPU!Q$2,PREVS_SMAP!$A$132:$A$134,0),MATCH(Propagações_TOT_ITAIPU!$A61,PREVS_SMAP!$D$131:$Q$131,0)),INDEX(INDIRECT("PREVIVAZ!$C$"&amp;Q$6+1&amp;":$N$"&amp;Q$6+1&amp;""),1,MATCH($A61,PREVIVAZ!$C$1:$N$1,1)))</f>
        <v>#N/A</v>
      </c>
      <c r="R61" s="211" t="e">
        <f t="shared" ca="1" si="10"/>
        <v>#N/A</v>
      </c>
      <c r="S61" s="214" t="e">
        <f t="shared" ca="1" si="11"/>
        <v>#N/A</v>
      </c>
      <c r="T61" s="214" t="e">
        <f t="shared" ca="1" si="12"/>
        <v>#N/A</v>
      </c>
      <c r="U61" s="215" t="e">
        <f t="shared" ca="1" si="13"/>
        <v>#N/A</v>
      </c>
      <c r="V61" s="214" t="e">
        <f t="shared" ca="1" si="14"/>
        <v>#N/A</v>
      </c>
      <c r="W61" s="214" t="e">
        <f t="shared" ca="1" si="15"/>
        <v>#N/A</v>
      </c>
      <c r="X61" s="216"/>
      <c r="Y61" s="211" t="e">
        <f ca="1">Propagações_TOT_GRANDE!AP61</f>
        <v>#N/A</v>
      </c>
      <c r="Z61" s="211" t="e">
        <f ca="1">Propagações_TOT_PARANAIBA!AJ61</f>
        <v>#N/A</v>
      </c>
      <c r="AA61" s="213" t="e">
        <f ca="1">IFERROR(INDEX(PREVS_SMAP!$AU$28:$BA$347,MATCH(Propagações_TOT_ITAIPU!AA$2,PREVS_SMAP!$R$28:$R$347,0),MATCH(Propagações_TOT_ITAIPU!$A61,PREVS_SMAP!$AU$27:$BA$27,0)),INDEX(INDIRECT("PREVIVAZ!$C$"&amp;$AA$2+1&amp;":$N$"&amp;$AA$2+1&amp;""),1,MATCH($A61,PREVIVAZ!$C$1:$N$1,1)))</f>
        <v>#N/A</v>
      </c>
      <c r="AB61" s="213" t="e">
        <f ca="1">IFERROR(INDEX(PREVS_SMAP!$AU$28:$BA$347,MATCH(Propagações_TOT_ITAIPU!AB$2,PREVS_SMAP!$R$28:$R$347,0),MATCH(Propagações_TOT_ITAIPU!$A61,PREVS_SMAP!$AU$27:$BA$27,0)),INDEX(INDIRECT("PREVIVAZ!$C$"&amp;AB$2+1&amp;":$N$"&amp;AB$2+1&amp;""),1,MATCH($A61,PREVIVAZ!$C$1:$N$1,1)))</f>
        <v>#N/A</v>
      </c>
      <c r="AC61" s="213" t="e">
        <f ca="1">IFERROR(INDEX(PREVS_SMAP!$AU$28:$BA$347,MATCH(Propagações_TOT_ITAIPU!AC$2,PREVS_SMAP!$R$28:$R$347,0),MATCH(Propagações_TOT_ITAIPU!$A61,PREVS_SMAP!$AU$27:$BA$27,0)),INDEX(INDIRECT("PREVIVAZ!$C$"&amp;AC$2+1&amp;":$N$"&amp;AC$2+1&amp;""),1,MATCH($A61,PREVIVAZ!$C$1:$N$1,1)))</f>
        <v>#N/A</v>
      </c>
      <c r="AE61" s="272" t="e">
        <f ca="1">Propagações_TOT_TIETE!$X61</f>
        <v>#N/A</v>
      </c>
    </row>
    <row r="62" spans="1:31" x14ac:dyDescent="0.2">
      <c r="A62" s="49">
        <f t="shared" ca="1" si="9"/>
        <v>43861</v>
      </c>
      <c r="B62" s="53"/>
      <c r="C62" s="53"/>
      <c r="D62" s="52"/>
      <c r="E62" s="67" t="e">
        <f ca="1">INDEX(RESULTADOS!$A:$BA,MATCH($A62,RESULTADOS!$A:$A,0),MATCH(E$1,RESULTADOS!$1:$1,0))</f>
        <v>#N/A</v>
      </c>
      <c r="F62" s="67" t="e">
        <f ca="1">INDEX(RESULTADOS!$A:$BA,MATCH($A62,RESULTADOS!$A:$A,0),MATCH(F$1,RESULTADOS!$1:$1,0))</f>
        <v>#N/A</v>
      </c>
      <c r="G62" s="67" t="e">
        <f ca="1">INDEX(RESULTADOS!$A:$BA,MATCH($A62,RESULTADOS!$A:$A,0),MATCH(G$1,RESULTADOS!$1:$1,0))</f>
        <v>#N/A</v>
      </c>
      <c r="H62" s="67" t="e">
        <f ca="1">INDEX(RESULTADOS!$A:$BA,MATCH($A62,RESULTADOS!$A:$A,0),MATCH(H$1,RESULTADOS!$1:$1,0))</f>
        <v>#N/A</v>
      </c>
      <c r="I62" s="67" t="e">
        <f ca="1">INDEX(RESULTADOS!$A:$BA,MATCH($A62,RESULTADOS!$A:$A,0),MATCH(I$1,RESULTADOS!$1:$1,0))</f>
        <v>#N/A</v>
      </c>
      <c r="J62" s="51" t="e">
        <f t="shared" ca="1" si="2"/>
        <v>#N/A</v>
      </c>
      <c r="K62" s="43"/>
      <c r="L62" s="70"/>
      <c r="M62" s="211" t="e">
        <f ca="1">Propagações_TOT_PARANAPANEMA!AB62</f>
        <v>#N/A</v>
      </c>
      <c r="N62" s="213" t="e">
        <f ca="1">IFERROR(INDEX(PREVS_SMAP!$D$132:$Q$134,MATCH(Propagações_TOT_ITAIPU!N$2,PREVS_SMAP!$A$132:$A$134,0),MATCH(Propagações_TOT_ITAIPU!$A62,PREVS_SMAP!$D$131:$Q$131,0)),INDEX(INDIRECT("PREVIVAZ!$C$"&amp;N$6+1&amp;":$N$"&amp;N$6+1&amp;""),1,MATCH($A62,PREVIVAZ!$C$1:$N$1,1)))</f>
        <v>#N/A</v>
      </c>
      <c r="O62" s="213" t="e">
        <f ca="1">IFERROR(INDEX(PREVS_SMAP!$D$132:$Q$134,MATCH(Propagações_TOT_ITAIPU!O$2,PREVS_SMAP!$A$132:$A$134,0),MATCH(Propagações_TOT_ITAIPU!$A62,PREVS_SMAP!$D$131:$Q$131,0)),INDEX(INDIRECT("PREVIVAZ!$C$"&amp;O$6+1&amp;":$N$"&amp;O$6+1&amp;""),1,MATCH($A62,PREVIVAZ!$C$1:$N$1,1)))</f>
        <v>#N/A</v>
      </c>
      <c r="P62" s="213" t="e">
        <f ca="1">IFERROR(INDEX(PREVS_SMAP!$D$132:$Q$134,MATCH(Propagações_TOT_ITAIPU!P$2,PREVS_SMAP!$A$132:$A$134,0),MATCH(Propagações_TOT_ITAIPU!$A62,PREVS_SMAP!$D$131:$Q$131,0)),INDEX(INDIRECT("PREVIVAZ!$C$"&amp;P$6+1&amp;":$N$"&amp;P$6+1&amp;""),1,MATCH($A62,PREVIVAZ!$C$1:$N$1,1)))</f>
        <v>#N/A</v>
      </c>
      <c r="Q62" s="213" t="e">
        <f ca="1">IFERROR(INDEX(PREVS_SMAP!$D$132:$Q$134,MATCH(Propagações_TOT_ITAIPU!Q$2,PREVS_SMAP!$A$132:$A$134,0),MATCH(Propagações_TOT_ITAIPU!$A62,PREVS_SMAP!$D$131:$Q$131,0)),INDEX(INDIRECT("PREVIVAZ!$C$"&amp;Q$6+1&amp;":$N$"&amp;Q$6+1&amp;""),1,MATCH($A62,PREVIVAZ!$C$1:$N$1,1)))</f>
        <v>#N/A</v>
      </c>
      <c r="R62" s="211" t="e">
        <f t="shared" ca="1" si="10"/>
        <v>#N/A</v>
      </c>
      <c r="S62" s="214" t="e">
        <f t="shared" ca="1" si="11"/>
        <v>#N/A</v>
      </c>
      <c r="T62" s="214" t="e">
        <f t="shared" ca="1" si="12"/>
        <v>#N/A</v>
      </c>
      <c r="U62" s="215" t="e">
        <f t="shared" ca="1" si="13"/>
        <v>#N/A</v>
      </c>
      <c r="V62" s="214" t="e">
        <f t="shared" ca="1" si="14"/>
        <v>#N/A</v>
      </c>
      <c r="W62" s="214" t="e">
        <f t="shared" ca="1" si="15"/>
        <v>#N/A</v>
      </c>
      <c r="X62" s="216"/>
      <c r="Y62" s="211" t="e">
        <f ca="1">Propagações_TOT_GRANDE!AP62</f>
        <v>#N/A</v>
      </c>
      <c r="Z62" s="211" t="e">
        <f ca="1">Propagações_TOT_PARANAIBA!AJ62</f>
        <v>#N/A</v>
      </c>
      <c r="AA62" s="213" t="e">
        <f ca="1">IFERROR(INDEX(PREVS_SMAP!$AU$28:$BA$347,MATCH(Propagações_TOT_ITAIPU!AA$2,PREVS_SMAP!$R$28:$R$347,0),MATCH(Propagações_TOT_ITAIPU!$A62,PREVS_SMAP!$AU$27:$BA$27,0)),INDEX(INDIRECT("PREVIVAZ!$C$"&amp;$AA$2+1&amp;":$N$"&amp;$AA$2+1&amp;""),1,MATCH($A62,PREVIVAZ!$C$1:$N$1,1)))</f>
        <v>#N/A</v>
      </c>
      <c r="AB62" s="213" t="e">
        <f ca="1">IFERROR(INDEX(PREVS_SMAP!$AU$28:$BA$347,MATCH(Propagações_TOT_ITAIPU!AB$2,PREVS_SMAP!$R$28:$R$347,0),MATCH(Propagações_TOT_ITAIPU!$A62,PREVS_SMAP!$AU$27:$BA$27,0)),INDEX(INDIRECT("PREVIVAZ!$C$"&amp;AB$2+1&amp;":$N$"&amp;AB$2+1&amp;""),1,MATCH($A62,PREVIVAZ!$C$1:$N$1,1)))</f>
        <v>#N/A</v>
      </c>
      <c r="AC62" s="213" t="e">
        <f ca="1">IFERROR(INDEX(PREVS_SMAP!$AU$28:$BA$347,MATCH(Propagações_TOT_ITAIPU!AC$2,PREVS_SMAP!$R$28:$R$347,0),MATCH(Propagações_TOT_ITAIPU!$A62,PREVS_SMAP!$AU$27:$BA$27,0)),INDEX(INDIRECT("PREVIVAZ!$C$"&amp;AC$2+1&amp;":$N$"&amp;AC$2+1&amp;""),1,MATCH($A62,PREVIVAZ!$C$1:$N$1,1)))</f>
        <v>#N/A</v>
      </c>
      <c r="AE62" s="272" t="e">
        <f ca="1">Propagações_TOT_TIETE!$X62</f>
        <v>#N/A</v>
      </c>
    </row>
    <row r="63" spans="1:31" x14ac:dyDescent="0.2">
      <c r="A63" s="49">
        <f t="shared" ca="1" si="9"/>
        <v>43862</v>
      </c>
      <c r="B63" s="53"/>
      <c r="C63" s="53"/>
      <c r="D63" s="52"/>
      <c r="E63" s="67" t="e">
        <f ca="1">INDEX(RESULTADOS!$A:$BA,MATCH($A63,RESULTADOS!$A:$A,0),MATCH(E$1,RESULTADOS!$1:$1,0))</f>
        <v>#N/A</v>
      </c>
      <c r="F63" s="67" t="e">
        <f ca="1">INDEX(RESULTADOS!$A:$BA,MATCH($A63,RESULTADOS!$A:$A,0),MATCH(F$1,RESULTADOS!$1:$1,0))</f>
        <v>#N/A</v>
      </c>
      <c r="G63" s="67" t="e">
        <f ca="1">INDEX(RESULTADOS!$A:$BA,MATCH($A63,RESULTADOS!$A:$A,0),MATCH(G$1,RESULTADOS!$1:$1,0))</f>
        <v>#N/A</v>
      </c>
      <c r="H63" s="67" t="e">
        <f ca="1">INDEX(RESULTADOS!$A:$BA,MATCH($A63,RESULTADOS!$A:$A,0),MATCH(H$1,RESULTADOS!$1:$1,0))</f>
        <v>#N/A</v>
      </c>
      <c r="I63" s="67" t="e">
        <f ca="1">INDEX(RESULTADOS!$A:$BA,MATCH($A63,RESULTADOS!$A:$A,0),MATCH(I$1,RESULTADOS!$1:$1,0))</f>
        <v>#N/A</v>
      </c>
      <c r="J63" s="51" t="e">
        <f t="shared" ca="1" si="2"/>
        <v>#N/A</v>
      </c>
      <c r="K63" s="43"/>
      <c r="L63" s="70"/>
      <c r="M63" s="211" t="e">
        <f ca="1">Propagações_TOT_PARANAPANEMA!AB63</f>
        <v>#N/A</v>
      </c>
      <c r="N63" s="213" t="e">
        <f ca="1">IFERROR(INDEX(PREVS_SMAP!$D$132:$Q$134,MATCH(Propagações_TOT_ITAIPU!N$2,PREVS_SMAP!$A$132:$A$134,0),MATCH(Propagações_TOT_ITAIPU!$A63,PREVS_SMAP!$D$131:$Q$131,0)),INDEX(INDIRECT("PREVIVAZ!$C$"&amp;N$6+1&amp;":$N$"&amp;N$6+1&amp;""),1,MATCH($A63,PREVIVAZ!$C$1:$N$1,1)))</f>
        <v>#N/A</v>
      </c>
      <c r="O63" s="213" t="e">
        <f ca="1">IFERROR(INDEX(PREVS_SMAP!$D$132:$Q$134,MATCH(Propagações_TOT_ITAIPU!O$2,PREVS_SMAP!$A$132:$A$134,0),MATCH(Propagações_TOT_ITAIPU!$A63,PREVS_SMAP!$D$131:$Q$131,0)),INDEX(INDIRECT("PREVIVAZ!$C$"&amp;O$6+1&amp;":$N$"&amp;O$6+1&amp;""),1,MATCH($A63,PREVIVAZ!$C$1:$N$1,1)))</f>
        <v>#N/A</v>
      </c>
      <c r="P63" s="213" t="e">
        <f ca="1">IFERROR(INDEX(PREVS_SMAP!$D$132:$Q$134,MATCH(Propagações_TOT_ITAIPU!P$2,PREVS_SMAP!$A$132:$A$134,0),MATCH(Propagações_TOT_ITAIPU!$A63,PREVS_SMAP!$D$131:$Q$131,0)),INDEX(INDIRECT("PREVIVAZ!$C$"&amp;P$6+1&amp;":$N$"&amp;P$6+1&amp;""),1,MATCH($A63,PREVIVAZ!$C$1:$N$1,1)))</f>
        <v>#N/A</v>
      </c>
      <c r="Q63" s="213" t="e">
        <f ca="1">IFERROR(INDEX(PREVS_SMAP!$D$132:$Q$134,MATCH(Propagações_TOT_ITAIPU!Q$2,PREVS_SMAP!$A$132:$A$134,0),MATCH(Propagações_TOT_ITAIPU!$A63,PREVS_SMAP!$D$131:$Q$131,0)),INDEX(INDIRECT("PREVIVAZ!$C$"&amp;Q$6+1&amp;":$N$"&amp;Q$6+1&amp;""),1,MATCH($A63,PREVIVAZ!$C$1:$N$1,1)))</f>
        <v>#N/A</v>
      </c>
      <c r="R63" s="211" t="e">
        <f t="shared" ca="1" si="10"/>
        <v>#N/A</v>
      </c>
      <c r="S63" s="214" t="e">
        <f t="shared" ca="1" si="11"/>
        <v>#N/A</v>
      </c>
      <c r="T63" s="214" t="e">
        <f t="shared" ca="1" si="12"/>
        <v>#N/A</v>
      </c>
      <c r="U63" s="215" t="e">
        <f t="shared" ca="1" si="13"/>
        <v>#N/A</v>
      </c>
      <c r="V63" s="214" t="e">
        <f t="shared" ca="1" si="14"/>
        <v>#N/A</v>
      </c>
      <c r="W63" s="214" t="e">
        <f t="shared" ca="1" si="15"/>
        <v>#N/A</v>
      </c>
      <c r="X63" s="216"/>
      <c r="Y63" s="211" t="e">
        <f ca="1">Propagações_TOT_GRANDE!AP63</f>
        <v>#N/A</v>
      </c>
      <c r="Z63" s="211" t="e">
        <f ca="1">Propagações_TOT_PARANAIBA!AJ63</f>
        <v>#N/A</v>
      </c>
      <c r="AA63" s="213" t="e">
        <f ca="1">IFERROR(INDEX(PREVS_SMAP!$AU$28:$BA$347,MATCH(Propagações_TOT_ITAIPU!AA$2,PREVS_SMAP!$R$28:$R$347,0),MATCH(Propagações_TOT_ITAIPU!$A63,PREVS_SMAP!$AU$27:$BA$27,0)),INDEX(INDIRECT("PREVIVAZ!$C$"&amp;$AA$2+1&amp;":$N$"&amp;$AA$2+1&amp;""),1,MATCH($A63,PREVIVAZ!$C$1:$N$1,1)))</f>
        <v>#N/A</v>
      </c>
      <c r="AB63" s="213" t="e">
        <f ca="1">IFERROR(INDEX(PREVS_SMAP!$AU$28:$BA$347,MATCH(Propagações_TOT_ITAIPU!AB$2,PREVS_SMAP!$R$28:$R$347,0),MATCH(Propagações_TOT_ITAIPU!$A63,PREVS_SMAP!$AU$27:$BA$27,0)),INDEX(INDIRECT("PREVIVAZ!$C$"&amp;AB$2+1&amp;":$N$"&amp;AB$2+1&amp;""),1,MATCH($A63,PREVIVAZ!$C$1:$N$1,1)))</f>
        <v>#N/A</v>
      </c>
      <c r="AC63" s="213" t="e">
        <f ca="1">IFERROR(INDEX(PREVS_SMAP!$AU$28:$BA$347,MATCH(Propagações_TOT_ITAIPU!AC$2,PREVS_SMAP!$R$28:$R$347,0),MATCH(Propagações_TOT_ITAIPU!$A63,PREVS_SMAP!$AU$27:$BA$27,0)),INDEX(INDIRECT("PREVIVAZ!$C$"&amp;AC$2+1&amp;":$N$"&amp;AC$2+1&amp;""),1,MATCH($A63,PREVIVAZ!$C$1:$N$1,1)))</f>
        <v>#N/A</v>
      </c>
      <c r="AE63" s="272" t="e">
        <f ca="1">Propagações_TOT_TIETE!$X63</f>
        <v>#N/A</v>
      </c>
    </row>
    <row r="64" spans="1:31" x14ac:dyDescent="0.2">
      <c r="A64" s="49">
        <f t="shared" ca="1" si="9"/>
        <v>43863</v>
      </c>
      <c r="B64" s="53"/>
      <c r="C64" s="53"/>
      <c r="D64" s="52"/>
      <c r="E64" s="67" t="e">
        <f ca="1">INDEX(RESULTADOS!$A:$BA,MATCH($A64,RESULTADOS!$A:$A,0),MATCH(E$1,RESULTADOS!$1:$1,0))</f>
        <v>#N/A</v>
      </c>
      <c r="F64" s="67" t="e">
        <f ca="1">INDEX(RESULTADOS!$A:$BA,MATCH($A64,RESULTADOS!$A:$A,0),MATCH(F$1,RESULTADOS!$1:$1,0))</f>
        <v>#N/A</v>
      </c>
      <c r="G64" s="67" t="e">
        <f ca="1">INDEX(RESULTADOS!$A:$BA,MATCH($A64,RESULTADOS!$A:$A,0),MATCH(G$1,RESULTADOS!$1:$1,0))</f>
        <v>#N/A</v>
      </c>
      <c r="H64" s="67" t="e">
        <f ca="1">INDEX(RESULTADOS!$A:$BA,MATCH($A64,RESULTADOS!$A:$A,0),MATCH(H$1,RESULTADOS!$1:$1,0))</f>
        <v>#N/A</v>
      </c>
      <c r="I64" s="67" t="e">
        <f ca="1">INDEX(RESULTADOS!$A:$BA,MATCH($A64,RESULTADOS!$A:$A,0),MATCH(I$1,RESULTADOS!$1:$1,0))</f>
        <v>#N/A</v>
      </c>
      <c r="J64" s="51" t="e">
        <f t="shared" ca="1" si="2"/>
        <v>#N/A</v>
      </c>
      <c r="K64" s="43"/>
      <c r="L64" s="70"/>
      <c r="M64" s="211" t="e">
        <f ca="1">Propagações_TOT_PARANAPANEMA!AB64</f>
        <v>#N/A</v>
      </c>
      <c r="N64" s="213" t="e">
        <f ca="1">IFERROR(INDEX(PREVS_SMAP!$D$132:$Q$134,MATCH(Propagações_TOT_ITAIPU!N$2,PREVS_SMAP!$A$132:$A$134,0),MATCH(Propagações_TOT_ITAIPU!$A64,PREVS_SMAP!$D$131:$Q$131,0)),INDEX(INDIRECT("PREVIVAZ!$C$"&amp;N$6+1&amp;":$N$"&amp;N$6+1&amp;""),1,MATCH($A64,PREVIVAZ!$C$1:$N$1,1)))</f>
        <v>#N/A</v>
      </c>
      <c r="O64" s="213" t="e">
        <f ca="1">IFERROR(INDEX(PREVS_SMAP!$D$132:$Q$134,MATCH(Propagações_TOT_ITAIPU!O$2,PREVS_SMAP!$A$132:$A$134,0),MATCH(Propagações_TOT_ITAIPU!$A64,PREVS_SMAP!$D$131:$Q$131,0)),INDEX(INDIRECT("PREVIVAZ!$C$"&amp;O$6+1&amp;":$N$"&amp;O$6+1&amp;""),1,MATCH($A64,PREVIVAZ!$C$1:$N$1,1)))</f>
        <v>#N/A</v>
      </c>
      <c r="P64" s="213" t="e">
        <f ca="1">IFERROR(INDEX(PREVS_SMAP!$D$132:$Q$134,MATCH(Propagações_TOT_ITAIPU!P$2,PREVS_SMAP!$A$132:$A$134,0),MATCH(Propagações_TOT_ITAIPU!$A64,PREVS_SMAP!$D$131:$Q$131,0)),INDEX(INDIRECT("PREVIVAZ!$C$"&amp;P$6+1&amp;":$N$"&amp;P$6+1&amp;""),1,MATCH($A64,PREVIVAZ!$C$1:$N$1,1)))</f>
        <v>#N/A</v>
      </c>
      <c r="Q64" s="213" t="e">
        <f ca="1">IFERROR(INDEX(PREVS_SMAP!$D$132:$Q$134,MATCH(Propagações_TOT_ITAIPU!Q$2,PREVS_SMAP!$A$132:$A$134,0),MATCH(Propagações_TOT_ITAIPU!$A64,PREVS_SMAP!$D$131:$Q$131,0)),INDEX(INDIRECT("PREVIVAZ!$C$"&amp;Q$6+1&amp;":$N$"&amp;Q$6+1&amp;""),1,MATCH($A64,PREVIVAZ!$C$1:$N$1,1)))</f>
        <v>#N/A</v>
      </c>
      <c r="R64" s="211" t="e">
        <f t="shared" ca="1" si="10"/>
        <v>#N/A</v>
      </c>
      <c r="S64" s="214" t="e">
        <f t="shared" ca="1" si="11"/>
        <v>#N/A</v>
      </c>
      <c r="T64" s="214" t="e">
        <f t="shared" ca="1" si="12"/>
        <v>#N/A</v>
      </c>
      <c r="U64" s="215" t="e">
        <f t="shared" ca="1" si="13"/>
        <v>#N/A</v>
      </c>
      <c r="V64" s="214" t="e">
        <f t="shared" ca="1" si="14"/>
        <v>#N/A</v>
      </c>
      <c r="W64" s="214" t="e">
        <f t="shared" ca="1" si="15"/>
        <v>#N/A</v>
      </c>
      <c r="X64" s="216"/>
      <c r="Y64" s="211" t="e">
        <f ca="1">Propagações_TOT_GRANDE!AP64</f>
        <v>#N/A</v>
      </c>
      <c r="Z64" s="211" t="e">
        <f ca="1">Propagações_TOT_PARANAIBA!AJ64</f>
        <v>#N/A</v>
      </c>
      <c r="AA64" s="213" t="e">
        <f ca="1">IFERROR(INDEX(PREVS_SMAP!$AU$28:$BA$347,MATCH(Propagações_TOT_ITAIPU!AA$2,PREVS_SMAP!$R$28:$R$347,0),MATCH(Propagações_TOT_ITAIPU!$A64,PREVS_SMAP!$AU$27:$BA$27,0)),INDEX(INDIRECT("PREVIVAZ!$C$"&amp;$AA$2+1&amp;":$N$"&amp;$AA$2+1&amp;""),1,MATCH($A64,PREVIVAZ!$C$1:$N$1,1)))</f>
        <v>#N/A</v>
      </c>
      <c r="AB64" s="213" t="e">
        <f ca="1">IFERROR(INDEX(PREVS_SMAP!$AU$28:$BA$347,MATCH(Propagações_TOT_ITAIPU!AB$2,PREVS_SMAP!$R$28:$R$347,0),MATCH(Propagações_TOT_ITAIPU!$A64,PREVS_SMAP!$AU$27:$BA$27,0)),INDEX(INDIRECT("PREVIVAZ!$C$"&amp;AB$2+1&amp;":$N$"&amp;AB$2+1&amp;""),1,MATCH($A64,PREVIVAZ!$C$1:$N$1,1)))</f>
        <v>#N/A</v>
      </c>
      <c r="AC64" s="213" t="e">
        <f ca="1">IFERROR(INDEX(PREVS_SMAP!$AU$28:$BA$347,MATCH(Propagações_TOT_ITAIPU!AC$2,PREVS_SMAP!$R$28:$R$347,0),MATCH(Propagações_TOT_ITAIPU!$A64,PREVS_SMAP!$AU$27:$BA$27,0)),INDEX(INDIRECT("PREVIVAZ!$C$"&amp;AC$2+1&amp;":$N$"&amp;AC$2+1&amp;""),1,MATCH($A64,PREVIVAZ!$C$1:$N$1,1)))</f>
        <v>#N/A</v>
      </c>
      <c r="AE64" s="272" t="e">
        <f ca="1">Propagações_TOT_TIETE!$X64</f>
        <v>#N/A</v>
      </c>
    </row>
    <row r="65" spans="1:31" x14ac:dyDescent="0.2">
      <c r="A65" s="49">
        <f t="shared" ca="1" si="9"/>
        <v>43864</v>
      </c>
      <c r="B65" s="53"/>
      <c r="C65" s="53"/>
      <c r="D65" s="52"/>
      <c r="E65" s="67" t="e">
        <f ca="1">INDEX(RESULTADOS!$A:$BA,MATCH($A65,RESULTADOS!$A:$A,0),MATCH(E$1,RESULTADOS!$1:$1,0))</f>
        <v>#N/A</v>
      </c>
      <c r="F65" s="67" t="e">
        <f ca="1">INDEX(RESULTADOS!$A:$BA,MATCH($A65,RESULTADOS!$A:$A,0),MATCH(F$1,RESULTADOS!$1:$1,0))</f>
        <v>#N/A</v>
      </c>
      <c r="G65" s="67" t="e">
        <f ca="1">INDEX(RESULTADOS!$A:$BA,MATCH($A65,RESULTADOS!$A:$A,0),MATCH(G$1,RESULTADOS!$1:$1,0))</f>
        <v>#N/A</v>
      </c>
      <c r="H65" s="67" t="e">
        <f ca="1">INDEX(RESULTADOS!$A:$BA,MATCH($A65,RESULTADOS!$A:$A,0),MATCH(H$1,RESULTADOS!$1:$1,0))</f>
        <v>#N/A</v>
      </c>
      <c r="I65" s="67" t="e">
        <f ca="1">INDEX(RESULTADOS!$A:$BA,MATCH($A65,RESULTADOS!$A:$A,0),MATCH(I$1,RESULTADOS!$1:$1,0))</f>
        <v>#N/A</v>
      </c>
      <c r="J65" s="51" t="e">
        <f t="shared" ca="1" si="2"/>
        <v>#N/A</v>
      </c>
      <c r="K65" s="42"/>
      <c r="L65" s="70"/>
      <c r="M65" s="211" t="e">
        <f ca="1">Propagações_TOT_PARANAPANEMA!AB65</f>
        <v>#N/A</v>
      </c>
      <c r="N65" s="213" t="e">
        <f ca="1">IFERROR(INDEX(PREVS_SMAP!$D$132:$Q$134,MATCH(Propagações_TOT_ITAIPU!N$2,PREVS_SMAP!$A$132:$A$134,0),MATCH(Propagações_TOT_ITAIPU!$A65,PREVS_SMAP!$D$131:$Q$131,0)),INDEX(INDIRECT("PREVIVAZ!$C$"&amp;N$6+1&amp;":$N$"&amp;N$6+1&amp;""),1,MATCH($A65,PREVIVAZ!$C$1:$N$1,1)))</f>
        <v>#N/A</v>
      </c>
      <c r="O65" s="213" t="e">
        <f ca="1">IFERROR(INDEX(PREVS_SMAP!$D$132:$Q$134,MATCH(Propagações_TOT_ITAIPU!O$2,PREVS_SMAP!$A$132:$A$134,0),MATCH(Propagações_TOT_ITAIPU!$A65,PREVS_SMAP!$D$131:$Q$131,0)),INDEX(INDIRECT("PREVIVAZ!$C$"&amp;O$6+1&amp;":$N$"&amp;O$6+1&amp;""),1,MATCH($A65,PREVIVAZ!$C$1:$N$1,1)))</f>
        <v>#N/A</v>
      </c>
      <c r="P65" s="213" t="e">
        <f ca="1">IFERROR(INDEX(PREVS_SMAP!$D$132:$Q$134,MATCH(Propagações_TOT_ITAIPU!P$2,PREVS_SMAP!$A$132:$A$134,0),MATCH(Propagações_TOT_ITAIPU!$A65,PREVS_SMAP!$D$131:$Q$131,0)),INDEX(INDIRECT("PREVIVAZ!$C$"&amp;P$6+1&amp;":$N$"&amp;P$6+1&amp;""),1,MATCH($A65,PREVIVAZ!$C$1:$N$1,1)))</f>
        <v>#N/A</v>
      </c>
      <c r="Q65" s="213" t="e">
        <f ca="1">IFERROR(INDEX(PREVS_SMAP!$D$132:$Q$134,MATCH(Propagações_TOT_ITAIPU!Q$2,PREVS_SMAP!$A$132:$A$134,0),MATCH(Propagações_TOT_ITAIPU!$A65,PREVS_SMAP!$D$131:$Q$131,0)),INDEX(INDIRECT("PREVIVAZ!$C$"&amp;Q$6+1&amp;":$N$"&amp;Q$6+1&amp;""),1,MATCH($A65,PREVIVAZ!$C$1:$N$1,1)))</f>
        <v>#N/A</v>
      </c>
      <c r="R65" s="211" t="e">
        <f t="shared" ca="1" si="10"/>
        <v>#N/A</v>
      </c>
      <c r="S65" s="214" t="e">
        <f t="shared" ca="1" si="11"/>
        <v>#N/A</v>
      </c>
      <c r="T65" s="214" t="e">
        <f t="shared" ca="1" si="12"/>
        <v>#N/A</v>
      </c>
      <c r="U65" s="215" t="e">
        <f t="shared" ca="1" si="13"/>
        <v>#N/A</v>
      </c>
      <c r="V65" s="214" t="e">
        <f t="shared" ca="1" si="14"/>
        <v>#N/A</v>
      </c>
      <c r="W65" s="214" t="e">
        <f t="shared" ca="1" si="15"/>
        <v>#N/A</v>
      </c>
      <c r="X65" s="216"/>
      <c r="Y65" s="211" t="e">
        <f ca="1">Propagações_TOT_GRANDE!AP65</f>
        <v>#N/A</v>
      </c>
      <c r="Z65" s="211" t="e">
        <f ca="1">Propagações_TOT_PARANAIBA!AJ65</f>
        <v>#N/A</v>
      </c>
      <c r="AA65" s="213" t="e">
        <f ca="1">IFERROR(INDEX(PREVS_SMAP!$AU$28:$BA$347,MATCH(Propagações_TOT_ITAIPU!AA$2,PREVS_SMAP!$R$28:$R$347,0),MATCH(Propagações_TOT_ITAIPU!$A65,PREVS_SMAP!$AU$27:$BA$27,0)),INDEX(INDIRECT("PREVIVAZ!$C$"&amp;$AA$2+1&amp;":$N$"&amp;$AA$2+1&amp;""),1,MATCH($A65,PREVIVAZ!$C$1:$N$1,1)))</f>
        <v>#N/A</v>
      </c>
      <c r="AB65" s="213" t="e">
        <f ca="1">IFERROR(INDEX(PREVS_SMAP!$AU$28:$BA$347,MATCH(Propagações_TOT_ITAIPU!AB$2,PREVS_SMAP!$R$28:$R$347,0),MATCH(Propagações_TOT_ITAIPU!$A65,PREVS_SMAP!$AU$27:$BA$27,0)),INDEX(INDIRECT("PREVIVAZ!$C$"&amp;AB$2+1&amp;":$N$"&amp;AB$2+1&amp;""),1,MATCH($A65,PREVIVAZ!$C$1:$N$1,1)))</f>
        <v>#N/A</v>
      </c>
      <c r="AC65" s="213" t="e">
        <f ca="1">IFERROR(INDEX(PREVS_SMAP!$AU$28:$BA$347,MATCH(Propagações_TOT_ITAIPU!AC$2,PREVS_SMAP!$R$28:$R$347,0),MATCH(Propagações_TOT_ITAIPU!$A65,PREVS_SMAP!$AU$27:$BA$27,0)),INDEX(INDIRECT("PREVIVAZ!$C$"&amp;AC$2+1&amp;":$N$"&amp;AC$2+1&amp;""),1,MATCH($A65,PREVIVAZ!$C$1:$N$1,1)))</f>
        <v>#N/A</v>
      </c>
      <c r="AE65" s="272" t="e">
        <f ca="1">Propagações_TOT_TIETE!$X65</f>
        <v>#N/A</v>
      </c>
    </row>
    <row r="66" spans="1:31" x14ac:dyDescent="0.2">
      <c r="A66" s="49">
        <f t="shared" ca="1" si="9"/>
        <v>43865</v>
      </c>
      <c r="B66" s="53"/>
      <c r="C66" s="53"/>
      <c r="D66" s="52"/>
      <c r="E66" s="67" t="e">
        <f ca="1">INDEX(RESULTADOS!$A:$BA,MATCH($A66,RESULTADOS!$A:$A,0),MATCH(E$1,RESULTADOS!$1:$1,0))</f>
        <v>#N/A</v>
      </c>
      <c r="F66" s="67" t="e">
        <f ca="1">INDEX(RESULTADOS!$A:$BA,MATCH($A66,RESULTADOS!$A:$A,0),MATCH(F$1,RESULTADOS!$1:$1,0))</f>
        <v>#N/A</v>
      </c>
      <c r="G66" s="67" t="e">
        <f ca="1">INDEX(RESULTADOS!$A:$BA,MATCH($A66,RESULTADOS!$A:$A,0),MATCH(G$1,RESULTADOS!$1:$1,0))</f>
        <v>#N/A</v>
      </c>
      <c r="H66" s="67" t="e">
        <f ca="1">INDEX(RESULTADOS!$A:$BA,MATCH($A66,RESULTADOS!$A:$A,0),MATCH(H$1,RESULTADOS!$1:$1,0))</f>
        <v>#N/A</v>
      </c>
      <c r="I66" s="67" t="e">
        <f ca="1">INDEX(RESULTADOS!$A:$BA,MATCH($A66,RESULTADOS!$A:$A,0),MATCH(I$1,RESULTADOS!$1:$1,0))</f>
        <v>#N/A</v>
      </c>
      <c r="J66" s="51" t="e">
        <f t="shared" ca="1" si="2"/>
        <v>#N/A</v>
      </c>
      <c r="K66" s="42"/>
      <c r="L66" s="70"/>
      <c r="M66" s="211" t="e">
        <f ca="1">Propagações_TOT_PARANAPANEMA!AB66</f>
        <v>#N/A</v>
      </c>
      <c r="N66" s="213" t="e">
        <f ca="1">IFERROR(INDEX(PREVS_SMAP!$D$132:$Q$134,MATCH(Propagações_TOT_ITAIPU!N$2,PREVS_SMAP!$A$132:$A$134,0),MATCH(Propagações_TOT_ITAIPU!$A66,PREVS_SMAP!$D$131:$Q$131,0)),INDEX(INDIRECT("PREVIVAZ!$C$"&amp;N$6+1&amp;":$N$"&amp;N$6+1&amp;""),1,MATCH($A66,PREVIVAZ!$C$1:$N$1,1)))</f>
        <v>#N/A</v>
      </c>
      <c r="O66" s="213" t="e">
        <f ca="1">IFERROR(INDEX(PREVS_SMAP!$D$132:$Q$134,MATCH(Propagações_TOT_ITAIPU!O$2,PREVS_SMAP!$A$132:$A$134,0),MATCH(Propagações_TOT_ITAIPU!$A66,PREVS_SMAP!$D$131:$Q$131,0)),INDEX(INDIRECT("PREVIVAZ!$C$"&amp;O$6+1&amp;":$N$"&amp;O$6+1&amp;""),1,MATCH($A66,PREVIVAZ!$C$1:$N$1,1)))</f>
        <v>#N/A</v>
      </c>
      <c r="P66" s="213" t="e">
        <f ca="1">IFERROR(INDEX(PREVS_SMAP!$D$132:$Q$134,MATCH(Propagações_TOT_ITAIPU!P$2,PREVS_SMAP!$A$132:$A$134,0),MATCH(Propagações_TOT_ITAIPU!$A66,PREVS_SMAP!$D$131:$Q$131,0)),INDEX(INDIRECT("PREVIVAZ!$C$"&amp;P$6+1&amp;":$N$"&amp;P$6+1&amp;""),1,MATCH($A66,PREVIVAZ!$C$1:$N$1,1)))</f>
        <v>#N/A</v>
      </c>
      <c r="Q66" s="213" t="e">
        <f ca="1">IFERROR(INDEX(PREVS_SMAP!$D$132:$Q$134,MATCH(Propagações_TOT_ITAIPU!Q$2,PREVS_SMAP!$A$132:$A$134,0),MATCH(Propagações_TOT_ITAIPU!$A66,PREVS_SMAP!$D$131:$Q$131,0)),INDEX(INDIRECT("PREVIVAZ!$C$"&amp;Q$6+1&amp;":$N$"&amp;Q$6+1&amp;""),1,MATCH($A66,PREVIVAZ!$C$1:$N$1,1)))</f>
        <v>#N/A</v>
      </c>
      <c r="R66" s="211" t="e">
        <f t="shared" ca="1" si="10"/>
        <v>#N/A</v>
      </c>
      <c r="S66" s="214" t="e">
        <f t="shared" ca="1" si="11"/>
        <v>#N/A</v>
      </c>
      <c r="T66" s="214" t="e">
        <f t="shared" ca="1" si="12"/>
        <v>#N/A</v>
      </c>
      <c r="U66" s="215" t="e">
        <f t="shared" ca="1" si="13"/>
        <v>#N/A</v>
      </c>
      <c r="V66" s="214" t="e">
        <f t="shared" ca="1" si="14"/>
        <v>#N/A</v>
      </c>
      <c r="W66" s="214" t="e">
        <f t="shared" ca="1" si="15"/>
        <v>#N/A</v>
      </c>
      <c r="X66" s="216"/>
      <c r="Y66" s="211" t="e">
        <f ca="1">Propagações_TOT_GRANDE!AP66</f>
        <v>#N/A</v>
      </c>
      <c r="Z66" s="211" t="e">
        <f ca="1">Propagações_TOT_PARANAIBA!AJ66</f>
        <v>#N/A</v>
      </c>
      <c r="AA66" s="213" t="e">
        <f ca="1">IFERROR(INDEX(PREVS_SMAP!$AU$28:$BA$347,MATCH(Propagações_TOT_ITAIPU!AA$2,PREVS_SMAP!$R$28:$R$347,0),MATCH(Propagações_TOT_ITAIPU!$A66,PREVS_SMAP!$AU$27:$BA$27,0)),INDEX(INDIRECT("PREVIVAZ!$C$"&amp;$AA$2+1&amp;":$N$"&amp;$AA$2+1&amp;""),1,MATCH($A66,PREVIVAZ!$C$1:$N$1,1)))</f>
        <v>#N/A</v>
      </c>
      <c r="AB66" s="213" t="e">
        <f ca="1">IFERROR(INDEX(PREVS_SMAP!$AU$28:$BA$347,MATCH(Propagações_TOT_ITAIPU!AB$2,PREVS_SMAP!$R$28:$R$347,0),MATCH(Propagações_TOT_ITAIPU!$A66,PREVS_SMAP!$AU$27:$BA$27,0)),INDEX(INDIRECT("PREVIVAZ!$C$"&amp;AB$2+1&amp;":$N$"&amp;AB$2+1&amp;""),1,MATCH($A66,PREVIVAZ!$C$1:$N$1,1)))</f>
        <v>#N/A</v>
      </c>
      <c r="AC66" s="213" t="e">
        <f ca="1">IFERROR(INDEX(PREVS_SMAP!$AU$28:$BA$347,MATCH(Propagações_TOT_ITAIPU!AC$2,PREVS_SMAP!$R$28:$R$347,0),MATCH(Propagações_TOT_ITAIPU!$A66,PREVS_SMAP!$AU$27:$BA$27,0)),INDEX(INDIRECT("PREVIVAZ!$C$"&amp;AC$2+1&amp;":$N$"&amp;AC$2+1&amp;""),1,MATCH($A66,PREVIVAZ!$C$1:$N$1,1)))</f>
        <v>#N/A</v>
      </c>
      <c r="AE66" s="272" t="e">
        <f ca="1">Propagações_TOT_TIETE!$X66</f>
        <v>#N/A</v>
      </c>
    </row>
    <row r="67" spans="1:31" x14ac:dyDescent="0.2">
      <c r="A67" s="49">
        <f t="shared" ca="1" si="9"/>
        <v>43866</v>
      </c>
      <c r="B67" s="53"/>
      <c r="C67" s="53"/>
      <c r="D67" s="52"/>
      <c r="E67" s="67" t="e">
        <f ca="1">INDEX(RESULTADOS!$A:$BA,MATCH($A67,RESULTADOS!$A:$A,0),MATCH(E$1,RESULTADOS!$1:$1,0))</f>
        <v>#N/A</v>
      </c>
      <c r="F67" s="67" t="e">
        <f ca="1">INDEX(RESULTADOS!$A:$BA,MATCH($A67,RESULTADOS!$A:$A,0),MATCH(F$1,RESULTADOS!$1:$1,0))</f>
        <v>#N/A</v>
      </c>
      <c r="G67" s="67" t="e">
        <f ca="1">INDEX(RESULTADOS!$A:$BA,MATCH($A67,RESULTADOS!$A:$A,0),MATCH(G$1,RESULTADOS!$1:$1,0))</f>
        <v>#N/A</v>
      </c>
      <c r="H67" s="67" t="e">
        <f ca="1">INDEX(RESULTADOS!$A:$BA,MATCH($A67,RESULTADOS!$A:$A,0),MATCH(H$1,RESULTADOS!$1:$1,0))</f>
        <v>#N/A</v>
      </c>
      <c r="I67" s="67" t="e">
        <f ca="1">INDEX(RESULTADOS!$A:$BA,MATCH($A67,RESULTADOS!$A:$A,0),MATCH(I$1,RESULTADOS!$1:$1,0))</f>
        <v>#N/A</v>
      </c>
      <c r="J67" s="51" t="e">
        <f t="shared" ca="1" si="2"/>
        <v>#N/A</v>
      </c>
      <c r="K67" s="42"/>
      <c r="L67" s="70"/>
      <c r="M67" s="211" t="e">
        <f ca="1">Propagações_TOT_PARANAPANEMA!AB67</f>
        <v>#N/A</v>
      </c>
      <c r="N67" s="213" t="e">
        <f ca="1">IFERROR(INDEX(PREVS_SMAP!$D$132:$Q$134,MATCH(Propagações_TOT_ITAIPU!N$2,PREVS_SMAP!$A$132:$A$134,0),MATCH(Propagações_TOT_ITAIPU!$A67,PREVS_SMAP!$D$131:$Q$131,0)),INDEX(INDIRECT("PREVIVAZ!$C$"&amp;N$6+1&amp;":$N$"&amp;N$6+1&amp;""),1,MATCH($A67,PREVIVAZ!$C$1:$N$1,1)))</f>
        <v>#N/A</v>
      </c>
      <c r="O67" s="213" t="e">
        <f ca="1">IFERROR(INDEX(PREVS_SMAP!$D$132:$Q$134,MATCH(Propagações_TOT_ITAIPU!O$2,PREVS_SMAP!$A$132:$A$134,0),MATCH(Propagações_TOT_ITAIPU!$A67,PREVS_SMAP!$D$131:$Q$131,0)),INDEX(INDIRECT("PREVIVAZ!$C$"&amp;O$6+1&amp;":$N$"&amp;O$6+1&amp;""),1,MATCH($A67,PREVIVAZ!$C$1:$N$1,1)))</f>
        <v>#N/A</v>
      </c>
      <c r="P67" s="213" t="e">
        <f ca="1">IFERROR(INDEX(PREVS_SMAP!$D$132:$Q$134,MATCH(Propagações_TOT_ITAIPU!P$2,PREVS_SMAP!$A$132:$A$134,0),MATCH(Propagações_TOT_ITAIPU!$A67,PREVS_SMAP!$D$131:$Q$131,0)),INDEX(INDIRECT("PREVIVAZ!$C$"&amp;P$6+1&amp;":$N$"&amp;P$6+1&amp;""),1,MATCH($A67,PREVIVAZ!$C$1:$N$1,1)))</f>
        <v>#N/A</v>
      </c>
      <c r="Q67" s="213" t="e">
        <f ca="1">IFERROR(INDEX(PREVS_SMAP!$D$132:$Q$134,MATCH(Propagações_TOT_ITAIPU!Q$2,PREVS_SMAP!$A$132:$A$134,0),MATCH(Propagações_TOT_ITAIPU!$A67,PREVS_SMAP!$D$131:$Q$131,0)),INDEX(INDIRECT("PREVIVAZ!$C$"&amp;Q$6+1&amp;":$N$"&amp;Q$6+1&amp;""),1,MATCH($A67,PREVIVAZ!$C$1:$N$1,1)))</f>
        <v>#N/A</v>
      </c>
      <c r="R67" s="211" t="e">
        <f t="shared" ca="1" si="10"/>
        <v>#N/A</v>
      </c>
      <c r="S67" s="214" t="e">
        <f t="shared" ca="1" si="11"/>
        <v>#N/A</v>
      </c>
      <c r="T67" s="214" t="e">
        <f t="shared" ca="1" si="12"/>
        <v>#N/A</v>
      </c>
      <c r="U67" s="215" t="e">
        <f t="shared" ca="1" si="13"/>
        <v>#N/A</v>
      </c>
      <c r="V67" s="214" t="e">
        <f t="shared" ca="1" si="14"/>
        <v>#N/A</v>
      </c>
      <c r="W67" s="214" t="e">
        <f t="shared" ca="1" si="15"/>
        <v>#N/A</v>
      </c>
      <c r="X67" s="216"/>
      <c r="Y67" s="211" t="e">
        <f ca="1">Propagações_TOT_GRANDE!AP67</f>
        <v>#N/A</v>
      </c>
      <c r="Z67" s="211" t="e">
        <f ca="1">Propagações_TOT_PARANAIBA!AJ67</f>
        <v>#N/A</v>
      </c>
      <c r="AA67" s="213" t="e">
        <f ca="1">IFERROR(INDEX(PREVS_SMAP!$AU$28:$BA$347,MATCH(Propagações_TOT_ITAIPU!AA$2,PREVS_SMAP!$R$28:$R$347,0),MATCH(Propagações_TOT_ITAIPU!$A67,PREVS_SMAP!$AU$27:$BA$27,0)),INDEX(INDIRECT("PREVIVAZ!$C$"&amp;$AA$2+1&amp;":$N$"&amp;$AA$2+1&amp;""),1,MATCH($A67,PREVIVAZ!$C$1:$N$1,1)))</f>
        <v>#N/A</v>
      </c>
      <c r="AB67" s="213" t="e">
        <f ca="1">IFERROR(INDEX(PREVS_SMAP!$AU$28:$BA$347,MATCH(Propagações_TOT_ITAIPU!AB$2,PREVS_SMAP!$R$28:$R$347,0),MATCH(Propagações_TOT_ITAIPU!$A67,PREVS_SMAP!$AU$27:$BA$27,0)),INDEX(INDIRECT("PREVIVAZ!$C$"&amp;AB$2+1&amp;":$N$"&amp;AB$2+1&amp;""),1,MATCH($A67,PREVIVAZ!$C$1:$N$1,1)))</f>
        <v>#N/A</v>
      </c>
      <c r="AC67" s="213" t="e">
        <f ca="1">IFERROR(INDEX(PREVS_SMAP!$AU$28:$BA$347,MATCH(Propagações_TOT_ITAIPU!AC$2,PREVS_SMAP!$R$28:$R$347,0),MATCH(Propagações_TOT_ITAIPU!$A67,PREVS_SMAP!$AU$27:$BA$27,0)),INDEX(INDIRECT("PREVIVAZ!$C$"&amp;AC$2+1&amp;":$N$"&amp;AC$2+1&amp;""),1,MATCH($A67,PREVIVAZ!$C$1:$N$1,1)))</f>
        <v>#N/A</v>
      </c>
      <c r="AE67" s="272" t="e">
        <f ca="1">Propagações_TOT_TIETE!$X67</f>
        <v>#N/A</v>
      </c>
    </row>
    <row r="68" spans="1:31" x14ac:dyDescent="0.2">
      <c r="A68" s="82">
        <f t="shared" ca="1" si="9"/>
        <v>43867</v>
      </c>
      <c r="B68" s="87"/>
      <c r="C68" s="87"/>
      <c r="D68" s="88"/>
      <c r="E68" s="67" t="e">
        <f ca="1">INDEX(RESULTADOS!$A:$BA,MATCH($A68,RESULTADOS!$A:$A,0),MATCH(E$1,RESULTADOS!$1:$1,0))</f>
        <v>#N/A</v>
      </c>
      <c r="F68" s="67" t="e">
        <f ca="1">INDEX(RESULTADOS!$A:$BA,MATCH($A68,RESULTADOS!$A:$A,0),MATCH(F$1,RESULTADOS!$1:$1,0))</f>
        <v>#N/A</v>
      </c>
      <c r="G68" s="67" t="e">
        <f ca="1">INDEX(RESULTADOS!$A:$BA,MATCH($A68,RESULTADOS!$A:$A,0),MATCH(G$1,RESULTADOS!$1:$1,0))</f>
        <v>#N/A</v>
      </c>
      <c r="H68" s="67" t="e">
        <f ca="1">INDEX(RESULTADOS!$A:$BA,MATCH($A68,RESULTADOS!$A:$A,0),MATCH(H$1,RESULTADOS!$1:$1,0))</f>
        <v>#N/A</v>
      </c>
      <c r="I68" s="67" t="e">
        <f ca="1">INDEX(RESULTADOS!$A:$BA,MATCH($A68,RESULTADOS!$A:$A,0),MATCH(I$1,RESULTADOS!$1:$1,0))</f>
        <v>#N/A</v>
      </c>
      <c r="J68" s="83" t="e">
        <f t="shared" ca="1" si="2"/>
        <v>#N/A</v>
      </c>
      <c r="K68" s="85"/>
      <c r="L68" s="90"/>
      <c r="M68" s="211" t="e">
        <f ca="1">Propagações_TOT_PARANAPANEMA!AB68</f>
        <v>#N/A</v>
      </c>
      <c r="N68" s="213" t="e">
        <f ca="1">IFERROR(INDEX(PREVS_SMAP!$D$132:$Q$134,MATCH(Propagações_TOT_ITAIPU!N$2,PREVS_SMAP!$A$132:$A$134,0),MATCH(Propagações_TOT_ITAIPU!$A68,PREVS_SMAP!$D$131:$Q$131,0)),INDEX(INDIRECT("PREVIVAZ!$C$"&amp;N$6+1&amp;":$N$"&amp;N$6+1&amp;""),1,MATCH($A68,PREVIVAZ!$C$1:$N$1,1)))</f>
        <v>#N/A</v>
      </c>
      <c r="O68" s="213" t="e">
        <f ca="1">IFERROR(INDEX(PREVS_SMAP!$D$132:$Q$134,MATCH(Propagações_TOT_ITAIPU!O$2,PREVS_SMAP!$A$132:$A$134,0),MATCH(Propagações_TOT_ITAIPU!$A68,PREVS_SMAP!$D$131:$Q$131,0)),INDEX(INDIRECT("PREVIVAZ!$C$"&amp;O$6+1&amp;":$N$"&amp;O$6+1&amp;""),1,MATCH($A68,PREVIVAZ!$C$1:$N$1,1)))</f>
        <v>#N/A</v>
      </c>
      <c r="P68" s="213" t="e">
        <f ca="1">IFERROR(INDEX(PREVS_SMAP!$D$132:$Q$134,MATCH(Propagações_TOT_ITAIPU!P$2,PREVS_SMAP!$A$132:$A$134,0),MATCH(Propagações_TOT_ITAIPU!$A68,PREVS_SMAP!$D$131:$Q$131,0)),INDEX(INDIRECT("PREVIVAZ!$C$"&amp;P$6+1&amp;":$N$"&amp;P$6+1&amp;""),1,MATCH($A68,PREVIVAZ!$C$1:$N$1,1)))</f>
        <v>#N/A</v>
      </c>
      <c r="Q68" s="213" t="e">
        <f ca="1">IFERROR(INDEX(PREVS_SMAP!$D$132:$Q$134,MATCH(Propagações_TOT_ITAIPU!Q$2,PREVS_SMAP!$A$132:$A$134,0),MATCH(Propagações_TOT_ITAIPU!$A68,PREVS_SMAP!$D$131:$Q$131,0)),INDEX(INDIRECT("PREVIVAZ!$C$"&amp;Q$6+1&amp;":$N$"&amp;Q$6+1&amp;""),1,MATCH($A68,PREVIVAZ!$C$1:$N$1,1)))</f>
        <v>#N/A</v>
      </c>
      <c r="R68" s="211" t="e">
        <f t="shared" ca="1" si="10"/>
        <v>#N/A</v>
      </c>
      <c r="S68" s="214" t="e">
        <f t="shared" ca="1" si="11"/>
        <v>#N/A</v>
      </c>
      <c r="T68" s="214" t="e">
        <f t="shared" ca="1" si="12"/>
        <v>#N/A</v>
      </c>
      <c r="U68" s="215" t="e">
        <f t="shared" ca="1" si="13"/>
        <v>#N/A</v>
      </c>
      <c r="V68" s="214" t="e">
        <f t="shared" ca="1" si="14"/>
        <v>#N/A</v>
      </c>
      <c r="W68" s="214" t="e">
        <f t="shared" ca="1" si="15"/>
        <v>#N/A</v>
      </c>
      <c r="X68" s="216"/>
      <c r="Y68" s="211" t="e">
        <f ca="1">Propagações_TOT_GRANDE!AP68</f>
        <v>#N/A</v>
      </c>
      <c r="Z68" s="211" t="e">
        <f ca="1">Propagações_TOT_PARANAIBA!AJ68</f>
        <v>#N/A</v>
      </c>
      <c r="AA68" s="213" t="e">
        <f ca="1">IFERROR(INDEX(PREVS_SMAP!$AU$28:$BA$347,MATCH(Propagações_TOT_ITAIPU!AA$2,PREVS_SMAP!$R$28:$R$347,0),MATCH(Propagações_TOT_ITAIPU!$A68,PREVS_SMAP!$AU$27:$BA$27,0)),INDEX(INDIRECT("PREVIVAZ!$C$"&amp;$AA$2+1&amp;":$N$"&amp;$AA$2+1&amp;""),1,MATCH($A68,PREVIVAZ!$C$1:$N$1,1)))</f>
        <v>#N/A</v>
      </c>
      <c r="AB68" s="213" t="e">
        <f ca="1">IFERROR(INDEX(PREVS_SMAP!$AU$28:$BA$347,MATCH(Propagações_TOT_ITAIPU!AB$2,PREVS_SMAP!$R$28:$R$347,0),MATCH(Propagações_TOT_ITAIPU!$A68,PREVS_SMAP!$AU$27:$BA$27,0)),INDEX(INDIRECT("PREVIVAZ!$C$"&amp;AB$2+1&amp;":$N$"&amp;AB$2+1&amp;""),1,MATCH($A68,PREVIVAZ!$C$1:$N$1,1)))</f>
        <v>#N/A</v>
      </c>
      <c r="AC68" s="213" t="e">
        <f ca="1">IFERROR(INDEX(PREVS_SMAP!$AU$28:$BA$347,MATCH(Propagações_TOT_ITAIPU!AC$2,PREVS_SMAP!$R$28:$R$347,0),MATCH(Propagações_TOT_ITAIPU!$A68,PREVS_SMAP!$AU$27:$BA$27,0)),INDEX(INDIRECT("PREVIVAZ!$C$"&amp;AC$2+1&amp;":$N$"&amp;AC$2+1&amp;""),1,MATCH($A68,PREVIVAZ!$C$1:$N$1,1)))</f>
        <v>#N/A</v>
      </c>
      <c r="AE68" s="272" t="e">
        <f ca="1">Propagações_TOT_TIETE!$X68</f>
        <v>#N/A</v>
      </c>
    </row>
    <row r="69" spans="1:31" x14ac:dyDescent="0.2">
      <c r="A69" s="49">
        <f t="shared" ca="1" si="9"/>
        <v>43868</v>
      </c>
      <c r="B69" s="53"/>
      <c r="C69" s="53"/>
      <c r="D69" s="52"/>
      <c r="E69" s="67" t="e">
        <f ca="1">INDEX(RESULTADOS!$A:$BA,MATCH($A69,RESULTADOS!$A:$A,0),MATCH(E$1,RESULTADOS!$1:$1,0))</f>
        <v>#N/A</v>
      </c>
      <c r="F69" s="67" t="e">
        <f ca="1">INDEX(RESULTADOS!$A:$BA,MATCH($A69,RESULTADOS!$A:$A,0),MATCH(F$1,RESULTADOS!$1:$1,0))</f>
        <v>#N/A</v>
      </c>
      <c r="G69" s="67" t="e">
        <f ca="1">INDEX(RESULTADOS!$A:$BA,MATCH($A69,RESULTADOS!$A:$A,0),MATCH(G$1,RESULTADOS!$1:$1,0))</f>
        <v>#N/A</v>
      </c>
      <c r="H69" s="67" t="e">
        <f ca="1">INDEX(RESULTADOS!$A:$BA,MATCH($A69,RESULTADOS!$A:$A,0),MATCH(H$1,RESULTADOS!$1:$1,0))</f>
        <v>#N/A</v>
      </c>
      <c r="I69" s="67" t="e">
        <f ca="1">INDEX(RESULTADOS!$A:$BA,MATCH($A69,RESULTADOS!$A:$A,0),MATCH(I$1,RESULTADOS!$1:$1,0))</f>
        <v>#N/A</v>
      </c>
      <c r="J69" s="51" t="e">
        <f t="shared" ca="1" si="2"/>
        <v>#N/A</v>
      </c>
      <c r="K69" s="43"/>
      <c r="L69" s="70"/>
      <c r="M69" s="211" t="e">
        <f ca="1">Propagações_TOT_PARANAPANEMA!AB69</f>
        <v>#N/A</v>
      </c>
      <c r="N69" s="213" t="e">
        <f ca="1">IFERROR(INDEX(PREVS_SMAP!$D$132:$Q$134,MATCH(Propagações_TOT_ITAIPU!N$2,PREVS_SMAP!$A$132:$A$134,0),MATCH(Propagações_TOT_ITAIPU!$A69,PREVS_SMAP!$D$131:$Q$131,0)),INDEX(INDIRECT("PREVIVAZ!$C$"&amp;N$6+1&amp;":$N$"&amp;N$6+1&amp;""),1,MATCH($A69,PREVIVAZ!$C$1:$N$1,1)))</f>
        <v>#N/A</v>
      </c>
      <c r="O69" s="213" t="e">
        <f ca="1">IFERROR(INDEX(PREVS_SMAP!$D$132:$Q$134,MATCH(Propagações_TOT_ITAIPU!O$2,PREVS_SMAP!$A$132:$A$134,0),MATCH(Propagações_TOT_ITAIPU!$A69,PREVS_SMAP!$D$131:$Q$131,0)),INDEX(INDIRECT("PREVIVAZ!$C$"&amp;O$6+1&amp;":$N$"&amp;O$6+1&amp;""),1,MATCH($A69,PREVIVAZ!$C$1:$N$1,1)))</f>
        <v>#N/A</v>
      </c>
      <c r="P69" s="213" t="e">
        <f ca="1">IFERROR(INDEX(PREVS_SMAP!$D$132:$Q$134,MATCH(Propagações_TOT_ITAIPU!P$2,PREVS_SMAP!$A$132:$A$134,0),MATCH(Propagações_TOT_ITAIPU!$A69,PREVS_SMAP!$D$131:$Q$131,0)),INDEX(INDIRECT("PREVIVAZ!$C$"&amp;P$6+1&amp;":$N$"&amp;P$6+1&amp;""),1,MATCH($A69,PREVIVAZ!$C$1:$N$1,1)))</f>
        <v>#N/A</v>
      </c>
      <c r="Q69" s="213" t="e">
        <f ca="1">IFERROR(INDEX(PREVS_SMAP!$D$132:$Q$134,MATCH(Propagações_TOT_ITAIPU!Q$2,PREVS_SMAP!$A$132:$A$134,0),MATCH(Propagações_TOT_ITAIPU!$A69,PREVS_SMAP!$D$131:$Q$131,0)),INDEX(INDIRECT("PREVIVAZ!$C$"&amp;Q$6+1&amp;":$N$"&amp;Q$6+1&amp;""),1,MATCH($A69,PREVIVAZ!$C$1:$N$1,1)))</f>
        <v>#N/A</v>
      </c>
      <c r="R69" s="211" t="e">
        <f t="shared" ca="1" si="10"/>
        <v>#N/A</v>
      </c>
      <c r="S69" s="214" t="e">
        <f t="shared" ca="1" si="11"/>
        <v>#N/A</v>
      </c>
      <c r="T69" s="214" t="e">
        <f t="shared" ca="1" si="12"/>
        <v>#N/A</v>
      </c>
      <c r="U69" s="215" t="e">
        <f t="shared" ca="1" si="13"/>
        <v>#N/A</v>
      </c>
      <c r="V69" s="214" t="e">
        <f t="shared" ca="1" si="14"/>
        <v>#N/A</v>
      </c>
      <c r="W69" s="214" t="e">
        <f t="shared" ca="1" si="15"/>
        <v>#N/A</v>
      </c>
      <c r="X69" s="216"/>
      <c r="Y69" s="211" t="e">
        <f ca="1">Propagações_TOT_GRANDE!AP69</f>
        <v>#N/A</v>
      </c>
      <c r="Z69" s="211" t="e">
        <f ca="1">Propagações_TOT_PARANAIBA!AJ69</f>
        <v>#N/A</v>
      </c>
      <c r="AA69" s="213" t="e">
        <f ca="1">IFERROR(INDEX(PREVS_SMAP!$AU$28:$BA$347,MATCH(Propagações_TOT_ITAIPU!AA$2,PREVS_SMAP!$R$28:$R$347,0),MATCH(Propagações_TOT_ITAIPU!$A69,PREVS_SMAP!$AU$27:$BA$27,0)),INDEX(INDIRECT("PREVIVAZ!$C$"&amp;$AA$2+1&amp;":$N$"&amp;$AA$2+1&amp;""),1,MATCH($A69,PREVIVAZ!$C$1:$N$1,1)))</f>
        <v>#N/A</v>
      </c>
      <c r="AB69" s="213" t="e">
        <f ca="1">IFERROR(INDEX(PREVS_SMAP!$AU$28:$BA$347,MATCH(Propagações_TOT_ITAIPU!AB$2,PREVS_SMAP!$R$28:$R$347,0),MATCH(Propagações_TOT_ITAIPU!$A69,PREVS_SMAP!$AU$27:$BA$27,0)),INDEX(INDIRECT("PREVIVAZ!$C$"&amp;AB$2+1&amp;":$N$"&amp;AB$2+1&amp;""),1,MATCH($A69,PREVIVAZ!$C$1:$N$1,1)))</f>
        <v>#N/A</v>
      </c>
      <c r="AC69" s="213" t="e">
        <f ca="1">IFERROR(INDEX(PREVS_SMAP!$AU$28:$BA$347,MATCH(Propagações_TOT_ITAIPU!AC$2,PREVS_SMAP!$R$28:$R$347,0),MATCH(Propagações_TOT_ITAIPU!$A69,PREVS_SMAP!$AU$27:$BA$27,0)),INDEX(INDIRECT("PREVIVAZ!$C$"&amp;AC$2+1&amp;":$N$"&amp;AC$2+1&amp;""),1,MATCH($A69,PREVIVAZ!$C$1:$N$1,1)))</f>
        <v>#N/A</v>
      </c>
      <c r="AE69" s="272" t="e">
        <f ca="1">Propagações_TOT_TIETE!$X69</f>
        <v>#N/A</v>
      </c>
    </row>
    <row r="70" spans="1:31" x14ac:dyDescent="0.2">
      <c r="A70" s="49">
        <f t="shared" ca="1" si="9"/>
        <v>43869</v>
      </c>
      <c r="B70" s="53"/>
      <c r="C70" s="53"/>
      <c r="D70" s="52"/>
      <c r="E70" s="67" t="e">
        <f ca="1">INDEX(RESULTADOS!$A:$BA,MATCH($A70,RESULTADOS!$A:$A,0),MATCH(E$1,RESULTADOS!$1:$1,0))</f>
        <v>#N/A</v>
      </c>
      <c r="F70" s="67" t="e">
        <f ca="1">INDEX(RESULTADOS!$A:$BA,MATCH($A70,RESULTADOS!$A:$A,0),MATCH(F$1,RESULTADOS!$1:$1,0))</f>
        <v>#N/A</v>
      </c>
      <c r="G70" s="67" t="e">
        <f ca="1">INDEX(RESULTADOS!$A:$BA,MATCH($A70,RESULTADOS!$A:$A,0),MATCH(G$1,RESULTADOS!$1:$1,0))</f>
        <v>#N/A</v>
      </c>
      <c r="H70" s="67" t="e">
        <f ca="1">INDEX(RESULTADOS!$A:$BA,MATCH($A70,RESULTADOS!$A:$A,0),MATCH(H$1,RESULTADOS!$1:$1,0))</f>
        <v>#N/A</v>
      </c>
      <c r="I70" s="67" t="e">
        <f ca="1">INDEX(RESULTADOS!$A:$BA,MATCH($A70,RESULTADOS!$A:$A,0),MATCH(I$1,RESULTADOS!$1:$1,0))</f>
        <v>#N/A</v>
      </c>
      <c r="J70" s="51" t="e">
        <f t="shared" ca="1" si="2"/>
        <v>#N/A</v>
      </c>
      <c r="K70" s="43"/>
      <c r="L70" s="70"/>
      <c r="M70" s="211" t="e">
        <f ca="1">Propagações_TOT_PARANAPANEMA!AB70</f>
        <v>#N/A</v>
      </c>
      <c r="N70" s="213" t="e">
        <f ca="1">IFERROR(INDEX(PREVS_SMAP!$D$132:$Q$134,MATCH(Propagações_TOT_ITAIPU!N$2,PREVS_SMAP!$A$132:$A$134,0),MATCH(Propagações_TOT_ITAIPU!$A70,PREVS_SMAP!$D$131:$Q$131,0)),INDEX(INDIRECT("PREVIVAZ!$C$"&amp;N$6+1&amp;":$N$"&amp;N$6+1&amp;""),1,MATCH($A70,PREVIVAZ!$C$1:$N$1,1)))</f>
        <v>#N/A</v>
      </c>
      <c r="O70" s="213" t="e">
        <f ca="1">IFERROR(INDEX(PREVS_SMAP!$D$132:$Q$134,MATCH(Propagações_TOT_ITAIPU!O$2,PREVS_SMAP!$A$132:$A$134,0),MATCH(Propagações_TOT_ITAIPU!$A70,PREVS_SMAP!$D$131:$Q$131,0)),INDEX(INDIRECT("PREVIVAZ!$C$"&amp;O$6+1&amp;":$N$"&amp;O$6+1&amp;""),1,MATCH($A70,PREVIVAZ!$C$1:$N$1,1)))</f>
        <v>#N/A</v>
      </c>
      <c r="P70" s="213" t="e">
        <f ca="1">IFERROR(INDEX(PREVS_SMAP!$D$132:$Q$134,MATCH(Propagações_TOT_ITAIPU!P$2,PREVS_SMAP!$A$132:$A$134,0),MATCH(Propagações_TOT_ITAIPU!$A70,PREVS_SMAP!$D$131:$Q$131,0)),INDEX(INDIRECT("PREVIVAZ!$C$"&amp;P$6+1&amp;":$N$"&amp;P$6+1&amp;""),1,MATCH($A70,PREVIVAZ!$C$1:$N$1,1)))</f>
        <v>#N/A</v>
      </c>
      <c r="Q70" s="213" t="e">
        <f ca="1">IFERROR(INDEX(PREVS_SMAP!$D$132:$Q$134,MATCH(Propagações_TOT_ITAIPU!Q$2,PREVS_SMAP!$A$132:$A$134,0),MATCH(Propagações_TOT_ITAIPU!$A70,PREVS_SMAP!$D$131:$Q$131,0)),INDEX(INDIRECT("PREVIVAZ!$C$"&amp;Q$6+1&amp;":$N$"&amp;Q$6+1&amp;""),1,MATCH($A70,PREVIVAZ!$C$1:$N$1,1)))</f>
        <v>#N/A</v>
      </c>
      <c r="R70" s="211" t="e">
        <f t="shared" ca="1" si="10"/>
        <v>#N/A</v>
      </c>
      <c r="S70" s="214" t="e">
        <f t="shared" ca="1" si="11"/>
        <v>#N/A</v>
      </c>
      <c r="T70" s="214" t="e">
        <f t="shared" ca="1" si="12"/>
        <v>#N/A</v>
      </c>
      <c r="U70" s="215" t="e">
        <f t="shared" ca="1" si="13"/>
        <v>#N/A</v>
      </c>
      <c r="V70" s="214" t="e">
        <f t="shared" ca="1" si="14"/>
        <v>#N/A</v>
      </c>
      <c r="W70" s="214" t="e">
        <f t="shared" ca="1" si="15"/>
        <v>#N/A</v>
      </c>
      <c r="X70" s="216"/>
      <c r="Y70" s="211" t="e">
        <f ca="1">Propagações_TOT_GRANDE!AP70</f>
        <v>#N/A</v>
      </c>
      <c r="Z70" s="211" t="e">
        <f ca="1">Propagações_TOT_PARANAIBA!AJ70</f>
        <v>#N/A</v>
      </c>
      <c r="AA70" s="213" t="e">
        <f ca="1">IFERROR(INDEX(PREVS_SMAP!$AU$28:$BA$347,MATCH(Propagações_TOT_ITAIPU!AA$2,PREVS_SMAP!$R$28:$R$347,0),MATCH(Propagações_TOT_ITAIPU!$A70,PREVS_SMAP!$AU$27:$BA$27,0)),INDEX(INDIRECT("PREVIVAZ!$C$"&amp;$AA$2+1&amp;":$N$"&amp;$AA$2+1&amp;""),1,MATCH($A70,PREVIVAZ!$C$1:$N$1,1)))</f>
        <v>#N/A</v>
      </c>
      <c r="AB70" s="213" t="e">
        <f ca="1">IFERROR(INDEX(PREVS_SMAP!$AU$28:$BA$347,MATCH(Propagações_TOT_ITAIPU!AB$2,PREVS_SMAP!$R$28:$R$347,0),MATCH(Propagações_TOT_ITAIPU!$A70,PREVS_SMAP!$AU$27:$BA$27,0)),INDEX(INDIRECT("PREVIVAZ!$C$"&amp;AB$2+1&amp;":$N$"&amp;AB$2+1&amp;""),1,MATCH($A70,PREVIVAZ!$C$1:$N$1,1)))</f>
        <v>#N/A</v>
      </c>
      <c r="AC70" s="213" t="e">
        <f ca="1">IFERROR(INDEX(PREVS_SMAP!$AU$28:$BA$347,MATCH(Propagações_TOT_ITAIPU!AC$2,PREVS_SMAP!$R$28:$R$347,0),MATCH(Propagações_TOT_ITAIPU!$A70,PREVS_SMAP!$AU$27:$BA$27,0)),INDEX(INDIRECT("PREVIVAZ!$C$"&amp;AC$2+1&amp;":$N$"&amp;AC$2+1&amp;""),1,MATCH($A70,PREVIVAZ!$C$1:$N$1,1)))</f>
        <v>#N/A</v>
      </c>
      <c r="AE70" s="272" t="e">
        <f ca="1">Propagações_TOT_TIETE!$X70</f>
        <v>#N/A</v>
      </c>
    </row>
    <row r="71" spans="1:31" x14ac:dyDescent="0.2">
      <c r="A71" s="49">
        <f t="shared" ca="1" si="9"/>
        <v>43870</v>
      </c>
      <c r="B71" s="53"/>
      <c r="C71" s="53"/>
      <c r="D71" s="52"/>
      <c r="E71" s="67" t="e">
        <f ca="1">INDEX(RESULTADOS!$A:$BA,MATCH($A71,RESULTADOS!$A:$A,0),MATCH(E$1,RESULTADOS!$1:$1,0))</f>
        <v>#N/A</v>
      </c>
      <c r="F71" s="67" t="e">
        <f ca="1">INDEX(RESULTADOS!$A:$BA,MATCH($A71,RESULTADOS!$A:$A,0),MATCH(F$1,RESULTADOS!$1:$1,0))</f>
        <v>#N/A</v>
      </c>
      <c r="G71" s="67" t="e">
        <f ca="1">INDEX(RESULTADOS!$A:$BA,MATCH($A71,RESULTADOS!$A:$A,0),MATCH(G$1,RESULTADOS!$1:$1,0))</f>
        <v>#N/A</v>
      </c>
      <c r="H71" s="67" t="e">
        <f ca="1">INDEX(RESULTADOS!$A:$BA,MATCH($A71,RESULTADOS!$A:$A,0),MATCH(H$1,RESULTADOS!$1:$1,0))</f>
        <v>#N/A</v>
      </c>
      <c r="I71" s="67" t="e">
        <f ca="1">INDEX(RESULTADOS!$A:$BA,MATCH($A71,RESULTADOS!$A:$A,0),MATCH(I$1,RESULTADOS!$1:$1,0))</f>
        <v>#N/A</v>
      </c>
      <c r="J71" s="51" t="e">
        <f t="shared" ca="1" si="2"/>
        <v>#N/A</v>
      </c>
      <c r="K71" s="43"/>
      <c r="L71" s="70"/>
      <c r="M71" s="211" t="e">
        <f ca="1">Propagações_TOT_PARANAPANEMA!AB71</f>
        <v>#N/A</v>
      </c>
      <c r="N71" s="213" t="e">
        <f ca="1">IFERROR(INDEX(PREVS_SMAP!$D$132:$Q$134,MATCH(Propagações_TOT_ITAIPU!N$2,PREVS_SMAP!$A$132:$A$134,0),MATCH(Propagações_TOT_ITAIPU!$A71,PREVS_SMAP!$D$131:$Q$131,0)),INDEX(INDIRECT("PREVIVAZ!$C$"&amp;N$6+1&amp;":$N$"&amp;N$6+1&amp;""),1,MATCH($A71,PREVIVAZ!$C$1:$N$1,1)))</f>
        <v>#N/A</v>
      </c>
      <c r="O71" s="213" t="e">
        <f ca="1">IFERROR(INDEX(PREVS_SMAP!$D$132:$Q$134,MATCH(Propagações_TOT_ITAIPU!O$2,PREVS_SMAP!$A$132:$A$134,0),MATCH(Propagações_TOT_ITAIPU!$A71,PREVS_SMAP!$D$131:$Q$131,0)),INDEX(INDIRECT("PREVIVAZ!$C$"&amp;O$6+1&amp;":$N$"&amp;O$6+1&amp;""),1,MATCH($A71,PREVIVAZ!$C$1:$N$1,1)))</f>
        <v>#N/A</v>
      </c>
      <c r="P71" s="213" t="e">
        <f ca="1">IFERROR(INDEX(PREVS_SMAP!$D$132:$Q$134,MATCH(Propagações_TOT_ITAIPU!P$2,PREVS_SMAP!$A$132:$A$134,0),MATCH(Propagações_TOT_ITAIPU!$A71,PREVS_SMAP!$D$131:$Q$131,0)),INDEX(INDIRECT("PREVIVAZ!$C$"&amp;P$6+1&amp;":$N$"&amp;P$6+1&amp;""),1,MATCH($A71,PREVIVAZ!$C$1:$N$1,1)))</f>
        <v>#N/A</v>
      </c>
      <c r="Q71" s="213" t="e">
        <f ca="1">IFERROR(INDEX(PREVS_SMAP!$D$132:$Q$134,MATCH(Propagações_TOT_ITAIPU!Q$2,PREVS_SMAP!$A$132:$A$134,0),MATCH(Propagações_TOT_ITAIPU!$A71,PREVS_SMAP!$D$131:$Q$131,0)),INDEX(INDIRECT("PREVIVAZ!$C$"&amp;Q$6+1&amp;":$N$"&amp;Q$6+1&amp;""),1,MATCH($A71,PREVIVAZ!$C$1:$N$1,1)))</f>
        <v>#N/A</v>
      </c>
      <c r="R71" s="211" t="e">
        <f t="shared" ca="1" si="10"/>
        <v>#N/A</v>
      </c>
      <c r="S71" s="214" t="e">
        <f t="shared" ca="1" si="11"/>
        <v>#N/A</v>
      </c>
      <c r="T71" s="214" t="e">
        <f t="shared" ca="1" si="12"/>
        <v>#N/A</v>
      </c>
      <c r="U71" s="215" t="e">
        <f t="shared" ca="1" si="13"/>
        <v>#N/A</v>
      </c>
      <c r="V71" s="214" t="e">
        <f t="shared" ca="1" si="14"/>
        <v>#N/A</v>
      </c>
      <c r="W71" s="214" t="e">
        <f t="shared" ca="1" si="15"/>
        <v>#N/A</v>
      </c>
      <c r="X71" s="216"/>
      <c r="Y71" s="211" t="e">
        <f ca="1">Propagações_TOT_GRANDE!AP71</f>
        <v>#N/A</v>
      </c>
      <c r="Z71" s="211" t="e">
        <f ca="1">Propagações_TOT_PARANAIBA!AJ71</f>
        <v>#N/A</v>
      </c>
      <c r="AA71" s="213" t="e">
        <f ca="1">IFERROR(INDEX(PREVS_SMAP!$AU$28:$BA$347,MATCH(Propagações_TOT_ITAIPU!AA$2,PREVS_SMAP!$R$28:$R$347,0),MATCH(Propagações_TOT_ITAIPU!$A71,PREVS_SMAP!$AU$27:$BA$27,0)),INDEX(INDIRECT("PREVIVAZ!$C$"&amp;$AA$2+1&amp;":$N$"&amp;$AA$2+1&amp;""),1,MATCH($A71,PREVIVAZ!$C$1:$N$1,1)))</f>
        <v>#N/A</v>
      </c>
      <c r="AB71" s="213" t="e">
        <f ca="1">IFERROR(INDEX(PREVS_SMAP!$AU$28:$BA$347,MATCH(Propagações_TOT_ITAIPU!AB$2,PREVS_SMAP!$R$28:$R$347,0),MATCH(Propagações_TOT_ITAIPU!$A71,PREVS_SMAP!$AU$27:$BA$27,0)),INDEX(INDIRECT("PREVIVAZ!$C$"&amp;AB$2+1&amp;":$N$"&amp;AB$2+1&amp;""),1,MATCH($A71,PREVIVAZ!$C$1:$N$1,1)))</f>
        <v>#N/A</v>
      </c>
      <c r="AC71" s="213" t="e">
        <f ca="1">IFERROR(INDEX(PREVS_SMAP!$AU$28:$BA$347,MATCH(Propagações_TOT_ITAIPU!AC$2,PREVS_SMAP!$R$28:$R$347,0),MATCH(Propagações_TOT_ITAIPU!$A71,PREVS_SMAP!$AU$27:$BA$27,0)),INDEX(INDIRECT("PREVIVAZ!$C$"&amp;AC$2+1&amp;":$N$"&amp;AC$2+1&amp;""),1,MATCH($A71,PREVIVAZ!$C$1:$N$1,1)))</f>
        <v>#N/A</v>
      </c>
      <c r="AE71" s="272" t="e">
        <f ca="1">Propagações_TOT_TIETE!$X71</f>
        <v>#N/A</v>
      </c>
    </row>
    <row r="72" spans="1:31" x14ac:dyDescent="0.2">
      <c r="A72" s="49">
        <f t="shared" ca="1" si="9"/>
        <v>43871</v>
      </c>
      <c r="B72" s="53"/>
      <c r="C72" s="53"/>
      <c r="D72" s="52"/>
      <c r="E72" s="67" t="e">
        <f ca="1">INDEX(RESULTADOS!$A:$BA,MATCH($A72,RESULTADOS!$A:$A,0),MATCH(E$1,RESULTADOS!$1:$1,0))</f>
        <v>#N/A</v>
      </c>
      <c r="F72" s="67" t="e">
        <f ca="1">INDEX(RESULTADOS!$A:$BA,MATCH($A72,RESULTADOS!$A:$A,0),MATCH(F$1,RESULTADOS!$1:$1,0))</f>
        <v>#N/A</v>
      </c>
      <c r="G72" s="67" t="e">
        <f ca="1">INDEX(RESULTADOS!$A:$BA,MATCH($A72,RESULTADOS!$A:$A,0),MATCH(G$1,RESULTADOS!$1:$1,0))</f>
        <v>#N/A</v>
      </c>
      <c r="H72" s="67" t="e">
        <f ca="1">INDEX(RESULTADOS!$A:$BA,MATCH($A72,RESULTADOS!$A:$A,0),MATCH(H$1,RESULTADOS!$1:$1,0))</f>
        <v>#N/A</v>
      </c>
      <c r="I72" s="67" t="e">
        <f ca="1">INDEX(RESULTADOS!$A:$BA,MATCH($A72,RESULTADOS!$A:$A,0),MATCH(I$1,RESULTADOS!$1:$1,0))</f>
        <v>#N/A</v>
      </c>
      <c r="J72" s="51" t="e">
        <f t="shared" ca="1" si="2"/>
        <v>#N/A</v>
      </c>
      <c r="K72" s="43"/>
      <c r="L72" s="70"/>
      <c r="M72" s="211" t="e">
        <f ca="1">Propagações_TOT_PARANAPANEMA!AB72</f>
        <v>#N/A</v>
      </c>
      <c r="N72" s="213" t="e">
        <f ca="1">IFERROR(INDEX(PREVS_SMAP!$D$132:$Q$134,MATCH(Propagações_TOT_ITAIPU!N$2,PREVS_SMAP!$A$132:$A$134,0),MATCH(Propagações_TOT_ITAIPU!$A72,PREVS_SMAP!$D$131:$Q$131,0)),INDEX(INDIRECT("PREVIVAZ!$C$"&amp;N$6+1&amp;":$N$"&amp;N$6+1&amp;""),1,MATCH($A72,PREVIVAZ!$C$1:$N$1,1)))</f>
        <v>#N/A</v>
      </c>
      <c r="O72" s="213" t="e">
        <f ca="1">IFERROR(INDEX(PREVS_SMAP!$D$132:$Q$134,MATCH(Propagações_TOT_ITAIPU!O$2,PREVS_SMAP!$A$132:$A$134,0),MATCH(Propagações_TOT_ITAIPU!$A72,PREVS_SMAP!$D$131:$Q$131,0)),INDEX(INDIRECT("PREVIVAZ!$C$"&amp;O$6+1&amp;":$N$"&amp;O$6+1&amp;""),1,MATCH($A72,PREVIVAZ!$C$1:$N$1,1)))</f>
        <v>#N/A</v>
      </c>
      <c r="P72" s="213" t="e">
        <f ca="1">IFERROR(INDEX(PREVS_SMAP!$D$132:$Q$134,MATCH(Propagações_TOT_ITAIPU!P$2,PREVS_SMAP!$A$132:$A$134,0),MATCH(Propagações_TOT_ITAIPU!$A72,PREVS_SMAP!$D$131:$Q$131,0)),INDEX(INDIRECT("PREVIVAZ!$C$"&amp;P$6+1&amp;":$N$"&amp;P$6+1&amp;""),1,MATCH($A72,PREVIVAZ!$C$1:$N$1,1)))</f>
        <v>#N/A</v>
      </c>
      <c r="Q72" s="213" t="e">
        <f ca="1">IFERROR(INDEX(PREVS_SMAP!$D$132:$Q$134,MATCH(Propagações_TOT_ITAIPU!Q$2,PREVS_SMAP!$A$132:$A$134,0),MATCH(Propagações_TOT_ITAIPU!$A72,PREVS_SMAP!$D$131:$Q$131,0)),INDEX(INDIRECT("PREVIVAZ!$C$"&amp;Q$6+1&amp;":$N$"&amp;Q$6+1&amp;""),1,MATCH($A72,PREVIVAZ!$C$1:$N$1,1)))</f>
        <v>#N/A</v>
      </c>
      <c r="R72" s="211" t="e">
        <f t="shared" ca="1" si="10"/>
        <v>#N/A</v>
      </c>
      <c r="S72" s="214" t="e">
        <f t="shared" ca="1" si="11"/>
        <v>#N/A</v>
      </c>
      <c r="T72" s="214" t="e">
        <f t="shared" ca="1" si="12"/>
        <v>#N/A</v>
      </c>
      <c r="U72" s="215" t="e">
        <f t="shared" ca="1" si="13"/>
        <v>#N/A</v>
      </c>
      <c r="V72" s="214" t="e">
        <f t="shared" ca="1" si="14"/>
        <v>#N/A</v>
      </c>
      <c r="W72" s="214" t="e">
        <f t="shared" ca="1" si="15"/>
        <v>#N/A</v>
      </c>
      <c r="X72" s="216"/>
      <c r="Y72" s="211" t="e">
        <f ca="1">Propagações_TOT_GRANDE!AP72</f>
        <v>#N/A</v>
      </c>
      <c r="Z72" s="211" t="e">
        <f ca="1">Propagações_TOT_PARANAIBA!AJ72</f>
        <v>#N/A</v>
      </c>
      <c r="AA72" s="213" t="e">
        <f ca="1">IFERROR(INDEX(PREVS_SMAP!$AU$28:$BA$347,MATCH(Propagações_TOT_ITAIPU!AA$2,PREVS_SMAP!$R$28:$R$347,0),MATCH(Propagações_TOT_ITAIPU!$A72,PREVS_SMAP!$AU$27:$BA$27,0)),INDEX(INDIRECT("PREVIVAZ!$C$"&amp;$AA$2+1&amp;":$N$"&amp;$AA$2+1&amp;""),1,MATCH($A72,PREVIVAZ!$C$1:$N$1,1)))</f>
        <v>#N/A</v>
      </c>
      <c r="AB72" s="213" t="e">
        <f ca="1">IFERROR(INDEX(PREVS_SMAP!$AU$28:$BA$347,MATCH(Propagações_TOT_ITAIPU!AB$2,PREVS_SMAP!$R$28:$R$347,0),MATCH(Propagações_TOT_ITAIPU!$A72,PREVS_SMAP!$AU$27:$BA$27,0)),INDEX(INDIRECT("PREVIVAZ!$C$"&amp;AB$2+1&amp;":$N$"&amp;AB$2+1&amp;""),1,MATCH($A72,PREVIVAZ!$C$1:$N$1,1)))</f>
        <v>#N/A</v>
      </c>
      <c r="AC72" s="213" t="e">
        <f ca="1">IFERROR(INDEX(PREVS_SMAP!$AU$28:$BA$347,MATCH(Propagações_TOT_ITAIPU!AC$2,PREVS_SMAP!$R$28:$R$347,0),MATCH(Propagações_TOT_ITAIPU!$A72,PREVS_SMAP!$AU$27:$BA$27,0)),INDEX(INDIRECT("PREVIVAZ!$C$"&amp;AC$2+1&amp;":$N$"&amp;AC$2+1&amp;""),1,MATCH($A72,PREVIVAZ!$C$1:$N$1,1)))</f>
        <v>#N/A</v>
      </c>
      <c r="AE72" s="272" t="e">
        <f ca="1">Propagações_TOT_TIETE!$X72</f>
        <v>#N/A</v>
      </c>
    </row>
    <row r="73" spans="1:31" x14ac:dyDescent="0.2">
      <c r="A73" s="49">
        <f t="shared" ca="1" si="9"/>
        <v>43872</v>
      </c>
      <c r="B73" s="53"/>
      <c r="C73" s="53"/>
      <c r="D73" s="52"/>
      <c r="E73" s="67" t="e">
        <f ca="1">INDEX(RESULTADOS!$A:$BA,MATCH($A73,RESULTADOS!$A:$A,0),MATCH(E$1,RESULTADOS!$1:$1,0))</f>
        <v>#N/A</v>
      </c>
      <c r="F73" s="67" t="e">
        <f ca="1">INDEX(RESULTADOS!$A:$BA,MATCH($A73,RESULTADOS!$A:$A,0),MATCH(F$1,RESULTADOS!$1:$1,0))</f>
        <v>#N/A</v>
      </c>
      <c r="G73" s="67" t="e">
        <f ca="1">INDEX(RESULTADOS!$A:$BA,MATCH($A73,RESULTADOS!$A:$A,0),MATCH(G$1,RESULTADOS!$1:$1,0))</f>
        <v>#N/A</v>
      </c>
      <c r="H73" s="67" t="e">
        <f ca="1">INDEX(RESULTADOS!$A:$BA,MATCH($A73,RESULTADOS!$A:$A,0),MATCH(H$1,RESULTADOS!$1:$1,0))</f>
        <v>#N/A</v>
      </c>
      <c r="I73" s="67" t="e">
        <f ca="1">INDEX(RESULTADOS!$A:$BA,MATCH($A73,RESULTADOS!$A:$A,0),MATCH(I$1,RESULTADOS!$1:$1,0))</f>
        <v>#N/A</v>
      </c>
      <c r="J73" s="51" t="e">
        <f t="shared" ca="1" si="2"/>
        <v>#N/A</v>
      </c>
      <c r="K73" s="43"/>
      <c r="L73" s="70"/>
      <c r="M73" s="211" t="e">
        <f ca="1">Propagações_TOT_PARANAPANEMA!AB73</f>
        <v>#N/A</v>
      </c>
      <c r="N73" s="213" t="e">
        <f ca="1">IFERROR(INDEX(PREVS_SMAP!$D$132:$Q$134,MATCH(Propagações_TOT_ITAIPU!N$2,PREVS_SMAP!$A$132:$A$134,0),MATCH(Propagações_TOT_ITAIPU!$A73,PREVS_SMAP!$D$131:$Q$131,0)),INDEX(INDIRECT("PREVIVAZ!$C$"&amp;N$6+1&amp;":$N$"&amp;N$6+1&amp;""),1,MATCH($A73,PREVIVAZ!$C$1:$N$1,1)))</f>
        <v>#N/A</v>
      </c>
      <c r="O73" s="213" t="e">
        <f ca="1">IFERROR(INDEX(PREVS_SMAP!$D$132:$Q$134,MATCH(Propagações_TOT_ITAIPU!O$2,PREVS_SMAP!$A$132:$A$134,0),MATCH(Propagações_TOT_ITAIPU!$A73,PREVS_SMAP!$D$131:$Q$131,0)),INDEX(INDIRECT("PREVIVAZ!$C$"&amp;O$6+1&amp;":$N$"&amp;O$6+1&amp;""),1,MATCH($A73,PREVIVAZ!$C$1:$N$1,1)))</f>
        <v>#N/A</v>
      </c>
      <c r="P73" s="213" t="e">
        <f ca="1">IFERROR(INDEX(PREVS_SMAP!$D$132:$Q$134,MATCH(Propagações_TOT_ITAIPU!P$2,PREVS_SMAP!$A$132:$A$134,0),MATCH(Propagações_TOT_ITAIPU!$A73,PREVS_SMAP!$D$131:$Q$131,0)),INDEX(INDIRECT("PREVIVAZ!$C$"&amp;P$6+1&amp;":$N$"&amp;P$6+1&amp;""),1,MATCH($A73,PREVIVAZ!$C$1:$N$1,1)))</f>
        <v>#N/A</v>
      </c>
      <c r="Q73" s="213" t="e">
        <f ca="1">IFERROR(INDEX(PREVS_SMAP!$D$132:$Q$134,MATCH(Propagações_TOT_ITAIPU!Q$2,PREVS_SMAP!$A$132:$A$134,0),MATCH(Propagações_TOT_ITAIPU!$A73,PREVS_SMAP!$D$131:$Q$131,0)),INDEX(INDIRECT("PREVIVAZ!$C$"&amp;Q$6+1&amp;":$N$"&amp;Q$6+1&amp;""),1,MATCH($A73,PREVIVAZ!$C$1:$N$1,1)))</f>
        <v>#N/A</v>
      </c>
      <c r="R73" s="211" t="e">
        <f t="shared" ca="1" si="10"/>
        <v>#N/A</v>
      </c>
      <c r="S73" s="214" t="e">
        <f t="shared" ca="1" si="11"/>
        <v>#N/A</v>
      </c>
      <c r="T73" s="214" t="e">
        <f t="shared" ca="1" si="12"/>
        <v>#N/A</v>
      </c>
      <c r="U73" s="215" t="e">
        <f t="shared" ca="1" si="13"/>
        <v>#N/A</v>
      </c>
      <c r="V73" s="214" t="e">
        <f t="shared" ca="1" si="14"/>
        <v>#N/A</v>
      </c>
      <c r="W73" s="214" t="e">
        <f t="shared" ca="1" si="15"/>
        <v>#N/A</v>
      </c>
      <c r="X73" s="216"/>
      <c r="Y73" s="211" t="e">
        <f ca="1">Propagações_TOT_GRANDE!AP73</f>
        <v>#N/A</v>
      </c>
      <c r="Z73" s="211" t="e">
        <f ca="1">Propagações_TOT_PARANAIBA!AJ73</f>
        <v>#N/A</v>
      </c>
      <c r="AA73" s="213" t="e">
        <f ca="1">IFERROR(INDEX(PREVS_SMAP!$AU$28:$BA$347,MATCH(Propagações_TOT_ITAIPU!AA$2,PREVS_SMAP!$R$28:$R$347,0),MATCH(Propagações_TOT_ITAIPU!$A73,PREVS_SMAP!$AU$27:$BA$27,0)),INDEX(INDIRECT("PREVIVAZ!$C$"&amp;$AA$2+1&amp;":$N$"&amp;$AA$2+1&amp;""),1,MATCH($A73,PREVIVAZ!$C$1:$N$1,1)))</f>
        <v>#N/A</v>
      </c>
      <c r="AB73" s="213" t="e">
        <f ca="1">IFERROR(INDEX(PREVS_SMAP!$AU$28:$BA$347,MATCH(Propagações_TOT_ITAIPU!AB$2,PREVS_SMAP!$R$28:$R$347,0),MATCH(Propagações_TOT_ITAIPU!$A73,PREVS_SMAP!$AU$27:$BA$27,0)),INDEX(INDIRECT("PREVIVAZ!$C$"&amp;AB$2+1&amp;":$N$"&amp;AB$2+1&amp;""),1,MATCH($A73,PREVIVAZ!$C$1:$N$1,1)))</f>
        <v>#N/A</v>
      </c>
      <c r="AC73" s="213" t="e">
        <f ca="1">IFERROR(INDEX(PREVS_SMAP!$AU$28:$BA$347,MATCH(Propagações_TOT_ITAIPU!AC$2,PREVS_SMAP!$R$28:$R$347,0),MATCH(Propagações_TOT_ITAIPU!$A73,PREVS_SMAP!$AU$27:$BA$27,0)),INDEX(INDIRECT("PREVIVAZ!$C$"&amp;AC$2+1&amp;":$N$"&amp;AC$2+1&amp;""),1,MATCH($A73,PREVIVAZ!$C$1:$N$1,1)))</f>
        <v>#N/A</v>
      </c>
      <c r="AE73" s="272" t="e">
        <f ca="1">Propagações_TOT_TIETE!$X73</f>
        <v>#N/A</v>
      </c>
    </row>
    <row r="74" spans="1:31" x14ac:dyDescent="0.2">
      <c r="A74" s="91">
        <f t="shared" ca="1" si="9"/>
        <v>43873</v>
      </c>
      <c r="B74" s="92"/>
      <c r="C74" s="92"/>
      <c r="D74" s="93"/>
      <c r="E74" s="67" t="e">
        <f ca="1">INDEX(RESULTADOS!$A:$BA,MATCH($A74,RESULTADOS!$A:$A,0),MATCH(E$1,RESULTADOS!$1:$1,0))</f>
        <v>#N/A</v>
      </c>
      <c r="F74" s="67" t="e">
        <f ca="1">INDEX(RESULTADOS!$A:$BA,MATCH($A74,RESULTADOS!$A:$A,0),MATCH(F$1,RESULTADOS!$1:$1,0))</f>
        <v>#N/A</v>
      </c>
      <c r="G74" s="67" t="e">
        <f ca="1">INDEX(RESULTADOS!$A:$BA,MATCH($A74,RESULTADOS!$A:$A,0),MATCH(G$1,RESULTADOS!$1:$1,0))</f>
        <v>#N/A</v>
      </c>
      <c r="H74" s="67" t="e">
        <f ca="1">INDEX(RESULTADOS!$A:$BA,MATCH($A74,RESULTADOS!$A:$A,0),MATCH(H$1,RESULTADOS!$1:$1,0))</f>
        <v>#N/A</v>
      </c>
      <c r="I74" s="67" t="e">
        <f ca="1">INDEX(RESULTADOS!$A:$BA,MATCH($A74,RESULTADOS!$A:$A,0),MATCH(I$1,RESULTADOS!$1:$1,0))</f>
        <v>#N/A</v>
      </c>
      <c r="J74" s="94" t="e">
        <f t="shared" ref="J74:J80" ca="1" si="16">((48-$H$3)*H73+($H$3-24)*H72)/24+((48-$G$3)*G73+($G$3-24)*G72)/24+((48-$F$3)*F73+($F$3-24)*F72)/24+((48-$E$3)*E73+($E$3-24)*E72)/24+I74</f>
        <v>#N/A</v>
      </c>
      <c r="K74" s="95"/>
      <c r="L74" s="96"/>
      <c r="M74" s="211" t="e">
        <f ca="1">Propagações_TOT_PARANAPANEMA!AB74</f>
        <v>#N/A</v>
      </c>
      <c r="N74" s="213" t="e">
        <f ca="1">IFERROR(INDEX(PREVS_SMAP!$D$132:$Q$134,MATCH(Propagações_TOT_ITAIPU!N$2,PREVS_SMAP!$A$132:$A$134,0),MATCH(Propagações_TOT_ITAIPU!$A74,PREVS_SMAP!$D$131:$Q$131,0)),INDEX(INDIRECT("PREVIVAZ!$C$"&amp;N$6+1&amp;":$N$"&amp;N$6+1&amp;""),1,MATCH($A74,PREVIVAZ!$C$1:$N$1,1)))</f>
        <v>#N/A</v>
      </c>
      <c r="O74" s="213" t="e">
        <f ca="1">IFERROR(INDEX(PREVS_SMAP!$D$132:$Q$134,MATCH(Propagações_TOT_ITAIPU!O$2,PREVS_SMAP!$A$132:$A$134,0),MATCH(Propagações_TOT_ITAIPU!$A74,PREVS_SMAP!$D$131:$Q$131,0)),INDEX(INDIRECT("PREVIVAZ!$C$"&amp;O$6+1&amp;":$N$"&amp;O$6+1&amp;""),1,MATCH($A74,PREVIVAZ!$C$1:$N$1,1)))</f>
        <v>#N/A</v>
      </c>
      <c r="P74" s="213" t="e">
        <f ca="1">IFERROR(INDEX(PREVS_SMAP!$D$132:$Q$134,MATCH(Propagações_TOT_ITAIPU!P$2,PREVS_SMAP!$A$132:$A$134,0),MATCH(Propagações_TOT_ITAIPU!$A74,PREVS_SMAP!$D$131:$Q$131,0)),INDEX(INDIRECT("PREVIVAZ!$C$"&amp;P$6+1&amp;":$N$"&amp;P$6+1&amp;""),1,MATCH($A74,PREVIVAZ!$C$1:$N$1,1)))</f>
        <v>#N/A</v>
      </c>
      <c r="Q74" s="213" t="e">
        <f ca="1">IFERROR(INDEX(PREVS_SMAP!$D$132:$Q$134,MATCH(Propagações_TOT_ITAIPU!Q$2,PREVS_SMAP!$A$132:$A$134,0),MATCH(Propagações_TOT_ITAIPU!$A74,PREVS_SMAP!$D$131:$Q$131,0)),INDEX(INDIRECT("PREVIVAZ!$C$"&amp;Q$6+1&amp;":$N$"&amp;Q$6+1&amp;""),1,MATCH($A74,PREVIVAZ!$C$1:$N$1,1)))</f>
        <v>#N/A</v>
      </c>
      <c r="R74" s="211" t="e">
        <f t="shared" ca="1" si="10"/>
        <v>#N/A</v>
      </c>
      <c r="S74" s="214" t="e">
        <f t="shared" ca="1" si="11"/>
        <v>#N/A</v>
      </c>
      <c r="T74" s="214" t="e">
        <f t="shared" ca="1" si="12"/>
        <v>#N/A</v>
      </c>
      <c r="U74" s="215" t="e">
        <f t="shared" ca="1" si="13"/>
        <v>#N/A</v>
      </c>
      <c r="V74" s="214" t="e">
        <f t="shared" ca="1" si="14"/>
        <v>#N/A</v>
      </c>
      <c r="W74" s="214" t="e">
        <f t="shared" ca="1" si="15"/>
        <v>#N/A</v>
      </c>
      <c r="X74" s="216"/>
      <c r="Y74" s="211" t="e">
        <f ca="1">Propagações_TOT_GRANDE!AP74</f>
        <v>#N/A</v>
      </c>
      <c r="Z74" s="211" t="e">
        <f ca="1">Propagações_TOT_PARANAIBA!AJ74</f>
        <v>#N/A</v>
      </c>
      <c r="AA74" s="213" t="e">
        <f ca="1">IFERROR(INDEX(PREVS_SMAP!$AU$28:$BA$347,MATCH(Propagações_TOT_ITAIPU!AA$2,PREVS_SMAP!$R$28:$R$347,0),MATCH(Propagações_TOT_ITAIPU!$A74,PREVS_SMAP!$AU$27:$BA$27,0)),INDEX(INDIRECT("PREVIVAZ!$C$"&amp;$AA$2+1&amp;":$N$"&amp;$AA$2+1&amp;""),1,MATCH($A74,PREVIVAZ!$C$1:$N$1,1)))</f>
        <v>#N/A</v>
      </c>
      <c r="AB74" s="213" t="e">
        <f ca="1">IFERROR(INDEX(PREVS_SMAP!$AU$28:$BA$347,MATCH(Propagações_TOT_ITAIPU!AB$2,PREVS_SMAP!$R$28:$R$347,0),MATCH(Propagações_TOT_ITAIPU!$A74,PREVS_SMAP!$AU$27:$BA$27,0)),INDEX(INDIRECT("PREVIVAZ!$C$"&amp;AB$2+1&amp;":$N$"&amp;AB$2+1&amp;""),1,MATCH($A74,PREVIVAZ!$C$1:$N$1,1)))</f>
        <v>#N/A</v>
      </c>
      <c r="AC74" s="213" t="e">
        <f ca="1">IFERROR(INDEX(PREVS_SMAP!$AU$28:$BA$347,MATCH(Propagações_TOT_ITAIPU!AC$2,PREVS_SMAP!$R$28:$R$347,0),MATCH(Propagações_TOT_ITAIPU!$A74,PREVS_SMAP!$AU$27:$BA$27,0)),INDEX(INDIRECT("PREVIVAZ!$C$"&amp;AC$2+1&amp;":$N$"&amp;AC$2+1&amp;""),1,MATCH($A74,PREVIVAZ!$C$1:$N$1,1)))</f>
        <v>#N/A</v>
      </c>
      <c r="AE74" s="272" t="e">
        <f ca="1">Propagações_TOT_TIETE!$X74</f>
        <v>#N/A</v>
      </c>
    </row>
    <row r="75" spans="1:31" x14ac:dyDescent="0.2">
      <c r="A75" s="49">
        <f t="shared" ca="1" si="9"/>
        <v>43874</v>
      </c>
      <c r="B75" s="53"/>
      <c r="C75" s="53"/>
      <c r="D75" s="52"/>
      <c r="E75" s="67" t="e">
        <f ca="1">INDEX(RESULTADOS!$A:$BA,MATCH($A75,RESULTADOS!$A:$A,0),MATCH(E$1,RESULTADOS!$1:$1,0))</f>
        <v>#N/A</v>
      </c>
      <c r="F75" s="67" t="e">
        <f ca="1">INDEX(RESULTADOS!$A:$BA,MATCH($A75,RESULTADOS!$A:$A,0),MATCH(F$1,RESULTADOS!$1:$1,0))</f>
        <v>#N/A</v>
      </c>
      <c r="G75" s="67" t="e">
        <f ca="1">INDEX(RESULTADOS!$A:$BA,MATCH($A75,RESULTADOS!$A:$A,0),MATCH(G$1,RESULTADOS!$1:$1,0))</f>
        <v>#N/A</v>
      </c>
      <c r="H75" s="67" t="e">
        <f ca="1">INDEX(RESULTADOS!$A:$BA,MATCH($A75,RESULTADOS!$A:$A,0),MATCH(H$1,RESULTADOS!$1:$1,0))</f>
        <v>#N/A</v>
      </c>
      <c r="I75" s="67" t="e">
        <f ca="1">INDEX(RESULTADOS!$A:$BA,MATCH($A75,RESULTADOS!$A:$A,0),MATCH(I$1,RESULTADOS!$1:$1,0))</f>
        <v>#N/A</v>
      </c>
      <c r="J75" s="51" t="e">
        <f t="shared" ca="1" si="16"/>
        <v>#N/A</v>
      </c>
      <c r="K75" s="43"/>
      <c r="L75" s="43"/>
      <c r="M75" s="211" t="e">
        <f ca="1">Propagações_TOT_PARANAPANEMA!AB75</f>
        <v>#N/A</v>
      </c>
      <c r="N75" s="213" t="e">
        <f ca="1">IFERROR(INDEX(PREVS_SMAP!$D$132:$Q$134,MATCH(Propagações_TOT_ITAIPU!N$2,PREVS_SMAP!$A$132:$A$134,0),MATCH(Propagações_TOT_ITAIPU!$A75,PREVS_SMAP!$D$131:$Q$131,0)),INDEX(INDIRECT("PREVIVAZ!$C$"&amp;N$6+1&amp;":$N$"&amp;N$6+1&amp;""),1,MATCH($A75,PREVIVAZ!$C$1:$N$1,1)))</f>
        <v>#N/A</v>
      </c>
      <c r="O75" s="213" t="e">
        <f ca="1">IFERROR(INDEX(PREVS_SMAP!$D$132:$Q$134,MATCH(Propagações_TOT_ITAIPU!O$2,PREVS_SMAP!$A$132:$A$134,0),MATCH(Propagações_TOT_ITAIPU!$A75,PREVS_SMAP!$D$131:$Q$131,0)),INDEX(INDIRECT("PREVIVAZ!$C$"&amp;O$6+1&amp;":$N$"&amp;O$6+1&amp;""),1,MATCH($A75,PREVIVAZ!$C$1:$N$1,1)))</f>
        <v>#N/A</v>
      </c>
      <c r="P75" s="213" t="e">
        <f ca="1">IFERROR(INDEX(PREVS_SMAP!$D$132:$Q$134,MATCH(Propagações_TOT_ITAIPU!P$2,PREVS_SMAP!$A$132:$A$134,0),MATCH(Propagações_TOT_ITAIPU!$A75,PREVS_SMAP!$D$131:$Q$131,0)),INDEX(INDIRECT("PREVIVAZ!$C$"&amp;P$6+1&amp;":$N$"&amp;P$6+1&amp;""),1,MATCH($A75,PREVIVAZ!$C$1:$N$1,1)))</f>
        <v>#N/A</v>
      </c>
      <c r="Q75" s="213" t="e">
        <f ca="1">IFERROR(INDEX(PREVS_SMAP!$D$132:$Q$134,MATCH(Propagações_TOT_ITAIPU!Q$2,PREVS_SMAP!$A$132:$A$134,0),MATCH(Propagações_TOT_ITAIPU!$A75,PREVS_SMAP!$D$131:$Q$131,0)),INDEX(INDIRECT("PREVIVAZ!$C$"&amp;Q$6+1&amp;":$N$"&amp;Q$6+1&amp;""),1,MATCH($A75,PREVIVAZ!$C$1:$N$1,1)))</f>
        <v>#N/A</v>
      </c>
      <c r="R75" s="211" t="e">
        <f t="shared" ca="1" si="10"/>
        <v>#N/A</v>
      </c>
      <c r="S75" s="214" t="e">
        <f t="shared" ca="1" si="11"/>
        <v>#N/A</v>
      </c>
      <c r="T75" s="214" t="e">
        <f t="shared" ca="1" si="12"/>
        <v>#N/A</v>
      </c>
      <c r="U75" s="215" t="e">
        <f t="shared" ca="1" si="13"/>
        <v>#N/A</v>
      </c>
      <c r="V75" s="214" t="e">
        <f t="shared" ca="1" si="14"/>
        <v>#N/A</v>
      </c>
      <c r="W75" s="214" t="e">
        <f t="shared" ca="1" si="15"/>
        <v>#N/A</v>
      </c>
      <c r="X75" s="216"/>
      <c r="Y75" s="211" t="e">
        <f ca="1">Propagações_TOT_GRANDE!AP75</f>
        <v>#N/A</v>
      </c>
      <c r="Z75" s="211" t="e">
        <f ca="1">Propagações_TOT_PARANAIBA!AJ75</f>
        <v>#N/A</v>
      </c>
      <c r="AA75" s="213" t="e">
        <f ca="1">IFERROR(INDEX(PREVS_SMAP!$AU$28:$BA$347,MATCH(Propagações_TOT_ITAIPU!AA$2,PREVS_SMAP!$R$28:$R$347,0),MATCH(Propagações_TOT_ITAIPU!$A75,PREVS_SMAP!$AU$27:$BA$27,0)),INDEX(INDIRECT("PREVIVAZ!$C$"&amp;$AA$2+1&amp;":$N$"&amp;$AA$2+1&amp;""),1,MATCH($A75,PREVIVAZ!$C$1:$N$1,1)))</f>
        <v>#N/A</v>
      </c>
      <c r="AB75" s="213" t="e">
        <f ca="1">IFERROR(INDEX(PREVS_SMAP!$AU$28:$BA$347,MATCH(Propagações_TOT_ITAIPU!AB$2,PREVS_SMAP!$R$28:$R$347,0),MATCH(Propagações_TOT_ITAIPU!$A75,PREVS_SMAP!$AU$27:$BA$27,0)),INDEX(INDIRECT("PREVIVAZ!$C$"&amp;AB$2+1&amp;":$N$"&amp;AB$2+1&amp;""),1,MATCH($A75,PREVIVAZ!$C$1:$N$1,1)))</f>
        <v>#N/A</v>
      </c>
      <c r="AC75" s="213" t="e">
        <f ca="1">IFERROR(INDEX(PREVS_SMAP!$AU$28:$BA$347,MATCH(Propagações_TOT_ITAIPU!AC$2,PREVS_SMAP!$R$28:$R$347,0),MATCH(Propagações_TOT_ITAIPU!$A75,PREVS_SMAP!$AU$27:$BA$27,0)),INDEX(INDIRECT("PREVIVAZ!$C$"&amp;AC$2+1&amp;":$N$"&amp;AC$2+1&amp;""),1,MATCH($A75,PREVIVAZ!$C$1:$N$1,1)))</f>
        <v>#N/A</v>
      </c>
      <c r="AE75" s="272" t="e">
        <f ca="1">Propagações_TOT_TIETE!$X75</f>
        <v>#N/A</v>
      </c>
    </row>
    <row r="76" spans="1:31" x14ac:dyDescent="0.2">
      <c r="A76" s="49">
        <f t="shared" ca="1" si="9"/>
        <v>43875</v>
      </c>
      <c r="B76" s="53"/>
      <c r="C76" s="53"/>
      <c r="D76" s="52"/>
      <c r="E76" s="67" t="e">
        <f ca="1">INDEX(RESULTADOS!$A:$BA,MATCH($A76,RESULTADOS!$A:$A,0),MATCH(E$1,RESULTADOS!$1:$1,0))</f>
        <v>#N/A</v>
      </c>
      <c r="F76" s="67" t="e">
        <f ca="1">INDEX(RESULTADOS!$A:$BA,MATCH($A76,RESULTADOS!$A:$A,0),MATCH(F$1,RESULTADOS!$1:$1,0))</f>
        <v>#N/A</v>
      </c>
      <c r="G76" s="67" t="e">
        <f ca="1">INDEX(RESULTADOS!$A:$BA,MATCH($A76,RESULTADOS!$A:$A,0),MATCH(G$1,RESULTADOS!$1:$1,0))</f>
        <v>#N/A</v>
      </c>
      <c r="H76" s="67" t="e">
        <f ca="1">INDEX(RESULTADOS!$A:$BA,MATCH($A76,RESULTADOS!$A:$A,0),MATCH(H$1,RESULTADOS!$1:$1,0))</f>
        <v>#N/A</v>
      </c>
      <c r="I76" s="67" t="e">
        <f ca="1">INDEX(RESULTADOS!$A:$BA,MATCH($A76,RESULTADOS!$A:$A,0),MATCH(I$1,RESULTADOS!$1:$1,0))</f>
        <v>#N/A</v>
      </c>
      <c r="J76" s="51" t="e">
        <f t="shared" ca="1" si="16"/>
        <v>#N/A</v>
      </c>
      <c r="K76" s="43"/>
      <c r="L76" s="43"/>
      <c r="M76" s="211" t="e">
        <f ca="1">Propagações_TOT_PARANAPANEMA!AB76</f>
        <v>#N/A</v>
      </c>
      <c r="N76" s="213" t="e">
        <f ca="1">IFERROR(INDEX(PREVS_SMAP!$D$132:$Q$134,MATCH(Propagações_TOT_ITAIPU!N$2,PREVS_SMAP!$A$132:$A$134,0),MATCH(Propagações_TOT_ITAIPU!$A76,PREVS_SMAP!$D$131:$Q$131,0)),INDEX(INDIRECT("PREVIVAZ!$C$"&amp;N$6+1&amp;":$N$"&amp;N$6+1&amp;""),1,MATCH($A76,PREVIVAZ!$C$1:$N$1,1)))</f>
        <v>#N/A</v>
      </c>
      <c r="O76" s="213" t="e">
        <f ca="1">IFERROR(INDEX(PREVS_SMAP!$D$132:$Q$134,MATCH(Propagações_TOT_ITAIPU!O$2,PREVS_SMAP!$A$132:$A$134,0),MATCH(Propagações_TOT_ITAIPU!$A76,PREVS_SMAP!$D$131:$Q$131,0)),INDEX(INDIRECT("PREVIVAZ!$C$"&amp;O$6+1&amp;":$N$"&amp;O$6+1&amp;""),1,MATCH($A76,PREVIVAZ!$C$1:$N$1,1)))</f>
        <v>#N/A</v>
      </c>
      <c r="P76" s="213" t="e">
        <f ca="1">IFERROR(INDEX(PREVS_SMAP!$D$132:$Q$134,MATCH(Propagações_TOT_ITAIPU!P$2,PREVS_SMAP!$A$132:$A$134,0),MATCH(Propagações_TOT_ITAIPU!$A76,PREVS_SMAP!$D$131:$Q$131,0)),INDEX(INDIRECT("PREVIVAZ!$C$"&amp;P$6+1&amp;":$N$"&amp;P$6+1&amp;""),1,MATCH($A76,PREVIVAZ!$C$1:$N$1,1)))</f>
        <v>#N/A</v>
      </c>
      <c r="Q76" s="213" t="e">
        <f ca="1">IFERROR(INDEX(PREVS_SMAP!$D$132:$Q$134,MATCH(Propagações_TOT_ITAIPU!Q$2,PREVS_SMAP!$A$132:$A$134,0),MATCH(Propagações_TOT_ITAIPU!$A76,PREVS_SMAP!$D$131:$Q$131,0)),INDEX(INDIRECT("PREVIVAZ!$C$"&amp;Q$6+1&amp;":$N$"&amp;Q$6+1&amp;""),1,MATCH($A76,PREVIVAZ!$C$1:$N$1,1)))</f>
        <v>#N/A</v>
      </c>
      <c r="R76" s="211" t="e">
        <f t="shared" ca="1" si="10"/>
        <v>#N/A</v>
      </c>
      <c r="S76" s="214" t="e">
        <f t="shared" ca="1" si="11"/>
        <v>#N/A</v>
      </c>
      <c r="T76" s="214" t="e">
        <f t="shared" ca="1" si="12"/>
        <v>#N/A</v>
      </c>
      <c r="U76" s="215" t="e">
        <f t="shared" ca="1" si="13"/>
        <v>#N/A</v>
      </c>
      <c r="V76" s="214" t="e">
        <f t="shared" ca="1" si="14"/>
        <v>#N/A</v>
      </c>
      <c r="W76" s="214" t="e">
        <f t="shared" ca="1" si="15"/>
        <v>#N/A</v>
      </c>
      <c r="X76" s="216"/>
      <c r="Y76" s="211" t="e">
        <f ca="1">Propagações_TOT_GRANDE!AP76</f>
        <v>#N/A</v>
      </c>
      <c r="Z76" s="211" t="e">
        <f ca="1">Propagações_TOT_PARANAIBA!AJ76</f>
        <v>#N/A</v>
      </c>
      <c r="AA76" s="213" t="e">
        <f ca="1">IFERROR(INDEX(PREVS_SMAP!$AU$28:$BA$347,MATCH(Propagações_TOT_ITAIPU!AA$2,PREVS_SMAP!$R$28:$R$347,0),MATCH(Propagações_TOT_ITAIPU!$A76,PREVS_SMAP!$AU$27:$BA$27,0)),INDEX(INDIRECT("PREVIVAZ!$C$"&amp;$AA$2+1&amp;":$N$"&amp;$AA$2+1&amp;""),1,MATCH($A76,PREVIVAZ!$C$1:$N$1,1)))</f>
        <v>#N/A</v>
      </c>
      <c r="AB76" s="213" t="e">
        <f ca="1">IFERROR(INDEX(PREVS_SMAP!$AU$28:$BA$347,MATCH(Propagações_TOT_ITAIPU!AB$2,PREVS_SMAP!$R$28:$R$347,0),MATCH(Propagações_TOT_ITAIPU!$A76,PREVS_SMAP!$AU$27:$BA$27,0)),INDEX(INDIRECT("PREVIVAZ!$C$"&amp;AB$2+1&amp;":$N$"&amp;AB$2+1&amp;""),1,MATCH($A76,PREVIVAZ!$C$1:$N$1,1)))</f>
        <v>#N/A</v>
      </c>
      <c r="AC76" s="213" t="e">
        <f ca="1">IFERROR(INDEX(PREVS_SMAP!$AU$28:$BA$347,MATCH(Propagações_TOT_ITAIPU!AC$2,PREVS_SMAP!$R$28:$R$347,0),MATCH(Propagações_TOT_ITAIPU!$A76,PREVS_SMAP!$AU$27:$BA$27,0)),INDEX(INDIRECT("PREVIVAZ!$C$"&amp;AC$2+1&amp;":$N$"&amp;AC$2+1&amp;""),1,MATCH($A76,PREVIVAZ!$C$1:$N$1,1)))</f>
        <v>#N/A</v>
      </c>
      <c r="AE76" s="272" t="e">
        <f ca="1">Propagações_TOT_TIETE!$X76</f>
        <v>#N/A</v>
      </c>
    </row>
    <row r="77" spans="1:31" x14ac:dyDescent="0.2">
      <c r="A77" s="49">
        <f t="shared" ca="1" si="9"/>
        <v>43876</v>
      </c>
      <c r="B77" s="53"/>
      <c r="C77" s="53"/>
      <c r="D77" s="52"/>
      <c r="E77" s="67" t="e">
        <f ca="1">INDEX(RESULTADOS!$A:$BA,MATCH($A77,RESULTADOS!$A:$A,0),MATCH(E$1,RESULTADOS!$1:$1,0))</f>
        <v>#N/A</v>
      </c>
      <c r="F77" s="67" t="e">
        <f ca="1">INDEX(RESULTADOS!$A:$BA,MATCH($A77,RESULTADOS!$A:$A,0),MATCH(F$1,RESULTADOS!$1:$1,0))</f>
        <v>#N/A</v>
      </c>
      <c r="G77" s="67" t="e">
        <f ca="1">INDEX(RESULTADOS!$A:$BA,MATCH($A77,RESULTADOS!$A:$A,0),MATCH(G$1,RESULTADOS!$1:$1,0))</f>
        <v>#N/A</v>
      </c>
      <c r="H77" s="67" t="e">
        <f ca="1">INDEX(RESULTADOS!$A:$BA,MATCH($A77,RESULTADOS!$A:$A,0),MATCH(H$1,RESULTADOS!$1:$1,0))</f>
        <v>#N/A</v>
      </c>
      <c r="I77" s="67" t="e">
        <f ca="1">INDEX(RESULTADOS!$A:$BA,MATCH($A77,RESULTADOS!$A:$A,0),MATCH(I$1,RESULTADOS!$1:$1,0))</f>
        <v>#N/A</v>
      </c>
      <c r="J77" s="51" t="e">
        <f t="shared" ca="1" si="16"/>
        <v>#N/A</v>
      </c>
      <c r="K77" s="43"/>
      <c r="L77" s="43"/>
      <c r="M77" s="211" t="e">
        <f ca="1">Propagações_TOT_PARANAPANEMA!AB77</f>
        <v>#N/A</v>
      </c>
      <c r="N77" s="213" t="e">
        <f ca="1">IFERROR(INDEX(PREVS_SMAP!$D$132:$Q$134,MATCH(Propagações_TOT_ITAIPU!N$2,PREVS_SMAP!$A$132:$A$134,0),MATCH(Propagações_TOT_ITAIPU!$A77,PREVS_SMAP!$D$131:$Q$131,0)),INDEX(INDIRECT("PREVIVAZ!$C$"&amp;N$6+1&amp;":$N$"&amp;N$6+1&amp;""),1,MATCH($A77,PREVIVAZ!$C$1:$N$1,1)))</f>
        <v>#N/A</v>
      </c>
      <c r="O77" s="213" t="e">
        <f ca="1">IFERROR(INDEX(PREVS_SMAP!$D$132:$Q$134,MATCH(Propagações_TOT_ITAIPU!O$2,PREVS_SMAP!$A$132:$A$134,0),MATCH(Propagações_TOT_ITAIPU!$A77,PREVS_SMAP!$D$131:$Q$131,0)),INDEX(INDIRECT("PREVIVAZ!$C$"&amp;O$6+1&amp;":$N$"&amp;O$6+1&amp;""),1,MATCH($A77,PREVIVAZ!$C$1:$N$1,1)))</f>
        <v>#N/A</v>
      </c>
      <c r="P77" s="213" t="e">
        <f ca="1">IFERROR(INDEX(PREVS_SMAP!$D$132:$Q$134,MATCH(Propagações_TOT_ITAIPU!P$2,PREVS_SMAP!$A$132:$A$134,0),MATCH(Propagações_TOT_ITAIPU!$A77,PREVS_SMAP!$D$131:$Q$131,0)),INDEX(INDIRECT("PREVIVAZ!$C$"&amp;P$6+1&amp;":$N$"&amp;P$6+1&amp;""),1,MATCH($A77,PREVIVAZ!$C$1:$N$1,1)))</f>
        <v>#N/A</v>
      </c>
      <c r="Q77" s="213" t="e">
        <f ca="1">IFERROR(INDEX(PREVS_SMAP!$D$132:$Q$134,MATCH(Propagações_TOT_ITAIPU!Q$2,PREVS_SMAP!$A$132:$A$134,0),MATCH(Propagações_TOT_ITAIPU!$A77,PREVS_SMAP!$D$131:$Q$131,0)),INDEX(INDIRECT("PREVIVAZ!$C$"&amp;Q$6+1&amp;":$N$"&amp;Q$6+1&amp;""),1,MATCH($A77,PREVIVAZ!$C$1:$N$1,1)))</f>
        <v>#N/A</v>
      </c>
      <c r="R77" s="211" t="e">
        <f t="shared" ca="1" si="10"/>
        <v>#N/A</v>
      </c>
      <c r="S77" s="214" t="e">
        <f t="shared" ca="1" si="11"/>
        <v>#N/A</v>
      </c>
      <c r="T77" s="214" t="e">
        <f t="shared" ca="1" si="12"/>
        <v>#N/A</v>
      </c>
      <c r="U77" s="215" t="e">
        <f t="shared" ca="1" si="13"/>
        <v>#N/A</v>
      </c>
      <c r="V77" s="214" t="e">
        <f t="shared" ca="1" si="14"/>
        <v>#N/A</v>
      </c>
      <c r="W77" s="214" t="e">
        <f t="shared" ca="1" si="15"/>
        <v>#N/A</v>
      </c>
      <c r="X77" s="216"/>
      <c r="Y77" s="211" t="e">
        <f ca="1">Propagações_TOT_GRANDE!AP77</f>
        <v>#N/A</v>
      </c>
      <c r="Z77" s="211" t="e">
        <f ca="1">Propagações_TOT_PARANAIBA!AJ77</f>
        <v>#N/A</v>
      </c>
      <c r="AA77" s="213" t="e">
        <f ca="1">IFERROR(INDEX(PREVS_SMAP!$AU$28:$BA$347,MATCH(Propagações_TOT_ITAIPU!AA$2,PREVS_SMAP!$R$28:$R$347,0),MATCH(Propagações_TOT_ITAIPU!$A77,PREVS_SMAP!$AU$27:$BA$27,0)),INDEX(INDIRECT("PREVIVAZ!$C$"&amp;$AA$2+1&amp;":$N$"&amp;$AA$2+1&amp;""),1,MATCH($A77,PREVIVAZ!$C$1:$N$1,1)))</f>
        <v>#N/A</v>
      </c>
      <c r="AB77" s="213" t="e">
        <f ca="1">IFERROR(INDEX(PREVS_SMAP!$AU$28:$BA$347,MATCH(Propagações_TOT_ITAIPU!AB$2,PREVS_SMAP!$R$28:$R$347,0),MATCH(Propagações_TOT_ITAIPU!$A77,PREVS_SMAP!$AU$27:$BA$27,0)),INDEX(INDIRECT("PREVIVAZ!$C$"&amp;AB$2+1&amp;":$N$"&amp;AB$2+1&amp;""),1,MATCH($A77,PREVIVAZ!$C$1:$N$1,1)))</f>
        <v>#N/A</v>
      </c>
      <c r="AC77" s="213" t="e">
        <f ca="1">IFERROR(INDEX(PREVS_SMAP!$AU$28:$BA$347,MATCH(Propagações_TOT_ITAIPU!AC$2,PREVS_SMAP!$R$28:$R$347,0),MATCH(Propagações_TOT_ITAIPU!$A77,PREVS_SMAP!$AU$27:$BA$27,0)),INDEX(INDIRECT("PREVIVAZ!$C$"&amp;AC$2+1&amp;":$N$"&amp;AC$2+1&amp;""),1,MATCH($A77,PREVIVAZ!$C$1:$N$1,1)))</f>
        <v>#N/A</v>
      </c>
      <c r="AE77" s="272" t="e">
        <f ca="1">Propagações_TOT_TIETE!$X77</f>
        <v>#N/A</v>
      </c>
    </row>
    <row r="78" spans="1:31" x14ac:dyDescent="0.2">
      <c r="A78" s="49">
        <f t="shared" ca="1" si="9"/>
        <v>43877</v>
      </c>
      <c r="B78" s="53"/>
      <c r="C78" s="53"/>
      <c r="D78" s="52"/>
      <c r="E78" s="67" t="e">
        <f ca="1">INDEX(RESULTADOS!$A:$BA,MATCH($A78,RESULTADOS!$A:$A,0),MATCH(E$1,RESULTADOS!$1:$1,0))</f>
        <v>#N/A</v>
      </c>
      <c r="F78" s="67" t="e">
        <f ca="1">INDEX(RESULTADOS!$A:$BA,MATCH($A78,RESULTADOS!$A:$A,0),MATCH(F$1,RESULTADOS!$1:$1,0))</f>
        <v>#N/A</v>
      </c>
      <c r="G78" s="67" t="e">
        <f ca="1">INDEX(RESULTADOS!$A:$BA,MATCH($A78,RESULTADOS!$A:$A,0),MATCH(G$1,RESULTADOS!$1:$1,0))</f>
        <v>#N/A</v>
      </c>
      <c r="H78" s="67" t="e">
        <f ca="1">INDEX(RESULTADOS!$A:$BA,MATCH($A78,RESULTADOS!$A:$A,0),MATCH(H$1,RESULTADOS!$1:$1,0))</f>
        <v>#N/A</v>
      </c>
      <c r="I78" s="67" t="e">
        <f ca="1">INDEX(RESULTADOS!$A:$BA,MATCH($A78,RESULTADOS!$A:$A,0),MATCH(I$1,RESULTADOS!$1:$1,0))</f>
        <v>#N/A</v>
      </c>
      <c r="J78" s="51" t="e">
        <f t="shared" ca="1" si="16"/>
        <v>#N/A</v>
      </c>
      <c r="K78" s="43"/>
      <c r="L78" s="43"/>
      <c r="M78" s="211" t="e">
        <f ca="1">Propagações_TOT_PARANAPANEMA!AB78</f>
        <v>#N/A</v>
      </c>
      <c r="N78" s="213" t="e">
        <f ca="1">IFERROR(INDEX(PREVS_SMAP!$D$132:$Q$134,MATCH(Propagações_TOT_ITAIPU!N$2,PREVS_SMAP!$A$132:$A$134,0),MATCH(Propagações_TOT_ITAIPU!$A78,PREVS_SMAP!$D$131:$Q$131,0)),INDEX(INDIRECT("PREVIVAZ!$C$"&amp;N$6+1&amp;":$N$"&amp;N$6+1&amp;""),1,MATCH($A78,PREVIVAZ!$C$1:$N$1,1)))</f>
        <v>#N/A</v>
      </c>
      <c r="O78" s="213" t="e">
        <f ca="1">IFERROR(INDEX(PREVS_SMAP!$D$132:$Q$134,MATCH(Propagações_TOT_ITAIPU!O$2,PREVS_SMAP!$A$132:$A$134,0),MATCH(Propagações_TOT_ITAIPU!$A78,PREVS_SMAP!$D$131:$Q$131,0)),INDEX(INDIRECT("PREVIVAZ!$C$"&amp;O$6+1&amp;":$N$"&amp;O$6+1&amp;""),1,MATCH($A78,PREVIVAZ!$C$1:$N$1,1)))</f>
        <v>#N/A</v>
      </c>
      <c r="P78" s="213" t="e">
        <f ca="1">IFERROR(INDEX(PREVS_SMAP!$D$132:$Q$134,MATCH(Propagações_TOT_ITAIPU!P$2,PREVS_SMAP!$A$132:$A$134,0),MATCH(Propagações_TOT_ITAIPU!$A78,PREVS_SMAP!$D$131:$Q$131,0)),INDEX(INDIRECT("PREVIVAZ!$C$"&amp;P$6+1&amp;":$N$"&amp;P$6+1&amp;""),1,MATCH($A78,PREVIVAZ!$C$1:$N$1,1)))</f>
        <v>#N/A</v>
      </c>
      <c r="Q78" s="213" t="e">
        <f ca="1">IFERROR(INDEX(PREVS_SMAP!$D$132:$Q$134,MATCH(Propagações_TOT_ITAIPU!Q$2,PREVS_SMAP!$A$132:$A$134,0),MATCH(Propagações_TOT_ITAIPU!$A78,PREVS_SMAP!$D$131:$Q$131,0)),INDEX(INDIRECT("PREVIVAZ!$C$"&amp;Q$6+1&amp;":$N$"&amp;Q$6+1&amp;""),1,MATCH($A78,PREVIVAZ!$C$1:$N$1,1)))</f>
        <v>#N/A</v>
      </c>
      <c r="R78" s="211" t="e">
        <f t="shared" ca="1" si="10"/>
        <v>#N/A</v>
      </c>
      <c r="S78" s="214" t="e">
        <f t="shared" ca="1" si="11"/>
        <v>#N/A</v>
      </c>
      <c r="T78" s="214" t="e">
        <f t="shared" ca="1" si="12"/>
        <v>#N/A</v>
      </c>
      <c r="U78" s="215" t="e">
        <f t="shared" ca="1" si="13"/>
        <v>#N/A</v>
      </c>
      <c r="V78" s="214" t="e">
        <f t="shared" ca="1" si="14"/>
        <v>#N/A</v>
      </c>
      <c r="W78" s="214" t="e">
        <f t="shared" ca="1" si="15"/>
        <v>#N/A</v>
      </c>
      <c r="X78" s="216"/>
      <c r="Y78" s="211" t="e">
        <f ca="1">Propagações_TOT_GRANDE!AP78</f>
        <v>#N/A</v>
      </c>
      <c r="Z78" s="211" t="e">
        <f ca="1">Propagações_TOT_PARANAIBA!AJ78</f>
        <v>#N/A</v>
      </c>
      <c r="AA78" s="213" t="e">
        <f ca="1">IFERROR(INDEX(PREVS_SMAP!$AU$28:$BA$347,MATCH(Propagações_TOT_ITAIPU!AA$2,PREVS_SMAP!$R$28:$R$347,0),MATCH(Propagações_TOT_ITAIPU!$A78,PREVS_SMAP!$AU$27:$BA$27,0)),INDEX(INDIRECT("PREVIVAZ!$C$"&amp;$AA$2+1&amp;":$N$"&amp;$AA$2+1&amp;""),1,MATCH($A78,PREVIVAZ!$C$1:$N$1,1)))</f>
        <v>#N/A</v>
      </c>
      <c r="AB78" s="213" t="e">
        <f ca="1">IFERROR(INDEX(PREVS_SMAP!$AU$28:$BA$347,MATCH(Propagações_TOT_ITAIPU!AB$2,PREVS_SMAP!$R$28:$R$347,0),MATCH(Propagações_TOT_ITAIPU!$A78,PREVS_SMAP!$AU$27:$BA$27,0)),INDEX(INDIRECT("PREVIVAZ!$C$"&amp;AB$2+1&amp;":$N$"&amp;AB$2+1&amp;""),1,MATCH($A78,PREVIVAZ!$C$1:$N$1,1)))</f>
        <v>#N/A</v>
      </c>
      <c r="AC78" s="213" t="e">
        <f ca="1">IFERROR(INDEX(PREVS_SMAP!$AU$28:$BA$347,MATCH(Propagações_TOT_ITAIPU!AC$2,PREVS_SMAP!$R$28:$R$347,0),MATCH(Propagações_TOT_ITAIPU!$A78,PREVS_SMAP!$AU$27:$BA$27,0)),INDEX(INDIRECT("PREVIVAZ!$C$"&amp;AC$2+1&amp;":$N$"&amp;AC$2+1&amp;""),1,MATCH($A78,PREVIVAZ!$C$1:$N$1,1)))</f>
        <v>#N/A</v>
      </c>
      <c r="AE78" s="272" t="e">
        <f ca="1">Propagações_TOT_TIETE!$X78</f>
        <v>#N/A</v>
      </c>
    </row>
    <row r="79" spans="1:31" x14ac:dyDescent="0.2">
      <c r="A79" s="49">
        <f t="shared" ca="1" si="9"/>
        <v>43878</v>
      </c>
      <c r="B79" s="53"/>
      <c r="C79" s="53"/>
      <c r="D79" s="52"/>
      <c r="E79" s="67" t="e">
        <f ca="1">INDEX(RESULTADOS!$A:$BA,MATCH($A79,RESULTADOS!$A:$A,0),MATCH(E$1,RESULTADOS!$1:$1,0))</f>
        <v>#N/A</v>
      </c>
      <c r="F79" s="67" t="e">
        <f ca="1">INDEX(RESULTADOS!$A:$BA,MATCH($A79,RESULTADOS!$A:$A,0),MATCH(F$1,RESULTADOS!$1:$1,0))</f>
        <v>#N/A</v>
      </c>
      <c r="G79" s="67" t="e">
        <f ca="1">INDEX(RESULTADOS!$A:$BA,MATCH($A79,RESULTADOS!$A:$A,0),MATCH(G$1,RESULTADOS!$1:$1,0))</f>
        <v>#N/A</v>
      </c>
      <c r="H79" s="67" t="e">
        <f ca="1">INDEX(RESULTADOS!$A:$BA,MATCH($A79,RESULTADOS!$A:$A,0),MATCH(H$1,RESULTADOS!$1:$1,0))</f>
        <v>#N/A</v>
      </c>
      <c r="I79" s="67" t="e">
        <f ca="1">INDEX(RESULTADOS!$A:$BA,MATCH($A79,RESULTADOS!$A:$A,0),MATCH(I$1,RESULTADOS!$1:$1,0))</f>
        <v>#N/A</v>
      </c>
      <c r="J79" s="51" t="e">
        <f t="shared" ca="1" si="16"/>
        <v>#N/A</v>
      </c>
      <c r="K79" s="43"/>
      <c r="L79" s="43"/>
      <c r="M79" s="211" t="e">
        <f ca="1">Propagações_TOT_PARANAPANEMA!AB79</f>
        <v>#N/A</v>
      </c>
      <c r="N79" s="213" t="e">
        <f ca="1">IFERROR(INDEX(PREVS_SMAP!$D$132:$Q$134,MATCH(Propagações_TOT_ITAIPU!N$2,PREVS_SMAP!$A$132:$A$134,0),MATCH(Propagações_TOT_ITAIPU!$A79,PREVS_SMAP!$D$131:$Q$131,0)),INDEX(INDIRECT("PREVIVAZ!$C$"&amp;N$6+1&amp;":$N$"&amp;N$6+1&amp;""),1,MATCH($A79,PREVIVAZ!$C$1:$N$1,1)))</f>
        <v>#N/A</v>
      </c>
      <c r="O79" s="213" t="e">
        <f ca="1">IFERROR(INDEX(PREVS_SMAP!$D$132:$Q$134,MATCH(Propagações_TOT_ITAIPU!O$2,PREVS_SMAP!$A$132:$A$134,0),MATCH(Propagações_TOT_ITAIPU!$A79,PREVS_SMAP!$D$131:$Q$131,0)),INDEX(INDIRECT("PREVIVAZ!$C$"&amp;O$6+1&amp;":$N$"&amp;O$6+1&amp;""),1,MATCH($A79,PREVIVAZ!$C$1:$N$1,1)))</f>
        <v>#N/A</v>
      </c>
      <c r="P79" s="213" t="e">
        <f ca="1">IFERROR(INDEX(PREVS_SMAP!$D$132:$Q$134,MATCH(Propagações_TOT_ITAIPU!P$2,PREVS_SMAP!$A$132:$A$134,0),MATCH(Propagações_TOT_ITAIPU!$A79,PREVS_SMAP!$D$131:$Q$131,0)),INDEX(INDIRECT("PREVIVAZ!$C$"&amp;P$6+1&amp;":$N$"&amp;P$6+1&amp;""),1,MATCH($A79,PREVIVAZ!$C$1:$N$1,1)))</f>
        <v>#N/A</v>
      </c>
      <c r="Q79" s="213" t="e">
        <f ca="1">IFERROR(INDEX(PREVS_SMAP!$D$132:$Q$134,MATCH(Propagações_TOT_ITAIPU!Q$2,PREVS_SMAP!$A$132:$A$134,0),MATCH(Propagações_TOT_ITAIPU!$A79,PREVS_SMAP!$D$131:$Q$131,0)),INDEX(INDIRECT("PREVIVAZ!$C$"&amp;Q$6+1&amp;":$N$"&amp;Q$6+1&amp;""),1,MATCH($A79,PREVIVAZ!$C$1:$N$1,1)))</f>
        <v>#N/A</v>
      </c>
      <c r="R79" s="211" t="e">
        <f t="shared" ca="1" si="10"/>
        <v>#N/A</v>
      </c>
      <c r="S79" s="214" t="e">
        <f t="shared" ca="1" si="11"/>
        <v>#N/A</v>
      </c>
      <c r="T79" s="214" t="e">
        <f t="shared" ca="1" si="12"/>
        <v>#N/A</v>
      </c>
      <c r="U79" s="215" t="e">
        <f t="shared" ca="1" si="13"/>
        <v>#N/A</v>
      </c>
      <c r="V79" s="214" t="e">
        <f t="shared" ca="1" si="14"/>
        <v>#N/A</v>
      </c>
      <c r="W79" s="214" t="e">
        <f t="shared" ca="1" si="15"/>
        <v>#N/A</v>
      </c>
      <c r="X79" s="216"/>
      <c r="Y79" s="211" t="e">
        <f ca="1">Propagações_TOT_GRANDE!AP79</f>
        <v>#N/A</v>
      </c>
      <c r="Z79" s="211" t="e">
        <f ca="1">Propagações_TOT_PARANAIBA!AJ79</f>
        <v>#N/A</v>
      </c>
      <c r="AA79" s="213" t="e">
        <f ca="1">IFERROR(INDEX(PREVS_SMAP!$AU$28:$BA$347,MATCH(Propagações_TOT_ITAIPU!AA$2,PREVS_SMAP!$R$28:$R$347,0),MATCH(Propagações_TOT_ITAIPU!$A79,PREVS_SMAP!$AU$27:$BA$27,0)),INDEX(INDIRECT("PREVIVAZ!$C$"&amp;$AA$2+1&amp;":$N$"&amp;$AA$2+1&amp;""),1,MATCH($A79,PREVIVAZ!$C$1:$N$1,1)))</f>
        <v>#N/A</v>
      </c>
      <c r="AB79" s="213" t="e">
        <f ca="1">IFERROR(INDEX(PREVS_SMAP!$AU$28:$BA$347,MATCH(Propagações_TOT_ITAIPU!AB$2,PREVS_SMAP!$R$28:$R$347,0),MATCH(Propagações_TOT_ITAIPU!$A79,PREVS_SMAP!$AU$27:$BA$27,0)),INDEX(INDIRECT("PREVIVAZ!$C$"&amp;AB$2+1&amp;":$N$"&amp;AB$2+1&amp;""),1,MATCH($A79,PREVIVAZ!$C$1:$N$1,1)))</f>
        <v>#N/A</v>
      </c>
      <c r="AC79" s="213" t="e">
        <f ca="1">IFERROR(INDEX(PREVS_SMAP!$AU$28:$BA$347,MATCH(Propagações_TOT_ITAIPU!AC$2,PREVS_SMAP!$R$28:$R$347,0),MATCH(Propagações_TOT_ITAIPU!$A79,PREVS_SMAP!$AU$27:$BA$27,0)),INDEX(INDIRECT("PREVIVAZ!$C$"&amp;AC$2+1&amp;":$N$"&amp;AC$2+1&amp;""),1,MATCH($A79,PREVIVAZ!$C$1:$N$1,1)))</f>
        <v>#N/A</v>
      </c>
      <c r="AE79" s="272" t="e">
        <f ca="1">Propagações_TOT_TIETE!$X79</f>
        <v>#N/A</v>
      </c>
    </row>
    <row r="80" spans="1:31" x14ac:dyDescent="0.2">
      <c r="A80" s="49">
        <f t="shared" ca="1" si="9"/>
        <v>43879</v>
      </c>
      <c r="B80" s="53"/>
      <c r="C80" s="53"/>
      <c r="D80" s="52"/>
      <c r="E80" s="67" t="e">
        <f ca="1">INDEX(RESULTADOS!$A:$BA,MATCH($A80,RESULTADOS!$A:$A,0),MATCH(E$1,RESULTADOS!$1:$1,0))</f>
        <v>#N/A</v>
      </c>
      <c r="F80" s="67" t="e">
        <f ca="1">INDEX(RESULTADOS!$A:$BA,MATCH($A80,RESULTADOS!$A:$A,0),MATCH(F$1,RESULTADOS!$1:$1,0))</f>
        <v>#N/A</v>
      </c>
      <c r="G80" s="67" t="e">
        <f ca="1">INDEX(RESULTADOS!$A:$BA,MATCH($A80,RESULTADOS!$A:$A,0),MATCH(G$1,RESULTADOS!$1:$1,0))</f>
        <v>#N/A</v>
      </c>
      <c r="H80" s="67" t="e">
        <f ca="1">INDEX(RESULTADOS!$A:$BA,MATCH($A80,RESULTADOS!$A:$A,0),MATCH(H$1,RESULTADOS!$1:$1,0))</f>
        <v>#N/A</v>
      </c>
      <c r="I80" s="67" t="e">
        <f ca="1">INDEX(RESULTADOS!$A:$BA,MATCH($A80,RESULTADOS!$A:$A,0),MATCH(I$1,RESULTADOS!$1:$1,0))</f>
        <v>#N/A</v>
      </c>
      <c r="J80" s="51" t="e">
        <f t="shared" ca="1" si="16"/>
        <v>#N/A</v>
      </c>
      <c r="K80" s="43"/>
      <c r="L80" s="43"/>
      <c r="M80" s="211" t="e">
        <f ca="1">Propagações_TOT_PARANAPANEMA!AB80</f>
        <v>#N/A</v>
      </c>
      <c r="N80" s="213" t="e">
        <f ca="1">IFERROR(INDEX(PREVS_SMAP!$D$132:$Q$134,MATCH(Propagações_TOT_ITAIPU!N$2,PREVS_SMAP!$A$132:$A$134,0),MATCH(Propagações_TOT_ITAIPU!$A80,PREVS_SMAP!$D$131:$Q$131,0)),INDEX(INDIRECT("PREVIVAZ!$C$"&amp;N$6+1&amp;":$N$"&amp;N$6+1&amp;""),1,MATCH($A80,PREVIVAZ!$C$1:$N$1,1)))</f>
        <v>#N/A</v>
      </c>
      <c r="O80" s="213" t="e">
        <f ca="1">IFERROR(INDEX(PREVS_SMAP!$D$132:$Q$134,MATCH(Propagações_TOT_ITAIPU!O$2,PREVS_SMAP!$A$132:$A$134,0),MATCH(Propagações_TOT_ITAIPU!$A80,PREVS_SMAP!$D$131:$Q$131,0)),INDEX(INDIRECT("PREVIVAZ!$C$"&amp;O$6+1&amp;":$N$"&amp;O$6+1&amp;""),1,MATCH($A80,PREVIVAZ!$C$1:$N$1,1)))</f>
        <v>#N/A</v>
      </c>
      <c r="P80" s="213" t="e">
        <f ca="1">IFERROR(INDEX(PREVS_SMAP!$D$132:$Q$134,MATCH(Propagações_TOT_ITAIPU!P$2,PREVS_SMAP!$A$132:$A$134,0),MATCH(Propagações_TOT_ITAIPU!$A80,PREVS_SMAP!$D$131:$Q$131,0)),INDEX(INDIRECT("PREVIVAZ!$C$"&amp;P$6+1&amp;":$N$"&amp;P$6+1&amp;""),1,MATCH($A80,PREVIVAZ!$C$1:$N$1,1)))</f>
        <v>#N/A</v>
      </c>
      <c r="Q80" s="213" t="e">
        <f ca="1">IFERROR(INDEX(PREVS_SMAP!$D$132:$Q$134,MATCH(Propagações_TOT_ITAIPU!Q$2,PREVS_SMAP!$A$132:$A$134,0),MATCH(Propagações_TOT_ITAIPU!$A80,PREVS_SMAP!$D$131:$Q$131,0)),INDEX(INDIRECT("PREVIVAZ!$C$"&amp;Q$6+1&amp;":$N$"&amp;Q$6+1&amp;""),1,MATCH($A80,PREVIVAZ!$C$1:$N$1,1)))</f>
        <v>#N/A</v>
      </c>
      <c r="R80" s="211" t="e">
        <f t="shared" ca="1" si="10"/>
        <v>#N/A</v>
      </c>
      <c r="S80" s="214" t="e">
        <f t="shared" ca="1" si="11"/>
        <v>#N/A</v>
      </c>
      <c r="T80" s="214" t="e">
        <f t="shared" ca="1" si="12"/>
        <v>#N/A</v>
      </c>
      <c r="U80" s="215" t="e">
        <f t="shared" ca="1" si="13"/>
        <v>#N/A</v>
      </c>
      <c r="V80" s="214" t="e">
        <f t="shared" ca="1" si="14"/>
        <v>#N/A</v>
      </c>
      <c r="W80" s="214" t="e">
        <f t="shared" ca="1" si="15"/>
        <v>#N/A</v>
      </c>
      <c r="X80" s="216"/>
      <c r="Y80" s="211" t="e">
        <f ca="1">Propagações_TOT_GRANDE!AP80</f>
        <v>#N/A</v>
      </c>
      <c r="Z80" s="211" t="e">
        <f ca="1">Propagações_TOT_PARANAIBA!AJ80</f>
        <v>#N/A</v>
      </c>
      <c r="AA80" s="213" t="e">
        <f ca="1">IFERROR(INDEX(PREVS_SMAP!$AU$28:$BA$347,MATCH(Propagações_TOT_ITAIPU!AA$2,PREVS_SMAP!$R$28:$R$347,0),MATCH(Propagações_TOT_ITAIPU!$A80,PREVS_SMAP!$AU$27:$BA$27,0)),INDEX(INDIRECT("PREVIVAZ!$C$"&amp;$AA$2+1&amp;":$N$"&amp;$AA$2+1&amp;""),1,MATCH($A80,PREVIVAZ!$C$1:$N$1,1)))</f>
        <v>#N/A</v>
      </c>
      <c r="AB80" s="213" t="e">
        <f ca="1">IFERROR(INDEX(PREVS_SMAP!$AU$28:$BA$347,MATCH(Propagações_TOT_ITAIPU!AB$2,PREVS_SMAP!$R$28:$R$347,0),MATCH(Propagações_TOT_ITAIPU!$A80,PREVS_SMAP!$AU$27:$BA$27,0)),INDEX(INDIRECT("PREVIVAZ!$C$"&amp;AB$2+1&amp;":$N$"&amp;AB$2+1&amp;""),1,MATCH($A80,PREVIVAZ!$C$1:$N$1,1)))</f>
        <v>#N/A</v>
      </c>
      <c r="AC80" s="213" t="e">
        <f ca="1">IFERROR(INDEX(PREVS_SMAP!$AU$28:$BA$347,MATCH(Propagações_TOT_ITAIPU!AC$2,PREVS_SMAP!$R$28:$R$347,0),MATCH(Propagações_TOT_ITAIPU!$A80,PREVS_SMAP!$AU$27:$BA$27,0)),INDEX(INDIRECT("PREVIVAZ!$C$"&amp;AC$2+1&amp;":$N$"&amp;AC$2+1&amp;""),1,MATCH($A80,PREVIVAZ!$C$1:$N$1,1)))</f>
        <v>#N/A</v>
      </c>
      <c r="AE80" s="272" t="e">
        <f ca="1">Propagações_TOT_TIETE!$X80</f>
        <v>#N/A</v>
      </c>
    </row>
    <row r="81" spans="1:31" s="272" customFormat="1" x14ac:dyDescent="0.2">
      <c r="A81" s="273">
        <f t="shared" ca="1" si="9"/>
        <v>43880</v>
      </c>
      <c r="B81" s="53"/>
      <c r="C81" s="53"/>
      <c r="D81" s="52"/>
      <c r="E81" s="279" t="e">
        <f ca="1">INDEX(RESULTADOS!$A:$BA,MATCH($A81,RESULTADOS!$A:$A,0),MATCH(E$1,RESULTADOS!$1:$1,0))</f>
        <v>#N/A</v>
      </c>
      <c r="F81" s="279" t="e">
        <f ca="1">INDEX(RESULTADOS!$A:$BA,MATCH($A81,RESULTADOS!$A:$A,0),MATCH(F$1,RESULTADOS!$1:$1,0))</f>
        <v>#N/A</v>
      </c>
      <c r="G81" s="279" t="e">
        <f ca="1">INDEX(RESULTADOS!$A:$BA,MATCH($A81,RESULTADOS!$A:$A,0),MATCH(G$1,RESULTADOS!$1:$1,0))</f>
        <v>#N/A</v>
      </c>
      <c r="H81" s="279" t="e">
        <f ca="1">INDEX(RESULTADOS!$A:$BA,MATCH($A81,RESULTADOS!$A:$A,0),MATCH(H$1,RESULTADOS!$1:$1,0))</f>
        <v>#N/A</v>
      </c>
      <c r="I81" s="279" t="e">
        <f ca="1">INDEX(RESULTADOS!$A:$BA,MATCH($A81,RESULTADOS!$A:$A,0),MATCH(I$1,RESULTADOS!$1:$1,0))</f>
        <v>#N/A</v>
      </c>
      <c r="J81" s="51" t="e">
        <f t="shared" ref="J81:J110" ca="1" si="17">((48-$H$3)*H80+($H$3-24)*H79)/24+((48-$G$3)*G80+($G$3-24)*G79)/24+((48-$F$3)*F80+($F$3-24)*F79)/24+((48-$E$3)*E80+($E$3-24)*E79)/24+I81</f>
        <v>#N/A</v>
      </c>
      <c r="M81" s="211" t="e">
        <f ca="1">Propagações_TOT_PARANAPANEMA!AB81</f>
        <v>#N/A</v>
      </c>
      <c r="N81" s="213" t="e">
        <f ca="1">IFERROR(INDEX(PREVS_SMAP!$D$132:$Q$134,MATCH(Propagações_TOT_ITAIPU!N$2,PREVS_SMAP!$A$132:$A$134,0),MATCH(Propagações_TOT_ITAIPU!$A81,PREVS_SMAP!$D$131:$Q$131,0)),INDEX(INDIRECT("PREVIVAZ!$C$"&amp;N$6+1&amp;":$N$"&amp;N$6+1&amp;""),1,MATCH($A81,PREVIVAZ!$C$1:$N$1,1)))</f>
        <v>#N/A</v>
      </c>
      <c r="O81" s="213" t="e">
        <f ca="1">IFERROR(INDEX(PREVS_SMAP!$D$132:$Q$134,MATCH(Propagações_TOT_ITAIPU!O$2,PREVS_SMAP!$A$132:$A$134,0),MATCH(Propagações_TOT_ITAIPU!$A81,PREVS_SMAP!$D$131:$Q$131,0)),INDEX(INDIRECT("PREVIVAZ!$C$"&amp;O$6+1&amp;":$N$"&amp;O$6+1&amp;""),1,MATCH($A81,PREVIVAZ!$C$1:$N$1,1)))</f>
        <v>#N/A</v>
      </c>
      <c r="P81" s="213" t="e">
        <f ca="1">IFERROR(INDEX(PREVS_SMAP!$D$132:$Q$134,MATCH(Propagações_TOT_ITAIPU!P$2,PREVS_SMAP!$A$132:$A$134,0),MATCH(Propagações_TOT_ITAIPU!$A81,PREVS_SMAP!$D$131:$Q$131,0)),INDEX(INDIRECT("PREVIVAZ!$C$"&amp;P$6+1&amp;":$N$"&amp;P$6+1&amp;""),1,MATCH($A81,PREVIVAZ!$C$1:$N$1,1)))</f>
        <v>#N/A</v>
      </c>
      <c r="Q81" s="213" t="e">
        <f ca="1">IFERROR(INDEX(PREVS_SMAP!$D$132:$Q$134,MATCH(Propagações_TOT_ITAIPU!Q$2,PREVS_SMAP!$A$132:$A$134,0),MATCH(Propagações_TOT_ITAIPU!$A81,PREVS_SMAP!$D$131:$Q$131,0)),INDEX(INDIRECT("PREVIVAZ!$C$"&amp;Q$6+1&amp;":$N$"&amp;Q$6+1&amp;""),1,MATCH($A81,PREVIVAZ!$C$1:$N$1,1)))</f>
        <v>#N/A</v>
      </c>
      <c r="R81" s="211" t="e">
        <f t="shared" ca="1" si="10"/>
        <v>#N/A</v>
      </c>
      <c r="S81" s="214" t="e">
        <f t="shared" ca="1" si="11"/>
        <v>#N/A</v>
      </c>
      <c r="T81" s="214" t="e">
        <f t="shared" ca="1" si="12"/>
        <v>#N/A</v>
      </c>
      <c r="U81" s="215" t="e">
        <f t="shared" ca="1" si="13"/>
        <v>#N/A</v>
      </c>
      <c r="V81" s="214" t="e">
        <f t="shared" ca="1" si="14"/>
        <v>#N/A</v>
      </c>
      <c r="W81" s="214" t="e">
        <f t="shared" ca="1" si="15"/>
        <v>#N/A</v>
      </c>
      <c r="X81" s="216"/>
      <c r="Y81" s="211" t="e">
        <f ca="1">Propagações_TOT_GRANDE!AP81</f>
        <v>#N/A</v>
      </c>
      <c r="Z81" s="211" t="e">
        <f ca="1">Propagações_TOT_PARANAIBA!AJ81</f>
        <v>#N/A</v>
      </c>
      <c r="AA81" s="213" t="e">
        <f ca="1">IFERROR(INDEX(PREVS_SMAP!$AU$28:$BA$347,MATCH(Propagações_TOT_ITAIPU!AA$2,PREVS_SMAP!$R$28:$R$347,0),MATCH(Propagações_TOT_ITAIPU!$A81,PREVS_SMAP!$AU$27:$BA$27,0)),INDEX(INDIRECT("PREVIVAZ!$C$"&amp;$AA$2+1&amp;":$N$"&amp;$AA$2+1&amp;""),1,MATCH($A81,PREVIVAZ!$C$1:$N$1,1)))</f>
        <v>#N/A</v>
      </c>
      <c r="AB81" s="213" t="e">
        <f ca="1">IFERROR(INDEX(PREVS_SMAP!$AU$28:$BA$347,MATCH(Propagações_TOT_ITAIPU!AB$2,PREVS_SMAP!$R$28:$R$347,0),MATCH(Propagações_TOT_ITAIPU!$A81,PREVS_SMAP!$AU$27:$BA$27,0)),INDEX(INDIRECT("PREVIVAZ!$C$"&amp;AB$2+1&amp;":$N$"&amp;AB$2+1&amp;""),1,MATCH($A81,PREVIVAZ!$C$1:$N$1,1)))</f>
        <v>#N/A</v>
      </c>
      <c r="AC81" s="213" t="e">
        <f ca="1">IFERROR(INDEX(PREVS_SMAP!$AU$28:$BA$347,MATCH(Propagações_TOT_ITAIPU!AC$2,PREVS_SMAP!$R$28:$R$347,0),MATCH(Propagações_TOT_ITAIPU!$A81,PREVS_SMAP!$AU$27:$BA$27,0)),INDEX(INDIRECT("PREVIVAZ!$C$"&amp;AC$2+1&amp;":$N$"&amp;AC$2+1&amp;""),1,MATCH($A81,PREVIVAZ!$C$1:$N$1,1)))</f>
        <v>#N/A</v>
      </c>
      <c r="AE81" s="272" t="e">
        <f ca="1">Propagações_TOT_TIETE!$X81</f>
        <v>#N/A</v>
      </c>
    </row>
    <row r="82" spans="1:31" s="272" customFormat="1" x14ac:dyDescent="0.2">
      <c r="A82" s="273">
        <f t="shared" ca="1" si="9"/>
        <v>43881</v>
      </c>
      <c r="B82" s="53"/>
      <c r="C82" s="53"/>
      <c r="D82" s="52"/>
      <c r="E82" s="279" t="e">
        <f ca="1">INDEX(RESULTADOS!$A:$BA,MATCH($A82,RESULTADOS!$A:$A,0),MATCH(E$1,RESULTADOS!$1:$1,0))</f>
        <v>#N/A</v>
      </c>
      <c r="F82" s="279" t="e">
        <f ca="1">INDEX(RESULTADOS!$A:$BA,MATCH($A82,RESULTADOS!$A:$A,0),MATCH(F$1,RESULTADOS!$1:$1,0))</f>
        <v>#N/A</v>
      </c>
      <c r="G82" s="279" t="e">
        <f ca="1">INDEX(RESULTADOS!$A:$BA,MATCH($A82,RESULTADOS!$A:$A,0),MATCH(G$1,RESULTADOS!$1:$1,0))</f>
        <v>#N/A</v>
      </c>
      <c r="H82" s="279" t="e">
        <f ca="1">INDEX(RESULTADOS!$A:$BA,MATCH($A82,RESULTADOS!$A:$A,0),MATCH(H$1,RESULTADOS!$1:$1,0))</f>
        <v>#N/A</v>
      </c>
      <c r="I82" s="279" t="e">
        <f ca="1">INDEX(RESULTADOS!$A:$BA,MATCH($A82,RESULTADOS!$A:$A,0),MATCH(I$1,RESULTADOS!$1:$1,0))</f>
        <v>#N/A</v>
      </c>
      <c r="J82" s="51" t="e">
        <f t="shared" ca="1" si="17"/>
        <v>#N/A</v>
      </c>
      <c r="M82" s="211" t="e">
        <f ca="1">Propagações_TOT_PARANAPANEMA!AB82</f>
        <v>#N/A</v>
      </c>
      <c r="N82" s="213" t="e">
        <f ca="1">IFERROR(INDEX(PREVS_SMAP!$D$132:$Q$134,MATCH(Propagações_TOT_ITAIPU!N$2,PREVS_SMAP!$A$132:$A$134,0),MATCH(Propagações_TOT_ITAIPU!$A82,PREVS_SMAP!$D$131:$Q$131,0)),INDEX(INDIRECT("PREVIVAZ!$C$"&amp;N$6+1&amp;":$N$"&amp;N$6+1&amp;""),1,MATCH($A82,PREVIVAZ!$C$1:$N$1,1)))</f>
        <v>#N/A</v>
      </c>
      <c r="O82" s="213" t="e">
        <f ca="1">IFERROR(INDEX(PREVS_SMAP!$D$132:$Q$134,MATCH(Propagações_TOT_ITAIPU!O$2,PREVS_SMAP!$A$132:$A$134,0),MATCH(Propagações_TOT_ITAIPU!$A82,PREVS_SMAP!$D$131:$Q$131,0)),INDEX(INDIRECT("PREVIVAZ!$C$"&amp;O$6+1&amp;":$N$"&amp;O$6+1&amp;""),1,MATCH($A82,PREVIVAZ!$C$1:$N$1,1)))</f>
        <v>#N/A</v>
      </c>
      <c r="P82" s="213" t="e">
        <f ca="1">IFERROR(INDEX(PREVS_SMAP!$D$132:$Q$134,MATCH(Propagações_TOT_ITAIPU!P$2,PREVS_SMAP!$A$132:$A$134,0),MATCH(Propagações_TOT_ITAIPU!$A82,PREVS_SMAP!$D$131:$Q$131,0)),INDEX(INDIRECT("PREVIVAZ!$C$"&amp;P$6+1&amp;":$N$"&amp;P$6+1&amp;""),1,MATCH($A82,PREVIVAZ!$C$1:$N$1,1)))</f>
        <v>#N/A</v>
      </c>
      <c r="Q82" s="213" t="e">
        <f ca="1">IFERROR(INDEX(PREVS_SMAP!$D$132:$Q$134,MATCH(Propagações_TOT_ITAIPU!Q$2,PREVS_SMAP!$A$132:$A$134,0),MATCH(Propagações_TOT_ITAIPU!$A82,PREVS_SMAP!$D$131:$Q$131,0)),INDEX(INDIRECT("PREVIVAZ!$C$"&amp;Q$6+1&amp;":$N$"&amp;Q$6+1&amp;""),1,MATCH($A82,PREVIVAZ!$C$1:$N$1,1)))</f>
        <v>#N/A</v>
      </c>
      <c r="R82" s="211" t="e">
        <f t="shared" ca="1" si="10"/>
        <v>#N/A</v>
      </c>
      <c r="S82" s="214" t="e">
        <f t="shared" ca="1" si="11"/>
        <v>#N/A</v>
      </c>
      <c r="T82" s="214" t="e">
        <f t="shared" ca="1" si="12"/>
        <v>#N/A</v>
      </c>
      <c r="U82" s="215" t="e">
        <f t="shared" ca="1" si="13"/>
        <v>#N/A</v>
      </c>
      <c r="V82" s="214" t="e">
        <f t="shared" ca="1" si="14"/>
        <v>#N/A</v>
      </c>
      <c r="W82" s="214" t="e">
        <f t="shared" ca="1" si="15"/>
        <v>#N/A</v>
      </c>
      <c r="X82" s="216"/>
      <c r="Y82" s="211" t="e">
        <f ca="1">Propagações_TOT_GRANDE!AP82</f>
        <v>#N/A</v>
      </c>
      <c r="Z82" s="211" t="e">
        <f ca="1">Propagações_TOT_PARANAIBA!AJ82</f>
        <v>#N/A</v>
      </c>
      <c r="AA82" s="213" t="e">
        <f ca="1">IFERROR(INDEX(PREVS_SMAP!$AU$28:$BA$347,MATCH(Propagações_TOT_ITAIPU!AA$2,PREVS_SMAP!$R$28:$R$347,0),MATCH(Propagações_TOT_ITAIPU!$A82,PREVS_SMAP!$AU$27:$BA$27,0)),INDEX(INDIRECT("PREVIVAZ!$C$"&amp;$AA$2+1&amp;":$N$"&amp;$AA$2+1&amp;""),1,MATCH($A82,PREVIVAZ!$C$1:$N$1,1)))</f>
        <v>#N/A</v>
      </c>
      <c r="AB82" s="213" t="e">
        <f ca="1">IFERROR(INDEX(PREVS_SMAP!$AU$28:$BA$347,MATCH(Propagações_TOT_ITAIPU!AB$2,PREVS_SMAP!$R$28:$R$347,0),MATCH(Propagações_TOT_ITAIPU!$A82,PREVS_SMAP!$AU$27:$BA$27,0)),INDEX(INDIRECT("PREVIVAZ!$C$"&amp;AB$2+1&amp;":$N$"&amp;AB$2+1&amp;""),1,MATCH($A82,PREVIVAZ!$C$1:$N$1,1)))</f>
        <v>#N/A</v>
      </c>
      <c r="AC82" s="213" t="e">
        <f ca="1">IFERROR(INDEX(PREVS_SMAP!$AU$28:$BA$347,MATCH(Propagações_TOT_ITAIPU!AC$2,PREVS_SMAP!$R$28:$R$347,0),MATCH(Propagações_TOT_ITAIPU!$A82,PREVS_SMAP!$AU$27:$BA$27,0)),INDEX(INDIRECT("PREVIVAZ!$C$"&amp;AC$2+1&amp;":$N$"&amp;AC$2+1&amp;""),1,MATCH($A82,PREVIVAZ!$C$1:$N$1,1)))</f>
        <v>#N/A</v>
      </c>
      <c r="AE82" s="272" t="e">
        <f ca="1">Propagações_TOT_TIETE!$X82</f>
        <v>#N/A</v>
      </c>
    </row>
    <row r="83" spans="1:31" s="272" customFormat="1" x14ac:dyDescent="0.2">
      <c r="A83" s="273">
        <f t="shared" ca="1" si="9"/>
        <v>43882</v>
      </c>
      <c r="B83" s="53"/>
      <c r="C83" s="53"/>
      <c r="D83" s="52"/>
      <c r="E83" s="279" t="e">
        <f ca="1">INDEX(RESULTADOS!$A:$BA,MATCH($A83,RESULTADOS!$A:$A,0),MATCH(E$1,RESULTADOS!$1:$1,0))</f>
        <v>#N/A</v>
      </c>
      <c r="F83" s="279" t="e">
        <f ca="1">INDEX(RESULTADOS!$A:$BA,MATCH($A83,RESULTADOS!$A:$A,0),MATCH(F$1,RESULTADOS!$1:$1,0))</f>
        <v>#N/A</v>
      </c>
      <c r="G83" s="279" t="e">
        <f ca="1">INDEX(RESULTADOS!$A:$BA,MATCH($A83,RESULTADOS!$A:$A,0),MATCH(G$1,RESULTADOS!$1:$1,0))</f>
        <v>#N/A</v>
      </c>
      <c r="H83" s="279" t="e">
        <f ca="1">INDEX(RESULTADOS!$A:$BA,MATCH($A83,RESULTADOS!$A:$A,0),MATCH(H$1,RESULTADOS!$1:$1,0))</f>
        <v>#N/A</v>
      </c>
      <c r="I83" s="279" t="e">
        <f ca="1">INDEX(RESULTADOS!$A:$BA,MATCH($A83,RESULTADOS!$A:$A,0),MATCH(I$1,RESULTADOS!$1:$1,0))</f>
        <v>#N/A</v>
      </c>
      <c r="J83" s="51" t="e">
        <f t="shared" ca="1" si="17"/>
        <v>#N/A</v>
      </c>
      <c r="M83" s="211" t="e">
        <f ca="1">Propagações_TOT_PARANAPANEMA!AB83</f>
        <v>#N/A</v>
      </c>
      <c r="N83" s="213" t="e">
        <f ca="1">IFERROR(INDEX(PREVS_SMAP!$D$132:$Q$134,MATCH(Propagações_TOT_ITAIPU!N$2,PREVS_SMAP!$A$132:$A$134,0),MATCH(Propagações_TOT_ITAIPU!$A83,PREVS_SMAP!$D$131:$Q$131,0)),INDEX(INDIRECT("PREVIVAZ!$C$"&amp;N$6+1&amp;":$N$"&amp;N$6+1&amp;""),1,MATCH($A83,PREVIVAZ!$C$1:$N$1,1)))</f>
        <v>#N/A</v>
      </c>
      <c r="O83" s="213" t="e">
        <f ca="1">IFERROR(INDEX(PREVS_SMAP!$D$132:$Q$134,MATCH(Propagações_TOT_ITAIPU!O$2,PREVS_SMAP!$A$132:$A$134,0),MATCH(Propagações_TOT_ITAIPU!$A83,PREVS_SMAP!$D$131:$Q$131,0)),INDEX(INDIRECT("PREVIVAZ!$C$"&amp;O$6+1&amp;":$N$"&amp;O$6+1&amp;""),1,MATCH($A83,PREVIVAZ!$C$1:$N$1,1)))</f>
        <v>#N/A</v>
      </c>
      <c r="P83" s="213" t="e">
        <f ca="1">IFERROR(INDEX(PREVS_SMAP!$D$132:$Q$134,MATCH(Propagações_TOT_ITAIPU!P$2,PREVS_SMAP!$A$132:$A$134,0),MATCH(Propagações_TOT_ITAIPU!$A83,PREVS_SMAP!$D$131:$Q$131,0)),INDEX(INDIRECT("PREVIVAZ!$C$"&amp;P$6+1&amp;":$N$"&amp;P$6+1&amp;""),1,MATCH($A83,PREVIVAZ!$C$1:$N$1,1)))</f>
        <v>#N/A</v>
      </c>
      <c r="Q83" s="213" t="e">
        <f ca="1">IFERROR(INDEX(PREVS_SMAP!$D$132:$Q$134,MATCH(Propagações_TOT_ITAIPU!Q$2,PREVS_SMAP!$A$132:$A$134,0),MATCH(Propagações_TOT_ITAIPU!$A83,PREVS_SMAP!$D$131:$Q$131,0)),INDEX(INDIRECT("PREVIVAZ!$C$"&amp;Q$6+1&amp;":$N$"&amp;Q$6+1&amp;""),1,MATCH($A83,PREVIVAZ!$C$1:$N$1,1)))</f>
        <v>#N/A</v>
      </c>
      <c r="R83" s="211" t="e">
        <f t="shared" ca="1" si="10"/>
        <v>#N/A</v>
      </c>
      <c r="S83" s="214" t="e">
        <f t="shared" ca="1" si="11"/>
        <v>#N/A</v>
      </c>
      <c r="T83" s="214" t="e">
        <f t="shared" ca="1" si="12"/>
        <v>#N/A</v>
      </c>
      <c r="U83" s="215" t="e">
        <f t="shared" ca="1" si="13"/>
        <v>#N/A</v>
      </c>
      <c r="V83" s="214" t="e">
        <f t="shared" ca="1" si="14"/>
        <v>#N/A</v>
      </c>
      <c r="W83" s="214" t="e">
        <f t="shared" ca="1" si="15"/>
        <v>#N/A</v>
      </c>
      <c r="X83" s="216"/>
      <c r="Y83" s="211" t="e">
        <f ca="1">Propagações_TOT_GRANDE!AP83</f>
        <v>#N/A</v>
      </c>
      <c r="Z83" s="211" t="e">
        <f ca="1">Propagações_TOT_PARANAIBA!AJ83</f>
        <v>#N/A</v>
      </c>
      <c r="AA83" s="213" t="e">
        <f ca="1">IFERROR(INDEX(PREVS_SMAP!$AU$28:$BA$347,MATCH(Propagações_TOT_ITAIPU!AA$2,PREVS_SMAP!$R$28:$R$347,0),MATCH(Propagações_TOT_ITAIPU!$A83,PREVS_SMAP!$AU$27:$BA$27,0)),INDEX(INDIRECT("PREVIVAZ!$C$"&amp;$AA$2+1&amp;":$N$"&amp;$AA$2+1&amp;""),1,MATCH($A83,PREVIVAZ!$C$1:$N$1,1)))</f>
        <v>#N/A</v>
      </c>
      <c r="AB83" s="213" t="e">
        <f ca="1">IFERROR(INDEX(PREVS_SMAP!$AU$28:$BA$347,MATCH(Propagações_TOT_ITAIPU!AB$2,PREVS_SMAP!$R$28:$R$347,0),MATCH(Propagações_TOT_ITAIPU!$A83,PREVS_SMAP!$AU$27:$BA$27,0)),INDEX(INDIRECT("PREVIVAZ!$C$"&amp;AB$2+1&amp;":$N$"&amp;AB$2+1&amp;""),1,MATCH($A83,PREVIVAZ!$C$1:$N$1,1)))</f>
        <v>#N/A</v>
      </c>
      <c r="AC83" s="213" t="e">
        <f ca="1">IFERROR(INDEX(PREVS_SMAP!$AU$28:$BA$347,MATCH(Propagações_TOT_ITAIPU!AC$2,PREVS_SMAP!$R$28:$R$347,0),MATCH(Propagações_TOT_ITAIPU!$A83,PREVS_SMAP!$AU$27:$BA$27,0)),INDEX(INDIRECT("PREVIVAZ!$C$"&amp;AC$2+1&amp;":$N$"&amp;AC$2+1&amp;""),1,MATCH($A83,PREVIVAZ!$C$1:$N$1,1)))</f>
        <v>#N/A</v>
      </c>
      <c r="AE83" s="272" t="e">
        <f ca="1">Propagações_TOT_TIETE!$X83</f>
        <v>#N/A</v>
      </c>
    </row>
    <row r="84" spans="1:31" s="272" customFormat="1" x14ac:dyDescent="0.2">
      <c r="A84" s="273">
        <f t="shared" ca="1" si="9"/>
        <v>43883</v>
      </c>
      <c r="B84" s="53"/>
      <c r="C84" s="53"/>
      <c r="D84" s="52"/>
      <c r="E84" s="279" t="e">
        <f ca="1">INDEX(RESULTADOS!$A:$BA,MATCH($A84,RESULTADOS!$A:$A,0),MATCH(E$1,RESULTADOS!$1:$1,0))</f>
        <v>#N/A</v>
      </c>
      <c r="F84" s="279" t="e">
        <f ca="1">INDEX(RESULTADOS!$A:$BA,MATCH($A84,RESULTADOS!$A:$A,0),MATCH(F$1,RESULTADOS!$1:$1,0))</f>
        <v>#N/A</v>
      </c>
      <c r="G84" s="279" t="e">
        <f ca="1">INDEX(RESULTADOS!$A:$BA,MATCH($A84,RESULTADOS!$A:$A,0),MATCH(G$1,RESULTADOS!$1:$1,0))</f>
        <v>#N/A</v>
      </c>
      <c r="H84" s="279" t="e">
        <f ca="1">INDEX(RESULTADOS!$A:$BA,MATCH($A84,RESULTADOS!$A:$A,0),MATCH(H$1,RESULTADOS!$1:$1,0))</f>
        <v>#N/A</v>
      </c>
      <c r="I84" s="279" t="e">
        <f ca="1">INDEX(RESULTADOS!$A:$BA,MATCH($A84,RESULTADOS!$A:$A,0),MATCH(I$1,RESULTADOS!$1:$1,0))</f>
        <v>#N/A</v>
      </c>
      <c r="J84" s="51" t="e">
        <f t="shared" ca="1" si="17"/>
        <v>#N/A</v>
      </c>
      <c r="M84" s="211" t="e">
        <f ca="1">Propagações_TOT_PARANAPANEMA!AB84</f>
        <v>#N/A</v>
      </c>
      <c r="N84" s="213" t="e">
        <f ca="1">IFERROR(INDEX(PREVS_SMAP!$D$132:$Q$134,MATCH(Propagações_TOT_ITAIPU!N$2,PREVS_SMAP!$A$132:$A$134,0),MATCH(Propagações_TOT_ITAIPU!$A84,PREVS_SMAP!$D$131:$Q$131,0)),INDEX(INDIRECT("PREVIVAZ!$C$"&amp;N$6+1&amp;":$N$"&amp;N$6+1&amp;""),1,MATCH($A84,PREVIVAZ!$C$1:$N$1,1)))</f>
        <v>#N/A</v>
      </c>
      <c r="O84" s="213" t="e">
        <f ca="1">IFERROR(INDEX(PREVS_SMAP!$D$132:$Q$134,MATCH(Propagações_TOT_ITAIPU!O$2,PREVS_SMAP!$A$132:$A$134,0),MATCH(Propagações_TOT_ITAIPU!$A84,PREVS_SMAP!$D$131:$Q$131,0)),INDEX(INDIRECT("PREVIVAZ!$C$"&amp;O$6+1&amp;":$N$"&amp;O$6+1&amp;""),1,MATCH($A84,PREVIVAZ!$C$1:$N$1,1)))</f>
        <v>#N/A</v>
      </c>
      <c r="P84" s="213" t="e">
        <f ca="1">IFERROR(INDEX(PREVS_SMAP!$D$132:$Q$134,MATCH(Propagações_TOT_ITAIPU!P$2,PREVS_SMAP!$A$132:$A$134,0),MATCH(Propagações_TOT_ITAIPU!$A84,PREVS_SMAP!$D$131:$Q$131,0)),INDEX(INDIRECT("PREVIVAZ!$C$"&amp;P$6+1&amp;":$N$"&amp;P$6+1&amp;""),1,MATCH($A84,PREVIVAZ!$C$1:$N$1,1)))</f>
        <v>#N/A</v>
      </c>
      <c r="Q84" s="213" t="e">
        <f ca="1">IFERROR(INDEX(PREVS_SMAP!$D$132:$Q$134,MATCH(Propagações_TOT_ITAIPU!Q$2,PREVS_SMAP!$A$132:$A$134,0),MATCH(Propagações_TOT_ITAIPU!$A84,PREVS_SMAP!$D$131:$Q$131,0)),INDEX(INDIRECT("PREVIVAZ!$C$"&amp;Q$6+1&amp;":$N$"&amp;Q$6+1&amp;""),1,MATCH($A84,PREVIVAZ!$C$1:$N$1,1)))</f>
        <v>#N/A</v>
      </c>
      <c r="R84" s="211" t="e">
        <f t="shared" ca="1" si="10"/>
        <v>#N/A</v>
      </c>
      <c r="S84" s="214" t="e">
        <f t="shared" ca="1" si="11"/>
        <v>#N/A</v>
      </c>
      <c r="T84" s="214" t="e">
        <f t="shared" ca="1" si="12"/>
        <v>#N/A</v>
      </c>
      <c r="U84" s="215" t="e">
        <f t="shared" ca="1" si="13"/>
        <v>#N/A</v>
      </c>
      <c r="V84" s="214" t="e">
        <f t="shared" ca="1" si="14"/>
        <v>#N/A</v>
      </c>
      <c r="W84" s="214" t="e">
        <f t="shared" ca="1" si="15"/>
        <v>#N/A</v>
      </c>
      <c r="X84" s="216"/>
      <c r="Y84" s="211" t="e">
        <f ca="1">Propagações_TOT_GRANDE!AP84</f>
        <v>#N/A</v>
      </c>
      <c r="Z84" s="211" t="e">
        <f ca="1">Propagações_TOT_PARANAIBA!AJ84</f>
        <v>#N/A</v>
      </c>
      <c r="AA84" s="213" t="e">
        <f ca="1">IFERROR(INDEX(PREVS_SMAP!$AU$28:$BA$347,MATCH(Propagações_TOT_ITAIPU!AA$2,PREVS_SMAP!$R$28:$R$347,0),MATCH(Propagações_TOT_ITAIPU!$A84,PREVS_SMAP!$AU$27:$BA$27,0)),INDEX(INDIRECT("PREVIVAZ!$C$"&amp;$AA$2+1&amp;":$N$"&amp;$AA$2+1&amp;""),1,MATCH($A84,PREVIVAZ!$C$1:$N$1,1)))</f>
        <v>#N/A</v>
      </c>
      <c r="AB84" s="213" t="e">
        <f ca="1">IFERROR(INDEX(PREVS_SMAP!$AU$28:$BA$347,MATCH(Propagações_TOT_ITAIPU!AB$2,PREVS_SMAP!$R$28:$R$347,0),MATCH(Propagações_TOT_ITAIPU!$A84,PREVS_SMAP!$AU$27:$BA$27,0)),INDEX(INDIRECT("PREVIVAZ!$C$"&amp;AB$2+1&amp;":$N$"&amp;AB$2+1&amp;""),1,MATCH($A84,PREVIVAZ!$C$1:$N$1,1)))</f>
        <v>#N/A</v>
      </c>
      <c r="AC84" s="213" t="e">
        <f ca="1">IFERROR(INDEX(PREVS_SMAP!$AU$28:$BA$347,MATCH(Propagações_TOT_ITAIPU!AC$2,PREVS_SMAP!$R$28:$R$347,0),MATCH(Propagações_TOT_ITAIPU!$A84,PREVS_SMAP!$AU$27:$BA$27,0)),INDEX(INDIRECT("PREVIVAZ!$C$"&amp;AC$2+1&amp;":$N$"&amp;AC$2+1&amp;""),1,MATCH($A84,PREVIVAZ!$C$1:$N$1,1)))</f>
        <v>#N/A</v>
      </c>
      <c r="AE84" s="272" t="e">
        <f ca="1">Propagações_TOT_TIETE!$X84</f>
        <v>#N/A</v>
      </c>
    </row>
    <row r="85" spans="1:31" s="272" customFormat="1" x14ac:dyDescent="0.2">
      <c r="A85" s="273">
        <f t="shared" ca="1" si="9"/>
        <v>43884</v>
      </c>
      <c r="B85" s="53"/>
      <c r="C85" s="53"/>
      <c r="D85" s="52"/>
      <c r="E85" s="279" t="e">
        <f ca="1">INDEX(RESULTADOS!$A:$BA,MATCH($A85,RESULTADOS!$A:$A,0),MATCH(E$1,RESULTADOS!$1:$1,0))</f>
        <v>#N/A</v>
      </c>
      <c r="F85" s="279" t="e">
        <f ca="1">INDEX(RESULTADOS!$A:$BA,MATCH($A85,RESULTADOS!$A:$A,0),MATCH(F$1,RESULTADOS!$1:$1,0))</f>
        <v>#N/A</v>
      </c>
      <c r="G85" s="279" t="e">
        <f ca="1">INDEX(RESULTADOS!$A:$BA,MATCH($A85,RESULTADOS!$A:$A,0),MATCH(G$1,RESULTADOS!$1:$1,0))</f>
        <v>#N/A</v>
      </c>
      <c r="H85" s="279" t="e">
        <f ca="1">INDEX(RESULTADOS!$A:$BA,MATCH($A85,RESULTADOS!$A:$A,0),MATCH(H$1,RESULTADOS!$1:$1,0))</f>
        <v>#N/A</v>
      </c>
      <c r="I85" s="279" t="e">
        <f ca="1">INDEX(RESULTADOS!$A:$BA,MATCH($A85,RESULTADOS!$A:$A,0),MATCH(I$1,RESULTADOS!$1:$1,0))</f>
        <v>#N/A</v>
      </c>
      <c r="J85" s="51" t="e">
        <f t="shared" ca="1" si="17"/>
        <v>#N/A</v>
      </c>
      <c r="M85" s="211" t="e">
        <f ca="1">Propagações_TOT_PARANAPANEMA!AB85</f>
        <v>#N/A</v>
      </c>
      <c r="N85" s="213" t="e">
        <f ca="1">IFERROR(INDEX(PREVS_SMAP!$D$132:$Q$134,MATCH(Propagações_TOT_ITAIPU!N$2,PREVS_SMAP!$A$132:$A$134,0),MATCH(Propagações_TOT_ITAIPU!$A85,PREVS_SMAP!$D$131:$Q$131,0)),INDEX(INDIRECT("PREVIVAZ!$C$"&amp;N$6+1&amp;":$N$"&amp;N$6+1&amp;""),1,MATCH($A85,PREVIVAZ!$C$1:$N$1,1)))</f>
        <v>#N/A</v>
      </c>
      <c r="O85" s="213" t="e">
        <f ca="1">IFERROR(INDEX(PREVS_SMAP!$D$132:$Q$134,MATCH(Propagações_TOT_ITAIPU!O$2,PREVS_SMAP!$A$132:$A$134,0),MATCH(Propagações_TOT_ITAIPU!$A85,PREVS_SMAP!$D$131:$Q$131,0)),INDEX(INDIRECT("PREVIVAZ!$C$"&amp;O$6+1&amp;":$N$"&amp;O$6+1&amp;""),1,MATCH($A85,PREVIVAZ!$C$1:$N$1,1)))</f>
        <v>#N/A</v>
      </c>
      <c r="P85" s="213" t="e">
        <f ca="1">IFERROR(INDEX(PREVS_SMAP!$D$132:$Q$134,MATCH(Propagações_TOT_ITAIPU!P$2,PREVS_SMAP!$A$132:$A$134,0),MATCH(Propagações_TOT_ITAIPU!$A85,PREVS_SMAP!$D$131:$Q$131,0)),INDEX(INDIRECT("PREVIVAZ!$C$"&amp;P$6+1&amp;":$N$"&amp;P$6+1&amp;""),1,MATCH($A85,PREVIVAZ!$C$1:$N$1,1)))</f>
        <v>#N/A</v>
      </c>
      <c r="Q85" s="213" t="e">
        <f ca="1">IFERROR(INDEX(PREVS_SMAP!$D$132:$Q$134,MATCH(Propagações_TOT_ITAIPU!Q$2,PREVS_SMAP!$A$132:$A$134,0),MATCH(Propagações_TOT_ITAIPU!$A85,PREVS_SMAP!$D$131:$Q$131,0)),INDEX(INDIRECT("PREVIVAZ!$C$"&amp;Q$6+1&amp;":$N$"&amp;Q$6+1&amp;""),1,MATCH($A85,PREVIVAZ!$C$1:$N$1,1)))</f>
        <v>#N/A</v>
      </c>
      <c r="R85" s="211" t="e">
        <f t="shared" ca="1" si="10"/>
        <v>#N/A</v>
      </c>
      <c r="S85" s="214" t="e">
        <f t="shared" ca="1" si="11"/>
        <v>#N/A</v>
      </c>
      <c r="T85" s="214" t="e">
        <f t="shared" ca="1" si="12"/>
        <v>#N/A</v>
      </c>
      <c r="U85" s="215" t="e">
        <f t="shared" ca="1" si="13"/>
        <v>#N/A</v>
      </c>
      <c r="V85" s="214" t="e">
        <f t="shared" ca="1" si="14"/>
        <v>#N/A</v>
      </c>
      <c r="W85" s="214" t="e">
        <f t="shared" ca="1" si="15"/>
        <v>#N/A</v>
      </c>
      <c r="X85" s="216"/>
      <c r="Y85" s="211" t="e">
        <f ca="1">Propagações_TOT_GRANDE!AP85</f>
        <v>#N/A</v>
      </c>
      <c r="Z85" s="211" t="e">
        <f ca="1">Propagações_TOT_PARANAIBA!AJ85</f>
        <v>#N/A</v>
      </c>
      <c r="AA85" s="213" t="e">
        <f ca="1">IFERROR(INDEX(PREVS_SMAP!$AU$28:$BA$347,MATCH(Propagações_TOT_ITAIPU!AA$2,PREVS_SMAP!$R$28:$R$347,0),MATCH(Propagações_TOT_ITAIPU!$A85,PREVS_SMAP!$AU$27:$BA$27,0)),INDEX(INDIRECT("PREVIVAZ!$C$"&amp;$AA$2+1&amp;":$N$"&amp;$AA$2+1&amp;""),1,MATCH($A85,PREVIVAZ!$C$1:$N$1,1)))</f>
        <v>#N/A</v>
      </c>
      <c r="AB85" s="213" t="e">
        <f ca="1">IFERROR(INDEX(PREVS_SMAP!$AU$28:$BA$347,MATCH(Propagações_TOT_ITAIPU!AB$2,PREVS_SMAP!$R$28:$R$347,0),MATCH(Propagações_TOT_ITAIPU!$A85,PREVS_SMAP!$AU$27:$BA$27,0)),INDEX(INDIRECT("PREVIVAZ!$C$"&amp;AB$2+1&amp;":$N$"&amp;AB$2+1&amp;""),1,MATCH($A85,PREVIVAZ!$C$1:$N$1,1)))</f>
        <v>#N/A</v>
      </c>
      <c r="AC85" s="213" t="e">
        <f ca="1">IFERROR(INDEX(PREVS_SMAP!$AU$28:$BA$347,MATCH(Propagações_TOT_ITAIPU!AC$2,PREVS_SMAP!$R$28:$R$347,0),MATCH(Propagações_TOT_ITAIPU!$A85,PREVS_SMAP!$AU$27:$BA$27,0)),INDEX(INDIRECT("PREVIVAZ!$C$"&amp;AC$2+1&amp;":$N$"&amp;AC$2+1&amp;""),1,MATCH($A85,PREVIVAZ!$C$1:$N$1,1)))</f>
        <v>#N/A</v>
      </c>
      <c r="AE85" s="272" t="e">
        <f ca="1">Propagações_TOT_TIETE!$X85</f>
        <v>#N/A</v>
      </c>
    </row>
    <row r="86" spans="1:31" s="272" customFormat="1" x14ac:dyDescent="0.2">
      <c r="A86" s="273">
        <f t="shared" ca="1" si="9"/>
        <v>43885</v>
      </c>
      <c r="B86" s="53"/>
      <c r="C86" s="53"/>
      <c r="D86" s="52"/>
      <c r="E86" s="279" t="e">
        <f ca="1">INDEX(RESULTADOS!$A:$BA,MATCH($A86,RESULTADOS!$A:$A,0),MATCH(E$1,RESULTADOS!$1:$1,0))</f>
        <v>#N/A</v>
      </c>
      <c r="F86" s="279" t="e">
        <f ca="1">INDEX(RESULTADOS!$A:$BA,MATCH($A86,RESULTADOS!$A:$A,0),MATCH(F$1,RESULTADOS!$1:$1,0))</f>
        <v>#N/A</v>
      </c>
      <c r="G86" s="279" t="e">
        <f ca="1">INDEX(RESULTADOS!$A:$BA,MATCH($A86,RESULTADOS!$A:$A,0),MATCH(G$1,RESULTADOS!$1:$1,0))</f>
        <v>#N/A</v>
      </c>
      <c r="H86" s="279" t="e">
        <f ca="1">INDEX(RESULTADOS!$A:$BA,MATCH($A86,RESULTADOS!$A:$A,0),MATCH(H$1,RESULTADOS!$1:$1,0))</f>
        <v>#N/A</v>
      </c>
      <c r="I86" s="279" t="e">
        <f ca="1">INDEX(RESULTADOS!$A:$BA,MATCH($A86,RESULTADOS!$A:$A,0),MATCH(I$1,RESULTADOS!$1:$1,0))</f>
        <v>#N/A</v>
      </c>
      <c r="J86" s="51" t="e">
        <f t="shared" ca="1" si="17"/>
        <v>#N/A</v>
      </c>
      <c r="M86" s="211" t="e">
        <f ca="1">Propagações_TOT_PARANAPANEMA!AB86</f>
        <v>#N/A</v>
      </c>
      <c r="N86" s="213" t="e">
        <f ca="1">IFERROR(INDEX(PREVS_SMAP!$D$132:$Q$134,MATCH(Propagações_TOT_ITAIPU!N$2,PREVS_SMAP!$A$132:$A$134,0),MATCH(Propagações_TOT_ITAIPU!$A86,PREVS_SMAP!$D$131:$Q$131,0)),INDEX(INDIRECT("PREVIVAZ!$C$"&amp;N$6+1&amp;":$N$"&amp;N$6+1&amp;""),1,MATCH($A86,PREVIVAZ!$C$1:$N$1,1)))</f>
        <v>#N/A</v>
      </c>
      <c r="O86" s="213" t="e">
        <f ca="1">IFERROR(INDEX(PREVS_SMAP!$D$132:$Q$134,MATCH(Propagações_TOT_ITAIPU!O$2,PREVS_SMAP!$A$132:$A$134,0),MATCH(Propagações_TOT_ITAIPU!$A86,PREVS_SMAP!$D$131:$Q$131,0)),INDEX(INDIRECT("PREVIVAZ!$C$"&amp;O$6+1&amp;":$N$"&amp;O$6+1&amp;""),1,MATCH($A86,PREVIVAZ!$C$1:$N$1,1)))</f>
        <v>#N/A</v>
      </c>
      <c r="P86" s="213" t="e">
        <f ca="1">IFERROR(INDEX(PREVS_SMAP!$D$132:$Q$134,MATCH(Propagações_TOT_ITAIPU!P$2,PREVS_SMAP!$A$132:$A$134,0),MATCH(Propagações_TOT_ITAIPU!$A86,PREVS_SMAP!$D$131:$Q$131,0)),INDEX(INDIRECT("PREVIVAZ!$C$"&amp;P$6+1&amp;":$N$"&amp;P$6+1&amp;""),1,MATCH($A86,PREVIVAZ!$C$1:$N$1,1)))</f>
        <v>#N/A</v>
      </c>
      <c r="Q86" s="213" t="e">
        <f ca="1">IFERROR(INDEX(PREVS_SMAP!$D$132:$Q$134,MATCH(Propagações_TOT_ITAIPU!Q$2,PREVS_SMAP!$A$132:$A$134,0),MATCH(Propagações_TOT_ITAIPU!$A86,PREVS_SMAP!$D$131:$Q$131,0)),INDEX(INDIRECT("PREVIVAZ!$C$"&amp;Q$6+1&amp;":$N$"&amp;Q$6+1&amp;""),1,MATCH($A86,PREVIVAZ!$C$1:$N$1,1)))</f>
        <v>#N/A</v>
      </c>
      <c r="R86" s="211" t="e">
        <f t="shared" ca="1" si="10"/>
        <v>#N/A</v>
      </c>
      <c r="S86" s="214" t="e">
        <f t="shared" ca="1" si="11"/>
        <v>#N/A</v>
      </c>
      <c r="T86" s="214" t="e">
        <f t="shared" ca="1" si="12"/>
        <v>#N/A</v>
      </c>
      <c r="U86" s="215" t="e">
        <f t="shared" ca="1" si="13"/>
        <v>#N/A</v>
      </c>
      <c r="V86" s="214" t="e">
        <f t="shared" ca="1" si="14"/>
        <v>#N/A</v>
      </c>
      <c r="W86" s="214" t="e">
        <f t="shared" ca="1" si="15"/>
        <v>#N/A</v>
      </c>
      <c r="X86" s="216"/>
      <c r="Y86" s="211" t="e">
        <f ca="1">Propagações_TOT_GRANDE!AP86</f>
        <v>#N/A</v>
      </c>
      <c r="Z86" s="211" t="e">
        <f ca="1">Propagações_TOT_PARANAIBA!AJ86</f>
        <v>#N/A</v>
      </c>
      <c r="AA86" s="213" t="e">
        <f ca="1">IFERROR(INDEX(PREVS_SMAP!$AU$28:$BA$347,MATCH(Propagações_TOT_ITAIPU!AA$2,PREVS_SMAP!$R$28:$R$347,0),MATCH(Propagações_TOT_ITAIPU!$A86,PREVS_SMAP!$AU$27:$BA$27,0)),INDEX(INDIRECT("PREVIVAZ!$C$"&amp;$AA$2+1&amp;":$N$"&amp;$AA$2+1&amp;""),1,MATCH($A86,PREVIVAZ!$C$1:$N$1,1)))</f>
        <v>#N/A</v>
      </c>
      <c r="AB86" s="213" t="e">
        <f ca="1">IFERROR(INDEX(PREVS_SMAP!$AU$28:$BA$347,MATCH(Propagações_TOT_ITAIPU!AB$2,PREVS_SMAP!$R$28:$R$347,0),MATCH(Propagações_TOT_ITAIPU!$A86,PREVS_SMAP!$AU$27:$BA$27,0)),INDEX(INDIRECT("PREVIVAZ!$C$"&amp;AB$2+1&amp;":$N$"&amp;AB$2+1&amp;""),1,MATCH($A86,PREVIVAZ!$C$1:$N$1,1)))</f>
        <v>#N/A</v>
      </c>
      <c r="AC86" s="213" t="e">
        <f ca="1">IFERROR(INDEX(PREVS_SMAP!$AU$28:$BA$347,MATCH(Propagações_TOT_ITAIPU!AC$2,PREVS_SMAP!$R$28:$R$347,0),MATCH(Propagações_TOT_ITAIPU!$A86,PREVS_SMAP!$AU$27:$BA$27,0)),INDEX(INDIRECT("PREVIVAZ!$C$"&amp;AC$2+1&amp;":$N$"&amp;AC$2+1&amp;""),1,MATCH($A86,PREVIVAZ!$C$1:$N$1,1)))</f>
        <v>#N/A</v>
      </c>
      <c r="AE86" s="272" t="e">
        <f ca="1">Propagações_TOT_TIETE!$X86</f>
        <v>#N/A</v>
      </c>
    </row>
    <row r="87" spans="1:31" s="272" customFormat="1" x14ac:dyDescent="0.2">
      <c r="A87" s="273">
        <f t="shared" ca="1" si="9"/>
        <v>43886</v>
      </c>
      <c r="B87" s="53"/>
      <c r="C87" s="53"/>
      <c r="D87" s="52"/>
      <c r="E87" s="279" t="e">
        <f ca="1">INDEX(RESULTADOS!$A:$BA,MATCH($A87,RESULTADOS!$A:$A,0),MATCH(E$1,RESULTADOS!$1:$1,0))</f>
        <v>#N/A</v>
      </c>
      <c r="F87" s="279" t="e">
        <f ca="1">INDEX(RESULTADOS!$A:$BA,MATCH($A87,RESULTADOS!$A:$A,0),MATCH(F$1,RESULTADOS!$1:$1,0))</f>
        <v>#N/A</v>
      </c>
      <c r="G87" s="279" t="e">
        <f ca="1">INDEX(RESULTADOS!$A:$BA,MATCH($A87,RESULTADOS!$A:$A,0),MATCH(G$1,RESULTADOS!$1:$1,0))</f>
        <v>#N/A</v>
      </c>
      <c r="H87" s="279" t="e">
        <f ca="1">INDEX(RESULTADOS!$A:$BA,MATCH($A87,RESULTADOS!$A:$A,0),MATCH(H$1,RESULTADOS!$1:$1,0))</f>
        <v>#N/A</v>
      </c>
      <c r="I87" s="279" t="e">
        <f ca="1">INDEX(RESULTADOS!$A:$BA,MATCH($A87,RESULTADOS!$A:$A,0),MATCH(I$1,RESULTADOS!$1:$1,0))</f>
        <v>#N/A</v>
      </c>
      <c r="J87" s="51" t="e">
        <f t="shared" ca="1" si="17"/>
        <v>#N/A</v>
      </c>
      <c r="M87" s="211" t="e">
        <f ca="1">Propagações_TOT_PARANAPANEMA!AB87</f>
        <v>#N/A</v>
      </c>
      <c r="N87" s="213" t="e">
        <f ca="1">IFERROR(INDEX(PREVS_SMAP!$D$132:$Q$134,MATCH(Propagações_TOT_ITAIPU!N$2,PREVS_SMAP!$A$132:$A$134,0),MATCH(Propagações_TOT_ITAIPU!$A87,PREVS_SMAP!$D$131:$Q$131,0)),INDEX(INDIRECT("PREVIVAZ!$C$"&amp;N$6+1&amp;":$N$"&amp;N$6+1&amp;""),1,MATCH($A87,PREVIVAZ!$C$1:$N$1,1)))</f>
        <v>#N/A</v>
      </c>
      <c r="O87" s="213" t="e">
        <f ca="1">IFERROR(INDEX(PREVS_SMAP!$D$132:$Q$134,MATCH(Propagações_TOT_ITAIPU!O$2,PREVS_SMAP!$A$132:$A$134,0),MATCH(Propagações_TOT_ITAIPU!$A87,PREVS_SMAP!$D$131:$Q$131,0)),INDEX(INDIRECT("PREVIVAZ!$C$"&amp;O$6+1&amp;":$N$"&amp;O$6+1&amp;""),1,MATCH($A87,PREVIVAZ!$C$1:$N$1,1)))</f>
        <v>#N/A</v>
      </c>
      <c r="P87" s="213" t="e">
        <f ca="1">IFERROR(INDEX(PREVS_SMAP!$D$132:$Q$134,MATCH(Propagações_TOT_ITAIPU!P$2,PREVS_SMAP!$A$132:$A$134,0),MATCH(Propagações_TOT_ITAIPU!$A87,PREVS_SMAP!$D$131:$Q$131,0)),INDEX(INDIRECT("PREVIVAZ!$C$"&amp;P$6+1&amp;":$N$"&amp;P$6+1&amp;""),1,MATCH($A87,PREVIVAZ!$C$1:$N$1,1)))</f>
        <v>#N/A</v>
      </c>
      <c r="Q87" s="213" t="e">
        <f ca="1">IFERROR(INDEX(PREVS_SMAP!$D$132:$Q$134,MATCH(Propagações_TOT_ITAIPU!Q$2,PREVS_SMAP!$A$132:$A$134,0),MATCH(Propagações_TOT_ITAIPU!$A87,PREVS_SMAP!$D$131:$Q$131,0)),INDEX(INDIRECT("PREVIVAZ!$C$"&amp;Q$6+1&amp;":$N$"&amp;Q$6+1&amp;""),1,MATCH($A87,PREVIVAZ!$C$1:$N$1,1)))</f>
        <v>#N/A</v>
      </c>
      <c r="R87" s="211" t="e">
        <f t="shared" ca="1" si="10"/>
        <v>#N/A</v>
      </c>
      <c r="S87" s="214" t="e">
        <f t="shared" ca="1" si="11"/>
        <v>#N/A</v>
      </c>
      <c r="T87" s="214" t="e">
        <f t="shared" ca="1" si="12"/>
        <v>#N/A</v>
      </c>
      <c r="U87" s="215" t="e">
        <f t="shared" ca="1" si="13"/>
        <v>#N/A</v>
      </c>
      <c r="V87" s="214" t="e">
        <f t="shared" ca="1" si="14"/>
        <v>#N/A</v>
      </c>
      <c r="W87" s="214" t="e">
        <f t="shared" ca="1" si="15"/>
        <v>#N/A</v>
      </c>
      <c r="X87" s="216"/>
      <c r="Y87" s="211" t="e">
        <f ca="1">Propagações_TOT_GRANDE!AP87</f>
        <v>#N/A</v>
      </c>
      <c r="Z87" s="211" t="e">
        <f ca="1">Propagações_TOT_PARANAIBA!AJ87</f>
        <v>#N/A</v>
      </c>
      <c r="AA87" s="213" t="e">
        <f ca="1">IFERROR(INDEX(PREVS_SMAP!$AU$28:$BA$347,MATCH(Propagações_TOT_ITAIPU!AA$2,PREVS_SMAP!$R$28:$R$347,0),MATCH(Propagações_TOT_ITAIPU!$A87,PREVS_SMAP!$AU$27:$BA$27,0)),INDEX(INDIRECT("PREVIVAZ!$C$"&amp;$AA$2+1&amp;":$N$"&amp;$AA$2+1&amp;""),1,MATCH($A87,PREVIVAZ!$C$1:$N$1,1)))</f>
        <v>#N/A</v>
      </c>
      <c r="AB87" s="213" t="e">
        <f ca="1">IFERROR(INDEX(PREVS_SMAP!$AU$28:$BA$347,MATCH(Propagações_TOT_ITAIPU!AB$2,PREVS_SMAP!$R$28:$R$347,0),MATCH(Propagações_TOT_ITAIPU!$A87,PREVS_SMAP!$AU$27:$BA$27,0)),INDEX(INDIRECT("PREVIVAZ!$C$"&amp;AB$2+1&amp;":$N$"&amp;AB$2+1&amp;""),1,MATCH($A87,PREVIVAZ!$C$1:$N$1,1)))</f>
        <v>#N/A</v>
      </c>
      <c r="AC87" s="213" t="e">
        <f ca="1">IFERROR(INDEX(PREVS_SMAP!$AU$28:$BA$347,MATCH(Propagações_TOT_ITAIPU!AC$2,PREVS_SMAP!$R$28:$R$347,0),MATCH(Propagações_TOT_ITAIPU!$A87,PREVS_SMAP!$AU$27:$BA$27,0)),INDEX(INDIRECT("PREVIVAZ!$C$"&amp;AC$2+1&amp;":$N$"&amp;AC$2+1&amp;""),1,MATCH($A87,PREVIVAZ!$C$1:$N$1,1)))</f>
        <v>#N/A</v>
      </c>
      <c r="AE87" s="272" t="e">
        <f ca="1">Propagações_TOT_TIETE!$X87</f>
        <v>#N/A</v>
      </c>
    </row>
    <row r="88" spans="1:31" s="272" customFormat="1" x14ac:dyDescent="0.2">
      <c r="A88" s="273">
        <f t="shared" ca="1" si="9"/>
        <v>43887</v>
      </c>
      <c r="B88" s="53"/>
      <c r="C88" s="53"/>
      <c r="D88" s="52"/>
      <c r="E88" s="279" t="e">
        <f ca="1">INDEX(RESULTADOS!$A:$BA,MATCH($A88,RESULTADOS!$A:$A,0),MATCH(E$1,RESULTADOS!$1:$1,0))</f>
        <v>#N/A</v>
      </c>
      <c r="F88" s="279" t="e">
        <f ca="1">INDEX(RESULTADOS!$A:$BA,MATCH($A88,RESULTADOS!$A:$A,0),MATCH(F$1,RESULTADOS!$1:$1,0))</f>
        <v>#N/A</v>
      </c>
      <c r="G88" s="279" t="e">
        <f ca="1">INDEX(RESULTADOS!$A:$BA,MATCH($A88,RESULTADOS!$A:$A,0),MATCH(G$1,RESULTADOS!$1:$1,0))</f>
        <v>#N/A</v>
      </c>
      <c r="H88" s="279" t="e">
        <f ca="1">INDEX(RESULTADOS!$A:$BA,MATCH($A88,RESULTADOS!$A:$A,0),MATCH(H$1,RESULTADOS!$1:$1,0))</f>
        <v>#N/A</v>
      </c>
      <c r="I88" s="279" t="e">
        <f ca="1">INDEX(RESULTADOS!$A:$BA,MATCH($A88,RESULTADOS!$A:$A,0),MATCH(I$1,RESULTADOS!$1:$1,0))</f>
        <v>#N/A</v>
      </c>
      <c r="J88" s="51" t="e">
        <f t="shared" ca="1" si="17"/>
        <v>#N/A</v>
      </c>
      <c r="M88" s="211" t="e">
        <f ca="1">Propagações_TOT_PARANAPANEMA!AB88</f>
        <v>#N/A</v>
      </c>
      <c r="N88" s="213" t="e">
        <f ca="1">IFERROR(INDEX(PREVS_SMAP!$D$132:$Q$134,MATCH(Propagações_TOT_ITAIPU!N$2,PREVS_SMAP!$A$132:$A$134,0),MATCH(Propagações_TOT_ITAIPU!$A88,PREVS_SMAP!$D$131:$Q$131,0)),INDEX(INDIRECT("PREVIVAZ!$C$"&amp;N$6+1&amp;":$N$"&amp;N$6+1&amp;""),1,MATCH($A88,PREVIVAZ!$C$1:$N$1,1)))</f>
        <v>#N/A</v>
      </c>
      <c r="O88" s="213" t="e">
        <f ca="1">IFERROR(INDEX(PREVS_SMAP!$D$132:$Q$134,MATCH(Propagações_TOT_ITAIPU!O$2,PREVS_SMAP!$A$132:$A$134,0),MATCH(Propagações_TOT_ITAIPU!$A88,PREVS_SMAP!$D$131:$Q$131,0)),INDEX(INDIRECT("PREVIVAZ!$C$"&amp;O$6+1&amp;":$N$"&amp;O$6+1&amp;""),1,MATCH($A88,PREVIVAZ!$C$1:$N$1,1)))</f>
        <v>#N/A</v>
      </c>
      <c r="P88" s="213" t="e">
        <f ca="1">IFERROR(INDEX(PREVS_SMAP!$D$132:$Q$134,MATCH(Propagações_TOT_ITAIPU!P$2,PREVS_SMAP!$A$132:$A$134,0),MATCH(Propagações_TOT_ITAIPU!$A88,PREVS_SMAP!$D$131:$Q$131,0)),INDEX(INDIRECT("PREVIVAZ!$C$"&amp;P$6+1&amp;":$N$"&amp;P$6+1&amp;""),1,MATCH($A88,PREVIVAZ!$C$1:$N$1,1)))</f>
        <v>#N/A</v>
      </c>
      <c r="Q88" s="213" t="e">
        <f ca="1">IFERROR(INDEX(PREVS_SMAP!$D$132:$Q$134,MATCH(Propagações_TOT_ITAIPU!Q$2,PREVS_SMAP!$A$132:$A$134,0),MATCH(Propagações_TOT_ITAIPU!$A88,PREVS_SMAP!$D$131:$Q$131,0)),INDEX(INDIRECT("PREVIVAZ!$C$"&amp;Q$6+1&amp;":$N$"&amp;Q$6+1&amp;""),1,MATCH($A88,PREVIVAZ!$C$1:$N$1,1)))</f>
        <v>#N/A</v>
      </c>
      <c r="R88" s="211" t="e">
        <f t="shared" ca="1" si="10"/>
        <v>#N/A</v>
      </c>
      <c r="S88" s="214" t="e">
        <f t="shared" ca="1" si="11"/>
        <v>#N/A</v>
      </c>
      <c r="T88" s="214" t="e">
        <f t="shared" ca="1" si="12"/>
        <v>#N/A</v>
      </c>
      <c r="U88" s="215" t="e">
        <f t="shared" ca="1" si="13"/>
        <v>#N/A</v>
      </c>
      <c r="V88" s="214" t="e">
        <f t="shared" ca="1" si="14"/>
        <v>#N/A</v>
      </c>
      <c r="W88" s="214" t="e">
        <f t="shared" ca="1" si="15"/>
        <v>#N/A</v>
      </c>
      <c r="X88" s="216"/>
      <c r="Y88" s="211" t="e">
        <f ca="1">Propagações_TOT_GRANDE!AP88</f>
        <v>#N/A</v>
      </c>
      <c r="Z88" s="211" t="e">
        <f ca="1">Propagações_TOT_PARANAIBA!AJ88</f>
        <v>#N/A</v>
      </c>
      <c r="AA88" s="213" t="e">
        <f ca="1">IFERROR(INDEX(PREVS_SMAP!$AU$28:$BA$347,MATCH(Propagações_TOT_ITAIPU!AA$2,PREVS_SMAP!$R$28:$R$347,0),MATCH(Propagações_TOT_ITAIPU!$A88,PREVS_SMAP!$AU$27:$BA$27,0)),INDEX(INDIRECT("PREVIVAZ!$C$"&amp;$AA$2+1&amp;":$N$"&amp;$AA$2+1&amp;""),1,MATCH($A88,PREVIVAZ!$C$1:$N$1,1)))</f>
        <v>#N/A</v>
      </c>
      <c r="AB88" s="213" t="e">
        <f ca="1">IFERROR(INDEX(PREVS_SMAP!$AU$28:$BA$347,MATCH(Propagações_TOT_ITAIPU!AB$2,PREVS_SMAP!$R$28:$R$347,0),MATCH(Propagações_TOT_ITAIPU!$A88,PREVS_SMAP!$AU$27:$BA$27,0)),INDEX(INDIRECT("PREVIVAZ!$C$"&amp;AB$2+1&amp;":$N$"&amp;AB$2+1&amp;""),1,MATCH($A88,PREVIVAZ!$C$1:$N$1,1)))</f>
        <v>#N/A</v>
      </c>
      <c r="AC88" s="213" t="e">
        <f ca="1">IFERROR(INDEX(PREVS_SMAP!$AU$28:$BA$347,MATCH(Propagações_TOT_ITAIPU!AC$2,PREVS_SMAP!$R$28:$R$347,0),MATCH(Propagações_TOT_ITAIPU!$A88,PREVS_SMAP!$AU$27:$BA$27,0)),INDEX(INDIRECT("PREVIVAZ!$C$"&amp;AC$2+1&amp;":$N$"&amp;AC$2+1&amp;""),1,MATCH($A88,PREVIVAZ!$C$1:$N$1,1)))</f>
        <v>#N/A</v>
      </c>
      <c r="AE88" s="272" t="e">
        <f ca="1">Propagações_TOT_TIETE!$X88</f>
        <v>#N/A</v>
      </c>
    </row>
    <row r="89" spans="1:31" s="272" customFormat="1" x14ac:dyDescent="0.2">
      <c r="A89" s="273">
        <f t="shared" ca="1" si="9"/>
        <v>43888</v>
      </c>
      <c r="B89" s="53"/>
      <c r="C89" s="53"/>
      <c r="D89" s="52"/>
      <c r="E89" s="279" t="e">
        <f ca="1">INDEX(RESULTADOS!$A:$BA,MATCH($A89,RESULTADOS!$A:$A,0),MATCH(E$1,RESULTADOS!$1:$1,0))</f>
        <v>#N/A</v>
      </c>
      <c r="F89" s="279" t="e">
        <f ca="1">INDEX(RESULTADOS!$A:$BA,MATCH($A89,RESULTADOS!$A:$A,0),MATCH(F$1,RESULTADOS!$1:$1,0))</f>
        <v>#N/A</v>
      </c>
      <c r="G89" s="279" t="e">
        <f ca="1">INDEX(RESULTADOS!$A:$BA,MATCH($A89,RESULTADOS!$A:$A,0),MATCH(G$1,RESULTADOS!$1:$1,0))</f>
        <v>#N/A</v>
      </c>
      <c r="H89" s="279" t="e">
        <f ca="1">INDEX(RESULTADOS!$A:$BA,MATCH($A89,RESULTADOS!$A:$A,0),MATCH(H$1,RESULTADOS!$1:$1,0))</f>
        <v>#N/A</v>
      </c>
      <c r="I89" s="279" t="e">
        <f ca="1">INDEX(RESULTADOS!$A:$BA,MATCH($A89,RESULTADOS!$A:$A,0),MATCH(I$1,RESULTADOS!$1:$1,0))</f>
        <v>#N/A</v>
      </c>
      <c r="J89" s="51" t="e">
        <f t="shared" ca="1" si="17"/>
        <v>#N/A</v>
      </c>
      <c r="M89" s="211" t="e">
        <f ca="1">Propagações_TOT_PARANAPANEMA!AB89</f>
        <v>#N/A</v>
      </c>
      <c r="N89" s="213" t="e">
        <f ca="1">IFERROR(INDEX(PREVS_SMAP!$D$132:$Q$134,MATCH(Propagações_TOT_ITAIPU!N$2,PREVS_SMAP!$A$132:$A$134,0),MATCH(Propagações_TOT_ITAIPU!$A89,PREVS_SMAP!$D$131:$Q$131,0)),INDEX(INDIRECT("PREVIVAZ!$C$"&amp;N$6+1&amp;":$N$"&amp;N$6+1&amp;""),1,MATCH($A89,PREVIVAZ!$C$1:$N$1,1)))</f>
        <v>#N/A</v>
      </c>
      <c r="O89" s="213" t="e">
        <f ca="1">IFERROR(INDEX(PREVS_SMAP!$D$132:$Q$134,MATCH(Propagações_TOT_ITAIPU!O$2,PREVS_SMAP!$A$132:$A$134,0),MATCH(Propagações_TOT_ITAIPU!$A89,PREVS_SMAP!$D$131:$Q$131,0)),INDEX(INDIRECT("PREVIVAZ!$C$"&amp;O$6+1&amp;":$N$"&amp;O$6+1&amp;""),1,MATCH($A89,PREVIVAZ!$C$1:$N$1,1)))</f>
        <v>#N/A</v>
      </c>
      <c r="P89" s="213" t="e">
        <f ca="1">IFERROR(INDEX(PREVS_SMAP!$D$132:$Q$134,MATCH(Propagações_TOT_ITAIPU!P$2,PREVS_SMAP!$A$132:$A$134,0),MATCH(Propagações_TOT_ITAIPU!$A89,PREVS_SMAP!$D$131:$Q$131,0)),INDEX(INDIRECT("PREVIVAZ!$C$"&amp;P$6+1&amp;":$N$"&amp;P$6+1&amp;""),1,MATCH($A89,PREVIVAZ!$C$1:$N$1,1)))</f>
        <v>#N/A</v>
      </c>
      <c r="Q89" s="213" t="e">
        <f ca="1">IFERROR(INDEX(PREVS_SMAP!$D$132:$Q$134,MATCH(Propagações_TOT_ITAIPU!Q$2,PREVS_SMAP!$A$132:$A$134,0),MATCH(Propagações_TOT_ITAIPU!$A89,PREVS_SMAP!$D$131:$Q$131,0)),INDEX(INDIRECT("PREVIVAZ!$C$"&amp;Q$6+1&amp;":$N$"&amp;Q$6+1&amp;""),1,MATCH($A89,PREVIVAZ!$C$1:$N$1,1)))</f>
        <v>#N/A</v>
      </c>
      <c r="R89" s="211" t="e">
        <f t="shared" ca="1" si="10"/>
        <v>#N/A</v>
      </c>
      <c r="S89" s="214" t="e">
        <f t="shared" ca="1" si="11"/>
        <v>#N/A</v>
      </c>
      <c r="T89" s="214" t="e">
        <f t="shared" ca="1" si="12"/>
        <v>#N/A</v>
      </c>
      <c r="U89" s="215" t="e">
        <f t="shared" ca="1" si="13"/>
        <v>#N/A</v>
      </c>
      <c r="V89" s="214" t="e">
        <f t="shared" ca="1" si="14"/>
        <v>#N/A</v>
      </c>
      <c r="W89" s="214" t="e">
        <f t="shared" ca="1" si="15"/>
        <v>#N/A</v>
      </c>
      <c r="X89" s="216"/>
      <c r="Y89" s="211" t="e">
        <f ca="1">Propagações_TOT_GRANDE!AP89</f>
        <v>#N/A</v>
      </c>
      <c r="Z89" s="211" t="e">
        <f ca="1">Propagações_TOT_PARANAIBA!AJ89</f>
        <v>#N/A</v>
      </c>
      <c r="AA89" s="213" t="e">
        <f ca="1">IFERROR(INDEX(PREVS_SMAP!$AU$28:$BA$347,MATCH(Propagações_TOT_ITAIPU!AA$2,PREVS_SMAP!$R$28:$R$347,0),MATCH(Propagações_TOT_ITAIPU!$A89,PREVS_SMAP!$AU$27:$BA$27,0)),INDEX(INDIRECT("PREVIVAZ!$C$"&amp;$AA$2+1&amp;":$N$"&amp;$AA$2+1&amp;""),1,MATCH($A89,PREVIVAZ!$C$1:$N$1,1)))</f>
        <v>#N/A</v>
      </c>
      <c r="AB89" s="213" t="e">
        <f ca="1">IFERROR(INDEX(PREVS_SMAP!$AU$28:$BA$347,MATCH(Propagações_TOT_ITAIPU!AB$2,PREVS_SMAP!$R$28:$R$347,0),MATCH(Propagações_TOT_ITAIPU!$A89,PREVS_SMAP!$AU$27:$BA$27,0)),INDEX(INDIRECT("PREVIVAZ!$C$"&amp;AB$2+1&amp;":$N$"&amp;AB$2+1&amp;""),1,MATCH($A89,PREVIVAZ!$C$1:$N$1,1)))</f>
        <v>#N/A</v>
      </c>
      <c r="AC89" s="213" t="e">
        <f ca="1">IFERROR(INDEX(PREVS_SMAP!$AU$28:$BA$347,MATCH(Propagações_TOT_ITAIPU!AC$2,PREVS_SMAP!$R$28:$R$347,0),MATCH(Propagações_TOT_ITAIPU!$A89,PREVS_SMAP!$AU$27:$BA$27,0)),INDEX(INDIRECT("PREVIVAZ!$C$"&amp;AC$2+1&amp;":$N$"&amp;AC$2+1&amp;""),1,MATCH($A89,PREVIVAZ!$C$1:$N$1,1)))</f>
        <v>#N/A</v>
      </c>
      <c r="AE89" s="272" t="e">
        <f ca="1">Propagações_TOT_TIETE!$X89</f>
        <v>#N/A</v>
      </c>
    </row>
    <row r="90" spans="1:31" s="272" customFormat="1" x14ac:dyDescent="0.2">
      <c r="A90" s="273">
        <f t="shared" ca="1" si="9"/>
        <v>43889</v>
      </c>
      <c r="B90" s="53"/>
      <c r="C90" s="53"/>
      <c r="D90" s="52"/>
      <c r="E90" s="279" t="e">
        <f ca="1">INDEX(RESULTADOS!$A:$BA,MATCH($A90,RESULTADOS!$A:$A,0),MATCH(E$1,RESULTADOS!$1:$1,0))</f>
        <v>#N/A</v>
      </c>
      <c r="F90" s="279" t="e">
        <f ca="1">INDEX(RESULTADOS!$A:$BA,MATCH($A90,RESULTADOS!$A:$A,0),MATCH(F$1,RESULTADOS!$1:$1,0))</f>
        <v>#N/A</v>
      </c>
      <c r="G90" s="279" t="e">
        <f ca="1">INDEX(RESULTADOS!$A:$BA,MATCH($A90,RESULTADOS!$A:$A,0),MATCH(G$1,RESULTADOS!$1:$1,0))</f>
        <v>#N/A</v>
      </c>
      <c r="H90" s="279" t="e">
        <f ca="1">INDEX(RESULTADOS!$A:$BA,MATCH($A90,RESULTADOS!$A:$A,0),MATCH(H$1,RESULTADOS!$1:$1,0))</f>
        <v>#N/A</v>
      </c>
      <c r="I90" s="279" t="e">
        <f ca="1">INDEX(RESULTADOS!$A:$BA,MATCH($A90,RESULTADOS!$A:$A,0),MATCH(I$1,RESULTADOS!$1:$1,0))</f>
        <v>#N/A</v>
      </c>
      <c r="J90" s="51" t="e">
        <f t="shared" ca="1" si="17"/>
        <v>#N/A</v>
      </c>
      <c r="M90" s="211" t="e">
        <f ca="1">Propagações_TOT_PARANAPANEMA!AB90</f>
        <v>#N/A</v>
      </c>
      <c r="N90" s="213" t="e">
        <f ca="1">IFERROR(INDEX(PREVS_SMAP!$D$132:$Q$134,MATCH(Propagações_TOT_ITAIPU!N$2,PREVS_SMAP!$A$132:$A$134,0),MATCH(Propagações_TOT_ITAIPU!$A90,PREVS_SMAP!$D$131:$Q$131,0)),INDEX(INDIRECT("PREVIVAZ!$C$"&amp;N$6+1&amp;":$N$"&amp;N$6+1&amp;""),1,MATCH($A90,PREVIVAZ!$C$1:$N$1,1)))</f>
        <v>#N/A</v>
      </c>
      <c r="O90" s="213" t="e">
        <f ca="1">IFERROR(INDEX(PREVS_SMAP!$D$132:$Q$134,MATCH(Propagações_TOT_ITAIPU!O$2,PREVS_SMAP!$A$132:$A$134,0),MATCH(Propagações_TOT_ITAIPU!$A90,PREVS_SMAP!$D$131:$Q$131,0)),INDEX(INDIRECT("PREVIVAZ!$C$"&amp;O$6+1&amp;":$N$"&amp;O$6+1&amp;""),1,MATCH($A90,PREVIVAZ!$C$1:$N$1,1)))</f>
        <v>#N/A</v>
      </c>
      <c r="P90" s="213" t="e">
        <f ca="1">IFERROR(INDEX(PREVS_SMAP!$D$132:$Q$134,MATCH(Propagações_TOT_ITAIPU!P$2,PREVS_SMAP!$A$132:$A$134,0),MATCH(Propagações_TOT_ITAIPU!$A90,PREVS_SMAP!$D$131:$Q$131,0)),INDEX(INDIRECT("PREVIVAZ!$C$"&amp;P$6+1&amp;":$N$"&amp;P$6+1&amp;""),1,MATCH($A90,PREVIVAZ!$C$1:$N$1,1)))</f>
        <v>#N/A</v>
      </c>
      <c r="Q90" s="213" t="e">
        <f ca="1">IFERROR(INDEX(PREVS_SMAP!$D$132:$Q$134,MATCH(Propagações_TOT_ITAIPU!Q$2,PREVS_SMAP!$A$132:$A$134,0),MATCH(Propagações_TOT_ITAIPU!$A90,PREVS_SMAP!$D$131:$Q$131,0)),INDEX(INDIRECT("PREVIVAZ!$C$"&amp;Q$6+1&amp;":$N$"&amp;Q$6+1&amp;""),1,MATCH($A90,PREVIVAZ!$C$1:$N$1,1)))</f>
        <v>#N/A</v>
      </c>
      <c r="R90" s="211" t="e">
        <f t="shared" ca="1" si="10"/>
        <v>#N/A</v>
      </c>
      <c r="S90" s="214" t="e">
        <f t="shared" ca="1" si="11"/>
        <v>#N/A</v>
      </c>
      <c r="T90" s="214" t="e">
        <f t="shared" ca="1" si="12"/>
        <v>#N/A</v>
      </c>
      <c r="U90" s="215" t="e">
        <f t="shared" ca="1" si="13"/>
        <v>#N/A</v>
      </c>
      <c r="V90" s="214" t="e">
        <f t="shared" ca="1" si="14"/>
        <v>#N/A</v>
      </c>
      <c r="W90" s="214" t="e">
        <f t="shared" ca="1" si="15"/>
        <v>#N/A</v>
      </c>
      <c r="X90" s="216"/>
      <c r="Y90" s="211" t="e">
        <f ca="1">Propagações_TOT_GRANDE!AP90</f>
        <v>#N/A</v>
      </c>
      <c r="Z90" s="211" t="e">
        <f ca="1">Propagações_TOT_PARANAIBA!AJ90</f>
        <v>#N/A</v>
      </c>
      <c r="AA90" s="213" t="e">
        <f ca="1">IFERROR(INDEX(PREVS_SMAP!$AU$28:$BA$347,MATCH(Propagações_TOT_ITAIPU!AA$2,PREVS_SMAP!$R$28:$R$347,0),MATCH(Propagações_TOT_ITAIPU!$A90,PREVS_SMAP!$AU$27:$BA$27,0)),INDEX(INDIRECT("PREVIVAZ!$C$"&amp;$AA$2+1&amp;":$N$"&amp;$AA$2+1&amp;""),1,MATCH($A90,PREVIVAZ!$C$1:$N$1,1)))</f>
        <v>#N/A</v>
      </c>
      <c r="AB90" s="213" t="e">
        <f ca="1">IFERROR(INDEX(PREVS_SMAP!$AU$28:$BA$347,MATCH(Propagações_TOT_ITAIPU!AB$2,PREVS_SMAP!$R$28:$R$347,0),MATCH(Propagações_TOT_ITAIPU!$A90,PREVS_SMAP!$AU$27:$BA$27,0)),INDEX(INDIRECT("PREVIVAZ!$C$"&amp;AB$2+1&amp;":$N$"&amp;AB$2+1&amp;""),1,MATCH($A90,PREVIVAZ!$C$1:$N$1,1)))</f>
        <v>#N/A</v>
      </c>
      <c r="AC90" s="213" t="e">
        <f ca="1">IFERROR(INDEX(PREVS_SMAP!$AU$28:$BA$347,MATCH(Propagações_TOT_ITAIPU!AC$2,PREVS_SMAP!$R$28:$R$347,0),MATCH(Propagações_TOT_ITAIPU!$A90,PREVS_SMAP!$AU$27:$BA$27,0)),INDEX(INDIRECT("PREVIVAZ!$C$"&amp;AC$2+1&amp;":$N$"&amp;AC$2+1&amp;""),1,MATCH($A90,PREVIVAZ!$C$1:$N$1,1)))</f>
        <v>#N/A</v>
      </c>
      <c r="AE90" s="272" t="e">
        <f ca="1">Propagações_TOT_TIETE!$X90</f>
        <v>#N/A</v>
      </c>
    </row>
    <row r="91" spans="1:31" s="272" customFormat="1" x14ac:dyDescent="0.2">
      <c r="A91" s="273">
        <f t="shared" ca="1" si="9"/>
        <v>43890</v>
      </c>
      <c r="B91" s="53"/>
      <c r="C91" s="53"/>
      <c r="D91" s="52"/>
      <c r="E91" s="279" t="e">
        <f ca="1">INDEX(RESULTADOS!$A:$BA,MATCH($A91,RESULTADOS!$A:$A,0),MATCH(E$1,RESULTADOS!$1:$1,0))</f>
        <v>#N/A</v>
      </c>
      <c r="F91" s="279" t="e">
        <f ca="1">INDEX(RESULTADOS!$A:$BA,MATCH($A91,RESULTADOS!$A:$A,0),MATCH(F$1,RESULTADOS!$1:$1,0))</f>
        <v>#N/A</v>
      </c>
      <c r="G91" s="279" t="e">
        <f ca="1">INDEX(RESULTADOS!$A:$BA,MATCH($A91,RESULTADOS!$A:$A,0),MATCH(G$1,RESULTADOS!$1:$1,0))</f>
        <v>#N/A</v>
      </c>
      <c r="H91" s="279" t="e">
        <f ca="1">INDEX(RESULTADOS!$A:$BA,MATCH($A91,RESULTADOS!$A:$A,0),MATCH(H$1,RESULTADOS!$1:$1,0))</f>
        <v>#N/A</v>
      </c>
      <c r="I91" s="279" t="e">
        <f ca="1">INDEX(RESULTADOS!$A:$BA,MATCH($A91,RESULTADOS!$A:$A,0),MATCH(I$1,RESULTADOS!$1:$1,0))</f>
        <v>#N/A</v>
      </c>
      <c r="J91" s="51" t="e">
        <f t="shared" ca="1" si="17"/>
        <v>#N/A</v>
      </c>
      <c r="M91" s="211" t="e">
        <f ca="1">Propagações_TOT_PARANAPANEMA!AB91</f>
        <v>#N/A</v>
      </c>
      <c r="N91" s="213" t="e">
        <f ca="1">IFERROR(INDEX(PREVS_SMAP!$D$132:$Q$134,MATCH(Propagações_TOT_ITAIPU!N$2,PREVS_SMAP!$A$132:$A$134,0),MATCH(Propagações_TOT_ITAIPU!$A91,PREVS_SMAP!$D$131:$Q$131,0)),INDEX(INDIRECT("PREVIVAZ!$C$"&amp;N$6+1&amp;":$N$"&amp;N$6+1&amp;""),1,MATCH($A91,PREVIVAZ!$C$1:$N$1,1)))</f>
        <v>#N/A</v>
      </c>
      <c r="O91" s="213" t="e">
        <f ca="1">IFERROR(INDEX(PREVS_SMAP!$D$132:$Q$134,MATCH(Propagações_TOT_ITAIPU!O$2,PREVS_SMAP!$A$132:$A$134,0),MATCH(Propagações_TOT_ITAIPU!$A91,PREVS_SMAP!$D$131:$Q$131,0)),INDEX(INDIRECT("PREVIVAZ!$C$"&amp;O$6+1&amp;":$N$"&amp;O$6+1&amp;""),1,MATCH($A91,PREVIVAZ!$C$1:$N$1,1)))</f>
        <v>#N/A</v>
      </c>
      <c r="P91" s="213" t="e">
        <f ca="1">IFERROR(INDEX(PREVS_SMAP!$D$132:$Q$134,MATCH(Propagações_TOT_ITAIPU!P$2,PREVS_SMAP!$A$132:$A$134,0),MATCH(Propagações_TOT_ITAIPU!$A91,PREVS_SMAP!$D$131:$Q$131,0)),INDEX(INDIRECT("PREVIVAZ!$C$"&amp;P$6+1&amp;":$N$"&amp;P$6+1&amp;""),1,MATCH($A91,PREVIVAZ!$C$1:$N$1,1)))</f>
        <v>#N/A</v>
      </c>
      <c r="Q91" s="213" t="e">
        <f ca="1">IFERROR(INDEX(PREVS_SMAP!$D$132:$Q$134,MATCH(Propagações_TOT_ITAIPU!Q$2,PREVS_SMAP!$A$132:$A$134,0),MATCH(Propagações_TOT_ITAIPU!$A91,PREVS_SMAP!$D$131:$Q$131,0)),INDEX(INDIRECT("PREVIVAZ!$C$"&amp;Q$6+1&amp;":$N$"&amp;Q$6+1&amp;""),1,MATCH($A91,PREVIVAZ!$C$1:$N$1,1)))</f>
        <v>#N/A</v>
      </c>
      <c r="R91" s="211" t="e">
        <f t="shared" ca="1" si="10"/>
        <v>#N/A</v>
      </c>
      <c r="S91" s="214" t="e">
        <f t="shared" ca="1" si="11"/>
        <v>#N/A</v>
      </c>
      <c r="T91" s="214" t="e">
        <f t="shared" ca="1" si="12"/>
        <v>#N/A</v>
      </c>
      <c r="U91" s="215" t="e">
        <f t="shared" ca="1" si="13"/>
        <v>#N/A</v>
      </c>
      <c r="V91" s="214" t="e">
        <f t="shared" ca="1" si="14"/>
        <v>#N/A</v>
      </c>
      <c r="W91" s="214" t="e">
        <f t="shared" ca="1" si="15"/>
        <v>#N/A</v>
      </c>
      <c r="X91" s="216"/>
      <c r="Y91" s="211" t="e">
        <f ca="1">Propagações_TOT_GRANDE!AP91</f>
        <v>#N/A</v>
      </c>
      <c r="Z91" s="211" t="e">
        <f ca="1">Propagações_TOT_PARANAIBA!AJ91</f>
        <v>#N/A</v>
      </c>
      <c r="AA91" s="213" t="e">
        <f ca="1">IFERROR(INDEX(PREVS_SMAP!$AU$28:$BA$347,MATCH(Propagações_TOT_ITAIPU!AA$2,PREVS_SMAP!$R$28:$R$347,0),MATCH(Propagações_TOT_ITAIPU!$A91,PREVS_SMAP!$AU$27:$BA$27,0)),INDEX(INDIRECT("PREVIVAZ!$C$"&amp;$AA$2+1&amp;":$N$"&amp;$AA$2+1&amp;""),1,MATCH($A91,PREVIVAZ!$C$1:$N$1,1)))</f>
        <v>#N/A</v>
      </c>
      <c r="AB91" s="213" t="e">
        <f ca="1">IFERROR(INDEX(PREVS_SMAP!$AU$28:$BA$347,MATCH(Propagações_TOT_ITAIPU!AB$2,PREVS_SMAP!$R$28:$R$347,0),MATCH(Propagações_TOT_ITAIPU!$A91,PREVS_SMAP!$AU$27:$BA$27,0)),INDEX(INDIRECT("PREVIVAZ!$C$"&amp;AB$2+1&amp;":$N$"&amp;AB$2+1&amp;""),1,MATCH($A91,PREVIVAZ!$C$1:$N$1,1)))</f>
        <v>#N/A</v>
      </c>
      <c r="AC91" s="213" t="e">
        <f ca="1">IFERROR(INDEX(PREVS_SMAP!$AU$28:$BA$347,MATCH(Propagações_TOT_ITAIPU!AC$2,PREVS_SMAP!$R$28:$R$347,0),MATCH(Propagações_TOT_ITAIPU!$A91,PREVS_SMAP!$AU$27:$BA$27,0)),INDEX(INDIRECT("PREVIVAZ!$C$"&amp;AC$2+1&amp;":$N$"&amp;AC$2+1&amp;""),1,MATCH($A91,PREVIVAZ!$C$1:$N$1,1)))</f>
        <v>#N/A</v>
      </c>
      <c r="AE91" s="272" t="e">
        <f ca="1">Propagações_TOT_TIETE!$X91</f>
        <v>#N/A</v>
      </c>
    </row>
    <row r="92" spans="1:31" s="272" customFormat="1" x14ac:dyDescent="0.2">
      <c r="A92" s="273">
        <f t="shared" ca="1" si="9"/>
        <v>43891</v>
      </c>
      <c r="B92" s="53"/>
      <c r="C92" s="53"/>
      <c r="D92" s="52"/>
      <c r="E92" s="279" t="e">
        <f ca="1">INDEX(RESULTADOS!$A:$BA,MATCH($A92,RESULTADOS!$A:$A,0),MATCH(E$1,RESULTADOS!$1:$1,0))</f>
        <v>#N/A</v>
      </c>
      <c r="F92" s="279" t="e">
        <f ca="1">INDEX(RESULTADOS!$A:$BA,MATCH($A92,RESULTADOS!$A:$A,0),MATCH(F$1,RESULTADOS!$1:$1,0))</f>
        <v>#N/A</v>
      </c>
      <c r="G92" s="279" t="e">
        <f ca="1">INDEX(RESULTADOS!$A:$BA,MATCH($A92,RESULTADOS!$A:$A,0),MATCH(G$1,RESULTADOS!$1:$1,0))</f>
        <v>#N/A</v>
      </c>
      <c r="H92" s="279" t="e">
        <f ca="1">INDEX(RESULTADOS!$A:$BA,MATCH($A92,RESULTADOS!$A:$A,0),MATCH(H$1,RESULTADOS!$1:$1,0))</f>
        <v>#N/A</v>
      </c>
      <c r="I92" s="279" t="e">
        <f ca="1">INDEX(RESULTADOS!$A:$BA,MATCH($A92,RESULTADOS!$A:$A,0),MATCH(I$1,RESULTADOS!$1:$1,0))</f>
        <v>#N/A</v>
      </c>
      <c r="J92" s="51" t="e">
        <f t="shared" ca="1" si="17"/>
        <v>#N/A</v>
      </c>
      <c r="M92" s="211" t="e">
        <f ca="1">Propagações_TOT_PARANAPANEMA!AB92</f>
        <v>#N/A</v>
      </c>
      <c r="N92" s="213" t="e">
        <f ca="1">IFERROR(INDEX(PREVS_SMAP!$D$132:$Q$134,MATCH(Propagações_TOT_ITAIPU!N$2,PREVS_SMAP!$A$132:$A$134,0),MATCH(Propagações_TOT_ITAIPU!$A92,PREVS_SMAP!$D$131:$Q$131,0)),INDEX(INDIRECT("PREVIVAZ!$C$"&amp;N$6+1&amp;":$N$"&amp;N$6+1&amp;""),1,MATCH($A92,PREVIVAZ!$C$1:$N$1,1)))</f>
        <v>#N/A</v>
      </c>
      <c r="O92" s="213" t="e">
        <f ca="1">IFERROR(INDEX(PREVS_SMAP!$D$132:$Q$134,MATCH(Propagações_TOT_ITAIPU!O$2,PREVS_SMAP!$A$132:$A$134,0),MATCH(Propagações_TOT_ITAIPU!$A92,PREVS_SMAP!$D$131:$Q$131,0)),INDEX(INDIRECT("PREVIVAZ!$C$"&amp;O$6+1&amp;":$N$"&amp;O$6+1&amp;""),1,MATCH($A92,PREVIVAZ!$C$1:$N$1,1)))</f>
        <v>#N/A</v>
      </c>
      <c r="P92" s="213" t="e">
        <f ca="1">IFERROR(INDEX(PREVS_SMAP!$D$132:$Q$134,MATCH(Propagações_TOT_ITAIPU!P$2,PREVS_SMAP!$A$132:$A$134,0),MATCH(Propagações_TOT_ITAIPU!$A92,PREVS_SMAP!$D$131:$Q$131,0)),INDEX(INDIRECT("PREVIVAZ!$C$"&amp;P$6+1&amp;":$N$"&amp;P$6+1&amp;""),1,MATCH($A92,PREVIVAZ!$C$1:$N$1,1)))</f>
        <v>#N/A</v>
      </c>
      <c r="Q92" s="213" t="e">
        <f ca="1">IFERROR(INDEX(PREVS_SMAP!$D$132:$Q$134,MATCH(Propagações_TOT_ITAIPU!Q$2,PREVS_SMAP!$A$132:$A$134,0),MATCH(Propagações_TOT_ITAIPU!$A92,PREVS_SMAP!$D$131:$Q$131,0)),INDEX(INDIRECT("PREVIVAZ!$C$"&amp;Q$6+1&amp;":$N$"&amp;Q$6+1&amp;""),1,MATCH($A92,PREVIVAZ!$C$1:$N$1,1)))</f>
        <v>#N/A</v>
      </c>
      <c r="R92" s="211" t="e">
        <f t="shared" ca="1" si="10"/>
        <v>#N/A</v>
      </c>
      <c r="S92" s="214" t="e">
        <f t="shared" ca="1" si="11"/>
        <v>#N/A</v>
      </c>
      <c r="T92" s="214" t="e">
        <f t="shared" ca="1" si="12"/>
        <v>#N/A</v>
      </c>
      <c r="U92" s="215" t="e">
        <f t="shared" ca="1" si="13"/>
        <v>#N/A</v>
      </c>
      <c r="V92" s="214" t="e">
        <f t="shared" ca="1" si="14"/>
        <v>#N/A</v>
      </c>
      <c r="W92" s="214" t="e">
        <f t="shared" ca="1" si="15"/>
        <v>#N/A</v>
      </c>
      <c r="X92" s="216"/>
      <c r="Y92" s="211" t="e">
        <f ca="1">Propagações_TOT_GRANDE!AP92</f>
        <v>#N/A</v>
      </c>
      <c r="Z92" s="211" t="e">
        <f ca="1">Propagações_TOT_PARANAIBA!AJ92</f>
        <v>#N/A</v>
      </c>
      <c r="AA92" s="213" t="e">
        <f ca="1">IFERROR(INDEX(PREVS_SMAP!$AU$28:$BA$347,MATCH(Propagações_TOT_ITAIPU!AA$2,PREVS_SMAP!$R$28:$R$347,0),MATCH(Propagações_TOT_ITAIPU!$A92,PREVS_SMAP!$AU$27:$BA$27,0)),INDEX(INDIRECT("PREVIVAZ!$C$"&amp;$AA$2+1&amp;":$N$"&amp;$AA$2+1&amp;""),1,MATCH($A92,PREVIVAZ!$C$1:$N$1,1)))</f>
        <v>#N/A</v>
      </c>
      <c r="AB92" s="213" t="e">
        <f ca="1">IFERROR(INDEX(PREVS_SMAP!$AU$28:$BA$347,MATCH(Propagações_TOT_ITAIPU!AB$2,PREVS_SMAP!$R$28:$R$347,0),MATCH(Propagações_TOT_ITAIPU!$A92,PREVS_SMAP!$AU$27:$BA$27,0)),INDEX(INDIRECT("PREVIVAZ!$C$"&amp;AB$2+1&amp;":$N$"&amp;AB$2+1&amp;""),1,MATCH($A92,PREVIVAZ!$C$1:$N$1,1)))</f>
        <v>#N/A</v>
      </c>
      <c r="AC92" s="213" t="e">
        <f ca="1">IFERROR(INDEX(PREVS_SMAP!$AU$28:$BA$347,MATCH(Propagações_TOT_ITAIPU!AC$2,PREVS_SMAP!$R$28:$R$347,0),MATCH(Propagações_TOT_ITAIPU!$A92,PREVS_SMAP!$AU$27:$BA$27,0)),INDEX(INDIRECT("PREVIVAZ!$C$"&amp;AC$2+1&amp;":$N$"&amp;AC$2+1&amp;""),1,MATCH($A92,PREVIVAZ!$C$1:$N$1,1)))</f>
        <v>#N/A</v>
      </c>
      <c r="AE92" s="272" t="e">
        <f ca="1">Propagações_TOT_TIETE!$X92</f>
        <v>#N/A</v>
      </c>
    </row>
    <row r="93" spans="1:31" s="272" customFormat="1" x14ac:dyDescent="0.2">
      <c r="A93" s="273">
        <f t="shared" ca="1" si="9"/>
        <v>43892</v>
      </c>
      <c r="B93" s="53"/>
      <c r="C93" s="53"/>
      <c r="D93" s="52"/>
      <c r="E93" s="279" t="e">
        <f ca="1">INDEX(RESULTADOS!$A:$BA,MATCH($A93,RESULTADOS!$A:$A,0),MATCH(E$1,RESULTADOS!$1:$1,0))</f>
        <v>#N/A</v>
      </c>
      <c r="F93" s="279" t="e">
        <f ca="1">INDEX(RESULTADOS!$A:$BA,MATCH($A93,RESULTADOS!$A:$A,0),MATCH(F$1,RESULTADOS!$1:$1,0))</f>
        <v>#N/A</v>
      </c>
      <c r="G93" s="279" t="e">
        <f ca="1">INDEX(RESULTADOS!$A:$BA,MATCH($A93,RESULTADOS!$A:$A,0),MATCH(G$1,RESULTADOS!$1:$1,0))</f>
        <v>#N/A</v>
      </c>
      <c r="H93" s="279" t="e">
        <f ca="1">INDEX(RESULTADOS!$A:$BA,MATCH($A93,RESULTADOS!$A:$A,0),MATCH(H$1,RESULTADOS!$1:$1,0))</f>
        <v>#N/A</v>
      </c>
      <c r="I93" s="279" t="e">
        <f ca="1">INDEX(RESULTADOS!$A:$BA,MATCH($A93,RESULTADOS!$A:$A,0),MATCH(I$1,RESULTADOS!$1:$1,0))</f>
        <v>#N/A</v>
      </c>
      <c r="J93" s="51" t="e">
        <f t="shared" ca="1" si="17"/>
        <v>#N/A</v>
      </c>
      <c r="M93" s="211" t="e">
        <f ca="1">Propagações_TOT_PARANAPANEMA!AB93</f>
        <v>#N/A</v>
      </c>
      <c r="N93" s="213" t="e">
        <f ca="1">IFERROR(INDEX(PREVS_SMAP!$D$132:$Q$134,MATCH(Propagações_TOT_ITAIPU!N$2,PREVS_SMAP!$A$132:$A$134,0),MATCH(Propagações_TOT_ITAIPU!$A93,PREVS_SMAP!$D$131:$Q$131,0)),INDEX(INDIRECT("PREVIVAZ!$C$"&amp;N$6+1&amp;":$N$"&amp;N$6+1&amp;""),1,MATCH($A93,PREVIVAZ!$C$1:$N$1,1)))</f>
        <v>#N/A</v>
      </c>
      <c r="O93" s="213" t="e">
        <f ca="1">IFERROR(INDEX(PREVS_SMAP!$D$132:$Q$134,MATCH(Propagações_TOT_ITAIPU!O$2,PREVS_SMAP!$A$132:$A$134,0),MATCH(Propagações_TOT_ITAIPU!$A93,PREVS_SMAP!$D$131:$Q$131,0)),INDEX(INDIRECT("PREVIVAZ!$C$"&amp;O$6+1&amp;":$N$"&amp;O$6+1&amp;""),1,MATCH($A93,PREVIVAZ!$C$1:$N$1,1)))</f>
        <v>#N/A</v>
      </c>
      <c r="P93" s="213" t="e">
        <f ca="1">IFERROR(INDEX(PREVS_SMAP!$D$132:$Q$134,MATCH(Propagações_TOT_ITAIPU!P$2,PREVS_SMAP!$A$132:$A$134,0),MATCH(Propagações_TOT_ITAIPU!$A93,PREVS_SMAP!$D$131:$Q$131,0)),INDEX(INDIRECT("PREVIVAZ!$C$"&amp;P$6+1&amp;":$N$"&amp;P$6+1&amp;""),1,MATCH($A93,PREVIVAZ!$C$1:$N$1,1)))</f>
        <v>#N/A</v>
      </c>
      <c r="Q93" s="213" t="e">
        <f ca="1">IFERROR(INDEX(PREVS_SMAP!$D$132:$Q$134,MATCH(Propagações_TOT_ITAIPU!Q$2,PREVS_SMAP!$A$132:$A$134,0),MATCH(Propagações_TOT_ITAIPU!$A93,PREVS_SMAP!$D$131:$Q$131,0)),INDEX(INDIRECT("PREVIVAZ!$C$"&amp;Q$6+1&amp;":$N$"&amp;Q$6+1&amp;""),1,MATCH($A93,PREVIVAZ!$C$1:$N$1,1)))</f>
        <v>#N/A</v>
      </c>
      <c r="R93" s="211" t="e">
        <f t="shared" ca="1" si="10"/>
        <v>#N/A</v>
      </c>
      <c r="S93" s="214" t="e">
        <f t="shared" ca="1" si="11"/>
        <v>#N/A</v>
      </c>
      <c r="T93" s="214" t="e">
        <f t="shared" ca="1" si="12"/>
        <v>#N/A</v>
      </c>
      <c r="U93" s="215" t="e">
        <f t="shared" ca="1" si="13"/>
        <v>#N/A</v>
      </c>
      <c r="V93" s="214" t="e">
        <f t="shared" ca="1" si="14"/>
        <v>#N/A</v>
      </c>
      <c r="W93" s="214" t="e">
        <f t="shared" ca="1" si="15"/>
        <v>#N/A</v>
      </c>
      <c r="X93" s="216"/>
      <c r="Y93" s="211" t="e">
        <f ca="1">Propagações_TOT_GRANDE!AP93</f>
        <v>#N/A</v>
      </c>
      <c r="Z93" s="211" t="e">
        <f ca="1">Propagações_TOT_PARANAIBA!AJ93</f>
        <v>#N/A</v>
      </c>
      <c r="AA93" s="213" t="e">
        <f ca="1">IFERROR(INDEX(PREVS_SMAP!$AU$28:$BA$347,MATCH(Propagações_TOT_ITAIPU!AA$2,PREVS_SMAP!$R$28:$R$347,0),MATCH(Propagações_TOT_ITAIPU!$A93,PREVS_SMAP!$AU$27:$BA$27,0)),INDEX(INDIRECT("PREVIVAZ!$C$"&amp;$AA$2+1&amp;":$N$"&amp;$AA$2+1&amp;""),1,MATCH($A93,PREVIVAZ!$C$1:$N$1,1)))</f>
        <v>#N/A</v>
      </c>
      <c r="AB93" s="213" t="e">
        <f ca="1">IFERROR(INDEX(PREVS_SMAP!$AU$28:$BA$347,MATCH(Propagações_TOT_ITAIPU!AB$2,PREVS_SMAP!$R$28:$R$347,0),MATCH(Propagações_TOT_ITAIPU!$A93,PREVS_SMAP!$AU$27:$BA$27,0)),INDEX(INDIRECT("PREVIVAZ!$C$"&amp;AB$2+1&amp;":$N$"&amp;AB$2+1&amp;""),1,MATCH($A93,PREVIVAZ!$C$1:$N$1,1)))</f>
        <v>#N/A</v>
      </c>
      <c r="AC93" s="213" t="e">
        <f ca="1">IFERROR(INDEX(PREVS_SMAP!$AU$28:$BA$347,MATCH(Propagações_TOT_ITAIPU!AC$2,PREVS_SMAP!$R$28:$R$347,0),MATCH(Propagações_TOT_ITAIPU!$A93,PREVS_SMAP!$AU$27:$BA$27,0)),INDEX(INDIRECT("PREVIVAZ!$C$"&amp;AC$2+1&amp;":$N$"&amp;AC$2+1&amp;""),1,MATCH($A93,PREVIVAZ!$C$1:$N$1,1)))</f>
        <v>#N/A</v>
      </c>
      <c r="AE93" s="272" t="e">
        <f ca="1">Propagações_TOT_TIETE!$X93</f>
        <v>#N/A</v>
      </c>
    </row>
    <row r="94" spans="1:31" s="272" customFormat="1" x14ac:dyDescent="0.2">
      <c r="A94" s="273">
        <f t="shared" ca="1" si="9"/>
        <v>43893</v>
      </c>
      <c r="B94" s="53"/>
      <c r="C94" s="53"/>
      <c r="D94" s="52"/>
      <c r="E94" s="279" t="e">
        <f ca="1">INDEX(RESULTADOS!$A:$BA,MATCH($A94,RESULTADOS!$A:$A,0),MATCH(E$1,RESULTADOS!$1:$1,0))</f>
        <v>#N/A</v>
      </c>
      <c r="F94" s="279" t="e">
        <f ca="1">INDEX(RESULTADOS!$A:$BA,MATCH($A94,RESULTADOS!$A:$A,0),MATCH(F$1,RESULTADOS!$1:$1,0))</f>
        <v>#N/A</v>
      </c>
      <c r="G94" s="279" t="e">
        <f ca="1">INDEX(RESULTADOS!$A:$BA,MATCH($A94,RESULTADOS!$A:$A,0),MATCH(G$1,RESULTADOS!$1:$1,0))</f>
        <v>#N/A</v>
      </c>
      <c r="H94" s="279" t="e">
        <f ca="1">INDEX(RESULTADOS!$A:$BA,MATCH($A94,RESULTADOS!$A:$A,0),MATCH(H$1,RESULTADOS!$1:$1,0))</f>
        <v>#N/A</v>
      </c>
      <c r="I94" s="279" t="e">
        <f ca="1">INDEX(RESULTADOS!$A:$BA,MATCH($A94,RESULTADOS!$A:$A,0),MATCH(I$1,RESULTADOS!$1:$1,0))</f>
        <v>#N/A</v>
      </c>
      <c r="J94" s="51" t="e">
        <f t="shared" ca="1" si="17"/>
        <v>#N/A</v>
      </c>
      <c r="M94" s="211" t="e">
        <f ca="1">Propagações_TOT_PARANAPANEMA!AB94</f>
        <v>#N/A</v>
      </c>
      <c r="N94" s="213" t="e">
        <f ca="1">IFERROR(INDEX(PREVS_SMAP!$D$132:$Q$134,MATCH(Propagações_TOT_ITAIPU!N$2,PREVS_SMAP!$A$132:$A$134,0),MATCH(Propagações_TOT_ITAIPU!$A94,PREVS_SMAP!$D$131:$Q$131,0)),INDEX(INDIRECT("PREVIVAZ!$C$"&amp;N$6+1&amp;":$N$"&amp;N$6+1&amp;""),1,MATCH($A94,PREVIVAZ!$C$1:$N$1,1)))</f>
        <v>#N/A</v>
      </c>
      <c r="O94" s="213" t="e">
        <f ca="1">IFERROR(INDEX(PREVS_SMAP!$D$132:$Q$134,MATCH(Propagações_TOT_ITAIPU!O$2,PREVS_SMAP!$A$132:$A$134,0),MATCH(Propagações_TOT_ITAIPU!$A94,PREVS_SMAP!$D$131:$Q$131,0)),INDEX(INDIRECT("PREVIVAZ!$C$"&amp;O$6+1&amp;":$N$"&amp;O$6+1&amp;""),1,MATCH($A94,PREVIVAZ!$C$1:$N$1,1)))</f>
        <v>#N/A</v>
      </c>
      <c r="P94" s="213" t="e">
        <f ca="1">IFERROR(INDEX(PREVS_SMAP!$D$132:$Q$134,MATCH(Propagações_TOT_ITAIPU!P$2,PREVS_SMAP!$A$132:$A$134,0),MATCH(Propagações_TOT_ITAIPU!$A94,PREVS_SMAP!$D$131:$Q$131,0)),INDEX(INDIRECT("PREVIVAZ!$C$"&amp;P$6+1&amp;":$N$"&amp;P$6+1&amp;""),1,MATCH($A94,PREVIVAZ!$C$1:$N$1,1)))</f>
        <v>#N/A</v>
      </c>
      <c r="Q94" s="213" t="e">
        <f ca="1">IFERROR(INDEX(PREVS_SMAP!$D$132:$Q$134,MATCH(Propagações_TOT_ITAIPU!Q$2,PREVS_SMAP!$A$132:$A$134,0),MATCH(Propagações_TOT_ITAIPU!$A94,PREVS_SMAP!$D$131:$Q$131,0)),INDEX(INDIRECT("PREVIVAZ!$C$"&amp;Q$6+1&amp;":$N$"&amp;Q$6+1&amp;""),1,MATCH($A94,PREVIVAZ!$C$1:$N$1,1)))</f>
        <v>#N/A</v>
      </c>
      <c r="R94" s="211" t="e">
        <f t="shared" ca="1" si="10"/>
        <v>#N/A</v>
      </c>
      <c r="S94" s="214" t="e">
        <f t="shared" ca="1" si="11"/>
        <v>#N/A</v>
      </c>
      <c r="T94" s="214" t="e">
        <f t="shared" ca="1" si="12"/>
        <v>#N/A</v>
      </c>
      <c r="U94" s="215" t="e">
        <f t="shared" ca="1" si="13"/>
        <v>#N/A</v>
      </c>
      <c r="V94" s="214" t="e">
        <f t="shared" ca="1" si="14"/>
        <v>#N/A</v>
      </c>
      <c r="W94" s="214" t="e">
        <f t="shared" ca="1" si="15"/>
        <v>#N/A</v>
      </c>
      <c r="X94" s="216"/>
      <c r="Y94" s="211" t="e">
        <f ca="1">Propagações_TOT_GRANDE!AP94</f>
        <v>#N/A</v>
      </c>
      <c r="Z94" s="211" t="e">
        <f ca="1">Propagações_TOT_PARANAIBA!AJ94</f>
        <v>#N/A</v>
      </c>
      <c r="AA94" s="213" t="e">
        <f ca="1">IFERROR(INDEX(PREVS_SMAP!$AU$28:$BA$347,MATCH(Propagações_TOT_ITAIPU!AA$2,PREVS_SMAP!$R$28:$R$347,0),MATCH(Propagações_TOT_ITAIPU!$A94,PREVS_SMAP!$AU$27:$BA$27,0)),INDEX(INDIRECT("PREVIVAZ!$C$"&amp;$AA$2+1&amp;":$N$"&amp;$AA$2+1&amp;""),1,MATCH($A94,PREVIVAZ!$C$1:$N$1,1)))</f>
        <v>#N/A</v>
      </c>
      <c r="AB94" s="213" t="e">
        <f ca="1">IFERROR(INDEX(PREVS_SMAP!$AU$28:$BA$347,MATCH(Propagações_TOT_ITAIPU!AB$2,PREVS_SMAP!$R$28:$R$347,0),MATCH(Propagações_TOT_ITAIPU!$A94,PREVS_SMAP!$AU$27:$BA$27,0)),INDEX(INDIRECT("PREVIVAZ!$C$"&amp;AB$2+1&amp;":$N$"&amp;AB$2+1&amp;""),1,MATCH($A94,PREVIVAZ!$C$1:$N$1,1)))</f>
        <v>#N/A</v>
      </c>
      <c r="AC94" s="213" t="e">
        <f ca="1">IFERROR(INDEX(PREVS_SMAP!$AU$28:$BA$347,MATCH(Propagações_TOT_ITAIPU!AC$2,PREVS_SMAP!$R$28:$R$347,0),MATCH(Propagações_TOT_ITAIPU!$A94,PREVS_SMAP!$AU$27:$BA$27,0)),INDEX(INDIRECT("PREVIVAZ!$C$"&amp;AC$2+1&amp;":$N$"&amp;AC$2+1&amp;""),1,MATCH($A94,PREVIVAZ!$C$1:$N$1,1)))</f>
        <v>#N/A</v>
      </c>
      <c r="AE94" s="272" t="e">
        <f ca="1">Propagações_TOT_TIETE!$X94</f>
        <v>#N/A</v>
      </c>
    </row>
    <row r="95" spans="1:31" s="272" customFormat="1" x14ac:dyDescent="0.2">
      <c r="A95" s="273">
        <f t="shared" ca="1" si="9"/>
        <v>43894</v>
      </c>
      <c r="B95" s="53"/>
      <c r="C95" s="53"/>
      <c r="D95" s="52"/>
      <c r="E95" s="279" t="e">
        <f ca="1">INDEX(RESULTADOS!$A:$BA,MATCH($A95,RESULTADOS!$A:$A,0),MATCH(E$1,RESULTADOS!$1:$1,0))</f>
        <v>#N/A</v>
      </c>
      <c r="F95" s="279" t="e">
        <f ca="1">INDEX(RESULTADOS!$A:$BA,MATCH($A95,RESULTADOS!$A:$A,0),MATCH(F$1,RESULTADOS!$1:$1,0))</f>
        <v>#N/A</v>
      </c>
      <c r="G95" s="279" t="e">
        <f ca="1">INDEX(RESULTADOS!$A:$BA,MATCH($A95,RESULTADOS!$A:$A,0),MATCH(G$1,RESULTADOS!$1:$1,0))</f>
        <v>#N/A</v>
      </c>
      <c r="H95" s="279" t="e">
        <f ca="1">INDEX(RESULTADOS!$A:$BA,MATCH($A95,RESULTADOS!$A:$A,0),MATCH(H$1,RESULTADOS!$1:$1,0))</f>
        <v>#N/A</v>
      </c>
      <c r="I95" s="279" t="e">
        <f ca="1">INDEX(RESULTADOS!$A:$BA,MATCH($A95,RESULTADOS!$A:$A,0),MATCH(I$1,RESULTADOS!$1:$1,0))</f>
        <v>#N/A</v>
      </c>
      <c r="J95" s="51" t="e">
        <f t="shared" ca="1" si="17"/>
        <v>#N/A</v>
      </c>
      <c r="M95" s="211" t="e">
        <f ca="1">Propagações_TOT_PARANAPANEMA!AB95</f>
        <v>#N/A</v>
      </c>
      <c r="N95" s="213" t="e">
        <f ca="1">IFERROR(INDEX(PREVS_SMAP!$D$132:$Q$134,MATCH(Propagações_TOT_ITAIPU!N$2,PREVS_SMAP!$A$132:$A$134,0),MATCH(Propagações_TOT_ITAIPU!$A95,PREVS_SMAP!$D$131:$Q$131,0)),INDEX(INDIRECT("PREVIVAZ!$C$"&amp;N$6+1&amp;":$N$"&amp;N$6+1&amp;""),1,MATCH($A95,PREVIVAZ!$C$1:$N$1,1)))</f>
        <v>#N/A</v>
      </c>
      <c r="O95" s="213" t="e">
        <f ca="1">IFERROR(INDEX(PREVS_SMAP!$D$132:$Q$134,MATCH(Propagações_TOT_ITAIPU!O$2,PREVS_SMAP!$A$132:$A$134,0),MATCH(Propagações_TOT_ITAIPU!$A95,PREVS_SMAP!$D$131:$Q$131,0)),INDEX(INDIRECT("PREVIVAZ!$C$"&amp;O$6+1&amp;":$N$"&amp;O$6+1&amp;""),1,MATCH($A95,PREVIVAZ!$C$1:$N$1,1)))</f>
        <v>#N/A</v>
      </c>
      <c r="P95" s="213" t="e">
        <f ca="1">IFERROR(INDEX(PREVS_SMAP!$D$132:$Q$134,MATCH(Propagações_TOT_ITAIPU!P$2,PREVS_SMAP!$A$132:$A$134,0),MATCH(Propagações_TOT_ITAIPU!$A95,PREVS_SMAP!$D$131:$Q$131,0)),INDEX(INDIRECT("PREVIVAZ!$C$"&amp;P$6+1&amp;":$N$"&amp;P$6+1&amp;""),1,MATCH($A95,PREVIVAZ!$C$1:$N$1,1)))</f>
        <v>#N/A</v>
      </c>
      <c r="Q95" s="213" t="e">
        <f ca="1">IFERROR(INDEX(PREVS_SMAP!$D$132:$Q$134,MATCH(Propagações_TOT_ITAIPU!Q$2,PREVS_SMAP!$A$132:$A$134,0),MATCH(Propagações_TOT_ITAIPU!$A95,PREVS_SMAP!$D$131:$Q$131,0)),INDEX(INDIRECT("PREVIVAZ!$C$"&amp;Q$6+1&amp;":$N$"&amp;Q$6+1&amp;""),1,MATCH($A95,PREVIVAZ!$C$1:$N$1,1)))</f>
        <v>#N/A</v>
      </c>
      <c r="R95" s="211" t="e">
        <f t="shared" ca="1" si="10"/>
        <v>#N/A</v>
      </c>
      <c r="S95" s="214" t="e">
        <f t="shared" ca="1" si="11"/>
        <v>#N/A</v>
      </c>
      <c r="T95" s="214" t="e">
        <f t="shared" ca="1" si="12"/>
        <v>#N/A</v>
      </c>
      <c r="U95" s="215" t="e">
        <f t="shared" ca="1" si="13"/>
        <v>#N/A</v>
      </c>
      <c r="V95" s="214" t="e">
        <f t="shared" ca="1" si="14"/>
        <v>#N/A</v>
      </c>
      <c r="W95" s="214" t="e">
        <f t="shared" ca="1" si="15"/>
        <v>#N/A</v>
      </c>
      <c r="X95" s="216"/>
      <c r="Y95" s="211" t="e">
        <f ca="1">Propagações_TOT_GRANDE!AP95</f>
        <v>#N/A</v>
      </c>
      <c r="Z95" s="211" t="e">
        <f ca="1">Propagações_TOT_PARANAIBA!AJ95</f>
        <v>#N/A</v>
      </c>
      <c r="AA95" s="213" t="e">
        <f ca="1">IFERROR(INDEX(PREVS_SMAP!$AU$28:$BA$347,MATCH(Propagações_TOT_ITAIPU!AA$2,PREVS_SMAP!$R$28:$R$347,0),MATCH(Propagações_TOT_ITAIPU!$A95,PREVS_SMAP!$AU$27:$BA$27,0)),INDEX(INDIRECT("PREVIVAZ!$C$"&amp;$AA$2+1&amp;":$N$"&amp;$AA$2+1&amp;""),1,MATCH($A95,PREVIVAZ!$C$1:$N$1,1)))</f>
        <v>#N/A</v>
      </c>
      <c r="AB95" s="213" t="e">
        <f ca="1">IFERROR(INDEX(PREVS_SMAP!$AU$28:$BA$347,MATCH(Propagações_TOT_ITAIPU!AB$2,PREVS_SMAP!$R$28:$R$347,0),MATCH(Propagações_TOT_ITAIPU!$A95,PREVS_SMAP!$AU$27:$BA$27,0)),INDEX(INDIRECT("PREVIVAZ!$C$"&amp;AB$2+1&amp;":$N$"&amp;AB$2+1&amp;""),1,MATCH($A95,PREVIVAZ!$C$1:$N$1,1)))</f>
        <v>#N/A</v>
      </c>
      <c r="AC95" s="213" t="e">
        <f ca="1">IFERROR(INDEX(PREVS_SMAP!$AU$28:$BA$347,MATCH(Propagações_TOT_ITAIPU!AC$2,PREVS_SMAP!$R$28:$R$347,0),MATCH(Propagações_TOT_ITAIPU!$A95,PREVS_SMAP!$AU$27:$BA$27,0)),INDEX(INDIRECT("PREVIVAZ!$C$"&amp;AC$2+1&amp;":$N$"&amp;AC$2+1&amp;""),1,MATCH($A95,PREVIVAZ!$C$1:$N$1,1)))</f>
        <v>#N/A</v>
      </c>
      <c r="AE95" s="272" t="e">
        <f ca="1">Propagações_TOT_TIETE!$X95</f>
        <v>#N/A</v>
      </c>
    </row>
    <row r="96" spans="1:31" s="272" customFormat="1" x14ac:dyDescent="0.2">
      <c r="A96" s="273">
        <f t="shared" ca="1" si="9"/>
        <v>43895</v>
      </c>
      <c r="B96" s="53"/>
      <c r="C96" s="53"/>
      <c r="D96" s="52"/>
      <c r="E96" s="279" t="e">
        <f ca="1">INDEX(RESULTADOS!$A:$BA,MATCH($A96,RESULTADOS!$A:$A,0),MATCH(E$1,RESULTADOS!$1:$1,0))</f>
        <v>#N/A</v>
      </c>
      <c r="F96" s="279" t="e">
        <f ca="1">INDEX(RESULTADOS!$A:$BA,MATCH($A96,RESULTADOS!$A:$A,0),MATCH(F$1,RESULTADOS!$1:$1,0))</f>
        <v>#N/A</v>
      </c>
      <c r="G96" s="279" t="e">
        <f ca="1">INDEX(RESULTADOS!$A:$BA,MATCH($A96,RESULTADOS!$A:$A,0),MATCH(G$1,RESULTADOS!$1:$1,0))</f>
        <v>#N/A</v>
      </c>
      <c r="H96" s="279" t="e">
        <f ca="1">INDEX(RESULTADOS!$A:$BA,MATCH($A96,RESULTADOS!$A:$A,0),MATCH(H$1,RESULTADOS!$1:$1,0))</f>
        <v>#N/A</v>
      </c>
      <c r="I96" s="279" t="e">
        <f ca="1">INDEX(RESULTADOS!$A:$BA,MATCH($A96,RESULTADOS!$A:$A,0),MATCH(I$1,RESULTADOS!$1:$1,0))</f>
        <v>#N/A</v>
      </c>
      <c r="J96" s="51" t="e">
        <f t="shared" ca="1" si="17"/>
        <v>#N/A</v>
      </c>
      <c r="M96" s="211" t="e">
        <f ca="1">Propagações_TOT_PARANAPANEMA!AB96</f>
        <v>#N/A</v>
      </c>
      <c r="N96" s="213" t="e">
        <f ca="1">IFERROR(INDEX(PREVS_SMAP!$D$132:$Q$134,MATCH(Propagações_TOT_ITAIPU!N$2,PREVS_SMAP!$A$132:$A$134,0),MATCH(Propagações_TOT_ITAIPU!$A96,PREVS_SMAP!$D$131:$Q$131,0)),INDEX(INDIRECT("PREVIVAZ!$C$"&amp;N$6+1&amp;":$N$"&amp;N$6+1&amp;""),1,MATCH($A96,PREVIVAZ!$C$1:$N$1,1)))</f>
        <v>#N/A</v>
      </c>
      <c r="O96" s="213" t="e">
        <f ca="1">IFERROR(INDEX(PREVS_SMAP!$D$132:$Q$134,MATCH(Propagações_TOT_ITAIPU!O$2,PREVS_SMAP!$A$132:$A$134,0),MATCH(Propagações_TOT_ITAIPU!$A96,PREVS_SMAP!$D$131:$Q$131,0)),INDEX(INDIRECT("PREVIVAZ!$C$"&amp;O$6+1&amp;":$N$"&amp;O$6+1&amp;""),1,MATCH($A96,PREVIVAZ!$C$1:$N$1,1)))</f>
        <v>#N/A</v>
      </c>
      <c r="P96" s="213" t="e">
        <f ca="1">IFERROR(INDEX(PREVS_SMAP!$D$132:$Q$134,MATCH(Propagações_TOT_ITAIPU!P$2,PREVS_SMAP!$A$132:$A$134,0),MATCH(Propagações_TOT_ITAIPU!$A96,PREVS_SMAP!$D$131:$Q$131,0)),INDEX(INDIRECT("PREVIVAZ!$C$"&amp;P$6+1&amp;":$N$"&amp;P$6+1&amp;""),1,MATCH($A96,PREVIVAZ!$C$1:$N$1,1)))</f>
        <v>#N/A</v>
      </c>
      <c r="Q96" s="213" t="e">
        <f ca="1">IFERROR(INDEX(PREVS_SMAP!$D$132:$Q$134,MATCH(Propagações_TOT_ITAIPU!Q$2,PREVS_SMAP!$A$132:$A$134,0),MATCH(Propagações_TOT_ITAIPU!$A96,PREVS_SMAP!$D$131:$Q$131,0)),INDEX(INDIRECT("PREVIVAZ!$C$"&amp;Q$6+1&amp;":$N$"&amp;Q$6+1&amp;""),1,MATCH($A96,PREVIVAZ!$C$1:$N$1,1)))</f>
        <v>#N/A</v>
      </c>
      <c r="R96" s="211" t="e">
        <f t="shared" ca="1" si="10"/>
        <v>#N/A</v>
      </c>
      <c r="S96" s="214" t="e">
        <f t="shared" ca="1" si="11"/>
        <v>#N/A</v>
      </c>
      <c r="T96" s="214" t="e">
        <f t="shared" ca="1" si="12"/>
        <v>#N/A</v>
      </c>
      <c r="U96" s="215" t="e">
        <f t="shared" ca="1" si="13"/>
        <v>#N/A</v>
      </c>
      <c r="V96" s="214" t="e">
        <f t="shared" ca="1" si="14"/>
        <v>#N/A</v>
      </c>
      <c r="W96" s="214" t="e">
        <f t="shared" ca="1" si="15"/>
        <v>#N/A</v>
      </c>
      <c r="X96" s="216"/>
      <c r="Y96" s="211" t="e">
        <f ca="1">Propagações_TOT_GRANDE!AP96</f>
        <v>#N/A</v>
      </c>
      <c r="Z96" s="211" t="e">
        <f ca="1">Propagações_TOT_PARANAIBA!AJ96</f>
        <v>#N/A</v>
      </c>
      <c r="AA96" s="213" t="e">
        <f ca="1">IFERROR(INDEX(PREVS_SMAP!$AU$28:$BA$347,MATCH(Propagações_TOT_ITAIPU!AA$2,PREVS_SMAP!$R$28:$R$347,0),MATCH(Propagações_TOT_ITAIPU!$A96,PREVS_SMAP!$AU$27:$BA$27,0)),INDEX(INDIRECT("PREVIVAZ!$C$"&amp;$AA$2+1&amp;":$N$"&amp;$AA$2+1&amp;""),1,MATCH($A96,PREVIVAZ!$C$1:$N$1,1)))</f>
        <v>#N/A</v>
      </c>
      <c r="AB96" s="213" t="e">
        <f ca="1">IFERROR(INDEX(PREVS_SMAP!$AU$28:$BA$347,MATCH(Propagações_TOT_ITAIPU!AB$2,PREVS_SMAP!$R$28:$R$347,0),MATCH(Propagações_TOT_ITAIPU!$A96,PREVS_SMAP!$AU$27:$BA$27,0)),INDEX(INDIRECT("PREVIVAZ!$C$"&amp;AB$2+1&amp;":$N$"&amp;AB$2+1&amp;""),1,MATCH($A96,PREVIVAZ!$C$1:$N$1,1)))</f>
        <v>#N/A</v>
      </c>
      <c r="AC96" s="213" t="e">
        <f ca="1">IFERROR(INDEX(PREVS_SMAP!$AU$28:$BA$347,MATCH(Propagações_TOT_ITAIPU!AC$2,PREVS_SMAP!$R$28:$R$347,0),MATCH(Propagações_TOT_ITAIPU!$A96,PREVS_SMAP!$AU$27:$BA$27,0)),INDEX(INDIRECT("PREVIVAZ!$C$"&amp;AC$2+1&amp;":$N$"&amp;AC$2+1&amp;""),1,MATCH($A96,PREVIVAZ!$C$1:$N$1,1)))</f>
        <v>#N/A</v>
      </c>
      <c r="AE96" s="272" t="e">
        <f ca="1">Propagações_TOT_TIETE!$X96</f>
        <v>#N/A</v>
      </c>
    </row>
    <row r="97" spans="1:31" s="272" customFormat="1" x14ac:dyDescent="0.2">
      <c r="A97" s="273">
        <f t="shared" ca="1" si="9"/>
        <v>43896</v>
      </c>
      <c r="B97" s="53"/>
      <c r="C97" s="53"/>
      <c r="D97" s="52"/>
      <c r="E97" s="279" t="e">
        <f ca="1">INDEX(RESULTADOS!$A:$BA,MATCH($A97,RESULTADOS!$A:$A,0),MATCH(E$1,RESULTADOS!$1:$1,0))</f>
        <v>#N/A</v>
      </c>
      <c r="F97" s="279" t="e">
        <f ca="1">INDEX(RESULTADOS!$A:$BA,MATCH($A97,RESULTADOS!$A:$A,0),MATCH(F$1,RESULTADOS!$1:$1,0))</f>
        <v>#N/A</v>
      </c>
      <c r="G97" s="279" t="e">
        <f ca="1">INDEX(RESULTADOS!$A:$BA,MATCH($A97,RESULTADOS!$A:$A,0),MATCH(G$1,RESULTADOS!$1:$1,0))</f>
        <v>#N/A</v>
      </c>
      <c r="H97" s="279" t="e">
        <f ca="1">INDEX(RESULTADOS!$A:$BA,MATCH($A97,RESULTADOS!$A:$A,0),MATCH(H$1,RESULTADOS!$1:$1,0))</f>
        <v>#N/A</v>
      </c>
      <c r="I97" s="279" t="e">
        <f ca="1">INDEX(RESULTADOS!$A:$BA,MATCH($A97,RESULTADOS!$A:$A,0),MATCH(I$1,RESULTADOS!$1:$1,0))</f>
        <v>#N/A</v>
      </c>
      <c r="J97" s="51" t="e">
        <f t="shared" ca="1" si="17"/>
        <v>#N/A</v>
      </c>
      <c r="M97" s="211" t="e">
        <f ca="1">Propagações_TOT_PARANAPANEMA!AB97</f>
        <v>#N/A</v>
      </c>
      <c r="N97" s="213" t="e">
        <f ca="1">IFERROR(INDEX(PREVS_SMAP!$D$132:$Q$134,MATCH(Propagações_TOT_ITAIPU!N$2,PREVS_SMAP!$A$132:$A$134,0),MATCH(Propagações_TOT_ITAIPU!$A97,PREVS_SMAP!$D$131:$Q$131,0)),INDEX(INDIRECT("PREVIVAZ!$C$"&amp;N$6+1&amp;":$N$"&amp;N$6+1&amp;""),1,MATCH($A97,PREVIVAZ!$C$1:$N$1,1)))</f>
        <v>#N/A</v>
      </c>
      <c r="O97" s="213" t="e">
        <f ca="1">IFERROR(INDEX(PREVS_SMAP!$D$132:$Q$134,MATCH(Propagações_TOT_ITAIPU!O$2,PREVS_SMAP!$A$132:$A$134,0),MATCH(Propagações_TOT_ITAIPU!$A97,PREVS_SMAP!$D$131:$Q$131,0)),INDEX(INDIRECT("PREVIVAZ!$C$"&amp;O$6+1&amp;":$N$"&amp;O$6+1&amp;""),1,MATCH($A97,PREVIVAZ!$C$1:$N$1,1)))</f>
        <v>#N/A</v>
      </c>
      <c r="P97" s="213" t="e">
        <f ca="1">IFERROR(INDEX(PREVS_SMAP!$D$132:$Q$134,MATCH(Propagações_TOT_ITAIPU!P$2,PREVS_SMAP!$A$132:$A$134,0),MATCH(Propagações_TOT_ITAIPU!$A97,PREVS_SMAP!$D$131:$Q$131,0)),INDEX(INDIRECT("PREVIVAZ!$C$"&amp;P$6+1&amp;":$N$"&amp;P$6+1&amp;""),1,MATCH($A97,PREVIVAZ!$C$1:$N$1,1)))</f>
        <v>#N/A</v>
      </c>
      <c r="Q97" s="213" t="e">
        <f ca="1">IFERROR(INDEX(PREVS_SMAP!$D$132:$Q$134,MATCH(Propagações_TOT_ITAIPU!Q$2,PREVS_SMAP!$A$132:$A$134,0),MATCH(Propagações_TOT_ITAIPU!$A97,PREVS_SMAP!$D$131:$Q$131,0)),INDEX(INDIRECT("PREVIVAZ!$C$"&amp;Q$6+1&amp;":$N$"&amp;Q$6+1&amp;""),1,MATCH($A97,PREVIVAZ!$C$1:$N$1,1)))</f>
        <v>#N/A</v>
      </c>
      <c r="R97" s="211" t="e">
        <f t="shared" ca="1" si="10"/>
        <v>#N/A</v>
      </c>
      <c r="S97" s="214" t="e">
        <f t="shared" ca="1" si="11"/>
        <v>#N/A</v>
      </c>
      <c r="T97" s="214" t="e">
        <f t="shared" ca="1" si="12"/>
        <v>#N/A</v>
      </c>
      <c r="U97" s="215" t="e">
        <f t="shared" ca="1" si="13"/>
        <v>#N/A</v>
      </c>
      <c r="V97" s="214" t="e">
        <f t="shared" ca="1" si="14"/>
        <v>#N/A</v>
      </c>
      <c r="W97" s="214" t="e">
        <f t="shared" ca="1" si="15"/>
        <v>#N/A</v>
      </c>
      <c r="X97" s="216"/>
      <c r="Y97" s="211" t="e">
        <f ca="1">Propagações_TOT_GRANDE!AP97</f>
        <v>#N/A</v>
      </c>
      <c r="Z97" s="211" t="e">
        <f ca="1">Propagações_TOT_PARANAIBA!AJ97</f>
        <v>#N/A</v>
      </c>
      <c r="AA97" s="213" t="e">
        <f ca="1">IFERROR(INDEX(PREVS_SMAP!$AU$28:$BA$347,MATCH(Propagações_TOT_ITAIPU!AA$2,PREVS_SMAP!$R$28:$R$347,0),MATCH(Propagações_TOT_ITAIPU!$A97,PREVS_SMAP!$AU$27:$BA$27,0)),INDEX(INDIRECT("PREVIVAZ!$C$"&amp;$AA$2+1&amp;":$N$"&amp;$AA$2+1&amp;""),1,MATCH($A97,PREVIVAZ!$C$1:$N$1,1)))</f>
        <v>#N/A</v>
      </c>
      <c r="AB97" s="213" t="e">
        <f ca="1">IFERROR(INDEX(PREVS_SMAP!$AU$28:$BA$347,MATCH(Propagações_TOT_ITAIPU!AB$2,PREVS_SMAP!$R$28:$R$347,0),MATCH(Propagações_TOT_ITAIPU!$A97,PREVS_SMAP!$AU$27:$BA$27,0)),INDEX(INDIRECT("PREVIVAZ!$C$"&amp;AB$2+1&amp;":$N$"&amp;AB$2+1&amp;""),1,MATCH($A97,PREVIVAZ!$C$1:$N$1,1)))</f>
        <v>#N/A</v>
      </c>
      <c r="AC97" s="213" t="e">
        <f ca="1">IFERROR(INDEX(PREVS_SMAP!$AU$28:$BA$347,MATCH(Propagações_TOT_ITAIPU!AC$2,PREVS_SMAP!$R$28:$R$347,0),MATCH(Propagações_TOT_ITAIPU!$A97,PREVS_SMAP!$AU$27:$BA$27,0)),INDEX(INDIRECT("PREVIVAZ!$C$"&amp;AC$2+1&amp;":$N$"&amp;AC$2+1&amp;""),1,MATCH($A97,PREVIVAZ!$C$1:$N$1,1)))</f>
        <v>#N/A</v>
      </c>
      <c r="AE97" s="272" t="e">
        <f ca="1">Propagações_TOT_TIETE!$X97</f>
        <v>#N/A</v>
      </c>
    </row>
    <row r="98" spans="1:31" s="272" customFormat="1" x14ac:dyDescent="0.2">
      <c r="A98" s="273">
        <f t="shared" ca="1" si="9"/>
        <v>43897</v>
      </c>
      <c r="B98" s="53"/>
      <c r="C98" s="53"/>
      <c r="D98" s="52"/>
      <c r="E98" s="279" t="e">
        <f ca="1">INDEX(RESULTADOS!$A:$BA,MATCH($A98,RESULTADOS!$A:$A,0),MATCH(E$1,RESULTADOS!$1:$1,0))</f>
        <v>#N/A</v>
      </c>
      <c r="F98" s="279" t="e">
        <f ca="1">INDEX(RESULTADOS!$A:$BA,MATCH($A98,RESULTADOS!$A:$A,0),MATCH(F$1,RESULTADOS!$1:$1,0))</f>
        <v>#N/A</v>
      </c>
      <c r="G98" s="279" t="e">
        <f ca="1">INDEX(RESULTADOS!$A:$BA,MATCH($A98,RESULTADOS!$A:$A,0),MATCH(G$1,RESULTADOS!$1:$1,0))</f>
        <v>#N/A</v>
      </c>
      <c r="H98" s="279" t="e">
        <f ca="1">INDEX(RESULTADOS!$A:$BA,MATCH($A98,RESULTADOS!$A:$A,0),MATCH(H$1,RESULTADOS!$1:$1,0))</f>
        <v>#N/A</v>
      </c>
      <c r="I98" s="279" t="e">
        <f ca="1">INDEX(RESULTADOS!$A:$BA,MATCH($A98,RESULTADOS!$A:$A,0),MATCH(I$1,RESULTADOS!$1:$1,0))</f>
        <v>#N/A</v>
      </c>
      <c r="J98" s="51" t="e">
        <f t="shared" ca="1" si="17"/>
        <v>#N/A</v>
      </c>
      <c r="M98" s="211" t="e">
        <f ca="1">Propagações_TOT_PARANAPANEMA!AB98</f>
        <v>#N/A</v>
      </c>
      <c r="N98" s="213" t="e">
        <f ca="1">IFERROR(INDEX(PREVS_SMAP!$D$132:$Q$134,MATCH(Propagações_TOT_ITAIPU!N$2,PREVS_SMAP!$A$132:$A$134,0),MATCH(Propagações_TOT_ITAIPU!$A98,PREVS_SMAP!$D$131:$Q$131,0)),INDEX(INDIRECT("PREVIVAZ!$C$"&amp;N$6+1&amp;":$N$"&amp;N$6+1&amp;""),1,MATCH($A98,PREVIVAZ!$C$1:$N$1,1)))</f>
        <v>#N/A</v>
      </c>
      <c r="O98" s="213" t="e">
        <f ca="1">IFERROR(INDEX(PREVS_SMAP!$D$132:$Q$134,MATCH(Propagações_TOT_ITAIPU!O$2,PREVS_SMAP!$A$132:$A$134,0),MATCH(Propagações_TOT_ITAIPU!$A98,PREVS_SMAP!$D$131:$Q$131,0)),INDEX(INDIRECT("PREVIVAZ!$C$"&amp;O$6+1&amp;":$N$"&amp;O$6+1&amp;""),1,MATCH($A98,PREVIVAZ!$C$1:$N$1,1)))</f>
        <v>#N/A</v>
      </c>
      <c r="P98" s="213" t="e">
        <f ca="1">IFERROR(INDEX(PREVS_SMAP!$D$132:$Q$134,MATCH(Propagações_TOT_ITAIPU!P$2,PREVS_SMAP!$A$132:$A$134,0),MATCH(Propagações_TOT_ITAIPU!$A98,PREVS_SMAP!$D$131:$Q$131,0)),INDEX(INDIRECT("PREVIVAZ!$C$"&amp;P$6+1&amp;":$N$"&amp;P$6+1&amp;""),1,MATCH($A98,PREVIVAZ!$C$1:$N$1,1)))</f>
        <v>#N/A</v>
      </c>
      <c r="Q98" s="213" t="e">
        <f ca="1">IFERROR(INDEX(PREVS_SMAP!$D$132:$Q$134,MATCH(Propagações_TOT_ITAIPU!Q$2,PREVS_SMAP!$A$132:$A$134,0),MATCH(Propagações_TOT_ITAIPU!$A98,PREVS_SMAP!$D$131:$Q$131,0)),INDEX(INDIRECT("PREVIVAZ!$C$"&amp;Q$6+1&amp;":$N$"&amp;Q$6+1&amp;""),1,MATCH($A98,PREVIVAZ!$C$1:$N$1,1)))</f>
        <v>#N/A</v>
      </c>
      <c r="R98" s="211" t="e">
        <f t="shared" ca="1" si="10"/>
        <v>#N/A</v>
      </c>
      <c r="S98" s="214" t="e">
        <f t="shared" ca="1" si="11"/>
        <v>#N/A</v>
      </c>
      <c r="T98" s="214" t="e">
        <f t="shared" ca="1" si="12"/>
        <v>#N/A</v>
      </c>
      <c r="U98" s="215" t="e">
        <f t="shared" ca="1" si="13"/>
        <v>#N/A</v>
      </c>
      <c r="V98" s="214" t="e">
        <f t="shared" ca="1" si="14"/>
        <v>#N/A</v>
      </c>
      <c r="W98" s="214" t="e">
        <f t="shared" ca="1" si="15"/>
        <v>#N/A</v>
      </c>
      <c r="X98" s="216"/>
      <c r="Y98" s="211" t="e">
        <f ca="1">Propagações_TOT_GRANDE!AP98</f>
        <v>#N/A</v>
      </c>
      <c r="Z98" s="211" t="e">
        <f ca="1">Propagações_TOT_PARANAIBA!AJ98</f>
        <v>#N/A</v>
      </c>
      <c r="AA98" s="213" t="e">
        <f ca="1">IFERROR(INDEX(PREVS_SMAP!$AU$28:$BA$347,MATCH(Propagações_TOT_ITAIPU!AA$2,PREVS_SMAP!$R$28:$R$347,0),MATCH(Propagações_TOT_ITAIPU!$A98,PREVS_SMAP!$AU$27:$BA$27,0)),INDEX(INDIRECT("PREVIVAZ!$C$"&amp;$AA$2+1&amp;":$N$"&amp;$AA$2+1&amp;""),1,MATCH($A98,PREVIVAZ!$C$1:$N$1,1)))</f>
        <v>#N/A</v>
      </c>
      <c r="AB98" s="213" t="e">
        <f ca="1">IFERROR(INDEX(PREVS_SMAP!$AU$28:$BA$347,MATCH(Propagações_TOT_ITAIPU!AB$2,PREVS_SMAP!$R$28:$R$347,0),MATCH(Propagações_TOT_ITAIPU!$A98,PREVS_SMAP!$AU$27:$BA$27,0)),INDEX(INDIRECT("PREVIVAZ!$C$"&amp;AB$2+1&amp;":$N$"&amp;AB$2+1&amp;""),1,MATCH($A98,PREVIVAZ!$C$1:$N$1,1)))</f>
        <v>#N/A</v>
      </c>
      <c r="AC98" s="213" t="e">
        <f ca="1">IFERROR(INDEX(PREVS_SMAP!$AU$28:$BA$347,MATCH(Propagações_TOT_ITAIPU!AC$2,PREVS_SMAP!$R$28:$R$347,0),MATCH(Propagações_TOT_ITAIPU!$A98,PREVS_SMAP!$AU$27:$BA$27,0)),INDEX(INDIRECT("PREVIVAZ!$C$"&amp;AC$2+1&amp;":$N$"&amp;AC$2+1&amp;""),1,MATCH($A98,PREVIVAZ!$C$1:$N$1,1)))</f>
        <v>#N/A</v>
      </c>
      <c r="AE98" s="272" t="e">
        <f ca="1">Propagações_TOT_TIETE!$X98</f>
        <v>#N/A</v>
      </c>
    </row>
    <row r="99" spans="1:31" s="272" customFormat="1" x14ac:dyDescent="0.2">
      <c r="A99" s="273">
        <f t="shared" ca="1" si="9"/>
        <v>43898</v>
      </c>
      <c r="B99" s="53"/>
      <c r="C99" s="53"/>
      <c r="D99" s="52"/>
      <c r="E99" s="279" t="e">
        <f ca="1">INDEX(RESULTADOS!$A:$BA,MATCH($A99,RESULTADOS!$A:$A,0),MATCH(E$1,RESULTADOS!$1:$1,0))</f>
        <v>#N/A</v>
      </c>
      <c r="F99" s="279" t="e">
        <f ca="1">INDEX(RESULTADOS!$A:$BA,MATCH($A99,RESULTADOS!$A:$A,0),MATCH(F$1,RESULTADOS!$1:$1,0))</f>
        <v>#N/A</v>
      </c>
      <c r="G99" s="279" t="e">
        <f ca="1">INDEX(RESULTADOS!$A:$BA,MATCH($A99,RESULTADOS!$A:$A,0),MATCH(G$1,RESULTADOS!$1:$1,0))</f>
        <v>#N/A</v>
      </c>
      <c r="H99" s="279" t="e">
        <f ca="1">INDEX(RESULTADOS!$A:$BA,MATCH($A99,RESULTADOS!$A:$A,0),MATCH(H$1,RESULTADOS!$1:$1,0))</f>
        <v>#N/A</v>
      </c>
      <c r="I99" s="279" t="e">
        <f ca="1">INDEX(RESULTADOS!$A:$BA,MATCH($A99,RESULTADOS!$A:$A,0),MATCH(I$1,RESULTADOS!$1:$1,0))</f>
        <v>#N/A</v>
      </c>
      <c r="J99" s="51" t="e">
        <f t="shared" ca="1" si="17"/>
        <v>#N/A</v>
      </c>
      <c r="M99" s="211" t="e">
        <f ca="1">Propagações_TOT_PARANAPANEMA!AB99</f>
        <v>#N/A</v>
      </c>
      <c r="N99" s="213" t="e">
        <f ca="1">IFERROR(INDEX(PREVS_SMAP!$D$132:$Q$134,MATCH(Propagações_TOT_ITAIPU!N$2,PREVS_SMAP!$A$132:$A$134,0),MATCH(Propagações_TOT_ITAIPU!$A99,PREVS_SMAP!$D$131:$Q$131,0)),INDEX(INDIRECT("PREVIVAZ!$C$"&amp;N$6+1&amp;":$N$"&amp;N$6+1&amp;""),1,MATCH($A99,PREVIVAZ!$C$1:$N$1,1)))</f>
        <v>#N/A</v>
      </c>
      <c r="O99" s="213" t="e">
        <f ca="1">IFERROR(INDEX(PREVS_SMAP!$D$132:$Q$134,MATCH(Propagações_TOT_ITAIPU!O$2,PREVS_SMAP!$A$132:$A$134,0),MATCH(Propagações_TOT_ITAIPU!$A99,PREVS_SMAP!$D$131:$Q$131,0)),INDEX(INDIRECT("PREVIVAZ!$C$"&amp;O$6+1&amp;":$N$"&amp;O$6+1&amp;""),1,MATCH($A99,PREVIVAZ!$C$1:$N$1,1)))</f>
        <v>#N/A</v>
      </c>
      <c r="P99" s="213" t="e">
        <f ca="1">IFERROR(INDEX(PREVS_SMAP!$D$132:$Q$134,MATCH(Propagações_TOT_ITAIPU!P$2,PREVS_SMAP!$A$132:$A$134,0),MATCH(Propagações_TOT_ITAIPU!$A99,PREVS_SMAP!$D$131:$Q$131,0)),INDEX(INDIRECT("PREVIVAZ!$C$"&amp;P$6+1&amp;":$N$"&amp;P$6+1&amp;""),1,MATCH($A99,PREVIVAZ!$C$1:$N$1,1)))</f>
        <v>#N/A</v>
      </c>
      <c r="Q99" s="213" t="e">
        <f ca="1">IFERROR(INDEX(PREVS_SMAP!$D$132:$Q$134,MATCH(Propagações_TOT_ITAIPU!Q$2,PREVS_SMAP!$A$132:$A$134,0),MATCH(Propagações_TOT_ITAIPU!$A99,PREVS_SMAP!$D$131:$Q$131,0)),INDEX(INDIRECT("PREVIVAZ!$C$"&amp;Q$6+1&amp;":$N$"&amp;Q$6+1&amp;""),1,MATCH($A99,PREVIVAZ!$C$1:$N$1,1)))</f>
        <v>#N/A</v>
      </c>
      <c r="R99" s="211" t="e">
        <f t="shared" ca="1" si="10"/>
        <v>#N/A</v>
      </c>
      <c r="S99" s="214" t="e">
        <f t="shared" ca="1" si="11"/>
        <v>#N/A</v>
      </c>
      <c r="T99" s="214" t="e">
        <f t="shared" ca="1" si="12"/>
        <v>#N/A</v>
      </c>
      <c r="U99" s="215" t="e">
        <f t="shared" ca="1" si="13"/>
        <v>#N/A</v>
      </c>
      <c r="V99" s="214" t="e">
        <f t="shared" ca="1" si="14"/>
        <v>#N/A</v>
      </c>
      <c r="W99" s="214" t="e">
        <f t="shared" ca="1" si="15"/>
        <v>#N/A</v>
      </c>
      <c r="X99" s="216"/>
      <c r="Y99" s="211" t="e">
        <f ca="1">Propagações_TOT_GRANDE!AP99</f>
        <v>#N/A</v>
      </c>
      <c r="Z99" s="211" t="e">
        <f ca="1">Propagações_TOT_PARANAIBA!AJ99</f>
        <v>#N/A</v>
      </c>
      <c r="AA99" s="213" t="e">
        <f ca="1">IFERROR(INDEX(PREVS_SMAP!$AU$28:$BA$347,MATCH(Propagações_TOT_ITAIPU!AA$2,PREVS_SMAP!$R$28:$R$347,0),MATCH(Propagações_TOT_ITAIPU!$A99,PREVS_SMAP!$AU$27:$BA$27,0)),INDEX(INDIRECT("PREVIVAZ!$C$"&amp;$AA$2+1&amp;":$N$"&amp;$AA$2+1&amp;""),1,MATCH($A99,PREVIVAZ!$C$1:$N$1,1)))</f>
        <v>#N/A</v>
      </c>
      <c r="AB99" s="213" t="e">
        <f ca="1">IFERROR(INDEX(PREVS_SMAP!$AU$28:$BA$347,MATCH(Propagações_TOT_ITAIPU!AB$2,PREVS_SMAP!$R$28:$R$347,0),MATCH(Propagações_TOT_ITAIPU!$A99,PREVS_SMAP!$AU$27:$BA$27,0)),INDEX(INDIRECT("PREVIVAZ!$C$"&amp;AB$2+1&amp;":$N$"&amp;AB$2+1&amp;""),1,MATCH($A99,PREVIVAZ!$C$1:$N$1,1)))</f>
        <v>#N/A</v>
      </c>
      <c r="AC99" s="213" t="e">
        <f ca="1">IFERROR(INDEX(PREVS_SMAP!$AU$28:$BA$347,MATCH(Propagações_TOT_ITAIPU!AC$2,PREVS_SMAP!$R$28:$R$347,0),MATCH(Propagações_TOT_ITAIPU!$A99,PREVS_SMAP!$AU$27:$BA$27,0)),INDEX(INDIRECT("PREVIVAZ!$C$"&amp;AC$2+1&amp;":$N$"&amp;AC$2+1&amp;""),1,MATCH($A99,PREVIVAZ!$C$1:$N$1,1)))</f>
        <v>#N/A</v>
      </c>
      <c r="AE99" s="272" t="e">
        <f ca="1">Propagações_TOT_TIETE!$X99</f>
        <v>#N/A</v>
      </c>
    </row>
    <row r="100" spans="1:31" s="272" customFormat="1" x14ac:dyDescent="0.2">
      <c r="A100" s="273">
        <f t="shared" ca="1" si="9"/>
        <v>43899</v>
      </c>
      <c r="B100" s="53"/>
      <c r="C100" s="53"/>
      <c r="D100" s="52"/>
      <c r="E100" s="279" t="e">
        <f ca="1">INDEX(RESULTADOS!$A:$BA,MATCH($A100,RESULTADOS!$A:$A,0),MATCH(E$1,RESULTADOS!$1:$1,0))</f>
        <v>#N/A</v>
      </c>
      <c r="F100" s="279" t="e">
        <f ca="1">INDEX(RESULTADOS!$A:$BA,MATCH($A100,RESULTADOS!$A:$A,0),MATCH(F$1,RESULTADOS!$1:$1,0))</f>
        <v>#N/A</v>
      </c>
      <c r="G100" s="279" t="e">
        <f ca="1">INDEX(RESULTADOS!$A:$BA,MATCH($A100,RESULTADOS!$A:$A,0),MATCH(G$1,RESULTADOS!$1:$1,0))</f>
        <v>#N/A</v>
      </c>
      <c r="H100" s="279" t="e">
        <f ca="1">INDEX(RESULTADOS!$A:$BA,MATCH($A100,RESULTADOS!$A:$A,0),MATCH(H$1,RESULTADOS!$1:$1,0))</f>
        <v>#N/A</v>
      </c>
      <c r="I100" s="279" t="e">
        <f ca="1">INDEX(RESULTADOS!$A:$BA,MATCH($A100,RESULTADOS!$A:$A,0),MATCH(I$1,RESULTADOS!$1:$1,0))</f>
        <v>#N/A</v>
      </c>
      <c r="J100" s="51" t="e">
        <f t="shared" ca="1" si="17"/>
        <v>#N/A</v>
      </c>
      <c r="M100" s="211" t="e">
        <f ca="1">Propagações_TOT_PARANAPANEMA!AB100</f>
        <v>#N/A</v>
      </c>
      <c r="N100" s="213" t="e">
        <f ca="1">IFERROR(INDEX(PREVS_SMAP!$D$132:$Q$134,MATCH(Propagações_TOT_ITAIPU!N$2,PREVS_SMAP!$A$132:$A$134,0),MATCH(Propagações_TOT_ITAIPU!$A100,PREVS_SMAP!$D$131:$Q$131,0)),INDEX(INDIRECT("PREVIVAZ!$C$"&amp;N$6+1&amp;":$N$"&amp;N$6+1&amp;""),1,MATCH($A100,PREVIVAZ!$C$1:$N$1,1)))</f>
        <v>#N/A</v>
      </c>
      <c r="O100" s="213" t="e">
        <f ca="1">IFERROR(INDEX(PREVS_SMAP!$D$132:$Q$134,MATCH(Propagações_TOT_ITAIPU!O$2,PREVS_SMAP!$A$132:$A$134,0),MATCH(Propagações_TOT_ITAIPU!$A100,PREVS_SMAP!$D$131:$Q$131,0)),INDEX(INDIRECT("PREVIVAZ!$C$"&amp;O$6+1&amp;":$N$"&amp;O$6+1&amp;""),1,MATCH($A100,PREVIVAZ!$C$1:$N$1,1)))</f>
        <v>#N/A</v>
      </c>
      <c r="P100" s="213" t="e">
        <f ca="1">IFERROR(INDEX(PREVS_SMAP!$D$132:$Q$134,MATCH(Propagações_TOT_ITAIPU!P$2,PREVS_SMAP!$A$132:$A$134,0),MATCH(Propagações_TOT_ITAIPU!$A100,PREVS_SMAP!$D$131:$Q$131,0)),INDEX(INDIRECT("PREVIVAZ!$C$"&amp;P$6+1&amp;":$N$"&amp;P$6+1&amp;""),1,MATCH($A100,PREVIVAZ!$C$1:$N$1,1)))</f>
        <v>#N/A</v>
      </c>
      <c r="Q100" s="213" t="e">
        <f ca="1">IFERROR(INDEX(PREVS_SMAP!$D$132:$Q$134,MATCH(Propagações_TOT_ITAIPU!Q$2,PREVS_SMAP!$A$132:$A$134,0),MATCH(Propagações_TOT_ITAIPU!$A100,PREVS_SMAP!$D$131:$Q$131,0)),INDEX(INDIRECT("PREVIVAZ!$C$"&amp;Q$6+1&amp;":$N$"&amp;Q$6+1&amp;""),1,MATCH($A100,PREVIVAZ!$C$1:$N$1,1)))</f>
        <v>#N/A</v>
      </c>
      <c r="R100" s="211" t="e">
        <f t="shared" ca="1" si="10"/>
        <v>#N/A</v>
      </c>
      <c r="S100" s="214" t="e">
        <f t="shared" ca="1" si="11"/>
        <v>#N/A</v>
      </c>
      <c r="T100" s="214" t="e">
        <f t="shared" ca="1" si="12"/>
        <v>#N/A</v>
      </c>
      <c r="U100" s="215" t="e">
        <f t="shared" ca="1" si="13"/>
        <v>#N/A</v>
      </c>
      <c r="V100" s="214" t="e">
        <f t="shared" ca="1" si="14"/>
        <v>#N/A</v>
      </c>
      <c r="W100" s="214" t="e">
        <f t="shared" ca="1" si="15"/>
        <v>#N/A</v>
      </c>
      <c r="X100" s="216"/>
      <c r="Y100" s="211" t="e">
        <f ca="1">Propagações_TOT_GRANDE!AP100</f>
        <v>#N/A</v>
      </c>
      <c r="Z100" s="211" t="e">
        <f ca="1">Propagações_TOT_PARANAIBA!AJ100</f>
        <v>#N/A</v>
      </c>
      <c r="AA100" s="213" t="e">
        <f ca="1">IFERROR(INDEX(PREVS_SMAP!$AU$28:$BA$347,MATCH(Propagações_TOT_ITAIPU!AA$2,PREVS_SMAP!$R$28:$R$347,0),MATCH(Propagações_TOT_ITAIPU!$A100,PREVS_SMAP!$AU$27:$BA$27,0)),INDEX(INDIRECT("PREVIVAZ!$C$"&amp;$AA$2+1&amp;":$N$"&amp;$AA$2+1&amp;""),1,MATCH($A100,PREVIVAZ!$C$1:$N$1,1)))</f>
        <v>#N/A</v>
      </c>
      <c r="AB100" s="213" t="e">
        <f ca="1">IFERROR(INDEX(PREVS_SMAP!$AU$28:$BA$347,MATCH(Propagações_TOT_ITAIPU!AB$2,PREVS_SMAP!$R$28:$R$347,0),MATCH(Propagações_TOT_ITAIPU!$A100,PREVS_SMAP!$AU$27:$BA$27,0)),INDEX(INDIRECT("PREVIVAZ!$C$"&amp;AB$2+1&amp;":$N$"&amp;AB$2+1&amp;""),1,MATCH($A100,PREVIVAZ!$C$1:$N$1,1)))</f>
        <v>#N/A</v>
      </c>
      <c r="AC100" s="213" t="e">
        <f ca="1">IFERROR(INDEX(PREVS_SMAP!$AU$28:$BA$347,MATCH(Propagações_TOT_ITAIPU!AC$2,PREVS_SMAP!$R$28:$R$347,0),MATCH(Propagações_TOT_ITAIPU!$A100,PREVS_SMAP!$AU$27:$BA$27,0)),INDEX(INDIRECT("PREVIVAZ!$C$"&amp;AC$2+1&amp;":$N$"&amp;AC$2+1&amp;""),1,MATCH($A100,PREVIVAZ!$C$1:$N$1,1)))</f>
        <v>#N/A</v>
      </c>
      <c r="AE100" s="272" t="e">
        <f ca="1">Propagações_TOT_TIETE!$X100</f>
        <v>#N/A</v>
      </c>
    </row>
    <row r="101" spans="1:31" s="272" customFormat="1" x14ac:dyDescent="0.2">
      <c r="A101" s="273">
        <f t="shared" ca="1" si="9"/>
        <v>43900</v>
      </c>
      <c r="B101" s="53"/>
      <c r="C101" s="53"/>
      <c r="D101" s="52"/>
      <c r="E101" s="279" t="e">
        <f ca="1">INDEX(RESULTADOS!$A:$BA,MATCH($A101,RESULTADOS!$A:$A,0),MATCH(E$1,RESULTADOS!$1:$1,0))</f>
        <v>#N/A</v>
      </c>
      <c r="F101" s="279" t="e">
        <f ca="1">INDEX(RESULTADOS!$A:$BA,MATCH($A101,RESULTADOS!$A:$A,0),MATCH(F$1,RESULTADOS!$1:$1,0))</f>
        <v>#N/A</v>
      </c>
      <c r="G101" s="279" t="e">
        <f ca="1">INDEX(RESULTADOS!$A:$BA,MATCH($A101,RESULTADOS!$A:$A,0),MATCH(G$1,RESULTADOS!$1:$1,0))</f>
        <v>#N/A</v>
      </c>
      <c r="H101" s="279" t="e">
        <f ca="1">INDEX(RESULTADOS!$A:$BA,MATCH($A101,RESULTADOS!$A:$A,0),MATCH(H$1,RESULTADOS!$1:$1,0))</f>
        <v>#N/A</v>
      </c>
      <c r="I101" s="279" t="e">
        <f ca="1">INDEX(RESULTADOS!$A:$BA,MATCH($A101,RESULTADOS!$A:$A,0),MATCH(I$1,RESULTADOS!$1:$1,0))</f>
        <v>#N/A</v>
      </c>
      <c r="J101" s="51" t="e">
        <f t="shared" ca="1" si="17"/>
        <v>#N/A</v>
      </c>
      <c r="M101" s="211" t="e">
        <f ca="1">Propagações_TOT_PARANAPANEMA!AB101</f>
        <v>#N/A</v>
      </c>
      <c r="N101" s="213" t="e">
        <f ca="1">IFERROR(INDEX(PREVS_SMAP!$D$132:$Q$134,MATCH(Propagações_TOT_ITAIPU!N$2,PREVS_SMAP!$A$132:$A$134,0),MATCH(Propagações_TOT_ITAIPU!$A101,PREVS_SMAP!$D$131:$Q$131,0)),INDEX(INDIRECT("PREVIVAZ!$C$"&amp;N$6+1&amp;":$N$"&amp;N$6+1&amp;""),1,MATCH($A101,PREVIVAZ!$C$1:$N$1,1)))</f>
        <v>#N/A</v>
      </c>
      <c r="O101" s="213" t="e">
        <f ca="1">IFERROR(INDEX(PREVS_SMAP!$D$132:$Q$134,MATCH(Propagações_TOT_ITAIPU!O$2,PREVS_SMAP!$A$132:$A$134,0),MATCH(Propagações_TOT_ITAIPU!$A101,PREVS_SMAP!$D$131:$Q$131,0)),INDEX(INDIRECT("PREVIVAZ!$C$"&amp;O$6+1&amp;":$N$"&amp;O$6+1&amp;""),1,MATCH($A101,PREVIVAZ!$C$1:$N$1,1)))</f>
        <v>#N/A</v>
      </c>
      <c r="P101" s="213" t="e">
        <f ca="1">IFERROR(INDEX(PREVS_SMAP!$D$132:$Q$134,MATCH(Propagações_TOT_ITAIPU!P$2,PREVS_SMAP!$A$132:$A$134,0),MATCH(Propagações_TOT_ITAIPU!$A101,PREVS_SMAP!$D$131:$Q$131,0)),INDEX(INDIRECT("PREVIVAZ!$C$"&amp;P$6+1&amp;":$N$"&amp;P$6+1&amp;""),1,MATCH($A101,PREVIVAZ!$C$1:$N$1,1)))</f>
        <v>#N/A</v>
      </c>
      <c r="Q101" s="213" t="e">
        <f ca="1">IFERROR(INDEX(PREVS_SMAP!$D$132:$Q$134,MATCH(Propagações_TOT_ITAIPU!Q$2,PREVS_SMAP!$A$132:$A$134,0),MATCH(Propagações_TOT_ITAIPU!$A101,PREVS_SMAP!$D$131:$Q$131,0)),INDEX(INDIRECT("PREVIVAZ!$C$"&amp;Q$6+1&amp;":$N$"&amp;Q$6+1&amp;""),1,MATCH($A101,PREVIVAZ!$C$1:$N$1,1)))</f>
        <v>#N/A</v>
      </c>
      <c r="R101" s="211" t="e">
        <f t="shared" ca="1" si="10"/>
        <v>#N/A</v>
      </c>
      <c r="S101" s="214" t="e">
        <f t="shared" ca="1" si="11"/>
        <v>#N/A</v>
      </c>
      <c r="T101" s="214" t="e">
        <f t="shared" ca="1" si="12"/>
        <v>#N/A</v>
      </c>
      <c r="U101" s="215" t="e">
        <f t="shared" ca="1" si="13"/>
        <v>#N/A</v>
      </c>
      <c r="V101" s="214" t="e">
        <f t="shared" ca="1" si="14"/>
        <v>#N/A</v>
      </c>
      <c r="W101" s="214" t="e">
        <f t="shared" ca="1" si="15"/>
        <v>#N/A</v>
      </c>
      <c r="X101" s="216"/>
      <c r="Y101" s="211" t="e">
        <f ca="1">Propagações_TOT_GRANDE!AP101</f>
        <v>#N/A</v>
      </c>
      <c r="Z101" s="211" t="e">
        <f ca="1">Propagações_TOT_PARANAIBA!AJ101</f>
        <v>#N/A</v>
      </c>
      <c r="AA101" s="213" t="e">
        <f ca="1">IFERROR(INDEX(PREVS_SMAP!$AU$28:$BA$347,MATCH(Propagações_TOT_ITAIPU!AA$2,PREVS_SMAP!$R$28:$R$347,0),MATCH(Propagações_TOT_ITAIPU!$A101,PREVS_SMAP!$AU$27:$BA$27,0)),INDEX(INDIRECT("PREVIVAZ!$C$"&amp;$AA$2+1&amp;":$N$"&amp;$AA$2+1&amp;""),1,MATCH($A101,PREVIVAZ!$C$1:$N$1,1)))</f>
        <v>#N/A</v>
      </c>
      <c r="AB101" s="213" t="e">
        <f ca="1">IFERROR(INDEX(PREVS_SMAP!$AU$28:$BA$347,MATCH(Propagações_TOT_ITAIPU!AB$2,PREVS_SMAP!$R$28:$R$347,0),MATCH(Propagações_TOT_ITAIPU!$A101,PREVS_SMAP!$AU$27:$BA$27,0)),INDEX(INDIRECT("PREVIVAZ!$C$"&amp;AB$2+1&amp;":$N$"&amp;AB$2+1&amp;""),1,MATCH($A101,PREVIVAZ!$C$1:$N$1,1)))</f>
        <v>#N/A</v>
      </c>
      <c r="AC101" s="213" t="e">
        <f ca="1">IFERROR(INDEX(PREVS_SMAP!$AU$28:$BA$347,MATCH(Propagações_TOT_ITAIPU!AC$2,PREVS_SMAP!$R$28:$R$347,0),MATCH(Propagações_TOT_ITAIPU!$A101,PREVS_SMAP!$AU$27:$BA$27,0)),INDEX(INDIRECT("PREVIVAZ!$C$"&amp;AC$2+1&amp;":$N$"&amp;AC$2+1&amp;""),1,MATCH($A101,PREVIVAZ!$C$1:$N$1,1)))</f>
        <v>#N/A</v>
      </c>
      <c r="AE101" s="272" t="e">
        <f ca="1">Propagações_TOT_TIETE!$X101</f>
        <v>#N/A</v>
      </c>
    </row>
    <row r="102" spans="1:31" s="272" customFormat="1" x14ac:dyDescent="0.2">
      <c r="A102" s="273">
        <f t="shared" ca="1" si="9"/>
        <v>43901</v>
      </c>
      <c r="B102" s="53"/>
      <c r="C102" s="53"/>
      <c r="D102" s="52"/>
      <c r="E102" s="279" t="e">
        <f ca="1">INDEX(RESULTADOS!$A:$BA,MATCH($A102,RESULTADOS!$A:$A,0),MATCH(E$1,RESULTADOS!$1:$1,0))</f>
        <v>#N/A</v>
      </c>
      <c r="F102" s="279" t="e">
        <f ca="1">INDEX(RESULTADOS!$A:$BA,MATCH($A102,RESULTADOS!$A:$A,0),MATCH(F$1,RESULTADOS!$1:$1,0))</f>
        <v>#N/A</v>
      </c>
      <c r="G102" s="279" t="e">
        <f ca="1">INDEX(RESULTADOS!$A:$BA,MATCH($A102,RESULTADOS!$A:$A,0),MATCH(G$1,RESULTADOS!$1:$1,0))</f>
        <v>#N/A</v>
      </c>
      <c r="H102" s="279" t="e">
        <f ca="1">INDEX(RESULTADOS!$A:$BA,MATCH($A102,RESULTADOS!$A:$A,0),MATCH(H$1,RESULTADOS!$1:$1,0))</f>
        <v>#N/A</v>
      </c>
      <c r="I102" s="279" t="e">
        <f ca="1">INDEX(RESULTADOS!$A:$BA,MATCH($A102,RESULTADOS!$A:$A,0),MATCH(I$1,RESULTADOS!$1:$1,0))</f>
        <v>#N/A</v>
      </c>
      <c r="J102" s="51" t="e">
        <f t="shared" ca="1" si="17"/>
        <v>#N/A</v>
      </c>
      <c r="M102" s="211" t="e">
        <f ca="1">Propagações_TOT_PARANAPANEMA!AB102</f>
        <v>#N/A</v>
      </c>
      <c r="N102" s="213" t="e">
        <f ca="1">IFERROR(INDEX(PREVS_SMAP!$D$132:$Q$134,MATCH(Propagações_TOT_ITAIPU!N$2,PREVS_SMAP!$A$132:$A$134,0),MATCH(Propagações_TOT_ITAIPU!$A102,PREVS_SMAP!$D$131:$Q$131,0)),INDEX(INDIRECT("PREVIVAZ!$C$"&amp;N$6+1&amp;":$N$"&amp;N$6+1&amp;""),1,MATCH($A102,PREVIVAZ!$C$1:$N$1,1)))</f>
        <v>#N/A</v>
      </c>
      <c r="O102" s="213" t="e">
        <f ca="1">IFERROR(INDEX(PREVS_SMAP!$D$132:$Q$134,MATCH(Propagações_TOT_ITAIPU!O$2,PREVS_SMAP!$A$132:$A$134,0),MATCH(Propagações_TOT_ITAIPU!$A102,PREVS_SMAP!$D$131:$Q$131,0)),INDEX(INDIRECT("PREVIVAZ!$C$"&amp;O$6+1&amp;":$N$"&amp;O$6+1&amp;""),1,MATCH($A102,PREVIVAZ!$C$1:$N$1,1)))</f>
        <v>#N/A</v>
      </c>
      <c r="P102" s="213" t="e">
        <f ca="1">IFERROR(INDEX(PREVS_SMAP!$D$132:$Q$134,MATCH(Propagações_TOT_ITAIPU!P$2,PREVS_SMAP!$A$132:$A$134,0),MATCH(Propagações_TOT_ITAIPU!$A102,PREVS_SMAP!$D$131:$Q$131,0)),INDEX(INDIRECT("PREVIVAZ!$C$"&amp;P$6+1&amp;":$N$"&amp;P$6+1&amp;""),1,MATCH($A102,PREVIVAZ!$C$1:$N$1,1)))</f>
        <v>#N/A</v>
      </c>
      <c r="Q102" s="213" t="e">
        <f ca="1">IFERROR(INDEX(PREVS_SMAP!$D$132:$Q$134,MATCH(Propagações_TOT_ITAIPU!Q$2,PREVS_SMAP!$A$132:$A$134,0),MATCH(Propagações_TOT_ITAIPU!$A102,PREVS_SMAP!$D$131:$Q$131,0)),INDEX(INDIRECT("PREVIVAZ!$C$"&amp;Q$6+1&amp;":$N$"&amp;Q$6+1&amp;""),1,MATCH($A102,PREVIVAZ!$C$1:$N$1,1)))</f>
        <v>#N/A</v>
      </c>
      <c r="R102" s="211" t="e">
        <f t="shared" ca="1" si="10"/>
        <v>#N/A</v>
      </c>
      <c r="S102" s="214" t="e">
        <f t="shared" ca="1" si="11"/>
        <v>#N/A</v>
      </c>
      <c r="T102" s="214" t="e">
        <f t="shared" ca="1" si="12"/>
        <v>#N/A</v>
      </c>
      <c r="U102" s="215" t="e">
        <f t="shared" ca="1" si="13"/>
        <v>#N/A</v>
      </c>
      <c r="V102" s="214" t="e">
        <f t="shared" ca="1" si="14"/>
        <v>#N/A</v>
      </c>
      <c r="W102" s="214" t="e">
        <f t="shared" ca="1" si="15"/>
        <v>#N/A</v>
      </c>
      <c r="X102" s="216"/>
      <c r="Y102" s="211" t="e">
        <f ca="1">Propagações_TOT_GRANDE!AP102</f>
        <v>#N/A</v>
      </c>
      <c r="Z102" s="211" t="e">
        <f ca="1">Propagações_TOT_PARANAIBA!AJ102</f>
        <v>#N/A</v>
      </c>
      <c r="AA102" s="213" t="e">
        <f ca="1">IFERROR(INDEX(PREVS_SMAP!$AU$28:$BA$347,MATCH(Propagações_TOT_ITAIPU!AA$2,PREVS_SMAP!$R$28:$R$347,0),MATCH(Propagações_TOT_ITAIPU!$A102,PREVS_SMAP!$AU$27:$BA$27,0)),INDEX(INDIRECT("PREVIVAZ!$C$"&amp;$AA$2+1&amp;":$N$"&amp;$AA$2+1&amp;""),1,MATCH($A102,PREVIVAZ!$C$1:$N$1,1)))</f>
        <v>#N/A</v>
      </c>
      <c r="AB102" s="213" t="e">
        <f ca="1">IFERROR(INDEX(PREVS_SMAP!$AU$28:$BA$347,MATCH(Propagações_TOT_ITAIPU!AB$2,PREVS_SMAP!$R$28:$R$347,0),MATCH(Propagações_TOT_ITAIPU!$A102,PREVS_SMAP!$AU$27:$BA$27,0)),INDEX(INDIRECT("PREVIVAZ!$C$"&amp;AB$2+1&amp;":$N$"&amp;AB$2+1&amp;""),1,MATCH($A102,PREVIVAZ!$C$1:$N$1,1)))</f>
        <v>#N/A</v>
      </c>
      <c r="AC102" s="213" t="e">
        <f ca="1">IFERROR(INDEX(PREVS_SMAP!$AU$28:$BA$347,MATCH(Propagações_TOT_ITAIPU!AC$2,PREVS_SMAP!$R$28:$R$347,0),MATCH(Propagações_TOT_ITAIPU!$A102,PREVS_SMAP!$AU$27:$BA$27,0)),INDEX(INDIRECT("PREVIVAZ!$C$"&amp;AC$2+1&amp;":$N$"&amp;AC$2+1&amp;""),1,MATCH($A102,PREVIVAZ!$C$1:$N$1,1)))</f>
        <v>#N/A</v>
      </c>
      <c r="AE102" s="272" t="e">
        <f ca="1">Propagações_TOT_TIETE!$X102</f>
        <v>#N/A</v>
      </c>
    </row>
    <row r="103" spans="1:31" s="272" customFormat="1" x14ac:dyDescent="0.2">
      <c r="A103" s="273">
        <f t="shared" ca="1" si="9"/>
        <v>43902</v>
      </c>
      <c r="B103" s="53"/>
      <c r="C103" s="53"/>
      <c r="D103" s="52"/>
      <c r="E103" s="279" t="e">
        <f ca="1">INDEX(RESULTADOS!$A:$BA,MATCH($A103,RESULTADOS!$A:$A,0),MATCH(E$1,RESULTADOS!$1:$1,0))</f>
        <v>#N/A</v>
      </c>
      <c r="F103" s="279" t="e">
        <f ca="1">INDEX(RESULTADOS!$A:$BA,MATCH($A103,RESULTADOS!$A:$A,0),MATCH(F$1,RESULTADOS!$1:$1,0))</f>
        <v>#N/A</v>
      </c>
      <c r="G103" s="279" t="e">
        <f ca="1">INDEX(RESULTADOS!$A:$BA,MATCH($A103,RESULTADOS!$A:$A,0),MATCH(G$1,RESULTADOS!$1:$1,0))</f>
        <v>#N/A</v>
      </c>
      <c r="H103" s="279" t="e">
        <f ca="1">INDEX(RESULTADOS!$A:$BA,MATCH($A103,RESULTADOS!$A:$A,0),MATCH(H$1,RESULTADOS!$1:$1,0))</f>
        <v>#N/A</v>
      </c>
      <c r="I103" s="279" t="e">
        <f ca="1">INDEX(RESULTADOS!$A:$BA,MATCH($A103,RESULTADOS!$A:$A,0),MATCH(I$1,RESULTADOS!$1:$1,0))</f>
        <v>#N/A</v>
      </c>
      <c r="J103" s="51" t="e">
        <f t="shared" ca="1" si="17"/>
        <v>#N/A</v>
      </c>
      <c r="M103" s="211" t="e">
        <f ca="1">Propagações_TOT_PARANAPANEMA!AB103</f>
        <v>#N/A</v>
      </c>
      <c r="N103" s="213" t="e">
        <f ca="1">IFERROR(INDEX(PREVS_SMAP!$D$132:$Q$134,MATCH(Propagações_TOT_ITAIPU!N$2,PREVS_SMAP!$A$132:$A$134,0),MATCH(Propagações_TOT_ITAIPU!$A103,PREVS_SMAP!$D$131:$Q$131,0)),INDEX(INDIRECT("PREVIVAZ!$C$"&amp;N$6+1&amp;":$N$"&amp;N$6+1&amp;""),1,MATCH($A103,PREVIVAZ!$C$1:$N$1,1)))</f>
        <v>#N/A</v>
      </c>
      <c r="O103" s="213" t="e">
        <f ca="1">IFERROR(INDEX(PREVS_SMAP!$D$132:$Q$134,MATCH(Propagações_TOT_ITAIPU!O$2,PREVS_SMAP!$A$132:$A$134,0),MATCH(Propagações_TOT_ITAIPU!$A103,PREVS_SMAP!$D$131:$Q$131,0)),INDEX(INDIRECT("PREVIVAZ!$C$"&amp;O$6+1&amp;":$N$"&amp;O$6+1&amp;""),1,MATCH($A103,PREVIVAZ!$C$1:$N$1,1)))</f>
        <v>#N/A</v>
      </c>
      <c r="P103" s="213" t="e">
        <f ca="1">IFERROR(INDEX(PREVS_SMAP!$D$132:$Q$134,MATCH(Propagações_TOT_ITAIPU!P$2,PREVS_SMAP!$A$132:$A$134,0),MATCH(Propagações_TOT_ITAIPU!$A103,PREVS_SMAP!$D$131:$Q$131,0)),INDEX(INDIRECT("PREVIVAZ!$C$"&amp;P$6+1&amp;":$N$"&amp;P$6+1&amp;""),1,MATCH($A103,PREVIVAZ!$C$1:$N$1,1)))</f>
        <v>#N/A</v>
      </c>
      <c r="Q103" s="213" t="e">
        <f ca="1">IFERROR(INDEX(PREVS_SMAP!$D$132:$Q$134,MATCH(Propagações_TOT_ITAIPU!Q$2,PREVS_SMAP!$A$132:$A$134,0),MATCH(Propagações_TOT_ITAIPU!$A103,PREVS_SMAP!$D$131:$Q$131,0)),INDEX(INDIRECT("PREVIVAZ!$C$"&amp;Q$6+1&amp;":$N$"&amp;Q$6+1&amp;""),1,MATCH($A103,PREVIVAZ!$C$1:$N$1,1)))</f>
        <v>#N/A</v>
      </c>
      <c r="R103" s="211" t="e">
        <f t="shared" ca="1" si="10"/>
        <v>#N/A</v>
      </c>
      <c r="S103" s="214" t="e">
        <f t="shared" ca="1" si="11"/>
        <v>#N/A</v>
      </c>
      <c r="T103" s="214" t="e">
        <f t="shared" ca="1" si="12"/>
        <v>#N/A</v>
      </c>
      <c r="U103" s="215" t="e">
        <f t="shared" ca="1" si="13"/>
        <v>#N/A</v>
      </c>
      <c r="V103" s="214" t="e">
        <f t="shared" ca="1" si="14"/>
        <v>#N/A</v>
      </c>
      <c r="W103" s="214" t="e">
        <f t="shared" ca="1" si="15"/>
        <v>#N/A</v>
      </c>
      <c r="X103" s="216"/>
      <c r="Y103" s="211" t="e">
        <f ca="1">Propagações_TOT_GRANDE!AP103</f>
        <v>#N/A</v>
      </c>
      <c r="Z103" s="211" t="e">
        <f ca="1">Propagações_TOT_PARANAIBA!AJ103</f>
        <v>#N/A</v>
      </c>
      <c r="AA103" s="213" t="e">
        <f ca="1">IFERROR(INDEX(PREVS_SMAP!$AU$28:$BA$347,MATCH(Propagações_TOT_ITAIPU!AA$2,PREVS_SMAP!$R$28:$R$347,0),MATCH(Propagações_TOT_ITAIPU!$A103,PREVS_SMAP!$AU$27:$BA$27,0)),INDEX(INDIRECT("PREVIVAZ!$C$"&amp;$AA$2+1&amp;":$N$"&amp;$AA$2+1&amp;""),1,MATCH($A103,PREVIVAZ!$C$1:$N$1,1)))</f>
        <v>#N/A</v>
      </c>
      <c r="AB103" s="213" t="e">
        <f ca="1">IFERROR(INDEX(PREVS_SMAP!$AU$28:$BA$347,MATCH(Propagações_TOT_ITAIPU!AB$2,PREVS_SMAP!$R$28:$R$347,0),MATCH(Propagações_TOT_ITAIPU!$A103,PREVS_SMAP!$AU$27:$BA$27,0)),INDEX(INDIRECT("PREVIVAZ!$C$"&amp;AB$2+1&amp;":$N$"&amp;AB$2+1&amp;""),1,MATCH($A103,PREVIVAZ!$C$1:$N$1,1)))</f>
        <v>#N/A</v>
      </c>
      <c r="AC103" s="213" t="e">
        <f ca="1">IFERROR(INDEX(PREVS_SMAP!$AU$28:$BA$347,MATCH(Propagações_TOT_ITAIPU!AC$2,PREVS_SMAP!$R$28:$R$347,0),MATCH(Propagações_TOT_ITAIPU!$A103,PREVS_SMAP!$AU$27:$BA$27,0)),INDEX(INDIRECT("PREVIVAZ!$C$"&amp;AC$2+1&amp;":$N$"&amp;AC$2+1&amp;""),1,MATCH($A103,PREVIVAZ!$C$1:$N$1,1)))</f>
        <v>#N/A</v>
      </c>
      <c r="AE103" s="272" t="e">
        <f ca="1">Propagações_TOT_TIETE!$X103</f>
        <v>#N/A</v>
      </c>
    </row>
    <row r="104" spans="1:31" s="272" customFormat="1" x14ac:dyDescent="0.2">
      <c r="A104" s="273">
        <f t="shared" ref="A104:A110" ca="1" si="18">A103+1</f>
        <v>43903</v>
      </c>
      <c r="B104" s="53"/>
      <c r="C104" s="53"/>
      <c r="D104" s="52"/>
      <c r="E104" s="279" t="e">
        <f ca="1">INDEX(RESULTADOS!$A:$BA,MATCH($A104,RESULTADOS!$A:$A,0),MATCH(E$1,RESULTADOS!$1:$1,0))</f>
        <v>#N/A</v>
      </c>
      <c r="F104" s="279" t="e">
        <f ca="1">INDEX(RESULTADOS!$A:$BA,MATCH($A104,RESULTADOS!$A:$A,0),MATCH(F$1,RESULTADOS!$1:$1,0))</f>
        <v>#N/A</v>
      </c>
      <c r="G104" s="279" t="e">
        <f ca="1">INDEX(RESULTADOS!$A:$BA,MATCH($A104,RESULTADOS!$A:$A,0),MATCH(G$1,RESULTADOS!$1:$1,0))</f>
        <v>#N/A</v>
      </c>
      <c r="H104" s="279" t="e">
        <f ca="1">INDEX(RESULTADOS!$A:$BA,MATCH($A104,RESULTADOS!$A:$A,0),MATCH(H$1,RESULTADOS!$1:$1,0))</f>
        <v>#N/A</v>
      </c>
      <c r="I104" s="279" t="e">
        <f ca="1">INDEX(RESULTADOS!$A:$BA,MATCH($A104,RESULTADOS!$A:$A,0),MATCH(I$1,RESULTADOS!$1:$1,0))</f>
        <v>#N/A</v>
      </c>
      <c r="J104" s="51" t="e">
        <f t="shared" ca="1" si="17"/>
        <v>#N/A</v>
      </c>
      <c r="M104" s="211" t="e">
        <f ca="1">Propagações_TOT_PARANAPANEMA!AB104</f>
        <v>#N/A</v>
      </c>
      <c r="N104" s="213" t="e">
        <f ca="1">IFERROR(INDEX(PREVS_SMAP!$D$132:$Q$134,MATCH(Propagações_TOT_ITAIPU!N$2,PREVS_SMAP!$A$132:$A$134,0),MATCH(Propagações_TOT_ITAIPU!$A104,PREVS_SMAP!$D$131:$Q$131,0)),INDEX(INDIRECT("PREVIVAZ!$C$"&amp;N$6+1&amp;":$N$"&amp;N$6+1&amp;""),1,MATCH($A104,PREVIVAZ!$C$1:$N$1,1)))</f>
        <v>#N/A</v>
      </c>
      <c r="O104" s="213" t="e">
        <f ca="1">IFERROR(INDEX(PREVS_SMAP!$D$132:$Q$134,MATCH(Propagações_TOT_ITAIPU!O$2,PREVS_SMAP!$A$132:$A$134,0),MATCH(Propagações_TOT_ITAIPU!$A104,PREVS_SMAP!$D$131:$Q$131,0)),INDEX(INDIRECT("PREVIVAZ!$C$"&amp;O$6+1&amp;":$N$"&amp;O$6+1&amp;""),1,MATCH($A104,PREVIVAZ!$C$1:$N$1,1)))</f>
        <v>#N/A</v>
      </c>
      <c r="P104" s="213" t="e">
        <f ca="1">IFERROR(INDEX(PREVS_SMAP!$D$132:$Q$134,MATCH(Propagações_TOT_ITAIPU!P$2,PREVS_SMAP!$A$132:$A$134,0),MATCH(Propagações_TOT_ITAIPU!$A104,PREVS_SMAP!$D$131:$Q$131,0)),INDEX(INDIRECT("PREVIVAZ!$C$"&amp;P$6+1&amp;":$N$"&amp;P$6+1&amp;""),1,MATCH($A104,PREVIVAZ!$C$1:$N$1,1)))</f>
        <v>#N/A</v>
      </c>
      <c r="Q104" s="213" t="e">
        <f ca="1">IFERROR(INDEX(PREVS_SMAP!$D$132:$Q$134,MATCH(Propagações_TOT_ITAIPU!Q$2,PREVS_SMAP!$A$132:$A$134,0),MATCH(Propagações_TOT_ITAIPU!$A104,PREVS_SMAP!$D$131:$Q$131,0)),INDEX(INDIRECT("PREVIVAZ!$C$"&amp;Q$6+1&amp;":$N$"&amp;Q$6+1&amp;""),1,MATCH($A104,PREVIVAZ!$C$1:$N$1,1)))</f>
        <v>#N/A</v>
      </c>
      <c r="R104" s="211" t="e">
        <f t="shared" ca="1" si="10"/>
        <v>#N/A</v>
      </c>
      <c r="S104" s="214" t="e">
        <f t="shared" ca="1" si="11"/>
        <v>#N/A</v>
      </c>
      <c r="T104" s="214" t="e">
        <f t="shared" ca="1" si="12"/>
        <v>#N/A</v>
      </c>
      <c r="U104" s="215" t="e">
        <f t="shared" ca="1" si="13"/>
        <v>#N/A</v>
      </c>
      <c r="V104" s="214" t="e">
        <f t="shared" ca="1" si="14"/>
        <v>#N/A</v>
      </c>
      <c r="W104" s="214" t="e">
        <f t="shared" ca="1" si="15"/>
        <v>#N/A</v>
      </c>
      <c r="X104" s="216"/>
      <c r="Y104" s="211" t="e">
        <f ca="1">Propagações_TOT_GRANDE!AP104</f>
        <v>#N/A</v>
      </c>
      <c r="Z104" s="211" t="e">
        <f ca="1">Propagações_TOT_PARANAIBA!AJ104</f>
        <v>#N/A</v>
      </c>
      <c r="AA104" s="213" t="e">
        <f ca="1">IFERROR(INDEX(PREVS_SMAP!$AU$28:$BA$347,MATCH(Propagações_TOT_ITAIPU!AA$2,PREVS_SMAP!$R$28:$R$347,0),MATCH(Propagações_TOT_ITAIPU!$A104,PREVS_SMAP!$AU$27:$BA$27,0)),INDEX(INDIRECT("PREVIVAZ!$C$"&amp;$AA$2+1&amp;":$N$"&amp;$AA$2+1&amp;""),1,MATCH($A104,PREVIVAZ!$C$1:$N$1,1)))</f>
        <v>#N/A</v>
      </c>
      <c r="AB104" s="213" t="e">
        <f ca="1">IFERROR(INDEX(PREVS_SMAP!$AU$28:$BA$347,MATCH(Propagações_TOT_ITAIPU!AB$2,PREVS_SMAP!$R$28:$R$347,0),MATCH(Propagações_TOT_ITAIPU!$A104,PREVS_SMAP!$AU$27:$BA$27,0)),INDEX(INDIRECT("PREVIVAZ!$C$"&amp;AB$2+1&amp;":$N$"&amp;AB$2+1&amp;""),1,MATCH($A104,PREVIVAZ!$C$1:$N$1,1)))</f>
        <v>#N/A</v>
      </c>
      <c r="AC104" s="213" t="e">
        <f ca="1">IFERROR(INDEX(PREVS_SMAP!$AU$28:$BA$347,MATCH(Propagações_TOT_ITAIPU!AC$2,PREVS_SMAP!$R$28:$R$347,0),MATCH(Propagações_TOT_ITAIPU!$A104,PREVS_SMAP!$AU$27:$BA$27,0)),INDEX(INDIRECT("PREVIVAZ!$C$"&amp;AC$2+1&amp;":$N$"&amp;AC$2+1&amp;""),1,MATCH($A104,PREVIVAZ!$C$1:$N$1,1)))</f>
        <v>#N/A</v>
      </c>
      <c r="AE104" s="272" t="e">
        <f ca="1">Propagações_TOT_TIETE!$X104</f>
        <v>#N/A</v>
      </c>
    </row>
    <row r="105" spans="1:31" s="272" customFormat="1" x14ac:dyDescent="0.2">
      <c r="A105" s="273">
        <f t="shared" ca="1" si="18"/>
        <v>43904</v>
      </c>
      <c r="B105" s="53"/>
      <c r="C105" s="53"/>
      <c r="D105" s="52"/>
      <c r="E105" s="279" t="e">
        <f ca="1">INDEX(RESULTADOS!$A:$BA,MATCH($A105,RESULTADOS!$A:$A,0),MATCH(E$1,RESULTADOS!$1:$1,0))</f>
        <v>#N/A</v>
      </c>
      <c r="F105" s="279" t="e">
        <f ca="1">INDEX(RESULTADOS!$A:$BA,MATCH($A105,RESULTADOS!$A:$A,0),MATCH(F$1,RESULTADOS!$1:$1,0))</f>
        <v>#N/A</v>
      </c>
      <c r="G105" s="279" t="e">
        <f ca="1">INDEX(RESULTADOS!$A:$BA,MATCH($A105,RESULTADOS!$A:$A,0),MATCH(G$1,RESULTADOS!$1:$1,0))</f>
        <v>#N/A</v>
      </c>
      <c r="H105" s="279" t="e">
        <f ca="1">INDEX(RESULTADOS!$A:$BA,MATCH($A105,RESULTADOS!$A:$A,0),MATCH(H$1,RESULTADOS!$1:$1,0))</f>
        <v>#N/A</v>
      </c>
      <c r="I105" s="279" t="e">
        <f ca="1">INDEX(RESULTADOS!$A:$BA,MATCH($A105,RESULTADOS!$A:$A,0),MATCH(I$1,RESULTADOS!$1:$1,0))</f>
        <v>#N/A</v>
      </c>
      <c r="J105" s="51" t="e">
        <f t="shared" ca="1" si="17"/>
        <v>#N/A</v>
      </c>
      <c r="M105" s="211" t="e">
        <f ca="1">Propagações_TOT_PARANAPANEMA!AB105</f>
        <v>#N/A</v>
      </c>
      <c r="N105" s="213" t="e">
        <f ca="1">IFERROR(INDEX(PREVS_SMAP!$D$132:$Q$134,MATCH(Propagações_TOT_ITAIPU!N$2,PREVS_SMAP!$A$132:$A$134,0),MATCH(Propagações_TOT_ITAIPU!$A105,PREVS_SMAP!$D$131:$Q$131,0)),INDEX(INDIRECT("PREVIVAZ!$C$"&amp;N$6+1&amp;":$N$"&amp;N$6+1&amp;""),1,MATCH($A105,PREVIVAZ!$C$1:$N$1,1)))</f>
        <v>#N/A</v>
      </c>
      <c r="O105" s="213" t="e">
        <f ca="1">IFERROR(INDEX(PREVS_SMAP!$D$132:$Q$134,MATCH(Propagações_TOT_ITAIPU!O$2,PREVS_SMAP!$A$132:$A$134,0),MATCH(Propagações_TOT_ITAIPU!$A105,PREVS_SMAP!$D$131:$Q$131,0)),INDEX(INDIRECT("PREVIVAZ!$C$"&amp;O$6+1&amp;":$N$"&amp;O$6+1&amp;""),1,MATCH($A105,PREVIVAZ!$C$1:$N$1,1)))</f>
        <v>#N/A</v>
      </c>
      <c r="P105" s="213" t="e">
        <f ca="1">IFERROR(INDEX(PREVS_SMAP!$D$132:$Q$134,MATCH(Propagações_TOT_ITAIPU!P$2,PREVS_SMAP!$A$132:$A$134,0),MATCH(Propagações_TOT_ITAIPU!$A105,PREVS_SMAP!$D$131:$Q$131,0)),INDEX(INDIRECT("PREVIVAZ!$C$"&amp;P$6+1&amp;":$N$"&amp;P$6+1&amp;""),1,MATCH($A105,PREVIVAZ!$C$1:$N$1,1)))</f>
        <v>#N/A</v>
      </c>
      <c r="Q105" s="213" t="e">
        <f ca="1">IFERROR(INDEX(PREVS_SMAP!$D$132:$Q$134,MATCH(Propagações_TOT_ITAIPU!Q$2,PREVS_SMAP!$A$132:$A$134,0),MATCH(Propagações_TOT_ITAIPU!$A105,PREVS_SMAP!$D$131:$Q$131,0)),INDEX(INDIRECT("PREVIVAZ!$C$"&amp;Q$6+1&amp;":$N$"&amp;Q$6+1&amp;""),1,MATCH($A105,PREVIVAZ!$C$1:$N$1,1)))</f>
        <v>#N/A</v>
      </c>
      <c r="R105" s="211" t="e">
        <f t="shared" ca="1" si="10"/>
        <v>#N/A</v>
      </c>
      <c r="S105" s="214" t="e">
        <f t="shared" ca="1" si="11"/>
        <v>#N/A</v>
      </c>
      <c r="T105" s="214" t="e">
        <f t="shared" ca="1" si="12"/>
        <v>#N/A</v>
      </c>
      <c r="U105" s="215" t="e">
        <f t="shared" ca="1" si="13"/>
        <v>#N/A</v>
      </c>
      <c r="V105" s="214" t="e">
        <f t="shared" ca="1" si="14"/>
        <v>#N/A</v>
      </c>
      <c r="W105" s="214" t="e">
        <f t="shared" ca="1" si="15"/>
        <v>#N/A</v>
      </c>
      <c r="X105" s="216"/>
      <c r="Y105" s="211" t="e">
        <f ca="1">Propagações_TOT_GRANDE!AP105</f>
        <v>#N/A</v>
      </c>
      <c r="Z105" s="211" t="e">
        <f ca="1">Propagações_TOT_PARANAIBA!AJ105</f>
        <v>#N/A</v>
      </c>
      <c r="AA105" s="213" t="e">
        <f ca="1">IFERROR(INDEX(PREVS_SMAP!$AU$28:$BA$347,MATCH(Propagações_TOT_ITAIPU!AA$2,PREVS_SMAP!$R$28:$R$347,0),MATCH(Propagações_TOT_ITAIPU!$A105,PREVS_SMAP!$AU$27:$BA$27,0)),INDEX(INDIRECT("PREVIVAZ!$C$"&amp;$AA$2+1&amp;":$N$"&amp;$AA$2+1&amp;""),1,MATCH($A105,PREVIVAZ!$C$1:$N$1,1)))</f>
        <v>#N/A</v>
      </c>
      <c r="AB105" s="213" t="e">
        <f ca="1">IFERROR(INDEX(PREVS_SMAP!$AU$28:$BA$347,MATCH(Propagações_TOT_ITAIPU!AB$2,PREVS_SMAP!$R$28:$R$347,0),MATCH(Propagações_TOT_ITAIPU!$A105,PREVS_SMAP!$AU$27:$BA$27,0)),INDEX(INDIRECT("PREVIVAZ!$C$"&amp;AB$2+1&amp;":$N$"&amp;AB$2+1&amp;""),1,MATCH($A105,PREVIVAZ!$C$1:$N$1,1)))</f>
        <v>#N/A</v>
      </c>
      <c r="AC105" s="213" t="e">
        <f ca="1">IFERROR(INDEX(PREVS_SMAP!$AU$28:$BA$347,MATCH(Propagações_TOT_ITAIPU!AC$2,PREVS_SMAP!$R$28:$R$347,0),MATCH(Propagações_TOT_ITAIPU!$A105,PREVS_SMAP!$AU$27:$BA$27,0)),INDEX(INDIRECT("PREVIVAZ!$C$"&amp;AC$2+1&amp;":$N$"&amp;AC$2+1&amp;""),1,MATCH($A105,PREVIVAZ!$C$1:$N$1,1)))</f>
        <v>#N/A</v>
      </c>
      <c r="AE105" s="272" t="e">
        <f ca="1">Propagações_TOT_TIETE!$X105</f>
        <v>#N/A</v>
      </c>
    </row>
    <row r="106" spans="1:31" s="272" customFormat="1" x14ac:dyDescent="0.2">
      <c r="A106" s="273">
        <f t="shared" ca="1" si="18"/>
        <v>43905</v>
      </c>
      <c r="B106" s="53"/>
      <c r="C106" s="53"/>
      <c r="D106" s="52"/>
      <c r="E106" s="279" t="e">
        <f ca="1">INDEX(RESULTADOS!$A:$BA,MATCH($A106,RESULTADOS!$A:$A,0),MATCH(E$1,RESULTADOS!$1:$1,0))</f>
        <v>#N/A</v>
      </c>
      <c r="F106" s="279" t="e">
        <f ca="1">INDEX(RESULTADOS!$A:$BA,MATCH($A106,RESULTADOS!$A:$A,0),MATCH(F$1,RESULTADOS!$1:$1,0))</f>
        <v>#N/A</v>
      </c>
      <c r="G106" s="279" t="e">
        <f ca="1">INDEX(RESULTADOS!$A:$BA,MATCH($A106,RESULTADOS!$A:$A,0),MATCH(G$1,RESULTADOS!$1:$1,0))</f>
        <v>#N/A</v>
      </c>
      <c r="H106" s="279" t="e">
        <f ca="1">INDEX(RESULTADOS!$A:$BA,MATCH($A106,RESULTADOS!$A:$A,0),MATCH(H$1,RESULTADOS!$1:$1,0))</f>
        <v>#N/A</v>
      </c>
      <c r="I106" s="279" t="e">
        <f ca="1">INDEX(RESULTADOS!$A:$BA,MATCH($A106,RESULTADOS!$A:$A,0),MATCH(I$1,RESULTADOS!$1:$1,0))</f>
        <v>#N/A</v>
      </c>
      <c r="J106" s="51" t="e">
        <f t="shared" ca="1" si="17"/>
        <v>#N/A</v>
      </c>
      <c r="M106" s="211" t="e">
        <f ca="1">Propagações_TOT_PARANAPANEMA!AB106</f>
        <v>#N/A</v>
      </c>
      <c r="N106" s="213" t="e">
        <f ca="1">IFERROR(INDEX(PREVS_SMAP!$D$132:$Q$134,MATCH(Propagações_TOT_ITAIPU!N$2,PREVS_SMAP!$A$132:$A$134,0),MATCH(Propagações_TOT_ITAIPU!$A106,PREVS_SMAP!$D$131:$Q$131,0)),INDEX(INDIRECT("PREVIVAZ!$C$"&amp;N$6+1&amp;":$N$"&amp;N$6+1&amp;""),1,MATCH($A106,PREVIVAZ!$C$1:$N$1,1)))</f>
        <v>#N/A</v>
      </c>
      <c r="O106" s="213" t="e">
        <f ca="1">IFERROR(INDEX(PREVS_SMAP!$D$132:$Q$134,MATCH(Propagações_TOT_ITAIPU!O$2,PREVS_SMAP!$A$132:$A$134,0),MATCH(Propagações_TOT_ITAIPU!$A106,PREVS_SMAP!$D$131:$Q$131,0)),INDEX(INDIRECT("PREVIVAZ!$C$"&amp;O$6+1&amp;":$N$"&amp;O$6+1&amp;""),1,MATCH($A106,PREVIVAZ!$C$1:$N$1,1)))</f>
        <v>#N/A</v>
      </c>
      <c r="P106" s="213" t="e">
        <f ca="1">IFERROR(INDEX(PREVS_SMAP!$D$132:$Q$134,MATCH(Propagações_TOT_ITAIPU!P$2,PREVS_SMAP!$A$132:$A$134,0),MATCH(Propagações_TOT_ITAIPU!$A106,PREVS_SMAP!$D$131:$Q$131,0)),INDEX(INDIRECT("PREVIVAZ!$C$"&amp;P$6+1&amp;":$N$"&amp;P$6+1&amp;""),1,MATCH($A106,PREVIVAZ!$C$1:$N$1,1)))</f>
        <v>#N/A</v>
      </c>
      <c r="Q106" s="213" t="e">
        <f ca="1">IFERROR(INDEX(PREVS_SMAP!$D$132:$Q$134,MATCH(Propagações_TOT_ITAIPU!Q$2,PREVS_SMAP!$A$132:$A$134,0),MATCH(Propagações_TOT_ITAIPU!$A106,PREVS_SMAP!$D$131:$Q$131,0)),INDEX(INDIRECT("PREVIVAZ!$C$"&amp;Q$6+1&amp;":$N$"&amp;Q$6+1&amp;""),1,MATCH($A106,PREVIVAZ!$C$1:$N$1,1)))</f>
        <v>#N/A</v>
      </c>
      <c r="R106" s="211" t="e">
        <f t="shared" ca="1" si="10"/>
        <v>#N/A</v>
      </c>
      <c r="S106" s="214" t="e">
        <f t="shared" ca="1" si="11"/>
        <v>#N/A</v>
      </c>
      <c r="T106" s="214" t="e">
        <f t="shared" ca="1" si="12"/>
        <v>#N/A</v>
      </c>
      <c r="U106" s="215" t="e">
        <f t="shared" ca="1" si="13"/>
        <v>#N/A</v>
      </c>
      <c r="V106" s="214" t="e">
        <f t="shared" ca="1" si="14"/>
        <v>#N/A</v>
      </c>
      <c r="W106" s="214" t="e">
        <f t="shared" ca="1" si="15"/>
        <v>#N/A</v>
      </c>
      <c r="X106" s="216"/>
      <c r="Y106" s="211" t="e">
        <f ca="1">Propagações_TOT_GRANDE!AP106</f>
        <v>#N/A</v>
      </c>
      <c r="Z106" s="211" t="e">
        <f ca="1">Propagações_TOT_PARANAIBA!AJ106</f>
        <v>#N/A</v>
      </c>
      <c r="AA106" s="213" t="e">
        <f ca="1">IFERROR(INDEX(PREVS_SMAP!$AU$28:$BA$347,MATCH(Propagações_TOT_ITAIPU!AA$2,PREVS_SMAP!$R$28:$R$347,0),MATCH(Propagações_TOT_ITAIPU!$A106,PREVS_SMAP!$AU$27:$BA$27,0)),INDEX(INDIRECT("PREVIVAZ!$C$"&amp;$AA$2+1&amp;":$N$"&amp;$AA$2+1&amp;""),1,MATCH($A106,PREVIVAZ!$C$1:$N$1,1)))</f>
        <v>#N/A</v>
      </c>
      <c r="AB106" s="213" t="e">
        <f ca="1">IFERROR(INDEX(PREVS_SMAP!$AU$28:$BA$347,MATCH(Propagações_TOT_ITAIPU!AB$2,PREVS_SMAP!$R$28:$R$347,0),MATCH(Propagações_TOT_ITAIPU!$A106,PREVS_SMAP!$AU$27:$BA$27,0)),INDEX(INDIRECT("PREVIVAZ!$C$"&amp;AB$2+1&amp;":$N$"&amp;AB$2+1&amp;""),1,MATCH($A106,PREVIVAZ!$C$1:$N$1,1)))</f>
        <v>#N/A</v>
      </c>
      <c r="AC106" s="213" t="e">
        <f ca="1">IFERROR(INDEX(PREVS_SMAP!$AU$28:$BA$347,MATCH(Propagações_TOT_ITAIPU!AC$2,PREVS_SMAP!$R$28:$R$347,0),MATCH(Propagações_TOT_ITAIPU!$A106,PREVS_SMAP!$AU$27:$BA$27,0)),INDEX(INDIRECT("PREVIVAZ!$C$"&amp;AC$2+1&amp;":$N$"&amp;AC$2+1&amp;""),1,MATCH($A106,PREVIVAZ!$C$1:$N$1,1)))</f>
        <v>#N/A</v>
      </c>
      <c r="AE106" s="272" t="e">
        <f ca="1">Propagações_TOT_TIETE!$X106</f>
        <v>#N/A</v>
      </c>
    </row>
    <row r="107" spans="1:31" s="272" customFormat="1" x14ac:dyDescent="0.2">
      <c r="A107" s="273">
        <f t="shared" ca="1" si="18"/>
        <v>43906</v>
      </c>
      <c r="B107" s="53"/>
      <c r="C107" s="53"/>
      <c r="D107" s="52"/>
      <c r="E107" s="279" t="e">
        <f ca="1">INDEX(RESULTADOS!$A:$BA,MATCH($A107,RESULTADOS!$A:$A,0),MATCH(E$1,RESULTADOS!$1:$1,0))</f>
        <v>#N/A</v>
      </c>
      <c r="F107" s="279" t="e">
        <f ca="1">INDEX(RESULTADOS!$A:$BA,MATCH($A107,RESULTADOS!$A:$A,0),MATCH(F$1,RESULTADOS!$1:$1,0))</f>
        <v>#N/A</v>
      </c>
      <c r="G107" s="279" t="e">
        <f ca="1">INDEX(RESULTADOS!$A:$BA,MATCH($A107,RESULTADOS!$A:$A,0),MATCH(G$1,RESULTADOS!$1:$1,0))</f>
        <v>#N/A</v>
      </c>
      <c r="H107" s="279" t="e">
        <f ca="1">INDEX(RESULTADOS!$A:$BA,MATCH($A107,RESULTADOS!$A:$A,0),MATCH(H$1,RESULTADOS!$1:$1,0))</f>
        <v>#N/A</v>
      </c>
      <c r="I107" s="279" t="e">
        <f ca="1">INDEX(RESULTADOS!$A:$BA,MATCH($A107,RESULTADOS!$A:$A,0),MATCH(I$1,RESULTADOS!$1:$1,0))</f>
        <v>#N/A</v>
      </c>
      <c r="J107" s="51" t="e">
        <f t="shared" ca="1" si="17"/>
        <v>#N/A</v>
      </c>
      <c r="M107" s="211" t="e">
        <f ca="1">Propagações_TOT_PARANAPANEMA!AB107</f>
        <v>#N/A</v>
      </c>
      <c r="N107" s="213" t="e">
        <f ca="1">IFERROR(INDEX(PREVS_SMAP!$D$132:$Q$134,MATCH(Propagações_TOT_ITAIPU!N$2,PREVS_SMAP!$A$132:$A$134,0),MATCH(Propagações_TOT_ITAIPU!$A107,PREVS_SMAP!$D$131:$Q$131,0)),INDEX(INDIRECT("PREVIVAZ!$C$"&amp;N$6+1&amp;":$N$"&amp;N$6+1&amp;""),1,MATCH($A107,PREVIVAZ!$C$1:$N$1,1)))</f>
        <v>#N/A</v>
      </c>
      <c r="O107" s="213" t="e">
        <f ca="1">IFERROR(INDEX(PREVS_SMAP!$D$132:$Q$134,MATCH(Propagações_TOT_ITAIPU!O$2,PREVS_SMAP!$A$132:$A$134,0),MATCH(Propagações_TOT_ITAIPU!$A107,PREVS_SMAP!$D$131:$Q$131,0)),INDEX(INDIRECT("PREVIVAZ!$C$"&amp;O$6+1&amp;":$N$"&amp;O$6+1&amp;""),1,MATCH($A107,PREVIVAZ!$C$1:$N$1,1)))</f>
        <v>#N/A</v>
      </c>
      <c r="P107" s="213" t="e">
        <f ca="1">IFERROR(INDEX(PREVS_SMAP!$D$132:$Q$134,MATCH(Propagações_TOT_ITAIPU!P$2,PREVS_SMAP!$A$132:$A$134,0),MATCH(Propagações_TOT_ITAIPU!$A107,PREVS_SMAP!$D$131:$Q$131,0)),INDEX(INDIRECT("PREVIVAZ!$C$"&amp;P$6+1&amp;":$N$"&amp;P$6+1&amp;""),1,MATCH($A107,PREVIVAZ!$C$1:$N$1,1)))</f>
        <v>#N/A</v>
      </c>
      <c r="Q107" s="213" t="e">
        <f ca="1">IFERROR(INDEX(PREVS_SMAP!$D$132:$Q$134,MATCH(Propagações_TOT_ITAIPU!Q$2,PREVS_SMAP!$A$132:$A$134,0),MATCH(Propagações_TOT_ITAIPU!$A107,PREVS_SMAP!$D$131:$Q$131,0)),INDEX(INDIRECT("PREVIVAZ!$C$"&amp;Q$6+1&amp;":$N$"&amp;Q$6+1&amp;""),1,MATCH($A107,PREVIVAZ!$C$1:$N$1,1)))</f>
        <v>#N/A</v>
      </c>
      <c r="R107" s="211" t="e">
        <f t="shared" ca="1" si="10"/>
        <v>#N/A</v>
      </c>
      <c r="S107" s="214" t="e">
        <f t="shared" ca="1" si="11"/>
        <v>#N/A</v>
      </c>
      <c r="T107" s="214" t="e">
        <f t="shared" ca="1" si="12"/>
        <v>#N/A</v>
      </c>
      <c r="U107" s="215" t="e">
        <f t="shared" ca="1" si="13"/>
        <v>#N/A</v>
      </c>
      <c r="V107" s="214" t="e">
        <f t="shared" ca="1" si="14"/>
        <v>#N/A</v>
      </c>
      <c r="W107" s="214" t="e">
        <f t="shared" ca="1" si="15"/>
        <v>#N/A</v>
      </c>
      <c r="X107" s="216"/>
      <c r="Y107" s="211" t="e">
        <f ca="1">Propagações_TOT_GRANDE!AP107</f>
        <v>#N/A</v>
      </c>
      <c r="Z107" s="211" t="e">
        <f ca="1">Propagações_TOT_PARANAIBA!AJ107</f>
        <v>#N/A</v>
      </c>
      <c r="AA107" s="213" t="e">
        <f ca="1">IFERROR(INDEX(PREVS_SMAP!$AU$28:$BA$347,MATCH(Propagações_TOT_ITAIPU!AA$2,PREVS_SMAP!$R$28:$R$347,0),MATCH(Propagações_TOT_ITAIPU!$A107,PREVS_SMAP!$AU$27:$BA$27,0)),INDEX(INDIRECT("PREVIVAZ!$C$"&amp;$AA$2+1&amp;":$N$"&amp;$AA$2+1&amp;""),1,MATCH($A107,PREVIVAZ!$C$1:$N$1,1)))</f>
        <v>#N/A</v>
      </c>
      <c r="AB107" s="213" t="e">
        <f ca="1">IFERROR(INDEX(PREVS_SMAP!$AU$28:$BA$347,MATCH(Propagações_TOT_ITAIPU!AB$2,PREVS_SMAP!$R$28:$R$347,0),MATCH(Propagações_TOT_ITAIPU!$A107,PREVS_SMAP!$AU$27:$BA$27,0)),INDEX(INDIRECT("PREVIVAZ!$C$"&amp;AB$2+1&amp;":$N$"&amp;AB$2+1&amp;""),1,MATCH($A107,PREVIVAZ!$C$1:$N$1,1)))</f>
        <v>#N/A</v>
      </c>
      <c r="AC107" s="213" t="e">
        <f ca="1">IFERROR(INDEX(PREVS_SMAP!$AU$28:$BA$347,MATCH(Propagações_TOT_ITAIPU!AC$2,PREVS_SMAP!$R$28:$R$347,0),MATCH(Propagações_TOT_ITAIPU!$A107,PREVS_SMAP!$AU$27:$BA$27,0)),INDEX(INDIRECT("PREVIVAZ!$C$"&amp;AC$2+1&amp;":$N$"&amp;AC$2+1&amp;""),1,MATCH($A107,PREVIVAZ!$C$1:$N$1,1)))</f>
        <v>#N/A</v>
      </c>
      <c r="AE107" s="272" t="e">
        <f ca="1">Propagações_TOT_TIETE!$X107</f>
        <v>#N/A</v>
      </c>
    </row>
    <row r="108" spans="1:31" s="272" customFormat="1" x14ac:dyDescent="0.2">
      <c r="A108" s="273">
        <f t="shared" ca="1" si="18"/>
        <v>43907</v>
      </c>
      <c r="B108" s="53"/>
      <c r="C108" s="53"/>
      <c r="D108" s="52"/>
      <c r="E108" s="279" t="e">
        <f ca="1">INDEX(RESULTADOS!$A:$BA,MATCH($A108,RESULTADOS!$A:$A,0),MATCH(E$1,RESULTADOS!$1:$1,0))</f>
        <v>#N/A</v>
      </c>
      <c r="F108" s="279" t="e">
        <f ca="1">INDEX(RESULTADOS!$A:$BA,MATCH($A108,RESULTADOS!$A:$A,0),MATCH(F$1,RESULTADOS!$1:$1,0))</f>
        <v>#N/A</v>
      </c>
      <c r="G108" s="279" t="e">
        <f ca="1">INDEX(RESULTADOS!$A:$BA,MATCH($A108,RESULTADOS!$A:$A,0),MATCH(G$1,RESULTADOS!$1:$1,0))</f>
        <v>#N/A</v>
      </c>
      <c r="H108" s="279" t="e">
        <f ca="1">INDEX(RESULTADOS!$A:$BA,MATCH($A108,RESULTADOS!$A:$A,0),MATCH(H$1,RESULTADOS!$1:$1,0))</f>
        <v>#N/A</v>
      </c>
      <c r="I108" s="279" t="e">
        <f ca="1">INDEX(RESULTADOS!$A:$BA,MATCH($A108,RESULTADOS!$A:$A,0),MATCH(I$1,RESULTADOS!$1:$1,0))</f>
        <v>#N/A</v>
      </c>
      <c r="J108" s="51" t="e">
        <f t="shared" ca="1" si="17"/>
        <v>#N/A</v>
      </c>
      <c r="M108" s="211" t="e">
        <f ca="1">Propagações_TOT_PARANAPANEMA!AB108</f>
        <v>#N/A</v>
      </c>
      <c r="N108" s="213" t="e">
        <f ca="1">IFERROR(INDEX(PREVS_SMAP!$D$132:$Q$134,MATCH(Propagações_TOT_ITAIPU!N$2,PREVS_SMAP!$A$132:$A$134,0),MATCH(Propagações_TOT_ITAIPU!$A108,PREVS_SMAP!$D$131:$Q$131,0)),INDEX(INDIRECT("PREVIVAZ!$C$"&amp;N$6+1&amp;":$N$"&amp;N$6+1&amp;""),1,MATCH($A108,PREVIVAZ!$C$1:$N$1,1)))</f>
        <v>#N/A</v>
      </c>
      <c r="O108" s="213" t="e">
        <f ca="1">IFERROR(INDEX(PREVS_SMAP!$D$132:$Q$134,MATCH(Propagações_TOT_ITAIPU!O$2,PREVS_SMAP!$A$132:$A$134,0),MATCH(Propagações_TOT_ITAIPU!$A108,PREVS_SMAP!$D$131:$Q$131,0)),INDEX(INDIRECT("PREVIVAZ!$C$"&amp;O$6+1&amp;":$N$"&amp;O$6+1&amp;""),1,MATCH($A108,PREVIVAZ!$C$1:$N$1,1)))</f>
        <v>#N/A</v>
      </c>
      <c r="P108" s="213" t="e">
        <f ca="1">IFERROR(INDEX(PREVS_SMAP!$D$132:$Q$134,MATCH(Propagações_TOT_ITAIPU!P$2,PREVS_SMAP!$A$132:$A$134,0),MATCH(Propagações_TOT_ITAIPU!$A108,PREVS_SMAP!$D$131:$Q$131,0)),INDEX(INDIRECT("PREVIVAZ!$C$"&amp;P$6+1&amp;":$N$"&amp;P$6+1&amp;""),1,MATCH($A108,PREVIVAZ!$C$1:$N$1,1)))</f>
        <v>#N/A</v>
      </c>
      <c r="Q108" s="213" t="e">
        <f ca="1">IFERROR(INDEX(PREVS_SMAP!$D$132:$Q$134,MATCH(Propagações_TOT_ITAIPU!Q$2,PREVS_SMAP!$A$132:$A$134,0),MATCH(Propagações_TOT_ITAIPU!$A108,PREVS_SMAP!$D$131:$Q$131,0)),INDEX(INDIRECT("PREVIVAZ!$C$"&amp;Q$6+1&amp;":$N$"&amp;Q$6+1&amp;""),1,MATCH($A108,PREVIVAZ!$C$1:$N$1,1)))</f>
        <v>#N/A</v>
      </c>
      <c r="R108" s="211" t="e">
        <f t="shared" ca="1" si="10"/>
        <v>#N/A</v>
      </c>
      <c r="S108" s="214" t="e">
        <f t="shared" ca="1" si="11"/>
        <v>#N/A</v>
      </c>
      <c r="T108" s="214" t="e">
        <f t="shared" ca="1" si="12"/>
        <v>#N/A</v>
      </c>
      <c r="U108" s="215" t="e">
        <f t="shared" ca="1" si="13"/>
        <v>#N/A</v>
      </c>
      <c r="V108" s="214" t="e">
        <f t="shared" ca="1" si="14"/>
        <v>#N/A</v>
      </c>
      <c r="W108" s="214" t="e">
        <f t="shared" ca="1" si="15"/>
        <v>#N/A</v>
      </c>
      <c r="X108" s="216"/>
      <c r="Y108" s="211" t="e">
        <f ca="1">Propagações_TOT_GRANDE!AP108</f>
        <v>#N/A</v>
      </c>
      <c r="Z108" s="211" t="e">
        <f ca="1">Propagações_TOT_PARANAIBA!AJ108</f>
        <v>#N/A</v>
      </c>
      <c r="AA108" s="213" t="e">
        <f ca="1">IFERROR(INDEX(PREVS_SMAP!$AU$28:$BA$347,MATCH(Propagações_TOT_ITAIPU!AA$2,PREVS_SMAP!$R$28:$R$347,0),MATCH(Propagações_TOT_ITAIPU!$A108,PREVS_SMAP!$AU$27:$BA$27,0)),INDEX(INDIRECT("PREVIVAZ!$C$"&amp;$AA$2+1&amp;":$N$"&amp;$AA$2+1&amp;""),1,MATCH($A108,PREVIVAZ!$C$1:$N$1,1)))</f>
        <v>#N/A</v>
      </c>
      <c r="AB108" s="213" t="e">
        <f ca="1">IFERROR(INDEX(PREVS_SMAP!$AU$28:$BA$347,MATCH(Propagações_TOT_ITAIPU!AB$2,PREVS_SMAP!$R$28:$R$347,0),MATCH(Propagações_TOT_ITAIPU!$A108,PREVS_SMAP!$AU$27:$BA$27,0)),INDEX(INDIRECT("PREVIVAZ!$C$"&amp;AB$2+1&amp;":$N$"&amp;AB$2+1&amp;""),1,MATCH($A108,PREVIVAZ!$C$1:$N$1,1)))</f>
        <v>#N/A</v>
      </c>
      <c r="AC108" s="213" t="e">
        <f ca="1">IFERROR(INDEX(PREVS_SMAP!$AU$28:$BA$347,MATCH(Propagações_TOT_ITAIPU!AC$2,PREVS_SMAP!$R$28:$R$347,0),MATCH(Propagações_TOT_ITAIPU!$A108,PREVS_SMAP!$AU$27:$BA$27,0)),INDEX(INDIRECT("PREVIVAZ!$C$"&amp;AC$2+1&amp;":$N$"&amp;AC$2+1&amp;""),1,MATCH($A108,PREVIVAZ!$C$1:$N$1,1)))</f>
        <v>#N/A</v>
      </c>
      <c r="AE108" s="272" t="e">
        <f ca="1">Propagações_TOT_TIETE!$X108</f>
        <v>#N/A</v>
      </c>
    </row>
    <row r="109" spans="1:31" s="272" customFormat="1" x14ac:dyDescent="0.2">
      <c r="A109" s="273">
        <f t="shared" ca="1" si="18"/>
        <v>43908</v>
      </c>
      <c r="B109" s="53"/>
      <c r="C109" s="53"/>
      <c r="D109" s="52"/>
      <c r="E109" s="279" t="e">
        <f ca="1">INDEX(RESULTADOS!$A:$BA,MATCH($A109,RESULTADOS!$A:$A,0),MATCH(E$1,RESULTADOS!$1:$1,0))</f>
        <v>#N/A</v>
      </c>
      <c r="F109" s="279" t="e">
        <f ca="1">INDEX(RESULTADOS!$A:$BA,MATCH($A109,RESULTADOS!$A:$A,0),MATCH(F$1,RESULTADOS!$1:$1,0))</f>
        <v>#N/A</v>
      </c>
      <c r="G109" s="279" t="e">
        <f ca="1">INDEX(RESULTADOS!$A:$BA,MATCH($A109,RESULTADOS!$A:$A,0),MATCH(G$1,RESULTADOS!$1:$1,0))</f>
        <v>#N/A</v>
      </c>
      <c r="H109" s="279" t="e">
        <f ca="1">INDEX(RESULTADOS!$A:$BA,MATCH($A109,RESULTADOS!$A:$A,0),MATCH(H$1,RESULTADOS!$1:$1,0))</f>
        <v>#N/A</v>
      </c>
      <c r="I109" s="279" t="e">
        <f ca="1">INDEX(RESULTADOS!$A:$BA,MATCH($A109,RESULTADOS!$A:$A,0),MATCH(I$1,RESULTADOS!$1:$1,0))</f>
        <v>#N/A</v>
      </c>
      <c r="J109" s="51" t="e">
        <f t="shared" ca="1" si="17"/>
        <v>#N/A</v>
      </c>
      <c r="M109" s="211" t="e">
        <f ca="1">Propagações_TOT_PARANAPANEMA!AB109</f>
        <v>#N/A</v>
      </c>
      <c r="N109" s="213" t="e">
        <f ca="1">IFERROR(INDEX(PREVS_SMAP!$D$132:$Q$134,MATCH(Propagações_TOT_ITAIPU!N$2,PREVS_SMAP!$A$132:$A$134,0),MATCH(Propagações_TOT_ITAIPU!$A109,PREVS_SMAP!$D$131:$Q$131,0)),INDEX(INDIRECT("PREVIVAZ!$C$"&amp;N$6+1&amp;":$N$"&amp;N$6+1&amp;""),1,MATCH($A109,PREVIVAZ!$C$1:$N$1,1)))</f>
        <v>#N/A</v>
      </c>
      <c r="O109" s="213" t="e">
        <f ca="1">IFERROR(INDEX(PREVS_SMAP!$D$132:$Q$134,MATCH(Propagações_TOT_ITAIPU!O$2,PREVS_SMAP!$A$132:$A$134,0),MATCH(Propagações_TOT_ITAIPU!$A109,PREVS_SMAP!$D$131:$Q$131,0)),INDEX(INDIRECT("PREVIVAZ!$C$"&amp;O$6+1&amp;":$N$"&amp;O$6+1&amp;""),1,MATCH($A109,PREVIVAZ!$C$1:$N$1,1)))</f>
        <v>#N/A</v>
      </c>
      <c r="P109" s="213" t="e">
        <f ca="1">IFERROR(INDEX(PREVS_SMAP!$D$132:$Q$134,MATCH(Propagações_TOT_ITAIPU!P$2,PREVS_SMAP!$A$132:$A$134,0),MATCH(Propagações_TOT_ITAIPU!$A109,PREVS_SMAP!$D$131:$Q$131,0)),INDEX(INDIRECT("PREVIVAZ!$C$"&amp;P$6+1&amp;":$N$"&amp;P$6+1&amp;""),1,MATCH($A109,PREVIVAZ!$C$1:$N$1,1)))</f>
        <v>#N/A</v>
      </c>
      <c r="Q109" s="213" t="e">
        <f ca="1">IFERROR(INDEX(PREVS_SMAP!$D$132:$Q$134,MATCH(Propagações_TOT_ITAIPU!Q$2,PREVS_SMAP!$A$132:$A$134,0),MATCH(Propagações_TOT_ITAIPU!$A109,PREVS_SMAP!$D$131:$Q$131,0)),INDEX(INDIRECT("PREVIVAZ!$C$"&amp;Q$6+1&amp;":$N$"&amp;Q$6+1&amp;""),1,MATCH($A109,PREVIVAZ!$C$1:$N$1,1)))</f>
        <v>#N/A</v>
      </c>
      <c r="R109" s="211" t="e">
        <f t="shared" ca="1" si="10"/>
        <v>#N/A</v>
      </c>
      <c r="S109" s="214" t="e">
        <f t="shared" ca="1" si="11"/>
        <v>#N/A</v>
      </c>
      <c r="T109" s="214" t="e">
        <f t="shared" ca="1" si="12"/>
        <v>#N/A</v>
      </c>
      <c r="U109" s="215" t="e">
        <f t="shared" ca="1" si="13"/>
        <v>#N/A</v>
      </c>
      <c r="V109" s="214" t="e">
        <f t="shared" ca="1" si="14"/>
        <v>#N/A</v>
      </c>
      <c r="W109" s="214" t="e">
        <f t="shared" ca="1" si="15"/>
        <v>#N/A</v>
      </c>
      <c r="X109" s="216"/>
      <c r="Y109" s="211" t="e">
        <f ca="1">Propagações_TOT_GRANDE!AP109</f>
        <v>#N/A</v>
      </c>
      <c r="Z109" s="211" t="e">
        <f ca="1">Propagações_TOT_PARANAIBA!AJ109</f>
        <v>#N/A</v>
      </c>
      <c r="AA109" s="213" t="e">
        <f ca="1">IFERROR(INDEX(PREVS_SMAP!$AU$28:$BA$347,MATCH(Propagações_TOT_ITAIPU!AA$2,PREVS_SMAP!$R$28:$R$347,0),MATCH(Propagações_TOT_ITAIPU!$A109,PREVS_SMAP!$AU$27:$BA$27,0)),INDEX(INDIRECT("PREVIVAZ!$C$"&amp;$AA$2+1&amp;":$N$"&amp;$AA$2+1&amp;""),1,MATCH($A109,PREVIVAZ!$C$1:$N$1,1)))</f>
        <v>#N/A</v>
      </c>
      <c r="AB109" s="213" t="e">
        <f ca="1">IFERROR(INDEX(PREVS_SMAP!$AU$28:$BA$347,MATCH(Propagações_TOT_ITAIPU!AB$2,PREVS_SMAP!$R$28:$R$347,0),MATCH(Propagações_TOT_ITAIPU!$A109,PREVS_SMAP!$AU$27:$BA$27,0)),INDEX(INDIRECT("PREVIVAZ!$C$"&amp;AB$2+1&amp;":$N$"&amp;AB$2+1&amp;""),1,MATCH($A109,PREVIVAZ!$C$1:$N$1,1)))</f>
        <v>#N/A</v>
      </c>
      <c r="AC109" s="213" t="e">
        <f ca="1">IFERROR(INDEX(PREVS_SMAP!$AU$28:$BA$347,MATCH(Propagações_TOT_ITAIPU!AC$2,PREVS_SMAP!$R$28:$R$347,0),MATCH(Propagações_TOT_ITAIPU!$A109,PREVS_SMAP!$AU$27:$BA$27,0)),INDEX(INDIRECT("PREVIVAZ!$C$"&amp;AC$2+1&amp;":$N$"&amp;AC$2+1&amp;""),1,MATCH($A109,PREVIVAZ!$C$1:$N$1,1)))</f>
        <v>#N/A</v>
      </c>
      <c r="AE109" s="272" t="e">
        <f ca="1">Propagações_TOT_TIETE!$X109</f>
        <v>#N/A</v>
      </c>
    </row>
    <row r="110" spans="1:31" s="272" customFormat="1" x14ac:dyDescent="0.2">
      <c r="A110" s="273">
        <f t="shared" ca="1" si="18"/>
        <v>43909</v>
      </c>
      <c r="B110" s="53"/>
      <c r="C110" s="53"/>
      <c r="D110" s="52"/>
      <c r="E110" s="279" t="e">
        <f ca="1">INDEX(RESULTADOS!$A:$BA,MATCH($A110,RESULTADOS!$A:$A,0),MATCH(E$1,RESULTADOS!$1:$1,0))</f>
        <v>#N/A</v>
      </c>
      <c r="F110" s="279" t="e">
        <f ca="1">INDEX(RESULTADOS!$A:$BA,MATCH($A110,RESULTADOS!$A:$A,0),MATCH(F$1,RESULTADOS!$1:$1,0))</f>
        <v>#N/A</v>
      </c>
      <c r="G110" s="279" t="e">
        <f ca="1">INDEX(RESULTADOS!$A:$BA,MATCH($A110,RESULTADOS!$A:$A,0),MATCH(G$1,RESULTADOS!$1:$1,0))</f>
        <v>#N/A</v>
      </c>
      <c r="H110" s="279" t="e">
        <f ca="1">INDEX(RESULTADOS!$A:$BA,MATCH($A110,RESULTADOS!$A:$A,0),MATCH(H$1,RESULTADOS!$1:$1,0))</f>
        <v>#N/A</v>
      </c>
      <c r="I110" s="279" t="e">
        <f ca="1">INDEX(RESULTADOS!$A:$BA,MATCH($A110,RESULTADOS!$A:$A,0),MATCH(I$1,RESULTADOS!$1:$1,0))</f>
        <v>#N/A</v>
      </c>
      <c r="J110" s="51" t="e">
        <f t="shared" ca="1" si="17"/>
        <v>#N/A</v>
      </c>
      <c r="M110" s="211" t="e">
        <f ca="1">Propagações_TOT_PARANAPANEMA!AB110</f>
        <v>#N/A</v>
      </c>
      <c r="N110" s="213" t="e">
        <f ca="1">IFERROR(INDEX(PREVS_SMAP!$D$132:$Q$134,MATCH(Propagações_TOT_ITAIPU!N$2,PREVS_SMAP!$A$132:$A$134,0),MATCH(Propagações_TOT_ITAIPU!$A110,PREVS_SMAP!$D$131:$Q$131,0)),INDEX(INDIRECT("PREVIVAZ!$C$"&amp;N$6+1&amp;":$N$"&amp;N$6+1&amp;""),1,MATCH($A110,PREVIVAZ!$C$1:$N$1,1)))</f>
        <v>#N/A</v>
      </c>
      <c r="O110" s="213" t="e">
        <f ca="1">IFERROR(INDEX(PREVS_SMAP!$D$132:$Q$134,MATCH(Propagações_TOT_ITAIPU!O$2,PREVS_SMAP!$A$132:$A$134,0),MATCH(Propagações_TOT_ITAIPU!$A110,PREVS_SMAP!$D$131:$Q$131,0)),INDEX(INDIRECT("PREVIVAZ!$C$"&amp;O$6+1&amp;":$N$"&amp;O$6+1&amp;""),1,MATCH($A110,PREVIVAZ!$C$1:$N$1,1)))</f>
        <v>#N/A</v>
      </c>
      <c r="P110" s="213" t="e">
        <f ca="1">IFERROR(INDEX(PREVS_SMAP!$D$132:$Q$134,MATCH(Propagações_TOT_ITAIPU!P$2,PREVS_SMAP!$A$132:$A$134,0),MATCH(Propagações_TOT_ITAIPU!$A110,PREVS_SMAP!$D$131:$Q$131,0)),INDEX(INDIRECT("PREVIVAZ!$C$"&amp;P$6+1&amp;":$N$"&amp;P$6+1&amp;""),1,MATCH($A110,PREVIVAZ!$C$1:$N$1,1)))</f>
        <v>#N/A</v>
      </c>
      <c r="Q110" s="213" t="e">
        <f ca="1">IFERROR(INDEX(PREVS_SMAP!$D$132:$Q$134,MATCH(Propagações_TOT_ITAIPU!Q$2,PREVS_SMAP!$A$132:$A$134,0),MATCH(Propagações_TOT_ITAIPU!$A110,PREVS_SMAP!$D$131:$Q$131,0)),INDEX(INDIRECT("PREVIVAZ!$C$"&amp;Q$6+1&amp;":$N$"&amp;Q$6+1&amp;""),1,MATCH($A110,PREVIVAZ!$C$1:$N$1,1)))</f>
        <v>#N/A</v>
      </c>
      <c r="R110" s="211" t="e">
        <f t="shared" ca="1" si="10"/>
        <v>#N/A</v>
      </c>
      <c r="S110" s="214" t="e">
        <f t="shared" ca="1" si="11"/>
        <v>#N/A</v>
      </c>
      <c r="T110" s="214" t="e">
        <f t="shared" ca="1" si="12"/>
        <v>#N/A</v>
      </c>
      <c r="U110" s="215" t="e">
        <f t="shared" ca="1" si="13"/>
        <v>#N/A</v>
      </c>
      <c r="V110" s="214" t="e">
        <f t="shared" ca="1" si="14"/>
        <v>#N/A</v>
      </c>
      <c r="W110" s="214" t="e">
        <f t="shared" ca="1" si="15"/>
        <v>#N/A</v>
      </c>
      <c r="X110" s="216"/>
      <c r="Y110" s="211" t="e">
        <f ca="1">Propagações_TOT_GRANDE!AP110</f>
        <v>#N/A</v>
      </c>
      <c r="Z110" s="211" t="e">
        <f ca="1">Propagações_TOT_PARANAIBA!AJ110</f>
        <v>#N/A</v>
      </c>
      <c r="AA110" s="213" t="e">
        <f ca="1">IFERROR(INDEX(PREVS_SMAP!$AU$28:$BA$347,MATCH(Propagações_TOT_ITAIPU!AA$2,PREVS_SMAP!$R$28:$R$347,0),MATCH(Propagações_TOT_ITAIPU!$A110,PREVS_SMAP!$AU$27:$BA$27,0)),INDEX(INDIRECT("PREVIVAZ!$C$"&amp;$AA$2+1&amp;":$N$"&amp;$AA$2+1&amp;""),1,MATCH($A110,PREVIVAZ!$C$1:$N$1,1)))</f>
        <v>#N/A</v>
      </c>
      <c r="AB110" s="213" t="e">
        <f ca="1">IFERROR(INDEX(PREVS_SMAP!$AU$28:$BA$347,MATCH(Propagações_TOT_ITAIPU!AB$2,PREVS_SMAP!$R$28:$R$347,0),MATCH(Propagações_TOT_ITAIPU!$A110,PREVS_SMAP!$AU$27:$BA$27,0)),INDEX(INDIRECT("PREVIVAZ!$C$"&amp;AB$2+1&amp;":$N$"&amp;AB$2+1&amp;""),1,MATCH($A110,PREVIVAZ!$C$1:$N$1,1)))</f>
        <v>#N/A</v>
      </c>
      <c r="AC110" s="213" t="e">
        <f ca="1">IFERROR(INDEX(PREVS_SMAP!$AU$28:$BA$347,MATCH(Propagações_TOT_ITAIPU!AC$2,PREVS_SMAP!$R$28:$R$347,0),MATCH(Propagações_TOT_ITAIPU!$A110,PREVS_SMAP!$AU$27:$BA$27,0)),INDEX(INDIRECT("PREVIVAZ!$C$"&amp;AC$2+1&amp;":$N$"&amp;AC$2+1&amp;""),1,MATCH($A110,PREVIVAZ!$C$1:$N$1,1)))</f>
        <v>#N/A</v>
      </c>
      <c r="AE110" s="272" t="e">
        <f ca="1">Propagações_TOT_TIETE!$X110</f>
        <v>#N/A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C4AF2-715F-4404-B331-9777EEBA31B3}">
  <sheetPr codeName="Plan9">
    <tabColor theme="6"/>
  </sheetPr>
  <dimension ref="A1:U110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8" sqref="F8"/>
    </sheetView>
  </sheetViews>
  <sheetFormatPr defaultRowHeight="12.75" x14ac:dyDescent="0.2"/>
  <cols>
    <col min="1" max="1" width="10.85546875" bestFit="1" customWidth="1"/>
    <col min="5" max="5" width="14.85546875" bestFit="1" customWidth="1"/>
    <col min="6" max="6" width="14.85546875" style="121" customWidth="1"/>
    <col min="7" max="7" width="15.85546875" style="121" bestFit="1" customWidth="1"/>
    <col min="8" max="8" width="13.7109375" bestFit="1" customWidth="1"/>
    <col min="9" max="9" width="13.5703125" bestFit="1" customWidth="1"/>
    <col min="10" max="12" width="13.5703125" customWidth="1"/>
    <col min="13" max="15" width="15.85546875" style="121" bestFit="1" customWidth="1"/>
    <col min="16" max="16" width="13.140625" bestFit="1" customWidth="1"/>
    <col min="17" max="19" width="13.5703125" customWidth="1"/>
    <col min="20" max="21" width="15.85546875" style="121" bestFit="1" customWidth="1"/>
  </cols>
  <sheetData>
    <row r="1" spans="1:21" ht="15" x14ac:dyDescent="0.2">
      <c r="A1" s="121"/>
      <c r="B1" s="121"/>
      <c r="C1" s="121"/>
      <c r="D1" s="122"/>
      <c r="E1" s="121" t="s">
        <v>136</v>
      </c>
      <c r="F1" s="121" t="s">
        <v>140</v>
      </c>
      <c r="G1" s="276" t="s">
        <v>142</v>
      </c>
      <c r="H1" s="121" t="s">
        <v>139</v>
      </c>
      <c r="I1" s="121" t="s">
        <v>137</v>
      </c>
      <c r="J1" s="177" t="s">
        <v>143</v>
      </c>
      <c r="K1" s="176" t="s">
        <v>144</v>
      </c>
      <c r="L1" s="177" t="s">
        <v>86</v>
      </c>
      <c r="M1" s="276" t="s">
        <v>143</v>
      </c>
      <c r="N1" s="276" t="s">
        <v>144</v>
      </c>
      <c r="O1" s="276" t="s">
        <v>86</v>
      </c>
      <c r="P1" s="121" t="s">
        <v>138</v>
      </c>
      <c r="Q1" s="177" t="s">
        <v>146</v>
      </c>
      <c r="R1" s="176" t="s">
        <v>145</v>
      </c>
      <c r="S1" s="177" t="s">
        <v>147</v>
      </c>
      <c r="T1" s="276" t="s">
        <v>147</v>
      </c>
      <c r="U1" s="276" t="s">
        <v>145</v>
      </c>
    </row>
    <row r="2" spans="1:21" ht="15" x14ac:dyDescent="0.2">
      <c r="A2" s="121" t="s">
        <v>1</v>
      </c>
      <c r="B2" s="124"/>
      <c r="C2" s="124"/>
      <c r="D2" s="122"/>
      <c r="E2" s="121">
        <v>74</v>
      </c>
      <c r="F2" s="121" t="s">
        <v>140</v>
      </c>
      <c r="G2" s="116">
        <v>74</v>
      </c>
      <c r="H2" s="121">
        <v>71</v>
      </c>
      <c r="I2" s="121"/>
      <c r="J2" s="177">
        <v>72</v>
      </c>
      <c r="K2" s="176">
        <v>73</v>
      </c>
      <c r="L2" s="177">
        <v>76</v>
      </c>
      <c r="M2" s="116">
        <v>72</v>
      </c>
      <c r="N2" s="116">
        <v>73</v>
      </c>
      <c r="O2" s="116">
        <v>76</v>
      </c>
      <c r="P2" s="276">
        <v>222</v>
      </c>
      <c r="Q2" s="177">
        <v>222</v>
      </c>
      <c r="R2" s="176">
        <v>78</v>
      </c>
      <c r="S2" s="177">
        <v>77</v>
      </c>
      <c r="T2" s="116">
        <v>77</v>
      </c>
      <c r="U2" s="116">
        <v>78</v>
      </c>
    </row>
    <row r="3" spans="1:21" x14ac:dyDescent="0.2">
      <c r="A3" s="235" t="s">
        <v>2</v>
      </c>
      <c r="B3" s="236"/>
      <c r="C3" s="236"/>
      <c r="D3" s="234"/>
      <c r="E3" s="238" t="s">
        <v>3</v>
      </c>
      <c r="F3" s="236">
        <v>17.399999999999999</v>
      </c>
      <c r="G3" s="234">
        <v>12.7</v>
      </c>
      <c r="H3" s="236">
        <v>2</v>
      </c>
      <c r="I3" s="236" t="s">
        <v>3</v>
      </c>
      <c r="J3" s="236"/>
      <c r="K3" s="236"/>
      <c r="L3" s="236"/>
      <c r="M3" s="234">
        <v>1.8</v>
      </c>
      <c r="N3" s="234">
        <v>9.6</v>
      </c>
      <c r="O3" s="234">
        <v>11.7</v>
      </c>
      <c r="P3" s="237" t="s">
        <v>3</v>
      </c>
      <c r="Q3" s="236"/>
      <c r="R3" s="236"/>
      <c r="S3" s="236"/>
      <c r="T3" s="234">
        <v>10</v>
      </c>
      <c r="U3" s="234"/>
    </row>
    <row r="4" spans="1:21" x14ac:dyDescent="0.2">
      <c r="A4" s="121" t="s">
        <v>4</v>
      </c>
      <c r="B4" s="124"/>
      <c r="C4" s="124"/>
      <c r="D4" s="122"/>
      <c r="E4" s="127"/>
      <c r="F4" s="124"/>
      <c r="G4" s="116"/>
      <c r="H4" s="124"/>
      <c r="I4" s="124"/>
      <c r="J4" s="124">
        <v>3.9E-2</v>
      </c>
      <c r="K4" s="124">
        <v>0.157</v>
      </c>
      <c r="L4" s="124">
        <v>0.80400000000000005</v>
      </c>
      <c r="M4" s="116"/>
      <c r="N4" s="116"/>
      <c r="O4" s="116"/>
      <c r="P4" s="126"/>
      <c r="Q4" s="124">
        <v>0.64</v>
      </c>
      <c r="R4" s="124">
        <v>0.10199999999999999</v>
      </c>
      <c r="S4" s="124">
        <v>0.25800000000000001</v>
      </c>
      <c r="T4" s="116"/>
      <c r="U4" s="116"/>
    </row>
    <row r="5" spans="1:21" x14ac:dyDescent="0.2">
      <c r="A5" s="121"/>
      <c r="B5" s="124"/>
      <c r="C5" s="124"/>
      <c r="D5" s="122"/>
      <c r="E5" s="127" t="s">
        <v>9</v>
      </c>
      <c r="F5" s="124" t="s">
        <v>8</v>
      </c>
      <c r="G5" s="116" t="s">
        <v>6</v>
      </c>
      <c r="H5" s="127" t="s">
        <v>6</v>
      </c>
      <c r="I5" s="127" t="s">
        <v>9</v>
      </c>
      <c r="J5" s="127" t="s">
        <v>7</v>
      </c>
      <c r="K5" s="127" t="s">
        <v>7</v>
      </c>
      <c r="L5" s="127" t="s">
        <v>7</v>
      </c>
      <c r="M5" s="116" t="s">
        <v>6</v>
      </c>
      <c r="N5" s="116" t="s">
        <v>6</v>
      </c>
      <c r="O5" s="116" t="s">
        <v>6</v>
      </c>
      <c r="P5" s="127" t="s">
        <v>6</v>
      </c>
      <c r="Q5" s="127" t="s">
        <v>7</v>
      </c>
      <c r="R5" s="127" t="s">
        <v>7</v>
      </c>
      <c r="S5" s="127" t="s">
        <v>7</v>
      </c>
      <c r="T5" s="116" t="s">
        <v>6</v>
      </c>
      <c r="U5" s="116" t="s">
        <v>6</v>
      </c>
    </row>
    <row r="6" spans="1:21" x14ac:dyDescent="0.2">
      <c r="A6" s="121"/>
      <c r="B6" s="124"/>
      <c r="C6" s="124"/>
      <c r="D6" s="124"/>
      <c r="E6" s="127" t="str">
        <f t="shared" ref="E6:P6" si="0">CONCATENATE(E2,"_",E5)</f>
        <v>74_VNS</v>
      </c>
      <c r="F6" s="127" t="str">
        <f t="shared" ref="F6" si="1">CONCATENATE(F2,"_",F5)</f>
        <v>UVitoria_FLU</v>
      </c>
      <c r="G6" s="124" t="str">
        <f t="shared" si="0"/>
        <v>74_VNA</v>
      </c>
      <c r="H6" s="127" t="str">
        <f t="shared" si="0"/>
        <v>71_VNA</v>
      </c>
      <c r="I6" s="127" t="str">
        <f t="shared" si="0"/>
        <v>_VNS</v>
      </c>
      <c r="J6" s="127" t="str">
        <f t="shared" si="0"/>
        <v>72_VNI</v>
      </c>
      <c r="K6" s="127" t="str">
        <f t="shared" si="0"/>
        <v>73_VNI</v>
      </c>
      <c r="L6" s="127" t="str">
        <f t="shared" si="0"/>
        <v>76_VNI</v>
      </c>
      <c r="M6" s="124" t="str">
        <f t="shared" si="0"/>
        <v>72_VNA</v>
      </c>
      <c r="N6" s="124" t="str">
        <f t="shared" si="0"/>
        <v>73_VNA</v>
      </c>
      <c r="O6" s="124" t="str">
        <f t="shared" si="0"/>
        <v>76_VNA</v>
      </c>
      <c r="P6" s="127" t="str">
        <f t="shared" si="0"/>
        <v>222_VNA</v>
      </c>
      <c r="Q6" s="127" t="str">
        <f t="shared" ref="Q6:U6" si="2">CONCATENATE(Q2,"_",Q5)</f>
        <v>222_VNI</v>
      </c>
      <c r="R6" s="127" t="str">
        <f t="shared" si="2"/>
        <v>78_VNI</v>
      </c>
      <c r="S6" s="127" t="str">
        <f t="shared" si="2"/>
        <v>77_VNI</v>
      </c>
      <c r="T6" s="124" t="str">
        <f t="shared" si="2"/>
        <v>77_VNA</v>
      </c>
      <c r="U6" s="124" t="str">
        <f t="shared" si="2"/>
        <v>78_VNA</v>
      </c>
    </row>
    <row r="7" spans="1:21" x14ac:dyDescent="0.2">
      <c r="A7" s="49">
        <f t="shared" ref="A7:A36" ca="1" si="3">A8-1</f>
        <v>43806</v>
      </c>
      <c r="B7" s="110"/>
      <c r="C7" s="51"/>
      <c r="D7" s="110"/>
      <c r="E7" s="279" t="e">
        <f ca="1">INDEX(RESULTADOS!$A:$BA,MATCH($A7,RESULTADOS!$A:$A,0),MATCH(E$1,RESULTADOS!$1:$1,0))</f>
        <v>#N/A</v>
      </c>
      <c r="F7" s="279" t="e">
        <f ca="1">INDEX(RESULTADOS!$A:$BA,MATCH($A7,RESULTADOS!$A:$A,0),MATCH(F$1,RESULTADOS!$1:$1,0))</f>
        <v>#N/A</v>
      </c>
      <c r="G7" s="288">
        <f ca="1">SUMPRODUCT((TABELA_VAZAO[Posto]=G$2)*1,(TABELA_VAZAO[Data]=$A7)*1,TABELA_VAZAO[qnat])</f>
        <v>0</v>
      </c>
      <c r="H7" s="288">
        <f ca="1">SUMPRODUCT((TABELA_VAZAO[Posto]=H$2)*1,(TABELA_VAZAO[Data]=$A7)*1,TABELA_VAZAO[qnat])</f>
        <v>0</v>
      </c>
      <c r="I7" s="67" t="e">
        <f ca="1">INDEX(RESULTADOS!$A:$BA,MATCH($A7,RESULTADOS!$A:$A,0),MATCH(I$1,RESULTADOS!$1:$1,0))</f>
        <v>#N/A</v>
      </c>
      <c r="J7" s="250">
        <f ca="1">SUMPRODUCT((TABELA_VAZAO[Posto]=J$2)*1,(TABELA_VAZAO[Data]=$A7)*1,TABELA_VAZAO[qinc])</f>
        <v>0</v>
      </c>
      <c r="K7" s="250">
        <f ca="1">SUMPRODUCT((TABELA_VAZAO[Posto]=K$2)*1,(TABELA_VAZAO[Data]=$A7)*1,TABELA_VAZAO[qinc])</f>
        <v>0</v>
      </c>
      <c r="L7" s="250">
        <f ca="1">SUMPRODUCT((TABELA_VAZAO[Posto]=L$2)*1,(TABELA_VAZAO[Data]=$A7)*1,TABELA_VAZAO[qinc])</f>
        <v>0</v>
      </c>
      <c r="M7" s="288">
        <f ca="1">SUMPRODUCT((TABELA_VAZAO[Posto]=M$2)*1,(TABELA_VAZAO[Data]=$A7)*1,TABELA_VAZAO[qnat])</f>
        <v>0</v>
      </c>
      <c r="N7" s="288">
        <f ca="1">SUMPRODUCT((TABELA_VAZAO[Posto]=N$2)*1,(TABELA_VAZAO[Data]=$A7)*1,TABELA_VAZAO[qnat])</f>
        <v>0</v>
      </c>
      <c r="O7" s="288">
        <f ca="1">SUMPRODUCT((TABELA_VAZAO[Posto]=O$2)*1,(TABELA_VAZAO[Data]=$A7)*1,TABELA_VAZAO[qnat])</f>
        <v>0</v>
      </c>
      <c r="P7" s="288">
        <f ca="1">SUMPRODUCT((TABELA_VAZAO[Posto]=P$2)*1,(TABELA_VAZAO[Data]=$A7)*1,TABELA_VAZAO[qnat])</f>
        <v>0</v>
      </c>
      <c r="Q7" s="250">
        <f ca="1">SUMPRODUCT((TABELA_VAZAO[Posto]=Q$2)*1,(TABELA_VAZAO[Data]=$A7)*1,TABELA_VAZAO[qinc])</f>
        <v>0</v>
      </c>
      <c r="R7" s="250">
        <f ca="1">SUMPRODUCT((TABELA_VAZAO[Posto]=R$2)*1,(TABELA_VAZAO[Data]=$A7)*1,TABELA_VAZAO[qinc])</f>
        <v>0</v>
      </c>
      <c r="S7" s="250">
        <f ca="1">SUMPRODUCT((TABELA_VAZAO[Posto]=S$2)*1,(TABELA_VAZAO[Data]=$A7)*1,TABELA_VAZAO[qinc])</f>
        <v>0</v>
      </c>
      <c r="T7" s="288">
        <f ca="1">SUMPRODUCT((TABELA_VAZAO[Posto]=T$2)*1,(TABELA_VAZAO[Data]=$A7)*1,TABELA_VAZAO[qnat])</f>
        <v>0</v>
      </c>
      <c r="U7" s="288">
        <f ca="1">SUMPRODUCT((TABELA_VAZAO[Posto]=U$2)*1,(TABELA_VAZAO[Data]=$A7)*1,TABELA_VAZAO[qnat])</f>
        <v>0</v>
      </c>
    </row>
    <row r="8" spans="1:21" x14ac:dyDescent="0.2">
      <c r="A8" s="49">
        <f t="shared" ca="1" si="3"/>
        <v>43807</v>
      </c>
      <c r="B8" s="51"/>
      <c r="C8" s="51"/>
      <c r="D8" s="110"/>
      <c r="E8" s="279" t="e">
        <f ca="1">INDEX(RESULTADOS!$A:$BA,MATCH($A8,RESULTADOS!$A:$A,0),MATCH(E$1,RESULTADOS!$1:$1,0))</f>
        <v>#N/A</v>
      </c>
      <c r="F8" s="279" t="e">
        <f ca="1">INDEX(RESULTADOS!$A:$BA,MATCH($A8,RESULTADOS!$A:$A,0),MATCH(F$1,RESULTADOS!$1:$1,0))</f>
        <v>#N/A</v>
      </c>
      <c r="G8" s="288">
        <f ca="1">SUMPRODUCT((TABELA_VAZAO[Posto]=G$2)*1,(TABELA_VAZAO[Data]=$A8)*1,TABELA_VAZAO[qnat])</f>
        <v>0</v>
      </c>
      <c r="H8" s="288">
        <f ca="1">SUMPRODUCT((TABELA_VAZAO[Posto]=H$2)*1,(TABELA_VAZAO[Data]=$A8)*1,TABELA_VAZAO[qnat])</f>
        <v>0</v>
      </c>
      <c r="I8" s="67" t="e">
        <f ca="1">INDEX(RESULTADOS!$A:$BA,MATCH($A8,RESULTADOS!$A:$A,0),MATCH(I$1,RESULTADOS!$1:$1,0))</f>
        <v>#N/A</v>
      </c>
      <c r="J8" s="250">
        <f ca="1">SUMPRODUCT((TABELA_VAZAO[Posto]=J$2)*1,(TABELA_VAZAO[Data]=$A8)*1,TABELA_VAZAO[qinc])</f>
        <v>0</v>
      </c>
      <c r="K8" s="250">
        <f ca="1">SUMPRODUCT((TABELA_VAZAO[Posto]=K$2)*1,(TABELA_VAZAO[Data]=$A8)*1,TABELA_VAZAO[qinc])</f>
        <v>0</v>
      </c>
      <c r="L8" s="250">
        <f ca="1">SUMPRODUCT((TABELA_VAZAO[Posto]=L$2)*1,(TABELA_VAZAO[Data]=$A8)*1,TABELA_VAZAO[qinc])</f>
        <v>0</v>
      </c>
      <c r="M8" s="288">
        <f ca="1">SUMPRODUCT((TABELA_VAZAO[Posto]=M$2)*1,(TABELA_VAZAO[Data]=$A8)*1,TABELA_VAZAO[qnat])</f>
        <v>0</v>
      </c>
      <c r="N8" s="288">
        <f ca="1">SUMPRODUCT((TABELA_VAZAO[Posto]=N$2)*1,(TABELA_VAZAO[Data]=$A8)*1,TABELA_VAZAO[qnat])</f>
        <v>0</v>
      </c>
      <c r="O8" s="288">
        <f ca="1">SUMPRODUCT((TABELA_VAZAO[Posto]=O$2)*1,(TABELA_VAZAO[Data]=$A8)*1,TABELA_VAZAO[qnat])</f>
        <v>0</v>
      </c>
      <c r="P8" s="288">
        <f ca="1">SUMPRODUCT((TABELA_VAZAO[Posto]=P$2)*1,(TABELA_VAZAO[Data]=$A8)*1,TABELA_VAZAO[qnat])</f>
        <v>0</v>
      </c>
      <c r="Q8" s="250">
        <f ca="1">SUMPRODUCT((TABELA_VAZAO[Posto]=Q$2)*1,(TABELA_VAZAO[Data]=$A8)*1,TABELA_VAZAO[qinc])</f>
        <v>0</v>
      </c>
      <c r="R8" s="250">
        <f ca="1">SUMPRODUCT((TABELA_VAZAO[Posto]=R$2)*1,(TABELA_VAZAO[Data]=$A8)*1,TABELA_VAZAO[qinc])</f>
        <v>0</v>
      </c>
      <c r="S8" s="250">
        <f ca="1">SUMPRODUCT((TABELA_VAZAO[Posto]=S$2)*1,(TABELA_VAZAO[Data]=$A8)*1,TABELA_VAZAO[qinc])</f>
        <v>0</v>
      </c>
      <c r="T8" s="288">
        <f ca="1">SUMPRODUCT((TABELA_VAZAO[Posto]=T$2)*1,(TABELA_VAZAO[Data]=$A8)*1,TABELA_VAZAO[qnat])</f>
        <v>0</v>
      </c>
      <c r="U8" s="288">
        <f ca="1">SUMPRODUCT((TABELA_VAZAO[Posto]=U$2)*1,(TABELA_VAZAO[Data]=$A8)*1,TABELA_VAZAO[qnat])</f>
        <v>0</v>
      </c>
    </row>
    <row r="9" spans="1:21" x14ac:dyDescent="0.2">
      <c r="A9" s="49">
        <f t="shared" ca="1" si="3"/>
        <v>43808</v>
      </c>
      <c r="B9" s="51"/>
      <c r="C9" s="51"/>
      <c r="D9" s="110"/>
      <c r="E9" s="279" t="e">
        <f ca="1">INDEX(RESULTADOS!$A:$BA,MATCH($A9,RESULTADOS!$A:$A,0),MATCH(E$1,RESULTADOS!$1:$1,0))</f>
        <v>#N/A</v>
      </c>
      <c r="F9" s="279" t="e">
        <f ca="1">INDEX(RESULTADOS!$A:$BA,MATCH($A9,RESULTADOS!$A:$A,0),MATCH(F$1,RESULTADOS!$1:$1,0))</f>
        <v>#N/A</v>
      </c>
      <c r="G9" s="288">
        <f ca="1">SUMPRODUCT((TABELA_VAZAO[Posto]=G$2)*1,(TABELA_VAZAO[Data]=$A9)*1,TABELA_VAZAO[qnat])</f>
        <v>0</v>
      </c>
      <c r="H9" s="288">
        <f ca="1">SUMPRODUCT((TABELA_VAZAO[Posto]=H$2)*1,(TABELA_VAZAO[Data]=$A9)*1,TABELA_VAZAO[qnat])</f>
        <v>0</v>
      </c>
      <c r="I9" s="67" t="e">
        <f ca="1">INDEX(RESULTADOS!$A:$BA,MATCH($A9,RESULTADOS!$A:$A,0),MATCH(I$1,RESULTADOS!$1:$1,0))</f>
        <v>#N/A</v>
      </c>
      <c r="J9" s="250">
        <f ca="1">SUMPRODUCT((TABELA_VAZAO[Posto]=J$2)*1,(TABELA_VAZAO[Data]=$A9)*1,TABELA_VAZAO[qinc])</f>
        <v>0</v>
      </c>
      <c r="K9" s="250">
        <f ca="1">SUMPRODUCT((TABELA_VAZAO[Posto]=K$2)*1,(TABELA_VAZAO[Data]=$A9)*1,TABELA_VAZAO[qinc])</f>
        <v>0</v>
      </c>
      <c r="L9" s="250">
        <f ca="1">SUMPRODUCT((TABELA_VAZAO[Posto]=L$2)*1,(TABELA_VAZAO[Data]=$A9)*1,TABELA_VAZAO[qinc])</f>
        <v>0</v>
      </c>
      <c r="M9" s="288">
        <f ca="1">SUMPRODUCT((TABELA_VAZAO[Posto]=M$2)*1,(TABELA_VAZAO[Data]=$A9)*1,TABELA_VAZAO[qnat])</f>
        <v>0</v>
      </c>
      <c r="N9" s="288">
        <f ca="1">SUMPRODUCT((TABELA_VAZAO[Posto]=N$2)*1,(TABELA_VAZAO[Data]=$A9)*1,TABELA_VAZAO[qnat])</f>
        <v>0</v>
      </c>
      <c r="O9" s="288">
        <f ca="1">SUMPRODUCT((TABELA_VAZAO[Posto]=O$2)*1,(TABELA_VAZAO[Data]=$A9)*1,TABELA_VAZAO[qnat])</f>
        <v>0</v>
      </c>
      <c r="P9" s="288">
        <f ca="1">SUMPRODUCT((TABELA_VAZAO[Posto]=P$2)*1,(TABELA_VAZAO[Data]=$A9)*1,TABELA_VAZAO[qnat])</f>
        <v>0</v>
      </c>
      <c r="Q9" s="250">
        <f ca="1">SUMPRODUCT((TABELA_VAZAO[Posto]=Q$2)*1,(TABELA_VAZAO[Data]=$A9)*1,TABELA_VAZAO[qinc])</f>
        <v>0</v>
      </c>
      <c r="R9" s="250">
        <f ca="1">SUMPRODUCT((TABELA_VAZAO[Posto]=R$2)*1,(TABELA_VAZAO[Data]=$A9)*1,TABELA_VAZAO[qinc])</f>
        <v>0</v>
      </c>
      <c r="S9" s="250">
        <f ca="1">SUMPRODUCT((TABELA_VAZAO[Posto]=S$2)*1,(TABELA_VAZAO[Data]=$A9)*1,TABELA_VAZAO[qinc])</f>
        <v>0</v>
      </c>
      <c r="T9" s="288">
        <f ca="1">SUMPRODUCT((TABELA_VAZAO[Posto]=T$2)*1,(TABELA_VAZAO[Data]=$A9)*1,TABELA_VAZAO[qnat])</f>
        <v>0</v>
      </c>
      <c r="U9" s="288">
        <f ca="1">SUMPRODUCT((TABELA_VAZAO[Posto]=U$2)*1,(TABELA_VAZAO[Data]=$A9)*1,TABELA_VAZAO[qnat])</f>
        <v>0</v>
      </c>
    </row>
    <row r="10" spans="1:21" x14ac:dyDescent="0.2">
      <c r="A10" s="49">
        <f t="shared" ca="1" si="3"/>
        <v>43809</v>
      </c>
      <c r="B10" s="51"/>
      <c r="C10" s="51"/>
      <c r="D10" s="110"/>
      <c r="E10" s="279" t="e">
        <f ca="1">INDEX(RESULTADOS!$A:$BA,MATCH($A10,RESULTADOS!$A:$A,0),MATCH(E$1,RESULTADOS!$1:$1,0))</f>
        <v>#N/A</v>
      </c>
      <c r="F10" s="279" t="e">
        <f ca="1">INDEX(RESULTADOS!$A:$BA,MATCH($A10,RESULTADOS!$A:$A,0),MATCH(F$1,RESULTADOS!$1:$1,0))</f>
        <v>#N/A</v>
      </c>
      <c r="G10" s="288">
        <f ca="1">SUMPRODUCT((TABELA_VAZAO[Posto]=G$2)*1,(TABELA_VAZAO[Data]=$A10)*1,TABELA_VAZAO[qnat])</f>
        <v>0</v>
      </c>
      <c r="H10" s="288">
        <f ca="1">SUMPRODUCT((TABELA_VAZAO[Posto]=H$2)*1,(TABELA_VAZAO[Data]=$A10)*1,TABELA_VAZAO[qnat])</f>
        <v>0</v>
      </c>
      <c r="I10" s="67" t="e">
        <f ca="1">INDEX(RESULTADOS!$A:$BA,MATCH($A10,RESULTADOS!$A:$A,0),MATCH(I$1,RESULTADOS!$1:$1,0))</f>
        <v>#N/A</v>
      </c>
      <c r="J10" s="250">
        <f ca="1">SUMPRODUCT((TABELA_VAZAO[Posto]=J$2)*1,(TABELA_VAZAO[Data]=$A10)*1,TABELA_VAZAO[qinc])</f>
        <v>0</v>
      </c>
      <c r="K10" s="250">
        <f ca="1">SUMPRODUCT((TABELA_VAZAO[Posto]=K$2)*1,(TABELA_VAZAO[Data]=$A10)*1,TABELA_VAZAO[qinc])</f>
        <v>0</v>
      </c>
      <c r="L10" s="250">
        <f ca="1">SUMPRODUCT((TABELA_VAZAO[Posto]=L$2)*1,(TABELA_VAZAO[Data]=$A10)*1,TABELA_VAZAO[qinc])</f>
        <v>0</v>
      </c>
      <c r="M10" s="288">
        <f ca="1">SUMPRODUCT((TABELA_VAZAO[Posto]=M$2)*1,(TABELA_VAZAO[Data]=$A10)*1,TABELA_VAZAO[qnat])</f>
        <v>0</v>
      </c>
      <c r="N10" s="288">
        <f ca="1">SUMPRODUCT((TABELA_VAZAO[Posto]=N$2)*1,(TABELA_VAZAO[Data]=$A10)*1,TABELA_VAZAO[qnat])</f>
        <v>0</v>
      </c>
      <c r="O10" s="288">
        <f ca="1">SUMPRODUCT((TABELA_VAZAO[Posto]=O$2)*1,(TABELA_VAZAO[Data]=$A10)*1,TABELA_VAZAO[qnat])</f>
        <v>0</v>
      </c>
      <c r="P10" s="288">
        <f ca="1">SUMPRODUCT((TABELA_VAZAO[Posto]=P$2)*1,(TABELA_VAZAO[Data]=$A10)*1,TABELA_VAZAO[qnat])</f>
        <v>0</v>
      </c>
      <c r="Q10" s="250">
        <f ca="1">SUMPRODUCT((TABELA_VAZAO[Posto]=Q$2)*1,(TABELA_VAZAO[Data]=$A10)*1,TABELA_VAZAO[qinc])</f>
        <v>0</v>
      </c>
      <c r="R10" s="250">
        <f ca="1">SUMPRODUCT((TABELA_VAZAO[Posto]=R$2)*1,(TABELA_VAZAO[Data]=$A10)*1,TABELA_VAZAO[qinc])</f>
        <v>0</v>
      </c>
      <c r="S10" s="250">
        <f ca="1">SUMPRODUCT((TABELA_VAZAO[Posto]=S$2)*1,(TABELA_VAZAO[Data]=$A10)*1,TABELA_VAZAO[qinc])</f>
        <v>0</v>
      </c>
      <c r="T10" s="288">
        <f ca="1">SUMPRODUCT((TABELA_VAZAO[Posto]=T$2)*1,(TABELA_VAZAO[Data]=$A10)*1,TABELA_VAZAO[qnat])</f>
        <v>0</v>
      </c>
      <c r="U10" s="288">
        <f ca="1">SUMPRODUCT((TABELA_VAZAO[Posto]=U$2)*1,(TABELA_VAZAO[Data]=$A10)*1,TABELA_VAZAO[qnat])</f>
        <v>0</v>
      </c>
    </row>
    <row r="11" spans="1:21" x14ac:dyDescent="0.2">
      <c r="A11" s="49">
        <f t="shared" ca="1" si="3"/>
        <v>43810</v>
      </c>
      <c r="B11" s="51"/>
      <c r="C11" s="51"/>
      <c r="D11" s="110"/>
      <c r="E11" s="279" t="e">
        <f ca="1">INDEX(RESULTADOS!$A:$BA,MATCH($A11,RESULTADOS!$A:$A,0),MATCH(E$1,RESULTADOS!$1:$1,0))</f>
        <v>#N/A</v>
      </c>
      <c r="F11" s="279" t="e">
        <f ca="1">INDEX(RESULTADOS!$A:$BA,MATCH($A11,RESULTADOS!$A:$A,0),MATCH(F$1,RESULTADOS!$1:$1,0))</f>
        <v>#N/A</v>
      </c>
      <c r="G11" s="288">
        <f ca="1">SUMPRODUCT((TABELA_VAZAO[Posto]=G$2)*1,(TABELA_VAZAO[Data]=$A11)*1,TABELA_VAZAO[qnat])</f>
        <v>0</v>
      </c>
      <c r="H11" s="288">
        <f ca="1">SUMPRODUCT((TABELA_VAZAO[Posto]=H$2)*1,(TABELA_VAZAO[Data]=$A11)*1,TABELA_VAZAO[qnat])</f>
        <v>0</v>
      </c>
      <c r="I11" s="67" t="e">
        <f ca="1">INDEX(RESULTADOS!$A:$BA,MATCH($A11,RESULTADOS!$A:$A,0),MATCH(I$1,RESULTADOS!$1:$1,0))</f>
        <v>#N/A</v>
      </c>
      <c r="J11" s="250">
        <f ca="1">SUMPRODUCT((TABELA_VAZAO[Posto]=J$2)*1,(TABELA_VAZAO[Data]=$A11)*1,TABELA_VAZAO[qinc])</f>
        <v>0</v>
      </c>
      <c r="K11" s="250">
        <f ca="1">SUMPRODUCT((TABELA_VAZAO[Posto]=K$2)*1,(TABELA_VAZAO[Data]=$A11)*1,TABELA_VAZAO[qinc])</f>
        <v>0</v>
      </c>
      <c r="L11" s="250">
        <f ca="1">SUMPRODUCT((TABELA_VAZAO[Posto]=L$2)*1,(TABELA_VAZAO[Data]=$A11)*1,TABELA_VAZAO[qinc])</f>
        <v>0</v>
      </c>
      <c r="M11" s="288">
        <f ca="1">SUMPRODUCT((TABELA_VAZAO[Posto]=M$2)*1,(TABELA_VAZAO[Data]=$A11)*1,TABELA_VAZAO[qnat])</f>
        <v>0</v>
      </c>
      <c r="N11" s="288">
        <f ca="1">SUMPRODUCT((TABELA_VAZAO[Posto]=N$2)*1,(TABELA_VAZAO[Data]=$A11)*1,TABELA_VAZAO[qnat])</f>
        <v>0</v>
      </c>
      <c r="O11" s="288">
        <f ca="1">SUMPRODUCT((TABELA_VAZAO[Posto]=O$2)*1,(TABELA_VAZAO[Data]=$A11)*1,TABELA_VAZAO[qnat])</f>
        <v>0</v>
      </c>
      <c r="P11" s="288">
        <f ca="1">SUMPRODUCT((TABELA_VAZAO[Posto]=P$2)*1,(TABELA_VAZAO[Data]=$A11)*1,TABELA_VAZAO[qnat])</f>
        <v>0</v>
      </c>
      <c r="Q11" s="250">
        <f ca="1">SUMPRODUCT((TABELA_VAZAO[Posto]=Q$2)*1,(TABELA_VAZAO[Data]=$A11)*1,TABELA_VAZAO[qinc])</f>
        <v>0</v>
      </c>
      <c r="R11" s="250">
        <f ca="1">SUMPRODUCT((TABELA_VAZAO[Posto]=R$2)*1,(TABELA_VAZAO[Data]=$A11)*1,TABELA_VAZAO[qinc])</f>
        <v>0</v>
      </c>
      <c r="S11" s="250">
        <f ca="1">SUMPRODUCT((TABELA_VAZAO[Posto]=S$2)*1,(TABELA_VAZAO[Data]=$A11)*1,TABELA_VAZAO[qinc])</f>
        <v>0</v>
      </c>
      <c r="T11" s="288">
        <f ca="1">SUMPRODUCT((TABELA_VAZAO[Posto]=T$2)*1,(TABELA_VAZAO[Data]=$A11)*1,TABELA_VAZAO[qnat])</f>
        <v>0</v>
      </c>
      <c r="U11" s="288">
        <f ca="1">SUMPRODUCT((TABELA_VAZAO[Posto]=U$2)*1,(TABELA_VAZAO[Data]=$A11)*1,TABELA_VAZAO[qnat])</f>
        <v>0</v>
      </c>
    </row>
    <row r="12" spans="1:21" x14ac:dyDescent="0.2">
      <c r="A12" s="82">
        <f t="shared" ca="1" si="3"/>
        <v>43811</v>
      </c>
      <c r="B12" s="83"/>
      <c r="C12" s="83"/>
      <c r="D12" s="84"/>
      <c r="E12" s="279" t="e">
        <f ca="1">INDEX(RESULTADOS!$A:$BA,MATCH($A12,RESULTADOS!$A:$A,0),MATCH(E$1,RESULTADOS!$1:$1,0))</f>
        <v>#N/A</v>
      </c>
      <c r="F12" s="279" t="e">
        <f ca="1">INDEX(RESULTADOS!$A:$BA,MATCH($A12,RESULTADOS!$A:$A,0),MATCH(F$1,RESULTADOS!$1:$1,0))</f>
        <v>#N/A</v>
      </c>
      <c r="G12" s="288">
        <f ca="1">SUMPRODUCT((TABELA_VAZAO[Posto]=G$2)*1,(TABELA_VAZAO[Data]=$A12)*1,TABELA_VAZAO[qnat])</f>
        <v>0</v>
      </c>
      <c r="H12" s="288">
        <f ca="1">SUMPRODUCT((TABELA_VAZAO[Posto]=H$2)*1,(TABELA_VAZAO[Data]=$A12)*1,TABELA_VAZAO[qnat])</f>
        <v>0</v>
      </c>
      <c r="I12" s="67" t="e">
        <f ca="1">INDEX(RESULTADOS!$A:$BA,MATCH($A12,RESULTADOS!$A:$A,0),MATCH(I$1,RESULTADOS!$1:$1,0))</f>
        <v>#N/A</v>
      </c>
      <c r="J12" s="250">
        <f ca="1">SUMPRODUCT((TABELA_VAZAO[Posto]=J$2)*1,(TABELA_VAZAO[Data]=$A12)*1,TABELA_VAZAO[qinc])</f>
        <v>0</v>
      </c>
      <c r="K12" s="250">
        <f ca="1">SUMPRODUCT((TABELA_VAZAO[Posto]=K$2)*1,(TABELA_VAZAO[Data]=$A12)*1,TABELA_VAZAO[qinc])</f>
        <v>0</v>
      </c>
      <c r="L12" s="250">
        <f ca="1">SUMPRODUCT((TABELA_VAZAO[Posto]=L$2)*1,(TABELA_VAZAO[Data]=$A12)*1,TABELA_VAZAO[qinc])</f>
        <v>0</v>
      </c>
      <c r="M12" s="288">
        <f ca="1">SUMPRODUCT((TABELA_VAZAO[Posto]=M$2)*1,(TABELA_VAZAO[Data]=$A12)*1,TABELA_VAZAO[qnat])</f>
        <v>0</v>
      </c>
      <c r="N12" s="288">
        <f ca="1">SUMPRODUCT((TABELA_VAZAO[Posto]=N$2)*1,(TABELA_VAZAO[Data]=$A12)*1,TABELA_VAZAO[qnat])</f>
        <v>0</v>
      </c>
      <c r="O12" s="288">
        <f ca="1">SUMPRODUCT((TABELA_VAZAO[Posto]=O$2)*1,(TABELA_VAZAO[Data]=$A12)*1,TABELA_VAZAO[qnat])</f>
        <v>0</v>
      </c>
      <c r="P12" s="288">
        <f ca="1">SUMPRODUCT((TABELA_VAZAO[Posto]=P$2)*1,(TABELA_VAZAO[Data]=$A12)*1,TABELA_VAZAO[qnat])</f>
        <v>0</v>
      </c>
      <c r="Q12" s="250">
        <f ca="1">SUMPRODUCT((TABELA_VAZAO[Posto]=Q$2)*1,(TABELA_VAZAO[Data]=$A12)*1,TABELA_VAZAO[qinc])</f>
        <v>0</v>
      </c>
      <c r="R12" s="250">
        <f ca="1">SUMPRODUCT((TABELA_VAZAO[Posto]=R$2)*1,(TABELA_VAZAO[Data]=$A12)*1,TABELA_VAZAO[qinc])</f>
        <v>0</v>
      </c>
      <c r="S12" s="250">
        <f ca="1">SUMPRODUCT((TABELA_VAZAO[Posto]=S$2)*1,(TABELA_VAZAO[Data]=$A12)*1,TABELA_VAZAO[qinc])</f>
        <v>0</v>
      </c>
      <c r="T12" s="288">
        <f ca="1">SUMPRODUCT((TABELA_VAZAO[Posto]=T$2)*1,(TABELA_VAZAO[Data]=$A12)*1,TABELA_VAZAO[qnat])</f>
        <v>0</v>
      </c>
      <c r="U12" s="288">
        <f ca="1">SUMPRODUCT((TABELA_VAZAO[Posto]=U$2)*1,(TABELA_VAZAO[Data]=$A12)*1,TABELA_VAZAO[qnat])</f>
        <v>0</v>
      </c>
    </row>
    <row r="13" spans="1:21" x14ac:dyDescent="0.2">
      <c r="A13" s="49">
        <f t="shared" ca="1" si="3"/>
        <v>43812</v>
      </c>
      <c r="B13" s="51"/>
      <c r="C13" s="51"/>
      <c r="D13" s="110"/>
      <c r="E13" s="279" t="e">
        <f ca="1">INDEX(RESULTADOS!$A:$BA,MATCH($A13,RESULTADOS!$A:$A,0),MATCH(E$1,RESULTADOS!$1:$1,0))</f>
        <v>#N/A</v>
      </c>
      <c r="F13" s="279" t="e">
        <f ca="1">INDEX(RESULTADOS!$A:$BA,MATCH($A13,RESULTADOS!$A:$A,0),MATCH(F$1,RESULTADOS!$1:$1,0))</f>
        <v>#N/A</v>
      </c>
      <c r="G13" s="288">
        <f ca="1">SUMPRODUCT((TABELA_VAZAO[Posto]=G$2)*1,(TABELA_VAZAO[Data]=$A13)*1,TABELA_VAZAO[qnat])</f>
        <v>0</v>
      </c>
      <c r="H13" s="288">
        <f ca="1">SUMPRODUCT((TABELA_VAZAO[Posto]=H$2)*1,(TABELA_VAZAO[Data]=$A13)*1,TABELA_VAZAO[qnat])</f>
        <v>0</v>
      </c>
      <c r="I13" s="67" t="e">
        <f ca="1">INDEX(RESULTADOS!$A:$BA,MATCH($A13,RESULTADOS!$A:$A,0),MATCH(I$1,RESULTADOS!$1:$1,0))</f>
        <v>#N/A</v>
      </c>
      <c r="J13" s="250">
        <f ca="1">SUMPRODUCT((TABELA_VAZAO[Posto]=J$2)*1,(TABELA_VAZAO[Data]=$A13)*1,TABELA_VAZAO[qinc])</f>
        <v>0</v>
      </c>
      <c r="K13" s="250">
        <f ca="1">SUMPRODUCT((TABELA_VAZAO[Posto]=K$2)*1,(TABELA_VAZAO[Data]=$A13)*1,TABELA_VAZAO[qinc])</f>
        <v>0</v>
      </c>
      <c r="L13" s="250">
        <f ca="1">SUMPRODUCT((TABELA_VAZAO[Posto]=L$2)*1,(TABELA_VAZAO[Data]=$A13)*1,TABELA_VAZAO[qinc])</f>
        <v>0</v>
      </c>
      <c r="M13" s="288">
        <f ca="1">SUMPRODUCT((TABELA_VAZAO[Posto]=M$2)*1,(TABELA_VAZAO[Data]=$A13)*1,TABELA_VAZAO[qnat])</f>
        <v>0</v>
      </c>
      <c r="N13" s="288">
        <f ca="1">SUMPRODUCT((TABELA_VAZAO[Posto]=N$2)*1,(TABELA_VAZAO[Data]=$A13)*1,TABELA_VAZAO[qnat])</f>
        <v>0</v>
      </c>
      <c r="O13" s="288">
        <f ca="1">SUMPRODUCT((TABELA_VAZAO[Posto]=O$2)*1,(TABELA_VAZAO[Data]=$A13)*1,TABELA_VAZAO[qnat])</f>
        <v>0</v>
      </c>
      <c r="P13" s="288">
        <f ca="1">SUMPRODUCT((TABELA_VAZAO[Posto]=P$2)*1,(TABELA_VAZAO[Data]=$A13)*1,TABELA_VAZAO[qnat])</f>
        <v>0</v>
      </c>
      <c r="Q13" s="250">
        <f ca="1">SUMPRODUCT((TABELA_VAZAO[Posto]=Q$2)*1,(TABELA_VAZAO[Data]=$A13)*1,TABELA_VAZAO[qinc])</f>
        <v>0</v>
      </c>
      <c r="R13" s="250">
        <f ca="1">SUMPRODUCT((TABELA_VAZAO[Posto]=R$2)*1,(TABELA_VAZAO[Data]=$A13)*1,TABELA_VAZAO[qinc])</f>
        <v>0</v>
      </c>
      <c r="S13" s="250">
        <f ca="1">SUMPRODUCT((TABELA_VAZAO[Posto]=S$2)*1,(TABELA_VAZAO[Data]=$A13)*1,TABELA_VAZAO[qinc])</f>
        <v>0</v>
      </c>
      <c r="T13" s="288">
        <f ca="1">SUMPRODUCT((TABELA_VAZAO[Posto]=T$2)*1,(TABELA_VAZAO[Data]=$A13)*1,TABELA_VAZAO[qnat])</f>
        <v>0</v>
      </c>
      <c r="U13" s="288">
        <f ca="1">SUMPRODUCT((TABELA_VAZAO[Posto]=U$2)*1,(TABELA_VAZAO[Data]=$A13)*1,TABELA_VAZAO[qnat])</f>
        <v>0</v>
      </c>
    </row>
    <row r="14" spans="1:21" x14ac:dyDescent="0.2">
      <c r="A14" s="49">
        <f t="shared" ca="1" si="3"/>
        <v>43813</v>
      </c>
      <c r="B14" s="51"/>
      <c r="C14" s="51"/>
      <c r="D14" s="110"/>
      <c r="E14" s="279" t="e">
        <f ca="1">INDEX(RESULTADOS!$A:$BA,MATCH($A14,RESULTADOS!$A:$A,0),MATCH(E$1,RESULTADOS!$1:$1,0))</f>
        <v>#N/A</v>
      </c>
      <c r="F14" s="279" t="e">
        <f ca="1">INDEX(RESULTADOS!$A:$BA,MATCH($A14,RESULTADOS!$A:$A,0),MATCH(F$1,RESULTADOS!$1:$1,0))</f>
        <v>#N/A</v>
      </c>
      <c r="G14" s="288">
        <f ca="1">SUMPRODUCT((TABELA_VAZAO[Posto]=G$2)*1,(TABELA_VAZAO[Data]=$A14)*1,TABELA_VAZAO[qnat])</f>
        <v>0</v>
      </c>
      <c r="H14" s="288">
        <f ca="1">SUMPRODUCT((TABELA_VAZAO[Posto]=H$2)*1,(TABELA_VAZAO[Data]=$A14)*1,TABELA_VAZAO[qnat])</f>
        <v>0</v>
      </c>
      <c r="I14" s="67" t="e">
        <f ca="1">INDEX(RESULTADOS!$A:$BA,MATCH($A14,RESULTADOS!$A:$A,0),MATCH(I$1,RESULTADOS!$1:$1,0))</f>
        <v>#N/A</v>
      </c>
      <c r="J14" s="250">
        <f ca="1">SUMPRODUCT((TABELA_VAZAO[Posto]=J$2)*1,(TABELA_VAZAO[Data]=$A14)*1,TABELA_VAZAO[qinc])</f>
        <v>0</v>
      </c>
      <c r="K14" s="250">
        <f ca="1">SUMPRODUCT((TABELA_VAZAO[Posto]=K$2)*1,(TABELA_VAZAO[Data]=$A14)*1,TABELA_VAZAO[qinc])</f>
        <v>0</v>
      </c>
      <c r="L14" s="250">
        <f ca="1">SUMPRODUCT((TABELA_VAZAO[Posto]=L$2)*1,(TABELA_VAZAO[Data]=$A14)*1,TABELA_VAZAO[qinc])</f>
        <v>0</v>
      </c>
      <c r="M14" s="288">
        <f ca="1">SUMPRODUCT((TABELA_VAZAO[Posto]=M$2)*1,(TABELA_VAZAO[Data]=$A14)*1,TABELA_VAZAO[qnat])</f>
        <v>0</v>
      </c>
      <c r="N14" s="288">
        <f ca="1">SUMPRODUCT((TABELA_VAZAO[Posto]=N$2)*1,(TABELA_VAZAO[Data]=$A14)*1,TABELA_VAZAO[qnat])</f>
        <v>0</v>
      </c>
      <c r="O14" s="288">
        <f ca="1">SUMPRODUCT((TABELA_VAZAO[Posto]=O$2)*1,(TABELA_VAZAO[Data]=$A14)*1,TABELA_VAZAO[qnat])</f>
        <v>0</v>
      </c>
      <c r="P14" s="288">
        <f ca="1">SUMPRODUCT((TABELA_VAZAO[Posto]=P$2)*1,(TABELA_VAZAO[Data]=$A14)*1,TABELA_VAZAO[qnat])</f>
        <v>0</v>
      </c>
      <c r="Q14" s="250">
        <f ca="1">SUMPRODUCT((TABELA_VAZAO[Posto]=Q$2)*1,(TABELA_VAZAO[Data]=$A14)*1,TABELA_VAZAO[qinc])</f>
        <v>0</v>
      </c>
      <c r="R14" s="250">
        <f ca="1">SUMPRODUCT((TABELA_VAZAO[Posto]=R$2)*1,(TABELA_VAZAO[Data]=$A14)*1,TABELA_VAZAO[qinc])</f>
        <v>0</v>
      </c>
      <c r="S14" s="250">
        <f ca="1">SUMPRODUCT((TABELA_VAZAO[Posto]=S$2)*1,(TABELA_VAZAO[Data]=$A14)*1,TABELA_VAZAO[qinc])</f>
        <v>0</v>
      </c>
      <c r="T14" s="288">
        <f ca="1">SUMPRODUCT((TABELA_VAZAO[Posto]=T$2)*1,(TABELA_VAZAO[Data]=$A14)*1,TABELA_VAZAO[qnat])</f>
        <v>0</v>
      </c>
      <c r="U14" s="288">
        <f ca="1">SUMPRODUCT((TABELA_VAZAO[Posto]=U$2)*1,(TABELA_VAZAO[Data]=$A14)*1,TABELA_VAZAO[qnat])</f>
        <v>0</v>
      </c>
    </row>
    <row r="15" spans="1:21" x14ac:dyDescent="0.2">
      <c r="A15" s="49">
        <f t="shared" ca="1" si="3"/>
        <v>43814</v>
      </c>
      <c r="B15" s="51"/>
      <c r="C15" s="51"/>
      <c r="D15" s="110"/>
      <c r="E15" s="279" t="e">
        <f ca="1">INDEX(RESULTADOS!$A:$BA,MATCH($A15,RESULTADOS!$A:$A,0),MATCH(E$1,RESULTADOS!$1:$1,0))</f>
        <v>#N/A</v>
      </c>
      <c r="F15" s="279" t="e">
        <f ca="1">INDEX(RESULTADOS!$A:$BA,MATCH($A15,RESULTADOS!$A:$A,0),MATCH(F$1,RESULTADOS!$1:$1,0))</f>
        <v>#N/A</v>
      </c>
      <c r="G15" s="288">
        <f ca="1">SUMPRODUCT((TABELA_VAZAO[Posto]=G$2)*1,(TABELA_VAZAO[Data]=$A15)*1,TABELA_VAZAO[qnat])</f>
        <v>0</v>
      </c>
      <c r="H15" s="288">
        <f ca="1">SUMPRODUCT((TABELA_VAZAO[Posto]=H$2)*1,(TABELA_VAZAO[Data]=$A15)*1,TABELA_VAZAO[qnat])</f>
        <v>0</v>
      </c>
      <c r="I15" s="67" t="e">
        <f ca="1">INDEX(RESULTADOS!$A:$BA,MATCH($A15,RESULTADOS!$A:$A,0),MATCH(I$1,RESULTADOS!$1:$1,0))</f>
        <v>#N/A</v>
      </c>
      <c r="J15" s="250">
        <f ca="1">SUMPRODUCT((TABELA_VAZAO[Posto]=J$2)*1,(TABELA_VAZAO[Data]=$A15)*1,TABELA_VAZAO[qinc])</f>
        <v>0</v>
      </c>
      <c r="K15" s="250">
        <f ca="1">SUMPRODUCT((TABELA_VAZAO[Posto]=K$2)*1,(TABELA_VAZAO[Data]=$A15)*1,TABELA_VAZAO[qinc])</f>
        <v>0</v>
      </c>
      <c r="L15" s="250">
        <f ca="1">SUMPRODUCT((TABELA_VAZAO[Posto]=L$2)*1,(TABELA_VAZAO[Data]=$A15)*1,TABELA_VAZAO[qinc])</f>
        <v>0</v>
      </c>
      <c r="M15" s="288">
        <f ca="1">SUMPRODUCT((TABELA_VAZAO[Posto]=M$2)*1,(TABELA_VAZAO[Data]=$A15)*1,TABELA_VAZAO[qnat])</f>
        <v>0</v>
      </c>
      <c r="N15" s="288">
        <f ca="1">SUMPRODUCT((TABELA_VAZAO[Posto]=N$2)*1,(TABELA_VAZAO[Data]=$A15)*1,TABELA_VAZAO[qnat])</f>
        <v>0</v>
      </c>
      <c r="O15" s="288">
        <f ca="1">SUMPRODUCT((TABELA_VAZAO[Posto]=O$2)*1,(TABELA_VAZAO[Data]=$A15)*1,TABELA_VAZAO[qnat])</f>
        <v>0</v>
      </c>
      <c r="P15" s="288">
        <f ca="1">SUMPRODUCT((TABELA_VAZAO[Posto]=P$2)*1,(TABELA_VAZAO[Data]=$A15)*1,TABELA_VAZAO[qnat])</f>
        <v>0</v>
      </c>
      <c r="Q15" s="250">
        <f ca="1">SUMPRODUCT((TABELA_VAZAO[Posto]=Q$2)*1,(TABELA_VAZAO[Data]=$A15)*1,TABELA_VAZAO[qinc])</f>
        <v>0</v>
      </c>
      <c r="R15" s="250">
        <f ca="1">SUMPRODUCT((TABELA_VAZAO[Posto]=R$2)*1,(TABELA_VAZAO[Data]=$A15)*1,TABELA_VAZAO[qinc])</f>
        <v>0</v>
      </c>
      <c r="S15" s="250">
        <f ca="1">SUMPRODUCT((TABELA_VAZAO[Posto]=S$2)*1,(TABELA_VAZAO[Data]=$A15)*1,TABELA_VAZAO[qinc])</f>
        <v>0</v>
      </c>
      <c r="T15" s="288">
        <f ca="1">SUMPRODUCT((TABELA_VAZAO[Posto]=T$2)*1,(TABELA_VAZAO[Data]=$A15)*1,TABELA_VAZAO[qnat])</f>
        <v>0</v>
      </c>
      <c r="U15" s="288">
        <f ca="1">SUMPRODUCT((TABELA_VAZAO[Posto]=U$2)*1,(TABELA_VAZAO[Data]=$A15)*1,TABELA_VAZAO[qnat])</f>
        <v>0</v>
      </c>
    </row>
    <row r="16" spans="1:21" x14ac:dyDescent="0.2">
      <c r="A16" s="49">
        <f t="shared" ca="1" si="3"/>
        <v>43815</v>
      </c>
      <c r="B16" s="51"/>
      <c r="C16" s="51"/>
      <c r="D16" s="110"/>
      <c r="E16" s="279" t="e">
        <f ca="1">INDEX(RESULTADOS!$A:$BA,MATCH($A16,RESULTADOS!$A:$A,0),MATCH(E$1,RESULTADOS!$1:$1,0))</f>
        <v>#N/A</v>
      </c>
      <c r="F16" s="279" t="e">
        <f ca="1">INDEX(RESULTADOS!$A:$BA,MATCH($A16,RESULTADOS!$A:$A,0),MATCH(F$1,RESULTADOS!$1:$1,0))</f>
        <v>#N/A</v>
      </c>
      <c r="G16" s="288">
        <f ca="1">SUMPRODUCT((TABELA_VAZAO[Posto]=G$2)*1,(TABELA_VAZAO[Data]=$A16)*1,TABELA_VAZAO[qnat])</f>
        <v>0</v>
      </c>
      <c r="H16" s="288">
        <f ca="1">SUMPRODUCT((TABELA_VAZAO[Posto]=H$2)*1,(TABELA_VAZAO[Data]=$A16)*1,TABELA_VAZAO[qnat])</f>
        <v>0</v>
      </c>
      <c r="I16" s="67" t="e">
        <f ca="1">INDEX(RESULTADOS!$A:$BA,MATCH($A16,RESULTADOS!$A:$A,0),MATCH(I$1,RESULTADOS!$1:$1,0))</f>
        <v>#N/A</v>
      </c>
      <c r="J16" s="250">
        <f ca="1">SUMPRODUCT((TABELA_VAZAO[Posto]=J$2)*1,(TABELA_VAZAO[Data]=$A16)*1,TABELA_VAZAO[qinc])</f>
        <v>0</v>
      </c>
      <c r="K16" s="250">
        <f ca="1">SUMPRODUCT((TABELA_VAZAO[Posto]=K$2)*1,(TABELA_VAZAO[Data]=$A16)*1,TABELA_VAZAO[qinc])</f>
        <v>0</v>
      </c>
      <c r="L16" s="250">
        <f ca="1">SUMPRODUCT((TABELA_VAZAO[Posto]=L$2)*1,(TABELA_VAZAO[Data]=$A16)*1,TABELA_VAZAO[qinc])</f>
        <v>0</v>
      </c>
      <c r="M16" s="288">
        <f ca="1">SUMPRODUCT((TABELA_VAZAO[Posto]=M$2)*1,(TABELA_VAZAO[Data]=$A16)*1,TABELA_VAZAO[qnat])</f>
        <v>0</v>
      </c>
      <c r="N16" s="288">
        <f ca="1">SUMPRODUCT((TABELA_VAZAO[Posto]=N$2)*1,(TABELA_VAZAO[Data]=$A16)*1,TABELA_VAZAO[qnat])</f>
        <v>0</v>
      </c>
      <c r="O16" s="288">
        <f ca="1">SUMPRODUCT((TABELA_VAZAO[Posto]=O$2)*1,(TABELA_VAZAO[Data]=$A16)*1,TABELA_VAZAO[qnat])</f>
        <v>0</v>
      </c>
      <c r="P16" s="288">
        <f ca="1">SUMPRODUCT((TABELA_VAZAO[Posto]=P$2)*1,(TABELA_VAZAO[Data]=$A16)*1,TABELA_VAZAO[qnat])</f>
        <v>0</v>
      </c>
      <c r="Q16" s="250">
        <f ca="1">SUMPRODUCT((TABELA_VAZAO[Posto]=Q$2)*1,(TABELA_VAZAO[Data]=$A16)*1,TABELA_VAZAO[qinc])</f>
        <v>0</v>
      </c>
      <c r="R16" s="250">
        <f ca="1">SUMPRODUCT((TABELA_VAZAO[Posto]=R$2)*1,(TABELA_VAZAO[Data]=$A16)*1,TABELA_VAZAO[qinc])</f>
        <v>0</v>
      </c>
      <c r="S16" s="250">
        <f ca="1">SUMPRODUCT((TABELA_VAZAO[Posto]=S$2)*1,(TABELA_VAZAO[Data]=$A16)*1,TABELA_VAZAO[qinc])</f>
        <v>0</v>
      </c>
      <c r="T16" s="288">
        <f ca="1">SUMPRODUCT((TABELA_VAZAO[Posto]=T$2)*1,(TABELA_VAZAO[Data]=$A16)*1,TABELA_VAZAO[qnat])</f>
        <v>0</v>
      </c>
      <c r="U16" s="288">
        <f ca="1">SUMPRODUCT((TABELA_VAZAO[Posto]=U$2)*1,(TABELA_VAZAO[Data]=$A16)*1,TABELA_VAZAO[qnat])</f>
        <v>0</v>
      </c>
    </row>
    <row r="17" spans="1:21" x14ac:dyDescent="0.2">
      <c r="A17" s="49">
        <f t="shared" ca="1" si="3"/>
        <v>43816</v>
      </c>
      <c r="B17" s="51"/>
      <c r="C17" s="51"/>
      <c r="D17" s="110"/>
      <c r="E17" s="279" t="e">
        <f ca="1">INDEX(RESULTADOS!$A:$BA,MATCH($A17,RESULTADOS!$A:$A,0),MATCH(E$1,RESULTADOS!$1:$1,0))</f>
        <v>#N/A</v>
      </c>
      <c r="F17" s="279" t="e">
        <f ca="1">INDEX(RESULTADOS!$A:$BA,MATCH($A17,RESULTADOS!$A:$A,0),MATCH(F$1,RESULTADOS!$1:$1,0))</f>
        <v>#N/A</v>
      </c>
      <c r="G17" s="288">
        <f ca="1">SUMPRODUCT((TABELA_VAZAO[Posto]=G$2)*1,(TABELA_VAZAO[Data]=$A17)*1,TABELA_VAZAO[qnat])</f>
        <v>0</v>
      </c>
      <c r="H17" s="288">
        <f ca="1">SUMPRODUCT((TABELA_VAZAO[Posto]=H$2)*1,(TABELA_VAZAO[Data]=$A17)*1,TABELA_VAZAO[qnat])</f>
        <v>0</v>
      </c>
      <c r="I17" s="67" t="e">
        <f ca="1">INDEX(RESULTADOS!$A:$BA,MATCH($A17,RESULTADOS!$A:$A,0),MATCH(I$1,RESULTADOS!$1:$1,0))</f>
        <v>#N/A</v>
      </c>
      <c r="J17" s="250">
        <f ca="1">SUMPRODUCT((TABELA_VAZAO[Posto]=J$2)*1,(TABELA_VAZAO[Data]=$A17)*1,TABELA_VAZAO[qinc])</f>
        <v>0</v>
      </c>
      <c r="K17" s="250">
        <f ca="1">SUMPRODUCT((TABELA_VAZAO[Posto]=K$2)*1,(TABELA_VAZAO[Data]=$A17)*1,TABELA_VAZAO[qinc])</f>
        <v>0</v>
      </c>
      <c r="L17" s="250">
        <f ca="1">SUMPRODUCT((TABELA_VAZAO[Posto]=L$2)*1,(TABELA_VAZAO[Data]=$A17)*1,TABELA_VAZAO[qinc])</f>
        <v>0</v>
      </c>
      <c r="M17" s="288">
        <f ca="1">SUMPRODUCT((TABELA_VAZAO[Posto]=M$2)*1,(TABELA_VAZAO[Data]=$A17)*1,TABELA_VAZAO[qnat])</f>
        <v>0</v>
      </c>
      <c r="N17" s="288">
        <f ca="1">SUMPRODUCT((TABELA_VAZAO[Posto]=N$2)*1,(TABELA_VAZAO[Data]=$A17)*1,TABELA_VAZAO[qnat])</f>
        <v>0</v>
      </c>
      <c r="O17" s="288">
        <f ca="1">SUMPRODUCT((TABELA_VAZAO[Posto]=O$2)*1,(TABELA_VAZAO[Data]=$A17)*1,TABELA_VAZAO[qnat])</f>
        <v>0</v>
      </c>
      <c r="P17" s="288">
        <f ca="1">SUMPRODUCT((TABELA_VAZAO[Posto]=P$2)*1,(TABELA_VAZAO[Data]=$A17)*1,TABELA_VAZAO[qnat])</f>
        <v>0</v>
      </c>
      <c r="Q17" s="250">
        <f ca="1">SUMPRODUCT((TABELA_VAZAO[Posto]=Q$2)*1,(TABELA_VAZAO[Data]=$A17)*1,TABELA_VAZAO[qinc])</f>
        <v>0</v>
      </c>
      <c r="R17" s="250">
        <f ca="1">SUMPRODUCT((TABELA_VAZAO[Posto]=R$2)*1,(TABELA_VAZAO[Data]=$A17)*1,TABELA_VAZAO[qinc])</f>
        <v>0</v>
      </c>
      <c r="S17" s="250">
        <f ca="1">SUMPRODUCT((TABELA_VAZAO[Posto]=S$2)*1,(TABELA_VAZAO[Data]=$A17)*1,TABELA_VAZAO[qinc])</f>
        <v>0</v>
      </c>
      <c r="T17" s="288">
        <f ca="1">SUMPRODUCT((TABELA_VAZAO[Posto]=T$2)*1,(TABELA_VAZAO[Data]=$A17)*1,TABELA_VAZAO[qnat])</f>
        <v>0</v>
      </c>
      <c r="U17" s="288">
        <f ca="1">SUMPRODUCT((TABELA_VAZAO[Posto]=U$2)*1,(TABELA_VAZAO[Data]=$A17)*1,TABELA_VAZAO[qnat])</f>
        <v>0</v>
      </c>
    </row>
    <row r="18" spans="1:21" x14ac:dyDescent="0.2">
      <c r="A18" s="49">
        <f t="shared" ca="1" si="3"/>
        <v>43817</v>
      </c>
      <c r="B18" s="51"/>
      <c r="C18" s="51"/>
      <c r="D18" s="110"/>
      <c r="E18" s="279" t="e">
        <f ca="1">INDEX(RESULTADOS!$A:$BA,MATCH($A18,RESULTADOS!$A:$A,0),MATCH(E$1,RESULTADOS!$1:$1,0))</f>
        <v>#N/A</v>
      </c>
      <c r="F18" s="279" t="e">
        <f ca="1">INDEX(RESULTADOS!$A:$BA,MATCH($A18,RESULTADOS!$A:$A,0),MATCH(F$1,RESULTADOS!$1:$1,0))</f>
        <v>#N/A</v>
      </c>
      <c r="G18" s="288">
        <f ca="1">SUMPRODUCT((TABELA_VAZAO[Posto]=G$2)*1,(TABELA_VAZAO[Data]=$A18)*1,TABELA_VAZAO[qnat])</f>
        <v>0</v>
      </c>
      <c r="H18" s="288">
        <f ca="1">SUMPRODUCT((TABELA_VAZAO[Posto]=H$2)*1,(TABELA_VAZAO[Data]=$A18)*1,TABELA_VAZAO[qnat])</f>
        <v>0</v>
      </c>
      <c r="I18" s="67" t="e">
        <f ca="1">INDEX(RESULTADOS!$A:$BA,MATCH($A18,RESULTADOS!$A:$A,0),MATCH(I$1,RESULTADOS!$1:$1,0))</f>
        <v>#N/A</v>
      </c>
      <c r="J18" s="250">
        <f ca="1">SUMPRODUCT((TABELA_VAZAO[Posto]=J$2)*1,(TABELA_VAZAO[Data]=$A18)*1,TABELA_VAZAO[qinc])</f>
        <v>0</v>
      </c>
      <c r="K18" s="250">
        <f ca="1">SUMPRODUCT((TABELA_VAZAO[Posto]=K$2)*1,(TABELA_VAZAO[Data]=$A18)*1,TABELA_VAZAO[qinc])</f>
        <v>0</v>
      </c>
      <c r="L18" s="250">
        <f ca="1">SUMPRODUCT((TABELA_VAZAO[Posto]=L$2)*1,(TABELA_VAZAO[Data]=$A18)*1,TABELA_VAZAO[qinc])</f>
        <v>0</v>
      </c>
      <c r="M18" s="288">
        <f ca="1">SUMPRODUCT((TABELA_VAZAO[Posto]=M$2)*1,(TABELA_VAZAO[Data]=$A18)*1,TABELA_VAZAO[qnat])</f>
        <v>0</v>
      </c>
      <c r="N18" s="288">
        <f ca="1">SUMPRODUCT((TABELA_VAZAO[Posto]=N$2)*1,(TABELA_VAZAO[Data]=$A18)*1,TABELA_VAZAO[qnat])</f>
        <v>0</v>
      </c>
      <c r="O18" s="288">
        <f ca="1">SUMPRODUCT((TABELA_VAZAO[Posto]=O$2)*1,(TABELA_VAZAO[Data]=$A18)*1,TABELA_VAZAO[qnat])</f>
        <v>0</v>
      </c>
      <c r="P18" s="288">
        <f ca="1">SUMPRODUCT((TABELA_VAZAO[Posto]=P$2)*1,(TABELA_VAZAO[Data]=$A18)*1,TABELA_VAZAO[qnat])</f>
        <v>0</v>
      </c>
      <c r="Q18" s="250">
        <f ca="1">SUMPRODUCT((TABELA_VAZAO[Posto]=Q$2)*1,(TABELA_VAZAO[Data]=$A18)*1,TABELA_VAZAO[qinc])</f>
        <v>0</v>
      </c>
      <c r="R18" s="250">
        <f ca="1">SUMPRODUCT((TABELA_VAZAO[Posto]=R$2)*1,(TABELA_VAZAO[Data]=$A18)*1,TABELA_VAZAO[qinc])</f>
        <v>0</v>
      </c>
      <c r="S18" s="250">
        <f ca="1">SUMPRODUCT((TABELA_VAZAO[Posto]=S$2)*1,(TABELA_VAZAO[Data]=$A18)*1,TABELA_VAZAO[qinc])</f>
        <v>0</v>
      </c>
      <c r="T18" s="288">
        <f ca="1">SUMPRODUCT((TABELA_VAZAO[Posto]=T$2)*1,(TABELA_VAZAO[Data]=$A18)*1,TABELA_VAZAO[qnat])</f>
        <v>0</v>
      </c>
      <c r="U18" s="288">
        <f ca="1">SUMPRODUCT((TABELA_VAZAO[Posto]=U$2)*1,(TABELA_VAZAO[Data]=$A18)*1,TABELA_VAZAO[qnat])</f>
        <v>0</v>
      </c>
    </row>
    <row r="19" spans="1:21" x14ac:dyDescent="0.2">
      <c r="A19" s="82">
        <f t="shared" ca="1" si="3"/>
        <v>43818</v>
      </c>
      <c r="B19" s="83"/>
      <c r="C19" s="83"/>
      <c r="D19" s="84"/>
      <c r="E19" s="279" t="e">
        <f ca="1">INDEX(RESULTADOS!$A:$BA,MATCH($A19,RESULTADOS!$A:$A,0),MATCH(E$1,RESULTADOS!$1:$1,0))</f>
        <v>#N/A</v>
      </c>
      <c r="F19" s="279" t="e">
        <f ca="1">INDEX(RESULTADOS!$A:$BA,MATCH($A19,RESULTADOS!$A:$A,0),MATCH(F$1,RESULTADOS!$1:$1,0))</f>
        <v>#N/A</v>
      </c>
      <c r="G19" s="288">
        <f ca="1">SUMPRODUCT((TABELA_VAZAO[Posto]=G$2)*1,(TABELA_VAZAO[Data]=$A19)*1,TABELA_VAZAO[qnat])</f>
        <v>0</v>
      </c>
      <c r="H19" s="288">
        <f ca="1">SUMPRODUCT((TABELA_VAZAO[Posto]=H$2)*1,(TABELA_VAZAO[Data]=$A19)*1,TABELA_VAZAO[qnat])</f>
        <v>0</v>
      </c>
      <c r="I19" s="67" t="e">
        <f ca="1">INDEX(RESULTADOS!$A:$BA,MATCH($A19,RESULTADOS!$A:$A,0),MATCH(I$1,RESULTADOS!$1:$1,0))</f>
        <v>#N/A</v>
      </c>
      <c r="J19" s="250">
        <f ca="1">SUMPRODUCT((TABELA_VAZAO[Posto]=J$2)*1,(TABELA_VAZAO[Data]=$A19)*1,TABELA_VAZAO[qinc])</f>
        <v>0</v>
      </c>
      <c r="K19" s="250">
        <f ca="1">SUMPRODUCT((TABELA_VAZAO[Posto]=K$2)*1,(TABELA_VAZAO[Data]=$A19)*1,TABELA_VAZAO[qinc])</f>
        <v>0</v>
      </c>
      <c r="L19" s="250">
        <f ca="1">SUMPRODUCT((TABELA_VAZAO[Posto]=L$2)*1,(TABELA_VAZAO[Data]=$A19)*1,TABELA_VAZAO[qinc])</f>
        <v>0</v>
      </c>
      <c r="M19" s="288">
        <f ca="1">SUMPRODUCT((TABELA_VAZAO[Posto]=M$2)*1,(TABELA_VAZAO[Data]=$A19)*1,TABELA_VAZAO[qnat])</f>
        <v>0</v>
      </c>
      <c r="N19" s="288">
        <f ca="1">SUMPRODUCT((TABELA_VAZAO[Posto]=N$2)*1,(TABELA_VAZAO[Data]=$A19)*1,TABELA_VAZAO[qnat])</f>
        <v>0</v>
      </c>
      <c r="O19" s="288">
        <f ca="1">SUMPRODUCT((TABELA_VAZAO[Posto]=O$2)*1,(TABELA_VAZAO[Data]=$A19)*1,TABELA_VAZAO[qnat])</f>
        <v>0</v>
      </c>
      <c r="P19" s="288">
        <f ca="1">SUMPRODUCT((TABELA_VAZAO[Posto]=P$2)*1,(TABELA_VAZAO[Data]=$A19)*1,TABELA_VAZAO[qnat])</f>
        <v>0</v>
      </c>
      <c r="Q19" s="250">
        <f ca="1">SUMPRODUCT((TABELA_VAZAO[Posto]=Q$2)*1,(TABELA_VAZAO[Data]=$A19)*1,TABELA_VAZAO[qinc])</f>
        <v>0</v>
      </c>
      <c r="R19" s="250">
        <f ca="1">SUMPRODUCT((TABELA_VAZAO[Posto]=R$2)*1,(TABELA_VAZAO[Data]=$A19)*1,TABELA_VAZAO[qinc])</f>
        <v>0</v>
      </c>
      <c r="S19" s="250">
        <f ca="1">SUMPRODUCT((TABELA_VAZAO[Posto]=S$2)*1,(TABELA_VAZAO[Data]=$A19)*1,TABELA_VAZAO[qinc])</f>
        <v>0</v>
      </c>
      <c r="T19" s="288">
        <f ca="1">SUMPRODUCT((TABELA_VAZAO[Posto]=T$2)*1,(TABELA_VAZAO[Data]=$A19)*1,TABELA_VAZAO[qnat])</f>
        <v>0</v>
      </c>
      <c r="U19" s="288">
        <f ca="1">SUMPRODUCT((TABELA_VAZAO[Posto]=U$2)*1,(TABELA_VAZAO[Data]=$A19)*1,TABELA_VAZAO[qnat])</f>
        <v>0</v>
      </c>
    </row>
    <row r="20" spans="1:21" x14ac:dyDescent="0.2">
      <c r="A20" s="49">
        <f t="shared" ca="1" si="3"/>
        <v>43819</v>
      </c>
      <c r="B20" s="51"/>
      <c r="C20" s="51"/>
      <c r="D20" s="110"/>
      <c r="E20" s="279" t="e">
        <f ca="1">INDEX(RESULTADOS!$A:$BA,MATCH($A20,RESULTADOS!$A:$A,0),MATCH(E$1,RESULTADOS!$1:$1,0))</f>
        <v>#N/A</v>
      </c>
      <c r="F20" s="279" t="e">
        <f ca="1">INDEX(RESULTADOS!$A:$BA,MATCH($A20,RESULTADOS!$A:$A,0),MATCH(F$1,RESULTADOS!$1:$1,0))</f>
        <v>#N/A</v>
      </c>
      <c r="G20" s="288">
        <f ca="1">SUMPRODUCT((TABELA_VAZAO[Posto]=G$2)*1,(TABELA_VAZAO[Data]=$A20)*1,TABELA_VAZAO[qnat])</f>
        <v>0</v>
      </c>
      <c r="H20" s="288">
        <f ca="1">SUMPRODUCT((TABELA_VAZAO[Posto]=H$2)*1,(TABELA_VAZAO[Data]=$A20)*1,TABELA_VAZAO[qnat])</f>
        <v>0</v>
      </c>
      <c r="I20" s="67" t="e">
        <f ca="1">INDEX(RESULTADOS!$A:$BA,MATCH($A20,RESULTADOS!$A:$A,0),MATCH(I$1,RESULTADOS!$1:$1,0))</f>
        <v>#N/A</v>
      </c>
      <c r="J20" s="250">
        <f ca="1">SUMPRODUCT((TABELA_VAZAO[Posto]=J$2)*1,(TABELA_VAZAO[Data]=$A20)*1,TABELA_VAZAO[qinc])</f>
        <v>0</v>
      </c>
      <c r="K20" s="250">
        <f ca="1">SUMPRODUCT((TABELA_VAZAO[Posto]=K$2)*1,(TABELA_VAZAO[Data]=$A20)*1,TABELA_VAZAO[qinc])</f>
        <v>0</v>
      </c>
      <c r="L20" s="250">
        <f ca="1">SUMPRODUCT((TABELA_VAZAO[Posto]=L$2)*1,(TABELA_VAZAO[Data]=$A20)*1,TABELA_VAZAO[qinc])</f>
        <v>0</v>
      </c>
      <c r="M20" s="288">
        <f ca="1">SUMPRODUCT((TABELA_VAZAO[Posto]=M$2)*1,(TABELA_VAZAO[Data]=$A20)*1,TABELA_VAZAO[qnat])</f>
        <v>0</v>
      </c>
      <c r="N20" s="288">
        <f ca="1">SUMPRODUCT((TABELA_VAZAO[Posto]=N$2)*1,(TABELA_VAZAO[Data]=$A20)*1,TABELA_VAZAO[qnat])</f>
        <v>0</v>
      </c>
      <c r="O20" s="288">
        <f ca="1">SUMPRODUCT((TABELA_VAZAO[Posto]=O$2)*1,(TABELA_VAZAO[Data]=$A20)*1,TABELA_VAZAO[qnat])</f>
        <v>0</v>
      </c>
      <c r="P20" s="288">
        <f ca="1">SUMPRODUCT((TABELA_VAZAO[Posto]=P$2)*1,(TABELA_VAZAO[Data]=$A20)*1,TABELA_VAZAO[qnat])</f>
        <v>0</v>
      </c>
      <c r="Q20" s="250">
        <f ca="1">SUMPRODUCT((TABELA_VAZAO[Posto]=Q$2)*1,(TABELA_VAZAO[Data]=$A20)*1,TABELA_VAZAO[qinc])</f>
        <v>0</v>
      </c>
      <c r="R20" s="250">
        <f ca="1">SUMPRODUCT((TABELA_VAZAO[Posto]=R$2)*1,(TABELA_VAZAO[Data]=$A20)*1,TABELA_VAZAO[qinc])</f>
        <v>0</v>
      </c>
      <c r="S20" s="250">
        <f ca="1">SUMPRODUCT((TABELA_VAZAO[Posto]=S$2)*1,(TABELA_VAZAO[Data]=$A20)*1,TABELA_VAZAO[qinc])</f>
        <v>0</v>
      </c>
      <c r="T20" s="288">
        <f ca="1">SUMPRODUCT((TABELA_VAZAO[Posto]=T$2)*1,(TABELA_VAZAO[Data]=$A20)*1,TABELA_VAZAO[qnat])</f>
        <v>0</v>
      </c>
      <c r="U20" s="288">
        <f ca="1">SUMPRODUCT((TABELA_VAZAO[Posto]=U$2)*1,(TABELA_VAZAO[Data]=$A20)*1,TABELA_VAZAO[qnat])</f>
        <v>0</v>
      </c>
    </row>
    <row r="21" spans="1:21" x14ac:dyDescent="0.2">
      <c r="A21" s="49">
        <f t="shared" ca="1" si="3"/>
        <v>43820</v>
      </c>
      <c r="B21" s="51"/>
      <c r="C21" s="51"/>
      <c r="D21" s="110"/>
      <c r="E21" s="279" t="e">
        <f ca="1">INDEX(RESULTADOS!$A:$BA,MATCH($A21,RESULTADOS!$A:$A,0),MATCH(E$1,RESULTADOS!$1:$1,0))</f>
        <v>#N/A</v>
      </c>
      <c r="F21" s="279" t="e">
        <f ca="1">INDEX(RESULTADOS!$A:$BA,MATCH($A21,RESULTADOS!$A:$A,0),MATCH(F$1,RESULTADOS!$1:$1,0))</f>
        <v>#N/A</v>
      </c>
      <c r="G21" s="288">
        <f ca="1">SUMPRODUCT((TABELA_VAZAO[Posto]=G$2)*1,(TABELA_VAZAO[Data]=$A21)*1,TABELA_VAZAO[qnat])</f>
        <v>0</v>
      </c>
      <c r="H21" s="288">
        <f ca="1">SUMPRODUCT((TABELA_VAZAO[Posto]=H$2)*1,(TABELA_VAZAO[Data]=$A21)*1,TABELA_VAZAO[qnat])</f>
        <v>0</v>
      </c>
      <c r="I21" s="67" t="e">
        <f ca="1">INDEX(RESULTADOS!$A:$BA,MATCH($A21,RESULTADOS!$A:$A,0),MATCH(I$1,RESULTADOS!$1:$1,0))</f>
        <v>#N/A</v>
      </c>
      <c r="J21" s="250">
        <f ca="1">SUMPRODUCT((TABELA_VAZAO[Posto]=J$2)*1,(TABELA_VAZAO[Data]=$A21)*1,TABELA_VAZAO[qinc])</f>
        <v>0</v>
      </c>
      <c r="K21" s="250">
        <f ca="1">SUMPRODUCT((TABELA_VAZAO[Posto]=K$2)*1,(TABELA_VAZAO[Data]=$A21)*1,TABELA_VAZAO[qinc])</f>
        <v>0</v>
      </c>
      <c r="L21" s="250">
        <f ca="1">SUMPRODUCT((TABELA_VAZAO[Posto]=L$2)*1,(TABELA_VAZAO[Data]=$A21)*1,TABELA_VAZAO[qinc])</f>
        <v>0</v>
      </c>
      <c r="M21" s="288">
        <f ca="1">SUMPRODUCT((TABELA_VAZAO[Posto]=M$2)*1,(TABELA_VAZAO[Data]=$A21)*1,TABELA_VAZAO[qnat])</f>
        <v>0</v>
      </c>
      <c r="N21" s="288">
        <f ca="1">SUMPRODUCT((TABELA_VAZAO[Posto]=N$2)*1,(TABELA_VAZAO[Data]=$A21)*1,TABELA_VAZAO[qnat])</f>
        <v>0</v>
      </c>
      <c r="O21" s="288">
        <f ca="1">SUMPRODUCT((TABELA_VAZAO[Posto]=O$2)*1,(TABELA_VAZAO[Data]=$A21)*1,TABELA_VAZAO[qnat])</f>
        <v>0</v>
      </c>
      <c r="P21" s="288">
        <f ca="1">SUMPRODUCT((TABELA_VAZAO[Posto]=P$2)*1,(TABELA_VAZAO[Data]=$A21)*1,TABELA_VAZAO[qnat])</f>
        <v>0</v>
      </c>
      <c r="Q21" s="250">
        <f ca="1">SUMPRODUCT((TABELA_VAZAO[Posto]=Q$2)*1,(TABELA_VAZAO[Data]=$A21)*1,TABELA_VAZAO[qinc])</f>
        <v>0</v>
      </c>
      <c r="R21" s="250">
        <f ca="1">SUMPRODUCT((TABELA_VAZAO[Posto]=R$2)*1,(TABELA_VAZAO[Data]=$A21)*1,TABELA_VAZAO[qinc])</f>
        <v>0</v>
      </c>
      <c r="S21" s="250">
        <f ca="1">SUMPRODUCT((TABELA_VAZAO[Posto]=S$2)*1,(TABELA_VAZAO[Data]=$A21)*1,TABELA_VAZAO[qinc])</f>
        <v>0</v>
      </c>
      <c r="T21" s="288">
        <f ca="1">SUMPRODUCT((TABELA_VAZAO[Posto]=T$2)*1,(TABELA_VAZAO[Data]=$A21)*1,TABELA_VAZAO[qnat])</f>
        <v>0</v>
      </c>
      <c r="U21" s="288">
        <f ca="1">SUMPRODUCT((TABELA_VAZAO[Posto]=U$2)*1,(TABELA_VAZAO[Data]=$A21)*1,TABELA_VAZAO[qnat])</f>
        <v>0</v>
      </c>
    </row>
    <row r="22" spans="1:21" x14ac:dyDescent="0.2">
      <c r="A22" s="49">
        <f t="shared" ca="1" si="3"/>
        <v>43821</v>
      </c>
      <c r="B22" s="51"/>
      <c r="C22" s="51"/>
      <c r="D22" s="110"/>
      <c r="E22" s="279" t="e">
        <f ca="1">INDEX(RESULTADOS!$A:$BA,MATCH($A22,RESULTADOS!$A:$A,0),MATCH(E$1,RESULTADOS!$1:$1,0))</f>
        <v>#N/A</v>
      </c>
      <c r="F22" s="279" t="e">
        <f ca="1">INDEX(RESULTADOS!$A:$BA,MATCH($A22,RESULTADOS!$A:$A,0),MATCH(F$1,RESULTADOS!$1:$1,0))</f>
        <v>#N/A</v>
      </c>
      <c r="G22" s="288">
        <f ca="1">SUMPRODUCT((TABELA_VAZAO[Posto]=G$2)*1,(TABELA_VAZAO[Data]=$A22)*1,TABELA_VAZAO[qnat])</f>
        <v>0</v>
      </c>
      <c r="H22" s="288">
        <f ca="1">SUMPRODUCT((TABELA_VAZAO[Posto]=H$2)*1,(TABELA_VAZAO[Data]=$A22)*1,TABELA_VAZAO[qnat])</f>
        <v>0</v>
      </c>
      <c r="I22" s="67" t="e">
        <f ca="1">INDEX(RESULTADOS!$A:$BA,MATCH($A22,RESULTADOS!$A:$A,0),MATCH(I$1,RESULTADOS!$1:$1,0))</f>
        <v>#N/A</v>
      </c>
      <c r="J22" s="250">
        <f ca="1">SUMPRODUCT((TABELA_VAZAO[Posto]=J$2)*1,(TABELA_VAZAO[Data]=$A22)*1,TABELA_VAZAO[qinc])</f>
        <v>0</v>
      </c>
      <c r="K22" s="250">
        <f ca="1">SUMPRODUCT((TABELA_VAZAO[Posto]=K$2)*1,(TABELA_VAZAO[Data]=$A22)*1,TABELA_VAZAO[qinc])</f>
        <v>0</v>
      </c>
      <c r="L22" s="250">
        <f ca="1">SUMPRODUCT((TABELA_VAZAO[Posto]=L$2)*1,(TABELA_VAZAO[Data]=$A22)*1,TABELA_VAZAO[qinc])</f>
        <v>0</v>
      </c>
      <c r="M22" s="288">
        <f ca="1">SUMPRODUCT((TABELA_VAZAO[Posto]=M$2)*1,(TABELA_VAZAO[Data]=$A22)*1,TABELA_VAZAO[qnat])</f>
        <v>0</v>
      </c>
      <c r="N22" s="288">
        <f ca="1">SUMPRODUCT((TABELA_VAZAO[Posto]=N$2)*1,(TABELA_VAZAO[Data]=$A22)*1,TABELA_VAZAO[qnat])</f>
        <v>0</v>
      </c>
      <c r="O22" s="288">
        <f ca="1">SUMPRODUCT((TABELA_VAZAO[Posto]=O$2)*1,(TABELA_VAZAO[Data]=$A22)*1,TABELA_VAZAO[qnat])</f>
        <v>0</v>
      </c>
      <c r="P22" s="288">
        <f ca="1">SUMPRODUCT((TABELA_VAZAO[Posto]=P$2)*1,(TABELA_VAZAO[Data]=$A22)*1,TABELA_VAZAO[qnat])</f>
        <v>0</v>
      </c>
      <c r="Q22" s="250">
        <f ca="1">SUMPRODUCT((TABELA_VAZAO[Posto]=Q$2)*1,(TABELA_VAZAO[Data]=$A22)*1,TABELA_VAZAO[qinc])</f>
        <v>0</v>
      </c>
      <c r="R22" s="250">
        <f ca="1">SUMPRODUCT((TABELA_VAZAO[Posto]=R$2)*1,(TABELA_VAZAO[Data]=$A22)*1,TABELA_VAZAO[qinc])</f>
        <v>0</v>
      </c>
      <c r="S22" s="250">
        <f ca="1">SUMPRODUCT((TABELA_VAZAO[Posto]=S$2)*1,(TABELA_VAZAO[Data]=$A22)*1,TABELA_VAZAO[qinc])</f>
        <v>0</v>
      </c>
      <c r="T22" s="288">
        <f ca="1">SUMPRODUCT((TABELA_VAZAO[Posto]=T$2)*1,(TABELA_VAZAO[Data]=$A22)*1,TABELA_VAZAO[qnat])</f>
        <v>0</v>
      </c>
      <c r="U22" s="288">
        <f ca="1">SUMPRODUCT((TABELA_VAZAO[Posto]=U$2)*1,(TABELA_VAZAO[Data]=$A22)*1,TABELA_VAZAO[qnat])</f>
        <v>0</v>
      </c>
    </row>
    <row r="23" spans="1:21" x14ac:dyDescent="0.2">
      <c r="A23" s="49">
        <f t="shared" ca="1" si="3"/>
        <v>43822</v>
      </c>
      <c r="B23" s="51"/>
      <c r="C23" s="51"/>
      <c r="D23" s="110"/>
      <c r="E23" s="279" t="e">
        <f ca="1">INDEX(RESULTADOS!$A:$BA,MATCH($A23,RESULTADOS!$A:$A,0),MATCH(E$1,RESULTADOS!$1:$1,0))</f>
        <v>#N/A</v>
      </c>
      <c r="F23" s="279" t="e">
        <f ca="1">INDEX(RESULTADOS!$A:$BA,MATCH($A23,RESULTADOS!$A:$A,0),MATCH(F$1,RESULTADOS!$1:$1,0))</f>
        <v>#N/A</v>
      </c>
      <c r="G23" s="288">
        <f ca="1">SUMPRODUCT((TABELA_VAZAO[Posto]=G$2)*1,(TABELA_VAZAO[Data]=$A23)*1,TABELA_VAZAO[qnat])</f>
        <v>0</v>
      </c>
      <c r="H23" s="288">
        <f ca="1">SUMPRODUCT((TABELA_VAZAO[Posto]=H$2)*1,(TABELA_VAZAO[Data]=$A23)*1,TABELA_VAZAO[qnat])</f>
        <v>0</v>
      </c>
      <c r="I23" s="67" t="e">
        <f ca="1">INDEX(RESULTADOS!$A:$BA,MATCH($A23,RESULTADOS!$A:$A,0),MATCH(I$1,RESULTADOS!$1:$1,0))</f>
        <v>#N/A</v>
      </c>
      <c r="J23" s="250">
        <f ca="1">SUMPRODUCT((TABELA_VAZAO[Posto]=J$2)*1,(TABELA_VAZAO[Data]=$A23)*1,TABELA_VAZAO[qinc])</f>
        <v>0</v>
      </c>
      <c r="K23" s="250">
        <f ca="1">SUMPRODUCT((TABELA_VAZAO[Posto]=K$2)*1,(TABELA_VAZAO[Data]=$A23)*1,TABELA_VAZAO[qinc])</f>
        <v>0</v>
      </c>
      <c r="L23" s="250">
        <f ca="1">SUMPRODUCT((TABELA_VAZAO[Posto]=L$2)*1,(TABELA_VAZAO[Data]=$A23)*1,TABELA_VAZAO[qinc])</f>
        <v>0</v>
      </c>
      <c r="M23" s="288">
        <f ca="1">SUMPRODUCT((TABELA_VAZAO[Posto]=M$2)*1,(TABELA_VAZAO[Data]=$A23)*1,TABELA_VAZAO[qnat])</f>
        <v>0</v>
      </c>
      <c r="N23" s="288">
        <f ca="1">SUMPRODUCT((TABELA_VAZAO[Posto]=N$2)*1,(TABELA_VAZAO[Data]=$A23)*1,TABELA_VAZAO[qnat])</f>
        <v>0</v>
      </c>
      <c r="O23" s="288">
        <f ca="1">SUMPRODUCT((TABELA_VAZAO[Posto]=O$2)*1,(TABELA_VAZAO[Data]=$A23)*1,TABELA_VAZAO[qnat])</f>
        <v>0</v>
      </c>
      <c r="P23" s="288">
        <f ca="1">SUMPRODUCT((TABELA_VAZAO[Posto]=P$2)*1,(TABELA_VAZAO[Data]=$A23)*1,TABELA_VAZAO[qnat])</f>
        <v>0</v>
      </c>
      <c r="Q23" s="250">
        <f ca="1">SUMPRODUCT((TABELA_VAZAO[Posto]=Q$2)*1,(TABELA_VAZAO[Data]=$A23)*1,TABELA_VAZAO[qinc])</f>
        <v>0</v>
      </c>
      <c r="R23" s="250">
        <f ca="1">SUMPRODUCT((TABELA_VAZAO[Posto]=R$2)*1,(TABELA_VAZAO[Data]=$A23)*1,TABELA_VAZAO[qinc])</f>
        <v>0</v>
      </c>
      <c r="S23" s="250">
        <f ca="1">SUMPRODUCT((TABELA_VAZAO[Posto]=S$2)*1,(TABELA_VAZAO[Data]=$A23)*1,TABELA_VAZAO[qinc])</f>
        <v>0</v>
      </c>
      <c r="T23" s="288">
        <f ca="1">SUMPRODUCT((TABELA_VAZAO[Posto]=T$2)*1,(TABELA_VAZAO[Data]=$A23)*1,TABELA_VAZAO[qnat])</f>
        <v>0</v>
      </c>
      <c r="U23" s="288">
        <f ca="1">SUMPRODUCT((TABELA_VAZAO[Posto]=U$2)*1,(TABELA_VAZAO[Data]=$A23)*1,TABELA_VAZAO[qnat])</f>
        <v>0</v>
      </c>
    </row>
    <row r="24" spans="1:21" x14ac:dyDescent="0.2">
      <c r="A24" s="49">
        <f t="shared" ca="1" si="3"/>
        <v>43823</v>
      </c>
      <c r="B24" s="51"/>
      <c r="C24" s="51"/>
      <c r="D24" s="110"/>
      <c r="E24" s="279" t="e">
        <f ca="1">INDEX(RESULTADOS!$A:$BA,MATCH($A24,RESULTADOS!$A:$A,0),MATCH(E$1,RESULTADOS!$1:$1,0))</f>
        <v>#N/A</v>
      </c>
      <c r="F24" s="279" t="e">
        <f ca="1">INDEX(RESULTADOS!$A:$BA,MATCH($A24,RESULTADOS!$A:$A,0),MATCH(F$1,RESULTADOS!$1:$1,0))</f>
        <v>#N/A</v>
      </c>
      <c r="G24" s="288">
        <f ca="1">SUMPRODUCT((TABELA_VAZAO[Posto]=G$2)*1,(TABELA_VAZAO[Data]=$A24)*1,TABELA_VAZAO[qnat])</f>
        <v>0</v>
      </c>
      <c r="H24" s="288">
        <f ca="1">SUMPRODUCT((TABELA_VAZAO[Posto]=H$2)*1,(TABELA_VAZAO[Data]=$A24)*1,TABELA_VAZAO[qnat])</f>
        <v>0</v>
      </c>
      <c r="I24" s="67" t="e">
        <f ca="1">INDEX(RESULTADOS!$A:$BA,MATCH($A24,RESULTADOS!$A:$A,0),MATCH(I$1,RESULTADOS!$1:$1,0))</f>
        <v>#N/A</v>
      </c>
      <c r="J24" s="250">
        <f ca="1">SUMPRODUCT((TABELA_VAZAO[Posto]=J$2)*1,(TABELA_VAZAO[Data]=$A24)*1,TABELA_VAZAO[qinc])</f>
        <v>0</v>
      </c>
      <c r="K24" s="250">
        <f ca="1">SUMPRODUCT((TABELA_VAZAO[Posto]=K$2)*1,(TABELA_VAZAO[Data]=$A24)*1,TABELA_VAZAO[qinc])</f>
        <v>0</v>
      </c>
      <c r="L24" s="250">
        <f ca="1">SUMPRODUCT((TABELA_VAZAO[Posto]=L$2)*1,(TABELA_VAZAO[Data]=$A24)*1,TABELA_VAZAO[qinc])</f>
        <v>0</v>
      </c>
      <c r="M24" s="288">
        <f ca="1">SUMPRODUCT((TABELA_VAZAO[Posto]=M$2)*1,(TABELA_VAZAO[Data]=$A24)*1,TABELA_VAZAO[qnat])</f>
        <v>0</v>
      </c>
      <c r="N24" s="288">
        <f ca="1">SUMPRODUCT((TABELA_VAZAO[Posto]=N$2)*1,(TABELA_VAZAO[Data]=$A24)*1,TABELA_VAZAO[qnat])</f>
        <v>0</v>
      </c>
      <c r="O24" s="288">
        <f ca="1">SUMPRODUCT((TABELA_VAZAO[Posto]=O$2)*1,(TABELA_VAZAO[Data]=$A24)*1,TABELA_VAZAO[qnat])</f>
        <v>0</v>
      </c>
      <c r="P24" s="288">
        <f ca="1">SUMPRODUCT((TABELA_VAZAO[Posto]=P$2)*1,(TABELA_VAZAO[Data]=$A24)*1,TABELA_VAZAO[qnat])</f>
        <v>0</v>
      </c>
      <c r="Q24" s="250">
        <f ca="1">SUMPRODUCT((TABELA_VAZAO[Posto]=Q$2)*1,(TABELA_VAZAO[Data]=$A24)*1,TABELA_VAZAO[qinc])</f>
        <v>0</v>
      </c>
      <c r="R24" s="250">
        <f ca="1">SUMPRODUCT((TABELA_VAZAO[Posto]=R$2)*1,(TABELA_VAZAO[Data]=$A24)*1,TABELA_VAZAO[qinc])</f>
        <v>0</v>
      </c>
      <c r="S24" s="250">
        <f ca="1">SUMPRODUCT((TABELA_VAZAO[Posto]=S$2)*1,(TABELA_VAZAO[Data]=$A24)*1,TABELA_VAZAO[qinc])</f>
        <v>0</v>
      </c>
      <c r="T24" s="288">
        <f ca="1">SUMPRODUCT((TABELA_VAZAO[Posto]=T$2)*1,(TABELA_VAZAO[Data]=$A24)*1,TABELA_VAZAO[qnat])</f>
        <v>0</v>
      </c>
      <c r="U24" s="288">
        <f ca="1">SUMPRODUCT((TABELA_VAZAO[Posto]=U$2)*1,(TABELA_VAZAO[Data]=$A24)*1,TABELA_VAZAO[qnat])</f>
        <v>0</v>
      </c>
    </row>
    <row r="25" spans="1:21" x14ac:dyDescent="0.2">
      <c r="A25" s="49">
        <f t="shared" ca="1" si="3"/>
        <v>43824</v>
      </c>
      <c r="B25" s="51"/>
      <c r="C25" s="51"/>
      <c r="D25" s="110"/>
      <c r="E25" s="279" t="e">
        <f ca="1">INDEX(RESULTADOS!$A:$BA,MATCH($A25,RESULTADOS!$A:$A,0),MATCH(E$1,RESULTADOS!$1:$1,0))</f>
        <v>#N/A</v>
      </c>
      <c r="F25" s="279" t="e">
        <f ca="1">INDEX(RESULTADOS!$A:$BA,MATCH($A25,RESULTADOS!$A:$A,0),MATCH(F$1,RESULTADOS!$1:$1,0))</f>
        <v>#N/A</v>
      </c>
      <c r="G25" s="288">
        <f ca="1">SUMPRODUCT((TABELA_VAZAO[Posto]=G$2)*1,(TABELA_VAZAO[Data]=$A25)*1,TABELA_VAZAO[qnat])</f>
        <v>0</v>
      </c>
      <c r="H25" s="288">
        <f ca="1">SUMPRODUCT((TABELA_VAZAO[Posto]=H$2)*1,(TABELA_VAZAO[Data]=$A25)*1,TABELA_VAZAO[qnat])</f>
        <v>0</v>
      </c>
      <c r="I25" s="67" t="e">
        <f ca="1">INDEX(RESULTADOS!$A:$BA,MATCH($A25,RESULTADOS!$A:$A,0),MATCH(I$1,RESULTADOS!$1:$1,0))</f>
        <v>#N/A</v>
      </c>
      <c r="J25" s="250">
        <f ca="1">SUMPRODUCT((TABELA_VAZAO[Posto]=J$2)*1,(TABELA_VAZAO[Data]=$A25)*1,TABELA_VAZAO[qinc])</f>
        <v>0</v>
      </c>
      <c r="K25" s="250">
        <f ca="1">SUMPRODUCT((TABELA_VAZAO[Posto]=K$2)*1,(TABELA_VAZAO[Data]=$A25)*1,TABELA_VAZAO[qinc])</f>
        <v>0</v>
      </c>
      <c r="L25" s="250">
        <f ca="1">SUMPRODUCT((TABELA_VAZAO[Posto]=L$2)*1,(TABELA_VAZAO[Data]=$A25)*1,TABELA_VAZAO[qinc])</f>
        <v>0</v>
      </c>
      <c r="M25" s="288">
        <f ca="1">SUMPRODUCT((TABELA_VAZAO[Posto]=M$2)*1,(TABELA_VAZAO[Data]=$A25)*1,TABELA_VAZAO[qnat])</f>
        <v>0</v>
      </c>
      <c r="N25" s="288">
        <f ca="1">SUMPRODUCT((TABELA_VAZAO[Posto]=N$2)*1,(TABELA_VAZAO[Data]=$A25)*1,TABELA_VAZAO[qnat])</f>
        <v>0</v>
      </c>
      <c r="O25" s="288">
        <f ca="1">SUMPRODUCT((TABELA_VAZAO[Posto]=O$2)*1,(TABELA_VAZAO[Data]=$A25)*1,TABELA_VAZAO[qnat])</f>
        <v>0</v>
      </c>
      <c r="P25" s="288">
        <f ca="1">SUMPRODUCT((TABELA_VAZAO[Posto]=P$2)*1,(TABELA_VAZAO[Data]=$A25)*1,TABELA_VAZAO[qnat])</f>
        <v>0</v>
      </c>
      <c r="Q25" s="250">
        <f ca="1">SUMPRODUCT((TABELA_VAZAO[Posto]=Q$2)*1,(TABELA_VAZAO[Data]=$A25)*1,TABELA_VAZAO[qinc])</f>
        <v>0</v>
      </c>
      <c r="R25" s="250">
        <f ca="1">SUMPRODUCT((TABELA_VAZAO[Posto]=R$2)*1,(TABELA_VAZAO[Data]=$A25)*1,TABELA_VAZAO[qinc])</f>
        <v>0</v>
      </c>
      <c r="S25" s="250">
        <f ca="1">SUMPRODUCT((TABELA_VAZAO[Posto]=S$2)*1,(TABELA_VAZAO[Data]=$A25)*1,TABELA_VAZAO[qinc])</f>
        <v>0</v>
      </c>
      <c r="T25" s="288">
        <f ca="1">SUMPRODUCT((TABELA_VAZAO[Posto]=T$2)*1,(TABELA_VAZAO[Data]=$A25)*1,TABELA_VAZAO[qnat])</f>
        <v>0</v>
      </c>
      <c r="U25" s="288">
        <f ca="1">SUMPRODUCT((TABELA_VAZAO[Posto]=U$2)*1,(TABELA_VAZAO[Data]=$A25)*1,TABELA_VAZAO[qnat])</f>
        <v>0</v>
      </c>
    </row>
    <row r="26" spans="1:21" x14ac:dyDescent="0.2">
      <c r="A26" s="82">
        <f t="shared" ca="1" si="3"/>
        <v>43825</v>
      </c>
      <c r="B26" s="83"/>
      <c r="C26" s="83"/>
      <c r="D26" s="84"/>
      <c r="E26" s="279" t="e">
        <f ca="1">INDEX(RESULTADOS!$A:$BA,MATCH($A26,RESULTADOS!$A:$A,0),MATCH(E$1,RESULTADOS!$1:$1,0))</f>
        <v>#N/A</v>
      </c>
      <c r="F26" s="279" t="e">
        <f ca="1">INDEX(RESULTADOS!$A:$BA,MATCH($A26,RESULTADOS!$A:$A,0),MATCH(F$1,RESULTADOS!$1:$1,0))</f>
        <v>#N/A</v>
      </c>
      <c r="G26" s="288">
        <f ca="1">SUMPRODUCT((TABELA_VAZAO[Posto]=G$2)*1,(TABELA_VAZAO[Data]=$A26)*1,TABELA_VAZAO[qnat])</f>
        <v>0</v>
      </c>
      <c r="H26" s="288">
        <f ca="1">SUMPRODUCT((TABELA_VAZAO[Posto]=H$2)*1,(TABELA_VAZAO[Data]=$A26)*1,TABELA_VAZAO[qnat])</f>
        <v>0</v>
      </c>
      <c r="I26" s="67" t="e">
        <f ca="1">INDEX(RESULTADOS!$A:$BA,MATCH($A26,RESULTADOS!$A:$A,0),MATCH(I$1,RESULTADOS!$1:$1,0))</f>
        <v>#N/A</v>
      </c>
      <c r="J26" s="250">
        <f ca="1">SUMPRODUCT((TABELA_VAZAO[Posto]=J$2)*1,(TABELA_VAZAO[Data]=$A26)*1,TABELA_VAZAO[qinc])</f>
        <v>0</v>
      </c>
      <c r="K26" s="250">
        <f ca="1">SUMPRODUCT((TABELA_VAZAO[Posto]=K$2)*1,(TABELA_VAZAO[Data]=$A26)*1,TABELA_VAZAO[qinc])</f>
        <v>0</v>
      </c>
      <c r="L26" s="250">
        <f ca="1">SUMPRODUCT((TABELA_VAZAO[Posto]=L$2)*1,(TABELA_VAZAO[Data]=$A26)*1,TABELA_VAZAO[qinc])</f>
        <v>0</v>
      </c>
      <c r="M26" s="288">
        <f ca="1">SUMPRODUCT((TABELA_VAZAO[Posto]=M$2)*1,(TABELA_VAZAO[Data]=$A26)*1,TABELA_VAZAO[qnat])</f>
        <v>0</v>
      </c>
      <c r="N26" s="288">
        <f ca="1">SUMPRODUCT((TABELA_VAZAO[Posto]=N$2)*1,(TABELA_VAZAO[Data]=$A26)*1,TABELA_VAZAO[qnat])</f>
        <v>0</v>
      </c>
      <c r="O26" s="288">
        <f ca="1">SUMPRODUCT((TABELA_VAZAO[Posto]=O$2)*1,(TABELA_VAZAO[Data]=$A26)*1,TABELA_VAZAO[qnat])</f>
        <v>0</v>
      </c>
      <c r="P26" s="288">
        <f ca="1">SUMPRODUCT((TABELA_VAZAO[Posto]=P$2)*1,(TABELA_VAZAO[Data]=$A26)*1,TABELA_VAZAO[qnat])</f>
        <v>0</v>
      </c>
      <c r="Q26" s="250">
        <f ca="1">SUMPRODUCT((TABELA_VAZAO[Posto]=Q$2)*1,(TABELA_VAZAO[Data]=$A26)*1,TABELA_VAZAO[qinc])</f>
        <v>0</v>
      </c>
      <c r="R26" s="250">
        <f ca="1">SUMPRODUCT((TABELA_VAZAO[Posto]=R$2)*1,(TABELA_VAZAO[Data]=$A26)*1,TABELA_VAZAO[qinc])</f>
        <v>0</v>
      </c>
      <c r="S26" s="250">
        <f ca="1">SUMPRODUCT((TABELA_VAZAO[Posto]=S$2)*1,(TABELA_VAZAO[Data]=$A26)*1,TABELA_VAZAO[qinc])</f>
        <v>0</v>
      </c>
      <c r="T26" s="288">
        <f ca="1">SUMPRODUCT((TABELA_VAZAO[Posto]=T$2)*1,(TABELA_VAZAO[Data]=$A26)*1,TABELA_VAZAO[qnat])</f>
        <v>0</v>
      </c>
      <c r="U26" s="288">
        <f ca="1">SUMPRODUCT((TABELA_VAZAO[Posto]=U$2)*1,(TABELA_VAZAO[Data]=$A26)*1,TABELA_VAZAO[qnat])</f>
        <v>0</v>
      </c>
    </row>
    <row r="27" spans="1:21" x14ac:dyDescent="0.2">
      <c r="A27" s="49">
        <f t="shared" ca="1" si="3"/>
        <v>43826</v>
      </c>
      <c r="B27" s="51"/>
      <c r="C27" s="51"/>
      <c r="D27" s="110"/>
      <c r="E27" s="279" t="e">
        <f ca="1">INDEX(RESULTADOS!$A:$BA,MATCH($A27,RESULTADOS!$A:$A,0),MATCH(E$1,RESULTADOS!$1:$1,0))</f>
        <v>#N/A</v>
      </c>
      <c r="F27" s="279" t="e">
        <f ca="1">INDEX(RESULTADOS!$A:$BA,MATCH($A27,RESULTADOS!$A:$A,0),MATCH(F$1,RESULTADOS!$1:$1,0))</f>
        <v>#N/A</v>
      </c>
      <c r="G27" s="288">
        <f ca="1">SUMPRODUCT((TABELA_VAZAO[Posto]=G$2)*1,(TABELA_VAZAO[Data]=$A27)*1,TABELA_VAZAO[qnat])</f>
        <v>0</v>
      </c>
      <c r="H27" s="288">
        <f ca="1">SUMPRODUCT((TABELA_VAZAO[Posto]=H$2)*1,(TABELA_VAZAO[Data]=$A27)*1,TABELA_VAZAO[qnat])</f>
        <v>0</v>
      </c>
      <c r="I27" s="67" t="e">
        <f ca="1">INDEX(RESULTADOS!$A:$BA,MATCH($A27,RESULTADOS!$A:$A,0),MATCH(I$1,RESULTADOS!$1:$1,0))</f>
        <v>#N/A</v>
      </c>
      <c r="J27" s="250">
        <f ca="1">SUMPRODUCT((TABELA_VAZAO[Posto]=J$2)*1,(TABELA_VAZAO[Data]=$A27)*1,TABELA_VAZAO[qinc])</f>
        <v>0</v>
      </c>
      <c r="K27" s="250">
        <f ca="1">SUMPRODUCT((TABELA_VAZAO[Posto]=K$2)*1,(TABELA_VAZAO[Data]=$A27)*1,TABELA_VAZAO[qinc])</f>
        <v>0</v>
      </c>
      <c r="L27" s="250">
        <f ca="1">SUMPRODUCT((TABELA_VAZAO[Posto]=L$2)*1,(TABELA_VAZAO[Data]=$A27)*1,TABELA_VAZAO[qinc])</f>
        <v>0</v>
      </c>
      <c r="M27" s="288">
        <f ca="1">SUMPRODUCT((TABELA_VAZAO[Posto]=M$2)*1,(TABELA_VAZAO[Data]=$A27)*1,TABELA_VAZAO[qnat])</f>
        <v>0</v>
      </c>
      <c r="N27" s="288">
        <f ca="1">SUMPRODUCT((TABELA_VAZAO[Posto]=N$2)*1,(TABELA_VAZAO[Data]=$A27)*1,TABELA_VAZAO[qnat])</f>
        <v>0</v>
      </c>
      <c r="O27" s="288">
        <f ca="1">SUMPRODUCT((TABELA_VAZAO[Posto]=O$2)*1,(TABELA_VAZAO[Data]=$A27)*1,TABELA_VAZAO[qnat])</f>
        <v>0</v>
      </c>
      <c r="P27" s="288">
        <f ca="1">SUMPRODUCT((TABELA_VAZAO[Posto]=P$2)*1,(TABELA_VAZAO[Data]=$A27)*1,TABELA_VAZAO[qnat])</f>
        <v>0</v>
      </c>
      <c r="Q27" s="250">
        <f ca="1">SUMPRODUCT((TABELA_VAZAO[Posto]=Q$2)*1,(TABELA_VAZAO[Data]=$A27)*1,TABELA_VAZAO[qinc])</f>
        <v>0</v>
      </c>
      <c r="R27" s="250">
        <f ca="1">SUMPRODUCT((TABELA_VAZAO[Posto]=R$2)*1,(TABELA_VAZAO[Data]=$A27)*1,TABELA_VAZAO[qinc])</f>
        <v>0</v>
      </c>
      <c r="S27" s="250">
        <f ca="1">SUMPRODUCT((TABELA_VAZAO[Posto]=S$2)*1,(TABELA_VAZAO[Data]=$A27)*1,TABELA_VAZAO[qinc])</f>
        <v>0</v>
      </c>
      <c r="T27" s="288">
        <f ca="1">SUMPRODUCT((TABELA_VAZAO[Posto]=T$2)*1,(TABELA_VAZAO[Data]=$A27)*1,TABELA_VAZAO[qnat])</f>
        <v>0</v>
      </c>
      <c r="U27" s="288">
        <f ca="1">SUMPRODUCT((TABELA_VAZAO[Posto]=U$2)*1,(TABELA_VAZAO[Data]=$A27)*1,TABELA_VAZAO[qnat])</f>
        <v>0</v>
      </c>
    </row>
    <row r="28" spans="1:21" x14ac:dyDescent="0.2">
      <c r="A28" s="49">
        <f t="shared" ca="1" si="3"/>
        <v>43827</v>
      </c>
      <c r="B28" s="51"/>
      <c r="C28" s="51"/>
      <c r="D28" s="110"/>
      <c r="E28" s="279" t="e">
        <f ca="1">INDEX(RESULTADOS!$A:$BA,MATCH($A28,RESULTADOS!$A:$A,0),MATCH(E$1,RESULTADOS!$1:$1,0))</f>
        <v>#N/A</v>
      </c>
      <c r="F28" s="279" t="e">
        <f ca="1">INDEX(RESULTADOS!$A:$BA,MATCH($A28,RESULTADOS!$A:$A,0),MATCH(F$1,RESULTADOS!$1:$1,0))</f>
        <v>#N/A</v>
      </c>
      <c r="G28" s="288">
        <f ca="1">SUMPRODUCT((TABELA_VAZAO[Posto]=G$2)*1,(TABELA_VAZAO[Data]=$A28)*1,TABELA_VAZAO[qnat])</f>
        <v>283</v>
      </c>
      <c r="H28" s="288">
        <f ca="1">SUMPRODUCT((TABELA_VAZAO[Posto]=H$2)*1,(TABELA_VAZAO[Data]=$A28)*1,TABELA_VAZAO[qnat])</f>
        <v>52</v>
      </c>
      <c r="I28" s="67" t="e">
        <f ca="1">INDEX(RESULTADOS!$A:$BA,MATCH($A28,RESULTADOS!$A:$A,0),MATCH(I$1,RESULTADOS!$1:$1,0))</f>
        <v>#N/A</v>
      </c>
      <c r="J28" s="250">
        <f ca="1">SUMPRODUCT((TABELA_VAZAO[Posto]=J$2)*1,(TABELA_VAZAO[Data]=$A28)*1,TABELA_VAZAO[qinc])</f>
        <v>2</v>
      </c>
      <c r="K28" s="250">
        <f ca="1">SUMPRODUCT((TABELA_VAZAO[Posto]=K$2)*1,(TABELA_VAZAO[Data]=$A28)*1,TABELA_VAZAO[qinc])</f>
        <v>9</v>
      </c>
      <c r="L28" s="250">
        <f ca="1">SUMPRODUCT((TABELA_VAZAO[Posto]=L$2)*1,(TABELA_VAZAO[Data]=$A28)*1,TABELA_VAZAO[qinc])</f>
        <v>48</v>
      </c>
      <c r="M28" s="288">
        <f ca="1">SUMPRODUCT((TABELA_VAZAO[Posto]=M$2)*1,(TABELA_VAZAO[Data]=$A28)*1,TABELA_VAZAO[qnat])</f>
        <v>55</v>
      </c>
      <c r="N28" s="288">
        <f ca="1">SUMPRODUCT((TABELA_VAZAO[Posto]=N$2)*1,(TABELA_VAZAO[Data]=$A28)*1,TABELA_VAZAO[qnat])</f>
        <v>65</v>
      </c>
      <c r="O28" s="288">
        <f ca="1">SUMPRODUCT((TABELA_VAZAO[Posto]=O$2)*1,(TABELA_VAZAO[Data]=$A28)*1,TABELA_VAZAO[qnat])</f>
        <v>353</v>
      </c>
      <c r="P28" s="288">
        <f ca="1">SUMPRODUCT((TABELA_VAZAO[Posto]=P$2)*1,(TABELA_VAZAO[Data]=$A28)*1,TABELA_VAZAO[qnat])</f>
        <v>623</v>
      </c>
      <c r="Q28" s="250">
        <f ca="1">SUMPRODUCT((TABELA_VAZAO[Posto]=Q$2)*1,(TABELA_VAZAO[Data]=$A28)*1,TABELA_VAZAO[qinc])</f>
        <v>91</v>
      </c>
      <c r="R28" s="250">
        <f ca="1">SUMPRODUCT((TABELA_VAZAO[Posto]=R$2)*1,(TABELA_VAZAO[Data]=$A28)*1,TABELA_VAZAO[qinc])</f>
        <v>15</v>
      </c>
      <c r="S28" s="250">
        <f ca="1">SUMPRODUCT((TABELA_VAZAO[Posto]=S$2)*1,(TABELA_VAZAO[Data]=$A28)*1,TABELA_VAZAO[qinc])</f>
        <v>37</v>
      </c>
      <c r="T28" s="288">
        <f ca="1">SUMPRODUCT((TABELA_VAZAO[Posto]=T$2)*1,(TABELA_VAZAO[Data]=$A28)*1,TABELA_VAZAO[qnat])</f>
        <v>476</v>
      </c>
      <c r="U28" s="288">
        <f ca="1">SUMPRODUCT((TABELA_VAZAO[Posto]=U$2)*1,(TABELA_VAZAO[Data]=$A28)*1,TABELA_VAZAO[qnat])</f>
        <v>511</v>
      </c>
    </row>
    <row r="29" spans="1:21" x14ac:dyDescent="0.2">
      <c r="A29" s="49">
        <f t="shared" ca="1" si="3"/>
        <v>43828</v>
      </c>
      <c r="B29" s="51"/>
      <c r="C29" s="51"/>
      <c r="D29" s="110"/>
      <c r="E29" s="279" t="e">
        <f ca="1">INDEX(RESULTADOS!$A:$BA,MATCH($A29,RESULTADOS!$A:$A,0),MATCH(E$1,RESULTADOS!$1:$1,0))</f>
        <v>#N/A</v>
      </c>
      <c r="F29" s="279" t="e">
        <f ca="1">INDEX(RESULTADOS!$A:$BA,MATCH($A29,RESULTADOS!$A:$A,0),MATCH(F$1,RESULTADOS!$1:$1,0))</f>
        <v>#N/A</v>
      </c>
      <c r="G29" s="288">
        <f ca="1">SUMPRODUCT((TABELA_VAZAO[Posto]=G$2)*1,(TABELA_VAZAO[Data]=$A29)*1,TABELA_VAZAO[qnat])</f>
        <v>249</v>
      </c>
      <c r="H29" s="288">
        <f ca="1">SUMPRODUCT((TABELA_VAZAO[Posto]=H$2)*1,(TABELA_VAZAO[Data]=$A29)*1,TABELA_VAZAO[qnat])</f>
        <v>48</v>
      </c>
      <c r="I29" s="67" t="e">
        <f ca="1">INDEX(RESULTADOS!$A:$BA,MATCH($A29,RESULTADOS!$A:$A,0),MATCH(I$1,RESULTADOS!$1:$1,0))</f>
        <v>#N/A</v>
      </c>
      <c r="J29" s="250">
        <f ca="1">SUMPRODUCT((TABELA_VAZAO[Posto]=J$2)*1,(TABELA_VAZAO[Data]=$A29)*1,TABELA_VAZAO[qinc])</f>
        <v>2</v>
      </c>
      <c r="K29" s="250">
        <f ca="1">SUMPRODUCT((TABELA_VAZAO[Posto]=K$2)*1,(TABELA_VAZAO[Data]=$A29)*1,TABELA_VAZAO[qinc])</f>
        <v>9</v>
      </c>
      <c r="L29" s="250">
        <f ca="1">SUMPRODUCT((TABELA_VAZAO[Posto]=L$2)*1,(TABELA_VAZAO[Data]=$A29)*1,TABELA_VAZAO[qinc])</f>
        <v>46</v>
      </c>
      <c r="M29" s="288">
        <f ca="1">SUMPRODUCT((TABELA_VAZAO[Posto]=M$2)*1,(TABELA_VAZAO[Data]=$A29)*1,TABELA_VAZAO[qnat])</f>
        <v>51</v>
      </c>
      <c r="N29" s="288">
        <f ca="1">SUMPRODUCT((TABELA_VAZAO[Posto]=N$2)*1,(TABELA_VAZAO[Data]=$A29)*1,TABELA_VAZAO[qnat])</f>
        <v>60</v>
      </c>
      <c r="O29" s="288">
        <f ca="1">SUMPRODUCT((TABELA_VAZAO[Posto]=O$2)*1,(TABELA_VAZAO[Data]=$A29)*1,TABELA_VAZAO[qnat])</f>
        <v>313</v>
      </c>
      <c r="P29" s="288">
        <f ca="1">SUMPRODUCT((TABELA_VAZAO[Posto]=P$2)*1,(TABELA_VAZAO[Data]=$A29)*1,TABELA_VAZAO[qnat])</f>
        <v>563</v>
      </c>
      <c r="Q29" s="250">
        <f ca="1">SUMPRODUCT((TABELA_VAZAO[Posto]=Q$2)*1,(TABELA_VAZAO[Data]=$A29)*1,TABELA_VAZAO[qinc])</f>
        <v>82</v>
      </c>
      <c r="R29" s="250">
        <f ca="1">SUMPRODUCT((TABELA_VAZAO[Posto]=R$2)*1,(TABELA_VAZAO[Data]=$A29)*1,TABELA_VAZAO[qinc])</f>
        <v>13</v>
      </c>
      <c r="S29" s="250">
        <f ca="1">SUMPRODUCT((TABELA_VAZAO[Posto]=S$2)*1,(TABELA_VAZAO[Data]=$A29)*1,TABELA_VAZAO[qinc])</f>
        <v>33</v>
      </c>
      <c r="T29" s="288">
        <f ca="1">SUMPRODUCT((TABELA_VAZAO[Posto]=T$2)*1,(TABELA_VAZAO[Data]=$A29)*1,TABELA_VAZAO[qnat])</f>
        <v>428</v>
      </c>
      <c r="U29" s="288">
        <f ca="1">SUMPRODUCT((TABELA_VAZAO[Posto]=U$2)*1,(TABELA_VAZAO[Data]=$A29)*1,TABELA_VAZAO[qnat])</f>
        <v>461</v>
      </c>
    </row>
    <row r="30" spans="1:21" x14ac:dyDescent="0.2">
      <c r="A30" s="49">
        <f t="shared" ca="1" si="3"/>
        <v>43829</v>
      </c>
      <c r="B30" s="51"/>
      <c r="C30" s="51"/>
      <c r="D30" s="110"/>
      <c r="E30" s="279" t="e">
        <f ca="1">INDEX(RESULTADOS!$A:$BA,MATCH($A30,RESULTADOS!$A:$A,0),MATCH(E$1,RESULTADOS!$1:$1,0))</f>
        <v>#N/A</v>
      </c>
      <c r="F30" s="279" t="e">
        <f ca="1">INDEX(RESULTADOS!$A:$BA,MATCH($A30,RESULTADOS!$A:$A,0),MATCH(F$1,RESULTADOS!$1:$1,0))</f>
        <v>#N/A</v>
      </c>
      <c r="G30" s="288">
        <f ca="1">SUMPRODUCT((TABELA_VAZAO[Posto]=G$2)*1,(TABELA_VAZAO[Data]=$A30)*1,TABELA_VAZAO[qnat])</f>
        <v>223</v>
      </c>
      <c r="H30" s="288">
        <f ca="1">SUMPRODUCT((TABELA_VAZAO[Posto]=H$2)*1,(TABELA_VAZAO[Data]=$A30)*1,TABELA_VAZAO[qnat])</f>
        <v>46</v>
      </c>
      <c r="I30" s="67" t="e">
        <f ca="1">INDEX(RESULTADOS!$A:$BA,MATCH($A30,RESULTADOS!$A:$A,0),MATCH(I$1,RESULTADOS!$1:$1,0))</f>
        <v>#N/A</v>
      </c>
      <c r="J30" s="250">
        <f ca="1">SUMPRODUCT((TABELA_VAZAO[Posto]=J$2)*1,(TABELA_VAZAO[Data]=$A30)*1,TABELA_VAZAO[qinc])</f>
        <v>2</v>
      </c>
      <c r="K30" s="250">
        <f ca="1">SUMPRODUCT((TABELA_VAZAO[Posto]=K$2)*1,(TABELA_VAZAO[Data]=$A30)*1,TABELA_VAZAO[qinc])</f>
        <v>9</v>
      </c>
      <c r="L30" s="250">
        <f ca="1">SUMPRODUCT((TABELA_VAZAO[Posto]=L$2)*1,(TABELA_VAZAO[Data]=$A30)*1,TABELA_VAZAO[qinc])</f>
        <v>46</v>
      </c>
      <c r="M30" s="288">
        <f ca="1">SUMPRODUCT((TABELA_VAZAO[Posto]=M$2)*1,(TABELA_VAZAO[Data]=$A30)*1,TABELA_VAZAO[qnat])</f>
        <v>48</v>
      </c>
      <c r="N30" s="288">
        <f ca="1">SUMPRODUCT((TABELA_VAZAO[Posto]=N$2)*1,(TABELA_VAZAO[Data]=$A30)*1,TABELA_VAZAO[qnat])</f>
        <v>57</v>
      </c>
      <c r="O30" s="288">
        <f ca="1">SUMPRODUCT((TABELA_VAZAO[Posto]=O$2)*1,(TABELA_VAZAO[Data]=$A30)*1,TABELA_VAZAO[qnat])</f>
        <v>283</v>
      </c>
      <c r="P30" s="288">
        <f ca="1">SUMPRODUCT((TABELA_VAZAO[Posto]=P$2)*1,(TABELA_VAZAO[Data]=$A30)*1,TABELA_VAZAO[qnat])</f>
        <v>506</v>
      </c>
      <c r="Q30" s="250">
        <f ca="1">SUMPRODUCT((TABELA_VAZAO[Posto]=Q$2)*1,(TABELA_VAZAO[Data]=$A30)*1,TABELA_VAZAO[qinc])</f>
        <v>73</v>
      </c>
      <c r="R30" s="250">
        <f ca="1">SUMPRODUCT((TABELA_VAZAO[Posto]=R$2)*1,(TABELA_VAZAO[Data]=$A30)*1,TABELA_VAZAO[qinc])</f>
        <v>12</v>
      </c>
      <c r="S30" s="250">
        <f ca="1">SUMPRODUCT((TABELA_VAZAO[Posto]=S$2)*1,(TABELA_VAZAO[Data]=$A30)*1,TABELA_VAZAO[qinc])</f>
        <v>29</v>
      </c>
      <c r="T30" s="288">
        <f ca="1">SUMPRODUCT((TABELA_VAZAO[Posto]=T$2)*1,(TABELA_VAZAO[Data]=$A30)*1,TABELA_VAZAO[qnat])</f>
        <v>385</v>
      </c>
      <c r="U30" s="288">
        <f ca="1">SUMPRODUCT((TABELA_VAZAO[Posto]=U$2)*1,(TABELA_VAZAO[Data]=$A30)*1,TABELA_VAZAO[qnat])</f>
        <v>415</v>
      </c>
    </row>
    <row r="31" spans="1:21" x14ac:dyDescent="0.2">
      <c r="A31" s="49">
        <f t="shared" ca="1" si="3"/>
        <v>43830</v>
      </c>
      <c r="B31" s="51"/>
      <c r="C31" s="51"/>
      <c r="D31" s="110"/>
      <c r="E31" s="279" t="e">
        <f ca="1">INDEX(RESULTADOS!$A:$BA,MATCH($A31,RESULTADOS!$A:$A,0),MATCH(E$1,RESULTADOS!$1:$1,0))</f>
        <v>#N/A</v>
      </c>
      <c r="F31" s="279" t="e">
        <f ca="1">INDEX(RESULTADOS!$A:$BA,MATCH($A31,RESULTADOS!$A:$A,0),MATCH(F$1,RESULTADOS!$1:$1,0))</f>
        <v>#N/A</v>
      </c>
      <c r="G31" s="288">
        <f ca="1">SUMPRODUCT((TABELA_VAZAO[Posto]=G$2)*1,(TABELA_VAZAO[Data]=$A31)*1,TABELA_VAZAO[qnat])</f>
        <v>202</v>
      </c>
      <c r="H31" s="288">
        <f ca="1">SUMPRODUCT((TABELA_VAZAO[Posto]=H$2)*1,(TABELA_VAZAO[Data]=$A31)*1,TABELA_VAZAO[qnat])</f>
        <v>43</v>
      </c>
      <c r="I31" s="67" t="e">
        <f ca="1">INDEX(RESULTADOS!$A:$BA,MATCH($A31,RESULTADOS!$A:$A,0),MATCH(I$1,RESULTADOS!$1:$1,0))</f>
        <v>#N/A</v>
      </c>
      <c r="J31" s="250">
        <f ca="1">SUMPRODUCT((TABELA_VAZAO[Posto]=J$2)*1,(TABELA_VAZAO[Data]=$A31)*1,TABELA_VAZAO[qinc])</f>
        <v>2</v>
      </c>
      <c r="K31" s="250">
        <f ca="1">SUMPRODUCT((TABELA_VAZAO[Posto]=K$2)*1,(TABELA_VAZAO[Data]=$A31)*1,TABELA_VAZAO[qinc])</f>
        <v>9</v>
      </c>
      <c r="L31" s="250">
        <f ca="1">SUMPRODUCT((TABELA_VAZAO[Posto]=L$2)*1,(TABELA_VAZAO[Data]=$A31)*1,TABELA_VAZAO[qinc])</f>
        <v>46</v>
      </c>
      <c r="M31" s="288">
        <f ca="1">SUMPRODUCT((TABELA_VAZAO[Posto]=M$2)*1,(TABELA_VAZAO[Data]=$A31)*1,TABELA_VAZAO[qnat])</f>
        <v>45</v>
      </c>
      <c r="N31" s="288">
        <f ca="1">SUMPRODUCT((TABELA_VAZAO[Posto]=N$2)*1,(TABELA_VAZAO[Data]=$A31)*1,TABELA_VAZAO[qnat])</f>
        <v>55</v>
      </c>
      <c r="O31" s="288">
        <f ca="1">SUMPRODUCT((TABELA_VAZAO[Posto]=O$2)*1,(TABELA_VAZAO[Data]=$A31)*1,TABELA_VAZAO[qnat])</f>
        <v>259</v>
      </c>
      <c r="P31" s="288">
        <f ca="1">SUMPRODUCT((TABELA_VAZAO[Posto]=P$2)*1,(TABELA_VAZAO[Data]=$A31)*1,TABELA_VAZAO[qnat])</f>
        <v>459</v>
      </c>
      <c r="Q31" s="250">
        <f ca="1">SUMPRODUCT((TABELA_VAZAO[Posto]=Q$2)*1,(TABELA_VAZAO[Data]=$A31)*1,TABELA_VAZAO[qinc])</f>
        <v>67</v>
      </c>
      <c r="R31" s="250">
        <f ca="1">SUMPRODUCT((TABELA_VAZAO[Posto]=R$2)*1,(TABELA_VAZAO[Data]=$A31)*1,TABELA_VAZAO[qinc])</f>
        <v>11</v>
      </c>
      <c r="S31" s="250">
        <f ca="1">SUMPRODUCT((TABELA_VAZAO[Posto]=S$2)*1,(TABELA_VAZAO[Data]=$A31)*1,TABELA_VAZAO[qinc])</f>
        <v>27</v>
      </c>
      <c r="T31" s="288">
        <f ca="1">SUMPRODUCT((TABELA_VAZAO[Posto]=T$2)*1,(TABELA_VAZAO[Data]=$A31)*1,TABELA_VAZAO[qnat])</f>
        <v>353</v>
      </c>
      <c r="U31" s="288">
        <f ca="1">SUMPRODUCT((TABELA_VAZAO[Posto]=U$2)*1,(TABELA_VAZAO[Data]=$A31)*1,TABELA_VAZAO[qnat])</f>
        <v>377</v>
      </c>
    </row>
    <row r="32" spans="1:21" x14ac:dyDescent="0.2">
      <c r="A32" s="49">
        <f t="shared" ca="1" si="3"/>
        <v>43831</v>
      </c>
      <c r="B32" s="51"/>
      <c r="C32" s="51"/>
      <c r="D32" s="110"/>
      <c r="E32" s="279" t="e">
        <f ca="1">INDEX(RESULTADOS!$A:$BA,MATCH($A32,RESULTADOS!$A:$A,0),MATCH(E$1,RESULTADOS!$1:$1,0))</f>
        <v>#N/A</v>
      </c>
      <c r="F32" s="279" t="e">
        <f ca="1">INDEX(RESULTADOS!$A:$BA,MATCH($A32,RESULTADOS!$A:$A,0),MATCH(F$1,RESULTADOS!$1:$1,0))</f>
        <v>#N/A</v>
      </c>
      <c r="G32" s="288">
        <f ca="1">SUMPRODUCT((TABELA_VAZAO[Posto]=G$2)*1,(TABELA_VAZAO[Data]=$A32)*1,TABELA_VAZAO[qnat])</f>
        <v>192</v>
      </c>
      <c r="H32" s="288">
        <f ca="1">SUMPRODUCT((TABELA_VAZAO[Posto]=H$2)*1,(TABELA_VAZAO[Data]=$A32)*1,TABELA_VAZAO[qnat])</f>
        <v>42</v>
      </c>
      <c r="I32" s="67" t="e">
        <f ca="1">INDEX(RESULTADOS!$A:$BA,MATCH($A32,RESULTADOS!$A:$A,0),MATCH(I$1,RESULTADOS!$1:$1,0))</f>
        <v>#N/A</v>
      </c>
      <c r="J32" s="250">
        <f ca="1">SUMPRODUCT((TABELA_VAZAO[Posto]=J$2)*1,(TABELA_VAZAO[Data]=$A32)*1,TABELA_VAZAO[qinc])</f>
        <v>2</v>
      </c>
      <c r="K32" s="250">
        <f ca="1">SUMPRODUCT((TABELA_VAZAO[Posto]=K$2)*1,(TABELA_VAZAO[Data]=$A32)*1,TABELA_VAZAO[qinc])</f>
        <v>9</v>
      </c>
      <c r="L32" s="250">
        <f ca="1">SUMPRODUCT((TABELA_VAZAO[Posto]=L$2)*1,(TABELA_VAZAO[Data]=$A32)*1,TABELA_VAZAO[qinc])</f>
        <v>46</v>
      </c>
      <c r="M32" s="288">
        <f ca="1">SUMPRODUCT((TABELA_VAZAO[Posto]=M$2)*1,(TABELA_VAZAO[Data]=$A32)*1,TABELA_VAZAO[qnat])</f>
        <v>44</v>
      </c>
      <c r="N32" s="288">
        <f ca="1">SUMPRODUCT((TABELA_VAZAO[Posto]=N$2)*1,(TABELA_VAZAO[Data]=$A32)*1,TABELA_VAZAO[qnat])</f>
        <v>53</v>
      </c>
      <c r="O32" s="288">
        <f ca="1">SUMPRODUCT((TABELA_VAZAO[Posto]=O$2)*1,(TABELA_VAZAO[Data]=$A32)*1,TABELA_VAZAO[qnat])</f>
        <v>244</v>
      </c>
      <c r="P32" s="288">
        <f ca="1">SUMPRODUCT((TABELA_VAZAO[Posto]=P$2)*1,(TABELA_VAZAO[Data]=$A32)*1,TABELA_VAZAO[qnat])</f>
        <v>427</v>
      </c>
      <c r="Q32" s="250">
        <f ca="1">SUMPRODUCT((TABELA_VAZAO[Posto]=Q$2)*1,(TABELA_VAZAO[Data]=$A32)*1,TABELA_VAZAO[qinc])</f>
        <v>66</v>
      </c>
      <c r="R32" s="250">
        <f ca="1">SUMPRODUCT((TABELA_VAZAO[Posto]=R$2)*1,(TABELA_VAZAO[Data]=$A32)*1,TABELA_VAZAO[qinc])</f>
        <v>11</v>
      </c>
      <c r="S32" s="250">
        <f ca="1">SUMPRODUCT((TABELA_VAZAO[Posto]=S$2)*1,(TABELA_VAZAO[Data]=$A32)*1,TABELA_VAZAO[qinc])</f>
        <v>27</v>
      </c>
      <c r="T32" s="288">
        <f ca="1">SUMPRODUCT((TABELA_VAZAO[Posto]=T$2)*1,(TABELA_VAZAO[Data]=$A32)*1,TABELA_VAZAO[qnat])</f>
        <v>332</v>
      </c>
      <c r="U32" s="288">
        <f ca="1">SUMPRODUCT((TABELA_VAZAO[Posto]=U$2)*1,(TABELA_VAZAO[Data]=$A32)*1,TABELA_VAZAO[qnat])</f>
        <v>351</v>
      </c>
    </row>
    <row r="33" spans="1:21" x14ac:dyDescent="0.2">
      <c r="A33" s="82">
        <f t="shared" ca="1" si="3"/>
        <v>43832</v>
      </c>
      <c r="B33" s="83"/>
      <c r="C33" s="83"/>
      <c r="D33" s="84"/>
      <c r="E33" s="279" t="e">
        <f ca="1">INDEX(RESULTADOS!$A:$BA,MATCH($A33,RESULTADOS!$A:$A,0),MATCH(E$1,RESULTADOS!$1:$1,0))</f>
        <v>#N/A</v>
      </c>
      <c r="F33" s="279" t="e">
        <f ca="1">INDEX(RESULTADOS!$A:$BA,MATCH($A33,RESULTADOS!$A:$A,0),MATCH(F$1,RESULTADOS!$1:$1,0))</f>
        <v>#N/A</v>
      </c>
      <c r="G33" s="288">
        <f ca="1">SUMPRODUCT((TABELA_VAZAO[Posto]=G$2)*1,(TABELA_VAZAO[Data]=$A33)*1,TABELA_VAZAO[qnat])</f>
        <v>193</v>
      </c>
      <c r="H33" s="288">
        <f ca="1">SUMPRODUCT((TABELA_VAZAO[Posto]=H$2)*1,(TABELA_VAZAO[Data]=$A33)*1,TABELA_VAZAO[qnat])</f>
        <v>42</v>
      </c>
      <c r="I33" s="67" t="e">
        <f ca="1">INDEX(RESULTADOS!$A:$BA,MATCH($A33,RESULTADOS!$A:$A,0),MATCH(I$1,RESULTADOS!$1:$1,0))</f>
        <v>#N/A</v>
      </c>
      <c r="J33" s="250">
        <f ca="1">SUMPRODUCT((TABELA_VAZAO[Posto]=J$2)*1,(TABELA_VAZAO[Data]=$A33)*1,TABELA_VAZAO[qinc])</f>
        <v>2</v>
      </c>
      <c r="K33" s="250">
        <f ca="1">SUMPRODUCT((TABELA_VAZAO[Posto]=K$2)*1,(TABELA_VAZAO[Data]=$A33)*1,TABELA_VAZAO[qinc])</f>
        <v>9</v>
      </c>
      <c r="L33" s="250">
        <f ca="1">SUMPRODUCT((TABELA_VAZAO[Posto]=L$2)*1,(TABELA_VAZAO[Data]=$A33)*1,TABELA_VAZAO[qinc])</f>
        <v>46</v>
      </c>
      <c r="M33" s="288">
        <f ca="1">SUMPRODUCT((TABELA_VAZAO[Posto]=M$2)*1,(TABELA_VAZAO[Data]=$A33)*1,TABELA_VAZAO[qnat])</f>
        <v>44</v>
      </c>
      <c r="N33" s="288">
        <f ca="1">SUMPRODUCT((TABELA_VAZAO[Posto]=N$2)*1,(TABELA_VAZAO[Data]=$A33)*1,TABELA_VAZAO[qnat])</f>
        <v>53</v>
      </c>
      <c r="O33" s="288">
        <f ca="1">SUMPRODUCT((TABELA_VAZAO[Posto]=O$2)*1,(TABELA_VAZAO[Data]=$A33)*1,TABELA_VAZAO[qnat])</f>
        <v>239</v>
      </c>
      <c r="P33" s="288">
        <f ca="1">SUMPRODUCT((TABELA_VAZAO[Posto]=P$2)*1,(TABELA_VAZAO[Data]=$A33)*1,TABELA_VAZAO[qnat])</f>
        <v>408</v>
      </c>
      <c r="Q33" s="250">
        <f ca="1">SUMPRODUCT((TABELA_VAZAO[Posto]=Q$2)*1,(TABELA_VAZAO[Data]=$A33)*1,TABELA_VAZAO[qinc])</f>
        <v>66</v>
      </c>
      <c r="R33" s="250">
        <f ca="1">SUMPRODUCT((TABELA_VAZAO[Posto]=R$2)*1,(TABELA_VAZAO[Data]=$A33)*1,TABELA_VAZAO[qinc])</f>
        <v>11</v>
      </c>
      <c r="S33" s="250">
        <f ca="1">SUMPRODUCT((TABELA_VAZAO[Posto]=S$2)*1,(TABELA_VAZAO[Data]=$A33)*1,TABELA_VAZAO[qinc])</f>
        <v>27</v>
      </c>
      <c r="T33" s="288">
        <f ca="1">SUMPRODUCT((TABELA_VAZAO[Posto]=T$2)*1,(TABELA_VAZAO[Data]=$A33)*1,TABELA_VAZAO[qnat])</f>
        <v>321</v>
      </c>
      <c r="U33" s="288">
        <f ca="1">SUMPRODUCT((TABELA_VAZAO[Posto]=U$2)*1,(TABELA_VAZAO[Data]=$A33)*1,TABELA_VAZAO[qnat])</f>
        <v>336</v>
      </c>
    </row>
    <row r="34" spans="1:21" x14ac:dyDescent="0.2">
      <c r="A34" s="49">
        <f t="shared" ca="1" si="3"/>
        <v>43833</v>
      </c>
      <c r="B34" s="51"/>
      <c r="C34" s="51"/>
      <c r="D34" s="110"/>
      <c r="E34" s="279" t="e">
        <f ca="1">INDEX(RESULTADOS!$A:$BA,MATCH($A34,RESULTADOS!$A:$A,0),MATCH(E$1,RESULTADOS!$1:$1,0))</f>
        <v>#N/A</v>
      </c>
      <c r="F34" s="279" t="e">
        <f ca="1">INDEX(RESULTADOS!$A:$BA,MATCH($A34,RESULTADOS!$A:$A,0),MATCH(F$1,RESULTADOS!$1:$1,0))</f>
        <v>#N/A</v>
      </c>
      <c r="G34" s="288">
        <f ca="1">SUMPRODUCT((TABELA_VAZAO[Posto]=G$2)*1,(TABELA_VAZAO[Data]=$A34)*1,TABELA_VAZAO[qnat])</f>
        <v>214</v>
      </c>
      <c r="H34" s="288">
        <f ca="1">SUMPRODUCT((TABELA_VAZAO[Posto]=H$2)*1,(TABELA_VAZAO[Data]=$A34)*1,TABELA_VAZAO[qnat])</f>
        <v>42</v>
      </c>
      <c r="I34" s="67" t="e">
        <f ca="1">INDEX(RESULTADOS!$A:$BA,MATCH($A34,RESULTADOS!$A:$A,0),MATCH(I$1,RESULTADOS!$1:$1,0))</f>
        <v>#N/A</v>
      </c>
      <c r="J34" s="250">
        <f ca="1">SUMPRODUCT((TABELA_VAZAO[Posto]=J$2)*1,(TABELA_VAZAO[Data]=$A34)*1,TABELA_VAZAO[qinc])</f>
        <v>2</v>
      </c>
      <c r="K34" s="250">
        <f ca="1">SUMPRODUCT((TABELA_VAZAO[Posto]=K$2)*1,(TABELA_VAZAO[Data]=$A34)*1,TABELA_VAZAO[qinc])</f>
        <v>9</v>
      </c>
      <c r="L34" s="250">
        <f ca="1">SUMPRODUCT((TABELA_VAZAO[Posto]=L$2)*1,(TABELA_VAZAO[Data]=$A34)*1,TABELA_VAZAO[qinc])</f>
        <v>45</v>
      </c>
      <c r="M34" s="288">
        <f ca="1">SUMPRODUCT((TABELA_VAZAO[Posto]=M$2)*1,(TABELA_VAZAO[Data]=$A34)*1,TABELA_VAZAO[qnat])</f>
        <v>44</v>
      </c>
      <c r="N34" s="288">
        <f ca="1">SUMPRODUCT((TABELA_VAZAO[Posto]=N$2)*1,(TABELA_VAZAO[Data]=$A34)*1,TABELA_VAZAO[qnat])</f>
        <v>53</v>
      </c>
      <c r="O34" s="288">
        <f ca="1">SUMPRODUCT((TABELA_VAZAO[Posto]=O$2)*1,(TABELA_VAZAO[Data]=$A34)*1,TABELA_VAZAO[qnat])</f>
        <v>249</v>
      </c>
      <c r="P34" s="288">
        <f ca="1">SUMPRODUCT((TABELA_VAZAO[Posto]=P$2)*1,(TABELA_VAZAO[Data]=$A34)*1,TABELA_VAZAO[qnat])</f>
        <v>397</v>
      </c>
      <c r="Q34" s="250">
        <f ca="1">SUMPRODUCT((TABELA_VAZAO[Posto]=Q$2)*1,(TABELA_VAZAO[Data]=$A34)*1,TABELA_VAZAO[qinc])</f>
        <v>64</v>
      </c>
      <c r="R34" s="250">
        <f ca="1">SUMPRODUCT((TABELA_VAZAO[Posto]=R$2)*1,(TABELA_VAZAO[Data]=$A34)*1,TABELA_VAZAO[qinc])</f>
        <v>10</v>
      </c>
      <c r="S34" s="250">
        <f ca="1">SUMPRODUCT((TABELA_VAZAO[Posto]=S$2)*1,(TABELA_VAZAO[Data]=$A34)*1,TABELA_VAZAO[qinc])</f>
        <v>26</v>
      </c>
      <c r="T34" s="288">
        <f ca="1">SUMPRODUCT((TABELA_VAZAO[Posto]=T$2)*1,(TABELA_VAZAO[Data]=$A34)*1,TABELA_VAZAO[qnat])</f>
        <v>323</v>
      </c>
      <c r="U34" s="288">
        <f ca="1">SUMPRODUCT((TABELA_VAZAO[Posto]=U$2)*1,(TABELA_VAZAO[Data]=$A34)*1,TABELA_VAZAO[qnat])</f>
        <v>332</v>
      </c>
    </row>
    <row r="35" spans="1:21" x14ac:dyDescent="0.2">
      <c r="A35" s="49">
        <f t="shared" ca="1" si="3"/>
        <v>43834</v>
      </c>
      <c r="B35" s="51"/>
      <c r="C35" s="51"/>
      <c r="D35" s="110"/>
      <c r="E35" s="279" t="e">
        <f ca="1">INDEX(RESULTADOS!$A:$BA,MATCH($A35,RESULTADOS!$A:$A,0),MATCH(E$1,RESULTADOS!$1:$1,0))</f>
        <v>#N/A</v>
      </c>
      <c r="F35" s="279" t="e">
        <f ca="1">INDEX(RESULTADOS!$A:$BA,MATCH($A35,RESULTADOS!$A:$A,0),MATCH(F$1,RESULTADOS!$1:$1,0))</f>
        <v>#N/A</v>
      </c>
      <c r="G35" s="288">
        <f ca="1">SUMPRODUCT((TABELA_VAZAO[Posto]=G$2)*1,(TABELA_VAZAO[Data]=$A35)*1,TABELA_VAZAO[qnat])</f>
        <v>257</v>
      </c>
      <c r="H35" s="288">
        <f ca="1">SUMPRODUCT((TABELA_VAZAO[Posto]=H$2)*1,(TABELA_VAZAO[Data]=$A35)*1,TABELA_VAZAO[qnat])</f>
        <v>42</v>
      </c>
      <c r="I35" s="67" t="e">
        <f ca="1">INDEX(RESULTADOS!$A:$BA,MATCH($A35,RESULTADOS!$A:$A,0),MATCH(I$1,RESULTADOS!$1:$1,0))</f>
        <v>#N/A</v>
      </c>
      <c r="J35" s="250">
        <f ca="1">SUMPRODUCT((TABELA_VAZAO[Posto]=J$2)*1,(TABELA_VAZAO[Data]=$A35)*1,TABELA_VAZAO[qinc])</f>
        <v>2</v>
      </c>
      <c r="K35" s="250">
        <f ca="1">SUMPRODUCT((TABELA_VAZAO[Posto]=K$2)*1,(TABELA_VAZAO[Data]=$A35)*1,TABELA_VAZAO[qinc])</f>
        <v>9</v>
      </c>
      <c r="L35" s="250">
        <f ca="1">SUMPRODUCT((TABELA_VAZAO[Posto]=L$2)*1,(TABELA_VAZAO[Data]=$A35)*1,TABELA_VAZAO[qinc])</f>
        <v>47</v>
      </c>
      <c r="M35" s="288">
        <f ca="1">SUMPRODUCT((TABELA_VAZAO[Posto]=M$2)*1,(TABELA_VAZAO[Data]=$A35)*1,TABELA_VAZAO[qnat])</f>
        <v>44</v>
      </c>
      <c r="N35" s="288">
        <f ca="1">SUMPRODUCT((TABELA_VAZAO[Posto]=N$2)*1,(TABELA_VAZAO[Data]=$A35)*1,TABELA_VAZAO[qnat])</f>
        <v>53</v>
      </c>
      <c r="O35" s="288">
        <f ca="1">SUMPRODUCT((TABELA_VAZAO[Posto]=O$2)*1,(TABELA_VAZAO[Data]=$A35)*1,TABELA_VAZAO[qnat])</f>
        <v>281</v>
      </c>
      <c r="P35" s="288">
        <f ca="1">SUMPRODUCT((TABELA_VAZAO[Posto]=P$2)*1,(TABELA_VAZAO[Data]=$A35)*1,TABELA_VAZAO[qnat])</f>
        <v>396</v>
      </c>
      <c r="Q35" s="250">
        <f ca="1">SUMPRODUCT((TABELA_VAZAO[Posto]=Q$2)*1,(TABELA_VAZAO[Data]=$A35)*1,TABELA_VAZAO[qinc])</f>
        <v>57</v>
      </c>
      <c r="R35" s="250">
        <f ca="1">SUMPRODUCT((TABELA_VAZAO[Posto]=R$2)*1,(TABELA_VAZAO[Data]=$A35)*1,TABELA_VAZAO[qinc])</f>
        <v>9</v>
      </c>
      <c r="S35" s="250">
        <f ca="1">SUMPRODUCT((TABELA_VAZAO[Posto]=S$2)*1,(TABELA_VAZAO[Data]=$A35)*1,TABELA_VAZAO[qinc])</f>
        <v>23</v>
      </c>
      <c r="T35" s="288">
        <f ca="1">SUMPRODUCT((TABELA_VAZAO[Posto]=T$2)*1,(TABELA_VAZAO[Data]=$A35)*1,TABELA_VAZAO[qnat])</f>
        <v>342</v>
      </c>
      <c r="U35" s="288">
        <f ca="1">SUMPRODUCT((TABELA_VAZAO[Posto]=U$2)*1,(TABELA_VAZAO[Data]=$A35)*1,TABELA_VAZAO[qnat])</f>
        <v>343</v>
      </c>
    </row>
    <row r="36" spans="1:21" x14ac:dyDescent="0.2">
      <c r="A36" s="49">
        <f t="shared" ca="1" si="3"/>
        <v>43835</v>
      </c>
      <c r="B36" s="51"/>
      <c r="C36" s="51"/>
      <c r="D36" s="110"/>
      <c r="E36" s="279" t="e">
        <f ca="1">INDEX(RESULTADOS!$A:$BA,MATCH($A36,RESULTADOS!$A:$A,0),MATCH(E$1,RESULTADOS!$1:$1,0))</f>
        <v>#N/A</v>
      </c>
      <c r="F36" s="279" t="e">
        <f ca="1">INDEX(RESULTADOS!$A:$BA,MATCH($A36,RESULTADOS!$A:$A,0),MATCH(F$1,RESULTADOS!$1:$1,0))</f>
        <v>#N/A</v>
      </c>
      <c r="G36" s="288">
        <f ca="1">SUMPRODUCT((TABELA_VAZAO[Posto]=G$2)*1,(TABELA_VAZAO[Data]=$A36)*1,TABELA_VAZAO[qnat])</f>
        <v>269</v>
      </c>
      <c r="H36" s="288">
        <f ca="1">SUMPRODUCT((TABELA_VAZAO[Posto]=H$2)*1,(TABELA_VAZAO[Data]=$A36)*1,TABELA_VAZAO[qnat])</f>
        <v>40</v>
      </c>
      <c r="I36" s="67" t="e">
        <f ca="1">INDEX(RESULTADOS!$A:$BA,MATCH($A36,RESULTADOS!$A:$A,0),MATCH(I$1,RESULTADOS!$1:$1,0))</f>
        <v>#N/A</v>
      </c>
      <c r="J36" s="250">
        <f ca="1">SUMPRODUCT((TABELA_VAZAO[Posto]=J$2)*1,(TABELA_VAZAO[Data]=$A36)*1,TABELA_VAZAO[qinc])</f>
        <v>2</v>
      </c>
      <c r="K36" s="250">
        <f ca="1">SUMPRODUCT((TABELA_VAZAO[Posto]=K$2)*1,(TABELA_VAZAO[Data]=$A36)*1,TABELA_VAZAO[qinc])</f>
        <v>9</v>
      </c>
      <c r="L36" s="250">
        <f ca="1">SUMPRODUCT((TABELA_VAZAO[Posto]=L$2)*1,(TABELA_VAZAO[Data]=$A36)*1,TABELA_VAZAO[qinc])</f>
        <v>47</v>
      </c>
      <c r="M36" s="288">
        <f ca="1">SUMPRODUCT((TABELA_VAZAO[Posto]=M$2)*1,(TABELA_VAZAO[Data]=$A36)*1,TABELA_VAZAO[qnat])</f>
        <v>43</v>
      </c>
      <c r="N36" s="288">
        <f ca="1">SUMPRODUCT((TABELA_VAZAO[Posto]=N$2)*1,(TABELA_VAZAO[Data]=$A36)*1,TABELA_VAZAO[qnat])</f>
        <v>52</v>
      </c>
      <c r="O36" s="288">
        <f ca="1">SUMPRODUCT((TABELA_VAZAO[Posto]=O$2)*1,(TABELA_VAZAO[Data]=$A36)*1,TABELA_VAZAO[qnat])</f>
        <v>310</v>
      </c>
      <c r="P36" s="288">
        <f ca="1">SUMPRODUCT((TABELA_VAZAO[Posto]=P$2)*1,(TABELA_VAZAO[Data]=$A36)*1,TABELA_VAZAO[qnat])</f>
        <v>410</v>
      </c>
      <c r="Q36" s="250">
        <f ca="1">SUMPRODUCT((TABELA_VAZAO[Posto]=Q$2)*1,(TABELA_VAZAO[Data]=$A36)*1,TABELA_VAZAO[qinc])</f>
        <v>53</v>
      </c>
      <c r="R36" s="250">
        <f ca="1">SUMPRODUCT((TABELA_VAZAO[Posto]=R$2)*1,(TABELA_VAZAO[Data]=$A36)*1,TABELA_VAZAO[qinc])</f>
        <v>8</v>
      </c>
      <c r="S36" s="250">
        <f ca="1">SUMPRODUCT((TABELA_VAZAO[Posto]=S$2)*1,(TABELA_VAZAO[Data]=$A36)*1,TABELA_VAZAO[qinc])</f>
        <v>21</v>
      </c>
      <c r="T36" s="288">
        <f ca="1">SUMPRODUCT((TABELA_VAZAO[Posto]=T$2)*1,(TABELA_VAZAO[Data]=$A36)*1,TABELA_VAZAO[qnat])</f>
        <v>370</v>
      </c>
      <c r="U36" s="288">
        <f ca="1">SUMPRODUCT((TABELA_VAZAO[Posto]=U$2)*1,(TABELA_VAZAO[Data]=$A36)*1,TABELA_VAZAO[qnat])</f>
        <v>366</v>
      </c>
    </row>
    <row r="37" spans="1:21" ht="13.5" thickBot="1" x14ac:dyDescent="0.25">
      <c r="A37" s="49">
        <f ca="1">A38-1</f>
        <v>43836</v>
      </c>
      <c r="B37" s="51"/>
      <c r="C37" s="51"/>
      <c r="D37" s="110"/>
      <c r="E37" s="279" t="e">
        <f ca="1">INDEX(RESULTADOS!$A:$BA,MATCH($A37,RESULTADOS!$A:$A,0),MATCH(E$1,RESULTADOS!$1:$1,0))</f>
        <v>#N/A</v>
      </c>
      <c r="F37" s="279" t="e">
        <f ca="1">INDEX(RESULTADOS!$A:$BA,MATCH($A37,RESULTADOS!$A:$A,0),MATCH(F$1,RESULTADOS!$1:$1,0))</f>
        <v>#N/A</v>
      </c>
      <c r="G37" s="288">
        <f ca="1">SUMPRODUCT((TABELA_VAZAO[Posto]=G$2)*1,(TABELA_VAZAO[Data]=$A37)*1,TABELA_VAZAO[qnat])</f>
        <v>292</v>
      </c>
      <c r="H37" s="288">
        <f ca="1">SUMPRODUCT((TABELA_VAZAO[Posto]=H$2)*1,(TABELA_VAZAO[Data]=$A37)*1,TABELA_VAZAO[qnat])</f>
        <v>40</v>
      </c>
      <c r="I37" s="67" t="e">
        <f ca="1">INDEX(RESULTADOS!$A:$BA,MATCH($A37,RESULTADOS!$A:$A,0),MATCH(I$1,RESULTADOS!$1:$1,0))</f>
        <v>#N/A</v>
      </c>
      <c r="J37" s="250">
        <f ca="1">SUMPRODUCT((TABELA_VAZAO[Posto]=J$2)*1,(TABELA_VAZAO[Data]=$A37)*1,TABELA_VAZAO[qinc])</f>
        <v>2</v>
      </c>
      <c r="K37" s="250">
        <f ca="1">SUMPRODUCT((TABELA_VAZAO[Posto]=K$2)*1,(TABELA_VAZAO[Data]=$A37)*1,TABELA_VAZAO[qinc])</f>
        <v>9</v>
      </c>
      <c r="L37" s="250">
        <f ca="1">SUMPRODUCT((TABELA_VAZAO[Posto]=L$2)*1,(TABELA_VAZAO[Data]=$A37)*1,TABELA_VAZAO[qinc])</f>
        <v>47</v>
      </c>
      <c r="M37" s="288">
        <f ca="1">SUMPRODUCT((TABELA_VAZAO[Posto]=M$2)*1,(TABELA_VAZAO[Data]=$A37)*1,TABELA_VAZAO[qnat])</f>
        <v>42</v>
      </c>
      <c r="N37" s="288">
        <f ca="1">SUMPRODUCT((TABELA_VAZAO[Posto]=N$2)*1,(TABELA_VAZAO[Data]=$A37)*1,TABELA_VAZAO[qnat])</f>
        <v>51</v>
      </c>
      <c r="O37" s="288">
        <f ca="1">SUMPRODUCT((TABELA_VAZAO[Posto]=O$2)*1,(TABELA_VAZAO[Data]=$A37)*1,TABELA_VAZAO[qnat])</f>
        <v>327</v>
      </c>
      <c r="P37" s="288">
        <f ca="1">SUMPRODUCT((TABELA_VAZAO[Posto]=P$2)*1,(TABELA_VAZAO[Data]=$A37)*1,TABELA_VAZAO[qnat])</f>
        <v>429</v>
      </c>
      <c r="Q37" s="250">
        <f ca="1">SUMPRODUCT((TABELA_VAZAO[Posto]=Q$2)*1,(TABELA_VAZAO[Data]=$A37)*1,TABELA_VAZAO[qinc])</f>
        <v>49</v>
      </c>
      <c r="R37" s="250">
        <f ca="1">SUMPRODUCT((TABELA_VAZAO[Posto]=R$2)*1,(TABELA_VAZAO[Data]=$A37)*1,TABELA_VAZAO[qinc])</f>
        <v>8</v>
      </c>
      <c r="S37" s="250">
        <f ca="1">SUMPRODUCT((TABELA_VAZAO[Posto]=S$2)*1,(TABELA_VAZAO[Data]=$A37)*1,TABELA_VAZAO[qinc])</f>
        <v>20</v>
      </c>
      <c r="T37" s="288">
        <f ca="1">SUMPRODUCT((TABELA_VAZAO[Posto]=T$2)*1,(TABELA_VAZAO[Data]=$A37)*1,TABELA_VAZAO[qnat])</f>
        <v>390</v>
      </c>
      <c r="U37" s="288">
        <f ca="1">SUMPRODUCT((TABELA_VAZAO[Posto]=U$2)*1,(TABELA_VAZAO[Data]=$A37)*1,TABELA_VAZAO[qnat])</f>
        <v>389</v>
      </c>
    </row>
    <row r="38" spans="1:21" ht="13.5" thickBot="1" x14ac:dyDescent="0.25">
      <c r="A38" s="187">
        <f ca="1">_data</f>
        <v>43837</v>
      </c>
      <c r="B38" s="185"/>
      <c r="C38" s="185"/>
      <c r="D38" s="185"/>
      <c r="E38" s="186" t="e">
        <f ca="1">INDEX(RESULTADOS!$A:$BA,MATCH($A38,RESULTADOS!$A:$A,0),MATCH(E$1,RESULTADOS!$1:$1,0))</f>
        <v>#N/A</v>
      </c>
      <c r="F38" s="186" t="e">
        <f ca="1">INDEX(RESULTADOS!$A:$BA,MATCH($A38,RESULTADOS!$A:$A,0),MATCH(F$1,RESULTADOS!$1:$1,0))</f>
        <v>#N/A</v>
      </c>
      <c r="G38" s="186" t="e">
        <f ca="1">((F38*(24-$F$3)+F37*$F$3)/24)+E38</f>
        <v>#N/A</v>
      </c>
      <c r="H38" s="186" t="e">
        <f ca="1">INDEX(RESULTADOS!$A:$BA,MATCH($A38,RESULTADOS!$A:$A,0),MATCH(H$1,RESULTADOS!$1:$1,0))</f>
        <v>#N/A</v>
      </c>
      <c r="I38" s="186" t="e">
        <f ca="1">INDEX(RESULTADOS!$A:$BA,MATCH($A38,RESULTADOS!$A:$A,0),MATCH(I$1,RESULTADOS!$1:$1,0))</f>
        <v>#N/A</v>
      </c>
      <c r="J38" s="186" t="e">
        <f t="shared" ref="J38:L46" ca="1" si="4">$I38*J$4</f>
        <v>#N/A</v>
      </c>
      <c r="K38" s="186" t="e">
        <f t="shared" ca="1" si="4"/>
        <v>#N/A</v>
      </c>
      <c r="L38" s="186" t="e">
        <f t="shared" ca="1" si="4"/>
        <v>#N/A</v>
      </c>
      <c r="M38" s="30" t="e">
        <f t="shared" ref="M38:M72" ca="1" si="5">J38+(H38*(1-$H$3/24)+H37*($H$3/24))</f>
        <v>#N/A</v>
      </c>
      <c r="N38" s="186" t="e">
        <f t="shared" ref="N38:N72" ca="1" si="6">K38+(M38*(1-$M$3/24)+M37*($M$3/24))</f>
        <v>#N/A</v>
      </c>
      <c r="O38" s="186" t="e">
        <f t="shared" ref="O38:O72" ca="1" si="7">L38+G38*(1-$G$3/24)+G37*($G$3/24)</f>
        <v>#N/A</v>
      </c>
      <c r="P38" s="186" t="e">
        <f ca="1">INDEX(RESULTADOS!$A:$BA,MATCH($A38,RESULTADOS!$A:$A,0),MATCH(P$1,RESULTADOS!$1:$1,0))</f>
        <v>#N/A</v>
      </c>
      <c r="Q38" s="186" t="e">
        <f t="shared" ref="Q38:S39" ca="1" si="8">$P38*Q$4</f>
        <v>#N/A</v>
      </c>
      <c r="R38" s="186" t="e">
        <f t="shared" ca="1" si="8"/>
        <v>#N/A</v>
      </c>
      <c r="S38" s="186" t="e">
        <f t="shared" ca="1" si="8"/>
        <v>#N/A</v>
      </c>
      <c r="T38" s="186" t="e">
        <f ca="1">((N38*(24-$N$3)+N37*$N$3)/24)+((O38*(24-$O$3)+O37*$O$3)/24)+S38</f>
        <v>#N/A</v>
      </c>
      <c r="U38" s="186" t="e">
        <f t="shared" ref="U38:U73" ca="1" si="9">((T38*(24-$T$3)+T37*$T$3)/24)+R38</f>
        <v>#N/A</v>
      </c>
    </row>
    <row r="39" spans="1:21" x14ac:dyDescent="0.2">
      <c r="A39" s="49">
        <f ca="1">A38+1</f>
        <v>43838</v>
      </c>
      <c r="B39" s="53"/>
      <c r="C39" s="53"/>
      <c r="D39" s="52"/>
      <c r="E39" s="67" t="e">
        <f ca="1">INDEX(RESULTADOS!$A:$BA,MATCH($A39,RESULTADOS!$A:$A,0),MATCH(E$1,RESULTADOS!$1:$1,0))</f>
        <v>#N/A</v>
      </c>
      <c r="F39" s="67" t="e">
        <f ca="1">INDEX(RESULTADOS!$A:$BA,MATCH($A39,RESULTADOS!$A:$A,0),MATCH(F$1,RESULTADOS!$1:$1,0))</f>
        <v>#N/A</v>
      </c>
      <c r="G39" s="30" t="e">
        <f t="shared" ref="G39:G72" ca="1" si="10">((F39*(24-$F$3)+F38*$F$3)/24)+E39</f>
        <v>#N/A</v>
      </c>
      <c r="H39" s="67" t="e">
        <f ca="1">INDEX(RESULTADOS!$A:$BA,MATCH($A39,RESULTADOS!$A:$A,0),MATCH(H$1,RESULTADOS!$1:$1,0))</f>
        <v>#N/A</v>
      </c>
      <c r="I39" s="67" t="e">
        <f ca="1">INDEX(RESULTADOS!$A:$BA,MATCH($A39,RESULTADOS!$A:$A,0),MATCH(I$1,RESULTADOS!$1:$1,0))</f>
        <v>#N/A</v>
      </c>
      <c r="J39" s="178" t="e">
        <f t="shared" ca="1" si="4"/>
        <v>#N/A</v>
      </c>
      <c r="K39" s="178" t="e">
        <f t="shared" ca="1" si="4"/>
        <v>#N/A</v>
      </c>
      <c r="L39" s="178" t="e">
        <f t="shared" ca="1" si="4"/>
        <v>#N/A</v>
      </c>
      <c r="M39" s="30" t="e">
        <f t="shared" ca="1" si="5"/>
        <v>#N/A</v>
      </c>
      <c r="N39" s="30" t="e">
        <f t="shared" ca="1" si="6"/>
        <v>#N/A</v>
      </c>
      <c r="O39" s="30" t="e">
        <f t="shared" ca="1" si="7"/>
        <v>#N/A</v>
      </c>
      <c r="P39" s="67" t="e">
        <f ca="1">INDEX(RESULTADOS!$A:$BA,MATCH($A39,RESULTADOS!$A:$A,0),MATCH(P$1,RESULTADOS!$1:$1,0))</f>
        <v>#N/A</v>
      </c>
      <c r="Q39" s="178" t="e">
        <f t="shared" ca="1" si="8"/>
        <v>#N/A</v>
      </c>
      <c r="R39" s="178" t="e">
        <f t="shared" ca="1" si="8"/>
        <v>#N/A</v>
      </c>
      <c r="S39" s="178" t="e">
        <f t="shared" ca="1" si="8"/>
        <v>#N/A</v>
      </c>
      <c r="T39" s="30" t="e">
        <f t="shared" ref="T39:T80" ca="1" si="11">((N39*(24-$N$3)+N38*$N$3)/24)+((O39*(24-$O$3)+O38*$O$3)/24)+S39</f>
        <v>#N/A</v>
      </c>
      <c r="U39" s="30" t="e">
        <f t="shared" ca="1" si="9"/>
        <v>#N/A</v>
      </c>
    </row>
    <row r="40" spans="1:21" s="85" customFormat="1" x14ac:dyDescent="0.2">
      <c r="A40" s="189">
        <f t="shared" ref="A40:A103" ca="1" si="12">A39+1</f>
        <v>43839</v>
      </c>
      <c r="B40" s="87"/>
      <c r="C40" s="87"/>
      <c r="D40" s="88"/>
      <c r="E40" s="190" t="e">
        <f ca="1">INDEX(RESULTADOS!$A:$BA,MATCH($A40,RESULTADOS!$A:$A,0),MATCH(E$1,RESULTADOS!$1:$1,0))</f>
        <v>#N/A</v>
      </c>
      <c r="F40" s="190" t="e">
        <f ca="1">INDEX(RESULTADOS!$A:$BA,MATCH($A40,RESULTADOS!$A:$A,0),MATCH(F$1,RESULTADOS!$1:$1,0))</f>
        <v>#N/A</v>
      </c>
      <c r="G40" s="191" t="e">
        <f t="shared" ca="1" si="10"/>
        <v>#N/A</v>
      </c>
      <c r="H40" s="190" t="e">
        <f ca="1">INDEX(RESULTADOS!$A:$BA,MATCH($A40,RESULTADOS!$A:$A,0),MATCH(H$1,RESULTADOS!$1:$1,0))</f>
        <v>#N/A</v>
      </c>
      <c r="I40" s="190" t="e">
        <f ca="1">INDEX(RESULTADOS!$A:$BA,MATCH($A40,RESULTADOS!$A:$A,0),MATCH(I$1,RESULTADOS!$1:$1,0))</f>
        <v>#N/A</v>
      </c>
      <c r="J40" s="192" t="e">
        <f t="shared" ca="1" si="4"/>
        <v>#N/A</v>
      </c>
      <c r="K40" s="192" t="e">
        <f t="shared" ca="1" si="4"/>
        <v>#N/A</v>
      </c>
      <c r="L40" s="192" t="e">
        <f t="shared" ca="1" si="4"/>
        <v>#N/A</v>
      </c>
      <c r="M40" s="30" t="e">
        <f t="shared" ca="1" si="5"/>
        <v>#N/A</v>
      </c>
      <c r="N40" s="191" t="e">
        <f t="shared" ca="1" si="6"/>
        <v>#N/A</v>
      </c>
      <c r="O40" s="191" t="e">
        <f t="shared" ca="1" si="7"/>
        <v>#N/A</v>
      </c>
      <c r="P40" s="190" t="e">
        <f ca="1">INDEX(RESULTADOS!$A:$BA,MATCH($A40,RESULTADOS!$A:$A,0),MATCH(P$1,RESULTADOS!$1:$1,0))</f>
        <v>#N/A</v>
      </c>
      <c r="Q40" s="192" t="e">
        <f t="shared" ref="Q40:S71" ca="1" si="13">$P40*Q$4</f>
        <v>#N/A</v>
      </c>
      <c r="R40" s="192" t="e">
        <f t="shared" ca="1" si="13"/>
        <v>#N/A</v>
      </c>
      <c r="S40" s="192" t="e">
        <f t="shared" ca="1" si="13"/>
        <v>#N/A</v>
      </c>
      <c r="T40" s="191" t="e">
        <f t="shared" ca="1" si="11"/>
        <v>#N/A</v>
      </c>
      <c r="U40" s="191" t="e">
        <f t="shared" ca="1" si="9"/>
        <v>#N/A</v>
      </c>
    </row>
    <row r="41" spans="1:21" s="142" customFormat="1" x14ac:dyDescent="0.2">
      <c r="A41" s="193">
        <f t="shared" ca="1" si="12"/>
        <v>43840</v>
      </c>
      <c r="B41" s="68"/>
      <c r="C41" s="68"/>
      <c r="D41" s="33"/>
      <c r="E41" s="194" t="e">
        <f ca="1">INDEX(RESULTADOS!$A:$BA,MATCH($A41,RESULTADOS!$A:$A,0),MATCH(E$1,RESULTADOS!$1:$1,0))</f>
        <v>#N/A</v>
      </c>
      <c r="F41" s="194" t="e">
        <f ca="1">INDEX(RESULTADOS!$A:$BA,MATCH($A41,RESULTADOS!$A:$A,0),MATCH(F$1,RESULTADOS!$1:$1,0))</f>
        <v>#N/A</v>
      </c>
      <c r="G41" s="195" t="e">
        <f t="shared" ca="1" si="10"/>
        <v>#N/A</v>
      </c>
      <c r="H41" s="194" t="e">
        <f ca="1">INDEX(RESULTADOS!$A:$BA,MATCH($A41,RESULTADOS!$A:$A,0),MATCH(H$1,RESULTADOS!$1:$1,0))</f>
        <v>#N/A</v>
      </c>
      <c r="I41" s="194" t="e">
        <f ca="1">INDEX(RESULTADOS!$A:$BA,MATCH($A41,RESULTADOS!$A:$A,0),MATCH(I$1,RESULTADOS!$1:$1,0))</f>
        <v>#N/A</v>
      </c>
      <c r="J41" s="196" t="e">
        <f t="shared" ca="1" si="4"/>
        <v>#N/A</v>
      </c>
      <c r="K41" s="196" t="e">
        <f t="shared" ca="1" si="4"/>
        <v>#N/A</v>
      </c>
      <c r="L41" s="196" t="e">
        <f t="shared" ca="1" si="4"/>
        <v>#N/A</v>
      </c>
      <c r="M41" s="30" t="e">
        <f t="shared" ca="1" si="5"/>
        <v>#N/A</v>
      </c>
      <c r="N41" s="195" t="e">
        <f t="shared" ca="1" si="6"/>
        <v>#N/A</v>
      </c>
      <c r="O41" s="195" t="e">
        <f t="shared" ca="1" si="7"/>
        <v>#N/A</v>
      </c>
      <c r="P41" s="194" t="e">
        <f ca="1">INDEX(RESULTADOS!$A:$BA,MATCH($A41,RESULTADOS!$A:$A,0),MATCH(P$1,RESULTADOS!$1:$1,0))</f>
        <v>#N/A</v>
      </c>
      <c r="Q41" s="196" t="e">
        <f t="shared" ca="1" si="13"/>
        <v>#N/A</v>
      </c>
      <c r="R41" s="196" t="e">
        <f t="shared" ca="1" si="13"/>
        <v>#N/A</v>
      </c>
      <c r="S41" s="196" t="e">
        <f t="shared" ca="1" si="13"/>
        <v>#N/A</v>
      </c>
      <c r="T41" s="195" t="e">
        <f t="shared" ca="1" si="11"/>
        <v>#N/A</v>
      </c>
      <c r="U41" s="195" t="e">
        <f t="shared" ca="1" si="9"/>
        <v>#N/A</v>
      </c>
    </row>
    <row r="42" spans="1:21" s="142" customFormat="1" x14ac:dyDescent="0.2">
      <c r="A42" s="193">
        <f t="shared" ca="1" si="12"/>
        <v>43841</v>
      </c>
      <c r="B42" s="68"/>
      <c r="C42" s="68"/>
      <c r="D42" s="33"/>
      <c r="E42" s="194" t="e">
        <f ca="1">INDEX(RESULTADOS!$A:$BA,MATCH($A42,RESULTADOS!$A:$A,0),MATCH(E$1,RESULTADOS!$1:$1,0))</f>
        <v>#N/A</v>
      </c>
      <c r="F42" s="194" t="e">
        <f ca="1">INDEX(RESULTADOS!$A:$BA,MATCH($A42,RESULTADOS!$A:$A,0),MATCH(F$1,RESULTADOS!$1:$1,0))</f>
        <v>#N/A</v>
      </c>
      <c r="G42" s="195" t="e">
        <f t="shared" ca="1" si="10"/>
        <v>#N/A</v>
      </c>
      <c r="H42" s="194" t="e">
        <f ca="1">INDEX(RESULTADOS!$A:$BA,MATCH($A42,RESULTADOS!$A:$A,0),MATCH(H$1,RESULTADOS!$1:$1,0))</f>
        <v>#N/A</v>
      </c>
      <c r="I42" s="194" t="e">
        <f ca="1">INDEX(RESULTADOS!$A:$BA,MATCH($A42,RESULTADOS!$A:$A,0),MATCH(I$1,RESULTADOS!$1:$1,0))</f>
        <v>#N/A</v>
      </c>
      <c r="J42" s="196" t="e">
        <f t="shared" ca="1" si="4"/>
        <v>#N/A</v>
      </c>
      <c r="K42" s="196" t="e">
        <f t="shared" ca="1" si="4"/>
        <v>#N/A</v>
      </c>
      <c r="L42" s="196" t="e">
        <f t="shared" ca="1" si="4"/>
        <v>#N/A</v>
      </c>
      <c r="M42" s="30" t="e">
        <f t="shared" ca="1" si="5"/>
        <v>#N/A</v>
      </c>
      <c r="N42" s="195" t="e">
        <f t="shared" ca="1" si="6"/>
        <v>#N/A</v>
      </c>
      <c r="O42" s="195" t="e">
        <f t="shared" ca="1" si="7"/>
        <v>#N/A</v>
      </c>
      <c r="P42" s="194" t="e">
        <f ca="1">INDEX(RESULTADOS!$A:$BA,MATCH($A42,RESULTADOS!$A:$A,0),MATCH(P$1,RESULTADOS!$1:$1,0))</f>
        <v>#N/A</v>
      </c>
      <c r="Q42" s="196" t="e">
        <f t="shared" ca="1" si="13"/>
        <v>#N/A</v>
      </c>
      <c r="R42" s="196" t="e">
        <f t="shared" ca="1" si="13"/>
        <v>#N/A</v>
      </c>
      <c r="S42" s="196" t="e">
        <f t="shared" ca="1" si="13"/>
        <v>#N/A</v>
      </c>
      <c r="T42" s="195" t="e">
        <f t="shared" ca="1" si="11"/>
        <v>#N/A</v>
      </c>
      <c r="U42" s="195" t="e">
        <f t="shared" ca="1" si="9"/>
        <v>#N/A</v>
      </c>
    </row>
    <row r="43" spans="1:21" s="142" customFormat="1" x14ac:dyDescent="0.2">
      <c r="A43" s="193">
        <f t="shared" ca="1" si="12"/>
        <v>43842</v>
      </c>
      <c r="B43" s="68"/>
      <c r="C43" s="68"/>
      <c r="D43" s="33"/>
      <c r="E43" s="194" t="e">
        <f ca="1">INDEX(RESULTADOS!$A:$BA,MATCH($A43,RESULTADOS!$A:$A,0),MATCH(E$1,RESULTADOS!$1:$1,0))</f>
        <v>#N/A</v>
      </c>
      <c r="F43" s="194" t="e">
        <f ca="1">INDEX(RESULTADOS!$A:$BA,MATCH($A43,RESULTADOS!$A:$A,0),MATCH(F$1,RESULTADOS!$1:$1,0))</f>
        <v>#N/A</v>
      </c>
      <c r="G43" s="195" t="e">
        <f t="shared" ca="1" si="10"/>
        <v>#N/A</v>
      </c>
      <c r="H43" s="194" t="e">
        <f ca="1">INDEX(RESULTADOS!$A:$BA,MATCH($A43,RESULTADOS!$A:$A,0),MATCH(H$1,RESULTADOS!$1:$1,0))</f>
        <v>#N/A</v>
      </c>
      <c r="I43" s="194" t="e">
        <f ca="1">INDEX(RESULTADOS!$A:$BA,MATCH($A43,RESULTADOS!$A:$A,0),MATCH(I$1,RESULTADOS!$1:$1,0))</f>
        <v>#N/A</v>
      </c>
      <c r="J43" s="196" t="e">
        <f t="shared" ca="1" si="4"/>
        <v>#N/A</v>
      </c>
      <c r="K43" s="196" t="e">
        <f t="shared" ca="1" si="4"/>
        <v>#N/A</v>
      </c>
      <c r="L43" s="196" t="e">
        <f t="shared" ca="1" si="4"/>
        <v>#N/A</v>
      </c>
      <c r="M43" s="30" t="e">
        <f t="shared" ca="1" si="5"/>
        <v>#N/A</v>
      </c>
      <c r="N43" s="195" t="e">
        <f t="shared" ca="1" si="6"/>
        <v>#N/A</v>
      </c>
      <c r="O43" s="195" t="e">
        <f t="shared" ca="1" si="7"/>
        <v>#N/A</v>
      </c>
      <c r="P43" s="194" t="e">
        <f ca="1">INDEX(RESULTADOS!$A:$BA,MATCH($A43,RESULTADOS!$A:$A,0),MATCH(P$1,RESULTADOS!$1:$1,0))</f>
        <v>#N/A</v>
      </c>
      <c r="Q43" s="196" t="e">
        <f t="shared" ca="1" si="13"/>
        <v>#N/A</v>
      </c>
      <c r="R43" s="196" t="e">
        <f t="shared" ca="1" si="13"/>
        <v>#N/A</v>
      </c>
      <c r="S43" s="196" t="e">
        <f t="shared" ca="1" si="13"/>
        <v>#N/A</v>
      </c>
      <c r="T43" s="195" t="e">
        <f t="shared" ca="1" si="11"/>
        <v>#N/A</v>
      </c>
      <c r="U43" s="195" t="e">
        <f t="shared" ca="1" si="9"/>
        <v>#N/A</v>
      </c>
    </row>
    <row r="44" spans="1:21" s="142" customFormat="1" x14ac:dyDescent="0.2">
      <c r="A44" s="193">
        <f t="shared" ca="1" si="12"/>
        <v>43843</v>
      </c>
      <c r="B44" s="68"/>
      <c r="C44" s="68"/>
      <c r="D44" s="33"/>
      <c r="E44" s="194" t="e">
        <f ca="1">INDEX(RESULTADOS!$A:$BA,MATCH($A44,RESULTADOS!$A:$A,0),MATCH(E$1,RESULTADOS!$1:$1,0))</f>
        <v>#N/A</v>
      </c>
      <c r="F44" s="194" t="e">
        <f ca="1">INDEX(RESULTADOS!$A:$BA,MATCH($A44,RESULTADOS!$A:$A,0),MATCH(F$1,RESULTADOS!$1:$1,0))</f>
        <v>#N/A</v>
      </c>
      <c r="G44" s="195" t="e">
        <f t="shared" ca="1" si="10"/>
        <v>#N/A</v>
      </c>
      <c r="H44" s="194" t="e">
        <f ca="1">INDEX(RESULTADOS!$A:$BA,MATCH($A44,RESULTADOS!$A:$A,0),MATCH(H$1,RESULTADOS!$1:$1,0))</f>
        <v>#N/A</v>
      </c>
      <c r="I44" s="194" t="e">
        <f ca="1">INDEX(RESULTADOS!$A:$BA,MATCH($A44,RESULTADOS!$A:$A,0),MATCH(I$1,RESULTADOS!$1:$1,0))</f>
        <v>#N/A</v>
      </c>
      <c r="J44" s="196" t="e">
        <f t="shared" ca="1" si="4"/>
        <v>#N/A</v>
      </c>
      <c r="K44" s="196" t="e">
        <f t="shared" ca="1" si="4"/>
        <v>#N/A</v>
      </c>
      <c r="L44" s="196" t="e">
        <f t="shared" ca="1" si="4"/>
        <v>#N/A</v>
      </c>
      <c r="M44" s="30" t="e">
        <f t="shared" ca="1" si="5"/>
        <v>#N/A</v>
      </c>
      <c r="N44" s="195" t="e">
        <f t="shared" ca="1" si="6"/>
        <v>#N/A</v>
      </c>
      <c r="O44" s="195" t="e">
        <f t="shared" ca="1" si="7"/>
        <v>#N/A</v>
      </c>
      <c r="P44" s="194" t="e">
        <f ca="1">INDEX(RESULTADOS!$A:$BA,MATCH($A44,RESULTADOS!$A:$A,0),MATCH(P$1,RESULTADOS!$1:$1,0))</f>
        <v>#N/A</v>
      </c>
      <c r="Q44" s="196" t="e">
        <f t="shared" ca="1" si="13"/>
        <v>#N/A</v>
      </c>
      <c r="R44" s="196" t="e">
        <f t="shared" ca="1" si="13"/>
        <v>#N/A</v>
      </c>
      <c r="S44" s="196" t="e">
        <f t="shared" ca="1" si="13"/>
        <v>#N/A</v>
      </c>
      <c r="T44" s="195" t="e">
        <f t="shared" ca="1" si="11"/>
        <v>#N/A</v>
      </c>
      <c r="U44" s="195" t="e">
        <f t="shared" ca="1" si="9"/>
        <v>#N/A</v>
      </c>
    </row>
    <row r="45" spans="1:21" s="142" customFormat="1" x14ac:dyDescent="0.2">
      <c r="A45" s="193">
        <f t="shared" ca="1" si="12"/>
        <v>43844</v>
      </c>
      <c r="B45" s="68"/>
      <c r="C45" s="68"/>
      <c r="D45" s="33"/>
      <c r="E45" s="194" t="e">
        <f ca="1">INDEX(RESULTADOS!$A:$BA,MATCH($A45,RESULTADOS!$A:$A,0),MATCH(E$1,RESULTADOS!$1:$1,0))</f>
        <v>#N/A</v>
      </c>
      <c r="F45" s="194" t="e">
        <f ca="1">INDEX(RESULTADOS!$A:$BA,MATCH($A45,RESULTADOS!$A:$A,0),MATCH(F$1,RESULTADOS!$1:$1,0))</f>
        <v>#N/A</v>
      </c>
      <c r="G45" s="195" t="e">
        <f t="shared" ca="1" si="10"/>
        <v>#N/A</v>
      </c>
      <c r="H45" s="194" t="e">
        <f ca="1">INDEX(RESULTADOS!$A:$BA,MATCH($A45,RESULTADOS!$A:$A,0),MATCH(H$1,RESULTADOS!$1:$1,0))</f>
        <v>#N/A</v>
      </c>
      <c r="I45" s="194" t="e">
        <f ca="1">INDEX(RESULTADOS!$A:$BA,MATCH($A45,RESULTADOS!$A:$A,0),MATCH(I$1,RESULTADOS!$1:$1,0))</f>
        <v>#N/A</v>
      </c>
      <c r="J45" s="196" t="e">
        <f t="shared" ca="1" si="4"/>
        <v>#N/A</v>
      </c>
      <c r="K45" s="196" t="e">
        <f t="shared" ca="1" si="4"/>
        <v>#N/A</v>
      </c>
      <c r="L45" s="196" t="e">
        <f t="shared" ca="1" si="4"/>
        <v>#N/A</v>
      </c>
      <c r="M45" s="30" t="e">
        <f t="shared" ca="1" si="5"/>
        <v>#N/A</v>
      </c>
      <c r="N45" s="195" t="e">
        <f t="shared" ca="1" si="6"/>
        <v>#N/A</v>
      </c>
      <c r="O45" s="195" t="e">
        <f t="shared" ca="1" si="7"/>
        <v>#N/A</v>
      </c>
      <c r="P45" s="194" t="e">
        <f ca="1">INDEX(RESULTADOS!$A:$BA,MATCH($A45,RESULTADOS!$A:$A,0),MATCH(P$1,RESULTADOS!$1:$1,0))</f>
        <v>#N/A</v>
      </c>
      <c r="Q45" s="196" t="e">
        <f t="shared" ca="1" si="13"/>
        <v>#N/A</v>
      </c>
      <c r="R45" s="196" t="e">
        <f t="shared" ca="1" si="13"/>
        <v>#N/A</v>
      </c>
      <c r="S45" s="196" t="e">
        <f t="shared" ca="1" si="13"/>
        <v>#N/A</v>
      </c>
      <c r="T45" s="195" t="e">
        <f t="shared" ca="1" si="11"/>
        <v>#N/A</v>
      </c>
      <c r="U45" s="195" t="e">
        <f t="shared" ca="1" si="9"/>
        <v>#N/A</v>
      </c>
    </row>
    <row r="46" spans="1:21" s="95" customFormat="1" x14ac:dyDescent="0.2">
      <c r="A46" s="197">
        <f t="shared" ca="1" si="12"/>
        <v>43845</v>
      </c>
      <c r="B46" s="92"/>
      <c r="C46" s="92"/>
      <c r="D46" s="93"/>
      <c r="E46" s="198" t="e">
        <f ca="1">INDEX(RESULTADOS!$A:$BA,MATCH($A46,RESULTADOS!$A:$A,0),MATCH(E$1,RESULTADOS!$1:$1,0))</f>
        <v>#N/A</v>
      </c>
      <c r="F46" s="198" t="e">
        <f ca="1">INDEX(RESULTADOS!$A:$BA,MATCH($A46,RESULTADOS!$A:$A,0),MATCH(F$1,RESULTADOS!$1:$1,0))</f>
        <v>#N/A</v>
      </c>
      <c r="G46" s="199" t="e">
        <f t="shared" ca="1" si="10"/>
        <v>#N/A</v>
      </c>
      <c r="H46" s="198" t="e">
        <f ca="1">INDEX(RESULTADOS!$A:$BA,MATCH($A46,RESULTADOS!$A:$A,0),MATCH(H$1,RESULTADOS!$1:$1,0))</f>
        <v>#N/A</v>
      </c>
      <c r="I46" s="198" t="e">
        <f ca="1">INDEX(RESULTADOS!$A:$BA,MATCH($A46,RESULTADOS!$A:$A,0),MATCH(I$1,RESULTADOS!$1:$1,0))</f>
        <v>#N/A</v>
      </c>
      <c r="J46" s="200" t="e">
        <f t="shared" ca="1" si="4"/>
        <v>#N/A</v>
      </c>
      <c r="K46" s="200" t="e">
        <f t="shared" ca="1" si="4"/>
        <v>#N/A</v>
      </c>
      <c r="L46" s="200" t="e">
        <f t="shared" ca="1" si="4"/>
        <v>#N/A</v>
      </c>
      <c r="M46" s="30" t="e">
        <f t="shared" ca="1" si="5"/>
        <v>#N/A</v>
      </c>
      <c r="N46" s="199" t="e">
        <f t="shared" ca="1" si="6"/>
        <v>#N/A</v>
      </c>
      <c r="O46" s="199" t="e">
        <f t="shared" ca="1" si="7"/>
        <v>#N/A</v>
      </c>
      <c r="P46" s="198" t="e">
        <f ca="1">INDEX(RESULTADOS!$A:$BA,MATCH($A46,RESULTADOS!$A:$A,0),MATCH(P$1,RESULTADOS!$1:$1,0))</f>
        <v>#N/A</v>
      </c>
      <c r="Q46" s="200" t="e">
        <f t="shared" ca="1" si="13"/>
        <v>#N/A</v>
      </c>
      <c r="R46" s="200" t="e">
        <f t="shared" ca="1" si="13"/>
        <v>#N/A</v>
      </c>
      <c r="S46" s="200" t="e">
        <f t="shared" ca="1" si="13"/>
        <v>#N/A</v>
      </c>
      <c r="T46" s="199" t="e">
        <f t="shared" ca="1" si="11"/>
        <v>#N/A</v>
      </c>
      <c r="U46" s="199" t="e">
        <f t="shared" ca="1" si="9"/>
        <v>#N/A</v>
      </c>
    </row>
    <row r="47" spans="1:21" x14ac:dyDescent="0.2">
      <c r="A47" s="188">
        <f t="shared" ca="1" si="12"/>
        <v>43846</v>
      </c>
      <c r="B47" s="68"/>
      <c r="C47" s="68"/>
      <c r="D47" s="33"/>
      <c r="E47" s="67" t="e">
        <f ca="1">INDEX(RESULTADOS!$A:$BA,MATCH($A47,RESULTADOS!$A:$A,0),MATCH(E$1,RESULTADOS!$1:$1,0))</f>
        <v>#N/A</v>
      </c>
      <c r="F47" s="67" t="e">
        <f ca="1">INDEX(RESULTADOS!$A:$BA,MATCH($A47,RESULTADOS!$A:$A,0),MATCH(F$1,RESULTADOS!$1:$1,0))</f>
        <v>#N/A</v>
      </c>
      <c r="G47" s="30" t="e">
        <f t="shared" ca="1" si="10"/>
        <v>#N/A</v>
      </c>
      <c r="H47" s="67" t="e">
        <f ca="1">INDEX(RESULTADOS!$A:$BA,MATCH($A47,RESULTADOS!$A:$A,0),MATCH(H$1,RESULTADOS!$1:$1,0))</f>
        <v>#N/A</v>
      </c>
      <c r="I47" s="67" t="e">
        <f ca="1">INDEX(RESULTADOS!$A:$BA,MATCH($A47,RESULTADOS!$A:$A,0),MATCH(I$1,RESULTADOS!$1:$1,0))</f>
        <v>#N/A</v>
      </c>
      <c r="J47" s="178" t="e">
        <f t="shared" ref="J47:L66" ca="1" si="14">$I47*J$4</f>
        <v>#N/A</v>
      </c>
      <c r="K47" s="178" t="e">
        <f t="shared" ca="1" si="14"/>
        <v>#N/A</v>
      </c>
      <c r="L47" s="178" t="e">
        <f t="shared" ca="1" si="14"/>
        <v>#N/A</v>
      </c>
      <c r="M47" s="30" t="e">
        <f t="shared" ca="1" si="5"/>
        <v>#N/A</v>
      </c>
      <c r="N47" s="30" t="e">
        <f t="shared" ca="1" si="6"/>
        <v>#N/A</v>
      </c>
      <c r="O47" s="30" t="e">
        <f t="shared" ca="1" si="7"/>
        <v>#N/A</v>
      </c>
      <c r="P47" s="67" t="e">
        <f ca="1">INDEX(RESULTADOS!$A:$BA,MATCH($A47,RESULTADOS!$A:$A,0),MATCH(P$1,RESULTADOS!$1:$1,0))</f>
        <v>#N/A</v>
      </c>
      <c r="Q47" s="178" t="e">
        <f t="shared" ca="1" si="13"/>
        <v>#N/A</v>
      </c>
      <c r="R47" s="178" t="e">
        <f t="shared" ca="1" si="13"/>
        <v>#N/A</v>
      </c>
      <c r="S47" s="178" t="e">
        <f t="shared" ca="1" si="13"/>
        <v>#N/A</v>
      </c>
      <c r="T47" s="30" t="e">
        <f t="shared" ca="1" si="11"/>
        <v>#N/A</v>
      </c>
      <c r="U47" s="30" t="e">
        <f t="shared" ca="1" si="9"/>
        <v>#N/A</v>
      </c>
    </row>
    <row r="48" spans="1:21" x14ac:dyDescent="0.2">
      <c r="A48" s="49">
        <f t="shared" ca="1" si="12"/>
        <v>43847</v>
      </c>
      <c r="B48" s="53"/>
      <c r="C48" s="53"/>
      <c r="D48" s="52"/>
      <c r="E48" s="67" t="e">
        <f ca="1">INDEX(RESULTADOS!$A:$BA,MATCH($A48,RESULTADOS!$A:$A,0),MATCH(E$1,RESULTADOS!$1:$1,0))</f>
        <v>#N/A</v>
      </c>
      <c r="F48" s="67" t="e">
        <f ca="1">INDEX(RESULTADOS!$A:$BA,MATCH($A48,RESULTADOS!$A:$A,0),MATCH(F$1,RESULTADOS!$1:$1,0))</f>
        <v>#N/A</v>
      </c>
      <c r="G48" s="30" t="e">
        <f t="shared" ca="1" si="10"/>
        <v>#N/A</v>
      </c>
      <c r="H48" s="67" t="e">
        <f ca="1">INDEX(RESULTADOS!$A:$BA,MATCH($A48,RESULTADOS!$A:$A,0),MATCH(H$1,RESULTADOS!$1:$1,0))</f>
        <v>#N/A</v>
      </c>
      <c r="I48" s="67" t="e">
        <f ca="1">INDEX(RESULTADOS!$A:$BA,MATCH($A48,RESULTADOS!$A:$A,0),MATCH(I$1,RESULTADOS!$1:$1,0))</f>
        <v>#N/A</v>
      </c>
      <c r="J48" s="178" t="e">
        <f t="shared" ca="1" si="14"/>
        <v>#N/A</v>
      </c>
      <c r="K48" s="178" t="e">
        <f t="shared" ca="1" si="14"/>
        <v>#N/A</v>
      </c>
      <c r="L48" s="178" t="e">
        <f t="shared" ca="1" si="14"/>
        <v>#N/A</v>
      </c>
      <c r="M48" s="30" t="e">
        <f t="shared" ca="1" si="5"/>
        <v>#N/A</v>
      </c>
      <c r="N48" s="30" t="e">
        <f t="shared" ca="1" si="6"/>
        <v>#N/A</v>
      </c>
      <c r="O48" s="30" t="e">
        <f t="shared" ca="1" si="7"/>
        <v>#N/A</v>
      </c>
      <c r="P48" s="67" t="e">
        <f ca="1">INDEX(RESULTADOS!$A:$BA,MATCH($A48,RESULTADOS!$A:$A,0),MATCH(P$1,RESULTADOS!$1:$1,0))</f>
        <v>#N/A</v>
      </c>
      <c r="Q48" s="178" t="e">
        <f t="shared" ca="1" si="13"/>
        <v>#N/A</v>
      </c>
      <c r="R48" s="178" t="e">
        <f t="shared" ca="1" si="13"/>
        <v>#N/A</v>
      </c>
      <c r="S48" s="178" t="e">
        <f t="shared" ca="1" si="13"/>
        <v>#N/A</v>
      </c>
      <c r="T48" s="30" t="e">
        <f t="shared" ca="1" si="11"/>
        <v>#N/A</v>
      </c>
      <c r="U48" s="30" t="e">
        <f t="shared" ca="1" si="9"/>
        <v>#N/A</v>
      </c>
    </row>
    <row r="49" spans="1:21" x14ac:dyDescent="0.2">
      <c r="A49" s="49">
        <f t="shared" ca="1" si="12"/>
        <v>43848</v>
      </c>
      <c r="B49" s="53"/>
      <c r="C49" s="53"/>
      <c r="D49" s="52"/>
      <c r="E49" s="67" t="e">
        <f ca="1">INDEX(RESULTADOS!$A:$BA,MATCH($A49,RESULTADOS!$A:$A,0),MATCH(E$1,RESULTADOS!$1:$1,0))</f>
        <v>#N/A</v>
      </c>
      <c r="F49" s="67" t="e">
        <f ca="1">INDEX(RESULTADOS!$A:$BA,MATCH($A49,RESULTADOS!$A:$A,0),MATCH(F$1,RESULTADOS!$1:$1,0))</f>
        <v>#N/A</v>
      </c>
      <c r="G49" s="30" t="e">
        <f t="shared" ca="1" si="10"/>
        <v>#N/A</v>
      </c>
      <c r="H49" s="67" t="e">
        <f ca="1">INDEX(RESULTADOS!$A:$BA,MATCH($A49,RESULTADOS!$A:$A,0),MATCH(H$1,RESULTADOS!$1:$1,0))</f>
        <v>#N/A</v>
      </c>
      <c r="I49" s="67" t="e">
        <f ca="1">INDEX(RESULTADOS!$A:$BA,MATCH($A49,RESULTADOS!$A:$A,0),MATCH(I$1,RESULTADOS!$1:$1,0))</f>
        <v>#N/A</v>
      </c>
      <c r="J49" s="178" t="e">
        <f t="shared" ca="1" si="14"/>
        <v>#N/A</v>
      </c>
      <c r="K49" s="178" t="e">
        <f t="shared" ca="1" si="14"/>
        <v>#N/A</v>
      </c>
      <c r="L49" s="178" t="e">
        <f t="shared" ca="1" si="14"/>
        <v>#N/A</v>
      </c>
      <c r="M49" s="30" t="e">
        <f t="shared" ca="1" si="5"/>
        <v>#N/A</v>
      </c>
      <c r="N49" s="30" t="e">
        <f t="shared" ca="1" si="6"/>
        <v>#N/A</v>
      </c>
      <c r="O49" s="30" t="e">
        <f t="shared" ca="1" si="7"/>
        <v>#N/A</v>
      </c>
      <c r="P49" s="67" t="e">
        <f ca="1">INDEX(RESULTADOS!$A:$BA,MATCH($A49,RESULTADOS!$A:$A,0),MATCH(P$1,RESULTADOS!$1:$1,0))</f>
        <v>#N/A</v>
      </c>
      <c r="Q49" s="178" t="e">
        <f t="shared" ca="1" si="13"/>
        <v>#N/A</v>
      </c>
      <c r="R49" s="178" t="e">
        <f t="shared" ca="1" si="13"/>
        <v>#N/A</v>
      </c>
      <c r="S49" s="178" t="e">
        <f t="shared" ca="1" si="13"/>
        <v>#N/A</v>
      </c>
      <c r="T49" s="30" t="e">
        <f t="shared" ca="1" si="11"/>
        <v>#N/A</v>
      </c>
      <c r="U49" s="30" t="e">
        <f t="shared" ca="1" si="9"/>
        <v>#N/A</v>
      </c>
    </row>
    <row r="50" spans="1:21" x14ac:dyDescent="0.2">
      <c r="A50" s="49">
        <f t="shared" ca="1" si="12"/>
        <v>43849</v>
      </c>
      <c r="B50" s="53"/>
      <c r="C50" s="53"/>
      <c r="D50" s="52"/>
      <c r="E50" s="67" t="e">
        <f ca="1">INDEX(RESULTADOS!$A:$BA,MATCH($A50,RESULTADOS!$A:$A,0),MATCH(E$1,RESULTADOS!$1:$1,0))</f>
        <v>#N/A</v>
      </c>
      <c r="F50" s="67" t="e">
        <f ca="1">INDEX(RESULTADOS!$A:$BA,MATCH($A50,RESULTADOS!$A:$A,0),MATCH(F$1,RESULTADOS!$1:$1,0))</f>
        <v>#N/A</v>
      </c>
      <c r="G50" s="30" t="e">
        <f t="shared" ca="1" si="10"/>
        <v>#N/A</v>
      </c>
      <c r="H50" s="67" t="e">
        <f ca="1">INDEX(RESULTADOS!$A:$BA,MATCH($A50,RESULTADOS!$A:$A,0),MATCH(H$1,RESULTADOS!$1:$1,0))</f>
        <v>#N/A</v>
      </c>
      <c r="I50" s="67" t="e">
        <f ca="1">INDEX(RESULTADOS!$A:$BA,MATCH($A50,RESULTADOS!$A:$A,0),MATCH(I$1,RESULTADOS!$1:$1,0))</f>
        <v>#N/A</v>
      </c>
      <c r="J50" s="178" t="e">
        <f t="shared" ca="1" si="14"/>
        <v>#N/A</v>
      </c>
      <c r="K50" s="178" t="e">
        <f t="shared" ca="1" si="14"/>
        <v>#N/A</v>
      </c>
      <c r="L50" s="178" t="e">
        <f t="shared" ca="1" si="14"/>
        <v>#N/A</v>
      </c>
      <c r="M50" s="30" t="e">
        <f t="shared" ca="1" si="5"/>
        <v>#N/A</v>
      </c>
      <c r="N50" s="30" t="e">
        <f t="shared" ca="1" si="6"/>
        <v>#N/A</v>
      </c>
      <c r="O50" s="30" t="e">
        <f t="shared" ca="1" si="7"/>
        <v>#N/A</v>
      </c>
      <c r="P50" s="67" t="e">
        <f ca="1">INDEX(RESULTADOS!$A:$BA,MATCH($A50,RESULTADOS!$A:$A,0),MATCH(P$1,RESULTADOS!$1:$1,0))</f>
        <v>#N/A</v>
      </c>
      <c r="Q50" s="178" t="e">
        <f t="shared" ca="1" si="13"/>
        <v>#N/A</v>
      </c>
      <c r="R50" s="178" t="e">
        <f t="shared" ca="1" si="13"/>
        <v>#N/A</v>
      </c>
      <c r="S50" s="178" t="e">
        <f t="shared" ca="1" si="13"/>
        <v>#N/A</v>
      </c>
      <c r="T50" s="30" t="e">
        <f t="shared" ca="1" si="11"/>
        <v>#N/A</v>
      </c>
      <c r="U50" s="30" t="e">
        <f t="shared" ca="1" si="9"/>
        <v>#N/A</v>
      </c>
    </row>
    <row r="51" spans="1:21" x14ac:dyDescent="0.2">
      <c r="A51" s="49">
        <f t="shared" ca="1" si="12"/>
        <v>43850</v>
      </c>
      <c r="B51" s="72"/>
      <c r="C51" s="72"/>
      <c r="D51" s="72"/>
      <c r="E51" s="67" t="e">
        <f ca="1">INDEX(RESULTADOS!$A:$BA,MATCH($A51,RESULTADOS!$A:$A,0),MATCH(E$1,RESULTADOS!$1:$1,0))</f>
        <v>#N/A</v>
      </c>
      <c r="F51" s="67" t="e">
        <f ca="1">INDEX(RESULTADOS!$A:$BA,MATCH($A51,RESULTADOS!$A:$A,0),MATCH(F$1,RESULTADOS!$1:$1,0))</f>
        <v>#N/A</v>
      </c>
      <c r="G51" s="30" t="e">
        <f t="shared" ca="1" si="10"/>
        <v>#N/A</v>
      </c>
      <c r="H51" s="67" t="e">
        <f ca="1">INDEX(RESULTADOS!$A:$BA,MATCH($A51,RESULTADOS!$A:$A,0),MATCH(H$1,RESULTADOS!$1:$1,0))</f>
        <v>#N/A</v>
      </c>
      <c r="I51" s="67" t="e">
        <f ca="1">INDEX(RESULTADOS!$A:$BA,MATCH($A51,RESULTADOS!$A:$A,0),MATCH(I$1,RESULTADOS!$1:$1,0))</f>
        <v>#N/A</v>
      </c>
      <c r="J51" s="178" t="e">
        <f t="shared" ca="1" si="14"/>
        <v>#N/A</v>
      </c>
      <c r="K51" s="178" t="e">
        <f t="shared" ca="1" si="14"/>
        <v>#N/A</v>
      </c>
      <c r="L51" s="178" t="e">
        <f t="shared" ca="1" si="14"/>
        <v>#N/A</v>
      </c>
      <c r="M51" s="30" t="e">
        <f t="shared" ca="1" si="5"/>
        <v>#N/A</v>
      </c>
      <c r="N51" s="30" t="e">
        <f t="shared" ca="1" si="6"/>
        <v>#N/A</v>
      </c>
      <c r="O51" s="30" t="e">
        <f t="shared" ca="1" si="7"/>
        <v>#N/A</v>
      </c>
      <c r="P51" s="67" t="e">
        <f ca="1">INDEX(RESULTADOS!$A:$BA,MATCH($A51,RESULTADOS!$A:$A,0),MATCH(P$1,RESULTADOS!$1:$1,0))</f>
        <v>#N/A</v>
      </c>
      <c r="Q51" s="178" t="e">
        <f t="shared" ca="1" si="13"/>
        <v>#N/A</v>
      </c>
      <c r="R51" s="178" t="e">
        <f t="shared" ca="1" si="13"/>
        <v>#N/A</v>
      </c>
      <c r="S51" s="178" t="e">
        <f t="shared" ca="1" si="13"/>
        <v>#N/A</v>
      </c>
      <c r="T51" s="30" t="e">
        <f t="shared" ca="1" si="11"/>
        <v>#N/A</v>
      </c>
      <c r="U51" s="30" t="e">
        <f t="shared" ca="1" si="9"/>
        <v>#N/A</v>
      </c>
    </row>
    <row r="52" spans="1:21" x14ac:dyDescent="0.2">
      <c r="A52" s="49">
        <f t="shared" ca="1" si="12"/>
        <v>43851</v>
      </c>
      <c r="B52" s="53"/>
      <c r="C52" s="53"/>
      <c r="D52" s="52"/>
      <c r="E52" s="67" t="e">
        <f ca="1">INDEX(RESULTADOS!$A:$BA,MATCH($A52,RESULTADOS!$A:$A,0),MATCH(E$1,RESULTADOS!$1:$1,0))</f>
        <v>#N/A</v>
      </c>
      <c r="F52" s="67" t="e">
        <f ca="1">INDEX(RESULTADOS!$A:$BA,MATCH($A52,RESULTADOS!$A:$A,0),MATCH(F$1,RESULTADOS!$1:$1,0))</f>
        <v>#N/A</v>
      </c>
      <c r="G52" s="30" t="e">
        <f t="shared" ca="1" si="10"/>
        <v>#N/A</v>
      </c>
      <c r="H52" s="67" t="e">
        <f ca="1">INDEX(RESULTADOS!$A:$BA,MATCH($A52,RESULTADOS!$A:$A,0),MATCH(H$1,RESULTADOS!$1:$1,0))</f>
        <v>#N/A</v>
      </c>
      <c r="I52" s="67" t="e">
        <f ca="1">INDEX(RESULTADOS!$A:$BA,MATCH($A52,RESULTADOS!$A:$A,0),MATCH(I$1,RESULTADOS!$1:$1,0))</f>
        <v>#N/A</v>
      </c>
      <c r="J52" s="178" t="e">
        <f t="shared" ca="1" si="14"/>
        <v>#N/A</v>
      </c>
      <c r="K52" s="178" t="e">
        <f t="shared" ca="1" si="14"/>
        <v>#N/A</v>
      </c>
      <c r="L52" s="178" t="e">
        <f t="shared" ca="1" si="14"/>
        <v>#N/A</v>
      </c>
      <c r="M52" s="30" t="e">
        <f t="shared" ca="1" si="5"/>
        <v>#N/A</v>
      </c>
      <c r="N52" s="30" t="e">
        <f t="shared" ca="1" si="6"/>
        <v>#N/A</v>
      </c>
      <c r="O52" s="30" t="e">
        <f t="shared" ca="1" si="7"/>
        <v>#N/A</v>
      </c>
      <c r="P52" s="67" t="e">
        <f ca="1">INDEX(RESULTADOS!$A:$BA,MATCH($A52,RESULTADOS!$A:$A,0),MATCH(P$1,RESULTADOS!$1:$1,0))</f>
        <v>#N/A</v>
      </c>
      <c r="Q52" s="178" t="e">
        <f t="shared" ca="1" si="13"/>
        <v>#N/A</v>
      </c>
      <c r="R52" s="178" t="e">
        <f t="shared" ca="1" si="13"/>
        <v>#N/A</v>
      </c>
      <c r="S52" s="178" t="e">
        <f t="shared" ca="1" si="13"/>
        <v>#N/A</v>
      </c>
      <c r="T52" s="30" t="e">
        <f t="shared" ca="1" si="11"/>
        <v>#N/A</v>
      </c>
      <c r="U52" s="30" t="e">
        <f t="shared" ca="1" si="9"/>
        <v>#N/A</v>
      </c>
    </row>
    <row r="53" spans="1:21" x14ac:dyDescent="0.2">
      <c r="A53" s="49">
        <f t="shared" ca="1" si="12"/>
        <v>43852</v>
      </c>
      <c r="B53" s="53"/>
      <c r="C53" s="53"/>
      <c r="D53" s="52"/>
      <c r="E53" s="67" t="e">
        <f ca="1">INDEX(RESULTADOS!$A:$BA,MATCH($A53,RESULTADOS!$A:$A,0),MATCH(E$1,RESULTADOS!$1:$1,0))</f>
        <v>#N/A</v>
      </c>
      <c r="F53" s="67" t="e">
        <f ca="1">INDEX(RESULTADOS!$A:$BA,MATCH($A53,RESULTADOS!$A:$A,0),MATCH(F$1,RESULTADOS!$1:$1,0))</f>
        <v>#N/A</v>
      </c>
      <c r="G53" s="30" t="e">
        <f t="shared" ca="1" si="10"/>
        <v>#N/A</v>
      </c>
      <c r="H53" s="67" t="e">
        <f ca="1">INDEX(RESULTADOS!$A:$BA,MATCH($A53,RESULTADOS!$A:$A,0),MATCH(H$1,RESULTADOS!$1:$1,0))</f>
        <v>#N/A</v>
      </c>
      <c r="I53" s="67" t="e">
        <f ca="1">INDEX(RESULTADOS!$A:$BA,MATCH($A53,RESULTADOS!$A:$A,0),MATCH(I$1,RESULTADOS!$1:$1,0))</f>
        <v>#N/A</v>
      </c>
      <c r="J53" s="178" t="e">
        <f t="shared" ca="1" si="14"/>
        <v>#N/A</v>
      </c>
      <c r="K53" s="178" t="e">
        <f t="shared" ca="1" si="14"/>
        <v>#N/A</v>
      </c>
      <c r="L53" s="178" t="e">
        <f t="shared" ca="1" si="14"/>
        <v>#N/A</v>
      </c>
      <c r="M53" s="30" t="e">
        <f t="shared" ca="1" si="5"/>
        <v>#N/A</v>
      </c>
      <c r="N53" s="30" t="e">
        <f t="shared" ca="1" si="6"/>
        <v>#N/A</v>
      </c>
      <c r="O53" s="30" t="e">
        <f t="shared" ca="1" si="7"/>
        <v>#N/A</v>
      </c>
      <c r="P53" s="67" t="e">
        <f ca="1">INDEX(RESULTADOS!$A:$BA,MATCH($A53,RESULTADOS!$A:$A,0),MATCH(P$1,RESULTADOS!$1:$1,0))</f>
        <v>#N/A</v>
      </c>
      <c r="Q53" s="178" t="e">
        <f t="shared" ca="1" si="13"/>
        <v>#N/A</v>
      </c>
      <c r="R53" s="178" t="e">
        <f t="shared" ca="1" si="13"/>
        <v>#N/A</v>
      </c>
      <c r="S53" s="178" t="e">
        <f t="shared" ca="1" si="13"/>
        <v>#N/A</v>
      </c>
      <c r="T53" s="30" t="e">
        <f t="shared" ca="1" si="11"/>
        <v>#N/A</v>
      </c>
      <c r="U53" s="30" t="e">
        <f t="shared" ca="1" si="9"/>
        <v>#N/A</v>
      </c>
    </row>
    <row r="54" spans="1:21" x14ac:dyDescent="0.2">
      <c r="A54" s="82">
        <f t="shared" ca="1" si="12"/>
        <v>43853</v>
      </c>
      <c r="B54" s="89"/>
      <c r="C54" s="89"/>
      <c r="D54" s="89"/>
      <c r="E54" s="67" t="e">
        <f ca="1">INDEX(RESULTADOS!$A:$BA,MATCH($A54,RESULTADOS!$A:$A,0),MATCH(E$1,RESULTADOS!$1:$1,0))</f>
        <v>#N/A</v>
      </c>
      <c r="F54" s="67" t="e">
        <f ca="1">INDEX(RESULTADOS!$A:$BA,MATCH($A54,RESULTADOS!$A:$A,0),MATCH(F$1,RESULTADOS!$1:$1,0))</f>
        <v>#N/A</v>
      </c>
      <c r="G54" s="30" t="e">
        <f t="shared" ca="1" si="10"/>
        <v>#N/A</v>
      </c>
      <c r="H54" s="67" t="e">
        <f ca="1">INDEX(RESULTADOS!$A:$BA,MATCH($A54,RESULTADOS!$A:$A,0),MATCH(H$1,RESULTADOS!$1:$1,0))</f>
        <v>#N/A</v>
      </c>
      <c r="I54" s="67" t="e">
        <f ca="1">INDEX(RESULTADOS!$A:$BA,MATCH($A54,RESULTADOS!$A:$A,0),MATCH(I$1,RESULTADOS!$1:$1,0))</f>
        <v>#N/A</v>
      </c>
      <c r="J54" s="178" t="e">
        <f t="shared" ca="1" si="14"/>
        <v>#N/A</v>
      </c>
      <c r="K54" s="178" t="e">
        <f t="shared" ca="1" si="14"/>
        <v>#N/A</v>
      </c>
      <c r="L54" s="178" t="e">
        <f t="shared" ca="1" si="14"/>
        <v>#N/A</v>
      </c>
      <c r="M54" s="30" t="e">
        <f t="shared" ca="1" si="5"/>
        <v>#N/A</v>
      </c>
      <c r="N54" s="30" t="e">
        <f t="shared" ca="1" si="6"/>
        <v>#N/A</v>
      </c>
      <c r="O54" s="30" t="e">
        <f t="shared" ca="1" si="7"/>
        <v>#N/A</v>
      </c>
      <c r="P54" s="67" t="e">
        <f ca="1">INDEX(RESULTADOS!$A:$BA,MATCH($A54,RESULTADOS!$A:$A,0),MATCH(P$1,RESULTADOS!$1:$1,0))</f>
        <v>#N/A</v>
      </c>
      <c r="Q54" s="178" t="e">
        <f t="shared" ca="1" si="13"/>
        <v>#N/A</v>
      </c>
      <c r="R54" s="178" t="e">
        <f t="shared" ca="1" si="13"/>
        <v>#N/A</v>
      </c>
      <c r="S54" s="178" t="e">
        <f t="shared" ca="1" si="13"/>
        <v>#N/A</v>
      </c>
      <c r="T54" s="30" t="e">
        <f t="shared" ca="1" si="11"/>
        <v>#N/A</v>
      </c>
      <c r="U54" s="30" t="e">
        <f t="shared" ca="1" si="9"/>
        <v>#N/A</v>
      </c>
    </row>
    <row r="55" spans="1:21" x14ac:dyDescent="0.2">
      <c r="A55" s="49">
        <f t="shared" ca="1" si="12"/>
        <v>43854</v>
      </c>
      <c r="B55" s="53"/>
      <c r="C55" s="53"/>
      <c r="D55" s="52"/>
      <c r="E55" s="67" t="e">
        <f ca="1">INDEX(RESULTADOS!$A:$BA,MATCH($A55,RESULTADOS!$A:$A,0),MATCH(E$1,RESULTADOS!$1:$1,0))</f>
        <v>#N/A</v>
      </c>
      <c r="F55" s="67" t="e">
        <f ca="1">INDEX(RESULTADOS!$A:$BA,MATCH($A55,RESULTADOS!$A:$A,0),MATCH(F$1,RESULTADOS!$1:$1,0))</f>
        <v>#N/A</v>
      </c>
      <c r="G55" s="30" t="e">
        <f t="shared" ca="1" si="10"/>
        <v>#N/A</v>
      </c>
      <c r="H55" s="67" t="e">
        <f ca="1">INDEX(RESULTADOS!$A:$BA,MATCH($A55,RESULTADOS!$A:$A,0),MATCH(H$1,RESULTADOS!$1:$1,0))</f>
        <v>#N/A</v>
      </c>
      <c r="I55" s="67" t="e">
        <f ca="1">INDEX(RESULTADOS!$A:$BA,MATCH($A55,RESULTADOS!$A:$A,0),MATCH(I$1,RESULTADOS!$1:$1,0))</f>
        <v>#N/A</v>
      </c>
      <c r="J55" s="178" t="e">
        <f t="shared" ca="1" si="14"/>
        <v>#N/A</v>
      </c>
      <c r="K55" s="178" t="e">
        <f t="shared" ca="1" si="14"/>
        <v>#N/A</v>
      </c>
      <c r="L55" s="178" t="e">
        <f t="shared" ca="1" si="14"/>
        <v>#N/A</v>
      </c>
      <c r="M55" s="30" t="e">
        <f t="shared" ca="1" si="5"/>
        <v>#N/A</v>
      </c>
      <c r="N55" s="30" t="e">
        <f t="shared" ca="1" si="6"/>
        <v>#N/A</v>
      </c>
      <c r="O55" s="30" t="e">
        <f t="shared" ca="1" si="7"/>
        <v>#N/A</v>
      </c>
      <c r="P55" s="67" t="e">
        <f ca="1">INDEX(RESULTADOS!$A:$BA,MATCH($A55,RESULTADOS!$A:$A,0),MATCH(P$1,RESULTADOS!$1:$1,0))</f>
        <v>#N/A</v>
      </c>
      <c r="Q55" s="178" t="e">
        <f t="shared" ca="1" si="13"/>
        <v>#N/A</v>
      </c>
      <c r="R55" s="178" t="e">
        <f t="shared" ca="1" si="13"/>
        <v>#N/A</v>
      </c>
      <c r="S55" s="178" t="e">
        <f t="shared" ca="1" si="13"/>
        <v>#N/A</v>
      </c>
      <c r="T55" s="30" t="e">
        <f t="shared" ca="1" si="11"/>
        <v>#N/A</v>
      </c>
      <c r="U55" s="30" t="e">
        <f t="shared" ca="1" si="9"/>
        <v>#N/A</v>
      </c>
    </row>
    <row r="56" spans="1:21" x14ac:dyDescent="0.2">
      <c r="A56" s="49">
        <f t="shared" ca="1" si="12"/>
        <v>43855</v>
      </c>
      <c r="B56" s="53"/>
      <c r="C56" s="53"/>
      <c r="D56" s="52"/>
      <c r="E56" s="67" t="e">
        <f ca="1">INDEX(RESULTADOS!$A:$BA,MATCH($A56,RESULTADOS!$A:$A,0),MATCH(E$1,RESULTADOS!$1:$1,0))</f>
        <v>#N/A</v>
      </c>
      <c r="F56" s="67" t="e">
        <f ca="1">INDEX(RESULTADOS!$A:$BA,MATCH($A56,RESULTADOS!$A:$A,0),MATCH(F$1,RESULTADOS!$1:$1,0))</f>
        <v>#N/A</v>
      </c>
      <c r="G56" s="30" t="e">
        <f t="shared" ca="1" si="10"/>
        <v>#N/A</v>
      </c>
      <c r="H56" s="67" t="e">
        <f ca="1">INDEX(RESULTADOS!$A:$BA,MATCH($A56,RESULTADOS!$A:$A,0),MATCH(H$1,RESULTADOS!$1:$1,0))</f>
        <v>#N/A</v>
      </c>
      <c r="I56" s="67" t="e">
        <f ca="1">INDEX(RESULTADOS!$A:$BA,MATCH($A56,RESULTADOS!$A:$A,0),MATCH(I$1,RESULTADOS!$1:$1,0))</f>
        <v>#N/A</v>
      </c>
      <c r="J56" s="178" t="e">
        <f t="shared" ca="1" si="14"/>
        <v>#N/A</v>
      </c>
      <c r="K56" s="178" t="e">
        <f t="shared" ca="1" si="14"/>
        <v>#N/A</v>
      </c>
      <c r="L56" s="178" t="e">
        <f t="shared" ca="1" si="14"/>
        <v>#N/A</v>
      </c>
      <c r="M56" s="30" t="e">
        <f t="shared" ca="1" si="5"/>
        <v>#N/A</v>
      </c>
      <c r="N56" s="30" t="e">
        <f t="shared" ca="1" si="6"/>
        <v>#N/A</v>
      </c>
      <c r="O56" s="30" t="e">
        <f t="shared" ca="1" si="7"/>
        <v>#N/A</v>
      </c>
      <c r="P56" s="67" t="e">
        <f ca="1">INDEX(RESULTADOS!$A:$BA,MATCH($A56,RESULTADOS!$A:$A,0),MATCH(P$1,RESULTADOS!$1:$1,0))</f>
        <v>#N/A</v>
      </c>
      <c r="Q56" s="178" t="e">
        <f t="shared" ca="1" si="13"/>
        <v>#N/A</v>
      </c>
      <c r="R56" s="178" t="e">
        <f t="shared" ca="1" si="13"/>
        <v>#N/A</v>
      </c>
      <c r="S56" s="178" t="e">
        <f t="shared" ca="1" si="13"/>
        <v>#N/A</v>
      </c>
      <c r="T56" s="30" t="e">
        <f t="shared" ca="1" si="11"/>
        <v>#N/A</v>
      </c>
      <c r="U56" s="30" t="e">
        <f t="shared" ca="1" si="9"/>
        <v>#N/A</v>
      </c>
    </row>
    <row r="57" spans="1:21" x14ac:dyDescent="0.2">
      <c r="A57" s="49">
        <f t="shared" ca="1" si="12"/>
        <v>43856</v>
      </c>
      <c r="B57" s="53"/>
      <c r="C57" s="53"/>
      <c r="D57" s="52"/>
      <c r="E57" s="67" t="e">
        <f ca="1">INDEX(RESULTADOS!$A:$BA,MATCH($A57,RESULTADOS!$A:$A,0),MATCH(E$1,RESULTADOS!$1:$1,0))</f>
        <v>#N/A</v>
      </c>
      <c r="F57" s="67" t="e">
        <f ca="1">INDEX(RESULTADOS!$A:$BA,MATCH($A57,RESULTADOS!$A:$A,0),MATCH(F$1,RESULTADOS!$1:$1,0))</f>
        <v>#N/A</v>
      </c>
      <c r="G57" s="30" t="e">
        <f t="shared" ca="1" si="10"/>
        <v>#N/A</v>
      </c>
      <c r="H57" s="67" t="e">
        <f ca="1">INDEX(RESULTADOS!$A:$BA,MATCH($A57,RESULTADOS!$A:$A,0),MATCH(H$1,RESULTADOS!$1:$1,0))</f>
        <v>#N/A</v>
      </c>
      <c r="I57" s="67" t="e">
        <f ca="1">INDEX(RESULTADOS!$A:$BA,MATCH($A57,RESULTADOS!$A:$A,0),MATCH(I$1,RESULTADOS!$1:$1,0))</f>
        <v>#N/A</v>
      </c>
      <c r="J57" s="178" t="e">
        <f t="shared" ca="1" si="14"/>
        <v>#N/A</v>
      </c>
      <c r="K57" s="178" t="e">
        <f t="shared" ca="1" si="14"/>
        <v>#N/A</v>
      </c>
      <c r="L57" s="178" t="e">
        <f t="shared" ca="1" si="14"/>
        <v>#N/A</v>
      </c>
      <c r="M57" s="30" t="e">
        <f t="shared" ca="1" si="5"/>
        <v>#N/A</v>
      </c>
      <c r="N57" s="30" t="e">
        <f t="shared" ca="1" si="6"/>
        <v>#N/A</v>
      </c>
      <c r="O57" s="30" t="e">
        <f t="shared" ca="1" si="7"/>
        <v>#N/A</v>
      </c>
      <c r="P57" s="67" t="e">
        <f ca="1">INDEX(RESULTADOS!$A:$BA,MATCH($A57,RESULTADOS!$A:$A,0),MATCH(P$1,RESULTADOS!$1:$1,0))</f>
        <v>#N/A</v>
      </c>
      <c r="Q57" s="178" t="e">
        <f t="shared" ca="1" si="13"/>
        <v>#N/A</v>
      </c>
      <c r="R57" s="178" t="e">
        <f t="shared" ca="1" si="13"/>
        <v>#N/A</v>
      </c>
      <c r="S57" s="178" t="e">
        <f t="shared" ca="1" si="13"/>
        <v>#N/A</v>
      </c>
      <c r="T57" s="30" t="e">
        <f t="shared" ca="1" si="11"/>
        <v>#N/A</v>
      </c>
      <c r="U57" s="30" t="e">
        <f t="shared" ca="1" si="9"/>
        <v>#N/A</v>
      </c>
    </row>
    <row r="58" spans="1:21" x14ac:dyDescent="0.2">
      <c r="A58" s="49">
        <f t="shared" ca="1" si="12"/>
        <v>43857</v>
      </c>
      <c r="B58" s="53"/>
      <c r="C58" s="53"/>
      <c r="D58" s="52"/>
      <c r="E58" s="67" t="e">
        <f ca="1">INDEX(RESULTADOS!$A:$BA,MATCH($A58,RESULTADOS!$A:$A,0),MATCH(E$1,RESULTADOS!$1:$1,0))</f>
        <v>#N/A</v>
      </c>
      <c r="F58" s="67" t="e">
        <f ca="1">INDEX(RESULTADOS!$A:$BA,MATCH($A58,RESULTADOS!$A:$A,0),MATCH(F$1,RESULTADOS!$1:$1,0))</f>
        <v>#N/A</v>
      </c>
      <c r="G58" s="30" t="e">
        <f t="shared" ca="1" si="10"/>
        <v>#N/A</v>
      </c>
      <c r="H58" s="67" t="e">
        <f ca="1">INDEX(RESULTADOS!$A:$BA,MATCH($A58,RESULTADOS!$A:$A,0),MATCH(H$1,RESULTADOS!$1:$1,0))</f>
        <v>#N/A</v>
      </c>
      <c r="I58" s="67" t="e">
        <f ca="1">INDEX(RESULTADOS!$A:$BA,MATCH($A58,RESULTADOS!$A:$A,0),MATCH(I$1,RESULTADOS!$1:$1,0))</f>
        <v>#N/A</v>
      </c>
      <c r="J58" s="178" t="e">
        <f t="shared" ca="1" si="14"/>
        <v>#N/A</v>
      </c>
      <c r="K58" s="178" t="e">
        <f t="shared" ca="1" si="14"/>
        <v>#N/A</v>
      </c>
      <c r="L58" s="178" t="e">
        <f t="shared" ca="1" si="14"/>
        <v>#N/A</v>
      </c>
      <c r="M58" s="30" t="e">
        <f t="shared" ca="1" si="5"/>
        <v>#N/A</v>
      </c>
      <c r="N58" s="30" t="e">
        <f t="shared" ca="1" si="6"/>
        <v>#N/A</v>
      </c>
      <c r="O58" s="30" t="e">
        <f t="shared" ca="1" si="7"/>
        <v>#N/A</v>
      </c>
      <c r="P58" s="67" t="e">
        <f ca="1">INDEX(RESULTADOS!$A:$BA,MATCH($A58,RESULTADOS!$A:$A,0),MATCH(P$1,RESULTADOS!$1:$1,0))</f>
        <v>#N/A</v>
      </c>
      <c r="Q58" s="178" t="e">
        <f t="shared" ca="1" si="13"/>
        <v>#N/A</v>
      </c>
      <c r="R58" s="178" t="e">
        <f t="shared" ca="1" si="13"/>
        <v>#N/A</v>
      </c>
      <c r="S58" s="178" t="e">
        <f t="shared" ca="1" si="13"/>
        <v>#N/A</v>
      </c>
      <c r="T58" s="30" t="e">
        <f t="shared" ca="1" si="11"/>
        <v>#N/A</v>
      </c>
      <c r="U58" s="30" t="e">
        <f t="shared" ca="1" si="9"/>
        <v>#N/A</v>
      </c>
    </row>
    <row r="59" spans="1:21" x14ac:dyDescent="0.2">
      <c r="A59" s="49">
        <f t="shared" ca="1" si="12"/>
        <v>43858</v>
      </c>
      <c r="B59" s="53"/>
      <c r="C59" s="53"/>
      <c r="D59" s="52"/>
      <c r="E59" s="67" t="e">
        <f ca="1">INDEX(RESULTADOS!$A:$BA,MATCH($A59,RESULTADOS!$A:$A,0),MATCH(E$1,RESULTADOS!$1:$1,0))</f>
        <v>#N/A</v>
      </c>
      <c r="F59" s="67" t="e">
        <f ca="1">INDEX(RESULTADOS!$A:$BA,MATCH($A59,RESULTADOS!$A:$A,0),MATCH(F$1,RESULTADOS!$1:$1,0))</f>
        <v>#N/A</v>
      </c>
      <c r="G59" s="30" t="e">
        <f t="shared" ca="1" si="10"/>
        <v>#N/A</v>
      </c>
      <c r="H59" s="67" t="e">
        <f ca="1">INDEX(RESULTADOS!$A:$BA,MATCH($A59,RESULTADOS!$A:$A,0),MATCH(H$1,RESULTADOS!$1:$1,0))</f>
        <v>#N/A</v>
      </c>
      <c r="I59" s="67" t="e">
        <f ca="1">INDEX(RESULTADOS!$A:$BA,MATCH($A59,RESULTADOS!$A:$A,0),MATCH(I$1,RESULTADOS!$1:$1,0))</f>
        <v>#N/A</v>
      </c>
      <c r="J59" s="178" t="e">
        <f t="shared" ca="1" si="14"/>
        <v>#N/A</v>
      </c>
      <c r="K59" s="178" t="e">
        <f t="shared" ca="1" si="14"/>
        <v>#N/A</v>
      </c>
      <c r="L59" s="178" t="e">
        <f t="shared" ca="1" si="14"/>
        <v>#N/A</v>
      </c>
      <c r="M59" s="30" t="e">
        <f t="shared" ca="1" si="5"/>
        <v>#N/A</v>
      </c>
      <c r="N59" s="30" t="e">
        <f t="shared" ca="1" si="6"/>
        <v>#N/A</v>
      </c>
      <c r="O59" s="30" t="e">
        <f t="shared" ca="1" si="7"/>
        <v>#N/A</v>
      </c>
      <c r="P59" s="67" t="e">
        <f ca="1">INDEX(RESULTADOS!$A:$BA,MATCH($A59,RESULTADOS!$A:$A,0),MATCH(P$1,RESULTADOS!$1:$1,0))</f>
        <v>#N/A</v>
      </c>
      <c r="Q59" s="178" t="e">
        <f t="shared" ca="1" si="13"/>
        <v>#N/A</v>
      </c>
      <c r="R59" s="178" t="e">
        <f t="shared" ca="1" si="13"/>
        <v>#N/A</v>
      </c>
      <c r="S59" s="178" t="e">
        <f t="shared" ca="1" si="13"/>
        <v>#N/A</v>
      </c>
      <c r="T59" s="30" t="e">
        <f t="shared" ca="1" si="11"/>
        <v>#N/A</v>
      </c>
      <c r="U59" s="30" t="e">
        <f t="shared" ca="1" si="9"/>
        <v>#N/A</v>
      </c>
    </row>
    <row r="60" spans="1:21" x14ac:dyDescent="0.2">
      <c r="A60" s="49">
        <f t="shared" ca="1" si="12"/>
        <v>43859</v>
      </c>
      <c r="B60" s="53"/>
      <c r="C60" s="53"/>
      <c r="D60" s="52"/>
      <c r="E60" s="67" t="e">
        <f ca="1">INDEX(RESULTADOS!$A:$BA,MATCH($A60,RESULTADOS!$A:$A,0),MATCH(E$1,RESULTADOS!$1:$1,0))</f>
        <v>#N/A</v>
      </c>
      <c r="F60" s="67" t="e">
        <f ca="1">INDEX(RESULTADOS!$A:$BA,MATCH($A60,RESULTADOS!$A:$A,0),MATCH(F$1,RESULTADOS!$1:$1,0))</f>
        <v>#N/A</v>
      </c>
      <c r="G60" s="30" t="e">
        <f t="shared" ca="1" si="10"/>
        <v>#N/A</v>
      </c>
      <c r="H60" s="67" t="e">
        <f ca="1">INDEX(RESULTADOS!$A:$BA,MATCH($A60,RESULTADOS!$A:$A,0),MATCH(H$1,RESULTADOS!$1:$1,0))</f>
        <v>#N/A</v>
      </c>
      <c r="I60" s="67" t="e">
        <f ca="1">INDEX(RESULTADOS!$A:$BA,MATCH($A60,RESULTADOS!$A:$A,0),MATCH(I$1,RESULTADOS!$1:$1,0))</f>
        <v>#N/A</v>
      </c>
      <c r="J60" s="178" t="e">
        <f t="shared" ca="1" si="14"/>
        <v>#N/A</v>
      </c>
      <c r="K60" s="178" t="e">
        <f t="shared" ca="1" si="14"/>
        <v>#N/A</v>
      </c>
      <c r="L60" s="178" t="e">
        <f t="shared" ca="1" si="14"/>
        <v>#N/A</v>
      </c>
      <c r="M60" s="30" t="e">
        <f t="shared" ca="1" si="5"/>
        <v>#N/A</v>
      </c>
      <c r="N60" s="30" t="e">
        <f t="shared" ca="1" si="6"/>
        <v>#N/A</v>
      </c>
      <c r="O60" s="30" t="e">
        <f t="shared" ca="1" si="7"/>
        <v>#N/A</v>
      </c>
      <c r="P60" s="67" t="e">
        <f ca="1">INDEX(RESULTADOS!$A:$BA,MATCH($A60,RESULTADOS!$A:$A,0),MATCH(P$1,RESULTADOS!$1:$1,0))</f>
        <v>#N/A</v>
      </c>
      <c r="Q60" s="178" t="e">
        <f t="shared" ca="1" si="13"/>
        <v>#N/A</v>
      </c>
      <c r="R60" s="178" t="e">
        <f t="shared" ca="1" si="13"/>
        <v>#N/A</v>
      </c>
      <c r="S60" s="178" t="e">
        <f t="shared" ca="1" si="13"/>
        <v>#N/A</v>
      </c>
      <c r="T60" s="30" t="e">
        <f t="shared" ca="1" si="11"/>
        <v>#N/A</v>
      </c>
      <c r="U60" s="30" t="e">
        <f t="shared" ca="1" si="9"/>
        <v>#N/A</v>
      </c>
    </row>
    <row r="61" spans="1:21" x14ac:dyDescent="0.2">
      <c r="A61" s="82">
        <f t="shared" ca="1" si="12"/>
        <v>43860</v>
      </c>
      <c r="B61" s="87"/>
      <c r="C61" s="87"/>
      <c r="D61" s="88"/>
      <c r="E61" s="67" t="e">
        <f ca="1">INDEX(RESULTADOS!$A:$BA,MATCH($A61,RESULTADOS!$A:$A,0),MATCH(E$1,RESULTADOS!$1:$1,0))</f>
        <v>#N/A</v>
      </c>
      <c r="F61" s="67" t="e">
        <f ca="1">INDEX(RESULTADOS!$A:$BA,MATCH($A61,RESULTADOS!$A:$A,0),MATCH(F$1,RESULTADOS!$1:$1,0))</f>
        <v>#N/A</v>
      </c>
      <c r="G61" s="30" t="e">
        <f t="shared" ca="1" si="10"/>
        <v>#N/A</v>
      </c>
      <c r="H61" s="67" t="e">
        <f ca="1">INDEX(RESULTADOS!$A:$BA,MATCH($A61,RESULTADOS!$A:$A,0),MATCH(H$1,RESULTADOS!$1:$1,0))</f>
        <v>#N/A</v>
      </c>
      <c r="I61" s="67" t="e">
        <f ca="1">INDEX(RESULTADOS!$A:$BA,MATCH($A61,RESULTADOS!$A:$A,0),MATCH(I$1,RESULTADOS!$1:$1,0))</f>
        <v>#N/A</v>
      </c>
      <c r="J61" s="178" t="e">
        <f t="shared" ca="1" si="14"/>
        <v>#N/A</v>
      </c>
      <c r="K61" s="178" t="e">
        <f t="shared" ca="1" si="14"/>
        <v>#N/A</v>
      </c>
      <c r="L61" s="178" t="e">
        <f t="shared" ca="1" si="14"/>
        <v>#N/A</v>
      </c>
      <c r="M61" s="30" t="e">
        <f t="shared" ca="1" si="5"/>
        <v>#N/A</v>
      </c>
      <c r="N61" s="30" t="e">
        <f t="shared" ca="1" si="6"/>
        <v>#N/A</v>
      </c>
      <c r="O61" s="30" t="e">
        <f t="shared" ca="1" si="7"/>
        <v>#N/A</v>
      </c>
      <c r="P61" s="67" t="e">
        <f ca="1">INDEX(RESULTADOS!$A:$BA,MATCH($A61,RESULTADOS!$A:$A,0),MATCH(P$1,RESULTADOS!$1:$1,0))</f>
        <v>#N/A</v>
      </c>
      <c r="Q61" s="178" t="e">
        <f t="shared" ca="1" si="13"/>
        <v>#N/A</v>
      </c>
      <c r="R61" s="178" t="e">
        <f t="shared" ca="1" si="13"/>
        <v>#N/A</v>
      </c>
      <c r="S61" s="178" t="e">
        <f t="shared" ca="1" si="13"/>
        <v>#N/A</v>
      </c>
      <c r="T61" s="30" t="e">
        <f t="shared" ca="1" si="11"/>
        <v>#N/A</v>
      </c>
      <c r="U61" s="30" t="e">
        <f t="shared" ca="1" si="9"/>
        <v>#N/A</v>
      </c>
    </row>
    <row r="62" spans="1:21" x14ac:dyDescent="0.2">
      <c r="A62" s="49">
        <f t="shared" ca="1" si="12"/>
        <v>43861</v>
      </c>
      <c r="B62" s="53"/>
      <c r="C62" s="53"/>
      <c r="D62" s="52"/>
      <c r="E62" s="67" t="e">
        <f ca="1">INDEX(RESULTADOS!$A:$BA,MATCH($A62,RESULTADOS!$A:$A,0),MATCH(E$1,RESULTADOS!$1:$1,0))</f>
        <v>#N/A</v>
      </c>
      <c r="F62" s="67" t="e">
        <f ca="1">INDEX(RESULTADOS!$A:$BA,MATCH($A62,RESULTADOS!$A:$A,0),MATCH(F$1,RESULTADOS!$1:$1,0))</f>
        <v>#N/A</v>
      </c>
      <c r="G62" s="30" t="e">
        <f t="shared" ca="1" si="10"/>
        <v>#N/A</v>
      </c>
      <c r="H62" s="67" t="e">
        <f ca="1">INDEX(RESULTADOS!$A:$BA,MATCH($A62,RESULTADOS!$A:$A,0),MATCH(H$1,RESULTADOS!$1:$1,0))</f>
        <v>#N/A</v>
      </c>
      <c r="I62" s="67" t="e">
        <f ca="1">INDEX(RESULTADOS!$A:$BA,MATCH($A62,RESULTADOS!$A:$A,0),MATCH(I$1,RESULTADOS!$1:$1,0))</f>
        <v>#N/A</v>
      </c>
      <c r="J62" s="178" t="e">
        <f t="shared" ca="1" si="14"/>
        <v>#N/A</v>
      </c>
      <c r="K62" s="178" t="e">
        <f t="shared" ca="1" si="14"/>
        <v>#N/A</v>
      </c>
      <c r="L62" s="178" t="e">
        <f t="shared" ca="1" si="14"/>
        <v>#N/A</v>
      </c>
      <c r="M62" s="30" t="e">
        <f t="shared" ca="1" si="5"/>
        <v>#N/A</v>
      </c>
      <c r="N62" s="30" t="e">
        <f t="shared" ca="1" si="6"/>
        <v>#N/A</v>
      </c>
      <c r="O62" s="30" t="e">
        <f t="shared" ca="1" si="7"/>
        <v>#N/A</v>
      </c>
      <c r="P62" s="67" t="e">
        <f ca="1">INDEX(RESULTADOS!$A:$BA,MATCH($A62,RESULTADOS!$A:$A,0),MATCH(P$1,RESULTADOS!$1:$1,0))</f>
        <v>#N/A</v>
      </c>
      <c r="Q62" s="178" t="e">
        <f t="shared" ca="1" si="13"/>
        <v>#N/A</v>
      </c>
      <c r="R62" s="178" t="e">
        <f t="shared" ca="1" si="13"/>
        <v>#N/A</v>
      </c>
      <c r="S62" s="178" t="e">
        <f t="shared" ca="1" si="13"/>
        <v>#N/A</v>
      </c>
      <c r="T62" s="30" t="e">
        <f t="shared" ca="1" si="11"/>
        <v>#N/A</v>
      </c>
      <c r="U62" s="30" t="e">
        <f t="shared" ca="1" si="9"/>
        <v>#N/A</v>
      </c>
    </row>
    <row r="63" spans="1:21" x14ac:dyDescent="0.2">
      <c r="A63" s="49">
        <f t="shared" ca="1" si="12"/>
        <v>43862</v>
      </c>
      <c r="B63" s="53"/>
      <c r="C63" s="53"/>
      <c r="D63" s="52"/>
      <c r="E63" s="67" t="e">
        <f ca="1">INDEX(RESULTADOS!$A:$BA,MATCH($A63,RESULTADOS!$A:$A,0),MATCH(E$1,RESULTADOS!$1:$1,0))</f>
        <v>#N/A</v>
      </c>
      <c r="F63" s="67" t="e">
        <f ca="1">INDEX(RESULTADOS!$A:$BA,MATCH($A63,RESULTADOS!$A:$A,0),MATCH(F$1,RESULTADOS!$1:$1,0))</f>
        <v>#N/A</v>
      </c>
      <c r="G63" s="30" t="e">
        <f t="shared" ca="1" si="10"/>
        <v>#N/A</v>
      </c>
      <c r="H63" s="67" t="e">
        <f ca="1">INDEX(RESULTADOS!$A:$BA,MATCH($A63,RESULTADOS!$A:$A,0),MATCH(H$1,RESULTADOS!$1:$1,0))</f>
        <v>#N/A</v>
      </c>
      <c r="I63" s="67" t="e">
        <f ca="1">INDEX(RESULTADOS!$A:$BA,MATCH($A63,RESULTADOS!$A:$A,0),MATCH(I$1,RESULTADOS!$1:$1,0))</f>
        <v>#N/A</v>
      </c>
      <c r="J63" s="178" t="e">
        <f t="shared" ca="1" si="14"/>
        <v>#N/A</v>
      </c>
      <c r="K63" s="178" t="e">
        <f t="shared" ca="1" si="14"/>
        <v>#N/A</v>
      </c>
      <c r="L63" s="178" t="e">
        <f t="shared" ca="1" si="14"/>
        <v>#N/A</v>
      </c>
      <c r="M63" s="30" t="e">
        <f t="shared" ca="1" si="5"/>
        <v>#N/A</v>
      </c>
      <c r="N63" s="30" t="e">
        <f t="shared" ca="1" si="6"/>
        <v>#N/A</v>
      </c>
      <c r="O63" s="30" t="e">
        <f t="shared" ca="1" si="7"/>
        <v>#N/A</v>
      </c>
      <c r="P63" s="67" t="e">
        <f ca="1">INDEX(RESULTADOS!$A:$BA,MATCH($A63,RESULTADOS!$A:$A,0),MATCH(P$1,RESULTADOS!$1:$1,0))</f>
        <v>#N/A</v>
      </c>
      <c r="Q63" s="178" t="e">
        <f t="shared" ca="1" si="13"/>
        <v>#N/A</v>
      </c>
      <c r="R63" s="178" t="e">
        <f t="shared" ca="1" si="13"/>
        <v>#N/A</v>
      </c>
      <c r="S63" s="178" t="e">
        <f t="shared" ca="1" si="13"/>
        <v>#N/A</v>
      </c>
      <c r="T63" s="30" t="e">
        <f t="shared" ca="1" si="11"/>
        <v>#N/A</v>
      </c>
      <c r="U63" s="30" t="e">
        <f t="shared" ca="1" si="9"/>
        <v>#N/A</v>
      </c>
    </row>
    <row r="64" spans="1:21" x14ac:dyDescent="0.2">
      <c r="A64" s="49">
        <f t="shared" ca="1" si="12"/>
        <v>43863</v>
      </c>
      <c r="B64" s="53"/>
      <c r="C64" s="53"/>
      <c r="D64" s="52"/>
      <c r="E64" s="67" t="e">
        <f ca="1">INDEX(RESULTADOS!$A:$BA,MATCH($A64,RESULTADOS!$A:$A,0),MATCH(E$1,RESULTADOS!$1:$1,0))</f>
        <v>#N/A</v>
      </c>
      <c r="F64" s="67" t="e">
        <f ca="1">INDEX(RESULTADOS!$A:$BA,MATCH($A64,RESULTADOS!$A:$A,0),MATCH(F$1,RESULTADOS!$1:$1,0))</f>
        <v>#N/A</v>
      </c>
      <c r="G64" s="30" t="e">
        <f t="shared" ca="1" si="10"/>
        <v>#N/A</v>
      </c>
      <c r="H64" s="67" t="e">
        <f ca="1">INDEX(RESULTADOS!$A:$BA,MATCH($A64,RESULTADOS!$A:$A,0),MATCH(H$1,RESULTADOS!$1:$1,0))</f>
        <v>#N/A</v>
      </c>
      <c r="I64" s="67" t="e">
        <f ca="1">INDEX(RESULTADOS!$A:$BA,MATCH($A64,RESULTADOS!$A:$A,0),MATCH(I$1,RESULTADOS!$1:$1,0))</f>
        <v>#N/A</v>
      </c>
      <c r="J64" s="178" t="e">
        <f t="shared" ca="1" si="14"/>
        <v>#N/A</v>
      </c>
      <c r="K64" s="178" t="e">
        <f t="shared" ca="1" si="14"/>
        <v>#N/A</v>
      </c>
      <c r="L64" s="178" t="e">
        <f t="shared" ca="1" si="14"/>
        <v>#N/A</v>
      </c>
      <c r="M64" s="30" t="e">
        <f t="shared" ca="1" si="5"/>
        <v>#N/A</v>
      </c>
      <c r="N64" s="30" t="e">
        <f t="shared" ca="1" si="6"/>
        <v>#N/A</v>
      </c>
      <c r="O64" s="30" t="e">
        <f t="shared" ca="1" si="7"/>
        <v>#N/A</v>
      </c>
      <c r="P64" s="67" t="e">
        <f ca="1">INDEX(RESULTADOS!$A:$BA,MATCH($A64,RESULTADOS!$A:$A,0),MATCH(P$1,RESULTADOS!$1:$1,0))</f>
        <v>#N/A</v>
      </c>
      <c r="Q64" s="178" t="e">
        <f t="shared" ca="1" si="13"/>
        <v>#N/A</v>
      </c>
      <c r="R64" s="178" t="e">
        <f t="shared" ca="1" si="13"/>
        <v>#N/A</v>
      </c>
      <c r="S64" s="178" t="e">
        <f t="shared" ca="1" si="13"/>
        <v>#N/A</v>
      </c>
      <c r="T64" s="30" t="e">
        <f t="shared" ca="1" si="11"/>
        <v>#N/A</v>
      </c>
      <c r="U64" s="30" t="e">
        <f t="shared" ca="1" si="9"/>
        <v>#N/A</v>
      </c>
    </row>
    <row r="65" spans="1:21" x14ac:dyDescent="0.2">
      <c r="A65" s="49">
        <f t="shared" ca="1" si="12"/>
        <v>43864</v>
      </c>
      <c r="B65" s="53"/>
      <c r="C65" s="53"/>
      <c r="D65" s="52"/>
      <c r="E65" s="67" t="e">
        <f ca="1">INDEX(RESULTADOS!$A:$BA,MATCH($A65,RESULTADOS!$A:$A,0),MATCH(E$1,RESULTADOS!$1:$1,0))</f>
        <v>#N/A</v>
      </c>
      <c r="F65" s="67" t="e">
        <f ca="1">INDEX(RESULTADOS!$A:$BA,MATCH($A65,RESULTADOS!$A:$A,0),MATCH(F$1,RESULTADOS!$1:$1,0))</f>
        <v>#N/A</v>
      </c>
      <c r="G65" s="30" t="e">
        <f t="shared" ca="1" si="10"/>
        <v>#N/A</v>
      </c>
      <c r="H65" s="67" t="e">
        <f ca="1">INDEX(RESULTADOS!$A:$BA,MATCH($A65,RESULTADOS!$A:$A,0),MATCH(H$1,RESULTADOS!$1:$1,0))</f>
        <v>#N/A</v>
      </c>
      <c r="I65" s="67" t="e">
        <f ca="1">INDEX(RESULTADOS!$A:$BA,MATCH($A65,RESULTADOS!$A:$A,0),MATCH(I$1,RESULTADOS!$1:$1,0))</f>
        <v>#N/A</v>
      </c>
      <c r="J65" s="178" t="e">
        <f t="shared" ca="1" si="14"/>
        <v>#N/A</v>
      </c>
      <c r="K65" s="178" t="e">
        <f t="shared" ca="1" si="14"/>
        <v>#N/A</v>
      </c>
      <c r="L65" s="178" t="e">
        <f t="shared" ca="1" si="14"/>
        <v>#N/A</v>
      </c>
      <c r="M65" s="30" t="e">
        <f t="shared" ca="1" si="5"/>
        <v>#N/A</v>
      </c>
      <c r="N65" s="30" t="e">
        <f t="shared" ca="1" si="6"/>
        <v>#N/A</v>
      </c>
      <c r="O65" s="30" t="e">
        <f t="shared" ca="1" si="7"/>
        <v>#N/A</v>
      </c>
      <c r="P65" s="67" t="e">
        <f ca="1">INDEX(RESULTADOS!$A:$BA,MATCH($A65,RESULTADOS!$A:$A,0),MATCH(P$1,RESULTADOS!$1:$1,0))</f>
        <v>#N/A</v>
      </c>
      <c r="Q65" s="178" t="e">
        <f t="shared" ca="1" si="13"/>
        <v>#N/A</v>
      </c>
      <c r="R65" s="178" t="e">
        <f t="shared" ca="1" si="13"/>
        <v>#N/A</v>
      </c>
      <c r="S65" s="178" t="e">
        <f t="shared" ca="1" si="13"/>
        <v>#N/A</v>
      </c>
      <c r="T65" s="30" t="e">
        <f t="shared" ca="1" si="11"/>
        <v>#N/A</v>
      </c>
      <c r="U65" s="30" t="e">
        <f t="shared" ca="1" si="9"/>
        <v>#N/A</v>
      </c>
    </row>
    <row r="66" spans="1:21" x14ac:dyDescent="0.2">
      <c r="A66" s="49">
        <f t="shared" ca="1" si="12"/>
        <v>43865</v>
      </c>
      <c r="B66" s="53"/>
      <c r="C66" s="53"/>
      <c r="D66" s="52"/>
      <c r="E66" s="67" t="e">
        <f ca="1">INDEX(RESULTADOS!$A:$BA,MATCH($A66,RESULTADOS!$A:$A,0),MATCH(E$1,RESULTADOS!$1:$1,0))</f>
        <v>#N/A</v>
      </c>
      <c r="F66" s="67" t="e">
        <f ca="1">INDEX(RESULTADOS!$A:$BA,MATCH($A66,RESULTADOS!$A:$A,0),MATCH(F$1,RESULTADOS!$1:$1,0))</f>
        <v>#N/A</v>
      </c>
      <c r="G66" s="30" t="e">
        <f t="shared" ca="1" si="10"/>
        <v>#N/A</v>
      </c>
      <c r="H66" s="67" t="e">
        <f ca="1">INDEX(RESULTADOS!$A:$BA,MATCH($A66,RESULTADOS!$A:$A,0),MATCH(H$1,RESULTADOS!$1:$1,0))</f>
        <v>#N/A</v>
      </c>
      <c r="I66" s="67" t="e">
        <f ca="1">INDEX(RESULTADOS!$A:$BA,MATCH($A66,RESULTADOS!$A:$A,0),MATCH(I$1,RESULTADOS!$1:$1,0))</f>
        <v>#N/A</v>
      </c>
      <c r="J66" s="178" t="e">
        <f t="shared" ca="1" si="14"/>
        <v>#N/A</v>
      </c>
      <c r="K66" s="178" t="e">
        <f t="shared" ca="1" si="14"/>
        <v>#N/A</v>
      </c>
      <c r="L66" s="178" t="e">
        <f t="shared" ca="1" si="14"/>
        <v>#N/A</v>
      </c>
      <c r="M66" s="30" t="e">
        <f t="shared" ca="1" si="5"/>
        <v>#N/A</v>
      </c>
      <c r="N66" s="30" t="e">
        <f t="shared" ca="1" si="6"/>
        <v>#N/A</v>
      </c>
      <c r="O66" s="30" t="e">
        <f t="shared" ca="1" si="7"/>
        <v>#N/A</v>
      </c>
      <c r="P66" s="67" t="e">
        <f ca="1">INDEX(RESULTADOS!$A:$BA,MATCH($A66,RESULTADOS!$A:$A,0),MATCH(P$1,RESULTADOS!$1:$1,0))</f>
        <v>#N/A</v>
      </c>
      <c r="Q66" s="178" t="e">
        <f t="shared" ca="1" si="13"/>
        <v>#N/A</v>
      </c>
      <c r="R66" s="178" t="e">
        <f t="shared" ca="1" si="13"/>
        <v>#N/A</v>
      </c>
      <c r="S66" s="178" t="e">
        <f t="shared" ca="1" si="13"/>
        <v>#N/A</v>
      </c>
      <c r="T66" s="30" t="e">
        <f t="shared" ca="1" si="11"/>
        <v>#N/A</v>
      </c>
      <c r="U66" s="30" t="e">
        <f t="shared" ca="1" si="9"/>
        <v>#N/A</v>
      </c>
    </row>
    <row r="67" spans="1:21" x14ac:dyDescent="0.2">
      <c r="A67" s="49">
        <f t="shared" ca="1" si="12"/>
        <v>43866</v>
      </c>
      <c r="B67" s="53"/>
      <c r="C67" s="53"/>
      <c r="D67" s="52"/>
      <c r="E67" s="67" t="e">
        <f ca="1">INDEX(RESULTADOS!$A:$BA,MATCH($A67,RESULTADOS!$A:$A,0),MATCH(E$1,RESULTADOS!$1:$1,0))</f>
        <v>#N/A</v>
      </c>
      <c r="F67" s="67" t="e">
        <f ca="1">INDEX(RESULTADOS!$A:$BA,MATCH($A67,RESULTADOS!$A:$A,0),MATCH(F$1,RESULTADOS!$1:$1,0))</f>
        <v>#N/A</v>
      </c>
      <c r="G67" s="30" t="e">
        <f t="shared" ca="1" si="10"/>
        <v>#N/A</v>
      </c>
      <c r="H67" s="67" t="e">
        <f ca="1">INDEX(RESULTADOS!$A:$BA,MATCH($A67,RESULTADOS!$A:$A,0),MATCH(H$1,RESULTADOS!$1:$1,0))</f>
        <v>#N/A</v>
      </c>
      <c r="I67" s="67" t="e">
        <f ca="1">INDEX(RESULTADOS!$A:$BA,MATCH($A67,RESULTADOS!$A:$A,0),MATCH(I$1,RESULTADOS!$1:$1,0))</f>
        <v>#N/A</v>
      </c>
      <c r="J67" s="178" t="e">
        <f t="shared" ref="J67:L82" ca="1" si="15">$I67*J$4</f>
        <v>#N/A</v>
      </c>
      <c r="K67" s="178" t="e">
        <f t="shared" ca="1" si="15"/>
        <v>#N/A</v>
      </c>
      <c r="L67" s="178" t="e">
        <f t="shared" ca="1" si="15"/>
        <v>#N/A</v>
      </c>
      <c r="M67" s="30" t="e">
        <f t="shared" ca="1" si="5"/>
        <v>#N/A</v>
      </c>
      <c r="N67" s="30" t="e">
        <f t="shared" ca="1" si="6"/>
        <v>#N/A</v>
      </c>
      <c r="O67" s="30" t="e">
        <f t="shared" ca="1" si="7"/>
        <v>#N/A</v>
      </c>
      <c r="P67" s="67" t="e">
        <f ca="1">INDEX(RESULTADOS!$A:$BA,MATCH($A67,RESULTADOS!$A:$A,0),MATCH(P$1,RESULTADOS!$1:$1,0))</f>
        <v>#N/A</v>
      </c>
      <c r="Q67" s="178" t="e">
        <f t="shared" ca="1" si="13"/>
        <v>#N/A</v>
      </c>
      <c r="R67" s="178" t="e">
        <f t="shared" ca="1" si="13"/>
        <v>#N/A</v>
      </c>
      <c r="S67" s="178" t="e">
        <f t="shared" ca="1" si="13"/>
        <v>#N/A</v>
      </c>
      <c r="T67" s="30" t="e">
        <f t="shared" ca="1" si="11"/>
        <v>#N/A</v>
      </c>
      <c r="U67" s="30" t="e">
        <f t="shared" ca="1" si="9"/>
        <v>#N/A</v>
      </c>
    </row>
    <row r="68" spans="1:21" x14ac:dyDescent="0.2">
      <c r="A68" s="82">
        <f t="shared" ca="1" si="12"/>
        <v>43867</v>
      </c>
      <c r="B68" s="87"/>
      <c r="C68" s="87"/>
      <c r="D68" s="88"/>
      <c r="E68" s="67" t="e">
        <f ca="1">INDEX(RESULTADOS!$A:$BA,MATCH($A68,RESULTADOS!$A:$A,0),MATCH(E$1,RESULTADOS!$1:$1,0))</f>
        <v>#N/A</v>
      </c>
      <c r="F68" s="67" t="e">
        <f ca="1">INDEX(RESULTADOS!$A:$BA,MATCH($A68,RESULTADOS!$A:$A,0),MATCH(F$1,RESULTADOS!$1:$1,0))</f>
        <v>#N/A</v>
      </c>
      <c r="G68" s="30" t="e">
        <f t="shared" ca="1" si="10"/>
        <v>#N/A</v>
      </c>
      <c r="H68" s="67" t="e">
        <f ca="1">INDEX(RESULTADOS!$A:$BA,MATCH($A68,RESULTADOS!$A:$A,0),MATCH(H$1,RESULTADOS!$1:$1,0))</f>
        <v>#N/A</v>
      </c>
      <c r="I68" s="67" t="e">
        <f ca="1">INDEX(RESULTADOS!$A:$BA,MATCH($A68,RESULTADOS!$A:$A,0),MATCH(I$1,RESULTADOS!$1:$1,0))</f>
        <v>#N/A</v>
      </c>
      <c r="J68" s="178" t="e">
        <f t="shared" ca="1" si="15"/>
        <v>#N/A</v>
      </c>
      <c r="K68" s="178" t="e">
        <f t="shared" ca="1" si="15"/>
        <v>#N/A</v>
      </c>
      <c r="L68" s="178" t="e">
        <f t="shared" ca="1" si="15"/>
        <v>#N/A</v>
      </c>
      <c r="M68" s="30" t="e">
        <f t="shared" ca="1" si="5"/>
        <v>#N/A</v>
      </c>
      <c r="N68" s="30" t="e">
        <f t="shared" ca="1" si="6"/>
        <v>#N/A</v>
      </c>
      <c r="O68" s="30" t="e">
        <f t="shared" ca="1" si="7"/>
        <v>#N/A</v>
      </c>
      <c r="P68" s="67" t="e">
        <f ca="1">INDEX(RESULTADOS!$A:$BA,MATCH($A68,RESULTADOS!$A:$A,0),MATCH(P$1,RESULTADOS!$1:$1,0))</f>
        <v>#N/A</v>
      </c>
      <c r="Q68" s="178" t="e">
        <f t="shared" ca="1" si="13"/>
        <v>#N/A</v>
      </c>
      <c r="R68" s="178" t="e">
        <f t="shared" ca="1" si="13"/>
        <v>#N/A</v>
      </c>
      <c r="S68" s="178" t="e">
        <f t="shared" ca="1" si="13"/>
        <v>#N/A</v>
      </c>
      <c r="T68" s="30" t="e">
        <f t="shared" ca="1" si="11"/>
        <v>#N/A</v>
      </c>
      <c r="U68" s="30" t="e">
        <f t="shared" ca="1" si="9"/>
        <v>#N/A</v>
      </c>
    </row>
    <row r="69" spans="1:21" x14ac:dyDescent="0.2">
      <c r="A69" s="49">
        <f t="shared" ca="1" si="12"/>
        <v>43868</v>
      </c>
      <c r="B69" s="53"/>
      <c r="C69" s="53"/>
      <c r="D69" s="52"/>
      <c r="E69" s="67" t="e">
        <f ca="1">INDEX(RESULTADOS!$A:$BA,MATCH($A69,RESULTADOS!$A:$A,0),MATCH(E$1,RESULTADOS!$1:$1,0))</f>
        <v>#N/A</v>
      </c>
      <c r="F69" s="67" t="e">
        <f ca="1">INDEX(RESULTADOS!$A:$BA,MATCH($A69,RESULTADOS!$A:$A,0),MATCH(F$1,RESULTADOS!$1:$1,0))</f>
        <v>#N/A</v>
      </c>
      <c r="G69" s="30" t="e">
        <f t="shared" ca="1" si="10"/>
        <v>#N/A</v>
      </c>
      <c r="H69" s="67" t="e">
        <f ca="1">INDEX(RESULTADOS!$A:$BA,MATCH($A69,RESULTADOS!$A:$A,0),MATCH(H$1,RESULTADOS!$1:$1,0))</f>
        <v>#N/A</v>
      </c>
      <c r="I69" s="67" t="e">
        <f ca="1">INDEX(RESULTADOS!$A:$BA,MATCH($A69,RESULTADOS!$A:$A,0),MATCH(I$1,RESULTADOS!$1:$1,0))</f>
        <v>#N/A</v>
      </c>
      <c r="J69" s="178" t="e">
        <f t="shared" ca="1" si="15"/>
        <v>#N/A</v>
      </c>
      <c r="K69" s="178" t="e">
        <f t="shared" ca="1" si="15"/>
        <v>#N/A</v>
      </c>
      <c r="L69" s="178" t="e">
        <f t="shared" ca="1" si="15"/>
        <v>#N/A</v>
      </c>
      <c r="M69" s="30" t="e">
        <f t="shared" ca="1" si="5"/>
        <v>#N/A</v>
      </c>
      <c r="N69" s="30" t="e">
        <f t="shared" ca="1" si="6"/>
        <v>#N/A</v>
      </c>
      <c r="O69" s="30" t="e">
        <f t="shared" ca="1" si="7"/>
        <v>#N/A</v>
      </c>
      <c r="P69" s="67" t="e">
        <f ca="1">INDEX(RESULTADOS!$A:$BA,MATCH($A69,RESULTADOS!$A:$A,0),MATCH(P$1,RESULTADOS!$1:$1,0))</f>
        <v>#N/A</v>
      </c>
      <c r="Q69" s="178" t="e">
        <f t="shared" ca="1" si="13"/>
        <v>#N/A</v>
      </c>
      <c r="R69" s="178" t="e">
        <f t="shared" ca="1" si="13"/>
        <v>#N/A</v>
      </c>
      <c r="S69" s="178" t="e">
        <f t="shared" ca="1" si="13"/>
        <v>#N/A</v>
      </c>
      <c r="T69" s="30" t="e">
        <f t="shared" ca="1" si="11"/>
        <v>#N/A</v>
      </c>
      <c r="U69" s="30" t="e">
        <f t="shared" ca="1" si="9"/>
        <v>#N/A</v>
      </c>
    </row>
    <row r="70" spans="1:21" x14ac:dyDescent="0.2">
      <c r="A70" s="49">
        <f t="shared" ca="1" si="12"/>
        <v>43869</v>
      </c>
      <c r="B70" s="53"/>
      <c r="C70" s="53"/>
      <c r="D70" s="52"/>
      <c r="E70" s="67" t="e">
        <f ca="1">INDEX(RESULTADOS!$A:$BA,MATCH($A70,RESULTADOS!$A:$A,0),MATCH(E$1,RESULTADOS!$1:$1,0))</f>
        <v>#N/A</v>
      </c>
      <c r="F70" s="67" t="e">
        <f ca="1">INDEX(RESULTADOS!$A:$BA,MATCH($A70,RESULTADOS!$A:$A,0),MATCH(F$1,RESULTADOS!$1:$1,0))</f>
        <v>#N/A</v>
      </c>
      <c r="G70" s="30" t="e">
        <f t="shared" ca="1" si="10"/>
        <v>#N/A</v>
      </c>
      <c r="H70" s="67" t="e">
        <f ca="1">INDEX(RESULTADOS!$A:$BA,MATCH($A70,RESULTADOS!$A:$A,0),MATCH(H$1,RESULTADOS!$1:$1,0))</f>
        <v>#N/A</v>
      </c>
      <c r="I70" s="67" t="e">
        <f ca="1">INDEX(RESULTADOS!$A:$BA,MATCH($A70,RESULTADOS!$A:$A,0),MATCH(I$1,RESULTADOS!$1:$1,0))</f>
        <v>#N/A</v>
      </c>
      <c r="J70" s="178" t="e">
        <f t="shared" ca="1" si="15"/>
        <v>#N/A</v>
      </c>
      <c r="K70" s="178" t="e">
        <f t="shared" ca="1" si="15"/>
        <v>#N/A</v>
      </c>
      <c r="L70" s="178" t="e">
        <f t="shared" ca="1" si="15"/>
        <v>#N/A</v>
      </c>
      <c r="M70" s="30" t="e">
        <f t="shared" ca="1" si="5"/>
        <v>#N/A</v>
      </c>
      <c r="N70" s="30" t="e">
        <f t="shared" ca="1" si="6"/>
        <v>#N/A</v>
      </c>
      <c r="O70" s="30" t="e">
        <f t="shared" ca="1" si="7"/>
        <v>#N/A</v>
      </c>
      <c r="P70" s="67" t="e">
        <f ca="1">INDEX(RESULTADOS!$A:$BA,MATCH($A70,RESULTADOS!$A:$A,0),MATCH(P$1,RESULTADOS!$1:$1,0))</f>
        <v>#N/A</v>
      </c>
      <c r="Q70" s="178" t="e">
        <f t="shared" ca="1" si="13"/>
        <v>#N/A</v>
      </c>
      <c r="R70" s="178" t="e">
        <f t="shared" ca="1" si="13"/>
        <v>#N/A</v>
      </c>
      <c r="S70" s="178" t="e">
        <f t="shared" ca="1" si="13"/>
        <v>#N/A</v>
      </c>
      <c r="T70" s="30" t="e">
        <f t="shared" ca="1" si="11"/>
        <v>#N/A</v>
      </c>
      <c r="U70" s="30" t="e">
        <f t="shared" ca="1" si="9"/>
        <v>#N/A</v>
      </c>
    </row>
    <row r="71" spans="1:21" x14ac:dyDescent="0.2">
      <c r="A71" s="49">
        <f t="shared" ca="1" si="12"/>
        <v>43870</v>
      </c>
      <c r="B71" s="53"/>
      <c r="C71" s="53"/>
      <c r="D71" s="52"/>
      <c r="E71" s="67" t="e">
        <f ca="1">INDEX(RESULTADOS!$A:$BA,MATCH($A71,RESULTADOS!$A:$A,0),MATCH(E$1,RESULTADOS!$1:$1,0))</f>
        <v>#N/A</v>
      </c>
      <c r="F71" s="67" t="e">
        <f ca="1">INDEX(RESULTADOS!$A:$BA,MATCH($A71,RESULTADOS!$A:$A,0),MATCH(F$1,RESULTADOS!$1:$1,0))</f>
        <v>#N/A</v>
      </c>
      <c r="G71" s="30" t="e">
        <f t="shared" ca="1" si="10"/>
        <v>#N/A</v>
      </c>
      <c r="H71" s="67" t="e">
        <f ca="1">INDEX(RESULTADOS!$A:$BA,MATCH($A71,RESULTADOS!$A:$A,0),MATCH(H$1,RESULTADOS!$1:$1,0))</f>
        <v>#N/A</v>
      </c>
      <c r="I71" s="67" t="e">
        <f ca="1">INDEX(RESULTADOS!$A:$BA,MATCH($A71,RESULTADOS!$A:$A,0),MATCH(I$1,RESULTADOS!$1:$1,0))</f>
        <v>#N/A</v>
      </c>
      <c r="J71" s="178" t="e">
        <f t="shared" ca="1" si="15"/>
        <v>#N/A</v>
      </c>
      <c r="K71" s="178" t="e">
        <f t="shared" ca="1" si="15"/>
        <v>#N/A</v>
      </c>
      <c r="L71" s="178" t="e">
        <f t="shared" ca="1" si="15"/>
        <v>#N/A</v>
      </c>
      <c r="M71" s="30" t="e">
        <f t="shared" ca="1" si="5"/>
        <v>#N/A</v>
      </c>
      <c r="N71" s="30" t="e">
        <f t="shared" ca="1" si="6"/>
        <v>#N/A</v>
      </c>
      <c r="O71" s="30" t="e">
        <f t="shared" ca="1" si="7"/>
        <v>#N/A</v>
      </c>
      <c r="P71" s="67" t="e">
        <f ca="1">INDEX(RESULTADOS!$A:$BA,MATCH($A71,RESULTADOS!$A:$A,0),MATCH(P$1,RESULTADOS!$1:$1,0))</f>
        <v>#N/A</v>
      </c>
      <c r="Q71" s="178" t="e">
        <f t="shared" ca="1" si="13"/>
        <v>#N/A</v>
      </c>
      <c r="R71" s="178" t="e">
        <f t="shared" ca="1" si="13"/>
        <v>#N/A</v>
      </c>
      <c r="S71" s="178" t="e">
        <f t="shared" ca="1" si="13"/>
        <v>#N/A</v>
      </c>
      <c r="T71" s="30" t="e">
        <f t="shared" ca="1" si="11"/>
        <v>#N/A</v>
      </c>
      <c r="U71" s="30" t="e">
        <f t="shared" ca="1" si="9"/>
        <v>#N/A</v>
      </c>
    </row>
    <row r="72" spans="1:21" x14ac:dyDescent="0.2">
      <c r="A72" s="49">
        <f t="shared" ca="1" si="12"/>
        <v>43871</v>
      </c>
      <c r="B72" s="53"/>
      <c r="C72" s="53"/>
      <c r="D72" s="52"/>
      <c r="E72" s="67" t="e">
        <f ca="1">INDEX(RESULTADOS!$A:$BA,MATCH($A72,RESULTADOS!$A:$A,0),MATCH(E$1,RESULTADOS!$1:$1,0))</f>
        <v>#N/A</v>
      </c>
      <c r="F72" s="67" t="e">
        <f ca="1">INDEX(RESULTADOS!$A:$BA,MATCH($A72,RESULTADOS!$A:$A,0),MATCH(F$1,RESULTADOS!$1:$1,0))</f>
        <v>#N/A</v>
      </c>
      <c r="G72" s="30" t="e">
        <f t="shared" ca="1" si="10"/>
        <v>#N/A</v>
      </c>
      <c r="H72" s="67" t="e">
        <f ca="1">INDEX(RESULTADOS!$A:$BA,MATCH($A72,RESULTADOS!$A:$A,0),MATCH(H$1,RESULTADOS!$1:$1,0))</f>
        <v>#N/A</v>
      </c>
      <c r="I72" s="67" t="e">
        <f ca="1">INDEX(RESULTADOS!$A:$BA,MATCH($A72,RESULTADOS!$A:$A,0),MATCH(I$1,RESULTADOS!$1:$1,0))</f>
        <v>#N/A</v>
      </c>
      <c r="J72" s="178" t="e">
        <f t="shared" ca="1" si="15"/>
        <v>#N/A</v>
      </c>
      <c r="K72" s="178" t="e">
        <f t="shared" ca="1" si="15"/>
        <v>#N/A</v>
      </c>
      <c r="L72" s="178" t="e">
        <f t="shared" ca="1" si="15"/>
        <v>#N/A</v>
      </c>
      <c r="M72" s="30" t="e">
        <f t="shared" ca="1" si="5"/>
        <v>#N/A</v>
      </c>
      <c r="N72" s="30" t="e">
        <f t="shared" ca="1" si="6"/>
        <v>#N/A</v>
      </c>
      <c r="O72" s="30" t="e">
        <f t="shared" ca="1" si="7"/>
        <v>#N/A</v>
      </c>
      <c r="P72" s="67" t="e">
        <f ca="1">INDEX(RESULTADOS!$A:$BA,MATCH($A72,RESULTADOS!$A:$A,0),MATCH(P$1,RESULTADOS!$1:$1,0))</f>
        <v>#N/A</v>
      </c>
      <c r="Q72" s="178" t="e">
        <f t="shared" ref="Q72:S87" ca="1" si="16">$P72*Q$4</f>
        <v>#N/A</v>
      </c>
      <c r="R72" s="178" t="e">
        <f t="shared" ca="1" si="16"/>
        <v>#N/A</v>
      </c>
      <c r="S72" s="178" t="e">
        <f t="shared" ca="1" si="16"/>
        <v>#N/A</v>
      </c>
      <c r="T72" s="30" t="e">
        <f t="shared" ca="1" si="11"/>
        <v>#N/A</v>
      </c>
      <c r="U72" s="30" t="e">
        <f t="shared" ca="1" si="9"/>
        <v>#N/A</v>
      </c>
    </row>
    <row r="73" spans="1:21" x14ac:dyDescent="0.2">
      <c r="A73" s="49">
        <f t="shared" ca="1" si="12"/>
        <v>43872</v>
      </c>
      <c r="B73" s="53"/>
      <c r="C73" s="53"/>
      <c r="D73" s="52"/>
      <c r="E73" s="67" t="e">
        <f ca="1">INDEX(RESULTADOS!$A:$BA,MATCH($A73,RESULTADOS!$A:$A,0),MATCH(E$1,RESULTADOS!$1:$1,0))</f>
        <v>#N/A</v>
      </c>
      <c r="F73" s="67" t="e">
        <f ca="1">INDEX(RESULTADOS!$A:$BA,MATCH($A73,RESULTADOS!$A:$A,0),MATCH(F$1,RESULTADOS!$1:$1,0))</f>
        <v>#N/A</v>
      </c>
      <c r="G73" s="30" t="e">
        <f t="shared" ref="G73:G80" ca="1" si="17">((F73*(24-$F$3)+F72*$F$3)/24)+E73</f>
        <v>#N/A</v>
      </c>
      <c r="H73" s="67" t="e">
        <f ca="1">INDEX(RESULTADOS!$A:$BA,MATCH($A73,RESULTADOS!$A:$A,0),MATCH(H$1,RESULTADOS!$1:$1,0))</f>
        <v>#N/A</v>
      </c>
      <c r="I73" s="67" t="e">
        <f ca="1">INDEX(RESULTADOS!$A:$BA,MATCH($A73,RESULTADOS!$A:$A,0),MATCH(I$1,RESULTADOS!$1:$1,0))</f>
        <v>#N/A</v>
      </c>
      <c r="J73" s="178" t="e">
        <f t="shared" ca="1" si="15"/>
        <v>#N/A</v>
      </c>
      <c r="K73" s="178" t="e">
        <f t="shared" ca="1" si="15"/>
        <v>#N/A</v>
      </c>
      <c r="L73" s="178" t="e">
        <f t="shared" ca="1" si="15"/>
        <v>#N/A</v>
      </c>
      <c r="M73" s="30" t="e">
        <f t="shared" ref="M73:M80" ca="1" si="18">J73+(H73*(1-$H$3/24)+H72*($H$3/24))</f>
        <v>#N/A</v>
      </c>
      <c r="N73" s="30" t="e">
        <f t="shared" ref="N73:N80" ca="1" si="19">K73+(M73*(1-$M$3/24)+M72*($M$3/24))</f>
        <v>#N/A</v>
      </c>
      <c r="O73" s="30" t="e">
        <f t="shared" ref="O73:O80" ca="1" si="20">L73+G73*(1-$G$3/24)+G72*($G$3/24)</f>
        <v>#N/A</v>
      </c>
      <c r="P73" s="67" t="e">
        <f ca="1">INDEX(RESULTADOS!$A:$BA,MATCH($A73,RESULTADOS!$A:$A,0),MATCH(P$1,RESULTADOS!$1:$1,0))</f>
        <v>#N/A</v>
      </c>
      <c r="Q73" s="178" t="e">
        <f t="shared" ca="1" si="16"/>
        <v>#N/A</v>
      </c>
      <c r="R73" s="178" t="e">
        <f t="shared" ca="1" si="16"/>
        <v>#N/A</v>
      </c>
      <c r="S73" s="178" t="e">
        <f t="shared" ca="1" si="16"/>
        <v>#N/A</v>
      </c>
      <c r="T73" s="30" t="e">
        <f t="shared" ca="1" si="11"/>
        <v>#N/A</v>
      </c>
      <c r="U73" s="30" t="e">
        <f t="shared" ca="1" si="9"/>
        <v>#N/A</v>
      </c>
    </row>
    <row r="74" spans="1:21" x14ac:dyDescent="0.2">
      <c r="A74" s="91">
        <f t="shared" ca="1" si="12"/>
        <v>43873</v>
      </c>
      <c r="B74" s="92"/>
      <c r="C74" s="92"/>
      <c r="D74" s="93"/>
      <c r="E74" s="67" t="e">
        <f ca="1">INDEX(RESULTADOS!$A:$BA,MATCH($A74,RESULTADOS!$A:$A,0),MATCH(E$1,RESULTADOS!$1:$1,0))</f>
        <v>#N/A</v>
      </c>
      <c r="F74" s="67" t="e">
        <f ca="1">INDEX(RESULTADOS!$A:$BA,MATCH($A74,RESULTADOS!$A:$A,0),MATCH(F$1,RESULTADOS!$1:$1,0))</f>
        <v>#N/A</v>
      </c>
      <c r="G74" s="30" t="e">
        <f t="shared" ca="1" si="17"/>
        <v>#N/A</v>
      </c>
      <c r="H74" s="67" t="e">
        <f ca="1">INDEX(RESULTADOS!$A:$BA,MATCH($A74,RESULTADOS!$A:$A,0),MATCH(H$1,RESULTADOS!$1:$1,0))</f>
        <v>#N/A</v>
      </c>
      <c r="I74" s="67" t="e">
        <f ca="1">INDEX(RESULTADOS!$A:$BA,MATCH($A74,RESULTADOS!$A:$A,0),MATCH(I$1,RESULTADOS!$1:$1,0))</f>
        <v>#N/A</v>
      </c>
      <c r="J74" s="178" t="e">
        <f t="shared" ca="1" si="15"/>
        <v>#N/A</v>
      </c>
      <c r="K74" s="178" t="e">
        <f t="shared" ca="1" si="15"/>
        <v>#N/A</v>
      </c>
      <c r="L74" s="178" t="e">
        <f t="shared" ca="1" si="15"/>
        <v>#N/A</v>
      </c>
      <c r="M74" s="30" t="e">
        <f t="shared" ca="1" si="18"/>
        <v>#N/A</v>
      </c>
      <c r="N74" s="30" t="e">
        <f t="shared" ca="1" si="19"/>
        <v>#N/A</v>
      </c>
      <c r="O74" s="30" t="e">
        <f t="shared" ca="1" si="20"/>
        <v>#N/A</v>
      </c>
      <c r="P74" s="67" t="e">
        <f ca="1">INDEX(RESULTADOS!$A:$BA,MATCH($A74,RESULTADOS!$A:$A,0),MATCH(P$1,RESULTADOS!$1:$1,0))</f>
        <v>#N/A</v>
      </c>
      <c r="Q74" s="178" t="e">
        <f t="shared" ca="1" si="16"/>
        <v>#N/A</v>
      </c>
      <c r="R74" s="178" t="e">
        <f t="shared" ca="1" si="16"/>
        <v>#N/A</v>
      </c>
      <c r="S74" s="178" t="e">
        <f t="shared" ca="1" si="16"/>
        <v>#N/A</v>
      </c>
      <c r="T74" s="30" t="e">
        <f t="shared" ca="1" si="11"/>
        <v>#N/A</v>
      </c>
      <c r="U74" s="30" t="e">
        <f t="shared" ref="U74:U80" ca="1" si="21">((T74*(24-$T$3)+T73*$T$3)/24)+R74</f>
        <v>#N/A</v>
      </c>
    </row>
    <row r="75" spans="1:21" x14ac:dyDescent="0.2">
      <c r="A75" s="49">
        <f t="shared" ca="1" si="12"/>
        <v>43874</v>
      </c>
      <c r="B75" s="53"/>
      <c r="C75" s="53"/>
      <c r="D75" s="52"/>
      <c r="E75" s="67" t="e">
        <f ca="1">INDEX(RESULTADOS!$A:$BA,MATCH($A75,RESULTADOS!$A:$A,0),MATCH(E$1,RESULTADOS!$1:$1,0))</f>
        <v>#N/A</v>
      </c>
      <c r="F75" s="67" t="e">
        <f ca="1">INDEX(RESULTADOS!$A:$BA,MATCH($A75,RESULTADOS!$A:$A,0),MATCH(F$1,RESULTADOS!$1:$1,0))</f>
        <v>#N/A</v>
      </c>
      <c r="G75" s="30" t="e">
        <f t="shared" ca="1" si="17"/>
        <v>#N/A</v>
      </c>
      <c r="H75" s="67" t="e">
        <f ca="1">INDEX(RESULTADOS!$A:$BA,MATCH($A75,RESULTADOS!$A:$A,0),MATCH(H$1,RESULTADOS!$1:$1,0))</f>
        <v>#N/A</v>
      </c>
      <c r="I75" s="67" t="e">
        <f ca="1">INDEX(RESULTADOS!$A:$BA,MATCH($A75,RESULTADOS!$A:$A,0),MATCH(I$1,RESULTADOS!$1:$1,0))</f>
        <v>#N/A</v>
      </c>
      <c r="J75" s="178" t="e">
        <f t="shared" ca="1" si="15"/>
        <v>#N/A</v>
      </c>
      <c r="K75" s="178" t="e">
        <f t="shared" ca="1" si="15"/>
        <v>#N/A</v>
      </c>
      <c r="L75" s="178" t="e">
        <f t="shared" ca="1" si="15"/>
        <v>#N/A</v>
      </c>
      <c r="M75" s="30" t="e">
        <f t="shared" ca="1" si="18"/>
        <v>#N/A</v>
      </c>
      <c r="N75" s="30" t="e">
        <f t="shared" ca="1" si="19"/>
        <v>#N/A</v>
      </c>
      <c r="O75" s="30" t="e">
        <f t="shared" ca="1" si="20"/>
        <v>#N/A</v>
      </c>
      <c r="P75" s="67" t="e">
        <f ca="1">INDEX(RESULTADOS!$A:$BA,MATCH($A75,RESULTADOS!$A:$A,0),MATCH(P$1,RESULTADOS!$1:$1,0))</f>
        <v>#N/A</v>
      </c>
      <c r="Q75" s="178" t="e">
        <f t="shared" ca="1" si="16"/>
        <v>#N/A</v>
      </c>
      <c r="R75" s="178" t="e">
        <f t="shared" ca="1" si="16"/>
        <v>#N/A</v>
      </c>
      <c r="S75" s="178" t="e">
        <f t="shared" ca="1" si="16"/>
        <v>#N/A</v>
      </c>
      <c r="T75" s="30" t="e">
        <f t="shared" ca="1" si="11"/>
        <v>#N/A</v>
      </c>
      <c r="U75" s="30" t="e">
        <f t="shared" ca="1" si="21"/>
        <v>#N/A</v>
      </c>
    </row>
    <row r="76" spans="1:21" x14ac:dyDescent="0.2">
      <c r="A76" s="49">
        <f t="shared" ca="1" si="12"/>
        <v>43875</v>
      </c>
      <c r="B76" s="53"/>
      <c r="C76" s="53"/>
      <c r="D76" s="52"/>
      <c r="E76" s="67" t="e">
        <f ca="1">INDEX(RESULTADOS!$A:$BA,MATCH($A76,RESULTADOS!$A:$A,0),MATCH(E$1,RESULTADOS!$1:$1,0))</f>
        <v>#N/A</v>
      </c>
      <c r="F76" s="67" t="e">
        <f ca="1">INDEX(RESULTADOS!$A:$BA,MATCH($A76,RESULTADOS!$A:$A,0),MATCH(F$1,RESULTADOS!$1:$1,0))</f>
        <v>#N/A</v>
      </c>
      <c r="G76" s="30" t="e">
        <f t="shared" ca="1" si="17"/>
        <v>#N/A</v>
      </c>
      <c r="H76" s="67" t="e">
        <f ca="1">INDEX(RESULTADOS!$A:$BA,MATCH($A76,RESULTADOS!$A:$A,0),MATCH(H$1,RESULTADOS!$1:$1,0))</f>
        <v>#N/A</v>
      </c>
      <c r="I76" s="67" t="e">
        <f ca="1">INDEX(RESULTADOS!$A:$BA,MATCH($A76,RESULTADOS!$A:$A,0),MATCH(I$1,RESULTADOS!$1:$1,0))</f>
        <v>#N/A</v>
      </c>
      <c r="J76" s="178" t="e">
        <f t="shared" ca="1" si="15"/>
        <v>#N/A</v>
      </c>
      <c r="K76" s="178" t="e">
        <f t="shared" ca="1" si="15"/>
        <v>#N/A</v>
      </c>
      <c r="L76" s="178" t="e">
        <f t="shared" ca="1" si="15"/>
        <v>#N/A</v>
      </c>
      <c r="M76" s="30" t="e">
        <f t="shared" ca="1" si="18"/>
        <v>#N/A</v>
      </c>
      <c r="N76" s="30" t="e">
        <f t="shared" ca="1" si="19"/>
        <v>#N/A</v>
      </c>
      <c r="O76" s="30" t="e">
        <f t="shared" ca="1" si="20"/>
        <v>#N/A</v>
      </c>
      <c r="P76" s="67" t="e">
        <f ca="1">INDEX(RESULTADOS!$A:$BA,MATCH($A76,RESULTADOS!$A:$A,0),MATCH(P$1,RESULTADOS!$1:$1,0))</f>
        <v>#N/A</v>
      </c>
      <c r="Q76" s="178" t="e">
        <f t="shared" ca="1" si="16"/>
        <v>#N/A</v>
      </c>
      <c r="R76" s="178" t="e">
        <f t="shared" ca="1" si="16"/>
        <v>#N/A</v>
      </c>
      <c r="S76" s="178" t="e">
        <f t="shared" ca="1" si="16"/>
        <v>#N/A</v>
      </c>
      <c r="T76" s="30" t="e">
        <f t="shared" ca="1" si="11"/>
        <v>#N/A</v>
      </c>
      <c r="U76" s="30" t="e">
        <f t="shared" ca="1" si="21"/>
        <v>#N/A</v>
      </c>
    </row>
    <row r="77" spans="1:21" x14ac:dyDescent="0.2">
      <c r="A77" s="49">
        <f t="shared" ca="1" si="12"/>
        <v>43876</v>
      </c>
      <c r="B77" s="53"/>
      <c r="C77" s="53"/>
      <c r="D77" s="52"/>
      <c r="E77" s="67" t="e">
        <f ca="1">INDEX(RESULTADOS!$A:$BA,MATCH($A77,RESULTADOS!$A:$A,0),MATCH(E$1,RESULTADOS!$1:$1,0))</f>
        <v>#N/A</v>
      </c>
      <c r="F77" s="67" t="e">
        <f ca="1">INDEX(RESULTADOS!$A:$BA,MATCH($A77,RESULTADOS!$A:$A,0),MATCH(F$1,RESULTADOS!$1:$1,0))</f>
        <v>#N/A</v>
      </c>
      <c r="G77" s="30" t="e">
        <f t="shared" ca="1" si="17"/>
        <v>#N/A</v>
      </c>
      <c r="H77" s="67" t="e">
        <f ca="1">INDEX(RESULTADOS!$A:$BA,MATCH($A77,RESULTADOS!$A:$A,0),MATCH(H$1,RESULTADOS!$1:$1,0))</f>
        <v>#N/A</v>
      </c>
      <c r="I77" s="67" t="e">
        <f ca="1">INDEX(RESULTADOS!$A:$BA,MATCH($A77,RESULTADOS!$A:$A,0),MATCH(I$1,RESULTADOS!$1:$1,0))</f>
        <v>#N/A</v>
      </c>
      <c r="J77" s="178" t="e">
        <f t="shared" ca="1" si="15"/>
        <v>#N/A</v>
      </c>
      <c r="K77" s="178" t="e">
        <f t="shared" ca="1" si="15"/>
        <v>#N/A</v>
      </c>
      <c r="L77" s="178" t="e">
        <f t="shared" ca="1" si="15"/>
        <v>#N/A</v>
      </c>
      <c r="M77" s="30" t="e">
        <f t="shared" ca="1" si="18"/>
        <v>#N/A</v>
      </c>
      <c r="N77" s="30" t="e">
        <f t="shared" ca="1" si="19"/>
        <v>#N/A</v>
      </c>
      <c r="O77" s="30" t="e">
        <f t="shared" ca="1" si="20"/>
        <v>#N/A</v>
      </c>
      <c r="P77" s="67" t="e">
        <f ca="1">INDEX(RESULTADOS!$A:$BA,MATCH($A77,RESULTADOS!$A:$A,0),MATCH(P$1,RESULTADOS!$1:$1,0))</f>
        <v>#N/A</v>
      </c>
      <c r="Q77" s="178" t="e">
        <f t="shared" ca="1" si="16"/>
        <v>#N/A</v>
      </c>
      <c r="R77" s="178" t="e">
        <f t="shared" ca="1" si="16"/>
        <v>#N/A</v>
      </c>
      <c r="S77" s="178" t="e">
        <f t="shared" ca="1" si="16"/>
        <v>#N/A</v>
      </c>
      <c r="T77" s="30" t="e">
        <f t="shared" ca="1" si="11"/>
        <v>#N/A</v>
      </c>
      <c r="U77" s="30" t="e">
        <f t="shared" ca="1" si="21"/>
        <v>#N/A</v>
      </c>
    </row>
    <row r="78" spans="1:21" x14ac:dyDescent="0.2">
      <c r="A78" s="49">
        <f t="shared" ca="1" si="12"/>
        <v>43877</v>
      </c>
      <c r="B78" s="53"/>
      <c r="C78" s="53"/>
      <c r="D78" s="52"/>
      <c r="E78" s="67" t="e">
        <f ca="1">INDEX(RESULTADOS!$A:$BA,MATCH($A78,RESULTADOS!$A:$A,0),MATCH(E$1,RESULTADOS!$1:$1,0))</f>
        <v>#N/A</v>
      </c>
      <c r="F78" s="67" t="e">
        <f ca="1">INDEX(RESULTADOS!$A:$BA,MATCH($A78,RESULTADOS!$A:$A,0),MATCH(F$1,RESULTADOS!$1:$1,0))</f>
        <v>#N/A</v>
      </c>
      <c r="G78" s="30" t="e">
        <f t="shared" ca="1" si="17"/>
        <v>#N/A</v>
      </c>
      <c r="H78" s="67" t="e">
        <f ca="1">INDEX(RESULTADOS!$A:$BA,MATCH($A78,RESULTADOS!$A:$A,0),MATCH(H$1,RESULTADOS!$1:$1,0))</f>
        <v>#N/A</v>
      </c>
      <c r="I78" s="67" t="e">
        <f ca="1">INDEX(RESULTADOS!$A:$BA,MATCH($A78,RESULTADOS!$A:$A,0),MATCH(I$1,RESULTADOS!$1:$1,0))</f>
        <v>#N/A</v>
      </c>
      <c r="J78" s="178" t="e">
        <f t="shared" ca="1" si="15"/>
        <v>#N/A</v>
      </c>
      <c r="K78" s="178" t="e">
        <f t="shared" ca="1" si="15"/>
        <v>#N/A</v>
      </c>
      <c r="L78" s="178" t="e">
        <f t="shared" ca="1" si="15"/>
        <v>#N/A</v>
      </c>
      <c r="M78" s="30" t="e">
        <f t="shared" ca="1" si="18"/>
        <v>#N/A</v>
      </c>
      <c r="N78" s="30" t="e">
        <f t="shared" ca="1" si="19"/>
        <v>#N/A</v>
      </c>
      <c r="O78" s="30" t="e">
        <f t="shared" ca="1" si="20"/>
        <v>#N/A</v>
      </c>
      <c r="P78" s="67" t="e">
        <f ca="1">INDEX(RESULTADOS!$A:$BA,MATCH($A78,RESULTADOS!$A:$A,0),MATCH(P$1,RESULTADOS!$1:$1,0))</f>
        <v>#N/A</v>
      </c>
      <c r="Q78" s="178" t="e">
        <f t="shared" ca="1" si="16"/>
        <v>#N/A</v>
      </c>
      <c r="R78" s="178" t="e">
        <f t="shared" ca="1" si="16"/>
        <v>#N/A</v>
      </c>
      <c r="S78" s="178" t="e">
        <f t="shared" ca="1" si="16"/>
        <v>#N/A</v>
      </c>
      <c r="T78" s="30" t="e">
        <f t="shared" ca="1" si="11"/>
        <v>#N/A</v>
      </c>
      <c r="U78" s="30" t="e">
        <f t="shared" ca="1" si="21"/>
        <v>#N/A</v>
      </c>
    </row>
    <row r="79" spans="1:21" x14ac:dyDescent="0.2">
      <c r="A79" s="49">
        <f t="shared" ca="1" si="12"/>
        <v>43878</v>
      </c>
      <c r="B79" s="53"/>
      <c r="C79" s="53"/>
      <c r="D79" s="52"/>
      <c r="E79" s="67" t="e">
        <f ca="1">INDEX(RESULTADOS!$A:$BA,MATCH($A79,RESULTADOS!$A:$A,0),MATCH(E$1,RESULTADOS!$1:$1,0))</f>
        <v>#N/A</v>
      </c>
      <c r="F79" s="67" t="e">
        <f ca="1">INDEX(RESULTADOS!$A:$BA,MATCH($A79,RESULTADOS!$A:$A,0),MATCH(F$1,RESULTADOS!$1:$1,0))</f>
        <v>#N/A</v>
      </c>
      <c r="G79" s="30" t="e">
        <f t="shared" ca="1" si="17"/>
        <v>#N/A</v>
      </c>
      <c r="H79" s="67" t="e">
        <f ca="1">INDEX(RESULTADOS!$A:$BA,MATCH($A79,RESULTADOS!$A:$A,0),MATCH(H$1,RESULTADOS!$1:$1,0))</f>
        <v>#N/A</v>
      </c>
      <c r="I79" s="67" t="e">
        <f ca="1">INDEX(RESULTADOS!$A:$BA,MATCH($A79,RESULTADOS!$A:$A,0),MATCH(I$1,RESULTADOS!$1:$1,0))</f>
        <v>#N/A</v>
      </c>
      <c r="J79" s="178" t="e">
        <f t="shared" ca="1" si="15"/>
        <v>#N/A</v>
      </c>
      <c r="K79" s="178" t="e">
        <f t="shared" ca="1" si="15"/>
        <v>#N/A</v>
      </c>
      <c r="L79" s="178" t="e">
        <f t="shared" ca="1" si="15"/>
        <v>#N/A</v>
      </c>
      <c r="M79" s="30" t="e">
        <f t="shared" ca="1" si="18"/>
        <v>#N/A</v>
      </c>
      <c r="N79" s="30" t="e">
        <f t="shared" ca="1" si="19"/>
        <v>#N/A</v>
      </c>
      <c r="O79" s="30" t="e">
        <f t="shared" ca="1" si="20"/>
        <v>#N/A</v>
      </c>
      <c r="P79" s="67" t="e">
        <f ca="1">INDEX(RESULTADOS!$A:$BA,MATCH($A79,RESULTADOS!$A:$A,0),MATCH(P$1,RESULTADOS!$1:$1,0))</f>
        <v>#N/A</v>
      </c>
      <c r="Q79" s="178" t="e">
        <f t="shared" ca="1" si="16"/>
        <v>#N/A</v>
      </c>
      <c r="R79" s="178" t="e">
        <f t="shared" ca="1" si="16"/>
        <v>#N/A</v>
      </c>
      <c r="S79" s="178" t="e">
        <f t="shared" ca="1" si="16"/>
        <v>#N/A</v>
      </c>
      <c r="T79" s="30" t="e">
        <f t="shared" ca="1" si="11"/>
        <v>#N/A</v>
      </c>
      <c r="U79" s="30" t="e">
        <f t="shared" ca="1" si="21"/>
        <v>#N/A</v>
      </c>
    </row>
    <row r="80" spans="1:21" x14ac:dyDescent="0.2">
      <c r="A80" s="49">
        <f t="shared" ca="1" si="12"/>
        <v>43879</v>
      </c>
      <c r="B80" s="53"/>
      <c r="C80" s="53"/>
      <c r="D80" s="52"/>
      <c r="E80" s="67" t="e">
        <f ca="1">INDEX(RESULTADOS!$A:$BA,MATCH($A80,RESULTADOS!$A:$A,0),MATCH(E$1,RESULTADOS!$1:$1,0))</f>
        <v>#N/A</v>
      </c>
      <c r="F80" s="67" t="e">
        <f ca="1">INDEX(RESULTADOS!$A:$BA,MATCH($A80,RESULTADOS!$A:$A,0),MATCH(F$1,RESULTADOS!$1:$1,0))</f>
        <v>#N/A</v>
      </c>
      <c r="G80" s="30" t="e">
        <f t="shared" ca="1" si="17"/>
        <v>#N/A</v>
      </c>
      <c r="H80" s="67" t="e">
        <f ca="1">INDEX(RESULTADOS!$A:$BA,MATCH($A80,RESULTADOS!$A:$A,0),MATCH(H$1,RESULTADOS!$1:$1,0))</f>
        <v>#N/A</v>
      </c>
      <c r="I80" s="67" t="e">
        <f ca="1">INDEX(RESULTADOS!$A:$BA,MATCH($A80,RESULTADOS!$A:$A,0),MATCH(I$1,RESULTADOS!$1:$1,0))</f>
        <v>#N/A</v>
      </c>
      <c r="J80" s="178" t="e">
        <f t="shared" ca="1" si="15"/>
        <v>#N/A</v>
      </c>
      <c r="K80" s="178" t="e">
        <f t="shared" ca="1" si="15"/>
        <v>#N/A</v>
      </c>
      <c r="L80" s="178" t="e">
        <f t="shared" ca="1" si="15"/>
        <v>#N/A</v>
      </c>
      <c r="M80" s="30" t="e">
        <f t="shared" ca="1" si="18"/>
        <v>#N/A</v>
      </c>
      <c r="N80" s="30" t="e">
        <f t="shared" ca="1" si="19"/>
        <v>#N/A</v>
      </c>
      <c r="O80" s="30" t="e">
        <f t="shared" ca="1" si="20"/>
        <v>#N/A</v>
      </c>
      <c r="P80" s="67" t="e">
        <f ca="1">INDEX(RESULTADOS!$A:$BA,MATCH($A80,RESULTADOS!$A:$A,0),MATCH(P$1,RESULTADOS!$1:$1,0))</f>
        <v>#N/A</v>
      </c>
      <c r="Q80" s="178" t="e">
        <f t="shared" ca="1" si="16"/>
        <v>#N/A</v>
      </c>
      <c r="R80" s="178" t="e">
        <f t="shared" ca="1" si="16"/>
        <v>#N/A</v>
      </c>
      <c r="S80" s="178" t="e">
        <f t="shared" ca="1" si="16"/>
        <v>#N/A</v>
      </c>
      <c r="T80" s="30" t="e">
        <f t="shared" ca="1" si="11"/>
        <v>#N/A</v>
      </c>
      <c r="U80" s="30" t="e">
        <f t="shared" ca="1" si="21"/>
        <v>#N/A</v>
      </c>
    </row>
    <row r="81" spans="1:21" s="272" customFormat="1" x14ac:dyDescent="0.2">
      <c r="A81" s="273">
        <f t="shared" ca="1" si="12"/>
        <v>43880</v>
      </c>
      <c r="B81" s="53"/>
      <c r="C81" s="53"/>
      <c r="D81" s="52"/>
      <c r="E81" s="279" t="e">
        <f ca="1">INDEX(RESULTADOS!$A:$BA,MATCH($A81,RESULTADOS!$A:$A,0),MATCH(E$1,RESULTADOS!$1:$1,0))</f>
        <v>#N/A</v>
      </c>
      <c r="F81" s="279" t="e">
        <f ca="1">INDEX(RESULTADOS!$A:$BA,MATCH($A81,RESULTADOS!$A:$A,0),MATCH(F$1,RESULTADOS!$1:$1,0))</f>
        <v>#N/A</v>
      </c>
      <c r="G81" s="30" t="e">
        <f t="shared" ref="G81:G110" ca="1" si="22">((F81*(24-$F$3)+F80*$F$3)/24)+E81</f>
        <v>#N/A</v>
      </c>
      <c r="H81" s="279" t="e">
        <f ca="1">INDEX(RESULTADOS!$A:$BA,MATCH($A81,RESULTADOS!$A:$A,0),MATCH(H$1,RESULTADOS!$1:$1,0))</f>
        <v>#N/A</v>
      </c>
      <c r="I81" s="279" t="e">
        <f ca="1">INDEX(RESULTADOS!$A:$BA,MATCH($A81,RESULTADOS!$A:$A,0),MATCH(I$1,RESULTADOS!$1:$1,0))</f>
        <v>#N/A</v>
      </c>
      <c r="J81" s="178" t="e">
        <f t="shared" ca="1" si="15"/>
        <v>#N/A</v>
      </c>
      <c r="K81" s="178" t="e">
        <f t="shared" ca="1" si="15"/>
        <v>#N/A</v>
      </c>
      <c r="L81" s="178" t="e">
        <f t="shared" ca="1" si="15"/>
        <v>#N/A</v>
      </c>
      <c r="M81" s="30" t="e">
        <f t="shared" ref="M81:M110" ca="1" si="23">J81+(H81*(1-$H$3/24)+H80*($H$3/24))</f>
        <v>#N/A</v>
      </c>
      <c r="N81" s="30" t="e">
        <f t="shared" ref="N81:N110" ca="1" si="24">K81+(M81*(1-$M$3/24)+M80*($M$3/24))</f>
        <v>#N/A</v>
      </c>
      <c r="O81" s="30" t="e">
        <f t="shared" ref="O81:O110" ca="1" si="25">L81+G81*(1-$G$3/24)+G80*($G$3/24)</f>
        <v>#N/A</v>
      </c>
      <c r="P81" s="279" t="e">
        <f ca="1">INDEX(RESULTADOS!$A:$BA,MATCH($A81,RESULTADOS!$A:$A,0),MATCH(P$1,RESULTADOS!$1:$1,0))</f>
        <v>#N/A</v>
      </c>
      <c r="Q81" s="178" t="e">
        <f t="shared" ca="1" si="16"/>
        <v>#N/A</v>
      </c>
      <c r="R81" s="178" t="e">
        <f t="shared" ca="1" si="16"/>
        <v>#N/A</v>
      </c>
      <c r="S81" s="178" t="e">
        <f t="shared" ca="1" si="16"/>
        <v>#N/A</v>
      </c>
      <c r="T81" s="30" t="e">
        <f t="shared" ref="T81:T110" ca="1" si="26">((N81*(24-$N$3)+N80*$N$3)/24)+((O81*(24-$O$3)+O80*$O$3)/24)+S81</f>
        <v>#N/A</v>
      </c>
      <c r="U81" s="30" t="e">
        <f t="shared" ref="U81:U110" ca="1" si="27">((T81*(24-$T$3)+T80*$T$3)/24)+R81</f>
        <v>#N/A</v>
      </c>
    </row>
    <row r="82" spans="1:21" s="272" customFormat="1" x14ac:dyDescent="0.2">
      <c r="A82" s="273">
        <f t="shared" ca="1" si="12"/>
        <v>43881</v>
      </c>
      <c r="B82" s="53"/>
      <c r="C82" s="53"/>
      <c r="D82" s="52"/>
      <c r="E82" s="279" t="e">
        <f ca="1">INDEX(RESULTADOS!$A:$BA,MATCH($A82,RESULTADOS!$A:$A,0),MATCH(E$1,RESULTADOS!$1:$1,0))</f>
        <v>#N/A</v>
      </c>
      <c r="F82" s="279" t="e">
        <f ca="1">INDEX(RESULTADOS!$A:$BA,MATCH($A82,RESULTADOS!$A:$A,0),MATCH(F$1,RESULTADOS!$1:$1,0))</f>
        <v>#N/A</v>
      </c>
      <c r="G82" s="30" t="e">
        <f t="shared" ca="1" si="22"/>
        <v>#N/A</v>
      </c>
      <c r="H82" s="279" t="e">
        <f ca="1">INDEX(RESULTADOS!$A:$BA,MATCH($A82,RESULTADOS!$A:$A,0),MATCH(H$1,RESULTADOS!$1:$1,0))</f>
        <v>#N/A</v>
      </c>
      <c r="I82" s="279" t="e">
        <f ca="1">INDEX(RESULTADOS!$A:$BA,MATCH($A82,RESULTADOS!$A:$A,0),MATCH(I$1,RESULTADOS!$1:$1,0))</f>
        <v>#N/A</v>
      </c>
      <c r="J82" s="178" t="e">
        <f t="shared" ca="1" si="15"/>
        <v>#N/A</v>
      </c>
      <c r="K82" s="178" t="e">
        <f t="shared" ca="1" si="15"/>
        <v>#N/A</v>
      </c>
      <c r="L82" s="178" t="e">
        <f t="shared" ca="1" si="15"/>
        <v>#N/A</v>
      </c>
      <c r="M82" s="30" t="e">
        <f t="shared" ca="1" si="23"/>
        <v>#N/A</v>
      </c>
      <c r="N82" s="30" t="e">
        <f t="shared" ca="1" si="24"/>
        <v>#N/A</v>
      </c>
      <c r="O82" s="30" t="e">
        <f t="shared" ca="1" si="25"/>
        <v>#N/A</v>
      </c>
      <c r="P82" s="279" t="e">
        <f ca="1">INDEX(RESULTADOS!$A:$BA,MATCH($A82,RESULTADOS!$A:$A,0),MATCH(P$1,RESULTADOS!$1:$1,0))</f>
        <v>#N/A</v>
      </c>
      <c r="Q82" s="178" t="e">
        <f t="shared" ca="1" si="16"/>
        <v>#N/A</v>
      </c>
      <c r="R82" s="178" t="e">
        <f t="shared" ca="1" si="16"/>
        <v>#N/A</v>
      </c>
      <c r="S82" s="178" t="e">
        <f t="shared" ca="1" si="16"/>
        <v>#N/A</v>
      </c>
      <c r="T82" s="30" t="e">
        <f t="shared" ca="1" si="26"/>
        <v>#N/A</v>
      </c>
      <c r="U82" s="30" t="e">
        <f t="shared" ca="1" si="27"/>
        <v>#N/A</v>
      </c>
    </row>
    <row r="83" spans="1:21" s="272" customFormat="1" x14ac:dyDescent="0.2">
      <c r="A83" s="273">
        <f t="shared" ca="1" si="12"/>
        <v>43882</v>
      </c>
      <c r="B83" s="53"/>
      <c r="C83" s="53"/>
      <c r="D83" s="52"/>
      <c r="E83" s="279" t="e">
        <f ca="1">INDEX(RESULTADOS!$A:$BA,MATCH($A83,RESULTADOS!$A:$A,0),MATCH(E$1,RESULTADOS!$1:$1,0))</f>
        <v>#N/A</v>
      </c>
      <c r="F83" s="279" t="e">
        <f ca="1">INDEX(RESULTADOS!$A:$BA,MATCH($A83,RESULTADOS!$A:$A,0),MATCH(F$1,RESULTADOS!$1:$1,0))</f>
        <v>#N/A</v>
      </c>
      <c r="G83" s="30" t="e">
        <f t="shared" ca="1" si="22"/>
        <v>#N/A</v>
      </c>
      <c r="H83" s="279" t="e">
        <f ca="1">INDEX(RESULTADOS!$A:$BA,MATCH($A83,RESULTADOS!$A:$A,0),MATCH(H$1,RESULTADOS!$1:$1,0))</f>
        <v>#N/A</v>
      </c>
      <c r="I83" s="279" t="e">
        <f ca="1">INDEX(RESULTADOS!$A:$BA,MATCH($A83,RESULTADOS!$A:$A,0),MATCH(I$1,RESULTADOS!$1:$1,0))</f>
        <v>#N/A</v>
      </c>
      <c r="J83" s="178" t="e">
        <f t="shared" ref="J83:L110" ca="1" si="28">$I83*J$4</f>
        <v>#N/A</v>
      </c>
      <c r="K83" s="178" t="e">
        <f t="shared" ca="1" si="28"/>
        <v>#N/A</v>
      </c>
      <c r="L83" s="178" t="e">
        <f t="shared" ca="1" si="28"/>
        <v>#N/A</v>
      </c>
      <c r="M83" s="30" t="e">
        <f t="shared" ca="1" si="23"/>
        <v>#N/A</v>
      </c>
      <c r="N83" s="30" t="e">
        <f t="shared" ca="1" si="24"/>
        <v>#N/A</v>
      </c>
      <c r="O83" s="30" t="e">
        <f t="shared" ca="1" si="25"/>
        <v>#N/A</v>
      </c>
      <c r="P83" s="279" t="e">
        <f ca="1">INDEX(RESULTADOS!$A:$BA,MATCH($A83,RESULTADOS!$A:$A,0),MATCH(P$1,RESULTADOS!$1:$1,0))</f>
        <v>#N/A</v>
      </c>
      <c r="Q83" s="178" t="e">
        <f t="shared" ca="1" si="16"/>
        <v>#N/A</v>
      </c>
      <c r="R83" s="178" t="e">
        <f t="shared" ca="1" si="16"/>
        <v>#N/A</v>
      </c>
      <c r="S83" s="178" t="e">
        <f t="shared" ca="1" si="16"/>
        <v>#N/A</v>
      </c>
      <c r="T83" s="30" t="e">
        <f t="shared" ca="1" si="26"/>
        <v>#N/A</v>
      </c>
      <c r="U83" s="30" t="e">
        <f t="shared" ca="1" si="27"/>
        <v>#N/A</v>
      </c>
    </row>
    <row r="84" spans="1:21" s="272" customFormat="1" x14ac:dyDescent="0.2">
      <c r="A84" s="273">
        <f t="shared" ca="1" si="12"/>
        <v>43883</v>
      </c>
      <c r="B84" s="53"/>
      <c r="C84" s="53"/>
      <c r="D84" s="52"/>
      <c r="E84" s="279" t="e">
        <f ca="1">INDEX(RESULTADOS!$A:$BA,MATCH($A84,RESULTADOS!$A:$A,0),MATCH(E$1,RESULTADOS!$1:$1,0))</f>
        <v>#N/A</v>
      </c>
      <c r="F84" s="279" t="e">
        <f ca="1">INDEX(RESULTADOS!$A:$BA,MATCH($A84,RESULTADOS!$A:$A,0),MATCH(F$1,RESULTADOS!$1:$1,0))</f>
        <v>#N/A</v>
      </c>
      <c r="G84" s="30" t="e">
        <f t="shared" ca="1" si="22"/>
        <v>#N/A</v>
      </c>
      <c r="H84" s="279" t="e">
        <f ca="1">INDEX(RESULTADOS!$A:$BA,MATCH($A84,RESULTADOS!$A:$A,0),MATCH(H$1,RESULTADOS!$1:$1,0))</f>
        <v>#N/A</v>
      </c>
      <c r="I84" s="279" t="e">
        <f ca="1">INDEX(RESULTADOS!$A:$BA,MATCH($A84,RESULTADOS!$A:$A,0),MATCH(I$1,RESULTADOS!$1:$1,0))</f>
        <v>#N/A</v>
      </c>
      <c r="J84" s="178" t="e">
        <f t="shared" ca="1" si="28"/>
        <v>#N/A</v>
      </c>
      <c r="K84" s="178" t="e">
        <f t="shared" ca="1" si="28"/>
        <v>#N/A</v>
      </c>
      <c r="L84" s="178" t="e">
        <f t="shared" ca="1" si="28"/>
        <v>#N/A</v>
      </c>
      <c r="M84" s="30" t="e">
        <f t="shared" ca="1" si="23"/>
        <v>#N/A</v>
      </c>
      <c r="N84" s="30" t="e">
        <f t="shared" ca="1" si="24"/>
        <v>#N/A</v>
      </c>
      <c r="O84" s="30" t="e">
        <f t="shared" ca="1" si="25"/>
        <v>#N/A</v>
      </c>
      <c r="P84" s="279" t="e">
        <f ca="1">INDEX(RESULTADOS!$A:$BA,MATCH($A84,RESULTADOS!$A:$A,0),MATCH(P$1,RESULTADOS!$1:$1,0))</f>
        <v>#N/A</v>
      </c>
      <c r="Q84" s="178" t="e">
        <f t="shared" ca="1" si="16"/>
        <v>#N/A</v>
      </c>
      <c r="R84" s="178" t="e">
        <f t="shared" ca="1" si="16"/>
        <v>#N/A</v>
      </c>
      <c r="S84" s="178" t="e">
        <f t="shared" ca="1" si="16"/>
        <v>#N/A</v>
      </c>
      <c r="T84" s="30" t="e">
        <f t="shared" ca="1" si="26"/>
        <v>#N/A</v>
      </c>
      <c r="U84" s="30" t="e">
        <f t="shared" ca="1" si="27"/>
        <v>#N/A</v>
      </c>
    </row>
    <row r="85" spans="1:21" s="272" customFormat="1" x14ac:dyDescent="0.2">
      <c r="A85" s="273">
        <f t="shared" ca="1" si="12"/>
        <v>43884</v>
      </c>
      <c r="B85" s="53"/>
      <c r="C85" s="53"/>
      <c r="D85" s="52"/>
      <c r="E85" s="279" t="e">
        <f ca="1">INDEX(RESULTADOS!$A:$BA,MATCH($A85,RESULTADOS!$A:$A,0),MATCH(E$1,RESULTADOS!$1:$1,0))</f>
        <v>#N/A</v>
      </c>
      <c r="F85" s="279" t="e">
        <f ca="1">INDEX(RESULTADOS!$A:$BA,MATCH($A85,RESULTADOS!$A:$A,0),MATCH(F$1,RESULTADOS!$1:$1,0))</f>
        <v>#N/A</v>
      </c>
      <c r="G85" s="30" t="e">
        <f t="shared" ca="1" si="22"/>
        <v>#N/A</v>
      </c>
      <c r="H85" s="279" t="e">
        <f ca="1">INDEX(RESULTADOS!$A:$BA,MATCH($A85,RESULTADOS!$A:$A,0),MATCH(H$1,RESULTADOS!$1:$1,0))</f>
        <v>#N/A</v>
      </c>
      <c r="I85" s="279" t="e">
        <f ca="1">INDEX(RESULTADOS!$A:$BA,MATCH($A85,RESULTADOS!$A:$A,0),MATCH(I$1,RESULTADOS!$1:$1,0))</f>
        <v>#N/A</v>
      </c>
      <c r="J85" s="178" t="e">
        <f t="shared" ca="1" si="28"/>
        <v>#N/A</v>
      </c>
      <c r="K85" s="178" t="e">
        <f t="shared" ca="1" si="28"/>
        <v>#N/A</v>
      </c>
      <c r="L85" s="178" t="e">
        <f t="shared" ca="1" si="28"/>
        <v>#N/A</v>
      </c>
      <c r="M85" s="30" t="e">
        <f t="shared" ca="1" si="23"/>
        <v>#N/A</v>
      </c>
      <c r="N85" s="30" t="e">
        <f t="shared" ca="1" si="24"/>
        <v>#N/A</v>
      </c>
      <c r="O85" s="30" t="e">
        <f t="shared" ca="1" si="25"/>
        <v>#N/A</v>
      </c>
      <c r="P85" s="279" t="e">
        <f ca="1">INDEX(RESULTADOS!$A:$BA,MATCH($A85,RESULTADOS!$A:$A,0),MATCH(P$1,RESULTADOS!$1:$1,0))</f>
        <v>#N/A</v>
      </c>
      <c r="Q85" s="178" t="e">
        <f t="shared" ca="1" si="16"/>
        <v>#N/A</v>
      </c>
      <c r="R85" s="178" t="e">
        <f t="shared" ca="1" si="16"/>
        <v>#N/A</v>
      </c>
      <c r="S85" s="178" t="e">
        <f t="shared" ca="1" si="16"/>
        <v>#N/A</v>
      </c>
      <c r="T85" s="30" t="e">
        <f t="shared" ca="1" si="26"/>
        <v>#N/A</v>
      </c>
      <c r="U85" s="30" t="e">
        <f t="shared" ca="1" si="27"/>
        <v>#N/A</v>
      </c>
    </row>
    <row r="86" spans="1:21" s="272" customFormat="1" x14ac:dyDescent="0.2">
      <c r="A86" s="273">
        <f t="shared" ca="1" si="12"/>
        <v>43885</v>
      </c>
      <c r="B86" s="53"/>
      <c r="C86" s="53"/>
      <c r="D86" s="52"/>
      <c r="E86" s="279" t="e">
        <f ca="1">INDEX(RESULTADOS!$A:$BA,MATCH($A86,RESULTADOS!$A:$A,0),MATCH(E$1,RESULTADOS!$1:$1,0))</f>
        <v>#N/A</v>
      </c>
      <c r="F86" s="279" t="e">
        <f ca="1">INDEX(RESULTADOS!$A:$BA,MATCH($A86,RESULTADOS!$A:$A,0),MATCH(F$1,RESULTADOS!$1:$1,0))</f>
        <v>#N/A</v>
      </c>
      <c r="G86" s="30" t="e">
        <f t="shared" ca="1" si="22"/>
        <v>#N/A</v>
      </c>
      <c r="H86" s="279" t="e">
        <f ca="1">INDEX(RESULTADOS!$A:$BA,MATCH($A86,RESULTADOS!$A:$A,0),MATCH(H$1,RESULTADOS!$1:$1,0))</f>
        <v>#N/A</v>
      </c>
      <c r="I86" s="279" t="e">
        <f ca="1">INDEX(RESULTADOS!$A:$BA,MATCH($A86,RESULTADOS!$A:$A,0),MATCH(I$1,RESULTADOS!$1:$1,0))</f>
        <v>#N/A</v>
      </c>
      <c r="J86" s="178" t="e">
        <f t="shared" ca="1" si="28"/>
        <v>#N/A</v>
      </c>
      <c r="K86" s="178" t="e">
        <f t="shared" ca="1" si="28"/>
        <v>#N/A</v>
      </c>
      <c r="L86" s="178" t="e">
        <f t="shared" ca="1" si="28"/>
        <v>#N/A</v>
      </c>
      <c r="M86" s="30" t="e">
        <f t="shared" ca="1" si="23"/>
        <v>#N/A</v>
      </c>
      <c r="N86" s="30" t="e">
        <f t="shared" ca="1" si="24"/>
        <v>#N/A</v>
      </c>
      <c r="O86" s="30" t="e">
        <f t="shared" ca="1" si="25"/>
        <v>#N/A</v>
      </c>
      <c r="P86" s="279" t="e">
        <f ca="1">INDEX(RESULTADOS!$A:$BA,MATCH($A86,RESULTADOS!$A:$A,0),MATCH(P$1,RESULTADOS!$1:$1,0))</f>
        <v>#N/A</v>
      </c>
      <c r="Q86" s="178" t="e">
        <f t="shared" ca="1" si="16"/>
        <v>#N/A</v>
      </c>
      <c r="R86" s="178" t="e">
        <f t="shared" ca="1" si="16"/>
        <v>#N/A</v>
      </c>
      <c r="S86" s="178" t="e">
        <f t="shared" ca="1" si="16"/>
        <v>#N/A</v>
      </c>
      <c r="T86" s="30" t="e">
        <f t="shared" ca="1" si="26"/>
        <v>#N/A</v>
      </c>
      <c r="U86" s="30" t="e">
        <f t="shared" ca="1" si="27"/>
        <v>#N/A</v>
      </c>
    </row>
    <row r="87" spans="1:21" s="272" customFormat="1" x14ac:dyDescent="0.2">
      <c r="A87" s="273">
        <f t="shared" ca="1" si="12"/>
        <v>43886</v>
      </c>
      <c r="B87" s="53"/>
      <c r="C87" s="53"/>
      <c r="D87" s="52"/>
      <c r="E87" s="279" t="e">
        <f ca="1">INDEX(RESULTADOS!$A:$BA,MATCH($A87,RESULTADOS!$A:$A,0),MATCH(E$1,RESULTADOS!$1:$1,0))</f>
        <v>#N/A</v>
      </c>
      <c r="F87" s="279" t="e">
        <f ca="1">INDEX(RESULTADOS!$A:$BA,MATCH($A87,RESULTADOS!$A:$A,0),MATCH(F$1,RESULTADOS!$1:$1,0))</f>
        <v>#N/A</v>
      </c>
      <c r="G87" s="30" t="e">
        <f t="shared" ca="1" si="22"/>
        <v>#N/A</v>
      </c>
      <c r="H87" s="279" t="e">
        <f ca="1">INDEX(RESULTADOS!$A:$BA,MATCH($A87,RESULTADOS!$A:$A,0),MATCH(H$1,RESULTADOS!$1:$1,0))</f>
        <v>#N/A</v>
      </c>
      <c r="I87" s="279" t="e">
        <f ca="1">INDEX(RESULTADOS!$A:$BA,MATCH($A87,RESULTADOS!$A:$A,0),MATCH(I$1,RESULTADOS!$1:$1,0))</f>
        <v>#N/A</v>
      </c>
      <c r="J87" s="178" t="e">
        <f t="shared" ca="1" si="28"/>
        <v>#N/A</v>
      </c>
      <c r="K87" s="178" t="e">
        <f t="shared" ca="1" si="28"/>
        <v>#N/A</v>
      </c>
      <c r="L87" s="178" t="e">
        <f t="shared" ca="1" si="28"/>
        <v>#N/A</v>
      </c>
      <c r="M87" s="30" t="e">
        <f t="shared" ca="1" si="23"/>
        <v>#N/A</v>
      </c>
      <c r="N87" s="30" t="e">
        <f t="shared" ca="1" si="24"/>
        <v>#N/A</v>
      </c>
      <c r="O87" s="30" t="e">
        <f t="shared" ca="1" si="25"/>
        <v>#N/A</v>
      </c>
      <c r="P87" s="279" t="e">
        <f ca="1">INDEX(RESULTADOS!$A:$BA,MATCH($A87,RESULTADOS!$A:$A,0),MATCH(P$1,RESULTADOS!$1:$1,0))</f>
        <v>#N/A</v>
      </c>
      <c r="Q87" s="178" t="e">
        <f t="shared" ca="1" si="16"/>
        <v>#N/A</v>
      </c>
      <c r="R87" s="178" t="e">
        <f t="shared" ca="1" si="16"/>
        <v>#N/A</v>
      </c>
      <c r="S87" s="178" t="e">
        <f t="shared" ca="1" si="16"/>
        <v>#N/A</v>
      </c>
      <c r="T87" s="30" t="e">
        <f t="shared" ca="1" si="26"/>
        <v>#N/A</v>
      </c>
      <c r="U87" s="30" t="e">
        <f t="shared" ca="1" si="27"/>
        <v>#N/A</v>
      </c>
    </row>
    <row r="88" spans="1:21" s="272" customFormat="1" x14ac:dyDescent="0.2">
      <c r="A88" s="273">
        <f t="shared" ca="1" si="12"/>
        <v>43887</v>
      </c>
      <c r="B88" s="53"/>
      <c r="C88" s="53"/>
      <c r="D88" s="52"/>
      <c r="E88" s="279" t="e">
        <f ca="1">INDEX(RESULTADOS!$A:$BA,MATCH($A88,RESULTADOS!$A:$A,0),MATCH(E$1,RESULTADOS!$1:$1,0))</f>
        <v>#N/A</v>
      </c>
      <c r="F88" s="279" t="e">
        <f ca="1">INDEX(RESULTADOS!$A:$BA,MATCH($A88,RESULTADOS!$A:$A,0),MATCH(F$1,RESULTADOS!$1:$1,0))</f>
        <v>#N/A</v>
      </c>
      <c r="G88" s="30" t="e">
        <f t="shared" ca="1" si="22"/>
        <v>#N/A</v>
      </c>
      <c r="H88" s="279" t="e">
        <f ca="1">INDEX(RESULTADOS!$A:$BA,MATCH($A88,RESULTADOS!$A:$A,0),MATCH(H$1,RESULTADOS!$1:$1,0))</f>
        <v>#N/A</v>
      </c>
      <c r="I88" s="279" t="e">
        <f ca="1">INDEX(RESULTADOS!$A:$BA,MATCH($A88,RESULTADOS!$A:$A,0),MATCH(I$1,RESULTADOS!$1:$1,0))</f>
        <v>#N/A</v>
      </c>
      <c r="J88" s="178" t="e">
        <f t="shared" ca="1" si="28"/>
        <v>#N/A</v>
      </c>
      <c r="K88" s="178" t="e">
        <f t="shared" ca="1" si="28"/>
        <v>#N/A</v>
      </c>
      <c r="L88" s="178" t="e">
        <f t="shared" ca="1" si="28"/>
        <v>#N/A</v>
      </c>
      <c r="M88" s="30" t="e">
        <f t="shared" ca="1" si="23"/>
        <v>#N/A</v>
      </c>
      <c r="N88" s="30" t="e">
        <f t="shared" ca="1" si="24"/>
        <v>#N/A</v>
      </c>
      <c r="O88" s="30" t="e">
        <f t="shared" ca="1" si="25"/>
        <v>#N/A</v>
      </c>
      <c r="P88" s="279" t="e">
        <f ca="1">INDEX(RESULTADOS!$A:$BA,MATCH($A88,RESULTADOS!$A:$A,0),MATCH(P$1,RESULTADOS!$1:$1,0))</f>
        <v>#N/A</v>
      </c>
      <c r="Q88" s="178" t="e">
        <f t="shared" ref="Q88:S110" ca="1" si="29">$P88*Q$4</f>
        <v>#N/A</v>
      </c>
      <c r="R88" s="178" t="e">
        <f t="shared" ca="1" si="29"/>
        <v>#N/A</v>
      </c>
      <c r="S88" s="178" t="e">
        <f t="shared" ca="1" si="29"/>
        <v>#N/A</v>
      </c>
      <c r="T88" s="30" t="e">
        <f t="shared" ca="1" si="26"/>
        <v>#N/A</v>
      </c>
      <c r="U88" s="30" t="e">
        <f t="shared" ca="1" si="27"/>
        <v>#N/A</v>
      </c>
    </row>
    <row r="89" spans="1:21" s="272" customFormat="1" x14ac:dyDescent="0.2">
      <c r="A89" s="273">
        <f t="shared" ca="1" si="12"/>
        <v>43888</v>
      </c>
      <c r="B89" s="53"/>
      <c r="C89" s="53"/>
      <c r="D89" s="52"/>
      <c r="E89" s="279" t="e">
        <f ca="1">INDEX(RESULTADOS!$A:$BA,MATCH($A89,RESULTADOS!$A:$A,0),MATCH(E$1,RESULTADOS!$1:$1,0))</f>
        <v>#N/A</v>
      </c>
      <c r="F89" s="279" t="e">
        <f ca="1">INDEX(RESULTADOS!$A:$BA,MATCH($A89,RESULTADOS!$A:$A,0),MATCH(F$1,RESULTADOS!$1:$1,0))</f>
        <v>#N/A</v>
      </c>
      <c r="G89" s="30" t="e">
        <f t="shared" ca="1" si="22"/>
        <v>#N/A</v>
      </c>
      <c r="H89" s="279" t="e">
        <f ca="1">INDEX(RESULTADOS!$A:$BA,MATCH($A89,RESULTADOS!$A:$A,0),MATCH(H$1,RESULTADOS!$1:$1,0))</f>
        <v>#N/A</v>
      </c>
      <c r="I89" s="279" t="e">
        <f ca="1">INDEX(RESULTADOS!$A:$BA,MATCH($A89,RESULTADOS!$A:$A,0),MATCH(I$1,RESULTADOS!$1:$1,0))</f>
        <v>#N/A</v>
      </c>
      <c r="J89" s="178" t="e">
        <f t="shared" ca="1" si="28"/>
        <v>#N/A</v>
      </c>
      <c r="K89" s="178" t="e">
        <f t="shared" ca="1" si="28"/>
        <v>#N/A</v>
      </c>
      <c r="L89" s="178" t="e">
        <f t="shared" ca="1" si="28"/>
        <v>#N/A</v>
      </c>
      <c r="M89" s="30" t="e">
        <f t="shared" ca="1" si="23"/>
        <v>#N/A</v>
      </c>
      <c r="N89" s="30" t="e">
        <f t="shared" ca="1" si="24"/>
        <v>#N/A</v>
      </c>
      <c r="O89" s="30" t="e">
        <f t="shared" ca="1" si="25"/>
        <v>#N/A</v>
      </c>
      <c r="P89" s="279" t="e">
        <f ca="1">INDEX(RESULTADOS!$A:$BA,MATCH($A89,RESULTADOS!$A:$A,0),MATCH(P$1,RESULTADOS!$1:$1,0))</f>
        <v>#N/A</v>
      </c>
      <c r="Q89" s="178" t="e">
        <f t="shared" ca="1" si="29"/>
        <v>#N/A</v>
      </c>
      <c r="R89" s="178" t="e">
        <f t="shared" ca="1" si="29"/>
        <v>#N/A</v>
      </c>
      <c r="S89" s="178" t="e">
        <f t="shared" ca="1" si="29"/>
        <v>#N/A</v>
      </c>
      <c r="T89" s="30" t="e">
        <f t="shared" ca="1" si="26"/>
        <v>#N/A</v>
      </c>
      <c r="U89" s="30" t="e">
        <f t="shared" ca="1" si="27"/>
        <v>#N/A</v>
      </c>
    </row>
    <row r="90" spans="1:21" s="272" customFormat="1" x14ac:dyDescent="0.2">
      <c r="A90" s="273">
        <f t="shared" ca="1" si="12"/>
        <v>43889</v>
      </c>
      <c r="B90" s="53"/>
      <c r="C90" s="53"/>
      <c r="D90" s="52"/>
      <c r="E90" s="279" t="e">
        <f ca="1">INDEX(RESULTADOS!$A:$BA,MATCH($A90,RESULTADOS!$A:$A,0),MATCH(E$1,RESULTADOS!$1:$1,0))</f>
        <v>#N/A</v>
      </c>
      <c r="F90" s="279" t="e">
        <f ca="1">INDEX(RESULTADOS!$A:$BA,MATCH($A90,RESULTADOS!$A:$A,0),MATCH(F$1,RESULTADOS!$1:$1,0))</f>
        <v>#N/A</v>
      </c>
      <c r="G90" s="30" t="e">
        <f t="shared" ca="1" si="22"/>
        <v>#N/A</v>
      </c>
      <c r="H90" s="279" t="e">
        <f ca="1">INDEX(RESULTADOS!$A:$BA,MATCH($A90,RESULTADOS!$A:$A,0),MATCH(H$1,RESULTADOS!$1:$1,0))</f>
        <v>#N/A</v>
      </c>
      <c r="I90" s="279" t="e">
        <f ca="1">INDEX(RESULTADOS!$A:$BA,MATCH($A90,RESULTADOS!$A:$A,0),MATCH(I$1,RESULTADOS!$1:$1,0))</f>
        <v>#N/A</v>
      </c>
      <c r="J90" s="178" t="e">
        <f t="shared" ca="1" si="28"/>
        <v>#N/A</v>
      </c>
      <c r="K90" s="178" t="e">
        <f t="shared" ca="1" si="28"/>
        <v>#N/A</v>
      </c>
      <c r="L90" s="178" t="e">
        <f t="shared" ca="1" si="28"/>
        <v>#N/A</v>
      </c>
      <c r="M90" s="30" t="e">
        <f t="shared" ca="1" si="23"/>
        <v>#N/A</v>
      </c>
      <c r="N90" s="30" t="e">
        <f t="shared" ca="1" si="24"/>
        <v>#N/A</v>
      </c>
      <c r="O90" s="30" t="e">
        <f t="shared" ca="1" si="25"/>
        <v>#N/A</v>
      </c>
      <c r="P90" s="279" t="e">
        <f ca="1">INDEX(RESULTADOS!$A:$BA,MATCH($A90,RESULTADOS!$A:$A,0),MATCH(P$1,RESULTADOS!$1:$1,0))</f>
        <v>#N/A</v>
      </c>
      <c r="Q90" s="178" t="e">
        <f t="shared" ca="1" si="29"/>
        <v>#N/A</v>
      </c>
      <c r="R90" s="178" t="e">
        <f t="shared" ca="1" si="29"/>
        <v>#N/A</v>
      </c>
      <c r="S90" s="178" t="e">
        <f t="shared" ca="1" si="29"/>
        <v>#N/A</v>
      </c>
      <c r="T90" s="30" t="e">
        <f t="shared" ca="1" si="26"/>
        <v>#N/A</v>
      </c>
      <c r="U90" s="30" t="e">
        <f t="shared" ca="1" si="27"/>
        <v>#N/A</v>
      </c>
    </row>
    <row r="91" spans="1:21" s="272" customFormat="1" x14ac:dyDescent="0.2">
      <c r="A91" s="273">
        <f t="shared" ca="1" si="12"/>
        <v>43890</v>
      </c>
      <c r="B91" s="53"/>
      <c r="C91" s="53"/>
      <c r="D91" s="52"/>
      <c r="E91" s="279" t="e">
        <f ca="1">INDEX(RESULTADOS!$A:$BA,MATCH($A91,RESULTADOS!$A:$A,0),MATCH(E$1,RESULTADOS!$1:$1,0))</f>
        <v>#N/A</v>
      </c>
      <c r="F91" s="279" t="e">
        <f ca="1">INDEX(RESULTADOS!$A:$BA,MATCH($A91,RESULTADOS!$A:$A,0),MATCH(F$1,RESULTADOS!$1:$1,0))</f>
        <v>#N/A</v>
      </c>
      <c r="G91" s="30" t="e">
        <f t="shared" ca="1" si="22"/>
        <v>#N/A</v>
      </c>
      <c r="H91" s="279" t="e">
        <f ca="1">INDEX(RESULTADOS!$A:$BA,MATCH($A91,RESULTADOS!$A:$A,0),MATCH(H$1,RESULTADOS!$1:$1,0))</f>
        <v>#N/A</v>
      </c>
      <c r="I91" s="279" t="e">
        <f ca="1">INDEX(RESULTADOS!$A:$BA,MATCH($A91,RESULTADOS!$A:$A,0),MATCH(I$1,RESULTADOS!$1:$1,0))</f>
        <v>#N/A</v>
      </c>
      <c r="J91" s="178" t="e">
        <f t="shared" ca="1" si="28"/>
        <v>#N/A</v>
      </c>
      <c r="K91" s="178" t="e">
        <f t="shared" ca="1" si="28"/>
        <v>#N/A</v>
      </c>
      <c r="L91" s="178" t="e">
        <f t="shared" ca="1" si="28"/>
        <v>#N/A</v>
      </c>
      <c r="M91" s="30" t="e">
        <f t="shared" ca="1" si="23"/>
        <v>#N/A</v>
      </c>
      <c r="N91" s="30" t="e">
        <f t="shared" ca="1" si="24"/>
        <v>#N/A</v>
      </c>
      <c r="O91" s="30" t="e">
        <f t="shared" ca="1" si="25"/>
        <v>#N/A</v>
      </c>
      <c r="P91" s="279" t="e">
        <f ca="1">INDEX(RESULTADOS!$A:$BA,MATCH($A91,RESULTADOS!$A:$A,0),MATCH(P$1,RESULTADOS!$1:$1,0))</f>
        <v>#N/A</v>
      </c>
      <c r="Q91" s="178" t="e">
        <f t="shared" ca="1" si="29"/>
        <v>#N/A</v>
      </c>
      <c r="R91" s="178" t="e">
        <f t="shared" ca="1" si="29"/>
        <v>#N/A</v>
      </c>
      <c r="S91" s="178" t="e">
        <f t="shared" ca="1" si="29"/>
        <v>#N/A</v>
      </c>
      <c r="T91" s="30" t="e">
        <f t="shared" ca="1" si="26"/>
        <v>#N/A</v>
      </c>
      <c r="U91" s="30" t="e">
        <f t="shared" ca="1" si="27"/>
        <v>#N/A</v>
      </c>
    </row>
    <row r="92" spans="1:21" s="272" customFormat="1" x14ac:dyDescent="0.2">
      <c r="A92" s="273">
        <f t="shared" ca="1" si="12"/>
        <v>43891</v>
      </c>
      <c r="B92" s="53"/>
      <c r="C92" s="53"/>
      <c r="D92" s="52"/>
      <c r="E92" s="279" t="e">
        <f ca="1">INDEX(RESULTADOS!$A:$BA,MATCH($A92,RESULTADOS!$A:$A,0),MATCH(E$1,RESULTADOS!$1:$1,0))</f>
        <v>#N/A</v>
      </c>
      <c r="F92" s="279" t="e">
        <f ca="1">INDEX(RESULTADOS!$A:$BA,MATCH($A92,RESULTADOS!$A:$A,0),MATCH(F$1,RESULTADOS!$1:$1,0))</f>
        <v>#N/A</v>
      </c>
      <c r="G92" s="30" t="e">
        <f t="shared" ca="1" si="22"/>
        <v>#N/A</v>
      </c>
      <c r="H92" s="279" t="e">
        <f ca="1">INDEX(RESULTADOS!$A:$BA,MATCH($A92,RESULTADOS!$A:$A,0),MATCH(H$1,RESULTADOS!$1:$1,0))</f>
        <v>#N/A</v>
      </c>
      <c r="I92" s="279" t="e">
        <f ca="1">INDEX(RESULTADOS!$A:$BA,MATCH($A92,RESULTADOS!$A:$A,0),MATCH(I$1,RESULTADOS!$1:$1,0))</f>
        <v>#N/A</v>
      </c>
      <c r="J92" s="178" t="e">
        <f t="shared" ca="1" si="28"/>
        <v>#N/A</v>
      </c>
      <c r="K92" s="178" t="e">
        <f t="shared" ca="1" si="28"/>
        <v>#N/A</v>
      </c>
      <c r="L92" s="178" t="e">
        <f t="shared" ca="1" si="28"/>
        <v>#N/A</v>
      </c>
      <c r="M92" s="30" t="e">
        <f t="shared" ca="1" si="23"/>
        <v>#N/A</v>
      </c>
      <c r="N92" s="30" t="e">
        <f t="shared" ca="1" si="24"/>
        <v>#N/A</v>
      </c>
      <c r="O92" s="30" t="e">
        <f t="shared" ca="1" si="25"/>
        <v>#N/A</v>
      </c>
      <c r="P92" s="279" t="e">
        <f ca="1">INDEX(RESULTADOS!$A:$BA,MATCH($A92,RESULTADOS!$A:$A,0),MATCH(P$1,RESULTADOS!$1:$1,0))</f>
        <v>#N/A</v>
      </c>
      <c r="Q92" s="178" t="e">
        <f t="shared" ca="1" si="29"/>
        <v>#N/A</v>
      </c>
      <c r="R92" s="178" t="e">
        <f t="shared" ca="1" si="29"/>
        <v>#N/A</v>
      </c>
      <c r="S92" s="178" t="e">
        <f t="shared" ca="1" si="29"/>
        <v>#N/A</v>
      </c>
      <c r="T92" s="30" t="e">
        <f t="shared" ca="1" si="26"/>
        <v>#N/A</v>
      </c>
      <c r="U92" s="30" t="e">
        <f t="shared" ca="1" si="27"/>
        <v>#N/A</v>
      </c>
    </row>
    <row r="93" spans="1:21" s="272" customFormat="1" x14ac:dyDescent="0.2">
      <c r="A93" s="273">
        <f t="shared" ca="1" si="12"/>
        <v>43892</v>
      </c>
      <c r="B93" s="53"/>
      <c r="C93" s="53"/>
      <c r="D93" s="52"/>
      <c r="E93" s="279" t="e">
        <f ca="1">INDEX(RESULTADOS!$A:$BA,MATCH($A93,RESULTADOS!$A:$A,0),MATCH(E$1,RESULTADOS!$1:$1,0))</f>
        <v>#N/A</v>
      </c>
      <c r="F93" s="279" t="e">
        <f ca="1">INDEX(RESULTADOS!$A:$BA,MATCH($A93,RESULTADOS!$A:$A,0),MATCH(F$1,RESULTADOS!$1:$1,0))</f>
        <v>#N/A</v>
      </c>
      <c r="G93" s="30" t="e">
        <f t="shared" ca="1" si="22"/>
        <v>#N/A</v>
      </c>
      <c r="H93" s="279" t="e">
        <f ca="1">INDEX(RESULTADOS!$A:$BA,MATCH($A93,RESULTADOS!$A:$A,0),MATCH(H$1,RESULTADOS!$1:$1,0))</f>
        <v>#N/A</v>
      </c>
      <c r="I93" s="279" t="e">
        <f ca="1">INDEX(RESULTADOS!$A:$BA,MATCH($A93,RESULTADOS!$A:$A,0),MATCH(I$1,RESULTADOS!$1:$1,0))</f>
        <v>#N/A</v>
      </c>
      <c r="J93" s="178" t="e">
        <f t="shared" ca="1" si="28"/>
        <v>#N/A</v>
      </c>
      <c r="K93" s="178" t="e">
        <f t="shared" ca="1" si="28"/>
        <v>#N/A</v>
      </c>
      <c r="L93" s="178" t="e">
        <f t="shared" ca="1" si="28"/>
        <v>#N/A</v>
      </c>
      <c r="M93" s="30" t="e">
        <f t="shared" ca="1" si="23"/>
        <v>#N/A</v>
      </c>
      <c r="N93" s="30" t="e">
        <f t="shared" ca="1" si="24"/>
        <v>#N/A</v>
      </c>
      <c r="O93" s="30" t="e">
        <f t="shared" ca="1" si="25"/>
        <v>#N/A</v>
      </c>
      <c r="P93" s="279" t="e">
        <f ca="1">INDEX(RESULTADOS!$A:$BA,MATCH($A93,RESULTADOS!$A:$A,0),MATCH(P$1,RESULTADOS!$1:$1,0))</f>
        <v>#N/A</v>
      </c>
      <c r="Q93" s="178" t="e">
        <f t="shared" ca="1" si="29"/>
        <v>#N/A</v>
      </c>
      <c r="R93" s="178" t="e">
        <f t="shared" ca="1" si="29"/>
        <v>#N/A</v>
      </c>
      <c r="S93" s="178" t="e">
        <f t="shared" ca="1" si="29"/>
        <v>#N/A</v>
      </c>
      <c r="T93" s="30" t="e">
        <f t="shared" ca="1" si="26"/>
        <v>#N/A</v>
      </c>
      <c r="U93" s="30" t="e">
        <f t="shared" ca="1" si="27"/>
        <v>#N/A</v>
      </c>
    </row>
    <row r="94" spans="1:21" s="272" customFormat="1" x14ac:dyDescent="0.2">
      <c r="A94" s="273">
        <f t="shared" ca="1" si="12"/>
        <v>43893</v>
      </c>
      <c r="B94" s="53"/>
      <c r="C94" s="53"/>
      <c r="D94" s="52"/>
      <c r="E94" s="279" t="e">
        <f ca="1">INDEX(RESULTADOS!$A:$BA,MATCH($A94,RESULTADOS!$A:$A,0),MATCH(E$1,RESULTADOS!$1:$1,0))</f>
        <v>#N/A</v>
      </c>
      <c r="F94" s="279" t="e">
        <f ca="1">INDEX(RESULTADOS!$A:$BA,MATCH($A94,RESULTADOS!$A:$A,0),MATCH(F$1,RESULTADOS!$1:$1,0))</f>
        <v>#N/A</v>
      </c>
      <c r="G94" s="30" t="e">
        <f t="shared" ca="1" si="22"/>
        <v>#N/A</v>
      </c>
      <c r="H94" s="279" t="e">
        <f ca="1">INDEX(RESULTADOS!$A:$BA,MATCH($A94,RESULTADOS!$A:$A,0),MATCH(H$1,RESULTADOS!$1:$1,0))</f>
        <v>#N/A</v>
      </c>
      <c r="I94" s="279" t="e">
        <f ca="1">INDEX(RESULTADOS!$A:$BA,MATCH($A94,RESULTADOS!$A:$A,0),MATCH(I$1,RESULTADOS!$1:$1,0))</f>
        <v>#N/A</v>
      </c>
      <c r="J94" s="178" t="e">
        <f t="shared" ca="1" si="28"/>
        <v>#N/A</v>
      </c>
      <c r="K94" s="178" t="e">
        <f t="shared" ca="1" si="28"/>
        <v>#N/A</v>
      </c>
      <c r="L94" s="178" t="e">
        <f t="shared" ca="1" si="28"/>
        <v>#N/A</v>
      </c>
      <c r="M94" s="30" t="e">
        <f t="shared" ca="1" si="23"/>
        <v>#N/A</v>
      </c>
      <c r="N94" s="30" t="e">
        <f t="shared" ca="1" si="24"/>
        <v>#N/A</v>
      </c>
      <c r="O94" s="30" t="e">
        <f t="shared" ca="1" si="25"/>
        <v>#N/A</v>
      </c>
      <c r="P94" s="279" t="e">
        <f ca="1">INDEX(RESULTADOS!$A:$BA,MATCH($A94,RESULTADOS!$A:$A,0),MATCH(P$1,RESULTADOS!$1:$1,0))</f>
        <v>#N/A</v>
      </c>
      <c r="Q94" s="178" t="e">
        <f t="shared" ca="1" si="29"/>
        <v>#N/A</v>
      </c>
      <c r="R94" s="178" t="e">
        <f t="shared" ca="1" si="29"/>
        <v>#N/A</v>
      </c>
      <c r="S94" s="178" t="e">
        <f t="shared" ca="1" si="29"/>
        <v>#N/A</v>
      </c>
      <c r="T94" s="30" t="e">
        <f t="shared" ca="1" si="26"/>
        <v>#N/A</v>
      </c>
      <c r="U94" s="30" t="e">
        <f t="shared" ca="1" si="27"/>
        <v>#N/A</v>
      </c>
    </row>
    <row r="95" spans="1:21" s="272" customFormat="1" x14ac:dyDescent="0.2">
      <c r="A95" s="273">
        <f t="shared" ca="1" si="12"/>
        <v>43894</v>
      </c>
      <c r="B95" s="53"/>
      <c r="C95" s="53"/>
      <c r="D95" s="52"/>
      <c r="E95" s="279" t="e">
        <f ca="1">INDEX(RESULTADOS!$A:$BA,MATCH($A95,RESULTADOS!$A:$A,0),MATCH(E$1,RESULTADOS!$1:$1,0))</f>
        <v>#N/A</v>
      </c>
      <c r="F95" s="279" t="e">
        <f ca="1">INDEX(RESULTADOS!$A:$BA,MATCH($A95,RESULTADOS!$A:$A,0),MATCH(F$1,RESULTADOS!$1:$1,0))</f>
        <v>#N/A</v>
      </c>
      <c r="G95" s="30" t="e">
        <f t="shared" ca="1" si="22"/>
        <v>#N/A</v>
      </c>
      <c r="H95" s="279" t="e">
        <f ca="1">INDEX(RESULTADOS!$A:$BA,MATCH($A95,RESULTADOS!$A:$A,0),MATCH(H$1,RESULTADOS!$1:$1,0))</f>
        <v>#N/A</v>
      </c>
      <c r="I95" s="279" t="e">
        <f ca="1">INDEX(RESULTADOS!$A:$BA,MATCH($A95,RESULTADOS!$A:$A,0),MATCH(I$1,RESULTADOS!$1:$1,0))</f>
        <v>#N/A</v>
      </c>
      <c r="J95" s="178" t="e">
        <f t="shared" ca="1" si="28"/>
        <v>#N/A</v>
      </c>
      <c r="K95" s="178" t="e">
        <f t="shared" ca="1" si="28"/>
        <v>#N/A</v>
      </c>
      <c r="L95" s="178" t="e">
        <f t="shared" ca="1" si="28"/>
        <v>#N/A</v>
      </c>
      <c r="M95" s="30" t="e">
        <f t="shared" ca="1" si="23"/>
        <v>#N/A</v>
      </c>
      <c r="N95" s="30" t="e">
        <f t="shared" ca="1" si="24"/>
        <v>#N/A</v>
      </c>
      <c r="O95" s="30" t="e">
        <f t="shared" ca="1" si="25"/>
        <v>#N/A</v>
      </c>
      <c r="P95" s="279" t="e">
        <f ca="1">INDEX(RESULTADOS!$A:$BA,MATCH($A95,RESULTADOS!$A:$A,0),MATCH(P$1,RESULTADOS!$1:$1,0))</f>
        <v>#N/A</v>
      </c>
      <c r="Q95" s="178" t="e">
        <f t="shared" ca="1" si="29"/>
        <v>#N/A</v>
      </c>
      <c r="R95" s="178" t="e">
        <f t="shared" ca="1" si="29"/>
        <v>#N/A</v>
      </c>
      <c r="S95" s="178" t="e">
        <f t="shared" ca="1" si="29"/>
        <v>#N/A</v>
      </c>
      <c r="T95" s="30" t="e">
        <f t="shared" ca="1" si="26"/>
        <v>#N/A</v>
      </c>
      <c r="U95" s="30" t="e">
        <f t="shared" ca="1" si="27"/>
        <v>#N/A</v>
      </c>
    </row>
    <row r="96" spans="1:21" s="272" customFormat="1" x14ac:dyDescent="0.2">
      <c r="A96" s="273">
        <f t="shared" ca="1" si="12"/>
        <v>43895</v>
      </c>
      <c r="B96" s="53"/>
      <c r="C96" s="53"/>
      <c r="D96" s="52"/>
      <c r="E96" s="279" t="e">
        <f ca="1">INDEX(RESULTADOS!$A:$BA,MATCH($A96,RESULTADOS!$A:$A,0),MATCH(E$1,RESULTADOS!$1:$1,0))</f>
        <v>#N/A</v>
      </c>
      <c r="F96" s="279" t="e">
        <f ca="1">INDEX(RESULTADOS!$A:$BA,MATCH($A96,RESULTADOS!$A:$A,0),MATCH(F$1,RESULTADOS!$1:$1,0))</f>
        <v>#N/A</v>
      </c>
      <c r="G96" s="30" t="e">
        <f t="shared" ca="1" si="22"/>
        <v>#N/A</v>
      </c>
      <c r="H96" s="279" t="e">
        <f ca="1">INDEX(RESULTADOS!$A:$BA,MATCH($A96,RESULTADOS!$A:$A,0),MATCH(H$1,RESULTADOS!$1:$1,0))</f>
        <v>#N/A</v>
      </c>
      <c r="I96" s="279" t="e">
        <f ca="1">INDEX(RESULTADOS!$A:$BA,MATCH($A96,RESULTADOS!$A:$A,0),MATCH(I$1,RESULTADOS!$1:$1,0))</f>
        <v>#N/A</v>
      </c>
      <c r="J96" s="178" t="e">
        <f t="shared" ca="1" si="28"/>
        <v>#N/A</v>
      </c>
      <c r="K96" s="178" t="e">
        <f t="shared" ca="1" si="28"/>
        <v>#N/A</v>
      </c>
      <c r="L96" s="178" t="e">
        <f t="shared" ca="1" si="28"/>
        <v>#N/A</v>
      </c>
      <c r="M96" s="30" t="e">
        <f t="shared" ca="1" si="23"/>
        <v>#N/A</v>
      </c>
      <c r="N96" s="30" t="e">
        <f t="shared" ca="1" si="24"/>
        <v>#N/A</v>
      </c>
      <c r="O96" s="30" t="e">
        <f t="shared" ca="1" si="25"/>
        <v>#N/A</v>
      </c>
      <c r="P96" s="279" t="e">
        <f ca="1">INDEX(RESULTADOS!$A:$BA,MATCH($A96,RESULTADOS!$A:$A,0),MATCH(P$1,RESULTADOS!$1:$1,0))</f>
        <v>#N/A</v>
      </c>
      <c r="Q96" s="178" t="e">
        <f t="shared" ca="1" si="29"/>
        <v>#N/A</v>
      </c>
      <c r="R96" s="178" t="e">
        <f t="shared" ca="1" si="29"/>
        <v>#N/A</v>
      </c>
      <c r="S96" s="178" t="e">
        <f t="shared" ca="1" si="29"/>
        <v>#N/A</v>
      </c>
      <c r="T96" s="30" t="e">
        <f t="shared" ca="1" si="26"/>
        <v>#N/A</v>
      </c>
      <c r="U96" s="30" t="e">
        <f t="shared" ca="1" si="27"/>
        <v>#N/A</v>
      </c>
    </row>
    <row r="97" spans="1:21" s="272" customFormat="1" x14ac:dyDescent="0.2">
      <c r="A97" s="273">
        <f t="shared" ca="1" si="12"/>
        <v>43896</v>
      </c>
      <c r="B97" s="53"/>
      <c r="C97" s="53"/>
      <c r="D97" s="52"/>
      <c r="E97" s="279" t="e">
        <f ca="1">INDEX(RESULTADOS!$A:$BA,MATCH($A97,RESULTADOS!$A:$A,0),MATCH(E$1,RESULTADOS!$1:$1,0))</f>
        <v>#N/A</v>
      </c>
      <c r="F97" s="279" t="e">
        <f ca="1">INDEX(RESULTADOS!$A:$BA,MATCH($A97,RESULTADOS!$A:$A,0),MATCH(F$1,RESULTADOS!$1:$1,0))</f>
        <v>#N/A</v>
      </c>
      <c r="G97" s="30" t="e">
        <f t="shared" ca="1" si="22"/>
        <v>#N/A</v>
      </c>
      <c r="H97" s="279" t="e">
        <f ca="1">INDEX(RESULTADOS!$A:$BA,MATCH($A97,RESULTADOS!$A:$A,0),MATCH(H$1,RESULTADOS!$1:$1,0))</f>
        <v>#N/A</v>
      </c>
      <c r="I97" s="279" t="e">
        <f ca="1">INDEX(RESULTADOS!$A:$BA,MATCH($A97,RESULTADOS!$A:$A,0),MATCH(I$1,RESULTADOS!$1:$1,0))</f>
        <v>#N/A</v>
      </c>
      <c r="J97" s="178" t="e">
        <f t="shared" ca="1" si="28"/>
        <v>#N/A</v>
      </c>
      <c r="K97" s="178" t="e">
        <f t="shared" ca="1" si="28"/>
        <v>#N/A</v>
      </c>
      <c r="L97" s="178" t="e">
        <f t="shared" ca="1" si="28"/>
        <v>#N/A</v>
      </c>
      <c r="M97" s="30" t="e">
        <f t="shared" ca="1" si="23"/>
        <v>#N/A</v>
      </c>
      <c r="N97" s="30" t="e">
        <f t="shared" ca="1" si="24"/>
        <v>#N/A</v>
      </c>
      <c r="O97" s="30" t="e">
        <f t="shared" ca="1" si="25"/>
        <v>#N/A</v>
      </c>
      <c r="P97" s="279" t="e">
        <f ca="1">INDEX(RESULTADOS!$A:$BA,MATCH($A97,RESULTADOS!$A:$A,0),MATCH(P$1,RESULTADOS!$1:$1,0))</f>
        <v>#N/A</v>
      </c>
      <c r="Q97" s="178" t="e">
        <f t="shared" ca="1" si="29"/>
        <v>#N/A</v>
      </c>
      <c r="R97" s="178" t="e">
        <f t="shared" ca="1" si="29"/>
        <v>#N/A</v>
      </c>
      <c r="S97" s="178" t="e">
        <f t="shared" ca="1" si="29"/>
        <v>#N/A</v>
      </c>
      <c r="T97" s="30" t="e">
        <f t="shared" ca="1" si="26"/>
        <v>#N/A</v>
      </c>
      <c r="U97" s="30" t="e">
        <f t="shared" ca="1" si="27"/>
        <v>#N/A</v>
      </c>
    </row>
    <row r="98" spans="1:21" s="272" customFormat="1" x14ac:dyDescent="0.2">
      <c r="A98" s="273">
        <f t="shared" ca="1" si="12"/>
        <v>43897</v>
      </c>
      <c r="B98" s="53"/>
      <c r="C98" s="53"/>
      <c r="D98" s="52"/>
      <c r="E98" s="279" t="e">
        <f ca="1">INDEX(RESULTADOS!$A:$BA,MATCH($A98,RESULTADOS!$A:$A,0),MATCH(E$1,RESULTADOS!$1:$1,0))</f>
        <v>#N/A</v>
      </c>
      <c r="F98" s="279" t="e">
        <f ca="1">INDEX(RESULTADOS!$A:$BA,MATCH($A98,RESULTADOS!$A:$A,0),MATCH(F$1,RESULTADOS!$1:$1,0))</f>
        <v>#N/A</v>
      </c>
      <c r="G98" s="30" t="e">
        <f t="shared" ca="1" si="22"/>
        <v>#N/A</v>
      </c>
      <c r="H98" s="279" t="e">
        <f ca="1">INDEX(RESULTADOS!$A:$BA,MATCH($A98,RESULTADOS!$A:$A,0),MATCH(H$1,RESULTADOS!$1:$1,0))</f>
        <v>#N/A</v>
      </c>
      <c r="I98" s="279" t="e">
        <f ca="1">INDEX(RESULTADOS!$A:$BA,MATCH($A98,RESULTADOS!$A:$A,0),MATCH(I$1,RESULTADOS!$1:$1,0))</f>
        <v>#N/A</v>
      </c>
      <c r="J98" s="178" t="e">
        <f t="shared" ca="1" si="28"/>
        <v>#N/A</v>
      </c>
      <c r="K98" s="178" t="e">
        <f t="shared" ca="1" si="28"/>
        <v>#N/A</v>
      </c>
      <c r="L98" s="178" t="e">
        <f t="shared" ca="1" si="28"/>
        <v>#N/A</v>
      </c>
      <c r="M98" s="30" t="e">
        <f t="shared" ca="1" si="23"/>
        <v>#N/A</v>
      </c>
      <c r="N98" s="30" t="e">
        <f t="shared" ca="1" si="24"/>
        <v>#N/A</v>
      </c>
      <c r="O98" s="30" t="e">
        <f t="shared" ca="1" si="25"/>
        <v>#N/A</v>
      </c>
      <c r="P98" s="279" t="e">
        <f ca="1">INDEX(RESULTADOS!$A:$BA,MATCH($A98,RESULTADOS!$A:$A,0),MATCH(P$1,RESULTADOS!$1:$1,0))</f>
        <v>#N/A</v>
      </c>
      <c r="Q98" s="178" t="e">
        <f t="shared" ca="1" si="29"/>
        <v>#N/A</v>
      </c>
      <c r="R98" s="178" t="e">
        <f t="shared" ca="1" si="29"/>
        <v>#N/A</v>
      </c>
      <c r="S98" s="178" t="e">
        <f t="shared" ca="1" si="29"/>
        <v>#N/A</v>
      </c>
      <c r="T98" s="30" t="e">
        <f t="shared" ca="1" si="26"/>
        <v>#N/A</v>
      </c>
      <c r="U98" s="30" t="e">
        <f t="shared" ca="1" si="27"/>
        <v>#N/A</v>
      </c>
    </row>
    <row r="99" spans="1:21" s="272" customFormat="1" x14ac:dyDescent="0.2">
      <c r="A99" s="273">
        <f t="shared" ca="1" si="12"/>
        <v>43898</v>
      </c>
      <c r="B99" s="53"/>
      <c r="C99" s="53"/>
      <c r="D99" s="52"/>
      <c r="E99" s="279" t="e">
        <f ca="1">INDEX(RESULTADOS!$A:$BA,MATCH($A99,RESULTADOS!$A:$A,0),MATCH(E$1,RESULTADOS!$1:$1,0))</f>
        <v>#N/A</v>
      </c>
      <c r="F99" s="279" t="e">
        <f ca="1">INDEX(RESULTADOS!$A:$BA,MATCH($A99,RESULTADOS!$A:$A,0),MATCH(F$1,RESULTADOS!$1:$1,0))</f>
        <v>#N/A</v>
      </c>
      <c r="G99" s="30" t="e">
        <f t="shared" ca="1" si="22"/>
        <v>#N/A</v>
      </c>
      <c r="H99" s="279" t="e">
        <f ca="1">INDEX(RESULTADOS!$A:$BA,MATCH($A99,RESULTADOS!$A:$A,0),MATCH(H$1,RESULTADOS!$1:$1,0))</f>
        <v>#N/A</v>
      </c>
      <c r="I99" s="279" t="e">
        <f ca="1">INDEX(RESULTADOS!$A:$BA,MATCH($A99,RESULTADOS!$A:$A,0),MATCH(I$1,RESULTADOS!$1:$1,0))</f>
        <v>#N/A</v>
      </c>
      <c r="J99" s="178" t="e">
        <f t="shared" ca="1" si="28"/>
        <v>#N/A</v>
      </c>
      <c r="K99" s="178" t="e">
        <f t="shared" ca="1" si="28"/>
        <v>#N/A</v>
      </c>
      <c r="L99" s="178" t="e">
        <f t="shared" ca="1" si="28"/>
        <v>#N/A</v>
      </c>
      <c r="M99" s="30" t="e">
        <f t="shared" ca="1" si="23"/>
        <v>#N/A</v>
      </c>
      <c r="N99" s="30" t="e">
        <f t="shared" ca="1" si="24"/>
        <v>#N/A</v>
      </c>
      <c r="O99" s="30" t="e">
        <f t="shared" ca="1" si="25"/>
        <v>#N/A</v>
      </c>
      <c r="P99" s="279" t="e">
        <f ca="1">INDEX(RESULTADOS!$A:$BA,MATCH($A99,RESULTADOS!$A:$A,0),MATCH(P$1,RESULTADOS!$1:$1,0))</f>
        <v>#N/A</v>
      </c>
      <c r="Q99" s="178" t="e">
        <f t="shared" ca="1" si="29"/>
        <v>#N/A</v>
      </c>
      <c r="R99" s="178" t="e">
        <f t="shared" ca="1" si="29"/>
        <v>#N/A</v>
      </c>
      <c r="S99" s="178" t="e">
        <f t="shared" ca="1" si="29"/>
        <v>#N/A</v>
      </c>
      <c r="T99" s="30" t="e">
        <f t="shared" ca="1" si="26"/>
        <v>#N/A</v>
      </c>
      <c r="U99" s="30" t="e">
        <f t="shared" ca="1" si="27"/>
        <v>#N/A</v>
      </c>
    </row>
    <row r="100" spans="1:21" s="272" customFormat="1" x14ac:dyDescent="0.2">
      <c r="A100" s="273">
        <f t="shared" ca="1" si="12"/>
        <v>43899</v>
      </c>
      <c r="B100" s="53"/>
      <c r="C100" s="53"/>
      <c r="D100" s="52"/>
      <c r="E100" s="279" t="e">
        <f ca="1">INDEX(RESULTADOS!$A:$BA,MATCH($A100,RESULTADOS!$A:$A,0),MATCH(E$1,RESULTADOS!$1:$1,0))</f>
        <v>#N/A</v>
      </c>
      <c r="F100" s="279" t="e">
        <f ca="1">INDEX(RESULTADOS!$A:$BA,MATCH($A100,RESULTADOS!$A:$A,0),MATCH(F$1,RESULTADOS!$1:$1,0))</f>
        <v>#N/A</v>
      </c>
      <c r="G100" s="30" t="e">
        <f t="shared" ca="1" si="22"/>
        <v>#N/A</v>
      </c>
      <c r="H100" s="279" t="e">
        <f ca="1">INDEX(RESULTADOS!$A:$BA,MATCH($A100,RESULTADOS!$A:$A,0),MATCH(H$1,RESULTADOS!$1:$1,0))</f>
        <v>#N/A</v>
      </c>
      <c r="I100" s="279" t="e">
        <f ca="1">INDEX(RESULTADOS!$A:$BA,MATCH($A100,RESULTADOS!$A:$A,0),MATCH(I$1,RESULTADOS!$1:$1,0))</f>
        <v>#N/A</v>
      </c>
      <c r="J100" s="178" t="e">
        <f t="shared" ca="1" si="28"/>
        <v>#N/A</v>
      </c>
      <c r="K100" s="178" t="e">
        <f t="shared" ca="1" si="28"/>
        <v>#N/A</v>
      </c>
      <c r="L100" s="178" t="e">
        <f t="shared" ca="1" si="28"/>
        <v>#N/A</v>
      </c>
      <c r="M100" s="30" t="e">
        <f t="shared" ca="1" si="23"/>
        <v>#N/A</v>
      </c>
      <c r="N100" s="30" t="e">
        <f t="shared" ca="1" si="24"/>
        <v>#N/A</v>
      </c>
      <c r="O100" s="30" t="e">
        <f t="shared" ca="1" si="25"/>
        <v>#N/A</v>
      </c>
      <c r="P100" s="279" t="e">
        <f ca="1">INDEX(RESULTADOS!$A:$BA,MATCH($A100,RESULTADOS!$A:$A,0),MATCH(P$1,RESULTADOS!$1:$1,0))</f>
        <v>#N/A</v>
      </c>
      <c r="Q100" s="178" t="e">
        <f t="shared" ca="1" si="29"/>
        <v>#N/A</v>
      </c>
      <c r="R100" s="178" t="e">
        <f t="shared" ca="1" si="29"/>
        <v>#N/A</v>
      </c>
      <c r="S100" s="178" t="e">
        <f t="shared" ca="1" si="29"/>
        <v>#N/A</v>
      </c>
      <c r="T100" s="30" t="e">
        <f t="shared" ca="1" si="26"/>
        <v>#N/A</v>
      </c>
      <c r="U100" s="30" t="e">
        <f t="shared" ca="1" si="27"/>
        <v>#N/A</v>
      </c>
    </row>
    <row r="101" spans="1:21" s="272" customFormat="1" x14ac:dyDescent="0.2">
      <c r="A101" s="273">
        <f t="shared" ca="1" si="12"/>
        <v>43900</v>
      </c>
      <c r="B101" s="53"/>
      <c r="C101" s="53"/>
      <c r="D101" s="52"/>
      <c r="E101" s="279" t="e">
        <f ca="1">INDEX(RESULTADOS!$A:$BA,MATCH($A101,RESULTADOS!$A:$A,0),MATCH(E$1,RESULTADOS!$1:$1,0))</f>
        <v>#N/A</v>
      </c>
      <c r="F101" s="279" t="e">
        <f ca="1">INDEX(RESULTADOS!$A:$BA,MATCH($A101,RESULTADOS!$A:$A,0),MATCH(F$1,RESULTADOS!$1:$1,0))</f>
        <v>#N/A</v>
      </c>
      <c r="G101" s="30" t="e">
        <f t="shared" ca="1" si="22"/>
        <v>#N/A</v>
      </c>
      <c r="H101" s="279" t="e">
        <f ca="1">INDEX(RESULTADOS!$A:$BA,MATCH($A101,RESULTADOS!$A:$A,0),MATCH(H$1,RESULTADOS!$1:$1,0))</f>
        <v>#N/A</v>
      </c>
      <c r="I101" s="279" t="e">
        <f ca="1">INDEX(RESULTADOS!$A:$BA,MATCH($A101,RESULTADOS!$A:$A,0),MATCH(I$1,RESULTADOS!$1:$1,0))</f>
        <v>#N/A</v>
      </c>
      <c r="J101" s="178" t="e">
        <f t="shared" ca="1" si="28"/>
        <v>#N/A</v>
      </c>
      <c r="K101" s="178" t="e">
        <f t="shared" ca="1" si="28"/>
        <v>#N/A</v>
      </c>
      <c r="L101" s="178" t="e">
        <f t="shared" ca="1" si="28"/>
        <v>#N/A</v>
      </c>
      <c r="M101" s="30" t="e">
        <f t="shared" ca="1" si="23"/>
        <v>#N/A</v>
      </c>
      <c r="N101" s="30" t="e">
        <f t="shared" ca="1" si="24"/>
        <v>#N/A</v>
      </c>
      <c r="O101" s="30" t="e">
        <f t="shared" ca="1" si="25"/>
        <v>#N/A</v>
      </c>
      <c r="P101" s="279" t="e">
        <f ca="1">INDEX(RESULTADOS!$A:$BA,MATCH($A101,RESULTADOS!$A:$A,0),MATCH(P$1,RESULTADOS!$1:$1,0))</f>
        <v>#N/A</v>
      </c>
      <c r="Q101" s="178" t="e">
        <f t="shared" ca="1" si="29"/>
        <v>#N/A</v>
      </c>
      <c r="R101" s="178" t="e">
        <f t="shared" ca="1" si="29"/>
        <v>#N/A</v>
      </c>
      <c r="S101" s="178" t="e">
        <f t="shared" ca="1" si="29"/>
        <v>#N/A</v>
      </c>
      <c r="T101" s="30" t="e">
        <f t="shared" ca="1" si="26"/>
        <v>#N/A</v>
      </c>
      <c r="U101" s="30" t="e">
        <f t="shared" ca="1" si="27"/>
        <v>#N/A</v>
      </c>
    </row>
    <row r="102" spans="1:21" s="272" customFormat="1" x14ac:dyDescent="0.2">
      <c r="A102" s="273">
        <f t="shared" ca="1" si="12"/>
        <v>43901</v>
      </c>
      <c r="B102" s="53"/>
      <c r="C102" s="53"/>
      <c r="D102" s="52"/>
      <c r="E102" s="279" t="e">
        <f ca="1">INDEX(RESULTADOS!$A:$BA,MATCH($A102,RESULTADOS!$A:$A,0),MATCH(E$1,RESULTADOS!$1:$1,0))</f>
        <v>#N/A</v>
      </c>
      <c r="F102" s="279" t="e">
        <f ca="1">INDEX(RESULTADOS!$A:$BA,MATCH($A102,RESULTADOS!$A:$A,0),MATCH(F$1,RESULTADOS!$1:$1,0))</f>
        <v>#N/A</v>
      </c>
      <c r="G102" s="30" t="e">
        <f t="shared" ca="1" si="22"/>
        <v>#N/A</v>
      </c>
      <c r="H102" s="279" t="e">
        <f ca="1">INDEX(RESULTADOS!$A:$BA,MATCH($A102,RESULTADOS!$A:$A,0),MATCH(H$1,RESULTADOS!$1:$1,0))</f>
        <v>#N/A</v>
      </c>
      <c r="I102" s="279" t="e">
        <f ca="1">INDEX(RESULTADOS!$A:$BA,MATCH($A102,RESULTADOS!$A:$A,0),MATCH(I$1,RESULTADOS!$1:$1,0))</f>
        <v>#N/A</v>
      </c>
      <c r="J102" s="178" t="e">
        <f t="shared" ca="1" si="28"/>
        <v>#N/A</v>
      </c>
      <c r="K102" s="178" t="e">
        <f t="shared" ca="1" si="28"/>
        <v>#N/A</v>
      </c>
      <c r="L102" s="178" t="e">
        <f t="shared" ca="1" si="28"/>
        <v>#N/A</v>
      </c>
      <c r="M102" s="30" t="e">
        <f t="shared" ca="1" si="23"/>
        <v>#N/A</v>
      </c>
      <c r="N102" s="30" t="e">
        <f t="shared" ca="1" si="24"/>
        <v>#N/A</v>
      </c>
      <c r="O102" s="30" t="e">
        <f t="shared" ca="1" si="25"/>
        <v>#N/A</v>
      </c>
      <c r="P102" s="279" t="e">
        <f ca="1">INDEX(RESULTADOS!$A:$BA,MATCH($A102,RESULTADOS!$A:$A,0),MATCH(P$1,RESULTADOS!$1:$1,0))</f>
        <v>#N/A</v>
      </c>
      <c r="Q102" s="178" t="e">
        <f t="shared" ca="1" si="29"/>
        <v>#N/A</v>
      </c>
      <c r="R102" s="178" t="e">
        <f t="shared" ca="1" si="29"/>
        <v>#N/A</v>
      </c>
      <c r="S102" s="178" t="e">
        <f t="shared" ca="1" si="29"/>
        <v>#N/A</v>
      </c>
      <c r="T102" s="30" t="e">
        <f t="shared" ca="1" si="26"/>
        <v>#N/A</v>
      </c>
      <c r="U102" s="30" t="e">
        <f t="shared" ca="1" si="27"/>
        <v>#N/A</v>
      </c>
    </row>
    <row r="103" spans="1:21" s="272" customFormat="1" x14ac:dyDescent="0.2">
      <c r="A103" s="273">
        <f t="shared" ca="1" si="12"/>
        <v>43902</v>
      </c>
      <c r="B103" s="53"/>
      <c r="C103" s="53"/>
      <c r="D103" s="52"/>
      <c r="E103" s="279" t="e">
        <f ca="1">INDEX(RESULTADOS!$A:$BA,MATCH($A103,RESULTADOS!$A:$A,0),MATCH(E$1,RESULTADOS!$1:$1,0))</f>
        <v>#N/A</v>
      </c>
      <c r="F103" s="279" t="e">
        <f ca="1">INDEX(RESULTADOS!$A:$BA,MATCH($A103,RESULTADOS!$A:$A,0),MATCH(F$1,RESULTADOS!$1:$1,0))</f>
        <v>#N/A</v>
      </c>
      <c r="G103" s="30" t="e">
        <f t="shared" ca="1" si="22"/>
        <v>#N/A</v>
      </c>
      <c r="H103" s="279" t="e">
        <f ca="1">INDEX(RESULTADOS!$A:$BA,MATCH($A103,RESULTADOS!$A:$A,0),MATCH(H$1,RESULTADOS!$1:$1,0))</f>
        <v>#N/A</v>
      </c>
      <c r="I103" s="279" t="e">
        <f ca="1">INDEX(RESULTADOS!$A:$BA,MATCH($A103,RESULTADOS!$A:$A,0),MATCH(I$1,RESULTADOS!$1:$1,0))</f>
        <v>#N/A</v>
      </c>
      <c r="J103" s="178" t="e">
        <f t="shared" ca="1" si="28"/>
        <v>#N/A</v>
      </c>
      <c r="K103" s="178" t="e">
        <f t="shared" ca="1" si="28"/>
        <v>#N/A</v>
      </c>
      <c r="L103" s="178" t="e">
        <f t="shared" ca="1" si="28"/>
        <v>#N/A</v>
      </c>
      <c r="M103" s="30" t="e">
        <f t="shared" ca="1" si="23"/>
        <v>#N/A</v>
      </c>
      <c r="N103" s="30" t="e">
        <f t="shared" ca="1" si="24"/>
        <v>#N/A</v>
      </c>
      <c r="O103" s="30" t="e">
        <f t="shared" ca="1" si="25"/>
        <v>#N/A</v>
      </c>
      <c r="P103" s="279" t="e">
        <f ca="1">INDEX(RESULTADOS!$A:$BA,MATCH($A103,RESULTADOS!$A:$A,0),MATCH(P$1,RESULTADOS!$1:$1,0))</f>
        <v>#N/A</v>
      </c>
      <c r="Q103" s="178" t="e">
        <f t="shared" ca="1" si="29"/>
        <v>#N/A</v>
      </c>
      <c r="R103" s="178" t="e">
        <f t="shared" ca="1" si="29"/>
        <v>#N/A</v>
      </c>
      <c r="S103" s="178" t="e">
        <f t="shared" ca="1" si="29"/>
        <v>#N/A</v>
      </c>
      <c r="T103" s="30" t="e">
        <f t="shared" ca="1" si="26"/>
        <v>#N/A</v>
      </c>
      <c r="U103" s="30" t="e">
        <f t="shared" ca="1" si="27"/>
        <v>#N/A</v>
      </c>
    </row>
    <row r="104" spans="1:21" s="272" customFormat="1" x14ac:dyDescent="0.2">
      <c r="A104" s="273">
        <f t="shared" ref="A104:A110" ca="1" si="30">A103+1</f>
        <v>43903</v>
      </c>
      <c r="B104" s="53"/>
      <c r="C104" s="53"/>
      <c r="D104" s="52"/>
      <c r="E104" s="279" t="e">
        <f ca="1">INDEX(RESULTADOS!$A:$BA,MATCH($A104,RESULTADOS!$A:$A,0),MATCH(E$1,RESULTADOS!$1:$1,0))</f>
        <v>#N/A</v>
      </c>
      <c r="F104" s="279" t="e">
        <f ca="1">INDEX(RESULTADOS!$A:$BA,MATCH($A104,RESULTADOS!$A:$A,0),MATCH(F$1,RESULTADOS!$1:$1,0))</f>
        <v>#N/A</v>
      </c>
      <c r="G104" s="30" t="e">
        <f t="shared" ca="1" si="22"/>
        <v>#N/A</v>
      </c>
      <c r="H104" s="279" t="e">
        <f ca="1">INDEX(RESULTADOS!$A:$BA,MATCH($A104,RESULTADOS!$A:$A,0),MATCH(H$1,RESULTADOS!$1:$1,0))</f>
        <v>#N/A</v>
      </c>
      <c r="I104" s="279" t="e">
        <f ca="1">INDEX(RESULTADOS!$A:$BA,MATCH($A104,RESULTADOS!$A:$A,0),MATCH(I$1,RESULTADOS!$1:$1,0))</f>
        <v>#N/A</v>
      </c>
      <c r="J104" s="178" t="e">
        <f t="shared" ca="1" si="28"/>
        <v>#N/A</v>
      </c>
      <c r="K104" s="178" t="e">
        <f t="shared" ca="1" si="28"/>
        <v>#N/A</v>
      </c>
      <c r="L104" s="178" t="e">
        <f t="shared" ca="1" si="28"/>
        <v>#N/A</v>
      </c>
      <c r="M104" s="30" t="e">
        <f t="shared" ca="1" si="23"/>
        <v>#N/A</v>
      </c>
      <c r="N104" s="30" t="e">
        <f t="shared" ca="1" si="24"/>
        <v>#N/A</v>
      </c>
      <c r="O104" s="30" t="e">
        <f t="shared" ca="1" si="25"/>
        <v>#N/A</v>
      </c>
      <c r="P104" s="279" t="e">
        <f ca="1">INDEX(RESULTADOS!$A:$BA,MATCH($A104,RESULTADOS!$A:$A,0),MATCH(P$1,RESULTADOS!$1:$1,0))</f>
        <v>#N/A</v>
      </c>
      <c r="Q104" s="178" t="e">
        <f t="shared" ca="1" si="29"/>
        <v>#N/A</v>
      </c>
      <c r="R104" s="178" t="e">
        <f t="shared" ca="1" si="29"/>
        <v>#N/A</v>
      </c>
      <c r="S104" s="178" t="e">
        <f t="shared" ca="1" si="29"/>
        <v>#N/A</v>
      </c>
      <c r="T104" s="30" t="e">
        <f t="shared" ca="1" si="26"/>
        <v>#N/A</v>
      </c>
      <c r="U104" s="30" t="e">
        <f t="shared" ca="1" si="27"/>
        <v>#N/A</v>
      </c>
    </row>
    <row r="105" spans="1:21" s="272" customFormat="1" x14ac:dyDescent="0.2">
      <c r="A105" s="273">
        <f t="shared" ca="1" si="30"/>
        <v>43904</v>
      </c>
      <c r="B105" s="53"/>
      <c r="C105" s="53"/>
      <c r="D105" s="52"/>
      <c r="E105" s="279" t="e">
        <f ca="1">INDEX(RESULTADOS!$A:$BA,MATCH($A105,RESULTADOS!$A:$A,0),MATCH(E$1,RESULTADOS!$1:$1,0))</f>
        <v>#N/A</v>
      </c>
      <c r="F105" s="279" t="e">
        <f ca="1">INDEX(RESULTADOS!$A:$BA,MATCH($A105,RESULTADOS!$A:$A,0),MATCH(F$1,RESULTADOS!$1:$1,0))</f>
        <v>#N/A</v>
      </c>
      <c r="G105" s="30" t="e">
        <f t="shared" ca="1" si="22"/>
        <v>#N/A</v>
      </c>
      <c r="H105" s="279" t="e">
        <f ca="1">INDEX(RESULTADOS!$A:$BA,MATCH($A105,RESULTADOS!$A:$A,0),MATCH(H$1,RESULTADOS!$1:$1,0))</f>
        <v>#N/A</v>
      </c>
      <c r="I105" s="279" t="e">
        <f ca="1">INDEX(RESULTADOS!$A:$BA,MATCH($A105,RESULTADOS!$A:$A,0),MATCH(I$1,RESULTADOS!$1:$1,0))</f>
        <v>#N/A</v>
      </c>
      <c r="J105" s="178" t="e">
        <f t="shared" ca="1" si="28"/>
        <v>#N/A</v>
      </c>
      <c r="K105" s="178" t="e">
        <f t="shared" ca="1" si="28"/>
        <v>#N/A</v>
      </c>
      <c r="L105" s="178" t="e">
        <f t="shared" ca="1" si="28"/>
        <v>#N/A</v>
      </c>
      <c r="M105" s="30" t="e">
        <f t="shared" ca="1" si="23"/>
        <v>#N/A</v>
      </c>
      <c r="N105" s="30" t="e">
        <f t="shared" ca="1" si="24"/>
        <v>#N/A</v>
      </c>
      <c r="O105" s="30" t="e">
        <f t="shared" ca="1" si="25"/>
        <v>#N/A</v>
      </c>
      <c r="P105" s="279" t="e">
        <f ca="1">INDEX(RESULTADOS!$A:$BA,MATCH($A105,RESULTADOS!$A:$A,0),MATCH(P$1,RESULTADOS!$1:$1,0))</f>
        <v>#N/A</v>
      </c>
      <c r="Q105" s="178" t="e">
        <f t="shared" ca="1" si="29"/>
        <v>#N/A</v>
      </c>
      <c r="R105" s="178" t="e">
        <f t="shared" ca="1" si="29"/>
        <v>#N/A</v>
      </c>
      <c r="S105" s="178" t="e">
        <f t="shared" ca="1" si="29"/>
        <v>#N/A</v>
      </c>
      <c r="T105" s="30" t="e">
        <f t="shared" ca="1" si="26"/>
        <v>#N/A</v>
      </c>
      <c r="U105" s="30" t="e">
        <f t="shared" ca="1" si="27"/>
        <v>#N/A</v>
      </c>
    </row>
    <row r="106" spans="1:21" s="272" customFormat="1" x14ac:dyDescent="0.2">
      <c r="A106" s="273">
        <f t="shared" ca="1" si="30"/>
        <v>43905</v>
      </c>
      <c r="B106" s="53"/>
      <c r="C106" s="53"/>
      <c r="D106" s="52"/>
      <c r="E106" s="279" t="e">
        <f ca="1">INDEX(RESULTADOS!$A:$BA,MATCH($A106,RESULTADOS!$A:$A,0),MATCH(E$1,RESULTADOS!$1:$1,0))</f>
        <v>#N/A</v>
      </c>
      <c r="F106" s="279" t="e">
        <f ca="1">INDEX(RESULTADOS!$A:$BA,MATCH($A106,RESULTADOS!$A:$A,0),MATCH(F$1,RESULTADOS!$1:$1,0))</f>
        <v>#N/A</v>
      </c>
      <c r="G106" s="30" t="e">
        <f t="shared" ca="1" si="22"/>
        <v>#N/A</v>
      </c>
      <c r="H106" s="279" t="e">
        <f ca="1">INDEX(RESULTADOS!$A:$BA,MATCH($A106,RESULTADOS!$A:$A,0),MATCH(H$1,RESULTADOS!$1:$1,0))</f>
        <v>#N/A</v>
      </c>
      <c r="I106" s="279" t="e">
        <f ca="1">INDEX(RESULTADOS!$A:$BA,MATCH($A106,RESULTADOS!$A:$A,0),MATCH(I$1,RESULTADOS!$1:$1,0))</f>
        <v>#N/A</v>
      </c>
      <c r="J106" s="178" t="e">
        <f t="shared" ca="1" si="28"/>
        <v>#N/A</v>
      </c>
      <c r="K106" s="178" t="e">
        <f t="shared" ca="1" si="28"/>
        <v>#N/A</v>
      </c>
      <c r="L106" s="178" t="e">
        <f t="shared" ca="1" si="28"/>
        <v>#N/A</v>
      </c>
      <c r="M106" s="30" t="e">
        <f t="shared" ca="1" si="23"/>
        <v>#N/A</v>
      </c>
      <c r="N106" s="30" t="e">
        <f t="shared" ca="1" si="24"/>
        <v>#N/A</v>
      </c>
      <c r="O106" s="30" t="e">
        <f t="shared" ca="1" si="25"/>
        <v>#N/A</v>
      </c>
      <c r="P106" s="279" t="e">
        <f ca="1">INDEX(RESULTADOS!$A:$BA,MATCH($A106,RESULTADOS!$A:$A,0),MATCH(P$1,RESULTADOS!$1:$1,0))</f>
        <v>#N/A</v>
      </c>
      <c r="Q106" s="178" t="e">
        <f t="shared" ca="1" si="29"/>
        <v>#N/A</v>
      </c>
      <c r="R106" s="178" t="e">
        <f t="shared" ca="1" si="29"/>
        <v>#N/A</v>
      </c>
      <c r="S106" s="178" t="e">
        <f t="shared" ca="1" si="29"/>
        <v>#N/A</v>
      </c>
      <c r="T106" s="30" t="e">
        <f t="shared" ca="1" si="26"/>
        <v>#N/A</v>
      </c>
      <c r="U106" s="30" t="e">
        <f t="shared" ca="1" si="27"/>
        <v>#N/A</v>
      </c>
    </row>
    <row r="107" spans="1:21" s="272" customFormat="1" x14ac:dyDescent="0.2">
      <c r="A107" s="273">
        <f t="shared" ca="1" si="30"/>
        <v>43906</v>
      </c>
      <c r="B107" s="53"/>
      <c r="C107" s="53"/>
      <c r="D107" s="52"/>
      <c r="E107" s="279" t="e">
        <f ca="1">INDEX(RESULTADOS!$A:$BA,MATCH($A107,RESULTADOS!$A:$A,0),MATCH(E$1,RESULTADOS!$1:$1,0))</f>
        <v>#N/A</v>
      </c>
      <c r="F107" s="279" t="e">
        <f ca="1">INDEX(RESULTADOS!$A:$BA,MATCH($A107,RESULTADOS!$A:$A,0),MATCH(F$1,RESULTADOS!$1:$1,0))</f>
        <v>#N/A</v>
      </c>
      <c r="G107" s="30" t="e">
        <f t="shared" ca="1" si="22"/>
        <v>#N/A</v>
      </c>
      <c r="H107" s="279" t="e">
        <f ca="1">INDEX(RESULTADOS!$A:$BA,MATCH($A107,RESULTADOS!$A:$A,0),MATCH(H$1,RESULTADOS!$1:$1,0))</f>
        <v>#N/A</v>
      </c>
      <c r="I107" s="279" t="e">
        <f ca="1">INDEX(RESULTADOS!$A:$BA,MATCH($A107,RESULTADOS!$A:$A,0),MATCH(I$1,RESULTADOS!$1:$1,0))</f>
        <v>#N/A</v>
      </c>
      <c r="J107" s="178" t="e">
        <f t="shared" ca="1" si="28"/>
        <v>#N/A</v>
      </c>
      <c r="K107" s="178" t="e">
        <f t="shared" ca="1" si="28"/>
        <v>#N/A</v>
      </c>
      <c r="L107" s="178" t="e">
        <f t="shared" ca="1" si="28"/>
        <v>#N/A</v>
      </c>
      <c r="M107" s="30" t="e">
        <f t="shared" ca="1" si="23"/>
        <v>#N/A</v>
      </c>
      <c r="N107" s="30" t="e">
        <f t="shared" ca="1" si="24"/>
        <v>#N/A</v>
      </c>
      <c r="O107" s="30" t="e">
        <f t="shared" ca="1" si="25"/>
        <v>#N/A</v>
      </c>
      <c r="P107" s="279" t="e">
        <f ca="1">INDEX(RESULTADOS!$A:$BA,MATCH($A107,RESULTADOS!$A:$A,0),MATCH(P$1,RESULTADOS!$1:$1,0))</f>
        <v>#N/A</v>
      </c>
      <c r="Q107" s="178" t="e">
        <f t="shared" ca="1" si="29"/>
        <v>#N/A</v>
      </c>
      <c r="R107" s="178" t="e">
        <f t="shared" ca="1" si="29"/>
        <v>#N/A</v>
      </c>
      <c r="S107" s="178" t="e">
        <f t="shared" ca="1" si="29"/>
        <v>#N/A</v>
      </c>
      <c r="T107" s="30" t="e">
        <f t="shared" ca="1" si="26"/>
        <v>#N/A</v>
      </c>
      <c r="U107" s="30" t="e">
        <f t="shared" ca="1" si="27"/>
        <v>#N/A</v>
      </c>
    </row>
    <row r="108" spans="1:21" s="272" customFormat="1" x14ac:dyDescent="0.2">
      <c r="A108" s="273">
        <f t="shared" ca="1" si="30"/>
        <v>43907</v>
      </c>
      <c r="B108" s="53"/>
      <c r="C108" s="53"/>
      <c r="D108" s="52"/>
      <c r="E108" s="279" t="e">
        <f ca="1">INDEX(RESULTADOS!$A:$BA,MATCH($A108,RESULTADOS!$A:$A,0),MATCH(E$1,RESULTADOS!$1:$1,0))</f>
        <v>#N/A</v>
      </c>
      <c r="F108" s="279" t="e">
        <f ca="1">INDEX(RESULTADOS!$A:$BA,MATCH($A108,RESULTADOS!$A:$A,0),MATCH(F$1,RESULTADOS!$1:$1,0))</f>
        <v>#N/A</v>
      </c>
      <c r="G108" s="30" t="e">
        <f t="shared" ca="1" si="22"/>
        <v>#N/A</v>
      </c>
      <c r="H108" s="279" t="e">
        <f ca="1">INDEX(RESULTADOS!$A:$BA,MATCH($A108,RESULTADOS!$A:$A,0),MATCH(H$1,RESULTADOS!$1:$1,0))</f>
        <v>#N/A</v>
      </c>
      <c r="I108" s="279" t="e">
        <f ca="1">INDEX(RESULTADOS!$A:$BA,MATCH($A108,RESULTADOS!$A:$A,0),MATCH(I$1,RESULTADOS!$1:$1,0))</f>
        <v>#N/A</v>
      </c>
      <c r="J108" s="178" t="e">
        <f t="shared" ca="1" si="28"/>
        <v>#N/A</v>
      </c>
      <c r="K108" s="178" t="e">
        <f t="shared" ca="1" si="28"/>
        <v>#N/A</v>
      </c>
      <c r="L108" s="178" t="e">
        <f t="shared" ca="1" si="28"/>
        <v>#N/A</v>
      </c>
      <c r="M108" s="30" t="e">
        <f t="shared" ca="1" si="23"/>
        <v>#N/A</v>
      </c>
      <c r="N108" s="30" t="e">
        <f t="shared" ca="1" si="24"/>
        <v>#N/A</v>
      </c>
      <c r="O108" s="30" t="e">
        <f t="shared" ca="1" si="25"/>
        <v>#N/A</v>
      </c>
      <c r="P108" s="279" t="e">
        <f ca="1">INDEX(RESULTADOS!$A:$BA,MATCH($A108,RESULTADOS!$A:$A,0),MATCH(P$1,RESULTADOS!$1:$1,0))</f>
        <v>#N/A</v>
      </c>
      <c r="Q108" s="178" t="e">
        <f t="shared" ca="1" si="29"/>
        <v>#N/A</v>
      </c>
      <c r="R108" s="178" t="e">
        <f t="shared" ca="1" si="29"/>
        <v>#N/A</v>
      </c>
      <c r="S108" s="178" t="e">
        <f t="shared" ca="1" si="29"/>
        <v>#N/A</v>
      </c>
      <c r="T108" s="30" t="e">
        <f t="shared" ca="1" si="26"/>
        <v>#N/A</v>
      </c>
      <c r="U108" s="30" t="e">
        <f t="shared" ca="1" si="27"/>
        <v>#N/A</v>
      </c>
    </row>
    <row r="109" spans="1:21" s="272" customFormat="1" x14ac:dyDescent="0.2">
      <c r="A109" s="273">
        <f t="shared" ca="1" si="30"/>
        <v>43908</v>
      </c>
      <c r="B109" s="53"/>
      <c r="C109" s="53"/>
      <c r="D109" s="52"/>
      <c r="E109" s="279" t="e">
        <f ca="1">INDEX(RESULTADOS!$A:$BA,MATCH($A109,RESULTADOS!$A:$A,0),MATCH(E$1,RESULTADOS!$1:$1,0))</f>
        <v>#N/A</v>
      </c>
      <c r="F109" s="279" t="e">
        <f ca="1">INDEX(RESULTADOS!$A:$BA,MATCH($A109,RESULTADOS!$A:$A,0),MATCH(F$1,RESULTADOS!$1:$1,0))</f>
        <v>#N/A</v>
      </c>
      <c r="G109" s="30" t="e">
        <f t="shared" ca="1" si="22"/>
        <v>#N/A</v>
      </c>
      <c r="H109" s="279" t="e">
        <f ca="1">INDEX(RESULTADOS!$A:$BA,MATCH($A109,RESULTADOS!$A:$A,0),MATCH(H$1,RESULTADOS!$1:$1,0))</f>
        <v>#N/A</v>
      </c>
      <c r="I109" s="279" t="e">
        <f ca="1">INDEX(RESULTADOS!$A:$BA,MATCH($A109,RESULTADOS!$A:$A,0),MATCH(I$1,RESULTADOS!$1:$1,0))</f>
        <v>#N/A</v>
      </c>
      <c r="J109" s="178" t="e">
        <f t="shared" ca="1" si="28"/>
        <v>#N/A</v>
      </c>
      <c r="K109" s="178" t="e">
        <f t="shared" ca="1" si="28"/>
        <v>#N/A</v>
      </c>
      <c r="L109" s="178" t="e">
        <f t="shared" ca="1" si="28"/>
        <v>#N/A</v>
      </c>
      <c r="M109" s="30" t="e">
        <f t="shared" ca="1" si="23"/>
        <v>#N/A</v>
      </c>
      <c r="N109" s="30" t="e">
        <f t="shared" ca="1" si="24"/>
        <v>#N/A</v>
      </c>
      <c r="O109" s="30" t="e">
        <f t="shared" ca="1" si="25"/>
        <v>#N/A</v>
      </c>
      <c r="P109" s="279" t="e">
        <f ca="1">INDEX(RESULTADOS!$A:$BA,MATCH($A109,RESULTADOS!$A:$A,0),MATCH(P$1,RESULTADOS!$1:$1,0))</f>
        <v>#N/A</v>
      </c>
      <c r="Q109" s="178" t="e">
        <f t="shared" ca="1" si="29"/>
        <v>#N/A</v>
      </c>
      <c r="R109" s="178" t="e">
        <f t="shared" ca="1" si="29"/>
        <v>#N/A</v>
      </c>
      <c r="S109" s="178" t="e">
        <f t="shared" ca="1" si="29"/>
        <v>#N/A</v>
      </c>
      <c r="T109" s="30" t="e">
        <f t="shared" ca="1" si="26"/>
        <v>#N/A</v>
      </c>
      <c r="U109" s="30" t="e">
        <f t="shared" ca="1" si="27"/>
        <v>#N/A</v>
      </c>
    </row>
    <row r="110" spans="1:21" s="272" customFormat="1" x14ac:dyDescent="0.2">
      <c r="A110" s="273">
        <f t="shared" ca="1" si="30"/>
        <v>43909</v>
      </c>
      <c r="B110" s="53"/>
      <c r="C110" s="53"/>
      <c r="D110" s="52"/>
      <c r="E110" s="279" t="e">
        <f ca="1">INDEX(RESULTADOS!$A:$BA,MATCH($A110,RESULTADOS!$A:$A,0),MATCH(E$1,RESULTADOS!$1:$1,0))</f>
        <v>#N/A</v>
      </c>
      <c r="F110" s="279" t="e">
        <f ca="1">INDEX(RESULTADOS!$A:$BA,MATCH($A110,RESULTADOS!$A:$A,0),MATCH(F$1,RESULTADOS!$1:$1,0))</f>
        <v>#N/A</v>
      </c>
      <c r="G110" s="30" t="e">
        <f t="shared" ca="1" si="22"/>
        <v>#N/A</v>
      </c>
      <c r="H110" s="279" t="e">
        <f ca="1">INDEX(RESULTADOS!$A:$BA,MATCH($A110,RESULTADOS!$A:$A,0),MATCH(H$1,RESULTADOS!$1:$1,0))</f>
        <v>#N/A</v>
      </c>
      <c r="I110" s="279" t="e">
        <f ca="1">INDEX(RESULTADOS!$A:$BA,MATCH($A110,RESULTADOS!$A:$A,0),MATCH(I$1,RESULTADOS!$1:$1,0))</f>
        <v>#N/A</v>
      </c>
      <c r="J110" s="178" t="e">
        <f t="shared" ca="1" si="28"/>
        <v>#N/A</v>
      </c>
      <c r="K110" s="178" t="e">
        <f t="shared" ca="1" si="28"/>
        <v>#N/A</v>
      </c>
      <c r="L110" s="178" t="e">
        <f t="shared" ca="1" si="28"/>
        <v>#N/A</v>
      </c>
      <c r="M110" s="30" t="e">
        <f t="shared" ca="1" si="23"/>
        <v>#N/A</v>
      </c>
      <c r="N110" s="30" t="e">
        <f t="shared" ca="1" si="24"/>
        <v>#N/A</v>
      </c>
      <c r="O110" s="30" t="e">
        <f t="shared" ca="1" si="25"/>
        <v>#N/A</v>
      </c>
      <c r="P110" s="279" t="e">
        <f ca="1">INDEX(RESULTADOS!$A:$BA,MATCH($A110,RESULTADOS!$A:$A,0),MATCH(P$1,RESULTADOS!$1:$1,0))</f>
        <v>#N/A</v>
      </c>
      <c r="Q110" s="178" t="e">
        <f t="shared" ca="1" si="29"/>
        <v>#N/A</v>
      </c>
      <c r="R110" s="178" t="e">
        <f t="shared" ca="1" si="29"/>
        <v>#N/A</v>
      </c>
      <c r="S110" s="178" t="e">
        <f t="shared" ca="1" si="29"/>
        <v>#N/A</v>
      </c>
      <c r="T110" s="30" t="e">
        <f t="shared" ca="1" si="26"/>
        <v>#N/A</v>
      </c>
      <c r="U110" s="30" t="e">
        <f t="shared" ca="1" si="27"/>
        <v>#N/A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1190-775E-4204-9138-D760C93847A2}">
  <sheetPr codeName="Plan12">
    <tabColor theme="6"/>
  </sheetPr>
  <dimension ref="A1:AO110"/>
  <sheetViews>
    <sheetView zoomScale="85" zoomScaleNormal="85" workbookViewId="0">
      <pane xSplit="1" ySplit="6" topLeftCell="B76" activePane="bottomRight" state="frozen"/>
      <selection pane="topRight" activeCell="B1" sqref="B1"/>
      <selection pane="bottomLeft" activeCell="A7" sqref="A7"/>
      <selection pane="bottomRight" activeCell="A80" sqref="A80:XFD110"/>
    </sheetView>
  </sheetViews>
  <sheetFormatPr defaultRowHeight="12.75" x14ac:dyDescent="0.2"/>
  <cols>
    <col min="1" max="1" width="12.140625" style="239" bestFit="1" customWidth="1"/>
    <col min="2" max="4" width="9.140625" style="239"/>
    <col min="5" max="5" width="22" style="239" bestFit="1" customWidth="1"/>
    <col min="6" max="6" width="17.140625" style="239" bestFit="1" customWidth="1"/>
    <col min="7" max="7" width="15.28515625" style="239" bestFit="1" customWidth="1"/>
    <col min="8" max="8" width="6" style="239" bestFit="1" customWidth="1"/>
    <col min="9" max="9" width="14.42578125" style="239" bestFit="1" customWidth="1"/>
    <col min="10" max="10" width="18.28515625" style="239" bestFit="1" customWidth="1"/>
    <col min="11" max="11" width="16.7109375" style="239" bestFit="1" customWidth="1"/>
    <col min="12" max="12" width="17.7109375" style="239" bestFit="1" customWidth="1"/>
    <col min="13" max="13" width="17.140625" style="239" bestFit="1" customWidth="1"/>
    <col min="14" max="14" width="22.5703125" style="239" bestFit="1" customWidth="1"/>
    <col min="15" max="15" width="20.5703125" style="239" bestFit="1" customWidth="1"/>
    <col min="16" max="16" width="9.5703125" style="239" bestFit="1" customWidth="1"/>
    <col min="17" max="17" width="20.28515625" style="239" bestFit="1" customWidth="1"/>
    <col min="18" max="18" width="19.7109375" style="239" bestFit="1" customWidth="1"/>
    <col min="19" max="20" width="23.5703125" style="239" customWidth="1"/>
    <col min="21" max="16384" width="9.140625" style="239"/>
  </cols>
  <sheetData>
    <row r="1" spans="1:37" x14ac:dyDescent="0.2">
      <c r="D1" s="234"/>
      <c r="E1" s="239" t="s">
        <v>187</v>
      </c>
      <c r="F1" s="239" t="s">
        <v>188</v>
      </c>
      <c r="G1" s="239" t="s">
        <v>166</v>
      </c>
      <c r="H1" s="239" t="s">
        <v>48</v>
      </c>
      <c r="I1" s="239" t="s">
        <v>167</v>
      </c>
      <c r="J1" s="34" t="s">
        <v>189</v>
      </c>
      <c r="K1" s="34" t="s">
        <v>190</v>
      </c>
      <c r="L1" s="34" t="s">
        <v>191</v>
      </c>
      <c r="M1" s="247" t="s">
        <v>170</v>
      </c>
      <c r="N1" s="247" t="s">
        <v>165</v>
      </c>
      <c r="O1" s="248" t="s">
        <v>166</v>
      </c>
      <c r="P1" s="248" t="s">
        <v>48</v>
      </c>
      <c r="Q1" s="247" t="s">
        <v>171</v>
      </c>
      <c r="R1" s="247" t="s">
        <v>167</v>
      </c>
      <c r="S1" s="248" t="s">
        <v>168</v>
      </c>
      <c r="U1" s="248" t="s">
        <v>172</v>
      </c>
      <c r="V1" s="248" t="s">
        <v>169</v>
      </c>
    </row>
    <row r="2" spans="1:37" x14ac:dyDescent="0.2">
      <c r="A2" s="239" t="s">
        <v>1</v>
      </c>
      <c r="B2" s="236"/>
      <c r="C2" s="236"/>
      <c r="D2" s="234"/>
      <c r="E2" s="239">
        <v>215</v>
      </c>
      <c r="F2" s="239">
        <v>216</v>
      </c>
      <c r="G2" s="239">
        <v>217</v>
      </c>
      <c r="H2" s="239">
        <v>92</v>
      </c>
      <c r="I2" s="239">
        <v>220</v>
      </c>
      <c r="J2" s="34">
        <v>94</v>
      </c>
      <c r="K2" s="34">
        <v>286</v>
      </c>
      <c r="L2" s="34">
        <v>103</v>
      </c>
      <c r="M2" s="239">
        <v>89</v>
      </c>
      <c r="N2" s="247">
        <v>216</v>
      </c>
      <c r="O2" s="34">
        <v>217</v>
      </c>
      <c r="P2" s="34">
        <v>92</v>
      </c>
      <c r="Q2" s="239">
        <v>93</v>
      </c>
      <c r="R2" s="239">
        <v>220</v>
      </c>
      <c r="S2" s="34">
        <v>94</v>
      </c>
      <c r="T2" s="34"/>
      <c r="U2" s="34">
        <v>102</v>
      </c>
      <c r="V2" s="34">
        <v>103</v>
      </c>
    </row>
    <row r="3" spans="1:37" x14ac:dyDescent="0.2">
      <c r="A3" s="235" t="s">
        <v>2</v>
      </c>
      <c r="B3" s="236"/>
      <c r="C3" s="236"/>
      <c r="D3" s="234"/>
      <c r="E3" s="238" t="s">
        <v>3</v>
      </c>
      <c r="F3" s="238" t="s">
        <v>3</v>
      </c>
      <c r="G3" s="238" t="s">
        <v>3</v>
      </c>
      <c r="H3" s="238" t="s">
        <v>3</v>
      </c>
      <c r="I3" s="238" t="s">
        <v>3</v>
      </c>
      <c r="J3" s="238" t="s">
        <v>3</v>
      </c>
      <c r="K3" s="238" t="s">
        <v>3</v>
      </c>
      <c r="L3" s="238" t="s">
        <v>3</v>
      </c>
      <c r="Q3" s="238" t="s">
        <v>3</v>
      </c>
      <c r="R3" s="238" t="s">
        <v>3</v>
      </c>
      <c r="U3" s="238" t="s">
        <v>3</v>
      </c>
      <c r="V3" s="238" t="s">
        <v>3</v>
      </c>
    </row>
    <row r="4" spans="1:37" x14ac:dyDescent="0.2">
      <c r="A4" s="239" t="s">
        <v>4</v>
      </c>
      <c r="B4" s="236"/>
      <c r="C4" s="236"/>
      <c r="D4" s="234"/>
      <c r="E4" s="238"/>
      <c r="F4" s="238"/>
      <c r="G4" s="238"/>
      <c r="H4" s="238"/>
      <c r="I4" s="238"/>
      <c r="J4" s="238"/>
      <c r="K4" s="238"/>
      <c r="L4" s="238"/>
      <c r="M4" s="239">
        <v>0.91</v>
      </c>
      <c r="N4" s="239">
        <v>0.09</v>
      </c>
      <c r="Q4" s="238">
        <v>0.58599999999999997</v>
      </c>
      <c r="R4" s="238">
        <v>0.41399999999999998</v>
      </c>
      <c r="U4" s="238">
        <v>0.96299999999999997</v>
      </c>
      <c r="V4" s="238">
        <v>3.6999999999999998E-2</v>
      </c>
    </row>
    <row r="5" spans="1:37" x14ac:dyDescent="0.2">
      <c r="B5" s="236"/>
      <c r="C5" s="236"/>
      <c r="D5" s="234"/>
      <c r="E5" s="238" t="s">
        <v>6</v>
      </c>
      <c r="F5" s="238" t="s">
        <v>7</v>
      </c>
      <c r="G5" s="238" t="s">
        <v>7</v>
      </c>
      <c r="H5" s="238" t="s">
        <v>7</v>
      </c>
      <c r="I5" s="238" t="s">
        <v>7</v>
      </c>
      <c r="J5" s="238" t="s">
        <v>7</v>
      </c>
      <c r="K5" s="238" t="s">
        <v>6</v>
      </c>
      <c r="L5" s="238" t="s">
        <v>7</v>
      </c>
      <c r="M5" s="238" t="s">
        <v>6</v>
      </c>
      <c r="N5" s="238" t="s">
        <v>6</v>
      </c>
      <c r="O5" s="238" t="s">
        <v>6</v>
      </c>
      <c r="P5" s="238" t="s">
        <v>6</v>
      </c>
      <c r="Q5" s="238" t="s">
        <v>6</v>
      </c>
      <c r="R5" s="238" t="s">
        <v>6</v>
      </c>
      <c r="S5" s="238" t="s">
        <v>6</v>
      </c>
      <c r="T5" s="238"/>
      <c r="U5" s="238" t="s">
        <v>6</v>
      </c>
      <c r="V5" s="238" t="s">
        <v>6</v>
      </c>
    </row>
    <row r="6" spans="1:37" x14ac:dyDescent="0.2">
      <c r="B6" s="236"/>
      <c r="C6" s="236"/>
      <c r="D6" s="236"/>
      <c r="E6" s="238" t="str">
        <f t="shared" ref="E6:S6" si="0">CONCATENATE(E2,"_",E5)</f>
        <v>215_VNA</v>
      </c>
      <c r="F6" s="238" t="str">
        <f t="shared" si="0"/>
        <v>216_VNI</v>
      </c>
      <c r="G6" s="238" t="str">
        <f t="shared" si="0"/>
        <v>217_VNI</v>
      </c>
      <c r="H6" s="238" t="str">
        <f t="shared" si="0"/>
        <v>92_VNI</v>
      </c>
      <c r="I6" s="238" t="str">
        <f t="shared" si="0"/>
        <v>220_VNI</v>
      </c>
      <c r="J6" s="238" t="str">
        <f t="shared" si="0"/>
        <v>94_VNI</v>
      </c>
      <c r="K6" s="238" t="str">
        <f t="shared" si="0"/>
        <v>286_VNA</v>
      </c>
      <c r="L6" s="238" t="str">
        <f t="shared" si="0"/>
        <v>103_VNI</v>
      </c>
      <c r="M6" s="238" t="str">
        <f t="shared" si="0"/>
        <v>89_VNA</v>
      </c>
      <c r="N6" s="238" t="str">
        <f t="shared" si="0"/>
        <v>216_VNA</v>
      </c>
      <c r="O6" s="238" t="str">
        <f t="shared" si="0"/>
        <v>217_VNA</v>
      </c>
      <c r="P6" s="238" t="str">
        <f t="shared" si="0"/>
        <v>92_VNA</v>
      </c>
      <c r="Q6" s="238" t="str">
        <f t="shared" si="0"/>
        <v>93_VNA</v>
      </c>
      <c r="R6" s="238" t="str">
        <f t="shared" si="0"/>
        <v>220_VNA</v>
      </c>
      <c r="S6" s="238" t="str">
        <f t="shared" si="0"/>
        <v>94_VNA</v>
      </c>
      <c r="T6" s="238"/>
      <c r="U6" s="238" t="str">
        <f>CONCATENATE(U2,"_",U5)</f>
        <v>102_VNA</v>
      </c>
      <c r="V6" s="238" t="str">
        <f>CONCATENATE(V2,"_",V5)</f>
        <v>103_VNA</v>
      </c>
    </row>
    <row r="7" spans="1:37" x14ac:dyDescent="0.2">
      <c r="A7" s="49">
        <f t="shared" ref="A7:A37" ca="1" si="1">A8-1</f>
        <v>43806</v>
      </c>
      <c r="B7" s="110"/>
      <c r="C7" s="51" t="e">
        <f ca="1">INDEX(RESULTADOS!$A:$BZ,MATCH($A7,RESULTADOS!$A:$A,0),MATCH(C$1,RESULTADOS!$1:$1,0))</f>
        <v>#N/A</v>
      </c>
      <c r="D7" s="110" t="e">
        <f ca="1">INDEX(RESULTADOS!$A:$BZ,MATCH($A7,RESULTADOS!$A:$A,0),MATCH(D$1,RESULTADOS!$1:$1,0))</f>
        <v>#N/A</v>
      </c>
      <c r="E7" s="210" t="e">
        <f ca="1">INDEX(RESULTADOS!$A:$BZ,MATCH($A7,RESULTADOS!$A:$A,0),MATCH(E$1,RESULTADOS!$1:$1,0))</f>
        <v>#N/A</v>
      </c>
      <c r="F7" s="250" t="e">
        <f ca="1">INDEX(RESULTADOS!$A:$BZ,MATCH($A7,RESULTADOS!$A:$A,0),MATCH(F$1,RESULTADOS!$1:$1,0))</f>
        <v>#N/A</v>
      </c>
      <c r="G7" s="250" t="e">
        <f ca="1">INDEX(RESULTADOS!$A:$BZ,MATCH($A7,RESULTADOS!$A:$A,0),MATCH(G$1,RESULTADOS!$1:$1,0))</f>
        <v>#N/A</v>
      </c>
      <c r="H7" s="250" t="e">
        <f ca="1">INDEX(RESULTADOS!$A:$BZ,MATCH($A7,RESULTADOS!$A:$A,0),MATCH(H$1,RESULTADOS!$1:$1,0))</f>
        <v>#N/A</v>
      </c>
      <c r="I7" s="250" t="e">
        <f ca="1">INDEX(RESULTADOS!$A:$BZ,MATCH($A7,RESULTADOS!$A:$A,0),MATCH(I$1,RESULTADOS!$1:$1,0))</f>
        <v>#N/A</v>
      </c>
      <c r="J7" s="250" t="e">
        <f ca="1">INDEX(RESULTADOS!$A:$BZ,MATCH($A7,RESULTADOS!$A:$A,0),MATCH(J$1,RESULTADOS!$1:$1,0))</f>
        <v>#N/A</v>
      </c>
      <c r="K7" s="210">
        <f ca="1">SUMPRODUCT((TABELA_VAZAO[Posto]=K$2)*1,(TABELA_VAZAO[Data]=$A7)*1,TABELA_VAZAO[qnat])</f>
        <v>0</v>
      </c>
      <c r="L7" s="250">
        <f ca="1">SUMPRODUCT((TABELA_VAZAO[Posto]=L$2)*1,(TABELA_VAZAO[Data]=$A7)*1,TABELA_VAZAO[qinc])</f>
        <v>0</v>
      </c>
      <c r="M7" s="210" t="e">
        <f ca="1">INDEX(RESULTADOS!$A:$BZ,MATCH($A7,RESULTADOS!$A:$A,0),MATCH(M$1,RESULTADOS!$1:$1,0))</f>
        <v>#N/A</v>
      </c>
      <c r="N7" s="210">
        <f ca="1">SUMPRODUCT((TABELA_VAZAO[Posto]=N$2)*1,(TABELA_VAZAO[Data]=$A7)*1,TABELA_VAZAO[qnat])</f>
        <v>0</v>
      </c>
      <c r="O7" s="210">
        <f ca="1">SUMPRODUCT((TABELA_VAZAO[Posto]=O$2)*1,(TABELA_VAZAO[Data]=$A7)*1,TABELA_VAZAO[qnat])</f>
        <v>0</v>
      </c>
      <c r="P7" s="210">
        <f ca="1">SUMPRODUCT((TABELA_VAZAO[Posto]=P$2)*1,(TABELA_VAZAO[Data]=$A7)*1,TABELA_VAZAO[qnat])</f>
        <v>0</v>
      </c>
      <c r="Q7" s="210">
        <f ca="1">SUMPRODUCT((TABELA_VAZAO[Posto]=Q$2)*1,(TABELA_VAZAO[Data]=$A7)*1,TABELA_VAZAO[qnat])</f>
        <v>0</v>
      </c>
      <c r="R7" s="210">
        <f ca="1">SUMPRODUCT((TABELA_VAZAO[Posto]=R$2)*1,(TABELA_VAZAO[Data]=$A7)*1,TABELA_VAZAO[qnat])</f>
        <v>0</v>
      </c>
      <c r="S7" s="210">
        <f ca="1">SUMPRODUCT((TABELA_VAZAO[Posto]=S$2)*1,(TABELA_VAZAO[Data]=$A7)*1,TABELA_VAZAO[qnat])</f>
        <v>0</v>
      </c>
      <c r="T7" s="230" t="e">
        <f ca="1">INDEX(RESULTADOS!$A:$BZ,MATCH($A7,RESULTADOS!$A:$A,0),MATCH(T$1,RESULTADOS!$1:$1,0))</f>
        <v>#N/A</v>
      </c>
      <c r="U7" s="210">
        <f ca="1">SUMPRODUCT((TABELA_VAZAO[Posto]=U$2)*1,(TABELA_VAZAO[Data]=$A7)*1,TABELA_VAZAO[qnat])</f>
        <v>0</v>
      </c>
      <c r="V7" s="210">
        <f ca="1">SUMPRODUCT((TABELA_VAZAO[Posto]=V$2)*1,(TABELA_VAZAO[Data]=$A7)*1,TABELA_VAZAO[qnat])</f>
        <v>0</v>
      </c>
      <c r="W7" s="239" t="e">
        <f ca="1">INDEX(RESULTADOS!$A:$BZ,MATCH($A7,RESULTADOS!$A:$A,0),MATCH(W$1,RESULTADOS!$1:$1,0))</f>
        <v>#N/A</v>
      </c>
      <c r="Y7" s="239" t="e">
        <f ca="1">INDEX(RESULTADOS!$A:$BZ,MATCH($A7,RESULTADOS!$A:$A,0),MATCH(Y$1,RESULTADOS!$1:$1,0))</f>
        <v>#N/A</v>
      </c>
      <c r="AC7" s="239" t="e">
        <f ca="1">INDEX(RESULTADOS!$A:$BZ,MATCH($A7,RESULTADOS!$A:$A,0),MATCH(AC$1,RESULTADOS!$1:$1,0))</f>
        <v>#N/A</v>
      </c>
      <c r="AE7" s="239" t="e">
        <f ca="1">INDEX(RESULTADOS!$A:$BZ,MATCH($A7,RESULTADOS!$A:$A,0),MATCH(AE$1,RESULTADOS!$1:$1,0))</f>
        <v>#N/A</v>
      </c>
      <c r="AF7" s="239" t="e">
        <f ca="1">INDEX(RESULTADOS!$A:$BZ,MATCH($A7,RESULTADOS!$A:$A,0),MATCH(AF$1,RESULTADOS!$1:$1,0))</f>
        <v>#N/A</v>
      </c>
      <c r="AJ7" s="239" t="e">
        <f ca="1">INDEX(RESULTADOS!$A:$BZ,MATCH($A7,RESULTADOS!$A:$A,0),MATCH(AJ$1,RESULTADOS!$1:$1,0))</f>
        <v>#N/A</v>
      </c>
      <c r="AK7" s="239" t="e">
        <f ca="1">INDEX(RESULTADOS!$A:$BZ,MATCH($A7,RESULTADOS!$A:$A,0),MATCH(AK$1,RESULTADOS!$1:$1,0))</f>
        <v>#N/A</v>
      </c>
    </row>
    <row r="8" spans="1:37" x14ac:dyDescent="0.2">
      <c r="A8" s="49">
        <f t="shared" ca="1" si="1"/>
        <v>43807</v>
      </c>
      <c r="B8" s="51"/>
      <c r="C8" s="51" t="e">
        <f ca="1">INDEX(RESULTADOS!$A:$BZ,MATCH($A8,RESULTADOS!$A:$A,0),MATCH(C$1,RESULTADOS!$1:$1,0))</f>
        <v>#N/A</v>
      </c>
      <c r="D8" s="110" t="e">
        <f ca="1">INDEX(RESULTADOS!$A:$BZ,MATCH($A8,RESULTADOS!$A:$A,0),MATCH(D$1,RESULTADOS!$1:$1,0))</f>
        <v>#N/A</v>
      </c>
      <c r="E8" s="210" t="e">
        <f ca="1">INDEX(RESULTADOS!$A:$BZ,MATCH($A8,RESULTADOS!$A:$A,0),MATCH(E$1,RESULTADOS!$1:$1,0))</f>
        <v>#N/A</v>
      </c>
      <c r="F8" s="250" t="e">
        <f ca="1">INDEX(RESULTADOS!$A:$BZ,MATCH($A8,RESULTADOS!$A:$A,0),MATCH(F$1,RESULTADOS!$1:$1,0))</f>
        <v>#N/A</v>
      </c>
      <c r="G8" s="250" t="e">
        <f ca="1">INDEX(RESULTADOS!$A:$BZ,MATCH($A8,RESULTADOS!$A:$A,0),MATCH(G$1,RESULTADOS!$1:$1,0))</f>
        <v>#N/A</v>
      </c>
      <c r="H8" s="250" t="e">
        <f ca="1">INDEX(RESULTADOS!$A:$BZ,MATCH($A8,RESULTADOS!$A:$A,0),MATCH(H$1,RESULTADOS!$1:$1,0))</f>
        <v>#N/A</v>
      </c>
      <c r="I8" s="250" t="e">
        <f ca="1">INDEX(RESULTADOS!$A:$BZ,MATCH($A8,RESULTADOS!$A:$A,0),MATCH(I$1,RESULTADOS!$1:$1,0))</f>
        <v>#N/A</v>
      </c>
      <c r="J8" s="250" t="e">
        <f ca="1">INDEX(RESULTADOS!$A:$BZ,MATCH($A8,RESULTADOS!$A:$A,0),MATCH(J$1,RESULTADOS!$1:$1,0))</f>
        <v>#N/A</v>
      </c>
      <c r="K8" s="210">
        <f ca="1">SUMPRODUCT((TABELA_VAZAO[Posto]=K$2)*1,(TABELA_VAZAO[Data]=$A8)*1,TABELA_VAZAO[qnat])</f>
        <v>0</v>
      </c>
      <c r="L8" s="250">
        <f ca="1">SUMPRODUCT((TABELA_VAZAO[Posto]=L$2)*1,(TABELA_VAZAO[Data]=$A8)*1,TABELA_VAZAO[qinc])</f>
        <v>0</v>
      </c>
      <c r="M8" s="210" t="e">
        <f ca="1">INDEX(RESULTADOS!$A:$BZ,MATCH($A8,RESULTADOS!$A:$A,0),MATCH(M$1,RESULTADOS!$1:$1,0))</f>
        <v>#N/A</v>
      </c>
      <c r="N8" s="210">
        <f ca="1">SUMPRODUCT((TABELA_VAZAO[Posto]=N$2)*1,(TABELA_VAZAO[Data]=$A8)*1,TABELA_VAZAO[qnat])</f>
        <v>0</v>
      </c>
      <c r="O8" s="210">
        <f ca="1">SUMPRODUCT((TABELA_VAZAO[Posto]=O$2)*1,(TABELA_VAZAO[Data]=$A8)*1,TABELA_VAZAO[qnat])</f>
        <v>0</v>
      </c>
      <c r="P8" s="210">
        <f ca="1">SUMPRODUCT((TABELA_VAZAO[Posto]=P$2)*1,(TABELA_VAZAO[Data]=$A8)*1,TABELA_VAZAO[qnat])</f>
        <v>0</v>
      </c>
      <c r="Q8" s="210">
        <f ca="1">SUMPRODUCT((TABELA_VAZAO[Posto]=Q$2)*1,(TABELA_VAZAO[Data]=$A8)*1,TABELA_VAZAO[qnat])</f>
        <v>0</v>
      </c>
      <c r="R8" s="210">
        <f ca="1">SUMPRODUCT((TABELA_VAZAO[Posto]=R$2)*1,(TABELA_VAZAO[Data]=$A8)*1,TABELA_VAZAO[qnat])</f>
        <v>0</v>
      </c>
      <c r="S8" s="210">
        <f ca="1">SUMPRODUCT((TABELA_VAZAO[Posto]=S$2)*1,(TABELA_VAZAO[Data]=$A8)*1,TABELA_VAZAO[qnat])</f>
        <v>0</v>
      </c>
      <c r="T8" s="230" t="e">
        <f ca="1">INDEX(RESULTADOS!$A:$BZ,MATCH($A8,RESULTADOS!$A:$A,0),MATCH(T$1,RESULTADOS!$1:$1,0))</f>
        <v>#N/A</v>
      </c>
      <c r="U8" s="210">
        <f ca="1">SUMPRODUCT((TABELA_VAZAO[Posto]=U$2)*1,(TABELA_VAZAO[Data]=$A8)*1,TABELA_VAZAO[qnat])</f>
        <v>0</v>
      </c>
      <c r="V8" s="210">
        <f ca="1">SUMPRODUCT((TABELA_VAZAO[Posto]=V$2)*1,(TABELA_VAZAO[Data]=$A8)*1,TABELA_VAZAO[qnat])</f>
        <v>0</v>
      </c>
      <c r="W8" s="239" t="e">
        <f ca="1">INDEX(RESULTADOS!$A:$BZ,MATCH($A8,RESULTADOS!$A:$A,0),MATCH(W$1,RESULTADOS!$1:$1,0))</f>
        <v>#N/A</v>
      </c>
      <c r="Y8" s="239" t="e">
        <f ca="1">INDEX(RESULTADOS!$A:$BZ,MATCH($A8,RESULTADOS!$A:$A,0),MATCH(Y$1,RESULTADOS!$1:$1,0))</f>
        <v>#N/A</v>
      </c>
      <c r="AC8" s="239" t="e">
        <f ca="1">INDEX(RESULTADOS!$A:$BZ,MATCH($A8,RESULTADOS!$A:$A,0),MATCH(AC$1,RESULTADOS!$1:$1,0))</f>
        <v>#N/A</v>
      </c>
      <c r="AE8" s="239" t="e">
        <f ca="1">INDEX(RESULTADOS!$A:$BZ,MATCH($A8,RESULTADOS!$A:$A,0),MATCH(AE$1,RESULTADOS!$1:$1,0))</f>
        <v>#N/A</v>
      </c>
      <c r="AF8" s="239" t="e">
        <f ca="1">INDEX(RESULTADOS!$A:$BZ,MATCH($A8,RESULTADOS!$A:$A,0),MATCH(AF$1,RESULTADOS!$1:$1,0))</f>
        <v>#N/A</v>
      </c>
      <c r="AJ8" s="239" t="e">
        <f ca="1">INDEX(RESULTADOS!$A:$BZ,MATCH($A8,RESULTADOS!$A:$A,0),MATCH(AJ$1,RESULTADOS!$1:$1,0))</f>
        <v>#N/A</v>
      </c>
      <c r="AK8" s="239" t="e">
        <f ca="1">INDEX(RESULTADOS!$A:$BZ,MATCH($A8,RESULTADOS!$A:$A,0),MATCH(AK$1,RESULTADOS!$1:$1,0))</f>
        <v>#N/A</v>
      </c>
    </row>
    <row r="9" spans="1:37" x14ac:dyDescent="0.2">
      <c r="A9" s="49">
        <f t="shared" ca="1" si="1"/>
        <v>43808</v>
      </c>
      <c r="B9" s="51"/>
      <c r="C9" s="51" t="e">
        <f ca="1">INDEX(RESULTADOS!$A:$BZ,MATCH($A9,RESULTADOS!$A:$A,0),MATCH(C$1,RESULTADOS!$1:$1,0))</f>
        <v>#N/A</v>
      </c>
      <c r="D9" s="110" t="e">
        <f ca="1">INDEX(RESULTADOS!$A:$BZ,MATCH($A9,RESULTADOS!$A:$A,0),MATCH(D$1,RESULTADOS!$1:$1,0))</f>
        <v>#N/A</v>
      </c>
      <c r="E9" s="210" t="e">
        <f ca="1">INDEX(RESULTADOS!$A:$BZ,MATCH($A9,RESULTADOS!$A:$A,0),MATCH(E$1,RESULTADOS!$1:$1,0))</f>
        <v>#N/A</v>
      </c>
      <c r="F9" s="250" t="e">
        <f ca="1">INDEX(RESULTADOS!$A:$BZ,MATCH($A9,RESULTADOS!$A:$A,0),MATCH(F$1,RESULTADOS!$1:$1,0))</f>
        <v>#N/A</v>
      </c>
      <c r="G9" s="250" t="e">
        <f ca="1">INDEX(RESULTADOS!$A:$BZ,MATCH($A9,RESULTADOS!$A:$A,0),MATCH(G$1,RESULTADOS!$1:$1,0))</f>
        <v>#N/A</v>
      </c>
      <c r="H9" s="250" t="e">
        <f ca="1">INDEX(RESULTADOS!$A:$BZ,MATCH($A9,RESULTADOS!$A:$A,0),MATCH(H$1,RESULTADOS!$1:$1,0))</f>
        <v>#N/A</v>
      </c>
      <c r="I9" s="250" t="e">
        <f ca="1">INDEX(RESULTADOS!$A:$BZ,MATCH($A9,RESULTADOS!$A:$A,0),MATCH(I$1,RESULTADOS!$1:$1,0))</f>
        <v>#N/A</v>
      </c>
      <c r="J9" s="250" t="e">
        <f ca="1">INDEX(RESULTADOS!$A:$BZ,MATCH($A9,RESULTADOS!$A:$A,0),MATCH(J$1,RESULTADOS!$1:$1,0))</f>
        <v>#N/A</v>
      </c>
      <c r="K9" s="210">
        <f ca="1">SUMPRODUCT((TABELA_VAZAO[Posto]=K$2)*1,(TABELA_VAZAO[Data]=$A9)*1,TABELA_VAZAO[qnat])</f>
        <v>0</v>
      </c>
      <c r="L9" s="250">
        <f ca="1">SUMPRODUCT((TABELA_VAZAO[Posto]=L$2)*1,(TABELA_VAZAO[Data]=$A9)*1,TABELA_VAZAO[qinc])</f>
        <v>0</v>
      </c>
      <c r="M9" s="210" t="e">
        <f ca="1">INDEX(RESULTADOS!$A:$BZ,MATCH($A9,RESULTADOS!$A:$A,0),MATCH(M$1,RESULTADOS!$1:$1,0))</f>
        <v>#N/A</v>
      </c>
      <c r="N9" s="210">
        <f ca="1">SUMPRODUCT((TABELA_VAZAO[Posto]=N$2)*1,(TABELA_VAZAO[Data]=$A9)*1,TABELA_VAZAO[qnat])</f>
        <v>0</v>
      </c>
      <c r="O9" s="210">
        <f ca="1">SUMPRODUCT((TABELA_VAZAO[Posto]=O$2)*1,(TABELA_VAZAO[Data]=$A9)*1,TABELA_VAZAO[qnat])</f>
        <v>0</v>
      </c>
      <c r="P9" s="210">
        <f ca="1">SUMPRODUCT((TABELA_VAZAO[Posto]=P$2)*1,(TABELA_VAZAO[Data]=$A9)*1,TABELA_VAZAO[qnat])</f>
        <v>0</v>
      </c>
      <c r="Q9" s="210">
        <f ca="1">SUMPRODUCT((TABELA_VAZAO[Posto]=Q$2)*1,(TABELA_VAZAO[Data]=$A9)*1,TABELA_VAZAO[qnat])</f>
        <v>0</v>
      </c>
      <c r="R9" s="210">
        <f ca="1">SUMPRODUCT((TABELA_VAZAO[Posto]=R$2)*1,(TABELA_VAZAO[Data]=$A9)*1,TABELA_VAZAO[qnat])</f>
        <v>0</v>
      </c>
      <c r="S9" s="210">
        <f ca="1">SUMPRODUCT((TABELA_VAZAO[Posto]=S$2)*1,(TABELA_VAZAO[Data]=$A9)*1,TABELA_VAZAO[qnat])</f>
        <v>0</v>
      </c>
      <c r="T9" s="230" t="e">
        <f ca="1">INDEX(RESULTADOS!$A:$BZ,MATCH($A9,RESULTADOS!$A:$A,0),MATCH(T$1,RESULTADOS!$1:$1,0))</f>
        <v>#N/A</v>
      </c>
      <c r="U9" s="210">
        <f ca="1">SUMPRODUCT((TABELA_VAZAO[Posto]=U$2)*1,(TABELA_VAZAO[Data]=$A9)*1,TABELA_VAZAO[qnat])</f>
        <v>0</v>
      </c>
      <c r="V9" s="210">
        <f ca="1">SUMPRODUCT((TABELA_VAZAO[Posto]=V$2)*1,(TABELA_VAZAO[Data]=$A9)*1,TABELA_VAZAO[qnat])</f>
        <v>0</v>
      </c>
      <c r="W9" s="239" t="e">
        <f ca="1">INDEX(RESULTADOS!$A:$BZ,MATCH($A9,RESULTADOS!$A:$A,0),MATCH(W$1,RESULTADOS!$1:$1,0))</f>
        <v>#N/A</v>
      </c>
      <c r="Y9" s="239" t="e">
        <f ca="1">INDEX(RESULTADOS!$A:$BZ,MATCH($A9,RESULTADOS!$A:$A,0),MATCH(Y$1,RESULTADOS!$1:$1,0))</f>
        <v>#N/A</v>
      </c>
      <c r="AC9" s="239" t="e">
        <f ca="1">INDEX(RESULTADOS!$A:$BZ,MATCH($A9,RESULTADOS!$A:$A,0),MATCH(AC$1,RESULTADOS!$1:$1,0))</f>
        <v>#N/A</v>
      </c>
      <c r="AE9" s="239" t="e">
        <f ca="1">INDEX(RESULTADOS!$A:$BZ,MATCH($A9,RESULTADOS!$A:$A,0),MATCH(AE$1,RESULTADOS!$1:$1,0))</f>
        <v>#N/A</v>
      </c>
      <c r="AF9" s="239" t="e">
        <f ca="1">INDEX(RESULTADOS!$A:$BZ,MATCH($A9,RESULTADOS!$A:$A,0),MATCH(AF$1,RESULTADOS!$1:$1,0))</f>
        <v>#N/A</v>
      </c>
      <c r="AJ9" s="239" t="e">
        <f ca="1">INDEX(RESULTADOS!$A:$BZ,MATCH($A9,RESULTADOS!$A:$A,0),MATCH(AJ$1,RESULTADOS!$1:$1,0))</f>
        <v>#N/A</v>
      </c>
      <c r="AK9" s="239" t="e">
        <f ca="1">INDEX(RESULTADOS!$A:$BZ,MATCH($A9,RESULTADOS!$A:$A,0),MATCH(AK$1,RESULTADOS!$1:$1,0))</f>
        <v>#N/A</v>
      </c>
    </row>
    <row r="10" spans="1:37" x14ac:dyDescent="0.2">
      <c r="A10" s="49">
        <f t="shared" ca="1" si="1"/>
        <v>43809</v>
      </c>
      <c r="B10" s="51"/>
      <c r="C10" s="51" t="e">
        <f ca="1">INDEX(RESULTADOS!$A:$BZ,MATCH($A10,RESULTADOS!$A:$A,0),MATCH(C$1,RESULTADOS!$1:$1,0))</f>
        <v>#N/A</v>
      </c>
      <c r="D10" s="110" t="e">
        <f ca="1">INDEX(RESULTADOS!$A:$BZ,MATCH($A10,RESULTADOS!$A:$A,0),MATCH(D$1,RESULTADOS!$1:$1,0))</f>
        <v>#N/A</v>
      </c>
      <c r="E10" s="210" t="e">
        <f ca="1">INDEX(RESULTADOS!$A:$BZ,MATCH($A10,RESULTADOS!$A:$A,0),MATCH(E$1,RESULTADOS!$1:$1,0))</f>
        <v>#N/A</v>
      </c>
      <c r="F10" s="250" t="e">
        <f ca="1">INDEX(RESULTADOS!$A:$BZ,MATCH($A10,RESULTADOS!$A:$A,0),MATCH(F$1,RESULTADOS!$1:$1,0))</f>
        <v>#N/A</v>
      </c>
      <c r="G10" s="250" t="e">
        <f ca="1">INDEX(RESULTADOS!$A:$BZ,MATCH($A10,RESULTADOS!$A:$A,0),MATCH(G$1,RESULTADOS!$1:$1,0))</f>
        <v>#N/A</v>
      </c>
      <c r="H10" s="250" t="e">
        <f ca="1">INDEX(RESULTADOS!$A:$BZ,MATCH($A10,RESULTADOS!$A:$A,0),MATCH(H$1,RESULTADOS!$1:$1,0))</f>
        <v>#N/A</v>
      </c>
      <c r="I10" s="250" t="e">
        <f ca="1">INDEX(RESULTADOS!$A:$BZ,MATCH($A10,RESULTADOS!$A:$A,0),MATCH(I$1,RESULTADOS!$1:$1,0))</f>
        <v>#N/A</v>
      </c>
      <c r="J10" s="250" t="e">
        <f ca="1">INDEX(RESULTADOS!$A:$BZ,MATCH($A10,RESULTADOS!$A:$A,0),MATCH(J$1,RESULTADOS!$1:$1,0))</f>
        <v>#N/A</v>
      </c>
      <c r="K10" s="210">
        <f ca="1">SUMPRODUCT((TABELA_VAZAO[Posto]=K$2)*1,(TABELA_VAZAO[Data]=$A10)*1,TABELA_VAZAO[qnat])</f>
        <v>0</v>
      </c>
      <c r="L10" s="250">
        <f ca="1">SUMPRODUCT((TABELA_VAZAO[Posto]=L$2)*1,(TABELA_VAZAO[Data]=$A10)*1,TABELA_VAZAO[qinc])</f>
        <v>0</v>
      </c>
      <c r="M10" s="210" t="e">
        <f ca="1">INDEX(RESULTADOS!$A:$BZ,MATCH($A10,RESULTADOS!$A:$A,0),MATCH(M$1,RESULTADOS!$1:$1,0))</f>
        <v>#N/A</v>
      </c>
      <c r="N10" s="210">
        <f ca="1">SUMPRODUCT((TABELA_VAZAO[Posto]=N$2)*1,(TABELA_VAZAO[Data]=$A10)*1,TABELA_VAZAO[qnat])</f>
        <v>0</v>
      </c>
      <c r="O10" s="210">
        <f ca="1">SUMPRODUCT((TABELA_VAZAO[Posto]=O$2)*1,(TABELA_VAZAO[Data]=$A10)*1,TABELA_VAZAO[qnat])</f>
        <v>0</v>
      </c>
      <c r="P10" s="210">
        <f ca="1">SUMPRODUCT((TABELA_VAZAO[Posto]=P$2)*1,(TABELA_VAZAO[Data]=$A10)*1,TABELA_VAZAO[qnat])</f>
        <v>0</v>
      </c>
      <c r="Q10" s="210">
        <f ca="1">SUMPRODUCT((TABELA_VAZAO[Posto]=Q$2)*1,(TABELA_VAZAO[Data]=$A10)*1,TABELA_VAZAO[qnat])</f>
        <v>0</v>
      </c>
      <c r="R10" s="210">
        <f ca="1">SUMPRODUCT((TABELA_VAZAO[Posto]=R$2)*1,(TABELA_VAZAO[Data]=$A10)*1,TABELA_VAZAO[qnat])</f>
        <v>0</v>
      </c>
      <c r="S10" s="210">
        <f ca="1">SUMPRODUCT((TABELA_VAZAO[Posto]=S$2)*1,(TABELA_VAZAO[Data]=$A10)*1,TABELA_VAZAO[qnat])</f>
        <v>0</v>
      </c>
      <c r="T10" s="230" t="e">
        <f ca="1">INDEX(RESULTADOS!$A:$BZ,MATCH($A10,RESULTADOS!$A:$A,0),MATCH(T$1,RESULTADOS!$1:$1,0))</f>
        <v>#N/A</v>
      </c>
      <c r="U10" s="210">
        <f ca="1">SUMPRODUCT((TABELA_VAZAO[Posto]=U$2)*1,(TABELA_VAZAO[Data]=$A10)*1,TABELA_VAZAO[qnat])</f>
        <v>0</v>
      </c>
      <c r="V10" s="210">
        <f ca="1">SUMPRODUCT((TABELA_VAZAO[Posto]=V$2)*1,(TABELA_VAZAO[Data]=$A10)*1,TABELA_VAZAO[qnat])</f>
        <v>0</v>
      </c>
      <c r="W10" s="239" t="e">
        <f ca="1">INDEX(RESULTADOS!$A:$BZ,MATCH($A10,RESULTADOS!$A:$A,0),MATCH(W$1,RESULTADOS!$1:$1,0))</f>
        <v>#N/A</v>
      </c>
      <c r="Y10" s="239" t="e">
        <f ca="1">INDEX(RESULTADOS!$A:$BZ,MATCH($A10,RESULTADOS!$A:$A,0),MATCH(Y$1,RESULTADOS!$1:$1,0))</f>
        <v>#N/A</v>
      </c>
      <c r="AC10" s="239" t="e">
        <f ca="1">INDEX(RESULTADOS!$A:$BZ,MATCH($A10,RESULTADOS!$A:$A,0),MATCH(AC$1,RESULTADOS!$1:$1,0))</f>
        <v>#N/A</v>
      </c>
      <c r="AE10" s="239" t="e">
        <f ca="1">INDEX(RESULTADOS!$A:$BZ,MATCH($A10,RESULTADOS!$A:$A,0),MATCH(AE$1,RESULTADOS!$1:$1,0))</f>
        <v>#N/A</v>
      </c>
      <c r="AF10" s="239" t="e">
        <f ca="1">INDEX(RESULTADOS!$A:$BZ,MATCH($A10,RESULTADOS!$A:$A,0),MATCH(AF$1,RESULTADOS!$1:$1,0))</f>
        <v>#N/A</v>
      </c>
      <c r="AJ10" s="239" t="e">
        <f ca="1">INDEX(RESULTADOS!$A:$BZ,MATCH($A10,RESULTADOS!$A:$A,0),MATCH(AJ$1,RESULTADOS!$1:$1,0))</f>
        <v>#N/A</v>
      </c>
      <c r="AK10" s="239" t="e">
        <f ca="1">INDEX(RESULTADOS!$A:$BZ,MATCH($A10,RESULTADOS!$A:$A,0),MATCH(AK$1,RESULTADOS!$1:$1,0))</f>
        <v>#N/A</v>
      </c>
    </row>
    <row r="11" spans="1:37" x14ac:dyDescent="0.2">
      <c r="A11" s="49">
        <f t="shared" ca="1" si="1"/>
        <v>43810</v>
      </c>
      <c r="B11" s="51"/>
      <c r="C11" s="51" t="e">
        <f ca="1">INDEX(RESULTADOS!$A:$BZ,MATCH($A11,RESULTADOS!$A:$A,0),MATCH(C$1,RESULTADOS!$1:$1,0))</f>
        <v>#N/A</v>
      </c>
      <c r="D11" s="110" t="e">
        <f ca="1">INDEX(RESULTADOS!$A:$BZ,MATCH($A11,RESULTADOS!$A:$A,0),MATCH(D$1,RESULTADOS!$1:$1,0))</f>
        <v>#N/A</v>
      </c>
      <c r="E11" s="210" t="e">
        <f ca="1">INDEX(RESULTADOS!$A:$BZ,MATCH($A11,RESULTADOS!$A:$A,0),MATCH(E$1,RESULTADOS!$1:$1,0))</f>
        <v>#N/A</v>
      </c>
      <c r="F11" s="250" t="e">
        <f ca="1">INDEX(RESULTADOS!$A:$BZ,MATCH($A11,RESULTADOS!$A:$A,0),MATCH(F$1,RESULTADOS!$1:$1,0))</f>
        <v>#N/A</v>
      </c>
      <c r="G11" s="250" t="e">
        <f ca="1">INDEX(RESULTADOS!$A:$BZ,MATCH($A11,RESULTADOS!$A:$A,0),MATCH(G$1,RESULTADOS!$1:$1,0))</f>
        <v>#N/A</v>
      </c>
      <c r="H11" s="250" t="e">
        <f ca="1">INDEX(RESULTADOS!$A:$BZ,MATCH($A11,RESULTADOS!$A:$A,0),MATCH(H$1,RESULTADOS!$1:$1,0))</f>
        <v>#N/A</v>
      </c>
      <c r="I11" s="250" t="e">
        <f ca="1">INDEX(RESULTADOS!$A:$BZ,MATCH($A11,RESULTADOS!$A:$A,0),MATCH(I$1,RESULTADOS!$1:$1,0))</f>
        <v>#N/A</v>
      </c>
      <c r="J11" s="250" t="e">
        <f ca="1">INDEX(RESULTADOS!$A:$BZ,MATCH($A11,RESULTADOS!$A:$A,0),MATCH(J$1,RESULTADOS!$1:$1,0))</f>
        <v>#N/A</v>
      </c>
      <c r="K11" s="210">
        <f ca="1">SUMPRODUCT((TABELA_VAZAO[Posto]=K$2)*1,(TABELA_VAZAO[Data]=$A11)*1,TABELA_VAZAO[qnat])</f>
        <v>0</v>
      </c>
      <c r="L11" s="250">
        <f ca="1">SUMPRODUCT((TABELA_VAZAO[Posto]=L$2)*1,(TABELA_VAZAO[Data]=$A11)*1,TABELA_VAZAO[qinc])</f>
        <v>0</v>
      </c>
      <c r="M11" s="210" t="e">
        <f ca="1">INDEX(RESULTADOS!$A:$BZ,MATCH($A11,RESULTADOS!$A:$A,0),MATCH(M$1,RESULTADOS!$1:$1,0))</f>
        <v>#N/A</v>
      </c>
      <c r="N11" s="210">
        <f ca="1">SUMPRODUCT((TABELA_VAZAO[Posto]=N$2)*1,(TABELA_VAZAO[Data]=$A11)*1,TABELA_VAZAO[qnat])</f>
        <v>0</v>
      </c>
      <c r="O11" s="210">
        <f ca="1">SUMPRODUCT((TABELA_VAZAO[Posto]=O$2)*1,(TABELA_VAZAO[Data]=$A11)*1,TABELA_VAZAO[qnat])</f>
        <v>0</v>
      </c>
      <c r="P11" s="210">
        <f ca="1">SUMPRODUCT((TABELA_VAZAO[Posto]=P$2)*1,(TABELA_VAZAO[Data]=$A11)*1,TABELA_VAZAO[qnat])</f>
        <v>0</v>
      </c>
      <c r="Q11" s="210">
        <f ca="1">SUMPRODUCT((TABELA_VAZAO[Posto]=Q$2)*1,(TABELA_VAZAO[Data]=$A11)*1,TABELA_VAZAO[qnat])</f>
        <v>0</v>
      </c>
      <c r="R11" s="210">
        <f ca="1">SUMPRODUCT((TABELA_VAZAO[Posto]=R$2)*1,(TABELA_VAZAO[Data]=$A11)*1,TABELA_VAZAO[qnat])</f>
        <v>0</v>
      </c>
      <c r="S11" s="210">
        <f ca="1">SUMPRODUCT((TABELA_VAZAO[Posto]=S$2)*1,(TABELA_VAZAO[Data]=$A11)*1,TABELA_VAZAO[qnat])</f>
        <v>0</v>
      </c>
      <c r="T11" s="230" t="e">
        <f ca="1">INDEX(RESULTADOS!$A:$BZ,MATCH($A11,RESULTADOS!$A:$A,0),MATCH(T$1,RESULTADOS!$1:$1,0))</f>
        <v>#N/A</v>
      </c>
      <c r="U11" s="210">
        <f ca="1">SUMPRODUCT((TABELA_VAZAO[Posto]=U$2)*1,(TABELA_VAZAO[Data]=$A11)*1,TABELA_VAZAO[qnat])</f>
        <v>0</v>
      </c>
      <c r="V11" s="210">
        <f ca="1">SUMPRODUCT((TABELA_VAZAO[Posto]=V$2)*1,(TABELA_VAZAO[Data]=$A11)*1,TABELA_VAZAO[qnat])</f>
        <v>0</v>
      </c>
      <c r="W11" s="239" t="e">
        <f ca="1">INDEX(RESULTADOS!$A:$BZ,MATCH($A11,RESULTADOS!$A:$A,0),MATCH(W$1,RESULTADOS!$1:$1,0))</f>
        <v>#N/A</v>
      </c>
      <c r="Y11" s="239" t="e">
        <f ca="1">INDEX(RESULTADOS!$A:$BZ,MATCH($A11,RESULTADOS!$A:$A,0),MATCH(Y$1,RESULTADOS!$1:$1,0))</f>
        <v>#N/A</v>
      </c>
      <c r="AC11" s="239" t="e">
        <f ca="1">INDEX(RESULTADOS!$A:$BZ,MATCH($A11,RESULTADOS!$A:$A,0),MATCH(AC$1,RESULTADOS!$1:$1,0))</f>
        <v>#N/A</v>
      </c>
      <c r="AE11" s="239" t="e">
        <f ca="1">INDEX(RESULTADOS!$A:$BZ,MATCH($A11,RESULTADOS!$A:$A,0),MATCH(AE$1,RESULTADOS!$1:$1,0))</f>
        <v>#N/A</v>
      </c>
      <c r="AF11" s="239" t="e">
        <f ca="1">INDEX(RESULTADOS!$A:$BZ,MATCH($A11,RESULTADOS!$A:$A,0),MATCH(AF$1,RESULTADOS!$1:$1,0))</f>
        <v>#N/A</v>
      </c>
      <c r="AJ11" s="239" t="e">
        <f ca="1">INDEX(RESULTADOS!$A:$BZ,MATCH($A11,RESULTADOS!$A:$A,0),MATCH(AJ$1,RESULTADOS!$1:$1,0))</f>
        <v>#N/A</v>
      </c>
      <c r="AK11" s="239" t="e">
        <f ca="1">INDEX(RESULTADOS!$A:$BZ,MATCH($A11,RESULTADOS!$A:$A,0),MATCH(AK$1,RESULTADOS!$1:$1,0))</f>
        <v>#N/A</v>
      </c>
    </row>
    <row r="12" spans="1:37" x14ac:dyDescent="0.2">
      <c r="A12" s="82">
        <f t="shared" ca="1" si="1"/>
        <v>43811</v>
      </c>
      <c r="B12" s="83"/>
      <c r="C12" s="83" t="e">
        <f ca="1">INDEX(RESULTADOS!$A:$BZ,MATCH($A12,RESULTADOS!$A:$A,0),MATCH(C$1,RESULTADOS!$1:$1,0))</f>
        <v>#N/A</v>
      </c>
      <c r="D12" s="84" t="e">
        <f ca="1">INDEX(RESULTADOS!$A:$BZ,MATCH($A12,RESULTADOS!$A:$A,0),MATCH(D$1,RESULTADOS!$1:$1,0))</f>
        <v>#N/A</v>
      </c>
      <c r="E12" s="210" t="e">
        <f ca="1">INDEX(RESULTADOS!$A:$BZ,MATCH($A12,RESULTADOS!$A:$A,0),MATCH(E$1,RESULTADOS!$1:$1,0))</f>
        <v>#N/A</v>
      </c>
      <c r="F12" s="250" t="e">
        <f ca="1">INDEX(RESULTADOS!$A:$BZ,MATCH($A12,RESULTADOS!$A:$A,0),MATCH(F$1,RESULTADOS!$1:$1,0))</f>
        <v>#N/A</v>
      </c>
      <c r="G12" s="250" t="e">
        <f ca="1">INDEX(RESULTADOS!$A:$BZ,MATCH($A12,RESULTADOS!$A:$A,0),MATCH(G$1,RESULTADOS!$1:$1,0))</f>
        <v>#N/A</v>
      </c>
      <c r="H12" s="250" t="e">
        <f ca="1">INDEX(RESULTADOS!$A:$BZ,MATCH($A12,RESULTADOS!$A:$A,0),MATCH(H$1,RESULTADOS!$1:$1,0))</f>
        <v>#N/A</v>
      </c>
      <c r="I12" s="250" t="e">
        <f ca="1">INDEX(RESULTADOS!$A:$BZ,MATCH($A12,RESULTADOS!$A:$A,0),MATCH(I$1,RESULTADOS!$1:$1,0))</f>
        <v>#N/A</v>
      </c>
      <c r="J12" s="250" t="e">
        <f ca="1">INDEX(RESULTADOS!$A:$BZ,MATCH($A12,RESULTADOS!$A:$A,0),MATCH(J$1,RESULTADOS!$1:$1,0))</f>
        <v>#N/A</v>
      </c>
      <c r="K12" s="210">
        <f ca="1">SUMPRODUCT((TABELA_VAZAO[Posto]=K$2)*1,(TABELA_VAZAO[Data]=$A12)*1,TABELA_VAZAO[qnat])</f>
        <v>0</v>
      </c>
      <c r="L12" s="250">
        <f ca="1">SUMPRODUCT((TABELA_VAZAO[Posto]=L$2)*1,(TABELA_VAZAO[Data]=$A12)*1,TABELA_VAZAO[qinc])</f>
        <v>0</v>
      </c>
      <c r="M12" s="210" t="e">
        <f ca="1">INDEX(RESULTADOS!$A:$BZ,MATCH($A12,RESULTADOS!$A:$A,0),MATCH(M$1,RESULTADOS!$1:$1,0))</f>
        <v>#N/A</v>
      </c>
      <c r="N12" s="210">
        <f ca="1">SUMPRODUCT((TABELA_VAZAO[Posto]=N$2)*1,(TABELA_VAZAO[Data]=$A12)*1,TABELA_VAZAO[qnat])</f>
        <v>0</v>
      </c>
      <c r="O12" s="210">
        <f ca="1">SUMPRODUCT((TABELA_VAZAO[Posto]=O$2)*1,(TABELA_VAZAO[Data]=$A12)*1,TABELA_VAZAO[qnat])</f>
        <v>0</v>
      </c>
      <c r="P12" s="210">
        <f ca="1">SUMPRODUCT((TABELA_VAZAO[Posto]=P$2)*1,(TABELA_VAZAO[Data]=$A12)*1,TABELA_VAZAO[qnat])</f>
        <v>0</v>
      </c>
      <c r="Q12" s="210">
        <f ca="1">SUMPRODUCT((TABELA_VAZAO[Posto]=Q$2)*1,(TABELA_VAZAO[Data]=$A12)*1,TABELA_VAZAO[qnat])</f>
        <v>0</v>
      </c>
      <c r="R12" s="210">
        <f ca="1">SUMPRODUCT((TABELA_VAZAO[Posto]=R$2)*1,(TABELA_VAZAO[Data]=$A12)*1,TABELA_VAZAO[qnat])</f>
        <v>0</v>
      </c>
      <c r="S12" s="210">
        <f ca="1">SUMPRODUCT((TABELA_VAZAO[Posto]=S$2)*1,(TABELA_VAZAO[Data]=$A12)*1,TABELA_VAZAO[qnat])</f>
        <v>0</v>
      </c>
      <c r="T12" s="230" t="e">
        <f ca="1">INDEX(RESULTADOS!$A:$BZ,MATCH($A12,RESULTADOS!$A:$A,0),MATCH(T$1,RESULTADOS!$1:$1,0))</f>
        <v>#N/A</v>
      </c>
      <c r="U12" s="210">
        <f ca="1">SUMPRODUCT((TABELA_VAZAO[Posto]=U$2)*1,(TABELA_VAZAO[Data]=$A12)*1,TABELA_VAZAO[qnat])</f>
        <v>0</v>
      </c>
      <c r="V12" s="210">
        <f ca="1">SUMPRODUCT((TABELA_VAZAO[Posto]=V$2)*1,(TABELA_VAZAO[Data]=$A12)*1,TABELA_VAZAO[qnat])</f>
        <v>0</v>
      </c>
      <c r="W12" s="239" t="e">
        <f ca="1">INDEX(RESULTADOS!$A:$BZ,MATCH($A12,RESULTADOS!$A:$A,0),MATCH(W$1,RESULTADOS!$1:$1,0))</f>
        <v>#N/A</v>
      </c>
      <c r="Y12" s="239" t="e">
        <f ca="1">INDEX(RESULTADOS!$A:$BZ,MATCH($A12,RESULTADOS!$A:$A,0),MATCH(Y$1,RESULTADOS!$1:$1,0))</f>
        <v>#N/A</v>
      </c>
      <c r="AC12" s="239" t="e">
        <f ca="1">INDEX(RESULTADOS!$A:$BZ,MATCH($A12,RESULTADOS!$A:$A,0),MATCH(AC$1,RESULTADOS!$1:$1,0))</f>
        <v>#N/A</v>
      </c>
      <c r="AE12" s="239" t="e">
        <f ca="1">INDEX(RESULTADOS!$A:$BZ,MATCH($A12,RESULTADOS!$A:$A,0),MATCH(AE$1,RESULTADOS!$1:$1,0))</f>
        <v>#N/A</v>
      </c>
      <c r="AF12" s="239" t="e">
        <f ca="1">INDEX(RESULTADOS!$A:$BZ,MATCH($A12,RESULTADOS!$A:$A,0),MATCH(AF$1,RESULTADOS!$1:$1,0))</f>
        <v>#N/A</v>
      </c>
      <c r="AJ12" s="239" t="e">
        <f ca="1">INDEX(RESULTADOS!$A:$BZ,MATCH($A12,RESULTADOS!$A:$A,0),MATCH(AJ$1,RESULTADOS!$1:$1,0))</f>
        <v>#N/A</v>
      </c>
      <c r="AK12" s="239" t="e">
        <f ca="1">INDEX(RESULTADOS!$A:$BZ,MATCH($A12,RESULTADOS!$A:$A,0),MATCH(AK$1,RESULTADOS!$1:$1,0))</f>
        <v>#N/A</v>
      </c>
    </row>
    <row r="13" spans="1:37" x14ac:dyDescent="0.2">
      <c r="A13" s="49">
        <f t="shared" ca="1" si="1"/>
        <v>43812</v>
      </c>
      <c r="B13" s="51"/>
      <c r="C13" s="51" t="e">
        <f ca="1">INDEX(RESULTADOS!$A:$BZ,MATCH($A13,RESULTADOS!$A:$A,0),MATCH(C$1,RESULTADOS!$1:$1,0))</f>
        <v>#N/A</v>
      </c>
      <c r="D13" s="110" t="e">
        <f ca="1">INDEX(RESULTADOS!$A:$BZ,MATCH($A13,RESULTADOS!$A:$A,0),MATCH(D$1,RESULTADOS!$1:$1,0))</f>
        <v>#N/A</v>
      </c>
      <c r="E13" s="210" t="e">
        <f ca="1">INDEX(RESULTADOS!$A:$BZ,MATCH($A13,RESULTADOS!$A:$A,0),MATCH(E$1,RESULTADOS!$1:$1,0))</f>
        <v>#N/A</v>
      </c>
      <c r="F13" s="250" t="e">
        <f ca="1">INDEX(RESULTADOS!$A:$BZ,MATCH($A13,RESULTADOS!$A:$A,0),MATCH(F$1,RESULTADOS!$1:$1,0))</f>
        <v>#N/A</v>
      </c>
      <c r="G13" s="250" t="e">
        <f ca="1">INDEX(RESULTADOS!$A:$BZ,MATCH($A13,RESULTADOS!$A:$A,0),MATCH(G$1,RESULTADOS!$1:$1,0))</f>
        <v>#N/A</v>
      </c>
      <c r="H13" s="250" t="e">
        <f ca="1">INDEX(RESULTADOS!$A:$BZ,MATCH($A13,RESULTADOS!$A:$A,0),MATCH(H$1,RESULTADOS!$1:$1,0))</f>
        <v>#N/A</v>
      </c>
      <c r="I13" s="250" t="e">
        <f ca="1">INDEX(RESULTADOS!$A:$BZ,MATCH($A13,RESULTADOS!$A:$A,0),MATCH(I$1,RESULTADOS!$1:$1,0))</f>
        <v>#N/A</v>
      </c>
      <c r="J13" s="250" t="e">
        <f ca="1">INDEX(RESULTADOS!$A:$BZ,MATCH($A13,RESULTADOS!$A:$A,0),MATCH(J$1,RESULTADOS!$1:$1,0))</f>
        <v>#N/A</v>
      </c>
      <c r="K13" s="210">
        <f ca="1">SUMPRODUCT((TABELA_VAZAO[Posto]=K$2)*1,(TABELA_VAZAO[Data]=$A13)*1,TABELA_VAZAO[qnat])</f>
        <v>0</v>
      </c>
      <c r="L13" s="250">
        <f ca="1">SUMPRODUCT((TABELA_VAZAO[Posto]=L$2)*1,(TABELA_VAZAO[Data]=$A13)*1,TABELA_VAZAO[qinc])</f>
        <v>0</v>
      </c>
      <c r="M13" s="210" t="e">
        <f ca="1">INDEX(RESULTADOS!$A:$BZ,MATCH($A13,RESULTADOS!$A:$A,0),MATCH(M$1,RESULTADOS!$1:$1,0))</f>
        <v>#N/A</v>
      </c>
      <c r="N13" s="210">
        <f ca="1">SUMPRODUCT((TABELA_VAZAO[Posto]=N$2)*1,(TABELA_VAZAO[Data]=$A13)*1,TABELA_VAZAO[qnat])</f>
        <v>0</v>
      </c>
      <c r="O13" s="210">
        <f ca="1">SUMPRODUCT((TABELA_VAZAO[Posto]=O$2)*1,(TABELA_VAZAO[Data]=$A13)*1,TABELA_VAZAO[qnat])</f>
        <v>0</v>
      </c>
      <c r="P13" s="210">
        <f ca="1">SUMPRODUCT((TABELA_VAZAO[Posto]=P$2)*1,(TABELA_VAZAO[Data]=$A13)*1,TABELA_VAZAO[qnat])</f>
        <v>0</v>
      </c>
      <c r="Q13" s="210">
        <f ca="1">SUMPRODUCT((TABELA_VAZAO[Posto]=Q$2)*1,(TABELA_VAZAO[Data]=$A13)*1,TABELA_VAZAO[qnat])</f>
        <v>0</v>
      </c>
      <c r="R13" s="210">
        <f ca="1">SUMPRODUCT((TABELA_VAZAO[Posto]=R$2)*1,(TABELA_VAZAO[Data]=$A13)*1,TABELA_VAZAO[qnat])</f>
        <v>0</v>
      </c>
      <c r="S13" s="210">
        <f ca="1">SUMPRODUCT((TABELA_VAZAO[Posto]=S$2)*1,(TABELA_VAZAO[Data]=$A13)*1,TABELA_VAZAO[qnat])</f>
        <v>0</v>
      </c>
      <c r="T13" s="230" t="e">
        <f ca="1">INDEX(RESULTADOS!$A:$BZ,MATCH($A13,RESULTADOS!$A:$A,0),MATCH(T$1,RESULTADOS!$1:$1,0))</f>
        <v>#N/A</v>
      </c>
      <c r="U13" s="210">
        <f ca="1">SUMPRODUCT((TABELA_VAZAO[Posto]=U$2)*1,(TABELA_VAZAO[Data]=$A13)*1,TABELA_VAZAO[qnat])</f>
        <v>0</v>
      </c>
      <c r="V13" s="210">
        <f ca="1">SUMPRODUCT((TABELA_VAZAO[Posto]=V$2)*1,(TABELA_VAZAO[Data]=$A13)*1,TABELA_VAZAO[qnat])</f>
        <v>0</v>
      </c>
      <c r="W13" s="239" t="e">
        <f ca="1">INDEX(RESULTADOS!$A:$BZ,MATCH($A13,RESULTADOS!$A:$A,0),MATCH(W$1,RESULTADOS!$1:$1,0))</f>
        <v>#N/A</v>
      </c>
      <c r="Y13" s="239" t="e">
        <f ca="1">INDEX(RESULTADOS!$A:$BZ,MATCH($A13,RESULTADOS!$A:$A,0),MATCH(Y$1,RESULTADOS!$1:$1,0))</f>
        <v>#N/A</v>
      </c>
      <c r="AC13" s="239" t="e">
        <f ca="1">INDEX(RESULTADOS!$A:$BZ,MATCH($A13,RESULTADOS!$A:$A,0),MATCH(AC$1,RESULTADOS!$1:$1,0))</f>
        <v>#N/A</v>
      </c>
      <c r="AE13" s="239" t="e">
        <f ca="1">INDEX(RESULTADOS!$A:$BZ,MATCH($A13,RESULTADOS!$A:$A,0),MATCH(AE$1,RESULTADOS!$1:$1,0))</f>
        <v>#N/A</v>
      </c>
      <c r="AF13" s="239" t="e">
        <f ca="1">INDEX(RESULTADOS!$A:$BZ,MATCH($A13,RESULTADOS!$A:$A,0),MATCH(AF$1,RESULTADOS!$1:$1,0))</f>
        <v>#N/A</v>
      </c>
      <c r="AJ13" s="239" t="e">
        <f ca="1">INDEX(RESULTADOS!$A:$BZ,MATCH($A13,RESULTADOS!$A:$A,0),MATCH(AJ$1,RESULTADOS!$1:$1,0))</f>
        <v>#N/A</v>
      </c>
      <c r="AK13" s="239" t="e">
        <f ca="1">INDEX(RESULTADOS!$A:$BZ,MATCH($A13,RESULTADOS!$A:$A,0),MATCH(AK$1,RESULTADOS!$1:$1,0))</f>
        <v>#N/A</v>
      </c>
    </row>
    <row r="14" spans="1:37" x14ac:dyDescent="0.2">
      <c r="A14" s="49">
        <f t="shared" ca="1" si="1"/>
        <v>43813</v>
      </c>
      <c r="B14" s="51"/>
      <c r="C14" s="51" t="e">
        <f ca="1">INDEX(RESULTADOS!$A:$BZ,MATCH($A14,RESULTADOS!$A:$A,0),MATCH(C$1,RESULTADOS!$1:$1,0))</f>
        <v>#N/A</v>
      </c>
      <c r="D14" s="110" t="e">
        <f ca="1">INDEX(RESULTADOS!$A:$BZ,MATCH($A14,RESULTADOS!$A:$A,0),MATCH(D$1,RESULTADOS!$1:$1,0))</f>
        <v>#N/A</v>
      </c>
      <c r="E14" s="210" t="e">
        <f ca="1">INDEX(RESULTADOS!$A:$BZ,MATCH($A14,RESULTADOS!$A:$A,0),MATCH(E$1,RESULTADOS!$1:$1,0))</f>
        <v>#N/A</v>
      </c>
      <c r="F14" s="250" t="e">
        <f ca="1">INDEX(RESULTADOS!$A:$BZ,MATCH($A14,RESULTADOS!$A:$A,0),MATCH(F$1,RESULTADOS!$1:$1,0))</f>
        <v>#N/A</v>
      </c>
      <c r="G14" s="250" t="e">
        <f ca="1">INDEX(RESULTADOS!$A:$BZ,MATCH($A14,RESULTADOS!$A:$A,0),MATCH(G$1,RESULTADOS!$1:$1,0))</f>
        <v>#N/A</v>
      </c>
      <c r="H14" s="250" t="e">
        <f ca="1">INDEX(RESULTADOS!$A:$BZ,MATCH($A14,RESULTADOS!$A:$A,0),MATCH(H$1,RESULTADOS!$1:$1,0))</f>
        <v>#N/A</v>
      </c>
      <c r="I14" s="250" t="e">
        <f ca="1">INDEX(RESULTADOS!$A:$BZ,MATCH($A14,RESULTADOS!$A:$A,0),MATCH(I$1,RESULTADOS!$1:$1,0))</f>
        <v>#N/A</v>
      </c>
      <c r="J14" s="250" t="e">
        <f ca="1">INDEX(RESULTADOS!$A:$BZ,MATCH($A14,RESULTADOS!$A:$A,0),MATCH(J$1,RESULTADOS!$1:$1,0))</f>
        <v>#N/A</v>
      </c>
      <c r="K14" s="210">
        <f ca="1">SUMPRODUCT((TABELA_VAZAO[Posto]=K$2)*1,(TABELA_VAZAO[Data]=$A14)*1,TABELA_VAZAO[qnat])</f>
        <v>0</v>
      </c>
      <c r="L14" s="250">
        <f ca="1">SUMPRODUCT((TABELA_VAZAO[Posto]=L$2)*1,(TABELA_VAZAO[Data]=$A14)*1,TABELA_VAZAO[qinc])</f>
        <v>0</v>
      </c>
      <c r="M14" s="210" t="e">
        <f ca="1">INDEX(RESULTADOS!$A:$BZ,MATCH($A14,RESULTADOS!$A:$A,0),MATCH(M$1,RESULTADOS!$1:$1,0))</f>
        <v>#N/A</v>
      </c>
      <c r="N14" s="210">
        <f ca="1">SUMPRODUCT((TABELA_VAZAO[Posto]=N$2)*1,(TABELA_VAZAO[Data]=$A14)*1,TABELA_VAZAO[qnat])</f>
        <v>0</v>
      </c>
      <c r="O14" s="210">
        <f ca="1">SUMPRODUCT((TABELA_VAZAO[Posto]=O$2)*1,(TABELA_VAZAO[Data]=$A14)*1,TABELA_VAZAO[qnat])</f>
        <v>0</v>
      </c>
      <c r="P14" s="210">
        <f ca="1">SUMPRODUCT((TABELA_VAZAO[Posto]=P$2)*1,(TABELA_VAZAO[Data]=$A14)*1,TABELA_VAZAO[qnat])</f>
        <v>0</v>
      </c>
      <c r="Q14" s="210">
        <f ca="1">SUMPRODUCT((TABELA_VAZAO[Posto]=Q$2)*1,(TABELA_VAZAO[Data]=$A14)*1,TABELA_VAZAO[qnat])</f>
        <v>0</v>
      </c>
      <c r="R14" s="210">
        <f ca="1">SUMPRODUCT((TABELA_VAZAO[Posto]=R$2)*1,(TABELA_VAZAO[Data]=$A14)*1,TABELA_VAZAO[qnat])</f>
        <v>0</v>
      </c>
      <c r="S14" s="210">
        <f ca="1">SUMPRODUCT((TABELA_VAZAO[Posto]=S$2)*1,(TABELA_VAZAO[Data]=$A14)*1,TABELA_VAZAO[qnat])</f>
        <v>0</v>
      </c>
      <c r="T14" s="230" t="e">
        <f ca="1">INDEX(RESULTADOS!$A:$BZ,MATCH($A14,RESULTADOS!$A:$A,0),MATCH(T$1,RESULTADOS!$1:$1,0))</f>
        <v>#N/A</v>
      </c>
      <c r="U14" s="210">
        <f ca="1">SUMPRODUCT((TABELA_VAZAO[Posto]=U$2)*1,(TABELA_VAZAO[Data]=$A14)*1,TABELA_VAZAO[qnat])</f>
        <v>0</v>
      </c>
      <c r="V14" s="210">
        <f ca="1">SUMPRODUCT((TABELA_VAZAO[Posto]=V$2)*1,(TABELA_VAZAO[Data]=$A14)*1,TABELA_VAZAO[qnat])</f>
        <v>0</v>
      </c>
      <c r="W14" s="239" t="e">
        <f ca="1">INDEX(RESULTADOS!$A:$BZ,MATCH($A14,RESULTADOS!$A:$A,0),MATCH(W$1,RESULTADOS!$1:$1,0))</f>
        <v>#N/A</v>
      </c>
      <c r="Y14" s="239" t="e">
        <f ca="1">INDEX(RESULTADOS!$A:$BZ,MATCH($A14,RESULTADOS!$A:$A,0),MATCH(Y$1,RESULTADOS!$1:$1,0))</f>
        <v>#N/A</v>
      </c>
      <c r="AC14" s="239" t="e">
        <f ca="1">INDEX(RESULTADOS!$A:$BZ,MATCH($A14,RESULTADOS!$A:$A,0),MATCH(AC$1,RESULTADOS!$1:$1,0))</f>
        <v>#N/A</v>
      </c>
      <c r="AE14" s="239" t="e">
        <f ca="1">INDEX(RESULTADOS!$A:$BZ,MATCH($A14,RESULTADOS!$A:$A,0),MATCH(AE$1,RESULTADOS!$1:$1,0))</f>
        <v>#N/A</v>
      </c>
      <c r="AF14" s="239" t="e">
        <f ca="1">INDEX(RESULTADOS!$A:$BZ,MATCH($A14,RESULTADOS!$A:$A,0),MATCH(AF$1,RESULTADOS!$1:$1,0))</f>
        <v>#N/A</v>
      </c>
      <c r="AJ14" s="239" t="e">
        <f ca="1">INDEX(RESULTADOS!$A:$BZ,MATCH($A14,RESULTADOS!$A:$A,0),MATCH(AJ$1,RESULTADOS!$1:$1,0))</f>
        <v>#N/A</v>
      </c>
      <c r="AK14" s="239" t="e">
        <f ca="1">INDEX(RESULTADOS!$A:$BZ,MATCH($A14,RESULTADOS!$A:$A,0),MATCH(AK$1,RESULTADOS!$1:$1,0))</f>
        <v>#N/A</v>
      </c>
    </row>
    <row r="15" spans="1:37" x14ac:dyDescent="0.2">
      <c r="A15" s="49">
        <f t="shared" ca="1" si="1"/>
        <v>43814</v>
      </c>
      <c r="B15" s="51"/>
      <c r="C15" s="51" t="e">
        <f ca="1">INDEX(RESULTADOS!$A:$BZ,MATCH($A15,RESULTADOS!$A:$A,0),MATCH(C$1,RESULTADOS!$1:$1,0))</f>
        <v>#N/A</v>
      </c>
      <c r="D15" s="110" t="e">
        <f ca="1">INDEX(RESULTADOS!$A:$BZ,MATCH($A15,RESULTADOS!$A:$A,0),MATCH(D$1,RESULTADOS!$1:$1,0))</f>
        <v>#N/A</v>
      </c>
      <c r="E15" s="210" t="e">
        <f ca="1">INDEX(RESULTADOS!$A:$BZ,MATCH($A15,RESULTADOS!$A:$A,0),MATCH(E$1,RESULTADOS!$1:$1,0))</f>
        <v>#N/A</v>
      </c>
      <c r="F15" s="250" t="e">
        <f ca="1">INDEX(RESULTADOS!$A:$BZ,MATCH($A15,RESULTADOS!$A:$A,0),MATCH(F$1,RESULTADOS!$1:$1,0))</f>
        <v>#N/A</v>
      </c>
      <c r="G15" s="250" t="e">
        <f ca="1">INDEX(RESULTADOS!$A:$BZ,MATCH($A15,RESULTADOS!$A:$A,0),MATCH(G$1,RESULTADOS!$1:$1,0))</f>
        <v>#N/A</v>
      </c>
      <c r="H15" s="250" t="e">
        <f ca="1">INDEX(RESULTADOS!$A:$BZ,MATCH($A15,RESULTADOS!$A:$A,0),MATCH(H$1,RESULTADOS!$1:$1,0))</f>
        <v>#N/A</v>
      </c>
      <c r="I15" s="250" t="e">
        <f ca="1">INDEX(RESULTADOS!$A:$BZ,MATCH($A15,RESULTADOS!$A:$A,0),MATCH(I$1,RESULTADOS!$1:$1,0))</f>
        <v>#N/A</v>
      </c>
      <c r="J15" s="250" t="e">
        <f ca="1">INDEX(RESULTADOS!$A:$BZ,MATCH($A15,RESULTADOS!$A:$A,0),MATCH(J$1,RESULTADOS!$1:$1,0))</f>
        <v>#N/A</v>
      </c>
      <c r="K15" s="210">
        <f ca="1">SUMPRODUCT((TABELA_VAZAO[Posto]=K$2)*1,(TABELA_VAZAO[Data]=$A15)*1,TABELA_VAZAO[qnat])</f>
        <v>0</v>
      </c>
      <c r="L15" s="250">
        <f ca="1">SUMPRODUCT((TABELA_VAZAO[Posto]=L$2)*1,(TABELA_VAZAO[Data]=$A15)*1,TABELA_VAZAO[qinc])</f>
        <v>0</v>
      </c>
      <c r="M15" s="210" t="e">
        <f ca="1">INDEX(RESULTADOS!$A:$BZ,MATCH($A15,RESULTADOS!$A:$A,0),MATCH(M$1,RESULTADOS!$1:$1,0))</f>
        <v>#N/A</v>
      </c>
      <c r="N15" s="210">
        <f ca="1">SUMPRODUCT((TABELA_VAZAO[Posto]=N$2)*1,(TABELA_VAZAO[Data]=$A15)*1,TABELA_VAZAO[qnat])</f>
        <v>0</v>
      </c>
      <c r="O15" s="210">
        <f ca="1">SUMPRODUCT((TABELA_VAZAO[Posto]=O$2)*1,(TABELA_VAZAO[Data]=$A15)*1,TABELA_VAZAO[qnat])</f>
        <v>0</v>
      </c>
      <c r="P15" s="210">
        <f ca="1">SUMPRODUCT((TABELA_VAZAO[Posto]=P$2)*1,(TABELA_VAZAO[Data]=$A15)*1,TABELA_VAZAO[qnat])</f>
        <v>0</v>
      </c>
      <c r="Q15" s="210">
        <f ca="1">SUMPRODUCT((TABELA_VAZAO[Posto]=Q$2)*1,(TABELA_VAZAO[Data]=$A15)*1,TABELA_VAZAO[qnat])</f>
        <v>0</v>
      </c>
      <c r="R15" s="210">
        <f ca="1">SUMPRODUCT((TABELA_VAZAO[Posto]=R$2)*1,(TABELA_VAZAO[Data]=$A15)*1,TABELA_VAZAO[qnat])</f>
        <v>0</v>
      </c>
      <c r="S15" s="210">
        <f ca="1">SUMPRODUCT((TABELA_VAZAO[Posto]=S$2)*1,(TABELA_VAZAO[Data]=$A15)*1,TABELA_VAZAO[qnat])</f>
        <v>0</v>
      </c>
      <c r="T15" s="230" t="e">
        <f ca="1">INDEX(RESULTADOS!$A:$BZ,MATCH($A15,RESULTADOS!$A:$A,0),MATCH(T$1,RESULTADOS!$1:$1,0))</f>
        <v>#N/A</v>
      </c>
      <c r="U15" s="210">
        <f ca="1">SUMPRODUCT((TABELA_VAZAO[Posto]=U$2)*1,(TABELA_VAZAO[Data]=$A15)*1,TABELA_VAZAO[qnat])</f>
        <v>0</v>
      </c>
      <c r="V15" s="210">
        <f ca="1">SUMPRODUCT((TABELA_VAZAO[Posto]=V$2)*1,(TABELA_VAZAO[Data]=$A15)*1,TABELA_VAZAO[qnat])</f>
        <v>0</v>
      </c>
      <c r="W15" s="239" t="e">
        <f ca="1">INDEX(RESULTADOS!$A:$BZ,MATCH($A15,RESULTADOS!$A:$A,0),MATCH(W$1,RESULTADOS!$1:$1,0))</f>
        <v>#N/A</v>
      </c>
      <c r="Y15" s="239" t="e">
        <f ca="1">INDEX(RESULTADOS!$A:$BZ,MATCH($A15,RESULTADOS!$A:$A,0),MATCH(Y$1,RESULTADOS!$1:$1,0))</f>
        <v>#N/A</v>
      </c>
      <c r="AC15" s="239" t="e">
        <f ca="1">INDEX(RESULTADOS!$A:$BZ,MATCH($A15,RESULTADOS!$A:$A,0),MATCH(AC$1,RESULTADOS!$1:$1,0))</f>
        <v>#N/A</v>
      </c>
      <c r="AE15" s="239" t="e">
        <f ca="1">INDEX(RESULTADOS!$A:$BZ,MATCH($A15,RESULTADOS!$A:$A,0),MATCH(AE$1,RESULTADOS!$1:$1,0))</f>
        <v>#N/A</v>
      </c>
      <c r="AF15" s="239" t="e">
        <f ca="1">INDEX(RESULTADOS!$A:$BZ,MATCH($A15,RESULTADOS!$A:$A,0),MATCH(AF$1,RESULTADOS!$1:$1,0))</f>
        <v>#N/A</v>
      </c>
      <c r="AJ15" s="239" t="e">
        <f ca="1">INDEX(RESULTADOS!$A:$BZ,MATCH($A15,RESULTADOS!$A:$A,0),MATCH(AJ$1,RESULTADOS!$1:$1,0))</f>
        <v>#N/A</v>
      </c>
      <c r="AK15" s="239" t="e">
        <f ca="1">INDEX(RESULTADOS!$A:$BZ,MATCH($A15,RESULTADOS!$A:$A,0),MATCH(AK$1,RESULTADOS!$1:$1,0))</f>
        <v>#N/A</v>
      </c>
    </row>
    <row r="16" spans="1:37" x14ac:dyDescent="0.2">
      <c r="A16" s="49">
        <f t="shared" ca="1" si="1"/>
        <v>43815</v>
      </c>
      <c r="B16" s="51"/>
      <c r="C16" s="51" t="e">
        <f ca="1">INDEX(RESULTADOS!$A:$BZ,MATCH($A16,RESULTADOS!$A:$A,0),MATCH(C$1,RESULTADOS!$1:$1,0))</f>
        <v>#N/A</v>
      </c>
      <c r="D16" s="110" t="e">
        <f ca="1">INDEX(RESULTADOS!$A:$BZ,MATCH($A16,RESULTADOS!$A:$A,0),MATCH(D$1,RESULTADOS!$1:$1,0))</f>
        <v>#N/A</v>
      </c>
      <c r="E16" s="210" t="e">
        <f ca="1">INDEX(RESULTADOS!$A:$BZ,MATCH($A16,RESULTADOS!$A:$A,0),MATCH(E$1,RESULTADOS!$1:$1,0))</f>
        <v>#N/A</v>
      </c>
      <c r="F16" s="250" t="e">
        <f ca="1">INDEX(RESULTADOS!$A:$BZ,MATCH($A16,RESULTADOS!$A:$A,0),MATCH(F$1,RESULTADOS!$1:$1,0))</f>
        <v>#N/A</v>
      </c>
      <c r="G16" s="250" t="e">
        <f ca="1">INDEX(RESULTADOS!$A:$BZ,MATCH($A16,RESULTADOS!$A:$A,0),MATCH(G$1,RESULTADOS!$1:$1,0))</f>
        <v>#N/A</v>
      </c>
      <c r="H16" s="250" t="e">
        <f ca="1">INDEX(RESULTADOS!$A:$BZ,MATCH($A16,RESULTADOS!$A:$A,0),MATCH(H$1,RESULTADOS!$1:$1,0))</f>
        <v>#N/A</v>
      </c>
      <c r="I16" s="250" t="e">
        <f ca="1">INDEX(RESULTADOS!$A:$BZ,MATCH($A16,RESULTADOS!$A:$A,0),MATCH(I$1,RESULTADOS!$1:$1,0))</f>
        <v>#N/A</v>
      </c>
      <c r="J16" s="250" t="e">
        <f ca="1">INDEX(RESULTADOS!$A:$BZ,MATCH($A16,RESULTADOS!$A:$A,0),MATCH(J$1,RESULTADOS!$1:$1,0))</f>
        <v>#N/A</v>
      </c>
      <c r="K16" s="210">
        <f ca="1">SUMPRODUCT((TABELA_VAZAO[Posto]=K$2)*1,(TABELA_VAZAO[Data]=$A16)*1,TABELA_VAZAO[qnat])</f>
        <v>0</v>
      </c>
      <c r="L16" s="250">
        <f ca="1">SUMPRODUCT((TABELA_VAZAO[Posto]=L$2)*1,(TABELA_VAZAO[Data]=$A16)*1,TABELA_VAZAO[qinc])</f>
        <v>0</v>
      </c>
      <c r="M16" s="210" t="e">
        <f ca="1">INDEX(RESULTADOS!$A:$BZ,MATCH($A16,RESULTADOS!$A:$A,0),MATCH(M$1,RESULTADOS!$1:$1,0))</f>
        <v>#N/A</v>
      </c>
      <c r="N16" s="210">
        <f ca="1">SUMPRODUCT((TABELA_VAZAO[Posto]=N$2)*1,(TABELA_VAZAO[Data]=$A16)*1,TABELA_VAZAO[qnat])</f>
        <v>0</v>
      </c>
      <c r="O16" s="210">
        <f ca="1">SUMPRODUCT((TABELA_VAZAO[Posto]=O$2)*1,(TABELA_VAZAO[Data]=$A16)*1,TABELA_VAZAO[qnat])</f>
        <v>0</v>
      </c>
      <c r="P16" s="210">
        <f ca="1">SUMPRODUCT((TABELA_VAZAO[Posto]=P$2)*1,(TABELA_VAZAO[Data]=$A16)*1,TABELA_VAZAO[qnat])</f>
        <v>0</v>
      </c>
      <c r="Q16" s="210">
        <f ca="1">SUMPRODUCT((TABELA_VAZAO[Posto]=Q$2)*1,(TABELA_VAZAO[Data]=$A16)*1,TABELA_VAZAO[qnat])</f>
        <v>0</v>
      </c>
      <c r="R16" s="210">
        <f ca="1">SUMPRODUCT((TABELA_VAZAO[Posto]=R$2)*1,(TABELA_VAZAO[Data]=$A16)*1,TABELA_VAZAO[qnat])</f>
        <v>0</v>
      </c>
      <c r="S16" s="210">
        <f ca="1">SUMPRODUCT((TABELA_VAZAO[Posto]=S$2)*1,(TABELA_VAZAO[Data]=$A16)*1,TABELA_VAZAO[qnat])</f>
        <v>0</v>
      </c>
      <c r="T16" s="230" t="e">
        <f ca="1">INDEX(RESULTADOS!$A:$BZ,MATCH($A16,RESULTADOS!$A:$A,0),MATCH(T$1,RESULTADOS!$1:$1,0))</f>
        <v>#N/A</v>
      </c>
      <c r="U16" s="210">
        <f ca="1">SUMPRODUCT((TABELA_VAZAO[Posto]=U$2)*1,(TABELA_VAZAO[Data]=$A16)*1,TABELA_VAZAO[qnat])</f>
        <v>0</v>
      </c>
      <c r="V16" s="210">
        <f ca="1">SUMPRODUCT((TABELA_VAZAO[Posto]=V$2)*1,(TABELA_VAZAO[Data]=$A16)*1,TABELA_VAZAO[qnat])</f>
        <v>0</v>
      </c>
      <c r="W16" s="239" t="e">
        <f ca="1">INDEX(RESULTADOS!$A:$BZ,MATCH($A16,RESULTADOS!$A:$A,0),MATCH(W$1,RESULTADOS!$1:$1,0))</f>
        <v>#N/A</v>
      </c>
      <c r="Y16" s="239" t="e">
        <f ca="1">INDEX(RESULTADOS!$A:$BZ,MATCH($A16,RESULTADOS!$A:$A,0),MATCH(Y$1,RESULTADOS!$1:$1,0))</f>
        <v>#N/A</v>
      </c>
      <c r="AC16" s="239" t="e">
        <f ca="1">INDEX(RESULTADOS!$A:$BZ,MATCH($A16,RESULTADOS!$A:$A,0),MATCH(AC$1,RESULTADOS!$1:$1,0))</f>
        <v>#N/A</v>
      </c>
      <c r="AE16" s="239" t="e">
        <f ca="1">INDEX(RESULTADOS!$A:$BZ,MATCH($A16,RESULTADOS!$A:$A,0),MATCH(AE$1,RESULTADOS!$1:$1,0))</f>
        <v>#N/A</v>
      </c>
      <c r="AF16" s="239" t="e">
        <f ca="1">INDEX(RESULTADOS!$A:$BZ,MATCH($A16,RESULTADOS!$A:$A,0),MATCH(AF$1,RESULTADOS!$1:$1,0))</f>
        <v>#N/A</v>
      </c>
      <c r="AJ16" s="239" t="e">
        <f ca="1">INDEX(RESULTADOS!$A:$BZ,MATCH($A16,RESULTADOS!$A:$A,0),MATCH(AJ$1,RESULTADOS!$1:$1,0))</f>
        <v>#N/A</v>
      </c>
      <c r="AK16" s="239" t="e">
        <f ca="1">INDEX(RESULTADOS!$A:$BZ,MATCH($A16,RESULTADOS!$A:$A,0),MATCH(AK$1,RESULTADOS!$1:$1,0))</f>
        <v>#N/A</v>
      </c>
    </row>
    <row r="17" spans="1:37" x14ac:dyDescent="0.2">
      <c r="A17" s="49">
        <f t="shared" ca="1" si="1"/>
        <v>43816</v>
      </c>
      <c r="B17" s="51"/>
      <c r="C17" s="51" t="e">
        <f ca="1">INDEX(RESULTADOS!$A:$BZ,MATCH($A17,RESULTADOS!$A:$A,0),MATCH(C$1,RESULTADOS!$1:$1,0))</f>
        <v>#N/A</v>
      </c>
      <c r="D17" s="110" t="e">
        <f ca="1">INDEX(RESULTADOS!$A:$BZ,MATCH($A17,RESULTADOS!$A:$A,0),MATCH(D$1,RESULTADOS!$1:$1,0))</f>
        <v>#N/A</v>
      </c>
      <c r="E17" s="210" t="e">
        <f ca="1">INDEX(RESULTADOS!$A:$BZ,MATCH($A17,RESULTADOS!$A:$A,0),MATCH(E$1,RESULTADOS!$1:$1,0))</f>
        <v>#N/A</v>
      </c>
      <c r="F17" s="250" t="e">
        <f ca="1">INDEX(RESULTADOS!$A:$BZ,MATCH($A17,RESULTADOS!$A:$A,0),MATCH(F$1,RESULTADOS!$1:$1,0))</f>
        <v>#N/A</v>
      </c>
      <c r="G17" s="250" t="e">
        <f ca="1">INDEX(RESULTADOS!$A:$BZ,MATCH($A17,RESULTADOS!$A:$A,0),MATCH(G$1,RESULTADOS!$1:$1,0))</f>
        <v>#N/A</v>
      </c>
      <c r="H17" s="250" t="e">
        <f ca="1">INDEX(RESULTADOS!$A:$BZ,MATCH($A17,RESULTADOS!$A:$A,0),MATCH(H$1,RESULTADOS!$1:$1,0))</f>
        <v>#N/A</v>
      </c>
      <c r="I17" s="250" t="e">
        <f ca="1">INDEX(RESULTADOS!$A:$BZ,MATCH($A17,RESULTADOS!$A:$A,0),MATCH(I$1,RESULTADOS!$1:$1,0))</f>
        <v>#N/A</v>
      </c>
      <c r="J17" s="250" t="e">
        <f ca="1">INDEX(RESULTADOS!$A:$BZ,MATCH($A17,RESULTADOS!$A:$A,0),MATCH(J$1,RESULTADOS!$1:$1,0))</f>
        <v>#N/A</v>
      </c>
      <c r="K17" s="210">
        <f ca="1">SUMPRODUCT((TABELA_VAZAO[Posto]=K$2)*1,(TABELA_VAZAO[Data]=$A17)*1,TABELA_VAZAO[qnat])</f>
        <v>0</v>
      </c>
      <c r="L17" s="250">
        <f ca="1">SUMPRODUCT((TABELA_VAZAO[Posto]=L$2)*1,(TABELA_VAZAO[Data]=$A17)*1,TABELA_VAZAO[qinc])</f>
        <v>0</v>
      </c>
      <c r="M17" s="210" t="e">
        <f ca="1">INDEX(RESULTADOS!$A:$BZ,MATCH($A17,RESULTADOS!$A:$A,0),MATCH(M$1,RESULTADOS!$1:$1,0))</f>
        <v>#N/A</v>
      </c>
      <c r="N17" s="210">
        <f ca="1">SUMPRODUCT((TABELA_VAZAO[Posto]=N$2)*1,(TABELA_VAZAO[Data]=$A17)*1,TABELA_VAZAO[qnat])</f>
        <v>0</v>
      </c>
      <c r="O17" s="210">
        <f ca="1">SUMPRODUCT((TABELA_VAZAO[Posto]=O$2)*1,(TABELA_VAZAO[Data]=$A17)*1,TABELA_VAZAO[qnat])</f>
        <v>0</v>
      </c>
      <c r="P17" s="210">
        <f ca="1">SUMPRODUCT((TABELA_VAZAO[Posto]=P$2)*1,(TABELA_VAZAO[Data]=$A17)*1,TABELA_VAZAO[qnat])</f>
        <v>0</v>
      </c>
      <c r="Q17" s="210">
        <f ca="1">SUMPRODUCT((TABELA_VAZAO[Posto]=Q$2)*1,(TABELA_VAZAO[Data]=$A17)*1,TABELA_VAZAO[qnat])</f>
        <v>0</v>
      </c>
      <c r="R17" s="210">
        <f ca="1">SUMPRODUCT((TABELA_VAZAO[Posto]=R$2)*1,(TABELA_VAZAO[Data]=$A17)*1,TABELA_VAZAO[qnat])</f>
        <v>0</v>
      </c>
      <c r="S17" s="210">
        <f ca="1">SUMPRODUCT((TABELA_VAZAO[Posto]=S$2)*1,(TABELA_VAZAO[Data]=$A17)*1,TABELA_VAZAO[qnat])</f>
        <v>0</v>
      </c>
      <c r="T17" s="230" t="e">
        <f ca="1">INDEX(RESULTADOS!$A:$BZ,MATCH($A17,RESULTADOS!$A:$A,0),MATCH(T$1,RESULTADOS!$1:$1,0))</f>
        <v>#N/A</v>
      </c>
      <c r="U17" s="210">
        <f ca="1">SUMPRODUCT((TABELA_VAZAO[Posto]=U$2)*1,(TABELA_VAZAO[Data]=$A17)*1,TABELA_VAZAO[qnat])</f>
        <v>0</v>
      </c>
      <c r="V17" s="210">
        <f ca="1">SUMPRODUCT((TABELA_VAZAO[Posto]=V$2)*1,(TABELA_VAZAO[Data]=$A17)*1,TABELA_VAZAO[qnat])</f>
        <v>0</v>
      </c>
      <c r="W17" s="239" t="e">
        <f ca="1">INDEX(RESULTADOS!$A:$BZ,MATCH($A17,RESULTADOS!$A:$A,0),MATCH(W$1,RESULTADOS!$1:$1,0))</f>
        <v>#N/A</v>
      </c>
      <c r="Y17" s="239" t="e">
        <f ca="1">INDEX(RESULTADOS!$A:$BZ,MATCH($A17,RESULTADOS!$A:$A,0),MATCH(Y$1,RESULTADOS!$1:$1,0))</f>
        <v>#N/A</v>
      </c>
      <c r="AC17" s="239" t="e">
        <f ca="1">INDEX(RESULTADOS!$A:$BZ,MATCH($A17,RESULTADOS!$A:$A,0),MATCH(AC$1,RESULTADOS!$1:$1,0))</f>
        <v>#N/A</v>
      </c>
      <c r="AE17" s="239" t="e">
        <f ca="1">INDEX(RESULTADOS!$A:$BZ,MATCH($A17,RESULTADOS!$A:$A,0),MATCH(AE$1,RESULTADOS!$1:$1,0))</f>
        <v>#N/A</v>
      </c>
      <c r="AF17" s="239" t="e">
        <f ca="1">INDEX(RESULTADOS!$A:$BZ,MATCH($A17,RESULTADOS!$A:$A,0),MATCH(AF$1,RESULTADOS!$1:$1,0))</f>
        <v>#N/A</v>
      </c>
      <c r="AJ17" s="239" t="e">
        <f ca="1">INDEX(RESULTADOS!$A:$BZ,MATCH($A17,RESULTADOS!$A:$A,0),MATCH(AJ$1,RESULTADOS!$1:$1,0))</f>
        <v>#N/A</v>
      </c>
      <c r="AK17" s="239" t="e">
        <f ca="1">INDEX(RESULTADOS!$A:$BZ,MATCH($A17,RESULTADOS!$A:$A,0),MATCH(AK$1,RESULTADOS!$1:$1,0))</f>
        <v>#N/A</v>
      </c>
    </row>
    <row r="18" spans="1:37" x14ac:dyDescent="0.2">
      <c r="A18" s="49">
        <f t="shared" ca="1" si="1"/>
        <v>43817</v>
      </c>
      <c r="B18" s="51"/>
      <c r="C18" s="51" t="e">
        <f ca="1">INDEX(RESULTADOS!$A:$BZ,MATCH($A18,RESULTADOS!$A:$A,0),MATCH(C$1,RESULTADOS!$1:$1,0))</f>
        <v>#N/A</v>
      </c>
      <c r="D18" s="110" t="e">
        <f ca="1">INDEX(RESULTADOS!$A:$BZ,MATCH($A18,RESULTADOS!$A:$A,0),MATCH(D$1,RESULTADOS!$1:$1,0))</f>
        <v>#N/A</v>
      </c>
      <c r="E18" s="210" t="e">
        <f ca="1">INDEX(RESULTADOS!$A:$BZ,MATCH($A18,RESULTADOS!$A:$A,0),MATCH(E$1,RESULTADOS!$1:$1,0))</f>
        <v>#N/A</v>
      </c>
      <c r="F18" s="250" t="e">
        <f ca="1">INDEX(RESULTADOS!$A:$BZ,MATCH($A18,RESULTADOS!$A:$A,0),MATCH(F$1,RESULTADOS!$1:$1,0))</f>
        <v>#N/A</v>
      </c>
      <c r="G18" s="250" t="e">
        <f ca="1">INDEX(RESULTADOS!$A:$BZ,MATCH($A18,RESULTADOS!$A:$A,0),MATCH(G$1,RESULTADOS!$1:$1,0))</f>
        <v>#N/A</v>
      </c>
      <c r="H18" s="250" t="e">
        <f ca="1">INDEX(RESULTADOS!$A:$BZ,MATCH($A18,RESULTADOS!$A:$A,0),MATCH(H$1,RESULTADOS!$1:$1,0))</f>
        <v>#N/A</v>
      </c>
      <c r="I18" s="250" t="e">
        <f ca="1">INDEX(RESULTADOS!$A:$BZ,MATCH($A18,RESULTADOS!$A:$A,0),MATCH(I$1,RESULTADOS!$1:$1,0))</f>
        <v>#N/A</v>
      </c>
      <c r="J18" s="250" t="e">
        <f ca="1">INDEX(RESULTADOS!$A:$BZ,MATCH($A18,RESULTADOS!$A:$A,0),MATCH(J$1,RESULTADOS!$1:$1,0))</f>
        <v>#N/A</v>
      </c>
      <c r="K18" s="210">
        <f ca="1">SUMPRODUCT((TABELA_VAZAO[Posto]=K$2)*1,(TABELA_VAZAO[Data]=$A18)*1,TABELA_VAZAO[qnat])</f>
        <v>0</v>
      </c>
      <c r="L18" s="250">
        <f ca="1">SUMPRODUCT((TABELA_VAZAO[Posto]=L$2)*1,(TABELA_VAZAO[Data]=$A18)*1,TABELA_VAZAO[qinc])</f>
        <v>0</v>
      </c>
      <c r="M18" s="210" t="e">
        <f ca="1">INDEX(RESULTADOS!$A:$BZ,MATCH($A18,RESULTADOS!$A:$A,0),MATCH(M$1,RESULTADOS!$1:$1,0))</f>
        <v>#N/A</v>
      </c>
      <c r="N18" s="210">
        <f ca="1">SUMPRODUCT((TABELA_VAZAO[Posto]=N$2)*1,(TABELA_VAZAO[Data]=$A18)*1,TABELA_VAZAO[qnat])</f>
        <v>0</v>
      </c>
      <c r="O18" s="210">
        <f ca="1">SUMPRODUCT((TABELA_VAZAO[Posto]=O$2)*1,(TABELA_VAZAO[Data]=$A18)*1,TABELA_VAZAO[qnat])</f>
        <v>0</v>
      </c>
      <c r="P18" s="210">
        <f ca="1">SUMPRODUCT((TABELA_VAZAO[Posto]=P$2)*1,(TABELA_VAZAO[Data]=$A18)*1,TABELA_VAZAO[qnat])</f>
        <v>0</v>
      </c>
      <c r="Q18" s="210">
        <f ca="1">SUMPRODUCT((TABELA_VAZAO[Posto]=Q$2)*1,(TABELA_VAZAO[Data]=$A18)*1,TABELA_VAZAO[qnat])</f>
        <v>0</v>
      </c>
      <c r="R18" s="210">
        <f ca="1">SUMPRODUCT((TABELA_VAZAO[Posto]=R$2)*1,(TABELA_VAZAO[Data]=$A18)*1,TABELA_VAZAO[qnat])</f>
        <v>0</v>
      </c>
      <c r="S18" s="210">
        <f ca="1">SUMPRODUCT((TABELA_VAZAO[Posto]=S$2)*1,(TABELA_VAZAO[Data]=$A18)*1,TABELA_VAZAO[qnat])</f>
        <v>0</v>
      </c>
      <c r="T18" s="230" t="e">
        <f ca="1">INDEX(RESULTADOS!$A:$BZ,MATCH($A18,RESULTADOS!$A:$A,0),MATCH(T$1,RESULTADOS!$1:$1,0))</f>
        <v>#N/A</v>
      </c>
      <c r="U18" s="210">
        <f ca="1">SUMPRODUCT((TABELA_VAZAO[Posto]=U$2)*1,(TABELA_VAZAO[Data]=$A18)*1,TABELA_VAZAO[qnat])</f>
        <v>0</v>
      </c>
      <c r="V18" s="210">
        <f ca="1">SUMPRODUCT((TABELA_VAZAO[Posto]=V$2)*1,(TABELA_VAZAO[Data]=$A18)*1,TABELA_VAZAO[qnat])</f>
        <v>0</v>
      </c>
      <c r="W18" s="239" t="e">
        <f ca="1">INDEX(RESULTADOS!$A:$BZ,MATCH($A18,RESULTADOS!$A:$A,0),MATCH(W$1,RESULTADOS!$1:$1,0))</f>
        <v>#N/A</v>
      </c>
      <c r="Y18" s="239" t="e">
        <f ca="1">INDEX(RESULTADOS!$A:$BZ,MATCH($A18,RESULTADOS!$A:$A,0),MATCH(Y$1,RESULTADOS!$1:$1,0))</f>
        <v>#N/A</v>
      </c>
      <c r="AC18" s="239" t="e">
        <f ca="1">INDEX(RESULTADOS!$A:$BZ,MATCH($A18,RESULTADOS!$A:$A,0),MATCH(AC$1,RESULTADOS!$1:$1,0))</f>
        <v>#N/A</v>
      </c>
      <c r="AE18" s="239" t="e">
        <f ca="1">INDEX(RESULTADOS!$A:$BZ,MATCH($A18,RESULTADOS!$A:$A,0),MATCH(AE$1,RESULTADOS!$1:$1,0))</f>
        <v>#N/A</v>
      </c>
      <c r="AF18" s="239" t="e">
        <f ca="1">INDEX(RESULTADOS!$A:$BZ,MATCH($A18,RESULTADOS!$A:$A,0),MATCH(AF$1,RESULTADOS!$1:$1,0))</f>
        <v>#N/A</v>
      </c>
      <c r="AJ18" s="239" t="e">
        <f ca="1">INDEX(RESULTADOS!$A:$BZ,MATCH($A18,RESULTADOS!$A:$A,0),MATCH(AJ$1,RESULTADOS!$1:$1,0))</f>
        <v>#N/A</v>
      </c>
      <c r="AK18" s="239" t="e">
        <f ca="1">INDEX(RESULTADOS!$A:$BZ,MATCH($A18,RESULTADOS!$A:$A,0),MATCH(AK$1,RESULTADOS!$1:$1,0))</f>
        <v>#N/A</v>
      </c>
    </row>
    <row r="19" spans="1:37" x14ac:dyDescent="0.2">
      <c r="A19" s="82">
        <f t="shared" ca="1" si="1"/>
        <v>43818</v>
      </c>
      <c r="B19" s="83"/>
      <c r="C19" s="83" t="e">
        <f ca="1">INDEX(RESULTADOS!$A:$BZ,MATCH($A19,RESULTADOS!$A:$A,0),MATCH(C$1,RESULTADOS!$1:$1,0))</f>
        <v>#N/A</v>
      </c>
      <c r="D19" s="84" t="e">
        <f ca="1">INDEX(RESULTADOS!$A:$BZ,MATCH($A19,RESULTADOS!$A:$A,0),MATCH(D$1,RESULTADOS!$1:$1,0))</f>
        <v>#N/A</v>
      </c>
      <c r="E19" s="210" t="e">
        <f ca="1">INDEX(RESULTADOS!$A:$BZ,MATCH($A19,RESULTADOS!$A:$A,0),MATCH(E$1,RESULTADOS!$1:$1,0))</f>
        <v>#N/A</v>
      </c>
      <c r="F19" s="250" t="e">
        <f ca="1">INDEX(RESULTADOS!$A:$BZ,MATCH($A19,RESULTADOS!$A:$A,0),MATCH(F$1,RESULTADOS!$1:$1,0))</f>
        <v>#N/A</v>
      </c>
      <c r="G19" s="250" t="e">
        <f ca="1">INDEX(RESULTADOS!$A:$BZ,MATCH($A19,RESULTADOS!$A:$A,0),MATCH(G$1,RESULTADOS!$1:$1,0))</f>
        <v>#N/A</v>
      </c>
      <c r="H19" s="250" t="e">
        <f ca="1">INDEX(RESULTADOS!$A:$BZ,MATCH($A19,RESULTADOS!$A:$A,0),MATCH(H$1,RESULTADOS!$1:$1,0))</f>
        <v>#N/A</v>
      </c>
      <c r="I19" s="250" t="e">
        <f ca="1">INDEX(RESULTADOS!$A:$BZ,MATCH($A19,RESULTADOS!$A:$A,0),MATCH(I$1,RESULTADOS!$1:$1,0))</f>
        <v>#N/A</v>
      </c>
      <c r="J19" s="250" t="e">
        <f ca="1">INDEX(RESULTADOS!$A:$BZ,MATCH($A19,RESULTADOS!$A:$A,0),MATCH(J$1,RESULTADOS!$1:$1,0))</f>
        <v>#N/A</v>
      </c>
      <c r="K19" s="210">
        <f ca="1">SUMPRODUCT((TABELA_VAZAO[Posto]=K$2)*1,(TABELA_VAZAO[Data]=$A19)*1,TABELA_VAZAO[qnat])</f>
        <v>0</v>
      </c>
      <c r="L19" s="250">
        <f ca="1">SUMPRODUCT((TABELA_VAZAO[Posto]=L$2)*1,(TABELA_VAZAO[Data]=$A19)*1,TABELA_VAZAO[qinc])</f>
        <v>0</v>
      </c>
      <c r="M19" s="210" t="e">
        <f ca="1">INDEX(RESULTADOS!$A:$BZ,MATCH($A19,RESULTADOS!$A:$A,0),MATCH(M$1,RESULTADOS!$1:$1,0))</f>
        <v>#N/A</v>
      </c>
      <c r="N19" s="210">
        <f ca="1">SUMPRODUCT((TABELA_VAZAO[Posto]=N$2)*1,(TABELA_VAZAO[Data]=$A19)*1,TABELA_VAZAO[qnat])</f>
        <v>0</v>
      </c>
      <c r="O19" s="210">
        <f ca="1">SUMPRODUCT((TABELA_VAZAO[Posto]=O$2)*1,(TABELA_VAZAO[Data]=$A19)*1,TABELA_VAZAO[qnat])</f>
        <v>0</v>
      </c>
      <c r="P19" s="210">
        <f ca="1">SUMPRODUCT((TABELA_VAZAO[Posto]=P$2)*1,(TABELA_VAZAO[Data]=$A19)*1,TABELA_VAZAO[qnat])</f>
        <v>0</v>
      </c>
      <c r="Q19" s="210">
        <f ca="1">SUMPRODUCT((TABELA_VAZAO[Posto]=Q$2)*1,(TABELA_VAZAO[Data]=$A19)*1,TABELA_VAZAO[qnat])</f>
        <v>0</v>
      </c>
      <c r="R19" s="210">
        <f ca="1">SUMPRODUCT((TABELA_VAZAO[Posto]=R$2)*1,(TABELA_VAZAO[Data]=$A19)*1,TABELA_VAZAO[qnat])</f>
        <v>0</v>
      </c>
      <c r="S19" s="210">
        <f ca="1">SUMPRODUCT((TABELA_VAZAO[Posto]=S$2)*1,(TABELA_VAZAO[Data]=$A19)*1,TABELA_VAZAO[qnat])</f>
        <v>0</v>
      </c>
      <c r="T19" s="230" t="e">
        <f ca="1">INDEX(RESULTADOS!$A:$BZ,MATCH($A19,RESULTADOS!$A:$A,0),MATCH(T$1,RESULTADOS!$1:$1,0))</f>
        <v>#N/A</v>
      </c>
      <c r="U19" s="210">
        <f ca="1">SUMPRODUCT((TABELA_VAZAO[Posto]=U$2)*1,(TABELA_VAZAO[Data]=$A19)*1,TABELA_VAZAO[qnat])</f>
        <v>0</v>
      </c>
      <c r="V19" s="210">
        <f ca="1">SUMPRODUCT((TABELA_VAZAO[Posto]=V$2)*1,(TABELA_VAZAO[Data]=$A19)*1,TABELA_VAZAO[qnat])</f>
        <v>0</v>
      </c>
      <c r="W19" s="239" t="e">
        <f ca="1">INDEX(RESULTADOS!$A:$BZ,MATCH($A19,RESULTADOS!$A:$A,0),MATCH(W$1,RESULTADOS!$1:$1,0))</f>
        <v>#N/A</v>
      </c>
      <c r="Y19" s="239" t="e">
        <f ca="1">INDEX(RESULTADOS!$A:$BZ,MATCH($A19,RESULTADOS!$A:$A,0),MATCH(Y$1,RESULTADOS!$1:$1,0))</f>
        <v>#N/A</v>
      </c>
      <c r="AC19" s="239" t="e">
        <f ca="1">INDEX(RESULTADOS!$A:$BZ,MATCH($A19,RESULTADOS!$A:$A,0),MATCH(AC$1,RESULTADOS!$1:$1,0))</f>
        <v>#N/A</v>
      </c>
      <c r="AE19" s="239" t="e">
        <f ca="1">INDEX(RESULTADOS!$A:$BZ,MATCH($A19,RESULTADOS!$A:$A,0),MATCH(AE$1,RESULTADOS!$1:$1,0))</f>
        <v>#N/A</v>
      </c>
      <c r="AF19" s="239" t="e">
        <f ca="1">INDEX(RESULTADOS!$A:$BZ,MATCH($A19,RESULTADOS!$A:$A,0),MATCH(AF$1,RESULTADOS!$1:$1,0))</f>
        <v>#N/A</v>
      </c>
      <c r="AJ19" s="239" t="e">
        <f ca="1">INDEX(RESULTADOS!$A:$BZ,MATCH($A19,RESULTADOS!$A:$A,0),MATCH(AJ$1,RESULTADOS!$1:$1,0))</f>
        <v>#N/A</v>
      </c>
      <c r="AK19" s="239" t="e">
        <f ca="1">INDEX(RESULTADOS!$A:$BZ,MATCH($A19,RESULTADOS!$A:$A,0),MATCH(AK$1,RESULTADOS!$1:$1,0))</f>
        <v>#N/A</v>
      </c>
    </row>
    <row r="20" spans="1:37" x14ac:dyDescent="0.2">
      <c r="A20" s="49">
        <f t="shared" ca="1" si="1"/>
        <v>43819</v>
      </c>
      <c r="B20" s="51"/>
      <c r="C20" s="51" t="e">
        <f ca="1">INDEX(RESULTADOS!$A:$BZ,MATCH($A20,RESULTADOS!$A:$A,0),MATCH(C$1,RESULTADOS!$1:$1,0))</f>
        <v>#N/A</v>
      </c>
      <c r="D20" s="110" t="e">
        <f ca="1">INDEX(RESULTADOS!$A:$BZ,MATCH($A20,RESULTADOS!$A:$A,0),MATCH(D$1,RESULTADOS!$1:$1,0))</f>
        <v>#N/A</v>
      </c>
      <c r="E20" s="210" t="e">
        <f ca="1">INDEX(RESULTADOS!$A:$BZ,MATCH($A20,RESULTADOS!$A:$A,0),MATCH(E$1,RESULTADOS!$1:$1,0))</f>
        <v>#N/A</v>
      </c>
      <c r="F20" s="250" t="e">
        <f ca="1">INDEX(RESULTADOS!$A:$BZ,MATCH($A20,RESULTADOS!$A:$A,0),MATCH(F$1,RESULTADOS!$1:$1,0))</f>
        <v>#N/A</v>
      </c>
      <c r="G20" s="250" t="e">
        <f ca="1">INDEX(RESULTADOS!$A:$BZ,MATCH($A20,RESULTADOS!$A:$A,0),MATCH(G$1,RESULTADOS!$1:$1,0))</f>
        <v>#N/A</v>
      </c>
      <c r="H20" s="250" t="e">
        <f ca="1">INDEX(RESULTADOS!$A:$BZ,MATCH($A20,RESULTADOS!$A:$A,0),MATCH(H$1,RESULTADOS!$1:$1,0))</f>
        <v>#N/A</v>
      </c>
      <c r="I20" s="250" t="e">
        <f ca="1">INDEX(RESULTADOS!$A:$BZ,MATCH($A20,RESULTADOS!$A:$A,0),MATCH(I$1,RESULTADOS!$1:$1,0))</f>
        <v>#N/A</v>
      </c>
      <c r="J20" s="250" t="e">
        <f ca="1">INDEX(RESULTADOS!$A:$BZ,MATCH($A20,RESULTADOS!$A:$A,0),MATCH(J$1,RESULTADOS!$1:$1,0))</f>
        <v>#N/A</v>
      </c>
      <c r="K20" s="210">
        <f ca="1">SUMPRODUCT((TABELA_VAZAO[Posto]=K$2)*1,(TABELA_VAZAO[Data]=$A20)*1,TABELA_VAZAO[qnat])</f>
        <v>0</v>
      </c>
      <c r="L20" s="250">
        <f ca="1">SUMPRODUCT((TABELA_VAZAO[Posto]=L$2)*1,(TABELA_VAZAO[Data]=$A20)*1,TABELA_VAZAO[qinc])</f>
        <v>0</v>
      </c>
      <c r="M20" s="210" t="e">
        <f ca="1">INDEX(RESULTADOS!$A:$BZ,MATCH($A20,RESULTADOS!$A:$A,0),MATCH(M$1,RESULTADOS!$1:$1,0))</f>
        <v>#N/A</v>
      </c>
      <c r="N20" s="210">
        <f ca="1">SUMPRODUCT((TABELA_VAZAO[Posto]=N$2)*1,(TABELA_VAZAO[Data]=$A20)*1,TABELA_VAZAO[qnat])</f>
        <v>0</v>
      </c>
      <c r="O20" s="210">
        <f ca="1">SUMPRODUCT((TABELA_VAZAO[Posto]=O$2)*1,(TABELA_VAZAO[Data]=$A20)*1,TABELA_VAZAO[qnat])</f>
        <v>0</v>
      </c>
      <c r="P20" s="210">
        <f ca="1">SUMPRODUCT((TABELA_VAZAO[Posto]=P$2)*1,(TABELA_VAZAO[Data]=$A20)*1,TABELA_VAZAO[qnat])</f>
        <v>0</v>
      </c>
      <c r="Q20" s="210">
        <f ca="1">SUMPRODUCT((TABELA_VAZAO[Posto]=Q$2)*1,(TABELA_VAZAO[Data]=$A20)*1,TABELA_VAZAO[qnat])</f>
        <v>0</v>
      </c>
      <c r="R20" s="210">
        <f ca="1">SUMPRODUCT((TABELA_VAZAO[Posto]=R$2)*1,(TABELA_VAZAO[Data]=$A20)*1,TABELA_VAZAO[qnat])</f>
        <v>0</v>
      </c>
      <c r="S20" s="210">
        <f ca="1">SUMPRODUCT((TABELA_VAZAO[Posto]=S$2)*1,(TABELA_VAZAO[Data]=$A20)*1,TABELA_VAZAO[qnat])</f>
        <v>0</v>
      </c>
      <c r="T20" s="230" t="e">
        <f ca="1">INDEX(RESULTADOS!$A:$BZ,MATCH($A20,RESULTADOS!$A:$A,0),MATCH(T$1,RESULTADOS!$1:$1,0))</f>
        <v>#N/A</v>
      </c>
      <c r="U20" s="210">
        <f ca="1">SUMPRODUCT((TABELA_VAZAO[Posto]=U$2)*1,(TABELA_VAZAO[Data]=$A20)*1,TABELA_VAZAO[qnat])</f>
        <v>0</v>
      </c>
      <c r="V20" s="210">
        <f ca="1">SUMPRODUCT((TABELA_VAZAO[Posto]=V$2)*1,(TABELA_VAZAO[Data]=$A20)*1,TABELA_VAZAO[qnat])</f>
        <v>0</v>
      </c>
      <c r="W20" s="239" t="e">
        <f ca="1">INDEX(RESULTADOS!$A:$BZ,MATCH($A20,RESULTADOS!$A:$A,0),MATCH(W$1,RESULTADOS!$1:$1,0))</f>
        <v>#N/A</v>
      </c>
      <c r="Y20" s="239" t="e">
        <f ca="1">INDEX(RESULTADOS!$A:$BZ,MATCH($A20,RESULTADOS!$A:$A,0),MATCH(Y$1,RESULTADOS!$1:$1,0))</f>
        <v>#N/A</v>
      </c>
      <c r="AC20" s="239" t="e">
        <f ca="1">INDEX(RESULTADOS!$A:$BZ,MATCH($A20,RESULTADOS!$A:$A,0),MATCH(AC$1,RESULTADOS!$1:$1,0))</f>
        <v>#N/A</v>
      </c>
      <c r="AE20" s="239" t="e">
        <f ca="1">INDEX(RESULTADOS!$A:$BZ,MATCH($A20,RESULTADOS!$A:$A,0),MATCH(AE$1,RESULTADOS!$1:$1,0))</f>
        <v>#N/A</v>
      </c>
      <c r="AF20" s="239" t="e">
        <f ca="1">INDEX(RESULTADOS!$A:$BZ,MATCH($A20,RESULTADOS!$A:$A,0),MATCH(AF$1,RESULTADOS!$1:$1,0))</f>
        <v>#N/A</v>
      </c>
      <c r="AJ20" s="239" t="e">
        <f ca="1">INDEX(RESULTADOS!$A:$BZ,MATCH($A20,RESULTADOS!$A:$A,0),MATCH(AJ$1,RESULTADOS!$1:$1,0))</f>
        <v>#N/A</v>
      </c>
      <c r="AK20" s="239" t="e">
        <f ca="1">INDEX(RESULTADOS!$A:$BZ,MATCH($A20,RESULTADOS!$A:$A,0),MATCH(AK$1,RESULTADOS!$1:$1,0))</f>
        <v>#N/A</v>
      </c>
    </row>
    <row r="21" spans="1:37" x14ac:dyDescent="0.2">
      <c r="A21" s="49">
        <f t="shared" ca="1" si="1"/>
        <v>43820</v>
      </c>
      <c r="B21" s="51"/>
      <c r="C21" s="51" t="e">
        <f ca="1">INDEX(RESULTADOS!$A:$BZ,MATCH($A21,RESULTADOS!$A:$A,0),MATCH(C$1,RESULTADOS!$1:$1,0))</f>
        <v>#N/A</v>
      </c>
      <c r="D21" s="110" t="e">
        <f ca="1">INDEX(RESULTADOS!$A:$BZ,MATCH($A21,RESULTADOS!$A:$A,0),MATCH(D$1,RESULTADOS!$1:$1,0))</f>
        <v>#N/A</v>
      </c>
      <c r="E21" s="210" t="e">
        <f ca="1">INDEX(RESULTADOS!$A:$BZ,MATCH($A21,RESULTADOS!$A:$A,0),MATCH(E$1,RESULTADOS!$1:$1,0))</f>
        <v>#N/A</v>
      </c>
      <c r="F21" s="250" t="e">
        <f ca="1">INDEX(RESULTADOS!$A:$BZ,MATCH($A21,RESULTADOS!$A:$A,0),MATCH(F$1,RESULTADOS!$1:$1,0))</f>
        <v>#N/A</v>
      </c>
      <c r="G21" s="250" t="e">
        <f ca="1">INDEX(RESULTADOS!$A:$BZ,MATCH($A21,RESULTADOS!$A:$A,0),MATCH(G$1,RESULTADOS!$1:$1,0))</f>
        <v>#N/A</v>
      </c>
      <c r="H21" s="250" t="e">
        <f ca="1">INDEX(RESULTADOS!$A:$BZ,MATCH($A21,RESULTADOS!$A:$A,0),MATCH(H$1,RESULTADOS!$1:$1,0))</f>
        <v>#N/A</v>
      </c>
      <c r="I21" s="250" t="e">
        <f ca="1">INDEX(RESULTADOS!$A:$BZ,MATCH($A21,RESULTADOS!$A:$A,0),MATCH(I$1,RESULTADOS!$1:$1,0))</f>
        <v>#N/A</v>
      </c>
      <c r="J21" s="250" t="e">
        <f ca="1">INDEX(RESULTADOS!$A:$BZ,MATCH($A21,RESULTADOS!$A:$A,0),MATCH(J$1,RESULTADOS!$1:$1,0))</f>
        <v>#N/A</v>
      </c>
      <c r="K21" s="210">
        <f ca="1">SUMPRODUCT((TABELA_VAZAO[Posto]=K$2)*1,(TABELA_VAZAO[Data]=$A21)*1,TABELA_VAZAO[qnat])</f>
        <v>0</v>
      </c>
      <c r="L21" s="250">
        <f ca="1">SUMPRODUCT((TABELA_VAZAO[Posto]=L$2)*1,(TABELA_VAZAO[Data]=$A21)*1,TABELA_VAZAO[qinc])</f>
        <v>0</v>
      </c>
      <c r="M21" s="210" t="e">
        <f ca="1">INDEX(RESULTADOS!$A:$BZ,MATCH($A21,RESULTADOS!$A:$A,0),MATCH(M$1,RESULTADOS!$1:$1,0))</f>
        <v>#N/A</v>
      </c>
      <c r="N21" s="210">
        <f ca="1">SUMPRODUCT((TABELA_VAZAO[Posto]=N$2)*1,(TABELA_VAZAO[Data]=$A21)*1,TABELA_VAZAO[qnat])</f>
        <v>0</v>
      </c>
      <c r="O21" s="210">
        <f ca="1">SUMPRODUCT((TABELA_VAZAO[Posto]=O$2)*1,(TABELA_VAZAO[Data]=$A21)*1,TABELA_VAZAO[qnat])</f>
        <v>0</v>
      </c>
      <c r="P21" s="210">
        <f ca="1">SUMPRODUCT((TABELA_VAZAO[Posto]=P$2)*1,(TABELA_VAZAO[Data]=$A21)*1,TABELA_VAZAO[qnat])</f>
        <v>0</v>
      </c>
      <c r="Q21" s="210">
        <f ca="1">SUMPRODUCT((TABELA_VAZAO[Posto]=Q$2)*1,(TABELA_VAZAO[Data]=$A21)*1,TABELA_VAZAO[qnat])</f>
        <v>0</v>
      </c>
      <c r="R21" s="210">
        <f ca="1">SUMPRODUCT((TABELA_VAZAO[Posto]=R$2)*1,(TABELA_VAZAO[Data]=$A21)*1,TABELA_VAZAO[qnat])</f>
        <v>0</v>
      </c>
      <c r="S21" s="210">
        <f ca="1">SUMPRODUCT((TABELA_VAZAO[Posto]=S$2)*1,(TABELA_VAZAO[Data]=$A21)*1,TABELA_VAZAO[qnat])</f>
        <v>0</v>
      </c>
      <c r="T21" s="230" t="e">
        <f ca="1">INDEX(RESULTADOS!$A:$BZ,MATCH($A21,RESULTADOS!$A:$A,0),MATCH(T$1,RESULTADOS!$1:$1,0))</f>
        <v>#N/A</v>
      </c>
      <c r="U21" s="210">
        <f ca="1">SUMPRODUCT((TABELA_VAZAO[Posto]=U$2)*1,(TABELA_VAZAO[Data]=$A21)*1,TABELA_VAZAO[qnat])</f>
        <v>0</v>
      </c>
      <c r="V21" s="210">
        <f ca="1">SUMPRODUCT((TABELA_VAZAO[Posto]=V$2)*1,(TABELA_VAZAO[Data]=$A21)*1,TABELA_VAZAO[qnat])</f>
        <v>0</v>
      </c>
      <c r="W21" s="239" t="e">
        <f ca="1">INDEX(RESULTADOS!$A:$BZ,MATCH($A21,RESULTADOS!$A:$A,0),MATCH(W$1,RESULTADOS!$1:$1,0))</f>
        <v>#N/A</v>
      </c>
      <c r="Y21" s="239" t="e">
        <f ca="1">INDEX(RESULTADOS!$A:$BZ,MATCH($A21,RESULTADOS!$A:$A,0),MATCH(Y$1,RESULTADOS!$1:$1,0))</f>
        <v>#N/A</v>
      </c>
      <c r="AC21" s="239" t="e">
        <f ca="1">INDEX(RESULTADOS!$A:$BZ,MATCH($A21,RESULTADOS!$A:$A,0),MATCH(AC$1,RESULTADOS!$1:$1,0))</f>
        <v>#N/A</v>
      </c>
      <c r="AE21" s="239" t="e">
        <f ca="1">INDEX(RESULTADOS!$A:$BZ,MATCH($A21,RESULTADOS!$A:$A,0),MATCH(AE$1,RESULTADOS!$1:$1,0))</f>
        <v>#N/A</v>
      </c>
      <c r="AF21" s="239" t="e">
        <f ca="1">INDEX(RESULTADOS!$A:$BZ,MATCH($A21,RESULTADOS!$A:$A,0),MATCH(AF$1,RESULTADOS!$1:$1,0))</f>
        <v>#N/A</v>
      </c>
      <c r="AJ21" s="239" t="e">
        <f ca="1">INDEX(RESULTADOS!$A:$BZ,MATCH($A21,RESULTADOS!$A:$A,0),MATCH(AJ$1,RESULTADOS!$1:$1,0))</f>
        <v>#N/A</v>
      </c>
      <c r="AK21" s="239" t="e">
        <f ca="1">INDEX(RESULTADOS!$A:$BZ,MATCH($A21,RESULTADOS!$A:$A,0),MATCH(AK$1,RESULTADOS!$1:$1,0))</f>
        <v>#N/A</v>
      </c>
    </row>
    <row r="22" spans="1:37" x14ac:dyDescent="0.2">
      <c r="A22" s="49">
        <f t="shared" ca="1" si="1"/>
        <v>43821</v>
      </c>
      <c r="B22" s="51"/>
      <c r="C22" s="51" t="e">
        <f ca="1">INDEX(RESULTADOS!$A:$BZ,MATCH($A22,RESULTADOS!$A:$A,0),MATCH(C$1,RESULTADOS!$1:$1,0))</f>
        <v>#N/A</v>
      </c>
      <c r="D22" s="110" t="e">
        <f ca="1">INDEX(RESULTADOS!$A:$BZ,MATCH($A22,RESULTADOS!$A:$A,0),MATCH(D$1,RESULTADOS!$1:$1,0))</f>
        <v>#N/A</v>
      </c>
      <c r="E22" s="210" t="e">
        <f ca="1">INDEX(RESULTADOS!$A:$BZ,MATCH($A22,RESULTADOS!$A:$A,0),MATCH(E$1,RESULTADOS!$1:$1,0))</f>
        <v>#N/A</v>
      </c>
      <c r="F22" s="250" t="e">
        <f ca="1">INDEX(RESULTADOS!$A:$BZ,MATCH($A22,RESULTADOS!$A:$A,0),MATCH(F$1,RESULTADOS!$1:$1,0))</f>
        <v>#N/A</v>
      </c>
      <c r="G22" s="250" t="e">
        <f ca="1">INDEX(RESULTADOS!$A:$BZ,MATCH($A22,RESULTADOS!$A:$A,0),MATCH(G$1,RESULTADOS!$1:$1,0))</f>
        <v>#N/A</v>
      </c>
      <c r="H22" s="250" t="e">
        <f ca="1">INDEX(RESULTADOS!$A:$BZ,MATCH($A22,RESULTADOS!$A:$A,0),MATCH(H$1,RESULTADOS!$1:$1,0))</f>
        <v>#N/A</v>
      </c>
      <c r="I22" s="250" t="e">
        <f ca="1">INDEX(RESULTADOS!$A:$BZ,MATCH($A22,RESULTADOS!$A:$A,0),MATCH(I$1,RESULTADOS!$1:$1,0))</f>
        <v>#N/A</v>
      </c>
      <c r="J22" s="250" t="e">
        <f ca="1">INDEX(RESULTADOS!$A:$BZ,MATCH($A22,RESULTADOS!$A:$A,0),MATCH(J$1,RESULTADOS!$1:$1,0))</f>
        <v>#N/A</v>
      </c>
      <c r="K22" s="210">
        <f ca="1">SUMPRODUCT((TABELA_VAZAO[Posto]=K$2)*1,(TABELA_VAZAO[Data]=$A22)*1,TABELA_VAZAO[qnat])</f>
        <v>0</v>
      </c>
      <c r="L22" s="250">
        <f ca="1">SUMPRODUCT((TABELA_VAZAO[Posto]=L$2)*1,(TABELA_VAZAO[Data]=$A22)*1,TABELA_VAZAO[qinc])</f>
        <v>0</v>
      </c>
      <c r="M22" s="210" t="e">
        <f ca="1">INDEX(RESULTADOS!$A:$BZ,MATCH($A22,RESULTADOS!$A:$A,0),MATCH(M$1,RESULTADOS!$1:$1,0))</f>
        <v>#N/A</v>
      </c>
      <c r="N22" s="210">
        <f ca="1">SUMPRODUCT((TABELA_VAZAO[Posto]=N$2)*1,(TABELA_VAZAO[Data]=$A22)*1,TABELA_VAZAO[qnat])</f>
        <v>0</v>
      </c>
      <c r="O22" s="210">
        <f ca="1">SUMPRODUCT((TABELA_VAZAO[Posto]=O$2)*1,(TABELA_VAZAO[Data]=$A22)*1,TABELA_VAZAO[qnat])</f>
        <v>0</v>
      </c>
      <c r="P22" s="210">
        <f ca="1">SUMPRODUCT((TABELA_VAZAO[Posto]=P$2)*1,(TABELA_VAZAO[Data]=$A22)*1,TABELA_VAZAO[qnat])</f>
        <v>0</v>
      </c>
      <c r="Q22" s="210">
        <f ca="1">SUMPRODUCT((TABELA_VAZAO[Posto]=Q$2)*1,(TABELA_VAZAO[Data]=$A22)*1,TABELA_VAZAO[qnat])</f>
        <v>0</v>
      </c>
      <c r="R22" s="210">
        <f ca="1">SUMPRODUCT((TABELA_VAZAO[Posto]=R$2)*1,(TABELA_VAZAO[Data]=$A22)*1,TABELA_VAZAO[qnat])</f>
        <v>0</v>
      </c>
      <c r="S22" s="210">
        <f ca="1">SUMPRODUCT((TABELA_VAZAO[Posto]=S$2)*1,(TABELA_VAZAO[Data]=$A22)*1,TABELA_VAZAO[qnat])</f>
        <v>0</v>
      </c>
      <c r="T22" s="230" t="e">
        <f ca="1">INDEX(RESULTADOS!$A:$BZ,MATCH($A22,RESULTADOS!$A:$A,0),MATCH(T$1,RESULTADOS!$1:$1,0))</f>
        <v>#N/A</v>
      </c>
      <c r="U22" s="210">
        <f ca="1">SUMPRODUCT((TABELA_VAZAO[Posto]=U$2)*1,(TABELA_VAZAO[Data]=$A22)*1,TABELA_VAZAO[qnat])</f>
        <v>0</v>
      </c>
      <c r="V22" s="210">
        <f ca="1">SUMPRODUCT((TABELA_VAZAO[Posto]=V$2)*1,(TABELA_VAZAO[Data]=$A22)*1,TABELA_VAZAO[qnat])</f>
        <v>0</v>
      </c>
      <c r="W22" s="239" t="e">
        <f ca="1">INDEX(RESULTADOS!$A:$BZ,MATCH($A22,RESULTADOS!$A:$A,0),MATCH(W$1,RESULTADOS!$1:$1,0))</f>
        <v>#N/A</v>
      </c>
      <c r="Y22" s="239" t="e">
        <f ca="1">INDEX(RESULTADOS!$A:$BZ,MATCH($A22,RESULTADOS!$A:$A,0),MATCH(Y$1,RESULTADOS!$1:$1,0))</f>
        <v>#N/A</v>
      </c>
      <c r="AC22" s="239" t="e">
        <f ca="1">INDEX(RESULTADOS!$A:$BZ,MATCH($A22,RESULTADOS!$A:$A,0),MATCH(AC$1,RESULTADOS!$1:$1,0))</f>
        <v>#N/A</v>
      </c>
      <c r="AE22" s="239" t="e">
        <f ca="1">INDEX(RESULTADOS!$A:$BZ,MATCH($A22,RESULTADOS!$A:$A,0),MATCH(AE$1,RESULTADOS!$1:$1,0))</f>
        <v>#N/A</v>
      </c>
      <c r="AF22" s="239" t="e">
        <f ca="1">INDEX(RESULTADOS!$A:$BZ,MATCH($A22,RESULTADOS!$A:$A,0),MATCH(AF$1,RESULTADOS!$1:$1,0))</f>
        <v>#N/A</v>
      </c>
      <c r="AJ22" s="239" t="e">
        <f ca="1">INDEX(RESULTADOS!$A:$BZ,MATCH($A22,RESULTADOS!$A:$A,0),MATCH(AJ$1,RESULTADOS!$1:$1,0))</f>
        <v>#N/A</v>
      </c>
      <c r="AK22" s="239" t="e">
        <f ca="1">INDEX(RESULTADOS!$A:$BZ,MATCH($A22,RESULTADOS!$A:$A,0),MATCH(AK$1,RESULTADOS!$1:$1,0))</f>
        <v>#N/A</v>
      </c>
    </row>
    <row r="23" spans="1:37" x14ac:dyDescent="0.2">
      <c r="A23" s="49">
        <f t="shared" ca="1" si="1"/>
        <v>43822</v>
      </c>
      <c r="B23" s="51"/>
      <c r="C23" s="51" t="e">
        <f ca="1">INDEX(RESULTADOS!$A:$BZ,MATCH($A23,RESULTADOS!$A:$A,0),MATCH(C$1,RESULTADOS!$1:$1,0))</f>
        <v>#N/A</v>
      </c>
      <c r="D23" s="110" t="e">
        <f ca="1">INDEX(RESULTADOS!$A:$BZ,MATCH($A23,RESULTADOS!$A:$A,0),MATCH(D$1,RESULTADOS!$1:$1,0))</f>
        <v>#N/A</v>
      </c>
      <c r="E23" s="210" t="e">
        <f ca="1">INDEX(RESULTADOS!$A:$BZ,MATCH($A23,RESULTADOS!$A:$A,0),MATCH(E$1,RESULTADOS!$1:$1,0))</f>
        <v>#N/A</v>
      </c>
      <c r="F23" s="250" t="e">
        <f ca="1">INDEX(RESULTADOS!$A:$BZ,MATCH($A23,RESULTADOS!$A:$A,0),MATCH(F$1,RESULTADOS!$1:$1,0))</f>
        <v>#N/A</v>
      </c>
      <c r="G23" s="250" t="e">
        <f ca="1">INDEX(RESULTADOS!$A:$BZ,MATCH($A23,RESULTADOS!$A:$A,0),MATCH(G$1,RESULTADOS!$1:$1,0))</f>
        <v>#N/A</v>
      </c>
      <c r="H23" s="250" t="e">
        <f ca="1">INDEX(RESULTADOS!$A:$BZ,MATCH($A23,RESULTADOS!$A:$A,0),MATCH(H$1,RESULTADOS!$1:$1,0))</f>
        <v>#N/A</v>
      </c>
      <c r="I23" s="250" t="e">
        <f ca="1">INDEX(RESULTADOS!$A:$BZ,MATCH($A23,RESULTADOS!$A:$A,0),MATCH(I$1,RESULTADOS!$1:$1,0))</f>
        <v>#N/A</v>
      </c>
      <c r="J23" s="250" t="e">
        <f ca="1">INDEX(RESULTADOS!$A:$BZ,MATCH($A23,RESULTADOS!$A:$A,0),MATCH(J$1,RESULTADOS!$1:$1,0))</f>
        <v>#N/A</v>
      </c>
      <c r="K23" s="210">
        <f ca="1">SUMPRODUCT((TABELA_VAZAO[Posto]=K$2)*1,(TABELA_VAZAO[Data]=$A23)*1,TABELA_VAZAO[qnat])</f>
        <v>0</v>
      </c>
      <c r="L23" s="250">
        <f ca="1">SUMPRODUCT((TABELA_VAZAO[Posto]=L$2)*1,(TABELA_VAZAO[Data]=$A23)*1,TABELA_VAZAO[qinc])</f>
        <v>0</v>
      </c>
      <c r="M23" s="210" t="e">
        <f ca="1">INDEX(RESULTADOS!$A:$BZ,MATCH($A23,RESULTADOS!$A:$A,0),MATCH(M$1,RESULTADOS!$1:$1,0))</f>
        <v>#N/A</v>
      </c>
      <c r="N23" s="210">
        <f ca="1">SUMPRODUCT((TABELA_VAZAO[Posto]=N$2)*1,(TABELA_VAZAO[Data]=$A23)*1,TABELA_VAZAO[qnat])</f>
        <v>0</v>
      </c>
      <c r="O23" s="210">
        <f ca="1">SUMPRODUCT((TABELA_VAZAO[Posto]=O$2)*1,(TABELA_VAZAO[Data]=$A23)*1,TABELA_VAZAO[qnat])</f>
        <v>0</v>
      </c>
      <c r="P23" s="210">
        <f ca="1">SUMPRODUCT((TABELA_VAZAO[Posto]=P$2)*1,(TABELA_VAZAO[Data]=$A23)*1,TABELA_VAZAO[qnat])</f>
        <v>0</v>
      </c>
      <c r="Q23" s="210">
        <f ca="1">SUMPRODUCT((TABELA_VAZAO[Posto]=Q$2)*1,(TABELA_VAZAO[Data]=$A23)*1,TABELA_VAZAO[qnat])</f>
        <v>0</v>
      </c>
      <c r="R23" s="210">
        <f ca="1">SUMPRODUCT((TABELA_VAZAO[Posto]=R$2)*1,(TABELA_VAZAO[Data]=$A23)*1,TABELA_VAZAO[qnat])</f>
        <v>0</v>
      </c>
      <c r="S23" s="210">
        <f ca="1">SUMPRODUCT((TABELA_VAZAO[Posto]=S$2)*1,(TABELA_VAZAO[Data]=$A23)*1,TABELA_VAZAO[qnat])</f>
        <v>0</v>
      </c>
      <c r="T23" s="230" t="e">
        <f ca="1">INDEX(RESULTADOS!$A:$BZ,MATCH($A23,RESULTADOS!$A:$A,0),MATCH(T$1,RESULTADOS!$1:$1,0))</f>
        <v>#N/A</v>
      </c>
      <c r="U23" s="210">
        <f ca="1">SUMPRODUCT((TABELA_VAZAO[Posto]=U$2)*1,(TABELA_VAZAO[Data]=$A23)*1,TABELA_VAZAO[qnat])</f>
        <v>0</v>
      </c>
      <c r="V23" s="210">
        <f ca="1">SUMPRODUCT((TABELA_VAZAO[Posto]=V$2)*1,(TABELA_VAZAO[Data]=$A23)*1,TABELA_VAZAO[qnat])</f>
        <v>0</v>
      </c>
      <c r="W23" s="239" t="e">
        <f ca="1">INDEX(RESULTADOS!$A:$BZ,MATCH($A23,RESULTADOS!$A:$A,0),MATCH(W$1,RESULTADOS!$1:$1,0))</f>
        <v>#N/A</v>
      </c>
      <c r="Y23" s="239" t="e">
        <f ca="1">INDEX(RESULTADOS!$A:$BZ,MATCH($A23,RESULTADOS!$A:$A,0),MATCH(Y$1,RESULTADOS!$1:$1,0))</f>
        <v>#N/A</v>
      </c>
      <c r="AC23" s="239" t="e">
        <f ca="1">INDEX(RESULTADOS!$A:$BZ,MATCH($A23,RESULTADOS!$A:$A,0),MATCH(AC$1,RESULTADOS!$1:$1,0))</f>
        <v>#N/A</v>
      </c>
      <c r="AE23" s="239" t="e">
        <f ca="1">INDEX(RESULTADOS!$A:$BZ,MATCH($A23,RESULTADOS!$A:$A,0),MATCH(AE$1,RESULTADOS!$1:$1,0))</f>
        <v>#N/A</v>
      </c>
      <c r="AF23" s="239" t="e">
        <f ca="1">INDEX(RESULTADOS!$A:$BZ,MATCH($A23,RESULTADOS!$A:$A,0),MATCH(AF$1,RESULTADOS!$1:$1,0))</f>
        <v>#N/A</v>
      </c>
      <c r="AJ23" s="239" t="e">
        <f ca="1">INDEX(RESULTADOS!$A:$BZ,MATCH($A23,RESULTADOS!$A:$A,0),MATCH(AJ$1,RESULTADOS!$1:$1,0))</f>
        <v>#N/A</v>
      </c>
      <c r="AK23" s="239" t="e">
        <f ca="1">INDEX(RESULTADOS!$A:$BZ,MATCH($A23,RESULTADOS!$A:$A,0),MATCH(AK$1,RESULTADOS!$1:$1,0))</f>
        <v>#N/A</v>
      </c>
    </row>
    <row r="24" spans="1:37" x14ac:dyDescent="0.2">
      <c r="A24" s="49">
        <f t="shared" ca="1" si="1"/>
        <v>43823</v>
      </c>
      <c r="B24" s="51"/>
      <c r="C24" s="51" t="e">
        <f ca="1">INDEX(RESULTADOS!$A:$BZ,MATCH($A24,RESULTADOS!$A:$A,0),MATCH(C$1,RESULTADOS!$1:$1,0))</f>
        <v>#N/A</v>
      </c>
      <c r="D24" s="110" t="e">
        <f ca="1">INDEX(RESULTADOS!$A:$BZ,MATCH($A24,RESULTADOS!$A:$A,0),MATCH(D$1,RESULTADOS!$1:$1,0))</f>
        <v>#N/A</v>
      </c>
      <c r="E24" s="210" t="e">
        <f ca="1">INDEX(RESULTADOS!$A:$BZ,MATCH($A24,RESULTADOS!$A:$A,0),MATCH(E$1,RESULTADOS!$1:$1,0))</f>
        <v>#N/A</v>
      </c>
      <c r="F24" s="250" t="e">
        <f ca="1">INDEX(RESULTADOS!$A:$BZ,MATCH($A24,RESULTADOS!$A:$A,0),MATCH(F$1,RESULTADOS!$1:$1,0))</f>
        <v>#N/A</v>
      </c>
      <c r="G24" s="250" t="e">
        <f ca="1">INDEX(RESULTADOS!$A:$BZ,MATCH($A24,RESULTADOS!$A:$A,0),MATCH(G$1,RESULTADOS!$1:$1,0))</f>
        <v>#N/A</v>
      </c>
      <c r="H24" s="250" t="e">
        <f ca="1">INDEX(RESULTADOS!$A:$BZ,MATCH($A24,RESULTADOS!$A:$A,0),MATCH(H$1,RESULTADOS!$1:$1,0))</f>
        <v>#N/A</v>
      </c>
      <c r="I24" s="250" t="e">
        <f ca="1">INDEX(RESULTADOS!$A:$BZ,MATCH($A24,RESULTADOS!$A:$A,0),MATCH(I$1,RESULTADOS!$1:$1,0))</f>
        <v>#N/A</v>
      </c>
      <c r="J24" s="250" t="e">
        <f ca="1">INDEX(RESULTADOS!$A:$BZ,MATCH($A24,RESULTADOS!$A:$A,0),MATCH(J$1,RESULTADOS!$1:$1,0))</f>
        <v>#N/A</v>
      </c>
      <c r="K24" s="210">
        <f ca="1">SUMPRODUCT((TABELA_VAZAO[Posto]=K$2)*1,(TABELA_VAZAO[Data]=$A24)*1,TABELA_VAZAO[qnat])</f>
        <v>0</v>
      </c>
      <c r="L24" s="250">
        <f ca="1">SUMPRODUCT((TABELA_VAZAO[Posto]=L$2)*1,(TABELA_VAZAO[Data]=$A24)*1,TABELA_VAZAO[qinc])</f>
        <v>0</v>
      </c>
      <c r="M24" s="210" t="e">
        <f ca="1">INDEX(RESULTADOS!$A:$BZ,MATCH($A24,RESULTADOS!$A:$A,0),MATCH(M$1,RESULTADOS!$1:$1,0))</f>
        <v>#N/A</v>
      </c>
      <c r="N24" s="210">
        <f ca="1">SUMPRODUCT((TABELA_VAZAO[Posto]=N$2)*1,(TABELA_VAZAO[Data]=$A24)*1,TABELA_VAZAO[qnat])</f>
        <v>0</v>
      </c>
      <c r="O24" s="210">
        <f ca="1">SUMPRODUCT((TABELA_VAZAO[Posto]=O$2)*1,(TABELA_VAZAO[Data]=$A24)*1,TABELA_VAZAO[qnat])</f>
        <v>0</v>
      </c>
      <c r="P24" s="210">
        <f ca="1">SUMPRODUCT((TABELA_VAZAO[Posto]=P$2)*1,(TABELA_VAZAO[Data]=$A24)*1,TABELA_VAZAO[qnat])</f>
        <v>0</v>
      </c>
      <c r="Q24" s="210">
        <f ca="1">SUMPRODUCT((TABELA_VAZAO[Posto]=Q$2)*1,(TABELA_VAZAO[Data]=$A24)*1,TABELA_VAZAO[qnat])</f>
        <v>0</v>
      </c>
      <c r="R24" s="210">
        <f ca="1">SUMPRODUCT((TABELA_VAZAO[Posto]=R$2)*1,(TABELA_VAZAO[Data]=$A24)*1,TABELA_VAZAO[qnat])</f>
        <v>0</v>
      </c>
      <c r="S24" s="210">
        <f ca="1">SUMPRODUCT((TABELA_VAZAO[Posto]=S$2)*1,(TABELA_VAZAO[Data]=$A24)*1,TABELA_VAZAO[qnat])</f>
        <v>0</v>
      </c>
      <c r="T24" s="230" t="e">
        <f ca="1">INDEX(RESULTADOS!$A:$BZ,MATCH($A24,RESULTADOS!$A:$A,0),MATCH(T$1,RESULTADOS!$1:$1,0))</f>
        <v>#N/A</v>
      </c>
      <c r="U24" s="210">
        <f ca="1">SUMPRODUCT((TABELA_VAZAO[Posto]=U$2)*1,(TABELA_VAZAO[Data]=$A24)*1,TABELA_VAZAO[qnat])</f>
        <v>0</v>
      </c>
      <c r="V24" s="210">
        <f ca="1">SUMPRODUCT((TABELA_VAZAO[Posto]=V$2)*1,(TABELA_VAZAO[Data]=$A24)*1,TABELA_VAZAO[qnat])</f>
        <v>0</v>
      </c>
      <c r="W24" s="239" t="e">
        <f ca="1">INDEX(RESULTADOS!$A:$BZ,MATCH($A24,RESULTADOS!$A:$A,0),MATCH(W$1,RESULTADOS!$1:$1,0))</f>
        <v>#N/A</v>
      </c>
      <c r="Y24" s="239" t="e">
        <f ca="1">INDEX(RESULTADOS!$A:$BZ,MATCH($A24,RESULTADOS!$A:$A,0),MATCH(Y$1,RESULTADOS!$1:$1,0))</f>
        <v>#N/A</v>
      </c>
      <c r="AC24" s="239" t="e">
        <f ca="1">INDEX(RESULTADOS!$A:$BZ,MATCH($A24,RESULTADOS!$A:$A,0),MATCH(AC$1,RESULTADOS!$1:$1,0))</f>
        <v>#N/A</v>
      </c>
      <c r="AE24" s="239" t="e">
        <f ca="1">INDEX(RESULTADOS!$A:$BZ,MATCH($A24,RESULTADOS!$A:$A,0),MATCH(AE$1,RESULTADOS!$1:$1,0))</f>
        <v>#N/A</v>
      </c>
      <c r="AF24" s="239" t="e">
        <f ca="1">INDEX(RESULTADOS!$A:$BZ,MATCH($A24,RESULTADOS!$A:$A,0),MATCH(AF$1,RESULTADOS!$1:$1,0))</f>
        <v>#N/A</v>
      </c>
      <c r="AJ24" s="239" t="e">
        <f ca="1">INDEX(RESULTADOS!$A:$BZ,MATCH($A24,RESULTADOS!$A:$A,0),MATCH(AJ$1,RESULTADOS!$1:$1,0))</f>
        <v>#N/A</v>
      </c>
      <c r="AK24" s="239" t="e">
        <f ca="1">INDEX(RESULTADOS!$A:$BZ,MATCH($A24,RESULTADOS!$A:$A,0),MATCH(AK$1,RESULTADOS!$1:$1,0))</f>
        <v>#N/A</v>
      </c>
    </row>
    <row r="25" spans="1:37" x14ac:dyDescent="0.2">
      <c r="A25" s="49">
        <f t="shared" ca="1" si="1"/>
        <v>43824</v>
      </c>
      <c r="B25" s="51"/>
      <c r="C25" s="51" t="e">
        <f ca="1">INDEX(RESULTADOS!$A:$BZ,MATCH($A25,RESULTADOS!$A:$A,0),MATCH(C$1,RESULTADOS!$1:$1,0))</f>
        <v>#N/A</v>
      </c>
      <c r="D25" s="110" t="e">
        <f ca="1">INDEX(RESULTADOS!$A:$BZ,MATCH($A25,RESULTADOS!$A:$A,0),MATCH(D$1,RESULTADOS!$1:$1,0))</f>
        <v>#N/A</v>
      </c>
      <c r="E25" s="210" t="e">
        <f ca="1">INDEX(RESULTADOS!$A:$BZ,MATCH($A25,RESULTADOS!$A:$A,0),MATCH(E$1,RESULTADOS!$1:$1,0))</f>
        <v>#N/A</v>
      </c>
      <c r="F25" s="250" t="e">
        <f ca="1">INDEX(RESULTADOS!$A:$BZ,MATCH($A25,RESULTADOS!$A:$A,0),MATCH(F$1,RESULTADOS!$1:$1,0))</f>
        <v>#N/A</v>
      </c>
      <c r="G25" s="250" t="e">
        <f ca="1">INDEX(RESULTADOS!$A:$BZ,MATCH($A25,RESULTADOS!$A:$A,0),MATCH(G$1,RESULTADOS!$1:$1,0))</f>
        <v>#N/A</v>
      </c>
      <c r="H25" s="250" t="e">
        <f ca="1">INDEX(RESULTADOS!$A:$BZ,MATCH($A25,RESULTADOS!$A:$A,0),MATCH(H$1,RESULTADOS!$1:$1,0))</f>
        <v>#N/A</v>
      </c>
      <c r="I25" s="250" t="e">
        <f ca="1">INDEX(RESULTADOS!$A:$BZ,MATCH($A25,RESULTADOS!$A:$A,0),MATCH(I$1,RESULTADOS!$1:$1,0))</f>
        <v>#N/A</v>
      </c>
      <c r="J25" s="250" t="e">
        <f ca="1">INDEX(RESULTADOS!$A:$BZ,MATCH($A25,RESULTADOS!$A:$A,0),MATCH(J$1,RESULTADOS!$1:$1,0))</f>
        <v>#N/A</v>
      </c>
      <c r="K25" s="210">
        <f ca="1">SUMPRODUCT((TABELA_VAZAO[Posto]=K$2)*1,(TABELA_VAZAO[Data]=$A25)*1,TABELA_VAZAO[qnat])</f>
        <v>0</v>
      </c>
      <c r="L25" s="250">
        <f ca="1">SUMPRODUCT((TABELA_VAZAO[Posto]=L$2)*1,(TABELA_VAZAO[Data]=$A25)*1,TABELA_VAZAO[qinc])</f>
        <v>0</v>
      </c>
      <c r="M25" s="210" t="e">
        <f ca="1">INDEX(RESULTADOS!$A:$BZ,MATCH($A25,RESULTADOS!$A:$A,0),MATCH(M$1,RESULTADOS!$1:$1,0))</f>
        <v>#N/A</v>
      </c>
      <c r="N25" s="210">
        <f ca="1">SUMPRODUCT((TABELA_VAZAO[Posto]=N$2)*1,(TABELA_VAZAO[Data]=$A25)*1,TABELA_VAZAO[qnat])</f>
        <v>0</v>
      </c>
      <c r="O25" s="210">
        <f ca="1">SUMPRODUCT((TABELA_VAZAO[Posto]=O$2)*1,(TABELA_VAZAO[Data]=$A25)*1,TABELA_VAZAO[qnat])</f>
        <v>0</v>
      </c>
      <c r="P25" s="210">
        <f ca="1">SUMPRODUCT((TABELA_VAZAO[Posto]=P$2)*1,(TABELA_VAZAO[Data]=$A25)*1,TABELA_VAZAO[qnat])</f>
        <v>0</v>
      </c>
      <c r="Q25" s="210">
        <f ca="1">SUMPRODUCT((TABELA_VAZAO[Posto]=Q$2)*1,(TABELA_VAZAO[Data]=$A25)*1,TABELA_VAZAO[qnat])</f>
        <v>0</v>
      </c>
      <c r="R25" s="210">
        <f ca="1">SUMPRODUCT((TABELA_VAZAO[Posto]=R$2)*1,(TABELA_VAZAO[Data]=$A25)*1,TABELA_VAZAO[qnat])</f>
        <v>0</v>
      </c>
      <c r="S25" s="210">
        <f ca="1">SUMPRODUCT((TABELA_VAZAO[Posto]=S$2)*1,(TABELA_VAZAO[Data]=$A25)*1,TABELA_VAZAO[qnat])</f>
        <v>0</v>
      </c>
      <c r="T25" s="230" t="e">
        <f ca="1">INDEX(RESULTADOS!$A:$BZ,MATCH($A25,RESULTADOS!$A:$A,0),MATCH(T$1,RESULTADOS!$1:$1,0))</f>
        <v>#N/A</v>
      </c>
      <c r="U25" s="210">
        <f ca="1">SUMPRODUCT((TABELA_VAZAO[Posto]=U$2)*1,(TABELA_VAZAO[Data]=$A25)*1,TABELA_VAZAO[qnat])</f>
        <v>0</v>
      </c>
      <c r="V25" s="210">
        <f ca="1">SUMPRODUCT((TABELA_VAZAO[Posto]=V$2)*1,(TABELA_VAZAO[Data]=$A25)*1,TABELA_VAZAO[qnat])</f>
        <v>0</v>
      </c>
      <c r="W25" s="239" t="e">
        <f ca="1">INDEX(RESULTADOS!$A:$BZ,MATCH($A25,RESULTADOS!$A:$A,0),MATCH(W$1,RESULTADOS!$1:$1,0))</f>
        <v>#N/A</v>
      </c>
      <c r="Y25" s="239" t="e">
        <f ca="1">INDEX(RESULTADOS!$A:$BZ,MATCH($A25,RESULTADOS!$A:$A,0),MATCH(Y$1,RESULTADOS!$1:$1,0))</f>
        <v>#N/A</v>
      </c>
      <c r="AC25" s="239" t="e">
        <f ca="1">INDEX(RESULTADOS!$A:$BZ,MATCH($A25,RESULTADOS!$A:$A,0),MATCH(AC$1,RESULTADOS!$1:$1,0))</f>
        <v>#N/A</v>
      </c>
      <c r="AE25" s="239" t="e">
        <f ca="1">INDEX(RESULTADOS!$A:$BZ,MATCH($A25,RESULTADOS!$A:$A,0),MATCH(AE$1,RESULTADOS!$1:$1,0))</f>
        <v>#N/A</v>
      </c>
      <c r="AF25" s="239" t="e">
        <f ca="1">INDEX(RESULTADOS!$A:$BZ,MATCH($A25,RESULTADOS!$A:$A,0),MATCH(AF$1,RESULTADOS!$1:$1,0))</f>
        <v>#N/A</v>
      </c>
      <c r="AJ25" s="239" t="e">
        <f ca="1">INDEX(RESULTADOS!$A:$BZ,MATCH($A25,RESULTADOS!$A:$A,0),MATCH(AJ$1,RESULTADOS!$1:$1,0))</f>
        <v>#N/A</v>
      </c>
      <c r="AK25" s="239" t="e">
        <f ca="1">INDEX(RESULTADOS!$A:$BZ,MATCH($A25,RESULTADOS!$A:$A,0),MATCH(AK$1,RESULTADOS!$1:$1,0))</f>
        <v>#N/A</v>
      </c>
    </row>
    <row r="26" spans="1:37" x14ac:dyDescent="0.2">
      <c r="A26" s="82">
        <f t="shared" ca="1" si="1"/>
        <v>43825</v>
      </c>
      <c r="B26" s="83"/>
      <c r="C26" s="83" t="e">
        <f ca="1">INDEX(RESULTADOS!$A:$BZ,MATCH($A26,RESULTADOS!$A:$A,0),MATCH(C$1,RESULTADOS!$1:$1,0))</f>
        <v>#N/A</v>
      </c>
      <c r="D26" s="84" t="e">
        <f ca="1">INDEX(RESULTADOS!$A:$BZ,MATCH($A26,RESULTADOS!$A:$A,0),MATCH(D$1,RESULTADOS!$1:$1,0))</f>
        <v>#N/A</v>
      </c>
      <c r="E26" s="210" t="e">
        <f ca="1">INDEX(RESULTADOS!$A:$BZ,MATCH($A26,RESULTADOS!$A:$A,0),MATCH(E$1,RESULTADOS!$1:$1,0))</f>
        <v>#N/A</v>
      </c>
      <c r="F26" s="250" t="e">
        <f ca="1">INDEX(RESULTADOS!$A:$BZ,MATCH($A26,RESULTADOS!$A:$A,0),MATCH(F$1,RESULTADOS!$1:$1,0))</f>
        <v>#N/A</v>
      </c>
      <c r="G26" s="250" t="e">
        <f ca="1">INDEX(RESULTADOS!$A:$BZ,MATCH($A26,RESULTADOS!$A:$A,0),MATCH(G$1,RESULTADOS!$1:$1,0))</f>
        <v>#N/A</v>
      </c>
      <c r="H26" s="250" t="e">
        <f ca="1">INDEX(RESULTADOS!$A:$BZ,MATCH($A26,RESULTADOS!$A:$A,0),MATCH(H$1,RESULTADOS!$1:$1,0))</f>
        <v>#N/A</v>
      </c>
      <c r="I26" s="250" t="e">
        <f ca="1">INDEX(RESULTADOS!$A:$BZ,MATCH($A26,RESULTADOS!$A:$A,0),MATCH(I$1,RESULTADOS!$1:$1,0))</f>
        <v>#N/A</v>
      </c>
      <c r="J26" s="250" t="e">
        <f ca="1">INDEX(RESULTADOS!$A:$BZ,MATCH($A26,RESULTADOS!$A:$A,0),MATCH(J$1,RESULTADOS!$1:$1,0))</f>
        <v>#N/A</v>
      </c>
      <c r="K26" s="210">
        <f ca="1">SUMPRODUCT((TABELA_VAZAO[Posto]=K$2)*1,(TABELA_VAZAO[Data]=$A26)*1,TABELA_VAZAO[qnat])</f>
        <v>0</v>
      </c>
      <c r="L26" s="250">
        <f ca="1">SUMPRODUCT((TABELA_VAZAO[Posto]=L$2)*1,(TABELA_VAZAO[Data]=$A26)*1,TABELA_VAZAO[qinc])</f>
        <v>0</v>
      </c>
      <c r="M26" s="210" t="e">
        <f ca="1">INDEX(RESULTADOS!$A:$BZ,MATCH($A26,RESULTADOS!$A:$A,0),MATCH(M$1,RESULTADOS!$1:$1,0))</f>
        <v>#N/A</v>
      </c>
      <c r="N26" s="210">
        <f ca="1">SUMPRODUCT((TABELA_VAZAO[Posto]=N$2)*1,(TABELA_VAZAO[Data]=$A26)*1,TABELA_VAZAO[qnat])</f>
        <v>0</v>
      </c>
      <c r="O26" s="210">
        <f ca="1">SUMPRODUCT((TABELA_VAZAO[Posto]=O$2)*1,(TABELA_VAZAO[Data]=$A26)*1,TABELA_VAZAO[qnat])</f>
        <v>0</v>
      </c>
      <c r="P26" s="210">
        <f ca="1">SUMPRODUCT((TABELA_VAZAO[Posto]=P$2)*1,(TABELA_VAZAO[Data]=$A26)*1,TABELA_VAZAO[qnat])</f>
        <v>0</v>
      </c>
      <c r="Q26" s="210">
        <f ca="1">SUMPRODUCT((TABELA_VAZAO[Posto]=Q$2)*1,(TABELA_VAZAO[Data]=$A26)*1,TABELA_VAZAO[qnat])</f>
        <v>0</v>
      </c>
      <c r="R26" s="210">
        <f ca="1">SUMPRODUCT((TABELA_VAZAO[Posto]=R$2)*1,(TABELA_VAZAO[Data]=$A26)*1,TABELA_VAZAO[qnat])</f>
        <v>0</v>
      </c>
      <c r="S26" s="210">
        <f ca="1">SUMPRODUCT((TABELA_VAZAO[Posto]=S$2)*1,(TABELA_VAZAO[Data]=$A26)*1,TABELA_VAZAO[qnat])</f>
        <v>0</v>
      </c>
      <c r="T26" s="230" t="e">
        <f ca="1">INDEX(RESULTADOS!$A:$BZ,MATCH($A26,RESULTADOS!$A:$A,0),MATCH(T$1,RESULTADOS!$1:$1,0))</f>
        <v>#N/A</v>
      </c>
      <c r="U26" s="210">
        <f ca="1">SUMPRODUCT((TABELA_VAZAO[Posto]=U$2)*1,(TABELA_VAZAO[Data]=$A26)*1,TABELA_VAZAO[qnat])</f>
        <v>0</v>
      </c>
      <c r="V26" s="210">
        <f ca="1">SUMPRODUCT((TABELA_VAZAO[Posto]=V$2)*1,(TABELA_VAZAO[Data]=$A26)*1,TABELA_VAZAO[qnat])</f>
        <v>0</v>
      </c>
      <c r="W26" s="239" t="e">
        <f ca="1">INDEX(RESULTADOS!$A:$BZ,MATCH($A26,RESULTADOS!$A:$A,0),MATCH(W$1,RESULTADOS!$1:$1,0))</f>
        <v>#N/A</v>
      </c>
      <c r="Y26" s="239" t="e">
        <f ca="1">INDEX(RESULTADOS!$A:$BZ,MATCH($A26,RESULTADOS!$A:$A,0),MATCH(Y$1,RESULTADOS!$1:$1,0))</f>
        <v>#N/A</v>
      </c>
      <c r="AC26" s="239" t="e">
        <f ca="1">INDEX(RESULTADOS!$A:$BZ,MATCH($A26,RESULTADOS!$A:$A,0),MATCH(AC$1,RESULTADOS!$1:$1,0))</f>
        <v>#N/A</v>
      </c>
      <c r="AE26" s="239" t="e">
        <f ca="1">INDEX(RESULTADOS!$A:$BZ,MATCH($A26,RESULTADOS!$A:$A,0),MATCH(AE$1,RESULTADOS!$1:$1,0))</f>
        <v>#N/A</v>
      </c>
      <c r="AF26" s="239" t="e">
        <f ca="1">INDEX(RESULTADOS!$A:$BZ,MATCH($A26,RESULTADOS!$A:$A,0),MATCH(AF$1,RESULTADOS!$1:$1,0))</f>
        <v>#N/A</v>
      </c>
      <c r="AJ26" s="239" t="e">
        <f ca="1">INDEX(RESULTADOS!$A:$BZ,MATCH($A26,RESULTADOS!$A:$A,0),MATCH(AJ$1,RESULTADOS!$1:$1,0))</f>
        <v>#N/A</v>
      </c>
      <c r="AK26" s="239" t="e">
        <f ca="1">INDEX(RESULTADOS!$A:$BZ,MATCH($A26,RESULTADOS!$A:$A,0),MATCH(AK$1,RESULTADOS!$1:$1,0))</f>
        <v>#N/A</v>
      </c>
    </row>
    <row r="27" spans="1:37" x14ac:dyDescent="0.2">
      <c r="A27" s="49">
        <f t="shared" ca="1" si="1"/>
        <v>43826</v>
      </c>
      <c r="B27" s="51"/>
      <c r="C27" s="51" t="e">
        <f ca="1">INDEX(RESULTADOS!$A:$BZ,MATCH($A27,RESULTADOS!$A:$A,0),MATCH(C$1,RESULTADOS!$1:$1,0))</f>
        <v>#N/A</v>
      </c>
      <c r="D27" s="110" t="e">
        <f ca="1">INDEX(RESULTADOS!$A:$BZ,MATCH($A27,RESULTADOS!$A:$A,0),MATCH(D$1,RESULTADOS!$1:$1,0))</f>
        <v>#N/A</v>
      </c>
      <c r="E27" s="210" t="e">
        <f ca="1">INDEX(RESULTADOS!$A:$BZ,MATCH($A27,RESULTADOS!$A:$A,0),MATCH(E$1,RESULTADOS!$1:$1,0))</f>
        <v>#N/A</v>
      </c>
      <c r="F27" s="250" t="e">
        <f ca="1">INDEX(RESULTADOS!$A:$BZ,MATCH($A27,RESULTADOS!$A:$A,0),MATCH(F$1,RESULTADOS!$1:$1,0))</f>
        <v>#N/A</v>
      </c>
      <c r="G27" s="250" t="e">
        <f ca="1">INDEX(RESULTADOS!$A:$BZ,MATCH($A27,RESULTADOS!$A:$A,0),MATCH(G$1,RESULTADOS!$1:$1,0))</f>
        <v>#N/A</v>
      </c>
      <c r="H27" s="250" t="e">
        <f ca="1">INDEX(RESULTADOS!$A:$BZ,MATCH($A27,RESULTADOS!$A:$A,0),MATCH(H$1,RESULTADOS!$1:$1,0))</f>
        <v>#N/A</v>
      </c>
      <c r="I27" s="250" t="e">
        <f ca="1">INDEX(RESULTADOS!$A:$BZ,MATCH($A27,RESULTADOS!$A:$A,0),MATCH(I$1,RESULTADOS!$1:$1,0))</f>
        <v>#N/A</v>
      </c>
      <c r="J27" s="250" t="e">
        <f ca="1">INDEX(RESULTADOS!$A:$BZ,MATCH($A27,RESULTADOS!$A:$A,0),MATCH(J$1,RESULTADOS!$1:$1,0))</f>
        <v>#N/A</v>
      </c>
      <c r="K27" s="210">
        <f ca="1">SUMPRODUCT((TABELA_VAZAO[Posto]=K$2)*1,(TABELA_VAZAO[Data]=$A27)*1,TABELA_VAZAO[qnat])</f>
        <v>0</v>
      </c>
      <c r="L27" s="250">
        <f ca="1">SUMPRODUCT((TABELA_VAZAO[Posto]=L$2)*1,(TABELA_VAZAO[Data]=$A27)*1,TABELA_VAZAO[qinc])</f>
        <v>0</v>
      </c>
      <c r="M27" s="210" t="e">
        <f ca="1">INDEX(RESULTADOS!$A:$BZ,MATCH($A27,RESULTADOS!$A:$A,0),MATCH(M$1,RESULTADOS!$1:$1,0))</f>
        <v>#N/A</v>
      </c>
      <c r="N27" s="210">
        <f ca="1">SUMPRODUCT((TABELA_VAZAO[Posto]=N$2)*1,(TABELA_VAZAO[Data]=$A27)*1,TABELA_VAZAO[qnat])</f>
        <v>0</v>
      </c>
      <c r="O27" s="210">
        <f ca="1">SUMPRODUCT((TABELA_VAZAO[Posto]=O$2)*1,(TABELA_VAZAO[Data]=$A27)*1,TABELA_VAZAO[qnat])</f>
        <v>0</v>
      </c>
      <c r="P27" s="210">
        <f ca="1">SUMPRODUCT((TABELA_VAZAO[Posto]=P$2)*1,(TABELA_VAZAO[Data]=$A27)*1,TABELA_VAZAO[qnat])</f>
        <v>0</v>
      </c>
      <c r="Q27" s="210">
        <f ca="1">SUMPRODUCT((TABELA_VAZAO[Posto]=Q$2)*1,(TABELA_VAZAO[Data]=$A27)*1,TABELA_VAZAO[qnat])</f>
        <v>0</v>
      </c>
      <c r="R27" s="210">
        <f ca="1">SUMPRODUCT((TABELA_VAZAO[Posto]=R$2)*1,(TABELA_VAZAO[Data]=$A27)*1,TABELA_VAZAO[qnat])</f>
        <v>0</v>
      </c>
      <c r="S27" s="210">
        <f ca="1">SUMPRODUCT((TABELA_VAZAO[Posto]=S$2)*1,(TABELA_VAZAO[Data]=$A27)*1,TABELA_VAZAO[qnat])</f>
        <v>0</v>
      </c>
      <c r="T27" s="230" t="e">
        <f ca="1">INDEX(RESULTADOS!$A:$BZ,MATCH($A27,RESULTADOS!$A:$A,0),MATCH(T$1,RESULTADOS!$1:$1,0))</f>
        <v>#N/A</v>
      </c>
      <c r="U27" s="210">
        <f ca="1">SUMPRODUCT((TABELA_VAZAO[Posto]=U$2)*1,(TABELA_VAZAO[Data]=$A27)*1,TABELA_VAZAO[qnat])</f>
        <v>0</v>
      </c>
      <c r="V27" s="210">
        <f ca="1">SUMPRODUCT((TABELA_VAZAO[Posto]=V$2)*1,(TABELA_VAZAO[Data]=$A27)*1,TABELA_VAZAO[qnat])</f>
        <v>0</v>
      </c>
      <c r="W27" s="239" t="e">
        <f ca="1">INDEX(RESULTADOS!$A:$BZ,MATCH($A27,RESULTADOS!$A:$A,0),MATCH(W$1,RESULTADOS!$1:$1,0))</f>
        <v>#N/A</v>
      </c>
      <c r="Y27" s="239" t="e">
        <f ca="1">INDEX(RESULTADOS!$A:$BZ,MATCH($A27,RESULTADOS!$A:$A,0),MATCH(Y$1,RESULTADOS!$1:$1,0))</f>
        <v>#N/A</v>
      </c>
      <c r="AC27" s="239" t="e">
        <f ca="1">INDEX(RESULTADOS!$A:$BZ,MATCH($A27,RESULTADOS!$A:$A,0),MATCH(AC$1,RESULTADOS!$1:$1,0))</f>
        <v>#N/A</v>
      </c>
      <c r="AE27" s="239" t="e">
        <f ca="1">INDEX(RESULTADOS!$A:$BZ,MATCH($A27,RESULTADOS!$A:$A,0),MATCH(AE$1,RESULTADOS!$1:$1,0))</f>
        <v>#N/A</v>
      </c>
      <c r="AF27" s="239" t="e">
        <f ca="1">INDEX(RESULTADOS!$A:$BZ,MATCH($A27,RESULTADOS!$A:$A,0),MATCH(AF$1,RESULTADOS!$1:$1,0))</f>
        <v>#N/A</v>
      </c>
      <c r="AJ27" s="239" t="e">
        <f ca="1">INDEX(RESULTADOS!$A:$BZ,MATCH($A27,RESULTADOS!$A:$A,0),MATCH(AJ$1,RESULTADOS!$1:$1,0))</f>
        <v>#N/A</v>
      </c>
      <c r="AK27" s="239" t="e">
        <f ca="1">INDEX(RESULTADOS!$A:$BZ,MATCH($A27,RESULTADOS!$A:$A,0),MATCH(AK$1,RESULTADOS!$1:$1,0))</f>
        <v>#N/A</v>
      </c>
    </row>
    <row r="28" spans="1:37" x14ac:dyDescent="0.2">
      <c r="A28" s="49">
        <f t="shared" ca="1" si="1"/>
        <v>43827</v>
      </c>
      <c r="B28" s="51"/>
      <c r="C28" s="51" t="e">
        <f ca="1">INDEX(RESULTADOS!$A:$BZ,MATCH($A28,RESULTADOS!$A:$A,0),MATCH(C$1,RESULTADOS!$1:$1,0))</f>
        <v>#N/A</v>
      </c>
      <c r="D28" s="110" t="e">
        <f ca="1">INDEX(RESULTADOS!$A:$BZ,MATCH($A28,RESULTADOS!$A:$A,0),MATCH(D$1,RESULTADOS!$1:$1,0))</f>
        <v>#N/A</v>
      </c>
      <c r="E28" s="210" t="e">
        <f ca="1">INDEX(RESULTADOS!$A:$BZ,MATCH($A28,RESULTADOS!$A:$A,0),MATCH(E$1,RESULTADOS!$1:$1,0))</f>
        <v>#N/A</v>
      </c>
      <c r="F28" s="250" t="e">
        <f ca="1">INDEX(RESULTADOS!$A:$BZ,MATCH($A28,RESULTADOS!$A:$A,0),MATCH(F$1,RESULTADOS!$1:$1,0))</f>
        <v>#N/A</v>
      </c>
      <c r="G28" s="250" t="e">
        <f ca="1">INDEX(RESULTADOS!$A:$BZ,MATCH($A28,RESULTADOS!$A:$A,0),MATCH(G$1,RESULTADOS!$1:$1,0))</f>
        <v>#N/A</v>
      </c>
      <c r="H28" s="250" t="e">
        <f ca="1">INDEX(RESULTADOS!$A:$BZ,MATCH($A28,RESULTADOS!$A:$A,0),MATCH(H$1,RESULTADOS!$1:$1,0))</f>
        <v>#N/A</v>
      </c>
      <c r="I28" s="250" t="e">
        <f ca="1">INDEX(RESULTADOS!$A:$BZ,MATCH($A28,RESULTADOS!$A:$A,0),MATCH(I$1,RESULTADOS!$1:$1,0))</f>
        <v>#N/A</v>
      </c>
      <c r="J28" s="250" t="e">
        <f ca="1">INDEX(RESULTADOS!$A:$BZ,MATCH($A28,RESULTADOS!$A:$A,0),MATCH(J$1,RESULTADOS!$1:$1,0))</f>
        <v>#N/A</v>
      </c>
      <c r="K28" s="210">
        <f ca="1">SUMPRODUCT((TABELA_VAZAO[Posto]=K$2)*1,(TABELA_VAZAO[Data]=$A28)*1,TABELA_VAZAO[qnat])</f>
        <v>38</v>
      </c>
      <c r="L28" s="250">
        <f ca="1">SUMPRODUCT((TABELA_VAZAO[Posto]=L$2)*1,(TABELA_VAZAO[Data]=$A28)*1,TABELA_VAZAO[qinc])</f>
        <v>4</v>
      </c>
      <c r="M28" s="210" t="e">
        <f ca="1">INDEX(RESULTADOS!$A:$BZ,MATCH($A28,RESULTADOS!$A:$A,0),MATCH(M$1,RESULTADOS!$1:$1,0))</f>
        <v>#N/A</v>
      </c>
      <c r="N28" s="210">
        <f ca="1">SUMPRODUCT((TABELA_VAZAO[Posto]=N$2)*1,(TABELA_VAZAO[Data]=$A28)*1,TABELA_VAZAO[qnat])</f>
        <v>75</v>
      </c>
      <c r="O28" s="210">
        <f ca="1">SUMPRODUCT((TABELA_VAZAO[Posto]=O$2)*1,(TABELA_VAZAO[Data]=$A28)*1,TABELA_VAZAO[qnat])</f>
        <v>196</v>
      </c>
      <c r="P28" s="210">
        <f ca="1">SUMPRODUCT((TABELA_VAZAO[Posto]=P$2)*1,(TABELA_VAZAO[Data]=$A28)*1,TABELA_VAZAO[qnat])</f>
        <v>271</v>
      </c>
      <c r="Q28" s="210">
        <f ca="1">SUMPRODUCT((TABELA_VAZAO[Posto]=Q$2)*1,(TABELA_VAZAO[Data]=$A28)*1,TABELA_VAZAO[qnat])</f>
        <v>12</v>
      </c>
      <c r="R28" s="210">
        <f ca="1">SUMPRODUCT((TABELA_VAZAO[Posto]=R$2)*1,(TABELA_VAZAO[Data]=$A28)*1,TABELA_VAZAO[qnat])</f>
        <v>21</v>
      </c>
      <c r="S28" s="210">
        <f ca="1">SUMPRODUCT((TABELA_VAZAO[Posto]=S$2)*1,(TABELA_VAZAO[Data]=$A28)*1,TABELA_VAZAO[qnat])</f>
        <v>364</v>
      </c>
      <c r="T28" s="230" t="e">
        <f ca="1">INDEX(RESULTADOS!$A:$BZ,MATCH($A28,RESULTADOS!$A:$A,0),MATCH(T$1,RESULTADOS!$1:$1,0))</f>
        <v>#N/A</v>
      </c>
      <c r="U28" s="210">
        <f ca="1">SUMPRODUCT((TABELA_VAZAO[Posto]=U$2)*1,(TABELA_VAZAO[Data]=$A28)*1,TABELA_VAZAO[qnat])</f>
        <v>96</v>
      </c>
      <c r="V28" s="210">
        <f ca="1">SUMPRODUCT((TABELA_VAZAO[Posto]=V$2)*1,(TABELA_VAZAO[Data]=$A28)*1,TABELA_VAZAO[qnat])</f>
        <v>100</v>
      </c>
      <c r="W28" s="239" t="e">
        <f ca="1">INDEX(RESULTADOS!$A:$BZ,MATCH($A28,RESULTADOS!$A:$A,0),MATCH(W$1,RESULTADOS!$1:$1,0))</f>
        <v>#N/A</v>
      </c>
      <c r="Y28" s="239" t="e">
        <f ca="1">INDEX(RESULTADOS!$A:$BZ,MATCH($A28,RESULTADOS!$A:$A,0),MATCH(Y$1,RESULTADOS!$1:$1,0))</f>
        <v>#N/A</v>
      </c>
      <c r="AC28" s="239" t="e">
        <f ca="1">INDEX(RESULTADOS!$A:$BZ,MATCH($A28,RESULTADOS!$A:$A,0),MATCH(AC$1,RESULTADOS!$1:$1,0))</f>
        <v>#N/A</v>
      </c>
      <c r="AE28" s="239" t="e">
        <f ca="1">INDEX(RESULTADOS!$A:$BZ,MATCH($A28,RESULTADOS!$A:$A,0),MATCH(AE$1,RESULTADOS!$1:$1,0))</f>
        <v>#N/A</v>
      </c>
      <c r="AF28" s="239" t="e">
        <f ca="1">INDEX(RESULTADOS!$A:$BZ,MATCH($A28,RESULTADOS!$A:$A,0),MATCH(AF$1,RESULTADOS!$1:$1,0))</f>
        <v>#N/A</v>
      </c>
      <c r="AJ28" s="239" t="e">
        <f ca="1">INDEX(RESULTADOS!$A:$BZ,MATCH($A28,RESULTADOS!$A:$A,0),MATCH(AJ$1,RESULTADOS!$1:$1,0))</f>
        <v>#N/A</v>
      </c>
      <c r="AK28" s="239" t="e">
        <f ca="1">INDEX(RESULTADOS!$A:$BZ,MATCH($A28,RESULTADOS!$A:$A,0),MATCH(AK$1,RESULTADOS!$1:$1,0))</f>
        <v>#N/A</v>
      </c>
    </row>
    <row r="29" spans="1:37" x14ac:dyDescent="0.2">
      <c r="A29" s="49">
        <f t="shared" ca="1" si="1"/>
        <v>43828</v>
      </c>
      <c r="B29" s="51"/>
      <c r="C29" s="51" t="e">
        <f ca="1">INDEX(RESULTADOS!$A:$BZ,MATCH($A29,RESULTADOS!$A:$A,0),MATCH(C$1,RESULTADOS!$1:$1,0))</f>
        <v>#N/A</v>
      </c>
      <c r="D29" s="110" t="e">
        <f ca="1">INDEX(RESULTADOS!$A:$BZ,MATCH($A29,RESULTADOS!$A:$A,0),MATCH(D$1,RESULTADOS!$1:$1,0))</f>
        <v>#N/A</v>
      </c>
      <c r="E29" s="210" t="e">
        <f ca="1">INDEX(RESULTADOS!$A:$BZ,MATCH($A29,RESULTADOS!$A:$A,0),MATCH(E$1,RESULTADOS!$1:$1,0))</f>
        <v>#N/A</v>
      </c>
      <c r="F29" s="250" t="e">
        <f ca="1">INDEX(RESULTADOS!$A:$BZ,MATCH($A29,RESULTADOS!$A:$A,0),MATCH(F$1,RESULTADOS!$1:$1,0))</f>
        <v>#N/A</v>
      </c>
      <c r="G29" s="250" t="e">
        <f ca="1">INDEX(RESULTADOS!$A:$BZ,MATCH($A29,RESULTADOS!$A:$A,0),MATCH(G$1,RESULTADOS!$1:$1,0))</f>
        <v>#N/A</v>
      </c>
      <c r="H29" s="250" t="e">
        <f ca="1">INDEX(RESULTADOS!$A:$BZ,MATCH($A29,RESULTADOS!$A:$A,0),MATCH(H$1,RESULTADOS!$1:$1,0))</f>
        <v>#N/A</v>
      </c>
      <c r="I29" s="250" t="e">
        <f ca="1">INDEX(RESULTADOS!$A:$BZ,MATCH($A29,RESULTADOS!$A:$A,0),MATCH(I$1,RESULTADOS!$1:$1,0))</f>
        <v>#N/A</v>
      </c>
      <c r="J29" s="250" t="e">
        <f ca="1">INDEX(RESULTADOS!$A:$BZ,MATCH($A29,RESULTADOS!$A:$A,0),MATCH(J$1,RESULTADOS!$1:$1,0))</f>
        <v>#N/A</v>
      </c>
      <c r="K29" s="210">
        <f ca="1">SUMPRODUCT((TABELA_VAZAO[Posto]=K$2)*1,(TABELA_VAZAO[Data]=$A29)*1,TABELA_VAZAO[qnat])</f>
        <v>36</v>
      </c>
      <c r="L29" s="250">
        <f ca="1">SUMPRODUCT((TABELA_VAZAO[Posto]=L$2)*1,(TABELA_VAZAO[Data]=$A29)*1,TABELA_VAZAO[qinc])</f>
        <v>4</v>
      </c>
      <c r="M29" s="210" t="e">
        <f ca="1">INDEX(RESULTADOS!$A:$BZ,MATCH($A29,RESULTADOS!$A:$A,0),MATCH(M$1,RESULTADOS!$1:$1,0))</f>
        <v>#N/A</v>
      </c>
      <c r="N29" s="210">
        <f ca="1">SUMPRODUCT((TABELA_VAZAO[Posto]=N$2)*1,(TABELA_VAZAO[Data]=$A29)*1,TABELA_VAZAO[qnat])</f>
        <v>71</v>
      </c>
      <c r="O29" s="210">
        <f ca="1">SUMPRODUCT((TABELA_VAZAO[Posto]=O$2)*1,(TABELA_VAZAO[Data]=$A29)*1,TABELA_VAZAO[qnat])</f>
        <v>187</v>
      </c>
      <c r="P29" s="210">
        <f ca="1">SUMPRODUCT((TABELA_VAZAO[Posto]=P$2)*1,(TABELA_VAZAO[Data]=$A29)*1,TABELA_VAZAO[qnat])</f>
        <v>261</v>
      </c>
      <c r="Q29" s="210">
        <f ca="1">SUMPRODUCT((TABELA_VAZAO[Posto]=Q$2)*1,(TABELA_VAZAO[Data]=$A29)*1,TABELA_VAZAO[qnat])</f>
        <v>12</v>
      </c>
      <c r="R29" s="210">
        <f ca="1">SUMPRODUCT((TABELA_VAZAO[Posto]=R$2)*1,(TABELA_VAZAO[Data]=$A29)*1,TABELA_VAZAO[qnat])</f>
        <v>20</v>
      </c>
      <c r="S29" s="210">
        <f ca="1">SUMPRODUCT((TABELA_VAZAO[Posto]=S$2)*1,(TABELA_VAZAO[Data]=$A29)*1,TABELA_VAZAO[qnat])</f>
        <v>344</v>
      </c>
      <c r="T29" s="230" t="e">
        <f ca="1">INDEX(RESULTADOS!$A:$BZ,MATCH($A29,RESULTADOS!$A:$A,0),MATCH(T$1,RESULTADOS!$1:$1,0))</f>
        <v>#N/A</v>
      </c>
      <c r="U29" s="210">
        <f ca="1">SUMPRODUCT((TABELA_VAZAO[Posto]=U$2)*1,(TABELA_VAZAO[Data]=$A29)*1,TABELA_VAZAO[qnat])</f>
        <v>95</v>
      </c>
      <c r="V29" s="210">
        <f ca="1">SUMPRODUCT((TABELA_VAZAO[Posto]=V$2)*1,(TABELA_VAZAO[Data]=$A29)*1,TABELA_VAZAO[qnat])</f>
        <v>99</v>
      </c>
      <c r="W29" s="239" t="e">
        <f ca="1">INDEX(RESULTADOS!$A:$BZ,MATCH($A29,RESULTADOS!$A:$A,0),MATCH(W$1,RESULTADOS!$1:$1,0))</f>
        <v>#N/A</v>
      </c>
      <c r="Y29" s="239" t="e">
        <f ca="1">INDEX(RESULTADOS!$A:$BZ,MATCH($A29,RESULTADOS!$A:$A,0),MATCH(Y$1,RESULTADOS!$1:$1,0))</f>
        <v>#N/A</v>
      </c>
      <c r="AC29" s="239" t="e">
        <f ca="1">INDEX(RESULTADOS!$A:$BZ,MATCH($A29,RESULTADOS!$A:$A,0),MATCH(AC$1,RESULTADOS!$1:$1,0))</f>
        <v>#N/A</v>
      </c>
      <c r="AE29" s="239" t="e">
        <f ca="1">INDEX(RESULTADOS!$A:$BZ,MATCH($A29,RESULTADOS!$A:$A,0),MATCH(AE$1,RESULTADOS!$1:$1,0))</f>
        <v>#N/A</v>
      </c>
      <c r="AF29" s="239" t="e">
        <f ca="1">INDEX(RESULTADOS!$A:$BZ,MATCH($A29,RESULTADOS!$A:$A,0),MATCH(AF$1,RESULTADOS!$1:$1,0))</f>
        <v>#N/A</v>
      </c>
      <c r="AJ29" s="239" t="e">
        <f ca="1">INDEX(RESULTADOS!$A:$BZ,MATCH($A29,RESULTADOS!$A:$A,0),MATCH(AJ$1,RESULTADOS!$1:$1,0))</f>
        <v>#N/A</v>
      </c>
      <c r="AK29" s="239" t="e">
        <f ca="1">INDEX(RESULTADOS!$A:$BZ,MATCH($A29,RESULTADOS!$A:$A,0),MATCH(AK$1,RESULTADOS!$1:$1,0))</f>
        <v>#N/A</v>
      </c>
    </row>
    <row r="30" spans="1:37" x14ac:dyDescent="0.2">
      <c r="A30" s="49">
        <f t="shared" ca="1" si="1"/>
        <v>43829</v>
      </c>
      <c r="B30" s="51"/>
      <c r="C30" s="51" t="e">
        <f ca="1">INDEX(RESULTADOS!$A:$BZ,MATCH($A30,RESULTADOS!$A:$A,0),MATCH(C$1,RESULTADOS!$1:$1,0))</f>
        <v>#N/A</v>
      </c>
      <c r="D30" s="110" t="e">
        <f ca="1">INDEX(RESULTADOS!$A:$BZ,MATCH($A30,RESULTADOS!$A:$A,0),MATCH(D$1,RESULTADOS!$1:$1,0))</f>
        <v>#N/A</v>
      </c>
      <c r="E30" s="210" t="e">
        <f ca="1">INDEX(RESULTADOS!$A:$BZ,MATCH($A30,RESULTADOS!$A:$A,0),MATCH(E$1,RESULTADOS!$1:$1,0))</f>
        <v>#N/A</v>
      </c>
      <c r="F30" s="250" t="e">
        <f ca="1">INDEX(RESULTADOS!$A:$BZ,MATCH($A30,RESULTADOS!$A:$A,0),MATCH(F$1,RESULTADOS!$1:$1,0))</f>
        <v>#N/A</v>
      </c>
      <c r="G30" s="250" t="e">
        <f ca="1">INDEX(RESULTADOS!$A:$BZ,MATCH($A30,RESULTADOS!$A:$A,0),MATCH(G$1,RESULTADOS!$1:$1,0))</f>
        <v>#N/A</v>
      </c>
      <c r="H30" s="250" t="e">
        <f ca="1">INDEX(RESULTADOS!$A:$BZ,MATCH($A30,RESULTADOS!$A:$A,0),MATCH(H$1,RESULTADOS!$1:$1,0))</f>
        <v>#N/A</v>
      </c>
      <c r="I30" s="250" t="e">
        <f ca="1">INDEX(RESULTADOS!$A:$BZ,MATCH($A30,RESULTADOS!$A:$A,0),MATCH(I$1,RESULTADOS!$1:$1,0))</f>
        <v>#N/A</v>
      </c>
      <c r="J30" s="250" t="e">
        <f ca="1">INDEX(RESULTADOS!$A:$BZ,MATCH($A30,RESULTADOS!$A:$A,0),MATCH(J$1,RESULTADOS!$1:$1,0))</f>
        <v>#N/A</v>
      </c>
      <c r="K30" s="210">
        <f ca="1">SUMPRODUCT((TABELA_VAZAO[Posto]=K$2)*1,(TABELA_VAZAO[Data]=$A30)*1,TABELA_VAZAO[qnat])</f>
        <v>34</v>
      </c>
      <c r="L30" s="250">
        <f ca="1">SUMPRODUCT((TABELA_VAZAO[Posto]=L$2)*1,(TABELA_VAZAO[Data]=$A30)*1,TABELA_VAZAO[qinc])</f>
        <v>4</v>
      </c>
      <c r="M30" s="210" t="e">
        <f ca="1">INDEX(RESULTADOS!$A:$BZ,MATCH($A30,RESULTADOS!$A:$A,0),MATCH(M$1,RESULTADOS!$1:$1,0))</f>
        <v>#N/A</v>
      </c>
      <c r="N30" s="210">
        <f ca="1">SUMPRODUCT((TABELA_VAZAO[Posto]=N$2)*1,(TABELA_VAZAO[Data]=$A30)*1,TABELA_VAZAO[qnat])</f>
        <v>68</v>
      </c>
      <c r="O30" s="210">
        <f ca="1">SUMPRODUCT((TABELA_VAZAO[Posto]=O$2)*1,(TABELA_VAZAO[Data]=$A30)*1,TABELA_VAZAO[qnat])</f>
        <v>177</v>
      </c>
      <c r="P30" s="210">
        <f ca="1">SUMPRODUCT((TABELA_VAZAO[Posto]=P$2)*1,(TABELA_VAZAO[Data]=$A30)*1,TABELA_VAZAO[qnat])</f>
        <v>244</v>
      </c>
      <c r="Q30" s="210">
        <f ca="1">SUMPRODUCT((TABELA_VAZAO[Posto]=Q$2)*1,(TABELA_VAZAO[Data]=$A30)*1,TABELA_VAZAO[qnat])</f>
        <v>11</v>
      </c>
      <c r="R30" s="210">
        <f ca="1">SUMPRODUCT((TABELA_VAZAO[Posto]=R$2)*1,(TABELA_VAZAO[Data]=$A30)*1,TABELA_VAZAO[qnat])</f>
        <v>20</v>
      </c>
      <c r="S30" s="210">
        <f ca="1">SUMPRODUCT((TABELA_VAZAO[Posto]=S$2)*1,(TABELA_VAZAO[Data]=$A30)*1,TABELA_VAZAO[qnat])</f>
        <v>335</v>
      </c>
      <c r="T30" s="230" t="e">
        <f ca="1">INDEX(RESULTADOS!$A:$BZ,MATCH($A30,RESULTADOS!$A:$A,0),MATCH(T$1,RESULTADOS!$1:$1,0))</f>
        <v>#N/A</v>
      </c>
      <c r="U30" s="210">
        <f ca="1">SUMPRODUCT((TABELA_VAZAO[Posto]=U$2)*1,(TABELA_VAZAO[Data]=$A30)*1,TABELA_VAZAO[qnat])</f>
        <v>94</v>
      </c>
      <c r="V30" s="210">
        <f ca="1">SUMPRODUCT((TABELA_VAZAO[Posto]=V$2)*1,(TABELA_VAZAO[Data]=$A30)*1,TABELA_VAZAO[qnat])</f>
        <v>98</v>
      </c>
      <c r="W30" s="239" t="e">
        <f ca="1">INDEX(RESULTADOS!$A:$BZ,MATCH($A30,RESULTADOS!$A:$A,0),MATCH(W$1,RESULTADOS!$1:$1,0))</f>
        <v>#N/A</v>
      </c>
      <c r="Y30" s="239" t="e">
        <f ca="1">INDEX(RESULTADOS!$A:$BZ,MATCH($A30,RESULTADOS!$A:$A,0),MATCH(Y$1,RESULTADOS!$1:$1,0))</f>
        <v>#N/A</v>
      </c>
      <c r="AC30" s="239" t="e">
        <f ca="1">INDEX(RESULTADOS!$A:$BZ,MATCH($A30,RESULTADOS!$A:$A,0),MATCH(AC$1,RESULTADOS!$1:$1,0))</f>
        <v>#N/A</v>
      </c>
      <c r="AE30" s="239" t="e">
        <f ca="1">INDEX(RESULTADOS!$A:$BZ,MATCH($A30,RESULTADOS!$A:$A,0),MATCH(AE$1,RESULTADOS!$1:$1,0))</f>
        <v>#N/A</v>
      </c>
      <c r="AF30" s="239" t="e">
        <f ca="1">INDEX(RESULTADOS!$A:$BZ,MATCH($A30,RESULTADOS!$A:$A,0),MATCH(AF$1,RESULTADOS!$1:$1,0))</f>
        <v>#N/A</v>
      </c>
      <c r="AJ30" s="239" t="e">
        <f ca="1">INDEX(RESULTADOS!$A:$BZ,MATCH($A30,RESULTADOS!$A:$A,0),MATCH(AJ$1,RESULTADOS!$1:$1,0))</f>
        <v>#N/A</v>
      </c>
      <c r="AK30" s="239" t="e">
        <f ca="1">INDEX(RESULTADOS!$A:$BZ,MATCH($A30,RESULTADOS!$A:$A,0),MATCH(AK$1,RESULTADOS!$1:$1,0))</f>
        <v>#N/A</v>
      </c>
    </row>
    <row r="31" spans="1:37" x14ac:dyDescent="0.2">
      <c r="A31" s="49">
        <f t="shared" ca="1" si="1"/>
        <v>43830</v>
      </c>
      <c r="B31" s="51"/>
      <c r="C31" s="51" t="e">
        <f ca="1">INDEX(RESULTADOS!$A:$BZ,MATCH($A31,RESULTADOS!$A:$A,0),MATCH(C$1,RESULTADOS!$1:$1,0))</f>
        <v>#N/A</v>
      </c>
      <c r="D31" s="110" t="e">
        <f ca="1">INDEX(RESULTADOS!$A:$BZ,MATCH($A31,RESULTADOS!$A:$A,0),MATCH(D$1,RESULTADOS!$1:$1,0))</f>
        <v>#N/A</v>
      </c>
      <c r="E31" s="210" t="e">
        <f ca="1">INDEX(RESULTADOS!$A:$BZ,MATCH($A31,RESULTADOS!$A:$A,0),MATCH(E$1,RESULTADOS!$1:$1,0))</f>
        <v>#N/A</v>
      </c>
      <c r="F31" s="250" t="e">
        <f ca="1">INDEX(RESULTADOS!$A:$BZ,MATCH($A31,RESULTADOS!$A:$A,0),MATCH(F$1,RESULTADOS!$1:$1,0))</f>
        <v>#N/A</v>
      </c>
      <c r="G31" s="250" t="e">
        <f ca="1">INDEX(RESULTADOS!$A:$BZ,MATCH($A31,RESULTADOS!$A:$A,0),MATCH(G$1,RESULTADOS!$1:$1,0))</f>
        <v>#N/A</v>
      </c>
      <c r="H31" s="250" t="e">
        <f ca="1">INDEX(RESULTADOS!$A:$BZ,MATCH($A31,RESULTADOS!$A:$A,0),MATCH(H$1,RESULTADOS!$1:$1,0))</f>
        <v>#N/A</v>
      </c>
      <c r="I31" s="250" t="e">
        <f ca="1">INDEX(RESULTADOS!$A:$BZ,MATCH($A31,RESULTADOS!$A:$A,0),MATCH(I$1,RESULTADOS!$1:$1,0))</f>
        <v>#N/A</v>
      </c>
      <c r="J31" s="250" t="e">
        <f ca="1">INDEX(RESULTADOS!$A:$BZ,MATCH($A31,RESULTADOS!$A:$A,0),MATCH(J$1,RESULTADOS!$1:$1,0))</f>
        <v>#N/A</v>
      </c>
      <c r="K31" s="210">
        <f ca="1">SUMPRODUCT((TABELA_VAZAO[Posto]=K$2)*1,(TABELA_VAZAO[Data]=$A31)*1,TABELA_VAZAO[qnat])</f>
        <v>33</v>
      </c>
      <c r="L31" s="250">
        <f ca="1">SUMPRODUCT((TABELA_VAZAO[Posto]=L$2)*1,(TABELA_VAZAO[Data]=$A31)*1,TABELA_VAZAO[qinc])</f>
        <v>3</v>
      </c>
      <c r="M31" s="210" t="e">
        <f ca="1">INDEX(RESULTADOS!$A:$BZ,MATCH($A31,RESULTADOS!$A:$A,0),MATCH(M$1,RESULTADOS!$1:$1,0))</f>
        <v>#N/A</v>
      </c>
      <c r="N31" s="210">
        <f ca="1">SUMPRODUCT((TABELA_VAZAO[Posto]=N$2)*1,(TABELA_VAZAO[Data]=$A31)*1,TABELA_VAZAO[qnat])</f>
        <v>64</v>
      </c>
      <c r="O31" s="210">
        <f ca="1">SUMPRODUCT((TABELA_VAZAO[Posto]=O$2)*1,(TABELA_VAZAO[Data]=$A31)*1,TABELA_VAZAO[qnat])</f>
        <v>168</v>
      </c>
      <c r="P31" s="210">
        <f ca="1">SUMPRODUCT((TABELA_VAZAO[Posto]=P$2)*1,(TABELA_VAZAO[Data]=$A31)*1,TABELA_VAZAO[qnat])</f>
        <v>233</v>
      </c>
      <c r="Q31" s="210">
        <f ca="1">SUMPRODUCT((TABELA_VAZAO[Posto]=Q$2)*1,(TABELA_VAZAO[Data]=$A31)*1,TABELA_VAZAO[qnat])</f>
        <v>11</v>
      </c>
      <c r="R31" s="210">
        <f ca="1">SUMPRODUCT((TABELA_VAZAO[Posto]=R$2)*1,(TABELA_VAZAO[Data]=$A31)*1,TABELA_VAZAO[qnat])</f>
        <v>18</v>
      </c>
      <c r="S31" s="210">
        <f ca="1">SUMPRODUCT((TABELA_VAZAO[Posto]=S$2)*1,(TABELA_VAZAO[Data]=$A31)*1,TABELA_VAZAO[qnat])</f>
        <v>315</v>
      </c>
      <c r="T31" s="230" t="e">
        <f ca="1">INDEX(RESULTADOS!$A:$BZ,MATCH($A31,RESULTADOS!$A:$A,0),MATCH(T$1,RESULTADOS!$1:$1,0))</f>
        <v>#N/A</v>
      </c>
      <c r="U31" s="210">
        <f ca="1">SUMPRODUCT((TABELA_VAZAO[Posto]=U$2)*1,(TABELA_VAZAO[Data]=$A31)*1,TABELA_VAZAO[qnat])</f>
        <v>92</v>
      </c>
      <c r="V31" s="210">
        <f ca="1">SUMPRODUCT((TABELA_VAZAO[Posto]=V$2)*1,(TABELA_VAZAO[Data]=$A31)*1,TABELA_VAZAO[qnat])</f>
        <v>97</v>
      </c>
      <c r="W31" s="239" t="e">
        <f ca="1">INDEX(RESULTADOS!$A:$BZ,MATCH($A31,RESULTADOS!$A:$A,0),MATCH(W$1,RESULTADOS!$1:$1,0))</f>
        <v>#N/A</v>
      </c>
      <c r="Y31" s="239" t="e">
        <f ca="1">INDEX(RESULTADOS!$A:$BZ,MATCH($A31,RESULTADOS!$A:$A,0),MATCH(Y$1,RESULTADOS!$1:$1,0))</f>
        <v>#N/A</v>
      </c>
      <c r="AC31" s="239" t="e">
        <f ca="1">INDEX(RESULTADOS!$A:$BZ,MATCH($A31,RESULTADOS!$A:$A,0),MATCH(AC$1,RESULTADOS!$1:$1,0))</f>
        <v>#N/A</v>
      </c>
      <c r="AE31" s="239" t="e">
        <f ca="1">INDEX(RESULTADOS!$A:$BZ,MATCH($A31,RESULTADOS!$A:$A,0),MATCH(AE$1,RESULTADOS!$1:$1,0))</f>
        <v>#N/A</v>
      </c>
      <c r="AF31" s="239" t="e">
        <f ca="1">INDEX(RESULTADOS!$A:$BZ,MATCH($A31,RESULTADOS!$A:$A,0),MATCH(AF$1,RESULTADOS!$1:$1,0))</f>
        <v>#N/A</v>
      </c>
      <c r="AJ31" s="239" t="e">
        <f ca="1">INDEX(RESULTADOS!$A:$BZ,MATCH($A31,RESULTADOS!$A:$A,0),MATCH(AJ$1,RESULTADOS!$1:$1,0))</f>
        <v>#N/A</v>
      </c>
      <c r="AK31" s="239" t="e">
        <f ca="1">INDEX(RESULTADOS!$A:$BZ,MATCH($A31,RESULTADOS!$A:$A,0),MATCH(AK$1,RESULTADOS!$1:$1,0))</f>
        <v>#N/A</v>
      </c>
    </row>
    <row r="32" spans="1:37" x14ac:dyDescent="0.2">
      <c r="A32" s="49">
        <f t="shared" ca="1" si="1"/>
        <v>43831</v>
      </c>
      <c r="B32" s="51"/>
      <c r="C32" s="51" t="e">
        <f ca="1">INDEX(RESULTADOS!$A:$BZ,MATCH($A32,RESULTADOS!$A:$A,0),MATCH(C$1,RESULTADOS!$1:$1,0))</f>
        <v>#N/A</v>
      </c>
      <c r="D32" s="110" t="e">
        <f ca="1">INDEX(RESULTADOS!$A:$BZ,MATCH($A32,RESULTADOS!$A:$A,0),MATCH(D$1,RESULTADOS!$1:$1,0))</f>
        <v>#N/A</v>
      </c>
      <c r="E32" s="210" t="e">
        <f ca="1">INDEX(RESULTADOS!$A:$BZ,MATCH($A32,RESULTADOS!$A:$A,0),MATCH(E$1,RESULTADOS!$1:$1,0))</f>
        <v>#N/A</v>
      </c>
      <c r="F32" s="250" t="e">
        <f ca="1">INDEX(RESULTADOS!$A:$BZ,MATCH($A32,RESULTADOS!$A:$A,0),MATCH(F$1,RESULTADOS!$1:$1,0))</f>
        <v>#N/A</v>
      </c>
      <c r="G32" s="250" t="e">
        <f ca="1">INDEX(RESULTADOS!$A:$BZ,MATCH($A32,RESULTADOS!$A:$A,0),MATCH(G$1,RESULTADOS!$1:$1,0))</f>
        <v>#N/A</v>
      </c>
      <c r="H32" s="250" t="e">
        <f ca="1">INDEX(RESULTADOS!$A:$BZ,MATCH($A32,RESULTADOS!$A:$A,0),MATCH(H$1,RESULTADOS!$1:$1,0))</f>
        <v>#N/A</v>
      </c>
      <c r="I32" s="250" t="e">
        <f ca="1">INDEX(RESULTADOS!$A:$BZ,MATCH($A32,RESULTADOS!$A:$A,0),MATCH(I$1,RESULTADOS!$1:$1,0))</f>
        <v>#N/A</v>
      </c>
      <c r="J32" s="250" t="e">
        <f ca="1">INDEX(RESULTADOS!$A:$BZ,MATCH($A32,RESULTADOS!$A:$A,0),MATCH(J$1,RESULTADOS!$1:$1,0))</f>
        <v>#N/A</v>
      </c>
      <c r="K32" s="210">
        <f ca="1">SUMPRODUCT((TABELA_VAZAO[Posto]=K$2)*1,(TABELA_VAZAO[Data]=$A32)*1,TABELA_VAZAO[qnat])</f>
        <v>31</v>
      </c>
      <c r="L32" s="250">
        <f ca="1">SUMPRODUCT((TABELA_VAZAO[Posto]=L$2)*1,(TABELA_VAZAO[Data]=$A32)*1,TABELA_VAZAO[qinc])</f>
        <v>3</v>
      </c>
      <c r="M32" s="210" t="e">
        <f ca="1">INDEX(RESULTADOS!$A:$BZ,MATCH($A32,RESULTADOS!$A:$A,0),MATCH(M$1,RESULTADOS!$1:$1,0))</f>
        <v>#N/A</v>
      </c>
      <c r="N32" s="210">
        <f ca="1">SUMPRODUCT((TABELA_VAZAO[Posto]=N$2)*1,(TABELA_VAZAO[Data]=$A32)*1,TABELA_VAZAO[qnat])</f>
        <v>61</v>
      </c>
      <c r="O32" s="210">
        <f ca="1">SUMPRODUCT((TABELA_VAZAO[Posto]=O$2)*1,(TABELA_VAZAO[Data]=$A32)*1,TABELA_VAZAO[qnat])</f>
        <v>163</v>
      </c>
      <c r="P32" s="210">
        <f ca="1">SUMPRODUCT((TABELA_VAZAO[Posto]=P$2)*1,(TABELA_VAZAO[Data]=$A32)*1,TABELA_VAZAO[qnat])</f>
        <v>222</v>
      </c>
      <c r="Q32" s="210">
        <f ca="1">SUMPRODUCT((TABELA_VAZAO[Posto]=Q$2)*1,(TABELA_VAZAO[Data]=$A32)*1,TABELA_VAZAO[qnat])</f>
        <v>11</v>
      </c>
      <c r="R32" s="210">
        <f ca="1">SUMPRODUCT((TABELA_VAZAO[Posto]=R$2)*1,(TABELA_VAZAO[Data]=$A32)*1,TABELA_VAZAO[qnat])</f>
        <v>19</v>
      </c>
      <c r="S32" s="210">
        <f ca="1">SUMPRODUCT((TABELA_VAZAO[Posto]=S$2)*1,(TABELA_VAZAO[Data]=$A32)*1,TABELA_VAZAO[qnat])</f>
        <v>302</v>
      </c>
      <c r="T32" s="230" t="e">
        <f ca="1">INDEX(RESULTADOS!$A:$BZ,MATCH($A32,RESULTADOS!$A:$A,0),MATCH(T$1,RESULTADOS!$1:$1,0))</f>
        <v>#N/A</v>
      </c>
      <c r="U32" s="210">
        <f ca="1">SUMPRODUCT((TABELA_VAZAO[Posto]=U$2)*1,(TABELA_VAZAO[Data]=$A32)*1,TABELA_VAZAO[qnat])</f>
        <v>90</v>
      </c>
      <c r="V32" s="210">
        <f ca="1">SUMPRODUCT((TABELA_VAZAO[Posto]=V$2)*1,(TABELA_VAZAO[Data]=$A32)*1,TABELA_VAZAO[qnat])</f>
        <v>94</v>
      </c>
      <c r="W32" s="239" t="e">
        <f ca="1">INDEX(RESULTADOS!$A:$BZ,MATCH($A32,RESULTADOS!$A:$A,0),MATCH(W$1,RESULTADOS!$1:$1,0))</f>
        <v>#N/A</v>
      </c>
      <c r="Y32" s="239" t="e">
        <f ca="1">INDEX(RESULTADOS!$A:$BZ,MATCH($A32,RESULTADOS!$A:$A,0),MATCH(Y$1,RESULTADOS!$1:$1,0))</f>
        <v>#N/A</v>
      </c>
      <c r="AC32" s="239" t="e">
        <f ca="1">INDEX(RESULTADOS!$A:$BZ,MATCH($A32,RESULTADOS!$A:$A,0),MATCH(AC$1,RESULTADOS!$1:$1,0))</f>
        <v>#N/A</v>
      </c>
      <c r="AE32" s="239" t="e">
        <f ca="1">INDEX(RESULTADOS!$A:$BZ,MATCH($A32,RESULTADOS!$A:$A,0),MATCH(AE$1,RESULTADOS!$1:$1,0))</f>
        <v>#N/A</v>
      </c>
      <c r="AF32" s="239" t="e">
        <f ca="1">INDEX(RESULTADOS!$A:$BZ,MATCH($A32,RESULTADOS!$A:$A,0),MATCH(AF$1,RESULTADOS!$1:$1,0))</f>
        <v>#N/A</v>
      </c>
      <c r="AJ32" s="239" t="e">
        <f ca="1">INDEX(RESULTADOS!$A:$BZ,MATCH($A32,RESULTADOS!$A:$A,0),MATCH(AJ$1,RESULTADOS!$1:$1,0))</f>
        <v>#N/A</v>
      </c>
      <c r="AK32" s="239" t="e">
        <f ca="1">INDEX(RESULTADOS!$A:$BZ,MATCH($A32,RESULTADOS!$A:$A,0),MATCH(AK$1,RESULTADOS!$1:$1,0))</f>
        <v>#N/A</v>
      </c>
    </row>
    <row r="33" spans="1:41" x14ac:dyDescent="0.2">
      <c r="A33" s="82">
        <f t="shared" ca="1" si="1"/>
        <v>43832</v>
      </c>
      <c r="B33" s="83"/>
      <c r="C33" s="83" t="e">
        <f ca="1">INDEX(RESULTADOS!$A:$BZ,MATCH($A33,RESULTADOS!$A:$A,0),MATCH(C$1,RESULTADOS!$1:$1,0))</f>
        <v>#N/A</v>
      </c>
      <c r="D33" s="84" t="e">
        <f ca="1">INDEX(RESULTADOS!$A:$BZ,MATCH($A33,RESULTADOS!$A:$A,0),MATCH(D$1,RESULTADOS!$1:$1,0))</f>
        <v>#N/A</v>
      </c>
      <c r="E33" s="210" t="e">
        <f ca="1">INDEX(RESULTADOS!$A:$BZ,MATCH($A33,RESULTADOS!$A:$A,0),MATCH(E$1,RESULTADOS!$1:$1,0))</f>
        <v>#N/A</v>
      </c>
      <c r="F33" s="250" t="e">
        <f ca="1">INDEX(RESULTADOS!$A:$BZ,MATCH($A33,RESULTADOS!$A:$A,0),MATCH(F$1,RESULTADOS!$1:$1,0))</f>
        <v>#N/A</v>
      </c>
      <c r="G33" s="250" t="e">
        <f ca="1">INDEX(RESULTADOS!$A:$BZ,MATCH($A33,RESULTADOS!$A:$A,0),MATCH(G$1,RESULTADOS!$1:$1,0))</f>
        <v>#N/A</v>
      </c>
      <c r="H33" s="250" t="e">
        <f ca="1">INDEX(RESULTADOS!$A:$BZ,MATCH($A33,RESULTADOS!$A:$A,0),MATCH(H$1,RESULTADOS!$1:$1,0))</f>
        <v>#N/A</v>
      </c>
      <c r="I33" s="250" t="e">
        <f ca="1">INDEX(RESULTADOS!$A:$BZ,MATCH($A33,RESULTADOS!$A:$A,0),MATCH(I$1,RESULTADOS!$1:$1,0))</f>
        <v>#N/A</v>
      </c>
      <c r="J33" s="250" t="e">
        <f ca="1">INDEX(RESULTADOS!$A:$BZ,MATCH($A33,RESULTADOS!$A:$A,0),MATCH(J$1,RESULTADOS!$1:$1,0))</f>
        <v>#N/A</v>
      </c>
      <c r="K33" s="210">
        <f ca="1">SUMPRODUCT((TABELA_VAZAO[Posto]=K$2)*1,(TABELA_VAZAO[Data]=$A33)*1,TABELA_VAZAO[qnat])</f>
        <v>30</v>
      </c>
      <c r="L33" s="250">
        <f ca="1">SUMPRODUCT((TABELA_VAZAO[Posto]=L$2)*1,(TABELA_VAZAO[Data]=$A33)*1,TABELA_VAZAO[qinc])</f>
        <v>3</v>
      </c>
      <c r="M33" s="210" t="e">
        <f ca="1">INDEX(RESULTADOS!$A:$BZ,MATCH($A33,RESULTADOS!$A:$A,0),MATCH(M$1,RESULTADOS!$1:$1,0))</f>
        <v>#N/A</v>
      </c>
      <c r="N33" s="210">
        <f ca="1">SUMPRODUCT((TABELA_VAZAO[Posto]=N$2)*1,(TABELA_VAZAO[Data]=$A33)*1,TABELA_VAZAO[qnat])</f>
        <v>60</v>
      </c>
      <c r="O33" s="210">
        <f ca="1">SUMPRODUCT((TABELA_VAZAO[Posto]=O$2)*1,(TABELA_VAZAO[Data]=$A33)*1,TABELA_VAZAO[qnat])</f>
        <v>165</v>
      </c>
      <c r="P33" s="210">
        <f ca="1">SUMPRODUCT((TABELA_VAZAO[Posto]=P$2)*1,(TABELA_VAZAO[Data]=$A33)*1,TABELA_VAZAO[qnat])</f>
        <v>221</v>
      </c>
      <c r="Q33" s="210">
        <f ca="1">SUMPRODUCT((TABELA_VAZAO[Posto]=Q$2)*1,(TABELA_VAZAO[Data]=$A33)*1,TABELA_VAZAO[qnat])</f>
        <v>12</v>
      </c>
      <c r="R33" s="210">
        <f ca="1">SUMPRODUCT((TABELA_VAZAO[Posto]=R$2)*1,(TABELA_VAZAO[Data]=$A33)*1,TABELA_VAZAO[qnat])</f>
        <v>21</v>
      </c>
      <c r="S33" s="210">
        <f ca="1">SUMPRODUCT((TABELA_VAZAO[Posto]=S$2)*1,(TABELA_VAZAO[Data]=$A33)*1,TABELA_VAZAO[qnat])</f>
        <v>291</v>
      </c>
      <c r="T33" s="230" t="e">
        <f ca="1">INDEX(RESULTADOS!$A:$BZ,MATCH($A33,RESULTADOS!$A:$A,0),MATCH(T$1,RESULTADOS!$1:$1,0))</f>
        <v>#N/A</v>
      </c>
      <c r="U33" s="210">
        <f ca="1">SUMPRODUCT((TABELA_VAZAO[Posto]=U$2)*1,(TABELA_VAZAO[Data]=$A33)*1,TABELA_VAZAO[qnat])</f>
        <v>88</v>
      </c>
      <c r="V33" s="210">
        <f ca="1">SUMPRODUCT((TABELA_VAZAO[Posto]=V$2)*1,(TABELA_VAZAO[Data]=$A33)*1,TABELA_VAZAO[qnat])</f>
        <v>92</v>
      </c>
      <c r="W33" s="239" t="e">
        <f ca="1">INDEX(RESULTADOS!$A:$BZ,MATCH($A33,RESULTADOS!$A:$A,0),MATCH(W$1,RESULTADOS!$1:$1,0))</f>
        <v>#N/A</v>
      </c>
      <c r="Y33" s="239" t="e">
        <f ca="1">INDEX(RESULTADOS!$A:$BZ,MATCH($A33,RESULTADOS!$A:$A,0),MATCH(Y$1,RESULTADOS!$1:$1,0))</f>
        <v>#N/A</v>
      </c>
      <c r="AC33" s="239" t="e">
        <f ca="1">INDEX(RESULTADOS!$A:$BZ,MATCH($A33,RESULTADOS!$A:$A,0),MATCH(AC$1,RESULTADOS!$1:$1,0))</f>
        <v>#N/A</v>
      </c>
      <c r="AE33" s="239" t="e">
        <f ca="1">INDEX(RESULTADOS!$A:$BZ,MATCH($A33,RESULTADOS!$A:$A,0),MATCH(AE$1,RESULTADOS!$1:$1,0))</f>
        <v>#N/A</v>
      </c>
      <c r="AF33" s="239" t="e">
        <f ca="1">INDEX(RESULTADOS!$A:$BZ,MATCH($A33,RESULTADOS!$A:$A,0),MATCH(AF$1,RESULTADOS!$1:$1,0))</f>
        <v>#N/A</v>
      </c>
      <c r="AJ33" s="239" t="e">
        <f ca="1">INDEX(RESULTADOS!$A:$BZ,MATCH($A33,RESULTADOS!$A:$A,0),MATCH(AJ$1,RESULTADOS!$1:$1,0))</f>
        <v>#N/A</v>
      </c>
      <c r="AK33" s="239" t="e">
        <f ca="1">INDEX(RESULTADOS!$A:$BZ,MATCH($A33,RESULTADOS!$A:$A,0),MATCH(AK$1,RESULTADOS!$1:$1,0))</f>
        <v>#N/A</v>
      </c>
    </row>
    <row r="34" spans="1:41" x14ac:dyDescent="0.2">
      <c r="A34" s="49">
        <f t="shared" ca="1" si="1"/>
        <v>43833</v>
      </c>
      <c r="B34" s="51"/>
      <c r="C34" s="51" t="e">
        <f ca="1">INDEX(RESULTADOS!$A:$BZ,MATCH($A34,RESULTADOS!$A:$A,0),MATCH(C$1,RESULTADOS!$1:$1,0))</f>
        <v>#N/A</v>
      </c>
      <c r="D34" s="110" t="e">
        <f ca="1">INDEX(RESULTADOS!$A:$BZ,MATCH($A34,RESULTADOS!$A:$A,0),MATCH(D$1,RESULTADOS!$1:$1,0))</f>
        <v>#N/A</v>
      </c>
      <c r="E34" s="210" t="e">
        <f ca="1">INDEX(RESULTADOS!$A:$BZ,MATCH($A34,RESULTADOS!$A:$A,0),MATCH(E$1,RESULTADOS!$1:$1,0))</f>
        <v>#N/A</v>
      </c>
      <c r="F34" s="250" t="e">
        <f ca="1">INDEX(RESULTADOS!$A:$BZ,MATCH($A34,RESULTADOS!$A:$A,0),MATCH(F$1,RESULTADOS!$1:$1,0))</f>
        <v>#N/A</v>
      </c>
      <c r="G34" s="250" t="e">
        <f ca="1">INDEX(RESULTADOS!$A:$BZ,MATCH($A34,RESULTADOS!$A:$A,0),MATCH(G$1,RESULTADOS!$1:$1,0))</f>
        <v>#N/A</v>
      </c>
      <c r="H34" s="250" t="e">
        <f ca="1">INDEX(RESULTADOS!$A:$BZ,MATCH($A34,RESULTADOS!$A:$A,0),MATCH(H$1,RESULTADOS!$1:$1,0))</f>
        <v>#N/A</v>
      </c>
      <c r="I34" s="250" t="e">
        <f ca="1">INDEX(RESULTADOS!$A:$BZ,MATCH($A34,RESULTADOS!$A:$A,0),MATCH(I$1,RESULTADOS!$1:$1,0))</f>
        <v>#N/A</v>
      </c>
      <c r="J34" s="250" t="e">
        <f ca="1">INDEX(RESULTADOS!$A:$BZ,MATCH($A34,RESULTADOS!$A:$A,0),MATCH(J$1,RESULTADOS!$1:$1,0))</f>
        <v>#N/A</v>
      </c>
      <c r="K34" s="210">
        <f ca="1">SUMPRODUCT((TABELA_VAZAO[Posto]=K$2)*1,(TABELA_VAZAO[Data]=$A34)*1,TABELA_VAZAO[qnat])</f>
        <v>29</v>
      </c>
      <c r="L34" s="250">
        <f ca="1">SUMPRODUCT((TABELA_VAZAO[Posto]=L$2)*1,(TABELA_VAZAO[Data]=$A34)*1,TABELA_VAZAO[qinc])</f>
        <v>3</v>
      </c>
      <c r="M34" s="210" t="e">
        <f ca="1">INDEX(RESULTADOS!$A:$BZ,MATCH($A34,RESULTADOS!$A:$A,0),MATCH(M$1,RESULTADOS!$1:$1,0))</f>
        <v>#N/A</v>
      </c>
      <c r="N34" s="210">
        <f ca="1">SUMPRODUCT((TABELA_VAZAO[Posto]=N$2)*1,(TABELA_VAZAO[Data]=$A34)*1,TABELA_VAZAO[qnat])</f>
        <v>60</v>
      </c>
      <c r="O34" s="210">
        <f ca="1">SUMPRODUCT((TABELA_VAZAO[Posto]=O$2)*1,(TABELA_VAZAO[Data]=$A34)*1,TABELA_VAZAO[qnat])</f>
        <v>178</v>
      </c>
      <c r="P34" s="210">
        <f ca="1">SUMPRODUCT((TABELA_VAZAO[Posto]=P$2)*1,(TABELA_VAZAO[Data]=$A34)*1,TABELA_VAZAO[qnat])</f>
        <v>225</v>
      </c>
      <c r="Q34" s="210">
        <f ca="1">SUMPRODUCT((TABELA_VAZAO[Posto]=Q$2)*1,(TABELA_VAZAO[Data]=$A34)*1,TABELA_VAZAO[qnat])</f>
        <v>11</v>
      </c>
      <c r="R34" s="210">
        <f ca="1">SUMPRODUCT((TABELA_VAZAO[Posto]=R$2)*1,(TABELA_VAZAO[Data]=$A34)*1,TABELA_VAZAO[qnat])</f>
        <v>19</v>
      </c>
      <c r="S34" s="210">
        <f ca="1">SUMPRODUCT((TABELA_VAZAO[Posto]=S$2)*1,(TABELA_VAZAO[Data]=$A34)*1,TABELA_VAZAO[qnat])</f>
        <v>290</v>
      </c>
      <c r="T34" s="230" t="e">
        <f ca="1">INDEX(RESULTADOS!$A:$BZ,MATCH($A34,RESULTADOS!$A:$A,0),MATCH(T$1,RESULTADOS!$1:$1,0))</f>
        <v>#N/A</v>
      </c>
      <c r="U34" s="210">
        <f ca="1">SUMPRODUCT((TABELA_VAZAO[Posto]=U$2)*1,(TABELA_VAZAO[Data]=$A34)*1,TABELA_VAZAO[qnat])</f>
        <v>86</v>
      </c>
      <c r="V34" s="210">
        <f ca="1">SUMPRODUCT((TABELA_VAZAO[Posto]=V$2)*1,(TABELA_VAZAO[Data]=$A34)*1,TABELA_VAZAO[qnat])</f>
        <v>90</v>
      </c>
      <c r="W34" s="239" t="e">
        <f ca="1">INDEX(RESULTADOS!$A:$BZ,MATCH($A34,RESULTADOS!$A:$A,0),MATCH(W$1,RESULTADOS!$1:$1,0))</f>
        <v>#N/A</v>
      </c>
      <c r="Y34" s="239" t="e">
        <f ca="1">INDEX(RESULTADOS!$A:$BZ,MATCH($A34,RESULTADOS!$A:$A,0),MATCH(Y$1,RESULTADOS!$1:$1,0))</f>
        <v>#N/A</v>
      </c>
      <c r="AC34" s="239" t="e">
        <f ca="1">INDEX(RESULTADOS!$A:$BZ,MATCH($A34,RESULTADOS!$A:$A,0),MATCH(AC$1,RESULTADOS!$1:$1,0))</f>
        <v>#N/A</v>
      </c>
      <c r="AE34" s="239" t="e">
        <f ca="1">INDEX(RESULTADOS!$A:$BZ,MATCH($A34,RESULTADOS!$A:$A,0),MATCH(AE$1,RESULTADOS!$1:$1,0))</f>
        <v>#N/A</v>
      </c>
      <c r="AF34" s="239" t="e">
        <f ca="1">INDEX(RESULTADOS!$A:$BZ,MATCH($A34,RESULTADOS!$A:$A,0),MATCH(AF$1,RESULTADOS!$1:$1,0))</f>
        <v>#N/A</v>
      </c>
      <c r="AJ34" s="239" t="e">
        <f ca="1">INDEX(RESULTADOS!$A:$BZ,MATCH($A34,RESULTADOS!$A:$A,0),MATCH(AJ$1,RESULTADOS!$1:$1,0))</f>
        <v>#N/A</v>
      </c>
      <c r="AK34" s="239" t="e">
        <f ca="1">INDEX(RESULTADOS!$A:$BZ,MATCH($A34,RESULTADOS!$A:$A,0),MATCH(AK$1,RESULTADOS!$1:$1,0))</f>
        <v>#N/A</v>
      </c>
    </row>
    <row r="35" spans="1:41" x14ac:dyDescent="0.2">
      <c r="A35" s="49">
        <f t="shared" ca="1" si="1"/>
        <v>43834</v>
      </c>
      <c r="B35" s="51"/>
      <c r="C35" s="51" t="e">
        <f ca="1">INDEX(RESULTADOS!$A:$BZ,MATCH($A35,RESULTADOS!$A:$A,0),MATCH(C$1,RESULTADOS!$1:$1,0))</f>
        <v>#N/A</v>
      </c>
      <c r="D35" s="110" t="e">
        <f ca="1">INDEX(RESULTADOS!$A:$BZ,MATCH($A35,RESULTADOS!$A:$A,0),MATCH(D$1,RESULTADOS!$1:$1,0))</f>
        <v>#N/A</v>
      </c>
      <c r="E35" s="210" t="e">
        <f ca="1">INDEX(RESULTADOS!$A:$BZ,MATCH($A35,RESULTADOS!$A:$A,0),MATCH(E$1,RESULTADOS!$1:$1,0))</f>
        <v>#N/A</v>
      </c>
      <c r="F35" s="250" t="e">
        <f ca="1">INDEX(RESULTADOS!$A:$BZ,MATCH($A35,RESULTADOS!$A:$A,0),MATCH(F$1,RESULTADOS!$1:$1,0))</f>
        <v>#N/A</v>
      </c>
      <c r="G35" s="250" t="e">
        <f ca="1">INDEX(RESULTADOS!$A:$BZ,MATCH($A35,RESULTADOS!$A:$A,0),MATCH(G$1,RESULTADOS!$1:$1,0))</f>
        <v>#N/A</v>
      </c>
      <c r="H35" s="250" t="e">
        <f ca="1">INDEX(RESULTADOS!$A:$BZ,MATCH($A35,RESULTADOS!$A:$A,0),MATCH(H$1,RESULTADOS!$1:$1,0))</f>
        <v>#N/A</v>
      </c>
      <c r="I35" s="250" t="e">
        <f ca="1">INDEX(RESULTADOS!$A:$BZ,MATCH($A35,RESULTADOS!$A:$A,0),MATCH(I$1,RESULTADOS!$1:$1,0))</f>
        <v>#N/A</v>
      </c>
      <c r="J35" s="250" t="e">
        <f ca="1">INDEX(RESULTADOS!$A:$BZ,MATCH($A35,RESULTADOS!$A:$A,0),MATCH(J$1,RESULTADOS!$1:$1,0))</f>
        <v>#N/A</v>
      </c>
      <c r="K35" s="210">
        <f ca="1">SUMPRODUCT((TABELA_VAZAO[Posto]=K$2)*1,(TABELA_VAZAO[Data]=$A35)*1,TABELA_VAZAO[qnat])</f>
        <v>28</v>
      </c>
      <c r="L35" s="250">
        <f ca="1">SUMPRODUCT((TABELA_VAZAO[Posto]=L$2)*1,(TABELA_VAZAO[Data]=$A35)*1,TABELA_VAZAO[qinc])</f>
        <v>3</v>
      </c>
      <c r="M35" s="210" t="e">
        <f ca="1">INDEX(RESULTADOS!$A:$BZ,MATCH($A35,RESULTADOS!$A:$A,0),MATCH(M$1,RESULTADOS!$1:$1,0))</f>
        <v>#N/A</v>
      </c>
      <c r="N35" s="210">
        <f ca="1">SUMPRODUCT((TABELA_VAZAO[Posto]=N$2)*1,(TABELA_VAZAO[Data]=$A35)*1,TABELA_VAZAO[qnat])</f>
        <v>65</v>
      </c>
      <c r="O35" s="210">
        <f ca="1">SUMPRODUCT((TABELA_VAZAO[Posto]=O$2)*1,(TABELA_VAZAO[Data]=$A35)*1,TABELA_VAZAO[qnat])</f>
        <v>192</v>
      </c>
      <c r="P35" s="210">
        <f ca="1">SUMPRODUCT((TABELA_VAZAO[Posto]=P$2)*1,(TABELA_VAZAO[Data]=$A35)*1,TABELA_VAZAO[qnat])</f>
        <v>234</v>
      </c>
      <c r="Q35" s="210">
        <f ca="1">SUMPRODUCT((TABELA_VAZAO[Posto]=Q$2)*1,(TABELA_VAZAO[Data]=$A35)*1,TABELA_VAZAO[qnat])</f>
        <v>11</v>
      </c>
      <c r="R35" s="210">
        <f ca="1">SUMPRODUCT((TABELA_VAZAO[Posto]=R$2)*1,(TABELA_VAZAO[Data]=$A35)*1,TABELA_VAZAO[qnat])</f>
        <v>19</v>
      </c>
      <c r="S35" s="210">
        <f ca="1">SUMPRODUCT((TABELA_VAZAO[Posto]=S$2)*1,(TABELA_VAZAO[Data]=$A35)*1,TABELA_VAZAO[qnat])</f>
        <v>287</v>
      </c>
      <c r="T35" s="230" t="e">
        <f ca="1">INDEX(RESULTADOS!$A:$BZ,MATCH($A35,RESULTADOS!$A:$A,0),MATCH(T$1,RESULTADOS!$1:$1,0))</f>
        <v>#N/A</v>
      </c>
      <c r="U35" s="210">
        <f ca="1">SUMPRODUCT((TABELA_VAZAO[Posto]=U$2)*1,(TABELA_VAZAO[Data]=$A35)*1,TABELA_VAZAO[qnat])</f>
        <v>83</v>
      </c>
      <c r="V35" s="210">
        <f ca="1">SUMPRODUCT((TABELA_VAZAO[Posto]=V$2)*1,(TABELA_VAZAO[Data]=$A35)*1,TABELA_VAZAO[qnat])</f>
        <v>87</v>
      </c>
      <c r="W35" s="239" t="e">
        <f ca="1">INDEX(RESULTADOS!$A:$BZ,MATCH($A35,RESULTADOS!$A:$A,0),MATCH(W$1,RESULTADOS!$1:$1,0))</f>
        <v>#N/A</v>
      </c>
      <c r="Y35" s="239" t="e">
        <f ca="1">INDEX(RESULTADOS!$A:$BZ,MATCH($A35,RESULTADOS!$A:$A,0),MATCH(Y$1,RESULTADOS!$1:$1,0))</f>
        <v>#N/A</v>
      </c>
      <c r="AC35" s="239" t="e">
        <f ca="1">INDEX(RESULTADOS!$A:$BZ,MATCH($A35,RESULTADOS!$A:$A,0),MATCH(AC$1,RESULTADOS!$1:$1,0))</f>
        <v>#N/A</v>
      </c>
      <c r="AE35" s="239" t="e">
        <f ca="1">INDEX(RESULTADOS!$A:$BZ,MATCH($A35,RESULTADOS!$A:$A,0),MATCH(AE$1,RESULTADOS!$1:$1,0))</f>
        <v>#N/A</v>
      </c>
      <c r="AF35" s="239" t="e">
        <f ca="1">INDEX(RESULTADOS!$A:$BZ,MATCH($A35,RESULTADOS!$A:$A,0),MATCH(AF$1,RESULTADOS!$1:$1,0))</f>
        <v>#N/A</v>
      </c>
      <c r="AJ35" s="239" t="e">
        <f ca="1">INDEX(RESULTADOS!$A:$BZ,MATCH($A35,RESULTADOS!$A:$A,0),MATCH(AJ$1,RESULTADOS!$1:$1,0))</f>
        <v>#N/A</v>
      </c>
      <c r="AK35" s="239" t="e">
        <f ca="1">INDEX(RESULTADOS!$A:$BZ,MATCH($A35,RESULTADOS!$A:$A,0),MATCH(AK$1,RESULTADOS!$1:$1,0))</f>
        <v>#N/A</v>
      </c>
    </row>
    <row r="36" spans="1:41" x14ac:dyDescent="0.2">
      <c r="A36" s="49">
        <f t="shared" ca="1" si="1"/>
        <v>43835</v>
      </c>
      <c r="B36" s="51"/>
      <c r="C36" s="51" t="e">
        <f ca="1">INDEX(RESULTADOS!$A:$BZ,MATCH($A36,RESULTADOS!$A:$A,0),MATCH(C$1,RESULTADOS!$1:$1,0))</f>
        <v>#N/A</v>
      </c>
      <c r="D36" s="110" t="e">
        <f ca="1">INDEX(RESULTADOS!$A:$BZ,MATCH($A36,RESULTADOS!$A:$A,0),MATCH(D$1,RESULTADOS!$1:$1,0))</f>
        <v>#N/A</v>
      </c>
      <c r="E36" s="210" t="e">
        <f ca="1">INDEX(RESULTADOS!$A:$BZ,MATCH($A36,RESULTADOS!$A:$A,0),MATCH(E$1,RESULTADOS!$1:$1,0))</f>
        <v>#N/A</v>
      </c>
      <c r="F36" s="250" t="e">
        <f ca="1">INDEX(RESULTADOS!$A:$BZ,MATCH($A36,RESULTADOS!$A:$A,0),MATCH(F$1,RESULTADOS!$1:$1,0))</f>
        <v>#N/A</v>
      </c>
      <c r="G36" s="250" t="e">
        <f ca="1">INDEX(RESULTADOS!$A:$BZ,MATCH($A36,RESULTADOS!$A:$A,0),MATCH(G$1,RESULTADOS!$1:$1,0))</f>
        <v>#N/A</v>
      </c>
      <c r="H36" s="250" t="e">
        <f ca="1">INDEX(RESULTADOS!$A:$BZ,MATCH($A36,RESULTADOS!$A:$A,0),MATCH(H$1,RESULTADOS!$1:$1,0))</f>
        <v>#N/A</v>
      </c>
      <c r="I36" s="250" t="e">
        <f ca="1">INDEX(RESULTADOS!$A:$BZ,MATCH($A36,RESULTADOS!$A:$A,0),MATCH(I$1,RESULTADOS!$1:$1,0))</f>
        <v>#N/A</v>
      </c>
      <c r="J36" s="250" t="e">
        <f ca="1">INDEX(RESULTADOS!$A:$BZ,MATCH($A36,RESULTADOS!$A:$A,0),MATCH(J$1,RESULTADOS!$1:$1,0))</f>
        <v>#N/A</v>
      </c>
      <c r="K36" s="210">
        <f ca="1">SUMPRODUCT((TABELA_VAZAO[Posto]=K$2)*1,(TABELA_VAZAO[Data]=$A36)*1,TABELA_VAZAO[qnat])</f>
        <v>26</v>
      </c>
      <c r="L36" s="250">
        <f ca="1">SUMPRODUCT((TABELA_VAZAO[Posto]=L$2)*1,(TABELA_VAZAO[Data]=$A36)*1,TABELA_VAZAO[qinc])</f>
        <v>3</v>
      </c>
      <c r="M36" s="210" t="e">
        <f ca="1">INDEX(RESULTADOS!$A:$BZ,MATCH($A36,RESULTADOS!$A:$A,0),MATCH(M$1,RESULTADOS!$1:$1,0))</f>
        <v>#N/A</v>
      </c>
      <c r="N36" s="210">
        <f ca="1">SUMPRODUCT((TABELA_VAZAO[Posto]=N$2)*1,(TABELA_VAZAO[Data]=$A36)*1,TABELA_VAZAO[qnat])</f>
        <v>71</v>
      </c>
      <c r="O36" s="210">
        <f ca="1">SUMPRODUCT((TABELA_VAZAO[Posto]=O$2)*1,(TABELA_VAZAO[Data]=$A36)*1,TABELA_VAZAO[qnat])</f>
        <v>204</v>
      </c>
      <c r="P36" s="210">
        <f ca="1">SUMPRODUCT((TABELA_VAZAO[Posto]=P$2)*1,(TABELA_VAZAO[Data]=$A36)*1,TABELA_VAZAO[qnat])</f>
        <v>248</v>
      </c>
      <c r="Q36" s="210">
        <f ca="1">SUMPRODUCT((TABELA_VAZAO[Posto]=Q$2)*1,(TABELA_VAZAO[Data]=$A36)*1,TABELA_VAZAO[qnat])</f>
        <v>9</v>
      </c>
      <c r="R36" s="210">
        <f ca="1">SUMPRODUCT((TABELA_VAZAO[Posto]=R$2)*1,(TABELA_VAZAO[Data]=$A36)*1,TABELA_VAZAO[qnat])</f>
        <v>16</v>
      </c>
      <c r="S36" s="210">
        <f ca="1">SUMPRODUCT((TABELA_VAZAO[Posto]=S$2)*1,(TABELA_VAZAO[Data]=$A36)*1,TABELA_VAZAO[qnat])</f>
        <v>299</v>
      </c>
      <c r="T36" s="230" t="e">
        <f ca="1">INDEX(RESULTADOS!$A:$BZ,MATCH($A36,RESULTADOS!$A:$A,0),MATCH(T$1,RESULTADOS!$1:$1,0))</f>
        <v>#N/A</v>
      </c>
      <c r="U36" s="210">
        <f ca="1">SUMPRODUCT((TABELA_VAZAO[Posto]=U$2)*1,(TABELA_VAZAO[Data]=$A36)*1,TABELA_VAZAO[qnat])</f>
        <v>80</v>
      </c>
      <c r="V36" s="210">
        <f ca="1">SUMPRODUCT((TABELA_VAZAO[Posto]=V$2)*1,(TABELA_VAZAO[Data]=$A36)*1,TABELA_VAZAO[qnat])</f>
        <v>84</v>
      </c>
      <c r="W36" s="239" t="e">
        <f ca="1">INDEX(RESULTADOS!$A:$BZ,MATCH($A36,RESULTADOS!$A:$A,0),MATCH(W$1,RESULTADOS!$1:$1,0))</f>
        <v>#N/A</v>
      </c>
      <c r="Y36" s="239" t="e">
        <f ca="1">INDEX(RESULTADOS!$A:$BZ,MATCH($A36,RESULTADOS!$A:$A,0),MATCH(Y$1,RESULTADOS!$1:$1,0))</f>
        <v>#N/A</v>
      </c>
      <c r="AC36" s="239" t="e">
        <f ca="1">INDEX(RESULTADOS!$A:$BZ,MATCH($A36,RESULTADOS!$A:$A,0),MATCH(AC$1,RESULTADOS!$1:$1,0))</f>
        <v>#N/A</v>
      </c>
      <c r="AE36" s="239" t="e">
        <f ca="1">INDEX(RESULTADOS!$A:$BZ,MATCH($A36,RESULTADOS!$A:$A,0),MATCH(AE$1,RESULTADOS!$1:$1,0))</f>
        <v>#N/A</v>
      </c>
      <c r="AF36" s="239" t="e">
        <f ca="1">INDEX(RESULTADOS!$A:$BZ,MATCH($A36,RESULTADOS!$A:$A,0),MATCH(AF$1,RESULTADOS!$1:$1,0))</f>
        <v>#N/A</v>
      </c>
      <c r="AJ36" s="239" t="e">
        <f ca="1">INDEX(RESULTADOS!$A:$BZ,MATCH($A36,RESULTADOS!$A:$A,0),MATCH(AJ$1,RESULTADOS!$1:$1,0))</f>
        <v>#N/A</v>
      </c>
      <c r="AK36" s="239" t="e">
        <f ca="1">INDEX(RESULTADOS!$A:$BZ,MATCH($A36,RESULTADOS!$A:$A,0),MATCH(AK$1,RESULTADOS!$1:$1,0))</f>
        <v>#N/A</v>
      </c>
    </row>
    <row r="37" spans="1:41" ht="13.5" thickBot="1" x14ac:dyDescent="0.25">
      <c r="A37" s="49">
        <f t="shared" ca="1" si="1"/>
        <v>43836</v>
      </c>
      <c r="B37" s="51"/>
      <c r="C37" s="51" t="e">
        <f ca="1">INDEX(RESULTADOS!$A:$BZ,MATCH($A37,RESULTADOS!$A:$A,0),MATCH(C$1,RESULTADOS!$1:$1,0))</f>
        <v>#N/A</v>
      </c>
      <c r="D37" s="110" t="e">
        <f ca="1">INDEX(RESULTADOS!$A:$BZ,MATCH($A37,RESULTADOS!$A:$A,0),MATCH(D$1,RESULTADOS!$1:$1,0))</f>
        <v>#N/A</v>
      </c>
      <c r="E37" s="210" t="e">
        <f ca="1">INDEX(RESULTADOS!$A:$BZ,MATCH($A37,RESULTADOS!$A:$A,0),MATCH(E$1,RESULTADOS!$1:$1,0))</f>
        <v>#N/A</v>
      </c>
      <c r="F37" s="250" t="e">
        <f ca="1">INDEX(RESULTADOS!$A:$BZ,MATCH($A37,RESULTADOS!$A:$A,0),MATCH(F$1,RESULTADOS!$1:$1,0))</f>
        <v>#N/A</v>
      </c>
      <c r="G37" s="250" t="e">
        <f ca="1">INDEX(RESULTADOS!$A:$BZ,MATCH($A37,RESULTADOS!$A:$A,0),MATCH(G$1,RESULTADOS!$1:$1,0))</f>
        <v>#N/A</v>
      </c>
      <c r="H37" s="250" t="e">
        <f ca="1">INDEX(RESULTADOS!$A:$BZ,MATCH($A37,RESULTADOS!$A:$A,0),MATCH(H$1,RESULTADOS!$1:$1,0))</f>
        <v>#N/A</v>
      </c>
      <c r="I37" s="250" t="e">
        <f ca="1">INDEX(RESULTADOS!$A:$BZ,MATCH($A37,RESULTADOS!$A:$A,0),MATCH(I$1,RESULTADOS!$1:$1,0))</f>
        <v>#N/A</v>
      </c>
      <c r="J37" s="250" t="e">
        <f ca="1">INDEX(RESULTADOS!$A:$BZ,MATCH($A37,RESULTADOS!$A:$A,0),MATCH(J$1,RESULTADOS!$1:$1,0))</f>
        <v>#N/A</v>
      </c>
      <c r="K37" s="210">
        <f ca="1">SUMPRODUCT((TABELA_VAZAO[Posto]=K$2)*1,(TABELA_VAZAO[Data]=$A37)*1,TABELA_VAZAO[qnat])</f>
        <v>26</v>
      </c>
      <c r="L37" s="250">
        <f ca="1">SUMPRODUCT((TABELA_VAZAO[Posto]=L$2)*1,(TABELA_VAZAO[Data]=$A37)*1,TABELA_VAZAO[qinc])</f>
        <v>3</v>
      </c>
      <c r="M37" s="210" t="e">
        <f ca="1">INDEX(RESULTADOS!$A:$BZ,MATCH($A37,RESULTADOS!$A:$A,0),MATCH(M$1,RESULTADOS!$1:$1,0))</f>
        <v>#N/A</v>
      </c>
      <c r="N37" s="210">
        <f ca="1">SUMPRODUCT((TABELA_VAZAO[Posto]=N$2)*1,(TABELA_VAZAO[Data]=$A37)*1,TABELA_VAZAO[qnat])</f>
        <v>75</v>
      </c>
      <c r="O37" s="210">
        <f ca="1">SUMPRODUCT((TABELA_VAZAO[Posto]=O$2)*1,(TABELA_VAZAO[Data]=$A37)*1,TABELA_VAZAO[qnat])</f>
        <v>213</v>
      </c>
      <c r="P37" s="210">
        <f ca="1">SUMPRODUCT((TABELA_VAZAO[Posto]=P$2)*1,(TABELA_VAZAO[Data]=$A37)*1,TABELA_VAZAO[qnat])</f>
        <v>256</v>
      </c>
      <c r="Q37" s="210">
        <f ca="1">SUMPRODUCT((TABELA_VAZAO[Posto]=Q$2)*1,(TABELA_VAZAO[Data]=$A37)*1,TABELA_VAZAO[qnat])</f>
        <v>10</v>
      </c>
      <c r="R37" s="210">
        <f ca="1">SUMPRODUCT((TABELA_VAZAO[Posto]=R$2)*1,(TABELA_VAZAO[Data]=$A37)*1,TABELA_VAZAO[qnat])</f>
        <v>17</v>
      </c>
      <c r="S37" s="210">
        <f ca="1">SUMPRODUCT((TABELA_VAZAO[Posto]=S$2)*1,(TABELA_VAZAO[Data]=$A37)*1,TABELA_VAZAO[qnat])</f>
        <v>313</v>
      </c>
      <c r="T37" s="230" t="e">
        <f ca="1">INDEX(RESULTADOS!$A:$BZ,MATCH($A37,RESULTADOS!$A:$A,0),MATCH(T$1,RESULTADOS!$1:$1,0))</f>
        <v>#N/A</v>
      </c>
      <c r="U37" s="210">
        <f ca="1">SUMPRODUCT((TABELA_VAZAO[Posto]=U$2)*1,(TABELA_VAZAO[Data]=$A37)*1,TABELA_VAZAO[qnat])</f>
        <v>79</v>
      </c>
      <c r="V37" s="210">
        <f ca="1">SUMPRODUCT((TABELA_VAZAO[Posto]=V$2)*1,(TABELA_VAZAO[Data]=$A37)*1,TABELA_VAZAO[qnat])</f>
        <v>82</v>
      </c>
      <c r="W37" s="239" t="e">
        <f ca="1">INDEX(RESULTADOS!$A:$BZ,MATCH($A37,RESULTADOS!$A:$A,0),MATCH(W$1,RESULTADOS!$1:$1,0))</f>
        <v>#N/A</v>
      </c>
      <c r="Y37" s="239" t="e">
        <f ca="1">INDEX(RESULTADOS!$A:$BZ,MATCH($A37,RESULTADOS!$A:$A,0),MATCH(Y$1,RESULTADOS!$1:$1,0))</f>
        <v>#N/A</v>
      </c>
      <c r="AC37" s="239" t="e">
        <f ca="1">INDEX(RESULTADOS!$A:$BZ,MATCH($A37,RESULTADOS!$A:$A,0),MATCH(AC$1,RESULTADOS!$1:$1,0))</f>
        <v>#N/A</v>
      </c>
      <c r="AE37" s="239" t="e">
        <f ca="1">INDEX(RESULTADOS!$A:$BZ,MATCH($A37,RESULTADOS!$A:$A,0),MATCH(AE$1,RESULTADOS!$1:$1,0))</f>
        <v>#N/A</v>
      </c>
      <c r="AF37" s="239" t="e">
        <f ca="1">INDEX(RESULTADOS!$A:$BZ,MATCH($A37,RESULTADOS!$A:$A,0),MATCH(AF$1,RESULTADOS!$1:$1,0))</f>
        <v>#N/A</v>
      </c>
      <c r="AJ37" s="239" t="e">
        <f ca="1">INDEX(RESULTADOS!$A:$BZ,MATCH($A37,RESULTADOS!$A:$A,0),MATCH(AJ$1,RESULTADOS!$1:$1,0))</f>
        <v>#N/A</v>
      </c>
      <c r="AK37" s="239" t="e">
        <f ca="1">INDEX(RESULTADOS!$A:$BZ,MATCH($A37,RESULTADOS!$A:$A,0),MATCH(AK$1,RESULTADOS!$1:$1,0))</f>
        <v>#N/A</v>
      </c>
    </row>
    <row r="38" spans="1:41" ht="13.5" thickBot="1" x14ac:dyDescent="0.25">
      <c r="A38" s="187">
        <f ca="1">_data</f>
        <v>43837</v>
      </c>
      <c r="B38" s="185"/>
      <c r="C38" s="185"/>
      <c r="D38" s="185"/>
      <c r="E38" s="186" t="e">
        <f ca="1">INDEX(RESULTADOS!$A:$BZ,MATCH($A38,RESULTADOS!$A:$A,0),MATCH(E$1,RESULTADOS!$1:$1,0))</f>
        <v>#N/A</v>
      </c>
      <c r="F38" s="186" t="e">
        <f ca="1">INDEX(RESULTADOS!$A:$BZ,MATCH($A38,RESULTADOS!$A:$A,0),MATCH(F$1,RESULTADOS!$1:$1,0))</f>
        <v>#N/A</v>
      </c>
      <c r="G38" s="186" t="e">
        <f ca="1">INDEX(RESULTADOS!$A:$BZ,MATCH($A38,RESULTADOS!$A:$A,0),MATCH(G$1,RESULTADOS!$1:$1,0))</f>
        <v>#N/A</v>
      </c>
      <c r="H38" s="186" t="e">
        <f ca="1">INDEX(RESULTADOS!$A:$BZ,MATCH($A38,RESULTADOS!$A:$A,0),MATCH(H$1,RESULTADOS!$1:$1,0))</f>
        <v>#N/A</v>
      </c>
      <c r="I38" s="186" t="e">
        <f ca="1">INDEX(RESULTADOS!$A:$BZ,MATCH($A38,RESULTADOS!$A:$A,0),MATCH(I$1,RESULTADOS!$1:$1,0))</f>
        <v>#N/A</v>
      </c>
      <c r="J38" s="186" t="e">
        <f ca="1">INDEX(RESULTADOS!$A:$BZ,MATCH($A38,RESULTADOS!$A:$A,0),MATCH(J$1,RESULTADOS!$1:$1,0))</f>
        <v>#N/A</v>
      </c>
      <c r="K38" s="186" t="e">
        <f ca="1">INDEX(RESULTADOS!$A:$BZ,MATCH($A38,RESULTADOS!$A:$A,0),MATCH(K$1,RESULTADOS!$1:$1,0))</f>
        <v>#N/A</v>
      </c>
      <c r="L38" s="186" t="e">
        <f ca="1">INDEX(RESULTADOS!$A:$BZ,MATCH($A38,RESULTADOS!$A:$A,0),MATCH(L$1,RESULTADOS!$1:$1,0))</f>
        <v>#N/A</v>
      </c>
      <c r="M38" s="239" t="e">
        <f t="shared" ref="M38:M101" ca="1" si="2">M$4*$F38</f>
        <v>#N/A</v>
      </c>
      <c r="N38" s="239" t="e">
        <f t="shared" ref="N38:N80" ca="1" si="3">N$4*$F38+M38</f>
        <v>#N/A</v>
      </c>
      <c r="O38" s="230" t="e">
        <f t="shared" ref="O38:O80" ca="1" si="4">E38+N38+G38</f>
        <v>#N/A</v>
      </c>
      <c r="P38" s="230" t="e">
        <f t="shared" ref="P38:P80" ca="1" si="5">O38+H38</f>
        <v>#N/A</v>
      </c>
      <c r="Q38" s="239" t="e">
        <f t="shared" ref="Q38:Q101" ca="1" si="6">Q$4*$I38</f>
        <v>#N/A</v>
      </c>
      <c r="R38" s="239" t="e">
        <f t="shared" ref="R38:R80" ca="1" si="7">R$4*$I38+Q38</f>
        <v>#N/A</v>
      </c>
      <c r="S38" s="230" t="e">
        <f t="shared" ref="S38:S80" ca="1" si="8">P38+R38+J38</f>
        <v>#N/A</v>
      </c>
      <c r="T38" s="230"/>
      <c r="U38" s="239" t="e">
        <f t="shared" ref="U38:U101" ca="1" si="9">U$4*$L38</f>
        <v>#N/A</v>
      </c>
      <c r="V38" s="239" t="e">
        <f t="shared" ref="V38:V80" ca="1" si="10">V$4*$L38+U38</f>
        <v>#N/A</v>
      </c>
      <c r="W38" s="239" t="e">
        <f ca="1">INDEX(RESULTADOS!$A:$BZ,MATCH($A38,RESULTADOS!$A:$A,0),MATCH(W$1,RESULTADOS!$1:$1,0))</f>
        <v>#N/A</v>
      </c>
      <c r="Y38" s="239" t="e">
        <f ca="1">INDEX(RESULTADOS!$A:$BZ,MATCH($A38,RESULTADOS!$A:$A,0),MATCH(Y$1,RESULTADOS!$1:$1,0))</f>
        <v>#N/A</v>
      </c>
      <c r="AC38" s="239" t="e">
        <f ca="1">INDEX(RESULTADOS!$A:$BZ,MATCH($A38,RESULTADOS!$A:$A,0),MATCH(AC$1,RESULTADOS!$1:$1,0))</f>
        <v>#N/A</v>
      </c>
      <c r="AE38" s="239" t="e">
        <f ca="1">INDEX(RESULTADOS!$A:$BZ,MATCH($A38,RESULTADOS!$A:$A,0),MATCH(AE$1,RESULTADOS!$1:$1,0))</f>
        <v>#N/A</v>
      </c>
      <c r="AF38" s="239" t="e">
        <f ca="1">INDEX(RESULTADOS!$A:$BZ,MATCH($A38,RESULTADOS!$A:$A,0),MATCH(AF$1,RESULTADOS!$1:$1,0))</f>
        <v>#N/A</v>
      </c>
      <c r="AJ38" s="239" t="e">
        <f ca="1">INDEX(RESULTADOS!$A:$BZ,MATCH($A38,RESULTADOS!$A:$A,0),MATCH(AJ$1,RESULTADOS!$1:$1,0))</f>
        <v>#N/A</v>
      </c>
      <c r="AK38" s="239" t="e">
        <f ca="1">INDEX(RESULTADOS!$A:$BZ,MATCH($A38,RESULTADOS!$A:$A,0),MATCH(AK$1,RESULTADOS!$1:$1,0))</f>
        <v>#N/A</v>
      </c>
      <c r="AO38" s="239" t="e">
        <f ca="1">INDEX(RESULTADOS!$A:$BZ,MATCH($A38,RESULTADOS!$A:$A,0),MATCH(AO$1,RESULTADOS!$1:$1,0))</f>
        <v>#N/A</v>
      </c>
    </row>
    <row r="39" spans="1:41" x14ac:dyDescent="0.2">
      <c r="A39" s="49">
        <f t="shared" ref="A39:A102" ca="1" si="11">A38+1</f>
        <v>43838</v>
      </c>
      <c r="B39" s="53"/>
      <c r="C39" s="53"/>
      <c r="D39" s="52"/>
      <c r="E39" s="208" t="e">
        <f ca="1">INDEX(RESULTADOS!$A:$BZ,MATCH($A39,RESULTADOS!$A:$A,0),MATCH(E$1,RESULTADOS!$1:$1,0))</f>
        <v>#N/A</v>
      </c>
      <c r="F39" s="208" t="e">
        <f ca="1">INDEX(RESULTADOS!$A:$BZ,MATCH($A39,RESULTADOS!$A:$A,0),MATCH(F$1,RESULTADOS!$1:$1,0))</f>
        <v>#N/A</v>
      </c>
      <c r="G39" s="208" t="e">
        <f ca="1">INDEX(RESULTADOS!$A:$BZ,MATCH($A39,RESULTADOS!$A:$A,0),MATCH(G$1,RESULTADOS!$1:$1,0))</f>
        <v>#N/A</v>
      </c>
      <c r="H39" s="208" t="e">
        <f ca="1">INDEX(RESULTADOS!$A:$BZ,MATCH($A39,RESULTADOS!$A:$A,0),MATCH(H$1,RESULTADOS!$1:$1,0))</f>
        <v>#N/A</v>
      </c>
      <c r="I39" s="208" t="e">
        <f ca="1">INDEX(RESULTADOS!$A:$BZ,MATCH($A39,RESULTADOS!$A:$A,0),MATCH(I$1,RESULTADOS!$1:$1,0))</f>
        <v>#N/A</v>
      </c>
      <c r="J39" s="208" t="e">
        <f ca="1">INDEX(RESULTADOS!$A:$BZ,MATCH($A39,RESULTADOS!$A:$A,0),MATCH(J$1,RESULTADOS!$1:$1,0))</f>
        <v>#N/A</v>
      </c>
      <c r="K39" s="208" t="e">
        <f ca="1">INDEX(RESULTADOS!$A:$BZ,MATCH($A39,RESULTADOS!$A:$A,0),MATCH(K$1,RESULTADOS!$1:$1,0))</f>
        <v>#N/A</v>
      </c>
      <c r="L39" s="208" t="e">
        <f ca="1">INDEX(RESULTADOS!$A:$BZ,MATCH($A39,RESULTADOS!$A:$A,0),MATCH(L$1,RESULTADOS!$1:$1,0))</f>
        <v>#N/A</v>
      </c>
      <c r="M39" s="239" t="e">
        <f t="shared" ca="1" si="2"/>
        <v>#N/A</v>
      </c>
      <c r="N39" s="239" t="e">
        <f t="shared" ca="1" si="3"/>
        <v>#N/A</v>
      </c>
      <c r="O39" s="230" t="e">
        <f t="shared" ca="1" si="4"/>
        <v>#N/A</v>
      </c>
      <c r="P39" s="230" t="e">
        <f t="shared" ca="1" si="5"/>
        <v>#N/A</v>
      </c>
      <c r="Q39" s="239" t="e">
        <f t="shared" ca="1" si="6"/>
        <v>#N/A</v>
      </c>
      <c r="R39" s="239" t="e">
        <f t="shared" ca="1" si="7"/>
        <v>#N/A</v>
      </c>
      <c r="S39" s="230" t="e">
        <f t="shared" ca="1" si="8"/>
        <v>#N/A</v>
      </c>
      <c r="T39" s="230"/>
      <c r="U39" s="239" t="e">
        <f t="shared" ca="1" si="9"/>
        <v>#N/A</v>
      </c>
      <c r="V39" s="239" t="e">
        <f t="shared" ca="1" si="10"/>
        <v>#N/A</v>
      </c>
      <c r="W39" s="239" t="e">
        <f ca="1">INDEX(RESULTADOS!$A:$BZ,MATCH($A39,RESULTADOS!$A:$A,0),MATCH(W$1,RESULTADOS!$1:$1,0))</f>
        <v>#N/A</v>
      </c>
      <c r="Y39" s="239" t="e">
        <f ca="1">INDEX(RESULTADOS!$A:$BZ,MATCH($A39,RESULTADOS!$A:$A,0),MATCH(Y$1,RESULTADOS!$1:$1,0))</f>
        <v>#N/A</v>
      </c>
      <c r="AC39" s="239" t="e">
        <f ca="1">INDEX(RESULTADOS!$A:$BZ,MATCH($A39,RESULTADOS!$A:$A,0),MATCH(AC$1,RESULTADOS!$1:$1,0))</f>
        <v>#N/A</v>
      </c>
      <c r="AE39" s="239" t="e">
        <f ca="1">INDEX(RESULTADOS!$A:$BZ,MATCH($A39,RESULTADOS!$A:$A,0),MATCH(AE$1,RESULTADOS!$1:$1,0))</f>
        <v>#N/A</v>
      </c>
      <c r="AF39" s="239" t="e">
        <f ca="1">INDEX(RESULTADOS!$A:$BZ,MATCH($A39,RESULTADOS!$A:$A,0),MATCH(AF$1,RESULTADOS!$1:$1,0))</f>
        <v>#N/A</v>
      </c>
      <c r="AJ39" s="239" t="e">
        <f ca="1">INDEX(RESULTADOS!$A:$BZ,MATCH($A39,RESULTADOS!$A:$A,0),MATCH(AJ$1,RESULTADOS!$1:$1,0))</f>
        <v>#N/A</v>
      </c>
      <c r="AK39" s="239" t="e">
        <f ca="1">INDEX(RESULTADOS!$A:$BZ,MATCH($A39,RESULTADOS!$A:$A,0),MATCH(AK$1,RESULTADOS!$1:$1,0))</f>
        <v>#N/A</v>
      </c>
      <c r="AO39" s="239" t="e">
        <f ca="1">INDEX(RESULTADOS!$A:$BZ,MATCH($A39,RESULTADOS!$A:$A,0),MATCH(AO$1,RESULTADOS!$1:$1,0))</f>
        <v>#N/A</v>
      </c>
    </row>
    <row r="40" spans="1:41" s="85" customFormat="1" x14ac:dyDescent="0.2">
      <c r="A40" s="189">
        <f t="shared" ca="1" si="11"/>
        <v>43839</v>
      </c>
      <c r="B40" s="87"/>
      <c r="C40" s="87"/>
      <c r="D40" s="88"/>
      <c r="E40" s="190" t="e">
        <f ca="1">INDEX(RESULTADOS!$A:$BZ,MATCH($A40,RESULTADOS!$A:$A,0),MATCH(E$1,RESULTADOS!$1:$1,0))</f>
        <v>#N/A</v>
      </c>
      <c r="F40" s="190" t="e">
        <f ca="1">INDEX(RESULTADOS!$A:$BZ,MATCH($A40,RESULTADOS!$A:$A,0),MATCH(F$1,RESULTADOS!$1:$1,0))</f>
        <v>#N/A</v>
      </c>
      <c r="G40" s="190" t="e">
        <f ca="1">INDEX(RESULTADOS!$A:$BZ,MATCH($A40,RESULTADOS!$A:$A,0),MATCH(G$1,RESULTADOS!$1:$1,0))</f>
        <v>#N/A</v>
      </c>
      <c r="H40" s="190" t="e">
        <f ca="1">INDEX(RESULTADOS!$A:$BZ,MATCH($A40,RESULTADOS!$A:$A,0),MATCH(H$1,RESULTADOS!$1:$1,0))</f>
        <v>#N/A</v>
      </c>
      <c r="I40" s="190" t="e">
        <f ca="1">INDEX(RESULTADOS!$A:$BZ,MATCH($A40,RESULTADOS!$A:$A,0),MATCH(I$1,RESULTADOS!$1:$1,0))</f>
        <v>#N/A</v>
      </c>
      <c r="J40" s="190" t="e">
        <f ca="1">INDEX(RESULTADOS!$A:$BZ,MATCH($A40,RESULTADOS!$A:$A,0),MATCH(J$1,RESULTADOS!$1:$1,0))</f>
        <v>#N/A</v>
      </c>
      <c r="K40" s="190" t="e">
        <f ca="1">INDEX(RESULTADOS!$A:$BZ,MATCH($A40,RESULTADOS!$A:$A,0),MATCH(K$1,RESULTADOS!$1:$1,0))</f>
        <v>#N/A</v>
      </c>
      <c r="L40" s="190" t="e">
        <f ca="1">INDEX(RESULTADOS!$A:$BZ,MATCH($A40,RESULTADOS!$A:$A,0),MATCH(L$1,RESULTADOS!$1:$1,0))</f>
        <v>#N/A</v>
      </c>
      <c r="M40" s="239" t="e">
        <f t="shared" ca="1" si="2"/>
        <v>#N/A</v>
      </c>
      <c r="N40" s="239" t="e">
        <f t="shared" ca="1" si="3"/>
        <v>#N/A</v>
      </c>
      <c r="O40" s="230" t="e">
        <f t="shared" ca="1" si="4"/>
        <v>#N/A</v>
      </c>
      <c r="P40" s="230" t="e">
        <f t="shared" ca="1" si="5"/>
        <v>#N/A</v>
      </c>
      <c r="Q40" s="239" t="e">
        <f t="shared" ca="1" si="6"/>
        <v>#N/A</v>
      </c>
      <c r="R40" s="239" t="e">
        <f t="shared" ca="1" si="7"/>
        <v>#N/A</v>
      </c>
      <c r="S40" s="230" t="e">
        <f t="shared" ca="1" si="8"/>
        <v>#N/A</v>
      </c>
      <c r="T40" s="230"/>
      <c r="U40" s="85" t="e">
        <f t="shared" ca="1" si="9"/>
        <v>#N/A</v>
      </c>
      <c r="V40" s="239" t="e">
        <f t="shared" ca="1" si="10"/>
        <v>#N/A</v>
      </c>
      <c r="W40" s="85" t="e">
        <f ca="1">INDEX(RESULTADOS!$A:$BZ,MATCH($A40,RESULTADOS!$A:$A,0),MATCH(W$1,RESULTADOS!$1:$1,0))</f>
        <v>#N/A</v>
      </c>
      <c r="Y40" s="85" t="e">
        <f ca="1">INDEX(RESULTADOS!$A:$BZ,MATCH($A40,RESULTADOS!$A:$A,0),MATCH(Y$1,RESULTADOS!$1:$1,0))</f>
        <v>#N/A</v>
      </c>
      <c r="AC40" s="85" t="e">
        <f ca="1">INDEX(RESULTADOS!$A:$BZ,MATCH($A40,RESULTADOS!$A:$A,0),MATCH(AC$1,RESULTADOS!$1:$1,0))</f>
        <v>#N/A</v>
      </c>
      <c r="AE40" s="85" t="e">
        <f ca="1">INDEX(RESULTADOS!$A:$BZ,MATCH($A40,RESULTADOS!$A:$A,0),MATCH(AE$1,RESULTADOS!$1:$1,0))</f>
        <v>#N/A</v>
      </c>
      <c r="AF40" s="85" t="e">
        <f ca="1">INDEX(RESULTADOS!$A:$BZ,MATCH($A40,RESULTADOS!$A:$A,0),MATCH(AF$1,RESULTADOS!$1:$1,0))</f>
        <v>#N/A</v>
      </c>
      <c r="AJ40" s="85" t="e">
        <f ca="1">INDEX(RESULTADOS!$A:$BZ,MATCH($A40,RESULTADOS!$A:$A,0),MATCH(AJ$1,RESULTADOS!$1:$1,0))</f>
        <v>#N/A</v>
      </c>
      <c r="AK40" s="85" t="e">
        <f ca="1">INDEX(RESULTADOS!$A:$BZ,MATCH($A40,RESULTADOS!$A:$A,0),MATCH(AK$1,RESULTADOS!$1:$1,0))</f>
        <v>#N/A</v>
      </c>
      <c r="AO40" s="85" t="e">
        <f ca="1">INDEX(RESULTADOS!$A:$BZ,MATCH($A40,RESULTADOS!$A:$A,0),MATCH(AO$1,RESULTADOS!$1:$1,0))</f>
        <v>#N/A</v>
      </c>
    </row>
    <row r="41" spans="1:41" s="240" customFormat="1" x14ac:dyDescent="0.2">
      <c r="A41" s="193">
        <f t="shared" ca="1" si="11"/>
        <v>43840</v>
      </c>
      <c r="B41" s="68"/>
      <c r="C41" s="68"/>
      <c r="D41" s="33"/>
      <c r="E41" s="194" t="e">
        <f ca="1">INDEX(RESULTADOS!$A:$BZ,MATCH($A41,RESULTADOS!$A:$A,0),MATCH(E$1,RESULTADOS!$1:$1,0))</f>
        <v>#N/A</v>
      </c>
      <c r="F41" s="194" t="e">
        <f ca="1">INDEX(RESULTADOS!$A:$BZ,MATCH($A41,RESULTADOS!$A:$A,0),MATCH(F$1,RESULTADOS!$1:$1,0))</f>
        <v>#N/A</v>
      </c>
      <c r="G41" s="194" t="e">
        <f ca="1">INDEX(RESULTADOS!$A:$BZ,MATCH($A41,RESULTADOS!$A:$A,0),MATCH(G$1,RESULTADOS!$1:$1,0))</f>
        <v>#N/A</v>
      </c>
      <c r="H41" s="194" t="e">
        <f ca="1">INDEX(RESULTADOS!$A:$BZ,MATCH($A41,RESULTADOS!$A:$A,0),MATCH(H$1,RESULTADOS!$1:$1,0))</f>
        <v>#N/A</v>
      </c>
      <c r="I41" s="194" t="e">
        <f ca="1">INDEX(RESULTADOS!$A:$BZ,MATCH($A41,RESULTADOS!$A:$A,0),MATCH(I$1,RESULTADOS!$1:$1,0))</f>
        <v>#N/A</v>
      </c>
      <c r="J41" s="194" t="e">
        <f ca="1">INDEX(RESULTADOS!$A:$BZ,MATCH($A41,RESULTADOS!$A:$A,0),MATCH(J$1,RESULTADOS!$1:$1,0))</f>
        <v>#N/A</v>
      </c>
      <c r="K41" s="194" t="e">
        <f ca="1">INDEX(RESULTADOS!$A:$BZ,MATCH($A41,RESULTADOS!$A:$A,0),MATCH(K$1,RESULTADOS!$1:$1,0))</f>
        <v>#N/A</v>
      </c>
      <c r="L41" s="194" t="e">
        <f ca="1">INDEX(RESULTADOS!$A:$BZ,MATCH($A41,RESULTADOS!$A:$A,0),MATCH(L$1,RESULTADOS!$1:$1,0))</f>
        <v>#N/A</v>
      </c>
      <c r="M41" s="239" t="e">
        <f t="shared" ca="1" si="2"/>
        <v>#N/A</v>
      </c>
      <c r="N41" s="239" t="e">
        <f t="shared" ca="1" si="3"/>
        <v>#N/A</v>
      </c>
      <c r="O41" s="230" t="e">
        <f t="shared" ca="1" si="4"/>
        <v>#N/A</v>
      </c>
      <c r="P41" s="230" t="e">
        <f t="shared" ca="1" si="5"/>
        <v>#N/A</v>
      </c>
      <c r="Q41" s="239" t="e">
        <f t="shared" ca="1" si="6"/>
        <v>#N/A</v>
      </c>
      <c r="R41" s="239" t="e">
        <f t="shared" ca="1" si="7"/>
        <v>#N/A</v>
      </c>
      <c r="S41" s="230" t="e">
        <f t="shared" ca="1" si="8"/>
        <v>#N/A</v>
      </c>
      <c r="T41" s="230"/>
      <c r="U41" s="240" t="e">
        <f t="shared" ca="1" si="9"/>
        <v>#N/A</v>
      </c>
      <c r="V41" s="239" t="e">
        <f t="shared" ca="1" si="10"/>
        <v>#N/A</v>
      </c>
      <c r="W41" s="240" t="e">
        <f ca="1">INDEX(RESULTADOS!$A:$BZ,MATCH($A41,RESULTADOS!$A:$A,0),MATCH(W$1,RESULTADOS!$1:$1,0))</f>
        <v>#N/A</v>
      </c>
      <c r="Y41" s="240" t="e">
        <f ca="1">INDEX(RESULTADOS!$A:$BZ,MATCH($A41,RESULTADOS!$A:$A,0),MATCH(Y$1,RESULTADOS!$1:$1,0))</f>
        <v>#N/A</v>
      </c>
      <c r="AC41" s="240" t="e">
        <f ca="1">INDEX(RESULTADOS!$A:$BZ,MATCH($A41,RESULTADOS!$A:$A,0),MATCH(AC$1,RESULTADOS!$1:$1,0))</f>
        <v>#N/A</v>
      </c>
      <c r="AE41" s="240" t="e">
        <f ca="1">INDEX(RESULTADOS!$A:$BZ,MATCH($A41,RESULTADOS!$A:$A,0),MATCH(AE$1,RESULTADOS!$1:$1,0))</f>
        <v>#N/A</v>
      </c>
      <c r="AF41" s="240" t="e">
        <f ca="1">INDEX(RESULTADOS!$A:$BZ,MATCH($A41,RESULTADOS!$A:$A,0),MATCH(AF$1,RESULTADOS!$1:$1,0))</f>
        <v>#N/A</v>
      </c>
      <c r="AJ41" s="240" t="e">
        <f ca="1">INDEX(RESULTADOS!$A:$BZ,MATCH($A41,RESULTADOS!$A:$A,0),MATCH(AJ$1,RESULTADOS!$1:$1,0))</f>
        <v>#N/A</v>
      </c>
      <c r="AK41" s="240" t="e">
        <f ca="1">INDEX(RESULTADOS!$A:$BZ,MATCH($A41,RESULTADOS!$A:$A,0),MATCH(AK$1,RESULTADOS!$1:$1,0))</f>
        <v>#N/A</v>
      </c>
      <c r="AO41" s="240" t="e">
        <f ca="1">INDEX(RESULTADOS!$A:$BZ,MATCH($A41,RESULTADOS!$A:$A,0),MATCH(AO$1,RESULTADOS!$1:$1,0))</f>
        <v>#N/A</v>
      </c>
    </row>
    <row r="42" spans="1:41" s="240" customFormat="1" x14ac:dyDescent="0.2">
      <c r="A42" s="193">
        <f t="shared" ca="1" si="11"/>
        <v>43841</v>
      </c>
      <c r="B42" s="68"/>
      <c r="C42" s="68"/>
      <c r="D42" s="33"/>
      <c r="E42" s="194" t="e">
        <f ca="1">INDEX(RESULTADOS!$A:$BZ,MATCH($A42,RESULTADOS!$A:$A,0),MATCH(E$1,RESULTADOS!$1:$1,0))</f>
        <v>#N/A</v>
      </c>
      <c r="F42" s="194" t="e">
        <f ca="1">INDEX(RESULTADOS!$A:$BZ,MATCH($A42,RESULTADOS!$A:$A,0),MATCH(F$1,RESULTADOS!$1:$1,0))</f>
        <v>#N/A</v>
      </c>
      <c r="G42" s="194" t="e">
        <f ca="1">INDEX(RESULTADOS!$A:$BZ,MATCH($A42,RESULTADOS!$A:$A,0),MATCH(G$1,RESULTADOS!$1:$1,0))</f>
        <v>#N/A</v>
      </c>
      <c r="H42" s="194" t="e">
        <f ca="1">INDEX(RESULTADOS!$A:$BZ,MATCH($A42,RESULTADOS!$A:$A,0),MATCH(H$1,RESULTADOS!$1:$1,0))</f>
        <v>#N/A</v>
      </c>
      <c r="I42" s="194" t="e">
        <f ca="1">INDEX(RESULTADOS!$A:$BZ,MATCH($A42,RESULTADOS!$A:$A,0),MATCH(I$1,RESULTADOS!$1:$1,0))</f>
        <v>#N/A</v>
      </c>
      <c r="J42" s="194" t="e">
        <f ca="1">INDEX(RESULTADOS!$A:$BZ,MATCH($A42,RESULTADOS!$A:$A,0),MATCH(J$1,RESULTADOS!$1:$1,0))</f>
        <v>#N/A</v>
      </c>
      <c r="K42" s="194" t="e">
        <f ca="1">INDEX(RESULTADOS!$A:$BZ,MATCH($A42,RESULTADOS!$A:$A,0),MATCH(K$1,RESULTADOS!$1:$1,0))</f>
        <v>#N/A</v>
      </c>
      <c r="L42" s="194" t="e">
        <f ca="1">INDEX(RESULTADOS!$A:$BZ,MATCH($A42,RESULTADOS!$A:$A,0),MATCH(L$1,RESULTADOS!$1:$1,0))</f>
        <v>#N/A</v>
      </c>
      <c r="M42" s="239" t="e">
        <f t="shared" ca="1" si="2"/>
        <v>#N/A</v>
      </c>
      <c r="N42" s="239" t="e">
        <f t="shared" ca="1" si="3"/>
        <v>#N/A</v>
      </c>
      <c r="O42" s="230" t="e">
        <f t="shared" ca="1" si="4"/>
        <v>#N/A</v>
      </c>
      <c r="P42" s="230" t="e">
        <f t="shared" ca="1" si="5"/>
        <v>#N/A</v>
      </c>
      <c r="Q42" s="239" t="e">
        <f t="shared" ca="1" si="6"/>
        <v>#N/A</v>
      </c>
      <c r="R42" s="239" t="e">
        <f t="shared" ca="1" si="7"/>
        <v>#N/A</v>
      </c>
      <c r="S42" s="230" t="e">
        <f t="shared" ca="1" si="8"/>
        <v>#N/A</v>
      </c>
      <c r="T42" s="230"/>
      <c r="U42" s="240" t="e">
        <f t="shared" ca="1" si="9"/>
        <v>#N/A</v>
      </c>
      <c r="V42" s="239" t="e">
        <f t="shared" ca="1" si="10"/>
        <v>#N/A</v>
      </c>
      <c r="W42" s="240" t="e">
        <f ca="1">INDEX(RESULTADOS!$A:$BZ,MATCH($A42,RESULTADOS!$A:$A,0),MATCH(W$1,RESULTADOS!$1:$1,0))</f>
        <v>#N/A</v>
      </c>
      <c r="Y42" s="240" t="e">
        <f ca="1">INDEX(RESULTADOS!$A:$BZ,MATCH($A42,RESULTADOS!$A:$A,0),MATCH(Y$1,RESULTADOS!$1:$1,0))</f>
        <v>#N/A</v>
      </c>
      <c r="AC42" s="240" t="e">
        <f ca="1">INDEX(RESULTADOS!$A:$BZ,MATCH($A42,RESULTADOS!$A:$A,0),MATCH(AC$1,RESULTADOS!$1:$1,0))</f>
        <v>#N/A</v>
      </c>
      <c r="AE42" s="240" t="e">
        <f ca="1">INDEX(RESULTADOS!$A:$BZ,MATCH($A42,RESULTADOS!$A:$A,0),MATCH(AE$1,RESULTADOS!$1:$1,0))</f>
        <v>#N/A</v>
      </c>
      <c r="AF42" s="240" t="e">
        <f ca="1">INDEX(RESULTADOS!$A:$BZ,MATCH($A42,RESULTADOS!$A:$A,0),MATCH(AF$1,RESULTADOS!$1:$1,0))</f>
        <v>#N/A</v>
      </c>
      <c r="AJ42" s="240" t="e">
        <f ca="1">INDEX(RESULTADOS!$A:$BZ,MATCH($A42,RESULTADOS!$A:$A,0),MATCH(AJ$1,RESULTADOS!$1:$1,0))</f>
        <v>#N/A</v>
      </c>
      <c r="AK42" s="240" t="e">
        <f ca="1">INDEX(RESULTADOS!$A:$BZ,MATCH($A42,RESULTADOS!$A:$A,0),MATCH(AK$1,RESULTADOS!$1:$1,0))</f>
        <v>#N/A</v>
      </c>
      <c r="AO42" s="240" t="e">
        <f ca="1">INDEX(RESULTADOS!$A:$BZ,MATCH($A42,RESULTADOS!$A:$A,0),MATCH(AO$1,RESULTADOS!$1:$1,0))</f>
        <v>#N/A</v>
      </c>
    </row>
    <row r="43" spans="1:41" s="240" customFormat="1" x14ac:dyDescent="0.2">
      <c r="A43" s="193">
        <f t="shared" ca="1" si="11"/>
        <v>43842</v>
      </c>
      <c r="B43" s="68"/>
      <c r="C43" s="68"/>
      <c r="D43" s="33"/>
      <c r="E43" s="194" t="e">
        <f ca="1">INDEX(RESULTADOS!$A:$BZ,MATCH($A43,RESULTADOS!$A:$A,0),MATCH(E$1,RESULTADOS!$1:$1,0))</f>
        <v>#N/A</v>
      </c>
      <c r="F43" s="194" t="e">
        <f ca="1">INDEX(RESULTADOS!$A:$BZ,MATCH($A43,RESULTADOS!$A:$A,0),MATCH(F$1,RESULTADOS!$1:$1,0))</f>
        <v>#N/A</v>
      </c>
      <c r="G43" s="194" t="e">
        <f ca="1">INDEX(RESULTADOS!$A:$BZ,MATCH($A43,RESULTADOS!$A:$A,0),MATCH(G$1,RESULTADOS!$1:$1,0))</f>
        <v>#N/A</v>
      </c>
      <c r="H43" s="194" t="e">
        <f ca="1">INDEX(RESULTADOS!$A:$BZ,MATCH($A43,RESULTADOS!$A:$A,0),MATCH(H$1,RESULTADOS!$1:$1,0))</f>
        <v>#N/A</v>
      </c>
      <c r="I43" s="194" t="e">
        <f ca="1">INDEX(RESULTADOS!$A:$BZ,MATCH($A43,RESULTADOS!$A:$A,0),MATCH(I$1,RESULTADOS!$1:$1,0))</f>
        <v>#N/A</v>
      </c>
      <c r="J43" s="194" t="e">
        <f ca="1">INDEX(RESULTADOS!$A:$BZ,MATCH($A43,RESULTADOS!$A:$A,0),MATCH(J$1,RESULTADOS!$1:$1,0))</f>
        <v>#N/A</v>
      </c>
      <c r="K43" s="194" t="e">
        <f ca="1">INDEX(RESULTADOS!$A:$BZ,MATCH($A43,RESULTADOS!$A:$A,0),MATCH(K$1,RESULTADOS!$1:$1,0))</f>
        <v>#N/A</v>
      </c>
      <c r="L43" s="194" t="e">
        <f ca="1">INDEX(RESULTADOS!$A:$BZ,MATCH($A43,RESULTADOS!$A:$A,0),MATCH(L$1,RESULTADOS!$1:$1,0))</f>
        <v>#N/A</v>
      </c>
      <c r="M43" s="239" t="e">
        <f t="shared" ca="1" si="2"/>
        <v>#N/A</v>
      </c>
      <c r="N43" s="239" t="e">
        <f t="shared" ca="1" si="3"/>
        <v>#N/A</v>
      </c>
      <c r="O43" s="230" t="e">
        <f t="shared" ca="1" si="4"/>
        <v>#N/A</v>
      </c>
      <c r="P43" s="230" t="e">
        <f t="shared" ca="1" si="5"/>
        <v>#N/A</v>
      </c>
      <c r="Q43" s="239" t="e">
        <f t="shared" ca="1" si="6"/>
        <v>#N/A</v>
      </c>
      <c r="R43" s="239" t="e">
        <f t="shared" ca="1" si="7"/>
        <v>#N/A</v>
      </c>
      <c r="S43" s="230" t="e">
        <f t="shared" ca="1" si="8"/>
        <v>#N/A</v>
      </c>
      <c r="T43" s="230"/>
      <c r="U43" s="240" t="e">
        <f t="shared" ca="1" si="9"/>
        <v>#N/A</v>
      </c>
      <c r="V43" s="239" t="e">
        <f t="shared" ca="1" si="10"/>
        <v>#N/A</v>
      </c>
      <c r="W43" s="240" t="e">
        <f ca="1">INDEX(RESULTADOS!$A:$BZ,MATCH($A43,RESULTADOS!$A:$A,0),MATCH(W$1,RESULTADOS!$1:$1,0))</f>
        <v>#N/A</v>
      </c>
      <c r="Y43" s="240" t="e">
        <f ca="1">INDEX(RESULTADOS!$A:$BZ,MATCH($A43,RESULTADOS!$A:$A,0),MATCH(Y$1,RESULTADOS!$1:$1,0))</f>
        <v>#N/A</v>
      </c>
      <c r="AC43" s="240" t="e">
        <f ca="1">INDEX(RESULTADOS!$A:$BZ,MATCH($A43,RESULTADOS!$A:$A,0),MATCH(AC$1,RESULTADOS!$1:$1,0))</f>
        <v>#N/A</v>
      </c>
      <c r="AE43" s="240" t="e">
        <f ca="1">INDEX(RESULTADOS!$A:$BZ,MATCH($A43,RESULTADOS!$A:$A,0),MATCH(AE$1,RESULTADOS!$1:$1,0))</f>
        <v>#N/A</v>
      </c>
      <c r="AF43" s="240" t="e">
        <f ca="1">INDEX(RESULTADOS!$A:$BZ,MATCH($A43,RESULTADOS!$A:$A,0),MATCH(AF$1,RESULTADOS!$1:$1,0))</f>
        <v>#N/A</v>
      </c>
      <c r="AJ43" s="240" t="e">
        <f ca="1">INDEX(RESULTADOS!$A:$BZ,MATCH($A43,RESULTADOS!$A:$A,0),MATCH(AJ$1,RESULTADOS!$1:$1,0))</f>
        <v>#N/A</v>
      </c>
      <c r="AK43" s="240" t="e">
        <f ca="1">INDEX(RESULTADOS!$A:$BZ,MATCH($A43,RESULTADOS!$A:$A,0),MATCH(AK$1,RESULTADOS!$1:$1,0))</f>
        <v>#N/A</v>
      </c>
      <c r="AO43" s="240" t="e">
        <f ca="1">INDEX(RESULTADOS!$A:$BZ,MATCH($A43,RESULTADOS!$A:$A,0),MATCH(AO$1,RESULTADOS!$1:$1,0))</f>
        <v>#N/A</v>
      </c>
    </row>
    <row r="44" spans="1:41" s="240" customFormat="1" x14ac:dyDescent="0.2">
      <c r="A44" s="193">
        <f t="shared" ca="1" si="11"/>
        <v>43843</v>
      </c>
      <c r="B44" s="68"/>
      <c r="C44" s="68"/>
      <c r="D44" s="33"/>
      <c r="E44" s="194" t="e">
        <f ca="1">INDEX(RESULTADOS!$A:$BZ,MATCH($A44,RESULTADOS!$A:$A,0),MATCH(E$1,RESULTADOS!$1:$1,0))</f>
        <v>#N/A</v>
      </c>
      <c r="F44" s="194" t="e">
        <f ca="1">INDEX(RESULTADOS!$A:$BZ,MATCH($A44,RESULTADOS!$A:$A,0),MATCH(F$1,RESULTADOS!$1:$1,0))</f>
        <v>#N/A</v>
      </c>
      <c r="G44" s="194" t="e">
        <f ca="1">INDEX(RESULTADOS!$A:$BZ,MATCH($A44,RESULTADOS!$A:$A,0),MATCH(G$1,RESULTADOS!$1:$1,0))</f>
        <v>#N/A</v>
      </c>
      <c r="H44" s="194" t="e">
        <f ca="1">INDEX(RESULTADOS!$A:$BZ,MATCH($A44,RESULTADOS!$A:$A,0),MATCH(H$1,RESULTADOS!$1:$1,0))</f>
        <v>#N/A</v>
      </c>
      <c r="I44" s="194" t="e">
        <f ca="1">INDEX(RESULTADOS!$A:$BZ,MATCH($A44,RESULTADOS!$A:$A,0),MATCH(I$1,RESULTADOS!$1:$1,0))</f>
        <v>#N/A</v>
      </c>
      <c r="J44" s="194" t="e">
        <f ca="1">INDEX(RESULTADOS!$A:$BZ,MATCH($A44,RESULTADOS!$A:$A,0),MATCH(J$1,RESULTADOS!$1:$1,0))</f>
        <v>#N/A</v>
      </c>
      <c r="K44" s="194" t="e">
        <f ca="1">INDEX(RESULTADOS!$A:$BZ,MATCH($A44,RESULTADOS!$A:$A,0),MATCH(K$1,RESULTADOS!$1:$1,0))</f>
        <v>#N/A</v>
      </c>
      <c r="L44" s="295" t="e">
        <f ca="1">INDEX(RESULTADOS!$A:$BZ,MATCH($A44,RESULTADOS!$A:$A,0),MATCH(L$1,RESULTADOS!$1:$1,0))</f>
        <v>#N/A</v>
      </c>
      <c r="M44" s="239" t="e">
        <f t="shared" ca="1" si="2"/>
        <v>#N/A</v>
      </c>
      <c r="N44" s="239" t="e">
        <f t="shared" ca="1" si="3"/>
        <v>#N/A</v>
      </c>
      <c r="O44" s="230" t="e">
        <f t="shared" ca="1" si="4"/>
        <v>#N/A</v>
      </c>
      <c r="P44" s="230" t="e">
        <f t="shared" ca="1" si="5"/>
        <v>#N/A</v>
      </c>
      <c r="Q44" s="239" t="e">
        <f t="shared" ca="1" si="6"/>
        <v>#N/A</v>
      </c>
      <c r="R44" s="239" t="e">
        <f t="shared" ca="1" si="7"/>
        <v>#N/A</v>
      </c>
      <c r="S44" s="230" t="e">
        <f t="shared" ca="1" si="8"/>
        <v>#N/A</v>
      </c>
      <c r="T44" s="230"/>
      <c r="U44" s="240" t="e">
        <f t="shared" ca="1" si="9"/>
        <v>#N/A</v>
      </c>
      <c r="V44" s="239" t="e">
        <f t="shared" ca="1" si="10"/>
        <v>#N/A</v>
      </c>
      <c r="W44" s="240" t="e">
        <f ca="1">INDEX(RESULTADOS!$A:$BZ,MATCH($A44,RESULTADOS!$A:$A,0),MATCH(W$1,RESULTADOS!$1:$1,0))</f>
        <v>#N/A</v>
      </c>
      <c r="Y44" s="240" t="e">
        <f ca="1">INDEX(RESULTADOS!$A:$BZ,MATCH($A44,RESULTADOS!$A:$A,0),MATCH(Y$1,RESULTADOS!$1:$1,0))</f>
        <v>#N/A</v>
      </c>
      <c r="AC44" s="240" t="e">
        <f ca="1">INDEX(RESULTADOS!$A:$BZ,MATCH($A44,RESULTADOS!$A:$A,0),MATCH(AC$1,RESULTADOS!$1:$1,0))</f>
        <v>#N/A</v>
      </c>
      <c r="AE44" s="240" t="e">
        <f ca="1">INDEX(RESULTADOS!$A:$BZ,MATCH($A44,RESULTADOS!$A:$A,0),MATCH(AE$1,RESULTADOS!$1:$1,0))</f>
        <v>#N/A</v>
      </c>
      <c r="AF44" s="240" t="e">
        <f ca="1">INDEX(RESULTADOS!$A:$BZ,MATCH($A44,RESULTADOS!$A:$A,0),MATCH(AF$1,RESULTADOS!$1:$1,0))</f>
        <v>#N/A</v>
      </c>
      <c r="AJ44" s="240" t="e">
        <f ca="1">INDEX(RESULTADOS!$A:$BZ,MATCH($A44,RESULTADOS!$A:$A,0),MATCH(AJ$1,RESULTADOS!$1:$1,0))</f>
        <v>#N/A</v>
      </c>
      <c r="AK44" s="240" t="e">
        <f ca="1">INDEX(RESULTADOS!$A:$BZ,MATCH($A44,RESULTADOS!$A:$A,0),MATCH(AK$1,RESULTADOS!$1:$1,0))</f>
        <v>#N/A</v>
      </c>
      <c r="AO44" s="240" t="e">
        <f ca="1">INDEX(RESULTADOS!$A:$BZ,MATCH($A44,RESULTADOS!$A:$A,0),MATCH(AO$1,RESULTADOS!$1:$1,0))</f>
        <v>#N/A</v>
      </c>
    </row>
    <row r="45" spans="1:41" s="240" customFormat="1" x14ac:dyDescent="0.2">
      <c r="A45" s="193">
        <f t="shared" ca="1" si="11"/>
        <v>43844</v>
      </c>
      <c r="B45" s="68"/>
      <c r="C45" s="68"/>
      <c r="D45" s="33"/>
      <c r="E45" s="194" t="e">
        <f ca="1">INDEX(RESULTADOS!$A:$BZ,MATCH($A45,RESULTADOS!$A:$A,0),MATCH(E$1,RESULTADOS!$1:$1,0))</f>
        <v>#N/A</v>
      </c>
      <c r="F45" s="194" t="e">
        <f ca="1">INDEX(RESULTADOS!$A:$BZ,MATCH($A45,RESULTADOS!$A:$A,0),MATCH(F$1,RESULTADOS!$1:$1,0))</f>
        <v>#N/A</v>
      </c>
      <c r="G45" s="194" t="e">
        <f ca="1">INDEX(RESULTADOS!$A:$BZ,MATCH($A45,RESULTADOS!$A:$A,0),MATCH(G$1,RESULTADOS!$1:$1,0))</f>
        <v>#N/A</v>
      </c>
      <c r="H45" s="194" t="e">
        <f ca="1">INDEX(RESULTADOS!$A:$BZ,MATCH($A45,RESULTADOS!$A:$A,0),MATCH(H$1,RESULTADOS!$1:$1,0))</f>
        <v>#N/A</v>
      </c>
      <c r="I45" s="194" t="e">
        <f ca="1">INDEX(RESULTADOS!$A:$BZ,MATCH($A45,RESULTADOS!$A:$A,0),MATCH(I$1,RESULTADOS!$1:$1,0))</f>
        <v>#N/A</v>
      </c>
      <c r="J45" s="194" t="e">
        <f ca="1">INDEX(RESULTADOS!$A:$BZ,MATCH($A45,RESULTADOS!$A:$A,0),MATCH(J$1,RESULTADOS!$1:$1,0))</f>
        <v>#N/A</v>
      </c>
      <c r="K45" s="194" t="e">
        <f ca="1">INDEX(RESULTADOS!$A:$BZ,MATCH($A45,RESULTADOS!$A:$A,0),MATCH(K$1,RESULTADOS!$1:$1,0))</f>
        <v>#N/A</v>
      </c>
      <c r="L45" s="194" t="e">
        <f ca="1">INDEX(RESULTADOS!$A:$BZ,MATCH($A45,RESULTADOS!$A:$A,0),MATCH(L$1,RESULTADOS!$1:$1,0))</f>
        <v>#N/A</v>
      </c>
      <c r="M45" s="239" t="e">
        <f t="shared" ca="1" si="2"/>
        <v>#N/A</v>
      </c>
      <c r="N45" s="239" t="e">
        <f t="shared" ca="1" si="3"/>
        <v>#N/A</v>
      </c>
      <c r="O45" s="230" t="e">
        <f t="shared" ca="1" si="4"/>
        <v>#N/A</v>
      </c>
      <c r="P45" s="230" t="e">
        <f t="shared" ca="1" si="5"/>
        <v>#N/A</v>
      </c>
      <c r="Q45" s="239" t="e">
        <f t="shared" ca="1" si="6"/>
        <v>#N/A</v>
      </c>
      <c r="R45" s="239" t="e">
        <f t="shared" ca="1" si="7"/>
        <v>#N/A</v>
      </c>
      <c r="S45" s="230" t="e">
        <f t="shared" ca="1" si="8"/>
        <v>#N/A</v>
      </c>
      <c r="T45" s="230"/>
      <c r="U45" s="240" t="e">
        <f t="shared" ca="1" si="9"/>
        <v>#N/A</v>
      </c>
      <c r="V45" s="239" t="e">
        <f t="shared" ca="1" si="10"/>
        <v>#N/A</v>
      </c>
      <c r="W45" s="240" t="e">
        <f ca="1">INDEX(RESULTADOS!$A:$BZ,MATCH($A45,RESULTADOS!$A:$A,0),MATCH(W$1,RESULTADOS!$1:$1,0))</f>
        <v>#N/A</v>
      </c>
      <c r="Y45" s="240" t="e">
        <f ca="1">INDEX(RESULTADOS!$A:$BZ,MATCH($A45,RESULTADOS!$A:$A,0),MATCH(Y$1,RESULTADOS!$1:$1,0))</f>
        <v>#N/A</v>
      </c>
      <c r="AC45" s="240" t="e">
        <f ca="1">INDEX(RESULTADOS!$A:$BZ,MATCH($A45,RESULTADOS!$A:$A,0),MATCH(AC$1,RESULTADOS!$1:$1,0))</f>
        <v>#N/A</v>
      </c>
      <c r="AE45" s="240" t="e">
        <f ca="1">INDEX(RESULTADOS!$A:$BZ,MATCH($A45,RESULTADOS!$A:$A,0),MATCH(AE$1,RESULTADOS!$1:$1,0))</f>
        <v>#N/A</v>
      </c>
      <c r="AF45" s="240" t="e">
        <f ca="1">INDEX(RESULTADOS!$A:$BZ,MATCH($A45,RESULTADOS!$A:$A,0),MATCH(AF$1,RESULTADOS!$1:$1,0))</f>
        <v>#N/A</v>
      </c>
      <c r="AJ45" s="240" t="e">
        <f ca="1">INDEX(RESULTADOS!$A:$BZ,MATCH($A45,RESULTADOS!$A:$A,0),MATCH(AJ$1,RESULTADOS!$1:$1,0))</f>
        <v>#N/A</v>
      </c>
      <c r="AK45" s="240" t="e">
        <f ca="1">INDEX(RESULTADOS!$A:$BZ,MATCH($A45,RESULTADOS!$A:$A,0),MATCH(AK$1,RESULTADOS!$1:$1,0))</f>
        <v>#N/A</v>
      </c>
      <c r="AO45" s="240" t="e">
        <f ca="1">INDEX(RESULTADOS!$A:$BZ,MATCH($A45,RESULTADOS!$A:$A,0),MATCH(AO$1,RESULTADOS!$1:$1,0))</f>
        <v>#N/A</v>
      </c>
    </row>
    <row r="46" spans="1:41" s="95" customFormat="1" x14ac:dyDescent="0.2">
      <c r="A46" s="197">
        <f t="shared" ca="1" si="11"/>
        <v>43845</v>
      </c>
      <c r="B46" s="92"/>
      <c r="C46" s="92"/>
      <c r="D46" s="93"/>
      <c r="E46" s="198" t="e">
        <f ca="1">INDEX(RESULTADOS!$A:$BZ,MATCH($A46,RESULTADOS!$A:$A,0),MATCH(E$1,RESULTADOS!$1:$1,0))</f>
        <v>#N/A</v>
      </c>
      <c r="F46" s="198" t="e">
        <f ca="1">INDEX(RESULTADOS!$A:$BZ,MATCH($A46,RESULTADOS!$A:$A,0),MATCH(F$1,RESULTADOS!$1:$1,0))</f>
        <v>#N/A</v>
      </c>
      <c r="G46" s="198" t="e">
        <f ca="1">INDEX(RESULTADOS!$A:$BZ,MATCH($A46,RESULTADOS!$A:$A,0),MATCH(G$1,RESULTADOS!$1:$1,0))</f>
        <v>#N/A</v>
      </c>
      <c r="H46" s="198" t="e">
        <f ca="1">INDEX(RESULTADOS!$A:$BZ,MATCH($A46,RESULTADOS!$A:$A,0),MATCH(H$1,RESULTADOS!$1:$1,0))</f>
        <v>#N/A</v>
      </c>
      <c r="I46" s="198" t="e">
        <f ca="1">INDEX(RESULTADOS!$A:$BZ,MATCH($A46,RESULTADOS!$A:$A,0),MATCH(I$1,RESULTADOS!$1:$1,0))</f>
        <v>#N/A</v>
      </c>
      <c r="J46" s="198" t="e">
        <f ca="1">INDEX(RESULTADOS!$A:$BZ,MATCH($A46,RESULTADOS!$A:$A,0),MATCH(J$1,RESULTADOS!$1:$1,0))</f>
        <v>#N/A</v>
      </c>
      <c r="K46" s="198" t="e">
        <f ca="1">INDEX(RESULTADOS!$A:$BZ,MATCH($A46,RESULTADOS!$A:$A,0),MATCH(K$1,RESULTADOS!$1:$1,0))</f>
        <v>#N/A</v>
      </c>
      <c r="L46" s="198" t="e">
        <f ca="1">INDEX(RESULTADOS!$A:$BZ,MATCH($A46,RESULTADOS!$A:$A,0),MATCH(L$1,RESULTADOS!$1:$1,0))</f>
        <v>#N/A</v>
      </c>
      <c r="M46" s="239" t="e">
        <f t="shared" ca="1" si="2"/>
        <v>#N/A</v>
      </c>
      <c r="N46" s="239" t="e">
        <f t="shared" ca="1" si="3"/>
        <v>#N/A</v>
      </c>
      <c r="O46" s="230" t="e">
        <f t="shared" ca="1" si="4"/>
        <v>#N/A</v>
      </c>
      <c r="P46" s="230" t="e">
        <f t="shared" ca="1" si="5"/>
        <v>#N/A</v>
      </c>
      <c r="Q46" s="239" t="e">
        <f t="shared" ca="1" si="6"/>
        <v>#N/A</v>
      </c>
      <c r="R46" s="239" t="e">
        <f t="shared" ca="1" si="7"/>
        <v>#N/A</v>
      </c>
      <c r="S46" s="230" t="e">
        <f t="shared" ca="1" si="8"/>
        <v>#N/A</v>
      </c>
      <c r="T46" s="230"/>
      <c r="U46" s="95" t="e">
        <f t="shared" ca="1" si="9"/>
        <v>#N/A</v>
      </c>
      <c r="V46" s="239" t="e">
        <f t="shared" ca="1" si="10"/>
        <v>#N/A</v>
      </c>
      <c r="W46" s="95" t="e">
        <f ca="1">INDEX(RESULTADOS!$A:$BZ,MATCH($A46,RESULTADOS!$A:$A,0),MATCH(W$1,RESULTADOS!$1:$1,0))</f>
        <v>#N/A</v>
      </c>
      <c r="Y46" s="95" t="e">
        <f ca="1">INDEX(RESULTADOS!$A:$BZ,MATCH($A46,RESULTADOS!$A:$A,0),MATCH(Y$1,RESULTADOS!$1:$1,0))</f>
        <v>#N/A</v>
      </c>
      <c r="AC46" s="95" t="e">
        <f ca="1">INDEX(RESULTADOS!$A:$BZ,MATCH($A46,RESULTADOS!$A:$A,0),MATCH(AC$1,RESULTADOS!$1:$1,0))</f>
        <v>#N/A</v>
      </c>
      <c r="AE46" s="95" t="e">
        <f ca="1">INDEX(RESULTADOS!$A:$BZ,MATCH($A46,RESULTADOS!$A:$A,0),MATCH(AE$1,RESULTADOS!$1:$1,0))</f>
        <v>#N/A</v>
      </c>
      <c r="AF46" s="95" t="e">
        <f ca="1">INDEX(RESULTADOS!$A:$BZ,MATCH($A46,RESULTADOS!$A:$A,0),MATCH(AF$1,RESULTADOS!$1:$1,0))</f>
        <v>#N/A</v>
      </c>
      <c r="AJ46" s="95" t="e">
        <f ca="1">INDEX(RESULTADOS!$A:$BZ,MATCH($A46,RESULTADOS!$A:$A,0),MATCH(AJ$1,RESULTADOS!$1:$1,0))</f>
        <v>#N/A</v>
      </c>
      <c r="AK46" s="95" t="e">
        <f ca="1">INDEX(RESULTADOS!$A:$BZ,MATCH($A46,RESULTADOS!$A:$A,0),MATCH(AK$1,RESULTADOS!$1:$1,0))</f>
        <v>#N/A</v>
      </c>
      <c r="AO46" s="95" t="e">
        <f ca="1">INDEX(RESULTADOS!$A:$BZ,MATCH($A46,RESULTADOS!$A:$A,0),MATCH(AO$1,RESULTADOS!$1:$1,0))</f>
        <v>#N/A</v>
      </c>
    </row>
    <row r="47" spans="1:41" x14ac:dyDescent="0.2">
      <c r="A47" s="188">
        <f t="shared" ca="1" si="11"/>
        <v>43846</v>
      </c>
      <c r="B47" s="68"/>
      <c r="C47" s="68"/>
      <c r="D47" s="33"/>
      <c r="E47" s="208" t="e">
        <f ca="1">INDEX(RESULTADOS!$A:$BZ,MATCH($A47,RESULTADOS!$A:$A,0),MATCH(E$1,RESULTADOS!$1:$1,0))</f>
        <v>#N/A</v>
      </c>
      <c r="F47" s="208" t="e">
        <f ca="1">INDEX(RESULTADOS!$A:$BZ,MATCH($A47,RESULTADOS!$A:$A,0),MATCH(F$1,RESULTADOS!$1:$1,0))</f>
        <v>#N/A</v>
      </c>
      <c r="G47" s="208" t="e">
        <f ca="1">INDEX(RESULTADOS!$A:$BZ,MATCH($A47,RESULTADOS!$A:$A,0),MATCH(G$1,RESULTADOS!$1:$1,0))</f>
        <v>#N/A</v>
      </c>
      <c r="H47" s="208" t="e">
        <f ca="1">INDEX(RESULTADOS!$A:$BZ,MATCH($A47,RESULTADOS!$A:$A,0),MATCH(H$1,RESULTADOS!$1:$1,0))</f>
        <v>#N/A</v>
      </c>
      <c r="I47" s="208" t="e">
        <f ca="1">INDEX(RESULTADOS!$A:$BZ,MATCH($A47,RESULTADOS!$A:$A,0),MATCH(I$1,RESULTADOS!$1:$1,0))</f>
        <v>#N/A</v>
      </c>
      <c r="J47" s="208" t="e">
        <f ca="1">INDEX(RESULTADOS!$A:$BZ,MATCH($A47,RESULTADOS!$A:$A,0),MATCH(J$1,RESULTADOS!$1:$1,0))</f>
        <v>#N/A</v>
      </c>
      <c r="K47" s="208" t="e">
        <f ca="1">INDEX(RESULTADOS!$A:$BZ,MATCH($A47,RESULTADOS!$A:$A,0),MATCH(K$1,RESULTADOS!$1:$1,0))</f>
        <v>#N/A</v>
      </c>
      <c r="L47" s="208" t="e">
        <f ca="1">INDEX(RESULTADOS!$A:$BZ,MATCH($A47,RESULTADOS!$A:$A,0),MATCH(L$1,RESULTADOS!$1:$1,0))</f>
        <v>#N/A</v>
      </c>
      <c r="M47" s="239" t="e">
        <f t="shared" ca="1" si="2"/>
        <v>#N/A</v>
      </c>
      <c r="N47" s="239" t="e">
        <f t="shared" ca="1" si="3"/>
        <v>#N/A</v>
      </c>
      <c r="O47" s="230" t="e">
        <f t="shared" ca="1" si="4"/>
        <v>#N/A</v>
      </c>
      <c r="P47" s="230" t="e">
        <f t="shared" ca="1" si="5"/>
        <v>#N/A</v>
      </c>
      <c r="Q47" s="239" t="e">
        <f t="shared" ca="1" si="6"/>
        <v>#N/A</v>
      </c>
      <c r="R47" s="239" t="e">
        <f t="shared" ca="1" si="7"/>
        <v>#N/A</v>
      </c>
      <c r="S47" s="230" t="e">
        <f t="shared" ca="1" si="8"/>
        <v>#N/A</v>
      </c>
      <c r="T47" s="230"/>
      <c r="U47" s="239" t="e">
        <f t="shared" ca="1" si="9"/>
        <v>#N/A</v>
      </c>
      <c r="V47" s="239" t="e">
        <f t="shared" ca="1" si="10"/>
        <v>#N/A</v>
      </c>
      <c r="W47" s="239" t="e">
        <f ca="1">INDEX(RESULTADOS!$A:$BZ,MATCH($A47,RESULTADOS!$A:$A,0),MATCH(W$1,RESULTADOS!$1:$1,0))</f>
        <v>#N/A</v>
      </c>
      <c r="Y47" s="239" t="e">
        <f ca="1">INDEX(RESULTADOS!$A:$BZ,MATCH($A47,RESULTADOS!$A:$A,0),MATCH(Y$1,RESULTADOS!$1:$1,0))</f>
        <v>#N/A</v>
      </c>
      <c r="AC47" s="239" t="e">
        <f ca="1">INDEX(RESULTADOS!$A:$BZ,MATCH($A47,RESULTADOS!$A:$A,0),MATCH(AC$1,RESULTADOS!$1:$1,0))</f>
        <v>#N/A</v>
      </c>
      <c r="AE47" s="239" t="e">
        <f ca="1">INDEX(RESULTADOS!$A:$BZ,MATCH($A47,RESULTADOS!$A:$A,0),MATCH(AE$1,RESULTADOS!$1:$1,0))</f>
        <v>#N/A</v>
      </c>
      <c r="AF47" s="239" t="e">
        <f ca="1">INDEX(RESULTADOS!$A:$BZ,MATCH($A47,RESULTADOS!$A:$A,0),MATCH(AF$1,RESULTADOS!$1:$1,0))</f>
        <v>#N/A</v>
      </c>
      <c r="AJ47" s="239" t="e">
        <f ca="1">INDEX(RESULTADOS!$A:$BZ,MATCH($A47,RESULTADOS!$A:$A,0),MATCH(AJ$1,RESULTADOS!$1:$1,0))</f>
        <v>#N/A</v>
      </c>
      <c r="AK47" s="239" t="e">
        <f ca="1">INDEX(RESULTADOS!$A:$BZ,MATCH($A47,RESULTADOS!$A:$A,0),MATCH(AK$1,RESULTADOS!$1:$1,0))</f>
        <v>#N/A</v>
      </c>
      <c r="AO47" s="239" t="e">
        <f ca="1">INDEX(RESULTADOS!$A:$BZ,MATCH($A47,RESULTADOS!$A:$A,0),MATCH(AO$1,RESULTADOS!$1:$1,0))</f>
        <v>#N/A</v>
      </c>
    </row>
    <row r="48" spans="1:41" x14ac:dyDescent="0.2">
      <c r="A48" s="49">
        <f t="shared" ca="1" si="11"/>
        <v>43847</v>
      </c>
      <c r="B48" s="53"/>
      <c r="C48" s="53"/>
      <c r="D48" s="52"/>
      <c r="E48" s="208" t="e">
        <f ca="1">INDEX(RESULTADOS!$A:$BZ,MATCH($A48,RESULTADOS!$A:$A,0),MATCH(E$1,RESULTADOS!$1:$1,0))</f>
        <v>#N/A</v>
      </c>
      <c r="F48" s="208" t="e">
        <f ca="1">INDEX(RESULTADOS!$A:$BZ,MATCH($A48,RESULTADOS!$A:$A,0),MATCH(F$1,RESULTADOS!$1:$1,0))</f>
        <v>#N/A</v>
      </c>
      <c r="G48" s="208" t="e">
        <f ca="1">INDEX(RESULTADOS!$A:$BZ,MATCH($A48,RESULTADOS!$A:$A,0),MATCH(G$1,RESULTADOS!$1:$1,0))</f>
        <v>#N/A</v>
      </c>
      <c r="H48" s="208" t="e">
        <f ca="1">INDEX(RESULTADOS!$A:$BZ,MATCH($A48,RESULTADOS!$A:$A,0),MATCH(H$1,RESULTADOS!$1:$1,0))</f>
        <v>#N/A</v>
      </c>
      <c r="I48" s="208" t="e">
        <f ca="1">INDEX(RESULTADOS!$A:$BZ,MATCH($A48,RESULTADOS!$A:$A,0),MATCH(I$1,RESULTADOS!$1:$1,0))</f>
        <v>#N/A</v>
      </c>
      <c r="J48" s="208" t="e">
        <f ca="1">INDEX(RESULTADOS!$A:$BZ,MATCH($A48,RESULTADOS!$A:$A,0),MATCH(J$1,RESULTADOS!$1:$1,0))</f>
        <v>#N/A</v>
      </c>
      <c r="K48" s="208" t="e">
        <f ca="1">INDEX(RESULTADOS!$A:$BZ,MATCH($A48,RESULTADOS!$A:$A,0),MATCH(K$1,RESULTADOS!$1:$1,0))</f>
        <v>#N/A</v>
      </c>
      <c r="L48" s="208" t="e">
        <f ca="1">INDEX(RESULTADOS!$A:$BZ,MATCH($A48,RESULTADOS!$A:$A,0),MATCH(L$1,RESULTADOS!$1:$1,0))</f>
        <v>#N/A</v>
      </c>
      <c r="M48" s="239" t="e">
        <f t="shared" ca="1" si="2"/>
        <v>#N/A</v>
      </c>
      <c r="N48" s="239" t="e">
        <f t="shared" ca="1" si="3"/>
        <v>#N/A</v>
      </c>
      <c r="O48" s="230" t="e">
        <f t="shared" ca="1" si="4"/>
        <v>#N/A</v>
      </c>
      <c r="P48" s="230" t="e">
        <f t="shared" ca="1" si="5"/>
        <v>#N/A</v>
      </c>
      <c r="Q48" s="239" t="e">
        <f t="shared" ca="1" si="6"/>
        <v>#N/A</v>
      </c>
      <c r="R48" s="239" t="e">
        <f t="shared" ca="1" si="7"/>
        <v>#N/A</v>
      </c>
      <c r="S48" s="230" t="e">
        <f t="shared" ca="1" si="8"/>
        <v>#N/A</v>
      </c>
      <c r="T48" s="230"/>
      <c r="U48" s="239" t="e">
        <f t="shared" ca="1" si="9"/>
        <v>#N/A</v>
      </c>
      <c r="V48" s="239" t="e">
        <f t="shared" ca="1" si="10"/>
        <v>#N/A</v>
      </c>
      <c r="W48" s="239" t="e">
        <f ca="1">INDEX(RESULTADOS!$A:$BZ,MATCH($A48,RESULTADOS!$A:$A,0),MATCH(W$1,RESULTADOS!$1:$1,0))</f>
        <v>#N/A</v>
      </c>
      <c r="Y48" s="239" t="e">
        <f ca="1">INDEX(RESULTADOS!$A:$BZ,MATCH($A48,RESULTADOS!$A:$A,0),MATCH(Y$1,RESULTADOS!$1:$1,0))</f>
        <v>#N/A</v>
      </c>
      <c r="AC48" s="239" t="e">
        <f ca="1">INDEX(RESULTADOS!$A:$BZ,MATCH($A48,RESULTADOS!$A:$A,0),MATCH(AC$1,RESULTADOS!$1:$1,0))</f>
        <v>#N/A</v>
      </c>
      <c r="AE48" s="239" t="e">
        <f ca="1">INDEX(RESULTADOS!$A:$BZ,MATCH($A48,RESULTADOS!$A:$A,0),MATCH(AE$1,RESULTADOS!$1:$1,0))</f>
        <v>#N/A</v>
      </c>
      <c r="AF48" s="239" t="e">
        <f ca="1">INDEX(RESULTADOS!$A:$BZ,MATCH($A48,RESULTADOS!$A:$A,0),MATCH(AF$1,RESULTADOS!$1:$1,0))</f>
        <v>#N/A</v>
      </c>
      <c r="AJ48" s="239" t="e">
        <f ca="1">INDEX(RESULTADOS!$A:$BZ,MATCH($A48,RESULTADOS!$A:$A,0),MATCH(AJ$1,RESULTADOS!$1:$1,0))</f>
        <v>#N/A</v>
      </c>
      <c r="AK48" s="239" t="e">
        <f ca="1">INDEX(RESULTADOS!$A:$BZ,MATCH($A48,RESULTADOS!$A:$A,0),MATCH(AK$1,RESULTADOS!$1:$1,0))</f>
        <v>#N/A</v>
      </c>
      <c r="AO48" s="239" t="e">
        <f ca="1">INDEX(RESULTADOS!$A:$BZ,MATCH($A48,RESULTADOS!$A:$A,0),MATCH(AO$1,RESULTADOS!$1:$1,0))</f>
        <v>#N/A</v>
      </c>
    </row>
    <row r="49" spans="1:41" x14ac:dyDescent="0.2">
      <c r="A49" s="49">
        <f t="shared" ca="1" si="11"/>
        <v>43848</v>
      </c>
      <c r="B49" s="53"/>
      <c r="C49" s="53"/>
      <c r="D49" s="52"/>
      <c r="E49" s="208" t="e">
        <f ca="1">INDEX(RESULTADOS!$A:$BZ,MATCH($A49,RESULTADOS!$A:$A,0),MATCH(E$1,RESULTADOS!$1:$1,0))</f>
        <v>#N/A</v>
      </c>
      <c r="F49" s="208" t="e">
        <f ca="1">INDEX(RESULTADOS!$A:$BZ,MATCH($A49,RESULTADOS!$A:$A,0),MATCH(F$1,RESULTADOS!$1:$1,0))</f>
        <v>#N/A</v>
      </c>
      <c r="G49" s="208" t="e">
        <f ca="1">INDEX(RESULTADOS!$A:$BZ,MATCH($A49,RESULTADOS!$A:$A,0),MATCH(G$1,RESULTADOS!$1:$1,0))</f>
        <v>#N/A</v>
      </c>
      <c r="H49" s="208" t="e">
        <f ca="1">INDEX(RESULTADOS!$A:$BZ,MATCH($A49,RESULTADOS!$A:$A,0),MATCH(H$1,RESULTADOS!$1:$1,0))</f>
        <v>#N/A</v>
      </c>
      <c r="I49" s="208" t="e">
        <f ca="1">INDEX(RESULTADOS!$A:$BZ,MATCH($A49,RESULTADOS!$A:$A,0),MATCH(I$1,RESULTADOS!$1:$1,0))</f>
        <v>#N/A</v>
      </c>
      <c r="J49" s="208" t="e">
        <f ca="1">INDEX(RESULTADOS!$A:$BZ,MATCH($A49,RESULTADOS!$A:$A,0),MATCH(J$1,RESULTADOS!$1:$1,0))</f>
        <v>#N/A</v>
      </c>
      <c r="K49" s="208" t="e">
        <f ca="1">INDEX(RESULTADOS!$A:$BZ,MATCH($A49,RESULTADOS!$A:$A,0),MATCH(K$1,RESULTADOS!$1:$1,0))</f>
        <v>#N/A</v>
      </c>
      <c r="L49" s="208" t="e">
        <f ca="1">INDEX(RESULTADOS!$A:$BZ,MATCH($A49,RESULTADOS!$A:$A,0),MATCH(L$1,RESULTADOS!$1:$1,0))</f>
        <v>#N/A</v>
      </c>
      <c r="M49" s="239" t="e">
        <f t="shared" ca="1" si="2"/>
        <v>#N/A</v>
      </c>
      <c r="N49" s="239" t="e">
        <f t="shared" ca="1" si="3"/>
        <v>#N/A</v>
      </c>
      <c r="O49" s="230" t="e">
        <f t="shared" ca="1" si="4"/>
        <v>#N/A</v>
      </c>
      <c r="P49" s="230" t="e">
        <f t="shared" ca="1" si="5"/>
        <v>#N/A</v>
      </c>
      <c r="Q49" s="239" t="e">
        <f t="shared" ca="1" si="6"/>
        <v>#N/A</v>
      </c>
      <c r="R49" s="239" t="e">
        <f t="shared" ca="1" si="7"/>
        <v>#N/A</v>
      </c>
      <c r="S49" s="230" t="e">
        <f t="shared" ca="1" si="8"/>
        <v>#N/A</v>
      </c>
      <c r="T49" s="230"/>
      <c r="U49" s="239" t="e">
        <f t="shared" ca="1" si="9"/>
        <v>#N/A</v>
      </c>
      <c r="V49" s="239" t="e">
        <f t="shared" ca="1" si="10"/>
        <v>#N/A</v>
      </c>
      <c r="W49" s="239" t="e">
        <f ca="1">INDEX(RESULTADOS!$A:$BZ,MATCH($A49,RESULTADOS!$A:$A,0),MATCH(W$1,RESULTADOS!$1:$1,0))</f>
        <v>#N/A</v>
      </c>
      <c r="Y49" s="239" t="e">
        <f ca="1">INDEX(RESULTADOS!$A:$BZ,MATCH($A49,RESULTADOS!$A:$A,0),MATCH(Y$1,RESULTADOS!$1:$1,0))</f>
        <v>#N/A</v>
      </c>
      <c r="AC49" s="239" t="e">
        <f ca="1">INDEX(RESULTADOS!$A:$BZ,MATCH($A49,RESULTADOS!$A:$A,0),MATCH(AC$1,RESULTADOS!$1:$1,0))</f>
        <v>#N/A</v>
      </c>
      <c r="AE49" s="239" t="e">
        <f ca="1">INDEX(RESULTADOS!$A:$BZ,MATCH($A49,RESULTADOS!$A:$A,0),MATCH(AE$1,RESULTADOS!$1:$1,0))</f>
        <v>#N/A</v>
      </c>
      <c r="AF49" s="239" t="e">
        <f ca="1">INDEX(RESULTADOS!$A:$BZ,MATCH($A49,RESULTADOS!$A:$A,0),MATCH(AF$1,RESULTADOS!$1:$1,0))</f>
        <v>#N/A</v>
      </c>
      <c r="AJ49" s="239" t="e">
        <f ca="1">INDEX(RESULTADOS!$A:$BZ,MATCH($A49,RESULTADOS!$A:$A,0),MATCH(AJ$1,RESULTADOS!$1:$1,0))</f>
        <v>#N/A</v>
      </c>
      <c r="AK49" s="239" t="e">
        <f ca="1">INDEX(RESULTADOS!$A:$BZ,MATCH($A49,RESULTADOS!$A:$A,0),MATCH(AK$1,RESULTADOS!$1:$1,0))</f>
        <v>#N/A</v>
      </c>
      <c r="AO49" s="239" t="e">
        <f ca="1">INDEX(RESULTADOS!$A:$BZ,MATCH($A49,RESULTADOS!$A:$A,0),MATCH(AO$1,RESULTADOS!$1:$1,0))</f>
        <v>#N/A</v>
      </c>
    </row>
    <row r="50" spans="1:41" x14ac:dyDescent="0.2">
      <c r="A50" s="49">
        <f t="shared" ca="1" si="11"/>
        <v>43849</v>
      </c>
      <c r="B50" s="53"/>
      <c r="C50" s="53"/>
      <c r="D50" s="52"/>
      <c r="E50" s="208" t="e">
        <f ca="1">INDEX(RESULTADOS!$A:$BZ,MATCH($A50,RESULTADOS!$A:$A,0),MATCH(E$1,RESULTADOS!$1:$1,0))</f>
        <v>#N/A</v>
      </c>
      <c r="F50" s="208" t="e">
        <f ca="1">INDEX(RESULTADOS!$A:$BZ,MATCH($A50,RESULTADOS!$A:$A,0),MATCH(F$1,RESULTADOS!$1:$1,0))</f>
        <v>#N/A</v>
      </c>
      <c r="G50" s="208" t="e">
        <f ca="1">INDEX(RESULTADOS!$A:$BZ,MATCH($A50,RESULTADOS!$A:$A,0),MATCH(G$1,RESULTADOS!$1:$1,0))</f>
        <v>#N/A</v>
      </c>
      <c r="H50" s="208" t="e">
        <f ca="1">INDEX(RESULTADOS!$A:$BZ,MATCH($A50,RESULTADOS!$A:$A,0),MATCH(H$1,RESULTADOS!$1:$1,0))</f>
        <v>#N/A</v>
      </c>
      <c r="I50" s="208" t="e">
        <f ca="1">INDEX(RESULTADOS!$A:$BZ,MATCH($A50,RESULTADOS!$A:$A,0),MATCH(I$1,RESULTADOS!$1:$1,0))</f>
        <v>#N/A</v>
      </c>
      <c r="J50" s="208" t="e">
        <f ca="1">INDEX(RESULTADOS!$A:$BZ,MATCH($A50,RESULTADOS!$A:$A,0),MATCH(J$1,RESULTADOS!$1:$1,0))</f>
        <v>#N/A</v>
      </c>
      <c r="K50" s="208" t="e">
        <f ca="1">INDEX(RESULTADOS!$A:$BZ,MATCH($A50,RESULTADOS!$A:$A,0),MATCH(K$1,RESULTADOS!$1:$1,0))</f>
        <v>#N/A</v>
      </c>
      <c r="L50" s="208" t="e">
        <f ca="1">INDEX(RESULTADOS!$A:$BZ,MATCH($A50,RESULTADOS!$A:$A,0),MATCH(L$1,RESULTADOS!$1:$1,0))</f>
        <v>#N/A</v>
      </c>
      <c r="M50" s="239" t="e">
        <f t="shared" ca="1" si="2"/>
        <v>#N/A</v>
      </c>
      <c r="N50" s="239" t="e">
        <f t="shared" ca="1" si="3"/>
        <v>#N/A</v>
      </c>
      <c r="O50" s="230" t="e">
        <f t="shared" ca="1" si="4"/>
        <v>#N/A</v>
      </c>
      <c r="P50" s="230" t="e">
        <f t="shared" ca="1" si="5"/>
        <v>#N/A</v>
      </c>
      <c r="Q50" s="239" t="e">
        <f t="shared" ca="1" si="6"/>
        <v>#N/A</v>
      </c>
      <c r="R50" s="239" t="e">
        <f t="shared" ca="1" si="7"/>
        <v>#N/A</v>
      </c>
      <c r="S50" s="230" t="e">
        <f t="shared" ca="1" si="8"/>
        <v>#N/A</v>
      </c>
      <c r="T50" s="230"/>
      <c r="U50" s="239" t="e">
        <f t="shared" ca="1" si="9"/>
        <v>#N/A</v>
      </c>
      <c r="V50" s="239" t="e">
        <f t="shared" ca="1" si="10"/>
        <v>#N/A</v>
      </c>
      <c r="W50" s="239" t="e">
        <f ca="1">INDEX(RESULTADOS!$A:$BZ,MATCH($A50,RESULTADOS!$A:$A,0),MATCH(W$1,RESULTADOS!$1:$1,0))</f>
        <v>#N/A</v>
      </c>
      <c r="Y50" s="239" t="e">
        <f ca="1">INDEX(RESULTADOS!$A:$BZ,MATCH($A50,RESULTADOS!$A:$A,0),MATCH(Y$1,RESULTADOS!$1:$1,0))</f>
        <v>#N/A</v>
      </c>
      <c r="AC50" s="239" t="e">
        <f ca="1">INDEX(RESULTADOS!$A:$BZ,MATCH($A50,RESULTADOS!$A:$A,0),MATCH(AC$1,RESULTADOS!$1:$1,0))</f>
        <v>#N/A</v>
      </c>
      <c r="AE50" s="239" t="e">
        <f ca="1">INDEX(RESULTADOS!$A:$BZ,MATCH($A50,RESULTADOS!$A:$A,0),MATCH(AE$1,RESULTADOS!$1:$1,0))</f>
        <v>#N/A</v>
      </c>
      <c r="AF50" s="239" t="e">
        <f ca="1">INDEX(RESULTADOS!$A:$BZ,MATCH($A50,RESULTADOS!$A:$A,0),MATCH(AF$1,RESULTADOS!$1:$1,0))</f>
        <v>#N/A</v>
      </c>
      <c r="AJ50" s="239" t="e">
        <f ca="1">INDEX(RESULTADOS!$A:$BZ,MATCH($A50,RESULTADOS!$A:$A,0),MATCH(AJ$1,RESULTADOS!$1:$1,0))</f>
        <v>#N/A</v>
      </c>
      <c r="AK50" s="239" t="e">
        <f ca="1">INDEX(RESULTADOS!$A:$BZ,MATCH($A50,RESULTADOS!$A:$A,0),MATCH(AK$1,RESULTADOS!$1:$1,0))</f>
        <v>#N/A</v>
      </c>
      <c r="AO50" s="239" t="e">
        <f ca="1">INDEX(RESULTADOS!$A:$BZ,MATCH($A50,RESULTADOS!$A:$A,0),MATCH(AO$1,RESULTADOS!$1:$1,0))</f>
        <v>#N/A</v>
      </c>
    </row>
    <row r="51" spans="1:41" x14ac:dyDescent="0.2">
      <c r="A51" s="49">
        <f t="shared" ca="1" si="11"/>
        <v>43850</v>
      </c>
      <c r="B51" s="72"/>
      <c r="C51" s="72"/>
      <c r="D51" s="72"/>
      <c r="E51" s="208" t="e">
        <f ca="1">INDEX(RESULTADOS!$A:$BZ,MATCH($A51,RESULTADOS!$A:$A,0),MATCH(E$1,RESULTADOS!$1:$1,0))</f>
        <v>#N/A</v>
      </c>
      <c r="F51" s="208" t="e">
        <f ca="1">INDEX(RESULTADOS!$A:$BZ,MATCH($A51,RESULTADOS!$A:$A,0),MATCH(F$1,RESULTADOS!$1:$1,0))</f>
        <v>#N/A</v>
      </c>
      <c r="G51" s="208" t="e">
        <f ca="1">INDEX(RESULTADOS!$A:$BZ,MATCH($A51,RESULTADOS!$A:$A,0),MATCH(G$1,RESULTADOS!$1:$1,0))</f>
        <v>#N/A</v>
      </c>
      <c r="H51" s="208" t="e">
        <f ca="1">INDEX(RESULTADOS!$A:$BZ,MATCH($A51,RESULTADOS!$A:$A,0),MATCH(H$1,RESULTADOS!$1:$1,0))</f>
        <v>#N/A</v>
      </c>
      <c r="I51" s="208" t="e">
        <f ca="1">INDEX(RESULTADOS!$A:$BZ,MATCH($A51,RESULTADOS!$A:$A,0),MATCH(I$1,RESULTADOS!$1:$1,0))</f>
        <v>#N/A</v>
      </c>
      <c r="J51" s="208" t="e">
        <f ca="1">INDEX(RESULTADOS!$A:$BZ,MATCH($A51,RESULTADOS!$A:$A,0),MATCH(J$1,RESULTADOS!$1:$1,0))</f>
        <v>#N/A</v>
      </c>
      <c r="K51" s="208" t="e">
        <f ca="1">INDEX(RESULTADOS!$A:$BZ,MATCH($A51,RESULTADOS!$A:$A,0),MATCH(K$1,RESULTADOS!$1:$1,0))</f>
        <v>#N/A</v>
      </c>
      <c r="L51" s="208" t="e">
        <f ca="1">INDEX(RESULTADOS!$A:$BZ,MATCH($A51,RESULTADOS!$A:$A,0),MATCH(L$1,RESULTADOS!$1:$1,0))</f>
        <v>#N/A</v>
      </c>
      <c r="M51" s="239" t="e">
        <f t="shared" ca="1" si="2"/>
        <v>#N/A</v>
      </c>
      <c r="N51" s="239" t="e">
        <f t="shared" ca="1" si="3"/>
        <v>#N/A</v>
      </c>
      <c r="O51" s="230" t="e">
        <f t="shared" ca="1" si="4"/>
        <v>#N/A</v>
      </c>
      <c r="P51" s="230" t="e">
        <f t="shared" ca="1" si="5"/>
        <v>#N/A</v>
      </c>
      <c r="Q51" s="239" t="e">
        <f t="shared" ca="1" si="6"/>
        <v>#N/A</v>
      </c>
      <c r="R51" s="239" t="e">
        <f t="shared" ca="1" si="7"/>
        <v>#N/A</v>
      </c>
      <c r="S51" s="230" t="e">
        <f t="shared" ca="1" si="8"/>
        <v>#N/A</v>
      </c>
      <c r="T51" s="230"/>
      <c r="U51" s="239" t="e">
        <f t="shared" ca="1" si="9"/>
        <v>#N/A</v>
      </c>
      <c r="V51" s="239" t="e">
        <f t="shared" ca="1" si="10"/>
        <v>#N/A</v>
      </c>
      <c r="W51" s="239" t="e">
        <f ca="1">INDEX(RESULTADOS!$A:$BZ,MATCH($A51,RESULTADOS!$A:$A,0),MATCH(W$1,RESULTADOS!$1:$1,0))</f>
        <v>#N/A</v>
      </c>
      <c r="Y51" s="239" t="e">
        <f ca="1">INDEX(RESULTADOS!$A:$BZ,MATCH($A51,RESULTADOS!$A:$A,0),MATCH(Y$1,RESULTADOS!$1:$1,0))</f>
        <v>#N/A</v>
      </c>
      <c r="AC51" s="239" t="e">
        <f ca="1">INDEX(RESULTADOS!$A:$BZ,MATCH($A51,RESULTADOS!$A:$A,0),MATCH(AC$1,RESULTADOS!$1:$1,0))</f>
        <v>#N/A</v>
      </c>
      <c r="AE51" s="239" t="e">
        <f ca="1">INDEX(RESULTADOS!$A:$BZ,MATCH($A51,RESULTADOS!$A:$A,0),MATCH(AE$1,RESULTADOS!$1:$1,0))</f>
        <v>#N/A</v>
      </c>
      <c r="AF51" s="239" t="e">
        <f ca="1">INDEX(RESULTADOS!$A:$BZ,MATCH($A51,RESULTADOS!$A:$A,0),MATCH(AF$1,RESULTADOS!$1:$1,0))</f>
        <v>#N/A</v>
      </c>
      <c r="AJ51" s="239" t="e">
        <f ca="1">INDEX(RESULTADOS!$A:$BZ,MATCH($A51,RESULTADOS!$A:$A,0),MATCH(AJ$1,RESULTADOS!$1:$1,0))</f>
        <v>#N/A</v>
      </c>
      <c r="AK51" s="239" t="e">
        <f ca="1">INDEX(RESULTADOS!$A:$BZ,MATCH($A51,RESULTADOS!$A:$A,0),MATCH(AK$1,RESULTADOS!$1:$1,0))</f>
        <v>#N/A</v>
      </c>
      <c r="AO51" s="239" t="e">
        <f ca="1">INDEX(RESULTADOS!$A:$BZ,MATCH($A51,RESULTADOS!$A:$A,0),MATCH(AO$1,RESULTADOS!$1:$1,0))</f>
        <v>#N/A</v>
      </c>
    </row>
    <row r="52" spans="1:41" x14ac:dyDescent="0.2">
      <c r="A52" s="49">
        <f t="shared" ca="1" si="11"/>
        <v>43851</v>
      </c>
      <c r="B52" s="53"/>
      <c r="C52" s="53"/>
      <c r="D52" s="52"/>
      <c r="E52" s="208" t="e">
        <f ca="1">INDEX(RESULTADOS!$A:$BZ,MATCH($A52,RESULTADOS!$A:$A,0),MATCH(E$1,RESULTADOS!$1:$1,0))</f>
        <v>#N/A</v>
      </c>
      <c r="F52" s="208" t="e">
        <f ca="1">INDEX(RESULTADOS!$A:$BZ,MATCH($A52,RESULTADOS!$A:$A,0),MATCH(F$1,RESULTADOS!$1:$1,0))</f>
        <v>#N/A</v>
      </c>
      <c r="G52" s="208" t="e">
        <f ca="1">INDEX(RESULTADOS!$A:$BZ,MATCH($A52,RESULTADOS!$A:$A,0),MATCH(G$1,RESULTADOS!$1:$1,0))</f>
        <v>#N/A</v>
      </c>
      <c r="H52" s="208" t="e">
        <f ca="1">INDEX(RESULTADOS!$A:$BZ,MATCH($A52,RESULTADOS!$A:$A,0),MATCH(H$1,RESULTADOS!$1:$1,0))</f>
        <v>#N/A</v>
      </c>
      <c r="I52" s="208" t="e">
        <f ca="1">INDEX(RESULTADOS!$A:$BZ,MATCH($A52,RESULTADOS!$A:$A,0),MATCH(I$1,RESULTADOS!$1:$1,0))</f>
        <v>#N/A</v>
      </c>
      <c r="J52" s="208" t="e">
        <f ca="1">INDEX(RESULTADOS!$A:$BZ,MATCH($A52,RESULTADOS!$A:$A,0),MATCH(J$1,RESULTADOS!$1:$1,0))</f>
        <v>#N/A</v>
      </c>
      <c r="K52" s="208" t="e">
        <f ca="1">INDEX(RESULTADOS!$A:$BZ,MATCH($A52,RESULTADOS!$A:$A,0),MATCH(K$1,RESULTADOS!$1:$1,0))</f>
        <v>#N/A</v>
      </c>
      <c r="L52" s="208" t="e">
        <f ca="1">INDEX(RESULTADOS!$A:$BZ,MATCH($A52,RESULTADOS!$A:$A,0),MATCH(L$1,RESULTADOS!$1:$1,0))</f>
        <v>#N/A</v>
      </c>
      <c r="M52" s="239" t="e">
        <f t="shared" ca="1" si="2"/>
        <v>#N/A</v>
      </c>
      <c r="N52" s="239" t="e">
        <f t="shared" ca="1" si="3"/>
        <v>#N/A</v>
      </c>
      <c r="O52" s="230" t="e">
        <f t="shared" ca="1" si="4"/>
        <v>#N/A</v>
      </c>
      <c r="P52" s="230" t="e">
        <f t="shared" ca="1" si="5"/>
        <v>#N/A</v>
      </c>
      <c r="Q52" s="239" t="e">
        <f t="shared" ca="1" si="6"/>
        <v>#N/A</v>
      </c>
      <c r="R52" s="239" t="e">
        <f t="shared" ca="1" si="7"/>
        <v>#N/A</v>
      </c>
      <c r="S52" s="230" t="e">
        <f t="shared" ca="1" si="8"/>
        <v>#N/A</v>
      </c>
      <c r="T52" s="230"/>
      <c r="U52" s="239" t="e">
        <f t="shared" ca="1" si="9"/>
        <v>#N/A</v>
      </c>
      <c r="V52" s="239" t="e">
        <f t="shared" ca="1" si="10"/>
        <v>#N/A</v>
      </c>
      <c r="W52" s="239" t="e">
        <f ca="1">INDEX(RESULTADOS!$A:$BZ,MATCH($A52,RESULTADOS!$A:$A,0),MATCH(W$1,RESULTADOS!$1:$1,0))</f>
        <v>#N/A</v>
      </c>
      <c r="Y52" s="239" t="e">
        <f ca="1">INDEX(RESULTADOS!$A:$BZ,MATCH($A52,RESULTADOS!$A:$A,0),MATCH(Y$1,RESULTADOS!$1:$1,0))</f>
        <v>#N/A</v>
      </c>
      <c r="AC52" s="239" t="e">
        <f ca="1">INDEX(RESULTADOS!$A:$BZ,MATCH($A52,RESULTADOS!$A:$A,0),MATCH(AC$1,RESULTADOS!$1:$1,0))</f>
        <v>#N/A</v>
      </c>
      <c r="AE52" s="239" t="e">
        <f ca="1">INDEX(RESULTADOS!$A:$BZ,MATCH($A52,RESULTADOS!$A:$A,0),MATCH(AE$1,RESULTADOS!$1:$1,0))</f>
        <v>#N/A</v>
      </c>
      <c r="AF52" s="239" t="e">
        <f ca="1">INDEX(RESULTADOS!$A:$BZ,MATCH($A52,RESULTADOS!$A:$A,0),MATCH(AF$1,RESULTADOS!$1:$1,0))</f>
        <v>#N/A</v>
      </c>
      <c r="AJ52" s="239" t="e">
        <f ca="1">INDEX(RESULTADOS!$A:$BZ,MATCH($A52,RESULTADOS!$A:$A,0),MATCH(AJ$1,RESULTADOS!$1:$1,0))</f>
        <v>#N/A</v>
      </c>
      <c r="AK52" s="239" t="e">
        <f ca="1">INDEX(RESULTADOS!$A:$BZ,MATCH($A52,RESULTADOS!$A:$A,0),MATCH(AK$1,RESULTADOS!$1:$1,0))</f>
        <v>#N/A</v>
      </c>
      <c r="AO52" s="239" t="e">
        <f ca="1">INDEX(RESULTADOS!$A:$BZ,MATCH($A52,RESULTADOS!$A:$A,0),MATCH(AO$1,RESULTADOS!$1:$1,0))</f>
        <v>#N/A</v>
      </c>
    </row>
    <row r="53" spans="1:41" x14ac:dyDescent="0.2">
      <c r="A53" s="49">
        <f t="shared" ca="1" si="11"/>
        <v>43852</v>
      </c>
      <c r="B53" s="53"/>
      <c r="C53" s="53"/>
      <c r="D53" s="52"/>
      <c r="E53" s="208" t="e">
        <f ca="1">INDEX(RESULTADOS!$A:$BZ,MATCH($A53,RESULTADOS!$A:$A,0),MATCH(E$1,RESULTADOS!$1:$1,0))</f>
        <v>#N/A</v>
      </c>
      <c r="F53" s="208" t="e">
        <f ca="1">INDEX(RESULTADOS!$A:$BZ,MATCH($A53,RESULTADOS!$A:$A,0),MATCH(F$1,RESULTADOS!$1:$1,0))</f>
        <v>#N/A</v>
      </c>
      <c r="G53" s="208" t="e">
        <f ca="1">INDEX(RESULTADOS!$A:$BZ,MATCH($A53,RESULTADOS!$A:$A,0),MATCH(G$1,RESULTADOS!$1:$1,0))</f>
        <v>#N/A</v>
      </c>
      <c r="H53" s="208" t="e">
        <f ca="1">INDEX(RESULTADOS!$A:$BZ,MATCH($A53,RESULTADOS!$A:$A,0),MATCH(H$1,RESULTADOS!$1:$1,0))</f>
        <v>#N/A</v>
      </c>
      <c r="I53" s="208" t="e">
        <f ca="1">INDEX(RESULTADOS!$A:$BZ,MATCH($A53,RESULTADOS!$A:$A,0),MATCH(I$1,RESULTADOS!$1:$1,0))</f>
        <v>#N/A</v>
      </c>
      <c r="J53" s="208" t="e">
        <f ca="1">INDEX(RESULTADOS!$A:$BZ,MATCH($A53,RESULTADOS!$A:$A,0),MATCH(J$1,RESULTADOS!$1:$1,0))</f>
        <v>#N/A</v>
      </c>
      <c r="K53" s="208" t="e">
        <f ca="1">INDEX(RESULTADOS!$A:$BZ,MATCH($A53,RESULTADOS!$A:$A,0),MATCH(K$1,RESULTADOS!$1:$1,0))</f>
        <v>#N/A</v>
      </c>
      <c r="L53" s="208" t="e">
        <f ca="1">INDEX(RESULTADOS!$A:$BZ,MATCH($A53,RESULTADOS!$A:$A,0),MATCH(L$1,RESULTADOS!$1:$1,0))</f>
        <v>#N/A</v>
      </c>
      <c r="M53" s="239" t="e">
        <f t="shared" ca="1" si="2"/>
        <v>#N/A</v>
      </c>
      <c r="N53" s="239" t="e">
        <f t="shared" ca="1" si="3"/>
        <v>#N/A</v>
      </c>
      <c r="O53" s="230" t="e">
        <f t="shared" ca="1" si="4"/>
        <v>#N/A</v>
      </c>
      <c r="P53" s="230" t="e">
        <f t="shared" ca="1" si="5"/>
        <v>#N/A</v>
      </c>
      <c r="Q53" s="239" t="e">
        <f t="shared" ca="1" si="6"/>
        <v>#N/A</v>
      </c>
      <c r="R53" s="239" t="e">
        <f t="shared" ca="1" si="7"/>
        <v>#N/A</v>
      </c>
      <c r="S53" s="230" t="e">
        <f t="shared" ca="1" si="8"/>
        <v>#N/A</v>
      </c>
      <c r="T53" s="230"/>
      <c r="U53" s="239" t="e">
        <f t="shared" ca="1" si="9"/>
        <v>#N/A</v>
      </c>
      <c r="V53" s="239" t="e">
        <f t="shared" ca="1" si="10"/>
        <v>#N/A</v>
      </c>
      <c r="W53" s="239" t="e">
        <f ca="1">INDEX(RESULTADOS!$A:$BZ,MATCH($A53,RESULTADOS!$A:$A,0),MATCH(W$1,RESULTADOS!$1:$1,0))</f>
        <v>#N/A</v>
      </c>
      <c r="Y53" s="239" t="e">
        <f ca="1">INDEX(RESULTADOS!$A:$BZ,MATCH($A53,RESULTADOS!$A:$A,0),MATCH(Y$1,RESULTADOS!$1:$1,0))</f>
        <v>#N/A</v>
      </c>
      <c r="AC53" s="239" t="e">
        <f ca="1">INDEX(RESULTADOS!$A:$BZ,MATCH($A53,RESULTADOS!$A:$A,0),MATCH(AC$1,RESULTADOS!$1:$1,0))</f>
        <v>#N/A</v>
      </c>
      <c r="AE53" s="239" t="e">
        <f ca="1">INDEX(RESULTADOS!$A:$BZ,MATCH($A53,RESULTADOS!$A:$A,0),MATCH(AE$1,RESULTADOS!$1:$1,0))</f>
        <v>#N/A</v>
      </c>
      <c r="AF53" s="239" t="e">
        <f ca="1">INDEX(RESULTADOS!$A:$BZ,MATCH($A53,RESULTADOS!$A:$A,0),MATCH(AF$1,RESULTADOS!$1:$1,0))</f>
        <v>#N/A</v>
      </c>
      <c r="AJ53" s="239" t="e">
        <f ca="1">INDEX(RESULTADOS!$A:$BZ,MATCH($A53,RESULTADOS!$A:$A,0),MATCH(AJ$1,RESULTADOS!$1:$1,0))</f>
        <v>#N/A</v>
      </c>
      <c r="AK53" s="239" t="e">
        <f ca="1">INDEX(RESULTADOS!$A:$BZ,MATCH($A53,RESULTADOS!$A:$A,0),MATCH(AK$1,RESULTADOS!$1:$1,0))</f>
        <v>#N/A</v>
      </c>
      <c r="AO53" s="239" t="e">
        <f ca="1">INDEX(RESULTADOS!$A:$BZ,MATCH($A53,RESULTADOS!$A:$A,0),MATCH(AO$1,RESULTADOS!$1:$1,0))</f>
        <v>#N/A</v>
      </c>
    </row>
    <row r="54" spans="1:41" x14ac:dyDescent="0.2">
      <c r="A54" s="82">
        <f t="shared" ca="1" si="11"/>
        <v>43853</v>
      </c>
      <c r="B54" s="89"/>
      <c r="C54" s="89"/>
      <c r="D54" s="89"/>
      <c r="E54" s="208" t="e">
        <f ca="1">INDEX(RESULTADOS!$A:$BZ,MATCH($A54,RESULTADOS!$A:$A,0),MATCH(E$1,RESULTADOS!$1:$1,0))</f>
        <v>#N/A</v>
      </c>
      <c r="F54" s="208" t="e">
        <f ca="1">INDEX(RESULTADOS!$A:$BZ,MATCH($A54,RESULTADOS!$A:$A,0),MATCH(F$1,RESULTADOS!$1:$1,0))</f>
        <v>#N/A</v>
      </c>
      <c r="G54" s="208" t="e">
        <f ca="1">INDEX(RESULTADOS!$A:$BZ,MATCH($A54,RESULTADOS!$A:$A,0),MATCH(G$1,RESULTADOS!$1:$1,0))</f>
        <v>#N/A</v>
      </c>
      <c r="H54" s="208" t="e">
        <f ca="1">INDEX(RESULTADOS!$A:$BZ,MATCH($A54,RESULTADOS!$A:$A,0),MATCH(H$1,RESULTADOS!$1:$1,0))</f>
        <v>#N/A</v>
      </c>
      <c r="I54" s="208" t="e">
        <f ca="1">INDEX(RESULTADOS!$A:$BZ,MATCH($A54,RESULTADOS!$A:$A,0),MATCH(I$1,RESULTADOS!$1:$1,0))</f>
        <v>#N/A</v>
      </c>
      <c r="J54" s="208" t="e">
        <f ca="1">INDEX(RESULTADOS!$A:$BZ,MATCH($A54,RESULTADOS!$A:$A,0),MATCH(J$1,RESULTADOS!$1:$1,0))</f>
        <v>#N/A</v>
      </c>
      <c r="K54" s="208" t="e">
        <f ca="1">INDEX(RESULTADOS!$A:$BZ,MATCH($A54,RESULTADOS!$A:$A,0),MATCH(K$1,RESULTADOS!$1:$1,0))</f>
        <v>#N/A</v>
      </c>
      <c r="L54" s="208" t="e">
        <f ca="1">INDEX(RESULTADOS!$A:$BZ,MATCH($A54,RESULTADOS!$A:$A,0),MATCH(L$1,RESULTADOS!$1:$1,0))</f>
        <v>#N/A</v>
      </c>
      <c r="M54" s="239" t="e">
        <f t="shared" ca="1" si="2"/>
        <v>#N/A</v>
      </c>
      <c r="N54" s="239" t="e">
        <f t="shared" ca="1" si="3"/>
        <v>#N/A</v>
      </c>
      <c r="O54" s="230" t="e">
        <f t="shared" ca="1" si="4"/>
        <v>#N/A</v>
      </c>
      <c r="P54" s="230" t="e">
        <f t="shared" ca="1" si="5"/>
        <v>#N/A</v>
      </c>
      <c r="Q54" s="239" t="e">
        <f t="shared" ca="1" si="6"/>
        <v>#N/A</v>
      </c>
      <c r="R54" s="239" t="e">
        <f t="shared" ca="1" si="7"/>
        <v>#N/A</v>
      </c>
      <c r="S54" s="230" t="e">
        <f t="shared" ca="1" si="8"/>
        <v>#N/A</v>
      </c>
      <c r="T54" s="230"/>
      <c r="U54" s="239" t="e">
        <f t="shared" ca="1" si="9"/>
        <v>#N/A</v>
      </c>
      <c r="V54" s="239" t="e">
        <f t="shared" ca="1" si="10"/>
        <v>#N/A</v>
      </c>
      <c r="W54" s="239" t="e">
        <f ca="1">INDEX(RESULTADOS!$A:$BZ,MATCH($A54,RESULTADOS!$A:$A,0),MATCH(W$1,RESULTADOS!$1:$1,0))</f>
        <v>#N/A</v>
      </c>
      <c r="Y54" s="239" t="e">
        <f ca="1">INDEX(RESULTADOS!$A:$BZ,MATCH($A54,RESULTADOS!$A:$A,0),MATCH(Y$1,RESULTADOS!$1:$1,0))</f>
        <v>#N/A</v>
      </c>
      <c r="AC54" s="239" t="e">
        <f ca="1">INDEX(RESULTADOS!$A:$BZ,MATCH($A54,RESULTADOS!$A:$A,0),MATCH(AC$1,RESULTADOS!$1:$1,0))</f>
        <v>#N/A</v>
      </c>
      <c r="AE54" s="239" t="e">
        <f ca="1">INDEX(RESULTADOS!$A:$BZ,MATCH($A54,RESULTADOS!$A:$A,0),MATCH(AE$1,RESULTADOS!$1:$1,0))</f>
        <v>#N/A</v>
      </c>
      <c r="AF54" s="239" t="e">
        <f ca="1">INDEX(RESULTADOS!$A:$BZ,MATCH($A54,RESULTADOS!$A:$A,0),MATCH(AF$1,RESULTADOS!$1:$1,0))</f>
        <v>#N/A</v>
      </c>
      <c r="AJ54" s="239" t="e">
        <f ca="1">INDEX(RESULTADOS!$A:$BZ,MATCH($A54,RESULTADOS!$A:$A,0),MATCH(AJ$1,RESULTADOS!$1:$1,0))</f>
        <v>#N/A</v>
      </c>
      <c r="AK54" s="239" t="e">
        <f ca="1">INDEX(RESULTADOS!$A:$BZ,MATCH($A54,RESULTADOS!$A:$A,0),MATCH(AK$1,RESULTADOS!$1:$1,0))</f>
        <v>#N/A</v>
      </c>
      <c r="AO54" s="239" t="e">
        <f ca="1">INDEX(RESULTADOS!$A:$BZ,MATCH($A54,RESULTADOS!$A:$A,0),MATCH(AO$1,RESULTADOS!$1:$1,0))</f>
        <v>#N/A</v>
      </c>
    </row>
    <row r="55" spans="1:41" x14ac:dyDescent="0.2">
      <c r="A55" s="49">
        <f t="shared" ca="1" si="11"/>
        <v>43854</v>
      </c>
      <c r="B55" s="53"/>
      <c r="C55" s="53"/>
      <c r="D55" s="52"/>
      <c r="E55" s="208" t="e">
        <f ca="1">INDEX(RESULTADOS!$A:$BZ,MATCH($A55,RESULTADOS!$A:$A,0),MATCH(E$1,RESULTADOS!$1:$1,0))</f>
        <v>#N/A</v>
      </c>
      <c r="F55" s="208" t="e">
        <f ca="1">INDEX(RESULTADOS!$A:$BZ,MATCH($A55,RESULTADOS!$A:$A,0),MATCH(F$1,RESULTADOS!$1:$1,0))</f>
        <v>#N/A</v>
      </c>
      <c r="G55" s="208" t="e">
        <f ca="1">INDEX(RESULTADOS!$A:$BZ,MATCH($A55,RESULTADOS!$A:$A,0),MATCH(G$1,RESULTADOS!$1:$1,0))</f>
        <v>#N/A</v>
      </c>
      <c r="H55" s="208" t="e">
        <f ca="1">INDEX(RESULTADOS!$A:$BZ,MATCH($A55,RESULTADOS!$A:$A,0),MATCH(H$1,RESULTADOS!$1:$1,0))</f>
        <v>#N/A</v>
      </c>
      <c r="I55" s="208" t="e">
        <f ca="1">INDEX(RESULTADOS!$A:$BZ,MATCH($A55,RESULTADOS!$A:$A,0),MATCH(I$1,RESULTADOS!$1:$1,0))</f>
        <v>#N/A</v>
      </c>
      <c r="J55" s="208" t="e">
        <f ca="1">INDEX(RESULTADOS!$A:$BZ,MATCH($A55,RESULTADOS!$A:$A,0),MATCH(J$1,RESULTADOS!$1:$1,0))</f>
        <v>#N/A</v>
      </c>
      <c r="K55" s="208" t="e">
        <f ca="1">INDEX(RESULTADOS!$A:$BZ,MATCH($A55,RESULTADOS!$A:$A,0),MATCH(K$1,RESULTADOS!$1:$1,0))</f>
        <v>#N/A</v>
      </c>
      <c r="L55" s="208" t="e">
        <f ca="1">INDEX(RESULTADOS!$A:$BZ,MATCH($A55,RESULTADOS!$A:$A,0),MATCH(L$1,RESULTADOS!$1:$1,0))</f>
        <v>#N/A</v>
      </c>
      <c r="M55" s="239" t="e">
        <f t="shared" ca="1" si="2"/>
        <v>#N/A</v>
      </c>
      <c r="N55" s="239" t="e">
        <f t="shared" ca="1" si="3"/>
        <v>#N/A</v>
      </c>
      <c r="O55" s="230" t="e">
        <f t="shared" ca="1" si="4"/>
        <v>#N/A</v>
      </c>
      <c r="P55" s="230" t="e">
        <f t="shared" ca="1" si="5"/>
        <v>#N/A</v>
      </c>
      <c r="Q55" s="239" t="e">
        <f t="shared" ca="1" si="6"/>
        <v>#N/A</v>
      </c>
      <c r="R55" s="239" t="e">
        <f t="shared" ca="1" si="7"/>
        <v>#N/A</v>
      </c>
      <c r="S55" s="230" t="e">
        <f t="shared" ca="1" si="8"/>
        <v>#N/A</v>
      </c>
      <c r="T55" s="230"/>
      <c r="U55" s="239" t="e">
        <f t="shared" ca="1" si="9"/>
        <v>#N/A</v>
      </c>
      <c r="V55" s="239" t="e">
        <f t="shared" ca="1" si="10"/>
        <v>#N/A</v>
      </c>
      <c r="W55" s="239" t="e">
        <f ca="1">INDEX(RESULTADOS!$A:$BZ,MATCH($A55,RESULTADOS!$A:$A,0),MATCH(W$1,RESULTADOS!$1:$1,0))</f>
        <v>#N/A</v>
      </c>
      <c r="Y55" s="239" t="e">
        <f ca="1">INDEX(RESULTADOS!$A:$BZ,MATCH($A55,RESULTADOS!$A:$A,0),MATCH(Y$1,RESULTADOS!$1:$1,0))</f>
        <v>#N/A</v>
      </c>
      <c r="AC55" s="239" t="e">
        <f ca="1">INDEX(RESULTADOS!$A:$BZ,MATCH($A55,RESULTADOS!$A:$A,0),MATCH(AC$1,RESULTADOS!$1:$1,0))</f>
        <v>#N/A</v>
      </c>
      <c r="AE55" s="239" t="e">
        <f ca="1">INDEX(RESULTADOS!$A:$BZ,MATCH($A55,RESULTADOS!$A:$A,0),MATCH(AE$1,RESULTADOS!$1:$1,0))</f>
        <v>#N/A</v>
      </c>
      <c r="AF55" s="239" t="e">
        <f ca="1">INDEX(RESULTADOS!$A:$BZ,MATCH($A55,RESULTADOS!$A:$A,0),MATCH(AF$1,RESULTADOS!$1:$1,0))</f>
        <v>#N/A</v>
      </c>
      <c r="AJ55" s="239" t="e">
        <f ca="1">INDEX(RESULTADOS!$A:$BZ,MATCH($A55,RESULTADOS!$A:$A,0),MATCH(AJ$1,RESULTADOS!$1:$1,0))</f>
        <v>#N/A</v>
      </c>
      <c r="AK55" s="239" t="e">
        <f ca="1">INDEX(RESULTADOS!$A:$BZ,MATCH($A55,RESULTADOS!$A:$A,0),MATCH(AK$1,RESULTADOS!$1:$1,0))</f>
        <v>#N/A</v>
      </c>
      <c r="AO55" s="239" t="e">
        <f ca="1">INDEX(RESULTADOS!$A:$BZ,MATCH($A55,RESULTADOS!$A:$A,0),MATCH(AO$1,RESULTADOS!$1:$1,0))</f>
        <v>#N/A</v>
      </c>
    </row>
    <row r="56" spans="1:41" x14ac:dyDescent="0.2">
      <c r="A56" s="49">
        <f t="shared" ca="1" si="11"/>
        <v>43855</v>
      </c>
      <c r="B56" s="53"/>
      <c r="C56" s="53"/>
      <c r="D56" s="52"/>
      <c r="E56" s="208" t="e">
        <f ca="1">INDEX(RESULTADOS!$A:$BZ,MATCH($A56,RESULTADOS!$A:$A,0),MATCH(E$1,RESULTADOS!$1:$1,0))</f>
        <v>#N/A</v>
      </c>
      <c r="F56" s="208" t="e">
        <f ca="1">INDEX(RESULTADOS!$A:$BZ,MATCH($A56,RESULTADOS!$A:$A,0),MATCH(F$1,RESULTADOS!$1:$1,0))</f>
        <v>#N/A</v>
      </c>
      <c r="G56" s="208" t="e">
        <f ca="1">INDEX(RESULTADOS!$A:$BZ,MATCH($A56,RESULTADOS!$A:$A,0),MATCH(G$1,RESULTADOS!$1:$1,0))</f>
        <v>#N/A</v>
      </c>
      <c r="H56" s="208" t="e">
        <f ca="1">INDEX(RESULTADOS!$A:$BZ,MATCH($A56,RESULTADOS!$A:$A,0),MATCH(H$1,RESULTADOS!$1:$1,0))</f>
        <v>#N/A</v>
      </c>
      <c r="I56" s="208" t="e">
        <f ca="1">INDEX(RESULTADOS!$A:$BZ,MATCH($A56,RESULTADOS!$A:$A,0),MATCH(I$1,RESULTADOS!$1:$1,0))</f>
        <v>#N/A</v>
      </c>
      <c r="J56" s="208" t="e">
        <f ca="1">INDEX(RESULTADOS!$A:$BZ,MATCH($A56,RESULTADOS!$A:$A,0),MATCH(J$1,RESULTADOS!$1:$1,0))</f>
        <v>#N/A</v>
      </c>
      <c r="K56" s="208" t="e">
        <f ca="1">INDEX(RESULTADOS!$A:$BZ,MATCH($A56,RESULTADOS!$A:$A,0),MATCH(K$1,RESULTADOS!$1:$1,0))</f>
        <v>#N/A</v>
      </c>
      <c r="L56" s="208" t="e">
        <f ca="1">INDEX(RESULTADOS!$A:$BZ,MATCH($A56,RESULTADOS!$A:$A,0),MATCH(L$1,RESULTADOS!$1:$1,0))</f>
        <v>#N/A</v>
      </c>
      <c r="M56" s="239" t="e">
        <f t="shared" ca="1" si="2"/>
        <v>#N/A</v>
      </c>
      <c r="N56" s="239" t="e">
        <f t="shared" ca="1" si="3"/>
        <v>#N/A</v>
      </c>
      <c r="O56" s="230" t="e">
        <f t="shared" ca="1" si="4"/>
        <v>#N/A</v>
      </c>
      <c r="P56" s="230" t="e">
        <f t="shared" ca="1" si="5"/>
        <v>#N/A</v>
      </c>
      <c r="Q56" s="239" t="e">
        <f t="shared" ca="1" si="6"/>
        <v>#N/A</v>
      </c>
      <c r="R56" s="239" t="e">
        <f t="shared" ca="1" si="7"/>
        <v>#N/A</v>
      </c>
      <c r="S56" s="230" t="e">
        <f t="shared" ca="1" si="8"/>
        <v>#N/A</v>
      </c>
      <c r="T56" s="230"/>
      <c r="U56" s="239" t="e">
        <f t="shared" ca="1" si="9"/>
        <v>#N/A</v>
      </c>
      <c r="V56" s="239" t="e">
        <f t="shared" ca="1" si="10"/>
        <v>#N/A</v>
      </c>
      <c r="W56" s="239" t="e">
        <f ca="1">INDEX(RESULTADOS!$A:$BZ,MATCH($A56,RESULTADOS!$A:$A,0),MATCH(W$1,RESULTADOS!$1:$1,0))</f>
        <v>#N/A</v>
      </c>
      <c r="Y56" s="239" t="e">
        <f ca="1">INDEX(RESULTADOS!$A:$BZ,MATCH($A56,RESULTADOS!$A:$A,0),MATCH(Y$1,RESULTADOS!$1:$1,0))</f>
        <v>#N/A</v>
      </c>
      <c r="AC56" s="239" t="e">
        <f ca="1">INDEX(RESULTADOS!$A:$BZ,MATCH($A56,RESULTADOS!$A:$A,0),MATCH(AC$1,RESULTADOS!$1:$1,0))</f>
        <v>#N/A</v>
      </c>
      <c r="AE56" s="239" t="e">
        <f ca="1">INDEX(RESULTADOS!$A:$BZ,MATCH($A56,RESULTADOS!$A:$A,0),MATCH(AE$1,RESULTADOS!$1:$1,0))</f>
        <v>#N/A</v>
      </c>
      <c r="AF56" s="239" t="e">
        <f ca="1">INDEX(RESULTADOS!$A:$BZ,MATCH($A56,RESULTADOS!$A:$A,0),MATCH(AF$1,RESULTADOS!$1:$1,0))</f>
        <v>#N/A</v>
      </c>
      <c r="AJ56" s="239" t="e">
        <f ca="1">INDEX(RESULTADOS!$A:$BZ,MATCH($A56,RESULTADOS!$A:$A,0),MATCH(AJ$1,RESULTADOS!$1:$1,0))</f>
        <v>#N/A</v>
      </c>
      <c r="AK56" s="239" t="e">
        <f ca="1">INDEX(RESULTADOS!$A:$BZ,MATCH($A56,RESULTADOS!$A:$A,0),MATCH(AK$1,RESULTADOS!$1:$1,0))</f>
        <v>#N/A</v>
      </c>
      <c r="AO56" s="239" t="e">
        <f ca="1">INDEX(RESULTADOS!$A:$BZ,MATCH($A56,RESULTADOS!$A:$A,0),MATCH(AO$1,RESULTADOS!$1:$1,0))</f>
        <v>#N/A</v>
      </c>
    </row>
    <row r="57" spans="1:41" x14ac:dyDescent="0.2">
      <c r="A57" s="49">
        <f t="shared" ca="1" si="11"/>
        <v>43856</v>
      </c>
      <c r="B57" s="53"/>
      <c r="C57" s="53"/>
      <c r="D57" s="52"/>
      <c r="E57" s="208" t="e">
        <f ca="1">INDEX(RESULTADOS!$A:$BZ,MATCH($A57,RESULTADOS!$A:$A,0),MATCH(E$1,RESULTADOS!$1:$1,0))</f>
        <v>#N/A</v>
      </c>
      <c r="F57" s="208" t="e">
        <f ca="1">INDEX(RESULTADOS!$A:$BZ,MATCH($A57,RESULTADOS!$A:$A,0),MATCH(F$1,RESULTADOS!$1:$1,0))</f>
        <v>#N/A</v>
      </c>
      <c r="G57" s="208" t="e">
        <f ca="1">INDEX(RESULTADOS!$A:$BZ,MATCH($A57,RESULTADOS!$A:$A,0),MATCH(G$1,RESULTADOS!$1:$1,0))</f>
        <v>#N/A</v>
      </c>
      <c r="H57" s="208" t="e">
        <f ca="1">INDEX(RESULTADOS!$A:$BZ,MATCH($A57,RESULTADOS!$A:$A,0),MATCH(H$1,RESULTADOS!$1:$1,0))</f>
        <v>#N/A</v>
      </c>
      <c r="I57" s="208" t="e">
        <f ca="1">INDEX(RESULTADOS!$A:$BZ,MATCH($A57,RESULTADOS!$A:$A,0),MATCH(I$1,RESULTADOS!$1:$1,0))</f>
        <v>#N/A</v>
      </c>
      <c r="J57" s="208" t="e">
        <f ca="1">INDEX(RESULTADOS!$A:$BZ,MATCH($A57,RESULTADOS!$A:$A,0),MATCH(J$1,RESULTADOS!$1:$1,0))</f>
        <v>#N/A</v>
      </c>
      <c r="K57" s="208" t="e">
        <f ca="1">INDEX(RESULTADOS!$A:$BZ,MATCH($A57,RESULTADOS!$A:$A,0),MATCH(K$1,RESULTADOS!$1:$1,0))</f>
        <v>#N/A</v>
      </c>
      <c r="L57" s="208" t="e">
        <f ca="1">INDEX(RESULTADOS!$A:$BZ,MATCH($A57,RESULTADOS!$A:$A,0),MATCH(L$1,RESULTADOS!$1:$1,0))</f>
        <v>#N/A</v>
      </c>
      <c r="M57" s="239" t="e">
        <f t="shared" ca="1" si="2"/>
        <v>#N/A</v>
      </c>
      <c r="N57" s="239" t="e">
        <f t="shared" ca="1" si="3"/>
        <v>#N/A</v>
      </c>
      <c r="O57" s="230" t="e">
        <f t="shared" ca="1" si="4"/>
        <v>#N/A</v>
      </c>
      <c r="P57" s="230" t="e">
        <f t="shared" ca="1" si="5"/>
        <v>#N/A</v>
      </c>
      <c r="Q57" s="239" t="e">
        <f t="shared" ca="1" si="6"/>
        <v>#N/A</v>
      </c>
      <c r="R57" s="239" t="e">
        <f t="shared" ca="1" si="7"/>
        <v>#N/A</v>
      </c>
      <c r="S57" s="230" t="e">
        <f t="shared" ca="1" si="8"/>
        <v>#N/A</v>
      </c>
      <c r="T57" s="230"/>
      <c r="U57" s="239" t="e">
        <f t="shared" ca="1" si="9"/>
        <v>#N/A</v>
      </c>
      <c r="V57" s="239" t="e">
        <f t="shared" ca="1" si="10"/>
        <v>#N/A</v>
      </c>
      <c r="W57" s="239" t="e">
        <f ca="1">INDEX(RESULTADOS!$A:$BZ,MATCH($A57,RESULTADOS!$A:$A,0),MATCH(W$1,RESULTADOS!$1:$1,0))</f>
        <v>#N/A</v>
      </c>
      <c r="Y57" s="239" t="e">
        <f ca="1">INDEX(RESULTADOS!$A:$BZ,MATCH($A57,RESULTADOS!$A:$A,0),MATCH(Y$1,RESULTADOS!$1:$1,0))</f>
        <v>#N/A</v>
      </c>
      <c r="AC57" s="239" t="e">
        <f ca="1">INDEX(RESULTADOS!$A:$BZ,MATCH($A57,RESULTADOS!$A:$A,0),MATCH(AC$1,RESULTADOS!$1:$1,0))</f>
        <v>#N/A</v>
      </c>
      <c r="AE57" s="239" t="e">
        <f ca="1">INDEX(RESULTADOS!$A:$BZ,MATCH($A57,RESULTADOS!$A:$A,0),MATCH(AE$1,RESULTADOS!$1:$1,0))</f>
        <v>#N/A</v>
      </c>
      <c r="AF57" s="239" t="e">
        <f ca="1">INDEX(RESULTADOS!$A:$BZ,MATCH($A57,RESULTADOS!$A:$A,0),MATCH(AF$1,RESULTADOS!$1:$1,0))</f>
        <v>#N/A</v>
      </c>
      <c r="AJ57" s="239" t="e">
        <f ca="1">INDEX(RESULTADOS!$A:$BZ,MATCH($A57,RESULTADOS!$A:$A,0),MATCH(AJ$1,RESULTADOS!$1:$1,0))</f>
        <v>#N/A</v>
      </c>
      <c r="AK57" s="239" t="e">
        <f ca="1">INDEX(RESULTADOS!$A:$BZ,MATCH($A57,RESULTADOS!$A:$A,0),MATCH(AK$1,RESULTADOS!$1:$1,0))</f>
        <v>#N/A</v>
      </c>
      <c r="AO57" s="239" t="e">
        <f ca="1">INDEX(RESULTADOS!$A:$BZ,MATCH($A57,RESULTADOS!$A:$A,0),MATCH(AO$1,RESULTADOS!$1:$1,0))</f>
        <v>#N/A</v>
      </c>
    </row>
    <row r="58" spans="1:41" x14ac:dyDescent="0.2">
      <c r="A58" s="49">
        <f t="shared" ca="1" si="11"/>
        <v>43857</v>
      </c>
      <c r="B58" s="53"/>
      <c r="C58" s="53"/>
      <c r="D58" s="52"/>
      <c r="E58" s="208" t="e">
        <f ca="1">INDEX(RESULTADOS!$A:$BZ,MATCH($A58,RESULTADOS!$A:$A,0),MATCH(E$1,RESULTADOS!$1:$1,0))</f>
        <v>#N/A</v>
      </c>
      <c r="F58" s="208" t="e">
        <f ca="1">INDEX(RESULTADOS!$A:$BZ,MATCH($A58,RESULTADOS!$A:$A,0),MATCH(F$1,RESULTADOS!$1:$1,0))</f>
        <v>#N/A</v>
      </c>
      <c r="G58" s="208" t="e">
        <f ca="1">INDEX(RESULTADOS!$A:$BZ,MATCH($A58,RESULTADOS!$A:$A,0),MATCH(G$1,RESULTADOS!$1:$1,0))</f>
        <v>#N/A</v>
      </c>
      <c r="H58" s="208" t="e">
        <f ca="1">INDEX(RESULTADOS!$A:$BZ,MATCH($A58,RESULTADOS!$A:$A,0),MATCH(H$1,RESULTADOS!$1:$1,0))</f>
        <v>#N/A</v>
      </c>
      <c r="I58" s="208" t="e">
        <f ca="1">INDEX(RESULTADOS!$A:$BZ,MATCH($A58,RESULTADOS!$A:$A,0),MATCH(I$1,RESULTADOS!$1:$1,0))</f>
        <v>#N/A</v>
      </c>
      <c r="J58" s="208" t="e">
        <f ca="1">INDEX(RESULTADOS!$A:$BZ,MATCH($A58,RESULTADOS!$A:$A,0),MATCH(J$1,RESULTADOS!$1:$1,0))</f>
        <v>#N/A</v>
      </c>
      <c r="K58" s="208" t="e">
        <f ca="1">INDEX(RESULTADOS!$A:$BZ,MATCH($A58,RESULTADOS!$A:$A,0),MATCH(K$1,RESULTADOS!$1:$1,0))</f>
        <v>#N/A</v>
      </c>
      <c r="L58" s="208" t="e">
        <f ca="1">INDEX(RESULTADOS!$A:$BZ,MATCH($A58,RESULTADOS!$A:$A,0),MATCH(L$1,RESULTADOS!$1:$1,0))</f>
        <v>#N/A</v>
      </c>
      <c r="M58" s="239" t="e">
        <f t="shared" ca="1" si="2"/>
        <v>#N/A</v>
      </c>
      <c r="N58" s="239" t="e">
        <f t="shared" ca="1" si="3"/>
        <v>#N/A</v>
      </c>
      <c r="O58" s="230" t="e">
        <f t="shared" ca="1" si="4"/>
        <v>#N/A</v>
      </c>
      <c r="P58" s="230" t="e">
        <f t="shared" ca="1" si="5"/>
        <v>#N/A</v>
      </c>
      <c r="Q58" s="239" t="e">
        <f t="shared" ca="1" si="6"/>
        <v>#N/A</v>
      </c>
      <c r="R58" s="239" t="e">
        <f t="shared" ca="1" si="7"/>
        <v>#N/A</v>
      </c>
      <c r="S58" s="230" t="e">
        <f t="shared" ca="1" si="8"/>
        <v>#N/A</v>
      </c>
      <c r="T58" s="230"/>
      <c r="U58" s="239" t="e">
        <f t="shared" ca="1" si="9"/>
        <v>#N/A</v>
      </c>
      <c r="V58" s="239" t="e">
        <f t="shared" ca="1" si="10"/>
        <v>#N/A</v>
      </c>
      <c r="W58" s="239" t="e">
        <f ca="1">INDEX(RESULTADOS!$A:$BZ,MATCH($A58,RESULTADOS!$A:$A,0),MATCH(W$1,RESULTADOS!$1:$1,0))</f>
        <v>#N/A</v>
      </c>
      <c r="Y58" s="239" t="e">
        <f ca="1">INDEX(RESULTADOS!$A:$BZ,MATCH($A58,RESULTADOS!$A:$A,0),MATCH(Y$1,RESULTADOS!$1:$1,0))</f>
        <v>#N/A</v>
      </c>
      <c r="AC58" s="239" t="e">
        <f ca="1">INDEX(RESULTADOS!$A:$BZ,MATCH($A58,RESULTADOS!$A:$A,0),MATCH(AC$1,RESULTADOS!$1:$1,0))</f>
        <v>#N/A</v>
      </c>
      <c r="AE58" s="239" t="e">
        <f ca="1">INDEX(RESULTADOS!$A:$BZ,MATCH($A58,RESULTADOS!$A:$A,0),MATCH(AE$1,RESULTADOS!$1:$1,0))</f>
        <v>#N/A</v>
      </c>
      <c r="AF58" s="239" t="e">
        <f ca="1">INDEX(RESULTADOS!$A:$BZ,MATCH($A58,RESULTADOS!$A:$A,0),MATCH(AF$1,RESULTADOS!$1:$1,0))</f>
        <v>#N/A</v>
      </c>
      <c r="AJ58" s="239" t="e">
        <f ca="1">INDEX(RESULTADOS!$A:$BZ,MATCH($A58,RESULTADOS!$A:$A,0),MATCH(AJ$1,RESULTADOS!$1:$1,0))</f>
        <v>#N/A</v>
      </c>
      <c r="AK58" s="239" t="e">
        <f ca="1">INDEX(RESULTADOS!$A:$BZ,MATCH($A58,RESULTADOS!$A:$A,0),MATCH(AK$1,RESULTADOS!$1:$1,0))</f>
        <v>#N/A</v>
      </c>
      <c r="AO58" s="239" t="e">
        <f ca="1">INDEX(RESULTADOS!$A:$BZ,MATCH($A58,RESULTADOS!$A:$A,0),MATCH(AO$1,RESULTADOS!$1:$1,0))</f>
        <v>#N/A</v>
      </c>
    </row>
    <row r="59" spans="1:41" x14ac:dyDescent="0.2">
      <c r="A59" s="49">
        <f t="shared" ca="1" si="11"/>
        <v>43858</v>
      </c>
      <c r="B59" s="53"/>
      <c r="C59" s="53"/>
      <c r="D59" s="52"/>
      <c r="E59" s="208" t="e">
        <f ca="1">INDEX(RESULTADOS!$A:$BZ,MATCH($A59,RESULTADOS!$A:$A,0),MATCH(E$1,RESULTADOS!$1:$1,0))</f>
        <v>#N/A</v>
      </c>
      <c r="F59" s="208" t="e">
        <f ca="1">INDEX(RESULTADOS!$A:$BZ,MATCH($A59,RESULTADOS!$A:$A,0),MATCH(F$1,RESULTADOS!$1:$1,0))</f>
        <v>#N/A</v>
      </c>
      <c r="G59" s="208" t="e">
        <f ca="1">INDEX(RESULTADOS!$A:$BZ,MATCH($A59,RESULTADOS!$A:$A,0),MATCH(G$1,RESULTADOS!$1:$1,0))</f>
        <v>#N/A</v>
      </c>
      <c r="H59" s="208" t="e">
        <f ca="1">INDEX(RESULTADOS!$A:$BZ,MATCH($A59,RESULTADOS!$A:$A,0),MATCH(H$1,RESULTADOS!$1:$1,0))</f>
        <v>#N/A</v>
      </c>
      <c r="I59" s="208" t="e">
        <f ca="1">INDEX(RESULTADOS!$A:$BZ,MATCH($A59,RESULTADOS!$A:$A,0),MATCH(I$1,RESULTADOS!$1:$1,0))</f>
        <v>#N/A</v>
      </c>
      <c r="J59" s="208" t="e">
        <f ca="1">INDEX(RESULTADOS!$A:$BZ,MATCH($A59,RESULTADOS!$A:$A,0),MATCH(J$1,RESULTADOS!$1:$1,0))</f>
        <v>#N/A</v>
      </c>
      <c r="K59" s="208" t="e">
        <f ca="1">INDEX(RESULTADOS!$A:$BZ,MATCH($A59,RESULTADOS!$A:$A,0),MATCH(K$1,RESULTADOS!$1:$1,0))</f>
        <v>#N/A</v>
      </c>
      <c r="L59" s="208" t="e">
        <f ca="1">INDEX(RESULTADOS!$A:$BZ,MATCH($A59,RESULTADOS!$A:$A,0),MATCH(L$1,RESULTADOS!$1:$1,0))</f>
        <v>#N/A</v>
      </c>
      <c r="M59" s="239" t="e">
        <f t="shared" ca="1" si="2"/>
        <v>#N/A</v>
      </c>
      <c r="N59" s="239" t="e">
        <f t="shared" ca="1" si="3"/>
        <v>#N/A</v>
      </c>
      <c r="O59" s="230" t="e">
        <f t="shared" ca="1" si="4"/>
        <v>#N/A</v>
      </c>
      <c r="P59" s="230" t="e">
        <f t="shared" ca="1" si="5"/>
        <v>#N/A</v>
      </c>
      <c r="Q59" s="239" t="e">
        <f t="shared" ca="1" si="6"/>
        <v>#N/A</v>
      </c>
      <c r="R59" s="239" t="e">
        <f t="shared" ca="1" si="7"/>
        <v>#N/A</v>
      </c>
      <c r="S59" s="230" t="e">
        <f t="shared" ca="1" si="8"/>
        <v>#N/A</v>
      </c>
      <c r="T59" s="230"/>
      <c r="U59" s="239" t="e">
        <f t="shared" ca="1" si="9"/>
        <v>#N/A</v>
      </c>
      <c r="V59" s="239" t="e">
        <f t="shared" ca="1" si="10"/>
        <v>#N/A</v>
      </c>
      <c r="W59" s="239" t="e">
        <f ca="1">INDEX(RESULTADOS!$A:$BZ,MATCH($A59,RESULTADOS!$A:$A,0),MATCH(W$1,RESULTADOS!$1:$1,0))</f>
        <v>#N/A</v>
      </c>
      <c r="Y59" s="239" t="e">
        <f ca="1">INDEX(RESULTADOS!$A:$BZ,MATCH($A59,RESULTADOS!$A:$A,0),MATCH(Y$1,RESULTADOS!$1:$1,0))</f>
        <v>#N/A</v>
      </c>
      <c r="AC59" s="239" t="e">
        <f ca="1">INDEX(RESULTADOS!$A:$BZ,MATCH($A59,RESULTADOS!$A:$A,0),MATCH(AC$1,RESULTADOS!$1:$1,0))</f>
        <v>#N/A</v>
      </c>
      <c r="AE59" s="239" t="e">
        <f ca="1">INDEX(RESULTADOS!$A:$BZ,MATCH($A59,RESULTADOS!$A:$A,0),MATCH(AE$1,RESULTADOS!$1:$1,0))</f>
        <v>#N/A</v>
      </c>
      <c r="AF59" s="239" t="e">
        <f ca="1">INDEX(RESULTADOS!$A:$BZ,MATCH($A59,RESULTADOS!$A:$A,0),MATCH(AF$1,RESULTADOS!$1:$1,0))</f>
        <v>#N/A</v>
      </c>
      <c r="AJ59" s="239" t="e">
        <f ca="1">INDEX(RESULTADOS!$A:$BZ,MATCH($A59,RESULTADOS!$A:$A,0),MATCH(AJ$1,RESULTADOS!$1:$1,0))</f>
        <v>#N/A</v>
      </c>
      <c r="AK59" s="239" t="e">
        <f ca="1">INDEX(RESULTADOS!$A:$BZ,MATCH($A59,RESULTADOS!$A:$A,0),MATCH(AK$1,RESULTADOS!$1:$1,0))</f>
        <v>#N/A</v>
      </c>
      <c r="AO59" s="239" t="e">
        <f ca="1">INDEX(RESULTADOS!$A:$BZ,MATCH($A59,RESULTADOS!$A:$A,0),MATCH(AO$1,RESULTADOS!$1:$1,0))</f>
        <v>#N/A</v>
      </c>
    </row>
    <row r="60" spans="1:41" x14ac:dyDescent="0.2">
      <c r="A60" s="49">
        <f t="shared" ca="1" si="11"/>
        <v>43859</v>
      </c>
      <c r="B60" s="53"/>
      <c r="C60" s="53"/>
      <c r="D60" s="52"/>
      <c r="E60" s="208" t="e">
        <f ca="1">INDEX(RESULTADOS!$A:$BZ,MATCH($A60,RESULTADOS!$A:$A,0),MATCH(E$1,RESULTADOS!$1:$1,0))</f>
        <v>#N/A</v>
      </c>
      <c r="F60" s="208" t="e">
        <f ca="1">INDEX(RESULTADOS!$A:$BZ,MATCH($A60,RESULTADOS!$A:$A,0),MATCH(F$1,RESULTADOS!$1:$1,0))</f>
        <v>#N/A</v>
      </c>
      <c r="G60" s="208" t="e">
        <f ca="1">INDEX(RESULTADOS!$A:$BZ,MATCH($A60,RESULTADOS!$A:$A,0),MATCH(G$1,RESULTADOS!$1:$1,0))</f>
        <v>#N/A</v>
      </c>
      <c r="H60" s="208" t="e">
        <f ca="1">INDEX(RESULTADOS!$A:$BZ,MATCH($A60,RESULTADOS!$A:$A,0),MATCH(H$1,RESULTADOS!$1:$1,0))</f>
        <v>#N/A</v>
      </c>
      <c r="I60" s="208" t="e">
        <f ca="1">INDEX(RESULTADOS!$A:$BZ,MATCH($A60,RESULTADOS!$A:$A,0),MATCH(I$1,RESULTADOS!$1:$1,0))</f>
        <v>#N/A</v>
      </c>
      <c r="J60" s="208" t="e">
        <f ca="1">INDEX(RESULTADOS!$A:$BZ,MATCH($A60,RESULTADOS!$A:$A,0),MATCH(J$1,RESULTADOS!$1:$1,0))</f>
        <v>#N/A</v>
      </c>
      <c r="K60" s="208" t="e">
        <f ca="1">INDEX(RESULTADOS!$A:$BZ,MATCH($A60,RESULTADOS!$A:$A,0),MATCH(K$1,RESULTADOS!$1:$1,0))</f>
        <v>#N/A</v>
      </c>
      <c r="L60" s="208" t="e">
        <f ca="1">INDEX(RESULTADOS!$A:$BZ,MATCH($A60,RESULTADOS!$A:$A,0),MATCH(L$1,RESULTADOS!$1:$1,0))</f>
        <v>#N/A</v>
      </c>
      <c r="M60" s="239" t="e">
        <f t="shared" ca="1" si="2"/>
        <v>#N/A</v>
      </c>
      <c r="N60" s="239" t="e">
        <f t="shared" ca="1" si="3"/>
        <v>#N/A</v>
      </c>
      <c r="O60" s="230" t="e">
        <f t="shared" ca="1" si="4"/>
        <v>#N/A</v>
      </c>
      <c r="P60" s="230" t="e">
        <f t="shared" ca="1" si="5"/>
        <v>#N/A</v>
      </c>
      <c r="Q60" s="239" t="e">
        <f t="shared" ca="1" si="6"/>
        <v>#N/A</v>
      </c>
      <c r="R60" s="239" t="e">
        <f t="shared" ca="1" si="7"/>
        <v>#N/A</v>
      </c>
      <c r="S60" s="230" t="e">
        <f t="shared" ca="1" si="8"/>
        <v>#N/A</v>
      </c>
      <c r="T60" s="230"/>
      <c r="U60" s="239" t="e">
        <f t="shared" ca="1" si="9"/>
        <v>#N/A</v>
      </c>
      <c r="V60" s="239" t="e">
        <f t="shared" ca="1" si="10"/>
        <v>#N/A</v>
      </c>
      <c r="W60" s="239" t="e">
        <f ca="1">INDEX(RESULTADOS!$A:$BZ,MATCH($A60,RESULTADOS!$A:$A,0),MATCH(W$1,RESULTADOS!$1:$1,0))</f>
        <v>#N/A</v>
      </c>
      <c r="Y60" s="239" t="e">
        <f ca="1">INDEX(RESULTADOS!$A:$BZ,MATCH($A60,RESULTADOS!$A:$A,0),MATCH(Y$1,RESULTADOS!$1:$1,0))</f>
        <v>#N/A</v>
      </c>
      <c r="AC60" s="239" t="e">
        <f ca="1">INDEX(RESULTADOS!$A:$BZ,MATCH($A60,RESULTADOS!$A:$A,0),MATCH(AC$1,RESULTADOS!$1:$1,0))</f>
        <v>#N/A</v>
      </c>
      <c r="AE60" s="239" t="e">
        <f ca="1">INDEX(RESULTADOS!$A:$BZ,MATCH($A60,RESULTADOS!$A:$A,0),MATCH(AE$1,RESULTADOS!$1:$1,0))</f>
        <v>#N/A</v>
      </c>
      <c r="AF60" s="239" t="e">
        <f ca="1">INDEX(RESULTADOS!$A:$BZ,MATCH($A60,RESULTADOS!$A:$A,0),MATCH(AF$1,RESULTADOS!$1:$1,0))</f>
        <v>#N/A</v>
      </c>
      <c r="AJ60" s="239" t="e">
        <f ca="1">INDEX(RESULTADOS!$A:$BZ,MATCH($A60,RESULTADOS!$A:$A,0),MATCH(AJ$1,RESULTADOS!$1:$1,0))</f>
        <v>#N/A</v>
      </c>
      <c r="AK60" s="239" t="e">
        <f ca="1">INDEX(RESULTADOS!$A:$BZ,MATCH($A60,RESULTADOS!$A:$A,0),MATCH(AK$1,RESULTADOS!$1:$1,0))</f>
        <v>#N/A</v>
      </c>
      <c r="AO60" s="239" t="e">
        <f ca="1">INDEX(RESULTADOS!$A:$BZ,MATCH($A60,RESULTADOS!$A:$A,0),MATCH(AO$1,RESULTADOS!$1:$1,0))</f>
        <v>#N/A</v>
      </c>
    </row>
    <row r="61" spans="1:41" x14ac:dyDescent="0.2">
      <c r="A61" s="82">
        <f t="shared" ca="1" si="11"/>
        <v>43860</v>
      </c>
      <c r="B61" s="87"/>
      <c r="C61" s="87"/>
      <c r="D61" s="88"/>
      <c r="E61" s="208" t="e">
        <f ca="1">INDEX(RESULTADOS!$A:$BZ,MATCH($A61,RESULTADOS!$A:$A,0),MATCH(E$1,RESULTADOS!$1:$1,0))</f>
        <v>#N/A</v>
      </c>
      <c r="F61" s="208" t="e">
        <f ca="1">INDEX(RESULTADOS!$A:$BZ,MATCH($A61,RESULTADOS!$A:$A,0),MATCH(F$1,RESULTADOS!$1:$1,0))</f>
        <v>#N/A</v>
      </c>
      <c r="G61" s="208" t="e">
        <f ca="1">INDEX(RESULTADOS!$A:$BZ,MATCH($A61,RESULTADOS!$A:$A,0),MATCH(G$1,RESULTADOS!$1:$1,0))</f>
        <v>#N/A</v>
      </c>
      <c r="H61" s="208" t="e">
        <f ca="1">INDEX(RESULTADOS!$A:$BZ,MATCH($A61,RESULTADOS!$A:$A,0),MATCH(H$1,RESULTADOS!$1:$1,0))</f>
        <v>#N/A</v>
      </c>
      <c r="I61" s="208" t="e">
        <f ca="1">INDEX(RESULTADOS!$A:$BZ,MATCH($A61,RESULTADOS!$A:$A,0),MATCH(I$1,RESULTADOS!$1:$1,0))</f>
        <v>#N/A</v>
      </c>
      <c r="J61" s="208" t="e">
        <f ca="1">INDEX(RESULTADOS!$A:$BZ,MATCH($A61,RESULTADOS!$A:$A,0),MATCH(J$1,RESULTADOS!$1:$1,0))</f>
        <v>#N/A</v>
      </c>
      <c r="K61" s="208" t="e">
        <f ca="1">INDEX(RESULTADOS!$A:$BZ,MATCH($A61,RESULTADOS!$A:$A,0),MATCH(K$1,RESULTADOS!$1:$1,0))</f>
        <v>#N/A</v>
      </c>
      <c r="L61" s="208" t="e">
        <f ca="1">INDEX(RESULTADOS!$A:$BZ,MATCH($A61,RESULTADOS!$A:$A,0),MATCH(L$1,RESULTADOS!$1:$1,0))</f>
        <v>#N/A</v>
      </c>
      <c r="M61" s="239" t="e">
        <f t="shared" ca="1" si="2"/>
        <v>#N/A</v>
      </c>
      <c r="N61" s="239" t="e">
        <f t="shared" ca="1" si="3"/>
        <v>#N/A</v>
      </c>
      <c r="O61" s="230" t="e">
        <f t="shared" ca="1" si="4"/>
        <v>#N/A</v>
      </c>
      <c r="P61" s="230" t="e">
        <f t="shared" ca="1" si="5"/>
        <v>#N/A</v>
      </c>
      <c r="Q61" s="239" t="e">
        <f t="shared" ca="1" si="6"/>
        <v>#N/A</v>
      </c>
      <c r="R61" s="239" t="e">
        <f t="shared" ca="1" si="7"/>
        <v>#N/A</v>
      </c>
      <c r="S61" s="230" t="e">
        <f t="shared" ca="1" si="8"/>
        <v>#N/A</v>
      </c>
      <c r="T61" s="230"/>
      <c r="U61" s="239" t="e">
        <f t="shared" ca="1" si="9"/>
        <v>#N/A</v>
      </c>
      <c r="V61" s="239" t="e">
        <f t="shared" ca="1" si="10"/>
        <v>#N/A</v>
      </c>
      <c r="W61" s="239" t="e">
        <f ca="1">INDEX(RESULTADOS!$A:$BZ,MATCH($A61,RESULTADOS!$A:$A,0),MATCH(W$1,RESULTADOS!$1:$1,0))</f>
        <v>#N/A</v>
      </c>
      <c r="Y61" s="239" t="e">
        <f ca="1">INDEX(RESULTADOS!$A:$BZ,MATCH($A61,RESULTADOS!$A:$A,0),MATCH(Y$1,RESULTADOS!$1:$1,0))</f>
        <v>#N/A</v>
      </c>
      <c r="AC61" s="239" t="e">
        <f ca="1">INDEX(RESULTADOS!$A:$BZ,MATCH($A61,RESULTADOS!$A:$A,0),MATCH(AC$1,RESULTADOS!$1:$1,0))</f>
        <v>#N/A</v>
      </c>
      <c r="AE61" s="239" t="e">
        <f ca="1">INDEX(RESULTADOS!$A:$BZ,MATCH($A61,RESULTADOS!$A:$A,0),MATCH(AE$1,RESULTADOS!$1:$1,0))</f>
        <v>#N/A</v>
      </c>
      <c r="AF61" s="239" t="e">
        <f ca="1">INDEX(RESULTADOS!$A:$BZ,MATCH($A61,RESULTADOS!$A:$A,0),MATCH(AF$1,RESULTADOS!$1:$1,0))</f>
        <v>#N/A</v>
      </c>
      <c r="AJ61" s="239" t="e">
        <f ca="1">INDEX(RESULTADOS!$A:$BZ,MATCH($A61,RESULTADOS!$A:$A,0),MATCH(AJ$1,RESULTADOS!$1:$1,0))</f>
        <v>#N/A</v>
      </c>
      <c r="AK61" s="239" t="e">
        <f ca="1">INDEX(RESULTADOS!$A:$BZ,MATCH($A61,RESULTADOS!$A:$A,0),MATCH(AK$1,RESULTADOS!$1:$1,0))</f>
        <v>#N/A</v>
      </c>
      <c r="AO61" s="239" t="e">
        <f ca="1">INDEX(RESULTADOS!$A:$BZ,MATCH($A61,RESULTADOS!$A:$A,0),MATCH(AO$1,RESULTADOS!$1:$1,0))</f>
        <v>#N/A</v>
      </c>
    </row>
    <row r="62" spans="1:41" x14ac:dyDescent="0.2">
      <c r="A62" s="49">
        <f t="shared" ca="1" si="11"/>
        <v>43861</v>
      </c>
      <c r="B62" s="53"/>
      <c r="C62" s="53"/>
      <c r="D62" s="52"/>
      <c r="E62" s="208" t="e">
        <f ca="1">INDEX(RESULTADOS!$A:$BZ,MATCH($A62,RESULTADOS!$A:$A,0),MATCH(E$1,RESULTADOS!$1:$1,0))</f>
        <v>#N/A</v>
      </c>
      <c r="F62" s="208" t="e">
        <f ca="1">INDEX(RESULTADOS!$A:$BZ,MATCH($A62,RESULTADOS!$A:$A,0),MATCH(F$1,RESULTADOS!$1:$1,0))</f>
        <v>#N/A</v>
      </c>
      <c r="G62" s="208" t="e">
        <f ca="1">INDEX(RESULTADOS!$A:$BZ,MATCH($A62,RESULTADOS!$A:$A,0),MATCH(G$1,RESULTADOS!$1:$1,0))</f>
        <v>#N/A</v>
      </c>
      <c r="H62" s="208" t="e">
        <f ca="1">INDEX(RESULTADOS!$A:$BZ,MATCH($A62,RESULTADOS!$A:$A,0),MATCH(H$1,RESULTADOS!$1:$1,0))</f>
        <v>#N/A</v>
      </c>
      <c r="I62" s="208" t="e">
        <f ca="1">INDEX(RESULTADOS!$A:$BZ,MATCH($A62,RESULTADOS!$A:$A,0),MATCH(I$1,RESULTADOS!$1:$1,0))</f>
        <v>#N/A</v>
      </c>
      <c r="J62" s="208" t="e">
        <f ca="1">INDEX(RESULTADOS!$A:$BZ,MATCH($A62,RESULTADOS!$A:$A,0),MATCH(J$1,RESULTADOS!$1:$1,0))</f>
        <v>#N/A</v>
      </c>
      <c r="K62" s="208" t="e">
        <f ca="1">INDEX(RESULTADOS!$A:$BZ,MATCH($A62,RESULTADOS!$A:$A,0),MATCH(K$1,RESULTADOS!$1:$1,0))</f>
        <v>#N/A</v>
      </c>
      <c r="L62" s="208" t="e">
        <f ca="1">INDEX(RESULTADOS!$A:$BZ,MATCH($A62,RESULTADOS!$A:$A,0),MATCH(L$1,RESULTADOS!$1:$1,0))</f>
        <v>#N/A</v>
      </c>
      <c r="M62" s="239" t="e">
        <f t="shared" ca="1" si="2"/>
        <v>#N/A</v>
      </c>
      <c r="N62" s="239" t="e">
        <f t="shared" ca="1" si="3"/>
        <v>#N/A</v>
      </c>
      <c r="O62" s="230" t="e">
        <f t="shared" ca="1" si="4"/>
        <v>#N/A</v>
      </c>
      <c r="P62" s="230" t="e">
        <f t="shared" ca="1" si="5"/>
        <v>#N/A</v>
      </c>
      <c r="Q62" s="239" t="e">
        <f t="shared" ca="1" si="6"/>
        <v>#N/A</v>
      </c>
      <c r="R62" s="239" t="e">
        <f t="shared" ca="1" si="7"/>
        <v>#N/A</v>
      </c>
      <c r="S62" s="230" t="e">
        <f t="shared" ca="1" si="8"/>
        <v>#N/A</v>
      </c>
      <c r="T62" s="230"/>
      <c r="U62" s="239" t="e">
        <f t="shared" ca="1" si="9"/>
        <v>#N/A</v>
      </c>
      <c r="V62" s="239" t="e">
        <f t="shared" ca="1" si="10"/>
        <v>#N/A</v>
      </c>
      <c r="W62" s="239" t="e">
        <f ca="1">INDEX(RESULTADOS!$A:$BZ,MATCH($A62,RESULTADOS!$A:$A,0),MATCH(W$1,RESULTADOS!$1:$1,0))</f>
        <v>#N/A</v>
      </c>
      <c r="Y62" s="239" t="e">
        <f ca="1">INDEX(RESULTADOS!$A:$BZ,MATCH($A62,RESULTADOS!$A:$A,0),MATCH(Y$1,RESULTADOS!$1:$1,0))</f>
        <v>#N/A</v>
      </c>
      <c r="AC62" s="239" t="e">
        <f ca="1">INDEX(RESULTADOS!$A:$BZ,MATCH($A62,RESULTADOS!$A:$A,0),MATCH(AC$1,RESULTADOS!$1:$1,0))</f>
        <v>#N/A</v>
      </c>
      <c r="AE62" s="239" t="e">
        <f ca="1">INDEX(RESULTADOS!$A:$BZ,MATCH($A62,RESULTADOS!$A:$A,0),MATCH(AE$1,RESULTADOS!$1:$1,0))</f>
        <v>#N/A</v>
      </c>
      <c r="AF62" s="239" t="e">
        <f ca="1">INDEX(RESULTADOS!$A:$BZ,MATCH($A62,RESULTADOS!$A:$A,0),MATCH(AF$1,RESULTADOS!$1:$1,0))</f>
        <v>#N/A</v>
      </c>
      <c r="AJ62" s="239" t="e">
        <f ca="1">INDEX(RESULTADOS!$A:$BZ,MATCH($A62,RESULTADOS!$A:$A,0),MATCH(AJ$1,RESULTADOS!$1:$1,0))</f>
        <v>#N/A</v>
      </c>
      <c r="AK62" s="239" t="e">
        <f ca="1">INDEX(RESULTADOS!$A:$BZ,MATCH($A62,RESULTADOS!$A:$A,0),MATCH(AK$1,RESULTADOS!$1:$1,0))</f>
        <v>#N/A</v>
      </c>
      <c r="AO62" s="239" t="e">
        <f ca="1">INDEX(RESULTADOS!$A:$BZ,MATCH($A62,RESULTADOS!$A:$A,0),MATCH(AO$1,RESULTADOS!$1:$1,0))</f>
        <v>#N/A</v>
      </c>
    </row>
    <row r="63" spans="1:41" x14ac:dyDescent="0.2">
      <c r="A63" s="49">
        <f t="shared" ca="1" si="11"/>
        <v>43862</v>
      </c>
      <c r="B63" s="53"/>
      <c r="C63" s="53"/>
      <c r="D63" s="52"/>
      <c r="E63" s="208" t="e">
        <f ca="1">INDEX(RESULTADOS!$A:$BZ,MATCH($A63,RESULTADOS!$A:$A,0),MATCH(E$1,RESULTADOS!$1:$1,0))</f>
        <v>#N/A</v>
      </c>
      <c r="F63" s="208" t="e">
        <f ca="1">INDEX(RESULTADOS!$A:$BZ,MATCH($A63,RESULTADOS!$A:$A,0),MATCH(F$1,RESULTADOS!$1:$1,0))</f>
        <v>#N/A</v>
      </c>
      <c r="G63" s="208" t="e">
        <f ca="1">INDEX(RESULTADOS!$A:$BZ,MATCH($A63,RESULTADOS!$A:$A,0),MATCH(G$1,RESULTADOS!$1:$1,0))</f>
        <v>#N/A</v>
      </c>
      <c r="H63" s="208" t="e">
        <f ca="1">INDEX(RESULTADOS!$A:$BZ,MATCH($A63,RESULTADOS!$A:$A,0),MATCH(H$1,RESULTADOS!$1:$1,0))</f>
        <v>#N/A</v>
      </c>
      <c r="I63" s="208" t="e">
        <f ca="1">INDEX(RESULTADOS!$A:$BZ,MATCH($A63,RESULTADOS!$A:$A,0),MATCH(I$1,RESULTADOS!$1:$1,0))</f>
        <v>#N/A</v>
      </c>
      <c r="J63" s="208" t="e">
        <f ca="1">INDEX(RESULTADOS!$A:$BZ,MATCH($A63,RESULTADOS!$A:$A,0),MATCH(J$1,RESULTADOS!$1:$1,0))</f>
        <v>#N/A</v>
      </c>
      <c r="K63" s="208" t="e">
        <f ca="1">INDEX(RESULTADOS!$A:$BZ,MATCH($A63,RESULTADOS!$A:$A,0),MATCH(K$1,RESULTADOS!$1:$1,0))</f>
        <v>#N/A</v>
      </c>
      <c r="L63" s="208" t="e">
        <f ca="1">INDEX(RESULTADOS!$A:$BZ,MATCH($A63,RESULTADOS!$A:$A,0),MATCH(L$1,RESULTADOS!$1:$1,0))</f>
        <v>#N/A</v>
      </c>
      <c r="M63" s="239" t="e">
        <f t="shared" ca="1" si="2"/>
        <v>#N/A</v>
      </c>
      <c r="N63" s="239" t="e">
        <f t="shared" ca="1" si="3"/>
        <v>#N/A</v>
      </c>
      <c r="O63" s="230" t="e">
        <f t="shared" ca="1" si="4"/>
        <v>#N/A</v>
      </c>
      <c r="P63" s="230" t="e">
        <f t="shared" ca="1" si="5"/>
        <v>#N/A</v>
      </c>
      <c r="Q63" s="239" t="e">
        <f t="shared" ca="1" si="6"/>
        <v>#N/A</v>
      </c>
      <c r="R63" s="239" t="e">
        <f t="shared" ca="1" si="7"/>
        <v>#N/A</v>
      </c>
      <c r="S63" s="230" t="e">
        <f t="shared" ca="1" si="8"/>
        <v>#N/A</v>
      </c>
      <c r="T63" s="230"/>
      <c r="U63" s="239" t="e">
        <f t="shared" ca="1" si="9"/>
        <v>#N/A</v>
      </c>
      <c r="V63" s="239" t="e">
        <f t="shared" ca="1" si="10"/>
        <v>#N/A</v>
      </c>
      <c r="W63" s="239" t="e">
        <f ca="1">INDEX(RESULTADOS!$A:$BZ,MATCH($A63,RESULTADOS!$A:$A,0),MATCH(W$1,RESULTADOS!$1:$1,0))</f>
        <v>#N/A</v>
      </c>
      <c r="Y63" s="239" t="e">
        <f ca="1">INDEX(RESULTADOS!$A:$BZ,MATCH($A63,RESULTADOS!$A:$A,0),MATCH(Y$1,RESULTADOS!$1:$1,0))</f>
        <v>#N/A</v>
      </c>
      <c r="AC63" s="239" t="e">
        <f ca="1">INDEX(RESULTADOS!$A:$BZ,MATCH($A63,RESULTADOS!$A:$A,0),MATCH(AC$1,RESULTADOS!$1:$1,0))</f>
        <v>#N/A</v>
      </c>
      <c r="AE63" s="239" t="e">
        <f ca="1">INDEX(RESULTADOS!$A:$BZ,MATCH($A63,RESULTADOS!$A:$A,0),MATCH(AE$1,RESULTADOS!$1:$1,0))</f>
        <v>#N/A</v>
      </c>
      <c r="AF63" s="239" t="e">
        <f ca="1">INDEX(RESULTADOS!$A:$BZ,MATCH($A63,RESULTADOS!$A:$A,0),MATCH(AF$1,RESULTADOS!$1:$1,0))</f>
        <v>#N/A</v>
      </c>
      <c r="AJ63" s="239" t="e">
        <f ca="1">INDEX(RESULTADOS!$A:$BZ,MATCH($A63,RESULTADOS!$A:$A,0),MATCH(AJ$1,RESULTADOS!$1:$1,0))</f>
        <v>#N/A</v>
      </c>
      <c r="AK63" s="239" t="e">
        <f ca="1">INDEX(RESULTADOS!$A:$BZ,MATCH($A63,RESULTADOS!$A:$A,0),MATCH(AK$1,RESULTADOS!$1:$1,0))</f>
        <v>#N/A</v>
      </c>
      <c r="AO63" s="239" t="e">
        <f ca="1">INDEX(RESULTADOS!$A:$BZ,MATCH($A63,RESULTADOS!$A:$A,0),MATCH(AO$1,RESULTADOS!$1:$1,0))</f>
        <v>#N/A</v>
      </c>
    </row>
    <row r="64" spans="1:41" x14ac:dyDescent="0.2">
      <c r="A64" s="49">
        <f t="shared" ca="1" si="11"/>
        <v>43863</v>
      </c>
      <c r="B64" s="53"/>
      <c r="C64" s="53"/>
      <c r="D64" s="52"/>
      <c r="E64" s="208" t="e">
        <f ca="1">INDEX(RESULTADOS!$A:$BZ,MATCH($A64,RESULTADOS!$A:$A,0),MATCH(E$1,RESULTADOS!$1:$1,0))</f>
        <v>#N/A</v>
      </c>
      <c r="F64" s="208" t="e">
        <f ca="1">INDEX(RESULTADOS!$A:$BZ,MATCH($A64,RESULTADOS!$A:$A,0),MATCH(F$1,RESULTADOS!$1:$1,0))</f>
        <v>#N/A</v>
      </c>
      <c r="G64" s="208" t="e">
        <f ca="1">INDEX(RESULTADOS!$A:$BZ,MATCH($A64,RESULTADOS!$A:$A,0),MATCH(G$1,RESULTADOS!$1:$1,0))</f>
        <v>#N/A</v>
      </c>
      <c r="H64" s="208" t="e">
        <f ca="1">INDEX(RESULTADOS!$A:$BZ,MATCH($A64,RESULTADOS!$A:$A,0),MATCH(H$1,RESULTADOS!$1:$1,0))</f>
        <v>#N/A</v>
      </c>
      <c r="I64" s="208" t="e">
        <f ca="1">INDEX(RESULTADOS!$A:$BZ,MATCH($A64,RESULTADOS!$A:$A,0),MATCH(I$1,RESULTADOS!$1:$1,0))</f>
        <v>#N/A</v>
      </c>
      <c r="J64" s="208" t="e">
        <f ca="1">INDEX(RESULTADOS!$A:$BZ,MATCH($A64,RESULTADOS!$A:$A,0),MATCH(J$1,RESULTADOS!$1:$1,0))</f>
        <v>#N/A</v>
      </c>
      <c r="K64" s="208" t="e">
        <f ca="1">INDEX(RESULTADOS!$A:$BZ,MATCH($A64,RESULTADOS!$A:$A,0),MATCH(K$1,RESULTADOS!$1:$1,0))</f>
        <v>#N/A</v>
      </c>
      <c r="L64" s="208" t="e">
        <f ca="1">INDEX(RESULTADOS!$A:$BZ,MATCH($A64,RESULTADOS!$A:$A,0),MATCH(L$1,RESULTADOS!$1:$1,0))</f>
        <v>#N/A</v>
      </c>
      <c r="M64" s="239" t="e">
        <f t="shared" ca="1" si="2"/>
        <v>#N/A</v>
      </c>
      <c r="N64" s="239" t="e">
        <f t="shared" ca="1" si="3"/>
        <v>#N/A</v>
      </c>
      <c r="O64" s="230" t="e">
        <f t="shared" ca="1" si="4"/>
        <v>#N/A</v>
      </c>
      <c r="P64" s="230" t="e">
        <f t="shared" ca="1" si="5"/>
        <v>#N/A</v>
      </c>
      <c r="Q64" s="239" t="e">
        <f t="shared" ca="1" si="6"/>
        <v>#N/A</v>
      </c>
      <c r="R64" s="239" t="e">
        <f t="shared" ca="1" si="7"/>
        <v>#N/A</v>
      </c>
      <c r="S64" s="230" t="e">
        <f t="shared" ca="1" si="8"/>
        <v>#N/A</v>
      </c>
      <c r="T64" s="230"/>
      <c r="U64" s="239" t="e">
        <f t="shared" ca="1" si="9"/>
        <v>#N/A</v>
      </c>
      <c r="V64" s="239" t="e">
        <f t="shared" ca="1" si="10"/>
        <v>#N/A</v>
      </c>
      <c r="W64" s="239" t="e">
        <f ca="1">INDEX(RESULTADOS!$A:$BZ,MATCH($A64,RESULTADOS!$A:$A,0),MATCH(W$1,RESULTADOS!$1:$1,0))</f>
        <v>#N/A</v>
      </c>
      <c r="Y64" s="239" t="e">
        <f ca="1">INDEX(RESULTADOS!$A:$BZ,MATCH($A64,RESULTADOS!$A:$A,0),MATCH(Y$1,RESULTADOS!$1:$1,0))</f>
        <v>#N/A</v>
      </c>
      <c r="AC64" s="239" t="e">
        <f ca="1">INDEX(RESULTADOS!$A:$BZ,MATCH($A64,RESULTADOS!$A:$A,0),MATCH(AC$1,RESULTADOS!$1:$1,0))</f>
        <v>#N/A</v>
      </c>
      <c r="AE64" s="239" t="e">
        <f ca="1">INDEX(RESULTADOS!$A:$BZ,MATCH($A64,RESULTADOS!$A:$A,0),MATCH(AE$1,RESULTADOS!$1:$1,0))</f>
        <v>#N/A</v>
      </c>
      <c r="AF64" s="239" t="e">
        <f ca="1">INDEX(RESULTADOS!$A:$BZ,MATCH($A64,RESULTADOS!$A:$A,0),MATCH(AF$1,RESULTADOS!$1:$1,0))</f>
        <v>#N/A</v>
      </c>
      <c r="AJ64" s="239" t="e">
        <f ca="1">INDEX(RESULTADOS!$A:$BZ,MATCH($A64,RESULTADOS!$A:$A,0),MATCH(AJ$1,RESULTADOS!$1:$1,0))</f>
        <v>#N/A</v>
      </c>
      <c r="AK64" s="239" t="e">
        <f ca="1">INDEX(RESULTADOS!$A:$BZ,MATCH($A64,RESULTADOS!$A:$A,0),MATCH(AK$1,RESULTADOS!$1:$1,0))</f>
        <v>#N/A</v>
      </c>
      <c r="AO64" s="239" t="e">
        <f ca="1">INDEX(RESULTADOS!$A:$BZ,MATCH($A64,RESULTADOS!$A:$A,0),MATCH(AO$1,RESULTADOS!$1:$1,0))</f>
        <v>#N/A</v>
      </c>
    </row>
    <row r="65" spans="1:41" x14ac:dyDescent="0.2">
      <c r="A65" s="49">
        <f t="shared" ca="1" si="11"/>
        <v>43864</v>
      </c>
      <c r="B65" s="53"/>
      <c r="C65" s="53"/>
      <c r="D65" s="52"/>
      <c r="E65" s="208" t="e">
        <f ca="1">INDEX(RESULTADOS!$A:$BZ,MATCH($A65,RESULTADOS!$A:$A,0),MATCH(E$1,RESULTADOS!$1:$1,0))</f>
        <v>#N/A</v>
      </c>
      <c r="F65" s="208" t="e">
        <f ca="1">INDEX(RESULTADOS!$A:$BZ,MATCH($A65,RESULTADOS!$A:$A,0),MATCH(F$1,RESULTADOS!$1:$1,0))</f>
        <v>#N/A</v>
      </c>
      <c r="G65" s="208" t="e">
        <f ca="1">INDEX(RESULTADOS!$A:$BZ,MATCH($A65,RESULTADOS!$A:$A,0),MATCH(G$1,RESULTADOS!$1:$1,0))</f>
        <v>#N/A</v>
      </c>
      <c r="H65" s="208" t="e">
        <f ca="1">INDEX(RESULTADOS!$A:$BZ,MATCH($A65,RESULTADOS!$A:$A,0),MATCH(H$1,RESULTADOS!$1:$1,0))</f>
        <v>#N/A</v>
      </c>
      <c r="I65" s="208" t="e">
        <f ca="1">INDEX(RESULTADOS!$A:$BZ,MATCH($A65,RESULTADOS!$A:$A,0),MATCH(I$1,RESULTADOS!$1:$1,0))</f>
        <v>#N/A</v>
      </c>
      <c r="J65" s="208" t="e">
        <f ca="1">INDEX(RESULTADOS!$A:$BZ,MATCH($A65,RESULTADOS!$A:$A,0),MATCH(J$1,RESULTADOS!$1:$1,0))</f>
        <v>#N/A</v>
      </c>
      <c r="K65" s="208" t="e">
        <f ca="1">INDEX(RESULTADOS!$A:$BZ,MATCH($A65,RESULTADOS!$A:$A,0),MATCH(K$1,RESULTADOS!$1:$1,0))</f>
        <v>#N/A</v>
      </c>
      <c r="L65" s="208" t="e">
        <f ca="1">INDEX(RESULTADOS!$A:$BZ,MATCH($A65,RESULTADOS!$A:$A,0),MATCH(L$1,RESULTADOS!$1:$1,0))</f>
        <v>#N/A</v>
      </c>
      <c r="M65" s="239" t="e">
        <f t="shared" ca="1" si="2"/>
        <v>#N/A</v>
      </c>
      <c r="N65" s="239" t="e">
        <f t="shared" ca="1" si="3"/>
        <v>#N/A</v>
      </c>
      <c r="O65" s="230" t="e">
        <f t="shared" ca="1" si="4"/>
        <v>#N/A</v>
      </c>
      <c r="P65" s="230" t="e">
        <f t="shared" ca="1" si="5"/>
        <v>#N/A</v>
      </c>
      <c r="Q65" s="239" t="e">
        <f t="shared" ca="1" si="6"/>
        <v>#N/A</v>
      </c>
      <c r="R65" s="239" t="e">
        <f t="shared" ca="1" si="7"/>
        <v>#N/A</v>
      </c>
      <c r="S65" s="230" t="e">
        <f t="shared" ca="1" si="8"/>
        <v>#N/A</v>
      </c>
      <c r="T65" s="230"/>
      <c r="U65" s="239" t="e">
        <f t="shared" ca="1" si="9"/>
        <v>#N/A</v>
      </c>
      <c r="V65" s="239" t="e">
        <f t="shared" ca="1" si="10"/>
        <v>#N/A</v>
      </c>
      <c r="W65" s="239" t="e">
        <f ca="1">INDEX(RESULTADOS!$A:$BZ,MATCH($A65,RESULTADOS!$A:$A,0),MATCH(W$1,RESULTADOS!$1:$1,0))</f>
        <v>#N/A</v>
      </c>
      <c r="Y65" s="239" t="e">
        <f ca="1">INDEX(RESULTADOS!$A:$BZ,MATCH($A65,RESULTADOS!$A:$A,0),MATCH(Y$1,RESULTADOS!$1:$1,0))</f>
        <v>#N/A</v>
      </c>
      <c r="AC65" s="239" t="e">
        <f ca="1">INDEX(RESULTADOS!$A:$BZ,MATCH($A65,RESULTADOS!$A:$A,0),MATCH(AC$1,RESULTADOS!$1:$1,0))</f>
        <v>#N/A</v>
      </c>
      <c r="AE65" s="239" t="e">
        <f ca="1">INDEX(RESULTADOS!$A:$BZ,MATCH($A65,RESULTADOS!$A:$A,0),MATCH(AE$1,RESULTADOS!$1:$1,0))</f>
        <v>#N/A</v>
      </c>
      <c r="AF65" s="239" t="e">
        <f ca="1">INDEX(RESULTADOS!$A:$BZ,MATCH($A65,RESULTADOS!$A:$A,0),MATCH(AF$1,RESULTADOS!$1:$1,0))</f>
        <v>#N/A</v>
      </c>
      <c r="AJ65" s="239" t="e">
        <f ca="1">INDEX(RESULTADOS!$A:$BZ,MATCH($A65,RESULTADOS!$A:$A,0),MATCH(AJ$1,RESULTADOS!$1:$1,0))</f>
        <v>#N/A</v>
      </c>
      <c r="AK65" s="239" t="e">
        <f ca="1">INDEX(RESULTADOS!$A:$BZ,MATCH($A65,RESULTADOS!$A:$A,0),MATCH(AK$1,RESULTADOS!$1:$1,0))</f>
        <v>#N/A</v>
      </c>
      <c r="AO65" s="239" t="e">
        <f ca="1">INDEX(RESULTADOS!$A:$BZ,MATCH($A65,RESULTADOS!$A:$A,0),MATCH(AO$1,RESULTADOS!$1:$1,0))</f>
        <v>#N/A</v>
      </c>
    </row>
    <row r="66" spans="1:41" x14ac:dyDescent="0.2">
      <c r="A66" s="49">
        <f t="shared" ca="1" si="11"/>
        <v>43865</v>
      </c>
      <c r="B66" s="53"/>
      <c r="C66" s="53"/>
      <c r="D66" s="52"/>
      <c r="E66" s="208" t="e">
        <f ca="1">INDEX(RESULTADOS!$A:$BZ,MATCH($A66,RESULTADOS!$A:$A,0),MATCH(E$1,RESULTADOS!$1:$1,0))</f>
        <v>#N/A</v>
      </c>
      <c r="F66" s="208" t="e">
        <f ca="1">INDEX(RESULTADOS!$A:$BZ,MATCH($A66,RESULTADOS!$A:$A,0),MATCH(F$1,RESULTADOS!$1:$1,0))</f>
        <v>#N/A</v>
      </c>
      <c r="G66" s="208" t="e">
        <f ca="1">INDEX(RESULTADOS!$A:$BZ,MATCH($A66,RESULTADOS!$A:$A,0),MATCH(G$1,RESULTADOS!$1:$1,0))</f>
        <v>#N/A</v>
      </c>
      <c r="H66" s="208" t="e">
        <f ca="1">INDEX(RESULTADOS!$A:$BZ,MATCH($A66,RESULTADOS!$A:$A,0),MATCH(H$1,RESULTADOS!$1:$1,0))</f>
        <v>#N/A</v>
      </c>
      <c r="I66" s="208" t="e">
        <f ca="1">INDEX(RESULTADOS!$A:$BZ,MATCH($A66,RESULTADOS!$A:$A,0),MATCH(I$1,RESULTADOS!$1:$1,0))</f>
        <v>#N/A</v>
      </c>
      <c r="J66" s="208" t="e">
        <f ca="1">INDEX(RESULTADOS!$A:$BZ,MATCH($A66,RESULTADOS!$A:$A,0),MATCH(J$1,RESULTADOS!$1:$1,0))</f>
        <v>#N/A</v>
      </c>
      <c r="K66" s="208" t="e">
        <f ca="1">INDEX(RESULTADOS!$A:$BZ,MATCH($A66,RESULTADOS!$A:$A,0),MATCH(K$1,RESULTADOS!$1:$1,0))</f>
        <v>#N/A</v>
      </c>
      <c r="L66" s="208" t="e">
        <f ca="1">INDEX(RESULTADOS!$A:$BZ,MATCH($A66,RESULTADOS!$A:$A,0),MATCH(L$1,RESULTADOS!$1:$1,0))</f>
        <v>#N/A</v>
      </c>
      <c r="M66" s="239" t="e">
        <f t="shared" ca="1" si="2"/>
        <v>#N/A</v>
      </c>
      <c r="N66" s="239" t="e">
        <f t="shared" ca="1" si="3"/>
        <v>#N/A</v>
      </c>
      <c r="O66" s="230" t="e">
        <f t="shared" ca="1" si="4"/>
        <v>#N/A</v>
      </c>
      <c r="P66" s="230" t="e">
        <f t="shared" ca="1" si="5"/>
        <v>#N/A</v>
      </c>
      <c r="Q66" s="239" t="e">
        <f t="shared" ca="1" si="6"/>
        <v>#N/A</v>
      </c>
      <c r="R66" s="239" t="e">
        <f t="shared" ca="1" si="7"/>
        <v>#N/A</v>
      </c>
      <c r="S66" s="230" t="e">
        <f t="shared" ca="1" si="8"/>
        <v>#N/A</v>
      </c>
      <c r="T66" s="230"/>
      <c r="U66" s="239" t="e">
        <f t="shared" ca="1" si="9"/>
        <v>#N/A</v>
      </c>
      <c r="V66" s="239" t="e">
        <f t="shared" ca="1" si="10"/>
        <v>#N/A</v>
      </c>
      <c r="W66" s="239" t="e">
        <f ca="1">INDEX(RESULTADOS!$A:$BZ,MATCH($A66,RESULTADOS!$A:$A,0),MATCH(W$1,RESULTADOS!$1:$1,0))</f>
        <v>#N/A</v>
      </c>
      <c r="Y66" s="239" t="e">
        <f ca="1">INDEX(RESULTADOS!$A:$BZ,MATCH($A66,RESULTADOS!$A:$A,0),MATCH(Y$1,RESULTADOS!$1:$1,0))</f>
        <v>#N/A</v>
      </c>
      <c r="AC66" s="239" t="e">
        <f ca="1">INDEX(RESULTADOS!$A:$BZ,MATCH($A66,RESULTADOS!$A:$A,0),MATCH(AC$1,RESULTADOS!$1:$1,0))</f>
        <v>#N/A</v>
      </c>
      <c r="AE66" s="239" t="e">
        <f ca="1">INDEX(RESULTADOS!$A:$BZ,MATCH($A66,RESULTADOS!$A:$A,0),MATCH(AE$1,RESULTADOS!$1:$1,0))</f>
        <v>#N/A</v>
      </c>
      <c r="AF66" s="239" t="e">
        <f ca="1">INDEX(RESULTADOS!$A:$BZ,MATCH($A66,RESULTADOS!$A:$A,0),MATCH(AF$1,RESULTADOS!$1:$1,0))</f>
        <v>#N/A</v>
      </c>
      <c r="AJ66" s="239" t="e">
        <f ca="1">INDEX(RESULTADOS!$A:$BZ,MATCH($A66,RESULTADOS!$A:$A,0),MATCH(AJ$1,RESULTADOS!$1:$1,0))</f>
        <v>#N/A</v>
      </c>
      <c r="AK66" s="239" t="e">
        <f ca="1">INDEX(RESULTADOS!$A:$BZ,MATCH($A66,RESULTADOS!$A:$A,0),MATCH(AK$1,RESULTADOS!$1:$1,0))</f>
        <v>#N/A</v>
      </c>
      <c r="AO66" s="239" t="e">
        <f ca="1">INDEX(RESULTADOS!$A:$BZ,MATCH($A66,RESULTADOS!$A:$A,0),MATCH(AO$1,RESULTADOS!$1:$1,0))</f>
        <v>#N/A</v>
      </c>
    </row>
    <row r="67" spans="1:41" x14ac:dyDescent="0.2">
      <c r="A67" s="49">
        <f t="shared" ca="1" si="11"/>
        <v>43866</v>
      </c>
      <c r="B67" s="53"/>
      <c r="C67" s="53"/>
      <c r="D67" s="52"/>
      <c r="E67" s="208" t="e">
        <f ca="1">INDEX(RESULTADOS!$A:$BZ,MATCH($A67,RESULTADOS!$A:$A,0),MATCH(E$1,RESULTADOS!$1:$1,0))</f>
        <v>#N/A</v>
      </c>
      <c r="F67" s="208" t="e">
        <f ca="1">INDEX(RESULTADOS!$A:$BZ,MATCH($A67,RESULTADOS!$A:$A,0),MATCH(F$1,RESULTADOS!$1:$1,0))</f>
        <v>#N/A</v>
      </c>
      <c r="G67" s="208" t="e">
        <f ca="1">INDEX(RESULTADOS!$A:$BZ,MATCH($A67,RESULTADOS!$A:$A,0),MATCH(G$1,RESULTADOS!$1:$1,0))</f>
        <v>#N/A</v>
      </c>
      <c r="H67" s="208" t="e">
        <f ca="1">INDEX(RESULTADOS!$A:$BZ,MATCH($A67,RESULTADOS!$A:$A,0),MATCH(H$1,RESULTADOS!$1:$1,0))</f>
        <v>#N/A</v>
      </c>
      <c r="I67" s="208" t="e">
        <f ca="1">INDEX(RESULTADOS!$A:$BZ,MATCH($A67,RESULTADOS!$A:$A,0),MATCH(I$1,RESULTADOS!$1:$1,0))</f>
        <v>#N/A</v>
      </c>
      <c r="J67" s="208" t="e">
        <f ca="1">INDEX(RESULTADOS!$A:$BZ,MATCH($A67,RESULTADOS!$A:$A,0),MATCH(J$1,RESULTADOS!$1:$1,0))</f>
        <v>#N/A</v>
      </c>
      <c r="K67" s="208" t="e">
        <f ca="1">INDEX(RESULTADOS!$A:$BZ,MATCH($A67,RESULTADOS!$A:$A,0),MATCH(K$1,RESULTADOS!$1:$1,0))</f>
        <v>#N/A</v>
      </c>
      <c r="L67" s="208" t="e">
        <f ca="1">INDEX(RESULTADOS!$A:$BZ,MATCH($A67,RESULTADOS!$A:$A,0),MATCH(L$1,RESULTADOS!$1:$1,0))</f>
        <v>#N/A</v>
      </c>
      <c r="M67" s="239" t="e">
        <f t="shared" ca="1" si="2"/>
        <v>#N/A</v>
      </c>
      <c r="N67" s="239" t="e">
        <f t="shared" ca="1" si="3"/>
        <v>#N/A</v>
      </c>
      <c r="O67" s="230" t="e">
        <f t="shared" ca="1" si="4"/>
        <v>#N/A</v>
      </c>
      <c r="P67" s="230" t="e">
        <f t="shared" ca="1" si="5"/>
        <v>#N/A</v>
      </c>
      <c r="Q67" s="239" t="e">
        <f t="shared" ca="1" si="6"/>
        <v>#N/A</v>
      </c>
      <c r="R67" s="239" t="e">
        <f t="shared" ca="1" si="7"/>
        <v>#N/A</v>
      </c>
      <c r="S67" s="230" t="e">
        <f t="shared" ca="1" si="8"/>
        <v>#N/A</v>
      </c>
      <c r="T67" s="230"/>
      <c r="U67" s="239" t="e">
        <f t="shared" ca="1" si="9"/>
        <v>#N/A</v>
      </c>
      <c r="V67" s="239" t="e">
        <f t="shared" ca="1" si="10"/>
        <v>#N/A</v>
      </c>
      <c r="W67" s="239" t="e">
        <f ca="1">INDEX(RESULTADOS!$A:$BZ,MATCH($A67,RESULTADOS!$A:$A,0),MATCH(W$1,RESULTADOS!$1:$1,0))</f>
        <v>#N/A</v>
      </c>
      <c r="Y67" s="239" t="e">
        <f ca="1">INDEX(RESULTADOS!$A:$BZ,MATCH($A67,RESULTADOS!$A:$A,0),MATCH(Y$1,RESULTADOS!$1:$1,0))</f>
        <v>#N/A</v>
      </c>
      <c r="AC67" s="239" t="e">
        <f ca="1">INDEX(RESULTADOS!$A:$BZ,MATCH($A67,RESULTADOS!$A:$A,0),MATCH(AC$1,RESULTADOS!$1:$1,0))</f>
        <v>#N/A</v>
      </c>
      <c r="AE67" s="239" t="e">
        <f ca="1">INDEX(RESULTADOS!$A:$BZ,MATCH($A67,RESULTADOS!$A:$A,0),MATCH(AE$1,RESULTADOS!$1:$1,0))</f>
        <v>#N/A</v>
      </c>
      <c r="AF67" s="239" t="e">
        <f ca="1">INDEX(RESULTADOS!$A:$BZ,MATCH($A67,RESULTADOS!$A:$A,0),MATCH(AF$1,RESULTADOS!$1:$1,0))</f>
        <v>#N/A</v>
      </c>
      <c r="AJ67" s="239" t="e">
        <f ca="1">INDEX(RESULTADOS!$A:$BZ,MATCH($A67,RESULTADOS!$A:$A,0),MATCH(AJ$1,RESULTADOS!$1:$1,0))</f>
        <v>#N/A</v>
      </c>
      <c r="AK67" s="239" t="e">
        <f ca="1">INDEX(RESULTADOS!$A:$BZ,MATCH($A67,RESULTADOS!$A:$A,0),MATCH(AK$1,RESULTADOS!$1:$1,0))</f>
        <v>#N/A</v>
      </c>
      <c r="AO67" s="239" t="e">
        <f ca="1">INDEX(RESULTADOS!$A:$BZ,MATCH($A67,RESULTADOS!$A:$A,0),MATCH(AO$1,RESULTADOS!$1:$1,0))</f>
        <v>#N/A</v>
      </c>
    </row>
    <row r="68" spans="1:41" x14ac:dyDescent="0.2">
      <c r="A68" s="82">
        <f t="shared" ca="1" si="11"/>
        <v>43867</v>
      </c>
      <c r="B68" s="87"/>
      <c r="C68" s="87"/>
      <c r="D68" s="88"/>
      <c r="E68" s="208" t="e">
        <f ca="1">INDEX(RESULTADOS!$A:$BZ,MATCH($A68,RESULTADOS!$A:$A,0),MATCH(E$1,RESULTADOS!$1:$1,0))</f>
        <v>#N/A</v>
      </c>
      <c r="F68" s="208" t="e">
        <f ca="1">INDEX(RESULTADOS!$A:$BZ,MATCH($A68,RESULTADOS!$A:$A,0),MATCH(F$1,RESULTADOS!$1:$1,0))</f>
        <v>#N/A</v>
      </c>
      <c r="G68" s="208" t="e">
        <f ca="1">INDEX(RESULTADOS!$A:$BZ,MATCH($A68,RESULTADOS!$A:$A,0),MATCH(G$1,RESULTADOS!$1:$1,0))</f>
        <v>#N/A</v>
      </c>
      <c r="H68" s="208" t="e">
        <f ca="1">INDEX(RESULTADOS!$A:$BZ,MATCH($A68,RESULTADOS!$A:$A,0),MATCH(H$1,RESULTADOS!$1:$1,0))</f>
        <v>#N/A</v>
      </c>
      <c r="I68" s="208" t="e">
        <f ca="1">INDEX(RESULTADOS!$A:$BZ,MATCH($A68,RESULTADOS!$A:$A,0),MATCH(I$1,RESULTADOS!$1:$1,0))</f>
        <v>#N/A</v>
      </c>
      <c r="J68" s="208" t="e">
        <f ca="1">INDEX(RESULTADOS!$A:$BZ,MATCH($A68,RESULTADOS!$A:$A,0),MATCH(J$1,RESULTADOS!$1:$1,0))</f>
        <v>#N/A</v>
      </c>
      <c r="K68" s="208" t="e">
        <f ca="1">INDEX(RESULTADOS!$A:$BZ,MATCH($A68,RESULTADOS!$A:$A,0),MATCH(K$1,RESULTADOS!$1:$1,0))</f>
        <v>#N/A</v>
      </c>
      <c r="L68" s="208" t="e">
        <f ca="1">INDEX(RESULTADOS!$A:$BZ,MATCH($A68,RESULTADOS!$A:$A,0),MATCH(L$1,RESULTADOS!$1:$1,0))</f>
        <v>#N/A</v>
      </c>
      <c r="M68" s="239" t="e">
        <f t="shared" ca="1" si="2"/>
        <v>#N/A</v>
      </c>
      <c r="N68" s="239" t="e">
        <f t="shared" ca="1" si="3"/>
        <v>#N/A</v>
      </c>
      <c r="O68" s="230" t="e">
        <f t="shared" ca="1" si="4"/>
        <v>#N/A</v>
      </c>
      <c r="P68" s="230" t="e">
        <f t="shared" ca="1" si="5"/>
        <v>#N/A</v>
      </c>
      <c r="Q68" s="239" t="e">
        <f t="shared" ca="1" si="6"/>
        <v>#N/A</v>
      </c>
      <c r="R68" s="239" t="e">
        <f t="shared" ca="1" si="7"/>
        <v>#N/A</v>
      </c>
      <c r="S68" s="230" t="e">
        <f t="shared" ca="1" si="8"/>
        <v>#N/A</v>
      </c>
      <c r="T68" s="230"/>
      <c r="U68" s="239" t="e">
        <f t="shared" ca="1" si="9"/>
        <v>#N/A</v>
      </c>
      <c r="V68" s="239" t="e">
        <f t="shared" ca="1" si="10"/>
        <v>#N/A</v>
      </c>
      <c r="W68" s="239" t="e">
        <f ca="1">INDEX(RESULTADOS!$A:$BZ,MATCH($A68,RESULTADOS!$A:$A,0),MATCH(W$1,RESULTADOS!$1:$1,0))</f>
        <v>#N/A</v>
      </c>
      <c r="Y68" s="239" t="e">
        <f ca="1">INDEX(RESULTADOS!$A:$BZ,MATCH($A68,RESULTADOS!$A:$A,0),MATCH(Y$1,RESULTADOS!$1:$1,0))</f>
        <v>#N/A</v>
      </c>
      <c r="AC68" s="239" t="e">
        <f ca="1">INDEX(RESULTADOS!$A:$BZ,MATCH($A68,RESULTADOS!$A:$A,0),MATCH(AC$1,RESULTADOS!$1:$1,0))</f>
        <v>#N/A</v>
      </c>
      <c r="AE68" s="239" t="e">
        <f ca="1">INDEX(RESULTADOS!$A:$BZ,MATCH($A68,RESULTADOS!$A:$A,0),MATCH(AE$1,RESULTADOS!$1:$1,0))</f>
        <v>#N/A</v>
      </c>
      <c r="AF68" s="239" t="e">
        <f ca="1">INDEX(RESULTADOS!$A:$BZ,MATCH($A68,RESULTADOS!$A:$A,0),MATCH(AF$1,RESULTADOS!$1:$1,0))</f>
        <v>#N/A</v>
      </c>
      <c r="AJ68" s="239" t="e">
        <f ca="1">INDEX(RESULTADOS!$A:$BZ,MATCH($A68,RESULTADOS!$A:$A,0),MATCH(AJ$1,RESULTADOS!$1:$1,0))</f>
        <v>#N/A</v>
      </c>
      <c r="AK68" s="239" t="e">
        <f ca="1">INDEX(RESULTADOS!$A:$BZ,MATCH($A68,RESULTADOS!$A:$A,0),MATCH(AK$1,RESULTADOS!$1:$1,0))</f>
        <v>#N/A</v>
      </c>
      <c r="AO68" s="239" t="e">
        <f ca="1">INDEX(RESULTADOS!$A:$BZ,MATCH($A68,RESULTADOS!$A:$A,0),MATCH(AO$1,RESULTADOS!$1:$1,0))</f>
        <v>#N/A</v>
      </c>
    </row>
    <row r="69" spans="1:41" x14ac:dyDescent="0.2">
      <c r="A69" s="49">
        <f t="shared" ca="1" si="11"/>
        <v>43868</v>
      </c>
      <c r="B69" s="53"/>
      <c r="C69" s="53"/>
      <c r="D69" s="52"/>
      <c r="E69" s="208" t="e">
        <f ca="1">INDEX(RESULTADOS!$A:$BZ,MATCH($A69,RESULTADOS!$A:$A,0),MATCH(E$1,RESULTADOS!$1:$1,0))</f>
        <v>#N/A</v>
      </c>
      <c r="F69" s="208" t="e">
        <f ca="1">INDEX(RESULTADOS!$A:$BZ,MATCH($A69,RESULTADOS!$A:$A,0),MATCH(F$1,RESULTADOS!$1:$1,0))</f>
        <v>#N/A</v>
      </c>
      <c r="G69" s="208" t="e">
        <f ca="1">INDEX(RESULTADOS!$A:$BZ,MATCH($A69,RESULTADOS!$A:$A,0),MATCH(G$1,RESULTADOS!$1:$1,0))</f>
        <v>#N/A</v>
      </c>
      <c r="H69" s="208" t="e">
        <f ca="1">INDEX(RESULTADOS!$A:$BZ,MATCH($A69,RESULTADOS!$A:$A,0),MATCH(H$1,RESULTADOS!$1:$1,0))</f>
        <v>#N/A</v>
      </c>
      <c r="I69" s="208" t="e">
        <f ca="1">INDEX(RESULTADOS!$A:$BZ,MATCH($A69,RESULTADOS!$A:$A,0),MATCH(I$1,RESULTADOS!$1:$1,0))</f>
        <v>#N/A</v>
      </c>
      <c r="J69" s="208" t="e">
        <f ca="1">INDEX(RESULTADOS!$A:$BZ,MATCH($A69,RESULTADOS!$A:$A,0),MATCH(J$1,RESULTADOS!$1:$1,0))</f>
        <v>#N/A</v>
      </c>
      <c r="K69" s="208" t="e">
        <f ca="1">INDEX(RESULTADOS!$A:$BZ,MATCH($A69,RESULTADOS!$A:$A,0),MATCH(K$1,RESULTADOS!$1:$1,0))</f>
        <v>#N/A</v>
      </c>
      <c r="L69" s="208" t="e">
        <f ca="1">INDEX(RESULTADOS!$A:$BZ,MATCH($A69,RESULTADOS!$A:$A,0),MATCH(L$1,RESULTADOS!$1:$1,0))</f>
        <v>#N/A</v>
      </c>
      <c r="M69" s="239" t="e">
        <f t="shared" ca="1" si="2"/>
        <v>#N/A</v>
      </c>
      <c r="N69" s="239" t="e">
        <f t="shared" ca="1" si="3"/>
        <v>#N/A</v>
      </c>
      <c r="O69" s="230" t="e">
        <f t="shared" ca="1" si="4"/>
        <v>#N/A</v>
      </c>
      <c r="P69" s="230" t="e">
        <f t="shared" ca="1" si="5"/>
        <v>#N/A</v>
      </c>
      <c r="Q69" s="239" t="e">
        <f t="shared" ca="1" si="6"/>
        <v>#N/A</v>
      </c>
      <c r="R69" s="239" t="e">
        <f t="shared" ca="1" si="7"/>
        <v>#N/A</v>
      </c>
      <c r="S69" s="230" t="e">
        <f t="shared" ca="1" si="8"/>
        <v>#N/A</v>
      </c>
      <c r="T69" s="230"/>
      <c r="U69" s="239" t="e">
        <f t="shared" ca="1" si="9"/>
        <v>#N/A</v>
      </c>
      <c r="V69" s="239" t="e">
        <f t="shared" ca="1" si="10"/>
        <v>#N/A</v>
      </c>
      <c r="W69" s="239" t="e">
        <f ca="1">INDEX(RESULTADOS!$A:$BZ,MATCH($A69,RESULTADOS!$A:$A,0),MATCH(W$1,RESULTADOS!$1:$1,0))</f>
        <v>#N/A</v>
      </c>
      <c r="Y69" s="239" t="e">
        <f ca="1">INDEX(RESULTADOS!$A:$BZ,MATCH($A69,RESULTADOS!$A:$A,0),MATCH(Y$1,RESULTADOS!$1:$1,0))</f>
        <v>#N/A</v>
      </c>
      <c r="AC69" s="239" t="e">
        <f ca="1">INDEX(RESULTADOS!$A:$BZ,MATCH($A69,RESULTADOS!$A:$A,0),MATCH(AC$1,RESULTADOS!$1:$1,0))</f>
        <v>#N/A</v>
      </c>
      <c r="AE69" s="239" t="e">
        <f ca="1">INDEX(RESULTADOS!$A:$BZ,MATCH($A69,RESULTADOS!$A:$A,0),MATCH(AE$1,RESULTADOS!$1:$1,0))</f>
        <v>#N/A</v>
      </c>
      <c r="AF69" s="239" t="e">
        <f ca="1">INDEX(RESULTADOS!$A:$BZ,MATCH($A69,RESULTADOS!$A:$A,0),MATCH(AF$1,RESULTADOS!$1:$1,0))</f>
        <v>#N/A</v>
      </c>
      <c r="AJ69" s="239" t="e">
        <f ca="1">INDEX(RESULTADOS!$A:$BZ,MATCH($A69,RESULTADOS!$A:$A,0),MATCH(AJ$1,RESULTADOS!$1:$1,0))</f>
        <v>#N/A</v>
      </c>
      <c r="AK69" s="239" t="e">
        <f ca="1">INDEX(RESULTADOS!$A:$BZ,MATCH($A69,RESULTADOS!$A:$A,0),MATCH(AK$1,RESULTADOS!$1:$1,0))</f>
        <v>#N/A</v>
      </c>
      <c r="AO69" s="239" t="e">
        <f ca="1">INDEX(RESULTADOS!$A:$BZ,MATCH($A69,RESULTADOS!$A:$A,0),MATCH(AO$1,RESULTADOS!$1:$1,0))</f>
        <v>#N/A</v>
      </c>
    </row>
    <row r="70" spans="1:41" x14ac:dyDescent="0.2">
      <c r="A70" s="49">
        <f t="shared" ca="1" si="11"/>
        <v>43869</v>
      </c>
      <c r="B70" s="53"/>
      <c r="C70" s="53"/>
      <c r="D70" s="52"/>
      <c r="E70" s="208" t="e">
        <f ca="1">INDEX(RESULTADOS!$A:$BZ,MATCH($A70,RESULTADOS!$A:$A,0),MATCH(E$1,RESULTADOS!$1:$1,0))</f>
        <v>#N/A</v>
      </c>
      <c r="F70" s="208" t="e">
        <f ca="1">INDEX(RESULTADOS!$A:$BZ,MATCH($A70,RESULTADOS!$A:$A,0),MATCH(F$1,RESULTADOS!$1:$1,0))</f>
        <v>#N/A</v>
      </c>
      <c r="G70" s="208" t="e">
        <f ca="1">INDEX(RESULTADOS!$A:$BZ,MATCH($A70,RESULTADOS!$A:$A,0),MATCH(G$1,RESULTADOS!$1:$1,0))</f>
        <v>#N/A</v>
      </c>
      <c r="H70" s="208" t="e">
        <f ca="1">INDEX(RESULTADOS!$A:$BZ,MATCH($A70,RESULTADOS!$A:$A,0),MATCH(H$1,RESULTADOS!$1:$1,0))</f>
        <v>#N/A</v>
      </c>
      <c r="I70" s="208" t="e">
        <f ca="1">INDEX(RESULTADOS!$A:$BZ,MATCH($A70,RESULTADOS!$A:$A,0),MATCH(I$1,RESULTADOS!$1:$1,0))</f>
        <v>#N/A</v>
      </c>
      <c r="J70" s="208" t="e">
        <f ca="1">INDEX(RESULTADOS!$A:$BZ,MATCH($A70,RESULTADOS!$A:$A,0),MATCH(J$1,RESULTADOS!$1:$1,0))</f>
        <v>#N/A</v>
      </c>
      <c r="K70" s="208" t="e">
        <f ca="1">INDEX(RESULTADOS!$A:$BZ,MATCH($A70,RESULTADOS!$A:$A,0),MATCH(K$1,RESULTADOS!$1:$1,0))</f>
        <v>#N/A</v>
      </c>
      <c r="L70" s="208" t="e">
        <f ca="1">INDEX(RESULTADOS!$A:$BZ,MATCH($A70,RESULTADOS!$A:$A,0),MATCH(L$1,RESULTADOS!$1:$1,0))</f>
        <v>#N/A</v>
      </c>
      <c r="M70" s="239" t="e">
        <f t="shared" ca="1" si="2"/>
        <v>#N/A</v>
      </c>
      <c r="N70" s="239" t="e">
        <f t="shared" ca="1" si="3"/>
        <v>#N/A</v>
      </c>
      <c r="O70" s="230" t="e">
        <f t="shared" ca="1" si="4"/>
        <v>#N/A</v>
      </c>
      <c r="P70" s="230" t="e">
        <f t="shared" ca="1" si="5"/>
        <v>#N/A</v>
      </c>
      <c r="Q70" s="239" t="e">
        <f t="shared" ca="1" si="6"/>
        <v>#N/A</v>
      </c>
      <c r="R70" s="239" t="e">
        <f t="shared" ca="1" si="7"/>
        <v>#N/A</v>
      </c>
      <c r="S70" s="230" t="e">
        <f t="shared" ca="1" si="8"/>
        <v>#N/A</v>
      </c>
      <c r="T70" s="230"/>
      <c r="U70" s="239" t="e">
        <f t="shared" ca="1" si="9"/>
        <v>#N/A</v>
      </c>
      <c r="V70" s="239" t="e">
        <f t="shared" ca="1" si="10"/>
        <v>#N/A</v>
      </c>
      <c r="W70" s="239" t="e">
        <f ca="1">INDEX(RESULTADOS!$A:$BZ,MATCH($A70,RESULTADOS!$A:$A,0),MATCH(W$1,RESULTADOS!$1:$1,0))</f>
        <v>#N/A</v>
      </c>
      <c r="Y70" s="239" t="e">
        <f ca="1">INDEX(RESULTADOS!$A:$BZ,MATCH($A70,RESULTADOS!$A:$A,0),MATCH(Y$1,RESULTADOS!$1:$1,0))</f>
        <v>#N/A</v>
      </c>
      <c r="AC70" s="239" t="e">
        <f ca="1">INDEX(RESULTADOS!$A:$BZ,MATCH($A70,RESULTADOS!$A:$A,0),MATCH(AC$1,RESULTADOS!$1:$1,0))</f>
        <v>#N/A</v>
      </c>
      <c r="AE70" s="239" t="e">
        <f ca="1">INDEX(RESULTADOS!$A:$BZ,MATCH($A70,RESULTADOS!$A:$A,0),MATCH(AE$1,RESULTADOS!$1:$1,0))</f>
        <v>#N/A</v>
      </c>
      <c r="AF70" s="239" t="e">
        <f ca="1">INDEX(RESULTADOS!$A:$BZ,MATCH($A70,RESULTADOS!$A:$A,0),MATCH(AF$1,RESULTADOS!$1:$1,0))</f>
        <v>#N/A</v>
      </c>
      <c r="AJ70" s="239" t="e">
        <f ca="1">INDEX(RESULTADOS!$A:$BZ,MATCH($A70,RESULTADOS!$A:$A,0),MATCH(AJ$1,RESULTADOS!$1:$1,0))</f>
        <v>#N/A</v>
      </c>
      <c r="AK70" s="239" t="e">
        <f ca="1">INDEX(RESULTADOS!$A:$BZ,MATCH($A70,RESULTADOS!$A:$A,0),MATCH(AK$1,RESULTADOS!$1:$1,0))</f>
        <v>#N/A</v>
      </c>
      <c r="AO70" s="239" t="e">
        <f ca="1">INDEX(RESULTADOS!$A:$BZ,MATCH($A70,RESULTADOS!$A:$A,0),MATCH(AO$1,RESULTADOS!$1:$1,0))</f>
        <v>#N/A</v>
      </c>
    </row>
    <row r="71" spans="1:41" x14ac:dyDescent="0.2">
      <c r="A71" s="49">
        <f t="shared" ca="1" si="11"/>
        <v>43870</v>
      </c>
      <c r="B71" s="53"/>
      <c r="C71" s="53"/>
      <c r="D71" s="52"/>
      <c r="E71" s="208" t="e">
        <f ca="1">INDEX(RESULTADOS!$A:$BZ,MATCH($A71,RESULTADOS!$A:$A,0),MATCH(E$1,RESULTADOS!$1:$1,0))</f>
        <v>#N/A</v>
      </c>
      <c r="F71" s="208" t="e">
        <f ca="1">INDEX(RESULTADOS!$A:$BZ,MATCH($A71,RESULTADOS!$A:$A,0),MATCH(F$1,RESULTADOS!$1:$1,0))</f>
        <v>#N/A</v>
      </c>
      <c r="G71" s="208" t="e">
        <f ca="1">INDEX(RESULTADOS!$A:$BZ,MATCH($A71,RESULTADOS!$A:$A,0),MATCH(G$1,RESULTADOS!$1:$1,0))</f>
        <v>#N/A</v>
      </c>
      <c r="H71" s="208" t="e">
        <f ca="1">INDEX(RESULTADOS!$A:$BZ,MATCH($A71,RESULTADOS!$A:$A,0),MATCH(H$1,RESULTADOS!$1:$1,0))</f>
        <v>#N/A</v>
      </c>
      <c r="I71" s="208" t="e">
        <f ca="1">INDEX(RESULTADOS!$A:$BZ,MATCH($A71,RESULTADOS!$A:$A,0),MATCH(I$1,RESULTADOS!$1:$1,0))</f>
        <v>#N/A</v>
      </c>
      <c r="J71" s="208" t="e">
        <f ca="1">INDEX(RESULTADOS!$A:$BZ,MATCH($A71,RESULTADOS!$A:$A,0),MATCH(J$1,RESULTADOS!$1:$1,0))</f>
        <v>#N/A</v>
      </c>
      <c r="K71" s="208" t="e">
        <f ca="1">INDEX(RESULTADOS!$A:$BZ,MATCH($A71,RESULTADOS!$A:$A,0),MATCH(K$1,RESULTADOS!$1:$1,0))</f>
        <v>#N/A</v>
      </c>
      <c r="L71" s="208" t="e">
        <f ca="1">INDEX(RESULTADOS!$A:$BZ,MATCH($A71,RESULTADOS!$A:$A,0),MATCH(L$1,RESULTADOS!$1:$1,0))</f>
        <v>#N/A</v>
      </c>
      <c r="M71" s="239" t="e">
        <f t="shared" ca="1" si="2"/>
        <v>#N/A</v>
      </c>
      <c r="N71" s="239" t="e">
        <f t="shared" ca="1" si="3"/>
        <v>#N/A</v>
      </c>
      <c r="O71" s="230" t="e">
        <f t="shared" ca="1" si="4"/>
        <v>#N/A</v>
      </c>
      <c r="P71" s="230" t="e">
        <f t="shared" ca="1" si="5"/>
        <v>#N/A</v>
      </c>
      <c r="Q71" s="239" t="e">
        <f t="shared" ca="1" si="6"/>
        <v>#N/A</v>
      </c>
      <c r="R71" s="239" t="e">
        <f t="shared" ca="1" si="7"/>
        <v>#N/A</v>
      </c>
      <c r="S71" s="230" t="e">
        <f t="shared" ca="1" si="8"/>
        <v>#N/A</v>
      </c>
      <c r="T71" s="230"/>
      <c r="U71" s="239" t="e">
        <f t="shared" ca="1" si="9"/>
        <v>#N/A</v>
      </c>
      <c r="V71" s="239" t="e">
        <f t="shared" ca="1" si="10"/>
        <v>#N/A</v>
      </c>
      <c r="W71" s="239" t="e">
        <f ca="1">INDEX(RESULTADOS!$A:$BZ,MATCH($A71,RESULTADOS!$A:$A,0),MATCH(W$1,RESULTADOS!$1:$1,0))</f>
        <v>#N/A</v>
      </c>
      <c r="Y71" s="239" t="e">
        <f ca="1">INDEX(RESULTADOS!$A:$BZ,MATCH($A71,RESULTADOS!$A:$A,0),MATCH(Y$1,RESULTADOS!$1:$1,0))</f>
        <v>#N/A</v>
      </c>
      <c r="AC71" s="239" t="e">
        <f ca="1">INDEX(RESULTADOS!$A:$BZ,MATCH($A71,RESULTADOS!$A:$A,0),MATCH(AC$1,RESULTADOS!$1:$1,0))</f>
        <v>#N/A</v>
      </c>
      <c r="AE71" s="239" t="e">
        <f ca="1">INDEX(RESULTADOS!$A:$BZ,MATCH($A71,RESULTADOS!$A:$A,0),MATCH(AE$1,RESULTADOS!$1:$1,0))</f>
        <v>#N/A</v>
      </c>
      <c r="AF71" s="239" t="e">
        <f ca="1">INDEX(RESULTADOS!$A:$BZ,MATCH($A71,RESULTADOS!$A:$A,0),MATCH(AF$1,RESULTADOS!$1:$1,0))</f>
        <v>#N/A</v>
      </c>
      <c r="AJ71" s="239" t="e">
        <f ca="1">INDEX(RESULTADOS!$A:$BZ,MATCH($A71,RESULTADOS!$A:$A,0),MATCH(AJ$1,RESULTADOS!$1:$1,0))</f>
        <v>#N/A</v>
      </c>
      <c r="AK71" s="239" t="e">
        <f ca="1">INDEX(RESULTADOS!$A:$BZ,MATCH($A71,RESULTADOS!$A:$A,0),MATCH(AK$1,RESULTADOS!$1:$1,0))</f>
        <v>#N/A</v>
      </c>
      <c r="AO71" s="239" t="e">
        <f ca="1">INDEX(RESULTADOS!$A:$BZ,MATCH($A71,RESULTADOS!$A:$A,0),MATCH(AO$1,RESULTADOS!$1:$1,0))</f>
        <v>#N/A</v>
      </c>
    </row>
    <row r="72" spans="1:41" x14ac:dyDescent="0.2">
      <c r="A72" s="49">
        <f t="shared" ca="1" si="11"/>
        <v>43871</v>
      </c>
      <c r="B72" s="53"/>
      <c r="C72" s="53"/>
      <c r="D72" s="52"/>
      <c r="E72" s="208" t="e">
        <f ca="1">INDEX(RESULTADOS!$A:$BZ,MATCH($A72,RESULTADOS!$A:$A,0),MATCH(E$1,RESULTADOS!$1:$1,0))</f>
        <v>#N/A</v>
      </c>
      <c r="F72" s="208" t="e">
        <f ca="1">INDEX(RESULTADOS!$A:$BZ,MATCH($A72,RESULTADOS!$A:$A,0),MATCH(F$1,RESULTADOS!$1:$1,0))</f>
        <v>#N/A</v>
      </c>
      <c r="G72" s="208" t="e">
        <f ca="1">INDEX(RESULTADOS!$A:$BZ,MATCH($A72,RESULTADOS!$A:$A,0),MATCH(G$1,RESULTADOS!$1:$1,0))</f>
        <v>#N/A</v>
      </c>
      <c r="H72" s="208" t="e">
        <f ca="1">INDEX(RESULTADOS!$A:$BZ,MATCH($A72,RESULTADOS!$A:$A,0),MATCH(H$1,RESULTADOS!$1:$1,0))</f>
        <v>#N/A</v>
      </c>
      <c r="I72" s="208" t="e">
        <f ca="1">INDEX(RESULTADOS!$A:$BZ,MATCH($A72,RESULTADOS!$A:$A,0),MATCH(I$1,RESULTADOS!$1:$1,0))</f>
        <v>#N/A</v>
      </c>
      <c r="J72" s="208" t="e">
        <f ca="1">INDEX(RESULTADOS!$A:$BZ,MATCH($A72,RESULTADOS!$A:$A,0),MATCH(J$1,RESULTADOS!$1:$1,0))</f>
        <v>#N/A</v>
      </c>
      <c r="K72" s="208" t="e">
        <f ca="1">INDEX(RESULTADOS!$A:$BZ,MATCH($A72,RESULTADOS!$A:$A,0),MATCH(K$1,RESULTADOS!$1:$1,0))</f>
        <v>#N/A</v>
      </c>
      <c r="L72" s="208" t="e">
        <f ca="1">INDEX(RESULTADOS!$A:$BZ,MATCH($A72,RESULTADOS!$A:$A,0),MATCH(L$1,RESULTADOS!$1:$1,0))</f>
        <v>#N/A</v>
      </c>
      <c r="M72" s="239" t="e">
        <f t="shared" ca="1" si="2"/>
        <v>#N/A</v>
      </c>
      <c r="N72" s="239" t="e">
        <f t="shared" ca="1" si="3"/>
        <v>#N/A</v>
      </c>
      <c r="O72" s="230" t="e">
        <f t="shared" ca="1" si="4"/>
        <v>#N/A</v>
      </c>
      <c r="P72" s="230" t="e">
        <f t="shared" ca="1" si="5"/>
        <v>#N/A</v>
      </c>
      <c r="Q72" s="239" t="e">
        <f t="shared" ca="1" si="6"/>
        <v>#N/A</v>
      </c>
      <c r="R72" s="239" t="e">
        <f t="shared" ca="1" si="7"/>
        <v>#N/A</v>
      </c>
      <c r="S72" s="230" t="e">
        <f t="shared" ca="1" si="8"/>
        <v>#N/A</v>
      </c>
      <c r="T72" s="230"/>
      <c r="U72" s="239" t="e">
        <f t="shared" ca="1" si="9"/>
        <v>#N/A</v>
      </c>
      <c r="V72" s="239" t="e">
        <f t="shared" ca="1" si="10"/>
        <v>#N/A</v>
      </c>
      <c r="W72" s="239" t="e">
        <f ca="1">INDEX(RESULTADOS!$A:$BZ,MATCH($A72,RESULTADOS!$A:$A,0),MATCH(W$1,RESULTADOS!$1:$1,0))</f>
        <v>#N/A</v>
      </c>
      <c r="Y72" s="239" t="e">
        <f ca="1">INDEX(RESULTADOS!$A:$BZ,MATCH($A72,RESULTADOS!$A:$A,0),MATCH(Y$1,RESULTADOS!$1:$1,0))</f>
        <v>#N/A</v>
      </c>
      <c r="AC72" s="239" t="e">
        <f ca="1">INDEX(RESULTADOS!$A:$BZ,MATCH($A72,RESULTADOS!$A:$A,0),MATCH(AC$1,RESULTADOS!$1:$1,0))</f>
        <v>#N/A</v>
      </c>
      <c r="AE72" s="239" t="e">
        <f ca="1">INDEX(RESULTADOS!$A:$BZ,MATCH($A72,RESULTADOS!$A:$A,0),MATCH(AE$1,RESULTADOS!$1:$1,0))</f>
        <v>#N/A</v>
      </c>
      <c r="AF72" s="239" t="e">
        <f ca="1">INDEX(RESULTADOS!$A:$BZ,MATCH($A72,RESULTADOS!$A:$A,0),MATCH(AF$1,RESULTADOS!$1:$1,0))</f>
        <v>#N/A</v>
      </c>
      <c r="AJ72" s="239" t="e">
        <f ca="1">INDEX(RESULTADOS!$A:$BZ,MATCH($A72,RESULTADOS!$A:$A,0),MATCH(AJ$1,RESULTADOS!$1:$1,0))</f>
        <v>#N/A</v>
      </c>
      <c r="AK72" s="239" t="e">
        <f ca="1">INDEX(RESULTADOS!$A:$BZ,MATCH($A72,RESULTADOS!$A:$A,0),MATCH(AK$1,RESULTADOS!$1:$1,0))</f>
        <v>#N/A</v>
      </c>
      <c r="AO72" s="239" t="e">
        <f ca="1">INDEX(RESULTADOS!$A:$BZ,MATCH($A72,RESULTADOS!$A:$A,0),MATCH(AO$1,RESULTADOS!$1:$1,0))</f>
        <v>#N/A</v>
      </c>
    </row>
    <row r="73" spans="1:41" x14ac:dyDescent="0.2">
      <c r="A73" s="49">
        <f t="shared" ca="1" si="11"/>
        <v>43872</v>
      </c>
      <c r="B73" s="53"/>
      <c r="C73" s="53"/>
      <c r="D73" s="52"/>
      <c r="E73" s="208" t="e">
        <f ca="1">INDEX(RESULTADOS!$A:$BZ,MATCH($A73,RESULTADOS!$A:$A,0),MATCH(E$1,RESULTADOS!$1:$1,0))</f>
        <v>#N/A</v>
      </c>
      <c r="F73" s="208" t="e">
        <f ca="1">INDEX(RESULTADOS!$A:$BZ,MATCH($A73,RESULTADOS!$A:$A,0),MATCH(F$1,RESULTADOS!$1:$1,0))</f>
        <v>#N/A</v>
      </c>
      <c r="G73" s="208" t="e">
        <f ca="1">INDEX(RESULTADOS!$A:$BZ,MATCH($A73,RESULTADOS!$A:$A,0),MATCH(G$1,RESULTADOS!$1:$1,0))</f>
        <v>#N/A</v>
      </c>
      <c r="H73" s="208" t="e">
        <f ca="1">INDEX(RESULTADOS!$A:$BZ,MATCH($A73,RESULTADOS!$A:$A,0),MATCH(H$1,RESULTADOS!$1:$1,0))</f>
        <v>#N/A</v>
      </c>
      <c r="I73" s="208" t="e">
        <f ca="1">INDEX(RESULTADOS!$A:$BZ,MATCH($A73,RESULTADOS!$A:$A,0),MATCH(I$1,RESULTADOS!$1:$1,0))</f>
        <v>#N/A</v>
      </c>
      <c r="J73" s="208" t="e">
        <f ca="1">INDEX(RESULTADOS!$A:$BZ,MATCH($A73,RESULTADOS!$A:$A,0),MATCH(J$1,RESULTADOS!$1:$1,0))</f>
        <v>#N/A</v>
      </c>
      <c r="K73" s="208" t="e">
        <f ca="1">INDEX(RESULTADOS!$A:$BZ,MATCH($A73,RESULTADOS!$A:$A,0),MATCH(K$1,RESULTADOS!$1:$1,0))</f>
        <v>#N/A</v>
      </c>
      <c r="L73" s="208" t="e">
        <f ca="1">INDEX(RESULTADOS!$A:$BZ,MATCH($A73,RESULTADOS!$A:$A,0),MATCH(L$1,RESULTADOS!$1:$1,0))</f>
        <v>#N/A</v>
      </c>
      <c r="M73" s="239" t="e">
        <f t="shared" ca="1" si="2"/>
        <v>#N/A</v>
      </c>
      <c r="N73" s="239" t="e">
        <f t="shared" ca="1" si="3"/>
        <v>#N/A</v>
      </c>
      <c r="O73" s="230" t="e">
        <f t="shared" ca="1" si="4"/>
        <v>#N/A</v>
      </c>
      <c r="P73" s="230" t="e">
        <f t="shared" ca="1" si="5"/>
        <v>#N/A</v>
      </c>
      <c r="Q73" s="239" t="e">
        <f t="shared" ca="1" si="6"/>
        <v>#N/A</v>
      </c>
      <c r="R73" s="239" t="e">
        <f t="shared" ca="1" si="7"/>
        <v>#N/A</v>
      </c>
      <c r="S73" s="230" t="e">
        <f t="shared" ca="1" si="8"/>
        <v>#N/A</v>
      </c>
      <c r="T73" s="230"/>
      <c r="U73" s="239" t="e">
        <f t="shared" ca="1" si="9"/>
        <v>#N/A</v>
      </c>
      <c r="V73" s="239" t="e">
        <f t="shared" ca="1" si="10"/>
        <v>#N/A</v>
      </c>
      <c r="W73" s="239" t="e">
        <f ca="1">INDEX(RESULTADOS!$A:$BZ,MATCH($A73,RESULTADOS!$A:$A,0),MATCH(W$1,RESULTADOS!$1:$1,0))</f>
        <v>#N/A</v>
      </c>
      <c r="Y73" s="239" t="e">
        <f ca="1">INDEX(RESULTADOS!$A:$BZ,MATCH($A73,RESULTADOS!$A:$A,0),MATCH(Y$1,RESULTADOS!$1:$1,0))</f>
        <v>#N/A</v>
      </c>
      <c r="AC73" s="239" t="e">
        <f ca="1">INDEX(RESULTADOS!$A:$BZ,MATCH($A73,RESULTADOS!$A:$A,0),MATCH(AC$1,RESULTADOS!$1:$1,0))</f>
        <v>#N/A</v>
      </c>
      <c r="AE73" s="239" t="e">
        <f ca="1">INDEX(RESULTADOS!$A:$BZ,MATCH($A73,RESULTADOS!$A:$A,0),MATCH(AE$1,RESULTADOS!$1:$1,0))</f>
        <v>#N/A</v>
      </c>
      <c r="AF73" s="239" t="e">
        <f ca="1">INDEX(RESULTADOS!$A:$BZ,MATCH($A73,RESULTADOS!$A:$A,0),MATCH(AF$1,RESULTADOS!$1:$1,0))</f>
        <v>#N/A</v>
      </c>
      <c r="AJ73" s="239" t="e">
        <f ca="1">INDEX(RESULTADOS!$A:$BZ,MATCH($A73,RESULTADOS!$A:$A,0),MATCH(AJ$1,RESULTADOS!$1:$1,0))</f>
        <v>#N/A</v>
      </c>
      <c r="AK73" s="239" t="e">
        <f ca="1">INDEX(RESULTADOS!$A:$BZ,MATCH($A73,RESULTADOS!$A:$A,0),MATCH(AK$1,RESULTADOS!$1:$1,0))</f>
        <v>#N/A</v>
      </c>
      <c r="AO73" s="239" t="e">
        <f ca="1">INDEX(RESULTADOS!$A:$BZ,MATCH($A73,RESULTADOS!$A:$A,0),MATCH(AO$1,RESULTADOS!$1:$1,0))</f>
        <v>#N/A</v>
      </c>
    </row>
    <row r="74" spans="1:41" x14ac:dyDescent="0.2">
      <c r="A74" s="91">
        <f t="shared" ca="1" si="11"/>
        <v>43873</v>
      </c>
      <c r="B74" s="92"/>
      <c r="C74" s="92"/>
      <c r="D74" s="93"/>
      <c r="E74" s="208" t="e">
        <f ca="1">INDEX(RESULTADOS!$A:$BZ,MATCH($A74,RESULTADOS!$A:$A,0),MATCH(E$1,RESULTADOS!$1:$1,0))</f>
        <v>#N/A</v>
      </c>
      <c r="F74" s="208" t="e">
        <f ca="1">INDEX(RESULTADOS!$A:$BZ,MATCH($A74,RESULTADOS!$A:$A,0),MATCH(F$1,RESULTADOS!$1:$1,0))</f>
        <v>#N/A</v>
      </c>
      <c r="G74" s="208" t="e">
        <f ca="1">INDEX(RESULTADOS!$A:$BZ,MATCH($A74,RESULTADOS!$A:$A,0),MATCH(G$1,RESULTADOS!$1:$1,0))</f>
        <v>#N/A</v>
      </c>
      <c r="H74" s="208" t="e">
        <f ca="1">INDEX(RESULTADOS!$A:$BZ,MATCH($A74,RESULTADOS!$A:$A,0),MATCH(H$1,RESULTADOS!$1:$1,0))</f>
        <v>#N/A</v>
      </c>
      <c r="I74" s="208" t="e">
        <f ca="1">INDEX(RESULTADOS!$A:$BZ,MATCH($A74,RESULTADOS!$A:$A,0),MATCH(I$1,RESULTADOS!$1:$1,0))</f>
        <v>#N/A</v>
      </c>
      <c r="J74" s="208" t="e">
        <f ca="1">INDEX(RESULTADOS!$A:$BZ,MATCH($A74,RESULTADOS!$A:$A,0),MATCH(J$1,RESULTADOS!$1:$1,0))</f>
        <v>#N/A</v>
      </c>
      <c r="K74" s="208" t="e">
        <f ca="1">INDEX(RESULTADOS!$A:$BZ,MATCH($A74,RESULTADOS!$A:$A,0),MATCH(K$1,RESULTADOS!$1:$1,0))</f>
        <v>#N/A</v>
      </c>
      <c r="L74" s="208" t="e">
        <f ca="1">INDEX(RESULTADOS!$A:$BZ,MATCH($A74,RESULTADOS!$A:$A,0),MATCH(L$1,RESULTADOS!$1:$1,0))</f>
        <v>#N/A</v>
      </c>
      <c r="M74" s="239" t="e">
        <f t="shared" ca="1" si="2"/>
        <v>#N/A</v>
      </c>
      <c r="N74" s="239" t="e">
        <f t="shared" ca="1" si="3"/>
        <v>#N/A</v>
      </c>
      <c r="O74" s="230" t="e">
        <f t="shared" ca="1" si="4"/>
        <v>#N/A</v>
      </c>
      <c r="P74" s="230" t="e">
        <f t="shared" ca="1" si="5"/>
        <v>#N/A</v>
      </c>
      <c r="Q74" s="239" t="e">
        <f t="shared" ca="1" si="6"/>
        <v>#N/A</v>
      </c>
      <c r="R74" s="239" t="e">
        <f t="shared" ca="1" si="7"/>
        <v>#N/A</v>
      </c>
      <c r="S74" s="230" t="e">
        <f t="shared" ca="1" si="8"/>
        <v>#N/A</v>
      </c>
      <c r="T74" s="230"/>
      <c r="U74" s="239" t="e">
        <f t="shared" ca="1" si="9"/>
        <v>#N/A</v>
      </c>
      <c r="V74" s="239" t="e">
        <f t="shared" ca="1" si="10"/>
        <v>#N/A</v>
      </c>
      <c r="W74" s="239" t="e">
        <f ca="1">INDEX(RESULTADOS!$A:$BZ,MATCH($A74,RESULTADOS!$A:$A,0),MATCH(W$1,RESULTADOS!$1:$1,0))</f>
        <v>#N/A</v>
      </c>
      <c r="Y74" s="239" t="e">
        <f ca="1">INDEX(RESULTADOS!$A:$BZ,MATCH($A74,RESULTADOS!$A:$A,0),MATCH(Y$1,RESULTADOS!$1:$1,0))</f>
        <v>#N/A</v>
      </c>
      <c r="AC74" s="239" t="e">
        <f ca="1">INDEX(RESULTADOS!$A:$BZ,MATCH($A74,RESULTADOS!$A:$A,0),MATCH(AC$1,RESULTADOS!$1:$1,0))</f>
        <v>#N/A</v>
      </c>
      <c r="AE74" s="239" t="e">
        <f ca="1">INDEX(RESULTADOS!$A:$BZ,MATCH($A74,RESULTADOS!$A:$A,0),MATCH(AE$1,RESULTADOS!$1:$1,0))</f>
        <v>#N/A</v>
      </c>
      <c r="AF74" s="239" t="e">
        <f ca="1">INDEX(RESULTADOS!$A:$BZ,MATCH($A74,RESULTADOS!$A:$A,0),MATCH(AF$1,RESULTADOS!$1:$1,0))</f>
        <v>#N/A</v>
      </c>
      <c r="AJ74" s="239" t="e">
        <f ca="1">INDEX(RESULTADOS!$A:$BZ,MATCH($A74,RESULTADOS!$A:$A,0),MATCH(AJ$1,RESULTADOS!$1:$1,0))</f>
        <v>#N/A</v>
      </c>
      <c r="AK74" s="239" t="e">
        <f ca="1">INDEX(RESULTADOS!$A:$BZ,MATCH($A74,RESULTADOS!$A:$A,0),MATCH(AK$1,RESULTADOS!$1:$1,0))</f>
        <v>#N/A</v>
      </c>
      <c r="AO74" s="239" t="e">
        <f ca="1">INDEX(RESULTADOS!$A:$BZ,MATCH($A74,RESULTADOS!$A:$A,0),MATCH(AO$1,RESULTADOS!$1:$1,0))</f>
        <v>#N/A</v>
      </c>
    </row>
    <row r="75" spans="1:41" x14ac:dyDescent="0.2">
      <c r="A75" s="49">
        <f t="shared" ca="1" si="11"/>
        <v>43874</v>
      </c>
      <c r="B75" s="53"/>
      <c r="C75" s="53"/>
      <c r="D75" s="52"/>
      <c r="E75" s="208" t="e">
        <f ca="1">INDEX(RESULTADOS!$A:$BZ,MATCH($A75,RESULTADOS!$A:$A,0),MATCH(E$1,RESULTADOS!$1:$1,0))</f>
        <v>#N/A</v>
      </c>
      <c r="F75" s="208" t="e">
        <f ca="1">INDEX(RESULTADOS!$A:$BZ,MATCH($A75,RESULTADOS!$A:$A,0),MATCH(F$1,RESULTADOS!$1:$1,0))</f>
        <v>#N/A</v>
      </c>
      <c r="G75" s="208" t="e">
        <f ca="1">INDEX(RESULTADOS!$A:$BZ,MATCH($A75,RESULTADOS!$A:$A,0),MATCH(G$1,RESULTADOS!$1:$1,0))</f>
        <v>#N/A</v>
      </c>
      <c r="H75" s="208" t="e">
        <f ca="1">INDEX(RESULTADOS!$A:$BZ,MATCH($A75,RESULTADOS!$A:$A,0),MATCH(H$1,RESULTADOS!$1:$1,0))</f>
        <v>#N/A</v>
      </c>
      <c r="I75" s="208" t="e">
        <f ca="1">INDEX(RESULTADOS!$A:$BZ,MATCH($A75,RESULTADOS!$A:$A,0),MATCH(I$1,RESULTADOS!$1:$1,0))</f>
        <v>#N/A</v>
      </c>
      <c r="J75" s="208" t="e">
        <f ca="1">INDEX(RESULTADOS!$A:$BZ,MATCH($A75,RESULTADOS!$A:$A,0),MATCH(J$1,RESULTADOS!$1:$1,0))</f>
        <v>#N/A</v>
      </c>
      <c r="K75" s="208" t="e">
        <f ca="1">INDEX(RESULTADOS!$A:$BZ,MATCH($A75,RESULTADOS!$A:$A,0),MATCH(K$1,RESULTADOS!$1:$1,0))</f>
        <v>#N/A</v>
      </c>
      <c r="L75" s="208" t="e">
        <f ca="1">INDEX(RESULTADOS!$A:$BZ,MATCH($A75,RESULTADOS!$A:$A,0),MATCH(L$1,RESULTADOS!$1:$1,0))</f>
        <v>#N/A</v>
      </c>
      <c r="M75" s="239" t="e">
        <f t="shared" ca="1" si="2"/>
        <v>#N/A</v>
      </c>
      <c r="N75" s="239" t="e">
        <f t="shared" ca="1" si="3"/>
        <v>#N/A</v>
      </c>
      <c r="O75" s="230" t="e">
        <f t="shared" ca="1" si="4"/>
        <v>#N/A</v>
      </c>
      <c r="P75" s="230" t="e">
        <f t="shared" ca="1" si="5"/>
        <v>#N/A</v>
      </c>
      <c r="Q75" s="239" t="e">
        <f t="shared" ca="1" si="6"/>
        <v>#N/A</v>
      </c>
      <c r="R75" s="239" t="e">
        <f t="shared" ca="1" si="7"/>
        <v>#N/A</v>
      </c>
      <c r="S75" s="230" t="e">
        <f t="shared" ca="1" si="8"/>
        <v>#N/A</v>
      </c>
      <c r="T75" s="230"/>
      <c r="U75" s="239" t="e">
        <f t="shared" ca="1" si="9"/>
        <v>#N/A</v>
      </c>
      <c r="V75" s="239" t="e">
        <f t="shared" ca="1" si="10"/>
        <v>#N/A</v>
      </c>
      <c r="W75" s="239" t="e">
        <f ca="1">INDEX(RESULTADOS!$A:$BZ,MATCH($A75,RESULTADOS!$A:$A,0),MATCH(W$1,RESULTADOS!$1:$1,0))</f>
        <v>#N/A</v>
      </c>
      <c r="Y75" s="239" t="e">
        <f ca="1">INDEX(RESULTADOS!$A:$BZ,MATCH($A75,RESULTADOS!$A:$A,0),MATCH(Y$1,RESULTADOS!$1:$1,0))</f>
        <v>#N/A</v>
      </c>
      <c r="AC75" s="239" t="e">
        <f ca="1">INDEX(RESULTADOS!$A:$BZ,MATCH($A75,RESULTADOS!$A:$A,0),MATCH(AC$1,RESULTADOS!$1:$1,0))</f>
        <v>#N/A</v>
      </c>
      <c r="AE75" s="239" t="e">
        <f ca="1">INDEX(RESULTADOS!$A:$BZ,MATCH($A75,RESULTADOS!$A:$A,0),MATCH(AE$1,RESULTADOS!$1:$1,0))</f>
        <v>#N/A</v>
      </c>
      <c r="AF75" s="239" t="e">
        <f ca="1">INDEX(RESULTADOS!$A:$BZ,MATCH($A75,RESULTADOS!$A:$A,0),MATCH(AF$1,RESULTADOS!$1:$1,0))</f>
        <v>#N/A</v>
      </c>
      <c r="AJ75" s="239" t="e">
        <f ca="1">INDEX(RESULTADOS!$A:$BZ,MATCH($A75,RESULTADOS!$A:$A,0),MATCH(AJ$1,RESULTADOS!$1:$1,0))</f>
        <v>#N/A</v>
      </c>
      <c r="AK75" s="239" t="e">
        <f ca="1">INDEX(RESULTADOS!$A:$BZ,MATCH($A75,RESULTADOS!$A:$A,0),MATCH(AK$1,RESULTADOS!$1:$1,0))</f>
        <v>#N/A</v>
      </c>
      <c r="AO75" s="239" t="e">
        <f ca="1">INDEX(RESULTADOS!$A:$BZ,MATCH($A75,RESULTADOS!$A:$A,0),MATCH(AO$1,RESULTADOS!$1:$1,0))</f>
        <v>#N/A</v>
      </c>
    </row>
    <row r="76" spans="1:41" x14ac:dyDescent="0.2">
      <c r="A76" s="49">
        <f t="shared" ca="1" si="11"/>
        <v>43875</v>
      </c>
      <c r="B76" s="53"/>
      <c r="C76" s="53"/>
      <c r="D76" s="52"/>
      <c r="E76" s="208" t="e">
        <f ca="1">INDEX(RESULTADOS!$A:$BZ,MATCH($A76,RESULTADOS!$A:$A,0),MATCH(E$1,RESULTADOS!$1:$1,0))</f>
        <v>#N/A</v>
      </c>
      <c r="F76" s="208" t="e">
        <f ca="1">INDEX(RESULTADOS!$A:$BZ,MATCH($A76,RESULTADOS!$A:$A,0),MATCH(F$1,RESULTADOS!$1:$1,0))</f>
        <v>#N/A</v>
      </c>
      <c r="G76" s="208" t="e">
        <f ca="1">INDEX(RESULTADOS!$A:$BZ,MATCH($A76,RESULTADOS!$A:$A,0),MATCH(G$1,RESULTADOS!$1:$1,0))</f>
        <v>#N/A</v>
      </c>
      <c r="H76" s="208" t="e">
        <f ca="1">INDEX(RESULTADOS!$A:$BZ,MATCH($A76,RESULTADOS!$A:$A,0),MATCH(H$1,RESULTADOS!$1:$1,0))</f>
        <v>#N/A</v>
      </c>
      <c r="I76" s="208" t="e">
        <f ca="1">INDEX(RESULTADOS!$A:$BZ,MATCH($A76,RESULTADOS!$A:$A,0),MATCH(I$1,RESULTADOS!$1:$1,0))</f>
        <v>#N/A</v>
      </c>
      <c r="J76" s="208" t="e">
        <f ca="1">INDEX(RESULTADOS!$A:$BZ,MATCH($A76,RESULTADOS!$A:$A,0),MATCH(J$1,RESULTADOS!$1:$1,0))</f>
        <v>#N/A</v>
      </c>
      <c r="K76" s="208" t="e">
        <f ca="1">INDEX(RESULTADOS!$A:$BZ,MATCH($A76,RESULTADOS!$A:$A,0),MATCH(K$1,RESULTADOS!$1:$1,0))</f>
        <v>#N/A</v>
      </c>
      <c r="L76" s="208" t="e">
        <f ca="1">INDEX(RESULTADOS!$A:$BZ,MATCH($A76,RESULTADOS!$A:$A,0),MATCH(L$1,RESULTADOS!$1:$1,0))</f>
        <v>#N/A</v>
      </c>
      <c r="M76" s="239" t="e">
        <f t="shared" ca="1" si="2"/>
        <v>#N/A</v>
      </c>
      <c r="N76" s="239" t="e">
        <f t="shared" ca="1" si="3"/>
        <v>#N/A</v>
      </c>
      <c r="O76" s="230" t="e">
        <f t="shared" ca="1" si="4"/>
        <v>#N/A</v>
      </c>
      <c r="P76" s="230" t="e">
        <f t="shared" ca="1" si="5"/>
        <v>#N/A</v>
      </c>
      <c r="Q76" s="239" t="e">
        <f t="shared" ca="1" si="6"/>
        <v>#N/A</v>
      </c>
      <c r="R76" s="239" t="e">
        <f t="shared" ca="1" si="7"/>
        <v>#N/A</v>
      </c>
      <c r="S76" s="230" t="e">
        <f t="shared" ca="1" si="8"/>
        <v>#N/A</v>
      </c>
      <c r="T76" s="230"/>
      <c r="U76" s="239" t="e">
        <f t="shared" ca="1" si="9"/>
        <v>#N/A</v>
      </c>
      <c r="V76" s="239" t="e">
        <f t="shared" ca="1" si="10"/>
        <v>#N/A</v>
      </c>
      <c r="W76" s="239" t="e">
        <f ca="1">INDEX(RESULTADOS!$A:$BZ,MATCH($A76,RESULTADOS!$A:$A,0),MATCH(W$1,RESULTADOS!$1:$1,0))</f>
        <v>#N/A</v>
      </c>
      <c r="Y76" s="239" t="e">
        <f ca="1">INDEX(RESULTADOS!$A:$BZ,MATCH($A76,RESULTADOS!$A:$A,0),MATCH(Y$1,RESULTADOS!$1:$1,0))</f>
        <v>#N/A</v>
      </c>
      <c r="AC76" s="239" t="e">
        <f ca="1">INDEX(RESULTADOS!$A:$BZ,MATCH($A76,RESULTADOS!$A:$A,0),MATCH(AC$1,RESULTADOS!$1:$1,0))</f>
        <v>#N/A</v>
      </c>
      <c r="AE76" s="239" t="e">
        <f ca="1">INDEX(RESULTADOS!$A:$BZ,MATCH($A76,RESULTADOS!$A:$A,0),MATCH(AE$1,RESULTADOS!$1:$1,0))</f>
        <v>#N/A</v>
      </c>
      <c r="AF76" s="239" t="e">
        <f ca="1">INDEX(RESULTADOS!$A:$BZ,MATCH($A76,RESULTADOS!$A:$A,0),MATCH(AF$1,RESULTADOS!$1:$1,0))</f>
        <v>#N/A</v>
      </c>
      <c r="AJ76" s="239" t="e">
        <f ca="1">INDEX(RESULTADOS!$A:$BZ,MATCH($A76,RESULTADOS!$A:$A,0),MATCH(AJ$1,RESULTADOS!$1:$1,0))</f>
        <v>#N/A</v>
      </c>
      <c r="AK76" s="239" t="e">
        <f ca="1">INDEX(RESULTADOS!$A:$BZ,MATCH($A76,RESULTADOS!$A:$A,0),MATCH(AK$1,RESULTADOS!$1:$1,0))</f>
        <v>#N/A</v>
      </c>
      <c r="AO76" s="239" t="e">
        <f ca="1">INDEX(RESULTADOS!$A:$BZ,MATCH($A76,RESULTADOS!$A:$A,0),MATCH(AO$1,RESULTADOS!$1:$1,0))</f>
        <v>#N/A</v>
      </c>
    </row>
    <row r="77" spans="1:41" x14ac:dyDescent="0.2">
      <c r="A77" s="49">
        <f t="shared" ca="1" si="11"/>
        <v>43876</v>
      </c>
      <c r="B77" s="53"/>
      <c r="C77" s="53"/>
      <c r="D77" s="52"/>
      <c r="E77" s="208" t="e">
        <f ca="1">INDEX(RESULTADOS!$A:$BZ,MATCH($A77,RESULTADOS!$A:$A,0),MATCH(E$1,RESULTADOS!$1:$1,0))</f>
        <v>#N/A</v>
      </c>
      <c r="F77" s="208" t="e">
        <f ca="1">INDEX(RESULTADOS!$A:$BZ,MATCH($A77,RESULTADOS!$A:$A,0),MATCH(F$1,RESULTADOS!$1:$1,0))</f>
        <v>#N/A</v>
      </c>
      <c r="G77" s="208" t="e">
        <f ca="1">INDEX(RESULTADOS!$A:$BZ,MATCH($A77,RESULTADOS!$A:$A,0),MATCH(G$1,RESULTADOS!$1:$1,0))</f>
        <v>#N/A</v>
      </c>
      <c r="H77" s="208" t="e">
        <f ca="1">INDEX(RESULTADOS!$A:$BZ,MATCH($A77,RESULTADOS!$A:$A,0),MATCH(H$1,RESULTADOS!$1:$1,0))</f>
        <v>#N/A</v>
      </c>
      <c r="I77" s="208" t="e">
        <f ca="1">INDEX(RESULTADOS!$A:$BZ,MATCH($A77,RESULTADOS!$A:$A,0),MATCH(I$1,RESULTADOS!$1:$1,0))</f>
        <v>#N/A</v>
      </c>
      <c r="J77" s="208" t="e">
        <f ca="1">INDEX(RESULTADOS!$A:$BZ,MATCH($A77,RESULTADOS!$A:$A,0),MATCH(J$1,RESULTADOS!$1:$1,0))</f>
        <v>#N/A</v>
      </c>
      <c r="K77" s="208" t="e">
        <f ca="1">INDEX(RESULTADOS!$A:$BZ,MATCH($A77,RESULTADOS!$A:$A,0),MATCH(K$1,RESULTADOS!$1:$1,0))</f>
        <v>#N/A</v>
      </c>
      <c r="L77" s="208" t="e">
        <f ca="1">INDEX(RESULTADOS!$A:$BZ,MATCH($A77,RESULTADOS!$A:$A,0),MATCH(L$1,RESULTADOS!$1:$1,0))</f>
        <v>#N/A</v>
      </c>
      <c r="M77" s="239" t="e">
        <f t="shared" ca="1" si="2"/>
        <v>#N/A</v>
      </c>
      <c r="N77" s="239" t="e">
        <f t="shared" ca="1" si="3"/>
        <v>#N/A</v>
      </c>
      <c r="O77" s="230" t="e">
        <f t="shared" ca="1" si="4"/>
        <v>#N/A</v>
      </c>
      <c r="P77" s="230" t="e">
        <f t="shared" ca="1" si="5"/>
        <v>#N/A</v>
      </c>
      <c r="Q77" s="239" t="e">
        <f t="shared" ca="1" si="6"/>
        <v>#N/A</v>
      </c>
      <c r="R77" s="239" t="e">
        <f t="shared" ca="1" si="7"/>
        <v>#N/A</v>
      </c>
      <c r="S77" s="230" t="e">
        <f t="shared" ca="1" si="8"/>
        <v>#N/A</v>
      </c>
      <c r="T77" s="230"/>
      <c r="U77" s="239" t="e">
        <f t="shared" ca="1" si="9"/>
        <v>#N/A</v>
      </c>
      <c r="V77" s="239" t="e">
        <f t="shared" ca="1" si="10"/>
        <v>#N/A</v>
      </c>
      <c r="W77" s="239" t="e">
        <f ca="1">INDEX(RESULTADOS!$A:$BZ,MATCH($A77,RESULTADOS!$A:$A,0),MATCH(W$1,RESULTADOS!$1:$1,0))</f>
        <v>#N/A</v>
      </c>
      <c r="Y77" s="239" t="e">
        <f ca="1">INDEX(RESULTADOS!$A:$BZ,MATCH($A77,RESULTADOS!$A:$A,0),MATCH(Y$1,RESULTADOS!$1:$1,0))</f>
        <v>#N/A</v>
      </c>
      <c r="AC77" s="239" t="e">
        <f ca="1">INDEX(RESULTADOS!$A:$BZ,MATCH($A77,RESULTADOS!$A:$A,0),MATCH(AC$1,RESULTADOS!$1:$1,0))</f>
        <v>#N/A</v>
      </c>
      <c r="AE77" s="239" t="e">
        <f ca="1">INDEX(RESULTADOS!$A:$BZ,MATCH($A77,RESULTADOS!$A:$A,0),MATCH(AE$1,RESULTADOS!$1:$1,0))</f>
        <v>#N/A</v>
      </c>
      <c r="AF77" s="239" t="e">
        <f ca="1">INDEX(RESULTADOS!$A:$BZ,MATCH($A77,RESULTADOS!$A:$A,0),MATCH(AF$1,RESULTADOS!$1:$1,0))</f>
        <v>#N/A</v>
      </c>
      <c r="AJ77" s="239" t="e">
        <f ca="1">INDEX(RESULTADOS!$A:$BZ,MATCH($A77,RESULTADOS!$A:$A,0),MATCH(AJ$1,RESULTADOS!$1:$1,0))</f>
        <v>#N/A</v>
      </c>
      <c r="AK77" s="239" t="e">
        <f ca="1">INDEX(RESULTADOS!$A:$BZ,MATCH($A77,RESULTADOS!$A:$A,0),MATCH(AK$1,RESULTADOS!$1:$1,0))</f>
        <v>#N/A</v>
      </c>
      <c r="AO77" s="239" t="e">
        <f ca="1">INDEX(RESULTADOS!$A:$BZ,MATCH($A77,RESULTADOS!$A:$A,0),MATCH(AO$1,RESULTADOS!$1:$1,0))</f>
        <v>#N/A</v>
      </c>
    </row>
    <row r="78" spans="1:41" x14ac:dyDescent="0.2">
      <c r="A78" s="49">
        <f t="shared" ca="1" si="11"/>
        <v>43877</v>
      </c>
      <c r="B78" s="53"/>
      <c r="C78" s="53"/>
      <c r="D78" s="52"/>
      <c r="E78" s="208" t="e">
        <f ca="1">INDEX(RESULTADOS!$A:$BZ,MATCH($A78,RESULTADOS!$A:$A,0),MATCH(E$1,RESULTADOS!$1:$1,0))</f>
        <v>#N/A</v>
      </c>
      <c r="F78" s="208" t="e">
        <f ca="1">INDEX(RESULTADOS!$A:$BZ,MATCH($A78,RESULTADOS!$A:$A,0),MATCH(F$1,RESULTADOS!$1:$1,0))</f>
        <v>#N/A</v>
      </c>
      <c r="G78" s="208" t="e">
        <f ca="1">INDEX(RESULTADOS!$A:$BZ,MATCH($A78,RESULTADOS!$A:$A,0),MATCH(G$1,RESULTADOS!$1:$1,0))</f>
        <v>#N/A</v>
      </c>
      <c r="H78" s="208" t="e">
        <f ca="1">INDEX(RESULTADOS!$A:$BZ,MATCH($A78,RESULTADOS!$A:$A,0),MATCH(H$1,RESULTADOS!$1:$1,0))</f>
        <v>#N/A</v>
      </c>
      <c r="I78" s="208" t="e">
        <f ca="1">INDEX(RESULTADOS!$A:$BZ,MATCH($A78,RESULTADOS!$A:$A,0),MATCH(I$1,RESULTADOS!$1:$1,0))</f>
        <v>#N/A</v>
      </c>
      <c r="J78" s="208" t="e">
        <f ca="1">INDEX(RESULTADOS!$A:$BZ,MATCH($A78,RESULTADOS!$A:$A,0),MATCH(J$1,RESULTADOS!$1:$1,0))</f>
        <v>#N/A</v>
      </c>
      <c r="K78" s="208" t="e">
        <f ca="1">INDEX(RESULTADOS!$A:$BZ,MATCH($A78,RESULTADOS!$A:$A,0),MATCH(K$1,RESULTADOS!$1:$1,0))</f>
        <v>#N/A</v>
      </c>
      <c r="L78" s="208" t="e">
        <f ca="1">INDEX(RESULTADOS!$A:$BZ,MATCH($A78,RESULTADOS!$A:$A,0),MATCH(L$1,RESULTADOS!$1:$1,0))</f>
        <v>#N/A</v>
      </c>
      <c r="M78" s="239" t="e">
        <f t="shared" ca="1" si="2"/>
        <v>#N/A</v>
      </c>
      <c r="N78" s="239" t="e">
        <f t="shared" ca="1" si="3"/>
        <v>#N/A</v>
      </c>
      <c r="O78" s="230" t="e">
        <f t="shared" ca="1" si="4"/>
        <v>#N/A</v>
      </c>
      <c r="P78" s="230" t="e">
        <f t="shared" ca="1" si="5"/>
        <v>#N/A</v>
      </c>
      <c r="Q78" s="239" t="e">
        <f t="shared" ca="1" si="6"/>
        <v>#N/A</v>
      </c>
      <c r="R78" s="239" t="e">
        <f t="shared" ca="1" si="7"/>
        <v>#N/A</v>
      </c>
      <c r="S78" s="230" t="e">
        <f t="shared" ca="1" si="8"/>
        <v>#N/A</v>
      </c>
      <c r="T78" s="230"/>
      <c r="U78" s="239" t="e">
        <f t="shared" ca="1" si="9"/>
        <v>#N/A</v>
      </c>
      <c r="V78" s="239" t="e">
        <f t="shared" ca="1" si="10"/>
        <v>#N/A</v>
      </c>
      <c r="W78" s="239" t="e">
        <f ca="1">INDEX(RESULTADOS!$A:$BZ,MATCH($A78,RESULTADOS!$A:$A,0),MATCH(W$1,RESULTADOS!$1:$1,0))</f>
        <v>#N/A</v>
      </c>
      <c r="Y78" s="239" t="e">
        <f ca="1">INDEX(RESULTADOS!$A:$BZ,MATCH($A78,RESULTADOS!$A:$A,0),MATCH(Y$1,RESULTADOS!$1:$1,0))</f>
        <v>#N/A</v>
      </c>
      <c r="AC78" s="239" t="e">
        <f ca="1">INDEX(RESULTADOS!$A:$BZ,MATCH($A78,RESULTADOS!$A:$A,0),MATCH(AC$1,RESULTADOS!$1:$1,0))</f>
        <v>#N/A</v>
      </c>
      <c r="AE78" s="239" t="e">
        <f ca="1">INDEX(RESULTADOS!$A:$BZ,MATCH($A78,RESULTADOS!$A:$A,0),MATCH(AE$1,RESULTADOS!$1:$1,0))</f>
        <v>#N/A</v>
      </c>
      <c r="AF78" s="239" t="e">
        <f ca="1">INDEX(RESULTADOS!$A:$BZ,MATCH($A78,RESULTADOS!$A:$A,0),MATCH(AF$1,RESULTADOS!$1:$1,0))</f>
        <v>#N/A</v>
      </c>
      <c r="AJ78" s="239" t="e">
        <f ca="1">INDEX(RESULTADOS!$A:$BZ,MATCH($A78,RESULTADOS!$A:$A,0),MATCH(AJ$1,RESULTADOS!$1:$1,0))</f>
        <v>#N/A</v>
      </c>
      <c r="AK78" s="239" t="e">
        <f ca="1">INDEX(RESULTADOS!$A:$BZ,MATCH($A78,RESULTADOS!$A:$A,0),MATCH(AK$1,RESULTADOS!$1:$1,0))</f>
        <v>#N/A</v>
      </c>
      <c r="AO78" s="239" t="e">
        <f ca="1">INDEX(RESULTADOS!$A:$BZ,MATCH($A78,RESULTADOS!$A:$A,0),MATCH(AO$1,RESULTADOS!$1:$1,0))</f>
        <v>#N/A</v>
      </c>
    </row>
    <row r="79" spans="1:41" x14ac:dyDescent="0.2">
      <c r="A79" s="49">
        <f t="shared" ca="1" si="11"/>
        <v>43878</v>
      </c>
      <c r="B79" s="53"/>
      <c r="C79" s="53"/>
      <c r="D79" s="52"/>
      <c r="E79" s="208" t="e">
        <f ca="1">INDEX(RESULTADOS!$A:$BZ,MATCH($A79,RESULTADOS!$A:$A,0),MATCH(E$1,RESULTADOS!$1:$1,0))</f>
        <v>#N/A</v>
      </c>
      <c r="F79" s="208" t="e">
        <f ca="1">INDEX(RESULTADOS!$A:$BZ,MATCH($A79,RESULTADOS!$A:$A,0),MATCH(F$1,RESULTADOS!$1:$1,0))</f>
        <v>#N/A</v>
      </c>
      <c r="G79" s="208" t="e">
        <f ca="1">INDEX(RESULTADOS!$A:$BZ,MATCH($A79,RESULTADOS!$A:$A,0),MATCH(G$1,RESULTADOS!$1:$1,0))</f>
        <v>#N/A</v>
      </c>
      <c r="H79" s="208" t="e">
        <f ca="1">INDEX(RESULTADOS!$A:$BZ,MATCH($A79,RESULTADOS!$A:$A,0),MATCH(H$1,RESULTADOS!$1:$1,0))</f>
        <v>#N/A</v>
      </c>
      <c r="I79" s="208" t="e">
        <f ca="1">INDEX(RESULTADOS!$A:$BZ,MATCH($A79,RESULTADOS!$A:$A,0),MATCH(I$1,RESULTADOS!$1:$1,0))</f>
        <v>#N/A</v>
      </c>
      <c r="J79" s="208" t="e">
        <f ca="1">INDEX(RESULTADOS!$A:$BZ,MATCH($A79,RESULTADOS!$A:$A,0),MATCH(J$1,RESULTADOS!$1:$1,0))</f>
        <v>#N/A</v>
      </c>
      <c r="K79" s="208" t="e">
        <f ca="1">INDEX(RESULTADOS!$A:$BZ,MATCH($A79,RESULTADOS!$A:$A,0),MATCH(K$1,RESULTADOS!$1:$1,0))</f>
        <v>#N/A</v>
      </c>
      <c r="L79" s="208" t="e">
        <f ca="1">INDEX(RESULTADOS!$A:$BZ,MATCH($A79,RESULTADOS!$A:$A,0),MATCH(L$1,RESULTADOS!$1:$1,0))</f>
        <v>#N/A</v>
      </c>
      <c r="M79" s="239" t="e">
        <f t="shared" ca="1" si="2"/>
        <v>#N/A</v>
      </c>
      <c r="N79" s="239" t="e">
        <f t="shared" ca="1" si="3"/>
        <v>#N/A</v>
      </c>
      <c r="O79" s="230" t="e">
        <f t="shared" ca="1" si="4"/>
        <v>#N/A</v>
      </c>
      <c r="P79" s="230" t="e">
        <f t="shared" ca="1" si="5"/>
        <v>#N/A</v>
      </c>
      <c r="Q79" s="239" t="e">
        <f t="shared" ca="1" si="6"/>
        <v>#N/A</v>
      </c>
      <c r="R79" s="239" t="e">
        <f t="shared" ca="1" si="7"/>
        <v>#N/A</v>
      </c>
      <c r="S79" s="230" t="e">
        <f t="shared" ca="1" si="8"/>
        <v>#N/A</v>
      </c>
      <c r="T79" s="230"/>
      <c r="U79" s="239" t="e">
        <f t="shared" ca="1" si="9"/>
        <v>#N/A</v>
      </c>
      <c r="V79" s="239" t="e">
        <f t="shared" ca="1" si="10"/>
        <v>#N/A</v>
      </c>
      <c r="W79" s="239" t="e">
        <f ca="1">INDEX(RESULTADOS!$A:$BZ,MATCH($A79,RESULTADOS!$A:$A,0),MATCH(W$1,RESULTADOS!$1:$1,0))</f>
        <v>#N/A</v>
      </c>
      <c r="Y79" s="239" t="e">
        <f ca="1">INDEX(RESULTADOS!$A:$BZ,MATCH($A79,RESULTADOS!$A:$A,0),MATCH(Y$1,RESULTADOS!$1:$1,0))</f>
        <v>#N/A</v>
      </c>
      <c r="AC79" s="239" t="e">
        <f ca="1">INDEX(RESULTADOS!$A:$BZ,MATCH($A79,RESULTADOS!$A:$A,0),MATCH(AC$1,RESULTADOS!$1:$1,0))</f>
        <v>#N/A</v>
      </c>
      <c r="AE79" s="239" t="e">
        <f ca="1">INDEX(RESULTADOS!$A:$BZ,MATCH($A79,RESULTADOS!$A:$A,0),MATCH(AE$1,RESULTADOS!$1:$1,0))</f>
        <v>#N/A</v>
      </c>
      <c r="AF79" s="239" t="e">
        <f ca="1">INDEX(RESULTADOS!$A:$BZ,MATCH($A79,RESULTADOS!$A:$A,0),MATCH(AF$1,RESULTADOS!$1:$1,0))</f>
        <v>#N/A</v>
      </c>
      <c r="AJ79" s="239" t="e">
        <f ca="1">INDEX(RESULTADOS!$A:$BZ,MATCH($A79,RESULTADOS!$A:$A,0),MATCH(AJ$1,RESULTADOS!$1:$1,0))</f>
        <v>#N/A</v>
      </c>
      <c r="AK79" s="239" t="e">
        <f ca="1">INDEX(RESULTADOS!$A:$BZ,MATCH($A79,RESULTADOS!$A:$A,0),MATCH(AK$1,RESULTADOS!$1:$1,0))</f>
        <v>#N/A</v>
      </c>
      <c r="AO79" s="239" t="e">
        <f ca="1">INDEX(RESULTADOS!$A:$BZ,MATCH($A79,RESULTADOS!$A:$A,0),MATCH(AO$1,RESULTADOS!$1:$1,0))</f>
        <v>#N/A</v>
      </c>
    </row>
    <row r="80" spans="1:41" x14ac:dyDescent="0.2">
      <c r="A80" s="49">
        <f t="shared" ca="1" si="11"/>
        <v>43879</v>
      </c>
      <c r="B80" s="53"/>
      <c r="C80" s="53"/>
      <c r="D80" s="52"/>
      <c r="E80" s="208" t="e">
        <f ca="1">INDEX(RESULTADOS!$A:$BZ,MATCH($A80,RESULTADOS!$A:$A,0),MATCH(E$1,RESULTADOS!$1:$1,0))</f>
        <v>#N/A</v>
      </c>
      <c r="F80" s="208" t="e">
        <f ca="1">INDEX(RESULTADOS!$A:$BZ,MATCH($A80,RESULTADOS!$A:$A,0),MATCH(F$1,RESULTADOS!$1:$1,0))</f>
        <v>#N/A</v>
      </c>
      <c r="G80" s="208" t="e">
        <f ca="1">INDEX(RESULTADOS!$A:$BZ,MATCH($A80,RESULTADOS!$A:$A,0),MATCH(G$1,RESULTADOS!$1:$1,0))</f>
        <v>#N/A</v>
      </c>
      <c r="H80" s="208" t="e">
        <f ca="1">INDEX(RESULTADOS!$A:$BZ,MATCH($A80,RESULTADOS!$A:$A,0),MATCH(H$1,RESULTADOS!$1:$1,0))</f>
        <v>#N/A</v>
      </c>
      <c r="I80" s="208" t="e">
        <f ca="1">INDEX(RESULTADOS!$A:$BZ,MATCH($A80,RESULTADOS!$A:$A,0),MATCH(I$1,RESULTADOS!$1:$1,0))</f>
        <v>#N/A</v>
      </c>
      <c r="J80" s="208" t="e">
        <f ca="1">INDEX(RESULTADOS!$A:$BZ,MATCH($A80,RESULTADOS!$A:$A,0),MATCH(J$1,RESULTADOS!$1:$1,0))</f>
        <v>#N/A</v>
      </c>
      <c r="K80" s="208" t="e">
        <f ca="1">INDEX(RESULTADOS!$A:$BZ,MATCH($A80,RESULTADOS!$A:$A,0),MATCH(K$1,RESULTADOS!$1:$1,0))</f>
        <v>#N/A</v>
      </c>
      <c r="L80" s="208" t="e">
        <f ca="1">INDEX(RESULTADOS!$A:$BZ,MATCH($A80,RESULTADOS!$A:$A,0),MATCH(L$1,RESULTADOS!$1:$1,0))</f>
        <v>#N/A</v>
      </c>
      <c r="M80" s="239" t="e">
        <f t="shared" ca="1" si="2"/>
        <v>#N/A</v>
      </c>
      <c r="N80" s="239" t="e">
        <f t="shared" ca="1" si="3"/>
        <v>#N/A</v>
      </c>
      <c r="O80" s="230" t="e">
        <f t="shared" ca="1" si="4"/>
        <v>#N/A</v>
      </c>
      <c r="P80" s="230" t="e">
        <f t="shared" ca="1" si="5"/>
        <v>#N/A</v>
      </c>
      <c r="Q80" s="239" t="e">
        <f t="shared" ca="1" si="6"/>
        <v>#N/A</v>
      </c>
      <c r="R80" s="239" t="e">
        <f t="shared" ca="1" si="7"/>
        <v>#N/A</v>
      </c>
      <c r="S80" s="230" t="e">
        <f t="shared" ca="1" si="8"/>
        <v>#N/A</v>
      </c>
      <c r="T80" s="230"/>
      <c r="U80" s="239" t="e">
        <f t="shared" ca="1" si="9"/>
        <v>#N/A</v>
      </c>
      <c r="V80" s="239" t="e">
        <f t="shared" ca="1" si="10"/>
        <v>#N/A</v>
      </c>
      <c r="W80" s="239" t="e">
        <f ca="1">INDEX(RESULTADOS!$A:$BZ,MATCH($A80,RESULTADOS!$A:$A,0),MATCH(W$1,RESULTADOS!$1:$1,0))</f>
        <v>#N/A</v>
      </c>
      <c r="Y80" s="239" t="e">
        <f ca="1">INDEX(RESULTADOS!$A:$BZ,MATCH($A80,RESULTADOS!$A:$A,0),MATCH(Y$1,RESULTADOS!$1:$1,0))</f>
        <v>#N/A</v>
      </c>
      <c r="AC80" s="239" t="e">
        <f ca="1">INDEX(RESULTADOS!$A:$BZ,MATCH($A80,RESULTADOS!$A:$A,0),MATCH(AC$1,RESULTADOS!$1:$1,0))</f>
        <v>#N/A</v>
      </c>
      <c r="AE80" s="239" t="e">
        <f ca="1">INDEX(RESULTADOS!$A:$BZ,MATCH($A80,RESULTADOS!$A:$A,0),MATCH(AE$1,RESULTADOS!$1:$1,0))</f>
        <v>#N/A</v>
      </c>
      <c r="AF80" s="239" t="e">
        <f ca="1">INDEX(RESULTADOS!$A:$BZ,MATCH($A80,RESULTADOS!$A:$A,0),MATCH(AF$1,RESULTADOS!$1:$1,0))</f>
        <v>#N/A</v>
      </c>
      <c r="AJ80" s="239" t="e">
        <f ca="1">INDEX(RESULTADOS!$A:$BZ,MATCH($A80,RESULTADOS!$A:$A,0),MATCH(AJ$1,RESULTADOS!$1:$1,0))</f>
        <v>#N/A</v>
      </c>
      <c r="AK80" s="239" t="e">
        <f ca="1">INDEX(RESULTADOS!$A:$BZ,MATCH($A80,RESULTADOS!$A:$A,0),MATCH(AK$1,RESULTADOS!$1:$1,0))</f>
        <v>#N/A</v>
      </c>
      <c r="AO80" s="239" t="e">
        <f ca="1">INDEX(RESULTADOS!$A:$BZ,MATCH($A80,RESULTADOS!$A:$A,0),MATCH(AO$1,RESULTADOS!$1:$1,0))</f>
        <v>#N/A</v>
      </c>
    </row>
    <row r="81" spans="1:41" s="272" customFormat="1" x14ac:dyDescent="0.2">
      <c r="A81" s="273">
        <f t="shared" ca="1" si="11"/>
        <v>43880</v>
      </c>
      <c r="B81" s="53"/>
      <c r="C81" s="53"/>
      <c r="D81" s="52"/>
      <c r="E81" s="279" t="e">
        <f ca="1">INDEX(RESULTADOS!$A:$BZ,MATCH($A81,RESULTADOS!$A:$A,0),MATCH(E$1,RESULTADOS!$1:$1,0))</f>
        <v>#N/A</v>
      </c>
      <c r="F81" s="279" t="e">
        <f ca="1">INDEX(RESULTADOS!$A:$BZ,MATCH($A81,RESULTADOS!$A:$A,0),MATCH(F$1,RESULTADOS!$1:$1,0))</f>
        <v>#N/A</v>
      </c>
      <c r="G81" s="279" t="e">
        <f ca="1">INDEX(RESULTADOS!$A:$BZ,MATCH($A81,RESULTADOS!$A:$A,0),MATCH(G$1,RESULTADOS!$1:$1,0))</f>
        <v>#N/A</v>
      </c>
      <c r="H81" s="279" t="e">
        <f ca="1">INDEX(RESULTADOS!$A:$BZ,MATCH($A81,RESULTADOS!$A:$A,0),MATCH(H$1,RESULTADOS!$1:$1,0))</f>
        <v>#N/A</v>
      </c>
      <c r="I81" s="279" t="e">
        <f ca="1">INDEX(RESULTADOS!$A:$BZ,MATCH($A81,RESULTADOS!$A:$A,0),MATCH(I$1,RESULTADOS!$1:$1,0))</f>
        <v>#N/A</v>
      </c>
      <c r="J81" s="279" t="e">
        <f ca="1">INDEX(RESULTADOS!$A:$BZ,MATCH($A81,RESULTADOS!$A:$A,0),MATCH(J$1,RESULTADOS!$1:$1,0))</f>
        <v>#N/A</v>
      </c>
      <c r="K81" s="279" t="e">
        <f ca="1">INDEX(RESULTADOS!$A:$BZ,MATCH($A81,RESULTADOS!$A:$A,0),MATCH(K$1,RESULTADOS!$1:$1,0))</f>
        <v>#N/A</v>
      </c>
      <c r="L81" s="279" t="e">
        <f ca="1">INDEX(RESULTADOS!$A:$BZ,MATCH($A81,RESULTADOS!$A:$A,0),MATCH(L$1,RESULTADOS!$1:$1,0))</f>
        <v>#N/A</v>
      </c>
      <c r="M81" s="272" t="e">
        <f t="shared" ca="1" si="2"/>
        <v>#N/A</v>
      </c>
      <c r="N81" s="272" t="e">
        <f t="shared" ref="N81:N110" ca="1" si="12">N$4*$F81+M81</f>
        <v>#N/A</v>
      </c>
      <c r="O81" s="278" t="e">
        <f t="shared" ref="O81:O110" ca="1" si="13">E81+N81+G81</f>
        <v>#N/A</v>
      </c>
      <c r="P81" s="278" t="e">
        <f t="shared" ref="P81:P110" ca="1" si="14">O81+H81</f>
        <v>#N/A</v>
      </c>
      <c r="Q81" s="272" t="e">
        <f t="shared" ca="1" si="6"/>
        <v>#N/A</v>
      </c>
      <c r="R81" s="272" t="e">
        <f t="shared" ref="R81:R110" ca="1" si="15">R$4*$I81+Q81</f>
        <v>#N/A</v>
      </c>
      <c r="S81" s="278" t="e">
        <f t="shared" ref="S81:S110" ca="1" si="16">P81+R81+J81</f>
        <v>#N/A</v>
      </c>
      <c r="T81" s="278"/>
      <c r="U81" s="272" t="e">
        <f t="shared" ca="1" si="9"/>
        <v>#N/A</v>
      </c>
      <c r="V81" s="272" t="e">
        <f t="shared" ref="V81:V110" ca="1" si="17">V$4*$L81+U81</f>
        <v>#N/A</v>
      </c>
      <c r="W81" s="272" t="e">
        <f ca="1">INDEX(RESULTADOS!$A:$BZ,MATCH($A81,RESULTADOS!$A:$A,0),MATCH(W$1,RESULTADOS!$1:$1,0))</f>
        <v>#N/A</v>
      </c>
      <c r="Y81" s="272" t="e">
        <f ca="1">INDEX(RESULTADOS!$A:$BZ,MATCH($A81,RESULTADOS!$A:$A,0),MATCH(Y$1,RESULTADOS!$1:$1,0))</f>
        <v>#N/A</v>
      </c>
      <c r="AC81" s="272" t="e">
        <f ca="1">INDEX(RESULTADOS!$A:$BZ,MATCH($A81,RESULTADOS!$A:$A,0),MATCH(AC$1,RESULTADOS!$1:$1,0))</f>
        <v>#N/A</v>
      </c>
      <c r="AE81" s="272" t="e">
        <f ca="1">INDEX(RESULTADOS!$A:$BZ,MATCH($A81,RESULTADOS!$A:$A,0),MATCH(AE$1,RESULTADOS!$1:$1,0))</f>
        <v>#N/A</v>
      </c>
      <c r="AF81" s="272" t="e">
        <f ca="1">INDEX(RESULTADOS!$A:$BZ,MATCH($A81,RESULTADOS!$A:$A,0),MATCH(AF$1,RESULTADOS!$1:$1,0))</f>
        <v>#N/A</v>
      </c>
      <c r="AJ81" s="272" t="e">
        <f ca="1">INDEX(RESULTADOS!$A:$BZ,MATCH($A81,RESULTADOS!$A:$A,0),MATCH(AJ$1,RESULTADOS!$1:$1,0))</f>
        <v>#N/A</v>
      </c>
      <c r="AK81" s="272" t="e">
        <f ca="1">INDEX(RESULTADOS!$A:$BZ,MATCH($A81,RESULTADOS!$A:$A,0),MATCH(AK$1,RESULTADOS!$1:$1,0))</f>
        <v>#N/A</v>
      </c>
      <c r="AO81" s="272" t="e">
        <f ca="1">INDEX(RESULTADOS!$A:$BZ,MATCH($A81,RESULTADOS!$A:$A,0),MATCH(AO$1,RESULTADOS!$1:$1,0))</f>
        <v>#N/A</v>
      </c>
    </row>
    <row r="82" spans="1:41" s="272" customFormat="1" x14ac:dyDescent="0.2">
      <c r="A82" s="273">
        <f t="shared" ca="1" si="11"/>
        <v>43881</v>
      </c>
      <c r="B82" s="53"/>
      <c r="C82" s="53"/>
      <c r="D82" s="52"/>
      <c r="E82" s="279" t="e">
        <f ca="1">INDEX(RESULTADOS!$A:$BZ,MATCH($A82,RESULTADOS!$A:$A,0),MATCH(E$1,RESULTADOS!$1:$1,0))</f>
        <v>#N/A</v>
      </c>
      <c r="F82" s="279" t="e">
        <f ca="1">INDEX(RESULTADOS!$A:$BZ,MATCH($A82,RESULTADOS!$A:$A,0),MATCH(F$1,RESULTADOS!$1:$1,0))</f>
        <v>#N/A</v>
      </c>
      <c r="G82" s="279" t="e">
        <f ca="1">INDEX(RESULTADOS!$A:$BZ,MATCH($A82,RESULTADOS!$A:$A,0),MATCH(G$1,RESULTADOS!$1:$1,0))</f>
        <v>#N/A</v>
      </c>
      <c r="H82" s="279" t="e">
        <f ca="1">INDEX(RESULTADOS!$A:$BZ,MATCH($A82,RESULTADOS!$A:$A,0),MATCH(H$1,RESULTADOS!$1:$1,0))</f>
        <v>#N/A</v>
      </c>
      <c r="I82" s="279" t="e">
        <f ca="1">INDEX(RESULTADOS!$A:$BZ,MATCH($A82,RESULTADOS!$A:$A,0),MATCH(I$1,RESULTADOS!$1:$1,0))</f>
        <v>#N/A</v>
      </c>
      <c r="J82" s="279" t="e">
        <f ca="1">INDEX(RESULTADOS!$A:$BZ,MATCH($A82,RESULTADOS!$A:$A,0),MATCH(J$1,RESULTADOS!$1:$1,0))</f>
        <v>#N/A</v>
      </c>
      <c r="K82" s="279" t="e">
        <f ca="1">INDEX(RESULTADOS!$A:$BZ,MATCH($A82,RESULTADOS!$A:$A,0),MATCH(K$1,RESULTADOS!$1:$1,0))</f>
        <v>#N/A</v>
      </c>
      <c r="L82" s="279" t="e">
        <f ca="1">INDEX(RESULTADOS!$A:$BZ,MATCH($A82,RESULTADOS!$A:$A,0),MATCH(L$1,RESULTADOS!$1:$1,0))</f>
        <v>#N/A</v>
      </c>
      <c r="M82" s="272" t="e">
        <f t="shared" ca="1" si="2"/>
        <v>#N/A</v>
      </c>
      <c r="N82" s="272" t="e">
        <f t="shared" ca="1" si="12"/>
        <v>#N/A</v>
      </c>
      <c r="O82" s="278" t="e">
        <f t="shared" ca="1" si="13"/>
        <v>#N/A</v>
      </c>
      <c r="P82" s="278" t="e">
        <f t="shared" ca="1" si="14"/>
        <v>#N/A</v>
      </c>
      <c r="Q82" s="272" t="e">
        <f t="shared" ca="1" si="6"/>
        <v>#N/A</v>
      </c>
      <c r="R82" s="272" t="e">
        <f t="shared" ca="1" si="15"/>
        <v>#N/A</v>
      </c>
      <c r="S82" s="278" t="e">
        <f t="shared" ca="1" si="16"/>
        <v>#N/A</v>
      </c>
      <c r="T82" s="278"/>
      <c r="U82" s="272" t="e">
        <f t="shared" ca="1" si="9"/>
        <v>#N/A</v>
      </c>
      <c r="V82" s="272" t="e">
        <f t="shared" ca="1" si="17"/>
        <v>#N/A</v>
      </c>
      <c r="W82" s="272" t="e">
        <f ca="1">INDEX(RESULTADOS!$A:$BZ,MATCH($A82,RESULTADOS!$A:$A,0),MATCH(W$1,RESULTADOS!$1:$1,0))</f>
        <v>#N/A</v>
      </c>
      <c r="Y82" s="272" t="e">
        <f ca="1">INDEX(RESULTADOS!$A:$BZ,MATCH($A82,RESULTADOS!$A:$A,0),MATCH(Y$1,RESULTADOS!$1:$1,0))</f>
        <v>#N/A</v>
      </c>
      <c r="AC82" s="272" t="e">
        <f ca="1">INDEX(RESULTADOS!$A:$BZ,MATCH($A82,RESULTADOS!$A:$A,0),MATCH(AC$1,RESULTADOS!$1:$1,0))</f>
        <v>#N/A</v>
      </c>
      <c r="AE82" s="272" t="e">
        <f ca="1">INDEX(RESULTADOS!$A:$BZ,MATCH($A82,RESULTADOS!$A:$A,0),MATCH(AE$1,RESULTADOS!$1:$1,0))</f>
        <v>#N/A</v>
      </c>
      <c r="AF82" s="272" t="e">
        <f ca="1">INDEX(RESULTADOS!$A:$BZ,MATCH($A82,RESULTADOS!$A:$A,0),MATCH(AF$1,RESULTADOS!$1:$1,0))</f>
        <v>#N/A</v>
      </c>
      <c r="AJ82" s="272" t="e">
        <f ca="1">INDEX(RESULTADOS!$A:$BZ,MATCH($A82,RESULTADOS!$A:$A,0),MATCH(AJ$1,RESULTADOS!$1:$1,0))</f>
        <v>#N/A</v>
      </c>
      <c r="AK82" s="272" t="e">
        <f ca="1">INDEX(RESULTADOS!$A:$BZ,MATCH($A82,RESULTADOS!$A:$A,0),MATCH(AK$1,RESULTADOS!$1:$1,0))</f>
        <v>#N/A</v>
      </c>
      <c r="AO82" s="272" t="e">
        <f ca="1">INDEX(RESULTADOS!$A:$BZ,MATCH($A82,RESULTADOS!$A:$A,0),MATCH(AO$1,RESULTADOS!$1:$1,0))</f>
        <v>#N/A</v>
      </c>
    </row>
    <row r="83" spans="1:41" s="272" customFormat="1" x14ac:dyDescent="0.2">
      <c r="A83" s="273">
        <f t="shared" ca="1" si="11"/>
        <v>43882</v>
      </c>
      <c r="B83" s="53"/>
      <c r="C83" s="53"/>
      <c r="D83" s="52"/>
      <c r="E83" s="279" t="e">
        <f ca="1">INDEX(RESULTADOS!$A:$BZ,MATCH($A83,RESULTADOS!$A:$A,0),MATCH(E$1,RESULTADOS!$1:$1,0))</f>
        <v>#N/A</v>
      </c>
      <c r="F83" s="279" t="e">
        <f ca="1">INDEX(RESULTADOS!$A:$BZ,MATCH($A83,RESULTADOS!$A:$A,0),MATCH(F$1,RESULTADOS!$1:$1,0))</f>
        <v>#N/A</v>
      </c>
      <c r="G83" s="279" t="e">
        <f ca="1">INDEX(RESULTADOS!$A:$BZ,MATCH($A83,RESULTADOS!$A:$A,0),MATCH(G$1,RESULTADOS!$1:$1,0))</f>
        <v>#N/A</v>
      </c>
      <c r="H83" s="279" t="e">
        <f ca="1">INDEX(RESULTADOS!$A:$BZ,MATCH($A83,RESULTADOS!$A:$A,0),MATCH(H$1,RESULTADOS!$1:$1,0))</f>
        <v>#N/A</v>
      </c>
      <c r="I83" s="279" t="e">
        <f ca="1">INDEX(RESULTADOS!$A:$BZ,MATCH($A83,RESULTADOS!$A:$A,0),MATCH(I$1,RESULTADOS!$1:$1,0))</f>
        <v>#N/A</v>
      </c>
      <c r="J83" s="279" t="e">
        <f ca="1">INDEX(RESULTADOS!$A:$BZ,MATCH($A83,RESULTADOS!$A:$A,0),MATCH(J$1,RESULTADOS!$1:$1,0))</f>
        <v>#N/A</v>
      </c>
      <c r="K83" s="279" t="e">
        <f ca="1">INDEX(RESULTADOS!$A:$BZ,MATCH($A83,RESULTADOS!$A:$A,0),MATCH(K$1,RESULTADOS!$1:$1,0))</f>
        <v>#N/A</v>
      </c>
      <c r="L83" s="279" t="e">
        <f ca="1">INDEX(RESULTADOS!$A:$BZ,MATCH($A83,RESULTADOS!$A:$A,0),MATCH(L$1,RESULTADOS!$1:$1,0))</f>
        <v>#N/A</v>
      </c>
      <c r="M83" s="272" t="e">
        <f t="shared" ca="1" si="2"/>
        <v>#N/A</v>
      </c>
      <c r="N83" s="272" t="e">
        <f t="shared" ca="1" si="12"/>
        <v>#N/A</v>
      </c>
      <c r="O83" s="278" t="e">
        <f t="shared" ca="1" si="13"/>
        <v>#N/A</v>
      </c>
      <c r="P83" s="278" t="e">
        <f t="shared" ca="1" si="14"/>
        <v>#N/A</v>
      </c>
      <c r="Q83" s="272" t="e">
        <f t="shared" ca="1" si="6"/>
        <v>#N/A</v>
      </c>
      <c r="R83" s="272" t="e">
        <f t="shared" ca="1" si="15"/>
        <v>#N/A</v>
      </c>
      <c r="S83" s="278" t="e">
        <f t="shared" ca="1" si="16"/>
        <v>#N/A</v>
      </c>
      <c r="T83" s="278"/>
      <c r="U83" s="272" t="e">
        <f t="shared" ca="1" si="9"/>
        <v>#N/A</v>
      </c>
      <c r="V83" s="272" t="e">
        <f t="shared" ca="1" si="17"/>
        <v>#N/A</v>
      </c>
      <c r="W83" s="272" t="e">
        <f ca="1">INDEX(RESULTADOS!$A:$BZ,MATCH($A83,RESULTADOS!$A:$A,0),MATCH(W$1,RESULTADOS!$1:$1,0))</f>
        <v>#N/A</v>
      </c>
      <c r="Y83" s="272" t="e">
        <f ca="1">INDEX(RESULTADOS!$A:$BZ,MATCH($A83,RESULTADOS!$A:$A,0),MATCH(Y$1,RESULTADOS!$1:$1,0))</f>
        <v>#N/A</v>
      </c>
      <c r="AC83" s="272" t="e">
        <f ca="1">INDEX(RESULTADOS!$A:$BZ,MATCH($A83,RESULTADOS!$A:$A,0),MATCH(AC$1,RESULTADOS!$1:$1,0))</f>
        <v>#N/A</v>
      </c>
      <c r="AE83" s="272" t="e">
        <f ca="1">INDEX(RESULTADOS!$A:$BZ,MATCH($A83,RESULTADOS!$A:$A,0),MATCH(AE$1,RESULTADOS!$1:$1,0))</f>
        <v>#N/A</v>
      </c>
      <c r="AF83" s="272" t="e">
        <f ca="1">INDEX(RESULTADOS!$A:$BZ,MATCH($A83,RESULTADOS!$A:$A,0),MATCH(AF$1,RESULTADOS!$1:$1,0))</f>
        <v>#N/A</v>
      </c>
      <c r="AJ83" s="272" t="e">
        <f ca="1">INDEX(RESULTADOS!$A:$BZ,MATCH($A83,RESULTADOS!$A:$A,0),MATCH(AJ$1,RESULTADOS!$1:$1,0))</f>
        <v>#N/A</v>
      </c>
      <c r="AK83" s="272" t="e">
        <f ca="1">INDEX(RESULTADOS!$A:$BZ,MATCH($A83,RESULTADOS!$A:$A,0),MATCH(AK$1,RESULTADOS!$1:$1,0))</f>
        <v>#N/A</v>
      </c>
      <c r="AO83" s="272" t="e">
        <f ca="1">INDEX(RESULTADOS!$A:$BZ,MATCH($A83,RESULTADOS!$A:$A,0),MATCH(AO$1,RESULTADOS!$1:$1,0))</f>
        <v>#N/A</v>
      </c>
    </row>
    <row r="84" spans="1:41" s="272" customFormat="1" x14ac:dyDescent="0.2">
      <c r="A84" s="273">
        <f t="shared" ca="1" si="11"/>
        <v>43883</v>
      </c>
      <c r="B84" s="53"/>
      <c r="C84" s="53"/>
      <c r="D84" s="52"/>
      <c r="E84" s="279" t="e">
        <f ca="1">INDEX(RESULTADOS!$A:$BZ,MATCH($A84,RESULTADOS!$A:$A,0),MATCH(E$1,RESULTADOS!$1:$1,0))</f>
        <v>#N/A</v>
      </c>
      <c r="F84" s="279" t="e">
        <f ca="1">INDEX(RESULTADOS!$A:$BZ,MATCH($A84,RESULTADOS!$A:$A,0),MATCH(F$1,RESULTADOS!$1:$1,0))</f>
        <v>#N/A</v>
      </c>
      <c r="G84" s="279" t="e">
        <f ca="1">INDEX(RESULTADOS!$A:$BZ,MATCH($A84,RESULTADOS!$A:$A,0),MATCH(G$1,RESULTADOS!$1:$1,0))</f>
        <v>#N/A</v>
      </c>
      <c r="H84" s="279" t="e">
        <f ca="1">INDEX(RESULTADOS!$A:$BZ,MATCH($A84,RESULTADOS!$A:$A,0),MATCH(H$1,RESULTADOS!$1:$1,0))</f>
        <v>#N/A</v>
      </c>
      <c r="I84" s="279" t="e">
        <f ca="1">INDEX(RESULTADOS!$A:$BZ,MATCH($A84,RESULTADOS!$A:$A,0),MATCH(I$1,RESULTADOS!$1:$1,0))</f>
        <v>#N/A</v>
      </c>
      <c r="J84" s="279" t="e">
        <f ca="1">INDEX(RESULTADOS!$A:$BZ,MATCH($A84,RESULTADOS!$A:$A,0),MATCH(J$1,RESULTADOS!$1:$1,0))</f>
        <v>#N/A</v>
      </c>
      <c r="K84" s="279" t="e">
        <f ca="1">INDEX(RESULTADOS!$A:$BZ,MATCH($A84,RESULTADOS!$A:$A,0),MATCH(K$1,RESULTADOS!$1:$1,0))</f>
        <v>#N/A</v>
      </c>
      <c r="L84" s="279" t="e">
        <f ca="1">INDEX(RESULTADOS!$A:$BZ,MATCH($A84,RESULTADOS!$A:$A,0),MATCH(L$1,RESULTADOS!$1:$1,0))</f>
        <v>#N/A</v>
      </c>
      <c r="M84" s="272" t="e">
        <f t="shared" ca="1" si="2"/>
        <v>#N/A</v>
      </c>
      <c r="N84" s="272" t="e">
        <f t="shared" ca="1" si="12"/>
        <v>#N/A</v>
      </c>
      <c r="O84" s="278" t="e">
        <f t="shared" ca="1" si="13"/>
        <v>#N/A</v>
      </c>
      <c r="P84" s="278" t="e">
        <f t="shared" ca="1" si="14"/>
        <v>#N/A</v>
      </c>
      <c r="Q84" s="272" t="e">
        <f t="shared" ca="1" si="6"/>
        <v>#N/A</v>
      </c>
      <c r="R84" s="272" t="e">
        <f t="shared" ca="1" si="15"/>
        <v>#N/A</v>
      </c>
      <c r="S84" s="278" t="e">
        <f t="shared" ca="1" si="16"/>
        <v>#N/A</v>
      </c>
      <c r="T84" s="278"/>
      <c r="U84" s="272" t="e">
        <f t="shared" ca="1" si="9"/>
        <v>#N/A</v>
      </c>
      <c r="V84" s="272" t="e">
        <f t="shared" ca="1" si="17"/>
        <v>#N/A</v>
      </c>
      <c r="W84" s="272" t="e">
        <f ca="1">INDEX(RESULTADOS!$A:$BZ,MATCH($A84,RESULTADOS!$A:$A,0),MATCH(W$1,RESULTADOS!$1:$1,0))</f>
        <v>#N/A</v>
      </c>
      <c r="Y84" s="272" t="e">
        <f ca="1">INDEX(RESULTADOS!$A:$BZ,MATCH($A84,RESULTADOS!$A:$A,0),MATCH(Y$1,RESULTADOS!$1:$1,0))</f>
        <v>#N/A</v>
      </c>
      <c r="AC84" s="272" t="e">
        <f ca="1">INDEX(RESULTADOS!$A:$BZ,MATCH($A84,RESULTADOS!$A:$A,0),MATCH(AC$1,RESULTADOS!$1:$1,0))</f>
        <v>#N/A</v>
      </c>
      <c r="AE84" s="272" t="e">
        <f ca="1">INDEX(RESULTADOS!$A:$BZ,MATCH($A84,RESULTADOS!$A:$A,0),MATCH(AE$1,RESULTADOS!$1:$1,0))</f>
        <v>#N/A</v>
      </c>
      <c r="AF84" s="272" t="e">
        <f ca="1">INDEX(RESULTADOS!$A:$BZ,MATCH($A84,RESULTADOS!$A:$A,0),MATCH(AF$1,RESULTADOS!$1:$1,0))</f>
        <v>#N/A</v>
      </c>
      <c r="AJ84" s="272" t="e">
        <f ca="1">INDEX(RESULTADOS!$A:$BZ,MATCH($A84,RESULTADOS!$A:$A,0),MATCH(AJ$1,RESULTADOS!$1:$1,0))</f>
        <v>#N/A</v>
      </c>
      <c r="AK84" s="272" t="e">
        <f ca="1">INDEX(RESULTADOS!$A:$BZ,MATCH($A84,RESULTADOS!$A:$A,0),MATCH(AK$1,RESULTADOS!$1:$1,0))</f>
        <v>#N/A</v>
      </c>
      <c r="AO84" s="272" t="e">
        <f ca="1">INDEX(RESULTADOS!$A:$BZ,MATCH($A84,RESULTADOS!$A:$A,0),MATCH(AO$1,RESULTADOS!$1:$1,0))</f>
        <v>#N/A</v>
      </c>
    </row>
    <row r="85" spans="1:41" s="272" customFormat="1" x14ac:dyDescent="0.2">
      <c r="A85" s="273">
        <f t="shared" ca="1" si="11"/>
        <v>43884</v>
      </c>
      <c r="B85" s="53"/>
      <c r="C85" s="53"/>
      <c r="D85" s="52"/>
      <c r="E85" s="279" t="e">
        <f ca="1">INDEX(RESULTADOS!$A:$BZ,MATCH($A85,RESULTADOS!$A:$A,0),MATCH(E$1,RESULTADOS!$1:$1,0))</f>
        <v>#N/A</v>
      </c>
      <c r="F85" s="279" t="e">
        <f ca="1">INDEX(RESULTADOS!$A:$BZ,MATCH($A85,RESULTADOS!$A:$A,0),MATCH(F$1,RESULTADOS!$1:$1,0))</f>
        <v>#N/A</v>
      </c>
      <c r="G85" s="279" t="e">
        <f ca="1">INDEX(RESULTADOS!$A:$BZ,MATCH($A85,RESULTADOS!$A:$A,0),MATCH(G$1,RESULTADOS!$1:$1,0))</f>
        <v>#N/A</v>
      </c>
      <c r="H85" s="279" t="e">
        <f ca="1">INDEX(RESULTADOS!$A:$BZ,MATCH($A85,RESULTADOS!$A:$A,0),MATCH(H$1,RESULTADOS!$1:$1,0))</f>
        <v>#N/A</v>
      </c>
      <c r="I85" s="279" t="e">
        <f ca="1">INDEX(RESULTADOS!$A:$BZ,MATCH($A85,RESULTADOS!$A:$A,0),MATCH(I$1,RESULTADOS!$1:$1,0))</f>
        <v>#N/A</v>
      </c>
      <c r="J85" s="279" t="e">
        <f ca="1">INDEX(RESULTADOS!$A:$BZ,MATCH($A85,RESULTADOS!$A:$A,0),MATCH(J$1,RESULTADOS!$1:$1,0))</f>
        <v>#N/A</v>
      </c>
      <c r="K85" s="279" t="e">
        <f ca="1">INDEX(RESULTADOS!$A:$BZ,MATCH($A85,RESULTADOS!$A:$A,0),MATCH(K$1,RESULTADOS!$1:$1,0))</f>
        <v>#N/A</v>
      </c>
      <c r="L85" s="279" t="e">
        <f ca="1">INDEX(RESULTADOS!$A:$BZ,MATCH($A85,RESULTADOS!$A:$A,0),MATCH(L$1,RESULTADOS!$1:$1,0))</f>
        <v>#N/A</v>
      </c>
      <c r="M85" s="272" t="e">
        <f t="shared" ca="1" si="2"/>
        <v>#N/A</v>
      </c>
      <c r="N85" s="272" t="e">
        <f t="shared" ca="1" si="12"/>
        <v>#N/A</v>
      </c>
      <c r="O85" s="278" t="e">
        <f t="shared" ca="1" si="13"/>
        <v>#N/A</v>
      </c>
      <c r="P85" s="278" t="e">
        <f t="shared" ca="1" si="14"/>
        <v>#N/A</v>
      </c>
      <c r="Q85" s="272" t="e">
        <f t="shared" ca="1" si="6"/>
        <v>#N/A</v>
      </c>
      <c r="R85" s="272" t="e">
        <f t="shared" ca="1" si="15"/>
        <v>#N/A</v>
      </c>
      <c r="S85" s="278" t="e">
        <f t="shared" ca="1" si="16"/>
        <v>#N/A</v>
      </c>
      <c r="T85" s="278"/>
      <c r="U85" s="272" t="e">
        <f t="shared" ca="1" si="9"/>
        <v>#N/A</v>
      </c>
      <c r="V85" s="272" t="e">
        <f t="shared" ca="1" si="17"/>
        <v>#N/A</v>
      </c>
      <c r="W85" s="272" t="e">
        <f ca="1">INDEX(RESULTADOS!$A:$BZ,MATCH($A85,RESULTADOS!$A:$A,0),MATCH(W$1,RESULTADOS!$1:$1,0))</f>
        <v>#N/A</v>
      </c>
      <c r="Y85" s="272" t="e">
        <f ca="1">INDEX(RESULTADOS!$A:$BZ,MATCH($A85,RESULTADOS!$A:$A,0),MATCH(Y$1,RESULTADOS!$1:$1,0))</f>
        <v>#N/A</v>
      </c>
      <c r="AC85" s="272" t="e">
        <f ca="1">INDEX(RESULTADOS!$A:$BZ,MATCH($A85,RESULTADOS!$A:$A,0),MATCH(AC$1,RESULTADOS!$1:$1,0))</f>
        <v>#N/A</v>
      </c>
      <c r="AE85" s="272" t="e">
        <f ca="1">INDEX(RESULTADOS!$A:$BZ,MATCH($A85,RESULTADOS!$A:$A,0),MATCH(AE$1,RESULTADOS!$1:$1,0))</f>
        <v>#N/A</v>
      </c>
      <c r="AF85" s="272" t="e">
        <f ca="1">INDEX(RESULTADOS!$A:$BZ,MATCH($A85,RESULTADOS!$A:$A,0),MATCH(AF$1,RESULTADOS!$1:$1,0))</f>
        <v>#N/A</v>
      </c>
      <c r="AJ85" s="272" t="e">
        <f ca="1">INDEX(RESULTADOS!$A:$BZ,MATCH($A85,RESULTADOS!$A:$A,0),MATCH(AJ$1,RESULTADOS!$1:$1,0))</f>
        <v>#N/A</v>
      </c>
      <c r="AK85" s="272" t="e">
        <f ca="1">INDEX(RESULTADOS!$A:$BZ,MATCH($A85,RESULTADOS!$A:$A,0),MATCH(AK$1,RESULTADOS!$1:$1,0))</f>
        <v>#N/A</v>
      </c>
      <c r="AO85" s="272" t="e">
        <f ca="1">INDEX(RESULTADOS!$A:$BZ,MATCH($A85,RESULTADOS!$A:$A,0),MATCH(AO$1,RESULTADOS!$1:$1,0))</f>
        <v>#N/A</v>
      </c>
    </row>
    <row r="86" spans="1:41" s="272" customFormat="1" x14ac:dyDescent="0.2">
      <c r="A86" s="273">
        <f t="shared" ca="1" si="11"/>
        <v>43885</v>
      </c>
      <c r="B86" s="53"/>
      <c r="C86" s="53"/>
      <c r="D86" s="52"/>
      <c r="E86" s="279" t="e">
        <f ca="1">INDEX(RESULTADOS!$A:$BZ,MATCH($A86,RESULTADOS!$A:$A,0),MATCH(E$1,RESULTADOS!$1:$1,0))</f>
        <v>#N/A</v>
      </c>
      <c r="F86" s="279" t="e">
        <f ca="1">INDEX(RESULTADOS!$A:$BZ,MATCH($A86,RESULTADOS!$A:$A,0),MATCH(F$1,RESULTADOS!$1:$1,0))</f>
        <v>#N/A</v>
      </c>
      <c r="G86" s="279" t="e">
        <f ca="1">INDEX(RESULTADOS!$A:$BZ,MATCH($A86,RESULTADOS!$A:$A,0),MATCH(G$1,RESULTADOS!$1:$1,0))</f>
        <v>#N/A</v>
      </c>
      <c r="H86" s="279" t="e">
        <f ca="1">INDEX(RESULTADOS!$A:$BZ,MATCH($A86,RESULTADOS!$A:$A,0),MATCH(H$1,RESULTADOS!$1:$1,0))</f>
        <v>#N/A</v>
      </c>
      <c r="I86" s="279" t="e">
        <f ca="1">INDEX(RESULTADOS!$A:$BZ,MATCH($A86,RESULTADOS!$A:$A,0),MATCH(I$1,RESULTADOS!$1:$1,0))</f>
        <v>#N/A</v>
      </c>
      <c r="J86" s="279" t="e">
        <f ca="1">INDEX(RESULTADOS!$A:$BZ,MATCH($A86,RESULTADOS!$A:$A,0),MATCH(J$1,RESULTADOS!$1:$1,0))</f>
        <v>#N/A</v>
      </c>
      <c r="K86" s="279" t="e">
        <f ca="1">INDEX(RESULTADOS!$A:$BZ,MATCH($A86,RESULTADOS!$A:$A,0),MATCH(K$1,RESULTADOS!$1:$1,0))</f>
        <v>#N/A</v>
      </c>
      <c r="L86" s="279" t="e">
        <f ca="1">INDEX(RESULTADOS!$A:$BZ,MATCH($A86,RESULTADOS!$A:$A,0),MATCH(L$1,RESULTADOS!$1:$1,0))</f>
        <v>#N/A</v>
      </c>
      <c r="M86" s="272" t="e">
        <f t="shared" ca="1" si="2"/>
        <v>#N/A</v>
      </c>
      <c r="N86" s="272" t="e">
        <f t="shared" ca="1" si="12"/>
        <v>#N/A</v>
      </c>
      <c r="O86" s="278" t="e">
        <f t="shared" ca="1" si="13"/>
        <v>#N/A</v>
      </c>
      <c r="P86" s="278" t="e">
        <f t="shared" ca="1" si="14"/>
        <v>#N/A</v>
      </c>
      <c r="Q86" s="272" t="e">
        <f t="shared" ca="1" si="6"/>
        <v>#N/A</v>
      </c>
      <c r="R86" s="272" t="e">
        <f t="shared" ca="1" si="15"/>
        <v>#N/A</v>
      </c>
      <c r="S86" s="278" t="e">
        <f t="shared" ca="1" si="16"/>
        <v>#N/A</v>
      </c>
      <c r="T86" s="278"/>
      <c r="U86" s="272" t="e">
        <f t="shared" ca="1" si="9"/>
        <v>#N/A</v>
      </c>
      <c r="V86" s="272" t="e">
        <f t="shared" ca="1" si="17"/>
        <v>#N/A</v>
      </c>
      <c r="W86" s="272" t="e">
        <f ca="1">INDEX(RESULTADOS!$A:$BZ,MATCH($A86,RESULTADOS!$A:$A,0),MATCH(W$1,RESULTADOS!$1:$1,0))</f>
        <v>#N/A</v>
      </c>
      <c r="Y86" s="272" t="e">
        <f ca="1">INDEX(RESULTADOS!$A:$BZ,MATCH($A86,RESULTADOS!$A:$A,0),MATCH(Y$1,RESULTADOS!$1:$1,0))</f>
        <v>#N/A</v>
      </c>
      <c r="AC86" s="272" t="e">
        <f ca="1">INDEX(RESULTADOS!$A:$BZ,MATCH($A86,RESULTADOS!$A:$A,0),MATCH(AC$1,RESULTADOS!$1:$1,0))</f>
        <v>#N/A</v>
      </c>
      <c r="AE86" s="272" t="e">
        <f ca="1">INDEX(RESULTADOS!$A:$BZ,MATCH($A86,RESULTADOS!$A:$A,0),MATCH(AE$1,RESULTADOS!$1:$1,0))</f>
        <v>#N/A</v>
      </c>
      <c r="AF86" s="272" t="e">
        <f ca="1">INDEX(RESULTADOS!$A:$BZ,MATCH($A86,RESULTADOS!$A:$A,0),MATCH(AF$1,RESULTADOS!$1:$1,0))</f>
        <v>#N/A</v>
      </c>
      <c r="AJ86" s="272" t="e">
        <f ca="1">INDEX(RESULTADOS!$A:$BZ,MATCH($A86,RESULTADOS!$A:$A,0),MATCH(AJ$1,RESULTADOS!$1:$1,0))</f>
        <v>#N/A</v>
      </c>
      <c r="AK86" s="272" t="e">
        <f ca="1">INDEX(RESULTADOS!$A:$BZ,MATCH($A86,RESULTADOS!$A:$A,0),MATCH(AK$1,RESULTADOS!$1:$1,0))</f>
        <v>#N/A</v>
      </c>
      <c r="AO86" s="272" t="e">
        <f ca="1">INDEX(RESULTADOS!$A:$BZ,MATCH($A86,RESULTADOS!$A:$A,0),MATCH(AO$1,RESULTADOS!$1:$1,0))</f>
        <v>#N/A</v>
      </c>
    </row>
    <row r="87" spans="1:41" s="272" customFormat="1" x14ac:dyDescent="0.2">
      <c r="A87" s="273">
        <f t="shared" ca="1" si="11"/>
        <v>43886</v>
      </c>
      <c r="B87" s="53"/>
      <c r="C87" s="53"/>
      <c r="D87" s="52"/>
      <c r="E87" s="279" t="e">
        <f ca="1">INDEX(RESULTADOS!$A:$BZ,MATCH($A87,RESULTADOS!$A:$A,0),MATCH(E$1,RESULTADOS!$1:$1,0))</f>
        <v>#N/A</v>
      </c>
      <c r="F87" s="279" t="e">
        <f ca="1">INDEX(RESULTADOS!$A:$BZ,MATCH($A87,RESULTADOS!$A:$A,0),MATCH(F$1,RESULTADOS!$1:$1,0))</f>
        <v>#N/A</v>
      </c>
      <c r="G87" s="279" t="e">
        <f ca="1">INDEX(RESULTADOS!$A:$BZ,MATCH($A87,RESULTADOS!$A:$A,0),MATCH(G$1,RESULTADOS!$1:$1,0))</f>
        <v>#N/A</v>
      </c>
      <c r="H87" s="279" t="e">
        <f ca="1">INDEX(RESULTADOS!$A:$BZ,MATCH($A87,RESULTADOS!$A:$A,0),MATCH(H$1,RESULTADOS!$1:$1,0))</f>
        <v>#N/A</v>
      </c>
      <c r="I87" s="279" t="e">
        <f ca="1">INDEX(RESULTADOS!$A:$BZ,MATCH($A87,RESULTADOS!$A:$A,0),MATCH(I$1,RESULTADOS!$1:$1,0))</f>
        <v>#N/A</v>
      </c>
      <c r="J87" s="279" t="e">
        <f ca="1">INDEX(RESULTADOS!$A:$BZ,MATCH($A87,RESULTADOS!$A:$A,0),MATCH(J$1,RESULTADOS!$1:$1,0))</f>
        <v>#N/A</v>
      </c>
      <c r="K87" s="279" t="e">
        <f ca="1">INDEX(RESULTADOS!$A:$BZ,MATCH($A87,RESULTADOS!$A:$A,0),MATCH(K$1,RESULTADOS!$1:$1,0))</f>
        <v>#N/A</v>
      </c>
      <c r="L87" s="279" t="e">
        <f ca="1">INDEX(RESULTADOS!$A:$BZ,MATCH($A87,RESULTADOS!$A:$A,0),MATCH(L$1,RESULTADOS!$1:$1,0))</f>
        <v>#N/A</v>
      </c>
      <c r="M87" s="272" t="e">
        <f t="shared" ca="1" si="2"/>
        <v>#N/A</v>
      </c>
      <c r="N87" s="272" t="e">
        <f t="shared" ca="1" si="12"/>
        <v>#N/A</v>
      </c>
      <c r="O87" s="278" t="e">
        <f t="shared" ca="1" si="13"/>
        <v>#N/A</v>
      </c>
      <c r="P87" s="278" t="e">
        <f t="shared" ca="1" si="14"/>
        <v>#N/A</v>
      </c>
      <c r="Q87" s="272" t="e">
        <f t="shared" ca="1" si="6"/>
        <v>#N/A</v>
      </c>
      <c r="R87" s="272" t="e">
        <f t="shared" ca="1" si="15"/>
        <v>#N/A</v>
      </c>
      <c r="S87" s="278" t="e">
        <f t="shared" ca="1" si="16"/>
        <v>#N/A</v>
      </c>
      <c r="T87" s="278"/>
      <c r="U87" s="272" t="e">
        <f t="shared" ca="1" si="9"/>
        <v>#N/A</v>
      </c>
      <c r="V87" s="272" t="e">
        <f t="shared" ca="1" si="17"/>
        <v>#N/A</v>
      </c>
      <c r="W87" s="272" t="e">
        <f ca="1">INDEX(RESULTADOS!$A:$BZ,MATCH($A87,RESULTADOS!$A:$A,0),MATCH(W$1,RESULTADOS!$1:$1,0))</f>
        <v>#N/A</v>
      </c>
      <c r="Y87" s="272" t="e">
        <f ca="1">INDEX(RESULTADOS!$A:$BZ,MATCH($A87,RESULTADOS!$A:$A,0),MATCH(Y$1,RESULTADOS!$1:$1,0))</f>
        <v>#N/A</v>
      </c>
      <c r="AC87" s="272" t="e">
        <f ca="1">INDEX(RESULTADOS!$A:$BZ,MATCH($A87,RESULTADOS!$A:$A,0),MATCH(AC$1,RESULTADOS!$1:$1,0))</f>
        <v>#N/A</v>
      </c>
      <c r="AE87" s="272" t="e">
        <f ca="1">INDEX(RESULTADOS!$A:$BZ,MATCH($A87,RESULTADOS!$A:$A,0),MATCH(AE$1,RESULTADOS!$1:$1,0))</f>
        <v>#N/A</v>
      </c>
      <c r="AF87" s="272" t="e">
        <f ca="1">INDEX(RESULTADOS!$A:$BZ,MATCH($A87,RESULTADOS!$A:$A,0),MATCH(AF$1,RESULTADOS!$1:$1,0))</f>
        <v>#N/A</v>
      </c>
      <c r="AJ87" s="272" t="e">
        <f ca="1">INDEX(RESULTADOS!$A:$BZ,MATCH($A87,RESULTADOS!$A:$A,0),MATCH(AJ$1,RESULTADOS!$1:$1,0))</f>
        <v>#N/A</v>
      </c>
      <c r="AK87" s="272" t="e">
        <f ca="1">INDEX(RESULTADOS!$A:$BZ,MATCH($A87,RESULTADOS!$A:$A,0),MATCH(AK$1,RESULTADOS!$1:$1,0))</f>
        <v>#N/A</v>
      </c>
      <c r="AO87" s="272" t="e">
        <f ca="1">INDEX(RESULTADOS!$A:$BZ,MATCH($A87,RESULTADOS!$A:$A,0),MATCH(AO$1,RESULTADOS!$1:$1,0))</f>
        <v>#N/A</v>
      </c>
    </row>
    <row r="88" spans="1:41" s="272" customFormat="1" x14ac:dyDescent="0.2">
      <c r="A88" s="273">
        <f t="shared" ca="1" si="11"/>
        <v>43887</v>
      </c>
      <c r="B88" s="53"/>
      <c r="C88" s="53"/>
      <c r="D88" s="52"/>
      <c r="E88" s="279" t="e">
        <f ca="1">INDEX(RESULTADOS!$A:$BZ,MATCH($A88,RESULTADOS!$A:$A,0),MATCH(E$1,RESULTADOS!$1:$1,0))</f>
        <v>#N/A</v>
      </c>
      <c r="F88" s="279" t="e">
        <f ca="1">INDEX(RESULTADOS!$A:$BZ,MATCH($A88,RESULTADOS!$A:$A,0),MATCH(F$1,RESULTADOS!$1:$1,0))</f>
        <v>#N/A</v>
      </c>
      <c r="G88" s="279" t="e">
        <f ca="1">INDEX(RESULTADOS!$A:$BZ,MATCH($A88,RESULTADOS!$A:$A,0),MATCH(G$1,RESULTADOS!$1:$1,0))</f>
        <v>#N/A</v>
      </c>
      <c r="H88" s="279" t="e">
        <f ca="1">INDEX(RESULTADOS!$A:$BZ,MATCH($A88,RESULTADOS!$A:$A,0),MATCH(H$1,RESULTADOS!$1:$1,0))</f>
        <v>#N/A</v>
      </c>
      <c r="I88" s="279" t="e">
        <f ca="1">INDEX(RESULTADOS!$A:$BZ,MATCH($A88,RESULTADOS!$A:$A,0),MATCH(I$1,RESULTADOS!$1:$1,0))</f>
        <v>#N/A</v>
      </c>
      <c r="J88" s="279" t="e">
        <f ca="1">INDEX(RESULTADOS!$A:$BZ,MATCH($A88,RESULTADOS!$A:$A,0),MATCH(J$1,RESULTADOS!$1:$1,0))</f>
        <v>#N/A</v>
      </c>
      <c r="K88" s="279" t="e">
        <f ca="1">INDEX(RESULTADOS!$A:$BZ,MATCH($A88,RESULTADOS!$A:$A,0),MATCH(K$1,RESULTADOS!$1:$1,0))</f>
        <v>#N/A</v>
      </c>
      <c r="L88" s="279" t="e">
        <f ca="1">INDEX(RESULTADOS!$A:$BZ,MATCH($A88,RESULTADOS!$A:$A,0),MATCH(L$1,RESULTADOS!$1:$1,0))</f>
        <v>#N/A</v>
      </c>
      <c r="M88" s="272" t="e">
        <f t="shared" ca="1" si="2"/>
        <v>#N/A</v>
      </c>
      <c r="N88" s="272" t="e">
        <f t="shared" ca="1" si="12"/>
        <v>#N/A</v>
      </c>
      <c r="O88" s="278" t="e">
        <f t="shared" ca="1" si="13"/>
        <v>#N/A</v>
      </c>
      <c r="P88" s="278" t="e">
        <f t="shared" ca="1" si="14"/>
        <v>#N/A</v>
      </c>
      <c r="Q88" s="272" t="e">
        <f t="shared" ca="1" si="6"/>
        <v>#N/A</v>
      </c>
      <c r="R88" s="272" t="e">
        <f t="shared" ca="1" si="15"/>
        <v>#N/A</v>
      </c>
      <c r="S88" s="278" t="e">
        <f t="shared" ca="1" si="16"/>
        <v>#N/A</v>
      </c>
      <c r="T88" s="278"/>
      <c r="U88" s="272" t="e">
        <f t="shared" ca="1" si="9"/>
        <v>#N/A</v>
      </c>
      <c r="V88" s="272" t="e">
        <f t="shared" ca="1" si="17"/>
        <v>#N/A</v>
      </c>
      <c r="W88" s="272" t="e">
        <f ca="1">INDEX(RESULTADOS!$A:$BZ,MATCH($A88,RESULTADOS!$A:$A,0),MATCH(W$1,RESULTADOS!$1:$1,0))</f>
        <v>#N/A</v>
      </c>
      <c r="Y88" s="272" t="e">
        <f ca="1">INDEX(RESULTADOS!$A:$BZ,MATCH($A88,RESULTADOS!$A:$A,0),MATCH(Y$1,RESULTADOS!$1:$1,0))</f>
        <v>#N/A</v>
      </c>
      <c r="AC88" s="272" t="e">
        <f ca="1">INDEX(RESULTADOS!$A:$BZ,MATCH($A88,RESULTADOS!$A:$A,0),MATCH(AC$1,RESULTADOS!$1:$1,0))</f>
        <v>#N/A</v>
      </c>
      <c r="AE88" s="272" t="e">
        <f ca="1">INDEX(RESULTADOS!$A:$BZ,MATCH($A88,RESULTADOS!$A:$A,0),MATCH(AE$1,RESULTADOS!$1:$1,0))</f>
        <v>#N/A</v>
      </c>
      <c r="AF88" s="272" t="e">
        <f ca="1">INDEX(RESULTADOS!$A:$BZ,MATCH($A88,RESULTADOS!$A:$A,0),MATCH(AF$1,RESULTADOS!$1:$1,0))</f>
        <v>#N/A</v>
      </c>
      <c r="AJ88" s="272" t="e">
        <f ca="1">INDEX(RESULTADOS!$A:$BZ,MATCH($A88,RESULTADOS!$A:$A,0),MATCH(AJ$1,RESULTADOS!$1:$1,0))</f>
        <v>#N/A</v>
      </c>
      <c r="AK88" s="272" t="e">
        <f ca="1">INDEX(RESULTADOS!$A:$BZ,MATCH($A88,RESULTADOS!$A:$A,0),MATCH(AK$1,RESULTADOS!$1:$1,0))</f>
        <v>#N/A</v>
      </c>
      <c r="AO88" s="272" t="e">
        <f ca="1">INDEX(RESULTADOS!$A:$BZ,MATCH($A88,RESULTADOS!$A:$A,0),MATCH(AO$1,RESULTADOS!$1:$1,0))</f>
        <v>#N/A</v>
      </c>
    </row>
    <row r="89" spans="1:41" s="272" customFormat="1" x14ac:dyDescent="0.2">
      <c r="A89" s="273">
        <f t="shared" ca="1" si="11"/>
        <v>43888</v>
      </c>
      <c r="B89" s="53"/>
      <c r="C89" s="53"/>
      <c r="D89" s="52"/>
      <c r="E89" s="279" t="e">
        <f ca="1">INDEX(RESULTADOS!$A:$BZ,MATCH($A89,RESULTADOS!$A:$A,0),MATCH(E$1,RESULTADOS!$1:$1,0))</f>
        <v>#N/A</v>
      </c>
      <c r="F89" s="279" t="e">
        <f ca="1">INDEX(RESULTADOS!$A:$BZ,MATCH($A89,RESULTADOS!$A:$A,0),MATCH(F$1,RESULTADOS!$1:$1,0))</f>
        <v>#N/A</v>
      </c>
      <c r="G89" s="279" t="e">
        <f ca="1">INDEX(RESULTADOS!$A:$BZ,MATCH($A89,RESULTADOS!$A:$A,0),MATCH(G$1,RESULTADOS!$1:$1,0))</f>
        <v>#N/A</v>
      </c>
      <c r="H89" s="279" t="e">
        <f ca="1">INDEX(RESULTADOS!$A:$BZ,MATCH($A89,RESULTADOS!$A:$A,0),MATCH(H$1,RESULTADOS!$1:$1,0))</f>
        <v>#N/A</v>
      </c>
      <c r="I89" s="279" t="e">
        <f ca="1">INDEX(RESULTADOS!$A:$BZ,MATCH($A89,RESULTADOS!$A:$A,0),MATCH(I$1,RESULTADOS!$1:$1,0))</f>
        <v>#N/A</v>
      </c>
      <c r="J89" s="279" t="e">
        <f ca="1">INDEX(RESULTADOS!$A:$BZ,MATCH($A89,RESULTADOS!$A:$A,0),MATCH(J$1,RESULTADOS!$1:$1,0))</f>
        <v>#N/A</v>
      </c>
      <c r="K89" s="279" t="e">
        <f ca="1">INDEX(RESULTADOS!$A:$BZ,MATCH($A89,RESULTADOS!$A:$A,0),MATCH(K$1,RESULTADOS!$1:$1,0))</f>
        <v>#N/A</v>
      </c>
      <c r="L89" s="279" t="e">
        <f ca="1">INDEX(RESULTADOS!$A:$BZ,MATCH($A89,RESULTADOS!$A:$A,0),MATCH(L$1,RESULTADOS!$1:$1,0))</f>
        <v>#N/A</v>
      </c>
      <c r="M89" s="272" t="e">
        <f t="shared" ca="1" si="2"/>
        <v>#N/A</v>
      </c>
      <c r="N89" s="272" t="e">
        <f t="shared" ca="1" si="12"/>
        <v>#N/A</v>
      </c>
      <c r="O89" s="278" t="e">
        <f t="shared" ca="1" si="13"/>
        <v>#N/A</v>
      </c>
      <c r="P89" s="278" t="e">
        <f t="shared" ca="1" si="14"/>
        <v>#N/A</v>
      </c>
      <c r="Q89" s="272" t="e">
        <f t="shared" ca="1" si="6"/>
        <v>#N/A</v>
      </c>
      <c r="R89" s="272" t="e">
        <f t="shared" ca="1" si="15"/>
        <v>#N/A</v>
      </c>
      <c r="S89" s="278" t="e">
        <f t="shared" ca="1" si="16"/>
        <v>#N/A</v>
      </c>
      <c r="T89" s="278"/>
      <c r="U89" s="272" t="e">
        <f t="shared" ca="1" si="9"/>
        <v>#N/A</v>
      </c>
      <c r="V89" s="272" t="e">
        <f t="shared" ca="1" si="17"/>
        <v>#N/A</v>
      </c>
      <c r="W89" s="272" t="e">
        <f ca="1">INDEX(RESULTADOS!$A:$BZ,MATCH($A89,RESULTADOS!$A:$A,0),MATCH(W$1,RESULTADOS!$1:$1,0))</f>
        <v>#N/A</v>
      </c>
      <c r="Y89" s="272" t="e">
        <f ca="1">INDEX(RESULTADOS!$A:$BZ,MATCH($A89,RESULTADOS!$A:$A,0),MATCH(Y$1,RESULTADOS!$1:$1,0))</f>
        <v>#N/A</v>
      </c>
      <c r="AC89" s="272" t="e">
        <f ca="1">INDEX(RESULTADOS!$A:$BZ,MATCH($A89,RESULTADOS!$A:$A,0),MATCH(AC$1,RESULTADOS!$1:$1,0))</f>
        <v>#N/A</v>
      </c>
      <c r="AE89" s="272" t="e">
        <f ca="1">INDEX(RESULTADOS!$A:$BZ,MATCH($A89,RESULTADOS!$A:$A,0),MATCH(AE$1,RESULTADOS!$1:$1,0))</f>
        <v>#N/A</v>
      </c>
      <c r="AF89" s="272" t="e">
        <f ca="1">INDEX(RESULTADOS!$A:$BZ,MATCH($A89,RESULTADOS!$A:$A,0),MATCH(AF$1,RESULTADOS!$1:$1,0))</f>
        <v>#N/A</v>
      </c>
      <c r="AJ89" s="272" t="e">
        <f ca="1">INDEX(RESULTADOS!$A:$BZ,MATCH($A89,RESULTADOS!$A:$A,0),MATCH(AJ$1,RESULTADOS!$1:$1,0))</f>
        <v>#N/A</v>
      </c>
      <c r="AK89" s="272" t="e">
        <f ca="1">INDEX(RESULTADOS!$A:$BZ,MATCH($A89,RESULTADOS!$A:$A,0),MATCH(AK$1,RESULTADOS!$1:$1,0))</f>
        <v>#N/A</v>
      </c>
      <c r="AO89" s="272" t="e">
        <f ca="1">INDEX(RESULTADOS!$A:$BZ,MATCH($A89,RESULTADOS!$A:$A,0),MATCH(AO$1,RESULTADOS!$1:$1,0))</f>
        <v>#N/A</v>
      </c>
    </row>
    <row r="90" spans="1:41" s="272" customFormat="1" x14ac:dyDescent="0.2">
      <c r="A90" s="273">
        <f t="shared" ca="1" si="11"/>
        <v>43889</v>
      </c>
      <c r="B90" s="53"/>
      <c r="C90" s="53"/>
      <c r="D90" s="52"/>
      <c r="E90" s="279" t="e">
        <f ca="1">INDEX(RESULTADOS!$A:$BZ,MATCH($A90,RESULTADOS!$A:$A,0),MATCH(E$1,RESULTADOS!$1:$1,0))</f>
        <v>#N/A</v>
      </c>
      <c r="F90" s="279" t="e">
        <f ca="1">INDEX(RESULTADOS!$A:$BZ,MATCH($A90,RESULTADOS!$A:$A,0),MATCH(F$1,RESULTADOS!$1:$1,0))</f>
        <v>#N/A</v>
      </c>
      <c r="G90" s="279" t="e">
        <f ca="1">INDEX(RESULTADOS!$A:$BZ,MATCH($A90,RESULTADOS!$A:$A,0),MATCH(G$1,RESULTADOS!$1:$1,0))</f>
        <v>#N/A</v>
      </c>
      <c r="H90" s="279" t="e">
        <f ca="1">INDEX(RESULTADOS!$A:$BZ,MATCH($A90,RESULTADOS!$A:$A,0),MATCH(H$1,RESULTADOS!$1:$1,0))</f>
        <v>#N/A</v>
      </c>
      <c r="I90" s="279" t="e">
        <f ca="1">INDEX(RESULTADOS!$A:$BZ,MATCH($A90,RESULTADOS!$A:$A,0),MATCH(I$1,RESULTADOS!$1:$1,0))</f>
        <v>#N/A</v>
      </c>
      <c r="J90" s="279" t="e">
        <f ca="1">INDEX(RESULTADOS!$A:$BZ,MATCH($A90,RESULTADOS!$A:$A,0),MATCH(J$1,RESULTADOS!$1:$1,0))</f>
        <v>#N/A</v>
      </c>
      <c r="K90" s="279" t="e">
        <f ca="1">INDEX(RESULTADOS!$A:$BZ,MATCH($A90,RESULTADOS!$A:$A,0),MATCH(K$1,RESULTADOS!$1:$1,0))</f>
        <v>#N/A</v>
      </c>
      <c r="L90" s="279" t="e">
        <f ca="1">INDEX(RESULTADOS!$A:$BZ,MATCH($A90,RESULTADOS!$A:$A,0),MATCH(L$1,RESULTADOS!$1:$1,0))</f>
        <v>#N/A</v>
      </c>
      <c r="M90" s="272" t="e">
        <f t="shared" ca="1" si="2"/>
        <v>#N/A</v>
      </c>
      <c r="N90" s="272" t="e">
        <f t="shared" ca="1" si="12"/>
        <v>#N/A</v>
      </c>
      <c r="O90" s="278" t="e">
        <f t="shared" ca="1" si="13"/>
        <v>#N/A</v>
      </c>
      <c r="P90" s="278" t="e">
        <f t="shared" ca="1" si="14"/>
        <v>#N/A</v>
      </c>
      <c r="Q90" s="272" t="e">
        <f t="shared" ca="1" si="6"/>
        <v>#N/A</v>
      </c>
      <c r="R90" s="272" t="e">
        <f t="shared" ca="1" si="15"/>
        <v>#N/A</v>
      </c>
      <c r="S90" s="278" t="e">
        <f t="shared" ca="1" si="16"/>
        <v>#N/A</v>
      </c>
      <c r="T90" s="278"/>
      <c r="U90" s="272" t="e">
        <f t="shared" ca="1" si="9"/>
        <v>#N/A</v>
      </c>
      <c r="V90" s="272" t="e">
        <f t="shared" ca="1" si="17"/>
        <v>#N/A</v>
      </c>
      <c r="W90" s="272" t="e">
        <f ca="1">INDEX(RESULTADOS!$A:$BZ,MATCH($A90,RESULTADOS!$A:$A,0),MATCH(W$1,RESULTADOS!$1:$1,0))</f>
        <v>#N/A</v>
      </c>
      <c r="Y90" s="272" t="e">
        <f ca="1">INDEX(RESULTADOS!$A:$BZ,MATCH($A90,RESULTADOS!$A:$A,0),MATCH(Y$1,RESULTADOS!$1:$1,0))</f>
        <v>#N/A</v>
      </c>
      <c r="AC90" s="272" t="e">
        <f ca="1">INDEX(RESULTADOS!$A:$BZ,MATCH($A90,RESULTADOS!$A:$A,0),MATCH(AC$1,RESULTADOS!$1:$1,0))</f>
        <v>#N/A</v>
      </c>
      <c r="AE90" s="272" t="e">
        <f ca="1">INDEX(RESULTADOS!$A:$BZ,MATCH($A90,RESULTADOS!$A:$A,0),MATCH(AE$1,RESULTADOS!$1:$1,0))</f>
        <v>#N/A</v>
      </c>
      <c r="AF90" s="272" t="e">
        <f ca="1">INDEX(RESULTADOS!$A:$BZ,MATCH($A90,RESULTADOS!$A:$A,0),MATCH(AF$1,RESULTADOS!$1:$1,0))</f>
        <v>#N/A</v>
      </c>
      <c r="AJ90" s="272" t="e">
        <f ca="1">INDEX(RESULTADOS!$A:$BZ,MATCH($A90,RESULTADOS!$A:$A,0),MATCH(AJ$1,RESULTADOS!$1:$1,0))</f>
        <v>#N/A</v>
      </c>
      <c r="AK90" s="272" t="e">
        <f ca="1">INDEX(RESULTADOS!$A:$BZ,MATCH($A90,RESULTADOS!$A:$A,0),MATCH(AK$1,RESULTADOS!$1:$1,0))</f>
        <v>#N/A</v>
      </c>
      <c r="AO90" s="272" t="e">
        <f ca="1">INDEX(RESULTADOS!$A:$BZ,MATCH($A90,RESULTADOS!$A:$A,0),MATCH(AO$1,RESULTADOS!$1:$1,0))</f>
        <v>#N/A</v>
      </c>
    </row>
    <row r="91" spans="1:41" s="272" customFormat="1" x14ac:dyDescent="0.2">
      <c r="A91" s="273">
        <f t="shared" ca="1" si="11"/>
        <v>43890</v>
      </c>
      <c r="B91" s="53"/>
      <c r="C91" s="53"/>
      <c r="D91" s="52"/>
      <c r="E91" s="279" t="e">
        <f ca="1">INDEX(RESULTADOS!$A:$BZ,MATCH($A91,RESULTADOS!$A:$A,0),MATCH(E$1,RESULTADOS!$1:$1,0))</f>
        <v>#N/A</v>
      </c>
      <c r="F91" s="279" t="e">
        <f ca="1">INDEX(RESULTADOS!$A:$BZ,MATCH($A91,RESULTADOS!$A:$A,0),MATCH(F$1,RESULTADOS!$1:$1,0))</f>
        <v>#N/A</v>
      </c>
      <c r="G91" s="279" t="e">
        <f ca="1">INDEX(RESULTADOS!$A:$BZ,MATCH($A91,RESULTADOS!$A:$A,0),MATCH(G$1,RESULTADOS!$1:$1,0))</f>
        <v>#N/A</v>
      </c>
      <c r="H91" s="279" t="e">
        <f ca="1">INDEX(RESULTADOS!$A:$BZ,MATCH($A91,RESULTADOS!$A:$A,0),MATCH(H$1,RESULTADOS!$1:$1,0))</f>
        <v>#N/A</v>
      </c>
      <c r="I91" s="279" t="e">
        <f ca="1">INDEX(RESULTADOS!$A:$BZ,MATCH($A91,RESULTADOS!$A:$A,0),MATCH(I$1,RESULTADOS!$1:$1,0))</f>
        <v>#N/A</v>
      </c>
      <c r="J91" s="279" t="e">
        <f ca="1">INDEX(RESULTADOS!$A:$BZ,MATCH($A91,RESULTADOS!$A:$A,0),MATCH(J$1,RESULTADOS!$1:$1,0))</f>
        <v>#N/A</v>
      </c>
      <c r="K91" s="279" t="e">
        <f ca="1">INDEX(RESULTADOS!$A:$BZ,MATCH($A91,RESULTADOS!$A:$A,0),MATCH(K$1,RESULTADOS!$1:$1,0))</f>
        <v>#N/A</v>
      </c>
      <c r="L91" s="279" t="e">
        <f ca="1">INDEX(RESULTADOS!$A:$BZ,MATCH($A91,RESULTADOS!$A:$A,0),MATCH(L$1,RESULTADOS!$1:$1,0))</f>
        <v>#N/A</v>
      </c>
      <c r="M91" s="272" t="e">
        <f t="shared" ca="1" si="2"/>
        <v>#N/A</v>
      </c>
      <c r="N91" s="272" t="e">
        <f t="shared" ca="1" si="12"/>
        <v>#N/A</v>
      </c>
      <c r="O91" s="278" t="e">
        <f t="shared" ca="1" si="13"/>
        <v>#N/A</v>
      </c>
      <c r="P91" s="278" t="e">
        <f t="shared" ca="1" si="14"/>
        <v>#N/A</v>
      </c>
      <c r="Q91" s="272" t="e">
        <f t="shared" ca="1" si="6"/>
        <v>#N/A</v>
      </c>
      <c r="R91" s="272" t="e">
        <f t="shared" ca="1" si="15"/>
        <v>#N/A</v>
      </c>
      <c r="S91" s="278" t="e">
        <f t="shared" ca="1" si="16"/>
        <v>#N/A</v>
      </c>
      <c r="T91" s="278"/>
      <c r="U91" s="272" t="e">
        <f t="shared" ca="1" si="9"/>
        <v>#N/A</v>
      </c>
      <c r="V91" s="272" t="e">
        <f t="shared" ca="1" si="17"/>
        <v>#N/A</v>
      </c>
      <c r="W91" s="272" t="e">
        <f ca="1">INDEX(RESULTADOS!$A:$BZ,MATCH($A91,RESULTADOS!$A:$A,0),MATCH(W$1,RESULTADOS!$1:$1,0))</f>
        <v>#N/A</v>
      </c>
      <c r="Y91" s="272" t="e">
        <f ca="1">INDEX(RESULTADOS!$A:$BZ,MATCH($A91,RESULTADOS!$A:$A,0),MATCH(Y$1,RESULTADOS!$1:$1,0))</f>
        <v>#N/A</v>
      </c>
      <c r="AC91" s="272" t="e">
        <f ca="1">INDEX(RESULTADOS!$A:$BZ,MATCH($A91,RESULTADOS!$A:$A,0),MATCH(AC$1,RESULTADOS!$1:$1,0))</f>
        <v>#N/A</v>
      </c>
      <c r="AE91" s="272" t="e">
        <f ca="1">INDEX(RESULTADOS!$A:$BZ,MATCH($A91,RESULTADOS!$A:$A,0),MATCH(AE$1,RESULTADOS!$1:$1,0))</f>
        <v>#N/A</v>
      </c>
      <c r="AF91" s="272" t="e">
        <f ca="1">INDEX(RESULTADOS!$A:$BZ,MATCH($A91,RESULTADOS!$A:$A,0),MATCH(AF$1,RESULTADOS!$1:$1,0))</f>
        <v>#N/A</v>
      </c>
      <c r="AJ91" s="272" t="e">
        <f ca="1">INDEX(RESULTADOS!$A:$BZ,MATCH($A91,RESULTADOS!$A:$A,0),MATCH(AJ$1,RESULTADOS!$1:$1,0))</f>
        <v>#N/A</v>
      </c>
      <c r="AK91" s="272" t="e">
        <f ca="1">INDEX(RESULTADOS!$A:$BZ,MATCH($A91,RESULTADOS!$A:$A,0),MATCH(AK$1,RESULTADOS!$1:$1,0))</f>
        <v>#N/A</v>
      </c>
      <c r="AO91" s="272" t="e">
        <f ca="1">INDEX(RESULTADOS!$A:$BZ,MATCH($A91,RESULTADOS!$A:$A,0),MATCH(AO$1,RESULTADOS!$1:$1,0))</f>
        <v>#N/A</v>
      </c>
    </row>
    <row r="92" spans="1:41" s="272" customFormat="1" x14ac:dyDescent="0.2">
      <c r="A92" s="273">
        <f t="shared" ca="1" si="11"/>
        <v>43891</v>
      </c>
      <c r="B92" s="53"/>
      <c r="C92" s="53"/>
      <c r="D92" s="52"/>
      <c r="E92" s="279" t="e">
        <f ca="1">INDEX(RESULTADOS!$A:$BZ,MATCH($A92,RESULTADOS!$A:$A,0),MATCH(E$1,RESULTADOS!$1:$1,0))</f>
        <v>#N/A</v>
      </c>
      <c r="F92" s="279" t="e">
        <f ca="1">INDEX(RESULTADOS!$A:$BZ,MATCH($A92,RESULTADOS!$A:$A,0),MATCH(F$1,RESULTADOS!$1:$1,0))</f>
        <v>#N/A</v>
      </c>
      <c r="G92" s="279" t="e">
        <f ca="1">INDEX(RESULTADOS!$A:$BZ,MATCH($A92,RESULTADOS!$A:$A,0),MATCH(G$1,RESULTADOS!$1:$1,0))</f>
        <v>#N/A</v>
      </c>
      <c r="H92" s="279" t="e">
        <f ca="1">INDEX(RESULTADOS!$A:$BZ,MATCH($A92,RESULTADOS!$A:$A,0),MATCH(H$1,RESULTADOS!$1:$1,0))</f>
        <v>#N/A</v>
      </c>
      <c r="I92" s="279" t="e">
        <f ca="1">INDEX(RESULTADOS!$A:$BZ,MATCH($A92,RESULTADOS!$A:$A,0),MATCH(I$1,RESULTADOS!$1:$1,0))</f>
        <v>#N/A</v>
      </c>
      <c r="J92" s="279" t="e">
        <f ca="1">INDEX(RESULTADOS!$A:$BZ,MATCH($A92,RESULTADOS!$A:$A,0),MATCH(J$1,RESULTADOS!$1:$1,0))</f>
        <v>#N/A</v>
      </c>
      <c r="K92" s="279" t="e">
        <f ca="1">INDEX(RESULTADOS!$A:$BZ,MATCH($A92,RESULTADOS!$A:$A,0),MATCH(K$1,RESULTADOS!$1:$1,0))</f>
        <v>#N/A</v>
      </c>
      <c r="L92" s="279" t="e">
        <f ca="1">INDEX(RESULTADOS!$A:$BZ,MATCH($A92,RESULTADOS!$A:$A,0),MATCH(L$1,RESULTADOS!$1:$1,0))</f>
        <v>#N/A</v>
      </c>
      <c r="M92" s="272" t="e">
        <f t="shared" ca="1" si="2"/>
        <v>#N/A</v>
      </c>
      <c r="N92" s="272" t="e">
        <f t="shared" ca="1" si="12"/>
        <v>#N/A</v>
      </c>
      <c r="O92" s="278" t="e">
        <f t="shared" ca="1" si="13"/>
        <v>#N/A</v>
      </c>
      <c r="P92" s="278" t="e">
        <f t="shared" ca="1" si="14"/>
        <v>#N/A</v>
      </c>
      <c r="Q92" s="272" t="e">
        <f t="shared" ca="1" si="6"/>
        <v>#N/A</v>
      </c>
      <c r="R92" s="272" t="e">
        <f t="shared" ca="1" si="15"/>
        <v>#N/A</v>
      </c>
      <c r="S92" s="278" t="e">
        <f t="shared" ca="1" si="16"/>
        <v>#N/A</v>
      </c>
      <c r="T92" s="278"/>
      <c r="U92" s="272" t="e">
        <f t="shared" ca="1" si="9"/>
        <v>#N/A</v>
      </c>
      <c r="V92" s="272" t="e">
        <f t="shared" ca="1" si="17"/>
        <v>#N/A</v>
      </c>
      <c r="W92" s="272" t="e">
        <f ca="1">INDEX(RESULTADOS!$A:$BZ,MATCH($A92,RESULTADOS!$A:$A,0),MATCH(W$1,RESULTADOS!$1:$1,0))</f>
        <v>#N/A</v>
      </c>
      <c r="Y92" s="272" t="e">
        <f ca="1">INDEX(RESULTADOS!$A:$BZ,MATCH($A92,RESULTADOS!$A:$A,0),MATCH(Y$1,RESULTADOS!$1:$1,0))</f>
        <v>#N/A</v>
      </c>
      <c r="AC92" s="272" t="e">
        <f ca="1">INDEX(RESULTADOS!$A:$BZ,MATCH($A92,RESULTADOS!$A:$A,0),MATCH(AC$1,RESULTADOS!$1:$1,0))</f>
        <v>#N/A</v>
      </c>
      <c r="AE92" s="272" t="e">
        <f ca="1">INDEX(RESULTADOS!$A:$BZ,MATCH($A92,RESULTADOS!$A:$A,0),MATCH(AE$1,RESULTADOS!$1:$1,0))</f>
        <v>#N/A</v>
      </c>
      <c r="AF92" s="272" t="e">
        <f ca="1">INDEX(RESULTADOS!$A:$BZ,MATCH($A92,RESULTADOS!$A:$A,0),MATCH(AF$1,RESULTADOS!$1:$1,0))</f>
        <v>#N/A</v>
      </c>
      <c r="AJ92" s="272" t="e">
        <f ca="1">INDEX(RESULTADOS!$A:$BZ,MATCH($A92,RESULTADOS!$A:$A,0),MATCH(AJ$1,RESULTADOS!$1:$1,0))</f>
        <v>#N/A</v>
      </c>
      <c r="AK92" s="272" t="e">
        <f ca="1">INDEX(RESULTADOS!$A:$BZ,MATCH($A92,RESULTADOS!$A:$A,0),MATCH(AK$1,RESULTADOS!$1:$1,0))</f>
        <v>#N/A</v>
      </c>
      <c r="AO92" s="272" t="e">
        <f ca="1">INDEX(RESULTADOS!$A:$BZ,MATCH($A92,RESULTADOS!$A:$A,0),MATCH(AO$1,RESULTADOS!$1:$1,0))</f>
        <v>#N/A</v>
      </c>
    </row>
    <row r="93" spans="1:41" s="272" customFormat="1" x14ac:dyDescent="0.2">
      <c r="A93" s="273">
        <f t="shared" ca="1" si="11"/>
        <v>43892</v>
      </c>
      <c r="B93" s="53"/>
      <c r="C93" s="53"/>
      <c r="D93" s="52"/>
      <c r="E93" s="279" t="e">
        <f ca="1">INDEX(RESULTADOS!$A:$BZ,MATCH($A93,RESULTADOS!$A:$A,0),MATCH(E$1,RESULTADOS!$1:$1,0))</f>
        <v>#N/A</v>
      </c>
      <c r="F93" s="279" t="e">
        <f ca="1">INDEX(RESULTADOS!$A:$BZ,MATCH($A93,RESULTADOS!$A:$A,0),MATCH(F$1,RESULTADOS!$1:$1,0))</f>
        <v>#N/A</v>
      </c>
      <c r="G93" s="279" t="e">
        <f ca="1">INDEX(RESULTADOS!$A:$BZ,MATCH($A93,RESULTADOS!$A:$A,0),MATCH(G$1,RESULTADOS!$1:$1,0))</f>
        <v>#N/A</v>
      </c>
      <c r="H93" s="279" t="e">
        <f ca="1">INDEX(RESULTADOS!$A:$BZ,MATCH($A93,RESULTADOS!$A:$A,0),MATCH(H$1,RESULTADOS!$1:$1,0))</f>
        <v>#N/A</v>
      </c>
      <c r="I93" s="279" t="e">
        <f ca="1">INDEX(RESULTADOS!$A:$BZ,MATCH($A93,RESULTADOS!$A:$A,0),MATCH(I$1,RESULTADOS!$1:$1,0))</f>
        <v>#N/A</v>
      </c>
      <c r="J93" s="279" t="e">
        <f ca="1">INDEX(RESULTADOS!$A:$BZ,MATCH($A93,RESULTADOS!$A:$A,0),MATCH(J$1,RESULTADOS!$1:$1,0))</f>
        <v>#N/A</v>
      </c>
      <c r="K93" s="279" t="e">
        <f ca="1">INDEX(RESULTADOS!$A:$BZ,MATCH($A93,RESULTADOS!$A:$A,0),MATCH(K$1,RESULTADOS!$1:$1,0))</f>
        <v>#N/A</v>
      </c>
      <c r="L93" s="279" t="e">
        <f ca="1">INDEX(RESULTADOS!$A:$BZ,MATCH($A93,RESULTADOS!$A:$A,0),MATCH(L$1,RESULTADOS!$1:$1,0))</f>
        <v>#N/A</v>
      </c>
      <c r="M93" s="272" t="e">
        <f t="shared" ca="1" si="2"/>
        <v>#N/A</v>
      </c>
      <c r="N93" s="272" t="e">
        <f t="shared" ca="1" si="12"/>
        <v>#N/A</v>
      </c>
      <c r="O93" s="278" t="e">
        <f t="shared" ca="1" si="13"/>
        <v>#N/A</v>
      </c>
      <c r="P93" s="278" t="e">
        <f t="shared" ca="1" si="14"/>
        <v>#N/A</v>
      </c>
      <c r="Q93" s="272" t="e">
        <f t="shared" ca="1" si="6"/>
        <v>#N/A</v>
      </c>
      <c r="R93" s="272" t="e">
        <f t="shared" ca="1" si="15"/>
        <v>#N/A</v>
      </c>
      <c r="S93" s="278" t="e">
        <f t="shared" ca="1" si="16"/>
        <v>#N/A</v>
      </c>
      <c r="T93" s="278"/>
      <c r="U93" s="272" t="e">
        <f t="shared" ca="1" si="9"/>
        <v>#N/A</v>
      </c>
      <c r="V93" s="272" t="e">
        <f t="shared" ca="1" si="17"/>
        <v>#N/A</v>
      </c>
      <c r="W93" s="272" t="e">
        <f ca="1">INDEX(RESULTADOS!$A:$BZ,MATCH($A93,RESULTADOS!$A:$A,0),MATCH(W$1,RESULTADOS!$1:$1,0))</f>
        <v>#N/A</v>
      </c>
      <c r="Y93" s="272" t="e">
        <f ca="1">INDEX(RESULTADOS!$A:$BZ,MATCH($A93,RESULTADOS!$A:$A,0),MATCH(Y$1,RESULTADOS!$1:$1,0))</f>
        <v>#N/A</v>
      </c>
      <c r="AC93" s="272" t="e">
        <f ca="1">INDEX(RESULTADOS!$A:$BZ,MATCH($A93,RESULTADOS!$A:$A,0),MATCH(AC$1,RESULTADOS!$1:$1,0))</f>
        <v>#N/A</v>
      </c>
      <c r="AE93" s="272" t="e">
        <f ca="1">INDEX(RESULTADOS!$A:$BZ,MATCH($A93,RESULTADOS!$A:$A,0),MATCH(AE$1,RESULTADOS!$1:$1,0))</f>
        <v>#N/A</v>
      </c>
      <c r="AF93" s="272" t="e">
        <f ca="1">INDEX(RESULTADOS!$A:$BZ,MATCH($A93,RESULTADOS!$A:$A,0),MATCH(AF$1,RESULTADOS!$1:$1,0))</f>
        <v>#N/A</v>
      </c>
      <c r="AJ93" s="272" t="e">
        <f ca="1">INDEX(RESULTADOS!$A:$BZ,MATCH($A93,RESULTADOS!$A:$A,0),MATCH(AJ$1,RESULTADOS!$1:$1,0))</f>
        <v>#N/A</v>
      </c>
      <c r="AK93" s="272" t="e">
        <f ca="1">INDEX(RESULTADOS!$A:$BZ,MATCH($A93,RESULTADOS!$A:$A,0),MATCH(AK$1,RESULTADOS!$1:$1,0))</f>
        <v>#N/A</v>
      </c>
      <c r="AO93" s="272" t="e">
        <f ca="1">INDEX(RESULTADOS!$A:$BZ,MATCH($A93,RESULTADOS!$A:$A,0),MATCH(AO$1,RESULTADOS!$1:$1,0))</f>
        <v>#N/A</v>
      </c>
    </row>
    <row r="94" spans="1:41" s="272" customFormat="1" x14ac:dyDescent="0.2">
      <c r="A94" s="273">
        <f t="shared" ca="1" si="11"/>
        <v>43893</v>
      </c>
      <c r="B94" s="53"/>
      <c r="C94" s="53"/>
      <c r="D94" s="52"/>
      <c r="E94" s="279" t="e">
        <f ca="1">INDEX(RESULTADOS!$A:$BZ,MATCH($A94,RESULTADOS!$A:$A,0),MATCH(E$1,RESULTADOS!$1:$1,0))</f>
        <v>#N/A</v>
      </c>
      <c r="F94" s="279" t="e">
        <f ca="1">INDEX(RESULTADOS!$A:$BZ,MATCH($A94,RESULTADOS!$A:$A,0),MATCH(F$1,RESULTADOS!$1:$1,0))</f>
        <v>#N/A</v>
      </c>
      <c r="G94" s="279" t="e">
        <f ca="1">INDEX(RESULTADOS!$A:$BZ,MATCH($A94,RESULTADOS!$A:$A,0),MATCH(G$1,RESULTADOS!$1:$1,0))</f>
        <v>#N/A</v>
      </c>
      <c r="H94" s="279" t="e">
        <f ca="1">INDEX(RESULTADOS!$A:$BZ,MATCH($A94,RESULTADOS!$A:$A,0),MATCH(H$1,RESULTADOS!$1:$1,0))</f>
        <v>#N/A</v>
      </c>
      <c r="I94" s="279" t="e">
        <f ca="1">INDEX(RESULTADOS!$A:$BZ,MATCH($A94,RESULTADOS!$A:$A,0),MATCH(I$1,RESULTADOS!$1:$1,0))</f>
        <v>#N/A</v>
      </c>
      <c r="J94" s="279" t="e">
        <f ca="1">INDEX(RESULTADOS!$A:$BZ,MATCH($A94,RESULTADOS!$A:$A,0),MATCH(J$1,RESULTADOS!$1:$1,0))</f>
        <v>#N/A</v>
      </c>
      <c r="K94" s="279" t="e">
        <f ca="1">INDEX(RESULTADOS!$A:$BZ,MATCH($A94,RESULTADOS!$A:$A,0),MATCH(K$1,RESULTADOS!$1:$1,0))</f>
        <v>#N/A</v>
      </c>
      <c r="L94" s="279" t="e">
        <f ca="1">INDEX(RESULTADOS!$A:$BZ,MATCH($A94,RESULTADOS!$A:$A,0),MATCH(L$1,RESULTADOS!$1:$1,0))</f>
        <v>#N/A</v>
      </c>
      <c r="M94" s="272" t="e">
        <f t="shared" ca="1" si="2"/>
        <v>#N/A</v>
      </c>
      <c r="N94" s="272" t="e">
        <f t="shared" ca="1" si="12"/>
        <v>#N/A</v>
      </c>
      <c r="O94" s="278" t="e">
        <f t="shared" ca="1" si="13"/>
        <v>#N/A</v>
      </c>
      <c r="P94" s="278" t="e">
        <f t="shared" ca="1" si="14"/>
        <v>#N/A</v>
      </c>
      <c r="Q94" s="272" t="e">
        <f t="shared" ca="1" si="6"/>
        <v>#N/A</v>
      </c>
      <c r="R94" s="272" t="e">
        <f t="shared" ca="1" si="15"/>
        <v>#N/A</v>
      </c>
      <c r="S94" s="278" t="e">
        <f t="shared" ca="1" si="16"/>
        <v>#N/A</v>
      </c>
      <c r="T94" s="278"/>
      <c r="U94" s="272" t="e">
        <f t="shared" ca="1" si="9"/>
        <v>#N/A</v>
      </c>
      <c r="V94" s="272" t="e">
        <f t="shared" ca="1" si="17"/>
        <v>#N/A</v>
      </c>
      <c r="W94" s="272" t="e">
        <f ca="1">INDEX(RESULTADOS!$A:$BZ,MATCH($A94,RESULTADOS!$A:$A,0),MATCH(W$1,RESULTADOS!$1:$1,0))</f>
        <v>#N/A</v>
      </c>
      <c r="Y94" s="272" t="e">
        <f ca="1">INDEX(RESULTADOS!$A:$BZ,MATCH($A94,RESULTADOS!$A:$A,0),MATCH(Y$1,RESULTADOS!$1:$1,0))</f>
        <v>#N/A</v>
      </c>
      <c r="AC94" s="272" t="e">
        <f ca="1">INDEX(RESULTADOS!$A:$BZ,MATCH($A94,RESULTADOS!$A:$A,0),MATCH(AC$1,RESULTADOS!$1:$1,0))</f>
        <v>#N/A</v>
      </c>
      <c r="AE94" s="272" t="e">
        <f ca="1">INDEX(RESULTADOS!$A:$BZ,MATCH($A94,RESULTADOS!$A:$A,0),MATCH(AE$1,RESULTADOS!$1:$1,0))</f>
        <v>#N/A</v>
      </c>
      <c r="AF94" s="272" t="e">
        <f ca="1">INDEX(RESULTADOS!$A:$BZ,MATCH($A94,RESULTADOS!$A:$A,0),MATCH(AF$1,RESULTADOS!$1:$1,0))</f>
        <v>#N/A</v>
      </c>
      <c r="AJ94" s="272" t="e">
        <f ca="1">INDEX(RESULTADOS!$A:$BZ,MATCH($A94,RESULTADOS!$A:$A,0),MATCH(AJ$1,RESULTADOS!$1:$1,0))</f>
        <v>#N/A</v>
      </c>
      <c r="AK94" s="272" t="e">
        <f ca="1">INDEX(RESULTADOS!$A:$BZ,MATCH($A94,RESULTADOS!$A:$A,0),MATCH(AK$1,RESULTADOS!$1:$1,0))</f>
        <v>#N/A</v>
      </c>
      <c r="AO94" s="272" t="e">
        <f ca="1">INDEX(RESULTADOS!$A:$BZ,MATCH($A94,RESULTADOS!$A:$A,0),MATCH(AO$1,RESULTADOS!$1:$1,0))</f>
        <v>#N/A</v>
      </c>
    </row>
    <row r="95" spans="1:41" s="272" customFormat="1" x14ac:dyDescent="0.2">
      <c r="A95" s="273">
        <f t="shared" ca="1" si="11"/>
        <v>43894</v>
      </c>
      <c r="B95" s="53"/>
      <c r="C95" s="53"/>
      <c r="D95" s="52"/>
      <c r="E95" s="279" t="e">
        <f ca="1">INDEX(RESULTADOS!$A:$BZ,MATCH($A95,RESULTADOS!$A:$A,0),MATCH(E$1,RESULTADOS!$1:$1,0))</f>
        <v>#N/A</v>
      </c>
      <c r="F95" s="279" t="e">
        <f ca="1">INDEX(RESULTADOS!$A:$BZ,MATCH($A95,RESULTADOS!$A:$A,0),MATCH(F$1,RESULTADOS!$1:$1,0))</f>
        <v>#N/A</v>
      </c>
      <c r="G95" s="279" t="e">
        <f ca="1">INDEX(RESULTADOS!$A:$BZ,MATCH($A95,RESULTADOS!$A:$A,0),MATCH(G$1,RESULTADOS!$1:$1,0))</f>
        <v>#N/A</v>
      </c>
      <c r="H95" s="279" t="e">
        <f ca="1">INDEX(RESULTADOS!$A:$BZ,MATCH($A95,RESULTADOS!$A:$A,0),MATCH(H$1,RESULTADOS!$1:$1,0))</f>
        <v>#N/A</v>
      </c>
      <c r="I95" s="279" t="e">
        <f ca="1">INDEX(RESULTADOS!$A:$BZ,MATCH($A95,RESULTADOS!$A:$A,0),MATCH(I$1,RESULTADOS!$1:$1,0))</f>
        <v>#N/A</v>
      </c>
      <c r="J95" s="279" t="e">
        <f ca="1">INDEX(RESULTADOS!$A:$BZ,MATCH($A95,RESULTADOS!$A:$A,0),MATCH(J$1,RESULTADOS!$1:$1,0))</f>
        <v>#N/A</v>
      </c>
      <c r="K95" s="279" t="e">
        <f ca="1">INDEX(RESULTADOS!$A:$BZ,MATCH($A95,RESULTADOS!$A:$A,0),MATCH(K$1,RESULTADOS!$1:$1,0))</f>
        <v>#N/A</v>
      </c>
      <c r="L95" s="279" t="e">
        <f ca="1">INDEX(RESULTADOS!$A:$BZ,MATCH($A95,RESULTADOS!$A:$A,0),MATCH(L$1,RESULTADOS!$1:$1,0))</f>
        <v>#N/A</v>
      </c>
      <c r="M95" s="272" t="e">
        <f t="shared" ca="1" si="2"/>
        <v>#N/A</v>
      </c>
      <c r="N95" s="272" t="e">
        <f t="shared" ca="1" si="12"/>
        <v>#N/A</v>
      </c>
      <c r="O95" s="278" t="e">
        <f t="shared" ca="1" si="13"/>
        <v>#N/A</v>
      </c>
      <c r="P95" s="278" t="e">
        <f t="shared" ca="1" si="14"/>
        <v>#N/A</v>
      </c>
      <c r="Q95" s="272" t="e">
        <f t="shared" ca="1" si="6"/>
        <v>#N/A</v>
      </c>
      <c r="R95" s="272" t="e">
        <f t="shared" ca="1" si="15"/>
        <v>#N/A</v>
      </c>
      <c r="S95" s="278" t="e">
        <f t="shared" ca="1" si="16"/>
        <v>#N/A</v>
      </c>
      <c r="T95" s="278"/>
      <c r="U95" s="272" t="e">
        <f t="shared" ca="1" si="9"/>
        <v>#N/A</v>
      </c>
      <c r="V95" s="272" t="e">
        <f t="shared" ca="1" si="17"/>
        <v>#N/A</v>
      </c>
      <c r="W95" s="272" t="e">
        <f ca="1">INDEX(RESULTADOS!$A:$BZ,MATCH($A95,RESULTADOS!$A:$A,0),MATCH(W$1,RESULTADOS!$1:$1,0))</f>
        <v>#N/A</v>
      </c>
      <c r="Y95" s="272" t="e">
        <f ca="1">INDEX(RESULTADOS!$A:$BZ,MATCH($A95,RESULTADOS!$A:$A,0),MATCH(Y$1,RESULTADOS!$1:$1,0))</f>
        <v>#N/A</v>
      </c>
      <c r="AC95" s="272" t="e">
        <f ca="1">INDEX(RESULTADOS!$A:$BZ,MATCH($A95,RESULTADOS!$A:$A,0),MATCH(AC$1,RESULTADOS!$1:$1,0))</f>
        <v>#N/A</v>
      </c>
      <c r="AE95" s="272" t="e">
        <f ca="1">INDEX(RESULTADOS!$A:$BZ,MATCH($A95,RESULTADOS!$A:$A,0),MATCH(AE$1,RESULTADOS!$1:$1,0))</f>
        <v>#N/A</v>
      </c>
      <c r="AF95" s="272" t="e">
        <f ca="1">INDEX(RESULTADOS!$A:$BZ,MATCH($A95,RESULTADOS!$A:$A,0),MATCH(AF$1,RESULTADOS!$1:$1,0))</f>
        <v>#N/A</v>
      </c>
      <c r="AJ95" s="272" t="e">
        <f ca="1">INDEX(RESULTADOS!$A:$BZ,MATCH($A95,RESULTADOS!$A:$A,0),MATCH(AJ$1,RESULTADOS!$1:$1,0))</f>
        <v>#N/A</v>
      </c>
      <c r="AK95" s="272" t="e">
        <f ca="1">INDEX(RESULTADOS!$A:$BZ,MATCH($A95,RESULTADOS!$A:$A,0),MATCH(AK$1,RESULTADOS!$1:$1,0))</f>
        <v>#N/A</v>
      </c>
      <c r="AO95" s="272" t="e">
        <f ca="1">INDEX(RESULTADOS!$A:$BZ,MATCH($A95,RESULTADOS!$A:$A,0),MATCH(AO$1,RESULTADOS!$1:$1,0))</f>
        <v>#N/A</v>
      </c>
    </row>
    <row r="96" spans="1:41" s="272" customFormat="1" x14ac:dyDescent="0.2">
      <c r="A96" s="273">
        <f t="shared" ca="1" si="11"/>
        <v>43895</v>
      </c>
      <c r="B96" s="53"/>
      <c r="C96" s="53"/>
      <c r="D96" s="52"/>
      <c r="E96" s="279" t="e">
        <f ca="1">INDEX(RESULTADOS!$A:$BZ,MATCH($A96,RESULTADOS!$A:$A,0),MATCH(E$1,RESULTADOS!$1:$1,0))</f>
        <v>#N/A</v>
      </c>
      <c r="F96" s="279" t="e">
        <f ca="1">INDEX(RESULTADOS!$A:$BZ,MATCH($A96,RESULTADOS!$A:$A,0),MATCH(F$1,RESULTADOS!$1:$1,0))</f>
        <v>#N/A</v>
      </c>
      <c r="G96" s="279" t="e">
        <f ca="1">INDEX(RESULTADOS!$A:$BZ,MATCH($A96,RESULTADOS!$A:$A,0),MATCH(G$1,RESULTADOS!$1:$1,0))</f>
        <v>#N/A</v>
      </c>
      <c r="H96" s="279" t="e">
        <f ca="1">INDEX(RESULTADOS!$A:$BZ,MATCH($A96,RESULTADOS!$A:$A,0),MATCH(H$1,RESULTADOS!$1:$1,0))</f>
        <v>#N/A</v>
      </c>
      <c r="I96" s="279" t="e">
        <f ca="1">INDEX(RESULTADOS!$A:$BZ,MATCH($A96,RESULTADOS!$A:$A,0),MATCH(I$1,RESULTADOS!$1:$1,0))</f>
        <v>#N/A</v>
      </c>
      <c r="J96" s="279" t="e">
        <f ca="1">INDEX(RESULTADOS!$A:$BZ,MATCH($A96,RESULTADOS!$A:$A,0),MATCH(J$1,RESULTADOS!$1:$1,0))</f>
        <v>#N/A</v>
      </c>
      <c r="K96" s="279" t="e">
        <f ca="1">INDEX(RESULTADOS!$A:$BZ,MATCH($A96,RESULTADOS!$A:$A,0),MATCH(K$1,RESULTADOS!$1:$1,0))</f>
        <v>#N/A</v>
      </c>
      <c r="L96" s="279" t="e">
        <f ca="1">INDEX(RESULTADOS!$A:$BZ,MATCH($A96,RESULTADOS!$A:$A,0),MATCH(L$1,RESULTADOS!$1:$1,0))</f>
        <v>#N/A</v>
      </c>
      <c r="M96" s="272" t="e">
        <f t="shared" ca="1" si="2"/>
        <v>#N/A</v>
      </c>
      <c r="N96" s="272" t="e">
        <f t="shared" ca="1" si="12"/>
        <v>#N/A</v>
      </c>
      <c r="O96" s="278" t="e">
        <f t="shared" ca="1" si="13"/>
        <v>#N/A</v>
      </c>
      <c r="P96" s="278" t="e">
        <f t="shared" ca="1" si="14"/>
        <v>#N/A</v>
      </c>
      <c r="Q96" s="272" t="e">
        <f t="shared" ca="1" si="6"/>
        <v>#N/A</v>
      </c>
      <c r="R96" s="272" t="e">
        <f t="shared" ca="1" si="15"/>
        <v>#N/A</v>
      </c>
      <c r="S96" s="278" t="e">
        <f t="shared" ca="1" si="16"/>
        <v>#N/A</v>
      </c>
      <c r="T96" s="278"/>
      <c r="U96" s="272" t="e">
        <f t="shared" ca="1" si="9"/>
        <v>#N/A</v>
      </c>
      <c r="V96" s="272" t="e">
        <f t="shared" ca="1" si="17"/>
        <v>#N/A</v>
      </c>
      <c r="W96" s="272" t="e">
        <f ca="1">INDEX(RESULTADOS!$A:$BZ,MATCH($A96,RESULTADOS!$A:$A,0),MATCH(W$1,RESULTADOS!$1:$1,0))</f>
        <v>#N/A</v>
      </c>
      <c r="Y96" s="272" t="e">
        <f ca="1">INDEX(RESULTADOS!$A:$BZ,MATCH($A96,RESULTADOS!$A:$A,0),MATCH(Y$1,RESULTADOS!$1:$1,0))</f>
        <v>#N/A</v>
      </c>
      <c r="AC96" s="272" t="e">
        <f ca="1">INDEX(RESULTADOS!$A:$BZ,MATCH($A96,RESULTADOS!$A:$A,0),MATCH(AC$1,RESULTADOS!$1:$1,0))</f>
        <v>#N/A</v>
      </c>
      <c r="AE96" s="272" t="e">
        <f ca="1">INDEX(RESULTADOS!$A:$BZ,MATCH($A96,RESULTADOS!$A:$A,0),MATCH(AE$1,RESULTADOS!$1:$1,0))</f>
        <v>#N/A</v>
      </c>
      <c r="AF96" s="272" t="e">
        <f ca="1">INDEX(RESULTADOS!$A:$BZ,MATCH($A96,RESULTADOS!$A:$A,0),MATCH(AF$1,RESULTADOS!$1:$1,0))</f>
        <v>#N/A</v>
      </c>
      <c r="AJ96" s="272" t="e">
        <f ca="1">INDEX(RESULTADOS!$A:$BZ,MATCH($A96,RESULTADOS!$A:$A,0),MATCH(AJ$1,RESULTADOS!$1:$1,0))</f>
        <v>#N/A</v>
      </c>
      <c r="AK96" s="272" t="e">
        <f ca="1">INDEX(RESULTADOS!$A:$BZ,MATCH($A96,RESULTADOS!$A:$A,0),MATCH(AK$1,RESULTADOS!$1:$1,0))</f>
        <v>#N/A</v>
      </c>
      <c r="AO96" s="272" t="e">
        <f ca="1">INDEX(RESULTADOS!$A:$BZ,MATCH($A96,RESULTADOS!$A:$A,0),MATCH(AO$1,RESULTADOS!$1:$1,0))</f>
        <v>#N/A</v>
      </c>
    </row>
    <row r="97" spans="1:41" s="272" customFormat="1" x14ac:dyDescent="0.2">
      <c r="A97" s="273">
        <f t="shared" ca="1" si="11"/>
        <v>43896</v>
      </c>
      <c r="B97" s="53"/>
      <c r="C97" s="53"/>
      <c r="D97" s="52"/>
      <c r="E97" s="279" t="e">
        <f ca="1">INDEX(RESULTADOS!$A:$BZ,MATCH($A97,RESULTADOS!$A:$A,0),MATCH(E$1,RESULTADOS!$1:$1,0))</f>
        <v>#N/A</v>
      </c>
      <c r="F97" s="279" t="e">
        <f ca="1">INDEX(RESULTADOS!$A:$BZ,MATCH($A97,RESULTADOS!$A:$A,0),MATCH(F$1,RESULTADOS!$1:$1,0))</f>
        <v>#N/A</v>
      </c>
      <c r="G97" s="279" t="e">
        <f ca="1">INDEX(RESULTADOS!$A:$BZ,MATCH($A97,RESULTADOS!$A:$A,0),MATCH(G$1,RESULTADOS!$1:$1,0))</f>
        <v>#N/A</v>
      </c>
      <c r="H97" s="279" t="e">
        <f ca="1">INDEX(RESULTADOS!$A:$BZ,MATCH($A97,RESULTADOS!$A:$A,0),MATCH(H$1,RESULTADOS!$1:$1,0))</f>
        <v>#N/A</v>
      </c>
      <c r="I97" s="279" t="e">
        <f ca="1">INDEX(RESULTADOS!$A:$BZ,MATCH($A97,RESULTADOS!$A:$A,0),MATCH(I$1,RESULTADOS!$1:$1,0))</f>
        <v>#N/A</v>
      </c>
      <c r="J97" s="279" t="e">
        <f ca="1">INDEX(RESULTADOS!$A:$BZ,MATCH($A97,RESULTADOS!$A:$A,0),MATCH(J$1,RESULTADOS!$1:$1,0))</f>
        <v>#N/A</v>
      </c>
      <c r="K97" s="279" t="e">
        <f ca="1">INDEX(RESULTADOS!$A:$BZ,MATCH($A97,RESULTADOS!$A:$A,0),MATCH(K$1,RESULTADOS!$1:$1,0))</f>
        <v>#N/A</v>
      </c>
      <c r="L97" s="279" t="e">
        <f ca="1">INDEX(RESULTADOS!$A:$BZ,MATCH($A97,RESULTADOS!$A:$A,0),MATCH(L$1,RESULTADOS!$1:$1,0))</f>
        <v>#N/A</v>
      </c>
      <c r="M97" s="272" t="e">
        <f t="shared" ca="1" si="2"/>
        <v>#N/A</v>
      </c>
      <c r="N97" s="272" t="e">
        <f t="shared" ca="1" si="12"/>
        <v>#N/A</v>
      </c>
      <c r="O97" s="278" t="e">
        <f t="shared" ca="1" si="13"/>
        <v>#N/A</v>
      </c>
      <c r="P97" s="278" t="e">
        <f t="shared" ca="1" si="14"/>
        <v>#N/A</v>
      </c>
      <c r="Q97" s="272" t="e">
        <f t="shared" ca="1" si="6"/>
        <v>#N/A</v>
      </c>
      <c r="R97" s="272" t="e">
        <f t="shared" ca="1" si="15"/>
        <v>#N/A</v>
      </c>
      <c r="S97" s="278" t="e">
        <f t="shared" ca="1" si="16"/>
        <v>#N/A</v>
      </c>
      <c r="T97" s="278"/>
      <c r="U97" s="272" t="e">
        <f t="shared" ca="1" si="9"/>
        <v>#N/A</v>
      </c>
      <c r="V97" s="272" t="e">
        <f t="shared" ca="1" si="17"/>
        <v>#N/A</v>
      </c>
      <c r="W97" s="272" t="e">
        <f ca="1">INDEX(RESULTADOS!$A:$BZ,MATCH($A97,RESULTADOS!$A:$A,0),MATCH(W$1,RESULTADOS!$1:$1,0))</f>
        <v>#N/A</v>
      </c>
      <c r="Y97" s="272" t="e">
        <f ca="1">INDEX(RESULTADOS!$A:$BZ,MATCH($A97,RESULTADOS!$A:$A,0),MATCH(Y$1,RESULTADOS!$1:$1,0))</f>
        <v>#N/A</v>
      </c>
      <c r="AC97" s="272" t="e">
        <f ca="1">INDEX(RESULTADOS!$A:$BZ,MATCH($A97,RESULTADOS!$A:$A,0),MATCH(AC$1,RESULTADOS!$1:$1,0))</f>
        <v>#N/A</v>
      </c>
      <c r="AE97" s="272" t="e">
        <f ca="1">INDEX(RESULTADOS!$A:$BZ,MATCH($A97,RESULTADOS!$A:$A,0),MATCH(AE$1,RESULTADOS!$1:$1,0))</f>
        <v>#N/A</v>
      </c>
      <c r="AF97" s="272" t="e">
        <f ca="1">INDEX(RESULTADOS!$A:$BZ,MATCH($A97,RESULTADOS!$A:$A,0),MATCH(AF$1,RESULTADOS!$1:$1,0))</f>
        <v>#N/A</v>
      </c>
      <c r="AJ97" s="272" t="e">
        <f ca="1">INDEX(RESULTADOS!$A:$BZ,MATCH($A97,RESULTADOS!$A:$A,0),MATCH(AJ$1,RESULTADOS!$1:$1,0))</f>
        <v>#N/A</v>
      </c>
      <c r="AK97" s="272" t="e">
        <f ca="1">INDEX(RESULTADOS!$A:$BZ,MATCH($A97,RESULTADOS!$A:$A,0),MATCH(AK$1,RESULTADOS!$1:$1,0))</f>
        <v>#N/A</v>
      </c>
      <c r="AO97" s="272" t="e">
        <f ca="1">INDEX(RESULTADOS!$A:$BZ,MATCH($A97,RESULTADOS!$A:$A,0),MATCH(AO$1,RESULTADOS!$1:$1,0))</f>
        <v>#N/A</v>
      </c>
    </row>
    <row r="98" spans="1:41" s="272" customFormat="1" x14ac:dyDescent="0.2">
      <c r="A98" s="273">
        <f t="shared" ca="1" si="11"/>
        <v>43897</v>
      </c>
      <c r="B98" s="53"/>
      <c r="C98" s="53"/>
      <c r="D98" s="52"/>
      <c r="E98" s="279" t="e">
        <f ca="1">INDEX(RESULTADOS!$A:$BZ,MATCH($A98,RESULTADOS!$A:$A,0),MATCH(E$1,RESULTADOS!$1:$1,0))</f>
        <v>#N/A</v>
      </c>
      <c r="F98" s="279" t="e">
        <f ca="1">INDEX(RESULTADOS!$A:$BZ,MATCH($A98,RESULTADOS!$A:$A,0),MATCH(F$1,RESULTADOS!$1:$1,0))</f>
        <v>#N/A</v>
      </c>
      <c r="G98" s="279" t="e">
        <f ca="1">INDEX(RESULTADOS!$A:$BZ,MATCH($A98,RESULTADOS!$A:$A,0),MATCH(G$1,RESULTADOS!$1:$1,0))</f>
        <v>#N/A</v>
      </c>
      <c r="H98" s="279" t="e">
        <f ca="1">INDEX(RESULTADOS!$A:$BZ,MATCH($A98,RESULTADOS!$A:$A,0),MATCH(H$1,RESULTADOS!$1:$1,0))</f>
        <v>#N/A</v>
      </c>
      <c r="I98" s="279" t="e">
        <f ca="1">INDEX(RESULTADOS!$A:$BZ,MATCH($A98,RESULTADOS!$A:$A,0),MATCH(I$1,RESULTADOS!$1:$1,0))</f>
        <v>#N/A</v>
      </c>
      <c r="J98" s="279" t="e">
        <f ca="1">INDEX(RESULTADOS!$A:$BZ,MATCH($A98,RESULTADOS!$A:$A,0),MATCH(J$1,RESULTADOS!$1:$1,0))</f>
        <v>#N/A</v>
      </c>
      <c r="K98" s="279" t="e">
        <f ca="1">INDEX(RESULTADOS!$A:$BZ,MATCH($A98,RESULTADOS!$A:$A,0),MATCH(K$1,RESULTADOS!$1:$1,0))</f>
        <v>#N/A</v>
      </c>
      <c r="L98" s="279" t="e">
        <f ca="1">INDEX(RESULTADOS!$A:$BZ,MATCH($A98,RESULTADOS!$A:$A,0),MATCH(L$1,RESULTADOS!$1:$1,0))</f>
        <v>#N/A</v>
      </c>
      <c r="M98" s="272" t="e">
        <f t="shared" ca="1" si="2"/>
        <v>#N/A</v>
      </c>
      <c r="N98" s="272" t="e">
        <f t="shared" ca="1" si="12"/>
        <v>#N/A</v>
      </c>
      <c r="O98" s="278" t="e">
        <f t="shared" ca="1" si="13"/>
        <v>#N/A</v>
      </c>
      <c r="P98" s="278" t="e">
        <f t="shared" ca="1" si="14"/>
        <v>#N/A</v>
      </c>
      <c r="Q98" s="272" t="e">
        <f t="shared" ca="1" si="6"/>
        <v>#N/A</v>
      </c>
      <c r="R98" s="272" t="e">
        <f t="shared" ca="1" si="15"/>
        <v>#N/A</v>
      </c>
      <c r="S98" s="278" t="e">
        <f t="shared" ca="1" si="16"/>
        <v>#N/A</v>
      </c>
      <c r="T98" s="278"/>
      <c r="U98" s="272" t="e">
        <f t="shared" ca="1" si="9"/>
        <v>#N/A</v>
      </c>
      <c r="V98" s="272" t="e">
        <f t="shared" ca="1" si="17"/>
        <v>#N/A</v>
      </c>
      <c r="W98" s="272" t="e">
        <f ca="1">INDEX(RESULTADOS!$A:$BZ,MATCH($A98,RESULTADOS!$A:$A,0),MATCH(W$1,RESULTADOS!$1:$1,0))</f>
        <v>#N/A</v>
      </c>
      <c r="Y98" s="272" t="e">
        <f ca="1">INDEX(RESULTADOS!$A:$BZ,MATCH($A98,RESULTADOS!$A:$A,0),MATCH(Y$1,RESULTADOS!$1:$1,0))</f>
        <v>#N/A</v>
      </c>
      <c r="AC98" s="272" t="e">
        <f ca="1">INDEX(RESULTADOS!$A:$BZ,MATCH($A98,RESULTADOS!$A:$A,0),MATCH(AC$1,RESULTADOS!$1:$1,0))</f>
        <v>#N/A</v>
      </c>
      <c r="AE98" s="272" t="e">
        <f ca="1">INDEX(RESULTADOS!$A:$BZ,MATCH($A98,RESULTADOS!$A:$A,0),MATCH(AE$1,RESULTADOS!$1:$1,0))</f>
        <v>#N/A</v>
      </c>
      <c r="AF98" s="272" t="e">
        <f ca="1">INDEX(RESULTADOS!$A:$BZ,MATCH($A98,RESULTADOS!$A:$A,0),MATCH(AF$1,RESULTADOS!$1:$1,0))</f>
        <v>#N/A</v>
      </c>
      <c r="AJ98" s="272" t="e">
        <f ca="1">INDEX(RESULTADOS!$A:$BZ,MATCH($A98,RESULTADOS!$A:$A,0),MATCH(AJ$1,RESULTADOS!$1:$1,0))</f>
        <v>#N/A</v>
      </c>
      <c r="AK98" s="272" t="e">
        <f ca="1">INDEX(RESULTADOS!$A:$BZ,MATCH($A98,RESULTADOS!$A:$A,0),MATCH(AK$1,RESULTADOS!$1:$1,0))</f>
        <v>#N/A</v>
      </c>
      <c r="AO98" s="272" t="e">
        <f ca="1">INDEX(RESULTADOS!$A:$BZ,MATCH($A98,RESULTADOS!$A:$A,0),MATCH(AO$1,RESULTADOS!$1:$1,0))</f>
        <v>#N/A</v>
      </c>
    </row>
    <row r="99" spans="1:41" s="272" customFormat="1" x14ac:dyDescent="0.2">
      <c r="A99" s="273">
        <f t="shared" ca="1" si="11"/>
        <v>43898</v>
      </c>
      <c r="B99" s="53"/>
      <c r="C99" s="53"/>
      <c r="D99" s="52"/>
      <c r="E99" s="279" t="e">
        <f ca="1">INDEX(RESULTADOS!$A:$BZ,MATCH($A99,RESULTADOS!$A:$A,0),MATCH(E$1,RESULTADOS!$1:$1,0))</f>
        <v>#N/A</v>
      </c>
      <c r="F99" s="279" t="e">
        <f ca="1">INDEX(RESULTADOS!$A:$BZ,MATCH($A99,RESULTADOS!$A:$A,0),MATCH(F$1,RESULTADOS!$1:$1,0))</f>
        <v>#N/A</v>
      </c>
      <c r="G99" s="279" t="e">
        <f ca="1">INDEX(RESULTADOS!$A:$BZ,MATCH($A99,RESULTADOS!$A:$A,0),MATCH(G$1,RESULTADOS!$1:$1,0))</f>
        <v>#N/A</v>
      </c>
      <c r="H99" s="279" t="e">
        <f ca="1">INDEX(RESULTADOS!$A:$BZ,MATCH($A99,RESULTADOS!$A:$A,0),MATCH(H$1,RESULTADOS!$1:$1,0))</f>
        <v>#N/A</v>
      </c>
      <c r="I99" s="279" t="e">
        <f ca="1">INDEX(RESULTADOS!$A:$BZ,MATCH($A99,RESULTADOS!$A:$A,0),MATCH(I$1,RESULTADOS!$1:$1,0))</f>
        <v>#N/A</v>
      </c>
      <c r="J99" s="279" t="e">
        <f ca="1">INDEX(RESULTADOS!$A:$BZ,MATCH($A99,RESULTADOS!$A:$A,0),MATCH(J$1,RESULTADOS!$1:$1,0))</f>
        <v>#N/A</v>
      </c>
      <c r="K99" s="279" t="e">
        <f ca="1">INDEX(RESULTADOS!$A:$BZ,MATCH($A99,RESULTADOS!$A:$A,0),MATCH(K$1,RESULTADOS!$1:$1,0))</f>
        <v>#N/A</v>
      </c>
      <c r="L99" s="279" t="e">
        <f ca="1">INDEX(RESULTADOS!$A:$BZ,MATCH($A99,RESULTADOS!$A:$A,0),MATCH(L$1,RESULTADOS!$1:$1,0))</f>
        <v>#N/A</v>
      </c>
      <c r="M99" s="272" t="e">
        <f t="shared" ca="1" si="2"/>
        <v>#N/A</v>
      </c>
      <c r="N99" s="272" t="e">
        <f t="shared" ca="1" si="12"/>
        <v>#N/A</v>
      </c>
      <c r="O99" s="278" t="e">
        <f t="shared" ca="1" si="13"/>
        <v>#N/A</v>
      </c>
      <c r="P99" s="278" t="e">
        <f t="shared" ca="1" si="14"/>
        <v>#N/A</v>
      </c>
      <c r="Q99" s="272" t="e">
        <f t="shared" ca="1" si="6"/>
        <v>#N/A</v>
      </c>
      <c r="R99" s="272" t="e">
        <f t="shared" ca="1" si="15"/>
        <v>#N/A</v>
      </c>
      <c r="S99" s="278" t="e">
        <f t="shared" ca="1" si="16"/>
        <v>#N/A</v>
      </c>
      <c r="T99" s="278"/>
      <c r="U99" s="272" t="e">
        <f t="shared" ca="1" si="9"/>
        <v>#N/A</v>
      </c>
      <c r="V99" s="272" t="e">
        <f t="shared" ca="1" si="17"/>
        <v>#N/A</v>
      </c>
      <c r="W99" s="272" t="e">
        <f ca="1">INDEX(RESULTADOS!$A:$BZ,MATCH($A99,RESULTADOS!$A:$A,0),MATCH(W$1,RESULTADOS!$1:$1,0))</f>
        <v>#N/A</v>
      </c>
      <c r="Y99" s="272" t="e">
        <f ca="1">INDEX(RESULTADOS!$A:$BZ,MATCH($A99,RESULTADOS!$A:$A,0),MATCH(Y$1,RESULTADOS!$1:$1,0))</f>
        <v>#N/A</v>
      </c>
      <c r="AC99" s="272" t="e">
        <f ca="1">INDEX(RESULTADOS!$A:$BZ,MATCH($A99,RESULTADOS!$A:$A,0),MATCH(AC$1,RESULTADOS!$1:$1,0))</f>
        <v>#N/A</v>
      </c>
      <c r="AE99" s="272" t="e">
        <f ca="1">INDEX(RESULTADOS!$A:$BZ,MATCH($A99,RESULTADOS!$A:$A,0),MATCH(AE$1,RESULTADOS!$1:$1,0))</f>
        <v>#N/A</v>
      </c>
      <c r="AF99" s="272" t="e">
        <f ca="1">INDEX(RESULTADOS!$A:$BZ,MATCH($A99,RESULTADOS!$A:$A,0),MATCH(AF$1,RESULTADOS!$1:$1,0))</f>
        <v>#N/A</v>
      </c>
      <c r="AJ99" s="272" t="e">
        <f ca="1">INDEX(RESULTADOS!$A:$BZ,MATCH($A99,RESULTADOS!$A:$A,0),MATCH(AJ$1,RESULTADOS!$1:$1,0))</f>
        <v>#N/A</v>
      </c>
      <c r="AK99" s="272" t="e">
        <f ca="1">INDEX(RESULTADOS!$A:$BZ,MATCH($A99,RESULTADOS!$A:$A,0),MATCH(AK$1,RESULTADOS!$1:$1,0))</f>
        <v>#N/A</v>
      </c>
      <c r="AO99" s="272" t="e">
        <f ca="1">INDEX(RESULTADOS!$A:$BZ,MATCH($A99,RESULTADOS!$A:$A,0),MATCH(AO$1,RESULTADOS!$1:$1,0))</f>
        <v>#N/A</v>
      </c>
    </row>
    <row r="100" spans="1:41" s="272" customFormat="1" x14ac:dyDescent="0.2">
      <c r="A100" s="273">
        <f t="shared" ca="1" si="11"/>
        <v>43899</v>
      </c>
      <c r="B100" s="53"/>
      <c r="C100" s="53"/>
      <c r="D100" s="52"/>
      <c r="E100" s="279" t="e">
        <f ca="1">INDEX(RESULTADOS!$A:$BZ,MATCH($A100,RESULTADOS!$A:$A,0),MATCH(E$1,RESULTADOS!$1:$1,0))</f>
        <v>#N/A</v>
      </c>
      <c r="F100" s="279" t="e">
        <f ca="1">INDEX(RESULTADOS!$A:$BZ,MATCH($A100,RESULTADOS!$A:$A,0),MATCH(F$1,RESULTADOS!$1:$1,0))</f>
        <v>#N/A</v>
      </c>
      <c r="G100" s="279" t="e">
        <f ca="1">INDEX(RESULTADOS!$A:$BZ,MATCH($A100,RESULTADOS!$A:$A,0),MATCH(G$1,RESULTADOS!$1:$1,0))</f>
        <v>#N/A</v>
      </c>
      <c r="H100" s="279" t="e">
        <f ca="1">INDEX(RESULTADOS!$A:$BZ,MATCH($A100,RESULTADOS!$A:$A,0),MATCH(H$1,RESULTADOS!$1:$1,0))</f>
        <v>#N/A</v>
      </c>
      <c r="I100" s="279" t="e">
        <f ca="1">INDEX(RESULTADOS!$A:$BZ,MATCH($A100,RESULTADOS!$A:$A,0),MATCH(I$1,RESULTADOS!$1:$1,0))</f>
        <v>#N/A</v>
      </c>
      <c r="J100" s="279" t="e">
        <f ca="1">INDEX(RESULTADOS!$A:$BZ,MATCH($A100,RESULTADOS!$A:$A,0),MATCH(J$1,RESULTADOS!$1:$1,0))</f>
        <v>#N/A</v>
      </c>
      <c r="K100" s="279" t="e">
        <f ca="1">INDEX(RESULTADOS!$A:$BZ,MATCH($A100,RESULTADOS!$A:$A,0),MATCH(K$1,RESULTADOS!$1:$1,0))</f>
        <v>#N/A</v>
      </c>
      <c r="L100" s="279" t="e">
        <f ca="1">INDEX(RESULTADOS!$A:$BZ,MATCH($A100,RESULTADOS!$A:$A,0),MATCH(L$1,RESULTADOS!$1:$1,0))</f>
        <v>#N/A</v>
      </c>
      <c r="M100" s="272" t="e">
        <f t="shared" ca="1" si="2"/>
        <v>#N/A</v>
      </c>
      <c r="N100" s="272" t="e">
        <f t="shared" ca="1" si="12"/>
        <v>#N/A</v>
      </c>
      <c r="O100" s="278" t="e">
        <f t="shared" ca="1" si="13"/>
        <v>#N/A</v>
      </c>
      <c r="P100" s="278" t="e">
        <f t="shared" ca="1" si="14"/>
        <v>#N/A</v>
      </c>
      <c r="Q100" s="272" t="e">
        <f t="shared" ca="1" si="6"/>
        <v>#N/A</v>
      </c>
      <c r="R100" s="272" t="e">
        <f t="shared" ca="1" si="15"/>
        <v>#N/A</v>
      </c>
      <c r="S100" s="278" t="e">
        <f t="shared" ca="1" si="16"/>
        <v>#N/A</v>
      </c>
      <c r="T100" s="278"/>
      <c r="U100" s="272" t="e">
        <f t="shared" ca="1" si="9"/>
        <v>#N/A</v>
      </c>
      <c r="V100" s="272" t="e">
        <f t="shared" ca="1" si="17"/>
        <v>#N/A</v>
      </c>
      <c r="W100" s="272" t="e">
        <f ca="1">INDEX(RESULTADOS!$A:$BZ,MATCH($A100,RESULTADOS!$A:$A,0),MATCH(W$1,RESULTADOS!$1:$1,0))</f>
        <v>#N/A</v>
      </c>
      <c r="Y100" s="272" t="e">
        <f ca="1">INDEX(RESULTADOS!$A:$BZ,MATCH($A100,RESULTADOS!$A:$A,0),MATCH(Y$1,RESULTADOS!$1:$1,0))</f>
        <v>#N/A</v>
      </c>
      <c r="AC100" s="272" t="e">
        <f ca="1">INDEX(RESULTADOS!$A:$BZ,MATCH($A100,RESULTADOS!$A:$A,0),MATCH(AC$1,RESULTADOS!$1:$1,0))</f>
        <v>#N/A</v>
      </c>
      <c r="AE100" s="272" t="e">
        <f ca="1">INDEX(RESULTADOS!$A:$BZ,MATCH($A100,RESULTADOS!$A:$A,0),MATCH(AE$1,RESULTADOS!$1:$1,0))</f>
        <v>#N/A</v>
      </c>
      <c r="AF100" s="272" t="e">
        <f ca="1">INDEX(RESULTADOS!$A:$BZ,MATCH($A100,RESULTADOS!$A:$A,0),MATCH(AF$1,RESULTADOS!$1:$1,0))</f>
        <v>#N/A</v>
      </c>
      <c r="AJ100" s="272" t="e">
        <f ca="1">INDEX(RESULTADOS!$A:$BZ,MATCH($A100,RESULTADOS!$A:$A,0),MATCH(AJ$1,RESULTADOS!$1:$1,0))</f>
        <v>#N/A</v>
      </c>
      <c r="AK100" s="272" t="e">
        <f ca="1">INDEX(RESULTADOS!$A:$BZ,MATCH($A100,RESULTADOS!$A:$A,0),MATCH(AK$1,RESULTADOS!$1:$1,0))</f>
        <v>#N/A</v>
      </c>
      <c r="AO100" s="272" t="e">
        <f ca="1">INDEX(RESULTADOS!$A:$BZ,MATCH($A100,RESULTADOS!$A:$A,0),MATCH(AO$1,RESULTADOS!$1:$1,0))</f>
        <v>#N/A</v>
      </c>
    </row>
    <row r="101" spans="1:41" s="272" customFormat="1" x14ac:dyDescent="0.2">
      <c r="A101" s="273">
        <f t="shared" ca="1" si="11"/>
        <v>43900</v>
      </c>
      <c r="B101" s="53"/>
      <c r="C101" s="53"/>
      <c r="D101" s="52"/>
      <c r="E101" s="279" t="e">
        <f ca="1">INDEX(RESULTADOS!$A:$BZ,MATCH($A101,RESULTADOS!$A:$A,0),MATCH(E$1,RESULTADOS!$1:$1,0))</f>
        <v>#N/A</v>
      </c>
      <c r="F101" s="279" t="e">
        <f ca="1">INDEX(RESULTADOS!$A:$BZ,MATCH($A101,RESULTADOS!$A:$A,0),MATCH(F$1,RESULTADOS!$1:$1,0))</f>
        <v>#N/A</v>
      </c>
      <c r="G101" s="279" t="e">
        <f ca="1">INDEX(RESULTADOS!$A:$BZ,MATCH($A101,RESULTADOS!$A:$A,0),MATCH(G$1,RESULTADOS!$1:$1,0))</f>
        <v>#N/A</v>
      </c>
      <c r="H101" s="279" t="e">
        <f ca="1">INDEX(RESULTADOS!$A:$BZ,MATCH($A101,RESULTADOS!$A:$A,0),MATCH(H$1,RESULTADOS!$1:$1,0))</f>
        <v>#N/A</v>
      </c>
      <c r="I101" s="279" t="e">
        <f ca="1">INDEX(RESULTADOS!$A:$BZ,MATCH($A101,RESULTADOS!$A:$A,0),MATCH(I$1,RESULTADOS!$1:$1,0))</f>
        <v>#N/A</v>
      </c>
      <c r="J101" s="279" t="e">
        <f ca="1">INDEX(RESULTADOS!$A:$BZ,MATCH($A101,RESULTADOS!$A:$A,0),MATCH(J$1,RESULTADOS!$1:$1,0))</f>
        <v>#N/A</v>
      </c>
      <c r="K101" s="279" t="e">
        <f ca="1">INDEX(RESULTADOS!$A:$BZ,MATCH($A101,RESULTADOS!$A:$A,0),MATCH(K$1,RESULTADOS!$1:$1,0))</f>
        <v>#N/A</v>
      </c>
      <c r="L101" s="279" t="e">
        <f ca="1">INDEX(RESULTADOS!$A:$BZ,MATCH($A101,RESULTADOS!$A:$A,0),MATCH(L$1,RESULTADOS!$1:$1,0))</f>
        <v>#N/A</v>
      </c>
      <c r="M101" s="272" t="e">
        <f t="shared" ca="1" si="2"/>
        <v>#N/A</v>
      </c>
      <c r="N101" s="272" t="e">
        <f t="shared" ca="1" si="12"/>
        <v>#N/A</v>
      </c>
      <c r="O101" s="278" t="e">
        <f t="shared" ca="1" si="13"/>
        <v>#N/A</v>
      </c>
      <c r="P101" s="278" t="e">
        <f t="shared" ca="1" si="14"/>
        <v>#N/A</v>
      </c>
      <c r="Q101" s="272" t="e">
        <f t="shared" ca="1" si="6"/>
        <v>#N/A</v>
      </c>
      <c r="R101" s="272" t="e">
        <f t="shared" ca="1" si="15"/>
        <v>#N/A</v>
      </c>
      <c r="S101" s="278" t="e">
        <f t="shared" ca="1" si="16"/>
        <v>#N/A</v>
      </c>
      <c r="T101" s="278"/>
      <c r="U101" s="272" t="e">
        <f t="shared" ca="1" si="9"/>
        <v>#N/A</v>
      </c>
      <c r="V101" s="272" t="e">
        <f t="shared" ca="1" si="17"/>
        <v>#N/A</v>
      </c>
      <c r="W101" s="272" t="e">
        <f ca="1">INDEX(RESULTADOS!$A:$BZ,MATCH($A101,RESULTADOS!$A:$A,0),MATCH(W$1,RESULTADOS!$1:$1,0))</f>
        <v>#N/A</v>
      </c>
      <c r="Y101" s="272" t="e">
        <f ca="1">INDEX(RESULTADOS!$A:$BZ,MATCH($A101,RESULTADOS!$A:$A,0),MATCH(Y$1,RESULTADOS!$1:$1,0))</f>
        <v>#N/A</v>
      </c>
      <c r="AC101" s="272" t="e">
        <f ca="1">INDEX(RESULTADOS!$A:$BZ,MATCH($A101,RESULTADOS!$A:$A,0),MATCH(AC$1,RESULTADOS!$1:$1,0))</f>
        <v>#N/A</v>
      </c>
      <c r="AE101" s="272" t="e">
        <f ca="1">INDEX(RESULTADOS!$A:$BZ,MATCH($A101,RESULTADOS!$A:$A,0),MATCH(AE$1,RESULTADOS!$1:$1,0))</f>
        <v>#N/A</v>
      </c>
      <c r="AF101" s="272" t="e">
        <f ca="1">INDEX(RESULTADOS!$A:$BZ,MATCH($A101,RESULTADOS!$A:$A,0),MATCH(AF$1,RESULTADOS!$1:$1,0))</f>
        <v>#N/A</v>
      </c>
      <c r="AJ101" s="272" t="e">
        <f ca="1">INDEX(RESULTADOS!$A:$BZ,MATCH($A101,RESULTADOS!$A:$A,0),MATCH(AJ$1,RESULTADOS!$1:$1,0))</f>
        <v>#N/A</v>
      </c>
      <c r="AK101" s="272" t="e">
        <f ca="1">INDEX(RESULTADOS!$A:$BZ,MATCH($A101,RESULTADOS!$A:$A,0),MATCH(AK$1,RESULTADOS!$1:$1,0))</f>
        <v>#N/A</v>
      </c>
      <c r="AO101" s="272" t="e">
        <f ca="1">INDEX(RESULTADOS!$A:$BZ,MATCH($A101,RESULTADOS!$A:$A,0),MATCH(AO$1,RESULTADOS!$1:$1,0))</f>
        <v>#N/A</v>
      </c>
    </row>
    <row r="102" spans="1:41" s="272" customFormat="1" x14ac:dyDescent="0.2">
      <c r="A102" s="273">
        <f t="shared" ca="1" si="11"/>
        <v>43901</v>
      </c>
      <c r="B102" s="53"/>
      <c r="C102" s="53"/>
      <c r="D102" s="52"/>
      <c r="E102" s="279" t="e">
        <f ca="1">INDEX(RESULTADOS!$A:$BZ,MATCH($A102,RESULTADOS!$A:$A,0),MATCH(E$1,RESULTADOS!$1:$1,0))</f>
        <v>#N/A</v>
      </c>
      <c r="F102" s="279" t="e">
        <f ca="1">INDEX(RESULTADOS!$A:$BZ,MATCH($A102,RESULTADOS!$A:$A,0),MATCH(F$1,RESULTADOS!$1:$1,0))</f>
        <v>#N/A</v>
      </c>
      <c r="G102" s="279" t="e">
        <f ca="1">INDEX(RESULTADOS!$A:$BZ,MATCH($A102,RESULTADOS!$A:$A,0),MATCH(G$1,RESULTADOS!$1:$1,0))</f>
        <v>#N/A</v>
      </c>
      <c r="H102" s="279" t="e">
        <f ca="1">INDEX(RESULTADOS!$A:$BZ,MATCH($A102,RESULTADOS!$A:$A,0),MATCH(H$1,RESULTADOS!$1:$1,0))</f>
        <v>#N/A</v>
      </c>
      <c r="I102" s="279" t="e">
        <f ca="1">INDEX(RESULTADOS!$A:$BZ,MATCH($A102,RESULTADOS!$A:$A,0),MATCH(I$1,RESULTADOS!$1:$1,0))</f>
        <v>#N/A</v>
      </c>
      <c r="J102" s="279" t="e">
        <f ca="1">INDEX(RESULTADOS!$A:$BZ,MATCH($A102,RESULTADOS!$A:$A,0),MATCH(J$1,RESULTADOS!$1:$1,0))</f>
        <v>#N/A</v>
      </c>
      <c r="K102" s="279" t="e">
        <f ca="1">INDEX(RESULTADOS!$A:$BZ,MATCH($A102,RESULTADOS!$A:$A,0),MATCH(K$1,RESULTADOS!$1:$1,0))</f>
        <v>#N/A</v>
      </c>
      <c r="L102" s="279" t="e">
        <f ca="1">INDEX(RESULTADOS!$A:$BZ,MATCH($A102,RESULTADOS!$A:$A,0),MATCH(L$1,RESULTADOS!$1:$1,0))</f>
        <v>#N/A</v>
      </c>
      <c r="M102" s="272" t="e">
        <f t="shared" ref="M102:M110" ca="1" si="18">M$4*$F102</f>
        <v>#N/A</v>
      </c>
      <c r="N102" s="272" t="e">
        <f t="shared" ca="1" si="12"/>
        <v>#N/A</v>
      </c>
      <c r="O102" s="278" t="e">
        <f t="shared" ca="1" si="13"/>
        <v>#N/A</v>
      </c>
      <c r="P102" s="278" t="e">
        <f t="shared" ca="1" si="14"/>
        <v>#N/A</v>
      </c>
      <c r="Q102" s="272" t="e">
        <f t="shared" ref="Q102:Q110" ca="1" si="19">Q$4*$I102</f>
        <v>#N/A</v>
      </c>
      <c r="R102" s="272" t="e">
        <f t="shared" ca="1" si="15"/>
        <v>#N/A</v>
      </c>
      <c r="S102" s="278" t="e">
        <f t="shared" ca="1" si="16"/>
        <v>#N/A</v>
      </c>
      <c r="T102" s="278"/>
      <c r="U102" s="272" t="e">
        <f t="shared" ref="U102:U110" ca="1" si="20">U$4*$L102</f>
        <v>#N/A</v>
      </c>
      <c r="V102" s="272" t="e">
        <f t="shared" ca="1" si="17"/>
        <v>#N/A</v>
      </c>
      <c r="W102" s="272" t="e">
        <f ca="1">INDEX(RESULTADOS!$A:$BZ,MATCH($A102,RESULTADOS!$A:$A,0),MATCH(W$1,RESULTADOS!$1:$1,0))</f>
        <v>#N/A</v>
      </c>
      <c r="Y102" s="272" t="e">
        <f ca="1">INDEX(RESULTADOS!$A:$BZ,MATCH($A102,RESULTADOS!$A:$A,0),MATCH(Y$1,RESULTADOS!$1:$1,0))</f>
        <v>#N/A</v>
      </c>
      <c r="AC102" s="272" t="e">
        <f ca="1">INDEX(RESULTADOS!$A:$BZ,MATCH($A102,RESULTADOS!$A:$A,0),MATCH(AC$1,RESULTADOS!$1:$1,0))</f>
        <v>#N/A</v>
      </c>
      <c r="AE102" s="272" t="e">
        <f ca="1">INDEX(RESULTADOS!$A:$BZ,MATCH($A102,RESULTADOS!$A:$A,0),MATCH(AE$1,RESULTADOS!$1:$1,0))</f>
        <v>#N/A</v>
      </c>
      <c r="AF102" s="272" t="e">
        <f ca="1">INDEX(RESULTADOS!$A:$BZ,MATCH($A102,RESULTADOS!$A:$A,0),MATCH(AF$1,RESULTADOS!$1:$1,0))</f>
        <v>#N/A</v>
      </c>
      <c r="AJ102" s="272" t="e">
        <f ca="1">INDEX(RESULTADOS!$A:$BZ,MATCH($A102,RESULTADOS!$A:$A,0),MATCH(AJ$1,RESULTADOS!$1:$1,0))</f>
        <v>#N/A</v>
      </c>
      <c r="AK102" s="272" t="e">
        <f ca="1">INDEX(RESULTADOS!$A:$BZ,MATCH($A102,RESULTADOS!$A:$A,0),MATCH(AK$1,RESULTADOS!$1:$1,0))</f>
        <v>#N/A</v>
      </c>
      <c r="AO102" s="272" t="e">
        <f ca="1">INDEX(RESULTADOS!$A:$BZ,MATCH($A102,RESULTADOS!$A:$A,0),MATCH(AO$1,RESULTADOS!$1:$1,0))</f>
        <v>#N/A</v>
      </c>
    </row>
    <row r="103" spans="1:41" s="272" customFormat="1" x14ac:dyDescent="0.2">
      <c r="A103" s="273">
        <f t="shared" ref="A103:A110" ca="1" si="21">A102+1</f>
        <v>43902</v>
      </c>
      <c r="B103" s="53"/>
      <c r="C103" s="53"/>
      <c r="D103" s="52"/>
      <c r="E103" s="279" t="e">
        <f ca="1">INDEX(RESULTADOS!$A:$BZ,MATCH($A103,RESULTADOS!$A:$A,0),MATCH(E$1,RESULTADOS!$1:$1,0))</f>
        <v>#N/A</v>
      </c>
      <c r="F103" s="279" t="e">
        <f ca="1">INDEX(RESULTADOS!$A:$BZ,MATCH($A103,RESULTADOS!$A:$A,0),MATCH(F$1,RESULTADOS!$1:$1,0))</f>
        <v>#N/A</v>
      </c>
      <c r="G103" s="279" t="e">
        <f ca="1">INDEX(RESULTADOS!$A:$BZ,MATCH($A103,RESULTADOS!$A:$A,0),MATCH(G$1,RESULTADOS!$1:$1,0))</f>
        <v>#N/A</v>
      </c>
      <c r="H103" s="279" t="e">
        <f ca="1">INDEX(RESULTADOS!$A:$BZ,MATCH($A103,RESULTADOS!$A:$A,0),MATCH(H$1,RESULTADOS!$1:$1,0))</f>
        <v>#N/A</v>
      </c>
      <c r="I103" s="279" t="e">
        <f ca="1">INDEX(RESULTADOS!$A:$BZ,MATCH($A103,RESULTADOS!$A:$A,0),MATCH(I$1,RESULTADOS!$1:$1,0))</f>
        <v>#N/A</v>
      </c>
      <c r="J103" s="279" t="e">
        <f ca="1">INDEX(RESULTADOS!$A:$BZ,MATCH($A103,RESULTADOS!$A:$A,0),MATCH(J$1,RESULTADOS!$1:$1,0))</f>
        <v>#N/A</v>
      </c>
      <c r="K103" s="279" t="e">
        <f ca="1">INDEX(RESULTADOS!$A:$BZ,MATCH($A103,RESULTADOS!$A:$A,0),MATCH(K$1,RESULTADOS!$1:$1,0))</f>
        <v>#N/A</v>
      </c>
      <c r="L103" s="279" t="e">
        <f ca="1">INDEX(RESULTADOS!$A:$BZ,MATCH($A103,RESULTADOS!$A:$A,0),MATCH(L$1,RESULTADOS!$1:$1,0))</f>
        <v>#N/A</v>
      </c>
      <c r="M103" s="272" t="e">
        <f t="shared" ca="1" si="18"/>
        <v>#N/A</v>
      </c>
      <c r="N103" s="272" t="e">
        <f t="shared" ca="1" si="12"/>
        <v>#N/A</v>
      </c>
      <c r="O103" s="278" t="e">
        <f t="shared" ca="1" si="13"/>
        <v>#N/A</v>
      </c>
      <c r="P103" s="278" t="e">
        <f t="shared" ca="1" si="14"/>
        <v>#N/A</v>
      </c>
      <c r="Q103" s="272" t="e">
        <f t="shared" ca="1" si="19"/>
        <v>#N/A</v>
      </c>
      <c r="R103" s="272" t="e">
        <f t="shared" ca="1" si="15"/>
        <v>#N/A</v>
      </c>
      <c r="S103" s="278" t="e">
        <f t="shared" ca="1" si="16"/>
        <v>#N/A</v>
      </c>
      <c r="T103" s="278"/>
      <c r="U103" s="272" t="e">
        <f t="shared" ca="1" si="20"/>
        <v>#N/A</v>
      </c>
      <c r="V103" s="272" t="e">
        <f t="shared" ca="1" si="17"/>
        <v>#N/A</v>
      </c>
      <c r="W103" s="272" t="e">
        <f ca="1">INDEX(RESULTADOS!$A:$BZ,MATCH($A103,RESULTADOS!$A:$A,0),MATCH(W$1,RESULTADOS!$1:$1,0))</f>
        <v>#N/A</v>
      </c>
      <c r="Y103" s="272" t="e">
        <f ca="1">INDEX(RESULTADOS!$A:$BZ,MATCH($A103,RESULTADOS!$A:$A,0),MATCH(Y$1,RESULTADOS!$1:$1,0))</f>
        <v>#N/A</v>
      </c>
      <c r="AC103" s="272" t="e">
        <f ca="1">INDEX(RESULTADOS!$A:$BZ,MATCH($A103,RESULTADOS!$A:$A,0),MATCH(AC$1,RESULTADOS!$1:$1,0))</f>
        <v>#N/A</v>
      </c>
      <c r="AE103" s="272" t="e">
        <f ca="1">INDEX(RESULTADOS!$A:$BZ,MATCH($A103,RESULTADOS!$A:$A,0),MATCH(AE$1,RESULTADOS!$1:$1,0))</f>
        <v>#N/A</v>
      </c>
      <c r="AF103" s="272" t="e">
        <f ca="1">INDEX(RESULTADOS!$A:$BZ,MATCH($A103,RESULTADOS!$A:$A,0),MATCH(AF$1,RESULTADOS!$1:$1,0))</f>
        <v>#N/A</v>
      </c>
      <c r="AJ103" s="272" t="e">
        <f ca="1">INDEX(RESULTADOS!$A:$BZ,MATCH($A103,RESULTADOS!$A:$A,0),MATCH(AJ$1,RESULTADOS!$1:$1,0))</f>
        <v>#N/A</v>
      </c>
      <c r="AK103" s="272" t="e">
        <f ca="1">INDEX(RESULTADOS!$A:$BZ,MATCH($A103,RESULTADOS!$A:$A,0),MATCH(AK$1,RESULTADOS!$1:$1,0))</f>
        <v>#N/A</v>
      </c>
      <c r="AO103" s="272" t="e">
        <f ca="1">INDEX(RESULTADOS!$A:$BZ,MATCH($A103,RESULTADOS!$A:$A,0),MATCH(AO$1,RESULTADOS!$1:$1,0))</f>
        <v>#N/A</v>
      </c>
    </row>
    <row r="104" spans="1:41" s="272" customFormat="1" x14ac:dyDescent="0.2">
      <c r="A104" s="273">
        <f t="shared" ca="1" si="21"/>
        <v>43903</v>
      </c>
      <c r="B104" s="53"/>
      <c r="C104" s="53"/>
      <c r="D104" s="52"/>
      <c r="E104" s="279" t="e">
        <f ca="1">INDEX(RESULTADOS!$A:$BZ,MATCH($A104,RESULTADOS!$A:$A,0),MATCH(E$1,RESULTADOS!$1:$1,0))</f>
        <v>#N/A</v>
      </c>
      <c r="F104" s="279" t="e">
        <f ca="1">INDEX(RESULTADOS!$A:$BZ,MATCH($A104,RESULTADOS!$A:$A,0),MATCH(F$1,RESULTADOS!$1:$1,0))</f>
        <v>#N/A</v>
      </c>
      <c r="G104" s="279" t="e">
        <f ca="1">INDEX(RESULTADOS!$A:$BZ,MATCH($A104,RESULTADOS!$A:$A,0),MATCH(G$1,RESULTADOS!$1:$1,0))</f>
        <v>#N/A</v>
      </c>
      <c r="H104" s="279" t="e">
        <f ca="1">INDEX(RESULTADOS!$A:$BZ,MATCH($A104,RESULTADOS!$A:$A,0),MATCH(H$1,RESULTADOS!$1:$1,0))</f>
        <v>#N/A</v>
      </c>
      <c r="I104" s="279" t="e">
        <f ca="1">INDEX(RESULTADOS!$A:$BZ,MATCH($A104,RESULTADOS!$A:$A,0),MATCH(I$1,RESULTADOS!$1:$1,0))</f>
        <v>#N/A</v>
      </c>
      <c r="J104" s="279" t="e">
        <f ca="1">INDEX(RESULTADOS!$A:$BZ,MATCH($A104,RESULTADOS!$A:$A,0),MATCH(J$1,RESULTADOS!$1:$1,0))</f>
        <v>#N/A</v>
      </c>
      <c r="K104" s="279" t="e">
        <f ca="1">INDEX(RESULTADOS!$A:$BZ,MATCH($A104,RESULTADOS!$A:$A,0),MATCH(K$1,RESULTADOS!$1:$1,0))</f>
        <v>#N/A</v>
      </c>
      <c r="L104" s="279" t="e">
        <f ca="1">INDEX(RESULTADOS!$A:$BZ,MATCH($A104,RESULTADOS!$A:$A,0),MATCH(L$1,RESULTADOS!$1:$1,0))</f>
        <v>#N/A</v>
      </c>
      <c r="M104" s="272" t="e">
        <f t="shared" ca="1" si="18"/>
        <v>#N/A</v>
      </c>
      <c r="N104" s="272" t="e">
        <f t="shared" ca="1" si="12"/>
        <v>#N/A</v>
      </c>
      <c r="O104" s="278" t="e">
        <f t="shared" ca="1" si="13"/>
        <v>#N/A</v>
      </c>
      <c r="P104" s="278" t="e">
        <f t="shared" ca="1" si="14"/>
        <v>#N/A</v>
      </c>
      <c r="Q104" s="272" t="e">
        <f t="shared" ca="1" si="19"/>
        <v>#N/A</v>
      </c>
      <c r="R104" s="272" t="e">
        <f t="shared" ca="1" si="15"/>
        <v>#N/A</v>
      </c>
      <c r="S104" s="278" t="e">
        <f t="shared" ca="1" si="16"/>
        <v>#N/A</v>
      </c>
      <c r="T104" s="278"/>
      <c r="U104" s="272" t="e">
        <f t="shared" ca="1" si="20"/>
        <v>#N/A</v>
      </c>
      <c r="V104" s="272" t="e">
        <f t="shared" ca="1" si="17"/>
        <v>#N/A</v>
      </c>
      <c r="W104" s="272" t="e">
        <f ca="1">INDEX(RESULTADOS!$A:$BZ,MATCH($A104,RESULTADOS!$A:$A,0),MATCH(W$1,RESULTADOS!$1:$1,0))</f>
        <v>#N/A</v>
      </c>
      <c r="Y104" s="272" t="e">
        <f ca="1">INDEX(RESULTADOS!$A:$BZ,MATCH($A104,RESULTADOS!$A:$A,0),MATCH(Y$1,RESULTADOS!$1:$1,0))</f>
        <v>#N/A</v>
      </c>
      <c r="AC104" s="272" t="e">
        <f ca="1">INDEX(RESULTADOS!$A:$BZ,MATCH($A104,RESULTADOS!$A:$A,0),MATCH(AC$1,RESULTADOS!$1:$1,0))</f>
        <v>#N/A</v>
      </c>
      <c r="AE104" s="272" t="e">
        <f ca="1">INDEX(RESULTADOS!$A:$BZ,MATCH($A104,RESULTADOS!$A:$A,0),MATCH(AE$1,RESULTADOS!$1:$1,0))</f>
        <v>#N/A</v>
      </c>
      <c r="AF104" s="272" t="e">
        <f ca="1">INDEX(RESULTADOS!$A:$BZ,MATCH($A104,RESULTADOS!$A:$A,0),MATCH(AF$1,RESULTADOS!$1:$1,0))</f>
        <v>#N/A</v>
      </c>
      <c r="AJ104" s="272" t="e">
        <f ca="1">INDEX(RESULTADOS!$A:$BZ,MATCH($A104,RESULTADOS!$A:$A,0),MATCH(AJ$1,RESULTADOS!$1:$1,0))</f>
        <v>#N/A</v>
      </c>
      <c r="AK104" s="272" t="e">
        <f ca="1">INDEX(RESULTADOS!$A:$BZ,MATCH($A104,RESULTADOS!$A:$A,0),MATCH(AK$1,RESULTADOS!$1:$1,0))</f>
        <v>#N/A</v>
      </c>
      <c r="AO104" s="272" t="e">
        <f ca="1">INDEX(RESULTADOS!$A:$BZ,MATCH($A104,RESULTADOS!$A:$A,0),MATCH(AO$1,RESULTADOS!$1:$1,0))</f>
        <v>#N/A</v>
      </c>
    </row>
    <row r="105" spans="1:41" s="272" customFormat="1" x14ac:dyDescent="0.2">
      <c r="A105" s="273">
        <f t="shared" ca="1" si="21"/>
        <v>43904</v>
      </c>
      <c r="B105" s="53"/>
      <c r="C105" s="53"/>
      <c r="D105" s="52"/>
      <c r="E105" s="279" t="e">
        <f ca="1">INDEX(RESULTADOS!$A:$BZ,MATCH($A105,RESULTADOS!$A:$A,0),MATCH(E$1,RESULTADOS!$1:$1,0))</f>
        <v>#N/A</v>
      </c>
      <c r="F105" s="279" t="e">
        <f ca="1">INDEX(RESULTADOS!$A:$BZ,MATCH($A105,RESULTADOS!$A:$A,0),MATCH(F$1,RESULTADOS!$1:$1,0))</f>
        <v>#N/A</v>
      </c>
      <c r="G105" s="279" t="e">
        <f ca="1">INDEX(RESULTADOS!$A:$BZ,MATCH($A105,RESULTADOS!$A:$A,0),MATCH(G$1,RESULTADOS!$1:$1,0))</f>
        <v>#N/A</v>
      </c>
      <c r="H105" s="279" t="e">
        <f ca="1">INDEX(RESULTADOS!$A:$BZ,MATCH($A105,RESULTADOS!$A:$A,0),MATCH(H$1,RESULTADOS!$1:$1,0))</f>
        <v>#N/A</v>
      </c>
      <c r="I105" s="279" t="e">
        <f ca="1">INDEX(RESULTADOS!$A:$BZ,MATCH($A105,RESULTADOS!$A:$A,0),MATCH(I$1,RESULTADOS!$1:$1,0))</f>
        <v>#N/A</v>
      </c>
      <c r="J105" s="279" t="e">
        <f ca="1">INDEX(RESULTADOS!$A:$BZ,MATCH($A105,RESULTADOS!$A:$A,0),MATCH(J$1,RESULTADOS!$1:$1,0))</f>
        <v>#N/A</v>
      </c>
      <c r="K105" s="279" t="e">
        <f ca="1">INDEX(RESULTADOS!$A:$BZ,MATCH($A105,RESULTADOS!$A:$A,0),MATCH(K$1,RESULTADOS!$1:$1,0))</f>
        <v>#N/A</v>
      </c>
      <c r="L105" s="279" t="e">
        <f ca="1">INDEX(RESULTADOS!$A:$BZ,MATCH($A105,RESULTADOS!$A:$A,0),MATCH(L$1,RESULTADOS!$1:$1,0))</f>
        <v>#N/A</v>
      </c>
      <c r="M105" s="272" t="e">
        <f t="shared" ca="1" si="18"/>
        <v>#N/A</v>
      </c>
      <c r="N105" s="272" t="e">
        <f t="shared" ca="1" si="12"/>
        <v>#N/A</v>
      </c>
      <c r="O105" s="278" t="e">
        <f t="shared" ca="1" si="13"/>
        <v>#N/A</v>
      </c>
      <c r="P105" s="278" t="e">
        <f t="shared" ca="1" si="14"/>
        <v>#N/A</v>
      </c>
      <c r="Q105" s="272" t="e">
        <f t="shared" ca="1" si="19"/>
        <v>#N/A</v>
      </c>
      <c r="R105" s="272" t="e">
        <f t="shared" ca="1" si="15"/>
        <v>#N/A</v>
      </c>
      <c r="S105" s="278" t="e">
        <f t="shared" ca="1" si="16"/>
        <v>#N/A</v>
      </c>
      <c r="T105" s="278"/>
      <c r="U105" s="272" t="e">
        <f t="shared" ca="1" si="20"/>
        <v>#N/A</v>
      </c>
      <c r="V105" s="272" t="e">
        <f t="shared" ca="1" si="17"/>
        <v>#N/A</v>
      </c>
      <c r="W105" s="272" t="e">
        <f ca="1">INDEX(RESULTADOS!$A:$BZ,MATCH($A105,RESULTADOS!$A:$A,0),MATCH(W$1,RESULTADOS!$1:$1,0))</f>
        <v>#N/A</v>
      </c>
      <c r="Y105" s="272" t="e">
        <f ca="1">INDEX(RESULTADOS!$A:$BZ,MATCH($A105,RESULTADOS!$A:$A,0),MATCH(Y$1,RESULTADOS!$1:$1,0))</f>
        <v>#N/A</v>
      </c>
      <c r="AC105" s="272" t="e">
        <f ca="1">INDEX(RESULTADOS!$A:$BZ,MATCH($A105,RESULTADOS!$A:$A,0),MATCH(AC$1,RESULTADOS!$1:$1,0))</f>
        <v>#N/A</v>
      </c>
      <c r="AE105" s="272" t="e">
        <f ca="1">INDEX(RESULTADOS!$A:$BZ,MATCH($A105,RESULTADOS!$A:$A,0),MATCH(AE$1,RESULTADOS!$1:$1,0))</f>
        <v>#N/A</v>
      </c>
      <c r="AF105" s="272" t="e">
        <f ca="1">INDEX(RESULTADOS!$A:$BZ,MATCH($A105,RESULTADOS!$A:$A,0),MATCH(AF$1,RESULTADOS!$1:$1,0))</f>
        <v>#N/A</v>
      </c>
      <c r="AJ105" s="272" t="e">
        <f ca="1">INDEX(RESULTADOS!$A:$BZ,MATCH($A105,RESULTADOS!$A:$A,0),MATCH(AJ$1,RESULTADOS!$1:$1,0))</f>
        <v>#N/A</v>
      </c>
      <c r="AK105" s="272" t="e">
        <f ca="1">INDEX(RESULTADOS!$A:$BZ,MATCH($A105,RESULTADOS!$A:$A,0),MATCH(AK$1,RESULTADOS!$1:$1,0))</f>
        <v>#N/A</v>
      </c>
      <c r="AO105" s="272" t="e">
        <f ca="1">INDEX(RESULTADOS!$A:$BZ,MATCH($A105,RESULTADOS!$A:$A,0),MATCH(AO$1,RESULTADOS!$1:$1,0))</f>
        <v>#N/A</v>
      </c>
    </row>
    <row r="106" spans="1:41" s="272" customFormat="1" x14ac:dyDescent="0.2">
      <c r="A106" s="273">
        <f t="shared" ca="1" si="21"/>
        <v>43905</v>
      </c>
      <c r="B106" s="53"/>
      <c r="C106" s="53"/>
      <c r="D106" s="52"/>
      <c r="E106" s="279" t="e">
        <f ca="1">INDEX(RESULTADOS!$A:$BZ,MATCH($A106,RESULTADOS!$A:$A,0),MATCH(E$1,RESULTADOS!$1:$1,0))</f>
        <v>#N/A</v>
      </c>
      <c r="F106" s="279" t="e">
        <f ca="1">INDEX(RESULTADOS!$A:$BZ,MATCH($A106,RESULTADOS!$A:$A,0),MATCH(F$1,RESULTADOS!$1:$1,0))</f>
        <v>#N/A</v>
      </c>
      <c r="G106" s="279" t="e">
        <f ca="1">INDEX(RESULTADOS!$A:$BZ,MATCH($A106,RESULTADOS!$A:$A,0),MATCH(G$1,RESULTADOS!$1:$1,0))</f>
        <v>#N/A</v>
      </c>
      <c r="H106" s="279" t="e">
        <f ca="1">INDEX(RESULTADOS!$A:$BZ,MATCH($A106,RESULTADOS!$A:$A,0),MATCH(H$1,RESULTADOS!$1:$1,0))</f>
        <v>#N/A</v>
      </c>
      <c r="I106" s="279" t="e">
        <f ca="1">INDEX(RESULTADOS!$A:$BZ,MATCH($A106,RESULTADOS!$A:$A,0),MATCH(I$1,RESULTADOS!$1:$1,0))</f>
        <v>#N/A</v>
      </c>
      <c r="J106" s="279" t="e">
        <f ca="1">INDEX(RESULTADOS!$A:$BZ,MATCH($A106,RESULTADOS!$A:$A,0),MATCH(J$1,RESULTADOS!$1:$1,0))</f>
        <v>#N/A</v>
      </c>
      <c r="K106" s="279" t="e">
        <f ca="1">INDEX(RESULTADOS!$A:$BZ,MATCH($A106,RESULTADOS!$A:$A,0),MATCH(K$1,RESULTADOS!$1:$1,0))</f>
        <v>#N/A</v>
      </c>
      <c r="L106" s="279" t="e">
        <f ca="1">INDEX(RESULTADOS!$A:$BZ,MATCH($A106,RESULTADOS!$A:$A,0),MATCH(L$1,RESULTADOS!$1:$1,0))</f>
        <v>#N/A</v>
      </c>
      <c r="M106" s="272" t="e">
        <f t="shared" ca="1" si="18"/>
        <v>#N/A</v>
      </c>
      <c r="N106" s="272" t="e">
        <f t="shared" ca="1" si="12"/>
        <v>#N/A</v>
      </c>
      <c r="O106" s="278" t="e">
        <f t="shared" ca="1" si="13"/>
        <v>#N/A</v>
      </c>
      <c r="P106" s="278" t="e">
        <f t="shared" ca="1" si="14"/>
        <v>#N/A</v>
      </c>
      <c r="Q106" s="272" t="e">
        <f t="shared" ca="1" si="19"/>
        <v>#N/A</v>
      </c>
      <c r="R106" s="272" t="e">
        <f t="shared" ca="1" si="15"/>
        <v>#N/A</v>
      </c>
      <c r="S106" s="278" t="e">
        <f t="shared" ca="1" si="16"/>
        <v>#N/A</v>
      </c>
      <c r="T106" s="278"/>
      <c r="U106" s="272" t="e">
        <f t="shared" ca="1" si="20"/>
        <v>#N/A</v>
      </c>
      <c r="V106" s="272" t="e">
        <f t="shared" ca="1" si="17"/>
        <v>#N/A</v>
      </c>
      <c r="W106" s="272" t="e">
        <f ca="1">INDEX(RESULTADOS!$A:$BZ,MATCH($A106,RESULTADOS!$A:$A,0),MATCH(W$1,RESULTADOS!$1:$1,0))</f>
        <v>#N/A</v>
      </c>
      <c r="Y106" s="272" t="e">
        <f ca="1">INDEX(RESULTADOS!$A:$BZ,MATCH($A106,RESULTADOS!$A:$A,0),MATCH(Y$1,RESULTADOS!$1:$1,0))</f>
        <v>#N/A</v>
      </c>
      <c r="AC106" s="272" t="e">
        <f ca="1">INDEX(RESULTADOS!$A:$BZ,MATCH($A106,RESULTADOS!$A:$A,0),MATCH(AC$1,RESULTADOS!$1:$1,0))</f>
        <v>#N/A</v>
      </c>
      <c r="AE106" s="272" t="e">
        <f ca="1">INDEX(RESULTADOS!$A:$BZ,MATCH($A106,RESULTADOS!$A:$A,0),MATCH(AE$1,RESULTADOS!$1:$1,0))</f>
        <v>#N/A</v>
      </c>
      <c r="AF106" s="272" t="e">
        <f ca="1">INDEX(RESULTADOS!$A:$BZ,MATCH($A106,RESULTADOS!$A:$A,0),MATCH(AF$1,RESULTADOS!$1:$1,0))</f>
        <v>#N/A</v>
      </c>
      <c r="AJ106" s="272" t="e">
        <f ca="1">INDEX(RESULTADOS!$A:$BZ,MATCH($A106,RESULTADOS!$A:$A,0),MATCH(AJ$1,RESULTADOS!$1:$1,0))</f>
        <v>#N/A</v>
      </c>
      <c r="AK106" s="272" t="e">
        <f ca="1">INDEX(RESULTADOS!$A:$BZ,MATCH($A106,RESULTADOS!$A:$A,0),MATCH(AK$1,RESULTADOS!$1:$1,0))</f>
        <v>#N/A</v>
      </c>
      <c r="AO106" s="272" t="e">
        <f ca="1">INDEX(RESULTADOS!$A:$BZ,MATCH($A106,RESULTADOS!$A:$A,0),MATCH(AO$1,RESULTADOS!$1:$1,0))</f>
        <v>#N/A</v>
      </c>
    </row>
    <row r="107" spans="1:41" s="272" customFormat="1" x14ac:dyDescent="0.2">
      <c r="A107" s="273">
        <f t="shared" ca="1" si="21"/>
        <v>43906</v>
      </c>
      <c r="B107" s="53"/>
      <c r="C107" s="53"/>
      <c r="D107" s="52"/>
      <c r="E107" s="279" t="e">
        <f ca="1">INDEX(RESULTADOS!$A:$BZ,MATCH($A107,RESULTADOS!$A:$A,0),MATCH(E$1,RESULTADOS!$1:$1,0))</f>
        <v>#N/A</v>
      </c>
      <c r="F107" s="279" t="e">
        <f ca="1">INDEX(RESULTADOS!$A:$BZ,MATCH($A107,RESULTADOS!$A:$A,0),MATCH(F$1,RESULTADOS!$1:$1,0))</f>
        <v>#N/A</v>
      </c>
      <c r="G107" s="279" t="e">
        <f ca="1">INDEX(RESULTADOS!$A:$BZ,MATCH($A107,RESULTADOS!$A:$A,0),MATCH(G$1,RESULTADOS!$1:$1,0))</f>
        <v>#N/A</v>
      </c>
      <c r="H107" s="279" t="e">
        <f ca="1">INDEX(RESULTADOS!$A:$BZ,MATCH($A107,RESULTADOS!$A:$A,0),MATCH(H$1,RESULTADOS!$1:$1,0))</f>
        <v>#N/A</v>
      </c>
      <c r="I107" s="279" t="e">
        <f ca="1">INDEX(RESULTADOS!$A:$BZ,MATCH($A107,RESULTADOS!$A:$A,0),MATCH(I$1,RESULTADOS!$1:$1,0))</f>
        <v>#N/A</v>
      </c>
      <c r="J107" s="279" t="e">
        <f ca="1">INDEX(RESULTADOS!$A:$BZ,MATCH($A107,RESULTADOS!$A:$A,0),MATCH(J$1,RESULTADOS!$1:$1,0))</f>
        <v>#N/A</v>
      </c>
      <c r="K107" s="279" t="e">
        <f ca="1">INDEX(RESULTADOS!$A:$BZ,MATCH($A107,RESULTADOS!$A:$A,0),MATCH(K$1,RESULTADOS!$1:$1,0))</f>
        <v>#N/A</v>
      </c>
      <c r="L107" s="279" t="e">
        <f ca="1">INDEX(RESULTADOS!$A:$BZ,MATCH($A107,RESULTADOS!$A:$A,0),MATCH(L$1,RESULTADOS!$1:$1,0))</f>
        <v>#N/A</v>
      </c>
      <c r="M107" s="272" t="e">
        <f t="shared" ca="1" si="18"/>
        <v>#N/A</v>
      </c>
      <c r="N107" s="272" t="e">
        <f t="shared" ca="1" si="12"/>
        <v>#N/A</v>
      </c>
      <c r="O107" s="278" t="e">
        <f t="shared" ca="1" si="13"/>
        <v>#N/A</v>
      </c>
      <c r="P107" s="278" t="e">
        <f t="shared" ca="1" si="14"/>
        <v>#N/A</v>
      </c>
      <c r="Q107" s="272" t="e">
        <f t="shared" ca="1" si="19"/>
        <v>#N/A</v>
      </c>
      <c r="R107" s="272" t="e">
        <f t="shared" ca="1" si="15"/>
        <v>#N/A</v>
      </c>
      <c r="S107" s="278" t="e">
        <f t="shared" ca="1" si="16"/>
        <v>#N/A</v>
      </c>
      <c r="T107" s="278"/>
      <c r="U107" s="272" t="e">
        <f t="shared" ca="1" si="20"/>
        <v>#N/A</v>
      </c>
      <c r="V107" s="272" t="e">
        <f t="shared" ca="1" si="17"/>
        <v>#N/A</v>
      </c>
      <c r="W107" s="272" t="e">
        <f ca="1">INDEX(RESULTADOS!$A:$BZ,MATCH($A107,RESULTADOS!$A:$A,0),MATCH(W$1,RESULTADOS!$1:$1,0))</f>
        <v>#N/A</v>
      </c>
      <c r="Y107" s="272" t="e">
        <f ca="1">INDEX(RESULTADOS!$A:$BZ,MATCH($A107,RESULTADOS!$A:$A,0),MATCH(Y$1,RESULTADOS!$1:$1,0))</f>
        <v>#N/A</v>
      </c>
      <c r="AC107" s="272" t="e">
        <f ca="1">INDEX(RESULTADOS!$A:$BZ,MATCH($A107,RESULTADOS!$A:$A,0),MATCH(AC$1,RESULTADOS!$1:$1,0))</f>
        <v>#N/A</v>
      </c>
      <c r="AE107" s="272" t="e">
        <f ca="1">INDEX(RESULTADOS!$A:$BZ,MATCH($A107,RESULTADOS!$A:$A,0),MATCH(AE$1,RESULTADOS!$1:$1,0))</f>
        <v>#N/A</v>
      </c>
      <c r="AF107" s="272" t="e">
        <f ca="1">INDEX(RESULTADOS!$A:$BZ,MATCH($A107,RESULTADOS!$A:$A,0),MATCH(AF$1,RESULTADOS!$1:$1,0))</f>
        <v>#N/A</v>
      </c>
      <c r="AJ107" s="272" t="e">
        <f ca="1">INDEX(RESULTADOS!$A:$BZ,MATCH($A107,RESULTADOS!$A:$A,0),MATCH(AJ$1,RESULTADOS!$1:$1,0))</f>
        <v>#N/A</v>
      </c>
      <c r="AK107" s="272" t="e">
        <f ca="1">INDEX(RESULTADOS!$A:$BZ,MATCH($A107,RESULTADOS!$A:$A,0),MATCH(AK$1,RESULTADOS!$1:$1,0))</f>
        <v>#N/A</v>
      </c>
      <c r="AO107" s="272" t="e">
        <f ca="1">INDEX(RESULTADOS!$A:$BZ,MATCH($A107,RESULTADOS!$A:$A,0),MATCH(AO$1,RESULTADOS!$1:$1,0))</f>
        <v>#N/A</v>
      </c>
    </row>
    <row r="108" spans="1:41" s="272" customFormat="1" x14ac:dyDescent="0.2">
      <c r="A108" s="273">
        <f t="shared" ca="1" si="21"/>
        <v>43907</v>
      </c>
      <c r="B108" s="53"/>
      <c r="C108" s="53"/>
      <c r="D108" s="52"/>
      <c r="E108" s="279" t="e">
        <f ca="1">INDEX(RESULTADOS!$A:$BZ,MATCH($A108,RESULTADOS!$A:$A,0),MATCH(E$1,RESULTADOS!$1:$1,0))</f>
        <v>#N/A</v>
      </c>
      <c r="F108" s="279" t="e">
        <f ca="1">INDEX(RESULTADOS!$A:$BZ,MATCH($A108,RESULTADOS!$A:$A,0),MATCH(F$1,RESULTADOS!$1:$1,0))</f>
        <v>#N/A</v>
      </c>
      <c r="G108" s="279" t="e">
        <f ca="1">INDEX(RESULTADOS!$A:$BZ,MATCH($A108,RESULTADOS!$A:$A,0),MATCH(G$1,RESULTADOS!$1:$1,0))</f>
        <v>#N/A</v>
      </c>
      <c r="H108" s="279" t="e">
        <f ca="1">INDEX(RESULTADOS!$A:$BZ,MATCH($A108,RESULTADOS!$A:$A,0),MATCH(H$1,RESULTADOS!$1:$1,0))</f>
        <v>#N/A</v>
      </c>
      <c r="I108" s="279" t="e">
        <f ca="1">INDEX(RESULTADOS!$A:$BZ,MATCH($A108,RESULTADOS!$A:$A,0),MATCH(I$1,RESULTADOS!$1:$1,0))</f>
        <v>#N/A</v>
      </c>
      <c r="J108" s="279" t="e">
        <f ca="1">INDEX(RESULTADOS!$A:$BZ,MATCH($A108,RESULTADOS!$A:$A,0),MATCH(J$1,RESULTADOS!$1:$1,0))</f>
        <v>#N/A</v>
      </c>
      <c r="K108" s="279" t="e">
        <f ca="1">INDEX(RESULTADOS!$A:$BZ,MATCH($A108,RESULTADOS!$A:$A,0),MATCH(K$1,RESULTADOS!$1:$1,0))</f>
        <v>#N/A</v>
      </c>
      <c r="L108" s="279" t="e">
        <f ca="1">INDEX(RESULTADOS!$A:$BZ,MATCH($A108,RESULTADOS!$A:$A,0),MATCH(L$1,RESULTADOS!$1:$1,0))</f>
        <v>#N/A</v>
      </c>
      <c r="M108" s="272" t="e">
        <f t="shared" ca="1" si="18"/>
        <v>#N/A</v>
      </c>
      <c r="N108" s="272" t="e">
        <f t="shared" ca="1" si="12"/>
        <v>#N/A</v>
      </c>
      <c r="O108" s="278" t="e">
        <f t="shared" ca="1" si="13"/>
        <v>#N/A</v>
      </c>
      <c r="P108" s="278" t="e">
        <f t="shared" ca="1" si="14"/>
        <v>#N/A</v>
      </c>
      <c r="Q108" s="272" t="e">
        <f t="shared" ca="1" si="19"/>
        <v>#N/A</v>
      </c>
      <c r="R108" s="272" t="e">
        <f t="shared" ca="1" si="15"/>
        <v>#N/A</v>
      </c>
      <c r="S108" s="278" t="e">
        <f t="shared" ca="1" si="16"/>
        <v>#N/A</v>
      </c>
      <c r="T108" s="278"/>
      <c r="U108" s="272" t="e">
        <f t="shared" ca="1" si="20"/>
        <v>#N/A</v>
      </c>
      <c r="V108" s="272" t="e">
        <f t="shared" ca="1" si="17"/>
        <v>#N/A</v>
      </c>
      <c r="W108" s="272" t="e">
        <f ca="1">INDEX(RESULTADOS!$A:$BZ,MATCH($A108,RESULTADOS!$A:$A,0),MATCH(W$1,RESULTADOS!$1:$1,0))</f>
        <v>#N/A</v>
      </c>
      <c r="Y108" s="272" t="e">
        <f ca="1">INDEX(RESULTADOS!$A:$BZ,MATCH($A108,RESULTADOS!$A:$A,0),MATCH(Y$1,RESULTADOS!$1:$1,0))</f>
        <v>#N/A</v>
      </c>
      <c r="AC108" s="272" t="e">
        <f ca="1">INDEX(RESULTADOS!$A:$BZ,MATCH($A108,RESULTADOS!$A:$A,0),MATCH(AC$1,RESULTADOS!$1:$1,0))</f>
        <v>#N/A</v>
      </c>
      <c r="AE108" s="272" t="e">
        <f ca="1">INDEX(RESULTADOS!$A:$BZ,MATCH($A108,RESULTADOS!$A:$A,0),MATCH(AE$1,RESULTADOS!$1:$1,0))</f>
        <v>#N/A</v>
      </c>
      <c r="AF108" s="272" t="e">
        <f ca="1">INDEX(RESULTADOS!$A:$BZ,MATCH($A108,RESULTADOS!$A:$A,0),MATCH(AF$1,RESULTADOS!$1:$1,0))</f>
        <v>#N/A</v>
      </c>
      <c r="AJ108" s="272" t="e">
        <f ca="1">INDEX(RESULTADOS!$A:$BZ,MATCH($A108,RESULTADOS!$A:$A,0),MATCH(AJ$1,RESULTADOS!$1:$1,0))</f>
        <v>#N/A</v>
      </c>
      <c r="AK108" s="272" t="e">
        <f ca="1">INDEX(RESULTADOS!$A:$BZ,MATCH($A108,RESULTADOS!$A:$A,0),MATCH(AK$1,RESULTADOS!$1:$1,0))</f>
        <v>#N/A</v>
      </c>
      <c r="AO108" s="272" t="e">
        <f ca="1">INDEX(RESULTADOS!$A:$BZ,MATCH($A108,RESULTADOS!$A:$A,0),MATCH(AO$1,RESULTADOS!$1:$1,0))</f>
        <v>#N/A</v>
      </c>
    </row>
    <row r="109" spans="1:41" s="272" customFormat="1" x14ac:dyDescent="0.2">
      <c r="A109" s="273">
        <f t="shared" ca="1" si="21"/>
        <v>43908</v>
      </c>
      <c r="B109" s="53"/>
      <c r="C109" s="53"/>
      <c r="D109" s="52"/>
      <c r="E109" s="279" t="e">
        <f ca="1">INDEX(RESULTADOS!$A:$BZ,MATCH($A109,RESULTADOS!$A:$A,0),MATCH(E$1,RESULTADOS!$1:$1,0))</f>
        <v>#N/A</v>
      </c>
      <c r="F109" s="279" t="e">
        <f ca="1">INDEX(RESULTADOS!$A:$BZ,MATCH($A109,RESULTADOS!$A:$A,0),MATCH(F$1,RESULTADOS!$1:$1,0))</f>
        <v>#N/A</v>
      </c>
      <c r="G109" s="279" t="e">
        <f ca="1">INDEX(RESULTADOS!$A:$BZ,MATCH($A109,RESULTADOS!$A:$A,0),MATCH(G$1,RESULTADOS!$1:$1,0))</f>
        <v>#N/A</v>
      </c>
      <c r="H109" s="279" t="e">
        <f ca="1">INDEX(RESULTADOS!$A:$BZ,MATCH($A109,RESULTADOS!$A:$A,0),MATCH(H$1,RESULTADOS!$1:$1,0))</f>
        <v>#N/A</v>
      </c>
      <c r="I109" s="279" t="e">
        <f ca="1">INDEX(RESULTADOS!$A:$BZ,MATCH($A109,RESULTADOS!$A:$A,0),MATCH(I$1,RESULTADOS!$1:$1,0))</f>
        <v>#N/A</v>
      </c>
      <c r="J109" s="279" t="e">
        <f ca="1">INDEX(RESULTADOS!$A:$BZ,MATCH($A109,RESULTADOS!$A:$A,0),MATCH(J$1,RESULTADOS!$1:$1,0))</f>
        <v>#N/A</v>
      </c>
      <c r="K109" s="279" t="e">
        <f ca="1">INDEX(RESULTADOS!$A:$BZ,MATCH($A109,RESULTADOS!$A:$A,0),MATCH(K$1,RESULTADOS!$1:$1,0))</f>
        <v>#N/A</v>
      </c>
      <c r="L109" s="279" t="e">
        <f ca="1">INDEX(RESULTADOS!$A:$BZ,MATCH($A109,RESULTADOS!$A:$A,0),MATCH(L$1,RESULTADOS!$1:$1,0))</f>
        <v>#N/A</v>
      </c>
      <c r="M109" s="272" t="e">
        <f t="shared" ca="1" si="18"/>
        <v>#N/A</v>
      </c>
      <c r="N109" s="272" t="e">
        <f t="shared" ca="1" si="12"/>
        <v>#N/A</v>
      </c>
      <c r="O109" s="278" t="e">
        <f t="shared" ca="1" si="13"/>
        <v>#N/A</v>
      </c>
      <c r="P109" s="278" t="e">
        <f t="shared" ca="1" si="14"/>
        <v>#N/A</v>
      </c>
      <c r="Q109" s="272" t="e">
        <f t="shared" ca="1" si="19"/>
        <v>#N/A</v>
      </c>
      <c r="R109" s="272" t="e">
        <f t="shared" ca="1" si="15"/>
        <v>#N/A</v>
      </c>
      <c r="S109" s="278" t="e">
        <f t="shared" ca="1" si="16"/>
        <v>#N/A</v>
      </c>
      <c r="T109" s="278"/>
      <c r="U109" s="272" t="e">
        <f t="shared" ca="1" si="20"/>
        <v>#N/A</v>
      </c>
      <c r="V109" s="272" t="e">
        <f t="shared" ca="1" si="17"/>
        <v>#N/A</v>
      </c>
      <c r="W109" s="272" t="e">
        <f ca="1">INDEX(RESULTADOS!$A:$BZ,MATCH($A109,RESULTADOS!$A:$A,0),MATCH(W$1,RESULTADOS!$1:$1,0))</f>
        <v>#N/A</v>
      </c>
      <c r="Y109" s="272" t="e">
        <f ca="1">INDEX(RESULTADOS!$A:$BZ,MATCH($A109,RESULTADOS!$A:$A,0),MATCH(Y$1,RESULTADOS!$1:$1,0))</f>
        <v>#N/A</v>
      </c>
      <c r="AC109" s="272" t="e">
        <f ca="1">INDEX(RESULTADOS!$A:$BZ,MATCH($A109,RESULTADOS!$A:$A,0),MATCH(AC$1,RESULTADOS!$1:$1,0))</f>
        <v>#N/A</v>
      </c>
      <c r="AE109" s="272" t="e">
        <f ca="1">INDEX(RESULTADOS!$A:$BZ,MATCH($A109,RESULTADOS!$A:$A,0),MATCH(AE$1,RESULTADOS!$1:$1,0))</f>
        <v>#N/A</v>
      </c>
      <c r="AF109" s="272" t="e">
        <f ca="1">INDEX(RESULTADOS!$A:$BZ,MATCH($A109,RESULTADOS!$A:$A,0),MATCH(AF$1,RESULTADOS!$1:$1,0))</f>
        <v>#N/A</v>
      </c>
      <c r="AJ109" s="272" t="e">
        <f ca="1">INDEX(RESULTADOS!$A:$BZ,MATCH($A109,RESULTADOS!$A:$A,0),MATCH(AJ$1,RESULTADOS!$1:$1,0))</f>
        <v>#N/A</v>
      </c>
      <c r="AK109" s="272" t="e">
        <f ca="1">INDEX(RESULTADOS!$A:$BZ,MATCH($A109,RESULTADOS!$A:$A,0),MATCH(AK$1,RESULTADOS!$1:$1,0))</f>
        <v>#N/A</v>
      </c>
      <c r="AO109" s="272" t="e">
        <f ca="1">INDEX(RESULTADOS!$A:$BZ,MATCH($A109,RESULTADOS!$A:$A,0),MATCH(AO$1,RESULTADOS!$1:$1,0))</f>
        <v>#N/A</v>
      </c>
    </row>
    <row r="110" spans="1:41" s="272" customFormat="1" x14ac:dyDescent="0.2">
      <c r="A110" s="273">
        <f t="shared" ca="1" si="21"/>
        <v>43909</v>
      </c>
      <c r="B110" s="53"/>
      <c r="C110" s="53"/>
      <c r="D110" s="52"/>
      <c r="E110" s="279" t="e">
        <f ca="1">INDEX(RESULTADOS!$A:$BZ,MATCH($A110,RESULTADOS!$A:$A,0),MATCH(E$1,RESULTADOS!$1:$1,0))</f>
        <v>#N/A</v>
      </c>
      <c r="F110" s="279" t="e">
        <f ca="1">INDEX(RESULTADOS!$A:$BZ,MATCH($A110,RESULTADOS!$A:$A,0),MATCH(F$1,RESULTADOS!$1:$1,0))</f>
        <v>#N/A</v>
      </c>
      <c r="G110" s="279" t="e">
        <f ca="1">INDEX(RESULTADOS!$A:$BZ,MATCH($A110,RESULTADOS!$A:$A,0),MATCH(G$1,RESULTADOS!$1:$1,0))</f>
        <v>#N/A</v>
      </c>
      <c r="H110" s="279" t="e">
        <f ca="1">INDEX(RESULTADOS!$A:$BZ,MATCH($A110,RESULTADOS!$A:$A,0),MATCH(H$1,RESULTADOS!$1:$1,0))</f>
        <v>#N/A</v>
      </c>
      <c r="I110" s="279" t="e">
        <f ca="1">INDEX(RESULTADOS!$A:$BZ,MATCH($A110,RESULTADOS!$A:$A,0),MATCH(I$1,RESULTADOS!$1:$1,0))</f>
        <v>#N/A</v>
      </c>
      <c r="J110" s="279" t="e">
        <f ca="1">INDEX(RESULTADOS!$A:$BZ,MATCH($A110,RESULTADOS!$A:$A,0),MATCH(J$1,RESULTADOS!$1:$1,0))</f>
        <v>#N/A</v>
      </c>
      <c r="K110" s="279" t="e">
        <f ca="1">INDEX(RESULTADOS!$A:$BZ,MATCH($A110,RESULTADOS!$A:$A,0),MATCH(K$1,RESULTADOS!$1:$1,0))</f>
        <v>#N/A</v>
      </c>
      <c r="L110" s="279" t="e">
        <f ca="1">INDEX(RESULTADOS!$A:$BZ,MATCH($A110,RESULTADOS!$A:$A,0),MATCH(L$1,RESULTADOS!$1:$1,0))</f>
        <v>#N/A</v>
      </c>
      <c r="M110" s="272" t="e">
        <f t="shared" ca="1" si="18"/>
        <v>#N/A</v>
      </c>
      <c r="N110" s="272" t="e">
        <f t="shared" ca="1" si="12"/>
        <v>#N/A</v>
      </c>
      <c r="O110" s="278" t="e">
        <f t="shared" ca="1" si="13"/>
        <v>#N/A</v>
      </c>
      <c r="P110" s="278" t="e">
        <f t="shared" ca="1" si="14"/>
        <v>#N/A</v>
      </c>
      <c r="Q110" s="272" t="e">
        <f t="shared" ca="1" si="19"/>
        <v>#N/A</v>
      </c>
      <c r="R110" s="272" t="e">
        <f t="shared" ca="1" si="15"/>
        <v>#N/A</v>
      </c>
      <c r="S110" s="278" t="e">
        <f t="shared" ca="1" si="16"/>
        <v>#N/A</v>
      </c>
      <c r="T110" s="278"/>
      <c r="U110" s="272" t="e">
        <f t="shared" ca="1" si="20"/>
        <v>#N/A</v>
      </c>
      <c r="V110" s="272" t="e">
        <f t="shared" ca="1" si="17"/>
        <v>#N/A</v>
      </c>
      <c r="W110" s="272" t="e">
        <f ca="1">INDEX(RESULTADOS!$A:$BZ,MATCH($A110,RESULTADOS!$A:$A,0),MATCH(W$1,RESULTADOS!$1:$1,0))</f>
        <v>#N/A</v>
      </c>
      <c r="Y110" s="272" t="e">
        <f ca="1">INDEX(RESULTADOS!$A:$BZ,MATCH($A110,RESULTADOS!$A:$A,0),MATCH(Y$1,RESULTADOS!$1:$1,0))</f>
        <v>#N/A</v>
      </c>
      <c r="AC110" s="272" t="e">
        <f ca="1">INDEX(RESULTADOS!$A:$BZ,MATCH($A110,RESULTADOS!$A:$A,0),MATCH(AC$1,RESULTADOS!$1:$1,0))</f>
        <v>#N/A</v>
      </c>
      <c r="AE110" s="272" t="e">
        <f ca="1">INDEX(RESULTADOS!$A:$BZ,MATCH($A110,RESULTADOS!$A:$A,0),MATCH(AE$1,RESULTADOS!$1:$1,0))</f>
        <v>#N/A</v>
      </c>
      <c r="AF110" s="272" t="e">
        <f ca="1">INDEX(RESULTADOS!$A:$BZ,MATCH($A110,RESULTADOS!$A:$A,0),MATCH(AF$1,RESULTADOS!$1:$1,0))</f>
        <v>#N/A</v>
      </c>
      <c r="AJ110" s="272" t="e">
        <f ca="1">INDEX(RESULTADOS!$A:$BZ,MATCH($A110,RESULTADOS!$A:$A,0),MATCH(AJ$1,RESULTADOS!$1:$1,0))</f>
        <v>#N/A</v>
      </c>
      <c r="AK110" s="272" t="e">
        <f ca="1">INDEX(RESULTADOS!$A:$BZ,MATCH($A110,RESULTADOS!$A:$A,0),MATCH(AK$1,RESULTADOS!$1:$1,0))</f>
        <v>#N/A</v>
      </c>
      <c r="AO110" s="272" t="e">
        <f ca="1">INDEX(RESULTADOS!$A:$BZ,MATCH($A110,RESULTADOS!$A:$A,0),MATCH(AO$1,RESULTADOS!$1:$1,0))</f>
        <v>#N/A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3C85A-E7F9-4132-AFC8-3ABBE4C9A8B1}">
  <sheetPr codeName="Sheet1">
    <tabColor theme="6"/>
  </sheetPr>
  <dimension ref="A1:Z110"/>
  <sheetViews>
    <sheetView zoomScale="85" zoomScaleNormal="85" workbookViewId="0">
      <pane xSplit="1" ySplit="6" topLeftCell="K23" activePane="bottomRight" state="frozen"/>
      <selection pane="topRight" activeCell="B1" sqref="B1"/>
      <selection pane="bottomLeft" activeCell="A7" sqref="A7"/>
      <selection pane="bottomRight" activeCell="X42" sqref="X42"/>
    </sheetView>
  </sheetViews>
  <sheetFormatPr defaultRowHeight="12.75" x14ac:dyDescent="0.2"/>
  <cols>
    <col min="1" max="1" width="10.85546875" bestFit="1" customWidth="1"/>
    <col min="2" max="2" width="12" bestFit="1" customWidth="1"/>
    <col min="3" max="6" width="12" style="272" customWidth="1"/>
    <col min="7" max="7" width="8" bestFit="1" customWidth="1"/>
    <col min="8" max="8" width="13.5703125" bestFit="1" customWidth="1"/>
    <col min="9" max="10" width="12" style="272" customWidth="1"/>
    <col min="11" max="11" width="13.5703125" style="272" bestFit="1" customWidth="1"/>
    <col min="12" max="12" width="13.5703125" style="272" customWidth="1"/>
    <col min="13" max="14" width="12" style="272" customWidth="1"/>
    <col min="15" max="15" width="12.7109375" bestFit="1" customWidth="1"/>
    <col min="16" max="16" width="16.42578125" bestFit="1" customWidth="1"/>
    <col min="17" max="17" width="14" bestFit="1" customWidth="1"/>
    <col min="18" max="18" width="12.7109375" bestFit="1" customWidth="1"/>
    <col min="19" max="19" width="14.5703125" bestFit="1" customWidth="1"/>
    <col min="20" max="20" width="14.140625" style="272" customWidth="1"/>
    <col min="21" max="21" width="13.85546875" bestFit="1" customWidth="1"/>
    <col min="22" max="22" width="17" bestFit="1" customWidth="1"/>
    <col min="23" max="23" width="13.85546875" bestFit="1" customWidth="1"/>
    <col min="24" max="24" width="12" bestFit="1" customWidth="1"/>
    <col min="25" max="25" width="16.7109375" bestFit="1" customWidth="1"/>
    <col min="26" max="26" width="5.140625" bestFit="1" customWidth="1"/>
    <col min="28" max="28" width="5.140625" bestFit="1" customWidth="1"/>
    <col min="32" max="32" width="5.140625" bestFit="1" customWidth="1"/>
    <col min="34" max="35" width="5.140625" bestFit="1" customWidth="1"/>
    <col min="39" max="40" width="5.140625" bestFit="1" customWidth="1"/>
    <col min="44" max="44" width="5.140625" bestFit="1" customWidth="1"/>
  </cols>
  <sheetData>
    <row r="1" spans="1:26" x14ac:dyDescent="0.2">
      <c r="A1" s="272"/>
      <c r="B1" s="272" t="s">
        <v>196</v>
      </c>
      <c r="C1" s="302" t="s">
        <v>199</v>
      </c>
      <c r="D1" s="303" t="s">
        <v>200</v>
      </c>
      <c r="E1" s="302" t="s">
        <v>201</v>
      </c>
      <c r="F1" s="303" t="s">
        <v>202</v>
      </c>
      <c r="G1" s="272" t="s">
        <v>214</v>
      </c>
      <c r="H1" s="272" t="s">
        <v>215</v>
      </c>
      <c r="I1" s="296" t="s">
        <v>195</v>
      </c>
      <c r="J1" s="297" t="s">
        <v>197</v>
      </c>
      <c r="K1" s="272" t="s">
        <v>203</v>
      </c>
      <c r="L1" s="272" t="s">
        <v>197</v>
      </c>
      <c r="M1" s="296" t="s">
        <v>198</v>
      </c>
      <c r="N1" s="297"/>
      <c r="O1" s="302" t="s">
        <v>204</v>
      </c>
      <c r="P1" s="303" t="s">
        <v>205</v>
      </c>
      <c r="Q1" s="302" t="s">
        <v>199</v>
      </c>
      <c r="R1" s="303" t="s">
        <v>216</v>
      </c>
      <c r="S1" s="272" t="s">
        <v>201</v>
      </c>
      <c r="T1" s="296" t="s">
        <v>202</v>
      </c>
      <c r="U1" s="297" t="s">
        <v>195</v>
      </c>
      <c r="V1" s="296" t="s">
        <v>203</v>
      </c>
      <c r="W1" s="297" t="s">
        <v>197</v>
      </c>
      <c r="X1" t="s">
        <v>204</v>
      </c>
      <c r="Y1" t="s">
        <v>205</v>
      </c>
      <c r="Z1" t="s">
        <v>217</v>
      </c>
    </row>
    <row r="2" spans="1:26" x14ac:dyDescent="0.2">
      <c r="A2" s="272" t="s">
        <v>1</v>
      </c>
      <c r="B2" s="272">
        <v>161</v>
      </c>
      <c r="C2" s="298">
        <v>119</v>
      </c>
      <c r="D2" s="299">
        <v>161</v>
      </c>
      <c r="E2" s="298">
        <v>117</v>
      </c>
      <c r="F2" s="299">
        <v>160</v>
      </c>
      <c r="G2" s="272">
        <v>118</v>
      </c>
      <c r="H2" s="272">
        <v>116</v>
      </c>
      <c r="I2" s="298">
        <v>237</v>
      </c>
      <c r="J2" s="299">
        <v>239</v>
      </c>
      <c r="K2" s="272">
        <v>238</v>
      </c>
      <c r="L2" s="272">
        <v>239</v>
      </c>
      <c r="M2" s="298">
        <v>242</v>
      </c>
      <c r="N2" s="299"/>
      <c r="O2" s="298">
        <v>242</v>
      </c>
      <c r="P2" s="299">
        <v>240</v>
      </c>
      <c r="Q2" s="298">
        <v>119</v>
      </c>
      <c r="R2" s="299">
        <v>161</v>
      </c>
      <c r="S2" s="272">
        <v>117</v>
      </c>
      <c r="T2" s="272">
        <v>160</v>
      </c>
      <c r="U2" s="299">
        <v>237</v>
      </c>
      <c r="V2" s="298">
        <v>238</v>
      </c>
      <c r="W2" s="299">
        <v>239</v>
      </c>
      <c r="X2">
        <v>242</v>
      </c>
      <c r="Y2">
        <v>240</v>
      </c>
      <c r="Z2">
        <v>318</v>
      </c>
    </row>
    <row r="3" spans="1:26" x14ac:dyDescent="0.2">
      <c r="A3" s="235" t="s">
        <v>2</v>
      </c>
      <c r="B3" s="238" t="s">
        <v>3</v>
      </c>
      <c r="E3" s="238">
        <v>6</v>
      </c>
      <c r="F3" s="238">
        <v>15</v>
      </c>
      <c r="G3" s="238"/>
      <c r="H3" s="238"/>
      <c r="I3" s="272">
        <v>12</v>
      </c>
      <c r="J3" s="272" t="s">
        <v>3</v>
      </c>
      <c r="K3" s="238">
        <v>12</v>
      </c>
      <c r="L3" s="238"/>
      <c r="M3" s="272" t="s">
        <v>3</v>
      </c>
      <c r="P3">
        <v>13</v>
      </c>
      <c r="R3">
        <v>48</v>
      </c>
      <c r="S3">
        <v>6</v>
      </c>
      <c r="T3" s="272">
        <v>15</v>
      </c>
      <c r="U3">
        <v>12</v>
      </c>
      <c r="V3">
        <v>12</v>
      </c>
      <c r="W3">
        <v>29</v>
      </c>
      <c r="Y3">
        <v>13</v>
      </c>
    </row>
    <row r="4" spans="1:26" x14ac:dyDescent="0.2">
      <c r="A4" s="272" t="s">
        <v>4</v>
      </c>
      <c r="B4" s="238"/>
      <c r="C4" s="300">
        <v>0.183</v>
      </c>
      <c r="D4" s="301">
        <v>0.624</v>
      </c>
      <c r="E4" s="300">
        <v>0.12</v>
      </c>
      <c r="F4" s="301">
        <v>7.2999999999999995E-2</v>
      </c>
      <c r="G4" s="238"/>
      <c r="H4" s="238"/>
      <c r="I4" s="300"/>
      <c r="J4" s="301"/>
      <c r="K4" s="238">
        <v>0.34399999999999997</v>
      </c>
      <c r="L4" s="238">
        <v>0.65600000000000003</v>
      </c>
      <c r="M4" s="300"/>
      <c r="N4" s="301"/>
      <c r="O4">
        <v>0.28100000000000003</v>
      </c>
      <c r="P4">
        <v>0.71899999999999997</v>
      </c>
    </row>
    <row r="5" spans="1:26" x14ac:dyDescent="0.2">
      <c r="A5" s="272"/>
      <c r="B5" s="238" t="s">
        <v>9</v>
      </c>
      <c r="C5" s="238" t="s">
        <v>7</v>
      </c>
      <c r="D5" s="238" t="s">
        <v>7</v>
      </c>
      <c r="E5" s="238" t="s">
        <v>7</v>
      </c>
      <c r="F5" s="238" t="s">
        <v>7</v>
      </c>
      <c r="G5" s="238" t="s">
        <v>6</v>
      </c>
      <c r="H5" s="238" t="s">
        <v>6</v>
      </c>
      <c r="I5" s="238" t="s">
        <v>7</v>
      </c>
      <c r="J5" s="238" t="s">
        <v>9</v>
      </c>
      <c r="K5" s="238" t="s">
        <v>7</v>
      </c>
      <c r="L5" s="238" t="s">
        <v>7</v>
      </c>
      <c r="M5" s="238" t="s">
        <v>9</v>
      </c>
      <c r="N5" s="238"/>
      <c r="O5" s="238" t="s">
        <v>7</v>
      </c>
      <c r="P5" s="238" t="s">
        <v>7</v>
      </c>
      <c r="Q5" s="238" t="s">
        <v>6</v>
      </c>
      <c r="R5" s="238" t="s">
        <v>6</v>
      </c>
      <c r="S5" s="238" t="s">
        <v>6</v>
      </c>
      <c r="T5" s="238" t="s">
        <v>6</v>
      </c>
      <c r="U5" s="238" t="s">
        <v>6</v>
      </c>
      <c r="V5" s="238" t="s">
        <v>6</v>
      </c>
      <c r="W5" s="238" t="s">
        <v>6</v>
      </c>
      <c r="X5" t="s">
        <v>6</v>
      </c>
      <c r="Y5" t="s">
        <v>6</v>
      </c>
      <c r="Z5" t="s">
        <v>6</v>
      </c>
    </row>
    <row r="6" spans="1:26" x14ac:dyDescent="0.2">
      <c r="A6" s="272"/>
      <c r="B6" s="238" t="str">
        <f t="shared" ref="B6:M6" si="0">CONCATENATE(B2,"_",B5)</f>
        <v>161_VNS</v>
      </c>
      <c r="C6" s="238" t="str">
        <f t="shared" si="0"/>
        <v>119_VNI</v>
      </c>
      <c r="D6" s="238" t="str">
        <f t="shared" si="0"/>
        <v>161_VNI</v>
      </c>
      <c r="E6" s="238" t="str">
        <f t="shared" si="0"/>
        <v>117_VNI</v>
      </c>
      <c r="F6" s="238" t="str">
        <f t="shared" si="0"/>
        <v>160_VNI</v>
      </c>
      <c r="G6" s="238" t="str">
        <f t="shared" si="0"/>
        <v>118_VNA</v>
      </c>
      <c r="H6" s="238" t="str">
        <f t="shared" si="0"/>
        <v>116_VNA</v>
      </c>
      <c r="I6" s="238" t="str">
        <f t="shared" si="0"/>
        <v>237_VNI</v>
      </c>
      <c r="J6" s="238" t="str">
        <f t="shared" si="0"/>
        <v>239_VNS</v>
      </c>
      <c r="K6" s="238" t="str">
        <f t="shared" si="0"/>
        <v>238_VNI</v>
      </c>
      <c r="L6" s="238" t="str">
        <f t="shared" si="0"/>
        <v>239_VNI</v>
      </c>
      <c r="M6" s="238" t="str">
        <f t="shared" si="0"/>
        <v>242_VNS</v>
      </c>
      <c r="N6" s="238"/>
      <c r="O6" s="238" t="str">
        <f t="shared" ref="O6:Z6" si="1">CONCATENATE(O2,"_",O5)</f>
        <v>242_VNI</v>
      </c>
      <c r="P6" s="238" t="str">
        <f t="shared" si="1"/>
        <v>240_VNI</v>
      </c>
      <c r="Q6" s="238" t="str">
        <f t="shared" si="1"/>
        <v>119_VNA</v>
      </c>
      <c r="R6" s="238" t="str">
        <f t="shared" si="1"/>
        <v>161_VNA</v>
      </c>
      <c r="S6" s="238" t="str">
        <f t="shared" si="1"/>
        <v>117_VNA</v>
      </c>
      <c r="T6" s="238" t="str">
        <f t="shared" si="1"/>
        <v>160_VNA</v>
      </c>
      <c r="U6" s="238" t="str">
        <f t="shared" si="1"/>
        <v>237_VNA</v>
      </c>
      <c r="V6" s="238" t="str">
        <f t="shared" si="1"/>
        <v>238_VNA</v>
      </c>
      <c r="W6" s="238" t="str">
        <f t="shared" si="1"/>
        <v>239_VNA</v>
      </c>
      <c r="X6" t="str">
        <f t="shared" si="1"/>
        <v>242_VNA</v>
      </c>
      <c r="Y6" t="str">
        <f t="shared" si="1"/>
        <v>240_VNA</v>
      </c>
      <c r="Z6" t="str">
        <f t="shared" si="1"/>
        <v>318_VNA</v>
      </c>
    </row>
    <row r="7" spans="1:26" x14ac:dyDescent="0.2">
      <c r="A7" s="273">
        <f t="shared" ref="A7:A37" ca="1" si="2">A8-1</f>
        <v>43806</v>
      </c>
      <c r="B7" s="288">
        <f ca="1">SUMPRODUCT((TABELA_VAZAO[Posto]=B$2)*1,(TABELA_VAZAO[Data]=$A7)*1,TABELA_VAZAO[qnat])</f>
        <v>0</v>
      </c>
      <c r="C7" s="250">
        <f ca="1">SUMPRODUCT((TABELA_VAZAO[Posto]=C$2)*1,(TABELA_VAZAO[Data]=$A7)*1,TABELA_VAZAO[qinc])</f>
        <v>0</v>
      </c>
      <c r="D7" s="250">
        <f ca="1">SUMPRODUCT((TABELA_VAZAO[Posto]=D$2)*1,(TABELA_VAZAO[Data]=$A7)*1,TABELA_VAZAO[qinc])</f>
        <v>0</v>
      </c>
      <c r="E7" s="250">
        <f ca="1">SUMPRODUCT((TABELA_VAZAO[Posto]=E$2)*1,(TABELA_VAZAO[Data]=$A7)*1,TABELA_VAZAO[qinc])</f>
        <v>0</v>
      </c>
      <c r="F7" s="250">
        <f ca="1">SUMPRODUCT((TABELA_VAZAO[Posto]=F$2)*1,(TABELA_VAZAO[Data]=$A7)*1,TABELA_VAZAO[qnat])</f>
        <v>0</v>
      </c>
      <c r="G7" s="250">
        <f t="shared" ref="G7:G38" ca="1" si="3">0.8103*C7+0.185</f>
        <v>0.185</v>
      </c>
      <c r="H7" s="250">
        <f t="shared" ref="H7:H38" ca="1" si="4">C7-G7</f>
        <v>-0.185</v>
      </c>
      <c r="I7" s="250">
        <f ca="1">SUMPRODUCT((TABELA_VAZAO[Posto]=I$2)*1,(TABELA_VAZAO[Data]=$A7)*1,TABELA_VAZAO[qinc])</f>
        <v>0</v>
      </c>
      <c r="J7" s="250">
        <f ca="1">SUMPRODUCT((TABELA_VAZAO[Posto]=J$2)*1,(TABELA_VAZAO[Data]=$A7)*1,TABELA_VAZAO[qinc])</f>
        <v>0</v>
      </c>
      <c r="K7" s="250">
        <f ca="1">SUMPRODUCT((TABELA_VAZAO[Posto]=K$2)*1,(TABELA_VAZAO[Data]=$A7)*1,TABELA_VAZAO[qinc])</f>
        <v>0</v>
      </c>
      <c r="L7" s="250">
        <f ca="1">SUMPRODUCT((TABELA_VAZAO[Posto]=L$2)*1,(TABELA_VAZAO[Data]=$A7)*1,TABELA_VAZAO[qinc])</f>
        <v>0</v>
      </c>
      <c r="M7" s="250">
        <f ca="1">SUMPRODUCT((TABELA_VAZAO[Posto]=M$2)*1,(TABELA_VAZAO[Data]=$A7)*1,TABELA_VAZAO[qinc])</f>
        <v>0</v>
      </c>
      <c r="N7" s="250"/>
      <c r="O7" s="288">
        <f ca="1">SUMPRODUCT((TABELA_VAZAO[Posto]=O$2)*1,(TABELA_VAZAO[Data]=$A7)*1,TABELA_VAZAO[qinc])</f>
        <v>0</v>
      </c>
      <c r="P7" s="288">
        <f ca="1">SUMPRODUCT((TABELA_VAZAO[Posto]=P$2)*1,(TABELA_VAZAO[Data]=$A7)*1,TABELA_VAZAO[qinc])</f>
        <v>0</v>
      </c>
      <c r="Q7" s="288">
        <f ca="1">SUMPRODUCT((TABELA_VAZAO[Posto]=Q$2)*1,(TABELA_VAZAO[Data]=$A7)*1,TABELA_VAZAO[qnat])</f>
        <v>0</v>
      </c>
      <c r="R7" s="288">
        <f ca="1">SUMPRODUCT((TABELA_VAZAO[Posto]=R$2)*1,(TABELA_VAZAO[Data]=$A7)*1,TABELA_VAZAO[qnat])</f>
        <v>0</v>
      </c>
      <c r="S7" s="288">
        <f ca="1">SUMPRODUCT((TABELA_VAZAO[Posto]=S$2)*1,(TABELA_VAZAO[Data]=$A7)*1,TABELA_VAZAO[qnat])</f>
        <v>0</v>
      </c>
      <c r="T7" s="288">
        <f ca="1">SUMPRODUCT((TABELA_VAZAO[Posto]=T$2)*1,(TABELA_VAZAO[Data]=$A7)*1,TABELA_VAZAO[qnat])</f>
        <v>0</v>
      </c>
      <c r="U7" s="288">
        <f ca="1">SUMPRODUCT((TABELA_VAZAO[Posto]=U$2)*1,(TABELA_VAZAO[Data]=$A7)*1,TABELA_VAZAO[qnat])</f>
        <v>0</v>
      </c>
      <c r="V7" s="288">
        <f ca="1">SUMPRODUCT((TABELA_VAZAO[Posto]=V$2)*1,(TABELA_VAZAO[Data]=$A7)*1,TABELA_VAZAO[qnat])</f>
        <v>0</v>
      </c>
      <c r="W7" s="288">
        <f ca="1">SUMPRODUCT((TABELA_VAZAO[Posto]=W$2)*1,(TABELA_VAZAO[Data]=$A7)*1,TABELA_VAZAO[qnat])</f>
        <v>0</v>
      </c>
      <c r="X7">
        <f ca="1">SUMPRODUCT((TABELA_VAZAO[Posto]=X$2)*1,(TABELA_VAZAO[Data]=$A7)*1,TABELA_VAZAO[qnat])</f>
        <v>0</v>
      </c>
      <c r="Y7">
        <f ca="1">SUMPRODUCT((TABELA_VAZAO[Posto]=Y$2)*1,(TABELA_VAZAO[Data]=$A7)*1,TABELA_VAZAO[qnat])</f>
        <v>0</v>
      </c>
      <c r="Z7">
        <f ca="1">SUMPRODUCT((TABELA_VAZAO[Posto]=Z$2)*1,(TABELA_VAZAO[Data]=$A7)*1,TABELA_VAZAO[qnat])</f>
        <v>0</v>
      </c>
    </row>
    <row r="8" spans="1:26" x14ac:dyDescent="0.2">
      <c r="A8" s="273">
        <f t="shared" ca="1" si="2"/>
        <v>43807</v>
      </c>
      <c r="B8" s="288">
        <f ca="1">SUMPRODUCT((TABELA_VAZAO[Posto]=B$2)*1,(TABELA_VAZAO[Data]=$A8)*1,TABELA_VAZAO[qnat])</f>
        <v>0</v>
      </c>
      <c r="C8" s="250">
        <f ca="1">SUMPRODUCT((TABELA_VAZAO[Posto]=C$2)*1,(TABELA_VAZAO[Data]=$A8)*1,TABELA_VAZAO[qinc])</f>
        <v>0</v>
      </c>
      <c r="D8" s="250">
        <f ca="1">SUMPRODUCT((TABELA_VAZAO[Posto]=D$2)*1,(TABELA_VAZAO[Data]=$A8)*1,TABELA_VAZAO[qinc])</f>
        <v>0</v>
      </c>
      <c r="E8" s="250">
        <f ca="1">SUMPRODUCT((TABELA_VAZAO[Posto]=E$2)*1,(TABELA_VAZAO[Data]=$A8)*1,TABELA_VAZAO[qinc])</f>
        <v>0</v>
      </c>
      <c r="F8" s="250">
        <f ca="1">SUMPRODUCT((TABELA_VAZAO[Posto]=F$2)*1,(TABELA_VAZAO[Data]=$A8)*1,TABELA_VAZAO[qnat])</f>
        <v>0</v>
      </c>
      <c r="G8" s="250">
        <f t="shared" ca="1" si="3"/>
        <v>0.185</v>
      </c>
      <c r="H8" s="250">
        <f t="shared" ca="1" si="4"/>
        <v>-0.185</v>
      </c>
      <c r="I8" s="250">
        <f ca="1">SUMPRODUCT((TABELA_VAZAO[Posto]=I$2)*1,(TABELA_VAZAO[Data]=$A8)*1,TABELA_VAZAO[qinc])</f>
        <v>0</v>
      </c>
      <c r="J8" s="250">
        <f ca="1">SUMPRODUCT((TABELA_VAZAO[Posto]=J$2)*1,(TABELA_VAZAO[Data]=$A8)*1,TABELA_VAZAO[qinc])</f>
        <v>0</v>
      </c>
      <c r="K8" s="250">
        <f ca="1">SUMPRODUCT((TABELA_VAZAO[Posto]=K$2)*1,(TABELA_VAZAO[Data]=$A8)*1,TABELA_VAZAO[qinc])</f>
        <v>0</v>
      </c>
      <c r="L8" s="250">
        <f ca="1">SUMPRODUCT((TABELA_VAZAO[Posto]=L$2)*1,(TABELA_VAZAO[Data]=$A8)*1,TABELA_VAZAO[qinc])</f>
        <v>0</v>
      </c>
      <c r="M8" s="250">
        <f ca="1">SUMPRODUCT((TABELA_VAZAO[Posto]=M$2)*1,(TABELA_VAZAO[Data]=$A8)*1,TABELA_VAZAO[qinc])</f>
        <v>0</v>
      </c>
      <c r="N8" s="250"/>
      <c r="O8" s="288">
        <f ca="1">SUMPRODUCT((TABELA_VAZAO[Posto]=O$2)*1,(TABELA_VAZAO[Data]=$A8)*1,TABELA_VAZAO[qinc])</f>
        <v>0</v>
      </c>
      <c r="P8" s="288">
        <f ca="1">SUMPRODUCT((TABELA_VAZAO[Posto]=P$2)*1,(TABELA_VAZAO[Data]=$A8)*1,TABELA_VAZAO[qinc])</f>
        <v>0</v>
      </c>
      <c r="Q8" s="288">
        <f ca="1">SUMPRODUCT((TABELA_VAZAO[Posto]=Q$2)*1,(TABELA_VAZAO[Data]=$A8)*1,TABELA_VAZAO[qnat])</f>
        <v>0</v>
      </c>
      <c r="R8" s="288">
        <f ca="1">SUMPRODUCT((TABELA_VAZAO[Posto]=R$2)*1,(TABELA_VAZAO[Data]=$A8)*1,TABELA_VAZAO[qnat])</f>
        <v>0</v>
      </c>
      <c r="S8" s="288">
        <f ca="1">SUMPRODUCT((TABELA_VAZAO[Posto]=S$2)*1,(TABELA_VAZAO[Data]=$A8)*1,TABELA_VAZAO[qnat])</f>
        <v>0</v>
      </c>
      <c r="T8" s="288">
        <f ca="1">SUMPRODUCT((TABELA_VAZAO[Posto]=T$2)*1,(TABELA_VAZAO[Data]=$A8)*1,TABELA_VAZAO[qnat])</f>
        <v>0</v>
      </c>
      <c r="U8" s="288">
        <f ca="1">SUMPRODUCT((TABELA_VAZAO[Posto]=U$2)*1,(TABELA_VAZAO[Data]=$A8)*1,TABELA_VAZAO[qnat])</f>
        <v>0</v>
      </c>
      <c r="V8" s="288">
        <f ca="1">SUMPRODUCT((TABELA_VAZAO[Posto]=V$2)*1,(TABELA_VAZAO[Data]=$A8)*1,TABELA_VAZAO[qnat])</f>
        <v>0</v>
      </c>
      <c r="W8" s="288">
        <f ca="1">SUMPRODUCT((TABELA_VAZAO[Posto]=W$2)*1,(TABELA_VAZAO[Data]=$A8)*1,TABELA_VAZAO[qnat])</f>
        <v>0</v>
      </c>
      <c r="X8">
        <f ca="1">SUMPRODUCT((TABELA_VAZAO[Posto]=X$2)*1,(TABELA_VAZAO[Data]=$A8)*1,TABELA_VAZAO[qnat])</f>
        <v>0</v>
      </c>
      <c r="Y8">
        <f ca="1">SUMPRODUCT((TABELA_VAZAO[Posto]=Y$2)*1,(TABELA_VAZAO[Data]=$A8)*1,TABELA_VAZAO[qnat])</f>
        <v>0</v>
      </c>
      <c r="Z8">
        <f ca="1">SUMPRODUCT((TABELA_VAZAO[Posto]=Z$2)*1,(TABELA_VAZAO[Data]=$A8)*1,TABELA_VAZAO[qnat])</f>
        <v>0</v>
      </c>
    </row>
    <row r="9" spans="1:26" x14ac:dyDescent="0.2">
      <c r="A9" s="273">
        <f t="shared" ca="1" si="2"/>
        <v>43808</v>
      </c>
      <c r="B9" s="288">
        <f ca="1">SUMPRODUCT((TABELA_VAZAO[Posto]=B$2)*1,(TABELA_VAZAO[Data]=$A9)*1,TABELA_VAZAO[qnat])</f>
        <v>0</v>
      </c>
      <c r="C9" s="250">
        <f ca="1">SUMPRODUCT((TABELA_VAZAO[Posto]=C$2)*1,(TABELA_VAZAO[Data]=$A9)*1,TABELA_VAZAO[qinc])</f>
        <v>0</v>
      </c>
      <c r="D9" s="250">
        <f ca="1">SUMPRODUCT((TABELA_VAZAO[Posto]=D$2)*1,(TABELA_VAZAO[Data]=$A9)*1,TABELA_VAZAO[qinc])</f>
        <v>0</v>
      </c>
      <c r="E9" s="250">
        <f ca="1">SUMPRODUCT((TABELA_VAZAO[Posto]=E$2)*1,(TABELA_VAZAO[Data]=$A9)*1,TABELA_VAZAO[qinc])</f>
        <v>0</v>
      </c>
      <c r="F9" s="250">
        <f ca="1">SUMPRODUCT((TABELA_VAZAO[Posto]=F$2)*1,(TABELA_VAZAO[Data]=$A9)*1,TABELA_VAZAO[qnat])</f>
        <v>0</v>
      </c>
      <c r="G9" s="250">
        <f t="shared" ca="1" si="3"/>
        <v>0.185</v>
      </c>
      <c r="H9" s="250">
        <f t="shared" ca="1" si="4"/>
        <v>-0.185</v>
      </c>
      <c r="I9" s="250">
        <f ca="1">SUMPRODUCT((TABELA_VAZAO[Posto]=I$2)*1,(TABELA_VAZAO[Data]=$A9)*1,TABELA_VAZAO[qinc])</f>
        <v>0</v>
      </c>
      <c r="J9" s="250">
        <f ca="1">SUMPRODUCT((TABELA_VAZAO[Posto]=J$2)*1,(TABELA_VAZAO[Data]=$A9)*1,TABELA_VAZAO[qinc])</f>
        <v>0</v>
      </c>
      <c r="K9" s="250">
        <f ca="1">SUMPRODUCT((TABELA_VAZAO[Posto]=K$2)*1,(TABELA_VAZAO[Data]=$A9)*1,TABELA_VAZAO[qinc])</f>
        <v>0</v>
      </c>
      <c r="L9" s="250">
        <f ca="1">SUMPRODUCT((TABELA_VAZAO[Posto]=L$2)*1,(TABELA_VAZAO[Data]=$A9)*1,TABELA_VAZAO[qinc])</f>
        <v>0</v>
      </c>
      <c r="M9" s="250">
        <f ca="1">SUMPRODUCT((TABELA_VAZAO[Posto]=M$2)*1,(TABELA_VAZAO[Data]=$A9)*1,TABELA_VAZAO[qinc])</f>
        <v>0</v>
      </c>
      <c r="N9" s="250"/>
      <c r="O9" s="288">
        <f ca="1">SUMPRODUCT((TABELA_VAZAO[Posto]=O$2)*1,(TABELA_VAZAO[Data]=$A9)*1,TABELA_VAZAO[qinc])</f>
        <v>0</v>
      </c>
      <c r="P9" s="288">
        <f ca="1">SUMPRODUCT((TABELA_VAZAO[Posto]=P$2)*1,(TABELA_VAZAO[Data]=$A9)*1,TABELA_VAZAO[qinc])</f>
        <v>0</v>
      </c>
      <c r="Q9" s="288">
        <f ca="1">SUMPRODUCT((TABELA_VAZAO[Posto]=Q$2)*1,(TABELA_VAZAO[Data]=$A9)*1,TABELA_VAZAO[qnat])</f>
        <v>0</v>
      </c>
      <c r="R9" s="288">
        <f ca="1">SUMPRODUCT((TABELA_VAZAO[Posto]=R$2)*1,(TABELA_VAZAO[Data]=$A9)*1,TABELA_VAZAO[qnat])</f>
        <v>0</v>
      </c>
      <c r="S9" s="288">
        <f ca="1">SUMPRODUCT((TABELA_VAZAO[Posto]=S$2)*1,(TABELA_VAZAO[Data]=$A9)*1,TABELA_VAZAO[qnat])</f>
        <v>0</v>
      </c>
      <c r="T9" s="288">
        <f ca="1">SUMPRODUCT((TABELA_VAZAO[Posto]=T$2)*1,(TABELA_VAZAO[Data]=$A9)*1,TABELA_VAZAO[qnat])</f>
        <v>0</v>
      </c>
      <c r="U9" s="288">
        <f ca="1">SUMPRODUCT((TABELA_VAZAO[Posto]=U$2)*1,(TABELA_VAZAO[Data]=$A9)*1,TABELA_VAZAO[qnat])</f>
        <v>0</v>
      </c>
      <c r="V9" s="288">
        <f ca="1">SUMPRODUCT((TABELA_VAZAO[Posto]=V$2)*1,(TABELA_VAZAO[Data]=$A9)*1,TABELA_VAZAO[qnat])</f>
        <v>0</v>
      </c>
      <c r="W9" s="288">
        <f ca="1">SUMPRODUCT((TABELA_VAZAO[Posto]=W$2)*1,(TABELA_VAZAO[Data]=$A9)*1,TABELA_VAZAO[qnat])</f>
        <v>0</v>
      </c>
      <c r="X9">
        <f ca="1">SUMPRODUCT((TABELA_VAZAO[Posto]=X$2)*1,(TABELA_VAZAO[Data]=$A9)*1,TABELA_VAZAO[qnat])</f>
        <v>0</v>
      </c>
      <c r="Y9">
        <f ca="1">SUMPRODUCT((TABELA_VAZAO[Posto]=Y$2)*1,(TABELA_VAZAO[Data]=$A9)*1,TABELA_VAZAO[qnat])</f>
        <v>0</v>
      </c>
      <c r="Z9">
        <f ca="1">SUMPRODUCT((TABELA_VAZAO[Posto]=Z$2)*1,(TABELA_VAZAO[Data]=$A9)*1,TABELA_VAZAO[qnat])</f>
        <v>0</v>
      </c>
    </row>
    <row r="10" spans="1:26" x14ac:dyDescent="0.2">
      <c r="A10" s="273">
        <f t="shared" ca="1" si="2"/>
        <v>43809</v>
      </c>
      <c r="B10" s="288">
        <f ca="1">SUMPRODUCT((TABELA_VAZAO[Posto]=B$2)*1,(TABELA_VAZAO[Data]=$A10)*1,TABELA_VAZAO[qnat])</f>
        <v>0</v>
      </c>
      <c r="C10" s="250">
        <f ca="1">SUMPRODUCT((TABELA_VAZAO[Posto]=C$2)*1,(TABELA_VAZAO[Data]=$A10)*1,TABELA_VAZAO[qinc])</f>
        <v>0</v>
      </c>
      <c r="D10" s="250">
        <f ca="1">SUMPRODUCT((TABELA_VAZAO[Posto]=D$2)*1,(TABELA_VAZAO[Data]=$A10)*1,TABELA_VAZAO[qinc])</f>
        <v>0</v>
      </c>
      <c r="E10" s="250">
        <f ca="1">SUMPRODUCT((TABELA_VAZAO[Posto]=E$2)*1,(TABELA_VAZAO[Data]=$A10)*1,TABELA_VAZAO[qinc])</f>
        <v>0</v>
      </c>
      <c r="F10" s="250">
        <f ca="1">SUMPRODUCT((TABELA_VAZAO[Posto]=F$2)*1,(TABELA_VAZAO[Data]=$A10)*1,TABELA_VAZAO[qnat])</f>
        <v>0</v>
      </c>
      <c r="G10" s="250">
        <f t="shared" ca="1" si="3"/>
        <v>0.185</v>
      </c>
      <c r="H10" s="250">
        <f t="shared" ca="1" si="4"/>
        <v>-0.185</v>
      </c>
      <c r="I10" s="250">
        <f ca="1">SUMPRODUCT((TABELA_VAZAO[Posto]=I$2)*1,(TABELA_VAZAO[Data]=$A10)*1,TABELA_VAZAO[qinc])</f>
        <v>0</v>
      </c>
      <c r="J10" s="250">
        <f ca="1">SUMPRODUCT((TABELA_VAZAO[Posto]=J$2)*1,(TABELA_VAZAO[Data]=$A10)*1,TABELA_VAZAO[qinc])</f>
        <v>0</v>
      </c>
      <c r="K10" s="250">
        <f ca="1">SUMPRODUCT((TABELA_VAZAO[Posto]=K$2)*1,(TABELA_VAZAO[Data]=$A10)*1,TABELA_VAZAO[qinc])</f>
        <v>0</v>
      </c>
      <c r="L10" s="250">
        <f ca="1">SUMPRODUCT((TABELA_VAZAO[Posto]=L$2)*1,(TABELA_VAZAO[Data]=$A10)*1,TABELA_VAZAO[qinc])</f>
        <v>0</v>
      </c>
      <c r="M10" s="250">
        <f ca="1">SUMPRODUCT((TABELA_VAZAO[Posto]=M$2)*1,(TABELA_VAZAO[Data]=$A10)*1,TABELA_VAZAO[qinc])</f>
        <v>0</v>
      </c>
      <c r="N10" s="250"/>
      <c r="O10" s="288">
        <f ca="1">SUMPRODUCT((TABELA_VAZAO[Posto]=O$2)*1,(TABELA_VAZAO[Data]=$A10)*1,TABELA_VAZAO[qinc])</f>
        <v>0</v>
      </c>
      <c r="P10" s="288">
        <f ca="1">SUMPRODUCT((TABELA_VAZAO[Posto]=P$2)*1,(TABELA_VAZAO[Data]=$A10)*1,TABELA_VAZAO[qinc])</f>
        <v>0</v>
      </c>
      <c r="Q10" s="288">
        <f ca="1">SUMPRODUCT((TABELA_VAZAO[Posto]=Q$2)*1,(TABELA_VAZAO[Data]=$A10)*1,TABELA_VAZAO[qnat])</f>
        <v>0</v>
      </c>
      <c r="R10" s="288">
        <f ca="1">SUMPRODUCT((TABELA_VAZAO[Posto]=R$2)*1,(TABELA_VAZAO[Data]=$A10)*1,TABELA_VAZAO[qnat])</f>
        <v>0</v>
      </c>
      <c r="S10" s="288">
        <f ca="1">SUMPRODUCT((TABELA_VAZAO[Posto]=S$2)*1,(TABELA_VAZAO[Data]=$A10)*1,TABELA_VAZAO[qnat])</f>
        <v>0</v>
      </c>
      <c r="T10" s="288">
        <f ca="1">SUMPRODUCT((TABELA_VAZAO[Posto]=T$2)*1,(TABELA_VAZAO[Data]=$A10)*1,TABELA_VAZAO[qnat])</f>
        <v>0</v>
      </c>
      <c r="U10" s="288">
        <f ca="1">SUMPRODUCT((TABELA_VAZAO[Posto]=U$2)*1,(TABELA_VAZAO[Data]=$A10)*1,TABELA_VAZAO[qnat])</f>
        <v>0</v>
      </c>
      <c r="V10" s="288">
        <f ca="1">SUMPRODUCT((TABELA_VAZAO[Posto]=V$2)*1,(TABELA_VAZAO[Data]=$A10)*1,TABELA_VAZAO[qnat])</f>
        <v>0</v>
      </c>
      <c r="W10" s="288">
        <f ca="1">SUMPRODUCT((TABELA_VAZAO[Posto]=W$2)*1,(TABELA_VAZAO[Data]=$A10)*1,TABELA_VAZAO[qnat])</f>
        <v>0</v>
      </c>
      <c r="X10">
        <f ca="1">SUMPRODUCT((TABELA_VAZAO[Posto]=X$2)*1,(TABELA_VAZAO[Data]=$A10)*1,TABELA_VAZAO[qnat])</f>
        <v>0</v>
      </c>
      <c r="Y10">
        <f ca="1">SUMPRODUCT((TABELA_VAZAO[Posto]=Y$2)*1,(TABELA_VAZAO[Data]=$A10)*1,TABELA_VAZAO[qnat])</f>
        <v>0</v>
      </c>
      <c r="Z10">
        <f ca="1">SUMPRODUCT((TABELA_VAZAO[Posto]=Z$2)*1,(TABELA_VAZAO[Data]=$A10)*1,TABELA_VAZAO[qnat])</f>
        <v>0</v>
      </c>
    </row>
    <row r="11" spans="1:26" x14ac:dyDescent="0.2">
      <c r="A11" s="273">
        <f t="shared" ca="1" si="2"/>
        <v>43810</v>
      </c>
      <c r="B11" s="288">
        <f ca="1">SUMPRODUCT((TABELA_VAZAO[Posto]=B$2)*1,(TABELA_VAZAO[Data]=$A11)*1,TABELA_VAZAO[qnat])</f>
        <v>0</v>
      </c>
      <c r="C11" s="250">
        <f ca="1">SUMPRODUCT((TABELA_VAZAO[Posto]=C$2)*1,(TABELA_VAZAO[Data]=$A11)*1,TABELA_VAZAO[qinc])</f>
        <v>0</v>
      </c>
      <c r="D11" s="250">
        <f ca="1">SUMPRODUCT((TABELA_VAZAO[Posto]=D$2)*1,(TABELA_VAZAO[Data]=$A11)*1,TABELA_VAZAO[qinc])</f>
        <v>0</v>
      </c>
      <c r="E11" s="250">
        <f ca="1">SUMPRODUCT((TABELA_VAZAO[Posto]=E$2)*1,(TABELA_VAZAO[Data]=$A11)*1,TABELA_VAZAO[qinc])</f>
        <v>0</v>
      </c>
      <c r="F11" s="250">
        <f ca="1">SUMPRODUCT((TABELA_VAZAO[Posto]=F$2)*1,(TABELA_VAZAO[Data]=$A11)*1,TABELA_VAZAO[qnat])</f>
        <v>0</v>
      </c>
      <c r="G11" s="250">
        <f t="shared" ca="1" si="3"/>
        <v>0.185</v>
      </c>
      <c r="H11" s="250">
        <f t="shared" ca="1" si="4"/>
        <v>-0.185</v>
      </c>
      <c r="I11" s="250">
        <f ca="1">SUMPRODUCT((TABELA_VAZAO[Posto]=I$2)*1,(TABELA_VAZAO[Data]=$A11)*1,TABELA_VAZAO[qinc])</f>
        <v>0</v>
      </c>
      <c r="J11" s="250">
        <f ca="1">SUMPRODUCT((TABELA_VAZAO[Posto]=J$2)*1,(TABELA_VAZAO[Data]=$A11)*1,TABELA_VAZAO[qinc])</f>
        <v>0</v>
      </c>
      <c r="K11" s="250">
        <f ca="1">SUMPRODUCT((TABELA_VAZAO[Posto]=K$2)*1,(TABELA_VAZAO[Data]=$A11)*1,TABELA_VAZAO[qinc])</f>
        <v>0</v>
      </c>
      <c r="L11" s="250">
        <f ca="1">SUMPRODUCT((TABELA_VAZAO[Posto]=L$2)*1,(TABELA_VAZAO[Data]=$A11)*1,TABELA_VAZAO[qinc])</f>
        <v>0</v>
      </c>
      <c r="M11" s="250">
        <f ca="1">SUMPRODUCT((TABELA_VAZAO[Posto]=M$2)*1,(TABELA_VAZAO[Data]=$A11)*1,TABELA_VAZAO[qinc])</f>
        <v>0</v>
      </c>
      <c r="N11" s="250"/>
      <c r="O11" s="288">
        <f ca="1">SUMPRODUCT((TABELA_VAZAO[Posto]=O$2)*1,(TABELA_VAZAO[Data]=$A11)*1,TABELA_VAZAO[qinc])</f>
        <v>0</v>
      </c>
      <c r="P11" s="288">
        <f ca="1">SUMPRODUCT((TABELA_VAZAO[Posto]=P$2)*1,(TABELA_VAZAO[Data]=$A11)*1,TABELA_VAZAO[qinc])</f>
        <v>0</v>
      </c>
      <c r="Q11" s="288">
        <f ca="1">SUMPRODUCT((TABELA_VAZAO[Posto]=Q$2)*1,(TABELA_VAZAO[Data]=$A11)*1,TABELA_VAZAO[qnat])</f>
        <v>0</v>
      </c>
      <c r="R11" s="288">
        <f ca="1">SUMPRODUCT((TABELA_VAZAO[Posto]=R$2)*1,(TABELA_VAZAO[Data]=$A11)*1,TABELA_VAZAO[qnat])</f>
        <v>0</v>
      </c>
      <c r="S11" s="288">
        <f ca="1">SUMPRODUCT((TABELA_VAZAO[Posto]=S$2)*1,(TABELA_VAZAO[Data]=$A11)*1,TABELA_VAZAO[qnat])</f>
        <v>0</v>
      </c>
      <c r="T11" s="288">
        <f ca="1">SUMPRODUCT((TABELA_VAZAO[Posto]=T$2)*1,(TABELA_VAZAO[Data]=$A11)*1,TABELA_VAZAO[qnat])</f>
        <v>0</v>
      </c>
      <c r="U11" s="288">
        <f ca="1">SUMPRODUCT((TABELA_VAZAO[Posto]=U$2)*1,(TABELA_VAZAO[Data]=$A11)*1,TABELA_VAZAO[qnat])</f>
        <v>0</v>
      </c>
      <c r="V11" s="288">
        <f ca="1">SUMPRODUCT((TABELA_VAZAO[Posto]=V$2)*1,(TABELA_VAZAO[Data]=$A11)*1,TABELA_VAZAO[qnat])</f>
        <v>0</v>
      </c>
      <c r="W11" s="288">
        <f ca="1">SUMPRODUCT((TABELA_VAZAO[Posto]=W$2)*1,(TABELA_VAZAO[Data]=$A11)*1,TABELA_VAZAO[qnat])</f>
        <v>0</v>
      </c>
      <c r="X11">
        <f ca="1">SUMPRODUCT((TABELA_VAZAO[Posto]=X$2)*1,(TABELA_VAZAO[Data]=$A11)*1,TABELA_VAZAO[qnat])</f>
        <v>0</v>
      </c>
      <c r="Y11">
        <f ca="1">SUMPRODUCT((TABELA_VAZAO[Posto]=Y$2)*1,(TABELA_VAZAO[Data]=$A11)*1,TABELA_VAZAO[qnat])</f>
        <v>0</v>
      </c>
      <c r="Z11">
        <f ca="1">SUMPRODUCT((TABELA_VAZAO[Posto]=Z$2)*1,(TABELA_VAZAO[Data]=$A11)*1,TABELA_VAZAO[qnat])</f>
        <v>0</v>
      </c>
    </row>
    <row r="12" spans="1:26" x14ac:dyDescent="0.2">
      <c r="A12" s="82">
        <f t="shared" ca="1" si="2"/>
        <v>43811</v>
      </c>
      <c r="B12" s="288">
        <f ca="1">SUMPRODUCT((TABELA_VAZAO[Posto]=B$2)*1,(TABELA_VAZAO[Data]=$A12)*1,TABELA_VAZAO[qnat])</f>
        <v>0</v>
      </c>
      <c r="C12" s="250">
        <f ca="1">SUMPRODUCT((TABELA_VAZAO[Posto]=C$2)*1,(TABELA_VAZAO[Data]=$A12)*1,TABELA_VAZAO[qinc])</f>
        <v>0</v>
      </c>
      <c r="D12" s="250">
        <f ca="1">SUMPRODUCT((TABELA_VAZAO[Posto]=D$2)*1,(TABELA_VAZAO[Data]=$A12)*1,TABELA_VAZAO[qinc])</f>
        <v>0</v>
      </c>
      <c r="E12" s="250">
        <f ca="1">SUMPRODUCT((TABELA_VAZAO[Posto]=E$2)*1,(TABELA_VAZAO[Data]=$A12)*1,TABELA_VAZAO[qinc])</f>
        <v>0</v>
      </c>
      <c r="F12" s="250">
        <f ca="1">SUMPRODUCT((TABELA_VAZAO[Posto]=F$2)*1,(TABELA_VAZAO[Data]=$A12)*1,TABELA_VAZAO[qnat])</f>
        <v>0</v>
      </c>
      <c r="G12" s="250">
        <f t="shared" ca="1" si="3"/>
        <v>0.185</v>
      </c>
      <c r="H12" s="250">
        <f t="shared" ca="1" si="4"/>
        <v>-0.185</v>
      </c>
      <c r="I12" s="250">
        <f ca="1">SUMPRODUCT((TABELA_VAZAO[Posto]=I$2)*1,(TABELA_VAZAO[Data]=$A12)*1,TABELA_VAZAO[qinc])</f>
        <v>0</v>
      </c>
      <c r="J12" s="250">
        <f ca="1">SUMPRODUCT((TABELA_VAZAO[Posto]=J$2)*1,(TABELA_VAZAO[Data]=$A12)*1,TABELA_VAZAO[qinc])</f>
        <v>0</v>
      </c>
      <c r="K12" s="250">
        <f ca="1">SUMPRODUCT((TABELA_VAZAO[Posto]=K$2)*1,(TABELA_VAZAO[Data]=$A12)*1,TABELA_VAZAO[qinc])</f>
        <v>0</v>
      </c>
      <c r="L12" s="250">
        <f ca="1">SUMPRODUCT((TABELA_VAZAO[Posto]=L$2)*1,(TABELA_VAZAO[Data]=$A12)*1,TABELA_VAZAO[qinc])</f>
        <v>0</v>
      </c>
      <c r="M12" s="250">
        <f ca="1">SUMPRODUCT((TABELA_VAZAO[Posto]=M$2)*1,(TABELA_VAZAO[Data]=$A12)*1,TABELA_VAZAO[qinc])</f>
        <v>0</v>
      </c>
      <c r="N12" s="250"/>
      <c r="O12" s="288">
        <f ca="1">SUMPRODUCT((TABELA_VAZAO[Posto]=O$2)*1,(TABELA_VAZAO[Data]=$A12)*1,TABELA_VAZAO[qinc])</f>
        <v>0</v>
      </c>
      <c r="P12" s="288">
        <f ca="1">SUMPRODUCT((TABELA_VAZAO[Posto]=P$2)*1,(TABELA_VAZAO[Data]=$A12)*1,TABELA_VAZAO[qinc])</f>
        <v>0</v>
      </c>
      <c r="Q12" s="288">
        <f ca="1">SUMPRODUCT((TABELA_VAZAO[Posto]=Q$2)*1,(TABELA_VAZAO[Data]=$A12)*1,TABELA_VAZAO[qnat])</f>
        <v>0</v>
      </c>
      <c r="R12" s="288">
        <f ca="1">SUMPRODUCT((TABELA_VAZAO[Posto]=R$2)*1,(TABELA_VAZAO[Data]=$A12)*1,TABELA_VAZAO[qnat])</f>
        <v>0</v>
      </c>
      <c r="S12" s="288">
        <f ca="1">SUMPRODUCT((TABELA_VAZAO[Posto]=S$2)*1,(TABELA_VAZAO[Data]=$A12)*1,TABELA_VAZAO[qnat])</f>
        <v>0</v>
      </c>
      <c r="T12" s="288">
        <f ca="1">SUMPRODUCT((TABELA_VAZAO[Posto]=T$2)*1,(TABELA_VAZAO[Data]=$A12)*1,TABELA_VAZAO[qnat])</f>
        <v>0</v>
      </c>
      <c r="U12" s="288">
        <f ca="1">SUMPRODUCT((TABELA_VAZAO[Posto]=U$2)*1,(TABELA_VAZAO[Data]=$A12)*1,TABELA_VAZAO[qnat])</f>
        <v>0</v>
      </c>
      <c r="V12" s="288">
        <f ca="1">SUMPRODUCT((TABELA_VAZAO[Posto]=V$2)*1,(TABELA_VAZAO[Data]=$A12)*1,TABELA_VAZAO[qnat])</f>
        <v>0</v>
      </c>
      <c r="W12" s="288">
        <f ca="1">SUMPRODUCT((TABELA_VAZAO[Posto]=W$2)*1,(TABELA_VAZAO[Data]=$A12)*1,TABELA_VAZAO[qnat])</f>
        <v>0</v>
      </c>
      <c r="X12">
        <f ca="1">SUMPRODUCT((TABELA_VAZAO[Posto]=X$2)*1,(TABELA_VAZAO[Data]=$A12)*1,TABELA_VAZAO[qnat])</f>
        <v>0</v>
      </c>
      <c r="Y12">
        <f ca="1">SUMPRODUCT((TABELA_VAZAO[Posto]=Y$2)*1,(TABELA_VAZAO[Data]=$A12)*1,TABELA_VAZAO[qnat])</f>
        <v>0</v>
      </c>
      <c r="Z12">
        <f ca="1">SUMPRODUCT((TABELA_VAZAO[Posto]=Z$2)*1,(TABELA_VAZAO[Data]=$A12)*1,TABELA_VAZAO[qnat])</f>
        <v>0</v>
      </c>
    </row>
    <row r="13" spans="1:26" x14ac:dyDescent="0.2">
      <c r="A13" s="273">
        <f t="shared" ca="1" si="2"/>
        <v>43812</v>
      </c>
      <c r="B13" s="288">
        <f ca="1">SUMPRODUCT((TABELA_VAZAO[Posto]=B$2)*1,(TABELA_VAZAO[Data]=$A13)*1,TABELA_VAZAO[qnat])</f>
        <v>0</v>
      </c>
      <c r="C13" s="250">
        <f ca="1">SUMPRODUCT((TABELA_VAZAO[Posto]=C$2)*1,(TABELA_VAZAO[Data]=$A13)*1,TABELA_VAZAO[qinc])</f>
        <v>0</v>
      </c>
      <c r="D13" s="250">
        <f ca="1">SUMPRODUCT((TABELA_VAZAO[Posto]=D$2)*1,(TABELA_VAZAO[Data]=$A13)*1,TABELA_VAZAO[qinc])</f>
        <v>0</v>
      </c>
      <c r="E13" s="250">
        <f ca="1">SUMPRODUCT((TABELA_VAZAO[Posto]=E$2)*1,(TABELA_VAZAO[Data]=$A13)*1,TABELA_VAZAO[qinc])</f>
        <v>0</v>
      </c>
      <c r="F13" s="250">
        <f ca="1">SUMPRODUCT((TABELA_VAZAO[Posto]=F$2)*1,(TABELA_VAZAO[Data]=$A13)*1,TABELA_VAZAO[qnat])</f>
        <v>0</v>
      </c>
      <c r="G13" s="250">
        <f t="shared" ca="1" si="3"/>
        <v>0.185</v>
      </c>
      <c r="H13" s="250">
        <f t="shared" ca="1" si="4"/>
        <v>-0.185</v>
      </c>
      <c r="I13" s="250">
        <f ca="1">SUMPRODUCT((TABELA_VAZAO[Posto]=I$2)*1,(TABELA_VAZAO[Data]=$A13)*1,TABELA_VAZAO[qinc])</f>
        <v>0</v>
      </c>
      <c r="J13" s="250">
        <f ca="1">SUMPRODUCT((TABELA_VAZAO[Posto]=J$2)*1,(TABELA_VAZAO[Data]=$A13)*1,TABELA_VAZAO[qinc])</f>
        <v>0</v>
      </c>
      <c r="K13" s="250">
        <f ca="1">SUMPRODUCT((TABELA_VAZAO[Posto]=K$2)*1,(TABELA_VAZAO[Data]=$A13)*1,TABELA_VAZAO[qinc])</f>
        <v>0</v>
      </c>
      <c r="L13" s="250">
        <f ca="1">SUMPRODUCT((TABELA_VAZAO[Posto]=L$2)*1,(TABELA_VAZAO[Data]=$A13)*1,TABELA_VAZAO[qinc])</f>
        <v>0</v>
      </c>
      <c r="M13" s="250">
        <f ca="1">SUMPRODUCT((TABELA_VAZAO[Posto]=M$2)*1,(TABELA_VAZAO[Data]=$A13)*1,TABELA_VAZAO[qinc])</f>
        <v>0</v>
      </c>
      <c r="N13" s="250"/>
      <c r="O13" s="288">
        <f ca="1">SUMPRODUCT((TABELA_VAZAO[Posto]=O$2)*1,(TABELA_VAZAO[Data]=$A13)*1,TABELA_VAZAO[qinc])</f>
        <v>0</v>
      </c>
      <c r="P13" s="288">
        <f ca="1">SUMPRODUCT((TABELA_VAZAO[Posto]=P$2)*1,(TABELA_VAZAO[Data]=$A13)*1,TABELA_VAZAO[qinc])</f>
        <v>0</v>
      </c>
      <c r="Q13" s="288">
        <f ca="1">SUMPRODUCT((TABELA_VAZAO[Posto]=Q$2)*1,(TABELA_VAZAO[Data]=$A13)*1,TABELA_VAZAO[qnat])</f>
        <v>0</v>
      </c>
      <c r="R13" s="288">
        <f ca="1">SUMPRODUCT((TABELA_VAZAO[Posto]=R$2)*1,(TABELA_VAZAO[Data]=$A13)*1,TABELA_VAZAO[qnat])</f>
        <v>0</v>
      </c>
      <c r="S13" s="288">
        <f ca="1">SUMPRODUCT((TABELA_VAZAO[Posto]=S$2)*1,(TABELA_VAZAO[Data]=$A13)*1,TABELA_VAZAO[qnat])</f>
        <v>0</v>
      </c>
      <c r="T13" s="288">
        <f ca="1">SUMPRODUCT((TABELA_VAZAO[Posto]=T$2)*1,(TABELA_VAZAO[Data]=$A13)*1,TABELA_VAZAO[qnat])</f>
        <v>0</v>
      </c>
      <c r="U13" s="288">
        <f ca="1">SUMPRODUCT((TABELA_VAZAO[Posto]=U$2)*1,(TABELA_VAZAO[Data]=$A13)*1,TABELA_VAZAO[qnat])</f>
        <v>0</v>
      </c>
      <c r="V13" s="288">
        <f ca="1">SUMPRODUCT((TABELA_VAZAO[Posto]=V$2)*1,(TABELA_VAZAO[Data]=$A13)*1,TABELA_VAZAO[qnat])</f>
        <v>0</v>
      </c>
      <c r="W13" s="288">
        <f ca="1">SUMPRODUCT((TABELA_VAZAO[Posto]=W$2)*1,(TABELA_VAZAO[Data]=$A13)*1,TABELA_VAZAO[qnat])</f>
        <v>0</v>
      </c>
      <c r="X13">
        <f ca="1">SUMPRODUCT((TABELA_VAZAO[Posto]=X$2)*1,(TABELA_VAZAO[Data]=$A13)*1,TABELA_VAZAO[qnat])</f>
        <v>0</v>
      </c>
      <c r="Y13">
        <f ca="1">SUMPRODUCT((TABELA_VAZAO[Posto]=Y$2)*1,(TABELA_VAZAO[Data]=$A13)*1,TABELA_VAZAO[qnat])</f>
        <v>0</v>
      </c>
      <c r="Z13">
        <f ca="1">SUMPRODUCT((TABELA_VAZAO[Posto]=Z$2)*1,(TABELA_VAZAO[Data]=$A13)*1,TABELA_VAZAO[qnat])</f>
        <v>0</v>
      </c>
    </row>
    <row r="14" spans="1:26" x14ac:dyDescent="0.2">
      <c r="A14" s="273">
        <f t="shared" ca="1" si="2"/>
        <v>43813</v>
      </c>
      <c r="B14" s="288">
        <f ca="1">SUMPRODUCT((TABELA_VAZAO[Posto]=B$2)*1,(TABELA_VAZAO[Data]=$A14)*1,TABELA_VAZAO[qnat])</f>
        <v>0</v>
      </c>
      <c r="C14" s="250">
        <f ca="1">SUMPRODUCT((TABELA_VAZAO[Posto]=C$2)*1,(TABELA_VAZAO[Data]=$A14)*1,TABELA_VAZAO[qinc])</f>
        <v>0</v>
      </c>
      <c r="D14" s="250">
        <f ca="1">SUMPRODUCT((TABELA_VAZAO[Posto]=D$2)*1,(TABELA_VAZAO[Data]=$A14)*1,TABELA_VAZAO[qinc])</f>
        <v>0</v>
      </c>
      <c r="E14" s="250">
        <f ca="1">SUMPRODUCT((TABELA_VAZAO[Posto]=E$2)*1,(TABELA_VAZAO[Data]=$A14)*1,TABELA_VAZAO[qinc])</f>
        <v>0</v>
      </c>
      <c r="F14" s="250">
        <f ca="1">SUMPRODUCT((TABELA_VAZAO[Posto]=F$2)*1,(TABELA_VAZAO[Data]=$A14)*1,TABELA_VAZAO[qnat])</f>
        <v>0</v>
      </c>
      <c r="G14" s="250">
        <f t="shared" ca="1" si="3"/>
        <v>0.185</v>
      </c>
      <c r="H14" s="250">
        <f t="shared" ca="1" si="4"/>
        <v>-0.185</v>
      </c>
      <c r="I14" s="250">
        <f ca="1">SUMPRODUCT((TABELA_VAZAO[Posto]=I$2)*1,(TABELA_VAZAO[Data]=$A14)*1,TABELA_VAZAO[qinc])</f>
        <v>0</v>
      </c>
      <c r="J14" s="250">
        <f ca="1">SUMPRODUCT((TABELA_VAZAO[Posto]=J$2)*1,(TABELA_VAZAO[Data]=$A14)*1,TABELA_VAZAO[qinc])</f>
        <v>0</v>
      </c>
      <c r="K14" s="250">
        <f ca="1">SUMPRODUCT((TABELA_VAZAO[Posto]=K$2)*1,(TABELA_VAZAO[Data]=$A14)*1,TABELA_VAZAO[qinc])</f>
        <v>0</v>
      </c>
      <c r="L14" s="250">
        <f ca="1">SUMPRODUCT((TABELA_VAZAO[Posto]=L$2)*1,(TABELA_VAZAO[Data]=$A14)*1,TABELA_VAZAO[qinc])</f>
        <v>0</v>
      </c>
      <c r="M14" s="250">
        <f ca="1">SUMPRODUCT((TABELA_VAZAO[Posto]=M$2)*1,(TABELA_VAZAO[Data]=$A14)*1,TABELA_VAZAO[qinc])</f>
        <v>0</v>
      </c>
      <c r="N14" s="250"/>
      <c r="O14" s="288">
        <f ca="1">SUMPRODUCT((TABELA_VAZAO[Posto]=O$2)*1,(TABELA_VAZAO[Data]=$A14)*1,TABELA_VAZAO[qinc])</f>
        <v>0</v>
      </c>
      <c r="P14" s="288">
        <f ca="1">SUMPRODUCT((TABELA_VAZAO[Posto]=P$2)*1,(TABELA_VAZAO[Data]=$A14)*1,TABELA_VAZAO[qinc])</f>
        <v>0</v>
      </c>
      <c r="Q14" s="288">
        <f ca="1">SUMPRODUCT((TABELA_VAZAO[Posto]=Q$2)*1,(TABELA_VAZAO[Data]=$A14)*1,TABELA_VAZAO[qnat])</f>
        <v>0</v>
      </c>
      <c r="R14" s="288">
        <f ca="1">SUMPRODUCT((TABELA_VAZAO[Posto]=R$2)*1,(TABELA_VAZAO[Data]=$A14)*1,TABELA_VAZAO[qnat])</f>
        <v>0</v>
      </c>
      <c r="S14" s="288">
        <f ca="1">SUMPRODUCT((TABELA_VAZAO[Posto]=S$2)*1,(TABELA_VAZAO[Data]=$A14)*1,TABELA_VAZAO[qnat])</f>
        <v>0</v>
      </c>
      <c r="T14" s="288">
        <f ca="1">SUMPRODUCT((TABELA_VAZAO[Posto]=T$2)*1,(TABELA_VAZAO[Data]=$A14)*1,TABELA_VAZAO[qnat])</f>
        <v>0</v>
      </c>
      <c r="U14" s="288">
        <f ca="1">SUMPRODUCT((TABELA_VAZAO[Posto]=U$2)*1,(TABELA_VAZAO[Data]=$A14)*1,TABELA_VAZAO[qnat])</f>
        <v>0</v>
      </c>
      <c r="V14" s="288">
        <f ca="1">SUMPRODUCT((TABELA_VAZAO[Posto]=V$2)*1,(TABELA_VAZAO[Data]=$A14)*1,TABELA_VAZAO[qnat])</f>
        <v>0</v>
      </c>
      <c r="W14" s="288">
        <f ca="1">SUMPRODUCT((TABELA_VAZAO[Posto]=W$2)*1,(TABELA_VAZAO[Data]=$A14)*1,TABELA_VAZAO[qnat])</f>
        <v>0</v>
      </c>
      <c r="X14">
        <f ca="1">SUMPRODUCT((TABELA_VAZAO[Posto]=X$2)*1,(TABELA_VAZAO[Data]=$A14)*1,TABELA_VAZAO[qnat])</f>
        <v>0</v>
      </c>
      <c r="Y14">
        <f ca="1">SUMPRODUCT((TABELA_VAZAO[Posto]=Y$2)*1,(TABELA_VAZAO[Data]=$A14)*1,TABELA_VAZAO[qnat])</f>
        <v>0</v>
      </c>
      <c r="Z14">
        <f ca="1">SUMPRODUCT((TABELA_VAZAO[Posto]=Z$2)*1,(TABELA_VAZAO[Data]=$A14)*1,TABELA_VAZAO[qnat])</f>
        <v>0</v>
      </c>
    </row>
    <row r="15" spans="1:26" x14ac:dyDescent="0.2">
      <c r="A15" s="273">
        <f t="shared" ca="1" si="2"/>
        <v>43814</v>
      </c>
      <c r="B15" s="288">
        <f ca="1">SUMPRODUCT((TABELA_VAZAO[Posto]=B$2)*1,(TABELA_VAZAO[Data]=$A15)*1,TABELA_VAZAO[qnat])</f>
        <v>0</v>
      </c>
      <c r="C15" s="250">
        <f ca="1">SUMPRODUCT((TABELA_VAZAO[Posto]=C$2)*1,(TABELA_VAZAO[Data]=$A15)*1,TABELA_VAZAO[qinc])</f>
        <v>0</v>
      </c>
      <c r="D15" s="250">
        <f ca="1">SUMPRODUCT((TABELA_VAZAO[Posto]=D$2)*1,(TABELA_VAZAO[Data]=$A15)*1,TABELA_VAZAO[qinc])</f>
        <v>0</v>
      </c>
      <c r="E15" s="250">
        <f ca="1">SUMPRODUCT((TABELA_VAZAO[Posto]=E$2)*1,(TABELA_VAZAO[Data]=$A15)*1,TABELA_VAZAO[qinc])</f>
        <v>0</v>
      </c>
      <c r="F15" s="250">
        <f ca="1">SUMPRODUCT((TABELA_VAZAO[Posto]=F$2)*1,(TABELA_VAZAO[Data]=$A15)*1,TABELA_VAZAO[qnat])</f>
        <v>0</v>
      </c>
      <c r="G15" s="250">
        <f t="shared" ca="1" si="3"/>
        <v>0.185</v>
      </c>
      <c r="H15" s="250">
        <f t="shared" ca="1" si="4"/>
        <v>-0.185</v>
      </c>
      <c r="I15" s="250">
        <f ca="1">SUMPRODUCT((TABELA_VAZAO[Posto]=I$2)*1,(TABELA_VAZAO[Data]=$A15)*1,TABELA_VAZAO[qinc])</f>
        <v>0</v>
      </c>
      <c r="J15" s="250">
        <f ca="1">SUMPRODUCT((TABELA_VAZAO[Posto]=J$2)*1,(TABELA_VAZAO[Data]=$A15)*1,TABELA_VAZAO[qinc])</f>
        <v>0</v>
      </c>
      <c r="K15" s="250">
        <f ca="1">SUMPRODUCT((TABELA_VAZAO[Posto]=K$2)*1,(TABELA_VAZAO[Data]=$A15)*1,TABELA_VAZAO[qinc])</f>
        <v>0</v>
      </c>
      <c r="L15" s="250">
        <f ca="1">SUMPRODUCT((TABELA_VAZAO[Posto]=L$2)*1,(TABELA_VAZAO[Data]=$A15)*1,TABELA_VAZAO[qinc])</f>
        <v>0</v>
      </c>
      <c r="M15" s="250">
        <f ca="1">SUMPRODUCT((TABELA_VAZAO[Posto]=M$2)*1,(TABELA_VAZAO[Data]=$A15)*1,TABELA_VAZAO[qinc])</f>
        <v>0</v>
      </c>
      <c r="N15" s="250"/>
      <c r="O15" s="288">
        <f ca="1">SUMPRODUCT((TABELA_VAZAO[Posto]=O$2)*1,(TABELA_VAZAO[Data]=$A15)*1,TABELA_VAZAO[qinc])</f>
        <v>0</v>
      </c>
      <c r="P15" s="288">
        <f ca="1">SUMPRODUCT((TABELA_VAZAO[Posto]=P$2)*1,(TABELA_VAZAO[Data]=$A15)*1,TABELA_VAZAO[qinc])</f>
        <v>0</v>
      </c>
      <c r="Q15" s="288">
        <f ca="1">SUMPRODUCT((TABELA_VAZAO[Posto]=Q$2)*1,(TABELA_VAZAO[Data]=$A15)*1,TABELA_VAZAO[qnat])</f>
        <v>0</v>
      </c>
      <c r="R15" s="288">
        <f ca="1">SUMPRODUCT((TABELA_VAZAO[Posto]=R$2)*1,(TABELA_VAZAO[Data]=$A15)*1,TABELA_VAZAO[qnat])</f>
        <v>0</v>
      </c>
      <c r="S15" s="288">
        <f ca="1">SUMPRODUCT((TABELA_VAZAO[Posto]=S$2)*1,(TABELA_VAZAO[Data]=$A15)*1,TABELA_VAZAO[qnat])</f>
        <v>0</v>
      </c>
      <c r="T15" s="288">
        <f ca="1">SUMPRODUCT((TABELA_VAZAO[Posto]=T$2)*1,(TABELA_VAZAO[Data]=$A15)*1,TABELA_VAZAO[qnat])</f>
        <v>0</v>
      </c>
      <c r="U15" s="288">
        <f ca="1">SUMPRODUCT((TABELA_VAZAO[Posto]=U$2)*1,(TABELA_VAZAO[Data]=$A15)*1,TABELA_VAZAO[qnat])</f>
        <v>0</v>
      </c>
      <c r="V15" s="288">
        <f ca="1">SUMPRODUCT((TABELA_VAZAO[Posto]=V$2)*1,(TABELA_VAZAO[Data]=$A15)*1,TABELA_VAZAO[qnat])</f>
        <v>0</v>
      </c>
      <c r="W15" s="288">
        <f ca="1">SUMPRODUCT((TABELA_VAZAO[Posto]=W$2)*1,(TABELA_VAZAO[Data]=$A15)*1,TABELA_VAZAO[qnat])</f>
        <v>0</v>
      </c>
      <c r="X15">
        <f ca="1">SUMPRODUCT((TABELA_VAZAO[Posto]=X$2)*1,(TABELA_VAZAO[Data]=$A15)*1,TABELA_VAZAO[qnat])</f>
        <v>0</v>
      </c>
      <c r="Y15">
        <f ca="1">SUMPRODUCT((TABELA_VAZAO[Posto]=Y$2)*1,(TABELA_VAZAO[Data]=$A15)*1,TABELA_VAZAO[qnat])</f>
        <v>0</v>
      </c>
      <c r="Z15">
        <f ca="1">SUMPRODUCT((TABELA_VAZAO[Posto]=Z$2)*1,(TABELA_VAZAO[Data]=$A15)*1,TABELA_VAZAO[qnat])</f>
        <v>0</v>
      </c>
    </row>
    <row r="16" spans="1:26" x14ac:dyDescent="0.2">
      <c r="A16" s="273">
        <f t="shared" ca="1" si="2"/>
        <v>43815</v>
      </c>
      <c r="B16" s="288">
        <f ca="1">SUMPRODUCT((TABELA_VAZAO[Posto]=B$2)*1,(TABELA_VAZAO[Data]=$A16)*1,TABELA_VAZAO[qnat])</f>
        <v>0</v>
      </c>
      <c r="C16" s="250">
        <f ca="1">SUMPRODUCT((TABELA_VAZAO[Posto]=C$2)*1,(TABELA_VAZAO[Data]=$A16)*1,TABELA_VAZAO[qinc])</f>
        <v>0</v>
      </c>
      <c r="D16" s="250">
        <f ca="1">SUMPRODUCT((TABELA_VAZAO[Posto]=D$2)*1,(TABELA_VAZAO[Data]=$A16)*1,TABELA_VAZAO[qinc])</f>
        <v>0</v>
      </c>
      <c r="E16" s="250">
        <f ca="1">SUMPRODUCT((TABELA_VAZAO[Posto]=E$2)*1,(TABELA_VAZAO[Data]=$A16)*1,TABELA_VAZAO[qinc])</f>
        <v>0</v>
      </c>
      <c r="F16" s="250">
        <f ca="1">SUMPRODUCT((TABELA_VAZAO[Posto]=F$2)*1,(TABELA_VAZAO[Data]=$A16)*1,TABELA_VAZAO[qnat])</f>
        <v>0</v>
      </c>
      <c r="G16" s="250">
        <f t="shared" ca="1" si="3"/>
        <v>0.185</v>
      </c>
      <c r="H16" s="250">
        <f t="shared" ca="1" si="4"/>
        <v>-0.185</v>
      </c>
      <c r="I16" s="250">
        <f ca="1">SUMPRODUCT((TABELA_VAZAO[Posto]=I$2)*1,(TABELA_VAZAO[Data]=$A16)*1,TABELA_VAZAO[qinc])</f>
        <v>0</v>
      </c>
      <c r="J16" s="250">
        <f ca="1">SUMPRODUCT((TABELA_VAZAO[Posto]=J$2)*1,(TABELA_VAZAO[Data]=$A16)*1,TABELA_VAZAO[qinc])</f>
        <v>0</v>
      </c>
      <c r="K16" s="250">
        <f ca="1">SUMPRODUCT((TABELA_VAZAO[Posto]=K$2)*1,(TABELA_VAZAO[Data]=$A16)*1,TABELA_VAZAO[qinc])</f>
        <v>0</v>
      </c>
      <c r="L16" s="250">
        <f ca="1">SUMPRODUCT((TABELA_VAZAO[Posto]=L$2)*1,(TABELA_VAZAO[Data]=$A16)*1,TABELA_VAZAO[qinc])</f>
        <v>0</v>
      </c>
      <c r="M16" s="250">
        <f ca="1">SUMPRODUCT((TABELA_VAZAO[Posto]=M$2)*1,(TABELA_VAZAO[Data]=$A16)*1,TABELA_VAZAO[qinc])</f>
        <v>0</v>
      </c>
      <c r="N16" s="250"/>
      <c r="O16" s="288">
        <f ca="1">SUMPRODUCT((TABELA_VAZAO[Posto]=O$2)*1,(TABELA_VAZAO[Data]=$A16)*1,TABELA_VAZAO[qinc])</f>
        <v>0</v>
      </c>
      <c r="P16" s="288">
        <f ca="1">SUMPRODUCT((TABELA_VAZAO[Posto]=P$2)*1,(TABELA_VAZAO[Data]=$A16)*1,TABELA_VAZAO[qinc])</f>
        <v>0</v>
      </c>
      <c r="Q16" s="288">
        <f ca="1">SUMPRODUCT((TABELA_VAZAO[Posto]=Q$2)*1,(TABELA_VAZAO[Data]=$A16)*1,TABELA_VAZAO[qnat])</f>
        <v>0</v>
      </c>
      <c r="R16" s="288">
        <f ca="1">SUMPRODUCT((TABELA_VAZAO[Posto]=R$2)*1,(TABELA_VAZAO[Data]=$A16)*1,TABELA_VAZAO[qnat])</f>
        <v>0</v>
      </c>
      <c r="S16" s="288">
        <f ca="1">SUMPRODUCT((TABELA_VAZAO[Posto]=S$2)*1,(TABELA_VAZAO[Data]=$A16)*1,TABELA_VAZAO[qnat])</f>
        <v>0</v>
      </c>
      <c r="T16" s="288">
        <f ca="1">SUMPRODUCT((TABELA_VAZAO[Posto]=T$2)*1,(TABELA_VAZAO[Data]=$A16)*1,TABELA_VAZAO[qnat])</f>
        <v>0</v>
      </c>
      <c r="U16" s="288">
        <f ca="1">SUMPRODUCT((TABELA_VAZAO[Posto]=U$2)*1,(TABELA_VAZAO[Data]=$A16)*1,TABELA_VAZAO[qnat])</f>
        <v>0</v>
      </c>
      <c r="V16" s="288">
        <f ca="1">SUMPRODUCT((TABELA_VAZAO[Posto]=V$2)*1,(TABELA_VAZAO[Data]=$A16)*1,TABELA_VAZAO[qnat])</f>
        <v>0</v>
      </c>
      <c r="W16" s="288">
        <f ca="1">SUMPRODUCT((TABELA_VAZAO[Posto]=W$2)*1,(TABELA_VAZAO[Data]=$A16)*1,TABELA_VAZAO[qnat])</f>
        <v>0</v>
      </c>
      <c r="X16">
        <f ca="1">SUMPRODUCT((TABELA_VAZAO[Posto]=X$2)*1,(TABELA_VAZAO[Data]=$A16)*1,TABELA_VAZAO[qnat])</f>
        <v>0</v>
      </c>
      <c r="Y16">
        <f ca="1">SUMPRODUCT((TABELA_VAZAO[Posto]=Y$2)*1,(TABELA_VAZAO[Data]=$A16)*1,TABELA_VAZAO[qnat])</f>
        <v>0</v>
      </c>
      <c r="Z16">
        <f ca="1">SUMPRODUCT((TABELA_VAZAO[Posto]=Z$2)*1,(TABELA_VAZAO[Data]=$A16)*1,TABELA_VAZAO[qnat])</f>
        <v>0</v>
      </c>
    </row>
    <row r="17" spans="1:26" x14ac:dyDescent="0.2">
      <c r="A17" s="273">
        <f t="shared" ca="1" si="2"/>
        <v>43816</v>
      </c>
      <c r="B17" s="288">
        <f ca="1">SUMPRODUCT((TABELA_VAZAO[Posto]=B$2)*1,(TABELA_VAZAO[Data]=$A17)*1,TABELA_VAZAO[qnat])</f>
        <v>0</v>
      </c>
      <c r="C17" s="250">
        <f ca="1">SUMPRODUCT((TABELA_VAZAO[Posto]=C$2)*1,(TABELA_VAZAO[Data]=$A17)*1,TABELA_VAZAO[qinc])</f>
        <v>0</v>
      </c>
      <c r="D17" s="250">
        <f ca="1">SUMPRODUCT((TABELA_VAZAO[Posto]=D$2)*1,(TABELA_VAZAO[Data]=$A17)*1,TABELA_VAZAO[qinc])</f>
        <v>0</v>
      </c>
      <c r="E17" s="250">
        <f ca="1">SUMPRODUCT((TABELA_VAZAO[Posto]=E$2)*1,(TABELA_VAZAO[Data]=$A17)*1,TABELA_VAZAO[qinc])</f>
        <v>0</v>
      </c>
      <c r="F17" s="250">
        <f ca="1">SUMPRODUCT((TABELA_VAZAO[Posto]=F$2)*1,(TABELA_VAZAO[Data]=$A17)*1,TABELA_VAZAO[qnat])</f>
        <v>0</v>
      </c>
      <c r="G17" s="250">
        <f t="shared" ca="1" si="3"/>
        <v>0.185</v>
      </c>
      <c r="H17" s="250">
        <f t="shared" ca="1" si="4"/>
        <v>-0.185</v>
      </c>
      <c r="I17" s="250">
        <f ca="1">SUMPRODUCT((TABELA_VAZAO[Posto]=I$2)*1,(TABELA_VAZAO[Data]=$A17)*1,TABELA_VAZAO[qinc])</f>
        <v>0</v>
      </c>
      <c r="J17" s="250">
        <f ca="1">SUMPRODUCT((TABELA_VAZAO[Posto]=J$2)*1,(TABELA_VAZAO[Data]=$A17)*1,TABELA_VAZAO[qinc])</f>
        <v>0</v>
      </c>
      <c r="K17" s="250">
        <f ca="1">SUMPRODUCT((TABELA_VAZAO[Posto]=K$2)*1,(TABELA_VAZAO[Data]=$A17)*1,TABELA_VAZAO[qinc])</f>
        <v>0</v>
      </c>
      <c r="L17" s="250">
        <f ca="1">SUMPRODUCT((TABELA_VAZAO[Posto]=L$2)*1,(TABELA_VAZAO[Data]=$A17)*1,TABELA_VAZAO[qinc])</f>
        <v>0</v>
      </c>
      <c r="M17" s="250">
        <f ca="1">SUMPRODUCT((TABELA_VAZAO[Posto]=M$2)*1,(TABELA_VAZAO[Data]=$A17)*1,TABELA_VAZAO[qinc])</f>
        <v>0</v>
      </c>
      <c r="N17" s="250"/>
      <c r="O17" s="288">
        <f ca="1">SUMPRODUCT((TABELA_VAZAO[Posto]=O$2)*1,(TABELA_VAZAO[Data]=$A17)*1,TABELA_VAZAO[qinc])</f>
        <v>0</v>
      </c>
      <c r="P17" s="288">
        <f ca="1">SUMPRODUCT((TABELA_VAZAO[Posto]=P$2)*1,(TABELA_VAZAO[Data]=$A17)*1,TABELA_VAZAO[qinc])</f>
        <v>0</v>
      </c>
      <c r="Q17" s="288">
        <f ca="1">SUMPRODUCT((TABELA_VAZAO[Posto]=Q$2)*1,(TABELA_VAZAO[Data]=$A17)*1,TABELA_VAZAO[qnat])</f>
        <v>0</v>
      </c>
      <c r="R17" s="288">
        <f ca="1">SUMPRODUCT((TABELA_VAZAO[Posto]=R$2)*1,(TABELA_VAZAO[Data]=$A17)*1,TABELA_VAZAO[qnat])</f>
        <v>0</v>
      </c>
      <c r="S17" s="288">
        <f ca="1">SUMPRODUCT((TABELA_VAZAO[Posto]=S$2)*1,(TABELA_VAZAO[Data]=$A17)*1,TABELA_VAZAO[qnat])</f>
        <v>0</v>
      </c>
      <c r="T17" s="288">
        <f ca="1">SUMPRODUCT((TABELA_VAZAO[Posto]=T$2)*1,(TABELA_VAZAO[Data]=$A17)*1,TABELA_VAZAO[qnat])</f>
        <v>0</v>
      </c>
      <c r="U17" s="288">
        <f ca="1">SUMPRODUCT((TABELA_VAZAO[Posto]=U$2)*1,(TABELA_VAZAO[Data]=$A17)*1,TABELA_VAZAO[qnat])</f>
        <v>0</v>
      </c>
      <c r="V17" s="288">
        <f ca="1">SUMPRODUCT((TABELA_VAZAO[Posto]=V$2)*1,(TABELA_VAZAO[Data]=$A17)*1,TABELA_VAZAO[qnat])</f>
        <v>0</v>
      </c>
      <c r="W17" s="288">
        <f ca="1">SUMPRODUCT((TABELA_VAZAO[Posto]=W$2)*1,(TABELA_VAZAO[Data]=$A17)*1,TABELA_VAZAO[qnat])</f>
        <v>0</v>
      </c>
      <c r="X17">
        <f ca="1">SUMPRODUCT((TABELA_VAZAO[Posto]=X$2)*1,(TABELA_VAZAO[Data]=$A17)*1,TABELA_VAZAO[qnat])</f>
        <v>0</v>
      </c>
      <c r="Y17">
        <f ca="1">SUMPRODUCT((TABELA_VAZAO[Posto]=Y$2)*1,(TABELA_VAZAO[Data]=$A17)*1,TABELA_VAZAO[qnat])</f>
        <v>0</v>
      </c>
      <c r="Z17">
        <f ca="1">SUMPRODUCT((TABELA_VAZAO[Posto]=Z$2)*1,(TABELA_VAZAO[Data]=$A17)*1,TABELA_VAZAO[qnat])</f>
        <v>0</v>
      </c>
    </row>
    <row r="18" spans="1:26" x14ac:dyDescent="0.2">
      <c r="A18" s="273">
        <f t="shared" ca="1" si="2"/>
        <v>43817</v>
      </c>
      <c r="B18" s="288">
        <f ca="1">SUMPRODUCT((TABELA_VAZAO[Posto]=B$2)*1,(TABELA_VAZAO[Data]=$A18)*1,TABELA_VAZAO[qnat])</f>
        <v>0</v>
      </c>
      <c r="C18" s="250">
        <f ca="1">SUMPRODUCT((TABELA_VAZAO[Posto]=C$2)*1,(TABELA_VAZAO[Data]=$A18)*1,TABELA_VAZAO[qinc])</f>
        <v>0</v>
      </c>
      <c r="D18" s="250">
        <f ca="1">SUMPRODUCT((TABELA_VAZAO[Posto]=D$2)*1,(TABELA_VAZAO[Data]=$A18)*1,TABELA_VAZAO[qinc])</f>
        <v>0</v>
      </c>
      <c r="E18" s="250">
        <f ca="1">SUMPRODUCT((TABELA_VAZAO[Posto]=E$2)*1,(TABELA_VAZAO[Data]=$A18)*1,TABELA_VAZAO[qinc])</f>
        <v>0</v>
      </c>
      <c r="F18" s="250">
        <f ca="1">SUMPRODUCT((TABELA_VAZAO[Posto]=F$2)*1,(TABELA_VAZAO[Data]=$A18)*1,TABELA_VAZAO[qnat])</f>
        <v>0</v>
      </c>
      <c r="G18" s="250">
        <f t="shared" ca="1" si="3"/>
        <v>0.185</v>
      </c>
      <c r="H18" s="250">
        <f t="shared" ca="1" si="4"/>
        <v>-0.185</v>
      </c>
      <c r="I18" s="250">
        <f ca="1">SUMPRODUCT((TABELA_VAZAO[Posto]=I$2)*1,(TABELA_VAZAO[Data]=$A18)*1,TABELA_VAZAO[qinc])</f>
        <v>0</v>
      </c>
      <c r="J18" s="250">
        <f ca="1">SUMPRODUCT((TABELA_VAZAO[Posto]=J$2)*1,(TABELA_VAZAO[Data]=$A18)*1,TABELA_VAZAO[qinc])</f>
        <v>0</v>
      </c>
      <c r="K18" s="250">
        <f ca="1">SUMPRODUCT((TABELA_VAZAO[Posto]=K$2)*1,(TABELA_VAZAO[Data]=$A18)*1,TABELA_VAZAO[qinc])</f>
        <v>0</v>
      </c>
      <c r="L18" s="250">
        <f ca="1">SUMPRODUCT((TABELA_VAZAO[Posto]=L$2)*1,(TABELA_VAZAO[Data]=$A18)*1,TABELA_VAZAO[qinc])</f>
        <v>0</v>
      </c>
      <c r="M18" s="250">
        <f ca="1">SUMPRODUCT((TABELA_VAZAO[Posto]=M$2)*1,(TABELA_VAZAO[Data]=$A18)*1,TABELA_VAZAO[qinc])</f>
        <v>0</v>
      </c>
      <c r="N18" s="250"/>
      <c r="O18" s="288">
        <f ca="1">SUMPRODUCT((TABELA_VAZAO[Posto]=O$2)*1,(TABELA_VAZAO[Data]=$A18)*1,TABELA_VAZAO[qinc])</f>
        <v>0</v>
      </c>
      <c r="P18" s="288">
        <f ca="1">SUMPRODUCT((TABELA_VAZAO[Posto]=P$2)*1,(TABELA_VAZAO[Data]=$A18)*1,TABELA_VAZAO[qinc])</f>
        <v>0</v>
      </c>
      <c r="Q18" s="288">
        <f ca="1">SUMPRODUCT((TABELA_VAZAO[Posto]=Q$2)*1,(TABELA_VAZAO[Data]=$A18)*1,TABELA_VAZAO[qnat])</f>
        <v>0</v>
      </c>
      <c r="R18" s="288">
        <f ca="1">SUMPRODUCT((TABELA_VAZAO[Posto]=R$2)*1,(TABELA_VAZAO[Data]=$A18)*1,TABELA_VAZAO[qnat])</f>
        <v>0</v>
      </c>
      <c r="S18" s="288">
        <f ca="1">SUMPRODUCT((TABELA_VAZAO[Posto]=S$2)*1,(TABELA_VAZAO[Data]=$A18)*1,TABELA_VAZAO[qnat])</f>
        <v>0</v>
      </c>
      <c r="T18" s="288">
        <f ca="1">SUMPRODUCT((TABELA_VAZAO[Posto]=T$2)*1,(TABELA_VAZAO[Data]=$A18)*1,TABELA_VAZAO[qnat])</f>
        <v>0</v>
      </c>
      <c r="U18" s="288">
        <f ca="1">SUMPRODUCT((TABELA_VAZAO[Posto]=U$2)*1,(TABELA_VAZAO[Data]=$A18)*1,TABELA_VAZAO[qnat])</f>
        <v>0</v>
      </c>
      <c r="V18" s="288">
        <f ca="1">SUMPRODUCT((TABELA_VAZAO[Posto]=V$2)*1,(TABELA_VAZAO[Data]=$A18)*1,TABELA_VAZAO[qnat])</f>
        <v>0</v>
      </c>
      <c r="W18" s="288">
        <f ca="1">SUMPRODUCT((TABELA_VAZAO[Posto]=W$2)*1,(TABELA_VAZAO[Data]=$A18)*1,TABELA_VAZAO[qnat])</f>
        <v>0</v>
      </c>
      <c r="X18">
        <f ca="1">SUMPRODUCT((TABELA_VAZAO[Posto]=X$2)*1,(TABELA_VAZAO[Data]=$A18)*1,TABELA_VAZAO[qnat])</f>
        <v>0</v>
      </c>
      <c r="Y18">
        <f ca="1">SUMPRODUCT((TABELA_VAZAO[Posto]=Y$2)*1,(TABELA_VAZAO[Data]=$A18)*1,TABELA_VAZAO[qnat])</f>
        <v>0</v>
      </c>
      <c r="Z18">
        <f ca="1">SUMPRODUCT((TABELA_VAZAO[Posto]=Z$2)*1,(TABELA_VAZAO[Data]=$A18)*1,TABELA_VAZAO[qnat])</f>
        <v>0</v>
      </c>
    </row>
    <row r="19" spans="1:26" x14ac:dyDescent="0.2">
      <c r="A19" s="82">
        <f t="shared" ca="1" si="2"/>
        <v>43818</v>
      </c>
      <c r="B19" s="288">
        <f ca="1">SUMPRODUCT((TABELA_VAZAO[Posto]=B$2)*1,(TABELA_VAZAO[Data]=$A19)*1,TABELA_VAZAO[qnat])</f>
        <v>0</v>
      </c>
      <c r="C19" s="250">
        <f ca="1">SUMPRODUCT((TABELA_VAZAO[Posto]=C$2)*1,(TABELA_VAZAO[Data]=$A19)*1,TABELA_VAZAO[qinc])</f>
        <v>0</v>
      </c>
      <c r="D19" s="250">
        <f ca="1">SUMPRODUCT((TABELA_VAZAO[Posto]=D$2)*1,(TABELA_VAZAO[Data]=$A19)*1,TABELA_VAZAO[qinc])</f>
        <v>0</v>
      </c>
      <c r="E19" s="250">
        <f ca="1">SUMPRODUCT((TABELA_VAZAO[Posto]=E$2)*1,(TABELA_VAZAO[Data]=$A19)*1,TABELA_VAZAO[qinc])</f>
        <v>0</v>
      </c>
      <c r="F19" s="250">
        <f ca="1">SUMPRODUCT((TABELA_VAZAO[Posto]=F$2)*1,(TABELA_VAZAO[Data]=$A19)*1,TABELA_VAZAO[qnat])</f>
        <v>0</v>
      </c>
      <c r="G19" s="250">
        <f t="shared" ca="1" si="3"/>
        <v>0.185</v>
      </c>
      <c r="H19" s="250">
        <f t="shared" ca="1" si="4"/>
        <v>-0.185</v>
      </c>
      <c r="I19" s="250">
        <f ca="1">SUMPRODUCT((TABELA_VAZAO[Posto]=I$2)*1,(TABELA_VAZAO[Data]=$A19)*1,TABELA_VAZAO[qinc])</f>
        <v>0</v>
      </c>
      <c r="J19" s="250">
        <f ca="1">SUMPRODUCT((TABELA_VAZAO[Posto]=J$2)*1,(TABELA_VAZAO[Data]=$A19)*1,TABELA_VAZAO[qinc])</f>
        <v>0</v>
      </c>
      <c r="K19" s="250">
        <f ca="1">SUMPRODUCT((TABELA_VAZAO[Posto]=K$2)*1,(TABELA_VAZAO[Data]=$A19)*1,TABELA_VAZAO[qinc])</f>
        <v>0</v>
      </c>
      <c r="L19" s="250">
        <f ca="1">SUMPRODUCT((TABELA_VAZAO[Posto]=L$2)*1,(TABELA_VAZAO[Data]=$A19)*1,TABELA_VAZAO[qinc])</f>
        <v>0</v>
      </c>
      <c r="M19" s="250">
        <f ca="1">SUMPRODUCT((TABELA_VAZAO[Posto]=M$2)*1,(TABELA_VAZAO[Data]=$A19)*1,TABELA_VAZAO[qinc])</f>
        <v>0</v>
      </c>
      <c r="N19" s="250"/>
      <c r="O19" s="288">
        <f ca="1">SUMPRODUCT((TABELA_VAZAO[Posto]=O$2)*1,(TABELA_VAZAO[Data]=$A19)*1,TABELA_VAZAO[qinc])</f>
        <v>0</v>
      </c>
      <c r="P19" s="288">
        <f ca="1">SUMPRODUCT((TABELA_VAZAO[Posto]=P$2)*1,(TABELA_VAZAO[Data]=$A19)*1,TABELA_VAZAO[qinc])</f>
        <v>0</v>
      </c>
      <c r="Q19" s="288">
        <f ca="1">SUMPRODUCT((TABELA_VAZAO[Posto]=Q$2)*1,(TABELA_VAZAO[Data]=$A19)*1,TABELA_VAZAO[qnat])</f>
        <v>0</v>
      </c>
      <c r="R19" s="288">
        <f ca="1">SUMPRODUCT((TABELA_VAZAO[Posto]=R$2)*1,(TABELA_VAZAO[Data]=$A19)*1,TABELA_VAZAO[qnat])</f>
        <v>0</v>
      </c>
      <c r="S19" s="288">
        <f ca="1">SUMPRODUCT((TABELA_VAZAO[Posto]=S$2)*1,(TABELA_VAZAO[Data]=$A19)*1,TABELA_VAZAO[qnat])</f>
        <v>0</v>
      </c>
      <c r="T19" s="288">
        <f ca="1">SUMPRODUCT((TABELA_VAZAO[Posto]=T$2)*1,(TABELA_VAZAO[Data]=$A19)*1,TABELA_VAZAO[qnat])</f>
        <v>0</v>
      </c>
      <c r="U19" s="288">
        <f ca="1">SUMPRODUCT((TABELA_VAZAO[Posto]=U$2)*1,(TABELA_VAZAO[Data]=$A19)*1,TABELA_VAZAO[qnat])</f>
        <v>0</v>
      </c>
      <c r="V19" s="288">
        <f ca="1">SUMPRODUCT((TABELA_VAZAO[Posto]=V$2)*1,(TABELA_VAZAO[Data]=$A19)*1,TABELA_VAZAO[qnat])</f>
        <v>0</v>
      </c>
      <c r="W19" s="288">
        <f ca="1">SUMPRODUCT((TABELA_VAZAO[Posto]=W$2)*1,(TABELA_VAZAO[Data]=$A19)*1,TABELA_VAZAO[qnat])</f>
        <v>0</v>
      </c>
      <c r="X19">
        <f ca="1">SUMPRODUCT((TABELA_VAZAO[Posto]=X$2)*1,(TABELA_VAZAO[Data]=$A19)*1,TABELA_VAZAO[qnat])</f>
        <v>0</v>
      </c>
      <c r="Y19">
        <f ca="1">SUMPRODUCT((TABELA_VAZAO[Posto]=Y$2)*1,(TABELA_VAZAO[Data]=$A19)*1,TABELA_VAZAO[qnat])</f>
        <v>0</v>
      </c>
      <c r="Z19">
        <f ca="1">SUMPRODUCT((TABELA_VAZAO[Posto]=Z$2)*1,(TABELA_VAZAO[Data]=$A19)*1,TABELA_VAZAO[qnat])</f>
        <v>0</v>
      </c>
    </row>
    <row r="20" spans="1:26" x14ac:dyDescent="0.2">
      <c r="A20" s="273">
        <f t="shared" ca="1" si="2"/>
        <v>43819</v>
      </c>
      <c r="B20" s="288">
        <f ca="1">SUMPRODUCT((TABELA_VAZAO[Posto]=B$2)*1,(TABELA_VAZAO[Data]=$A20)*1,TABELA_VAZAO[qnat])</f>
        <v>0</v>
      </c>
      <c r="C20" s="250">
        <f ca="1">SUMPRODUCT((TABELA_VAZAO[Posto]=C$2)*1,(TABELA_VAZAO[Data]=$A20)*1,TABELA_VAZAO[qinc])</f>
        <v>0</v>
      </c>
      <c r="D20" s="250">
        <f ca="1">SUMPRODUCT((TABELA_VAZAO[Posto]=D$2)*1,(TABELA_VAZAO[Data]=$A20)*1,TABELA_VAZAO[qinc])</f>
        <v>0</v>
      </c>
      <c r="E20" s="250">
        <f ca="1">SUMPRODUCT((TABELA_VAZAO[Posto]=E$2)*1,(TABELA_VAZAO[Data]=$A20)*1,TABELA_VAZAO[qinc])</f>
        <v>0</v>
      </c>
      <c r="F20" s="250">
        <f ca="1">SUMPRODUCT((TABELA_VAZAO[Posto]=F$2)*1,(TABELA_VAZAO[Data]=$A20)*1,TABELA_VAZAO[qnat])</f>
        <v>0</v>
      </c>
      <c r="G20" s="250">
        <f t="shared" ca="1" si="3"/>
        <v>0.185</v>
      </c>
      <c r="H20" s="250">
        <f t="shared" ca="1" si="4"/>
        <v>-0.185</v>
      </c>
      <c r="I20" s="250">
        <f ca="1">SUMPRODUCT((TABELA_VAZAO[Posto]=I$2)*1,(TABELA_VAZAO[Data]=$A20)*1,TABELA_VAZAO[qinc])</f>
        <v>0</v>
      </c>
      <c r="J20" s="250">
        <f ca="1">SUMPRODUCT((TABELA_VAZAO[Posto]=J$2)*1,(TABELA_VAZAO[Data]=$A20)*1,TABELA_VAZAO[qinc])</f>
        <v>0</v>
      </c>
      <c r="K20" s="250">
        <f ca="1">SUMPRODUCT((TABELA_VAZAO[Posto]=K$2)*1,(TABELA_VAZAO[Data]=$A20)*1,TABELA_VAZAO[qinc])</f>
        <v>0</v>
      </c>
      <c r="L20" s="250">
        <f ca="1">SUMPRODUCT((TABELA_VAZAO[Posto]=L$2)*1,(TABELA_VAZAO[Data]=$A20)*1,TABELA_VAZAO[qinc])</f>
        <v>0</v>
      </c>
      <c r="M20" s="250">
        <f ca="1">SUMPRODUCT((TABELA_VAZAO[Posto]=M$2)*1,(TABELA_VAZAO[Data]=$A20)*1,TABELA_VAZAO[qinc])</f>
        <v>0</v>
      </c>
      <c r="N20" s="250"/>
      <c r="O20" s="288">
        <f ca="1">SUMPRODUCT((TABELA_VAZAO[Posto]=O$2)*1,(TABELA_VAZAO[Data]=$A20)*1,TABELA_VAZAO[qinc])</f>
        <v>0</v>
      </c>
      <c r="P20" s="288">
        <f ca="1">SUMPRODUCT((TABELA_VAZAO[Posto]=P$2)*1,(TABELA_VAZAO[Data]=$A20)*1,TABELA_VAZAO[qinc])</f>
        <v>0</v>
      </c>
      <c r="Q20" s="288">
        <f ca="1">SUMPRODUCT((TABELA_VAZAO[Posto]=Q$2)*1,(TABELA_VAZAO[Data]=$A20)*1,TABELA_VAZAO[qnat])</f>
        <v>0</v>
      </c>
      <c r="R20" s="288">
        <f ca="1">SUMPRODUCT((TABELA_VAZAO[Posto]=R$2)*1,(TABELA_VAZAO[Data]=$A20)*1,TABELA_VAZAO[qnat])</f>
        <v>0</v>
      </c>
      <c r="S20" s="288">
        <f ca="1">SUMPRODUCT((TABELA_VAZAO[Posto]=S$2)*1,(TABELA_VAZAO[Data]=$A20)*1,TABELA_VAZAO[qnat])</f>
        <v>0</v>
      </c>
      <c r="T20" s="288">
        <f ca="1">SUMPRODUCT((TABELA_VAZAO[Posto]=T$2)*1,(TABELA_VAZAO[Data]=$A20)*1,TABELA_VAZAO[qnat])</f>
        <v>0</v>
      </c>
      <c r="U20" s="288">
        <f ca="1">SUMPRODUCT((TABELA_VAZAO[Posto]=U$2)*1,(TABELA_VAZAO[Data]=$A20)*1,TABELA_VAZAO[qnat])</f>
        <v>0</v>
      </c>
      <c r="V20" s="288">
        <f ca="1">SUMPRODUCT((TABELA_VAZAO[Posto]=V$2)*1,(TABELA_VAZAO[Data]=$A20)*1,TABELA_VAZAO[qnat])</f>
        <v>0</v>
      </c>
      <c r="W20" s="288">
        <f ca="1">SUMPRODUCT((TABELA_VAZAO[Posto]=W$2)*1,(TABELA_VAZAO[Data]=$A20)*1,TABELA_VAZAO[qnat])</f>
        <v>0</v>
      </c>
      <c r="X20">
        <f ca="1">SUMPRODUCT((TABELA_VAZAO[Posto]=X$2)*1,(TABELA_VAZAO[Data]=$A20)*1,TABELA_VAZAO[qnat])</f>
        <v>0</v>
      </c>
      <c r="Y20">
        <f ca="1">SUMPRODUCT((TABELA_VAZAO[Posto]=Y$2)*1,(TABELA_VAZAO[Data]=$A20)*1,TABELA_VAZAO[qnat])</f>
        <v>0</v>
      </c>
      <c r="Z20">
        <f ca="1">SUMPRODUCT((TABELA_VAZAO[Posto]=Z$2)*1,(TABELA_VAZAO[Data]=$A20)*1,TABELA_VAZAO[qnat])</f>
        <v>0</v>
      </c>
    </row>
    <row r="21" spans="1:26" x14ac:dyDescent="0.2">
      <c r="A21" s="273">
        <f t="shared" ca="1" si="2"/>
        <v>43820</v>
      </c>
      <c r="B21" s="288">
        <f ca="1">SUMPRODUCT((TABELA_VAZAO[Posto]=B$2)*1,(TABELA_VAZAO[Data]=$A21)*1,TABELA_VAZAO[qnat])</f>
        <v>0</v>
      </c>
      <c r="C21" s="250">
        <f ca="1">SUMPRODUCT((TABELA_VAZAO[Posto]=C$2)*1,(TABELA_VAZAO[Data]=$A21)*1,TABELA_VAZAO[qinc])</f>
        <v>0</v>
      </c>
      <c r="D21" s="250">
        <f ca="1">SUMPRODUCT((TABELA_VAZAO[Posto]=D$2)*1,(TABELA_VAZAO[Data]=$A21)*1,TABELA_VAZAO[qinc])</f>
        <v>0</v>
      </c>
      <c r="E21" s="250">
        <f ca="1">SUMPRODUCT((TABELA_VAZAO[Posto]=E$2)*1,(TABELA_VAZAO[Data]=$A21)*1,TABELA_VAZAO[qinc])</f>
        <v>0</v>
      </c>
      <c r="F21" s="250">
        <f ca="1">SUMPRODUCT((TABELA_VAZAO[Posto]=F$2)*1,(TABELA_VAZAO[Data]=$A21)*1,TABELA_VAZAO[qnat])</f>
        <v>0</v>
      </c>
      <c r="G21" s="250">
        <f t="shared" ca="1" si="3"/>
        <v>0.185</v>
      </c>
      <c r="H21" s="250">
        <f t="shared" ca="1" si="4"/>
        <v>-0.185</v>
      </c>
      <c r="I21" s="250">
        <f ca="1">SUMPRODUCT((TABELA_VAZAO[Posto]=I$2)*1,(TABELA_VAZAO[Data]=$A21)*1,TABELA_VAZAO[qinc])</f>
        <v>0</v>
      </c>
      <c r="J21" s="250">
        <f ca="1">SUMPRODUCT((TABELA_VAZAO[Posto]=J$2)*1,(TABELA_VAZAO[Data]=$A21)*1,TABELA_VAZAO[qinc])</f>
        <v>0</v>
      </c>
      <c r="K21" s="250">
        <f ca="1">SUMPRODUCT((TABELA_VAZAO[Posto]=K$2)*1,(TABELA_VAZAO[Data]=$A21)*1,TABELA_VAZAO[qinc])</f>
        <v>0</v>
      </c>
      <c r="L21" s="250">
        <f ca="1">SUMPRODUCT((TABELA_VAZAO[Posto]=L$2)*1,(TABELA_VAZAO[Data]=$A21)*1,TABELA_VAZAO[qinc])</f>
        <v>0</v>
      </c>
      <c r="M21" s="250">
        <f ca="1">SUMPRODUCT((TABELA_VAZAO[Posto]=M$2)*1,(TABELA_VAZAO[Data]=$A21)*1,TABELA_VAZAO[qinc])</f>
        <v>0</v>
      </c>
      <c r="N21" s="250"/>
      <c r="O21" s="288">
        <f ca="1">SUMPRODUCT((TABELA_VAZAO[Posto]=O$2)*1,(TABELA_VAZAO[Data]=$A21)*1,TABELA_VAZAO[qinc])</f>
        <v>0</v>
      </c>
      <c r="P21" s="288">
        <f ca="1">SUMPRODUCT((TABELA_VAZAO[Posto]=P$2)*1,(TABELA_VAZAO[Data]=$A21)*1,TABELA_VAZAO[qinc])</f>
        <v>0</v>
      </c>
      <c r="Q21" s="288">
        <f ca="1">SUMPRODUCT((TABELA_VAZAO[Posto]=Q$2)*1,(TABELA_VAZAO[Data]=$A21)*1,TABELA_VAZAO[qnat])</f>
        <v>0</v>
      </c>
      <c r="R21" s="288">
        <f ca="1">SUMPRODUCT((TABELA_VAZAO[Posto]=R$2)*1,(TABELA_VAZAO[Data]=$A21)*1,TABELA_VAZAO[qnat])</f>
        <v>0</v>
      </c>
      <c r="S21" s="288">
        <f ca="1">SUMPRODUCT((TABELA_VAZAO[Posto]=S$2)*1,(TABELA_VAZAO[Data]=$A21)*1,TABELA_VAZAO[qnat])</f>
        <v>0</v>
      </c>
      <c r="T21" s="288">
        <f ca="1">SUMPRODUCT((TABELA_VAZAO[Posto]=T$2)*1,(TABELA_VAZAO[Data]=$A21)*1,TABELA_VAZAO[qnat])</f>
        <v>0</v>
      </c>
      <c r="U21" s="288">
        <f ca="1">SUMPRODUCT((TABELA_VAZAO[Posto]=U$2)*1,(TABELA_VAZAO[Data]=$A21)*1,TABELA_VAZAO[qnat])</f>
        <v>0</v>
      </c>
      <c r="V21" s="288">
        <f ca="1">SUMPRODUCT((TABELA_VAZAO[Posto]=V$2)*1,(TABELA_VAZAO[Data]=$A21)*1,TABELA_VAZAO[qnat])</f>
        <v>0</v>
      </c>
      <c r="W21" s="288">
        <f ca="1">SUMPRODUCT((TABELA_VAZAO[Posto]=W$2)*1,(TABELA_VAZAO[Data]=$A21)*1,TABELA_VAZAO[qnat])</f>
        <v>0</v>
      </c>
      <c r="X21">
        <f ca="1">SUMPRODUCT((TABELA_VAZAO[Posto]=X$2)*1,(TABELA_VAZAO[Data]=$A21)*1,TABELA_VAZAO[qnat])</f>
        <v>0</v>
      </c>
      <c r="Y21">
        <f ca="1">SUMPRODUCT((TABELA_VAZAO[Posto]=Y$2)*1,(TABELA_VAZAO[Data]=$A21)*1,TABELA_VAZAO[qnat])</f>
        <v>0</v>
      </c>
      <c r="Z21">
        <f ca="1">SUMPRODUCT((TABELA_VAZAO[Posto]=Z$2)*1,(TABELA_VAZAO[Data]=$A21)*1,TABELA_VAZAO[qnat])</f>
        <v>0</v>
      </c>
    </row>
    <row r="22" spans="1:26" x14ac:dyDescent="0.2">
      <c r="A22" s="273">
        <f t="shared" ca="1" si="2"/>
        <v>43821</v>
      </c>
      <c r="B22" s="288">
        <f ca="1">SUMPRODUCT((TABELA_VAZAO[Posto]=B$2)*1,(TABELA_VAZAO[Data]=$A22)*1,TABELA_VAZAO[qnat])</f>
        <v>0</v>
      </c>
      <c r="C22" s="250">
        <f ca="1">SUMPRODUCT((TABELA_VAZAO[Posto]=C$2)*1,(TABELA_VAZAO[Data]=$A22)*1,TABELA_VAZAO[qinc])</f>
        <v>0</v>
      </c>
      <c r="D22" s="250">
        <f ca="1">SUMPRODUCT((TABELA_VAZAO[Posto]=D$2)*1,(TABELA_VAZAO[Data]=$A22)*1,TABELA_VAZAO[qinc])</f>
        <v>0</v>
      </c>
      <c r="E22" s="250">
        <f ca="1">SUMPRODUCT((TABELA_VAZAO[Posto]=E$2)*1,(TABELA_VAZAO[Data]=$A22)*1,TABELA_VAZAO[qinc])</f>
        <v>0</v>
      </c>
      <c r="F22" s="250">
        <f ca="1">SUMPRODUCT((TABELA_VAZAO[Posto]=F$2)*1,(TABELA_VAZAO[Data]=$A22)*1,TABELA_VAZAO[qnat])</f>
        <v>0</v>
      </c>
      <c r="G22" s="250">
        <f t="shared" ca="1" si="3"/>
        <v>0.185</v>
      </c>
      <c r="H22" s="250">
        <f t="shared" ca="1" si="4"/>
        <v>-0.185</v>
      </c>
      <c r="I22" s="250">
        <f ca="1">SUMPRODUCT((TABELA_VAZAO[Posto]=I$2)*1,(TABELA_VAZAO[Data]=$A22)*1,TABELA_VAZAO[qinc])</f>
        <v>0</v>
      </c>
      <c r="J22" s="250">
        <f ca="1">SUMPRODUCT((TABELA_VAZAO[Posto]=J$2)*1,(TABELA_VAZAO[Data]=$A22)*1,TABELA_VAZAO[qinc])</f>
        <v>0</v>
      </c>
      <c r="K22" s="250">
        <f ca="1">SUMPRODUCT((TABELA_VAZAO[Posto]=K$2)*1,(TABELA_VAZAO[Data]=$A22)*1,TABELA_VAZAO[qinc])</f>
        <v>0</v>
      </c>
      <c r="L22" s="250">
        <f ca="1">SUMPRODUCT((TABELA_VAZAO[Posto]=L$2)*1,(TABELA_VAZAO[Data]=$A22)*1,TABELA_VAZAO[qinc])</f>
        <v>0</v>
      </c>
      <c r="M22" s="250">
        <f ca="1">SUMPRODUCT((TABELA_VAZAO[Posto]=M$2)*1,(TABELA_VAZAO[Data]=$A22)*1,TABELA_VAZAO[qinc])</f>
        <v>0</v>
      </c>
      <c r="N22" s="250"/>
      <c r="O22" s="288">
        <f ca="1">SUMPRODUCT((TABELA_VAZAO[Posto]=O$2)*1,(TABELA_VAZAO[Data]=$A22)*1,TABELA_VAZAO[qinc])</f>
        <v>0</v>
      </c>
      <c r="P22" s="288">
        <f ca="1">SUMPRODUCT((TABELA_VAZAO[Posto]=P$2)*1,(TABELA_VAZAO[Data]=$A22)*1,TABELA_VAZAO[qinc])</f>
        <v>0</v>
      </c>
      <c r="Q22" s="288">
        <f ca="1">SUMPRODUCT((TABELA_VAZAO[Posto]=Q$2)*1,(TABELA_VAZAO[Data]=$A22)*1,TABELA_VAZAO[qnat])</f>
        <v>0</v>
      </c>
      <c r="R22" s="288">
        <f ca="1">SUMPRODUCT((TABELA_VAZAO[Posto]=R$2)*1,(TABELA_VAZAO[Data]=$A22)*1,TABELA_VAZAO[qnat])</f>
        <v>0</v>
      </c>
      <c r="S22" s="288">
        <f ca="1">SUMPRODUCT((TABELA_VAZAO[Posto]=S$2)*1,(TABELA_VAZAO[Data]=$A22)*1,TABELA_VAZAO[qnat])</f>
        <v>0</v>
      </c>
      <c r="T22" s="288">
        <f ca="1">SUMPRODUCT((TABELA_VAZAO[Posto]=T$2)*1,(TABELA_VAZAO[Data]=$A22)*1,TABELA_VAZAO[qnat])</f>
        <v>0</v>
      </c>
      <c r="U22" s="288">
        <f ca="1">SUMPRODUCT((TABELA_VAZAO[Posto]=U$2)*1,(TABELA_VAZAO[Data]=$A22)*1,TABELA_VAZAO[qnat])</f>
        <v>0</v>
      </c>
      <c r="V22" s="288">
        <f ca="1">SUMPRODUCT((TABELA_VAZAO[Posto]=V$2)*1,(TABELA_VAZAO[Data]=$A22)*1,TABELA_VAZAO[qnat])</f>
        <v>0</v>
      </c>
      <c r="W22" s="288">
        <f ca="1">SUMPRODUCT((TABELA_VAZAO[Posto]=W$2)*1,(TABELA_VAZAO[Data]=$A22)*1,TABELA_VAZAO[qnat])</f>
        <v>0</v>
      </c>
      <c r="X22">
        <f ca="1">SUMPRODUCT((TABELA_VAZAO[Posto]=X$2)*1,(TABELA_VAZAO[Data]=$A22)*1,TABELA_VAZAO[qnat])</f>
        <v>0</v>
      </c>
      <c r="Y22">
        <f ca="1">SUMPRODUCT((TABELA_VAZAO[Posto]=Y$2)*1,(TABELA_VAZAO[Data]=$A22)*1,TABELA_VAZAO[qnat])</f>
        <v>0</v>
      </c>
      <c r="Z22">
        <f ca="1">SUMPRODUCT((TABELA_VAZAO[Posto]=Z$2)*1,(TABELA_VAZAO[Data]=$A22)*1,TABELA_VAZAO[qnat])</f>
        <v>0</v>
      </c>
    </row>
    <row r="23" spans="1:26" x14ac:dyDescent="0.2">
      <c r="A23" s="273">
        <f t="shared" ca="1" si="2"/>
        <v>43822</v>
      </c>
      <c r="B23" s="288">
        <f ca="1">SUMPRODUCT((TABELA_VAZAO[Posto]=B$2)*1,(TABELA_VAZAO[Data]=$A23)*1,TABELA_VAZAO[qnat])</f>
        <v>0</v>
      </c>
      <c r="C23" s="250">
        <f ca="1">SUMPRODUCT((TABELA_VAZAO[Posto]=C$2)*1,(TABELA_VAZAO[Data]=$A23)*1,TABELA_VAZAO[qinc])</f>
        <v>0</v>
      </c>
      <c r="D23" s="250">
        <f ca="1">SUMPRODUCT((TABELA_VAZAO[Posto]=D$2)*1,(TABELA_VAZAO[Data]=$A23)*1,TABELA_VAZAO[qinc])</f>
        <v>0</v>
      </c>
      <c r="E23" s="250">
        <f ca="1">SUMPRODUCT((TABELA_VAZAO[Posto]=E$2)*1,(TABELA_VAZAO[Data]=$A23)*1,TABELA_VAZAO[qinc])</f>
        <v>0</v>
      </c>
      <c r="F23" s="250">
        <f ca="1">SUMPRODUCT((TABELA_VAZAO[Posto]=F$2)*1,(TABELA_VAZAO[Data]=$A23)*1,TABELA_VAZAO[qnat])</f>
        <v>0</v>
      </c>
      <c r="G23" s="250">
        <f t="shared" ca="1" si="3"/>
        <v>0.185</v>
      </c>
      <c r="H23" s="250">
        <f t="shared" ca="1" si="4"/>
        <v>-0.185</v>
      </c>
      <c r="I23" s="250">
        <f ca="1">SUMPRODUCT((TABELA_VAZAO[Posto]=I$2)*1,(TABELA_VAZAO[Data]=$A23)*1,TABELA_VAZAO[qinc])</f>
        <v>0</v>
      </c>
      <c r="J23" s="250">
        <f ca="1">SUMPRODUCT((TABELA_VAZAO[Posto]=J$2)*1,(TABELA_VAZAO[Data]=$A23)*1,TABELA_VAZAO[qinc])</f>
        <v>0</v>
      </c>
      <c r="K23" s="250">
        <f ca="1">SUMPRODUCT((TABELA_VAZAO[Posto]=K$2)*1,(TABELA_VAZAO[Data]=$A23)*1,TABELA_VAZAO[qinc])</f>
        <v>0</v>
      </c>
      <c r="L23" s="250">
        <f ca="1">SUMPRODUCT((TABELA_VAZAO[Posto]=L$2)*1,(TABELA_VAZAO[Data]=$A23)*1,TABELA_VAZAO[qinc])</f>
        <v>0</v>
      </c>
      <c r="M23" s="250">
        <f ca="1">SUMPRODUCT((TABELA_VAZAO[Posto]=M$2)*1,(TABELA_VAZAO[Data]=$A23)*1,TABELA_VAZAO[qinc])</f>
        <v>0</v>
      </c>
      <c r="N23" s="250"/>
      <c r="O23" s="288">
        <f ca="1">SUMPRODUCT((TABELA_VAZAO[Posto]=O$2)*1,(TABELA_VAZAO[Data]=$A23)*1,TABELA_VAZAO[qinc])</f>
        <v>0</v>
      </c>
      <c r="P23" s="288">
        <f ca="1">SUMPRODUCT((TABELA_VAZAO[Posto]=P$2)*1,(TABELA_VAZAO[Data]=$A23)*1,TABELA_VAZAO[qinc])</f>
        <v>0</v>
      </c>
      <c r="Q23" s="288">
        <f ca="1">SUMPRODUCT((TABELA_VAZAO[Posto]=Q$2)*1,(TABELA_VAZAO[Data]=$A23)*1,TABELA_VAZAO[qnat])</f>
        <v>0</v>
      </c>
      <c r="R23" s="288">
        <f ca="1">SUMPRODUCT((TABELA_VAZAO[Posto]=R$2)*1,(TABELA_VAZAO[Data]=$A23)*1,TABELA_VAZAO[qnat])</f>
        <v>0</v>
      </c>
      <c r="S23" s="288">
        <f ca="1">SUMPRODUCT((TABELA_VAZAO[Posto]=S$2)*1,(TABELA_VAZAO[Data]=$A23)*1,TABELA_VAZAO[qnat])</f>
        <v>0</v>
      </c>
      <c r="T23" s="288">
        <f ca="1">SUMPRODUCT((TABELA_VAZAO[Posto]=T$2)*1,(TABELA_VAZAO[Data]=$A23)*1,TABELA_VAZAO[qnat])</f>
        <v>0</v>
      </c>
      <c r="U23" s="288">
        <f ca="1">SUMPRODUCT((TABELA_VAZAO[Posto]=U$2)*1,(TABELA_VAZAO[Data]=$A23)*1,TABELA_VAZAO[qnat])</f>
        <v>0</v>
      </c>
      <c r="V23" s="288">
        <f ca="1">SUMPRODUCT((TABELA_VAZAO[Posto]=V$2)*1,(TABELA_VAZAO[Data]=$A23)*1,TABELA_VAZAO[qnat])</f>
        <v>0</v>
      </c>
      <c r="W23" s="288">
        <f ca="1">SUMPRODUCT((TABELA_VAZAO[Posto]=W$2)*1,(TABELA_VAZAO[Data]=$A23)*1,TABELA_VAZAO[qnat])</f>
        <v>0</v>
      </c>
      <c r="X23">
        <f ca="1">SUMPRODUCT((TABELA_VAZAO[Posto]=X$2)*1,(TABELA_VAZAO[Data]=$A23)*1,TABELA_VAZAO[qnat])</f>
        <v>0</v>
      </c>
      <c r="Y23">
        <f ca="1">SUMPRODUCT((TABELA_VAZAO[Posto]=Y$2)*1,(TABELA_VAZAO[Data]=$A23)*1,TABELA_VAZAO[qnat])</f>
        <v>0</v>
      </c>
      <c r="Z23">
        <f ca="1">SUMPRODUCT((TABELA_VAZAO[Posto]=Z$2)*1,(TABELA_VAZAO[Data]=$A23)*1,TABELA_VAZAO[qnat])</f>
        <v>0</v>
      </c>
    </row>
    <row r="24" spans="1:26" x14ac:dyDescent="0.2">
      <c r="A24" s="273">
        <f t="shared" ca="1" si="2"/>
        <v>43823</v>
      </c>
      <c r="B24" s="288">
        <f ca="1">SUMPRODUCT((TABELA_VAZAO[Posto]=B$2)*1,(TABELA_VAZAO[Data]=$A24)*1,TABELA_VAZAO[qnat])</f>
        <v>0</v>
      </c>
      <c r="C24" s="250">
        <f ca="1">SUMPRODUCT((TABELA_VAZAO[Posto]=C$2)*1,(TABELA_VAZAO[Data]=$A24)*1,TABELA_VAZAO[qinc])</f>
        <v>0</v>
      </c>
      <c r="D24" s="250">
        <f ca="1">SUMPRODUCT((TABELA_VAZAO[Posto]=D$2)*1,(TABELA_VAZAO[Data]=$A24)*1,TABELA_VAZAO[qinc])</f>
        <v>0</v>
      </c>
      <c r="E24" s="250">
        <f ca="1">SUMPRODUCT((TABELA_VAZAO[Posto]=E$2)*1,(TABELA_VAZAO[Data]=$A24)*1,TABELA_VAZAO[qinc])</f>
        <v>0</v>
      </c>
      <c r="F24" s="250">
        <f ca="1">SUMPRODUCT((TABELA_VAZAO[Posto]=F$2)*1,(TABELA_VAZAO[Data]=$A24)*1,TABELA_VAZAO[qnat])</f>
        <v>0</v>
      </c>
      <c r="G24" s="250">
        <f t="shared" ca="1" si="3"/>
        <v>0.185</v>
      </c>
      <c r="H24" s="250">
        <f t="shared" ca="1" si="4"/>
        <v>-0.185</v>
      </c>
      <c r="I24" s="250">
        <f ca="1">SUMPRODUCT((TABELA_VAZAO[Posto]=I$2)*1,(TABELA_VAZAO[Data]=$A24)*1,TABELA_VAZAO[qinc])</f>
        <v>0</v>
      </c>
      <c r="J24" s="250">
        <f ca="1">SUMPRODUCT((TABELA_VAZAO[Posto]=J$2)*1,(TABELA_VAZAO[Data]=$A24)*1,TABELA_VAZAO[qinc])</f>
        <v>0</v>
      </c>
      <c r="K24" s="250">
        <f ca="1">SUMPRODUCT((TABELA_VAZAO[Posto]=K$2)*1,(TABELA_VAZAO[Data]=$A24)*1,TABELA_VAZAO[qinc])</f>
        <v>0</v>
      </c>
      <c r="L24" s="250">
        <f ca="1">SUMPRODUCT((TABELA_VAZAO[Posto]=L$2)*1,(TABELA_VAZAO[Data]=$A24)*1,TABELA_VAZAO[qinc])</f>
        <v>0</v>
      </c>
      <c r="M24" s="250">
        <f ca="1">SUMPRODUCT((TABELA_VAZAO[Posto]=M$2)*1,(TABELA_VAZAO[Data]=$A24)*1,TABELA_VAZAO[qinc])</f>
        <v>0</v>
      </c>
      <c r="N24" s="250"/>
      <c r="O24" s="288">
        <f ca="1">SUMPRODUCT((TABELA_VAZAO[Posto]=O$2)*1,(TABELA_VAZAO[Data]=$A24)*1,TABELA_VAZAO[qinc])</f>
        <v>0</v>
      </c>
      <c r="P24" s="288">
        <f ca="1">SUMPRODUCT((TABELA_VAZAO[Posto]=P$2)*1,(TABELA_VAZAO[Data]=$A24)*1,TABELA_VAZAO[qinc])</f>
        <v>0</v>
      </c>
      <c r="Q24" s="288">
        <f ca="1">SUMPRODUCT((TABELA_VAZAO[Posto]=Q$2)*1,(TABELA_VAZAO[Data]=$A24)*1,TABELA_VAZAO[qnat])</f>
        <v>0</v>
      </c>
      <c r="R24" s="288">
        <f ca="1">SUMPRODUCT((TABELA_VAZAO[Posto]=R$2)*1,(TABELA_VAZAO[Data]=$A24)*1,TABELA_VAZAO[qnat])</f>
        <v>0</v>
      </c>
      <c r="S24" s="288">
        <f ca="1">SUMPRODUCT((TABELA_VAZAO[Posto]=S$2)*1,(TABELA_VAZAO[Data]=$A24)*1,TABELA_VAZAO[qnat])</f>
        <v>0</v>
      </c>
      <c r="T24" s="288">
        <f ca="1">SUMPRODUCT((TABELA_VAZAO[Posto]=T$2)*1,(TABELA_VAZAO[Data]=$A24)*1,TABELA_VAZAO[qnat])</f>
        <v>0</v>
      </c>
      <c r="U24" s="288">
        <f ca="1">SUMPRODUCT((TABELA_VAZAO[Posto]=U$2)*1,(TABELA_VAZAO[Data]=$A24)*1,TABELA_VAZAO[qnat])</f>
        <v>0</v>
      </c>
      <c r="V24" s="288">
        <f ca="1">SUMPRODUCT((TABELA_VAZAO[Posto]=V$2)*1,(TABELA_VAZAO[Data]=$A24)*1,TABELA_VAZAO[qnat])</f>
        <v>0</v>
      </c>
      <c r="W24" s="288">
        <f ca="1">SUMPRODUCT((TABELA_VAZAO[Posto]=W$2)*1,(TABELA_VAZAO[Data]=$A24)*1,TABELA_VAZAO[qnat])</f>
        <v>0</v>
      </c>
      <c r="X24">
        <f ca="1">SUMPRODUCT((TABELA_VAZAO[Posto]=X$2)*1,(TABELA_VAZAO[Data]=$A24)*1,TABELA_VAZAO[qnat])</f>
        <v>0</v>
      </c>
      <c r="Y24">
        <f ca="1">SUMPRODUCT((TABELA_VAZAO[Posto]=Y$2)*1,(TABELA_VAZAO[Data]=$A24)*1,TABELA_VAZAO[qnat])</f>
        <v>0</v>
      </c>
      <c r="Z24">
        <f ca="1">SUMPRODUCT((TABELA_VAZAO[Posto]=Z$2)*1,(TABELA_VAZAO[Data]=$A24)*1,TABELA_VAZAO[qnat])</f>
        <v>0</v>
      </c>
    </row>
    <row r="25" spans="1:26" x14ac:dyDescent="0.2">
      <c r="A25" s="273">
        <f t="shared" ca="1" si="2"/>
        <v>43824</v>
      </c>
      <c r="B25" s="288">
        <f ca="1">SUMPRODUCT((TABELA_VAZAO[Posto]=B$2)*1,(TABELA_VAZAO[Data]=$A25)*1,TABELA_VAZAO[qnat])</f>
        <v>0</v>
      </c>
      <c r="C25" s="250">
        <f ca="1">SUMPRODUCT((TABELA_VAZAO[Posto]=C$2)*1,(TABELA_VAZAO[Data]=$A25)*1,TABELA_VAZAO[qinc])</f>
        <v>0</v>
      </c>
      <c r="D25" s="250">
        <f ca="1">SUMPRODUCT((TABELA_VAZAO[Posto]=D$2)*1,(TABELA_VAZAO[Data]=$A25)*1,TABELA_VAZAO[qinc])</f>
        <v>0</v>
      </c>
      <c r="E25" s="250">
        <f ca="1">SUMPRODUCT((TABELA_VAZAO[Posto]=E$2)*1,(TABELA_VAZAO[Data]=$A25)*1,TABELA_VAZAO[qinc])</f>
        <v>0</v>
      </c>
      <c r="F25" s="250">
        <f ca="1">SUMPRODUCT((TABELA_VAZAO[Posto]=F$2)*1,(TABELA_VAZAO[Data]=$A25)*1,TABELA_VAZAO[qnat])</f>
        <v>0</v>
      </c>
      <c r="G25" s="250">
        <f t="shared" ca="1" si="3"/>
        <v>0.185</v>
      </c>
      <c r="H25" s="250">
        <f t="shared" ca="1" si="4"/>
        <v>-0.185</v>
      </c>
      <c r="I25" s="250">
        <f ca="1">SUMPRODUCT((TABELA_VAZAO[Posto]=I$2)*1,(TABELA_VAZAO[Data]=$A25)*1,TABELA_VAZAO[qinc])</f>
        <v>0</v>
      </c>
      <c r="J25" s="250">
        <f ca="1">SUMPRODUCT((TABELA_VAZAO[Posto]=J$2)*1,(TABELA_VAZAO[Data]=$A25)*1,TABELA_VAZAO[qinc])</f>
        <v>0</v>
      </c>
      <c r="K25" s="250">
        <f ca="1">SUMPRODUCT((TABELA_VAZAO[Posto]=K$2)*1,(TABELA_VAZAO[Data]=$A25)*1,TABELA_VAZAO[qinc])</f>
        <v>0</v>
      </c>
      <c r="L25" s="250">
        <f ca="1">SUMPRODUCT((TABELA_VAZAO[Posto]=L$2)*1,(TABELA_VAZAO[Data]=$A25)*1,TABELA_VAZAO[qinc])</f>
        <v>0</v>
      </c>
      <c r="M25" s="250">
        <f ca="1">SUMPRODUCT((TABELA_VAZAO[Posto]=M$2)*1,(TABELA_VAZAO[Data]=$A25)*1,TABELA_VAZAO[qinc])</f>
        <v>0</v>
      </c>
      <c r="N25" s="250"/>
      <c r="O25" s="288">
        <f ca="1">SUMPRODUCT((TABELA_VAZAO[Posto]=O$2)*1,(TABELA_VAZAO[Data]=$A25)*1,TABELA_VAZAO[qinc])</f>
        <v>0</v>
      </c>
      <c r="P25" s="288">
        <f ca="1">SUMPRODUCT((TABELA_VAZAO[Posto]=P$2)*1,(TABELA_VAZAO[Data]=$A25)*1,TABELA_VAZAO[qinc])</f>
        <v>0</v>
      </c>
      <c r="Q25" s="288">
        <f ca="1">SUMPRODUCT((TABELA_VAZAO[Posto]=Q$2)*1,(TABELA_VAZAO[Data]=$A25)*1,TABELA_VAZAO[qnat])</f>
        <v>0</v>
      </c>
      <c r="R25" s="288">
        <f ca="1">SUMPRODUCT((TABELA_VAZAO[Posto]=R$2)*1,(TABELA_VAZAO[Data]=$A25)*1,TABELA_VAZAO[qnat])</f>
        <v>0</v>
      </c>
      <c r="S25" s="288">
        <f ca="1">SUMPRODUCT((TABELA_VAZAO[Posto]=S$2)*1,(TABELA_VAZAO[Data]=$A25)*1,TABELA_VAZAO[qnat])</f>
        <v>0</v>
      </c>
      <c r="T25" s="288">
        <f ca="1">SUMPRODUCT((TABELA_VAZAO[Posto]=T$2)*1,(TABELA_VAZAO[Data]=$A25)*1,TABELA_VAZAO[qnat])</f>
        <v>0</v>
      </c>
      <c r="U25" s="288">
        <f ca="1">SUMPRODUCT((TABELA_VAZAO[Posto]=U$2)*1,(TABELA_VAZAO[Data]=$A25)*1,TABELA_VAZAO[qnat])</f>
        <v>0</v>
      </c>
      <c r="V25" s="288">
        <f ca="1">SUMPRODUCT((TABELA_VAZAO[Posto]=V$2)*1,(TABELA_VAZAO[Data]=$A25)*1,TABELA_VAZAO[qnat])</f>
        <v>0</v>
      </c>
      <c r="W25" s="288">
        <f ca="1">SUMPRODUCT((TABELA_VAZAO[Posto]=W$2)*1,(TABELA_VAZAO[Data]=$A25)*1,TABELA_VAZAO[qnat])</f>
        <v>0</v>
      </c>
      <c r="X25">
        <f ca="1">SUMPRODUCT((TABELA_VAZAO[Posto]=X$2)*1,(TABELA_VAZAO[Data]=$A25)*1,TABELA_VAZAO[qnat])</f>
        <v>0</v>
      </c>
      <c r="Y25">
        <f ca="1">SUMPRODUCT((TABELA_VAZAO[Posto]=Y$2)*1,(TABELA_VAZAO[Data]=$A25)*1,TABELA_VAZAO[qnat])</f>
        <v>0</v>
      </c>
      <c r="Z25">
        <f ca="1">SUMPRODUCT((TABELA_VAZAO[Posto]=Z$2)*1,(TABELA_VAZAO[Data]=$A25)*1,TABELA_VAZAO[qnat])</f>
        <v>0</v>
      </c>
    </row>
    <row r="26" spans="1:26" x14ac:dyDescent="0.2">
      <c r="A26" s="82">
        <f t="shared" ca="1" si="2"/>
        <v>43825</v>
      </c>
      <c r="B26" s="288">
        <f ca="1">SUMPRODUCT((TABELA_VAZAO[Posto]=B$2)*1,(TABELA_VAZAO[Data]=$A26)*1,TABELA_VAZAO[qnat])</f>
        <v>0</v>
      </c>
      <c r="C26" s="250">
        <f ca="1">SUMPRODUCT((TABELA_VAZAO[Posto]=C$2)*1,(TABELA_VAZAO[Data]=$A26)*1,TABELA_VAZAO[qnat])</f>
        <v>0</v>
      </c>
      <c r="D26" s="288">
        <f ca="1">SUMPRODUCT((TABELA_VAZAO[Posto]=D$2)*1,(TABELA_VAZAO[Data]=$A26)*1,TABELA_VAZAO[qnat])</f>
        <v>0</v>
      </c>
      <c r="E26" s="250">
        <f ca="1">SUMPRODUCT((TABELA_VAZAO[Posto]=E$2)*1,(TABELA_VAZAO[Data]=$A26)*1,TABELA_VAZAO[qinc])</f>
        <v>0</v>
      </c>
      <c r="F26" s="250">
        <f ca="1">SUMPRODUCT((TABELA_VAZAO[Posto]=F$2)*1,(TABELA_VAZAO[Data]=$A26)*1,TABELA_VAZAO[qnat])</f>
        <v>0</v>
      </c>
      <c r="G26" s="250">
        <f t="shared" ca="1" si="3"/>
        <v>0.185</v>
      </c>
      <c r="H26" s="186">
        <f t="shared" ca="1" si="4"/>
        <v>-0.185</v>
      </c>
      <c r="I26" s="250">
        <f ca="1">SUMPRODUCT((TABELA_VAZAO[Posto]=I$2)*1,(TABELA_VAZAO[Data]=$A26)*1,TABELA_VAZAO[qinc])</f>
        <v>0</v>
      </c>
      <c r="J26" s="250" t="e">
        <f ca="1">INDEX(RESULTADOS!$A:$BZ,MATCH($A26,RESULTADOS!$A:$A,0),MATCH(J$1,RESULTADOS!$1:$1,0))</f>
        <v>#N/A</v>
      </c>
      <c r="K26" s="186">
        <f ca="1">SUMPRODUCT((TABELA_VAZAO[Posto]=K$2)*1,(TABELA_VAZAO[Data]=$A26)*1,TABELA_VAZAO[qinc])</f>
        <v>0</v>
      </c>
      <c r="L26" s="250">
        <f ca="1">SUMPRODUCT((TABELA_VAZAO[Posto]=L$2)*1,(TABELA_VAZAO[Data]=$A26)*1,TABELA_VAZAO[qinc])</f>
        <v>0</v>
      </c>
      <c r="M26" s="250" t="e">
        <f ca="1">INDEX(RESULTADOS!$A:$BZ,MATCH($A26,RESULTADOS!$A:$A,0),MATCH(M$1,RESULTADOS!$1:$1,0))</f>
        <v>#N/A</v>
      </c>
      <c r="N26" s="250"/>
      <c r="O26" s="288">
        <f ca="1">SUMPRODUCT((TABELA_VAZAO[Posto]=O$2)*1,(TABELA_VAZAO[Data]=$A26)*1,TABELA_VAZAO[qinc])</f>
        <v>0</v>
      </c>
      <c r="P26" s="288">
        <f ca="1">SUMPRODUCT((TABELA_VAZAO[Posto]=P$2)*1,(TABELA_VAZAO[Data]=$A26)*1,TABELA_VAZAO[qinc])</f>
        <v>0</v>
      </c>
      <c r="Q26" s="288">
        <f ca="1">SUMPRODUCT((TABELA_VAZAO[Posto]=Q$2)*1,(TABELA_VAZAO[Data]=$A26)*1,TABELA_VAZAO[qnat])</f>
        <v>0</v>
      </c>
      <c r="R26" s="288">
        <f ca="1">SUMPRODUCT((TABELA_VAZAO[Posto]=R$2)*1,(TABELA_VAZAO[Data]=$A26)*1,TABELA_VAZAO[qnat])</f>
        <v>0</v>
      </c>
      <c r="S26" s="288">
        <f ca="1">SUMPRODUCT((TABELA_VAZAO[Posto]=S$2)*1,(TABELA_VAZAO[Data]=$A26)*1,TABELA_VAZAO[qnat])</f>
        <v>0</v>
      </c>
      <c r="T26" s="288">
        <f ca="1">SUMPRODUCT((TABELA_VAZAO[Posto]=T$2)*1,(TABELA_VAZAO[Data]=$A26)*1,TABELA_VAZAO[qnat])</f>
        <v>0</v>
      </c>
      <c r="U26" s="288">
        <f ca="1">SUMPRODUCT((TABELA_VAZAO[Posto]=U$2)*1,(TABELA_VAZAO[Data]=$A26)*1,TABELA_VAZAO[qnat])</f>
        <v>0</v>
      </c>
      <c r="V26" s="288">
        <f ca="1">SUMPRODUCT((TABELA_VAZAO[Posto]=V$2)*1,(TABELA_VAZAO[Data]=$A26)*1,TABELA_VAZAO[qnat])</f>
        <v>0</v>
      </c>
      <c r="W26" s="288">
        <f ca="1">SUMPRODUCT((TABELA_VAZAO[Posto]=W$2)*1,(TABELA_VAZAO[Data]=$A26)*1,TABELA_VAZAO[qnat])</f>
        <v>0</v>
      </c>
      <c r="X26">
        <f ca="1">SUMPRODUCT((TABELA_VAZAO[Posto]=X$2)*1,(TABELA_VAZAO[Data]=$A26)*1,TABELA_VAZAO[qnat])</f>
        <v>0</v>
      </c>
      <c r="Y26">
        <f ca="1">SUMPRODUCT((TABELA_VAZAO[Posto]=Y$2)*1,(TABELA_VAZAO[Data]=$A26)*1,TABELA_VAZAO[qnat])</f>
        <v>0</v>
      </c>
      <c r="Z26">
        <f ca="1">SUMPRODUCT((TABELA_VAZAO[Posto]=Z$2)*1,(TABELA_VAZAO[Data]=$A26)*1,TABELA_VAZAO[qnat])</f>
        <v>0</v>
      </c>
    </row>
    <row r="27" spans="1:26" x14ac:dyDescent="0.2">
      <c r="A27" s="273">
        <f t="shared" ca="1" si="2"/>
        <v>43826</v>
      </c>
      <c r="B27" s="288">
        <f ca="1">SUMPRODUCT((TABELA_VAZAO[Posto]=B$2)*1,(TABELA_VAZAO[Data]=$A27)*1,TABELA_VAZAO[qnat])</f>
        <v>0</v>
      </c>
      <c r="C27" s="250">
        <f ca="1">SUMPRODUCT((TABELA_VAZAO[Posto]=C$2)*1,(TABELA_VAZAO[Data]=$A27)*1,TABELA_VAZAO[qnat])</f>
        <v>0</v>
      </c>
      <c r="D27" s="288">
        <f ca="1">SUMPRODUCT((TABELA_VAZAO[Posto]=D$2)*1,(TABELA_VAZAO[Data]=$A27)*1,TABELA_VAZAO[qnat])</f>
        <v>0</v>
      </c>
      <c r="E27" s="250">
        <f ca="1">SUMPRODUCT((TABELA_VAZAO[Posto]=E$2)*1,(TABELA_VAZAO[Data]=$A27)*1,TABELA_VAZAO[qinc])</f>
        <v>0</v>
      </c>
      <c r="F27" s="250">
        <f ca="1">SUMPRODUCT((TABELA_VAZAO[Posto]=F$2)*1,(TABELA_VAZAO[Data]=$A27)*1,TABELA_VAZAO[qnat])</f>
        <v>0</v>
      </c>
      <c r="G27" s="250">
        <f t="shared" ca="1" si="3"/>
        <v>0.185</v>
      </c>
      <c r="H27" s="186">
        <f t="shared" ca="1" si="4"/>
        <v>-0.185</v>
      </c>
      <c r="I27" s="250">
        <f ca="1">SUMPRODUCT((TABELA_VAZAO[Posto]=I$2)*1,(TABELA_VAZAO[Data]=$A27)*1,TABELA_VAZAO[qinc])</f>
        <v>0</v>
      </c>
      <c r="J27" s="250" t="e">
        <f ca="1">INDEX(RESULTADOS!$A:$BZ,MATCH($A27,RESULTADOS!$A:$A,0),MATCH(J$1,RESULTADOS!$1:$1,0))</f>
        <v>#N/A</v>
      </c>
      <c r="K27" s="186">
        <f ca="1">SUMPRODUCT((TABELA_VAZAO[Posto]=K$2)*1,(TABELA_VAZAO[Data]=$A27)*1,TABELA_VAZAO[qinc])</f>
        <v>0</v>
      </c>
      <c r="L27" s="250">
        <f ca="1">SUMPRODUCT((TABELA_VAZAO[Posto]=L$2)*1,(TABELA_VAZAO[Data]=$A27)*1,TABELA_VAZAO[qinc])</f>
        <v>0</v>
      </c>
      <c r="M27" s="250" t="e">
        <f ca="1">INDEX(RESULTADOS!$A:$BZ,MATCH($A27,RESULTADOS!$A:$A,0),MATCH(M$1,RESULTADOS!$1:$1,0))</f>
        <v>#N/A</v>
      </c>
      <c r="N27" s="250"/>
      <c r="O27" s="288">
        <f ca="1">SUMPRODUCT((TABELA_VAZAO[Posto]=O$2)*1,(TABELA_VAZAO[Data]=$A27)*1,TABELA_VAZAO[qinc])</f>
        <v>0</v>
      </c>
      <c r="P27" s="288">
        <f ca="1">SUMPRODUCT((TABELA_VAZAO[Posto]=P$2)*1,(TABELA_VAZAO[Data]=$A27)*1,TABELA_VAZAO[qinc])</f>
        <v>0</v>
      </c>
      <c r="Q27" s="288">
        <f ca="1">SUMPRODUCT((TABELA_VAZAO[Posto]=Q$2)*1,(TABELA_VAZAO[Data]=$A27)*1,TABELA_VAZAO[qnat])</f>
        <v>0</v>
      </c>
      <c r="R27" s="288">
        <f ca="1">SUMPRODUCT((TABELA_VAZAO[Posto]=R$2)*1,(TABELA_VAZAO[Data]=$A27)*1,TABELA_VAZAO[qnat])</f>
        <v>0</v>
      </c>
      <c r="S27" s="288">
        <f ca="1">SUMPRODUCT((TABELA_VAZAO[Posto]=S$2)*1,(TABELA_VAZAO[Data]=$A27)*1,TABELA_VAZAO[qnat])</f>
        <v>0</v>
      </c>
      <c r="T27" s="288">
        <f ca="1">SUMPRODUCT((TABELA_VAZAO[Posto]=T$2)*1,(TABELA_VAZAO[Data]=$A27)*1,TABELA_VAZAO[qnat])</f>
        <v>0</v>
      </c>
      <c r="U27" s="288">
        <f ca="1">SUMPRODUCT((TABELA_VAZAO[Posto]=U$2)*1,(TABELA_VAZAO[Data]=$A27)*1,TABELA_VAZAO[qnat])</f>
        <v>0</v>
      </c>
      <c r="V27" s="288">
        <f ca="1">SUMPRODUCT((TABELA_VAZAO[Posto]=V$2)*1,(TABELA_VAZAO[Data]=$A27)*1,TABELA_VAZAO[qnat])</f>
        <v>0</v>
      </c>
      <c r="W27" s="288">
        <f ca="1">SUMPRODUCT((TABELA_VAZAO[Posto]=W$2)*1,(TABELA_VAZAO[Data]=$A27)*1,TABELA_VAZAO[qnat])</f>
        <v>0</v>
      </c>
      <c r="X27">
        <f ca="1">SUMPRODUCT((TABELA_VAZAO[Posto]=X$2)*1,(TABELA_VAZAO[Data]=$A27)*1,TABELA_VAZAO[qnat])</f>
        <v>0</v>
      </c>
      <c r="Y27">
        <f ca="1">SUMPRODUCT((TABELA_VAZAO[Posto]=Y$2)*1,(TABELA_VAZAO[Data]=$A27)*1,TABELA_VAZAO[qnat])</f>
        <v>0</v>
      </c>
      <c r="Z27">
        <f ca="1">SUMPRODUCT((TABELA_VAZAO[Posto]=Z$2)*1,(TABELA_VAZAO[Data]=$A27)*1,TABELA_VAZAO[qnat])</f>
        <v>0</v>
      </c>
    </row>
    <row r="28" spans="1:26" x14ac:dyDescent="0.2">
      <c r="A28" s="273">
        <f t="shared" ca="1" si="2"/>
        <v>43827</v>
      </c>
      <c r="B28" s="288">
        <f ca="1">SUMPRODUCT((TABELA_VAZAO[Posto]=B$2)*1,(TABELA_VAZAO[Data]=$A28)*1,TABELA_VAZAO[qnat])</f>
        <v>61</v>
      </c>
      <c r="C28" s="250">
        <f ca="1">SUMPRODUCT((TABELA_VAZAO[Posto]=C$2)*1,(TABELA_VAZAO[Data]=$A28)*1,TABELA_VAZAO[qnat])</f>
        <v>14</v>
      </c>
      <c r="D28" s="288">
        <f ca="1">SUMPRODUCT((TABELA_VAZAO[Posto]=D$2)*1,(TABELA_VAZAO[Data]=$A28)*1,TABELA_VAZAO[qnat])</f>
        <v>61</v>
      </c>
      <c r="E28" s="250">
        <f ca="1">SUMPRODUCT((TABELA_VAZAO[Posto]=E$2)*1,(TABELA_VAZAO[Data]=$A28)*1,TABELA_VAZAO[qinc])</f>
        <v>15</v>
      </c>
      <c r="F28" s="250">
        <f ca="1">SUMPRODUCT((TABELA_VAZAO[Posto]=F$2)*1,(TABELA_VAZAO[Data]=$A28)*1,TABELA_VAZAO[qnat])</f>
        <v>4</v>
      </c>
      <c r="G28" s="250">
        <f t="shared" ca="1" si="3"/>
        <v>11.529200000000001</v>
      </c>
      <c r="H28" s="186">
        <f t="shared" ca="1" si="4"/>
        <v>2.4707999999999988</v>
      </c>
      <c r="I28" s="250">
        <f ca="1">SUMPRODUCT((TABELA_VAZAO[Posto]=I$2)*1,(TABELA_VAZAO[Data]=$A28)*1,TABELA_VAZAO[qinc])</f>
        <v>164</v>
      </c>
      <c r="J28" s="250" t="e">
        <f ca="1">INDEX(RESULTADOS!$A:$BZ,MATCH($A28,RESULTADOS!$A:$A,0),MATCH(J$1,RESULTADOS!$1:$1,0))</f>
        <v>#N/A</v>
      </c>
      <c r="K28" s="186">
        <f ca="1">SUMPRODUCT((TABELA_VAZAO[Posto]=K$2)*1,(TABELA_VAZAO[Data]=$A28)*1,TABELA_VAZAO[qinc])</f>
        <v>49</v>
      </c>
      <c r="L28" s="250">
        <f ca="1">SUMPRODUCT((TABELA_VAZAO[Posto]=L$2)*1,(TABELA_VAZAO[Data]=$A28)*1,TABELA_VAZAO[qinc])</f>
        <v>94</v>
      </c>
      <c r="M28" s="250" t="e">
        <f ca="1">INDEX(RESULTADOS!$A:$BZ,MATCH($A28,RESULTADOS!$A:$A,0),MATCH(M$1,RESULTADOS!$1:$1,0))</f>
        <v>#N/A</v>
      </c>
      <c r="N28" s="250"/>
      <c r="O28" s="288">
        <f ca="1">SUMPRODUCT((TABELA_VAZAO[Posto]=O$2)*1,(TABELA_VAZAO[Data]=$A28)*1,TABELA_VAZAO[qinc])</f>
        <v>46</v>
      </c>
      <c r="P28" s="288">
        <f ca="1">SUMPRODUCT((TABELA_VAZAO[Posto]=P$2)*1,(TABELA_VAZAO[Data]=$A28)*1,TABELA_VAZAO[qinc])</f>
        <v>116</v>
      </c>
      <c r="Q28" s="288">
        <f ca="1">SUMPRODUCT((TABELA_VAZAO[Posto]=Q$2)*1,(TABELA_VAZAO[Data]=$A28)*1,TABELA_VAZAO[qnat])</f>
        <v>14</v>
      </c>
      <c r="R28" s="288">
        <f ca="1">SUMPRODUCT((TABELA_VAZAO[Posto]=R$2)*1,(TABELA_VAZAO[Data]=$A28)*1,TABELA_VAZAO[qnat])</f>
        <v>61</v>
      </c>
      <c r="S28" s="288">
        <f ca="1">SUMPRODUCT((TABELA_VAZAO[Posto]=S$2)*1,(TABELA_VAZAO[Data]=$A28)*1,TABELA_VAZAO[qnat])</f>
        <v>15</v>
      </c>
      <c r="T28" s="288">
        <f ca="1">SUMPRODUCT((TABELA_VAZAO[Posto]=T$2)*1,(TABELA_VAZAO[Data]=$A28)*1,TABELA_VAZAO[qnat])</f>
        <v>4</v>
      </c>
      <c r="U28" s="288">
        <f ca="1">SUMPRODUCT((TABELA_VAZAO[Posto]=U$2)*1,(TABELA_VAZAO[Data]=$A28)*1,TABELA_VAZAO[qnat])</f>
        <v>226</v>
      </c>
      <c r="V28" s="288">
        <f ca="1">SUMPRODUCT((TABELA_VAZAO[Posto]=V$2)*1,(TABELA_VAZAO[Data]=$A28)*1,TABELA_VAZAO[qnat])</f>
        <v>326</v>
      </c>
      <c r="W28" s="288">
        <f ca="1">SUMPRODUCT((TABELA_VAZAO[Posto]=W$2)*1,(TABELA_VAZAO[Data]=$A28)*1,TABELA_VAZAO[qnat])</f>
        <v>517</v>
      </c>
      <c r="X28">
        <f ca="1">SUMPRODUCT((TABELA_VAZAO[Posto]=X$2)*1,(TABELA_VAZAO[Data]=$A28)*1,TABELA_VAZAO[qnat])</f>
        <v>836</v>
      </c>
      <c r="Y28">
        <f ca="1">SUMPRODUCT((TABELA_VAZAO[Posto]=Y$2)*1,(TABELA_VAZAO[Data]=$A28)*1,TABELA_VAZAO[qnat])</f>
        <v>809</v>
      </c>
      <c r="Z28">
        <f ca="1">SUMPRODUCT((TABELA_VAZAO[Posto]=Z$2)*1,(TABELA_VAZAO[Data]=$A28)*1,TABELA_VAZAO[qnat])</f>
        <v>34</v>
      </c>
    </row>
    <row r="29" spans="1:26" x14ac:dyDescent="0.2">
      <c r="A29" s="273">
        <f t="shared" ca="1" si="2"/>
        <v>43828</v>
      </c>
      <c r="B29" s="288">
        <f ca="1">SUMPRODUCT((TABELA_VAZAO[Posto]=B$2)*1,(TABELA_VAZAO[Data]=$A29)*1,TABELA_VAZAO[qnat])</f>
        <v>54</v>
      </c>
      <c r="C29" s="250">
        <f ca="1">SUMPRODUCT((TABELA_VAZAO[Posto]=C$2)*1,(TABELA_VAZAO[Data]=$A29)*1,TABELA_VAZAO[qnat])</f>
        <v>14</v>
      </c>
      <c r="D29" s="288">
        <f ca="1">SUMPRODUCT((TABELA_VAZAO[Posto]=D$2)*1,(TABELA_VAZAO[Data]=$A29)*1,TABELA_VAZAO[qnat])</f>
        <v>54</v>
      </c>
      <c r="E29" s="250">
        <f ca="1">SUMPRODUCT((TABELA_VAZAO[Posto]=E$2)*1,(TABELA_VAZAO[Data]=$A29)*1,TABELA_VAZAO[qinc])</f>
        <v>15</v>
      </c>
      <c r="F29" s="250">
        <f ca="1">SUMPRODUCT((TABELA_VAZAO[Posto]=F$2)*1,(TABELA_VAZAO[Data]=$A29)*1,TABELA_VAZAO[qnat])</f>
        <v>4</v>
      </c>
      <c r="G29" s="250">
        <f t="shared" ca="1" si="3"/>
        <v>11.529200000000001</v>
      </c>
      <c r="H29" s="186">
        <f t="shared" ca="1" si="4"/>
        <v>2.4707999999999988</v>
      </c>
      <c r="I29" s="250">
        <f ca="1">SUMPRODUCT((TABELA_VAZAO[Posto]=I$2)*1,(TABELA_VAZAO[Data]=$A29)*1,TABELA_VAZAO[qinc])</f>
        <v>164</v>
      </c>
      <c r="J29" s="250" t="e">
        <f ca="1">INDEX(RESULTADOS!$A:$BZ,MATCH($A29,RESULTADOS!$A:$A,0),MATCH(J$1,RESULTADOS!$1:$1,0))</f>
        <v>#N/A</v>
      </c>
      <c r="K29" s="186">
        <f ca="1">SUMPRODUCT((TABELA_VAZAO[Posto]=K$2)*1,(TABELA_VAZAO[Data]=$A29)*1,TABELA_VAZAO[qinc])</f>
        <v>47</v>
      </c>
      <c r="L29" s="250">
        <f ca="1">SUMPRODUCT((TABELA_VAZAO[Posto]=L$2)*1,(TABELA_VAZAO[Data]=$A29)*1,TABELA_VAZAO[qinc])</f>
        <v>90</v>
      </c>
      <c r="M29" s="250" t="e">
        <f ca="1">INDEX(RESULTADOS!$A:$BZ,MATCH($A29,RESULTADOS!$A:$A,0),MATCH(M$1,RESULTADOS!$1:$1,0))</f>
        <v>#N/A</v>
      </c>
      <c r="N29" s="250"/>
      <c r="O29" s="288">
        <f ca="1">SUMPRODUCT((TABELA_VAZAO[Posto]=O$2)*1,(TABELA_VAZAO[Data]=$A29)*1,TABELA_VAZAO[qinc])</f>
        <v>46</v>
      </c>
      <c r="P29" s="288">
        <f ca="1">SUMPRODUCT((TABELA_VAZAO[Posto]=P$2)*1,(TABELA_VAZAO[Data]=$A29)*1,TABELA_VAZAO[qinc])</f>
        <v>116</v>
      </c>
      <c r="Q29" s="288">
        <f ca="1">SUMPRODUCT((TABELA_VAZAO[Posto]=Q$2)*1,(TABELA_VAZAO[Data]=$A29)*1,TABELA_VAZAO[qnat])</f>
        <v>14</v>
      </c>
      <c r="R29" s="288">
        <f ca="1">SUMPRODUCT((TABELA_VAZAO[Posto]=R$2)*1,(TABELA_VAZAO[Data]=$A29)*1,TABELA_VAZAO[qnat])</f>
        <v>54</v>
      </c>
      <c r="S29" s="288">
        <f ca="1">SUMPRODUCT((TABELA_VAZAO[Posto]=S$2)*1,(TABELA_VAZAO[Data]=$A29)*1,TABELA_VAZAO[qnat])</f>
        <v>15</v>
      </c>
      <c r="T29" s="288">
        <f ca="1">SUMPRODUCT((TABELA_VAZAO[Posto]=T$2)*1,(TABELA_VAZAO[Data]=$A29)*1,TABELA_VAZAO[qnat])</f>
        <v>4</v>
      </c>
      <c r="U29" s="288">
        <f ca="1">SUMPRODUCT((TABELA_VAZAO[Posto]=U$2)*1,(TABELA_VAZAO[Data]=$A29)*1,TABELA_VAZAO[qnat])</f>
        <v>224</v>
      </c>
      <c r="V29" s="288">
        <f ca="1">SUMPRODUCT((TABELA_VAZAO[Posto]=V$2)*1,(TABELA_VAZAO[Data]=$A29)*1,TABELA_VAZAO[qnat])</f>
        <v>272</v>
      </c>
      <c r="W29" s="288">
        <f ca="1">SUMPRODUCT((TABELA_VAZAO[Posto]=W$2)*1,(TABELA_VAZAO[Data]=$A29)*1,TABELA_VAZAO[qnat])</f>
        <v>390</v>
      </c>
      <c r="X29">
        <f ca="1">SUMPRODUCT((TABELA_VAZAO[Posto]=X$2)*1,(TABELA_VAZAO[Data]=$A29)*1,TABELA_VAZAO[qnat])</f>
        <v>791</v>
      </c>
      <c r="Y29">
        <f ca="1">SUMPRODUCT((TABELA_VAZAO[Posto]=Y$2)*1,(TABELA_VAZAO[Data]=$A29)*1,TABELA_VAZAO[qnat])</f>
        <v>670</v>
      </c>
      <c r="Z29">
        <f ca="1">SUMPRODUCT((TABELA_VAZAO[Posto]=Z$2)*1,(TABELA_VAZAO[Data]=$A29)*1,TABELA_VAZAO[qnat])</f>
        <v>34</v>
      </c>
    </row>
    <row r="30" spans="1:26" x14ac:dyDescent="0.2">
      <c r="A30" s="273">
        <f t="shared" ca="1" si="2"/>
        <v>43829</v>
      </c>
      <c r="B30" s="288">
        <f ca="1">SUMPRODUCT((TABELA_VAZAO[Posto]=B$2)*1,(TABELA_VAZAO[Data]=$A30)*1,TABELA_VAZAO[qnat])</f>
        <v>53</v>
      </c>
      <c r="C30" s="250">
        <f ca="1">SUMPRODUCT((TABELA_VAZAO[Posto]=C$2)*1,(TABELA_VAZAO[Data]=$A30)*1,TABELA_VAZAO[qnat])</f>
        <v>13</v>
      </c>
      <c r="D30" s="288">
        <f ca="1">SUMPRODUCT((TABELA_VAZAO[Posto]=D$2)*1,(TABELA_VAZAO[Data]=$A30)*1,TABELA_VAZAO[qnat])</f>
        <v>53</v>
      </c>
      <c r="E30" s="250">
        <f ca="1">SUMPRODUCT((TABELA_VAZAO[Posto]=E$2)*1,(TABELA_VAZAO[Data]=$A30)*1,TABELA_VAZAO[qinc])</f>
        <v>15</v>
      </c>
      <c r="F30" s="250">
        <f ca="1">SUMPRODUCT((TABELA_VAZAO[Posto]=F$2)*1,(TABELA_VAZAO[Data]=$A30)*1,TABELA_VAZAO[qnat])</f>
        <v>4</v>
      </c>
      <c r="G30" s="250">
        <f t="shared" ca="1" si="3"/>
        <v>10.718900000000001</v>
      </c>
      <c r="H30" s="186">
        <f t="shared" ca="1" si="4"/>
        <v>2.2810999999999986</v>
      </c>
      <c r="I30" s="250">
        <f ca="1">SUMPRODUCT((TABELA_VAZAO[Posto]=I$2)*1,(TABELA_VAZAO[Data]=$A30)*1,TABELA_VAZAO[qinc])</f>
        <v>152</v>
      </c>
      <c r="J30" s="250" t="e">
        <f ca="1">INDEX(RESULTADOS!$A:$BZ,MATCH($A30,RESULTADOS!$A:$A,0),MATCH(J$1,RESULTADOS!$1:$1,0))</f>
        <v>#N/A</v>
      </c>
      <c r="K30" s="186">
        <f ca="1">SUMPRODUCT((TABELA_VAZAO[Posto]=K$2)*1,(TABELA_VAZAO[Data]=$A30)*1,TABELA_VAZAO[qinc])</f>
        <v>45</v>
      </c>
      <c r="L30" s="250">
        <f ca="1">SUMPRODUCT((TABELA_VAZAO[Posto]=L$2)*1,(TABELA_VAZAO[Data]=$A30)*1,TABELA_VAZAO[qinc])</f>
        <v>87</v>
      </c>
      <c r="M30" s="250" t="e">
        <f ca="1">INDEX(RESULTADOS!$A:$BZ,MATCH($A30,RESULTADOS!$A:$A,0),MATCH(M$1,RESULTADOS!$1:$1,0))</f>
        <v>#N/A</v>
      </c>
      <c r="N30" s="250"/>
      <c r="O30" s="288">
        <f ca="1">SUMPRODUCT((TABELA_VAZAO[Posto]=O$2)*1,(TABELA_VAZAO[Data]=$A30)*1,TABELA_VAZAO[qinc])</f>
        <v>46</v>
      </c>
      <c r="P30" s="288">
        <f ca="1">SUMPRODUCT((TABELA_VAZAO[Posto]=P$2)*1,(TABELA_VAZAO[Data]=$A30)*1,TABELA_VAZAO[qinc])</f>
        <v>117</v>
      </c>
      <c r="Q30" s="288">
        <f ca="1">SUMPRODUCT((TABELA_VAZAO[Posto]=Q$2)*1,(TABELA_VAZAO[Data]=$A30)*1,TABELA_VAZAO[qnat])</f>
        <v>13</v>
      </c>
      <c r="R30" s="288">
        <f ca="1">SUMPRODUCT((TABELA_VAZAO[Posto]=R$2)*1,(TABELA_VAZAO[Data]=$A30)*1,TABELA_VAZAO[qnat])</f>
        <v>53</v>
      </c>
      <c r="S30" s="288">
        <f ca="1">SUMPRODUCT((TABELA_VAZAO[Posto]=S$2)*1,(TABELA_VAZAO[Data]=$A30)*1,TABELA_VAZAO[qnat])</f>
        <v>15</v>
      </c>
      <c r="T30" s="288">
        <f ca="1">SUMPRODUCT((TABELA_VAZAO[Posto]=T$2)*1,(TABELA_VAZAO[Data]=$A30)*1,TABELA_VAZAO[qnat])</f>
        <v>4</v>
      </c>
      <c r="U30" s="288">
        <f ca="1">SUMPRODUCT((TABELA_VAZAO[Posto]=U$2)*1,(TABELA_VAZAO[Data]=$A30)*1,TABELA_VAZAO[qnat])</f>
        <v>211</v>
      </c>
      <c r="V30" s="288">
        <f ca="1">SUMPRODUCT((TABELA_VAZAO[Posto]=V$2)*1,(TABELA_VAZAO[Data]=$A30)*1,TABELA_VAZAO[qnat])</f>
        <v>262</v>
      </c>
      <c r="W30" s="288">
        <f ca="1">SUMPRODUCT((TABELA_VAZAO[Posto]=W$2)*1,(TABELA_VAZAO[Data]=$A30)*1,TABELA_VAZAO[qnat])</f>
        <v>354</v>
      </c>
      <c r="X30">
        <f ca="1">SUMPRODUCT((TABELA_VAZAO[Posto]=X$2)*1,(TABELA_VAZAO[Data]=$A30)*1,TABELA_VAZAO[qnat])</f>
        <v>653</v>
      </c>
      <c r="Y30">
        <f ca="1">SUMPRODUCT((TABELA_VAZAO[Posto]=Y$2)*1,(TABELA_VAZAO[Data]=$A30)*1,TABELA_VAZAO[qnat])</f>
        <v>533</v>
      </c>
      <c r="Z30">
        <f ca="1">SUMPRODUCT((TABELA_VAZAO[Posto]=Z$2)*1,(TABELA_VAZAO[Data]=$A30)*1,TABELA_VAZAO[qnat])</f>
        <v>33</v>
      </c>
    </row>
    <row r="31" spans="1:26" x14ac:dyDescent="0.2">
      <c r="A31" s="273">
        <f t="shared" ca="1" si="2"/>
        <v>43830</v>
      </c>
      <c r="B31" s="288">
        <f ca="1">SUMPRODUCT((TABELA_VAZAO[Posto]=B$2)*1,(TABELA_VAZAO[Data]=$A31)*1,TABELA_VAZAO[qnat])</f>
        <v>58</v>
      </c>
      <c r="C31" s="250">
        <f ca="1">SUMPRODUCT((TABELA_VAZAO[Posto]=C$2)*1,(TABELA_VAZAO[Data]=$A31)*1,TABELA_VAZAO[qnat])</f>
        <v>13</v>
      </c>
      <c r="D31" s="288">
        <f ca="1">SUMPRODUCT((TABELA_VAZAO[Posto]=D$2)*1,(TABELA_VAZAO[Data]=$A31)*1,TABELA_VAZAO[qnat])</f>
        <v>58</v>
      </c>
      <c r="E31" s="250">
        <f ca="1">SUMPRODUCT((TABELA_VAZAO[Posto]=E$2)*1,(TABELA_VAZAO[Data]=$A31)*1,TABELA_VAZAO[qinc])</f>
        <v>18</v>
      </c>
      <c r="F31" s="250">
        <f ca="1">SUMPRODUCT((TABELA_VAZAO[Posto]=F$2)*1,(TABELA_VAZAO[Data]=$A31)*1,TABELA_VAZAO[qnat])</f>
        <v>4</v>
      </c>
      <c r="G31" s="250">
        <f t="shared" ca="1" si="3"/>
        <v>10.718900000000001</v>
      </c>
      <c r="H31" s="186">
        <f t="shared" ca="1" si="4"/>
        <v>2.2810999999999986</v>
      </c>
      <c r="I31" s="250">
        <f ca="1">SUMPRODUCT((TABELA_VAZAO[Posto]=I$2)*1,(TABELA_VAZAO[Data]=$A31)*1,TABELA_VAZAO[qinc])</f>
        <v>139</v>
      </c>
      <c r="J31" s="250" t="e">
        <f ca="1">INDEX(RESULTADOS!$A:$BZ,MATCH($A31,RESULTADOS!$A:$A,0),MATCH(J$1,RESULTADOS!$1:$1,0))</f>
        <v>#N/A</v>
      </c>
      <c r="K31" s="186">
        <f ca="1">SUMPRODUCT((TABELA_VAZAO[Posto]=K$2)*1,(TABELA_VAZAO[Data]=$A31)*1,TABELA_VAZAO[qinc])</f>
        <v>44</v>
      </c>
      <c r="L31" s="250">
        <f ca="1">SUMPRODUCT((TABELA_VAZAO[Posto]=L$2)*1,(TABELA_VAZAO[Data]=$A31)*1,TABELA_VAZAO[qinc])</f>
        <v>85</v>
      </c>
      <c r="M31" s="250" t="e">
        <f ca="1">INDEX(RESULTADOS!$A:$BZ,MATCH($A31,RESULTADOS!$A:$A,0),MATCH(M$1,RESULTADOS!$1:$1,0))</f>
        <v>#N/A</v>
      </c>
      <c r="N31" s="250"/>
      <c r="O31" s="288">
        <f ca="1">SUMPRODUCT((TABELA_VAZAO[Posto]=O$2)*1,(TABELA_VAZAO[Data]=$A31)*1,TABELA_VAZAO[qinc])</f>
        <v>46</v>
      </c>
      <c r="P31" s="288">
        <f ca="1">SUMPRODUCT((TABELA_VAZAO[Posto]=P$2)*1,(TABELA_VAZAO[Data]=$A31)*1,TABELA_VAZAO[qinc])</f>
        <v>118</v>
      </c>
      <c r="Q31" s="288">
        <f ca="1">SUMPRODUCT((TABELA_VAZAO[Posto]=Q$2)*1,(TABELA_VAZAO[Data]=$A31)*1,TABELA_VAZAO[qnat])</f>
        <v>13</v>
      </c>
      <c r="R31" s="288">
        <f ca="1">SUMPRODUCT((TABELA_VAZAO[Posto]=R$2)*1,(TABELA_VAZAO[Data]=$A31)*1,TABELA_VAZAO[qnat])</f>
        <v>58</v>
      </c>
      <c r="S31" s="288">
        <f ca="1">SUMPRODUCT((TABELA_VAZAO[Posto]=S$2)*1,(TABELA_VAZAO[Data]=$A31)*1,TABELA_VAZAO[qnat])</f>
        <v>18</v>
      </c>
      <c r="T31" s="288">
        <f ca="1">SUMPRODUCT((TABELA_VAZAO[Posto]=T$2)*1,(TABELA_VAZAO[Data]=$A31)*1,TABELA_VAZAO[qnat])</f>
        <v>4</v>
      </c>
      <c r="U31" s="288">
        <f ca="1">SUMPRODUCT((TABELA_VAZAO[Posto]=U$2)*1,(TABELA_VAZAO[Data]=$A31)*1,TABELA_VAZAO[qnat])</f>
        <v>192</v>
      </c>
      <c r="V31" s="288">
        <f ca="1">SUMPRODUCT((TABELA_VAZAO[Posto]=V$2)*1,(TABELA_VAZAO[Data]=$A31)*1,TABELA_VAZAO[qnat])</f>
        <v>246</v>
      </c>
      <c r="W31" s="288">
        <f ca="1">SUMPRODUCT((TABELA_VAZAO[Posto]=W$2)*1,(TABELA_VAZAO[Data]=$A31)*1,TABELA_VAZAO[qnat])</f>
        <v>340</v>
      </c>
      <c r="X31">
        <f ca="1">SUMPRODUCT((TABELA_VAZAO[Posto]=X$2)*1,(TABELA_VAZAO[Data]=$A31)*1,TABELA_VAZAO[qnat])</f>
        <v>555</v>
      </c>
      <c r="Y31">
        <f ca="1">SUMPRODUCT((TABELA_VAZAO[Posto]=Y$2)*1,(TABELA_VAZAO[Data]=$A31)*1,TABELA_VAZAO[qnat])</f>
        <v>479</v>
      </c>
      <c r="Z31">
        <f ca="1">SUMPRODUCT((TABELA_VAZAO[Posto]=Z$2)*1,(TABELA_VAZAO[Data]=$A31)*1,TABELA_VAZAO[qnat])</f>
        <v>32</v>
      </c>
    </row>
    <row r="32" spans="1:26" x14ac:dyDescent="0.2">
      <c r="A32" s="273">
        <f t="shared" ca="1" si="2"/>
        <v>43831</v>
      </c>
      <c r="B32" s="288">
        <f ca="1">SUMPRODUCT((TABELA_VAZAO[Posto]=B$2)*1,(TABELA_VAZAO[Data]=$A32)*1,TABELA_VAZAO[qnat])</f>
        <v>76</v>
      </c>
      <c r="C32" s="250">
        <f ca="1">SUMPRODUCT((TABELA_VAZAO[Posto]=C$2)*1,(TABELA_VAZAO[Data]=$A32)*1,TABELA_VAZAO[qnat])</f>
        <v>14</v>
      </c>
      <c r="D32" s="288">
        <f ca="1">SUMPRODUCT((TABELA_VAZAO[Posto]=D$2)*1,(TABELA_VAZAO[Data]=$A32)*1,TABELA_VAZAO[qnat])</f>
        <v>76</v>
      </c>
      <c r="E32" s="250">
        <f ca="1">SUMPRODUCT((TABELA_VAZAO[Posto]=E$2)*1,(TABELA_VAZAO[Data]=$A32)*1,TABELA_VAZAO[qinc])</f>
        <v>21</v>
      </c>
      <c r="F32" s="250">
        <f ca="1">SUMPRODUCT((TABELA_VAZAO[Posto]=F$2)*1,(TABELA_VAZAO[Data]=$A32)*1,TABELA_VAZAO[qnat])</f>
        <v>7</v>
      </c>
      <c r="G32" s="250">
        <f t="shared" ca="1" si="3"/>
        <v>11.529200000000001</v>
      </c>
      <c r="H32" s="186">
        <f t="shared" ca="1" si="4"/>
        <v>2.4707999999999988</v>
      </c>
      <c r="I32" s="250">
        <f ca="1">SUMPRODUCT((TABELA_VAZAO[Posto]=I$2)*1,(TABELA_VAZAO[Data]=$A32)*1,TABELA_VAZAO[qinc])</f>
        <v>125</v>
      </c>
      <c r="J32" s="250" t="e">
        <f ca="1">INDEX(RESULTADOS!$A:$BZ,MATCH($A32,RESULTADOS!$A:$A,0),MATCH(J$1,RESULTADOS!$1:$1,0))</f>
        <v>#N/A</v>
      </c>
      <c r="K32" s="186">
        <f ca="1">SUMPRODUCT((TABELA_VAZAO[Posto]=K$2)*1,(TABELA_VAZAO[Data]=$A32)*1,TABELA_VAZAO[qinc])</f>
        <v>44</v>
      </c>
      <c r="L32" s="250">
        <f ca="1">SUMPRODUCT((TABELA_VAZAO[Posto]=L$2)*1,(TABELA_VAZAO[Data]=$A32)*1,TABELA_VAZAO[qinc])</f>
        <v>85</v>
      </c>
      <c r="M32" s="250" t="e">
        <f ca="1">INDEX(RESULTADOS!$A:$BZ,MATCH($A32,RESULTADOS!$A:$A,0),MATCH(M$1,RESULTADOS!$1:$1,0))</f>
        <v>#N/A</v>
      </c>
      <c r="N32" s="250"/>
      <c r="O32" s="288">
        <f ca="1">SUMPRODUCT((TABELA_VAZAO[Posto]=O$2)*1,(TABELA_VAZAO[Data]=$A32)*1,TABELA_VAZAO[qinc])</f>
        <v>48</v>
      </c>
      <c r="P32" s="288">
        <f ca="1">SUMPRODUCT((TABELA_VAZAO[Posto]=P$2)*1,(TABELA_VAZAO[Data]=$A32)*1,TABELA_VAZAO[qinc])</f>
        <v>121</v>
      </c>
      <c r="Q32" s="288">
        <f ca="1">SUMPRODUCT((TABELA_VAZAO[Posto]=Q$2)*1,(TABELA_VAZAO[Data]=$A32)*1,TABELA_VAZAO[qnat])</f>
        <v>14</v>
      </c>
      <c r="R32" s="288">
        <f ca="1">SUMPRODUCT((TABELA_VAZAO[Posto]=R$2)*1,(TABELA_VAZAO[Data]=$A32)*1,TABELA_VAZAO[qnat])</f>
        <v>76</v>
      </c>
      <c r="S32" s="288">
        <f ca="1">SUMPRODUCT((TABELA_VAZAO[Posto]=S$2)*1,(TABELA_VAZAO[Data]=$A32)*1,TABELA_VAZAO[qnat])</f>
        <v>21</v>
      </c>
      <c r="T32" s="288">
        <f ca="1">SUMPRODUCT((TABELA_VAZAO[Posto]=T$2)*1,(TABELA_VAZAO[Data]=$A32)*1,TABELA_VAZAO[qnat])</f>
        <v>7</v>
      </c>
      <c r="U32" s="288">
        <f ca="1">SUMPRODUCT((TABELA_VAZAO[Posto]=U$2)*1,(TABELA_VAZAO[Data]=$A32)*1,TABELA_VAZAO[qnat])</f>
        <v>179</v>
      </c>
      <c r="V32" s="288">
        <f ca="1">SUMPRODUCT((TABELA_VAZAO[Posto]=V$2)*1,(TABELA_VAZAO[Data]=$A32)*1,TABELA_VAZAO[qnat])</f>
        <v>230</v>
      </c>
      <c r="W32" s="288">
        <f ca="1">SUMPRODUCT((TABELA_VAZAO[Posto]=W$2)*1,(TABELA_VAZAO[Data]=$A32)*1,TABELA_VAZAO[qnat])</f>
        <v>323</v>
      </c>
      <c r="X32">
        <f ca="1">SUMPRODUCT((TABELA_VAZAO[Posto]=X$2)*1,(TABELA_VAZAO[Data]=$A32)*1,TABELA_VAZAO[qnat])</f>
        <v>519</v>
      </c>
      <c r="Y32">
        <f ca="1">SUMPRODUCT((TABELA_VAZAO[Posto]=Y$2)*1,(TABELA_VAZAO[Data]=$A32)*1,TABELA_VAZAO[qnat])</f>
        <v>463</v>
      </c>
      <c r="Z32">
        <f ca="1">SUMPRODUCT((TABELA_VAZAO[Posto]=Z$2)*1,(TABELA_VAZAO[Data]=$A32)*1,TABELA_VAZAO[qnat])</f>
        <v>35</v>
      </c>
    </row>
    <row r="33" spans="1:26" s="85" customFormat="1" x14ac:dyDescent="0.2">
      <c r="A33" s="82">
        <f t="shared" ca="1" si="2"/>
        <v>43832</v>
      </c>
      <c r="B33" s="288">
        <f ca="1">SUMPRODUCT((TABELA_VAZAO[Posto]=B$2)*1,(TABELA_VAZAO[Data]=$A33)*1,TABELA_VAZAO[qnat])</f>
        <v>374</v>
      </c>
      <c r="C33" s="305">
        <f ca="1">SUMPRODUCT((TABELA_VAZAO[Posto]=C$2)*1,(TABELA_VAZAO[Data]=$A33)*1,TABELA_VAZAO[qnat])</f>
        <v>14</v>
      </c>
      <c r="D33" s="288">
        <f ca="1">SUMPRODUCT((TABELA_VAZAO[Posto]=D$2)*1,(TABELA_VAZAO[Data]=$A33)*1,TABELA_VAZAO[qnat])</f>
        <v>374</v>
      </c>
      <c r="E33" s="305">
        <f ca="1">SUMPRODUCT((TABELA_VAZAO[Posto]=E$2)*1,(TABELA_VAZAO[Data]=$A33)*1,TABELA_VAZAO[qinc])</f>
        <v>33</v>
      </c>
      <c r="F33" s="305">
        <f ca="1">SUMPRODUCT((TABELA_VAZAO[Posto]=F$2)*1,(TABELA_VAZAO[Data]=$A33)*1,TABELA_VAZAO[qnat])</f>
        <v>7</v>
      </c>
      <c r="G33" s="306">
        <f t="shared" ca="1" si="3"/>
        <v>11.529200000000001</v>
      </c>
      <c r="H33" s="304">
        <f t="shared" ca="1" si="4"/>
        <v>2.4707999999999988</v>
      </c>
      <c r="I33" s="305">
        <f ca="1">SUMPRODUCT((TABELA_VAZAO[Posto]=I$2)*1,(TABELA_VAZAO[Data]=$A33)*1,TABELA_VAZAO[qinc])</f>
        <v>116</v>
      </c>
      <c r="J33" s="305" t="e">
        <f ca="1">INDEX(RESULTADOS!$A:$BZ,MATCH($A33,RESULTADOS!$A:$A,0),MATCH(J$1,RESULTADOS!$1:$1,0))</f>
        <v>#N/A</v>
      </c>
      <c r="K33" s="304">
        <f ca="1">SUMPRODUCT((TABELA_VAZAO[Posto]=K$2)*1,(TABELA_VAZAO[Data]=$A33)*1,TABELA_VAZAO[qinc])</f>
        <v>45</v>
      </c>
      <c r="L33" s="304">
        <f ca="1">SUMPRODUCT((TABELA_VAZAO[Posto]=L$2)*1,(TABELA_VAZAO[Data]=$A33)*1,TABELA_VAZAO[qinc])</f>
        <v>87</v>
      </c>
      <c r="M33" s="305" t="e">
        <f ca="1">INDEX(RESULTADOS!$A:$BZ,MATCH($A33,RESULTADOS!$A:$A,0),MATCH(M$1,RESULTADOS!$1:$1,0))</f>
        <v>#N/A</v>
      </c>
      <c r="N33" s="305"/>
      <c r="O33" s="306">
        <f ca="1">SUMPRODUCT((TABELA_VAZAO[Posto]=O$2)*1,(TABELA_VAZAO[Data]=$A33)*1,TABELA_VAZAO[qinc])</f>
        <v>49</v>
      </c>
      <c r="P33" s="306">
        <f ca="1">SUMPRODUCT((TABELA_VAZAO[Posto]=P$2)*1,(TABELA_VAZAO[Data]=$A33)*1,TABELA_VAZAO[qinc])</f>
        <v>125</v>
      </c>
      <c r="Q33" s="306">
        <f ca="1">SUMPRODUCT((TABELA_VAZAO[Posto]=Q$2)*1,(TABELA_VAZAO[Data]=$A33)*1,TABELA_VAZAO[qnat])</f>
        <v>14</v>
      </c>
      <c r="R33" s="306">
        <f ca="1">SUMPRODUCT((TABELA_VAZAO[Posto]=R$2)*1,(TABELA_VAZAO[Data]=$A33)*1,TABELA_VAZAO[qnat])</f>
        <v>374</v>
      </c>
      <c r="S33" s="306">
        <f ca="1">SUMPRODUCT((TABELA_VAZAO[Posto]=S$2)*1,(TABELA_VAZAO[Data]=$A33)*1,TABELA_VAZAO[qnat])</f>
        <v>33</v>
      </c>
      <c r="T33" s="306">
        <f ca="1">SUMPRODUCT((TABELA_VAZAO[Posto]=T$2)*1,(TABELA_VAZAO[Data]=$A33)*1,TABELA_VAZAO[qnat])</f>
        <v>7</v>
      </c>
      <c r="U33" s="306">
        <f ca="1">SUMPRODUCT((TABELA_VAZAO[Posto]=U$2)*1,(TABELA_VAZAO[Data]=$A33)*1,TABELA_VAZAO[qnat])</f>
        <v>178</v>
      </c>
      <c r="V33" s="306">
        <f ca="1">SUMPRODUCT((TABELA_VAZAO[Posto]=V$2)*1,(TABELA_VAZAO[Data]=$A33)*1,TABELA_VAZAO[qnat])</f>
        <v>224</v>
      </c>
      <c r="W33" s="306">
        <f ca="1">SUMPRODUCT((TABELA_VAZAO[Posto]=W$2)*1,(TABELA_VAZAO[Data]=$A33)*1,TABELA_VAZAO[qnat])</f>
        <v>314</v>
      </c>
      <c r="X33" s="85">
        <f ca="1">SUMPRODUCT((TABELA_VAZAO[Posto]=X$2)*1,(TABELA_VAZAO[Data]=$A33)*1,TABELA_VAZAO[qnat])</f>
        <v>507</v>
      </c>
      <c r="Y33" s="85">
        <f ca="1">SUMPRODUCT((TABELA_VAZAO[Posto]=Y$2)*1,(TABELA_VAZAO[Data]=$A33)*1,TABELA_VAZAO[qnat])</f>
        <v>451</v>
      </c>
      <c r="Z33" s="85">
        <f ca="1">SUMPRODUCT((TABELA_VAZAO[Posto]=Z$2)*1,(TABELA_VAZAO[Data]=$A33)*1,TABELA_VAZAO[qnat])</f>
        <v>35</v>
      </c>
    </row>
    <row r="34" spans="1:26" x14ac:dyDescent="0.2">
      <c r="A34" s="273">
        <f t="shared" ca="1" si="2"/>
        <v>43833</v>
      </c>
      <c r="B34" s="288">
        <f ca="1">SUMPRODUCT((TABELA_VAZAO[Posto]=B$2)*1,(TABELA_VAZAO[Data]=$A34)*1,TABELA_VAZAO[qnat])</f>
        <v>413</v>
      </c>
      <c r="C34" s="250">
        <f ca="1">SUMPRODUCT((TABELA_VAZAO[Posto]=C$2)*1,(TABELA_VAZAO[Data]=$A34)*1,TABELA_VAZAO[qnat])</f>
        <v>28</v>
      </c>
      <c r="D34" s="288">
        <f ca="1">SUMPRODUCT((TABELA_VAZAO[Posto]=D$2)*1,(TABELA_VAZAO[Data]=$A34)*1,TABELA_VAZAO[qnat])</f>
        <v>413</v>
      </c>
      <c r="E34" s="250">
        <f ca="1">SUMPRODUCT((TABELA_VAZAO[Posto]=E$2)*1,(TABELA_VAZAO[Data]=$A34)*1,TABELA_VAZAO[qinc])</f>
        <v>36</v>
      </c>
      <c r="F34" s="250">
        <f ca="1">SUMPRODUCT((TABELA_VAZAO[Posto]=F$2)*1,(TABELA_VAZAO[Data]=$A34)*1,TABELA_VAZAO[qnat])</f>
        <v>9</v>
      </c>
      <c r="G34" s="288">
        <f t="shared" ca="1" si="3"/>
        <v>22.8734</v>
      </c>
      <c r="H34" s="186">
        <f t="shared" ca="1" si="4"/>
        <v>5.1265999999999998</v>
      </c>
      <c r="I34" s="250">
        <f ca="1">SUMPRODUCT((TABELA_VAZAO[Posto]=I$2)*1,(TABELA_VAZAO[Data]=$A34)*1,TABELA_VAZAO[qinc])</f>
        <v>170</v>
      </c>
      <c r="J34" s="250" t="e">
        <f ca="1">INDEX(RESULTADOS!$A:$BZ,MATCH($A34,RESULTADOS!$A:$A,0),MATCH(J$1,RESULTADOS!$1:$1,0))</f>
        <v>#N/A</v>
      </c>
      <c r="K34" s="186">
        <f ca="1">SUMPRODUCT((TABELA_VAZAO[Posto]=K$2)*1,(TABELA_VAZAO[Data]=$A34)*1,TABELA_VAZAO[qinc])</f>
        <v>46</v>
      </c>
      <c r="L34" s="186">
        <f ca="1">SUMPRODUCT((TABELA_VAZAO[Posto]=L$2)*1,(TABELA_VAZAO[Data]=$A34)*1,TABELA_VAZAO[qinc])</f>
        <v>88</v>
      </c>
      <c r="M34" s="250" t="e">
        <f ca="1">INDEX(RESULTADOS!$A:$BZ,MATCH($A34,RESULTADOS!$A:$A,0),MATCH(M$1,RESULTADOS!$1:$1,0))</f>
        <v>#N/A</v>
      </c>
      <c r="N34" s="250"/>
      <c r="O34" s="288">
        <f ca="1">SUMPRODUCT((TABELA_VAZAO[Posto]=O$2)*1,(TABELA_VAZAO[Data]=$A34)*1,TABELA_VAZAO[qinc])</f>
        <v>51</v>
      </c>
      <c r="P34" s="288">
        <f ca="1">SUMPRODUCT((TABELA_VAZAO[Posto]=P$2)*1,(TABELA_VAZAO[Data]=$A34)*1,TABELA_VAZAO[qinc])</f>
        <v>129</v>
      </c>
      <c r="Q34" s="288">
        <f ca="1">SUMPRODUCT((TABELA_VAZAO[Posto]=Q$2)*1,(TABELA_VAZAO[Data]=$A34)*1,TABELA_VAZAO[qnat])</f>
        <v>28</v>
      </c>
      <c r="R34" s="288">
        <f ca="1">SUMPRODUCT((TABELA_VAZAO[Posto]=R$2)*1,(TABELA_VAZAO[Data]=$A34)*1,TABELA_VAZAO[qnat])</f>
        <v>413</v>
      </c>
      <c r="S34" s="288">
        <f ca="1">SUMPRODUCT((TABELA_VAZAO[Posto]=S$2)*1,(TABELA_VAZAO[Data]=$A34)*1,TABELA_VAZAO[qnat])</f>
        <v>36</v>
      </c>
      <c r="T34" s="288">
        <f ca="1">SUMPRODUCT((TABELA_VAZAO[Posto]=T$2)*1,(TABELA_VAZAO[Data]=$A34)*1,TABELA_VAZAO[qnat])</f>
        <v>9</v>
      </c>
      <c r="U34" s="288">
        <f ca="1">SUMPRODUCT((TABELA_VAZAO[Posto]=U$2)*1,(TABELA_VAZAO[Data]=$A34)*1,TABELA_VAZAO[qnat])</f>
        <v>320</v>
      </c>
      <c r="V34" s="288">
        <f ca="1">SUMPRODUCT((TABELA_VAZAO[Posto]=V$2)*1,(TABELA_VAZAO[Data]=$A34)*1,TABELA_VAZAO[qnat])</f>
        <v>295</v>
      </c>
      <c r="W34" s="288">
        <f ca="1">SUMPRODUCT((TABELA_VAZAO[Posto]=W$2)*1,(TABELA_VAZAO[Data]=$A34)*1,TABELA_VAZAO[qnat])</f>
        <v>348</v>
      </c>
      <c r="X34">
        <f ca="1">SUMPRODUCT((TABELA_VAZAO[Posto]=X$2)*1,(TABELA_VAZAO[Data]=$A34)*1,TABELA_VAZAO[qnat])</f>
        <v>499</v>
      </c>
      <c r="Y34">
        <f ca="1">SUMPRODUCT((TABELA_VAZAO[Posto]=Y$2)*1,(TABELA_VAZAO[Data]=$A34)*1,TABELA_VAZAO[qnat])</f>
        <v>444</v>
      </c>
      <c r="Z34">
        <f ca="1">SUMPRODUCT((TABELA_VAZAO[Posto]=Z$2)*1,(TABELA_VAZAO[Data]=$A34)*1,TABELA_VAZAO[qnat])</f>
        <v>64</v>
      </c>
    </row>
    <row r="35" spans="1:26" x14ac:dyDescent="0.2">
      <c r="A35" s="273">
        <f t="shared" ca="1" si="2"/>
        <v>43834</v>
      </c>
      <c r="B35" s="288">
        <f ca="1">SUMPRODUCT((TABELA_VAZAO[Posto]=B$2)*1,(TABELA_VAZAO[Data]=$A35)*1,TABELA_VAZAO[qnat])</f>
        <v>212</v>
      </c>
      <c r="C35" s="250">
        <f ca="1">SUMPRODUCT((TABELA_VAZAO[Posto]=C$2)*1,(TABELA_VAZAO[Data]=$A35)*1,TABELA_VAZAO[qnat])</f>
        <v>23</v>
      </c>
      <c r="D35" s="288">
        <f ca="1">SUMPRODUCT((TABELA_VAZAO[Posto]=D$2)*1,(TABELA_VAZAO[Data]=$A35)*1,TABELA_VAZAO[qnat])</f>
        <v>212</v>
      </c>
      <c r="E35" s="250">
        <f ca="1">SUMPRODUCT((TABELA_VAZAO[Posto]=E$2)*1,(TABELA_VAZAO[Data]=$A35)*1,TABELA_VAZAO[qinc])</f>
        <v>39</v>
      </c>
      <c r="F35" s="250">
        <f ca="1">SUMPRODUCT((TABELA_VAZAO[Posto]=F$2)*1,(TABELA_VAZAO[Data]=$A35)*1,TABELA_VAZAO[qnat])</f>
        <v>7</v>
      </c>
      <c r="G35" s="288">
        <f t="shared" ca="1" si="3"/>
        <v>18.821899999999999</v>
      </c>
      <c r="H35" s="186">
        <f t="shared" ca="1" si="4"/>
        <v>4.1781000000000006</v>
      </c>
      <c r="I35" s="250">
        <f ca="1">SUMPRODUCT((TABELA_VAZAO[Posto]=I$2)*1,(TABELA_VAZAO[Data]=$A35)*1,TABELA_VAZAO[qinc])</f>
        <v>384</v>
      </c>
      <c r="J35" s="250" t="e">
        <f ca="1">INDEX(RESULTADOS!$A:$BZ,MATCH($A35,RESULTADOS!$A:$A,0),MATCH(J$1,RESULTADOS!$1:$1,0))</f>
        <v>#N/A</v>
      </c>
      <c r="K35" s="186">
        <f ca="1">SUMPRODUCT((TABELA_VAZAO[Posto]=K$2)*1,(TABELA_VAZAO[Data]=$A35)*1,TABELA_VAZAO[qinc])</f>
        <v>48</v>
      </c>
      <c r="L35" s="186">
        <f ca="1">SUMPRODUCT((TABELA_VAZAO[Posto]=L$2)*1,(TABELA_VAZAO[Data]=$A35)*1,TABELA_VAZAO[qinc])</f>
        <v>92</v>
      </c>
      <c r="M35" s="250" t="e">
        <f ca="1">INDEX(RESULTADOS!$A:$BZ,MATCH($A35,RESULTADOS!$A:$A,0),MATCH(M$1,RESULTADOS!$1:$1,0))</f>
        <v>#N/A</v>
      </c>
      <c r="N35" s="250"/>
      <c r="O35" s="288">
        <f ca="1">SUMPRODUCT((TABELA_VAZAO[Posto]=O$2)*1,(TABELA_VAZAO[Data]=$A35)*1,TABELA_VAZAO[qinc])</f>
        <v>52</v>
      </c>
      <c r="P35" s="288">
        <f ca="1">SUMPRODUCT((TABELA_VAZAO[Posto]=P$2)*1,(TABELA_VAZAO[Data]=$A35)*1,TABELA_VAZAO[qinc])</f>
        <v>132</v>
      </c>
      <c r="Q35" s="288">
        <f ca="1">SUMPRODUCT((TABELA_VAZAO[Posto]=Q$2)*1,(TABELA_VAZAO[Data]=$A35)*1,TABELA_VAZAO[qnat])</f>
        <v>23</v>
      </c>
      <c r="R35" s="288">
        <f ca="1">SUMPRODUCT((TABELA_VAZAO[Posto]=R$2)*1,(TABELA_VAZAO[Data]=$A35)*1,TABELA_VAZAO[qnat])</f>
        <v>212</v>
      </c>
      <c r="S35" s="288">
        <f ca="1">SUMPRODUCT((TABELA_VAZAO[Posto]=S$2)*1,(TABELA_VAZAO[Data]=$A35)*1,TABELA_VAZAO[qnat])</f>
        <v>39</v>
      </c>
      <c r="T35" s="288">
        <f ca="1">SUMPRODUCT((TABELA_VAZAO[Posto]=T$2)*1,(TABELA_VAZAO[Data]=$A35)*1,TABELA_VAZAO[qnat])</f>
        <v>7</v>
      </c>
      <c r="U35" s="288">
        <f ca="1">SUMPRODUCT((TABELA_VAZAO[Posto]=U$2)*1,(TABELA_VAZAO[Data]=$A35)*1,TABELA_VAZAO[qnat])</f>
        <v>767</v>
      </c>
      <c r="V35" s="288">
        <f ca="1">SUMPRODUCT((TABELA_VAZAO[Posto]=V$2)*1,(TABELA_VAZAO[Data]=$A35)*1,TABELA_VAZAO[qnat])</f>
        <v>592</v>
      </c>
      <c r="W35" s="288">
        <f ca="1">SUMPRODUCT((TABELA_VAZAO[Posto]=W$2)*1,(TABELA_VAZAO[Data]=$A35)*1,TABELA_VAZAO[qnat])</f>
        <v>536</v>
      </c>
      <c r="X35">
        <f ca="1">SUMPRODUCT((TABELA_VAZAO[Posto]=X$2)*1,(TABELA_VAZAO[Data]=$A35)*1,TABELA_VAZAO[qnat])</f>
        <v>509</v>
      </c>
      <c r="Y35">
        <f ca="1">SUMPRODUCT((TABELA_VAZAO[Posto]=Y$2)*1,(TABELA_VAZAO[Data]=$A35)*1,TABELA_VAZAO[qnat])</f>
        <v>473</v>
      </c>
      <c r="Z35">
        <f ca="1">SUMPRODUCT((TABELA_VAZAO[Posto]=Z$2)*1,(TABELA_VAZAO[Data]=$A35)*1,TABELA_VAZAO[qnat])</f>
        <v>52</v>
      </c>
    </row>
    <row r="36" spans="1:26" x14ac:dyDescent="0.2">
      <c r="A36" s="273">
        <f t="shared" ca="1" si="2"/>
        <v>43835</v>
      </c>
      <c r="B36" s="288">
        <f ca="1">SUMPRODUCT((TABELA_VAZAO[Posto]=B$2)*1,(TABELA_VAZAO[Data]=$A36)*1,TABELA_VAZAO[qnat])</f>
        <v>182</v>
      </c>
      <c r="C36" s="250">
        <f ca="1">SUMPRODUCT((TABELA_VAZAO[Posto]=C$2)*1,(TABELA_VAZAO[Data]=$A36)*1,TABELA_VAZAO[qnat])</f>
        <v>21</v>
      </c>
      <c r="D36" s="288">
        <f ca="1">SUMPRODUCT((TABELA_VAZAO[Posto]=D$2)*1,(TABELA_VAZAO[Data]=$A36)*1,TABELA_VAZAO[qnat])</f>
        <v>182</v>
      </c>
      <c r="E36" s="250">
        <f ca="1">SUMPRODUCT((TABELA_VAZAO[Posto]=E$2)*1,(TABELA_VAZAO[Data]=$A36)*1,TABELA_VAZAO[qinc])</f>
        <v>38</v>
      </c>
      <c r="F36" s="250">
        <f ca="1">SUMPRODUCT((TABELA_VAZAO[Posto]=F$2)*1,(TABELA_VAZAO[Data]=$A36)*1,TABELA_VAZAO[qnat])</f>
        <v>7</v>
      </c>
      <c r="G36" s="288">
        <f t="shared" ca="1" si="3"/>
        <v>17.2013</v>
      </c>
      <c r="H36" s="186">
        <f t="shared" ca="1" si="4"/>
        <v>3.7987000000000002</v>
      </c>
      <c r="I36" s="250">
        <f ca="1">SUMPRODUCT((TABELA_VAZAO[Posto]=I$2)*1,(TABELA_VAZAO[Data]=$A36)*1,TABELA_VAZAO[qinc])</f>
        <v>430</v>
      </c>
      <c r="J36" s="250" t="e">
        <f ca="1">INDEX(RESULTADOS!$A:$BZ,MATCH($A36,RESULTADOS!$A:$A,0),MATCH(J$1,RESULTADOS!$1:$1,0))</f>
        <v>#N/A</v>
      </c>
      <c r="K36" s="186">
        <f ca="1">SUMPRODUCT((TABELA_VAZAO[Posto]=K$2)*1,(TABELA_VAZAO[Data]=$A36)*1,TABELA_VAZAO[qinc])</f>
        <v>51</v>
      </c>
      <c r="L36" s="186">
        <f ca="1">SUMPRODUCT((TABELA_VAZAO[Posto]=L$2)*1,(TABELA_VAZAO[Data]=$A36)*1,TABELA_VAZAO[qinc])</f>
        <v>99</v>
      </c>
      <c r="M36" s="250" t="e">
        <f ca="1">INDEX(RESULTADOS!$A:$BZ,MATCH($A36,RESULTADOS!$A:$A,0),MATCH(M$1,RESULTADOS!$1:$1,0))</f>
        <v>#N/A</v>
      </c>
      <c r="N36" s="250"/>
      <c r="O36" s="288">
        <f ca="1">SUMPRODUCT((TABELA_VAZAO[Posto]=O$2)*1,(TABELA_VAZAO[Data]=$A36)*1,TABELA_VAZAO[qinc])</f>
        <v>53</v>
      </c>
      <c r="P36" s="288">
        <f ca="1">SUMPRODUCT((TABELA_VAZAO[Posto]=P$2)*1,(TABELA_VAZAO[Data]=$A36)*1,TABELA_VAZAO[qinc])</f>
        <v>135</v>
      </c>
      <c r="Q36" s="288">
        <f ca="1">SUMPRODUCT((TABELA_VAZAO[Posto]=Q$2)*1,(TABELA_VAZAO[Data]=$A36)*1,TABELA_VAZAO[qnat])</f>
        <v>21</v>
      </c>
      <c r="R36" s="288">
        <f ca="1">SUMPRODUCT((TABELA_VAZAO[Posto]=R$2)*1,(TABELA_VAZAO[Data]=$A36)*1,TABELA_VAZAO[qnat])</f>
        <v>182</v>
      </c>
      <c r="S36" s="288">
        <f ca="1">SUMPRODUCT((TABELA_VAZAO[Posto]=S$2)*1,(TABELA_VAZAO[Data]=$A36)*1,TABELA_VAZAO[qnat])</f>
        <v>38</v>
      </c>
      <c r="T36" s="288">
        <f ca="1">SUMPRODUCT((TABELA_VAZAO[Posto]=T$2)*1,(TABELA_VAZAO[Data]=$A36)*1,TABELA_VAZAO[qnat])</f>
        <v>7</v>
      </c>
      <c r="U36" s="288">
        <f ca="1">SUMPRODUCT((TABELA_VAZAO[Posto]=U$2)*1,(TABELA_VAZAO[Data]=$A36)*1,TABELA_VAZAO[qnat])</f>
        <v>793</v>
      </c>
      <c r="V36" s="288">
        <f ca="1">SUMPRODUCT((TABELA_VAZAO[Posto]=V$2)*1,(TABELA_VAZAO[Data]=$A36)*1,TABELA_VAZAO[qnat])</f>
        <v>831</v>
      </c>
      <c r="W36" s="288">
        <f ca="1">SUMPRODUCT((TABELA_VAZAO[Posto]=W$2)*1,(TABELA_VAZAO[Data]=$A36)*1,TABELA_VAZAO[qnat])</f>
        <v>810</v>
      </c>
      <c r="X36">
        <f ca="1">SUMPRODUCT((TABELA_VAZAO[Posto]=X$2)*1,(TABELA_VAZAO[Data]=$A36)*1,TABELA_VAZAO[qnat])</f>
        <v>598</v>
      </c>
      <c r="Y36">
        <f ca="1">SUMPRODUCT((TABELA_VAZAO[Posto]=Y$2)*1,(TABELA_VAZAO[Data]=$A36)*1,TABELA_VAZAO[qnat])</f>
        <v>631</v>
      </c>
      <c r="Z36">
        <f ca="1">SUMPRODUCT((TABELA_VAZAO[Posto]=Z$2)*1,(TABELA_VAZAO[Data]=$A36)*1,TABELA_VAZAO[qnat])</f>
        <v>44</v>
      </c>
    </row>
    <row r="37" spans="1:26" s="281" customFormat="1" ht="13.5" thickBot="1" x14ac:dyDescent="0.25">
      <c r="A37" s="280">
        <f t="shared" ca="1" si="2"/>
        <v>43836</v>
      </c>
      <c r="B37" s="288">
        <f ca="1">SUMPRODUCT((TABELA_VAZAO[Posto]=B$2)*1,(TABELA_VAZAO[Data]=$A37)*1,TABELA_VAZAO[qnat])</f>
        <v>230</v>
      </c>
      <c r="C37" s="73">
        <f ca="1">SUMPRODUCT((TABELA_VAZAO[Posto]=C$2)*1,(TABELA_VAZAO[Data]=$A37)*1,TABELA_VAZAO[qnat])</f>
        <v>27</v>
      </c>
      <c r="D37" s="288">
        <f ca="1">SUMPRODUCT((TABELA_VAZAO[Posto]=D$2)*1,(TABELA_VAZAO[Data]=$A37)*1,TABELA_VAZAO[qnat])</f>
        <v>230</v>
      </c>
      <c r="E37" s="73">
        <f ca="1">SUMPRODUCT((TABELA_VAZAO[Posto]=E$2)*1,(TABELA_VAZAO[Data]=$A37)*1,TABELA_VAZAO[qinc])</f>
        <v>33</v>
      </c>
      <c r="F37" s="73">
        <f ca="1">SUMPRODUCT((TABELA_VAZAO[Posto]=F$2)*1,(TABELA_VAZAO[Data]=$A37)*1,TABELA_VAZAO[qnat])</f>
        <v>8</v>
      </c>
      <c r="G37" s="281">
        <f t="shared" ca="1" si="3"/>
        <v>22.063099999999999</v>
      </c>
      <c r="H37" s="73">
        <f t="shared" ca="1" si="4"/>
        <v>4.9369000000000014</v>
      </c>
      <c r="I37" s="73">
        <f ca="1">SUMPRODUCT((TABELA_VAZAO[Posto]=I$2)*1,(TABELA_VAZAO[Data]=$A37)*1,TABELA_VAZAO[qinc])</f>
        <v>330</v>
      </c>
      <c r="J37" s="73" t="e">
        <f ca="1">INDEX(RESULTADOS!$A:$BZ,MATCH($A37,RESULTADOS!$A:$A,0),MATCH(J$1,RESULTADOS!$1:$1,0))</f>
        <v>#N/A</v>
      </c>
      <c r="K37" s="73">
        <f ca="1">SUMPRODUCT((TABELA_VAZAO[Posto]=K$2)*1,(TABELA_VAZAO[Data]=$A37)*1,TABELA_VAZAO[qinc])</f>
        <v>53</v>
      </c>
      <c r="L37" s="73">
        <f ca="1">SUMPRODUCT((TABELA_VAZAO[Posto]=L$2)*1,(TABELA_VAZAO[Data]=$A37)*1,TABELA_VAZAO[qinc])</f>
        <v>103</v>
      </c>
      <c r="M37" s="73" t="e">
        <f ca="1">INDEX(RESULTADOS!$A:$BZ,MATCH($A37,RESULTADOS!$A:$A,0),MATCH(M$1,RESULTADOS!$1:$1,0))</f>
        <v>#N/A</v>
      </c>
      <c r="N37" s="73"/>
      <c r="O37" s="281">
        <f ca="1">SUMPRODUCT((TABELA_VAZAO[Posto]=O$2)*1,(TABELA_VAZAO[Data]=$A37)*1,TABELA_VAZAO[qinc])</f>
        <v>53</v>
      </c>
      <c r="P37" s="281">
        <f ca="1">SUMPRODUCT((TABELA_VAZAO[Posto]=P$2)*1,(TABELA_VAZAO[Data]=$A37)*1,TABELA_VAZAO[qinc])</f>
        <v>134</v>
      </c>
      <c r="Q37" s="281">
        <f ca="1">SUMPRODUCT((TABELA_VAZAO[Posto]=Q$2)*1,(TABELA_VAZAO[Data]=$A37)*1,TABELA_VAZAO[qnat])</f>
        <v>27</v>
      </c>
      <c r="R37" s="281">
        <f ca="1">SUMPRODUCT((TABELA_VAZAO[Posto]=R$2)*1,(TABELA_VAZAO[Data]=$A37)*1,TABELA_VAZAO[qnat])</f>
        <v>230</v>
      </c>
      <c r="S37" s="278">
        <f ca="1">SUMPRODUCT((TABELA_VAZAO[Posto]=S$2)*1,(TABELA_VAZAO[Data]=$A37)*1,TABELA_VAZAO[qnat])</f>
        <v>33</v>
      </c>
      <c r="T37" s="281">
        <f ca="1">SUMPRODUCT((TABELA_VAZAO[Posto]=T$2)*1,(TABELA_VAZAO[Data]=$A37)*1,TABELA_VAZAO[qnat])</f>
        <v>8</v>
      </c>
      <c r="U37" s="281">
        <f t="shared" ref="U37:U80" ca="1" si="5">I37+(R36*(48-$R$3)+R35*($R$3-24))/24</f>
        <v>542</v>
      </c>
      <c r="V37" s="281">
        <f ca="1">SUMPRODUCT((TABELA_VAZAO[Posto]=V$2)*1,(TABELA_VAZAO[Data]=$A37)*1,TABELA_VAZAO[qnat])</f>
        <v>717</v>
      </c>
      <c r="W37" s="281">
        <f ca="1">SUMPRODUCT((TABELA_VAZAO[Posto]=W$2)*1,(TABELA_VAZAO[Data]=$A37)*1,TABELA_VAZAO[qnat])</f>
        <v>877</v>
      </c>
      <c r="X37" s="281">
        <f ca="1">SUMPRODUCT((TABELA_VAZAO[Posto]=X$2)*1,(TABELA_VAZAO[Data]=$A37)*1,TABELA_VAZAO[qnat])</f>
        <v>801</v>
      </c>
      <c r="Y37" s="281">
        <f ca="1">SUMPRODUCT((TABELA_VAZAO[Posto]=Y$2)*1,(TABELA_VAZAO[Data]=$A37)*1,TABELA_VAZAO[qnat])</f>
        <v>887</v>
      </c>
      <c r="Z37" s="281">
        <f ca="1">SUMPRODUCT((TABELA_VAZAO[Posto]=Z$2)*1,(TABELA_VAZAO[Data]=$A37)*1,TABELA_VAZAO[qnat])</f>
        <v>78</v>
      </c>
    </row>
    <row r="38" spans="1:26" ht="13.5" thickBot="1" x14ac:dyDescent="0.25">
      <c r="A38" s="187">
        <f ca="1">_data</f>
        <v>43837</v>
      </c>
      <c r="B38" s="186" t="e">
        <f ca="1">INDEX(RESULTADOS!$A:$BZ,MATCH($A38,RESULTADOS!$A:$A,0),MATCH(B$1,RESULTADOS!$1:$1,0))</f>
        <v>#N/A</v>
      </c>
      <c r="C38" s="186" t="e">
        <f t="shared" ref="C38:F57" ca="1" si="6">$B38*C$4</f>
        <v>#N/A</v>
      </c>
      <c r="D38" s="186" t="e">
        <f t="shared" ca="1" si="6"/>
        <v>#N/A</v>
      </c>
      <c r="E38" s="186" t="e">
        <f t="shared" ca="1" si="6"/>
        <v>#N/A</v>
      </c>
      <c r="F38" s="186" t="e">
        <f t="shared" ca="1" si="6"/>
        <v>#N/A</v>
      </c>
      <c r="G38" s="186" t="e">
        <f t="shared" ca="1" si="3"/>
        <v>#N/A</v>
      </c>
      <c r="H38" s="186" t="e">
        <f t="shared" ca="1" si="4"/>
        <v>#N/A</v>
      </c>
      <c r="I38" s="186" t="e">
        <f ca="1">INDEX(RESULTADOS!$A:$BZ,MATCH($A38,RESULTADOS!$A:$A,0),MATCH(I$1,RESULTADOS!$1:$1,0))</f>
        <v>#N/A</v>
      </c>
      <c r="J38" s="186" t="e">
        <f ca="1">INDEX(RESULTADOS!$A:$BZ,MATCH($A38,RESULTADOS!$A:$A,0),MATCH(J$1,RESULTADOS!$1:$1,0))</f>
        <v>#N/A</v>
      </c>
      <c r="K38" s="186" t="e">
        <f t="shared" ref="K38:L57" ca="1" si="7">$J38*K$4</f>
        <v>#N/A</v>
      </c>
      <c r="L38" s="186" t="e">
        <f t="shared" ca="1" si="7"/>
        <v>#N/A</v>
      </c>
      <c r="M38" s="186" t="e">
        <f ca="1">INDEX(RESULTADOS!$A:$BZ,MATCH($A38,RESULTADOS!$A:$A,0),MATCH(M$1,RESULTADOS!$1:$1,0))</f>
        <v>#N/A</v>
      </c>
      <c r="N38" s="186"/>
      <c r="O38" s="278" t="e">
        <f t="shared" ref="O38:P57" ca="1" si="8">$M38*O$4</f>
        <v>#N/A</v>
      </c>
      <c r="P38" s="278" t="e">
        <f t="shared" ca="1" si="8"/>
        <v>#N/A</v>
      </c>
      <c r="Q38" s="278" t="e">
        <f t="shared" ref="Q38:R80" ca="1" si="9">C38</f>
        <v>#N/A</v>
      </c>
      <c r="R38" s="278" t="e">
        <f t="shared" ca="1" si="9"/>
        <v>#N/A</v>
      </c>
      <c r="S38" s="278" t="e">
        <f t="shared" ref="S38:S80" ca="1" si="10">E38</f>
        <v>#N/A</v>
      </c>
      <c r="T38" s="278" t="e">
        <f t="shared" ref="T38:T80" ca="1" si="11">F38</f>
        <v>#N/A</v>
      </c>
      <c r="U38" s="278" t="e">
        <f t="shared" ca="1" si="5"/>
        <v>#N/A</v>
      </c>
      <c r="V38" s="278" t="e">
        <f t="shared" ref="V38:V80" ca="1" si="12">K38+(U38*(24-$U$3)+U37*$U$3)/24</f>
        <v>#N/A</v>
      </c>
      <c r="W38" s="278" t="e">
        <f t="shared" ref="W38:W80" ca="1" si="13">L38+(V38*(24-$V$3)+V37*$V$3)/24</f>
        <v>#N/A</v>
      </c>
      <c r="X38" t="e">
        <f t="shared" ref="X38:X80" ca="1" si="14">O38+(Y38*(24-$Y$3)+Y37*$Y$3)/24</f>
        <v>#N/A</v>
      </c>
      <c r="Y38" t="e">
        <f t="shared" ref="Y38:Y80" ca="1" si="15">P38+(W38*(24-$W$3)+W37*$W$3)/24</f>
        <v>#N/A</v>
      </c>
      <c r="Z38" t="e">
        <f t="shared" ref="Z38:Z80" ca="1" si="16">H38+S38+G38+0.1*(R38-S38-G38)</f>
        <v>#N/A</v>
      </c>
    </row>
    <row r="39" spans="1:26" x14ac:dyDescent="0.2">
      <c r="A39" s="273">
        <f t="shared" ref="A39:A102" ca="1" si="17">A38+1</f>
        <v>43838</v>
      </c>
      <c r="B39" s="279" t="e">
        <f ca="1">INDEX(RESULTADOS!$A:$BZ,MATCH($A39,RESULTADOS!$A:$A,0),MATCH(B$1,RESULTADOS!$1:$1,0))</f>
        <v>#N/A</v>
      </c>
      <c r="C39" s="178" t="e">
        <f t="shared" ca="1" si="6"/>
        <v>#N/A</v>
      </c>
      <c r="D39" s="178" t="e">
        <f t="shared" ca="1" si="6"/>
        <v>#N/A</v>
      </c>
      <c r="E39" s="178" t="e">
        <f t="shared" ca="1" si="6"/>
        <v>#N/A</v>
      </c>
      <c r="F39" s="178" t="e">
        <f t="shared" ca="1" si="6"/>
        <v>#N/A</v>
      </c>
      <c r="G39" s="279" t="e">
        <f t="shared" ref="G39:G70" ca="1" si="18">0.8103*C39+0.185</f>
        <v>#N/A</v>
      </c>
      <c r="H39" s="279" t="e">
        <f t="shared" ref="H39:H70" ca="1" si="19">C39-G39</f>
        <v>#N/A</v>
      </c>
      <c r="I39" s="178" t="e">
        <f ca="1">INDEX(RESULTADOS!$A:$BZ,MATCH($A39,RESULTADOS!$A:$A,0),MATCH(I$1,RESULTADOS!$1:$1,0))</f>
        <v>#N/A</v>
      </c>
      <c r="J39" s="178" t="e">
        <f ca="1">INDEX(RESULTADOS!$A:$BZ,MATCH($A39,RESULTADOS!$A:$A,0),MATCH(J$1,RESULTADOS!$1:$1,0))</f>
        <v>#N/A</v>
      </c>
      <c r="K39" s="279" t="e">
        <f t="shared" ca="1" si="7"/>
        <v>#N/A</v>
      </c>
      <c r="L39" s="279" t="e">
        <f t="shared" ca="1" si="7"/>
        <v>#N/A</v>
      </c>
      <c r="M39" s="178" t="e">
        <f ca="1">INDEX(RESULTADOS!$A:$BZ,MATCH($A39,RESULTADOS!$A:$A,0),MATCH(M$1,RESULTADOS!$1:$1,0))</f>
        <v>#N/A</v>
      </c>
      <c r="N39" s="178"/>
      <c r="O39" s="278" t="e">
        <f t="shared" ca="1" si="8"/>
        <v>#N/A</v>
      </c>
      <c r="P39" s="278" t="e">
        <f t="shared" ca="1" si="8"/>
        <v>#N/A</v>
      </c>
      <c r="Q39" s="278" t="e">
        <f t="shared" ca="1" si="9"/>
        <v>#N/A</v>
      </c>
      <c r="R39" s="278" t="e">
        <f t="shared" ref="R39:R80" ca="1" si="20">D39+(T39*(24-$T$3)+T38*$T$3)/24+(S39*(24-$S$3)+T38*$S$3)/24+G39</f>
        <v>#N/A</v>
      </c>
      <c r="S39" s="278" t="e">
        <f t="shared" ca="1" si="10"/>
        <v>#N/A</v>
      </c>
      <c r="T39" s="278" t="e">
        <f t="shared" ca="1" si="11"/>
        <v>#N/A</v>
      </c>
      <c r="U39" s="278" t="e">
        <f t="shared" ca="1" si="5"/>
        <v>#N/A</v>
      </c>
      <c r="V39" s="278" t="e">
        <f t="shared" ca="1" si="12"/>
        <v>#N/A</v>
      </c>
      <c r="W39" s="278" t="e">
        <f t="shared" ca="1" si="13"/>
        <v>#N/A</v>
      </c>
      <c r="X39" t="e">
        <f t="shared" ca="1" si="14"/>
        <v>#N/A</v>
      </c>
      <c r="Y39" t="e">
        <f t="shared" ca="1" si="15"/>
        <v>#N/A</v>
      </c>
      <c r="Z39" t="e">
        <f t="shared" ca="1" si="16"/>
        <v>#N/A</v>
      </c>
    </row>
    <row r="40" spans="1:26" x14ac:dyDescent="0.2">
      <c r="A40" s="189">
        <f t="shared" ca="1" si="17"/>
        <v>43839</v>
      </c>
      <c r="B40" s="190" t="e">
        <f ca="1">INDEX(RESULTADOS!$A:$BZ,MATCH($A40,RESULTADOS!$A:$A,0),MATCH(B$1,RESULTADOS!$1:$1,0))</f>
        <v>#N/A</v>
      </c>
      <c r="C40" s="192" t="e">
        <f t="shared" ca="1" si="6"/>
        <v>#N/A</v>
      </c>
      <c r="D40" s="192" t="e">
        <f t="shared" ca="1" si="6"/>
        <v>#N/A</v>
      </c>
      <c r="E40" s="192" t="e">
        <f t="shared" ca="1" si="6"/>
        <v>#N/A</v>
      </c>
      <c r="F40" s="192" t="e">
        <f t="shared" ca="1" si="6"/>
        <v>#N/A</v>
      </c>
      <c r="G40" s="190" t="e">
        <f t="shared" ca="1" si="18"/>
        <v>#N/A</v>
      </c>
      <c r="H40" s="190" t="e">
        <f t="shared" ca="1" si="19"/>
        <v>#N/A</v>
      </c>
      <c r="I40" s="192" t="e">
        <f ca="1">INDEX(RESULTADOS!$A:$BZ,MATCH($A40,RESULTADOS!$A:$A,0),MATCH(I$1,RESULTADOS!$1:$1,0))</f>
        <v>#N/A</v>
      </c>
      <c r="J40" s="192" t="e">
        <f ca="1">INDEX(RESULTADOS!$A:$BZ,MATCH($A40,RESULTADOS!$A:$A,0),MATCH(J$1,RESULTADOS!$1:$1,0))</f>
        <v>#N/A</v>
      </c>
      <c r="K40" s="190" t="e">
        <f t="shared" ca="1" si="7"/>
        <v>#N/A</v>
      </c>
      <c r="L40" s="190" t="e">
        <f t="shared" ca="1" si="7"/>
        <v>#N/A</v>
      </c>
      <c r="M40" s="192" t="e">
        <f ca="1">INDEX(RESULTADOS!$A:$BZ,MATCH($A40,RESULTADOS!$A:$A,0),MATCH(M$1,RESULTADOS!$1:$1,0))</f>
        <v>#N/A</v>
      </c>
      <c r="N40" s="192"/>
      <c r="O40" s="278" t="e">
        <f t="shared" ca="1" si="8"/>
        <v>#N/A</v>
      </c>
      <c r="P40" s="278" t="e">
        <f t="shared" ca="1" si="8"/>
        <v>#N/A</v>
      </c>
      <c r="Q40" s="278" t="e">
        <f t="shared" ca="1" si="9"/>
        <v>#N/A</v>
      </c>
      <c r="R40" s="278" t="e">
        <f t="shared" ca="1" si="20"/>
        <v>#N/A</v>
      </c>
      <c r="S40" s="278" t="e">
        <f t="shared" ca="1" si="10"/>
        <v>#N/A</v>
      </c>
      <c r="T40" s="278" t="e">
        <f t="shared" ca="1" si="11"/>
        <v>#N/A</v>
      </c>
      <c r="U40" s="278" t="e">
        <f t="shared" ca="1" si="5"/>
        <v>#N/A</v>
      </c>
      <c r="V40" s="278" t="e">
        <f t="shared" ca="1" si="12"/>
        <v>#N/A</v>
      </c>
      <c r="W40" s="278" t="e">
        <f t="shared" ca="1" si="13"/>
        <v>#N/A</v>
      </c>
      <c r="X40" t="e">
        <f t="shared" ca="1" si="14"/>
        <v>#N/A</v>
      </c>
      <c r="Y40" t="e">
        <f t="shared" ca="1" si="15"/>
        <v>#N/A</v>
      </c>
      <c r="Z40" t="e">
        <f t="shared" ca="1" si="16"/>
        <v>#N/A</v>
      </c>
    </row>
    <row r="41" spans="1:26" x14ac:dyDescent="0.2">
      <c r="A41" s="193">
        <f t="shared" ca="1" si="17"/>
        <v>43840</v>
      </c>
      <c r="B41" s="194" t="e">
        <f ca="1">INDEX(RESULTADOS!$A:$BZ,MATCH($A41,RESULTADOS!$A:$A,0),MATCH(B$1,RESULTADOS!$1:$1,0))</f>
        <v>#N/A</v>
      </c>
      <c r="C41" s="196" t="e">
        <f t="shared" ca="1" si="6"/>
        <v>#N/A</v>
      </c>
      <c r="D41" s="196" t="e">
        <f t="shared" ca="1" si="6"/>
        <v>#N/A</v>
      </c>
      <c r="E41" s="196" t="e">
        <f t="shared" ca="1" si="6"/>
        <v>#N/A</v>
      </c>
      <c r="F41" s="196" t="e">
        <f t="shared" ca="1" si="6"/>
        <v>#N/A</v>
      </c>
      <c r="G41" s="194" t="e">
        <f t="shared" ca="1" si="18"/>
        <v>#N/A</v>
      </c>
      <c r="H41" s="194" t="e">
        <f t="shared" ca="1" si="19"/>
        <v>#N/A</v>
      </c>
      <c r="I41" s="196" t="e">
        <f ca="1">INDEX(RESULTADOS!$A:$BZ,MATCH($A41,RESULTADOS!$A:$A,0),MATCH(I$1,RESULTADOS!$1:$1,0))</f>
        <v>#N/A</v>
      </c>
      <c r="J41" s="196" t="e">
        <f ca="1">INDEX(RESULTADOS!$A:$BZ,MATCH($A41,RESULTADOS!$A:$A,0),MATCH(J$1,RESULTADOS!$1:$1,0))</f>
        <v>#N/A</v>
      </c>
      <c r="K41" s="194" t="e">
        <f t="shared" ca="1" si="7"/>
        <v>#N/A</v>
      </c>
      <c r="L41" s="194" t="e">
        <f t="shared" ca="1" si="7"/>
        <v>#N/A</v>
      </c>
      <c r="M41" s="196" t="e">
        <f ca="1">INDEX(RESULTADOS!$A:$BZ,MATCH($A41,RESULTADOS!$A:$A,0),MATCH(M$1,RESULTADOS!$1:$1,0))</f>
        <v>#N/A</v>
      </c>
      <c r="N41" s="196"/>
      <c r="O41" s="278" t="e">
        <f t="shared" ca="1" si="8"/>
        <v>#N/A</v>
      </c>
      <c r="P41" s="278" t="e">
        <f t="shared" ca="1" si="8"/>
        <v>#N/A</v>
      </c>
      <c r="Q41" s="278" t="e">
        <f t="shared" ca="1" si="9"/>
        <v>#N/A</v>
      </c>
      <c r="R41" s="278" t="e">
        <f t="shared" ca="1" si="20"/>
        <v>#N/A</v>
      </c>
      <c r="S41" s="278" t="e">
        <f t="shared" ca="1" si="10"/>
        <v>#N/A</v>
      </c>
      <c r="T41" s="278" t="e">
        <f t="shared" ca="1" si="11"/>
        <v>#N/A</v>
      </c>
      <c r="U41" s="278" t="e">
        <f t="shared" ca="1" si="5"/>
        <v>#N/A</v>
      </c>
      <c r="V41" s="278" t="e">
        <f t="shared" ca="1" si="12"/>
        <v>#N/A</v>
      </c>
      <c r="W41" s="278" t="e">
        <f t="shared" ca="1" si="13"/>
        <v>#N/A</v>
      </c>
      <c r="X41" t="e">
        <f t="shared" ca="1" si="14"/>
        <v>#N/A</v>
      </c>
      <c r="Y41" t="e">
        <f t="shared" ca="1" si="15"/>
        <v>#N/A</v>
      </c>
      <c r="Z41" t="e">
        <f t="shared" ca="1" si="16"/>
        <v>#N/A</v>
      </c>
    </row>
    <row r="42" spans="1:26" x14ac:dyDescent="0.2">
      <c r="A42" s="193">
        <f t="shared" ca="1" si="17"/>
        <v>43841</v>
      </c>
      <c r="B42" s="194" t="e">
        <f ca="1">INDEX(RESULTADOS!$A:$BZ,MATCH($A42,RESULTADOS!$A:$A,0),MATCH(B$1,RESULTADOS!$1:$1,0))</f>
        <v>#N/A</v>
      </c>
      <c r="C42" s="196" t="e">
        <f t="shared" ca="1" si="6"/>
        <v>#N/A</v>
      </c>
      <c r="D42" s="196" t="e">
        <f t="shared" ca="1" si="6"/>
        <v>#N/A</v>
      </c>
      <c r="E42" s="196" t="e">
        <f t="shared" ca="1" si="6"/>
        <v>#N/A</v>
      </c>
      <c r="F42" s="196" t="e">
        <f t="shared" ca="1" si="6"/>
        <v>#N/A</v>
      </c>
      <c r="G42" s="194" t="e">
        <f t="shared" ca="1" si="18"/>
        <v>#N/A</v>
      </c>
      <c r="H42" s="194" t="e">
        <f t="shared" ca="1" si="19"/>
        <v>#N/A</v>
      </c>
      <c r="I42" s="196" t="e">
        <f ca="1">INDEX(RESULTADOS!$A:$BZ,MATCH($A42,RESULTADOS!$A:$A,0),MATCH(I$1,RESULTADOS!$1:$1,0))</f>
        <v>#N/A</v>
      </c>
      <c r="J42" s="196" t="e">
        <f ca="1">INDEX(RESULTADOS!$A:$BZ,MATCH($A42,RESULTADOS!$A:$A,0),MATCH(J$1,RESULTADOS!$1:$1,0))</f>
        <v>#N/A</v>
      </c>
      <c r="K42" s="194" t="e">
        <f t="shared" ca="1" si="7"/>
        <v>#N/A</v>
      </c>
      <c r="L42" s="194" t="e">
        <f t="shared" ca="1" si="7"/>
        <v>#N/A</v>
      </c>
      <c r="M42" s="196" t="e">
        <f ca="1">INDEX(RESULTADOS!$A:$BZ,MATCH($A42,RESULTADOS!$A:$A,0),MATCH(M$1,RESULTADOS!$1:$1,0))</f>
        <v>#N/A</v>
      </c>
      <c r="N42" s="196"/>
      <c r="O42" s="278" t="e">
        <f t="shared" ca="1" si="8"/>
        <v>#N/A</v>
      </c>
      <c r="P42" s="278" t="e">
        <f t="shared" ca="1" si="8"/>
        <v>#N/A</v>
      </c>
      <c r="Q42" s="278" t="e">
        <f t="shared" ca="1" si="9"/>
        <v>#N/A</v>
      </c>
      <c r="R42" s="278" t="e">
        <f t="shared" ca="1" si="20"/>
        <v>#N/A</v>
      </c>
      <c r="S42" s="278" t="e">
        <f t="shared" ca="1" si="10"/>
        <v>#N/A</v>
      </c>
      <c r="T42" s="278" t="e">
        <f t="shared" ca="1" si="11"/>
        <v>#N/A</v>
      </c>
      <c r="U42" s="278" t="e">
        <f t="shared" ca="1" si="5"/>
        <v>#N/A</v>
      </c>
      <c r="V42" s="278" t="e">
        <f t="shared" ca="1" si="12"/>
        <v>#N/A</v>
      </c>
      <c r="W42" s="278" t="e">
        <f t="shared" ca="1" si="13"/>
        <v>#N/A</v>
      </c>
      <c r="X42" t="e">
        <f t="shared" ca="1" si="14"/>
        <v>#N/A</v>
      </c>
      <c r="Y42" t="e">
        <f t="shared" ca="1" si="15"/>
        <v>#N/A</v>
      </c>
      <c r="Z42" t="e">
        <f t="shared" ca="1" si="16"/>
        <v>#N/A</v>
      </c>
    </row>
    <row r="43" spans="1:26" x14ac:dyDescent="0.2">
      <c r="A43" s="193">
        <f t="shared" ca="1" si="17"/>
        <v>43842</v>
      </c>
      <c r="B43" s="194" t="e">
        <f ca="1">INDEX(RESULTADOS!$A:$BZ,MATCH($A43,RESULTADOS!$A:$A,0),MATCH(B$1,RESULTADOS!$1:$1,0))</f>
        <v>#N/A</v>
      </c>
      <c r="C43" s="196" t="e">
        <f t="shared" ca="1" si="6"/>
        <v>#N/A</v>
      </c>
      <c r="D43" s="196" t="e">
        <f t="shared" ca="1" si="6"/>
        <v>#N/A</v>
      </c>
      <c r="E43" s="196" t="e">
        <f t="shared" ca="1" si="6"/>
        <v>#N/A</v>
      </c>
      <c r="F43" s="196" t="e">
        <f t="shared" ca="1" si="6"/>
        <v>#N/A</v>
      </c>
      <c r="G43" s="194" t="e">
        <f t="shared" ca="1" si="18"/>
        <v>#N/A</v>
      </c>
      <c r="H43" s="194" t="e">
        <f t="shared" ca="1" si="19"/>
        <v>#N/A</v>
      </c>
      <c r="I43" s="196" t="e">
        <f ca="1">INDEX(RESULTADOS!$A:$BZ,MATCH($A43,RESULTADOS!$A:$A,0),MATCH(I$1,RESULTADOS!$1:$1,0))</f>
        <v>#N/A</v>
      </c>
      <c r="J43" s="196" t="e">
        <f ca="1">INDEX(RESULTADOS!$A:$BZ,MATCH($A43,RESULTADOS!$A:$A,0),MATCH(J$1,RESULTADOS!$1:$1,0))</f>
        <v>#N/A</v>
      </c>
      <c r="K43" s="194" t="e">
        <f t="shared" ca="1" si="7"/>
        <v>#N/A</v>
      </c>
      <c r="L43" s="194" t="e">
        <f t="shared" ca="1" si="7"/>
        <v>#N/A</v>
      </c>
      <c r="M43" s="196" t="e">
        <f ca="1">INDEX(RESULTADOS!$A:$BZ,MATCH($A43,RESULTADOS!$A:$A,0),MATCH(M$1,RESULTADOS!$1:$1,0))</f>
        <v>#N/A</v>
      </c>
      <c r="N43" s="196"/>
      <c r="O43" s="278" t="e">
        <f t="shared" ca="1" si="8"/>
        <v>#N/A</v>
      </c>
      <c r="P43" s="278" t="e">
        <f t="shared" ca="1" si="8"/>
        <v>#N/A</v>
      </c>
      <c r="Q43" s="278" t="e">
        <f t="shared" ca="1" si="9"/>
        <v>#N/A</v>
      </c>
      <c r="R43" s="278" t="e">
        <f t="shared" ca="1" si="20"/>
        <v>#N/A</v>
      </c>
      <c r="S43" s="278" t="e">
        <f t="shared" ca="1" si="10"/>
        <v>#N/A</v>
      </c>
      <c r="T43" s="278" t="e">
        <f t="shared" ca="1" si="11"/>
        <v>#N/A</v>
      </c>
      <c r="U43" s="278" t="e">
        <f t="shared" ca="1" si="5"/>
        <v>#N/A</v>
      </c>
      <c r="V43" s="278" t="e">
        <f t="shared" ca="1" si="12"/>
        <v>#N/A</v>
      </c>
      <c r="W43" s="278" t="e">
        <f t="shared" ca="1" si="13"/>
        <v>#N/A</v>
      </c>
      <c r="X43" t="e">
        <f t="shared" ca="1" si="14"/>
        <v>#N/A</v>
      </c>
      <c r="Y43" t="e">
        <f t="shared" ca="1" si="15"/>
        <v>#N/A</v>
      </c>
      <c r="Z43" t="e">
        <f t="shared" ca="1" si="16"/>
        <v>#N/A</v>
      </c>
    </row>
    <row r="44" spans="1:26" x14ac:dyDescent="0.2">
      <c r="A44" s="193">
        <f t="shared" ca="1" si="17"/>
        <v>43843</v>
      </c>
      <c r="B44" s="194" t="e">
        <f ca="1">INDEX(RESULTADOS!$A:$BZ,MATCH($A44,RESULTADOS!$A:$A,0),MATCH(B$1,RESULTADOS!$1:$1,0))</f>
        <v>#N/A</v>
      </c>
      <c r="C44" s="196" t="e">
        <f t="shared" ca="1" si="6"/>
        <v>#N/A</v>
      </c>
      <c r="D44" s="196" t="e">
        <f t="shared" ca="1" si="6"/>
        <v>#N/A</v>
      </c>
      <c r="E44" s="196" t="e">
        <f t="shared" ca="1" si="6"/>
        <v>#N/A</v>
      </c>
      <c r="F44" s="196" t="e">
        <f t="shared" ca="1" si="6"/>
        <v>#N/A</v>
      </c>
      <c r="G44" s="194" t="e">
        <f t="shared" ca="1" si="18"/>
        <v>#N/A</v>
      </c>
      <c r="H44" s="194" t="e">
        <f t="shared" ca="1" si="19"/>
        <v>#N/A</v>
      </c>
      <c r="I44" s="196" t="e">
        <f ca="1">INDEX(RESULTADOS!$A:$BZ,MATCH($A44,RESULTADOS!$A:$A,0),MATCH(I$1,RESULTADOS!$1:$1,0))</f>
        <v>#N/A</v>
      </c>
      <c r="J44" s="196" t="e">
        <f ca="1">INDEX(RESULTADOS!$A:$BZ,MATCH($A44,RESULTADOS!$A:$A,0),MATCH(J$1,RESULTADOS!$1:$1,0))</f>
        <v>#N/A</v>
      </c>
      <c r="K44" s="194" t="e">
        <f t="shared" ca="1" si="7"/>
        <v>#N/A</v>
      </c>
      <c r="L44" s="194" t="e">
        <f t="shared" ca="1" si="7"/>
        <v>#N/A</v>
      </c>
      <c r="M44" s="196" t="e">
        <f ca="1">INDEX(RESULTADOS!$A:$BZ,MATCH($A44,RESULTADOS!$A:$A,0),MATCH(M$1,RESULTADOS!$1:$1,0))</f>
        <v>#N/A</v>
      </c>
      <c r="N44" s="196"/>
      <c r="O44" s="278" t="e">
        <f t="shared" ca="1" si="8"/>
        <v>#N/A</v>
      </c>
      <c r="P44" s="278" t="e">
        <f t="shared" ca="1" si="8"/>
        <v>#N/A</v>
      </c>
      <c r="Q44" s="278" t="e">
        <f t="shared" ca="1" si="9"/>
        <v>#N/A</v>
      </c>
      <c r="R44" s="278" t="e">
        <f t="shared" ca="1" si="20"/>
        <v>#N/A</v>
      </c>
      <c r="S44" s="278" t="e">
        <f t="shared" ca="1" si="10"/>
        <v>#N/A</v>
      </c>
      <c r="T44" s="278" t="e">
        <f t="shared" ca="1" si="11"/>
        <v>#N/A</v>
      </c>
      <c r="U44" s="278" t="e">
        <f t="shared" ca="1" si="5"/>
        <v>#N/A</v>
      </c>
      <c r="V44" s="278" t="e">
        <f t="shared" ca="1" si="12"/>
        <v>#N/A</v>
      </c>
      <c r="W44" s="278" t="e">
        <f t="shared" ca="1" si="13"/>
        <v>#N/A</v>
      </c>
      <c r="X44" t="e">
        <f t="shared" ca="1" si="14"/>
        <v>#N/A</v>
      </c>
      <c r="Y44" t="e">
        <f t="shared" ca="1" si="15"/>
        <v>#N/A</v>
      </c>
      <c r="Z44" t="e">
        <f t="shared" ca="1" si="16"/>
        <v>#N/A</v>
      </c>
    </row>
    <row r="45" spans="1:26" x14ac:dyDescent="0.2">
      <c r="A45" s="193">
        <f t="shared" ca="1" si="17"/>
        <v>43844</v>
      </c>
      <c r="B45" s="194" t="e">
        <f ca="1">INDEX(RESULTADOS!$A:$BZ,MATCH($A45,RESULTADOS!$A:$A,0),MATCH(B$1,RESULTADOS!$1:$1,0))</f>
        <v>#N/A</v>
      </c>
      <c r="C45" s="196" t="e">
        <f t="shared" ca="1" si="6"/>
        <v>#N/A</v>
      </c>
      <c r="D45" s="196" t="e">
        <f t="shared" ca="1" si="6"/>
        <v>#N/A</v>
      </c>
      <c r="E45" s="196" t="e">
        <f t="shared" ca="1" si="6"/>
        <v>#N/A</v>
      </c>
      <c r="F45" s="196" t="e">
        <f t="shared" ca="1" si="6"/>
        <v>#N/A</v>
      </c>
      <c r="G45" s="194" t="e">
        <f t="shared" ca="1" si="18"/>
        <v>#N/A</v>
      </c>
      <c r="H45" s="194" t="e">
        <f t="shared" ca="1" si="19"/>
        <v>#N/A</v>
      </c>
      <c r="I45" s="196" t="e">
        <f ca="1">INDEX(RESULTADOS!$A:$BZ,MATCH($A45,RESULTADOS!$A:$A,0),MATCH(I$1,RESULTADOS!$1:$1,0))</f>
        <v>#N/A</v>
      </c>
      <c r="J45" s="196" t="e">
        <f ca="1">INDEX(RESULTADOS!$A:$BZ,MATCH($A45,RESULTADOS!$A:$A,0),MATCH(J$1,RESULTADOS!$1:$1,0))</f>
        <v>#N/A</v>
      </c>
      <c r="K45" s="194" t="e">
        <f t="shared" ca="1" si="7"/>
        <v>#N/A</v>
      </c>
      <c r="L45" s="194" t="e">
        <f t="shared" ca="1" si="7"/>
        <v>#N/A</v>
      </c>
      <c r="M45" s="196" t="e">
        <f ca="1">INDEX(RESULTADOS!$A:$BZ,MATCH($A45,RESULTADOS!$A:$A,0),MATCH(M$1,RESULTADOS!$1:$1,0))</f>
        <v>#N/A</v>
      </c>
      <c r="N45" s="196"/>
      <c r="O45" s="278" t="e">
        <f t="shared" ca="1" si="8"/>
        <v>#N/A</v>
      </c>
      <c r="P45" s="278" t="e">
        <f t="shared" ca="1" si="8"/>
        <v>#N/A</v>
      </c>
      <c r="Q45" s="278" t="e">
        <f t="shared" ca="1" si="9"/>
        <v>#N/A</v>
      </c>
      <c r="R45" s="278" t="e">
        <f t="shared" ca="1" si="20"/>
        <v>#N/A</v>
      </c>
      <c r="S45" s="278" t="e">
        <f t="shared" ca="1" si="10"/>
        <v>#N/A</v>
      </c>
      <c r="T45" s="278" t="e">
        <f t="shared" ca="1" si="11"/>
        <v>#N/A</v>
      </c>
      <c r="U45" s="278" t="e">
        <f t="shared" ca="1" si="5"/>
        <v>#N/A</v>
      </c>
      <c r="V45" s="278" t="e">
        <f t="shared" ca="1" si="12"/>
        <v>#N/A</v>
      </c>
      <c r="W45" s="278" t="e">
        <f t="shared" ca="1" si="13"/>
        <v>#N/A</v>
      </c>
      <c r="X45" t="e">
        <f t="shared" ca="1" si="14"/>
        <v>#N/A</v>
      </c>
      <c r="Y45" t="e">
        <f t="shared" ca="1" si="15"/>
        <v>#N/A</v>
      </c>
      <c r="Z45" t="e">
        <f t="shared" ca="1" si="16"/>
        <v>#N/A</v>
      </c>
    </row>
    <row r="46" spans="1:26" x14ac:dyDescent="0.2">
      <c r="A46" s="197">
        <f t="shared" ca="1" si="17"/>
        <v>43845</v>
      </c>
      <c r="B46" s="198" t="e">
        <f ca="1">INDEX(RESULTADOS!$A:$BZ,MATCH($A46,RESULTADOS!$A:$A,0),MATCH(B$1,RESULTADOS!$1:$1,0))</f>
        <v>#N/A</v>
      </c>
      <c r="C46" s="200" t="e">
        <f t="shared" ca="1" si="6"/>
        <v>#N/A</v>
      </c>
      <c r="D46" s="200" t="e">
        <f t="shared" ca="1" si="6"/>
        <v>#N/A</v>
      </c>
      <c r="E46" s="200" t="e">
        <f t="shared" ca="1" si="6"/>
        <v>#N/A</v>
      </c>
      <c r="F46" s="200" t="e">
        <f t="shared" ca="1" si="6"/>
        <v>#N/A</v>
      </c>
      <c r="G46" s="198" t="e">
        <f t="shared" ca="1" si="18"/>
        <v>#N/A</v>
      </c>
      <c r="H46" s="198" t="e">
        <f t="shared" ca="1" si="19"/>
        <v>#N/A</v>
      </c>
      <c r="I46" s="200" t="e">
        <f ca="1">INDEX(RESULTADOS!$A:$BZ,MATCH($A46,RESULTADOS!$A:$A,0),MATCH(I$1,RESULTADOS!$1:$1,0))</f>
        <v>#N/A</v>
      </c>
      <c r="J46" s="200" t="e">
        <f ca="1">INDEX(RESULTADOS!$A:$BZ,MATCH($A46,RESULTADOS!$A:$A,0),MATCH(J$1,RESULTADOS!$1:$1,0))</f>
        <v>#N/A</v>
      </c>
      <c r="K46" s="198" t="e">
        <f t="shared" ca="1" si="7"/>
        <v>#N/A</v>
      </c>
      <c r="L46" s="198" t="e">
        <f t="shared" ca="1" si="7"/>
        <v>#N/A</v>
      </c>
      <c r="M46" s="200" t="e">
        <f ca="1">INDEX(RESULTADOS!$A:$BZ,MATCH($A46,RESULTADOS!$A:$A,0),MATCH(M$1,RESULTADOS!$1:$1,0))</f>
        <v>#N/A</v>
      </c>
      <c r="N46" s="200"/>
      <c r="O46" s="278" t="e">
        <f t="shared" ca="1" si="8"/>
        <v>#N/A</v>
      </c>
      <c r="P46" s="278" t="e">
        <f t="shared" ca="1" si="8"/>
        <v>#N/A</v>
      </c>
      <c r="Q46" s="278" t="e">
        <f t="shared" ca="1" si="9"/>
        <v>#N/A</v>
      </c>
      <c r="R46" s="278" t="e">
        <f t="shared" ca="1" si="20"/>
        <v>#N/A</v>
      </c>
      <c r="S46" s="278" t="e">
        <f t="shared" ca="1" si="10"/>
        <v>#N/A</v>
      </c>
      <c r="T46" s="278" t="e">
        <f t="shared" ca="1" si="11"/>
        <v>#N/A</v>
      </c>
      <c r="U46" s="278" t="e">
        <f t="shared" ca="1" si="5"/>
        <v>#N/A</v>
      </c>
      <c r="V46" s="278" t="e">
        <f t="shared" ca="1" si="12"/>
        <v>#N/A</v>
      </c>
      <c r="W46" s="278" t="e">
        <f t="shared" ca="1" si="13"/>
        <v>#N/A</v>
      </c>
      <c r="X46" t="e">
        <f t="shared" ca="1" si="14"/>
        <v>#N/A</v>
      </c>
      <c r="Y46" t="e">
        <f t="shared" ca="1" si="15"/>
        <v>#N/A</v>
      </c>
      <c r="Z46" t="e">
        <f t="shared" ca="1" si="16"/>
        <v>#N/A</v>
      </c>
    </row>
    <row r="47" spans="1:26" x14ac:dyDescent="0.2">
      <c r="A47" s="188">
        <f t="shared" ca="1" si="17"/>
        <v>43846</v>
      </c>
      <c r="B47" s="279" t="e">
        <f ca="1">INDEX(RESULTADOS!$A:$BZ,MATCH($A47,RESULTADOS!$A:$A,0),MATCH(B$1,RESULTADOS!$1:$1,0))</f>
        <v>#N/A</v>
      </c>
      <c r="C47" s="178" t="e">
        <f t="shared" ca="1" si="6"/>
        <v>#N/A</v>
      </c>
      <c r="D47" s="178" t="e">
        <f t="shared" ca="1" si="6"/>
        <v>#N/A</v>
      </c>
      <c r="E47" s="178" t="e">
        <f t="shared" ca="1" si="6"/>
        <v>#N/A</v>
      </c>
      <c r="F47" s="178" t="e">
        <f t="shared" ca="1" si="6"/>
        <v>#N/A</v>
      </c>
      <c r="G47" s="279" t="e">
        <f t="shared" ca="1" si="18"/>
        <v>#N/A</v>
      </c>
      <c r="H47" s="279" t="e">
        <f t="shared" ca="1" si="19"/>
        <v>#N/A</v>
      </c>
      <c r="I47" s="178" t="e">
        <f ca="1">INDEX(RESULTADOS!$A:$BZ,MATCH($A47,RESULTADOS!$A:$A,0),MATCH(I$1,RESULTADOS!$1:$1,0))</f>
        <v>#N/A</v>
      </c>
      <c r="J47" s="178" t="e">
        <f ca="1">INDEX(RESULTADOS!$A:$BZ,MATCH($A47,RESULTADOS!$A:$A,0),MATCH(J$1,RESULTADOS!$1:$1,0))</f>
        <v>#N/A</v>
      </c>
      <c r="K47" s="279" t="e">
        <f t="shared" ca="1" si="7"/>
        <v>#N/A</v>
      </c>
      <c r="L47" s="279" t="e">
        <f t="shared" ca="1" si="7"/>
        <v>#N/A</v>
      </c>
      <c r="M47" s="178" t="e">
        <f ca="1">INDEX(RESULTADOS!$A:$BZ,MATCH($A47,RESULTADOS!$A:$A,0),MATCH(M$1,RESULTADOS!$1:$1,0))</f>
        <v>#N/A</v>
      </c>
      <c r="N47" s="178"/>
      <c r="O47" s="278" t="e">
        <f t="shared" ca="1" si="8"/>
        <v>#N/A</v>
      </c>
      <c r="P47" s="278" t="e">
        <f t="shared" ca="1" si="8"/>
        <v>#N/A</v>
      </c>
      <c r="Q47" s="278" t="e">
        <f t="shared" ca="1" si="9"/>
        <v>#N/A</v>
      </c>
      <c r="R47" s="278" t="e">
        <f t="shared" ca="1" si="20"/>
        <v>#N/A</v>
      </c>
      <c r="S47" s="278" t="e">
        <f t="shared" ca="1" si="10"/>
        <v>#N/A</v>
      </c>
      <c r="T47" s="278" t="e">
        <f t="shared" ca="1" si="11"/>
        <v>#N/A</v>
      </c>
      <c r="U47" s="278" t="e">
        <f t="shared" ca="1" si="5"/>
        <v>#N/A</v>
      </c>
      <c r="V47" s="278" t="e">
        <f t="shared" ca="1" si="12"/>
        <v>#N/A</v>
      </c>
      <c r="W47" s="278" t="e">
        <f t="shared" ca="1" si="13"/>
        <v>#N/A</v>
      </c>
      <c r="X47" t="e">
        <f t="shared" ca="1" si="14"/>
        <v>#N/A</v>
      </c>
      <c r="Y47" t="e">
        <f t="shared" ca="1" si="15"/>
        <v>#N/A</v>
      </c>
      <c r="Z47" t="e">
        <f t="shared" ca="1" si="16"/>
        <v>#N/A</v>
      </c>
    </row>
    <row r="48" spans="1:26" x14ac:dyDescent="0.2">
      <c r="A48" s="273">
        <f t="shared" ca="1" si="17"/>
        <v>43847</v>
      </c>
      <c r="B48" s="279" t="e">
        <f ca="1">INDEX(RESULTADOS!$A:$BZ,MATCH($A48,RESULTADOS!$A:$A,0),MATCH(B$1,RESULTADOS!$1:$1,0))</f>
        <v>#N/A</v>
      </c>
      <c r="C48" s="178" t="e">
        <f t="shared" ca="1" si="6"/>
        <v>#N/A</v>
      </c>
      <c r="D48" s="178" t="e">
        <f t="shared" ca="1" si="6"/>
        <v>#N/A</v>
      </c>
      <c r="E48" s="178" t="e">
        <f t="shared" ca="1" si="6"/>
        <v>#N/A</v>
      </c>
      <c r="F48" s="178" t="e">
        <f t="shared" ca="1" si="6"/>
        <v>#N/A</v>
      </c>
      <c r="G48" s="279" t="e">
        <f t="shared" ca="1" si="18"/>
        <v>#N/A</v>
      </c>
      <c r="H48" s="279" t="e">
        <f t="shared" ca="1" si="19"/>
        <v>#N/A</v>
      </c>
      <c r="I48" s="178" t="e">
        <f ca="1">INDEX(RESULTADOS!$A:$BZ,MATCH($A48,RESULTADOS!$A:$A,0),MATCH(I$1,RESULTADOS!$1:$1,0))</f>
        <v>#N/A</v>
      </c>
      <c r="J48" s="178" t="e">
        <f ca="1">INDEX(RESULTADOS!$A:$BZ,MATCH($A48,RESULTADOS!$A:$A,0),MATCH(J$1,RESULTADOS!$1:$1,0))</f>
        <v>#N/A</v>
      </c>
      <c r="K48" s="279" t="e">
        <f t="shared" ca="1" si="7"/>
        <v>#N/A</v>
      </c>
      <c r="L48" s="279" t="e">
        <f t="shared" ca="1" si="7"/>
        <v>#N/A</v>
      </c>
      <c r="M48" s="178" t="e">
        <f ca="1">INDEX(RESULTADOS!$A:$BZ,MATCH($A48,RESULTADOS!$A:$A,0),MATCH(M$1,RESULTADOS!$1:$1,0))</f>
        <v>#N/A</v>
      </c>
      <c r="N48" s="178"/>
      <c r="O48" s="278" t="e">
        <f t="shared" ca="1" si="8"/>
        <v>#N/A</v>
      </c>
      <c r="P48" s="278" t="e">
        <f t="shared" ca="1" si="8"/>
        <v>#N/A</v>
      </c>
      <c r="Q48" s="278" t="e">
        <f t="shared" ca="1" si="9"/>
        <v>#N/A</v>
      </c>
      <c r="R48" s="278" t="e">
        <f t="shared" ca="1" si="20"/>
        <v>#N/A</v>
      </c>
      <c r="S48" s="278" t="e">
        <f t="shared" ca="1" si="10"/>
        <v>#N/A</v>
      </c>
      <c r="T48" s="278" t="e">
        <f t="shared" ca="1" si="11"/>
        <v>#N/A</v>
      </c>
      <c r="U48" s="278" t="e">
        <f t="shared" ca="1" si="5"/>
        <v>#N/A</v>
      </c>
      <c r="V48" s="278" t="e">
        <f t="shared" ca="1" si="12"/>
        <v>#N/A</v>
      </c>
      <c r="W48" s="278" t="e">
        <f t="shared" ca="1" si="13"/>
        <v>#N/A</v>
      </c>
      <c r="X48" t="e">
        <f t="shared" ca="1" si="14"/>
        <v>#N/A</v>
      </c>
      <c r="Y48" t="e">
        <f t="shared" ca="1" si="15"/>
        <v>#N/A</v>
      </c>
      <c r="Z48" t="e">
        <f t="shared" ca="1" si="16"/>
        <v>#N/A</v>
      </c>
    </row>
    <row r="49" spans="1:26" x14ac:dyDescent="0.2">
      <c r="A49" s="273">
        <f t="shared" ca="1" si="17"/>
        <v>43848</v>
      </c>
      <c r="B49" s="279" t="e">
        <f ca="1">INDEX(RESULTADOS!$A:$BZ,MATCH($A49,RESULTADOS!$A:$A,0),MATCH(B$1,RESULTADOS!$1:$1,0))</f>
        <v>#N/A</v>
      </c>
      <c r="C49" s="178" t="e">
        <f t="shared" ca="1" si="6"/>
        <v>#N/A</v>
      </c>
      <c r="D49" s="178" t="e">
        <f t="shared" ca="1" si="6"/>
        <v>#N/A</v>
      </c>
      <c r="E49" s="178" t="e">
        <f t="shared" ca="1" si="6"/>
        <v>#N/A</v>
      </c>
      <c r="F49" s="178" t="e">
        <f t="shared" ca="1" si="6"/>
        <v>#N/A</v>
      </c>
      <c r="G49" s="279" t="e">
        <f t="shared" ca="1" si="18"/>
        <v>#N/A</v>
      </c>
      <c r="H49" s="279" t="e">
        <f t="shared" ca="1" si="19"/>
        <v>#N/A</v>
      </c>
      <c r="I49" s="178" t="e">
        <f ca="1">INDEX(RESULTADOS!$A:$BZ,MATCH($A49,RESULTADOS!$A:$A,0),MATCH(I$1,RESULTADOS!$1:$1,0))</f>
        <v>#N/A</v>
      </c>
      <c r="J49" s="178" t="e">
        <f ca="1">INDEX(RESULTADOS!$A:$BZ,MATCH($A49,RESULTADOS!$A:$A,0),MATCH(J$1,RESULTADOS!$1:$1,0))</f>
        <v>#N/A</v>
      </c>
      <c r="K49" s="279" t="e">
        <f t="shared" ca="1" si="7"/>
        <v>#N/A</v>
      </c>
      <c r="L49" s="279" t="e">
        <f t="shared" ca="1" si="7"/>
        <v>#N/A</v>
      </c>
      <c r="M49" s="178" t="e">
        <f ca="1">INDEX(RESULTADOS!$A:$BZ,MATCH($A49,RESULTADOS!$A:$A,0),MATCH(M$1,RESULTADOS!$1:$1,0))</f>
        <v>#N/A</v>
      </c>
      <c r="N49" s="178"/>
      <c r="O49" s="278" t="e">
        <f t="shared" ca="1" si="8"/>
        <v>#N/A</v>
      </c>
      <c r="P49" s="278" t="e">
        <f t="shared" ca="1" si="8"/>
        <v>#N/A</v>
      </c>
      <c r="Q49" s="278" t="e">
        <f t="shared" ca="1" si="9"/>
        <v>#N/A</v>
      </c>
      <c r="R49" s="278" t="e">
        <f t="shared" ca="1" si="20"/>
        <v>#N/A</v>
      </c>
      <c r="S49" s="278" t="e">
        <f t="shared" ca="1" si="10"/>
        <v>#N/A</v>
      </c>
      <c r="T49" s="278" t="e">
        <f t="shared" ca="1" si="11"/>
        <v>#N/A</v>
      </c>
      <c r="U49" s="278" t="e">
        <f t="shared" ca="1" si="5"/>
        <v>#N/A</v>
      </c>
      <c r="V49" s="278" t="e">
        <f t="shared" ca="1" si="12"/>
        <v>#N/A</v>
      </c>
      <c r="W49" s="278" t="e">
        <f t="shared" ca="1" si="13"/>
        <v>#N/A</v>
      </c>
      <c r="X49" t="e">
        <f t="shared" ca="1" si="14"/>
        <v>#N/A</v>
      </c>
      <c r="Y49" t="e">
        <f t="shared" ca="1" si="15"/>
        <v>#N/A</v>
      </c>
      <c r="Z49" t="e">
        <f t="shared" ca="1" si="16"/>
        <v>#N/A</v>
      </c>
    </row>
    <row r="50" spans="1:26" x14ac:dyDescent="0.2">
      <c r="A50" s="273">
        <f t="shared" ca="1" si="17"/>
        <v>43849</v>
      </c>
      <c r="B50" s="279" t="e">
        <f ca="1">INDEX(RESULTADOS!$A:$BZ,MATCH($A50,RESULTADOS!$A:$A,0),MATCH(B$1,RESULTADOS!$1:$1,0))</f>
        <v>#N/A</v>
      </c>
      <c r="C50" s="178" t="e">
        <f t="shared" ca="1" si="6"/>
        <v>#N/A</v>
      </c>
      <c r="D50" s="178" t="e">
        <f t="shared" ca="1" si="6"/>
        <v>#N/A</v>
      </c>
      <c r="E50" s="178" t="e">
        <f t="shared" ca="1" si="6"/>
        <v>#N/A</v>
      </c>
      <c r="F50" s="178" t="e">
        <f t="shared" ca="1" si="6"/>
        <v>#N/A</v>
      </c>
      <c r="G50" s="279" t="e">
        <f t="shared" ca="1" si="18"/>
        <v>#N/A</v>
      </c>
      <c r="H50" s="279" t="e">
        <f t="shared" ca="1" si="19"/>
        <v>#N/A</v>
      </c>
      <c r="I50" s="178" t="e">
        <f ca="1">INDEX(RESULTADOS!$A:$BZ,MATCH($A50,RESULTADOS!$A:$A,0),MATCH(I$1,RESULTADOS!$1:$1,0))</f>
        <v>#N/A</v>
      </c>
      <c r="J50" s="178" t="e">
        <f ca="1">INDEX(RESULTADOS!$A:$BZ,MATCH($A50,RESULTADOS!$A:$A,0),MATCH(J$1,RESULTADOS!$1:$1,0))</f>
        <v>#N/A</v>
      </c>
      <c r="K50" s="279" t="e">
        <f t="shared" ca="1" si="7"/>
        <v>#N/A</v>
      </c>
      <c r="L50" s="279" t="e">
        <f t="shared" ca="1" si="7"/>
        <v>#N/A</v>
      </c>
      <c r="M50" s="178" t="e">
        <f ca="1">INDEX(RESULTADOS!$A:$BZ,MATCH($A50,RESULTADOS!$A:$A,0),MATCH(M$1,RESULTADOS!$1:$1,0))</f>
        <v>#N/A</v>
      </c>
      <c r="N50" s="178"/>
      <c r="O50" s="278" t="e">
        <f t="shared" ca="1" si="8"/>
        <v>#N/A</v>
      </c>
      <c r="P50" s="278" t="e">
        <f t="shared" ca="1" si="8"/>
        <v>#N/A</v>
      </c>
      <c r="Q50" s="278" t="e">
        <f t="shared" ca="1" si="9"/>
        <v>#N/A</v>
      </c>
      <c r="R50" s="278" t="e">
        <f t="shared" ca="1" si="20"/>
        <v>#N/A</v>
      </c>
      <c r="S50" s="278" t="e">
        <f t="shared" ca="1" si="10"/>
        <v>#N/A</v>
      </c>
      <c r="T50" s="278" t="e">
        <f t="shared" ca="1" si="11"/>
        <v>#N/A</v>
      </c>
      <c r="U50" s="278" t="e">
        <f t="shared" ca="1" si="5"/>
        <v>#N/A</v>
      </c>
      <c r="V50" s="278" t="e">
        <f t="shared" ca="1" si="12"/>
        <v>#N/A</v>
      </c>
      <c r="W50" s="278" t="e">
        <f t="shared" ca="1" si="13"/>
        <v>#N/A</v>
      </c>
      <c r="X50" t="e">
        <f t="shared" ca="1" si="14"/>
        <v>#N/A</v>
      </c>
      <c r="Y50" t="e">
        <f t="shared" ca="1" si="15"/>
        <v>#N/A</v>
      </c>
      <c r="Z50" t="e">
        <f t="shared" ca="1" si="16"/>
        <v>#N/A</v>
      </c>
    </row>
    <row r="51" spans="1:26" x14ac:dyDescent="0.2">
      <c r="A51" s="273">
        <f t="shared" ca="1" si="17"/>
        <v>43850</v>
      </c>
      <c r="B51" s="279" t="e">
        <f ca="1">INDEX(RESULTADOS!$A:$BZ,MATCH($A51,RESULTADOS!$A:$A,0),MATCH(B$1,RESULTADOS!$1:$1,0))</f>
        <v>#N/A</v>
      </c>
      <c r="C51" s="178" t="e">
        <f t="shared" ca="1" si="6"/>
        <v>#N/A</v>
      </c>
      <c r="D51" s="178" t="e">
        <f t="shared" ca="1" si="6"/>
        <v>#N/A</v>
      </c>
      <c r="E51" s="178" t="e">
        <f t="shared" ca="1" si="6"/>
        <v>#N/A</v>
      </c>
      <c r="F51" s="178" t="e">
        <f t="shared" ca="1" si="6"/>
        <v>#N/A</v>
      </c>
      <c r="G51" s="279" t="e">
        <f t="shared" ca="1" si="18"/>
        <v>#N/A</v>
      </c>
      <c r="H51" s="279" t="e">
        <f t="shared" ca="1" si="19"/>
        <v>#N/A</v>
      </c>
      <c r="I51" s="178" t="e">
        <f ca="1">INDEX(RESULTADOS!$A:$BZ,MATCH($A51,RESULTADOS!$A:$A,0),MATCH(I$1,RESULTADOS!$1:$1,0))</f>
        <v>#N/A</v>
      </c>
      <c r="J51" s="178" t="e">
        <f ca="1">INDEX(RESULTADOS!$A:$BZ,MATCH($A51,RESULTADOS!$A:$A,0),MATCH(J$1,RESULTADOS!$1:$1,0))</f>
        <v>#N/A</v>
      </c>
      <c r="K51" s="279" t="e">
        <f t="shared" ca="1" si="7"/>
        <v>#N/A</v>
      </c>
      <c r="L51" s="279" t="e">
        <f t="shared" ca="1" si="7"/>
        <v>#N/A</v>
      </c>
      <c r="M51" s="178" t="e">
        <f ca="1">INDEX(RESULTADOS!$A:$BZ,MATCH($A51,RESULTADOS!$A:$A,0),MATCH(M$1,RESULTADOS!$1:$1,0))</f>
        <v>#N/A</v>
      </c>
      <c r="N51" s="178"/>
      <c r="O51" s="278" t="e">
        <f t="shared" ca="1" si="8"/>
        <v>#N/A</v>
      </c>
      <c r="P51" s="278" t="e">
        <f t="shared" ca="1" si="8"/>
        <v>#N/A</v>
      </c>
      <c r="Q51" s="278" t="e">
        <f t="shared" ca="1" si="9"/>
        <v>#N/A</v>
      </c>
      <c r="R51" s="278" t="e">
        <f t="shared" ca="1" si="20"/>
        <v>#N/A</v>
      </c>
      <c r="S51" s="278" t="e">
        <f t="shared" ca="1" si="10"/>
        <v>#N/A</v>
      </c>
      <c r="T51" s="278" t="e">
        <f t="shared" ca="1" si="11"/>
        <v>#N/A</v>
      </c>
      <c r="U51" s="278" t="e">
        <f t="shared" ca="1" si="5"/>
        <v>#N/A</v>
      </c>
      <c r="V51" s="278" t="e">
        <f t="shared" ca="1" si="12"/>
        <v>#N/A</v>
      </c>
      <c r="W51" s="278" t="e">
        <f t="shared" ca="1" si="13"/>
        <v>#N/A</v>
      </c>
      <c r="X51" t="e">
        <f t="shared" ca="1" si="14"/>
        <v>#N/A</v>
      </c>
      <c r="Y51" t="e">
        <f t="shared" ca="1" si="15"/>
        <v>#N/A</v>
      </c>
      <c r="Z51" t="e">
        <f t="shared" ca="1" si="16"/>
        <v>#N/A</v>
      </c>
    </row>
    <row r="52" spans="1:26" x14ac:dyDescent="0.2">
      <c r="A52" s="273">
        <f t="shared" ca="1" si="17"/>
        <v>43851</v>
      </c>
      <c r="B52" s="279" t="e">
        <f ca="1">INDEX(RESULTADOS!$A:$BZ,MATCH($A52,RESULTADOS!$A:$A,0),MATCH(B$1,RESULTADOS!$1:$1,0))</f>
        <v>#N/A</v>
      </c>
      <c r="C52" s="178" t="e">
        <f t="shared" ca="1" si="6"/>
        <v>#N/A</v>
      </c>
      <c r="D52" s="178" t="e">
        <f t="shared" ca="1" si="6"/>
        <v>#N/A</v>
      </c>
      <c r="E52" s="178" t="e">
        <f t="shared" ca="1" si="6"/>
        <v>#N/A</v>
      </c>
      <c r="F52" s="178" t="e">
        <f t="shared" ca="1" si="6"/>
        <v>#N/A</v>
      </c>
      <c r="G52" s="279" t="e">
        <f t="shared" ca="1" si="18"/>
        <v>#N/A</v>
      </c>
      <c r="H52" s="279" t="e">
        <f t="shared" ca="1" si="19"/>
        <v>#N/A</v>
      </c>
      <c r="I52" s="178" t="e">
        <f ca="1">INDEX(RESULTADOS!$A:$BZ,MATCH($A52,RESULTADOS!$A:$A,0),MATCH(I$1,RESULTADOS!$1:$1,0))</f>
        <v>#N/A</v>
      </c>
      <c r="J52" s="178" t="e">
        <f ca="1">INDEX(RESULTADOS!$A:$BZ,MATCH($A52,RESULTADOS!$A:$A,0),MATCH(J$1,RESULTADOS!$1:$1,0))</f>
        <v>#N/A</v>
      </c>
      <c r="K52" s="279" t="e">
        <f t="shared" ca="1" si="7"/>
        <v>#N/A</v>
      </c>
      <c r="L52" s="279" t="e">
        <f t="shared" ca="1" si="7"/>
        <v>#N/A</v>
      </c>
      <c r="M52" s="178" t="e">
        <f ca="1">INDEX(RESULTADOS!$A:$BZ,MATCH($A52,RESULTADOS!$A:$A,0),MATCH(M$1,RESULTADOS!$1:$1,0))</f>
        <v>#N/A</v>
      </c>
      <c r="N52" s="178"/>
      <c r="O52" s="278" t="e">
        <f t="shared" ca="1" si="8"/>
        <v>#N/A</v>
      </c>
      <c r="P52" s="278" t="e">
        <f t="shared" ca="1" si="8"/>
        <v>#N/A</v>
      </c>
      <c r="Q52" s="278" t="e">
        <f t="shared" ca="1" si="9"/>
        <v>#N/A</v>
      </c>
      <c r="R52" s="278" t="e">
        <f t="shared" ca="1" si="20"/>
        <v>#N/A</v>
      </c>
      <c r="S52" s="278" t="e">
        <f t="shared" ca="1" si="10"/>
        <v>#N/A</v>
      </c>
      <c r="T52" s="278" t="e">
        <f t="shared" ca="1" si="11"/>
        <v>#N/A</v>
      </c>
      <c r="U52" s="278" t="e">
        <f t="shared" ca="1" si="5"/>
        <v>#N/A</v>
      </c>
      <c r="V52" s="278" t="e">
        <f t="shared" ca="1" si="12"/>
        <v>#N/A</v>
      </c>
      <c r="W52" s="278" t="e">
        <f t="shared" ca="1" si="13"/>
        <v>#N/A</v>
      </c>
      <c r="X52" t="e">
        <f t="shared" ca="1" si="14"/>
        <v>#N/A</v>
      </c>
      <c r="Y52" t="e">
        <f t="shared" ca="1" si="15"/>
        <v>#N/A</v>
      </c>
      <c r="Z52" t="e">
        <f t="shared" ca="1" si="16"/>
        <v>#N/A</v>
      </c>
    </row>
    <row r="53" spans="1:26" x14ac:dyDescent="0.2">
      <c r="A53" s="273">
        <f t="shared" ca="1" si="17"/>
        <v>43852</v>
      </c>
      <c r="B53" s="279" t="e">
        <f ca="1">INDEX(RESULTADOS!$A:$BZ,MATCH($A53,RESULTADOS!$A:$A,0),MATCH(B$1,RESULTADOS!$1:$1,0))</f>
        <v>#N/A</v>
      </c>
      <c r="C53" s="178" t="e">
        <f t="shared" ca="1" si="6"/>
        <v>#N/A</v>
      </c>
      <c r="D53" s="178" t="e">
        <f t="shared" ca="1" si="6"/>
        <v>#N/A</v>
      </c>
      <c r="E53" s="178" t="e">
        <f t="shared" ca="1" si="6"/>
        <v>#N/A</v>
      </c>
      <c r="F53" s="178" t="e">
        <f t="shared" ca="1" si="6"/>
        <v>#N/A</v>
      </c>
      <c r="G53" s="279" t="e">
        <f t="shared" ca="1" si="18"/>
        <v>#N/A</v>
      </c>
      <c r="H53" s="279" t="e">
        <f t="shared" ca="1" si="19"/>
        <v>#N/A</v>
      </c>
      <c r="I53" s="178" t="e">
        <f ca="1">INDEX(RESULTADOS!$A:$BZ,MATCH($A53,RESULTADOS!$A:$A,0),MATCH(I$1,RESULTADOS!$1:$1,0))</f>
        <v>#N/A</v>
      </c>
      <c r="J53" s="178" t="e">
        <f ca="1">INDEX(RESULTADOS!$A:$BZ,MATCH($A53,RESULTADOS!$A:$A,0),MATCH(J$1,RESULTADOS!$1:$1,0))</f>
        <v>#N/A</v>
      </c>
      <c r="K53" s="279" t="e">
        <f t="shared" ca="1" si="7"/>
        <v>#N/A</v>
      </c>
      <c r="L53" s="279" t="e">
        <f t="shared" ca="1" si="7"/>
        <v>#N/A</v>
      </c>
      <c r="M53" s="178" t="e">
        <f ca="1">INDEX(RESULTADOS!$A:$BZ,MATCH($A53,RESULTADOS!$A:$A,0),MATCH(M$1,RESULTADOS!$1:$1,0))</f>
        <v>#N/A</v>
      </c>
      <c r="N53" s="178"/>
      <c r="O53" s="278" t="e">
        <f t="shared" ca="1" si="8"/>
        <v>#N/A</v>
      </c>
      <c r="P53" s="278" t="e">
        <f t="shared" ca="1" si="8"/>
        <v>#N/A</v>
      </c>
      <c r="Q53" s="278" t="e">
        <f t="shared" ca="1" si="9"/>
        <v>#N/A</v>
      </c>
      <c r="R53" s="278" t="e">
        <f t="shared" ca="1" si="20"/>
        <v>#N/A</v>
      </c>
      <c r="S53" s="278" t="e">
        <f t="shared" ca="1" si="10"/>
        <v>#N/A</v>
      </c>
      <c r="T53" s="278" t="e">
        <f t="shared" ca="1" si="11"/>
        <v>#N/A</v>
      </c>
      <c r="U53" s="278" t="e">
        <f t="shared" ca="1" si="5"/>
        <v>#N/A</v>
      </c>
      <c r="V53" s="278" t="e">
        <f t="shared" ca="1" si="12"/>
        <v>#N/A</v>
      </c>
      <c r="W53" s="278" t="e">
        <f t="shared" ca="1" si="13"/>
        <v>#N/A</v>
      </c>
      <c r="X53" t="e">
        <f t="shared" ca="1" si="14"/>
        <v>#N/A</v>
      </c>
      <c r="Y53" t="e">
        <f t="shared" ca="1" si="15"/>
        <v>#N/A</v>
      </c>
      <c r="Z53" t="e">
        <f t="shared" ca="1" si="16"/>
        <v>#N/A</v>
      </c>
    </row>
    <row r="54" spans="1:26" x14ac:dyDescent="0.2">
      <c r="A54" s="82">
        <f t="shared" ca="1" si="17"/>
        <v>43853</v>
      </c>
      <c r="B54" s="279" t="e">
        <f ca="1">INDEX(RESULTADOS!$A:$BZ,MATCH($A54,RESULTADOS!$A:$A,0),MATCH(B$1,RESULTADOS!$1:$1,0))</f>
        <v>#N/A</v>
      </c>
      <c r="C54" s="178" t="e">
        <f t="shared" ca="1" si="6"/>
        <v>#N/A</v>
      </c>
      <c r="D54" s="178" t="e">
        <f t="shared" ca="1" si="6"/>
        <v>#N/A</v>
      </c>
      <c r="E54" s="178" t="e">
        <f t="shared" ca="1" si="6"/>
        <v>#N/A</v>
      </c>
      <c r="F54" s="178" t="e">
        <f t="shared" ca="1" si="6"/>
        <v>#N/A</v>
      </c>
      <c r="G54" s="279" t="e">
        <f t="shared" ca="1" si="18"/>
        <v>#N/A</v>
      </c>
      <c r="H54" s="279" t="e">
        <f t="shared" ca="1" si="19"/>
        <v>#N/A</v>
      </c>
      <c r="I54" s="178" t="e">
        <f ca="1">INDEX(RESULTADOS!$A:$BZ,MATCH($A54,RESULTADOS!$A:$A,0),MATCH(I$1,RESULTADOS!$1:$1,0))</f>
        <v>#N/A</v>
      </c>
      <c r="J54" s="178" t="e">
        <f ca="1">INDEX(RESULTADOS!$A:$BZ,MATCH($A54,RESULTADOS!$A:$A,0),MATCH(J$1,RESULTADOS!$1:$1,0))</f>
        <v>#N/A</v>
      </c>
      <c r="K54" s="279" t="e">
        <f t="shared" ca="1" si="7"/>
        <v>#N/A</v>
      </c>
      <c r="L54" s="279" t="e">
        <f t="shared" ca="1" si="7"/>
        <v>#N/A</v>
      </c>
      <c r="M54" s="178" t="e">
        <f ca="1">INDEX(RESULTADOS!$A:$BZ,MATCH($A54,RESULTADOS!$A:$A,0),MATCH(M$1,RESULTADOS!$1:$1,0))</f>
        <v>#N/A</v>
      </c>
      <c r="N54" s="178"/>
      <c r="O54" s="278" t="e">
        <f t="shared" ca="1" si="8"/>
        <v>#N/A</v>
      </c>
      <c r="P54" s="278" t="e">
        <f t="shared" ca="1" si="8"/>
        <v>#N/A</v>
      </c>
      <c r="Q54" s="278" t="e">
        <f t="shared" ca="1" si="9"/>
        <v>#N/A</v>
      </c>
      <c r="R54" s="278" t="e">
        <f t="shared" ca="1" si="20"/>
        <v>#N/A</v>
      </c>
      <c r="S54" s="278" t="e">
        <f t="shared" ca="1" si="10"/>
        <v>#N/A</v>
      </c>
      <c r="T54" s="278" t="e">
        <f t="shared" ca="1" si="11"/>
        <v>#N/A</v>
      </c>
      <c r="U54" s="278" t="e">
        <f t="shared" ca="1" si="5"/>
        <v>#N/A</v>
      </c>
      <c r="V54" s="278" t="e">
        <f t="shared" ca="1" si="12"/>
        <v>#N/A</v>
      </c>
      <c r="W54" s="278" t="e">
        <f t="shared" ca="1" si="13"/>
        <v>#N/A</v>
      </c>
      <c r="X54" t="e">
        <f t="shared" ca="1" si="14"/>
        <v>#N/A</v>
      </c>
      <c r="Y54" t="e">
        <f t="shared" ca="1" si="15"/>
        <v>#N/A</v>
      </c>
      <c r="Z54" t="e">
        <f t="shared" ca="1" si="16"/>
        <v>#N/A</v>
      </c>
    </row>
    <row r="55" spans="1:26" x14ac:dyDescent="0.2">
      <c r="A55" s="273">
        <f t="shared" ca="1" si="17"/>
        <v>43854</v>
      </c>
      <c r="B55" s="279" t="e">
        <f ca="1">INDEX(RESULTADOS!$A:$BZ,MATCH($A55,RESULTADOS!$A:$A,0),MATCH(B$1,RESULTADOS!$1:$1,0))</f>
        <v>#N/A</v>
      </c>
      <c r="C55" s="178" t="e">
        <f t="shared" ca="1" si="6"/>
        <v>#N/A</v>
      </c>
      <c r="D55" s="178" t="e">
        <f t="shared" ca="1" si="6"/>
        <v>#N/A</v>
      </c>
      <c r="E55" s="178" t="e">
        <f t="shared" ca="1" si="6"/>
        <v>#N/A</v>
      </c>
      <c r="F55" s="178" t="e">
        <f t="shared" ca="1" si="6"/>
        <v>#N/A</v>
      </c>
      <c r="G55" s="279" t="e">
        <f t="shared" ca="1" si="18"/>
        <v>#N/A</v>
      </c>
      <c r="H55" s="279" t="e">
        <f t="shared" ca="1" si="19"/>
        <v>#N/A</v>
      </c>
      <c r="I55" s="178" t="e">
        <f ca="1">INDEX(RESULTADOS!$A:$BZ,MATCH($A55,RESULTADOS!$A:$A,0),MATCH(I$1,RESULTADOS!$1:$1,0))</f>
        <v>#N/A</v>
      </c>
      <c r="J55" s="178" t="e">
        <f ca="1">INDEX(RESULTADOS!$A:$BZ,MATCH($A55,RESULTADOS!$A:$A,0),MATCH(J$1,RESULTADOS!$1:$1,0))</f>
        <v>#N/A</v>
      </c>
      <c r="K55" s="279" t="e">
        <f t="shared" ca="1" si="7"/>
        <v>#N/A</v>
      </c>
      <c r="L55" s="279" t="e">
        <f t="shared" ca="1" si="7"/>
        <v>#N/A</v>
      </c>
      <c r="M55" s="178" t="e">
        <f ca="1">INDEX(RESULTADOS!$A:$BZ,MATCH($A55,RESULTADOS!$A:$A,0),MATCH(M$1,RESULTADOS!$1:$1,0))</f>
        <v>#N/A</v>
      </c>
      <c r="N55" s="178"/>
      <c r="O55" s="278" t="e">
        <f t="shared" ca="1" si="8"/>
        <v>#N/A</v>
      </c>
      <c r="P55" s="278" t="e">
        <f t="shared" ca="1" si="8"/>
        <v>#N/A</v>
      </c>
      <c r="Q55" s="278" t="e">
        <f t="shared" ca="1" si="9"/>
        <v>#N/A</v>
      </c>
      <c r="R55" s="278" t="e">
        <f t="shared" ca="1" si="20"/>
        <v>#N/A</v>
      </c>
      <c r="S55" s="278" t="e">
        <f t="shared" ca="1" si="10"/>
        <v>#N/A</v>
      </c>
      <c r="T55" s="278" t="e">
        <f t="shared" ca="1" si="11"/>
        <v>#N/A</v>
      </c>
      <c r="U55" s="278" t="e">
        <f t="shared" ca="1" si="5"/>
        <v>#N/A</v>
      </c>
      <c r="V55" s="278" t="e">
        <f t="shared" ca="1" si="12"/>
        <v>#N/A</v>
      </c>
      <c r="W55" s="278" t="e">
        <f t="shared" ca="1" si="13"/>
        <v>#N/A</v>
      </c>
      <c r="X55" t="e">
        <f t="shared" ca="1" si="14"/>
        <v>#N/A</v>
      </c>
      <c r="Y55" t="e">
        <f t="shared" ca="1" si="15"/>
        <v>#N/A</v>
      </c>
      <c r="Z55" t="e">
        <f t="shared" ca="1" si="16"/>
        <v>#N/A</v>
      </c>
    </row>
    <row r="56" spans="1:26" x14ac:dyDescent="0.2">
      <c r="A56" s="273">
        <f t="shared" ca="1" si="17"/>
        <v>43855</v>
      </c>
      <c r="B56" s="279" t="e">
        <f ca="1">INDEX(RESULTADOS!$A:$BZ,MATCH($A56,RESULTADOS!$A:$A,0),MATCH(B$1,RESULTADOS!$1:$1,0))</f>
        <v>#N/A</v>
      </c>
      <c r="C56" s="178" t="e">
        <f t="shared" ca="1" si="6"/>
        <v>#N/A</v>
      </c>
      <c r="D56" s="178" t="e">
        <f t="shared" ca="1" si="6"/>
        <v>#N/A</v>
      </c>
      <c r="E56" s="178" t="e">
        <f t="shared" ca="1" si="6"/>
        <v>#N/A</v>
      </c>
      <c r="F56" s="178" t="e">
        <f t="shared" ca="1" si="6"/>
        <v>#N/A</v>
      </c>
      <c r="G56" s="279" t="e">
        <f t="shared" ca="1" si="18"/>
        <v>#N/A</v>
      </c>
      <c r="H56" s="279" t="e">
        <f t="shared" ca="1" si="19"/>
        <v>#N/A</v>
      </c>
      <c r="I56" s="178" t="e">
        <f ca="1">INDEX(RESULTADOS!$A:$BZ,MATCH($A56,RESULTADOS!$A:$A,0),MATCH(I$1,RESULTADOS!$1:$1,0))</f>
        <v>#N/A</v>
      </c>
      <c r="J56" s="178" t="e">
        <f ca="1">INDEX(RESULTADOS!$A:$BZ,MATCH($A56,RESULTADOS!$A:$A,0),MATCH(J$1,RESULTADOS!$1:$1,0))</f>
        <v>#N/A</v>
      </c>
      <c r="K56" s="279" t="e">
        <f t="shared" ca="1" si="7"/>
        <v>#N/A</v>
      </c>
      <c r="L56" s="279" t="e">
        <f t="shared" ca="1" si="7"/>
        <v>#N/A</v>
      </c>
      <c r="M56" s="178" t="e">
        <f ca="1">INDEX(RESULTADOS!$A:$BZ,MATCH($A56,RESULTADOS!$A:$A,0),MATCH(M$1,RESULTADOS!$1:$1,0))</f>
        <v>#N/A</v>
      </c>
      <c r="N56" s="178"/>
      <c r="O56" s="278" t="e">
        <f t="shared" ca="1" si="8"/>
        <v>#N/A</v>
      </c>
      <c r="P56" s="278" t="e">
        <f t="shared" ca="1" si="8"/>
        <v>#N/A</v>
      </c>
      <c r="Q56" s="278" t="e">
        <f t="shared" ca="1" si="9"/>
        <v>#N/A</v>
      </c>
      <c r="R56" s="278" t="e">
        <f t="shared" ca="1" si="20"/>
        <v>#N/A</v>
      </c>
      <c r="S56" s="278" t="e">
        <f t="shared" ca="1" si="10"/>
        <v>#N/A</v>
      </c>
      <c r="T56" s="278" t="e">
        <f t="shared" ca="1" si="11"/>
        <v>#N/A</v>
      </c>
      <c r="U56" s="278" t="e">
        <f t="shared" ca="1" si="5"/>
        <v>#N/A</v>
      </c>
      <c r="V56" s="278" t="e">
        <f t="shared" ca="1" si="12"/>
        <v>#N/A</v>
      </c>
      <c r="W56" s="278" t="e">
        <f t="shared" ca="1" si="13"/>
        <v>#N/A</v>
      </c>
      <c r="X56" t="e">
        <f t="shared" ca="1" si="14"/>
        <v>#N/A</v>
      </c>
      <c r="Y56" t="e">
        <f t="shared" ca="1" si="15"/>
        <v>#N/A</v>
      </c>
      <c r="Z56" t="e">
        <f t="shared" ca="1" si="16"/>
        <v>#N/A</v>
      </c>
    </row>
    <row r="57" spans="1:26" x14ac:dyDescent="0.2">
      <c r="A57" s="273">
        <f t="shared" ca="1" si="17"/>
        <v>43856</v>
      </c>
      <c r="B57" s="279" t="e">
        <f ca="1">INDEX(RESULTADOS!$A:$BZ,MATCH($A57,RESULTADOS!$A:$A,0),MATCH(B$1,RESULTADOS!$1:$1,0))</f>
        <v>#N/A</v>
      </c>
      <c r="C57" s="178" t="e">
        <f t="shared" ca="1" si="6"/>
        <v>#N/A</v>
      </c>
      <c r="D57" s="178" t="e">
        <f t="shared" ca="1" si="6"/>
        <v>#N/A</v>
      </c>
      <c r="E57" s="178" t="e">
        <f t="shared" ca="1" si="6"/>
        <v>#N/A</v>
      </c>
      <c r="F57" s="178" t="e">
        <f t="shared" ca="1" si="6"/>
        <v>#N/A</v>
      </c>
      <c r="G57" s="279" t="e">
        <f t="shared" ca="1" si="18"/>
        <v>#N/A</v>
      </c>
      <c r="H57" s="279" t="e">
        <f t="shared" ca="1" si="19"/>
        <v>#N/A</v>
      </c>
      <c r="I57" s="178" t="e">
        <f ca="1">INDEX(RESULTADOS!$A:$BZ,MATCH($A57,RESULTADOS!$A:$A,0),MATCH(I$1,RESULTADOS!$1:$1,0))</f>
        <v>#N/A</v>
      </c>
      <c r="J57" s="178" t="e">
        <f ca="1">INDEX(RESULTADOS!$A:$BZ,MATCH($A57,RESULTADOS!$A:$A,0),MATCH(J$1,RESULTADOS!$1:$1,0))</f>
        <v>#N/A</v>
      </c>
      <c r="K57" s="279" t="e">
        <f t="shared" ca="1" si="7"/>
        <v>#N/A</v>
      </c>
      <c r="L57" s="279" t="e">
        <f t="shared" ca="1" si="7"/>
        <v>#N/A</v>
      </c>
      <c r="M57" s="178" t="e">
        <f ca="1">INDEX(RESULTADOS!$A:$BZ,MATCH($A57,RESULTADOS!$A:$A,0),MATCH(M$1,RESULTADOS!$1:$1,0))</f>
        <v>#N/A</v>
      </c>
      <c r="N57" s="178"/>
      <c r="O57" s="278" t="e">
        <f t="shared" ca="1" si="8"/>
        <v>#N/A</v>
      </c>
      <c r="P57" s="278" t="e">
        <f t="shared" ca="1" si="8"/>
        <v>#N/A</v>
      </c>
      <c r="Q57" s="278" t="e">
        <f t="shared" ca="1" si="9"/>
        <v>#N/A</v>
      </c>
      <c r="R57" s="278" t="e">
        <f t="shared" ca="1" si="20"/>
        <v>#N/A</v>
      </c>
      <c r="S57" s="278" t="e">
        <f t="shared" ca="1" si="10"/>
        <v>#N/A</v>
      </c>
      <c r="T57" s="278" t="e">
        <f t="shared" ca="1" si="11"/>
        <v>#N/A</v>
      </c>
      <c r="U57" s="278" t="e">
        <f t="shared" ca="1" si="5"/>
        <v>#N/A</v>
      </c>
      <c r="V57" s="278" t="e">
        <f t="shared" ca="1" si="12"/>
        <v>#N/A</v>
      </c>
      <c r="W57" s="278" t="e">
        <f t="shared" ca="1" si="13"/>
        <v>#N/A</v>
      </c>
      <c r="X57" t="e">
        <f t="shared" ca="1" si="14"/>
        <v>#N/A</v>
      </c>
      <c r="Y57" t="e">
        <f t="shared" ca="1" si="15"/>
        <v>#N/A</v>
      </c>
      <c r="Z57" t="e">
        <f t="shared" ca="1" si="16"/>
        <v>#N/A</v>
      </c>
    </row>
    <row r="58" spans="1:26" x14ac:dyDescent="0.2">
      <c r="A58" s="273">
        <f t="shared" ca="1" si="17"/>
        <v>43857</v>
      </c>
      <c r="B58" s="279" t="e">
        <f ca="1">INDEX(RESULTADOS!$A:$BZ,MATCH($A58,RESULTADOS!$A:$A,0),MATCH(B$1,RESULTADOS!$1:$1,0))</f>
        <v>#N/A</v>
      </c>
      <c r="C58" s="178" t="e">
        <f t="shared" ref="C58:F81" ca="1" si="21">$B58*C$4</f>
        <v>#N/A</v>
      </c>
      <c r="D58" s="178" t="e">
        <f t="shared" ca="1" si="21"/>
        <v>#N/A</v>
      </c>
      <c r="E58" s="178" t="e">
        <f t="shared" ca="1" si="21"/>
        <v>#N/A</v>
      </c>
      <c r="F58" s="178" t="e">
        <f t="shared" ca="1" si="21"/>
        <v>#N/A</v>
      </c>
      <c r="G58" s="279" t="e">
        <f t="shared" ca="1" si="18"/>
        <v>#N/A</v>
      </c>
      <c r="H58" s="279" t="e">
        <f t="shared" ca="1" si="19"/>
        <v>#N/A</v>
      </c>
      <c r="I58" s="178" t="e">
        <f ca="1">INDEX(RESULTADOS!$A:$BZ,MATCH($A58,RESULTADOS!$A:$A,0),MATCH(I$1,RESULTADOS!$1:$1,0))</f>
        <v>#N/A</v>
      </c>
      <c r="J58" s="178" t="e">
        <f ca="1">INDEX(RESULTADOS!$A:$BZ,MATCH($A58,RESULTADOS!$A:$A,0),MATCH(J$1,RESULTADOS!$1:$1,0))</f>
        <v>#N/A</v>
      </c>
      <c r="K58" s="279" t="e">
        <f t="shared" ref="K58:L81" ca="1" si="22">$J58*K$4</f>
        <v>#N/A</v>
      </c>
      <c r="L58" s="279" t="e">
        <f t="shared" ca="1" si="22"/>
        <v>#N/A</v>
      </c>
      <c r="M58" s="178" t="e">
        <f ca="1">INDEX(RESULTADOS!$A:$BZ,MATCH($A58,RESULTADOS!$A:$A,0),MATCH(M$1,RESULTADOS!$1:$1,0))</f>
        <v>#N/A</v>
      </c>
      <c r="N58" s="178"/>
      <c r="O58" s="278" t="e">
        <f t="shared" ref="O58:P81" ca="1" si="23">$M58*O$4</f>
        <v>#N/A</v>
      </c>
      <c r="P58" s="278" t="e">
        <f t="shared" ca="1" si="23"/>
        <v>#N/A</v>
      </c>
      <c r="Q58" s="278" t="e">
        <f t="shared" ca="1" si="9"/>
        <v>#N/A</v>
      </c>
      <c r="R58" s="278" t="e">
        <f t="shared" ca="1" si="20"/>
        <v>#N/A</v>
      </c>
      <c r="S58" s="278" t="e">
        <f t="shared" ca="1" si="10"/>
        <v>#N/A</v>
      </c>
      <c r="T58" s="278" t="e">
        <f t="shared" ca="1" si="11"/>
        <v>#N/A</v>
      </c>
      <c r="U58" s="278" t="e">
        <f t="shared" ca="1" si="5"/>
        <v>#N/A</v>
      </c>
      <c r="V58" s="278" t="e">
        <f t="shared" ca="1" si="12"/>
        <v>#N/A</v>
      </c>
      <c r="W58" s="278" t="e">
        <f t="shared" ca="1" si="13"/>
        <v>#N/A</v>
      </c>
      <c r="X58" t="e">
        <f t="shared" ca="1" si="14"/>
        <v>#N/A</v>
      </c>
      <c r="Y58" t="e">
        <f t="shared" ca="1" si="15"/>
        <v>#N/A</v>
      </c>
      <c r="Z58" t="e">
        <f t="shared" ca="1" si="16"/>
        <v>#N/A</v>
      </c>
    </row>
    <row r="59" spans="1:26" x14ac:dyDescent="0.2">
      <c r="A59" s="273">
        <f t="shared" ca="1" si="17"/>
        <v>43858</v>
      </c>
      <c r="B59" s="279" t="e">
        <f ca="1">INDEX(RESULTADOS!$A:$BZ,MATCH($A59,RESULTADOS!$A:$A,0),MATCH(B$1,RESULTADOS!$1:$1,0))</f>
        <v>#N/A</v>
      </c>
      <c r="C59" s="178" t="e">
        <f t="shared" ca="1" si="21"/>
        <v>#N/A</v>
      </c>
      <c r="D59" s="178" t="e">
        <f t="shared" ca="1" si="21"/>
        <v>#N/A</v>
      </c>
      <c r="E59" s="178" t="e">
        <f t="shared" ca="1" si="21"/>
        <v>#N/A</v>
      </c>
      <c r="F59" s="178" t="e">
        <f t="shared" ca="1" si="21"/>
        <v>#N/A</v>
      </c>
      <c r="G59" s="279" t="e">
        <f t="shared" ca="1" si="18"/>
        <v>#N/A</v>
      </c>
      <c r="H59" s="279" t="e">
        <f t="shared" ca="1" si="19"/>
        <v>#N/A</v>
      </c>
      <c r="I59" s="178" t="e">
        <f ca="1">INDEX(RESULTADOS!$A:$BZ,MATCH($A59,RESULTADOS!$A:$A,0),MATCH(I$1,RESULTADOS!$1:$1,0))</f>
        <v>#N/A</v>
      </c>
      <c r="J59" s="178" t="e">
        <f ca="1">INDEX(RESULTADOS!$A:$BZ,MATCH($A59,RESULTADOS!$A:$A,0),MATCH(J$1,RESULTADOS!$1:$1,0))</f>
        <v>#N/A</v>
      </c>
      <c r="K59" s="279" t="e">
        <f t="shared" ca="1" si="22"/>
        <v>#N/A</v>
      </c>
      <c r="L59" s="279" t="e">
        <f t="shared" ca="1" si="22"/>
        <v>#N/A</v>
      </c>
      <c r="M59" s="178" t="e">
        <f ca="1">INDEX(RESULTADOS!$A:$BZ,MATCH($A59,RESULTADOS!$A:$A,0),MATCH(M$1,RESULTADOS!$1:$1,0))</f>
        <v>#N/A</v>
      </c>
      <c r="N59" s="178"/>
      <c r="O59" s="278" t="e">
        <f t="shared" ca="1" si="23"/>
        <v>#N/A</v>
      </c>
      <c r="P59" s="278" t="e">
        <f t="shared" ca="1" si="23"/>
        <v>#N/A</v>
      </c>
      <c r="Q59" s="278" t="e">
        <f t="shared" ca="1" si="9"/>
        <v>#N/A</v>
      </c>
      <c r="R59" s="278" t="e">
        <f t="shared" ca="1" si="20"/>
        <v>#N/A</v>
      </c>
      <c r="S59" s="278" t="e">
        <f t="shared" ca="1" si="10"/>
        <v>#N/A</v>
      </c>
      <c r="T59" s="278" t="e">
        <f t="shared" ca="1" si="11"/>
        <v>#N/A</v>
      </c>
      <c r="U59" s="278" t="e">
        <f t="shared" ca="1" si="5"/>
        <v>#N/A</v>
      </c>
      <c r="V59" s="278" t="e">
        <f t="shared" ca="1" si="12"/>
        <v>#N/A</v>
      </c>
      <c r="W59" s="278" t="e">
        <f t="shared" ca="1" si="13"/>
        <v>#N/A</v>
      </c>
      <c r="X59" t="e">
        <f t="shared" ca="1" si="14"/>
        <v>#N/A</v>
      </c>
      <c r="Y59" t="e">
        <f t="shared" ca="1" si="15"/>
        <v>#N/A</v>
      </c>
      <c r="Z59" t="e">
        <f t="shared" ca="1" si="16"/>
        <v>#N/A</v>
      </c>
    </row>
    <row r="60" spans="1:26" x14ac:dyDescent="0.2">
      <c r="A60" s="273">
        <f t="shared" ca="1" si="17"/>
        <v>43859</v>
      </c>
      <c r="B60" s="279" t="e">
        <f ca="1">INDEX(RESULTADOS!$A:$BZ,MATCH($A60,RESULTADOS!$A:$A,0),MATCH(B$1,RESULTADOS!$1:$1,0))</f>
        <v>#N/A</v>
      </c>
      <c r="C60" s="178" t="e">
        <f t="shared" ca="1" si="21"/>
        <v>#N/A</v>
      </c>
      <c r="D60" s="178" t="e">
        <f t="shared" ca="1" si="21"/>
        <v>#N/A</v>
      </c>
      <c r="E60" s="178" t="e">
        <f t="shared" ca="1" si="21"/>
        <v>#N/A</v>
      </c>
      <c r="F60" s="178" t="e">
        <f t="shared" ca="1" si="21"/>
        <v>#N/A</v>
      </c>
      <c r="G60" s="279" t="e">
        <f t="shared" ca="1" si="18"/>
        <v>#N/A</v>
      </c>
      <c r="H60" s="279" t="e">
        <f t="shared" ca="1" si="19"/>
        <v>#N/A</v>
      </c>
      <c r="I60" s="178" t="e">
        <f ca="1">INDEX(RESULTADOS!$A:$BZ,MATCH($A60,RESULTADOS!$A:$A,0),MATCH(I$1,RESULTADOS!$1:$1,0))</f>
        <v>#N/A</v>
      </c>
      <c r="J60" s="178" t="e">
        <f ca="1">INDEX(RESULTADOS!$A:$BZ,MATCH($A60,RESULTADOS!$A:$A,0),MATCH(J$1,RESULTADOS!$1:$1,0))</f>
        <v>#N/A</v>
      </c>
      <c r="K60" s="279" t="e">
        <f t="shared" ca="1" si="22"/>
        <v>#N/A</v>
      </c>
      <c r="L60" s="279" t="e">
        <f t="shared" ca="1" si="22"/>
        <v>#N/A</v>
      </c>
      <c r="M60" s="178" t="e">
        <f ca="1">INDEX(RESULTADOS!$A:$BZ,MATCH($A60,RESULTADOS!$A:$A,0),MATCH(M$1,RESULTADOS!$1:$1,0))</f>
        <v>#N/A</v>
      </c>
      <c r="N60" s="178"/>
      <c r="O60" s="278" t="e">
        <f t="shared" ca="1" si="23"/>
        <v>#N/A</v>
      </c>
      <c r="P60" s="278" t="e">
        <f t="shared" ca="1" si="23"/>
        <v>#N/A</v>
      </c>
      <c r="Q60" s="278" t="e">
        <f t="shared" ca="1" si="9"/>
        <v>#N/A</v>
      </c>
      <c r="R60" s="278" t="e">
        <f t="shared" ca="1" si="20"/>
        <v>#N/A</v>
      </c>
      <c r="S60" s="278" t="e">
        <f t="shared" ca="1" si="10"/>
        <v>#N/A</v>
      </c>
      <c r="T60" s="278" t="e">
        <f t="shared" ca="1" si="11"/>
        <v>#N/A</v>
      </c>
      <c r="U60" s="278" t="e">
        <f t="shared" ca="1" si="5"/>
        <v>#N/A</v>
      </c>
      <c r="V60" s="278" t="e">
        <f t="shared" ca="1" si="12"/>
        <v>#N/A</v>
      </c>
      <c r="W60" s="278" t="e">
        <f t="shared" ca="1" si="13"/>
        <v>#N/A</v>
      </c>
      <c r="X60" t="e">
        <f t="shared" ca="1" si="14"/>
        <v>#N/A</v>
      </c>
      <c r="Y60" t="e">
        <f t="shared" ca="1" si="15"/>
        <v>#N/A</v>
      </c>
      <c r="Z60" t="e">
        <f t="shared" ca="1" si="16"/>
        <v>#N/A</v>
      </c>
    </row>
    <row r="61" spans="1:26" x14ac:dyDescent="0.2">
      <c r="A61" s="82">
        <f t="shared" ca="1" si="17"/>
        <v>43860</v>
      </c>
      <c r="B61" s="279" t="e">
        <f ca="1">INDEX(RESULTADOS!$A:$BZ,MATCH($A61,RESULTADOS!$A:$A,0),MATCH(B$1,RESULTADOS!$1:$1,0))</f>
        <v>#N/A</v>
      </c>
      <c r="C61" s="178" t="e">
        <f t="shared" ca="1" si="21"/>
        <v>#N/A</v>
      </c>
      <c r="D61" s="178" t="e">
        <f t="shared" ca="1" si="21"/>
        <v>#N/A</v>
      </c>
      <c r="E61" s="178" t="e">
        <f t="shared" ca="1" si="21"/>
        <v>#N/A</v>
      </c>
      <c r="F61" s="178" t="e">
        <f t="shared" ca="1" si="21"/>
        <v>#N/A</v>
      </c>
      <c r="G61" s="279" t="e">
        <f t="shared" ca="1" si="18"/>
        <v>#N/A</v>
      </c>
      <c r="H61" s="279" t="e">
        <f t="shared" ca="1" si="19"/>
        <v>#N/A</v>
      </c>
      <c r="I61" s="178" t="e">
        <f ca="1">INDEX(RESULTADOS!$A:$BZ,MATCH($A61,RESULTADOS!$A:$A,0),MATCH(I$1,RESULTADOS!$1:$1,0))</f>
        <v>#N/A</v>
      </c>
      <c r="J61" s="178" t="e">
        <f ca="1">INDEX(RESULTADOS!$A:$BZ,MATCH($A61,RESULTADOS!$A:$A,0),MATCH(J$1,RESULTADOS!$1:$1,0))</f>
        <v>#N/A</v>
      </c>
      <c r="K61" s="279" t="e">
        <f t="shared" ca="1" si="22"/>
        <v>#N/A</v>
      </c>
      <c r="L61" s="279" t="e">
        <f t="shared" ca="1" si="22"/>
        <v>#N/A</v>
      </c>
      <c r="M61" s="178" t="e">
        <f ca="1">INDEX(RESULTADOS!$A:$BZ,MATCH($A61,RESULTADOS!$A:$A,0),MATCH(M$1,RESULTADOS!$1:$1,0))</f>
        <v>#N/A</v>
      </c>
      <c r="N61" s="178"/>
      <c r="O61" s="278" t="e">
        <f t="shared" ca="1" si="23"/>
        <v>#N/A</v>
      </c>
      <c r="P61" s="278" t="e">
        <f t="shared" ca="1" si="23"/>
        <v>#N/A</v>
      </c>
      <c r="Q61" s="278" t="e">
        <f t="shared" ca="1" si="9"/>
        <v>#N/A</v>
      </c>
      <c r="R61" s="278" t="e">
        <f t="shared" ca="1" si="20"/>
        <v>#N/A</v>
      </c>
      <c r="S61" s="278" t="e">
        <f t="shared" ca="1" si="10"/>
        <v>#N/A</v>
      </c>
      <c r="T61" s="278" t="e">
        <f t="shared" ca="1" si="11"/>
        <v>#N/A</v>
      </c>
      <c r="U61" s="278" t="e">
        <f t="shared" ca="1" si="5"/>
        <v>#N/A</v>
      </c>
      <c r="V61" s="278" t="e">
        <f t="shared" ca="1" si="12"/>
        <v>#N/A</v>
      </c>
      <c r="W61" s="278" t="e">
        <f t="shared" ca="1" si="13"/>
        <v>#N/A</v>
      </c>
      <c r="X61" t="e">
        <f t="shared" ca="1" si="14"/>
        <v>#N/A</v>
      </c>
      <c r="Y61" t="e">
        <f t="shared" ca="1" si="15"/>
        <v>#N/A</v>
      </c>
      <c r="Z61" t="e">
        <f t="shared" ca="1" si="16"/>
        <v>#N/A</v>
      </c>
    </row>
    <row r="62" spans="1:26" x14ac:dyDescent="0.2">
      <c r="A62" s="273">
        <f t="shared" ca="1" si="17"/>
        <v>43861</v>
      </c>
      <c r="B62" s="279" t="e">
        <f ca="1">INDEX(RESULTADOS!$A:$BZ,MATCH($A62,RESULTADOS!$A:$A,0),MATCH(B$1,RESULTADOS!$1:$1,0))</f>
        <v>#N/A</v>
      </c>
      <c r="C62" s="178" t="e">
        <f t="shared" ca="1" si="21"/>
        <v>#N/A</v>
      </c>
      <c r="D62" s="178" t="e">
        <f t="shared" ca="1" si="21"/>
        <v>#N/A</v>
      </c>
      <c r="E62" s="178" t="e">
        <f t="shared" ca="1" si="21"/>
        <v>#N/A</v>
      </c>
      <c r="F62" s="178" t="e">
        <f t="shared" ca="1" si="21"/>
        <v>#N/A</v>
      </c>
      <c r="G62" s="279" t="e">
        <f t="shared" ca="1" si="18"/>
        <v>#N/A</v>
      </c>
      <c r="H62" s="279" t="e">
        <f t="shared" ca="1" si="19"/>
        <v>#N/A</v>
      </c>
      <c r="I62" s="178" t="e">
        <f ca="1">INDEX(RESULTADOS!$A:$BZ,MATCH($A62,RESULTADOS!$A:$A,0),MATCH(I$1,RESULTADOS!$1:$1,0))</f>
        <v>#N/A</v>
      </c>
      <c r="J62" s="178" t="e">
        <f ca="1">INDEX(RESULTADOS!$A:$BZ,MATCH($A62,RESULTADOS!$A:$A,0),MATCH(J$1,RESULTADOS!$1:$1,0))</f>
        <v>#N/A</v>
      </c>
      <c r="K62" s="279" t="e">
        <f t="shared" ca="1" si="22"/>
        <v>#N/A</v>
      </c>
      <c r="L62" s="279" t="e">
        <f t="shared" ca="1" si="22"/>
        <v>#N/A</v>
      </c>
      <c r="M62" s="178" t="e">
        <f ca="1">INDEX(RESULTADOS!$A:$BZ,MATCH($A62,RESULTADOS!$A:$A,0),MATCH(M$1,RESULTADOS!$1:$1,0))</f>
        <v>#N/A</v>
      </c>
      <c r="N62" s="178"/>
      <c r="O62" s="278" t="e">
        <f t="shared" ca="1" si="23"/>
        <v>#N/A</v>
      </c>
      <c r="P62" s="278" t="e">
        <f t="shared" ca="1" si="23"/>
        <v>#N/A</v>
      </c>
      <c r="Q62" s="278" t="e">
        <f t="shared" ca="1" si="9"/>
        <v>#N/A</v>
      </c>
      <c r="R62" s="278" t="e">
        <f t="shared" ca="1" si="20"/>
        <v>#N/A</v>
      </c>
      <c r="S62" s="278" t="e">
        <f t="shared" ca="1" si="10"/>
        <v>#N/A</v>
      </c>
      <c r="T62" s="278" t="e">
        <f t="shared" ca="1" si="11"/>
        <v>#N/A</v>
      </c>
      <c r="U62" s="278" t="e">
        <f t="shared" ca="1" si="5"/>
        <v>#N/A</v>
      </c>
      <c r="V62" s="278" t="e">
        <f t="shared" ca="1" si="12"/>
        <v>#N/A</v>
      </c>
      <c r="W62" s="278" t="e">
        <f t="shared" ca="1" si="13"/>
        <v>#N/A</v>
      </c>
      <c r="X62" t="e">
        <f t="shared" ca="1" si="14"/>
        <v>#N/A</v>
      </c>
      <c r="Y62" t="e">
        <f t="shared" ca="1" si="15"/>
        <v>#N/A</v>
      </c>
      <c r="Z62" t="e">
        <f t="shared" ca="1" si="16"/>
        <v>#N/A</v>
      </c>
    </row>
    <row r="63" spans="1:26" x14ac:dyDescent="0.2">
      <c r="A63" s="273">
        <f t="shared" ca="1" si="17"/>
        <v>43862</v>
      </c>
      <c r="B63" s="279" t="e">
        <f ca="1">INDEX(RESULTADOS!$A:$BZ,MATCH($A63,RESULTADOS!$A:$A,0),MATCH(B$1,RESULTADOS!$1:$1,0))</f>
        <v>#N/A</v>
      </c>
      <c r="C63" s="178" t="e">
        <f t="shared" ca="1" si="21"/>
        <v>#N/A</v>
      </c>
      <c r="D63" s="178" t="e">
        <f t="shared" ca="1" si="21"/>
        <v>#N/A</v>
      </c>
      <c r="E63" s="178" t="e">
        <f t="shared" ca="1" si="21"/>
        <v>#N/A</v>
      </c>
      <c r="F63" s="178" t="e">
        <f t="shared" ca="1" si="21"/>
        <v>#N/A</v>
      </c>
      <c r="G63" s="279" t="e">
        <f t="shared" ca="1" si="18"/>
        <v>#N/A</v>
      </c>
      <c r="H63" s="279" t="e">
        <f t="shared" ca="1" si="19"/>
        <v>#N/A</v>
      </c>
      <c r="I63" s="178" t="e">
        <f ca="1">INDEX(RESULTADOS!$A:$BZ,MATCH($A63,RESULTADOS!$A:$A,0),MATCH(I$1,RESULTADOS!$1:$1,0))</f>
        <v>#N/A</v>
      </c>
      <c r="J63" s="178" t="e">
        <f ca="1">INDEX(RESULTADOS!$A:$BZ,MATCH($A63,RESULTADOS!$A:$A,0),MATCH(J$1,RESULTADOS!$1:$1,0))</f>
        <v>#N/A</v>
      </c>
      <c r="K63" s="279" t="e">
        <f t="shared" ca="1" si="22"/>
        <v>#N/A</v>
      </c>
      <c r="L63" s="279" t="e">
        <f t="shared" ca="1" si="22"/>
        <v>#N/A</v>
      </c>
      <c r="M63" s="178" t="e">
        <f ca="1">INDEX(RESULTADOS!$A:$BZ,MATCH($A63,RESULTADOS!$A:$A,0),MATCH(M$1,RESULTADOS!$1:$1,0))</f>
        <v>#N/A</v>
      </c>
      <c r="N63" s="178"/>
      <c r="O63" s="278" t="e">
        <f t="shared" ca="1" si="23"/>
        <v>#N/A</v>
      </c>
      <c r="P63" s="278" t="e">
        <f t="shared" ca="1" si="23"/>
        <v>#N/A</v>
      </c>
      <c r="Q63" s="278" t="e">
        <f t="shared" ca="1" si="9"/>
        <v>#N/A</v>
      </c>
      <c r="R63" s="278" t="e">
        <f t="shared" ca="1" si="20"/>
        <v>#N/A</v>
      </c>
      <c r="S63" s="278" t="e">
        <f t="shared" ca="1" si="10"/>
        <v>#N/A</v>
      </c>
      <c r="T63" s="278" t="e">
        <f t="shared" ca="1" si="11"/>
        <v>#N/A</v>
      </c>
      <c r="U63" s="278" t="e">
        <f t="shared" ca="1" si="5"/>
        <v>#N/A</v>
      </c>
      <c r="V63" s="278" t="e">
        <f t="shared" ca="1" si="12"/>
        <v>#N/A</v>
      </c>
      <c r="W63" s="278" t="e">
        <f t="shared" ca="1" si="13"/>
        <v>#N/A</v>
      </c>
      <c r="X63" t="e">
        <f t="shared" ca="1" si="14"/>
        <v>#N/A</v>
      </c>
      <c r="Y63" t="e">
        <f t="shared" ca="1" si="15"/>
        <v>#N/A</v>
      </c>
      <c r="Z63" t="e">
        <f t="shared" ca="1" si="16"/>
        <v>#N/A</v>
      </c>
    </row>
    <row r="64" spans="1:26" x14ac:dyDescent="0.2">
      <c r="A64" s="273">
        <f t="shared" ca="1" si="17"/>
        <v>43863</v>
      </c>
      <c r="B64" s="279" t="e">
        <f ca="1">INDEX(RESULTADOS!$A:$BZ,MATCH($A64,RESULTADOS!$A:$A,0),MATCH(B$1,RESULTADOS!$1:$1,0))</f>
        <v>#N/A</v>
      </c>
      <c r="C64" s="178" t="e">
        <f t="shared" ca="1" si="21"/>
        <v>#N/A</v>
      </c>
      <c r="D64" s="178" t="e">
        <f t="shared" ca="1" si="21"/>
        <v>#N/A</v>
      </c>
      <c r="E64" s="178" t="e">
        <f t="shared" ca="1" si="21"/>
        <v>#N/A</v>
      </c>
      <c r="F64" s="178" t="e">
        <f t="shared" ca="1" si="21"/>
        <v>#N/A</v>
      </c>
      <c r="G64" s="279" t="e">
        <f t="shared" ca="1" si="18"/>
        <v>#N/A</v>
      </c>
      <c r="H64" s="279" t="e">
        <f t="shared" ca="1" si="19"/>
        <v>#N/A</v>
      </c>
      <c r="I64" s="178" t="e">
        <f ca="1">INDEX(RESULTADOS!$A:$BZ,MATCH($A64,RESULTADOS!$A:$A,0),MATCH(I$1,RESULTADOS!$1:$1,0))</f>
        <v>#N/A</v>
      </c>
      <c r="J64" s="178" t="e">
        <f ca="1">INDEX(RESULTADOS!$A:$BZ,MATCH($A64,RESULTADOS!$A:$A,0),MATCH(J$1,RESULTADOS!$1:$1,0))</f>
        <v>#N/A</v>
      </c>
      <c r="K64" s="279" t="e">
        <f t="shared" ca="1" si="22"/>
        <v>#N/A</v>
      </c>
      <c r="L64" s="279" t="e">
        <f t="shared" ca="1" si="22"/>
        <v>#N/A</v>
      </c>
      <c r="M64" s="178" t="e">
        <f ca="1">INDEX(RESULTADOS!$A:$BZ,MATCH($A64,RESULTADOS!$A:$A,0),MATCH(M$1,RESULTADOS!$1:$1,0))</f>
        <v>#N/A</v>
      </c>
      <c r="N64" s="178"/>
      <c r="O64" s="278" t="e">
        <f t="shared" ca="1" si="23"/>
        <v>#N/A</v>
      </c>
      <c r="P64" s="278" t="e">
        <f t="shared" ca="1" si="23"/>
        <v>#N/A</v>
      </c>
      <c r="Q64" s="278" t="e">
        <f t="shared" ca="1" si="9"/>
        <v>#N/A</v>
      </c>
      <c r="R64" s="278" t="e">
        <f t="shared" ca="1" si="20"/>
        <v>#N/A</v>
      </c>
      <c r="S64" s="278" t="e">
        <f t="shared" ca="1" si="10"/>
        <v>#N/A</v>
      </c>
      <c r="T64" s="278" t="e">
        <f t="shared" ca="1" si="11"/>
        <v>#N/A</v>
      </c>
      <c r="U64" s="278" t="e">
        <f t="shared" ca="1" si="5"/>
        <v>#N/A</v>
      </c>
      <c r="V64" s="278" t="e">
        <f t="shared" ca="1" si="12"/>
        <v>#N/A</v>
      </c>
      <c r="W64" s="278" t="e">
        <f t="shared" ca="1" si="13"/>
        <v>#N/A</v>
      </c>
      <c r="X64" t="e">
        <f t="shared" ca="1" si="14"/>
        <v>#N/A</v>
      </c>
      <c r="Y64" t="e">
        <f t="shared" ca="1" si="15"/>
        <v>#N/A</v>
      </c>
      <c r="Z64" t="e">
        <f t="shared" ca="1" si="16"/>
        <v>#N/A</v>
      </c>
    </row>
    <row r="65" spans="1:26" x14ac:dyDescent="0.2">
      <c r="A65" s="273">
        <f t="shared" ca="1" si="17"/>
        <v>43864</v>
      </c>
      <c r="B65" s="279" t="e">
        <f ca="1">INDEX(RESULTADOS!$A:$BZ,MATCH($A65,RESULTADOS!$A:$A,0),MATCH(B$1,RESULTADOS!$1:$1,0))</f>
        <v>#N/A</v>
      </c>
      <c r="C65" s="178" t="e">
        <f t="shared" ca="1" si="21"/>
        <v>#N/A</v>
      </c>
      <c r="D65" s="178" t="e">
        <f t="shared" ca="1" si="21"/>
        <v>#N/A</v>
      </c>
      <c r="E65" s="178" t="e">
        <f t="shared" ca="1" si="21"/>
        <v>#N/A</v>
      </c>
      <c r="F65" s="178" t="e">
        <f t="shared" ca="1" si="21"/>
        <v>#N/A</v>
      </c>
      <c r="G65" s="279" t="e">
        <f t="shared" ca="1" si="18"/>
        <v>#N/A</v>
      </c>
      <c r="H65" s="279" t="e">
        <f t="shared" ca="1" si="19"/>
        <v>#N/A</v>
      </c>
      <c r="I65" s="178" t="e">
        <f ca="1">INDEX(RESULTADOS!$A:$BZ,MATCH($A65,RESULTADOS!$A:$A,0),MATCH(I$1,RESULTADOS!$1:$1,0))</f>
        <v>#N/A</v>
      </c>
      <c r="J65" s="178" t="e">
        <f ca="1">INDEX(RESULTADOS!$A:$BZ,MATCH($A65,RESULTADOS!$A:$A,0),MATCH(J$1,RESULTADOS!$1:$1,0))</f>
        <v>#N/A</v>
      </c>
      <c r="K65" s="279" t="e">
        <f t="shared" ca="1" si="22"/>
        <v>#N/A</v>
      </c>
      <c r="L65" s="279" t="e">
        <f t="shared" ca="1" si="22"/>
        <v>#N/A</v>
      </c>
      <c r="M65" s="178" t="e">
        <f ca="1">INDEX(RESULTADOS!$A:$BZ,MATCH($A65,RESULTADOS!$A:$A,0),MATCH(M$1,RESULTADOS!$1:$1,0))</f>
        <v>#N/A</v>
      </c>
      <c r="N65" s="178"/>
      <c r="O65" s="278" t="e">
        <f t="shared" ca="1" si="23"/>
        <v>#N/A</v>
      </c>
      <c r="P65" s="278" t="e">
        <f t="shared" ca="1" si="23"/>
        <v>#N/A</v>
      </c>
      <c r="Q65" s="278" t="e">
        <f t="shared" ca="1" si="9"/>
        <v>#N/A</v>
      </c>
      <c r="R65" s="278" t="e">
        <f t="shared" ca="1" si="20"/>
        <v>#N/A</v>
      </c>
      <c r="S65" s="278" t="e">
        <f t="shared" ca="1" si="10"/>
        <v>#N/A</v>
      </c>
      <c r="T65" s="278" t="e">
        <f t="shared" ca="1" si="11"/>
        <v>#N/A</v>
      </c>
      <c r="U65" s="278" t="e">
        <f t="shared" ca="1" si="5"/>
        <v>#N/A</v>
      </c>
      <c r="V65" s="278" t="e">
        <f t="shared" ca="1" si="12"/>
        <v>#N/A</v>
      </c>
      <c r="W65" s="278" t="e">
        <f t="shared" ca="1" si="13"/>
        <v>#N/A</v>
      </c>
      <c r="X65" t="e">
        <f t="shared" ca="1" si="14"/>
        <v>#N/A</v>
      </c>
      <c r="Y65" t="e">
        <f t="shared" ca="1" si="15"/>
        <v>#N/A</v>
      </c>
      <c r="Z65" t="e">
        <f t="shared" ca="1" si="16"/>
        <v>#N/A</v>
      </c>
    </row>
    <row r="66" spans="1:26" x14ac:dyDescent="0.2">
      <c r="A66" s="273">
        <f t="shared" ca="1" si="17"/>
        <v>43865</v>
      </c>
      <c r="B66" s="279" t="e">
        <f ca="1">INDEX(RESULTADOS!$A:$BZ,MATCH($A66,RESULTADOS!$A:$A,0),MATCH(B$1,RESULTADOS!$1:$1,0))</f>
        <v>#N/A</v>
      </c>
      <c r="C66" s="178" t="e">
        <f t="shared" ca="1" si="21"/>
        <v>#N/A</v>
      </c>
      <c r="D66" s="178" t="e">
        <f t="shared" ca="1" si="21"/>
        <v>#N/A</v>
      </c>
      <c r="E66" s="178" t="e">
        <f t="shared" ca="1" si="21"/>
        <v>#N/A</v>
      </c>
      <c r="F66" s="178" t="e">
        <f t="shared" ca="1" si="21"/>
        <v>#N/A</v>
      </c>
      <c r="G66" s="279" t="e">
        <f t="shared" ca="1" si="18"/>
        <v>#N/A</v>
      </c>
      <c r="H66" s="279" t="e">
        <f t="shared" ca="1" si="19"/>
        <v>#N/A</v>
      </c>
      <c r="I66" s="178" t="e">
        <f ca="1">INDEX(RESULTADOS!$A:$BZ,MATCH($A66,RESULTADOS!$A:$A,0),MATCH(I$1,RESULTADOS!$1:$1,0))</f>
        <v>#N/A</v>
      </c>
      <c r="J66" s="178" t="e">
        <f ca="1">INDEX(RESULTADOS!$A:$BZ,MATCH($A66,RESULTADOS!$A:$A,0),MATCH(J$1,RESULTADOS!$1:$1,0))</f>
        <v>#N/A</v>
      </c>
      <c r="K66" s="279" t="e">
        <f t="shared" ca="1" si="22"/>
        <v>#N/A</v>
      </c>
      <c r="L66" s="279" t="e">
        <f t="shared" ca="1" si="22"/>
        <v>#N/A</v>
      </c>
      <c r="M66" s="178" t="e">
        <f ca="1">INDEX(RESULTADOS!$A:$BZ,MATCH($A66,RESULTADOS!$A:$A,0),MATCH(M$1,RESULTADOS!$1:$1,0))</f>
        <v>#N/A</v>
      </c>
      <c r="N66" s="178"/>
      <c r="O66" s="278" t="e">
        <f t="shared" ca="1" si="23"/>
        <v>#N/A</v>
      </c>
      <c r="P66" s="278" t="e">
        <f t="shared" ca="1" si="23"/>
        <v>#N/A</v>
      </c>
      <c r="Q66" s="278" t="e">
        <f t="shared" ca="1" si="9"/>
        <v>#N/A</v>
      </c>
      <c r="R66" s="278" t="e">
        <f t="shared" ca="1" si="20"/>
        <v>#N/A</v>
      </c>
      <c r="S66" s="278" t="e">
        <f t="shared" ca="1" si="10"/>
        <v>#N/A</v>
      </c>
      <c r="T66" s="278" t="e">
        <f t="shared" ca="1" si="11"/>
        <v>#N/A</v>
      </c>
      <c r="U66" s="278" t="e">
        <f t="shared" ca="1" si="5"/>
        <v>#N/A</v>
      </c>
      <c r="V66" s="278" t="e">
        <f t="shared" ca="1" si="12"/>
        <v>#N/A</v>
      </c>
      <c r="W66" s="278" t="e">
        <f t="shared" ca="1" si="13"/>
        <v>#N/A</v>
      </c>
      <c r="X66" t="e">
        <f t="shared" ca="1" si="14"/>
        <v>#N/A</v>
      </c>
      <c r="Y66" t="e">
        <f t="shared" ca="1" si="15"/>
        <v>#N/A</v>
      </c>
      <c r="Z66" t="e">
        <f t="shared" ca="1" si="16"/>
        <v>#N/A</v>
      </c>
    </row>
    <row r="67" spans="1:26" x14ac:dyDescent="0.2">
      <c r="A67" s="273">
        <f t="shared" ca="1" si="17"/>
        <v>43866</v>
      </c>
      <c r="B67" s="279" t="e">
        <f ca="1">INDEX(RESULTADOS!$A:$BZ,MATCH($A67,RESULTADOS!$A:$A,0),MATCH(B$1,RESULTADOS!$1:$1,0))</f>
        <v>#N/A</v>
      </c>
      <c r="C67" s="178" t="e">
        <f t="shared" ca="1" si="21"/>
        <v>#N/A</v>
      </c>
      <c r="D67" s="178" t="e">
        <f t="shared" ca="1" si="21"/>
        <v>#N/A</v>
      </c>
      <c r="E67" s="178" t="e">
        <f t="shared" ca="1" si="21"/>
        <v>#N/A</v>
      </c>
      <c r="F67" s="178" t="e">
        <f t="shared" ca="1" si="21"/>
        <v>#N/A</v>
      </c>
      <c r="G67" s="279" t="e">
        <f t="shared" ca="1" si="18"/>
        <v>#N/A</v>
      </c>
      <c r="H67" s="279" t="e">
        <f t="shared" ca="1" si="19"/>
        <v>#N/A</v>
      </c>
      <c r="I67" s="178" t="e">
        <f ca="1">INDEX(RESULTADOS!$A:$BZ,MATCH($A67,RESULTADOS!$A:$A,0),MATCH(I$1,RESULTADOS!$1:$1,0))</f>
        <v>#N/A</v>
      </c>
      <c r="J67" s="178" t="e">
        <f ca="1">INDEX(RESULTADOS!$A:$BZ,MATCH($A67,RESULTADOS!$A:$A,0),MATCH(J$1,RESULTADOS!$1:$1,0))</f>
        <v>#N/A</v>
      </c>
      <c r="K67" s="279" t="e">
        <f t="shared" ca="1" si="22"/>
        <v>#N/A</v>
      </c>
      <c r="L67" s="279" t="e">
        <f t="shared" ca="1" si="22"/>
        <v>#N/A</v>
      </c>
      <c r="M67" s="178" t="e">
        <f ca="1">INDEX(RESULTADOS!$A:$BZ,MATCH($A67,RESULTADOS!$A:$A,0),MATCH(M$1,RESULTADOS!$1:$1,0))</f>
        <v>#N/A</v>
      </c>
      <c r="N67" s="178"/>
      <c r="O67" s="278" t="e">
        <f t="shared" ca="1" si="23"/>
        <v>#N/A</v>
      </c>
      <c r="P67" s="278" t="e">
        <f t="shared" ca="1" si="23"/>
        <v>#N/A</v>
      </c>
      <c r="Q67" s="278" t="e">
        <f t="shared" ca="1" si="9"/>
        <v>#N/A</v>
      </c>
      <c r="R67" s="278" t="e">
        <f t="shared" ca="1" si="20"/>
        <v>#N/A</v>
      </c>
      <c r="S67" s="278" t="e">
        <f t="shared" ca="1" si="10"/>
        <v>#N/A</v>
      </c>
      <c r="T67" s="278" t="e">
        <f t="shared" ca="1" si="11"/>
        <v>#N/A</v>
      </c>
      <c r="U67" s="278" t="e">
        <f t="shared" ca="1" si="5"/>
        <v>#N/A</v>
      </c>
      <c r="V67" s="278" t="e">
        <f t="shared" ca="1" si="12"/>
        <v>#N/A</v>
      </c>
      <c r="W67" s="278" t="e">
        <f t="shared" ca="1" si="13"/>
        <v>#N/A</v>
      </c>
      <c r="X67" t="e">
        <f t="shared" ca="1" si="14"/>
        <v>#N/A</v>
      </c>
      <c r="Y67" t="e">
        <f t="shared" ca="1" si="15"/>
        <v>#N/A</v>
      </c>
      <c r="Z67" t="e">
        <f t="shared" ca="1" si="16"/>
        <v>#N/A</v>
      </c>
    </row>
    <row r="68" spans="1:26" x14ac:dyDescent="0.2">
      <c r="A68" s="82">
        <f t="shared" ca="1" si="17"/>
        <v>43867</v>
      </c>
      <c r="B68" s="279" t="e">
        <f ca="1">INDEX(RESULTADOS!$A:$BZ,MATCH($A68,RESULTADOS!$A:$A,0),MATCH(B$1,RESULTADOS!$1:$1,0))</f>
        <v>#N/A</v>
      </c>
      <c r="C68" s="178" t="e">
        <f t="shared" ca="1" si="21"/>
        <v>#N/A</v>
      </c>
      <c r="D68" s="178" t="e">
        <f t="shared" ca="1" si="21"/>
        <v>#N/A</v>
      </c>
      <c r="E68" s="178" t="e">
        <f t="shared" ca="1" si="21"/>
        <v>#N/A</v>
      </c>
      <c r="F68" s="178" t="e">
        <f t="shared" ca="1" si="21"/>
        <v>#N/A</v>
      </c>
      <c r="G68" s="279" t="e">
        <f t="shared" ca="1" si="18"/>
        <v>#N/A</v>
      </c>
      <c r="H68" s="279" t="e">
        <f t="shared" ca="1" si="19"/>
        <v>#N/A</v>
      </c>
      <c r="I68" s="178" t="e">
        <f ca="1">INDEX(RESULTADOS!$A:$BZ,MATCH($A68,RESULTADOS!$A:$A,0),MATCH(I$1,RESULTADOS!$1:$1,0))</f>
        <v>#N/A</v>
      </c>
      <c r="J68" s="178" t="e">
        <f ca="1">INDEX(RESULTADOS!$A:$BZ,MATCH($A68,RESULTADOS!$A:$A,0),MATCH(J$1,RESULTADOS!$1:$1,0))</f>
        <v>#N/A</v>
      </c>
      <c r="K68" s="279" t="e">
        <f t="shared" ca="1" si="22"/>
        <v>#N/A</v>
      </c>
      <c r="L68" s="279" t="e">
        <f t="shared" ca="1" si="22"/>
        <v>#N/A</v>
      </c>
      <c r="M68" s="178" t="e">
        <f ca="1">INDEX(RESULTADOS!$A:$BZ,MATCH($A68,RESULTADOS!$A:$A,0),MATCH(M$1,RESULTADOS!$1:$1,0))</f>
        <v>#N/A</v>
      </c>
      <c r="N68" s="178"/>
      <c r="O68" s="278" t="e">
        <f t="shared" ca="1" si="23"/>
        <v>#N/A</v>
      </c>
      <c r="P68" s="278" t="e">
        <f t="shared" ca="1" si="23"/>
        <v>#N/A</v>
      </c>
      <c r="Q68" s="278" t="e">
        <f t="shared" ca="1" si="9"/>
        <v>#N/A</v>
      </c>
      <c r="R68" s="278" t="e">
        <f t="shared" ca="1" si="20"/>
        <v>#N/A</v>
      </c>
      <c r="S68" s="278" t="e">
        <f t="shared" ca="1" si="10"/>
        <v>#N/A</v>
      </c>
      <c r="T68" s="278" t="e">
        <f t="shared" ca="1" si="11"/>
        <v>#N/A</v>
      </c>
      <c r="U68" s="278" t="e">
        <f t="shared" ca="1" si="5"/>
        <v>#N/A</v>
      </c>
      <c r="V68" s="278" t="e">
        <f t="shared" ca="1" si="12"/>
        <v>#N/A</v>
      </c>
      <c r="W68" s="278" t="e">
        <f t="shared" ca="1" si="13"/>
        <v>#N/A</v>
      </c>
      <c r="X68" t="e">
        <f t="shared" ca="1" si="14"/>
        <v>#N/A</v>
      </c>
      <c r="Y68" t="e">
        <f t="shared" ca="1" si="15"/>
        <v>#N/A</v>
      </c>
      <c r="Z68" t="e">
        <f t="shared" ca="1" si="16"/>
        <v>#N/A</v>
      </c>
    </row>
    <row r="69" spans="1:26" x14ac:dyDescent="0.2">
      <c r="A69" s="273">
        <f t="shared" ca="1" si="17"/>
        <v>43868</v>
      </c>
      <c r="B69" s="279" t="e">
        <f ca="1">INDEX(RESULTADOS!$A:$BZ,MATCH($A69,RESULTADOS!$A:$A,0),MATCH(B$1,RESULTADOS!$1:$1,0))</f>
        <v>#N/A</v>
      </c>
      <c r="C69" s="178" t="e">
        <f t="shared" ca="1" si="21"/>
        <v>#N/A</v>
      </c>
      <c r="D69" s="178" t="e">
        <f t="shared" ca="1" si="21"/>
        <v>#N/A</v>
      </c>
      <c r="E69" s="178" t="e">
        <f t="shared" ca="1" si="21"/>
        <v>#N/A</v>
      </c>
      <c r="F69" s="178" t="e">
        <f t="shared" ca="1" si="21"/>
        <v>#N/A</v>
      </c>
      <c r="G69" s="279" t="e">
        <f t="shared" ca="1" si="18"/>
        <v>#N/A</v>
      </c>
      <c r="H69" s="279" t="e">
        <f t="shared" ca="1" si="19"/>
        <v>#N/A</v>
      </c>
      <c r="I69" s="178" t="e">
        <f ca="1">INDEX(RESULTADOS!$A:$BZ,MATCH($A69,RESULTADOS!$A:$A,0),MATCH(I$1,RESULTADOS!$1:$1,0))</f>
        <v>#N/A</v>
      </c>
      <c r="J69" s="178" t="e">
        <f ca="1">INDEX(RESULTADOS!$A:$BZ,MATCH($A69,RESULTADOS!$A:$A,0),MATCH(J$1,RESULTADOS!$1:$1,0))</f>
        <v>#N/A</v>
      </c>
      <c r="K69" s="279" t="e">
        <f t="shared" ca="1" si="22"/>
        <v>#N/A</v>
      </c>
      <c r="L69" s="279" t="e">
        <f t="shared" ca="1" si="22"/>
        <v>#N/A</v>
      </c>
      <c r="M69" s="178" t="e">
        <f ca="1">INDEX(RESULTADOS!$A:$BZ,MATCH($A69,RESULTADOS!$A:$A,0),MATCH(M$1,RESULTADOS!$1:$1,0))</f>
        <v>#N/A</v>
      </c>
      <c r="N69" s="178"/>
      <c r="O69" s="278" t="e">
        <f t="shared" ca="1" si="23"/>
        <v>#N/A</v>
      </c>
      <c r="P69" s="278" t="e">
        <f t="shared" ca="1" si="23"/>
        <v>#N/A</v>
      </c>
      <c r="Q69" s="278" t="e">
        <f t="shared" ca="1" si="9"/>
        <v>#N/A</v>
      </c>
      <c r="R69" s="278" t="e">
        <f t="shared" ca="1" si="20"/>
        <v>#N/A</v>
      </c>
      <c r="S69" s="278" t="e">
        <f t="shared" ca="1" si="10"/>
        <v>#N/A</v>
      </c>
      <c r="T69" s="278" t="e">
        <f t="shared" ca="1" si="11"/>
        <v>#N/A</v>
      </c>
      <c r="U69" s="278" t="e">
        <f t="shared" ca="1" si="5"/>
        <v>#N/A</v>
      </c>
      <c r="V69" s="278" t="e">
        <f t="shared" ca="1" si="12"/>
        <v>#N/A</v>
      </c>
      <c r="W69" s="278" t="e">
        <f t="shared" ca="1" si="13"/>
        <v>#N/A</v>
      </c>
      <c r="X69" t="e">
        <f t="shared" ca="1" si="14"/>
        <v>#N/A</v>
      </c>
      <c r="Y69" t="e">
        <f t="shared" ca="1" si="15"/>
        <v>#N/A</v>
      </c>
      <c r="Z69" t="e">
        <f t="shared" ca="1" si="16"/>
        <v>#N/A</v>
      </c>
    </row>
    <row r="70" spans="1:26" x14ac:dyDescent="0.2">
      <c r="A70" s="273">
        <f t="shared" ca="1" si="17"/>
        <v>43869</v>
      </c>
      <c r="B70" s="279" t="e">
        <f ca="1">INDEX(RESULTADOS!$A:$BZ,MATCH($A70,RESULTADOS!$A:$A,0),MATCH(B$1,RESULTADOS!$1:$1,0))</f>
        <v>#N/A</v>
      </c>
      <c r="C70" s="178" t="e">
        <f t="shared" ca="1" si="21"/>
        <v>#N/A</v>
      </c>
      <c r="D70" s="178" t="e">
        <f t="shared" ca="1" si="21"/>
        <v>#N/A</v>
      </c>
      <c r="E70" s="178" t="e">
        <f t="shared" ca="1" si="21"/>
        <v>#N/A</v>
      </c>
      <c r="F70" s="178" t="e">
        <f t="shared" ca="1" si="21"/>
        <v>#N/A</v>
      </c>
      <c r="G70" s="279" t="e">
        <f t="shared" ca="1" si="18"/>
        <v>#N/A</v>
      </c>
      <c r="H70" s="279" t="e">
        <f t="shared" ca="1" si="19"/>
        <v>#N/A</v>
      </c>
      <c r="I70" s="178" t="e">
        <f ca="1">INDEX(RESULTADOS!$A:$BZ,MATCH($A70,RESULTADOS!$A:$A,0),MATCH(I$1,RESULTADOS!$1:$1,0))</f>
        <v>#N/A</v>
      </c>
      <c r="J70" s="178" t="e">
        <f ca="1">INDEX(RESULTADOS!$A:$BZ,MATCH($A70,RESULTADOS!$A:$A,0),MATCH(J$1,RESULTADOS!$1:$1,0))</f>
        <v>#N/A</v>
      </c>
      <c r="K70" s="279" t="e">
        <f t="shared" ca="1" si="22"/>
        <v>#N/A</v>
      </c>
      <c r="L70" s="279" t="e">
        <f t="shared" ca="1" si="22"/>
        <v>#N/A</v>
      </c>
      <c r="M70" s="178" t="e">
        <f ca="1">INDEX(RESULTADOS!$A:$BZ,MATCH($A70,RESULTADOS!$A:$A,0),MATCH(M$1,RESULTADOS!$1:$1,0))</f>
        <v>#N/A</v>
      </c>
      <c r="N70" s="178"/>
      <c r="O70" s="278" t="e">
        <f t="shared" ca="1" si="23"/>
        <v>#N/A</v>
      </c>
      <c r="P70" s="278" t="e">
        <f t="shared" ca="1" si="23"/>
        <v>#N/A</v>
      </c>
      <c r="Q70" s="278" t="e">
        <f t="shared" ca="1" si="9"/>
        <v>#N/A</v>
      </c>
      <c r="R70" s="278" t="e">
        <f t="shared" ca="1" si="20"/>
        <v>#N/A</v>
      </c>
      <c r="S70" s="278" t="e">
        <f t="shared" ca="1" si="10"/>
        <v>#N/A</v>
      </c>
      <c r="T70" s="278" t="e">
        <f t="shared" ca="1" si="11"/>
        <v>#N/A</v>
      </c>
      <c r="U70" s="278" t="e">
        <f t="shared" ca="1" si="5"/>
        <v>#N/A</v>
      </c>
      <c r="V70" s="278" t="e">
        <f t="shared" ca="1" si="12"/>
        <v>#N/A</v>
      </c>
      <c r="W70" s="278" t="e">
        <f t="shared" ca="1" si="13"/>
        <v>#N/A</v>
      </c>
      <c r="X70" t="e">
        <f t="shared" ca="1" si="14"/>
        <v>#N/A</v>
      </c>
      <c r="Y70" t="e">
        <f t="shared" ca="1" si="15"/>
        <v>#N/A</v>
      </c>
      <c r="Z70" t="e">
        <f t="shared" ca="1" si="16"/>
        <v>#N/A</v>
      </c>
    </row>
    <row r="71" spans="1:26" x14ac:dyDescent="0.2">
      <c r="A71" s="273">
        <f t="shared" ca="1" si="17"/>
        <v>43870</v>
      </c>
      <c r="B71" s="279" t="e">
        <f ca="1">INDEX(RESULTADOS!$A:$BZ,MATCH($A71,RESULTADOS!$A:$A,0),MATCH(B$1,RESULTADOS!$1:$1,0))</f>
        <v>#N/A</v>
      </c>
      <c r="C71" s="178" t="e">
        <f t="shared" ca="1" si="21"/>
        <v>#N/A</v>
      </c>
      <c r="D71" s="178" t="e">
        <f t="shared" ca="1" si="21"/>
        <v>#N/A</v>
      </c>
      <c r="E71" s="178" t="e">
        <f t="shared" ca="1" si="21"/>
        <v>#N/A</v>
      </c>
      <c r="F71" s="178" t="e">
        <f t="shared" ca="1" si="21"/>
        <v>#N/A</v>
      </c>
      <c r="G71" s="279" t="e">
        <f t="shared" ref="G71:G80" ca="1" si="24">0.8103*C71+0.185</f>
        <v>#N/A</v>
      </c>
      <c r="H71" s="279" t="e">
        <f t="shared" ref="H71:H80" ca="1" si="25">C71-G71</f>
        <v>#N/A</v>
      </c>
      <c r="I71" s="178" t="e">
        <f ca="1">INDEX(RESULTADOS!$A:$BZ,MATCH($A71,RESULTADOS!$A:$A,0),MATCH(I$1,RESULTADOS!$1:$1,0))</f>
        <v>#N/A</v>
      </c>
      <c r="J71" s="178" t="e">
        <f ca="1">INDEX(RESULTADOS!$A:$BZ,MATCH($A71,RESULTADOS!$A:$A,0),MATCH(J$1,RESULTADOS!$1:$1,0))</f>
        <v>#N/A</v>
      </c>
      <c r="K71" s="279" t="e">
        <f t="shared" ca="1" si="22"/>
        <v>#N/A</v>
      </c>
      <c r="L71" s="279" t="e">
        <f t="shared" ca="1" si="22"/>
        <v>#N/A</v>
      </c>
      <c r="M71" s="178" t="e">
        <f ca="1">INDEX(RESULTADOS!$A:$BZ,MATCH($A71,RESULTADOS!$A:$A,0),MATCH(M$1,RESULTADOS!$1:$1,0))</f>
        <v>#N/A</v>
      </c>
      <c r="N71" s="178"/>
      <c r="O71" s="278" t="e">
        <f t="shared" ca="1" si="23"/>
        <v>#N/A</v>
      </c>
      <c r="P71" s="278" t="e">
        <f t="shared" ca="1" si="23"/>
        <v>#N/A</v>
      </c>
      <c r="Q71" s="278" t="e">
        <f t="shared" ca="1" si="9"/>
        <v>#N/A</v>
      </c>
      <c r="R71" s="278" t="e">
        <f t="shared" ca="1" si="20"/>
        <v>#N/A</v>
      </c>
      <c r="S71" s="278" t="e">
        <f t="shared" ca="1" si="10"/>
        <v>#N/A</v>
      </c>
      <c r="T71" s="278" t="e">
        <f t="shared" ca="1" si="11"/>
        <v>#N/A</v>
      </c>
      <c r="U71" s="278" t="e">
        <f t="shared" ca="1" si="5"/>
        <v>#N/A</v>
      </c>
      <c r="V71" s="278" t="e">
        <f t="shared" ca="1" si="12"/>
        <v>#N/A</v>
      </c>
      <c r="W71" s="278" t="e">
        <f t="shared" ca="1" si="13"/>
        <v>#N/A</v>
      </c>
      <c r="X71" t="e">
        <f t="shared" ca="1" si="14"/>
        <v>#N/A</v>
      </c>
      <c r="Y71" t="e">
        <f t="shared" ca="1" si="15"/>
        <v>#N/A</v>
      </c>
      <c r="Z71" t="e">
        <f t="shared" ca="1" si="16"/>
        <v>#N/A</v>
      </c>
    </row>
    <row r="72" spans="1:26" x14ac:dyDescent="0.2">
      <c r="A72" s="273">
        <f t="shared" ca="1" si="17"/>
        <v>43871</v>
      </c>
      <c r="B72" s="279" t="e">
        <f ca="1">INDEX(RESULTADOS!$A:$BZ,MATCH($A72,RESULTADOS!$A:$A,0),MATCH(B$1,RESULTADOS!$1:$1,0))</f>
        <v>#N/A</v>
      </c>
      <c r="C72" s="178" t="e">
        <f t="shared" ca="1" si="21"/>
        <v>#N/A</v>
      </c>
      <c r="D72" s="178" t="e">
        <f t="shared" ca="1" si="21"/>
        <v>#N/A</v>
      </c>
      <c r="E72" s="178" t="e">
        <f t="shared" ca="1" si="21"/>
        <v>#N/A</v>
      </c>
      <c r="F72" s="178" t="e">
        <f t="shared" ca="1" si="21"/>
        <v>#N/A</v>
      </c>
      <c r="G72" s="279" t="e">
        <f t="shared" ca="1" si="24"/>
        <v>#N/A</v>
      </c>
      <c r="H72" s="279" t="e">
        <f t="shared" ca="1" si="25"/>
        <v>#N/A</v>
      </c>
      <c r="I72" s="178" t="e">
        <f ca="1">INDEX(RESULTADOS!$A:$BZ,MATCH($A72,RESULTADOS!$A:$A,0),MATCH(I$1,RESULTADOS!$1:$1,0))</f>
        <v>#N/A</v>
      </c>
      <c r="J72" s="178" t="e">
        <f ca="1">INDEX(RESULTADOS!$A:$BZ,MATCH($A72,RESULTADOS!$A:$A,0),MATCH(J$1,RESULTADOS!$1:$1,0))</f>
        <v>#N/A</v>
      </c>
      <c r="K72" s="279" t="e">
        <f t="shared" ca="1" si="22"/>
        <v>#N/A</v>
      </c>
      <c r="L72" s="279" t="e">
        <f t="shared" ca="1" si="22"/>
        <v>#N/A</v>
      </c>
      <c r="M72" s="178" t="e">
        <f ca="1">INDEX(RESULTADOS!$A:$BZ,MATCH($A72,RESULTADOS!$A:$A,0),MATCH(M$1,RESULTADOS!$1:$1,0))</f>
        <v>#N/A</v>
      </c>
      <c r="N72" s="178"/>
      <c r="O72" s="278" t="e">
        <f t="shared" ca="1" si="23"/>
        <v>#N/A</v>
      </c>
      <c r="P72" s="278" t="e">
        <f t="shared" ca="1" si="23"/>
        <v>#N/A</v>
      </c>
      <c r="Q72" s="278" t="e">
        <f t="shared" ca="1" si="9"/>
        <v>#N/A</v>
      </c>
      <c r="R72" s="278" t="e">
        <f t="shared" ca="1" si="20"/>
        <v>#N/A</v>
      </c>
      <c r="S72" s="278" t="e">
        <f t="shared" ca="1" si="10"/>
        <v>#N/A</v>
      </c>
      <c r="T72" s="278" t="e">
        <f t="shared" ca="1" si="11"/>
        <v>#N/A</v>
      </c>
      <c r="U72" s="278" t="e">
        <f t="shared" ca="1" si="5"/>
        <v>#N/A</v>
      </c>
      <c r="V72" s="278" t="e">
        <f t="shared" ca="1" si="12"/>
        <v>#N/A</v>
      </c>
      <c r="W72" s="278" t="e">
        <f t="shared" ca="1" si="13"/>
        <v>#N/A</v>
      </c>
      <c r="X72" t="e">
        <f t="shared" ca="1" si="14"/>
        <v>#N/A</v>
      </c>
      <c r="Y72" t="e">
        <f t="shared" ca="1" si="15"/>
        <v>#N/A</v>
      </c>
      <c r="Z72" t="e">
        <f t="shared" ca="1" si="16"/>
        <v>#N/A</v>
      </c>
    </row>
    <row r="73" spans="1:26" x14ac:dyDescent="0.2">
      <c r="A73" s="273">
        <f t="shared" ca="1" si="17"/>
        <v>43872</v>
      </c>
      <c r="B73" s="279" t="e">
        <f ca="1">INDEX(RESULTADOS!$A:$BZ,MATCH($A73,RESULTADOS!$A:$A,0),MATCH(B$1,RESULTADOS!$1:$1,0))</f>
        <v>#N/A</v>
      </c>
      <c r="C73" s="178" t="e">
        <f t="shared" ca="1" si="21"/>
        <v>#N/A</v>
      </c>
      <c r="D73" s="178" t="e">
        <f t="shared" ca="1" si="21"/>
        <v>#N/A</v>
      </c>
      <c r="E73" s="178" t="e">
        <f t="shared" ca="1" si="21"/>
        <v>#N/A</v>
      </c>
      <c r="F73" s="178" t="e">
        <f t="shared" ca="1" si="21"/>
        <v>#N/A</v>
      </c>
      <c r="G73" s="279" t="e">
        <f t="shared" ca="1" si="24"/>
        <v>#N/A</v>
      </c>
      <c r="H73" s="279" t="e">
        <f t="shared" ca="1" si="25"/>
        <v>#N/A</v>
      </c>
      <c r="I73" s="178" t="e">
        <f ca="1">INDEX(RESULTADOS!$A:$BZ,MATCH($A73,RESULTADOS!$A:$A,0),MATCH(I$1,RESULTADOS!$1:$1,0))</f>
        <v>#N/A</v>
      </c>
      <c r="J73" s="178" t="e">
        <f ca="1">INDEX(RESULTADOS!$A:$BZ,MATCH($A73,RESULTADOS!$A:$A,0),MATCH(J$1,RESULTADOS!$1:$1,0))</f>
        <v>#N/A</v>
      </c>
      <c r="K73" s="279" t="e">
        <f t="shared" ca="1" si="22"/>
        <v>#N/A</v>
      </c>
      <c r="L73" s="279" t="e">
        <f t="shared" ca="1" si="22"/>
        <v>#N/A</v>
      </c>
      <c r="M73" s="178" t="e">
        <f ca="1">INDEX(RESULTADOS!$A:$BZ,MATCH($A73,RESULTADOS!$A:$A,0),MATCH(M$1,RESULTADOS!$1:$1,0))</f>
        <v>#N/A</v>
      </c>
      <c r="N73" s="178"/>
      <c r="O73" s="278" t="e">
        <f t="shared" ca="1" si="23"/>
        <v>#N/A</v>
      </c>
      <c r="P73" s="278" t="e">
        <f t="shared" ca="1" si="23"/>
        <v>#N/A</v>
      </c>
      <c r="Q73" s="278" t="e">
        <f t="shared" ca="1" si="9"/>
        <v>#N/A</v>
      </c>
      <c r="R73" s="278" t="e">
        <f t="shared" ca="1" si="20"/>
        <v>#N/A</v>
      </c>
      <c r="S73" s="278" t="e">
        <f t="shared" ca="1" si="10"/>
        <v>#N/A</v>
      </c>
      <c r="T73" s="278" t="e">
        <f t="shared" ca="1" si="11"/>
        <v>#N/A</v>
      </c>
      <c r="U73" s="278" t="e">
        <f t="shared" ca="1" si="5"/>
        <v>#N/A</v>
      </c>
      <c r="V73" s="278" t="e">
        <f t="shared" ca="1" si="12"/>
        <v>#N/A</v>
      </c>
      <c r="W73" s="278" t="e">
        <f t="shared" ca="1" si="13"/>
        <v>#N/A</v>
      </c>
      <c r="X73" t="e">
        <f t="shared" ca="1" si="14"/>
        <v>#N/A</v>
      </c>
      <c r="Y73" t="e">
        <f t="shared" ca="1" si="15"/>
        <v>#N/A</v>
      </c>
      <c r="Z73" t="e">
        <f t="shared" ca="1" si="16"/>
        <v>#N/A</v>
      </c>
    </row>
    <row r="74" spans="1:26" x14ac:dyDescent="0.2">
      <c r="A74" s="91">
        <f t="shared" ca="1" si="17"/>
        <v>43873</v>
      </c>
      <c r="B74" s="279" t="e">
        <f ca="1">INDEX(RESULTADOS!$A:$BZ,MATCH($A74,RESULTADOS!$A:$A,0),MATCH(B$1,RESULTADOS!$1:$1,0))</f>
        <v>#N/A</v>
      </c>
      <c r="C74" s="178" t="e">
        <f t="shared" ca="1" si="21"/>
        <v>#N/A</v>
      </c>
      <c r="D74" s="178" t="e">
        <f t="shared" ca="1" si="21"/>
        <v>#N/A</v>
      </c>
      <c r="E74" s="178" t="e">
        <f t="shared" ca="1" si="21"/>
        <v>#N/A</v>
      </c>
      <c r="F74" s="178" t="e">
        <f t="shared" ca="1" si="21"/>
        <v>#N/A</v>
      </c>
      <c r="G74" s="279" t="e">
        <f t="shared" ca="1" si="24"/>
        <v>#N/A</v>
      </c>
      <c r="H74" s="279" t="e">
        <f t="shared" ca="1" si="25"/>
        <v>#N/A</v>
      </c>
      <c r="I74" s="178" t="e">
        <f ca="1">INDEX(RESULTADOS!$A:$BZ,MATCH($A74,RESULTADOS!$A:$A,0),MATCH(I$1,RESULTADOS!$1:$1,0))</f>
        <v>#N/A</v>
      </c>
      <c r="J74" s="178" t="e">
        <f ca="1">INDEX(RESULTADOS!$A:$BZ,MATCH($A74,RESULTADOS!$A:$A,0),MATCH(J$1,RESULTADOS!$1:$1,0))</f>
        <v>#N/A</v>
      </c>
      <c r="K74" s="279" t="e">
        <f t="shared" ca="1" si="22"/>
        <v>#N/A</v>
      </c>
      <c r="L74" s="279" t="e">
        <f t="shared" ca="1" si="22"/>
        <v>#N/A</v>
      </c>
      <c r="M74" s="178" t="e">
        <f ca="1">INDEX(RESULTADOS!$A:$BZ,MATCH($A74,RESULTADOS!$A:$A,0),MATCH(M$1,RESULTADOS!$1:$1,0))</f>
        <v>#N/A</v>
      </c>
      <c r="N74" s="178"/>
      <c r="O74" s="278" t="e">
        <f t="shared" ca="1" si="23"/>
        <v>#N/A</v>
      </c>
      <c r="P74" s="278" t="e">
        <f t="shared" ca="1" si="23"/>
        <v>#N/A</v>
      </c>
      <c r="Q74" s="278" t="e">
        <f t="shared" ca="1" si="9"/>
        <v>#N/A</v>
      </c>
      <c r="R74" s="278" t="e">
        <f t="shared" ca="1" si="20"/>
        <v>#N/A</v>
      </c>
      <c r="S74" s="278" t="e">
        <f t="shared" ca="1" si="10"/>
        <v>#N/A</v>
      </c>
      <c r="T74" s="278" t="e">
        <f t="shared" ca="1" si="11"/>
        <v>#N/A</v>
      </c>
      <c r="U74" s="278" t="e">
        <f t="shared" ca="1" si="5"/>
        <v>#N/A</v>
      </c>
      <c r="V74" s="278" t="e">
        <f t="shared" ca="1" si="12"/>
        <v>#N/A</v>
      </c>
      <c r="W74" s="278" t="e">
        <f t="shared" ca="1" si="13"/>
        <v>#N/A</v>
      </c>
      <c r="X74" t="e">
        <f t="shared" ca="1" si="14"/>
        <v>#N/A</v>
      </c>
      <c r="Y74" t="e">
        <f t="shared" ca="1" si="15"/>
        <v>#N/A</v>
      </c>
      <c r="Z74" t="e">
        <f t="shared" ca="1" si="16"/>
        <v>#N/A</v>
      </c>
    </row>
    <row r="75" spans="1:26" x14ac:dyDescent="0.2">
      <c r="A75" s="273">
        <f t="shared" ca="1" si="17"/>
        <v>43874</v>
      </c>
      <c r="B75" s="279" t="e">
        <f ca="1">INDEX(RESULTADOS!$A:$BZ,MATCH($A75,RESULTADOS!$A:$A,0),MATCH(B$1,RESULTADOS!$1:$1,0))</f>
        <v>#N/A</v>
      </c>
      <c r="C75" s="178" t="e">
        <f t="shared" ca="1" si="21"/>
        <v>#N/A</v>
      </c>
      <c r="D75" s="178" t="e">
        <f t="shared" ca="1" si="21"/>
        <v>#N/A</v>
      </c>
      <c r="E75" s="178" t="e">
        <f t="shared" ca="1" si="21"/>
        <v>#N/A</v>
      </c>
      <c r="F75" s="178" t="e">
        <f t="shared" ca="1" si="21"/>
        <v>#N/A</v>
      </c>
      <c r="G75" s="279" t="e">
        <f t="shared" ca="1" si="24"/>
        <v>#N/A</v>
      </c>
      <c r="H75" s="279" t="e">
        <f t="shared" ca="1" si="25"/>
        <v>#N/A</v>
      </c>
      <c r="I75" s="178" t="e">
        <f ca="1">INDEX(RESULTADOS!$A:$BZ,MATCH($A75,RESULTADOS!$A:$A,0),MATCH(I$1,RESULTADOS!$1:$1,0))</f>
        <v>#N/A</v>
      </c>
      <c r="J75" s="178" t="e">
        <f ca="1">INDEX(RESULTADOS!$A:$BZ,MATCH($A75,RESULTADOS!$A:$A,0),MATCH(J$1,RESULTADOS!$1:$1,0))</f>
        <v>#N/A</v>
      </c>
      <c r="K75" s="279" t="e">
        <f t="shared" ca="1" si="22"/>
        <v>#N/A</v>
      </c>
      <c r="L75" s="279" t="e">
        <f t="shared" ca="1" si="22"/>
        <v>#N/A</v>
      </c>
      <c r="M75" s="178" t="e">
        <f ca="1">INDEX(RESULTADOS!$A:$BZ,MATCH($A75,RESULTADOS!$A:$A,0),MATCH(M$1,RESULTADOS!$1:$1,0))</f>
        <v>#N/A</v>
      </c>
      <c r="N75" s="178"/>
      <c r="O75" s="278" t="e">
        <f t="shared" ca="1" si="23"/>
        <v>#N/A</v>
      </c>
      <c r="P75" s="278" t="e">
        <f t="shared" ca="1" si="23"/>
        <v>#N/A</v>
      </c>
      <c r="Q75" s="278" t="e">
        <f t="shared" ca="1" si="9"/>
        <v>#N/A</v>
      </c>
      <c r="R75" s="278" t="e">
        <f t="shared" ca="1" si="20"/>
        <v>#N/A</v>
      </c>
      <c r="S75" s="278" t="e">
        <f t="shared" ca="1" si="10"/>
        <v>#N/A</v>
      </c>
      <c r="T75" s="278" t="e">
        <f t="shared" ca="1" si="11"/>
        <v>#N/A</v>
      </c>
      <c r="U75" s="278" t="e">
        <f t="shared" ca="1" si="5"/>
        <v>#N/A</v>
      </c>
      <c r="V75" s="278" t="e">
        <f t="shared" ca="1" si="12"/>
        <v>#N/A</v>
      </c>
      <c r="W75" s="278" t="e">
        <f t="shared" ca="1" si="13"/>
        <v>#N/A</v>
      </c>
      <c r="X75" t="e">
        <f t="shared" ca="1" si="14"/>
        <v>#N/A</v>
      </c>
      <c r="Y75" t="e">
        <f t="shared" ca="1" si="15"/>
        <v>#N/A</v>
      </c>
      <c r="Z75" t="e">
        <f t="shared" ca="1" si="16"/>
        <v>#N/A</v>
      </c>
    </row>
    <row r="76" spans="1:26" x14ac:dyDescent="0.2">
      <c r="A76" s="273">
        <f t="shared" ca="1" si="17"/>
        <v>43875</v>
      </c>
      <c r="B76" s="279" t="e">
        <f ca="1">INDEX(RESULTADOS!$A:$BZ,MATCH($A76,RESULTADOS!$A:$A,0),MATCH(B$1,RESULTADOS!$1:$1,0))</f>
        <v>#N/A</v>
      </c>
      <c r="C76" s="178" t="e">
        <f t="shared" ca="1" si="21"/>
        <v>#N/A</v>
      </c>
      <c r="D76" s="178" t="e">
        <f t="shared" ca="1" si="21"/>
        <v>#N/A</v>
      </c>
      <c r="E76" s="178" t="e">
        <f t="shared" ca="1" si="21"/>
        <v>#N/A</v>
      </c>
      <c r="F76" s="178" t="e">
        <f t="shared" ca="1" si="21"/>
        <v>#N/A</v>
      </c>
      <c r="G76" s="279" t="e">
        <f t="shared" ca="1" si="24"/>
        <v>#N/A</v>
      </c>
      <c r="H76" s="279" t="e">
        <f t="shared" ca="1" si="25"/>
        <v>#N/A</v>
      </c>
      <c r="I76" s="178" t="e">
        <f ca="1">INDEX(RESULTADOS!$A:$BZ,MATCH($A76,RESULTADOS!$A:$A,0),MATCH(I$1,RESULTADOS!$1:$1,0))</f>
        <v>#N/A</v>
      </c>
      <c r="J76" s="178" t="e">
        <f ca="1">INDEX(RESULTADOS!$A:$BZ,MATCH($A76,RESULTADOS!$A:$A,0),MATCH(J$1,RESULTADOS!$1:$1,0))</f>
        <v>#N/A</v>
      </c>
      <c r="K76" s="279" t="e">
        <f t="shared" ca="1" si="22"/>
        <v>#N/A</v>
      </c>
      <c r="L76" s="279" t="e">
        <f t="shared" ca="1" si="22"/>
        <v>#N/A</v>
      </c>
      <c r="M76" s="178" t="e">
        <f ca="1">INDEX(RESULTADOS!$A:$BZ,MATCH($A76,RESULTADOS!$A:$A,0),MATCH(M$1,RESULTADOS!$1:$1,0))</f>
        <v>#N/A</v>
      </c>
      <c r="N76" s="178"/>
      <c r="O76" s="278" t="e">
        <f t="shared" ca="1" si="23"/>
        <v>#N/A</v>
      </c>
      <c r="P76" s="278" t="e">
        <f t="shared" ca="1" si="23"/>
        <v>#N/A</v>
      </c>
      <c r="Q76" s="278" t="e">
        <f t="shared" ca="1" si="9"/>
        <v>#N/A</v>
      </c>
      <c r="R76" s="278" t="e">
        <f t="shared" ca="1" si="20"/>
        <v>#N/A</v>
      </c>
      <c r="S76" s="278" t="e">
        <f t="shared" ca="1" si="10"/>
        <v>#N/A</v>
      </c>
      <c r="T76" s="278" t="e">
        <f t="shared" ca="1" si="11"/>
        <v>#N/A</v>
      </c>
      <c r="U76" s="278" t="e">
        <f t="shared" ca="1" si="5"/>
        <v>#N/A</v>
      </c>
      <c r="V76" s="278" t="e">
        <f t="shared" ca="1" si="12"/>
        <v>#N/A</v>
      </c>
      <c r="W76" s="278" t="e">
        <f t="shared" ca="1" si="13"/>
        <v>#N/A</v>
      </c>
      <c r="X76" t="e">
        <f t="shared" ca="1" si="14"/>
        <v>#N/A</v>
      </c>
      <c r="Y76" t="e">
        <f t="shared" ca="1" si="15"/>
        <v>#N/A</v>
      </c>
      <c r="Z76" t="e">
        <f t="shared" ca="1" si="16"/>
        <v>#N/A</v>
      </c>
    </row>
    <row r="77" spans="1:26" x14ac:dyDescent="0.2">
      <c r="A77" s="273">
        <f t="shared" ca="1" si="17"/>
        <v>43876</v>
      </c>
      <c r="B77" s="279" t="e">
        <f ca="1">INDEX(RESULTADOS!$A:$BZ,MATCH($A77,RESULTADOS!$A:$A,0),MATCH(B$1,RESULTADOS!$1:$1,0))</f>
        <v>#N/A</v>
      </c>
      <c r="C77" s="178" t="e">
        <f t="shared" ca="1" si="21"/>
        <v>#N/A</v>
      </c>
      <c r="D77" s="178" t="e">
        <f t="shared" ca="1" si="21"/>
        <v>#N/A</v>
      </c>
      <c r="E77" s="178" t="e">
        <f t="shared" ca="1" si="21"/>
        <v>#N/A</v>
      </c>
      <c r="F77" s="178" t="e">
        <f t="shared" ca="1" si="21"/>
        <v>#N/A</v>
      </c>
      <c r="G77" s="279" t="e">
        <f t="shared" ca="1" si="24"/>
        <v>#N/A</v>
      </c>
      <c r="H77" s="279" t="e">
        <f t="shared" ca="1" si="25"/>
        <v>#N/A</v>
      </c>
      <c r="I77" s="178" t="e">
        <f ca="1">INDEX(RESULTADOS!$A:$BZ,MATCH($A77,RESULTADOS!$A:$A,0),MATCH(I$1,RESULTADOS!$1:$1,0))</f>
        <v>#N/A</v>
      </c>
      <c r="J77" s="178" t="e">
        <f ca="1">INDEX(RESULTADOS!$A:$BZ,MATCH($A77,RESULTADOS!$A:$A,0),MATCH(J$1,RESULTADOS!$1:$1,0))</f>
        <v>#N/A</v>
      </c>
      <c r="K77" s="279" t="e">
        <f t="shared" ca="1" si="22"/>
        <v>#N/A</v>
      </c>
      <c r="L77" s="279" t="e">
        <f t="shared" ca="1" si="22"/>
        <v>#N/A</v>
      </c>
      <c r="M77" s="178" t="e">
        <f ca="1">INDEX(RESULTADOS!$A:$BZ,MATCH($A77,RESULTADOS!$A:$A,0),MATCH(M$1,RESULTADOS!$1:$1,0))</f>
        <v>#N/A</v>
      </c>
      <c r="N77" s="178"/>
      <c r="O77" s="278" t="e">
        <f t="shared" ca="1" si="23"/>
        <v>#N/A</v>
      </c>
      <c r="P77" s="278" t="e">
        <f t="shared" ca="1" si="23"/>
        <v>#N/A</v>
      </c>
      <c r="Q77" s="278" t="e">
        <f t="shared" ca="1" si="9"/>
        <v>#N/A</v>
      </c>
      <c r="R77" s="278" t="e">
        <f t="shared" ca="1" si="20"/>
        <v>#N/A</v>
      </c>
      <c r="S77" s="278" t="e">
        <f t="shared" ca="1" si="10"/>
        <v>#N/A</v>
      </c>
      <c r="T77" s="278" t="e">
        <f t="shared" ca="1" si="11"/>
        <v>#N/A</v>
      </c>
      <c r="U77" s="278" t="e">
        <f t="shared" ca="1" si="5"/>
        <v>#N/A</v>
      </c>
      <c r="V77" s="278" t="e">
        <f t="shared" ca="1" si="12"/>
        <v>#N/A</v>
      </c>
      <c r="W77" s="278" t="e">
        <f t="shared" ca="1" si="13"/>
        <v>#N/A</v>
      </c>
      <c r="X77" t="e">
        <f t="shared" ca="1" si="14"/>
        <v>#N/A</v>
      </c>
      <c r="Y77" t="e">
        <f t="shared" ca="1" si="15"/>
        <v>#N/A</v>
      </c>
      <c r="Z77" t="e">
        <f t="shared" ca="1" si="16"/>
        <v>#N/A</v>
      </c>
    </row>
    <row r="78" spans="1:26" x14ac:dyDescent="0.2">
      <c r="A78" s="273">
        <f t="shared" ca="1" si="17"/>
        <v>43877</v>
      </c>
      <c r="B78" s="279" t="e">
        <f ca="1">INDEX(RESULTADOS!$A:$BZ,MATCH($A78,RESULTADOS!$A:$A,0),MATCH(B$1,RESULTADOS!$1:$1,0))</f>
        <v>#N/A</v>
      </c>
      <c r="C78" s="178" t="e">
        <f t="shared" ca="1" si="21"/>
        <v>#N/A</v>
      </c>
      <c r="D78" s="178" t="e">
        <f t="shared" ca="1" si="21"/>
        <v>#N/A</v>
      </c>
      <c r="E78" s="178" t="e">
        <f t="shared" ca="1" si="21"/>
        <v>#N/A</v>
      </c>
      <c r="F78" s="178" t="e">
        <f t="shared" ca="1" si="21"/>
        <v>#N/A</v>
      </c>
      <c r="G78" s="279" t="e">
        <f t="shared" ca="1" si="24"/>
        <v>#N/A</v>
      </c>
      <c r="H78" s="279" t="e">
        <f t="shared" ca="1" si="25"/>
        <v>#N/A</v>
      </c>
      <c r="I78" s="178" t="e">
        <f ca="1">INDEX(RESULTADOS!$A:$BZ,MATCH($A78,RESULTADOS!$A:$A,0),MATCH(I$1,RESULTADOS!$1:$1,0))</f>
        <v>#N/A</v>
      </c>
      <c r="J78" s="178" t="e">
        <f ca="1">INDEX(RESULTADOS!$A:$BZ,MATCH($A78,RESULTADOS!$A:$A,0),MATCH(J$1,RESULTADOS!$1:$1,0))</f>
        <v>#N/A</v>
      </c>
      <c r="K78" s="279" t="e">
        <f t="shared" ca="1" si="22"/>
        <v>#N/A</v>
      </c>
      <c r="L78" s="279" t="e">
        <f t="shared" ca="1" si="22"/>
        <v>#N/A</v>
      </c>
      <c r="M78" s="178" t="e">
        <f ca="1">INDEX(RESULTADOS!$A:$BZ,MATCH($A78,RESULTADOS!$A:$A,0),MATCH(M$1,RESULTADOS!$1:$1,0))</f>
        <v>#N/A</v>
      </c>
      <c r="N78" s="178"/>
      <c r="O78" s="278" t="e">
        <f t="shared" ca="1" si="23"/>
        <v>#N/A</v>
      </c>
      <c r="P78" s="278" t="e">
        <f t="shared" ca="1" si="23"/>
        <v>#N/A</v>
      </c>
      <c r="Q78" s="278" t="e">
        <f t="shared" ca="1" si="9"/>
        <v>#N/A</v>
      </c>
      <c r="R78" s="278" t="e">
        <f t="shared" ca="1" si="20"/>
        <v>#N/A</v>
      </c>
      <c r="S78" s="278" t="e">
        <f t="shared" ca="1" si="10"/>
        <v>#N/A</v>
      </c>
      <c r="T78" s="278" t="e">
        <f t="shared" ca="1" si="11"/>
        <v>#N/A</v>
      </c>
      <c r="U78" s="278" t="e">
        <f t="shared" ca="1" si="5"/>
        <v>#N/A</v>
      </c>
      <c r="V78" s="278" t="e">
        <f t="shared" ca="1" si="12"/>
        <v>#N/A</v>
      </c>
      <c r="W78" s="278" t="e">
        <f t="shared" ca="1" si="13"/>
        <v>#N/A</v>
      </c>
      <c r="X78" t="e">
        <f t="shared" ca="1" si="14"/>
        <v>#N/A</v>
      </c>
      <c r="Y78" t="e">
        <f t="shared" ca="1" si="15"/>
        <v>#N/A</v>
      </c>
      <c r="Z78" t="e">
        <f t="shared" ca="1" si="16"/>
        <v>#N/A</v>
      </c>
    </row>
    <row r="79" spans="1:26" x14ac:dyDescent="0.2">
      <c r="A79" s="273">
        <f t="shared" ca="1" si="17"/>
        <v>43878</v>
      </c>
      <c r="B79" s="279" t="e">
        <f ca="1">INDEX(RESULTADOS!$A:$BZ,MATCH($A79,RESULTADOS!$A:$A,0),MATCH(B$1,RESULTADOS!$1:$1,0))</f>
        <v>#N/A</v>
      </c>
      <c r="C79" s="178" t="e">
        <f t="shared" ca="1" si="21"/>
        <v>#N/A</v>
      </c>
      <c r="D79" s="178" t="e">
        <f t="shared" ca="1" si="21"/>
        <v>#N/A</v>
      </c>
      <c r="E79" s="178" t="e">
        <f t="shared" ca="1" si="21"/>
        <v>#N/A</v>
      </c>
      <c r="F79" s="178" t="e">
        <f t="shared" ca="1" si="21"/>
        <v>#N/A</v>
      </c>
      <c r="G79" s="279" t="e">
        <f t="shared" ca="1" si="24"/>
        <v>#N/A</v>
      </c>
      <c r="H79" s="279" t="e">
        <f t="shared" ca="1" si="25"/>
        <v>#N/A</v>
      </c>
      <c r="I79" s="178" t="e">
        <f ca="1">INDEX(RESULTADOS!$A:$BZ,MATCH($A79,RESULTADOS!$A:$A,0),MATCH(I$1,RESULTADOS!$1:$1,0))</f>
        <v>#N/A</v>
      </c>
      <c r="J79" s="178" t="e">
        <f ca="1">INDEX(RESULTADOS!$A:$BZ,MATCH($A79,RESULTADOS!$A:$A,0),MATCH(J$1,RESULTADOS!$1:$1,0))</f>
        <v>#N/A</v>
      </c>
      <c r="K79" s="279" t="e">
        <f t="shared" ca="1" si="22"/>
        <v>#N/A</v>
      </c>
      <c r="L79" s="279" t="e">
        <f t="shared" ca="1" si="22"/>
        <v>#N/A</v>
      </c>
      <c r="M79" s="178" t="e">
        <f ca="1">INDEX(RESULTADOS!$A:$BZ,MATCH($A79,RESULTADOS!$A:$A,0),MATCH(M$1,RESULTADOS!$1:$1,0))</f>
        <v>#N/A</v>
      </c>
      <c r="N79" s="178"/>
      <c r="O79" s="278" t="e">
        <f t="shared" ca="1" si="23"/>
        <v>#N/A</v>
      </c>
      <c r="P79" s="278" t="e">
        <f t="shared" ca="1" si="23"/>
        <v>#N/A</v>
      </c>
      <c r="Q79" s="278" t="e">
        <f t="shared" ca="1" si="9"/>
        <v>#N/A</v>
      </c>
      <c r="R79" s="278" t="e">
        <f t="shared" ca="1" si="20"/>
        <v>#N/A</v>
      </c>
      <c r="S79" s="278" t="e">
        <f t="shared" ca="1" si="10"/>
        <v>#N/A</v>
      </c>
      <c r="T79" s="278" t="e">
        <f t="shared" ca="1" si="11"/>
        <v>#N/A</v>
      </c>
      <c r="U79" s="278" t="e">
        <f t="shared" ca="1" si="5"/>
        <v>#N/A</v>
      </c>
      <c r="V79" s="278" t="e">
        <f t="shared" ca="1" si="12"/>
        <v>#N/A</v>
      </c>
      <c r="W79" s="278" t="e">
        <f t="shared" ca="1" si="13"/>
        <v>#N/A</v>
      </c>
      <c r="X79" t="e">
        <f t="shared" ca="1" si="14"/>
        <v>#N/A</v>
      </c>
      <c r="Y79" t="e">
        <f t="shared" ca="1" si="15"/>
        <v>#N/A</v>
      </c>
      <c r="Z79" t="e">
        <f t="shared" ca="1" si="16"/>
        <v>#N/A</v>
      </c>
    </row>
    <row r="80" spans="1:26" x14ac:dyDescent="0.2">
      <c r="A80" s="273">
        <f t="shared" ca="1" si="17"/>
        <v>43879</v>
      </c>
      <c r="B80" s="279" t="e">
        <f ca="1">INDEX(RESULTADOS!$A:$BZ,MATCH($A80,RESULTADOS!$A:$A,0),MATCH(B$1,RESULTADOS!$1:$1,0))</f>
        <v>#N/A</v>
      </c>
      <c r="C80" s="178" t="e">
        <f t="shared" ca="1" si="21"/>
        <v>#N/A</v>
      </c>
      <c r="D80" s="178" t="e">
        <f t="shared" ca="1" si="21"/>
        <v>#N/A</v>
      </c>
      <c r="E80" s="178" t="e">
        <f t="shared" ca="1" si="21"/>
        <v>#N/A</v>
      </c>
      <c r="F80" s="178" t="e">
        <f t="shared" ca="1" si="21"/>
        <v>#N/A</v>
      </c>
      <c r="G80" s="279" t="e">
        <f t="shared" ca="1" si="24"/>
        <v>#N/A</v>
      </c>
      <c r="H80" s="279" t="e">
        <f t="shared" ca="1" si="25"/>
        <v>#N/A</v>
      </c>
      <c r="I80" s="178" t="e">
        <f ca="1">INDEX(RESULTADOS!$A:$BZ,MATCH($A80,RESULTADOS!$A:$A,0),MATCH(I$1,RESULTADOS!$1:$1,0))</f>
        <v>#N/A</v>
      </c>
      <c r="J80" s="178" t="e">
        <f ca="1">INDEX(RESULTADOS!$A:$BZ,MATCH($A80,RESULTADOS!$A:$A,0),MATCH(J$1,RESULTADOS!$1:$1,0))</f>
        <v>#N/A</v>
      </c>
      <c r="K80" s="279" t="e">
        <f t="shared" ca="1" si="22"/>
        <v>#N/A</v>
      </c>
      <c r="L80" s="279" t="e">
        <f t="shared" ca="1" si="22"/>
        <v>#N/A</v>
      </c>
      <c r="M80" s="178" t="e">
        <f ca="1">INDEX(RESULTADOS!$A:$BZ,MATCH($A80,RESULTADOS!$A:$A,0),MATCH(M$1,RESULTADOS!$1:$1,0))</f>
        <v>#N/A</v>
      </c>
      <c r="N80" s="178"/>
      <c r="O80" s="278" t="e">
        <f t="shared" ca="1" si="23"/>
        <v>#N/A</v>
      </c>
      <c r="P80" s="278" t="e">
        <f t="shared" ca="1" si="23"/>
        <v>#N/A</v>
      </c>
      <c r="Q80" s="278" t="e">
        <f t="shared" ca="1" si="9"/>
        <v>#N/A</v>
      </c>
      <c r="R80" s="278" t="e">
        <f t="shared" ca="1" si="20"/>
        <v>#N/A</v>
      </c>
      <c r="S80" s="278" t="e">
        <f t="shared" ca="1" si="10"/>
        <v>#N/A</v>
      </c>
      <c r="T80" s="278" t="e">
        <f t="shared" ca="1" si="11"/>
        <v>#N/A</v>
      </c>
      <c r="U80" s="278" t="e">
        <f t="shared" ca="1" si="5"/>
        <v>#N/A</v>
      </c>
      <c r="V80" s="278" t="e">
        <f t="shared" ca="1" si="12"/>
        <v>#N/A</v>
      </c>
      <c r="W80" s="278" t="e">
        <f t="shared" ca="1" si="13"/>
        <v>#N/A</v>
      </c>
      <c r="X80" t="e">
        <f t="shared" ca="1" si="14"/>
        <v>#N/A</v>
      </c>
      <c r="Y80" t="e">
        <f t="shared" ca="1" si="15"/>
        <v>#N/A</v>
      </c>
      <c r="Z80" t="e">
        <f t="shared" ca="1" si="16"/>
        <v>#N/A</v>
      </c>
    </row>
    <row r="81" spans="1:26" s="272" customFormat="1" x14ac:dyDescent="0.2">
      <c r="A81" s="273">
        <f t="shared" ca="1" si="17"/>
        <v>43880</v>
      </c>
      <c r="B81" s="279" t="e">
        <f ca="1">INDEX(RESULTADOS!$A:$BZ,MATCH($A81,RESULTADOS!$A:$A,0),MATCH(B$1,RESULTADOS!$1:$1,0))</f>
        <v>#N/A</v>
      </c>
      <c r="C81" s="178" t="e">
        <f t="shared" ca="1" si="21"/>
        <v>#N/A</v>
      </c>
      <c r="D81" s="178" t="e">
        <f t="shared" ca="1" si="21"/>
        <v>#N/A</v>
      </c>
      <c r="E81" s="178" t="e">
        <f t="shared" ca="1" si="21"/>
        <v>#N/A</v>
      </c>
      <c r="F81" s="178" t="e">
        <f t="shared" ca="1" si="21"/>
        <v>#N/A</v>
      </c>
      <c r="G81" s="279" t="e">
        <f t="shared" ref="G81:G110" ca="1" si="26">0.8103*C81+0.185</f>
        <v>#N/A</v>
      </c>
      <c r="H81" s="279" t="e">
        <f t="shared" ref="H81:H110" ca="1" si="27">C81-G81</f>
        <v>#N/A</v>
      </c>
      <c r="I81" s="178" t="e">
        <f ca="1">INDEX(RESULTADOS!$A:$BZ,MATCH($A81,RESULTADOS!$A:$A,0),MATCH(I$1,RESULTADOS!$1:$1,0))</f>
        <v>#N/A</v>
      </c>
      <c r="J81" s="178" t="e">
        <f ca="1">INDEX(RESULTADOS!$A:$BZ,MATCH($A81,RESULTADOS!$A:$A,0),MATCH(J$1,RESULTADOS!$1:$1,0))</f>
        <v>#N/A</v>
      </c>
      <c r="K81" s="279" t="e">
        <f t="shared" ca="1" si="22"/>
        <v>#N/A</v>
      </c>
      <c r="L81" s="279" t="e">
        <f t="shared" ca="1" si="22"/>
        <v>#N/A</v>
      </c>
      <c r="M81" s="178" t="e">
        <f ca="1">INDEX(RESULTADOS!$A:$BZ,MATCH($A81,RESULTADOS!$A:$A,0),MATCH(M$1,RESULTADOS!$1:$1,0))</f>
        <v>#N/A</v>
      </c>
      <c r="N81" s="178"/>
      <c r="O81" s="278" t="e">
        <f t="shared" ca="1" si="23"/>
        <v>#N/A</v>
      </c>
      <c r="P81" s="278" t="e">
        <f t="shared" ca="1" si="23"/>
        <v>#N/A</v>
      </c>
      <c r="Q81" s="278" t="e">
        <f t="shared" ref="Q81:Q110" ca="1" si="28">C81</f>
        <v>#N/A</v>
      </c>
      <c r="R81" s="278" t="e">
        <f t="shared" ref="R81:R110" ca="1" si="29">D81+(T81*(24-$T$3)+T80*$T$3)/24+(S81*(24-$S$3)+T80*$S$3)/24+G81</f>
        <v>#N/A</v>
      </c>
      <c r="S81" s="278" t="e">
        <f t="shared" ref="S81:S110" ca="1" si="30">E81</f>
        <v>#N/A</v>
      </c>
      <c r="T81" s="278" t="e">
        <f t="shared" ref="T81:T110" ca="1" si="31">F81</f>
        <v>#N/A</v>
      </c>
      <c r="U81" s="278" t="e">
        <f t="shared" ref="U81:U110" ca="1" si="32">I81+(R80*(48-$R$3)+R79*($R$3-24))/24</f>
        <v>#N/A</v>
      </c>
      <c r="V81" s="278" t="e">
        <f t="shared" ref="V81:V110" ca="1" si="33">K81+(U81*(24-$U$3)+U80*$U$3)/24</f>
        <v>#N/A</v>
      </c>
      <c r="W81" s="278" t="e">
        <f t="shared" ref="W81:W110" ca="1" si="34">L81+(V81*(24-$V$3)+V80*$V$3)/24</f>
        <v>#N/A</v>
      </c>
      <c r="X81" s="272" t="e">
        <f t="shared" ref="X81:X110" ca="1" si="35">O81+(Y81*(24-$Y$3)+Y80*$Y$3)/24</f>
        <v>#N/A</v>
      </c>
      <c r="Y81" s="272" t="e">
        <f t="shared" ref="Y81:Y110" ca="1" si="36">P81+(W81*(24-$W$3)+W80*$W$3)/24</f>
        <v>#N/A</v>
      </c>
      <c r="Z81" s="272" t="e">
        <f t="shared" ref="Z81:Z110" ca="1" si="37">H81+S81+G81+0.1*(R81-S81-G81)</f>
        <v>#N/A</v>
      </c>
    </row>
    <row r="82" spans="1:26" s="272" customFormat="1" x14ac:dyDescent="0.2">
      <c r="A82" s="273">
        <f t="shared" ca="1" si="17"/>
        <v>43881</v>
      </c>
      <c r="B82" s="279" t="e">
        <f ca="1">INDEX(RESULTADOS!$A:$BZ,MATCH($A82,RESULTADOS!$A:$A,0),MATCH(B$1,RESULTADOS!$1:$1,0))</f>
        <v>#N/A</v>
      </c>
      <c r="C82" s="178" t="e">
        <f t="shared" ref="C82:F110" ca="1" si="38">$B82*C$4</f>
        <v>#N/A</v>
      </c>
      <c r="D82" s="178" t="e">
        <f t="shared" ca="1" si="38"/>
        <v>#N/A</v>
      </c>
      <c r="E82" s="178" t="e">
        <f t="shared" ca="1" si="38"/>
        <v>#N/A</v>
      </c>
      <c r="F82" s="178" t="e">
        <f t="shared" ca="1" si="38"/>
        <v>#N/A</v>
      </c>
      <c r="G82" s="279" t="e">
        <f t="shared" ca="1" si="26"/>
        <v>#N/A</v>
      </c>
      <c r="H82" s="279" t="e">
        <f t="shared" ca="1" si="27"/>
        <v>#N/A</v>
      </c>
      <c r="I82" s="178" t="e">
        <f ca="1">INDEX(RESULTADOS!$A:$BZ,MATCH($A82,RESULTADOS!$A:$A,0),MATCH(I$1,RESULTADOS!$1:$1,0))</f>
        <v>#N/A</v>
      </c>
      <c r="J82" s="178" t="e">
        <f ca="1">INDEX(RESULTADOS!$A:$BZ,MATCH($A82,RESULTADOS!$A:$A,0),MATCH(J$1,RESULTADOS!$1:$1,0))</f>
        <v>#N/A</v>
      </c>
      <c r="K82" s="279" t="e">
        <f t="shared" ref="K82:L110" ca="1" si="39">$J82*K$4</f>
        <v>#N/A</v>
      </c>
      <c r="L82" s="279" t="e">
        <f t="shared" ca="1" si="39"/>
        <v>#N/A</v>
      </c>
      <c r="M82" s="178" t="e">
        <f ca="1">INDEX(RESULTADOS!$A:$BZ,MATCH($A82,RESULTADOS!$A:$A,0),MATCH(M$1,RESULTADOS!$1:$1,0))</f>
        <v>#N/A</v>
      </c>
      <c r="N82" s="178"/>
      <c r="O82" s="278" t="e">
        <f t="shared" ref="O82:P110" ca="1" si="40">$M82*O$4</f>
        <v>#N/A</v>
      </c>
      <c r="P82" s="278" t="e">
        <f t="shared" ca="1" si="40"/>
        <v>#N/A</v>
      </c>
      <c r="Q82" s="278" t="e">
        <f t="shared" ca="1" si="28"/>
        <v>#N/A</v>
      </c>
      <c r="R82" s="278" t="e">
        <f t="shared" ca="1" si="29"/>
        <v>#N/A</v>
      </c>
      <c r="S82" s="278" t="e">
        <f t="shared" ca="1" si="30"/>
        <v>#N/A</v>
      </c>
      <c r="T82" s="278" t="e">
        <f t="shared" ca="1" si="31"/>
        <v>#N/A</v>
      </c>
      <c r="U82" s="278" t="e">
        <f t="shared" ca="1" si="32"/>
        <v>#N/A</v>
      </c>
      <c r="V82" s="278" t="e">
        <f t="shared" ca="1" si="33"/>
        <v>#N/A</v>
      </c>
      <c r="W82" s="278" t="e">
        <f t="shared" ca="1" si="34"/>
        <v>#N/A</v>
      </c>
      <c r="X82" s="272" t="e">
        <f t="shared" ca="1" si="35"/>
        <v>#N/A</v>
      </c>
      <c r="Y82" s="272" t="e">
        <f t="shared" ca="1" si="36"/>
        <v>#N/A</v>
      </c>
      <c r="Z82" s="272" t="e">
        <f t="shared" ca="1" si="37"/>
        <v>#N/A</v>
      </c>
    </row>
    <row r="83" spans="1:26" s="272" customFormat="1" x14ac:dyDescent="0.2">
      <c r="A83" s="273">
        <f t="shared" ca="1" si="17"/>
        <v>43882</v>
      </c>
      <c r="B83" s="279" t="e">
        <f ca="1">INDEX(RESULTADOS!$A:$BZ,MATCH($A83,RESULTADOS!$A:$A,0),MATCH(B$1,RESULTADOS!$1:$1,0))</f>
        <v>#N/A</v>
      </c>
      <c r="C83" s="178" t="e">
        <f t="shared" ca="1" si="38"/>
        <v>#N/A</v>
      </c>
      <c r="D83" s="178" t="e">
        <f t="shared" ca="1" si="38"/>
        <v>#N/A</v>
      </c>
      <c r="E83" s="178" t="e">
        <f t="shared" ca="1" si="38"/>
        <v>#N/A</v>
      </c>
      <c r="F83" s="178" t="e">
        <f t="shared" ca="1" si="38"/>
        <v>#N/A</v>
      </c>
      <c r="G83" s="279" t="e">
        <f t="shared" ca="1" si="26"/>
        <v>#N/A</v>
      </c>
      <c r="H83" s="279" t="e">
        <f t="shared" ca="1" si="27"/>
        <v>#N/A</v>
      </c>
      <c r="I83" s="178" t="e">
        <f ca="1">INDEX(RESULTADOS!$A:$BZ,MATCH($A83,RESULTADOS!$A:$A,0),MATCH(I$1,RESULTADOS!$1:$1,0))</f>
        <v>#N/A</v>
      </c>
      <c r="J83" s="178" t="e">
        <f ca="1">INDEX(RESULTADOS!$A:$BZ,MATCH($A83,RESULTADOS!$A:$A,0),MATCH(J$1,RESULTADOS!$1:$1,0))</f>
        <v>#N/A</v>
      </c>
      <c r="K83" s="279" t="e">
        <f t="shared" ca="1" si="39"/>
        <v>#N/A</v>
      </c>
      <c r="L83" s="279" t="e">
        <f t="shared" ca="1" si="39"/>
        <v>#N/A</v>
      </c>
      <c r="M83" s="178" t="e">
        <f ca="1">INDEX(RESULTADOS!$A:$BZ,MATCH($A83,RESULTADOS!$A:$A,0),MATCH(M$1,RESULTADOS!$1:$1,0))</f>
        <v>#N/A</v>
      </c>
      <c r="N83" s="178"/>
      <c r="O83" s="278" t="e">
        <f t="shared" ca="1" si="40"/>
        <v>#N/A</v>
      </c>
      <c r="P83" s="278" t="e">
        <f t="shared" ca="1" si="40"/>
        <v>#N/A</v>
      </c>
      <c r="Q83" s="278" t="e">
        <f t="shared" ca="1" si="28"/>
        <v>#N/A</v>
      </c>
      <c r="R83" s="278" t="e">
        <f t="shared" ca="1" si="29"/>
        <v>#N/A</v>
      </c>
      <c r="S83" s="278" t="e">
        <f t="shared" ca="1" si="30"/>
        <v>#N/A</v>
      </c>
      <c r="T83" s="278" t="e">
        <f t="shared" ca="1" si="31"/>
        <v>#N/A</v>
      </c>
      <c r="U83" s="278" t="e">
        <f t="shared" ca="1" si="32"/>
        <v>#N/A</v>
      </c>
      <c r="V83" s="278" t="e">
        <f t="shared" ca="1" si="33"/>
        <v>#N/A</v>
      </c>
      <c r="W83" s="278" t="e">
        <f t="shared" ca="1" si="34"/>
        <v>#N/A</v>
      </c>
      <c r="X83" s="272" t="e">
        <f t="shared" ca="1" si="35"/>
        <v>#N/A</v>
      </c>
      <c r="Y83" s="272" t="e">
        <f t="shared" ca="1" si="36"/>
        <v>#N/A</v>
      </c>
      <c r="Z83" s="272" t="e">
        <f t="shared" ca="1" si="37"/>
        <v>#N/A</v>
      </c>
    </row>
    <row r="84" spans="1:26" s="272" customFormat="1" x14ac:dyDescent="0.2">
      <c r="A84" s="273">
        <f t="shared" ca="1" si="17"/>
        <v>43883</v>
      </c>
      <c r="B84" s="279" t="e">
        <f ca="1">INDEX(RESULTADOS!$A:$BZ,MATCH($A84,RESULTADOS!$A:$A,0),MATCH(B$1,RESULTADOS!$1:$1,0))</f>
        <v>#N/A</v>
      </c>
      <c r="C84" s="178" t="e">
        <f t="shared" ca="1" si="38"/>
        <v>#N/A</v>
      </c>
      <c r="D84" s="178" t="e">
        <f t="shared" ca="1" si="38"/>
        <v>#N/A</v>
      </c>
      <c r="E84" s="178" t="e">
        <f t="shared" ca="1" si="38"/>
        <v>#N/A</v>
      </c>
      <c r="F84" s="178" t="e">
        <f t="shared" ca="1" si="38"/>
        <v>#N/A</v>
      </c>
      <c r="G84" s="279" t="e">
        <f t="shared" ca="1" si="26"/>
        <v>#N/A</v>
      </c>
      <c r="H84" s="279" t="e">
        <f t="shared" ca="1" si="27"/>
        <v>#N/A</v>
      </c>
      <c r="I84" s="178" t="e">
        <f ca="1">INDEX(RESULTADOS!$A:$BZ,MATCH($A84,RESULTADOS!$A:$A,0),MATCH(I$1,RESULTADOS!$1:$1,0))</f>
        <v>#N/A</v>
      </c>
      <c r="J84" s="178" t="e">
        <f ca="1">INDEX(RESULTADOS!$A:$BZ,MATCH($A84,RESULTADOS!$A:$A,0),MATCH(J$1,RESULTADOS!$1:$1,0))</f>
        <v>#N/A</v>
      </c>
      <c r="K84" s="279" t="e">
        <f t="shared" ca="1" si="39"/>
        <v>#N/A</v>
      </c>
      <c r="L84" s="279" t="e">
        <f t="shared" ca="1" si="39"/>
        <v>#N/A</v>
      </c>
      <c r="M84" s="178" t="e">
        <f ca="1">INDEX(RESULTADOS!$A:$BZ,MATCH($A84,RESULTADOS!$A:$A,0),MATCH(M$1,RESULTADOS!$1:$1,0))</f>
        <v>#N/A</v>
      </c>
      <c r="N84" s="178"/>
      <c r="O84" s="278" t="e">
        <f t="shared" ca="1" si="40"/>
        <v>#N/A</v>
      </c>
      <c r="P84" s="278" t="e">
        <f t="shared" ca="1" si="40"/>
        <v>#N/A</v>
      </c>
      <c r="Q84" s="278" t="e">
        <f t="shared" ca="1" si="28"/>
        <v>#N/A</v>
      </c>
      <c r="R84" s="278" t="e">
        <f t="shared" ca="1" si="29"/>
        <v>#N/A</v>
      </c>
      <c r="S84" s="278" t="e">
        <f t="shared" ca="1" si="30"/>
        <v>#N/A</v>
      </c>
      <c r="T84" s="278" t="e">
        <f t="shared" ca="1" si="31"/>
        <v>#N/A</v>
      </c>
      <c r="U84" s="278" t="e">
        <f t="shared" ca="1" si="32"/>
        <v>#N/A</v>
      </c>
      <c r="V84" s="278" t="e">
        <f t="shared" ca="1" si="33"/>
        <v>#N/A</v>
      </c>
      <c r="W84" s="278" t="e">
        <f t="shared" ca="1" si="34"/>
        <v>#N/A</v>
      </c>
      <c r="X84" s="272" t="e">
        <f t="shared" ca="1" si="35"/>
        <v>#N/A</v>
      </c>
      <c r="Y84" s="272" t="e">
        <f t="shared" ca="1" si="36"/>
        <v>#N/A</v>
      </c>
      <c r="Z84" s="272" t="e">
        <f t="shared" ca="1" si="37"/>
        <v>#N/A</v>
      </c>
    </row>
    <row r="85" spans="1:26" s="272" customFormat="1" x14ac:dyDescent="0.2">
      <c r="A85" s="273">
        <f t="shared" ca="1" si="17"/>
        <v>43884</v>
      </c>
      <c r="B85" s="279" t="e">
        <f ca="1">INDEX(RESULTADOS!$A:$BZ,MATCH($A85,RESULTADOS!$A:$A,0),MATCH(B$1,RESULTADOS!$1:$1,0))</f>
        <v>#N/A</v>
      </c>
      <c r="C85" s="178" t="e">
        <f t="shared" ca="1" si="38"/>
        <v>#N/A</v>
      </c>
      <c r="D85" s="178" t="e">
        <f t="shared" ca="1" si="38"/>
        <v>#N/A</v>
      </c>
      <c r="E85" s="178" t="e">
        <f t="shared" ca="1" si="38"/>
        <v>#N/A</v>
      </c>
      <c r="F85" s="178" t="e">
        <f t="shared" ca="1" si="38"/>
        <v>#N/A</v>
      </c>
      <c r="G85" s="279" t="e">
        <f t="shared" ca="1" si="26"/>
        <v>#N/A</v>
      </c>
      <c r="H85" s="279" t="e">
        <f t="shared" ca="1" si="27"/>
        <v>#N/A</v>
      </c>
      <c r="I85" s="178" t="e">
        <f ca="1">INDEX(RESULTADOS!$A:$BZ,MATCH($A85,RESULTADOS!$A:$A,0),MATCH(I$1,RESULTADOS!$1:$1,0))</f>
        <v>#N/A</v>
      </c>
      <c r="J85" s="178" t="e">
        <f ca="1">INDEX(RESULTADOS!$A:$BZ,MATCH($A85,RESULTADOS!$A:$A,0),MATCH(J$1,RESULTADOS!$1:$1,0))</f>
        <v>#N/A</v>
      </c>
      <c r="K85" s="279" t="e">
        <f t="shared" ca="1" si="39"/>
        <v>#N/A</v>
      </c>
      <c r="L85" s="279" t="e">
        <f t="shared" ca="1" si="39"/>
        <v>#N/A</v>
      </c>
      <c r="M85" s="178" t="e">
        <f ca="1">INDEX(RESULTADOS!$A:$BZ,MATCH($A85,RESULTADOS!$A:$A,0),MATCH(M$1,RESULTADOS!$1:$1,0))</f>
        <v>#N/A</v>
      </c>
      <c r="N85" s="178"/>
      <c r="O85" s="278" t="e">
        <f t="shared" ca="1" si="40"/>
        <v>#N/A</v>
      </c>
      <c r="P85" s="278" t="e">
        <f t="shared" ca="1" si="40"/>
        <v>#N/A</v>
      </c>
      <c r="Q85" s="278" t="e">
        <f t="shared" ca="1" si="28"/>
        <v>#N/A</v>
      </c>
      <c r="R85" s="278" t="e">
        <f t="shared" ca="1" si="29"/>
        <v>#N/A</v>
      </c>
      <c r="S85" s="278" t="e">
        <f t="shared" ca="1" si="30"/>
        <v>#N/A</v>
      </c>
      <c r="T85" s="278" t="e">
        <f t="shared" ca="1" si="31"/>
        <v>#N/A</v>
      </c>
      <c r="U85" s="278" t="e">
        <f t="shared" ca="1" si="32"/>
        <v>#N/A</v>
      </c>
      <c r="V85" s="278" t="e">
        <f t="shared" ca="1" si="33"/>
        <v>#N/A</v>
      </c>
      <c r="W85" s="278" t="e">
        <f t="shared" ca="1" si="34"/>
        <v>#N/A</v>
      </c>
      <c r="X85" s="272" t="e">
        <f t="shared" ca="1" si="35"/>
        <v>#N/A</v>
      </c>
      <c r="Y85" s="272" t="e">
        <f t="shared" ca="1" si="36"/>
        <v>#N/A</v>
      </c>
      <c r="Z85" s="272" t="e">
        <f t="shared" ca="1" si="37"/>
        <v>#N/A</v>
      </c>
    </row>
    <row r="86" spans="1:26" s="272" customFormat="1" x14ac:dyDescent="0.2">
      <c r="A86" s="273">
        <f t="shared" ca="1" si="17"/>
        <v>43885</v>
      </c>
      <c r="B86" s="279" t="e">
        <f ca="1">INDEX(RESULTADOS!$A:$BZ,MATCH($A86,RESULTADOS!$A:$A,0),MATCH(B$1,RESULTADOS!$1:$1,0))</f>
        <v>#N/A</v>
      </c>
      <c r="C86" s="178" t="e">
        <f t="shared" ca="1" si="38"/>
        <v>#N/A</v>
      </c>
      <c r="D86" s="178" t="e">
        <f t="shared" ca="1" si="38"/>
        <v>#N/A</v>
      </c>
      <c r="E86" s="178" t="e">
        <f t="shared" ca="1" si="38"/>
        <v>#N/A</v>
      </c>
      <c r="F86" s="178" t="e">
        <f t="shared" ca="1" si="38"/>
        <v>#N/A</v>
      </c>
      <c r="G86" s="279" t="e">
        <f t="shared" ca="1" si="26"/>
        <v>#N/A</v>
      </c>
      <c r="H86" s="279" t="e">
        <f t="shared" ca="1" si="27"/>
        <v>#N/A</v>
      </c>
      <c r="I86" s="178" t="e">
        <f ca="1">INDEX(RESULTADOS!$A:$BZ,MATCH($A86,RESULTADOS!$A:$A,0),MATCH(I$1,RESULTADOS!$1:$1,0))</f>
        <v>#N/A</v>
      </c>
      <c r="J86" s="178" t="e">
        <f ca="1">INDEX(RESULTADOS!$A:$BZ,MATCH($A86,RESULTADOS!$A:$A,0),MATCH(J$1,RESULTADOS!$1:$1,0))</f>
        <v>#N/A</v>
      </c>
      <c r="K86" s="279" t="e">
        <f t="shared" ca="1" si="39"/>
        <v>#N/A</v>
      </c>
      <c r="L86" s="279" t="e">
        <f t="shared" ca="1" si="39"/>
        <v>#N/A</v>
      </c>
      <c r="M86" s="178" t="e">
        <f ca="1">INDEX(RESULTADOS!$A:$BZ,MATCH($A86,RESULTADOS!$A:$A,0),MATCH(M$1,RESULTADOS!$1:$1,0))</f>
        <v>#N/A</v>
      </c>
      <c r="N86" s="178"/>
      <c r="O86" s="278" t="e">
        <f t="shared" ca="1" si="40"/>
        <v>#N/A</v>
      </c>
      <c r="P86" s="278" t="e">
        <f t="shared" ca="1" si="40"/>
        <v>#N/A</v>
      </c>
      <c r="Q86" s="278" t="e">
        <f t="shared" ca="1" si="28"/>
        <v>#N/A</v>
      </c>
      <c r="R86" s="278" t="e">
        <f t="shared" ca="1" si="29"/>
        <v>#N/A</v>
      </c>
      <c r="S86" s="278" t="e">
        <f t="shared" ca="1" si="30"/>
        <v>#N/A</v>
      </c>
      <c r="T86" s="278" t="e">
        <f t="shared" ca="1" si="31"/>
        <v>#N/A</v>
      </c>
      <c r="U86" s="278" t="e">
        <f t="shared" ca="1" si="32"/>
        <v>#N/A</v>
      </c>
      <c r="V86" s="278" t="e">
        <f t="shared" ca="1" si="33"/>
        <v>#N/A</v>
      </c>
      <c r="W86" s="278" t="e">
        <f t="shared" ca="1" si="34"/>
        <v>#N/A</v>
      </c>
      <c r="X86" s="272" t="e">
        <f t="shared" ca="1" si="35"/>
        <v>#N/A</v>
      </c>
      <c r="Y86" s="272" t="e">
        <f t="shared" ca="1" si="36"/>
        <v>#N/A</v>
      </c>
      <c r="Z86" s="272" t="e">
        <f t="shared" ca="1" si="37"/>
        <v>#N/A</v>
      </c>
    </row>
    <row r="87" spans="1:26" s="272" customFormat="1" x14ac:dyDescent="0.2">
      <c r="A87" s="273">
        <f t="shared" ca="1" si="17"/>
        <v>43886</v>
      </c>
      <c r="B87" s="279" t="e">
        <f ca="1">INDEX(RESULTADOS!$A:$BZ,MATCH($A87,RESULTADOS!$A:$A,0),MATCH(B$1,RESULTADOS!$1:$1,0))</f>
        <v>#N/A</v>
      </c>
      <c r="C87" s="178" t="e">
        <f t="shared" ca="1" si="38"/>
        <v>#N/A</v>
      </c>
      <c r="D87" s="178" t="e">
        <f t="shared" ca="1" si="38"/>
        <v>#N/A</v>
      </c>
      <c r="E87" s="178" t="e">
        <f t="shared" ca="1" si="38"/>
        <v>#N/A</v>
      </c>
      <c r="F87" s="178" t="e">
        <f t="shared" ca="1" si="38"/>
        <v>#N/A</v>
      </c>
      <c r="G87" s="279" t="e">
        <f t="shared" ca="1" si="26"/>
        <v>#N/A</v>
      </c>
      <c r="H87" s="279" t="e">
        <f t="shared" ca="1" si="27"/>
        <v>#N/A</v>
      </c>
      <c r="I87" s="178" t="e">
        <f ca="1">INDEX(RESULTADOS!$A:$BZ,MATCH($A87,RESULTADOS!$A:$A,0),MATCH(I$1,RESULTADOS!$1:$1,0))</f>
        <v>#N/A</v>
      </c>
      <c r="J87" s="178" t="e">
        <f ca="1">INDEX(RESULTADOS!$A:$BZ,MATCH($A87,RESULTADOS!$A:$A,0),MATCH(J$1,RESULTADOS!$1:$1,0))</f>
        <v>#N/A</v>
      </c>
      <c r="K87" s="279" t="e">
        <f t="shared" ca="1" si="39"/>
        <v>#N/A</v>
      </c>
      <c r="L87" s="279" t="e">
        <f t="shared" ca="1" si="39"/>
        <v>#N/A</v>
      </c>
      <c r="M87" s="178" t="e">
        <f ca="1">INDEX(RESULTADOS!$A:$BZ,MATCH($A87,RESULTADOS!$A:$A,0),MATCH(M$1,RESULTADOS!$1:$1,0))</f>
        <v>#N/A</v>
      </c>
      <c r="N87" s="178"/>
      <c r="O87" s="278" t="e">
        <f t="shared" ca="1" si="40"/>
        <v>#N/A</v>
      </c>
      <c r="P87" s="278" t="e">
        <f t="shared" ca="1" si="40"/>
        <v>#N/A</v>
      </c>
      <c r="Q87" s="278" t="e">
        <f t="shared" ca="1" si="28"/>
        <v>#N/A</v>
      </c>
      <c r="R87" s="278" t="e">
        <f t="shared" ca="1" si="29"/>
        <v>#N/A</v>
      </c>
      <c r="S87" s="278" t="e">
        <f t="shared" ca="1" si="30"/>
        <v>#N/A</v>
      </c>
      <c r="T87" s="278" t="e">
        <f t="shared" ca="1" si="31"/>
        <v>#N/A</v>
      </c>
      <c r="U87" s="278" t="e">
        <f t="shared" ca="1" si="32"/>
        <v>#N/A</v>
      </c>
      <c r="V87" s="278" t="e">
        <f t="shared" ca="1" si="33"/>
        <v>#N/A</v>
      </c>
      <c r="W87" s="278" t="e">
        <f t="shared" ca="1" si="34"/>
        <v>#N/A</v>
      </c>
      <c r="X87" s="272" t="e">
        <f t="shared" ca="1" si="35"/>
        <v>#N/A</v>
      </c>
      <c r="Y87" s="272" t="e">
        <f t="shared" ca="1" si="36"/>
        <v>#N/A</v>
      </c>
      <c r="Z87" s="272" t="e">
        <f t="shared" ca="1" si="37"/>
        <v>#N/A</v>
      </c>
    </row>
    <row r="88" spans="1:26" s="272" customFormat="1" x14ac:dyDescent="0.2">
      <c r="A88" s="273">
        <f t="shared" ca="1" si="17"/>
        <v>43887</v>
      </c>
      <c r="B88" s="279" t="e">
        <f ca="1">INDEX(RESULTADOS!$A:$BZ,MATCH($A88,RESULTADOS!$A:$A,0),MATCH(B$1,RESULTADOS!$1:$1,0))</f>
        <v>#N/A</v>
      </c>
      <c r="C88" s="178" t="e">
        <f t="shared" ca="1" si="38"/>
        <v>#N/A</v>
      </c>
      <c r="D88" s="178" t="e">
        <f t="shared" ca="1" si="38"/>
        <v>#N/A</v>
      </c>
      <c r="E88" s="178" t="e">
        <f t="shared" ca="1" si="38"/>
        <v>#N/A</v>
      </c>
      <c r="F88" s="178" t="e">
        <f t="shared" ca="1" si="38"/>
        <v>#N/A</v>
      </c>
      <c r="G88" s="279" t="e">
        <f t="shared" ca="1" si="26"/>
        <v>#N/A</v>
      </c>
      <c r="H88" s="279" t="e">
        <f t="shared" ca="1" si="27"/>
        <v>#N/A</v>
      </c>
      <c r="I88" s="178" t="e">
        <f ca="1">INDEX(RESULTADOS!$A:$BZ,MATCH($A88,RESULTADOS!$A:$A,0),MATCH(I$1,RESULTADOS!$1:$1,0))</f>
        <v>#N/A</v>
      </c>
      <c r="J88" s="178" t="e">
        <f ca="1">INDEX(RESULTADOS!$A:$BZ,MATCH($A88,RESULTADOS!$A:$A,0),MATCH(J$1,RESULTADOS!$1:$1,0))</f>
        <v>#N/A</v>
      </c>
      <c r="K88" s="279" t="e">
        <f t="shared" ca="1" si="39"/>
        <v>#N/A</v>
      </c>
      <c r="L88" s="279" t="e">
        <f t="shared" ca="1" si="39"/>
        <v>#N/A</v>
      </c>
      <c r="M88" s="178" t="e">
        <f ca="1">INDEX(RESULTADOS!$A:$BZ,MATCH($A88,RESULTADOS!$A:$A,0),MATCH(M$1,RESULTADOS!$1:$1,0))</f>
        <v>#N/A</v>
      </c>
      <c r="N88" s="178"/>
      <c r="O88" s="278" t="e">
        <f t="shared" ca="1" si="40"/>
        <v>#N/A</v>
      </c>
      <c r="P88" s="278" t="e">
        <f t="shared" ca="1" si="40"/>
        <v>#N/A</v>
      </c>
      <c r="Q88" s="278" t="e">
        <f t="shared" ca="1" si="28"/>
        <v>#N/A</v>
      </c>
      <c r="R88" s="278" t="e">
        <f t="shared" ca="1" si="29"/>
        <v>#N/A</v>
      </c>
      <c r="S88" s="278" t="e">
        <f t="shared" ca="1" si="30"/>
        <v>#N/A</v>
      </c>
      <c r="T88" s="278" t="e">
        <f t="shared" ca="1" si="31"/>
        <v>#N/A</v>
      </c>
      <c r="U88" s="278" t="e">
        <f t="shared" ca="1" si="32"/>
        <v>#N/A</v>
      </c>
      <c r="V88" s="278" t="e">
        <f t="shared" ca="1" si="33"/>
        <v>#N/A</v>
      </c>
      <c r="W88" s="278" t="e">
        <f t="shared" ca="1" si="34"/>
        <v>#N/A</v>
      </c>
      <c r="X88" s="272" t="e">
        <f t="shared" ca="1" si="35"/>
        <v>#N/A</v>
      </c>
      <c r="Y88" s="272" t="e">
        <f t="shared" ca="1" si="36"/>
        <v>#N/A</v>
      </c>
      <c r="Z88" s="272" t="e">
        <f t="shared" ca="1" si="37"/>
        <v>#N/A</v>
      </c>
    </row>
    <row r="89" spans="1:26" s="272" customFormat="1" x14ac:dyDescent="0.2">
      <c r="A89" s="273">
        <f t="shared" ca="1" si="17"/>
        <v>43888</v>
      </c>
      <c r="B89" s="279" t="e">
        <f ca="1">INDEX(RESULTADOS!$A:$BZ,MATCH($A89,RESULTADOS!$A:$A,0),MATCH(B$1,RESULTADOS!$1:$1,0))</f>
        <v>#N/A</v>
      </c>
      <c r="C89" s="178" t="e">
        <f t="shared" ca="1" si="38"/>
        <v>#N/A</v>
      </c>
      <c r="D89" s="178" t="e">
        <f t="shared" ca="1" si="38"/>
        <v>#N/A</v>
      </c>
      <c r="E89" s="178" t="e">
        <f t="shared" ca="1" si="38"/>
        <v>#N/A</v>
      </c>
      <c r="F89" s="178" t="e">
        <f t="shared" ca="1" si="38"/>
        <v>#N/A</v>
      </c>
      <c r="G89" s="279" t="e">
        <f t="shared" ca="1" si="26"/>
        <v>#N/A</v>
      </c>
      <c r="H89" s="279" t="e">
        <f t="shared" ca="1" si="27"/>
        <v>#N/A</v>
      </c>
      <c r="I89" s="178" t="e">
        <f ca="1">INDEX(RESULTADOS!$A:$BZ,MATCH($A89,RESULTADOS!$A:$A,0),MATCH(I$1,RESULTADOS!$1:$1,0))</f>
        <v>#N/A</v>
      </c>
      <c r="J89" s="178" t="e">
        <f ca="1">INDEX(RESULTADOS!$A:$BZ,MATCH($A89,RESULTADOS!$A:$A,0),MATCH(J$1,RESULTADOS!$1:$1,0))</f>
        <v>#N/A</v>
      </c>
      <c r="K89" s="279" t="e">
        <f t="shared" ca="1" si="39"/>
        <v>#N/A</v>
      </c>
      <c r="L89" s="279" t="e">
        <f t="shared" ca="1" si="39"/>
        <v>#N/A</v>
      </c>
      <c r="M89" s="178" t="e">
        <f ca="1">INDEX(RESULTADOS!$A:$BZ,MATCH($A89,RESULTADOS!$A:$A,0),MATCH(M$1,RESULTADOS!$1:$1,0))</f>
        <v>#N/A</v>
      </c>
      <c r="N89" s="178"/>
      <c r="O89" s="278" t="e">
        <f t="shared" ca="1" si="40"/>
        <v>#N/A</v>
      </c>
      <c r="P89" s="278" t="e">
        <f t="shared" ca="1" si="40"/>
        <v>#N/A</v>
      </c>
      <c r="Q89" s="278" t="e">
        <f t="shared" ca="1" si="28"/>
        <v>#N/A</v>
      </c>
      <c r="R89" s="278" t="e">
        <f t="shared" ca="1" si="29"/>
        <v>#N/A</v>
      </c>
      <c r="S89" s="278" t="e">
        <f t="shared" ca="1" si="30"/>
        <v>#N/A</v>
      </c>
      <c r="T89" s="278" t="e">
        <f t="shared" ca="1" si="31"/>
        <v>#N/A</v>
      </c>
      <c r="U89" s="278" t="e">
        <f t="shared" ca="1" si="32"/>
        <v>#N/A</v>
      </c>
      <c r="V89" s="278" t="e">
        <f t="shared" ca="1" si="33"/>
        <v>#N/A</v>
      </c>
      <c r="W89" s="278" t="e">
        <f t="shared" ca="1" si="34"/>
        <v>#N/A</v>
      </c>
      <c r="X89" s="272" t="e">
        <f t="shared" ca="1" si="35"/>
        <v>#N/A</v>
      </c>
      <c r="Y89" s="272" t="e">
        <f t="shared" ca="1" si="36"/>
        <v>#N/A</v>
      </c>
      <c r="Z89" s="272" t="e">
        <f t="shared" ca="1" si="37"/>
        <v>#N/A</v>
      </c>
    </row>
    <row r="90" spans="1:26" s="272" customFormat="1" x14ac:dyDescent="0.2">
      <c r="A90" s="273">
        <f t="shared" ca="1" si="17"/>
        <v>43889</v>
      </c>
      <c r="B90" s="279" t="e">
        <f ca="1">INDEX(RESULTADOS!$A:$BZ,MATCH($A90,RESULTADOS!$A:$A,0),MATCH(B$1,RESULTADOS!$1:$1,0))</f>
        <v>#N/A</v>
      </c>
      <c r="C90" s="178" t="e">
        <f t="shared" ca="1" si="38"/>
        <v>#N/A</v>
      </c>
      <c r="D90" s="178" t="e">
        <f t="shared" ca="1" si="38"/>
        <v>#N/A</v>
      </c>
      <c r="E90" s="178" t="e">
        <f t="shared" ca="1" si="38"/>
        <v>#N/A</v>
      </c>
      <c r="F90" s="178" t="e">
        <f t="shared" ca="1" si="38"/>
        <v>#N/A</v>
      </c>
      <c r="G90" s="279" t="e">
        <f t="shared" ca="1" si="26"/>
        <v>#N/A</v>
      </c>
      <c r="H90" s="279" t="e">
        <f t="shared" ca="1" si="27"/>
        <v>#N/A</v>
      </c>
      <c r="I90" s="178" t="e">
        <f ca="1">INDEX(RESULTADOS!$A:$BZ,MATCH($A90,RESULTADOS!$A:$A,0),MATCH(I$1,RESULTADOS!$1:$1,0))</f>
        <v>#N/A</v>
      </c>
      <c r="J90" s="178" t="e">
        <f ca="1">INDEX(RESULTADOS!$A:$BZ,MATCH($A90,RESULTADOS!$A:$A,0),MATCH(J$1,RESULTADOS!$1:$1,0))</f>
        <v>#N/A</v>
      </c>
      <c r="K90" s="279" t="e">
        <f t="shared" ca="1" si="39"/>
        <v>#N/A</v>
      </c>
      <c r="L90" s="279" t="e">
        <f t="shared" ca="1" si="39"/>
        <v>#N/A</v>
      </c>
      <c r="M90" s="178" t="e">
        <f ca="1">INDEX(RESULTADOS!$A:$BZ,MATCH($A90,RESULTADOS!$A:$A,0),MATCH(M$1,RESULTADOS!$1:$1,0))</f>
        <v>#N/A</v>
      </c>
      <c r="N90" s="178"/>
      <c r="O90" s="278" t="e">
        <f t="shared" ca="1" si="40"/>
        <v>#N/A</v>
      </c>
      <c r="P90" s="278" t="e">
        <f t="shared" ca="1" si="40"/>
        <v>#N/A</v>
      </c>
      <c r="Q90" s="278" t="e">
        <f t="shared" ca="1" si="28"/>
        <v>#N/A</v>
      </c>
      <c r="R90" s="278" t="e">
        <f t="shared" ca="1" si="29"/>
        <v>#N/A</v>
      </c>
      <c r="S90" s="278" t="e">
        <f t="shared" ca="1" si="30"/>
        <v>#N/A</v>
      </c>
      <c r="T90" s="278" t="e">
        <f t="shared" ca="1" si="31"/>
        <v>#N/A</v>
      </c>
      <c r="U90" s="278" t="e">
        <f t="shared" ca="1" si="32"/>
        <v>#N/A</v>
      </c>
      <c r="V90" s="278" t="e">
        <f t="shared" ca="1" si="33"/>
        <v>#N/A</v>
      </c>
      <c r="W90" s="278" t="e">
        <f t="shared" ca="1" si="34"/>
        <v>#N/A</v>
      </c>
      <c r="X90" s="272" t="e">
        <f t="shared" ca="1" si="35"/>
        <v>#N/A</v>
      </c>
      <c r="Y90" s="272" t="e">
        <f t="shared" ca="1" si="36"/>
        <v>#N/A</v>
      </c>
      <c r="Z90" s="272" t="e">
        <f t="shared" ca="1" si="37"/>
        <v>#N/A</v>
      </c>
    </row>
    <row r="91" spans="1:26" s="272" customFormat="1" x14ac:dyDescent="0.2">
      <c r="A91" s="273">
        <f t="shared" ca="1" si="17"/>
        <v>43890</v>
      </c>
      <c r="B91" s="279" t="e">
        <f ca="1">INDEX(RESULTADOS!$A:$BZ,MATCH($A91,RESULTADOS!$A:$A,0),MATCH(B$1,RESULTADOS!$1:$1,0))</f>
        <v>#N/A</v>
      </c>
      <c r="C91" s="178" t="e">
        <f t="shared" ca="1" si="38"/>
        <v>#N/A</v>
      </c>
      <c r="D91" s="178" t="e">
        <f t="shared" ca="1" si="38"/>
        <v>#N/A</v>
      </c>
      <c r="E91" s="178" t="e">
        <f t="shared" ca="1" si="38"/>
        <v>#N/A</v>
      </c>
      <c r="F91" s="178" t="e">
        <f t="shared" ca="1" si="38"/>
        <v>#N/A</v>
      </c>
      <c r="G91" s="279" t="e">
        <f t="shared" ca="1" si="26"/>
        <v>#N/A</v>
      </c>
      <c r="H91" s="279" t="e">
        <f t="shared" ca="1" si="27"/>
        <v>#N/A</v>
      </c>
      <c r="I91" s="178" t="e">
        <f ca="1">INDEX(RESULTADOS!$A:$BZ,MATCH($A91,RESULTADOS!$A:$A,0),MATCH(I$1,RESULTADOS!$1:$1,0))</f>
        <v>#N/A</v>
      </c>
      <c r="J91" s="178" t="e">
        <f ca="1">INDEX(RESULTADOS!$A:$BZ,MATCH($A91,RESULTADOS!$A:$A,0),MATCH(J$1,RESULTADOS!$1:$1,0))</f>
        <v>#N/A</v>
      </c>
      <c r="K91" s="279" t="e">
        <f t="shared" ca="1" si="39"/>
        <v>#N/A</v>
      </c>
      <c r="L91" s="279" t="e">
        <f t="shared" ca="1" si="39"/>
        <v>#N/A</v>
      </c>
      <c r="M91" s="178" t="e">
        <f ca="1">INDEX(RESULTADOS!$A:$BZ,MATCH($A91,RESULTADOS!$A:$A,0),MATCH(M$1,RESULTADOS!$1:$1,0))</f>
        <v>#N/A</v>
      </c>
      <c r="N91" s="178"/>
      <c r="O91" s="278" t="e">
        <f t="shared" ca="1" si="40"/>
        <v>#N/A</v>
      </c>
      <c r="P91" s="278" t="e">
        <f t="shared" ca="1" si="40"/>
        <v>#N/A</v>
      </c>
      <c r="Q91" s="278" t="e">
        <f t="shared" ca="1" si="28"/>
        <v>#N/A</v>
      </c>
      <c r="R91" s="278" t="e">
        <f t="shared" ca="1" si="29"/>
        <v>#N/A</v>
      </c>
      <c r="S91" s="278" t="e">
        <f t="shared" ca="1" si="30"/>
        <v>#N/A</v>
      </c>
      <c r="T91" s="278" t="e">
        <f t="shared" ca="1" si="31"/>
        <v>#N/A</v>
      </c>
      <c r="U91" s="278" t="e">
        <f t="shared" ca="1" si="32"/>
        <v>#N/A</v>
      </c>
      <c r="V91" s="278" t="e">
        <f t="shared" ca="1" si="33"/>
        <v>#N/A</v>
      </c>
      <c r="W91" s="278" t="e">
        <f t="shared" ca="1" si="34"/>
        <v>#N/A</v>
      </c>
      <c r="X91" s="272" t="e">
        <f t="shared" ca="1" si="35"/>
        <v>#N/A</v>
      </c>
      <c r="Y91" s="272" t="e">
        <f t="shared" ca="1" si="36"/>
        <v>#N/A</v>
      </c>
      <c r="Z91" s="272" t="e">
        <f t="shared" ca="1" si="37"/>
        <v>#N/A</v>
      </c>
    </row>
    <row r="92" spans="1:26" s="272" customFormat="1" x14ac:dyDescent="0.2">
      <c r="A92" s="273">
        <f t="shared" ca="1" si="17"/>
        <v>43891</v>
      </c>
      <c r="B92" s="279" t="e">
        <f ca="1">INDEX(RESULTADOS!$A:$BZ,MATCH($A92,RESULTADOS!$A:$A,0),MATCH(B$1,RESULTADOS!$1:$1,0))</f>
        <v>#N/A</v>
      </c>
      <c r="C92" s="178" t="e">
        <f t="shared" ca="1" si="38"/>
        <v>#N/A</v>
      </c>
      <c r="D92" s="178" t="e">
        <f t="shared" ca="1" si="38"/>
        <v>#N/A</v>
      </c>
      <c r="E92" s="178" t="e">
        <f t="shared" ca="1" si="38"/>
        <v>#N/A</v>
      </c>
      <c r="F92" s="178" t="e">
        <f t="shared" ca="1" si="38"/>
        <v>#N/A</v>
      </c>
      <c r="G92" s="279" t="e">
        <f t="shared" ca="1" si="26"/>
        <v>#N/A</v>
      </c>
      <c r="H92" s="279" t="e">
        <f t="shared" ca="1" si="27"/>
        <v>#N/A</v>
      </c>
      <c r="I92" s="178" t="e">
        <f ca="1">INDEX(RESULTADOS!$A:$BZ,MATCH($A92,RESULTADOS!$A:$A,0),MATCH(I$1,RESULTADOS!$1:$1,0))</f>
        <v>#N/A</v>
      </c>
      <c r="J92" s="178" t="e">
        <f ca="1">INDEX(RESULTADOS!$A:$BZ,MATCH($A92,RESULTADOS!$A:$A,0),MATCH(J$1,RESULTADOS!$1:$1,0))</f>
        <v>#N/A</v>
      </c>
      <c r="K92" s="279" t="e">
        <f t="shared" ca="1" si="39"/>
        <v>#N/A</v>
      </c>
      <c r="L92" s="279" t="e">
        <f t="shared" ca="1" si="39"/>
        <v>#N/A</v>
      </c>
      <c r="M92" s="178" t="e">
        <f ca="1">INDEX(RESULTADOS!$A:$BZ,MATCH($A92,RESULTADOS!$A:$A,0),MATCH(M$1,RESULTADOS!$1:$1,0))</f>
        <v>#N/A</v>
      </c>
      <c r="N92" s="178"/>
      <c r="O92" s="278" t="e">
        <f t="shared" ca="1" si="40"/>
        <v>#N/A</v>
      </c>
      <c r="P92" s="278" t="e">
        <f t="shared" ca="1" si="40"/>
        <v>#N/A</v>
      </c>
      <c r="Q92" s="278" t="e">
        <f t="shared" ca="1" si="28"/>
        <v>#N/A</v>
      </c>
      <c r="R92" s="278" t="e">
        <f t="shared" ca="1" si="29"/>
        <v>#N/A</v>
      </c>
      <c r="S92" s="278" t="e">
        <f t="shared" ca="1" si="30"/>
        <v>#N/A</v>
      </c>
      <c r="T92" s="278" t="e">
        <f t="shared" ca="1" si="31"/>
        <v>#N/A</v>
      </c>
      <c r="U92" s="278" t="e">
        <f t="shared" ca="1" si="32"/>
        <v>#N/A</v>
      </c>
      <c r="V92" s="278" t="e">
        <f t="shared" ca="1" si="33"/>
        <v>#N/A</v>
      </c>
      <c r="W92" s="278" t="e">
        <f t="shared" ca="1" si="34"/>
        <v>#N/A</v>
      </c>
      <c r="X92" s="272" t="e">
        <f t="shared" ca="1" si="35"/>
        <v>#N/A</v>
      </c>
      <c r="Y92" s="272" t="e">
        <f t="shared" ca="1" si="36"/>
        <v>#N/A</v>
      </c>
      <c r="Z92" s="272" t="e">
        <f t="shared" ca="1" si="37"/>
        <v>#N/A</v>
      </c>
    </row>
    <row r="93" spans="1:26" s="272" customFormat="1" x14ac:dyDescent="0.2">
      <c r="A93" s="273">
        <f t="shared" ca="1" si="17"/>
        <v>43892</v>
      </c>
      <c r="B93" s="279" t="e">
        <f ca="1">INDEX(RESULTADOS!$A:$BZ,MATCH($A93,RESULTADOS!$A:$A,0),MATCH(B$1,RESULTADOS!$1:$1,0))</f>
        <v>#N/A</v>
      </c>
      <c r="C93" s="178" t="e">
        <f t="shared" ca="1" si="38"/>
        <v>#N/A</v>
      </c>
      <c r="D93" s="178" t="e">
        <f t="shared" ca="1" si="38"/>
        <v>#N/A</v>
      </c>
      <c r="E93" s="178" t="e">
        <f t="shared" ca="1" si="38"/>
        <v>#N/A</v>
      </c>
      <c r="F93" s="178" t="e">
        <f t="shared" ca="1" si="38"/>
        <v>#N/A</v>
      </c>
      <c r="G93" s="279" t="e">
        <f t="shared" ca="1" si="26"/>
        <v>#N/A</v>
      </c>
      <c r="H93" s="279" t="e">
        <f t="shared" ca="1" si="27"/>
        <v>#N/A</v>
      </c>
      <c r="I93" s="178" t="e">
        <f ca="1">INDEX(RESULTADOS!$A:$BZ,MATCH($A93,RESULTADOS!$A:$A,0),MATCH(I$1,RESULTADOS!$1:$1,0))</f>
        <v>#N/A</v>
      </c>
      <c r="J93" s="178" t="e">
        <f ca="1">INDEX(RESULTADOS!$A:$BZ,MATCH($A93,RESULTADOS!$A:$A,0),MATCH(J$1,RESULTADOS!$1:$1,0))</f>
        <v>#N/A</v>
      </c>
      <c r="K93" s="279" t="e">
        <f t="shared" ca="1" si="39"/>
        <v>#N/A</v>
      </c>
      <c r="L93" s="279" t="e">
        <f t="shared" ca="1" si="39"/>
        <v>#N/A</v>
      </c>
      <c r="M93" s="178" t="e">
        <f ca="1">INDEX(RESULTADOS!$A:$BZ,MATCH($A93,RESULTADOS!$A:$A,0),MATCH(M$1,RESULTADOS!$1:$1,0))</f>
        <v>#N/A</v>
      </c>
      <c r="N93" s="178"/>
      <c r="O93" s="278" t="e">
        <f t="shared" ca="1" si="40"/>
        <v>#N/A</v>
      </c>
      <c r="P93" s="278" t="e">
        <f t="shared" ca="1" si="40"/>
        <v>#N/A</v>
      </c>
      <c r="Q93" s="278" t="e">
        <f t="shared" ca="1" si="28"/>
        <v>#N/A</v>
      </c>
      <c r="R93" s="278" t="e">
        <f t="shared" ca="1" si="29"/>
        <v>#N/A</v>
      </c>
      <c r="S93" s="278" t="e">
        <f t="shared" ca="1" si="30"/>
        <v>#N/A</v>
      </c>
      <c r="T93" s="278" t="e">
        <f t="shared" ca="1" si="31"/>
        <v>#N/A</v>
      </c>
      <c r="U93" s="278" t="e">
        <f t="shared" ca="1" si="32"/>
        <v>#N/A</v>
      </c>
      <c r="V93" s="278" t="e">
        <f t="shared" ca="1" si="33"/>
        <v>#N/A</v>
      </c>
      <c r="W93" s="278" t="e">
        <f t="shared" ca="1" si="34"/>
        <v>#N/A</v>
      </c>
      <c r="X93" s="272" t="e">
        <f t="shared" ca="1" si="35"/>
        <v>#N/A</v>
      </c>
      <c r="Y93" s="272" t="e">
        <f t="shared" ca="1" si="36"/>
        <v>#N/A</v>
      </c>
      <c r="Z93" s="272" t="e">
        <f t="shared" ca="1" si="37"/>
        <v>#N/A</v>
      </c>
    </row>
    <row r="94" spans="1:26" s="272" customFormat="1" x14ac:dyDescent="0.2">
      <c r="A94" s="273">
        <f t="shared" ca="1" si="17"/>
        <v>43893</v>
      </c>
      <c r="B94" s="279" t="e">
        <f ca="1">INDEX(RESULTADOS!$A:$BZ,MATCH($A94,RESULTADOS!$A:$A,0),MATCH(B$1,RESULTADOS!$1:$1,0))</f>
        <v>#N/A</v>
      </c>
      <c r="C94" s="178" t="e">
        <f t="shared" ca="1" si="38"/>
        <v>#N/A</v>
      </c>
      <c r="D94" s="178" t="e">
        <f t="shared" ca="1" si="38"/>
        <v>#N/A</v>
      </c>
      <c r="E94" s="178" t="e">
        <f t="shared" ca="1" si="38"/>
        <v>#N/A</v>
      </c>
      <c r="F94" s="178" t="e">
        <f t="shared" ca="1" si="38"/>
        <v>#N/A</v>
      </c>
      <c r="G94" s="279" t="e">
        <f t="shared" ca="1" si="26"/>
        <v>#N/A</v>
      </c>
      <c r="H94" s="279" t="e">
        <f t="shared" ca="1" si="27"/>
        <v>#N/A</v>
      </c>
      <c r="I94" s="178" t="e">
        <f ca="1">INDEX(RESULTADOS!$A:$BZ,MATCH($A94,RESULTADOS!$A:$A,0),MATCH(I$1,RESULTADOS!$1:$1,0))</f>
        <v>#N/A</v>
      </c>
      <c r="J94" s="178" t="e">
        <f ca="1">INDEX(RESULTADOS!$A:$BZ,MATCH($A94,RESULTADOS!$A:$A,0),MATCH(J$1,RESULTADOS!$1:$1,0))</f>
        <v>#N/A</v>
      </c>
      <c r="K94" s="279" t="e">
        <f t="shared" ca="1" si="39"/>
        <v>#N/A</v>
      </c>
      <c r="L94" s="279" t="e">
        <f t="shared" ca="1" si="39"/>
        <v>#N/A</v>
      </c>
      <c r="M94" s="178" t="e">
        <f ca="1">INDEX(RESULTADOS!$A:$BZ,MATCH($A94,RESULTADOS!$A:$A,0),MATCH(M$1,RESULTADOS!$1:$1,0))</f>
        <v>#N/A</v>
      </c>
      <c r="N94" s="178"/>
      <c r="O94" s="278" t="e">
        <f t="shared" ca="1" si="40"/>
        <v>#N/A</v>
      </c>
      <c r="P94" s="278" t="e">
        <f t="shared" ca="1" si="40"/>
        <v>#N/A</v>
      </c>
      <c r="Q94" s="278" t="e">
        <f t="shared" ca="1" si="28"/>
        <v>#N/A</v>
      </c>
      <c r="R94" s="278" t="e">
        <f t="shared" ca="1" si="29"/>
        <v>#N/A</v>
      </c>
      <c r="S94" s="278" t="e">
        <f t="shared" ca="1" si="30"/>
        <v>#N/A</v>
      </c>
      <c r="T94" s="278" t="e">
        <f t="shared" ca="1" si="31"/>
        <v>#N/A</v>
      </c>
      <c r="U94" s="278" t="e">
        <f t="shared" ca="1" si="32"/>
        <v>#N/A</v>
      </c>
      <c r="V94" s="278" t="e">
        <f t="shared" ca="1" si="33"/>
        <v>#N/A</v>
      </c>
      <c r="W94" s="278" t="e">
        <f t="shared" ca="1" si="34"/>
        <v>#N/A</v>
      </c>
      <c r="X94" s="272" t="e">
        <f t="shared" ca="1" si="35"/>
        <v>#N/A</v>
      </c>
      <c r="Y94" s="272" t="e">
        <f t="shared" ca="1" si="36"/>
        <v>#N/A</v>
      </c>
      <c r="Z94" s="272" t="e">
        <f t="shared" ca="1" si="37"/>
        <v>#N/A</v>
      </c>
    </row>
    <row r="95" spans="1:26" s="272" customFormat="1" x14ac:dyDescent="0.2">
      <c r="A95" s="273">
        <f t="shared" ca="1" si="17"/>
        <v>43894</v>
      </c>
      <c r="B95" s="279" t="e">
        <f ca="1">INDEX(RESULTADOS!$A:$BZ,MATCH($A95,RESULTADOS!$A:$A,0),MATCH(B$1,RESULTADOS!$1:$1,0))</f>
        <v>#N/A</v>
      </c>
      <c r="C95" s="178" t="e">
        <f t="shared" ca="1" si="38"/>
        <v>#N/A</v>
      </c>
      <c r="D95" s="178" t="e">
        <f t="shared" ca="1" si="38"/>
        <v>#N/A</v>
      </c>
      <c r="E95" s="178" t="e">
        <f t="shared" ca="1" si="38"/>
        <v>#N/A</v>
      </c>
      <c r="F95" s="178" t="e">
        <f t="shared" ca="1" si="38"/>
        <v>#N/A</v>
      </c>
      <c r="G95" s="279" t="e">
        <f t="shared" ca="1" si="26"/>
        <v>#N/A</v>
      </c>
      <c r="H95" s="279" t="e">
        <f t="shared" ca="1" si="27"/>
        <v>#N/A</v>
      </c>
      <c r="I95" s="178" t="e">
        <f ca="1">INDEX(RESULTADOS!$A:$BZ,MATCH($A95,RESULTADOS!$A:$A,0),MATCH(I$1,RESULTADOS!$1:$1,0))</f>
        <v>#N/A</v>
      </c>
      <c r="J95" s="178" t="e">
        <f ca="1">INDEX(RESULTADOS!$A:$BZ,MATCH($A95,RESULTADOS!$A:$A,0),MATCH(J$1,RESULTADOS!$1:$1,0))</f>
        <v>#N/A</v>
      </c>
      <c r="K95" s="279" t="e">
        <f t="shared" ca="1" si="39"/>
        <v>#N/A</v>
      </c>
      <c r="L95" s="279" t="e">
        <f t="shared" ca="1" si="39"/>
        <v>#N/A</v>
      </c>
      <c r="M95" s="178" t="e">
        <f ca="1">INDEX(RESULTADOS!$A:$BZ,MATCH($A95,RESULTADOS!$A:$A,0),MATCH(M$1,RESULTADOS!$1:$1,0))</f>
        <v>#N/A</v>
      </c>
      <c r="N95" s="178"/>
      <c r="O95" s="278" t="e">
        <f t="shared" ca="1" si="40"/>
        <v>#N/A</v>
      </c>
      <c r="P95" s="278" t="e">
        <f t="shared" ca="1" si="40"/>
        <v>#N/A</v>
      </c>
      <c r="Q95" s="278" t="e">
        <f t="shared" ca="1" si="28"/>
        <v>#N/A</v>
      </c>
      <c r="R95" s="278" t="e">
        <f t="shared" ca="1" si="29"/>
        <v>#N/A</v>
      </c>
      <c r="S95" s="278" t="e">
        <f t="shared" ca="1" si="30"/>
        <v>#N/A</v>
      </c>
      <c r="T95" s="278" t="e">
        <f t="shared" ca="1" si="31"/>
        <v>#N/A</v>
      </c>
      <c r="U95" s="278" t="e">
        <f t="shared" ca="1" si="32"/>
        <v>#N/A</v>
      </c>
      <c r="V95" s="278" t="e">
        <f t="shared" ca="1" si="33"/>
        <v>#N/A</v>
      </c>
      <c r="W95" s="278" t="e">
        <f t="shared" ca="1" si="34"/>
        <v>#N/A</v>
      </c>
      <c r="X95" s="272" t="e">
        <f t="shared" ca="1" si="35"/>
        <v>#N/A</v>
      </c>
      <c r="Y95" s="272" t="e">
        <f t="shared" ca="1" si="36"/>
        <v>#N/A</v>
      </c>
      <c r="Z95" s="272" t="e">
        <f t="shared" ca="1" si="37"/>
        <v>#N/A</v>
      </c>
    </row>
    <row r="96" spans="1:26" s="272" customFormat="1" x14ac:dyDescent="0.2">
      <c r="A96" s="273">
        <f t="shared" ca="1" si="17"/>
        <v>43895</v>
      </c>
      <c r="B96" s="279" t="e">
        <f ca="1">INDEX(RESULTADOS!$A:$BZ,MATCH($A96,RESULTADOS!$A:$A,0),MATCH(B$1,RESULTADOS!$1:$1,0))</f>
        <v>#N/A</v>
      </c>
      <c r="C96" s="178" t="e">
        <f t="shared" ca="1" si="38"/>
        <v>#N/A</v>
      </c>
      <c r="D96" s="178" t="e">
        <f t="shared" ca="1" si="38"/>
        <v>#N/A</v>
      </c>
      <c r="E96" s="178" t="e">
        <f t="shared" ca="1" si="38"/>
        <v>#N/A</v>
      </c>
      <c r="F96" s="178" t="e">
        <f t="shared" ca="1" si="38"/>
        <v>#N/A</v>
      </c>
      <c r="G96" s="279" t="e">
        <f t="shared" ca="1" si="26"/>
        <v>#N/A</v>
      </c>
      <c r="H96" s="279" t="e">
        <f t="shared" ca="1" si="27"/>
        <v>#N/A</v>
      </c>
      <c r="I96" s="178" t="e">
        <f ca="1">INDEX(RESULTADOS!$A:$BZ,MATCH($A96,RESULTADOS!$A:$A,0),MATCH(I$1,RESULTADOS!$1:$1,0))</f>
        <v>#N/A</v>
      </c>
      <c r="J96" s="178" t="e">
        <f ca="1">INDEX(RESULTADOS!$A:$BZ,MATCH($A96,RESULTADOS!$A:$A,0),MATCH(J$1,RESULTADOS!$1:$1,0))</f>
        <v>#N/A</v>
      </c>
      <c r="K96" s="279" t="e">
        <f t="shared" ca="1" si="39"/>
        <v>#N/A</v>
      </c>
      <c r="L96" s="279" t="e">
        <f t="shared" ca="1" si="39"/>
        <v>#N/A</v>
      </c>
      <c r="M96" s="178" t="e">
        <f ca="1">INDEX(RESULTADOS!$A:$BZ,MATCH($A96,RESULTADOS!$A:$A,0),MATCH(M$1,RESULTADOS!$1:$1,0))</f>
        <v>#N/A</v>
      </c>
      <c r="N96" s="178"/>
      <c r="O96" s="278" t="e">
        <f t="shared" ca="1" si="40"/>
        <v>#N/A</v>
      </c>
      <c r="P96" s="278" t="e">
        <f t="shared" ca="1" si="40"/>
        <v>#N/A</v>
      </c>
      <c r="Q96" s="278" t="e">
        <f t="shared" ca="1" si="28"/>
        <v>#N/A</v>
      </c>
      <c r="R96" s="278" t="e">
        <f t="shared" ca="1" si="29"/>
        <v>#N/A</v>
      </c>
      <c r="S96" s="278" t="e">
        <f t="shared" ca="1" si="30"/>
        <v>#N/A</v>
      </c>
      <c r="T96" s="278" t="e">
        <f t="shared" ca="1" si="31"/>
        <v>#N/A</v>
      </c>
      <c r="U96" s="278" t="e">
        <f t="shared" ca="1" si="32"/>
        <v>#N/A</v>
      </c>
      <c r="V96" s="278" t="e">
        <f t="shared" ca="1" si="33"/>
        <v>#N/A</v>
      </c>
      <c r="W96" s="278" t="e">
        <f t="shared" ca="1" si="34"/>
        <v>#N/A</v>
      </c>
      <c r="X96" s="272" t="e">
        <f t="shared" ca="1" si="35"/>
        <v>#N/A</v>
      </c>
      <c r="Y96" s="272" t="e">
        <f t="shared" ca="1" si="36"/>
        <v>#N/A</v>
      </c>
      <c r="Z96" s="272" t="e">
        <f t="shared" ca="1" si="37"/>
        <v>#N/A</v>
      </c>
    </row>
    <row r="97" spans="1:26" s="272" customFormat="1" x14ac:dyDescent="0.2">
      <c r="A97" s="273">
        <f t="shared" ca="1" si="17"/>
        <v>43896</v>
      </c>
      <c r="B97" s="279" t="e">
        <f ca="1">INDEX(RESULTADOS!$A:$BZ,MATCH($A97,RESULTADOS!$A:$A,0),MATCH(B$1,RESULTADOS!$1:$1,0))</f>
        <v>#N/A</v>
      </c>
      <c r="C97" s="178" t="e">
        <f t="shared" ca="1" si="38"/>
        <v>#N/A</v>
      </c>
      <c r="D97" s="178" t="e">
        <f t="shared" ca="1" si="38"/>
        <v>#N/A</v>
      </c>
      <c r="E97" s="178" t="e">
        <f t="shared" ca="1" si="38"/>
        <v>#N/A</v>
      </c>
      <c r="F97" s="178" t="e">
        <f t="shared" ca="1" si="38"/>
        <v>#N/A</v>
      </c>
      <c r="G97" s="279" t="e">
        <f t="shared" ca="1" si="26"/>
        <v>#N/A</v>
      </c>
      <c r="H97" s="279" t="e">
        <f t="shared" ca="1" si="27"/>
        <v>#N/A</v>
      </c>
      <c r="I97" s="178" t="e">
        <f ca="1">INDEX(RESULTADOS!$A:$BZ,MATCH($A97,RESULTADOS!$A:$A,0),MATCH(I$1,RESULTADOS!$1:$1,0))</f>
        <v>#N/A</v>
      </c>
      <c r="J97" s="178" t="e">
        <f ca="1">INDEX(RESULTADOS!$A:$BZ,MATCH($A97,RESULTADOS!$A:$A,0),MATCH(J$1,RESULTADOS!$1:$1,0))</f>
        <v>#N/A</v>
      </c>
      <c r="K97" s="279" t="e">
        <f t="shared" ca="1" si="39"/>
        <v>#N/A</v>
      </c>
      <c r="L97" s="279" t="e">
        <f t="shared" ca="1" si="39"/>
        <v>#N/A</v>
      </c>
      <c r="M97" s="178" t="e">
        <f ca="1">INDEX(RESULTADOS!$A:$BZ,MATCH($A97,RESULTADOS!$A:$A,0),MATCH(M$1,RESULTADOS!$1:$1,0))</f>
        <v>#N/A</v>
      </c>
      <c r="N97" s="178"/>
      <c r="O97" s="278" t="e">
        <f t="shared" ca="1" si="40"/>
        <v>#N/A</v>
      </c>
      <c r="P97" s="278" t="e">
        <f t="shared" ca="1" si="40"/>
        <v>#N/A</v>
      </c>
      <c r="Q97" s="278" t="e">
        <f t="shared" ca="1" si="28"/>
        <v>#N/A</v>
      </c>
      <c r="R97" s="278" t="e">
        <f t="shared" ca="1" si="29"/>
        <v>#N/A</v>
      </c>
      <c r="S97" s="278" t="e">
        <f t="shared" ca="1" si="30"/>
        <v>#N/A</v>
      </c>
      <c r="T97" s="278" t="e">
        <f t="shared" ca="1" si="31"/>
        <v>#N/A</v>
      </c>
      <c r="U97" s="278" t="e">
        <f t="shared" ca="1" si="32"/>
        <v>#N/A</v>
      </c>
      <c r="V97" s="278" t="e">
        <f t="shared" ca="1" si="33"/>
        <v>#N/A</v>
      </c>
      <c r="W97" s="278" t="e">
        <f t="shared" ca="1" si="34"/>
        <v>#N/A</v>
      </c>
      <c r="X97" s="272" t="e">
        <f t="shared" ca="1" si="35"/>
        <v>#N/A</v>
      </c>
      <c r="Y97" s="272" t="e">
        <f t="shared" ca="1" si="36"/>
        <v>#N/A</v>
      </c>
      <c r="Z97" s="272" t="e">
        <f t="shared" ca="1" si="37"/>
        <v>#N/A</v>
      </c>
    </row>
    <row r="98" spans="1:26" s="272" customFormat="1" x14ac:dyDescent="0.2">
      <c r="A98" s="273">
        <f t="shared" ca="1" si="17"/>
        <v>43897</v>
      </c>
      <c r="B98" s="279" t="e">
        <f ca="1">INDEX(RESULTADOS!$A:$BZ,MATCH($A98,RESULTADOS!$A:$A,0),MATCH(B$1,RESULTADOS!$1:$1,0))</f>
        <v>#N/A</v>
      </c>
      <c r="C98" s="178" t="e">
        <f t="shared" ca="1" si="38"/>
        <v>#N/A</v>
      </c>
      <c r="D98" s="178" t="e">
        <f t="shared" ca="1" si="38"/>
        <v>#N/A</v>
      </c>
      <c r="E98" s="178" t="e">
        <f t="shared" ca="1" si="38"/>
        <v>#N/A</v>
      </c>
      <c r="F98" s="178" t="e">
        <f t="shared" ca="1" si="38"/>
        <v>#N/A</v>
      </c>
      <c r="G98" s="279" t="e">
        <f t="shared" ca="1" si="26"/>
        <v>#N/A</v>
      </c>
      <c r="H98" s="279" t="e">
        <f t="shared" ca="1" si="27"/>
        <v>#N/A</v>
      </c>
      <c r="I98" s="178" t="e">
        <f ca="1">INDEX(RESULTADOS!$A:$BZ,MATCH($A98,RESULTADOS!$A:$A,0),MATCH(I$1,RESULTADOS!$1:$1,0))</f>
        <v>#N/A</v>
      </c>
      <c r="J98" s="178" t="e">
        <f ca="1">INDEX(RESULTADOS!$A:$BZ,MATCH($A98,RESULTADOS!$A:$A,0),MATCH(J$1,RESULTADOS!$1:$1,0))</f>
        <v>#N/A</v>
      </c>
      <c r="K98" s="279" t="e">
        <f t="shared" ca="1" si="39"/>
        <v>#N/A</v>
      </c>
      <c r="L98" s="279" t="e">
        <f t="shared" ca="1" si="39"/>
        <v>#N/A</v>
      </c>
      <c r="M98" s="178" t="e">
        <f ca="1">INDEX(RESULTADOS!$A:$BZ,MATCH($A98,RESULTADOS!$A:$A,0),MATCH(M$1,RESULTADOS!$1:$1,0))</f>
        <v>#N/A</v>
      </c>
      <c r="N98" s="178"/>
      <c r="O98" s="278" t="e">
        <f t="shared" ca="1" si="40"/>
        <v>#N/A</v>
      </c>
      <c r="P98" s="278" t="e">
        <f t="shared" ca="1" si="40"/>
        <v>#N/A</v>
      </c>
      <c r="Q98" s="278" t="e">
        <f t="shared" ca="1" si="28"/>
        <v>#N/A</v>
      </c>
      <c r="R98" s="278" t="e">
        <f t="shared" ca="1" si="29"/>
        <v>#N/A</v>
      </c>
      <c r="S98" s="278" t="e">
        <f t="shared" ca="1" si="30"/>
        <v>#N/A</v>
      </c>
      <c r="T98" s="278" t="e">
        <f t="shared" ca="1" si="31"/>
        <v>#N/A</v>
      </c>
      <c r="U98" s="278" t="e">
        <f t="shared" ca="1" si="32"/>
        <v>#N/A</v>
      </c>
      <c r="V98" s="278" t="e">
        <f t="shared" ca="1" si="33"/>
        <v>#N/A</v>
      </c>
      <c r="W98" s="278" t="e">
        <f t="shared" ca="1" si="34"/>
        <v>#N/A</v>
      </c>
      <c r="X98" s="272" t="e">
        <f t="shared" ca="1" si="35"/>
        <v>#N/A</v>
      </c>
      <c r="Y98" s="272" t="e">
        <f t="shared" ca="1" si="36"/>
        <v>#N/A</v>
      </c>
      <c r="Z98" s="272" t="e">
        <f t="shared" ca="1" si="37"/>
        <v>#N/A</v>
      </c>
    </row>
    <row r="99" spans="1:26" s="272" customFormat="1" x14ac:dyDescent="0.2">
      <c r="A99" s="273">
        <f t="shared" ca="1" si="17"/>
        <v>43898</v>
      </c>
      <c r="B99" s="279" t="e">
        <f ca="1">INDEX(RESULTADOS!$A:$BZ,MATCH($A99,RESULTADOS!$A:$A,0),MATCH(B$1,RESULTADOS!$1:$1,0))</f>
        <v>#N/A</v>
      </c>
      <c r="C99" s="178" t="e">
        <f t="shared" ca="1" si="38"/>
        <v>#N/A</v>
      </c>
      <c r="D99" s="178" t="e">
        <f t="shared" ca="1" si="38"/>
        <v>#N/A</v>
      </c>
      <c r="E99" s="178" t="e">
        <f t="shared" ca="1" si="38"/>
        <v>#N/A</v>
      </c>
      <c r="F99" s="178" t="e">
        <f t="shared" ca="1" si="38"/>
        <v>#N/A</v>
      </c>
      <c r="G99" s="279" t="e">
        <f t="shared" ca="1" si="26"/>
        <v>#N/A</v>
      </c>
      <c r="H99" s="279" t="e">
        <f t="shared" ca="1" si="27"/>
        <v>#N/A</v>
      </c>
      <c r="I99" s="178" t="e">
        <f ca="1">INDEX(RESULTADOS!$A:$BZ,MATCH($A99,RESULTADOS!$A:$A,0),MATCH(I$1,RESULTADOS!$1:$1,0))</f>
        <v>#N/A</v>
      </c>
      <c r="J99" s="178" t="e">
        <f ca="1">INDEX(RESULTADOS!$A:$BZ,MATCH($A99,RESULTADOS!$A:$A,0),MATCH(J$1,RESULTADOS!$1:$1,0))</f>
        <v>#N/A</v>
      </c>
      <c r="K99" s="279" t="e">
        <f t="shared" ca="1" si="39"/>
        <v>#N/A</v>
      </c>
      <c r="L99" s="279" t="e">
        <f t="shared" ca="1" si="39"/>
        <v>#N/A</v>
      </c>
      <c r="M99" s="178" t="e">
        <f ca="1">INDEX(RESULTADOS!$A:$BZ,MATCH($A99,RESULTADOS!$A:$A,0),MATCH(M$1,RESULTADOS!$1:$1,0))</f>
        <v>#N/A</v>
      </c>
      <c r="N99" s="178"/>
      <c r="O99" s="278" t="e">
        <f t="shared" ca="1" si="40"/>
        <v>#N/A</v>
      </c>
      <c r="P99" s="278" t="e">
        <f t="shared" ca="1" si="40"/>
        <v>#N/A</v>
      </c>
      <c r="Q99" s="278" t="e">
        <f t="shared" ca="1" si="28"/>
        <v>#N/A</v>
      </c>
      <c r="R99" s="278" t="e">
        <f t="shared" ca="1" si="29"/>
        <v>#N/A</v>
      </c>
      <c r="S99" s="278" t="e">
        <f t="shared" ca="1" si="30"/>
        <v>#N/A</v>
      </c>
      <c r="T99" s="278" t="e">
        <f t="shared" ca="1" si="31"/>
        <v>#N/A</v>
      </c>
      <c r="U99" s="278" t="e">
        <f t="shared" ca="1" si="32"/>
        <v>#N/A</v>
      </c>
      <c r="V99" s="278" t="e">
        <f t="shared" ca="1" si="33"/>
        <v>#N/A</v>
      </c>
      <c r="W99" s="278" t="e">
        <f t="shared" ca="1" si="34"/>
        <v>#N/A</v>
      </c>
      <c r="X99" s="272" t="e">
        <f t="shared" ca="1" si="35"/>
        <v>#N/A</v>
      </c>
      <c r="Y99" s="272" t="e">
        <f t="shared" ca="1" si="36"/>
        <v>#N/A</v>
      </c>
      <c r="Z99" s="272" t="e">
        <f t="shared" ca="1" si="37"/>
        <v>#N/A</v>
      </c>
    </row>
    <row r="100" spans="1:26" s="272" customFormat="1" x14ac:dyDescent="0.2">
      <c r="A100" s="273">
        <f t="shared" ca="1" si="17"/>
        <v>43899</v>
      </c>
      <c r="B100" s="279" t="e">
        <f ca="1">INDEX(RESULTADOS!$A:$BZ,MATCH($A100,RESULTADOS!$A:$A,0),MATCH(B$1,RESULTADOS!$1:$1,0))</f>
        <v>#N/A</v>
      </c>
      <c r="C100" s="178" t="e">
        <f t="shared" ca="1" si="38"/>
        <v>#N/A</v>
      </c>
      <c r="D100" s="178" t="e">
        <f t="shared" ca="1" si="38"/>
        <v>#N/A</v>
      </c>
      <c r="E100" s="178" t="e">
        <f t="shared" ca="1" si="38"/>
        <v>#N/A</v>
      </c>
      <c r="F100" s="178" t="e">
        <f t="shared" ca="1" si="38"/>
        <v>#N/A</v>
      </c>
      <c r="G100" s="279" t="e">
        <f t="shared" ca="1" si="26"/>
        <v>#N/A</v>
      </c>
      <c r="H100" s="279" t="e">
        <f t="shared" ca="1" si="27"/>
        <v>#N/A</v>
      </c>
      <c r="I100" s="178" t="e">
        <f ca="1">INDEX(RESULTADOS!$A:$BZ,MATCH($A100,RESULTADOS!$A:$A,0),MATCH(I$1,RESULTADOS!$1:$1,0))</f>
        <v>#N/A</v>
      </c>
      <c r="J100" s="178" t="e">
        <f ca="1">INDEX(RESULTADOS!$A:$BZ,MATCH($A100,RESULTADOS!$A:$A,0),MATCH(J$1,RESULTADOS!$1:$1,0))</f>
        <v>#N/A</v>
      </c>
      <c r="K100" s="279" t="e">
        <f t="shared" ca="1" si="39"/>
        <v>#N/A</v>
      </c>
      <c r="L100" s="279" t="e">
        <f t="shared" ca="1" si="39"/>
        <v>#N/A</v>
      </c>
      <c r="M100" s="178" t="e">
        <f ca="1">INDEX(RESULTADOS!$A:$BZ,MATCH($A100,RESULTADOS!$A:$A,0),MATCH(M$1,RESULTADOS!$1:$1,0))</f>
        <v>#N/A</v>
      </c>
      <c r="N100" s="178"/>
      <c r="O100" s="278" t="e">
        <f t="shared" ca="1" si="40"/>
        <v>#N/A</v>
      </c>
      <c r="P100" s="278" t="e">
        <f t="shared" ca="1" si="40"/>
        <v>#N/A</v>
      </c>
      <c r="Q100" s="278" t="e">
        <f t="shared" ca="1" si="28"/>
        <v>#N/A</v>
      </c>
      <c r="R100" s="278" t="e">
        <f t="shared" ca="1" si="29"/>
        <v>#N/A</v>
      </c>
      <c r="S100" s="278" t="e">
        <f t="shared" ca="1" si="30"/>
        <v>#N/A</v>
      </c>
      <c r="T100" s="278" t="e">
        <f t="shared" ca="1" si="31"/>
        <v>#N/A</v>
      </c>
      <c r="U100" s="278" t="e">
        <f t="shared" ca="1" si="32"/>
        <v>#N/A</v>
      </c>
      <c r="V100" s="278" t="e">
        <f t="shared" ca="1" si="33"/>
        <v>#N/A</v>
      </c>
      <c r="W100" s="278" t="e">
        <f t="shared" ca="1" si="34"/>
        <v>#N/A</v>
      </c>
      <c r="X100" s="272" t="e">
        <f t="shared" ca="1" si="35"/>
        <v>#N/A</v>
      </c>
      <c r="Y100" s="272" t="e">
        <f t="shared" ca="1" si="36"/>
        <v>#N/A</v>
      </c>
      <c r="Z100" s="272" t="e">
        <f t="shared" ca="1" si="37"/>
        <v>#N/A</v>
      </c>
    </row>
    <row r="101" spans="1:26" s="272" customFormat="1" x14ac:dyDescent="0.2">
      <c r="A101" s="273">
        <f t="shared" ca="1" si="17"/>
        <v>43900</v>
      </c>
      <c r="B101" s="279" t="e">
        <f ca="1">INDEX(RESULTADOS!$A:$BZ,MATCH($A101,RESULTADOS!$A:$A,0),MATCH(B$1,RESULTADOS!$1:$1,0))</f>
        <v>#N/A</v>
      </c>
      <c r="C101" s="178" t="e">
        <f t="shared" ca="1" si="38"/>
        <v>#N/A</v>
      </c>
      <c r="D101" s="178" t="e">
        <f t="shared" ca="1" si="38"/>
        <v>#N/A</v>
      </c>
      <c r="E101" s="178" t="e">
        <f t="shared" ca="1" si="38"/>
        <v>#N/A</v>
      </c>
      <c r="F101" s="178" t="e">
        <f t="shared" ca="1" si="38"/>
        <v>#N/A</v>
      </c>
      <c r="G101" s="279" t="e">
        <f t="shared" ca="1" si="26"/>
        <v>#N/A</v>
      </c>
      <c r="H101" s="279" t="e">
        <f t="shared" ca="1" si="27"/>
        <v>#N/A</v>
      </c>
      <c r="I101" s="178" t="e">
        <f ca="1">INDEX(RESULTADOS!$A:$BZ,MATCH($A101,RESULTADOS!$A:$A,0),MATCH(I$1,RESULTADOS!$1:$1,0))</f>
        <v>#N/A</v>
      </c>
      <c r="J101" s="178" t="e">
        <f ca="1">INDEX(RESULTADOS!$A:$BZ,MATCH($A101,RESULTADOS!$A:$A,0),MATCH(J$1,RESULTADOS!$1:$1,0))</f>
        <v>#N/A</v>
      </c>
      <c r="K101" s="279" t="e">
        <f t="shared" ca="1" si="39"/>
        <v>#N/A</v>
      </c>
      <c r="L101" s="279" t="e">
        <f t="shared" ca="1" si="39"/>
        <v>#N/A</v>
      </c>
      <c r="M101" s="178" t="e">
        <f ca="1">INDEX(RESULTADOS!$A:$BZ,MATCH($A101,RESULTADOS!$A:$A,0),MATCH(M$1,RESULTADOS!$1:$1,0))</f>
        <v>#N/A</v>
      </c>
      <c r="N101" s="178"/>
      <c r="O101" s="278" t="e">
        <f t="shared" ca="1" si="40"/>
        <v>#N/A</v>
      </c>
      <c r="P101" s="278" t="e">
        <f t="shared" ca="1" si="40"/>
        <v>#N/A</v>
      </c>
      <c r="Q101" s="278" t="e">
        <f t="shared" ca="1" si="28"/>
        <v>#N/A</v>
      </c>
      <c r="R101" s="278" t="e">
        <f t="shared" ca="1" si="29"/>
        <v>#N/A</v>
      </c>
      <c r="S101" s="278" t="e">
        <f t="shared" ca="1" si="30"/>
        <v>#N/A</v>
      </c>
      <c r="T101" s="278" t="e">
        <f t="shared" ca="1" si="31"/>
        <v>#N/A</v>
      </c>
      <c r="U101" s="278" t="e">
        <f t="shared" ca="1" si="32"/>
        <v>#N/A</v>
      </c>
      <c r="V101" s="278" t="e">
        <f t="shared" ca="1" si="33"/>
        <v>#N/A</v>
      </c>
      <c r="W101" s="278" t="e">
        <f t="shared" ca="1" si="34"/>
        <v>#N/A</v>
      </c>
      <c r="X101" s="272" t="e">
        <f t="shared" ca="1" si="35"/>
        <v>#N/A</v>
      </c>
      <c r="Y101" s="272" t="e">
        <f t="shared" ca="1" si="36"/>
        <v>#N/A</v>
      </c>
      <c r="Z101" s="272" t="e">
        <f t="shared" ca="1" si="37"/>
        <v>#N/A</v>
      </c>
    </row>
    <row r="102" spans="1:26" s="272" customFormat="1" x14ac:dyDescent="0.2">
      <c r="A102" s="273">
        <f t="shared" ca="1" si="17"/>
        <v>43901</v>
      </c>
      <c r="B102" s="279" t="e">
        <f ca="1">INDEX(RESULTADOS!$A:$BZ,MATCH($A102,RESULTADOS!$A:$A,0),MATCH(B$1,RESULTADOS!$1:$1,0))</f>
        <v>#N/A</v>
      </c>
      <c r="C102" s="178" t="e">
        <f t="shared" ca="1" si="38"/>
        <v>#N/A</v>
      </c>
      <c r="D102" s="178" t="e">
        <f t="shared" ca="1" si="38"/>
        <v>#N/A</v>
      </c>
      <c r="E102" s="178" t="e">
        <f t="shared" ca="1" si="38"/>
        <v>#N/A</v>
      </c>
      <c r="F102" s="178" t="e">
        <f t="shared" ca="1" si="38"/>
        <v>#N/A</v>
      </c>
      <c r="G102" s="279" t="e">
        <f t="shared" ca="1" si="26"/>
        <v>#N/A</v>
      </c>
      <c r="H102" s="279" t="e">
        <f t="shared" ca="1" si="27"/>
        <v>#N/A</v>
      </c>
      <c r="I102" s="178" t="e">
        <f ca="1">INDEX(RESULTADOS!$A:$BZ,MATCH($A102,RESULTADOS!$A:$A,0),MATCH(I$1,RESULTADOS!$1:$1,0))</f>
        <v>#N/A</v>
      </c>
      <c r="J102" s="178" t="e">
        <f ca="1">INDEX(RESULTADOS!$A:$BZ,MATCH($A102,RESULTADOS!$A:$A,0),MATCH(J$1,RESULTADOS!$1:$1,0))</f>
        <v>#N/A</v>
      </c>
      <c r="K102" s="279" t="e">
        <f t="shared" ca="1" si="39"/>
        <v>#N/A</v>
      </c>
      <c r="L102" s="279" t="e">
        <f t="shared" ca="1" si="39"/>
        <v>#N/A</v>
      </c>
      <c r="M102" s="178" t="e">
        <f ca="1">INDEX(RESULTADOS!$A:$BZ,MATCH($A102,RESULTADOS!$A:$A,0),MATCH(M$1,RESULTADOS!$1:$1,0))</f>
        <v>#N/A</v>
      </c>
      <c r="N102" s="178"/>
      <c r="O102" s="278" t="e">
        <f t="shared" ca="1" si="40"/>
        <v>#N/A</v>
      </c>
      <c r="P102" s="278" t="e">
        <f t="shared" ca="1" si="40"/>
        <v>#N/A</v>
      </c>
      <c r="Q102" s="278" t="e">
        <f t="shared" ca="1" si="28"/>
        <v>#N/A</v>
      </c>
      <c r="R102" s="278" t="e">
        <f t="shared" ca="1" si="29"/>
        <v>#N/A</v>
      </c>
      <c r="S102" s="278" t="e">
        <f t="shared" ca="1" si="30"/>
        <v>#N/A</v>
      </c>
      <c r="T102" s="278" t="e">
        <f t="shared" ca="1" si="31"/>
        <v>#N/A</v>
      </c>
      <c r="U102" s="278" t="e">
        <f t="shared" ca="1" si="32"/>
        <v>#N/A</v>
      </c>
      <c r="V102" s="278" t="e">
        <f t="shared" ca="1" si="33"/>
        <v>#N/A</v>
      </c>
      <c r="W102" s="278" t="e">
        <f t="shared" ca="1" si="34"/>
        <v>#N/A</v>
      </c>
      <c r="X102" s="272" t="e">
        <f t="shared" ca="1" si="35"/>
        <v>#N/A</v>
      </c>
      <c r="Y102" s="272" t="e">
        <f t="shared" ca="1" si="36"/>
        <v>#N/A</v>
      </c>
      <c r="Z102" s="272" t="e">
        <f t="shared" ca="1" si="37"/>
        <v>#N/A</v>
      </c>
    </row>
    <row r="103" spans="1:26" s="272" customFormat="1" x14ac:dyDescent="0.2">
      <c r="A103" s="273">
        <f t="shared" ref="A103:A110" ca="1" si="41">A102+1</f>
        <v>43902</v>
      </c>
      <c r="B103" s="279" t="e">
        <f ca="1">INDEX(RESULTADOS!$A:$BZ,MATCH($A103,RESULTADOS!$A:$A,0),MATCH(B$1,RESULTADOS!$1:$1,0))</f>
        <v>#N/A</v>
      </c>
      <c r="C103" s="178" t="e">
        <f t="shared" ca="1" si="38"/>
        <v>#N/A</v>
      </c>
      <c r="D103" s="178" t="e">
        <f t="shared" ca="1" si="38"/>
        <v>#N/A</v>
      </c>
      <c r="E103" s="178" t="e">
        <f t="shared" ca="1" si="38"/>
        <v>#N/A</v>
      </c>
      <c r="F103" s="178" t="e">
        <f t="shared" ca="1" si="38"/>
        <v>#N/A</v>
      </c>
      <c r="G103" s="279" t="e">
        <f t="shared" ca="1" si="26"/>
        <v>#N/A</v>
      </c>
      <c r="H103" s="279" t="e">
        <f t="shared" ca="1" si="27"/>
        <v>#N/A</v>
      </c>
      <c r="I103" s="178" t="e">
        <f ca="1">INDEX(RESULTADOS!$A:$BZ,MATCH($A103,RESULTADOS!$A:$A,0),MATCH(I$1,RESULTADOS!$1:$1,0))</f>
        <v>#N/A</v>
      </c>
      <c r="J103" s="178" t="e">
        <f ca="1">INDEX(RESULTADOS!$A:$BZ,MATCH($A103,RESULTADOS!$A:$A,0),MATCH(J$1,RESULTADOS!$1:$1,0))</f>
        <v>#N/A</v>
      </c>
      <c r="K103" s="279" t="e">
        <f t="shared" ca="1" si="39"/>
        <v>#N/A</v>
      </c>
      <c r="L103" s="279" t="e">
        <f t="shared" ca="1" si="39"/>
        <v>#N/A</v>
      </c>
      <c r="M103" s="178" t="e">
        <f ca="1">INDEX(RESULTADOS!$A:$BZ,MATCH($A103,RESULTADOS!$A:$A,0),MATCH(M$1,RESULTADOS!$1:$1,0))</f>
        <v>#N/A</v>
      </c>
      <c r="N103" s="178"/>
      <c r="O103" s="278" t="e">
        <f t="shared" ca="1" si="40"/>
        <v>#N/A</v>
      </c>
      <c r="P103" s="278" t="e">
        <f t="shared" ca="1" si="40"/>
        <v>#N/A</v>
      </c>
      <c r="Q103" s="278" t="e">
        <f t="shared" ca="1" si="28"/>
        <v>#N/A</v>
      </c>
      <c r="R103" s="278" t="e">
        <f t="shared" ca="1" si="29"/>
        <v>#N/A</v>
      </c>
      <c r="S103" s="278" t="e">
        <f t="shared" ca="1" si="30"/>
        <v>#N/A</v>
      </c>
      <c r="T103" s="278" t="e">
        <f t="shared" ca="1" si="31"/>
        <v>#N/A</v>
      </c>
      <c r="U103" s="278" t="e">
        <f t="shared" ca="1" si="32"/>
        <v>#N/A</v>
      </c>
      <c r="V103" s="278" t="e">
        <f t="shared" ca="1" si="33"/>
        <v>#N/A</v>
      </c>
      <c r="W103" s="278" t="e">
        <f t="shared" ca="1" si="34"/>
        <v>#N/A</v>
      </c>
      <c r="X103" s="272" t="e">
        <f t="shared" ca="1" si="35"/>
        <v>#N/A</v>
      </c>
      <c r="Y103" s="272" t="e">
        <f t="shared" ca="1" si="36"/>
        <v>#N/A</v>
      </c>
      <c r="Z103" s="272" t="e">
        <f t="shared" ca="1" si="37"/>
        <v>#N/A</v>
      </c>
    </row>
    <row r="104" spans="1:26" s="272" customFormat="1" x14ac:dyDescent="0.2">
      <c r="A104" s="273">
        <f t="shared" ca="1" si="41"/>
        <v>43903</v>
      </c>
      <c r="B104" s="279" t="e">
        <f ca="1">INDEX(RESULTADOS!$A:$BZ,MATCH($A104,RESULTADOS!$A:$A,0),MATCH(B$1,RESULTADOS!$1:$1,0))</f>
        <v>#N/A</v>
      </c>
      <c r="C104" s="178" t="e">
        <f t="shared" ca="1" si="38"/>
        <v>#N/A</v>
      </c>
      <c r="D104" s="178" t="e">
        <f t="shared" ca="1" si="38"/>
        <v>#N/A</v>
      </c>
      <c r="E104" s="178" t="e">
        <f t="shared" ca="1" si="38"/>
        <v>#N/A</v>
      </c>
      <c r="F104" s="178" t="e">
        <f t="shared" ca="1" si="38"/>
        <v>#N/A</v>
      </c>
      <c r="G104" s="279" t="e">
        <f t="shared" ca="1" si="26"/>
        <v>#N/A</v>
      </c>
      <c r="H104" s="279" t="e">
        <f t="shared" ca="1" si="27"/>
        <v>#N/A</v>
      </c>
      <c r="I104" s="178" t="e">
        <f ca="1">INDEX(RESULTADOS!$A:$BZ,MATCH($A104,RESULTADOS!$A:$A,0),MATCH(I$1,RESULTADOS!$1:$1,0))</f>
        <v>#N/A</v>
      </c>
      <c r="J104" s="178" t="e">
        <f ca="1">INDEX(RESULTADOS!$A:$BZ,MATCH($A104,RESULTADOS!$A:$A,0),MATCH(J$1,RESULTADOS!$1:$1,0))</f>
        <v>#N/A</v>
      </c>
      <c r="K104" s="279" t="e">
        <f t="shared" ca="1" si="39"/>
        <v>#N/A</v>
      </c>
      <c r="L104" s="279" t="e">
        <f t="shared" ca="1" si="39"/>
        <v>#N/A</v>
      </c>
      <c r="M104" s="178" t="e">
        <f ca="1">INDEX(RESULTADOS!$A:$BZ,MATCH($A104,RESULTADOS!$A:$A,0),MATCH(M$1,RESULTADOS!$1:$1,0))</f>
        <v>#N/A</v>
      </c>
      <c r="N104" s="178"/>
      <c r="O104" s="278" t="e">
        <f t="shared" ca="1" si="40"/>
        <v>#N/A</v>
      </c>
      <c r="P104" s="278" t="e">
        <f t="shared" ca="1" si="40"/>
        <v>#N/A</v>
      </c>
      <c r="Q104" s="278" t="e">
        <f t="shared" ca="1" si="28"/>
        <v>#N/A</v>
      </c>
      <c r="R104" s="278" t="e">
        <f t="shared" ca="1" si="29"/>
        <v>#N/A</v>
      </c>
      <c r="S104" s="278" t="e">
        <f t="shared" ca="1" si="30"/>
        <v>#N/A</v>
      </c>
      <c r="T104" s="278" t="e">
        <f t="shared" ca="1" si="31"/>
        <v>#N/A</v>
      </c>
      <c r="U104" s="278" t="e">
        <f t="shared" ca="1" si="32"/>
        <v>#N/A</v>
      </c>
      <c r="V104" s="278" t="e">
        <f t="shared" ca="1" si="33"/>
        <v>#N/A</v>
      </c>
      <c r="W104" s="278" t="e">
        <f t="shared" ca="1" si="34"/>
        <v>#N/A</v>
      </c>
      <c r="X104" s="272" t="e">
        <f t="shared" ca="1" si="35"/>
        <v>#N/A</v>
      </c>
      <c r="Y104" s="272" t="e">
        <f t="shared" ca="1" si="36"/>
        <v>#N/A</v>
      </c>
      <c r="Z104" s="272" t="e">
        <f t="shared" ca="1" si="37"/>
        <v>#N/A</v>
      </c>
    </row>
    <row r="105" spans="1:26" s="272" customFormat="1" x14ac:dyDescent="0.2">
      <c r="A105" s="273">
        <f t="shared" ca="1" si="41"/>
        <v>43904</v>
      </c>
      <c r="B105" s="279" t="e">
        <f ca="1">INDEX(RESULTADOS!$A:$BZ,MATCH($A105,RESULTADOS!$A:$A,0),MATCH(B$1,RESULTADOS!$1:$1,0))</f>
        <v>#N/A</v>
      </c>
      <c r="C105" s="178" t="e">
        <f t="shared" ca="1" si="38"/>
        <v>#N/A</v>
      </c>
      <c r="D105" s="178" t="e">
        <f t="shared" ca="1" si="38"/>
        <v>#N/A</v>
      </c>
      <c r="E105" s="178" t="e">
        <f t="shared" ca="1" si="38"/>
        <v>#N/A</v>
      </c>
      <c r="F105" s="178" t="e">
        <f t="shared" ca="1" si="38"/>
        <v>#N/A</v>
      </c>
      <c r="G105" s="279" t="e">
        <f t="shared" ca="1" si="26"/>
        <v>#N/A</v>
      </c>
      <c r="H105" s="279" t="e">
        <f t="shared" ca="1" si="27"/>
        <v>#N/A</v>
      </c>
      <c r="I105" s="178" t="e">
        <f ca="1">INDEX(RESULTADOS!$A:$BZ,MATCH($A105,RESULTADOS!$A:$A,0),MATCH(I$1,RESULTADOS!$1:$1,0))</f>
        <v>#N/A</v>
      </c>
      <c r="J105" s="178" t="e">
        <f ca="1">INDEX(RESULTADOS!$A:$BZ,MATCH($A105,RESULTADOS!$A:$A,0),MATCH(J$1,RESULTADOS!$1:$1,0))</f>
        <v>#N/A</v>
      </c>
      <c r="K105" s="279" t="e">
        <f t="shared" ca="1" si="39"/>
        <v>#N/A</v>
      </c>
      <c r="L105" s="279" t="e">
        <f t="shared" ca="1" si="39"/>
        <v>#N/A</v>
      </c>
      <c r="M105" s="178" t="e">
        <f ca="1">INDEX(RESULTADOS!$A:$BZ,MATCH($A105,RESULTADOS!$A:$A,0),MATCH(M$1,RESULTADOS!$1:$1,0))</f>
        <v>#N/A</v>
      </c>
      <c r="N105" s="178"/>
      <c r="O105" s="278" t="e">
        <f t="shared" ca="1" si="40"/>
        <v>#N/A</v>
      </c>
      <c r="P105" s="278" t="e">
        <f t="shared" ca="1" si="40"/>
        <v>#N/A</v>
      </c>
      <c r="Q105" s="278" t="e">
        <f t="shared" ca="1" si="28"/>
        <v>#N/A</v>
      </c>
      <c r="R105" s="278" t="e">
        <f t="shared" ca="1" si="29"/>
        <v>#N/A</v>
      </c>
      <c r="S105" s="278" t="e">
        <f t="shared" ca="1" si="30"/>
        <v>#N/A</v>
      </c>
      <c r="T105" s="278" t="e">
        <f t="shared" ca="1" si="31"/>
        <v>#N/A</v>
      </c>
      <c r="U105" s="278" t="e">
        <f t="shared" ca="1" si="32"/>
        <v>#N/A</v>
      </c>
      <c r="V105" s="278" t="e">
        <f t="shared" ca="1" si="33"/>
        <v>#N/A</v>
      </c>
      <c r="W105" s="278" t="e">
        <f t="shared" ca="1" si="34"/>
        <v>#N/A</v>
      </c>
      <c r="X105" s="272" t="e">
        <f t="shared" ca="1" si="35"/>
        <v>#N/A</v>
      </c>
      <c r="Y105" s="272" t="e">
        <f t="shared" ca="1" si="36"/>
        <v>#N/A</v>
      </c>
      <c r="Z105" s="272" t="e">
        <f t="shared" ca="1" si="37"/>
        <v>#N/A</v>
      </c>
    </row>
    <row r="106" spans="1:26" s="272" customFormat="1" x14ac:dyDescent="0.2">
      <c r="A106" s="273">
        <f t="shared" ca="1" si="41"/>
        <v>43905</v>
      </c>
      <c r="B106" s="279" t="e">
        <f ca="1">INDEX(RESULTADOS!$A:$BZ,MATCH($A106,RESULTADOS!$A:$A,0),MATCH(B$1,RESULTADOS!$1:$1,0))</f>
        <v>#N/A</v>
      </c>
      <c r="C106" s="178" t="e">
        <f t="shared" ca="1" si="38"/>
        <v>#N/A</v>
      </c>
      <c r="D106" s="178" t="e">
        <f t="shared" ca="1" si="38"/>
        <v>#N/A</v>
      </c>
      <c r="E106" s="178" t="e">
        <f t="shared" ca="1" si="38"/>
        <v>#N/A</v>
      </c>
      <c r="F106" s="178" t="e">
        <f t="shared" ca="1" si="38"/>
        <v>#N/A</v>
      </c>
      <c r="G106" s="279" t="e">
        <f t="shared" ca="1" si="26"/>
        <v>#N/A</v>
      </c>
      <c r="H106" s="279" t="e">
        <f t="shared" ca="1" si="27"/>
        <v>#N/A</v>
      </c>
      <c r="I106" s="178" t="e">
        <f ca="1">INDEX(RESULTADOS!$A:$BZ,MATCH($A106,RESULTADOS!$A:$A,0),MATCH(I$1,RESULTADOS!$1:$1,0))</f>
        <v>#N/A</v>
      </c>
      <c r="J106" s="178" t="e">
        <f ca="1">INDEX(RESULTADOS!$A:$BZ,MATCH($A106,RESULTADOS!$A:$A,0),MATCH(J$1,RESULTADOS!$1:$1,0))</f>
        <v>#N/A</v>
      </c>
      <c r="K106" s="279" t="e">
        <f t="shared" ca="1" si="39"/>
        <v>#N/A</v>
      </c>
      <c r="L106" s="279" t="e">
        <f t="shared" ca="1" si="39"/>
        <v>#N/A</v>
      </c>
      <c r="M106" s="178" t="e">
        <f ca="1">INDEX(RESULTADOS!$A:$BZ,MATCH($A106,RESULTADOS!$A:$A,0),MATCH(M$1,RESULTADOS!$1:$1,0))</f>
        <v>#N/A</v>
      </c>
      <c r="N106" s="178"/>
      <c r="O106" s="278" t="e">
        <f t="shared" ca="1" si="40"/>
        <v>#N/A</v>
      </c>
      <c r="P106" s="278" t="e">
        <f t="shared" ca="1" si="40"/>
        <v>#N/A</v>
      </c>
      <c r="Q106" s="278" t="e">
        <f t="shared" ca="1" si="28"/>
        <v>#N/A</v>
      </c>
      <c r="R106" s="278" t="e">
        <f t="shared" ca="1" si="29"/>
        <v>#N/A</v>
      </c>
      <c r="S106" s="278" t="e">
        <f t="shared" ca="1" si="30"/>
        <v>#N/A</v>
      </c>
      <c r="T106" s="278" t="e">
        <f t="shared" ca="1" si="31"/>
        <v>#N/A</v>
      </c>
      <c r="U106" s="278" t="e">
        <f t="shared" ca="1" si="32"/>
        <v>#N/A</v>
      </c>
      <c r="V106" s="278" t="e">
        <f t="shared" ca="1" si="33"/>
        <v>#N/A</v>
      </c>
      <c r="W106" s="278" t="e">
        <f t="shared" ca="1" si="34"/>
        <v>#N/A</v>
      </c>
      <c r="X106" s="272" t="e">
        <f t="shared" ca="1" si="35"/>
        <v>#N/A</v>
      </c>
      <c r="Y106" s="272" t="e">
        <f t="shared" ca="1" si="36"/>
        <v>#N/A</v>
      </c>
      <c r="Z106" s="272" t="e">
        <f t="shared" ca="1" si="37"/>
        <v>#N/A</v>
      </c>
    </row>
    <row r="107" spans="1:26" s="272" customFormat="1" x14ac:dyDescent="0.2">
      <c r="A107" s="273">
        <f t="shared" ca="1" si="41"/>
        <v>43906</v>
      </c>
      <c r="B107" s="279" t="e">
        <f ca="1">INDEX(RESULTADOS!$A:$BZ,MATCH($A107,RESULTADOS!$A:$A,0),MATCH(B$1,RESULTADOS!$1:$1,0))</f>
        <v>#N/A</v>
      </c>
      <c r="C107" s="178" t="e">
        <f t="shared" ca="1" si="38"/>
        <v>#N/A</v>
      </c>
      <c r="D107" s="178" t="e">
        <f t="shared" ca="1" si="38"/>
        <v>#N/A</v>
      </c>
      <c r="E107" s="178" t="e">
        <f t="shared" ca="1" si="38"/>
        <v>#N/A</v>
      </c>
      <c r="F107" s="178" t="e">
        <f t="shared" ca="1" si="38"/>
        <v>#N/A</v>
      </c>
      <c r="G107" s="279" t="e">
        <f t="shared" ca="1" si="26"/>
        <v>#N/A</v>
      </c>
      <c r="H107" s="279" t="e">
        <f t="shared" ca="1" si="27"/>
        <v>#N/A</v>
      </c>
      <c r="I107" s="178" t="e">
        <f ca="1">INDEX(RESULTADOS!$A:$BZ,MATCH($A107,RESULTADOS!$A:$A,0),MATCH(I$1,RESULTADOS!$1:$1,0))</f>
        <v>#N/A</v>
      </c>
      <c r="J107" s="178" t="e">
        <f ca="1">INDEX(RESULTADOS!$A:$BZ,MATCH($A107,RESULTADOS!$A:$A,0),MATCH(J$1,RESULTADOS!$1:$1,0))</f>
        <v>#N/A</v>
      </c>
      <c r="K107" s="279" t="e">
        <f t="shared" ca="1" si="39"/>
        <v>#N/A</v>
      </c>
      <c r="L107" s="279" t="e">
        <f t="shared" ca="1" si="39"/>
        <v>#N/A</v>
      </c>
      <c r="M107" s="178" t="e">
        <f ca="1">INDEX(RESULTADOS!$A:$BZ,MATCH($A107,RESULTADOS!$A:$A,0),MATCH(M$1,RESULTADOS!$1:$1,0))</f>
        <v>#N/A</v>
      </c>
      <c r="N107" s="178"/>
      <c r="O107" s="278" t="e">
        <f t="shared" ca="1" si="40"/>
        <v>#N/A</v>
      </c>
      <c r="P107" s="278" t="e">
        <f t="shared" ca="1" si="40"/>
        <v>#N/A</v>
      </c>
      <c r="Q107" s="278" t="e">
        <f t="shared" ca="1" si="28"/>
        <v>#N/A</v>
      </c>
      <c r="R107" s="278" t="e">
        <f t="shared" ca="1" si="29"/>
        <v>#N/A</v>
      </c>
      <c r="S107" s="278" t="e">
        <f t="shared" ca="1" si="30"/>
        <v>#N/A</v>
      </c>
      <c r="T107" s="278" t="e">
        <f t="shared" ca="1" si="31"/>
        <v>#N/A</v>
      </c>
      <c r="U107" s="278" t="e">
        <f t="shared" ca="1" si="32"/>
        <v>#N/A</v>
      </c>
      <c r="V107" s="278" t="e">
        <f t="shared" ca="1" si="33"/>
        <v>#N/A</v>
      </c>
      <c r="W107" s="278" t="e">
        <f t="shared" ca="1" si="34"/>
        <v>#N/A</v>
      </c>
      <c r="X107" s="272" t="e">
        <f t="shared" ca="1" si="35"/>
        <v>#N/A</v>
      </c>
      <c r="Y107" s="272" t="e">
        <f t="shared" ca="1" si="36"/>
        <v>#N/A</v>
      </c>
      <c r="Z107" s="272" t="e">
        <f t="shared" ca="1" si="37"/>
        <v>#N/A</v>
      </c>
    </row>
    <row r="108" spans="1:26" s="272" customFormat="1" x14ac:dyDescent="0.2">
      <c r="A108" s="273">
        <f t="shared" ca="1" si="41"/>
        <v>43907</v>
      </c>
      <c r="B108" s="279" t="e">
        <f ca="1">INDEX(RESULTADOS!$A:$BZ,MATCH($A108,RESULTADOS!$A:$A,0),MATCH(B$1,RESULTADOS!$1:$1,0))</f>
        <v>#N/A</v>
      </c>
      <c r="C108" s="178" t="e">
        <f t="shared" ca="1" si="38"/>
        <v>#N/A</v>
      </c>
      <c r="D108" s="178" t="e">
        <f t="shared" ca="1" si="38"/>
        <v>#N/A</v>
      </c>
      <c r="E108" s="178" t="e">
        <f t="shared" ca="1" si="38"/>
        <v>#N/A</v>
      </c>
      <c r="F108" s="178" t="e">
        <f t="shared" ca="1" si="38"/>
        <v>#N/A</v>
      </c>
      <c r="G108" s="279" t="e">
        <f t="shared" ca="1" si="26"/>
        <v>#N/A</v>
      </c>
      <c r="H108" s="279" t="e">
        <f t="shared" ca="1" si="27"/>
        <v>#N/A</v>
      </c>
      <c r="I108" s="178" t="e">
        <f ca="1">INDEX(RESULTADOS!$A:$BZ,MATCH($A108,RESULTADOS!$A:$A,0),MATCH(I$1,RESULTADOS!$1:$1,0))</f>
        <v>#N/A</v>
      </c>
      <c r="J108" s="178" t="e">
        <f ca="1">INDEX(RESULTADOS!$A:$BZ,MATCH($A108,RESULTADOS!$A:$A,0),MATCH(J$1,RESULTADOS!$1:$1,0))</f>
        <v>#N/A</v>
      </c>
      <c r="K108" s="279" t="e">
        <f t="shared" ca="1" si="39"/>
        <v>#N/A</v>
      </c>
      <c r="L108" s="279" t="e">
        <f t="shared" ca="1" si="39"/>
        <v>#N/A</v>
      </c>
      <c r="M108" s="178" t="e">
        <f ca="1">INDEX(RESULTADOS!$A:$BZ,MATCH($A108,RESULTADOS!$A:$A,0),MATCH(M$1,RESULTADOS!$1:$1,0))</f>
        <v>#N/A</v>
      </c>
      <c r="N108" s="178"/>
      <c r="O108" s="278" t="e">
        <f t="shared" ca="1" si="40"/>
        <v>#N/A</v>
      </c>
      <c r="P108" s="278" t="e">
        <f t="shared" ca="1" si="40"/>
        <v>#N/A</v>
      </c>
      <c r="Q108" s="278" t="e">
        <f t="shared" ca="1" si="28"/>
        <v>#N/A</v>
      </c>
      <c r="R108" s="278" t="e">
        <f t="shared" ca="1" si="29"/>
        <v>#N/A</v>
      </c>
      <c r="S108" s="278" t="e">
        <f t="shared" ca="1" si="30"/>
        <v>#N/A</v>
      </c>
      <c r="T108" s="278" t="e">
        <f t="shared" ca="1" si="31"/>
        <v>#N/A</v>
      </c>
      <c r="U108" s="278" t="e">
        <f t="shared" ca="1" si="32"/>
        <v>#N/A</v>
      </c>
      <c r="V108" s="278" t="e">
        <f t="shared" ca="1" si="33"/>
        <v>#N/A</v>
      </c>
      <c r="W108" s="278" t="e">
        <f t="shared" ca="1" si="34"/>
        <v>#N/A</v>
      </c>
      <c r="X108" s="272" t="e">
        <f t="shared" ca="1" si="35"/>
        <v>#N/A</v>
      </c>
      <c r="Y108" s="272" t="e">
        <f t="shared" ca="1" si="36"/>
        <v>#N/A</v>
      </c>
      <c r="Z108" s="272" t="e">
        <f t="shared" ca="1" si="37"/>
        <v>#N/A</v>
      </c>
    </row>
    <row r="109" spans="1:26" s="272" customFormat="1" x14ac:dyDescent="0.2">
      <c r="A109" s="273">
        <f t="shared" ca="1" si="41"/>
        <v>43908</v>
      </c>
      <c r="B109" s="279" t="e">
        <f ca="1">INDEX(RESULTADOS!$A:$BZ,MATCH($A109,RESULTADOS!$A:$A,0),MATCH(B$1,RESULTADOS!$1:$1,0))</f>
        <v>#N/A</v>
      </c>
      <c r="C109" s="178" t="e">
        <f t="shared" ca="1" si="38"/>
        <v>#N/A</v>
      </c>
      <c r="D109" s="178" t="e">
        <f t="shared" ca="1" si="38"/>
        <v>#N/A</v>
      </c>
      <c r="E109" s="178" t="e">
        <f t="shared" ca="1" si="38"/>
        <v>#N/A</v>
      </c>
      <c r="F109" s="178" t="e">
        <f t="shared" ca="1" si="38"/>
        <v>#N/A</v>
      </c>
      <c r="G109" s="279" t="e">
        <f t="shared" ca="1" si="26"/>
        <v>#N/A</v>
      </c>
      <c r="H109" s="279" t="e">
        <f t="shared" ca="1" si="27"/>
        <v>#N/A</v>
      </c>
      <c r="I109" s="178" t="e">
        <f ca="1">INDEX(RESULTADOS!$A:$BZ,MATCH($A109,RESULTADOS!$A:$A,0),MATCH(I$1,RESULTADOS!$1:$1,0))</f>
        <v>#N/A</v>
      </c>
      <c r="J109" s="178" t="e">
        <f ca="1">INDEX(RESULTADOS!$A:$BZ,MATCH($A109,RESULTADOS!$A:$A,0),MATCH(J$1,RESULTADOS!$1:$1,0))</f>
        <v>#N/A</v>
      </c>
      <c r="K109" s="279" t="e">
        <f t="shared" ca="1" si="39"/>
        <v>#N/A</v>
      </c>
      <c r="L109" s="279" t="e">
        <f t="shared" ca="1" si="39"/>
        <v>#N/A</v>
      </c>
      <c r="M109" s="178" t="e">
        <f ca="1">INDEX(RESULTADOS!$A:$BZ,MATCH($A109,RESULTADOS!$A:$A,0),MATCH(M$1,RESULTADOS!$1:$1,0))</f>
        <v>#N/A</v>
      </c>
      <c r="N109" s="178"/>
      <c r="O109" s="278" t="e">
        <f t="shared" ca="1" si="40"/>
        <v>#N/A</v>
      </c>
      <c r="P109" s="278" t="e">
        <f t="shared" ca="1" si="40"/>
        <v>#N/A</v>
      </c>
      <c r="Q109" s="278" t="e">
        <f t="shared" ca="1" si="28"/>
        <v>#N/A</v>
      </c>
      <c r="R109" s="278" t="e">
        <f t="shared" ca="1" si="29"/>
        <v>#N/A</v>
      </c>
      <c r="S109" s="278" t="e">
        <f t="shared" ca="1" si="30"/>
        <v>#N/A</v>
      </c>
      <c r="T109" s="278" t="e">
        <f t="shared" ca="1" si="31"/>
        <v>#N/A</v>
      </c>
      <c r="U109" s="278" t="e">
        <f t="shared" ca="1" si="32"/>
        <v>#N/A</v>
      </c>
      <c r="V109" s="278" t="e">
        <f t="shared" ca="1" si="33"/>
        <v>#N/A</v>
      </c>
      <c r="W109" s="278" t="e">
        <f t="shared" ca="1" si="34"/>
        <v>#N/A</v>
      </c>
      <c r="X109" s="272" t="e">
        <f t="shared" ca="1" si="35"/>
        <v>#N/A</v>
      </c>
      <c r="Y109" s="272" t="e">
        <f t="shared" ca="1" si="36"/>
        <v>#N/A</v>
      </c>
      <c r="Z109" s="272" t="e">
        <f t="shared" ca="1" si="37"/>
        <v>#N/A</v>
      </c>
    </row>
    <row r="110" spans="1:26" s="272" customFormat="1" x14ac:dyDescent="0.2">
      <c r="A110" s="273">
        <f t="shared" ca="1" si="41"/>
        <v>43909</v>
      </c>
      <c r="B110" s="279" t="e">
        <f ca="1">INDEX(RESULTADOS!$A:$BZ,MATCH($A110,RESULTADOS!$A:$A,0),MATCH(B$1,RESULTADOS!$1:$1,0))</f>
        <v>#N/A</v>
      </c>
      <c r="C110" s="178" t="e">
        <f t="shared" ca="1" si="38"/>
        <v>#N/A</v>
      </c>
      <c r="D110" s="178" t="e">
        <f t="shared" ca="1" si="38"/>
        <v>#N/A</v>
      </c>
      <c r="E110" s="178" t="e">
        <f t="shared" ca="1" si="38"/>
        <v>#N/A</v>
      </c>
      <c r="F110" s="178" t="e">
        <f t="shared" ca="1" si="38"/>
        <v>#N/A</v>
      </c>
      <c r="G110" s="279" t="e">
        <f t="shared" ca="1" si="26"/>
        <v>#N/A</v>
      </c>
      <c r="H110" s="279" t="e">
        <f t="shared" ca="1" si="27"/>
        <v>#N/A</v>
      </c>
      <c r="I110" s="178" t="e">
        <f ca="1">INDEX(RESULTADOS!$A:$BZ,MATCH($A110,RESULTADOS!$A:$A,0),MATCH(I$1,RESULTADOS!$1:$1,0))</f>
        <v>#N/A</v>
      </c>
      <c r="J110" s="178" t="e">
        <f ca="1">INDEX(RESULTADOS!$A:$BZ,MATCH($A110,RESULTADOS!$A:$A,0),MATCH(J$1,RESULTADOS!$1:$1,0))</f>
        <v>#N/A</v>
      </c>
      <c r="K110" s="279" t="e">
        <f t="shared" ca="1" si="39"/>
        <v>#N/A</v>
      </c>
      <c r="L110" s="279" t="e">
        <f t="shared" ca="1" si="39"/>
        <v>#N/A</v>
      </c>
      <c r="M110" s="178" t="e">
        <f ca="1">INDEX(RESULTADOS!$A:$BZ,MATCH($A110,RESULTADOS!$A:$A,0),MATCH(M$1,RESULTADOS!$1:$1,0))</f>
        <v>#N/A</v>
      </c>
      <c r="N110" s="178"/>
      <c r="O110" s="278" t="e">
        <f t="shared" ca="1" si="40"/>
        <v>#N/A</v>
      </c>
      <c r="P110" s="278" t="e">
        <f t="shared" ca="1" si="40"/>
        <v>#N/A</v>
      </c>
      <c r="Q110" s="278" t="e">
        <f t="shared" ca="1" si="28"/>
        <v>#N/A</v>
      </c>
      <c r="R110" s="278" t="e">
        <f t="shared" ca="1" si="29"/>
        <v>#N/A</v>
      </c>
      <c r="S110" s="278" t="e">
        <f t="shared" ca="1" si="30"/>
        <v>#N/A</v>
      </c>
      <c r="T110" s="278" t="e">
        <f t="shared" ca="1" si="31"/>
        <v>#N/A</v>
      </c>
      <c r="U110" s="278" t="e">
        <f t="shared" ca="1" si="32"/>
        <v>#N/A</v>
      </c>
      <c r="V110" s="278" t="e">
        <f t="shared" ca="1" si="33"/>
        <v>#N/A</v>
      </c>
      <c r="W110" s="278" t="e">
        <f t="shared" ca="1" si="34"/>
        <v>#N/A</v>
      </c>
      <c r="X110" s="272" t="e">
        <f t="shared" ca="1" si="35"/>
        <v>#N/A</v>
      </c>
      <c r="Y110" s="272" t="e">
        <f t="shared" ca="1" si="36"/>
        <v>#N/A</v>
      </c>
      <c r="Z110" s="272" t="e">
        <f t="shared" ca="1" si="37"/>
        <v>#N/A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1">
    <tabColor indexed="42"/>
  </sheetPr>
  <dimension ref="A1:AU110"/>
  <sheetViews>
    <sheetView topLeftCell="AO33" zoomScaleNormal="100" workbookViewId="0">
      <selection activeCell="AO41" sqref="AO41:AO52"/>
    </sheetView>
  </sheetViews>
  <sheetFormatPr defaultRowHeight="12.75" x14ac:dyDescent="0.2"/>
  <cols>
    <col min="1" max="1" width="21.85546875" bestFit="1" customWidth="1"/>
    <col min="2" max="7" width="12.7109375" customWidth="1"/>
    <col min="8" max="10" width="8.5703125" customWidth="1"/>
    <col min="11" max="12" width="12.7109375" customWidth="1"/>
    <col min="13" max="13" width="10.140625" customWidth="1"/>
    <col min="14" max="19" width="12.7109375" customWidth="1"/>
    <col min="20" max="20" width="11.140625" customWidth="1"/>
    <col min="21" max="21" width="10.140625" customWidth="1"/>
    <col min="22" max="23" width="12.7109375" customWidth="1"/>
    <col min="24" max="24" width="14.28515625" customWidth="1"/>
    <col min="25" max="28" width="12.7109375" customWidth="1"/>
    <col min="29" max="31" width="12.42578125" customWidth="1"/>
    <col min="32" max="98" width="14.7109375" customWidth="1"/>
    <col min="99" max="99" width="16.28515625" customWidth="1"/>
    <col min="100" max="135" width="14.7109375" customWidth="1"/>
    <col min="136" max="139" width="12.7109375" customWidth="1"/>
  </cols>
  <sheetData>
    <row r="1" spans="1:42" x14ac:dyDescent="0.2">
      <c r="B1" t="s">
        <v>17</v>
      </c>
      <c r="C1" s="1" t="s">
        <v>36</v>
      </c>
      <c r="D1" s="1" t="s">
        <v>0</v>
      </c>
      <c r="E1" s="19" t="s">
        <v>40</v>
      </c>
      <c r="F1" t="s">
        <v>90</v>
      </c>
      <c r="G1" s="1" t="s">
        <v>37</v>
      </c>
      <c r="H1" t="s">
        <v>22</v>
      </c>
      <c r="I1" t="s">
        <v>91</v>
      </c>
      <c r="J1" t="s">
        <v>20</v>
      </c>
      <c r="K1" s="1" t="s">
        <v>38</v>
      </c>
      <c r="L1" s="1" t="s">
        <v>38</v>
      </c>
      <c r="M1" t="s">
        <v>92</v>
      </c>
      <c r="N1" s="1" t="s">
        <v>186</v>
      </c>
      <c r="O1" s="1" t="s">
        <v>186</v>
      </c>
      <c r="P1" s="1" t="s">
        <v>185</v>
      </c>
      <c r="Q1" s="1" t="s">
        <v>185</v>
      </c>
      <c r="R1" s="1" t="s">
        <v>184</v>
      </c>
      <c r="S1" s="1" t="s">
        <v>184</v>
      </c>
      <c r="T1" s="1" t="s">
        <v>183</v>
      </c>
      <c r="U1" s="1" t="s">
        <v>183</v>
      </c>
      <c r="V1" s="1" t="s">
        <v>182</v>
      </c>
      <c r="W1" s="234" t="s">
        <v>182</v>
      </c>
      <c r="X1" s="2" t="s">
        <v>181</v>
      </c>
      <c r="Y1" t="s">
        <v>88</v>
      </c>
      <c r="Z1" s="101" t="s">
        <v>181</v>
      </c>
      <c r="AA1" s="101" t="s">
        <v>181</v>
      </c>
      <c r="AB1" s="2"/>
      <c r="AC1" t="s">
        <v>89</v>
      </c>
      <c r="AD1" s="1"/>
      <c r="AE1" s="20"/>
      <c r="AF1" s="1"/>
      <c r="AG1" s="20">
        <v>3</v>
      </c>
      <c r="AH1" s="1"/>
      <c r="AI1" s="20"/>
      <c r="AJ1" t="s">
        <v>23</v>
      </c>
      <c r="AK1" t="s">
        <v>21</v>
      </c>
      <c r="AL1" s="3" t="s">
        <v>14</v>
      </c>
      <c r="AM1" s="1" t="s">
        <v>14</v>
      </c>
      <c r="AN1" s="20" t="s">
        <v>14</v>
      </c>
      <c r="AO1" s="38" t="s">
        <v>87</v>
      </c>
      <c r="AP1" s="20" t="s">
        <v>15</v>
      </c>
    </row>
    <row r="2" spans="1:42" x14ac:dyDescent="0.2">
      <c r="A2" t="s">
        <v>1</v>
      </c>
      <c r="B2" s="16">
        <v>1</v>
      </c>
      <c r="C2" s="1">
        <v>1</v>
      </c>
      <c r="D2" s="1">
        <v>2</v>
      </c>
      <c r="E2" s="1">
        <v>2</v>
      </c>
      <c r="F2" s="16">
        <v>211</v>
      </c>
      <c r="G2" s="1">
        <v>211</v>
      </c>
      <c r="H2" s="16"/>
      <c r="I2" s="16"/>
      <c r="J2" s="16">
        <v>6</v>
      </c>
      <c r="K2" s="1">
        <v>6</v>
      </c>
      <c r="L2" s="1">
        <v>6</v>
      </c>
      <c r="M2" s="16"/>
      <c r="N2" s="1">
        <v>7</v>
      </c>
      <c r="O2" s="1">
        <v>7</v>
      </c>
      <c r="P2" s="1">
        <v>8</v>
      </c>
      <c r="Q2" s="1">
        <v>8</v>
      </c>
      <c r="R2" s="1">
        <v>9</v>
      </c>
      <c r="S2" s="1">
        <v>9</v>
      </c>
      <c r="T2" s="1">
        <v>10</v>
      </c>
      <c r="U2" s="1">
        <v>10</v>
      </c>
      <c r="V2" s="1">
        <v>11</v>
      </c>
      <c r="W2" s="1">
        <v>11</v>
      </c>
      <c r="X2" s="2"/>
      <c r="Y2" s="16" t="s">
        <v>39</v>
      </c>
      <c r="Z2" s="1">
        <v>12</v>
      </c>
      <c r="AA2" s="1">
        <v>12</v>
      </c>
      <c r="AB2" s="2"/>
      <c r="AC2" s="17"/>
      <c r="AD2" s="5">
        <v>14</v>
      </c>
      <c r="AE2" s="21">
        <v>14</v>
      </c>
      <c r="AF2" s="5">
        <v>15</v>
      </c>
      <c r="AG2" s="21">
        <v>15</v>
      </c>
      <c r="AH2" s="5">
        <v>16</v>
      </c>
      <c r="AI2" s="21">
        <v>16</v>
      </c>
      <c r="AJ2" s="16"/>
      <c r="AK2" s="17">
        <v>17</v>
      </c>
      <c r="AL2" s="4">
        <v>17</v>
      </c>
      <c r="AM2" s="1">
        <v>17</v>
      </c>
      <c r="AN2" s="20">
        <v>17</v>
      </c>
      <c r="AO2" s="17">
        <v>18</v>
      </c>
      <c r="AP2" s="21">
        <v>18</v>
      </c>
    </row>
    <row r="3" spans="1:42" x14ac:dyDescent="0.2">
      <c r="A3" s="6" t="s">
        <v>2</v>
      </c>
      <c r="B3" s="16" t="s">
        <v>3</v>
      </c>
      <c r="C3" s="1" t="s">
        <v>3</v>
      </c>
      <c r="D3" s="1" t="s">
        <v>3</v>
      </c>
      <c r="E3" s="1">
        <v>13</v>
      </c>
      <c r="F3" s="16"/>
      <c r="G3" s="1">
        <v>36</v>
      </c>
      <c r="H3" s="16">
        <v>10</v>
      </c>
      <c r="I3" s="16">
        <v>12</v>
      </c>
      <c r="J3" s="16" t="s">
        <v>3</v>
      </c>
      <c r="K3" s="1" t="s">
        <v>3</v>
      </c>
      <c r="L3" s="1">
        <v>23</v>
      </c>
      <c r="M3" s="16"/>
      <c r="N3" s="1"/>
      <c r="O3" s="1">
        <v>7</v>
      </c>
      <c r="P3" s="1"/>
      <c r="Q3" s="1">
        <v>5</v>
      </c>
      <c r="R3" s="1"/>
      <c r="S3" s="1">
        <v>10</v>
      </c>
      <c r="T3" s="1"/>
      <c r="U3" s="1">
        <v>12</v>
      </c>
      <c r="V3" s="1"/>
      <c r="W3" s="1">
        <v>11</v>
      </c>
      <c r="X3" s="2"/>
      <c r="Y3" s="16">
        <v>8</v>
      </c>
      <c r="Z3" s="1"/>
      <c r="AA3" s="1">
        <v>20</v>
      </c>
      <c r="AB3" s="2"/>
      <c r="AC3" s="16" t="s">
        <v>3</v>
      </c>
      <c r="AD3" s="1"/>
      <c r="AE3" s="20">
        <v>12</v>
      </c>
      <c r="AF3" s="1" t="s">
        <v>3</v>
      </c>
      <c r="AG3" s="20">
        <v>3</v>
      </c>
      <c r="AH3" s="5" t="s">
        <v>3</v>
      </c>
      <c r="AI3" s="21">
        <v>72</v>
      </c>
      <c r="AJ3" s="16">
        <v>16</v>
      </c>
      <c r="AK3" s="16" t="s">
        <v>3</v>
      </c>
      <c r="AL3" s="3" t="s">
        <v>3</v>
      </c>
      <c r="AM3" s="1" t="s">
        <v>3</v>
      </c>
      <c r="AN3" s="20">
        <v>28</v>
      </c>
      <c r="AO3" s="17" t="s">
        <v>3</v>
      </c>
      <c r="AP3" s="21" t="s">
        <v>3</v>
      </c>
    </row>
    <row r="4" spans="1:42" x14ac:dyDescent="0.2">
      <c r="A4" s="99" t="s">
        <v>4</v>
      </c>
      <c r="B4" s="105"/>
      <c r="C4" s="100"/>
      <c r="D4" s="100"/>
      <c r="E4" s="100"/>
      <c r="F4" s="105"/>
      <c r="G4" s="100"/>
      <c r="H4" s="105"/>
      <c r="I4" s="105"/>
      <c r="J4" s="105"/>
      <c r="K4" s="100"/>
      <c r="L4" s="100"/>
      <c r="M4" s="105"/>
      <c r="N4" s="108">
        <v>0.377</v>
      </c>
      <c r="O4" s="108"/>
      <c r="P4" s="108">
        <v>8.6999999999999994E-2</v>
      </c>
      <c r="Q4" s="108"/>
      <c r="R4" s="108">
        <v>3.5999999999999997E-2</v>
      </c>
      <c r="S4" s="108"/>
      <c r="T4" s="108">
        <v>0.10299999999999999</v>
      </c>
      <c r="U4" s="108"/>
      <c r="V4" s="108">
        <v>0.23</v>
      </c>
      <c r="W4" s="108"/>
      <c r="X4" s="109">
        <v>0.16700000000000001</v>
      </c>
      <c r="Y4" s="105"/>
      <c r="Z4" s="102"/>
      <c r="AA4" s="102"/>
      <c r="AB4" s="101"/>
      <c r="AC4" s="105"/>
      <c r="AD4" s="102">
        <v>0.61</v>
      </c>
      <c r="AE4" s="107"/>
      <c r="AF4" s="102">
        <v>0.39</v>
      </c>
      <c r="AG4" s="106"/>
      <c r="AH4" s="103">
        <v>4.0000000000000001E-3</v>
      </c>
      <c r="AI4" s="106"/>
      <c r="AJ4" s="105"/>
      <c r="AK4" s="105"/>
      <c r="AL4" s="104" t="s">
        <v>5</v>
      </c>
      <c r="AM4" s="100"/>
      <c r="AN4" s="106"/>
      <c r="AO4" s="105"/>
      <c r="AP4" s="106"/>
    </row>
    <row r="5" spans="1:42" x14ac:dyDescent="0.2">
      <c r="B5" s="16" t="s">
        <v>7</v>
      </c>
      <c r="C5" s="1" t="s">
        <v>6</v>
      </c>
      <c r="D5" s="1" t="s">
        <v>7</v>
      </c>
      <c r="E5" s="1" t="s">
        <v>6</v>
      </c>
      <c r="F5" s="16" t="s">
        <v>7</v>
      </c>
      <c r="G5" s="1" t="s">
        <v>6</v>
      </c>
      <c r="H5" s="16" t="s">
        <v>8</v>
      </c>
      <c r="I5" s="16" t="s">
        <v>8</v>
      </c>
      <c r="J5" s="16" t="s">
        <v>9</v>
      </c>
      <c r="K5" s="1" t="s">
        <v>7</v>
      </c>
      <c r="L5" s="1" t="s">
        <v>6</v>
      </c>
      <c r="M5" s="16" t="s">
        <v>9</v>
      </c>
      <c r="N5" s="1" t="s">
        <v>7</v>
      </c>
      <c r="O5" s="1" t="s">
        <v>6</v>
      </c>
      <c r="P5" s="1" t="s">
        <v>7</v>
      </c>
      <c r="Q5" s="1" t="s">
        <v>6</v>
      </c>
      <c r="R5" s="1" t="s">
        <v>7</v>
      </c>
      <c r="S5" s="1" t="s">
        <v>6</v>
      </c>
      <c r="T5" s="1" t="s">
        <v>7</v>
      </c>
      <c r="U5" s="1" t="s">
        <v>6</v>
      </c>
      <c r="V5" s="1" t="s">
        <v>7</v>
      </c>
      <c r="W5" s="1" t="s">
        <v>6</v>
      </c>
      <c r="X5" s="2" t="s">
        <v>10</v>
      </c>
      <c r="Y5" s="16" t="s">
        <v>8</v>
      </c>
      <c r="Z5" s="1" t="s">
        <v>7</v>
      </c>
      <c r="AA5" s="1" t="s">
        <v>6</v>
      </c>
      <c r="AB5" s="2"/>
      <c r="AC5" s="17" t="s">
        <v>11</v>
      </c>
      <c r="AD5" s="5" t="s">
        <v>7</v>
      </c>
      <c r="AE5" s="21" t="s">
        <v>6</v>
      </c>
      <c r="AF5" s="1" t="s">
        <v>7</v>
      </c>
      <c r="AG5" s="20" t="s">
        <v>6</v>
      </c>
      <c r="AH5" s="1" t="s">
        <v>7</v>
      </c>
      <c r="AI5" s="20" t="s">
        <v>6</v>
      </c>
      <c r="AJ5" s="16" t="s">
        <v>8</v>
      </c>
      <c r="AK5" s="17" t="s">
        <v>12</v>
      </c>
      <c r="AL5" s="4" t="s">
        <v>13</v>
      </c>
      <c r="AM5" s="1" t="s">
        <v>7</v>
      </c>
      <c r="AN5" s="20" t="s">
        <v>6</v>
      </c>
      <c r="AO5" s="16" t="s">
        <v>7</v>
      </c>
      <c r="AP5" s="20" t="s">
        <v>6</v>
      </c>
    </row>
    <row r="6" spans="1:42" x14ac:dyDescent="0.2">
      <c r="B6" s="16" t="str">
        <f>B2&amp;"_"&amp;B5</f>
        <v>1_VNI</v>
      </c>
      <c r="C6" s="16" t="str">
        <f t="shared" ref="C6:AA6" si="0">C2&amp;"_"&amp;C5</f>
        <v>1_VNA</v>
      </c>
      <c r="D6" s="16" t="str">
        <f t="shared" si="0"/>
        <v>2_VNI</v>
      </c>
      <c r="E6" s="16" t="str">
        <f t="shared" si="0"/>
        <v>2_VNA</v>
      </c>
      <c r="F6" s="16" t="str">
        <f t="shared" si="0"/>
        <v>211_VNI</v>
      </c>
      <c r="G6" s="16" t="str">
        <f t="shared" si="0"/>
        <v>211_VNA</v>
      </c>
      <c r="H6" s="16" t="str">
        <f t="shared" si="0"/>
        <v>_FLU</v>
      </c>
      <c r="I6" s="16" t="str">
        <f t="shared" si="0"/>
        <v>_FLU</v>
      </c>
      <c r="J6" s="16" t="str">
        <f t="shared" si="0"/>
        <v>6_VNS</v>
      </c>
      <c r="K6" s="16" t="str">
        <f t="shared" si="0"/>
        <v>6_VNI</v>
      </c>
      <c r="L6" s="16" t="str">
        <f t="shared" si="0"/>
        <v>6_VNA</v>
      </c>
      <c r="M6" s="16" t="str">
        <f t="shared" si="0"/>
        <v>_VNS</v>
      </c>
      <c r="N6" s="16" t="str">
        <f t="shared" si="0"/>
        <v>7_VNI</v>
      </c>
      <c r="O6" s="16" t="str">
        <f t="shared" si="0"/>
        <v>7_VNA</v>
      </c>
      <c r="P6" s="16" t="str">
        <f t="shared" si="0"/>
        <v>8_VNI</v>
      </c>
      <c r="Q6" s="16" t="str">
        <f t="shared" si="0"/>
        <v>8_VNA</v>
      </c>
      <c r="R6" s="16" t="str">
        <f t="shared" si="0"/>
        <v>9_VNI</v>
      </c>
      <c r="S6" s="16" t="str">
        <f t="shared" si="0"/>
        <v>9_VNA</v>
      </c>
      <c r="T6" s="16" t="str">
        <f t="shared" si="0"/>
        <v>10_VNI</v>
      </c>
      <c r="U6" s="16" t="str">
        <f t="shared" si="0"/>
        <v>10_VNA</v>
      </c>
      <c r="V6" s="16" t="str">
        <f t="shared" si="0"/>
        <v>11_VNI</v>
      </c>
      <c r="W6" s="16" t="str">
        <f t="shared" si="0"/>
        <v>11_VNA</v>
      </c>
      <c r="X6" s="16" t="str">
        <f t="shared" si="0"/>
        <v>_VNI_parcela</v>
      </c>
      <c r="Y6" s="16" t="str">
        <f t="shared" si="0"/>
        <v>Capão Escuro_FLU</v>
      </c>
      <c r="Z6" s="16" t="str">
        <f t="shared" si="0"/>
        <v>12_VNI</v>
      </c>
      <c r="AA6" s="16" t="str">
        <f t="shared" si="0"/>
        <v>12_VNA</v>
      </c>
      <c r="AB6" s="2"/>
      <c r="AC6" s="16" t="str">
        <f t="shared" ref="AC6:AP6" si="1">AC2&amp;"_"&amp;AC5</f>
        <v>_VNI_Total</v>
      </c>
      <c r="AD6" s="16" t="str">
        <f t="shared" si="1"/>
        <v>14_VNI</v>
      </c>
      <c r="AE6" s="16" t="str">
        <f t="shared" si="1"/>
        <v>14_VNA</v>
      </c>
      <c r="AF6" s="16" t="str">
        <f t="shared" si="1"/>
        <v>15_VNI</v>
      </c>
      <c r="AG6" s="16" t="str">
        <f t="shared" si="1"/>
        <v>15_VNA</v>
      </c>
      <c r="AH6" s="16" t="str">
        <f t="shared" si="1"/>
        <v>16_VNI</v>
      </c>
      <c r="AI6" s="16" t="str">
        <f t="shared" si="1"/>
        <v>16_VNA</v>
      </c>
      <c r="AJ6" s="16" t="str">
        <f t="shared" si="1"/>
        <v>_FLU</v>
      </c>
      <c r="AK6" s="16" t="str">
        <f t="shared" si="1"/>
        <v>17_VNI_Parcial</v>
      </c>
      <c r="AL6" s="16" t="str">
        <f t="shared" si="1"/>
        <v>17_VNI_Parcial'</v>
      </c>
      <c r="AM6" s="16" t="str">
        <f t="shared" si="1"/>
        <v>17_VNI</v>
      </c>
      <c r="AN6" s="16" t="str">
        <f t="shared" si="1"/>
        <v>17_VNA</v>
      </c>
      <c r="AO6" s="16" t="str">
        <f t="shared" si="1"/>
        <v>18_VNI</v>
      </c>
      <c r="AP6" s="16" t="str">
        <f t="shared" si="1"/>
        <v>18_VNA</v>
      </c>
    </row>
    <row r="7" spans="1:42" x14ac:dyDescent="0.2">
      <c r="A7" s="7">
        <f t="shared" ref="A7:A36" ca="1" si="2">A8-1</f>
        <v>43806</v>
      </c>
      <c r="B7" s="250">
        <f ca="1">SUMPRODUCT((TABELA_VAZAO[Posto]=B$2)*1,(TABELA_VAZAO[Data]=$A7)*1,TABELA_VAZAO[qinc])</f>
        <v>0</v>
      </c>
      <c r="C7" s="210">
        <f ca="1">SUMPRODUCT((TABELA_VAZAO[Posto]=C$2)*1,(TABELA_VAZAO[Data]=$A7)*1,TABELA_VAZAO[qnat])</f>
        <v>0</v>
      </c>
      <c r="D7" s="250">
        <f ca="1">SUMPRODUCT((TABELA_VAZAO[Posto]=D$2)*1,(TABELA_VAZAO[Data]=$A7)*1,TABELA_VAZAO[qinc])</f>
        <v>0</v>
      </c>
      <c r="E7" s="52">
        <f t="shared" ref="E7:E49" ca="1" si="3">C7</f>
        <v>0</v>
      </c>
      <c r="F7" s="250">
        <f ca="1">SUMPRODUCT((TABELA_VAZAO[Posto]=F$2)*1,(TABELA_VAZAO[Data]=$A7)*1,TABELA_VAZAO[qinc])</f>
        <v>0</v>
      </c>
      <c r="G7" s="210">
        <f ca="1">SUMPRODUCT((TABELA_VAZAO[Posto]=G$2)*1,(TABELA_VAZAO[Data]=$A7)*1,TABELA_VAZAO[qnat])</f>
        <v>0</v>
      </c>
      <c r="H7" s="67" t="e">
        <f ca="1">INDEX(RESULTADOS!$A:$BA,MATCH($A7,RESULTADOS!$A:$A,0),MATCH(H$1,RESULTADOS!$1:$1,0))</f>
        <v>#N/A</v>
      </c>
      <c r="I7" s="67" t="e">
        <f ca="1">INDEX(RESULTADOS!$A:$BA,MATCH($A7,RESULTADOS!$A:$A,0),MATCH(I$1,RESULTADOS!$1:$1,0))</f>
        <v>#N/A</v>
      </c>
      <c r="J7" s="67" t="e">
        <f ca="1">INDEX(RESULTADOS!$A:$BA,MATCH($A7,RESULTADOS!$A:$A,0),MATCH(J$1,RESULTADOS!$1:$1,0))</f>
        <v>#N/A</v>
      </c>
      <c r="K7" s="250">
        <f ca="1">SUMPRODUCT((TABELA_VAZAO[Posto]=K$2)*1,(TABELA_VAZAO[Data]=$A7)*1,TABELA_VAZAO[qinc])</f>
        <v>0</v>
      </c>
      <c r="L7" s="210">
        <f ca="1">SUMPRODUCT((TABELA_VAZAO[Posto]=L$2)*1,(TABELA_VAZAO[Data]=$A7)*1,TABELA_VAZAO[qnat])</f>
        <v>0</v>
      </c>
      <c r="M7" s="67" t="e">
        <f ca="1">INDEX(RESULTADOS!$A:$BA,MATCH($A7,RESULTADOS!$A:$A,0),MATCH(M$1,RESULTADOS!$1:$1,0))</f>
        <v>#N/A</v>
      </c>
      <c r="N7" s="250">
        <f ca="1">SUMPRODUCT((TABELA_VAZAO[Posto]=N$2)*1,(TABELA_VAZAO[Data]=$A7)*1,TABELA_VAZAO[qinc])</f>
        <v>0</v>
      </c>
      <c r="O7" s="210">
        <f ca="1">SUMPRODUCT((TABELA_VAZAO[Posto]=O$2)*1,(TABELA_VAZAO[Data]=$A7)*1,TABELA_VAZAO[qnat])</f>
        <v>0</v>
      </c>
      <c r="P7" s="250">
        <f ca="1">SUMPRODUCT((TABELA_VAZAO[Posto]=P$2)*1,(TABELA_VAZAO[Data]=$A7)*1,TABELA_VAZAO[qinc])</f>
        <v>0</v>
      </c>
      <c r="Q7" s="210">
        <f ca="1">SUMPRODUCT((TABELA_VAZAO[Posto]=Q$2)*1,(TABELA_VAZAO[Data]=$A7)*1,TABELA_VAZAO[qnat])</f>
        <v>0</v>
      </c>
      <c r="R7" s="250">
        <f ca="1">SUMPRODUCT((TABELA_VAZAO[Posto]=R$2)*1,(TABELA_VAZAO[Data]=$A7)*1,TABELA_VAZAO[qinc])</f>
        <v>0</v>
      </c>
      <c r="S7" s="210">
        <f ca="1">SUMPRODUCT((TABELA_VAZAO[Posto]=S$2)*1,(TABELA_VAZAO[Data]=$A7)*1,TABELA_VAZAO[qnat])</f>
        <v>0</v>
      </c>
      <c r="T7" s="250">
        <f ca="1">SUMPRODUCT((TABELA_VAZAO[Posto]=T$2)*1,(TABELA_VAZAO[Data]=$A7)*1,TABELA_VAZAO[qinc])</f>
        <v>0</v>
      </c>
      <c r="U7" s="210">
        <f ca="1">SUMPRODUCT((TABELA_VAZAO[Posto]=U$2)*1,(TABELA_VAZAO[Data]=$A7)*1,TABELA_VAZAO[qnat])</f>
        <v>0</v>
      </c>
      <c r="V7" s="250">
        <f ca="1">SUMPRODUCT((TABELA_VAZAO[Posto]=V$2)*1,(TABELA_VAZAO[Data]=$A7)*1,TABELA_VAZAO[qinc])</f>
        <v>0</v>
      </c>
      <c r="W7" s="210">
        <f ca="1">SUMPRODUCT((TABELA_VAZAO[Posto]=W$2)*1,(TABELA_VAZAO[Data]=$A7)*1,TABELA_VAZAO[qnat])</f>
        <v>0</v>
      </c>
      <c r="X7" s="8" t="e">
        <f t="shared" ref="X7:X70" ca="1" si="4">$X$4*$M7</f>
        <v>#N/A</v>
      </c>
      <c r="Y7" s="67" t="e">
        <f ca="1">INDEX(RESULTADOS!$A:$BA,MATCH($A7,RESULTADOS!$A:$A,0),MATCH(Y$1,RESULTADOS!$1:$1,0))</f>
        <v>#N/A</v>
      </c>
      <c r="Z7" s="250">
        <f ca="1">SUMPRODUCT((TABELA_VAZAO[Posto]=Z$2)*1,(TABELA_VAZAO[Data]=$A7)*1,TABELA_VAZAO[qinc])</f>
        <v>0</v>
      </c>
      <c r="AA7" s="210">
        <f ca="1">SUMPRODUCT((TABELA_VAZAO[Posto]=AA$2)*1,(TABELA_VAZAO[Data]=$A7)*1,TABELA_VAZAO[qnat])</f>
        <v>0</v>
      </c>
      <c r="AB7" s="8"/>
      <c r="AC7" s="67" t="e">
        <f ca="1">INDEX(RESULTADOS!$A:$BA,MATCH($A7,RESULTADOS!$A:$A,0),MATCH(AC$1,RESULTADOS!$1:$1,0))</f>
        <v>#N/A</v>
      </c>
      <c r="AD7" s="250">
        <f ca="1">SUMPRODUCT((TABELA_VAZAO[Posto]=AD$2)*1,(TABELA_VAZAO[Data]=$A7)*1,TABELA_VAZAO[qinc])</f>
        <v>0</v>
      </c>
      <c r="AE7" s="210">
        <f ca="1">SUMPRODUCT((TABELA_VAZAO[Posto]=AE$2)*1,(TABELA_VAZAO[Data]=$A7)*1,TABELA_VAZAO[qnat])</f>
        <v>0</v>
      </c>
      <c r="AF7" s="250">
        <f ca="1">SUMPRODUCT((TABELA_VAZAO[Posto]=AF$2)*1,(TABELA_VAZAO[Data]=$A7)*1,TABELA_VAZAO[qinc])</f>
        <v>0</v>
      </c>
      <c r="AG7" s="210">
        <f ca="1">SUMPRODUCT((TABELA_VAZAO[Posto]=AG$2)*1,(TABELA_VAZAO[Data]=$A7)*1,TABELA_VAZAO[qnat])</f>
        <v>0</v>
      </c>
      <c r="AH7" s="250">
        <f ca="1">SUMPRODUCT((TABELA_VAZAO[Posto]=AH$2)*1,(TABELA_VAZAO[Data]=$A7)*1,TABELA_VAZAO[qinc])</f>
        <v>0</v>
      </c>
      <c r="AI7" s="210">
        <f ca="1">SUMPRODUCT((TABELA_VAZAO[Posto]=AI$2)*1,(TABELA_VAZAO[Data]=$A7)*1,TABELA_VAZAO[qnat])</f>
        <v>0</v>
      </c>
      <c r="AJ7" s="67" t="e">
        <f ca="1">INDEX(RESULTADOS!$A:$BA,MATCH($A7,RESULTADOS!$A:$A,0),MATCH(AJ$1,RESULTADOS!$1:$1,0))</f>
        <v>#N/A</v>
      </c>
      <c r="AK7" s="67" t="e">
        <f ca="1">INDEX(RESULTADOS!$A:$BA,MATCH($A7,RESULTADOS!$A:$A,0),MATCH(AK$1,RESULTADOS!$1:$1,0))</f>
        <v>#N/A</v>
      </c>
      <c r="AL7" s="9" t="s">
        <v>3</v>
      </c>
      <c r="AM7" s="250">
        <f ca="1">SUMPRODUCT((TABELA_VAZAO[Posto]=AM$2)*1,(TABELA_VAZAO[Data]=$A7)*1,TABELA_VAZAO[qinc])</f>
        <v>0</v>
      </c>
      <c r="AN7" s="210">
        <f ca="1">SUMPRODUCT((TABELA_VAZAO[Posto]=AN$2)*1,(TABELA_VAZAO[Data]=$A7)*1,TABELA_VAZAO[qnat])</f>
        <v>0</v>
      </c>
      <c r="AO7" s="250">
        <f ca="1">SUMPRODUCT((TABELA_VAZAO[Posto]=AO$2)*1,(TABELA_VAZAO[Data]=$A7)*1,TABELA_VAZAO[qinc])</f>
        <v>0</v>
      </c>
      <c r="AP7" s="210">
        <f ca="1">SUMPRODUCT((TABELA_VAZAO[Posto]=AP$2)*1,(TABELA_VAZAO[Data]=$A7)*1,TABELA_VAZAO[qnat])</f>
        <v>0</v>
      </c>
    </row>
    <row r="8" spans="1:42" x14ac:dyDescent="0.2">
      <c r="A8" s="7">
        <f t="shared" ca="1" si="2"/>
        <v>43807</v>
      </c>
      <c r="B8" s="250">
        <f ca="1">SUMPRODUCT((TABELA_VAZAO[Posto]=B$2)*1,(TABELA_VAZAO[Data]=$A8)*1,TABELA_VAZAO[qinc])</f>
        <v>0</v>
      </c>
      <c r="C8" s="210">
        <f ca="1">SUMPRODUCT((TABELA_VAZAO[Posto]=C$2)*1,(TABELA_VAZAO[Data]=$A8)*1,TABELA_VAZAO[qnat])</f>
        <v>0</v>
      </c>
      <c r="D8" s="250">
        <f ca="1">SUMPRODUCT((TABELA_VAZAO[Posto]=D$2)*1,(TABELA_VAZAO[Data]=$A8)*1,TABELA_VAZAO[qinc])</f>
        <v>0</v>
      </c>
      <c r="E8" s="52">
        <f t="shared" ca="1" si="3"/>
        <v>0</v>
      </c>
      <c r="F8" s="250">
        <f ca="1">SUMPRODUCT((TABELA_VAZAO[Posto]=F$2)*1,(TABELA_VAZAO[Data]=$A8)*1,TABELA_VAZAO[qinc])</f>
        <v>0</v>
      </c>
      <c r="G8" s="210">
        <f ca="1">SUMPRODUCT((TABELA_VAZAO[Posto]=G$2)*1,(TABELA_VAZAO[Data]=$A8)*1,TABELA_VAZAO[qnat])</f>
        <v>0</v>
      </c>
      <c r="H8" s="67" t="e">
        <f ca="1">INDEX(RESULTADOS!$A:$BA,MATCH($A8,RESULTADOS!$A:$A,0),MATCH(H$1,RESULTADOS!$1:$1,0))</f>
        <v>#N/A</v>
      </c>
      <c r="I8" s="67" t="e">
        <f ca="1">INDEX(RESULTADOS!$A:$BA,MATCH($A8,RESULTADOS!$A:$A,0),MATCH(I$1,RESULTADOS!$1:$1,0))</f>
        <v>#N/A</v>
      </c>
      <c r="J8" s="67" t="e">
        <f ca="1">INDEX(RESULTADOS!$A:$BA,MATCH($A8,RESULTADOS!$A:$A,0),MATCH(J$1,RESULTADOS!$1:$1,0))</f>
        <v>#N/A</v>
      </c>
      <c r="K8" s="250">
        <f ca="1">SUMPRODUCT((TABELA_VAZAO[Posto]=K$2)*1,(TABELA_VAZAO[Data]=$A8)*1,TABELA_VAZAO[qinc])</f>
        <v>0</v>
      </c>
      <c r="L8" s="210">
        <f ca="1">SUMPRODUCT((TABELA_VAZAO[Posto]=L$2)*1,(TABELA_VAZAO[Data]=$A8)*1,TABELA_VAZAO[qnat])</f>
        <v>0</v>
      </c>
      <c r="M8" s="67" t="e">
        <f ca="1">INDEX(RESULTADOS!$A:$BA,MATCH($A8,RESULTADOS!$A:$A,0),MATCH(M$1,RESULTADOS!$1:$1,0))</f>
        <v>#N/A</v>
      </c>
      <c r="N8" s="250">
        <f ca="1">SUMPRODUCT((TABELA_VAZAO[Posto]=N$2)*1,(TABELA_VAZAO[Data]=$A8)*1,TABELA_VAZAO[qinc])</f>
        <v>0</v>
      </c>
      <c r="O8" s="210">
        <f ca="1">SUMPRODUCT((TABELA_VAZAO[Posto]=O$2)*1,(TABELA_VAZAO[Data]=$A8)*1,TABELA_VAZAO[qnat])</f>
        <v>0</v>
      </c>
      <c r="P8" s="250">
        <f ca="1">SUMPRODUCT((TABELA_VAZAO[Posto]=P$2)*1,(TABELA_VAZAO[Data]=$A8)*1,TABELA_VAZAO[qinc])</f>
        <v>0</v>
      </c>
      <c r="Q8" s="210">
        <f ca="1">SUMPRODUCT((TABELA_VAZAO[Posto]=Q$2)*1,(TABELA_VAZAO[Data]=$A8)*1,TABELA_VAZAO[qnat])</f>
        <v>0</v>
      </c>
      <c r="R8" s="250">
        <f ca="1">SUMPRODUCT((TABELA_VAZAO[Posto]=R$2)*1,(TABELA_VAZAO[Data]=$A8)*1,TABELA_VAZAO[qinc])</f>
        <v>0</v>
      </c>
      <c r="S8" s="210">
        <f ca="1">SUMPRODUCT((TABELA_VAZAO[Posto]=S$2)*1,(TABELA_VAZAO[Data]=$A8)*1,TABELA_VAZAO[qnat])</f>
        <v>0</v>
      </c>
      <c r="T8" s="250">
        <f ca="1">SUMPRODUCT((TABELA_VAZAO[Posto]=T$2)*1,(TABELA_VAZAO[Data]=$A8)*1,TABELA_VAZAO[qinc])</f>
        <v>0</v>
      </c>
      <c r="U8" s="210">
        <f ca="1">SUMPRODUCT((TABELA_VAZAO[Posto]=U$2)*1,(TABELA_VAZAO[Data]=$A8)*1,TABELA_VAZAO[qnat])</f>
        <v>0</v>
      </c>
      <c r="V8" s="250">
        <f ca="1">SUMPRODUCT((TABELA_VAZAO[Posto]=V$2)*1,(TABELA_VAZAO[Data]=$A8)*1,TABELA_VAZAO[qinc])</f>
        <v>0</v>
      </c>
      <c r="W8" s="210">
        <f ca="1">SUMPRODUCT((TABELA_VAZAO[Posto]=W$2)*1,(TABELA_VAZAO[Data]=$A8)*1,TABELA_VAZAO[qnat])</f>
        <v>0</v>
      </c>
      <c r="X8" s="8" t="e">
        <f t="shared" ca="1" si="4"/>
        <v>#N/A</v>
      </c>
      <c r="Y8" s="67" t="e">
        <f ca="1">INDEX(RESULTADOS!$A:$BA,MATCH($A8,RESULTADOS!$A:$A,0),MATCH(Y$1,RESULTADOS!$1:$1,0))</f>
        <v>#N/A</v>
      </c>
      <c r="Z8" s="250">
        <f ca="1">SUMPRODUCT((TABELA_VAZAO[Posto]=Z$2)*1,(TABELA_VAZAO[Data]=$A8)*1,TABELA_VAZAO[qinc])</f>
        <v>0</v>
      </c>
      <c r="AA8" s="210">
        <f ca="1">SUMPRODUCT((TABELA_VAZAO[Posto]=AA$2)*1,(TABELA_VAZAO[Data]=$A8)*1,TABELA_VAZAO[qnat])</f>
        <v>0</v>
      </c>
      <c r="AB8" s="8"/>
      <c r="AC8" s="67" t="e">
        <f ca="1">INDEX(RESULTADOS!$A:$BA,MATCH($A8,RESULTADOS!$A:$A,0),MATCH(AC$1,RESULTADOS!$1:$1,0))</f>
        <v>#N/A</v>
      </c>
      <c r="AD8" s="250">
        <f ca="1">SUMPRODUCT((TABELA_VAZAO[Posto]=AD$2)*1,(TABELA_VAZAO[Data]=$A8)*1,TABELA_VAZAO[qinc])</f>
        <v>0</v>
      </c>
      <c r="AE8" s="210">
        <f ca="1">SUMPRODUCT((TABELA_VAZAO[Posto]=AE$2)*1,(TABELA_VAZAO[Data]=$A8)*1,TABELA_VAZAO[qnat])</f>
        <v>0</v>
      </c>
      <c r="AF8" s="250">
        <f ca="1">SUMPRODUCT((TABELA_VAZAO[Posto]=AF$2)*1,(TABELA_VAZAO[Data]=$A8)*1,TABELA_VAZAO[qinc])</f>
        <v>0</v>
      </c>
      <c r="AG8" s="210">
        <f ca="1">SUMPRODUCT((TABELA_VAZAO[Posto]=AG$2)*1,(TABELA_VAZAO[Data]=$A8)*1,TABELA_VAZAO[qnat])</f>
        <v>0</v>
      </c>
      <c r="AH8" s="250">
        <f ca="1">SUMPRODUCT((TABELA_VAZAO[Posto]=AH$2)*1,(TABELA_VAZAO[Data]=$A8)*1,TABELA_VAZAO[qinc])</f>
        <v>0</v>
      </c>
      <c r="AI8" s="210">
        <f ca="1">SUMPRODUCT((TABELA_VAZAO[Posto]=AI$2)*1,(TABELA_VAZAO[Data]=$A8)*1,TABELA_VAZAO[qnat])</f>
        <v>0</v>
      </c>
      <c r="AJ8" s="67" t="e">
        <f ca="1">INDEX(RESULTADOS!$A:$BA,MATCH($A8,RESULTADOS!$A:$A,0),MATCH(AJ$1,RESULTADOS!$1:$1,0))</f>
        <v>#N/A</v>
      </c>
      <c r="AK8" s="67" t="e">
        <f ca="1">INDEX(RESULTADOS!$A:$BA,MATCH($A8,RESULTADOS!$A:$A,0),MATCH(AK$1,RESULTADOS!$1:$1,0))</f>
        <v>#N/A</v>
      </c>
      <c r="AL8" s="9" t="e">
        <f ca="1">AK8-AH8</f>
        <v>#N/A</v>
      </c>
      <c r="AM8" s="250">
        <f ca="1">SUMPRODUCT((TABELA_VAZAO[Posto]=AM$2)*1,(TABELA_VAZAO[Data]=$A8)*1,TABELA_VAZAO[qinc])</f>
        <v>0</v>
      </c>
      <c r="AN8" s="210">
        <f ca="1">SUMPRODUCT((TABELA_VAZAO[Posto]=AN$2)*1,(TABELA_VAZAO[Data]=$A8)*1,TABELA_VAZAO[qnat])</f>
        <v>0</v>
      </c>
      <c r="AO8" s="250">
        <f ca="1">SUMPRODUCT((TABELA_VAZAO[Posto]=AO$2)*1,(TABELA_VAZAO[Data]=$A8)*1,TABELA_VAZAO[qinc])</f>
        <v>0</v>
      </c>
      <c r="AP8" s="210">
        <f ca="1">SUMPRODUCT((TABELA_VAZAO[Posto]=AP$2)*1,(TABELA_VAZAO[Data]=$A8)*1,TABELA_VAZAO[qnat])</f>
        <v>0</v>
      </c>
    </row>
    <row r="9" spans="1:42" x14ac:dyDescent="0.2">
      <c r="A9" s="7">
        <f t="shared" ca="1" si="2"/>
        <v>43808</v>
      </c>
      <c r="B9" s="250">
        <f ca="1">SUMPRODUCT((TABELA_VAZAO[Posto]=B$2)*1,(TABELA_VAZAO[Data]=$A9)*1,TABELA_VAZAO[qinc])</f>
        <v>0</v>
      </c>
      <c r="C9" s="210">
        <f ca="1">SUMPRODUCT((TABELA_VAZAO[Posto]=C$2)*1,(TABELA_VAZAO[Data]=$A9)*1,TABELA_VAZAO[qnat])</f>
        <v>0</v>
      </c>
      <c r="D9" s="250">
        <f ca="1">SUMPRODUCT((TABELA_VAZAO[Posto]=D$2)*1,(TABELA_VAZAO[Data]=$A9)*1,TABELA_VAZAO[qinc])</f>
        <v>0</v>
      </c>
      <c r="E9" s="52">
        <f t="shared" ca="1" si="3"/>
        <v>0</v>
      </c>
      <c r="F9" s="250">
        <f ca="1">SUMPRODUCT((TABELA_VAZAO[Posto]=F$2)*1,(TABELA_VAZAO[Data]=$A9)*1,TABELA_VAZAO[qinc])</f>
        <v>0</v>
      </c>
      <c r="G9" s="210">
        <f ca="1">SUMPRODUCT((TABELA_VAZAO[Posto]=G$2)*1,(TABELA_VAZAO[Data]=$A9)*1,TABELA_VAZAO[qnat])</f>
        <v>0</v>
      </c>
      <c r="H9" s="67" t="e">
        <f ca="1">INDEX(RESULTADOS!$A:$BA,MATCH($A9,RESULTADOS!$A:$A,0),MATCH(H$1,RESULTADOS!$1:$1,0))</f>
        <v>#N/A</v>
      </c>
      <c r="I9" s="67" t="e">
        <f ca="1">INDEX(RESULTADOS!$A:$BA,MATCH($A9,RESULTADOS!$A:$A,0),MATCH(I$1,RESULTADOS!$1:$1,0))</f>
        <v>#N/A</v>
      </c>
      <c r="J9" s="67" t="e">
        <f ca="1">INDEX(RESULTADOS!$A:$BA,MATCH($A9,RESULTADOS!$A:$A,0),MATCH(J$1,RESULTADOS!$1:$1,0))</f>
        <v>#N/A</v>
      </c>
      <c r="K9" s="250">
        <f ca="1">SUMPRODUCT((TABELA_VAZAO[Posto]=K$2)*1,(TABELA_VAZAO[Data]=$A9)*1,TABELA_VAZAO[qinc])</f>
        <v>0</v>
      </c>
      <c r="L9" s="210">
        <f ca="1">SUMPRODUCT((TABELA_VAZAO[Posto]=L$2)*1,(TABELA_VAZAO[Data]=$A9)*1,TABELA_VAZAO[qnat])</f>
        <v>0</v>
      </c>
      <c r="M9" s="67" t="e">
        <f ca="1">INDEX(RESULTADOS!$A:$BA,MATCH($A9,RESULTADOS!$A:$A,0),MATCH(M$1,RESULTADOS!$1:$1,0))</f>
        <v>#N/A</v>
      </c>
      <c r="N9" s="250">
        <f ca="1">SUMPRODUCT((TABELA_VAZAO[Posto]=N$2)*1,(TABELA_VAZAO[Data]=$A9)*1,TABELA_VAZAO[qinc])</f>
        <v>0</v>
      </c>
      <c r="O9" s="210">
        <f ca="1">SUMPRODUCT((TABELA_VAZAO[Posto]=O$2)*1,(TABELA_VAZAO[Data]=$A9)*1,TABELA_VAZAO[qnat])</f>
        <v>0</v>
      </c>
      <c r="P9" s="250">
        <f ca="1">SUMPRODUCT((TABELA_VAZAO[Posto]=P$2)*1,(TABELA_VAZAO[Data]=$A9)*1,TABELA_VAZAO[qinc])</f>
        <v>0</v>
      </c>
      <c r="Q9" s="210">
        <f ca="1">SUMPRODUCT((TABELA_VAZAO[Posto]=Q$2)*1,(TABELA_VAZAO[Data]=$A9)*1,TABELA_VAZAO[qnat])</f>
        <v>0</v>
      </c>
      <c r="R9" s="250">
        <f ca="1">SUMPRODUCT((TABELA_VAZAO[Posto]=R$2)*1,(TABELA_VAZAO[Data]=$A9)*1,TABELA_VAZAO[qinc])</f>
        <v>0</v>
      </c>
      <c r="S9" s="210">
        <f ca="1">SUMPRODUCT((TABELA_VAZAO[Posto]=S$2)*1,(TABELA_VAZAO[Data]=$A9)*1,TABELA_VAZAO[qnat])</f>
        <v>0</v>
      </c>
      <c r="T9" s="250">
        <f ca="1">SUMPRODUCT((TABELA_VAZAO[Posto]=T$2)*1,(TABELA_VAZAO[Data]=$A9)*1,TABELA_VAZAO[qinc])</f>
        <v>0</v>
      </c>
      <c r="U9" s="210">
        <f ca="1">SUMPRODUCT((TABELA_VAZAO[Posto]=U$2)*1,(TABELA_VAZAO[Data]=$A9)*1,TABELA_VAZAO[qnat])</f>
        <v>0</v>
      </c>
      <c r="V9" s="250">
        <f ca="1">SUMPRODUCT((TABELA_VAZAO[Posto]=V$2)*1,(TABELA_VAZAO[Data]=$A9)*1,TABELA_VAZAO[qinc])</f>
        <v>0</v>
      </c>
      <c r="W9" s="210">
        <f ca="1">SUMPRODUCT((TABELA_VAZAO[Posto]=W$2)*1,(TABELA_VAZAO[Data]=$A9)*1,TABELA_VAZAO[qnat])</f>
        <v>0</v>
      </c>
      <c r="X9" s="8" t="e">
        <f t="shared" ca="1" si="4"/>
        <v>#N/A</v>
      </c>
      <c r="Y9" s="67" t="e">
        <f ca="1">INDEX(RESULTADOS!$A:$BA,MATCH($A9,RESULTADOS!$A:$A,0),MATCH(Y$1,RESULTADOS!$1:$1,0))</f>
        <v>#N/A</v>
      </c>
      <c r="Z9" s="250">
        <f ca="1">SUMPRODUCT((TABELA_VAZAO[Posto]=Z$2)*1,(TABELA_VAZAO[Data]=$A9)*1,TABELA_VAZAO[qinc])</f>
        <v>0</v>
      </c>
      <c r="AA9" s="210">
        <f ca="1">SUMPRODUCT((TABELA_VAZAO[Posto]=AA$2)*1,(TABELA_VAZAO[Data]=$A9)*1,TABELA_VAZAO[qnat])</f>
        <v>0</v>
      </c>
      <c r="AB9" s="8"/>
      <c r="AC9" s="67" t="e">
        <f ca="1">INDEX(RESULTADOS!$A:$BA,MATCH($A9,RESULTADOS!$A:$A,0),MATCH(AC$1,RESULTADOS!$1:$1,0))</f>
        <v>#N/A</v>
      </c>
      <c r="AD9" s="250">
        <f ca="1">SUMPRODUCT((TABELA_VAZAO[Posto]=AD$2)*1,(TABELA_VAZAO[Data]=$A9)*1,TABELA_VAZAO[qinc])</f>
        <v>0</v>
      </c>
      <c r="AE9" s="210">
        <f ca="1">SUMPRODUCT((TABELA_VAZAO[Posto]=AE$2)*1,(TABELA_VAZAO[Data]=$A9)*1,TABELA_VAZAO[qnat])</f>
        <v>0</v>
      </c>
      <c r="AF9" s="250">
        <f ca="1">SUMPRODUCT((TABELA_VAZAO[Posto]=AF$2)*1,(TABELA_VAZAO[Data]=$A9)*1,TABELA_VAZAO[qinc])</f>
        <v>0</v>
      </c>
      <c r="AG9" s="210">
        <f ca="1">SUMPRODUCT((TABELA_VAZAO[Posto]=AG$2)*1,(TABELA_VAZAO[Data]=$A9)*1,TABELA_VAZAO[qnat])</f>
        <v>0</v>
      </c>
      <c r="AH9" s="250">
        <f ca="1">SUMPRODUCT((TABELA_VAZAO[Posto]=AH$2)*1,(TABELA_VAZAO[Data]=$A9)*1,TABELA_VAZAO[qinc])</f>
        <v>0</v>
      </c>
      <c r="AI9" s="210">
        <f ca="1">SUMPRODUCT((TABELA_VAZAO[Posto]=AI$2)*1,(TABELA_VAZAO[Data]=$A9)*1,TABELA_VAZAO[qnat])</f>
        <v>0</v>
      </c>
      <c r="AJ9" s="67" t="e">
        <f ca="1">INDEX(RESULTADOS!$A:$BA,MATCH($A9,RESULTADOS!$A:$A,0),MATCH(AJ$1,RESULTADOS!$1:$1,0))</f>
        <v>#N/A</v>
      </c>
      <c r="AK9" s="67" t="e">
        <f ca="1">INDEX(RESULTADOS!$A:$BA,MATCH($A9,RESULTADOS!$A:$A,0),MATCH(AK$1,RESULTADOS!$1:$1,0))</f>
        <v>#N/A</v>
      </c>
      <c r="AL9" s="9" t="e">
        <f t="shared" ref="AL9:AL50" ca="1" si="5">AK9-AH9</f>
        <v>#N/A</v>
      </c>
      <c r="AM9" s="250">
        <f ca="1">SUMPRODUCT((TABELA_VAZAO[Posto]=AM$2)*1,(TABELA_VAZAO[Data]=$A9)*1,TABELA_VAZAO[qinc])</f>
        <v>0</v>
      </c>
      <c r="AN9" s="210">
        <f ca="1">SUMPRODUCT((TABELA_VAZAO[Posto]=AN$2)*1,(TABELA_VAZAO[Data]=$A9)*1,TABELA_VAZAO[qnat])</f>
        <v>0</v>
      </c>
      <c r="AO9" s="250">
        <f ca="1">SUMPRODUCT((TABELA_VAZAO[Posto]=AO$2)*1,(TABELA_VAZAO[Data]=$A9)*1,TABELA_VAZAO[qinc])</f>
        <v>0</v>
      </c>
      <c r="AP9" s="210">
        <f ca="1">SUMPRODUCT((TABELA_VAZAO[Posto]=AP$2)*1,(TABELA_VAZAO[Data]=$A9)*1,TABELA_VAZAO[qnat])</f>
        <v>0</v>
      </c>
    </row>
    <row r="10" spans="1:42" x14ac:dyDescent="0.2">
      <c r="A10" s="7">
        <f t="shared" ca="1" si="2"/>
        <v>43809</v>
      </c>
      <c r="B10" s="250">
        <f ca="1">SUMPRODUCT((TABELA_VAZAO[Posto]=B$2)*1,(TABELA_VAZAO[Data]=$A10)*1,TABELA_VAZAO[qinc])</f>
        <v>0</v>
      </c>
      <c r="C10" s="210">
        <f ca="1">SUMPRODUCT((TABELA_VAZAO[Posto]=C$2)*1,(TABELA_VAZAO[Data]=$A10)*1,TABELA_VAZAO[qnat])</f>
        <v>0</v>
      </c>
      <c r="D10" s="250">
        <f ca="1">SUMPRODUCT((TABELA_VAZAO[Posto]=D$2)*1,(TABELA_VAZAO[Data]=$A10)*1,TABELA_VAZAO[qinc])</f>
        <v>0</v>
      </c>
      <c r="E10" s="52">
        <f t="shared" ca="1" si="3"/>
        <v>0</v>
      </c>
      <c r="F10" s="250">
        <f ca="1">SUMPRODUCT((TABELA_VAZAO[Posto]=F$2)*1,(TABELA_VAZAO[Data]=$A10)*1,TABELA_VAZAO[qinc])</f>
        <v>0</v>
      </c>
      <c r="G10" s="210">
        <f ca="1">SUMPRODUCT((TABELA_VAZAO[Posto]=G$2)*1,(TABELA_VAZAO[Data]=$A10)*1,TABELA_VAZAO[qnat])</f>
        <v>0</v>
      </c>
      <c r="H10" s="67" t="e">
        <f ca="1">INDEX(RESULTADOS!$A:$BA,MATCH($A10,RESULTADOS!$A:$A,0),MATCH(H$1,RESULTADOS!$1:$1,0))</f>
        <v>#N/A</v>
      </c>
      <c r="I10" s="67" t="e">
        <f ca="1">INDEX(RESULTADOS!$A:$BA,MATCH($A10,RESULTADOS!$A:$A,0),MATCH(I$1,RESULTADOS!$1:$1,0))</f>
        <v>#N/A</v>
      </c>
      <c r="J10" s="67" t="e">
        <f ca="1">INDEX(RESULTADOS!$A:$BA,MATCH($A10,RESULTADOS!$A:$A,0),MATCH(J$1,RESULTADOS!$1:$1,0))</f>
        <v>#N/A</v>
      </c>
      <c r="K10" s="250">
        <f ca="1">SUMPRODUCT((TABELA_VAZAO[Posto]=K$2)*1,(TABELA_VAZAO[Data]=$A10)*1,TABELA_VAZAO[qinc])</f>
        <v>0</v>
      </c>
      <c r="L10" s="210">
        <f ca="1">SUMPRODUCT((TABELA_VAZAO[Posto]=L$2)*1,(TABELA_VAZAO[Data]=$A10)*1,TABELA_VAZAO[qnat])</f>
        <v>0</v>
      </c>
      <c r="M10" s="67" t="e">
        <f ca="1">INDEX(RESULTADOS!$A:$BA,MATCH($A10,RESULTADOS!$A:$A,0),MATCH(M$1,RESULTADOS!$1:$1,0))</f>
        <v>#N/A</v>
      </c>
      <c r="N10" s="250">
        <f ca="1">SUMPRODUCT((TABELA_VAZAO[Posto]=N$2)*1,(TABELA_VAZAO[Data]=$A10)*1,TABELA_VAZAO[qinc])</f>
        <v>0</v>
      </c>
      <c r="O10" s="210">
        <f ca="1">SUMPRODUCT((TABELA_VAZAO[Posto]=O$2)*1,(TABELA_VAZAO[Data]=$A10)*1,TABELA_VAZAO[qnat])</f>
        <v>0</v>
      </c>
      <c r="P10" s="250">
        <f ca="1">SUMPRODUCT((TABELA_VAZAO[Posto]=P$2)*1,(TABELA_VAZAO[Data]=$A10)*1,TABELA_VAZAO[qinc])</f>
        <v>0</v>
      </c>
      <c r="Q10" s="210">
        <f ca="1">SUMPRODUCT((TABELA_VAZAO[Posto]=Q$2)*1,(TABELA_VAZAO[Data]=$A10)*1,TABELA_VAZAO[qnat])</f>
        <v>0</v>
      </c>
      <c r="R10" s="250">
        <f ca="1">SUMPRODUCT((TABELA_VAZAO[Posto]=R$2)*1,(TABELA_VAZAO[Data]=$A10)*1,TABELA_VAZAO[qinc])</f>
        <v>0</v>
      </c>
      <c r="S10" s="210">
        <f ca="1">SUMPRODUCT((TABELA_VAZAO[Posto]=S$2)*1,(TABELA_VAZAO[Data]=$A10)*1,TABELA_VAZAO[qnat])</f>
        <v>0</v>
      </c>
      <c r="T10" s="250">
        <f ca="1">SUMPRODUCT((TABELA_VAZAO[Posto]=T$2)*1,(TABELA_VAZAO[Data]=$A10)*1,TABELA_VAZAO[qinc])</f>
        <v>0</v>
      </c>
      <c r="U10" s="210">
        <f ca="1">SUMPRODUCT((TABELA_VAZAO[Posto]=U$2)*1,(TABELA_VAZAO[Data]=$A10)*1,TABELA_VAZAO[qnat])</f>
        <v>0</v>
      </c>
      <c r="V10" s="250">
        <f ca="1">SUMPRODUCT((TABELA_VAZAO[Posto]=V$2)*1,(TABELA_VAZAO[Data]=$A10)*1,TABELA_VAZAO[qinc])</f>
        <v>0</v>
      </c>
      <c r="W10" s="210">
        <f ca="1">SUMPRODUCT((TABELA_VAZAO[Posto]=W$2)*1,(TABELA_VAZAO[Data]=$A10)*1,TABELA_VAZAO[qnat])</f>
        <v>0</v>
      </c>
      <c r="X10" s="8" t="e">
        <f t="shared" ca="1" si="4"/>
        <v>#N/A</v>
      </c>
      <c r="Y10" s="67" t="e">
        <f ca="1">INDEX(RESULTADOS!$A:$BA,MATCH($A10,RESULTADOS!$A:$A,0),MATCH(Y$1,RESULTADOS!$1:$1,0))</f>
        <v>#N/A</v>
      </c>
      <c r="Z10" s="250">
        <f ca="1">SUMPRODUCT((TABELA_VAZAO[Posto]=Z$2)*1,(TABELA_VAZAO[Data]=$A10)*1,TABELA_VAZAO[qinc])</f>
        <v>0</v>
      </c>
      <c r="AA10" s="210">
        <f ca="1">SUMPRODUCT((TABELA_VAZAO[Posto]=AA$2)*1,(TABELA_VAZAO[Data]=$A10)*1,TABELA_VAZAO[qnat])</f>
        <v>0</v>
      </c>
      <c r="AB10" s="8"/>
      <c r="AC10" s="67" t="e">
        <f ca="1">INDEX(RESULTADOS!$A:$BA,MATCH($A10,RESULTADOS!$A:$A,0),MATCH(AC$1,RESULTADOS!$1:$1,0))</f>
        <v>#N/A</v>
      </c>
      <c r="AD10" s="250">
        <f ca="1">SUMPRODUCT((TABELA_VAZAO[Posto]=AD$2)*1,(TABELA_VAZAO[Data]=$A10)*1,TABELA_VAZAO[qinc])</f>
        <v>0</v>
      </c>
      <c r="AE10" s="210">
        <f ca="1">SUMPRODUCT((TABELA_VAZAO[Posto]=AE$2)*1,(TABELA_VAZAO[Data]=$A10)*1,TABELA_VAZAO[qnat])</f>
        <v>0</v>
      </c>
      <c r="AF10" s="250">
        <f ca="1">SUMPRODUCT((TABELA_VAZAO[Posto]=AF$2)*1,(TABELA_VAZAO[Data]=$A10)*1,TABELA_VAZAO[qinc])</f>
        <v>0</v>
      </c>
      <c r="AG10" s="210">
        <f ca="1">SUMPRODUCT((TABELA_VAZAO[Posto]=AG$2)*1,(TABELA_VAZAO[Data]=$A10)*1,TABELA_VAZAO[qnat])</f>
        <v>0</v>
      </c>
      <c r="AH10" s="250">
        <f ca="1">SUMPRODUCT((TABELA_VAZAO[Posto]=AH$2)*1,(TABELA_VAZAO[Data]=$A10)*1,TABELA_VAZAO[qinc])</f>
        <v>0</v>
      </c>
      <c r="AI10" s="210">
        <f ca="1">SUMPRODUCT((TABELA_VAZAO[Posto]=AI$2)*1,(TABELA_VAZAO[Data]=$A10)*1,TABELA_VAZAO[qnat])</f>
        <v>0</v>
      </c>
      <c r="AJ10" s="67" t="e">
        <f ca="1">INDEX(RESULTADOS!$A:$BA,MATCH($A10,RESULTADOS!$A:$A,0),MATCH(AJ$1,RESULTADOS!$1:$1,0))</f>
        <v>#N/A</v>
      </c>
      <c r="AK10" s="67" t="e">
        <f ca="1">INDEX(RESULTADOS!$A:$BA,MATCH($A10,RESULTADOS!$A:$A,0),MATCH(AK$1,RESULTADOS!$1:$1,0))</f>
        <v>#N/A</v>
      </c>
      <c r="AL10" s="9" t="e">
        <f ca="1">AK10-AH10</f>
        <v>#N/A</v>
      </c>
      <c r="AM10" s="250">
        <f ca="1">SUMPRODUCT((TABELA_VAZAO[Posto]=AM$2)*1,(TABELA_VAZAO[Data]=$A10)*1,TABELA_VAZAO[qinc])</f>
        <v>0</v>
      </c>
      <c r="AN10" s="210">
        <f ca="1">SUMPRODUCT((TABELA_VAZAO[Posto]=AN$2)*1,(TABELA_VAZAO[Data]=$A10)*1,TABELA_VAZAO[qnat])</f>
        <v>0</v>
      </c>
      <c r="AO10" s="250">
        <f ca="1">SUMPRODUCT((TABELA_VAZAO[Posto]=AO$2)*1,(TABELA_VAZAO[Data]=$A10)*1,TABELA_VAZAO[qinc])</f>
        <v>0</v>
      </c>
      <c r="AP10" s="210">
        <f ca="1">SUMPRODUCT((TABELA_VAZAO[Posto]=AP$2)*1,(TABELA_VAZAO[Data]=$A10)*1,TABELA_VAZAO[qnat])</f>
        <v>0</v>
      </c>
    </row>
    <row r="11" spans="1:42" x14ac:dyDescent="0.2">
      <c r="A11" s="7">
        <f t="shared" ca="1" si="2"/>
        <v>43810</v>
      </c>
      <c r="B11" s="250">
        <f ca="1">SUMPRODUCT((TABELA_VAZAO[Posto]=B$2)*1,(TABELA_VAZAO[Data]=$A11)*1,TABELA_VAZAO[qinc])</f>
        <v>0</v>
      </c>
      <c r="C11" s="210">
        <f ca="1">SUMPRODUCT((TABELA_VAZAO[Posto]=C$2)*1,(TABELA_VAZAO[Data]=$A11)*1,TABELA_VAZAO[qnat])</f>
        <v>0</v>
      </c>
      <c r="D11" s="250">
        <f ca="1">SUMPRODUCT((TABELA_VAZAO[Posto]=D$2)*1,(TABELA_VAZAO[Data]=$A11)*1,TABELA_VAZAO[qinc])</f>
        <v>0</v>
      </c>
      <c r="E11" s="52">
        <f t="shared" ca="1" si="3"/>
        <v>0</v>
      </c>
      <c r="F11" s="250">
        <f ca="1">SUMPRODUCT((TABELA_VAZAO[Posto]=F$2)*1,(TABELA_VAZAO[Data]=$A11)*1,TABELA_VAZAO[qinc])</f>
        <v>0</v>
      </c>
      <c r="G11" s="210">
        <f ca="1">SUMPRODUCT((TABELA_VAZAO[Posto]=G$2)*1,(TABELA_VAZAO[Data]=$A11)*1,TABELA_VAZAO[qnat])</f>
        <v>0</v>
      </c>
      <c r="H11" s="67" t="e">
        <f ca="1">INDEX(RESULTADOS!$A:$BA,MATCH($A11,RESULTADOS!$A:$A,0),MATCH(H$1,RESULTADOS!$1:$1,0))</f>
        <v>#N/A</v>
      </c>
      <c r="I11" s="67" t="e">
        <f ca="1">INDEX(RESULTADOS!$A:$BA,MATCH($A11,RESULTADOS!$A:$A,0),MATCH(I$1,RESULTADOS!$1:$1,0))</f>
        <v>#N/A</v>
      </c>
      <c r="J11" s="67" t="e">
        <f ca="1">INDEX(RESULTADOS!$A:$BA,MATCH($A11,RESULTADOS!$A:$A,0),MATCH(J$1,RESULTADOS!$1:$1,0))</f>
        <v>#N/A</v>
      </c>
      <c r="K11" s="250">
        <f ca="1">SUMPRODUCT((TABELA_VAZAO[Posto]=K$2)*1,(TABELA_VAZAO[Data]=$A11)*1,TABELA_VAZAO[qinc])</f>
        <v>0</v>
      </c>
      <c r="L11" s="210">
        <f ca="1">SUMPRODUCT((TABELA_VAZAO[Posto]=L$2)*1,(TABELA_VAZAO[Data]=$A11)*1,TABELA_VAZAO[qnat])</f>
        <v>0</v>
      </c>
      <c r="M11" s="67" t="e">
        <f ca="1">INDEX(RESULTADOS!$A:$BA,MATCH($A11,RESULTADOS!$A:$A,0),MATCH(M$1,RESULTADOS!$1:$1,0))</f>
        <v>#N/A</v>
      </c>
      <c r="N11" s="250">
        <f ca="1">SUMPRODUCT((TABELA_VAZAO[Posto]=N$2)*1,(TABELA_VAZAO[Data]=$A11)*1,TABELA_VAZAO[qinc])</f>
        <v>0</v>
      </c>
      <c r="O11" s="210">
        <f ca="1">SUMPRODUCT((TABELA_VAZAO[Posto]=O$2)*1,(TABELA_VAZAO[Data]=$A11)*1,TABELA_VAZAO[qnat])</f>
        <v>0</v>
      </c>
      <c r="P11" s="250">
        <f ca="1">SUMPRODUCT((TABELA_VAZAO[Posto]=P$2)*1,(TABELA_VAZAO[Data]=$A11)*1,TABELA_VAZAO[qinc])</f>
        <v>0</v>
      </c>
      <c r="Q11" s="210">
        <f ca="1">SUMPRODUCT((TABELA_VAZAO[Posto]=Q$2)*1,(TABELA_VAZAO[Data]=$A11)*1,TABELA_VAZAO[qnat])</f>
        <v>0</v>
      </c>
      <c r="R11" s="250">
        <f ca="1">SUMPRODUCT((TABELA_VAZAO[Posto]=R$2)*1,(TABELA_VAZAO[Data]=$A11)*1,TABELA_VAZAO[qinc])</f>
        <v>0</v>
      </c>
      <c r="S11" s="210">
        <f ca="1">SUMPRODUCT((TABELA_VAZAO[Posto]=S$2)*1,(TABELA_VAZAO[Data]=$A11)*1,TABELA_VAZAO[qnat])</f>
        <v>0</v>
      </c>
      <c r="T11" s="250">
        <f ca="1">SUMPRODUCT((TABELA_VAZAO[Posto]=T$2)*1,(TABELA_VAZAO[Data]=$A11)*1,TABELA_VAZAO[qinc])</f>
        <v>0</v>
      </c>
      <c r="U11" s="210">
        <f ca="1">SUMPRODUCT((TABELA_VAZAO[Posto]=U$2)*1,(TABELA_VAZAO[Data]=$A11)*1,TABELA_VAZAO[qnat])</f>
        <v>0</v>
      </c>
      <c r="V11" s="250">
        <f ca="1">SUMPRODUCT((TABELA_VAZAO[Posto]=V$2)*1,(TABELA_VAZAO[Data]=$A11)*1,TABELA_VAZAO[qinc])</f>
        <v>0</v>
      </c>
      <c r="W11" s="210">
        <f ca="1">SUMPRODUCT((TABELA_VAZAO[Posto]=W$2)*1,(TABELA_VAZAO[Data]=$A11)*1,TABELA_VAZAO[qnat])</f>
        <v>0</v>
      </c>
      <c r="X11" s="8" t="e">
        <f t="shared" ca="1" si="4"/>
        <v>#N/A</v>
      </c>
      <c r="Y11" s="67" t="e">
        <f ca="1">INDEX(RESULTADOS!$A:$BA,MATCH($A11,RESULTADOS!$A:$A,0),MATCH(Y$1,RESULTADOS!$1:$1,0))</f>
        <v>#N/A</v>
      </c>
      <c r="Z11" s="250">
        <f ca="1">SUMPRODUCT((TABELA_VAZAO[Posto]=Z$2)*1,(TABELA_VAZAO[Data]=$A11)*1,TABELA_VAZAO[qinc])</f>
        <v>0</v>
      </c>
      <c r="AA11" s="210">
        <f ca="1">SUMPRODUCT((TABELA_VAZAO[Posto]=AA$2)*1,(TABELA_VAZAO[Data]=$A11)*1,TABELA_VAZAO[qnat])</f>
        <v>0</v>
      </c>
      <c r="AB11" s="8"/>
      <c r="AC11" s="67" t="e">
        <f ca="1">INDEX(RESULTADOS!$A:$BA,MATCH($A11,RESULTADOS!$A:$A,0),MATCH(AC$1,RESULTADOS!$1:$1,0))</f>
        <v>#N/A</v>
      </c>
      <c r="AD11" s="250">
        <f ca="1">SUMPRODUCT((TABELA_VAZAO[Posto]=AD$2)*1,(TABELA_VAZAO[Data]=$A11)*1,TABELA_VAZAO[qinc])</f>
        <v>0</v>
      </c>
      <c r="AE11" s="210">
        <f ca="1">SUMPRODUCT((TABELA_VAZAO[Posto]=AE$2)*1,(TABELA_VAZAO[Data]=$A11)*1,TABELA_VAZAO[qnat])</f>
        <v>0</v>
      </c>
      <c r="AF11" s="250">
        <f ca="1">SUMPRODUCT((TABELA_VAZAO[Posto]=AF$2)*1,(TABELA_VAZAO[Data]=$A11)*1,TABELA_VAZAO[qinc])</f>
        <v>0</v>
      </c>
      <c r="AG11" s="210">
        <f ca="1">SUMPRODUCT((TABELA_VAZAO[Posto]=AG$2)*1,(TABELA_VAZAO[Data]=$A11)*1,TABELA_VAZAO[qnat])</f>
        <v>0</v>
      </c>
      <c r="AH11" s="250">
        <f ca="1">SUMPRODUCT((TABELA_VAZAO[Posto]=AH$2)*1,(TABELA_VAZAO[Data]=$A11)*1,TABELA_VAZAO[qinc])</f>
        <v>0</v>
      </c>
      <c r="AI11" s="210">
        <f ca="1">SUMPRODUCT((TABELA_VAZAO[Posto]=AI$2)*1,(TABELA_VAZAO[Data]=$A11)*1,TABELA_VAZAO[qnat])</f>
        <v>0</v>
      </c>
      <c r="AJ11" s="67" t="e">
        <f ca="1">INDEX(RESULTADOS!$A:$BA,MATCH($A11,RESULTADOS!$A:$A,0),MATCH(AJ$1,RESULTADOS!$1:$1,0))</f>
        <v>#N/A</v>
      </c>
      <c r="AK11" s="67" t="e">
        <f ca="1">INDEX(RESULTADOS!$A:$BA,MATCH($A11,RESULTADOS!$A:$A,0),MATCH(AK$1,RESULTADOS!$1:$1,0))</f>
        <v>#N/A</v>
      </c>
      <c r="AL11" s="9" t="e">
        <f ca="1">AK11-AH11</f>
        <v>#N/A</v>
      </c>
      <c r="AM11" s="250">
        <f ca="1">SUMPRODUCT((TABELA_VAZAO[Posto]=AM$2)*1,(TABELA_VAZAO[Data]=$A11)*1,TABELA_VAZAO[qinc])</f>
        <v>0</v>
      </c>
      <c r="AN11" s="210">
        <f ca="1">SUMPRODUCT((TABELA_VAZAO[Posto]=AN$2)*1,(TABELA_VAZAO[Data]=$A11)*1,TABELA_VAZAO[qnat])</f>
        <v>0</v>
      </c>
      <c r="AO11" s="250">
        <f ca="1">SUMPRODUCT((TABELA_VAZAO[Posto]=AO$2)*1,(TABELA_VAZAO[Data]=$A11)*1,TABELA_VAZAO[qinc])</f>
        <v>0</v>
      </c>
      <c r="AP11" s="210">
        <f ca="1">SUMPRODUCT((TABELA_VAZAO[Posto]=AP$2)*1,(TABELA_VAZAO[Data]=$A11)*1,TABELA_VAZAO[qnat])</f>
        <v>0</v>
      </c>
    </row>
    <row r="12" spans="1:42" x14ac:dyDescent="0.2">
      <c r="A12" s="7">
        <f t="shared" ca="1" si="2"/>
        <v>43811</v>
      </c>
      <c r="B12" s="250">
        <f ca="1">SUMPRODUCT((TABELA_VAZAO[Posto]=B$2)*1,(TABELA_VAZAO[Data]=$A12)*1,TABELA_VAZAO[qinc])</f>
        <v>0</v>
      </c>
      <c r="C12" s="210">
        <f ca="1">SUMPRODUCT((TABELA_VAZAO[Posto]=C$2)*1,(TABELA_VAZAO[Data]=$A12)*1,TABELA_VAZAO[qnat])</f>
        <v>0</v>
      </c>
      <c r="D12" s="250">
        <f ca="1">SUMPRODUCT((TABELA_VAZAO[Posto]=D$2)*1,(TABELA_VAZAO[Data]=$A12)*1,TABELA_VAZAO[qinc])</f>
        <v>0</v>
      </c>
      <c r="E12" s="52">
        <f t="shared" ca="1" si="3"/>
        <v>0</v>
      </c>
      <c r="F12" s="250">
        <f ca="1">SUMPRODUCT((TABELA_VAZAO[Posto]=F$2)*1,(TABELA_VAZAO[Data]=$A12)*1,TABELA_VAZAO[qinc])</f>
        <v>0</v>
      </c>
      <c r="G12" s="210">
        <f ca="1">SUMPRODUCT((TABELA_VAZAO[Posto]=G$2)*1,(TABELA_VAZAO[Data]=$A12)*1,TABELA_VAZAO[qnat])</f>
        <v>0</v>
      </c>
      <c r="H12" s="67" t="e">
        <f ca="1">INDEX(RESULTADOS!$A:$BA,MATCH($A12,RESULTADOS!$A:$A,0),MATCH(H$1,RESULTADOS!$1:$1,0))</f>
        <v>#N/A</v>
      </c>
      <c r="I12" s="67" t="e">
        <f ca="1">INDEX(RESULTADOS!$A:$BA,MATCH($A12,RESULTADOS!$A:$A,0),MATCH(I$1,RESULTADOS!$1:$1,0))</f>
        <v>#N/A</v>
      </c>
      <c r="J12" s="67" t="e">
        <f ca="1">INDEX(RESULTADOS!$A:$BA,MATCH($A12,RESULTADOS!$A:$A,0),MATCH(J$1,RESULTADOS!$1:$1,0))</f>
        <v>#N/A</v>
      </c>
      <c r="K12" s="250">
        <f ca="1">SUMPRODUCT((TABELA_VAZAO[Posto]=K$2)*1,(TABELA_VAZAO[Data]=$A12)*1,TABELA_VAZAO[qinc])</f>
        <v>0</v>
      </c>
      <c r="L12" s="210">
        <f ca="1">SUMPRODUCT((TABELA_VAZAO[Posto]=L$2)*1,(TABELA_VAZAO[Data]=$A12)*1,TABELA_VAZAO[qnat])</f>
        <v>0</v>
      </c>
      <c r="M12" s="67" t="e">
        <f ca="1">INDEX(RESULTADOS!$A:$BA,MATCH($A12,RESULTADOS!$A:$A,0),MATCH(M$1,RESULTADOS!$1:$1,0))</f>
        <v>#N/A</v>
      </c>
      <c r="N12" s="250">
        <f ca="1">SUMPRODUCT((TABELA_VAZAO[Posto]=N$2)*1,(TABELA_VAZAO[Data]=$A12)*1,TABELA_VAZAO[qinc])</f>
        <v>0</v>
      </c>
      <c r="O12" s="210">
        <f ca="1">SUMPRODUCT((TABELA_VAZAO[Posto]=O$2)*1,(TABELA_VAZAO[Data]=$A12)*1,TABELA_VAZAO[qnat])</f>
        <v>0</v>
      </c>
      <c r="P12" s="250">
        <f ca="1">SUMPRODUCT((TABELA_VAZAO[Posto]=P$2)*1,(TABELA_VAZAO[Data]=$A12)*1,TABELA_VAZAO[qinc])</f>
        <v>0</v>
      </c>
      <c r="Q12" s="210">
        <f ca="1">SUMPRODUCT((TABELA_VAZAO[Posto]=Q$2)*1,(TABELA_VAZAO[Data]=$A12)*1,TABELA_VAZAO[qnat])</f>
        <v>0</v>
      </c>
      <c r="R12" s="250">
        <f ca="1">SUMPRODUCT((TABELA_VAZAO[Posto]=R$2)*1,(TABELA_VAZAO[Data]=$A12)*1,TABELA_VAZAO[qinc])</f>
        <v>0</v>
      </c>
      <c r="S12" s="210">
        <f ca="1">SUMPRODUCT((TABELA_VAZAO[Posto]=S$2)*1,(TABELA_VAZAO[Data]=$A12)*1,TABELA_VAZAO[qnat])</f>
        <v>0</v>
      </c>
      <c r="T12" s="250">
        <f ca="1">SUMPRODUCT((TABELA_VAZAO[Posto]=T$2)*1,(TABELA_VAZAO[Data]=$A12)*1,TABELA_VAZAO[qinc])</f>
        <v>0</v>
      </c>
      <c r="U12" s="210">
        <f ca="1">SUMPRODUCT((TABELA_VAZAO[Posto]=U$2)*1,(TABELA_VAZAO[Data]=$A12)*1,TABELA_VAZAO[qnat])</f>
        <v>0</v>
      </c>
      <c r="V12" s="250">
        <f ca="1">SUMPRODUCT((TABELA_VAZAO[Posto]=V$2)*1,(TABELA_VAZAO[Data]=$A12)*1,TABELA_VAZAO[qinc])</f>
        <v>0</v>
      </c>
      <c r="W12" s="210">
        <f ca="1">SUMPRODUCT((TABELA_VAZAO[Posto]=W$2)*1,(TABELA_VAZAO[Data]=$A12)*1,TABELA_VAZAO[qnat])</f>
        <v>0</v>
      </c>
      <c r="X12" s="8" t="e">
        <f t="shared" ca="1" si="4"/>
        <v>#N/A</v>
      </c>
      <c r="Y12" s="67" t="e">
        <f ca="1">INDEX(RESULTADOS!$A:$BA,MATCH($A12,RESULTADOS!$A:$A,0),MATCH(Y$1,RESULTADOS!$1:$1,0))</f>
        <v>#N/A</v>
      </c>
      <c r="Z12" s="250">
        <f ca="1">SUMPRODUCT((TABELA_VAZAO[Posto]=Z$2)*1,(TABELA_VAZAO[Data]=$A12)*1,TABELA_VAZAO[qinc])</f>
        <v>0</v>
      </c>
      <c r="AA12" s="210">
        <f ca="1">SUMPRODUCT((TABELA_VAZAO[Posto]=AA$2)*1,(TABELA_VAZAO[Data]=$A12)*1,TABELA_VAZAO[qnat])</f>
        <v>0</v>
      </c>
      <c r="AB12" s="8"/>
      <c r="AC12" s="67" t="e">
        <f ca="1">INDEX(RESULTADOS!$A:$BA,MATCH($A12,RESULTADOS!$A:$A,0),MATCH(AC$1,RESULTADOS!$1:$1,0))</f>
        <v>#N/A</v>
      </c>
      <c r="AD12" s="250">
        <f ca="1">SUMPRODUCT((TABELA_VAZAO[Posto]=AD$2)*1,(TABELA_VAZAO[Data]=$A12)*1,TABELA_VAZAO[qinc])</f>
        <v>0</v>
      </c>
      <c r="AE12" s="210">
        <f ca="1">SUMPRODUCT((TABELA_VAZAO[Posto]=AE$2)*1,(TABELA_VAZAO[Data]=$A12)*1,TABELA_VAZAO[qnat])</f>
        <v>0</v>
      </c>
      <c r="AF12" s="250">
        <f ca="1">SUMPRODUCT((TABELA_VAZAO[Posto]=AF$2)*1,(TABELA_VAZAO[Data]=$A12)*1,TABELA_VAZAO[qinc])</f>
        <v>0</v>
      </c>
      <c r="AG12" s="210">
        <f ca="1">SUMPRODUCT((TABELA_VAZAO[Posto]=AG$2)*1,(TABELA_VAZAO[Data]=$A12)*1,TABELA_VAZAO[qnat])</f>
        <v>0</v>
      </c>
      <c r="AH12" s="250">
        <f ca="1">SUMPRODUCT((TABELA_VAZAO[Posto]=AH$2)*1,(TABELA_VAZAO[Data]=$A12)*1,TABELA_VAZAO[qinc])</f>
        <v>0</v>
      </c>
      <c r="AI12" s="210">
        <f ca="1">SUMPRODUCT((TABELA_VAZAO[Posto]=AI$2)*1,(TABELA_VAZAO[Data]=$A12)*1,TABELA_VAZAO[qnat])</f>
        <v>0</v>
      </c>
      <c r="AJ12" s="67" t="e">
        <f ca="1">INDEX(RESULTADOS!$A:$BA,MATCH($A12,RESULTADOS!$A:$A,0),MATCH(AJ$1,RESULTADOS!$1:$1,0))</f>
        <v>#N/A</v>
      </c>
      <c r="AK12" s="67" t="e">
        <f ca="1">INDEX(RESULTADOS!$A:$BA,MATCH($A12,RESULTADOS!$A:$A,0),MATCH(AK$1,RESULTADOS!$1:$1,0))</f>
        <v>#N/A</v>
      </c>
      <c r="AL12" s="9" t="e">
        <f t="shared" ca="1" si="5"/>
        <v>#N/A</v>
      </c>
      <c r="AM12" s="250">
        <f ca="1">SUMPRODUCT((TABELA_VAZAO[Posto]=AM$2)*1,(TABELA_VAZAO[Data]=$A12)*1,TABELA_VAZAO[qinc])</f>
        <v>0</v>
      </c>
      <c r="AN12" s="210">
        <f ca="1">SUMPRODUCT((TABELA_VAZAO[Posto]=AN$2)*1,(TABELA_VAZAO[Data]=$A12)*1,TABELA_VAZAO[qnat])</f>
        <v>0</v>
      </c>
      <c r="AO12" s="250">
        <f ca="1">SUMPRODUCT((TABELA_VAZAO[Posto]=AO$2)*1,(TABELA_VAZAO[Data]=$A12)*1,TABELA_VAZAO[qinc])</f>
        <v>0</v>
      </c>
      <c r="AP12" s="210">
        <f ca="1">SUMPRODUCT((TABELA_VAZAO[Posto]=AP$2)*1,(TABELA_VAZAO[Data]=$A12)*1,TABELA_VAZAO[qnat])</f>
        <v>0</v>
      </c>
    </row>
    <row r="13" spans="1:42" x14ac:dyDescent="0.2">
      <c r="A13" s="7">
        <f t="shared" ca="1" si="2"/>
        <v>43812</v>
      </c>
      <c r="B13" s="250">
        <f ca="1">SUMPRODUCT((TABELA_VAZAO[Posto]=B$2)*1,(TABELA_VAZAO[Data]=$A13)*1,TABELA_VAZAO[qinc])</f>
        <v>0</v>
      </c>
      <c r="C13" s="210">
        <f ca="1">SUMPRODUCT((TABELA_VAZAO[Posto]=C$2)*1,(TABELA_VAZAO[Data]=$A13)*1,TABELA_VAZAO[qnat])</f>
        <v>0</v>
      </c>
      <c r="D13" s="250">
        <f ca="1">SUMPRODUCT((TABELA_VAZAO[Posto]=D$2)*1,(TABELA_VAZAO[Data]=$A13)*1,TABELA_VAZAO[qinc])</f>
        <v>0</v>
      </c>
      <c r="E13" s="52">
        <f t="shared" ca="1" si="3"/>
        <v>0</v>
      </c>
      <c r="F13" s="250">
        <f ca="1">SUMPRODUCT((TABELA_VAZAO[Posto]=F$2)*1,(TABELA_VAZAO[Data]=$A13)*1,TABELA_VAZAO[qinc])</f>
        <v>0</v>
      </c>
      <c r="G13" s="210">
        <f ca="1">SUMPRODUCT((TABELA_VAZAO[Posto]=G$2)*1,(TABELA_VAZAO[Data]=$A13)*1,TABELA_VAZAO[qnat])</f>
        <v>0</v>
      </c>
      <c r="H13" s="67" t="e">
        <f ca="1">INDEX(RESULTADOS!$A:$BA,MATCH($A13,RESULTADOS!$A:$A,0),MATCH(H$1,RESULTADOS!$1:$1,0))</f>
        <v>#N/A</v>
      </c>
      <c r="I13" s="67" t="e">
        <f ca="1">INDEX(RESULTADOS!$A:$BA,MATCH($A13,RESULTADOS!$A:$A,0),MATCH(I$1,RESULTADOS!$1:$1,0))</f>
        <v>#N/A</v>
      </c>
      <c r="J13" s="67" t="e">
        <f ca="1">INDEX(RESULTADOS!$A:$BA,MATCH($A13,RESULTADOS!$A:$A,0),MATCH(J$1,RESULTADOS!$1:$1,0))</f>
        <v>#N/A</v>
      </c>
      <c r="K13" s="250">
        <f ca="1">SUMPRODUCT((TABELA_VAZAO[Posto]=K$2)*1,(TABELA_VAZAO[Data]=$A13)*1,TABELA_VAZAO[qinc])</f>
        <v>0</v>
      </c>
      <c r="L13" s="210">
        <f ca="1">SUMPRODUCT((TABELA_VAZAO[Posto]=L$2)*1,(TABELA_VAZAO[Data]=$A13)*1,TABELA_VAZAO[qnat])</f>
        <v>0</v>
      </c>
      <c r="M13" s="67" t="e">
        <f ca="1">INDEX(RESULTADOS!$A:$BA,MATCH($A13,RESULTADOS!$A:$A,0),MATCH(M$1,RESULTADOS!$1:$1,0))</f>
        <v>#N/A</v>
      </c>
      <c r="N13" s="250">
        <f ca="1">SUMPRODUCT((TABELA_VAZAO[Posto]=N$2)*1,(TABELA_VAZAO[Data]=$A13)*1,TABELA_VAZAO[qinc])</f>
        <v>0</v>
      </c>
      <c r="O13" s="210">
        <f ca="1">SUMPRODUCT((TABELA_VAZAO[Posto]=O$2)*1,(TABELA_VAZAO[Data]=$A13)*1,TABELA_VAZAO[qnat])</f>
        <v>0</v>
      </c>
      <c r="P13" s="250">
        <f ca="1">SUMPRODUCT((TABELA_VAZAO[Posto]=P$2)*1,(TABELA_VAZAO[Data]=$A13)*1,TABELA_VAZAO[qinc])</f>
        <v>0</v>
      </c>
      <c r="Q13" s="210">
        <f ca="1">SUMPRODUCT((TABELA_VAZAO[Posto]=Q$2)*1,(TABELA_VAZAO[Data]=$A13)*1,TABELA_VAZAO[qnat])</f>
        <v>0</v>
      </c>
      <c r="R13" s="250">
        <f ca="1">SUMPRODUCT((TABELA_VAZAO[Posto]=R$2)*1,(TABELA_VAZAO[Data]=$A13)*1,TABELA_VAZAO[qinc])</f>
        <v>0</v>
      </c>
      <c r="S13" s="210">
        <f ca="1">SUMPRODUCT((TABELA_VAZAO[Posto]=S$2)*1,(TABELA_VAZAO[Data]=$A13)*1,TABELA_VAZAO[qnat])</f>
        <v>0</v>
      </c>
      <c r="T13" s="250">
        <f ca="1">SUMPRODUCT((TABELA_VAZAO[Posto]=T$2)*1,(TABELA_VAZAO[Data]=$A13)*1,TABELA_VAZAO[qinc])</f>
        <v>0</v>
      </c>
      <c r="U13" s="210">
        <f ca="1">SUMPRODUCT((TABELA_VAZAO[Posto]=U$2)*1,(TABELA_VAZAO[Data]=$A13)*1,TABELA_VAZAO[qnat])</f>
        <v>0</v>
      </c>
      <c r="V13" s="250">
        <f ca="1">SUMPRODUCT((TABELA_VAZAO[Posto]=V$2)*1,(TABELA_VAZAO[Data]=$A13)*1,TABELA_VAZAO[qinc])</f>
        <v>0</v>
      </c>
      <c r="W13" s="210">
        <f ca="1">SUMPRODUCT((TABELA_VAZAO[Posto]=W$2)*1,(TABELA_VAZAO[Data]=$A13)*1,TABELA_VAZAO[qnat])</f>
        <v>0</v>
      </c>
      <c r="X13" s="8" t="e">
        <f t="shared" ca="1" si="4"/>
        <v>#N/A</v>
      </c>
      <c r="Y13" s="67" t="e">
        <f ca="1">INDEX(RESULTADOS!$A:$BA,MATCH($A13,RESULTADOS!$A:$A,0),MATCH(Y$1,RESULTADOS!$1:$1,0))</f>
        <v>#N/A</v>
      </c>
      <c r="Z13" s="250">
        <f ca="1">SUMPRODUCT((TABELA_VAZAO[Posto]=Z$2)*1,(TABELA_VAZAO[Data]=$A13)*1,TABELA_VAZAO[qinc])</f>
        <v>0</v>
      </c>
      <c r="AA13" s="210">
        <f ca="1">SUMPRODUCT((TABELA_VAZAO[Posto]=AA$2)*1,(TABELA_VAZAO[Data]=$A13)*1,TABELA_VAZAO[qnat])</f>
        <v>0</v>
      </c>
      <c r="AB13" s="8"/>
      <c r="AC13" s="67" t="e">
        <f ca="1">INDEX(RESULTADOS!$A:$BA,MATCH($A13,RESULTADOS!$A:$A,0),MATCH(AC$1,RESULTADOS!$1:$1,0))</f>
        <v>#N/A</v>
      </c>
      <c r="AD13" s="250">
        <f ca="1">SUMPRODUCT((TABELA_VAZAO[Posto]=AD$2)*1,(TABELA_VAZAO[Data]=$A13)*1,TABELA_VAZAO[qinc])</f>
        <v>0</v>
      </c>
      <c r="AE13" s="210">
        <f ca="1">SUMPRODUCT((TABELA_VAZAO[Posto]=AE$2)*1,(TABELA_VAZAO[Data]=$A13)*1,TABELA_VAZAO[qnat])</f>
        <v>0</v>
      </c>
      <c r="AF13" s="250">
        <f ca="1">SUMPRODUCT((TABELA_VAZAO[Posto]=AF$2)*1,(TABELA_VAZAO[Data]=$A13)*1,TABELA_VAZAO[qinc])</f>
        <v>0</v>
      </c>
      <c r="AG13" s="210">
        <f ca="1">SUMPRODUCT((TABELA_VAZAO[Posto]=AG$2)*1,(TABELA_VAZAO[Data]=$A13)*1,TABELA_VAZAO[qnat])</f>
        <v>0</v>
      </c>
      <c r="AH13" s="250">
        <f ca="1">SUMPRODUCT((TABELA_VAZAO[Posto]=AH$2)*1,(TABELA_VAZAO[Data]=$A13)*1,TABELA_VAZAO[qinc])</f>
        <v>0</v>
      </c>
      <c r="AI13" s="210">
        <f ca="1">SUMPRODUCT((TABELA_VAZAO[Posto]=AI$2)*1,(TABELA_VAZAO[Data]=$A13)*1,TABELA_VAZAO[qnat])</f>
        <v>0</v>
      </c>
      <c r="AJ13" s="67" t="e">
        <f ca="1">INDEX(RESULTADOS!$A:$BA,MATCH($A13,RESULTADOS!$A:$A,0),MATCH(AJ$1,RESULTADOS!$1:$1,0))</f>
        <v>#N/A</v>
      </c>
      <c r="AK13" s="67" t="e">
        <f ca="1">INDEX(RESULTADOS!$A:$BA,MATCH($A13,RESULTADOS!$A:$A,0),MATCH(AK$1,RESULTADOS!$1:$1,0))</f>
        <v>#N/A</v>
      </c>
      <c r="AL13" s="9" t="e">
        <f t="shared" ca="1" si="5"/>
        <v>#N/A</v>
      </c>
      <c r="AM13" s="250">
        <f ca="1">SUMPRODUCT((TABELA_VAZAO[Posto]=AM$2)*1,(TABELA_VAZAO[Data]=$A13)*1,TABELA_VAZAO[qinc])</f>
        <v>0</v>
      </c>
      <c r="AN13" s="210">
        <f ca="1">SUMPRODUCT((TABELA_VAZAO[Posto]=AN$2)*1,(TABELA_VAZAO[Data]=$A13)*1,TABELA_VAZAO[qnat])</f>
        <v>0</v>
      </c>
      <c r="AO13" s="250">
        <f ca="1">SUMPRODUCT((TABELA_VAZAO[Posto]=AO$2)*1,(TABELA_VAZAO[Data]=$A13)*1,TABELA_VAZAO[qinc])</f>
        <v>0</v>
      </c>
      <c r="AP13" s="210">
        <f ca="1">SUMPRODUCT((TABELA_VAZAO[Posto]=AP$2)*1,(TABELA_VAZAO[Data]=$A13)*1,TABELA_VAZAO[qnat])</f>
        <v>0</v>
      </c>
    </row>
    <row r="14" spans="1:42" x14ac:dyDescent="0.2">
      <c r="A14" s="7">
        <f t="shared" ca="1" si="2"/>
        <v>43813</v>
      </c>
      <c r="B14" s="250">
        <f ca="1">SUMPRODUCT((TABELA_VAZAO[Posto]=B$2)*1,(TABELA_VAZAO[Data]=$A14)*1,TABELA_VAZAO[qinc])</f>
        <v>0</v>
      </c>
      <c r="C14" s="210">
        <f ca="1">SUMPRODUCT((TABELA_VAZAO[Posto]=C$2)*1,(TABELA_VAZAO[Data]=$A14)*1,TABELA_VAZAO[qnat])</f>
        <v>0</v>
      </c>
      <c r="D14" s="250">
        <f ca="1">SUMPRODUCT((TABELA_VAZAO[Posto]=D$2)*1,(TABELA_VAZAO[Data]=$A14)*1,TABELA_VAZAO[qinc])</f>
        <v>0</v>
      </c>
      <c r="E14" s="52">
        <f t="shared" ca="1" si="3"/>
        <v>0</v>
      </c>
      <c r="F14" s="250">
        <f ca="1">SUMPRODUCT((TABELA_VAZAO[Posto]=F$2)*1,(TABELA_VAZAO[Data]=$A14)*1,TABELA_VAZAO[qinc])</f>
        <v>0</v>
      </c>
      <c r="G14" s="210">
        <f ca="1">SUMPRODUCT((TABELA_VAZAO[Posto]=G$2)*1,(TABELA_VAZAO[Data]=$A14)*1,TABELA_VAZAO[qnat])</f>
        <v>0</v>
      </c>
      <c r="H14" s="67" t="e">
        <f ca="1">INDEX(RESULTADOS!$A:$BA,MATCH($A14,RESULTADOS!$A:$A,0),MATCH(H$1,RESULTADOS!$1:$1,0))</f>
        <v>#N/A</v>
      </c>
      <c r="I14" s="67" t="e">
        <f ca="1">INDEX(RESULTADOS!$A:$BA,MATCH($A14,RESULTADOS!$A:$A,0),MATCH(I$1,RESULTADOS!$1:$1,0))</f>
        <v>#N/A</v>
      </c>
      <c r="J14" s="67" t="e">
        <f ca="1">INDEX(RESULTADOS!$A:$BA,MATCH($A14,RESULTADOS!$A:$A,0),MATCH(J$1,RESULTADOS!$1:$1,0))</f>
        <v>#N/A</v>
      </c>
      <c r="K14" s="250">
        <f ca="1">SUMPRODUCT((TABELA_VAZAO[Posto]=K$2)*1,(TABELA_VAZAO[Data]=$A14)*1,TABELA_VAZAO[qinc])</f>
        <v>0</v>
      </c>
      <c r="L14" s="210">
        <f ca="1">SUMPRODUCT((TABELA_VAZAO[Posto]=L$2)*1,(TABELA_VAZAO[Data]=$A14)*1,TABELA_VAZAO[qnat])</f>
        <v>0</v>
      </c>
      <c r="M14" s="67" t="e">
        <f ca="1">INDEX(RESULTADOS!$A:$BA,MATCH($A14,RESULTADOS!$A:$A,0),MATCH(M$1,RESULTADOS!$1:$1,0))</f>
        <v>#N/A</v>
      </c>
      <c r="N14" s="250">
        <f ca="1">SUMPRODUCT((TABELA_VAZAO[Posto]=N$2)*1,(TABELA_VAZAO[Data]=$A14)*1,TABELA_VAZAO[qinc])</f>
        <v>0</v>
      </c>
      <c r="O14" s="210">
        <f ca="1">SUMPRODUCT((TABELA_VAZAO[Posto]=O$2)*1,(TABELA_VAZAO[Data]=$A14)*1,TABELA_VAZAO[qnat])</f>
        <v>0</v>
      </c>
      <c r="P14" s="250">
        <f ca="1">SUMPRODUCT((TABELA_VAZAO[Posto]=P$2)*1,(TABELA_VAZAO[Data]=$A14)*1,TABELA_VAZAO[qinc])</f>
        <v>0</v>
      </c>
      <c r="Q14" s="210">
        <f ca="1">SUMPRODUCT((TABELA_VAZAO[Posto]=Q$2)*1,(TABELA_VAZAO[Data]=$A14)*1,TABELA_VAZAO[qnat])</f>
        <v>0</v>
      </c>
      <c r="R14" s="250">
        <f ca="1">SUMPRODUCT((TABELA_VAZAO[Posto]=R$2)*1,(TABELA_VAZAO[Data]=$A14)*1,TABELA_VAZAO[qinc])</f>
        <v>0</v>
      </c>
      <c r="S14" s="210">
        <f ca="1">SUMPRODUCT((TABELA_VAZAO[Posto]=S$2)*1,(TABELA_VAZAO[Data]=$A14)*1,TABELA_VAZAO[qnat])</f>
        <v>0</v>
      </c>
      <c r="T14" s="250">
        <f ca="1">SUMPRODUCT((TABELA_VAZAO[Posto]=T$2)*1,(TABELA_VAZAO[Data]=$A14)*1,TABELA_VAZAO[qinc])</f>
        <v>0</v>
      </c>
      <c r="U14" s="210">
        <f ca="1">SUMPRODUCT((TABELA_VAZAO[Posto]=U$2)*1,(TABELA_VAZAO[Data]=$A14)*1,TABELA_VAZAO[qnat])</f>
        <v>0</v>
      </c>
      <c r="V14" s="250">
        <f ca="1">SUMPRODUCT((TABELA_VAZAO[Posto]=V$2)*1,(TABELA_VAZAO[Data]=$A14)*1,TABELA_VAZAO[qinc])</f>
        <v>0</v>
      </c>
      <c r="W14" s="210">
        <f ca="1">SUMPRODUCT((TABELA_VAZAO[Posto]=W$2)*1,(TABELA_VAZAO[Data]=$A14)*1,TABELA_VAZAO[qnat])</f>
        <v>0</v>
      </c>
      <c r="X14" s="8" t="e">
        <f t="shared" ca="1" si="4"/>
        <v>#N/A</v>
      </c>
      <c r="Y14" s="67" t="e">
        <f ca="1">INDEX(RESULTADOS!$A:$BA,MATCH($A14,RESULTADOS!$A:$A,0),MATCH(Y$1,RESULTADOS!$1:$1,0))</f>
        <v>#N/A</v>
      </c>
      <c r="Z14" s="250">
        <f ca="1">SUMPRODUCT((TABELA_VAZAO[Posto]=Z$2)*1,(TABELA_VAZAO[Data]=$A14)*1,TABELA_VAZAO[qinc])</f>
        <v>0</v>
      </c>
      <c r="AA14" s="210">
        <f ca="1">SUMPRODUCT((TABELA_VAZAO[Posto]=AA$2)*1,(TABELA_VAZAO[Data]=$A14)*1,TABELA_VAZAO[qnat])</f>
        <v>0</v>
      </c>
      <c r="AB14" s="8"/>
      <c r="AC14" s="67" t="e">
        <f ca="1">INDEX(RESULTADOS!$A:$BA,MATCH($A14,RESULTADOS!$A:$A,0),MATCH(AC$1,RESULTADOS!$1:$1,0))</f>
        <v>#N/A</v>
      </c>
      <c r="AD14" s="250">
        <f ca="1">SUMPRODUCT((TABELA_VAZAO[Posto]=AD$2)*1,(TABELA_VAZAO[Data]=$A14)*1,TABELA_VAZAO[qinc])</f>
        <v>0</v>
      </c>
      <c r="AE14" s="210">
        <f ca="1">SUMPRODUCT((TABELA_VAZAO[Posto]=AE$2)*1,(TABELA_VAZAO[Data]=$A14)*1,TABELA_VAZAO[qnat])</f>
        <v>0</v>
      </c>
      <c r="AF14" s="250">
        <f ca="1">SUMPRODUCT((TABELA_VAZAO[Posto]=AF$2)*1,(TABELA_VAZAO[Data]=$A14)*1,TABELA_VAZAO[qinc])</f>
        <v>0</v>
      </c>
      <c r="AG14" s="210">
        <f ca="1">SUMPRODUCT((TABELA_VAZAO[Posto]=AG$2)*1,(TABELA_VAZAO[Data]=$A14)*1,TABELA_VAZAO[qnat])</f>
        <v>0</v>
      </c>
      <c r="AH14" s="250">
        <f ca="1">SUMPRODUCT((TABELA_VAZAO[Posto]=AH$2)*1,(TABELA_VAZAO[Data]=$A14)*1,TABELA_VAZAO[qinc])</f>
        <v>0</v>
      </c>
      <c r="AI14" s="210">
        <f ca="1">SUMPRODUCT((TABELA_VAZAO[Posto]=AI$2)*1,(TABELA_VAZAO[Data]=$A14)*1,TABELA_VAZAO[qnat])</f>
        <v>0</v>
      </c>
      <c r="AJ14" s="67" t="e">
        <f ca="1">INDEX(RESULTADOS!$A:$BA,MATCH($A14,RESULTADOS!$A:$A,0),MATCH(AJ$1,RESULTADOS!$1:$1,0))</f>
        <v>#N/A</v>
      </c>
      <c r="AK14" s="67" t="e">
        <f ca="1">INDEX(RESULTADOS!$A:$BA,MATCH($A14,RESULTADOS!$A:$A,0),MATCH(AK$1,RESULTADOS!$1:$1,0))</f>
        <v>#N/A</v>
      </c>
      <c r="AL14" s="9" t="e">
        <f t="shared" ca="1" si="5"/>
        <v>#N/A</v>
      </c>
      <c r="AM14" s="250">
        <f ca="1">SUMPRODUCT((TABELA_VAZAO[Posto]=AM$2)*1,(TABELA_VAZAO[Data]=$A14)*1,TABELA_VAZAO[qinc])</f>
        <v>0</v>
      </c>
      <c r="AN14" s="210">
        <f ca="1">SUMPRODUCT((TABELA_VAZAO[Posto]=AN$2)*1,(TABELA_VAZAO[Data]=$A14)*1,TABELA_VAZAO[qnat])</f>
        <v>0</v>
      </c>
      <c r="AO14" s="250">
        <f ca="1">SUMPRODUCT((TABELA_VAZAO[Posto]=AO$2)*1,(TABELA_VAZAO[Data]=$A14)*1,TABELA_VAZAO[qinc])</f>
        <v>0</v>
      </c>
      <c r="AP14" s="210">
        <f ca="1">SUMPRODUCT((TABELA_VAZAO[Posto]=AP$2)*1,(TABELA_VAZAO[Data]=$A14)*1,TABELA_VAZAO[qnat])</f>
        <v>0</v>
      </c>
    </row>
    <row r="15" spans="1:42" x14ac:dyDescent="0.2">
      <c r="A15" s="7">
        <f t="shared" ca="1" si="2"/>
        <v>43814</v>
      </c>
      <c r="B15" s="250">
        <f ca="1">SUMPRODUCT((TABELA_VAZAO[Posto]=B$2)*1,(TABELA_VAZAO[Data]=$A15)*1,TABELA_VAZAO[qinc])</f>
        <v>0</v>
      </c>
      <c r="C15" s="210">
        <f ca="1">SUMPRODUCT((TABELA_VAZAO[Posto]=C$2)*1,(TABELA_VAZAO[Data]=$A15)*1,TABELA_VAZAO[qnat])</f>
        <v>0</v>
      </c>
      <c r="D15" s="250">
        <f ca="1">SUMPRODUCT((TABELA_VAZAO[Posto]=D$2)*1,(TABELA_VAZAO[Data]=$A15)*1,TABELA_VAZAO[qinc])</f>
        <v>0</v>
      </c>
      <c r="E15" s="52">
        <f t="shared" ca="1" si="3"/>
        <v>0</v>
      </c>
      <c r="F15" s="250">
        <f ca="1">SUMPRODUCT((TABELA_VAZAO[Posto]=F$2)*1,(TABELA_VAZAO[Data]=$A15)*1,TABELA_VAZAO[qinc])</f>
        <v>0</v>
      </c>
      <c r="G15" s="210">
        <f ca="1">SUMPRODUCT((TABELA_VAZAO[Posto]=G$2)*1,(TABELA_VAZAO[Data]=$A15)*1,TABELA_VAZAO[qnat])</f>
        <v>0</v>
      </c>
      <c r="H15" s="67" t="e">
        <f ca="1">INDEX(RESULTADOS!$A:$BA,MATCH($A15,RESULTADOS!$A:$A,0),MATCH(H$1,RESULTADOS!$1:$1,0))</f>
        <v>#N/A</v>
      </c>
      <c r="I15" s="67" t="e">
        <f ca="1">INDEX(RESULTADOS!$A:$BA,MATCH($A15,RESULTADOS!$A:$A,0),MATCH(I$1,RESULTADOS!$1:$1,0))</f>
        <v>#N/A</v>
      </c>
      <c r="J15" s="67" t="e">
        <f ca="1">INDEX(RESULTADOS!$A:$BA,MATCH($A15,RESULTADOS!$A:$A,0),MATCH(J$1,RESULTADOS!$1:$1,0))</f>
        <v>#N/A</v>
      </c>
      <c r="K15" s="250">
        <f ca="1">SUMPRODUCT((TABELA_VAZAO[Posto]=K$2)*1,(TABELA_VAZAO[Data]=$A15)*1,TABELA_VAZAO[qinc])</f>
        <v>0</v>
      </c>
      <c r="L15" s="210">
        <f ca="1">SUMPRODUCT((TABELA_VAZAO[Posto]=L$2)*1,(TABELA_VAZAO[Data]=$A15)*1,TABELA_VAZAO[qnat])</f>
        <v>0</v>
      </c>
      <c r="M15" s="67" t="e">
        <f ca="1">INDEX(RESULTADOS!$A:$BA,MATCH($A15,RESULTADOS!$A:$A,0),MATCH(M$1,RESULTADOS!$1:$1,0))</f>
        <v>#N/A</v>
      </c>
      <c r="N15" s="250">
        <f ca="1">SUMPRODUCT((TABELA_VAZAO[Posto]=N$2)*1,(TABELA_VAZAO[Data]=$A15)*1,TABELA_VAZAO[qinc])</f>
        <v>0</v>
      </c>
      <c r="O15" s="210">
        <f ca="1">SUMPRODUCT((TABELA_VAZAO[Posto]=O$2)*1,(TABELA_VAZAO[Data]=$A15)*1,TABELA_VAZAO[qnat])</f>
        <v>0</v>
      </c>
      <c r="P15" s="250">
        <f ca="1">SUMPRODUCT((TABELA_VAZAO[Posto]=P$2)*1,(TABELA_VAZAO[Data]=$A15)*1,TABELA_VAZAO[qinc])</f>
        <v>0</v>
      </c>
      <c r="Q15" s="210">
        <f ca="1">SUMPRODUCT((TABELA_VAZAO[Posto]=Q$2)*1,(TABELA_VAZAO[Data]=$A15)*1,TABELA_VAZAO[qnat])</f>
        <v>0</v>
      </c>
      <c r="R15" s="250">
        <f ca="1">SUMPRODUCT((TABELA_VAZAO[Posto]=R$2)*1,(TABELA_VAZAO[Data]=$A15)*1,TABELA_VAZAO[qinc])</f>
        <v>0</v>
      </c>
      <c r="S15" s="210">
        <f ca="1">SUMPRODUCT((TABELA_VAZAO[Posto]=S$2)*1,(TABELA_VAZAO[Data]=$A15)*1,TABELA_VAZAO[qnat])</f>
        <v>0</v>
      </c>
      <c r="T15" s="250">
        <f ca="1">SUMPRODUCT((TABELA_VAZAO[Posto]=T$2)*1,(TABELA_VAZAO[Data]=$A15)*1,TABELA_VAZAO[qinc])</f>
        <v>0</v>
      </c>
      <c r="U15" s="210">
        <f ca="1">SUMPRODUCT((TABELA_VAZAO[Posto]=U$2)*1,(TABELA_VAZAO[Data]=$A15)*1,TABELA_VAZAO[qnat])</f>
        <v>0</v>
      </c>
      <c r="V15" s="250">
        <f ca="1">SUMPRODUCT((TABELA_VAZAO[Posto]=V$2)*1,(TABELA_VAZAO[Data]=$A15)*1,TABELA_VAZAO[qinc])</f>
        <v>0</v>
      </c>
      <c r="W15" s="210">
        <f ca="1">SUMPRODUCT((TABELA_VAZAO[Posto]=W$2)*1,(TABELA_VAZAO[Data]=$A15)*1,TABELA_VAZAO[qnat])</f>
        <v>0</v>
      </c>
      <c r="X15" s="8" t="e">
        <f t="shared" ca="1" si="4"/>
        <v>#N/A</v>
      </c>
      <c r="Y15" s="67" t="e">
        <f ca="1">INDEX(RESULTADOS!$A:$BA,MATCH($A15,RESULTADOS!$A:$A,0),MATCH(Y$1,RESULTADOS!$1:$1,0))</f>
        <v>#N/A</v>
      </c>
      <c r="Z15" s="250">
        <f ca="1">SUMPRODUCT((TABELA_VAZAO[Posto]=Z$2)*1,(TABELA_VAZAO[Data]=$A15)*1,TABELA_VAZAO[qinc])</f>
        <v>0</v>
      </c>
      <c r="AA15" s="210">
        <f ca="1">SUMPRODUCT((TABELA_VAZAO[Posto]=AA$2)*1,(TABELA_VAZAO[Data]=$A15)*1,TABELA_VAZAO[qnat])</f>
        <v>0</v>
      </c>
      <c r="AB15" s="8"/>
      <c r="AC15" s="67" t="e">
        <f ca="1">INDEX(RESULTADOS!$A:$BA,MATCH($A15,RESULTADOS!$A:$A,0),MATCH(AC$1,RESULTADOS!$1:$1,0))</f>
        <v>#N/A</v>
      </c>
      <c r="AD15" s="250">
        <f ca="1">SUMPRODUCT((TABELA_VAZAO[Posto]=AD$2)*1,(TABELA_VAZAO[Data]=$A15)*1,TABELA_VAZAO[qinc])</f>
        <v>0</v>
      </c>
      <c r="AE15" s="210">
        <f ca="1">SUMPRODUCT((TABELA_VAZAO[Posto]=AE$2)*1,(TABELA_VAZAO[Data]=$A15)*1,TABELA_VAZAO[qnat])</f>
        <v>0</v>
      </c>
      <c r="AF15" s="250">
        <f ca="1">SUMPRODUCT((TABELA_VAZAO[Posto]=AF$2)*1,(TABELA_VAZAO[Data]=$A15)*1,TABELA_VAZAO[qinc])</f>
        <v>0</v>
      </c>
      <c r="AG15" s="210">
        <f ca="1">SUMPRODUCT((TABELA_VAZAO[Posto]=AG$2)*1,(TABELA_VAZAO[Data]=$A15)*1,TABELA_VAZAO[qnat])</f>
        <v>0</v>
      </c>
      <c r="AH15" s="250">
        <f ca="1">SUMPRODUCT((TABELA_VAZAO[Posto]=AH$2)*1,(TABELA_VAZAO[Data]=$A15)*1,TABELA_VAZAO[qinc])</f>
        <v>0</v>
      </c>
      <c r="AI15" s="210">
        <f ca="1">SUMPRODUCT((TABELA_VAZAO[Posto]=AI$2)*1,(TABELA_VAZAO[Data]=$A15)*1,TABELA_VAZAO[qnat])</f>
        <v>0</v>
      </c>
      <c r="AJ15" s="67" t="e">
        <f ca="1">INDEX(RESULTADOS!$A:$BA,MATCH($A15,RESULTADOS!$A:$A,0),MATCH(AJ$1,RESULTADOS!$1:$1,0))</f>
        <v>#N/A</v>
      </c>
      <c r="AK15" s="67" t="e">
        <f ca="1">INDEX(RESULTADOS!$A:$BA,MATCH($A15,RESULTADOS!$A:$A,0),MATCH(AK$1,RESULTADOS!$1:$1,0))</f>
        <v>#N/A</v>
      </c>
      <c r="AL15" s="9" t="e">
        <f t="shared" ca="1" si="5"/>
        <v>#N/A</v>
      </c>
      <c r="AM15" s="250">
        <f ca="1">SUMPRODUCT((TABELA_VAZAO[Posto]=AM$2)*1,(TABELA_VAZAO[Data]=$A15)*1,TABELA_VAZAO[qinc])</f>
        <v>0</v>
      </c>
      <c r="AN15" s="210">
        <f ca="1">SUMPRODUCT((TABELA_VAZAO[Posto]=AN$2)*1,(TABELA_VAZAO[Data]=$A15)*1,TABELA_VAZAO[qnat])</f>
        <v>0</v>
      </c>
      <c r="AO15" s="250">
        <f ca="1">SUMPRODUCT((TABELA_VAZAO[Posto]=AO$2)*1,(TABELA_VAZAO[Data]=$A15)*1,TABELA_VAZAO[qinc])</f>
        <v>0</v>
      </c>
      <c r="AP15" s="210">
        <f ca="1">SUMPRODUCT((TABELA_VAZAO[Posto]=AP$2)*1,(TABELA_VAZAO[Data]=$A15)*1,TABELA_VAZAO[qnat])</f>
        <v>0</v>
      </c>
    </row>
    <row r="16" spans="1:42" x14ac:dyDescent="0.2">
      <c r="A16" s="7">
        <f t="shared" ca="1" si="2"/>
        <v>43815</v>
      </c>
      <c r="B16" s="250">
        <f ca="1">SUMPRODUCT((TABELA_VAZAO[Posto]=B$2)*1,(TABELA_VAZAO[Data]=$A16)*1,TABELA_VAZAO[qinc])</f>
        <v>0</v>
      </c>
      <c r="C16" s="210">
        <f ca="1">SUMPRODUCT((TABELA_VAZAO[Posto]=C$2)*1,(TABELA_VAZAO[Data]=$A16)*1,TABELA_VAZAO[qnat])</f>
        <v>0</v>
      </c>
      <c r="D16" s="250">
        <f ca="1">SUMPRODUCT((TABELA_VAZAO[Posto]=D$2)*1,(TABELA_VAZAO[Data]=$A16)*1,TABELA_VAZAO[qinc])</f>
        <v>0</v>
      </c>
      <c r="E16" s="52">
        <f t="shared" ca="1" si="3"/>
        <v>0</v>
      </c>
      <c r="F16" s="250">
        <f ca="1">SUMPRODUCT((TABELA_VAZAO[Posto]=F$2)*1,(TABELA_VAZAO[Data]=$A16)*1,TABELA_VAZAO[qinc])</f>
        <v>0</v>
      </c>
      <c r="G16" s="210">
        <f ca="1">SUMPRODUCT((TABELA_VAZAO[Posto]=G$2)*1,(TABELA_VAZAO[Data]=$A16)*1,TABELA_VAZAO[qnat])</f>
        <v>0</v>
      </c>
      <c r="H16" s="67" t="e">
        <f ca="1">INDEX(RESULTADOS!$A:$BA,MATCH($A16,RESULTADOS!$A:$A,0),MATCH(H$1,RESULTADOS!$1:$1,0))</f>
        <v>#N/A</v>
      </c>
      <c r="I16" s="67" t="e">
        <f ca="1">INDEX(RESULTADOS!$A:$BA,MATCH($A16,RESULTADOS!$A:$A,0),MATCH(I$1,RESULTADOS!$1:$1,0))</f>
        <v>#N/A</v>
      </c>
      <c r="J16" s="67" t="e">
        <f ca="1">INDEX(RESULTADOS!$A:$BA,MATCH($A16,RESULTADOS!$A:$A,0),MATCH(J$1,RESULTADOS!$1:$1,0))</f>
        <v>#N/A</v>
      </c>
      <c r="K16" s="250">
        <f ca="1">SUMPRODUCT((TABELA_VAZAO[Posto]=K$2)*1,(TABELA_VAZAO[Data]=$A16)*1,TABELA_VAZAO[qinc])</f>
        <v>0</v>
      </c>
      <c r="L16" s="210">
        <f ca="1">SUMPRODUCT((TABELA_VAZAO[Posto]=L$2)*1,(TABELA_VAZAO[Data]=$A16)*1,TABELA_VAZAO[qnat])</f>
        <v>0</v>
      </c>
      <c r="M16" s="67" t="e">
        <f ca="1">INDEX(RESULTADOS!$A:$BA,MATCH($A16,RESULTADOS!$A:$A,0),MATCH(M$1,RESULTADOS!$1:$1,0))</f>
        <v>#N/A</v>
      </c>
      <c r="N16" s="250">
        <f ca="1">SUMPRODUCT((TABELA_VAZAO[Posto]=N$2)*1,(TABELA_VAZAO[Data]=$A16)*1,TABELA_VAZAO[qinc])</f>
        <v>0</v>
      </c>
      <c r="O16" s="210">
        <f ca="1">SUMPRODUCT((TABELA_VAZAO[Posto]=O$2)*1,(TABELA_VAZAO[Data]=$A16)*1,TABELA_VAZAO[qnat])</f>
        <v>0</v>
      </c>
      <c r="P16" s="250">
        <f ca="1">SUMPRODUCT((TABELA_VAZAO[Posto]=P$2)*1,(TABELA_VAZAO[Data]=$A16)*1,TABELA_VAZAO[qinc])</f>
        <v>0</v>
      </c>
      <c r="Q16" s="210">
        <f ca="1">SUMPRODUCT((TABELA_VAZAO[Posto]=Q$2)*1,(TABELA_VAZAO[Data]=$A16)*1,TABELA_VAZAO[qnat])</f>
        <v>0</v>
      </c>
      <c r="R16" s="250">
        <f ca="1">SUMPRODUCT((TABELA_VAZAO[Posto]=R$2)*1,(TABELA_VAZAO[Data]=$A16)*1,TABELA_VAZAO[qinc])</f>
        <v>0</v>
      </c>
      <c r="S16" s="210">
        <f ca="1">SUMPRODUCT((TABELA_VAZAO[Posto]=S$2)*1,(TABELA_VAZAO[Data]=$A16)*1,TABELA_VAZAO[qnat])</f>
        <v>0</v>
      </c>
      <c r="T16" s="250">
        <f ca="1">SUMPRODUCT((TABELA_VAZAO[Posto]=T$2)*1,(TABELA_VAZAO[Data]=$A16)*1,TABELA_VAZAO[qinc])</f>
        <v>0</v>
      </c>
      <c r="U16" s="210">
        <f ca="1">SUMPRODUCT((TABELA_VAZAO[Posto]=U$2)*1,(TABELA_VAZAO[Data]=$A16)*1,TABELA_VAZAO[qnat])</f>
        <v>0</v>
      </c>
      <c r="V16" s="250">
        <f ca="1">SUMPRODUCT((TABELA_VAZAO[Posto]=V$2)*1,(TABELA_VAZAO[Data]=$A16)*1,TABELA_VAZAO[qinc])</f>
        <v>0</v>
      </c>
      <c r="W16" s="210">
        <f ca="1">SUMPRODUCT((TABELA_VAZAO[Posto]=W$2)*1,(TABELA_VAZAO[Data]=$A16)*1,TABELA_VAZAO[qnat])</f>
        <v>0</v>
      </c>
      <c r="X16" s="8" t="e">
        <f t="shared" ca="1" si="4"/>
        <v>#N/A</v>
      </c>
      <c r="Y16" s="67" t="e">
        <f ca="1">INDEX(RESULTADOS!$A:$BA,MATCH($A16,RESULTADOS!$A:$A,0),MATCH(Y$1,RESULTADOS!$1:$1,0))</f>
        <v>#N/A</v>
      </c>
      <c r="Z16" s="250">
        <f ca="1">SUMPRODUCT((TABELA_VAZAO[Posto]=Z$2)*1,(TABELA_VAZAO[Data]=$A16)*1,TABELA_VAZAO[qinc])</f>
        <v>0</v>
      </c>
      <c r="AA16" s="210">
        <f ca="1">SUMPRODUCT((TABELA_VAZAO[Posto]=AA$2)*1,(TABELA_VAZAO[Data]=$A16)*1,TABELA_VAZAO[qnat])</f>
        <v>0</v>
      </c>
      <c r="AB16" s="8"/>
      <c r="AC16" s="67" t="e">
        <f ca="1">INDEX(RESULTADOS!$A:$BA,MATCH($A16,RESULTADOS!$A:$A,0),MATCH(AC$1,RESULTADOS!$1:$1,0))</f>
        <v>#N/A</v>
      </c>
      <c r="AD16" s="250">
        <f ca="1">SUMPRODUCT((TABELA_VAZAO[Posto]=AD$2)*1,(TABELA_VAZAO[Data]=$A16)*1,TABELA_VAZAO[qinc])</f>
        <v>0</v>
      </c>
      <c r="AE16" s="210">
        <f ca="1">SUMPRODUCT((TABELA_VAZAO[Posto]=AE$2)*1,(TABELA_VAZAO[Data]=$A16)*1,TABELA_VAZAO[qnat])</f>
        <v>0</v>
      </c>
      <c r="AF16" s="250">
        <f ca="1">SUMPRODUCT((TABELA_VAZAO[Posto]=AF$2)*1,(TABELA_VAZAO[Data]=$A16)*1,TABELA_VAZAO[qinc])</f>
        <v>0</v>
      </c>
      <c r="AG16" s="210">
        <f ca="1">SUMPRODUCT((TABELA_VAZAO[Posto]=AG$2)*1,(TABELA_VAZAO[Data]=$A16)*1,TABELA_VAZAO[qnat])</f>
        <v>0</v>
      </c>
      <c r="AH16" s="250">
        <f ca="1">SUMPRODUCT((TABELA_VAZAO[Posto]=AH$2)*1,(TABELA_VAZAO[Data]=$A16)*1,TABELA_VAZAO[qinc])</f>
        <v>0</v>
      </c>
      <c r="AI16" s="210">
        <f ca="1">SUMPRODUCT((TABELA_VAZAO[Posto]=AI$2)*1,(TABELA_VAZAO[Data]=$A16)*1,TABELA_VAZAO[qnat])</f>
        <v>0</v>
      </c>
      <c r="AJ16" s="67" t="e">
        <f ca="1">INDEX(RESULTADOS!$A:$BA,MATCH($A16,RESULTADOS!$A:$A,0),MATCH(AJ$1,RESULTADOS!$1:$1,0))</f>
        <v>#N/A</v>
      </c>
      <c r="AK16" s="67" t="e">
        <f ca="1">INDEX(RESULTADOS!$A:$BA,MATCH($A16,RESULTADOS!$A:$A,0),MATCH(AK$1,RESULTADOS!$1:$1,0))</f>
        <v>#N/A</v>
      </c>
      <c r="AL16" s="9" t="e">
        <f t="shared" ca="1" si="5"/>
        <v>#N/A</v>
      </c>
      <c r="AM16" s="250">
        <f ca="1">SUMPRODUCT((TABELA_VAZAO[Posto]=AM$2)*1,(TABELA_VAZAO[Data]=$A16)*1,TABELA_VAZAO[qinc])</f>
        <v>0</v>
      </c>
      <c r="AN16" s="210">
        <f ca="1">SUMPRODUCT((TABELA_VAZAO[Posto]=AN$2)*1,(TABELA_VAZAO[Data]=$A16)*1,TABELA_VAZAO[qnat])</f>
        <v>0</v>
      </c>
      <c r="AO16" s="250">
        <f ca="1">SUMPRODUCT((TABELA_VAZAO[Posto]=AO$2)*1,(TABELA_VAZAO[Data]=$A16)*1,TABELA_VAZAO[qinc])</f>
        <v>0</v>
      </c>
      <c r="AP16" s="210">
        <f ca="1">SUMPRODUCT((TABELA_VAZAO[Posto]=AP$2)*1,(TABELA_VAZAO[Data]=$A16)*1,TABELA_VAZAO[qnat])</f>
        <v>0</v>
      </c>
    </row>
    <row r="17" spans="1:42" x14ac:dyDescent="0.2">
      <c r="A17" s="7">
        <f t="shared" ca="1" si="2"/>
        <v>43816</v>
      </c>
      <c r="B17" s="250">
        <f ca="1">SUMPRODUCT((TABELA_VAZAO[Posto]=B$2)*1,(TABELA_VAZAO[Data]=$A17)*1,TABELA_VAZAO[qinc])</f>
        <v>0</v>
      </c>
      <c r="C17" s="210">
        <f ca="1">SUMPRODUCT((TABELA_VAZAO[Posto]=C$2)*1,(TABELA_VAZAO[Data]=$A17)*1,TABELA_VAZAO[qnat])</f>
        <v>0</v>
      </c>
      <c r="D17" s="250">
        <f ca="1">SUMPRODUCT((TABELA_VAZAO[Posto]=D$2)*1,(TABELA_VAZAO[Data]=$A17)*1,TABELA_VAZAO[qinc])</f>
        <v>0</v>
      </c>
      <c r="E17" s="52">
        <f t="shared" ca="1" si="3"/>
        <v>0</v>
      </c>
      <c r="F17" s="250">
        <f ca="1">SUMPRODUCT((TABELA_VAZAO[Posto]=F$2)*1,(TABELA_VAZAO[Data]=$A17)*1,TABELA_VAZAO[qinc])</f>
        <v>0</v>
      </c>
      <c r="G17" s="210">
        <f ca="1">SUMPRODUCT((TABELA_VAZAO[Posto]=G$2)*1,(TABELA_VAZAO[Data]=$A17)*1,TABELA_VAZAO[qnat])</f>
        <v>0</v>
      </c>
      <c r="H17" s="67" t="e">
        <f ca="1">INDEX(RESULTADOS!$A:$BA,MATCH($A17,RESULTADOS!$A:$A,0),MATCH(H$1,RESULTADOS!$1:$1,0))</f>
        <v>#N/A</v>
      </c>
      <c r="I17" s="67" t="e">
        <f ca="1">INDEX(RESULTADOS!$A:$BA,MATCH($A17,RESULTADOS!$A:$A,0),MATCH(I$1,RESULTADOS!$1:$1,0))</f>
        <v>#N/A</v>
      </c>
      <c r="J17" s="67" t="e">
        <f ca="1">INDEX(RESULTADOS!$A:$BA,MATCH($A17,RESULTADOS!$A:$A,0),MATCH(J$1,RESULTADOS!$1:$1,0))</f>
        <v>#N/A</v>
      </c>
      <c r="K17" s="250">
        <f ca="1">SUMPRODUCT((TABELA_VAZAO[Posto]=K$2)*1,(TABELA_VAZAO[Data]=$A17)*1,TABELA_VAZAO[qinc])</f>
        <v>0</v>
      </c>
      <c r="L17" s="210">
        <f ca="1">SUMPRODUCT((TABELA_VAZAO[Posto]=L$2)*1,(TABELA_VAZAO[Data]=$A17)*1,TABELA_VAZAO[qnat])</f>
        <v>0</v>
      </c>
      <c r="M17" s="67" t="e">
        <f ca="1">INDEX(RESULTADOS!$A:$BA,MATCH($A17,RESULTADOS!$A:$A,0),MATCH(M$1,RESULTADOS!$1:$1,0))</f>
        <v>#N/A</v>
      </c>
      <c r="N17" s="250">
        <f ca="1">SUMPRODUCT((TABELA_VAZAO[Posto]=N$2)*1,(TABELA_VAZAO[Data]=$A17)*1,TABELA_VAZAO[qinc])</f>
        <v>0</v>
      </c>
      <c r="O17" s="210">
        <f ca="1">SUMPRODUCT((TABELA_VAZAO[Posto]=O$2)*1,(TABELA_VAZAO[Data]=$A17)*1,TABELA_VAZAO[qnat])</f>
        <v>0</v>
      </c>
      <c r="P17" s="250">
        <f ca="1">SUMPRODUCT((TABELA_VAZAO[Posto]=P$2)*1,(TABELA_VAZAO[Data]=$A17)*1,TABELA_VAZAO[qinc])</f>
        <v>0</v>
      </c>
      <c r="Q17" s="210">
        <f ca="1">SUMPRODUCT((TABELA_VAZAO[Posto]=Q$2)*1,(TABELA_VAZAO[Data]=$A17)*1,TABELA_VAZAO[qnat])</f>
        <v>0</v>
      </c>
      <c r="R17" s="250">
        <f ca="1">SUMPRODUCT((TABELA_VAZAO[Posto]=R$2)*1,(TABELA_VAZAO[Data]=$A17)*1,TABELA_VAZAO[qinc])</f>
        <v>0</v>
      </c>
      <c r="S17" s="210">
        <f ca="1">SUMPRODUCT((TABELA_VAZAO[Posto]=S$2)*1,(TABELA_VAZAO[Data]=$A17)*1,TABELA_VAZAO[qnat])</f>
        <v>0</v>
      </c>
      <c r="T17" s="250">
        <f ca="1">SUMPRODUCT((TABELA_VAZAO[Posto]=T$2)*1,(TABELA_VAZAO[Data]=$A17)*1,TABELA_VAZAO[qinc])</f>
        <v>0</v>
      </c>
      <c r="U17" s="210">
        <f ca="1">SUMPRODUCT((TABELA_VAZAO[Posto]=U$2)*1,(TABELA_VAZAO[Data]=$A17)*1,TABELA_VAZAO[qnat])</f>
        <v>0</v>
      </c>
      <c r="V17" s="250">
        <f ca="1">SUMPRODUCT((TABELA_VAZAO[Posto]=V$2)*1,(TABELA_VAZAO[Data]=$A17)*1,TABELA_VAZAO[qinc])</f>
        <v>0</v>
      </c>
      <c r="W17" s="210">
        <f ca="1">SUMPRODUCT((TABELA_VAZAO[Posto]=W$2)*1,(TABELA_VAZAO[Data]=$A17)*1,TABELA_VAZAO[qnat])</f>
        <v>0</v>
      </c>
      <c r="X17" s="8" t="e">
        <f t="shared" ca="1" si="4"/>
        <v>#N/A</v>
      </c>
      <c r="Y17" s="67" t="e">
        <f ca="1">INDEX(RESULTADOS!$A:$BA,MATCH($A17,RESULTADOS!$A:$A,0),MATCH(Y$1,RESULTADOS!$1:$1,0))</f>
        <v>#N/A</v>
      </c>
      <c r="Z17" s="250">
        <f ca="1">SUMPRODUCT((TABELA_VAZAO[Posto]=Z$2)*1,(TABELA_VAZAO[Data]=$A17)*1,TABELA_VAZAO[qinc])</f>
        <v>0</v>
      </c>
      <c r="AA17" s="210">
        <f ca="1">SUMPRODUCT((TABELA_VAZAO[Posto]=AA$2)*1,(TABELA_VAZAO[Data]=$A17)*1,TABELA_VAZAO[qnat])</f>
        <v>0</v>
      </c>
      <c r="AB17" s="8"/>
      <c r="AC17" s="67" t="e">
        <f ca="1">INDEX(RESULTADOS!$A:$BA,MATCH($A17,RESULTADOS!$A:$A,0),MATCH(AC$1,RESULTADOS!$1:$1,0))</f>
        <v>#N/A</v>
      </c>
      <c r="AD17" s="250">
        <f ca="1">SUMPRODUCT((TABELA_VAZAO[Posto]=AD$2)*1,(TABELA_VAZAO[Data]=$A17)*1,TABELA_VAZAO[qinc])</f>
        <v>0</v>
      </c>
      <c r="AE17" s="210">
        <f ca="1">SUMPRODUCT((TABELA_VAZAO[Posto]=AE$2)*1,(TABELA_VAZAO[Data]=$A17)*1,TABELA_VAZAO[qnat])</f>
        <v>0</v>
      </c>
      <c r="AF17" s="250">
        <f ca="1">SUMPRODUCT((TABELA_VAZAO[Posto]=AF$2)*1,(TABELA_VAZAO[Data]=$A17)*1,TABELA_VAZAO[qinc])</f>
        <v>0</v>
      </c>
      <c r="AG17" s="210">
        <f ca="1">SUMPRODUCT((TABELA_VAZAO[Posto]=AG$2)*1,(TABELA_VAZAO[Data]=$A17)*1,TABELA_VAZAO[qnat])</f>
        <v>0</v>
      </c>
      <c r="AH17" s="250">
        <f ca="1">SUMPRODUCT((TABELA_VAZAO[Posto]=AH$2)*1,(TABELA_VAZAO[Data]=$A17)*1,TABELA_VAZAO[qinc])</f>
        <v>0</v>
      </c>
      <c r="AI17" s="210">
        <f ca="1">SUMPRODUCT((TABELA_VAZAO[Posto]=AI$2)*1,(TABELA_VAZAO[Data]=$A17)*1,TABELA_VAZAO[qnat])</f>
        <v>0</v>
      </c>
      <c r="AJ17" s="67" t="e">
        <f ca="1">INDEX(RESULTADOS!$A:$BA,MATCH($A17,RESULTADOS!$A:$A,0),MATCH(AJ$1,RESULTADOS!$1:$1,0))</f>
        <v>#N/A</v>
      </c>
      <c r="AK17" s="67" t="e">
        <f ca="1">INDEX(RESULTADOS!$A:$BA,MATCH($A17,RESULTADOS!$A:$A,0),MATCH(AK$1,RESULTADOS!$1:$1,0))</f>
        <v>#N/A</v>
      </c>
      <c r="AL17" s="9" t="e">
        <f t="shared" ca="1" si="5"/>
        <v>#N/A</v>
      </c>
      <c r="AM17" s="250">
        <f ca="1">SUMPRODUCT((TABELA_VAZAO[Posto]=AM$2)*1,(TABELA_VAZAO[Data]=$A17)*1,TABELA_VAZAO[qinc])</f>
        <v>0</v>
      </c>
      <c r="AN17" s="210">
        <f ca="1">SUMPRODUCT((TABELA_VAZAO[Posto]=AN$2)*1,(TABELA_VAZAO[Data]=$A17)*1,TABELA_VAZAO[qnat])</f>
        <v>0</v>
      </c>
      <c r="AO17" s="250">
        <f ca="1">SUMPRODUCT((TABELA_VAZAO[Posto]=AO$2)*1,(TABELA_VAZAO[Data]=$A17)*1,TABELA_VAZAO[qinc])</f>
        <v>0</v>
      </c>
      <c r="AP17" s="210">
        <f ca="1">SUMPRODUCT((TABELA_VAZAO[Posto]=AP$2)*1,(TABELA_VAZAO[Data]=$A17)*1,TABELA_VAZAO[qnat])</f>
        <v>0</v>
      </c>
    </row>
    <row r="18" spans="1:42" x14ac:dyDescent="0.2">
      <c r="A18" s="7">
        <f t="shared" ca="1" si="2"/>
        <v>43817</v>
      </c>
      <c r="B18" s="250">
        <f ca="1">SUMPRODUCT((TABELA_VAZAO[Posto]=B$2)*1,(TABELA_VAZAO[Data]=$A18)*1,TABELA_VAZAO[qinc])</f>
        <v>0</v>
      </c>
      <c r="C18" s="210">
        <f ca="1">SUMPRODUCT((TABELA_VAZAO[Posto]=C$2)*1,(TABELA_VAZAO[Data]=$A18)*1,TABELA_VAZAO[qnat])</f>
        <v>0</v>
      </c>
      <c r="D18" s="250">
        <f ca="1">SUMPRODUCT((TABELA_VAZAO[Posto]=D$2)*1,(TABELA_VAZAO[Data]=$A18)*1,TABELA_VAZAO[qinc])</f>
        <v>0</v>
      </c>
      <c r="E18" s="52">
        <f t="shared" ca="1" si="3"/>
        <v>0</v>
      </c>
      <c r="F18" s="250">
        <f ca="1">SUMPRODUCT((TABELA_VAZAO[Posto]=F$2)*1,(TABELA_VAZAO[Data]=$A18)*1,TABELA_VAZAO[qinc])</f>
        <v>0</v>
      </c>
      <c r="G18" s="210">
        <f ca="1">SUMPRODUCT((TABELA_VAZAO[Posto]=G$2)*1,(TABELA_VAZAO[Data]=$A18)*1,TABELA_VAZAO[qnat])</f>
        <v>0</v>
      </c>
      <c r="H18" s="67" t="e">
        <f ca="1">INDEX(RESULTADOS!$A:$BA,MATCH($A18,RESULTADOS!$A:$A,0),MATCH(H$1,RESULTADOS!$1:$1,0))</f>
        <v>#N/A</v>
      </c>
      <c r="I18" s="67" t="e">
        <f ca="1">INDEX(RESULTADOS!$A:$BA,MATCH($A18,RESULTADOS!$A:$A,0),MATCH(I$1,RESULTADOS!$1:$1,0))</f>
        <v>#N/A</v>
      </c>
      <c r="J18" s="67" t="e">
        <f ca="1">INDEX(RESULTADOS!$A:$BA,MATCH($A18,RESULTADOS!$A:$A,0),MATCH(J$1,RESULTADOS!$1:$1,0))</f>
        <v>#N/A</v>
      </c>
      <c r="K18" s="250">
        <f ca="1">SUMPRODUCT((TABELA_VAZAO[Posto]=K$2)*1,(TABELA_VAZAO[Data]=$A18)*1,TABELA_VAZAO[qinc])</f>
        <v>0</v>
      </c>
      <c r="L18" s="210">
        <f ca="1">SUMPRODUCT((TABELA_VAZAO[Posto]=L$2)*1,(TABELA_VAZAO[Data]=$A18)*1,TABELA_VAZAO[qnat])</f>
        <v>0</v>
      </c>
      <c r="M18" s="67" t="e">
        <f ca="1">INDEX(RESULTADOS!$A:$BA,MATCH($A18,RESULTADOS!$A:$A,0),MATCH(M$1,RESULTADOS!$1:$1,0))</f>
        <v>#N/A</v>
      </c>
      <c r="N18" s="250">
        <f ca="1">SUMPRODUCT((TABELA_VAZAO[Posto]=N$2)*1,(TABELA_VAZAO[Data]=$A18)*1,TABELA_VAZAO[qinc])</f>
        <v>0</v>
      </c>
      <c r="O18" s="210">
        <f ca="1">SUMPRODUCT((TABELA_VAZAO[Posto]=O$2)*1,(TABELA_VAZAO[Data]=$A18)*1,TABELA_VAZAO[qnat])</f>
        <v>0</v>
      </c>
      <c r="P18" s="250">
        <f ca="1">SUMPRODUCT((TABELA_VAZAO[Posto]=P$2)*1,(TABELA_VAZAO[Data]=$A18)*1,TABELA_VAZAO[qinc])</f>
        <v>0</v>
      </c>
      <c r="Q18" s="210">
        <f ca="1">SUMPRODUCT((TABELA_VAZAO[Posto]=Q$2)*1,(TABELA_VAZAO[Data]=$A18)*1,TABELA_VAZAO[qnat])</f>
        <v>0</v>
      </c>
      <c r="R18" s="250">
        <f ca="1">SUMPRODUCT((TABELA_VAZAO[Posto]=R$2)*1,(TABELA_VAZAO[Data]=$A18)*1,TABELA_VAZAO[qinc])</f>
        <v>0</v>
      </c>
      <c r="S18" s="210">
        <f ca="1">SUMPRODUCT((TABELA_VAZAO[Posto]=S$2)*1,(TABELA_VAZAO[Data]=$A18)*1,TABELA_VAZAO[qnat])</f>
        <v>0</v>
      </c>
      <c r="T18" s="250">
        <f ca="1">SUMPRODUCT((TABELA_VAZAO[Posto]=T$2)*1,(TABELA_VAZAO[Data]=$A18)*1,TABELA_VAZAO[qinc])</f>
        <v>0</v>
      </c>
      <c r="U18" s="210">
        <f ca="1">SUMPRODUCT((TABELA_VAZAO[Posto]=U$2)*1,(TABELA_VAZAO[Data]=$A18)*1,TABELA_VAZAO[qnat])</f>
        <v>0</v>
      </c>
      <c r="V18" s="250">
        <f ca="1">SUMPRODUCT((TABELA_VAZAO[Posto]=V$2)*1,(TABELA_VAZAO[Data]=$A18)*1,TABELA_VAZAO[qinc])</f>
        <v>0</v>
      </c>
      <c r="W18" s="210">
        <f ca="1">SUMPRODUCT((TABELA_VAZAO[Posto]=W$2)*1,(TABELA_VAZAO[Data]=$A18)*1,TABELA_VAZAO[qnat])</f>
        <v>0</v>
      </c>
      <c r="X18" s="8" t="e">
        <f t="shared" ca="1" si="4"/>
        <v>#N/A</v>
      </c>
      <c r="Y18" s="67" t="e">
        <f ca="1">INDEX(RESULTADOS!$A:$BA,MATCH($A18,RESULTADOS!$A:$A,0),MATCH(Y$1,RESULTADOS!$1:$1,0))</f>
        <v>#N/A</v>
      </c>
      <c r="Z18" s="250">
        <f ca="1">SUMPRODUCT((TABELA_VAZAO[Posto]=Z$2)*1,(TABELA_VAZAO[Data]=$A18)*1,TABELA_VAZAO[qinc])</f>
        <v>0</v>
      </c>
      <c r="AA18" s="210">
        <f ca="1">SUMPRODUCT((TABELA_VAZAO[Posto]=AA$2)*1,(TABELA_VAZAO[Data]=$A18)*1,TABELA_VAZAO[qnat])</f>
        <v>0</v>
      </c>
      <c r="AB18" s="8"/>
      <c r="AC18" s="67" t="e">
        <f ca="1">INDEX(RESULTADOS!$A:$BA,MATCH($A18,RESULTADOS!$A:$A,0),MATCH(AC$1,RESULTADOS!$1:$1,0))</f>
        <v>#N/A</v>
      </c>
      <c r="AD18" s="250">
        <f ca="1">SUMPRODUCT((TABELA_VAZAO[Posto]=AD$2)*1,(TABELA_VAZAO[Data]=$A18)*1,TABELA_VAZAO[qinc])</f>
        <v>0</v>
      </c>
      <c r="AE18" s="210">
        <f ca="1">SUMPRODUCT((TABELA_VAZAO[Posto]=AE$2)*1,(TABELA_VAZAO[Data]=$A18)*1,TABELA_VAZAO[qnat])</f>
        <v>0</v>
      </c>
      <c r="AF18" s="250">
        <f ca="1">SUMPRODUCT((TABELA_VAZAO[Posto]=AF$2)*1,(TABELA_VAZAO[Data]=$A18)*1,TABELA_VAZAO[qinc])</f>
        <v>0</v>
      </c>
      <c r="AG18" s="210">
        <f ca="1">SUMPRODUCT((TABELA_VAZAO[Posto]=AG$2)*1,(TABELA_VAZAO[Data]=$A18)*1,TABELA_VAZAO[qnat])</f>
        <v>0</v>
      </c>
      <c r="AH18" s="250">
        <f ca="1">SUMPRODUCT((TABELA_VAZAO[Posto]=AH$2)*1,(TABELA_VAZAO[Data]=$A18)*1,TABELA_VAZAO[qinc])</f>
        <v>0</v>
      </c>
      <c r="AI18" s="210">
        <f ca="1">SUMPRODUCT((TABELA_VAZAO[Posto]=AI$2)*1,(TABELA_VAZAO[Data]=$A18)*1,TABELA_VAZAO[qnat])</f>
        <v>0</v>
      </c>
      <c r="AJ18" s="67" t="e">
        <f ca="1">INDEX(RESULTADOS!$A:$BA,MATCH($A18,RESULTADOS!$A:$A,0),MATCH(AJ$1,RESULTADOS!$1:$1,0))</f>
        <v>#N/A</v>
      </c>
      <c r="AK18" s="67" t="e">
        <f ca="1">INDEX(RESULTADOS!$A:$BA,MATCH($A18,RESULTADOS!$A:$A,0),MATCH(AK$1,RESULTADOS!$1:$1,0))</f>
        <v>#N/A</v>
      </c>
      <c r="AL18" s="9" t="e">
        <f t="shared" ca="1" si="5"/>
        <v>#N/A</v>
      </c>
      <c r="AM18" s="250">
        <f ca="1">SUMPRODUCT((TABELA_VAZAO[Posto]=AM$2)*1,(TABELA_VAZAO[Data]=$A18)*1,TABELA_VAZAO[qinc])</f>
        <v>0</v>
      </c>
      <c r="AN18" s="210">
        <f ca="1">SUMPRODUCT((TABELA_VAZAO[Posto]=AN$2)*1,(TABELA_VAZAO[Data]=$A18)*1,TABELA_VAZAO[qnat])</f>
        <v>0</v>
      </c>
      <c r="AO18" s="250">
        <f ca="1">SUMPRODUCT((TABELA_VAZAO[Posto]=AO$2)*1,(TABELA_VAZAO[Data]=$A18)*1,TABELA_VAZAO[qinc])</f>
        <v>0</v>
      </c>
      <c r="AP18" s="210">
        <f ca="1">SUMPRODUCT((TABELA_VAZAO[Posto]=AP$2)*1,(TABELA_VAZAO[Data]=$A18)*1,TABELA_VAZAO[qnat])</f>
        <v>0</v>
      </c>
    </row>
    <row r="19" spans="1:42" x14ac:dyDescent="0.2">
      <c r="A19" s="7">
        <f t="shared" ca="1" si="2"/>
        <v>43818</v>
      </c>
      <c r="B19" s="250">
        <f ca="1">SUMPRODUCT((TABELA_VAZAO[Posto]=B$2)*1,(TABELA_VAZAO[Data]=$A19)*1,TABELA_VAZAO[qinc])</f>
        <v>0</v>
      </c>
      <c r="C19" s="210">
        <f ca="1">SUMPRODUCT((TABELA_VAZAO[Posto]=C$2)*1,(TABELA_VAZAO[Data]=$A19)*1,TABELA_VAZAO[qnat])</f>
        <v>0</v>
      </c>
      <c r="D19" s="250">
        <f ca="1">SUMPRODUCT((TABELA_VAZAO[Posto]=D$2)*1,(TABELA_VAZAO[Data]=$A19)*1,TABELA_VAZAO[qinc])</f>
        <v>0</v>
      </c>
      <c r="E19" s="52">
        <f t="shared" ca="1" si="3"/>
        <v>0</v>
      </c>
      <c r="F19" s="250">
        <f ca="1">SUMPRODUCT((TABELA_VAZAO[Posto]=F$2)*1,(TABELA_VAZAO[Data]=$A19)*1,TABELA_VAZAO[qinc])</f>
        <v>0</v>
      </c>
      <c r="G19" s="210">
        <f ca="1">SUMPRODUCT((TABELA_VAZAO[Posto]=G$2)*1,(TABELA_VAZAO[Data]=$A19)*1,TABELA_VAZAO[qnat])</f>
        <v>0</v>
      </c>
      <c r="H19" s="67" t="e">
        <f ca="1">INDEX(RESULTADOS!$A:$BA,MATCH($A19,RESULTADOS!$A:$A,0),MATCH(H$1,RESULTADOS!$1:$1,0))</f>
        <v>#N/A</v>
      </c>
      <c r="I19" s="67" t="e">
        <f ca="1">INDEX(RESULTADOS!$A:$BA,MATCH($A19,RESULTADOS!$A:$A,0),MATCH(I$1,RESULTADOS!$1:$1,0))</f>
        <v>#N/A</v>
      </c>
      <c r="J19" s="67" t="e">
        <f ca="1">INDEX(RESULTADOS!$A:$BA,MATCH($A19,RESULTADOS!$A:$A,0),MATCH(J$1,RESULTADOS!$1:$1,0))</f>
        <v>#N/A</v>
      </c>
      <c r="K19" s="250">
        <f ca="1">SUMPRODUCT((TABELA_VAZAO[Posto]=K$2)*1,(TABELA_VAZAO[Data]=$A19)*1,TABELA_VAZAO[qinc])</f>
        <v>0</v>
      </c>
      <c r="L19" s="210">
        <f ca="1">SUMPRODUCT((TABELA_VAZAO[Posto]=L$2)*1,(TABELA_VAZAO[Data]=$A19)*1,TABELA_VAZAO[qnat])</f>
        <v>0</v>
      </c>
      <c r="M19" s="67" t="e">
        <f ca="1">INDEX(RESULTADOS!$A:$BA,MATCH($A19,RESULTADOS!$A:$A,0),MATCH(M$1,RESULTADOS!$1:$1,0))</f>
        <v>#N/A</v>
      </c>
      <c r="N19" s="250">
        <f ca="1">SUMPRODUCT((TABELA_VAZAO[Posto]=N$2)*1,(TABELA_VAZAO[Data]=$A19)*1,TABELA_VAZAO[qinc])</f>
        <v>0</v>
      </c>
      <c r="O19" s="210">
        <f ca="1">SUMPRODUCT((TABELA_VAZAO[Posto]=O$2)*1,(TABELA_VAZAO[Data]=$A19)*1,TABELA_VAZAO[qnat])</f>
        <v>0</v>
      </c>
      <c r="P19" s="250">
        <f ca="1">SUMPRODUCT((TABELA_VAZAO[Posto]=P$2)*1,(TABELA_VAZAO[Data]=$A19)*1,TABELA_VAZAO[qinc])</f>
        <v>0</v>
      </c>
      <c r="Q19" s="210">
        <f ca="1">SUMPRODUCT((TABELA_VAZAO[Posto]=Q$2)*1,(TABELA_VAZAO[Data]=$A19)*1,TABELA_VAZAO[qnat])</f>
        <v>0</v>
      </c>
      <c r="R19" s="250">
        <f ca="1">SUMPRODUCT((TABELA_VAZAO[Posto]=R$2)*1,(TABELA_VAZAO[Data]=$A19)*1,TABELA_VAZAO[qinc])</f>
        <v>0</v>
      </c>
      <c r="S19" s="210">
        <f ca="1">SUMPRODUCT((TABELA_VAZAO[Posto]=S$2)*1,(TABELA_VAZAO[Data]=$A19)*1,TABELA_VAZAO[qnat])</f>
        <v>0</v>
      </c>
      <c r="T19" s="250">
        <f ca="1">SUMPRODUCT((TABELA_VAZAO[Posto]=T$2)*1,(TABELA_VAZAO[Data]=$A19)*1,TABELA_VAZAO[qinc])</f>
        <v>0</v>
      </c>
      <c r="U19" s="210">
        <f ca="1">SUMPRODUCT((TABELA_VAZAO[Posto]=U$2)*1,(TABELA_VAZAO[Data]=$A19)*1,TABELA_VAZAO[qnat])</f>
        <v>0</v>
      </c>
      <c r="V19" s="250">
        <f ca="1">SUMPRODUCT((TABELA_VAZAO[Posto]=V$2)*1,(TABELA_VAZAO[Data]=$A19)*1,TABELA_VAZAO[qinc])</f>
        <v>0</v>
      </c>
      <c r="W19" s="210">
        <f ca="1">SUMPRODUCT((TABELA_VAZAO[Posto]=W$2)*1,(TABELA_VAZAO[Data]=$A19)*1,TABELA_VAZAO[qnat])</f>
        <v>0</v>
      </c>
      <c r="X19" s="8" t="e">
        <f t="shared" ca="1" si="4"/>
        <v>#N/A</v>
      </c>
      <c r="Y19" s="67" t="e">
        <f ca="1">INDEX(RESULTADOS!$A:$BA,MATCH($A19,RESULTADOS!$A:$A,0),MATCH(Y$1,RESULTADOS!$1:$1,0))</f>
        <v>#N/A</v>
      </c>
      <c r="Z19" s="250">
        <f ca="1">SUMPRODUCT((TABELA_VAZAO[Posto]=Z$2)*1,(TABELA_VAZAO[Data]=$A19)*1,TABELA_VAZAO[qinc])</f>
        <v>0</v>
      </c>
      <c r="AA19" s="210">
        <f ca="1">SUMPRODUCT((TABELA_VAZAO[Posto]=AA$2)*1,(TABELA_VAZAO[Data]=$A19)*1,TABELA_VAZAO[qnat])</f>
        <v>0</v>
      </c>
      <c r="AB19" s="8"/>
      <c r="AC19" s="67" t="e">
        <f ca="1">INDEX(RESULTADOS!$A:$BA,MATCH($A19,RESULTADOS!$A:$A,0),MATCH(AC$1,RESULTADOS!$1:$1,0))</f>
        <v>#N/A</v>
      </c>
      <c r="AD19" s="250">
        <f ca="1">SUMPRODUCT((TABELA_VAZAO[Posto]=AD$2)*1,(TABELA_VAZAO[Data]=$A19)*1,TABELA_VAZAO[qinc])</f>
        <v>0</v>
      </c>
      <c r="AE19" s="210">
        <f ca="1">SUMPRODUCT((TABELA_VAZAO[Posto]=AE$2)*1,(TABELA_VAZAO[Data]=$A19)*1,TABELA_VAZAO[qnat])</f>
        <v>0</v>
      </c>
      <c r="AF19" s="250">
        <f ca="1">SUMPRODUCT((TABELA_VAZAO[Posto]=AF$2)*1,(TABELA_VAZAO[Data]=$A19)*1,TABELA_VAZAO[qinc])</f>
        <v>0</v>
      </c>
      <c r="AG19" s="210">
        <f ca="1">SUMPRODUCT((TABELA_VAZAO[Posto]=AG$2)*1,(TABELA_VAZAO[Data]=$A19)*1,TABELA_VAZAO[qnat])</f>
        <v>0</v>
      </c>
      <c r="AH19" s="250">
        <f ca="1">SUMPRODUCT((TABELA_VAZAO[Posto]=AH$2)*1,(TABELA_VAZAO[Data]=$A19)*1,TABELA_VAZAO[qinc])</f>
        <v>0</v>
      </c>
      <c r="AI19" s="210">
        <f ca="1">SUMPRODUCT((TABELA_VAZAO[Posto]=AI$2)*1,(TABELA_VAZAO[Data]=$A19)*1,TABELA_VAZAO[qnat])</f>
        <v>0</v>
      </c>
      <c r="AJ19" s="67" t="e">
        <f ca="1">INDEX(RESULTADOS!$A:$BA,MATCH($A19,RESULTADOS!$A:$A,0),MATCH(AJ$1,RESULTADOS!$1:$1,0))</f>
        <v>#N/A</v>
      </c>
      <c r="AK19" s="67" t="e">
        <f ca="1">INDEX(RESULTADOS!$A:$BA,MATCH($A19,RESULTADOS!$A:$A,0),MATCH(AK$1,RESULTADOS!$1:$1,0))</f>
        <v>#N/A</v>
      </c>
      <c r="AL19" s="9" t="e">
        <f t="shared" ca="1" si="5"/>
        <v>#N/A</v>
      </c>
      <c r="AM19" s="250">
        <f ca="1">SUMPRODUCT((TABELA_VAZAO[Posto]=AM$2)*1,(TABELA_VAZAO[Data]=$A19)*1,TABELA_VAZAO[qinc])</f>
        <v>0</v>
      </c>
      <c r="AN19" s="210">
        <f ca="1">SUMPRODUCT((TABELA_VAZAO[Posto]=AN$2)*1,(TABELA_VAZAO[Data]=$A19)*1,TABELA_VAZAO[qnat])</f>
        <v>0</v>
      </c>
      <c r="AO19" s="250">
        <f ca="1">SUMPRODUCT((TABELA_VAZAO[Posto]=AO$2)*1,(TABELA_VAZAO[Data]=$A19)*1,TABELA_VAZAO[qinc])</f>
        <v>0</v>
      </c>
      <c r="AP19" s="210">
        <f ca="1">SUMPRODUCT((TABELA_VAZAO[Posto]=AP$2)*1,(TABELA_VAZAO[Data]=$A19)*1,TABELA_VAZAO[qnat])</f>
        <v>0</v>
      </c>
    </row>
    <row r="20" spans="1:42" x14ac:dyDescent="0.2">
      <c r="A20" s="7">
        <f t="shared" ca="1" si="2"/>
        <v>43819</v>
      </c>
      <c r="B20" s="250">
        <f ca="1">SUMPRODUCT((TABELA_VAZAO[Posto]=B$2)*1,(TABELA_VAZAO[Data]=$A20)*1,TABELA_VAZAO[qinc])</f>
        <v>0</v>
      </c>
      <c r="C20" s="210">
        <f ca="1">SUMPRODUCT((TABELA_VAZAO[Posto]=C$2)*1,(TABELA_VAZAO[Data]=$A20)*1,TABELA_VAZAO[qnat])</f>
        <v>0</v>
      </c>
      <c r="D20" s="250">
        <f ca="1">SUMPRODUCT((TABELA_VAZAO[Posto]=D$2)*1,(TABELA_VAZAO[Data]=$A20)*1,TABELA_VAZAO[qinc])</f>
        <v>0</v>
      </c>
      <c r="E20" s="52">
        <f t="shared" ca="1" si="3"/>
        <v>0</v>
      </c>
      <c r="F20" s="250">
        <f ca="1">SUMPRODUCT((TABELA_VAZAO[Posto]=F$2)*1,(TABELA_VAZAO[Data]=$A20)*1,TABELA_VAZAO[qinc])</f>
        <v>0</v>
      </c>
      <c r="G20" s="210">
        <f ca="1">SUMPRODUCT((TABELA_VAZAO[Posto]=G$2)*1,(TABELA_VAZAO[Data]=$A20)*1,TABELA_VAZAO[qnat])</f>
        <v>0</v>
      </c>
      <c r="H20" s="67" t="e">
        <f ca="1">INDEX(RESULTADOS!$A:$BA,MATCH($A20,RESULTADOS!$A:$A,0),MATCH(H$1,RESULTADOS!$1:$1,0))</f>
        <v>#N/A</v>
      </c>
      <c r="I20" s="67" t="e">
        <f ca="1">INDEX(RESULTADOS!$A:$BA,MATCH($A20,RESULTADOS!$A:$A,0),MATCH(I$1,RESULTADOS!$1:$1,0))</f>
        <v>#N/A</v>
      </c>
      <c r="J20" s="67" t="e">
        <f ca="1">INDEX(RESULTADOS!$A:$BA,MATCH($A20,RESULTADOS!$A:$A,0),MATCH(J$1,RESULTADOS!$1:$1,0))</f>
        <v>#N/A</v>
      </c>
      <c r="K20" s="250">
        <f ca="1">SUMPRODUCT((TABELA_VAZAO[Posto]=K$2)*1,(TABELA_VAZAO[Data]=$A20)*1,TABELA_VAZAO[qinc])</f>
        <v>0</v>
      </c>
      <c r="L20" s="210">
        <f ca="1">SUMPRODUCT((TABELA_VAZAO[Posto]=L$2)*1,(TABELA_VAZAO[Data]=$A20)*1,TABELA_VAZAO[qnat])</f>
        <v>0</v>
      </c>
      <c r="M20" s="67" t="e">
        <f ca="1">INDEX(RESULTADOS!$A:$BA,MATCH($A20,RESULTADOS!$A:$A,0),MATCH(M$1,RESULTADOS!$1:$1,0))</f>
        <v>#N/A</v>
      </c>
      <c r="N20" s="250">
        <f ca="1">SUMPRODUCT((TABELA_VAZAO[Posto]=N$2)*1,(TABELA_VAZAO[Data]=$A20)*1,TABELA_VAZAO[qinc])</f>
        <v>0</v>
      </c>
      <c r="O20" s="210">
        <f ca="1">SUMPRODUCT((TABELA_VAZAO[Posto]=O$2)*1,(TABELA_VAZAO[Data]=$A20)*1,TABELA_VAZAO[qnat])</f>
        <v>0</v>
      </c>
      <c r="P20" s="250">
        <f ca="1">SUMPRODUCT((TABELA_VAZAO[Posto]=P$2)*1,(TABELA_VAZAO[Data]=$A20)*1,TABELA_VAZAO[qinc])</f>
        <v>0</v>
      </c>
      <c r="Q20" s="210">
        <f ca="1">SUMPRODUCT((TABELA_VAZAO[Posto]=Q$2)*1,(TABELA_VAZAO[Data]=$A20)*1,TABELA_VAZAO[qnat])</f>
        <v>0</v>
      </c>
      <c r="R20" s="250">
        <f ca="1">SUMPRODUCT((TABELA_VAZAO[Posto]=R$2)*1,(TABELA_VAZAO[Data]=$A20)*1,TABELA_VAZAO[qinc])</f>
        <v>0</v>
      </c>
      <c r="S20" s="210">
        <f ca="1">SUMPRODUCT((TABELA_VAZAO[Posto]=S$2)*1,(TABELA_VAZAO[Data]=$A20)*1,TABELA_VAZAO[qnat])</f>
        <v>0</v>
      </c>
      <c r="T20" s="250">
        <f ca="1">SUMPRODUCT((TABELA_VAZAO[Posto]=T$2)*1,(TABELA_VAZAO[Data]=$A20)*1,TABELA_VAZAO[qinc])</f>
        <v>0</v>
      </c>
      <c r="U20" s="210">
        <f ca="1">SUMPRODUCT((TABELA_VAZAO[Posto]=U$2)*1,(TABELA_VAZAO[Data]=$A20)*1,TABELA_VAZAO[qnat])</f>
        <v>0</v>
      </c>
      <c r="V20" s="250">
        <f ca="1">SUMPRODUCT((TABELA_VAZAO[Posto]=V$2)*1,(TABELA_VAZAO[Data]=$A20)*1,TABELA_VAZAO[qinc])</f>
        <v>0</v>
      </c>
      <c r="W20" s="210">
        <f ca="1">SUMPRODUCT((TABELA_VAZAO[Posto]=W$2)*1,(TABELA_VAZAO[Data]=$A20)*1,TABELA_VAZAO[qnat])</f>
        <v>0</v>
      </c>
      <c r="X20" s="8" t="e">
        <f t="shared" ca="1" si="4"/>
        <v>#N/A</v>
      </c>
      <c r="Y20" s="67" t="e">
        <f ca="1">INDEX(RESULTADOS!$A:$BA,MATCH($A20,RESULTADOS!$A:$A,0),MATCH(Y$1,RESULTADOS!$1:$1,0))</f>
        <v>#N/A</v>
      </c>
      <c r="Z20" s="250">
        <f ca="1">SUMPRODUCT((TABELA_VAZAO[Posto]=Z$2)*1,(TABELA_VAZAO[Data]=$A20)*1,TABELA_VAZAO[qinc])</f>
        <v>0</v>
      </c>
      <c r="AA20" s="210">
        <f ca="1">SUMPRODUCT((TABELA_VAZAO[Posto]=AA$2)*1,(TABELA_VAZAO[Data]=$A20)*1,TABELA_VAZAO[qnat])</f>
        <v>0</v>
      </c>
      <c r="AB20" s="8"/>
      <c r="AC20" s="67" t="e">
        <f ca="1">INDEX(RESULTADOS!$A:$BA,MATCH($A20,RESULTADOS!$A:$A,0),MATCH(AC$1,RESULTADOS!$1:$1,0))</f>
        <v>#N/A</v>
      </c>
      <c r="AD20" s="250">
        <f ca="1">SUMPRODUCT((TABELA_VAZAO[Posto]=AD$2)*1,(TABELA_VAZAO[Data]=$A20)*1,TABELA_VAZAO[qinc])</f>
        <v>0</v>
      </c>
      <c r="AE20" s="210">
        <f ca="1">SUMPRODUCT((TABELA_VAZAO[Posto]=AE$2)*1,(TABELA_VAZAO[Data]=$A20)*1,TABELA_VAZAO[qnat])</f>
        <v>0</v>
      </c>
      <c r="AF20" s="250">
        <f ca="1">SUMPRODUCT((TABELA_VAZAO[Posto]=AF$2)*1,(TABELA_VAZAO[Data]=$A20)*1,TABELA_VAZAO[qinc])</f>
        <v>0</v>
      </c>
      <c r="AG20" s="210">
        <f ca="1">SUMPRODUCT((TABELA_VAZAO[Posto]=AG$2)*1,(TABELA_VAZAO[Data]=$A20)*1,TABELA_VAZAO[qnat])</f>
        <v>0</v>
      </c>
      <c r="AH20" s="250">
        <f ca="1">SUMPRODUCT((TABELA_VAZAO[Posto]=AH$2)*1,(TABELA_VAZAO[Data]=$A20)*1,TABELA_VAZAO[qinc])</f>
        <v>0</v>
      </c>
      <c r="AI20" s="210">
        <f ca="1">SUMPRODUCT((TABELA_VAZAO[Posto]=AI$2)*1,(TABELA_VAZAO[Data]=$A20)*1,TABELA_VAZAO[qnat])</f>
        <v>0</v>
      </c>
      <c r="AJ20" s="67" t="e">
        <f ca="1">INDEX(RESULTADOS!$A:$BA,MATCH($A20,RESULTADOS!$A:$A,0),MATCH(AJ$1,RESULTADOS!$1:$1,0))</f>
        <v>#N/A</v>
      </c>
      <c r="AK20" s="67" t="e">
        <f ca="1">INDEX(RESULTADOS!$A:$BA,MATCH($A20,RESULTADOS!$A:$A,0),MATCH(AK$1,RESULTADOS!$1:$1,0))</f>
        <v>#N/A</v>
      </c>
      <c r="AL20" s="9" t="e">
        <f t="shared" ca="1" si="5"/>
        <v>#N/A</v>
      </c>
      <c r="AM20" s="250">
        <f ca="1">SUMPRODUCT((TABELA_VAZAO[Posto]=AM$2)*1,(TABELA_VAZAO[Data]=$A20)*1,TABELA_VAZAO[qinc])</f>
        <v>0</v>
      </c>
      <c r="AN20" s="210">
        <f ca="1">SUMPRODUCT((TABELA_VAZAO[Posto]=AN$2)*1,(TABELA_VAZAO[Data]=$A20)*1,TABELA_VAZAO[qnat])</f>
        <v>0</v>
      </c>
      <c r="AO20" s="250">
        <f ca="1">SUMPRODUCT((TABELA_VAZAO[Posto]=AO$2)*1,(TABELA_VAZAO[Data]=$A20)*1,TABELA_VAZAO[qinc])</f>
        <v>0</v>
      </c>
      <c r="AP20" s="210">
        <f ca="1">SUMPRODUCT((TABELA_VAZAO[Posto]=AP$2)*1,(TABELA_VAZAO[Data]=$A20)*1,TABELA_VAZAO[qnat])</f>
        <v>0</v>
      </c>
    </row>
    <row r="21" spans="1:42" x14ac:dyDescent="0.2">
      <c r="A21" s="7">
        <f t="shared" ca="1" si="2"/>
        <v>43820</v>
      </c>
      <c r="B21" s="250">
        <f ca="1">SUMPRODUCT((TABELA_VAZAO[Posto]=B$2)*1,(TABELA_VAZAO[Data]=$A21)*1,TABELA_VAZAO[qinc])</f>
        <v>0</v>
      </c>
      <c r="C21" s="210">
        <f ca="1">SUMPRODUCT((TABELA_VAZAO[Posto]=C$2)*1,(TABELA_VAZAO[Data]=$A21)*1,TABELA_VAZAO[qnat])</f>
        <v>0</v>
      </c>
      <c r="D21" s="250">
        <f ca="1">SUMPRODUCT((TABELA_VAZAO[Posto]=D$2)*1,(TABELA_VAZAO[Data]=$A21)*1,TABELA_VAZAO[qinc])</f>
        <v>0</v>
      </c>
      <c r="E21" s="52">
        <f t="shared" ca="1" si="3"/>
        <v>0</v>
      </c>
      <c r="F21" s="250">
        <f ca="1">SUMPRODUCT((TABELA_VAZAO[Posto]=F$2)*1,(TABELA_VAZAO[Data]=$A21)*1,TABELA_VAZAO[qinc])</f>
        <v>0</v>
      </c>
      <c r="G21" s="210">
        <f ca="1">SUMPRODUCT((TABELA_VAZAO[Posto]=G$2)*1,(TABELA_VAZAO[Data]=$A21)*1,TABELA_VAZAO[qnat])</f>
        <v>0</v>
      </c>
      <c r="H21" s="67" t="e">
        <f ca="1">INDEX(RESULTADOS!$A:$BA,MATCH($A21,RESULTADOS!$A:$A,0),MATCH(H$1,RESULTADOS!$1:$1,0))</f>
        <v>#N/A</v>
      </c>
      <c r="I21" s="67" t="e">
        <f ca="1">INDEX(RESULTADOS!$A:$BA,MATCH($A21,RESULTADOS!$A:$A,0),MATCH(I$1,RESULTADOS!$1:$1,0))</f>
        <v>#N/A</v>
      </c>
      <c r="J21" s="67" t="e">
        <f ca="1">INDEX(RESULTADOS!$A:$BA,MATCH($A21,RESULTADOS!$A:$A,0),MATCH(J$1,RESULTADOS!$1:$1,0))</f>
        <v>#N/A</v>
      </c>
      <c r="K21" s="250">
        <f ca="1">SUMPRODUCT((TABELA_VAZAO[Posto]=K$2)*1,(TABELA_VAZAO[Data]=$A21)*1,TABELA_VAZAO[qinc])</f>
        <v>0</v>
      </c>
      <c r="L21" s="210">
        <f ca="1">SUMPRODUCT((TABELA_VAZAO[Posto]=L$2)*1,(TABELA_VAZAO[Data]=$A21)*1,TABELA_VAZAO[qnat])</f>
        <v>0</v>
      </c>
      <c r="M21" s="67" t="e">
        <f ca="1">INDEX(RESULTADOS!$A:$BA,MATCH($A21,RESULTADOS!$A:$A,0),MATCH(M$1,RESULTADOS!$1:$1,0))</f>
        <v>#N/A</v>
      </c>
      <c r="N21" s="250">
        <f ca="1">SUMPRODUCT((TABELA_VAZAO[Posto]=N$2)*1,(TABELA_VAZAO[Data]=$A21)*1,TABELA_VAZAO[qinc])</f>
        <v>0</v>
      </c>
      <c r="O21" s="210">
        <f ca="1">SUMPRODUCT((TABELA_VAZAO[Posto]=O$2)*1,(TABELA_VAZAO[Data]=$A21)*1,TABELA_VAZAO[qnat])</f>
        <v>0</v>
      </c>
      <c r="P21" s="250">
        <f ca="1">SUMPRODUCT((TABELA_VAZAO[Posto]=P$2)*1,(TABELA_VAZAO[Data]=$A21)*1,TABELA_VAZAO[qinc])</f>
        <v>0</v>
      </c>
      <c r="Q21" s="210">
        <f ca="1">SUMPRODUCT((TABELA_VAZAO[Posto]=Q$2)*1,(TABELA_VAZAO[Data]=$A21)*1,TABELA_VAZAO[qnat])</f>
        <v>0</v>
      </c>
      <c r="R21" s="250">
        <f ca="1">SUMPRODUCT((TABELA_VAZAO[Posto]=R$2)*1,(TABELA_VAZAO[Data]=$A21)*1,TABELA_VAZAO[qinc])</f>
        <v>0</v>
      </c>
      <c r="S21" s="210">
        <f ca="1">SUMPRODUCT((TABELA_VAZAO[Posto]=S$2)*1,(TABELA_VAZAO[Data]=$A21)*1,TABELA_VAZAO[qnat])</f>
        <v>0</v>
      </c>
      <c r="T21" s="250">
        <f ca="1">SUMPRODUCT((TABELA_VAZAO[Posto]=T$2)*1,(TABELA_VAZAO[Data]=$A21)*1,TABELA_VAZAO[qinc])</f>
        <v>0</v>
      </c>
      <c r="U21" s="210">
        <f ca="1">SUMPRODUCT((TABELA_VAZAO[Posto]=U$2)*1,(TABELA_VAZAO[Data]=$A21)*1,TABELA_VAZAO[qnat])</f>
        <v>0</v>
      </c>
      <c r="V21" s="250">
        <f ca="1">SUMPRODUCT((TABELA_VAZAO[Posto]=V$2)*1,(TABELA_VAZAO[Data]=$A21)*1,TABELA_VAZAO[qinc])</f>
        <v>0</v>
      </c>
      <c r="W21" s="210">
        <f ca="1">SUMPRODUCT((TABELA_VAZAO[Posto]=W$2)*1,(TABELA_VAZAO[Data]=$A21)*1,TABELA_VAZAO[qnat])</f>
        <v>0</v>
      </c>
      <c r="X21" s="8" t="e">
        <f t="shared" ca="1" si="4"/>
        <v>#N/A</v>
      </c>
      <c r="Y21" s="67" t="e">
        <f ca="1">INDEX(RESULTADOS!$A:$BA,MATCH($A21,RESULTADOS!$A:$A,0),MATCH(Y$1,RESULTADOS!$1:$1,0))</f>
        <v>#N/A</v>
      </c>
      <c r="Z21" s="250">
        <f ca="1">SUMPRODUCT((TABELA_VAZAO[Posto]=Z$2)*1,(TABELA_VAZAO[Data]=$A21)*1,TABELA_VAZAO[qinc])</f>
        <v>0</v>
      </c>
      <c r="AA21" s="210">
        <f ca="1">SUMPRODUCT((TABELA_VAZAO[Posto]=AA$2)*1,(TABELA_VAZAO[Data]=$A21)*1,TABELA_VAZAO[qnat])</f>
        <v>0</v>
      </c>
      <c r="AB21" s="8"/>
      <c r="AC21" s="67" t="e">
        <f ca="1">INDEX(RESULTADOS!$A:$BA,MATCH($A21,RESULTADOS!$A:$A,0),MATCH(AC$1,RESULTADOS!$1:$1,0))</f>
        <v>#N/A</v>
      </c>
      <c r="AD21" s="250">
        <f ca="1">SUMPRODUCT((TABELA_VAZAO[Posto]=AD$2)*1,(TABELA_VAZAO[Data]=$A21)*1,TABELA_VAZAO[qinc])</f>
        <v>0</v>
      </c>
      <c r="AE21" s="210">
        <f ca="1">SUMPRODUCT((TABELA_VAZAO[Posto]=AE$2)*1,(TABELA_VAZAO[Data]=$A21)*1,TABELA_VAZAO[qnat])</f>
        <v>0</v>
      </c>
      <c r="AF21" s="250">
        <f ca="1">SUMPRODUCT((TABELA_VAZAO[Posto]=AF$2)*1,(TABELA_VAZAO[Data]=$A21)*1,TABELA_VAZAO[qinc])</f>
        <v>0</v>
      </c>
      <c r="AG21" s="210">
        <f ca="1">SUMPRODUCT((TABELA_VAZAO[Posto]=AG$2)*1,(TABELA_VAZAO[Data]=$A21)*1,TABELA_VAZAO[qnat])</f>
        <v>0</v>
      </c>
      <c r="AH21" s="250">
        <f ca="1">SUMPRODUCT((TABELA_VAZAO[Posto]=AH$2)*1,(TABELA_VAZAO[Data]=$A21)*1,TABELA_VAZAO[qinc])</f>
        <v>0</v>
      </c>
      <c r="AI21" s="210">
        <f ca="1">SUMPRODUCT((TABELA_VAZAO[Posto]=AI$2)*1,(TABELA_VAZAO[Data]=$A21)*1,TABELA_VAZAO[qnat])</f>
        <v>0</v>
      </c>
      <c r="AJ21" s="67" t="e">
        <f ca="1">INDEX(RESULTADOS!$A:$BA,MATCH($A21,RESULTADOS!$A:$A,0),MATCH(AJ$1,RESULTADOS!$1:$1,0))</f>
        <v>#N/A</v>
      </c>
      <c r="AK21" s="67" t="e">
        <f ca="1">INDEX(RESULTADOS!$A:$BA,MATCH($A21,RESULTADOS!$A:$A,0),MATCH(AK$1,RESULTADOS!$1:$1,0))</f>
        <v>#N/A</v>
      </c>
      <c r="AL21" s="9" t="e">
        <f t="shared" ca="1" si="5"/>
        <v>#N/A</v>
      </c>
      <c r="AM21" s="250">
        <f ca="1">SUMPRODUCT((TABELA_VAZAO[Posto]=AM$2)*1,(TABELA_VAZAO[Data]=$A21)*1,TABELA_VAZAO[qinc])</f>
        <v>0</v>
      </c>
      <c r="AN21" s="210">
        <f ca="1">SUMPRODUCT((TABELA_VAZAO[Posto]=AN$2)*1,(TABELA_VAZAO[Data]=$A21)*1,TABELA_VAZAO[qnat])</f>
        <v>0</v>
      </c>
      <c r="AO21" s="250">
        <f ca="1">SUMPRODUCT((TABELA_VAZAO[Posto]=AO$2)*1,(TABELA_VAZAO[Data]=$A21)*1,TABELA_VAZAO[qinc])</f>
        <v>0</v>
      </c>
      <c r="AP21" s="210">
        <f ca="1">SUMPRODUCT((TABELA_VAZAO[Posto]=AP$2)*1,(TABELA_VAZAO[Data]=$A21)*1,TABELA_VAZAO[qnat])</f>
        <v>0</v>
      </c>
    </row>
    <row r="22" spans="1:42" x14ac:dyDescent="0.2">
      <c r="A22" s="7">
        <f t="shared" ca="1" si="2"/>
        <v>43821</v>
      </c>
      <c r="B22" s="250">
        <f ca="1">SUMPRODUCT((TABELA_VAZAO[Posto]=B$2)*1,(TABELA_VAZAO[Data]=$A22)*1,TABELA_VAZAO[qinc])</f>
        <v>0</v>
      </c>
      <c r="C22" s="210">
        <f ca="1">SUMPRODUCT((TABELA_VAZAO[Posto]=C$2)*1,(TABELA_VAZAO[Data]=$A22)*1,TABELA_VAZAO[qnat])</f>
        <v>0</v>
      </c>
      <c r="D22" s="250">
        <f ca="1">SUMPRODUCT((TABELA_VAZAO[Posto]=D$2)*1,(TABELA_VAZAO[Data]=$A22)*1,TABELA_VAZAO[qinc])</f>
        <v>0</v>
      </c>
      <c r="E22" s="52">
        <f t="shared" ca="1" si="3"/>
        <v>0</v>
      </c>
      <c r="F22" s="250">
        <f ca="1">SUMPRODUCT((TABELA_VAZAO[Posto]=F$2)*1,(TABELA_VAZAO[Data]=$A22)*1,TABELA_VAZAO[qinc])</f>
        <v>0</v>
      </c>
      <c r="G22" s="210">
        <f ca="1">SUMPRODUCT((TABELA_VAZAO[Posto]=G$2)*1,(TABELA_VAZAO[Data]=$A22)*1,TABELA_VAZAO[qnat])</f>
        <v>0</v>
      </c>
      <c r="H22" s="67" t="e">
        <f ca="1">INDEX(RESULTADOS!$A:$BA,MATCH($A22,RESULTADOS!$A:$A,0),MATCH(H$1,RESULTADOS!$1:$1,0))</f>
        <v>#N/A</v>
      </c>
      <c r="I22" s="67" t="e">
        <f ca="1">INDEX(RESULTADOS!$A:$BA,MATCH($A22,RESULTADOS!$A:$A,0),MATCH(I$1,RESULTADOS!$1:$1,0))</f>
        <v>#N/A</v>
      </c>
      <c r="J22" s="67" t="e">
        <f ca="1">INDEX(RESULTADOS!$A:$BA,MATCH($A22,RESULTADOS!$A:$A,0),MATCH(J$1,RESULTADOS!$1:$1,0))</f>
        <v>#N/A</v>
      </c>
      <c r="K22" s="250">
        <f ca="1">SUMPRODUCT((TABELA_VAZAO[Posto]=K$2)*1,(TABELA_VAZAO[Data]=$A22)*1,TABELA_VAZAO[qinc])</f>
        <v>0</v>
      </c>
      <c r="L22" s="210">
        <f ca="1">SUMPRODUCT((TABELA_VAZAO[Posto]=L$2)*1,(TABELA_VAZAO[Data]=$A22)*1,TABELA_VAZAO[qnat])</f>
        <v>0</v>
      </c>
      <c r="M22" s="67" t="e">
        <f ca="1">INDEX(RESULTADOS!$A:$BA,MATCH($A22,RESULTADOS!$A:$A,0),MATCH(M$1,RESULTADOS!$1:$1,0))</f>
        <v>#N/A</v>
      </c>
      <c r="N22" s="250">
        <f ca="1">SUMPRODUCT((TABELA_VAZAO[Posto]=N$2)*1,(TABELA_VAZAO[Data]=$A22)*1,TABELA_VAZAO[qinc])</f>
        <v>0</v>
      </c>
      <c r="O22" s="210">
        <f ca="1">SUMPRODUCT((TABELA_VAZAO[Posto]=O$2)*1,(TABELA_VAZAO[Data]=$A22)*1,TABELA_VAZAO[qnat])</f>
        <v>0</v>
      </c>
      <c r="P22" s="250">
        <f ca="1">SUMPRODUCT((TABELA_VAZAO[Posto]=P$2)*1,(TABELA_VAZAO[Data]=$A22)*1,TABELA_VAZAO[qinc])</f>
        <v>0</v>
      </c>
      <c r="Q22" s="210">
        <f ca="1">SUMPRODUCT((TABELA_VAZAO[Posto]=Q$2)*1,(TABELA_VAZAO[Data]=$A22)*1,TABELA_VAZAO[qnat])</f>
        <v>0</v>
      </c>
      <c r="R22" s="250">
        <f ca="1">SUMPRODUCT((TABELA_VAZAO[Posto]=R$2)*1,(TABELA_VAZAO[Data]=$A22)*1,TABELA_VAZAO[qinc])</f>
        <v>0</v>
      </c>
      <c r="S22" s="210">
        <f ca="1">SUMPRODUCT((TABELA_VAZAO[Posto]=S$2)*1,(TABELA_VAZAO[Data]=$A22)*1,TABELA_VAZAO[qnat])</f>
        <v>0</v>
      </c>
      <c r="T22" s="250">
        <f ca="1">SUMPRODUCT((TABELA_VAZAO[Posto]=T$2)*1,(TABELA_VAZAO[Data]=$A22)*1,TABELA_VAZAO[qinc])</f>
        <v>0</v>
      </c>
      <c r="U22" s="210">
        <f ca="1">SUMPRODUCT((TABELA_VAZAO[Posto]=U$2)*1,(TABELA_VAZAO[Data]=$A22)*1,TABELA_VAZAO[qnat])</f>
        <v>0</v>
      </c>
      <c r="V22" s="250">
        <f ca="1">SUMPRODUCT((TABELA_VAZAO[Posto]=V$2)*1,(TABELA_VAZAO[Data]=$A22)*1,TABELA_VAZAO[qinc])</f>
        <v>0</v>
      </c>
      <c r="W22" s="210">
        <f ca="1">SUMPRODUCT((TABELA_VAZAO[Posto]=W$2)*1,(TABELA_VAZAO[Data]=$A22)*1,TABELA_VAZAO[qnat])</f>
        <v>0</v>
      </c>
      <c r="X22" s="8" t="e">
        <f t="shared" ca="1" si="4"/>
        <v>#N/A</v>
      </c>
      <c r="Y22" s="67" t="e">
        <f ca="1">INDEX(RESULTADOS!$A:$BA,MATCH($A22,RESULTADOS!$A:$A,0),MATCH(Y$1,RESULTADOS!$1:$1,0))</f>
        <v>#N/A</v>
      </c>
      <c r="Z22" s="250">
        <f ca="1">SUMPRODUCT((TABELA_VAZAO[Posto]=Z$2)*1,(TABELA_VAZAO[Data]=$A22)*1,TABELA_VAZAO[qinc])</f>
        <v>0</v>
      </c>
      <c r="AA22" s="210">
        <f ca="1">SUMPRODUCT((TABELA_VAZAO[Posto]=AA$2)*1,(TABELA_VAZAO[Data]=$A22)*1,TABELA_VAZAO[qnat])</f>
        <v>0</v>
      </c>
      <c r="AB22" s="8"/>
      <c r="AC22" s="67" t="e">
        <f ca="1">INDEX(RESULTADOS!$A:$BA,MATCH($A22,RESULTADOS!$A:$A,0),MATCH(AC$1,RESULTADOS!$1:$1,0))</f>
        <v>#N/A</v>
      </c>
      <c r="AD22" s="250">
        <f ca="1">SUMPRODUCT((TABELA_VAZAO[Posto]=AD$2)*1,(TABELA_VAZAO[Data]=$A22)*1,TABELA_VAZAO[qinc])</f>
        <v>0</v>
      </c>
      <c r="AE22" s="210">
        <f ca="1">SUMPRODUCT((TABELA_VAZAO[Posto]=AE$2)*1,(TABELA_VAZAO[Data]=$A22)*1,TABELA_VAZAO[qnat])</f>
        <v>0</v>
      </c>
      <c r="AF22" s="250">
        <f ca="1">SUMPRODUCT((TABELA_VAZAO[Posto]=AF$2)*1,(TABELA_VAZAO[Data]=$A22)*1,TABELA_VAZAO[qinc])</f>
        <v>0</v>
      </c>
      <c r="AG22" s="210">
        <f ca="1">SUMPRODUCT((TABELA_VAZAO[Posto]=AG$2)*1,(TABELA_VAZAO[Data]=$A22)*1,TABELA_VAZAO[qnat])</f>
        <v>0</v>
      </c>
      <c r="AH22" s="250">
        <f ca="1">SUMPRODUCT((TABELA_VAZAO[Posto]=AH$2)*1,(TABELA_VAZAO[Data]=$A22)*1,TABELA_VAZAO[qinc])</f>
        <v>0</v>
      </c>
      <c r="AI22" s="210">
        <f ca="1">SUMPRODUCT((TABELA_VAZAO[Posto]=AI$2)*1,(TABELA_VAZAO[Data]=$A22)*1,TABELA_VAZAO[qnat])</f>
        <v>0</v>
      </c>
      <c r="AJ22" s="67" t="e">
        <f ca="1">INDEX(RESULTADOS!$A:$BA,MATCH($A22,RESULTADOS!$A:$A,0),MATCH(AJ$1,RESULTADOS!$1:$1,0))</f>
        <v>#N/A</v>
      </c>
      <c r="AK22" s="67" t="e">
        <f ca="1">INDEX(RESULTADOS!$A:$BA,MATCH($A22,RESULTADOS!$A:$A,0),MATCH(AK$1,RESULTADOS!$1:$1,0))</f>
        <v>#N/A</v>
      </c>
      <c r="AL22" s="9" t="e">
        <f t="shared" ca="1" si="5"/>
        <v>#N/A</v>
      </c>
      <c r="AM22" s="250">
        <f ca="1">SUMPRODUCT((TABELA_VAZAO[Posto]=AM$2)*1,(TABELA_VAZAO[Data]=$A22)*1,TABELA_VAZAO[qinc])</f>
        <v>0</v>
      </c>
      <c r="AN22" s="210">
        <f ca="1">SUMPRODUCT((TABELA_VAZAO[Posto]=AN$2)*1,(TABELA_VAZAO[Data]=$A22)*1,TABELA_VAZAO[qnat])</f>
        <v>0</v>
      </c>
      <c r="AO22" s="250">
        <f ca="1">SUMPRODUCT((TABELA_VAZAO[Posto]=AO$2)*1,(TABELA_VAZAO[Data]=$A22)*1,TABELA_VAZAO[qinc])</f>
        <v>0</v>
      </c>
      <c r="AP22" s="210">
        <f ca="1">SUMPRODUCT((TABELA_VAZAO[Posto]=AP$2)*1,(TABELA_VAZAO[Data]=$A22)*1,TABELA_VAZAO[qnat])</f>
        <v>0</v>
      </c>
    </row>
    <row r="23" spans="1:42" x14ac:dyDescent="0.2">
      <c r="A23" s="7">
        <f t="shared" ca="1" si="2"/>
        <v>43822</v>
      </c>
      <c r="B23" s="250">
        <f ca="1">SUMPRODUCT((TABELA_VAZAO[Posto]=B$2)*1,(TABELA_VAZAO[Data]=$A23)*1,TABELA_VAZAO[qinc])</f>
        <v>0</v>
      </c>
      <c r="C23" s="210">
        <f ca="1">SUMPRODUCT((TABELA_VAZAO[Posto]=C$2)*1,(TABELA_VAZAO[Data]=$A23)*1,TABELA_VAZAO[qnat])</f>
        <v>0</v>
      </c>
      <c r="D23" s="250">
        <f ca="1">SUMPRODUCT((TABELA_VAZAO[Posto]=D$2)*1,(TABELA_VAZAO[Data]=$A23)*1,TABELA_VAZAO[qinc])</f>
        <v>0</v>
      </c>
      <c r="E23" s="52">
        <f t="shared" ca="1" si="3"/>
        <v>0</v>
      </c>
      <c r="F23" s="250">
        <f ca="1">SUMPRODUCT((TABELA_VAZAO[Posto]=F$2)*1,(TABELA_VAZAO[Data]=$A23)*1,TABELA_VAZAO[qinc])</f>
        <v>0</v>
      </c>
      <c r="G23" s="210">
        <f ca="1">SUMPRODUCT((TABELA_VAZAO[Posto]=G$2)*1,(TABELA_VAZAO[Data]=$A23)*1,TABELA_VAZAO[qnat])</f>
        <v>0</v>
      </c>
      <c r="H23" s="67" t="e">
        <f ca="1">INDEX(RESULTADOS!$A:$BA,MATCH($A23,RESULTADOS!$A:$A,0),MATCH(H$1,RESULTADOS!$1:$1,0))</f>
        <v>#N/A</v>
      </c>
      <c r="I23" s="67" t="e">
        <f ca="1">INDEX(RESULTADOS!$A:$BA,MATCH($A23,RESULTADOS!$A:$A,0),MATCH(I$1,RESULTADOS!$1:$1,0))</f>
        <v>#N/A</v>
      </c>
      <c r="J23" s="67" t="e">
        <f ca="1">INDEX(RESULTADOS!$A:$BA,MATCH($A23,RESULTADOS!$A:$A,0),MATCH(J$1,RESULTADOS!$1:$1,0))</f>
        <v>#N/A</v>
      </c>
      <c r="K23" s="250">
        <f ca="1">SUMPRODUCT((TABELA_VAZAO[Posto]=K$2)*1,(TABELA_VAZAO[Data]=$A23)*1,TABELA_VAZAO[qinc])</f>
        <v>0</v>
      </c>
      <c r="L23" s="210">
        <f ca="1">SUMPRODUCT((TABELA_VAZAO[Posto]=L$2)*1,(TABELA_VAZAO[Data]=$A23)*1,TABELA_VAZAO[qnat])</f>
        <v>0</v>
      </c>
      <c r="M23" s="67" t="e">
        <f ca="1">INDEX(RESULTADOS!$A:$BA,MATCH($A23,RESULTADOS!$A:$A,0),MATCH(M$1,RESULTADOS!$1:$1,0))</f>
        <v>#N/A</v>
      </c>
      <c r="N23" s="250">
        <f ca="1">SUMPRODUCT((TABELA_VAZAO[Posto]=N$2)*1,(TABELA_VAZAO[Data]=$A23)*1,TABELA_VAZAO[qinc])</f>
        <v>0</v>
      </c>
      <c r="O23" s="210">
        <f ca="1">SUMPRODUCT((TABELA_VAZAO[Posto]=O$2)*1,(TABELA_VAZAO[Data]=$A23)*1,TABELA_VAZAO[qnat])</f>
        <v>0</v>
      </c>
      <c r="P23" s="250">
        <f ca="1">SUMPRODUCT((TABELA_VAZAO[Posto]=P$2)*1,(TABELA_VAZAO[Data]=$A23)*1,TABELA_VAZAO[qinc])</f>
        <v>0</v>
      </c>
      <c r="Q23" s="210">
        <f ca="1">SUMPRODUCT((TABELA_VAZAO[Posto]=Q$2)*1,(TABELA_VAZAO[Data]=$A23)*1,TABELA_VAZAO[qnat])</f>
        <v>0</v>
      </c>
      <c r="R23" s="250">
        <f ca="1">SUMPRODUCT((TABELA_VAZAO[Posto]=R$2)*1,(TABELA_VAZAO[Data]=$A23)*1,TABELA_VAZAO[qinc])</f>
        <v>0</v>
      </c>
      <c r="S23" s="210">
        <f ca="1">SUMPRODUCT((TABELA_VAZAO[Posto]=S$2)*1,(TABELA_VAZAO[Data]=$A23)*1,TABELA_VAZAO[qnat])</f>
        <v>0</v>
      </c>
      <c r="T23" s="250">
        <f ca="1">SUMPRODUCT((TABELA_VAZAO[Posto]=T$2)*1,(TABELA_VAZAO[Data]=$A23)*1,TABELA_VAZAO[qinc])</f>
        <v>0</v>
      </c>
      <c r="U23" s="210">
        <f ca="1">SUMPRODUCT((TABELA_VAZAO[Posto]=U$2)*1,(TABELA_VAZAO[Data]=$A23)*1,TABELA_VAZAO[qnat])</f>
        <v>0</v>
      </c>
      <c r="V23" s="250">
        <f ca="1">SUMPRODUCT((TABELA_VAZAO[Posto]=V$2)*1,(TABELA_VAZAO[Data]=$A23)*1,TABELA_VAZAO[qinc])</f>
        <v>0</v>
      </c>
      <c r="W23" s="210">
        <f ca="1">SUMPRODUCT((TABELA_VAZAO[Posto]=W$2)*1,(TABELA_VAZAO[Data]=$A23)*1,TABELA_VAZAO[qnat])</f>
        <v>0</v>
      </c>
      <c r="X23" s="8" t="e">
        <f t="shared" ca="1" si="4"/>
        <v>#N/A</v>
      </c>
      <c r="Y23" s="67" t="e">
        <f ca="1">INDEX(RESULTADOS!$A:$BA,MATCH($A23,RESULTADOS!$A:$A,0),MATCH(Y$1,RESULTADOS!$1:$1,0))</f>
        <v>#N/A</v>
      </c>
      <c r="Z23" s="250">
        <f ca="1">SUMPRODUCT((TABELA_VAZAO[Posto]=Z$2)*1,(TABELA_VAZAO[Data]=$A23)*1,TABELA_VAZAO[qinc])</f>
        <v>0</v>
      </c>
      <c r="AA23" s="210">
        <f ca="1">SUMPRODUCT((TABELA_VAZAO[Posto]=AA$2)*1,(TABELA_VAZAO[Data]=$A23)*1,TABELA_VAZAO[qnat])</f>
        <v>0</v>
      </c>
      <c r="AB23" s="8"/>
      <c r="AC23" s="67" t="e">
        <f ca="1">INDEX(RESULTADOS!$A:$BA,MATCH($A23,RESULTADOS!$A:$A,0),MATCH(AC$1,RESULTADOS!$1:$1,0))</f>
        <v>#N/A</v>
      </c>
      <c r="AD23" s="250">
        <f ca="1">SUMPRODUCT((TABELA_VAZAO[Posto]=AD$2)*1,(TABELA_VAZAO[Data]=$A23)*1,TABELA_VAZAO[qinc])</f>
        <v>0</v>
      </c>
      <c r="AE23" s="210">
        <f ca="1">SUMPRODUCT((TABELA_VAZAO[Posto]=AE$2)*1,(TABELA_VAZAO[Data]=$A23)*1,TABELA_VAZAO[qnat])</f>
        <v>0</v>
      </c>
      <c r="AF23" s="250">
        <f ca="1">SUMPRODUCT((TABELA_VAZAO[Posto]=AF$2)*1,(TABELA_VAZAO[Data]=$A23)*1,TABELA_VAZAO[qinc])</f>
        <v>0</v>
      </c>
      <c r="AG23" s="210">
        <f ca="1">SUMPRODUCT((TABELA_VAZAO[Posto]=AG$2)*1,(TABELA_VAZAO[Data]=$A23)*1,TABELA_VAZAO[qnat])</f>
        <v>0</v>
      </c>
      <c r="AH23" s="250">
        <f ca="1">SUMPRODUCT((TABELA_VAZAO[Posto]=AH$2)*1,(TABELA_VAZAO[Data]=$A23)*1,TABELA_VAZAO[qinc])</f>
        <v>0</v>
      </c>
      <c r="AI23" s="210">
        <f ca="1">SUMPRODUCT((TABELA_VAZAO[Posto]=AI$2)*1,(TABELA_VAZAO[Data]=$A23)*1,TABELA_VAZAO[qnat])</f>
        <v>0</v>
      </c>
      <c r="AJ23" s="67" t="e">
        <f ca="1">INDEX(RESULTADOS!$A:$BA,MATCH($A23,RESULTADOS!$A:$A,0),MATCH(AJ$1,RESULTADOS!$1:$1,0))</f>
        <v>#N/A</v>
      </c>
      <c r="AK23" s="67" t="e">
        <f ca="1">INDEX(RESULTADOS!$A:$BA,MATCH($A23,RESULTADOS!$A:$A,0),MATCH(AK$1,RESULTADOS!$1:$1,0))</f>
        <v>#N/A</v>
      </c>
      <c r="AL23" s="9" t="e">
        <f t="shared" ca="1" si="5"/>
        <v>#N/A</v>
      </c>
      <c r="AM23" s="250">
        <f ca="1">SUMPRODUCT((TABELA_VAZAO[Posto]=AM$2)*1,(TABELA_VAZAO[Data]=$A23)*1,TABELA_VAZAO[qinc])</f>
        <v>0</v>
      </c>
      <c r="AN23" s="210">
        <f ca="1">SUMPRODUCT((TABELA_VAZAO[Posto]=AN$2)*1,(TABELA_VAZAO[Data]=$A23)*1,TABELA_VAZAO[qnat])</f>
        <v>0</v>
      </c>
      <c r="AO23" s="250">
        <f ca="1">SUMPRODUCT((TABELA_VAZAO[Posto]=AO$2)*1,(TABELA_VAZAO[Data]=$A23)*1,TABELA_VAZAO[qinc])</f>
        <v>0</v>
      </c>
      <c r="AP23" s="210">
        <f ca="1">SUMPRODUCT((TABELA_VAZAO[Posto]=AP$2)*1,(TABELA_VAZAO[Data]=$A23)*1,TABELA_VAZAO[qnat])</f>
        <v>0</v>
      </c>
    </row>
    <row r="24" spans="1:42" x14ac:dyDescent="0.2">
      <c r="A24" s="7">
        <f t="shared" ca="1" si="2"/>
        <v>43823</v>
      </c>
      <c r="B24" s="250">
        <f ca="1">SUMPRODUCT((TABELA_VAZAO[Posto]=B$2)*1,(TABELA_VAZAO[Data]=$A24)*1,TABELA_VAZAO[qinc])</f>
        <v>0</v>
      </c>
      <c r="C24" s="210">
        <f ca="1">SUMPRODUCT((TABELA_VAZAO[Posto]=C$2)*1,(TABELA_VAZAO[Data]=$A24)*1,TABELA_VAZAO[qnat])</f>
        <v>0</v>
      </c>
      <c r="D24" s="250">
        <f ca="1">SUMPRODUCT((TABELA_VAZAO[Posto]=D$2)*1,(TABELA_VAZAO[Data]=$A24)*1,TABELA_VAZAO[qinc])</f>
        <v>0</v>
      </c>
      <c r="E24" s="52">
        <f t="shared" ca="1" si="3"/>
        <v>0</v>
      </c>
      <c r="F24" s="250">
        <f ca="1">SUMPRODUCT((TABELA_VAZAO[Posto]=F$2)*1,(TABELA_VAZAO[Data]=$A24)*1,TABELA_VAZAO[qinc])</f>
        <v>0</v>
      </c>
      <c r="G24" s="210">
        <f ca="1">SUMPRODUCT((TABELA_VAZAO[Posto]=G$2)*1,(TABELA_VAZAO[Data]=$A24)*1,TABELA_VAZAO[qnat])</f>
        <v>0</v>
      </c>
      <c r="H24" s="67" t="e">
        <f ca="1">INDEX(RESULTADOS!$A:$BA,MATCH($A24,RESULTADOS!$A:$A,0),MATCH(H$1,RESULTADOS!$1:$1,0))</f>
        <v>#N/A</v>
      </c>
      <c r="I24" s="67" t="e">
        <f ca="1">INDEX(RESULTADOS!$A:$BA,MATCH($A24,RESULTADOS!$A:$A,0),MATCH(I$1,RESULTADOS!$1:$1,0))</f>
        <v>#N/A</v>
      </c>
      <c r="J24" s="67" t="e">
        <f ca="1">INDEX(RESULTADOS!$A:$BA,MATCH($A24,RESULTADOS!$A:$A,0),MATCH(J$1,RESULTADOS!$1:$1,0))</f>
        <v>#N/A</v>
      </c>
      <c r="K24" s="250">
        <f ca="1">SUMPRODUCT((TABELA_VAZAO[Posto]=K$2)*1,(TABELA_VAZAO[Data]=$A24)*1,TABELA_VAZAO[qinc])</f>
        <v>0</v>
      </c>
      <c r="L24" s="210">
        <f ca="1">SUMPRODUCT((TABELA_VAZAO[Posto]=L$2)*1,(TABELA_VAZAO[Data]=$A24)*1,TABELA_VAZAO[qnat])</f>
        <v>0</v>
      </c>
      <c r="M24" s="67" t="e">
        <f ca="1">INDEX(RESULTADOS!$A:$BA,MATCH($A24,RESULTADOS!$A:$A,0),MATCH(M$1,RESULTADOS!$1:$1,0))</f>
        <v>#N/A</v>
      </c>
      <c r="N24" s="250">
        <f ca="1">SUMPRODUCT((TABELA_VAZAO[Posto]=N$2)*1,(TABELA_VAZAO[Data]=$A24)*1,TABELA_VAZAO[qinc])</f>
        <v>0</v>
      </c>
      <c r="O24" s="210">
        <f ca="1">SUMPRODUCT((TABELA_VAZAO[Posto]=O$2)*1,(TABELA_VAZAO[Data]=$A24)*1,TABELA_VAZAO[qnat])</f>
        <v>0</v>
      </c>
      <c r="P24" s="250">
        <f ca="1">SUMPRODUCT((TABELA_VAZAO[Posto]=P$2)*1,(TABELA_VAZAO[Data]=$A24)*1,TABELA_VAZAO[qinc])</f>
        <v>0</v>
      </c>
      <c r="Q24" s="210">
        <f ca="1">SUMPRODUCT((TABELA_VAZAO[Posto]=Q$2)*1,(TABELA_VAZAO[Data]=$A24)*1,TABELA_VAZAO[qnat])</f>
        <v>0</v>
      </c>
      <c r="R24" s="250">
        <f ca="1">SUMPRODUCT((TABELA_VAZAO[Posto]=R$2)*1,(TABELA_VAZAO[Data]=$A24)*1,TABELA_VAZAO[qinc])</f>
        <v>0</v>
      </c>
      <c r="S24" s="210">
        <f ca="1">SUMPRODUCT((TABELA_VAZAO[Posto]=S$2)*1,(TABELA_VAZAO[Data]=$A24)*1,TABELA_VAZAO[qnat])</f>
        <v>0</v>
      </c>
      <c r="T24" s="250">
        <f ca="1">SUMPRODUCT((TABELA_VAZAO[Posto]=T$2)*1,(TABELA_VAZAO[Data]=$A24)*1,TABELA_VAZAO[qinc])</f>
        <v>0</v>
      </c>
      <c r="U24" s="210">
        <f ca="1">SUMPRODUCT((TABELA_VAZAO[Posto]=U$2)*1,(TABELA_VAZAO[Data]=$A24)*1,TABELA_VAZAO[qnat])</f>
        <v>0</v>
      </c>
      <c r="V24" s="250">
        <f ca="1">SUMPRODUCT((TABELA_VAZAO[Posto]=V$2)*1,(TABELA_VAZAO[Data]=$A24)*1,TABELA_VAZAO[qinc])</f>
        <v>0</v>
      </c>
      <c r="W24" s="210">
        <f ca="1">SUMPRODUCT((TABELA_VAZAO[Posto]=W$2)*1,(TABELA_VAZAO[Data]=$A24)*1,TABELA_VAZAO[qnat])</f>
        <v>0</v>
      </c>
      <c r="X24" s="8" t="e">
        <f t="shared" ca="1" si="4"/>
        <v>#N/A</v>
      </c>
      <c r="Y24" s="67" t="e">
        <f ca="1">INDEX(RESULTADOS!$A:$BA,MATCH($A24,RESULTADOS!$A:$A,0),MATCH(Y$1,RESULTADOS!$1:$1,0))</f>
        <v>#N/A</v>
      </c>
      <c r="Z24" s="250">
        <f ca="1">SUMPRODUCT((TABELA_VAZAO[Posto]=Z$2)*1,(TABELA_VAZAO[Data]=$A24)*1,TABELA_VAZAO[qinc])</f>
        <v>0</v>
      </c>
      <c r="AA24" s="210">
        <f ca="1">SUMPRODUCT((TABELA_VAZAO[Posto]=AA$2)*1,(TABELA_VAZAO[Data]=$A24)*1,TABELA_VAZAO[qnat])</f>
        <v>0</v>
      </c>
      <c r="AB24" s="8"/>
      <c r="AC24" s="67" t="e">
        <f ca="1">INDEX(RESULTADOS!$A:$BA,MATCH($A24,RESULTADOS!$A:$A,0),MATCH(AC$1,RESULTADOS!$1:$1,0))</f>
        <v>#N/A</v>
      </c>
      <c r="AD24" s="250">
        <f ca="1">SUMPRODUCT((TABELA_VAZAO[Posto]=AD$2)*1,(TABELA_VAZAO[Data]=$A24)*1,TABELA_VAZAO[qinc])</f>
        <v>0</v>
      </c>
      <c r="AE24" s="210">
        <f ca="1">SUMPRODUCT((TABELA_VAZAO[Posto]=AE$2)*1,(TABELA_VAZAO[Data]=$A24)*1,TABELA_VAZAO[qnat])</f>
        <v>0</v>
      </c>
      <c r="AF24" s="250">
        <f ca="1">SUMPRODUCT((TABELA_VAZAO[Posto]=AF$2)*1,(TABELA_VAZAO[Data]=$A24)*1,TABELA_VAZAO[qinc])</f>
        <v>0</v>
      </c>
      <c r="AG24" s="210">
        <f ca="1">SUMPRODUCT((TABELA_VAZAO[Posto]=AG$2)*1,(TABELA_VAZAO[Data]=$A24)*1,TABELA_VAZAO[qnat])</f>
        <v>0</v>
      </c>
      <c r="AH24" s="250">
        <f ca="1">SUMPRODUCT((TABELA_VAZAO[Posto]=AH$2)*1,(TABELA_VAZAO[Data]=$A24)*1,TABELA_VAZAO[qinc])</f>
        <v>0</v>
      </c>
      <c r="AI24" s="210">
        <f ca="1">SUMPRODUCT((TABELA_VAZAO[Posto]=AI$2)*1,(TABELA_VAZAO[Data]=$A24)*1,TABELA_VAZAO[qnat])</f>
        <v>0</v>
      </c>
      <c r="AJ24" s="67" t="e">
        <f ca="1">INDEX(RESULTADOS!$A:$BA,MATCH($A24,RESULTADOS!$A:$A,0),MATCH(AJ$1,RESULTADOS!$1:$1,0))</f>
        <v>#N/A</v>
      </c>
      <c r="AK24" s="67" t="e">
        <f ca="1">INDEX(RESULTADOS!$A:$BA,MATCH($A24,RESULTADOS!$A:$A,0),MATCH(AK$1,RESULTADOS!$1:$1,0))</f>
        <v>#N/A</v>
      </c>
      <c r="AL24" s="9" t="e">
        <f t="shared" ca="1" si="5"/>
        <v>#N/A</v>
      </c>
      <c r="AM24" s="250">
        <f ca="1">SUMPRODUCT((TABELA_VAZAO[Posto]=AM$2)*1,(TABELA_VAZAO[Data]=$A24)*1,TABELA_VAZAO[qinc])</f>
        <v>0</v>
      </c>
      <c r="AN24" s="210">
        <f ca="1">SUMPRODUCT((TABELA_VAZAO[Posto]=AN$2)*1,(TABELA_VAZAO[Data]=$A24)*1,TABELA_VAZAO[qnat])</f>
        <v>0</v>
      </c>
      <c r="AO24" s="250">
        <f ca="1">SUMPRODUCT((TABELA_VAZAO[Posto]=AO$2)*1,(TABELA_VAZAO[Data]=$A24)*1,TABELA_VAZAO[qinc])</f>
        <v>0</v>
      </c>
      <c r="AP24" s="210">
        <f ca="1">SUMPRODUCT((TABELA_VAZAO[Posto]=AP$2)*1,(TABELA_VAZAO[Data]=$A24)*1,TABELA_VAZAO[qnat])</f>
        <v>0</v>
      </c>
    </row>
    <row r="25" spans="1:42" x14ac:dyDescent="0.2">
      <c r="A25" s="7">
        <f t="shared" ca="1" si="2"/>
        <v>43824</v>
      </c>
      <c r="B25" s="250">
        <f ca="1">SUMPRODUCT((TABELA_VAZAO[Posto]=B$2)*1,(TABELA_VAZAO[Data]=$A25)*1,TABELA_VAZAO[qinc])</f>
        <v>0</v>
      </c>
      <c r="C25" s="210">
        <f ca="1">SUMPRODUCT((TABELA_VAZAO[Posto]=C$2)*1,(TABELA_VAZAO[Data]=$A25)*1,TABELA_VAZAO[qnat])</f>
        <v>0</v>
      </c>
      <c r="D25" s="250">
        <f ca="1">SUMPRODUCT((TABELA_VAZAO[Posto]=D$2)*1,(TABELA_VAZAO[Data]=$A25)*1,TABELA_VAZAO[qinc])</f>
        <v>0</v>
      </c>
      <c r="E25" s="52">
        <f t="shared" ca="1" si="3"/>
        <v>0</v>
      </c>
      <c r="F25" s="250">
        <f ca="1">SUMPRODUCT((TABELA_VAZAO[Posto]=F$2)*1,(TABELA_VAZAO[Data]=$A25)*1,TABELA_VAZAO[qinc])</f>
        <v>0</v>
      </c>
      <c r="G25" s="210">
        <f ca="1">SUMPRODUCT((TABELA_VAZAO[Posto]=G$2)*1,(TABELA_VAZAO[Data]=$A25)*1,TABELA_VAZAO[qnat])</f>
        <v>0</v>
      </c>
      <c r="H25" s="67" t="e">
        <f ca="1">INDEX(RESULTADOS!$A:$BA,MATCH($A25,RESULTADOS!$A:$A,0),MATCH(H$1,RESULTADOS!$1:$1,0))</f>
        <v>#N/A</v>
      </c>
      <c r="I25" s="67" t="e">
        <f ca="1">INDEX(RESULTADOS!$A:$BA,MATCH($A25,RESULTADOS!$A:$A,0),MATCH(I$1,RESULTADOS!$1:$1,0))</f>
        <v>#N/A</v>
      </c>
      <c r="J25" s="67" t="e">
        <f ca="1">INDEX(RESULTADOS!$A:$BA,MATCH($A25,RESULTADOS!$A:$A,0),MATCH(J$1,RESULTADOS!$1:$1,0))</f>
        <v>#N/A</v>
      </c>
      <c r="K25" s="250">
        <f ca="1">SUMPRODUCT((TABELA_VAZAO[Posto]=K$2)*1,(TABELA_VAZAO[Data]=$A25)*1,TABELA_VAZAO[qinc])</f>
        <v>0</v>
      </c>
      <c r="L25" s="210">
        <f ca="1">SUMPRODUCT((TABELA_VAZAO[Posto]=L$2)*1,(TABELA_VAZAO[Data]=$A25)*1,TABELA_VAZAO[qnat])</f>
        <v>0</v>
      </c>
      <c r="M25" s="67" t="e">
        <f ca="1">INDEX(RESULTADOS!$A:$BA,MATCH($A25,RESULTADOS!$A:$A,0),MATCH(M$1,RESULTADOS!$1:$1,0))</f>
        <v>#N/A</v>
      </c>
      <c r="N25" s="250">
        <f ca="1">SUMPRODUCT((TABELA_VAZAO[Posto]=N$2)*1,(TABELA_VAZAO[Data]=$A25)*1,TABELA_VAZAO[qinc])</f>
        <v>0</v>
      </c>
      <c r="O25" s="210">
        <f ca="1">SUMPRODUCT((TABELA_VAZAO[Posto]=O$2)*1,(TABELA_VAZAO[Data]=$A25)*1,TABELA_VAZAO[qnat])</f>
        <v>0</v>
      </c>
      <c r="P25" s="250">
        <f ca="1">SUMPRODUCT((TABELA_VAZAO[Posto]=P$2)*1,(TABELA_VAZAO[Data]=$A25)*1,TABELA_VAZAO[qinc])</f>
        <v>0</v>
      </c>
      <c r="Q25" s="210">
        <f ca="1">SUMPRODUCT((TABELA_VAZAO[Posto]=Q$2)*1,(TABELA_VAZAO[Data]=$A25)*1,TABELA_VAZAO[qnat])</f>
        <v>0</v>
      </c>
      <c r="R25" s="250">
        <f ca="1">SUMPRODUCT((TABELA_VAZAO[Posto]=R$2)*1,(TABELA_VAZAO[Data]=$A25)*1,TABELA_VAZAO[qinc])</f>
        <v>0</v>
      </c>
      <c r="S25" s="210">
        <f ca="1">SUMPRODUCT((TABELA_VAZAO[Posto]=S$2)*1,(TABELA_VAZAO[Data]=$A25)*1,TABELA_VAZAO[qnat])</f>
        <v>0</v>
      </c>
      <c r="T25" s="250">
        <f ca="1">SUMPRODUCT((TABELA_VAZAO[Posto]=T$2)*1,(TABELA_VAZAO[Data]=$A25)*1,TABELA_VAZAO[qinc])</f>
        <v>0</v>
      </c>
      <c r="U25" s="210">
        <f ca="1">SUMPRODUCT((TABELA_VAZAO[Posto]=U$2)*1,(TABELA_VAZAO[Data]=$A25)*1,TABELA_VAZAO[qnat])</f>
        <v>0</v>
      </c>
      <c r="V25" s="250">
        <f ca="1">SUMPRODUCT((TABELA_VAZAO[Posto]=V$2)*1,(TABELA_VAZAO[Data]=$A25)*1,TABELA_VAZAO[qinc])</f>
        <v>0</v>
      </c>
      <c r="W25" s="210">
        <f ca="1">SUMPRODUCT((TABELA_VAZAO[Posto]=W$2)*1,(TABELA_VAZAO[Data]=$A25)*1,TABELA_VAZAO[qnat])</f>
        <v>0</v>
      </c>
      <c r="X25" s="8" t="e">
        <f t="shared" ca="1" si="4"/>
        <v>#N/A</v>
      </c>
      <c r="Y25" s="67" t="e">
        <f ca="1">INDEX(RESULTADOS!$A:$BA,MATCH($A25,RESULTADOS!$A:$A,0),MATCH(Y$1,RESULTADOS!$1:$1,0))</f>
        <v>#N/A</v>
      </c>
      <c r="Z25" s="250">
        <f ca="1">SUMPRODUCT((TABELA_VAZAO[Posto]=Z$2)*1,(TABELA_VAZAO[Data]=$A25)*1,TABELA_VAZAO[qinc])</f>
        <v>0</v>
      </c>
      <c r="AA25" s="210">
        <f ca="1">SUMPRODUCT((TABELA_VAZAO[Posto]=AA$2)*1,(TABELA_VAZAO[Data]=$A25)*1,TABELA_VAZAO[qnat])</f>
        <v>0</v>
      </c>
      <c r="AB25" s="8"/>
      <c r="AC25" s="67" t="e">
        <f ca="1">INDEX(RESULTADOS!$A:$BA,MATCH($A25,RESULTADOS!$A:$A,0),MATCH(AC$1,RESULTADOS!$1:$1,0))</f>
        <v>#N/A</v>
      </c>
      <c r="AD25" s="250">
        <f ca="1">SUMPRODUCT((TABELA_VAZAO[Posto]=AD$2)*1,(TABELA_VAZAO[Data]=$A25)*1,TABELA_VAZAO[qinc])</f>
        <v>0</v>
      </c>
      <c r="AE25" s="210">
        <f ca="1">SUMPRODUCT((TABELA_VAZAO[Posto]=AE$2)*1,(TABELA_VAZAO[Data]=$A25)*1,TABELA_VAZAO[qnat])</f>
        <v>0</v>
      </c>
      <c r="AF25" s="250">
        <f ca="1">SUMPRODUCT((TABELA_VAZAO[Posto]=AF$2)*1,(TABELA_VAZAO[Data]=$A25)*1,TABELA_VAZAO[qinc])</f>
        <v>0</v>
      </c>
      <c r="AG25" s="210">
        <f ca="1">SUMPRODUCT((TABELA_VAZAO[Posto]=AG$2)*1,(TABELA_VAZAO[Data]=$A25)*1,TABELA_VAZAO[qnat])</f>
        <v>0</v>
      </c>
      <c r="AH25" s="250">
        <f ca="1">SUMPRODUCT((TABELA_VAZAO[Posto]=AH$2)*1,(TABELA_VAZAO[Data]=$A25)*1,TABELA_VAZAO[qinc])</f>
        <v>0</v>
      </c>
      <c r="AI25" s="210">
        <f ca="1">SUMPRODUCT((TABELA_VAZAO[Posto]=AI$2)*1,(TABELA_VAZAO[Data]=$A25)*1,TABELA_VAZAO[qnat])</f>
        <v>0</v>
      </c>
      <c r="AJ25" s="67" t="e">
        <f ca="1">INDEX(RESULTADOS!$A:$BA,MATCH($A25,RESULTADOS!$A:$A,0),MATCH(AJ$1,RESULTADOS!$1:$1,0))</f>
        <v>#N/A</v>
      </c>
      <c r="AK25" s="67" t="e">
        <f ca="1">INDEX(RESULTADOS!$A:$BA,MATCH($A25,RESULTADOS!$A:$A,0),MATCH(AK$1,RESULTADOS!$1:$1,0))</f>
        <v>#N/A</v>
      </c>
      <c r="AL25" s="9" t="e">
        <f t="shared" ca="1" si="5"/>
        <v>#N/A</v>
      </c>
      <c r="AM25" s="250">
        <f ca="1">SUMPRODUCT((TABELA_VAZAO[Posto]=AM$2)*1,(TABELA_VAZAO[Data]=$A25)*1,TABELA_VAZAO[qinc])</f>
        <v>0</v>
      </c>
      <c r="AN25" s="210">
        <f ca="1">SUMPRODUCT((TABELA_VAZAO[Posto]=AN$2)*1,(TABELA_VAZAO[Data]=$A25)*1,TABELA_VAZAO[qnat])</f>
        <v>0</v>
      </c>
      <c r="AO25" s="250">
        <f ca="1">SUMPRODUCT((TABELA_VAZAO[Posto]=AO$2)*1,(TABELA_VAZAO[Data]=$A25)*1,TABELA_VAZAO[qinc])</f>
        <v>0</v>
      </c>
      <c r="AP25" s="210">
        <f ca="1">SUMPRODUCT((TABELA_VAZAO[Posto]=AP$2)*1,(TABELA_VAZAO[Data]=$A25)*1,TABELA_VAZAO[qnat])</f>
        <v>0</v>
      </c>
    </row>
    <row r="26" spans="1:42" x14ac:dyDescent="0.2">
      <c r="A26" s="7">
        <f t="shared" ca="1" si="2"/>
        <v>43825</v>
      </c>
      <c r="B26" s="250">
        <f ca="1">SUMPRODUCT((TABELA_VAZAO[Posto]=B$2)*1,(TABELA_VAZAO[Data]=$A26)*1,TABELA_VAZAO[qinc])</f>
        <v>0</v>
      </c>
      <c r="C26" s="210">
        <f ca="1">SUMPRODUCT((TABELA_VAZAO[Posto]=C$2)*1,(TABELA_VAZAO[Data]=$A26)*1,TABELA_VAZAO[qnat])</f>
        <v>0</v>
      </c>
      <c r="D26" s="250">
        <f ca="1">SUMPRODUCT((TABELA_VAZAO[Posto]=D$2)*1,(TABELA_VAZAO[Data]=$A26)*1,TABELA_VAZAO[qinc])</f>
        <v>0</v>
      </c>
      <c r="E26" s="52">
        <f t="shared" ca="1" si="3"/>
        <v>0</v>
      </c>
      <c r="F26" s="250">
        <f ca="1">SUMPRODUCT((TABELA_VAZAO[Posto]=F$2)*1,(TABELA_VAZAO[Data]=$A26)*1,TABELA_VAZAO[qinc])</f>
        <v>0</v>
      </c>
      <c r="G26" s="210">
        <f ca="1">SUMPRODUCT((TABELA_VAZAO[Posto]=G$2)*1,(TABELA_VAZAO[Data]=$A26)*1,TABELA_VAZAO[qnat])</f>
        <v>0</v>
      </c>
      <c r="H26" s="67" t="e">
        <f ca="1">INDEX(RESULTADOS!$A:$BA,MATCH($A26,RESULTADOS!$A:$A,0),MATCH(H$1,RESULTADOS!$1:$1,0))</f>
        <v>#N/A</v>
      </c>
      <c r="I26" s="67" t="e">
        <f ca="1">INDEX(RESULTADOS!$A:$BA,MATCH($A26,RESULTADOS!$A:$A,0),MATCH(I$1,RESULTADOS!$1:$1,0))</f>
        <v>#N/A</v>
      </c>
      <c r="J26" s="67" t="e">
        <f ca="1">INDEX(RESULTADOS!$A:$BA,MATCH($A26,RESULTADOS!$A:$A,0),MATCH(J$1,RESULTADOS!$1:$1,0))</f>
        <v>#N/A</v>
      </c>
      <c r="K26" s="250">
        <f ca="1">SUMPRODUCT((TABELA_VAZAO[Posto]=K$2)*1,(TABELA_VAZAO[Data]=$A26)*1,TABELA_VAZAO[qinc])</f>
        <v>0</v>
      </c>
      <c r="L26" s="210">
        <f ca="1">SUMPRODUCT((TABELA_VAZAO[Posto]=L$2)*1,(TABELA_VAZAO[Data]=$A26)*1,TABELA_VAZAO[qnat])</f>
        <v>0</v>
      </c>
      <c r="M26" s="67" t="e">
        <f ca="1">INDEX(RESULTADOS!$A:$BA,MATCH($A26,RESULTADOS!$A:$A,0),MATCH(M$1,RESULTADOS!$1:$1,0))</f>
        <v>#N/A</v>
      </c>
      <c r="N26" s="250">
        <f ca="1">SUMPRODUCT((TABELA_VAZAO[Posto]=N$2)*1,(TABELA_VAZAO[Data]=$A26)*1,TABELA_VAZAO[qinc])</f>
        <v>0</v>
      </c>
      <c r="O26" s="210">
        <f ca="1">SUMPRODUCT((TABELA_VAZAO[Posto]=O$2)*1,(TABELA_VAZAO[Data]=$A26)*1,TABELA_VAZAO[qnat])</f>
        <v>0</v>
      </c>
      <c r="P26" s="250">
        <f ca="1">SUMPRODUCT((TABELA_VAZAO[Posto]=P$2)*1,(TABELA_VAZAO[Data]=$A26)*1,TABELA_VAZAO[qinc])</f>
        <v>0</v>
      </c>
      <c r="Q26" s="210">
        <f ca="1">SUMPRODUCT((TABELA_VAZAO[Posto]=Q$2)*1,(TABELA_VAZAO[Data]=$A26)*1,TABELA_VAZAO[qnat])</f>
        <v>0</v>
      </c>
      <c r="R26" s="250">
        <f ca="1">SUMPRODUCT((TABELA_VAZAO[Posto]=R$2)*1,(TABELA_VAZAO[Data]=$A26)*1,TABELA_VAZAO[qinc])</f>
        <v>0</v>
      </c>
      <c r="S26" s="210">
        <f ca="1">SUMPRODUCT((TABELA_VAZAO[Posto]=S$2)*1,(TABELA_VAZAO[Data]=$A26)*1,TABELA_VAZAO[qnat])</f>
        <v>0</v>
      </c>
      <c r="T26" s="250">
        <f ca="1">SUMPRODUCT((TABELA_VAZAO[Posto]=T$2)*1,(TABELA_VAZAO[Data]=$A26)*1,TABELA_VAZAO[qinc])</f>
        <v>0</v>
      </c>
      <c r="U26" s="210">
        <f ca="1">SUMPRODUCT((TABELA_VAZAO[Posto]=U$2)*1,(TABELA_VAZAO[Data]=$A26)*1,TABELA_VAZAO[qnat])</f>
        <v>0</v>
      </c>
      <c r="V26" s="250">
        <f ca="1">SUMPRODUCT((TABELA_VAZAO[Posto]=V$2)*1,(TABELA_VAZAO[Data]=$A26)*1,TABELA_VAZAO[qinc])</f>
        <v>0</v>
      </c>
      <c r="W26" s="210">
        <f ca="1">SUMPRODUCT((TABELA_VAZAO[Posto]=W$2)*1,(TABELA_VAZAO[Data]=$A26)*1,TABELA_VAZAO[qnat])</f>
        <v>0</v>
      </c>
      <c r="X26" s="8" t="e">
        <f t="shared" ca="1" si="4"/>
        <v>#N/A</v>
      </c>
      <c r="Y26" s="67" t="e">
        <f ca="1">INDEX(RESULTADOS!$A:$BA,MATCH($A26,RESULTADOS!$A:$A,0),MATCH(Y$1,RESULTADOS!$1:$1,0))</f>
        <v>#N/A</v>
      </c>
      <c r="Z26" s="250">
        <f ca="1">SUMPRODUCT((TABELA_VAZAO[Posto]=Z$2)*1,(TABELA_VAZAO[Data]=$A26)*1,TABELA_VAZAO[qinc])</f>
        <v>0</v>
      </c>
      <c r="AA26" s="210">
        <f ca="1">SUMPRODUCT((TABELA_VAZAO[Posto]=AA$2)*1,(TABELA_VAZAO[Data]=$A26)*1,TABELA_VAZAO[qnat])</f>
        <v>0</v>
      </c>
      <c r="AB26" s="8"/>
      <c r="AC26" s="67" t="e">
        <f ca="1">INDEX(RESULTADOS!$A:$BA,MATCH($A26,RESULTADOS!$A:$A,0),MATCH(AC$1,RESULTADOS!$1:$1,0))</f>
        <v>#N/A</v>
      </c>
      <c r="AD26" s="250">
        <f ca="1">SUMPRODUCT((TABELA_VAZAO[Posto]=AD$2)*1,(TABELA_VAZAO[Data]=$A26)*1,TABELA_VAZAO[qinc])</f>
        <v>0</v>
      </c>
      <c r="AE26" s="210">
        <f ca="1">SUMPRODUCT((TABELA_VAZAO[Posto]=AE$2)*1,(TABELA_VAZAO[Data]=$A26)*1,TABELA_VAZAO[qnat])</f>
        <v>0</v>
      </c>
      <c r="AF26" s="250">
        <f ca="1">SUMPRODUCT((TABELA_VAZAO[Posto]=AF$2)*1,(TABELA_VAZAO[Data]=$A26)*1,TABELA_VAZAO[qinc])</f>
        <v>0</v>
      </c>
      <c r="AG26" s="210">
        <f ca="1">SUMPRODUCT((TABELA_VAZAO[Posto]=AG$2)*1,(TABELA_VAZAO[Data]=$A26)*1,TABELA_VAZAO[qnat])</f>
        <v>0</v>
      </c>
      <c r="AH26" s="250">
        <f ca="1">SUMPRODUCT((TABELA_VAZAO[Posto]=AH$2)*1,(TABELA_VAZAO[Data]=$A26)*1,TABELA_VAZAO[qinc])</f>
        <v>0</v>
      </c>
      <c r="AI26" s="210">
        <f ca="1">SUMPRODUCT((TABELA_VAZAO[Posto]=AI$2)*1,(TABELA_VAZAO[Data]=$A26)*1,TABELA_VAZAO[qnat])</f>
        <v>0</v>
      </c>
      <c r="AJ26" s="67" t="e">
        <f ca="1">INDEX(RESULTADOS!$A:$BA,MATCH($A26,RESULTADOS!$A:$A,0),MATCH(AJ$1,RESULTADOS!$1:$1,0))</f>
        <v>#N/A</v>
      </c>
      <c r="AK26" s="67" t="e">
        <f ca="1">INDEX(RESULTADOS!$A:$BA,MATCH($A26,RESULTADOS!$A:$A,0),MATCH(AK$1,RESULTADOS!$1:$1,0))</f>
        <v>#N/A</v>
      </c>
      <c r="AL26" s="9" t="e">
        <f t="shared" ca="1" si="5"/>
        <v>#N/A</v>
      </c>
      <c r="AM26" s="250">
        <f ca="1">SUMPRODUCT((TABELA_VAZAO[Posto]=AM$2)*1,(TABELA_VAZAO[Data]=$A26)*1,TABELA_VAZAO[qinc])</f>
        <v>0</v>
      </c>
      <c r="AN26" s="210">
        <f ca="1">SUMPRODUCT((TABELA_VAZAO[Posto]=AN$2)*1,(TABELA_VAZAO[Data]=$A26)*1,TABELA_VAZAO[qnat])</f>
        <v>0</v>
      </c>
      <c r="AO26" s="250">
        <f ca="1">SUMPRODUCT((TABELA_VAZAO[Posto]=AO$2)*1,(TABELA_VAZAO[Data]=$A26)*1,TABELA_VAZAO[qinc])</f>
        <v>0</v>
      </c>
      <c r="AP26" s="210">
        <f ca="1">SUMPRODUCT((TABELA_VAZAO[Posto]=AP$2)*1,(TABELA_VAZAO[Data]=$A26)*1,TABELA_VAZAO[qnat])</f>
        <v>0</v>
      </c>
    </row>
    <row r="27" spans="1:42" x14ac:dyDescent="0.2">
      <c r="A27" s="7">
        <f t="shared" ca="1" si="2"/>
        <v>43826</v>
      </c>
      <c r="B27" s="250">
        <f ca="1">SUMPRODUCT((TABELA_VAZAO[Posto]=B$2)*1,(TABELA_VAZAO[Data]=$A27)*1,TABELA_VAZAO[qinc])</f>
        <v>0</v>
      </c>
      <c r="C27" s="210">
        <f ca="1">SUMPRODUCT((TABELA_VAZAO[Posto]=C$2)*1,(TABELA_VAZAO[Data]=$A27)*1,TABELA_VAZAO[qnat])</f>
        <v>0</v>
      </c>
      <c r="D27" s="250">
        <f ca="1">SUMPRODUCT((TABELA_VAZAO[Posto]=D$2)*1,(TABELA_VAZAO[Data]=$A27)*1,TABELA_VAZAO[qinc])</f>
        <v>0</v>
      </c>
      <c r="E27" s="52">
        <f t="shared" ca="1" si="3"/>
        <v>0</v>
      </c>
      <c r="F27" s="250">
        <f ca="1">SUMPRODUCT((TABELA_VAZAO[Posto]=F$2)*1,(TABELA_VAZAO[Data]=$A27)*1,TABELA_VAZAO[qinc])</f>
        <v>0</v>
      </c>
      <c r="G27" s="210">
        <f ca="1">SUMPRODUCT((TABELA_VAZAO[Posto]=G$2)*1,(TABELA_VAZAO[Data]=$A27)*1,TABELA_VAZAO[qnat])</f>
        <v>0</v>
      </c>
      <c r="H27" s="67" t="e">
        <f ca="1">INDEX(RESULTADOS!$A:$BA,MATCH($A27,RESULTADOS!$A:$A,0),MATCH(H$1,RESULTADOS!$1:$1,0))</f>
        <v>#N/A</v>
      </c>
      <c r="I27" s="67" t="e">
        <f ca="1">INDEX(RESULTADOS!$A:$BA,MATCH($A27,RESULTADOS!$A:$A,0),MATCH(I$1,RESULTADOS!$1:$1,0))</f>
        <v>#N/A</v>
      </c>
      <c r="J27" s="67" t="e">
        <f ca="1">INDEX(RESULTADOS!$A:$BA,MATCH($A27,RESULTADOS!$A:$A,0),MATCH(J$1,RESULTADOS!$1:$1,0))</f>
        <v>#N/A</v>
      </c>
      <c r="K27" s="250">
        <f ca="1">SUMPRODUCT((TABELA_VAZAO[Posto]=K$2)*1,(TABELA_VAZAO[Data]=$A27)*1,TABELA_VAZAO[qinc])</f>
        <v>0</v>
      </c>
      <c r="L27" s="210">
        <f ca="1">SUMPRODUCT((TABELA_VAZAO[Posto]=L$2)*1,(TABELA_VAZAO[Data]=$A27)*1,TABELA_VAZAO[qnat])</f>
        <v>0</v>
      </c>
      <c r="M27" s="67" t="e">
        <f ca="1">INDEX(RESULTADOS!$A:$BA,MATCH($A27,RESULTADOS!$A:$A,0),MATCH(M$1,RESULTADOS!$1:$1,0))</f>
        <v>#N/A</v>
      </c>
      <c r="N27" s="250">
        <f ca="1">SUMPRODUCT((TABELA_VAZAO[Posto]=N$2)*1,(TABELA_VAZAO[Data]=$A27)*1,TABELA_VAZAO[qinc])</f>
        <v>0</v>
      </c>
      <c r="O27" s="210">
        <f ca="1">SUMPRODUCT((TABELA_VAZAO[Posto]=O$2)*1,(TABELA_VAZAO[Data]=$A27)*1,TABELA_VAZAO[qnat])</f>
        <v>0</v>
      </c>
      <c r="P27" s="250">
        <f ca="1">SUMPRODUCT((TABELA_VAZAO[Posto]=P$2)*1,(TABELA_VAZAO[Data]=$A27)*1,TABELA_VAZAO[qinc])</f>
        <v>0</v>
      </c>
      <c r="Q27" s="210">
        <f ca="1">SUMPRODUCT((TABELA_VAZAO[Posto]=Q$2)*1,(TABELA_VAZAO[Data]=$A27)*1,TABELA_VAZAO[qnat])</f>
        <v>0</v>
      </c>
      <c r="R27" s="250">
        <f ca="1">SUMPRODUCT((TABELA_VAZAO[Posto]=R$2)*1,(TABELA_VAZAO[Data]=$A27)*1,TABELA_VAZAO[qinc])</f>
        <v>0</v>
      </c>
      <c r="S27" s="210">
        <f ca="1">SUMPRODUCT((TABELA_VAZAO[Posto]=S$2)*1,(TABELA_VAZAO[Data]=$A27)*1,TABELA_VAZAO[qnat])</f>
        <v>0</v>
      </c>
      <c r="T27" s="250">
        <f ca="1">SUMPRODUCT((TABELA_VAZAO[Posto]=T$2)*1,(TABELA_VAZAO[Data]=$A27)*1,TABELA_VAZAO[qinc])</f>
        <v>0</v>
      </c>
      <c r="U27" s="210">
        <f ca="1">SUMPRODUCT((TABELA_VAZAO[Posto]=U$2)*1,(TABELA_VAZAO[Data]=$A27)*1,TABELA_VAZAO[qnat])</f>
        <v>0</v>
      </c>
      <c r="V27" s="250">
        <f ca="1">SUMPRODUCT((TABELA_VAZAO[Posto]=V$2)*1,(TABELA_VAZAO[Data]=$A27)*1,TABELA_VAZAO[qinc])</f>
        <v>0</v>
      </c>
      <c r="W27" s="210">
        <f ca="1">SUMPRODUCT((TABELA_VAZAO[Posto]=W$2)*1,(TABELA_VAZAO[Data]=$A27)*1,TABELA_VAZAO[qnat])</f>
        <v>0</v>
      </c>
      <c r="X27" s="8" t="e">
        <f t="shared" ca="1" si="4"/>
        <v>#N/A</v>
      </c>
      <c r="Y27" s="67" t="e">
        <f ca="1">INDEX(RESULTADOS!$A:$BA,MATCH($A27,RESULTADOS!$A:$A,0),MATCH(Y$1,RESULTADOS!$1:$1,0))</f>
        <v>#N/A</v>
      </c>
      <c r="Z27" s="250">
        <f ca="1">SUMPRODUCT((TABELA_VAZAO[Posto]=Z$2)*1,(TABELA_VAZAO[Data]=$A27)*1,TABELA_VAZAO[qinc])</f>
        <v>0</v>
      </c>
      <c r="AA27" s="210">
        <f ca="1">SUMPRODUCT((TABELA_VAZAO[Posto]=AA$2)*1,(TABELA_VAZAO[Data]=$A27)*1,TABELA_VAZAO[qnat])</f>
        <v>0</v>
      </c>
      <c r="AB27" s="8"/>
      <c r="AC27" s="67" t="e">
        <f ca="1">INDEX(RESULTADOS!$A:$BA,MATCH($A27,RESULTADOS!$A:$A,0),MATCH(AC$1,RESULTADOS!$1:$1,0))</f>
        <v>#N/A</v>
      </c>
      <c r="AD27" s="250">
        <f ca="1">SUMPRODUCT((TABELA_VAZAO[Posto]=AD$2)*1,(TABELA_VAZAO[Data]=$A27)*1,TABELA_VAZAO[qinc])</f>
        <v>0</v>
      </c>
      <c r="AE27" s="210">
        <f ca="1">SUMPRODUCT((TABELA_VAZAO[Posto]=AE$2)*1,(TABELA_VAZAO[Data]=$A27)*1,TABELA_VAZAO[qnat])</f>
        <v>0</v>
      </c>
      <c r="AF27" s="250">
        <f ca="1">SUMPRODUCT((TABELA_VAZAO[Posto]=AF$2)*1,(TABELA_VAZAO[Data]=$A27)*1,TABELA_VAZAO[qinc])</f>
        <v>0</v>
      </c>
      <c r="AG27" s="210">
        <f ca="1">SUMPRODUCT((TABELA_VAZAO[Posto]=AG$2)*1,(TABELA_VAZAO[Data]=$A27)*1,TABELA_VAZAO[qnat])</f>
        <v>0</v>
      </c>
      <c r="AH27" s="250">
        <f ca="1">SUMPRODUCT((TABELA_VAZAO[Posto]=AH$2)*1,(TABELA_VAZAO[Data]=$A27)*1,TABELA_VAZAO[qinc])</f>
        <v>0</v>
      </c>
      <c r="AI27" s="210">
        <f ca="1">SUMPRODUCT((TABELA_VAZAO[Posto]=AI$2)*1,(TABELA_VAZAO[Data]=$A27)*1,TABELA_VAZAO[qnat])</f>
        <v>0</v>
      </c>
      <c r="AJ27" s="67" t="e">
        <f ca="1">INDEX(RESULTADOS!$A:$BA,MATCH($A27,RESULTADOS!$A:$A,0),MATCH(AJ$1,RESULTADOS!$1:$1,0))</f>
        <v>#N/A</v>
      </c>
      <c r="AK27" s="67" t="e">
        <f ca="1">INDEX(RESULTADOS!$A:$BA,MATCH($A27,RESULTADOS!$A:$A,0),MATCH(AK$1,RESULTADOS!$1:$1,0))</f>
        <v>#N/A</v>
      </c>
      <c r="AL27" s="9" t="e">
        <f t="shared" ca="1" si="5"/>
        <v>#N/A</v>
      </c>
      <c r="AM27" s="250">
        <f ca="1">SUMPRODUCT((TABELA_VAZAO[Posto]=AM$2)*1,(TABELA_VAZAO[Data]=$A27)*1,TABELA_VAZAO[qinc])</f>
        <v>0</v>
      </c>
      <c r="AN27" s="210">
        <f ca="1">SUMPRODUCT((TABELA_VAZAO[Posto]=AN$2)*1,(TABELA_VAZAO[Data]=$A27)*1,TABELA_VAZAO[qnat])</f>
        <v>0</v>
      </c>
      <c r="AO27" s="250">
        <f ca="1">SUMPRODUCT((TABELA_VAZAO[Posto]=AO$2)*1,(TABELA_VAZAO[Data]=$A27)*1,TABELA_VAZAO[qinc])</f>
        <v>0</v>
      </c>
      <c r="AP27" s="210">
        <f ca="1">SUMPRODUCT((TABELA_VAZAO[Posto]=AP$2)*1,(TABELA_VAZAO[Data]=$A27)*1,TABELA_VAZAO[qnat])</f>
        <v>0</v>
      </c>
    </row>
    <row r="28" spans="1:42" x14ac:dyDescent="0.2">
      <c r="A28" s="7">
        <f t="shared" ca="1" si="2"/>
        <v>43827</v>
      </c>
      <c r="B28" s="250">
        <f ca="1">SUMPRODUCT((TABELA_VAZAO[Posto]=B$2)*1,(TABELA_VAZAO[Data]=$A28)*1,TABELA_VAZAO[qinc])</f>
        <v>116</v>
      </c>
      <c r="C28" s="210">
        <f ca="1">SUMPRODUCT((TABELA_VAZAO[Posto]=C$2)*1,(TABELA_VAZAO[Data]=$A28)*1,TABELA_VAZAO[qnat])</f>
        <v>116</v>
      </c>
      <c r="D28" s="250">
        <f ca="1">SUMPRODUCT((TABELA_VAZAO[Posto]=D$2)*1,(TABELA_VAZAO[Data]=$A28)*1,TABELA_VAZAO[qinc])</f>
        <v>0</v>
      </c>
      <c r="E28" s="52">
        <f t="shared" ca="1" si="3"/>
        <v>116</v>
      </c>
      <c r="F28" s="250">
        <f ca="1">SUMPRODUCT((TABELA_VAZAO[Posto]=F$2)*1,(TABELA_VAZAO[Data]=$A28)*1,TABELA_VAZAO[qinc])</f>
        <v>144</v>
      </c>
      <c r="G28" s="210">
        <f ca="1">SUMPRODUCT((TABELA_VAZAO[Posto]=G$2)*1,(TABELA_VAZAO[Data]=$A28)*1,TABELA_VAZAO[qnat])</f>
        <v>268</v>
      </c>
      <c r="H28" s="67" t="e">
        <f ca="1">INDEX(RESULTADOS!$A:$BA,MATCH($A28,RESULTADOS!$A:$A,0),MATCH(H$1,RESULTADOS!$1:$1,0))</f>
        <v>#N/A</v>
      </c>
      <c r="I28" s="67" t="e">
        <f ca="1">INDEX(RESULTADOS!$A:$BA,MATCH($A28,RESULTADOS!$A:$A,0),MATCH(I$1,RESULTADOS!$1:$1,0))</f>
        <v>#N/A</v>
      </c>
      <c r="J28" s="67" t="e">
        <f ca="1">INDEX(RESULTADOS!$A:$BA,MATCH($A28,RESULTADOS!$A:$A,0),MATCH(J$1,RESULTADOS!$1:$1,0))</f>
        <v>#N/A</v>
      </c>
      <c r="K28" s="250">
        <f ca="1">SUMPRODUCT((TABELA_VAZAO[Posto]=K$2)*1,(TABELA_VAZAO[Data]=$A28)*1,TABELA_VAZAO[qinc])</f>
        <v>467</v>
      </c>
      <c r="L28" s="210">
        <f ca="1">SUMPRODUCT((TABELA_VAZAO[Posto]=L$2)*1,(TABELA_VAZAO[Data]=$A28)*1,TABELA_VAZAO[qnat])</f>
        <v>813</v>
      </c>
      <c r="M28" s="67" t="e">
        <f ca="1">INDEX(RESULTADOS!$A:$BA,MATCH($A28,RESULTADOS!$A:$A,0),MATCH(M$1,RESULTADOS!$1:$1,0))</f>
        <v>#N/A</v>
      </c>
      <c r="N28" s="250">
        <f ca="1">SUMPRODUCT((TABELA_VAZAO[Posto]=N$2)*1,(TABELA_VAZAO[Data]=$A28)*1,TABELA_VAZAO[qinc])</f>
        <v>109</v>
      </c>
      <c r="O28" s="210">
        <f ca="1">SUMPRODUCT((TABELA_VAZAO[Posto]=O$2)*1,(TABELA_VAZAO[Data]=$A28)*1,TABELA_VAZAO[qnat])</f>
        <v>1036</v>
      </c>
      <c r="P28" s="250">
        <f ca="1">SUMPRODUCT((TABELA_VAZAO[Posto]=P$2)*1,(TABELA_VAZAO[Data]=$A28)*1,TABELA_VAZAO[qinc])</f>
        <v>25</v>
      </c>
      <c r="Q28" s="210">
        <f ca="1">SUMPRODUCT((TABELA_VAZAO[Posto]=Q$2)*1,(TABELA_VAZAO[Data]=$A28)*1,TABELA_VAZAO[qnat])</f>
        <v>1074</v>
      </c>
      <c r="R28" s="250">
        <f ca="1">SUMPRODUCT((TABELA_VAZAO[Posto]=R$2)*1,(TABELA_VAZAO[Data]=$A28)*1,TABELA_VAZAO[qinc])</f>
        <v>10</v>
      </c>
      <c r="S28" s="210">
        <f ca="1">SUMPRODUCT((TABELA_VAZAO[Posto]=S$2)*1,(TABELA_VAZAO[Data]=$A28)*1,TABELA_VAZAO[qnat])</f>
        <v>1087</v>
      </c>
      <c r="T28" s="250">
        <f ca="1">SUMPRODUCT((TABELA_VAZAO[Posto]=T$2)*1,(TABELA_VAZAO[Data]=$A28)*1,TABELA_VAZAO[qinc])</f>
        <v>30</v>
      </c>
      <c r="U28" s="210">
        <f ca="1">SUMPRODUCT((TABELA_VAZAO[Posto]=U$2)*1,(TABELA_VAZAO[Data]=$A28)*1,TABELA_VAZAO[qnat])</f>
        <v>1113</v>
      </c>
      <c r="V28" s="250">
        <f ca="1">SUMPRODUCT((TABELA_VAZAO[Posto]=V$2)*1,(TABELA_VAZAO[Data]=$A28)*1,TABELA_VAZAO[qinc])</f>
        <v>66</v>
      </c>
      <c r="W28" s="210">
        <f ca="1">SUMPRODUCT((TABELA_VAZAO[Posto]=W$2)*1,(TABELA_VAZAO[Data]=$A28)*1,TABELA_VAZAO[qnat])</f>
        <v>1158</v>
      </c>
      <c r="X28" s="8" t="e">
        <f t="shared" ca="1" si="4"/>
        <v>#N/A</v>
      </c>
      <c r="Y28" s="67" t="e">
        <f ca="1">INDEX(RESULTADOS!$A:$BA,MATCH($A28,RESULTADOS!$A:$A,0),MATCH(Y$1,RESULTADOS!$1:$1,0))</f>
        <v>#N/A</v>
      </c>
      <c r="Z28" s="250">
        <f ca="1">SUMPRODUCT((TABELA_VAZAO[Posto]=Z$2)*1,(TABELA_VAZAO[Data]=$A28)*1,TABELA_VAZAO[qinc])</f>
        <v>114</v>
      </c>
      <c r="AA28" s="210">
        <f ca="1">SUMPRODUCT((TABELA_VAZAO[Posto]=AA$2)*1,(TABELA_VAZAO[Data]=$A28)*1,TABELA_VAZAO[qnat])</f>
        <v>1245</v>
      </c>
      <c r="AB28" s="8"/>
      <c r="AC28" s="67" t="e">
        <f ca="1">INDEX(RESULTADOS!$A:$BA,MATCH($A28,RESULTADOS!$A:$A,0),MATCH(AC$1,RESULTADOS!$1:$1,0))</f>
        <v>#N/A</v>
      </c>
      <c r="AD28" s="250">
        <f ca="1">SUMPRODUCT((TABELA_VAZAO[Posto]=AD$2)*1,(TABELA_VAZAO[Data]=$A28)*1,TABELA_VAZAO[qinc])</f>
        <v>29</v>
      </c>
      <c r="AE28" s="210">
        <f ca="1">SUMPRODUCT((TABELA_VAZAO[Posto]=AE$2)*1,(TABELA_VAZAO[Data]=$A28)*1,TABELA_VAZAO[qnat])</f>
        <v>29</v>
      </c>
      <c r="AF28" s="250">
        <f ca="1">SUMPRODUCT((TABELA_VAZAO[Posto]=AF$2)*1,(TABELA_VAZAO[Data]=$A28)*1,TABELA_VAZAO[qinc])</f>
        <v>19</v>
      </c>
      <c r="AG28" s="210">
        <f ca="1">SUMPRODUCT((TABELA_VAZAO[Posto]=AG$2)*1,(TABELA_VAZAO[Data]=$A28)*1,TABELA_VAZAO[qnat])</f>
        <v>51</v>
      </c>
      <c r="AH28" s="250">
        <f ca="1">SUMPRODUCT((TABELA_VAZAO[Posto]=AH$2)*1,(TABELA_VAZAO[Data]=$A28)*1,TABELA_VAZAO[qinc])</f>
        <v>1</v>
      </c>
      <c r="AI28" s="210">
        <f ca="1">SUMPRODUCT((TABELA_VAZAO[Posto]=AI$2)*1,(TABELA_VAZAO[Data]=$A28)*1,TABELA_VAZAO[qnat])</f>
        <v>53</v>
      </c>
      <c r="AJ28" s="67" t="e">
        <f ca="1">INDEX(RESULTADOS!$A:$BA,MATCH($A28,RESULTADOS!$A:$A,0),MATCH(AJ$1,RESULTADOS!$1:$1,0))</f>
        <v>#N/A</v>
      </c>
      <c r="AK28" s="67" t="e">
        <f ca="1">INDEX(RESULTADOS!$A:$BA,MATCH($A28,RESULTADOS!$A:$A,0),MATCH(AK$1,RESULTADOS!$1:$1,0))</f>
        <v>#N/A</v>
      </c>
      <c r="AL28" s="9" t="e">
        <f t="shared" ca="1" si="5"/>
        <v>#N/A</v>
      </c>
      <c r="AM28" s="250">
        <f ca="1">SUMPRODUCT((TABELA_VAZAO[Posto]=AM$2)*1,(TABELA_VAZAO[Data]=$A28)*1,TABELA_VAZAO[qinc])</f>
        <v>271</v>
      </c>
      <c r="AN28" s="210">
        <f ca="1">SUMPRODUCT((TABELA_VAZAO[Posto]=AN$2)*1,(TABELA_VAZAO[Data]=$A28)*1,TABELA_VAZAO[qnat])</f>
        <v>1545</v>
      </c>
      <c r="AO28" s="250">
        <f ca="1">SUMPRODUCT((TABELA_VAZAO[Posto]=AO$2)*1,(TABELA_VAZAO[Data]=$A28)*1,TABELA_VAZAO[qinc])</f>
        <v>466</v>
      </c>
      <c r="AP28" s="210">
        <f ca="1">SUMPRODUCT((TABELA_VAZAO[Posto]=AP$2)*1,(TABELA_VAZAO[Data]=$A28)*1,TABELA_VAZAO[qnat])</f>
        <v>1957</v>
      </c>
    </row>
    <row r="29" spans="1:42" x14ac:dyDescent="0.2">
      <c r="A29" s="7">
        <f t="shared" ca="1" si="2"/>
        <v>43828</v>
      </c>
      <c r="B29" s="250">
        <f ca="1">SUMPRODUCT((TABELA_VAZAO[Posto]=B$2)*1,(TABELA_VAZAO[Data]=$A29)*1,TABELA_VAZAO[qinc])</f>
        <v>108</v>
      </c>
      <c r="C29" s="210">
        <f ca="1">SUMPRODUCT((TABELA_VAZAO[Posto]=C$2)*1,(TABELA_VAZAO[Data]=$A29)*1,TABELA_VAZAO[qnat])</f>
        <v>108</v>
      </c>
      <c r="D29" s="250">
        <f ca="1">SUMPRODUCT((TABELA_VAZAO[Posto]=D$2)*1,(TABELA_VAZAO[Data]=$A29)*1,TABELA_VAZAO[qinc])</f>
        <v>0</v>
      </c>
      <c r="E29" s="52">
        <f t="shared" ca="1" si="3"/>
        <v>108</v>
      </c>
      <c r="F29" s="250">
        <f ca="1">SUMPRODUCT((TABELA_VAZAO[Posto]=F$2)*1,(TABELA_VAZAO[Data]=$A29)*1,TABELA_VAZAO[qinc])</f>
        <v>116</v>
      </c>
      <c r="G29" s="210">
        <f ca="1">SUMPRODUCT((TABELA_VAZAO[Posto]=G$2)*1,(TABELA_VAZAO[Data]=$A29)*1,TABELA_VAZAO[qnat])</f>
        <v>228</v>
      </c>
      <c r="H29" s="67" t="e">
        <f ca="1">INDEX(RESULTADOS!$A:$BA,MATCH($A29,RESULTADOS!$A:$A,0),MATCH(H$1,RESULTADOS!$1:$1,0))</f>
        <v>#N/A</v>
      </c>
      <c r="I29" s="67" t="e">
        <f ca="1">INDEX(RESULTADOS!$A:$BA,MATCH($A29,RESULTADOS!$A:$A,0),MATCH(I$1,RESULTADOS!$1:$1,0))</f>
        <v>#N/A</v>
      </c>
      <c r="J29" s="67" t="e">
        <f ca="1">INDEX(RESULTADOS!$A:$BA,MATCH($A29,RESULTADOS!$A:$A,0),MATCH(J$1,RESULTADOS!$1:$1,0))</f>
        <v>#N/A</v>
      </c>
      <c r="K29" s="250">
        <f ca="1">SUMPRODUCT((TABELA_VAZAO[Posto]=K$2)*1,(TABELA_VAZAO[Data]=$A29)*1,TABELA_VAZAO[qinc])</f>
        <v>388</v>
      </c>
      <c r="L29" s="210">
        <f ca="1">SUMPRODUCT((TABELA_VAZAO[Posto]=L$2)*1,(TABELA_VAZAO[Data]=$A29)*1,TABELA_VAZAO[qnat])</f>
        <v>688</v>
      </c>
      <c r="M29" s="67" t="e">
        <f ca="1">INDEX(RESULTADOS!$A:$BA,MATCH($A29,RESULTADOS!$A:$A,0),MATCH(M$1,RESULTADOS!$1:$1,0))</f>
        <v>#N/A</v>
      </c>
      <c r="N29" s="250">
        <f ca="1">SUMPRODUCT((TABELA_VAZAO[Posto]=N$2)*1,(TABELA_VAZAO[Data]=$A29)*1,TABELA_VAZAO[qinc])</f>
        <v>101</v>
      </c>
      <c r="O29" s="210">
        <f ca="1">SUMPRODUCT((TABELA_VAZAO[Posto]=O$2)*1,(TABELA_VAZAO[Data]=$A29)*1,TABELA_VAZAO[qnat])</f>
        <v>909</v>
      </c>
      <c r="P29" s="250">
        <f ca="1">SUMPRODUCT((TABELA_VAZAO[Posto]=P$2)*1,(TABELA_VAZAO[Data]=$A29)*1,TABELA_VAZAO[qinc])</f>
        <v>23</v>
      </c>
      <c r="Q29" s="210">
        <f ca="1">SUMPRODUCT((TABELA_VAZAO[Posto]=Q$2)*1,(TABELA_VAZAO[Data]=$A29)*1,TABELA_VAZAO[qnat])</f>
        <v>970</v>
      </c>
      <c r="R29" s="250">
        <f ca="1">SUMPRODUCT((TABELA_VAZAO[Posto]=R$2)*1,(TABELA_VAZAO[Data]=$A29)*1,TABELA_VAZAO[qinc])</f>
        <v>10</v>
      </c>
      <c r="S29" s="210">
        <f ca="1">SUMPRODUCT((TABELA_VAZAO[Posto]=S$2)*1,(TABELA_VAZAO[Data]=$A29)*1,TABELA_VAZAO[qnat])</f>
        <v>1001</v>
      </c>
      <c r="T29" s="250">
        <f ca="1">SUMPRODUCT((TABELA_VAZAO[Posto]=T$2)*1,(TABELA_VAZAO[Data]=$A29)*1,TABELA_VAZAO[qinc])</f>
        <v>28</v>
      </c>
      <c r="U29" s="210">
        <f ca="1">SUMPRODUCT((TABELA_VAZAO[Posto]=U$2)*1,(TABELA_VAZAO[Data]=$A29)*1,TABELA_VAZAO[qnat])</f>
        <v>1065</v>
      </c>
      <c r="V29" s="250">
        <f ca="1">SUMPRODUCT((TABELA_VAZAO[Posto]=V$2)*1,(TABELA_VAZAO[Data]=$A29)*1,TABELA_VAZAO[qinc])</f>
        <v>62</v>
      </c>
      <c r="W29" s="210">
        <f ca="1">SUMPRODUCT((TABELA_VAZAO[Posto]=W$2)*1,(TABELA_VAZAO[Data]=$A29)*1,TABELA_VAZAO[qnat])</f>
        <v>1151</v>
      </c>
      <c r="X29" s="8" t="e">
        <f t="shared" ca="1" si="4"/>
        <v>#N/A</v>
      </c>
      <c r="Y29" s="67" t="e">
        <f ca="1">INDEX(RESULTADOS!$A:$BA,MATCH($A29,RESULTADOS!$A:$A,0),MATCH(Y$1,RESULTADOS!$1:$1,0))</f>
        <v>#N/A</v>
      </c>
      <c r="Z29" s="250">
        <f ca="1">SUMPRODUCT((TABELA_VAZAO[Posto]=Z$2)*1,(TABELA_VAZAO[Data]=$A29)*1,TABELA_VAZAO[qinc])</f>
        <v>107</v>
      </c>
      <c r="AA29" s="210">
        <f ca="1">SUMPRODUCT((TABELA_VAZAO[Posto]=AA$2)*1,(TABELA_VAZAO[Data]=$A29)*1,TABELA_VAZAO[qnat])</f>
        <v>1261</v>
      </c>
      <c r="AB29" s="8"/>
      <c r="AC29" s="67" t="e">
        <f ca="1">INDEX(RESULTADOS!$A:$BA,MATCH($A29,RESULTADOS!$A:$A,0),MATCH(AC$1,RESULTADOS!$1:$1,0))</f>
        <v>#N/A</v>
      </c>
      <c r="AD29" s="250">
        <f ca="1">SUMPRODUCT((TABELA_VAZAO[Posto]=AD$2)*1,(TABELA_VAZAO[Data]=$A29)*1,TABELA_VAZAO[qinc])</f>
        <v>28</v>
      </c>
      <c r="AE29" s="210">
        <f ca="1">SUMPRODUCT((TABELA_VAZAO[Posto]=AE$2)*1,(TABELA_VAZAO[Data]=$A29)*1,TABELA_VAZAO[qnat])</f>
        <v>28</v>
      </c>
      <c r="AF29" s="250">
        <f ca="1">SUMPRODUCT((TABELA_VAZAO[Posto]=AF$2)*1,(TABELA_VAZAO[Data]=$A29)*1,TABELA_VAZAO[qinc])</f>
        <v>17</v>
      </c>
      <c r="AG29" s="210">
        <f ca="1">SUMPRODUCT((TABELA_VAZAO[Posto]=AG$2)*1,(TABELA_VAZAO[Data]=$A29)*1,TABELA_VAZAO[qnat])</f>
        <v>46</v>
      </c>
      <c r="AH29" s="250">
        <f ca="1">SUMPRODUCT((TABELA_VAZAO[Posto]=AH$2)*1,(TABELA_VAZAO[Data]=$A29)*1,TABELA_VAZAO[qinc])</f>
        <v>1</v>
      </c>
      <c r="AI29" s="210">
        <f ca="1">SUMPRODUCT((TABELA_VAZAO[Posto]=AI$2)*1,(TABELA_VAZAO[Data]=$A29)*1,TABELA_VAZAO[qnat])</f>
        <v>47</v>
      </c>
      <c r="AJ29" s="67" t="e">
        <f ca="1">INDEX(RESULTADOS!$A:$BA,MATCH($A29,RESULTADOS!$A:$A,0),MATCH(AJ$1,RESULTADOS!$1:$1,0))</f>
        <v>#N/A</v>
      </c>
      <c r="AK29" s="67" t="e">
        <f ca="1">INDEX(RESULTADOS!$A:$BA,MATCH($A29,RESULTADOS!$A:$A,0),MATCH(AK$1,RESULTADOS!$1:$1,0))</f>
        <v>#N/A</v>
      </c>
      <c r="AL29" s="9" t="e">
        <f t="shared" ca="1" si="5"/>
        <v>#N/A</v>
      </c>
      <c r="AM29" s="250">
        <f ca="1">SUMPRODUCT((TABELA_VAZAO[Posto]=AM$2)*1,(TABELA_VAZAO[Data]=$A29)*1,TABELA_VAZAO[qinc])</f>
        <v>253</v>
      </c>
      <c r="AN29" s="210">
        <f ca="1">SUMPRODUCT((TABELA_VAZAO[Posto]=AN$2)*1,(TABELA_VAZAO[Data]=$A29)*1,TABELA_VAZAO[qnat])</f>
        <v>1575</v>
      </c>
      <c r="AO29" s="250">
        <f ca="1">SUMPRODUCT((TABELA_VAZAO[Posto]=AO$2)*1,(TABELA_VAZAO[Data]=$A29)*1,TABELA_VAZAO[qinc])</f>
        <v>404</v>
      </c>
      <c r="AP29" s="210">
        <f ca="1">SUMPRODUCT((TABELA_VAZAO[Posto]=AP$2)*1,(TABELA_VAZAO[Data]=$A29)*1,TABELA_VAZAO[qnat])</f>
        <v>1941</v>
      </c>
    </row>
    <row r="30" spans="1:42" x14ac:dyDescent="0.2">
      <c r="A30" s="7">
        <f t="shared" ca="1" si="2"/>
        <v>43829</v>
      </c>
      <c r="B30" s="250">
        <f ca="1">SUMPRODUCT((TABELA_VAZAO[Posto]=B$2)*1,(TABELA_VAZAO[Data]=$A30)*1,TABELA_VAZAO[qinc])</f>
        <v>99</v>
      </c>
      <c r="C30" s="210">
        <f ca="1">SUMPRODUCT((TABELA_VAZAO[Posto]=C$2)*1,(TABELA_VAZAO[Data]=$A30)*1,TABELA_VAZAO[qnat])</f>
        <v>99</v>
      </c>
      <c r="D30" s="250">
        <f ca="1">SUMPRODUCT((TABELA_VAZAO[Posto]=D$2)*1,(TABELA_VAZAO[Data]=$A30)*1,TABELA_VAZAO[qinc])</f>
        <v>0</v>
      </c>
      <c r="E30" s="52">
        <f t="shared" ca="1" si="3"/>
        <v>99</v>
      </c>
      <c r="F30" s="250">
        <f ca="1">SUMPRODUCT((TABELA_VAZAO[Posto]=F$2)*1,(TABELA_VAZAO[Data]=$A30)*1,TABELA_VAZAO[qinc])</f>
        <v>104</v>
      </c>
      <c r="G30" s="210">
        <f ca="1">SUMPRODUCT((TABELA_VAZAO[Posto]=G$2)*1,(TABELA_VAZAO[Data]=$A30)*1,TABELA_VAZAO[qnat])</f>
        <v>207</v>
      </c>
      <c r="H30" s="67" t="e">
        <f ca="1">INDEX(RESULTADOS!$A:$BA,MATCH($A30,RESULTADOS!$A:$A,0),MATCH(H$1,RESULTADOS!$1:$1,0))</f>
        <v>#N/A</v>
      </c>
      <c r="I30" s="67" t="e">
        <f ca="1">INDEX(RESULTADOS!$A:$BA,MATCH($A30,RESULTADOS!$A:$A,0),MATCH(I$1,RESULTADOS!$1:$1,0))</f>
        <v>#N/A</v>
      </c>
      <c r="J30" s="67" t="e">
        <f ca="1">INDEX(RESULTADOS!$A:$BA,MATCH($A30,RESULTADOS!$A:$A,0),MATCH(J$1,RESULTADOS!$1:$1,0))</f>
        <v>#N/A</v>
      </c>
      <c r="K30" s="250">
        <f ca="1">SUMPRODUCT((TABELA_VAZAO[Posto]=K$2)*1,(TABELA_VAZAO[Data]=$A30)*1,TABELA_VAZAO[qinc])</f>
        <v>344</v>
      </c>
      <c r="L30" s="210">
        <f ca="1">SUMPRODUCT((TABELA_VAZAO[Posto]=L$2)*1,(TABELA_VAZAO[Data]=$A30)*1,TABELA_VAZAO[qnat])</f>
        <v>592</v>
      </c>
      <c r="M30" s="67" t="e">
        <f ca="1">INDEX(RESULTADOS!$A:$BA,MATCH($A30,RESULTADOS!$A:$A,0),MATCH(M$1,RESULTADOS!$1:$1,0))</f>
        <v>#N/A</v>
      </c>
      <c r="N30" s="250">
        <f ca="1">SUMPRODUCT((TABELA_VAZAO[Posto]=N$2)*1,(TABELA_VAZAO[Data]=$A30)*1,TABELA_VAZAO[qinc])</f>
        <v>93</v>
      </c>
      <c r="O30" s="210">
        <f ca="1">SUMPRODUCT((TABELA_VAZAO[Posto]=O$2)*1,(TABELA_VAZAO[Data]=$A30)*1,TABELA_VAZAO[qnat])</f>
        <v>777</v>
      </c>
      <c r="P30" s="250">
        <f ca="1">SUMPRODUCT((TABELA_VAZAO[Posto]=P$2)*1,(TABELA_VAZAO[Data]=$A30)*1,TABELA_VAZAO[qinc])</f>
        <v>21</v>
      </c>
      <c r="Q30" s="210">
        <f ca="1">SUMPRODUCT((TABELA_VAZAO[Posto]=Q$2)*1,(TABELA_VAZAO[Data]=$A30)*1,TABELA_VAZAO[qnat])</f>
        <v>837</v>
      </c>
      <c r="R30" s="250">
        <f ca="1">SUMPRODUCT((TABELA_VAZAO[Posto]=R$2)*1,(TABELA_VAZAO[Data]=$A30)*1,TABELA_VAZAO[qinc])</f>
        <v>9</v>
      </c>
      <c r="S30" s="210">
        <f ca="1">SUMPRODUCT((TABELA_VAZAO[Posto]=S$2)*1,(TABELA_VAZAO[Data]=$A30)*1,TABELA_VAZAO[qnat])</f>
        <v>874</v>
      </c>
      <c r="T30" s="250">
        <f ca="1">SUMPRODUCT((TABELA_VAZAO[Posto]=T$2)*1,(TABELA_VAZAO[Data]=$A30)*1,TABELA_VAZAO[qinc])</f>
        <v>25</v>
      </c>
      <c r="U30" s="210">
        <f ca="1">SUMPRODUCT((TABELA_VAZAO[Posto]=U$2)*1,(TABELA_VAZAO[Data]=$A30)*1,TABELA_VAZAO[qnat])</f>
        <v>952</v>
      </c>
      <c r="V30" s="250">
        <f ca="1">SUMPRODUCT((TABELA_VAZAO[Posto]=V$2)*1,(TABELA_VAZAO[Data]=$A30)*1,TABELA_VAZAO[qinc])</f>
        <v>57</v>
      </c>
      <c r="W30" s="210">
        <f ca="1">SUMPRODUCT((TABELA_VAZAO[Posto]=W$2)*1,(TABELA_VAZAO[Data]=$A30)*1,TABELA_VAZAO[qnat])</f>
        <v>1065</v>
      </c>
      <c r="X30" s="8" t="e">
        <f t="shared" ca="1" si="4"/>
        <v>#N/A</v>
      </c>
      <c r="Y30" s="67" t="e">
        <f ca="1">INDEX(RESULTADOS!$A:$BA,MATCH($A30,RESULTADOS!$A:$A,0),MATCH(Y$1,RESULTADOS!$1:$1,0))</f>
        <v>#N/A</v>
      </c>
      <c r="Z30" s="250">
        <f ca="1">SUMPRODUCT((TABELA_VAZAO[Posto]=Z$2)*1,(TABELA_VAZAO[Data]=$A30)*1,TABELA_VAZAO[qinc])</f>
        <v>97</v>
      </c>
      <c r="AA30" s="210">
        <f ca="1">SUMPRODUCT((TABELA_VAZAO[Posto]=AA$2)*1,(TABELA_VAZAO[Data]=$A30)*1,TABELA_VAZAO[qnat])</f>
        <v>1201</v>
      </c>
      <c r="AB30" s="8"/>
      <c r="AC30" s="67" t="e">
        <f ca="1">INDEX(RESULTADOS!$A:$BA,MATCH($A30,RESULTADOS!$A:$A,0),MATCH(AC$1,RESULTADOS!$1:$1,0))</f>
        <v>#N/A</v>
      </c>
      <c r="AD30" s="250">
        <f ca="1">SUMPRODUCT((TABELA_VAZAO[Posto]=AD$2)*1,(TABELA_VAZAO[Data]=$A30)*1,TABELA_VAZAO[qinc])</f>
        <v>27</v>
      </c>
      <c r="AE30" s="210">
        <f ca="1">SUMPRODUCT((TABELA_VAZAO[Posto]=AE$2)*1,(TABELA_VAZAO[Data]=$A30)*1,TABELA_VAZAO[qnat])</f>
        <v>27</v>
      </c>
      <c r="AF30" s="250">
        <f ca="1">SUMPRODUCT((TABELA_VAZAO[Posto]=AF$2)*1,(TABELA_VAZAO[Data]=$A30)*1,TABELA_VAZAO[qinc])</f>
        <v>17</v>
      </c>
      <c r="AG30" s="210">
        <f ca="1">SUMPRODUCT((TABELA_VAZAO[Posto]=AG$2)*1,(TABELA_VAZAO[Data]=$A30)*1,TABELA_VAZAO[qnat])</f>
        <v>44</v>
      </c>
      <c r="AH30" s="250">
        <f ca="1">SUMPRODUCT((TABELA_VAZAO[Posto]=AH$2)*1,(TABELA_VAZAO[Data]=$A30)*1,TABELA_VAZAO[qinc])</f>
        <v>1</v>
      </c>
      <c r="AI30" s="210">
        <f ca="1">SUMPRODUCT((TABELA_VAZAO[Posto]=AI$2)*1,(TABELA_VAZAO[Data]=$A30)*1,TABELA_VAZAO[qnat])</f>
        <v>45</v>
      </c>
      <c r="AJ30" s="67" t="e">
        <f ca="1">INDEX(RESULTADOS!$A:$BA,MATCH($A30,RESULTADOS!$A:$A,0),MATCH(AJ$1,RESULTADOS!$1:$1,0))</f>
        <v>#N/A</v>
      </c>
      <c r="AK30" s="67" t="e">
        <f ca="1">INDEX(RESULTADOS!$A:$BA,MATCH($A30,RESULTADOS!$A:$A,0),MATCH(AK$1,RESULTADOS!$1:$1,0))</f>
        <v>#N/A</v>
      </c>
      <c r="AL30" s="9" t="e">
        <f t="shared" ca="1" si="5"/>
        <v>#N/A</v>
      </c>
      <c r="AM30" s="250">
        <f ca="1">SUMPRODUCT((TABELA_VAZAO[Posto]=AM$2)*1,(TABELA_VAZAO[Data]=$A30)*1,TABELA_VAZAO[qinc])</f>
        <v>235</v>
      </c>
      <c r="AN30" s="210">
        <f ca="1">SUMPRODUCT((TABELA_VAZAO[Posto]=AN$2)*1,(TABELA_VAZAO[Data]=$A30)*1,TABELA_VAZAO[qnat])</f>
        <v>1550</v>
      </c>
      <c r="AO30" s="250">
        <f ca="1">SUMPRODUCT((TABELA_VAZAO[Posto]=AO$2)*1,(TABELA_VAZAO[Data]=$A30)*1,TABELA_VAZAO[qinc])</f>
        <v>346</v>
      </c>
      <c r="AP30" s="210">
        <f ca="1">SUMPRODUCT((TABELA_VAZAO[Posto]=AP$2)*1,(TABELA_VAZAO[Data]=$A30)*1,TABELA_VAZAO[qnat])</f>
        <v>1916</v>
      </c>
    </row>
    <row r="31" spans="1:42" x14ac:dyDescent="0.2">
      <c r="A31" s="7">
        <f t="shared" ca="1" si="2"/>
        <v>43830</v>
      </c>
      <c r="B31" s="250">
        <f ca="1">SUMPRODUCT((TABELA_VAZAO[Posto]=B$2)*1,(TABELA_VAZAO[Data]=$A31)*1,TABELA_VAZAO[qinc])</f>
        <v>89</v>
      </c>
      <c r="C31" s="210">
        <f ca="1">SUMPRODUCT((TABELA_VAZAO[Posto]=C$2)*1,(TABELA_VAZAO[Data]=$A31)*1,TABELA_VAZAO[qnat])</f>
        <v>89</v>
      </c>
      <c r="D31" s="250">
        <f ca="1">SUMPRODUCT((TABELA_VAZAO[Posto]=D$2)*1,(TABELA_VAZAO[Data]=$A31)*1,TABELA_VAZAO[qinc])</f>
        <v>0</v>
      </c>
      <c r="E31" s="52">
        <f t="shared" ca="1" si="3"/>
        <v>89</v>
      </c>
      <c r="F31" s="250">
        <f ca="1">SUMPRODUCT((TABELA_VAZAO[Posto]=F$2)*1,(TABELA_VAZAO[Data]=$A31)*1,TABELA_VAZAO[qinc])</f>
        <v>95</v>
      </c>
      <c r="G31" s="210">
        <f ca="1">SUMPRODUCT((TABELA_VAZAO[Posto]=G$2)*1,(TABELA_VAZAO[Data]=$A31)*1,TABELA_VAZAO[qnat])</f>
        <v>189</v>
      </c>
      <c r="H31" s="67" t="e">
        <f ca="1">INDEX(RESULTADOS!$A:$BA,MATCH($A31,RESULTADOS!$A:$A,0),MATCH(H$1,RESULTADOS!$1:$1,0))</f>
        <v>#N/A</v>
      </c>
      <c r="I31" s="67" t="e">
        <f ca="1">INDEX(RESULTADOS!$A:$BA,MATCH($A31,RESULTADOS!$A:$A,0),MATCH(I$1,RESULTADOS!$1:$1,0))</f>
        <v>#N/A</v>
      </c>
      <c r="J31" s="67" t="e">
        <f ca="1">INDEX(RESULTADOS!$A:$BA,MATCH($A31,RESULTADOS!$A:$A,0),MATCH(J$1,RESULTADOS!$1:$1,0))</f>
        <v>#N/A</v>
      </c>
      <c r="K31" s="250">
        <f ca="1">SUMPRODUCT((TABELA_VAZAO[Posto]=K$2)*1,(TABELA_VAZAO[Data]=$A31)*1,TABELA_VAZAO[qinc])</f>
        <v>315</v>
      </c>
      <c r="L31" s="210">
        <f ca="1">SUMPRODUCT((TABELA_VAZAO[Posto]=L$2)*1,(TABELA_VAZAO[Data]=$A31)*1,TABELA_VAZAO[qnat])</f>
        <v>533</v>
      </c>
      <c r="M31" s="67" t="e">
        <f ca="1">INDEX(RESULTADOS!$A:$BA,MATCH($A31,RESULTADOS!$A:$A,0),MATCH(M$1,RESULTADOS!$1:$1,0))</f>
        <v>#N/A</v>
      </c>
      <c r="N31" s="250">
        <f ca="1">SUMPRODUCT((TABELA_VAZAO[Posto]=N$2)*1,(TABELA_VAZAO[Data]=$A31)*1,TABELA_VAZAO[qinc])</f>
        <v>90</v>
      </c>
      <c r="O31" s="210">
        <f ca="1">SUMPRODUCT((TABELA_VAZAO[Posto]=O$2)*1,(TABELA_VAZAO[Data]=$A31)*1,TABELA_VAZAO[qnat])</f>
        <v>680</v>
      </c>
      <c r="P31" s="250">
        <f ca="1">SUMPRODUCT((TABELA_VAZAO[Posto]=P$2)*1,(TABELA_VAZAO[Data]=$A31)*1,TABELA_VAZAO[qinc])</f>
        <v>21</v>
      </c>
      <c r="Q31" s="210">
        <f ca="1">SUMPRODUCT((TABELA_VAZAO[Posto]=Q$2)*1,(TABELA_VAZAO[Data]=$A31)*1,TABELA_VAZAO[qnat])</f>
        <v>729</v>
      </c>
      <c r="R31" s="250">
        <f ca="1">SUMPRODUCT((TABELA_VAZAO[Posto]=R$2)*1,(TABELA_VAZAO[Data]=$A31)*1,TABELA_VAZAO[qinc])</f>
        <v>9</v>
      </c>
      <c r="S31" s="210">
        <f ca="1">SUMPRODUCT((TABELA_VAZAO[Posto]=S$2)*1,(TABELA_VAZAO[Data]=$A31)*1,TABELA_VAZAO[qnat])</f>
        <v>760</v>
      </c>
      <c r="T31" s="250">
        <f ca="1">SUMPRODUCT((TABELA_VAZAO[Posto]=T$2)*1,(TABELA_VAZAO[Data]=$A31)*1,TABELA_VAZAO[qinc])</f>
        <v>25</v>
      </c>
      <c r="U31" s="210">
        <f ca="1">SUMPRODUCT((TABELA_VAZAO[Posto]=U$2)*1,(TABELA_VAZAO[Data]=$A31)*1,TABELA_VAZAO[qnat])</f>
        <v>832</v>
      </c>
      <c r="V31" s="250">
        <f ca="1">SUMPRODUCT((TABELA_VAZAO[Posto]=V$2)*1,(TABELA_VAZAO[Data]=$A31)*1,TABELA_VAZAO[qinc])</f>
        <v>55</v>
      </c>
      <c r="W31" s="210">
        <f ca="1">SUMPRODUCT((TABELA_VAZAO[Posto]=W$2)*1,(TABELA_VAZAO[Data]=$A31)*1,TABELA_VAZAO[qnat])</f>
        <v>947</v>
      </c>
      <c r="X31" s="8" t="e">
        <f t="shared" ca="1" si="4"/>
        <v>#N/A</v>
      </c>
      <c r="Y31" s="67" t="e">
        <f ca="1">INDEX(RESULTADOS!$A:$BA,MATCH($A31,RESULTADOS!$A:$A,0),MATCH(Y$1,RESULTADOS!$1:$1,0))</f>
        <v>#N/A</v>
      </c>
      <c r="Z31" s="250">
        <f ca="1">SUMPRODUCT((TABELA_VAZAO[Posto]=Z$2)*1,(TABELA_VAZAO[Data]=$A31)*1,TABELA_VAZAO[qinc])</f>
        <v>93</v>
      </c>
      <c r="AA31" s="210">
        <f ca="1">SUMPRODUCT((TABELA_VAZAO[Posto]=AA$2)*1,(TABELA_VAZAO[Data]=$A31)*1,TABELA_VAZAO[qnat])</f>
        <v>1094</v>
      </c>
      <c r="AB31" s="8"/>
      <c r="AC31" s="67" t="e">
        <f ca="1">INDEX(RESULTADOS!$A:$BA,MATCH($A31,RESULTADOS!$A:$A,0),MATCH(AC$1,RESULTADOS!$1:$1,0))</f>
        <v>#N/A</v>
      </c>
      <c r="AD31" s="250">
        <f ca="1">SUMPRODUCT((TABELA_VAZAO[Posto]=AD$2)*1,(TABELA_VAZAO[Data]=$A31)*1,TABELA_VAZAO[qinc])</f>
        <v>29</v>
      </c>
      <c r="AE31" s="210">
        <f ca="1">SUMPRODUCT((TABELA_VAZAO[Posto]=AE$2)*1,(TABELA_VAZAO[Data]=$A31)*1,TABELA_VAZAO[qnat])</f>
        <v>29</v>
      </c>
      <c r="AF31" s="250">
        <f ca="1">SUMPRODUCT((TABELA_VAZAO[Posto]=AF$2)*1,(TABELA_VAZAO[Data]=$A31)*1,TABELA_VAZAO[qinc])</f>
        <v>18</v>
      </c>
      <c r="AG31" s="210">
        <f ca="1">SUMPRODUCT((TABELA_VAZAO[Posto]=AG$2)*1,(TABELA_VAZAO[Data]=$A31)*1,TABELA_VAZAO[qnat])</f>
        <v>47</v>
      </c>
      <c r="AH31" s="250">
        <f ca="1">SUMPRODUCT((TABELA_VAZAO[Posto]=AH$2)*1,(TABELA_VAZAO[Data]=$A31)*1,TABELA_VAZAO[qinc])</f>
        <v>1</v>
      </c>
      <c r="AI31" s="210">
        <f ca="1">SUMPRODUCT((TABELA_VAZAO[Posto]=AI$2)*1,(TABELA_VAZAO[Data]=$A31)*1,TABELA_VAZAO[qnat])</f>
        <v>47</v>
      </c>
      <c r="AJ31" s="67" t="e">
        <f ca="1">INDEX(RESULTADOS!$A:$BA,MATCH($A31,RESULTADOS!$A:$A,0),MATCH(AJ$1,RESULTADOS!$1:$1,0))</f>
        <v>#N/A</v>
      </c>
      <c r="AK31" s="67" t="e">
        <f ca="1">INDEX(RESULTADOS!$A:$BA,MATCH($A31,RESULTADOS!$A:$A,0),MATCH(AK$1,RESULTADOS!$1:$1,0))</f>
        <v>#N/A</v>
      </c>
      <c r="AL31" s="9" t="e">
        <f t="shared" ca="1" si="5"/>
        <v>#N/A</v>
      </c>
      <c r="AM31" s="250">
        <f ca="1">SUMPRODUCT((TABELA_VAZAO[Posto]=AM$2)*1,(TABELA_VAZAO[Data]=$A31)*1,TABELA_VAZAO[qinc])</f>
        <v>218</v>
      </c>
      <c r="AN31" s="210">
        <f ca="1">SUMPRODUCT((TABELA_VAZAO[Posto]=AN$2)*1,(TABELA_VAZAO[Data]=$A31)*1,TABELA_VAZAO[qnat])</f>
        <v>1455</v>
      </c>
      <c r="AO31" s="250">
        <f ca="1">SUMPRODUCT((TABELA_VAZAO[Posto]=AO$2)*1,(TABELA_VAZAO[Data]=$A31)*1,TABELA_VAZAO[qinc])</f>
        <v>319</v>
      </c>
      <c r="AP31" s="210">
        <f ca="1">SUMPRODUCT((TABELA_VAZAO[Posto]=AP$2)*1,(TABELA_VAZAO[Data]=$A31)*1,TABELA_VAZAO[qnat])</f>
        <v>1873</v>
      </c>
    </row>
    <row r="32" spans="1:42" x14ac:dyDescent="0.2">
      <c r="A32" s="7">
        <f t="shared" ca="1" si="2"/>
        <v>43831</v>
      </c>
      <c r="B32" s="250">
        <f ca="1">SUMPRODUCT((TABELA_VAZAO[Posto]=B$2)*1,(TABELA_VAZAO[Data]=$A32)*1,TABELA_VAZAO[qinc])</f>
        <v>82</v>
      </c>
      <c r="C32" s="210">
        <f ca="1">SUMPRODUCT((TABELA_VAZAO[Posto]=C$2)*1,(TABELA_VAZAO[Data]=$A32)*1,TABELA_VAZAO[qnat])</f>
        <v>82</v>
      </c>
      <c r="D32" s="250">
        <f ca="1">SUMPRODUCT((TABELA_VAZAO[Posto]=D$2)*1,(TABELA_VAZAO[Data]=$A32)*1,TABELA_VAZAO[qinc])</f>
        <v>0</v>
      </c>
      <c r="E32" s="52">
        <f t="shared" ca="1" si="3"/>
        <v>82</v>
      </c>
      <c r="F32" s="250">
        <f ca="1">SUMPRODUCT((TABELA_VAZAO[Posto]=F$2)*1,(TABELA_VAZAO[Data]=$A32)*1,TABELA_VAZAO[qinc])</f>
        <v>89</v>
      </c>
      <c r="G32" s="210">
        <f ca="1">SUMPRODUCT((TABELA_VAZAO[Posto]=G$2)*1,(TABELA_VAZAO[Data]=$A32)*1,TABELA_VAZAO[qnat])</f>
        <v>175</v>
      </c>
      <c r="H32" s="67" t="e">
        <f ca="1">INDEX(RESULTADOS!$A:$BA,MATCH($A32,RESULTADOS!$A:$A,0),MATCH(H$1,RESULTADOS!$1:$1,0))</f>
        <v>#N/A</v>
      </c>
      <c r="I32" s="67" t="e">
        <f ca="1">INDEX(RESULTADOS!$A:$BA,MATCH($A32,RESULTADOS!$A:$A,0),MATCH(I$1,RESULTADOS!$1:$1,0))</f>
        <v>#N/A</v>
      </c>
      <c r="J32" s="67" t="e">
        <f ca="1">INDEX(RESULTADOS!$A:$BA,MATCH($A32,RESULTADOS!$A:$A,0),MATCH(J$1,RESULTADOS!$1:$1,0))</f>
        <v>#N/A</v>
      </c>
      <c r="K32" s="250">
        <f ca="1">SUMPRODUCT((TABELA_VAZAO[Posto]=K$2)*1,(TABELA_VAZAO[Data]=$A32)*1,TABELA_VAZAO[qinc])</f>
        <v>302</v>
      </c>
      <c r="L32" s="210">
        <f ca="1">SUMPRODUCT((TABELA_VAZAO[Posto]=L$2)*1,(TABELA_VAZAO[Data]=$A32)*1,TABELA_VAZAO[qnat])</f>
        <v>501</v>
      </c>
      <c r="M32" s="67" t="e">
        <f ca="1">INDEX(RESULTADOS!$A:$BA,MATCH($A32,RESULTADOS!$A:$A,0),MATCH(M$1,RESULTADOS!$1:$1,0))</f>
        <v>#N/A</v>
      </c>
      <c r="N32" s="250">
        <f ca="1">SUMPRODUCT((TABELA_VAZAO[Posto]=N$2)*1,(TABELA_VAZAO[Data]=$A32)*1,TABELA_VAZAO[qinc])</f>
        <v>93</v>
      </c>
      <c r="O32" s="210">
        <f ca="1">SUMPRODUCT((TABELA_VAZAO[Posto]=O$2)*1,(TABELA_VAZAO[Data]=$A32)*1,TABELA_VAZAO[qnat])</f>
        <v>624</v>
      </c>
      <c r="P32" s="250">
        <f ca="1">SUMPRODUCT((TABELA_VAZAO[Posto]=P$2)*1,(TABELA_VAZAO[Data]=$A32)*1,TABELA_VAZAO[qinc])</f>
        <v>21</v>
      </c>
      <c r="Q32" s="210">
        <f ca="1">SUMPRODUCT((TABELA_VAZAO[Posto]=Q$2)*1,(TABELA_VAZAO[Data]=$A32)*1,TABELA_VAZAO[qnat])</f>
        <v>662</v>
      </c>
      <c r="R32" s="250">
        <f ca="1">SUMPRODUCT((TABELA_VAZAO[Posto]=R$2)*1,(TABELA_VAZAO[Data]=$A32)*1,TABELA_VAZAO[qinc])</f>
        <v>9</v>
      </c>
      <c r="S32" s="210">
        <f ca="1">SUMPRODUCT((TABELA_VAZAO[Posto]=S$2)*1,(TABELA_VAZAO[Data]=$A32)*1,TABELA_VAZAO[qnat])</f>
        <v>685</v>
      </c>
      <c r="T32" s="250">
        <f ca="1">SUMPRODUCT((TABELA_VAZAO[Posto]=T$2)*1,(TABELA_VAZAO[Data]=$A32)*1,TABELA_VAZAO[qinc])</f>
        <v>25</v>
      </c>
      <c r="U32" s="210">
        <f ca="1">SUMPRODUCT((TABELA_VAZAO[Posto]=U$2)*1,(TABELA_VAZAO[Data]=$A32)*1,TABELA_VAZAO[qnat])</f>
        <v>742</v>
      </c>
      <c r="V32" s="250">
        <f ca="1">SUMPRODUCT((TABELA_VAZAO[Posto]=V$2)*1,(TABELA_VAZAO[Data]=$A32)*1,TABELA_VAZAO[qinc])</f>
        <v>57</v>
      </c>
      <c r="W32" s="210">
        <f ca="1">SUMPRODUCT((TABELA_VAZAO[Posto]=W$2)*1,(TABELA_VAZAO[Data]=$A32)*1,TABELA_VAZAO[qnat])</f>
        <v>844</v>
      </c>
      <c r="X32" s="8" t="e">
        <f t="shared" ca="1" si="4"/>
        <v>#N/A</v>
      </c>
      <c r="Y32" s="67" t="e">
        <f ca="1">INDEX(RESULTADOS!$A:$BA,MATCH($A32,RESULTADOS!$A:$A,0),MATCH(Y$1,RESULTADOS!$1:$1,0))</f>
        <v>#N/A</v>
      </c>
      <c r="Z32" s="250">
        <f ca="1">SUMPRODUCT((TABELA_VAZAO[Posto]=Z$2)*1,(TABELA_VAZAO[Data]=$A32)*1,TABELA_VAZAO[qinc])</f>
        <v>93</v>
      </c>
      <c r="AA32" s="210">
        <f ca="1">SUMPRODUCT((TABELA_VAZAO[Posto]=AA$2)*1,(TABELA_VAZAO[Data]=$A32)*1,TABELA_VAZAO[qnat])</f>
        <v>984</v>
      </c>
      <c r="AB32" s="8"/>
      <c r="AC32" s="67" t="e">
        <f ca="1">INDEX(RESULTADOS!$A:$BA,MATCH($A32,RESULTADOS!$A:$A,0),MATCH(AC$1,RESULTADOS!$1:$1,0))</f>
        <v>#N/A</v>
      </c>
      <c r="AD32" s="250">
        <f ca="1">SUMPRODUCT((TABELA_VAZAO[Posto]=AD$2)*1,(TABELA_VAZAO[Data]=$A32)*1,TABELA_VAZAO[qinc])</f>
        <v>36</v>
      </c>
      <c r="AE32" s="210">
        <f ca="1">SUMPRODUCT((TABELA_VAZAO[Posto]=AE$2)*1,(TABELA_VAZAO[Data]=$A32)*1,TABELA_VAZAO[qnat])</f>
        <v>36</v>
      </c>
      <c r="AF32" s="250">
        <f ca="1">SUMPRODUCT((TABELA_VAZAO[Posto]=AF$2)*1,(TABELA_VAZAO[Data]=$A32)*1,TABELA_VAZAO[qinc])</f>
        <v>23</v>
      </c>
      <c r="AG32" s="210">
        <f ca="1">SUMPRODUCT((TABELA_VAZAO[Posto]=AG$2)*1,(TABELA_VAZAO[Data]=$A32)*1,TABELA_VAZAO[qnat])</f>
        <v>56</v>
      </c>
      <c r="AH32" s="250">
        <f ca="1">SUMPRODUCT((TABELA_VAZAO[Posto]=AH$2)*1,(TABELA_VAZAO[Data]=$A32)*1,TABELA_VAZAO[qinc])</f>
        <v>1</v>
      </c>
      <c r="AI32" s="210">
        <f ca="1">SUMPRODUCT((TABELA_VAZAO[Posto]=AI$2)*1,(TABELA_VAZAO[Data]=$A32)*1,TABELA_VAZAO[qnat])</f>
        <v>55</v>
      </c>
      <c r="AJ32" s="67" t="e">
        <f ca="1">INDEX(RESULTADOS!$A:$BA,MATCH($A32,RESULTADOS!$A:$A,0),MATCH(AJ$1,RESULTADOS!$1:$1,0))</f>
        <v>#N/A</v>
      </c>
      <c r="AK32" s="67" t="e">
        <f ca="1">INDEX(RESULTADOS!$A:$BA,MATCH($A32,RESULTADOS!$A:$A,0),MATCH(AK$1,RESULTADOS!$1:$1,0))</f>
        <v>#N/A</v>
      </c>
      <c r="AL32" s="9" t="e">
        <f t="shared" ca="1" si="5"/>
        <v>#N/A</v>
      </c>
      <c r="AM32" s="250">
        <f ca="1">SUMPRODUCT((TABELA_VAZAO[Posto]=AM$2)*1,(TABELA_VAZAO[Data]=$A32)*1,TABELA_VAZAO[qinc])</f>
        <v>202</v>
      </c>
      <c r="AN32" s="210">
        <f ca="1">SUMPRODUCT((TABELA_VAZAO[Posto]=AN$2)*1,(TABELA_VAZAO[Data]=$A32)*1,TABELA_VAZAO[qnat])</f>
        <v>1324</v>
      </c>
      <c r="AO32" s="250">
        <f ca="1">SUMPRODUCT((TABELA_VAZAO[Posto]=AO$2)*1,(TABELA_VAZAO[Data]=$A32)*1,TABELA_VAZAO[qinc])</f>
        <v>295</v>
      </c>
      <c r="AP32" s="210">
        <f ca="1">SUMPRODUCT((TABELA_VAZAO[Posto]=AP$2)*1,(TABELA_VAZAO[Data]=$A32)*1,TABELA_VAZAO[qnat])</f>
        <v>1766</v>
      </c>
    </row>
    <row r="33" spans="1:47" x14ac:dyDescent="0.2">
      <c r="A33" s="7">
        <f t="shared" ca="1" si="2"/>
        <v>43832</v>
      </c>
      <c r="B33" s="250">
        <f ca="1">SUMPRODUCT((TABELA_VAZAO[Posto]=B$2)*1,(TABELA_VAZAO[Data]=$A33)*1,TABELA_VAZAO[qinc])</f>
        <v>80</v>
      </c>
      <c r="C33" s="210">
        <f ca="1">SUMPRODUCT((TABELA_VAZAO[Posto]=C$2)*1,(TABELA_VAZAO[Data]=$A33)*1,TABELA_VAZAO[qnat])</f>
        <v>80</v>
      </c>
      <c r="D33" s="250">
        <f ca="1">SUMPRODUCT((TABELA_VAZAO[Posto]=D$2)*1,(TABELA_VAZAO[Data]=$A33)*1,TABELA_VAZAO[qinc])</f>
        <v>0</v>
      </c>
      <c r="E33" s="52">
        <f t="shared" ca="1" si="3"/>
        <v>80</v>
      </c>
      <c r="F33" s="250">
        <f ca="1">SUMPRODUCT((TABELA_VAZAO[Posto]=F$2)*1,(TABELA_VAZAO[Data]=$A33)*1,TABELA_VAZAO[qinc])</f>
        <v>90</v>
      </c>
      <c r="G33" s="210">
        <f ca="1">SUMPRODUCT((TABELA_VAZAO[Posto]=G$2)*1,(TABELA_VAZAO[Data]=$A33)*1,TABELA_VAZAO[qnat])</f>
        <v>172</v>
      </c>
      <c r="H33" s="67" t="e">
        <f ca="1">INDEX(RESULTADOS!$A:$BA,MATCH($A33,RESULTADOS!$A:$A,0),MATCH(H$1,RESULTADOS!$1:$1,0))</f>
        <v>#N/A</v>
      </c>
      <c r="I33" s="67" t="e">
        <f ca="1">INDEX(RESULTADOS!$A:$BA,MATCH($A33,RESULTADOS!$A:$A,0),MATCH(I$1,RESULTADOS!$1:$1,0))</f>
        <v>#N/A</v>
      </c>
      <c r="J33" s="67" t="e">
        <f ca="1">INDEX(RESULTADOS!$A:$BA,MATCH($A33,RESULTADOS!$A:$A,0),MATCH(J$1,RESULTADOS!$1:$1,0))</f>
        <v>#N/A</v>
      </c>
      <c r="K33" s="250">
        <f ca="1">SUMPRODUCT((TABELA_VAZAO[Posto]=K$2)*1,(TABELA_VAZAO[Data]=$A33)*1,TABELA_VAZAO[qinc])</f>
        <v>320</v>
      </c>
      <c r="L33" s="210">
        <f ca="1">SUMPRODUCT((TABELA_VAZAO[Posto]=L$2)*1,(TABELA_VAZAO[Data]=$A33)*1,TABELA_VAZAO[qnat])</f>
        <v>502</v>
      </c>
      <c r="M33" s="67" t="e">
        <f ca="1">INDEX(RESULTADOS!$A:$BA,MATCH($A33,RESULTADOS!$A:$A,0),MATCH(M$1,RESULTADOS!$1:$1,0))</f>
        <v>#N/A</v>
      </c>
      <c r="N33" s="250">
        <f ca="1">SUMPRODUCT((TABELA_VAZAO[Posto]=N$2)*1,(TABELA_VAZAO[Data]=$A33)*1,TABELA_VAZAO[qinc])</f>
        <v>99</v>
      </c>
      <c r="O33" s="210">
        <f ca="1">SUMPRODUCT((TABELA_VAZAO[Posto]=O$2)*1,(TABELA_VAZAO[Data]=$A33)*1,TABELA_VAZAO[qnat])</f>
        <v>599</v>
      </c>
      <c r="P33" s="250">
        <f ca="1">SUMPRODUCT((TABELA_VAZAO[Posto]=P$2)*1,(TABELA_VAZAO[Data]=$A33)*1,TABELA_VAZAO[qinc])</f>
        <v>23</v>
      </c>
      <c r="Q33" s="210">
        <f ca="1">SUMPRODUCT((TABELA_VAZAO[Posto]=Q$2)*1,(TABELA_VAZAO[Data]=$A33)*1,TABELA_VAZAO[qnat])</f>
        <v>629</v>
      </c>
      <c r="R33" s="250">
        <f ca="1">SUMPRODUCT((TABELA_VAZAO[Posto]=R$2)*1,(TABELA_VAZAO[Data]=$A33)*1,TABELA_VAZAO[qinc])</f>
        <v>9</v>
      </c>
      <c r="S33" s="210">
        <f ca="1">SUMPRODUCT((TABELA_VAZAO[Posto]=S$2)*1,(TABELA_VAZAO[Data]=$A33)*1,TABELA_VAZAO[qnat])</f>
        <v>645</v>
      </c>
      <c r="T33" s="250">
        <f ca="1">SUMPRODUCT((TABELA_VAZAO[Posto]=T$2)*1,(TABELA_VAZAO[Data]=$A33)*1,TABELA_VAZAO[qinc])</f>
        <v>27</v>
      </c>
      <c r="U33" s="210">
        <f ca="1">SUMPRODUCT((TABELA_VAZAO[Posto]=U$2)*1,(TABELA_VAZAO[Data]=$A33)*1,TABELA_VAZAO[qnat])</f>
        <v>689</v>
      </c>
      <c r="V33" s="250">
        <f ca="1">SUMPRODUCT((TABELA_VAZAO[Posto]=V$2)*1,(TABELA_VAZAO[Data]=$A33)*1,TABELA_VAZAO[qinc])</f>
        <v>60</v>
      </c>
      <c r="W33" s="210">
        <f ca="1">SUMPRODUCT((TABELA_VAZAO[Posto]=W$2)*1,(TABELA_VAZAO[Data]=$A33)*1,TABELA_VAZAO[qnat])</f>
        <v>775</v>
      </c>
      <c r="X33" s="8" t="e">
        <f t="shared" ca="1" si="4"/>
        <v>#N/A</v>
      </c>
      <c r="Y33" s="67" t="e">
        <f ca="1">INDEX(RESULTADOS!$A:$BA,MATCH($A33,RESULTADOS!$A:$A,0),MATCH(Y$1,RESULTADOS!$1:$1,0))</f>
        <v>#N/A</v>
      </c>
      <c r="Z33" s="250">
        <f ca="1">SUMPRODUCT((TABELA_VAZAO[Posto]=Z$2)*1,(TABELA_VAZAO[Data]=$A33)*1,TABELA_VAZAO[qinc])</f>
        <v>101</v>
      </c>
      <c r="AA33" s="210">
        <f ca="1">SUMPRODUCT((TABELA_VAZAO[Posto]=AA$2)*1,(TABELA_VAZAO[Data]=$A33)*1,TABELA_VAZAO[qnat])</f>
        <v>907</v>
      </c>
      <c r="AB33" s="8"/>
      <c r="AC33" s="67" t="e">
        <f ca="1">INDEX(RESULTADOS!$A:$BA,MATCH($A33,RESULTADOS!$A:$A,0),MATCH(AC$1,RESULTADOS!$1:$1,0))</f>
        <v>#N/A</v>
      </c>
      <c r="AD33" s="250">
        <f ca="1">SUMPRODUCT((TABELA_VAZAO[Posto]=AD$2)*1,(TABELA_VAZAO[Data]=$A33)*1,TABELA_VAZAO[qinc])</f>
        <v>48</v>
      </c>
      <c r="AE33" s="210">
        <f ca="1">SUMPRODUCT((TABELA_VAZAO[Posto]=AE$2)*1,(TABELA_VAZAO[Data]=$A33)*1,TABELA_VAZAO[qnat])</f>
        <v>48</v>
      </c>
      <c r="AF33" s="250">
        <f ca="1">SUMPRODUCT((TABELA_VAZAO[Posto]=AF$2)*1,(TABELA_VAZAO[Data]=$A33)*1,TABELA_VAZAO[qinc])</f>
        <v>30</v>
      </c>
      <c r="AG33" s="210">
        <f ca="1">SUMPRODUCT((TABELA_VAZAO[Posto]=AG$2)*1,(TABELA_VAZAO[Data]=$A33)*1,TABELA_VAZAO[qnat])</f>
        <v>72</v>
      </c>
      <c r="AH33" s="250">
        <f ca="1">SUMPRODUCT((TABELA_VAZAO[Posto]=AH$2)*1,(TABELA_VAZAO[Data]=$A33)*1,TABELA_VAZAO[qinc])</f>
        <v>1</v>
      </c>
      <c r="AI33" s="210">
        <f ca="1">SUMPRODUCT((TABELA_VAZAO[Posto]=AI$2)*1,(TABELA_VAZAO[Data]=$A33)*1,TABELA_VAZAO[qnat])</f>
        <v>71</v>
      </c>
      <c r="AJ33" s="67" t="e">
        <f ca="1">INDEX(RESULTADOS!$A:$BA,MATCH($A33,RESULTADOS!$A:$A,0),MATCH(AJ$1,RESULTADOS!$1:$1,0))</f>
        <v>#N/A</v>
      </c>
      <c r="AK33" s="67" t="e">
        <f ca="1">INDEX(RESULTADOS!$A:$BA,MATCH($A33,RESULTADOS!$A:$A,0),MATCH(AK$1,RESULTADOS!$1:$1,0))</f>
        <v>#N/A</v>
      </c>
      <c r="AL33" s="9" t="e">
        <f t="shared" ca="1" si="5"/>
        <v>#N/A</v>
      </c>
      <c r="AM33" s="250">
        <f ca="1">SUMPRODUCT((TABELA_VAZAO[Posto]=AM$2)*1,(TABELA_VAZAO[Data]=$A33)*1,TABELA_VAZAO[qinc])</f>
        <v>190</v>
      </c>
      <c r="AN33" s="210">
        <f ca="1">SUMPRODUCT((TABELA_VAZAO[Posto]=AN$2)*1,(TABELA_VAZAO[Data]=$A33)*1,TABELA_VAZAO[qnat])</f>
        <v>1207</v>
      </c>
      <c r="AO33" s="250">
        <f ca="1">SUMPRODUCT((TABELA_VAZAO[Posto]=AO$2)*1,(TABELA_VAZAO[Data]=$A33)*1,TABELA_VAZAO[qinc])</f>
        <v>280</v>
      </c>
      <c r="AP33" s="210">
        <f ca="1">SUMPRODUCT((TABELA_VAZAO[Posto]=AP$2)*1,(TABELA_VAZAO[Data]=$A33)*1,TABELA_VAZAO[qnat])</f>
        <v>1626</v>
      </c>
    </row>
    <row r="34" spans="1:47" x14ac:dyDescent="0.2">
      <c r="A34" s="7">
        <f t="shared" ca="1" si="2"/>
        <v>43833</v>
      </c>
      <c r="B34" s="250">
        <f ca="1">SUMPRODUCT((TABELA_VAZAO[Posto]=B$2)*1,(TABELA_VAZAO[Data]=$A34)*1,TABELA_VAZAO[qinc])</f>
        <v>82</v>
      </c>
      <c r="C34" s="210">
        <f ca="1">SUMPRODUCT((TABELA_VAZAO[Posto]=C$2)*1,(TABELA_VAZAO[Data]=$A34)*1,TABELA_VAZAO[qnat])</f>
        <v>82</v>
      </c>
      <c r="D34" s="250">
        <f ca="1">SUMPRODUCT((TABELA_VAZAO[Posto]=D$2)*1,(TABELA_VAZAO[Data]=$A34)*1,TABELA_VAZAO[qinc])</f>
        <v>0</v>
      </c>
      <c r="E34" s="52">
        <f t="shared" ca="1" si="3"/>
        <v>82</v>
      </c>
      <c r="F34" s="250">
        <f ca="1">SUMPRODUCT((TABELA_VAZAO[Posto]=F$2)*1,(TABELA_VAZAO[Data]=$A34)*1,TABELA_VAZAO[qinc])</f>
        <v>102</v>
      </c>
      <c r="G34" s="210">
        <f ca="1">SUMPRODUCT((TABELA_VAZAO[Posto]=G$2)*1,(TABELA_VAZAO[Data]=$A34)*1,TABELA_VAZAO[qnat])</f>
        <v>183</v>
      </c>
      <c r="H34" s="67" t="e">
        <f ca="1">INDEX(RESULTADOS!$A:$BA,MATCH($A34,RESULTADOS!$A:$A,0),MATCH(H$1,RESULTADOS!$1:$1,0))</f>
        <v>#N/A</v>
      </c>
      <c r="I34" s="67" t="e">
        <f ca="1">INDEX(RESULTADOS!$A:$BA,MATCH($A34,RESULTADOS!$A:$A,0),MATCH(I$1,RESULTADOS!$1:$1,0))</f>
        <v>#N/A</v>
      </c>
      <c r="J34" s="67" t="e">
        <f ca="1">INDEX(RESULTADOS!$A:$BA,MATCH($A34,RESULTADOS!$A:$A,0),MATCH(J$1,RESULTADOS!$1:$1,0))</f>
        <v>#N/A</v>
      </c>
      <c r="K34" s="250">
        <f ca="1">SUMPRODUCT((TABELA_VAZAO[Posto]=K$2)*1,(TABELA_VAZAO[Data]=$A34)*1,TABELA_VAZAO[qinc])</f>
        <v>377</v>
      </c>
      <c r="L34" s="210">
        <f ca="1">SUMPRODUCT((TABELA_VAZAO[Posto]=L$2)*1,(TABELA_VAZAO[Data]=$A34)*1,TABELA_VAZAO[qnat])</f>
        <v>550</v>
      </c>
      <c r="M34" s="67" t="e">
        <f ca="1">INDEX(RESULTADOS!$A:$BA,MATCH($A34,RESULTADOS!$A:$A,0),MATCH(M$1,RESULTADOS!$1:$1,0))</f>
        <v>#N/A</v>
      </c>
      <c r="N34" s="250">
        <f ca="1">SUMPRODUCT((TABELA_VAZAO[Posto]=N$2)*1,(TABELA_VAZAO[Data]=$A34)*1,TABELA_VAZAO[qinc])</f>
        <v>124</v>
      </c>
      <c r="O34" s="210">
        <f ca="1">SUMPRODUCT((TABELA_VAZAO[Posto]=O$2)*1,(TABELA_VAZAO[Data]=$A34)*1,TABELA_VAZAO[qnat])</f>
        <v>628</v>
      </c>
      <c r="P34" s="250">
        <f ca="1">SUMPRODUCT((TABELA_VAZAO[Posto]=P$2)*1,(TABELA_VAZAO[Data]=$A34)*1,TABELA_VAZAO[qinc])</f>
        <v>29</v>
      </c>
      <c r="Q34" s="210">
        <f ca="1">SUMPRODUCT((TABELA_VAZAO[Posto]=Q$2)*1,(TABELA_VAZAO[Data]=$A34)*1,TABELA_VAZAO[qnat])</f>
        <v>648</v>
      </c>
      <c r="R34" s="250">
        <f ca="1">SUMPRODUCT((TABELA_VAZAO[Posto]=R$2)*1,(TABELA_VAZAO[Data]=$A34)*1,TABELA_VAZAO[qinc])</f>
        <v>12</v>
      </c>
      <c r="S34" s="210">
        <f ca="1">SUMPRODUCT((TABELA_VAZAO[Posto]=S$2)*1,(TABELA_VAZAO[Data]=$A34)*1,TABELA_VAZAO[qnat])</f>
        <v>656</v>
      </c>
      <c r="T34" s="250">
        <f ca="1">SUMPRODUCT((TABELA_VAZAO[Posto]=T$2)*1,(TABELA_VAZAO[Data]=$A34)*1,TABELA_VAZAO[qinc])</f>
        <v>34</v>
      </c>
      <c r="U34" s="210">
        <f ca="1">SUMPRODUCT((TABELA_VAZAO[Posto]=U$2)*1,(TABELA_VAZAO[Data]=$A34)*1,TABELA_VAZAO[qnat])</f>
        <v>685</v>
      </c>
      <c r="V34" s="250">
        <f ca="1">SUMPRODUCT((TABELA_VAZAO[Posto]=V$2)*1,(TABELA_VAZAO[Data]=$A34)*1,TABELA_VAZAO[qinc])</f>
        <v>76</v>
      </c>
      <c r="W34" s="210">
        <f ca="1">SUMPRODUCT((TABELA_VAZAO[Posto]=W$2)*1,(TABELA_VAZAO[Data]=$A34)*1,TABELA_VAZAO[qnat])</f>
        <v>763</v>
      </c>
      <c r="X34" s="8" t="e">
        <f t="shared" ca="1" si="4"/>
        <v>#N/A</v>
      </c>
      <c r="Y34" s="67" t="e">
        <f ca="1">INDEX(RESULTADOS!$A:$BA,MATCH($A34,RESULTADOS!$A:$A,0),MATCH(Y$1,RESULTADOS!$1:$1,0))</f>
        <v>#N/A</v>
      </c>
      <c r="Z34" s="250">
        <f ca="1">SUMPRODUCT((TABELA_VAZAO[Posto]=Z$2)*1,(TABELA_VAZAO[Data]=$A34)*1,TABELA_VAZAO[qinc])</f>
        <v>127</v>
      </c>
      <c r="AA34" s="210">
        <f ca="1">SUMPRODUCT((TABELA_VAZAO[Posto]=AA$2)*1,(TABELA_VAZAO[Data]=$A34)*1,TABELA_VAZAO[qnat])</f>
        <v>895</v>
      </c>
      <c r="AB34" s="8"/>
      <c r="AC34" s="67" t="e">
        <f ca="1">INDEX(RESULTADOS!$A:$BA,MATCH($A34,RESULTADOS!$A:$A,0),MATCH(AC$1,RESULTADOS!$1:$1,0))</f>
        <v>#N/A</v>
      </c>
      <c r="AD34" s="250">
        <f ca="1">SUMPRODUCT((TABELA_VAZAO[Posto]=AD$2)*1,(TABELA_VAZAO[Data]=$A34)*1,TABELA_VAZAO[qinc])</f>
        <v>65</v>
      </c>
      <c r="AE34" s="210">
        <f ca="1">SUMPRODUCT((TABELA_VAZAO[Posto]=AE$2)*1,(TABELA_VAZAO[Data]=$A34)*1,TABELA_VAZAO[qnat])</f>
        <v>65</v>
      </c>
      <c r="AF34" s="250">
        <f ca="1">SUMPRODUCT((TABELA_VAZAO[Posto]=AF$2)*1,(TABELA_VAZAO[Data]=$A34)*1,TABELA_VAZAO[qinc])</f>
        <v>41</v>
      </c>
      <c r="AG34" s="210">
        <f ca="1">SUMPRODUCT((TABELA_VAZAO[Posto]=AG$2)*1,(TABELA_VAZAO[Data]=$A34)*1,TABELA_VAZAO[qnat])</f>
        <v>97</v>
      </c>
      <c r="AH34" s="250">
        <f ca="1">SUMPRODUCT((TABELA_VAZAO[Posto]=AH$2)*1,(TABELA_VAZAO[Data]=$A34)*1,TABELA_VAZAO[qinc])</f>
        <v>1</v>
      </c>
      <c r="AI34" s="210">
        <f ca="1">SUMPRODUCT((TABELA_VAZAO[Posto]=AI$2)*1,(TABELA_VAZAO[Data]=$A34)*1,TABELA_VAZAO[qnat])</f>
        <v>96</v>
      </c>
      <c r="AJ34" s="67" t="e">
        <f ca="1">INDEX(RESULTADOS!$A:$BA,MATCH($A34,RESULTADOS!$A:$A,0),MATCH(AJ$1,RESULTADOS!$1:$1,0))</f>
        <v>#N/A</v>
      </c>
      <c r="AK34" s="67" t="e">
        <f ca="1">INDEX(RESULTADOS!$A:$BA,MATCH($A34,RESULTADOS!$A:$A,0),MATCH(AK$1,RESULTADOS!$1:$1,0))</f>
        <v>#N/A</v>
      </c>
      <c r="AL34" s="9" t="e">
        <f t="shared" ca="1" si="5"/>
        <v>#N/A</v>
      </c>
      <c r="AM34" s="250">
        <f ca="1">SUMPRODUCT((TABELA_VAZAO[Posto]=AM$2)*1,(TABELA_VAZAO[Data]=$A34)*1,TABELA_VAZAO[qinc])</f>
        <v>223</v>
      </c>
      <c r="AN34" s="210">
        <f ca="1">SUMPRODUCT((TABELA_VAZAO[Posto]=AN$2)*1,(TABELA_VAZAO[Data]=$A34)*1,TABELA_VAZAO[qnat])</f>
        <v>1175</v>
      </c>
      <c r="AO34" s="250">
        <f ca="1">SUMPRODUCT((TABELA_VAZAO[Posto]=AO$2)*1,(TABELA_VAZAO[Data]=$A34)*1,TABELA_VAZAO[qinc])</f>
        <v>273</v>
      </c>
      <c r="AP34" s="210">
        <f ca="1">SUMPRODUCT((TABELA_VAZAO[Posto]=AP$2)*1,(TABELA_VAZAO[Data]=$A34)*1,TABELA_VAZAO[qnat])</f>
        <v>1499</v>
      </c>
    </row>
    <row r="35" spans="1:47" x14ac:dyDescent="0.2">
      <c r="A35" s="7">
        <f t="shared" ca="1" si="2"/>
        <v>43834</v>
      </c>
      <c r="B35" s="250">
        <f ca="1">SUMPRODUCT((TABELA_VAZAO[Posto]=B$2)*1,(TABELA_VAZAO[Data]=$A35)*1,TABELA_VAZAO[qinc])</f>
        <v>88</v>
      </c>
      <c r="C35" s="210">
        <f ca="1">SUMPRODUCT((TABELA_VAZAO[Posto]=C$2)*1,(TABELA_VAZAO[Data]=$A35)*1,TABELA_VAZAO[qnat])</f>
        <v>88</v>
      </c>
      <c r="D35" s="250">
        <f ca="1">SUMPRODUCT((TABELA_VAZAO[Posto]=D$2)*1,(TABELA_VAZAO[Data]=$A35)*1,TABELA_VAZAO[qinc])</f>
        <v>0</v>
      </c>
      <c r="E35" s="52">
        <f t="shared" ca="1" si="3"/>
        <v>88</v>
      </c>
      <c r="F35" s="250">
        <f ca="1">SUMPRODUCT((TABELA_VAZAO[Posto]=F$2)*1,(TABELA_VAZAO[Data]=$A35)*1,TABELA_VAZAO[qinc])</f>
        <v>129</v>
      </c>
      <c r="G35" s="210">
        <f ca="1">SUMPRODUCT((TABELA_VAZAO[Posto]=G$2)*1,(TABELA_VAZAO[Data]=$A35)*1,TABELA_VAZAO[qnat])</f>
        <v>214</v>
      </c>
      <c r="H35" s="67" t="e">
        <f ca="1">INDEX(RESULTADOS!$A:$BA,MATCH($A35,RESULTADOS!$A:$A,0),MATCH(H$1,RESULTADOS!$1:$1,0))</f>
        <v>#N/A</v>
      </c>
      <c r="I35" s="67" t="e">
        <f ca="1">INDEX(RESULTADOS!$A:$BA,MATCH($A35,RESULTADOS!$A:$A,0),MATCH(I$1,RESULTADOS!$1:$1,0))</f>
        <v>#N/A</v>
      </c>
      <c r="J35" s="67" t="e">
        <f ca="1">INDEX(RESULTADOS!$A:$BA,MATCH($A35,RESULTADOS!$A:$A,0),MATCH(J$1,RESULTADOS!$1:$1,0))</f>
        <v>#N/A</v>
      </c>
      <c r="K35" s="250">
        <f ca="1">SUMPRODUCT((TABELA_VAZAO[Posto]=K$2)*1,(TABELA_VAZAO[Data]=$A35)*1,TABELA_VAZAO[qinc])</f>
        <v>425</v>
      </c>
      <c r="L35" s="210">
        <f ca="1">SUMPRODUCT((TABELA_VAZAO[Posto]=L$2)*1,(TABELA_VAZAO[Data]=$A35)*1,TABELA_VAZAO[qnat])</f>
        <v>603</v>
      </c>
      <c r="M35" s="67" t="e">
        <f ca="1">INDEX(RESULTADOS!$A:$BA,MATCH($A35,RESULTADOS!$A:$A,0),MATCH(M$1,RESULTADOS!$1:$1,0))</f>
        <v>#N/A</v>
      </c>
      <c r="N35" s="250">
        <f ca="1">SUMPRODUCT((TABELA_VAZAO[Posto]=N$2)*1,(TABELA_VAZAO[Data]=$A35)*1,TABELA_VAZAO[qinc])</f>
        <v>163</v>
      </c>
      <c r="O35" s="210">
        <f ca="1">SUMPRODUCT((TABELA_VAZAO[Posto]=O$2)*1,(TABELA_VAZAO[Data]=$A35)*1,TABELA_VAZAO[qnat])</f>
        <v>715</v>
      </c>
      <c r="P35" s="250">
        <f ca="1">SUMPRODUCT((TABELA_VAZAO[Posto]=P$2)*1,(TABELA_VAZAO[Data]=$A35)*1,TABELA_VAZAO[qinc])</f>
        <v>38</v>
      </c>
      <c r="Q35" s="210">
        <f ca="1">SUMPRODUCT((TABELA_VAZAO[Posto]=Q$2)*1,(TABELA_VAZAO[Data]=$A35)*1,TABELA_VAZAO[qnat])</f>
        <v>727</v>
      </c>
      <c r="R35" s="250">
        <f ca="1">SUMPRODUCT((TABELA_VAZAO[Posto]=R$2)*1,(TABELA_VAZAO[Data]=$A35)*1,TABELA_VAZAO[qinc])</f>
        <v>16</v>
      </c>
      <c r="S35" s="210">
        <f ca="1">SUMPRODUCT((TABELA_VAZAO[Posto]=S$2)*1,(TABELA_VAZAO[Data]=$A35)*1,TABELA_VAZAO[qnat])</f>
        <v>726</v>
      </c>
      <c r="T35" s="250">
        <f ca="1">SUMPRODUCT((TABELA_VAZAO[Posto]=T$2)*1,(TABELA_VAZAO[Data]=$A35)*1,TABELA_VAZAO[qinc])</f>
        <v>44</v>
      </c>
      <c r="U35" s="210">
        <f ca="1">SUMPRODUCT((TABELA_VAZAO[Posto]=U$2)*1,(TABELA_VAZAO[Data]=$A35)*1,TABELA_VAZAO[qnat])</f>
        <v>742</v>
      </c>
      <c r="V35" s="250">
        <f ca="1">SUMPRODUCT((TABELA_VAZAO[Posto]=V$2)*1,(TABELA_VAZAO[Data]=$A35)*1,TABELA_VAZAO[qinc])</f>
        <v>99</v>
      </c>
      <c r="W35" s="210">
        <f ca="1">SUMPRODUCT((TABELA_VAZAO[Posto]=W$2)*1,(TABELA_VAZAO[Data]=$A35)*1,TABELA_VAZAO[qnat])</f>
        <v>813</v>
      </c>
      <c r="X35" s="8" t="e">
        <f t="shared" ca="1" si="4"/>
        <v>#N/A</v>
      </c>
      <c r="Y35" s="67" t="e">
        <f ca="1">INDEX(RESULTADOS!$A:$BA,MATCH($A35,RESULTADOS!$A:$A,0),MATCH(Y$1,RESULTADOS!$1:$1,0))</f>
        <v>#N/A</v>
      </c>
      <c r="Z35" s="250">
        <f ca="1">SUMPRODUCT((TABELA_VAZAO[Posto]=Z$2)*1,(TABELA_VAZAO[Data]=$A35)*1,TABELA_VAZAO[qinc])</f>
        <v>169</v>
      </c>
      <c r="AA35" s="210">
        <f ca="1">SUMPRODUCT((TABELA_VAZAO[Posto]=AA$2)*1,(TABELA_VAZAO[Data]=$A35)*1,TABELA_VAZAO[qnat])</f>
        <v>959</v>
      </c>
      <c r="AB35" s="8"/>
      <c r="AC35" s="67" t="e">
        <f ca="1">INDEX(RESULTADOS!$A:$BA,MATCH($A35,RESULTADOS!$A:$A,0),MATCH(AC$1,RESULTADOS!$1:$1,0))</f>
        <v>#N/A</v>
      </c>
      <c r="AD35" s="250">
        <f ca="1">SUMPRODUCT((TABELA_VAZAO[Posto]=AD$2)*1,(TABELA_VAZAO[Data]=$A35)*1,TABELA_VAZAO[qinc])</f>
        <v>70</v>
      </c>
      <c r="AE35" s="210">
        <f ca="1">SUMPRODUCT((TABELA_VAZAO[Posto]=AE$2)*1,(TABELA_VAZAO[Data]=$A35)*1,TABELA_VAZAO[qnat])</f>
        <v>70</v>
      </c>
      <c r="AF35" s="250">
        <f ca="1">SUMPRODUCT((TABELA_VAZAO[Posto]=AF$2)*1,(TABELA_VAZAO[Data]=$A35)*1,TABELA_VAZAO[qinc])</f>
        <v>44</v>
      </c>
      <c r="AG35" s="210">
        <f ca="1">SUMPRODUCT((TABELA_VAZAO[Posto]=AG$2)*1,(TABELA_VAZAO[Data]=$A35)*1,TABELA_VAZAO[qnat])</f>
        <v>112</v>
      </c>
      <c r="AH35" s="250">
        <f ca="1">SUMPRODUCT((TABELA_VAZAO[Posto]=AH$2)*1,(TABELA_VAZAO[Data]=$A35)*1,TABELA_VAZAO[qinc])</f>
        <v>2</v>
      </c>
      <c r="AI35" s="210">
        <f ca="1">SUMPRODUCT((TABELA_VAZAO[Posto]=AI$2)*1,(TABELA_VAZAO[Data]=$A35)*1,TABELA_VAZAO[qnat])</f>
        <v>112</v>
      </c>
      <c r="AJ35" s="67" t="e">
        <f ca="1">INDEX(RESULTADOS!$A:$BA,MATCH($A35,RESULTADOS!$A:$A,0),MATCH(AJ$1,RESULTADOS!$1:$1,0))</f>
        <v>#N/A</v>
      </c>
      <c r="AK35" s="67" t="e">
        <f ca="1">INDEX(RESULTADOS!$A:$BA,MATCH($A35,RESULTADOS!$A:$A,0),MATCH(AK$1,RESULTADOS!$1:$1,0))</f>
        <v>#N/A</v>
      </c>
      <c r="AL35" s="9" t="e">
        <f t="shared" ca="1" si="5"/>
        <v>#N/A</v>
      </c>
      <c r="AM35" s="250">
        <f ca="1">SUMPRODUCT((TABELA_VAZAO[Posto]=AM$2)*1,(TABELA_VAZAO[Data]=$A35)*1,TABELA_VAZAO[qinc])</f>
        <v>301</v>
      </c>
      <c r="AN35" s="210">
        <f ca="1">SUMPRODUCT((TABELA_VAZAO[Posto]=AN$2)*1,(TABELA_VAZAO[Data]=$A35)*1,TABELA_VAZAO[qnat])</f>
        <v>1262</v>
      </c>
      <c r="AO35" s="250">
        <f ca="1">SUMPRODUCT((TABELA_VAZAO[Posto]=AO$2)*1,(TABELA_VAZAO[Data]=$A35)*1,TABELA_VAZAO[qinc])</f>
        <v>314</v>
      </c>
      <c r="AP35" s="210">
        <f ca="1">SUMPRODUCT((TABELA_VAZAO[Posto]=AP$2)*1,(TABELA_VAZAO[Data]=$A35)*1,TABELA_VAZAO[qnat])</f>
        <v>1494</v>
      </c>
    </row>
    <row r="36" spans="1:47" x14ac:dyDescent="0.2">
      <c r="A36" s="7">
        <f t="shared" ca="1" si="2"/>
        <v>43835</v>
      </c>
      <c r="B36" s="250">
        <f ca="1">SUMPRODUCT((TABELA_VAZAO[Posto]=B$2)*1,(TABELA_VAZAO[Data]=$A36)*1,TABELA_VAZAO[qinc])</f>
        <v>101</v>
      </c>
      <c r="C36" s="210">
        <f ca="1">SUMPRODUCT((TABELA_VAZAO[Posto]=C$2)*1,(TABELA_VAZAO[Data]=$A36)*1,TABELA_VAZAO[qnat])</f>
        <v>101</v>
      </c>
      <c r="D36" s="250">
        <f ca="1">SUMPRODUCT((TABELA_VAZAO[Posto]=D$2)*1,(TABELA_VAZAO[Data]=$A36)*1,TABELA_VAZAO[qinc])</f>
        <v>0</v>
      </c>
      <c r="E36" s="52">
        <f t="shared" ca="1" si="3"/>
        <v>101</v>
      </c>
      <c r="F36" s="250">
        <f ca="1">SUMPRODUCT((TABELA_VAZAO[Posto]=F$2)*1,(TABELA_VAZAO[Data]=$A36)*1,TABELA_VAZAO[qinc])</f>
        <v>182</v>
      </c>
      <c r="G36" s="210">
        <f ca="1">SUMPRODUCT((TABELA_VAZAO[Posto]=G$2)*1,(TABELA_VAZAO[Data]=$A36)*1,TABELA_VAZAO[qnat])</f>
        <v>277</v>
      </c>
      <c r="H36" s="67" t="e">
        <f ca="1">INDEX(RESULTADOS!$A:$BA,MATCH($A36,RESULTADOS!$A:$A,0),MATCH(H$1,RESULTADOS!$1:$1,0))</f>
        <v>#N/A</v>
      </c>
      <c r="I36" s="67" t="e">
        <f ca="1">INDEX(RESULTADOS!$A:$BA,MATCH($A36,RESULTADOS!$A:$A,0),MATCH(I$1,RESULTADOS!$1:$1,0))</f>
        <v>#N/A</v>
      </c>
      <c r="J36" s="67" t="e">
        <f ca="1">INDEX(RESULTADOS!$A:$BA,MATCH($A36,RESULTADOS!$A:$A,0),MATCH(J$1,RESULTADOS!$1:$1,0))</f>
        <v>#N/A</v>
      </c>
      <c r="K36" s="250">
        <f ca="1">SUMPRODUCT((TABELA_VAZAO[Posto]=K$2)*1,(TABELA_VAZAO[Data]=$A36)*1,TABELA_VAZAO[qinc])</f>
        <v>484</v>
      </c>
      <c r="L36" s="210">
        <f ca="1">SUMPRODUCT((TABELA_VAZAO[Posto]=L$2)*1,(TABELA_VAZAO[Data]=$A36)*1,TABELA_VAZAO[qnat])</f>
        <v>682</v>
      </c>
      <c r="M36" s="67" t="e">
        <f ca="1">INDEX(RESULTADOS!$A:$BA,MATCH($A36,RESULTADOS!$A:$A,0),MATCH(M$1,RESULTADOS!$1:$1,0))</f>
        <v>#N/A</v>
      </c>
      <c r="N36" s="250">
        <f ca="1">SUMPRODUCT((TABELA_VAZAO[Posto]=N$2)*1,(TABELA_VAZAO[Data]=$A36)*1,TABELA_VAZAO[qinc])</f>
        <v>178</v>
      </c>
      <c r="O36" s="210">
        <f ca="1">SUMPRODUCT((TABELA_VAZAO[Posto]=O$2)*1,(TABELA_VAZAO[Data]=$A36)*1,TABELA_VAZAO[qnat])</f>
        <v>784</v>
      </c>
      <c r="P36" s="250">
        <f ca="1">SUMPRODUCT((TABELA_VAZAO[Posto]=P$2)*1,(TABELA_VAZAO[Data]=$A36)*1,TABELA_VAZAO[qinc])</f>
        <v>41</v>
      </c>
      <c r="Q36" s="210">
        <f ca="1">SUMPRODUCT((TABELA_VAZAO[Posto]=Q$2)*1,(TABELA_VAZAO[Data]=$A36)*1,TABELA_VAZAO[qnat])</f>
        <v>805</v>
      </c>
      <c r="R36" s="250">
        <f ca="1">SUMPRODUCT((TABELA_VAZAO[Posto]=R$2)*1,(TABELA_VAZAO[Data]=$A36)*1,TABELA_VAZAO[qinc])</f>
        <v>17</v>
      </c>
      <c r="S36" s="210">
        <f ca="1">SUMPRODUCT((TABELA_VAZAO[Posto]=S$2)*1,(TABELA_VAZAO[Data]=$A36)*1,TABELA_VAZAO[qnat])</f>
        <v>806</v>
      </c>
      <c r="T36" s="250">
        <f ca="1">SUMPRODUCT((TABELA_VAZAO[Posto]=T$2)*1,(TABELA_VAZAO[Data]=$A36)*1,TABELA_VAZAO[qinc])</f>
        <v>48</v>
      </c>
      <c r="U36" s="210">
        <f ca="1">SUMPRODUCT((TABELA_VAZAO[Posto]=U$2)*1,(TABELA_VAZAO[Data]=$A36)*1,TABELA_VAZAO[qnat])</f>
        <v>821</v>
      </c>
      <c r="V36" s="250">
        <f ca="1">SUMPRODUCT((TABELA_VAZAO[Posto]=V$2)*1,(TABELA_VAZAO[Data]=$A36)*1,TABELA_VAZAO[qinc])</f>
        <v>108</v>
      </c>
      <c r="W36" s="210">
        <f ca="1">SUMPRODUCT((TABELA_VAZAO[Posto]=W$2)*1,(TABELA_VAZAO[Data]=$A36)*1,TABELA_VAZAO[qnat])</f>
        <v>890</v>
      </c>
      <c r="X36" s="8" t="e">
        <f t="shared" ca="1" si="4"/>
        <v>#N/A</v>
      </c>
      <c r="Y36" s="67" t="e">
        <f ca="1">INDEX(RESULTADOS!$A:$BA,MATCH($A36,RESULTADOS!$A:$A,0),MATCH(Y$1,RESULTADOS!$1:$1,0))</f>
        <v>#N/A</v>
      </c>
      <c r="Z36" s="250">
        <f ca="1">SUMPRODUCT((TABELA_VAZAO[Posto]=Z$2)*1,(TABELA_VAZAO[Data]=$A36)*1,TABELA_VAZAO[qinc])</f>
        <v>197</v>
      </c>
      <c r="AA36" s="210">
        <f ca="1">SUMPRODUCT((TABELA_VAZAO[Posto]=AA$2)*1,(TABELA_VAZAO[Data]=$A36)*1,TABELA_VAZAO[qnat])</f>
        <v>1052</v>
      </c>
      <c r="AB36" s="8"/>
      <c r="AC36" s="67" t="e">
        <f ca="1">INDEX(RESULTADOS!$A:$BA,MATCH($A36,RESULTADOS!$A:$A,0),MATCH(AC$1,RESULTADOS!$1:$1,0))</f>
        <v>#N/A</v>
      </c>
      <c r="AD36" s="250">
        <f ca="1">SUMPRODUCT((TABELA_VAZAO[Posto]=AD$2)*1,(TABELA_VAZAO[Data]=$A36)*1,TABELA_VAZAO[qinc])</f>
        <v>68</v>
      </c>
      <c r="AE36" s="210">
        <f ca="1">SUMPRODUCT((TABELA_VAZAO[Posto]=AE$2)*1,(TABELA_VAZAO[Data]=$A36)*1,TABELA_VAZAO[qnat])</f>
        <v>68</v>
      </c>
      <c r="AF36" s="250">
        <f ca="1">SUMPRODUCT((TABELA_VAZAO[Posto]=AF$2)*1,(TABELA_VAZAO[Data]=$A36)*1,TABELA_VAZAO[qinc])</f>
        <v>43</v>
      </c>
      <c r="AG36" s="210">
        <f ca="1">SUMPRODUCT((TABELA_VAZAO[Posto]=AG$2)*1,(TABELA_VAZAO[Data]=$A36)*1,TABELA_VAZAO[qnat])</f>
        <v>113</v>
      </c>
      <c r="AH36" s="250">
        <f ca="1">SUMPRODUCT((TABELA_VAZAO[Posto]=AH$2)*1,(TABELA_VAZAO[Data]=$A36)*1,TABELA_VAZAO[qinc])</f>
        <v>2</v>
      </c>
      <c r="AI36" s="210">
        <f ca="1">SUMPRODUCT((TABELA_VAZAO[Posto]=AI$2)*1,(TABELA_VAZAO[Data]=$A36)*1,TABELA_VAZAO[qnat])</f>
        <v>114</v>
      </c>
      <c r="AJ36" s="67" t="e">
        <f ca="1">INDEX(RESULTADOS!$A:$BA,MATCH($A36,RESULTADOS!$A:$A,0),MATCH(AJ$1,RESULTADOS!$1:$1,0))</f>
        <v>#N/A</v>
      </c>
      <c r="AK36" s="67" t="e">
        <f ca="1">INDEX(RESULTADOS!$A:$BA,MATCH($A36,RESULTADOS!$A:$A,0),MATCH(AK$1,RESULTADOS!$1:$1,0))</f>
        <v>#N/A</v>
      </c>
      <c r="AL36" s="9" t="e">
        <f t="shared" ca="1" si="5"/>
        <v>#N/A</v>
      </c>
      <c r="AM36" s="250">
        <f ca="1">SUMPRODUCT((TABELA_VAZAO[Posto]=AM$2)*1,(TABELA_VAZAO[Data]=$A36)*1,TABELA_VAZAO[qinc])</f>
        <v>378</v>
      </c>
      <c r="AN36" s="210">
        <f ca="1">SUMPRODUCT((TABELA_VAZAO[Posto]=AN$2)*1,(TABELA_VAZAO[Data]=$A36)*1,TABELA_VAZAO[qnat])</f>
        <v>1423</v>
      </c>
      <c r="AO36" s="250">
        <f ca="1">SUMPRODUCT((TABELA_VAZAO[Posto]=AO$2)*1,(TABELA_VAZAO[Data]=$A36)*1,TABELA_VAZAO[qinc])</f>
        <v>365</v>
      </c>
      <c r="AP36" s="210">
        <f ca="1">SUMPRODUCT((TABELA_VAZAO[Posto]=AP$2)*1,(TABELA_VAZAO[Data]=$A36)*1,TABELA_VAZAO[qnat])</f>
        <v>1612</v>
      </c>
    </row>
    <row r="37" spans="1:47" ht="13.5" thickBot="1" x14ac:dyDescent="0.25">
      <c r="A37" s="7">
        <f ca="1">A38-1</f>
        <v>43836</v>
      </c>
      <c r="B37" s="250">
        <f ca="1">SUMPRODUCT((TABELA_VAZAO[Posto]=B$2)*1,(TABELA_VAZAO[Data]=$A37)*1,TABELA_VAZAO[qinc])</f>
        <v>124</v>
      </c>
      <c r="C37" s="210">
        <f ca="1">SUMPRODUCT((TABELA_VAZAO[Posto]=C$2)*1,(TABELA_VAZAO[Data]=$A37)*1,TABELA_VAZAO[qnat])</f>
        <v>124</v>
      </c>
      <c r="D37" s="250">
        <f ca="1">SUMPRODUCT((TABELA_VAZAO[Posto]=D$2)*1,(TABELA_VAZAO[Data]=$A37)*1,TABELA_VAZAO[qinc])</f>
        <v>0</v>
      </c>
      <c r="E37" s="52">
        <f t="shared" ca="1" si="3"/>
        <v>124</v>
      </c>
      <c r="F37" s="250">
        <f ca="1">SUMPRODUCT((TABELA_VAZAO[Posto]=F$2)*1,(TABELA_VAZAO[Data]=$A37)*1,TABELA_VAZAO[qinc])</f>
        <v>275</v>
      </c>
      <c r="G37" s="210">
        <f ca="1">SUMPRODUCT((TABELA_VAZAO[Posto]=G$2)*1,(TABELA_VAZAO[Data]=$A37)*1,TABELA_VAZAO[qnat])</f>
        <v>386</v>
      </c>
      <c r="H37" s="67" t="e">
        <f ca="1">INDEX(RESULTADOS!$A:$BA,MATCH($A37,RESULTADOS!$A:$A,0),MATCH(H$1,RESULTADOS!$1:$1,0))</f>
        <v>#N/A</v>
      </c>
      <c r="I37" s="67" t="e">
        <f ca="1">INDEX(RESULTADOS!$A:$BA,MATCH($A37,RESULTADOS!$A:$A,0),MATCH(I$1,RESULTADOS!$1:$1,0))</f>
        <v>#N/A</v>
      </c>
      <c r="J37" s="67" t="e">
        <f ca="1">INDEX(RESULTADOS!$A:$BA,MATCH($A37,RESULTADOS!$A:$A,0),MATCH(J$1,RESULTADOS!$1:$1,0))</f>
        <v>#N/A</v>
      </c>
      <c r="K37" s="250">
        <f ca="1">SUMPRODUCT((TABELA_VAZAO[Posto]=K$2)*1,(TABELA_VAZAO[Data]=$A37)*1,TABELA_VAZAO[qinc])</f>
        <v>522</v>
      </c>
      <c r="L37" s="210">
        <f ca="1">SUMPRODUCT((TABELA_VAZAO[Posto]=L$2)*1,(TABELA_VAZAO[Data]=$A37)*1,TABELA_VAZAO[qnat])</f>
        <v>767</v>
      </c>
      <c r="M37" s="67" t="e">
        <f ca="1">INDEX(RESULTADOS!$A:$BA,MATCH($A37,RESULTADOS!$A:$A,0),MATCH(M$1,RESULTADOS!$1:$1,0))</f>
        <v>#N/A</v>
      </c>
      <c r="N37" s="250">
        <f ca="1">SUMPRODUCT((TABELA_VAZAO[Posto]=N$2)*1,(TABELA_VAZAO[Data]=$A37)*1,TABELA_VAZAO[qinc])</f>
        <v>198</v>
      </c>
      <c r="O37" s="210">
        <f ca="1">SUMPRODUCT((TABELA_VAZAO[Posto]=O$2)*1,(TABELA_VAZAO[Data]=$A37)*1,TABELA_VAZAO[qnat])</f>
        <v>884</v>
      </c>
      <c r="P37" s="250">
        <f ca="1">SUMPRODUCT((TABELA_VAZAO[Posto]=P$2)*1,(TABELA_VAZAO[Data]=$A37)*1,TABELA_VAZAO[qinc])</f>
        <v>46</v>
      </c>
      <c r="Q37" s="210">
        <f ca="1">SUMPRODUCT((TABELA_VAZAO[Posto]=Q$2)*1,(TABELA_VAZAO[Data]=$A37)*1,TABELA_VAZAO[qnat])</f>
        <v>900</v>
      </c>
      <c r="R37" s="250">
        <f ca="1">SUMPRODUCT((TABELA_VAZAO[Posto]=R$2)*1,(TABELA_VAZAO[Data]=$A37)*1,TABELA_VAZAO[qinc])</f>
        <v>19</v>
      </c>
      <c r="S37" s="210">
        <f ca="1">SUMPRODUCT((TABELA_VAZAO[Posto]=S$2)*1,(TABELA_VAZAO[Data]=$A37)*1,TABELA_VAZAO[qnat])</f>
        <v>899</v>
      </c>
      <c r="T37" s="250">
        <f ca="1">SUMPRODUCT((TABELA_VAZAO[Posto]=T$2)*1,(TABELA_VAZAO[Data]=$A37)*1,TABELA_VAZAO[qinc])</f>
        <v>54</v>
      </c>
      <c r="U37" s="210">
        <f ca="1">SUMPRODUCT((TABELA_VAZAO[Posto]=U$2)*1,(TABELA_VAZAO[Data]=$A37)*1,TABELA_VAZAO[qnat])</f>
        <v>914</v>
      </c>
      <c r="V37" s="250">
        <f ca="1">SUMPRODUCT((TABELA_VAZAO[Posto]=V$2)*1,(TABELA_VAZAO[Data]=$A37)*1,TABELA_VAZAO[qinc])</f>
        <v>121</v>
      </c>
      <c r="W37" s="210">
        <f ca="1">SUMPRODUCT((TABELA_VAZAO[Posto]=W$2)*1,(TABELA_VAZAO[Data]=$A37)*1,TABELA_VAZAO[qnat])</f>
        <v>989</v>
      </c>
      <c r="X37" s="8" t="e">
        <f t="shared" ca="1" si="4"/>
        <v>#N/A</v>
      </c>
      <c r="Y37" s="67" t="e">
        <f ca="1">INDEX(RESULTADOS!$A:$BA,MATCH($A37,RESULTADOS!$A:$A,0),MATCH(Y$1,RESULTADOS!$1:$1,0))</f>
        <v>#N/A</v>
      </c>
      <c r="Z37" s="250">
        <f ca="1">SUMPRODUCT((TABELA_VAZAO[Posto]=Z$2)*1,(TABELA_VAZAO[Data]=$A37)*1,TABELA_VAZAO[qinc])</f>
        <v>218</v>
      </c>
      <c r="AA37" s="210">
        <f ca="1">SUMPRODUCT((TABELA_VAZAO[Posto]=AA$2)*1,(TABELA_VAZAO[Data]=$A37)*1,TABELA_VAZAO[qnat])</f>
        <v>1161</v>
      </c>
      <c r="AB37" s="8"/>
      <c r="AC37" s="67" t="e">
        <f ca="1">INDEX(RESULTADOS!$A:$BA,MATCH($A37,RESULTADOS!$A:$A,0),MATCH(AC$1,RESULTADOS!$1:$1,0))</f>
        <v>#N/A</v>
      </c>
      <c r="AD37" s="250">
        <f ca="1">SUMPRODUCT((TABELA_VAZAO[Posto]=AD$2)*1,(TABELA_VAZAO[Data]=$A37)*1,TABELA_VAZAO[qinc])</f>
        <v>65</v>
      </c>
      <c r="AE37" s="210">
        <f ca="1">SUMPRODUCT((TABELA_VAZAO[Posto]=AE$2)*1,(TABELA_VAZAO[Data]=$A37)*1,TABELA_VAZAO[qnat])</f>
        <v>65</v>
      </c>
      <c r="AF37" s="250">
        <f ca="1">SUMPRODUCT((TABELA_VAZAO[Posto]=AF$2)*1,(TABELA_VAZAO[Data]=$A37)*1,TABELA_VAZAO[qinc])</f>
        <v>41</v>
      </c>
      <c r="AG37" s="210">
        <f ca="1">SUMPRODUCT((TABELA_VAZAO[Posto]=AG$2)*1,(TABELA_VAZAO[Data]=$A37)*1,TABELA_VAZAO[qnat])</f>
        <v>108</v>
      </c>
      <c r="AH37" s="250">
        <f ca="1">SUMPRODUCT((TABELA_VAZAO[Posto]=AH$2)*1,(TABELA_VAZAO[Data]=$A37)*1,TABELA_VAZAO[qinc])</f>
        <v>2</v>
      </c>
      <c r="AI37" s="210">
        <f ca="1">SUMPRODUCT((TABELA_VAZAO[Posto]=AI$2)*1,(TABELA_VAZAO[Data]=$A37)*1,TABELA_VAZAO[qnat])</f>
        <v>110</v>
      </c>
      <c r="AJ37" s="67" t="e">
        <f ca="1">INDEX(RESULTADOS!$A:$BA,MATCH($A37,RESULTADOS!$A:$A,0),MATCH(AJ$1,RESULTADOS!$1:$1,0))</f>
        <v>#N/A</v>
      </c>
      <c r="AK37" s="67" t="e">
        <f ca="1">INDEX(RESULTADOS!$A:$BA,MATCH($A37,RESULTADOS!$A:$A,0),MATCH(AK$1,RESULTADOS!$1:$1,0))</f>
        <v>#N/A</v>
      </c>
      <c r="AL37" s="9" t="e">
        <f t="shared" ca="1" si="5"/>
        <v>#N/A</v>
      </c>
      <c r="AM37" s="250">
        <f ca="1">SUMPRODUCT((TABELA_VAZAO[Posto]=AM$2)*1,(TABELA_VAZAO[Data]=$A37)*1,TABELA_VAZAO[qinc])</f>
        <v>456</v>
      </c>
      <c r="AN37" s="210">
        <f ca="1">SUMPRODUCT((TABELA_VAZAO[Posto]=AN$2)*1,(TABELA_VAZAO[Data]=$A37)*1,TABELA_VAZAO[qnat])</f>
        <v>1622</v>
      </c>
      <c r="AO37" s="250">
        <f ca="1">SUMPRODUCT((TABELA_VAZAO[Posto]=AO$2)*1,(TABELA_VAZAO[Data]=$A37)*1,TABELA_VAZAO[qinc])</f>
        <v>385</v>
      </c>
      <c r="AP37" s="210">
        <f ca="1">SUMPRODUCT((TABELA_VAZAO[Posto]=AP$2)*1,(TABELA_VAZAO[Data]=$A37)*1,TABELA_VAZAO[qnat])</f>
        <v>1781</v>
      </c>
    </row>
    <row r="38" spans="1:47" ht="13.5" thickBot="1" x14ac:dyDescent="0.25">
      <c r="A38" s="18">
        <f ca="1">_data</f>
        <v>43837</v>
      </c>
      <c r="B38" s="67" t="e">
        <f ca="1">INDEX(RESULTADOS!$A:$BA,MATCH($A38,RESULTADOS!$A:$A,0),MATCH(B$1,RESULTADOS!$1:$1,0))</f>
        <v>#N/A</v>
      </c>
      <c r="C38" s="10" t="e">
        <f t="shared" ref="C38:C50" ca="1" si="6">B38</f>
        <v>#N/A</v>
      </c>
      <c r="D38" s="10">
        <v>0</v>
      </c>
      <c r="E38" s="10" t="e">
        <f t="shared" ca="1" si="3"/>
        <v>#N/A</v>
      </c>
      <c r="F38" s="67" t="e">
        <f ca="1">INDEX(RESULTADOS!$A:$BA,MATCH($A38,RESULTADOS!$A:$A,0),MATCH(F$1,RESULTADOS!$1:$1,0))</f>
        <v>#N/A</v>
      </c>
      <c r="G38" s="10" t="e">
        <f ca="1">((E38*(24-$E$3)+E37*$E$3)/24)+F38</f>
        <v>#N/A</v>
      </c>
      <c r="H38" s="67" t="e">
        <f ca="1">INDEX(RESULTADOS!$A:$BA,MATCH($A38,RESULTADOS!$A:$A,0),MATCH(H$1,RESULTADOS!$1:$1,0))</f>
        <v>#N/A</v>
      </c>
      <c r="I38" s="67" t="e">
        <f ca="1">INDEX(RESULTADOS!$A:$BA,MATCH($A38,RESULTADOS!$A:$A,0),MATCH(I$1,RESULTADOS!$1:$1,0))</f>
        <v>#N/A</v>
      </c>
      <c r="J38" s="67" t="e">
        <f ca="1">INDEX(RESULTADOS!$A:$BA,MATCH($A38,RESULTADOS!$A:$A,0),MATCH(J$1,RESULTADOS!$1:$1,0))</f>
        <v>#N/A</v>
      </c>
      <c r="K38" s="71" t="e">
        <f ca="1">((I38*(24-$I$3)+I37*$I$3)/24)+((H38*(24-$H$3)+H37*$H$3)/24)+J38</f>
        <v>#N/A</v>
      </c>
      <c r="L38" s="10" t="e">
        <f t="shared" ref="L38:L49" ca="1" si="7">((I38*(24-$I$3)+I37*$I$3)/24)+((G37*(48-$G$3)+G36*($G$3-24))/24)+((H38*(24-$H$3)+H37*$H$3)/24)+J38</f>
        <v>#N/A</v>
      </c>
      <c r="M38" s="67" t="e">
        <f ca="1">INDEX(RESULTADOS!$A:$BA,MATCH($A38,RESULTADOS!$A:$A,0),MATCH(M$1,RESULTADOS!$1:$1,0))</f>
        <v>#N/A</v>
      </c>
      <c r="N38" s="10" t="e">
        <f t="shared" ref="N38:N70" ca="1" si="8">$N$4*$M38</f>
        <v>#N/A</v>
      </c>
      <c r="O38" s="10" t="e">
        <f t="shared" ref="O38:O50" ca="1" si="9">((L38*(24-$L$3)+L37*$L$3)/24)+N38</f>
        <v>#N/A</v>
      </c>
      <c r="P38" s="10" t="e">
        <f t="shared" ref="P38:P70" ca="1" si="10">$P$4*$M38</f>
        <v>#N/A</v>
      </c>
      <c r="Q38" s="10" t="e">
        <f t="shared" ref="Q38:Q50" ca="1" si="11">((O38*(24-$O$3)+O37*$O$3)/24)+P38</f>
        <v>#N/A</v>
      </c>
      <c r="R38" s="10" t="e">
        <f t="shared" ref="R38:R70" ca="1" si="12">$R$4*$M38</f>
        <v>#N/A</v>
      </c>
      <c r="S38" s="10" t="e">
        <f t="shared" ref="S38:S50" ca="1" si="13">((Q38*(24-$Q$3)+Q37*$Q$3)/24)+R38</f>
        <v>#N/A</v>
      </c>
      <c r="T38" s="10" t="e">
        <f t="shared" ref="T38:T70" ca="1" si="14">$T$4*$M38</f>
        <v>#N/A</v>
      </c>
      <c r="U38" s="10" t="e">
        <f t="shared" ref="U38:U50" ca="1" si="15">((S38*(24-$S$3)+S37*$S$3)/24)+T38</f>
        <v>#N/A</v>
      </c>
      <c r="V38" s="10" t="e">
        <f t="shared" ref="V38:V70" ca="1" si="16">$V$4*$M38</f>
        <v>#N/A</v>
      </c>
      <c r="W38" s="10" t="e">
        <f t="shared" ref="W38:W50" ca="1" si="17">((U38*(24-$U$3)+U37*$U$3)/24)+V38</f>
        <v>#N/A</v>
      </c>
      <c r="X38" s="11" t="e">
        <f t="shared" ca="1" si="4"/>
        <v>#N/A</v>
      </c>
      <c r="Y38" s="67" t="e">
        <f ca="1">INDEX(RESULTADOS!$A:$BA,MATCH($A38,RESULTADOS!$A:$A,0),MATCH(Y$1,RESULTADOS!$1:$1,0))</f>
        <v>#N/A</v>
      </c>
      <c r="Z38" s="10" t="e">
        <f t="shared" ref="Z38:Z50" ca="1" si="18">((Y38*(24-$Y$3)+Y37*$Y$3)/24)+X38</f>
        <v>#N/A</v>
      </c>
      <c r="AA38" s="10" t="e">
        <f t="shared" ref="AA38:AA50" ca="1" si="19">((W38*(24-$W$3)+W37*$W$3)/24)+((Y38*(24-$Y$3)+Y37*$Y$3)/24)+X38</f>
        <v>#N/A</v>
      </c>
      <c r="AB38" s="11"/>
      <c r="AC38" s="67" t="e">
        <f ca="1">INDEX(RESULTADOS!$A:$BA,MATCH($A38,RESULTADOS!$A:$A,0),MATCH(AC$1,RESULTADOS!$1:$1,0))</f>
        <v>#N/A</v>
      </c>
      <c r="AD38" s="10" t="e">
        <f t="shared" ref="AD38:AD70" ca="1" si="20">$AD$4*$AC38</f>
        <v>#N/A</v>
      </c>
      <c r="AE38" s="10" t="e">
        <f t="shared" ref="AE38:AE50" ca="1" si="21">AD38</f>
        <v>#N/A</v>
      </c>
      <c r="AF38" s="10" t="e">
        <f t="shared" ref="AF38:AF70" ca="1" si="22">$AF$4*$AC38</f>
        <v>#N/A</v>
      </c>
      <c r="AG38" s="10" t="e">
        <f t="shared" ref="AG38:AG50" ca="1" si="23">((AE38*(24-$AE$3)+AE37*$AE$3)/24)+AF38</f>
        <v>#N/A</v>
      </c>
      <c r="AH38" s="10" t="e">
        <f t="shared" ref="AH38:AH71" ca="1" si="24">ROUND($AH$4*$AK38,2)</f>
        <v>#N/A</v>
      </c>
      <c r="AI38" s="10" t="e">
        <f t="shared" ref="AI38:AI50" ca="1" si="25">((AG38*(24-$AG$3)+AG37*$AG$3)/24)+AH38</f>
        <v>#N/A</v>
      </c>
      <c r="AJ38" s="67" t="e">
        <f ca="1">INDEX(RESULTADOS!$A:$BA,MATCH($A38,RESULTADOS!$A:$A,0),MATCH(AJ$1,RESULTADOS!$1:$1,0))</f>
        <v>#N/A</v>
      </c>
      <c r="AK38" s="67" t="e">
        <f ca="1">INDEX(RESULTADOS!$A:$BA,MATCH($A38,RESULTADOS!$A:$A,0),MATCH(AK$1,RESULTADOS!$1:$1,0))</f>
        <v>#N/A</v>
      </c>
      <c r="AL38" s="13" t="e">
        <f t="shared" ca="1" si="5"/>
        <v>#N/A</v>
      </c>
      <c r="AM38" s="14" t="e">
        <f ca="1">((AJ38*(24-$AJ$3)+AJ37*$AJ$3)/24)+AL38</f>
        <v>#N/A</v>
      </c>
      <c r="AN38" s="10" t="e">
        <f t="shared" ref="AN38:AN50" ca="1" si="26">(((AI36*(96-AI$3))+(AI35*(AI$3-72)))/24)+(((AA38*(24-AA$3))+(AA37*AA$3))/24)+AM38</f>
        <v>#N/A</v>
      </c>
      <c r="AO38" s="67" t="e">
        <f ca="1">INDEX(RESULTADOS!$A:$BA,MATCH($A38,RESULTADOS!$A:$A,0),MATCH(AO$1,RESULTADOS!$1:$1,0))</f>
        <v>#N/A</v>
      </c>
      <c r="AP38" s="10" t="e">
        <f t="shared" ref="AP38:AP50" ca="1" si="27">((AN37*(48-AN$3))+(AN36*(AN$3-24)))/24+AO38</f>
        <v>#N/A</v>
      </c>
      <c r="AR38" s="278"/>
      <c r="AS38" s="278"/>
      <c r="AT38" s="331"/>
    </row>
    <row r="39" spans="1:47" x14ac:dyDescent="0.2">
      <c r="A39" s="7">
        <f ca="1">A38+1</f>
        <v>43838</v>
      </c>
      <c r="B39" s="67" t="e">
        <f ca="1">INDEX(RESULTADOS!$A:$BA,MATCH($A39,RESULTADOS!$A:$A,0),MATCH(B$1,RESULTADOS!$1:$1,0))</f>
        <v>#N/A</v>
      </c>
      <c r="C39" s="10" t="e">
        <f t="shared" ca="1" si="6"/>
        <v>#N/A</v>
      </c>
      <c r="D39" s="10">
        <v>0</v>
      </c>
      <c r="E39" s="10" t="e">
        <f t="shared" ca="1" si="3"/>
        <v>#N/A</v>
      </c>
      <c r="F39" s="67" t="e">
        <f ca="1">INDEX(RESULTADOS!$A:$BA,MATCH($A39,RESULTADOS!$A:$A,0),MATCH(F$1,RESULTADOS!$1:$1,0))</f>
        <v>#N/A</v>
      </c>
      <c r="G39" s="10" t="e">
        <f t="shared" ref="G39:G49" ca="1" si="28">((E39*(24-$E$3)+E38*$E$3)/24)+F39</f>
        <v>#N/A</v>
      </c>
      <c r="H39" s="67" t="e">
        <f ca="1">INDEX(RESULTADOS!$A:$BA,MATCH($A39,RESULTADOS!$A:$A,0),MATCH(H$1,RESULTADOS!$1:$1,0))</f>
        <v>#N/A</v>
      </c>
      <c r="I39" s="67" t="e">
        <f ca="1">INDEX(RESULTADOS!$A:$BA,MATCH($A39,RESULTADOS!$A:$A,0),MATCH(I$1,RESULTADOS!$1:$1,0))</f>
        <v>#N/A</v>
      </c>
      <c r="J39" s="67" t="e">
        <f ca="1">INDEX(RESULTADOS!$A:$BA,MATCH($A39,RESULTADOS!$A:$A,0),MATCH(J$1,RESULTADOS!$1:$1,0))</f>
        <v>#N/A</v>
      </c>
      <c r="K39" s="71" t="e">
        <f t="shared" ref="K39:K49" ca="1" si="29">((I39*(24-$I$3)+I38*$I$3)/24)+((H39*(24-$H$3)+H38*$H$3)/24)+J39</f>
        <v>#N/A</v>
      </c>
      <c r="L39" s="10" t="e">
        <f t="shared" ca="1" si="7"/>
        <v>#N/A</v>
      </c>
      <c r="M39" s="67" t="e">
        <f ca="1">INDEX(RESULTADOS!$A:$BA,MATCH($A39,RESULTADOS!$A:$A,0),MATCH(M$1,RESULTADOS!$1:$1,0))</f>
        <v>#N/A</v>
      </c>
      <c r="N39" s="10" t="e">
        <f t="shared" ca="1" si="8"/>
        <v>#N/A</v>
      </c>
      <c r="O39" s="10" t="e">
        <f t="shared" ca="1" si="9"/>
        <v>#N/A</v>
      </c>
      <c r="P39" s="10" t="e">
        <f t="shared" ca="1" si="10"/>
        <v>#N/A</v>
      </c>
      <c r="Q39" s="10" t="e">
        <f t="shared" ca="1" si="11"/>
        <v>#N/A</v>
      </c>
      <c r="R39" s="10" t="e">
        <f t="shared" ca="1" si="12"/>
        <v>#N/A</v>
      </c>
      <c r="S39" s="10" t="e">
        <f t="shared" ca="1" si="13"/>
        <v>#N/A</v>
      </c>
      <c r="T39" s="10" t="e">
        <f t="shared" ca="1" si="14"/>
        <v>#N/A</v>
      </c>
      <c r="U39" s="10" t="e">
        <f t="shared" ca="1" si="15"/>
        <v>#N/A</v>
      </c>
      <c r="V39" s="10" t="e">
        <f t="shared" ca="1" si="16"/>
        <v>#N/A</v>
      </c>
      <c r="W39" s="10" t="e">
        <f t="shared" ca="1" si="17"/>
        <v>#N/A</v>
      </c>
      <c r="X39" s="11" t="e">
        <f t="shared" ca="1" si="4"/>
        <v>#N/A</v>
      </c>
      <c r="Y39" s="67" t="e">
        <f ca="1">INDEX(RESULTADOS!$A:$BA,MATCH($A39,RESULTADOS!$A:$A,0),MATCH(Y$1,RESULTADOS!$1:$1,0))</f>
        <v>#N/A</v>
      </c>
      <c r="Z39" s="10" t="e">
        <f t="shared" ca="1" si="18"/>
        <v>#N/A</v>
      </c>
      <c r="AA39" s="10" t="e">
        <f t="shared" ca="1" si="19"/>
        <v>#N/A</v>
      </c>
      <c r="AB39" s="11"/>
      <c r="AC39" s="67" t="e">
        <f ca="1">INDEX(RESULTADOS!$A:$BA,MATCH($A39,RESULTADOS!$A:$A,0),MATCH(AC$1,RESULTADOS!$1:$1,0))</f>
        <v>#N/A</v>
      </c>
      <c r="AD39" s="10" t="e">
        <f t="shared" ca="1" si="20"/>
        <v>#N/A</v>
      </c>
      <c r="AE39" s="10" t="e">
        <f t="shared" ca="1" si="21"/>
        <v>#N/A</v>
      </c>
      <c r="AF39" s="10" t="e">
        <f t="shared" ca="1" si="22"/>
        <v>#N/A</v>
      </c>
      <c r="AG39" s="10" t="e">
        <f t="shared" ca="1" si="23"/>
        <v>#N/A</v>
      </c>
      <c r="AH39" s="10" t="e">
        <f t="shared" ca="1" si="24"/>
        <v>#N/A</v>
      </c>
      <c r="AI39" s="10" t="e">
        <f t="shared" ca="1" si="25"/>
        <v>#N/A</v>
      </c>
      <c r="AJ39" s="67" t="e">
        <f ca="1">INDEX(RESULTADOS!$A:$BA,MATCH($A39,RESULTADOS!$A:$A,0),MATCH(AJ$1,RESULTADOS!$1:$1,0))</f>
        <v>#N/A</v>
      </c>
      <c r="AK39" s="67" t="e">
        <f ca="1">INDEX(RESULTADOS!$A:$BA,MATCH($A39,RESULTADOS!$A:$A,0),MATCH(AK$1,RESULTADOS!$1:$1,0))</f>
        <v>#N/A</v>
      </c>
      <c r="AL39" s="13" t="e">
        <f t="shared" ca="1" si="5"/>
        <v>#N/A</v>
      </c>
      <c r="AM39" s="14" t="e">
        <f t="shared" ref="AM39:AM50" ca="1" si="30">((AJ39*(24-$AJ$3)+AJ38*$AJ$3)/24)+AL39</f>
        <v>#N/A</v>
      </c>
      <c r="AN39" s="10" t="e">
        <f t="shared" ca="1" si="26"/>
        <v>#N/A</v>
      </c>
      <c r="AO39" s="67" t="e">
        <f ca="1">INDEX(RESULTADOS!$A:$BA,MATCH($A39,RESULTADOS!$A:$A,0),MATCH(AO$1,RESULTADOS!$1:$1,0))</f>
        <v>#N/A</v>
      </c>
      <c r="AP39" s="10" t="e">
        <f t="shared" ca="1" si="27"/>
        <v>#N/A</v>
      </c>
      <c r="AR39" s="278"/>
      <c r="AS39" s="278"/>
      <c r="AT39" s="331"/>
      <c r="AU39" s="272"/>
    </row>
    <row r="40" spans="1:47" x14ac:dyDescent="0.2">
      <c r="A40" s="7">
        <f t="shared" ref="A40:A50" ca="1" si="31">A39+1</f>
        <v>43839</v>
      </c>
      <c r="B40" s="67" t="e">
        <f ca="1">INDEX(RESULTADOS!$A:$BA,MATCH($A40,RESULTADOS!$A:$A,0),MATCH(B$1,RESULTADOS!$1:$1,0))</f>
        <v>#N/A</v>
      </c>
      <c r="C40" s="10" t="e">
        <f t="shared" ca="1" si="6"/>
        <v>#N/A</v>
      </c>
      <c r="D40" s="10">
        <v>0</v>
      </c>
      <c r="E40" s="10" t="e">
        <f t="shared" ca="1" si="3"/>
        <v>#N/A</v>
      </c>
      <c r="F40" s="67" t="e">
        <f ca="1">INDEX(RESULTADOS!$A:$BA,MATCH($A40,RESULTADOS!$A:$A,0),MATCH(F$1,RESULTADOS!$1:$1,0))</f>
        <v>#N/A</v>
      </c>
      <c r="G40" s="10" t="e">
        <f t="shared" ca="1" si="28"/>
        <v>#N/A</v>
      </c>
      <c r="H40" s="67" t="e">
        <f ca="1">INDEX(RESULTADOS!$A:$BA,MATCH($A40,RESULTADOS!$A:$A,0),MATCH(H$1,RESULTADOS!$1:$1,0))</f>
        <v>#N/A</v>
      </c>
      <c r="I40" s="67" t="e">
        <f ca="1">INDEX(RESULTADOS!$A:$BA,MATCH($A40,RESULTADOS!$A:$A,0),MATCH(I$1,RESULTADOS!$1:$1,0))</f>
        <v>#N/A</v>
      </c>
      <c r="J40" s="67" t="e">
        <f ca="1">INDEX(RESULTADOS!$A:$BA,MATCH($A40,RESULTADOS!$A:$A,0),MATCH(J$1,RESULTADOS!$1:$1,0))</f>
        <v>#N/A</v>
      </c>
      <c r="K40" s="71" t="e">
        <f t="shared" ca="1" si="29"/>
        <v>#N/A</v>
      </c>
      <c r="L40" s="10" t="e">
        <f t="shared" ca="1" si="7"/>
        <v>#N/A</v>
      </c>
      <c r="M40" s="67" t="e">
        <f ca="1">INDEX(RESULTADOS!$A:$BA,MATCH($A40,RESULTADOS!$A:$A,0),MATCH(M$1,RESULTADOS!$1:$1,0))</f>
        <v>#N/A</v>
      </c>
      <c r="N40" s="10" t="e">
        <f t="shared" ca="1" si="8"/>
        <v>#N/A</v>
      </c>
      <c r="O40" s="10" t="e">
        <f t="shared" ca="1" si="9"/>
        <v>#N/A</v>
      </c>
      <c r="P40" s="10" t="e">
        <f t="shared" ca="1" si="10"/>
        <v>#N/A</v>
      </c>
      <c r="Q40" s="10" t="e">
        <f t="shared" ca="1" si="11"/>
        <v>#N/A</v>
      </c>
      <c r="R40" s="10" t="e">
        <f t="shared" ca="1" si="12"/>
        <v>#N/A</v>
      </c>
      <c r="S40" s="10" t="e">
        <f t="shared" ca="1" si="13"/>
        <v>#N/A</v>
      </c>
      <c r="T40" s="10" t="e">
        <f t="shared" ca="1" si="14"/>
        <v>#N/A</v>
      </c>
      <c r="U40" s="10" t="e">
        <f t="shared" ca="1" si="15"/>
        <v>#N/A</v>
      </c>
      <c r="V40" s="10" t="e">
        <f t="shared" ca="1" si="16"/>
        <v>#N/A</v>
      </c>
      <c r="W40" s="10" t="e">
        <f t="shared" ca="1" si="17"/>
        <v>#N/A</v>
      </c>
      <c r="X40" s="11" t="e">
        <f t="shared" ca="1" si="4"/>
        <v>#N/A</v>
      </c>
      <c r="Y40" s="67" t="e">
        <f ca="1">INDEX(RESULTADOS!$A:$BA,MATCH($A40,RESULTADOS!$A:$A,0),MATCH(Y$1,RESULTADOS!$1:$1,0))</f>
        <v>#N/A</v>
      </c>
      <c r="Z40" s="10" t="e">
        <f t="shared" ca="1" si="18"/>
        <v>#N/A</v>
      </c>
      <c r="AA40" s="15" t="e">
        <f t="shared" ca="1" si="19"/>
        <v>#N/A</v>
      </c>
      <c r="AB40" s="11"/>
      <c r="AC40" s="67" t="e">
        <f ca="1">INDEX(RESULTADOS!$A:$BA,MATCH($A40,RESULTADOS!$A:$A,0),MATCH(AC$1,RESULTADOS!$1:$1,0))</f>
        <v>#N/A</v>
      </c>
      <c r="AD40" s="10" t="e">
        <f t="shared" ca="1" si="20"/>
        <v>#N/A</v>
      </c>
      <c r="AE40" s="10" t="e">
        <f t="shared" ca="1" si="21"/>
        <v>#N/A</v>
      </c>
      <c r="AF40" s="10" t="e">
        <f t="shared" ca="1" si="22"/>
        <v>#N/A</v>
      </c>
      <c r="AG40" s="10" t="e">
        <f t="shared" ca="1" si="23"/>
        <v>#N/A</v>
      </c>
      <c r="AH40" s="10" t="e">
        <f t="shared" ca="1" si="24"/>
        <v>#N/A</v>
      </c>
      <c r="AI40" s="10" t="e">
        <f t="shared" ca="1" si="25"/>
        <v>#N/A</v>
      </c>
      <c r="AJ40" s="67" t="e">
        <f ca="1">INDEX(RESULTADOS!$A:$BA,MATCH($A40,RESULTADOS!$A:$A,0),MATCH(AJ$1,RESULTADOS!$1:$1,0))</f>
        <v>#N/A</v>
      </c>
      <c r="AK40" s="67" t="e">
        <f ca="1">INDEX(RESULTADOS!$A:$BA,MATCH($A40,RESULTADOS!$A:$A,0),MATCH(AK$1,RESULTADOS!$1:$1,0))</f>
        <v>#N/A</v>
      </c>
      <c r="AL40" s="13" t="e">
        <f t="shared" ca="1" si="5"/>
        <v>#N/A</v>
      </c>
      <c r="AM40" s="14" t="e">
        <f t="shared" ca="1" si="30"/>
        <v>#N/A</v>
      </c>
      <c r="AN40" s="10" t="e">
        <f t="shared" ca="1" si="26"/>
        <v>#N/A</v>
      </c>
      <c r="AO40" s="67" t="e">
        <f ca="1">INDEX(RESULTADOS!$A:$BA,MATCH($A40,RESULTADOS!$A:$A,0),MATCH(AO$1,RESULTADOS!$1:$1,0))</f>
        <v>#N/A</v>
      </c>
      <c r="AP40" s="10" t="e">
        <f t="shared" ca="1" si="27"/>
        <v>#N/A</v>
      </c>
      <c r="AR40" s="278"/>
      <c r="AS40" s="278"/>
      <c r="AT40" s="331"/>
      <c r="AU40" s="272"/>
    </row>
    <row r="41" spans="1:47" x14ac:dyDescent="0.2">
      <c r="A41" s="69">
        <f t="shared" ca="1" si="31"/>
        <v>43840</v>
      </c>
      <c r="B41" s="67" t="e">
        <f ca="1">INDEX(RESULTADOS!$A:$BA,MATCH($A41,RESULTADOS!$A:$A,0),MATCH(B$1,RESULTADOS!$1:$1,0))</f>
        <v>#N/A</v>
      </c>
      <c r="C41" s="72" t="e">
        <f t="shared" ca="1" si="6"/>
        <v>#N/A</v>
      </c>
      <c r="D41" s="72">
        <v>0</v>
      </c>
      <c r="E41" s="72" t="e">
        <f t="shared" ca="1" si="3"/>
        <v>#N/A</v>
      </c>
      <c r="F41" s="67" t="e">
        <f ca="1">INDEX(RESULTADOS!$A:$BA,MATCH($A41,RESULTADOS!$A:$A,0),MATCH(F$1,RESULTADOS!$1:$1,0))</f>
        <v>#N/A</v>
      </c>
      <c r="G41" s="72" t="e">
        <f t="shared" ca="1" si="28"/>
        <v>#N/A</v>
      </c>
      <c r="H41" s="67" t="e">
        <f ca="1">INDEX(RESULTADOS!$A:$BA,MATCH($A41,RESULTADOS!$A:$A,0),MATCH(H$1,RESULTADOS!$1:$1,0))</f>
        <v>#N/A</v>
      </c>
      <c r="I41" s="67" t="e">
        <f ca="1">INDEX(RESULTADOS!$A:$BA,MATCH($A41,RESULTADOS!$A:$A,0),MATCH(I$1,RESULTADOS!$1:$1,0))</f>
        <v>#N/A</v>
      </c>
      <c r="J41" s="67" t="e">
        <f ca="1">INDEX(RESULTADOS!$A:$BA,MATCH($A41,RESULTADOS!$A:$A,0),MATCH(J$1,RESULTADOS!$1:$1,0))</f>
        <v>#N/A</v>
      </c>
      <c r="K41" s="74" t="e">
        <f t="shared" ca="1" si="29"/>
        <v>#N/A</v>
      </c>
      <c r="L41" s="72" t="e">
        <f t="shared" ca="1" si="7"/>
        <v>#N/A</v>
      </c>
      <c r="M41" s="67" t="e">
        <f ca="1">INDEX(RESULTADOS!$A:$BA,MATCH($A41,RESULTADOS!$A:$A,0),MATCH(M$1,RESULTADOS!$1:$1,0))</f>
        <v>#N/A</v>
      </c>
      <c r="N41" s="74" t="e">
        <f t="shared" ca="1" si="8"/>
        <v>#N/A</v>
      </c>
      <c r="O41" s="72" t="e">
        <f t="shared" ca="1" si="9"/>
        <v>#N/A</v>
      </c>
      <c r="P41" s="72" t="e">
        <f t="shared" ca="1" si="10"/>
        <v>#N/A</v>
      </c>
      <c r="Q41" s="72" t="e">
        <f t="shared" ca="1" si="11"/>
        <v>#N/A</v>
      </c>
      <c r="R41" s="72" t="e">
        <f t="shared" ca="1" si="12"/>
        <v>#N/A</v>
      </c>
      <c r="S41" s="72" t="e">
        <f t="shared" ca="1" si="13"/>
        <v>#N/A</v>
      </c>
      <c r="T41" s="72" t="e">
        <f t="shared" ca="1" si="14"/>
        <v>#N/A</v>
      </c>
      <c r="U41" s="72" t="e">
        <f t="shared" ca="1" si="15"/>
        <v>#N/A</v>
      </c>
      <c r="V41" s="72" t="e">
        <f t="shared" ca="1" si="16"/>
        <v>#N/A</v>
      </c>
      <c r="W41" s="72" t="e">
        <f t="shared" ca="1" si="17"/>
        <v>#N/A</v>
      </c>
      <c r="X41" s="72" t="e">
        <f t="shared" ca="1" si="4"/>
        <v>#N/A</v>
      </c>
      <c r="Y41" s="67" t="e">
        <f ca="1">INDEX(RESULTADOS!$A:$BA,MATCH($A41,RESULTADOS!$A:$A,0),MATCH(Y$1,RESULTADOS!$1:$1,0))</f>
        <v>#N/A</v>
      </c>
      <c r="Z41" s="72" t="e">
        <f t="shared" ca="1" si="18"/>
        <v>#N/A</v>
      </c>
      <c r="AA41" s="75" t="e">
        <f t="shared" ca="1" si="19"/>
        <v>#N/A</v>
      </c>
      <c r="AB41" s="72"/>
      <c r="AC41" s="67" t="e">
        <f ca="1">INDEX(RESULTADOS!$A:$BA,MATCH($A41,RESULTADOS!$A:$A,0),MATCH(AC$1,RESULTADOS!$1:$1,0))</f>
        <v>#N/A</v>
      </c>
      <c r="AD41" s="72" t="e">
        <f t="shared" ca="1" si="20"/>
        <v>#N/A</v>
      </c>
      <c r="AE41" s="72" t="e">
        <f t="shared" ca="1" si="21"/>
        <v>#N/A</v>
      </c>
      <c r="AF41" s="72" t="e">
        <f t="shared" ca="1" si="22"/>
        <v>#N/A</v>
      </c>
      <c r="AG41" s="72" t="e">
        <f t="shared" ca="1" si="23"/>
        <v>#N/A</v>
      </c>
      <c r="AH41" s="72" t="e">
        <f t="shared" ca="1" si="24"/>
        <v>#N/A</v>
      </c>
      <c r="AI41" s="72" t="e">
        <f t="shared" ca="1" si="25"/>
        <v>#N/A</v>
      </c>
      <c r="AJ41" s="67" t="e">
        <f ca="1">INDEX(RESULTADOS!$A:$BA,MATCH($A41,RESULTADOS!$A:$A,0),MATCH(AJ$1,RESULTADOS!$1:$1,0))</f>
        <v>#N/A</v>
      </c>
      <c r="AK41" s="67" t="e">
        <f ca="1">INDEX(RESULTADOS!$A:$BA,MATCH($A41,RESULTADOS!$A:$A,0),MATCH(AK$1,RESULTADOS!$1:$1,0))</f>
        <v>#N/A</v>
      </c>
      <c r="AL41" s="76" t="e">
        <f t="shared" ca="1" si="5"/>
        <v>#N/A</v>
      </c>
      <c r="AM41" s="76" t="e">
        <f t="shared" ca="1" si="30"/>
        <v>#N/A</v>
      </c>
      <c r="AN41" s="72" t="e">
        <f t="shared" ca="1" si="26"/>
        <v>#N/A</v>
      </c>
      <c r="AO41" s="67" t="e">
        <f ca="1">INDEX(RESULTADOS!$A:$BA,MATCH($A41,RESULTADOS!$A:$A,0),MATCH(AO$1,RESULTADOS!$1:$1,0))</f>
        <v>#N/A</v>
      </c>
      <c r="AP41" s="72" t="e">
        <f t="shared" ca="1" si="27"/>
        <v>#N/A</v>
      </c>
      <c r="AR41" s="278"/>
      <c r="AS41" s="278"/>
      <c r="AT41" s="331"/>
      <c r="AU41" s="272"/>
    </row>
    <row r="42" spans="1:47" x14ac:dyDescent="0.2">
      <c r="A42" s="7">
        <f t="shared" ca="1" si="31"/>
        <v>43841</v>
      </c>
      <c r="B42" s="67" t="e">
        <f ca="1">INDEX(RESULTADOS!$A:$BA,MATCH($A42,RESULTADOS!$A:$A,0),MATCH(B$1,RESULTADOS!$1:$1,0))</f>
        <v>#N/A</v>
      </c>
      <c r="C42" s="10" t="e">
        <f t="shared" ca="1" si="6"/>
        <v>#N/A</v>
      </c>
      <c r="D42" s="10">
        <v>0</v>
      </c>
      <c r="E42" s="10" t="e">
        <f t="shared" ca="1" si="3"/>
        <v>#N/A</v>
      </c>
      <c r="F42" s="67" t="e">
        <f ca="1">INDEX(RESULTADOS!$A:$BA,MATCH($A42,RESULTADOS!$A:$A,0),MATCH(F$1,RESULTADOS!$1:$1,0))</f>
        <v>#N/A</v>
      </c>
      <c r="G42" s="10" t="e">
        <f t="shared" ca="1" si="28"/>
        <v>#N/A</v>
      </c>
      <c r="H42" s="67" t="e">
        <f ca="1">INDEX(RESULTADOS!$A:$BA,MATCH($A42,RESULTADOS!$A:$A,0),MATCH(H$1,RESULTADOS!$1:$1,0))</f>
        <v>#N/A</v>
      </c>
      <c r="I42" s="67" t="e">
        <f ca="1">INDEX(RESULTADOS!$A:$BA,MATCH($A42,RESULTADOS!$A:$A,0),MATCH(I$1,RESULTADOS!$1:$1,0))</f>
        <v>#N/A</v>
      </c>
      <c r="J42" s="67" t="e">
        <f ca="1">INDEX(RESULTADOS!$A:$BA,MATCH($A42,RESULTADOS!$A:$A,0),MATCH(J$1,RESULTADOS!$1:$1,0))</f>
        <v>#N/A</v>
      </c>
      <c r="K42" s="71" t="e">
        <f t="shared" ca="1" si="29"/>
        <v>#N/A</v>
      </c>
      <c r="L42" s="10" t="e">
        <f t="shared" ca="1" si="7"/>
        <v>#N/A</v>
      </c>
      <c r="M42" s="67" t="e">
        <f ca="1">INDEX(RESULTADOS!$A:$BA,MATCH($A42,RESULTADOS!$A:$A,0),MATCH(M$1,RESULTADOS!$1:$1,0))</f>
        <v>#N/A</v>
      </c>
      <c r="N42" s="71" t="e">
        <f t="shared" ca="1" si="8"/>
        <v>#N/A</v>
      </c>
      <c r="O42" s="10" t="e">
        <f t="shared" ca="1" si="9"/>
        <v>#N/A</v>
      </c>
      <c r="P42" s="10" t="e">
        <f t="shared" ca="1" si="10"/>
        <v>#N/A</v>
      </c>
      <c r="Q42" s="10" t="e">
        <f t="shared" ca="1" si="11"/>
        <v>#N/A</v>
      </c>
      <c r="R42" s="10" t="e">
        <f t="shared" ca="1" si="12"/>
        <v>#N/A</v>
      </c>
      <c r="S42" s="10" t="e">
        <f t="shared" ca="1" si="13"/>
        <v>#N/A</v>
      </c>
      <c r="T42" s="10" t="e">
        <f t="shared" ca="1" si="14"/>
        <v>#N/A</v>
      </c>
      <c r="U42" s="10" t="e">
        <f t="shared" ca="1" si="15"/>
        <v>#N/A</v>
      </c>
      <c r="V42" s="10" t="e">
        <f t="shared" ca="1" si="16"/>
        <v>#N/A</v>
      </c>
      <c r="W42" s="10" t="e">
        <f t="shared" ca="1" si="17"/>
        <v>#N/A</v>
      </c>
      <c r="X42" s="11" t="e">
        <f t="shared" ca="1" si="4"/>
        <v>#N/A</v>
      </c>
      <c r="Y42" s="67" t="e">
        <f ca="1">INDEX(RESULTADOS!$A:$BA,MATCH($A42,RESULTADOS!$A:$A,0),MATCH(Y$1,RESULTADOS!$1:$1,0))</f>
        <v>#N/A</v>
      </c>
      <c r="Z42" s="10" t="e">
        <f t="shared" ca="1" si="18"/>
        <v>#N/A</v>
      </c>
      <c r="AA42" s="15" t="e">
        <f t="shared" ca="1" si="19"/>
        <v>#N/A</v>
      </c>
      <c r="AB42" s="11"/>
      <c r="AC42" s="67" t="e">
        <f ca="1">INDEX(RESULTADOS!$A:$BA,MATCH($A42,RESULTADOS!$A:$A,0),MATCH(AC$1,RESULTADOS!$1:$1,0))</f>
        <v>#N/A</v>
      </c>
      <c r="AD42" s="10" t="e">
        <f t="shared" ca="1" si="20"/>
        <v>#N/A</v>
      </c>
      <c r="AE42" s="10" t="e">
        <f t="shared" ca="1" si="21"/>
        <v>#N/A</v>
      </c>
      <c r="AF42" s="10" t="e">
        <f t="shared" ca="1" si="22"/>
        <v>#N/A</v>
      </c>
      <c r="AG42" s="10" t="e">
        <f t="shared" ca="1" si="23"/>
        <v>#N/A</v>
      </c>
      <c r="AH42" s="10" t="e">
        <f t="shared" ca="1" si="24"/>
        <v>#N/A</v>
      </c>
      <c r="AI42" s="10" t="e">
        <f t="shared" ca="1" si="25"/>
        <v>#N/A</v>
      </c>
      <c r="AJ42" s="67" t="e">
        <f ca="1">INDEX(RESULTADOS!$A:$BA,MATCH($A42,RESULTADOS!$A:$A,0),MATCH(AJ$1,RESULTADOS!$1:$1,0))</f>
        <v>#N/A</v>
      </c>
      <c r="AK42" s="67" t="e">
        <f ca="1">INDEX(RESULTADOS!$A:$BA,MATCH($A42,RESULTADOS!$A:$A,0),MATCH(AK$1,RESULTADOS!$1:$1,0))</f>
        <v>#N/A</v>
      </c>
      <c r="AL42" s="13" t="e">
        <f t="shared" ca="1" si="5"/>
        <v>#N/A</v>
      </c>
      <c r="AM42" s="14" t="e">
        <f t="shared" ca="1" si="30"/>
        <v>#N/A</v>
      </c>
      <c r="AN42" s="10" t="e">
        <f t="shared" ca="1" si="26"/>
        <v>#N/A</v>
      </c>
      <c r="AO42" s="67" t="e">
        <f ca="1">INDEX(RESULTADOS!$A:$BA,MATCH($A42,RESULTADOS!$A:$A,0),MATCH(AO$1,RESULTADOS!$1:$1,0))</f>
        <v>#N/A</v>
      </c>
      <c r="AP42" s="10" t="e">
        <f t="shared" ca="1" si="27"/>
        <v>#N/A</v>
      </c>
      <c r="AR42" s="278"/>
      <c r="AS42" s="278"/>
      <c r="AT42" s="331"/>
      <c r="AU42" s="272"/>
    </row>
    <row r="43" spans="1:47" x14ac:dyDescent="0.2">
      <c r="A43" s="7">
        <f t="shared" ca="1" si="31"/>
        <v>43842</v>
      </c>
      <c r="B43" s="67" t="e">
        <f ca="1">INDEX(RESULTADOS!$A:$BA,MATCH($A43,RESULTADOS!$A:$A,0),MATCH(B$1,RESULTADOS!$1:$1,0))</f>
        <v>#N/A</v>
      </c>
      <c r="C43" s="10" t="e">
        <f t="shared" ca="1" si="6"/>
        <v>#N/A</v>
      </c>
      <c r="D43" s="10">
        <v>0</v>
      </c>
      <c r="E43" s="10" t="e">
        <f t="shared" ca="1" si="3"/>
        <v>#N/A</v>
      </c>
      <c r="F43" s="67" t="e">
        <f ca="1">INDEX(RESULTADOS!$A:$BA,MATCH($A43,RESULTADOS!$A:$A,0),MATCH(F$1,RESULTADOS!$1:$1,0))</f>
        <v>#N/A</v>
      </c>
      <c r="G43" s="10" t="e">
        <f t="shared" ca="1" si="28"/>
        <v>#N/A</v>
      </c>
      <c r="H43" s="67" t="e">
        <f ca="1">INDEX(RESULTADOS!$A:$BA,MATCH($A43,RESULTADOS!$A:$A,0),MATCH(H$1,RESULTADOS!$1:$1,0))</f>
        <v>#N/A</v>
      </c>
      <c r="I43" s="67" t="e">
        <f ca="1">INDEX(RESULTADOS!$A:$BA,MATCH($A43,RESULTADOS!$A:$A,0),MATCH(I$1,RESULTADOS!$1:$1,0))</f>
        <v>#N/A</v>
      </c>
      <c r="J43" s="67" t="e">
        <f ca="1">INDEX(RESULTADOS!$A:$BA,MATCH($A43,RESULTADOS!$A:$A,0),MATCH(J$1,RESULTADOS!$1:$1,0))</f>
        <v>#N/A</v>
      </c>
      <c r="K43" s="71" t="e">
        <f t="shared" ca="1" si="29"/>
        <v>#N/A</v>
      </c>
      <c r="L43" s="10" t="e">
        <f t="shared" ca="1" si="7"/>
        <v>#N/A</v>
      </c>
      <c r="M43" s="67" t="e">
        <f ca="1">INDEX(RESULTADOS!$A:$BA,MATCH($A43,RESULTADOS!$A:$A,0),MATCH(M$1,RESULTADOS!$1:$1,0))</f>
        <v>#N/A</v>
      </c>
      <c r="N43" s="71" t="e">
        <f t="shared" ca="1" si="8"/>
        <v>#N/A</v>
      </c>
      <c r="O43" s="10" t="e">
        <f t="shared" ca="1" si="9"/>
        <v>#N/A</v>
      </c>
      <c r="P43" s="10" t="e">
        <f t="shared" ca="1" si="10"/>
        <v>#N/A</v>
      </c>
      <c r="Q43" s="10" t="e">
        <f t="shared" ca="1" si="11"/>
        <v>#N/A</v>
      </c>
      <c r="R43" s="10" t="e">
        <f t="shared" ca="1" si="12"/>
        <v>#N/A</v>
      </c>
      <c r="S43" s="10" t="e">
        <f t="shared" ca="1" si="13"/>
        <v>#N/A</v>
      </c>
      <c r="T43" s="10" t="e">
        <f t="shared" ca="1" si="14"/>
        <v>#N/A</v>
      </c>
      <c r="U43" s="10" t="e">
        <f t="shared" ca="1" si="15"/>
        <v>#N/A</v>
      </c>
      <c r="V43" s="10" t="e">
        <f t="shared" ca="1" si="16"/>
        <v>#N/A</v>
      </c>
      <c r="W43" s="10" t="e">
        <f t="shared" ca="1" si="17"/>
        <v>#N/A</v>
      </c>
      <c r="X43" s="11" t="e">
        <f t="shared" ca="1" si="4"/>
        <v>#N/A</v>
      </c>
      <c r="Y43" s="67" t="e">
        <f ca="1">INDEX(RESULTADOS!$A:$BA,MATCH($A43,RESULTADOS!$A:$A,0),MATCH(Y$1,RESULTADOS!$1:$1,0))</f>
        <v>#N/A</v>
      </c>
      <c r="Z43" s="10" t="e">
        <f t="shared" ca="1" si="18"/>
        <v>#N/A</v>
      </c>
      <c r="AA43" s="15" t="e">
        <f t="shared" ca="1" si="19"/>
        <v>#N/A</v>
      </c>
      <c r="AB43" s="11"/>
      <c r="AC43" s="67" t="e">
        <f ca="1">INDEX(RESULTADOS!$A:$BA,MATCH($A43,RESULTADOS!$A:$A,0),MATCH(AC$1,RESULTADOS!$1:$1,0))</f>
        <v>#N/A</v>
      </c>
      <c r="AD43" s="10" t="e">
        <f t="shared" ca="1" si="20"/>
        <v>#N/A</v>
      </c>
      <c r="AE43" s="10" t="e">
        <f t="shared" ca="1" si="21"/>
        <v>#N/A</v>
      </c>
      <c r="AF43" s="10" t="e">
        <f t="shared" ca="1" si="22"/>
        <v>#N/A</v>
      </c>
      <c r="AG43" s="10" t="e">
        <f t="shared" ca="1" si="23"/>
        <v>#N/A</v>
      </c>
      <c r="AH43" s="10" t="e">
        <f t="shared" ca="1" si="24"/>
        <v>#N/A</v>
      </c>
      <c r="AI43" s="10" t="e">
        <f t="shared" ca="1" si="25"/>
        <v>#N/A</v>
      </c>
      <c r="AJ43" s="67" t="e">
        <f ca="1">INDEX(RESULTADOS!$A:$BA,MATCH($A43,RESULTADOS!$A:$A,0),MATCH(AJ$1,RESULTADOS!$1:$1,0))</f>
        <v>#N/A</v>
      </c>
      <c r="AK43" s="67" t="e">
        <f ca="1">INDEX(RESULTADOS!$A:$BA,MATCH($A43,RESULTADOS!$A:$A,0),MATCH(AK$1,RESULTADOS!$1:$1,0))</f>
        <v>#N/A</v>
      </c>
      <c r="AL43" s="13" t="e">
        <f t="shared" ca="1" si="5"/>
        <v>#N/A</v>
      </c>
      <c r="AM43" s="14" t="e">
        <f t="shared" ca="1" si="30"/>
        <v>#N/A</v>
      </c>
      <c r="AN43" s="10" t="e">
        <f t="shared" ca="1" si="26"/>
        <v>#N/A</v>
      </c>
      <c r="AO43" s="67" t="e">
        <f ca="1">INDEX(RESULTADOS!$A:$BA,MATCH($A43,RESULTADOS!$A:$A,0),MATCH(AO$1,RESULTADOS!$1:$1,0))</f>
        <v>#N/A</v>
      </c>
      <c r="AP43" s="10" t="e">
        <f t="shared" ca="1" si="27"/>
        <v>#N/A</v>
      </c>
      <c r="AR43" s="278"/>
      <c r="AS43" s="278"/>
      <c r="AT43" s="331"/>
      <c r="AU43" s="272"/>
    </row>
    <row r="44" spans="1:47" x14ac:dyDescent="0.2">
      <c r="A44" s="7">
        <f t="shared" ca="1" si="31"/>
        <v>43843</v>
      </c>
      <c r="B44" s="67" t="e">
        <f ca="1">INDEX(RESULTADOS!$A:$BA,MATCH($A44,RESULTADOS!$A:$A,0),MATCH(B$1,RESULTADOS!$1:$1,0))</f>
        <v>#N/A</v>
      </c>
      <c r="C44" s="10" t="e">
        <f t="shared" ca="1" si="6"/>
        <v>#N/A</v>
      </c>
      <c r="D44" s="10">
        <v>0</v>
      </c>
      <c r="E44" s="10" t="e">
        <f t="shared" ca="1" si="3"/>
        <v>#N/A</v>
      </c>
      <c r="F44" s="67" t="e">
        <f ca="1">INDEX(RESULTADOS!$A:$BA,MATCH($A44,RESULTADOS!$A:$A,0),MATCH(F$1,RESULTADOS!$1:$1,0))</f>
        <v>#N/A</v>
      </c>
      <c r="G44" s="10" t="e">
        <f t="shared" ca="1" si="28"/>
        <v>#N/A</v>
      </c>
      <c r="H44" s="67" t="e">
        <f ca="1">INDEX(RESULTADOS!$A:$BA,MATCH($A44,RESULTADOS!$A:$A,0),MATCH(H$1,RESULTADOS!$1:$1,0))</f>
        <v>#N/A</v>
      </c>
      <c r="I44" s="67" t="e">
        <f ca="1">INDEX(RESULTADOS!$A:$BA,MATCH($A44,RESULTADOS!$A:$A,0),MATCH(I$1,RESULTADOS!$1:$1,0))</f>
        <v>#N/A</v>
      </c>
      <c r="J44" s="67" t="e">
        <f ca="1">INDEX(RESULTADOS!$A:$BA,MATCH($A44,RESULTADOS!$A:$A,0),MATCH(J$1,RESULTADOS!$1:$1,0))</f>
        <v>#N/A</v>
      </c>
      <c r="K44" s="71" t="e">
        <f t="shared" ca="1" si="29"/>
        <v>#N/A</v>
      </c>
      <c r="L44" s="10" t="e">
        <f t="shared" ca="1" si="7"/>
        <v>#N/A</v>
      </c>
      <c r="M44" s="67" t="e">
        <f ca="1">INDEX(RESULTADOS!$A:$BA,MATCH($A44,RESULTADOS!$A:$A,0),MATCH(M$1,RESULTADOS!$1:$1,0))</f>
        <v>#N/A</v>
      </c>
      <c r="N44" s="71" t="e">
        <f t="shared" ca="1" si="8"/>
        <v>#N/A</v>
      </c>
      <c r="O44" s="10" t="e">
        <f t="shared" ca="1" si="9"/>
        <v>#N/A</v>
      </c>
      <c r="P44" s="10" t="e">
        <f t="shared" ca="1" si="10"/>
        <v>#N/A</v>
      </c>
      <c r="Q44" s="10" t="e">
        <f t="shared" ca="1" si="11"/>
        <v>#N/A</v>
      </c>
      <c r="R44" s="10" t="e">
        <f t="shared" ca="1" si="12"/>
        <v>#N/A</v>
      </c>
      <c r="S44" s="10" t="e">
        <f t="shared" ca="1" si="13"/>
        <v>#N/A</v>
      </c>
      <c r="T44" s="10" t="e">
        <f t="shared" ca="1" si="14"/>
        <v>#N/A</v>
      </c>
      <c r="U44" s="10" t="e">
        <f t="shared" ca="1" si="15"/>
        <v>#N/A</v>
      </c>
      <c r="V44" s="10" t="e">
        <f t="shared" ca="1" si="16"/>
        <v>#N/A</v>
      </c>
      <c r="W44" s="10" t="e">
        <f t="shared" ca="1" si="17"/>
        <v>#N/A</v>
      </c>
      <c r="X44" s="11" t="e">
        <f t="shared" ca="1" si="4"/>
        <v>#N/A</v>
      </c>
      <c r="Y44" s="67" t="e">
        <f ca="1">INDEX(RESULTADOS!$A:$BA,MATCH($A44,RESULTADOS!$A:$A,0),MATCH(Y$1,RESULTADOS!$1:$1,0))</f>
        <v>#N/A</v>
      </c>
      <c r="Z44" s="10" t="e">
        <f t="shared" ca="1" si="18"/>
        <v>#N/A</v>
      </c>
      <c r="AA44" s="15" t="e">
        <f t="shared" ca="1" si="19"/>
        <v>#N/A</v>
      </c>
      <c r="AB44" s="11"/>
      <c r="AC44" s="67" t="e">
        <f ca="1">INDEX(RESULTADOS!$A:$BA,MATCH($A44,RESULTADOS!$A:$A,0),MATCH(AC$1,RESULTADOS!$1:$1,0))</f>
        <v>#N/A</v>
      </c>
      <c r="AD44" s="10" t="e">
        <f t="shared" ca="1" si="20"/>
        <v>#N/A</v>
      </c>
      <c r="AE44" s="10" t="e">
        <f t="shared" ca="1" si="21"/>
        <v>#N/A</v>
      </c>
      <c r="AF44" s="10" t="e">
        <f t="shared" ca="1" si="22"/>
        <v>#N/A</v>
      </c>
      <c r="AG44" s="10" t="e">
        <f t="shared" ca="1" si="23"/>
        <v>#N/A</v>
      </c>
      <c r="AH44" s="10" t="e">
        <f t="shared" ca="1" si="24"/>
        <v>#N/A</v>
      </c>
      <c r="AI44" s="10" t="e">
        <f t="shared" ca="1" si="25"/>
        <v>#N/A</v>
      </c>
      <c r="AJ44" s="67" t="e">
        <f ca="1">INDEX(RESULTADOS!$A:$BA,MATCH($A44,RESULTADOS!$A:$A,0),MATCH(AJ$1,RESULTADOS!$1:$1,0))</f>
        <v>#N/A</v>
      </c>
      <c r="AK44" s="67" t="e">
        <f ca="1">INDEX(RESULTADOS!$A:$BA,MATCH($A44,RESULTADOS!$A:$A,0),MATCH(AK$1,RESULTADOS!$1:$1,0))</f>
        <v>#N/A</v>
      </c>
      <c r="AL44" s="13" t="e">
        <f t="shared" ca="1" si="5"/>
        <v>#N/A</v>
      </c>
      <c r="AM44" s="14" t="e">
        <f t="shared" ca="1" si="30"/>
        <v>#N/A</v>
      </c>
      <c r="AN44" s="10" t="e">
        <f t="shared" ca="1" si="26"/>
        <v>#N/A</v>
      </c>
      <c r="AO44" s="67" t="e">
        <f ca="1">INDEX(RESULTADOS!$A:$BA,MATCH($A44,RESULTADOS!$A:$A,0),MATCH(AO$1,RESULTADOS!$1:$1,0))</f>
        <v>#N/A</v>
      </c>
      <c r="AP44" s="10" t="e">
        <f t="shared" ca="1" si="27"/>
        <v>#N/A</v>
      </c>
      <c r="AR44" s="278"/>
      <c r="AS44" s="278"/>
      <c r="AT44" s="331"/>
      <c r="AU44" s="272"/>
    </row>
    <row r="45" spans="1:47" x14ac:dyDescent="0.2">
      <c r="A45" s="7">
        <f t="shared" ca="1" si="31"/>
        <v>43844</v>
      </c>
      <c r="B45" s="67" t="e">
        <f ca="1">INDEX(RESULTADOS!$A:$BA,MATCH($A45,RESULTADOS!$A:$A,0),MATCH(B$1,RESULTADOS!$1:$1,0))</f>
        <v>#N/A</v>
      </c>
      <c r="C45" s="10" t="e">
        <f t="shared" ca="1" si="6"/>
        <v>#N/A</v>
      </c>
      <c r="D45" s="10">
        <v>0</v>
      </c>
      <c r="E45" s="10" t="e">
        <f t="shared" ca="1" si="3"/>
        <v>#N/A</v>
      </c>
      <c r="F45" s="67" t="e">
        <f ca="1">INDEX(RESULTADOS!$A:$BA,MATCH($A45,RESULTADOS!$A:$A,0),MATCH(F$1,RESULTADOS!$1:$1,0))</f>
        <v>#N/A</v>
      </c>
      <c r="G45" s="10" t="e">
        <f t="shared" ca="1" si="28"/>
        <v>#N/A</v>
      </c>
      <c r="H45" s="67" t="e">
        <f ca="1">INDEX(RESULTADOS!$A:$BA,MATCH($A45,RESULTADOS!$A:$A,0),MATCH(H$1,RESULTADOS!$1:$1,0))</f>
        <v>#N/A</v>
      </c>
      <c r="I45" s="67" t="e">
        <f ca="1">INDEX(RESULTADOS!$A:$BA,MATCH($A45,RESULTADOS!$A:$A,0),MATCH(I$1,RESULTADOS!$1:$1,0))</f>
        <v>#N/A</v>
      </c>
      <c r="J45" s="67" t="e">
        <f ca="1">INDEX(RESULTADOS!$A:$BA,MATCH($A45,RESULTADOS!$A:$A,0),MATCH(J$1,RESULTADOS!$1:$1,0))</f>
        <v>#N/A</v>
      </c>
      <c r="K45" s="71" t="e">
        <f t="shared" ca="1" si="29"/>
        <v>#N/A</v>
      </c>
      <c r="L45" s="10" t="e">
        <f t="shared" ca="1" si="7"/>
        <v>#N/A</v>
      </c>
      <c r="M45" s="67" t="e">
        <f ca="1">INDEX(RESULTADOS!$A:$BA,MATCH($A45,RESULTADOS!$A:$A,0),MATCH(M$1,RESULTADOS!$1:$1,0))</f>
        <v>#N/A</v>
      </c>
      <c r="N45" s="71" t="e">
        <f t="shared" ca="1" si="8"/>
        <v>#N/A</v>
      </c>
      <c r="O45" s="10" t="e">
        <f t="shared" ca="1" si="9"/>
        <v>#N/A</v>
      </c>
      <c r="P45" s="10" t="e">
        <f t="shared" ca="1" si="10"/>
        <v>#N/A</v>
      </c>
      <c r="Q45" s="10" t="e">
        <f t="shared" ca="1" si="11"/>
        <v>#N/A</v>
      </c>
      <c r="R45" s="10" t="e">
        <f t="shared" ca="1" si="12"/>
        <v>#N/A</v>
      </c>
      <c r="S45" s="10" t="e">
        <f t="shared" ca="1" si="13"/>
        <v>#N/A</v>
      </c>
      <c r="T45" s="10" t="e">
        <f t="shared" ca="1" si="14"/>
        <v>#N/A</v>
      </c>
      <c r="U45" s="10" t="e">
        <f t="shared" ca="1" si="15"/>
        <v>#N/A</v>
      </c>
      <c r="V45" s="10" t="e">
        <f t="shared" ca="1" si="16"/>
        <v>#N/A</v>
      </c>
      <c r="W45" s="10" t="e">
        <f t="shared" ca="1" si="17"/>
        <v>#N/A</v>
      </c>
      <c r="X45" s="11" t="e">
        <f t="shared" ca="1" si="4"/>
        <v>#N/A</v>
      </c>
      <c r="Y45" s="67" t="e">
        <f ca="1">INDEX(RESULTADOS!$A:$BA,MATCH($A45,RESULTADOS!$A:$A,0),MATCH(Y$1,RESULTADOS!$1:$1,0))</f>
        <v>#N/A</v>
      </c>
      <c r="Z45" s="10" t="e">
        <f t="shared" ca="1" si="18"/>
        <v>#N/A</v>
      </c>
      <c r="AA45" s="15" t="e">
        <f t="shared" ca="1" si="19"/>
        <v>#N/A</v>
      </c>
      <c r="AB45" s="11"/>
      <c r="AC45" s="67" t="e">
        <f ca="1">INDEX(RESULTADOS!$A:$BA,MATCH($A45,RESULTADOS!$A:$A,0),MATCH(AC$1,RESULTADOS!$1:$1,0))</f>
        <v>#N/A</v>
      </c>
      <c r="AD45" s="10" t="e">
        <f t="shared" ca="1" si="20"/>
        <v>#N/A</v>
      </c>
      <c r="AE45" s="10" t="e">
        <f t="shared" ca="1" si="21"/>
        <v>#N/A</v>
      </c>
      <c r="AF45" s="10" t="e">
        <f t="shared" ca="1" si="22"/>
        <v>#N/A</v>
      </c>
      <c r="AG45" s="10" t="e">
        <f t="shared" ca="1" si="23"/>
        <v>#N/A</v>
      </c>
      <c r="AH45" s="10" t="e">
        <f t="shared" ca="1" si="24"/>
        <v>#N/A</v>
      </c>
      <c r="AI45" s="10" t="e">
        <f t="shared" ca="1" si="25"/>
        <v>#N/A</v>
      </c>
      <c r="AJ45" s="67" t="e">
        <f ca="1">INDEX(RESULTADOS!$A:$BA,MATCH($A45,RESULTADOS!$A:$A,0),MATCH(AJ$1,RESULTADOS!$1:$1,0))</f>
        <v>#N/A</v>
      </c>
      <c r="AK45" s="67" t="e">
        <f ca="1">INDEX(RESULTADOS!$A:$BA,MATCH($A45,RESULTADOS!$A:$A,0),MATCH(AK$1,RESULTADOS!$1:$1,0))</f>
        <v>#N/A</v>
      </c>
      <c r="AL45" s="13" t="e">
        <f t="shared" ca="1" si="5"/>
        <v>#N/A</v>
      </c>
      <c r="AM45" s="14" t="e">
        <f t="shared" ca="1" si="30"/>
        <v>#N/A</v>
      </c>
      <c r="AN45" s="10" t="e">
        <f t="shared" ca="1" si="26"/>
        <v>#N/A</v>
      </c>
      <c r="AO45" s="67" t="e">
        <f ca="1">INDEX(RESULTADOS!$A:$BA,MATCH($A45,RESULTADOS!$A:$A,0),MATCH(AO$1,RESULTADOS!$1:$1,0))</f>
        <v>#N/A</v>
      </c>
      <c r="AP45" s="10" t="e">
        <f t="shared" ca="1" si="27"/>
        <v>#N/A</v>
      </c>
      <c r="AR45" s="278"/>
      <c r="AS45" s="278"/>
      <c r="AT45" s="331"/>
      <c r="AU45" s="272"/>
    </row>
    <row r="46" spans="1:47" x14ac:dyDescent="0.2">
      <c r="A46" s="7">
        <f t="shared" ca="1" si="31"/>
        <v>43845</v>
      </c>
      <c r="B46" s="67" t="e">
        <f ca="1">INDEX(RESULTADOS!$A:$BA,MATCH($A46,RESULTADOS!$A:$A,0),MATCH(B$1,RESULTADOS!$1:$1,0))</f>
        <v>#N/A</v>
      </c>
      <c r="C46" s="10" t="e">
        <f t="shared" ca="1" si="6"/>
        <v>#N/A</v>
      </c>
      <c r="D46" s="10">
        <v>0</v>
      </c>
      <c r="E46" s="10" t="e">
        <f t="shared" ca="1" si="3"/>
        <v>#N/A</v>
      </c>
      <c r="F46" s="67" t="e">
        <f ca="1">INDEX(RESULTADOS!$A:$BA,MATCH($A46,RESULTADOS!$A:$A,0),MATCH(F$1,RESULTADOS!$1:$1,0))</f>
        <v>#N/A</v>
      </c>
      <c r="G46" s="10" t="e">
        <f t="shared" ca="1" si="28"/>
        <v>#N/A</v>
      </c>
      <c r="H46" s="67" t="e">
        <f ca="1">INDEX(RESULTADOS!$A:$BA,MATCH($A46,RESULTADOS!$A:$A,0),MATCH(H$1,RESULTADOS!$1:$1,0))</f>
        <v>#N/A</v>
      </c>
      <c r="I46" s="67" t="e">
        <f ca="1">INDEX(RESULTADOS!$A:$BA,MATCH($A46,RESULTADOS!$A:$A,0),MATCH(I$1,RESULTADOS!$1:$1,0))</f>
        <v>#N/A</v>
      </c>
      <c r="J46" s="67" t="e">
        <f ca="1">INDEX(RESULTADOS!$A:$BA,MATCH($A46,RESULTADOS!$A:$A,0),MATCH(J$1,RESULTADOS!$1:$1,0))</f>
        <v>#N/A</v>
      </c>
      <c r="K46" s="71" t="e">
        <f t="shared" ca="1" si="29"/>
        <v>#N/A</v>
      </c>
      <c r="L46" s="10" t="e">
        <f t="shared" ca="1" si="7"/>
        <v>#N/A</v>
      </c>
      <c r="M46" s="67" t="e">
        <f ca="1">INDEX(RESULTADOS!$A:$BA,MATCH($A46,RESULTADOS!$A:$A,0),MATCH(M$1,RESULTADOS!$1:$1,0))</f>
        <v>#N/A</v>
      </c>
      <c r="N46" s="71" t="e">
        <f t="shared" ca="1" si="8"/>
        <v>#N/A</v>
      </c>
      <c r="O46" s="10" t="e">
        <f t="shared" ca="1" si="9"/>
        <v>#N/A</v>
      </c>
      <c r="P46" s="10" t="e">
        <f t="shared" ca="1" si="10"/>
        <v>#N/A</v>
      </c>
      <c r="Q46" s="10" t="e">
        <f t="shared" ca="1" si="11"/>
        <v>#N/A</v>
      </c>
      <c r="R46" s="10" t="e">
        <f t="shared" ca="1" si="12"/>
        <v>#N/A</v>
      </c>
      <c r="S46" s="10" t="e">
        <f t="shared" ca="1" si="13"/>
        <v>#N/A</v>
      </c>
      <c r="T46" s="10" t="e">
        <f t="shared" ca="1" si="14"/>
        <v>#N/A</v>
      </c>
      <c r="U46" s="10" t="e">
        <f t="shared" ca="1" si="15"/>
        <v>#N/A</v>
      </c>
      <c r="V46" s="10" t="e">
        <f t="shared" ca="1" si="16"/>
        <v>#N/A</v>
      </c>
      <c r="W46" s="10" t="e">
        <f t="shared" ca="1" si="17"/>
        <v>#N/A</v>
      </c>
      <c r="X46" s="11" t="e">
        <f t="shared" ca="1" si="4"/>
        <v>#N/A</v>
      </c>
      <c r="Y46" s="67" t="e">
        <f ca="1">INDEX(RESULTADOS!$A:$BA,MATCH($A46,RESULTADOS!$A:$A,0),MATCH(Y$1,RESULTADOS!$1:$1,0))</f>
        <v>#N/A</v>
      </c>
      <c r="Z46" s="10" t="e">
        <f t="shared" ca="1" si="18"/>
        <v>#N/A</v>
      </c>
      <c r="AA46" s="15" t="e">
        <f t="shared" ca="1" si="19"/>
        <v>#N/A</v>
      </c>
      <c r="AB46" s="11"/>
      <c r="AC46" s="67" t="e">
        <f ca="1">INDEX(RESULTADOS!$A:$BA,MATCH($A46,RESULTADOS!$A:$A,0),MATCH(AC$1,RESULTADOS!$1:$1,0))</f>
        <v>#N/A</v>
      </c>
      <c r="AD46" s="10" t="e">
        <f t="shared" ca="1" si="20"/>
        <v>#N/A</v>
      </c>
      <c r="AE46" s="10" t="e">
        <f t="shared" ca="1" si="21"/>
        <v>#N/A</v>
      </c>
      <c r="AF46" s="10" t="e">
        <f t="shared" ca="1" si="22"/>
        <v>#N/A</v>
      </c>
      <c r="AG46" s="10" t="e">
        <f t="shared" ca="1" si="23"/>
        <v>#N/A</v>
      </c>
      <c r="AH46" s="10" t="e">
        <f t="shared" ca="1" si="24"/>
        <v>#N/A</v>
      </c>
      <c r="AI46" s="10" t="e">
        <f t="shared" ca="1" si="25"/>
        <v>#N/A</v>
      </c>
      <c r="AJ46" s="67" t="e">
        <f ca="1">INDEX(RESULTADOS!$A:$BA,MATCH($A46,RESULTADOS!$A:$A,0),MATCH(AJ$1,RESULTADOS!$1:$1,0))</f>
        <v>#N/A</v>
      </c>
      <c r="AK46" s="67" t="e">
        <f ca="1">INDEX(RESULTADOS!$A:$BA,MATCH($A46,RESULTADOS!$A:$A,0),MATCH(AK$1,RESULTADOS!$1:$1,0))</f>
        <v>#N/A</v>
      </c>
      <c r="AL46" s="13" t="e">
        <f t="shared" ca="1" si="5"/>
        <v>#N/A</v>
      </c>
      <c r="AM46" s="14" t="e">
        <f t="shared" ca="1" si="30"/>
        <v>#N/A</v>
      </c>
      <c r="AN46" s="10" t="e">
        <f t="shared" ca="1" si="26"/>
        <v>#N/A</v>
      </c>
      <c r="AO46" s="67" t="e">
        <f ca="1">INDEX(RESULTADOS!$A:$BA,MATCH($A46,RESULTADOS!$A:$A,0),MATCH(AO$1,RESULTADOS!$1:$1,0))</f>
        <v>#N/A</v>
      </c>
      <c r="AP46" s="10" t="e">
        <f t="shared" ca="1" si="27"/>
        <v>#N/A</v>
      </c>
      <c r="AR46" s="278"/>
      <c r="AS46" s="278"/>
      <c r="AT46" s="331"/>
      <c r="AU46" s="272"/>
    </row>
    <row r="47" spans="1:47" x14ac:dyDescent="0.2">
      <c r="A47" s="7">
        <f t="shared" ca="1" si="31"/>
        <v>43846</v>
      </c>
      <c r="B47" s="67" t="e">
        <f ca="1">INDEX(RESULTADOS!$A:$BA,MATCH($A47,RESULTADOS!$A:$A,0),MATCH(B$1,RESULTADOS!$1:$1,0))</f>
        <v>#N/A</v>
      </c>
      <c r="C47" s="10" t="e">
        <f t="shared" ca="1" si="6"/>
        <v>#N/A</v>
      </c>
      <c r="D47" s="10">
        <v>0</v>
      </c>
      <c r="E47" s="10" t="e">
        <f t="shared" ca="1" si="3"/>
        <v>#N/A</v>
      </c>
      <c r="F47" s="67" t="e">
        <f ca="1">INDEX(RESULTADOS!$A:$BA,MATCH($A47,RESULTADOS!$A:$A,0),MATCH(F$1,RESULTADOS!$1:$1,0))</f>
        <v>#N/A</v>
      </c>
      <c r="G47" s="10" t="e">
        <f t="shared" ca="1" si="28"/>
        <v>#N/A</v>
      </c>
      <c r="H47" s="67" t="e">
        <f ca="1">INDEX(RESULTADOS!$A:$BA,MATCH($A47,RESULTADOS!$A:$A,0),MATCH(H$1,RESULTADOS!$1:$1,0))</f>
        <v>#N/A</v>
      </c>
      <c r="I47" s="67" t="e">
        <f ca="1">INDEX(RESULTADOS!$A:$BA,MATCH($A47,RESULTADOS!$A:$A,0),MATCH(I$1,RESULTADOS!$1:$1,0))</f>
        <v>#N/A</v>
      </c>
      <c r="J47" s="67" t="e">
        <f ca="1">INDEX(RESULTADOS!$A:$BA,MATCH($A47,RESULTADOS!$A:$A,0),MATCH(J$1,RESULTADOS!$1:$1,0))</f>
        <v>#N/A</v>
      </c>
      <c r="K47" s="71" t="e">
        <f t="shared" ca="1" si="29"/>
        <v>#N/A</v>
      </c>
      <c r="L47" s="10" t="e">
        <f t="shared" ca="1" si="7"/>
        <v>#N/A</v>
      </c>
      <c r="M47" s="67" t="e">
        <f ca="1">INDEX(RESULTADOS!$A:$BA,MATCH($A47,RESULTADOS!$A:$A,0),MATCH(M$1,RESULTADOS!$1:$1,0))</f>
        <v>#N/A</v>
      </c>
      <c r="N47" s="71" t="e">
        <f t="shared" ca="1" si="8"/>
        <v>#N/A</v>
      </c>
      <c r="O47" s="10" t="e">
        <f t="shared" ca="1" si="9"/>
        <v>#N/A</v>
      </c>
      <c r="P47" s="10" t="e">
        <f t="shared" ca="1" si="10"/>
        <v>#N/A</v>
      </c>
      <c r="Q47" s="10" t="e">
        <f t="shared" ca="1" si="11"/>
        <v>#N/A</v>
      </c>
      <c r="R47" s="10" t="e">
        <f t="shared" ca="1" si="12"/>
        <v>#N/A</v>
      </c>
      <c r="S47" s="10" t="e">
        <f t="shared" ca="1" si="13"/>
        <v>#N/A</v>
      </c>
      <c r="T47" s="10" t="e">
        <f t="shared" ca="1" si="14"/>
        <v>#N/A</v>
      </c>
      <c r="U47" s="10" t="e">
        <f t="shared" ca="1" si="15"/>
        <v>#N/A</v>
      </c>
      <c r="V47" s="10" t="e">
        <f t="shared" ca="1" si="16"/>
        <v>#N/A</v>
      </c>
      <c r="W47" s="10" t="e">
        <f t="shared" ca="1" si="17"/>
        <v>#N/A</v>
      </c>
      <c r="X47" s="11" t="e">
        <f t="shared" ca="1" si="4"/>
        <v>#N/A</v>
      </c>
      <c r="Y47" s="67" t="e">
        <f ca="1">INDEX(RESULTADOS!$A:$BA,MATCH($A47,RESULTADOS!$A:$A,0),MATCH(Y$1,RESULTADOS!$1:$1,0))</f>
        <v>#N/A</v>
      </c>
      <c r="Z47" s="10" t="e">
        <f t="shared" ca="1" si="18"/>
        <v>#N/A</v>
      </c>
      <c r="AA47" s="10" t="e">
        <f t="shared" ca="1" si="19"/>
        <v>#N/A</v>
      </c>
      <c r="AB47" s="11"/>
      <c r="AC47" s="67" t="e">
        <f ca="1">INDEX(RESULTADOS!$A:$BA,MATCH($A47,RESULTADOS!$A:$A,0),MATCH(AC$1,RESULTADOS!$1:$1,0))</f>
        <v>#N/A</v>
      </c>
      <c r="AD47" s="10" t="e">
        <f t="shared" ca="1" si="20"/>
        <v>#N/A</v>
      </c>
      <c r="AE47" s="10" t="e">
        <f t="shared" ca="1" si="21"/>
        <v>#N/A</v>
      </c>
      <c r="AF47" s="10" t="e">
        <f t="shared" ca="1" si="22"/>
        <v>#N/A</v>
      </c>
      <c r="AG47" s="10" t="e">
        <f t="shared" ca="1" si="23"/>
        <v>#N/A</v>
      </c>
      <c r="AH47" s="10" t="e">
        <f t="shared" ca="1" si="24"/>
        <v>#N/A</v>
      </c>
      <c r="AI47" s="10" t="e">
        <f t="shared" ca="1" si="25"/>
        <v>#N/A</v>
      </c>
      <c r="AJ47" s="67" t="e">
        <f ca="1">INDEX(RESULTADOS!$A:$BA,MATCH($A47,RESULTADOS!$A:$A,0),MATCH(AJ$1,RESULTADOS!$1:$1,0))</f>
        <v>#N/A</v>
      </c>
      <c r="AK47" s="67" t="e">
        <f ca="1">INDEX(RESULTADOS!$A:$BA,MATCH($A47,RESULTADOS!$A:$A,0),MATCH(AK$1,RESULTADOS!$1:$1,0))</f>
        <v>#N/A</v>
      </c>
      <c r="AL47" s="13" t="e">
        <f t="shared" ca="1" si="5"/>
        <v>#N/A</v>
      </c>
      <c r="AM47" s="14" t="e">
        <f t="shared" ca="1" si="30"/>
        <v>#N/A</v>
      </c>
      <c r="AN47" s="10" t="e">
        <f t="shared" ca="1" si="26"/>
        <v>#N/A</v>
      </c>
      <c r="AO47" s="67" t="e">
        <f ca="1">INDEX(RESULTADOS!$A:$BA,MATCH($A47,RESULTADOS!$A:$A,0),MATCH(AO$1,RESULTADOS!$1:$1,0))</f>
        <v>#N/A</v>
      </c>
      <c r="AP47" s="10" t="e">
        <f t="shared" ca="1" si="27"/>
        <v>#N/A</v>
      </c>
      <c r="AR47" s="278"/>
      <c r="AS47" s="278"/>
      <c r="AT47" s="331"/>
      <c r="AU47" s="272"/>
    </row>
    <row r="48" spans="1:47" x14ac:dyDescent="0.2">
      <c r="A48" s="7">
        <f t="shared" ca="1" si="31"/>
        <v>43847</v>
      </c>
      <c r="B48" s="67" t="e">
        <f ca="1">INDEX(RESULTADOS!$A:$BA,MATCH($A48,RESULTADOS!$A:$A,0),MATCH(B$1,RESULTADOS!$1:$1,0))</f>
        <v>#N/A</v>
      </c>
      <c r="C48" s="10" t="e">
        <f t="shared" ca="1" si="6"/>
        <v>#N/A</v>
      </c>
      <c r="D48" s="10">
        <v>0</v>
      </c>
      <c r="E48" s="10" t="e">
        <f t="shared" ca="1" si="3"/>
        <v>#N/A</v>
      </c>
      <c r="F48" s="67" t="e">
        <f ca="1">INDEX(RESULTADOS!$A:$BA,MATCH($A48,RESULTADOS!$A:$A,0),MATCH(F$1,RESULTADOS!$1:$1,0))</f>
        <v>#N/A</v>
      </c>
      <c r="G48" s="10" t="e">
        <f t="shared" ca="1" si="28"/>
        <v>#N/A</v>
      </c>
      <c r="H48" s="67" t="e">
        <f ca="1">INDEX(RESULTADOS!$A:$BA,MATCH($A48,RESULTADOS!$A:$A,0),MATCH(H$1,RESULTADOS!$1:$1,0))</f>
        <v>#N/A</v>
      </c>
      <c r="I48" s="67" t="e">
        <f ca="1">INDEX(RESULTADOS!$A:$BA,MATCH($A48,RESULTADOS!$A:$A,0),MATCH(I$1,RESULTADOS!$1:$1,0))</f>
        <v>#N/A</v>
      </c>
      <c r="J48" s="67" t="e">
        <f ca="1">INDEX(RESULTADOS!$A:$BA,MATCH($A48,RESULTADOS!$A:$A,0),MATCH(J$1,RESULTADOS!$1:$1,0))</f>
        <v>#N/A</v>
      </c>
      <c r="K48" s="71" t="e">
        <f t="shared" ca="1" si="29"/>
        <v>#N/A</v>
      </c>
      <c r="L48" s="10" t="e">
        <f t="shared" ca="1" si="7"/>
        <v>#N/A</v>
      </c>
      <c r="M48" s="67" t="e">
        <f ca="1">INDEX(RESULTADOS!$A:$BA,MATCH($A48,RESULTADOS!$A:$A,0),MATCH(M$1,RESULTADOS!$1:$1,0))</f>
        <v>#N/A</v>
      </c>
      <c r="N48" s="10" t="e">
        <f t="shared" ca="1" si="8"/>
        <v>#N/A</v>
      </c>
      <c r="O48" s="10" t="e">
        <f t="shared" ca="1" si="9"/>
        <v>#N/A</v>
      </c>
      <c r="P48" s="10" t="e">
        <f t="shared" ca="1" si="10"/>
        <v>#N/A</v>
      </c>
      <c r="Q48" s="10" t="e">
        <f t="shared" ca="1" si="11"/>
        <v>#N/A</v>
      </c>
      <c r="R48" s="10" t="e">
        <f t="shared" ca="1" si="12"/>
        <v>#N/A</v>
      </c>
      <c r="S48" s="10" t="e">
        <f t="shared" ca="1" si="13"/>
        <v>#N/A</v>
      </c>
      <c r="T48" s="10" t="e">
        <f t="shared" ca="1" si="14"/>
        <v>#N/A</v>
      </c>
      <c r="U48" s="10" t="e">
        <f t="shared" ca="1" si="15"/>
        <v>#N/A</v>
      </c>
      <c r="V48" s="10" t="e">
        <f t="shared" ca="1" si="16"/>
        <v>#N/A</v>
      </c>
      <c r="W48" s="10" t="e">
        <f t="shared" ca="1" si="17"/>
        <v>#N/A</v>
      </c>
      <c r="X48" s="11" t="e">
        <f t="shared" ca="1" si="4"/>
        <v>#N/A</v>
      </c>
      <c r="Y48" s="67" t="e">
        <f ca="1">INDEX(RESULTADOS!$A:$BA,MATCH($A48,RESULTADOS!$A:$A,0),MATCH(Y$1,RESULTADOS!$1:$1,0))</f>
        <v>#N/A</v>
      </c>
      <c r="Z48" s="10" t="e">
        <f t="shared" ca="1" si="18"/>
        <v>#N/A</v>
      </c>
      <c r="AA48" s="10" t="e">
        <f t="shared" ca="1" si="19"/>
        <v>#N/A</v>
      </c>
      <c r="AB48" s="11"/>
      <c r="AC48" s="67" t="e">
        <f ca="1">INDEX(RESULTADOS!$A:$BA,MATCH($A48,RESULTADOS!$A:$A,0),MATCH(AC$1,RESULTADOS!$1:$1,0))</f>
        <v>#N/A</v>
      </c>
      <c r="AD48" s="10" t="e">
        <f t="shared" ca="1" si="20"/>
        <v>#N/A</v>
      </c>
      <c r="AE48" s="10" t="e">
        <f t="shared" ca="1" si="21"/>
        <v>#N/A</v>
      </c>
      <c r="AF48" s="10" t="e">
        <f t="shared" ca="1" si="22"/>
        <v>#N/A</v>
      </c>
      <c r="AG48" s="10" t="e">
        <f t="shared" ca="1" si="23"/>
        <v>#N/A</v>
      </c>
      <c r="AH48" s="10" t="e">
        <f t="shared" ca="1" si="24"/>
        <v>#N/A</v>
      </c>
      <c r="AI48" s="10" t="e">
        <f t="shared" ca="1" si="25"/>
        <v>#N/A</v>
      </c>
      <c r="AJ48" s="67" t="e">
        <f ca="1">INDEX(RESULTADOS!$A:$BA,MATCH($A48,RESULTADOS!$A:$A,0),MATCH(AJ$1,RESULTADOS!$1:$1,0))</f>
        <v>#N/A</v>
      </c>
      <c r="AK48" s="67" t="e">
        <f ca="1">INDEX(RESULTADOS!$A:$BA,MATCH($A48,RESULTADOS!$A:$A,0),MATCH(AK$1,RESULTADOS!$1:$1,0))</f>
        <v>#N/A</v>
      </c>
      <c r="AL48" s="13" t="e">
        <f t="shared" ca="1" si="5"/>
        <v>#N/A</v>
      </c>
      <c r="AM48" s="14" t="e">
        <f t="shared" ca="1" si="30"/>
        <v>#N/A</v>
      </c>
      <c r="AN48" s="10" t="e">
        <f t="shared" ca="1" si="26"/>
        <v>#N/A</v>
      </c>
      <c r="AO48" s="67" t="e">
        <f ca="1">INDEX(RESULTADOS!$A:$BA,MATCH($A48,RESULTADOS!$A:$A,0),MATCH(AO$1,RESULTADOS!$1:$1,0))</f>
        <v>#N/A</v>
      </c>
      <c r="AP48" s="10" t="e">
        <f t="shared" ca="1" si="27"/>
        <v>#N/A</v>
      </c>
      <c r="AR48" s="278"/>
      <c r="AS48" s="278"/>
      <c r="AT48" s="331"/>
      <c r="AU48" s="272"/>
    </row>
    <row r="49" spans="1:47" x14ac:dyDescent="0.2">
      <c r="A49" s="7">
        <f t="shared" ca="1" si="31"/>
        <v>43848</v>
      </c>
      <c r="B49" s="67" t="e">
        <f ca="1">INDEX(RESULTADOS!$A:$BA,MATCH($A49,RESULTADOS!$A:$A,0),MATCH(B$1,RESULTADOS!$1:$1,0))</f>
        <v>#N/A</v>
      </c>
      <c r="C49" s="10" t="e">
        <f t="shared" ca="1" si="6"/>
        <v>#N/A</v>
      </c>
      <c r="D49" s="10">
        <v>0</v>
      </c>
      <c r="E49" s="10" t="e">
        <f t="shared" ca="1" si="3"/>
        <v>#N/A</v>
      </c>
      <c r="F49" s="67" t="e">
        <f ca="1">INDEX(RESULTADOS!$A:$BA,MATCH($A49,RESULTADOS!$A:$A,0),MATCH(F$1,RESULTADOS!$1:$1,0))</f>
        <v>#N/A</v>
      </c>
      <c r="G49" s="10" t="e">
        <f t="shared" ca="1" si="28"/>
        <v>#N/A</v>
      </c>
      <c r="H49" s="67" t="e">
        <f ca="1">INDEX(RESULTADOS!$A:$BA,MATCH($A49,RESULTADOS!$A:$A,0),MATCH(H$1,RESULTADOS!$1:$1,0))</f>
        <v>#N/A</v>
      </c>
      <c r="I49" s="67" t="e">
        <f ca="1">INDEX(RESULTADOS!$A:$BA,MATCH($A49,RESULTADOS!$A:$A,0),MATCH(I$1,RESULTADOS!$1:$1,0))</f>
        <v>#N/A</v>
      </c>
      <c r="J49" s="67" t="e">
        <f ca="1">INDEX(RESULTADOS!$A:$BA,MATCH($A49,RESULTADOS!$A:$A,0),MATCH(J$1,RESULTADOS!$1:$1,0))</f>
        <v>#N/A</v>
      </c>
      <c r="K49" s="71" t="e">
        <f t="shared" ca="1" si="29"/>
        <v>#N/A</v>
      </c>
      <c r="L49" s="10" t="e">
        <f t="shared" ca="1" si="7"/>
        <v>#N/A</v>
      </c>
      <c r="M49" s="67" t="e">
        <f ca="1">INDEX(RESULTADOS!$A:$BA,MATCH($A49,RESULTADOS!$A:$A,0),MATCH(M$1,RESULTADOS!$1:$1,0))</f>
        <v>#N/A</v>
      </c>
      <c r="N49" s="10" t="e">
        <f t="shared" ca="1" si="8"/>
        <v>#N/A</v>
      </c>
      <c r="O49" s="10" t="e">
        <f t="shared" ca="1" si="9"/>
        <v>#N/A</v>
      </c>
      <c r="P49" s="10" t="e">
        <f t="shared" ca="1" si="10"/>
        <v>#N/A</v>
      </c>
      <c r="Q49" s="10" t="e">
        <f t="shared" ca="1" si="11"/>
        <v>#N/A</v>
      </c>
      <c r="R49" s="10" t="e">
        <f t="shared" ca="1" si="12"/>
        <v>#N/A</v>
      </c>
      <c r="S49" s="10" t="e">
        <f t="shared" ca="1" si="13"/>
        <v>#N/A</v>
      </c>
      <c r="T49" s="10" t="e">
        <f t="shared" ca="1" si="14"/>
        <v>#N/A</v>
      </c>
      <c r="U49" s="10" t="e">
        <f t="shared" ca="1" si="15"/>
        <v>#N/A</v>
      </c>
      <c r="V49" s="10" t="e">
        <f t="shared" ca="1" si="16"/>
        <v>#N/A</v>
      </c>
      <c r="W49" s="10" t="e">
        <f t="shared" ca="1" si="17"/>
        <v>#N/A</v>
      </c>
      <c r="X49" s="11" t="e">
        <f t="shared" ca="1" si="4"/>
        <v>#N/A</v>
      </c>
      <c r="Y49" s="67" t="e">
        <f ca="1">INDEX(RESULTADOS!$A:$BA,MATCH($A49,RESULTADOS!$A:$A,0),MATCH(Y$1,RESULTADOS!$1:$1,0))</f>
        <v>#N/A</v>
      </c>
      <c r="Z49" s="10" t="e">
        <f t="shared" ca="1" si="18"/>
        <v>#N/A</v>
      </c>
      <c r="AA49" s="10" t="e">
        <f t="shared" ca="1" si="19"/>
        <v>#N/A</v>
      </c>
      <c r="AB49" s="11"/>
      <c r="AC49" s="67" t="e">
        <f ca="1">INDEX(RESULTADOS!$A:$BA,MATCH($A49,RESULTADOS!$A:$A,0),MATCH(AC$1,RESULTADOS!$1:$1,0))</f>
        <v>#N/A</v>
      </c>
      <c r="AD49" s="10" t="e">
        <f t="shared" ca="1" si="20"/>
        <v>#N/A</v>
      </c>
      <c r="AE49" s="10" t="e">
        <f t="shared" ca="1" si="21"/>
        <v>#N/A</v>
      </c>
      <c r="AF49" s="10" t="e">
        <f t="shared" ca="1" si="22"/>
        <v>#N/A</v>
      </c>
      <c r="AG49" s="10" t="e">
        <f t="shared" ca="1" si="23"/>
        <v>#N/A</v>
      </c>
      <c r="AH49" s="10" t="e">
        <f t="shared" ca="1" si="24"/>
        <v>#N/A</v>
      </c>
      <c r="AI49" s="10" t="e">
        <f t="shared" ca="1" si="25"/>
        <v>#N/A</v>
      </c>
      <c r="AJ49" s="67" t="e">
        <f ca="1">INDEX(RESULTADOS!$A:$BA,MATCH($A49,RESULTADOS!$A:$A,0),MATCH(AJ$1,RESULTADOS!$1:$1,0))</f>
        <v>#N/A</v>
      </c>
      <c r="AK49" s="67" t="e">
        <f ca="1">INDEX(RESULTADOS!$A:$BA,MATCH($A49,RESULTADOS!$A:$A,0),MATCH(AK$1,RESULTADOS!$1:$1,0))</f>
        <v>#N/A</v>
      </c>
      <c r="AL49" s="13" t="e">
        <f t="shared" ca="1" si="5"/>
        <v>#N/A</v>
      </c>
      <c r="AM49" s="14" t="e">
        <f t="shared" ca="1" si="30"/>
        <v>#N/A</v>
      </c>
      <c r="AN49" s="10" t="e">
        <f t="shared" ca="1" si="26"/>
        <v>#N/A</v>
      </c>
      <c r="AO49" s="67" t="e">
        <f ca="1">INDEX(RESULTADOS!$A:$BA,MATCH($A49,RESULTADOS!$A:$A,0),MATCH(AO$1,RESULTADOS!$1:$1,0))</f>
        <v>#N/A</v>
      </c>
      <c r="AP49" s="10" t="e">
        <f t="shared" ca="1" si="27"/>
        <v>#N/A</v>
      </c>
      <c r="AR49" s="278"/>
      <c r="AS49" s="278"/>
      <c r="AT49" s="331"/>
      <c r="AU49" s="272"/>
    </row>
    <row r="50" spans="1:47" x14ac:dyDescent="0.2">
      <c r="A50" s="7">
        <f t="shared" ca="1" si="31"/>
        <v>43849</v>
      </c>
      <c r="B50" s="67" t="e">
        <f ca="1">INDEX(RESULTADOS!$A:$BA,MATCH($A50,RESULTADOS!$A:$A,0),MATCH(B$1,RESULTADOS!$1:$1,0))</f>
        <v>#N/A</v>
      </c>
      <c r="C50" s="10" t="e">
        <f t="shared" ca="1" si="6"/>
        <v>#N/A</v>
      </c>
      <c r="D50" s="10">
        <v>0</v>
      </c>
      <c r="E50" s="10" t="e">
        <f t="shared" ref="E50:E69" ca="1" si="32">C50</f>
        <v>#N/A</v>
      </c>
      <c r="F50" s="67" t="e">
        <f ca="1">INDEX(RESULTADOS!$A:$BA,MATCH($A50,RESULTADOS!$A:$A,0),MATCH(F$1,RESULTADOS!$1:$1,0))</f>
        <v>#N/A</v>
      </c>
      <c r="G50" s="10" t="e">
        <f t="shared" ref="G50:G69" ca="1" si="33">((E50*(24-$E$3)+E49*$E$3)/24)+F50</f>
        <v>#N/A</v>
      </c>
      <c r="H50" s="67" t="e">
        <f ca="1">INDEX(RESULTADOS!$A:$BA,MATCH($A50,RESULTADOS!$A:$A,0),MATCH(H$1,RESULTADOS!$1:$1,0))</f>
        <v>#N/A</v>
      </c>
      <c r="I50" s="67" t="e">
        <f ca="1">INDEX(RESULTADOS!$A:$BA,MATCH($A50,RESULTADOS!$A:$A,0),MATCH(I$1,RESULTADOS!$1:$1,0))</f>
        <v>#N/A</v>
      </c>
      <c r="J50" s="67" t="e">
        <f ca="1">INDEX(RESULTADOS!$A:$BA,MATCH($A50,RESULTADOS!$A:$A,0),MATCH(J$1,RESULTADOS!$1:$1,0))</f>
        <v>#N/A</v>
      </c>
      <c r="K50" s="10" t="e">
        <f t="shared" ref="K50:K69" ca="1" si="34">((I50*(24-$I$3)+I49*$I$3)/24)+((H50*(24-$H$3)+H49*$H$3)/24)+J50</f>
        <v>#N/A</v>
      </c>
      <c r="L50" s="10" t="e">
        <f t="shared" ref="L50:L69" ca="1" si="35">((I50*(24-$I$3)+I49*$I$3)/24)+((G49*(48-$G$3)+G48*($G$3-24))/24)+((H50*(24-$H$3)+H49*$H$3)/24)+J50</f>
        <v>#N/A</v>
      </c>
      <c r="M50" s="67" t="e">
        <f ca="1">INDEX(RESULTADOS!$A:$BA,MATCH($A50,RESULTADOS!$A:$A,0),MATCH(M$1,RESULTADOS!$1:$1,0))</f>
        <v>#N/A</v>
      </c>
      <c r="N50" s="10" t="e">
        <f t="shared" ca="1" si="8"/>
        <v>#N/A</v>
      </c>
      <c r="O50" s="10" t="e">
        <f t="shared" ca="1" si="9"/>
        <v>#N/A</v>
      </c>
      <c r="P50" s="10" t="e">
        <f t="shared" ca="1" si="10"/>
        <v>#N/A</v>
      </c>
      <c r="Q50" s="10" t="e">
        <f t="shared" ca="1" si="11"/>
        <v>#N/A</v>
      </c>
      <c r="R50" s="10" t="e">
        <f t="shared" ca="1" si="12"/>
        <v>#N/A</v>
      </c>
      <c r="S50" s="10" t="e">
        <f t="shared" ca="1" si="13"/>
        <v>#N/A</v>
      </c>
      <c r="T50" s="10" t="e">
        <f t="shared" ca="1" si="14"/>
        <v>#N/A</v>
      </c>
      <c r="U50" s="10" t="e">
        <f t="shared" ca="1" si="15"/>
        <v>#N/A</v>
      </c>
      <c r="V50" s="10" t="e">
        <f t="shared" ca="1" si="16"/>
        <v>#N/A</v>
      </c>
      <c r="W50" s="10" t="e">
        <f t="shared" ca="1" si="17"/>
        <v>#N/A</v>
      </c>
      <c r="X50" s="11" t="e">
        <f t="shared" ca="1" si="4"/>
        <v>#N/A</v>
      </c>
      <c r="Y50" s="67" t="e">
        <f ca="1">INDEX(RESULTADOS!$A:$BA,MATCH($A50,RESULTADOS!$A:$A,0),MATCH(Y$1,RESULTADOS!$1:$1,0))</f>
        <v>#N/A</v>
      </c>
      <c r="Z50" s="10" t="e">
        <f t="shared" ca="1" si="18"/>
        <v>#N/A</v>
      </c>
      <c r="AA50" s="10" t="e">
        <f t="shared" ca="1" si="19"/>
        <v>#N/A</v>
      </c>
      <c r="AB50" s="11"/>
      <c r="AC50" s="67" t="e">
        <f ca="1">INDEX(RESULTADOS!$A:$BA,MATCH($A50,RESULTADOS!$A:$A,0),MATCH(AC$1,RESULTADOS!$1:$1,0))</f>
        <v>#N/A</v>
      </c>
      <c r="AD50" s="10" t="e">
        <f t="shared" ca="1" si="20"/>
        <v>#N/A</v>
      </c>
      <c r="AE50" s="10" t="e">
        <f t="shared" ca="1" si="21"/>
        <v>#N/A</v>
      </c>
      <c r="AF50" s="10" t="e">
        <f t="shared" ca="1" si="22"/>
        <v>#N/A</v>
      </c>
      <c r="AG50" s="10" t="e">
        <f t="shared" ca="1" si="23"/>
        <v>#N/A</v>
      </c>
      <c r="AH50" s="10" t="e">
        <f t="shared" ca="1" si="24"/>
        <v>#N/A</v>
      </c>
      <c r="AI50" s="10" t="e">
        <f t="shared" ca="1" si="25"/>
        <v>#N/A</v>
      </c>
      <c r="AJ50" s="67" t="e">
        <f ca="1">INDEX(RESULTADOS!$A:$BA,MATCH($A50,RESULTADOS!$A:$A,0),MATCH(AJ$1,RESULTADOS!$1:$1,0))</f>
        <v>#N/A</v>
      </c>
      <c r="AK50" s="67" t="e">
        <f ca="1">INDEX(RESULTADOS!$A:$BA,MATCH($A50,RESULTADOS!$A:$A,0),MATCH(AK$1,RESULTADOS!$1:$1,0))</f>
        <v>#N/A</v>
      </c>
      <c r="AL50" s="13" t="e">
        <f t="shared" ca="1" si="5"/>
        <v>#N/A</v>
      </c>
      <c r="AM50" s="14" t="e">
        <f t="shared" ca="1" si="30"/>
        <v>#N/A</v>
      </c>
      <c r="AN50" s="10" t="e">
        <f t="shared" ca="1" si="26"/>
        <v>#N/A</v>
      </c>
      <c r="AO50" s="67" t="e">
        <f ca="1">INDEX(RESULTADOS!$A:$BA,MATCH($A50,RESULTADOS!$A:$A,0),MATCH(AO$1,RESULTADOS!$1:$1,0))</f>
        <v>#N/A</v>
      </c>
      <c r="AP50" s="10" t="e">
        <f t="shared" ca="1" si="27"/>
        <v>#N/A</v>
      </c>
    </row>
    <row r="51" spans="1:47" x14ac:dyDescent="0.2">
      <c r="A51" s="7">
        <f t="shared" ref="A51:A110" ca="1" si="36">A50+1</f>
        <v>43850</v>
      </c>
      <c r="B51" s="67" t="e">
        <f ca="1">INDEX(RESULTADOS!$A:$BA,MATCH($A51,RESULTADOS!$A:$A,0),MATCH(B$1,RESULTADOS!$1:$1,0))</f>
        <v>#N/A</v>
      </c>
      <c r="C51" s="10" t="e">
        <f t="shared" ref="C51:C69" ca="1" si="37">B51</f>
        <v>#N/A</v>
      </c>
      <c r="D51" s="10">
        <v>0</v>
      </c>
      <c r="E51" s="10" t="e">
        <f t="shared" ca="1" si="32"/>
        <v>#N/A</v>
      </c>
      <c r="F51" s="67" t="e">
        <f ca="1">INDEX(RESULTADOS!$A:$BA,MATCH($A51,RESULTADOS!$A:$A,0),MATCH(F$1,RESULTADOS!$1:$1,0))</f>
        <v>#N/A</v>
      </c>
      <c r="G51" s="10" t="e">
        <f t="shared" ca="1" si="33"/>
        <v>#N/A</v>
      </c>
      <c r="H51" s="67" t="e">
        <f ca="1">INDEX(RESULTADOS!$A:$BA,MATCH($A51,RESULTADOS!$A:$A,0),MATCH(H$1,RESULTADOS!$1:$1,0))</f>
        <v>#N/A</v>
      </c>
      <c r="I51" s="67" t="e">
        <f ca="1">INDEX(RESULTADOS!$A:$BA,MATCH($A51,RESULTADOS!$A:$A,0),MATCH(I$1,RESULTADOS!$1:$1,0))</f>
        <v>#N/A</v>
      </c>
      <c r="J51" s="67" t="e">
        <f ca="1">INDEX(RESULTADOS!$A:$BA,MATCH($A51,RESULTADOS!$A:$A,0),MATCH(J$1,RESULTADOS!$1:$1,0))</f>
        <v>#N/A</v>
      </c>
      <c r="K51" s="10" t="e">
        <f t="shared" ca="1" si="34"/>
        <v>#N/A</v>
      </c>
      <c r="L51" s="10" t="e">
        <f t="shared" ca="1" si="35"/>
        <v>#N/A</v>
      </c>
      <c r="M51" s="67" t="e">
        <f ca="1">INDEX(RESULTADOS!$A:$BA,MATCH($A51,RESULTADOS!$A:$A,0),MATCH(M$1,RESULTADOS!$1:$1,0))</f>
        <v>#N/A</v>
      </c>
      <c r="N51" s="10" t="e">
        <f t="shared" ca="1" si="8"/>
        <v>#N/A</v>
      </c>
      <c r="O51" s="10" t="e">
        <f t="shared" ref="O51:O69" ca="1" si="38">((L51*(24-$L$3)+L50*$L$3)/24)+N51</f>
        <v>#N/A</v>
      </c>
      <c r="P51" s="10" t="e">
        <f t="shared" ca="1" si="10"/>
        <v>#N/A</v>
      </c>
      <c r="Q51" s="10" t="e">
        <f t="shared" ref="Q51:Q69" ca="1" si="39">((O51*(24-$O$3)+O50*$O$3)/24)+P51</f>
        <v>#N/A</v>
      </c>
      <c r="R51" s="10" t="e">
        <f t="shared" ca="1" si="12"/>
        <v>#N/A</v>
      </c>
      <c r="S51" s="10" t="e">
        <f t="shared" ref="S51:S69" ca="1" si="40">((Q51*(24-$Q$3)+Q50*$Q$3)/24)+R51</f>
        <v>#N/A</v>
      </c>
      <c r="T51" s="10" t="e">
        <f t="shared" ca="1" si="14"/>
        <v>#N/A</v>
      </c>
      <c r="U51" s="10" t="e">
        <f t="shared" ref="U51:U69" ca="1" si="41">((S51*(24-$S$3)+S50*$S$3)/24)+T51</f>
        <v>#N/A</v>
      </c>
      <c r="V51" s="10" t="e">
        <f t="shared" ca="1" si="16"/>
        <v>#N/A</v>
      </c>
      <c r="W51" s="10" t="e">
        <f t="shared" ref="W51:W69" ca="1" si="42">((U51*(24-$U$3)+U50*$U$3)/24)+V51</f>
        <v>#N/A</v>
      </c>
      <c r="X51" s="11" t="e">
        <f t="shared" ca="1" si="4"/>
        <v>#N/A</v>
      </c>
      <c r="Y51" s="67" t="e">
        <f ca="1">INDEX(RESULTADOS!$A:$BA,MATCH($A51,RESULTADOS!$A:$A,0),MATCH(Y$1,RESULTADOS!$1:$1,0))</f>
        <v>#N/A</v>
      </c>
      <c r="Z51" s="10" t="e">
        <f t="shared" ref="Z51:Z69" ca="1" si="43">((Y51*(24-$Y$3)+Y50*$Y$3)/24)+X51</f>
        <v>#N/A</v>
      </c>
      <c r="AA51" s="10" t="e">
        <f t="shared" ref="AA51:AA69" ca="1" si="44">((W51*(24-$W$3)+W50*$W$3)/24)+((Y51*(24-$Y$3)+Y50*$Y$3)/24)+X51</f>
        <v>#N/A</v>
      </c>
      <c r="AB51" s="11"/>
      <c r="AC51" s="67" t="e">
        <f ca="1">INDEX(RESULTADOS!$A:$BA,MATCH($A51,RESULTADOS!$A:$A,0),MATCH(AC$1,RESULTADOS!$1:$1,0))</f>
        <v>#N/A</v>
      </c>
      <c r="AD51" s="10" t="e">
        <f t="shared" ca="1" si="20"/>
        <v>#N/A</v>
      </c>
      <c r="AE51" s="10" t="e">
        <f t="shared" ref="AE51:AE69" ca="1" si="45">AD51</f>
        <v>#N/A</v>
      </c>
      <c r="AF51" s="10" t="e">
        <f t="shared" ca="1" si="22"/>
        <v>#N/A</v>
      </c>
      <c r="AG51" s="10" t="e">
        <f t="shared" ref="AG51:AG69" ca="1" si="46">((AE51*(24-$AE$3)+AE50*$AE$3)/24)+AF51</f>
        <v>#N/A</v>
      </c>
      <c r="AH51" s="10" t="e">
        <f t="shared" ca="1" si="24"/>
        <v>#N/A</v>
      </c>
      <c r="AI51" s="10" t="e">
        <f t="shared" ref="AI51:AI69" ca="1" si="47">((AG51*(24-$AG$3)+AG50*$AG$3)/24)+AH51</f>
        <v>#N/A</v>
      </c>
      <c r="AJ51" s="67" t="e">
        <f ca="1">INDEX(RESULTADOS!$A:$BA,MATCH($A51,RESULTADOS!$A:$A,0),MATCH(AJ$1,RESULTADOS!$1:$1,0))</f>
        <v>#N/A</v>
      </c>
      <c r="AK51" s="67" t="e">
        <f ca="1">INDEX(RESULTADOS!$A:$BA,MATCH($A51,RESULTADOS!$A:$A,0),MATCH(AK$1,RESULTADOS!$1:$1,0))</f>
        <v>#N/A</v>
      </c>
      <c r="AL51" s="13" t="e">
        <f t="shared" ref="AL51:AL69" ca="1" si="48">AK51-AH51</f>
        <v>#N/A</v>
      </c>
      <c r="AM51" s="14" t="e">
        <f t="shared" ref="AM51:AM69" ca="1" si="49">((AJ51*(24-$AJ$3)+AJ50*$AJ$3)/24)+AL51</f>
        <v>#N/A</v>
      </c>
      <c r="AN51" s="10" t="e">
        <f t="shared" ref="AN51:AN69" ca="1" si="50">(((AI49*(96-AI$3))+(AI48*(AI$3-72)))/24)+(((AA51*(24-AA$3))+(AA50*AA$3))/24)+AM51</f>
        <v>#N/A</v>
      </c>
      <c r="AO51" s="67" t="e">
        <f ca="1">INDEX(RESULTADOS!$A:$BA,MATCH($A51,RESULTADOS!$A:$A,0),MATCH(AO$1,RESULTADOS!$1:$1,0))</f>
        <v>#N/A</v>
      </c>
      <c r="AP51" s="10" t="e">
        <f t="shared" ref="AP51:AP69" ca="1" si="51">((AN50*(48-AN$3))+(AN49*(AN$3-24)))/24+AO51</f>
        <v>#N/A</v>
      </c>
    </row>
    <row r="52" spans="1:47" x14ac:dyDescent="0.2">
      <c r="A52" s="7">
        <f t="shared" ca="1" si="36"/>
        <v>43851</v>
      </c>
      <c r="B52" s="67" t="e">
        <f ca="1">INDEX(RESULTADOS!$A:$BA,MATCH($A52,RESULTADOS!$A:$A,0),MATCH(B$1,RESULTADOS!$1:$1,0))</f>
        <v>#N/A</v>
      </c>
      <c r="C52" s="10" t="e">
        <f t="shared" ca="1" si="37"/>
        <v>#N/A</v>
      </c>
      <c r="D52" s="10">
        <v>0</v>
      </c>
      <c r="E52" s="10" t="e">
        <f t="shared" ca="1" si="32"/>
        <v>#N/A</v>
      </c>
      <c r="F52" s="67" t="e">
        <f ca="1">INDEX(RESULTADOS!$A:$BA,MATCH($A52,RESULTADOS!$A:$A,0),MATCH(F$1,RESULTADOS!$1:$1,0))</f>
        <v>#N/A</v>
      </c>
      <c r="G52" s="10" t="e">
        <f t="shared" ca="1" si="33"/>
        <v>#N/A</v>
      </c>
      <c r="H52" s="67" t="e">
        <f ca="1">INDEX(RESULTADOS!$A:$BA,MATCH($A52,RESULTADOS!$A:$A,0),MATCH(H$1,RESULTADOS!$1:$1,0))</f>
        <v>#N/A</v>
      </c>
      <c r="I52" s="67" t="e">
        <f ca="1">INDEX(RESULTADOS!$A:$BA,MATCH($A52,RESULTADOS!$A:$A,0),MATCH(I$1,RESULTADOS!$1:$1,0))</f>
        <v>#N/A</v>
      </c>
      <c r="J52" s="67" t="e">
        <f ca="1">INDEX(RESULTADOS!$A:$BA,MATCH($A52,RESULTADOS!$A:$A,0),MATCH(J$1,RESULTADOS!$1:$1,0))</f>
        <v>#N/A</v>
      </c>
      <c r="K52" s="10" t="e">
        <f t="shared" ca="1" si="34"/>
        <v>#N/A</v>
      </c>
      <c r="L52" s="10" t="e">
        <f t="shared" ca="1" si="35"/>
        <v>#N/A</v>
      </c>
      <c r="M52" s="67" t="e">
        <f ca="1">INDEX(RESULTADOS!$A:$BA,MATCH($A52,RESULTADOS!$A:$A,0),MATCH(M$1,RESULTADOS!$1:$1,0))</f>
        <v>#N/A</v>
      </c>
      <c r="N52" s="10" t="e">
        <f t="shared" ca="1" si="8"/>
        <v>#N/A</v>
      </c>
      <c r="O52" s="10" t="e">
        <f t="shared" ca="1" si="38"/>
        <v>#N/A</v>
      </c>
      <c r="P52" s="10" t="e">
        <f t="shared" ca="1" si="10"/>
        <v>#N/A</v>
      </c>
      <c r="Q52" s="10" t="e">
        <f t="shared" ca="1" si="39"/>
        <v>#N/A</v>
      </c>
      <c r="R52" s="10" t="e">
        <f t="shared" ca="1" si="12"/>
        <v>#N/A</v>
      </c>
      <c r="S52" s="10" t="e">
        <f t="shared" ca="1" si="40"/>
        <v>#N/A</v>
      </c>
      <c r="T52" s="10" t="e">
        <f t="shared" ca="1" si="14"/>
        <v>#N/A</v>
      </c>
      <c r="U52" s="10" t="e">
        <f t="shared" ca="1" si="41"/>
        <v>#N/A</v>
      </c>
      <c r="V52" s="10" t="e">
        <f t="shared" ca="1" si="16"/>
        <v>#N/A</v>
      </c>
      <c r="W52" s="10" t="e">
        <f t="shared" ca="1" si="42"/>
        <v>#N/A</v>
      </c>
      <c r="X52" s="11" t="e">
        <f t="shared" ca="1" si="4"/>
        <v>#N/A</v>
      </c>
      <c r="Y52" s="67" t="e">
        <f ca="1">INDEX(RESULTADOS!$A:$BA,MATCH($A52,RESULTADOS!$A:$A,0),MATCH(Y$1,RESULTADOS!$1:$1,0))</f>
        <v>#N/A</v>
      </c>
      <c r="Z52" s="10" t="e">
        <f t="shared" ca="1" si="43"/>
        <v>#N/A</v>
      </c>
      <c r="AA52" s="10" t="e">
        <f t="shared" ca="1" si="44"/>
        <v>#N/A</v>
      </c>
      <c r="AB52" s="11"/>
      <c r="AC52" s="67" t="e">
        <f ca="1">INDEX(RESULTADOS!$A:$BA,MATCH($A52,RESULTADOS!$A:$A,0),MATCH(AC$1,RESULTADOS!$1:$1,0))</f>
        <v>#N/A</v>
      </c>
      <c r="AD52" s="10" t="e">
        <f t="shared" ca="1" si="20"/>
        <v>#N/A</v>
      </c>
      <c r="AE52" s="10" t="e">
        <f t="shared" ca="1" si="45"/>
        <v>#N/A</v>
      </c>
      <c r="AF52" s="10" t="e">
        <f t="shared" ca="1" si="22"/>
        <v>#N/A</v>
      </c>
      <c r="AG52" s="10" t="e">
        <f t="shared" ca="1" si="46"/>
        <v>#N/A</v>
      </c>
      <c r="AH52" s="10" t="e">
        <f t="shared" ca="1" si="24"/>
        <v>#N/A</v>
      </c>
      <c r="AI52" s="10" t="e">
        <f t="shared" ca="1" si="47"/>
        <v>#N/A</v>
      </c>
      <c r="AJ52" s="67" t="e">
        <f ca="1">INDEX(RESULTADOS!$A:$BA,MATCH($A52,RESULTADOS!$A:$A,0),MATCH(AJ$1,RESULTADOS!$1:$1,0))</f>
        <v>#N/A</v>
      </c>
      <c r="AK52" s="67" t="e">
        <f ca="1">INDEX(RESULTADOS!$A:$BA,MATCH($A52,RESULTADOS!$A:$A,0),MATCH(AK$1,RESULTADOS!$1:$1,0))</f>
        <v>#N/A</v>
      </c>
      <c r="AL52" s="13" t="e">
        <f t="shared" ca="1" si="48"/>
        <v>#N/A</v>
      </c>
      <c r="AM52" s="14" t="e">
        <f t="shared" ca="1" si="49"/>
        <v>#N/A</v>
      </c>
      <c r="AN52" s="10" t="e">
        <f t="shared" ca="1" si="50"/>
        <v>#N/A</v>
      </c>
      <c r="AO52" s="67" t="e">
        <f ca="1">INDEX(RESULTADOS!$A:$BA,MATCH($A52,RESULTADOS!$A:$A,0),MATCH(AO$1,RESULTADOS!$1:$1,0))</f>
        <v>#N/A</v>
      </c>
      <c r="AP52" s="10" t="e">
        <f t="shared" ca="1" si="51"/>
        <v>#N/A</v>
      </c>
    </row>
    <row r="53" spans="1:47" x14ac:dyDescent="0.2">
      <c r="A53" s="7">
        <f t="shared" ca="1" si="36"/>
        <v>43852</v>
      </c>
      <c r="B53" s="67" t="e">
        <f ca="1">INDEX(RESULTADOS!$A:$BA,MATCH($A53,RESULTADOS!$A:$A,0),MATCH(B$1,RESULTADOS!$1:$1,0))</f>
        <v>#N/A</v>
      </c>
      <c r="C53" s="10" t="e">
        <f t="shared" ca="1" si="37"/>
        <v>#N/A</v>
      </c>
      <c r="D53" s="10">
        <v>0</v>
      </c>
      <c r="E53" s="10" t="e">
        <f t="shared" ca="1" si="32"/>
        <v>#N/A</v>
      </c>
      <c r="F53" s="67" t="e">
        <f ca="1">INDEX(RESULTADOS!$A:$BA,MATCH($A53,RESULTADOS!$A:$A,0),MATCH(F$1,RESULTADOS!$1:$1,0))</f>
        <v>#N/A</v>
      </c>
      <c r="G53" s="10" t="e">
        <f t="shared" ca="1" si="33"/>
        <v>#N/A</v>
      </c>
      <c r="H53" s="67" t="e">
        <f ca="1">INDEX(RESULTADOS!$A:$BA,MATCH($A53,RESULTADOS!$A:$A,0),MATCH(H$1,RESULTADOS!$1:$1,0))</f>
        <v>#N/A</v>
      </c>
      <c r="I53" s="67" t="e">
        <f ca="1">INDEX(RESULTADOS!$A:$BA,MATCH($A53,RESULTADOS!$A:$A,0),MATCH(I$1,RESULTADOS!$1:$1,0))</f>
        <v>#N/A</v>
      </c>
      <c r="J53" s="67" t="e">
        <f ca="1">INDEX(RESULTADOS!$A:$BA,MATCH($A53,RESULTADOS!$A:$A,0),MATCH(J$1,RESULTADOS!$1:$1,0))</f>
        <v>#N/A</v>
      </c>
      <c r="K53" s="10" t="e">
        <f t="shared" ca="1" si="34"/>
        <v>#N/A</v>
      </c>
      <c r="L53" s="10" t="e">
        <f t="shared" ca="1" si="35"/>
        <v>#N/A</v>
      </c>
      <c r="M53" s="67" t="e">
        <f ca="1">INDEX(RESULTADOS!$A:$BA,MATCH($A53,RESULTADOS!$A:$A,0),MATCH(M$1,RESULTADOS!$1:$1,0))</f>
        <v>#N/A</v>
      </c>
      <c r="N53" s="10" t="e">
        <f t="shared" ca="1" si="8"/>
        <v>#N/A</v>
      </c>
      <c r="O53" s="10" t="e">
        <f t="shared" ca="1" si="38"/>
        <v>#N/A</v>
      </c>
      <c r="P53" s="10" t="e">
        <f t="shared" ca="1" si="10"/>
        <v>#N/A</v>
      </c>
      <c r="Q53" s="10" t="e">
        <f t="shared" ca="1" si="39"/>
        <v>#N/A</v>
      </c>
      <c r="R53" s="10" t="e">
        <f t="shared" ca="1" si="12"/>
        <v>#N/A</v>
      </c>
      <c r="S53" s="10" t="e">
        <f t="shared" ca="1" si="40"/>
        <v>#N/A</v>
      </c>
      <c r="T53" s="10" t="e">
        <f t="shared" ca="1" si="14"/>
        <v>#N/A</v>
      </c>
      <c r="U53" s="10" t="e">
        <f t="shared" ca="1" si="41"/>
        <v>#N/A</v>
      </c>
      <c r="V53" s="10" t="e">
        <f t="shared" ca="1" si="16"/>
        <v>#N/A</v>
      </c>
      <c r="W53" s="10" t="e">
        <f t="shared" ca="1" si="42"/>
        <v>#N/A</v>
      </c>
      <c r="X53" s="11" t="e">
        <f t="shared" ca="1" si="4"/>
        <v>#N/A</v>
      </c>
      <c r="Y53" s="67" t="e">
        <f ca="1">INDEX(RESULTADOS!$A:$BA,MATCH($A53,RESULTADOS!$A:$A,0),MATCH(Y$1,RESULTADOS!$1:$1,0))</f>
        <v>#N/A</v>
      </c>
      <c r="Z53" s="10" t="e">
        <f t="shared" ca="1" si="43"/>
        <v>#N/A</v>
      </c>
      <c r="AA53" s="10" t="e">
        <f t="shared" ca="1" si="44"/>
        <v>#N/A</v>
      </c>
      <c r="AB53" s="11"/>
      <c r="AC53" s="67" t="e">
        <f ca="1">INDEX(RESULTADOS!$A:$BA,MATCH($A53,RESULTADOS!$A:$A,0),MATCH(AC$1,RESULTADOS!$1:$1,0))</f>
        <v>#N/A</v>
      </c>
      <c r="AD53" s="10" t="e">
        <f t="shared" ca="1" si="20"/>
        <v>#N/A</v>
      </c>
      <c r="AE53" s="10" t="e">
        <f t="shared" ca="1" si="45"/>
        <v>#N/A</v>
      </c>
      <c r="AF53" s="10" t="e">
        <f t="shared" ca="1" si="22"/>
        <v>#N/A</v>
      </c>
      <c r="AG53" s="10" t="e">
        <f t="shared" ca="1" si="46"/>
        <v>#N/A</v>
      </c>
      <c r="AH53" s="10" t="e">
        <f t="shared" ca="1" si="24"/>
        <v>#N/A</v>
      </c>
      <c r="AI53" s="10" t="e">
        <f t="shared" ca="1" si="47"/>
        <v>#N/A</v>
      </c>
      <c r="AJ53" s="67" t="e">
        <f ca="1">INDEX(RESULTADOS!$A:$BA,MATCH($A53,RESULTADOS!$A:$A,0),MATCH(AJ$1,RESULTADOS!$1:$1,0))</f>
        <v>#N/A</v>
      </c>
      <c r="AK53" s="67" t="e">
        <f ca="1">INDEX(RESULTADOS!$A:$BA,MATCH($A53,RESULTADOS!$A:$A,0),MATCH(AK$1,RESULTADOS!$1:$1,0))</f>
        <v>#N/A</v>
      </c>
      <c r="AL53" s="13" t="e">
        <f t="shared" ca="1" si="48"/>
        <v>#N/A</v>
      </c>
      <c r="AM53" s="14" t="e">
        <f t="shared" ca="1" si="49"/>
        <v>#N/A</v>
      </c>
      <c r="AN53" s="10" t="e">
        <f t="shared" ca="1" si="50"/>
        <v>#N/A</v>
      </c>
      <c r="AO53" s="67" t="e">
        <f ca="1">INDEX(RESULTADOS!$A:$BA,MATCH($A53,RESULTADOS!$A:$A,0),MATCH(AO$1,RESULTADOS!$1:$1,0))</f>
        <v>#N/A</v>
      </c>
      <c r="AP53" s="10" t="e">
        <f t="shared" ca="1" si="51"/>
        <v>#N/A</v>
      </c>
    </row>
    <row r="54" spans="1:47" x14ac:dyDescent="0.2">
      <c r="A54" s="7">
        <f t="shared" ca="1" si="36"/>
        <v>43853</v>
      </c>
      <c r="B54" s="67" t="e">
        <f ca="1">INDEX(RESULTADOS!$A:$BA,MATCH($A54,RESULTADOS!$A:$A,0),MATCH(B$1,RESULTADOS!$1:$1,0))</f>
        <v>#N/A</v>
      </c>
      <c r="C54" s="10" t="e">
        <f t="shared" ca="1" si="37"/>
        <v>#N/A</v>
      </c>
      <c r="D54" s="10">
        <v>0</v>
      </c>
      <c r="E54" s="10" t="e">
        <f t="shared" ca="1" si="32"/>
        <v>#N/A</v>
      </c>
      <c r="F54" s="67" t="e">
        <f ca="1">INDEX(RESULTADOS!$A:$BA,MATCH($A54,RESULTADOS!$A:$A,0),MATCH(F$1,RESULTADOS!$1:$1,0))</f>
        <v>#N/A</v>
      </c>
      <c r="G54" s="10" t="e">
        <f t="shared" ca="1" si="33"/>
        <v>#N/A</v>
      </c>
      <c r="H54" s="67" t="e">
        <f ca="1">INDEX(RESULTADOS!$A:$BA,MATCH($A54,RESULTADOS!$A:$A,0),MATCH(H$1,RESULTADOS!$1:$1,0))</f>
        <v>#N/A</v>
      </c>
      <c r="I54" s="67" t="e">
        <f ca="1">INDEX(RESULTADOS!$A:$BA,MATCH($A54,RESULTADOS!$A:$A,0),MATCH(I$1,RESULTADOS!$1:$1,0))</f>
        <v>#N/A</v>
      </c>
      <c r="J54" s="67" t="e">
        <f ca="1">INDEX(RESULTADOS!$A:$BA,MATCH($A54,RESULTADOS!$A:$A,0),MATCH(J$1,RESULTADOS!$1:$1,0))</f>
        <v>#N/A</v>
      </c>
      <c r="K54" s="10" t="e">
        <f t="shared" ca="1" si="34"/>
        <v>#N/A</v>
      </c>
      <c r="L54" s="10" t="e">
        <f t="shared" ca="1" si="35"/>
        <v>#N/A</v>
      </c>
      <c r="M54" s="67" t="e">
        <f ca="1">INDEX(RESULTADOS!$A:$BA,MATCH($A54,RESULTADOS!$A:$A,0),MATCH(M$1,RESULTADOS!$1:$1,0))</f>
        <v>#N/A</v>
      </c>
      <c r="N54" s="10" t="e">
        <f t="shared" ca="1" si="8"/>
        <v>#N/A</v>
      </c>
      <c r="O54" s="10" t="e">
        <f t="shared" ca="1" si="38"/>
        <v>#N/A</v>
      </c>
      <c r="P54" s="10" t="e">
        <f t="shared" ca="1" si="10"/>
        <v>#N/A</v>
      </c>
      <c r="Q54" s="10" t="e">
        <f t="shared" ca="1" si="39"/>
        <v>#N/A</v>
      </c>
      <c r="R54" s="10" t="e">
        <f t="shared" ca="1" si="12"/>
        <v>#N/A</v>
      </c>
      <c r="S54" s="10" t="e">
        <f t="shared" ca="1" si="40"/>
        <v>#N/A</v>
      </c>
      <c r="T54" s="10" t="e">
        <f t="shared" ca="1" si="14"/>
        <v>#N/A</v>
      </c>
      <c r="U54" s="10" t="e">
        <f t="shared" ca="1" si="41"/>
        <v>#N/A</v>
      </c>
      <c r="V54" s="10" t="e">
        <f t="shared" ca="1" si="16"/>
        <v>#N/A</v>
      </c>
      <c r="W54" s="10" t="e">
        <f t="shared" ca="1" si="42"/>
        <v>#N/A</v>
      </c>
      <c r="X54" s="11" t="e">
        <f t="shared" ca="1" si="4"/>
        <v>#N/A</v>
      </c>
      <c r="Y54" s="67" t="e">
        <f ca="1">INDEX(RESULTADOS!$A:$BA,MATCH($A54,RESULTADOS!$A:$A,0),MATCH(Y$1,RESULTADOS!$1:$1,0))</f>
        <v>#N/A</v>
      </c>
      <c r="Z54" s="10" t="e">
        <f t="shared" ca="1" si="43"/>
        <v>#N/A</v>
      </c>
      <c r="AA54" s="10" t="e">
        <f t="shared" ca="1" si="44"/>
        <v>#N/A</v>
      </c>
      <c r="AB54" s="11"/>
      <c r="AC54" s="67" t="e">
        <f ca="1">INDEX(RESULTADOS!$A:$BA,MATCH($A54,RESULTADOS!$A:$A,0),MATCH(AC$1,RESULTADOS!$1:$1,0))</f>
        <v>#N/A</v>
      </c>
      <c r="AD54" s="10" t="e">
        <f t="shared" ca="1" si="20"/>
        <v>#N/A</v>
      </c>
      <c r="AE54" s="10" t="e">
        <f t="shared" ca="1" si="45"/>
        <v>#N/A</v>
      </c>
      <c r="AF54" s="10" t="e">
        <f t="shared" ca="1" si="22"/>
        <v>#N/A</v>
      </c>
      <c r="AG54" s="10" t="e">
        <f t="shared" ca="1" si="46"/>
        <v>#N/A</v>
      </c>
      <c r="AH54" s="10" t="e">
        <f t="shared" ca="1" si="24"/>
        <v>#N/A</v>
      </c>
      <c r="AI54" s="10" t="e">
        <f t="shared" ca="1" si="47"/>
        <v>#N/A</v>
      </c>
      <c r="AJ54" s="67" t="e">
        <f ca="1">INDEX(RESULTADOS!$A:$BA,MATCH($A54,RESULTADOS!$A:$A,0),MATCH(AJ$1,RESULTADOS!$1:$1,0))</f>
        <v>#N/A</v>
      </c>
      <c r="AK54" s="67" t="e">
        <f ca="1">INDEX(RESULTADOS!$A:$BA,MATCH($A54,RESULTADOS!$A:$A,0),MATCH(AK$1,RESULTADOS!$1:$1,0))</f>
        <v>#N/A</v>
      </c>
      <c r="AL54" s="13" t="e">
        <f t="shared" ca="1" si="48"/>
        <v>#N/A</v>
      </c>
      <c r="AM54" s="14" t="e">
        <f t="shared" ca="1" si="49"/>
        <v>#N/A</v>
      </c>
      <c r="AN54" s="10" t="e">
        <f t="shared" ca="1" si="50"/>
        <v>#N/A</v>
      </c>
      <c r="AO54" s="67" t="e">
        <f ca="1">INDEX(RESULTADOS!$A:$BA,MATCH($A54,RESULTADOS!$A:$A,0),MATCH(AO$1,RESULTADOS!$1:$1,0))</f>
        <v>#N/A</v>
      </c>
      <c r="AP54" s="10" t="e">
        <f t="shared" ca="1" si="51"/>
        <v>#N/A</v>
      </c>
    </row>
    <row r="55" spans="1:47" x14ac:dyDescent="0.2">
      <c r="A55" s="7">
        <f t="shared" ca="1" si="36"/>
        <v>43854</v>
      </c>
      <c r="B55" s="67" t="e">
        <f ca="1">INDEX(RESULTADOS!$A:$BA,MATCH($A55,RESULTADOS!$A:$A,0),MATCH(B$1,RESULTADOS!$1:$1,0))</f>
        <v>#N/A</v>
      </c>
      <c r="C55" s="10" t="e">
        <f t="shared" ca="1" si="37"/>
        <v>#N/A</v>
      </c>
      <c r="D55" s="10">
        <v>0</v>
      </c>
      <c r="E55" s="10" t="e">
        <f t="shared" ca="1" si="32"/>
        <v>#N/A</v>
      </c>
      <c r="F55" s="67" t="e">
        <f ca="1">INDEX(RESULTADOS!$A:$BA,MATCH($A55,RESULTADOS!$A:$A,0),MATCH(F$1,RESULTADOS!$1:$1,0))</f>
        <v>#N/A</v>
      </c>
      <c r="G55" s="10" t="e">
        <f t="shared" ca="1" si="33"/>
        <v>#N/A</v>
      </c>
      <c r="H55" s="67" t="e">
        <f ca="1">INDEX(RESULTADOS!$A:$BA,MATCH($A55,RESULTADOS!$A:$A,0),MATCH(H$1,RESULTADOS!$1:$1,0))</f>
        <v>#N/A</v>
      </c>
      <c r="I55" s="67" t="e">
        <f ca="1">INDEX(RESULTADOS!$A:$BA,MATCH($A55,RESULTADOS!$A:$A,0),MATCH(I$1,RESULTADOS!$1:$1,0))</f>
        <v>#N/A</v>
      </c>
      <c r="J55" s="67" t="e">
        <f ca="1">INDEX(RESULTADOS!$A:$BA,MATCH($A55,RESULTADOS!$A:$A,0),MATCH(J$1,RESULTADOS!$1:$1,0))</f>
        <v>#N/A</v>
      </c>
      <c r="K55" s="10" t="e">
        <f t="shared" ca="1" si="34"/>
        <v>#N/A</v>
      </c>
      <c r="L55" s="10" t="e">
        <f t="shared" ca="1" si="35"/>
        <v>#N/A</v>
      </c>
      <c r="M55" s="67" t="e">
        <f ca="1">INDEX(RESULTADOS!$A:$BA,MATCH($A55,RESULTADOS!$A:$A,0),MATCH(M$1,RESULTADOS!$1:$1,0))</f>
        <v>#N/A</v>
      </c>
      <c r="N55" s="10" t="e">
        <f t="shared" ca="1" si="8"/>
        <v>#N/A</v>
      </c>
      <c r="O55" s="10" t="e">
        <f t="shared" ca="1" si="38"/>
        <v>#N/A</v>
      </c>
      <c r="P55" s="10" t="e">
        <f t="shared" ca="1" si="10"/>
        <v>#N/A</v>
      </c>
      <c r="Q55" s="10" t="e">
        <f t="shared" ca="1" si="39"/>
        <v>#N/A</v>
      </c>
      <c r="R55" s="10" t="e">
        <f t="shared" ca="1" si="12"/>
        <v>#N/A</v>
      </c>
      <c r="S55" s="10" t="e">
        <f t="shared" ca="1" si="40"/>
        <v>#N/A</v>
      </c>
      <c r="T55" s="10" t="e">
        <f t="shared" ca="1" si="14"/>
        <v>#N/A</v>
      </c>
      <c r="U55" s="10" t="e">
        <f t="shared" ca="1" si="41"/>
        <v>#N/A</v>
      </c>
      <c r="V55" s="10" t="e">
        <f t="shared" ca="1" si="16"/>
        <v>#N/A</v>
      </c>
      <c r="W55" s="10" t="e">
        <f t="shared" ca="1" si="42"/>
        <v>#N/A</v>
      </c>
      <c r="X55" s="11" t="e">
        <f t="shared" ca="1" si="4"/>
        <v>#N/A</v>
      </c>
      <c r="Y55" s="67" t="e">
        <f ca="1">INDEX(RESULTADOS!$A:$BA,MATCH($A55,RESULTADOS!$A:$A,0),MATCH(Y$1,RESULTADOS!$1:$1,0))</f>
        <v>#N/A</v>
      </c>
      <c r="Z55" s="10" t="e">
        <f t="shared" ca="1" si="43"/>
        <v>#N/A</v>
      </c>
      <c r="AA55" s="10" t="e">
        <f t="shared" ca="1" si="44"/>
        <v>#N/A</v>
      </c>
      <c r="AB55" s="11"/>
      <c r="AC55" s="67" t="e">
        <f ca="1">INDEX(RESULTADOS!$A:$BA,MATCH($A55,RESULTADOS!$A:$A,0),MATCH(AC$1,RESULTADOS!$1:$1,0))</f>
        <v>#N/A</v>
      </c>
      <c r="AD55" s="10" t="e">
        <f t="shared" ca="1" si="20"/>
        <v>#N/A</v>
      </c>
      <c r="AE55" s="10" t="e">
        <f t="shared" ca="1" si="45"/>
        <v>#N/A</v>
      </c>
      <c r="AF55" s="10" t="e">
        <f t="shared" ca="1" si="22"/>
        <v>#N/A</v>
      </c>
      <c r="AG55" s="10" t="e">
        <f t="shared" ca="1" si="46"/>
        <v>#N/A</v>
      </c>
      <c r="AH55" s="10" t="e">
        <f t="shared" ca="1" si="24"/>
        <v>#N/A</v>
      </c>
      <c r="AI55" s="10" t="e">
        <f t="shared" ca="1" si="47"/>
        <v>#N/A</v>
      </c>
      <c r="AJ55" s="67" t="e">
        <f ca="1">INDEX(RESULTADOS!$A:$BA,MATCH($A55,RESULTADOS!$A:$A,0),MATCH(AJ$1,RESULTADOS!$1:$1,0))</f>
        <v>#N/A</v>
      </c>
      <c r="AK55" s="67" t="e">
        <f ca="1">INDEX(RESULTADOS!$A:$BA,MATCH($A55,RESULTADOS!$A:$A,0),MATCH(AK$1,RESULTADOS!$1:$1,0))</f>
        <v>#N/A</v>
      </c>
      <c r="AL55" s="13" t="e">
        <f t="shared" ca="1" si="48"/>
        <v>#N/A</v>
      </c>
      <c r="AM55" s="14" t="e">
        <f t="shared" ca="1" si="49"/>
        <v>#N/A</v>
      </c>
      <c r="AN55" s="10" t="e">
        <f t="shared" ca="1" si="50"/>
        <v>#N/A</v>
      </c>
      <c r="AO55" s="67" t="e">
        <f ca="1">INDEX(RESULTADOS!$A:$BA,MATCH($A55,RESULTADOS!$A:$A,0),MATCH(AO$1,RESULTADOS!$1:$1,0))</f>
        <v>#N/A</v>
      </c>
      <c r="AP55" s="10" t="e">
        <f t="shared" ca="1" si="51"/>
        <v>#N/A</v>
      </c>
    </row>
    <row r="56" spans="1:47" x14ac:dyDescent="0.2">
      <c r="A56" s="7">
        <f t="shared" ca="1" si="36"/>
        <v>43855</v>
      </c>
      <c r="B56" s="67" t="e">
        <f ca="1">INDEX(RESULTADOS!$A:$BA,MATCH($A56,RESULTADOS!$A:$A,0),MATCH(B$1,RESULTADOS!$1:$1,0))</f>
        <v>#N/A</v>
      </c>
      <c r="C56" s="10" t="e">
        <f t="shared" ca="1" si="37"/>
        <v>#N/A</v>
      </c>
      <c r="D56" s="10">
        <v>0</v>
      </c>
      <c r="E56" s="10" t="e">
        <f t="shared" ca="1" si="32"/>
        <v>#N/A</v>
      </c>
      <c r="F56" s="67" t="e">
        <f ca="1">INDEX(RESULTADOS!$A:$BA,MATCH($A56,RESULTADOS!$A:$A,0),MATCH(F$1,RESULTADOS!$1:$1,0))</f>
        <v>#N/A</v>
      </c>
      <c r="G56" s="10" t="e">
        <f t="shared" ca="1" si="33"/>
        <v>#N/A</v>
      </c>
      <c r="H56" s="67" t="e">
        <f ca="1">INDEX(RESULTADOS!$A:$BA,MATCH($A56,RESULTADOS!$A:$A,0),MATCH(H$1,RESULTADOS!$1:$1,0))</f>
        <v>#N/A</v>
      </c>
      <c r="I56" s="67" t="e">
        <f ca="1">INDEX(RESULTADOS!$A:$BA,MATCH($A56,RESULTADOS!$A:$A,0),MATCH(I$1,RESULTADOS!$1:$1,0))</f>
        <v>#N/A</v>
      </c>
      <c r="J56" s="67" t="e">
        <f ca="1">INDEX(RESULTADOS!$A:$BA,MATCH($A56,RESULTADOS!$A:$A,0),MATCH(J$1,RESULTADOS!$1:$1,0))</f>
        <v>#N/A</v>
      </c>
      <c r="K56" s="10" t="e">
        <f t="shared" ca="1" si="34"/>
        <v>#N/A</v>
      </c>
      <c r="L56" s="10" t="e">
        <f t="shared" ca="1" si="35"/>
        <v>#N/A</v>
      </c>
      <c r="M56" s="67" t="e">
        <f ca="1">INDEX(RESULTADOS!$A:$BA,MATCH($A56,RESULTADOS!$A:$A,0),MATCH(M$1,RESULTADOS!$1:$1,0))</f>
        <v>#N/A</v>
      </c>
      <c r="N56" s="10" t="e">
        <f t="shared" ca="1" si="8"/>
        <v>#N/A</v>
      </c>
      <c r="O56" s="10" t="e">
        <f t="shared" ca="1" si="38"/>
        <v>#N/A</v>
      </c>
      <c r="P56" s="10" t="e">
        <f t="shared" ca="1" si="10"/>
        <v>#N/A</v>
      </c>
      <c r="Q56" s="10" t="e">
        <f t="shared" ca="1" si="39"/>
        <v>#N/A</v>
      </c>
      <c r="R56" s="10" t="e">
        <f t="shared" ca="1" si="12"/>
        <v>#N/A</v>
      </c>
      <c r="S56" s="10" t="e">
        <f t="shared" ca="1" si="40"/>
        <v>#N/A</v>
      </c>
      <c r="T56" s="10" t="e">
        <f t="shared" ca="1" si="14"/>
        <v>#N/A</v>
      </c>
      <c r="U56" s="10" t="e">
        <f t="shared" ca="1" si="41"/>
        <v>#N/A</v>
      </c>
      <c r="V56" s="10" t="e">
        <f t="shared" ca="1" si="16"/>
        <v>#N/A</v>
      </c>
      <c r="W56" s="10" t="e">
        <f t="shared" ca="1" si="42"/>
        <v>#N/A</v>
      </c>
      <c r="X56" s="11" t="e">
        <f t="shared" ca="1" si="4"/>
        <v>#N/A</v>
      </c>
      <c r="Y56" s="67" t="e">
        <f ca="1">INDEX(RESULTADOS!$A:$BA,MATCH($A56,RESULTADOS!$A:$A,0),MATCH(Y$1,RESULTADOS!$1:$1,0))</f>
        <v>#N/A</v>
      </c>
      <c r="Z56" s="10" t="e">
        <f t="shared" ca="1" si="43"/>
        <v>#N/A</v>
      </c>
      <c r="AA56" s="10" t="e">
        <f t="shared" ca="1" si="44"/>
        <v>#N/A</v>
      </c>
      <c r="AB56" s="11"/>
      <c r="AC56" s="67" t="e">
        <f ca="1">INDEX(RESULTADOS!$A:$BA,MATCH($A56,RESULTADOS!$A:$A,0),MATCH(AC$1,RESULTADOS!$1:$1,0))</f>
        <v>#N/A</v>
      </c>
      <c r="AD56" s="10" t="e">
        <f t="shared" ca="1" si="20"/>
        <v>#N/A</v>
      </c>
      <c r="AE56" s="10" t="e">
        <f t="shared" ca="1" si="45"/>
        <v>#N/A</v>
      </c>
      <c r="AF56" s="10" t="e">
        <f t="shared" ca="1" si="22"/>
        <v>#N/A</v>
      </c>
      <c r="AG56" s="10" t="e">
        <f t="shared" ca="1" si="46"/>
        <v>#N/A</v>
      </c>
      <c r="AH56" s="10" t="e">
        <f t="shared" ca="1" si="24"/>
        <v>#N/A</v>
      </c>
      <c r="AI56" s="10" t="e">
        <f t="shared" ca="1" si="47"/>
        <v>#N/A</v>
      </c>
      <c r="AJ56" s="67" t="e">
        <f ca="1">INDEX(RESULTADOS!$A:$BA,MATCH($A56,RESULTADOS!$A:$A,0),MATCH(AJ$1,RESULTADOS!$1:$1,0))</f>
        <v>#N/A</v>
      </c>
      <c r="AK56" s="67" t="e">
        <f ca="1">INDEX(RESULTADOS!$A:$BA,MATCH($A56,RESULTADOS!$A:$A,0),MATCH(AK$1,RESULTADOS!$1:$1,0))</f>
        <v>#N/A</v>
      </c>
      <c r="AL56" s="13" t="e">
        <f t="shared" ca="1" si="48"/>
        <v>#N/A</v>
      </c>
      <c r="AM56" s="14" t="e">
        <f t="shared" ca="1" si="49"/>
        <v>#N/A</v>
      </c>
      <c r="AN56" s="10" t="e">
        <f t="shared" ca="1" si="50"/>
        <v>#N/A</v>
      </c>
      <c r="AO56" s="67" t="e">
        <f ca="1">INDEX(RESULTADOS!$A:$BA,MATCH($A56,RESULTADOS!$A:$A,0),MATCH(AO$1,RESULTADOS!$1:$1,0))</f>
        <v>#N/A</v>
      </c>
      <c r="AP56" s="10" t="e">
        <f t="shared" ca="1" si="51"/>
        <v>#N/A</v>
      </c>
    </row>
    <row r="57" spans="1:47" x14ac:dyDescent="0.2">
      <c r="A57" s="7">
        <f t="shared" ca="1" si="36"/>
        <v>43856</v>
      </c>
      <c r="B57" s="67" t="e">
        <f ca="1">INDEX(RESULTADOS!$A:$BA,MATCH($A57,RESULTADOS!$A:$A,0),MATCH(B$1,RESULTADOS!$1:$1,0))</f>
        <v>#N/A</v>
      </c>
      <c r="C57" s="10" t="e">
        <f t="shared" ca="1" si="37"/>
        <v>#N/A</v>
      </c>
      <c r="D57" s="10">
        <v>0</v>
      </c>
      <c r="E57" s="10" t="e">
        <f t="shared" ca="1" si="32"/>
        <v>#N/A</v>
      </c>
      <c r="F57" s="67" t="e">
        <f ca="1">INDEX(RESULTADOS!$A:$BA,MATCH($A57,RESULTADOS!$A:$A,0),MATCH(F$1,RESULTADOS!$1:$1,0))</f>
        <v>#N/A</v>
      </c>
      <c r="G57" s="10" t="e">
        <f t="shared" ca="1" si="33"/>
        <v>#N/A</v>
      </c>
      <c r="H57" s="67" t="e">
        <f ca="1">INDEX(RESULTADOS!$A:$BA,MATCH($A57,RESULTADOS!$A:$A,0),MATCH(H$1,RESULTADOS!$1:$1,0))</f>
        <v>#N/A</v>
      </c>
      <c r="I57" s="67" t="e">
        <f ca="1">INDEX(RESULTADOS!$A:$BA,MATCH($A57,RESULTADOS!$A:$A,0),MATCH(I$1,RESULTADOS!$1:$1,0))</f>
        <v>#N/A</v>
      </c>
      <c r="J57" s="67" t="e">
        <f ca="1">INDEX(RESULTADOS!$A:$BA,MATCH($A57,RESULTADOS!$A:$A,0),MATCH(J$1,RESULTADOS!$1:$1,0))</f>
        <v>#N/A</v>
      </c>
      <c r="K57" s="10" t="e">
        <f t="shared" ca="1" si="34"/>
        <v>#N/A</v>
      </c>
      <c r="L57" s="10" t="e">
        <f t="shared" ca="1" si="35"/>
        <v>#N/A</v>
      </c>
      <c r="M57" s="67" t="e">
        <f ca="1">INDEX(RESULTADOS!$A:$BA,MATCH($A57,RESULTADOS!$A:$A,0),MATCH(M$1,RESULTADOS!$1:$1,0))</f>
        <v>#N/A</v>
      </c>
      <c r="N57" s="10" t="e">
        <f t="shared" ca="1" si="8"/>
        <v>#N/A</v>
      </c>
      <c r="O57" s="10" t="e">
        <f t="shared" ca="1" si="38"/>
        <v>#N/A</v>
      </c>
      <c r="P57" s="10" t="e">
        <f t="shared" ca="1" si="10"/>
        <v>#N/A</v>
      </c>
      <c r="Q57" s="10" t="e">
        <f t="shared" ca="1" si="39"/>
        <v>#N/A</v>
      </c>
      <c r="R57" s="10" t="e">
        <f t="shared" ca="1" si="12"/>
        <v>#N/A</v>
      </c>
      <c r="S57" s="10" t="e">
        <f t="shared" ca="1" si="40"/>
        <v>#N/A</v>
      </c>
      <c r="T57" s="10" t="e">
        <f t="shared" ca="1" si="14"/>
        <v>#N/A</v>
      </c>
      <c r="U57" s="10" t="e">
        <f t="shared" ca="1" si="41"/>
        <v>#N/A</v>
      </c>
      <c r="V57" s="10" t="e">
        <f t="shared" ca="1" si="16"/>
        <v>#N/A</v>
      </c>
      <c r="W57" s="10" t="e">
        <f t="shared" ca="1" si="42"/>
        <v>#N/A</v>
      </c>
      <c r="X57" s="11" t="e">
        <f t="shared" ca="1" si="4"/>
        <v>#N/A</v>
      </c>
      <c r="Y57" s="67" t="e">
        <f ca="1">INDEX(RESULTADOS!$A:$BA,MATCH($A57,RESULTADOS!$A:$A,0),MATCH(Y$1,RESULTADOS!$1:$1,0))</f>
        <v>#N/A</v>
      </c>
      <c r="Z57" s="10" t="e">
        <f t="shared" ca="1" si="43"/>
        <v>#N/A</v>
      </c>
      <c r="AA57" s="10" t="e">
        <f t="shared" ca="1" si="44"/>
        <v>#N/A</v>
      </c>
      <c r="AB57" s="11"/>
      <c r="AC57" s="67" t="e">
        <f ca="1">INDEX(RESULTADOS!$A:$BA,MATCH($A57,RESULTADOS!$A:$A,0),MATCH(AC$1,RESULTADOS!$1:$1,0))</f>
        <v>#N/A</v>
      </c>
      <c r="AD57" s="10" t="e">
        <f t="shared" ca="1" si="20"/>
        <v>#N/A</v>
      </c>
      <c r="AE57" s="10" t="e">
        <f t="shared" ca="1" si="45"/>
        <v>#N/A</v>
      </c>
      <c r="AF57" s="10" t="e">
        <f t="shared" ca="1" si="22"/>
        <v>#N/A</v>
      </c>
      <c r="AG57" s="10" t="e">
        <f t="shared" ca="1" si="46"/>
        <v>#N/A</v>
      </c>
      <c r="AH57" s="10" t="e">
        <f t="shared" ca="1" si="24"/>
        <v>#N/A</v>
      </c>
      <c r="AI57" s="10" t="e">
        <f t="shared" ca="1" si="47"/>
        <v>#N/A</v>
      </c>
      <c r="AJ57" s="67" t="e">
        <f ca="1">INDEX(RESULTADOS!$A:$BA,MATCH($A57,RESULTADOS!$A:$A,0),MATCH(AJ$1,RESULTADOS!$1:$1,0))</f>
        <v>#N/A</v>
      </c>
      <c r="AK57" s="67" t="e">
        <f ca="1">INDEX(RESULTADOS!$A:$BA,MATCH($A57,RESULTADOS!$A:$A,0),MATCH(AK$1,RESULTADOS!$1:$1,0))</f>
        <v>#N/A</v>
      </c>
      <c r="AL57" s="13" t="e">
        <f t="shared" ca="1" si="48"/>
        <v>#N/A</v>
      </c>
      <c r="AM57" s="14" t="e">
        <f t="shared" ca="1" si="49"/>
        <v>#N/A</v>
      </c>
      <c r="AN57" s="10" t="e">
        <f t="shared" ca="1" si="50"/>
        <v>#N/A</v>
      </c>
      <c r="AO57" s="67" t="e">
        <f ca="1">INDEX(RESULTADOS!$A:$BA,MATCH($A57,RESULTADOS!$A:$A,0),MATCH(AO$1,RESULTADOS!$1:$1,0))</f>
        <v>#N/A</v>
      </c>
      <c r="AP57" s="10" t="e">
        <f t="shared" ca="1" si="51"/>
        <v>#N/A</v>
      </c>
    </row>
    <row r="58" spans="1:47" x14ac:dyDescent="0.2">
      <c r="A58" s="7">
        <f t="shared" ca="1" si="36"/>
        <v>43857</v>
      </c>
      <c r="B58" s="67" t="e">
        <f ca="1">INDEX(RESULTADOS!$A:$BA,MATCH($A58,RESULTADOS!$A:$A,0),MATCH(B$1,RESULTADOS!$1:$1,0))</f>
        <v>#N/A</v>
      </c>
      <c r="C58" s="10" t="e">
        <f t="shared" ca="1" si="37"/>
        <v>#N/A</v>
      </c>
      <c r="D58" s="10">
        <v>0</v>
      </c>
      <c r="E58" s="10" t="e">
        <f t="shared" ca="1" si="32"/>
        <v>#N/A</v>
      </c>
      <c r="F58" s="67" t="e">
        <f ca="1">INDEX(RESULTADOS!$A:$BA,MATCH($A58,RESULTADOS!$A:$A,0),MATCH(F$1,RESULTADOS!$1:$1,0))</f>
        <v>#N/A</v>
      </c>
      <c r="G58" s="10" t="e">
        <f t="shared" ca="1" si="33"/>
        <v>#N/A</v>
      </c>
      <c r="H58" s="67" t="e">
        <f ca="1">INDEX(RESULTADOS!$A:$BA,MATCH($A58,RESULTADOS!$A:$A,0),MATCH(H$1,RESULTADOS!$1:$1,0))</f>
        <v>#N/A</v>
      </c>
      <c r="I58" s="67" t="e">
        <f ca="1">INDEX(RESULTADOS!$A:$BA,MATCH($A58,RESULTADOS!$A:$A,0),MATCH(I$1,RESULTADOS!$1:$1,0))</f>
        <v>#N/A</v>
      </c>
      <c r="J58" s="67" t="e">
        <f ca="1">INDEX(RESULTADOS!$A:$BA,MATCH($A58,RESULTADOS!$A:$A,0),MATCH(J$1,RESULTADOS!$1:$1,0))</f>
        <v>#N/A</v>
      </c>
      <c r="K58" s="10" t="e">
        <f t="shared" ca="1" si="34"/>
        <v>#N/A</v>
      </c>
      <c r="L58" s="10" t="e">
        <f t="shared" ca="1" si="35"/>
        <v>#N/A</v>
      </c>
      <c r="M58" s="67" t="e">
        <f ca="1">INDEX(RESULTADOS!$A:$BA,MATCH($A58,RESULTADOS!$A:$A,0),MATCH(M$1,RESULTADOS!$1:$1,0))</f>
        <v>#N/A</v>
      </c>
      <c r="N58" s="10" t="e">
        <f t="shared" ca="1" si="8"/>
        <v>#N/A</v>
      </c>
      <c r="O58" s="10" t="e">
        <f t="shared" ca="1" si="38"/>
        <v>#N/A</v>
      </c>
      <c r="P58" s="10" t="e">
        <f t="shared" ca="1" si="10"/>
        <v>#N/A</v>
      </c>
      <c r="Q58" s="10" t="e">
        <f t="shared" ca="1" si="39"/>
        <v>#N/A</v>
      </c>
      <c r="R58" s="10" t="e">
        <f t="shared" ca="1" si="12"/>
        <v>#N/A</v>
      </c>
      <c r="S58" s="10" t="e">
        <f t="shared" ca="1" si="40"/>
        <v>#N/A</v>
      </c>
      <c r="T58" s="10" t="e">
        <f t="shared" ca="1" si="14"/>
        <v>#N/A</v>
      </c>
      <c r="U58" s="10" t="e">
        <f t="shared" ca="1" si="41"/>
        <v>#N/A</v>
      </c>
      <c r="V58" s="10" t="e">
        <f t="shared" ca="1" si="16"/>
        <v>#N/A</v>
      </c>
      <c r="W58" s="10" t="e">
        <f t="shared" ca="1" si="42"/>
        <v>#N/A</v>
      </c>
      <c r="X58" s="11" t="e">
        <f t="shared" ca="1" si="4"/>
        <v>#N/A</v>
      </c>
      <c r="Y58" s="67" t="e">
        <f ca="1">INDEX(RESULTADOS!$A:$BA,MATCH($A58,RESULTADOS!$A:$A,0),MATCH(Y$1,RESULTADOS!$1:$1,0))</f>
        <v>#N/A</v>
      </c>
      <c r="Z58" s="10" t="e">
        <f t="shared" ca="1" si="43"/>
        <v>#N/A</v>
      </c>
      <c r="AA58" s="10" t="e">
        <f t="shared" ca="1" si="44"/>
        <v>#N/A</v>
      </c>
      <c r="AB58" s="11"/>
      <c r="AC58" s="67" t="e">
        <f ca="1">INDEX(RESULTADOS!$A:$BA,MATCH($A58,RESULTADOS!$A:$A,0),MATCH(AC$1,RESULTADOS!$1:$1,0))</f>
        <v>#N/A</v>
      </c>
      <c r="AD58" s="10" t="e">
        <f t="shared" ca="1" si="20"/>
        <v>#N/A</v>
      </c>
      <c r="AE58" s="10" t="e">
        <f t="shared" ca="1" si="45"/>
        <v>#N/A</v>
      </c>
      <c r="AF58" s="10" t="e">
        <f t="shared" ca="1" si="22"/>
        <v>#N/A</v>
      </c>
      <c r="AG58" s="10" t="e">
        <f t="shared" ca="1" si="46"/>
        <v>#N/A</v>
      </c>
      <c r="AH58" s="10" t="e">
        <f t="shared" ca="1" si="24"/>
        <v>#N/A</v>
      </c>
      <c r="AI58" s="10" t="e">
        <f t="shared" ca="1" si="47"/>
        <v>#N/A</v>
      </c>
      <c r="AJ58" s="67" t="e">
        <f ca="1">INDEX(RESULTADOS!$A:$BA,MATCH($A58,RESULTADOS!$A:$A,0),MATCH(AJ$1,RESULTADOS!$1:$1,0))</f>
        <v>#N/A</v>
      </c>
      <c r="AK58" s="67" t="e">
        <f ca="1">INDEX(RESULTADOS!$A:$BA,MATCH($A58,RESULTADOS!$A:$A,0),MATCH(AK$1,RESULTADOS!$1:$1,0))</f>
        <v>#N/A</v>
      </c>
      <c r="AL58" s="13" t="e">
        <f t="shared" ca="1" si="48"/>
        <v>#N/A</v>
      </c>
      <c r="AM58" s="14" t="e">
        <f t="shared" ca="1" si="49"/>
        <v>#N/A</v>
      </c>
      <c r="AN58" s="10" t="e">
        <f t="shared" ca="1" si="50"/>
        <v>#N/A</v>
      </c>
      <c r="AO58" s="67" t="e">
        <f ca="1">INDEX(RESULTADOS!$A:$BA,MATCH($A58,RESULTADOS!$A:$A,0),MATCH(AO$1,RESULTADOS!$1:$1,0))</f>
        <v>#N/A</v>
      </c>
      <c r="AP58" s="10" t="e">
        <f t="shared" ca="1" si="51"/>
        <v>#N/A</v>
      </c>
    </row>
    <row r="59" spans="1:47" x14ac:dyDescent="0.2">
      <c r="A59" s="7">
        <f t="shared" ca="1" si="36"/>
        <v>43858</v>
      </c>
      <c r="B59" s="67" t="e">
        <f ca="1">INDEX(RESULTADOS!$A:$BA,MATCH($A59,RESULTADOS!$A:$A,0),MATCH(B$1,RESULTADOS!$1:$1,0))</f>
        <v>#N/A</v>
      </c>
      <c r="C59" s="10" t="e">
        <f t="shared" ca="1" si="37"/>
        <v>#N/A</v>
      </c>
      <c r="D59" s="10">
        <v>0</v>
      </c>
      <c r="E59" s="10" t="e">
        <f t="shared" ca="1" si="32"/>
        <v>#N/A</v>
      </c>
      <c r="F59" s="67" t="e">
        <f ca="1">INDEX(RESULTADOS!$A:$BA,MATCH($A59,RESULTADOS!$A:$A,0),MATCH(F$1,RESULTADOS!$1:$1,0))</f>
        <v>#N/A</v>
      </c>
      <c r="G59" s="10" t="e">
        <f t="shared" ca="1" si="33"/>
        <v>#N/A</v>
      </c>
      <c r="H59" s="67" t="e">
        <f ca="1">INDEX(RESULTADOS!$A:$BA,MATCH($A59,RESULTADOS!$A:$A,0),MATCH(H$1,RESULTADOS!$1:$1,0))</f>
        <v>#N/A</v>
      </c>
      <c r="I59" s="67" t="e">
        <f ca="1">INDEX(RESULTADOS!$A:$BA,MATCH($A59,RESULTADOS!$A:$A,0),MATCH(I$1,RESULTADOS!$1:$1,0))</f>
        <v>#N/A</v>
      </c>
      <c r="J59" s="67" t="e">
        <f ca="1">INDEX(RESULTADOS!$A:$BA,MATCH($A59,RESULTADOS!$A:$A,0),MATCH(J$1,RESULTADOS!$1:$1,0))</f>
        <v>#N/A</v>
      </c>
      <c r="K59" s="10" t="e">
        <f t="shared" ca="1" si="34"/>
        <v>#N/A</v>
      </c>
      <c r="L59" s="10" t="e">
        <f t="shared" ca="1" si="35"/>
        <v>#N/A</v>
      </c>
      <c r="M59" s="67" t="e">
        <f ca="1">INDEX(RESULTADOS!$A:$BA,MATCH($A59,RESULTADOS!$A:$A,0),MATCH(M$1,RESULTADOS!$1:$1,0))</f>
        <v>#N/A</v>
      </c>
      <c r="N59" s="10" t="e">
        <f t="shared" ca="1" si="8"/>
        <v>#N/A</v>
      </c>
      <c r="O59" s="10" t="e">
        <f t="shared" ca="1" si="38"/>
        <v>#N/A</v>
      </c>
      <c r="P59" s="10" t="e">
        <f t="shared" ca="1" si="10"/>
        <v>#N/A</v>
      </c>
      <c r="Q59" s="10" t="e">
        <f t="shared" ca="1" si="39"/>
        <v>#N/A</v>
      </c>
      <c r="R59" s="10" t="e">
        <f t="shared" ca="1" si="12"/>
        <v>#N/A</v>
      </c>
      <c r="S59" s="10" t="e">
        <f t="shared" ca="1" si="40"/>
        <v>#N/A</v>
      </c>
      <c r="T59" s="10" t="e">
        <f t="shared" ca="1" si="14"/>
        <v>#N/A</v>
      </c>
      <c r="U59" s="10" t="e">
        <f t="shared" ca="1" si="41"/>
        <v>#N/A</v>
      </c>
      <c r="V59" s="10" t="e">
        <f t="shared" ca="1" si="16"/>
        <v>#N/A</v>
      </c>
      <c r="W59" s="10" t="e">
        <f t="shared" ca="1" si="42"/>
        <v>#N/A</v>
      </c>
      <c r="X59" s="11" t="e">
        <f t="shared" ca="1" si="4"/>
        <v>#N/A</v>
      </c>
      <c r="Y59" s="67" t="e">
        <f ca="1">INDEX(RESULTADOS!$A:$BA,MATCH($A59,RESULTADOS!$A:$A,0),MATCH(Y$1,RESULTADOS!$1:$1,0))</f>
        <v>#N/A</v>
      </c>
      <c r="Z59" s="10" t="e">
        <f t="shared" ca="1" si="43"/>
        <v>#N/A</v>
      </c>
      <c r="AA59" s="10" t="e">
        <f t="shared" ca="1" si="44"/>
        <v>#N/A</v>
      </c>
      <c r="AB59" s="11"/>
      <c r="AC59" s="67" t="e">
        <f ca="1">INDEX(RESULTADOS!$A:$BA,MATCH($A59,RESULTADOS!$A:$A,0),MATCH(AC$1,RESULTADOS!$1:$1,0))</f>
        <v>#N/A</v>
      </c>
      <c r="AD59" s="10" t="e">
        <f t="shared" ca="1" si="20"/>
        <v>#N/A</v>
      </c>
      <c r="AE59" s="10" t="e">
        <f t="shared" ca="1" si="45"/>
        <v>#N/A</v>
      </c>
      <c r="AF59" s="10" t="e">
        <f t="shared" ca="1" si="22"/>
        <v>#N/A</v>
      </c>
      <c r="AG59" s="10" t="e">
        <f t="shared" ca="1" si="46"/>
        <v>#N/A</v>
      </c>
      <c r="AH59" s="10" t="e">
        <f t="shared" ca="1" si="24"/>
        <v>#N/A</v>
      </c>
      <c r="AI59" s="10" t="e">
        <f t="shared" ca="1" si="47"/>
        <v>#N/A</v>
      </c>
      <c r="AJ59" s="67" t="e">
        <f ca="1">INDEX(RESULTADOS!$A:$BA,MATCH($A59,RESULTADOS!$A:$A,0),MATCH(AJ$1,RESULTADOS!$1:$1,0))</f>
        <v>#N/A</v>
      </c>
      <c r="AK59" s="67" t="e">
        <f ca="1">INDEX(RESULTADOS!$A:$BA,MATCH($A59,RESULTADOS!$A:$A,0),MATCH(AK$1,RESULTADOS!$1:$1,0))</f>
        <v>#N/A</v>
      </c>
      <c r="AL59" s="13" t="e">
        <f t="shared" ca="1" si="48"/>
        <v>#N/A</v>
      </c>
      <c r="AM59" s="14" t="e">
        <f t="shared" ca="1" si="49"/>
        <v>#N/A</v>
      </c>
      <c r="AN59" s="10" t="e">
        <f t="shared" ca="1" si="50"/>
        <v>#N/A</v>
      </c>
      <c r="AO59" s="67" t="e">
        <f ca="1">INDEX(RESULTADOS!$A:$BA,MATCH($A59,RESULTADOS!$A:$A,0),MATCH(AO$1,RESULTADOS!$1:$1,0))</f>
        <v>#N/A</v>
      </c>
      <c r="AP59" s="10" t="e">
        <f t="shared" ca="1" si="51"/>
        <v>#N/A</v>
      </c>
    </row>
    <row r="60" spans="1:47" x14ac:dyDescent="0.2">
      <c r="A60" s="7">
        <f t="shared" ca="1" si="36"/>
        <v>43859</v>
      </c>
      <c r="B60" s="67" t="e">
        <f ca="1">INDEX(RESULTADOS!$A:$BA,MATCH($A60,RESULTADOS!$A:$A,0),MATCH(B$1,RESULTADOS!$1:$1,0))</f>
        <v>#N/A</v>
      </c>
      <c r="C60" s="10" t="e">
        <f t="shared" ca="1" si="37"/>
        <v>#N/A</v>
      </c>
      <c r="D60" s="10">
        <v>0</v>
      </c>
      <c r="E60" s="10" t="e">
        <f t="shared" ca="1" si="32"/>
        <v>#N/A</v>
      </c>
      <c r="F60" s="67" t="e">
        <f ca="1">INDEX(RESULTADOS!$A:$BA,MATCH($A60,RESULTADOS!$A:$A,0),MATCH(F$1,RESULTADOS!$1:$1,0))</f>
        <v>#N/A</v>
      </c>
      <c r="G60" s="10" t="e">
        <f t="shared" ca="1" si="33"/>
        <v>#N/A</v>
      </c>
      <c r="H60" s="67" t="e">
        <f ca="1">INDEX(RESULTADOS!$A:$BA,MATCH($A60,RESULTADOS!$A:$A,0),MATCH(H$1,RESULTADOS!$1:$1,0))</f>
        <v>#N/A</v>
      </c>
      <c r="I60" s="67" t="e">
        <f ca="1">INDEX(RESULTADOS!$A:$BA,MATCH($A60,RESULTADOS!$A:$A,0),MATCH(I$1,RESULTADOS!$1:$1,0))</f>
        <v>#N/A</v>
      </c>
      <c r="J60" s="67" t="e">
        <f ca="1">INDEX(RESULTADOS!$A:$BA,MATCH($A60,RESULTADOS!$A:$A,0),MATCH(J$1,RESULTADOS!$1:$1,0))</f>
        <v>#N/A</v>
      </c>
      <c r="K60" s="10" t="e">
        <f t="shared" ca="1" si="34"/>
        <v>#N/A</v>
      </c>
      <c r="L60" s="10" t="e">
        <f t="shared" ca="1" si="35"/>
        <v>#N/A</v>
      </c>
      <c r="M60" s="67" t="e">
        <f ca="1">INDEX(RESULTADOS!$A:$BA,MATCH($A60,RESULTADOS!$A:$A,0),MATCH(M$1,RESULTADOS!$1:$1,0))</f>
        <v>#N/A</v>
      </c>
      <c r="N60" s="10" t="e">
        <f t="shared" ca="1" si="8"/>
        <v>#N/A</v>
      </c>
      <c r="O60" s="10" t="e">
        <f t="shared" ca="1" si="38"/>
        <v>#N/A</v>
      </c>
      <c r="P60" s="10" t="e">
        <f t="shared" ca="1" si="10"/>
        <v>#N/A</v>
      </c>
      <c r="Q60" s="10" t="e">
        <f t="shared" ca="1" si="39"/>
        <v>#N/A</v>
      </c>
      <c r="R60" s="10" t="e">
        <f t="shared" ca="1" si="12"/>
        <v>#N/A</v>
      </c>
      <c r="S60" s="10" t="e">
        <f t="shared" ca="1" si="40"/>
        <v>#N/A</v>
      </c>
      <c r="T60" s="10" t="e">
        <f t="shared" ca="1" si="14"/>
        <v>#N/A</v>
      </c>
      <c r="U60" s="10" t="e">
        <f t="shared" ca="1" si="41"/>
        <v>#N/A</v>
      </c>
      <c r="V60" s="10" t="e">
        <f t="shared" ca="1" si="16"/>
        <v>#N/A</v>
      </c>
      <c r="W60" s="10" t="e">
        <f t="shared" ca="1" si="42"/>
        <v>#N/A</v>
      </c>
      <c r="X60" s="11" t="e">
        <f t="shared" ca="1" si="4"/>
        <v>#N/A</v>
      </c>
      <c r="Y60" s="67" t="e">
        <f ca="1">INDEX(RESULTADOS!$A:$BA,MATCH($A60,RESULTADOS!$A:$A,0),MATCH(Y$1,RESULTADOS!$1:$1,0))</f>
        <v>#N/A</v>
      </c>
      <c r="Z60" s="10" t="e">
        <f t="shared" ca="1" si="43"/>
        <v>#N/A</v>
      </c>
      <c r="AA60" s="10" t="e">
        <f t="shared" ca="1" si="44"/>
        <v>#N/A</v>
      </c>
      <c r="AB60" s="11"/>
      <c r="AC60" s="67" t="e">
        <f ca="1">INDEX(RESULTADOS!$A:$BA,MATCH($A60,RESULTADOS!$A:$A,0),MATCH(AC$1,RESULTADOS!$1:$1,0))</f>
        <v>#N/A</v>
      </c>
      <c r="AD60" s="10" t="e">
        <f t="shared" ca="1" si="20"/>
        <v>#N/A</v>
      </c>
      <c r="AE60" s="10" t="e">
        <f t="shared" ca="1" si="45"/>
        <v>#N/A</v>
      </c>
      <c r="AF60" s="10" t="e">
        <f t="shared" ca="1" si="22"/>
        <v>#N/A</v>
      </c>
      <c r="AG60" s="10" t="e">
        <f t="shared" ca="1" si="46"/>
        <v>#N/A</v>
      </c>
      <c r="AH60" s="10" t="e">
        <f t="shared" ca="1" si="24"/>
        <v>#N/A</v>
      </c>
      <c r="AI60" s="10" t="e">
        <f t="shared" ca="1" si="47"/>
        <v>#N/A</v>
      </c>
      <c r="AJ60" s="67" t="e">
        <f ca="1">INDEX(RESULTADOS!$A:$BA,MATCH($A60,RESULTADOS!$A:$A,0),MATCH(AJ$1,RESULTADOS!$1:$1,0))</f>
        <v>#N/A</v>
      </c>
      <c r="AK60" s="67" t="e">
        <f ca="1">INDEX(RESULTADOS!$A:$BA,MATCH($A60,RESULTADOS!$A:$A,0),MATCH(AK$1,RESULTADOS!$1:$1,0))</f>
        <v>#N/A</v>
      </c>
      <c r="AL60" s="13" t="e">
        <f t="shared" ca="1" si="48"/>
        <v>#N/A</v>
      </c>
      <c r="AM60" s="14" t="e">
        <f t="shared" ca="1" si="49"/>
        <v>#N/A</v>
      </c>
      <c r="AN60" s="10" t="e">
        <f t="shared" ca="1" si="50"/>
        <v>#N/A</v>
      </c>
      <c r="AO60" s="67" t="e">
        <f ca="1">INDEX(RESULTADOS!$A:$BA,MATCH($A60,RESULTADOS!$A:$A,0),MATCH(AO$1,RESULTADOS!$1:$1,0))</f>
        <v>#N/A</v>
      </c>
      <c r="AP60" s="10" t="e">
        <f t="shared" ca="1" si="51"/>
        <v>#N/A</v>
      </c>
    </row>
    <row r="61" spans="1:47" x14ac:dyDescent="0.2">
      <c r="A61" s="7">
        <f t="shared" ca="1" si="36"/>
        <v>43860</v>
      </c>
      <c r="B61" s="67" t="e">
        <f ca="1">INDEX(RESULTADOS!$A:$BA,MATCH($A61,RESULTADOS!$A:$A,0),MATCH(B$1,RESULTADOS!$1:$1,0))</f>
        <v>#N/A</v>
      </c>
      <c r="C61" s="10" t="e">
        <f t="shared" ca="1" si="37"/>
        <v>#N/A</v>
      </c>
      <c r="D61" s="10">
        <v>0</v>
      </c>
      <c r="E61" s="10" t="e">
        <f t="shared" ca="1" si="32"/>
        <v>#N/A</v>
      </c>
      <c r="F61" s="67" t="e">
        <f ca="1">INDEX(RESULTADOS!$A:$BA,MATCH($A61,RESULTADOS!$A:$A,0),MATCH(F$1,RESULTADOS!$1:$1,0))</f>
        <v>#N/A</v>
      </c>
      <c r="G61" s="10" t="e">
        <f t="shared" ca="1" si="33"/>
        <v>#N/A</v>
      </c>
      <c r="H61" s="67" t="e">
        <f ca="1">INDEX(RESULTADOS!$A:$BA,MATCH($A61,RESULTADOS!$A:$A,0),MATCH(H$1,RESULTADOS!$1:$1,0))</f>
        <v>#N/A</v>
      </c>
      <c r="I61" s="67" t="e">
        <f ca="1">INDEX(RESULTADOS!$A:$BA,MATCH($A61,RESULTADOS!$A:$A,0),MATCH(I$1,RESULTADOS!$1:$1,0))</f>
        <v>#N/A</v>
      </c>
      <c r="J61" s="67" t="e">
        <f ca="1">INDEX(RESULTADOS!$A:$BA,MATCH($A61,RESULTADOS!$A:$A,0),MATCH(J$1,RESULTADOS!$1:$1,0))</f>
        <v>#N/A</v>
      </c>
      <c r="K61" s="10" t="e">
        <f t="shared" ca="1" si="34"/>
        <v>#N/A</v>
      </c>
      <c r="L61" s="10" t="e">
        <f t="shared" ca="1" si="35"/>
        <v>#N/A</v>
      </c>
      <c r="M61" s="67" t="e">
        <f ca="1">INDEX(RESULTADOS!$A:$BA,MATCH($A61,RESULTADOS!$A:$A,0),MATCH(M$1,RESULTADOS!$1:$1,0))</f>
        <v>#N/A</v>
      </c>
      <c r="N61" s="10" t="e">
        <f t="shared" ca="1" si="8"/>
        <v>#N/A</v>
      </c>
      <c r="O61" s="10" t="e">
        <f t="shared" ca="1" si="38"/>
        <v>#N/A</v>
      </c>
      <c r="P61" s="10" t="e">
        <f t="shared" ca="1" si="10"/>
        <v>#N/A</v>
      </c>
      <c r="Q61" s="10" t="e">
        <f t="shared" ca="1" si="39"/>
        <v>#N/A</v>
      </c>
      <c r="R61" s="10" t="e">
        <f t="shared" ca="1" si="12"/>
        <v>#N/A</v>
      </c>
      <c r="S61" s="10" t="e">
        <f t="shared" ca="1" si="40"/>
        <v>#N/A</v>
      </c>
      <c r="T61" s="10" t="e">
        <f t="shared" ca="1" si="14"/>
        <v>#N/A</v>
      </c>
      <c r="U61" s="10" t="e">
        <f t="shared" ca="1" si="41"/>
        <v>#N/A</v>
      </c>
      <c r="V61" s="10" t="e">
        <f t="shared" ca="1" si="16"/>
        <v>#N/A</v>
      </c>
      <c r="W61" s="10" t="e">
        <f t="shared" ca="1" si="42"/>
        <v>#N/A</v>
      </c>
      <c r="X61" s="11" t="e">
        <f t="shared" ca="1" si="4"/>
        <v>#N/A</v>
      </c>
      <c r="Y61" s="67" t="e">
        <f ca="1">INDEX(RESULTADOS!$A:$BA,MATCH($A61,RESULTADOS!$A:$A,0),MATCH(Y$1,RESULTADOS!$1:$1,0))</f>
        <v>#N/A</v>
      </c>
      <c r="Z61" s="10" t="e">
        <f t="shared" ca="1" si="43"/>
        <v>#N/A</v>
      </c>
      <c r="AA61" s="10" t="e">
        <f t="shared" ca="1" si="44"/>
        <v>#N/A</v>
      </c>
      <c r="AB61" s="11"/>
      <c r="AC61" s="67" t="e">
        <f ca="1">INDEX(RESULTADOS!$A:$BA,MATCH($A61,RESULTADOS!$A:$A,0),MATCH(AC$1,RESULTADOS!$1:$1,0))</f>
        <v>#N/A</v>
      </c>
      <c r="AD61" s="10" t="e">
        <f t="shared" ca="1" si="20"/>
        <v>#N/A</v>
      </c>
      <c r="AE61" s="10" t="e">
        <f t="shared" ca="1" si="45"/>
        <v>#N/A</v>
      </c>
      <c r="AF61" s="10" t="e">
        <f t="shared" ca="1" si="22"/>
        <v>#N/A</v>
      </c>
      <c r="AG61" s="10" t="e">
        <f t="shared" ca="1" si="46"/>
        <v>#N/A</v>
      </c>
      <c r="AH61" s="10" t="e">
        <f t="shared" ca="1" si="24"/>
        <v>#N/A</v>
      </c>
      <c r="AI61" s="10" t="e">
        <f t="shared" ca="1" si="47"/>
        <v>#N/A</v>
      </c>
      <c r="AJ61" s="67" t="e">
        <f ca="1">INDEX(RESULTADOS!$A:$BA,MATCH($A61,RESULTADOS!$A:$A,0),MATCH(AJ$1,RESULTADOS!$1:$1,0))</f>
        <v>#N/A</v>
      </c>
      <c r="AK61" s="67" t="e">
        <f ca="1">INDEX(RESULTADOS!$A:$BA,MATCH($A61,RESULTADOS!$A:$A,0),MATCH(AK$1,RESULTADOS!$1:$1,0))</f>
        <v>#N/A</v>
      </c>
      <c r="AL61" s="13" t="e">
        <f t="shared" ca="1" si="48"/>
        <v>#N/A</v>
      </c>
      <c r="AM61" s="14" t="e">
        <f t="shared" ca="1" si="49"/>
        <v>#N/A</v>
      </c>
      <c r="AN61" s="10" t="e">
        <f t="shared" ca="1" si="50"/>
        <v>#N/A</v>
      </c>
      <c r="AO61" s="67" t="e">
        <f ca="1">INDEX(RESULTADOS!$A:$BA,MATCH($A61,RESULTADOS!$A:$A,0),MATCH(AO$1,RESULTADOS!$1:$1,0))</f>
        <v>#N/A</v>
      </c>
      <c r="AP61" s="10" t="e">
        <f t="shared" ca="1" si="51"/>
        <v>#N/A</v>
      </c>
    </row>
    <row r="62" spans="1:47" x14ac:dyDescent="0.2">
      <c r="A62" s="7">
        <f t="shared" ca="1" si="36"/>
        <v>43861</v>
      </c>
      <c r="B62" s="67" t="e">
        <f ca="1">INDEX(RESULTADOS!$A:$BA,MATCH($A62,RESULTADOS!$A:$A,0),MATCH(B$1,RESULTADOS!$1:$1,0))</f>
        <v>#N/A</v>
      </c>
      <c r="C62" s="10" t="e">
        <f t="shared" ca="1" si="37"/>
        <v>#N/A</v>
      </c>
      <c r="D62" s="10">
        <v>0</v>
      </c>
      <c r="E62" s="10" t="e">
        <f t="shared" ca="1" si="32"/>
        <v>#N/A</v>
      </c>
      <c r="F62" s="67" t="e">
        <f ca="1">INDEX(RESULTADOS!$A:$BA,MATCH($A62,RESULTADOS!$A:$A,0),MATCH(F$1,RESULTADOS!$1:$1,0))</f>
        <v>#N/A</v>
      </c>
      <c r="G62" s="10" t="e">
        <f t="shared" ca="1" si="33"/>
        <v>#N/A</v>
      </c>
      <c r="H62" s="67" t="e">
        <f ca="1">INDEX(RESULTADOS!$A:$BA,MATCH($A62,RESULTADOS!$A:$A,0),MATCH(H$1,RESULTADOS!$1:$1,0))</f>
        <v>#N/A</v>
      </c>
      <c r="I62" s="67" t="e">
        <f ca="1">INDEX(RESULTADOS!$A:$BA,MATCH($A62,RESULTADOS!$A:$A,0),MATCH(I$1,RESULTADOS!$1:$1,0))</f>
        <v>#N/A</v>
      </c>
      <c r="J62" s="67" t="e">
        <f ca="1">INDEX(RESULTADOS!$A:$BA,MATCH($A62,RESULTADOS!$A:$A,0),MATCH(J$1,RESULTADOS!$1:$1,0))</f>
        <v>#N/A</v>
      </c>
      <c r="K62" s="10" t="e">
        <f t="shared" ca="1" si="34"/>
        <v>#N/A</v>
      </c>
      <c r="L62" s="10" t="e">
        <f t="shared" ca="1" si="35"/>
        <v>#N/A</v>
      </c>
      <c r="M62" s="67" t="e">
        <f ca="1">INDEX(RESULTADOS!$A:$BA,MATCH($A62,RESULTADOS!$A:$A,0),MATCH(M$1,RESULTADOS!$1:$1,0))</f>
        <v>#N/A</v>
      </c>
      <c r="N62" s="10" t="e">
        <f t="shared" ca="1" si="8"/>
        <v>#N/A</v>
      </c>
      <c r="O62" s="10" t="e">
        <f t="shared" ca="1" si="38"/>
        <v>#N/A</v>
      </c>
      <c r="P62" s="10" t="e">
        <f t="shared" ca="1" si="10"/>
        <v>#N/A</v>
      </c>
      <c r="Q62" s="10" t="e">
        <f t="shared" ca="1" si="39"/>
        <v>#N/A</v>
      </c>
      <c r="R62" s="10" t="e">
        <f t="shared" ca="1" si="12"/>
        <v>#N/A</v>
      </c>
      <c r="S62" s="10" t="e">
        <f t="shared" ca="1" si="40"/>
        <v>#N/A</v>
      </c>
      <c r="T62" s="10" t="e">
        <f t="shared" ca="1" si="14"/>
        <v>#N/A</v>
      </c>
      <c r="U62" s="10" t="e">
        <f t="shared" ca="1" si="41"/>
        <v>#N/A</v>
      </c>
      <c r="V62" s="10" t="e">
        <f t="shared" ca="1" si="16"/>
        <v>#N/A</v>
      </c>
      <c r="W62" s="10" t="e">
        <f t="shared" ca="1" si="42"/>
        <v>#N/A</v>
      </c>
      <c r="X62" s="11" t="e">
        <f t="shared" ca="1" si="4"/>
        <v>#N/A</v>
      </c>
      <c r="Y62" s="67" t="e">
        <f ca="1">INDEX(RESULTADOS!$A:$BA,MATCH($A62,RESULTADOS!$A:$A,0),MATCH(Y$1,RESULTADOS!$1:$1,0))</f>
        <v>#N/A</v>
      </c>
      <c r="Z62" s="10" t="e">
        <f t="shared" ca="1" si="43"/>
        <v>#N/A</v>
      </c>
      <c r="AA62" s="10" t="e">
        <f t="shared" ca="1" si="44"/>
        <v>#N/A</v>
      </c>
      <c r="AB62" s="11"/>
      <c r="AC62" s="67" t="e">
        <f ca="1">INDEX(RESULTADOS!$A:$BA,MATCH($A62,RESULTADOS!$A:$A,0),MATCH(AC$1,RESULTADOS!$1:$1,0))</f>
        <v>#N/A</v>
      </c>
      <c r="AD62" s="10" t="e">
        <f t="shared" ca="1" si="20"/>
        <v>#N/A</v>
      </c>
      <c r="AE62" s="10" t="e">
        <f t="shared" ca="1" si="45"/>
        <v>#N/A</v>
      </c>
      <c r="AF62" s="10" t="e">
        <f t="shared" ca="1" si="22"/>
        <v>#N/A</v>
      </c>
      <c r="AG62" s="10" t="e">
        <f t="shared" ca="1" si="46"/>
        <v>#N/A</v>
      </c>
      <c r="AH62" s="10" t="e">
        <f t="shared" ca="1" si="24"/>
        <v>#N/A</v>
      </c>
      <c r="AI62" s="10" t="e">
        <f t="shared" ca="1" si="47"/>
        <v>#N/A</v>
      </c>
      <c r="AJ62" s="67" t="e">
        <f ca="1">INDEX(RESULTADOS!$A:$BA,MATCH($A62,RESULTADOS!$A:$A,0),MATCH(AJ$1,RESULTADOS!$1:$1,0))</f>
        <v>#N/A</v>
      </c>
      <c r="AK62" s="67" t="e">
        <f ca="1">INDEX(RESULTADOS!$A:$BA,MATCH($A62,RESULTADOS!$A:$A,0),MATCH(AK$1,RESULTADOS!$1:$1,0))</f>
        <v>#N/A</v>
      </c>
      <c r="AL62" s="13" t="e">
        <f t="shared" ca="1" si="48"/>
        <v>#N/A</v>
      </c>
      <c r="AM62" s="14" t="e">
        <f t="shared" ca="1" si="49"/>
        <v>#N/A</v>
      </c>
      <c r="AN62" s="10" t="e">
        <f t="shared" ca="1" si="50"/>
        <v>#N/A</v>
      </c>
      <c r="AO62" s="67" t="e">
        <f ca="1">INDEX(RESULTADOS!$A:$BA,MATCH($A62,RESULTADOS!$A:$A,0),MATCH(AO$1,RESULTADOS!$1:$1,0))</f>
        <v>#N/A</v>
      </c>
      <c r="AP62" s="10" t="e">
        <f t="shared" ca="1" si="51"/>
        <v>#N/A</v>
      </c>
    </row>
    <row r="63" spans="1:47" x14ac:dyDescent="0.2">
      <c r="A63" s="7">
        <f t="shared" ca="1" si="36"/>
        <v>43862</v>
      </c>
      <c r="B63" s="67" t="e">
        <f ca="1">INDEX(RESULTADOS!$A:$BA,MATCH($A63,RESULTADOS!$A:$A,0),MATCH(B$1,RESULTADOS!$1:$1,0))</f>
        <v>#N/A</v>
      </c>
      <c r="C63" s="10" t="e">
        <f t="shared" ca="1" si="37"/>
        <v>#N/A</v>
      </c>
      <c r="D63" s="10">
        <v>0</v>
      </c>
      <c r="E63" s="10" t="e">
        <f t="shared" ca="1" si="32"/>
        <v>#N/A</v>
      </c>
      <c r="F63" s="67" t="e">
        <f ca="1">INDEX(RESULTADOS!$A:$BA,MATCH($A63,RESULTADOS!$A:$A,0),MATCH(F$1,RESULTADOS!$1:$1,0))</f>
        <v>#N/A</v>
      </c>
      <c r="G63" s="10" t="e">
        <f t="shared" ca="1" si="33"/>
        <v>#N/A</v>
      </c>
      <c r="H63" s="67" t="e">
        <f ca="1">INDEX(RESULTADOS!$A:$BA,MATCH($A63,RESULTADOS!$A:$A,0),MATCH(H$1,RESULTADOS!$1:$1,0))</f>
        <v>#N/A</v>
      </c>
      <c r="I63" s="67" t="e">
        <f ca="1">INDEX(RESULTADOS!$A:$BA,MATCH($A63,RESULTADOS!$A:$A,0),MATCH(I$1,RESULTADOS!$1:$1,0))</f>
        <v>#N/A</v>
      </c>
      <c r="J63" s="67" t="e">
        <f ca="1">INDEX(RESULTADOS!$A:$BA,MATCH($A63,RESULTADOS!$A:$A,0),MATCH(J$1,RESULTADOS!$1:$1,0))</f>
        <v>#N/A</v>
      </c>
      <c r="K63" s="10" t="e">
        <f t="shared" ca="1" si="34"/>
        <v>#N/A</v>
      </c>
      <c r="L63" s="10" t="e">
        <f t="shared" ca="1" si="35"/>
        <v>#N/A</v>
      </c>
      <c r="M63" s="67" t="e">
        <f ca="1">INDEX(RESULTADOS!$A:$BA,MATCH($A63,RESULTADOS!$A:$A,0),MATCH(M$1,RESULTADOS!$1:$1,0))</f>
        <v>#N/A</v>
      </c>
      <c r="N63" s="10" t="e">
        <f t="shared" ca="1" si="8"/>
        <v>#N/A</v>
      </c>
      <c r="O63" s="10" t="e">
        <f t="shared" ca="1" si="38"/>
        <v>#N/A</v>
      </c>
      <c r="P63" s="10" t="e">
        <f t="shared" ca="1" si="10"/>
        <v>#N/A</v>
      </c>
      <c r="Q63" s="10" t="e">
        <f t="shared" ca="1" si="39"/>
        <v>#N/A</v>
      </c>
      <c r="R63" s="10" t="e">
        <f t="shared" ca="1" si="12"/>
        <v>#N/A</v>
      </c>
      <c r="S63" s="10" t="e">
        <f t="shared" ca="1" si="40"/>
        <v>#N/A</v>
      </c>
      <c r="T63" s="10" t="e">
        <f t="shared" ca="1" si="14"/>
        <v>#N/A</v>
      </c>
      <c r="U63" s="10" t="e">
        <f t="shared" ca="1" si="41"/>
        <v>#N/A</v>
      </c>
      <c r="V63" s="10" t="e">
        <f t="shared" ca="1" si="16"/>
        <v>#N/A</v>
      </c>
      <c r="W63" s="10" t="e">
        <f t="shared" ca="1" si="42"/>
        <v>#N/A</v>
      </c>
      <c r="X63" s="11" t="e">
        <f t="shared" ca="1" si="4"/>
        <v>#N/A</v>
      </c>
      <c r="Y63" s="67" t="e">
        <f ca="1">INDEX(RESULTADOS!$A:$BA,MATCH($A63,RESULTADOS!$A:$A,0),MATCH(Y$1,RESULTADOS!$1:$1,0))</f>
        <v>#N/A</v>
      </c>
      <c r="Z63" s="10" t="e">
        <f t="shared" ca="1" si="43"/>
        <v>#N/A</v>
      </c>
      <c r="AA63" s="10" t="e">
        <f t="shared" ca="1" si="44"/>
        <v>#N/A</v>
      </c>
      <c r="AB63" s="11"/>
      <c r="AC63" s="67" t="e">
        <f ca="1">INDEX(RESULTADOS!$A:$BA,MATCH($A63,RESULTADOS!$A:$A,0),MATCH(AC$1,RESULTADOS!$1:$1,0))</f>
        <v>#N/A</v>
      </c>
      <c r="AD63" s="10" t="e">
        <f t="shared" ca="1" si="20"/>
        <v>#N/A</v>
      </c>
      <c r="AE63" s="10" t="e">
        <f t="shared" ca="1" si="45"/>
        <v>#N/A</v>
      </c>
      <c r="AF63" s="10" t="e">
        <f t="shared" ca="1" si="22"/>
        <v>#N/A</v>
      </c>
      <c r="AG63" s="10" t="e">
        <f t="shared" ca="1" si="46"/>
        <v>#N/A</v>
      </c>
      <c r="AH63" s="10" t="e">
        <f t="shared" ca="1" si="24"/>
        <v>#N/A</v>
      </c>
      <c r="AI63" s="10" t="e">
        <f t="shared" ca="1" si="47"/>
        <v>#N/A</v>
      </c>
      <c r="AJ63" s="67" t="e">
        <f ca="1">INDEX(RESULTADOS!$A:$BA,MATCH($A63,RESULTADOS!$A:$A,0),MATCH(AJ$1,RESULTADOS!$1:$1,0))</f>
        <v>#N/A</v>
      </c>
      <c r="AK63" s="67" t="e">
        <f ca="1">INDEX(RESULTADOS!$A:$BA,MATCH($A63,RESULTADOS!$A:$A,0),MATCH(AK$1,RESULTADOS!$1:$1,0))</f>
        <v>#N/A</v>
      </c>
      <c r="AL63" s="13" t="e">
        <f t="shared" ca="1" si="48"/>
        <v>#N/A</v>
      </c>
      <c r="AM63" s="14" t="e">
        <f t="shared" ca="1" si="49"/>
        <v>#N/A</v>
      </c>
      <c r="AN63" s="10" t="e">
        <f t="shared" ca="1" si="50"/>
        <v>#N/A</v>
      </c>
      <c r="AO63" s="67" t="e">
        <f ca="1">INDEX(RESULTADOS!$A:$BA,MATCH($A63,RESULTADOS!$A:$A,0),MATCH(AO$1,RESULTADOS!$1:$1,0))</f>
        <v>#N/A</v>
      </c>
      <c r="AP63" s="10" t="e">
        <f t="shared" ca="1" si="51"/>
        <v>#N/A</v>
      </c>
    </row>
    <row r="64" spans="1:47" x14ac:dyDescent="0.2">
      <c r="A64" s="7">
        <f t="shared" ca="1" si="36"/>
        <v>43863</v>
      </c>
      <c r="B64" s="67" t="e">
        <f ca="1">INDEX(RESULTADOS!$A:$BA,MATCH($A64,RESULTADOS!$A:$A,0),MATCH(B$1,RESULTADOS!$1:$1,0))</f>
        <v>#N/A</v>
      </c>
      <c r="C64" s="10" t="e">
        <f t="shared" ca="1" si="37"/>
        <v>#N/A</v>
      </c>
      <c r="D64" s="10">
        <v>0</v>
      </c>
      <c r="E64" s="10" t="e">
        <f t="shared" ca="1" si="32"/>
        <v>#N/A</v>
      </c>
      <c r="F64" s="67" t="e">
        <f ca="1">INDEX(RESULTADOS!$A:$BA,MATCH($A64,RESULTADOS!$A:$A,0),MATCH(F$1,RESULTADOS!$1:$1,0))</f>
        <v>#N/A</v>
      </c>
      <c r="G64" s="10" t="e">
        <f t="shared" ca="1" si="33"/>
        <v>#N/A</v>
      </c>
      <c r="H64" s="67" t="e">
        <f ca="1">INDEX(RESULTADOS!$A:$BA,MATCH($A64,RESULTADOS!$A:$A,0),MATCH(H$1,RESULTADOS!$1:$1,0))</f>
        <v>#N/A</v>
      </c>
      <c r="I64" s="67" t="e">
        <f ca="1">INDEX(RESULTADOS!$A:$BA,MATCH($A64,RESULTADOS!$A:$A,0),MATCH(I$1,RESULTADOS!$1:$1,0))</f>
        <v>#N/A</v>
      </c>
      <c r="J64" s="67" t="e">
        <f ca="1">INDEX(RESULTADOS!$A:$BA,MATCH($A64,RESULTADOS!$A:$A,0),MATCH(J$1,RESULTADOS!$1:$1,0))</f>
        <v>#N/A</v>
      </c>
      <c r="K64" s="10" t="e">
        <f t="shared" ca="1" si="34"/>
        <v>#N/A</v>
      </c>
      <c r="L64" s="10" t="e">
        <f t="shared" ca="1" si="35"/>
        <v>#N/A</v>
      </c>
      <c r="M64" s="67" t="e">
        <f ca="1">INDEX(RESULTADOS!$A:$BA,MATCH($A64,RESULTADOS!$A:$A,0),MATCH(M$1,RESULTADOS!$1:$1,0))</f>
        <v>#N/A</v>
      </c>
      <c r="N64" s="10" t="e">
        <f t="shared" ca="1" si="8"/>
        <v>#N/A</v>
      </c>
      <c r="O64" s="10" t="e">
        <f t="shared" ca="1" si="38"/>
        <v>#N/A</v>
      </c>
      <c r="P64" s="10" t="e">
        <f t="shared" ca="1" si="10"/>
        <v>#N/A</v>
      </c>
      <c r="Q64" s="10" t="e">
        <f t="shared" ca="1" si="39"/>
        <v>#N/A</v>
      </c>
      <c r="R64" s="10" t="e">
        <f t="shared" ca="1" si="12"/>
        <v>#N/A</v>
      </c>
      <c r="S64" s="10" t="e">
        <f t="shared" ca="1" si="40"/>
        <v>#N/A</v>
      </c>
      <c r="T64" s="10" t="e">
        <f t="shared" ca="1" si="14"/>
        <v>#N/A</v>
      </c>
      <c r="U64" s="10" t="e">
        <f t="shared" ca="1" si="41"/>
        <v>#N/A</v>
      </c>
      <c r="V64" s="10" t="e">
        <f t="shared" ca="1" si="16"/>
        <v>#N/A</v>
      </c>
      <c r="W64" s="10" t="e">
        <f t="shared" ca="1" si="42"/>
        <v>#N/A</v>
      </c>
      <c r="X64" s="11" t="e">
        <f t="shared" ca="1" si="4"/>
        <v>#N/A</v>
      </c>
      <c r="Y64" s="67" t="e">
        <f ca="1">INDEX(RESULTADOS!$A:$BA,MATCH($A64,RESULTADOS!$A:$A,0),MATCH(Y$1,RESULTADOS!$1:$1,0))</f>
        <v>#N/A</v>
      </c>
      <c r="Z64" s="10" t="e">
        <f t="shared" ca="1" si="43"/>
        <v>#N/A</v>
      </c>
      <c r="AA64" s="10" t="e">
        <f t="shared" ca="1" si="44"/>
        <v>#N/A</v>
      </c>
      <c r="AB64" s="11"/>
      <c r="AC64" s="67" t="e">
        <f ca="1">INDEX(RESULTADOS!$A:$BA,MATCH($A64,RESULTADOS!$A:$A,0),MATCH(AC$1,RESULTADOS!$1:$1,0))</f>
        <v>#N/A</v>
      </c>
      <c r="AD64" s="10" t="e">
        <f t="shared" ca="1" si="20"/>
        <v>#N/A</v>
      </c>
      <c r="AE64" s="10" t="e">
        <f t="shared" ca="1" si="45"/>
        <v>#N/A</v>
      </c>
      <c r="AF64" s="10" t="e">
        <f t="shared" ca="1" si="22"/>
        <v>#N/A</v>
      </c>
      <c r="AG64" s="10" t="e">
        <f t="shared" ca="1" si="46"/>
        <v>#N/A</v>
      </c>
      <c r="AH64" s="10" t="e">
        <f t="shared" ca="1" si="24"/>
        <v>#N/A</v>
      </c>
      <c r="AI64" s="10" t="e">
        <f t="shared" ca="1" si="47"/>
        <v>#N/A</v>
      </c>
      <c r="AJ64" s="67" t="e">
        <f ca="1">INDEX(RESULTADOS!$A:$BA,MATCH($A64,RESULTADOS!$A:$A,0),MATCH(AJ$1,RESULTADOS!$1:$1,0))</f>
        <v>#N/A</v>
      </c>
      <c r="AK64" s="67" t="e">
        <f ca="1">INDEX(RESULTADOS!$A:$BA,MATCH($A64,RESULTADOS!$A:$A,0),MATCH(AK$1,RESULTADOS!$1:$1,0))</f>
        <v>#N/A</v>
      </c>
      <c r="AL64" s="13" t="e">
        <f t="shared" ca="1" si="48"/>
        <v>#N/A</v>
      </c>
      <c r="AM64" s="14" t="e">
        <f t="shared" ca="1" si="49"/>
        <v>#N/A</v>
      </c>
      <c r="AN64" s="10" t="e">
        <f t="shared" ca="1" si="50"/>
        <v>#N/A</v>
      </c>
      <c r="AO64" s="67" t="e">
        <f ca="1">INDEX(RESULTADOS!$A:$BA,MATCH($A64,RESULTADOS!$A:$A,0),MATCH(AO$1,RESULTADOS!$1:$1,0))</f>
        <v>#N/A</v>
      </c>
      <c r="AP64" s="10" t="e">
        <f t="shared" ca="1" si="51"/>
        <v>#N/A</v>
      </c>
    </row>
    <row r="65" spans="1:42" x14ac:dyDescent="0.2">
      <c r="A65" s="7">
        <f t="shared" ca="1" si="36"/>
        <v>43864</v>
      </c>
      <c r="B65" s="67" t="e">
        <f ca="1">INDEX(RESULTADOS!$A:$BA,MATCH($A65,RESULTADOS!$A:$A,0),MATCH(B$1,RESULTADOS!$1:$1,0))</f>
        <v>#N/A</v>
      </c>
      <c r="C65" s="10" t="e">
        <f t="shared" ca="1" si="37"/>
        <v>#N/A</v>
      </c>
      <c r="D65" s="10">
        <v>0</v>
      </c>
      <c r="E65" s="10" t="e">
        <f t="shared" ca="1" si="32"/>
        <v>#N/A</v>
      </c>
      <c r="F65" s="67" t="e">
        <f ca="1">INDEX(RESULTADOS!$A:$BA,MATCH($A65,RESULTADOS!$A:$A,0),MATCH(F$1,RESULTADOS!$1:$1,0))</f>
        <v>#N/A</v>
      </c>
      <c r="G65" s="10" t="e">
        <f t="shared" ca="1" si="33"/>
        <v>#N/A</v>
      </c>
      <c r="H65" s="67" t="e">
        <f ca="1">INDEX(RESULTADOS!$A:$BA,MATCH($A65,RESULTADOS!$A:$A,0),MATCH(H$1,RESULTADOS!$1:$1,0))</f>
        <v>#N/A</v>
      </c>
      <c r="I65" s="67" t="e">
        <f ca="1">INDEX(RESULTADOS!$A:$BA,MATCH($A65,RESULTADOS!$A:$A,0),MATCH(I$1,RESULTADOS!$1:$1,0))</f>
        <v>#N/A</v>
      </c>
      <c r="J65" s="67" t="e">
        <f ca="1">INDEX(RESULTADOS!$A:$BA,MATCH($A65,RESULTADOS!$A:$A,0),MATCH(J$1,RESULTADOS!$1:$1,0))</f>
        <v>#N/A</v>
      </c>
      <c r="K65" s="10" t="e">
        <f t="shared" ca="1" si="34"/>
        <v>#N/A</v>
      </c>
      <c r="L65" s="10" t="e">
        <f t="shared" ca="1" si="35"/>
        <v>#N/A</v>
      </c>
      <c r="M65" s="67" t="e">
        <f ca="1">INDEX(RESULTADOS!$A:$BA,MATCH($A65,RESULTADOS!$A:$A,0),MATCH(M$1,RESULTADOS!$1:$1,0))</f>
        <v>#N/A</v>
      </c>
      <c r="N65" s="10" t="e">
        <f t="shared" ca="1" si="8"/>
        <v>#N/A</v>
      </c>
      <c r="O65" s="10" t="e">
        <f t="shared" ca="1" si="38"/>
        <v>#N/A</v>
      </c>
      <c r="P65" s="10" t="e">
        <f t="shared" ca="1" si="10"/>
        <v>#N/A</v>
      </c>
      <c r="Q65" s="10" t="e">
        <f t="shared" ca="1" si="39"/>
        <v>#N/A</v>
      </c>
      <c r="R65" s="10" t="e">
        <f t="shared" ca="1" si="12"/>
        <v>#N/A</v>
      </c>
      <c r="S65" s="10" t="e">
        <f t="shared" ca="1" si="40"/>
        <v>#N/A</v>
      </c>
      <c r="T65" s="10" t="e">
        <f t="shared" ca="1" si="14"/>
        <v>#N/A</v>
      </c>
      <c r="U65" s="10" t="e">
        <f t="shared" ca="1" si="41"/>
        <v>#N/A</v>
      </c>
      <c r="V65" s="10" t="e">
        <f t="shared" ca="1" si="16"/>
        <v>#N/A</v>
      </c>
      <c r="W65" s="10" t="e">
        <f t="shared" ca="1" si="42"/>
        <v>#N/A</v>
      </c>
      <c r="X65" s="11" t="e">
        <f t="shared" ca="1" si="4"/>
        <v>#N/A</v>
      </c>
      <c r="Y65" s="67" t="e">
        <f ca="1">INDEX(RESULTADOS!$A:$BA,MATCH($A65,RESULTADOS!$A:$A,0),MATCH(Y$1,RESULTADOS!$1:$1,0))</f>
        <v>#N/A</v>
      </c>
      <c r="Z65" s="10" t="e">
        <f t="shared" ca="1" si="43"/>
        <v>#N/A</v>
      </c>
      <c r="AA65" s="10" t="e">
        <f t="shared" ca="1" si="44"/>
        <v>#N/A</v>
      </c>
      <c r="AB65" s="11"/>
      <c r="AC65" s="67" t="e">
        <f ca="1">INDEX(RESULTADOS!$A:$BA,MATCH($A65,RESULTADOS!$A:$A,0),MATCH(AC$1,RESULTADOS!$1:$1,0))</f>
        <v>#N/A</v>
      </c>
      <c r="AD65" s="10" t="e">
        <f t="shared" ca="1" si="20"/>
        <v>#N/A</v>
      </c>
      <c r="AE65" s="10" t="e">
        <f t="shared" ca="1" si="45"/>
        <v>#N/A</v>
      </c>
      <c r="AF65" s="10" t="e">
        <f t="shared" ca="1" si="22"/>
        <v>#N/A</v>
      </c>
      <c r="AG65" s="10" t="e">
        <f t="shared" ca="1" si="46"/>
        <v>#N/A</v>
      </c>
      <c r="AH65" s="10" t="e">
        <f t="shared" ca="1" si="24"/>
        <v>#N/A</v>
      </c>
      <c r="AI65" s="10" t="e">
        <f t="shared" ca="1" si="47"/>
        <v>#N/A</v>
      </c>
      <c r="AJ65" s="67" t="e">
        <f ca="1">INDEX(RESULTADOS!$A:$BA,MATCH($A65,RESULTADOS!$A:$A,0),MATCH(AJ$1,RESULTADOS!$1:$1,0))</f>
        <v>#N/A</v>
      </c>
      <c r="AK65" s="67" t="e">
        <f ca="1">INDEX(RESULTADOS!$A:$BA,MATCH($A65,RESULTADOS!$A:$A,0),MATCH(AK$1,RESULTADOS!$1:$1,0))</f>
        <v>#N/A</v>
      </c>
      <c r="AL65" s="13" t="e">
        <f t="shared" ca="1" si="48"/>
        <v>#N/A</v>
      </c>
      <c r="AM65" s="14" t="e">
        <f t="shared" ca="1" si="49"/>
        <v>#N/A</v>
      </c>
      <c r="AN65" s="10" t="e">
        <f t="shared" ca="1" si="50"/>
        <v>#N/A</v>
      </c>
      <c r="AO65" s="67" t="e">
        <f ca="1">INDEX(RESULTADOS!$A:$BA,MATCH($A65,RESULTADOS!$A:$A,0),MATCH(AO$1,RESULTADOS!$1:$1,0))</f>
        <v>#N/A</v>
      </c>
      <c r="AP65" s="10" t="e">
        <f t="shared" ca="1" si="51"/>
        <v>#N/A</v>
      </c>
    </row>
    <row r="66" spans="1:42" x14ac:dyDescent="0.2">
      <c r="A66" s="7">
        <f t="shared" ca="1" si="36"/>
        <v>43865</v>
      </c>
      <c r="B66" s="67" t="e">
        <f ca="1">INDEX(RESULTADOS!$A:$BA,MATCH($A66,RESULTADOS!$A:$A,0),MATCH(B$1,RESULTADOS!$1:$1,0))</f>
        <v>#N/A</v>
      </c>
      <c r="C66" s="10" t="e">
        <f t="shared" ca="1" si="37"/>
        <v>#N/A</v>
      </c>
      <c r="D66" s="10">
        <v>0</v>
      </c>
      <c r="E66" s="10" t="e">
        <f t="shared" ca="1" si="32"/>
        <v>#N/A</v>
      </c>
      <c r="F66" s="67" t="e">
        <f ca="1">INDEX(RESULTADOS!$A:$BA,MATCH($A66,RESULTADOS!$A:$A,0),MATCH(F$1,RESULTADOS!$1:$1,0))</f>
        <v>#N/A</v>
      </c>
      <c r="G66" s="10" t="e">
        <f t="shared" ca="1" si="33"/>
        <v>#N/A</v>
      </c>
      <c r="H66" s="67" t="e">
        <f ca="1">INDEX(RESULTADOS!$A:$BA,MATCH($A66,RESULTADOS!$A:$A,0),MATCH(H$1,RESULTADOS!$1:$1,0))</f>
        <v>#N/A</v>
      </c>
      <c r="I66" s="67" t="e">
        <f ca="1">INDEX(RESULTADOS!$A:$BA,MATCH($A66,RESULTADOS!$A:$A,0),MATCH(I$1,RESULTADOS!$1:$1,0))</f>
        <v>#N/A</v>
      </c>
      <c r="J66" s="67" t="e">
        <f ca="1">INDEX(RESULTADOS!$A:$BA,MATCH($A66,RESULTADOS!$A:$A,0),MATCH(J$1,RESULTADOS!$1:$1,0))</f>
        <v>#N/A</v>
      </c>
      <c r="K66" s="10" t="e">
        <f t="shared" ca="1" si="34"/>
        <v>#N/A</v>
      </c>
      <c r="L66" s="10" t="e">
        <f t="shared" ca="1" si="35"/>
        <v>#N/A</v>
      </c>
      <c r="M66" s="67" t="e">
        <f ca="1">INDEX(RESULTADOS!$A:$BA,MATCH($A66,RESULTADOS!$A:$A,0),MATCH(M$1,RESULTADOS!$1:$1,0))</f>
        <v>#N/A</v>
      </c>
      <c r="N66" s="10" t="e">
        <f t="shared" ca="1" si="8"/>
        <v>#N/A</v>
      </c>
      <c r="O66" s="10" t="e">
        <f t="shared" ca="1" si="38"/>
        <v>#N/A</v>
      </c>
      <c r="P66" s="10" t="e">
        <f t="shared" ca="1" si="10"/>
        <v>#N/A</v>
      </c>
      <c r="Q66" s="10" t="e">
        <f t="shared" ca="1" si="39"/>
        <v>#N/A</v>
      </c>
      <c r="R66" s="10" t="e">
        <f t="shared" ca="1" si="12"/>
        <v>#N/A</v>
      </c>
      <c r="S66" s="10" t="e">
        <f t="shared" ca="1" si="40"/>
        <v>#N/A</v>
      </c>
      <c r="T66" s="10" t="e">
        <f t="shared" ca="1" si="14"/>
        <v>#N/A</v>
      </c>
      <c r="U66" s="10" t="e">
        <f t="shared" ca="1" si="41"/>
        <v>#N/A</v>
      </c>
      <c r="V66" s="10" t="e">
        <f t="shared" ca="1" si="16"/>
        <v>#N/A</v>
      </c>
      <c r="W66" s="10" t="e">
        <f t="shared" ca="1" si="42"/>
        <v>#N/A</v>
      </c>
      <c r="X66" s="11" t="e">
        <f t="shared" ca="1" si="4"/>
        <v>#N/A</v>
      </c>
      <c r="Y66" s="67" t="e">
        <f ca="1">INDEX(RESULTADOS!$A:$BA,MATCH($A66,RESULTADOS!$A:$A,0),MATCH(Y$1,RESULTADOS!$1:$1,0))</f>
        <v>#N/A</v>
      </c>
      <c r="Z66" s="10" t="e">
        <f t="shared" ca="1" si="43"/>
        <v>#N/A</v>
      </c>
      <c r="AA66" s="10" t="e">
        <f t="shared" ca="1" si="44"/>
        <v>#N/A</v>
      </c>
      <c r="AB66" s="11"/>
      <c r="AC66" s="67" t="e">
        <f ca="1">INDEX(RESULTADOS!$A:$BA,MATCH($A66,RESULTADOS!$A:$A,0),MATCH(AC$1,RESULTADOS!$1:$1,0))</f>
        <v>#N/A</v>
      </c>
      <c r="AD66" s="10" t="e">
        <f t="shared" ca="1" si="20"/>
        <v>#N/A</v>
      </c>
      <c r="AE66" s="10" t="e">
        <f t="shared" ca="1" si="45"/>
        <v>#N/A</v>
      </c>
      <c r="AF66" s="10" t="e">
        <f t="shared" ca="1" si="22"/>
        <v>#N/A</v>
      </c>
      <c r="AG66" s="10" t="e">
        <f t="shared" ca="1" si="46"/>
        <v>#N/A</v>
      </c>
      <c r="AH66" s="10" t="e">
        <f t="shared" ca="1" si="24"/>
        <v>#N/A</v>
      </c>
      <c r="AI66" s="10" t="e">
        <f t="shared" ca="1" si="47"/>
        <v>#N/A</v>
      </c>
      <c r="AJ66" s="67" t="e">
        <f ca="1">INDEX(RESULTADOS!$A:$BA,MATCH($A66,RESULTADOS!$A:$A,0),MATCH(AJ$1,RESULTADOS!$1:$1,0))</f>
        <v>#N/A</v>
      </c>
      <c r="AK66" s="67" t="e">
        <f ca="1">INDEX(RESULTADOS!$A:$BA,MATCH($A66,RESULTADOS!$A:$A,0),MATCH(AK$1,RESULTADOS!$1:$1,0))</f>
        <v>#N/A</v>
      </c>
      <c r="AL66" s="13" t="e">
        <f t="shared" ca="1" si="48"/>
        <v>#N/A</v>
      </c>
      <c r="AM66" s="14" t="e">
        <f t="shared" ca="1" si="49"/>
        <v>#N/A</v>
      </c>
      <c r="AN66" s="10" t="e">
        <f t="shared" ca="1" si="50"/>
        <v>#N/A</v>
      </c>
      <c r="AO66" s="67" t="e">
        <f ca="1">INDEX(RESULTADOS!$A:$BA,MATCH($A66,RESULTADOS!$A:$A,0),MATCH(AO$1,RESULTADOS!$1:$1,0))</f>
        <v>#N/A</v>
      </c>
      <c r="AP66" s="10" t="e">
        <f t="shared" ca="1" si="51"/>
        <v>#N/A</v>
      </c>
    </row>
    <row r="67" spans="1:42" x14ac:dyDescent="0.2">
      <c r="A67" s="7">
        <f t="shared" ca="1" si="36"/>
        <v>43866</v>
      </c>
      <c r="B67" s="67" t="e">
        <f ca="1">INDEX(RESULTADOS!$A:$BA,MATCH($A67,RESULTADOS!$A:$A,0),MATCH(B$1,RESULTADOS!$1:$1,0))</f>
        <v>#N/A</v>
      </c>
      <c r="C67" s="10" t="e">
        <f t="shared" ca="1" si="37"/>
        <v>#N/A</v>
      </c>
      <c r="D67" s="10">
        <v>0</v>
      </c>
      <c r="E67" s="10" t="e">
        <f t="shared" ca="1" si="32"/>
        <v>#N/A</v>
      </c>
      <c r="F67" s="67" t="e">
        <f ca="1">INDEX(RESULTADOS!$A:$BA,MATCH($A67,RESULTADOS!$A:$A,0),MATCH(F$1,RESULTADOS!$1:$1,0))</f>
        <v>#N/A</v>
      </c>
      <c r="G67" s="10" t="e">
        <f t="shared" ca="1" si="33"/>
        <v>#N/A</v>
      </c>
      <c r="H67" s="67" t="e">
        <f ca="1">INDEX(RESULTADOS!$A:$BA,MATCH($A67,RESULTADOS!$A:$A,0),MATCH(H$1,RESULTADOS!$1:$1,0))</f>
        <v>#N/A</v>
      </c>
      <c r="I67" s="67" t="e">
        <f ca="1">INDEX(RESULTADOS!$A:$BA,MATCH($A67,RESULTADOS!$A:$A,0),MATCH(I$1,RESULTADOS!$1:$1,0))</f>
        <v>#N/A</v>
      </c>
      <c r="J67" s="67" t="e">
        <f ca="1">INDEX(RESULTADOS!$A:$BA,MATCH($A67,RESULTADOS!$A:$A,0),MATCH(J$1,RESULTADOS!$1:$1,0))</f>
        <v>#N/A</v>
      </c>
      <c r="K67" s="10" t="e">
        <f t="shared" ca="1" si="34"/>
        <v>#N/A</v>
      </c>
      <c r="L67" s="10" t="e">
        <f t="shared" ca="1" si="35"/>
        <v>#N/A</v>
      </c>
      <c r="M67" s="67" t="e">
        <f ca="1">INDEX(RESULTADOS!$A:$BA,MATCH($A67,RESULTADOS!$A:$A,0),MATCH(M$1,RESULTADOS!$1:$1,0))</f>
        <v>#N/A</v>
      </c>
      <c r="N67" s="10" t="e">
        <f t="shared" ca="1" si="8"/>
        <v>#N/A</v>
      </c>
      <c r="O67" s="10" t="e">
        <f t="shared" ca="1" si="38"/>
        <v>#N/A</v>
      </c>
      <c r="P67" s="10" t="e">
        <f t="shared" ca="1" si="10"/>
        <v>#N/A</v>
      </c>
      <c r="Q67" s="10" t="e">
        <f t="shared" ca="1" si="39"/>
        <v>#N/A</v>
      </c>
      <c r="R67" s="10" t="e">
        <f t="shared" ca="1" si="12"/>
        <v>#N/A</v>
      </c>
      <c r="S67" s="10" t="e">
        <f t="shared" ca="1" si="40"/>
        <v>#N/A</v>
      </c>
      <c r="T67" s="10" t="e">
        <f t="shared" ca="1" si="14"/>
        <v>#N/A</v>
      </c>
      <c r="U67" s="10" t="e">
        <f t="shared" ca="1" si="41"/>
        <v>#N/A</v>
      </c>
      <c r="V67" s="10" t="e">
        <f t="shared" ca="1" si="16"/>
        <v>#N/A</v>
      </c>
      <c r="W67" s="10" t="e">
        <f t="shared" ca="1" si="42"/>
        <v>#N/A</v>
      </c>
      <c r="X67" s="11" t="e">
        <f t="shared" ca="1" si="4"/>
        <v>#N/A</v>
      </c>
      <c r="Y67" s="67" t="e">
        <f ca="1">INDEX(RESULTADOS!$A:$BA,MATCH($A67,RESULTADOS!$A:$A,0),MATCH(Y$1,RESULTADOS!$1:$1,0))</f>
        <v>#N/A</v>
      </c>
      <c r="Z67" s="10" t="e">
        <f t="shared" ca="1" si="43"/>
        <v>#N/A</v>
      </c>
      <c r="AA67" s="10" t="e">
        <f t="shared" ca="1" si="44"/>
        <v>#N/A</v>
      </c>
      <c r="AB67" s="11"/>
      <c r="AC67" s="67" t="e">
        <f ca="1">INDEX(RESULTADOS!$A:$BA,MATCH($A67,RESULTADOS!$A:$A,0),MATCH(AC$1,RESULTADOS!$1:$1,0))</f>
        <v>#N/A</v>
      </c>
      <c r="AD67" s="10" t="e">
        <f t="shared" ca="1" si="20"/>
        <v>#N/A</v>
      </c>
      <c r="AE67" s="10" t="e">
        <f t="shared" ca="1" si="45"/>
        <v>#N/A</v>
      </c>
      <c r="AF67" s="10" t="e">
        <f t="shared" ca="1" si="22"/>
        <v>#N/A</v>
      </c>
      <c r="AG67" s="10" t="e">
        <f t="shared" ca="1" si="46"/>
        <v>#N/A</v>
      </c>
      <c r="AH67" s="10" t="e">
        <f t="shared" ca="1" si="24"/>
        <v>#N/A</v>
      </c>
      <c r="AI67" s="10" t="e">
        <f t="shared" ca="1" si="47"/>
        <v>#N/A</v>
      </c>
      <c r="AJ67" s="67" t="e">
        <f ca="1">INDEX(RESULTADOS!$A:$BA,MATCH($A67,RESULTADOS!$A:$A,0),MATCH(AJ$1,RESULTADOS!$1:$1,0))</f>
        <v>#N/A</v>
      </c>
      <c r="AK67" s="67" t="e">
        <f ca="1">INDEX(RESULTADOS!$A:$BA,MATCH($A67,RESULTADOS!$A:$A,0),MATCH(AK$1,RESULTADOS!$1:$1,0))</f>
        <v>#N/A</v>
      </c>
      <c r="AL67" s="13" t="e">
        <f t="shared" ca="1" si="48"/>
        <v>#N/A</v>
      </c>
      <c r="AM67" s="14" t="e">
        <f t="shared" ca="1" si="49"/>
        <v>#N/A</v>
      </c>
      <c r="AN67" s="10" t="e">
        <f t="shared" ca="1" si="50"/>
        <v>#N/A</v>
      </c>
      <c r="AO67" s="67" t="e">
        <f ca="1">INDEX(RESULTADOS!$A:$BA,MATCH($A67,RESULTADOS!$A:$A,0),MATCH(AO$1,RESULTADOS!$1:$1,0))</f>
        <v>#N/A</v>
      </c>
      <c r="AP67" s="10" t="e">
        <f t="shared" ca="1" si="51"/>
        <v>#N/A</v>
      </c>
    </row>
    <row r="68" spans="1:42" x14ac:dyDescent="0.2">
      <c r="A68" s="7">
        <f t="shared" ca="1" si="36"/>
        <v>43867</v>
      </c>
      <c r="B68" s="67" t="e">
        <f ca="1">INDEX(RESULTADOS!$A:$BA,MATCH($A68,RESULTADOS!$A:$A,0),MATCH(B$1,RESULTADOS!$1:$1,0))</f>
        <v>#N/A</v>
      </c>
      <c r="C68" s="10" t="e">
        <f t="shared" ca="1" si="37"/>
        <v>#N/A</v>
      </c>
      <c r="D68" s="10">
        <v>0</v>
      </c>
      <c r="E68" s="10" t="e">
        <f t="shared" ca="1" si="32"/>
        <v>#N/A</v>
      </c>
      <c r="F68" s="67" t="e">
        <f ca="1">INDEX(RESULTADOS!$A:$BA,MATCH($A68,RESULTADOS!$A:$A,0),MATCH(F$1,RESULTADOS!$1:$1,0))</f>
        <v>#N/A</v>
      </c>
      <c r="G68" s="10" t="e">
        <f t="shared" ca="1" si="33"/>
        <v>#N/A</v>
      </c>
      <c r="H68" s="67" t="e">
        <f ca="1">INDEX(RESULTADOS!$A:$BA,MATCH($A68,RESULTADOS!$A:$A,0),MATCH(H$1,RESULTADOS!$1:$1,0))</f>
        <v>#N/A</v>
      </c>
      <c r="I68" s="67" t="e">
        <f ca="1">INDEX(RESULTADOS!$A:$BA,MATCH($A68,RESULTADOS!$A:$A,0),MATCH(I$1,RESULTADOS!$1:$1,0))</f>
        <v>#N/A</v>
      </c>
      <c r="J68" s="67" t="e">
        <f ca="1">INDEX(RESULTADOS!$A:$BA,MATCH($A68,RESULTADOS!$A:$A,0),MATCH(J$1,RESULTADOS!$1:$1,0))</f>
        <v>#N/A</v>
      </c>
      <c r="K68" s="10" t="e">
        <f t="shared" ca="1" si="34"/>
        <v>#N/A</v>
      </c>
      <c r="L68" s="10" t="e">
        <f t="shared" ca="1" si="35"/>
        <v>#N/A</v>
      </c>
      <c r="M68" s="67" t="e">
        <f ca="1">INDEX(RESULTADOS!$A:$BA,MATCH($A68,RESULTADOS!$A:$A,0),MATCH(M$1,RESULTADOS!$1:$1,0))</f>
        <v>#N/A</v>
      </c>
      <c r="N68" s="10" t="e">
        <f t="shared" ca="1" si="8"/>
        <v>#N/A</v>
      </c>
      <c r="O68" s="10" t="e">
        <f t="shared" ca="1" si="38"/>
        <v>#N/A</v>
      </c>
      <c r="P68" s="10" t="e">
        <f t="shared" ca="1" si="10"/>
        <v>#N/A</v>
      </c>
      <c r="Q68" s="10" t="e">
        <f t="shared" ca="1" si="39"/>
        <v>#N/A</v>
      </c>
      <c r="R68" s="10" t="e">
        <f t="shared" ca="1" si="12"/>
        <v>#N/A</v>
      </c>
      <c r="S68" s="10" t="e">
        <f t="shared" ca="1" si="40"/>
        <v>#N/A</v>
      </c>
      <c r="T68" s="10" t="e">
        <f t="shared" ca="1" si="14"/>
        <v>#N/A</v>
      </c>
      <c r="U68" s="10" t="e">
        <f t="shared" ca="1" si="41"/>
        <v>#N/A</v>
      </c>
      <c r="V68" s="10" t="e">
        <f t="shared" ca="1" si="16"/>
        <v>#N/A</v>
      </c>
      <c r="W68" s="10" t="e">
        <f t="shared" ca="1" si="42"/>
        <v>#N/A</v>
      </c>
      <c r="X68" s="11" t="e">
        <f t="shared" ca="1" si="4"/>
        <v>#N/A</v>
      </c>
      <c r="Y68" s="67" t="e">
        <f ca="1">INDEX(RESULTADOS!$A:$BA,MATCH($A68,RESULTADOS!$A:$A,0),MATCH(Y$1,RESULTADOS!$1:$1,0))</f>
        <v>#N/A</v>
      </c>
      <c r="Z68" s="10" t="e">
        <f t="shared" ca="1" si="43"/>
        <v>#N/A</v>
      </c>
      <c r="AA68" s="10" t="e">
        <f t="shared" ca="1" si="44"/>
        <v>#N/A</v>
      </c>
      <c r="AB68" s="11"/>
      <c r="AC68" s="67" t="e">
        <f ca="1">INDEX(RESULTADOS!$A:$BA,MATCH($A68,RESULTADOS!$A:$A,0),MATCH(AC$1,RESULTADOS!$1:$1,0))</f>
        <v>#N/A</v>
      </c>
      <c r="AD68" s="10" t="e">
        <f t="shared" ca="1" si="20"/>
        <v>#N/A</v>
      </c>
      <c r="AE68" s="10" t="e">
        <f t="shared" ca="1" si="45"/>
        <v>#N/A</v>
      </c>
      <c r="AF68" s="10" t="e">
        <f t="shared" ca="1" si="22"/>
        <v>#N/A</v>
      </c>
      <c r="AG68" s="10" t="e">
        <f t="shared" ca="1" si="46"/>
        <v>#N/A</v>
      </c>
      <c r="AH68" s="10" t="e">
        <f t="shared" ca="1" si="24"/>
        <v>#N/A</v>
      </c>
      <c r="AI68" s="10" t="e">
        <f t="shared" ca="1" si="47"/>
        <v>#N/A</v>
      </c>
      <c r="AJ68" s="67" t="e">
        <f ca="1">INDEX(RESULTADOS!$A:$BA,MATCH($A68,RESULTADOS!$A:$A,0),MATCH(AJ$1,RESULTADOS!$1:$1,0))</f>
        <v>#N/A</v>
      </c>
      <c r="AK68" s="67" t="e">
        <f ca="1">INDEX(RESULTADOS!$A:$BA,MATCH($A68,RESULTADOS!$A:$A,0),MATCH(AK$1,RESULTADOS!$1:$1,0))</f>
        <v>#N/A</v>
      </c>
      <c r="AL68" s="13" t="e">
        <f t="shared" ca="1" si="48"/>
        <v>#N/A</v>
      </c>
      <c r="AM68" s="14" t="e">
        <f t="shared" ca="1" si="49"/>
        <v>#N/A</v>
      </c>
      <c r="AN68" s="10" t="e">
        <f t="shared" ca="1" si="50"/>
        <v>#N/A</v>
      </c>
      <c r="AO68" s="67" t="e">
        <f ca="1">INDEX(RESULTADOS!$A:$BA,MATCH($A68,RESULTADOS!$A:$A,0),MATCH(AO$1,RESULTADOS!$1:$1,0))</f>
        <v>#N/A</v>
      </c>
      <c r="AP68" s="10" t="e">
        <f t="shared" ca="1" si="51"/>
        <v>#N/A</v>
      </c>
    </row>
    <row r="69" spans="1:42" x14ac:dyDescent="0.2">
      <c r="A69" s="7">
        <f t="shared" ca="1" si="36"/>
        <v>43868</v>
      </c>
      <c r="B69" s="67" t="e">
        <f ca="1">INDEX(RESULTADOS!$A:$BA,MATCH($A69,RESULTADOS!$A:$A,0),MATCH(B$1,RESULTADOS!$1:$1,0))</f>
        <v>#N/A</v>
      </c>
      <c r="C69" s="10" t="e">
        <f t="shared" ca="1" si="37"/>
        <v>#N/A</v>
      </c>
      <c r="D69" s="10">
        <v>0</v>
      </c>
      <c r="E69" s="10" t="e">
        <f t="shared" ca="1" si="32"/>
        <v>#N/A</v>
      </c>
      <c r="F69" s="67" t="e">
        <f ca="1">INDEX(RESULTADOS!$A:$BA,MATCH($A69,RESULTADOS!$A:$A,0),MATCH(F$1,RESULTADOS!$1:$1,0))</f>
        <v>#N/A</v>
      </c>
      <c r="G69" s="10" t="e">
        <f t="shared" ca="1" si="33"/>
        <v>#N/A</v>
      </c>
      <c r="H69" s="67" t="e">
        <f ca="1">INDEX(RESULTADOS!$A:$BA,MATCH($A69,RESULTADOS!$A:$A,0),MATCH(H$1,RESULTADOS!$1:$1,0))</f>
        <v>#N/A</v>
      </c>
      <c r="I69" s="67" t="e">
        <f ca="1">INDEX(RESULTADOS!$A:$BA,MATCH($A69,RESULTADOS!$A:$A,0),MATCH(I$1,RESULTADOS!$1:$1,0))</f>
        <v>#N/A</v>
      </c>
      <c r="J69" s="67" t="e">
        <f ca="1">INDEX(RESULTADOS!$A:$BA,MATCH($A69,RESULTADOS!$A:$A,0),MATCH(J$1,RESULTADOS!$1:$1,0))</f>
        <v>#N/A</v>
      </c>
      <c r="K69" s="10" t="e">
        <f t="shared" ca="1" si="34"/>
        <v>#N/A</v>
      </c>
      <c r="L69" s="10" t="e">
        <f t="shared" ca="1" si="35"/>
        <v>#N/A</v>
      </c>
      <c r="M69" s="67" t="e">
        <f ca="1">INDEX(RESULTADOS!$A:$BA,MATCH($A69,RESULTADOS!$A:$A,0),MATCH(M$1,RESULTADOS!$1:$1,0))</f>
        <v>#N/A</v>
      </c>
      <c r="N69" s="10" t="e">
        <f t="shared" ca="1" si="8"/>
        <v>#N/A</v>
      </c>
      <c r="O69" s="10" t="e">
        <f t="shared" ca="1" si="38"/>
        <v>#N/A</v>
      </c>
      <c r="P69" s="10" t="e">
        <f t="shared" ca="1" si="10"/>
        <v>#N/A</v>
      </c>
      <c r="Q69" s="10" t="e">
        <f t="shared" ca="1" si="39"/>
        <v>#N/A</v>
      </c>
      <c r="R69" s="10" t="e">
        <f t="shared" ca="1" si="12"/>
        <v>#N/A</v>
      </c>
      <c r="S69" s="10" t="e">
        <f t="shared" ca="1" si="40"/>
        <v>#N/A</v>
      </c>
      <c r="T69" s="10" t="e">
        <f t="shared" ca="1" si="14"/>
        <v>#N/A</v>
      </c>
      <c r="U69" s="10" t="e">
        <f t="shared" ca="1" si="41"/>
        <v>#N/A</v>
      </c>
      <c r="V69" s="10" t="e">
        <f t="shared" ca="1" si="16"/>
        <v>#N/A</v>
      </c>
      <c r="W69" s="10" t="e">
        <f t="shared" ca="1" si="42"/>
        <v>#N/A</v>
      </c>
      <c r="X69" s="11" t="e">
        <f t="shared" ca="1" si="4"/>
        <v>#N/A</v>
      </c>
      <c r="Y69" s="67" t="e">
        <f ca="1">INDEX(RESULTADOS!$A:$BA,MATCH($A69,RESULTADOS!$A:$A,0),MATCH(Y$1,RESULTADOS!$1:$1,0))</f>
        <v>#N/A</v>
      </c>
      <c r="Z69" s="10" t="e">
        <f t="shared" ca="1" si="43"/>
        <v>#N/A</v>
      </c>
      <c r="AA69" s="10" t="e">
        <f t="shared" ca="1" si="44"/>
        <v>#N/A</v>
      </c>
      <c r="AB69" s="11"/>
      <c r="AC69" s="67" t="e">
        <f ca="1">INDEX(RESULTADOS!$A:$BA,MATCH($A69,RESULTADOS!$A:$A,0),MATCH(AC$1,RESULTADOS!$1:$1,0))</f>
        <v>#N/A</v>
      </c>
      <c r="AD69" s="10" t="e">
        <f t="shared" ca="1" si="20"/>
        <v>#N/A</v>
      </c>
      <c r="AE69" s="10" t="e">
        <f t="shared" ca="1" si="45"/>
        <v>#N/A</v>
      </c>
      <c r="AF69" s="10" t="e">
        <f t="shared" ca="1" si="22"/>
        <v>#N/A</v>
      </c>
      <c r="AG69" s="10" t="e">
        <f t="shared" ca="1" si="46"/>
        <v>#N/A</v>
      </c>
      <c r="AH69" s="10" t="e">
        <f t="shared" ca="1" si="24"/>
        <v>#N/A</v>
      </c>
      <c r="AI69" s="10" t="e">
        <f t="shared" ca="1" si="47"/>
        <v>#N/A</v>
      </c>
      <c r="AJ69" s="67" t="e">
        <f ca="1">INDEX(RESULTADOS!$A:$BA,MATCH($A69,RESULTADOS!$A:$A,0),MATCH(AJ$1,RESULTADOS!$1:$1,0))</f>
        <v>#N/A</v>
      </c>
      <c r="AK69" s="67" t="e">
        <f ca="1">INDEX(RESULTADOS!$A:$BA,MATCH($A69,RESULTADOS!$A:$A,0),MATCH(AK$1,RESULTADOS!$1:$1,0))</f>
        <v>#N/A</v>
      </c>
      <c r="AL69" s="13" t="e">
        <f t="shared" ca="1" si="48"/>
        <v>#N/A</v>
      </c>
      <c r="AM69" s="14" t="e">
        <f t="shared" ca="1" si="49"/>
        <v>#N/A</v>
      </c>
      <c r="AN69" s="10" t="e">
        <f t="shared" ca="1" si="50"/>
        <v>#N/A</v>
      </c>
      <c r="AO69" s="67" t="e">
        <f ca="1">INDEX(RESULTADOS!$A:$BA,MATCH($A69,RESULTADOS!$A:$A,0),MATCH(AO$1,RESULTADOS!$1:$1,0))</f>
        <v>#N/A</v>
      </c>
      <c r="AP69" s="10" t="e">
        <f t="shared" ca="1" si="51"/>
        <v>#N/A</v>
      </c>
    </row>
    <row r="70" spans="1:42" s="121" customFormat="1" x14ac:dyDescent="0.2">
      <c r="A70" s="49">
        <f t="shared" ca="1" si="36"/>
        <v>43869</v>
      </c>
      <c r="B70" s="67" t="e">
        <f ca="1">INDEX(RESULTADOS!$A:$BA,MATCH($A70,RESULTADOS!$A:$A,0),MATCH(B$1,RESULTADOS!$1:$1,0))</f>
        <v>#N/A</v>
      </c>
      <c r="C70" s="52" t="e">
        <f t="shared" ref="C70:C80" ca="1" si="52">B70</f>
        <v>#N/A</v>
      </c>
      <c r="D70" s="52">
        <v>0</v>
      </c>
      <c r="E70" s="52" t="e">
        <f t="shared" ref="E70:E80" ca="1" si="53">C70</f>
        <v>#N/A</v>
      </c>
      <c r="F70" s="67" t="e">
        <f ca="1">INDEX(RESULTADOS!$A:$BA,MATCH($A70,RESULTADOS!$A:$A,0),MATCH(F$1,RESULTADOS!$1:$1,0))</f>
        <v>#N/A</v>
      </c>
      <c r="G70" s="52" t="e">
        <f t="shared" ref="G70:G80" ca="1" si="54">((E70*(24-$E$3)+E69*$E$3)/24)+F70</f>
        <v>#N/A</v>
      </c>
      <c r="H70" s="67" t="e">
        <f ca="1">INDEX(RESULTADOS!$A:$BA,MATCH($A70,RESULTADOS!$A:$A,0),MATCH(H$1,RESULTADOS!$1:$1,0))</f>
        <v>#N/A</v>
      </c>
      <c r="I70" s="67" t="e">
        <f ca="1">INDEX(RESULTADOS!$A:$BA,MATCH($A70,RESULTADOS!$A:$A,0),MATCH(I$1,RESULTADOS!$1:$1,0))</f>
        <v>#N/A</v>
      </c>
      <c r="J70" s="67" t="e">
        <f ca="1">INDEX(RESULTADOS!$A:$BA,MATCH($A70,RESULTADOS!$A:$A,0),MATCH(J$1,RESULTADOS!$1:$1,0))</f>
        <v>#N/A</v>
      </c>
      <c r="K70" s="52" t="e">
        <f t="shared" ref="K70:K80" ca="1" si="55">((I70*(24-$I$3)+I69*$I$3)/24)+((H70*(24-$H$3)+H69*$H$3)/24)+J70</f>
        <v>#N/A</v>
      </c>
      <c r="L70" s="52" t="e">
        <f t="shared" ref="L70:L80" ca="1" si="56">((I70*(24-$I$3)+I69*$I$3)/24)+((G69*(48-$G$3)+G68*($G$3-24))/24)+((H70*(24-$H$3)+H69*$H$3)/24)+J70</f>
        <v>#N/A</v>
      </c>
      <c r="M70" s="67" t="e">
        <f ca="1">INDEX(RESULTADOS!$A:$BA,MATCH($A70,RESULTADOS!$A:$A,0),MATCH(M$1,RESULTADOS!$1:$1,0))</f>
        <v>#N/A</v>
      </c>
      <c r="N70" s="52" t="e">
        <f t="shared" ca="1" si="8"/>
        <v>#N/A</v>
      </c>
      <c r="O70" s="52" t="e">
        <f t="shared" ref="O70:O80" ca="1" si="57">((L70*(24-$L$3)+L69*$L$3)/24)+N70</f>
        <v>#N/A</v>
      </c>
      <c r="P70" s="52" t="e">
        <f t="shared" ca="1" si="10"/>
        <v>#N/A</v>
      </c>
      <c r="Q70" s="52" t="e">
        <f t="shared" ref="Q70:Q80" ca="1" si="58">((O70*(24-$O$3)+O69*$O$3)/24)+P70</f>
        <v>#N/A</v>
      </c>
      <c r="R70" s="52" t="e">
        <f t="shared" ca="1" si="12"/>
        <v>#N/A</v>
      </c>
      <c r="S70" s="52" t="e">
        <f t="shared" ref="S70:S80" ca="1" si="59">((Q70*(24-$Q$3)+Q69*$Q$3)/24)+R70</f>
        <v>#N/A</v>
      </c>
      <c r="T70" s="52" t="e">
        <f t="shared" ca="1" si="14"/>
        <v>#N/A</v>
      </c>
      <c r="U70" s="52" t="e">
        <f t="shared" ref="U70:U80" ca="1" si="60">((S70*(24-$S$3)+S69*$S$3)/24)+T70</f>
        <v>#N/A</v>
      </c>
      <c r="V70" s="52" t="e">
        <f t="shared" ca="1" si="16"/>
        <v>#N/A</v>
      </c>
      <c r="W70" s="52" t="e">
        <f t="shared" ref="W70:W80" ca="1" si="61">((U70*(24-$U$3)+U69*$U$3)/24)+V70</f>
        <v>#N/A</v>
      </c>
      <c r="X70" s="11" t="e">
        <f t="shared" ca="1" si="4"/>
        <v>#N/A</v>
      </c>
      <c r="Y70" s="67" t="e">
        <f ca="1">INDEX(RESULTADOS!$A:$BA,MATCH($A70,RESULTADOS!$A:$A,0),MATCH(Y$1,RESULTADOS!$1:$1,0))</f>
        <v>#N/A</v>
      </c>
      <c r="Z70" s="52" t="e">
        <f t="shared" ref="Z70:Z80" ca="1" si="62">((Y70*(24-$Y$3)+Y69*$Y$3)/24)+X70</f>
        <v>#N/A</v>
      </c>
      <c r="AA70" s="52" t="e">
        <f t="shared" ref="AA70:AA80" ca="1" si="63">((W70*(24-$W$3)+W69*$W$3)/24)+((Y70*(24-$Y$3)+Y69*$Y$3)/24)+X70</f>
        <v>#N/A</v>
      </c>
      <c r="AB70" s="11"/>
      <c r="AC70" s="67" t="e">
        <f ca="1">INDEX(RESULTADOS!$A:$BA,MATCH($A70,RESULTADOS!$A:$A,0),MATCH(AC$1,RESULTADOS!$1:$1,0))</f>
        <v>#N/A</v>
      </c>
      <c r="AD70" s="52" t="e">
        <f t="shared" ca="1" si="20"/>
        <v>#N/A</v>
      </c>
      <c r="AE70" s="52" t="e">
        <f t="shared" ref="AE70:AE80" ca="1" si="64">AD70</f>
        <v>#N/A</v>
      </c>
      <c r="AF70" s="52" t="e">
        <f t="shared" ca="1" si="22"/>
        <v>#N/A</v>
      </c>
      <c r="AG70" s="52" t="e">
        <f t="shared" ref="AG70:AG80" ca="1" si="65">((AE70*(24-$AE$3)+AE69*$AE$3)/24)+AF70</f>
        <v>#N/A</v>
      </c>
      <c r="AH70" s="52" t="e">
        <f t="shared" ca="1" si="24"/>
        <v>#N/A</v>
      </c>
      <c r="AI70" s="52" t="e">
        <f t="shared" ref="AI70:AI80" ca="1" si="66">((AG70*(24-$AG$3)+AG69*$AG$3)/24)+AH70</f>
        <v>#N/A</v>
      </c>
      <c r="AJ70" s="67" t="e">
        <f ca="1">INDEX(RESULTADOS!$A:$BA,MATCH($A70,RESULTADOS!$A:$A,0),MATCH(AJ$1,RESULTADOS!$1:$1,0))</f>
        <v>#N/A</v>
      </c>
      <c r="AK70" s="67" t="e">
        <f ca="1">INDEX(RESULTADOS!$A:$BA,MATCH($A70,RESULTADOS!$A:$A,0),MATCH(AK$1,RESULTADOS!$1:$1,0))</f>
        <v>#N/A</v>
      </c>
      <c r="AL70" s="13" t="e">
        <f t="shared" ref="AL70:AL80" ca="1" si="67">AK70-AH70</f>
        <v>#N/A</v>
      </c>
      <c r="AM70" s="14" t="e">
        <f t="shared" ref="AM70:AM80" ca="1" si="68">((AJ70*(24-$AJ$3)+AJ69*$AJ$3)/24)+AL70</f>
        <v>#N/A</v>
      </c>
      <c r="AN70" s="52" t="e">
        <f t="shared" ref="AN70:AN80" ca="1" si="69">(((AI68*(96-AI$3))+(AI67*(AI$3-72)))/24)+(((AA70*(24-AA$3))+(AA69*AA$3))/24)+AM70</f>
        <v>#N/A</v>
      </c>
      <c r="AO70" s="67" t="e">
        <f ca="1">INDEX(RESULTADOS!$A:$BA,MATCH($A70,RESULTADOS!$A:$A,0),MATCH(AO$1,RESULTADOS!$1:$1,0))</f>
        <v>#N/A</v>
      </c>
      <c r="AP70" s="52" t="e">
        <f t="shared" ref="AP70:AP80" ca="1" si="70">((AN69*(48-AN$3))+(AN68*(AN$3-24)))/24+AO70</f>
        <v>#N/A</v>
      </c>
    </row>
    <row r="71" spans="1:42" s="121" customFormat="1" x14ac:dyDescent="0.2">
      <c r="A71" s="49">
        <f t="shared" ca="1" si="36"/>
        <v>43870</v>
      </c>
      <c r="B71" s="67" t="e">
        <f ca="1">INDEX(RESULTADOS!$A:$BA,MATCH($A71,RESULTADOS!$A:$A,0),MATCH(B$1,RESULTADOS!$1:$1,0))</f>
        <v>#N/A</v>
      </c>
      <c r="C71" s="52" t="e">
        <f t="shared" ca="1" si="52"/>
        <v>#N/A</v>
      </c>
      <c r="D71" s="52">
        <v>0</v>
      </c>
      <c r="E71" s="52" t="e">
        <f t="shared" ca="1" si="53"/>
        <v>#N/A</v>
      </c>
      <c r="F71" s="67" t="e">
        <f ca="1">INDEX(RESULTADOS!$A:$BA,MATCH($A71,RESULTADOS!$A:$A,0),MATCH(F$1,RESULTADOS!$1:$1,0))</f>
        <v>#N/A</v>
      </c>
      <c r="G71" s="52" t="e">
        <f t="shared" ca="1" si="54"/>
        <v>#N/A</v>
      </c>
      <c r="H71" s="67" t="e">
        <f ca="1">INDEX(RESULTADOS!$A:$BA,MATCH($A71,RESULTADOS!$A:$A,0),MATCH(H$1,RESULTADOS!$1:$1,0))</f>
        <v>#N/A</v>
      </c>
      <c r="I71" s="67" t="e">
        <f ca="1">INDEX(RESULTADOS!$A:$BA,MATCH($A71,RESULTADOS!$A:$A,0),MATCH(I$1,RESULTADOS!$1:$1,0))</f>
        <v>#N/A</v>
      </c>
      <c r="J71" s="67" t="e">
        <f ca="1">INDEX(RESULTADOS!$A:$BA,MATCH($A71,RESULTADOS!$A:$A,0),MATCH(J$1,RESULTADOS!$1:$1,0))</f>
        <v>#N/A</v>
      </c>
      <c r="K71" s="52" t="e">
        <f t="shared" ca="1" si="55"/>
        <v>#N/A</v>
      </c>
      <c r="L71" s="52" t="e">
        <f t="shared" ca="1" si="56"/>
        <v>#N/A</v>
      </c>
      <c r="M71" s="67" t="e">
        <f ca="1">INDEX(RESULTADOS!$A:$BA,MATCH($A71,RESULTADOS!$A:$A,0),MATCH(M$1,RESULTADOS!$1:$1,0))</f>
        <v>#N/A</v>
      </c>
      <c r="N71" s="52" t="e">
        <f t="shared" ref="N71:N110" ca="1" si="71">$N$4*$M71</f>
        <v>#N/A</v>
      </c>
      <c r="O71" s="52" t="e">
        <f t="shared" ca="1" si="57"/>
        <v>#N/A</v>
      </c>
      <c r="P71" s="52" t="e">
        <f t="shared" ref="P71:P110" ca="1" si="72">$P$4*$M71</f>
        <v>#N/A</v>
      </c>
      <c r="Q71" s="52" t="e">
        <f t="shared" ca="1" si="58"/>
        <v>#N/A</v>
      </c>
      <c r="R71" s="52" t="e">
        <f t="shared" ref="R71:R110" ca="1" si="73">$R$4*$M71</f>
        <v>#N/A</v>
      </c>
      <c r="S71" s="52" t="e">
        <f t="shared" ca="1" si="59"/>
        <v>#N/A</v>
      </c>
      <c r="T71" s="52" t="e">
        <f t="shared" ref="T71:T110" ca="1" si="74">$T$4*$M71</f>
        <v>#N/A</v>
      </c>
      <c r="U71" s="52" t="e">
        <f t="shared" ca="1" si="60"/>
        <v>#N/A</v>
      </c>
      <c r="V71" s="52" t="e">
        <f t="shared" ref="V71:V110" ca="1" si="75">$V$4*$M71</f>
        <v>#N/A</v>
      </c>
      <c r="W71" s="52" t="e">
        <f t="shared" ca="1" si="61"/>
        <v>#N/A</v>
      </c>
      <c r="X71" s="11" t="e">
        <f t="shared" ref="X71:X110" ca="1" si="76">$X$4*$M71</f>
        <v>#N/A</v>
      </c>
      <c r="Y71" s="67" t="e">
        <f ca="1">INDEX(RESULTADOS!$A:$BA,MATCH($A71,RESULTADOS!$A:$A,0),MATCH(Y$1,RESULTADOS!$1:$1,0))</f>
        <v>#N/A</v>
      </c>
      <c r="Z71" s="52" t="e">
        <f t="shared" ca="1" si="62"/>
        <v>#N/A</v>
      </c>
      <c r="AA71" s="52" t="e">
        <f t="shared" ca="1" si="63"/>
        <v>#N/A</v>
      </c>
      <c r="AB71" s="11"/>
      <c r="AC71" s="67" t="e">
        <f ca="1">INDEX(RESULTADOS!$A:$BA,MATCH($A71,RESULTADOS!$A:$A,0),MATCH(AC$1,RESULTADOS!$1:$1,0))</f>
        <v>#N/A</v>
      </c>
      <c r="AD71" s="52" t="e">
        <f t="shared" ref="AD71:AD110" ca="1" si="77">$AD$4*$AC71</f>
        <v>#N/A</v>
      </c>
      <c r="AE71" s="52" t="e">
        <f t="shared" ca="1" si="64"/>
        <v>#N/A</v>
      </c>
      <c r="AF71" s="52" t="e">
        <f t="shared" ref="AF71:AF110" ca="1" si="78">$AF$4*$AC71</f>
        <v>#N/A</v>
      </c>
      <c r="AG71" s="52" t="e">
        <f t="shared" ca="1" si="65"/>
        <v>#N/A</v>
      </c>
      <c r="AH71" s="52" t="e">
        <f t="shared" ca="1" si="24"/>
        <v>#N/A</v>
      </c>
      <c r="AI71" s="52" t="e">
        <f t="shared" ca="1" si="66"/>
        <v>#N/A</v>
      </c>
      <c r="AJ71" s="67" t="e">
        <f ca="1">INDEX(RESULTADOS!$A:$BA,MATCH($A71,RESULTADOS!$A:$A,0),MATCH(AJ$1,RESULTADOS!$1:$1,0))</f>
        <v>#N/A</v>
      </c>
      <c r="AK71" s="67" t="e">
        <f ca="1">INDEX(RESULTADOS!$A:$BA,MATCH($A71,RESULTADOS!$A:$A,0),MATCH(AK$1,RESULTADOS!$1:$1,0))</f>
        <v>#N/A</v>
      </c>
      <c r="AL71" s="13" t="e">
        <f t="shared" ca="1" si="67"/>
        <v>#N/A</v>
      </c>
      <c r="AM71" s="14" t="e">
        <f t="shared" ca="1" si="68"/>
        <v>#N/A</v>
      </c>
      <c r="AN71" s="52" t="e">
        <f t="shared" ca="1" si="69"/>
        <v>#N/A</v>
      </c>
      <c r="AO71" s="67" t="e">
        <f ca="1">INDEX(RESULTADOS!$A:$BA,MATCH($A71,RESULTADOS!$A:$A,0),MATCH(AO$1,RESULTADOS!$1:$1,0))</f>
        <v>#N/A</v>
      </c>
      <c r="AP71" s="52" t="e">
        <f t="shared" ca="1" si="70"/>
        <v>#N/A</v>
      </c>
    </row>
    <row r="72" spans="1:42" s="121" customFormat="1" x14ac:dyDescent="0.2">
      <c r="A72" s="49">
        <f t="shared" ca="1" si="36"/>
        <v>43871</v>
      </c>
      <c r="B72" s="67" t="e">
        <f ca="1">INDEX(RESULTADOS!$A:$BA,MATCH($A72,RESULTADOS!$A:$A,0),MATCH(B$1,RESULTADOS!$1:$1,0))</f>
        <v>#N/A</v>
      </c>
      <c r="C72" s="52" t="e">
        <f t="shared" ca="1" si="52"/>
        <v>#N/A</v>
      </c>
      <c r="D72" s="52">
        <v>0</v>
      </c>
      <c r="E72" s="52" t="e">
        <f t="shared" ca="1" si="53"/>
        <v>#N/A</v>
      </c>
      <c r="F72" s="67" t="e">
        <f ca="1">INDEX(RESULTADOS!$A:$BA,MATCH($A72,RESULTADOS!$A:$A,0),MATCH(F$1,RESULTADOS!$1:$1,0))</f>
        <v>#N/A</v>
      </c>
      <c r="G72" s="52" t="e">
        <f t="shared" ca="1" si="54"/>
        <v>#N/A</v>
      </c>
      <c r="H72" s="67" t="e">
        <f ca="1">INDEX(RESULTADOS!$A:$BA,MATCH($A72,RESULTADOS!$A:$A,0),MATCH(H$1,RESULTADOS!$1:$1,0))</f>
        <v>#N/A</v>
      </c>
      <c r="I72" s="67" t="e">
        <f ca="1">INDEX(RESULTADOS!$A:$BA,MATCH($A72,RESULTADOS!$A:$A,0),MATCH(I$1,RESULTADOS!$1:$1,0))</f>
        <v>#N/A</v>
      </c>
      <c r="J72" s="67" t="e">
        <f ca="1">INDEX(RESULTADOS!$A:$BA,MATCH($A72,RESULTADOS!$A:$A,0),MATCH(J$1,RESULTADOS!$1:$1,0))</f>
        <v>#N/A</v>
      </c>
      <c r="K72" s="52" t="e">
        <f t="shared" ca="1" si="55"/>
        <v>#N/A</v>
      </c>
      <c r="L72" s="52" t="e">
        <f t="shared" ca="1" si="56"/>
        <v>#N/A</v>
      </c>
      <c r="M72" s="67" t="e">
        <f ca="1">INDEX(RESULTADOS!$A:$BA,MATCH($A72,RESULTADOS!$A:$A,0),MATCH(M$1,RESULTADOS!$1:$1,0))</f>
        <v>#N/A</v>
      </c>
      <c r="N72" s="52" t="e">
        <f t="shared" ca="1" si="71"/>
        <v>#N/A</v>
      </c>
      <c r="O72" s="52" t="e">
        <f t="shared" ca="1" si="57"/>
        <v>#N/A</v>
      </c>
      <c r="P72" s="52" t="e">
        <f t="shared" ca="1" si="72"/>
        <v>#N/A</v>
      </c>
      <c r="Q72" s="52" t="e">
        <f t="shared" ca="1" si="58"/>
        <v>#N/A</v>
      </c>
      <c r="R72" s="52" t="e">
        <f t="shared" ca="1" si="73"/>
        <v>#N/A</v>
      </c>
      <c r="S72" s="52" t="e">
        <f t="shared" ca="1" si="59"/>
        <v>#N/A</v>
      </c>
      <c r="T72" s="52" t="e">
        <f t="shared" ca="1" si="74"/>
        <v>#N/A</v>
      </c>
      <c r="U72" s="52" t="e">
        <f t="shared" ca="1" si="60"/>
        <v>#N/A</v>
      </c>
      <c r="V72" s="52" t="e">
        <f t="shared" ca="1" si="75"/>
        <v>#N/A</v>
      </c>
      <c r="W72" s="52" t="e">
        <f t="shared" ca="1" si="61"/>
        <v>#N/A</v>
      </c>
      <c r="X72" s="11" t="e">
        <f t="shared" ca="1" si="76"/>
        <v>#N/A</v>
      </c>
      <c r="Y72" s="67" t="e">
        <f ca="1">INDEX(RESULTADOS!$A:$BA,MATCH($A72,RESULTADOS!$A:$A,0),MATCH(Y$1,RESULTADOS!$1:$1,0))</f>
        <v>#N/A</v>
      </c>
      <c r="Z72" s="52" t="e">
        <f t="shared" ca="1" si="62"/>
        <v>#N/A</v>
      </c>
      <c r="AA72" s="52" t="e">
        <f t="shared" ca="1" si="63"/>
        <v>#N/A</v>
      </c>
      <c r="AB72" s="11"/>
      <c r="AC72" s="67" t="e">
        <f ca="1">INDEX(RESULTADOS!$A:$BA,MATCH($A72,RESULTADOS!$A:$A,0),MATCH(AC$1,RESULTADOS!$1:$1,0))</f>
        <v>#N/A</v>
      </c>
      <c r="AD72" s="52" t="e">
        <f t="shared" ca="1" si="77"/>
        <v>#N/A</v>
      </c>
      <c r="AE72" s="52" t="e">
        <f t="shared" ca="1" si="64"/>
        <v>#N/A</v>
      </c>
      <c r="AF72" s="52" t="e">
        <f t="shared" ca="1" si="78"/>
        <v>#N/A</v>
      </c>
      <c r="AG72" s="52" t="e">
        <f t="shared" ca="1" si="65"/>
        <v>#N/A</v>
      </c>
      <c r="AH72" s="52" t="e">
        <f t="shared" ref="AH72:AH110" ca="1" si="79">ROUND($AH$4*$AK72,2)</f>
        <v>#N/A</v>
      </c>
      <c r="AI72" s="52" t="e">
        <f t="shared" ca="1" si="66"/>
        <v>#N/A</v>
      </c>
      <c r="AJ72" s="67" t="e">
        <f ca="1">INDEX(RESULTADOS!$A:$BA,MATCH($A72,RESULTADOS!$A:$A,0),MATCH(AJ$1,RESULTADOS!$1:$1,0))</f>
        <v>#N/A</v>
      </c>
      <c r="AK72" s="67" t="e">
        <f ca="1">INDEX(RESULTADOS!$A:$BA,MATCH($A72,RESULTADOS!$A:$A,0),MATCH(AK$1,RESULTADOS!$1:$1,0))</f>
        <v>#N/A</v>
      </c>
      <c r="AL72" s="13" t="e">
        <f t="shared" ca="1" si="67"/>
        <v>#N/A</v>
      </c>
      <c r="AM72" s="14" t="e">
        <f t="shared" ca="1" si="68"/>
        <v>#N/A</v>
      </c>
      <c r="AN72" s="52" t="e">
        <f t="shared" ca="1" si="69"/>
        <v>#N/A</v>
      </c>
      <c r="AO72" s="67" t="e">
        <f ca="1">INDEX(RESULTADOS!$A:$BA,MATCH($A72,RESULTADOS!$A:$A,0),MATCH(AO$1,RESULTADOS!$1:$1,0))</f>
        <v>#N/A</v>
      </c>
      <c r="AP72" s="52" t="e">
        <f t="shared" ca="1" si="70"/>
        <v>#N/A</v>
      </c>
    </row>
    <row r="73" spans="1:42" s="121" customFormat="1" x14ac:dyDescent="0.2">
      <c r="A73" s="49">
        <f t="shared" ca="1" si="36"/>
        <v>43872</v>
      </c>
      <c r="B73" s="67" t="e">
        <f ca="1">INDEX(RESULTADOS!$A:$BA,MATCH($A73,RESULTADOS!$A:$A,0),MATCH(B$1,RESULTADOS!$1:$1,0))</f>
        <v>#N/A</v>
      </c>
      <c r="C73" s="52" t="e">
        <f t="shared" ca="1" si="52"/>
        <v>#N/A</v>
      </c>
      <c r="D73" s="52">
        <v>0</v>
      </c>
      <c r="E73" s="52" t="e">
        <f t="shared" ca="1" si="53"/>
        <v>#N/A</v>
      </c>
      <c r="F73" s="67" t="e">
        <f ca="1">INDEX(RESULTADOS!$A:$BA,MATCH($A73,RESULTADOS!$A:$A,0),MATCH(F$1,RESULTADOS!$1:$1,0))</f>
        <v>#N/A</v>
      </c>
      <c r="G73" s="52" t="e">
        <f t="shared" ca="1" si="54"/>
        <v>#N/A</v>
      </c>
      <c r="H73" s="67" t="e">
        <f ca="1">INDEX(RESULTADOS!$A:$BA,MATCH($A73,RESULTADOS!$A:$A,0),MATCH(H$1,RESULTADOS!$1:$1,0))</f>
        <v>#N/A</v>
      </c>
      <c r="I73" s="67" t="e">
        <f ca="1">INDEX(RESULTADOS!$A:$BA,MATCH($A73,RESULTADOS!$A:$A,0),MATCH(I$1,RESULTADOS!$1:$1,0))</f>
        <v>#N/A</v>
      </c>
      <c r="J73" s="67" t="e">
        <f ca="1">INDEX(RESULTADOS!$A:$BA,MATCH($A73,RESULTADOS!$A:$A,0),MATCH(J$1,RESULTADOS!$1:$1,0))</f>
        <v>#N/A</v>
      </c>
      <c r="K73" s="52" t="e">
        <f t="shared" ca="1" si="55"/>
        <v>#N/A</v>
      </c>
      <c r="L73" s="52" t="e">
        <f t="shared" ca="1" si="56"/>
        <v>#N/A</v>
      </c>
      <c r="M73" s="67" t="e">
        <f ca="1">INDEX(RESULTADOS!$A:$BA,MATCH($A73,RESULTADOS!$A:$A,0),MATCH(M$1,RESULTADOS!$1:$1,0))</f>
        <v>#N/A</v>
      </c>
      <c r="N73" s="52" t="e">
        <f t="shared" ca="1" si="71"/>
        <v>#N/A</v>
      </c>
      <c r="O73" s="52" t="e">
        <f t="shared" ca="1" si="57"/>
        <v>#N/A</v>
      </c>
      <c r="P73" s="52" t="e">
        <f t="shared" ca="1" si="72"/>
        <v>#N/A</v>
      </c>
      <c r="Q73" s="52" t="e">
        <f t="shared" ca="1" si="58"/>
        <v>#N/A</v>
      </c>
      <c r="R73" s="52" t="e">
        <f t="shared" ca="1" si="73"/>
        <v>#N/A</v>
      </c>
      <c r="S73" s="52" t="e">
        <f t="shared" ca="1" si="59"/>
        <v>#N/A</v>
      </c>
      <c r="T73" s="52" t="e">
        <f t="shared" ca="1" si="74"/>
        <v>#N/A</v>
      </c>
      <c r="U73" s="52" t="e">
        <f t="shared" ca="1" si="60"/>
        <v>#N/A</v>
      </c>
      <c r="V73" s="52" t="e">
        <f t="shared" ca="1" si="75"/>
        <v>#N/A</v>
      </c>
      <c r="W73" s="52" t="e">
        <f t="shared" ca="1" si="61"/>
        <v>#N/A</v>
      </c>
      <c r="X73" s="11" t="e">
        <f t="shared" ca="1" si="76"/>
        <v>#N/A</v>
      </c>
      <c r="Y73" s="67" t="e">
        <f ca="1">INDEX(RESULTADOS!$A:$BA,MATCH($A73,RESULTADOS!$A:$A,0),MATCH(Y$1,RESULTADOS!$1:$1,0))</f>
        <v>#N/A</v>
      </c>
      <c r="Z73" s="52" t="e">
        <f t="shared" ca="1" si="62"/>
        <v>#N/A</v>
      </c>
      <c r="AA73" s="52" t="e">
        <f t="shared" ca="1" si="63"/>
        <v>#N/A</v>
      </c>
      <c r="AB73" s="11"/>
      <c r="AC73" s="67" t="e">
        <f ca="1">INDEX(RESULTADOS!$A:$BA,MATCH($A73,RESULTADOS!$A:$A,0),MATCH(AC$1,RESULTADOS!$1:$1,0))</f>
        <v>#N/A</v>
      </c>
      <c r="AD73" s="52" t="e">
        <f t="shared" ca="1" si="77"/>
        <v>#N/A</v>
      </c>
      <c r="AE73" s="52" t="e">
        <f t="shared" ca="1" si="64"/>
        <v>#N/A</v>
      </c>
      <c r="AF73" s="52" t="e">
        <f t="shared" ca="1" si="78"/>
        <v>#N/A</v>
      </c>
      <c r="AG73" s="52" t="e">
        <f t="shared" ca="1" si="65"/>
        <v>#N/A</v>
      </c>
      <c r="AH73" s="52" t="e">
        <f t="shared" ca="1" si="79"/>
        <v>#N/A</v>
      </c>
      <c r="AI73" s="52" t="e">
        <f t="shared" ca="1" si="66"/>
        <v>#N/A</v>
      </c>
      <c r="AJ73" s="67" t="e">
        <f ca="1">INDEX(RESULTADOS!$A:$BA,MATCH($A73,RESULTADOS!$A:$A,0),MATCH(AJ$1,RESULTADOS!$1:$1,0))</f>
        <v>#N/A</v>
      </c>
      <c r="AK73" s="67" t="e">
        <f ca="1">INDEX(RESULTADOS!$A:$BA,MATCH($A73,RESULTADOS!$A:$A,0),MATCH(AK$1,RESULTADOS!$1:$1,0))</f>
        <v>#N/A</v>
      </c>
      <c r="AL73" s="13" t="e">
        <f t="shared" ca="1" si="67"/>
        <v>#N/A</v>
      </c>
      <c r="AM73" s="14" t="e">
        <f t="shared" ca="1" si="68"/>
        <v>#N/A</v>
      </c>
      <c r="AN73" s="52" t="e">
        <f t="shared" ca="1" si="69"/>
        <v>#N/A</v>
      </c>
      <c r="AO73" s="67" t="e">
        <f ca="1">INDEX(RESULTADOS!$A:$BA,MATCH($A73,RESULTADOS!$A:$A,0),MATCH(AO$1,RESULTADOS!$1:$1,0))</f>
        <v>#N/A</v>
      </c>
      <c r="AP73" s="52" t="e">
        <f t="shared" ca="1" si="70"/>
        <v>#N/A</v>
      </c>
    </row>
    <row r="74" spans="1:42" s="121" customFormat="1" x14ac:dyDescent="0.2">
      <c r="A74" s="49">
        <f t="shared" ca="1" si="36"/>
        <v>43873</v>
      </c>
      <c r="B74" s="67" t="e">
        <f ca="1">INDEX(RESULTADOS!$A:$BA,MATCH($A74,RESULTADOS!$A:$A,0),MATCH(B$1,RESULTADOS!$1:$1,0))</f>
        <v>#N/A</v>
      </c>
      <c r="C74" s="52" t="e">
        <f t="shared" ca="1" si="52"/>
        <v>#N/A</v>
      </c>
      <c r="D74" s="52">
        <v>0</v>
      </c>
      <c r="E74" s="52" t="e">
        <f t="shared" ca="1" si="53"/>
        <v>#N/A</v>
      </c>
      <c r="F74" s="67" t="e">
        <f ca="1">INDEX(RESULTADOS!$A:$BA,MATCH($A74,RESULTADOS!$A:$A,0),MATCH(F$1,RESULTADOS!$1:$1,0))</f>
        <v>#N/A</v>
      </c>
      <c r="G74" s="52" t="e">
        <f t="shared" ca="1" si="54"/>
        <v>#N/A</v>
      </c>
      <c r="H74" s="67" t="e">
        <f ca="1">INDEX(RESULTADOS!$A:$BA,MATCH($A74,RESULTADOS!$A:$A,0),MATCH(H$1,RESULTADOS!$1:$1,0))</f>
        <v>#N/A</v>
      </c>
      <c r="I74" s="67" t="e">
        <f ca="1">INDEX(RESULTADOS!$A:$BA,MATCH($A74,RESULTADOS!$A:$A,0),MATCH(I$1,RESULTADOS!$1:$1,0))</f>
        <v>#N/A</v>
      </c>
      <c r="J74" s="67" t="e">
        <f ca="1">INDEX(RESULTADOS!$A:$BA,MATCH($A74,RESULTADOS!$A:$A,0),MATCH(J$1,RESULTADOS!$1:$1,0))</f>
        <v>#N/A</v>
      </c>
      <c r="K74" s="52" t="e">
        <f t="shared" ca="1" si="55"/>
        <v>#N/A</v>
      </c>
      <c r="L74" s="52" t="e">
        <f t="shared" ca="1" si="56"/>
        <v>#N/A</v>
      </c>
      <c r="M74" s="67" t="e">
        <f ca="1">INDEX(RESULTADOS!$A:$BA,MATCH($A74,RESULTADOS!$A:$A,0),MATCH(M$1,RESULTADOS!$1:$1,0))</f>
        <v>#N/A</v>
      </c>
      <c r="N74" s="52" t="e">
        <f t="shared" ca="1" si="71"/>
        <v>#N/A</v>
      </c>
      <c r="O74" s="52" t="e">
        <f t="shared" ca="1" si="57"/>
        <v>#N/A</v>
      </c>
      <c r="P74" s="52" t="e">
        <f t="shared" ca="1" si="72"/>
        <v>#N/A</v>
      </c>
      <c r="Q74" s="52" t="e">
        <f t="shared" ca="1" si="58"/>
        <v>#N/A</v>
      </c>
      <c r="R74" s="52" t="e">
        <f t="shared" ca="1" si="73"/>
        <v>#N/A</v>
      </c>
      <c r="S74" s="52" t="e">
        <f t="shared" ca="1" si="59"/>
        <v>#N/A</v>
      </c>
      <c r="T74" s="52" t="e">
        <f t="shared" ca="1" si="74"/>
        <v>#N/A</v>
      </c>
      <c r="U74" s="52" t="e">
        <f t="shared" ca="1" si="60"/>
        <v>#N/A</v>
      </c>
      <c r="V74" s="52" t="e">
        <f t="shared" ca="1" si="75"/>
        <v>#N/A</v>
      </c>
      <c r="W74" s="52" t="e">
        <f t="shared" ca="1" si="61"/>
        <v>#N/A</v>
      </c>
      <c r="X74" s="11" t="e">
        <f t="shared" ca="1" si="76"/>
        <v>#N/A</v>
      </c>
      <c r="Y74" s="67" t="e">
        <f ca="1">INDEX(RESULTADOS!$A:$BA,MATCH($A74,RESULTADOS!$A:$A,0),MATCH(Y$1,RESULTADOS!$1:$1,0))</f>
        <v>#N/A</v>
      </c>
      <c r="Z74" s="52" t="e">
        <f t="shared" ca="1" si="62"/>
        <v>#N/A</v>
      </c>
      <c r="AA74" s="52" t="e">
        <f t="shared" ca="1" si="63"/>
        <v>#N/A</v>
      </c>
      <c r="AB74" s="11"/>
      <c r="AC74" s="67" t="e">
        <f ca="1">INDEX(RESULTADOS!$A:$BA,MATCH($A74,RESULTADOS!$A:$A,0),MATCH(AC$1,RESULTADOS!$1:$1,0))</f>
        <v>#N/A</v>
      </c>
      <c r="AD74" s="52" t="e">
        <f t="shared" ca="1" si="77"/>
        <v>#N/A</v>
      </c>
      <c r="AE74" s="52" t="e">
        <f t="shared" ca="1" si="64"/>
        <v>#N/A</v>
      </c>
      <c r="AF74" s="52" t="e">
        <f t="shared" ca="1" si="78"/>
        <v>#N/A</v>
      </c>
      <c r="AG74" s="52" t="e">
        <f t="shared" ca="1" si="65"/>
        <v>#N/A</v>
      </c>
      <c r="AH74" s="52" t="e">
        <f t="shared" ca="1" si="79"/>
        <v>#N/A</v>
      </c>
      <c r="AI74" s="52" t="e">
        <f t="shared" ca="1" si="66"/>
        <v>#N/A</v>
      </c>
      <c r="AJ74" s="67" t="e">
        <f ca="1">INDEX(RESULTADOS!$A:$BA,MATCH($A74,RESULTADOS!$A:$A,0),MATCH(AJ$1,RESULTADOS!$1:$1,0))</f>
        <v>#N/A</v>
      </c>
      <c r="AK74" s="67" t="e">
        <f ca="1">INDEX(RESULTADOS!$A:$BA,MATCH($A74,RESULTADOS!$A:$A,0),MATCH(AK$1,RESULTADOS!$1:$1,0))</f>
        <v>#N/A</v>
      </c>
      <c r="AL74" s="13" t="e">
        <f t="shared" ca="1" si="67"/>
        <v>#N/A</v>
      </c>
      <c r="AM74" s="14" t="e">
        <f t="shared" ca="1" si="68"/>
        <v>#N/A</v>
      </c>
      <c r="AN74" s="52" t="e">
        <f t="shared" ca="1" si="69"/>
        <v>#N/A</v>
      </c>
      <c r="AO74" s="67" t="e">
        <f ca="1">INDEX(RESULTADOS!$A:$BA,MATCH($A74,RESULTADOS!$A:$A,0),MATCH(AO$1,RESULTADOS!$1:$1,0))</f>
        <v>#N/A</v>
      </c>
      <c r="AP74" s="52" t="e">
        <f t="shared" ca="1" si="70"/>
        <v>#N/A</v>
      </c>
    </row>
    <row r="75" spans="1:42" s="121" customFormat="1" x14ac:dyDescent="0.2">
      <c r="A75" s="49">
        <f t="shared" ca="1" si="36"/>
        <v>43874</v>
      </c>
      <c r="B75" s="67" t="e">
        <f ca="1">INDEX(RESULTADOS!$A:$BA,MATCH($A75,RESULTADOS!$A:$A,0),MATCH(B$1,RESULTADOS!$1:$1,0))</f>
        <v>#N/A</v>
      </c>
      <c r="C75" s="52" t="e">
        <f t="shared" ca="1" si="52"/>
        <v>#N/A</v>
      </c>
      <c r="D75" s="52">
        <v>0</v>
      </c>
      <c r="E75" s="52" t="e">
        <f t="shared" ca="1" si="53"/>
        <v>#N/A</v>
      </c>
      <c r="F75" s="67" t="e">
        <f ca="1">INDEX(RESULTADOS!$A:$BA,MATCH($A75,RESULTADOS!$A:$A,0),MATCH(F$1,RESULTADOS!$1:$1,0))</f>
        <v>#N/A</v>
      </c>
      <c r="G75" s="52" t="e">
        <f t="shared" ca="1" si="54"/>
        <v>#N/A</v>
      </c>
      <c r="H75" s="67" t="e">
        <f ca="1">INDEX(RESULTADOS!$A:$BA,MATCH($A75,RESULTADOS!$A:$A,0),MATCH(H$1,RESULTADOS!$1:$1,0))</f>
        <v>#N/A</v>
      </c>
      <c r="I75" s="67" t="e">
        <f ca="1">INDEX(RESULTADOS!$A:$BA,MATCH($A75,RESULTADOS!$A:$A,0),MATCH(I$1,RESULTADOS!$1:$1,0))</f>
        <v>#N/A</v>
      </c>
      <c r="J75" s="67" t="e">
        <f ca="1">INDEX(RESULTADOS!$A:$BA,MATCH($A75,RESULTADOS!$A:$A,0),MATCH(J$1,RESULTADOS!$1:$1,0))</f>
        <v>#N/A</v>
      </c>
      <c r="K75" s="52" t="e">
        <f t="shared" ca="1" si="55"/>
        <v>#N/A</v>
      </c>
      <c r="L75" s="52" t="e">
        <f t="shared" ca="1" si="56"/>
        <v>#N/A</v>
      </c>
      <c r="M75" s="67" t="e">
        <f ca="1">INDEX(RESULTADOS!$A:$BA,MATCH($A75,RESULTADOS!$A:$A,0),MATCH(M$1,RESULTADOS!$1:$1,0))</f>
        <v>#N/A</v>
      </c>
      <c r="N75" s="52" t="e">
        <f t="shared" ca="1" si="71"/>
        <v>#N/A</v>
      </c>
      <c r="O75" s="52" t="e">
        <f t="shared" ca="1" si="57"/>
        <v>#N/A</v>
      </c>
      <c r="P75" s="52" t="e">
        <f t="shared" ca="1" si="72"/>
        <v>#N/A</v>
      </c>
      <c r="Q75" s="52" t="e">
        <f t="shared" ca="1" si="58"/>
        <v>#N/A</v>
      </c>
      <c r="R75" s="52" t="e">
        <f t="shared" ca="1" si="73"/>
        <v>#N/A</v>
      </c>
      <c r="S75" s="52" t="e">
        <f t="shared" ca="1" si="59"/>
        <v>#N/A</v>
      </c>
      <c r="T75" s="52" t="e">
        <f t="shared" ca="1" si="74"/>
        <v>#N/A</v>
      </c>
      <c r="U75" s="52" t="e">
        <f t="shared" ca="1" si="60"/>
        <v>#N/A</v>
      </c>
      <c r="V75" s="52" t="e">
        <f t="shared" ca="1" si="75"/>
        <v>#N/A</v>
      </c>
      <c r="W75" s="52" t="e">
        <f t="shared" ca="1" si="61"/>
        <v>#N/A</v>
      </c>
      <c r="X75" s="11" t="e">
        <f t="shared" ca="1" si="76"/>
        <v>#N/A</v>
      </c>
      <c r="Y75" s="67" t="e">
        <f ca="1">INDEX(RESULTADOS!$A:$BA,MATCH($A75,RESULTADOS!$A:$A,0),MATCH(Y$1,RESULTADOS!$1:$1,0))</f>
        <v>#N/A</v>
      </c>
      <c r="Z75" s="52" t="e">
        <f t="shared" ca="1" si="62"/>
        <v>#N/A</v>
      </c>
      <c r="AA75" s="52" t="e">
        <f t="shared" ca="1" si="63"/>
        <v>#N/A</v>
      </c>
      <c r="AB75" s="11"/>
      <c r="AC75" s="67" t="e">
        <f ca="1">INDEX(RESULTADOS!$A:$BA,MATCH($A75,RESULTADOS!$A:$A,0),MATCH(AC$1,RESULTADOS!$1:$1,0))</f>
        <v>#N/A</v>
      </c>
      <c r="AD75" s="52" t="e">
        <f t="shared" ca="1" si="77"/>
        <v>#N/A</v>
      </c>
      <c r="AE75" s="52" t="e">
        <f t="shared" ca="1" si="64"/>
        <v>#N/A</v>
      </c>
      <c r="AF75" s="52" t="e">
        <f t="shared" ca="1" si="78"/>
        <v>#N/A</v>
      </c>
      <c r="AG75" s="52" t="e">
        <f t="shared" ca="1" si="65"/>
        <v>#N/A</v>
      </c>
      <c r="AH75" s="52" t="e">
        <f t="shared" ca="1" si="79"/>
        <v>#N/A</v>
      </c>
      <c r="AI75" s="52" t="e">
        <f t="shared" ca="1" si="66"/>
        <v>#N/A</v>
      </c>
      <c r="AJ75" s="67" t="e">
        <f ca="1">INDEX(RESULTADOS!$A:$BA,MATCH($A75,RESULTADOS!$A:$A,0),MATCH(AJ$1,RESULTADOS!$1:$1,0))</f>
        <v>#N/A</v>
      </c>
      <c r="AK75" s="67" t="e">
        <f ca="1">INDEX(RESULTADOS!$A:$BA,MATCH($A75,RESULTADOS!$A:$A,0),MATCH(AK$1,RESULTADOS!$1:$1,0))</f>
        <v>#N/A</v>
      </c>
      <c r="AL75" s="13" t="e">
        <f t="shared" ca="1" si="67"/>
        <v>#N/A</v>
      </c>
      <c r="AM75" s="14" t="e">
        <f t="shared" ca="1" si="68"/>
        <v>#N/A</v>
      </c>
      <c r="AN75" s="52" t="e">
        <f t="shared" ca="1" si="69"/>
        <v>#N/A</v>
      </c>
      <c r="AO75" s="67" t="e">
        <f ca="1">INDEX(RESULTADOS!$A:$BA,MATCH($A75,RESULTADOS!$A:$A,0),MATCH(AO$1,RESULTADOS!$1:$1,0))</f>
        <v>#N/A</v>
      </c>
      <c r="AP75" s="52" t="e">
        <f t="shared" ca="1" si="70"/>
        <v>#N/A</v>
      </c>
    </row>
    <row r="76" spans="1:42" s="121" customFormat="1" x14ac:dyDescent="0.2">
      <c r="A76" s="49">
        <f t="shared" ca="1" si="36"/>
        <v>43875</v>
      </c>
      <c r="B76" s="67" t="e">
        <f ca="1">INDEX(RESULTADOS!$A:$BA,MATCH($A76,RESULTADOS!$A:$A,0),MATCH(B$1,RESULTADOS!$1:$1,0))</f>
        <v>#N/A</v>
      </c>
      <c r="C76" s="52" t="e">
        <f t="shared" ca="1" si="52"/>
        <v>#N/A</v>
      </c>
      <c r="D76" s="52">
        <v>0</v>
      </c>
      <c r="E76" s="52" t="e">
        <f t="shared" ca="1" si="53"/>
        <v>#N/A</v>
      </c>
      <c r="F76" s="67" t="e">
        <f ca="1">INDEX(RESULTADOS!$A:$BA,MATCH($A76,RESULTADOS!$A:$A,0),MATCH(F$1,RESULTADOS!$1:$1,0))</f>
        <v>#N/A</v>
      </c>
      <c r="G76" s="52" t="e">
        <f t="shared" ca="1" si="54"/>
        <v>#N/A</v>
      </c>
      <c r="H76" s="67" t="e">
        <f ca="1">INDEX(RESULTADOS!$A:$BA,MATCH($A76,RESULTADOS!$A:$A,0),MATCH(H$1,RESULTADOS!$1:$1,0))</f>
        <v>#N/A</v>
      </c>
      <c r="I76" s="67" t="e">
        <f ca="1">INDEX(RESULTADOS!$A:$BA,MATCH($A76,RESULTADOS!$A:$A,0),MATCH(I$1,RESULTADOS!$1:$1,0))</f>
        <v>#N/A</v>
      </c>
      <c r="J76" s="67" t="e">
        <f ca="1">INDEX(RESULTADOS!$A:$BA,MATCH($A76,RESULTADOS!$A:$A,0),MATCH(J$1,RESULTADOS!$1:$1,0))</f>
        <v>#N/A</v>
      </c>
      <c r="K76" s="52" t="e">
        <f t="shared" ca="1" si="55"/>
        <v>#N/A</v>
      </c>
      <c r="L76" s="52" t="e">
        <f t="shared" ca="1" si="56"/>
        <v>#N/A</v>
      </c>
      <c r="M76" s="67" t="e">
        <f ca="1">INDEX(RESULTADOS!$A:$BA,MATCH($A76,RESULTADOS!$A:$A,0),MATCH(M$1,RESULTADOS!$1:$1,0))</f>
        <v>#N/A</v>
      </c>
      <c r="N76" s="52" t="e">
        <f t="shared" ca="1" si="71"/>
        <v>#N/A</v>
      </c>
      <c r="O76" s="52" t="e">
        <f t="shared" ca="1" si="57"/>
        <v>#N/A</v>
      </c>
      <c r="P76" s="52" t="e">
        <f t="shared" ca="1" si="72"/>
        <v>#N/A</v>
      </c>
      <c r="Q76" s="52" t="e">
        <f t="shared" ca="1" si="58"/>
        <v>#N/A</v>
      </c>
      <c r="R76" s="52" t="e">
        <f t="shared" ca="1" si="73"/>
        <v>#N/A</v>
      </c>
      <c r="S76" s="52" t="e">
        <f t="shared" ca="1" si="59"/>
        <v>#N/A</v>
      </c>
      <c r="T76" s="52" t="e">
        <f t="shared" ca="1" si="74"/>
        <v>#N/A</v>
      </c>
      <c r="U76" s="52" t="e">
        <f t="shared" ca="1" si="60"/>
        <v>#N/A</v>
      </c>
      <c r="V76" s="52" t="e">
        <f t="shared" ca="1" si="75"/>
        <v>#N/A</v>
      </c>
      <c r="W76" s="52" t="e">
        <f t="shared" ca="1" si="61"/>
        <v>#N/A</v>
      </c>
      <c r="X76" s="11" t="e">
        <f t="shared" ca="1" si="76"/>
        <v>#N/A</v>
      </c>
      <c r="Y76" s="67" t="e">
        <f ca="1">INDEX(RESULTADOS!$A:$BA,MATCH($A76,RESULTADOS!$A:$A,0),MATCH(Y$1,RESULTADOS!$1:$1,0))</f>
        <v>#N/A</v>
      </c>
      <c r="Z76" s="52" t="e">
        <f t="shared" ca="1" si="62"/>
        <v>#N/A</v>
      </c>
      <c r="AA76" s="52" t="e">
        <f t="shared" ca="1" si="63"/>
        <v>#N/A</v>
      </c>
      <c r="AB76" s="11"/>
      <c r="AC76" s="67" t="e">
        <f ca="1">INDEX(RESULTADOS!$A:$BA,MATCH($A76,RESULTADOS!$A:$A,0),MATCH(AC$1,RESULTADOS!$1:$1,0))</f>
        <v>#N/A</v>
      </c>
      <c r="AD76" s="52" t="e">
        <f t="shared" ca="1" si="77"/>
        <v>#N/A</v>
      </c>
      <c r="AE76" s="52" t="e">
        <f t="shared" ca="1" si="64"/>
        <v>#N/A</v>
      </c>
      <c r="AF76" s="52" t="e">
        <f t="shared" ca="1" si="78"/>
        <v>#N/A</v>
      </c>
      <c r="AG76" s="52" t="e">
        <f t="shared" ca="1" si="65"/>
        <v>#N/A</v>
      </c>
      <c r="AH76" s="52" t="e">
        <f t="shared" ca="1" si="79"/>
        <v>#N/A</v>
      </c>
      <c r="AI76" s="52" t="e">
        <f t="shared" ca="1" si="66"/>
        <v>#N/A</v>
      </c>
      <c r="AJ76" s="67" t="e">
        <f ca="1">INDEX(RESULTADOS!$A:$BA,MATCH($A76,RESULTADOS!$A:$A,0),MATCH(AJ$1,RESULTADOS!$1:$1,0))</f>
        <v>#N/A</v>
      </c>
      <c r="AK76" s="67" t="e">
        <f ca="1">INDEX(RESULTADOS!$A:$BA,MATCH($A76,RESULTADOS!$A:$A,0),MATCH(AK$1,RESULTADOS!$1:$1,0))</f>
        <v>#N/A</v>
      </c>
      <c r="AL76" s="13" t="e">
        <f t="shared" ca="1" si="67"/>
        <v>#N/A</v>
      </c>
      <c r="AM76" s="14" t="e">
        <f t="shared" ca="1" si="68"/>
        <v>#N/A</v>
      </c>
      <c r="AN76" s="52" t="e">
        <f t="shared" ca="1" si="69"/>
        <v>#N/A</v>
      </c>
      <c r="AO76" s="67" t="e">
        <f ca="1">INDEX(RESULTADOS!$A:$BA,MATCH($A76,RESULTADOS!$A:$A,0),MATCH(AO$1,RESULTADOS!$1:$1,0))</f>
        <v>#N/A</v>
      </c>
      <c r="AP76" s="52" t="e">
        <f t="shared" ca="1" si="70"/>
        <v>#N/A</v>
      </c>
    </row>
    <row r="77" spans="1:42" s="121" customFormat="1" x14ac:dyDescent="0.2">
      <c r="A77" s="49">
        <f t="shared" ca="1" si="36"/>
        <v>43876</v>
      </c>
      <c r="B77" s="67" t="e">
        <f ca="1">INDEX(RESULTADOS!$A:$BA,MATCH($A77,RESULTADOS!$A:$A,0),MATCH(B$1,RESULTADOS!$1:$1,0))</f>
        <v>#N/A</v>
      </c>
      <c r="C77" s="52" t="e">
        <f t="shared" ca="1" si="52"/>
        <v>#N/A</v>
      </c>
      <c r="D77" s="52">
        <v>0</v>
      </c>
      <c r="E77" s="52" t="e">
        <f t="shared" ca="1" si="53"/>
        <v>#N/A</v>
      </c>
      <c r="F77" s="67" t="e">
        <f ca="1">INDEX(RESULTADOS!$A:$BA,MATCH($A77,RESULTADOS!$A:$A,0),MATCH(F$1,RESULTADOS!$1:$1,0))</f>
        <v>#N/A</v>
      </c>
      <c r="G77" s="52" t="e">
        <f t="shared" ca="1" si="54"/>
        <v>#N/A</v>
      </c>
      <c r="H77" s="67" t="e">
        <f ca="1">INDEX(RESULTADOS!$A:$BA,MATCH($A77,RESULTADOS!$A:$A,0),MATCH(H$1,RESULTADOS!$1:$1,0))</f>
        <v>#N/A</v>
      </c>
      <c r="I77" s="67" t="e">
        <f ca="1">INDEX(RESULTADOS!$A:$BA,MATCH($A77,RESULTADOS!$A:$A,0),MATCH(I$1,RESULTADOS!$1:$1,0))</f>
        <v>#N/A</v>
      </c>
      <c r="J77" s="67" t="e">
        <f ca="1">INDEX(RESULTADOS!$A:$BA,MATCH($A77,RESULTADOS!$A:$A,0),MATCH(J$1,RESULTADOS!$1:$1,0))</f>
        <v>#N/A</v>
      </c>
      <c r="K77" s="52" t="e">
        <f t="shared" ca="1" si="55"/>
        <v>#N/A</v>
      </c>
      <c r="L77" s="52" t="e">
        <f t="shared" ca="1" si="56"/>
        <v>#N/A</v>
      </c>
      <c r="M77" s="67" t="e">
        <f ca="1">INDEX(RESULTADOS!$A:$BA,MATCH($A77,RESULTADOS!$A:$A,0),MATCH(M$1,RESULTADOS!$1:$1,0))</f>
        <v>#N/A</v>
      </c>
      <c r="N77" s="52" t="e">
        <f t="shared" ca="1" si="71"/>
        <v>#N/A</v>
      </c>
      <c r="O77" s="52" t="e">
        <f t="shared" ca="1" si="57"/>
        <v>#N/A</v>
      </c>
      <c r="P77" s="52" t="e">
        <f t="shared" ca="1" si="72"/>
        <v>#N/A</v>
      </c>
      <c r="Q77" s="52" t="e">
        <f t="shared" ca="1" si="58"/>
        <v>#N/A</v>
      </c>
      <c r="R77" s="52" t="e">
        <f t="shared" ca="1" si="73"/>
        <v>#N/A</v>
      </c>
      <c r="S77" s="52" t="e">
        <f t="shared" ca="1" si="59"/>
        <v>#N/A</v>
      </c>
      <c r="T77" s="52" t="e">
        <f t="shared" ca="1" si="74"/>
        <v>#N/A</v>
      </c>
      <c r="U77" s="52" t="e">
        <f t="shared" ca="1" si="60"/>
        <v>#N/A</v>
      </c>
      <c r="V77" s="52" t="e">
        <f t="shared" ca="1" si="75"/>
        <v>#N/A</v>
      </c>
      <c r="W77" s="52" t="e">
        <f t="shared" ca="1" si="61"/>
        <v>#N/A</v>
      </c>
      <c r="X77" s="11" t="e">
        <f t="shared" ca="1" si="76"/>
        <v>#N/A</v>
      </c>
      <c r="Y77" s="67" t="e">
        <f ca="1">INDEX(RESULTADOS!$A:$BA,MATCH($A77,RESULTADOS!$A:$A,0),MATCH(Y$1,RESULTADOS!$1:$1,0))</f>
        <v>#N/A</v>
      </c>
      <c r="Z77" s="52" t="e">
        <f t="shared" ca="1" si="62"/>
        <v>#N/A</v>
      </c>
      <c r="AA77" s="52" t="e">
        <f t="shared" ca="1" si="63"/>
        <v>#N/A</v>
      </c>
      <c r="AB77" s="11"/>
      <c r="AC77" s="67" t="e">
        <f ca="1">INDEX(RESULTADOS!$A:$BA,MATCH($A77,RESULTADOS!$A:$A,0),MATCH(AC$1,RESULTADOS!$1:$1,0))</f>
        <v>#N/A</v>
      </c>
      <c r="AD77" s="52" t="e">
        <f t="shared" ca="1" si="77"/>
        <v>#N/A</v>
      </c>
      <c r="AE77" s="52" t="e">
        <f t="shared" ca="1" si="64"/>
        <v>#N/A</v>
      </c>
      <c r="AF77" s="52" t="e">
        <f t="shared" ca="1" si="78"/>
        <v>#N/A</v>
      </c>
      <c r="AG77" s="52" t="e">
        <f t="shared" ca="1" si="65"/>
        <v>#N/A</v>
      </c>
      <c r="AH77" s="52" t="e">
        <f t="shared" ca="1" si="79"/>
        <v>#N/A</v>
      </c>
      <c r="AI77" s="52" t="e">
        <f t="shared" ca="1" si="66"/>
        <v>#N/A</v>
      </c>
      <c r="AJ77" s="67" t="e">
        <f ca="1">INDEX(RESULTADOS!$A:$BA,MATCH($A77,RESULTADOS!$A:$A,0),MATCH(AJ$1,RESULTADOS!$1:$1,0))</f>
        <v>#N/A</v>
      </c>
      <c r="AK77" s="67" t="e">
        <f ca="1">INDEX(RESULTADOS!$A:$BA,MATCH($A77,RESULTADOS!$A:$A,0),MATCH(AK$1,RESULTADOS!$1:$1,0))</f>
        <v>#N/A</v>
      </c>
      <c r="AL77" s="13" t="e">
        <f t="shared" ca="1" si="67"/>
        <v>#N/A</v>
      </c>
      <c r="AM77" s="14" t="e">
        <f t="shared" ca="1" si="68"/>
        <v>#N/A</v>
      </c>
      <c r="AN77" s="52" t="e">
        <f t="shared" ca="1" si="69"/>
        <v>#N/A</v>
      </c>
      <c r="AO77" s="67" t="e">
        <f ca="1">INDEX(RESULTADOS!$A:$BA,MATCH($A77,RESULTADOS!$A:$A,0),MATCH(AO$1,RESULTADOS!$1:$1,0))</f>
        <v>#N/A</v>
      </c>
      <c r="AP77" s="52" t="e">
        <f t="shared" ca="1" si="70"/>
        <v>#N/A</v>
      </c>
    </row>
    <row r="78" spans="1:42" s="121" customFormat="1" x14ac:dyDescent="0.2">
      <c r="A78" s="49">
        <f t="shared" ca="1" si="36"/>
        <v>43877</v>
      </c>
      <c r="B78" s="67" t="e">
        <f ca="1">INDEX(RESULTADOS!$A:$BA,MATCH($A78,RESULTADOS!$A:$A,0),MATCH(B$1,RESULTADOS!$1:$1,0))</f>
        <v>#N/A</v>
      </c>
      <c r="C78" s="52" t="e">
        <f t="shared" ca="1" si="52"/>
        <v>#N/A</v>
      </c>
      <c r="D78" s="52">
        <v>0</v>
      </c>
      <c r="E78" s="52" t="e">
        <f t="shared" ca="1" si="53"/>
        <v>#N/A</v>
      </c>
      <c r="F78" s="67" t="e">
        <f ca="1">INDEX(RESULTADOS!$A:$BA,MATCH($A78,RESULTADOS!$A:$A,0),MATCH(F$1,RESULTADOS!$1:$1,0))</f>
        <v>#N/A</v>
      </c>
      <c r="G78" s="52" t="e">
        <f t="shared" ca="1" si="54"/>
        <v>#N/A</v>
      </c>
      <c r="H78" s="67" t="e">
        <f ca="1">INDEX(RESULTADOS!$A:$BA,MATCH($A78,RESULTADOS!$A:$A,0),MATCH(H$1,RESULTADOS!$1:$1,0))</f>
        <v>#N/A</v>
      </c>
      <c r="I78" s="67" t="e">
        <f ca="1">INDEX(RESULTADOS!$A:$BA,MATCH($A78,RESULTADOS!$A:$A,0),MATCH(I$1,RESULTADOS!$1:$1,0))</f>
        <v>#N/A</v>
      </c>
      <c r="J78" s="67" t="e">
        <f ca="1">INDEX(RESULTADOS!$A:$BA,MATCH($A78,RESULTADOS!$A:$A,0),MATCH(J$1,RESULTADOS!$1:$1,0))</f>
        <v>#N/A</v>
      </c>
      <c r="K78" s="52" t="e">
        <f t="shared" ca="1" si="55"/>
        <v>#N/A</v>
      </c>
      <c r="L78" s="52" t="e">
        <f t="shared" ca="1" si="56"/>
        <v>#N/A</v>
      </c>
      <c r="M78" s="67" t="e">
        <f ca="1">INDEX(RESULTADOS!$A:$BA,MATCH($A78,RESULTADOS!$A:$A,0),MATCH(M$1,RESULTADOS!$1:$1,0))</f>
        <v>#N/A</v>
      </c>
      <c r="N78" s="52" t="e">
        <f t="shared" ca="1" si="71"/>
        <v>#N/A</v>
      </c>
      <c r="O78" s="52" t="e">
        <f t="shared" ca="1" si="57"/>
        <v>#N/A</v>
      </c>
      <c r="P78" s="52" t="e">
        <f t="shared" ca="1" si="72"/>
        <v>#N/A</v>
      </c>
      <c r="Q78" s="52" t="e">
        <f t="shared" ca="1" si="58"/>
        <v>#N/A</v>
      </c>
      <c r="R78" s="52" t="e">
        <f t="shared" ca="1" si="73"/>
        <v>#N/A</v>
      </c>
      <c r="S78" s="52" t="e">
        <f t="shared" ca="1" si="59"/>
        <v>#N/A</v>
      </c>
      <c r="T78" s="52" t="e">
        <f t="shared" ca="1" si="74"/>
        <v>#N/A</v>
      </c>
      <c r="U78" s="52" t="e">
        <f t="shared" ca="1" si="60"/>
        <v>#N/A</v>
      </c>
      <c r="V78" s="52" t="e">
        <f t="shared" ca="1" si="75"/>
        <v>#N/A</v>
      </c>
      <c r="W78" s="52" t="e">
        <f t="shared" ca="1" si="61"/>
        <v>#N/A</v>
      </c>
      <c r="X78" s="11" t="e">
        <f t="shared" ca="1" si="76"/>
        <v>#N/A</v>
      </c>
      <c r="Y78" s="67" t="e">
        <f ca="1">INDEX(RESULTADOS!$A:$BA,MATCH($A78,RESULTADOS!$A:$A,0),MATCH(Y$1,RESULTADOS!$1:$1,0))</f>
        <v>#N/A</v>
      </c>
      <c r="Z78" s="52" t="e">
        <f t="shared" ca="1" si="62"/>
        <v>#N/A</v>
      </c>
      <c r="AA78" s="52" t="e">
        <f t="shared" ca="1" si="63"/>
        <v>#N/A</v>
      </c>
      <c r="AB78" s="11"/>
      <c r="AC78" s="67" t="e">
        <f ca="1">INDEX(RESULTADOS!$A:$BA,MATCH($A78,RESULTADOS!$A:$A,0),MATCH(AC$1,RESULTADOS!$1:$1,0))</f>
        <v>#N/A</v>
      </c>
      <c r="AD78" s="52" t="e">
        <f t="shared" ca="1" si="77"/>
        <v>#N/A</v>
      </c>
      <c r="AE78" s="52" t="e">
        <f t="shared" ca="1" si="64"/>
        <v>#N/A</v>
      </c>
      <c r="AF78" s="52" t="e">
        <f t="shared" ca="1" si="78"/>
        <v>#N/A</v>
      </c>
      <c r="AG78" s="52" t="e">
        <f t="shared" ca="1" si="65"/>
        <v>#N/A</v>
      </c>
      <c r="AH78" s="52" t="e">
        <f t="shared" ca="1" si="79"/>
        <v>#N/A</v>
      </c>
      <c r="AI78" s="52" t="e">
        <f t="shared" ca="1" si="66"/>
        <v>#N/A</v>
      </c>
      <c r="AJ78" s="67" t="e">
        <f ca="1">INDEX(RESULTADOS!$A:$BA,MATCH($A78,RESULTADOS!$A:$A,0),MATCH(AJ$1,RESULTADOS!$1:$1,0))</f>
        <v>#N/A</v>
      </c>
      <c r="AK78" s="67" t="e">
        <f ca="1">INDEX(RESULTADOS!$A:$BA,MATCH($A78,RESULTADOS!$A:$A,0),MATCH(AK$1,RESULTADOS!$1:$1,0))</f>
        <v>#N/A</v>
      </c>
      <c r="AL78" s="13" t="e">
        <f t="shared" ca="1" si="67"/>
        <v>#N/A</v>
      </c>
      <c r="AM78" s="14" t="e">
        <f t="shared" ca="1" si="68"/>
        <v>#N/A</v>
      </c>
      <c r="AN78" s="52" t="e">
        <f t="shared" ca="1" si="69"/>
        <v>#N/A</v>
      </c>
      <c r="AO78" s="67" t="e">
        <f ca="1">INDEX(RESULTADOS!$A:$BA,MATCH($A78,RESULTADOS!$A:$A,0),MATCH(AO$1,RESULTADOS!$1:$1,0))</f>
        <v>#N/A</v>
      </c>
      <c r="AP78" s="52" t="e">
        <f t="shared" ca="1" si="70"/>
        <v>#N/A</v>
      </c>
    </row>
    <row r="79" spans="1:42" s="121" customFormat="1" x14ac:dyDescent="0.2">
      <c r="A79" s="49">
        <f t="shared" ca="1" si="36"/>
        <v>43878</v>
      </c>
      <c r="B79" s="67" t="e">
        <f ca="1">INDEX(RESULTADOS!$A:$BA,MATCH($A79,RESULTADOS!$A:$A,0),MATCH(B$1,RESULTADOS!$1:$1,0))</f>
        <v>#N/A</v>
      </c>
      <c r="C79" s="52" t="e">
        <f t="shared" ca="1" si="52"/>
        <v>#N/A</v>
      </c>
      <c r="D79" s="52">
        <v>0</v>
      </c>
      <c r="E79" s="52" t="e">
        <f t="shared" ca="1" si="53"/>
        <v>#N/A</v>
      </c>
      <c r="F79" s="67" t="e">
        <f ca="1">INDEX(RESULTADOS!$A:$BA,MATCH($A79,RESULTADOS!$A:$A,0),MATCH(F$1,RESULTADOS!$1:$1,0))</f>
        <v>#N/A</v>
      </c>
      <c r="G79" s="52" t="e">
        <f t="shared" ca="1" si="54"/>
        <v>#N/A</v>
      </c>
      <c r="H79" s="67" t="e">
        <f ca="1">INDEX(RESULTADOS!$A:$BA,MATCH($A79,RESULTADOS!$A:$A,0),MATCH(H$1,RESULTADOS!$1:$1,0))</f>
        <v>#N/A</v>
      </c>
      <c r="I79" s="67" t="e">
        <f ca="1">INDEX(RESULTADOS!$A:$BA,MATCH($A79,RESULTADOS!$A:$A,0),MATCH(I$1,RESULTADOS!$1:$1,0))</f>
        <v>#N/A</v>
      </c>
      <c r="J79" s="67" t="e">
        <f ca="1">INDEX(RESULTADOS!$A:$BA,MATCH($A79,RESULTADOS!$A:$A,0),MATCH(J$1,RESULTADOS!$1:$1,0))</f>
        <v>#N/A</v>
      </c>
      <c r="K79" s="52" t="e">
        <f t="shared" ca="1" si="55"/>
        <v>#N/A</v>
      </c>
      <c r="L79" s="52" t="e">
        <f t="shared" ca="1" si="56"/>
        <v>#N/A</v>
      </c>
      <c r="M79" s="67" t="e">
        <f ca="1">INDEX(RESULTADOS!$A:$BA,MATCH($A79,RESULTADOS!$A:$A,0),MATCH(M$1,RESULTADOS!$1:$1,0))</f>
        <v>#N/A</v>
      </c>
      <c r="N79" s="52" t="e">
        <f t="shared" ca="1" si="71"/>
        <v>#N/A</v>
      </c>
      <c r="O79" s="52" t="e">
        <f t="shared" ca="1" si="57"/>
        <v>#N/A</v>
      </c>
      <c r="P79" s="52" t="e">
        <f t="shared" ca="1" si="72"/>
        <v>#N/A</v>
      </c>
      <c r="Q79" s="52" t="e">
        <f t="shared" ca="1" si="58"/>
        <v>#N/A</v>
      </c>
      <c r="R79" s="52" t="e">
        <f t="shared" ca="1" si="73"/>
        <v>#N/A</v>
      </c>
      <c r="S79" s="52" t="e">
        <f t="shared" ca="1" si="59"/>
        <v>#N/A</v>
      </c>
      <c r="T79" s="52" t="e">
        <f t="shared" ca="1" si="74"/>
        <v>#N/A</v>
      </c>
      <c r="U79" s="52" t="e">
        <f t="shared" ca="1" si="60"/>
        <v>#N/A</v>
      </c>
      <c r="V79" s="52" t="e">
        <f t="shared" ca="1" si="75"/>
        <v>#N/A</v>
      </c>
      <c r="W79" s="52" t="e">
        <f t="shared" ca="1" si="61"/>
        <v>#N/A</v>
      </c>
      <c r="X79" s="11" t="e">
        <f t="shared" ca="1" si="76"/>
        <v>#N/A</v>
      </c>
      <c r="Y79" s="67" t="e">
        <f ca="1">INDEX(RESULTADOS!$A:$BA,MATCH($A79,RESULTADOS!$A:$A,0),MATCH(Y$1,RESULTADOS!$1:$1,0))</f>
        <v>#N/A</v>
      </c>
      <c r="Z79" s="52" t="e">
        <f t="shared" ca="1" si="62"/>
        <v>#N/A</v>
      </c>
      <c r="AA79" s="52" t="e">
        <f t="shared" ca="1" si="63"/>
        <v>#N/A</v>
      </c>
      <c r="AB79" s="11"/>
      <c r="AC79" s="67" t="e">
        <f ca="1">INDEX(RESULTADOS!$A:$BA,MATCH($A79,RESULTADOS!$A:$A,0),MATCH(AC$1,RESULTADOS!$1:$1,0))</f>
        <v>#N/A</v>
      </c>
      <c r="AD79" s="52" t="e">
        <f t="shared" ca="1" si="77"/>
        <v>#N/A</v>
      </c>
      <c r="AE79" s="52" t="e">
        <f t="shared" ca="1" si="64"/>
        <v>#N/A</v>
      </c>
      <c r="AF79" s="52" t="e">
        <f t="shared" ca="1" si="78"/>
        <v>#N/A</v>
      </c>
      <c r="AG79" s="52" t="e">
        <f t="shared" ca="1" si="65"/>
        <v>#N/A</v>
      </c>
      <c r="AH79" s="52" t="e">
        <f t="shared" ca="1" si="79"/>
        <v>#N/A</v>
      </c>
      <c r="AI79" s="52" t="e">
        <f t="shared" ca="1" si="66"/>
        <v>#N/A</v>
      </c>
      <c r="AJ79" s="67" t="e">
        <f ca="1">INDEX(RESULTADOS!$A:$BA,MATCH($A79,RESULTADOS!$A:$A,0),MATCH(AJ$1,RESULTADOS!$1:$1,0))</f>
        <v>#N/A</v>
      </c>
      <c r="AK79" s="67" t="e">
        <f ca="1">INDEX(RESULTADOS!$A:$BA,MATCH($A79,RESULTADOS!$A:$A,0),MATCH(AK$1,RESULTADOS!$1:$1,0))</f>
        <v>#N/A</v>
      </c>
      <c r="AL79" s="13" t="e">
        <f t="shared" ca="1" si="67"/>
        <v>#N/A</v>
      </c>
      <c r="AM79" s="14" t="e">
        <f t="shared" ca="1" si="68"/>
        <v>#N/A</v>
      </c>
      <c r="AN79" s="52" t="e">
        <f t="shared" ca="1" si="69"/>
        <v>#N/A</v>
      </c>
      <c r="AO79" s="67" t="e">
        <f ca="1">INDEX(RESULTADOS!$A:$BA,MATCH($A79,RESULTADOS!$A:$A,0),MATCH(AO$1,RESULTADOS!$1:$1,0))</f>
        <v>#N/A</v>
      </c>
      <c r="AP79" s="52" t="e">
        <f t="shared" ca="1" si="70"/>
        <v>#N/A</v>
      </c>
    </row>
    <row r="80" spans="1:42" s="121" customFormat="1" x14ac:dyDescent="0.2">
      <c r="A80" s="49">
        <f t="shared" ca="1" si="36"/>
        <v>43879</v>
      </c>
      <c r="B80" s="67" t="e">
        <f ca="1">INDEX(RESULTADOS!$A:$BA,MATCH($A80,RESULTADOS!$A:$A,0),MATCH(B$1,RESULTADOS!$1:$1,0))</f>
        <v>#N/A</v>
      </c>
      <c r="C80" s="52" t="e">
        <f t="shared" ca="1" si="52"/>
        <v>#N/A</v>
      </c>
      <c r="D80" s="52">
        <v>0</v>
      </c>
      <c r="E80" s="52" t="e">
        <f t="shared" ca="1" si="53"/>
        <v>#N/A</v>
      </c>
      <c r="F80" s="67" t="e">
        <f ca="1">INDEX(RESULTADOS!$A:$BA,MATCH($A80,RESULTADOS!$A:$A,0),MATCH(F$1,RESULTADOS!$1:$1,0))</f>
        <v>#N/A</v>
      </c>
      <c r="G80" s="52" t="e">
        <f t="shared" ca="1" si="54"/>
        <v>#N/A</v>
      </c>
      <c r="H80" s="67" t="e">
        <f ca="1">INDEX(RESULTADOS!$A:$BA,MATCH($A80,RESULTADOS!$A:$A,0),MATCH(H$1,RESULTADOS!$1:$1,0))</f>
        <v>#N/A</v>
      </c>
      <c r="I80" s="67" t="e">
        <f ca="1">INDEX(RESULTADOS!$A:$BA,MATCH($A80,RESULTADOS!$A:$A,0),MATCH(I$1,RESULTADOS!$1:$1,0))</f>
        <v>#N/A</v>
      </c>
      <c r="J80" s="67" t="e">
        <f ca="1">INDEX(RESULTADOS!$A:$BA,MATCH($A80,RESULTADOS!$A:$A,0),MATCH(J$1,RESULTADOS!$1:$1,0))</f>
        <v>#N/A</v>
      </c>
      <c r="K80" s="52" t="e">
        <f t="shared" ca="1" si="55"/>
        <v>#N/A</v>
      </c>
      <c r="L80" s="52" t="e">
        <f t="shared" ca="1" si="56"/>
        <v>#N/A</v>
      </c>
      <c r="M80" s="67" t="e">
        <f ca="1">INDEX(RESULTADOS!$A:$BA,MATCH($A80,RESULTADOS!$A:$A,0),MATCH(M$1,RESULTADOS!$1:$1,0))</f>
        <v>#N/A</v>
      </c>
      <c r="N80" s="52" t="e">
        <f t="shared" ca="1" si="71"/>
        <v>#N/A</v>
      </c>
      <c r="O80" s="52" t="e">
        <f t="shared" ca="1" si="57"/>
        <v>#N/A</v>
      </c>
      <c r="P80" s="52" t="e">
        <f t="shared" ca="1" si="72"/>
        <v>#N/A</v>
      </c>
      <c r="Q80" s="52" t="e">
        <f t="shared" ca="1" si="58"/>
        <v>#N/A</v>
      </c>
      <c r="R80" s="52" t="e">
        <f t="shared" ca="1" si="73"/>
        <v>#N/A</v>
      </c>
      <c r="S80" s="52" t="e">
        <f t="shared" ca="1" si="59"/>
        <v>#N/A</v>
      </c>
      <c r="T80" s="52" t="e">
        <f t="shared" ca="1" si="74"/>
        <v>#N/A</v>
      </c>
      <c r="U80" s="52" t="e">
        <f t="shared" ca="1" si="60"/>
        <v>#N/A</v>
      </c>
      <c r="V80" s="52" t="e">
        <f t="shared" ca="1" si="75"/>
        <v>#N/A</v>
      </c>
      <c r="W80" s="52" t="e">
        <f t="shared" ca="1" si="61"/>
        <v>#N/A</v>
      </c>
      <c r="X80" s="11" t="e">
        <f t="shared" ca="1" si="76"/>
        <v>#N/A</v>
      </c>
      <c r="Y80" s="67" t="e">
        <f ca="1">INDEX(RESULTADOS!$A:$BA,MATCH($A80,RESULTADOS!$A:$A,0),MATCH(Y$1,RESULTADOS!$1:$1,0))</f>
        <v>#N/A</v>
      </c>
      <c r="Z80" s="52" t="e">
        <f t="shared" ca="1" si="62"/>
        <v>#N/A</v>
      </c>
      <c r="AA80" s="52" t="e">
        <f t="shared" ca="1" si="63"/>
        <v>#N/A</v>
      </c>
      <c r="AB80" s="11"/>
      <c r="AC80" s="67" t="e">
        <f ca="1">INDEX(RESULTADOS!$A:$BA,MATCH($A80,RESULTADOS!$A:$A,0),MATCH(AC$1,RESULTADOS!$1:$1,0))</f>
        <v>#N/A</v>
      </c>
      <c r="AD80" s="52" t="e">
        <f t="shared" ca="1" si="77"/>
        <v>#N/A</v>
      </c>
      <c r="AE80" s="52" t="e">
        <f t="shared" ca="1" si="64"/>
        <v>#N/A</v>
      </c>
      <c r="AF80" s="52" t="e">
        <f t="shared" ca="1" si="78"/>
        <v>#N/A</v>
      </c>
      <c r="AG80" s="52" t="e">
        <f t="shared" ca="1" si="65"/>
        <v>#N/A</v>
      </c>
      <c r="AH80" s="52" t="e">
        <f t="shared" ca="1" si="79"/>
        <v>#N/A</v>
      </c>
      <c r="AI80" s="52" t="e">
        <f t="shared" ca="1" si="66"/>
        <v>#N/A</v>
      </c>
      <c r="AJ80" s="67" t="e">
        <f ca="1">INDEX(RESULTADOS!$A:$BA,MATCH($A80,RESULTADOS!$A:$A,0),MATCH(AJ$1,RESULTADOS!$1:$1,0))</f>
        <v>#N/A</v>
      </c>
      <c r="AK80" s="67" t="e">
        <f ca="1">INDEX(RESULTADOS!$A:$BA,MATCH($A80,RESULTADOS!$A:$A,0),MATCH(AK$1,RESULTADOS!$1:$1,0))</f>
        <v>#N/A</v>
      </c>
      <c r="AL80" s="13" t="e">
        <f t="shared" ca="1" si="67"/>
        <v>#N/A</v>
      </c>
      <c r="AM80" s="14" t="e">
        <f t="shared" ca="1" si="68"/>
        <v>#N/A</v>
      </c>
      <c r="AN80" s="52" t="e">
        <f t="shared" ca="1" si="69"/>
        <v>#N/A</v>
      </c>
      <c r="AO80" s="67" t="e">
        <f ca="1">INDEX(RESULTADOS!$A:$BA,MATCH($A80,RESULTADOS!$A:$A,0),MATCH(AO$1,RESULTADOS!$1:$1,0))</f>
        <v>#N/A</v>
      </c>
      <c r="AP80" s="52" t="e">
        <f t="shared" ca="1" si="70"/>
        <v>#N/A</v>
      </c>
    </row>
    <row r="81" spans="1:42" s="272" customFormat="1" x14ac:dyDescent="0.2">
      <c r="A81" s="273">
        <f t="shared" ca="1" si="36"/>
        <v>43880</v>
      </c>
      <c r="B81" s="279" t="e">
        <f ca="1">INDEX(RESULTADOS!$A:$BA,MATCH($A81,RESULTADOS!$A:$A,0),MATCH(B$1,RESULTADOS!$1:$1,0))</f>
        <v>#N/A</v>
      </c>
      <c r="C81" s="52" t="e">
        <f t="shared" ref="C81:C110" ca="1" si="80">B81</f>
        <v>#N/A</v>
      </c>
      <c r="D81" s="52">
        <v>1</v>
      </c>
      <c r="E81" s="52" t="e">
        <f t="shared" ref="E81:E110" ca="1" si="81">C81</f>
        <v>#N/A</v>
      </c>
      <c r="F81" s="279" t="e">
        <f ca="1">INDEX(RESULTADOS!$A:$BA,MATCH($A81,RESULTADOS!$A:$A,0),MATCH(F$1,RESULTADOS!$1:$1,0))</f>
        <v>#N/A</v>
      </c>
      <c r="G81" s="52" t="e">
        <f t="shared" ref="G81:G110" ca="1" si="82">((E81*(24-$E$3)+E80*$E$3)/24)+F81</f>
        <v>#N/A</v>
      </c>
      <c r="H81" s="279" t="e">
        <f ca="1">INDEX(RESULTADOS!$A:$BA,MATCH($A81,RESULTADOS!$A:$A,0),MATCH(H$1,RESULTADOS!$1:$1,0))</f>
        <v>#N/A</v>
      </c>
      <c r="I81" s="279" t="e">
        <f ca="1">INDEX(RESULTADOS!$A:$BA,MATCH($A81,RESULTADOS!$A:$A,0),MATCH(I$1,RESULTADOS!$1:$1,0))</f>
        <v>#N/A</v>
      </c>
      <c r="J81" s="279" t="e">
        <f ca="1">INDEX(RESULTADOS!$A:$BA,MATCH($A81,RESULTADOS!$A:$A,0),MATCH(J$1,RESULTADOS!$1:$1,0))</f>
        <v>#N/A</v>
      </c>
      <c r="K81" s="52" t="e">
        <f t="shared" ref="K81:K110" ca="1" si="83">((I81*(24-$I$3)+I80*$I$3)/24)+((H81*(24-$H$3)+H80*$H$3)/24)+J81</f>
        <v>#N/A</v>
      </c>
      <c r="L81" s="52" t="e">
        <f t="shared" ref="L81:L110" ca="1" si="84">((I81*(24-$I$3)+I80*$I$3)/24)+((G80*(48-$G$3)+G79*($G$3-24))/24)+((H81*(24-$H$3)+H80*$H$3)/24)+J81</f>
        <v>#N/A</v>
      </c>
      <c r="M81" s="279" t="e">
        <f ca="1">INDEX(RESULTADOS!$A:$BA,MATCH($A81,RESULTADOS!$A:$A,0),MATCH(M$1,RESULTADOS!$1:$1,0))</f>
        <v>#N/A</v>
      </c>
      <c r="N81" s="52" t="e">
        <f t="shared" ca="1" si="71"/>
        <v>#N/A</v>
      </c>
      <c r="O81" s="52" t="e">
        <f t="shared" ref="O81:O110" ca="1" si="85">((L81*(24-$L$3)+L80*$L$3)/24)+N81</f>
        <v>#N/A</v>
      </c>
      <c r="P81" s="52" t="e">
        <f t="shared" ca="1" si="72"/>
        <v>#N/A</v>
      </c>
      <c r="Q81" s="52" t="e">
        <f t="shared" ref="Q81:Q110" ca="1" si="86">((O81*(24-$O$3)+O80*$O$3)/24)+P81</f>
        <v>#N/A</v>
      </c>
      <c r="R81" s="52" t="e">
        <f t="shared" ca="1" si="73"/>
        <v>#N/A</v>
      </c>
      <c r="S81" s="52" t="e">
        <f t="shared" ref="S81:S110" ca="1" si="87">((Q81*(24-$Q$3)+Q80*$Q$3)/24)+R81</f>
        <v>#N/A</v>
      </c>
      <c r="T81" s="52" t="e">
        <f t="shared" ca="1" si="74"/>
        <v>#N/A</v>
      </c>
      <c r="U81" s="52" t="e">
        <f t="shared" ref="U81:U110" ca="1" si="88">((S81*(24-$S$3)+S80*$S$3)/24)+T81</f>
        <v>#N/A</v>
      </c>
      <c r="V81" s="52" t="e">
        <f t="shared" ca="1" si="75"/>
        <v>#N/A</v>
      </c>
      <c r="W81" s="52" t="e">
        <f t="shared" ref="W81:W110" ca="1" si="89">((U81*(24-$U$3)+U80*$U$3)/24)+V81</f>
        <v>#N/A</v>
      </c>
      <c r="X81" s="11" t="e">
        <f t="shared" ca="1" si="76"/>
        <v>#N/A</v>
      </c>
      <c r="Y81" s="279" t="e">
        <f ca="1">INDEX(RESULTADOS!$A:$BA,MATCH($A81,RESULTADOS!$A:$A,0),MATCH(Y$1,RESULTADOS!$1:$1,0))</f>
        <v>#N/A</v>
      </c>
      <c r="Z81" s="52" t="e">
        <f t="shared" ref="Z81:Z110" ca="1" si="90">((Y81*(24-$Y$3)+Y80*$Y$3)/24)+X81</f>
        <v>#N/A</v>
      </c>
      <c r="AA81" s="52" t="e">
        <f t="shared" ref="AA81:AA110" ca="1" si="91">((W81*(24-$W$3)+W80*$W$3)/24)+((Y81*(24-$Y$3)+Y80*$Y$3)/24)+X81</f>
        <v>#N/A</v>
      </c>
      <c r="AB81" s="11"/>
      <c r="AC81" s="279" t="e">
        <f ca="1">INDEX(RESULTADOS!$A:$BA,MATCH($A81,RESULTADOS!$A:$A,0),MATCH(AC$1,RESULTADOS!$1:$1,0))</f>
        <v>#N/A</v>
      </c>
      <c r="AD81" s="52" t="e">
        <f t="shared" ca="1" si="77"/>
        <v>#N/A</v>
      </c>
      <c r="AE81" s="52" t="e">
        <f t="shared" ref="AE81:AE110" ca="1" si="92">AD81</f>
        <v>#N/A</v>
      </c>
      <c r="AF81" s="52" t="e">
        <f t="shared" ca="1" si="78"/>
        <v>#N/A</v>
      </c>
      <c r="AG81" s="52" t="e">
        <f t="shared" ref="AG81:AG110" ca="1" si="93">((AE81*(24-$AE$3)+AE80*$AE$3)/24)+AF81</f>
        <v>#N/A</v>
      </c>
      <c r="AH81" s="52" t="e">
        <f t="shared" ca="1" si="79"/>
        <v>#N/A</v>
      </c>
      <c r="AI81" s="52" t="e">
        <f t="shared" ref="AI81:AI110" ca="1" si="94">((AG81*(24-$AG$3)+AG80*$AG$3)/24)+AH81</f>
        <v>#N/A</v>
      </c>
      <c r="AJ81" s="279" t="e">
        <f ca="1">INDEX(RESULTADOS!$A:$BA,MATCH($A81,RESULTADOS!$A:$A,0),MATCH(AJ$1,RESULTADOS!$1:$1,0))</f>
        <v>#N/A</v>
      </c>
      <c r="AK81" s="279" t="e">
        <f ca="1">INDEX(RESULTADOS!$A:$BA,MATCH($A81,RESULTADOS!$A:$A,0),MATCH(AK$1,RESULTADOS!$1:$1,0))</f>
        <v>#N/A</v>
      </c>
      <c r="AL81" s="13" t="e">
        <f t="shared" ref="AL81:AL110" ca="1" si="95">AK81-AH81</f>
        <v>#N/A</v>
      </c>
      <c r="AM81" s="14" t="e">
        <f t="shared" ref="AM81:AM110" ca="1" si="96">((AJ81*(24-$AJ$3)+AJ80*$AJ$3)/24)+AL81</f>
        <v>#N/A</v>
      </c>
      <c r="AN81" s="52" t="e">
        <f t="shared" ref="AN81:AN110" ca="1" si="97">(((AI79*(96-AI$3))+(AI78*(AI$3-72)))/24)+(((AA81*(24-AA$3))+(AA80*AA$3))/24)+AM81</f>
        <v>#N/A</v>
      </c>
      <c r="AO81" s="279" t="e">
        <f ca="1">INDEX(RESULTADOS!$A:$BA,MATCH($A81,RESULTADOS!$A:$A,0),MATCH(AO$1,RESULTADOS!$1:$1,0))</f>
        <v>#N/A</v>
      </c>
      <c r="AP81" s="52" t="e">
        <f t="shared" ref="AP81:AP110" ca="1" si="98">((AN80*(48-AN$3))+(AN79*(AN$3-24)))/24+AO81</f>
        <v>#N/A</v>
      </c>
    </row>
    <row r="82" spans="1:42" s="272" customFormat="1" x14ac:dyDescent="0.2">
      <c r="A82" s="273">
        <f t="shared" ca="1" si="36"/>
        <v>43881</v>
      </c>
      <c r="B82" s="279" t="e">
        <f ca="1">INDEX(RESULTADOS!$A:$BA,MATCH($A82,RESULTADOS!$A:$A,0),MATCH(B$1,RESULTADOS!$1:$1,0))</f>
        <v>#N/A</v>
      </c>
      <c r="C82" s="52" t="e">
        <f t="shared" ca="1" si="80"/>
        <v>#N/A</v>
      </c>
      <c r="D82" s="52">
        <v>2</v>
      </c>
      <c r="E82" s="52" t="e">
        <f t="shared" ca="1" si="81"/>
        <v>#N/A</v>
      </c>
      <c r="F82" s="279" t="e">
        <f ca="1">INDEX(RESULTADOS!$A:$BA,MATCH($A82,RESULTADOS!$A:$A,0),MATCH(F$1,RESULTADOS!$1:$1,0))</f>
        <v>#N/A</v>
      </c>
      <c r="G82" s="52" t="e">
        <f t="shared" ca="1" si="82"/>
        <v>#N/A</v>
      </c>
      <c r="H82" s="279" t="e">
        <f ca="1">INDEX(RESULTADOS!$A:$BA,MATCH($A82,RESULTADOS!$A:$A,0),MATCH(H$1,RESULTADOS!$1:$1,0))</f>
        <v>#N/A</v>
      </c>
      <c r="I82" s="279" t="e">
        <f ca="1">INDEX(RESULTADOS!$A:$BA,MATCH($A82,RESULTADOS!$A:$A,0),MATCH(I$1,RESULTADOS!$1:$1,0))</f>
        <v>#N/A</v>
      </c>
      <c r="J82" s="279" t="e">
        <f ca="1">INDEX(RESULTADOS!$A:$BA,MATCH($A82,RESULTADOS!$A:$A,0),MATCH(J$1,RESULTADOS!$1:$1,0))</f>
        <v>#N/A</v>
      </c>
      <c r="K82" s="52" t="e">
        <f t="shared" ca="1" si="83"/>
        <v>#N/A</v>
      </c>
      <c r="L82" s="52" t="e">
        <f t="shared" ca="1" si="84"/>
        <v>#N/A</v>
      </c>
      <c r="M82" s="279" t="e">
        <f ca="1">INDEX(RESULTADOS!$A:$BA,MATCH($A82,RESULTADOS!$A:$A,0),MATCH(M$1,RESULTADOS!$1:$1,0))</f>
        <v>#N/A</v>
      </c>
      <c r="N82" s="52" t="e">
        <f t="shared" ca="1" si="71"/>
        <v>#N/A</v>
      </c>
      <c r="O82" s="52" t="e">
        <f t="shared" ca="1" si="85"/>
        <v>#N/A</v>
      </c>
      <c r="P82" s="52" t="e">
        <f t="shared" ca="1" si="72"/>
        <v>#N/A</v>
      </c>
      <c r="Q82" s="52" t="e">
        <f t="shared" ca="1" si="86"/>
        <v>#N/A</v>
      </c>
      <c r="R82" s="52" t="e">
        <f t="shared" ca="1" si="73"/>
        <v>#N/A</v>
      </c>
      <c r="S82" s="52" t="e">
        <f t="shared" ca="1" si="87"/>
        <v>#N/A</v>
      </c>
      <c r="T82" s="52" t="e">
        <f t="shared" ca="1" si="74"/>
        <v>#N/A</v>
      </c>
      <c r="U82" s="52" t="e">
        <f t="shared" ca="1" si="88"/>
        <v>#N/A</v>
      </c>
      <c r="V82" s="52" t="e">
        <f t="shared" ca="1" si="75"/>
        <v>#N/A</v>
      </c>
      <c r="W82" s="52" t="e">
        <f t="shared" ca="1" si="89"/>
        <v>#N/A</v>
      </c>
      <c r="X82" s="11" t="e">
        <f t="shared" ca="1" si="76"/>
        <v>#N/A</v>
      </c>
      <c r="Y82" s="279" t="e">
        <f ca="1">INDEX(RESULTADOS!$A:$BA,MATCH($A82,RESULTADOS!$A:$A,0),MATCH(Y$1,RESULTADOS!$1:$1,0))</f>
        <v>#N/A</v>
      </c>
      <c r="Z82" s="52" t="e">
        <f t="shared" ca="1" si="90"/>
        <v>#N/A</v>
      </c>
      <c r="AA82" s="52" t="e">
        <f t="shared" ca="1" si="91"/>
        <v>#N/A</v>
      </c>
      <c r="AB82" s="11"/>
      <c r="AC82" s="279" t="e">
        <f ca="1">INDEX(RESULTADOS!$A:$BA,MATCH($A82,RESULTADOS!$A:$A,0),MATCH(AC$1,RESULTADOS!$1:$1,0))</f>
        <v>#N/A</v>
      </c>
      <c r="AD82" s="52" t="e">
        <f t="shared" ca="1" si="77"/>
        <v>#N/A</v>
      </c>
      <c r="AE82" s="52" t="e">
        <f t="shared" ca="1" si="92"/>
        <v>#N/A</v>
      </c>
      <c r="AF82" s="52" t="e">
        <f t="shared" ca="1" si="78"/>
        <v>#N/A</v>
      </c>
      <c r="AG82" s="52" t="e">
        <f t="shared" ca="1" si="93"/>
        <v>#N/A</v>
      </c>
      <c r="AH82" s="52" t="e">
        <f t="shared" ca="1" si="79"/>
        <v>#N/A</v>
      </c>
      <c r="AI82" s="52" t="e">
        <f t="shared" ca="1" si="94"/>
        <v>#N/A</v>
      </c>
      <c r="AJ82" s="279" t="e">
        <f ca="1">INDEX(RESULTADOS!$A:$BA,MATCH($A82,RESULTADOS!$A:$A,0),MATCH(AJ$1,RESULTADOS!$1:$1,0))</f>
        <v>#N/A</v>
      </c>
      <c r="AK82" s="279" t="e">
        <f ca="1">INDEX(RESULTADOS!$A:$BA,MATCH($A82,RESULTADOS!$A:$A,0),MATCH(AK$1,RESULTADOS!$1:$1,0))</f>
        <v>#N/A</v>
      </c>
      <c r="AL82" s="13" t="e">
        <f t="shared" ca="1" si="95"/>
        <v>#N/A</v>
      </c>
      <c r="AM82" s="14" t="e">
        <f t="shared" ca="1" si="96"/>
        <v>#N/A</v>
      </c>
      <c r="AN82" s="52" t="e">
        <f t="shared" ca="1" si="97"/>
        <v>#N/A</v>
      </c>
      <c r="AO82" s="279" t="e">
        <f ca="1">INDEX(RESULTADOS!$A:$BA,MATCH($A82,RESULTADOS!$A:$A,0),MATCH(AO$1,RESULTADOS!$1:$1,0))</f>
        <v>#N/A</v>
      </c>
      <c r="AP82" s="52" t="e">
        <f t="shared" ca="1" si="98"/>
        <v>#N/A</v>
      </c>
    </row>
    <row r="83" spans="1:42" s="272" customFormat="1" x14ac:dyDescent="0.2">
      <c r="A83" s="273">
        <f t="shared" ca="1" si="36"/>
        <v>43882</v>
      </c>
      <c r="B83" s="279" t="e">
        <f ca="1">INDEX(RESULTADOS!$A:$BA,MATCH($A83,RESULTADOS!$A:$A,0),MATCH(B$1,RESULTADOS!$1:$1,0))</f>
        <v>#N/A</v>
      </c>
      <c r="C83" s="52" t="e">
        <f t="shared" ca="1" si="80"/>
        <v>#N/A</v>
      </c>
      <c r="D83" s="52">
        <v>3</v>
      </c>
      <c r="E83" s="52" t="e">
        <f t="shared" ca="1" si="81"/>
        <v>#N/A</v>
      </c>
      <c r="F83" s="279" t="e">
        <f ca="1">INDEX(RESULTADOS!$A:$BA,MATCH($A83,RESULTADOS!$A:$A,0),MATCH(F$1,RESULTADOS!$1:$1,0))</f>
        <v>#N/A</v>
      </c>
      <c r="G83" s="52" t="e">
        <f t="shared" ca="1" si="82"/>
        <v>#N/A</v>
      </c>
      <c r="H83" s="279" t="e">
        <f ca="1">INDEX(RESULTADOS!$A:$BA,MATCH($A83,RESULTADOS!$A:$A,0),MATCH(H$1,RESULTADOS!$1:$1,0))</f>
        <v>#N/A</v>
      </c>
      <c r="I83" s="279" t="e">
        <f ca="1">INDEX(RESULTADOS!$A:$BA,MATCH($A83,RESULTADOS!$A:$A,0),MATCH(I$1,RESULTADOS!$1:$1,0))</f>
        <v>#N/A</v>
      </c>
      <c r="J83" s="279" t="e">
        <f ca="1">INDEX(RESULTADOS!$A:$BA,MATCH($A83,RESULTADOS!$A:$A,0),MATCH(J$1,RESULTADOS!$1:$1,0))</f>
        <v>#N/A</v>
      </c>
      <c r="K83" s="52" t="e">
        <f t="shared" ca="1" si="83"/>
        <v>#N/A</v>
      </c>
      <c r="L83" s="52" t="e">
        <f t="shared" ca="1" si="84"/>
        <v>#N/A</v>
      </c>
      <c r="M83" s="279" t="e">
        <f ca="1">INDEX(RESULTADOS!$A:$BA,MATCH($A83,RESULTADOS!$A:$A,0),MATCH(M$1,RESULTADOS!$1:$1,0))</f>
        <v>#N/A</v>
      </c>
      <c r="N83" s="52" t="e">
        <f t="shared" ca="1" si="71"/>
        <v>#N/A</v>
      </c>
      <c r="O83" s="52" t="e">
        <f t="shared" ca="1" si="85"/>
        <v>#N/A</v>
      </c>
      <c r="P83" s="52" t="e">
        <f t="shared" ca="1" si="72"/>
        <v>#N/A</v>
      </c>
      <c r="Q83" s="52" t="e">
        <f t="shared" ca="1" si="86"/>
        <v>#N/A</v>
      </c>
      <c r="R83" s="52" t="e">
        <f t="shared" ca="1" si="73"/>
        <v>#N/A</v>
      </c>
      <c r="S83" s="52" t="e">
        <f t="shared" ca="1" si="87"/>
        <v>#N/A</v>
      </c>
      <c r="T83" s="52" t="e">
        <f t="shared" ca="1" si="74"/>
        <v>#N/A</v>
      </c>
      <c r="U83" s="52" t="e">
        <f t="shared" ca="1" si="88"/>
        <v>#N/A</v>
      </c>
      <c r="V83" s="52" t="e">
        <f t="shared" ca="1" si="75"/>
        <v>#N/A</v>
      </c>
      <c r="W83" s="52" t="e">
        <f t="shared" ca="1" si="89"/>
        <v>#N/A</v>
      </c>
      <c r="X83" s="11" t="e">
        <f t="shared" ca="1" si="76"/>
        <v>#N/A</v>
      </c>
      <c r="Y83" s="279" t="e">
        <f ca="1">INDEX(RESULTADOS!$A:$BA,MATCH($A83,RESULTADOS!$A:$A,0),MATCH(Y$1,RESULTADOS!$1:$1,0))</f>
        <v>#N/A</v>
      </c>
      <c r="Z83" s="52" t="e">
        <f t="shared" ca="1" si="90"/>
        <v>#N/A</v>
      </c>
      <c r="AA83" s="52" t="e">
        <f t="shared" ca="1" si="91"/>
        <v>#N/A</v>
      </c>
      <c r="AB83" s="11"/>
      <c r="AC83" s="279" t="e">
        <f ca="1">INDEX(RESULTADOS!$A:$BA,MATCH($A83,RESULTADOS!$A:$A,0),MATCH(AC$1,RESULTADOS!$1:$1,0))</f>
        <v>#N/A</v>
      </c>
      <c r="AD83" s="52" t="e">
        <f t="shared" ca="1" si="77"/>
        <v>#N/A</v>
      </c>
      <c r="AE83" s="52" t="e">
        <f t="shared" ca="1" si="92"/>
        <v>#N/A</v>
      </c>
      <c r="AF83" s="52" t="e">
        <f t="shared" ca="1" si="78"/>
        <v>#N/A</v>
      </c>
      <c r="AG83" s="52" t="e">
        <f t="shared" ca="1" si="93"/>
        <v>#N/A</v>
      </c>
      <c r="AH83" s="52" t="e">
        <f t="shared" ca="1" si="79"/>
        <v>#N/A</v>
      </c>
      <c r="AI83" s="52" t="e">
        <f t="shared" ca="1" si="94"/>
        <v>#N/A</v>
      </c>
      <c r="AJ83" s="279" t="e">
        <f ca="1">INDEX(RESULTADOS!$A:$BA,MATCH($A83,RESULTADOS!$A:$A,0),MATCH(AJ$1,RESULTADOS!$1:$1,0))</f>
        <v>#N/A</v>
      </c>
      <c r="AK83" s="279" t="e">
        <f ca="1">INDEX(RESULTADOS!$A:$BA,MATCH($A83,RESULTADOS!$A:$A,0),MATCH(AK$1,RESULTADOS!$1:$1,0))</f>
        <v>#N/A</v>
      </c>
      <c r="AL83" s="13" t="e">
        <f t="shared" ca="1" si="95"/>
        <v>#N/A</v>
      </c>
      <c r="AM83" s="14" t="e">
        <f t="shared" ca="1" si="96"/>
        <v>#N/A</v>
      </c>
      <c r="AN83" s="52" t="e">
        <f t="shared" ca="1" si="97"/>
        <v>#N/A</v>
      </c>
      <c r="AO83" s="279" t="e">
        <f ca="1">INDEX(RESULTADOS!$A:$BA,MATCH($A83,RESULTADOS!$A:$A,0),MATCH(AO$1,RESULTADOS!$1:$1,0))</f>
        <v>#N/A</v>
      </c>
      <c r="AP83" s="52" t="e">
        <f t="shared" ca="1" si="98"/>
        <v>#N/A</v>
      </c>
    </row>
    <row r="84" spans="1:42" s="272" customFormat="1" x14ac:dyDescent="0.2">
      <c r="A84" s="273">
        <f t="shared" ca="1" si="36"/>
        <v>43883</v>
      </c>
      <c r="B84" s="279" t="e">
        <f ca="1">INDEX(RESULTADOS!$A:$BA,MATCH($A84,RESULTADOS!$A:$A,0),MATCH(B$1,RESULTADOS!$1:$1,0))</f>
        <v>#N/A</v>
      </c>
      <c r="C84" s="52" t="e">
        <f t="shared" ca="1" si="80"/>
        <v>#N/A</v>
      </c>
      <c r="D84" s="52">
        <v>4</v>
      </c>
      <c r="E84" s="52" t="e">
        <f t="shared" ca="1" si="81"/>
        <v>#N/A</v>
      </c>
      <c r="F84" s="279" t="e">
        <f ca="1">INDEX(RESULTADOS!$A:$BA,MATCH($A84,RESULTADOS!$A:$A,0),MATCH(F$1,RESULTADOS!$1:$1,0))</f>
        <v>#N/A</v>
      </c>
      <c r="G84" s="52" t="e">
        <f t="shared" ca="1" si="82"/>
        <v>#N/A</v>
      </c>
      <c r="H84" s="279" t="e">
        <f ca="1">INDEX(RESULTADOS!$A:$BA,MATCH($A84,RESULTADOS!$A:$A,0),MATCH(H$1,RESULTADOS!$1:$1,0))</f>
        <v>#N/A</v>
      </c>
      <c r="I84" s="279" t="e">
        <f ca="1">INDEX(RESULTADOS!$A:$BA,MATCH($A84,RESULTADOS!$A:$A,0),MATCH(I$1,RESULTADOS!$1:$1,0))</f>
        <v>#N/A</v>
      </c>
      <c r="J84" s="279" t="e">
        <f ca="1">INDEX(RESULTADOS!$A:$BA,MATCH($A84,RESULTADOS!$A:$A,0),MATCH(J$1,RESULTADOS!$1:$1,0))</f>
        <v>#N/A</v>
      </c>
      <c r="K84" s="52" t="e">
        <f t="shared" ca="1" si="83"/>
        <v>#N/A</v>
      </c>
      <c r="L84" s="52" t="e">
        <f t="shared" ca="1" si="84"/>
        <v>#N/A</v>
      </c>
      <c r="M84" s="279" t="e">
        <f ca="1">INDEX(RESULTADOS!$A:$BA,MATCH($A84,RESULTADOS!$A:$A,0),MATCH(M$1,RESULTADOS!$1:$1,0))</f>
        <v>#N/A</v>
      </c>
      <c r="N84" s="52" t="e">
        <f t="shared" ca="1" si="71"/>
        <v>#N/A</v>
      </c>
      <c r="O84" s="52" t="e">
        <f t="shared" ca="1" si="85"/>
        <v>#N/A</v>
      </c>
      <c r="P84" s="52" t="e">
        <f t="shared" ca="1" si="72"/>
        <v>#N/A</v>
      </c>
      <c r="Q84" s="52" t="e">
        <f t="shared" ca="1" si="86"/>
        <v>#N/A</v>
      </c>
      <c r="R84" s="52" t="e">
        <f t="shared" ca="1" si="73"/>
        <v>#N/A</v>
      </c>
      <c r="S84" s="52" t="e">
        <f t="shared" ca="1" si="87"/>
        <v>#N/A</v>
      </c>
      <c r="T84" s="52" t="e">
        <f t="shared" ca="1" si="74"/>
        <v>#N/A</v>
      </c>
      <c r="U84" s="52" t="e">
        <f t="shared" ca="1" si="88"/>
        <v>#N/A</v>
      </c>
      <c r="V84" s="52" t="e">
        <f t="shared" ca="1" si="75"/>
        <v>#N/A</v>
      </c>
      <c r="W84" s="52" t="e">
        <f t="shared" ca="1" si="89"/>
        <v>#N/A</v>
      </c>
      <c r="X84" s="11" t="e">
        <f t="shared" ca="1" si="76"/>
        <v>#N/A</v>
      </c>
      <c r="Y84" s="279" t="e">
        <f ca="1">INDEX(RESULTADOS!$A:$BA,MATCH($A84,RESULTADOS!$A:$A,0),MATCH(Y$1,RESULTADOS!$1:$1,0))</f>
        <v>#N/A</v>
      </c>
      <c r="Z84" s="52" t="e">
        <f t="shared" ca="1" si="90"/>
        <v>#N/A</v>
      </c>
      <c r="AA84" s="52" t="e">
        <f t="shared" ca="1" si="91"/>
        <v>#N/A</v>
      </c>
      <c r="AB84" s="11"/>
      <c r="AC84" s="279" t="e">
        <f ca="1">INDEX(RESULTADOS!$A:$BA,MATCH($A84,RESULTADOS!$A:$A,0),MATCH(AC$1,RESULTADOS!$1:$1,0))</f>
        <v>#N/A</v>
      </c>
      <c r="AD84" s="52" t="e">
        <f t="shared" ca="1" si="77"/>
        <v>#N/A</v>
      </c>
      <c r="AE84" s="52" t="e">
        <f t="shared" ca="1" si="92"/>
        <v>#N/A</v>
      </c>
      <c r="AF84" s="52" t="e">
        <f t="shared" ca="1" si="78"/>
        <v>#N/A</v>
      </c>
      <c r="AG84" s="52" t="e">
        <f t="shared" ca="1" si="93"/>
        <v>#N/A</v>
      </c>
      <c r="AH84" s="52" t="e">
        <f t="shared" ca="1" si="79"/>
        <v>#N/A</v>
      </c>
      <c r="AI84" s="52" t="e">
        <f t="shared" ca="1" si="94"/>
        <v>#N/A</v>
      </c>
      <c r="AJ84" s="279" t="e">
        <f ca="1">INDEX(RESULTADOS!$A:$BA,MATCH($A84,RESULTADOS!$A:$A,0),MATCH(AJ$1,RESULTADOS!$1:$1,0))</f>
        <v>#N/A</v>
      </c>
      <c r="AK84" s="279" t="e">
        <f ca="1">INDEX(RESULTADOS!$A:$BA,MATCH($A84,RESULTADOS!$A:$A,0),MATCH(AK$1,RESULTADOS!$1:$1,0))</f>
        <v>#N/A</v>
      </c>
      <c r="AL84" s="13" t="e">
        <f t="shared" ca="1" si="95"/>
        <v>#N/A</v>
      </c>
      <c r="AM84" s="14" t="e">
        <f t="shared" ca="1" si="96"/>
        <v>#N/A</v>
      </c>
      <c r="AN84" s="52" t="e">
        <f t="shared" ca="1" si="97"/>
        <v>#N/A</v>
      </c>
      <c r="AO84" s="279" t="e">
        <f ca="1">INDEX(RESULTADOS!$A:$BA,MATCH($A84,RESULTADOS!$A:$A,0),MATCH(AO$1,RESULTADOS!$1:$1,0))</f>
        <v>#N/A</v>
      </c>
      <c r="AP84" s="52" t="e">
        <f t="shared" ca="1" si="98"/>
        <v>#N/A</v>
      </c>
    </row>
    <row r="85" spans="1:42" s="272" customFormat="1" x14ac:dyDescent="0.2">
      <c r="A85" s="273">
        <f t="shared" ca="1" si="36"/>
        <v>43884</v>
      </c>
      <c r="B85" s="279" t="e">
        <f ca="1">INDEX(RESULTADOS!$A:$BA,MATCH($A85,RESULTADOS!$A:$A,0),MATCH(B$1,RESULTADOS!$1:$1,0))</f>
        <v>#N/A</v>
      </c>
      <c r="C85" s="52" t="e">
        <f t="shared" ca="1" si="80"/>
        <v>#N/A</v>
      </c>
      <c r="D85" s="52">
        <v>5</v>
      </c>
      <c r="E85" s="52" t="e">
        <f t="shared" ca="1" si="81"/>
        <v>#N/A</v>
      </c>
      <c r="F85" s="279" t="e">
        <f ca="1">INDEX(RESULTADOS!$A:$BA,MATCH($A85,RESULTADOS!$A:$A,0),MATCH(F$1,RESULTADOS!$1:$1,0))</f>
        <v>#N/A</v>
      </c>
      <c r="G85" s="52" t="e">
        <f t="shared" ca="1" si="82"/>
        <v>#N/A</v>
      </c>
      <c r="H85" s="279" t="e">
        <f ca="1">INDEX(RESULTADOS!$A:$BA,MATCH($A85,RESULTADOS!$A:$A,0),MATCH(H$1,RESULTADOS!$1:$1,0))</f>
        <v>#N/A</v>
      </c>
      <c r="I85" s="279" t="e">
        <f ca="1">INDEX(RESULTADOS!$A:$BA,MATCH($A85,RESULTADOS!$A:$A,0),MATCH(I$1,RESULTADOS!$1:$1,0))</f>
        <v>#N/A</v>
      </c>
      <c r="J85" s="279" t="e">
        <f ca="1">INDEX(RESULTADOS!$A:$BA,MATCH($A85,RESULTADOS!$A:$A,0),MATCH(J$1,RESULTADOS!$1:$1,0))</f>
        <v>#N/A</v>
      </c>
      <c r="K85" s="52" t="e">
        <f t="shared" ca="1" si="83"/>
        <v>#N/A</v>
      </c>
      <c r="L85" s="52" t="e">
        <f t="shared" ca="1" si="84"/>
        <v>#N/A</v>
      </c>
      <c r="M85" s="279" t="e">
        <f ca="1">INDEX(RESULTADOS!$A:$BA,MATCH($A85,RESULTADOS!$A:$A,0),MATCH(M$1,RESULTADOS!$1:$1,0))</f>
        <v>#N/A</v>
      </c>
      <c r="N85" s="52" t="e">
        <f t="shared" ca="1" si="71"/>
        <v>#N/A</v>
      </c>
      <c r="O85" s="52" t="e">
        <f t="shared" ca="1" si="85"/>
        <v>#N/A</v>
      </c>
      <c r="P85" s="52" t="e">
        <f t="shared" ca="1" si="72"/>
        <v>#N/A</v>
      </c>
      <c r="Q85" s="52" t="e">
        <f t="shared" ca="1" si="86"/>
        <v>#N/A</v>
      </c>
      <c r="R85" s="52" t="e">
        <f t="shared" ca="1" si="73"/>
        <v>#N/A</v>
      </c>
      <c r="S85" s="52" t="e">
        <f t="shared" ca="1" si="87"/>
        <v>#N/A</v>
      </c>
      <c r="T85" s="52" t="e">
        <f t="shared" ca="1" si="74"/>
        <v>#N/A</v>
      </c>
      <c r="U85" s="52" t="e">
        <f t="shared" ca="1" si="88"/>
        <v>#N/A</v>
      </c>
      <c r="V85" s="52" t="e">
        <f t="shared" ca="1" si="75"/>
        <v>#N/A</v>
      </c>
      <c r="W85" s="52" t="e">
        <f t="shared" ca="1" si="89"/>
        <v>#N/A</v>
      </c>
      <c r="X85" s="11" t="e">
        <f t="shared" ca="1" si="76"/>
        <v>#N/A</v>
      </c>
      <c r="Y85" s="279" t="e">
        <f ca="1">INDEX(RESULTADOS!$A:$BA,MATCH($A85,RESULTADOS!$A:$A,0),MATCH(Y$1,RESULTADOS!$1:$1,0))</f>
        <v>#N/A</v>
      </c>
      <c r="Z85" s="52" t="e">
        <f t="shared" ca="1" si="90"/>
        <v>#N/A</v>
      </c>
      <c r="AA85" s="52" t="e">
        <f t="shared" ca="1" si="91"/>
        <v>#N/A</v>
      </c>
      <c r="AB85" s="11"/>
      <c r="AC85" s="279" t="e">
        <f ca="1">INDEX(RESULTADOS!$A:$BA,MATCH($A85,RESULTADOS!$A:$A,0),MATCH(AC$1,RESULTADOS!$1:$1,0))</f>
        <v>#N/A</v>
      </c>
      <c r="AD85" s="52" t="e">
        <f t="shared" ca="1" si="77"/>
        <v>#N/A</v>
      </c>
      <c r="AE85" s="52" t="e">
        <f t="shared" ca="1" si="92"/>
        <v>#N/A</v>
      </c>
      <c r="AF85" s="52" t="e">
        <f t="shared" ca="1" si="78"/>
        <v>#N/A</v>
      </c>
      <c r="AG85" s="52" t="e">
        <f t="shared" ca="1" si="93"/>
        <v>#N/A</v>
      </c>
      <c r="AH85" s="52" t="e">
        <f t="shared" ca="1" si="79"/>
        <v>#N/A</v>
      </c>
      <c r="AI85" s="52" t="e">
        <f t="shared" ca="1" si="94"/>
        <v>#N/A</v>
      </c>
      <c r="AJ85" s="279" t="e">
        <f ca="1">INDEX(RESULTADOS!$A:$BA,MATCH($A85,RESULTADOS!$A:$A,0),MATCH(AJ$1,RESULTADOS!$1:$1,0))</f>
        <v>#N/A</v>
      </c>
      <c r="AK85" s="279" t="e">
        <f ca="1">INDEX(RESULTADOS!$A:$BA,MATCH($A85,RESULTADOS!$A:$A,0),MATCH(AK$1,RESULTADOS!$1:$1,0))</f>
        <v>#N/A</v>
      </c>
      <c r="AL85" s="13" t="e">
        <f t="shared" ca="1" si="95"/>
        <v>#N/A</v>
      </c>
      <c r="AM85" s="14" t="e">
        <f t="shared" ca="1" si="96"/>
        <v>#N/A</v>
      </c>
      <c r="AN85" s="52" t="e">
        <f t="shared" ca="1" si="97"/>
        <v>#N/A</v>
      </c>
      <c r="AO85" s="279" t="e">
        <f ca="1">INDEX(RESULTADOS!$A:$BA,MATCH($A85,RESULTADOS!$A:$A,0),MATCH(AO$1,RESULTADOS!$1:$1,0))</f>
        <v>#N/A</v>
      </c>
      <c r="AP85" s="52" t="e">
        <f t="shared" ca="1" si="98"/>
        <v>#N/A</v>
      </c>
    </row>
    <row r="86" spans="1:42" s="272" customFormat="1" x14ac:dyDescent="0.2">
      <c r="A86" s="273">
        <f t="shared" ca="1" si="36"/>
        <v>43885</v>
      </c>
      <c r="B86" s="279" t="e">
        <f ca="1">INDEX(RESULTADOS!$A:$BA,MATCH($A86,RESULTADOS!$A:$A,0),MATCH(B$1,RESULTADOS!$1:$1,0))</f>
        <v>#N/A</v>
      </c>
      <c r="C86" s="52" t="e">
        <f t="shared" ca="1" si="80"/>
        <v>#N/A</v>
      </c>
      <c r="D86" s="52">
        <v>6</v>
      </c>
      <c r="E86" s="52" t="e">
        <f t="shared" ca="1" si="81"/>
        <v>#N/A</v>
      </c>
      <c r="F86" s="279" t="e">
        <f ca="1">INDEX(RESULTADOS!$A:$BA,MATCH($A86,RESULTADOS!$A:$A,0),MATCH(F$1,RESULTADOS!$1:$1,0))</f>
        <v>#N/A</v>
      </c>
      <c r="G86" s="52" t="e">
        <f t="shared" ca="1" si="82"/>
        <v>#N/A</v>
      </c>
      <c r="H86" s="279" t="e">
        <f ca="1">INDEX(RESULTADOS!$A:$BA,MATCH($A86,RESULTADOS!$A:$A,0),MATCH(H$1,RESULTADOS!$1:$1,0))</f>
        <v>#N/A</v>
      </c>
      <c r="I86" s="279" t="e">
        <f ca="1">INDEX(RESULTADOS!$A:$BA,MATCH($A86,RESULTADOS!$A:$A,0),MATCH(I$1,RESULTADOS!$1:$1,0))</f>
        <v>#N/A</v>
      </c>
      <c r="J86" s="279" t="e">
        <f ca="1">INDEX(RESULTADOS!$A:$BA,MATCH($A86,RESULTADOS!$A:$A,0),MATCH(J$1,RESULTADOS!$1:$1,0))</f>
        <v>#N/A</v>
      </c>
      <c r="K86" s="52" t="e">
        <f t="shared" ca="1" si="83"/>
        <v>#N/A</v>
      </c>
      <c r="L86" s="52" t="e">
        <f t="shared" ca="1" si="84"/>
        <v>#N/A</v>
      </c>
      <c r="M86" s="279" t="e">
        <f ca="1">INDEX(RESULTADOS!$A:$BA,MATCH($A86,RESULTADOS!$A:$A,0),MATCH(M$1,RESULTADOS!$1:$1,0))</f>
        <v>#N/A</v>
      </c>
      <c r="N86" s="52" t="e">
        <f t="shared" ca="1" si="71"/>
        <v>#N/A</v>
      </c>
      <c r="O86" s="52" t="e">
        <f t="shared" ca="1" si="85"/>
        <v>#N/A</v>
      </c>
      <c r="P86" s="52" t="e">
        <f t="shared" ca="1" si="72"/>
        <v>#N/A</v>
      </c>
      <c r="Q86" s="52" t="e">
        <f t="shared" ca="1" si="86"/>
        <v>#N/A</v>
      </c>
      <c r="R86" s="52" t="e">
        <f t="shared" ca="1" si="73"/>
        <v>#N/A</v>
      </c>
      <c r="S86" s="52" t="e">
        <f t="shared" ca="1" si="87"/>
        <v>#N/A</v>
      </c>
      <c r="T86" s="52" t="e">
        <f t="shared" ca="1" si="74"/>
        <v>#N/A</v>
      </c>
      <c r="U86" s="52" t="e">
        <f t="shared" ca="1" si="88"/>
        <v>#N/A</v>
      </c>
      <c r="V86" s="52" t="e">
        <f t="shared" ca="1" si="75"/>
        <v>#N/A</v>
      </c>
      <c r="W86" s="52" t="e">
        <f t="shared" ca="1" si="89"/>
        <v>#N/A</v>
      </c>
      <c r="X86" s="11" t="e">
        <f t="shared" ca="1" si="76"/>
        <v>#N/A</v>
      </c>
      <c r="Y86" s="279" t="e">
        <f ca="1">INDEX(RESULTADOS!$A:$BA,MATCH($A86,RESULTADOS!$A:$A,0),MATCH(Y$1,RESULTADOS!$1:$1,0))</f>
        <v>#N/A</v>
      </c>
      <c r="Z86" s="52" t="e">
        <f t="shared" ca="1" si="90"/>
        <v>#N/A</v>
      </c>
      <c r="AA86" s="52" t="e">
        <f t="shared" ca="1" si="91"/>
        <v>#N/A</v>
      </c>
      <c r="AB86" s="11"/>
      <c r="AC86" s="279" t="e">
        <f ca="1">INDEX(RESULTADOS!$A:$BA,MATCH($A86,RESULTADOS!$A:$A,0),MATCH(AC$1,RESULTADOS!$1:$1,0))</f>
        <v>#N/A</v>
      </c>
      <c r="AD86" s="52" t="e">
        <f t="shared" ca="1" si="77"/>
        <v>#N/A</v>
      </c>
      <c r="AE86" s="52" t="e">
        <f t="shared" ca="1" si="92"/>
        <v>#N/A</v>
      </c>
      <c r="AF86" s="52" t="e">
        <f t="shared" ca="1" si="78"/>
        <v>#N/A</v>
      </c>
      <c r="AG86" s="52" t="e">
        <f t="shared" ca="1" si="93"/>
        <v>#N/A</v>
      </c>
      <c r="AH86" s="52" t="e">
        <f t="shared" ca="1" si="79"/>
        <v>#N/A</v>
      </c>
      <c r="AI86" s="52" t="e">
        <f t="shared" ca="1" si="94"/>
        <v>#N/A</v>
      </c>
      <c r="AJ86" s="279" t="e">
        <f ca="1">INDEX(RESULTADOS!$A:$BA,MATCH($A86,RESULTADOS!$A:$A,0),MATCH(AJ$1,RESULTADOS!$1:$1,0))</f>
        <v>#N/A</v>
      </c>
      <c r="AK86" s="279" t="e">
        <f ca="1">INDEX(RESULTADOS!$A:$BA,MATCH($A86,RESULTADOS!$A:$A,0),MATCH(AK$1,RESULTADOS!$1:$1,0))</f>
        <v>#N/A</v>
      </c>
      <c r="AL86" s="13" t="e">
        <f t="shared" ca="1" si="95"/>
        <v>#N/A</v>
      </c>
      <c r="AM86" s="14" t="e">
        <f t="shared" ca="1" si="96"/>
        <v>#N/A</v>
      </c>
      <c r="AN86" s="52" t="e">
        <f t="shared" ca="1" si="97"/>
        <v>#N/A</v>
      </c>
      <c r="AO86" s="279" t="e">
        <f ca="1">INDEX(RESULTADOS!$A:$BA,MATCH($A86,RESULTADOS!$A:$A,0),MATCH(AO$1,RESULTADOS!$1:$1,0))</f>
        <v>#N/A</v>
      </c>
      <c r="AP86" s="52" t="e">
        <f t="shared" ca="1" si="98"/>
        <v>#N/A</v>
      </c>
    </row>
    <row r="87" spans="1:42" s="272" customFormat="1" x14ac:dyDescent="0.2">
      <c r="A87" s="273">
        <f t="shared" ca="1" si="36"/>
        <v>43886</v>
      </c>
      <c r="B87" s="279" t="e">
        <f ca="1">INDEX(RESULTADOS!$A:$BA,MATCH($A87,RESULTADOS!$A:$A,0),MATCH(B$1,RESULTADOS!$1:$1,0))</f>
        <v>#N/A</v>
      </c>
      <c r="C87" s="52" t="e">
        <f t="shared" ca="1" si="80"/>
        <v>#N/A</v>
      </c>
      <c r="D87" s="52">
        <v>7</v>
      </c>
      <c r="E87" s="52" t="e">
        <f t="shared" ca="1" si="81"/>
        <v>#N/A</v>
      </c>
      <c r="F87" s="279" t="e">
        <f ca="1">INDEX(RESULTADOS!$A:$BA,MATCH($A87,RESULTADOS!$A:$A,0),MATCH(F$1,RESULTADOS!$1:$1,0))</f>
        <v>#N/A</v>
      </c>
      <c r="G87" s="52" t="e">
        <f t="shared" ca="1" si="82"/>
        <v>#N/A</v>
      </c>
      <c r="H87" s="279" t="e">
        <f ca="1">INDEX(RESULTADOS!$A:$BA,MATCH($A87,RESULTADOS!$A:$A,0),MATCH(H$1,RESULTADOS!$1:$1,0))</f>
        <v>#N/A</v>
      </c>
      <c r="I87" s="279" t="e">
        <f ca="1">INDEX(RESULTADOS!$A:$BA,MATCH($A87,RESULTADOS!$A:$A,0),MATCH(I$1,RESULTADOS!$1:$1,0))</f>
        <v>#N/A</v>
      </c>
      <c r="J87" s="279" t="e">
        <f ca="1">INDEX(RESULTADOS!$A:$BA,MATCH($A87,RESULTADOS!$A:$A,0),MATCH(J$1,RESULTADOS!$1:$1,0))</f>
        <v>#N/A</v>
      </c>
      <c r="K87" s="52" t="e">
        <f t="shared" ca="1" si="83"/>
        <v>#N/A</v>
      </c>
      <c r="L87" s="52" t="e">
        <f t="shared" ca="1" si="84"/>
        <v>#N/A</v>
      </c>
      <c r="M87" s="279" t="e">
        <f ca="1">INDEX(RESULTADOS!$A:$BA,MATCH($A87,RESULTADOS!$A:$A,0),MATCH(M$1,RESULTADOS!$1:$1,0))</f>
        <v>#N/A</v>
      </c>
      <c r="N87" s="52" t="e">
        <f t="shared" ca="1" si="71"/>
        <v>#N/A</v>
      </c>
      <c r="O87" s="52" t="e">
        <f t="shared" ca="1" si="85"/>
        <v>#N/A</v>
      </c>
      <c r="P87" s="52" t="e">
        <f t="shared" ca="1" si="72"/>
        <v>#N/A</v>
      </c>
      <c r="Q87" s="52" t="e">
        <f t="shared" ca="1" si="86"/>
        <v>#N/A</v>
      </c>
      <c r="R87" s="52" t="e">
        <f t="shared" ca="1" si="73"/>
        <v>#N/A</v>
      </c>
      <c r="S87" s="52" t="e">
        <f t="shared" ca="1" si="87"/>
        <v>#N/A</v>
      </c>
      <c r="T87" s="52" t="e">
        <f t="shared" ca="1" si="74"/>
        <v>#N/A</v>
      </c>
      <c r="U87" s="52" t="e">
        <f t="shared" ca="1" si="88"/>
        <v>#N/A</v>
      </c>
      <c r="V87" s="52" t="e">
        <f t="shared" ca="1" si="75"/>
        <v>#N/A</v>
      </c>
      <c r="W87" s="52" t="e">
        <f t="shared" ca="1" si="89"/>
        <v>#N/A</v>
      </c>
      <c r="X87" s="11" t="e">
        <f t="shared" ca="1" si="76"/>
        <v>#N/A</v>
      </c>
      <c r="Y87" s="279" t="e">
        <f ca="1">INDEX(RESULTADOS!$A:$BA,MATCH($A87,RESULTADOS!$A:$A,0),MATCH(Y$1,RESULTADOS!$1:$1,0))</f>
        <v>#N/A</v>
      </c>
      <c r="Z87" s="52" t="e">
        <f t="shared" ca="1" si="90"/>
        <v>#N/A</v>
      </c>
      <c r="AA87" s="52" t="e">
        <f t="shared" ca="1" si="91"/>
        <v>#N/A</v>
      </c>
      <c r="AB87" s="11"/>
      <c r="AC87" s="279" t="e">
        <f ca="1">INDEX(RESULTADOS!$A:$BA,MATCH($A87,RESULTADOS!$A:$A,0),MATCH(AC$1,RESULTADOS!$1:$1,0))</f>
        <v>#N/A</v>
      </c>
      <c r="AD87" s="52" t="e">
        <f t="shared" ca="1" si="77"/>
        <v>#N/A</v>
      </c>
      <c r="AE87" s="52" t="e">
        <f t="shared" ca="1" si="92"/>
        <v>#N/A</v>
      </c>
      <c r="AF87" s="52" t="e">
        <f t="shared" ca="1" si="78"/>
        <v>#N/A</v>
      </c>
      <c r="AG87" s="52" t="e">
        <f t="shared" ca="1" si="93"/>
        <v>#N/A</v>
      </c>
      <c r="AH87" s="52" t="e">
        <f t="shared" ca="1" si="79"/>
        <v>#N/A</v>
      </c>
      <c r="AI87" s="52" t="e">
        <f t="shared" ca="1" si="94"/>
        <v>#N/A</v>
      </c>
      <c r="AJ87" s="279" t="e">
        <f ca="1">INDEX(RESULTADOS!$A:$BA,MATCH($A87,RESULTADOS!$A:$A,0),MATCH(AJ$1,RESULTADOS!$1:$1,0))</f>
        <v>#N/A</v>
      </c>
      <c r="AK87" s="279" t="e">
        <f ca="1">INDEX(RESULTADOS!$A:$BA,MATCH($A87,RESULTADOS!$A:$A,0),MATCH(AK$1,RESULTADOS!$1:$1,0))</f>
        <v>#N/A</v>
      </c>
      <c r="AL87" s="13" t="e">
        <f t="shared" ca="1" si="95"/>
        <v>#N/A</v>
      </c>
      <c r="AM87" s="14" t="e">
        <f t="shared" ca="1" si="96"/>
        <v>#N/A</v>
      </c>
      <c r="AN87" s="52" t="e">
        <f t="shared" ca="1" si="97"/>
        <v>#N/A</v>
      </c>
      <c r="AO87" s="279" t="e">
        <f ca="1">INDEX(RESULTADOS!$A:$BA,MATCH($A87,RESULTADOS!$A:$A,0),MATCH(AO$1,RESULTADOS!$1:$1,0))</f>
        <v>#N/A</v>
      </c>
      <c r="AP87" s="52" t="e">
        <f t="shared" ca="1" si="98"/>
        <v>#N/A</v>
      </c>
    </row>
    <row r="88" spans="1:42" s="272" customFormat="1" x14ac:dyDescent="0.2">
      <c r="A88" s="273">
        <f t="shared" ca="1" si="36"/>
        <v>43887</v>
      </c>
      <c r="B88" s="279" t="e">
        <f ca="1">INDEX(RESULTADOS!$A:$BA,MATCH($A88,RESULTADOS!$A:$A,0),MATCH(B$1,RESULTADOS!$1:$1,0))</f>
        <v>#N/A</v>
      </c>
      <c r="C88" s="52" t="e">
        <f t="shared" ca="1" si="80"/>
        <v>#N/A</v>
      </c>
      <c r="D88" s="52">
        <v>8</v>
      </c>
      <c r="E88" s="52" t="e">
        <f t="shared" ca="1" si="81"/>
        <v>#N/A</v>
      </c>
      <c r="F88" s="279" t="e">
        <f ca="1">INDEX(RESULTADOS!$A:$BA,MATCH($A88,RESULTADOS!$A:$A,0),MATCH(F$1,RESULTADOS!$1:$1,0))</f>
        <v>#N/A</v>
      </c>
      <c r="G88" s="52" t="e">
        <f t="shared" ca="1" si="82"/>
        <v>#N/A</v>
      </c>
      <c r="H88" s="279" t="e">
        <f ca="1">INDEX(RESULTADOS!$A:$BA,MATCH($A88,RESULTADOS!$A:$A,0),MATCH(H$1,RESULTADOS!$1:$1,0))</f>
        <v>#N/A</v>
      </c>
      <c r="I88" s="279" t="e">
        <f ca="1">INDEX(RESULTADOS!$A:$BA,MATCH($A88,RESULTADOS!$A:$A,0),MATCH(I$1,RESULTADOS!$1:$1,0))</f>
        <v>#N/A</v>
      </c>
      <c r="J88" s="279" t="e">
        <f ca="1">INDEX(RESULTADOS!$A:$BA,MATCH($A88,RESULTADOS!$A:$A,0),MATCH(J$1,RESULTADOS!$1:$1,0))</f>
        <v>#N/A</v>
      </c>
      <c r="K88" s="52" t="e">
        <f t="shared" ca="1" si="83"/>
        <v>#N/A</v>
      </c>
      <c r="L88" s="52" t="e">
        <f t="shared" ca="1" si="84"/>
        <v>#N/A</v>
      </c>
      <c r="M88" s="279" t="e">
        <f ca="1">INDEX(RESULTADOS!$A:$BA,MATCH($A88,RESULTADOS!$A:$A,0),MATCH(M$1,RESULTADOS!$1:$1,0))</f>
        <v>#N/A</v>
      </c>
      <c r="N88" s="52" t="e">
        <f t="shared" ca="1" si="71"/>
        <v>#N/A</v>
      </c>
      <c r="O88" s="52" t="e">
        <f t="shared" ca="1" si="85"/>
        <v>#N/A</v>
      </c>
      <c r="P88" s="52" t="e">
        <f t="shared" ca="1" si="72"/>
        <v>#N/A</v>
      </c>
      <c r="Q88" s="52" t="e">
        <f t="shared" ca="1" si="86"/>
        <v>#N/A</v>
      </c>
      <c r="R88" s="52" t="e">
        <f t="shared" ca="1" si="73"/>
        <v>#N/A</v>
      </c>
      <c r="S88" s="52" t="e">
        <f t="shared" ca="1" si="87"/>
        <v>#N/A</v>
      </c>
      <c r="T88" s="52" t="e">
        <f t="shared" ca="1" si="74"/>
        <v>#N/A</v>
      </c>
      <c r="U88" s="52" t="e">
        <f t="shared" ca="1" si="88"/>
        <v>#N/A</v>
      </c>
      <c r="V88" s="52" t="e">
        <f t="shared" ca="1" si="75"/>
        <v>#N/A</v>
      </c>
      <c r="W88" s="52" t="e">
        <f t="shared" ca="1" si="89"/>
        <v>#N/A</v>
      </c>
      <c r="X88" s="11" t="e">
        <f t="shared" ca="1" si="76"/>
        <v>#N/A</v>
      </c>
      <c r="Y88" s="279" t="e">
        <f ca="1">INDEX(RESULTADOS!$A:$BA,MATCH($A88,RESULTADOS!$A:$A,0),MATCH(Y$1,RESULTADOS!$1:$1,0))</f>
        <v>#N/A</v>
      </c>
      <c r="Z88" s="52" t="e">
        <f t="shared" ca="1" si="90"/>
        <v>#N/A</v>
      </c>
      <c r="AA88" s="52" t="e">
        <f t="shared" ca="1" si="91"/>
        <v>#N/A</v>
      </c>
      <c r="AB88" s="11"/>
      <c r="AC88" s="279" t="e">
        <f ca="1">INDEX(RESULTADOS!$A:$BA,MATCH($A88,RESULTADOS!$A:$A,0),MATCH(AC$1,RESULTADOS!$1:$1,0))</f>
        <v>#N/A</v>
      </c>
      <c r="AD88" s="52" t="e">
        <f t="shared" ca="1" si="77"/>
        <v>#N/A</v>
      </c>
      <c r="AE88" s="52" t="e">
        <f t="shared" ca="1" si="92"/>
        <v>#N/A</v>
      </c>
      <c r="AF88" s="52" t="e">
        <f t="shared" ca="1" si="78"/>
        <v>#N/A</v>
      </c>
      <c r="AG88" s="52" t="e">
        <f t="shared" ca="1" si="93"/>
        <v>#N/A</v>
      </c>
      <c r="AH88" s="52" t="e">
        <f t="shared" ca="1" si="79"/>
        <v>#N/A</v>
      </c>
      <c r="AI88" s="52" t="e">
        <f t="shared" ca="1" si="94"/>
        <v>#N/A</v>
      </c>
      <c r="AJ88" s="279" t="e">
        <f ca="1">INDEX(RESULTADOS!$A:$BA,MATCH($A88,RESULTADOS!$A:$A,0),MATCH(AJ$1,RESULTADOS!$1:$1,0))</f>
        <v>#N/A</v>
      </c>
      <c r="AK88" s="279" t="e">
        <f ca="1">INDEX(RESULTADOS!$A:$BA,MATCH($A88,RESULTADOS!$A:$A,0),MATCH(AK$1,RESULTADOS!$1:$1,0))</f>
        <v>#N/A</v>
      </c>
      <c r="AL88" s="13" t="e">
        <f t="shared" ca="1" si="95"/>
        <v>#N/A</v>
      </c>
      <c r="AM88" s="14" t="e">
        <f t="shared" ca="1" si="96"/>
        <v>#N/A</v>
      </c>
      <c r="AN88" s="52" t="e">
        <f t="shared" ca="1" si="97"/>
        <v>#N/A</v>
      </c>
      <c r="AO88" s="279" t="e">
        <f ca="1">INDEX(RESULTADOS!$A:$BA,MATCH($A88,RESULTADOS!$A:$A,0),MATCH(AO$1,RESULTADOS!$1:$1,0))</f>
        <v>#N/A</v>
      </c>
      <c r="AP88" s="52" t="e">
        <f t="shared" ca="1" si="98"/>
        <v>#N/A</v>
      </c>
    </row>
    <row r="89" spans="1:42" s="272" customFormat="1" x14ac:dyDescent="0.2">
      <c r="A89" s="273">
        <f t="shared" ca="1" si="36"/>
        <v>43888</v>
      </c>
      <c r="B89" s="279" t="e">
        <f ca="1">INDEX(RESULTADOS!$A:$BA,MATCH($A89,RESULTADOS!$A:$A,0),MATCH(B$1,RESULTADOS!$1:$1,0))</f>
        <v>#N/A</v>
      </c>
      <c r="C89" s="52" t="e">
        <f t="shared" ca="1" si="80"/>
        <v>#N/A</v>
      </c>
      <c r="D89" s="52">
        <v>9</v>
      </c>
      <c r="E89" s="52" t="e">
        <f t="shared" ca="1" si="81"/>
        <v>#N/A</v>
      </c>
      <c r="F89" s="279" t="e">
        <f ca="1">INDEX(RESULTADOS!$A:$BA,MATCH($A89,RESULTADOS!$A:$A,0),MATCH(F$1,RESULTADOS!$1:$1,0))</f>
        <v>#N/A</v>
      </c>
      <c r="G89" s="52" t="e">
        <f t="shared" ca="1" si="82"/>
        <v>#N/A</v>
      </c>
      <c r="H89" s="279" t="e">
        <f ca="1">INDEX(RESULTADOS!$A:$BA,MATCH($A89,RESULTADOS!$A:$A,0),MATCH(H$1,RESULTADOS!$1:$1,0))</f>
        <v>#N/A</v>
      </c>
      <c r="I89" s="279" t="e">
        <f ca="1">INDEX(RESULTADOS!$A:$BA,MATCH($A89,RESULTADOS!$A:$A,0),MATCH(I$1,RESULTADOS!$1:$1,0))</f>
        <v>#N/A</v>
      </c>
      <c r="J89" s="279" t="e">
        <f ca="1">INDEX(RESULTADOS!$A:$BA,MATCH($A89,RESULTADOS!$A:$A,0),MATCH(J$1,RESULTADOS!$1:$1,0))</f>
        <v>#N/A</v>
      </c>
      <c r="K89" s="52" t="e">
        <f t="shared" ca="1" si="83"/>
        <v>#N/A</v>
      </c>
      <c r="L89" s="52" t="e">
        <f t="shared" ca="1" si="84"/>
        <v>#N/A</v>
      </c>
      <c r="M89" s="279" t="e">
        <f ca="1">INDEX(RESULTADOS!$A:$BA,MATCH($A89,RESULTADOS!$A:$A,0),MATCH(M$1,RESULTADOS!$1:$1,0))</f>
        <v>#N/A</v>
      </c>
      <c r="N89" s="52" t="e">
        <f t="shared" ca="1" si="71"/>
        <v>#N/A</v>
      </c>
      <c r="O89" s="52" t="e">
        <f t="shared" ca="1" si="85"/>
        <v>#N/A</v>
      </c>
      <c r="P89" s="52" t="e">
        <f t="shared" ca="1" si="72"/>
        <v>#N/A</v>
      </c>
      <c r="Q89" s="52" t="e">
        <f t="shared" ca="1" si="86"/>
        <v>#N/A</v>
      </c>
      <c r="R89" s="52" t="e">
        <f t="shared" ca="1" si="73"/>
        <v>#N/A</v>
      </c>
      <c r="S89" s="52" t="e">
        <f t="shared" ca="1" si="87"/>
        <v>#N/A</v>
      </c>
      <c r="T89" s="52" t="e">
        <f t="shared" ca="1" si="74"/>
        <v>#N/A</v>
      </c>
      <c r="U89" s="52" t="e">
        <f t="shared" ca="1" si="88"/>
        <v>#N/A</v>
      </c>
      <c r="V89" s="52" t="e">
        <f t="shared" ca="1" si="75"/>
        <v>#N/A</v>
      </c>
      <c r="W89" s="52" t="e">
        <f t="shared" ca="1" si="89"/>
        <v>#N/A</v>
      </c>
      <c r="X89" s="11" t="e">
        <f t="shared" ca="1" si="76"/>
        <v>#N/A</v>
      </c>
      <c r="Y89" s="279" t="e">
        <f ca="1">INDEX(RESULTADOS!$A:$BA,MATCH($A89,RESULTADOS!$A:$A,0),MATCH(Y$1,RESULTADOS!$1:$1,0))</f>
        <v>#N/A</v>
      </c>
      <c r="Z89" s="52" t="e">
        <f t="shared" ca="1" si="90"/>
        <v>#N/A</v>
      </c>
      <c r="AA89" s="52" t="e">
        <f t="shared" ca="1" si="91"/>
        <v>#N/A</v>
      </c>
      <c r="AB89" s="11"/>
      <c r="AC89" s="279" t="e">
        <f ca="1">INDEX(RESULTADOS!$A:$BA,MATCH($A89,RESULTADOS!$A:$A,0),MATCH(AC$1,RESULTADOS!$1:$1,0))</f>
        <v>#N/A</v>
      </c>
      <c r="AD89" s="52" t="e">
        <f t="shared" ca="1" si="77"/>
        <v>#N/A</v>
      </c>
      <c r="AE89" s="52" t="e">
        <f t="shared" ca="1" si="92"/>
        <v>#N/A</v>
      </c>
      <c r="AF89" s="52" t="e">
        <f t="shared" ca="1" si="78"/>
        <v>#N/A</v>
      </c>
      <c r="AG89" s="52" t="e">
        <f t="shared" ca="1" si="93"/>
        <v>#N/A</v>
      </c>
      <c r="AH89" s="52" t="e">
        <f t="shared" ca="1" si="79"/>
        <v>#N/A</v>
      </c>
      <c r="AI89" s="52" t="e">
        <f t="shared" ca="1" si="94"/>
        <v>#N/A</v>
      </c>
      <c r="AJ89" s="279" t="e">
        <f ca="1">INDEX(RESULTADOS!$A:$BA,MATCH($A89,RESULTADOS!$A:$A,0),MATCH(AJ$1,RESULTADOS!$1:$1,0))</f>
        <v>#N/A</v>
      </c>
      <c r="AK89" s="279" t="e">
        <f ca="1">INDEX(RESULTADOS!$A:$BA,MATCH($A89,RESULTADOS!$A:$A,0),MATCH(AK$1,RESULTADOS!$1:$1,0))</f>
        <v>#N/A</v>
      </c>
      <c r="AL89" s="13" t="e">
        <f t="shared" ca="1" si="95"/>
        <v>#N/A</v>
      </c>
      <c r="AM89" s="14" t="e">
        <f t="shared" ca="1" si="96"/>
        <v>#N/A</v>
      </c>
      <c r="AN89" s="52" t="e">
        <f t="shared" ca="1" si="97"/>
        <v>#N/A</v>
      </c>
      <c r="AO89" s="279" t="e">
        <f ca="1">INDEX(RESULTADOS!$A:$BA,MATCH($A89,RESULTADOS!$A:$A,0),MATCH(AO$1,RESULTADOS!$1:$1,0))</f>
        <v>#N/A</v>
      </c>
      <c r="AP89" s="52" t="e">
        <f t="shared" ca="1" si="98"/>
        <v>#N/A</v>
      </c>
    </row>
    <row r="90" spans="1:42" s="272" customFormat="1" x14ac:dyDescent="0.2">
      <c r="A90" s="273">
        <f t="shared" ca="1" si="36"/>
        <v>43889</v>
      </c>
      <c r="B90" s="279" t="e">
        <f ca="1">INDEX(RESULTADOS!$A:$BA,MATCH($A90,RESULTADOS!$A:$A,0),MATCH(B$1,RESULTADOS!$1:$1,0))</f>
        <v>#N/A</v>
      </c>
      <c r="C90" s="52" t="e">
        <f t="shared" ca="1" si="80"/>
        <v>#N/A</v>
      </c>
      <c r="D90" s="52">
        <v>10</v>
      </c>
      <c r="E90" s="52" t="e">
        <f t="shared" ca="1" si="81"/>
        <v>#N/A</v>
      </c>
      <c r="F90" s="279" t="e">
        <f ca="1">INDEX(RESULTADOS!$A:$BA,MATCH($A90,RESULTADOS!$A:$A,0),MATCH(F$1,RESULTADOS!$1:$1,0))</f>
        <v>#N/A</v>
      </c>
      <c r="G90" s="52" t="e">
        <f t="shared" ca="1" si="82"/>
        <v>#N/A</v>
      </c>
      <c r="H90" s="279" t="e">
        <f ca="1">INDEX(RESULTADOS!$A:$BA,MATCH($A90,RESULTADOS!$A:$A,0),MATCH(H$1,RESULTADOS!$1:$1,0))</f>
        <v>#N/A</v>
      </c>
      <c r="I90" s="279" t="e">
        <f ca="1">INDEX(RESULTADOS!$A:$BA,MATCH($A90,RESULTADOS!$A:$A,0),MATCH(I$1,RESULTADOS!$1:$1,0))</f>
        <v>#N/A</v>
      </c>
      <c r="J90" s="279" t="e">
        <f ca="1">INDEX(RESULTADOS!$A:$BA,MATCH($A90,RESULTADOS!$A:$A,0),MATCH(J$1,RESULTADOS!$1:$1,0))</f>
        <v>#N/A</v>
      </c>
      <c r="K90" s="52" t="e">
        <f t="shared" ca="1" si="83"/>
        <v>#N/A</v>
      </c>
      <c r="L90" s="52" t="e">
        <f t="shared" ca="1" si="84"/>
        <v>#N/A</v>
      </c>
      <c r="M90" s="279" t="e">
        <f ca="1">INDEX(RESULTADOS!$A:$BA,MATCH($A90,RESULTADOS!$A:$A,0),MATCH(M$1,RESULTADOS!$1:$1,0))</f>
        <v>#N/A</v>
      </c>
      <c r="N90" s="52" t="e">
        <f t="shared" ca="1" si="71"/>
        <v>#N/A</v>
      </c>
      <c r="O90" s="52" t="e">
        <f t="shared" ca="1" si="85"/>
        <v>#N/A</v>
      </c>
      <c r="P90" s="52" t="e">
        <f t="shared" ca="1" si="72"/>
        <v>#N/A</v>
      </c>
      <c r="Q90" s="52" t="e">
        <f t="shared" ca="1" si="86"/>
        <v>#N/A</v>
      </c>
      <c r="R90" s="52" t="e">
        <f t="shared" ca="1" si="73"/>
        <v>#N/A</v>
      </c>
      <c r="S90" s="52" t="e">
        <f t="shared" ca="1" si="87"/>
        <v>#N/A</v>
      </c>
      <c r="T90" s="52" t="e">
        <f t="shared" ca="1" si="74"/>
        <v>#N/A</v>
      </c>
      <c r="U90" s="52" t="e">
        <f t="shared" ca="1" si="88"/>
        <v>#N/A</v>
      </c>
      <c r="V90" s="52" t="e">
        <f t="shared" ca="1" si="75"/>
        <v>#N/A</v>
      </c>
      <c r="W90" s="52" t="e">
        <f t="shared" ca="1" si="89"/>
        <v>#N/A</v>
      </c>
      <c r="X90" s="11" t="e">
        <f t="shared" ca="1" si="76"/>
        <v>#N/A</v>
      </c>
      <c r="Y90" s="279" t="e">
        <f ca="1">INDEX(RESULTADOS!$A:$BA,MATCH($A90,RESULTADOS!$A:$A,0),MATCH(Y$1,RESULTADOS!$1:$1,0))</f>
        <v>#N/A</v>
      </c>
      <c r="Z90" s="52" t="e">
        <f t="shared" ca="1" si="90"/>
        <v>#N/A</v>
      </c>
      <c r="AA90" s="52" t="e">
        <f t="shared" ca="1" si="91"/>
        <v>#N/A</v>
      </c>
      <c r="AB90" s="11"/>
      <c r="AC90" s="279" t="e">
        <f ca="1">INDEX(RESULTADOS!$A:$BA,MATCH($A90,RESULTADOS!$A:$A,0),MATCH(AC$1,RESULTADOS!$1:$1,0))</f>
        <v>#N/A</v>
      </c>
      <c r="AD90" s="52" t="e">
        <f t="shared" ca="1" si="77"/>
        <v>#N/A</v>
      </c>
      <c r="AE90" s="52" t="e">
        <f t="shared" ca="1" si="92"/>
        <v>#N/A</v>
      </c>
      <c r="AF90" s="52" t="e">
        <f t="shared" ca="1" si="78"/>
        <v>#N/A</v>
      </c>
      <c r="AG90" s="52" t="e">
        <f t="shared" ca="1" si="93"/>
        <v>#N/A</v>
      </c>
      <c r="AH90" s="52" t="e">
        <f t="shared" ca="1" si="79"/>
        <v>#N/A</v>
      </c>
      <c r="AI90" s="52" t="e">
        <f t="shared" ca="1" si="94"/>
        <v>#N/A</v>
      </c>
      <c r="AJ90" s="279" t="e">
        <f ca="1">INDEX(RESULTADOS!$A:$BA,MATCH($A90,RESULTADOS!$A:$A,0),MATCH(AJ$1,RESULTADOS!$1:$1,0))</f>
        <v>#N/A</v>
      </c>
      <c r="AK90" s="279" t="e">
        <f ca="1">INDEX(RESULTADOS!$A:$BA,MATCH($A90,RESULTADOS!$A:$A,0),MATCH(AK$1,RESULTADOS!$1:$1,0))</f>
        <v>#N/A</v>
      </c>
      <c r="AL90" s="13" t="e">
        <f t="shared" ca="1" si="95"/>
        <v>#N/A</v>
      </c>
      <c r="AM90" s="14" t="e">
        <f t="shared" ca="1" si="96"/>
        <v>#N/A</v>
      </c>
      <c r="AN90" s="52" t="e">
        <f t="shared" ca="1" si="97"/>
        <v>#N/A</v>
      </c>
      <c r="AO90" s="279" t="e">
        <f ca="1">INDEX(RESULTADOS!$A:$BA,MATCH($A90,RESULTADOS!$A:$A,0),MATCH(AO$1,RESULTADOS!$1:$1,0))</f>
        <v>#N/A</v>
      </c>
      <c r="AP90" s="52" t="e">
        <f t="shared" ca="1" si="98"/>
        <v>#N/A</v>
      </c>
    </row>
    <row r="91" spans="1:42" s="272" customFormat="1" x14ac:dyDescent="0.2">
      <c r="A91" s="273">
        <f t="shared" ca="1" si="36"/>
        <v>43890</v>
      </c>
      <c r="B91" s="279" t="e">
        <f ca="1">INDEX(RESULTADOS!$A:$BA,MATCH($A91,RESULTADOS!$A:$A,0),MATCH(B$1,RESULTADOS!$1:$1,0))</f>
        <v>#N/A</v>
      </c>
      <c r="C91" s="52" t="e">
        <f t="shared" ca="1" si="80"/>
        <v>#N/A</v>
      </c>
      <c r="D91" s="52">
        <v>11</v>
      </c>
      <c r="E91" s="52" t="e">
        <f t="shared" ca="1" si="81"/>
        <v>#N/A</v>
      </c>
      <c r="F91" s="279" t="e">
        <f ca="1">INDEX(RESULTADOS!$A:$BA,MATCH($A91,RESULTADOS!$A:$A,0),MATCH(F$1,RESULTADOS!$1:$1,0))</f>
        <v>#N/A</v>
      </c>
      <c r="G91" s="52" t="e">
        <f t="shared" ca="1" si="82"/>
        <v>#N/A</v>
      </c>
      <c r="H91" s="279" t="e">
        <f ca="1">INDEX(RESULTADOS!$A:$BA,MATCH($A91,RESULTADOS!$A:$A,0),MATCH(H$1,RESULTADOS!$1:$1,0))</f>
        <v>#N/A</v>
      </c>
      <c r="I91" s="279" t="e">
        <f ca="1">INDEX(RESULTADOS!$A:$BA,MATCH($A91,RESULTADOS!$A:$A,0),MATCH(I$1,RESULTADOS!$1:$1,0))</f>
        <v>#N/A</v>
      </c>
      <c r="J91" s="279" t="e">
        <f ca="1">INDEX(RESULTADOS!$A:$BA,MATCH($A91,RESULTADOS!$A:$A,0),MATCH(J$1,RESULTADOS!$1:$1,0))</f>
        <v>#N/A</v>
      </c>
      <c r="K91" s="52" t="e">
        <f t="shared" ca="1" si="83"/>
        <v>#N/A</v>
      </c>
      <c r="L91" s="52" t="e">
        <f t="shared" ca="1" si="84"/>
        <v>#N/A</v>
      </c>
      <c r="M91" s="279" t="e">
        <f ca="1">INDEX(RESULTADOS!$A:$BA,MATCH($A91,RESULTADOS!$A:$A,0),MATCH(M$1,RESULTADOS!$1:$1,0))</f>
        <v>#N/A</v>
      </c>
      <c r="N91" s="52" t="e">
        <f t="shared" ca="1" si="71"/>
        <v>#N/A</v>
      </c>
      <c r="O91" s="52" t="e">
        <f t="shared" ca="1" si="85"/>
        <v>#N/A</v>
      </c>
      <c r="P91" s="52" t="e">
        <f t="shared" ca="1" si="72"/>
        <v>#N/A</v>
      </c>
      <c r="Q91" s="52" t="e">
        <f t="shared" ca="1" si="86"/>
        <v>#N/A</v>
      </c>
      <c r="R91" s="52" t="e">
        <f t="shared" ca="1" si="73"/>
        <v>#N/A</v>
      </c>
      <c r="S91" s="52" t="e">
        <f t="shared" ca="1" si="87"/>
        <v>#N/A</v>
      </c>
      <c r="T91" s="52" t="e">
        <f t="shared" ca="1" si="74"/>
        <v>#N/A</v>
      </c>
      <c r="U91" s="52" t="e">
        <f t="shared" ca="1" si="88"/>
        <v>#N/A</v>
      </c>
      <c r="V91" s="52" t="e">
        <f t="shared" ca="1" si="75"/>
        <v>#N/A</v>
      </c>
      <c r="W91" s="52" t="e">
        <f t="shared" ca="1" si="89"/>
        <v>#N/A</v>
      </c>
      <c r="X91" s="11" t="e">
        <f t="shared" ca="1" si="76"/>
        <v>#N/A</v>
      </c>
      <c r="Y91" s="279" t="e">
        <f ca="1">INDEX(RESULTADOS!$A:$BA,MATCH($A91,RESULTADOS!$A:$A,0),MATCH(Y$1,RESULTADOS!$1:$1,0))</f>
        <v>#N/A</v>
      </c>
      <c r="Z91" s="52" t="e">
        <f t="shared" ca="1" si="90"/>
        <v>#N/A</v>
      </c>
      <c r="AA91" s="52" t="e">
        <f t="shared" ca="1" si="91"/>
        <v>#N/A</v>
      </c>
      <c r="AB91" s="11"/>
      <c r="AC91" s="279" t="e">
        <f ca="1">INDEX(RESULTADOS!$A:$BA,MATCH($A91,RESULTADOS!$A:$A,0),MATCH(AC$1,RESULTADOS!$1:$1,0))</f>
        <v>#N/A</v>
      </c>
      <c r="AD91" s="52" t="e">
        <f t="shared" ca="1" si="77"/>
        <v>#N/A</v>
      </c>
      <c r="AE91" s="52" t="e">
        <f t="shared" ca="1" si="92"/>
        <v>#N/A</v>
      </c>
      <c r="AF91" s="52" t="e">
        <f t="shared" ca="1" si="78"/>
        <v>#N/A</v>
      </c>
      <c r="AG91" s="52" t="e">
        <f t="shared" ca="1" si="93"/>
        <v>#N/A</v>
      </c>
      <c r="AH91" s="52" t="e">
        <f t="shared" ca="1" si="79"/>
        <v>#N/A</v>
      </c>
      <c r="AI91" s="52" t="e">
        <f t="shared" ca="1" si="94"/>
        <v>#N/A</v>
      </c>
      <c r="AJ91" s="279" t="e">
        <f ca="1">INDEX(RESULTADOS!$A:$BA,MATCH($A91,RESULTADOS!$A:$A,0),MATCH(AJ$1,RESULTADOS!$1:$1,0))</f>
        <v>#N/A</v>
      </c>
      <c r="AK91" s="279" t="e">
        <f ca="1">INDEX(RESULTADOS!$A:$BA,MATCH($A91,RESULTADOS!$A:$A,0),MATCH(AK$1,RESULTADOS!$1:$1,0))</f>
        <v>#N/A</v>
      </c>
      <c r="AL91" s="13" t="e">
        <f t="shared" ca="1" si="95"/>
        <v>#N/A</v>
      </c>
      <c r="AM91" s="14" t="e">
        <f t="shared" ca="1" si="96"/>
        <v>#N/A</v>
      </c>
      <c r="AN91" s="52" t="e">
        <f t="shared" ca="1" si="97"/>
        <v>#N/A</v>
      </c>
      <c r="AO91" s="279" t="e">
        <f ca="1">INDEX(RESULTADOS!$A:$BA,MATCH($A91,RESULTADOS!$A:$A,0),MATCH(AO$1,RESULTADOS!$1:$1,0))</f>
        <v>#N/A</v>
      </c>
      <c r="AP91" s="52" t="e">
        <f t="shared" ca="1" si="98"/>
        <v>#N/A</v>
      </c>
    </row>
    <row r="92" spans="1:42" s="272" customFormat="1" x14ac:dyDescent="0.2">
      <c r="A92" s="273">
        <f t="shared" ca="1" si="36"/>
        <v>43891</v>
      </c>
      <c r="B92" s="279" t="e">
        <f ca="1">INDEX(RESULTADOS!$A:$BA,MATCH($A92,RESULTADOS!$A:$A,0),MATCH(B$1,RESULTADOS!$1:$1,0))</f>
        <v>#N/A</v>
      </c>
      <c r="C92" s="52" t="e">
        <f t="shared" ca="1" si="80"/>
        <v>#N/A</v>
      </c>
      <c r="D92" s="52">
        <v>12</v>
      </c>
      <c r="E92" s="52" t="e">
        <f t="shared" ca="1" si="81"/>
        <v>#N/A</v>
      </c>
      <c r="F92" s="279" t="e">
        <f ca="1">INDEX(RESULTADOS!$A:$BA,MATCH($A92,RESULTADOS!$A:$A,0),MATCH(F$1,RESULTADOS!$1:$1,0))</f>
        <v>#N/A</v>
      </c>
      <c r="G92" s="52" t="e">
        <f t="shared" ca="1" si="82"/>
        <v>#N/A</v>
      </c>
      <c r="H92" s="279" t="e">
        <f ca="1">INDEX(RESULTADOS!$A:$BA,MATCH($A92,RESULTADOS!$A:$A,0),MATCH(H$1,RESULTADOS!$1:$1,0))</f>
        <v>#N/A</v>
      </c>
      <c r="I92" s="279" t="e">
        <f ca="1">INDEX(RESULTADOS!$A:$BA,MATCH($A92,RESULTADOS!$A:$A,0),MATCH(I$1,RESULTADOS!$1:$1,0))</f>
        <v>#N/A</v>
      </c>
      <c r="J92" s="279" t="e">
        <f ca="1">INDEX(RESULTADOS!$A:$BA,MATCH($A92,RESULTADOS!$A:$A,0),MATCH(J$1,RESULTADOS!$1:$1,0))</f>
        <v>#N/A</v>
      </c>
      <c r="K92" s="52" t="e">
        <f t="shared" ca="1" si="83"/>
        <v>#N/A</v>
      </c>
      <c r="L92" s="52" t="e">
        <f t="shared" ca="1" si="84"/>
        <v>#N/A</v>
      </c>
      <c r="M92" s="279" t="e">
        <f ca="1">INDEX(RESULTADOS!$A:$BA,MATCH($A92,RESULTADOS!$A:$A,0),MATCH(M$1,RESULTADOS!$1:$1,0))</f>
        <v>#N/A</v>
      </c>
      <c r="N92" s="52" t="e">
        <f t="shared" ca="1" si="71"/>
        <v>#N/A</v>
      </c>
      <c r="O92" s="52" t="e">
        <f t="shared" ca="1" si="85"/>
        <v>#N/A</v>
      </c>
      <c r="P92" s="52" t="e">
        <f t="shared" ca="1" si="72"/>
        <v>#N/A</v>
      </c>
      <c r="Q92" s="52" t="e">
        <f t="shared" ca="1" si="86"/>
        <v>#N/A</v>
      </c>
      <c r="R92" s="52" t="e">
        <f t="shared" ca="1" si="73"/>
        <v>#N/A</v>
      </c>
      <c r="S92" s="52" t="e">
        <f t="shared" ca="1" si="87"/>
        <v>#N/A</v>
      </c>
      <c r="T92" s="52" t="e">
        <f t="shared" ca="1" si="74"/>
        <v>#N/A</v>
      </c>
      <c r="U92" s="52" t="e">
        <f t="shared" ca="1" si="88"/>
        <v>#N/A</v>
      </c>
      <c r="V92" s="52" t="e">
        <f t="shared" ca="1" si="75"/>
        <v>#N/A</v>
      </c>
      <c r="W92" s="52" t="e">
        <f t="shared" ca="1" si="89"/>
        <v>#N/A</v>
      </c>
      <c r="X92" s="11" t="e">
        <f t="shared" ca="1" si="76"/>
        <v>#N/A</v>
      </c>
      <c r="Y92" s="279" t="e">
        <f ca="1">INDEX(RESULTADOS!$A:$BA,MATCH($A92,RESULTADOS!$A:$A,0),MATCH(Y$1,RESULTADOS!$1:$1,0))</f>
        <v>#N/A</v>
      </c>
      <c r="Z92" s="52" t="e">
        <f t="shared" ca="1" si="90"/>
        <v>#N/A</v>
      </c>
      <c r="AA92" s="52" t="e">
        <f t="shared" ca="1" si="91"/>
        <v>#N/A</v>
      </c>
      <c r="AB92" s="11"/>
      <c r="AC92" s="279" t="e">
        <f ca="1">INDEX(RESULTADOS!$A:$BA,MATCH($A92,RESULTADOS!$A:$A,0),MATCH(AC$1,RESULTADOS!$1:$1,0))</f>
        <v>#N/A</v>
      </c>
      <c r="AD92" s="52" t="e">
        <f t="shared" ca="1" si="77"/>
        <v>#N/A</v>
      </c>
      <c r="AE92" s="52" t="e">
        <f t="shared" ca="1" si="92"/>
        <v>#N/A</v>
      </c>
      <c r="AF92" s="52" t="e">
        <f t="shared" ca="1" si="78"/>
        <v>#N/A</v>
      </c>
      <c r="AG92" s="52" t="e">
        <f t="shared" ca="1" si="93"/>
        <v>#N/A</v>
      </c>
      <c r="AH92" s="52" t="e">
        <f t="shared" ca="1" si="79"/>
        <v>#N/A</v>
      </c>
      <c r="AI92" s="52" t="e">
        <f t="shared" ca="1" si="94"/>
        <v>#N/A</v>
      </c>
      <c r="AJ92" s="279" t="e">
        <f ca="1">INDEX(RESULTADOS!$A:$BA,MATCH($A92,RESULTADOS!$A:$A,0),MATCH(AJ$1,RESULTADOS!$1:$1,0))</f>
        <v>#N/A</v>
      </c>
      <c r="AK92" s="279" t="e">
        <f ca="1">INDEX(RESULTADOS!$A:$BA,MATCH($A92,RESULTADOS!$A:$A,0),MATCH(AK$1,RESULTADOS!$1:$1,0))</f>
        <v>#N/A</v>
      </c>
      <c r="AL92" s="13" t="e">
        <f t="shared" ca="1" si="95"/>
        <v>#N/A</v>
      </c>
      <c r="AM92" s="14" t="e">
        <f t="shared" ca="1" si="96"/>
        <v>#N/A</v>
      </c>
      <c r="AN92" s="52" t="e">
        <f t="shared" ca="1" si="97"/>
        <v>#N/A</v>
      </c>
      <c r="AO92" s="279" t="e">
        <f ca="1">INDEX(RESULTADOS!$A:$BA,MATCH($A92,RESULTADOS!$A:$A,0),MATCH(AO$1,RESULTADOS!$1:$1,0))</f>
        <v>#N/A</v>
      </c>
      <c r="AP92" s="52" t="e">
        <f t="shared" ca="1" si="98"/>
        <v>#N/A</v>
      </c>
    </row>
    <row r="93" spans="1:42" s="272" customFormat="1" x14ac:dyDescent="0.2">
      <c r="A93" s="273">
        <f t="shared" ca="1" si="36"/>
        <v>43892</v>
      </c>
      <c r="B93" s="279" t="e">
        <f ca="1">INDEX(RESULTADOS!$A:$BA,MATCH($A93,RESULTADOS!$A:$A,0),MATCH(B$1,RESULTADOS!$1:$1,0))</f>
        <v>#N/A</v>
      </c>
      <c r="C93" s="52" t="e">
        <f t="shared" ca="1" si="80"/>
        <v>#N/A</v>
      </c>
      <c r="D93" s="52">
        <v>13</v>
      </c>
      <c r="E93" s="52" t="e">
        <f t="shared" ca="1" si="81"/>
        <v>#N/A</v>
      </c>
      <c r="F93" s="279" t="e">
        <f ca="1">INDEX(RESULTADOS!$A:$BA,MATCH($A93,RESULTADOS!$A:$A,0),MATCH(F$1,RESULTADOS!$1:$1,0))</f>
        <v>#N/A</v>
      </c>
      <c r="G93" s="52" t="e">
        <f t="shared" ca="1" si="82"/>
        <v>#N/A</v>
      </c>
      <c r="H93" s="279" t="e">
        <f ca="1">INDEX(RESULTADOS!$A:$BA,MATCH($A93,RESULTADOS!$A:$A,0),MATCH(H$1,RESULTADOS!$1:$1,0))</f>
        <v>#N/A</v>
      </c>
      <c r="I93" s="279" t="e">
        <f ca="1">INDEX(RESULTADOS!$A:$BA,MATCH($A93,RESULTADOS!$A:$A,0),MATCH(I$1,RESULTADOS!$1:$1,0))</f>
        <v>#N/A</v>
      </c>
      <c r="J93" s="279" t="e">
        <f ca="1">INDEX(RESULTADOS!$A:$BA,MATCH($A93,RESULTADOS!$A:$A,0),MATCH(J$1,RESULTADOS!$1:$1,0))</f>
        <v>#N/A</v>
      </c>
      <c r="K93" s="52" t="e">
        <f t="shared" ca="1" si="83"/>
        <v>#N/A</v>
      </c>
      <c r="L93" s="52" t="e">
        <f t="shared" ca="1" si="84"/>
        <v>#N/A</v>
      </c>
      <c r="M93" s="279" t="e">
        <f ca="1">INDEX(RESULTADOS!$A:$BA,MATCH($A93,RESULTADOS!$A:$A,0),MATCH(M$1,RESULTADOS!$1:$1,0))</f>
        <v>#N/A</v>
      </c>
      <c r="N93" s="52" t="e">
        <f t="shared" ca="1" si="71"/>
        <v>#N/A</v>
      </c>
      <c r="O93" s="52" t="e">
        <f t="shared" ca="1" si="85"/>
        <v>#N/A</v>
      </c>
      <c r="P93" s="52" t="e">
        <f t="shared" ca="1" si="72"/>
        <v>#N/A</v>
      </c>
      <c r="Q93" s="52" t="e">
        <f t="shared" ca="1" si="86"/>
        <v>#N/A</v>
      </c>
      <c r="R93" s="52" t="e">
        <f t="shared" ca="1" si="73"/>
        <v>#N/A</v>
      </c>
      <c r="S93" s="52" t="e">
        <f t="shared" ca="1" si="87"/>
        <v>#N/A</v>
      </c>
      <c r="T93" s="52" t="e">
        <f t="shared" ca="1" si="74"/>
        <v>#N/A</v>
      </c>
      <c r="U93" s="52" t="e">
        <f t="shared" ca="1" si="88"/>
        <v>#N/A</v>
      </c>
      <c r="V93" s="52" t="e">
        <f t="shared" ca="1" si="75"/>
        <v>#N/A</v>
      </c>
      <c r="W93" s="52" t="e">
        <f t="shared" ca="1" si="89"/>
        <v>#N/A</v>
      </c>
      <c r="X93" s="11" t="e">
        <f t="shared" ca="1" si="76"/>
        <v>#N/A</v>
      </c>
      <c r="Y93" s="279" t="e">
        <f ca="1">INDEX(RESULTADOS!$A:$BA,MATCH($A93,RESULTADOS!$A:$A,0),MATCH(Y$1,RESULTADOS!$1:$1,0))</f>
        <v>#N/A</v>
      </c>
      <c r="Z93" s="52" t="e">
        <f t="shared" ca="1" si="90"/>
        <v>#N/A</v>
      </c>
      <c r="AA93" s="52" t="e">
        <f t="shared" ca="1" si="91"/>
        <v>#N/A</v>
      </c>
      <c r="AB93" s="11"/>
      <c r="AC93" s="279" t="e">
        <f ca="1">INDEX(RESULTADOS!$A:$BA,MATCH($A93,RESULTADOS!$A:$A,0),MATCH(AC$1,RESULTADOS!$1:$1,0))</f>
        <v>#N/A</v>
      </c>
      <c r="AD93" s="52" t="e">
        <f t="shared" ca="1" si="77"/>
        <v>#N/A</v>
      </c>
      <c r="AE93" s="52" t="e">
        <f t="shared" ca="1" si="92"/>
        <v>#N/A</v>
      </c>
      <c r="AF93" s="52" t="e">
        <f t="shared" ca="1" si="78"/>
        <v>#N/A</v>
      </c>
      <c r="AG93" s="52" t="e">
        <f t="shared" ca="1" si="93"/>
        <v>#N/A</v>
      </c>
      <c r="AH93" s="52" t="e">
        <f t="shared" ca="1" si="79"/>
        <v>#N/A</v>
      </c>
      <c r="AI93" s="52" t="e">
        <f t="shared" ca="1" si="94"/>
        <v>#N/A</v>
      </c>
      <c r="AJ93" s="279" t="e">
        <f ca="1">INDEX(RESULTADOS!$A:$BA,MATCH($A93,RESULTADOS!$A:$A,0),MATCH(AJ$1,RESULTADOS!$1:$1,0))</f>
        <v>#N/A</v>
      </c>
      <c r="AK93" s="279" t="e">
        <f ca="1">INDEX(RESULTADOS!$A:$BA,MATCH($A93,RESULTADOS!$A:$A,0),MATCH(AK$1,RESULTADOS!$1:$1,0))</f>
        <v>#N/A</v>
      </c>
      <c r="AL93" s="13" t="e">
        <f t="shared" ca="1" si="95"/>
        <v>#N/A</v>
      </c>
      <c r="AM93" s="14" t="e">
        <f t="shared" ca="1" si="96"/>
        <v>#N/A</v>
      </c>
      <c r="AN93" s="52" t="e">
        <f t="shared" ca="1" si="97"/>
        <v>#N/A</v>
      </c>
      <c r="AO93" s="279" t="e">
        <f ca="1">INDEX(RESULTADOS!$A:$BA,MATCH($A93,RESULTADOS!$A:$A,0),MATCH(AO$1,RESULTADOS!$1:$1,0))</f>
        <v>#N/A</v>
      </c>
      <c r="AP93" s="52" t="e">
        <f t="shared" ca="1" si="98"/>
        <v>#N/A</v>
      </c>
    </row>
    <row r="94" spans="1:42" s="272" customFormat="1" x14ac:dyDescent="0.2">
      <c r="A94" s="273">
        <f t="shared" ca="1" si="36"/>
        <v>43893</v>
      </c>
      <c r="B94" s="279" t="e">
        <f ca="1">INDEX(RESULTADOS!$A:$BA,MATCH($A94,RESULTADOS!$A:$A,0),MATCH(B$1,RESULTADOS!$1:$1,0))</f>
        <v>#N/A</v>
      </c>
      <c r="C94" s="52" t="e">
        <f t="shared" ca="1" si="80"/>
        <v>#N/A</v>
      </c>
      <c r="D94" s="52">
        <v>14</v>
      </c>
      <c r="E94" s="52" t="e">
        <f t="shared" ca="1" si="81"/>
        <v>#N/A</v>
      </c>
      <c r="F94" s="279" t="e">
        <f ca="1">INDEX(RESULTADOS!$A:$BA,MATCH($A94,RESULTADOS!$A:$A,0),MATCH(F$1,RESULTADOS!$1:$1,0))</f>
        <v>#N/A</v>
      </c>
      <c r="G94" s="52" t="e">
        <f t="shared" ca="1" si="82"/>
        <v>#N/A</v>
      </c>
      <c r="H94" s="279" t="e">
        <f ca="1">INDEX(RESULTADOS!$A:$BA,MATCH($A94,RESULTADOS!$A:$A,0),MATCH(H$1,RESULTADOS!$1:$1,0))</f>
        <v>#N/A</v>
      </c>
      <c r="I94" s="279" t="e">
        <f ca="1">INDEX(RESULTADOS!$A:$BA,MATCH($A94,RESULTADOS!$A:$A,0),MATCH(I$1,RESULTADOS!$1:$1,0))</f>
        <v>#N/A</v>
      </c>
      <c r="J94" s="279" t="e">
        <f ca="1">INDEX(RESULTADOS!$A:$BA,MATCH($A94,RESULTADOS!$A:$A,0),MATCH(J$1,RESULTADOS!$1:$1,0))</f>
        <v>#N/A</v>
      </c>
      <c r="K94" s="52" t="e">
        <f t="shared" ca="1" si="83"/>
        <v>#N/A</v>
      </c>
      <c r="L94" s="52" t="e">
        <f t="shared" ca="1" si="84"/>
        <v>#N/A</v>
      </c>
      <c r="M94" s="279" t="e">
        <f ca="1">INDEX(RESULTADOS!$A:$BA,MATCH($A94,RESULTADOS!$A:$A,0),MATCH(M$1,RESULTADOS!$1:$1,0))</f>
        <v>#N/A</v>
      </c>
      <c r="N94" s="52" t="e">
        <f t="shared" ca="1" si="71"/>
        <v>#N/A</v>
      </c>
      <c r="O94" s="52" t="e">
        <f t="shared" ca="1" si="85"/>
        <v>#N/A</v>
      </c>
      <c r="P94" s="52" t="e">
        <f t="shared" ca="1" si="72"/>
        <v>#N/A</v>
      </c>
      <c r="Q94" s="52" t="e">
        <f t="shared" ca="1" si="86"/>
        <v>#N/A</v>
      </c>
      <c r="R94" s="52" t="e">
        <f t="shared" ca="1" si="73"/>
        <v>#N/A</v>
      </c>
      <c r="S94" s="52" t="e">
        <f t="shared" ca="1" si="87"/>
        <v>#N/A</v>
      </c>
      <c r="T94" s="52" t="e">
        <f t="shared" ca="1" si="74"/>
        <v>#N/A</v>
      </c>
      <c r="U94" s="52" t="e">
        <f t="shared" ca="1" si="88"/>
        <v>#N/A</v>
      </c>
      <c r="V94" s="52" t="e">
        <f t="shared" ca="1" si="75"/>
        <v>#N/A</v>
      </c>
      <c r="W94" s="52" t="e">
        <f t="shared" ca="1" si="89"/>
        <v>#N/A</v>
      </c>
      <c r="X94" s="11" t="e">
        <f t="shared" ca="1" si="76"/>
        <v>#N/A</v>
      </c>
      <c r="Y94" s="279" t="e">
        <f ca="1">INDEX(RESULTADOS!$A:$BA,MATCH($A94,RESULTADOS!$A:$A,0),MATCH(Y$1,RESULTADOS!$1:$1,0))</f>
        <v>#N/A</v>
      </c>
      <c r="Z94" s="52" t="e">
        <f t="shared" ca="1" si="90"/>
        <v>#N/A</v>
      </c>
      <c r="AA94" s="52" t="e">
        <f t="shared" ca="1" si="91"/>
        <v>#N/A</v>
      </c>
      <c r="AB94" s="11"/>
      <c r="AC94" s="279" t="e">
        <f ca="1">INDEX(RESULTADOS!$A:$BA,MATCH($A94,RESULTADOS!$A:$A,0),MATCH(AC$1,RESULTADOS!$1:$1,0))</f>
        <v>#N/A</v>
      </c>
      <c r="AD94" s="52" t="e">
        <f t="shared" ca="1" si="77"/>
        <v>#N/A</v>
      </c>
      <c r="AE94" s="52" t="e">
        <f t="shared" ca="1" si="92"/>
        <v>#N/A</v>
      </c>
      <c r="AF94" s="52" t="e">
        <f t="shared" ca="1" si="78"/>
        <v>#N/A</v>
      </c>
      <c r="AG94" s="52" t="e">
        <f t="shared" ca="1" si="93"/>
        <v>#N/A</v>
      </c>
      <c r="AH94" s="52" t="e">
        <f t="shared" ca="1" si="79"/>
        <v>#N/A</v>
      </c>
      <c r="AI94" s="52" t="e">
        <f t="shared" ca="1" si="94"/>
        <v>#N/A</v>
      </c>
      <c r="AJ94" s="279" t="e">
        <f ca="1">INDEX(RESULTADOS!$A:$BA,MATCH($A94,RESULTADOS!$A:$A,0),MATCH(AJ$1,RESULTADOS!$1:$1,0))</f>
        <v>#N/A</v>
      </c>
      <c r="AK94" s="279" t="e">
        <f ca="1">INDEX(RESULTADOS!$A:$BA,MATCH($A94,RESULTADOS!$A:$A,0),MATCH(AK$1,RESULTADOS!$1:$1,0))</f>
        <v>#N/A</v>
      </c>
      <c r="AL94" s="13" t="e">
        <f t="shared" ca="1" si="95"/>
        <v>#N/A</v>
      </c>
      <c r="AM94" s="14" t="e">
        <f t="shared" ca="1" si="96"/>
        <v>#N/A</v>
      </c>
      <c r="AN94" s="52" t="e">
        <f t="shared" ca="1" si="97"/>
        <v>#N/A</v>
      </c>
      <c r="AO94" s="279" t="e">
        <f ca="1">INDEX(RESULTADOS!$A:$BA,MATCH($A94,RESULTADOS!$A:$A,0),MATCH(AO$1,RESULTADOS!$1:$1,0))</f>
        <v>#N/A</v>
      </c>
      <c r="AP94" s="52" t="e">
        <f t="shared" ca="1" si="98"/>
        <v>#N/A</v>
      </c>
    </row>
    <row r="95" spans="1:42" s="272" customFormat="1" x14ac:dyDescent="0.2">
      <c r="A95" s="273">
        <f t="shared" ca="1" si="36"/>
        <v>43894</v>
      </c>
      <c r="B95" s="279" t="e">
        <f ca="1">INDEX(RESULTADOS!$A:$BA,MATCH($A95,RESULTADOS!$A:$A,0),MATCH(B$1,RESULTADOS!$1:$1,0))</f>
        <v>#N/A</v>
      </c>
      <c r="C95" s="52" t="e">
        <f t="shared" ca="1" si="80"/>
        <v>#N/A</v>
      </c>
      <c r="D95" s="52">
        <v>15</v>
      </c>
      <c r="E95" s="52" t="e">
        <f t="shared" ca="1" si="81"/>
        <v>#N/A</v>
      </c>
      <c r="F95" s="279" t="e">
        <f ca="1">INDEX(RESULTADOS!$A:$BA,MATCH($A95,RESULTADOS!$A:$A,0),MATCH(F$1,RESULTADOS!$1:$1,0))</f>
        <v>#N/A</v>
      </c>
      <c r="G95" s="52" t="e">
        <f t="shared" ca="1" si="82"/>
        <v>#N/A</v>
      </c>
      <c r="H95" s="279" t="e">
        <f ca="1">INDEX(RESULTADOS!$A:$BA,MATCH($A95,RESULTADOS!$A:$A,0),MATCH(H$1,RESULTADOS!$1:$1,0))</f>
        <v>#N/A</v>
      </c>
      <c r="I95" s="279" t="e">
        <f ca="1">INDEX(RESULTADOS!$A:$BA,MATCH($A95,RESULTADOS!$A:$A,0),MATCH(I$1,RESULTADOS!$1:$1,0))</f>
        <v>#N/A</v>
      </c>
      <c r="J95" s="279" t="e">
        <f ca="1">INDEX(RESULTADOS!$A:$BA,MATCH($A95,RESULTADOS!$A:$A,0),MATCH(J$1,RESULTADOS!$1:$1,0))</f>
        <v>#N/A</v>
      </c>
      <c r="K95" s="52" t="e">
        <f t="shared" ca="1" si="83"/>
        <v>#N/A</v>
      </c>
      <c r="L95" s="52" t="e">
        <f t="shared" ca="1" si="84"/>
        <v>#N/A</v>
      </c>
      <c r="M95" s="279" t="e">
        <f ca="1">INDEX(RESULTADOS!$A:$BA,MATCH($A95,RESULTADOS!$A:$A,0),MATCH(M$1,RESULTADOS!$1:$1,0))</f>
        <v>#N/A</v>
      </c>
      <c r="N95" s="52" t="e">
        <f t="shared" ca="1" si="71"/>
        <v>#N/A</v>
      </c>
      <c r="O95" s="52" t="e">
        <f t="shared" ca="1" si="85"/>
        <v>#N/A</v>
      </c>
      <c r="P95" s="52" t="e">
        <f t="shared" ca="1" si="72"/>
        <v>#N/A</v>
      </c>
      <c r="Q95" s="52" t="e">
        <f t="shared" ca="1" si="86"/>
        <v>#N/A</v>
      </c>
      <c r="R95" s="52" t="e">
        <f t="shared" ca="1" si="73"/>
        <v>#N/A</v>
      </c>
      <c r="S95" s="52" t="e">
        <f t="shared" ca="1" si="87"/>
        <v>#N/A</v>
      </c>
      <c r="T95" s="52" t="e">
        <f t="shared" ca="1" si="74"/>
        <v>#N/A</v>
      </c>
      <c r="U95" s="52" t="e">
        <f t="shared" ca="1" si="88"/>
        <v>#N/A</v>
      </c>
      <c r="V95" s="52" t="e">
        <f t="shared" ca="1" si="75"/>
        <v>#N/A</v>
      </c>
      <c r="W95" s="52" t="e">
        <f t="shared" ca="1" si="89"/>
        <v>#N/A</v>
      </c>
      <c r="X95" s="11" t="e">
        <f t="shared" ca="1" si="76"/>
        <v>#N/A</v>
      </c>
      <c r="Y95" s="279" t="e">
        <f ca="1">INDEX(RESULTADOS!$A:$BA,MATCH($A95,RESULTADOS!$A:$A,0),MATCH(Y$1,RESULTADOS!$1:$1,0))</f>
        <v>#N/A</v>
      </c>
      <c r="Z95" s="52" t="e">
        <f t="shared" ca="1" si="90"/>
        <v>#N/A</v>
      </c>
      <c r="AA95" s="52" t="e">
        <f t="shared" ca="1" si="91"/>
        <v>#N/A</v>
      </c>
      <c r="AB95" s="11"/>
      <c r="AC95" s="279" t="e">
        <f ca="1">INDEX(RESULTADOS!$A:$BA,MATCH($A95,RESULTADOS!$A:$A,0),MATCH(AC$1,RESULTADOS!$1:$1,0))</f>
        <v>#N/A</v>
      </c>
      <c r="AD95" s="52" t="e">
        <f t="shared" ca="1" si="77"/>
        <v>#N/A</v>
      </c>
      <c r="AE95" s="52" t="e">
        <f t="shared" ca="1" si="92"/>
        <v>#N/A</v>
      </c>
      <c r="AF95" s="52" t="e">
        <f t="shared" ca="1" si="78"/>
        <v>#N/A</v>
      </c>
      <c r="AG95" s="52" t="e">
        <f t="shared" ca="1" si="93"/>
        <v>#N/A</v>
      </c>
      <c r="AH95" s="52" t="e">
        <f t="shared" ca="1" si="79"/>
        <v>#N/A</v>
      </c>
      <c r="AI95" s="52" t="e">
        <f t="shared" ca="1" si="94"/>
        <v>#N/A</v>
      </c>
      <c r="AJ95" s="279" t="e">
        <f ca="1">INDEX(RESULTADOS!$A:$BA,MATCH($A95,RESULTADOS!$A:$A,0),MATCH(AJ$1,RESULTADOS!$1:$1,0))</f>
        <v>#N/A</v>
      </c>
      <c r="AK95" s="279" t="e">
        <f ca="1">INDEX(RESULTADOS!$A:$BA,MATCH($A95,RESULTADOS!$A:$A,0),MATCH(AK$1,RESULTADOS!$1:$1,0))</f>
        <v>#N/A</v>
      </c>
      <c r="AL95" s="13" t="e">
        <f t="shared" ca="1" si="95"/>
        <v>#N/A</v>
      </c>
      <c r="AM95" s="14" t="e">
        <f t="shared" ca="1" si="96"/>
        <v>#N/A</v>
      </c>
      <c r="AN95" s="52" t="e">
        <f t="shared" ca="1" si="97"/>
        <v>#N/A</v>
      </c>
      <c r="AO95" s="279" t="e">
        <f ca="1">INDEX(RESULTADOS!$A:$BA,MATCH($A95,RESULTADOS!$A:$A,0),MATCH(AO$1,RESULTADOS!$1:$1,0))</f>
        <v>#N/A</v>
      </c>
      <c r="AP95" s="52" t="e">
        <f t="shared" ca="1" si="98"/>
        <v>#N/A</v>
      </c>
    </row>
    <row r="96" spans="1:42" s="272" customFormat="1" x14ac:dyDescent="0.2">
      <c r="A96" s="273">
        <f t="shared" ca="1" si="36"/>
        <v>43895</v>
      </c>
      <c r="B96" s="279" t="e">
        <f ca="1">INDEX(RESULTADOS!$A:$BA,MATCH($A96,RESULTADOS!$A:$A,0),MATCH(B$1,RESULTADOS!$1:$1,0))</f>
        <v>#N/A</v>
      </c>
      <c r="C96" s="52" t="e">
        <f t="shared" ca="1" si="80"/>
        <v>#N/A</v>
      </c>
      <c r="D96" s="52">
        <v>16</v>
      </c>
      <c r="E96" s="52" t="e">
        <f t="shared" ca="1" si="81"/>
        <v>#N/A</v>
      </c>
      <c r="F96" s="279" t="e">
        <f ca="1">INDEX(RESULTADOS!$A:$BA,MATCH($A96,RESULTADOS!$A:$A,0),MATCH(F$1,RESULTADOS!$1:$1,0))</f>
        <v>#N/A</v>
      </c>
      <c r="G96" s="52" t="e">
        <f t="shared" ca="1" si="82"/>
        <v>#N/A</v>
      </c>
      <c r="H96" s="279" t="e">
        <f ca="1">INDEX(RESULTADOS!$A:$BA,MATCH($A96,RESULTADOS!$A:$A,0),MATCH(H$1,RESULTADOS!$1:$1,0))</f>
        <v>#N/A</v>
      </c>
      <c r="I96" s="279" t="e">
        <f ca="1">INDEX(RESULTADOS!$A:$BA,MATCH($A96,RESULTADOS!$A:$A,0),MATCH(I$1,RESULTADOS!$1:$1,0))</f>
        <v>#N/A</v>
      </c>
      <c r="J96" s="279" t="e">
        <f ca="1">INDEX(RESULTADOS!$A:$BA,MATCH($A96,RESULTADOS!$A:$A,0),MATCH(J$1,RESULTADOS!$1:$1,0))</f>
        <v>#N/A</v>
      </c>
      <c r="K96" s="52" t="e">
        <f t="shared" ca="1" si="83"/>
        <v>#N/A</v>
      </c>
      <c r="L96" s="52" t="e">
        <f t="shared" ca="1" si="84"/>
        <v>#N/A</v>
      </c>
      <c r="M96" s="279" t="e">
        <f ca="1">INDEX(RESULTADOS!$A:$BA,MATCH($A96,RESULTADOS!$A:$A,0),MATCH(M$1,RESULTADOS!$1:$1,0))</f>
        <v>#N/A</v>
      </c>
      <c r="N96" s="52" t="e">
        <f t="shared" ca="1" si="71"/>
        <v>#N/A</v>
      </c>
      <c r="O96" s="52" t="e">
        <f t="shared" ca="1" si="85"/>
        <v>#N/A</v>
      </c>
      <c r="P96" s="52" t="e">
        <f t="shared" ca="1" si="72"/>
        <v>#N/A</v>
      </c>
      <c r="Q96" s="52" t="e">
        <f t="shared" ca="1" si="86"/>
        <v>#N/A</v>
      </c>
      <c r="R96" s="52" t="e">
        <f t="shared" ca="1" si="73"/>
        <v>#N/A</v>
      </c>
      <c r="S96" s="52" t="e">
        <f t="shared" ca="1" si="87"/>
        <v>#N/A</v>
      </c>
      <c r="T96" s="52" t="e">
        <f t="shared" ca="1" si="74"/>
        <v>#N/A</v>
      </c>
      <c r="U96" s="52" t="e">
        <f t="shared" ca="1" si="88"/>
        <v>#N/A</v>
      </c>
      <c r="V96" s="52" t="e">
        <f t="shared" ca="1" si="75"/>
        <v>#N/A</v>
      </c>
      <c r="W96" s="52" t="e">
        <f t="shared" ca="1" si="89"/>
        <v>#N/A</v>
      </c>
      <c r="X96" s="11" t="e">
        <f t="shared" ca="1" si="76"/>
        <v>#N/A</v>
      </c>
      <c r="Y96" s="279" t="e">
        <f ca="1">INDEX(RESULTADOS!$A:$BA,MATCH($A96,RESULTADOS!$A:$A,0),MATCH(Y$1,RESULTADOS!$1:$1,0))</f>
        <v>#N/A</v>
      </c>
      <c r="Z96" s="52" t="e">
        <f t="shared" ca="1" si="90"/>
        <v>#N/A</v>
      </c>
      <c r="AA96" s="52" t="e">
        <f t="shared" ca="1" si="91"/>
        <v>#N/A</v>
      </c>
      <c r="AB96" s="11"/>
      <c r="AC96" s="279" t="e">
        <f ca="1">INDEX(RESULTADOS!$A:$BA,MATCH($A96,RESULTADOS!$A:$A,0),MATCH(AC$1,RESULTADOS!$1:$1,0))</f>
        <v>#N/A</v>
      </c>
      <c r="AD96" s="52" t="e">
        <f t="shared" ca="1" si="77"/>
        <v>#N/A</v>
      </c>
      <c r="AE96" s="52" t="e">
        <f t="shared" ca="1" si="92"/>
        <v>#N/A</v>
      </c>
      <c r="AF96" s="52" t="e">
        <f t="shared" ca="1" si="78"/>
        <v>#N/A</v>
      </c>
      <c r="AG96" s="52" t="e">
        <f t="shared" ca="1" si="93"/>
        <v>#N/A</v>
      </c>
      <c r="AH96" s="52" t="e">
        <f t="shared" ca="1" si="79"/>
        <v>#N/A</v>
      </c>
      <c r="AI96" s="52" t="e">
        <f t="shared" ca="1" si="94"/>
        <v>#N/A</v>
      </c>
      <c r="AJ96" s="279" t="e">
        <f ca="1">INDEX(RESULTADOS!$A:$BA,MATCH($A96,RESULTADOS!$A:$A,0),MATCH(AJ$1,RESULTADOS!$1:$1,0))</f>
        <v>#N/A</v>
      </c>
      <c r="AK96" s="279" t="e">
        <f ca="1">INDEX(RESULTADOS!$A:$BA,MATCH($A96,RESULTADOS!$A:$A,0),MATCH(AK$1,RESULTADOS!$1:$1,0))</f>
        <v>#N/A</v>
      </c>
      <c r="AL96" s="13" t="e">
        <f t="shared" ca="1" si="95"/>
        <v>#N/A</v>
      </c>
      <c r="AM96" s="14" t="e">
        <f t="shared" ca="1" si="96"/>
        <v>#N/A</v>
      </c>
      <c r="AN96" s="52" t="e">
        <f t="shared" ca="1" si="97"/>
        <v>#N/A</v>
      </c>
      <c r="AO96" s="279" t="e">
        <f ca="1">INDEX(RESULTADOS!$A:$BA,MATCH($A96,RESULTADOS!$A:$A,0),MATCH(AO$1,RESULTADOS!$1:$1,0))</f>
        <v>#N/A</v>
      </c>
      <c r="AP96" s="52" t="e">
        <f t="shared" ca="1" si="98"/>
        <v>#N/A</v>
      </c>
    </row>
    <row r="97" spans="1:42" s="272" customFormat="1" x14ac:dyDescent="0.2">
      <c r="A97" s="273">
        <f t="shared" ca="1" si="36"/>
        <v>43896</v>
      </c>
      <c r="B97" s="279" t="e">
        <f ca="1">INDEX(RESULTADOS!$A:$BA,MATCH($A97,RESULTADOS!$A:$A,0),MATCH(B$1,RESULTADOS!$1:$1,0))</f>
        <v>#N/A</v>
      </c>
      <c r="C97" s="52" t="e">
        <f t="shared" ca="1" si="80"/>
        <v>#N/A</v>
      </c>
      <c r="D97" s="52">
        <v>17</v>
      </c>
      <c r="E97" s="52" t="e">
        <f t="shared" ca="1" si="81"/>
        <v>#N/A</v>
      </c>
      <c r="F97" s="279" t="e">
        <f ca="1">INDEX(RESULTADOS!$A:$BA,MATCH($A97,RESULTADOS!$A:$A,0),MATCH(F$1,RESULTADOS!$1:$1,0))</f>
        <v>#N/A</v>
      </c>
      <c r="G97" s="52" t="e">
        <f t="shared" ca="1" si="82"/>
        <v>#N/A</v>
      </c>
      <c r="H97" s="279" t="e">
        <f ca="1">INDEX(RESULTADOS!$A:$BA,MATCH($A97,RESULTADOS!$A:$A,0),MATCH(H$1,RESULTADOS!$1:$1,0))</f>
        <v>#N/A</v>
      </c>
      <c r="I97" s="279" t="e">
        <f ca="1">INDEX(RESULTADOS!$A:$BA,MATCH($A97,RESULTADOS!$A:$A,0),MATCH(I$1,RESULTADOS!$1:$1,0))</f>
        <v>#N/A</v>
      </c>
      <c r="J97" s="279" t="e">
        <f ca="1">INDEX(RESULTADOS!$A:$BA,MATCH($A97,RESULTADOS!$A:$A,0),MATCH(J$1,RESULTADOS!$1:$1,0))</f>
        <v>#N/A</v>
      </c>
      <c r="K97" s="52" t="e">
        <f t="shared" ca="1" si="83"/>
        <v>#N/A</v>
      </c>
      <c r="L97" s="52" t="e">
        <f t="shared" ca="1" si="84"/>
        <v>#N/A</v>
      </c>
      <c r="M97" s="279" t="e">
        <f ca="1">INDEX(RESULTADOS!$A:$BA,MATCH($A97,RESULTADOS!$A:$A,0),MATCH(M$1,RESULTADOS!$1:$1,0))</f>
        <v>#N/A</v>
      </c>
      <c r="N97" s="52" t="e">
        <f t="shared" ca="1" si="71"/>
        <v>#N/A</v>
      </c>
      <c r="O97" s="52" t="e">
        <f t="shared" ca="1" si="85"/>
        <v>#N/A</v>
      </c>
      <c r="P97" s="52" t="e">
        <f t="shared" ca="1" si="72"/>
        <v>#N/A</v>
      </c>
      <c r="Q97" s="52" t="e">
        <f t="shared" ca="1" si="86"/>
        <v>#N/A</v>
      </c>
      <c r="R97" s="52" t="e">
        <f t="shared" ca="1" si="73"/>
        <v>#N/A</v>
      </c>
      <c r="S97" s="52" t="e">
        <f t="shared" ca="1" si="87"/>
        <v>#N/A</v>
      </c>
      <c r="T97" s="52" t="e">
        <f t="shared" ca="1" si="74"/>
        <v>#N/A</v>
      </c>
      <c r="U97" s="52" t="e">
        <f t="shared" ca="1" si="88"/>
        <v>#N/A</v>
      </c>
      <c r="V97" s="52" t="e">
        <f t="shared" ca="1" si="75"/>
        <v>#N/A</v>
      </c>
      <c r="W97" s="52" t="e">
        <f t="shared" ca="1" si="89"/>
        <v>#N/A</v>
      </c>
      <c r="X97" s="11" t="e">
        <f t="shared" ca="1" si="76"/>
        <v>#N/A</v>
      </c>
      <c r="Y97" s="279" t="e">
        <f ca="1">INDEX(RESULTADOS!$A:$BA,MATCH($A97,RESULTADOS!$A:$A,0),MATCH(Y$1,RESULTADOS!$1:$1,0))</f>
        <v>#N/A</v>
      </c>
      <c r="Z97" s="52" t="e">
        <f t="shared" ca="1" si="90"/>
        <v>#N/A</v>
      </c>
      <c r="AA97" s="52" t="e">
        <f t="shared" ca="1" si="91"/>
        <v>#N/A</v>
      </c>
      <c r="AB97" s="11"/>
      <c r="AC97" s="279" t="e">
        <f ca="1">INDEX(RESULTADOS!$A:$BA,MATCH($A97,RESULTADOS!$A:$A,0),MATCH(AC$1,RESULTADOS!$1:$1,0))</f>
        <v>#N/A</v>
      </c>
      <c r="AD97" s="52" t="e">
        <f t="shared" ca="1" si="77"/>
        <v>#N/A</v>
      </c>
      <c r="AE97" s="52" t="e">
        <f t="shared" ca="1" si="92"/>
        <v>#N/A</v>
      </c>
      <c r="AF97" s="52" t="e">
        <f t="shared" ca="1" si="78"/>
        <v>#N/A</v>
      </c>
      <c r="AG97" s="52" t="e">
        <f t="shared" ca="1" si="93"/>
        <v>#N/A</v>
      </c>
      <c r="AH97" s="52" t="e">
        <f t="shared" ca="1" si="79"/>
        <v>#N/A</v>
      </c>
      <c r="AI97" s="52" t="e">
        <f t="shared" ca="1" si="94"/>
        <v>#N/A</v>
      </c>
      <c r="AJ97" s="279" t="e">
        <f ca="1">INDEX(RESULTADOS!$A:$BA,MATCH($A97,RESULTADOS!$A:$A,0),MATCH(AJ$1,RESULTADOS!$1:$1,0))</f>
        <v>#N/A</v>
      </c>
      <c r="AK97" s="279" t="e">
        <f ca="1">INDEX(RESULTADOS!$A:$BA,MATCH($A97,RESULTADOS!$A:$A,0),MATCH(AK$1,RESULTADOS!$1:$1,0))</f>
        <v>#N/A</v>
      </c>
      <c r="AL97" s="13" t="e">
        <f t="shared" ca="1" si="95"/>
        <v>#N/A</v>
      </c>
      <c r="AM97" s="14" t="e">
        <f t="shared" ca="1" si="96"/>
        <v>#N/A</v>
      </c>
      <c r="AN97" s="52" t="e">
        <f t="shared" ca="1" si="97"/>
        <v>#N/A</v>
      </c>
      <c r="AO97" s="279" t="e">
        <f ca="1">INDEX(RESULTADOS!$A:$BA,MATCH($A97,RESULTADOS!$A:$A,0),MATCH(AO$1,RESULTADOS!$1:$1,0))</f>
        <v>#N/A</v>
      </c>
      <c r="AP97" s="52" t="e">
        <f t="shared" ca="1" si="98"/>
        <v>#N/A</v>
      </c>
    </row>
    <row r="98" spans="1:42" s="272" customFormat="1" x14ac:dyDescent="0.2">
      <c r="A98" s="273">
        <f t="shared" ca="1" si="36"/>
        <v>43897</v>
      </c>
      <c r="B98" s="279" t="e">
        <f ca="1">INDEX(RESULTADOS!$A:$BA,MATCH($A98,RESULTADOS!$A:$A,0),MATCH(B$1,RESULTADOS!$1:$1,0))</f>
        <v>#N/A</v>
      </c>
      <c r="C98" s="52" t="e">
        <f t="shared" ca="1" si="80"/>
        <v>#N/A</v>
      </c>
      <c r="D98" s="52">
        <v>18</v>
      </c>
      <c r="E98" s="52" t="e">
        <f t="shared" ca="1" si="81"/>
        <v>#N/A</v>
      </c>
      <c r="F98" s="279" t="e">
        <f ca="1">INDEX(RESULTADOS!$A:$BA,MATCH($A98,RESULTADOS!$A:$A,0),MATCH(F$1,RESULTADOS!$1:$1,0))</f>
        <v>#N/A</v>
      </c>
      <c r="G98" s="52" t="e">
        <f t="shared" ca="1" si="82"/>
        <v>#N/A</v>
      </c>
      <c r="H98" s="279" t="e">
        <f ca="1">INDEX(RESULTADOS!$A:$BA,MATCH($A98,RESULTADOS!$A:$A,0),MATCH(H$1,RESULTADOS!$1:$1,0))</f>
        <v>#N/A</v>
      </c>
      <c r="I98" s="279" t="e">
        <f ca="1">INDEX(RESULTADOS!$A:$BA,MATCH($A98,RESULTADOS!$A:$A,0),MATCH(I$1,RESULTADOS!$1:$1,0))</f>
        <v>#N/A</v>
      </c>
      <c r="J98" s="279" t="e">
        <f ca="1">INDEX(RESULTADOS!$A:$BA,MATCH($A98,RESULTADOS!$A:$A,0),MATCH(J$1,RESULTADOS!$1:$1,0))</f>
        <v>#N/A</v>
      </c>
      <c r="K98" s="52" t="e">
        <f t="shared" ca="1" si="83"/>
        <v>#N/A</v>
      </c>
      <c r="L98" s="52" t="e">
        <f t="shared" ca="1" si="84"/>
        <v>#N/A</v>
      </c>
      <c r="M98" s="279" t="e">
        <f ca="1">INDEX(RESULTADOS!$A:$BA,MATCH($A98,RESULTADOS!$A:$A,0),MATCH(M$1,RESULTADOS!$1:$1,0))</f>
        <v>#N/A</v>
      </c>
      <c r="N98" s="52" t="e">
        <f t="shared" ca="1" si="71"/>
        <v>#N/A</v>
      </c>
      <c r="O98" s="52" t="e">
        <f t="shared" ca="1" si="85"/>
        <v>#N/A</v>
      </c>
      <c r="P98" s="52" t="e">
        <f t="shared" ca="1" si="72"/>
        <v>#N/A</v>
      </c>
      <c r="Q98" s="52" t="e">
        <f t="shared" ca="1" si="86"/>
        <v>#N/A</v>
      </c>
      <c r="R98" s="52" t="e">
        <f t="shared" ca="1" si="73"/>
        <v>#N/A</v>
      </c>
      <c r="S98" s="52" t="e">
        <f t="shared" ca="1" si="87"/>
        <v>#N/A</v>
      </c>
      <c r="T98" s="52" t="e">
        <f t="shared" ca="1" si="74"/>
        <v>#N/A</v>
      </c>
      <c r="U98" s="52" t="e">
        <f t="shared" ca="1" si="88"/>
        <v>#N/A</v>
      </c>
      <c r="V98" s="52" t="e">
        <f t="shared" ca="1" si="75"/>
        <v>#N/A</v>
      </c>
      <c r="W98" s="52" t="e">
        <f t="shared" ca="1" si="89"/>
        <v>#N/A</v>
      </c>
      <c r="X98" s="11" t="e">
        <f t="shared" ca="1" si="76"/>
        <v>#N/A</v>
      </c>
      <c r="Y98" s="279" t="e">
        <f ca="1">INDEX(RESULTADOS!$A:$BA,MATCH($A98,RESULTADOS!$A:$A,0),MATCH(Y$1,RESULTADOS!$1:$1,0))</f>
        <v>#N/A</v>
      </c>
      <c r="Z98" s="52" t="e">
        <f t="shared" ca="1" si="90"/>
        <v>#N/A</v>
      </c>
      <c r="AA98" s="52" t="e">
        <f t="shared" ca="1" si="91"/>
        <v>#N/A</v>
      </c>
      <c r="AB98" s="11"/>
      <c r="AC98" s="279" t="e">
        <f ca="1">INDEX(RESULTADOS!$A:$BA,MATCH($A98,RESULTADOS!$A:$A,0),MATCH(AC$1,RESULTADOS!$1:$1,0))</f>
        <v>#N/A</v>
      </c>
      <c r="AD98" s="52" t="e">
        <f t="shared" ca="1" si="77"/>
        <v>#N/A</v>
      </c>
      <c r="AE98" s="52" t="e">
        <f t="shared" ca="1" si="92"/>
        <v>#N/A</v>
      </c>
      <c r="AF98" s="52" t="e">
        <f t="shared" ca="1" si="78"/>
        <v>#N/A</v>
      </c>
      <c r="AG98" s="52" t="e">
        <f t="shared" ca="1" si="93"/>
        <v>#N/A</v>
      </c>
      <c r="AH98" s="52" t="e">
        <f t="shared" ca="1" si="79"/>
        <v>#N/A</v>
      </c>
      <c r="AI98" s="52" t="e">
        <f t="shared" ca="1" si="94"/>
        <v>#N/A</v>
      </c>
      <c r="AJ98" s="279" t="e">
        <f ca="1">INDEX(RESULTADOS!$A:$BA,MATCH($A98,RESULTADOS!$A:$A,0),MATCH(AJ$1,RESULTADOS!$1:$1,0))</f>
        <v>#N/A</v>
      </c>
      <c r="AK98" s="279" t="e">
        <f ca="1">INDEX(RESULTADOS!$A:$BA,MATCH($A98,RESULTADOS!$A:$A,0),MATCH(AK$1,RESULTADOS!$1:$1,0))</f>
        <v>#N/A</v>
      </c>
      <c r="AL98" s="13" t="e">
        <f t="shared" ca="1" si="95"/>
        <v>#N/A</v>
      </c>
      <c r="AM98" s="14" t="e">
        <f t="shared" ca="1" si="96"/>
        <v>#N/A</v>
      </c>
      <c r="AN98" s="52" t="e">
        <f t="shared" ca="1" si="97"/>
        <v>#N/A</v>
      </c>
      <c r="AO98" s="279" t="e">
        <f ca="1">INDEX(RESULTADOS!$A:$BA,MATCH($A98,RESULTADOS!$A:$A,0),MATCH(AO$1,RESULTADOS!$1:$1,0))</f>
        <v>#N/A</v>
      </c>
      <c r="AP98" s="52" t="e">
        <f t="shared" ca="1" si="98"/>
        <v>#N/A</v>
      </c>
    </row>
    <row r="99" spans="1:42" s="272" customFormat="1" x14ac:dyDescent="0.2">
      <c r="A99" s="273">
        <f t="shared" ca="1" si="36"/>
        <v>43898</v>
      </c>
      <c r="B99" s="279" t="e">
        <f ca="1">INDEX(RESULTADOS!$A:$BA,MATCH($A99,RESULTADOS!$A:$A,0),MATCH(B$1,RESULTADOS!$1:$1,0))</f>
        <v>#N/A</v>
      </c>
      <c r="C99" s="52" t="e">
        <f t="shared" ca="1" si="80"/>
        <v>#N/A</v>
      </c>
      <c r="D99" s="52">
        <v>19</v>
      </c>
      <c r="E99" s="52" t="e">
        <f t="shared" ca="1" si="81"/>
        <v>#N/A</v>
      </c>
      <c r="F99" s="279" t="e">
        <f ca="1">INDEX(RESULTADOS!$A:$BA,MATCH($A99,RESULTADOS!$A:$A,0),MATCH(F$1,RESULTADOS!$1:$1,0))</f>
        <v>#N/A</v>
      </c>
      <c r="G99" s="52" t="e">
        <f t="shared" ca="1" si="82"/>
        <v>#N/A</v>
      </c>
      <c r="H99" s="279" t="e">
        <f ca="1">INDEX(RESULTADOS!$A:$BA,MATCH($A99,RESULTADOS!$A:$A,0),MATCH(H$1,RESULTADOS!$1:$1,0))</f>
        <v>#N/A</v>
      </c>
      <c r="I99" s="279" t="e">
        <f ca="1">INDEX(RESULTADOS!$A:$BA,MATCH($A99,RESULTADOS!$A:$A,0),MATCH(I$1,RESULTADOS!$1:$1,0))</f>
        <v>#N/A</v>
      </c>
      <c r="J99" s="279" t="e">
        <f ca="1">INDEX(RESULTADOS!$A:$BA,MATCH($A99,RESULTADOS!$A:$A,0),MATCH(J$1,RESULTADOS!$1:$1,0))</f>
        <v>#N/A</v>
      </c>
      <c r="K99" s="52" t="e">
        <f t="shared" ca="1" si="83"/>
        <v>#N/A</v>
      </c>
      <c r="L99" s="52" t="e">
        <f t="shared" ca="1" si="84"/>
        <v>#N/A</v>
      </c>
      <c r="M99" s="279" t="e">
        <f ca="1">INDEX(RESULTADOS!$A:$BA,MATCH($A99,RESULTADOS!$A:$A,0),MATCH(M$1,RESULTADOS!$1:$1,0))</f>
        <v>#N/A</v>
      </c>
      <c r="N99" s="52" t="e">
        <f t="shared" ca="1" si="71"/>
        <v>#N/A</v>
      </c>
      <c r="O99" s="52" t="e">
        <f t="shared" ca="1" si="85"/>
        <v>#N/A</v>
      </c>
      <c r="P99" s="52" t="e">
        <f t="shared" ca="1" si="72"/>
        <v>#N/A</v>
      </c>
      <c r="Q99" s="52" t="e">
        <f t="shared" ca="1" si="86"/>
        <v>#N/A</v>
      </c>
      <c r="R99" s="52" t="e">
        <f t="shared" ca="1" si="73"/>
        <v>#N/A</v>
      </c>
      <c r="S99" s="52" t="e">
        <f t="shared" ca="1" si="87"/>
        <v>#N/A</v>
      </c>
      <c r="T99" s="52" t="e">
        <f t="shared" ca="1" si="74"/>
        <v>#N/A</v>
      </c>
      <c r="U99" s="52" t="e">
        <f t="shared" ca="1" si="88"/>
        <v>#N/A</v>
      </c>
      <c r="V99" s="52" t="e">
        <f t="shared" ca="1" si="75"/>
        <v>#N/A</v>
      </c>
      <c r="W99" s="52" t="e">
        <f t="shared" ca="1" si="89"/>
        <v>#N/A</v>
      </c>
      <c r="X99" s="11" t="e">
        <f t="shared" ca="1" si="76"/>
        <v>#N/A</v>
      </c>
      <c r="Y99" s="279" t="e">
        <f ca="1">INDEX(RESULTADOS!$A:$BA,MATCH($A99,RESULTADOS!$A:$A,0),MATCH(Y$1,RESULTADOS!$1:$1,0))</f>
        <v>#N/A</v>
      </c>
      <c r="Z99" s="52" t="e">
        <f t="shared" ca="1" si="90"/>
        <v>#N/A</v>
      </c>
      <c r="AA99" s="52" t="e">
        <f t="shared" ca="1" si="91"/>
        <v>#N/A</v>
      </c>
      <c r="AB99" s="11"/>
      <c r="AC99" s="279" t="e">
        <f ca="1">INDEX(RESULTADOS!$A:$BA,MATCH($A99,RESULTADOS!$A:$A,0),MATCH(AC$1,RESULTADOS!$1:$1,0))</f>
        <v>#N/A</v>
      </c>
      <c r="AD99" s="52" t="e">
        <f t="shared" ca="1" si="77"/>
        <v>#N/A</v>
      </c>
      <c r="AE99" s="52" t="e">
        <f t="shared" ca="1" si="92"/>
        <v>#N/A</v>
      </c>
      <c r="AF99" s="52" t="e">
        <f t="shared" ca="1" si="78"/>
        <v>#N/A</v>
      </c>
      <c r="AG99" s="52" t="e">
        <f t="shared" ca="1" si="93"/>
        <v>#N/A</v>
      </c>
      <c r="AH99" s="52" t="e">
        <f t="shared" ca="1" si="79"/>
        <v>#N/A</v>
      </c>
      <c r="AI99" s="52" t="e">
        <f t="shared" ca="1" si="94"/>
        <v>#N/A</v>
      </c>
      <c r="AJ99" s="279" t="e">
        <f ca="1">INDEX(RESULTADOS!$A:$BA,MATCH($A99,RESULTADOS!$A:$A,0),MATCH(AJ$1,RESULTADOS!$1:$1,0))</f>
        <v>#N/A</v>
      </c>
      <c r="AK99" s="279" t="e">
        <f ca="1">INDEX(RESULTADOS!$A:$BA,MATCH($A99,RESULTADOS!$A:$A,0),MATCH(AK$1,RESULTADOS!$1:$1,0))</f>
        <v>#N/A</v>
      </c>
      <c r="AL99" s="13" t="e">
        <f t="shared" ca="1" si="95"/>
        <v>#N/A</v>
      </c>
      <c r="AM99" s="14" t="e">
        <f t="shared" ca="1" si="96"/>
        <v>#N/A</v>
      </c>
      <c r="AN99" s="52" t="e">
        <f t="shared" ca="1" si="97"/>
        <v>#N/A</v>
      </c>
      <c r="AO99" s="279" t="e">
        <f ca="1">INDEX(RESULTADOS!$A:$BA,MATCH($A99,RESULTADOS!$A:$A,0),MATCH(AO$1,RESULTADOS!$1:$1,0))</f>
        <v>#N/A</v>
      </c>
      <c r="AP99" s="52" t="e">
        <f t="shared" ca="1" si="98"/>
        <v>#N/A</v>
      </c>
    </row>
    <row r="100" spans="1:42" s="272" customFormat="1" x14ac:dyDescent="0.2">
      <c r="A100" s="273">
        <f t="shared" ca="1" si="36"/>
        <v>43899</v>
      </c>
      <c r="B100" s="279" t="e">
        <f ca="1">INDEX(RESULTADOS!$A:$BA,MATCH($A100,RESULTADOS!$A:$A,0),MATCH(B$1,RESULTADOS!$1:$1,0))</f>
        <v>#N/A</v>
      </c>
      <c r="C100" s="52" t="e">
        <f t="shared" ca="1" si="80"/>
        <v>#N/A</v>
      </c>
      <c r="D100" s="52">
        <v>20</v>
      </c>
      <c r="E100" s="52" t="e">
        <f t="shared" ca="1" si="81"/>
        <v>#N/A</v>
      </c>
      <c r="F100" s="279" t="e">
        <f ca="1">INDEX(RESULTADOS!$A:$BA,MATCH($A100,RESULTADOS!$A:$A,0),MATCH(F$1,RESULTADOS!$1:$1,0))</f>
        <v>#N/A</v>
      </c>
      <c r="G100" s="52" t="e">
        <f t="shared" ca="1" si="82"/>
        <v>#N/A</v>
      </c>
      <c r="H100" s="279" t="e">
        <f ca="1">INDEX(RESULTADOS!$A:$BA,MATCH($A100,RESULTADOS!$A:$A,0),MATCH(H$1,RESULTADOS!$1:$1,0))</f>
        <v>#N/A</v>
      </c>
      <c r="I100" s="279" t="e">
        <f ca="1">INDEX(RESULTADOS!$A:$BA,MATCH($A100,RESULTADOS!$A:$A,0),MATCH(I$1,RESULTADOS!$1:$1,0))</f>
        <v>#N/A</v>
      </c>
      <c r="J100" s="279" t="e">
        <f ca="1">INDEX(RESULTADOS!$A:$BA,MATCH($A100,RESULTADOS!$A:$A,0),MATCH(J$1,RESULTADOS!$1:$1,0))</f>
        <v>#N/A</v>
      </c>
      <c r="K100" s="52" t="e">
        <f t="shared" ca="1" si="83"/>
        <v>#N/A</v>
      </c>
      <c r="L100" s="52" t="e">
        <f t="shared" ca="1" si="84"/>
        <v>#N/A</v>
      </c>
      <c r="M100" s="279" t="e">
        <f ca="1">INDEX(RESULTADOS!$A:$BA,MATCH($A100,RESULTADOS!$A:$A,0),MATCH(M$1,RESULTADOS!$1:$1,0))</f>
        <v>#N/A</v>
      </c>
      <c r="N100" s="52" t="e">
        <f t="shared" ca="1" si="71"/>
        <v>#N/A</v>
      </c>
      <c r="O100" s="52" t="e">
        <f t="shared" ca="1" si="85"/>
        <v>#N/A</v>
      </c>
      <c r="P100" s="52" t="e">
        <f t="shared" ca="1" si="72"/>
        <v>#N/A</v>
      </c>
      <c r="Q100" s="52" t="e">
        <f t="shared" ca="1" si="86"/>
        <v>#N/A</v>
      </c>
      <c r="R100" s="52" t="e">
        <f t="shared" ca="1" si="73"/>
        <v>#N/A</v>
      </c>
      <c r="S100" s="52" t="e">
        <f t="shared" ca="1" si="87"/>
        <v>#N/A</v>
      </c>
      <c r="T100" s="52" t="e">
        <f t="shared" ca="1" si="74"/>
        <v>#N/A</v>
      </c>
      <c r="U100" s="52" t="e">
        <f t="shared" ca="1" si="88"/>
        <v>#N/A</v>
      </c>
      <c r="V100" s="52" t="e">
        <f t="shared" ca="1" si="75"/>
        <v>#N/A</v>
      </c>
      <c r="W100" s="52" t="e">
        <f t="shared" ca="1" si="89"/>
        <v>#N/A</v>
      </c>
      <c r="X100" s="11" t="e">
        <f t="shared" ca="1" si="76"/>
        <v>#N/A</v>
      </c>
      <c r="Y100" s="279" t="e">
        <f ca="1">INDEX(RESULTADOS!$A:$BA,MATCH($A100,RESULTADOS!$A:$A,0),MATCH(Y$1,RESULTADOS!$1:$1,0))</f>
        <v>#N/A</v>
      </c>
      <c r="Z100" s="52" t="e">
        <f t="shared" ca="1" si="90"/>
        <v>#N/A</v>
      </c>
      <c r="AA100" s="52" t="e">
        <f t="shared" ca="1" si="91"/>
        <v>#N/A</v>
      </c>
      <c r="AB100" s="11"/>
      <c r="AC100" s="279" t="e">
        <f ca="1">INDEX(RESULTADOS!$A:$BA,MATCH($A100,RESULTADOS!$A:$A,0),MATCH(AC$1,RESULTADOS!$1:$1,0))</f>
        <v>#N/A</v>
      </c>
      <c r="AD100" s="52" t="e">
        <f t="shared" ca="1" si="77"/>
        <v>#N/A</v>
      </c>
      <c r="AE100" s="52" t="e">
        <f t="shared" ca="1" si="92"/>
        <v>#N/A</v>
      </c>
      <c r="AF100" s="52" t="e">
        <f t="shared" ca="1" si="78"/>
        <v>#N/A</v>
      </c>
      <c r="AG100" s="52" t="e">
        <f t="shared" ca="1" si="93"/>
        <v>#N/A</v>
      </c>
      <c r="AH100" s="52" t="e">
        <f t="shared" ca="1" si="79"/>
        <v>#N/A</v>
      </c>
      <c r="AI100" s="52" t="e">
        <f t="shared" ca="1" si="94"/>
        <v>#N/A</v>
      </c>
      <c r="AJ100" s="279" t="e">
        <f ca="1">INDEX(RESULTADOS!$A:$BA,MATCH($A100,RESULTADOS!$A:$A,0),MATCH(AJ$1,RESULTADOS!$1:$1,0))</f>
        <v>#N/A</v>
      </c>
      <c r="AK100" s="279" t="e">
        <f ca="1">INDEX(RESULTADOS!$A:$BA,MATCH($A100,RESULTADOS!$A:$A,0),MATCH(AK$1,RESULTADOS!$1:$1,0))</f>
        <v>#N/A</v>
      </c>
      <c r="AL100" s="13" t="e">
        <f t="shared" ca="1" si="95"/>
        <v>#N/A</v>
      </c>
      <c r="AM100" s="14" t="e">
        <f t="shared" ca="1" si="96"/>
        <v>#N/A</v>
      </c>
      <c r="AN100" s="52" t="e">
        <f t="shared" ca="1" si="97"/>
        <v>#N/A</v>
      </c>
      <c r="AO100" s="279" t="e">
        <f ca="1">INDEX(RESULTADOS!$A:$BA,MATCH($A100,RESULTADOS!$A:$A,0),MATCH(AO$1,RESULTADOS!$1:$1,0))</f>
        <v>#N/A</v>
      </c>
      <c r="AP100" s="52" t="e">
        <f t="shared" ca="1" si="98"/>
        <v>#N/A</v>
      </c>
    </row>
    <row r="101" spans="1:42" s="272" customFormat="1" x14ac:dyDescent="0.2">
      <c r="A101" s="273">
        <f t="shared" ca="1" si="36"/>
        <v>43900</v>
      </c>
      <c r="B101" s="279" t="e">
        <f ca="1">INDEX(RESULTADOS!$A:$BA,MATCH($A101,RESULTADOS!$A:$A,0),MATCH(B$1,RESULTADOS!$1:$1,0))</f>
        <v>#N/A</v>
      </c>
      <c r="C101" s="52" t="e">
        <f t="shared" ca="1" si="80"/>
        <v>#N/A</v>
      </c>
      <c r="D101" s="52">
        <v>21</v>
      </c>
      <c r="E101" s="52" t="e">
        <f t="shared" ca="1" si="81"/>
        <v>#N/A</v>
      </c>
      <c r="F101" s="279" t="e">
        <f ca="1">INDEX(RESULTADOS!$A:$BA,MATCH($A101,RESULTADOS!$A:$A,0),MATCH(F$1,RESULTADOS!$1:$1,0))</f>
        <v>#N/A</v>
      </c>
      <c r="G101" s="52" t="e">
        <f t="shared" ca="1" si="82"/>
        <v>#N/A</v>
      </c>
      <c r="H101" s="279" t="e">
        <f ca="1">INDEX(RESULTADOS!$A:$BA,MATCH($A101,RESULTADOS!$A:$A,0),MATCH(H$1,RESULTADOS!$1:$1,0))</f>
        <v>#N/A</v>
      </c>
      <c r="I101" s="279" t="e">
        <f ca="1">INDEX(RESULTADOS!$A:$BA,MATCH($A101,RESULTADOS!$A:$A,0),MATCH(I$1,RESULTADOS!$1:$1,0))</f>
        <v>#N/A</v>
      </c>
      <c r="J101" s="279" t="e">
        <f ca="1">INDEX(RESULTADOS!$A:$BA,MATCH($A101,RESULTADOS!$A:$A,0),MATCH(J$1,RESULTADOS!$1:$1,0))</f>
        <v>#N/A</v>
      </c>
      <c r="K101" s="52" t="e">
        <f t="shared" ca="1" si="83"/>
        <v>#N/A</v>
      </c>
      <c r="L101" s="52" t="e">
        <f t="shared" ca="1" si="84"/>
        <v>#N/A</v>
      </c>
      <c r="M101" s="279" t="e">
        <f ca="1">INDEX(RESULTADOS!$A:$BA,MATCH($A101,RESULTADOS!$A:$A,0),MATCH(M$1,RESULTADOS!$1:$1,0))</f>
        <v>#N/A</v>
      </c>
      <c r="N101" s="52" t="e">
        <f t="shared" ca="1" si="71"/>
        <v>#N/A</v>
      </c>
      <c r="O101" s="52" t="e">
        <f t="shared" ca="1" si="85"/>
        <v>#N/A</v>
      </c>
      <c r="P101" s="52" t="e">
        <f t="shared" ca="1" si="72"/>
        <v>#N/A</v>
      </c>
      <c r="Q101" s="52" t="e">
        <f t="shared" ca="1" si="86"/>
        <v>#N/A</v>
      </c>
      <c r="R101" s="52" t="e">
        <f t="shared" ca="1" si="73"/>
        <v>#N/A</v>
      </c>
      <c r="S101" s="52" t="e">
        <f t="shared" ca="1" si="87"/>
        <v>#N/A</v>
      </c>
      <c r="T101" s="52" t="e">
        <f t="shared" ca="1" si="74"/>
        <v>#N/A</v>
      </c>
      <c r="U101" s="52" t="e">
        <f t="shared" ca="1" si="88"/>
        <v>#N/A</v>
      </c>
      <c r="V101" s="52" t="e">
        <f t="shared" ca="1" si="75"/>
        <v>#N/A</v>
      </c>
      <c r="W101" s="52" t="e">
        <f t="shared" ca="1" si="89"/>
        <v>#N/A</v>
      </c>
      <c r="X101" s="11" t="e">
        <f t="shared" ca="1" si="76"/>
        <v>#N/A</v>
      </c>
      <c r="Y101" s="279" t="e">
        <f ca="1">INDEX(RESULTADOS!$A:$BA,MATCH($A101,RESULTADOS!$A:$A,0),MATCH(Y$1,RESULTADOS!$1:$1,0))</f>
        <v>#N/A</v>
      </c>
      <c r="Z101" s="52" t="e">
        <f t="shared" ca="1" si="90"/>
        <v>#N/A</v>
      </c>
      <c r="AA101" s="52" t="e">
        <f t="shared" ca="1" si="91"/>
        <v>#N/A</v>
      </c>
      <c r="AB101" s="11"/>
      <c r="AC101" s="279" t="e">
        <f ca="1">INDEX(RESULTADOS!$A:$BA,MATCH($A101,RESULTADOS!$A:$A,0),MATCH(AC$1,RESULTADOS!$1:$1,0))</f>
        <v>#N/A</v>
      </c>
      <c r="AD101" s="52" t="e">
        <f t="shared" ca="1" si="77"/>
        <v>#N/A</v>
      </c>
      <c r="AE101" s="52" t="e">
        <f t="shared" ca="1" si="92"/>
        <v>#N/A</v>
      </c>
      <c r="AF101" s="52" t="e">
        <f t="shared" ca="1" si="78"/>
        <v>#N/A</v>
      </c>
      <c r="AG101" s="52" t="e">
        <f t="shared" ca="1" si="93"/>
        <v>#N/A</v>
      </c>
      <c r="AH101" s="52" t="e">
        <f t="shared" ca="1" si="79"/>
        <v>#N/A</v>
      </c>
      <c r="AI101" s="52" t="e">
        <f t="shared" ca="1" si="94"/>
        <v>#N/A</v>
      </c>
      <c r="AJ101" s="279" t="e">
        <f ca="1">INDEX(RESULTADOS!$A:$BA,MATCH($A101,RESULTADOS!$A:$A,0),MATCH(AJ$1,RESULTADOS!$1:$1,0))</f>
        <v>#N/A</v>
      </c>
      <c r="AK101" s="279" t="e">
        <f ca="1">INDEX(RESULTADOS!$A:$BA,MATCH($A101,RESULTADOS!$A:$A,0),MATCH(AK$1,RESULTADOS!$1:$1,0))</f>
        <v>#N/A</v>
      </c>
      <c r="AL101" s="13" t="e">
        <f t="shared" ca="1" si="95"/>
        <v>#N/A</v>
      </c>
      <c r="AM101" s="14" t="e">
        <f t="shared" ca="1" si="96"/>
        <v>#N/A</v>
      </c>
      <c r="AN101" s="52" t="e">
        <f t="shared" ca="1" si="97"/>
        <v>#N/A</v>
      </c>
      <c r="AO101" s="279" t="e">
        <f ca="1">INDEX(RESULTADOS!$A:$BA,MATCH($A101,RESULTADOS!$A:$A,0),MATCH(AO$1,RESULTADOS!$1:$1,0))</f>
        <v>#N/A</v>
      </c>
      <c r="AP101" s="52" t="e">
        <f t="shared" ca="1" si="98"/>
        <v>#N/A</v>
      </c>
    </row>
    <row r="102" spans="1:42" s="272" customFormat="1" x14ac:dyDescent="0.2">
      <c r="A102" s="273">
        <f t="shared" ca="1" si="36"/>
        <v>43901</v>
      </c>
      <c r="B102" s="279" t="e">
        <f ca="1">INDEX(RESULTADOS!$A:$BA,MATCH($A102,RESULTADOS!$A:$A,0),MATCH(B$1,RESULTADOS!$1:$1,0))</f>
        <v>#N/A</v>
      </c>
      <c r="C102" s="52" t="e">
        <f t="shared" ca="1" si="80"/>
        <v>#N/A</v>
      </c>
      <c r="D102" s="52">
        <v>22</v>
      </c>
      <c r="E102" s="52" t="e">
        <f t="shared" ca="1" si="81"/>
        <v>#N/A</v>
      </c>
      <c r="F102" s="279" t="e">
        <f ca="1">INDEX(RESULTADOS!$A:$BA,MATCH($A102,RESULTADOS!$A:$A,0),MATCH(F$1,RESULTADOS!$1:$1,0))</f>
        <v>#N/A</v>
      </c>
      <c r="G102" s="52" t="e">
        <f t="shared" ca="1" si="82"/>
        <v>#N/A</v>
      </c>
      <c r="H102" s="279" t="e">
        <f ca="1">INDEX(RESULTADOS!$A:$BA,MATCH($A102,RESULTADOS!$A:$A,0),MATCH(H$1,RESULTADOS!$1:$1,0))</f>
        <v>#N/A</v>
      </c>
      <c r="I102" s="279" t="e">
        <f ca="1">INDEX(RESULTADOS!$A:$BA,MATCH($A102,RESULTADOS!$A:$A,0),MATCH(I$1,RESULTADOS!$1:$1,0))</f>
        <v>#N/A</v>
      </c>
      <c r="J102" s="279" t="e">
        <f ca="1">INDEX(RESULTADOS!$A:$BA,MATCH($A102,RESULTADOS!$A:$A,0),MATCH(J$1,RESULTADOS!$1:$1,0))</f>
        <v>#N/A</v>
      </c>
      <c r="K102" s="52" t="e">
        <f t="shared" ca="1" si="83"/>
        <v>#N/A</v>
      </c>
      <c r="L102" s="52" t="e">
        <f t="shared" ca="1" si="84"/>
        <v>#N/A</v>
      </c>
      <c r="M102" s="279" t="e">
        <f ca="1">INDEX(RESULTADOS!$A:$BA,MATCH($A102,RESULTADOS!$A:$A,0),MATCH(M$1,RESULTADOS!$1:$1,0))</f>
        <v>#N/A</v>
      </c>
      <c r="N102" s="52" t="e">
        <f t="shared" ca="1" si="71"/>
        <v>#N/A</v>
      </c>
      <c r="O102" s="52" t="e">
        <f t="shared" ca="1" si="85"/>
        <v>#N/A</v>
      </c>
      <c r="P102" s="52" t="e">
        <f t="shared" ca="1" si="72"/>
        <v>#N/A</v>
      </c>
      <c r="Q102" s="52" t="e">
        <f t="shared" ca="1" si="86"/>
        <v>#N/A</v>
      </c>
      <c r="R102" s="52" t="e">
        <f t="shared" ca="1" si="73"/>
        <v>#N/A</v>
      </c>
      <c r="S102" s="52" t="e">
        <f t="shared" ca="1" si="87"/>
        <v>#N/A</v>
      </c>
      <c r="T102" s="52" t="e">
        <f t="shared" ca="1" si="74"/>
        <v>#N/A</v>
      </c>
      <c r="U102" s="52" t="e">
        <f t="shared" ca="1" si="88"/>
        <v>#N/A</v>
      </c>
      <c r="V102" s="52" t="e">
        <f t="shared" ca="1" si="75"/>
        <v>#N/A</v>
      </c>
      <c r="W102" s="52" t="e">
        <f t="shared" ca="1" si="89"/>
        <v>#N/A</v>
      </c>
      <c r="X102" s="11" t="e">
        <f t="shared" ca="1" si="76"/>
        <v>#N/A</v>
      </c>
      <c r="Y102" s="279" t="e">
        <f ca="1">INDEX(RESULTADOS!$A:$BA,MATCH($A102,RESULTADOS!$A:$A,0),MATCH(Y$1,RESULTADOS!$1:$1,0))</f>
        <v>#N/A</v>
      </c>
      <c r="Z102" s="52" t="e">
        <f t="shared" ca="1" si="90"/>
        <v>#N/A</v>
      </c>
      <c r="AA102" s="52" t="e">
        <f t="shared" ca="1" si="91"/>
        <v>#N/A</v>
      </c>
      <c r="AB102" s="11"/>
      <c r="AC102" s="279" t="e">
        <f ca="1">INDEX(RESULTADOS!$A:$BA,MATCH($A102,RESULTADOS!$A:$A,0),MATCH(AC$1,RESULTADOS!$1:$1,0))</f>
        <v>#N/A</v>
      </c>
      <c r="AD102" s="52" t="e">
        <f t="shared" ca="1" si="77"/>
        <v>#N/A</v>
      </c>
      <c r="AE102" s="52" t="e">
        <f t="shared" ca="1" si="92"/>
        <v>#N/A</v>
      </c>
      <c r="AF102" s="52" t="e">
        <f t="shared" ca="1" si="78"/>
        <v>#N/A</v>
      </c>
      <c r="AG102" s="52" t="e">
        <f t="shared" ca="1" si="93"/>
        <v>#N/A</v>
      </c>
      <c r="AH102" s="52" t="e">
        <f t="shared" ca="1" si="79"/>
        <v>#N/A</v>
      </c>
      <c r="AI102" s="52" t="e">
        <f t="shared" ca="1" si="94"/>
        <v>#N/A</v>
      </c>
      <c r="AJ102" s="279" t="e">
        <f ca="1">INDEX(RESULTADOS!$A:$BA,MATCH($A102,RESULTADOS!$A:$A,0),MATCH(AJ$1,RESULTADOS!$1:$1,0))</f>
        <v>#N/A</v>
      </c>
      <c r="AK102" s="279" t="e">
        <f ca="1">INDEX(RESULTADOS!$A:$BA,MATCH($A102,RESULTADOS!$A:$A,0),MATCH(AK$1,RESULTADOS!$1:$1,0))</f>
        <v>#N/A</v>
      </c>
      <c r="AL102" s="13" t="e">
        <f t="shared" ca="1" si="95"/>
        <v>#N/A</v>
      </c>
      <c r="AM102" s="14" t="e">
        <f t="shared" ca="1" si="96"/>
        <v>#N/A</v>
      </c>
      <c r="AN102" s="52" t="e">
        <f t="shared" ca="1" si="97"/>
        <v>#N/A</v>
      </c>
      <c r="AO102" s="279" t="e">
        <f ca="1">INDEX(RESULTADOS!$A:$BA,MATCH($A102,RESULTADOS!$A:$A,0),MATCH(AO$1,RESULTADOS!$1:$1,0))</f>
        <v>#N/A</v>
      </c>
      <c r="AP102" s="52" t="e">
        <f t="shared" ca="1" si="98"/>
        <v>#N/A</v>
      </c>
    </row>
    <row r="103" spans="1:42" s="272" customFormat="1" x14ac:dyDescent="0.2">
      <c r="A103" s="273">
        <f t="shared" ca="1" si="36"/>
        <v>43902</v>
      </c>
      <c r="B103" s="279" t="e">
        <f ca="1">INDEX(RESULTADOS!$A:$BA,MATCH($A103,RESULTADOS!$A:$A,0),MATCH(B$1,RESULTADOS!$1:$1,0))</f>
        <v>#N/A</v>
      </c>
      <c r="C103" s="52" t="e">
        <f t="shared" ca="1" si="80"/>
        <v>#N/A</v>
      </c>
      <c r="D103" s="52">
        <v>23</v>
      </c>
      <c r="E103" s="52" t="e">
        <f t="shared" ca="1" si="81"/>
        <v>#N/A</v>
      </c>
      <c r="F103" s="279" t="e">
        <f ca="1">INDEX(RESULTADOS!$A:$BA,MATCH($A103,RESULTADOS!$A:$A,0),MATCH(F$1,RESULTADOS!$1:$1,0))</f>
        <v>#N/A</v>
      </c>
      <c r="G103" s="52" t="e">
        <f t="shared" ca="1" si="82"/>
        <v>#N/A</v>
      </c>
      <c r="H103" s="279" t="e">
        <f ca="1">INDEX(RESULTADOS!$A:$BA,MATCH($A103,RESULTADOS!$A:$A,0),MATCH(H$1,RESULTADOS!$1:$1,0))</f>
        <v>#N/A</v>
      </c>
      <c r="I103" s="279" t="e">
        <f ca="1">INDEX(RESULTADOS!$A:$BA,MATCH($A103,RESULTADOS!$A:$A,0),MATCH(I$1,RESULTADOS!$1:$1,0))</f>
        <v>#N/A</v>
      </c>
      <c r="J103" s="279" t="e">
        <f ca="1">INDEX(RESULTADOS!$A:$BA,MATCH($A103,RESULTADOS!$A:$A,0),MATCH(J$1,RESULTADOS!$1:$1,0))</f>
        <v>#N/A</v>
      </c>
      <c r="K103" s="52" t="e">
        <f t="shared" ca="1" si="83"/>
        <v>#N/A</v>
      </c>
      <c r="L103" s="52" t="e">
        <f t="shared" ca="1" si="84"/>
        <v>#N/A</v>
      </c>
      <c r="M103" s="279" t="e">
        <f ca="1">INDEX(RESULTADOS!$A:$BA,MATCH($A103,RESULTADOS!$A:$A,0),MATCH(M$1,RESULTADOS!$1:$1,0))</f>
        <v>#N/A</v>
      </c>
      <c r="N103" s="52" t="e">
        <f t="shared" ca="1" si="71"/>
        <v>#N/A</v>
      </c>
      <c r="O103" s="52" t="e">
        <f t="shared" ca="1" si="85"/>
        <v>#N/A</v>
      </c>
      <c r="P103" s="52" t="e">
        <f t="shared" ca="1" si="72"/>
        <v>#N/A</v>
      </c>
      <c r="Q103" s="52" t="e">
        <f t="shared" ca="1" si="86"/>
        <v>#N/A</v>
      </c>
      <c r="R103" s="52" t="e">
        <f t="shared" ca="1" si="73"/>
        <v>#N/A</v>
      </c>
      <c r="S103" s="52" t="e">
        <f t="shared" ca="1" si="87"/>
        <v>#N/A</v>
      </c>
      <c r="T103" s="52" t="e">
        <f t="shared" ca="1" si="74"/>
        <v>#N/A</v>
      </c>
      <c r="U103" s="52" t="e">
        <f t="shared" ca="1" si="88"/>
        <v>#N/A</v>
      </c>
      <c r="V103" s="52" t="e">
        <f t="shared" ca="1" si="75"/>
        <v>#N/A</v>
      </c>
      <c r="W103" s="52" t="e">
        <f t="shared" ca="1" si="89"/>
        <v>#N/A</v>
      </c>
      <c r="X103" s="11" t="e">
        <f t="shared" ca="1" si="76"/>
        <v>#N/A</v>
      </c>
      <c r="Y103" s="279" t="e">
        <f ca="1">INDEX(RESULTADOS!$A:$BA,MATCH($A103,RESULTADOS!$A:$A,0),MATCH(Y$1,RESULTADOS!$1:$1,0))</f>
        <v>#N/A</v>
      </c>
      <c r="Z103" s="52" t="e">
        <f t="shared" ca="1" si="90"/>
        <v>#N/A</v>
      </c>
      <c r="AA103" s="52" t="e">
        <f t="shared" ca="1" si="91"/>
        <v>#N/A</v>
      </c>
      <c r="AB103" s="11"/>
      <c r="AC103" s="279" t="e">
        <f ca="1">INDEX(RESULTADOS!$A:$BA,MATCH($A103,RESULTADOS!$A:$A,0),MATCH(AC$1,RESULTADOS!$1:$1,0))</f>
        <v>#N/A</v>
      </c>
      <c r="AD103" s="52" t="e">
        <f t="shared" ca="1" si="77"/>
        <v>#N/A</v>
      </c>
      <c r="AE103" s="52" t="e">
        <f t="shared" ca="1" si="92"/>
        <v>#N/A</v>
      </c>
      <c r="AF103" s="52" t="e">
        <f t="shared" ca="1" si="78"/>
        <v>#N/A</v>
      </c>
      <c r="AG103" s="52" t="e">
        <f t="shared" ca="1" si="93"/>
        <v>#N/A</v>
      </c>
      <c r="AH103" s="52" t="e">
        <f t="shared" ca="1" si="79"/>
        <v>#N/A</v>
      </c>
      <c r="AI103" s="52" t="e">
        <f t="shared" ca="1" si="94"/>
        <v>#N/A</v>
      </c>
      <c r="AJ103" s="279" t="e">
        <f ca="1">INDEX(RESULTADOS!$A:$BA,MATCH($A103,RESULTADOS!$A:$A,0),MATCH(AJ$1,RESULTADOS!$1:$1,0))</f>
        <v>#N/A</v>
      </c>
      <c r="AK103" s="279" t="e">
        <f ca="1">INDEX(RESULTADOS!$A:$BA,MATCH($A103,RESULTADOS!$A:$A,0),MATCH(AK$1,RESULTADOS!$1:$1,0))</f>
        <v>#N/A</v>
      </c>
      <c r="AL103" s="13" t="e">
        <f t="shared" ca="1" si="95"/>
        <v>#N/A</v>
      </c>
      <c r="AM103" s="14" t="e">
        <f t="shared" ca="1" si="96"/>
        <v>#N/A</v>
      </c>
      <c r="AN103" s="52" t="e">
        <f t="shared" ca="1" si="97"/>
        <v>#N/A</v>
      </c>
      <c r="AO103" s="279" t="e">
        <f ca="1">INDEX(RESULTADOS!$A:$BA,MATCH($A103,RESULTADOS!$A:$A,0),MATCH(AO$1,RESULTADOS!$1:$1,0))</f>
        <v>#N/A</v>
      </c>
      <c r="AP103" s="52" t="e">
        <f t="shared" ca="1" si="98"/>
        <v>#N/A</v>
      </c>
    </row>
    <row r="104" spans="1:42" s="272" customFormat="1" x14ac:dyDescent="0.2">
      <c r="A104" s="273">
        <f t="shared" ca="1" si="36"/>
        <v>43903</v>
      </c>
      <c r="B104" s="279" t="e">
        <f ca="1">INDEX(RESULTADOS!$A:$BA,MATCH($A104,RESULTADOS!$A:$A,0),MATCH(B$1,RESULTADOS!$1:$1,0))</f>
        <v>#N/A</v>
      </c>
      <c r="C104" s="52" t="e">
        <f t="shared" ca="1" si="80"/>
        <v>#N/A</v>
      </c>
      <c r="D104" s="52">
        <v>24</v>
      </c>
      <c r="E104" s="52" t="e">
        <f t="shared" ca="1" si="81"/>
        <v>#N/A</v>
      </c>
      <c r="F104" s="279" t="e">
        <f ca="1">INDEX(RESULTADOS!$A:$BA,MATCH($A104,RESULTADOS!$A:$A,0),MATCH(F$1,RESULTADOS!$1:$1,0))</f>
        <v>#N/A</v>
      </c>
      <c r="G104" s="52" t="e">
        <f t="shared" ca="1" si="82"/>
        <v>#N/A</v>
      </c>
      <c r="H104" s="279" t="e">
        <f ca="1">INDEX(RESULTADOS!$A:$BA,MATCH($A104,RESULTADOS!$A:$A,0),MATCH(H$1,RESULTADOS!$1:$1,0))</f>
        <v>#N/A</v>
      </c>
      <c r="I104" s="279" t="e">
        <f ca="1">INDEX(RESULTADOS!$A:$BA,MATCH($A104,RESULTADOS!$A:$A,0),MATCH(I$1,RESULTADOS!$1:$1,0))</f>
        <v>#N/A</v>
      </c>
      <c r="J104" s="279" t="e">
        <f ca="1">INDEX(RESULTADOS!$A:$BA,MATCH($A104,RESULTADOS!$A:$A,0),MATCH(J$1,RESULTADOS!$1:$1,0))</f>
        <v>#N/A</v>
      </c>
      <c r="K104" s="52" t="e">
        <f t="shared" ca="1" si="83"/>
        <v>#N/A</v>
      </c>
      <c r="L104" s="52" t="e">
        <f t="shared" ca="1" si="84"/>
        <v>#N/A</v>
      </c>
      <c r="M104" s="279" t="e">
        <f ca="1">INDEX(RESULTADOS!$A:$BA,MATCH($A104,RESULTADOS!$A:$A,0),MATCH(M$1,RESULTADOS!$1:$1,0))</f>
        <v>#N/A</v>
      </c>
      <c r="N104" s="52" t="e">
        <f t="shared" ca="1" si="71"/>
        <v>#N/A</v>
      </c>
      <c r="O104" s="52" t="e">
        <f t="shared" ca="1" si="85"/>
        <v>#N/A</v>
      </c>
      <c r="P104" s="52" t="e">
        <f t="shared" ca="1" si="72"/>
        <v>#N/A</v>
      </c>
      <c r="Q104" s="52" t="e">
        <f t="shared" ca="1" si="86"/>
        <v>#N/A</v>
      </c>
      <c r="R104" s="52" t="e">
        <f t="shared" ca="1" si="73"/>
        <v>#N/A</v>
      </c>
      <c r="S104" s="52" t="e">
        <f t="shared" ca="1" si="87"/>
        <v>#N/A</v>
      </c>
      <c r="T104" s="52" t="e">
        <f t="shared" ca="1" si="74"/>
        <v>#N/A</v>
      </c>
      <c r="U104" s="52" t="e">
        <f t="shared" ca="1" si="88"/>
        <v>#N/A</v>
      </c>
      <c r="V104" s="52" t="e">
        <f t="shared" ca="1" si="75"/>
        <v>#N/A</v>
      </c>
      <c r="W104" s="52" t="e">
        <f t="shared" ca="1" si="89"/>
        <v>#N/A</v>
      </c>
      <c r="X104" s="11" t="e">
        <f t="shared" ca="1" si="76"/>
        <v>#N/A</v>
      </c>
      <c r="Y104" s="279" t="e">
        <f ca="1">INDEX(RESULTADOS!$A:$BA,MATCH($A104,RESULTADOS!$A:$A,0),MATCH(Y$1,RESULTADOS!$1:$1,0))</f>
        <v>#N/A</v>
      </c>
      <c r="Z104" s="52" t="e">
        <f t="shared" ca="1" si="90"/>
        <v>#N/A</v>
      </c>
      <c r="AA104" s="52" t="e">
        <f t="shared" ca="1" si="91"/>
        <v>#N/A</v>
      </c>
      <c r="AB104" s="11"/>
      <c r="AC104" s="279" t="e">
        <f ca="1">INDEX(RESULTADOS!$A:$BA,MATCH($A104,RESULTADOS!$A:$A,0),MATCH(AC$1,RESULTADOS!$1:$1,0))</f>
        <v>#N/A</v>
      </c>
      <c r="AD104" s="52" t="e">
        <f t="shared" ca="1" si="77"/>
        <v>#N/A</v>
      </c>
      <c r="AE104" s="52" t="e">
        <f t="shared" ca="1" si="92"/>
        <v>#N/A</v>
      </c>
      <c r="AF104" s="52" t="e">
        <f t="shared" ca="1" si="78"/>
        <v>#N/A</v>
      </c>
      <c r="AG104" s="52" t="e">
        <f t="shared" ca="1" si="93"/>
        <v>#N/A</v>
      </c>
      <c r="AH104" s="52" t="e">
        <f t="shared" ca="1" si="79"/>
        <v>#N/A</v>
      </c>
      <c r="AI104" s="52" t="e">
        <f t="shared" ca="1" si="94"/>
        <v>#N/A</v>
      </c>
      <c r="AJ104" s="279" t="e">
        <f ca="1">INDEX(RESULTADOS!$A:$BA,MATCH($A104,RESULTADOS!$A:$A,0),MATCH(AJ$1,RESULTADOS!$1:$1,0))</f>
        <v>#N/A</v>
      </c>
      <c r="AK104" s="279" t="e">
        <f ca="1">INDEX(RESULTADOS!$A:$BA,MATCH($A104,RESULTADOS!$A:$A,0),MATCH(AK$1,RESULTADOS!$1:$1,0))</f>
        <v>#N/A</v>
      </c>
      <c r="AL104" s="13" t="e">
        <f t="shared" ca="1" si="95"/>
        <v>#N/A</v>
      </c>
      <c r="AM104" s="14" t="e">
        <f t="shared" ca="1" si="96"/>
        <v>#N/A</v>
      </c>
      <c r="AN104" s="52" t="e">
        <f t="shared" ca="1" si="97"/>
        <v>#N/A</v>
      </c>
      <c r="AO104" s="279" t="e">
        <f ca="1">INDEX(RESULTADOS!$A:$BA,MATCH($A104,RESULTADOS!$A:$A,0),MATCH(AO$1,RESULTADOS!$1:$1,0))</f>
        <v>#N/A</v>
      </c>
      <c r="AP104" s="52" t="e">
        <f t="shared" ca="1" si="98"/>
        <v>#N/A</v>
      </c>
    </row>
    <row r="105" spans="1:42" s="272" customFormat="1" x14ac:dyDescent="0.2">
      <c r="A105" s="273">
        <f t="shared" ca="1" si="36"/>
        <v>43904</v>
      </c>
      <c r="B105" s="279" t="e">
        <f ca="1">INDEX(RESULTADOS!$A:$BA,MATCH($A105,RESULTADOS!$A:$A,0),MATCH(B$1,RESULTADOS!$1:$1,0))</f>
        <v>#N/A</v>
      </c>
      <c r="C105" s="52" t="e">
        <f t="shared" ca="1" si="80"/>
        <v>#N/A</v>
      </c>
      <c r="D105" s="52">
        <v>25</v>
      </c>
      <c r="E105" s="52" t="e">
        <f t="shared" ca="1" si="81"/>
        <v>#N/A</v>
      </c>
      <c r="F105" s="279" t="e">
        <f ca="1">INDEX(RESULTADOS!$A:$BA,MATCH($A105,RESULTADOS!$A:$A,0),MATCH(F$1,RESULTADOS!$1:$1,0))</f>
        <v>#N/A</v>
      </c>
      <c r="G105" s="52" t="e">
        <f t="shared" ca="1" si="82"/>
        <v>#N/A</v>
      </c>
      <c r="H105" s="279" t="e">
        <f ca="1">INDEX(RESULTADOS!$A:$BA,MATCH($A105,RESULTADOS!$A:$A,0),MATCH(H$1,RESULTADOS!$1:$1,0))</f>
        <v>#N/A</v>
      </c>
      <c r="I105" s="279" t="e">
        <f ca="1">INDEX(RESULTADOS!$A:$BA,MATCH($A105,RESULTADOS!$A:$A,0),MATCH(I$1,RESULTADOS!$1:$1,0))</f>
        <v>#N/A</v>
      </c>
      <c r="J105" s="279" t="e">
        <f ca="1">INDEX(RESULTADOS!$A:$BA,MATCH($A105,RESULTADOS!$A:$A,0),MATCH(J$1,RESULTADOS!$1:$1,0))</f>
        <v>#N/A</v>
      </c>
      <c r="K105" s="52" t="e">
        <f t="shared" ca="1" si="83"/>
        <v>#N/A</v>
      </c>
      <c r="L105" s="52" t="e">
        <f t="shared" ca="1" si="84"/>
        <v>#N/A</v>
      </c>
      <c r="M105" s="279" t="e">
        <f ca="1">INDEX(RESULTADOS!$A:$BA,MATCH($A105,RESULTADOS!$A:$A,0),MATCH(M$1,RESULTADOS!$1:$1,0))</f>
        <v>#N/A</v>
      </c>
      <c r="N105" s="52" t="e">
        <f t="shared" ca="1" si="71"/>
        <v>#N/A</v>
      </c>
      <c r="O105" s="52" t="e">
        <f t="shared" ca="1" si="85"/>
        <v>#N/A</v>
      </c>
      <c r="P105" s="52" t="e">
        <f t="shared" ca="1" si="72"/>
        <v>#N/A</v>
      </c>
      <c r="Q105" s="52" t="e">
        <f t="shared" ca="1" si="86"/>
        <v>#N/A</v>
      </c>
      <c r="R105" s="52" t="e">
        <f t="shared" ca="1" si="73"/>
        <v>#N/A</v>
      </c>
      <c r="S105" s="52" t="e">
        <f t="shared" ca="1" si="87"/>
        <v>#N/A</v>
      </c>
      <c r="T105" s="52" t="e">
        <f t="shared" ca="1" si="74"/>
        <v>#N/A</v>
      </c>
      <c r="U105" s="52" t="e">
        <f t="shared" ca="1" si="88"/>
        <v>#N/A</v>
      </c>
      <c r="V105" s="52" t="e">
        <f t="shared" ca="1" si="75"/>
        <v>#N/A</v>
      </c>
      <c r="W105" s="52" t="e">
        <f t="shared" ca="1" si="89"/>
        <v>#N/A</v>
      </c>
      <c r="X105" s="11" t="e">
        <f t="shared" ca="1" si="76"/>
        <v>#N/A</v>
      </c>
      <c r="Y105" s="279" t="e">
        <f ca="1">INDEX(RESULTADOS!$A:$BA,MATCH($A105,RESULTADOS!$A:$A,0),MATCH(Y$1,RESULTADOS!$1:$1,0))</f>
        <v>#N/A</v>
      </c>
      <c r="Z105" s="52" t="e">
        <f t="shared" ca="1" si="90"/>
        <v>#N/A</v>
      </c>
      <c r="AA105" s="52" t="e">
        <f t="shared" ca="1" si="91"/>
        <v>#N/A</v>
      </c>
      <c r="AB105" s="11"/>
      <c r="AC105" s="279" t="e">
        <f ca="1">INDEX(RESULTADOS!$A:$BA,MATCH($A105,RESULTADOS!$A:$A,0),MATCH(AC$1,RESULTADOS!$1:$1,0))</f>
        <v>#N/A</v>
      </c>
      <c r="AD105" s="52" t="e">
        <f t="shared" ca="1" si="77"/>
        <v>#N/A</v>
      </c>
      <c r="AE105" s="52" t="e">
        <f t="shared" ca="1" si="92"/>
        <v>#N/A</v>
      </c>
      <c r="AF105" s="52" t="e">
        <f t="shared" ca="1" si="78"/>
        <v>#N/A</v>
      </c>
      <c r="AG105" s="52" t="e">
        <f t="shared" ca="1" si="93"/>
        <v>#N/A</v>
      </c>
      <c r="AH105" s="52" t="e">
        <f t="shared" ca="1" si="79"/>
        <v>#N/A</v>
      </c>
      <c r="AI105" s="52" t="e">
        <f t="shared" ca="1" si="94"/>
        <v>#N/A</v>
      </c>
      <c r="AJ105" s="279" t="e">
        <f ca="1">INDEX(RESULTADOS!$A:$BA,MATCH($A105,RESULTADOS!$A:$A,0),MATCH(AJ$1,RESULTADOS!$1:$1,0))</f>
        <v>#N/A</v>
      </c>
      <c r="AK105" s="279" t="e">
        <f ca="1">INDEX(RESULTADOS!$A:$BA,MATCH($A105,RESULTADOS!$A:$A,0),MATCH(AK$1,RESULTADOS!$1:$1,0))</f>
        <v>#N/A</v>
      </c>
      <c r="AL105" s="13" t="e">
        <f t="shared" ca="1" si="95"/>
        <v>#N/A</v>
      </c>
      <c r="AM105" s="14" t="e">
        <f t="shared" ca="1" si="96"/>
        <v>#N/A</v>
      </c>
      <c r="AN105" s="52" t="e">
        <f t="shared" ca="1" si="97"/>
        <v>#N/A</v>
      </c>
      <c r="AO105" s="279" t="e">
        <f ca="1">INDEX(RESULTADOS!$A:$BA,MATCH($A105,RESULTADOS!$A:$A,0),MATCH(AO$1,RESULTADOS!$1:$1,0))</f>
        <v>#N/A</v>
      </c>
      <c r="AP105" s="52" t="e">
        <f t="shared" ca="1" si="98"/>
        <v>#N/A</v>
      </c>
    </row>
    <row r="106" spans="1:42" s="272" customFormat="1" x14ac:dyDescent="0.2">
      <c r="A106" s="273">
        <f t="shared" ca="1" si="36"/>
        <v>43905</v>
      </c>
      <c r="B106" s="279" t="e">
        <f ca="1">INDEX(RESULTADOS!$A:$BA,MATCH($A106,RESULTADOS!$A:$A,0),MATCH(B$1,RESULTADOS!$1:$1,0))</f>
        <v>#N/A</v>
      </c>
      <c r="C106" s="52" t="e">
        <f t="shared" ca="1" si="80"/>
        <v>#N/A</v>
      </c>
      <c r="D106" s="52">
        <v>26</v>
      </c>
      <c r="E106" s="52" t="e">
        <f t="shared" ca="1" si="81"/>
        <v>#N/A</v>
      </c>
      <c r="F106" s="279" t="e">
        <f ca="1">INDEX(RESULTADOS!$A:$BA,MATCH($A106,RESULTADOS!$A:$A,0),MATCH(F$1,RESULTADOS!$1:$1,0))</f>
        <v>#N/A</v>
      </c>
      <c r="G106" s="52" t="e">
        <f t="shared" ca="1" si="82"/>
        <v>#N/A</v>
      </c>
      <c r="H106" s="279" t="e">
        <f ca="1">INDEX(RESULTADOS!$A:$BA,MATCH($A106,RESULTADOS!$A:$A,0),MATCH(H$1,RESULTADOS!$1:$1,0))</f>
        <v>#N/A</v>
      </c>
      <c r="I106" s="279" t="e">
        <f ca="1">INDEX(RESULTADOS!$A:$BA,MATCH($A106,RESULTADOS!$A:$A,0),MATCH(I$1,RESULTADOS!$1:$1,0))</f>
        <v>#N/A</v>
      </c>
      <c r="J106" s="279" t="e">
        <f ca="1">INDEX(RESULTADOS!$A:$BA,MATCH($A106,RESULTADOS!$A:$A,0),MATCH(J$1,RESULTADOS!$1:$1,0))</f>
        <v>#N/A</v>
      </c>
      <c r="K106" s="52" t="e">
        <f t="shared" ca="1" si="83"/>
        <v>#N/A</v>
      </c>
      <c r="L106" s="52" t="e">
        <f t="shared" ca="1" si="84"/>
        <v>#N/A</v>
      </c>
      <c r="M106" s="279" t="e">
        <f ca="1">INDEX(RESULTADOS!$A:$BA,MATCH($A106,RESULTADOS!$A:$A,0),MATCH(M$1,RESULTADOS!$1:$1,0))</f>
        <v>#N/A</v>
      </c>
      <c r="N106" s="52" t="e">
        <f t="shared" ca="1" si="71"/>
        <v>#N/A</v>
      </c>
      <c r="O106" s="52" t="e">
        <f t="shared" ca="1" si="85"/>
        <v>#N/A</v>
      </c>
      <c r="P106" s="52" t="e">
        <f t="shared" ca="1" si="72"/>
        <v>#N/A</v>
      </c>
      <c r="Q106" s="52" t="e">
        <f t="shared" ca="1" si="86"/>
        <v>#N/A</v>
      </c>
      <c r="R106" s="52" t="e">
        <f t="shared" ca="1" si="73"/>
        <v>#N/A</v>
      </c>
      <c r="S106" s="52" t="e">
        <f t="shared" ca="1" si="87"/>
        <v>#N/A</v>
      </c>
      <c r="T106" s="52" t="e">
        <f t="shared" ca="1" si="74"/>
        <v>#N/A</v>
      </c>
      <c r="U106" s="52" t="e">
        <f t="shared" ca="1" si="88"/>
        <v>#N/A</v>
      </c>
      <c r="V106" s="52" t="e">
        <f t="shared" ca="1" si="75"/>
        <v>#N/A</v>
      </c>
      <c r="W106" s="52" t="e">
        <f t="shared" ca="1" si="89"/>
        <v>#N/A</v>
      </c>
      <c r="X106" s="11" t="e">
        <f t="shared" ca="1" si="76"/>
        <v>#N/A</v>
      </c>
      <c r="Y106" s="279" t="e">
        <f ca="1">INDEX(RESULTADOS!$A:$BA,MATCH($A106,RESULTADOS!$A:$A,0),MATCH(Y$1,RESULTADOS!$1:$1,0))</f>
        <v>#N/A</v>
      </c>
      <c r="Z106" s="52" t="e">
        <f t="shared" ca="1" si="90"/>
        <v>#N/A</v>
      </c>
      <c r="AA106" s="52" t="e">
        <f t="shared" ca="1" si="91"/>
        <v>#N/A</v>
      </c>
      <c r="AB106" s="11"/>
      <c r="AC106" s="279" t="e">
        <f ca="1">INDEX(RESULTADOS!$A:$BA,MATCH($A106,RESULTADOS!$A:$A,0),MATCH(AC$1,RESULTADOS!$1:$1,0))</f>
        <v>#N/A</v>
      </c>
      <c r="AD106" s="52" t="e">
        <f t="shared" ca="1" si="77"/>
        <v>#N/A</v>
      </c>
      <c r="AE106" s="52" t="e">
        <f t="shared" ca="1" si="92"/>
        <v>#N/A</v>
      </c>
      <c r="AF106" s="52" t="e">
        <f t="shared" ca="1" si="78"/>
        <v>#N/A</v>
      </c>
      <c r="AG106" s="52" t="e">
        <f t="shared" ca="1" si="93"/>
        <v>#N/A</v>
      </c>
      <c r="AH106" s="52" t="e">
        <f t="shared" ca="1" si="79"/>
        <v>#N/A</v>
      </c>
      <c r="AI106" s="52" t="e">
        <f t="shared" ca="1" si="94"/>
        <v>#N/A</v>
      </c>
      <c r="AJ106" s="279" t="e">
        <f ca="1">INDEX(RESULTADOS!$A:$BA,MATCH($A106,RESULTADOS!$A:$A,0),MATCH(AJ$1,RESULTADOS!$1:$1,0))</f>
        <v>#N/A</v>
      </c>
      <c r="AK106" s="279" t="e">
        <f ca="1">INDEX(RESULTADOS!$A:$BA,MATCH($A106,RESULTADOS!$A:$A,0),MATCH(AK$1,RESULTADOS!$1:$1,0))</f>
        <v>#N/A</v>
      </c>
      <c r="AL106" s="13" t="e">
        <f t="shared" ca="1" si="95"/>
        <v>#N/A</v>
      </c>
      <c r="AM106" s="14" t="e">
        <f t="shared" ca="1" si="96"/>
        <v>#N/A</v>
      </c>
      <c r="AN106" s="52" t="e">
        <f t="shared" ca="1" si="97"/>
        <v>#N/A</v>
      </c>
      <c r="AO106" s="279" t="e">
        <f ca="1">INDEX(RESULTADOS!$A:$BA,MATCH($A106,RESULTADOS!$A:$A,0),MATCH(AO$1,RESULTADOS!$1:$1,0))</f>
        <v>#N/A</v>
      </c>
      <c r="AP106" s="52" t="e">
        <f t="shared" ca="1" si="98"/>
        <v>#N/A</v>
      </c>
    </row>
    <row r="107" spans="1:42" s="272" customFormat="1" x14ac:dyDescent="0.2">
      <c r="A107" s="273">
        <f t="shared" ca="1" si="36"/>
        <v>43906</v>
      </c>
      <c r="B107" s="279" t="e">
        <f ca="1">INDEX(RESULTADOS!$A:$BA,MATCH($A107,RESULTADOS!$A:$A,0),MATCH(B$1,RESULTADOS!$1:$1,0))</f>
        <v>#N/A</v>
      </c>
      <c r="C107" s="52" t="e">
        <f t="shared" ca="1" si="80"/>
        <v>#N/A</v>
      </c>
      <c r="D107" s="52">
        <v>27</v>
      </c>
      <c r="E107" s="52" t="e">
        <f t="shared" ca="1" si="81"/>
        <v>#N/A</v>
      </c>
      <c r="F107" s="279" t="e">
        <f ca="1">INDEX(RESULTADOS!$A:$BA,MATCH($A107,RESULTADOS!$A:$A,0),MATCH(F$1,RESULTADOS!$1:$1,0))</f>
        <v>#N/A</v>
      </c>
      <c r="G107" s="52" t="e">
        <f t="shared" ca="1" si="82"/>
        <v>#N/A</v>
      </c>
      <c r="H107" s="279" t="e">
        <f ca="1">INDEX(RESULTADOS!$A:$BA,MATCH($A107,RESULTADOS!$A:$A,0),MATCH(H$1,RESULTADOS!$1:$1,0))</f>
        <v>#N/A</v>
      </c>
      <c r="I107" s="279" t="e">
        <f ca="1">INDEX(RESULTADOS!$A:$BA,MATCH($A107,RESULTADOS!$A:$A,0),MATCH(I$1,RESULTADOS!$1:$1,0))</f>
        <v>#N/A</v>
      </c>
      <c r="J107" s="279" t="e">
        <f ca="1">INDEX(RESULTADOS!$A:$BA,MATCH($A107,RESULTADOS!$A:$A,0),MATCH(J$1,RESULTADOS!$1:$1,0))</f>
        <v>#N/A</v>
      </c>
      <c r="K107" s="52" t="e">
        <f t="shared" ca="1" si="83"/>
        <v>#N/A</v>
      </c>
      <c r="L107" s="52" t="e">
        <f t="shared" ca="1" si="84"/>
        <v>#N/A</v>
      </c>
      <c r="M107" s="279" t="e">
        <f ca="1">INDEX(RESULTADOS!$A:$BA,MATCH($A107,RESULTADOS!$A:$A,0),MATCH(M$1,RESULTADOS!$1:$1,0))</f>
        <v>#N/A</v>
      </c>
      <c r="N107" s="52" t="e">
        <f t="shared" ca="1" si="71"/>
        <v>#N/A</v>
      </c>
      <c r="O107" s="52" t="e">
        <f t="shared" ca="1" si="85"/>
        <v>#N/A</v>
      </c>
      <c r="P107" s="52" t="e">
        <f t="shared" ca="1" si="72"/>
        <v>#N/A</v>
      </c>
      <c r="Q107" s="52" t="e">
        <f t="shared" ca="1" si="86"/>
        <v>#N/A</v>
      </c>
      <c r="R107" s="52" t="e">
        <f t="shared" ca="1" si="73"/>
        <v>#N/A</v>
      </c>
      <c r="S107" s="52" t="e">
        <f t="shared" ca="1" si="87"/>
        <v>#N/A</v>
      </c>
      <c r="T107" s="52" t="e">
        <f t="shared" ca="1" si="74"/>
        <v>#N/A</v>
      </c>
      <c r="U107" s="52" t="e">
        <f t="shared" ca="1" si="88"/>
        <v>#N/A</v>
      </c>
      <c r="V107" s="52" t="e">
        <f t="shared" ca="1" si="75"/>
        <v>#N/A</v>
      </c>
      <c r="W107" s="52" t="e">
        <f t="shared" ca="1" si="89"/>
        <v>#N/A</v>
      </c>
      <c r="X107" s="11" t="e">
        <f t="shared" ca="1" si="76"/>
        <v>#N/A</v>
      </c>
      <c r="Y107" s="279" t="e">
        <f ca="1">INDEX(RESULTADOS!$A:$BA,MATCH($A107,RESULTADOS!$A:$A,0),MATCH(Y$1,RESULTADOS!$1:$1,0))</f>
        <v>#N/A</v>
      </c>
      <c r="Z107" s="52" t="e">
        <f t="shared" ca="1" si="90"/>
        <v>#N/A</v>
      </c>
      <c r="AA107" s="52" t="e">
        <f t="shared" ca="1" si="91"/>
        <v>#N/A</v>
      </c>
      <c r="AB107" s="11"/>
      <c r="AC107" s="279" t="e">
        <f ca="1">INDEX(RESULTADOS!$A:$BA,MATCH($A107,RESULTADOS!$A:$A,0),MATCH(AC$1,RESULTADOS!$1:$1,0))</f>
        <v>#N/A</v>
      </c>
      <c r="AD107" s="52" t="e">
        <f t="shared" ca="1" si="77"/>
        <v>#N/A</v>
      </c>
      <c r="AE107" s="52" t="e">
        <f t="shared" ca="1" si="92"/>
        <v>#N/A</v>
      </c>
      <c r="AF107" s="52" t="e">
        <f t="shared" ca="1" si="78"/>
        <v>#N/A</v>
      </c>
      <c r="AG107" s="52" t="e">
        <f t="shared" ca="1" si="93"/>
        <v>#N/A</v>
      </c>
      <c r="AH107" s="52" t="e">
        <f t="shared" ca="1" si="79"/>
        <v>#N/A</v>
      </c>
      <c r="AI107" s="52" t="e">
        <f t="shared" ca="1" si="94"/>
        <v>#N/A</v>
      </c>
      <c r="AJ107" s="279" t="e">
        <f ca="1">INDEX(RESULTADOS!$A:$BA,MATCH($A107,RESULTADOS!$A:$A,0),MATCH(AJ$1,RESULTADOS!$1:$1,0))</f>
        <v>#N/A</v>
      </c>
      <c r="AK107" s="279" t="e">
        <f ca="1">INDEX(RESULTADOS!$A:$BA,MATCH($A107,RESULTADOS!$A:$A,0),MATCH(AK$1,RESULTADOS!$1:$1,0))</f>
        <v>#N/A</v>
      </c>
      <c r="AL107" s="13" t="e">
        <f t="shared" ca="1" si="95"/>
        <v>#N/A</v>
      </c>
      <c r="AM107" s="14" t="e">
        <f t="shared" ca="1" si="96"/>
        <v>#N/A</v>
      </c>
      <c r="AN107" s="52" t="e">
        <f t="shared" ca="1" si="97"/>
        <v>#N/A</v>
      </c>
      <c r="AO107" s="279" t="e">
        <f ca="1">INDEX(RESULTADOS!$A:$BA,MATCH($A107,RESULTADOS!$A:$A,0),MATCH(AO$1,RESULTADOS!$1:$1,0))</f>
        <v>#N/A</v>
      </c>
      <c r="AP107" s="52" t="e">
        <f t="shared" ca="1" si="98"/>
        <v>#N/A</v>
      </c>
    </row>
    <row r="108" spans="1:42" s="272" customFormat="1" x14ac:dyDescent="0.2">
      <c r="A108" s="273">
        <f t="shared" ca="1" si="36"/>
        <v>43907</v>
      </c>
      <c r="B108" s="279" t="e">
        <f ca="1">INDEX(RESULTADOS!$A:$BA,MATCH($A108,RESULTADOS!$A:$A,0),MATCH(B$1,RESULTADOS!$1:$1,0))</f>
        <v>#N/A</v>
      </c>
      <c r="C108" s="52" t="e">
        <f t="shared" ca="1" si="80"/>
        <v>#N/A</v>
      </c>
      <c r="D108" s="52">
        <v>28</v>
      </c>
      <c r="E108" s="52" t="e">
        <f t="shared" ca="1" si="81"/>
        <v>#N/A</v>
      </c>
      <c r="F108" s="279" t="e">
        <f ca="1">INDEX(RESULTADOS!$A:$BA,MATCH($A108,RESULTADOS!$A:$A,0),MATCH(F$1,RESULTADOS!$1:$1,0))</f>
        <v>#N/A</v>
      </c>
      <c r="G108" s="52" t="e">
        <f t="shared" ca="1" si="82"/>
        <v>#N/A</v>
      </c>
      <c r="H108" s="279" t="e">
        <f ca="1">INDEX(RESULTADOS!$A:$BA,MATCH($A108,RESULTADOS!$A:$A,0),MATCH(H$1,RESULTADOS!$1:$1,0))</f>
        <v>#N/A</v>
      </c>
      <c r="I108" s="279" t="e">
        <f ca="1">INDEX(RESULTADOS!$A:$BA,MATCH($A108,RESULTADOS!$A:$A,0),MATCH(I$1,RESULTADOS!$1:$1,0))</f>
        <v>#N/A</v>
      </c>
      <c r="J108" s="279" t="e">
        <f ca="1">INDEX(RESULTADOS!$A:$BA,MATCH($A108,RESULTADOS!$A:$A,0),MATCH(J$1,RESULTADOS!$1:$1,0))</f>
        <v>#N/A</v>
      </c>
      <c r="K108" s="52" t="e">
        <f t="shared" ca="1" si="83"/>
        <v>#N/A</v>
      </c>
      <c r="L108" s="52" t="e">
        <f t="shared" ca="1" si="84"/>
        <v>#N/A</v>
      </c>
      <c r="M108" s="279" t="e">
        <f ca="1">INDEX(RESULTADOS!$A:$BA,MATCH($A108,RESULTADOS!$A:$A,0),MATCH(M$1,RESULTADOS!$1:$1,0))</f>
        <v>#N/A</v>
      </c>
      <c r="N108" s="52" t="e">
        <f t="shared" ca="1" si="71"/>
        <v>#N/A</v>
      </c>
      <c r="O108" s="52" t="e">
        <f t="shared" ca="1" si="85"/>
        <v>#N/A</v>
      </c>
      <c r="P108" s="52" t="e">
        <f t="shared" ca="1" si="72"/>
        <v>#N/A</v>
      </c>
      <c r="Q108" s="52" t="e">
        <f t="shared" ca="1" si="86"/>
        <v>#N/A</v>
      </c>
      <c r="R108" s="52" t="e">
        <f t="shared" ca="1" si="73"/>
        <v>#N/A</v>
      </c>
      <c r="S108" s="52" t="e">
        <f t="shared" ca="1" si="87"/>
        <v>#N/A</v>
      </c>
      <c r="T108" s="52" t="e">
        <f t="shared" ca="1" si="74"/>
        <v>#N/A</v>
      </c>
      <c r="U108" s="52" t="e">
        <f t="shared" ca="1" si="88"/>
        <v>#N/A</v>
      </c>
      <c r="V108" s="52" t="e">
        <f t="shared" ca="1" si="75"/>
        <v>#N/A</v>
      </c>
      <c r="W108" s="52" t="e">
        <f t="shared" ca="1" si="89"/>
        <v>#N/A</v>
      </c>
      <c r="X108" s="11" t="e">
        <f t="shared" ca="1" si="76"/>
        <v>#N/A</v>
      </c>
      <c r="Y108" s="279" t="e">
        <f ca="1">INDEX(RESULTADOS!$A:$BA,MATCH($A108,RESULTADOS!$A:$A,0),MATCH(Y$1,RESULTADOS!$1:$1,0))</f>
        <v>#N/A</v>
      </c>
      <c r="Z108" s="52" t="e">
        <f t="shared" ca="1" si="90"/>
        <v>#N/A</v>
      </c>
      <c r="AA108" s="52" t="e">
        <f t="shared" ca="1" si="91"/>
        <v>#N/A</v>
      </c>
      <c r="AB108" s="11"/>
      <c r="AC108" s="279" t="e">
        <f ca="1">INDEX(RESULTADOS!$A:$BA,MATCH($A108,RESULTADOS!$A:$A,0),MATCH(AC$1,RESULTADOS!$1:$1,0))</f>
        <v>#N/A</v>
      </c>
      <c r="AD108" s="52" t="e">
        <f t="shared" ca="1" si="77"/>
        <v>#N/A</v>
      </c>
      <c r="AE108" s="52" t="e">
        <f t="shared" ca="1" si="92"/>
        <v>#N/A</v>
      </c>
      <c r="AF108" s="52" t="e">
        <f t="shared" ca="1" si="78"/>
        <v>#N/A</v>
      </c>
      <c r="AG108" s="52" t="e">
        <f t="shared" ca="1" si="93"/>
        <v>#N/A</v>
      </c>
      <c r="AH108" s="52" t="e">
        <f t="shared" ca="1" si="79"/>
        <v>#N/A</v>
      </c>
      <c r="AI108" s="52" t="e">
        <f t="shared" ca="1" si="94"/>
        <v>#N/A</v>
      </c>
      <c r="AJ108" s="279" t="e">
        <f ca="1">INDEX(RESULTADOS!$A:$BA,MATCH($A108,RESULTADOS!$A:$A,0),MATCH(AJ$1,RESULTADOS!$1:$1,0))</f>
        <v>#N/A</v>
      </c>
      <c r="AK108" s="279" t="e">
        <f ca="1">INDEX(RESULTADOS!$A:$BA,MATCH($A108,RESULTADOS!$A:$A,0),MATCH(AK$1,RESULTADOS!$1:$1,0))</f>
        <v>#N/A</v>
      </c>
      <c r="AL108" s="13" t="e">
        <f t="shared" ca="1" si="95"/>
        <v>#N/A</v>
      </c>
      <c r="AM108" s="14" t="e">
        <f t="shared" ca="1" si="96"/>
        <v>#N/A</v>
      </c>
      <c r="AN108" s="52" t="e">
        <f t="shared" ca="1" si="97"/>
        <v>#N/A</v>
      </c>
      <c r="AO108" s="279" t="e">
        <f ca="1">INDEX(RESULTADOS!$A:$BA,MATCH($A108,RESULTADOS!$A:$A,0),MATCH(AO$1,RESULTADOS!$1:$1,0))</f>
        <v>#N/A</v>
      </c>
      <c r="AP108" s="52" t="e">
        <f t="shared" ca="1" si="98"/>
        <v>#N/A</v>
      </c>
    </row>
    <row r="109" spans="1:42" s="272" customFormat="1" x14ac:dyDescent="0.2">
      <c r="A109" s="273">
        <f t="shared" ca="1" si="36"/>
        <v>43908</v>
      </c>
      <c r="B109" s="279" t="e">
        <f ca="1">INDEX(RESULTADOS!$A:$BA,MATCH($A109,RESULTADOS!$A:$A,0),MATCH(B$1,RESULTADOS!$1:$1,0))</f>
        <v>#N/A</v>
      </c>
      <c r="C109" s="52" t="e">
        <f t="shared" ca="1" si="80"/>
        <v>#N/A</v>
      </c>
      <c r="D109" s="52">
        <v>29</v>
      </c>
      <c r="E109" s="52" t="e">
        <f t="shared" ca="1" si="81"/>
        <v>#N/A</v>
      </c>
      <c r="F109" s="279" t="e">
        <f ca="1">INDEX(RESULTADOS!$A:$BA,MATCH($A109,RESULTADOS!$A:$A,0),MATCH(F$1,RESULTADOS!$1:$1,0))</f>
        <v>#N/A</v>
      </c>
      <c r="G109" s="52" t="e">
        <f t="shared" ca="1" si="82"/>
        <v>#N/A</v>
      </c>
      <c r="H109" s="279" t="e">
        <f ca="1">INDEX(RESULTADOS!$A:$BA,MATCH($A109,RESULTADOS!$A:$A,0),MATCH(H$1,RESULTADOS!$1:$1,0))</f>
        <v>#N/A</v>
      </c>
      <c r="I109" s="279" t="e">
        <f ca="1">INDEX(RESULTADOS!$A:$BA,MATCH($A109,RESULTADOS!$A:$A,0),MATCH(I$1,RESULTADOS!$1:$1,0))</f>
        <v>#N/A</v>
      </c>
      <c r="J109" s="279" t="e">
        <f ca="1">INDEX(RESULTADOS!$A:$BA,MATCH($A109,RESULTADOS!$A:$A,0),MATCH(J$1,RESULTADOS!$1:$1,0))</f>
        <v>#N/A</v>
      </c>
      <c r="K109" s="52" t="e">
        <f t="shared" ca="1" si="83"/>
        <v>#N/A</v>
      </c>
      <c r="L109" s="52" t="e">
        <f t="shared" ca="1" si="84"/>
        <v>#N/A</v>
      </c>
      <c r="M109" s="279" t="e">
        <f ca="1">INDEX(RESULTADOS!$A:$BA,MATCH($A109,RESULTADOS!$A:$A,0),MATCH(M$1,RESULTADOS!$1:$1,0))</f>
        <v>#N/A</v>
      </c>
      <c r="N109" s="52" t="e">
        <f t="shared" ca="1" si="71"/>
        <v>#N/A</v>
      </c>
      <c r="O109" s="52" t="e">
        <f t="shared" ca="1" si="85"/>
        <v>#N/A</v>
      </c>
      <c r="P109" s="52" t="e">
        <f t="shared" ca="1" si="72"/>
        <v>#N/A</v>
      </c>
      <c r="Q109" s="52" t="e">
        <f t="shared" ca="1" si="86"/>
        <v>#N/A</v>
      </c>
      <c r="R109" s="52" t="e">
        <f t="shared" ca="1" si="73"/>
        <v>#N/A</v>
      </c>
      <c r="S109" s="52" t="e">
        <f t="shared" ca="1" si="87"/>
        <v>#N/A</v>
      </c>
      <c r="T109" s="52" t="e">
        <f t="shared" ca="1" si="74"/>
        <v>#N/A</v>
      </c>
      <c r="U109" s="52" t="e">
        <f t="shared" ca="1" si="88"/>
        <v>#N/A</v>
      </c>
      <c r="V109" s="52" t="e">
        <f t="shared" ca="1" si="75"/>
        <v>#N/A</v>
      </c>
      <c r="W109" s="52" t="e">
        <f t="shared" ca="1" si="89"/>
        <v>#N/A</v>
      </c>
      <c r="X109" s="11" t="e">
        <f t="shared" ca="1" si="76"/>
        <v>#N/A</v>
      </c>
      <c r="Y109" s="279" t="e">
        <f ca="1">INDEX(RESULTADOS!$A:$BA,MATCH($A109,RESULTADOS!$A:$A,0),MATCH(Y$1,RESULTADOS!$1:$1,0))</f>
        <v>#N/A</v>
      </c>
      <c r="Z109" s="52" t="e">
        <f t="shared" ca="1" si="90"/>
        <v>#N/A</v>
      </c>
      <c r="AA109" s="52" t="e">
        <f t="shared" ca="1" si="91"/>
        <v>#N/A</v>
      </c>
      <c r="AB109" s="11"/>
      <c r="AC109" s="279" t="e">
        <f ca="1">INDEX(RESULTADOS!$A:$BA,MATCH($A109,RESULTADOS!$A:$A,0),MATCH(AC$1,RESULTADOS!$1:$1,0))</f>
        <v>#N/A</v>
      </c>
      <c r="AD109" s="52" t="e">
        <f t="shared" ca="1" si="77"/>
        <v>#N/A</v>
      </c>
      <c r="AE109" s="52" t="e">
        <f t="shared" ca="1" si="92"/>
        <v>#N/A</v>
      </c>
      <c r="AF109" s="52" t="e">
        <f t="shared" ca="1" si="78"/>
        <v>#N/A</v>
      </c>
      <c r="AG109" s="52" t="e">
        <f t="shared" ca="1" si="93"/>
        <v>#N/A</v>
      </c>
      <c r="AH109" s="52" t="e">
        <f t="shared" ca="1" si="79"/>
        <v>#N/A</v>
      </c>
      <c r="AI109" s="52" t="e">
        <f t="shared" ca="1" si="94"/>
        <v>#N/A</v>
      </c>
      <c r="AJ109" s="279" t="e">
        <f ca="1">INDEX(RESULTADOS!$A:$BA,MATCH($A109,RESULTADOS!$A:$A,0),MATCH(AJ$1,RESULTADOS!$1:$1,0))</f>
        <v>#N/A</v>
      </c>
      <c r="AK109" s="279" t="e">
        <f ca="1">INDEX(RESULTADOS!$A:$BA,MATCH($A109,RESULTADOS!$A:$A,0),MATCH(AK$1,RESULTADOS!$1:$1,0))</f>
        <v>#N/A</v>
      </c>
      <c r="AL109" s="13" t="e">
        <f t="shared" ca="1" si="95"/>
        <v>#N/A</v>
      </c>
      <c r="AM109" s="14" t="e">
        <f t="shared" ca="1" si="96"/>
        <v>#N/A</v>
      </c>
      <c r="AN109" s="52" t="e">
        <f t="shared" ca="1" si="97"/>
        <v>#N/A</v>
      </c>
      <c r="AO109" s="279" t="e">
        <f ca="1">INDEX(RESULTADOS!$A:$BA,MATCH($A109,RESULTADOS!$A:$A,0),MATCH(AO$1,RESULTADOS!$1:$1,0))</f>
        <v>#N/A</v>
      </c>
      <c r="AP109" s="52" t="e">
        <f t="shared" ca="1" si="98"/>
        <v>#N/A</v>
      </c>
    </row>
    <row r="110" spans="1:42" s="272" customFormat="1" x14ac:dyDescent="0.2">
      <c r="A110" s="273">
        <f t="shared" ca="1" si="36"/>
        <v>43909</v>
      </c>
      <c r="B110" s="279" t="e">
        <f ca="1">INDEX(RESULTADOS!$A:$BA,MATCH($A110,RESULTADOS!$A:$A,0),MATCH(B$1,RESULTADOS!$1:$1,0))</f>
        <v>#N/A</v>
      </c>
      <c r="C110" s="52" t="e">
        <f t="shared" ca="1" si="80"/>
        <v>#N/A</v>
      </c>
      <c r="D110" s="52">
        <v>30</v>
      </c>
      <c r="E110" s="52" t="e">
        <f t="shared" ca="1" si="81"/>
        <v>#N/A</v>
      </c>
      <c r="F110" s="279" t="e">
        <f ca="1">INDEX(RESULTADOS!$A:$BA,MATCH($A110,RESULTADOS!$A:$A,0),MATCH(F$1,RESULTADOS!$1:$1,0))</f>
        <v>#N/A</v>
      </c>
      <c r="G110" s="52" t="e">
        <f t="shared" ca="1" si="82"/>
        <v>#N/A</v>
      </c>
      <c r="H110" s="279" t="e">
        <f ca="1">INDEX(RESULTADOS!$A:$BA,MATCH($A110,RESULTADOS!$A:$A,0),MATCH(H$1,RESULTADOS!$1:$1,0))</f>
        <v>#N/A</v>
      </c>
      <c r="I110" s="279" t="e">
        <f ca="1">INDEX(RESULTADOS!$A:$BA,MATCH($A110,RESULTADOS!$A:$A,0),MATCH(I$1,RESULTADOS!$1:$1,0))</f>
        <v>#N/A</v>
      </c>
      <c r="J110" s="279" t="e">
        <f ca="1">INDEX(RESULTADOS!$A:$BA,MATCH($A110,RESULTADOS!$A:$A,0),MATCH(J$1,RESULTADOS!$1:$1,0))</f>
        <v>#N/A</v>
      </c>
      <c r="K110" s="52" t="e">
        <f t="shared" ca="1" si="83"/>
        <v>#N/A</v>
      </c>
      <c r="L110" s="52" t="e">
        <f t="shared" ca="1" si="84"/>
        <v>#N/A</v>
      </c>
      <c r="M110" s="279" t="e">
        <f ca="1">INDEX(RESULTADOS!$A:$BA,MATCH($A110,RESULTADOS!$A:$A,0),MATCH(M$1,RESULTADOS!$1:$1,0))</f>
        <v>#N/A</v>
      </c>
      <c r="N110" s="52" t="e">
        <f t="shared" ca="1" si="71"/>
        <v>#N/A</v>
      </c>
      <c r="O110" s="52" t="e">
        <f t="shared" ca="1" si="85"/>
        <v>#N/A</v>
      </c>
      <c r="P110" s="52" t="e">
        <f t="shared" ca="1" si="72"/>
        <v>#N/A</v>
      </c>
      <c r="Q110" s="52" t="e">
        <f t="shared" ca="1" si="86"/>
        <v>#N/A</v>
      </c>
      <c r="R110" s="52" t="e">
        <f t="shared" ca="1" si="73"/>
        <v>#N/A</v>
      </c>
      <c r="S110" s="52" t="e">
        <f t="shared" ca="1" si="87"/>
        <v>#N/A</v>
      </c>
      <c r="T110" s="52" t="e">
        <f t="shared" ca="1" si="74"/>
        <v>#N/A</v>
      </c>
      <c r="U110" s="52" t="e">
        <f t="shared" ca="1" si="88"/>
        <v>#N/A</v>
      </c>
      <c r="V110" s="52" t="e">
        <f t="shared" ca="1" si="75"/>
        <v>#N/A</v>
      </c>
      <c r="W110" s="52" t="e">
        <f t="shared" ca="1" si="89"/>
        <v>#N/A</v>
      </c>
      <c r="X110" s="11" t="e">
        <f t="shared" ca="1" si="76"/>
        <v>#N/A</v>
      </c>
      <c r="Y110" s="279" t="e">
        <f ca="1">INDEX(RESULTADOS!$A:$BA,MATCH($A110,RESULTADOS!$A:$A,0),MATCH(Y$1,RESULTADOS!$1:$1,0))</f>
        <v>#N/A</v>
      </c>
      <c r="Z110" s="52" t="e">
        <f t="shared" ca="1" si="90"/>
        <v>#N/A</v>
      </c>
      <c r="AA110" s="52" t="e">
        <f t="shared" ca="1" si="91"/>
        <v>#N/A</v>
      </c>
      <c r="AB110" s="11"/>
      <c r="AC110" s="279" t="e">
        <f ca="1">INDEX(RESULTADOS!$A:$BA,MATCH($A110,RESULTADOS!$A:$A,0),MATCH(AC$1,RESULTADOS!$1:$1,0))</f>
        <v>#N/A</v>
      </c>
      <c r="AD110" s="52" t="e">
        <f t="shared" ca="1" si="77"/>
        <v>#N/A</v>
      </c>
      <c r="AE110" s="52" t="e">
        <f t="shared" ca="1" si="92"/>
        <v>#N/A</v>
      </c>
      <c r="AF110" s="52" t="e">
        <f t="shared" ca="1" si="78"/>
        <v>#N/A</v>
      </c>
      <c r="AG110" s="52" t="e">
        <f t="shared" ca="1" si="93"/>
        <v>#N/A</v>
      </c>
      <c r="AH110" s="52" t="e">
        <f t="shared" ca="1" si="79"/>
        <v>#N/A</v>
      </c>
      <c r="AI110" s="52" t="e">
        <f t="shared" ca="1" si="94"/>
        <v>#N/A</v>
      </c>
      <c r="AJ110" s="279" t="e">
        <f ca="1">INDEX(RESULTADOS!$A:$BA,MATCH($A110,RESULTADOS!$A:$A,0),MATCH(AJ$1,RESULTADOS!$1:$1,0))</f>
        <v>#N/A</v>
      </c>
      <c r="AK110" s="279" t="e">
        <f ca="1">INDEX(RESULTADOS!$A:$BA,MATCH($A110,RESULTADOS!$A:$A,0),MATCH(AK$1,RESULTADOS!$1:$1,0))</f>
        <v>#N/A</v>
      </c>
      <c r="AL110" s="13" t="e">
        <f t="shared" ca="1" si="95"/>
        <v>#N/A</v>
      </c>
      <c r="AM110" s="14" t="e">
        <f t="shared" ca="1" si="96"/>
        <v>#N/A</v>
      </c>
      <c r="AN110" s="52" t="e">
        <f t="shared" ca="1" si="97"/>
        <v>#N/A</v>
      </c>
      <c r="AO110" s="279" t="e">
        <f ca="1">INDEX(RESULTADOS!$A:$BA,MATCH($A110,RESULTADOS!$A:$A,0),MATCH(AO$1,RESULTADOS!$1:$1,0))</f>
        <v>#N/A</v>
      </c>
      <c r="AP110" s="52" t="e">
        <f t="shared" ca="1" si="98"/>
        <v>#N/A</v>
      </c>
    </row>
  </sheetData>
  <sheetProtection selectLockedCells="1" selectUnlockedCells="1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>
    <tabColor theme="6"/>
  </sheetPr>
  <dimension ref="A1:AJ110"/>
  <sheetViews>
    <sheetView topLeftCell="A68" workbookViewId="0">
      <selection activeCell="A80" sqref="A80"/>
    </sheetView>
  </sheetViews>
  <sheetFormatPr defaultRowHeight="12.75" x14ac:dyDescent="0.2"/>
  <cols>
    <col min="1" max="1" width="10.85546875" bestFit="1" customWidth="1"/>
    <col min="2" max="2" width="12.42578125" bestFit="1" customWidth="1"/>
    <col min="3" max="3" width="13.42578125" bestFit="1" customWidth="1"/>
    <col min="4" max="4" width="22.28515625" bestFit="1" customWidth="1"/>
    <col min="5" max="5" width="12.42578125" bestFit="1" customWidth="1"/>
    <col min="6" max="6" width="13.42578125" bestFit="1" customWidth="1"/>
    <col min="7" max="7" width="13.140625" bestFit="1" customWidth="1"/>
    <col min="8" max="8" width="14" bestFit="1" customWidth="1"/>
    <col min="9" max="9" width="2" bestFit="1" customWidth="1"/>
    <col min="10" max="10" width="21.85546875" bestFit="1" customWidth="1"/>
    <col min="11" max="11" width="12.42578125" bestFit="1" customWidth="1"/>
    <col min="12" max="12" width="13.42578125" bestFit="1" customWidth="1"/>
    <col min="13" max="14" width="13.85546875" bestFit="1" customWidth="1"/>
    <col min="15" max="15" width="13.28515625" bestFit="1" customWidth="1"/>
    <col min="16" max="16" width="14.140625" bestFit="1" customWidth="1"/>
    <col min="17" max="17" width="2" bestFit="1" customWidth="1"/>
    <col min="18" max="18" width="12.85546875" bestFit="1" customWidth="1"/>
    <col min="19" max="19" width="13.85546875" bestFit="1" customWidth="1"/>
    <col min="20" max="20" width="21" bestFit="1" customWidth="1"/>
    <col min="21" max="21" width="12.140625" bestFit="1" customWidth="1"/>
    <col min="22" max="22" width="13.140625" bestFit="1" customWidth="1"/>
    <col min="23" max="23" width="12.42578125" bestFit="1" customWidth="1"/>
    <col min="24" max="24" width="13.42578125" bestFit="1" customWidth="1"/>
    <col min="25" max="25" width="12.42578125" bestFit="1" customWidth="1"/>
    <col min="26" max="26" width="13.42578125" bestFit="1" customWidth="1"/>
    <col min="27" max="27" width="2" bestFit="1" customWidth="1"/>
    <col min="28" max="28" width="11.85546875" bestFit="1" customWidth="1"/>
    <col min="29" max="29" width="12.7109375" bestFit="1" customWidth="1"/>
    <col min="31" max="31" width="8.7109375" style="121" bestFit="1" customWidth="1"/>
  </cols>
  <sheetData>
    <row r="1" spans="1:36" x14ac:dyDescent="0.2">
      <c r="B1" s="26" t="s">
        <v>26</v>
      </c>
      <c r="C1" s="27" t="s">
        <v>100</v>
      </c>
      <c r="D1" s="26" t="s">
        <v>93</v>
      </c>
      <c r="E1" s="28" t="s">
        <v>49</v>
      </c>
      <c r="F1" s="28" t="s">
        <v>49</v>
      </c>
      <c r="G1" s="1" t="s">
        <v>101</v>
      </c>
      <c r="H1" s="1" t="s">
        <v>101</v>
      </c>
      <c r="I1" s="3"/>
      <c r="J1" s="26" t="s">
        <v>94</v>
      </c>
      <c r="K1" s="27" t="s">
        <v>50</v>
      </c>
      <c r="L1" s="27" t="s">
        <v>50</v>
      </c>
      <c r="M1" s="27" t="s">
        <v>102</v>
      </c>
      <c r="N1" s="27" t="s">
        <v>102</v>
      </c>
      <c r="O1" s="26" t="s">
        <v>27</v>
      </c>
      <c r="P1" s="27" t="s">
        <v>103</v>
      </c>
      <c r="Q1" s="3"/>
      <c r="R1" s="26" t="s">
        <v>29</v>
      </c>
      <c r="S1" s="27" t="s">
        <v>104</v>
      </c>
      <c r="T1" s="26" t="s">
        <v>28</v>
      </c>
      <c r="U1" s="28" t="s">
        <v>51</v>
      </c>
      <c r="V1" s="28" t="s">
        <v>51</v>
      </c>
      <c r="W1" s="28" t="s">
        <v>52</v>
      </c>
      <c r="X1" s="28" t="s">
        <v>52</v>
      </c>
      <c r="Y1" s="28" t="s">
        <v>53</v>
      </c>
      <c r="Z1" s="28" t="s">
        <v>53</v>
      </c>
      <c r="AA1" s="29"/>
      <c r="AB1" s="27" t="s">
        <v>105</v>
      </c>
      <c r="AC1" s="27" t="s">
        <v>105</v>
      </c>
      <c r="AE1" s="207" t="s">
        <v>151</v>
      </c>
      <c r="AF1" s="26" t="s">
        <v>141</v>
      </c>
      <c r="AG1" s="272" t="s">
        <v>120</v>
      </c>
      <c r="AH1" s="275" t="s">
        <v>119</v>
      </c>
      <c r="AI1" s="272" t="s">
        <v>120</v>
      </c>
      <c r="AJ1" s="275" t="s">
        <v>119</v>
      </c>
    </row>
    <row r="2" spans="1:36" x14ac:dyDescent="0.2">
      <c r="A2" t="s">
        <v>1</v>
      </c>
      <c r="B2" s="16">
        <v>205</v>
      </c>
      <c r="C2" s="27">
        <v>205</v>
      </c>
      <c r="D2" s="16" t="s">
        <v>54</v>
      </c>
      <c r="E2" s="1">
        <v>23</v>
      </c>
      <c r="F2" s="1">
        <v>23</v>
      </c>
      <c r="G2" s="1">
        <v>209</v>
      </c>
      <c r="H2" s="1">
        <v>209</v>
      </c>
      <c r="I2" s="3"/>
      <c r="J2" s="16" t="s">
        <v>55</v>
      </c>
      <c r="K2" s="27">
        <v>22</v>
      </c>
      <c r="L2" s="27">
        <v>22</v>
      </c>
      <c r="M2" s="27">
        <v>251</v>
      </c>
      <c r="N2" s="27">
        <v>251</v>
      </c>
      <c r="O2" s="16">
        <v>24</v>
      </c>
      <c r="P2" s="27">
        <v>24</v>
      </c>
      <c r="Q2" s="3"/>
      <c r="R2" s="16">
        <v>25</v>
      </c>
      <c r="S2" s="27">
        <v>25</v>
      </c>
      <c r="T2" s="16" t="s">
        <v>56</v>
      </c>
      <c r="U2" s="1">
        <v>206</v>
      </c>
      <c r="V2" s="1">
        <v>206</v>
      </c>
      <c r="W2" s="1">
        <v>207</v>
      </c>
      <c r="X2" s="1">
        <v>207</v>
      </c>
      <c r="Y2" s="1">
        <v>28</v>
      </c>
      <c r="Z2" s="1">
        <v>28</v>
      </c>
      <c r="AA2" s="3"/>
      <c r="AB2" s="1">
        <v>31</v>
      </c>
      <c r="AC2" s="1">
        <v>31</v>
      </c>
      <c r="AE2" s="207" t="s">
        <v>151</v>
      </c>
      <c r="AF2" s="26" t="s">
        <v>119</v>
      </c>
      <c r="AG2">
        <v>32</v>
      </c>
      <c r="AH2" s="290">
        <v>33</v>
      </c>
      <c r="AI2" s="290">
        <v>32</v>
      </c>
      <c r="AJ2" s="290">
        <v>33</v>
      </c>
    </row>
    <row r="3" spans="1:36" x14ac:dyDescent="0.2">
      <c r="A3" s="6" t="s">
        <v>2</v>
      </c>
      <c r="B3" s="16"/>
      <c r="C3" s="1">
        <v>12</v>
      </c>
      <c r="D3" s="16" t="s">
        <v>3</v>
      </c>
      <c r="E3" s="1"/>
      <c r="F3" s="1">
        <v>24</v>
      </c>
      <c r="G3" s="1"/>
      <c r="H3" s="1">
        <v>17</v>
      </c>
      <c r="I3" s="3"/>
      <c r="J3" s="16"/>
      <c r="K3" s="27">
        <v>12</v>
      </c>
      <c r="L3" s="27"/>
      <c r="M3" s="27"/>
      <c r="N3" s="27">
        <v>17</v>
      </c>
      <c r="O3" s="16"/>
      <c r="P3" s="27">
        <v>17</v>
      </c>
      <c r="Q3" s="3"/>
      <c r="R3" s="16"/>
      <c r="S3" s="27">
        <v>11</v>
      </c>
      <c r="T3" s="16" t="s">
        <v>3</v>
      </c>
      <c r="U3" s="1"/>
      <c r="V3" s="1">
        <v>5</v>
      </c>
      <c r="W3" s="1"/>
      <c r="X3" s="1">
        <v>12</v>
      </c>
      <c r="Y3" s="1"/>
      <c r="Z3" s="1">
        <v>17</v>
      </c>
      <c r="AA3" s="3"/>
      <c r="AB3" s="1"/>
      <c r="AC3" s="1"/>
      <c r="AE3" s="205">
        <v>8</v>
      </c>
      <c r="AF3" s="124" t="s">
        <v>3</v>
      </c>
    </row>
    <row r="4" spans="1:36" x14ac:dyDescent="0.2">
      <c r="A4" s="111" t="s">
        <v>4</v>
      </c>
      <c r="B4" s="115"/>
      <c r="C4" s="116"/>
      <c r="D4" s="115"/>
      <c r="E4" s="114">
        <v>0.1</v>
      </c>
      <c r="F4" s="112"/>
      <c r="G4" s="114">
        <v>0.9</v>
      </c>
      <c r="H4" s="112"/>
      <c r="I4" s="113"/>
      <c r="J4" s="115"/>
      <c r="K4" s="120">
        <v>0.61499999999999999</v>
      </c>
      <c r="L4" s="117"/>
      <c r="M4" s="120">
        <v>0.38500000000000001</v>
      </c>
      <c r="N4" s="116"/>
      <c r="O4" s="115"/>
      <c r="P4" s="116"/>
      <c r="Q4" s="113"/>
      <c r="R4" s="115"/>
      <c r="S4" s="116"/>
      <c r="T4" s="115"/>
      <c r="U4" s="119">
        <v>0.04</v>
      </c>
      <c r="V4" s="114"/>
      <c r="W4" s="119">
        <v>5.0000000000000001E-3</v>
      </c>
      <c r="X4" s="114"/>
      <c r="Y4" s="114">
        <v>1.2E-2</v>
      </c>
      <c r="Z4" s="114"/>
      <c r="AA4" s="118"/>
      <c r="AB4" s="119">
        <v>0.94299999999999995</v>
      </c>
      <c r="AC4" s="114"/>
      <c r="AE4" s="205"/>
      <c r="AF4" s="124"/>
      <c r="AG4">
        <v>0.109</v>
      </c>
      <c r="AH4">
        <v>0.89100000000000001</v>
      </c>
    </row>
    <row r="5" spans="1:36" x14ac:dyDescent="0.2">
      <c r="B5" s="16" t="s">
        <v>7</v>
      </c>
      <c r="C5" s="27" t="s">
        <v>6</v>
      </c>
      <c r="D5" s="17" t="s">
        <v>57</v>
      </c>
      <c r="E5" s="1" t="s">
        <v>7</v>
      </c>
      <c r="F5" s="1" t="s">
        <v>6</v>
      </c>
      <c r="G5" s="1" t="s">
        <v>7</v>
      </c>
      <c r="H5" s="1" t="s">
        <v>6</v>
      </c>
      <c r="I5" s="3"/>
      <c r="J5" s="17" t="s">
        <v>57</v>
      </c>
      <c r="K5" s="27" t="s">
        <v>7</v>
      </c>
      <c r="L5" s="27" t="s">
        <v>6</v>
      </c>
      <c r="M5" s="27" t="s">
        <v>7</v>
      </c>
      <c r="N5" s="27" t="s">
        <v>6</v>
      </c>
      <c r="O5" s="16" t="s">
        <v>7</v>
      </c>
      <c r="P5" s="27" t="s">
        <v>6</v>
      </c>
      <c r="Q5" s="3"/>
      <c r="R5" s="16" t="s">
        <v>7</v>
      </c>
      <c r="S5" s="27" t="s">
        <v>6</v>
      </c>
      <c r="T5" s="17" t="s">
        <v>57</v>
      </c>
      <c r="U5" s="1" t="s">
        <v>7</v>
      </c>
      <c r="V5" s="1" t="s">
        <v>6</v>
      </c>
      <c r="W5" s="1" t="s">
        <v>7</v>
      </c>
      <c r="X5" s="1" t="s">
        <v>6</v>
      </c>
      <c r="Y5" s="1" t="s">
        <v>7</v>
      </c>
      <c r="Z5" s="1" t="s">
        <v>6</v>
      </c>
      <c r="AA5" s="3"/>
      <c r="AB5" s="1" t="s">
        <v>7</v>
      </c>
      <c r="AC5" s="1" t="s">
        <v>6</v>
      </c>
      <c r="AE5" s="206"/>
      <c r="AF5" s="17" t="s">
        <v>57</v>
      </c>
      <c r="AG5" t="s">
        <v>7</v>
      </c>
      <c r="AH5" s="121" t="s">
        <v>7</v>
      </c>
      <c r="AI5" t="s">
        <v>6</v>
      </c>
      <c r="AJ5" t="s">
        <v>6</v>
      </c>
    </row>
    <row r="6" spans="1:36" x14ac:dyDescent="0.2">
      <c r="B6" s="16" t="str">
        <f>B2&amp;"_"&amp;B5</f>
        <v>205_VNI</v>
      </c>
      <c r="C6" s="16" t="str">
        <f t="shared" ref="C6:AC6" si="0">C2&amp;"_"&amp;C5</f>
        <v>205_VNA</v>
      </c>
      <c r="D6" s="16" t="str">
        <f t="shared" si="0"/>
        <v>COCORU_VNI_Agrupada</v>
      </c>
      <c r="E6" s="16" t="str">
        <f t="shared" si="0"/>
        <v>23_VNI</v>
      </c>
      <c r="F6" s="16" t="str">
        <f t="shared" si="0"/>
        <v>23_VNA</v>
      </c>
      <c r="G6" s="16" t="str">
        <f t="shared" si="0"/>
        <v>209_VNI</v>
      </c>
      <c r="H6" s="16" t="str">
        <f t="shared" si="0"/>
        <v>209_VNA</v>
      </c>
      <c r="I6" s="16" t="str">
        <f t="shared" si="0"/>
        <v>_</v>
      </c>
      <c r="J6" s="16" t="str">
        <f t="shared" si="0"/>
        <v>PNUHSF_VNI_Agrupada</v>
      </c>
      <c r="K6" s="16" t="str">
        <f t="shared" si="0"/>
        <v>22_VNI</v>
      </c>
      <c r="L6" s="16" t="str">
        <f t="shared" si="0"/>
        <v>22_VNA</v>
      </c>
      <c r="M6" s="16" t="str">
        <f t="shared" si="0"/>
        <v>251_VNI</v>
      </c>
      <c r="N6" s="16" t="str">
        <f t="shared" si="0"/>
        <v>251_VNA</v>
      </c>
      <c r="O6" s="16" t="str">
        <f t="shared" si="0"/>
        <v>24_VNI</v>
      </c>
      <c r="P6" s="16" t="str">
        <f t="shared" si="0"/>
        <v>24_VNA</v>
      </c>
      <c r="Q6" s="16" t="str">
        <f t="shared" si="0"/>
        <v>_</v>
      </c>
      <c r="R6" s="16" t="str">
        <f t="shared" si="0"/>
        <v>25_VNI</v>
      </c>
      <c r="S6" s="16" t="str">
        <f t="shared" si="0"/>
        <v>25_VNA</v>
      </c>
      <c r="T6" s="16" t="str">
        <f t="shared" si="0"/>
        <v>PRITUM_VNI_Agrupada</v>
      </c>
      <c r="U6" s="16" t="str">
        <f t="shared" si="0"/>
        <v>206_VNI</v>
      </c>
      <c r="V6" s="16" t="str">
        <f t="shared" si="0"/>
        <v>206_VNA</v>
      </c>
      <c r="W6" s="16" t="str">
        <f t="shared" si="0"/>
        <v>207_VNI</v>
      </c>
      <c r="X6" s="16" t="str">
        <f t="shared" si="0"/>
        <v>207_VNA</v>
      </c>
      <c r="Y6" s="16" t="str">
        <f t="shared" si="0"/>
        <v>28_VNI</v>
      </c>
      <c r="Z6" s="16" t="str">
        <f t="shared" si="0"/>
        <v>28_VNA</v>
      </c>
      <c r="AA6" s="16" t="str">
        <f t="shared" si="0"/>
        <v>_</v>
      </c>
      <c r="AB6" s="16" t="str">
        <f t="shared" si="0"/>
        <v>31_VNI</v>
      </c>
      <c r="AC6" s="16" t="str">
        <f t="shared" si="0"/>
        <v>31_VNA</v>
      </c>
      <c r="AE6" s="205"/>
      <c r="AF6" s="124" t="str">
        <f>AF2&amp;"_"&amp;AF5</f>
        <v>SSIMAO_VNI_Agrupada</v>
      </c>
      <c r="AG6" s="124" t="str">
        <f>AG2&amp;"_"&amp;AG5</f>
        <v>32_VNI</v>
      </c>
      <c r="AH6" s="124" t="str">
        <f>AH2&amp;"_"&amp;AH5</f>
        <v>33_VNI</v>
      </c>
      <c r="AI6" s="124" t="str">
        <f>AI2&amp;"_"&amp;AI5</f>
        <v>32_VNA</v>
      </c>
      <c r="AJ6" s="124" t="str">
        <f>AJ2&amp;"_"&amp;AJ5</f>
        <v>33_VNA</v>
      </c>
    </row>
    <row r="7" spans="1:36" x14ac:dyDescent="0.2">
      <c r="A7" s="7">
        <f t="shared" ref="A7:A36" ca="1" si="1">A8-1</f>
        <v>43806</v>
      </c>
      <c r="B7" s="250">
        <f ca="1">SUMPRODUCT((TABELA_VAZAO[Posto]=B$2)*1,(TABELA_VAZAO[Data]=$A7)*1,TABELA_VAZAO[qinc])</f>
        <v>0</v>
      </c>
      <c r="C7" s="288">
        <f ca="1">SUMPRODUCT((TABELA_VAZAO[Posto]=C$2)*1,(TABELA_VAZAO[Data]=$A7)*1,TABELA_VAZAO[qnat])</f>
        <v>0</v>
      </c>
      <c r="D7" s="279" t="e">
        <f ca="1">INDEX(RESULTADOS!$A:$BA,MATCH($A7,RESULTADOS!$A:$A,0),MATCH(D$1,RESULTADOS!$1:$1,0))</f>
        <v>#N/A</v>
      </c>
      <c r="E7" s="250">
        <f ca="1">SUMPRODUCT((TABELA_VAZAO[Posto]=E$2)*1,(TABELA_VAZAO[Data]=$A7)*1,TABELA_VAZAO[qinc])</f>
        <v>0</v>
      </c>
      <c r="F7" s="288">
        <f ca="1">SUMPRODUCT((TABELA_VAZAO[Posto]=F$2)*1,(TABELA_VAZAO[Data]=$A7)*1,TABELA_VAZAO[qnat])</f>
        <v>0</v>
      </c>
      <c r="G7" s="250">
        <f ca="1">SUMPRODUCT((TABELA_VAZAO[Posto]=G$2)*1,(TABELA_VAZAO[Data]=$A7)*1,TABELA_VAZAO[qinc])</f>
        <v>0</v>
      </c>
      <c r="H7" s="288">
        <f ca="1">SUMPRODUCT((TABELA_VAZAO[Posto]=H$2)*1,(TABELA_VAZAO[Data]=$A7)*1,TABELA_VAZAO[qnat])</f>
        <v>0</v>
      </c>
      <c r="I7" s="9"/>
      <c r="J7" s="67" t="e">
        <f ca="1">INDEX(RESULTADOS!$A:$BA,MATCH($A7,RESULTADOS!$A:$A,0),MATCH(J$1,RESULTADOS!$1:$1,0))</f>
        <v>#N/A</v>
      </c>
      <c r="K7" s="250">
        <f ca="1">SUMPRODUCT((TABELA_VAZAO[Posto]=K$2)*1,(TABELA_VAZAO[Data]=$A7)*1,TABELA_VAZAO[qinc])</f>
        <v>0</v>
      </c>
      <c r="L7" s="288">
        <f ca="1">SUMPRODUCT((TABELA_VAZAO[Posto]=L$2)*1,(TABELA_VAZAO[Data]=$A7)*1,TABELA_VAZAO[qnat])</f>
        <v>0</v>
      </c>
      <c r="M7" s="250">
        <f ca="1">SUMPRODUCT((TABELA_VAZAO[Posto]=M$2)*1,(TABELA_VAZAO[Data]=$A7)*1,TABELA_VAZAO[qinc])</f>
        <v>0</v>
      </c>
      <c r="N7" s="288">
        <f ca="1">SUMPRODUCT((TABELA_VAZAO[Posto]=N$2)*1,(TABELA_VAZAO[Data]=$A7)*1,TABELA_VAZAO[qnat])</f>
        <v>0</v>
      </c>
      <c r="O7" s="250">
        <f ca="1">SUMPRODUCT((TABELA_VAZAO[Posto]=O$2)*1,(TABELA_VAZAO[Data]=$A7)*1,TABELA_VAZAO[qinc])</f>
        <v>0</v>
      </c>
      <c r="P7" s="288">
        <f ca="1">SUMPRODUCT((TABELA_VAZAO[Posto]=P$2)*1,(TABELA_VAZAO[Data]=$A7)*1,TABELA_VAZAO[qnat])</f>
        <v>0</v>
      </c>
      <c r="Q7" s="9"/>
      <c r="R7" s="250">
        <f ca="1">SUMPRODUCT((TABELA_VAZAO[Posto]=R$2)*1,(TABELA_VAZAO[Data]=$A7)*1,TABELA_VAZAO[qinc])</f>
        <v>0</v>
      </c>
      <c r="S7" s="288">
        <f ca="1">SUMPRODUCT((TABELA_VAZAO[Posto]=S$2)*1,(TABELA_VAZAO[Data]=$A7)*1,TABELA_VAZAO[qnat])</f>
        <v>0</v>
      </c>
      <c r="T7" s="67" t="e">
        <f ca="1">INDEX(RESULTADOS!$A:$BA,MATCH($A7,RESULTADOS!$A:$A,0),MATCH(T$1,RESULTADOS!$1:$1,0))</f>
        <v>#N/A</v>
      </c>
      <c r="U7" s="250">
        <f ca="1">SUMPRODUCT((TABELA_VAZAO[Posto]=U$2)*1,(TABELA_VAZAO[Data]=$A7)*1,TABELA_VAZAO[qinc])</f>
        <v>0</v>
      </c>
      <c r="V7" s="288">
        <f ca="1">SUMPRODUCT((TABELA_VAZAO[Posto]=V$2)*1,(TABELA_VAZAO[Data]=$A7)*1,TABELA_VAZAO[qnat])</f>
        <v>0</v>
      </c>
      <c r="W7" s="250">
        <f ca="1">SUMPRODUCT((TABELA_VAZAO[Posto]=W$2)*1,(TABELA_VAZAO[Data]=$A7)*1,TABELA_VAZAO[qinc])</f>
        <v>0</v>
      </c>
      <c r="X7" s="288">
        <f ca="1">SUMPRODUCT((TABELA_VAZAO[Posto]=X$2)*1,(TABELA_VAZAO[Data]=$A7)*1,TABELA_VAZAO[qnat])</f>
        <v>0</v>
      </c>
      <c r="Y7" s="250">
        <f ca="1">SUMPRODUCT((TABELA_VAZAO[Posto]=Y$2)*1,(TABELA_VAZAO[Data]=$A7)*1,TABELA_VAZAO[qinc])</f>
        <v>0</v>
      </c>
      <c r="Z7" s="288">
        <f ca="1">SUMPRODUCT((TABELA_VAZAO[Posto]=Z$2)*1,(TABELA_VAZAO[Data]=$A7)*1,TABELA_VAZAO[qnat])</f>
        <v>0</v>
      </c>
      <c r="AA7" s="9"/>
      <c r="AB7" s="250">
        <f ca="1">SUMPRODUCT((TABELA_VAZAO[Posto]=AB$2)*1,(TABELA_VAZAO[Data]=$A7)*1,TABELA_VAZAO[qinc])</f>
        <v>0</v>
      </c>
      <c r="AC7" s="288">
        <f ca="1">SUMPRODUCT((TABELA_VAZAO[Posto]=AC$2)*1,(TABELA_VAZAO[Data]=$A7)*1,TABELA_VAZAO[qnat])</f>
        <v>0</v>
      </c>
      <c r="AE7" s="208" t="e">
        <f ca="1">INDEX(RESULTADOS!$A:$BA,MATCH($A7,RESULTADOS!$A:$A,0),MATCH(AE$1,RESULTADOS!$1:$1,0))</f>
        <v>#N/A</v>
      </c>
      <c r="AF7" s="67" t="e">
        <f ca="1">INDEX(RESULTADOS!$A:$BA,MATCH($A7,RESULTADOS!$A:$A,0),MATCH(AF$1,RESULTADOS!$1:$1,0))</f>
        <v>#N/A</v>
      </c>
      <c r="AG7" s="250">
        <f ca="1">SUMPRODUCT((TABELA_VAZAO[Posto]=AG$2)*1,(TABELA_VAZAO[Data]=$A7)*1,TABELA_VAZAO[qinc])</f>
        <v>0</v>
      </c>
      <c r="AH7" s="250">
        <f ca="1">SUMPRODUCT((TABELA_VAZAO[Posto]=AH$2)*1,(TABELA_VAZAO[Data]=$A7)*1,TABELA_VAZAO[qinc])</f>
        <v>0</v>
      </c>
      <c r="AI7" s="288">
        <f ca="1">SUMPRODUCT((TABELA_VAZAO[Posto]=AI$2)*1,(TABELA_VAZAO[Data]=$A7)*1,TABELA_VAZAO[qnat])</f>
        <v>0</v>
      </c>
      <c r="AJ7" s="288">
        <f ca="1">SUMPRODUCT((TABELA_VAZAO[Posto]=AJ$2)*1,(TABELA_VAZAO[Data]=$A7)*1,TABELA_VAZAO[qnat])</f>
        <v>0</v>
      </c>
    </row>
    <row r="8" spans="1:36" x14ac:dyDescent="0.2">
      <c r="A8" s="7">
        <f t="shared" ca="1" si="1"/>
        <v>43807</v>
      </c>
      <c r="B8" s="250">
        <f ca="1">SUMPRODUCT((TABELA_VAZAO[Posto]=B$2)*1,(TABELA_VAZAO[Data]=$A8)*1,TABELA_VAZAO[qinc])</f>
        <v>0</v>
      </c>
      <c r="C8" s="288">
        <f ca="1">SUMPRODUCT((TABELA_VAZAO[Posto]=C$2)*1,(TABELA_VAZAO[Data]=$A8)*1,TABELA_VAZAO[qnat])</f>
        <v>0</v>
      </c>
      <c r="D8" s="279" t="e">
        <f ca="1">INDEX(RESULTADOS!$A:$BA,MATCH($A8,RESULTADOS!$A:$A,0),MATCH(D$1,RESULTADOS!$1:$1,0))</f>
        <v>#N/A</v>
      </c>
      <c r="E8" s="250">
        <f ca="1">SUMPRODUCT((TABELA_VAZAO[Posto]=E$2)*1,(TABELA_VAZAO[Data]=$A8)*1,TABELA_VAZAO[qinc])</f>
        <v>0</v>
      </c>
      <c r="F8" s="288">
        <f ca="1">SUMPRODUCT((TABELA_VAZAO[Posto]=F$2)*1,(TABELA_VAZAO[Data]=$A8)*1,TABELA_VAZAO[qnat])</f>
        <v>0</v>
      </c>
      <c r="G8" s="250">
        <f ca="1">SUMPRODUCT((TABELA_VAZAO[Posto]=G$2)*1,(TABELA_VAZAO[Data]=$A8)*1,TABELA_VAZAO[qinc])</f>
        <v>0</v>
      </c>
      <c r="H8" s="288">
        <f ca="1">SUMPRODUCT((TABELA_VAZAO[Posto]=H$2)*1,(TABELA_VAZAO[Data]=$A8)*1,TABELA_VAZAO[qnat])</f>
        <v>0</v>
      </c>
      <c r="I8" s="9"/>
      <c r="J8" s="67" t="e">
        <f ca="1">INDEX(RESULTADOS!$A:$BA,MATCH($A8,RESULTADOS!$A:$A,0),MATCH(J$1,RESULTADOS!$1:$1,0))</f>
        <v>#N/A</v>
      </c>
      <c r="K8" s="250">
        <f ca="1">SUMPRODUCT((TABELA_VAZAO[Posto]=K$2)*1,(TABELA_VAZAO[Data]=$A8)*1,TABELA_VAZAO[qinc])</f>
        <v>0</v>
      </c>
      <c r="L8" s="288">
        <f ca="1">SUMPRODUCT((TABELA_VAZAO[Posto]=L$2)*1,(TABELA_VAZAO[Data]=$A8)*1,TABELA_VAZAO[qnat])</f>
        <v>0</v>
      </c>
      <c r="M8" s="250">
        <f ca="1">SUMPRODUCT((TABELA_VAZAO[Posto]=M$2)*1,(TABELA_VAZAO[Data]=$A8)*1,TABELA_VAZAO[qinc])</f>
        <v>0</v>
      </c>
      <c r="N8" s="288">
        <f ca="1">SUMPRODUCT((TABELA_VAZAO[Posto]=N$2)*1,(TABELA_VAZAO[Data]=$A8)*1,TABELA_VAZAO[qnat])</f>
        <v>0</v>
      </c>
      <c r="O8" s="250">
        <f ca="1">SUMPRODUCT((TABELA_VAZAO[Posto]=O$2)*1,(TABELA_VAZAO[Data]=$A8)*1,TABELA_VAZAO[qinc])</f>
        <v>0</v>
      </c>
      <c r="P8" s="288">
        <f ca="1">SUMPRODUCT((TABELA_VAZAO[Posto]=P$2)*1,(TABELA_VAZAO[Data]=$A8)*1,TABELA_VAZAO[qnat])</f>
        <v>0</v>
      </c>
      <c r="Q8" s="9"/>
      <c r="R8" s="250">
        <f ca="1">SUMPRODUCT((TABELA_VAZAO[Posto]=R$2)*1,(TABELA_VAZAO[Data]=$A8)*1,TABELA_VAZAO[qinc])</f>
        <v>0</v>
      </c>
      <c r="S8" s="288">
        <f ca="1">SUMPRODUCT((TABELA_VAZAO[Posto]=S$2)*1,(TABELA_VAZAO[Data]=$A8)*1,TABELA_VAZAO[qnat])</f>
        <v>0</v>
      </c>
      <c r="T8" s="67" t="e">
        <f ca="1">INDEX(RESULTADOS!$A:$BA,MATCH($A8,RESULTADOS!$A:$A,0),MATCH(T$1,RESULTADOS!$1:$1,0))</f>
        <v>#N/A</v>
      </c>
      <c r="U8" s="250">
        <f ca="1">SUMPRODUCT((TABELA_VAZAO[Posto]=U$2)*1,(TABELA_VAZAO[Data]=$A8)*1,TABELA_VAZAO[qinc])</f>
        <v>0</v>
      </c>
      <c r="V8" s="288">
        <f ca="1">SUMPRODUCT((TABELA_VAZAO[Posto]=V$2)*1,(TABELA_VAZAO[Data]=$A8)*1,TABELA_VAZAO[qnat])</f>
        <v>0</v>
      </c>
      <c r="W8" s="250">
        <f ca="1">SUMPRODUCT((TABELA_VAZAO[Posto]=W$2)*1,(TABELA_VAZAO[Data]=$A8)*1,TABELA_VAZAO[qinc])</f>
        <v>0</v>
      </c>
      <c r="X8" s="288">
        <f ca="1">SUMPRODUCT((TABELA_VAZAO[Posto]=X$2)*1,(TABELA_VAZAO[Data]=$A8)*1,TABELA_VAZAO[qnat])</f>
        <v>0</v>
      </c>
      <c r="Y8" s="250">
        <f ca="1">SUMPRODUCT((TABELA_VAZAO[Posto]=Y$2)*1,(TABELA_VAZAO[Data]=$A8)*1,TABELA_VAZAO[qinc])</f>
        <v>0</v>
      </c>
      <c r="Z8" s="288">
        <f ca="1">SUMPRODUCT((TABELA_VAZAO[Posto]=Z$2)*1,(TABELA_VAZAO[Data]=$A8)*1,TABELA_VAZAO[qnat])</f>
        <v>0</v>
      </c>
      <c r="AA8" s="9"/>
      <c r="AB8" s="250">
        <f ca="1">SUMPRODUCT((TABELA_VAZAO[Posto]=AB$2)*1,(TABELA_VAZAO[Data]=$A8)*1,TABELA_VAZAO[qinc])</f>
        <v>0</v>
      </c>
      <c r="AC8" s="288">
        <f ca="1">SUMPRODUCT((TABELA_VAZAO[Posto]=AC$2)*1,(TABELA_VAZAO[Data]=$A8)*1,TABELA_VAZAO[qnat])</f>
        <v>0</v>
      </c>
      <c r="AE8" s="208" t="e">
        <f ca="1">INDEX(RESULTADOS!$A:$BA,MATCH($A8,RESULTADOS!$A:$A,0),MATCH(AE$1,RESULTADOS!$1:$1,0))</f>
        <v>#N/A</v>
      </c>
      <c r="AF8" s="67" t="e">
        <f ca="1">INDEX(RESULTADOS!$A:$BA,MATCH($A8,RESULTADOS!$A:$A,0),MATCH(AF$1,RESULTADOS!$1:$1,0))</f>
        <v>#N/A</v>
      </c>
      <c r="AG8" s="250">
        <f ca="1">SUMPRODUCT((TABELA_VAZAO[Posto]=AG$2)*1,(TABELA_VAZAO[Data]=$A8)*1,TABELA_VAZAO[qinc])</f>
        <v>0</v>
      </c>
      <c r="AH8" s="250">
        <f ca="1">SUMPRODUCT((TABELA_VAZAO[Posto]=AH$2)*1,(TABELA_VAZAO[Data]=$A8)*1,TABELA_VAZAO[qinc])</f>
        <v>0</v>
      </c>
      <c r="AI8" s="288">
        <f ca="1">SUMPRODUCT((TABELA_VAZAO[Posto]=AI$2)*1,(TABELA_VAZAO[Data]=$A8)*1,TABELA_VAZAO[qnat])</f>
        <v>0</v>
      </c>
      <c r="AJ8" s="288">
        <f ca="1">SUMPRODUCT((TABELA_VAZAO[Posto]=AJ$2)*1,(TABELA_VAZAO[Data]=$A8)*1,TABELA_VAZAO[qnat])</f>
        <v>0</v>
      </c>
    </row>
    <row r="9" spans="1:36" x14ac:dyDescent="0.2">
      <c r="A9" s="7">
        <f t="shared" ca="1" si="1"/>
        <v>43808</v>
      </c>
      <c r="B9" s="250">
        <f ca="1">SUMPRODUCT((TABELA_VAZAO[Posto]=B$2)*1,(TABELA_VAZAO[Data]=$A9)*1,TABELA_VAZAO[qinc])</f>
        <v>0</v>
      </c>
      <c r="C9" s="288">
        <f ca="1">SUMPRODUCT((TABELA_VAZAO[Posto]=C$2)*1,(TABELA_VAZAO[Data]=$A9)*1,TABELA_VAZAO[qnat])</f>
        <v>0</v>
      </c>
      <c r="D9" s="279" t="e">
        <f ca="1">INDEX(RESULTADOS!$A:$BA,MATCH($A9,RESULTADOS!$A:$A,0),MATCH(D$1,RESULTADOS!$1:$1,0))</f>
        <v>#N/A</v>
      </c>
      <c r="E9" s="250">
        <f ca="1">SUMPRODUCT((TABELA_VAZAO[Posto]=E$2)*1,(TABELA_VAZAO[Data]=$A9)*1,TABELA_VAZAO[qinc])</f>
        <v>0</v>
      </c>
      <c r="F9" s="288">
        <f ca="1">SUMPRODUCT((TABELA_VAZAO[Posto]=F$2)*1,(TABELA_VAZAO[Data]=$A9)*1,TABELA_VAZAO[qnat])</f>
        <v>0</v>
      </c>
      <c r="G9" s="250">
        <f ca="1">SUMPRODUCT((TABELA_VAZAO[Posto]=G$2)*1,(TABELA_VAZAO[Data]=$A9)*1,TABELA_VAZAO[qinc])</f>
        <v>0</v>
      </c>
      <c r="H9" s="288">
        <f ca="1">SUMPRODUCT((TABELA_VAZAO[Posto]=H$2)*1,(TABELA_VAZAO[Data]=$A9)*1,TABELA_VAZAO[qnat])</f>
        <v>0</v>
      </c>
      <c r="I9" s="9"/>
      <c r="J9" s="67" t="e">
        <f ca="1">INDEX(RESULTADOS!$A:$BA,MATCH($A9,RESULTADOS!$A:$A,0),MATCH(J$1,RESULTADOS!$1:$1,0))</f>
        <v>#N/A</v>
      </c>
      <c r="K9" s="250">
        <f ca="1">SUMPRODUCT((TABELA_VAZAO[Posto]=K$2)*1,(TABELA_VAZAO[Data]=$A9)*1,TABELA_VAZAO[qinc])</f>
        <v>0</v>
      </c>
      <c r="L9" s="288">
        <f ca="1">SUMPRODUCT((TABELA_VAZAO[Posto]=L$2)*1,(TABELA_VAZAO[Data]=$A9)*1,TABELA_VAZAO[qnat])</f>
        <v>0</v>
      </c>
      <c r="M9" s="250">
        <f ca="1">SUMPRODUCT((TABELA_VAZAO[Posto]=M$2)*1,(TABELA_VAZAO[Data]=$A9)*1,TABELA_VAZAO[qinc])</f>
        <v>0</v>
      </c>
      <c r="N9" s="288">
        <f ca="1">SUMPRODUCT((TABELA_VAZAO[Posto]=N$2)*1,(TABELA_VAZAO[Data]=$A9)*1,TABELA_VAZAO[qnat])</f>
        <v>0</v>
      </c>
      <c r="O9" s="250">
        <f ca="1">SUMPRODUCT((TABELA_VAZAO[Posto]=O$2)*1,(TABELA_VAZAO[Data]=$A9)*1,TABELA_VAZAO[qinc])</f>
        <v>0</v>
      </c>
      <c r="P9" s="288">
        <f ca="1">SUMPRODUCT((TABELA_VAZAO[Posto]=P$2)*1,(TABELA_VAZAO[Data]=$A9)*1,TABELA_VAZAO[qnat])</f>
        <v>0</v>
      </c>
      <c r="Q9" s="9"/>
      <c r="R9" s="250">
        <f ca="1">SUMPRODUCT((TABELA_VAZAO[Posto]=R$2)*1,(TABELA_VAZAO[Data]=$A9)*1,TABELA_VAZAO[qinc])</f>
        <v>0</v>
      </c>
      <c r="S9" s="288">
        <f ca="1">SUMPRODUCT((TABELA_VAZAO[Posto]=S$2)*1,(TABELA_VAZAO[Data]=$A9)*1,TABELA_VAZAO[qnat])</f>
        <v>0</v>
      </c>
      <c r="T9" s="67" t="e">
        <f ca="1">INDEX(RESULTADOS!$A:$BA,MATCH($A9,RESULTADOS!$A:$A,0),MATCH(T$1,RESULTADOS!$1:$1,0))</f>
        <v>#N/A</v>
      </c>
      <c r="U9" s="250">
        <f ca="1">SUMPRODUCT((TABELA_VAZAO[Posto]=U$2)*1,(TABELA_VAZAO[Data]=$A9)*1,TABELA_VAZAO[qinc])</f>
        <v>0</v>
      </c>
      <c r="V9" s="288">
        <f ca="1">SUMPRODUCT((TABELA_VAZAO[Posto]=V$2)*1,(TABELA_VAZAO[Data]=$A9)*1,TABELA_VAZAO[qnat])</f>
        <v>0</v>
      </c>
      <c r="W9" s="250">
        <f ca="1">SUMPRODUCT((TABELA_VAZAO[Posto]=W$2)*1,(TABELA_VAZAO[Data]=$A9)*1,TABELA_VAZAO[qinc])</f>
        <v>0</v>
      </c>
      <c r="X9" s="288">
        <f ca="1">SUMPRODUCT((TABELA_VAZAO[Posto]=X$2)*1,(TABELA_VAZAO[Data]=$A9)*1,TABELA_VAZAO[qnat])</f>
        <v>0</v>
      </c>
      <c r="Y9" s="250">
        <f ca="1">SUMPRODUCT((TABELA_VAZAO[Posto]=Y$2)*1,(TABELA_VAZAO[Data]=$A9)*1,TABELA_VAZAO[qinc])</f>
        <v>0</v>
      </c>
      <c r="Z9" s="288">
        <f ca="1">SUMPRODUCT((TABELA_VAZAO[Posto]=Z$2)*1,(TABELA_VAZAO[Data]=$A9)*1,TABELA_VAZAO[qnat])</f>
        <v>0</v>
      </c>
      <c r="AA9" s="9"/>
      <c r="AB9" s="250">
        <f ca="1">SUMPRODUCT((TABELA_VAZAO[Posto]=AB$2)*1,(TABELA_VAZAO[Data]=$A9)*1,TABELA_VAZAO[qinc])</f>
        <v>0</v>
      </c>
      <c r="AC9" s="288">
        <f ca="1">SUMPRODUCT((TABELA_VAZAO[Posto]=AC$2)*1,(TABELA_VAZAO[Data]=$A9)*1,TABELA_VAZAO[qnat])</f>
        <v>0</v>
      </c>
      <c r="AE9" s="208" t="e">
        <f ca="1">INDEX(RESULTADOS!$A:$BA,MATCH($A9,RESULTADOS!$A:$A,0),MATCH(AE$1,RESULTADOS!$1:$1,0))</f>
        <v>#N/A</v>
      </c>
      <c r="AF9" s="67" t="e">
        <f ca="1">INDEX(RESULTADOS!$A:$BA,MATCH($A9,RESULTADOS!$A:$A,0),MATCH(AF$1,RESULTADOS!$1:$1,0))</f>
        <v>#N/A</v>
      </c>
      <c r="AG9" s="250">
        <f ca="1">SUMPRODUCT((TABELA_VAZAO[Posto]=AG$2)*1,(TABELA_VAZAO[Data]=$A9)*1,TABELA_VAZAO[qinc])</f>
        <v>0</v>
      </c>
      <c r="AH9" s="250">
        <f ca="1">SUMPRODUCT((TABELA_VAZAO[Posto]=AH$2)*1,(TABELA_VAZAO[Data]=$A9)*1,TABELA_VAZAO[qinc])</f>
        <v>0</v>
      </c>
      <c r="AI9" s="288">
        <f ca="1">SUMPRODUCT((TABELA_VAZAO[Posto]=AI$2)*1,(TABELA_VAZAO[Data]=$A9)*1,TABELA_VAZAO[qnat])</f>
        <v>0</v>
      </c>
      <c r="AJ9" s="288">
        <f ca="1">SUMPRODUCT((TABELA_VAZAO[Posto]=AJ$2)*1,(TABELA_VAZAO[Data]=$A9)*1,TABELA_VAZAO[qnat])</f>
        <v>0</v>
      </c>
    </row>
    <row r="10" spans="1:36" x14ac:dyDescent="0.2">
      <c r="A10" s="7">
        <f t="shared" ca="1" si="1"/>
        <v>43809</v>
      </c>
      <c r="B10" s="250">
        <f ca="1">SUMPRODUCT((TABELA_VAZAO[Posto]=B$2)*1,(TABELA_VAZAO[Data]=$A10)*1,TABELA_VAZAO[qinc])</f>
        <v>0</v>
      </c>
      <c r="C10" s="288">
        <f ca="1">SUMPRODUCT((TABELA_VAZAO[Posto]=C$2)*1,(TABELA_VAZAO[Data]=$A10)*1,TABELA_VAZAO[qnat])</f>
        <v>0</v>
      </c>
      <c r="D10" s="279" t="e">
        <f ca="1">INDEX(RESULTADOS!$A:$BA,MATCH($A10,RESULTADOS!$A:$A,0),MATCH(D$1,RESULTADOS!$1:$1,0))</f>
        <v>#N/A</v>
      </c>
      <c r="E10" s="250">
        <f ca="1">SUMPRODUCT((TABELA_VAZAO[Posto]=E$2)*1,(TABELA_VAZAO[Data]=$A10)*1,TABELA_VAZAO[qinc])</f>
        <v>0</v>
      </c>
      <c r="F10" s="288">
        <f ca="1">SUMPRODUCT((TABELA_VAZAO[Posto]=F$2)*1,(TABELA_VAZAO[Data]=$A10)*1,TABELA_VAZAO[qnat])</f>
        <v>0</v>
      </c>
      <c r="G10" s="250">
        <f ca="1">SUMPRODUCT((TABELA_VAZAO[Posto]=G$2)*1,(TABELA_VAZAO[Data]=$A10)*1,TABELA_VAZAO[qinc])</f>
        <v>0</v>
      </c>
      <c r="H10" s="288">
        <f ca="1">SUMPRODUCT((TABELA_VAZAO[Posto]=H$2)*1,(TABELA_VAZAO[Data]=$A10)*1,TABELA_VAZAO[qnat])</f>
        <v>0</v>
      </c>
      <c r="I10" s="9"/>
      <c r="J10" s="67" t="e">
        <f ca="1">INDEX(RESULTADOS!$A:$BA,MATCH($A10,RESULTADOS!$A:$A,0),MATCH(J$1,RESULTADOS!$1:$1,0))</f>
        <v>#N/A</v>
      </c>
      <c r="K10" s="250">
        <f ca="1">SUMPRODUCT((TABELA_VAZAO[Posto]=K$2)*1,(TABELA_VAZAO[Data]=$A10)*1,TABELA_VAZAO[qinc])</f>
        <v>0</v>
      </c>
      <c r="L10" s="288">
        <f ca="1">SUMPRODUCT((TABELA_VAZAO[Posto]=L$2)*1,(TABELA_VAZAO[Data]=$A10)*1,TABELA_VAZAO[qnat])</f>
        <v>0</v>
      </c>
      <c r="M10" s="250">
        <f ca="1">SUMPRODUCT((TABELA_VAZAO[Posto]=M$2)*1,(TABELA_VAZAO[Data]=$A10)*1,TABELA_VAZAO[qinc])</f>
        <v>0</v>
      </c>
      <c r="N10" s="288">
        <f ca="1">SUMPRODUCT((TABELA_VAZAO[Posto]=N$2)*1,(TABELA_VAZAO[Data]=$A10)*1,TABELA_VAZAO[qnat])</f>
        <v>0</v>
      </c>
      <c r="O10" s="250">
        <f ca="1">SUMPRODUCT((TABELA_VAZAO[Posto]=O$2)*1,(TABELA_VAZAO[Data]=$A10)*1,TABELA_VAZAO[qinc])</f>
        <v>0</v>
      </c>
      <c r="P10" s="288">
        <f ca="1">SUMPRODUCT((TABELA_VAZAO[Posto]=P$2)*1,(TABELA_VAZAO[Data]=$A10)*1,TABELA_VAZAO[qnat])</f>
        <v>0</v>
      </c>
      <c r="Q10" s="9"/>
      <c r="R10" s="250">
        <f ca="1">SUMPRODUCT((TABELA_VAZAO[Posto]=R$2)*1,(TABELA_VAZAO[Data]=$A10)*1,TABELA_VAZAO[qinc])</f>
        <v>0</v>
      </c>
      <c r="S10" s="288">
        <f ca="1">SUMPRODUCT((TABELA_VAZAO[Posto]=S$2)*1,(TABELA_VAZAO[Data]=$A10)*1,TABELA_VAZAO[qnat])</f>
        <v>0</v>
      </c>
      <c r="T10" s="67" t="e">
        <f ca="1">INDEX(RESULTADOS!$A:$BA,MATCH($A10,RESULTADOS!$A:$A,0),MATCH(T$1,RESULTADOS!$1:$1,0))</f>
        <v>#N/A</v>
      </c>
      <c r="U10" s="250">
        <f ca="1">SUMPRODUCT((TABELA_VAZAO[Posto]=U$2)*1,(TABELA_VAZAO[Data]=$A10)*1,TABELA_VAZAO[qinc])</f>
        <v>0</v>
      </c>
      <c r="V10" s="288">
        <f ca="1">SUMPRODUCT((TABELA_VAZAO[Posto]=V$2)*1,(TABELA_VAZAO[Data]=$A10)*1,TABELA_VAZAO[qnat])</f>
        <v>0</v>
      </c>
      <c r="W10" s="250">
        <f ca="1">SUMPRODUCT((TABELA_VAZAO[Posto]=W$2)*1,(TABELA_VAZAO[Data]=$A10)*1,TABELA_VAZAO[qinc])</f>
        <v>0</v>
      </c>
      <c r="X10" s="288">
        <f ca="1">SUMPRODUCT((TABELA_VAZAO[Posto]=X$2)*1,(TABELA_VAZAO[Data]=$A10)*1,TABELA_VAZAO[qnat])</f>
        <v>0</v>
      </c>
      <c r="Y10" s="250">
        <f ca="1">SUMPRODUCT((TABELA_VAZAO[Posto]=Y$2)*1,(TABELA_VAZAO[Data]=$A10)*1,TABELA_VAZAO[qinc])</f>
        <v>0</v>
      </c>
      <c r="Z10" s="288">
        <f ca="1">SUMPRODUCT((TABELA_VAZAO[Posto]=Z$2)*1,(TABELA_VAZAO[Data]=$A10)*1,TABELA_VAZAO[qnat])</f>
        <v>0</v>
      </c>
      <c r="AA10" s="9"/>
      <c r="AB10" s="250">
        <f ca="1">SUMPRODUCT((TABELA_VAZAO[Posto]=AB$2)*1,(TABELA_VAZAO[Data]=$A10)*1,TABELA_VAZAO[qinc])</f>
        <v>0</v>
      </c>
      <c r="AC10" s="288">
        <f ca="1">SUMPRODUCT((TABELA_VAZAO[Posto]=AC$2)*1,(TABELA_VAZAO[Data]=$A10)*1,TABELA_VAZAO[qnat])</f>
        <v>0</v>
      </c>
      <c r="AE10" s="208" t="e">
        <f ca="1">INDEX(RESULTADOS!$A:$BA,MATCH($A10,RESULTADOS!$A:$A,0),MATCH(AE$1,RESULTADOS!$1:$1,0))</f>
        <v>#N/A</v>
      </c>
      <c r="AF10" s="67" t="e">
        <f ca="1">INDEX(RESULTADOS!$A:$BA,MATCH($A10,RESULTADOS!$A:$A,0),MATCH(AF$1,RESULTADOS!$1:$1,0))</f>
        <v>#N/A</v>
      </c>
      <c r="AG10" s="250">
        <f ca="1">SUMPRODUCT((TABELA_VAZAO[Posto]=AG$2)*1,(TABELA_VAZAO[Data]=$A10)*1,TABELA_VAZAO[qinc])</f>
        <v>0</v>
      </c>
      <c r="AH10" s="250">
        <f ca="1">SUMPRODUCT((TABELA_VAZAO[Posto]=AH$2)*1,(TABELA_VAZAO[Data]=$A10)*1,TABELA_VAZAO[qinc])</f>
        <v>0</v>
      </c>
      <c r="AI10" s="288">
        <f ca="1">SUMPRODUCT((TABELA_VAZAO[Posto]=AI$2)*1,(TABELA_VAZAO[Data]=$A10)*1,TABELA_VAZAO[qnat])</f>
        <v>0</v>
      </c>
      <c r="AJ10" s="288">
        <f ca="1">SUMPRODUCT((TABELA_VAZAO[Posto]=AJ$2)*1,(TABELA_VAZAO[Data]=$A10)*1,TABELA_VAZAO[qnat])</f>
        <v>0</v>
      </c>
    </row>
    <row r="11" spans="1:36" x14ac:dyDescent="0.2">
      <c r="A11" s="7">
        <f t="shared" ca="1" si="1"/>
        <v>43810</v>
      </c>
      <c r="B11" s="250">
        <f ca="1">SUMPRODUCT((TABELA_VAZAO[Posto]=B$2)*1,(TABELA_VAZAO[Data]=$A11)*1,TABELA_VAZAO[qinc])</f>
        <v>0</v>
      </c>
      <c r="C11" s="288">
        <f ca="1">SUMPRODUCT((TABELA_VAZAO[Posto]=C$2)*1,(TABELA_VAZAO[Data]=$A11)*1,TABELA_VAZAO[qnat])</f>
        <v>0</v>
      </c>
      <c r="D11" s="279" t="e">
        <f ca="1">INDEX(RESULTADOS!$A:$BA,MATCH($A11,RESULTADOS!$A:$A,0),MATCH(D$1,RESULTADOS!$1:$1,0))</f>
        <v>#N/A</v>
      </c>
      <c r="E11" s="250">
        <f ca="1">SUMPRODUCT((TABELA_VAZAO[Posto]=E$2)*1,(TABELA_VAZAO[Data]=$A11)*1,TABELA_VAZAO[qinc])</f>
        <v>0</v>
      </c>
      <c r="F11" s="288">
        <f ca="1">SUMPRODUCT((TABELA_VAZAO[Posto]=F$2)*1,(TABELA_VAZAO[Data]=$A11)*1,TABELA_VAZAO[qnat])</f>
        <v>0</v>
      </c>
      <c r="G11" s="250">
        <f ca="1">SUMPRODUCT((TABELA_VAZAO[Posto]=G$2)*1,(TABELA_VAZAO[Data]=$A11)*1,TABELA_VAZAO[qinc])</f>
        <v>0</v>
      </c>
      <c r="H11" s="288">
        <f ca="1">SUMPRODUCT((TABELA_VAZAO[Posto]=H$2)*1,(TABELA_VAZAO[Data]=$A11)*1,TABELA_VAZAO[qnat])</f>
        <v>0</v>
      </c>
      <c r="I11" s="9"/>
      <c r="J11" s="67" t="e">
        <f ca="1">INDEX(RESULTADOS!$A:$BA,MATCH($A11,RESULTADOS!$A:$A,0),MATCH(J$1,RESULTADOS!$1:$1,0))</f>
        <v>#N/A</v>
      </c>
      <c r="K11" s="250">
        <f ca="1">SUMPRODUCT((TABELA_VAZAO[Posto]=K$2)*1,(TABELA_VAZAO[Data]=$A11)*1,TABELA_VAZAO[qinc])</f>
        <v>0</v>
      </c>
      <c r="L11" s="288">
        <f ca="1">SUMPRODUCT((TABELA_VAZAO[Posto]=L$2)*1,(TABELA_VAZAO[Data]=$A11)*1,TABELA_VAZAO[qnat])</f>
        <v>0</v>
      </c>
      <c r="M11" s="250">
        <f ca="1">SUMPRODUCT((TABELA_VAZAO[Posto]=M$2)*1,(TABELA_VAZAO[Data]=$A11)*1,TABELA_VAZAO[qinc])</f>
        <v>0</v>
      </c>
      <c r="N11" s="288">
        <f ca="1">SUMPRODUCT((TABELA_VAZAO[Posto]=N$2)*1,(TABELA_VAZAO[Data]=$A11)*1,TABELA_VAZAO[qnat])</f>
        <v>0</v>
      </c>
      <c r="O11" s="250">
        <f ca="1">SUMPRODUCT((TABELA_VAZAO[Posto]=O$2)*1,(TABELA_VAZAO[Data]=$A11)*1,TABELA_VAZAO[qinc])</f>
        <v>0</v>
      </c>
      <c r="P11" s="288">
        <f ca="1">SUMPRODUCT((TABELA_VAZAO[Posto]=P$2)*1,(TABELA_VAZAO[Data]=$A11)*1,TABELA_VAZAO[qnat])</f>
        <v>0</v>
      </c>
      <c r="Q11" s="9"/>
      <c r="R11" s="250">
        <f ca="1">SUMPRODUCT((TABELA_VAZAO[Posto]=R$2)*1,(TABELA_VAZAO[Data]=$A11)*1,TABELA_VAZAO[qinc])</f>
        <v>0</v>
      </c>
      <c r="S11" s="288">
        <f ca="1">SUMPRODUCT((TABELA_VAZAO[Posto]=S$2)*1,(TABELA_VAZAO[Data]=$A11)*1,TABELA_VAZAO[qnat])</f>
        <v>0</v>
      </c>
      <c r="T11" s="67" t="e">
        <f ca="1">INDEX(RESULTADOS!$A:$BA,MATCH($A11,RESULTADOS!$A:$A,0),MATCH(T$1,RESULTADOS!$1:$1,0))</f>
        <v>#N/A</v>
      </c>
      <c r="U11" s="250">
        <f ca="1">SUMPRODUCT((TABELA_VAZAO[Posto]=U$2)*1,(TABELA_VAZAO[Data]=$A11)*1,TABELA_VAZAO[qinc])</f>
        <v>0</v>
      </c>
      <c r="V11" s="288">
        <f ca="1">SUMPRODUCT((TABELA_VAZAO[Posto]=V$2)*1,(TABELA_VAZAO[Data]=$A11)*1,TABELA_VAZAO[qnat])</f>
        <v>0</v>
      </c>
      <c r="W11" s="250">
        <f ca="1">SUMPRODUCT((TABELA_VAZAO[Posto]=W$2)*1,(TABELA_VAZAO[Data]=$A11)*1,TABELA_VAZAO[qinc])</f>
        <v>0</v>
      </c>
      <c r="X11" s="288">
        <f ca="1">SUMPRODUCT((TABELA_VAZAO[Posto]=X$2)*1,(TABELA_VAZAO[Data]=$A11)*1,TABELA_VAZAO[qnat])</f>
        <v>0</v>
      </c>
      <c r="Y11" s="250">
        <f ca="1">SUMPRODUCT((TABELA_VAZAO[Posto]=Y$2)*1,(TABELA_VAZAO[Data]=$A11)*1,TABELA_VAZAO[qinc])</f>
        <v>0</v>
      </c>
      <c r="Z11" s="288">
        <f ca="1">SUMPRODUCT((TABELA_VAZAO[Posto]=Z$2)*1,(TABELA_VAZAO[Data]=$A11)*1,TABELA_VAZAO[qnat])</f>
        <v>0</v>
      </c>
      <c r="AA11" s="9"/>
      <c r="AB11" s="250">
        <f ca="1">SUMPRODUCT((TABELA_VAZAO[Posto]=AB$2)*1,(TABELA_VAZAO[Data]=$A11)*1,TABELA_VAZAO[qinc])</f>
        <v>0</v>
      </c>
      <c r="AC11" s="288">
        <f ca="1">SUMPRODUCT((TABELA_VAZAO[Posto]=AC$2)*1,(TABELA_VAZAO[Data]=$A11)*1,TABELA_VAZAO[qnat])</f>
        <v>0</v>
      </c>
      <c r="AE11" s="208" t="e">
        <f ca="1">INDEX(RESULTADOS!$A:$BA,MATCH($A11,RESULTADOS!$A:$A,0),MATCH(AE$1,RESULTADOS!$1:$1,0))</f>
        <v>#N/A</v>
      </c>
      <c r="AF11" s="67" t="e">
        <f ca="1">INDEX(RESULTADOS!$A:$BA,MATCH($A11,RESULTADOS!$A:$A,0),MATCH(AF$1,RESULTADOS!$1:$1,0))</f>
        <v>#N/A</v>
      </c>
      <c r="AG11" s="250">
        <f ca="1">SUMPRODUCT((TABELA_VAZAO[Posto]=AG$2)*1,(TABELA_VAZAO[Data]=$A11)*1,TABELA_VAZAO[qinc])</f>
        <v>0</v>
      </c>
      <c r="AH11" s="250">
        <f ca="1">SUMPRODUCT((TABELA_VAZAO[Posto]=AH$2)*1,(TABELA_VAZAO[Data]=$A11)*1,TABELA_VAZAO[qinc])</f>
        <v>0</v>
      </c>
      <c r="AI11" s="288">
        <f ca="1">SUMPRODUCT((TABELA_VAZAO[Posto]=AI$2)*1,(TABELA_VAZAO[Data]=$A11)*1,TABELA_VAZAO[qnat])</f>
        <v>0</v>
      </c>
      <c r="AJ11" s="288">
        <f ca="1">SUMPRODUCT((TABELA_VAZAO[Posto]=AJ$2)*1,(TABELA_VAZAO[Data]=$A11)*1,TABELA_VAZAO[qnat])</f>
        <v>0</v>
      </c>
    </row>
    <row r="12" spans="1:36" x14ac:dyDescent="0.2">
      <c r="A12" s="7">
        <f t="shared" ca="1" si="1"/>
        <v>43811</v>
      </c>
      <c r="B12" s="250">
        <f ca="1">SUMPRODUCT((TABELA_VAZAO[Posto]=B$2)*1,(TABELA_VAZAO[Data]=$A12)*1,TABELA_VAZAO[qinc])</f>
        <v>0</v>
      </c>
      <c r="C12" s="288">
        <f ca="1">SUMPRODUCT((TABELA_VAZAO[Posto]=C$2)*1,(TABELA_VAZAO[Data]=$A12)*1,TABELA_VAZAO[qnat])</f>
        <v>0</v>
      </c>
      <c r="D12" s="279" t="e">
        <f ca="1">INDEX(RESULTADOS!$A:$BA,MATCH($A12,RESULTADOS!$A:$A,0),MATCH(D$1,RESULTADOS!$1:$1,0))</f>
        <v>#N/A</v>
      </c>
      <c r="E12" s="250">
        <f ca="1">SUMPRODUCT((TABELA_VAZAO[Posto]=E$2)*1,(TABELA_VAZAO[Data]=$A12)*1,TABELA_VAZAO[qinc])</f>
        <v>0</v>
      </c>
      <c r="F12" s="288">
        <f ca="1">SUMPRODUCT((TABELA_VAZAO[Posto]=F$2)*1,(TABELA_VAZAO[Data]=$A12)*1,TABELA_VAZAO[qnat])</f>
        <v>0</v>
      </c>
      <c r="G12" s="250">
        <f ca="1">SUMPRODUCT((TABELA_VAZAO[Posto]=G$2)*1,(TABELA_VAZAO[Data]=$A12)*1,TABELA_VAZAO[qinc])</f>
        <v>0</v>
      </c>
      <c r="H12" s="288">
        <f ca="1">SUMPRODUCT((TABELA_VAZAO[Posto]=H$2)*1,(TABELA_VAZAO[Data]=$A12)*1,TABELA_VAZAO[qnat])</f>
        <v>0</v>
      </c>
      <c r="I12" s="9"/>
      <c r="J12" s="67" t="e">
        <f ca="1">INDEX(RESULTADOS!$A:$BA,MATCH($A12,RESULTADOS!$A:$A,0),MATCH(J$1,RESULTADOS!$1:$1,0))</f>
        <v>#N/A</v>
      </c>
      <c r="K12" s="250">
        <f ca="1">SUMPRODUCT((TABELA_VAZAO[Posto]=K$2)*1,(TABELA_VAZAO[Data]=$A12)*1,TABELA_VAZAO[qinc])</f>
        <v>0</v>
      </c>
      <c r="L12" s="288">
        <f ca="1">SUMPRODUCT((TABELA_VAZAO[Posto]=L$2)*1,(TABELA_VAZAO[Data]=$A12)*1,TABELA_VAZAO[qnat])</f>
        <v>0</v>
      </c>
      <c r="M12" s="250">
        <f ca="1">SUMPRODUCT((TABELA_VAZAO[Posto]=M$2)*1,(TABELA_VAZAO[Data]=$A12)*1,TABELA_VAZAO[qinc])</f>
        <v>0</v>
      </c>
      <c r="N12" s="288">
        <f ca="1">SUMPRODUCT((TABELA_VAZAO[Posto]=N$2)*1,(TABELA_VAZAO[Data]=$A12)*1,TABELA_VAZAO[qnat])</f>
        <v>0</v>
      </c>
      <c r="O12" s="250">
        <f ca="1">SUMPRODUCT((TABELA_VAZAO[Posto]=O$2)*1,(TABELA_VAZAO[Data]=$A12)*1,TABELA_VAZAO[qinc])</f>
        <v>0</v>
      </c>
      <c r="P12" s="288">
        <f ca="1">SUMPRODUCT((TABELA_VAZAO[Posto]=P$2)*1,(TABELA_VAZAO[Data]=$A12)*1,TABELA_VAZAO[qnat])</f>
        <v>0</v>
      </c>
      <c r="Q12" s="9"/>
      <c r="R12" s="250">
        <f ca="1">SUMPRODUCT((TABELA_VAZAO[Posto]=R$2)*1,(TABELA_VAZAO[Data]=$A12)*1,TABELA_VAZAO[qinc])</f>
        <v>0</v>
      </c>
      <c r="S12" s="288">
        <f ca="1">SUMPRODUCT((TABELA_VAZAO[Posto]=S$2)*1,(TABELA_VAZAO[Data]=$A12)*1,TABELA_VAZAO[qnat])</f>
        <v>0</v>
      </c>
      <c r="T12" s="67" t="e">
        <f ca="1">INDEX(RESULTADOS!$A:$BA,MATCH($A12,RESULTADOS!$A:$A,0),MATCH(T$1,RESULTADOS!$1:$1,0))</f>
        <v>#N/A</v>
      </c>
      <c r="U12" s="250">
        <f ca="1">SUMPRODUCT((TABELA_VAZAO[Posto]=U$2)*1,(TABELA_VAZAO[Data]=$A12)*1,TABELA_VAZAO[qinc])</f>
        <v>0</v>
      </c>
      <c r="V12" s="288">
        <f ca="1">SUMPRODUCT((TABELA_VAZAO[Posto]=V$2)*1,(TABELA_VAZAO[Data]=$A12)*1,TABELA_VAZAO[qnat])</f>
        <v>0</v>
      </c>
      <c r="W12" s="250">
        <f ca="1">SUMPRODUCT((TABELA_VAZAO[Posto]=W$2)*1,(TABELA_VAZAO[Data]=$A12)*1,TABELA_VAZAO[qinc])</f>
        <v>0</v>
      </c>
      <c r="X12" s="288">
        <f ca="1">SUMPRODUCT((TABELA_VAZAO[Posto]=X$2)*1,(TABELA_VAZAO[Data]=$A12)*1,TABELA_VAZAO[qnat])</f>
        <v>0</v>
      </c>
      <c r="Y12" s="250">
        <f ca="1">SUMPRODUCT((TABELA_VAZAO[Posto]=Y$2)*1,(TABELA_VAZAO[Data]=$A12)*1,TABELA_VAZAO[qinc])</f>
        <v>0</v>
      </c>
      <c r="Z12" s="288">
        <f ca="1">SUMPRODUCT((TABELA_VAZAO[Posto]=Z$2)*1,(TABELA_VAZAO[Data]=$A12)*1,TABELA_VAZAO[qnat])</f>
        <v>0</v>
      </c>
      <c r="AA12" s="9"/>
      <c r="AB12" s="250">
        <f ca="1">SUMPRODUCT((TABELA_VAZAO[Posto]=AB$2)*1,(TABELA_VAZAO[Data]=$A12)*1,TABELA_VAZAO[qinc])</f>
        <v>0</v>
      </c>
      <c r="AC12" s="288">
        <f ca="1">SUMPRODUCT((TABELA_VAZAO[Posto]=AC$2)*1,(TABELA_VAZAO[Data]=$A12)*1,TABELA_VAZAO[qnat])</f>
        <v>0</v>
      </c>
      <c r="AE12" s="208" t="e">
        <f ca="1">INDEX(RESULTADOS!$A:$BA,MATCH($A12,RESULTADOS!$A:$A,0),MATCH(AE$1,RESULTADOS!$1:$1,0))</f>
        <v>#N/A</v>
      </c>
      <c r="AF12" s="67" t="e">
        <f ca="1">INDEX(RESULTADOS!$A:$BA,MATCH($A12,RESULTADOS!$A:$A,0),MATCH(AF$1,RESULTADOS!$1:$1,0))</f>
        <v>#N/A</v>
      </c>
      <c r="AG12" s="250">
        <f ca="1">SUMPRODUCT((TABELA_VAZAO[Posto]=AG$2)*1,(TABELA_VAZAO[Data]=$A12)*1,TABELA_VAZAO[qinc])</f>
        <v>0</v>
      </c>
      <c r="AH12" s="250">
        <f ca="1">SUMPRODUCT((TABELA_VAZAO[Posto]=AH$2)*1,(TABELA_VAZAO[Data]=$A12)*1,TABELA_VAZAO[qinc])</f>
        <v>0</v>
      </c>
      <c r="AI12" s="288">
        <f ca="1">SUMPRODUCT((TABELA_VAZAO[Posto]=AI$2)*1,(TABELA_VAZAO[Data]=$A12)*1,TABELA_VAZAO[qnat])</f>
        <v>0</v>
      </c>
      <c r="AJ12" s="288">
        <f ca="1">SUMPRODUCT((TABELA_VAZAO[Posto]=AJ$2)*1,(TABELA_VAZAO[Data]=$A12)*1,TABELA_VAZAO[qnat])</f>
        <v>0</v>
      </c>
    </row>
    <row r="13" spans="1:36" x14ac:dyDescent="0.2">
      <c r="A13" s="7">
        <f t="shared" ca="1" si="1"/>
        <v>43812</v>
      </c>
      <c r="B13" s="250">
        <f ca="1">SUMPRODUCT((TABELA_VAZAO[Posto]=B$2)*1,(TABELA_VAZAO[Data]=$A13)*1,TABELA_VAZAO[qinc])</f>
        <v>0</v>
      </c>
      <c r="C13" s="288">
        <f ca="1">SUMPRODUCT((TABELA_VAZAO[Posto]=C$2)*1,(TABELA_VAZAO[Data]=$A13)*1,TABELA_VAZAO[qnat])</f>
        <v>0</v>
      </c>
      <c r="D13" s="279" t="e">
        <f ca="1">INDEX(RESULTADOS!$A:$BA,MATCH($A13,RESULTADOS!$A:$A,0),MATCH(D$1,RESULTADOS!$1:$1,0))</f>
        <v>#N/A</v>
      </c>
      <c r="E13" s="250">
        <f ca="1">SUMPRODUCT((TABELA_VAZAO[Posto]=E$2)*1,(TABELA_VAZAO[Data]=$A13)*1,TABELA_VAZAO[qinc])</f>
        <v>0</v>
      </c>
      <c r="F13" s="288">
        <f ca="1">SUMPRODUCT((TABELA_VAZAO[Posto]=F$2)*1,(TABELA_VAZAO[Data]=$A13)*1,TABELA_VAZAO[qnat])</f>
        <v>0</v>
      </c>
      <c r="G13" s="250">
        <f ca="1">SUMPRODUCT((TABELA_VAZAO[Posto]=G$2)*1,(TABELA_VAZAO[Data]=$A13)*1,TABELA_VAZAO[qinc])</f>
        <v>0</v>
      </c>
      <c r="H13" s="288">
        <f ca="1">SUMPRODUCT((TABELA_VAZAO[Posto]=H$2)*1,(TABELA_VAZAO[Data]=$A13)*1,TABELA_VAZAO[qnat])</f>
        <v>0</v>
      </c>
      <c r="I13" s="9"/>
      <c r="J13" s="67" t="e">
        <f ca="1">INDEX(RESULTADOS!$A:$BA,MATCH($A13,RESULTADOS!$A:$A,0),MATCH(J$1,RESULTADOS!$1:$1,0))</f>
        <v>#N/A</v>
      </c>
      <c r="K13" s="250">
        <f ca="1">SUMPRODUCT((TABELA_VAZAO[Posto]=K$2)*1,(TABELA_VAZAO[Data]=$A13)*1,TABELA_VAZAO[qinc])</f>
        <v>0</v>
      </c>
      <c r="L13" s="288">
        <f ca="1">SUMPRODUCT((TABELA_VAZAO[Posto]=L$2)*1,(TABELA_VAZAO[Data]=$A13)*1,TABELA_VAZAO[qnat])</f>
        <v>0</v>
      </c>
      <c r="M13" s="250">
        <f ca="1">SUMPRODUCT((TABELA_VAZAO[Posto]=M$2)*1,(TABELA_VAZAO[Data]=$A13)*1,TABELA_VAZAO[qinc])</f>
        <v>0</v>
      </c>
      <c r="N13" s="288">
        <f ca="1">SUMPRODUCT((TABELA_VAZAO[Posto]=N$2)*1,(TABELA_VAZAO[Data]=$A13)*1,TABELA_VAZAO[qnat])</f>
        <v>0</v>
      </c>
      <c r="O13" s="250">
        <f ca="1">SUMPRODUCT((TABELA_VAZAO[Posto]=O$2)*1,(TABELA_VAZAO[Data]=$A13)*1,TABELA_VAZAO[qinc])</f>
        <v>0</v>
      </c>
      <c r="P13" s="288">
        <f ca="1">SUMPRODUCT((TABELA_VAZAO[Posto]=P$2)*1,(TABELA_VAZAO[Data]=$A13)*1,TABELA_VAZAO[qnat])</f>
        <v>0</v>
      </c>
      <c r="Q13" s="9"/>
      <c r="R13" s="250">
        <f ca="1">SUMPRODUCT((TABELA_VAZAO[Posto]=R$2)*1,(TABELA_VAZAO[Data]=$A13)*1,TABELA_VAZAO[qinc])</f>
        <v>0</v>
      </c>
      <c r="S13" s="288">
        <f ca="1">SUMPRODUCT((TABELA_VAZAO[Posto]=S$2)*1,(TABELA_VAZAO[Data]=$A13)*1,TABELA_VAZAO[qnat])</f>
        <v>0</v>
      </c>
      <c r="T13" s="67" t="e">
        <f ca="1">INDEX(RESULTADOS!$A:$BA,MATCH($A13,RESULTADOS!$A:$A,0),MATCH(T$1,RESULTADOS!$1:$1,0))</f>
        <v>#N/A</v>
      </c>
      <c r="U13" s="250">
        <f ca="1">SUMPRODUCT((TABELA_VAZAO[Posto]=U$2)*1,(TABELA_VAZAO[Data]=$A13)*1,TABELA_VAZAO[qinc])</f>
        <v>0</v>
      </c>
      <c r="V13" s="288">
        <f ca="1">SUMPRODUCT((TABELA_VAZAO[Posto]=V$2)*1,(TABELA_VAZAO[Data]=$A13)*1,TABELA_VAZAO[qnat])</f>
        <v>0</v>
      </c>
      <c r="W13" s="250">
        <f ca="1">SUMPRODUCT((TABELA_VAZAO[Posto]=W$2)*1,(TABELA_VAZAO[Data]=$A13)*1,TABELA_VAZAO[qinc])</f>
        <v>0</v>
      </c>
      <c r="X13" s="288">
        <f ca="1">SUMPRODUCT((TABELA_VAZAO[Posto]=X$2)*1,(TABELA_VAZAO[Data]=$A13)*1,TABELA_VAZAO[qnat])</f>
        <v>0</v>
      </c>
      <c r="Y13" s="250">
        <f ca="1">SUMPRODUCT((TABELA_VAZAO[Posto]=Y$2)*1,(TABELA_VAZAO[Data]=$A13)*1,TABELA_VAZAO[qinc])</f>
        <v>0</v>
      </c>
      <c r="Z13" s="288">
        <f ca="1">SUMPRODUCT((TABELA_VAZAO[Posto]=Z$2)*1,(TABELA_VAZAO[Data]=$A13)*1,TABELA_VAZAO[qnat])</f>
        <v>0</v>
      </c>
      <c r="AA13" s="9"/>
      <c r="AB13" s="250">
        <f ca="1">SUMPRODUCT((TABELA_VAZAO[Posto]=AB$2)*1,(TABELA_VAZAO[Data]=$A13)*1,TABELA_VAZAO[qinc])</f>
        <v>0</v>
      </c>
      <c r="AC13" s="288">
        <f ca="1">SUMPRODUCT((TABELA_VAZAO[Posto]=AC$2)*1,(TABELA_VAZAO[Data]=$A13)*1,TABELA_VAZAO[qnat])</f>
        <v>0</v>
      </c>
      <c r="AE13" s="208" t="e">
        <f ca="1">INDEX(RESULTADOS!$A:$BA,MATCH($A13,RESULTADOS!$A:$A,0),MATCH(AE$1,RESULTADOS!$1:$1,0))</f>
        <v>#N/A</v>
      </c>
      <c r="AF13" s="67" t="e">
        <f ca="1">INDEX(RESULTADOS!$A:$BA,MATCH($A13,RESULTADOS!$A:$A,0),MATCH(AF$1,RESULTADOS!$1:$1,0))</f>
        <v>#N/A</v>
      </c>
      <c r="AG13" s="250">
        <f ca="1">SUMPRODUCT((TABELA_VAZAO[Posto]=AG$2)*1,(TABELA_VAZAO[Data]=$A13)*1,TABELA_VAZAO[qinc])</f>
        <v>0</v>
      </c>
      <c r="AH13" s="250">
        <f ca="1">SUMPRODUCT((TABELA_VAZAO[Posto]=AH$2)*1,(TABELA_VAZAO[Data]=$A13)*1,TABELA_VAZAO[qinc])</f>
        <v>0</v>
      </c>
      <c r="AI13" s="288">
        <f ca="1">SUMPRODUCT((TABELA_VAZAO[Posto]=AI$2)*1,(TABELA_VAZAO[Data]=$A13)*1,TABELA_VAZAO[qnat])</f>
        <v>0</v>
      </c>
      <c r="AJ13" s="288">
        <f ca="1">SUMPRODUCT((TABELA_VAZAO[Posto]=AJ$2)*1,(TABELA_VAZAO[Data]=$A13)*1,TABELA_VAZAO[qnat])</f>
        <v>0</v>
      </c>
    </row>
    <row r="14" spans="1:36" x14ac:dyDescent="0.2">
      <c r="A14" s="7">
        <f t="shared" ca="1" si="1"/>
        <v>43813</v>
      </c>
      <c r="B14" s="250">
        <f ca="1">SUMPRODUCT((TABELA_VAZAO[Posto]=B$2)*1,(TABELA_VAZAO[Data]=$A14)*1,TABELA_VAZAO[qinc])</f>
        <v>0</v>
      </c>
      <c r="C14" s="288">
        <f ca="1">SUMPRODUCT((TABELA_VAZAO[Posto]=C$2)*1,(TABELA_VAZAO[Data]=$A14)*1,TABELA_VAZAO[qnat])</f>
        <v>0</v>
      </c>
      <c r="D14" s="279" t="e">
        <f ca="1">INDEX(RESULTADOS!$A:$BA,MATCH($A14,RESULTADOS!$A:$A,0),MATCH(D$1,RESULTADOS!$1:$1,0))</f>
        <v>#N/A</v>
      </c>
      <c r="E14" s="250">
        <f ca="1">SUMPRODUCT((TABELA_VAZAO[Posto]=E$2)*1,(TABELA_VAZAO[Data]=$A14)*1,TABELA_VAZAO[qinc])</f>
        <v>0</v>
      </c>
      <c r="F14" s="288">
        <f ca="1">SUMPRODUCT((TABELA_VAZAO[Posto]=F$2)*1,(TABELA_VAZAO[Data]=$A14)*1,TABELA_VAZAO[qnat])</f>
        <v>0</v>
      </c>
      <c r="G14" s="250">
        <f ca="1">SUMPRODUCT((TABELA_VAZAO[Posto]=G$2)*1,(TABELA_VAZAO[Data]=$A14)*1,TABELA_VAZAO[qinc])</f>
        <v>0</v>
      </c>
      <c r="H14" s="288">
        <f ca="1">SUMPRODUCT((TABELA_VAZAO[Posto]=H$2)*1,(TABELA_VAZAO[Data]=$A14)*1,TABELA_VAZAO[qnat])</f>
        <v>0</v>
      </c>
      <c r="I14" s="9"/>
      <c r="J14" s="67" t="e">
        <f ca="1">INDEX(RESULTADOS!$A:$BA,MATCH($A14,RESULTADOS!$A:$A,0),MATCH(J$1,RESULTADOS!$1:$1,0))</f>
        <v>#N/A</v>
      </c>
      <c r="K14" s="250">
        <f ca="1">SUMPRODUCT((TABELA_VAZAO[Posto]=K$2)*1,(TABELA_VAZAO[Data]=$A14)*1,TABELA_VAZAO[qinc])</f>
        <v>0</v>
      </c>
      <c r="L14" s="288">
        <f ca="1">SUMPRODUCT((TABELA_VAZAO[Posto]=L$2)*1,(TABELA_VAZAO[Data]=$A14)*1,TABELA_VAZAO[qnat])</f>
        <v>0</v>
      </c>
      <c r="M14" s="250">
        <f ca="1">SUMPRODUCT((TABELA_VAZAO[Posto]=M$2)*1,(TABELA_VAZAO[Data]=$A14)*1,TABELA_VAZAO[qinc])</f>
        <v>0</v>
      </c>
      <c r="N14" s="288">
        <f ca="1">SUMPRODUCT((TABELA_VAZAO[Posto]=N$2)*1,(TABELA_VAZAO[Data]=$A14)*1,TABELA_VAZAO[qnat])</f>
        <v>0</v>
      </c>
      <c r="O14" s="250">
        <f ca="1">SUMPRODUCT((TABELA_VAZAO[Posto]=O$2)*1,(TABELA_VAZAO[Data]=$A14)*1,TABELA_VAZAO[qinc])</f>
        <v>0</v>
      </c>
      <c r="P14" s="288">
        <f ca="1">SUMPRODUCT((TABELA_VAZAO[Posto]=P$2)*1,(TABELA_VAZAO[Data]=$A14)*1,TABELA_VAZAO[qnat])</f>
        <v>0</v>
      </c>
      <c r="Q14" s="9"/>
      <c r="R14" s="250">
        <f ca="1">SUMPRODUCT((TABELA_VAZAO[Posto]=R$2)*1,(TABELA_VAZAO[Data]=$A14)*1,TABELA_VAZAO[qinc])</f>
        <v>0</v>
      </c>
      <c r="S14" s="288">
        <f ca="1">SUMPRODUCT((TABELA_VAZAO[Posto]=S$2)*1,(TABELA_VAZAO[Data]=$A14)*1,TABELA_VAZAO[qnat])</f>
        <v>0</v>
      </c>
      <c r="T14" s="67" t="e">
        <f ca="1">INDEX(RESULTADOS!$A:$BA,MATCH($A14,RESULTADOS!$A:$A,0),MATCH(T$1,RESULTADOS!$1:$1,0))</f>
        <v>#N/A</v>
      </c>
      <c r="U14" s="250">
        <f ca="1">SUMPRODUCT((TABELA_VAZAO[Posto]=U$2)*1,(TABELA_VAZAO[Data]=$A14)*1,TABELA_VAZAO[qinc])</f>
        <v>0</v>
      </c>
      <c r="V14" s="288">
        <f ca="1">SUMPRODUCT((TABELA_VAZAO[Posto]=V$2)*1,(TABELA_VAZAO[Data]=$A14)*1,TABELA_VAZAO[qnat])</f>
        <v>0</v>
      </c>
      <c r="W14" s="250">
        <f ca="1">SUMPRODUCT((TABELA_VAZAO[Posto]=W$2)*1,(TABELA_VAZAO[Data]=$A14)*1,TABELA_VAZAO[qinc])</f>
        <v>0</v>
      </c>
      <c r="X14" s="288">
        <f ca="1">SUMPRODUCT((TABELA_VAZAO[Posto]=X$2)*1,(TABELA_VAZAO[Data]=$A14)*1,TABELA_VAZAO[qnat])</f>
        <v>0</v>
      </c>
      <c r="Y14" s="250">
        <f ca="1">SUMPRODUCT((TABELA_VAZAO[Posto]=Y$2)*1,(TABELA_VAZAO[Data]=$A14)*1,TABELA_VAZAO[qinc])</f>
        <v>0</v>
      </c>
      <c r="Z14" s="288">
        <f ca="1">SUMPRODUCT((TABELA_VAZAO[Posto]=Z$2)*1,(TABELA_VAZAO[Data]=$A14)*1,TABELA_VAZAO[qnat])</f>
        <v>0</v>
      </c>
      <c r="AA14" s="9"/>
      <c r="AB14" s="250">
        <f ca="1">SUMPRODUCT((TABELA_VAZAO[Posto]=AB$2)*1,(TABELA_VAZAO[Data]=$A14)*1,TABELA_VAZAO[qinc])</f>
        <v>0</v>
      </c>
      <c r="AC14" s="288">
        <f ca="1">SUMPRODUCT((TABELA_VAZAO[Posto]=AC$2)*1,(TABELA_VAZAO[Data]=$A14)*1,TABELA_VAZAO[qnat])</f>
        <v>0</v>
      </c>
      <c r="AE14" s="208" t="e">
        <f ca="1">INDEX(RESULTADOS!$A:$BA,MATCH($A14,RESULTADOS!$A:$A,0),MATCH(AE$1,RESULTADOS!$1:$1,0))</f>
        <v>#N/A</v>
      </c>
      <c r="AF14" s="67" t="e">
        <f ca="1">INDEX(RESULTADOS!$A:$BA,MATCH($A14,RESULTADOS!$A:$A,0),MATCH(AF$1,RESULTADOS!$1:$1,0))</f>
        <v>#N/A</v>
      </c>
      <c r="AG14" s="250">
        <f ca="1">SUMPRODUCT((TABELA_VAZAO[Posto]=AG$2)*1,(TABELA_VAZAO[Data]=$A14)*1,TABELA_VAZAO[qinc])</f>
        <v>0</v>
      </c>
      <c r="AH14" s="250">
        <f ca="1">SUMPRODUCT((TABELA_VAZAO[Posto]=AH$2)*1,(TABELA_VAZAO[Data]=$A14)*1,TABELA_VAZAO[qinc])</f>
        <v>0</v>
      </c>
      <c r="AI14" s="288">
        <f ca="1">SUMPRODUCT((TABELA_VAZAO[Posto]=AI$2)*1,(TABELA_VAZAO[Data]=$A14)*1,TABELA_VAZAO[qnat])</f>
        <v>0</v>
      </c>
      <c r="AJ14" s="288">
        <f ca="1">SUMPRODUCT((TABELA_VAZAO[Posto]=AJ$2)*1,(TABELA_VAZAO[Data]=$A14)*1,TABELA_VAZAO[qnat])</f>
        <v>0</v>
      </c>
    </row>
    <row r="15" spans="1:36" x14ac:dyDescent="0.2">
      <c r="A15" s="7">
        <f t="shared" ca="1" si="1"/>
        <v>43814</v>
      </c>
      <c r="B15" s="250">
        <f ca="1">SUMPRODUCT((TABELA_VAZAO[Posto]=B$2)*1,(TABELA_VAZAO[Data]=$A15)*1,TABELA_VAZAO[qinc])</f>
        <v>0</v>
      </c>
      <c r="C15" s="288">
        <f ca="1">SUMPRODUCT((TABELA_VAZAO[Posto]=C$2)*1,(TABELA_VAZAO[Data]=$A15)*1,TABELA_VAZAO[qnat])</f>
        <v>0</v>
      </c>
      <c r="D15" s="279" t="e">
        <f ca="1">INDEX(RESULTADOS!$A:$BA,MATCH($A15,RESULTADOS!$A:$A,0),MATCH(D$1,RESULTADOS!$1:$1,0))</f>
        <v>#N/A</v>
      </c>
      <c r="E15" s="250">
        <f ca="1">SUMPRODUCT((TABELA_VAZAO[Posto]=E$2)*1,(TABELA_VAZAO[Data]=$A15)*1,TABELA_VAZAO[qinc])</f>
        <v>0</v>
      </c>
      <c r="F15" s="288">
        <f ca="1">SUMPRODUCT((TABELA_VAZAO[Posto]=F$2)*1,(TABELA_VAZAO[Data]=$A15)*1,TABELA_VAZAO[qnat])</f>
        <v>0</v>
      </c>
      <c r="G15" s="250">
        <f ca="1">SUMPRODUCT((TABELA_VAZAO[Posto]=G$2)*1,(TABELA_VAZAO[Data]=$A15)*1,TABELA_VAZAO[qinc])</f>
        <v>0</v>
      </c>
      <c r="H15" s="288">
        <f ca="1">SUMPRODUCT((TABELA_VAZAO[Posto]=H$2)*1,(TABELA_VAZAO[Data]=$A15)*1,TABELA_VAZAO[qnat])</f>
        <v>0</v>
      </c>
      <c r="I15" s="9"/>
      <c r="J15" s="67" t="e">
        <f ca="1">INDEX(RESULTADOS!$A:$BA,MATCH($A15,RESULTADOS!$A:$A,0),MATCH(J$1,RESULTADOS!$1:$1,0))</f>
        <v>#N/A</v>
      </c>
      <c r="K15" s="250">
        <f ca="1">SUMPRODUCT((TABELA_VAZAO[Posto]=K$2)*1,(TABELA_VAZAO[Data]=$A15)*1,TABELA_VAZAO[qinc])</f>
        <v>0</v>
      </c>
      <c r="L15" s="288">
        <f ca="1">SUMPRODUCT((TABELA_VAZAO[Posto]=L$2)*1,(TABELA_VAZAO[Data]=$A15)*1,TABELA_VAZAO[qnat])</f>
        <v>0</v>
      </c>
      <c r="M15" s="250">
        <f ca="1">SUMPRODUCT((TABELA_VAZAO[Posto]=M$2)*1,(TABELA_VAZAO[Data]=$A15)*1,TABELA_VAZAO[qinc])</f>
        <v>0</v>
      </c>
      <c r="N15" s="288">
        <f ca="1">SUMPRODUCT((TABELA_VAZAO[Posto]=N$2)*1,(TABELA_VAZAO[Data]=$A15)*1,TABELA_VAZAO[qnat])</f>
        <v>0</v>
      </c>
      <c r="O15" s="250">
        <f ca="1">SUMPRODUCT((TABELA_VAZAO[Posto]=O$2)*1,(TABELA_VAZAO[Data]=$A15)*1,TABELA_VAZAO[qinc])</f>
        <v>0</v>
      </c>
      <c r="P15" s="288">
        <f ca="1">SUMPRODUCT((TABELA_VAZAO[Posto]=P$2)*1,(TABELA_VAZAO[Data]=$A15)*1,TABELA_VAZAO[qnat])</f>
        <v>0</v>
      </c>
      <c r="Q15" s="9"/>
      <c r="R15" s="250">
        <f ca="1">SUMPRODUCT((TABELA_VAZAO[Posto]=R$2)*1,(TABELA_VAZAO[Data]=$A15)*1,TABELA_VAZAO[qinc])</f>
        <v>0</v>
      </c>
      <c r="S15" s="288">
        <f ca="1">SUMPRODUCT((TABELA_VAZAO[Posto]=S$2)*1,(TABELA_VAZAO[Data]=$A15)*1,TABELA_VAZAO[qnat])</f>
        <v>0</v>
      </c>
      <c r="T15" s="67" t="e">
        <f ca="1">INDEX(RESULTADOS!$A:$BA,MATCH($A15,RESULTADOS!$A:$A,0),MATCH(T$1,RESULTADOS!$1:$1,0))</f>
        <v>#N/A</v>
      </c>
      <c r="U15" s="250">
        <f ca="1">SUMPRODUCT((TABELA_VAZAO[Posto]=U$2)*1,(TABELA_VAZAO[Data]=$A15)*1,TABELA_VAZAO[qinc])</f>
        <v>0</v>
      </c>
      <c r="V15" s="288">
        <f ca="1">SUMPRODUCT((TABELA_VAZAO[Posto]=V$2)*1,(TABELA_VAZAO[Data]=$A15)*1,TABELA_VAZAO[qnat])</f>
        <v>0</v>
      </c>
      <c r="W15" s="250">
        <f ca="1">SUMPRODUCT((TABELA_VAZAO[Posto]=W$2)*1,(TABELA_VAZAO[Data]=$A15)*1,TABELA_VAZAO[qinc])</f>
        <v>0</v>
      </c>
      <c r="X15" s="288">
        <f ca="1">SUMPRODUCT((TABELA_VAZAO[Posto]=X$2)*1,(TABELA_VAZAO[Data]=$A15)*1,TABELA_VAZAO[qnat])</f>
        <v>0</v>
      </c>
      <c r="Y15" s="250">
        <f ca="1">SUMPRODUCT((TABELA_VAZAO[Posto]=Y$2)*1,(TABELA_VAZAO[Data]=$A15)*1,TABELA_VAZAO[qinc])</f>
        <v>0</v>
      </c>
      <c r="Z15" s="288">
        <f ca="1">SUMPRODUCT((TABELA_VAZAO[Posto]=Z$2)*1,(TABELA_VAZAO[Data]=$A15)*1,TABELA_VAZAO[qnat])</f>
        <v>0</v>
      </c>
      <c r="AA15" s="9"/>
      <c r="AB15" s="250">
        <f ca="1">SUMPRODUCT((TABELA_VAZAO[Posto]=AB$2)*1,(TABELA_VAZAO[Data]=$A15)*1,TABELA_VAZAO[qinc])</f>
        <v>0</v>
      </c>
      <c r="AC15" s="288">
        <f ca="1">SUMPRODUCT((TABELA_VAZAO[Posto]=AC$2)*1,(TABELA_VAZAO[Data]=$A15)*1,TABELA_VAZAO[qnat])</f>
        <v>0</v>
      </c>
      <c r="AE15" s="208" t="e">
        <f ca="1">INDEX(RESULTADOS!$A:$BA,MATCH($A15,RESULTADOS!$A:$A,0),MATCH(AE$1,RESULTADOS!$1:$1,0))</f>
        <v>#N/A</v>
      </c>
      <c r="AF15" s="67" t="e">
        <f ca="1">INDEX(RESULTADOS!$A:$BA,MATCH($A15,RESULTADOS!$A:$A,0),MATCH(AF$1,RESULTADOS!$1:$1,0))</f>
        <v>#N/A</v>
      </c>
      <c r="AG15" s="250">
        <f ca="1">SUMPRODUCT((TABELA_VAZAO[Posto]=AG$2)*1,(TABELA_VAZAO[Data]=$A15)*1,TABELA_VAZAO[qinc])</f>
        <v>0</v>
      </c>
      <c r="AH15" s="250">
        <f ca="1">SUMPRODUCT((TABELA_VAZAO[Posto]=AH$2)*1,(TABELA_VAZAO[Data]=$A15)*1,TABELA_VAZAO[qinc])</f>
        <v>0</v>
      </c>
      <c r="AI15" s="288">
        <f ca="1">SUMPRODUCT((TABELA_VAZAO[Posto]=AI$2)*1,(TABELA_VAZAO[Data]=$A15)*1,TABELA_VAZAO[qnat])</f>
        <v>0</v>
      </c>
      <c r="AJ15" s="288">
        <f ca="1">SUMPRODUCT((TABELA_VAZAO[Posto]=AJ$2)*1,(TABELA_VAZAO[Data]=$A15)*1,TABELA_VAZAO[qnat])</f>
        <v>0</v>
      </c>
    </row>
    <row r="16" spans="1:36" x14ac:dyDescent="0.2">
      <c r="A16" s="7">
        <f t="shared" ca="1" si="1"/>
        <v>43815</v>
      </c>
      <c r="B16" s="250">
        <f ca="1">SUMPRODUCT((TABELA_VAZAO[Posto]=B$2)*1,(TABELA_VAZAO[Data]=$A16)*1,TABELA_VAZAO[qinc])</f>
        <v>0</v>
      </c>
      <c r="C16" s="288">
        <f ca="1">SUMPRODUCT((TABELA_VAZAO[Posto]=C$2)*1,(TABELA_VAZAO[Data]=$A16)*1,TABELA_VAZAO[qnat])</f>
        <v>0</v>
      </c>
      <c r="D16" s="279" t="e">
        <f ca="1">INDEX(RESULTADOS!$A:$BA,MATCH($A16,RESULTADOS!$A:$A,0),MATCH(D$1,RESULTADOS!$1:$1,0))</f>
        <v>#N/A</v>
      </c>
      <c r="E16" s="250">
        <f ca="1">SUMPRODUCT((TABELA_VAZAO[Posto]=E$2)*1,(TABELA_VAZAO[Data]=$A16)*1,TABELA_VAZAO[qinc])</f>
        <v>0</v>
      </c>
      <c r="F16" s="288">
        <f ca="1">SUMPRODUCT((TABELA_VAZAO[Posto]=F$2)*1,(TABELA_VAZAO[Data]=$A16)*1,TABELA_VAZAO[qnat])</f>
        <v>0</v>
      </c>
      <c r="G16" s="250">
        <f ca="1">SUMPRODUCT((TABELA_VAZAO[Posto]=G$2)*1,(TABELA_VAZAO[Data]=$A16)*1,TABELA_VAZAO[qinc])</f>
        <v>0</v>
      </c>
      <c r="H16" s="288">
        <f ca="1">SUMPRODUCT((TABELA_VAZAO[Posto]=H$2)*1,(TABELA_VAZAO[Data]=$A16)*1,TABELA_VAZAO[qnat])</f>
        <v>0</v>
      </c>
      <c r="I16" s="9"/>
      <c r="J16" s="67" t="e">
        <f ca="1">INDEX(RESULTADOS!$A:$BA,MATCH($A16,RESULTADOS!$A:$A,0),MATCH(J$1,RESULTADOS!$1:$1,0))</f>
        <v>#N/A</v>
      </c>
      <c r="K16" s="250">
        <f ca="1">SUMPRODUCT((TABELA_VAZAO[Posto]=K$2)*1,(TABELA_VAZAO[Data]=$A16)*1,TABELA_VAZAO[qinc])</f>
        <v>0</v>
      </c>
      <c r="L16" s="288">
        <f ca="1">SUMPRODUCT((TABELA_VAZAO[Posto]=L$2)*1,(TABELA_VAZAO[Data]=$A16)*1,TABELA_VAZAO[qnat])</f>
        <v>0</v>
      </c>
      <c r="M16" s="250">
        <f ca="1">SUMPRODUCT((TABELA_VAZAO[Posto]=M$2)*1,(TABELA_VAZAO[Data]=$A16)*1,TABELA_VAZAO[qinc])</f>
        <v>0</v>
      </c>
      <c r="N16" s="288">
        <f ca="1">SUMPRODUCT((TABELA_VAZAO[Posto]=N$2)*1,(TABELA_VAZAO[Data]=$A16)*1,TABELA_VAZAO[qnat])</f>
        <v>0</v>
      </c>
      <c r="O16" s="250">
        <f ca="1">SUMPRODUCT((TABELA_VAZAO[Posto]=O$2)*1,(TABELA_VAZAO[Data]=$A16)*1,TABELA_VAZAO[qinc])</f>
        <v>0</v>
      </c>
      <c r="P16" s="288">
        <f ca="1">SUMPRODUCT((TABELA_VAZAO[Posto]=P$2)*1,(TABELA_VAZAO[Data]=$A16)*1,TABELA_VAZAO[qnat])</f>
        <v>0</v>
      </c>
      <c r="Q16" s="9"/>
      <c r="R16" s="250">
        <f ca="1">SUMPRODUCT((TABELA_VAZAO[Posto]=R$2)*1,(TABELA_VAZAO[Data]=$A16)*1,TABELA_VAZAO[qinc])</f>
        <v>0</v>
      </c>
      <c r="S16" s="288">
        <f ca="1">SUMPRODUCT((TABELA_VAZAO[Posto]=S$2)*1,(TABELA_VAZAO[Data]=$A16)*1,TABELA_VAZAO[qnat])</f>
        <v>0</v>
      </c>
      <c r="T16" s="67" t="e">
        <f ca="1">INDEX(RESULTADOS!$A:$BA,MATCH($A16,RESULTADOS!$A:$A,0),MATCH(T$1,RESULTADOS!$1:$1,0))</f>
        <v>#N/A</v>
      </c>
      <c r="U16" s="250">
        <f ca="1">SUMPRODUCT((TABELA_VAZAO[Posto]=U$2)*1,(TABELA_VAZAO[Data]=$A16)*1,TABELA_VAZAO[qinc])</f>
        <v>0</v>
      </c>
      <c r="V16" s="288">
        <f ca="1">SUMPRODUCT((TABELA_VAZAO[Posto]=V$2)*1,(TABELA_VAZAO[Data]=$A16)*1,TABELA_VAZAO[qnat])</f>
        <v>0</v>
      </c>
      <c r="W16" s="250">
        <f ca="1">SUMPRODUCT((TABELA_VAZAO[Posto]=W$2)*1,(TABELA_VAZAO[Data]=$A16)*1,TABELA_VAZAO[qinc])</f>
        <v>0</v>
      </c>
      <c r="X16" s="288">
        <f ca="1">SUMPRODUCT((TABELA_VAZAO[Posto]=X$2)*1,(TABELA_VAZAO[Data]=$A16)*1,TABELA_VAZAO[qnat])</f>
        <v>0</v>
      </c>
      <c r="Y16" s="250">
        <f ca="1">SUMPRODUCT((TABELA_VAZAO[Posto]=Y$2)*1,(TABELA_VAZAO[Data]=$A16)*1,TABELA_VAZAO[qinc])</f>
        <v>0</v>
      </c>
      <c r="Z16" s="288">
        <f ca="1">SUMPRODUCT((TABELA_VAZAO[Posto]=Z$2)*1,(TABELA_VAZAO[Data]=$A16)*1,TABELA_VAZAO[qnat])</f>
        <v>0</v>
      </c>
      <c r="AA16" s="9"/>
      <c r="AB16" s="250">
        <f ca="1">SUMPRODUCT((TABELA_VAZAO[Posto]=AB$2)*1,(TABELA_VAZAO[Data]=$A16)*1,TABELA_VAZAO[qinc])</f>
        <v>0</v>
      </c>
      <c r="AC16" s="288">
        <f ca="1">SUMPRODUCT((TABELA_VAZAO[Posto]=AC$2)*1,(TABELA_VAZAO[Data]=$A16)*1,TABELA_VAZAO[qnat])</f>
        <v>0</v>
      </c>
      <c r="AE16" s="208" t="e">
        <f ca="1">INDEX(RESULTADOS!$A:$BA,MATCH($A16,RESULTADOS!$A:$A,0),MATCH(AE$1,RESULTADOS!$1:$1,0))</f>
        <v>#N/A</v>
      </c>
      <c r="AF16" s="67" t="e">
        <f ca="1">INDEX(RESULTADOS!$A:$BA,MATCH($A16,RESULTADOS!$A:$A,0),MATCH(AF$1,RESULTADOS!$1:$1,0))</f>
        <v>#N/A</v>
      </c>
      <c r="AG16" s="250">
        <f ca="1">SUMPRODUCT((TABELA_VAZAO[Posto]=AG$2)*1,(TABELA_VAZAO[Data]=$A16)*1,TABELA_VAZAO[qinc])</f>
        <v>0</v>
      </c>
      <c r="AH16" s="250">
        <f ca="1">SUMPRODUCT((TABELA_VAZAO[Posto]=AH$2)*1,(TABELA_VAZAO[Data]=$A16)*1,TABELA_VAZAO[qinc])</f>
        <v>0</v>
      </c>
      <c r="AI16" s="288">
        <f ca="1">SUMPRODUCT((TABELA_VAZAO[Posto]=AI$2)*1,(TABELA_VAZAO[Data]=$A16)*1,TABELA_VAZAO[qnat])</f>
        <v>0</v>
      </c>
      <c r="AJ16" s="288">
        <f ca="1">SUMPRODUCT((TABELA_VAZAO[Posto]=AJ$2)*1,(TABELA_VAZAO[Data]=$A16)*1,TABELA_VAZAO[qnat])</f>
        <v>0</v>
      </c>
    </row>
    <row r="17" spans="1:36" x14ac:dyDescent="0.2">
      <c r="A17" s="7">
        <f t="shared" ca="1" si="1"/>
        <v>43816</v>
      </c>
      <c r="B17" s="250">
        <f ca="1">SUMPRODUCT((TABELA_VAZAO[Posto]=B$2)*1,(TABELA_VAZAO[Data]=$A17)*1,TABELA_VAZAO[qinc])</f>
        <v>0</v>
      </c>
      <c r="C17" s="288">
        <f ca="1">SUMPRODUCT((TABELA_VAZAO[Posto]=C$2)*1,(TABELA_VAZAO[Data]=$A17)*1,TABELA_VAZAO[qnat])</f>
        <v>0</v>
      </c>
      <c r="D17" s="279" t="e">
        <f ca="1">INDEX(RESULTADOS!$A:$BA,MATCH($A17,RESULTADOS!$A:$A,0),MATCH(D$1,RESULTADOS!$1:$1,0))</f>
        <v>#N/A</v>
      </c>
      <c r="E17" s="250">
        <f ca="1">SUMPRODUCT((TABELA_VAZAO[Posto]=E$2)*1,(TABELA_VAZAO[Data]=$A17)*1,TABELA_VAZAO[qinc])</f>
        <v>0</v>
      </c>
      <c r="F17" s="288">
        <f ca="1">SUMPRODUCT((TABELA_VAZAO[Posto]=F$2)*1,(TABELA_VAZAO[Data]=$A17)*1,TABELA_VAZAO[qnat])</f>
        <v>0</v>
      </c>
      <c r="G17" s="250">
        <f ca="1">SUMPRODUCT((TABELA_VAZAO[Posto]=G$2)*1,(TABELA_VAZAO[Data]=$A17)*1,TABELA_VAZAO[qinc])</f>
        <v>0</v>
      </c>
      <c r="H17" s="288">
        <f ca="1">SUMPRODUCT((TABELA_VAZAO[Posto]=H$2)*1,(TABELA_VAZAO[Data]=$A17)*1,TABELA_VAZAO[qnat])</f>
        <v>0</v>
      </c>
      <c r="I17" s="9"/>
      <c r="J17" s="67" t="e">
        <f ca="1">INDEX(RESULTADOS!$A:$BA,MATCH($A17,RESULTADOS!$A:$A,0),MATCH(J$1,RESULTADOS!$1:$1,0))</f>
        <v>#N/A</v>
      </c>
      <c r="K17" s="250">
        <f ca="1">SUMPRODUCT((TABELA_VAZAO[Posto]=K$2)*1,(TABELA_VAZAO[Data]=$A17)*1,TABELA_VAZAO[qinc])</f>
        <v>0</v>
      </c>
      <c r="L17" s="288">
        <f ca="1">SUMPRODUCT((TABELA_VAZAO[Posto]=L$2)*1,(TABELA_VAZAO[Data]=$A17)*1,TABELA_VAZAO[qnat])</f>
        <v>0</v>
      </c>
      <c r="M17" s="250">
        <f ca="1">SUMPRODUCT((TABELA_VAZAO[Posto]=M$2)*1,(TABELA_VAZAO[Data]=$A17)*1,TABELA_VAZAO[qinc])</f>
        <v>0</v>
      </c>
      <c r="N17" s="288">
        <f ca="1">SUMPRODUCT((TABELA_VAZAO[Posto]=N$2)*1,(TABELA_VAZAO[Data]=$A17)*1,TABELA_VAZAO[qnat])</f>
        <v>0</v>
      </c>
      <c r="O17" s="250">
        <f ca="1">SUMPRODUCT((TABELA_VAZAO[Posto]=O$2)*1,(TABELA_VAZAO[Data]=$A17)*1,TABELA_VAZAO[qinc])</f>
        <v>0</v>
      </c>
      <c r="P17" s="288">
        <f ca="1">SUMPRODUCT((TABELA_VAZAO[Posto]=P$2)*1,(TABELA_VAZAO[Data]=$A17)*1,TABELA_VAZAO[qnat])</f>
        <v>0</v>
      </c>
      <c r="Q17" s="9"/>
      <c r="R17" s="250">
        <f ca="1">SUMPRODUCT((TABELA_VAZAO[Posto]=R$2)*1,(TABELA_VAZAO[Data]=$A17)*1,TABELA_VAZAO[qinc])</f>
        <v>0</v>
      </c>
      <c r="S17" s="288">
        <f ca="1">SUMPRODUCT((TABELA_VAZAO[Posto]=S$2)*1,(TABELA_VAZAO[Data]=$A17)*1,TABELA_VAZAO[qnat])</f>
        <v>0</v>
      </c>
      <c r="T17" s="67" t="e">
        <f ca="1">INDEX(RESULTADOS!$A:$BA,MATCH($A17,RESULTADOS!$A:$A,0),MATCH(T$1,RESULTADOS!$1:$1,0))</f>
        <v>#N/A</v>
      </c>
      <c r="U17" s="250">
        <f ca="1">SUMPRODUCT((TABELA_VAZAO[Posto]=U$2)*1,(TABELA_VAZAO[Data]=$A17)*1,TABELA_VAZAO[qinc])</f>
        <v>0</v>
      </c>
      <c r="V17" s="288">
        <f ca="1">SUMPRODUCT((TABELA_VAZAO[Posto]=V$2)*1,(TABELA_VAZAO[Data]=$A17)*1,TABELA_VAZAO[qnat])</f>
        <v>0</v>
      </c>
      <c r="W17" s="250">
        <f ca="1">SUMPRODUCT((TABELA_VAZAO[Posto]=W$2)*1,(TABELA_VAZAO[Data]=$A17)*1,TABELA_VAZAO[qinc])</f>
        <v>0</v>
      </c>
      <c r="X17" s="288">
        <f ca="1">SUMPRODUCT((TABELA_VAZAO[Posto]=X$2)*1,(TABELA_VAZAO[Data]=$A17)*1,TABELA_VAZAO[qnat])</f>
        <v>0</v>
      </c>
      <c r="Y17" s="250">
        <f ca="1">SUMPRODUCT((TABELA_VAZAO[Posto]=Y$2)*1,(TABELA_VAZAO[Data]=$A17)*1,TABELA_VAZAO[qinc])</f>
        <v>0</v>
      </c>
      <c r="Z17" s="288">
        <f ca="1">SUMPRODUCT((TABELA_VAZAO[Posto]=Z$2)*1,(TABELA_VAZAO[Data]=$A17)*1,TABELA_VAZAO[qnat])</f>
        <v>0</v>
      </c>
      <c r="AA17" s="9"/>
      <c r="AB17" s="250">
        <f ca="1">SUMPRODUCT((TABELA_VAZAO[Posto]=AB$2)*1,(TABELA_VAZAO[Data]=$A17)*1,TABELA_VAZAO[qinc])</f>
        <v>0</v>
      </c>
      <c r="AC17" s="288">
        <f ca="1">SUMPRODUCT((TABELA_VAZAO[Posto]=AC$2)*1,(TABELA_VAZAO[Data]=$A17)*1,TABELA_VAZAO[qnat])</f>
        <v>0</v>
      </c>
      <c r="AE17" s="208" t="e">
        <f ca="1">INDEX(RESULTADOS!$A:$BA,MATCH($A17,RESULTADOS!$A:$A,0),MATCH(AE$1,RESULTADOS!$1:$1,0))</f>
        <v>#N/A</v>
      </c>
      <c r="AF17" s="67" t="e">
        <f ca="1">INDEX(RESULTADOS!$A:$BA,MATCH($A17,RESULTADOS!$A:$A,0),MATCH(AF$1,RESULTADOS!$1:$1,0))</f>
        <v>#N/A</v>
      </c>
      <c r="AG17" s="250">
        <f ca="1">SUMPRODUCT((TABELA_VAZAO[Posto]=AG$2)*1,(TABELA_VAZAO[Data]=$A17)*1,TABELA_VAZAO[qinc])</f>
        <v>0</v>
      </c>
      <c r="AH17" s="250">
        <f ca="1">SUMPRODUCT((TABELA_VAZAO[Posto]=AH$2)*1,(TABELA_VAZAO[Data]=$A17)*1,TABELA_VAZAO[qinc])</f>
        <v>0</v>
      </c>
      <c r="AI17" s="288">
        <f ca="1">SUMPRODUCT((TABELA_VAZAO[Posto]=AI$2)*1,(TABELA_VAZAO[Data]=$A17)*1,TABELA_VAZAO[qnat])</f>
        <v>0</v>
      </c>
      <c r="AJ17" s="288">
        <f ca="1">SUMPRODUCT((TABELA_VAZAO[Posto]=AJ$2)*1,(TABELA_VAZAO[Data]=$A17)*1,TABELA_VAZAO[qnat])</f>
        <v>0</v>
      </c>
    </row>
    <row r="18" spans="1:36" x14ac:dyDescent="0.2">
      <c r="A18" s="7">
        <f t="shared" ca="1" si="1"/>
        <v>43817</v>
      </c>
      <c r="B18" s="250">
        <f ca="1">SUMPRODUCT((TABELA_VAZAO[Posto]=B$2)*1,(TABELA_VAZAO[Data]=$A18)*1,TABELA_VAZAO[qinc])</f>
        <v>0</v>
      </c>
      <c r="C18" s="288">
        <f ca="1">SUMPRODUCT((TABELA_VAZAO[Posto]=C$2)*1,(TABELA_VAZAO[Data]=$A18)*1,TABELA_VAZAO[qnat])</f>
        <v>0</v>
      </c>
      <c r="D18" s="279" t="e">
        <f ca="1">INDEX(RESULTADOS!$A:$BA,MATCH($A18,RESULTADOS!$A:$A,0),MATCH(D$1,RESULTADOS!$1:$1,0))</f>
        <v>#N/A</v>
      </c>
      <c r="E18" s="250">
        <f ca="1">SUMPRODUCT((TABELA_VAZAO[Posto]=E$2)*1,(TABELA_VAZAO[Data]=$A18)*1,TABELA_VAZAO[qinc])</f>
        <v>0</v>
      </c>
      <c r="F18" s="288">
        <f ca="1">SUMPRODUCT((TABELA_VAZAO[Posto]=F$2)*1,(TABELA_VAZAO[Data]=$A18)*1,TABELA_VAZAO[qnat])</f>
        <v>0</v>
      </c>
      <c r="G18" s="250">
        <f ca="1">SUMPRODUCT((TABELA_VAZAO[Posto]=G$2)*1,(TABELA_VAZAO[Data]=$A18)*1,TABELA_VAZAO[qinc])</f>
        <v>0</v>
      </c>
      <c r="H18" s="288">
        <f ca="1">SUMPRODUCT((TABELA_VAZAO[Posto]=H$2)*1,(TABELA_VAZAO[Data]=$A18)*1,TABELA_VAZAO[qnat])</f>
        <v>0</v>
      </c>
      <c r="I18" s="9"/>
      <c r="J18" s="67" t="e">
        <f ca="1">INDEX(RESULTADOS!$A:$BA,MATCH($A18,RESULTADOS!$A:$A,0),MATCH(J$1,RESULTADOS!$1:$1,0))</f>
        <v>#N/A</v>
      </c>
      <c r="K18" s="250">
        <f ca="1">SUMPRODUCT((TABELA_VAZAO[Posto]=K$2)*1,(TABELA_VAZAO[Data]=$A18)*1,TABELA_VAZAO[qinc])</f>
        <v>0</v>
      </c>
      <c r="L18" s="288">
        <f ca="1">SUMPRODUCT((TABELA_VAZAO[Posto]=L$2)*1,(TABELA_VAZAO[Data]=$A18)*1,TABELA_VAZAO[qnat])</f>
        <v>0</v>
      </c>
      <c r="M18" s="250">
        <f ca="1">SUMPRODUCT((TABELA_VAZAO[Posto]=M$2)*1,(TABELA_VAZAO[Data]=$A18)*1,TABELA_VAZAO[qinc])</f>
        <v>0</v>
      </c>
      <c r="N18" s="288">
        <f ca="1">SUMPRODUCT((TABELA_VAZAO[Posto]=N$2)*1,(TABELA_VAZAO[Data]=$A18)*1,TABELA_VAZAO[qnat])</f>
        <v>0</v>
      </c>
      <c r="O18" s="250">
        <f ca="1">SUMPRODUCT((TABELA_VAZAO[Posto]=O$2)*1,(TABELA_VAZAO[Data]=$A18)*1,TABELA_VAZAO[qinc])</f>
        <v>0</v>
      </c>
      <c r="P18" s="288">
        <f ca="1">SUMPRODUCT((TABELA_VAZAO[Posto]=P$2)*1,(TABELA_VAZAO[Data]=$A18)*1,TABELA_VAZAO[qnat])</f>
        <v>0</v>
      </c>
      <c r="Q18" s="9"/>
      <c r="R18" s="250">
        <f ca="1">SUMPRODUCT((TABELA_VAZAO[Posto]=R$2)*1,(TABELA_VAZAO[Data]=$A18)*1,TABELA_VAZAO[qinc])</f>
        <v>0</v>
      </c>
      <c r="S18" s="288">
        <f ca="1">SUMPRODUCT((TABELA_VAZAO[Posto]=S$2)*1,(TABELA_VAZAO[Data]=$A18)*1,TABELA_VAZAO[qnat])</f>
        <v>0</v>
      </c>
      <c r="T18" s="67" t="e">
        <f ca="1">INDEX(RESULTADOS!$A:$BA,MATCH($A18,RESULTADOS!$A:$A,0),MATCH(T$1,RESULTADOS!$1:$1,0))</f>
        <v>#N/A</v>
      </c>
      <c r="U18" s="250">
        <f ca="1">SUMPRODUCT((TABELA_VAZAO[Posto]=U$2)*1,(TABELA_VAZAO[Data]=$A18)*1,TABELA_VAZAO[qinc])</f>
        <v>0</v>
      </c>
      <c r="V18" s="288">
        <f ca="1">SUMPRODUCT((TABELA_VAZAO[Posto]=V$2)*1,(TABELA_VAZAO[Data]=$A18)*1,TABELA_VAZAO[qnat])</f>
        <v>0</v>
      </c>
      <c r="W18" s="250">
        <f ca="1">SUMPRODUCT((TABELA_VAZAO[Posto]=W$2)*1,(TABELA_VAZAO[Data]=$A18)*1,TABELA_VAZAO[qinc])</f>
        <v>0</v>
      </c>
      <c r="X18" s="288">
        <f ca="1">SUMPRODUCT((TABELA_VAZAO[Posto]=X$2)*1,(TABELA_VAZAO[Data]=$A18)*1,TABELA_VAZAO[qnat])</f>
        <v>0</v>
      </c>
      <c r="Y18" s="250">
        <f ca="1">SUMPRODUCT((TABELA_VAZAO[Posto]=Y$2)*1,(TABELA_VAZAO[Data]=$A18)*1,TABELA_VAZAO[qinc])</f>
        <v>0</v>
      </c>
      <c r="Z18" s="288">
        <f ca="1">SUMPRODUCT((TABELA_VAZAO[Posto]=Z$2)*1,(TABELA_VAZAO[Data]=$A18)*1,TABELA_VAZAO[qnat])</f>
        <v>0</v>
      </c>
      <c r="AA18" s="9"/>
      <c r="AB18" s="250">
        <f ca="1">SUMPRODUCT((TABELA_VAZAO[Posto]=AB$2)*1,(TABELA_VAZAO[Data]=$A18)*1,TABELA_VAZAO[qinc])</f>
        <v>0</v>
      </c>
      <c r="AC18" s="288">
        <f ca="1">SUMPRODUCT((TABELA_VAZAO[Posto]=AC$2)*1,(TABELA_VAZAO[Data]=$A18)*1,TABELA_VAZAO[qnat])</f>
        <v>0</v>
      </c>
      <c r="AE18" s="208" t="e">
        <f ca="1">INDEX(RESULTADOS!$A:$BA,MATCH($A18,RESULTADOS!$A:$A,0),MATCH(AE$1,RESULTADOS!$1:$1,0))</f>
        <v>#N/A</v>
      </c>
      <c r="AF18" s="67" t="e">
        <f ca="1">INDEX(RESULTADOS!$A:$BA,MATCH($A18,RESULTADOS!$A:$A,0),MATCH(AF$1,RESULTADOS!$1:$1,0))</f>
        <v>#N/A</v>
      </c>
      <c r="AG18" s="250">
        <f ca="1">SUMPRODUCT((TABELA_VAZAO[Posto]=AG$2)*1,(TABELA_VAZAO[Data]=$A18)*1,TABELA_VAZAO[qinc])</f>
        <v>0</v>
      </c>
      <c r="AH18" s="250">
        <f ca="1">SUMPRODUCT((TABELA_VAZAO[Posto]=AH$2)*1,(TABELA_VAZAO[Data]=$A18)*1,TABELA_VAZAO[qinc])</f>
        <v>0</v>
      </c>
      <c r="AI18" s="288">
        <f ca="1">SUMPRODUCT((TABELA_VAZAO[Posto]=AI$2)*1,(TABELA_VAZAO[Data]=$A18)*1,TABELA_VAZAO[qnat])</f>
        <v>0</v>
      </c>
      <c r="AJ18" s="288">
        <f ca="1">SUMPRODUCT((TABELA_VAZAO[Posto]=AJ$2)*1,(TABELA_VAZAO[Data]=$A18)*1,TABELA_VAZAO[qnat])</f>
        <v>0</v>
      </c>
    </row>
    <row r="19" spans="1:36" x14ac:dyDescent="0.2">
      <c r="A19" s="7">
        <f t="shared" ca="1" si="1"/>
        <v>43818</v>
      </c>
      <c r="B19" s="250">
        <f ca="1">SUMPRODUCT((TABELA_VAZAO[Posto]=B$2)*1,(TABELA_VAZAO[Data]=$A19)*1,TABELA_VAZAO[qinc])</f>
        <v>0</v>
      </c>
      <c r="C19" s="288">
        <f ca="1">SUMPRODUCT((TABELA_VAZAO[Posto]=C$2)*1,(TABELA_VAZAO[Data]=$A19)*1,TABELA_VAZAO[qnat])</f>
        <v>0</v>
      </c>
      <c r="D19" s="279" t="e">
        <f ca="1">INDEX(RESULTADOS!$A:$BA,MATCH($A19,RESULTADOS!$A:$A,0),MATCH(D$1,RESULTADOS!$1:$1,0))</f>
        <v>#N/A</v>
      </c>
      <c r="E19" s="250">
        <f ca="1">SUMPRODUCT((TABELA_VAZAO[Posto]=E$2)*1,(TABELA_VAZAO[Data]=$A19)*1,TABELA_VAZAO[qinc])</f>
        <v>0</v>
      </c>
      <c r="F19" s="288">
        <f ca="1">SUMPRODUCT((TABELA_VAZAO[Posto]=F$2)*1,(TABELA_VAZAO[Data]=$A19)*1,TABELA_VAZAO[qnat])</f>
        <v>0</v>
      </c>
      <c r="G19" s="250">
        <f ca="1">SUMPRODUCT((TABELA_VAZAO[Posto]=G$2)*1,(TABELA_VAZAO[Data]=$A19)*1,TABELA_VAZAO[qinc])</f>
        <v>0</v>
      </c>
      <c r="H19" s="288">
        <f ca="1">SUMPRODUCT((TABELA_VAZAO[Posto]=H$2)*1,(TABELA_VAZAO[Data]=$A19)*1,TABELA_VAZAO[qnat])</f>
        <v>0</v>
      </c>
      <c r="I19" s="9"/>
      <c r="J19" s="67" t="e">
        <f ca="1">INDEX(RESULTADOS!$A:$BA,MATCH($A19,RESULTADOS!$A:$A,0),MATCH(J$1,RESULTADOS!$1:$1,0))</f>
        <v>#N/A</v>
      </c>
      <c r="K19" s="250">
        <f ca="1">SUMPRODUCT((TABELA_VAZAO[Posto]=K$2)*1,(TABELA_VAZAO[Data]=$A19)*1,TABELA_VAZAO[qinc])</f>
        <v>0</v>
      </c>
      <c r="L19" s="288">
        <f ca="1">SUMPRODUCT((TABELA_VAZAO[Posto]=L$2)*1,(TABELA_VAZAO[Data]=$A19)*1,TABELA_VAZAO[qnat])</f>
        <v>0</v>
      </c>
      <c r="M19" s="250">
        <f ca="1">SUMPRODUCT((TABELA_VAZAO[Posto]=M$2)*1,(TABELA_VAZAO[Data]=$A19)*1,TABELA_VAZAO[qinc])</f>
        <v>0</v>
      </c>
      <c r="N19" s="288">
        <f ca="1">SUMPRODUCT((TABELA_VAZAO[Posto]=N$2)*1,(TABELA_VAZAO[Data]=$A19)*1,TABELA_VAZAO[qnat])</f>
        <v>0</v>
      </c>
      <c r="O19" s="250">
        <f ca="1">SUMPRODUCT((TABELA_VAZAO[Posto]=O$2)*1,(TABELA_VAZAO[Data]=$A19)*1,TABELA_VAZAO[qinc])</f>
        <v>0</v>
      </c>
      <c r="P19" s="288">
        <f ca="1">SUMPRODUCT((TABELA_VAZAO[Posto]=P$2)*1,(TABELA_VAZAO[Data]=$A19)*1,TABELA_VAZAO[qnat])</f>
        <v>0</v>
      </c>
      <c r="Q19" s="9"/>
      <c r="R19" s="250">
        <f ca="1">SUMPRODUCT((TABELA_VAZAO[Posto]=R$2)*1,(TABELA_VAZAO[Data]=$A19)*1,TABELA_VAZAO[qinc])</f>
        <v>0</v>
      </c>
      <c r="S19" s="288">
        <f ca="1">SUMPRODUCT((TABELA_VAZAO[Posto]=S$2)*1,(TABELA_VAZAO[Data]=$A19)*1,TABELA_VAZAO[qnat])</f>
        <v>0</v>
      </c>
      <c r="T19" s="67" t="e">
        <f ca="1">INDEX(RESULTADOS!$A:$BA,MATCH($A19,RESULTADOS!$A:$A,0),MATCH(T$1,RESULTADOS!$1:$1,0))</f>
        <v>#N/A</v>
      </c>
      <c r="U19" s="250">
        <f ca="1">SUMPRODUCT((TABELA_VAZAO[Posto]=U$2)*1,(TABELA_VAZAO[Data]=$A19)*1,TABELA_VAZAO[qinc])</f>
        <v>0</v>
      </c>
      <c r="V19" s="288">
        <f ca="1">SUMPRODUCT((TABELA_VAZAO[Posto]=V$2)*1,(TABELA_VAZAO[Data]=$A19)*1,TABELA_VAZAO[qnat])</f>
        <v>0</v>
      </c>
      <c r="W19" s="250">
        <f ca="1">SUMPRODUCT((TABELA_VAZAO[Posto]=W$2)*1,(TABELA_VAZAO[Data]=$A19)*1,TABELA_VAZAO[qinc])</f>
        <v>0</v>
      </c>
      <c r="X19" s="288">
        <f ca="1">SUMPRODUCT((TABELA_VAZAO[Posto]=X$2)*1,(TABELA_VAZAO[Data]=$A19)*1,TABELA_VAZAO[qnat])</f>
        <v>0</v>
      </c>
      <c r="Y19" s="250">
        <f ca="1">SUMPRODUCT((TABELA_VAZAO[Posto]=Y$2)*1,(TABELA_VAZAO[Data]=$A19)*1,TABELA_VAZAO[qinc])</f>
        <v>0</v>
      </c>
      <c r="Z19" s="288">
        <f ca="1">SUMPRODUCT((TABELA_VAZAO[Posto]=Z$2)*1,(TABELA_VAZAO[Data]=$A19)*1,TABELA_VAZAO[qnat])</f>
        <v>0</v>
      </c>
      <c r="AA19" s="9"/>
      <c r="AB19" s="250">
        <f ca="1">SUMPRODUCT((TABELA_VAZAO[Posto]=AB$2)*1,(TABELA_VAZAO[Data]=$A19)*1,TABELA_VAZAO[qinc])</f>
        <v>0</v>
      </c>
      <c r="AC19" s="288">
        <f ca="1">SUMPRODUCT((TABELA_VAZAO[Posto]=AC$2)*1,(TABELA_VAZAO[Data]=$A19)*1,TABELA_VAZAO[qnat])</f>
        <v>0</v>
      </c>
      <c r="AE19" s="208" t="e">
        <f ca="1">INDEX(RESULTADOS!$A:$BA,MATCH($A19,RESULTADOS!$A:$A,0),MATCH(AE$1,RESULTADOS!$1:$1,0))</f>
        <v>#N/A</v>
      </c>
      <c r="AF19" s="67" t="e">
        <f ca="1">INDEX(RESULTADOS!$A:$BA,MATCH($A19,RESULTADOS!$A:$A,0),MATCH(AF$1,RESULTADOS!$1:$1,0))</f>
        <v>#N/A</v>
      </c>
      <c r="AG19" s="250">
        <f ca="1">SUMPRODUCT((TABELA_VAZAO[Posto]=AG$2)*1,(TABELA_VAZAO[Data]=$A19)*1,TABELA_VAZAO[qinc])</f>
        <v>0</v>
      </c>
      <c r="AH19" s="250">
        <f ca="1">SUMPRODUCT((TABELA_VAZAO[Posto]=AH$2)*1,(TABELA_VAZAO[Data]=$A19)*1,TABELA_VAZAO[qinc])</f>
        <v>0</v>
      </c>
      <c r="AI19" s="288">
        <f ca="1">SUMPRODUCT((TABELA_VAZAO[Posto]=AI$2)*1,(TABELA_VAZAO[Data]=$A19)*1,TABELA_VAZAO[qnat])</f>
        <v>0</v>
      </c>
      <c r="AJ19" s="288">
        <f ca="1">SUMPRODUCT((TABELA_VAZAO[Posto]=AJ$2)*1,(TABELA_VAZAO[Data]=$A19)*1,TABELA_VAZAO[qnat])</f>
        <v>0</v>
      </c>
    </row>
    <row r="20" spans="1:36" x14ac:dyDescent="0.2">
      <c r="A20" s="7">
        <f t="shared" ca="1" si="1"/>
        <v>43819</v>
      </c>
      <c r="B20" s="250">
        <f ca="1">SUMPRODUCT((TABELA_VAZAO[Posto]=B$2)*1,(TABELA_VAZAO[Data]=$A20)*1,TABELA_VAZAO[qinc])</f>
        <v>0</v>
      </c>
      <c r="C20" s="288">
        <f ca="1">SUMPRODUCT((TABELA_VAZAO[Posto]=C$2)*1,(TABELA_VAZAO[Data]=$A20)*1,TABELA_VAZAO[qnat])</f>
        <v>0</v>
      </c>
      <c r="D20" s="279" t="e">
        <f ca="1">INDEX(RESULTADOS!$A:$BA,MATCH($A20,RESULTADOS!$A:$A,0),MATCH(D$1,RESULTADOS!$1:$1,0))</f>
        <v>#N/A</v>
      </c>
      <c r="E20" s="250">
        <f ca="1">SUMPRODUCT((TABELA_VAZAO[Posto]=E$2)*1,(TABELA_VAZAO[Data]=$A20)*1,TABELA_VAZAO[qinc])</f>
        <v>0</v>
      </c>
      <c r="F20" s="288">
        <f ca="1">SUMPRODUCT((TABELA_VAZAO[Posto]=F$2)*1,(TABELA_VAZAO[Data]=$A20)*1,TABELA_VAZAO[qnat])</f>
        <v>0</v>
      </c>
      <c r="G20" s="250">
        <f ca="1">SUMPRODUCT((TABELA_VAZAO[Posto]=G$2)*1,(TABELA_VAZAO[Data]=$A20)*1,TABELA_VAZAO[qinc])</f>
        <v>0</v>
      </c>
      <c r="H20" s="288">
        <f ca="1">SUMPRODUCT((TABELA_VAZAO[Posto]=H$2)*1,(TABELA_VAZAO[Data]=$A20)*1,TABELA_VAZAO[qnat])</f>
        <v>0</v>
      </c>
      <c r="I20" s="9"/>
      <c r="J20" s="67" t="e">
        <f ca="1">INDEX(RESULTADOS!$A:$BA,MATCH($A20,RESULTADOS!$A:$A,0),MATCH(J$1,RESULTADOS!$1:$1,0))</f>
        <v>#N/A</v>
      </c>
      <c r="K20" s="250">
        <f ca="1">SUMPRODUCT((TABELA_VAZAO[Posto]=K$2)*1,(TABELA_VAZAO[Data]=$A20)*1,TABELA_VAZAO[qinc])</f>
        <v>0</v>
      </c>
      <c r="L20" s="288">
        <f ca="1">SUMPRODUCT((TABELA_VAZAO[Posto]=L$2)*1,(TABELA_VAZAO[Data]=$A20)*1,TABELA_VAZAO[qnat])</f>
        <v>0</v>
      </c>
      <c r="M20" s="250">
        <f ca="1">SUMPRODUCT((TABELA_VAZAO[Posto]=M$2)*1,(TABELA_VAZAO[Data]=$A20)*1,TABELA_VAZAO[qinc])</f>
        <v>0</v>
      </c>
      <c r="N20" s="288">
        <f ca="1">SUMPRODUCT((TABELA_VAZAO[Posto]=N$2)*1,(TABELA_VAZAO[Data]=$A20)*1,TABELA_VAZAO[qnat])</f>
        <v>0</v>
      </c>
      <c r="O20" s="250">
        <f ca="1">SUMPRODUCT((TABELA_VAZAO[Posto]=O$2)*1,(TABELA_VAZAO[Data]=$A20)*1,TABELA_VAZAO[qinc])</f>
        <v>0</v>
      </c>
      <c r="P20" s="288">
        <f ca="1">SUMPRODUCT((TABELA_VAZAO[Posto]=P$2)*1,(TABELA_VAZAO[Data]=$A20)*1,TABELA_VAZAO[qnat])</f>
        <v>0</v>
      </c>
      <c r="Q20" s="9"/>
      <c r="R20" s="250">
        <f ca="1">SUMPRODUCT((TABELA_VAZAO[Posto]=R$2)*1,(TABELA_VAZAO[Data]=$A20)*1,TABELA_VAZAO[qinc])</f>
        <v>0</v>
      </c>
      <c r="S20" s="288">
        <f ca="1">SUMPRODUCT((TABELA_VAZAO[Posto]=S$2)*1,(TABELA_VAZAO[Data]=$A20)*1,TABELA_VAZAO[qnat])</f>
        <v>0</v>
      </c>
      <c r="T20" s="67" t="e">
        <f ca="1">INDEX(RESULTADOS!$A:$BA,MATCH($A20,RESULTADOS!$A:$A,0),MATCH(T$1,RESULTADOS!$1:$1,0))</f>
        <v>#N/A</v>
      </c>
      <c r="U20" s="250">
        <f ca="1">SUMPRODUCT((TABELA_VAZAO[Posto]=U$2)*1,(TABELA_VAZAO[Data]=$A20)*1,TABELA_VAZAO[qinc])</f>
        <v>0</v>
      </c>
      <c r="V20" s="288">
        <f ca="1">SUMPRODUCT((TABELA_VAZAO[Posto]=V$2)*1,(TABELA_VAZAO[Data]=$A20)*1,TABELA_VAZAO[qnat])</f>
        <v>0</v>
      </c>
      <c r="W20" s="250">
        <f ca="1">SUMPRODUCT((TABELA_VAZAO[Posto]=W$2)*1,(TABELA_VAZAO[Data]=$A20)*1,TABELA_VAZAO[qinc])</f>
        <v>0</v>
      </c>
      <c r="X20" s="288">
        <f ca="1">SUMPRODUCT((TABELA_VAZAO[Posto]=X$2)*1,(TABELA_VAZAO[Data]=$A20)*1,TABELA_VAZAO[qnat])</f>
        <v>0</v>
      </c>
      <c r="Y20" s="250">
        <f ca="1">SUMPRODUCT((TABELA_VAZAO[Posto]=Y$2)*1,(TABELA_VAZAO[Data]=$A20)*1,TABELA_VAZAO[qinc])</f>
        <v>0</v>
      </c>
      <c r="Z20" s="288">
        <f ca="1">SUMPRODUCT((TABELA_VAZAO[Posto]=Z$2)*1,(TABELA_VAZAO[Data]=$A20)*1,TABELA_VAZAO[qnat])</f>
        <v>0</v>
      </c>
      <c r="AA20" s="9"/>
      <c r="AB20" s="250">
        <f ca="1">SUMPRODUCT((TABELA_VAZAO[Posto]=AB$2)*1,(TABELA_VAZAO[Data]=$A20)*1,TABELA_VAZAO[qinc])</f>
        <v>0</v>
      </c>
      <c r="AC20" s="288">
        <f ca="1">SUMPRODUCT((TABELA_VAZAO[Posto]=AC$2)*1,(TABELA_VAZAO[Data]=$A20)*1,TABELA_VAZAO[qnat])</f>
        <v>0</v>
      </c>
      <c r="AE20" s="208" t="e">
        <f ca="1">INDEX(RESULTADOS!$A:$BA,MATCH($A20,RESULTADOS!$A:$A,0),MATCH(AE$1,RESULTADOS!$1:$1,0))</f>
        <v>#N/A</v>
      </c>
      <c r="AF20" s="67" t="e">
        <f ca="1">INDEX(RESULTADOS!$A:$BA,MATCH($A20,RESULTADOS!$A:$A,0),MATCH(AF$1,RESULTADOS!$1:$1,0))</f>
        <v>#N/A</v>
      </c>
      <c r="AG20" s="250">
        <f ca="1">SUMPRODUCT((TABELA_VAZAO[Posto]=AG$2)*1,(TABELA_VAZAO[Data]=$A20)*1,TABELA_VAZAO[qinc])</f>
        <v>0</v>
      </c>
      <c r="AH20" s="250">
        <f ca="1">SUMPRODUCT((TABELA_VAZAO[Posto]=AH$2)*1,(TABELA_VAZAO[Data]=$A20)*1,TABELA_VAZAO[qinc])</f>
        <v>0</v>
      </c>
      <c r="AI20" s="288">
        <f ca="1">SUMPRODUCT((TABELA_VAZAO[Posto]=AI$2)*1,(TABELA_VAZAO[Data]=$A20)*1,TABELA_VAZAO[qnat])</f>
        <v>0</v>
      </c>
      <c r="AJ20" s="288">
        <f ca="1">SUMPRODUCT((TABELA_VAZAO[Posto]=AJ$2)*1,(TABELA_VAZAO[Data]=$A20)*1,TABELA_VAZAO[qnat])</f>
        <v>0</v>
      </c>
    </row>
    <row r="21" spans="1:36" x14ac:dyDescent="0.2">
      <c r="A21" s="7">
        <f t="shared" ca="1" si="1"/>
        <v>43820</v>
      </c>
      <c r="B21" s="250">
        <f ca="1">SUMPRODUCT((TABELA_VAZAO[Posto]=B$2)*1,(TABELA_VAZAO[Data]=$A21)*1,TABELA_VAZAO[qinc])</f>
        <v>0</v>
      </c>
      <c r="C21" s="288">
        <f ca="1">SUMPRODUCT((TABELA_VAZAO[Posto]=C$2)*1,(TABELA_VAZAO[Data]=$A21)*1,TABELA_VAZAO[qnat])</f>
        <v>0</v>
      </c>
      <c r="D21" s="279" t="e">
        <f ca="1">INDEX(RESULTADOS!$A:$BA,MATCH($A21,RESULTADOS!$A:$A,0),MATCH(D$1,RESULTADOS!$1:$1,0))</f>
        <v>#N/A</v>
      </c>
      <c r="E21" s="250">
        <f ca="1">SUMPRODUCT((TABELA_VAZAO[Posto]=E$2)*1,(TABELA_VAZAO[Data]=$A21)*1,TABELA_VAZAO[qinc])</f>
        <v>0</v>
      </c>
      <c r="F21" s="288">
        <f ca="1">SUMPRODUCT((TABELA_VAZAO[Posto]=F$2)*1,(TABELA_VAZAO[Data]=$A21)*1,TABELA_VAZAO[qnat])</f>
        <v>0</v>
      </c>
      <c r="G21" s="250">
        <f ca="1">SUMPRODUCT((TABELA_VAZAO[Posto]=G$2)*1,(TABELA_VAZAO[Data]=$A21)*1,TABELA_VAZAO[qinc])</f>
        <v>0</v>
      </c>
      <c r="H21" s="288">
        <f ca="1">SUMPRODUCT((TABELA_VAZAO[Posto]=H$2)*1,(TABELA_VAZAO[Data]=$A21)*1,TABELA_VAZAO[qnat])</f>
        <v>0</v>
      </c>
      <c r="I21" s="9"/>
      <c r="J21" s="67" t="e">
        <f ca="1">INDEX(RESULTADOS!$A:$BA,MATCH($A21,RESULTADOS!$A:$A,0),MATCH(J$1,RESULTADOS!$1:$1,0))</f>
        <v>#N/A</v>
      </c>
      <c r="K21" s="250">
        <f ca="1">SUMPRODUCT((TABELA_VAZAO[Posto]=K$2)*1,(TABELA_VAZAO[Data]=$A21)*1,TABELA_VAZAO[qinc])</f>
        <v>0</v>
      </c>
      <c r="L21" s="288">
        <f ca="1">SUMPRODUCT((TABELA_VAZAO[Posto]=L$2)*1,(TABELA_VAZAO[Data]=$A21)*1,TABELA_VAZAO[qnat])</f>
        <v>0</v>
      </c>
      <c r="M21" s="250">
        <f ca="1">SUMPRODUCT((TABELA_VAZAO[Posto]=M$2)*1,(TABELA_VAZAO[Data]=$A21)*1,TABELA_VAZAO[qinc])</f>
        <v>0</v>
      </c>
      <c r="N21" s="288">
        <f ca="1">SUMPRODUCT((TABELA_VAZAO[Posto]=N$2)*1,(TABELA_VAZAO[Data]=$A21)*1,TABELA_VAZAO[qnat])</f>
        <v>0</v>
      </c>
      <c r="O21" s="250">
        <f ca="1">SUMPRODUCT((TABELA_VAZAO[Posto]=O$2)*1,(TABELA_VAZAO[Data]=$A21)*1,TABELA_VAZAO[qinc])</f>
        <v>0</v>
      </c>
      <c r="P21" s="288">
        <f ca="1">SUMPRODUCT((TABELA_VAZAO[Posto]=P$2)*1,(TABELA_VAZAO[Data]=$A21)*1,TABELA_VAZAO[qnat])</f>
        <v>0</v>
      </c>
      <c r="Q21" s="9"/>
      <c r="R21" s="250">
        <f ca="1">SUMPRODUCT((TABELA_VAZAO[Posto]=R$2)*1,(TABELA_VAZAO[Data]=$A21)*1,TABELA_VAZAO[qinc])</f>
        <v>0</v>
      </c>
      <c r="S21" s="288">
        <f ca="1">SUMPRODUCT((TABELA_VAZAO[Posto]=S$2)*1,(TABELA_VAZAO[Data]=$A21)*1,TABELA_VAZAO[qnat])</f>
        <v>0</v>
      </c>
      <c r="T21" s="67" t="e">
        <f ca="1">INDEX(RESULTADOS!$A:$BA,MATCH($A21,RESULTADOS!$A:$A,0),MATCH(T$1,RESULTADOS!$1:$1,0))</f>
        <v>#N/A</v>
      </c>
      <c r="U21" s="250">
        <f ca="1">SUMPRODUCT((TABELA_VAZAO[Posto]=U$2)*1,(TABELA_VAZAO[Data]=$A21)*1,TABELA_VAZAO[qinc])</f>
        <v>0</v>
      </c>
      <c r="V21" s="288">
        <f ca="1">SUMPRODUCT((TABELA_VAZAO[Posto]=V$2)*1,(TABELA_VAZAO[Data]=$A21)*1,TABELA_VAZAO[qnat])</f>
        <v>0</v>
      </c>
      <c r="W21" s="250">
        <f ca="1">SUMPRODUCT((TABELA_VAZAO[Posto]=W$2)*1,(TABELA_VAZAO[Data]=$A21)*1,TABELA_VAZAO[qinc])</f>
        <v>0</v>
      </c>
      <c r="X21" s="288">
        <f ca="1">SUMPRODUCT((TABELA_VAZAO[Posto]=X$2)*1,(TABELA_VAZAO[Data]=$A21)*1,TABELA_VAZAO[qnat])</f>
        <v>0</v>
      </c>
      <c r="Y21" s="250">
        <f ca="1">SUMPRODUCT((TABELA_VAZAO[Posto]=Y$2)*1,(TABELA_VAZAO[Data]=$A21)*1,TABELA_VAZAO[qinc])</f>
        <v>0</v>
      </c>
      <c r="Z21" s="288">
        <f ca="1">SUMPRODUCT((TABELA_VAZAO[Posto]=Z$2)*1,(TABELA_VAZAO[Data]=$A21)*1,TABELA_VAZAO[qnat])</f>
        <v>0</v>
      </c>
      <c r="AA21" s="9"/>
      <c r="AB21" s="250">
        <f ca="1">SUMPRODUCT((TABELA_VAZAO[Posto]=AB$2)*1,(TABELA_VAZAO[Data]=$A21)*1,TABELA_VAZAO[qinc])</f>
        <v>0</v>
      </c>
      <c r="AC21" s="288">
        <f ca="1">SUMPRODUCT((TABELA_VAZAO[Posto]=AC$2)*1,(TABELA_VAZAO[Data]=$A21)*1,TABELA_VAZAO[qnat])</f>
        <v>0</v>
      </c>
      <c r="AE21" s="208" t="e">
        <f ca="1">INDEX(RESULTADOS!$A:$BA,MATCH($A21,RESULTADOS!$A:$A,0),MATCH(AE$1,RESULTADOS!$1:$1,0))</f>
        <v>#N/A</v>
      </c>
      <c r="AF21" s="67" t="e">
        <f ca="1">INDEX(RESULTADOS!$A:$BA,MATCH($A21,RESULTADOS!$A:$A,0),MATCH(AF$1,RESULTADOS!$1:$1,0))</f>
        <v>#N/A</v>
      </c>
      <c r="AG21" s="250">
        <f ca="1">SUMPRODUCT((TABELA_VAZAO[Posto]=AG$2)*1,(TABELA_VAZAO[Data]=$A21)*1,TABELA_VAZAO[qinc])</f>
        <v>0</v>
      </c>
      <c r="AH21" s="250">
        <f ca="1">SUMPRODUCT((TABELA_VAZAO[Posto]=AH$2)*1,(TABELA_VAZAO[Data]=$A21)*1,TABELA_VAZAO[qinc])</f>
        <v>0</v>
      </c>
      <c r="AI21" s="288">
        <f ca="1">SUMPRODUCT((TABELA_VAZAO[Posto]=AI$2)*1,(TABELA_VAZAO[Data]=$A21)*1,TABELA_VAZAO[qnat])</f>
        <v>0</v>
      </c>
      <c r="AJ21" s="288">
        <f ca="1">SUMPRODUCT((TABELA_VAZAO[Posto]=AJ$2)*1,(TABELA_VAZAO[Data]=$A21)*1,TABELA_VAZAO[qnat])</f>
        <v>0</v>
      </c>
    </row>
    <row r="22" spans="1:36" x14ac:dyDescent="0.2">
      <c r="A22" s="7">
        <f t="shared" ca="1" si="1"/>
        <v>43821</v>
      </c>
      <c r="B22" s="250">
        <f ca="1">SUMPRODUCT((TABELA_VAZAO[Posto]=B$2)*1,(TABELA_VAZAO[Data]=$A22)*1,TABELA_VAZAO[qinc])</f>
        <v>0</v>
      </c>
      <c r="C22" s="288">
        <f ca="1">SUMPRODUCT((TABELA_VAZAO[Posto]=C$2)*1,(TABELA_VAZAO[Data]=$A22)*1,TABELA_VAZAO[qnat])</f>
        <v>0</v>
      </c>
      <c r="D22" s="279" t="e">
        <f ca="1">INDEX(RESULTADOS!$A:$BA,MATCH($A22,RESULTADOS!$A:$A,0),MATCH(D$1,RESULTADOS!$1:$1,0))</f>
        <v>#N/A</v>
      </c>
      <c r="E22" s="250">
        <f ca="1">SUMPRODUCT((TABELA_VAZAO[Posto]=E$2)*1,(TABELA_VAZAO[Data]=$A22)*1,TABELA_VAZAO[qinc])</f>
        <v>0</v>
      </c>
      <c r="F22" s="288">
        <f ca="1">SUMPRODUCT((TABELA_VAZAO[Posto]=F$2)*1,(TABELA_VAZAO[Data]=$A22)*1,TABELA_VAZAO[qnat])</f>
        <v>0</v>
      </c>
      <c r="G22" s="250">
        <f ca="1">SUMPRODUCT((TABELA_VAZAO[Posto]=G$2)*1,(TABELA_VAZAO[Data]=$A22)*1,TABELA_VAZAO[qinc])</f>
        <v>0</v>
      </c>
      <c r="H22" s="288">
        <f ca="1">SUMPRODUCT((TABELA_VAZAO[Posto]=H$2)*1,(TABELA_VAZAO[Data]=$A22)*1,TABELA_VAZAO[qnat])</f>
        <v>0</v>
      </c>
      <c r="I22" s="9"/>
      <c r="J22" s="67" t="e">
        <f ca="1">INDEX(RESULTADOS!$A:$BA,MATCH($A22,RESULTADOS!$A:$A,0),MATCH(J$1,RESULTADOS!$1:$1,0))</f>
        <v>#N/A</v>
      </c>
      <c r="K22" s="250">
        <f ca="1">SUMPRODUCT((TABELA_VAZAO[Posto]=K$2)*1,(TABELA_VAZAO[Data]=$A22)*1,TABELA_VAZAO[qinc])</f>
        <v>0</v>
      </c>
      <c r="L22" s="288">
        <f ca="1">SUMPRODUCT((TABELA_VAZAO[Posto]=L$2)*1,(TABELA_VAZAO[Data]=$A22)*1,TABELA_VAZAO[qnat])</f>
        <v>0</v>
      </c>
      <c r="M22" s="250">
        <f ca="1">SUMPRODUCT((TABELA_VAZAO[Posto]=M$2)*1,(TABELA_VAZAO[Data]=$A22)*1,TABELA_VAZAO[qinc])</f>
        <v>0</v>
      </c>
      <c r="N22" s="288">
        <f ca="1">SUMPRODUCT((TABELA_VAZAO[Posto]=N$2)*1,(TABELA_VAZAO[Data]=$A22)*1,TABELA_VAZAO[qnat])</f>
        <v>0</v>
      </c>
      <c r="O22" s="250">
        <f ca="1">SUMPRODUCT((TABELA_VAZAO[Posto]=O$2)*1,(TABELA_VAZAO[Data]=$A22)*1,TABELA_VAZAO[qinc])</f>
        <v>0</v>
      </c>
      <c r="P22" s="288">
        <f ca="1">SUMPRODUCT((TABELA_VAZAO[Posto]=P$2)*1,(TABELA_VAZAO[Data]=$A22)*1,TABELA_VAZAO[qnat])</f>
        <v>0</v>
      </c>
      <c r="Q22" s="9"/>
      <c r="R22" s="250">
        <f ca="1">SUMPRODUCT((TABELA_VAZAO[Posto]=R$2)*1,(TABELA_VAZAO[Data]=$A22)*1,TABELA_VAZAO[qinc])</f>
        <v>0</v>
      </c>
      <c r="S22" s="288">
        <f ca="1">SUMPRODUCT((TABELA_VAZAO[Posto]=S$2)*1,(TABELA_VAZAO[Data]=$A22)*1,TABELA_VAZAO[qnat])</f>
        <v>0</v>
      </c>
      <c r="T22" s="67" t="e">
        <f ca="1">INDEX(RESULTADOS!$A:$BA,MATCH($A22,RESULTADOS!$A:$A,0),MATCH(T$1,RESULTADOS!$1:$1,0))</f>
        <v>#N/A</v>
      </c>
      <c r="U22" s="250">
        <f ca="1">SUMPRODUCT((TABELA_VAZAO[Posto]=U$2)*1,(TABELA_VAZAO[Data]=$A22)*1,TABELA_VAZAO[qinc])</f>
        <v>0</v>
      </c>
      <c r="V22" s="288">
        <f ca="1">SUMPRODUCT((TABELA_VAZAO[Posto]=V$2)*1,(TABELA_VAZAO[Data]=$A22)*1,TABELA_VAZAO[qnat])</f>
        <v>0</v>
      </c>
      <c r="W22" s="250">
        <f ca="1">SUMPRODUCT((TABELA_VAZAO[Posto]=W$2)*1,(TABELA_VAZAO[Data]=$A22)*1,TABELA_VAZAO[qinc])</f>
        <v>0</v>
      </c>
      <c r="X22" s="288">
        <f ca="1">SUMPRODUCT((TABELA_VAZAO[Posto]=X$2)*1,(TABELA_VAZAO[Data]=$A22)*1,TABELA_VAZAO[qnat])</f>
        <v>0</v>
      </c>
      <c r="Y22" s="250">
        <f ca="1">SUMPRODUCT((TABELA_VAZAO[Posto]=Y$2)*1,(TABELA_VAZAO[Data]=$A22)*1,TABELA_VAZAO[qinc])</f>
        <v>0</v>
      </c>
      <c r="Z22" s="288">
        <f ca="1">SUMPRODUCT((TABELA_VAZAO[Posto]=Z$2)*1,(TABELA_VAZAO[Data]=$A22)*1,TABELA_VAZAO[qnat])</f>
        <v>0</v>
      </c>
      <c r="AA22" s="9"/>
      <c r="AB22" s="250">
        <f ca="1">SUMPRODUCT((TABELA_VAZAO[Posto]=AB$2)*1,(TABELA_VAZAO[Data]=$A22)*1,TABELA_VAZAO[qinc])</f>
        <v>0</v>
      </c>
      <c r="AC22" s="288">
        <f ca="1">SUMPRODUCT((TABELA_VAZAO[Posto]=AC$2)*1,(TABELA_VAZAO[Data]=$A22)*1,TABELA_VAZAO[qnat])</f>
        <v>0</v>
      </c>
      <c r="AE22" s="208" t="e">
        <f ca="1">INDEX(RESULTADOS!$A:$BA,MATCH($A22,RESULTADOS!$A:$A,0),MATCH(AE$1,RESULTADOS!$1:$1,0))</f>
        <v>#N/A</v>
      </c>
      <c r="AF22" s="67" t="e">
        <f ca="1">INDEX(RESULTADOS!$A:$BA,MATCH($A22,RESULTADOS!$A:$A,0),MATCH(AF$1,RESULTADOS!$1:$1,0))</f>
        <v>#N/A</v>
      </c>
      <c r="AG22" s="250">
        <f ca="1">SUMPRODUCT((TABELA_VAZAO[Posto]=AG$2)*1,(TABELA_VAZAO[Data]=$A22)*1,TABELA_VAZAO[qinc])</f>
        <v>0</v>
      </c>
      <c r="AH22" s="250">
        <f ca="1">SUMPRODUCT((TABELA_VAZAO[Posto]=AH$2)*1,(TABELA_VAZAO[Data]=$A22)*1,TABELA_VAZAO[qinc])</f>
        <v>0</v>
      </c>
      <c r="AI22" s="288">
        <f ca="1">SUMPRODUCT((TABELA_VAZAO[Posto]=AI$2)*1,(TABELA_VAZAO[Data]=$A22)*1,TABELA_VAZAO[qnat])</f>
        <v>0</v>
      </c>
      <c r="AJ22" s="288">
        <f ca="1">SUMPRODUCT((TABELA_VAZAO[Posto]=AJ$2)*1,(TABELA_VAZAO[Data]=$A22)*1,TABELA_VAZAO[qnat])</f>
        <v>0</v>
      </c>
    </row>
    <row r="23" spans="1:36" x14ac:dyDescent="0.2">
      <c r="A23" s="7">
        <f t="shared" ca="1" si="1"/>
        <v>43822</v>
      </c>
      <c r="B23" s="250">
        <f ca="1">SUMPRODUCT((TABELA_VAZAO[Posto]=B$2)*1,(TABELA_VAZAO[Data]=$A23)*1,TABELA_VAZAO[qinc])</f>
        <v>0</v>
      </c>
      <c r="C23" s="288">
        <f ca="1">SUMPRODUCT((TABELA_VAZAO[Posto]=C$2)*1,(TABELA_VAZAO[Data]=$A23)*1,TABELA_VAZAO[qnat])</f>
        <v>0</v>
      </c>
      <c r="D23" s="279" t="e">
        <f ca="1">INDEX(RESULTADOS!$A:$BA,MATCH($A23,RESULTADOS!$A:$A,0),MATCH(D$1,RESULTADOS!$1:$1,0))</f>
        <v>#N/A</v>
      </c>
      <c r="E23" s="250">
        <f ca="1">SUMPRODUCT((TABELA_VAZAO[Posto]=E$2)*1,(TABELA_VAZAO[Data]=$A23)*1,TABELA_VAZAO[qinc])</f>
        <v>0</v>
      </c>
      <c r="F23" s="288">
        <f ca="1">SUMPRODUCT((TABELA_VAZAO[Posto]=F$2)*1,(TABELA_VAZAO[Data]=$A23)*1,TABELA_VAZAO[qnat])</f>
        <v>0</v>
      </c>
      <c r="G23" s="250">
        <f ca="1">SUMPRODUCT((TABELA_VAZAO[Posto]=G$2)*1,(TABELA_VAZAO[Data]=$A23)*1,TABELA_VAZAO[qinc])</f>
        <v>0</v>
      </c>
      <c r="H23" s="288">
        <f ca="1">SUMPRODUCT((TABELA_VAZAO[Posto]=H$2)*1,(TABELA_VAZAO[Data]=$A23)*1,TABELA_VAZAO[qnat])</f>
        <v>0</v>
      </c>
      <c r="I23" s="9"/>
      <c r="J23" s="67" t="e">
        <f ca="1">INDEX(RESULTADOS!$A:$BA,MATCH($A23,RESULTADOS!$A:$A,0),MATCH(J$1,RESULTADOS!$1:$1,0))</f>
        <v>#N/A</v>
      </c>
      <c r="K23" s="250">
        <f ca="1">SUMPRODUCT((TABELA_VAZAO[Posto]=K$2)*1,(TABELA_VAZAO[Data]=$A23)*1,TABELA_VAZAO[qinc])</f>
        <v>0</v>
      </c>
      <c r="L23" s="288">
        <f ca="1">SUMPRODUCT((TABELA_VAZAO[Posto]=L$2)*1,(TABELA_VAZAO[Data]=$A23)*1,TABELA_VAZAO[qnat])</f>
        <v>0</v>
      </c>
      <c r="M23" s="250">
        <f ca="1">SUMPRODUCT((TABELA_VAZAO[Posto]=M$2)*1,(TABELA_VAZAO[Data]=$A23)*1,TABELA_VAZAO[qinc])</f>
        <v>0</v>
      </c>
      <c r="N23" s="288">
        <f ca="1">SUMPRODUCT((TABELA_VAZAO[Posto]=N$2)*1,(TABELA_VAZAO[Data]=$A23)*1,TABELA_VAZAO[qnat])</f>
        <v>0</v>
      </c>
      <c r="O23" s="250">
        <f ca="1">SUMPRODUCT((TABELA_VAZAO[Posto]=O$2)*1,(TABELA_VAZAO[Data]=$A23)*1,TABELA_VAZAO[qinc])</f>
        <v>0</v>
      </c>
      <c r="P23" s="288">
        <f ca="1">SUMPRODUCT((TABELA_VAZAO[Posto]=P$2)*1,(TABELA_VAZAO[Data]=$A23)*1,TABELA_VAZAO[qnat])</f>
        <v>0</v>
      </c>
      <c r="Q23" s="9"/>
      <c r="R23" s="250">
        <f ca="1">SUMPRODUCT((TABELA_VAZAO[Posto]=R$2)*1,(TABELA_VAZAO[Data]=$A23)*1,TABELA_VAZAO[qinc])</f>
        <v>0</v>
      </c>
      <c r="S23" s="288">
        <f ca="1">SUMPRODUCT((TABELA_VAZAO[Posto]=S$2)*1,(TABELA_VAZAO[Data]=$A23)*1,TABELA_VAZAO[qnat])</f>
        <v>0</v>
      </c>
      <c r="T23" s="67" t="e">
        <f ca="1">INDEX(RESULTADOS!$A:$BA,MATCH($A23,RESULTADOS!$A:$A,0),MATCH(T$1,RESULTADOS!$1:$1,0))</f>
        <v>#N/A</v>
      </c>
      <c r="U23" s="250">
        <f ca="1">SUMPRODUCT((TABELA_VAZAO[Posto]=U$2)*1,(TABELA_VAZAO[Data]=$A23)*1,TABELA_VAZAO[qinc])</f>
        <v>0</v>
      </c>
      <c r="V23" s="288">
        <f ca="1">SUMPRODUCT((TABELA_VAZAO[Posto]=V$2)*1,(TABELA_VAZAO[Data]=$A23)*1,TABELA_VAZAO[qnat])</f>
        <v>0</v>
      </c>
      <c r="W23" s="250">
        <f ca="1">SUMPRODUCT((TABELA_VAZAO[Posto]=W$2)*1,(TABELA_VAZAO[Data]=$A23)*1,TABELA_VAZAO[qinc])</f>
        <v>0</v>
      </c>
      <c r="X23" s="288">
        <f ca="1">SUMPRODUCT((TABELA_VAZAO[Posto]=X$2)*1,(TABELA_VAZAO[Data]=$A23)*1,TABELA_VAZAO[qnat])</f>
        <v>0</v>
      </c>
      <c r="Y23" s="250">
        <f ca="1">SUMPRODUCT((TABELA_VAZAO[Posto]=Y$2)*1,(TABELA_VAZAO[Data]=$A23)*1,TABELA_VAZAO[qinc])</f>
        <v>0</v>
      </c>
      <c r="Z23" s="288">
        <f ca="1">SUMPRODUCT((TABELA_VAZAO[Posto]=Z$2)*1,(TABELA_VAZAO[Data]=$A23)*1,TABELA_VAZAO[qnat])</f>
        <v>0</v>
      </c>
      <c r="AA23" s="9"/>
      <c r="AB23" s="250">
        <f ca="1">SUMPRODUCT((TABELA_VAZAO[Posto]=AB$2)*1,(TABELA_VAZAO[Data]=$A23)*1,TABELA_VAZAO[qinc])</f>
        <v>0</v>
      </c>
      <c r="AC23" s="288">
        <f ca="1">SUMPRODUCT((TABELA_VAZAO[Posto]=AC$2)*1,(TABELA_VAZAO[Data]=$A23)*1,TABELA_VAZAO[qnat])</f>
        <v>0</v>
      </c>
      <c r="AE23" s="208" t="e">
        <f ca="1">INDEX(RESULTADOS!$A:$BA,MATCH($A23,RESULTADOS!$A:$A,0),MATCH(AE$1,RESULTADOS!$1:$1,0))</f>
        <v>#N/A</v>
      </c>
      <c r="AF23" s="67" t="e">
        <f ca="1">INDEX(RESULTADOS!$A:$BA,MATCH($A23,RESULTADOS!$A:$A,0),MATCH(AF$1,RESULTADOS!$1:$1,0))</f>
        <v>#N/A</v>
      </c>
      <c r="AG23" s="250">
        <f ca="1">SUMPRODUCT((TABELA_VAZAO[Posto]=AG$2)*1,(TABELA_VAZAO[Data]=$A23)*1,TABELA_VAZAO[qinc])</f>
        <v>0</v>
      </c>
      <c r="AH23" s="250">
        <f ca="1">SUMPRODUCT((TABELA_VAZAO[Posto]=AH$2)*1,(TABELA_VAZAO[Data]=$A23)*1,TABELA_VAZAO[qinc])</f>
        <v>0</v>
      </c>
      <c r="AI23" s="288">
        <f ca="1">SUMPRODUCT((TABELA_VAZAO[Posto]=AI$2)*1,(TABELA_VAZAO[Data]=$A23)*1,TABELA_VAZAO[qnat])</f>
        <v>0</v>
      </c>
      <c r="AJ23" s="288">
        <f ca="1">SUMPRODUCT((TABELA_VAZAO[Posto]=AJ$2)*1,(TABELA_VAZAO[Data]=$A23)*1,TABELA_VAZAO[qnat])</f>
        <v>0</v>
      </c>
    </row>
    <row r="24" spans="1:36" x14ac:dyDescent="0.2">
      <c r="A24" s="7">
        <f t="shared" ca="1" si="1"/>
        <v>43823</v>
      </c>
      <c r="B24" s="250">
        <f ca="1">SUMPRODUCT((TABELA_VAZAO[Posto]=B$2)*1,(TABELA_VAZAO[Data]=$A24)*1,TABELA_VAZAO[qinc])</f>
        <v>0</v>
      </c>
      <c r="C24" s="288">
        <f ca="1">SUMPRODUCT((TABELA_VAZAO[Posto]=C$2)*1,(TABELA_VAZAO[Data]=$A24)*1,TABELA_VAZAO[qnat])</f>
        <v>0</v>
      </c>
      <c r="D24" s="279" t="e">
        <f ca="1">INDEX(RESULTADOS!$A:$BA,MATCH($A24,RESULTADOS!$A:$A,0),MATCH(D$1,RESULTADOS!$1:$1,0))</f>
        <v>#N/A</v>
      </c>
      <c r="E24" s="250">
        <f ca="1">SUMPRODUCT((TABELA_VAZAO[Posto]=E$2)*1,(TABELA_VAZAO[Data]=$A24)*1,TABELA_VAZAO[qinc])</f>
        <v>0</v>
      </c>
      <c r="F24" s="288">
        <f ca="1">SUMPRODUCT((TABELA_VAZAO[Posto]=F$2)*1,(TABELA_VAZAO[Data]=$A24)*1,TABELA_VAZAO[qnat])</f>
        <v>0</v>
      </c>
      <c r="G24" s="250">
        <f ca="1">SUMPRODUCT((TABELA_VAZAO[Posto]=G$2)*1,(TABELA_VAZAO[Data]=$A24)*1,TABELA_VAZAO[qinc])</f>
        <v>0</v>
      </c>
      <c r="H24" s="288">
        <f ca="1">SUMPRODUCT((TABELA_VAZAO[Posto]=H$2)*1,(TABELA_VAZAO[Data]=$A24)*1,TABELA_VAZAO[qnat])</f>
        <v>0</v>
      </c>
      <c r="I24" s="9"/>
      <c r="J24" s="67" t="e">
        <f ca="1">INDEX(RESULTADOS!$A:$BA,MATCH($A24,RESULTADOS!$A:$A,0),MATCH(J$1,RESULTADOS!$1:$1,0))</f>
        <v>#N/A</v>
      </c>
      <c r="K24" s="250">
        <f ca="1">SUMPRODUCT((TABELA_VAZAO[Posto]=K$2)*1,(TABELA_VAZAO[Data]=$A24)*1,TABELA_VAZAO[qinc])</f>
        <v>0</v>
      </c>
      <c r="L24" s="288">
        <f ca="1">SUMPRODUCT((TABELA_VAZAO[Posto]=L$2)*1,(TABELA_VAZAO[Data]=$A24)*1,TABELA_VAZAO[qnat])</f>
        <v>0</v>
      </c>
      <c r="M24" s="250">
        <f ca="1">SUMPRODUCT((TABELA_VAZAO[Posto]=M$2)*1,(TABELA_VAZAO[Data]=$A24)*1,TABELA_VAZAO[qinc])</f>
        <v>0</v>
      </c>
      <c r="N24" s="288">
        <f ca="1">SUMPRODUCT((TABELA_VAZAO[Posto]=N$2)*1,(TABELA_VAZAO[Data]=$A24)*1,TABELA_VAZAO[qnat])</f>
        <v>0</v>
      </c>
      <c r="O24" s="250">
        <f ca="1">SUMPRODUCT((TABELA_VAZAO[Posto]=O$2)*1,(TABELA_VAZAO[Data]=$A24)*1,TABELA_VAZAO[qinc])</f>
        <v>0</v>
      </c>
      <c r="P24" s="288">
        <f ca="1">SUMPRODUCT((TABELA_VAZAO[Posto]=P$2)*1,(TABELA_VAZAO[Data]=$A24)*1,TABELA_VAZAO[qnat])</f>
        <v>0</v>
      </c>
      <c r="Q24" s="9"/>
      <c r="R24" s="250">
        <f ca="1">SUMPRODUCT((TABELA_VAZAO[Posto]=R$2)*1,(TABELA_VAZAO[Data]=$A24)*1,TABELA_VAZAO[qinc])</f>
        <v>0</v>
      </c>
      <c r="S24" s="288">
        <f ca="1">SUMPRODUCT((TABELA_VAZAO[Posto]=S$2)*1,(TABELA_VAZAO[Data]=$A24)*1,TABELA_VAZAO[qnat])</f>
        <v>0</v>
      </c>
      <c r="T24" s="67" t="e">
        <f ca="1">INDEX(RESULTADOS!$A:$BA,MATCH($A24,RESULTADOS!$A:$A,0),MATCH(T$1,RESULTADOS!$1:$1,0))</f>
        <v>#N/A</v>
      </c>
      <c r="U24" s="250">
        <f ca="1">SUMPRODUCT((TABELA_VAZAO[Posto]=U$2)*1,(TABELA_VAZAO[Data]=$A24)*1,TABELA_VAZAO[qinc])</f>
        <v>0</v>
      </c>
      <c r="V24" s="288">
        <f ca="1">SUMPRODUCT((TABELA_VAZAO[Posto]=V$2)*1,(TABELA_VAZAO[Data]=$A24)*1,TABELA_VAZAO[qnat])</f>
        <v>0</v>
      </c>
      <c r="W24" s="250">
        <f ca="1">SUMPRODUCT((TABELA_VAZAO[Posto]=W$2)*1,(TABELA_VAZAO[Data]=$A24)*1,TABELA_VAZAO[qinc])</f>
        <v>0</v>
      </c>
      <c r="X24" s="288">
        <f ca="1">SUMPRODUCT((TABELA_VAZAO[Posto]=X$2)*1,(TABELA_VAZAO[Data]=$A24)*1,TABELA_VAZAO[qnat])</f>
        <v>0</v>
      </c>
      <c r="Y24" s="250">
        <f ca="1">SUMPRODUCT((TABELA_VAZAO[Posto]=Y$2)*1,(TABELA_VAZAO[Data]=$A24)*1,TABELA_VAZAO[qinc])</f>
        <v>0</v>
      </c>
      <c r="Z24" s="288">
        <f ca="1">SUMPRODUCT((TABELA_VAZAO[Posto]=Z$2)*1,(TABELA_VAZAO[Data]=$A24)*1,TABELA_VAZAO[qnat])</f>
        <v>0</v>
      </c>
      <c r="AA24" s="9"/>
      <c r="AB24" s="250">
        <f ca="1">SUMPRODUCT((TABELA_VAZAO[Posto]=AB$2)*1,(TABELA_VAZAO[Data]=$A24)*1,TABELA_VAZAO[qinc])</f>
        <v>0</v>
      </c>
      <c r="AC24" s="288">
        <f ca="1">SUMPRODUCT((TABELA_VAZAO[Posto]=AC$2)*1,(TABELA_VAZAO[Data]=$A24)*1,TABELA_VAZAO[qnat])</f>
        <v>0</v>
      </c>
      <c r="AE24" s="208" t="e">
        <f ca="1">INDEX(RESULTADOS!$A:$BA,MATCH($A24,RESULTADOS!$A:$A,0),MATCH(AE$1,RESULTADOS!$1:$1,0))</f>
        <v>#N/A</v>
      </c>
      <c r="AF24" s="67" t="e">
        <f ca="1">INDEX(RESULTADOS!$A:$BA,MATCH($A24,RESULTADOS!$A:$A,0),MATCH(AF$1,RESULTADOS!$1:$1,0))</f>
        <v>#N/A</v>
      </c>
      <c r="AG24" s="250">
        <f ca="1">SUMPRODUCT((TABELA_VAZAO[Posto]=AG$2)*1,(TABELA_VAZAO[Data]=$A24)*1,TABELA_VAZAO[qinc])</f>
        <v>0</v>
      </c>
      <c r="AH24" s="250">
        <f ca="1">SUMPRODUCT((TABELA_VAZAO[Posto]=AH$2)*1,(TABELA_VAZAO[Data]=$A24)*1,TABELA_VAZAO[qinc])</f>
        <v>0</v>
      </c>
      <c r="AI24" s="288">
        <f ca="1">SUMPRODUCT((TABELA_VAZAO[Posto]=AI$2)*1,(TABELA_VAZAO[Data]=$A24)*1,TABELA_VAZAO[qnat])</f>
        <v>0</v>
      </c>
      <c r="AJ24" s="288">
        <f ca="1">SUMPRODUCT((TABELA_VAZAO[Posto]=AJ$2)*1,(TABELA_VAZAO[Data]=$A24)*1,TABELA_VAZAO[qnat])</f>
        <v>0</v>
      </c>
    </row>
    <row r="25" spans="1:36" x14ac:dyDescent="0.2">
      <c r="A25" s="7">
        <f t="shared" ca="1" si="1"/>
        <v>43824</v>
      </c>
      <c r="B25" s="250">
        <f ca="1">SUMPRODUCT((TABELA_VAZAO[Posto]=B$2)*1,(TABELA_VAZAO[Data]=$A25)*1,TABELA_VAZAO[qinc])</f>
        <v>0</v>
      </c>
      <c r="C25" s="288">
        <f ca="1">SUMPRODUCT((TABELA_VAZAO[Posto]=C$2)*1,(TABELA_VAZAO[Data]=$A25)*1,TABELA_VAZAO[qnat])</f>
        <v>0</v>
      </c>
      <c r="D25" s="279" t="e">
        <f ca="1">INDEX(RESULTADOS!$A:$BA,MATCH($A25,RESULTADOS!$A:$A,0),MATCH(D$1,RESULTADOS!$1:$1,0))</f>
        <v>#N/A</v>
      </c>
      <c r="E25" s="250">
        <f ca="1">SUMPRODUCT((TABELA_VAZAO[Posto]=E$2)*1,(TABELA_VAZAO[Data]=$A25)*1,TABELA_VAZAO[qinc])</f>
        <v>0</v>
      </c>
      <c r="F25" s="288">
        <f ca="1">SUMPRODUCT((TABELA_VAZAO[Posto]=F$2)*1,(TABELA_VAZAO[Data]=$A25)*1,TABELA_VAZAO[qnat])</f>
        <v>0</v>
      </c>
      <c r="G25" s="250">
        <f ca="1">SUMPRODUCT((TABELA_VAZAO[Posto]=G$2)*1,(TABELA_VAZAO[Data]=$A25)*1,TABELA_VAZAO[qinc])</f>
        <v>0</v>
      </c>
      <c r="H25" s="288">
        <f ca="1">SUMPRODUCT((TABELA_VAZAO[Posto]=H$2)*1,(TABELA_VAZAO[Data]=$A25)*1,TABELA_VAZAO[qnat])</f>
        <v>0</v>
      </c>
      <c r="I25" s="9"/>
      <c r="J25" s="67" t="e">
        <f ca="1">INDEX(RESULTADOS!$A:$BA,MATCH($A25,RESULTADOS!$A:$A,0),MATCH(J$1,RESULTADOS!$1:$1,0))</f>
        <v>#N/A</v>
      </c>
      <c r="K25" s="250">
        <f ca="1">SUMPRODUCT((TABELA_VAZAO[Posto]=K$2)*1,(TABELA_VAZAO[Data]=$A25)*1,TABELA_VAZAO[qinc])</f>
        <v>0</v>
      </c>
      <c r="L25" s="288">
        <f ca="1">SUMPRODUCT((TABELA_VAZAO[Posto]=L$2)*1,(TABELA_VAZAO[Data]=$A25)*1,TABELA_VAZAO[qnat])</f>
        <v>0</v>
      </c>
      <c r="M25" s="250">
        <f ca="1">SUMPRODUCT((TABELA_VAZAO[Posto]=M$2)*1,(TABELA_VAZAO[Data]=$A25)*1,TABELA_VAZAO[qinc])</f>
        <v>0</v>
      </c>
      <c r="N25" s="288">
        <f ca="1">SUMPRODUCT((TABELA_VAZAO[Posto]=N$2)*1,(TABELA_VAZAO[Data]=$A25)*1,TABELA_VAZAO[qnat])</f>
        <v>0</v>
      </c>
      <c r="O25" s="250">
        <f ca="1">SUMPRODUCT((TABELA_VAZAO[Posto]=O$2)*1,(TABELA_VAZAO[Data]=$A25)*1,TABELA_VAZAO[qinc])</f>
        <v>0</v>
      </c>
      <c r="P25" s="288">
        <f ca="1">SUMPRODUCT((TABELA_VAZAO[Posto]=P$2)*1,(TABELA_VAZAO[Data]=$A25)*1,TABELA_VAZAO[qnat])</f>
        <v>0</v>
      </c>
      <c r="Q25" s="9"/>
      <c r="R25" s="250">
        <f ca="1">SUMPRODUCT((TABELA_VAZAO[Posto]=R$2)*1,(TABELA_VAZAO[Data]=$A25)*1,TABELA_VAZAO[qinc])</f>
        <v>0</v>
      </c>
      <c r="S25" s="288">
        <f ca="1">SUMPRODUCT((TABELA_VAZAO[Posto]=S$2)*1,(TABELA_VAZAO[Data]=$A25)*1,TABELA_VAZAO[qnat])</f>
        <v>0</v>
      </c>
      <c r="T25" s="67" t="e">
        <f ca="1">INDEX(RESULTADOS!$A:$BA,MATCH($A25,RESULTADOS!$A:$A,0),MATCH(T$1,RESULTADOS!$1:$1,0))</f>
        <v>#N/A</v>
      </c>
      <c r="U25" s="250">
        <f ca="1">SUMPRODUCT((TABELA_VAZAO[Posto]=U$2)*1,(TABELA_VAZAO[Data]=$A25)*1,TABELA_VAZAO[qinc])</f>
        <v>0</v>
      </c>
      <c r="V25" s="288">
        <f ca="1">SUMPRODUCT((TABELA_VAZAO[Posto]=V$2)*1,(TABELA_VAZAO[Data]=$A25)*1,TABELA_VAZAO[qnat])</f>
        <v>0</v>
      </c>
      <c r="W25" s="250">
        <f ca="1">SUMPRODUCT((TABELA_VAZAO[Posto]=W$2)*1,(TABELA_VAZAO[Data]=$A25)*1,TABELA_VAZAO[qinc])</f>
        <v>0</v>
      </c>
      <c r="X25" s="288">
        <f ca="1">SUMPRODUCT((TABELA_VAZAO[Posto]=X$2)*1,(TABELA_VAZAO[Data]=$A25)*1,TABELA_VAZAO[qnat])</f>
        <v>0</v>
      </c>
      <c r="Y25" s="250">
        <f ca="1">SUMPRODUCT((TABELA_VAZAO[Posto]=Y$2)*1,(TABELA_VAZAO[Data]=$A25)*1,TABELA_VAZAO[qinc])</f>
        <v>0</v>
      </c>
      <c r="Z25" s="288">
        <f ca="1">SUMPRODUCT((TABELA_VAZAO[Posto]=Z$2)*1,(TABELA_VAZAO[Data]=$A25)*1,TABELA_VAZAO[qnat])</f>
        <v>0</v>
      </c>
      <c r="AA25" s="9"/>
      <c r="AB25" s="250">
        <f ca="1">SUMPRODUCT((TABELA_VAZAO[Posto]=AB$2)*1,(TABELA_VAZAO[Data]=$A25)*1,TABELA_VAZAO[qinc])</f>
        <v>0</v>
      </c>
      <c r="AC25" s="288">
        <f ca="1">SUMPRODUCT((TABELA_VAZAO[Posto]=AC$2)*1,(TABELA_VAZAO[Data]=$A25)*1,TABELA_VAZAO[qnat])</f>
        <v>0</v>
      </c>
      <c r="AE25" s="208" t="e">
        <f ca="1">INDEX(RESULTADOS!$A:$BA,MATCH($A25,RESULTADOS!$A:$A,0),MATCH(AE$1,RESULTADOS!$1:$1,0))</f>
        <v>#N/A</v>
      </c>
      <c r="AF25" s="67" t="e">
        <f ca="1">INDEX(RESULTADOS!$A:$BA,MATCH($A25,RESULTADOS!$A:$A,0),MATCH(AF$1,RESULTADOS!$1:$1,0))</f>
        <v>#N/A</v>
      </c>
      <c r="AG25" s="250">
        <f ca="1">SUMPRODUCT((TABELA_VAZAO[Posto]=AG$2)*1,(TABELA_VAZAO[Data]=$A25)*1,TABELA_VAZAO[qinc])</f>
        <v>0</v>
      </c>
      <c r="AH25" s="250">
        <f ca="1">SUMPRODUCT((TABELA_VAZAO[Posto]=AH$2)*1,(TABELA_VAZAO[Data]=$A25)*1,TABELA_VAZAO[qinc])</f>
        <v>0</v>
      </c>
      <c r="AI25" s="288">
        <f ca="1">SUMPRODUCT((TABELA_VAZAO[Posto]=AI$2)*1,(TABELA_VAZAO[Data]=$A25)*1,TABELA_VAZAO[qnat])</f>
        <v>0</v>
      </c>
      <c r="AJ25" s="288">
        <f ca="1">SUMPRODUCT((TABELA_VAZAO[Posto]=AJ$2)*1,(TABELA_VAZAO[Data]=$A25)*1,TABELA_VAZAO[qnat])</f>
        <v>0</v>
      </c>
    </row>
    <row r="26" spans="1:36" x14ac:dyDescent="0.2">
      <c r="A26" s="7">
        <f t="shared" ca="1" si="1"/>
        <v>43825</v>
      </c>
      <c r="B26" s="250">
        <f ca="1">SUMPRODUCT((TABELA_VAZAO[Posto]=B$2)*1,(TABELA_VAZAO[Data]=$A26)*1,TABELA_VAZAO[qinc])</f>
        <v>0</v>
      </c>
      <c r="C26" s="288">
        <f ca="1">SUMPRODUCT((TABELA_VAZAO[Posto]=C$2)*1,(TABELA_VAZAO[Data]=$A26)*1,TABELA_VAZAO[qnat])</f>
        <v>0</v>
      </c>
      <c r="D26" s="279" t="e">
        <f ca="1">INDEX(RESULTADOS!$A:$BA,MATCH($A26,RESULTADOS!$A:$A,0),MATCH(D$1,RESULTADOS!$1:$1,0))</f>
        <v>#N/A</v>
      </c>
      <c r="E26" s="250">
        <f ca="1">SUMPRODUCT((TABELA_VAZAO[Posto]=E$2)*1,(TABELA_VAZAO[Data]=$A26)*1,TABELA_VAZAO[qinc])</f>
        <v>0</v>
      </c>
      <c r="F26" s="288">
        <f ca="1">SUMPRODUCT((TABELA_VAZAO[Posto]=F$2)*1,(TABELA_VAZAO[Data]=$A26)*1,TABELA_VAZAO[qnat])</f>
        <v>0</v>
      </c>
      <c r="G26" s="250">
        <f ca="1">SUMPRODUCT((TABELA_VAZAO[Posto]=G$2)*1,(TABELA_VAZAO[Data]=$A26)*1,TABELA_VAZAO[qinc])</f>
        <v>0</v>
      </c>
      <c r="H26" s="288">
        <f ca="1">SUMPRODUCT((TABELA_VAZAO[Posto]=H$2)*1,(TABELA_VAZAO[Data]=$A26)*1,TABELA_VAZAO[qnat])</f>
        <v>0</v>
      </c>
      <c r="I26" s="9"/>
      <c r="J26" s="67" t="e">
        <f ca="1">INDEX(RESULTADOS!$A:$BA,MATCH($A26,RESULTADOS!$A:$A,0),MATCH(J$1,RESULTADOS!$1:$1,0))</f>
        <v>#N/A</v>
      </c>
      <c r="K26" s="250">
        <f ca="1">SUMPRODUCT((TABELA_VAZAO[Posto]=K$2)*1,(TABELA_VAZAO[Data]=$A26)*1,TABELA_VAZAO[qinc])</f>
        <v>0</v>
      </c>
      <c r="L26" s="288">
        <f ca="1">SUMPRODUCT((TABELA_VAZAO[Posto]=L$2)*1,(TABELA_VAZAO[Data]=$A26)*1,TABELA_VAZAO[qnat])</f>
        <v>0</v>
      </c>
      <c r="M26" s="250">
        <f ca="1">SUMPRODUCT((TABELA_VAZAO[Posto]=M$2)*1,(TABELA_VAZAO[Data]=$A26)*1,TABELA_VAZAO[qinc])</f>
        <v>0</v>
      </c>
      <c r="N26" s="288">
        <f ca="1">SUMPRODUCT((TABELA_VAZAO[Posto]=N$2)*1,(TABELA_VAZAO[Data]=$A26)*1,TABELA_VAZAO[qnat])</f>
        <v>0</v>
      </c>
      <c r="O26" s="250">
        <f ca="1">SUMPRODUCT((TABELA_VAZAO[Posto]=O$2)*1,(TABELA_VAZAO[Data]=$A26)*1,TABELA_VAZAO[qinc])</f>
        <v>0</v>
      </c>
      <c r="P26" s="288">
        <f ca="1">SUMPRODUCT((TABELA_VAZAO[Posto]=P$2)*1,(TABELA_VAZAO[Data]=$A26)*1,TABELA_VAZAO[qnat])</f>
        <v>0</v>
      </c>
      <c r="Q26" s="9"/>
      <c r="R26" s="250">
        <f ca="1">SUMPRODUCT((TABELA_VAZAO[Posto]=R$2)*1,(TABELA_VAZAO[Data]=$A26)*1,TABELA_VAZAO[qinc])</f>
        <v>0</v>
      </c>
      <c r="S26" s="288">
        <f ca="1">SUMPRODUCT((TABELA_VAZAO[Posto]=S$2)*1,(TABELA_VAZAO[Data]=$A26)*1,TABELA_VAZAO[qnat])</f>
        <v>0</v>
      </c>
      <c r="T26" s="67" t="e">
        <f ca="1">INDEX(RESULTADOS!$A:$BA,MATCH($A26,RESULTADOS!$A:$A,0),MATCH(T$1,RESULTADOS!$1:$1,0))</f>
        <v>#N/A</v>
      </c>
      <c r="U26" s="250">
        <f ca="1">SUMPRODUCT((TABELA_VAZAO[Posto]=U$2)*1,(TABELA_VAZAO[Data]=$A26)*1,TABELA_VAZAO[qinc])</f>
        <v>0</v>
      </c>
      <c r="V26" s="288">
        <f ca="1">SUMPRODUCT((TABELA_VAZAO[Posto]=V$2)*1,(TABELA_VAZAO[Data]=$A26)*1,TABELA_VAZAO[qnat])</f>
        <v>0</v>
      </c>
      <c r="W26" s="250">
        <f ca="1">SUMPRODUCT((TABELA_VAZAO[Posto]=W$2)*1,(TABELA_VAZAO[Data]=$A26)*1,TABELA_VAZAO[qinc])</f>
        <v>0</v>
      </c>
      <c r="X26" s="288">
        <f ca="1">SUMPRODUCT((TABELA_VAZAO[Posto]=X$2)*1,(TABELA_VAZAO[Data]=$A26)*1,TABELA_VAZAO[qnat])</f>
        <v>0</v>
      </c>
      <c r="Y26" s="250">
        <f ca="1">SUMPRODUCT((TABELA_VAZAO[Posto]=Y$2)*1,(TABELA_VAZAO[Data]=$A26)*1,TABELA_VAZAO[qinc])</f>
        <v>0</v>
      </c>
      <c r="Z26" s="288">
        <f ca="1">SUMPRODUCT((TABELA_VAZAO[Posto]=Z$2)*1,(TABELA_VAZAO[Data]=$A26)*1,TABELA_VAZAO[qnat])</f>
        <v>0</v>
      </c>
      <c r="AA26" s="9"/>
      <c r="AB26" s="250">
        <f ca="1">SUMPRODUCT((TABELA_VAZAO[Posto]=AB$2)*1,(TABELA_VAZAO[Data]=$A26)*1,TABELA_VAZAO[qinc])</f>
        <v>0</v>
      </c>
      <c r="AC26" s="288">
        <f ca="1">SUMPRODUCT((TABELA_VAZAO[Posto]=AC$2)*1,(TABELA_VAZAO[Data]=$A26)*1,TABELA_VAZAO[qnat])</f>
        <v>0</v>
      </c>
      <c r="AE26" s="208" t="e">
        <f ca="1">INDEX(RESULTADOS!$A:$BA,MATCH($A26,RESULTADOS!$A:$A,0),MATCH(AE$1,RESULTADOS!$1:$1,0))</f>
        <v>#N/A</v>
      </c>
      <c r="AF26" s="67" t="e">
        <f ca="1">INDEX(RESULTADOS!$A:$BA,MATCH($A26,RESULTADOS!$A:$A,0),MATCH(AF$1,RESULTADOS!$1:$1,0))</f>
        <v>#N/A</v>
      </c>
      <c r="AG26" s="250">
        <f ca="1">SUMPRODUCT((TABELA_VAZAO[Posto]=AG$2)*1,(TABELA_VAZAO[Data]=$A26)*1,TABELA_VAZAO[qinc])</f>
        <v>0</v>
      </c>
      <c r="AH26" s="250">
        <f ca="1">SUMPRODUCT((TABELA_VAZAO[Posto]=AH$2)*1,(TABELA_VAZAO[Data]=$A26)*1,TABELA_VAZAO[qinc])</f>
        <v>0</v>
      </c>
      <c r="AI26" s="288">
        <f ca="1">SUMPRODUCT((TABELA_VAZAO[Posto]=AI$2)*1,(TABELA_VAZAO[Data]=$A26)*1,TABELA_VAZAO[qnat])</f>
        <v>0</v>
      </c>
      <c r="AJ26" s="288">
        <f ca="1">SUMPRODUCT((TABELA_VAZAO[Posto]=AJ$2)*1,(TABELA_VAZAO[Data]=$A26)*1,TABELA_VAZAO[qnat])</f>
        <v>0</v>
      </c>
    </row>
    <row r="27" spans="1:36" x14ac:dyDescent="0.2">
      <c r="A27" s="7">
        <f t="shared" ca="1" si="1"/>
        <v>43826</v>
      </c>
      <c r="B27" s="250">
        <f ca="1">SUMPRODUCT((TABELA_VAZAO[Posto]=B$2)*1,(TABELA_VAZAO[Data]=$A27)*1,TABELA_VAZAO[qinc])</f>
        <v>0</v>
      </c>
      <c r="C27" s="288">
        <f ca="1">SUMPRODUCT((TABELA_VAZAO[Posto]=C$2)*1,(TABELA_VAZAO[Data]=$A27)*1,TABELA_VAZAO[qnat])</f>
        <v>0</v>
      </c>
      <c r="D27" s="279" t="e">
        <f ca="1">INDEX(RESULTADOS!$A:$BA,MATCH($A27,RESULTADOS!$A:$A,0),MATCH(D$1,RESULTADOS!$1:$1,0))</f>
        <v>#N/A</v>
      </c>
      <c r="E27" s="250">
        <f ca="1">SUMPRODUCT((TABELA_VAZAO[Posto]=E$2)*1,(TABELA_VAZAO[Data]=$A27)*1,TABELA_VAZAO[qinc])</f>
        <v>0</v>
      </c>
      <c r="F27" s="288">
        <f ca="1">SUMPRODUCT((TABELA_VAZAO[Posto]=F$2)*1,(TABELA_VAZAO[Data]=$A27)*1,TABELA_VAZAO[qnat])</f>
        <v>0</v>
      </c>
      <c r="G27" s="250">
        <f ca="1">SUMPRODUCT((TABELA_VAZAO[Posto]=G$2)*1,(TABELA_VAZAO[Data]=$A27)*1,TABELA_VAZAO[qinc])</f>
        <v>0</v>
      </c>
      <c r="H27" s="288">
        <f ca="1">SUMPRODUCT((TABELA_VAZAO[Posto]=H$2)*1,(TABELA_VAZAO[Data]=$A27)*1,TABELA_VAZAO[qnat])</f>
        <v>0</v>
      </c>
      <c r="I27" s="9"/>
      <c r="J27" s="67" t="e">
        <f ca="1">INDEX(RESULTADOS!$A:$BA,MATCH($A27,RESULTADOS!$A:$A,0),MATCH(J$1,RESULTADOS!$1:$1,0))</f>
        <v>#N/A</v>
      </c>
      <c r="K27" s="250">
        <f ca="1">SUMPRODUCT((TABELA_VAZAO[Posto]=K$2)*1,(TABELA_VAZAO[Data]=$A27)*1,TABELA_VAZAO[qinc])</f>
        <v>0</v>
      </c>
      <c r="L27" s="288">
        <f ca="1">SUMPRODUCT((TABELA_VAZAO[Posto]=L$2)*1,(TABELA_VAZAO[Data]=$A27)*1,TABELA_VAZAO[qnat])</f>
        <v>0</v>
      </c>
      <c r="M27" s="250">
        <f ca="1">SUMPRODUCT((TABELA_VAZAO[Posto]=M$2)*1,(TABELA_VAZAO[Data]=$A27)*1,TABELA_VAZAO[qinc])</f>
        <v>0</v>
      </c>
      <c r="N27" s="288">
        <f ca="1">SUMPRODUCT((TABELA_VAZAO[Posto]=N$2)*1,(TABELA_VAZAO[Data]=$A27)*1,TABELA_VAZAO[qnat])</f>
        <v>0</v>
      </c>
      <c r="O27" s="250">
        <f ca="1">SUMPRODUCT((TABELA_VAZAO[Posto]=O$2)*1,(TABELA_VAZAO[Data]=$A27)*1,TABELA_VAZAO[qinc])</f>
        <v>0</v>
      </c>
      <c r="P27" s="288">
        <f ca="1">SUMPRODUCT((TABELA_VAZAO[Posto]=P$2)*1,(TABELA_VAZAO[Data]=$A27)*1,TABELA_VAZAO[qnat])</f>
        <v>0</v>
      </c>
      <c r="Q27" s="9"/>
      <c r="R27" s="250">
        <f ca="1">SUMPRODUCT((TABELA_VAZAO[Posto]=R$2)*1,(TABELA_VAZAO[Data]=$A27)*1,TABELA_VAZAO[qinc])</f>
        <v>0</v>
      </c>
      <c r="S27" s="288">
        <f ca="1">SUMPRODUCT((TABELA_VAZAO[Posto]=S$2)*1,(TABELA_VAZAO[Data]=$A27)*1,TABELA_VAZAO[qnat])</f>
        <v>0</v>
      </c>
      <c r="T27" s="67" t="e">
        <f ca="1">INDEX(RESULTADOS!$A:$BA,MATCH($A27,RESULTADOS!$A:$A,0),MATCH(T$1,RESULTADOS!$1:$1,0))</f>
        <v>#N/A</v>
      </c>
      <c r="U27" s="250">
        <f ca="1">SUMPRODUCT((TABELA_VAZAO[Posto]=U$2)*1,(TABELA_VAZAO[Data]=$A27)*1,TABELA_VAZAO[qinc])</f>
        <v>0</v>
      </c>
      <c r="V27" s="288">
        <f ca="1">SUMPRODUCT((TABELA_VAZAO[Posto]=V$2)*1,(TABELA_VAZAO[Data]=$A27)*1,TABELA_VAZAO[qnat])</f>
        <v>0</v>
      </c>
      <c r="W27" s="250">
        <f ca="1">SUMPRODUCT((TABELA_VAZAO[Posto]=W$2)*1,(TABELA_VAZAO[Data]=$A27)*1,TABELA_VAZAO[qinc])</f>
        <v>0</v>
      </c>
      <c r="X27" s="288">
        <f ca="1">SUMPRODUCT((TABELA_VAZAO[Posto]=X$2)*1,(TABELA_VAZAO[Data]=$A27)*1,TABELA_VAZAO[qnat])</f>
        <v>0</v>
      </c>
      <c r="Y27" s="250">
        <f ca="1">SUMPRODUCT((TABELA_VAZAO[Posto]=Y$2)*1,(TABELA_VAZAO[Data]=$A27)*1,TABELA_VAZAO[qinc])</f>
        <v>0</v>
      </c>
      <c r="Z27" s="288">
        <f ca="1">SUMPRODUCT((TABELA_VAZAO[Posto]=Z$2)*1,(TABELA_VAZAO[Data]=$A27)*1,TABELA_VAZAO[qnat])</f>
        <v>0</v>
      </c>
      <c r="AA27" s="9"/>
      <c r="AB27" s="250">
        <f ca="1">SUMPRODUCT((TABELA_VAZAO[Posto]=AB$2)*1,(TABELA_VAZAO[Data]=$A27)*1,TABELA_VAZAO[qinc])</f>
        <v>0</v>
      </c>
      <c r="AC27" s="288">
        <f ca="1">SUMPRODUCT((TABELA_VAZAO[Posto]=AC$2)*1,(TABELA_VAZAO[Data]=$A27)*1,TABELA_VAZAO[qnat])</f>
        <v>0</v>
      </c>
      <c r="AE27" s="208" t="e">
        <f ca="1">INDEX(RESULTADOS!$A:$BA,MATCH($A27,RESULTADOS!$A:$A,0),MATCH(AE$1,RESULTADOS!$1:$1,0))</f>
        <v>#N/A</v>
      </c>
      <c r="AF27" s="67" t="e">
        <f ca="1">INDEX(RESULTADOS!$A:$BA,MATCH($A27,RESULTADOS!$A:$A,0),MATCH(AF$1,RESULTADOS!$1:$1,0))</f>
        <v>#N/A</v>
      </c>
      <c r="AG27" s="250">
        <f ca="1">SUMPRODUCT((TABELA_VAZAO[Posto]=AG$2)*1,(TABELA_VAZAO[Data]=$A27)*1,TABELA_VAZAO[qinc])</f>
        <v>0</v>
      </c>
      <c r="AH27" s="250">
        <f ca="1">SUMPRODUCT((TABELA_VAZAO[Posto]=AH$2)*1,(TABELA_VAZAO[Data]=$A27)*1,TABELA_VAZAO[qinc])</f>
        <v>0</v>
      </c>
      <c r="AI27" s="288">
        <f ca="1">SUMPRODUCT((TABELA_VAZAO[Posto]=AI$2)*1,(TABELA_VAZAO[Data]=$A27)*1,TABELA_VAZAO[qnat])</f>
        <v>0</v>
      </c>
      <c r="AJ27" s="288">
        <f ca="1">SUMPRODUCT((TABELA_VAZAO[Posto]=AJ$2)*1,(TABELA_VAZAO[Data]=$A27)*1,TABELA_VAZAO[qnat])</f>
        <v>0</v>
      </c>
    </row>
    <row r="28" spans="1:36" x14ac:dyDescent="0.2">
      <c r="A28" s="7">
        <f t="shared" ca="1" si="1"/>
        <v>43827</v>
      </c>
      <c r="B28" s="250">
        <f ca="1">SUMPRODUCT((TABELA_VAZAO[Posto]=B$2)*1,(TABELA_VAZAO[Data]=$A28)*1,TABELA_VAZAO[qinc])</f>
        <v>83</v>
      </c>
      <c r="C28" s="288">
        <f ca="1">SUMPRODUCT((TABELA_VAZAO[Posto]=C$2)*1,(TABELA_VAZAO[Data]=$A28)*1,TABELA_VAZAO[qnat])</f>
        <v>83</v>
      </c>
      <c r="D28" s="279" t="e">
        <f ca="1">INDEX(RESULTADOS!$A:$BA,MATCH($A28,RESULTADOS!$A:$A,0),MATCH(D$1,RESULTADOS!$1:$1,0))</f>
        <v>#N/A</v>
      </c>
      <c r="E28" s="250">
        <f ca="1">SUMPRODUCT((TABELA_VAZAO[Posto]=E$2)*1,(TABELA_VAZAO[Data]=$A28)*1,TABELA_VAZAO[qinc])</f>
        <v>17</v>
      </c>
      <c r="F28" s="288">
        <f ca="1">SUMPRODUCT((TABELA_VAZAO[Posto]=F$2)*1,(TABELA_VAZAO[Data]=$A28)*1,TABELA_VAZAO[qnat])</f>
        <v>99</v>
      </c>
      <c r="G28" s="250">
        <f ca="1">SUMPRODUCT((TABELA_VAZAO[Posto]=G$2)*1,(TABELA_VAZAO[Data]=$A28)*1,TABELA_VAZAO[qinc])</f>
        <v>154</v>
      </c>
      <c r="H28" s="288">
        <f ca="1">SUMPRODUCT((TABELA_VAZAO[Posto]=H$2)*1,(TABELA_VAZAO[Data]=$A28)*1,TABELA_VAZAO[qnat])</f>
        <v>255</v>
      </c>
      <c r="I28" s="9"/>
      <c r="J28" s="67" t="e">
        <f ca="1">INDEX(RESULTADOS!$A:$BA,MATCH($A28,RESULTADOS!$A:$A,0),MATCH(J$1,RESULTADOS!$1:$1,0))</f>
        <v>#N/A</v>
      </c>
      <c r="K28" s="250">
        <f ca="1">SUMPRODUCT((TABELA_VAZAO[Posto]=K$2)*1,(TABELA_VAZAO[Data]=$A28)*1,TABELA_VAZAO[qinc])</f>
        <v>62</v>
      </c>
      <c r="L28" s="288">
        <f ca="1">SUMPRODUCT((TABELA_VAZAO[Posto]=L$2)*1,(TABELA_VAZAO[Data]=$A28)*1,TABELA_VAZAO[qnat])</f>
        <v>62</v>
      </c>
      <c r="M28" s="250">
        <f ca="1">SUMPRODUCT((TABELA_VAZAO[Posto]=M$2)*1,(TABELA_VAZAO[Data]=$A28)*1,TABELA_VAZAO[qinc])</f>
        <v>39</v>
      </c>
      <c r="N28" s="288">
        <f ca="1">SUMPRODUCT((TABELA_VAZAO[Posto]=N$2)*1,(TABELA_VAZAO[Data]=$A28)*1,TABELA_VAZAO[qnat])</f>
        <v>104</v>
      </c>
      <c r="O28" s="250">
        <f ca="1">SUMPRODUCT((TABELA_VAZAO[Posto]=O$2)*1,(TABELA_VAZAO[Data]=$A28)*1,TABELA_VAZAO[qinc])</f>
        <v>167</v>
      </c>
      <c r="P28" s="288">
        <f ca="1">SUMPRODUCT((TABELA_VAZAO[Posto]=P$2)*1,(TABELA_VAZAO[Data]=$A28)*1,TABELA_VAZAO[qnat])</f>
        <v>274</v>
      </c>
      <c r="Q28" s="9"/>
      <c r="R28" s="250">
        <f ca="1">SUMPRODUCT((TABELA_VAZAO[Posto]=R$2)*1,(TABELA_VAZAO[Data]=$A28)*1,TABELA_VAZAO[qinc])</f>
        <v>250</v>
      </c>
      <c r="S28" s="288">
        <f ca="1">SUMPRODUCT((TABELA_VAZAO[Posto]=S$2)*1,(TABELA_VAZAO[Data]=$A28)*1,TABELA_VAZAO[qnat])</f>
        <v>250</v>
      </c>
      <c r="T28" s="67" t="e">
        <f ca="1">INDEX(RESULTADOS!$A:$BA,MATCH($A28,RESULTADOS!$A:$A,0),MATCH(T$1,RESULTADOS!$1:$1,0))</f>
        <v>#N/A</v>
      </c>
      <c r="U28" s="250">
        <f ca="1">SUMPRODUCT((TABELA_VAZAO[Posto]=U$2)*1,(TABELA_VAZAO[Data]=$A28)*1,TABELA_VAZAO[qinc])</f>
        <v>9</v>
      </c>
      <c r="V28" s="288">
        <f ca="1">SUMPRODUCT((TABELA_VAZAO[Posto]=V$2)*1,(TABELA_VAZAO[Data]=$A28)*1,TABELA_VAZAO[qnat])</f>
        <v>269</v>
      </c>
      <c r="W28" s="250">
        <f ca="1">SUMPRODUCT((TABELA_VAZAO[Posto]=W$2)*1,(TABELA_VAZAO[Data]=$A28)*1,TABELA_VAZAO[qinc])</f>
        <v>1</v>
      </c>
      <c r="X28" s="288">
        <f ca="1">SUMPRODUCT((TABELA_VAZAO[Posto]=X$2)*1,(TABELA_VAZAO[Data]=$A28)*1,TABELA_VAZAO[qnat])</f>
        <v>274</v>
      </c>
      <c r="Y28" s="250">
        <f ca="1">SUMPRODUCT((TABELA_VAZAO[Posto]=Y$2)*1,(TABELA_VAZAO[Data]=$A28)*1,TABELA_VAZAO[qinc])</f>
        <v>3</v>
      </c>
      <c r="Z28" s="288">
        <f ca="1">SUMPRODUCT((TABELA_VAZAO[Posto]=Z$2)*1,(TABELA_VAZAO[Data]=$A28)*1,TABELA_VAZAO[qnat])</f>
        <v>284</v>
      </c>
      <c r="AA28" s="9"/>
      <c r="AB28" s="250">
        <f ca="1">SUMPRODUCT((TABELA_VAZAO[Posto]=AB$2)*1,(TABELA_VAZAO[Data]=$A28)*1,TABELA_VAZAO[qinc])</f>
        <v>209</v>
      </c>
      <c r="AC28" s="288">
        <f ca="1">SUMPRODUCT((TABELA_VAZAO[Posto]=AC$2)*1,(TABELA_VAZAO[Data]=$A28)*1,TABELA_VAZAO[qnat])</f>
        <v>1037</v>
      </c>
      <c r="AE28" s="208" t="e">
        <f ca="1">INDEX(RESULTADOS!$A:$BA,MATCH($A28,RESULTADOS!$A:$A,0),MATCH(AE$1,RESULTADOS!$1:$1,0))</f>
        <v>#N/A</v>
      </c>
      <c r="AF28" s="67" t="e">
        <f ca="1">INDEX(RESULTADOS!$A:$BA,MATCH($A28,RESULTADOS!$A:$A,0),MATCH(AF$1,RESULTADOS!$1:$1,0))</f>
        <v>#N/A</v>
      </c>
      <c r="AG28" s="250">
        <f ca="1">SUMPRODUCT((TABELA_VAZAO[Posto]=AG$2)*1,(TABELA_VAZAO[Data]=$A28)*1,TABELA_VAZAO[qinc])</f>
        <v>64</v>
      </c>
      <c r="AH28" s="250">
        <f ca="1">SUMPRODUCT((TABELA_VAZAO[Posto]=AH$2)*1,(TABELA_VAZAO[Data]=$A28)*1,TABELA_VAZAO[qinc])</f>
        <v>875</v>
      </c>
      <c r="AI28" s="288">
        <f ca="1">SUMPRODUCT((TABELA_VAZAO[Posto]=AI$2)*1,(TABELA_VAZAO[Data]=$A28)*1,TABELA_VAZAO[qnat])</f>
        <v>1108</v>
      </c>
      <c r="AJ28" s="288">
        <f ca="1">SUMPRODUCT((TABELA_VAZAO[Posto]=AJ$2)*1,(TABELA_VAZAO[Data]=$A28)*1,TABELA_VAZAO[qnat])</f>
        <v>1994</v>
      </c>
    </row>
    <row r="29" spans="1:36" x14ac:dyDescent="0.2">
      <c r="A29" s="7">
        <f t="shared" ca="1" si="1"/>
        <v>43828</v>
      </c>
      <c r="B29" s="250">
        <f ca="1">SUMPRODUCT((TABELA_VAZAO[Posto]=B$2)*1,(TABELA_VAZAO[Data]=$A29)*1,TABELA_VAZAO[qinc])</f>
        <v>77</v>
      </c>
      <c r="C29" s="288">
        <f ca="1">SUMPRODUCT((TABELA_VAZAO[Posto]=C$2)*1,(TABELA_VAZAO[Data]=$A29)*1,TABELA_VAZAO[qnat])</f>
        <v>77</v>
      </c>
      <c r="D29" s="279" t="e">
        <f ca="1">INDEX(RESULTADOS!$A:$BA,MATCH($A29,RESULTADOS!$A:$A,0),MATCH(D$1,RESULTADOS!$1:$1,0))</f>
        <v>#N/A</v>
      </c>
      <c r="E29" s="250">
        <f ca="1">SUMPRODUCT((TABELA_VAZAO[Posto]=E$2)*1,(TABELA_VAZAO[Data]=$A29)*1,TABELA_VAZAO[qinc])</f>
        <v>16</v>
      </c>
      <c r="F29" s="288">
        <f ca="1">SUMPRODUCT((TABELA_VAZAO[Posto]=F$2)*1,(TABELA_VAZAO[Data]=$A29)*1,TABELA_VAZAO[qnat])</f>
        <v>95</v>
      </c>
      <c r="G29" s="250">
        <f ca="1">SUMPRODUCT((TABELA_VAZAO[Posto]=G$2)*1,(TABELA_VAZAO[Data]=$A29)*1,TABELA_VAZAO[qinc])</f>
        <v>140</v>
      </c>
      <c r="H29" s="288">
        <f ca="1">SUMPRODUCT((TABELA_VAZAO[Posto]=H$2)*1,(TABELA_VAZAO[Data]=$A29)*1,TABELA_VAZAO[qnat])</f>
        <v>239</v>
      </c>
      <c r="I29" s="9"/>
      <c r="J29" s="67" t="e">
        <f ca="1">INDEX(RESULTADOS!$A:$BA,MATCH($A29,RESULTADOS!$A:$A,0),MATCH(J$1,RESULTADOS!$1:$1,0))</f>
        <v>#N/A</v>
      </c>
      <c r="K29" s="250">
        <f ca="1">SUMPRODUCT((TABELA_VAZAO[Posto]=K$2)*1,(TABELA_VAZAO[Data]=$A29)*1,TABELA_VAZAO[qinc])</f>
        <v>55</v>
      </c>
      <c r="L29" s="288">
        <f ca="1">SUMPRODUCT((TABELA_VAZAO[Posto]=L$2)*1,(TABELA_VAZAO[Data]=$A29)*1,TABELA_VAZAO[qnat])</f>
        <v>55</v>
      </c>
      <c r="M29" s="250">
        <f ca="1">SUMPRODUCT((TABELA_VAZAO[Posto]=M$2)*1,(TABELA_VAZAO[Data]=$A29)*1,TABELA_VAZAO[qinc])</f>
        <v>35</v>
      </c>
      <c r="N29" s="288">
        <f ca="1">SUMPRODUCT((TABELA_VAZAO[Posto]=N$2)*1,(TABELA_VAZAO[Data]=$A29)*1,TABELA_VAZAO[qnat])</f>
        <v>94</v>
      </c>
      <c r="O29" s="250">
        <f ca="1">SUMPRODUCT((TABELA_VAZAO[Posto]=O$2)*1,(TABELA_VAZAO[Data]=$A29)*1,TABELA_VAZAO[qinc])</f>
        <v>164</v>
      </c>
      <c r="P29" s="288">
        <f ca="1">SUMPRODUCT((TABELA_VAZAO[Posto]=P$2)*1,(TABELA_VAZAO[Data]=$A29)*1,TABELA_VAZAO[qnat])</f>
        <v>265</v>
      </c>
      <c r="Q29" s="9"/>
      <c r="R29" s="250">
        <f ca="1">SUMPRODUCT((TABELA_VAZAO[Posto]=R$2)*1,(TABELA_VAZAO[Data]=$A29)*1,TABELA_VAZAO[qinc])</f>
        <v>228</v>
      </c>
      <c r="S29" s="288">
        <f ca="1">SUMPRODUCT((TABELA_VAZAO[Posto]=S$2)*1,(TABELA_VAZAO[Data]=$A29)*1,TABELA_VAZAO[qnat])</f>
        <v>228</v>
      </c>
      <c r="T29" s="67" t="e">
        <f ca="1">INDEX(RESULTADOS!$A:$BA,MATCH($A29,RESULTADOS!$A:$A,0),MATCH(T$1,RESULTADOS!$1:$1,0))</f>
        <v>#N/A</v>
      </c>
      <c r="U29" s="250">
        <f ca="1">SUMPRODUCT((TABELA_VAZAO[Posto]=U$2)*1,(TABELA_VAZAO[Data]=$A29)*1,TABELA_VAZAO[qinc])</f>
        <v>8</v>
      </c>
      <c r="V29" s="288">
        <f ca="1">SUMPRODUCT((TABELA_VAZAO[Posto]=V$2)*1,(TABELA_VAZAO[Data]=$A29)*1,TABELA_VAZAO[qnat])</f>
        <v>246</v>
      </c>
      <c r="W29" s="250">
        <f ca="1">SUMPRODUCT((TABELA_VAZAO[Posto]=W$2)*1,(TABELA_VAZAO[Data]=$A29)*1,TABELA_VAZAO[qinc])</f>
        <v>1</v>
      </c>
      <c r="X29" s="288">
        <f ca="1">SUMPRODUCT((TABELA_VAZAO[Posto]=X$2)*1,(TABELA_VAZAO[Data]=$A29)*1,TABELA_VAZAO[qnat])</f>
        <v>252</v>
      </c>
      <c r="Y29" s="250">
        <f ca="1">SUMPRODUCT((TABELA_VAZAO[Posto]=Y$2)*1,(TABELA_VAZAO[Data]=$A29)*1,TABELA_VAZAO[qinc])</f>
        <v>2</v>
      </c>
      <c r="Z29" s="288">
        <f ca="1">SUMPRODUCT((TABELA_VAZAO[Posto]=Z$2)*1,(TABELA_VAZAO[Data]=$A29)*1,TABELA_VAZAO[qnat])</f>
        <v>265</v>
      </c>
      <c r="AA29" s="9"/>
      <c r="AB29" s="250">
        <f ca="1">SUMPRODUCT((TABELA_VAZAO[Posto]=AB$2)*1,(TABELA_VAZAO[Data]=$A29)*1,TABELA_VAZAO[qinc])</f>
        <v>186</v>
      </c>
      <c r="AC29" s="288">
        <f ca="1">SUMPRODUCT((TABELA_VAZAO[Posto]=AC$2)*1,(TABELA_VAZAO[Data]=$A29)*1,TABELA_VAZAO[qnat])</f>
        <v>987</v>
      </c>
      <c r="AE29" s="208" t="e">
        <f ca="1">INDEX(RESULTADOS!$A:$BA,MATCH($A29,RESULTADOS!$A:$A,0),MATCH(AE$1,RESULTADOS!$1:$1,0))</f>
        <v>#N/A</v>
      </c>
      <c r="AF29" s="67" t="e">
        <f ca="1">INDEX(RESULTADOS!$A:$BA,MATCH($A29,RESULTADOS!$A:$A,0),MATCH(AF$1,RESULTADOS!$1:$1,0))</f>
        <v>#N/A</v>
      </c>
      <c r="AG29" s="250">
        <f ca="1">SUMPRODUCT((TABELA_VAZAO[Posto]=AG$2)*1,(TABELA_VAZAO[Data]=$A29)*1,TABELA_VAZAO[qinc])</f>
        <v>57</v>
      </c>
      <c r="AH29" s="250">
        <f ca="1">SUMPRODUCT((TABELA_VAZAO[Posto]=AH$2)*1,(TABELA_VAZAO[Data]=$A29)*1,TABELA_VAZAO[qinc])</f>
        <v>770</v>
      </c>
      <c r="AI29" s="288">
        <f ca="1">SUMPRODUCT((TABELA_VAZAO[Posto]=AI$2)*1,(TABELA_VAZAO[Data]=$A29)*1,TABELA_VAZAO[qnat])</f>
        <v>1061</v>
      </c>
      <c r="AJ29" s="288">
        <f ca="1">SUMPRODUCT((TABELA_VAZAO[Posto]=AJ$2)*1,(TABELA_VAZAO[Data]=$A29)*1,TABELA_VAZAO[qnat])</f>
        <v>1861</v>
      </c>
    </row>
    <row r="30" spans="1:36" x14ac:dyDescent="0.2">
      <c r="A30" s="7">
        <f t="shared" ca="1" si="1"/>
        <v>43829</v>
      </c>
      <c r="B30" s="250">
        <f ca="1">SUMPRODUCT((TABELA_VAZAO[Posto]=B$2)*1,(TABELA_VAZAO[Data]=$A30)*1,TABELA_VAZAO[qinc])</f>
        <v>69</v>
      </c>
      <c r="C30" s="288">
        <f ca="1">SUMPRODUCT((TABELA_VAZAO[Posto]=C$2)*1,(TABELA_VAZAO[Data]=$A30)*1,TABELA_VAZAO[qnat])</f>
        <v>69</v>
      </c>
      <c r="D30" s="279" t="e">
        <f ca="1">INDEX(RESULTADOS!$A:$BA,MATCH($A30,RESULTADOS!$A:$A,0),MATCH(D$1,RESULTADOS!$1:$1,0))</f>
        <v>#N/A</v>
      </c>
      <c r="E30" s="250">
        <f ca="1">SUMPRODUCT((TABELA_VAZAO[Posto]=E$2)*1,(TABELA_VAZAO[Data]=$A30)*1,TABELA_VAZAO[qinc])</f>
        <v>14</v>
      </c>
      <c r="F30" s="288">
        <f ca="1">SUMPRODUCT((TABELA_VAZAO[Posto]=F$2)*1,(TABELA_VAZAO[Data]=$A30)*1,TABELA_VAZAO[qnat])</f>
        <v>87</v>
      </c>
      <c r="G30" s="250">
        <f ca="1">SUMPRODUCT((TABELA_VAZAO[Posto]=G$2)*1,(TABELA_VAZAO[Data]=$A30)*1,TABELA_VAZAO[qinc])</f>
        <v>129</v>
      </c>
      <c r="H30" s="288">
        <f ca="1">SUMPRODUCT((TABELA_VAZAO[Posto]=H$2)*1,(TABELA_VAZAO[Data]=$A30)*1,TABELA_VAZAO[qnat])</f>
        <v>224</v>
      </c>
      <c r="I30" s="9"/>
      <c r="J30" s="67" t="e">
        <f ca="1">INDEX(RESULTADOS!$A:$BA,MATCH($A30,RESULTADOS!$A:$A,0),MATCH(J$1,RESULTADOS!$1:$1,0))</f>
        <v>#N/A</v>
      </c>
      <c r="K30" s="250">
        <f ca="1">SUMPRODUCT((TABELA_VAZAO[Posto]=K$2)*1,(TABELA_VAZAO[Data]=$A30)*1,TABELA_VAZAO[qinc])</f>
        <v>48</v>
      </c>
      <c r="L30" s="288">
        <f ca="1">SUMPRODUCT((TABELA_VAZAO[Posto]=L$2)*1,(TABELA_VAZAO[Data]=$A30)*1,TABELA_VAZAO[qnat])</f>
        <v>48</v>
      </c>
      <c r="M30" s="250">
        <f ca="1">SUMPRODUCT((TABELA_VAZAO[Posto]=M$2)*1,(TABELA_VAZAO[Data]=$A30)*1,TABELA_VAZAO[qinc])</f>
        <v>30</v>
      </c>
      <c r="N30" s="288">
        <f ca="1">SUMPRODUCT((TABELA_VAZAO[Posto]=N$2)*1,(TABELA_VAZAO[Data]=$A30)*1,TABELA_VAZAO[qnat])</f>
        <v>82</v>
      </c>
      <c r="O30" s="250">
        <f ca="1">SUMPRODUCT((TABELA_VAZAO[Posto]=O$2)*1,(TABELA_VAZAO[Data]=$A30)*1,TABELA_VAZAO[qinc])</f>
        <v>159</v>
      </c>
      <c r="P30" s="288">
        <f ca="1">SUMPRODUCT((TABELA_VAZAO[Posto]=P$2)*1,(TABELA_VAZAO[Data]=$A30)*1,TABELA_VAZAO[qnat])</f>
        <v>249</v>
      </c>
      <c r="Q30" s="9"/>
      <c r="R30" s="250">
        <f ca="1">SUMPRODUCT((TABELA_VAZAO[Posto]=R$2)*1,(TABELA_VAZAO[Data]=$A30)*1,TABELA_VAZAO[qinc])</f>
        <v>202</v>
      </c>
      <c r="S30" s="288">
        <f ca="1">SUMPRODUCT((TABELA_VAZAO[Posto]=S$2)*1,(TABELA_VAZAO[Data]=$A30)*1,TABELA_VAZAO[qnat])</f>
        <v>202</v>
      </c>
      <c r="T30" s="67" t="e">
        <f ca="1">INDEX(RESULTADOS!$A:$BA,MATCH($A30,RESULTADOS!$A:$A,0),MATCH(T$1,RESULTADOS!$1:$1,0))</f>
        <v>#N/A</v>
      </c>
      <c r="U30" s="250">
        <f ca="1">SUMPRODUCT((TABELA_VAZAO[Posto]=U$2)*1,(TABELA_VAZAO[Data]=$A30)*1,TABELA_VAZAO[qinc])</f>
        <v>7</v>
      </c>
      <c r="V30" s="288">
        <f ca="1">SUMPRODUCT((TABELA_VAZAO[Posto]=V$2)*1,(TABELA_VAZAO[Data]=$A30)*1,TABELA_VAZAO[qnat])</f>
        <v>221</v>
      </c>
      <c r="W30" s="250">
        <f ca="1">SUMPRODUCT((TABELA_VAZAO[Posto]=W$2)*1,(TABELA_VAZAO[Data]=$A30)*1,TABELA_VAZAO[qinc])</f>
        <v>1</v>
      </c>
      <c r="X30" s="288">
        <f ca="1">SUMPRODUCT((TABELA_VAZAO[Posto]=X$2)*1,(TABELA_VAZAO[Data]=$A30)*1,TABELA_VAZAO[qnat])</f>
        <v>227</v>
      </c>
      <c r="Y30" s="250">
        <f ca="1">SUMPRODUCT((TABELA_VAZAO[Posto]=Y$2)*1,(TABELA_VAZAO[Data]=$A30)*1,TABELA_VAZAO[qinc])</f>
        <v>2</v>
      </c>
      <c r="Z30" s="288">
        <f ca="1">SUMPRODUCT((TABELA_VAZAO[Posto]=Z$2)*1,(TABELA_VAZAO[Data]=$A30)*1,TABELA_VAZAO[qnat])</f>
        <v>241</v>
      </c>
      <c r="AA30" s="9"/>
      <c r="AB30" s="250">
        <f ca="1">SUMPRODUCT((TABELA_VAZAO[Posto]=AB$2)*1,(TABELA_VAZAO[Data]=$A30)*1,TABELA_VAZAO[qinc])</f>
        <v>163</v>
      </c>
      <c r="AC30" s="288">
        <f ca="1">SUMPRODUCT((TABELA_VAZAO[Posto]=AC$2)*1,(TABELA_VAZAO[Data]=$A30)*1,TABELA_VAZAO[qnat])</f>
        <v>917</v>
      </c>
      <c r="AE30" s="208" t="e">
        <f ca="1">INDEX(RESULTADOS!$A:$BA,MATCH($A30,RESULTADOS!$A:$A,0),MATCH(AE$1,RESULTADOS!$1:$1,0))</f>
        <v>#N/A</v>
      </c>
      <c r="AF30" s="67" t="e">
        <f ca="1">INDEX(RESULTADOS!$A:$BA,MATCH($A30,RESULTADOS!$A:$A,0),MATCH(AF$1,RESULTADOS!$1:$1,0))</f>
        <v>#N/A</v>
      </c>
      <c r="AG30" s="250">
        <f ca="1">SUMPRODUCT((TABELA_VAZAO[Posto]=AG$2)*1,(TABELA_VAZAO[Data]=$A30)*1,TABELA_VAZAO[qinc])</f>
        <v>48</v>
      </c>
      <c r="AH30" s="250">
        <f ca="1">SUMPRODUCT((TABELA_VAZAO[Posto]=AH$2)*1,(TABELA_VAZAO[Data]=$A30)*1,TABELA_VAZAO[qinc])</f>
        <v>645</v>
      </c>
      <c r="AI30" s="288">
        <f ca="1">SUMPRODUCT((TABELA_VAZAO[Posto]=AI$2)*1,(TABELA_VAZAO[Data]=$A30)*1,TABELA_VAZAO[qnat])</f>
        <v>988</v>
      </c>
      <c r="AJ30" s="288">
        <f ca="1">SUMPRODUCT((TABELA_VAZAO[Posto]=AJ$2)*1,(TABELA_VAZAO[Data]=$A30)*1,TABELA_VAZAO[qnat])</f>
        <v>1679</v>
      </c>
    </row>
    <row r="31" spans="1:36" x14ac:dyDescent="0.2">
      <c r="A31" s="7">
        <f t="shared" ca="1" si="1"/>
        <v>43830</v>
      </c>
      <c r="B31" s="250">
        <f ca="1">SUMPRODUCT((TABELA_VAZAO[Posto]=B$2)*1,(TABELA_VAZAO[Data]=$A31)*1,TABELA_VAZAO[qinc])</f>
        <v>63</v>
      </c>
      <c r="C31" s="288">
        <f ca="1">SUMPRODUCT((TABELA_VAZAO[Posto]=C$2)*1,(TABELA_VAZAO[Data]=$A31)*1,TABELA_VAZAO[qnat])</f>
        <v>63</v>
      </c>
      <c r="D31" s="279" t="e">
        <f ca="1">INDEX(RESULTADOS!$A:$BA,MATCH($A31,RESULTADOS!$A:$A,0),MATCH(D$1,RESULTADOS!$1:$1,0))</f>
        <v>#N/A</v>
      </c>
      <c r="E31" s="250">
        <f ca="1">SUMPRODUCT((TABELA_VAZAO[Posto]=E$2)*1,(TABELA_VAZAO[Data]=$A31)*1,TABELA_VAZAO[qinc])</f>
        <v>13</v>
      </c>
      <c r="F31" s="288">
        <f ca="1">SUMPRODUCT((TABELA_VAZAO[Posto]=F$2)*1,(TABELA_VAZAO[Data]=$A31)*1,TABELA_VAZAO[qnat])</f>
        <v>79</v>
      </c>
      <c r="G31" s="250">
        <f ca="1">SUMPRODUCT((TABELA_VAZAO[Posto]=G$2)*1,(TABELA_VAZAO[Data]=$A31)*1,TABELA_VAZAO[qinc])</f>
        <v>119</v>
      </c>
      <c r="H31" s="288">
        <f ca="1">SUMPRODUCT((TABELA_VAZAO[Posto]=H$2)*1,(TABELA_VAZAO[Data]=$A31)*1,TABELA_VAZAO[qnat])</f>
        <v>206</v>
      </c>
      <c r="I31" s="9"/>
      <c r="J31" s="67" t="e">
        <f ca="1">INDEX(RESULTADOS!$A:$BA,MATCH($A31,RESULTADOS!$A:$A,0),MATCH(J$1,RESULTADOS!$1:$1,0))</f>
        <v>#N/A</v>
      </c>
      <c r="K31" s="250">
        <f ca="1">SUMPRODUCT((TABELA_VAZAO[Posto]=K$2)*1,(TABELA_VAZAO[Data]=$A31)*1,TABELA_VAZAO[qinc])</f>
        <v>44</v>
      </c>
      <c r="L31" s="288">
        <f ca="1">SUMPRODUCT((TABELA_VAZAO[Posto]=L$2)*1,(TABELA_VAZAO[Data]=$A31)*1,TABELA_VAZAO[qnat])</f>
        <v>44</v>
      </c>
      <c r="M31" s="250">
        <f ca="1">SUMPRODUCT((TABELA_VAZAO[Posto]=M$2)*1,(TABELA_VAZAO[Data]=$A31)*1,TABELA_VAZAO[qinc])</f>
        <v>27</v>
      </c>
      <c r="N31" s="288">
        <f ca="1">SUMPRODUCT((TABELA_VAZAO[Posto]=N$2)*1,(TABELA_VAZAO[Data]=$A31)*1,TABELA_VAZAO[qnat])</f>
        <v>73</v>
      </c>
      <c r="O31" s="250">
        <f ca="1">SUMPRODUCT((TABELA_VAZAO[Posto]=O$2)*1,(TABELA_VAZAO[Data]=$A31)*1,TABELA_VAZAO[qinc])</f>
        <v>156</v>
      </c>
      <c r="P31" s="288">
        <f ca="1">SUMPRODUCT((TABELA_VAZAO[Posto]=P$2)*1,(TABELA_VAZAO[Data]=$A31)*1,TABELA_VAZAO[qnat])</f>
        <v>235</v>
      </c>
      <c r="Q31" s="9"/>
      <c r="R31" s="250">
        <f ca="1">SUMPRODUCT((TABELA_VAZAO[Posto]=R$2)*1,(TABELA_VAZAO[Data]=$A31)*1,TABELA_VAZAO[qinc])</f>
        <v>196</v>
      </c>
      <c r="S31" s="288">
        <f ca="1">SUMPRODUCT((TABELA_VAZAO[Posto]=S$2)*1,(TABELA_VAZAO[Data]=$A31)*1,TABELA_VAZAO[qnat])</f>
        <v>196</v>
      </c>
      <c r="T31" s="67" t="e">
        <f ca="1">INDEX(RESULTADOS!$A:$BA,MATCH($A31,RESULTADOS!$A:$A,0),MATCH(T$1,RESULTADOS!$1:$1,0))</f>
        <v>#N/A</v>
      </c>
      <c r="U31" s="250">
        <f ca="1">SUMPRODUCT((TABELA_VAZAO[Posto]=U$2)*1,(TABELA_VAZAO[Data]=$A31)*1,TABELA_VAZAO[qinc])</f>
        <v>6</v>
      </c>
      <c r="V31" s="288">
        <f ca="1">SUMPRODUCT((TABELA_VAZAO[Posto]=V$2)*1,(TABELA_VAZAO[Data]=$A31)*1,TABELA_VAZAO[qnat])</f>
        <v>205</v>
      </c>
      <c r="W31" s="250">
        <f ca="1">SUMPRODUCT((TABELA_VAZAO[Posto]=W$2)*1,(TABELA_VAZAO[Data]=$A31)*1,TABELA_VAZAO[qinc])</f>
        <v>1</v>
      </c>
      <c r="X31" s="288">
        <f ca="1">SUMPRODUCT((TABELA_VAZAO[Posto]=X$2)*1,(TABELA_VAZAO[Data]=$A31)*1,TABELA_VAZAO[qnat])</f>
        <v>209</v>
      </c>
      <c r="Y31" s="250">
        <f ca="1">SUMPRODUCT((TABELA_VAZAO[Posto]=Y$2)*1,(TABELA_VAZAO[Data]=$A31)*1,TABELA_VAZAO[qinc])</f>
        <v>2</v>
      </c>
      <c r="Z31" s="288">
        <f ca="1">SUMPRODUCT((TABELA_VAZAO[Posto]=Z$2)*1,(TABELA_VAZAO[Data]=$A31)*1,TABELA_VAZAO[qnat])</f>
        <v>220</v>
      </c>
      <c r="AA31" s="9"/>
      <c r="AB31" s="250">
        <f ca="1">SUMPRODUCT((TABELA_VAZAO[Posto]=AB$2)*1,(TABELA_VAZAO[Data]=$A31)*1,TABELA_VAZAO[qinc])</f>
        <v>147</v>
      </c>
      <c r="AC31" s="288">
        <f ca="1">SUMPRODUCT((TABELA_VAZAO[Posto]=AC$2)*1,(TABELA_VAZAO[Data]=$A31)*1,TABELA_VAZAO[qnat])</f>
        <v>846</v>
      </c>
      <c r="AE31" s="208" t="e">
        <f ca="1">INDEX(RESULTADOS!$A:$BA,MATCH($A31,RESULTADOS!$A:$A,0),MATCH(AE$1,RESULTADOS!$1:$1,0))</f>
        <v>#N/A</v>
      </c>
      <c r="AF31" s="67" t="e">
        <f ca="1">INDEX(RESULTADOS!$A:$BA,MATCH($A31,RESULTADOS!$A:$A,0),MATCH(AF$1,RESULTADOS!$1:$1,0))</f>
        <v>#N/A</v>
      </c>
      <c r="AG31" s="250">
        <f ca="1">SUMPRODUCT((TABELA_VAZAO[Posto]=AG$2)*1,(TABELA_VAZAO[Data]=$A31)*1,TABELA_VAZAO[qinc])</f>
        <v>43</v>
      </c>
      <c r="AH31" s="250">
        <f ca="1">SUMPRODUCT((TABELA_VAZAO[Posto]=AH$2)*1,(TABELA_VAZAO[Data]=$A31)*1,TABELA_VAZAO[qinc])</f>
        <v>574</v>
      </c>
      <c r="AI31" s="288">
        <f ca="1">SUMPRODUCT((TABELA_VAZAO[Posto]=AI$2)*1,(TABELA_VAZAO[Data]=$A31)*1,TABELA_VAZAO[qnat])</f>
        <v>913</v>
      </c>
      <c r="AJ31" s="288">
        <f ca="1">SUMPRODUCT((TABELA_VAZAO[Posto]=AJ$2)*1,(TABELA_VAZAO[Data]=$A31)*1,TABELA_VAZAO[qnat])</f>
        <v>1534</v>
      </c>
    </row>
    <row r="32" spans="1:36" x14ac:dyDescent="0.2">
      <c r="A32" s="7">
        <f t="shared" ca="1" si="1"/>
        <v>43831</v>
      </c>
      <c r="B32" s="250">
        <f ca="1">SUMPRODUCT((TABELA_VAZAO[Posto]=B$2)*1,(TABELA_VAZAO[Data]=$A32)*1,TABELA_VAZAO[qinc])</f>
        <v>68</v>
      </c>
      <c r="C32" s="288">
        <f ca="1">SUMPRODUCT((TABELA_VAZAO[Posto]=C$2)*1,(TABELA_VAZAO[Data]=$A32)*1,TABELA_VAZAO[qnat])</f>
        <v>68</v>
      </c>
      <c r="D32" s="279" t="e">
        <f ca="1">INDEX(RESULTADOS!$A:$BA,MATCH($A32,RESULTADOS!$A:$A,0),MATCH(D$1,RESULTADOS!$1:$1,0))</f>
        <v>#N/A</v>
      </c>
      <c r="E32" s="250">
        <f ca="1">SUMPRODUCT((TABELA_VAZAO[Posto]=E$2)*1,(TABELA_VAZAO[Data]=$A32)*1,TABELA_VAZAO[qinc])</f>
        <v>12</v>
      </c>
      <c r="F32" s="288">
        <f ca="1">SUMPRODUCT((TABELA_VAZAO[Posto]=F$2)*1,(TABELA_VAZAO[Data]=$A32)*1,TABELA_VAZAO[qnat])</f>
        <v>78</v>
      </c>
      <c r="G32" s="250">
        <f ca="1">SUMPRODUCT((TABELA_VAZAO[Posto]=G$2)*1,(TABELA_VAZAO[Data]=$A32)*1,TABELA_VAZAO[qinc])</f>
        <v>111</v>
      </c>
      <c r="H32" s="288">
        <f ca="1">SUMPRODUCT((TABELA_VAZAO[Posto]=H$2)*1,(TABELA_VAZAO[Data]=$A32)*1,TABELA_VAZAO[qnat])</f>
        <v>190</v>
      </c>
      <c r="I32" s="9"/>
      <c r="J32" s="67" t="e">
        <f ca="1">INDEX(RESULTADOS!$A:$BA,MATCH($A32,RESULTADOS!$A:$A,0),MATCH(J$1,RESULTADOS!$1:$1,0))</f>
        <v>#N/A</v>
      </c>
      <c r="K32" s="250">
        <f ca="1">SUMPRODUCT((TABELA_VAZAO[Posto]=K$2)*1,(TABELA_VAZAO[Data]=$A32)*1,TABELA_VAZAO[qinc])</f>
        <v>44</v>
      </c>
      <c r="L32" s="288">
        <f ca="1">SUMPRODUCT((TABELA_VAZAO[Posto]=L$2)*1,(TABELA_VAZAO[Data]=$A32)*1,TABELA_VAZAO[qnat])</f>
        <v>44</v>
      </c>
      <c r="M32" s="250">
        <f ca="1">SUMPRODUCT((TABELA_VAZAO[Posto]=M$2)*1,(TABELA_VAZAO[Data]=$A32)*1,TABELA_VAZAO[qinc])</f>
        <v>28</v>
      </c>
      <c r="N32" s="288">
        <f ca="1">SUMPRODUCT((TABELA_VAZAO[Posto]=N$2)*1,(TABELA_VAZAO[Data]=$A32)*1,TABELA_VAZAO[qnat])</f>
        <v>72</v>
      </c>
      <c r="O32" s="250">
        <f ca="1">SUMPRODUCT((TABELA_VAZAO[Posto]=O$2)*1,(TABELA_VAZAO[Data]=$A32)*1,TABELA_VAZAO[qinc])</f>
        <v>153</v>
      </c>
      <c r="P32" s="288">
        <f ca="1">SUMPRODUCT((TABELA_VAZAO[Posto]=P$2)*1,(TABELA_VAZAO[Data]=$A32)*1,TABELA_VAZAO[qnat])</f>
        <v>226</v>
      </c>
      <c r="Q32" s="9"/>
      <c r="R32" s="250">
        <f ca="1">SUMPRODUCT((TABELA_VAZAO[Posto]=R$2)*1,(TABELA_VAZAO[Data]=$A32)*1,TABELA_VAZAO[qinc])</f>
        <v>198</v>
      </c>
      <c r="S32" s="288">
        <f ca="1">SUMPRODUCT((TABELA_VAZAO[Posto]=S$2)*1,(TABELA_VAZAO[Data]=$A32)*1,TABELA_VAZAO[qnat])</f>
        <v>198</v>
      </c>
      <c r="T32" s="67" t="e">
        <f ca="1">INDEX(RESULTADOS!$A:$BA,MATCH($A32,RESULTADOS!$A:$A,0),MATCH(T$1,RESULTADOS!$1:$1,0))</f>
        <v>#N/A</v>
      </c>
      <c r="U32" s="250">
        <f ca="1">SUMPRODUCT((TABELA_VAZAO[Posto]=U$2)*1,(TABELA_VAZAO[Data]=$A32)*1,TABELA_VAZAO[qinc])</f>
        <v>6</v>
      </c>
      <c r="V32" s="288">
        <f ca="1">SUMPRODUCT((TABELA_VAZAO[Posto]=V$2)*1,(TABELA_VAZAO[Data]=$A32)*1,TABELA_VAZAO[qnat])</f>
        <v>203</v>
      </c>
      <c r="W32" s="250">
        <f ca="1">SUMPRODUCT((TABELA_VAZAO[Posto]=W$2)*1,(TABELA_VAZAO[Data]=$A32)*1,TABELA_VAZAO[qinc])</f>
        <v>1</v>
      </c>
      <c r="X32" s="288">
        <f ca="1">SUMPRODUCT((TABELA_VAZAO[Posto]=X$2)*1,(TABELA_VAZAO[Data]=$A32)*1,TABELA_VAZAO[qnat])</f>
        <v>204</v>
      </c>
      <c r="Y32" s="250">
        <f ca="1">SUMPRODUCT((TABELA_VAZAO[Posto]=Y$2)*1,(TABELA_VAZAO[Data]=$A32)*1,TABELA_VAZAO[qinc])</f>
        <v>2</v>
      </c>
      <c r="Z32" s="288">
        <f ca="1">SUMPRODUCT((TABELA_VAZAO[Posto]=Z$2)*1,(TABELA_VAZAO[Data]=$A32)*1,TABELA_VAZAO[qnat])</f>
        <v>209</v>
      </c>
      <c r="AA32" s="9"/>
      <c r="AB32" s="250">
        <f ca="1">SUMPRODUCT((TABELA_VAZAO[Posto]=AB$2)*1,(TABELA_VAZAO[Data]=$A32)*1,TABELA_VAZAO[qinc])</f>
        <v>144</v>
      </c>
      <c r="AC32" s="288">
        <f ca="1">SUMPRODUCT((TABELA_VAZAO[Posto]=AC$2)*1,(TABELA_VAZAO[Data]=$A32)*1,TABELA_VAZAO[qnat])</f>
        <v>794</v>
      </c>
      <c r="AE32" s="208" t="e">
        <f ca="1">INDEX(RESULTADOS!$A:$BA,MATCH($A32,RESULTADOS!$A:$A,0),MATCH(AE$1,RESULTADOS!$1:$1,0))</f>
        <v>#N/A</v>
      </c>
      <c r="AF32" s="67" t="e">
        <f ca="1">INDEX(RESULTADOS!$A:$BA,MATCH($A32,RESULTADOS!$A:$A,0),MATCH(AF$1,RESULTADOS!$1:$1,0))</f>
        <v>#N/A</v>
      </c>
      <c r="AG32" s="250">
        <f ca="1">SUMPRODUCT((TABELA_VAZAO[Posto]=AG$2)*1,(TABELA_VAZAO[Data]=$A32)*1,TABELA_VAZAO[qinc])</f>
        <v>43</v>
      </c>
      <c r="AH32" s="250">
        <f ca="1">SUMPRODUCT((TABELA_VAZAO[Posto]=AH$2)*1,(TABELA_VAZAO[Data]=$A32)*1,TABELA_VAZAO[qinc])</f>
        <v>553</v>
      </c>
      <c r="AI32" s="288">
        <f ca="1">SUMPRODUCT((TABELA_VAZAO[Posto]=AI$2)*1,(TABELA_VAZAO[Data]=$A32)*1,TABELA_VAZAO[qnat])</f>
        <v>855</v>
      </c>
      <c r="AJ32" s="288">
        <f ca="1">SUMPRODUCT((TABELA_VAZAO[Posto]=AJ$2)*1,(TABELA_VAZAO[Data]=$A32)*1,TABELA_VAZAO[qnat])</f>
        <v>1444</v>
      </c>
    </row>
    <row r="33" spans="1:36" x14ac:dyDescent="0.2">
      <c r="A33" s="7">
        <f t="shared" ca="1" si="1"/>
        <v>43832</v>
      </c>
      <c r="B33" s="250">
        <f ca="1">SUMPRODUCT((TABELA_VAZAO[Posto]=B$2)*1,(TABELA_VAZAO[Data]=$A33)*1,TABELA_VAZAO[qinc])</f>
        <v>91</v>
      </c>
      <c r="C33" s="288">
        <f ca="1">SUMPRODUCT((TABELA_VAZAO[Posto]=C$2)*1,(TABELA_VAZAO[Data]=$A33)*1,TABELA_VAZAO[qnat])</f>
        <v>91</v>
      </c>
      <c r="D33" s="279" t="e">
        <f ca="1">INDEX(RESULTADOS!$A:$BA,MATCH($A33,RESULTADOS!$A:$A,0),MATCH(D$1,RESULTADOS!$1:$1,0))</f>
        <v>#N/A</v>
      </c>
      <c r="E33" s="250">
        <f ca="1">SUMPRODUCT((TABELA_VAZAO[Posto]=E$2)*1,(TABELA_VAZAO[Data]=$A33)*1,TABELA_VAZAO[qinc])</f>
        <v>14</v>
      </c>
      <c r="F33" s="288">
        <f ca="1">SUMPRODUCT((TABELA_VAZAO[Posto]=F$2)*1,(TABELA_VAZAO[Data]=$A33)*1,TABELA_VAZAO[qnat])</f>
        <v>93</v>
      </c>
      <c r="G33" s="250">
        <f ca="1">SUMPRODUCT((TABELA_VAZAO[Posto]=G$2)*1,(TABELA_VAZAO[Data]=$A33)*1,TABELA_VAZAO[qinc])</f>
        <v>123</v>
      </c>
      <c r="H33" s="288">
        <f ca="1">SUMPRODUCT((TABELA_VAZAO[Posto]=H$2)*1,(TABELA_VAZAO[Data]=$A33)*1,TABELA_VAZAO[qnat])</f>
        <v>201</v>
      </c>
      <c r="I33" s="9"/>
      <c r="J33" s="67" t="e">
        <f ca="1">INDEX(RESULTADOS!$A:$BA,MATCH($A33,RESULTADOS!$A:$A,0),MATCH(J$1,RESULTADOS!$1:$1,0))</f>
        <v>#N/A</v>
      </c>
      <c r="K33" s="250">
        <f ca="1">SUMPRODUCT((TABELA_VAZAO[Posto]=K$2)*1,(TABELA_VAZAO[Data]=$A33)*1,TABELA_VAZAO[qinc])</f>
        <v>48</v>
      </c>
      <c r="L33" s="288">
        <f ca="1">SUMPRODUCT((TABELA_VAZAO[Posto]=L$2)*1,(TABELA_VAZAO[Data]=$A33)*1,TABELA_VAZAO[qnat])</f>
        <v>48</v>
      </c>
      <c r="M33" s="250">
        <f ca="1">SUMPRODUCT((TABELA_VAZAO[Posto]=M$2)*1,(TABELA_VAZAO[Data]=$A33)*1,TABELA_VAZAO[qinc])</f>
        <v>30</v>
      </c>
      <c r="N33" s="288">
        <f ca="1">SUMPRODUCT((TABELA_VAZAO[Posto]=N$2)*1,(TABELA_VAZAO[Data]=$A33)*1,TABELA_VAZAO[qnat])</f>
        <v>76</v>
      </c>
      <c r="O33" s="250">
        <f ca="1">SUMPRODUCT((TABELA_VAZAO[Posto]=O$2)*1,(TABELA_VAZAO[Data]=$A33)*1,TABELA_VAZAO[qinc])</f>
        <v>152</v>
      </c>
      <c r="P33" s="288">
        <f ca="1">SUMPRODUCT((TABELA_VAZAO[Posto]=P$2)*1,(TABELA_VAZAO[Data]=$A33)*1,TABELA_VAZAO[qnat])</f>
        <v>225</v>
      </c>
      <c r="Q33" s="9"/>
      <c r="R33" s="250">
        <f ca="1">SUMPRODUCT((TABELA_VAZAO[Posto]=R$2)*1,(TABELA_VAZAO[Data]=$A33)*1,TABELA_VAZAO[qinc])</f>
        <v>202</v>
      </c>
      <c r="S33" s="288">
        <f ca="1">SUMPRODUCT((TABELA_VAZAO[Posto]=S$2)*1,(TABELA_VAZAO[Data]=$A33)*1,TABELA_VAZAO[qnat])</f>
        <v>202</v>
      </c>
      <c r="T33" s="67" t="e">
        <f ca="1">INDEX(RESULTADOS!$A:$BA,MATCH($A33,RESULTADOS!$A:$A,0),MATCH(T$1,RESULTADOS!$1:$1,0))</f>
        <v>#N/A</v>
      </c>
      <c r="U33" s="250">
        <f ca="1">SUMPRODUCT((TABELA_VAZAO[Posto]=U$2)*1,(TABELA_VAZAO[Data]=$A33)*1,TABELA_VAZAO[qinc])</f>
        <v>7</v>
      </c>
      <c r="V33" s="288">
        <f ca="1">SUMPRODUCT((TABELA_VAZAO[Posto]=V$2)*1,(TABELA_VAZAO[Data]=$A33)*1,TABELA_VAZAO[qnat])</f>
        <v>207</v>
      </c>
      <c r="W33" s="250">
        <f ca="1">SUMPRODUCT((TABELA_VAZAO[Posto]=W$2)*1,(TABELA_VAZAO[Data]=$A33)*1,TABELA_VAZAO[qinc])</f>
        <v>1</v>
      </c>
      <c r="X33" s="288">
        <f ca="1">SUMPRODUCT((TABELA_VAZAO[Posto]=X$2)*1,(TABELA_VAZAO[Data]=$A33)*1,TABELA_VAZAO[qnat])</f>
        <v>207</v>
      </c>
      <c r="Y33" s="250">
        <f ca="1">SUMPRODUCT((TABELA_VAZAO[Posto]=Y$2)*1,(TABELA_VAZAO[Data]=$A33)*1,TABELA_VAZAO[qinc])</f>
        <v>2</v>
      </c>
      <c r="Z33" s="288">
        <f ca="1">SUMPRODUCT((TABELA_VAZAO[Posto]=Z$2)*1,(TABELA_VAZAO[Data]=$A33)*1,TABELA_VAZAO[qnat])</f>
        <v>208</v>
      </c>
      <c r="AA33" s="9"/>
      <c r="AB33" s="250">
        <f ca="1">SUMPRODUCT((TABELA_VAZAO[Posto]=AB$2)*1,(TABELA_VAZAO[Data]=$A33)*1,TABELA_VAZAO[qinc])</f>
        <v>160</v>
      </c>
      <c r="AC33" s="288">
        <f ca="1">SUMPRODUCT((TABELA_VAZAO[Posto]=AC$2)*1,(TABELA_VAZAO[Data]=$A33)*1,TABELA_VAZAO[qnat])</f>
        <v>787</v>
      </c>
      <c r="AE33" s="208" t="e">
        <f ca="1">INDEX(RESULTADOS!$A:$BA,MATCH($A33,RESULTADOS!$A:$A,0),MATCH(AE$1,RESULTADOS!$1:$1,0))</f>
        <v>#N/A</v>
      </c>
      <c r="AF33" s="67" t="e">
        <f ca="1">INDEX(RESULTADOS!$A:$BA,MATCH($A33,RESULTADOS!$A:$A,0),MATCH(AF$1,RESULTADOS!$1:$1,0))</f>
        <v>#N/A</v>
      </c>
      <c r="AG33" s="250">
        <f ca="1">SUMPRODUCT((TABELA_VAZAO[Posto]=AG$2)*1,(TABELA_VAZAO[Data]=$A33)*1,TABELA_VAZAO[qinc])</f>
        <v>41</v>
      </c>
      <c r="AH33" s="250">
        <f ca="1">SUMPRODUCT((TABELA_VAZAO[Posto]=AH$2)*1,(TABELA_VAZAO[Data]=$A33)*1,TABELA_VAZAO[qinc])</f>
        <v>542</v>
      </c>
      <c r="AI33" s="288">
        <f ca="1">SUMPRODUCT((TABELA_VAZAO[Posto]=AI$2)*1,(TABELA_VAZAO[Data]=$A33)*1,TABELA_VAZAO[qnat])</f>
        <v>831</v>
      </c>
      <c r="AJ33" s="288">
        <f ca="1">SUMPRODUCT((TABELA_VAZAO[Posto]=AJ$2)*1,(TABELA_VAZAO[Data]=$A33)*1,TABELA_VAZAO[qnat])</f>
        <v>1388</v>
      </c>
    </row>
    <row r="34" spans="1:36" x14ac:dyDescent="0.2">
      <c r="A34" s="7">
        <f t="shared" ca="1" si="1"/>
        <v>43833</v>
      </c>
      <c r="B34" s="250">
        <f ca="1">SUMPRODUCT((TABELA_VAZAO[Posto]=B$2)*1,(TABELA_VAZAO[Data]=$A34)*1,TABELA_VAZAO[qinc])</f>
        <v>112</v>
      </c>
      <c r="C34" s="288">
        <f ca="1">SUMPRODUCT((TABELA_VAZAO[Posto]=C$2)*1,(TABELA_VAZAO[Data]=$A34)*1,TABELA_VAZAO[qnat])</f>
        <v>112</v>
      </c>
      <c r="D34" s="279" t="e">
        <f ca="1">INDEX(RESULTADOS!$A:$BA,MATCH($A34,RESULTADOS!$A:$A,0),MATCH(D$1,RESULTADOS!$1:$1,0))</f>
        <v>#N/A</v>
      </c>
      <c r="E34" s="250">
        <f ca="1">SUMPRODUCT((TABELA_VAZAO[Posto]=E$2)*1,(TABELA_VAZAO[Data]=$A34)*1,TABELA_VAZAO[qinc])</f>
        <v>14</v>
      </c>
      <c r="F34" s="288">
        <f ca="1">SUMPRODUCT((TABELA_VAZAO[Posto]=F$2)*1,(TABELA_VAZAO[Data]=$A34)*1,TABELA_VAZAO[qnat])</f>
        <v>116</v>
      </c>
      <c r="G34" s="250">
        <f ca="1">SUMPRODUCT((TABELA_VAZAO[Posto]=G$2)*1,(TABELA_VAZAO[Data]=$A34)*1,TABELA_VAZAO[qinc])</f>
        <v>130</v>
      </c>
      <c r="H34" s="288">
        <f ca="1">SUMPRODUCT((TABELA_VAZAO[Posto]=H$2)*1,(TABELA_VAZAO[Data]=$A34)*1,TABELA_VAZAO[qnat])</f>
        <v>223</v>
      </c>
      <c r="I34" s="9"/>
      <c r="J34" s="67" t="e">
        <f ca="1">INDEX(RESULTADOS!$A:$BA,MATCH($A34,RESULTADOS!$A:$A,0),MATCH(J$1,RESULTADOS!$1:$1,0))</f>
        <v>#N/A</v>
      </c>
      <c r="K34" s="250">
        <f ca="1">SUMPRODUCT((TABELA_VAZAO[Posto]=K$2)*1,(TABELA_VAZAO[Data]=$A34)*1,TABELA_VAZAO[qinc])</f>
        <v>56</v>
      </c>
      <c r="L34" s="288">
        <f ca="1">SUMPRODUCT((TABELA_VAZAO[Posto]=L$2)*1,(TABELA_VAZAO[Data]=$A34)*1,TABELA_VAZAO[qnat])</f>
        <v>56</v>
      </c>
      <c r="M34" s="250">
        <f ca="1">SUMPRODUCT((TABELA_VAZAO[Posto]=M$2)*1,(TABELA_VAZAO[Data]=$A34)*1,TABELA_VAZAO[qinc])</f>
        <v>35</v>
      </c>
      <c r="N34" s="288">
        <f ca="1">SUMPRODUCT((TABELA_VAZAO[Posto]=N$2)*1,(TABELA_VAZAO[Data]=$A34)*1,TABELA_VAZAO[qnat])</f>
        <v>87</v>
      </c>
      <c r="O34" s="250">
        <f ca="1">SUMPRODUCT((TABELA_VAZAO[Posto]=O$2)*1,(TABELA_VAZAO[Data]=$A34)*1,TABELA_VAZAO[qinc])</f>
        <v>159</v>
      </c>
      <c r="P34" s="288">
        <f ca="1">SUMPRODUCT((TABELA_VAZAO[Posto]=P$2)*1,(TABELA_VAZAO[Data]=$A34)*1,TABELA_VAZAO[qnat])</f>
        <v>239</v>
      </c>
      <c r="Q34" s="9"/>
      <c r="R34" s="250">
        <f ca="1">SUMPRODUCT((TABELA_VAZAO[Posto]=R$2)*1,(TABELA_VAZAO[Data]=$A34)*1,TABELA_VAZAO[qinc])</f>
        <v>217</v>
      </c>
      <c r="S34" s="288">
        <f ca="1">SUMPRODUCT((TABELA_VAZAO[Posto]=S$2)*1,(TABELA_VAZAO[Data]=$A34)*1,TABELA_VAZAO[qnat])</f>
        <v>217</v>
      </c>
      <c r="T34" s="67" t="e">
        <f ca="1">INDEX(RESULTADOS!$A:$BA,MATCH($A34,RESULTADOS!$A:$A,0),MATCH(T$1,RESULTADOS!$1:$1,0))</f>
        <v>#N/A</v>
      </c>
      <c r="U34" s="250">
        <f ca="1">SUMPRODUCT((TABELA_VAZAO[Posto]=U$2)*1,(TABELA_VAZAO[Data]=$A34)*1,TABELA_VAZAO[qinc])</f>
        <v>9</v>
      </c>
      <c r="V34" s="288">
        <f ca="1">SUMPRODUCT((TABELA_VAZAO[Posto]=V$2)*1,(TABELA_VAZAO[Data]=$A34)*1,TABELA_VAZAO[qnat])</f>
        <v>219</v>
      </c>
      <c r="W34" s="250">
        <f ca="1">SUMPRODUCT((TABELA_VAZAO[Posto]=W$2)*1,(TABELA_VAZAO[Data]=$A34)*1,TABELA_VAZAO[qinc])</f>
        <v>1</v>
      </c>
      <c r="X34" s="288">
        <f ca="1">SUMPRODUCT((TABELA_VAZAO[Posto]=X$2)*1,(TABELA_VAZAO[Data]=$A34)*1,TABELA_VAZAO[qnat])</f>
        <v>217</v>
      </c>
      <c r="Y34" s="250">
        <f ca="1">SUMPRODUCT((TABELA_VAZAO[Posto]=Y$2)*1,(TABELA_VAZAO[Data]=$A34)*1,TABELA_VAZAO[qinc])</f>
        <v>3</v>
      </c>
      <c r="Z34" s="288">
        <f ca="1">SUMPRODUCT((TABELA_VAZAO[Posto]=Z$2)*1,(TABELA_VAZAO[Data]=$A34)*1,TABELA_VAZAO[qnat])</f>
        <v>215</v>
      </c>
      <c r="AA34" s="9"/>
      <c r="AB34" s="250">
        <f ca="1">SUMPRODUCT((TABELA_VAZAO[Posto]=AB$2)*1,(TABELA_VAZAO[Data]=$A34)*1,TABELA_VAZAO[qinc])</f>
        <v>209</v>
      </c>
      <c r="AC34" s="288">
        <f ca="1">SUMPRODUCT((TABELA_VAZAO[Posto]=AC$2)*1,(TABELA_VAZAO[Data]=$A34)*1,TABELA_VAZAO[qnat])</f>
        <v>855</v>
      </c>
      <c r="AE34" s="208" t="e">
        <f ca="1">INDEX(RESULTADOS!$A:$BA,MATCH($A34,RESULTADOS!$A:$A,0),MATCH(AE$1,RESULTADOS!$1:$1,0))</f>
        <v>#N/A</v>
      </c>
      <c r="AF34" s="67" t="e">
        <f ca="1">INDEX(RESULTADOS!$A:$BA,MATCH($A34,RESULTADOS!$A:$A,0),MATCH(AF$1,RESULTADOS!$1:$1,0))</f>
        <v>#N/A</v>
      </c>
      <c r="AG34" s="250">
        <f ca="1">SUMPRODUCT((TABELA_VAZAO[Posto]=AG$2)*1,(TABELA_VAZAO[Data]=$A34)*1,TABELA_VAZAO[qinc])</f>
        <v>57</v>
      </c>
      <c r="AH34" s="250">
        <f ca="1">SUMPRODUCT((TABELA_VAZAO[Posto]=AH$2)*1,(TABELA_VAZAO[Data]=$A34)*1,TABELA_VAZAO[qinc])</f>
        <v>692</v>
      </c>
      <c r="AI34" s="288">
        <f ca="1">SUMPRODUCT((TABELA_VAZAO[Posto]=AI$2)*1,(TABELA_VAZAO[Data]=$A34)*1,TABELA_VAZAO[qnat])</f>
        <v>890</v>
      </c>
      <c r="AJ34" s="288">
        <f ca="1">SUMPRODUCT((TABELA_VAZAO[Posto]=AJ$2)*1,(TABELA_VAZAO[Data]=$A34)*1,TABELA_VAZAO[qnat])</f>
        <v>1545</v>
      </c>
    </row>
    <row r="35" spans="1:36" x14ac:dyDescent="0.2">
      <c r="A35" s="7">
        <f t="shared" ca="1" si="1"/>
        <v>43834</v>
      </c>
      <c r="B35" s="250">
        <f ca="1">SUMPRODUCT((TABELA_VAZAO[Posto]=B$2)*1,(TABELA_VAZAO[Data]=$A35)*1,TABELA_VAZAO[qinc])</f>
        <v>148</v>
      </c>
      <c r="C35" s="288">
        <f ca="1">SUMPRODUCT((TABELA_VAZAO[Posto]=C$2)*1,(TABELA_VAZAO[Data]=$A35)*1,TABELA_VAZAO[qnat])</f>
        <v>148</v>
      </c>
      <c r="D35" s="279" t="e">
        <f ca="1">INDEX(RESULTADOS!$A:$BA,MATCH($A35,RESULTADOS!$A:$A,0),MATCH(D$1,RESULTADOS!$1:$1,0))</f>
        <v>#N/A</v>
      </c>
      <c r="E35" s="250">
        <f ca="1">SUMPRODUCT((TABELA_VAZAO[Posto]=E$2)*1,(TABELA_VAZAO[Data]=$A35)*1,TABELA_VAZAO[qinc])</f>
        <v>16</v>
      </c>
      <c r="F35" s="288">
        <f ca="1">SUMPRODUCT((TABELA_VAZAO[Posto]=F$2)*1,(TABELA_VAZAO[Data]=$A35)*1,TABELA_VAZAO[qnat])</f>
        <v>146</v>
      </c>
      <c r="G35" s="250">
        <f ca="1">SUMPRODUCT((TABELA_VAZAO[Posto]=G$2)*1,(TABELA_VAZAO[Data]=$A35)*1,TABELA_VAZAO[qinc])</f>
        <v>146</v>
      </c>
      <c r="H35" s="288">
        <f ca="1">SUMPRODUCT((TABELA_VAZAO[Posto]=H$2)*1,(TABELA_VAZAO[Data]=$A35)*1,TABELA_VAZAO[qnat])</f>
        <v>262</v>
      </c>
      <c r="I35" s="9"/>
      <c r="J35" s="67" t="e">
        <f ca="1">INDEX(RESULTADOS!$A:$BA,MATCH($A35,RESULTADOS!$A:$A,0),MATCH(J$1,RESULTADOS!$1:$1,0))</f>
        <v>#N/A</v>
      </c>
      <c r="K35" s="250">
        <f ca="1">SUMPRODUCT((TABELA_VAZAO[Posto]=K$2)*1,(TABELA_VAZAO[Data]=$A35)*1,TABELA_VAZAO[qinc])</f>
        <v>84</v>
      </c>
      <c r="L35" s="288">
        <f ca="1">SUMPRODUCT((TABELA_VAZAO[Posto]=L$2)*1,(TABELA_VAZAO[Data]=$A35)*1,TABELA_VAZAO[qnat])</f>
        <v>84</v>
      </c>
      <c r="M35" s="250">
        <f ca="1">SUMPRODUCT((TABELA_VAZAO[Posto]=M$2)*1,(TABELA_VAZAO[Data]=$A35)*1,TABELA_VAZAO[qinc])</f>
        <v>53</v>
      </c>
      <c r="N35" s="288">
        <f ca="1">SUMPRODUCT((TABELA_VAZAO[Posto]=N$2)*1,(TABELA_VAZAO[Data]=$A35)*1,TABELA_VAZAO[qnat])</f>
        <v>123</v>
      </c>
      <c r="O35" s="250">
        <f ca="1">SUMPRODUCT((TABELA_VAZAO[Posto]=O$2)*1,(TABELA_VAZAO[Data]=$A35)*1,TABELA_VAZAO[qinc])</f>
        <v>175</v>
      </c>
      <c r="P35" s="288">
        <f ca="1">SUMPRODUCT((TABELA_VAZAO[Posto]=P$2)*1,(TABELA_VAZAO[Data]=$A35)*1,TABELA_VAZAO[qnat])</f>
        <v>272</v>
      </c>
      <c r="Q35" s="9"/>
      <c r="R35" s="250">
        <f ca="1">SUMPRODUCT((TABELA_VAZAO[Posto]=R$2)*1,(TABELA_VAZAO[Data]=$A35)*1,TABELA_VAZAO[qinc])</f>
        <v>241</v>
      </c>
      <c r="S35" s="288">
        <f ca="1">SUMPRODUCT((TABELA_VAZAO[Posto]=S$2)*1,(TABELA_VAZAO[Data]=$A35)*1,TABELA_VAZAO[qnat])</f>
        <v>241</v>
      </c>
      <c r="T35" s="67" t="e">
        <f ca="1">INDEX(RESULTADOS!$A:$BA,MATCH($A35,RESULTADOS!$A:$A,0),MATCH(T$1,RESULTADOS!$1:$1,0))</f>
        <v>#N/A</v>
      </c>
      <c r="U35" s="250">
        <f ca="1">SUMPRODUCT((TABELA_VAZAO[Posto]=U$2)*1,(TABELA_VAZAO[Data]=$A35)*1,TABELA_VAZAO[qinc])</f>
        <v>12</v>
      </c>
      <c r="V35" s="288">
        <f ca="1">SUMPRODUCT((TABELA_VAZAO[Posto]=V$2)*1,(TABELA_VAZAO[Data]=$A35)*1,TABELA_VAZAO[qnat])</f>
        <v>242</v>
      </c>
      <c r="W35" s="250">
        <f ca="1">SUMPRODUCT((TABELA_VAZAO[Posto]=W$2)*1,(TABELA_VAZAO[Data]=$A35)*1,TABELA_VAZAO[qinc])</f>
        <v>2</v>
      </c>
      <c r="X35" s="288">
        <f ca="1">SUMPRODUCT((TABELA_VAZAO[Posto]=X$2)*1,(TABELA_VAZAO[Data]=$A35)*1,TABELA_VAZAO[qnat])</f>
        <v>239</v>
      </c>
      <c r="Y35" s="250">
        <f ca="1">SUMPRODUCT((TABELA_VAZAO[Posto]=Y$2)*1,(TABELA_VAZAO[Data]=$A35)*1,TABELA_VAZAO[qinc])</f>
        <v>4</v>
      </c>
      <c r="Z35" s="288">
        <f ca="1">SUMPRODUCT((TABELA_VAZAO[Posto]=Z$2)*1,(TABELA_VAZAO[Data]=$A35)*1,TABELA_VAZAO[qnat])</f>
        <v>232</v>
      </c>
      <c r="AA35" s="9"/>
      <c r="AB35" s="250">
        <f ca="1">SUMPRODUCT((TABELA_VAZAO[Posto]=AB$2)*1,(TABELA_VAZAO[Data]=$A35)*1,TABELA_VAZAO[qinc])</f>
        <v>290</v>
      </c>
      <c r="AC35" s="288">
        <f ca="1">SUMPRODUCT((TABELA_VAZAO[Posto]=AC$2)*1,(TABELA_VAZAO[Data]=$A35)*1,TABELA_VAZAO[qnat])</f>
        <v>993</v>
      </c>
      <c r="AE35" s="208" t="e">
        <f ca="1">INDEX(RESULTADOS!$A:$BA,MATCH($A35,RESULTADOS!$A:$A,0),MATCH(AE$1,RESULTADOS!$1:$1,0))</f>
        <v>#N/A</v>
      </c>
      <c r="AF35" s="67" t="e">
        <f ca="1">INDEX(RESULTADOS!$A:$BA,MATCH($A35,RESULTADOS!$A:$A,0),MATCH(AF$1,RESULTADOS!$1:$1,0))</f>
        <v>#N/A</v>
      </c>
      <c r="AG35" s="250">
        <f ca="1">SUMPRODUCT((TABELA_VAZAO[Posto]=AG$2)*1,(TABELA_VAZAO[Data]=$A35)*1,TABELA_VAZAO[qinc])</f>
        <v>68</v>
      </c>
      <c r="AH35" s="250">
        <f ca="1">SUMPRODUCT((TABELA_VAZAO[Posto]=AH$2)*1,(TABELA_VAZAO[Data]=$A35)*1,TABELA_VAZAO[qinc])</f>
        <v>821</v>
      </c>
      <c r="AI35" s="288">
        <f ca="1">SUMPRODUCT((TABELA_VAZAO[Posto]=AI$2)*1,(TABELA_VAZAO[Data]=$A35)*1,TABELA_VAZAO[qnat])</f>
        <v>1016</v>
      </c>
      <c r="AJ35" s="288">
        <f ca="1">SUMPRODUCT((TABELA_VAZAO[Posto]=AJ$2)*1,(TABELA_VAZAO[Data]=$A35)*1,TABELA_VAZAO[qnat])</f>
        <v>1758</v>
      </c>
    </row>
    <row r="36" spans="1:36" x14ac:dyDescent="0.2">
      <c r="A36" s="7">
        <f t="shared" ca="1" si="1"/>
        <v>43835</v>
      </c>
      <c r="B36" s="250">
        <f ca="1">SUMPRODUCT((TABELA_VAZAO[Posto]=B$2)*1,(TABELA_VAZAO[Data]=$A36)*1,TABELA_VAZAO[qinc])</f>
        <v>179</v>
      </c>
      <c r="C36" s="288">
        <f ca="1">SUMPRODUCT((TABELA_VAZAO[Posto]=C$2)*1,(TABELA_VAZAO[Data]=$A36)*1,TABELA_VAZAO[qnat])</f>
        <v>179</v>
      </c>
      <c r="D36" s="279" t="e">
        <f ca="1">INDEX(RESULTADOS!$A:$BA,MATCH($A36,RESULTADOS!$A:$A,0),MATCH(D$1,RESULTADOS!$1:$1,0))</f>
        <v>#N/A</v>
      </c>
      <c r="E36" s="250">
        <f ca="1">SUMPRODUCT((TABELA_VAZAO[Posto]=E$2)*1,(TABELA_VAZAO[Data]=$A36)*1,TABELA_VAZAO[qinc])</f>
        <v>22</v>
      </c>
      <c r="F36" s="288">
        <f ca="1">SUMPRODUCT((TABELA_VAZAO[Posto]=F$2)*1,(TABELA_VAZAO[Data]=$A36)*1,TABELA_VAZAO[qnat])</f>
        <v>186</v>
      </c>
      <c r="G36" s="250">
        <f ca="1">SUMPRODUCT((TABELA_VAZAO[Posto]=G$2)*1,(TABELA_VAZAO[Data]=$A36)*1,TABELA_VAZAO[qinc])</f>
        <v>202</v>
      </c>
      <c r="H36" s="288">
        <f ca="1">SUMPRODUCT((TABELA_VAZAO[Posto]=H$2)*1,(TABELA_VAZAO[Data]=$A36)*1,TABELA_VAZAO[qnat])</f>
        <v>348</v>
      </c>
      <c r="I36" s="9"/>
      <c r="J36" s="67" t="e">
        <f ca="1">INDEX(RESULTADOS!$A:$BA,MATCH($A36,RESULTADOS!$A:$A,0),MATCH(J$1,RESULTADOS!$1:$1,0))</f>
        <v>#N/A</v>
      </c>
      <c r="K36" s="250">
        <f ca="1">SUMPRODUCT((TABELA_VAZAO[Posto]=K$2)*1,(TABELA_VAZAO[Data]=$A36)*1,TABELA_VAZAO[qinc])</f>
        <v>106</v>
      </c>
      <c r="L36" s="288">
        <f ca="1">SUMPRODUCT((TABELA_VAZAO[Posto]=L$2)*1,(TABELA_VAZAO[Data]=$A36)*1,TABELA_VAZAO[qnat])</f>
        <v>106</v>
      </c>
      <c r="M36" s="250">
        <f ca="1">SUMPRODUCT((TABELA_VAZAO[Posto]=M$2)*1,(TABELA_VAZAO[Data]=$A36)*1,TABELA_VAZAO[qinc])</f>
        <v>66</v>
      </c>
      <c r="N36" s="288">
        <f ca="1">SUMPRODUCT((TABELA_VAZAO[Posto]=N$2)*1,(TABELA_VAZAO[Data]=$A36)*1,TABELA_VAZAO[qnat])</f>
        <v>161</v>
      </c>
      <c r="O36" s="250">
        <f ca="1">SUMPRODUCT((TABELA_VAZAO[Posto]=O$2)*1,(TABELA_VAZAO[Data]=$A36)*1,TABELA_VAZAO[qinc])</f>
        <v>194</v>
      </c>
      <c r="P36" s="288">
        <f ca="1">SUMPRODUCT((TABELA_VAZAO[Posto]=P$2)*1,(TABELA_VAZAO[Data]=$A36)*1,TABELA_VAZAO[qnat])</f>
        <v>328</v>
      </c>
      <c r="Q36" s="9"/>
      <c r="R36" s="250">
        <f ca="1">SUMPRODUCT((TABELA_VAZAO[Posto]=R$2)*1,(TABELA_VAZAO[Data]=$A36)*1,TABELA_VAZAO[qinc])</f>
        <v>252</v>
      </c>
      <c r="S36" s="288">
        <f ca="1">SUMPRODUCT((TABELA_VAZAO[Posto]=S$2)*1,(TABELA_VAZAO[Data]=$A36)*1,TABELA_VAZAO[qnat])</f>
        <v>252</v>
      </c>
      <c r="T36" s="67" t="e">
        <f ca="1">INDEX(RESULTADOS!$A:$BA,MATCH($A36,RESULTADOS!$A:$A,0),MATCH(T$1,RESULTADOS!$1:$1,0))</f>
        <v>#N/A</v>
      </c>
      <c r="U36" s="250">
        <f ca="1">SUMPRODUCT((TABELA_VAZAO[Posto]=U$2)*1,(TABELA_VAZAO[Data]=$A36)*1,TABELA_VAZAO[qinc])</f>
        <v>15</v>
      </c>
      <c r="V36" s="288">
        <f ca="1">SUMPRODUCT((TABELA_VAZAO[Posto]=V$2)*1,(TABELA_VAZAO[Data]=$A36)*1,TABELA_VAZAO[qnat])</f>
        <v>262</v>
      </c>
      <c r="W36" s="250">
        <f ca="1">SUMPRODUCT((TABELA_VAZAO[Posto]=W$2)*1,(TABELA_VAZAO[Data]=$A36)*1,TABELA_VAZAO[qinc])</f>
        <v>2</v>
      </c>
      <c r="X36" s="288">
        <f ca="1">SUMPRODUCT((TABELA_VAZAO[Posto]=X$2)*1,(TABELA_VAZAO[Data]=$A36)*1,TABELA_VAZAO[qnat])</f>
        <v>260</v>
      </c>
      <c r="Y36" s="250">
        <f ca="1">SUMPRODUCT((TABELA_VAZAO[Posto]=Y$2)*1,(TABELA_VAZAO[Data]=$A36)*1,TABELA_VAZAO[qinc])</f>
        <v>5</v>
      </c>
      <c r="Z36" s="288">
        <f ca="1">SUMPRODUCT((TABELA_VAZAO[Posto]=Z$2)*1,(TABELA_VAZAO[Data]=$A36)*1,TABELA_VAZAO[qnat])</f>
        <v>254</v>
      </c>
      <c r="AA36" s="9"/>
      <c r="AB36" s="250">
        <f ca="1">SUMPRODUCT((TABELA_VAZAO[Posto]=AB$2)*1,(TABELA_VAZAO[Data]=$A36)*1,TABELA_VAZAO[qinc])</f>
        <v>359</v>
      </c>
      <c r="AC36" s="288">
        <f ca="1">SUMPRODUCT((TABELA_VAZAO[Posto]=AC$2)*1,(TABELA_VAZAO[Data]=$A36)*1,TABELA_VAZAO[qnat])</f>
        <v>1172</v>
      </c>
      <c r="AE36" s="208" t="e">
        <f ca="1">INDEX(RESULTADOS!$A:$BA,MATCH($A36,RESULTADOS!$A:$A,0),MATCH(AE$1,RESULTADOS!$1:$1,0))</f>
        <v>#N/A</v>
      </c>
      <c r="AF36" s="67" t="e">
        <f ca="1">INDEX(RESULTADOS!$A:$BA,MATCH($A36,RESULTADOS!$A:$A,0),MATCH(AF$1,RESULTADOS!$1:$1,0))</f>
        <v>#N/A</v>
      </c>
      <c r="AG36" s="250">
        <f ca="1">SUMPRODUCT((TABELA_VAZAO[Posto]=AG$2)*1,(TABELA_VAZAO[Data]=$A36)*1,TABELA_VAZAO[qinc])</f>
        <v>73</v>
      </c>
      <c r="AH36" s="250">
        <f ca="1">SUMPRODUCT((TABELA_VAZAO[Posto]=AH$2)*1,(TABELA_VAZAO[Data]=$A36)*1,TABELA_VAZAO[qinc])</f>
        <v>888</v>
      </c>
      <c r="AI36" s="288">
        <f ca="1">SUMPRODUCT((TABELA_VAZAO[Posto]=AI$2)*1,(TABELA_VAZAO[Data]=$A36)*1,TABELA_VAZAO[qnat])</f>
        <v>1186</v>
      </c>
      <c r="AJ36" s="288">
        <f ca="1">SUMPRODUCT((TABELA_VAZAO[Posto]=AJ$2)*1,(TABELA_VAZAO[Data]=$A36)*1,TABELA_VAZAO[qnat])</f>
        <v>1968</v>
      </c>
    </row>
    <row r="37" spans="1:36" ht="13.5" thickBot="1" x14ac:dyDescent="0.25">
      <c r="A37" s="7">
        <f ca="1">A38-1</f>
        <v>43836</v>
      </c>
      <c r="B37" s="250">
        <f ca="1">SUMPRODUCT((TABELA_VAZAO[Posto]=B$2)*1,(TABELA_VAZAO[Data]=$A37)*1,TABELA_VAZAO[qinc])</f>
        <v>442</v>
      </c>
      <c r="C37" s="288">
        <f ca="1">SUMPRODUCT((TABELA_VAZAO[Posto]=C$2)*1,(TABELA_VAZAO[Data]=$A37)*1,TABELA_VAZAO[qnat])</f>
        <v>442</v>
      </c>
      <c r="D37" s="279" t="e">
        <f ca="1">INDEX(RESULTADOS!$A:$BA,MATCH($A37,RESULTADOS!$A:$A,0),MATCH(D$1,RESULTADOS!$1:$1,0))</f>
        <v>#N/A</v>
      </c>
      <c r="E37" s="250">
        <f ca="1">SUMPRODUCT((TABELA_VAZAO[Posto]=E$2)*1,(TABELA_VAZAO[Data]=$A37)*1,TABELA_VAZAO[qinc])</f>
        <v>33</v>
      </c>
      <c r="F37" s="288">
        <f ca="1">SUMPRODUCT((TABELA_VAZAO[Posto]=F$2)*1,(TABELA_VAZAO[Data]=$A37)*1,TABELA_VAZAO[qnat])</f>
        <v>344</v>
      </c>
      <c r="G37" s="250">
        <f ca="1">SUMPRODUCT((TABELA_VAZAO[Posto]=G$2)*1,(TABELA_VAZAO[Data]=$A37)*1,TABELA_VAZAO[qinc])</f>
        <v>301</v>
      </c>
      <c r="H37" s="288">
        <f ca="1">SUMPRODUCT((TABELA_VAZAO[Posto]=H$2)*1,(TABELA_VAZAO[Data]=$A37)*1,TABELA_VAZAO[qnat])</f>
        <v>486</v>
      </c>
      <c r="I37" s="9"/>
      <c r="J37" s="67" t="e">
        <f ca="1">INDEX(RESULTADOS!$A:$BA,MATCH($A37,RESULTADOS!$A:$A,0),MATCH(J$1,RESULTADOS!$1:$1,0))</f>
        <v>#N/A</v>
      </c>
      <c r="K37" s="250">
        <f ca="1">SUMPRODUCT((TABELA_VAZAO[Posto]=K$2)*1,(TABELA_VAZAO[Data]=$A37)*1,TABELA_VAZAO[qinc])</f>
        <v>121</v>
      </c>
      <c r="L37" s="288">
        <f ca="1">SUMPRODUCT((TABELA_VAZAO[Posto]=L$2)*1,(TABELA_VAZAO[Data]=$A37)*1,TABELA_VAZAO[qnat])</f>
        <v>121</v>
      </c>
      <c r="M37" s="250">
        <f ca="1">SUMPRODUCT((TABELA_VAZAO[Posto]=M$2)*1,(TABELA_VAZAO[Data]=$A37)*1,TABELA_VAZAO[qinc])</f>
        <v>76</v>
      </c>
      <c r="N37" s="288">
        <f ca="1">SUMPRODUCT((TABELA_VAZAO[Posto]=N$2)*1,(TABELA_VAZAO[Data]=$A37)*1,TABELA_VAZAO[qnat])</f>
        <v>189</v>
      </c>
      <c r="O37" s="250">
        <f ca="1">SUMPRODUCT((TABELA_VAZAO[Posto]=O$2)*1,(TABELA_VAZAO[Data]=$A37)*1,TABELA_VAZAO[qinc])</f>
        <v>230</v>
      </c>
      <c r="P37" s="288">
        <f ca="1">SUMPRODUCT((TABELA_VAZAO[Posto]=P$2)*1,(TABELA_VAZAO[Data]=$A37)*1,TABELA_VAZAO[qnat])</f>
        <v>399</v>
      </c>
      <c r="Q37" s="9"/>
      <c r="R37" s="250">
        <f ca="1">SUMPRODUCT((TABELA_VAZAO[Posto]=R$2)*1,(TABELA_VAZAO[Data]=$A37)*1,TABELA_VAZAO[qinc])</f>
        <v>242</v>
      </c>
      <c r="S37" s="288">
        <f ca="1">SUMPRODUCT((TABELA_VAZAO[Posto]=S$2)*1,(TABELA_VAZAO[Data]=$A37)*1,TABELA_VAZAO[qnat])</f>
        <v>242</v>
      </c>
      <c r="T37" s="67" t="e">
        <f ca="1">INDEX(RESULTADOS!$A:$BA,MATCH($A37,RESULTADOS!$A:$A,0),MATCH(T$1,RESULTADOS!$1:$1,0))</f>
        <v>#N/A</v>
      </c>
      <c r="U37" s="250">
        <f ca="1">SUMPRODUCT((TABELA_VAZAO[Posto]=U$2)*1,(TABELA_VAZAO[Data]=$A37)*1,TABELA_VAZAO[qinc])</f>
        <v>15</v>
      </c>
      <c r="V37" s="288">
        <f ca="1">SUMPRODUCT((TABELA_VAZAO[Posto]=V$2)*1,(TABELA_VAZAO[Data]=$A37)*1,TABELA_VAZAO[qnat])</f>
        <v>262</v>
      </c>
      <c r="W37" s="250">
        <f ca="1">SUMPRODUCT((TABELA_VAZAO[Posto]=W$2)*1,(TABELA_VAZAO[Data]=$A37)*1,TABELA_VAZAO[qinc])</f>
        <v>2</v>
      </c>
      <c r="X37" s="288">
        <f ca="1">SUMPRODUCT((TABELA_VAZAO[Posto]=X$2)*1,(TABELA_VAZAO[Data]=$A37)*1,TABELA_VAZAO[qnat])</f>
        <v>264</v>
      </c>
      <c r="Y37" s="250">
        <f ca="1">SUMPRODUCT((TABELA_VAZAO[Posto]=Y$2)*1,(TABELA_VAZAO[Data]=$A37)*1,TABELA_VAZAO[qinc])</f>
        <v>5</v>
      </c>
      <c r="Z37" s="288">
        <f ca="1">SUMPRODUCT((TABELA_VAZAO[Posto]=Z$2)*1,(TABELA_VAZAO[Data]=$A37)*1,TABELA_VAZAO[qnat])</f>
        <v>267</v>
      </c>
      <c r="AA37" s="9"/>
      <c r="AB37" s="250">
        <f ca="1">SUMPRODUCT((TABELA_VAZAO[Posto]=AB$2)*1,(TABELA_VAZAO[Data]=$A37)*1,TABELA_VAZAO[qinc])</f>
        <v>363</v>
      </c>
      <c r="AC37" s="288">
        <f ca="1">SUMPRODUCT((TABELA_VAZAO[Posto]=AC$2)*1,(TABELA_VAZAO[Data]=$A37)*1,TABELA_VAZAO[qnat])</f>
        <v>1358</v>
      </c>
      <c r="AE37" s="208" t="e">
        <f ca="1">INDEX(RESULTADOS!$A:$BA,MATCH($A37,RESULTADOS!$A:$A,0),MATCH(AE$1,RESULTADOS!$1:$1,0))</f>
        <v>#N/A</v>
      </c>
      <c r="AF37" s="67" t="e">
        <f ca="1">INDEX(RESULTADOS!$A:$BA,MATCH($A37,RESULTADOS!$A:$A,0),MATCH(AF$1,RESULTADOS!$1:$1,0))</f>
        <v>#N/A</v>
      </c>
      <c r="AG37" s="250">
        <f ca="1">SUMPRODUCT((TABELA_VAZAO[Posto]=AG$2)*1,(TABELA_VAZAO[Data]=$A37)*1,TABELA_VAZAO[qinc])</f>
        <v>128</v>
      </c>
      <c r="AH37" s="250">
        <f ca="1">SUMPRODUCT((TABELA_VAZAO[Posto]=AH$2)*1,(TABELA_VAZAO[Data]=$A37)*1,TABELA_VAZAO[qinc])</f>
        <v>1437</v>
      </c>
      <c r="AI37" s="288">
        <f ca="1">SUMPRODUCT((TABELA_VAZAO[Posto]=AI$2)*1,(TABELA_VAZAO[Data]=$A37)*1,TABELA_VAZAO[qnat])</f>
        <v>1425</v>
      </c>
      <c r="AJ37" s="288">
        <f ca="1">SUMPRODUCT((TABELA_VAZAO[Posto]=AJ$2)*1,(TABELA_VAZAO[Data]=$A37)*1,TABELA_VAZAO[qnat])</f>
        <v>2712</v>
      </c>
    </row>
    <row r="38" spans="1:36" ht="13.5" thickBot="1" x14ac:dyDescent="0.25">
      <c r="A38" s="18">
        <f ca="1">_data</f>
        <v>43837</v>
      </c>
      <c r="B38" s="67" t="e">
        <f ca="1">INDEX(RESULTADOS!$A:$BA,MATCH($A38,RESULTADOS!$A:$A,0),MATCH(B$1,RESULTADOS!$1:$1,0))</f>
        <v>#N/A</v>
      </c>
      <c r="C38" s="31" t="e">
        <f ca="1">B38</f>
        <v>#N/A</v>
      </c>
      <c r="D38" s="67" t="e">
        <f ca="1">INDEX(RESULTADOS!$A:$BA,MATCH($A38,RESULTADOS!$A:$A,0),MATCH(D$1,RESULTADOS!$1:$1,0))</f>
        <v>#N/A</v>
      </c>
      <c r="E38" s="31" t="e">
        <f t="shared" ref="E38:E72" ca="1" si="2">$E$4*$D38</f>
        <v>#N/A</v>
      </c>
      <c r="F38" s="31" t="e">
        <f t="shared" ref="F38:F50" ca="1" si="3">((C38*(24-$C$3)+C37*$C$3)/24)+E38</f>
        <v>#N/A</v>
      </c>
      <c r="G38" s="10" t="e">
        <f t="shared" ref="G38:G71" ca="1" si="4">$G$4*$D38</f>
        <v>#N/A</v>
      </c>
      <c r="H38" s="10" t="e">
        <f t="shared" ref="H38:H50" ca="1" si="5">((F38*(24-$F$3)+F37*$F$3)/24)+G38</f>
        <v>#N/A</v>
      </c>
      <c r="I38" s="12"/>
      <c r="J38" s="67" t="e">
        <f ca="1">INDEX(RESULTADOS!$A:$BA,MATCH($A38,RESULTADOS!$A:$A,0),MATCH(J$1,RESULTADOS!$1:$1,0))</f>
        <v>#N/A</v>
      </c>
      <c r="K38" s="32" t="e">
        <f t="shared" ref="K38:K74" ca="1" si="6">$K$4*$J38</f>
        <v>#N/A</v>
      </c>
      <c r="L38" s="32" t="e">
        <f t="shared" ref="L38:L50" ca="1" si="7">K38</f>
        <v>#N/A</v>
      </c>
      <c r="M38" s="32" t="e">
        <f t="shared" ref="M38:M70" ca="1" si="8">$M$4*$J38</f>
        <v>#N/A</v>
      </c>
      <c r="N38" s="32" t="e">
        <f t="shared" ref="N38:N50" ca="1" si="9">((K38*(24-$K$3)+K37*$K$3)/24)+M38</f>
        <v>#N/A</v>
      </c>
      <c r="O38" s="67" t="e">
        <f ca="1">INDEX(RESULTADOS!$A:$BA,MATCH($A38,RESULTADOS!$A:$A,0),MATCH(O$1,RESULTADOS!$1:$1,0))</f>
        <v>#N/A</v>
      </c>
      <c r="P38" s="31" t="e">
        <f t="shared" ref="P38:P50" ca="1" si="10">((N38*(24-$N$3)+N37*$N$3)/24)+O38</f>
        <v>#N/A</v>
      </c>
      <c r="Q38" s="12"/>
      <c r="R38" s="67" t="e">
        <f ca="1">INDEX(RESULTADOS!$A:$BA,MATCH($A38,RESULTADOS!$A:$A,0),MATCH(R$1,RESULTADOS!$1:$1,0))</f>
        <v>#N/A</v>
      </c>
      <c r="S38" s="31" t="e">
        <f ca="1">R38</f>
        <v>#N/A</v>
      </c>
      <c r="T38" s="67" t="e">
        <f ca="1">INDEX(RESULTADOS!$A:$BA,MATCH($A38,RESULTADOS!$A:$A,0),MATCH(T$1,RESULTADOS!$1:$1,0))</f>
        <v>#N/A</v>
      </c>
      <c r="U38" s="33" t="e">
        <f t="shared" ref="U38:U70" ca="1" si="11">$U$4*$T38</f>
        <v>#N/A</v>
      </c>
      <c r="V38" s="10" t="e">
        <f t="shared" ref="V38:V50" ca="1" si="12">((S38*(24-$S$3)+S37*$S$3)/24)+U38</f>
        <v>#N/A</v>
      </c>
      <c r="W38" s="33" t="e">
        <f t="shared" ref="W38:W70" ca="1" si="13">$W$4*$T38</f>
        <v>#N/A</v>
      </c>
      <c r="X38" s="10" t="e">
        <f t="shared" ref="X38:X50" ca="1" si="14">((V38*(24-$V$3)+V37*$V$3)/24)+W38</f>
        <v>#N/A</v>
      </c>
      <c r="Y38" s="33" t="e">
        <f t="shared" ref="Y38:Y70" ca="1" si="15">$Y$4*$T38</f>
        <v>#N/A</v>
      </c>
      <c r="Z38" s="10" t="e">
        <f t="shared" ref="Z38:Z50" ca="1" si="16">((X38*(24-$X$3)+X37*$X$3)/24)+Y38</f>
        <v>#N/A</v>
      </c>
      <c r="AA38" s="12"/>
      <c r="AB38" s="33" t="e">
        <f t="shared" ref="AB38:AB70" ca="1" si="17">$AB$4*$T38</f>
        <v>#N/A</v>
      </c>
      <c r="AC38" s="10" t="e">
        <f t="shared" ref="AC38:AC50" ca="1" si="18">((Z38*(24-$Z$3)+Z37*$Z$3)/24)+((P38*(24-$P$3)+P37*$P$3)/24)+((H38*(24-$H$3)+H37*$H$3)/24)+AB38</f>
        <v>#N/A</v>
      </c>
      <c r="AE38" s="208" t="e">
        <f ca="1">INDEX(RESULTADOS!$A:$BA,MATCH($A38,RESULTADOS!$A:$A,0),MATCH(AE$1,RESULTADOS!$1:$1,0))</f>
        <v>#N/A</v>
      </c>
      <c r="AF38" s="67" t="e">
        <f ca="1">INDEX(RESULTADOS!$A:$BA,MATCH($A38,RESULTADOS!$A:$A,0),MATCH(AF$1,RESULTADOS!$1:$1,0))</f>
        <v>#N/A</v>
      </c>
      <c r="AG38" s="121" t="e">
        <f t="shared" ref="AG38:AG69" ca="1" si="19">AG$4*AF38</f>
        <v>#N/A</v>
      </c>
      <c r="AH38" s="121" t="e">
        <f t="shared" ref="AH38:AH73" ca="1" si="20">AH$4*AF38+((AE38*(24-$AE$3)+AE37*$AE$3)/24)</f>
        <v>#N/A</v>
      </c>
      <c r="AI38" s="98" t="e">
        <f t="shared" ref="AI38:AI69" ca="1" si="21">AG38+AC38</f>
        <v>#N/A</v>
      </c>
      <c r="AJ38" s="98" t="e">
        <f t="shared" ref="AJ38:AJ72" ca="1" si="22">AH38+AI38</f>
        <v>#N/A</v>
      </c>
    </row>
    <row r="39" spans="1:36" x14ac:dyDescent="0.2">
      <c r="A39" s="7">
        <f ca="1">A38+1</f>
        <v>43838</v>
      </c>
      <c r="B39" s="67" t="e">
        <f ca="1">INDEX(RESULTADOS!$A:$BA,MATCH($A39,RESULTADOS!$A:$A,0),MATCH(B$1,RESULTADOS!$1:$1,0))</f>
        <v>#N/A</v>
      </c>
      <c r="C39" s="31" t="e">
        <f t="shared" ref="C39:C50" ca="1" si="23">B39</f>
        <v>#N/A</v>
      </c>
      <c r="D39" s="67" t="e">
        <f ca="1">INDEX(RESULTADOS!$A:$BA,MATCH($A39,RESULTADOS!$A:$A,0),MATCH(D$1,RESULTADOS!$1:$1,0))</f>
        <v>#N/A</v>
      </c>
      <c r="E39" s="31" t="e">
        <f t="shared" ca="1" si="2"/>
        <v>#N/A</v>
      </c>
      <c r="F39" s="31" t="e">
        <f t="shared" ca="1" si="3"/>
        <v>#N/A</v>
      </c>
      <c r="G39" s="10" t="e">
        <f t="shared" ca="1" si="4"/>
        <v>#N/A</v>
      </c>
      <c r="H39" s="10" t="e">
        <f t="shared" ca="1" si="5"/>
        <v>#N/A</v>
      </c>
      <c r="I39" s="12"/>
      <c r="J39" s="67" t="e">
        <f ca="1">INDEX(RESULTADOS!$A:$BA,MATCH($A39,RESULTADOS!$A:$A,0),MATCH(J$1,RESULTADOS!$1:$1,0))</f>
        <v>#N/A</v>
      </c>
      <c r="K39" s="32" t="e">
        <f t="shared" ca="1" si="6"/>
        <v>#N/A</v>
      </c>
      <c r="L39" s="32" t="e">
        <f t="shared" ca="1" si="7"/>
        <v>#N/A</v>
      </c>
      <c r="M39" s="32" t="e">
        <f t="shared" ca="1" si="8"/>
        <v>#N/A</v>
      </c>
      <c r="N39" s="32" t="e">
        <f t="shared" ca="1" si="9"/>
        <v>#N/A</v>
      </c>
      <c r="O39" s="67" t="e">
        <f ca="1">INDEX(RESULTADOS!$A:$BA,MATCH($A39,RESULTADOS!$A:$A,0),MATCH(O$1,RESULTADOS!$1:$1,0))</f>
        <v>#N/A</v>
      </c>
      <c r="P39" s="31" t="e">
        <f t="shared" ca="1" si="10"/>
        <v>#N/A</v>
      </c>
      <c r="Q39" s="12"/>
      <c r="R39" s="67" t="e">
        <f ca="1">INDEX(RESULTADOS!$A:$BA,MATCH($A39,RESULTADOS!$A:$A,0),MATCH(R$1,RESULTADOS!$1:$1,0))</f>
        <v>#N/A</v>
      </c>
      <c r="S39" s="31" t="e">
        <f t="shared" ref="S39:S50" ca="1" si="24">R39</f>
        <v>#N/A</v>
      </c>
      <c r="T39" s="67" t="e">
        <f ca="1">INDEX(RESULTADOS!$A:$BA,MATCH($A39,RESULTADOS!$A:$A,0),MATCH(T$1,RESULTADOS!$1:$1,0))</f>
        <v>#N/A</v>
      </c>
      <c r="U39" s="33" t="e">
        <f t="shared" ca="1" si="11"/>
        <v>#N/A</v>
      </c>
      <c r="V39" s="10" t="e">
        <f t="shared" ca="1" si="12"/>
        <v>#N/A</v>
      </c>
      <c r="W39" s="33" t="e">
        <f t="shared" ca="1" si="13"/>
        <v>#N/A</v>
      </c>
      <c r="X39" s="10" t="e">
        <f t="shared" ca="1" si="14"/>
        <v>#N/A</v>
      </c>
      <c r="Y39" s="33" t="e">
        <f t="shared" ca="1" si="15"/>
        <v>#N/A</v>
      </c>
      <c r="Z39" s="10" t="e">
        <f t="shared" ca="1" si="16"/>
        <v>#N/A</v>
      </c>
      <c r="AA39" s="12"/>
      <c r="AB39" s="33" t="e">
        <f t="shared" ca="1" si="17"/>
        <v>#N/A</v>
      </c>
      <c r="AC39" s="10" t="e">
        <f t="shared" ca="1" si="18"/>
        <v>#N/A</v>
      </c>
      <c r="AE39" s="208" t="e">
        <f ca="1">INDEX(RESULTADOS!$A:$BA,MATCH($A39,RESULTADOS!$A:$A,0),MATCH(AE$1,RESULTADOS!$1:$1,0))</f>
        <v>#N/A</v>
      </c>
      <c r="AF39" s="67" t="e">
        <f ca="1">INDEX(RESULTADOS!$A:$BA,MATCH($A39,RESULTADOS!$A:$A,0),MATCH(AF$1,RESULTADOS!$1:$1,0))</f>
        <v>#N/A</v>
      </c>
      <c r="AG39" s="121" t="e">
        <f t="shared" ca="1" si="19"/>
        <v>#N/A</v>
      </c>
      <c r="AH39" s="121" t="e">
        <f t="shared" ca="1" si="20"/>
        <v>#N/A</v>
      </c>
      <c r="AI39" s="98" t="e">
        <f t="shared" ca="1" si="21"/>
        <v>#N/A</v>
      </c>
      <c r="AJ39" s="98" t="e">
        <f t="shared" ca="1" si="22"/>
        <v>#N/A</v>
      </c>
    </row>
    <row r="40" spans="1:36" x14ac:dyDescent="0.2">
      <c r="A40" s="7">
        <f t="shared" ref="A40:A50" ca="1" si="25">A39+1</f>
        <v>43839</v>
      </c>
      <c r="B40" s="67" t="e">
        <f ca="1">INDEX(RESULTADOS!$A:$BA,MATCH($A40,RESULTADOS!$A:$A,0),MATCH(B$1,RESULTADOS!$1:$1,0))</f>
        <v>#N/A</v>
      </c>
      <c r="C40" s="31" t="e">
        <f t="shared" ca="1" si="23"/>
        <v>#N/A</v>
      </c>
      <c r="D40" s="67" t="e">
        <f ca="1">INDEX(RESULTADOS!$A:$BA,MATCH($A40,RESULTADOS!$A:$A,0),MATCH(D$1,RESULTADOS!$1:$1,0))</f>
        <v>#N/A</v>
      </c>
      <c r="E40" s="31" t="e">
        <f t="shared" ca="1" si="2"/>
        <v>#N/A</v>
      </c>
      <c r="F40" s="31" t="e">
        <f t="shared" ca="1" si="3"/>
        <v>#N/A</v>
      </c>
      <c r="G40" s="10" t="e">
        <f t="shared" ca="1" si="4"/>
        <v>#N/A</v>
      </c>
      <c r="H40" s="10" t="e">
        <f t="shared" ca="1" si="5"/>
        <v>#N/A</v>
      </c>
      <c r="I40" s="12"/>
      <c r="J40" s="67" t="e">
        <f ca="1">INDEX(RESULTADOS!$A:$BA,MATCH($A40,RESULTADOS!$A:$A,0),MATCH(J$1,RESULTADOS!$1:$1,0))</f>
        <v>#N/A</v>
      </c>
      <c r="K40" s="32" t="e">
        <f t="shared" ca="1" si="6"/>
        <v>#N/A</v>
      </c>
      <c r="L40" s="32" t="e">
        <f t="shared" ca="1" si="7"/>
        <v>#N/A</v>
      </c>
      <c r="M40" s="32" t="e">
        <f t="shared" ca="1" si="8"/>
        <v>#N/A</v>
      </c>
      <c r="N40" s="32" t="e">
        <f t="shared" ca="1" si="9"/>
        <v>#N/A</v>
      </c>
      <c r="O40" s="67" t="e">
        <f ca="1">INDEX(RESULTADOS!$A:$BA,MATCH($A40,RESULTADOS!$A:$A,0),MATCH(O$1,RESULTADOS!$1:$1,0))</f>
        <v>#N/A</v>
      </c>
      <c r="P40" s="31" t="e">
        <f t="shared" ca="1" si="10"/>
        <v>#N/A</v>
      </c>
      <c r="Q40" s="12"/>
      <c r="R40" s="67" t="e">
        <f ca="1">INDEX(RESULTADOS!$A:$BA,MATCH($A40,RESULTADOS!$A:$A,0),MATCH(R$1,RESULTADOS!$1:$1,0))</f>
        <v>#N/A</v>
      </c>
      <c r="S40" s="31" t="e">
        <f t="shared" ca="1" si="24"/>
        <v>#N/A</v>
      </c>
      <c r="T40" s="67" t="e">
        <f ca="1">INDEX(RESULTADOS!$A:$BA,MATCH($A40,RESULTADOS!$A:$A,0),MATCH(T$1,RESULTADOS!$1:$1,0))</f>
        <v>#N/A</v>
      </c>
      <c r="U40" s="33" t="e">
        <f t="shared" ca="1" si="11"/>
        <v>#N/A</v>
      </c>
      <c r="V40" s="10" t="e">
        <f t="shared" ca="1" si="12"/>
        <v>#N/A</v>
      </c>
      <c r="W40" s="33" t="e">
        <f t="shared" ca="1" si="13"/>
        <v>#N/A</v>
      </c>
      <c r="X40" s="10" t="e">
        <f t="shared" ca="1" si="14"/>
        <v>#N/A</v>
      </c>
      <c r="Y40" s="33" t="e">
        <f t="shared" ca="1" si="15"/>
        <v>#N/A</v>
      </c>
      <c r="Z40" s="10" t="e">
        <f t="shared" ca="1" si="16"/>
        <v>#N/A</v>
      </c>
      <c r="AA40" s="12"/>
      <c r="AB40" s="33" t="e">
        <f t="shared" ca="1" si="17"/>
        <v>#N/A</v>
      </c>
      <c r="AC40" s="10" t="e">
        <f t="shared" ca="1" si="18"/>
        <v>#N/A</v>
      </c>
      <c r="AE40" s="208" t="e">
        <f ca="1">INDEX(RESULTADOS!$A:$BA,MATCH($A40,RESULTADOS!$A:$A,0),MATCH(AE$1,RESULTADOS!$1:$1,0))</f>
        <v>#N/A</v>
      </c>
      <c r="AF40" s="67" t="e">
        <f ca="1">INDEX(RESULTADOS!$A:$BA,MATCH($A40,RESULTADOS!$A:$A,0),MATCH(AF$1,RESULTADOS!$1:$1,0))</f>
        <v>#N/A</v>
      </c>
      <c r="AG40" s="121" t="e">
        <f t="shared" ca="1" si="19"/>
        <v>#N/A</v>
      </c>
      <c r="AH40" s="121" t="e">
        <f t="shared" ca="1" si="20"/>
        <v>#N/A</v>
      </c>
      <c r="AI40" s="98" t="e">
        <f t="shared" ca="1" si="21"/>
        <v>#N/A</v>
      </c>
      <c r="AJ40" s="98" t="e">
        <f t="shared" ca="1" si="22"/>
        <v>#N/A</v>
      </c>
    </row>
    <row r="41" spans="1:36" x14ac:dyDescent="0.2">
      <c r="A41" s="7">
        <f t="shared" ca="1" si="25"/>
        <v>43840</v>
      </c>
      <c r="B41" s="67" t="e">
        <f ca="1">INDEX(RESULTADOS!$A:$BA,MATCH($A41,RESULTADOS!$A:$A,0),MATCH(B$1,RESULTADOS!$1:$1,0))</f>
        <v>#N/A</v>
      </c>
      <c r="C41" s="31" t="e">
        <f t="shared" ca="1" si="23"/>
        <v>#N/A</v>
      </c>
      <c r="D41" s="67" t="e">
        <f ca="1">INDEX(RESULTADOS!$A:$BA,MATCH($A41,RESULTADOS!$A:$A,0),MATCH(D$1,RESULTADOS!$1:$1,0))</f>
        <v>#N/A</v>
      </c>
      <c r="E41" s="31" t="e">
        <f t="shared" ca="1" si="2"/>
        <v>#N/A</v>
      </c>
      <c r="F41" s="31" t="e">
        <f t="shared" ca="1" si="3"/>
        <v>#N/A</v>
      </c>
      <c r="G41" s="10" t="e">
        <f t="shared" ca="1" si="4"/>
        <v>#N/A</v>
      </c>
      <c r="H41" s="10" t="e">
        <f t="shared" ca="1" si="5"/>
        <v>#N/A</v>
      </c>
      <c r="I41" s="12"/>
      <c r="J41" s="67" t="e">
        <f ca="1">INDEX(RESULTADOS!$A:$BA,MATCH($A41,RESULTADOS!$A:$A,0),MATCH(J$1,RESULTADOS!$1:$1,0))</f>
        <v>#N/A</v>
      </c>
      <c r="K41" s="32" t="e">
        <f t="shared" ca="1" si="6"/>
        <v>#N/A</v>
      </c>
      <c r="L41" s="32" t="e">
        <f t="shared" ca="1" si="7"/>
        <v>#N/A</v>
      </c>
      <c r="M41" s="32" t="e">
        <f t="shared" ca="1" si="8"/>
        <v>#N/A</v>
      </c>
      <c r="N41" s="32" t="e">
        <f t="shared" ca="1" si="9"/>
        <v>#N/A</v>
      </c>
      <c r="O41" s="67" t="e">
        <f ca="1">INDEX(RESULTADOS!$A:$BA,MATCH($A41,RESULTADOS!$A:$A,0),MATCH(O$1,RESULTADOS!$1:$1,0))</f>
        <v>#N/A</v>
      </c>
      <c r="P41" s="31" t="e">
        <f t="shared" ca="1" si="10"/>
        <v>#N/A</v>
      </c>
      <c r="Q41" s="12"/>
      <c r="R41" s="67" t="e">
        <f ca="1">INDEX(RESULTADOS!$A:$BA,MATCH($A41,RESULTADOS!$A:$A,0),MATCH(R$1,RESULTADOS!$1:$1,0))</f>
        <v>#N/A</v>
      </c>
      <c r="S41" s="31" t="e">
        <f t="shared" ca="1" si="24"/>
        <v>#N/A</v>
      </c>
      <c r="T41" s="67" t="e">
        <f ca="1">INDEX(RESULTADOS!$A:$BA,MATCH($A41,RESULTADOS!$A:$A,0),MATCH(T$1,RESULTADOS!$1:$1,0))</f>
        <v>#N/A</v>
      </c>
      <c r="U41" s="33" t="e">
        <f t="shared" ca="1" si="11"/>
        <v>#N/A</v>
      </c>
      <c r="V41" s="10" t="e">
        <f t="shared" ca="1" si="12"/>
        <v>#N/A</v>
      </c>
      <c r="W41" s="33" t="e">
        <f t="shared" ca="1" si="13"/>
        <v>#N/A</v>
      </c>
      <c r="X41" s="10" t="e">
        <f t="shared" ca="1" si="14"/>
        <v>#N/A</v>
      </c>
      <c r="Y41" s="33" t="e">
        <f t="shared" ca="1" si="15"/>
        <v>#N/A</v>
      </c>
      <c r="Z41" s="10" t="e">
        <f t="shared" ca="1" si="16"/>
        <v>#N/A</v>
      </c>
      <c r="AA41" s="12"/>
      <c r="AB41" s="33" t="e">
        <f t="shared" ca="1" si="17"/>
        <v>#N/A</v>
      </c>
      <c r="AC41" s="10" t="e">
        <f t="shared" ca="1" si="18"/>
        <v>#N/A</v>
      </c>
      <c r="AE41" s="208" t="e">
        <f ca="1">INDEX(RESULTADOS!$A:$BA,MATCH($A41,RESULTADOS!$A:$A,0),MATCH(AE$1,RESULTADOS!$1:$1,0))</f>
        <v>#N/A</v>
      </c>
      <c r="AF41" s="67" t="e">
        <f ca="1">INDEX(RESULTADOS!$A:$BA,MATCH($A41,RESULTADOS!$A:$A,0),MATCH(AF$1,RESULTADOS!$1:$1,0))</f>
        <v>#N/A</v>
      </c>
      <c r="AG41" s="121" t="e">
        <f t="shared" ca="1" si="19"/>
        <v>#N/A</v>
      </c>
      <c r="AH41" s="121" t="e">
        <f t="shared" ca="1" si="20"/>
        <v>#N/A</v>
      </c>
      <c r="AI41" s="98" t="e">
        <f t="shared" ca="1" si="21"/>
        <v>#N/A</v>
      </c>
      <c r="AJ41" s="98" t="e">
        <f t="shared" ca="1" si="22"/>
        <v>#N/A</v>
      </c>
    </row>
    <row r="42" spans="1:36" x14ac:dyDescent="0.2">
      <c r="A42" s="7">
        <f t="shared" ca="1" si="25"/>
        <v>43841</v>
      </c>
      <c r="B42" s="67" t="e">
        <f ca="1">INDEX(RESULTADOS!$A:$BA,MATCH($A42,RESULTADOS!$A:$A,0),MATCH(B$1,RESULTADOS!$1:$1,0))</f>
        <v>#N/A</v>
      </c>
      <c r="C42" s="31" t="e">
        <f t="shared" ca="1" si="23"/>
        <v>#N/A</v>
      </c>
      <c r="D42" s="67" t="e">
        <f ca="1">INDEX(RESULTADOS!$A:$BA,MATCH($A42,RESULTADOS!$A:$A,0),MATCH(D$1,RESULTADOS!$1:$1,0))</f>
        <v>#N/A</v>
      </c>
      <c r="E42" s="31" t="e">
        <f t="shared" ca="1" si="2"/>
        <v>#N/A</v>
      </c>
      <c r="F42" s="31" t="e">
        <f t="shared" ca="1" si="3"/>
        <v>#N/A</v>
      </c>
      <c r="G42" s="10" t="e">
        <f t="shared" ca="1" si="4"/>
        <v>#N/A</v>
      </c>
      <c r="H42" s="10" t="e">
        <f t="shared" ca="1" si="5"/>
        <v>#N/A</v>
      </c>
      <c r="I42" s="12"/>
      <c r="J42" s="67" t="e">
        <f ca="1">INDEX(RESULTADOS!$A:$BA,MATCH($A42,RESULTADOS!$A:$A,0),MATCH(J$1,RESULTADOS!$1:$1,0))</f>
        <v>#N/A</v>
      </c>
      <c r="K42" s="32" t="e">
        <f t="shared" ca="1" si="6"/>
        <v>#N/A</v>
      </c>
      <c r="L42" s="32" t="e">
        <f t="shared" ca="1" si="7"/>
        <v>#N/A</v>
      </c>
      <c r="M42" s="32" t="e">
        <f t="shared" ca="1" si="8"/>
        <v>#N/A</v>
      </c>
      <c r="N42" s="32" t="e">
        <f t="shared" ca="1" si="9"/>
        <v>#N/A</v>
      </c>
      <c r="O42" s="67" t="e">
        <f ca="1">INDEX(RESULTADOS!$A:$BA,MATCH($A42,RESULTADOS!$A:$A,0),MATCH(O$1,RESULTADOS!$1:$1,0))</f>
        <v>#N/A</v>
      </c>
      <c r="P42" s="31" t="e">
        <f t="shared" ca="1" si="10"/>
        <v>#N/A</v>
      </c>
      <c r="Q42" s="12"/>
      <c r="R42" s="67" t="e">
        <f ca="1">INDEX(RESULTADOS!$A:$BA,MATCH($A42,RESULTADOS!$A:$A,0),MATCH(R$1,RESULTADOS!$1:$1,0))</f>
        <v>#N/A</v>
      </c>
      <c r="S42" s="31" t="e">
        <f t="shared" ca="1" si="24"/>
        <v>#N/A</v>
      </c>
      <c r="T42" s="67" t="e">
        <f ca="1">INDEX(RESULTADOS!$A:$BA,MATCH($A42,RESULTADOS!$A:$A,0),MATCH(T$1,RESULTADOS!$1:$1,0))</f>
        <v>#N/A</v>
      </c>
      <c r="U42" s="33" t="e">
        <f t="shared" ca="1" si="11"/>
        <v>#N/A</v>
      </c>
      <c r="V42" s="10" t="e">
        <f t="shared" ca="1" si="12"/>
        <v>#N/A</v>
      </c>
      <c r="W42" s="33" t="e">
        <f t="shared" ca="1" si="13"/>
        <v>#N/A</v>
      </c>
      <c r="X42" s="10" t="e">
        <f t="shared" ca="1" si="14"/>
        <v>#N/A</v>
      </c>
      <c r="Y42" s="33" t="e">
        <f t="shared" ca="1" si="15"/>
        <v>#N/A</v>
      </c>
      <c r="Z42" s="10" t="e">
        <f t="shared" ca="1" si="16"/>
        <v>#N/A</v>
      </c>
      <c r="AA42" s="12"/>
      <c r="AB42" s="33" t="e">
        <f t="shared" ca="1" si="17"/>
        <v>#N/A</v>
      </c>
      <c r="AC42" s="10" t="e">
        <f t="shared" ca="1" si="18"/>
        <v>#N/A</v>
      </c>
      <c r="AE42" s="208" t="e">
        <f ca="1">INDEX(RESULTADOS!$A:$BA,MATCH($A42,RESULTADOS!$A:$A,0),MATCH(AE$1,RESULTADOS!$1:$1,0))</f>
        <v>#N/A</v>
      </c>
      <c r="AF42" s="67" t="e">
        <f ca="1">INDEX(RESULTADOS!$A:$BA,MATCH($A42,RESULTADOS!$A:$A,0),MATCH(AF$1,RESULTADOS!$1:$1,0))</f>
        <v>#N/A</v>
      </c>
      <c r="AG42" s="121" t="e">
        <f t="shared" ca="1" si="19"/>
        <v>#N/A</v>
      </c>
      <c r="AH42" s="121" t="e">
        <f t="shared" ca="1" si="20"/>
        <v>#N/A</v>
      </c>
      <c r="AI42" s="98" t="e">
        <f t="shared" ca="1" si="21"/>
        <v>#N/A</v>
      </c>
      <c r="AJ42" s="98" t="e">
        <f t="shared" ca="1" si="22"/>
        <v>#N/A</v>
      </c>
    </row>
    <row r="43" spans="1:36" x14ac:dyDescent="0.2">
      <c r="A43" s="7">
        <f t="shared" ca="1" si="25"/>
        <v>43842</v>
      </c>
      <c r="B43" s="67" t="e">
        <f ca="1">INDEX(RESULTADOS!$A:$BA,MATCH($A43,RESULTADOS!$A:$A,0),MATCH(B$1,RESULTADOS!$1:$1,0))</f>
        <v>#N/A</v>
      </c>
      <c r="C43" s="31" t="e">
        <f t="shared" ca="1" si="23"/>
        <v>#N/A</v>
      </c>
      <c r="D43" s="67" t="e">
        <f ca="1">INDEX(RESULTADOS!$A:$BA,MATCH($A43,RESULTADOS!$A:$A,0),MATCH(D$1,RESULTADOS!$1:$1,0))</f>
        <v>#N/A</v>
      </c>
      <c r="E43" s="31" t="e">
        <f t="shared" ca="1" si="2"/>
        <v>#N/A</v>
      </c>
      <c r="F43" s="31" t="e">
        <f t="shared" ca="1" si="3"/>
        <v>#N/A</v>
      </c>
      <c r="G43" s="10" t="e">
        <f t="shared" ca="1" si="4"/>
        <v>#N/A</v>
      </c>
      <c r="H43" s="10" t="e">
        <f t="shared" ca="1" si="5"/>
        <v>#N/A</v>
      </c>
      <c r="I43" s="12"/>
      <c r="J43" s="67" t="e">
        <f ca="1">INDEX(RESULTADOS!$A:$BA,MATCH($A43,RESULTADOS!$A:$A,0),MATCH(J$1,RESULTADOS!$1:$1,0))</f>
        <v>#N/A</v>
      </c>
      <c r="K43" s="32" t="e">
        <f t="shared" ca="1" si="6"/>
        <v>#N/A</v>
      </c>
      <c r="L43" s="32" t="e">
        <f t="shared" ca="1" si="7"/>
        <v>#N/A</v>
      </c>
      <c r="M43" s="32" t="e">
        <f t="shared" ca="1" si="8"/>
        <v>#N/A</v>
      </c>
      <c r="N43" s="32" t="e">
        <f t="shared" ca="1" si="9"/>
        <v>#N/A</v>
      </c>
      <c r="O43" s="67" t="e">
        <f ca="1">INDEX(RESULTADOS!$A:$BA,MATCH($A43,RESULTADOS!$A:$A,0),MATCH(O$1,RESULTADOS!$1:$1,0))</f>
        <v>#N/A</v>
      </c>
      <c r="P43" s="31" t="e">
        <f t="shared" ca="1" si="10"/>
        <v>#N/A</v>
      </c>
      <c r="Q43" s="12"/>
      <c r="R43" s="67" t="e">
        <f ca="1">INDEX(RESULTADOS!$A:$BA,MATCH($A43,RESULTADOS!$A:$A,0),MATCH(R$1,RESULTADOS!$1:$1,0))</f>
        <v>#N/A</v>
      </c>
      <c r="S43" s="31" t="e">
        <f t="shared" ca="1" si="24"/>
        <v>#N/A</v>
      </c>
      <c r="T43" s="67" t="e">
        <f ca="1">INDEX(RESULTADOS!$A:$BA,MATCH($A43,RESULTADOS!$A:$A,0),MATCH(T$1,RESULTADOS!$1:$1,0))</f>
        <v>#N/A</v>
      </c>
      <c r="U43" s="33" t="e">
        <f t="shared" ca="1" si="11"/>
        <v>#N/A</v>
      </c>
      <c r="V43" s="10" t="e">
        <f t="shared" ca="1" si="12"/>
        <v>#N/A</v>
      </c>
      <c r="W43" s="33" t="e">
        <f t="shared" ca="1" si="13"/>
        <v>#N/A</v>
      </c>
      <c r="X43" s="10" t="e">
        <f t="shared" ca="1" si="14"/>
        <v>#N/A</v>
      </c>
      <c r="Y43" s="33" t="e">
        <f t="shared" ca="1" si="15"/>
        <v>#N/A</v>
      </c>
      <c r="Z43" s="10" t="e">
        <f t="shared" ca="1" si="16"/>
        <v>#N/A</v>
      </c>
      <c r="AA43" s="12"/>
      <c r="AB43" s="33" t="e">
        <f t="shared" ca="1" si="17"/>
        <v>#N/A</v>
      </c>
      <c r="AC43" s="10" t="e">
        <f t="shared" ca="1" si="18"/>
        <v>#N/A</v>
      </c>
      <c r="AE43" s="208" t="e">
        <f ca="1">INDEX(RESULTADOS!$A:$BA,MATCH($A43,RESULTADOS!$A:$A,0),MATCH(AE$1,RESULTADOS!$1:$1,0))</f>
        <v>#N/A</v>
      </c>
      <c r="AF43" s="67" t="e">
        <f ca="1">INDEX(RESULTADOS!$A:$BA,MATCH($A43,RESULTADOS!$A:$A,0),MATCH(AF$1,RESULTADOS!$1:$1,0))</f>
        <v>#N/A</v>
      </c>
      <c r="AG43" s="121" t="e">
        <f t="shared" ca="1" si="19"/>
        <v>#N/A</v>
      </c>
      <c r="AH43" s="121" t="e">
        <f t="shared" ca="1" si="20"/>
        <v>#N/A</v>
      </c>
      <c r="AI43" s="98" t="e">
        <f t="shared" ca="1" si="21"/>
        <v>#N/A</v>
      </c>
      <c r="AJ43" s="98" t="e">
        <f t="shared" ca="1" si="22"/>
        <v>#N/A</v>
      </c>
    </row>
    <row r="44" spans="1:36" x14ac:dyDescent="0.2">
      <c r="A44" s="7">
        <f t="shared" ca="1" si="25"/>
        <v>43843</v>
      </c>
      <c r="B44" s="67" t="e">
        <f ca="1">INDEX(RESULTADOS!$A:$BA,MATCH($A44,RESULTADOS!$A:$A,0),MATCH(B$1,RESULTADOS!$1:$1,0))</f>
        <v>#N/A</v>
      </c>
      <c r="C44" s="31" t="e">
        <f t="shared" ca="1" si="23"/>
        <v>#N/A</v>
      </c>
      <c r="D44" s="67" t="e">
        <f ca="1">INDEX(RESULTADOS!$A:$BA,MATCH($A44,RESULTADOS!$A:$A,0),MATCH(D$1,RESULTADOS!$1:$1,0))</f>
        <v>#N/A</v>
      </c>
      <c r="E44" s="31" t="e">
        <f t="shared" ca="1" si="2"/>
        <v>#N/A</v>
      </c>
      <c r="F44" s="31" t="e">
        <f t="shared" ca="1" si="3"/>
        <v>#N/A</v>
      </c>
      <c r="G44" s="10" t="e">
        <f t="shared" ca="1" si="4"/>
        <v>#N/A</v>
      </c>
      <c r="H44" s="10" t="e">
        <f t="shared" ca="1" si="5"/>
        <v>#N/A</v>
      </c>
      <c r="I44" s="12"/>
      <c r="J44" s="67" t="e">
        <f ca="1">INDEX(RESULTADOS!$A:$BA,MATCH($A44,RESULTADOS!$A:$A,0),MATCH(J$1,RESULTADOS!$1:$1,0))</f>
        <v>#N/A</v>
      </c>
      <c r="K44" s="32" t="e">
        <f t="shared" ca="1" si="6"/>
        <v>#N/A</v>
      </c>
      <c r="L44" s="32" t="e">
        <f t="shared" ca="1" si="7"/>
        <v>#N/A</v>
      </c>
      <c r="M44" s="32" t="e">
        <f t="shared" ca="1" si="8"/>
        <v>#N/A</v>
      </c>
      <c r="N44" s="32" t="e">
        <f t="shared" ca="1" si="9"/>
        <v>#N/A</v>
      </c>
      <c r="O44" s="67" t="e">
        <f ca="1">INDEX(RESULTADOS!$A:$BA,MATCH($A44,RESULTADOS!$A:$A,0),MATCH(O$1,RESULTADOS!$1:$1,0))</f>
        <v>#N/A</v>
      </c>
      <c r="P44" s="31" t="e">
        <f t="shared" ca="1" si="10"/>
        <v>#N/A</v>
      </c>
      <c r="Q44" s="12"/>
      <c r="R44" s="67" t="e">
        <f ca="1">INDEX(RESULTADOS!$A:$BA,MATCH($A44,RESULTADOS!$A:$A,0),MATCH(R$1,RESULTADOS!$1:$1,0))</f>
        <v>#N/A</v>
      </c>
      <c r="S44" s="31" t="e">
        <f t="shared" ca="1" si="24"/>
        <v>#N/A</v>
      </c>
      <c r="T44" s="67" t="e">
        <f ca="1">INDEX(RESULTADOS!$A:$BA,MATCH($A44,RESULTADOS!$A:$A,0),MATCH(T$1,RESULTADOS!$1:$1,0))</f>
        <v>#N/A</v>
      </c>
      <c r="U44" s="33" t="e">
        <f t="shared" ca="1" si="11"/>
        <v>#N/A</v>
      </c>
      <c r="V44" s="10" t="e">
        <f t="shared" ca="1" si="12"/>
        <v>#N/A</v>
      </c>
      <c r="W44" s="33" t="e">
        <f t="shared" ca="1" si="13"/>
        <v>#N/A</v>
      </c>
      <c r="X44" s="10" t="e">
        <f t="shared" ca="1" si="14"/>
        <v>#N/A</v>
      </c>
      <c r="Y44" s="33" t="e">
        <f t="shared" ca="1" si="15"/>
        <v>#N/A</v>
      </c>
      <c r="Z44" s="10" t="e">
        <f t="shared" ca="1" si="16"/>
        <v>#N/A</v>
      </c>
      <c r="AA44" s="12"/>
      <c r="AB44" s="33" t="e">
        <f t="shared" ca="1" si="17"/>
        <v>#N/A</v>
      </c>
      <c r="AC44" s="10" t="e">
        <f t="shared" ca="1" si="18"/>
        <v>#N/A</v>
      </c>
      <c r="AE44" s="208" t="e">
        <f ca="1">INDEX(RESULTADOS!$A:$BA,MATCH($A44,RESULTADOS!$A:$A,0),MATCH(AE$1,RESULTADOS!$1:$1,0))</f>
        <v>#N/A</v>
      </c>
      <c r="AF44" s="67" t="e">
        <f ca="1">INDEX(RESULTADOS!$A:$BA,MATCH($A44,RESULTADOS!$A:$A,0),MATCH(AF$1,RESULTADOS!$1:$1,0))</f>
        <v>#N/A</v>
      </c>
      <c r="AG44" s="121" t="e">
        <f t="shared" ca="1" si="19"/>
        <v>#N/A</v>
      </c>
      <c r="AH44" s="121" t="e">
        <f t="shared" ca="1" si="20"/>
        <v>#N/A</v>
      </c>
      <c r="AI44" s="98" t="e">
        <f t="shared" ca="1" si="21"/>
        <v>#N/A</v>
      </c>
      <c r="AJ44" s="98" t="e">
        <f t="shared" ca="1" si="22"/>
        <v>#N/A</v>
      </c>
    </row>
    <row r="45" spans="1:36" x14ac:dyDescent="0.2">
      <c r="A45" s="7">
        <f t="shared" ca="1" si="25"/>
        <v>43844</v>
      </c>
      <c r="B45" s="67" t="e">
        <f ca="1">INDEX(RESULTADOS!$A:$BA,MATCH($A45,RESULTADOS!$A:$A,0),MATCH(B$1,RESULTADOS!$1:$1,0))</f>
        <v>#N/A</v>
      </c>
      <c r="C45" s="31" t="e">
        <f t="shared" ca="1" si="23"/>
        <v>#N/A</v>
      </c>
      <c r="D45" s="67" t="e">
        <f ca="1">INDEX(RESULTADOS!$A:$BA,MATCH($A45,RESULTADOS!$A:$A,0),MATCH(D$1,RESULTADOS!$1:$1,0))</f>
        <v>#N/A</v>
      </c>
      <c r="E45" s="31" t="e">
        <f t="shared" ca="1" si="2"/>
        <v>#N/A</v>
      </c>
      <c r="F45" s="31" t="e">
        <f t="shared" ca="1" si="3"/>
        <v>#N/A</v>
      </c>
      <c r="G45" s="10" t="e">
        <f t="shared" ca="1" si="4"/>
        <v>#N/A</v>
      </c>
      <c r="H45" s="10" t="e">
        <f t="shared" ca="1" si="5"/>
        <v>#N/A</v>
      </c>
      <c r="I45" s="12"/>
      <c r="J45" s="67" t="e">
        <f ca="1">INDEX(RESULTADOS!$A:$BA,MATCH($A45,RESULTADOS!$A:$A,0),MATCH(J$1,RESULTADOS!$1:$1,0))</f>
        <v>#N/A</v>
      </c>
      <c r="K45" s="32" t="e">
        <f t="shared" ca="1" si="6"/>
        <v>#N/A</v>
      </c>
      <c r="L45" s="32" t="e">
        <f t="shared" ca="1" si="7"/>
        <v>#N/A</v>
      </c>
      <c r="M45" s="32" t="e">
        <f t="shared" ca="1" si="8"/>
        <v>#N/A</v>
      </c>
      <c r="N45" s="32" t="e">
        <f t="shared" ca="1" si="9"/>
        <v>#N/A</v>
      </c>
      <c r="O45" s="67" t="e">
        <f ca="1">INDEX(RESULTADOS!$A:$BA,MATCH($A45,RESULTADOS!$A:$A,0),MATCH(O$1,RESULTADOS!$1:$1,0))</f>
        <v>#N/A</v>
      </c>
      <c r="P45" s="31" t="e">
        <f t="shared" ca="1" si="10"/>
        <v>#N/A</v>
      </c>
      <c r="Q45" s="12"/>
      <c r="R45" s="67" t="e">
        <f ca="1">INDEX(RESULTADOS!$A:$BA,MATCH($A45,RESULTADOS!$A:$A,0),MATCH(R$1,RESULTADOS!$1:$1,0))</f>
        <v>#N/A</v>
      </c>
      <c r="S45" s="31" t="e">
        <f t="shared" ca="1" si="24"/>
        <v>#N/A</v>
      </c>
      <c r="T45" s="67" t="e">
        <f ca="1">INDEX(RESULTADOS!$A:$BA,MATCH($A45,RESULTADOS!$A:$A,0),MATCH(T$1,RESULTADOS!$1:$1,0))</f>
        <v>#N/A</v>
      </c>
      <c r="U45" s="33" t="e">
        <f t="shared" ca="1" si="11"/>
        <v>#N/A</v>
      </c>
      <c r="V45" s="10" t="e">
        <f t="shared" ca="1" si="12"/>
        <v>#N/A</v>
      </c>
      <c r="W45" s="33" t="e">
        <f t="shared" ca="1" si="13"/>
        <v>#N/A</v>
      </c>
      <c r="X45" s="10" t="e">
        <f t="shared" ca="1" si="14"/>
        <v>#N/A</v>
      </c>
      <c r="Y45" s="33" t="e">
        <f t="shared" ca="1" si="15"/>
        <v>#N/A</v>
      </c>
      <c r="Z45" s="10" t="e">
        <f t="shared" ca="1" si="16"/>
        <v>#N/A</v>
      </c>
      <c r="AA45" s="12"/>
      <c r="AB45" s="33" t="e">
        <f t="shared" ca="1" si="17"/>
        <v>#N/A</v>
      </c>
      <c r="AC45" s="10" t="e">
        <f t="shared" ca="1" si="18"/>
        <v>#N/A</v>
      </c>
      <c r="AE45" s="208" t="e">
        <f ca="1">INDEX(RESULTADOS!$A:$BA,MATCH($A45,RESULTADOS!$A:$A,0),MATCH(AE$1,RESULTADOS!$1:$1,0))</f>
        <v>#N/A</v>
      </c>
      <c r="AF45" s="67" t="e">
        <f ca="1">INDEX(RESULTADOS!$A:$BA,MATCH($A45,RESULTADOS!$A:$A,0),MATCH(AF$1,RESULTADOS!$1:$1,0))</f>
        <v>#N/A</v>
      </c>
      <c r="AG45" s="121" t="e">
        <f t="shared" ca="1" si="19"/>
        <v>#N/A</v>
      </c>
      <c r="AH45" s="121" t="e">
        <f t="shared" ca="1" si="20"/>
        <v>#N/A</v>
      </c>
      <c r="AI45" s="98" t="e">
        <f t="shared" ca="1" si="21"/>
        <v>#N/A</v>
      </c>
      <c r="AJ45" s="98" t="e">
        <f t="shared" ca="1" si="22"/>
        <v>#N/A</v>
      </c>
    </row>
    <row r="46" spans="1:36" x14ac:dyDescent="0.2">
      <c r="A46" s="7">
        <f t="shared" ca="1" si="25"/>
        <v>43845</v>
      </c>
      <c r="B46" s="67" t="e">
        <f ca="1">INDEX(RESULTADOS!$A:$BA,MATCH($A46,RESULTADOS!$A:$A,0),MATCH(B$1,RESULTADOS!$1:$1,0))</f>
        <v>#N/A</v>
      </c>
      <c r="C46" s="31" t="e">
        <f t="shared" ca="1" si="23"/>
        <v>#N/A</v>
      </c>
      <c r="D46" s="67" t="e">
        <f ca="1">INDEX(RESULTADOS!$A:$BA,MATCH($A46,RESULTADOS!$A:$A,0),MATCH(D$1,RESULTADOS!$1:$1,0))</f>
        <v>#N/A</v>
      </c>
      <c r="E46" s="31" t="e">
        <f t="shared" ca="1" si="2"/>
        <v>#N/A</v>
      </c>
      <c r="F46" s="31" t="e">
        <f t="shared" ca="1" si="3"/>
        <v>#N/A</v>
      </c>
      <c r="G46" s="10" t="e">
        <f t="shared" ca="1" si="4"/>
        <v>#N/A</v>
      </c>
      <c r="H46" s="10" t="e">
        <f t="shared" ca="1" si="5"/>
        <v>#N/A</v>
      </c>
      <c r="I46" s="12"/>
      <c r="J46" s="67" t="e">
        <f ca="1">INDEX(RESULTADOS!$A:$BA,MATCH($A46,RESULTADOS!$A:$A,0),MATCH(J$1,RESULTADOS!$1:$1,0))</f>
        <v>#N/A</v>
      </c>
      <c r="K46" s="32" t="e">
        <f t="shared" ca="1" si="6"/>
        <v>#N/A</v>
      </c>
      <c r="L46" s="32" t="e">
        <f t="shared" ca="1" si="7"/>
        <v>#N/A</v>
      </c>
      <c r="M46" s="32" t="e">
        <f t="shared" ca="1" si="8"/>
        <v>#N/A</v>
      </c>
      <c r="N46" s="32" t="e">
        <f t="shared" ca="1" si="9"/>
        <v>#N/A</v>
      </c>
      <c r="O46" s="67" t="e">
        <f ca="1">INDEX(RESULTADOS!$A:$BA,MATCH($A46,RESULTADOS!$A:$A,0),MATCH(O$1,RESULTADOS!$1:$1,0))</f>
        <v>#N/A</v>
      </c>
      <c r="P46" s="31" t="e">
        <f t="shared" ca="1" si="10"/>
        <v>#N/A</v>
      </c>
      <c r="Q46" s="12"/>
      <c r="R46" s="67" t="e">
        <f ca="1">INDEX(RESULTADOS!$A:$BA,MATCH($A46,RESULTADOS!$A:$A,0),MATCH(R$1,RESULTADOS!$1:$1,0))</f>
        <v>#N/A</v>
      </c>
      <c r="S46" s="31" t="e">
        <f t="shared" ca="1" si="24"/>
        <v>#N/A</v>
      </c>
      <c r="T46" s="67" t="e">
        <f ca="1">INDEX(RESULTADOS!$A:$BA,MATCH($A46,RESULTADOS!$A:$A,0),MATCH(T$1,RESULTADOS!$1:$1,0))</f>
        <v>#N/A</v>
      </c>
      <c r="U46" s="33" t="e">
        <f t="shared" ca="1" si="11"/>
        <v>#N/A</v>
      </c>
      <c r="V46" s="10" t="e">
        <f t="shared" ca="1" si="12"/>
        <v>#N/A</v>
      </c>
      <c r="W46" s="33" t="e">
        <f t="shared" ca="1" si="13"/>
        <v>#N/A</v>
      </c>
      <c r="X46" s="10" t="e">
        <f t="shared" ca="1" si="14"/>
        <v>#N/A</v>
      </c>
      <c r="Y46" s="33" t="e">
        <f t="shared" ca="1" si="15"/>
        <v>#N/A</v>
      </c>
      <c r="Z46" s="10" t="e">
        <f t="shared" ca="1" si="16"/>
        <v>#N/A</v>
      </c>
      <c r="AA46" s="12"/>
      <c r="AB46" s="33" t="e">
        <f t="shared" ca="1" si="17"/>
        <v>#N/A</v>
      </c>
      <c r="AC46" s="10" t="e">
        <f t="shared" ca="1" si="18"/>
        <v>#N/A</v>
      </c>
      <c r="AE46" s="208" t="e">
        <f ca="1">INDEX(RESULTADOS!$A:$BA,MATCH($A46,RESULTADOS!$A:$A,0),MATCH(AE$1,RESULTADOS!$1:$1,0))</f>
        <v>#N/A</v>
      </c>
      <c r="AF46" s="67" t="e">
        <f ca="1">INDEX(RESULTADOS!$A:$BA,MATCH($A46,RESULTADOS!$A:$A,0),MATCH(AF$1,RESULTADOS!$1:$1,0))</f>
        <v>#N/A</v>
      </c>
      <c r="AG46" s="121" t="e">
        <f t="shared" ca="1" si="19"/>
        <v>#N/A</v>
      </c>
      <c r="AH46" s="121" t="e">
        <f t="shared" ca="1" si="20"/>
        <v>#N/A</v>
      </c>
      <c r="AI46" s="98" t="e">
        <f t="shared" ca="1" si="21"/>
        <v>#N/A</v>
      </c>
      <c r="AJ46" s="98" t="e">
        <f t="shared" ca="1" si="22"/>
        <v>#N/A</v>
      </c>
    </row>
    <row r="47" spans="1:36" x14ac:dyDescent="0.2">
      <c r="A47" s="7">
        <f t="shared" ca="1" si="25"/>
        <v>43846</v>
      </c>
      <c r="B47" s="67" t="e">
        <f ca="1">INDEX(RESULTADOS!$A:$BA,MATCH($A47,RESULTADOS!$A:$A,0),MATCH(B$1,RESULTADOS!$1:$1,0))</f>
        <v>#N/A</v>
      </c>
      <c r="C47" s="31" t="e">
        <f t="shared" ca="1" si="23"/>
        <v>#N/A</v>
      </c>
      <c r="D47" s="67" t="e">
        <f ca="1">INDEX(RESULTADOS!$A:$BA,MATCH($A47,RESULTADOS!$A:$A,0),MATCH(D$1,RESULTADOS!$1:$1,0))</f>
        <v>#N/A</v>
      </c>
      <c r="E47" s="31" t="e">
        <f t="shared" ca="1" si="2"/>
        <v>#N/A</v>
      </c>
      <c r="F47" s="31" t="e">
        <f t="shared" ca="1" si="3"/>
        <v>#N/A</v>
      </c>
      <c r="G47" s="10" t="e">
        <f t="shared" ca="1" si="4"/>
        <v>#N/A</v>
      </c>
      <c r="H47" s="10" t="e">
        <f t="shared" ca="1" si="5"/>
        <v>#N/A</v>
      </c>
      <c r="I47" s="12"/>
      <c r="J47" s="67" t="e">
        <f ca="1">INDEX(RESULTADOS!$A:$BA,MATCH($A47,RESULTADOS!$A:$A,0),MATCH(J$1,RESULTADOS!$1:$1,0))</f>
        <v>#N/A</v>
      </c>
      <c r="K47" s="32" t="e">
        <f t="shared" ca="1" si="6"/>
        <v>#N/A</v>
      </c>
      <c r="L47" s="32" t="e">
        <f t="shared" ca="1" si="7"/>
        <v>#N/A</v>
      </c>
      <c r="M47" s="32" t="e">
        <f t="shared" ca="1" si="8"/>
        <v>#N/A</v>
      </c>
      <c r="N47" s="32" t="e">
        <f t="shared" ca="1" si="9"/>
        <v>#N/A</v>
      </c>
      <c r="O47" s="67" t="e">
        <f ca="1">INDEX(RESULTADOS!$A:$BA,MATCH($A47,RESULTADOS!$A:$A,0),MATCH(O$1,RESULTADOS!$1:$1,0))</f>
        <v>#N/A</v>
      </c>
      <c r="P47" s="31" t="e">
        <f t="shared" ca="1" si="10"/>
        <v>#N/A</v>
      </c>
      <c r="Q47" s="12"/>
      <c r="R47" s="67" t="e">
        <f ca="1">INDEX(RESULTADOS!$A:$BA,MATCH($A47,RESULTADOS!$A:$A,0),MATCH(R$1,RESULTADOS!$1:$1,0))</f>
        <v>#N/A</v>
      </c>
      <c r="S47" s="31" t="e">
        <f t="shared" ca="1" si="24"/>
        <v>#N/A</v>
      </c>
      <c r="T47" s="67" t="e">
        <f ca="1">INDEX(RESULTADOS!$A:$BA,MATCH($A47,RESULTADOS!$A:$A,0),MATCH(T$1,RESULTADOS!$1:$1,0))</f>
        <v>#N/A</v>
      </c>
      <c r="U47" s="33" t="e">
        <f t="shared" ca="1" si="11"/>
        <v>#N/A</v>
      </c>
      <c r="V47" s="10" t="e">
        <f t="shared" ca="1" si="12"/>
        <v>#N/A</v>
      </c>
      <c r="W47" s="33" t="e">
        <f t="shared" ca="1" si="13"/>
        <v>#N/A</v>
      </c>
      <c r="X47" s="10" t="e">
        <f t="shared" ca="1" si="14"/>
        <v>#N/A</v>
      </c>
      <c r="Y47" s="33" t="e">
        <f t="shared" ca="1" si="15"/>
        <v>#N/A</v>
      </c>
      <c r="Z47" s="10" t="e">
        <f t="shared" ca="1" si="16"/>
        <v>#N/A</v>
      </c>
      <c r="AA47" s="12"/>
      <c r="AB47" s="33" t="e">
        <f t="shared" ca="1" si="17"/>
        <v>#N/A</v>
      </c>
      <c r="AC47" s="10" t="e">
        <f t="shared" ca="1" si="18"/>
        <v>#N/A</v>
      </c>
      <c r="AE47" s="208" t="e">
        <f ca="1">INDEX(RESULTADOS!$A:$BA,MATCH($A47,RESULTADOS!$A:$A,0),MATCH(AE$1,RESULTADOS!$1:$1,0))</f>
        <v>#N/A</v>
      </c>
      <c r="AF47" s="67" t="e">
        <f ca="1">INDEX(RESULTADOS!$A:$BA,MATCH($A47,RESULTADOS!$A:$A,0),MATCH(AF$1,RESULTADOS!$1:$1,0))</f>
        <v>#N/A</v>
      </c>
      <c r="AG47" s="121" t="e">
        <f t="shared" ca="1" si="19"/>
        <v>#N/A</v>
      </c>
      <c r="AH47" s="121" t="e">
        <f t="shared" ca="1" si="20"/>
        <v>#N/A</v>
      </c>
      <c r="AI47" s="98" t="e">
        <f t="shared" ca="1" si="21"/>
        <v>#N/A</v>
      </c>
      <c r="AJ47" s="98" t="e">
        <f t="shared" ca="1" si="22"/>
        <v>#N/A</v>
      </c>
    </row>
    <row r="48" spans="1:36" x14ac:dyDescent="0.2">
      <c r="A48" s="7">
        <f t="shared" ca="1" si="25"/>
        <v>43847</v>
      </c>
      <c r="B48" s="67" t="e">
        <f ca="1">INDEX(RESULTADOS!$A:$BA,MATCH($A48,RESULTADOS!$A:$A,0),MATCH(B$1,RESULTADOS!$1:$1,0))</f>
        <v>#N/A</v>
      </c>
      <c r="C48" s="31" t="e">
        <f t="shared" ca="1" si="23"/>
        <v>#N/A</v>
      </c>
      <c r="D48" s="67" t="e">
        <f ca="1">INDEX(RESULTADOS!$A:$BA,MATCH($A48,RESULTADOS!$A:$A,0),MATCH(D$1,RESULTADOS!$1:$1,0))</f>
        <v>#N/A</v>
      </c>
      <c r="E48" s="31" t="e">
        <f t="shared" ca="1" si="2"/>
        <v>#N/A</v>
      </c>
      <c r="F48" s="31" t="e">
        <f t="shared" ca="1" si="3"/>
        <v>#N/A</v>
      </c>
      <c r="G48" s="10" t="e">
        <f t="shared" ca="1" si="4"/>
        <v>#N/A</v>
      </c>
      <c r="H48" s="10" t="e">
        <f t="shared" ca="1" si="5"/>
        <v>#N/A</v>
      </c>
      <c r="I48" s="12"/>
      <c r="J48" s="67" t="e">
        <f ca="1">INDEX(RESULTADOS!$A:$BA,MATCH($A48,RESULTADOS!$A:$A,0),MATCH(J$1,RESULTADOS!$1:$1,0))</f>
        <v>#N/A</v>
      </c>
      <c r="K48" s="32" t="e">
        <f t="shared" ca="1" si="6"/>
        <v>#N/A</v>
      </c>
      <c r="L48" s="32" t="e">
        <f t="shared" ca="1" si="7"/>
        <v>#N/A</v>
      </c>
      <c r="M48" s="32" t="e">
        <f t="shared" ca="1" si="8"/>
        <v>#N/A</v>
      </c>
      <c r="N48" s="32" t="e">
        <f t="shared" ca="1" si="9"/>
        <v>#N/A</v>
      </c>
      <c r="O48" s="67" t="e">
        <f ca="1">INDEX(RESULTADOS!$A:$BA,MATCH($A48,RESULTADOS!$A:$A,0),MATCH(O$1,RESULTADOS!$1:$1,0))</f>
        <v>#N/A</v>
      </c>
      <c r="P48" s="31" t="e">
        <f t="shared" ca="1" si="10"/>
        <v>#N/A</v>
      </c>
      <c r="Q48" s="12"/>
      <c r="R48" s="67" t="e">
        <f ca="1">INDEX(RESULTADOS!$A:$BA,MATCH($A48,RESULTADOS!$A:$A,0),MATCH(R$1,RESULTADOS!$1:$1,0))</f>
        <v>#N/A</v>
      </c>
      <c r="S48" s="31" t="e">
        <f t="shared" ca="1" si="24"/>
        <v>#N/A</v>
      </c>
      <c r="T48" s="67" t="e">
        <f ca="1">INDEX(RESULTADOS!$A:$BA,MATCH($A48,RESULTADOS!$A:$A,0),MATCH(T$1,RESULTADOS!$1:$1,0))</f>
        <v>#N/A</v>
      </c>
      <c r="U48" s="33" t="e">
        <f t="shared" ca="1" si="11"/>
        <v>#N/A</v>
      </c>
      <c r="V48" s="10" t="e">
        <f t="shared" ca="1" si="12"/>
        <v>#N/A</v>
      </c>
      <c r="W48" s="33" t="e">
        <f t="shared" ca="1" si="13"/>
        <v>#N/A</v>
      </c>
      <c r="X48" s="10" t="e">
        <f t="shared" ca="1" si="14"/>
        <v>#N/A</v>
      </c>
      <c r="Y48" s="33" t="e">
        <f t="shared" ca="1" si="15"/>
        <v>#N/A</v>
      </c>
      <c r="Z48" s="10" t="e">
        <f t="shared" ca="1" si="16"/>
        <v>#N/A</v>
      </c>
      <c r="AA48" s="12"/>
      <c r="AB48" s="33" t="e">
        <f t="shared" ca="1" si="17"/>
        <v>#N/A</v>
      </c>
      <c r="AC48" s="10" t="e">
        <f t="shared" ca="1" si="18"/>
        <v>#N/A</v>
      </c>
      <c r="AE48" s="208" t="e">
        <f ca="1">INDEX(RESULTADOS!$A:$BA,MATCH($A48,RESULTADOS!$A:$A,0),MATCH(AE$1,RESULTADOS!$1:$1,0))</f>
        <v>#N/A</v>
      </c>
      <c r="AF48" s="67" t="e">
        <f ca="1">INDEX(RESULTADOS!$A:$BA,MATCH($A48,RESULTADOS!$A:$A,0),MATCH(AF$1,RESULTADOS!$1:$1,0))</f>
        <v>#N/A</v>
      </c>
      <c r="AG48" s="121" t="e">
        <f t="shared" ca="1" si="19"/>
        <v>#N/A</v>
      </c>
      <c r="AH48" s="121" t="e">
        <f t="shared" ca="1" si="20"/>
        <v>#N/A</v>
      </c>
      <c r="AI48" s="98" t="e">
        <f t="shared" ca="1" si="21"/>
        <v>#N/A</v>
      </c>
      <c r="AJ48" s="98" t="e">
        <f t="shared" ca="1" si="22"/>
        <v>#N/A</v>
      </c>
    </row>
    <row r="49" spans="1:36" x14ac:dyDescent="0.2">
      <c r="A49" s="7">
        <f t="shared" ca="1" si="25"/>
        <v>43848</v>
      </c>
      <c r="B49" s="67" t="e">
        <f ca="1">INDEX(RESULTADOS!$A:$BA,MATCH($A49,RESULTADOS!$A:$A,0),MATCH(B$1,RESULTADOS!$1:$1,0))</f>
        <v>#N/A</v>
      </c>
      <c r="C49" s="31" t="e">
        <f t="shared" ca="1" si="23"/>
        <v>#N/A</v>
      </c>
      <c r="D49" s="67" t="e">
        <f ca="1">INDEX(RESULTADOS!$A:$BA,MATCH($A49,RESULTADOS!$A:$A,0),MATCH(D$1,RESULTADOS!$1:$1,0))</f>
        <v>#N/A</v>
      </c>
      <c r="E49" s="31" t="e">
        <f t="shared" ca="1" si="2"/>
        <v>#N/A</v>
      </c>
      <c r="F49" s="31" t="e">
        <f t="shared" ca="1" si="3"/>
        <v>#N/A</v>
      </c>
      <c r="G49" s="10" t="e">
        <f t="shared" ca="1" si="4"/>
        <v>#N/A</v>
      </c>
      <c r="H49" s="10" t="e">
        <f t="shared" ca="1" si="5"/>
        <v>#N/A</v>
      </c>
      <c r="I49" s="12"/>
      <c r="J49" s="67" t="e">
        <f ca="1">INDEX(RESULTADOS!$A:$BA,MATCH($A49,RESULTADOS!$A:$A,0),MATCH(J$1,RESULTADOS!$1:$1,0))</f>
        <v>#N/A</v>
      </c>
      <c r="K49" s="32" t="e">
        <f t="shared" ca="1" si="6"/>
        <v>#N/A</v>
      </c>
      <c r="L49" s="32" t="e">
        <f t="shared" ca="1" si="7"/>
        <v>#N/A</v>
      </c>
      <c r="M49" s="32" t="e">
        <f t="shared" ca="1" si="8"/>
        <v>#N/A</v>
      </c>
      <c r="N49" s="32" t="e">
        <f t="shared" ca="1" si="9"/>
        <v>#N/A</v>
      </c>
      <c r="O49" s="67" t="e">
        <f ca="1">INDEX(RESULTADOS!$A:$BA,MATCH($A49,RESULTADOS!$A:$A,0),MATCH(O$1,RESULTADOS!$1:$1,0))</f>
        <v>#N/A</v>
      </c>
      <c r="P49" s="31" t="e">
        <f t="shared" ca="1" si="10"/>
        <v>#N/A</v>
      </c>
      <c r="Q49" s="12"/>
      <c r="R49" s="67" t="e">
        <f ca="1">INDEX(RESULTADOS!$A:$BA,MATCH($A49,RESULTADOS!$A:$A,0),MATCH(R$1,RESULTADOS!$1:$1,0))</f>
        <v>#N/A</v>
      </c>
      <c r="S49" s="31" t="e">
        <f t="shared" ca="1" si="24"/>
        <v>#N/A</v>
      </c>
      <c r="T49" s="67" t="e">
        <f ca="1">INDEX(RESULTADOS!$A:$BA,MATCH($A49,RESULTADOS!$A:$A,0),MATCH(T$1,RESULTADOS!$1:$1,0))</f>
        <v>#N/A</v>
      </c>
      <c r="U49" s="33" t="e">
        <f t="shared" ca="1" si="11"/>
        <v>#N/A</v>
      </c>
      <c r="V49" s="10" t="e">
        <f t="shared" ca="1" si="12"/>
        <v>#N/A</v>
      </c>
      <c r="W49" s="33" t="e">
        <f t="shared" ca="1" si="13"/>
        <v>#N/A</v>
      </c>
      <c r="X49" s="10" t="e">
        <f t="shared" ca="1" si="14"/>
        <v>#N/A</v>
      </c>
      <c r="Y49" s="33" t="e">
        <f t="shared" ca="1" si="15"/>
        <v>#N/A</v>
      </c>
      <c r="Z49" s="10" t="e">
        <f t="shared" ca="1" si="16"/>
        <v>#N/A</v>
      </c>
      <c r="AA49" s="12"/>
      <c r="AB49" s="33" t="e">
        <f t="shared" ca="1" si="17"/>
        <v>#N/A</v>
      </c>
      <c r="AC49" s="10" t="e">
        <f t="shared" ca="1" si="18"/>
        <v>#N/A</v>
      </c>
      <c r="AE49" s="208" t="e">
        <f ca="1">INDEX(RESULTADOS!$A:$BA,MATCH($A49,RESULTADOS!$A:$A,0),MATCH(AE$1,RESULTADOS!$1:$1,0))</f>
        <v>#N/A</v>
      </c>
      <c r="AF49" s="67" t="e">
        <f ca="1">INDEX(RESULTADOS!$A:$BA,MATCH($A49,RESULTADOS!$A:$A,0),MATCH(AF$1,RESULTADOS!$1:$1,0))</f>
        <v>#N/A</v>
      </c>
      <c r="AG49" s="121" t="e">
        <f t="shared" ca="1" si="19"/>
        <v>#N/A</v>
      </c>
      <c r="AH49" s="121" t="e">
        <f t="shared" ca="1" si="20"/>
        <v>#N/A</v>
      </c>
      <c r="AI49" s="98" t="e">
        <f t="shared" ca="1" si="21"/>
        <v>#N/A</v>
      </c>
      <c r="AJ49" s="98" t="e">
        <f t="shared" ca="1" si="22"/>
        <v>#N/A</v>
      </c>
    </row>
    <row r="50" spans="1:36" x14ac:dyDescent="0.2">
      <c r="A50" s="7">
        <f t="shared" ca="1" si="25"/>
        <v>43849</v>
      </c>
      <c r="B50" s="67" t="e">
        <f ca="1">INDEX(RESULTADOS!$A:$BA,MATCH($A50,RESULTADOS!$A:$A,0),MATCH(B$1,RESULTADOS!$1:$1,0))</f>
        <v>#N/A</v>
      </c>
      <c r="C50" s="31" t="e">
        <f t="shared" ca="1" si="23"/>
        <v>#N/A</v>
      </c>
      <c r="D50" s="67" t="e">
        <f ca="1">INDEX(RESULTADOS!$A:$BA,MATCH($A50,RESULTADOS!$A:$A,0),MATCH(D$1,RESULTADOS!$1:$1,0))</f>
        <v>#N/A</v>
      </c>
      <c r="E50" s="31" t="e">
        <f t="shared" ca="1" si="2"/>
        <v>#N/A</v>
      </c>
      <c r="F50" s="31" t="e">
        <f t="shared" ca="1" si="3"/>
        <v>#N/A</v>
      </c>
      <c r="G50" s="10" t="e">
        <f t="shared" ca="1" si="4"/>
        <v>#N/A</v>
      </c>
      <c r="H50" s="10" t="e">
        <f t="shared" ca="1" si="5"/>
        <v>#N/A</v>
      </c>
      <c r="I50" s="12"/>
      <c r="J50" s="67" t="e">
        <f ca="1">INDEX(RESULTADOS!$A:$BA,MATCH($A50,RESULTADOS!$A:$A,0),MATCH(J$1,RESULTADOS!$1:$1,0))</f>
        <v>#N/A</v>
      </c>
      <c r="K50" s="32" t="e">
        <f t="shared" ca="1" si="6"/>
        <v>#N/A</v>
      </c>
      <c r="L50" s="32" t="e">
        <f t="shared" ca="1" si="7"/>
        <v>#N/A</v>
      </c>
      <c r="M50" s="32" t="e">
        <f t="shared" ca="1" si="8"/>
        <v>#N/A</v>
      </c>
      <c r="N50" s="32" t="e">
        <f t="shared" ca="1" si="9"/>
        <v>#N/A</v>
      </c>
      <c r="O50" s="67" t="e">
        <f ca="1">INDEX(RESULTADOS!$A:$BA,MATCH($A50,RESULTADOS!$A:$A,0),MATCH(O$1,RESULTADOS!$1:$1,0))</f>
        <v>#N/A</v>
      </c>
      <c r="P50" s="31" t="e">
        <f t="shared" ca="1" si="10"/>
        <v>#N/A</v>
      </c>
      <c r="Q50" s="12"/>
      <c r="R50" s="67" t="e">
        <f ca="1">INDEX(RESULTADOS!$A:$BA,MATCH($A50,RESULTADOS!$A:$A,0),MATCH(R$1,RESULTADOS!$1:$1,0))</f>
        <v>#N/A</v>
      </c>
      <c r="S50" s="31" t="e">
        <f t="shared" ca="1" si="24"/>
        <v>#N/A</v>
      </c>
      <c r="T50" s="67" t="e">
        <f ca="1">INDEX(RESULTADOS!$A:$BA,MATCH($A50,RESULTADOS!$A:$A,0),MATCH(T$1,RESULTADOS!$1:$1,0))</f>
        <v>#N/A</v>
      </c>
      <c r="U50" s="33" t="e">
        <f t="shared" ca="1" si="11"/>
        <v>#N/A</v>
      </c>
      <c r="V50" s="10" t="e">
        <f t="shared" ca="1" si="12"/>
        <v>#N/A</v>
      </c>
      <c r="W50" s="33" t="e">
        <f t="shared" ca="1" si="13"/>
        <v>#N/A</v>
      </c>
      <c r="X50" s="10" t="e">
        <f t="shared" ca="1" si="14"/>
        <v>#N/A</v>
      </c>
      <c r="Y50" s="33" t="e">
        <f t="shared" ca="1" si="15"/>
        <v>#N/A</v>
      </c>
      <c r="Z50" s="10" t="e">
        <f t="shared" ca="1" si="16"/>
        <v>#N/A</v>
      </c>
      <c r="AA50" s="12"/>
      <c r="AB50" s="33" t="e">
        <f t="shared" ca="1" si="17"/>
        <v>#N/A</v>
      </c>
      <c r="AC50" s="10" t="e">
        <f t="shared" ca="1" si="18"/>
        <v>#N/A</v>
      </c>
      <c r="AE50" s="208" t="e">
        <f ca="1">INDEX(RESULTADOS!$A:$BA,MATCH($A50,RESULTADOS!$A:$A,0),MATCH(AE$1,RESULTADOS!$1:$1,0))</f>
        <v>#N/A</v>
      </c>
      <c r="AF50" s="67" t="e">
        <f ca="1">INDEX(RESULTADOS!$A:$BA,MATCH($A50,RESULTADOS!$A:$A,0),MATCH(AF$1,RESULTADOS!$1:$1,0))</f>
        <v>#N/A</v>
      </c>
      <c r="AG50" s="121" t="e">
        <f t="shared" ca="1" si="19"/>
        <v>#N/A</v>
      </c>
      <c r="AH50" s="121" t="e">
        <f t="shared" ca="1" si="20"/>
        <v>#N/A</v>
      </c>
      <c r="AI50" s="98" t="e">
        <f t="shared" ca="1" si="21"/>
        <v>#N/A</v>
      </c>
      <c r="AJ50" s="98" t="e">
        <f t="shared" ca="1" si="22"/>
        <v>#N/A</v>
      </c>
    </row>
    <row r="51" spans="1:36" x14ac:dyDescent="0.2">
      <c r="A51" s="7">
        <f t="shared" ref="A51:A110" ca="1" si="26">A50+1</f>
        <v>43850</v>
      </c>
      <c r="B51" s="67" t="e">
        <f ca="1">INDEX(RESULTADOS!$A:$BA,MATCH($A51,RESULTADOS!$A:$A,0),MATCH(B$1,RESULTADOS!$1:$1,0))</f>
        <v>#N/A</v>
      </c>
      <c r="C51" s="31" t="e">
        <f t="shared" ref="C51:C69" ca="1" si="27">B51</f>
        <v>#N/A</v>
      </c>
      <c r="D51" s="67" t="e">
        <f ca="1">INDEX(RESULTADOS!$A:$BA,MATCH($A51,RESULTADOS!$A:$A,0),MATCH(D$1,RESULTADOS!$1:$1,0))</f>
        <v>#N/A</v>
      </c>
      <c r="E51" s="31" t="e">
        <f t="shared" ca="1" si="2"/>
        <v>#N/A</v>
      </c>
      <c r="F51" s="31" t="e">
        <f t="shared" ref="F51:F69" ca="1" si="28">((C51*(24-$C$3)+C50*$C$3)/24)+E51</f>
        <v>#N/A</v>
      </c>
      <c r="G51" s="10" t="e">
        <f t="shared" ca="1" si="4"/>
        <v>#N/A</v>
      </c>
      <c r="H51" s="10" t="e">
        <f t="shared" ref="H51:H69" ca="1" si="29">((F51*(24-$F$3)+F50*$F$3)/24)+G51</f>
        <v>#N/A</v>
      </c>
      <c r="I51" s="12"/>
      <c r="J51" s="67" t="e">
        <f ca="1">INDEX(RESULTADOS!$A:$BA,MATCH($A51,RESULTADOS!$A:$A,0),MATCH(J$1,RESULTADOS!$1:$1,0))</f>
        <v>#N/A</v>
      </c>
      <c r="K51" s="32" t="e">
        <f t="shared" ca="1" si="6"/>
        <v>#N/A</v>
      </c>
      <c r="L51" s="32" t="e">
        <f t="shared" ref="L51:L69" ca="1" si="30">K51</f>
        <v>#N/A</v>
      </c>
      <c r="M51" s="32" t="e">
        <f t="shared" ca="1" si="8"/>
        <v>#N/A</v>
      </c>
      <c r="N51" s="32" t="e">
        <f t="shared" ref="N51:N69" ca="1" si="31">((K51*(24-$K$3)+K50*$K$3)/24)+M51</f>
        <v>#N/A</v>
      </c>
      <c r="O51" s="67" t="e">
        <f ca="1">INDEX(RESULTADOS!$A:$BA,MATCH($A51,RESULTADOS!$A:$A,0),MATCH(O$1,RESULTADOS!$1:$1,0))</f>
        <v>#N/A</v>
      </c>
      <c r="P51" s="31" t="e">
        <f t="shared" ref="P51:P69" ca="1" si="32">((N51*(24-$N$3)+N50*$N$3)/24)+O51</f>
        <v>#N/A</v>
      </c>
      <c r="Q51" s="12"/>
      <c r="R51" s="67" t="e">
        <f ca="1">INDEX(RESULTADOS!$A:$BA,MATCH($A51,RESULTADOS!$A:$A,0),MATCH(R$1,RESULTADOS!$1:$1,0))</f>
        <v>#N/A</v>
      </c>
      <c r="S51" s="31" t="e">
        <f t="shared" ref="S51:S69" ca="1" si="33">R51</f>
        <v>#N/A</v>
      </c>
      <c r="T51" s="67" t="e">
        <f ca="1">INDEX(RESULTADOS!$A:$BA,MATCH($A51,RESULTADOS!$A:$A,0),MATCH(T$1,RESULTADOS!$1:$1,0))</f>
        <v>#N/A</v>
      </c>
      <c r="U51" s="33" t="e">
        <f t="shared" ca="1" si="11"/>
        <v>#N/A</v>
      </c>
      <c r="V51" s="10" t="e">
        <f t="shared" ref="V51:V69" ca="1" si="34">((S51*(24-$S$3)+S50*$S$3)/24)+U51</f>
        <v>#N/A</v>
      </c>
      <c r="W51" s="33" t="e">
        <f t="shared" ca="1" si="13"/>
        <v>#N/A</v>
      </c>
      <c r="X51" s="10" t="e">
        <f t="shared" ref="X51:X69" ca="1" si="35">((V51*(24-$V$3)+V50*$V$3)/24)+W51</f>
        <v>#N/A</v>
      </c>
      <c r="Y51" s="33" t="e">
        <f t="shared" ca="1" si="15"/>
        <v>#N/A</v>
      </c>
      <c r="Z51" s="10" t="e">
        <f t="shared" ref="Z51:Z69" ca="1" si="36">((X51*(24-$X$3)+X50*$X$3)/24)+Y51</f>
        <v>#N/A</v>
      </c>
      <c r="AA51" s="12"/>
      <c r="AB51" s="33" t="e">
        <f t="shared" ca="1" si="17"/>
        <v>#N/A</v>
      </c>
      <c r="AC51" s="10" t="e">
        <f t="shared" ref="AC51:AC69" ca="1" si="37">((Z51*(24-$Z$3)+Z50*$Z$3)/24)+((P51*(24-$P$3)+P50*$P$3)/24)+((H51*(24-$H$3)+H50*$H$3)/24)+AB51</f>
        <v>#N/A</v>
      </c>
      <c r="AE51" s="208" t="e">
        <f ca="1">INDEX(RESULTADOS!$A:$BA,MATCH($A51,RESULTADOS!$A:$A,0),MATCH(AE$1,RESULTADOS!$1:$1,0))</f>
        <v>#N/A</v>
      </c>
      <c r="AF51" s="67" t="e">
        <f ca="1">INDEX(RESULTADOS!$A:$BA,MATCH($A51,RESULTADOS!$A:$A,0),MATCH(AF$1,RESULTADOS!$1:$1,0))</f>
        <v>#N/A</v>
      </c>
      <c r="AG51" s="121" t="e">
        <f t="shared" ca="1" si="19"/>
        <v>#N/A</v>
      </c>
      <c r="AH51" s="121" t="e">
        <f t="shared" ca="1" si="20"/>
        <v>#N/A</v>
      </c>
      <c r="AI51" s="98" t="e">
        <f t="shared" ca="1" si="21"/>
        <v>#N/A</v>
      </c>
      <c r="AJ51" s="98" t="e">
        <f t="shared" ca="1" si="22"/>
        <v>#N/A</v>
      </c>
    </row>
    <row r="52" spans="1:36" x14ac:dyDescent="0.2">
      <c r="A52" s="7">
        <f t="shared" ca="1" si="26"/>
        <v>43851</v>
      </c>
      <c r="B52" s="67" t="e">
        <f ca="1">INDEX(RESULTADOS!$A:$BA,MATCH($A52,RESULTADOS!$A:$A,0),MATCH(B$1,RESULTADOS!$1:$1,0))</f>
        <v>#N/A</v>
      </c>
      <c r="C52" s="31" t="e">
        <f t="shared" ca="1" si="27"/>
        <v>#N/A</v>
      </c>
      <c r="D52" s="67" t="e">
        <f ca="1">INDEX(RESULTADOS!$A:$BA,MATCH($A52,RESULTADOS!$A:$A,0),MATCH(D$1,RESULTADOS!$1:$1,0))</f>
        <v>#N/A</v>
      </c>
      <c r="E52" s="31" t="e">
        <f t="shared" ca="1" si="2"/>
        <v>#N/A</v>
      </c>
      <c r="F52" s="31" t="e">
        <f t="shared" ca="1" si="28"/>
        <v>#N/A</v>
      </c>
      <c r="G52" s="10" t="e">
        <f t="shared" ca="1" si="4"/>
        <v>#N/A</v>
      </c>
      <c r="H52" s="10" t="e">
        <f t="shared" ca="1" si="29"/>
        <v>#N/A</v>
      </c>
      <c r="I52" s="12"/>
      <c r="J52" s="67" t="e">
        <f ca="1">INDEX(RESULTADOS!$A:$BA,MATCH($A52,RESULTADOS!$A:$A,0),MATCH(J$1,RESULTADOS!$1:$1,0))</f>
        <v>#N/A</v>
      </c>
      <c r="K52" s="32" t="e">
        <f t="shared" ca="1" si="6"/>
        <v>#N/A</v>
      </c>
      <c r="L52" s="32" t="e">
        <f t="shared" ca="1" si="30"/>
        <v>#N/A</v>
      </c>
      <c r="M52" s="32" t="e">
        <f t="shared" ca="1" si="8"/>
        <v>#N/A</v>
      </c>
      <c r="N52" s="32" t="e">
        <f t="shared" ca="1" si="31"/>
        <v>#N/A</v>
      </c>
      <c r="O52" s="67" t="e">
        <f ca="1">INDEX(RESULTADOS!$A:$BA,MATCH($A52,RESULTADOS!$A:$A,0),MATCH(O$1,RESULTADOS!$1:$1,0))</f>
        <v>#N/A</v>
      </c>
      <c r="P52" s="31" t="e">
        <f t="shared" ca="1" si="32"/>
        <v>#N/A</v>
      </c>
      <c r="Q52" s="12"/>
      <c r="R52" s="67" t="e">
        <f ca="1">INDEX(RESULTADOS!$A:$BA,MATCH($A52,RESULTADOS!$A:$A,0),MATCH(R$1,RESULTADOS!$1:$1,0))</f>
        <v>#N/A</v>
      </c>
      <c r="S52" s="31" t="e">
        <f t="shared" ca="1" si="33"/>
        <v>#N/A</v>
      </c>
      <c r="T52" s="67" t="e">
        <f ca="1">INDEX(RESULTADOS!$A:$BA,MATCH($A52,RESULTADOS!$A:$A,0),MATCH(T$1,RESULTADOS!$1:$1,0))</f>
        <v>#N/A</v>
      </c>
      <c r="U52" s="33" t="e">
        <f t="shared" ca="1" si="11"/>
        <v>#N/A</v>
      </c>
      <c r="V52" s="10" t="e">
        <f t="shared" ca="1" si="34"/>
        <v>#N/A</v>
      </c>
      <c r="W52" s="33" t="e">
        <f t="shared" ca="1" si="13"/>
        <v>#N/A</v>
      </c>
      <c r="X52" s="10" t="e">
        <f t="shared" ca="1" si="35"/>
        <v>#N/A</v>
      </c>
      <c r="Y52" s="33" t="e">
        <f t="shared" ca="1" si="15"/>
        <v>#N/A</v>
      </c>
      <c r="Z52" s="10" t="e">
        <f t="shared" ca="1" si="36"/>
        <v>#N/A</v>
      </c>
      <c r="AA52" s="12"/>
      <c r="AB52" s="33" t="e">
        <f t="shared" ca="1" si="17"/>
        <v>#N/A</v>
      </c>
      <c r="AC52" s="10" t="e">
        <f t="shared" ca="1" si="37"/>
        <v>#N/A</v>
      </c>
      <c r="AE52" s="208" t="e">
        <f ca="1">INDEX(RESULTADOS!$A:$BA,MATCH($A52,RESULTADOS!$A:$A,0),MATCH(AE$1,RESULTADOS!$1:$1,0))</f>
        <v>#N/A</v>
      </c>
      <c r="AF52" s="67" t="e">
        <f ca="1">INDEX(RESULTADOS!$A:$BA,MATCH($A52,RESULTADOS!$A:$A,0),MATCH(AF$1,RESULTADOS!$1:$1,0))</f>
        <v>#N/A</v>
      </c>
      <c r="AG52" s="121" t="e">
        <f t="shared" ca="1" si="19"/>
        <v>#N/A</v>
      </c>
      <c r="AH52" s="121" t="e">
        <f t="shared" ca="1" si="20"/>
        <v>#N/A</v>
      </c>
      <c r="AI52" s="98" t="e">
        <f t="shared" ca="1" si="21"/>
        <v>#N/A</v>
      </c>
      <c r="AJ52" s="98" t="e">
        <f t="shared" ca="1" si="22"/>
        <v>#N/A</v>
      </c>
    </row>
    <row r="53" spans="1:36" x14ac:dyDescent="0.2">
      <c r="A53" s="7">
        <f t="shared" ca="1" si="26"/>
        <v>43852</v>
      </c>
      <c r="B53" s="67" t="e">
        <f ca="1">INDEX(RESULTADOS!$A:$BA,MATCH($A53,RESULTADOS!$A:$A,0),MATCH(B$1,RESULTADOS!$1:$1,0))</f>
        <v>#N/A</v>
      </c>
      <c r="C53" s="31" t="e">
        <f t="shared" ca="1" si="27"/>
        <v>#N/A</v>
      </c>
      <c r="D53" s="67" t="e">
        <f ca="1">INDEX(RESULTADOS!$A:$BA,MATCH($A53,RESULTADOS!$A:$A,0),MATCH(D$1,RESULTADOS!$1:$1,0))</f>
        <v>#N/A</v>
      </c>
      <c r="E53" s="31" t="e">
        <f t="shared" ca="1" si="2"/>
        <v>#N/A</v>
      </c>
      <c r="F53" s="31" t="e">
        <f t="shared" ca="1" si="28"/>
        <v>#N/A</v>
      </c>
      <c r="G53" s="10" t="e">
        <f t="shared" ca="1" si="4"/>
        <v>#N/A</v>
      </c>
      <c r="H53" s="10" t="e">
        <f t="shared" ca="1" si="29"/>
        <v>#N/A</v>
      </c>
      <c r="I53" s="12"/>
      <c r="J53" s="67" t="e">
        <f ca="1">INDEX(RESULTADOS!$A:$BA,MATCH($A53,RESULTADOS!$A:$A,0),MATCH(J$1,RESULTADOS!$1:$1,0))</f>
        <v>#N/A</v>
      </c>
      <c r="K53" s="32" t="e">
        <f t="shared" ca="1" si="6"/>
        <v>#N/A</v>
      </c>
      <c r="L53" s="32" t="e">
        <f t="shared" ca="1" si="30"/>
        <v>#N/A</v>
      </c>
      <c r="M53" s="32" t="e">
        <f t="shared" ca="1" si="8"/>
        <v>#N/A</v>
      </c>
      <c r="N53" s="32" t="e">
        <f t="shared" ca="1" si="31"/>
        <v>#N/A</v>
      </c>
      <c r="O53" s="67" t="e">
        <f ca="1">INDEX(RESULTADOS!$A:$BA,MATCH($A53,RESULTADOS!$A:$A,0),MATCH(O$1,RESULTADOS!$1:$1,0))</f>
        <v>#N/A</v>
      </c>
      <c r="P53" s="31" t="e">
        <f t="shared" ca="1" si="32"/>
        <v>#N/A</v>
      </c>
      <c r="Q53" s="12"/>
      <c r="R53" s="67" t="e">
        <f ca="1">INDEX(RESULTADOS!$A:$BA,MATCH($A53,RESULTADOS!$A:$A,0),MATCH(R$1,RESULTADOS!$1:$1,0))</f>
        <v>#N/A</v>
      </c>
      <c r="S53" s="31" t="e">
        <f t="shared" ca="1" si="33"/>
        <v>#N/A</v>
      </c>
      <c r="T53" s="67" t="e">
        <f ca="1">INDEX(RESULTADOS!$A:$BA,MATCH($A53,RESULTADOS!$A:$A,0),MATCH(T$1,RESULTADOS!$1:$1,0))</f>
        <v>#N/A</v>
      </c>
      <c r="U53" s="33" t="e">
        <f t="shared" ca="1" si="11"/>
        <v>#N/A</v>
      </c>
      <c r="V53" s="10" t="e">
        <f t="shared" ca="1" si="34"/>
        <v>#N/A</v>
      </c>
      <c r="W53" s="33" t="e">
        <f t="shared" ca="1" si="13"/>
        <v>#N/A</v>
      </c>
      <c r="X53" s="10" t="e">
        <f t="shared" ca="1" si="35"/>
        <v>#N/A</v>
      </c>
      <c r="Y53" s="33" t="e">
        <f t="shared" ca="1" si="15"/>
        <v>#N/A</v>
      </c>
      <c r="Z53" s="10" t="e">
        <f t="shared" ca="1" si="36"/>
        <v>#N/A</v>
      </c>
      <c r="AA53" s="12"/>
      <c r="AB53" s="33" t="e">
        <f t="shared" ca="1" si="17"/>
        <v>#N/A</v>
      </c>
      <c r="AC53" s="10" t="e">
        <f t="shared" ca="1" si="37"/>
        <v>#N/A</v>
      </c>
      <c r="AE53" s="208" t="e">
        <f ca="1">INDEX(RESULTADOS!$A:$BA,MATCH($A53,RESULTADOS!$A:$A,0),MATCH(AE$1,RESULTADOS!$1:$1,0))</f>
        <v>#N/A</v>
      </c>
      <c r="AF53" s="67" t="e">
        <f ca="1">INDEX(RESULTADOS!$A:$BA,MATCH($A53,RESULTADOS!$A:$A,0),MATCH(AF$1,RESULTADOS!$1:$1,0))</f>
        <v>#N/A</v>
      </c>
      <c r="AG53" s="121" t="e">
        <f t="shared" ca="1" si="19"/>
        <v>#N/A</v>
      </c>
      <c r="AH53" s="121" t="e">
        <f t="shared" ca="1" si="20"/>
        <v>#N/A</v>
      </c>
      <c r="AI53" s="98" t="e">
        <f t="shared" ca="1" si="21"/>
        <v>#N/A</v>
      </c>
      <c r="AJ53" s="98" t="e">
        <f t="shared" ca="1" si="22"/>
        <v>#N/A</v>
      </c>
    </row>
    <row r="54" spans="1:36" x14ac:dyDescent="0.2">
      <c r="A54" s="7">
        <f t="shared" ca="1" si="26"/>
        <v>43853</v>
      </c>
      <c r="B54" s="67" t="e">
        <f ca="1">INDEX(RESULTADOS!$A:$BA,MATCH($A54,RESULTADOS!$A:$A,0),MATCH(B$1,RESULTADOS!$1:$1,0))</f>
        <v>#N/A</v>
      </c>
      <c r="C54" s="31" t="e">
        <f t="shared" ca="1" si="27"/>
        <v>#N/A</v>
      </c>
      <c r="D54" s="67" t="e">
        <f ca="1">INDEX(RESULTADOS!$A:$BA,MATCH($A54,RESULTADOS!$A:$A,0),MATCH(D$1,RESULTADOS!$1:$1,0))</f>
        <v>#N/A</v>
      </c>
      <c r="E54" s="31" t="e">
        <f t="shared" ca="1" si="2"/>
        <v>#N/A</v>
      </c>
      <c r="F54" s="31" t="e">
        <f t="shared" ca="1" si="28"/>
        <v>#N/A</v>
      </c>
      <c r="G54" s="10" t="e">
        <f t="shared" ca="1" si="4"/>
        <v>#N/A</v>
      </c>
      <c r="H54" s="10" t="e">
        <f t="shared" ca="1" si="29"/>
        <v>#N/A</v>
      </c>
      <c r="I54" s="12"/>
      <c r="J54" s="67" t="e">
        <f ca="1">INDEX(RESULTADOS!$A:$BA,MATCH($A54,RESULTADOS!$A:$A,0),MATCH(J$1,RESULTADOS!$1:$1,0))</f>
        <v>#N/A</v>
      </c>
      <c r="K54" s="32" t="e">
        <f t="shared" ca="1" si="6"/>
        <v>#N/A</v>
      </c>
      <c r="L54" s="32" t="e">
        <f t="shared" ca="1" si="30"/>
        <v>#N/A</v>
      </c>
      <c r="M54" s="32" t="e">
        <f t="shared" ca="1" si="8"/>
        <v>#N/A</v>
      </c>
      <c r="N54" s="32" t="e">
        <f t="shared" ca="1" si="31"/>
        <v>#N/A</v>
      </c>
      <c r="O54" s="67" t="e">
        <f ca="1">INDEX(RESULTADOS!$A:$BA,MATCH($A54,RESULTADOS!$A:$A,0),MATCH(O$1,RESULTADOS!$1:$1,0))</f>
        <v>#N/A</v>
      </c>
      <c r="P54" s="31" t="e">
        <f t="shared" ca="1" si="32"/>
        <v>#N/A</v>
      </c>
      <c r="Q54" s="12"/>
      <c r="R54" s="67" t="e">
        <f ca="1">INDEX(RESULTADOS!$A:$BA,MATCH($A54,RESULTADOS!$A:$A,0),MATCH(R$1,RESULTADOS!$1:$1,0))</f>
        <v>#N/A</v>
      </c>
      <c r="S54" s="31" t="e">
        <f t="shared" ca="1" si="33"/>
        <v>#N/A</v>
      </c>
      <c r="T54" s="67" t="e">
        <f ca="1">INDEX(RESULTADOS!$A:$BA,MATCH($A54,RESULTADOS!$A:$A,0),MATCH(T$1,RESULTADOS!$1:$1,0))</f>
        <v>#N/A</v>
      </c>
      <c r="U54" s="33" t="e">
        <f t="shared" ca="1" si="11"/>
        <v>#N/A</v>
      </c>
      <c r="V54" s="10" t="e">
        <f t="shared" ca="1" si="34"/>
        <v>#N/A</v>
      </c>
      <c r="W54" s="33" t="e">
        <f t="shared" ca="1" si="13"/>
        <v>#N/A</v>
      </c>
      <c r="X54" s="10" t="e">
        <f t="shared" ca="1" si="35"/>
        <v>#N/A</v>
      </c>
      <c r="Y54" s="33" t="e">
        <f t="shared" ca="1" si="15"/>
        <v>#N/A</v>
      </c>
      <c r="Z54" s="10" t="e">
        <f t="shared" ca="1" si="36"/>
        <v>#N/A</v>
      </c>
      <c r="AA54" s="12"/>
      <c r="AB54" s="33" t="e">
        <f t="shared" ca="1" si="17"/>
        <v>#N/A</v>
      </c>
      <c r="AC54" s="10" t="e">
        <f t="shared" ca="1" si="37"/>
        <v>#N/A</v>
      </c>
      <c r="AE54" s="208" t="e">
        <f ca="1">INDEX(RESULTADOS!$A:$BA,MATCH($A54,RESULTADOS!$A:$A,0),MATCH(AE$1,RESULTADOS!$1:$1,0))</f>
        <v>#N/A</v>
      </c>
      <c r="AF54" s="67" t="e">
        <f ca="1">INDEX(RESULTADOS!$A:$BA,MATCH($A54,RESULTADOS!$A:$A,0),MATCH(AF$1,RESULTADOS!$1:$1,0))</f>
        <v>#N/A</v>
      </c>
      <c r="AG54" s="121" t="e">
        <f t="shared" ca="1" si="19"/>
        <v>#N/A</v>
      </c>
      <c r="AH54" s="121" t="e">
        <f t="shared" ca="1" si="20"/>
        <v>#N/A</v>
      </c>
      <c r="AI54" s="98" t="e">
        <f t="shared" ca="1" si="21"/>
        <v>#N/A</v>
      </c>
      <c r="AJ54" s="98" t="e">
        <f t="shared" ca="1" si="22"/>
        <v>#N/A</v>
      </c>
    </row>
    <row r="55" spans="1:36" x14ac:dyDescent="0.2">
      <c r="A55" s="7">
        <f t="shared" ca="1" si="26"/>
        <v>43854</v>
      </c>
      <c r="B55" s="67" t="e">
        <f ca="1">INDEX(RESULTADOS!$A:$BA,MATCH($A55,RESULTADOS!$A:$A,0),MATCH(B$1,RESULTADOS!$1:$1,0))</f>
        <v>#N/A</v>
      </c>
      <c r="C55" s="31" t="e">
        <f t="shared" ca="1" si="27"/>
        <v>#N/A</v>
      </c>
      <c r="D55" s="67" t="e">
        <f ca="1">INDEX(RESULTADOS!$A:$BA,MATCH($A55,RESULTADOS!$A:$A,0),MATCH(D$1,RESULTADOS!$1:$1,0))</f>
        <v>#N/A</v>
      </c>
      <c r="E55" s="31" t="e">
        <f t="shared" ca="1" si="2"/>
        <v>#N/A</v>
      </c>
      <c r="F55" s="31" t="e">
        <f t="shared" ca="1" si="28"/>
        <v>#N/A</v>
      </c>
      <c r="G55" s="10" t="e">
        <f t="shared" ca="1" si="4"/>
        <v>#N/A</v>
      </c>
      <c r="H55" s="10" t="e">
        <f t="shared" ca="1" si="29"/>
        <v>#N/A</v>
      </c>
      <c r="I55" s="12"/>
      <c r="J55" s="67" t="e">
        <f ca="1">INDEX(RESULTADOS!$A:$BA,MATCH($A55,RESULTADOS!$A:$A,0),MATCH(J$1,RESULTADOS!$1:$1,0))</f>
        <v>#N/A</v>
      </c>
      <c r="K55" s="32" t="e">
        <f t="shared" ca="1" si="6"/>
        <v>#N/A</v>
      </c>
      <c r="L55" s="32" t="e">
        <f t="shared" ca="1" si="30"/>
        <v>#N/A</v>
      </c>
      <c r="M55" s="32" t="e">
        <f t="shared" ca="1" si="8"/>
        <v>#N/A</v>
      </c>
      <c r="N55" s="32" t="e">
        <f t="shared" ca="1" si="31"/>
        <v>#N/A</v>
      </c>
      <c r="O55" s="67" t="e">
        <f ca="1">INDEX(RESULTADOS!$A:$BA,MATCH($A55,RESULTADOS!$A:$A,0),MATCH(O$1,RESULTADOS!$1:$1,0))</f>
        <v>#N/A</v>
      </c>
      <c r="P55" s="31" t="e">
        <f t="shared" ca="1" si="32"/>
        <v>#N/A</v>
      </c>
      <c r="Q55" s="12"/>
      <c r="R55" s="67" t="e">
        <f ca="1">INDEX(RESULTADOS!$A:$BA,MATCH($A55,RESULTADOS!$A:$A,0),MATCH(R$1,RESULTADOS!$1:$1,0))</f>
        <v>#N/A</v>
      </c>
      <c r="S55" s="31" t="e">
        <f t="shared" ca="1" si="33"/>
        <v>#N/A</v>
      </c>
      <c r="T55" s="67" t="e">
        <f ca="1">INDEX(RESULTADOS!$A:$BA,MATCH($A55,RESULTADOS!$A:$A,0),MATCH(T$1,RESULTADOS!$1:$1,0))</f>
        <v>#N/A</v>
      </c>
      <c r="U55" s="33" t="e">
        <f t="shared" ca="1" si="11"/>
        <v>#N/A</v>
      </c>
      <c r="V55" s="10" t="e">
        <f t="shared" ca="1" si="34"/>
        <v>#N/A</v>
      </c>
      <c r="W55" s="33" t="e">
        <f t="shared" ca="1" si="13"/>
        <v>#N/A</v>
      </c>
      <c r="X55" s="10" t="e">
        <f t="shared" ca="1" si="35"/>
        <v>#N/A</v>
      </c>
      <c r="Y55" s="33" t="e">
        <f t="shared" ca="1" si="15"/>
        <v>#N/A</v>
      </c>
      <c r="Z55" s="10" t="e">
        <f t="shared" ca="1" si="36"/>
        <v>#N/A</v>
      </c>
      <c r="AA55" s="12"/>
      <c r="AB55" s="33" t="e">
        <f t="shared" ca="1" si="17"/>
        <v>#N/A</v>
      </c>
      <c r="AC55" s="10" t="e">
        <f t="shared" ca="1" si="37"/>
        <v>#N/A</v>
      </c>
      <c r="AE55" s="208" t="e">
        <f ca="1">INDEX(RESULTADOS!$A:$BA,MATCH($A55,RESULTADOS!$A:$A,0),MATCH(AE$1,RESULTADOS!$1:$1,0))</f>
        <v>#N/A</v>
      </c>
      <c r="AF55" s="67" t="e">
        <f ca="1">INDEX(RESULTADOS!$A:$BA,MATCH($A55,RESULTADOS!$A:$A,0),MATCH(AF$1,RESULTADOS!$1:$1,0))</f>
        <v>#N/A</v>
      </c>
      <c r="AG55" s="121" t="e">
        <f t="shared" ca="1" si="19"/>
        <v>#N/A</v>
      </c>
      <c r="AH55" s="121" t="e">
        <f t="shared" ca="1" si="20"/>
        <v>#N/A</v>
      </c>
      <c r="AI55" s="98" t="e">
        <f t="shared" ca="1" si="21"/>
        <v>#N/A</v>
      </c>
      <c r="AJ55" s="98" t="e">
        <f t="shared" ca="1" si="22"/>
        <v>#N/A</v>
      </c>
    </row>
    <row r="56" spans="1:36" x14ac:dyDescent="0.2">
      <c r="A56" s="7">
        <f t="shared" ca="1" si="26"/>
        <v>43855</v>
      </c>
      <c r="B56" s="67" t="e">
        <f ca="1">INDEX(RESULTADOS!$A:$BA,MATCH($A56,RESULTADOS!$A:$A,0),MATCH(B$1,RESULTADOS!$1:$1,0))</f>
        <v>#N/A</v>
      </c>
      <c r="C56" s="31" t="e">
        <f t="shared" ca="1" si="27"/>
        <v>#N/A</v>
      </c>
      <c r="D56" s="67" t="e">
        <f ca="1">INDEX(RESULTADOS!$A:$BA,MATCH($A56,RESULTADOS!$A:$A,0),MATCH(D$1,RESULTADOS!$1:$1,0))</f>
        <v>#N/A</v>
      </c>
      <c r="E56" s="31" t="e">
        <f t="shared" ca="1" si="2"/>
        <v>#N/A</v>
      </c>
      <c r="F56" s="31" t="e">
        <f t="shared" ca="1" si="28"/>
        <v>#N/A</v>
      </c>
      <c r="G56" s="10" t="e">
        <f t="shared" ca="1" si="4"/>
        <v>#N/A</v>
      </c>
      <c r="H56" s="10" t="e">
        <f t="shared" ca="1" si="29"/>
        <v>#N/A</v>
      </c>
      <c r="I56" s="12"/>
      <c r="J56" s="67" t="e">
        <f ca="1">INDEX(RESULTADOS!$A:$BA,MATCH($A56,RESULTADOS!$A:$A,0),MATCH(J$1,RESULTADOS!$1:$1,0))</f>
        <v>#N/A</v>
      </c>
      <c r="K56" s="32" t="e">
        <f t="shared" ca="1" si="6"/>
        <v>#N/A</v>
      </c>
      <c r="L56" s="32" t="e">
        <f t="shared" ca="1" si="30"/>
        <v>#N/A</v>
      </c>
      <c r="M56" s="32" t="e">
        <f t="shared" ca="1" si="8"/>
        <v>#N/A</v>
      </c>
      <c r="N56" s="32" t="e">
        <f t="shared" ca="1" si="31"/>
        <v>#N/A</v>
      </c>
      <c r="O56" s="67" t="e">
        <f ca="1">INDEX(RESULTADOS!$A:$BA,MATCH($A56,RESULTADOS!$A:$A,0),MATCH(O$1,RESULTADOS!$1:$1,0))</f>
        <v>#N/A</v>
      </c>
      <c r="P56" s="31" t="e">
        <f t="shared" ca="1" si="32"/>
        <v>#N/A</v>
      </c>
      <c r="Q56" s="12"/>
      <c r="R56" s="67" t="e">
        <f ca="1">INDEX(RESULTADOS!$A:$BA,MATCH($A56,RESULTADOS!$A:$A,0),MATCH(R$1,RESULTADOS!$1:$1,0))</f>
        <v>#N/A</v>
      </c>
      <c r="S56" s="31" t="e">
        <f t="shared" ca="1" si="33"/>
        <v>#N/A</v>
      </c>
      <c r="T56" s="67" t="e">
        <f ca="1">INDEX(RESULTADOS!$A:$BA,MATCH($A56,RESULTADOS!$A:$A,0),MATCH(T$1,RESULTADOS!$1:$1,0))</f>
        <v>#N/A</v>
      </c>
      <c r="U56" s="33" t="e">
        <f t="shared" ca="1" si="11"/>
        <v>#N/A</v>
      </c>
      <c r="V56" s="10" t="e">
        <f t="shared" ca="1" si="34"/>
        <v>#N/A</v>
      </c>
      <c r="W56" s="33" t="e">
        <f t="shared" ca="1" si="13"/>
        <v>#N/A</v>
      </c>
      <c r="X56" s="10" t="e">
        <f t="shared" ca="1" si="35"/>
        <v>#N/A</v>
      </c>
      <c r="Y56" s="33" t="e">
        <f t="shared" ca="1" si="15"/>
        <v>#N/A</v>
      </c>
      <c r="Z56" s="10" t="e">
        <f t="shared" ca="1" si="36"/>
        <v>#N/A</v>
      </c>
      <c r="AA56" s="12"/>
      <c r="AB56" s="33" t="e">
        <f t="shared" ca="1" si="17"/>
        <v>#N/A</v>
      </c>
      <c r="AC56" s="10" t="e">
        <f t="shared" ca="1" si="37"/>
        <v>#N/A</v>
      </c>
      <c r="AE56" s="208" t="e">
        <f ca="1">INDEX(RESULTADOS!$A:$BA,MATCH($A56,RESULTADOS!$A:$A,0),MATCH(AE$1,RESULTADOS!$1:$1,0))</f>
        <v>#N/A</v>
      </c>
      <c r="AF56" s="67" t="e">
        <f ca="1">INDEX(RESULTADOS!$A:$BA,MATCH($A56,RESULTADOS!$A:$A,0),MATCH(AF$1,RESULTADOS!$1:$1,0))</f>
        <v>#N/A</v>
      </c>
      <c r="AG56" s="121" t="e">
        <f t="shared" ca="1" si="19"/>
        <v>#N/A</v>
      </c>
      <c r="AH56" s="121" t="e">
        <f t="shared" ca="1" si="20"/>
        <v>#N/A</v>
      </c>
      <c r="AI56" s="98" t="e">
        <f t="shared" ca="1" si="21"/>
        <v>#N/A</v>
      </c>
      <c r="AJ56" s="98" t="e">
        <f t="shared" ca="1" si="22"/>
        <v>#N/A</v>
      </c>
    </row>
    <row r="57" spans="1:36" x14ac:dyDescent="0.2">
      <c r="A57" s="7">
        <f t="shared" ca="1" si="26"/>
        <v>43856</v>
      </c>
      <c r="B57" s="67" t="e">
        <f ca="1">INDEX(RESULTADOS!$A:$BA,MATCH($A57,RESULTADOS!$A:$A,0),MATCH(B$1,RESULTADOS!$1:$1,0))</f>
        <v>#N/A</v>
      </c>
      <c r="C57" s="31" t="e">
        <f t="shared" ca="1" si="27"/>
        <v>#N/A</v>
      </c>
      <c r="D57" s="67" t="e">
        <f ca="1">INDEX(RESULTADOS!$A:$BA,MATCH($A57,RESULTADOS!$A:$A,0),MATCH(D$1,RESULTADOS!$1:$1,0))</f>
        <v>#N/A</v>
      </c>
      <c r="E57" s="31" t="e">
        <f t="shared" ca="1" si="2"/>
        <v>#N/A</v>
      </c>
      <c r="F57" s="31" t="e">
        <f t="shared" ca="1" si="28"/>
        <v>#N/A</v>
      </c>
      <c r="G57" s="10" t="e">
        <f t="shared" ca="1" si="4"/>
        <v>#N/A</v>
      </c>
      <c r="H57" s="10" t="e">
        <f t="shared" ca="1" si="29"/>
        <v>#N/A</v>
      </c>
      <c r="I57" s="12"/>
      <c r="J57" s="67" t="e">
        <f ca="1">INDEX(RESULTADOS!$A:$BA,MATCH($A57,RESULTADOS!$A:$A,0),MATCH(J$1,RESULTADOS!$1:$1,0))</f>
        <v>#N/A</v>
      </c>
      <c r="K57" s="32" t="e">
        <f t="shared" ca="1" si="6"/>
        <v>#N/A</v>
      </c>
      <c r="L57" s="32" t="e">
        <f t="shared" ca="1" si="30"/>
        <v>#N/A</v>
      </c>
      <c r="M57" s="32" t="e">
        <f t="shared" ca="1" si="8"/>
        <v>#N/A</v>
      </c>
      <c r="N57" s="32" t="e">
        <f t="shared" ca="1" si="31"/>
        <v>#N/A</v>
      </c>
      <c r="O57" s="67" t="e">
        <f ca="1">INDEX(RESULTADOS!$A:$BA,MATCH($A57,RESULTADOS!$A:$A,0),MATCH(O$1,RESULTADOS!$1:$1,0))</f>
        <v>#N/A</v>
      </c>
      <c r="P57" s="31" t="e">
        <f t="shared" ca="1" si="32"/>
        <v>#N/A</v>
      </c>
      <c r="Q57" s="12"/>
      <c r="R57" s="67" t="e">
        <f ca="1">INDEX(RESULTADOS!$A:$BA,MATCH($A57,RESULTADOS!$A:$A,0),MATCH(R$1,RESULTADOS!$1:$1,0))</f>
        <v>#N/A</v>
      </c>
      <c r="S57" s="31" t="e">
        <f t="shared" ca="1" si="33"/>
        <v>#N/A</v>
      </c>
      <c r="T57" s="67" t="e">
        <f ca="1">INDEX(RESULTADOS!$A:$BA,MATCH($A57,RESULTADOS!$A:$A,0),MATCH(T$1,RESULTADOS!$1:$1,0))</f>
        <v>#N/A</v>
      </c>
      <c r="U57" s="33" t="e">
        <f t="shared" ca="1" si="11"/>
        <v>#N/A</v>
      </c>
      <c r="V57" s="10" t="e">
        <f t="shared" ca="1" si="34"/>
        <v>#N/A</v>
      </c>
      <c r="W57" s="33" t="e">
        <f t="shared" ca="1" si="13"/>
        <v>#N/A</v>
      </c>
      <c r="X57" s="10" t="e">
        <f t="shared" ca="1" si="35"/>
        <v>#N/A</v>
      </c>
      <c r="Y57" s="33" t="e">
        <f t="shared" ca="1" si="15"/>
        <v>#N/A</v>
      </c>
      <c r="Z57" s="10" t="e">
        <f t="shared" ca="1" si="36"/>
        <v>#N/A</v>
      </c>
      <c r="AA57" s="12"/>
      <c r="AB57" s="33" t="e">
        <f t="shared" ca="1" si="17"/>
        <v>#N/A</v>
      </c>
      <c r="AC57" s="10" t="e">
        <f t="shared" ca="1" si="37"/>
        <v>#N/A</v>
      </c>
      <c r="AE57" s="208" t="e">
        <f ca="1">INDEX(RESULTADOS!$A:$BA,MATCH($A57,RESULTADOS!$A:$A,0),MATCH(AE$1,RESULTADOS!$1:$1,0))</f>
        <v>#N/A</v>
      </c>
      <c r="AF57" s="67" t="e">
        <f ca="1">INDEX(RESULTADOS!$A:$BA,MATCH($A57,RESULTADOS!$A:$A,0),MATCH(AF$1,RESULTADOS!$1:$1,0))</f>
        <v>#N/A</v>
      </c>
      <c r="AG57" s="121" t="e">
        <f t="shared" ca="1" si="19"/>
        <v>#N/A</v>
      </c>
      <c r="AH57" s="121" t="e">
        <f t="shared" ca="1" si="20"/>
        <v>#N/A</v>
      </c>
      <c r="AI57" s="98" t="e">
        <f t="shared" ca="1" si="21"/>
        <v>#N/A</v>
      </c>
      <c r="AJ57" s="98" t="e">
        <f t="shared" ca="1" si="22"/>
        <v>#N/A</v>
      </c>
    </row>
    <row r="58" spans="1:36" x14ac:dyDescent="0.2">
      <c r="A58" s="7">
        <f t="shared" ca="1" si="26"/>
        <v>43857</v>
      </c>
      <c r="B58" s="67" t="e">
        <f ca="1">INDEX(RESULTADOS!$A:$BA,MATCH($A58,RESULTADOS!$A:$A,0),MATCH(B$1,RESULTADOS!$1:$1,0))</f>
        <v>#N/A</v>
      </c>
      <c r="C58" s="31" t="e">
        <f t="shared" ca="1" si="27"/>
        <v>#N/A</v>
      </c>
      <c r="D58" s="67" t="e">
        <f ca="1">INDEX(RESULTADOS!$A:$BA,MATCH($A58,RESULTADOS!$A:$A,0),MATCH(D$1,RESULTADOS!$1:$1,0))</f>
        <v>#N/A</v>
      </c>
      <c r="E58" s="31" t="e">
        <f t="shared" ca="1" si="2"/>
        <v>#N/A</v>
      </c>
      <c r="F58" s="31" t="e">
        <f t="shared" ca="1" si="28"/>
        <v>#N/A</v>
      </c>
      <c r="G58" s="10" t="e">
        <f t="shared" ca="1" si="4"/>
        <v>#N/A</v>
      </c>
      <c r="H58" s="10" t="e">
        <f t="shared" ca="1" si="29"/>
        <v>#N/A</v>
      </c>
      <c r="I58" s="12"/>
      <c r="J58" s="67" t="e">
        <f ca="1">INDEX(RESULTADOS!$A:$BA,MATCH($A58,RESULTADOS!$A:$A,0),MATCH(J$1,RESULTADOS!$1:$1,0))</f>
        <v>#N/A</v>
      </c>
      <c r="K58" s="32" t="e">
        <f t="shared" ca="1" si="6"/>
        <v>#N/A</v>
      </c>
      <c r="L58" s="32" t="e">
        <f t="shared" ca="1" si="30"/>
        <v>#N/A</v>
      </c>
      <c r="M58" s="32" t="e">
        <f t="shared" ca="1" si="8"/>
        <v>#N/A</v>
      </c>
      <c r="N58" s="32" t="e">
        <f t="shared" ca="1" si="31"/>
        <v>#N/A</v>
      </c>
      <c r="O58" s="67" t="e">
        <f ca="1">INDEX(RESULTADOS!$A:$BA,MATCH($A58,RESULTADOS!$A:$A,0),MATCH(O$1,RESULTADOS!$1:$1,0))</f>
        <v>#N/A</v>
      </c>
      <c r="P58" s="31" t="e">
        <f t="shared" ca="1" si="32"/>
        <v>#N/A</v>
      </c>
      <c r="Q58" s="12"/>
      <c r="R58" s="67" t="e">
        <f ca="1">INDEX(RESULTADOS!$A:$BA,MATCH($A58,RESULTADOS!$A:$A,0),MATCH(R$1,RESULTADOS!$1:$1,0))</f>
        <v>#N/A</v>
      </c>
      <c r="S58" s="31" t="e">
        <f t="shared" ca="1" si="33"/>
        <v>#N/A</v>
      </c>
      <c r="T58" s="67" t="e">
        <f ca="1">INDEX(RESULTADOS!$A:$BA,MATCH($A58,RESULTADOS!$A:$A,0),MATCH(T$1,RESULTADOS!$1:$1,0))</f>
        <v>#N/A</v>
      </c>
      <c r="U58" s="33" t="e">
        <f t="shared" ca="1" si="11"/>
        <v>#N/A</v>
      </c>
      <c r="V58" s="10" t="e">
        <f t="shared" ca="1" si="34"/>
        <v>#N/A</v>
      </c>
      <c r="W58" s="33" t="e">
        <f t="shared" ca="1" si="13"/>
        <v>#N/A</v>
      </c>
      <c r="X58" s="10" t="e">
        <f t="shared" ca="1" si="35"/>
        <v>#N/A</v>
      </c>
      <c r="Y58" s="33" t="e">
        <f t="shared" ca="1" si="15"/>
        <v>#N/A</v>
      </c>
      <c r="Z58" s="10" t="e">
        <f t="shared" ca="1" si="36"/>
        <v>#N/A</v>
      </c>
      <c r="AA58" s="12"/>
      <c r="AB58" s="33" t="e">
        <f t="shared" ca="1" si="17"/>
        <v>#N/A</v>
      </c>
      <c r="AC58" s="10" t="e">
        <f t="shared" ca="1" si="37"/>
        <v>#N/A</v>
      </c>
      <c r="AE58" s="208" t="e">
        <f ca="1">INDEX(RESULTADOS!$A:$BA,MATCH($A58,RESULTADOS!$A:$A,0),MATCH(AE$1,RESULTADOS!$1:$1,0))</f>
        <v>#N/A</v>
      </c>
      <c r="AF58" s="67" t="e">
        <f ca="1">INDEX(RESULTADOS!$A:$BA,MATCH($A58,RESULTADOS!$A:$A,0),MATCH(AF$1,RESULTADOS!$1:$1,0))</f>
        <v>#N/A</v>
      </c>
      <c r="AG58" s="121" t="e">
        <f t="shared" ca="1" si="19"/>
        <v>#N/A</v>
      </c>
      <c r="AH58" s="121" t="e">
        <f t="shared" ca="1" si="20"/>
        <v>#N/A</v>
      </c>
      <c r="AI58" s="98" t="e">
        <f t="shared" ca="1" si="21"/>
        <v>#N/A</v>
      </c>
      <c r="AJ58" s="98" t="e">
        <f t="shared" ca="1" si="22"/>
        <v>#N/A</v>
      </c>
    </row>
    <row r="59" spans="1:36" x14ac:dyDescent="0.2">
      <c r="A59" s="7">
        <f t="shared" ca="1" si="26"/>
        <v>43858</v>
      </c>
      <c r="B59" s="67" t="e">
        <f ca="1">INDEX(RESULTADOS!$A:$BA,MATCH($A59,RESULTADOS!$A:$A,0),MATCH(B$1,RESULTADOS!$1:$1,0))</f>
        <v>#N/A</v>
      </c>
      <c r="C59" s="31" t="e">
        <f t="shared" ca="1" si="27"/>
        <v>#N/A</v>
      </c>
      <c r="D59" s="67" t="e">
        <f ca="1">INDEX(RESULTADOS!$A:$BA,MATCH($A59,RESULTADOS!$A:$A,0),MATCH(D$1,RESULTADOS!$1:$1,0))</f>
        <v>#N/A</v>
      </c>
      <c r="E59" s="31" t="e">
        <f t="shared" ca="1" si="2"/>
        <v>#N/A</v>
      </c>
      <c r="F59" s="31" t="e">
        <f t="shared" ca="1" si="28"/>
        <v>#N/A</v>
      </c>
      <c r="G59" s="10" t="e">
        <f t="shared" ca="1" si="4"/>
        <v>#N/A</v>
      </c>
      <c r="H59" s="10" t="e">
        <f t="shared" ca="1" si="29"/>
        <v>#N/A</v>
      </c>
      <c r="I59" s="12"/>
      <c r="J59" s="67" t="e">
        <f ca="1">INDEX(RESULTADOS!$A:$BA,MATCH($A59,RESULTADOS!$A:$A,0),MATCH(J$1,RESULTADOS!$1:$1,0))</f>
        <v>#N/A</v>
      </c>
      <c r="K59" s="32" t="e">
        <f t="shared" ca="1" si="6"/>
        <v>#N/A</v>
      </c>
      <c r="L59" s="32" t="e">
        <f t="shared" ca="1" si="30"/>
        <v>#N/A</v>
      </c>
      <c r="M59" s="32" t="e">
        <f t="shared" ca="1" si="8"/>
        <v>#N/A</v>
      </c>
      <c r="N59" s="32" t="e">
        <f t="shared" ca="1" si="31"/>
        <v>#N/A</v>
      </c>
      <c r="O59" s="67" t="e">
        <f ca="1">INDEX(RESULTADOS!$A:$BA,MATCH($A59,RESULTADOS!$A:$A,0),MATCH(O$1,RESULTADOS!$1:$1,0))</f>
        <v>#N/A</v>
      </c>
      <c r="P59" s="31" t="e">
        <f t="shared" ca="1" si="32"/>
        <v>#N/A</v>
      </c>
      <c r="Q59" s="12"/>
      <c r="R59" s="67" t="e">
        <f ca="1">INDEX(RESULTADOS!$A:$BA,MATCH($A59,RESULTADOS!$A:$A,0),MATCH(R$1,RESULTADOS!$1:$1,0))</f>
        <v>#N/A</v>
      </c>
      <c r="S59" s="31" t="e">
        <f t="shared" ca="1" si="33"/>
        <v>#N/A</v>
      </c>
      <c r="T59" s="67" t="e">
        <f ca="1">INDEX(RESULTADOS!$A:$BA,MATCH($A59,RESULTADOS!$A:$A,0),MATCH(T$1,RESULTADOS!$1:$1,0))</f>
        <v>#N/A</v>
      </c>
      <c r="U59" s="33" t="e">
        <f t="shared" ca="1" si="11"/>
        <v>#N/A</v>
      </c>
      <c r="V59" s="10" t="e">
        <f t="shared" ca="1" si="34"/>
        <v>#N/A</v>
      </c>
      <c r="W59" s="33" t="e">
        <f t="shared" ca="1" si="13"/>
        <v>#N/A</v>
      </c>
      <c r="X59" s="10" t="e">
        <f t="shared" ca="1" si="35"/>
        <v>#N/A</v>
      </c>
      <c r="Y59" s="33" t="e">
        <f t="shared" ca="1" si="15"/>
        <v>#N/A</v>
      </c>
      <c r="Z59" s="10" t="e">
        <f t="shared" ca="1" si="36"/>
        <v>#N/A</v>
      </c>
      <c r="AA59" s="12"/>
      <c r="AB59" s="33" t="e">
        <f t="shared" ca="1" si="17"/>
        <v>#N/A</v>
      </c>
      <c r="AC59" s="10" t="e">
        <f t="shared" ca="1" si="37"/>
        <v>#N/A</v>
      </c>
      <c r="AE59" s="208" t="e">
        <f ca="1">INDEX(RESULTADOS!$A:$BA,MATCH($A59,RESULTADOS!$A:$A,0),MATCH(AE$1,RESULTADOS!$1:$1,0))</f>
        <v>#N/A</v>
      </c>
      <c r="AF59" s="67" t="e">
        <f ca="1">INDEX(RESULTADOS!$A:$BA,MATCH($A59,RESULTADOS!$A:$A,0),MATCH(AF$1,RESULTADOS!$1:$1,0))</f>
        <v>#N/A</v>
      </c>
      <c r="AG59" s="121" t="e">
        <f t="shared" ca="1" si="19"/>
        <v>#N/A</v>
      </c>
      <c r="AH59" s="121" t="e">
        <f t="shared" ca="1" si="20"/>
        <v>#N/A</v>
      </c>
      <c r="AI59" s="98" t="e">
        <f t="shared" ca="1" si="21"/>
        <v>#N/A</v>
      </c>
      <c r="AJ59" s="98" t="e">
        <f t="shared" ca="1" si="22"/>
        <v>#N/A</v>
      </c>
    </row>
    <row r="60" spans="1:36" x14ac:dyDescent="0.2">
      <c r="A60" s="7">
        <f t="shared" ca="1" si="26"/>
        <v>43859</v>
      </c>
      <c r="B60" s="67" t="e">
        <f ca="1">INDEX(RESULTADOS!$A:$BA,MATCH($A60,RESULTADOS!$A:$A,0),MATCH(B$1,RESULTADOS!$1:$1,0))</f>
        <v>#N/A</v>
      </c>
      <c r="C60" s="31" t="e">
        <f t="shared" ca="1" si="27"/>
        <v>#N/A</v>
      </c>
      <c r="D60" s="67" t="e">
        <f ca="1">INDEX(RESULTADOS!$A:$BA,MATCH($A60,RESULTADOS!$A:$A,0),MATCH(D$1,RESULTADOS!$1:$1,0))</f>
        <v>#N/A</v>
      </c>
      <c r="E60" s="31" t="e">
        <f t="shared" ca="1" si="2"/>
        <v>#N/A</v>
      </c>
      <c r="F60" s="31" t="e">
        <f t="shared" ca="1" si="28"/>
        <v>#N/A</v>
      </c>
      <c r="G60" s="10" t="e">
        <f t="shared" ca="1" si="4"/>
        <v>#N/A</v>
      </c>
      <c r="H60" s="10" t="e">
        <f t="shared" ca="1" si="29"/>
        <v>#N/A</v>
      </c>
      <c r="I60" s="12"/>
      <c r="J60" s="67" t="e">
        <f ca="1">INDEX(RESULTADOS!$A:$BA,MATCH($A60,RESULTADOS!$A:$A,0),MATCH(J$1,RESULTADOS!$1:$1,0))</f>
        <v>#N/A</v>
      </c>
      <c r="K60" s="32" t="e">
        <f t="shared" ca="1" si="6"/>
        <v>#N/A</v>
      </c>
      <c r="L60" s="32" t="e">
        <f t="shared" ca="1" si="30"/>
        <v>#N/A</v>
      </c>
      <c r="M60" s="32" t="e">
        <f t="shared" ca="1" si="8"/>
        <v>#N/A</v>
      </c>
      <c r="N60" s="32" t="e">
        <f t="shared" ca="1" si="31"/>
        <v>#N/A</v>
      </c>
      <c r="O60" s="67" t="e">
        <f ca="1">INDEX(RESULTADOS!$A:$BA,MATCH($A60,RESULTADOS!$A:$A,0),MATCH(O$1,RESULTADOS!$1:$1,0))</f>
        <v>#N/A</v>
      </c>
      <c r="P60" s="31" t="e">
        <f t="shared" ca="1" si="32"/>
        <v>#N/A</v>
      </c>
      <c r="Q60" s="12"/>
      <c r="R60" s="67" t="e">
        <f ca="1">INDEX(RESULTADOS!$A:$BA,MATCH($A60,RESULTADOS!$A:$A,0),MATCH(R$1,RESULTADOS!$1:$1,0))</f>
        <v>#N/A</v>
      </c>
      <c r="S60" s="31" t="e">
        <f t="shared" ca="1" si="33"/>
        <v>#N/A</v>
      </c>
      <c r="T60" s="67" t="e">
        <f ca="1">INDEX(RESULTADOS!$A:$BA,MATCH($A60,RESULTADOS!$A:$A,0),MATCH(T$1,RESULTADOS!$1:$1,0))</f>
        <v>#N/A</v>
      </c>
      <c r="U60" s="33" t="e">
        <f t="shared" ca="1" si="11"/>
        <v>#N/A</v>
      </c>
      <c r="V60" s="10" t="e">
        <f t="shared" ca="1" si="34"/>
        <v>#N/A</v>
      </c>
      <c r="W60" s="33" t="e">
        <f t="shared" ca="1" si="13"/>
        <v>#N/A</v>
      </c>
      <c r="X60" s="10" t="e">
        <f t="shared" ca="1" si="35"/>
        <v>#N/A</v>
      </c>
      <c r="Y60" s="33" t="e">
        <f t="shared" ca="1" si="15"/>
        <v>#N/A</v>
      </c>
      <c r="Z60" s="10" t="e">
        <f t="shared" ca="1" si="36"/>
        <v>#N/A</v>
      </c>
      <c r="AA60" s="12"/>
      <c r="AB60" s="33" t="e">
        <f t="shared" ca="1" si="17"/>
        <v>#N/A</v>
      </c>
      <c r="AC60" s="10" t="e">
        <f t="shared" ca="1" si="37"/>
        <v>#N/A</v>
      </c>
      <c r="AE60" s="208" t="e">
        <f ca="1">INDEX(RESULTADOS!$A:$BA,MATCH($A60,RESULTADOS!$A:$A,0),MATCH(AE$1,RESULTADOS!$1:$1,0))</f>
        <v>#N/A</v>
      </c>
      <c r="AF60" s="67" t="e">
        <f ca="1">INDEX(RESULTADOS!$A:$BA,MATCH($A60,RESULTADOS!$A:$A,0),MATCH(AF$1,RESULTADOS!$1:$1,0))</f>
        <v>#N/A</v>
      </c>
      <c r="AG60" s="121" t="e">
        <f t="shared" ca="1" si="19"/>
        <v>#N/A</v>
      </c>
      <c r="AH60" s="121" t="e">
        <f t="shared" ca="1" si="20"/>
        <v>#N/A</v>
      </c>
      <c r="AI60" s="98" t="e">
        <f t="shared" ca="1" si="21"/>
        <v>#N/A</v>
      </c>
      <c r="AJ60" s="98" t="e">
        <f t="shared" ca="1" si="22"/>
        <v>#N/A</v>
      </c>
    </row>
    <row r="61" spans="1:36" x14ac:dyDescent="0.2">
      <c r="A61" s="7">
        <f t="shared" ca="1" si="26"/>
        <v>43860</v>
      </c>
      <c r="B61" s="67" t="e">
        <f ca="1">INDEX(RESULTADOS!$A:$BA,MATCH($A61,RESULTADOS!$A:$A,0),MATCH(B$1,RESULTADOS!$1:$1,0))</f>
        <v>#N/A</v>
      </c>
      <c r="C61" s="31" t="e">
        <f t="shared" ca="1" si="27"/>
        <v>#N/A</v>
      </c>
      <c r="D61" s="67" t="e">
        <f ca="1">INDEX(RESULTADOS!$A:$BA,MATCH($A61,RESULTADOS!$A:$A,0),MATCH(D$1,RESULTADOS!$1:$1,0))</f>
        <v>#N/A</v>
      </c>
      <c r="E61" s="31" t="e">
        <f t="shared" ca="1" si="2"/>
        <v>#N/A</v>
      </c>
      <c r="F61" s="31" t="e">
        <f t="shared" ca="1" si="28"/>
        <v>#N/A</v>
      </c>
      <c r="G61" s="10" t="e">
        <f t="shared" ca="1" si="4"/>
        <v>#N/A</v>
      </c>
      <c r="H61" s="10" t="e">
        <f t="shared" ca="1" si="29"/>
        <v>#N/A</v>
      </c>
      <c r="I61" s="12"/>
      <c r="J61" s="67" t="e">
        <f ca="1">INDEX(RESULTADOS!$A:$BA,MATCH($A61,RESULTADOS!$A:$A,0),MATCH(J$1,RESULTADOS!$1:$1,0))</f>
        <v>#N/A</v>
      </c>
      <c r="K61" s="32" t="e">
        <f t="shared" ca="1" si="6"/>
        <v>#N/A</v>
      </c>
      <c r="L61" s="32" t="e">
        <f t="shared" ca="1" si="30"/>
        <v>#N/A</v>
      </c>
      <c r="M61" s="32" t="e">
        <f t="shared" ca="1" si="8"/>
        <v>#N/A</v>
      </c>
      <c r="N61" s="32" t="e">
        <f t="shared" ca="1" si="31"/>
        <v>#N/A</v>
      </c>
      <c r="O61" s="67" t="e">
        <f ca="1">INDEX(RESULTADOS!$A:$BA,MATCH($A61,RESULTADOS!$A:$A,0),MATCH(O$1,RESULTADOS!$1:$1,0))</f>
        <v>#N/A</v>
      </c>
      <c r="P61" s="31" t="e">
        <f t="shared" ca="1" si="32"/>
        <v>#N/A</v>
      </c>
      <c r="Q61" s="12"/>
      <c r="R61" s="67" t="e">
        <f ca="1">INDEX(RESULTADOS!$A:$BA,MATCH($A61,RESULTADOS!$A:$A,0),MATCH(R$1,RESULTADOS!$1:$1,0))</f>
        <v>#N/A</v>
      </c>
      <c r="S61" s="31" t="e">
        <f t="shared" ca="1" si="33"/>
        <v>#N/A</v>
      </c>
      <c r="T61" s="67" t="e">
        <f ca="1">INDEX(RESULTADOS!$A:$BA,MATCH($A61,RESULTADOS!$A:$A,0),MATCH(T$1,RESULTADOS!$1:$1,0))</f>
        <v>#N/A</v>
      </c>
      <c r="U61" s="33" t="e">
        <f t="shared" ca="1" si="11"/>
        <v>#N/A</v>
      </c>
      <c r="V61" s="10" t="e">
        <f t="shared" ca="1" si="34"/>
        <v>#N/A</v>
      </c>
      <c r="W61" s="33" t="e">
        <f t="shared" ca="1" si="13"/>
        <v>#N/A</v>
      </c>
      <c r="X61" s="10" t="e">
        <f t="shared" ca="1" si="35"/>
        <v>#N/A</v>
      </c>
      <c r="Y61" s="33" t="e">
        <f t="shared" ca="1" si="15"/>
        <v>#N/A</v>
      </c>
      <c r="Z61" s="10" t="e">
        <f t="shared" ca="1" si="36"/>
        <v>#N/A</v>
      </c>
      <c r="AA61" s="12"/>
      <c r="AB61" s="33" t="e">
        <f t="shared" ca="1" si="17"/>
        <v>#N/A</v>
      </c>
      <c r="AC61" s="10" t="e">
        <f t="shared" ca="1" si="37"/>
        <v>#N/A</v>
      </c>
      <c r="AE61" s="208" t="e">
        <f ca="1">INDEX(RESULTADOS!$A:$BA,MATCH($A61,RESULTADOS!$A:$A,0),MATCH(AE$1,RESULTADOS!$1:$1,0))</f>
        <v>#N/A</v>
      </c>
      <c r="AF61" s="67" t="e">
        <f ca="1">INDEX(RESULTADOS!$A:$BA,MATCH($A61,RESULTADOS!$A:$A,0),MATCH(AF$1,RESULTADOS!$1:$1,0))</f>
        <v>#N/A</v>
      </c>
      <c r="AG61" s="121" t="e">
        <f t="shared" ca="1" si="19"/>
        <v>#N/A</v>
      </c>
      <c r="AH61" s="121" t="e">
        <f t="shared" ca="1" si="20"/>
        <v>#N/A</v>
      </c>
      <c r="AI61" s="98" t="e">
        <f t="shared" ca="1" si="21"/>
        <v>#N/A</v>
      </c>
      <c r="AJ61" s="98" t="e">
        <f t="shared" ca="1" si="22"/>
        <v>#N/A</v>
      </c>
    </row>
    <row r="62" spans="1:36" x14ac:dyDescent="0.2">
      <c r="A62" s="7">
        <f t="shared" ca="1" si="26"/>
        <v>43861</v>
      </c>
      <c r="B62" s="67" t="e">
        <f ca="1">INDEX(RESULTADOS!$A:$BA,MATCH($A62,RESULTADOS!$A:$A,0),MATCH(B$1,RESULTADOS!$1:$1,0))</f>
        <v>#N/A</v>
      </c>
      <c r="C62" s="31" t="e">
        <f t="shared" ca="1" si="27"/>
        <v>#N/A</v>
      </c>
      <c r="D62" s="67" t="e">
        <f ca="1">INDEX(RESULTADOS!$A:$BA,MATCH($A62,RESULTADOS!$A:$A,0),MATCH(D$1,RESULTADOS!$1:$1,0))</f>
        <v>#N/A</v>
      </c>
      <c r="E62" s="31" t="e">
        <f t="shared" ca="1" si="2"/>
        <v>#N/A</v>
      </c>
      <c r="F62" s="31" t="e">
        <f t="shared" ca="1" si="28"/>
        <v>#N/A</v>
      </c>
      <c r="G62" s="10" t="e">
        <f t="shared" ca="1" si="4"/>
        <v>#N/A</v>
      </c>
      <c r="H62" s="10" t="e">
        <f t="shared" ca="1" si="29"/>
        <v>#N/A</v>
      </c>
      <c r="I62" s="12"/>
      <c r="J62" s="67" t="e">
        <f ca="1">INDEX(RESULTADOS!$A:$BA,MATCH($A62,RESULTADOS!$A:$A,0),MATCH(J$1,RESULTADOS!$1:$1,0))</f>
        <v>#N/A</v>
      </c>
      <c r="K62" s="32" t="e">
        <f t="shared" ca="1" si="6"/>
        <v>#N/A</v>
      </c>
      <c r="L62" s="32" t="e">
        <f t="shared" ca="1" si="30"/>
        <v>#N/A</v>
      </c>
      <c r="M62" s="32" t="e">
        <f t="shared" ca="1" si="8"/>
        <v>#N/A</v>
      </c>
      <c r="N62" s="32" t="e">
        <f t="shared" ca="1" si="31"/>
        <v>#N/A</v>
      </c>
      <c r="O62" s="67" t="e">
        <f ca="1">INDEX(RESULTADOS!$A:$BA,MATCH($A62,RESULTADOS!$A:$A,0),MATCH(O$1,RESULTADOS!$1:$1,0))</f>
        <v>#N/A</v>
      </c>
      <c r="P62" s="31" t="e">
        <f t="shared" ca="1" si="32"/>
        <v>#N/A</v>
      </c>
      <c r="Q62" s="12"/>
      <c r="R62" s="67" t="e">
        <f ca="1">INDEX(RESULTADOS!$A:$BA,MATCH($A62,RESULTADOS!$A:$A,0),MATCH(R$1,RESULTADOS!$1:$1,0))</f>
        <v>#N/A</v>
      </c>
      <c r="S62" s="31" t="e">
        <f t="shared" ca="1" si="33"/>
        <v>#N/A</v>
      </c>
      <c r="T62" s="67" t="e">
        <f ca="1">INDEX(RESULTADOS!$A:$BA,MATCH($A62,RESULTADOS!$A:$A,0),MATCH(T$1,RESULTADOS!$1:$1,0))</f>
        <v>#N/A</v>
      </c>
      <c r="U62" s="33" t="e">
        <f t="shared" ca="1" si="11"/>
        <v>#N/A</v>
      </c>
      <c r="V62" s="10" t="e">
        <f t="shared" ca="1" si="34"/>
        <v>#N/A</v>
      </c>
      <c r="W62" s="33" t="e">
        <f t="shared" ca="1" si="13"/>
        <v>#N/A</v>
      </c>
      <c r="X62" s="10" t="e">
        <f t="shared" ca="1" si="35"/>
        <v>#N/A</v>
      </c>
      <c r="Y62" s="33" t="e">
        <f t="shared" ca="1" si="15"/>
        <v>#N/A</v>
      </c>
      <c r="Z62" s="10" t="e">
        <f t="shared" ca="1" si="36"/>
        <v>#N/A</v>
      </c>
      <c r="AA62" s="12"/>
      <c r="AB62" s="33" t="e">
        <f t="shared" ca="1" si="17"/>
        <v>#N/A</v>
      </c>
      <c r="AC62" s="10" t="e">
        <f t="shared" ca="1" si="37"/>
        <v>#N/A</v>
      </c>
      <c r="AE62" s="208" t="e">
        <f ca="1">INDEX(RESULTADOS!$A:$BA,MATCH($A62,RESULTADOS!$A:$A,0),MATCH(AE$1,RESULTADOS!$1:$1,0))</f>
        <v>#N/A</v>
      </c>
      <c r="AF62" s="67" t="e">
        <f ca="1">INDEX(RESULTADOS!$A:$BA,MATCH($A62,RESULTADOS!$A:$A,0),MATCH(AF$1,RESULTADOS!$1:$1,0))</f>
        <v>#N/A</v>
      </c>
      <c r="AG62" s="121" t="e">
        <f t="shared" ca="1" si="19"/>
        <v>#N/A</v>
      </c>
      <c r="AH62" s="121" t="e">
        <f t="shared" ca="1" si="20"/>
        <v>#N/A</v>
      </c>
      <c r="AI62" s="98" t="e">
        <f t="shared" ca="1" si="21"/>
        <v>#N/A</v>
      </c>
      <c r="AJ62" s="98" t="e">
        <f t="shared" ca="1" si="22"/>
        <v>#N/A</v>
      </c>
    </row>
    <row r="63" spans="1:36" x14ac:dyDescent="0.2">
      <c r="A63" s="7">
        <f t="shared" ca="1" si="26"/>
        <v>43862</v>
      </c>
      <c r="B63" s="67" t="e">
        <f ca="1">INDEX(RESULTADOS!$A:$BA,MATCH($A63,RESULTADOS!$A:$A,0),MATCH(B$1,RESULTADOS!$1:$1,0))</f>
        <v>#N/A</v>
      </c>
      <c r="C63" s="31" t="e">
        <f t="shared" ca="1" si="27"/>
        <v>#N/A</v>
      </c>
      <c r="D63" s="67" t="e">
        <f ca="1">INDEX(RESULTADOS!$A:$BA,MATCH($A63,RESULTADOS!$A:$A,0),MATCH(D$1,RESULTADOS!$1:$1,0))</f>
        <v>#N/A</v>
      </c>
      <c r="E63" s="31" t="e">
        <f t="shared" ca="1" si="2"/>
        <v>#N/A</v>
      </c>
      <c r="F63" s="31" t="e">
        <f t="shared" ca="1" si="28"/>
        <v>#N/A</v>
      </c>
      <c r="G63" s="10" t="e">
        <f t="shared" ca="1" si="4"/>
        <v>#N/A</v>
      </c>
      <c r="H63" s="10" t="e">
        <f t="shared" ca="1" si="29"/>
        <v>#N/A</v>
      </c>
      <c r="I63" s="12"/>
      <c r="J63" s="67" t="e">
        <f ca="1">INDEX(RESULTADOS!$A:$BA,MATCH($A63,RESULTADOS!$A:$A,0),MATCH(J$1,RESULTADOS!$1:$1,0))</f>
        <v>#N/A</v>
      </c>
      <c r="K63" s="32" t="e">
        <f t="shared" ca="1" si="6"/>
        <v>#N/A</v>
      </c>
      <c r="L63" s="32" t="e">
        <f t="shared" ca="1" si="30"/>
        <v>#N/A</v>
      </c>
      <c r="M63" s="32" t="e">
        <f t="shared" ca="1" si="8"/>
        <v>#N/A</v>
      </c>
      <c r="N63" s="32" t="e">
        <f t="shared" ca="1" si="31"/>
        <v>#N/A</v>
      </c>
      <c r="O63" s="67" t="e">
        <f ca="1">INDEX(RESULTADOS!$A:$BA,MATCH($A63,RESULTADOS!$A:$A,0),MATCH(O$1,RESULTADOS!$1:$1,0))</f>
        <v>#N/A</v>
      </c>
      <c r="P63" s="31" t="e">
        <f t="shared" ca="1" si="32"/>
        <v>#N/A</v>
      </c>
      <c r="Q63" s="12"/>
      <c r="R63" s="67" t="e">
        <f ca="1">INDEX(RESULTADOS!$A:$BA,MATCH($A63,RESULTADOS!$A:$A,0),MATCH(R$1,RESULTADOS!$1:$1,0))</f>
        <v>#N/A</v>
      </c>
      <c r="S63" s="31" t="e">
        <f t="shared" ca="1" si="33"/>
        <v>#N/A</v>
      </c>
      <c r="T63" s="67" t="e">
        <f ca="1">INDEX(RESULTADOS!$A:$BA,MATCH($A63,RESULTADOS!$A:$A,0),MATCH(T$1,RESULTADOS!$1:$1,0))</f>
        <v>#N/A</v>
      </c>
      <c r="U63" s="33" t="e">
        <f t="shared" ca="1" si="11"/>
        <v>#N/A</v>
      </c>
      <c r="V63" s="10" t="e">
        <f t="shared" ca="1" si="34"/>
        <v>#N/A</v>
      </c>
      <c r="W63" s="33" t="e">
        <f t="shared" ca="1" si="13"/>
        <v>#N/A</v>
      </c>
      <c r="X63" s="10" t="e">
        <f t="shared" ca="1" si="35"/>
        <v>#N/A</v>
      </c>
      <c r="Y63" s="33" t="e">
        <f t="shared" ca="1" si="15"/>
        <v>#N/A</v>
      </c>
      <c r="Z63" s="10" t="e">
        <f t="shared" ca="1" si="36"/>
        <v>#N/A</v>
      </c>
      <c r="AA63" s="12"/>
      <c r="AB63" s="33" t="e">
        <f t="shared" ca="1" si="17"/>
        <v>#N/A</v>
      </c>
      <c r="AC63" s="10" t="e">
        <f t="shared" ca="1" si="37"/>
        <v>#N/A</v>
      </c>
      <c r="AE63" s="208" t="e">
        <f ca="1">INDEX(RESULTADOS!$A:$BA,MATCH($A63,RESULTADOS!$A:$A,0),MATCH(AE$1,RESULTADOS!$1:$1,0))</f>
        <v>#N/A</v>
      </c>
      <c r="AF63" s="67" t="e">
        <f ca="1">INDEX(RESULTADOS!$A:$BA,MATCH($A63,RESULTADOS!$A:$A,0),MATCH(AF$1,RESULTADOS!$1:$1,0))</f>
        <v>#N/A</v>
      </c>
      <c r="AG63" s="121" t="e">
        <f t="shared" ca="1" si="19"/>
        <v>#N/A</v>
      </c>
      <c r="AH63" s="121" t="e">
        <f t="shared" ca="1" si="20"/>
        <v>#N/A</v>
      </c>
      <c r="AI63" s="98" t="e">
        <f t="shared" ca="1" si="21"/>
        <v>#N/A</v>
      </c>
      <c r="AJ63" s="98" t="e">
        <f t="shared" ca="1" si="22"/>
        <v>#N/A</v>
      </c>
    </row>
    <row r="64" spans="1:36" x14ac:dyDescent="0.2">
      <c r="A64" s="7">
        <f t="shared" ca="1" si="26"/>
        <v>43863</v>
      </c>
      <c r="B64" s="67" t="e">
        <f ca="1">INDEX(RESULTADOS!$A:$BA,MATCH($A64,RESULTADOS!$A:$A,0),MATCH(B$1,RESULTADOS!$1:$1,0))</f>
        <v>#N/A</v>
      </c>
      <c r="C64" s="31" t="e">
        <f t="shared" ca="1" si="27"/>
        <v>#N/A</v>
      </c>
      <c r="D64" s="67" t="e">
        <f ca="1">INDEX(RESULTADOS!$A:$BA,MATCH($A64,RESULTADOS!$A:$A,0),MATCH(D$1,RESULTADOS!$1:$1,0))</f>
        <v>#N/A</v>
      </c>
      <c r="E64" s="31" t="e">
        <f t="shared" ca="1" si="2"/>
        <v>#N/A</v>
      </c>
      <c r="F64" s="31" t="e">
        <f t="shared" ca="1" si="28"/>
        <v>#N/A</v>
      </c>
      <c r="G64" s="10" t="e">
        <f t="shared" ca="1" si="4"/>
        <v>#N/A</v>
      </c>
      <c r="H64" s="10" t="e">
        <f t="shared" ca="1" si="29"/>
        <v>#N/A</v>
      </c>
      <c r="I64" s="12"/>
      <c r="J64" s="67" t="e">
        <f ca="1">INDEX(RESULTADOS!$A:$BA,MATCH($A64,RESULTADOS!$A:$A,0),MATCH(J$1,RESULTADOS!$1:$1,0))</f>
        <v>#N/A</v>
      </c>
      <c r="K64" s="32" t="e">
        <f t="shared" ca="1" si="6"/>
        <v>#N/A</v>
      </c>
      <c r="L64" s="32" t="e">
        <f t="shared" ca="1" si="30"/>
        <v>#N/A</v>
      </c>
      <c r="M64" s="32" t="e">
        <f t="shared" ca="1" si="8"/>
        <v>#N/A</v>
      </c>
      <c r="N64" s="32" t="e">
        <f t="shared" ca="1" si="31"/>
        <v>#N/A</v>
      </c>
      <c r="O64" s="67" t="e">
        <f ca="1">INDEX(RESULTADOS!$A:$BA,MATCH($A64,RESULTADOS!$A:$A,0),MATCH(O$1,RESULTADOS!$1:$1,0))</f>
        <v>#N/A</v>
      </c>
      <c r="P64" s="31" t="e">
        <f t="shared" ca="1" si="32"/>
        <v>#N/A</v>
      </c>
      <c r="Q64" s="12"/>
      <c r="R64" s="67" t="e">
        <f ca="1">INDEX(RESULTADOS!$A:$BA,MATCH($A64,RESULTADOS!$A:$A,0),MATCH(R$1,RESULTADOS!$1:$1,0))</f>
        <v>#N/A</v>
      </c>
      <c r="S64" s="31" t="e">
        <f t="shared" ca="1" si="33"/>
        <v>#N/A</v>
      </c>
      <c r="T64" s="67" t="e">
        <f ca="1">INDEX(RESULTADOS!$A:$BA,MATCH($A64,RESULTADOS!$A:$A,0),MATCH(T$1,RESULTADOS!$1:$1,0))</f>
        <v>#N/A</v>
      </c>
      <c r="U64" s="33" t="e">
        <f t="shared" ca="1" si="11"/>
        <v>#N/A</v>
      </c>
      <c r="V64" s="10" t="e">
        <f t="shared" ca="1" si="34"/>
        <v>#N/A</v>
      </c>
      <c r="W64" s="33" t="e">
        <f t="shared" ca="1" si="13"/>
        <v>#N/A</v>
      </c>
      <c r="X64" s="10" t="e">
        <f t="shared" ca="1" si="35"/>
        <v>#N/A</v>
      </c>
      <c r="Y64" s="33" t="e">
        <f t="shared" ca="1" si="15"/>
        <v>#N/A</v>
      </c>
      <c r="Z64" s="10" t="e">
        <f t="shared" ca="1" si="36"/>
        <v>#N/A</v>
      </c>
      <c r="AA64" s="12"/>
      <c r="AB64" s="33" t="e">
        <f t="shared" ca="1" si="17"/>
        <v>#N/A</v>
      </c>
      <c r="AC64" s="10" t="e">
        <f t="shared" ca="1" si="37"/>
        <v>#N/A</v>
      </c>
      <c r="AE64" s="208" t="e">
        <f ca="1">INDEX(RESULTADOS!$A:$BA,MATCH($A64,RESULTADOS!$A:$A,0),MATCH(AE$1,RESULTADOS!$1:$1,0))</f>
        <v>#N/A</v>
      </c>
      <c r="AF64" s="67" t="e">
        <f ca="1">INDEX(RESULTADOS!$A:$BA,MATCH($A64,RESULTADOS!$A:$A,0),MATCH(AF$1,RESULTADOS!$1:$1,0))</f>
        <v>#N/A</v>
      </c>
      <c r="AG64" s="121" t="e">
        <f t="shared" ca="1" si="19"/>
        <v>#N/A</v>
      </c>
      <c r="AH64" s="121" t="e">
        <f t="shared" ca="1" si="20"/>
        <v>#N/A</v>
      </c>
      <c r="AI64" s="98" t="e">
        <f t="shared" ca="1" si="21"/>
        <v>#N/A</v>
      </c>
      <c r="AJ64" s="98" t="e">
        <f t="shared" ca="1" si="22"/>
        <v>#N/A</v>
      </c>
    </row>
    <row r="65" spans="1:36" x14ac:dyDescent="0.2">
      <c r="A65" s="7">
        <f t="shared" ca="1" si="26"/>
        <v>43864</v>
      </c>
      <c r="B65" s="67" t="e">
        <f ca="1">INDEX(RESULTADOS!$A:$BA,MATCH($A65,RESULTADOS!$A:$A,0),MATCH(B$1,RESULTADOS!$1:$1,0))</f>
        <v>#N/A</v>
      </c>
      <c r="C65" s="31" t="e">
        <f t="shared" ca="1" si="27"/>
        <v>#N/A</v>
      </c>
      <c r="D65" s="67" t="e">
        <f ca="1">INDEX(RESULTADOS!$A:$BA,MATCH($A65,RESULTADOS!$A:$A,0),MATCH(D$1,RESULTADOS!$1:$1,0))</f>
        <v>#N/A</v>
      </c>
      <c r="E65" s="31" t="e">
        <f t="shared" ca="1" si="2"/>
        <v>#N/A</v>
      </c>
      <c r="F65" s="31" t="e">
        <f t="shared" ca="1" si="28"/>
        <v>#N/A</v>
      </c>
      <c r="G65" s="10" t="e">
        <f t="shared" ca="1" si="4"/>
        <v>#N/A</v>
      </c>
      <c r="H65" s="10" t="e">
        <f t="shared" ca="1" si="29"/>
        <v>#N/A</v>
      </c>
      <c r="I65" s="12"/>
      <c r="J65" s="67" t="e">
        <f ca="1">INDEX(RESULTADOS!$A:$BA,MATCH($A65,RESULTADOS!$A:$A,0),MATCH(J$1,RESULTADOS!$1:$1,0))</f>
        <v>#N/A</v>
      </c>
      <c r="K65" s="32" t="e">
        <f t="shared" ca="1" si="6"/>
        <v>#N/A</v>
      </c>
      <c r="L65" s="32" t="e">
        <f t="shared" ca="1" si="30"/>
        <v>#N/A</v>
      </c>
      <c r="M65" s="32" t="e">
        <f t="shared" ca="1" si="8"/>
        <v>#N/A</v>
      </c>
      <c r="N65" s="32" t="e">
        <f t="shared" ca="1" si="31"/>
        <v>#N/A</v>
      </c>
      <c r="O65" s="67" t="e">
        <f ca="1">INDEX(RESULTADOS!$A:$BA,MATCH($A65,RESULTADOS!$A:$A,0),MATCH(O$1,RESULTADOS!$1:$1,0))</f>
        <v>#N/A</v>
      </c>
      <c r="P65" s="31" t="e">
        <f t="shared" ca="1" si="32"/>
        <v>#N/A</v>
      </c>
      <c r="Q65" s="12"/>
      <c r="R65" s="67" t="e">
        <f ca="1">INDEX(RESULTADOS!$A:$BA,MATCH($A65,RESULTADOS!$A:$A,0),MATCH(R$1,RESULTADOS!$1:$1,0))</f>
        <v>#N/A</v>
      </c>
      <c r="S65" s="31" t="e">
        <f t="shared" ca="1" si="33"/>
        <v>#N/A</v>
      </c>
      <c r="T65" s="67" t="e">
        <f ca="1">INDEX(RESULTADOS!$A:$BA,MATCH($A65,RESULTADOS!$A:$A,0),MATCH(T$1,RESULTADOS!$1:$1,0))</f>
        <v>#N/A</v>
      </c>
      <c r="U65" s="33" t="e">
        <f t="shared" ca="1" si="11"/>
        <v>#N/A</v>
      </c>
      <c r="V65" s="10" t="e">
        <f t="shared" ca="1" si="34"/>
        <v>#N/A</v>
      </c>
      <c r="W65" s="33" t="e">
        <f t="shared" ca="1" si="13"/>
        <v>#N/A</v>
      </c>
      <c r="X65" s="10" t="e">
        <f t="shared" ca="1" si="35"/>
        <v>#N/A</v>
      </c>
      <c r="Y65" s="33" t="e">
        <f t="shared" ca="1" si="15"/>
        <v>#N/A</v>
      </c>
      <c r="Z65" s="10" t="e">
        <f t="shared" ca="1" si="36"/>
        <v>#N/A</v>
      </c>
      <c r="AA65" s="12"/>
      <c r="AB65" s="33" t="e">
        <f t="shared" ca="1" si="17"/>
        <v>#N/A</v>
      </c>
      <c r="AC65" s="10" t="e">
        <f t="shared" ca="1" si="37"/>
        <v>#N/A</v>
      </c>
      <c r="AE65" s="208" t="e">
        <f ca="1">INDEX(RESULTADOS!$A:$BA,MATCH($A65,RESULTADOS!$A:$A,0),MATCH(AE$1,RESULTADOS!$1:$1,0))</f>
        <v>#N/A</v>
      </c>
      <c r="AF65" s="67" t="e">
        <f ca="1">INDEX(RESULTADOS!$A:$BA,MATCH($A65,RESULTADOS!$A:$A,0),MATCH(AF$1,RESULTADOS!$1:$1,0))</f>
        <v>#N/A</v>
      </c>
      <c r="AG65" s="121" t="e">
        <f t="shared" ca="1" si="19"/>
        <v>#N/A</v>
      </c>
      <c r="AH65" s="121" t="e">
        <f t="shared" ca="1" si="20"/>
        <v>#N/A</v>
      </c>
      <c r="AI65" s="98" t="e">
        <f t="shared" ca="1" si="21"/>
        <v>#N/A</v>
      </c>
      <c r="AJ65" s="98" t="e">
        <f t="shared" ca="1" si="22"/>
        <v>#N/A</v>
      </c>
    </row>
    <row r="66" spans="1:36" x14ac:dyDescent="0.2">
      <c r="A66" s="7">
        <f t="shared" ca="1" si="26"/>
        <v>43865</v>
      </c>
      <c r="B66" s="67" t="e">
        <f ca="1">INDEX(RESULTADOS!$A:$BA,MATCH($A66,RESULTADOS!$A:$A,0),MATCH(B$1,RESULTADOS!$1:$1,0))</f>
        <v>#N/A</v>
      </c>
      <c r="C66" s="31" t="e">
        <f t="shared" ca="1" si="27"/>
        <v>#N/A</v>
      </c>
      <c r="D66" s="67" t="e">
        <f ca="1">INDEX(RESULTADOS!$A:$BA,MATCH($A66,RESULTADOS!$A:$A,0),MATCH(D$1,RESULTADOS!$1:$1,0))</f>
        <v>#N/A</v>
      </c>
      <c r="E66" s="31" t="e">
        <f t="shared" ca="1" si="2"/>
        <v>#N/A</v>
      </c>
      <c r="F66" s="31" t="e">
        <f t="shared" ca="1" si="28"/>
        <v>#N/A</v>
      </c>
      <c r="G66" s="10" t="e">
        <f t="shared" ca="1" si="4"/>
        <v>#N/A</v>
      </c>
      <c r="H66" s="10" t="e">
        <f t="shared" ca="1" si="29"/>
        <v>#N/A</v>
      </c>
      <c r="I66" s="12"/>
      <c r="J66" s="67" t="e">
        <f ca="1">INDEX(RESULTADOS!$A:$BA,MATCH($A66,RESULTADOS!$A:$A,0),MATCH(J$1,RESULTADOS!$1:$1,0))</f>
        <v>#N/A</v>
      </c>
      <c r="K66" s="32" t="e">
        <f t="shared" ca="1" si="6"/>
        <v>#N/A</v>
      </c>
      <c r="L66" s="32" t="e">
        <f t="shared" ca="1" si="30"/>
        <v>#N/A</v>
      </c>
      <c r="M66" s="32" t="e">
        <f t="shared" ca="1" si="8"/>
        <v>#N/A</v>
      </c>
      <c r="N66" s="32" t="e">
        <f t="shared" ca="1" si="31"/>
        <v>#N/A</v>
      </c>
      <c r="O66" s="67" t="e">
        <f ca="1">INDEX(RESULTADOS!$A:$BA,MATCH($A66,RESULTADOS!$A:$A,0),MATCH(O$1,RESULTADOS!$1:$1,0))</f>
        <v>#N/A</v>
      </c>
      <c r="P66" s="31" t="e">
        <f t="shared" ca="1" si="32"/>
        <v>#N/A</v>
      </c>
      <c r="Q66" s="12"/>
      <c r="R66" s="67" t="e">
        <f ca="1">INDEX(RESULTADOS!$A:$BA,MATCH($A66,RESULTADOS!$A:$A,0),MATCH(R$1,RESULTADOS!$1:$1,0))</f>
        <v>#N/A</v>
      </c>
      <c r="S66" s="31" t="e">
        <f t="shared" ca="1" si="33"/>
        <v>#N/A</v>
      </c>
      <c r="T66" s="67" t="e">
        <f ca="1">INDEX(RESULTADOS!$A:$BA,MATCH($A66,RESULTADOS!$A:$A,0),MATCH(T$1,RESULTADOS!$1:$1,0))</f>
        <v>#N/A</v>
      </c>
      <c r="U66" s="33" t="e">
        <f t="shared" ca="1" si="11"/>
        <v>#N/A</v>
      </c>
      <c r="V66" s="10" t="e">
        <f t="shared" ca="1" si="34"/>
        <v>#N/A</v>
      </c>
      <c r="W66" s="33" t="e">
        <f t="shared" ca="1" si="13"/>
        <v>#N/A</v>
      </c>
      <c r="X66" s="10" t="e">
        <f t="shared" ca="1" si="35"/>
        <v>#N/A</v>
      </c>
      <c r="Y66" s="33" t="e">
        <f t="shared" ca="1" si="15"/>
        <v>#N/A</v>
      </c>
      <c r="Z66" s="10" t="e">
        <f t="shared" ca="1" si="36"/>
        <v>#N/A</v>
      </c>
      <c r="AA66" s="12"/>
      <c r="AB66" s="33" t="e">
        <f t="shared" ca="1" si="17"/>
        <v>#N/A</v>
      </c>
      <c r="AC66" s="10" t="e">
        <f t="shared" ca="1" si="37"/>
        <v>#N/A</v>
      </c>
      <c r="AE66" s="208" t="e">
        <f ca="1">INDEX(RESULTADOS!$A:$BA,MATCH($A66,RESULTADOS!$A:$A,0),MATCH(AE$1,RESULTADOS!$1:$1,0))</f>
        <v>#N/A</v>
      </c>
      <c r="AF66" s="67" t="e">
        <f ca="1">INDEX(RESULTADOS!$A:$BA,MATCH($A66,RESULTADOS!$A:$A,0),MATCH(AF$1,RESULTADOS!$1:$1,0))</f>
        <v>#N/A</v>
      </c>
      <c r="AG66" s="121" t="e">
        <f t="shared" ca="1" si="19"/>
        <v>#N/A</v>
      </c>
      <c r="AH66" s="121" t="e">
        <f t="shared" ca="1" si="20"/>
        <v>#N/A</v>
      </c>
      <c r="AI66" s="98" t="e">
        <f t="shared" ca="1" si="21"/>
        <v>#N/A</v>
      </c>
      <c r="AJ66" s="98" t="e">
        <f t="shared" ca="1" si="22"/>
        <v>#N/A</v>
      </c>
    </row>
    <row r="67" spans="1:36" x14ac:dyDescent="0.2">
      <c r="A67" s="7">
        <f t="shared" ca="1" si="26"/>
        <v>43866</v>
      </c>
      <c r="B67" s="67" t="e">
        <f ca="1">INDEX(RESULTADOS!$A:$BA,MATCH($A67,RESULTADOS!$A:$A,0),MATCH(B$1,RESULTADOS!$1:$1,0))</f>
        <v>#N/A</v>
      </c>
      <c r="C67" s="31" t="e">
        <f t="shared" ca="1" si="27"/>
        <v>#N/A</v>
      </c>
      <c r="D67" s="67" t="e">
        <f ca="1">INDEX(RESULTADOS!$A:$BA,MATCH($A67,RESULTADOS!$A:$A,0),MATCH(D$1,RESULTADOS!$1:$1,0))</f>
        <v>#N/A</v>
      </c>
      <c r="E67" s="31" t="e">
        <f t="shared" ca="1" si="2"/>
        <v>#N/A</v>
      </c>
      <c r="F67" s="31" t="e">
        <f t="shared" ca="1" si="28"/>
        <v>#N/A</v>
      </c>
      <c r="G67" s="10" t="e">
        <f t="shared" ca="1" si="4"/>
        <v>#N/A</v>
      </c>
      <c r="H67" s="10" t="e">
        <f t="shared" ca="1" si="29"/>
        <v>#N/A</v>
      </c>
      <c r="I67" s="12"/>
      <c r="J67" s="67" t="e">
        <f ca="1">INDEX(RESULTADOS!$A:$BA,MATCH($A67,RESULTADOS!$A:$A,0),MATCH(J$1,RESULTADOS!$1:$1,0))</f>
        <v>#N/A</v>
      </c>
      <c r="K67" s="32" t="e">
        <f t="shared" ca="1" si="6"/>
        <v>#N/A</v>
      </c>
      <c r="L67" s="32" t="e">
        <f t="shared" ca="1" si="30"/>
        <v>#N/A</v>
      </c>
      <c r="M67" s="32" t="e">
        <f t="shared" ca="1" si="8"/>
        <v>#N/A</v>
      </c>
      <c r="N67" s="32" t="e">
        <f t="shared" ca="1" si="31"/>
        <v>#N/A</v>
      </c>
      <c r="O67" s="67" t="e">
        <f ca="1">INDEX(RESULTADOS!$A:$BA,MATCH($A67,RESULTADOS!$A:$A,0),MATCH(O$1,RESULTADOS!$1:$1,0))</f>
        <v>#N/A</v>
      </c>
      <c r="P67" s="31" t="e">
        <f t="shared" ca="1" si="32"/>
        <v>#N/A</v>
      </c>
      <c r="Q67" s="12"/>
      <c r="R67" s="67" t="e">
        <f ca="1">INDEX(RESULTADOS!$A:$BA,MATCH($A67,RESULTADOS!$A:$A,0),MATCH(R$1,RESULTADOS!$1:$1,0))</f>
        <v>#N/A</v>
      </c>
      <c r="S67" s="31" t="e">
        <f t="shared" ca="1" si="33"/>
        <v>#N/A</v>
      </c>
      <c r="T67" s="67" t="e">
        <f ca="1">INDEX(RESULTADOS!$A:$BA,MATCH($A67,RESULTADOS!$A:$A,0),MATCH(T$1,RESULTADOS!$1:$1,0))</f>
        <v>#N/A</v>
      </c>
      <c r="U67" s="33" t="e">
        <f t="shared" ca="1" si="11"/>
        <v>#N/A</v>
      </c>
      <c r="V67" s="10" t="e">
        <f t="shared" ca="1" si="34"/>
        <v>#N/A</v>
      </c>
      <c r="W67" s="33" t="e">
        <f t="shared" ca="1" si="13"/>
        <v>#N/A</v>
      </c>
      <c r="X67" s="10" t="e">
        <f t="shared" ca="1" si="35"/>
        <v>#N/A</v>
      </c>
      <c r="Y67" s="33" t="e">
        <f t="shared" ca="1" si="15"/>
        <v>#N/A</v>
      </c>
      <c r="Z67" s="10" t="e">
        <f t="shared" ca="1" si="36"/>
        <v>#N/A</v>
      </c>
      <c r="AA67" s="12"/>
      <c r="AB67" s="33" t="e">
        <f t="shared" ca="1" si="17"/>
        <v>#N/A</v>
      </c>
      <c r="AC67" s="10" t="e">
        <f t="shared" ca="1" si="37"/>
        <v>#N/A</v>
      </c>
      <c r="AE67" s="208" t="e">
        <f ca="1">INDEX(RESULTADOS!$A:$BA,MATCH($A67,RESULTADOS!$A:$A,0),MATCH(AE$1,RESULTADOS!$1:$1,0))</f>
        <v>#N/A</v>
      </c>
      <c r="AF67" s="67" t="e">
        <f ca="1">INDEX(RESULTADOS!$A:$BA,MATCH($A67,RESULTADOS!$A:$A,0),MATCH(AF$1,RESULTADOS!$1:$1,0))</f>
        <v>#N/A</v>
      </c>
      <c r="AG67" s="121" t="e">
        <f t="shared" ca="1" si="19"/>
        <v>#N/A</v>
      </c>
      <c r="AH67" s="121" t="e">
        <f t="shared" ca="1" si="20"/>
        <v>#N/A</v>
      </c>
      <c r="AI67" s="98" t="e">
        <f t="shared" ca="1" si="21"/>
        <v>#N/A</v>
      </c>
      <c r="AJ67" s="98" t="e">
        <f t="shared" ca="1" si="22"/>
        <v>#N/A</v>
      </c>
    </row>
    <row r="68" spans="1:36" x14ac:dyDescent="0.2">
      <c r="A68" s="7">
        <f t="shared" ca="1" si="26"/>
        <v>43867</v>
      </c>
      <c r="B68" s="67" t="e">
        <f ca="1">INDEX(RESULTADOS!$A:$BA,MATCH($A68,RESULTADOS!$A:$A,0),MATCH(B$1,RESULTADOS!$1:$1,0))</f>
        <v>#N/A</v>
      </c>
      <c r="C68" s="31" t="e">
        <f t="shared" ca="1" si="27"/>
        <v>#N/A</v>
      </c>
      <c r="D68" s="67" t="e">
        <f ca="1">INDEX(RESULTADOS!$A:$BA,MATCH($A68,RESULTADOS!$A:$A,0),MATCH(D$1,RESULTADOS!$1:$1,0))</f>
        <v>#N/A</v>
      </c>
      <c r="E68" s="31" t="e">
        <f t="shared" ca="1" si="2"/>
        <v>#N/A</v>
      </c>
      <c r="F68" s="31" t="e">
        <f t="shared" ca="1" si="28"/>
        <v>#N/A</v>
      </c>
      <c r="G68" s="10" t="e">
        <f t="shared" ca="1" si="4"/>
        <v>#N/A</v>
      </c>
      <c r="H68" s="10" t="e">
        <f t="shared" ca="1" si="29"/>
        <v>#N/A</v>
      </c>
      <c r="I68" s="12"/>
      <c r="J68" s="67" t="e">
        <f ca="1">INDEX(RESULTADOS!$A:$BA,MATCH($A68,RESULTADOS!$A:$A,0),MATCH(J$1,RESULTADOS!$1:$1,0))</f>
        <v>#N/A</v>
      </c>
      <c r="K68" s="32" t="e">
        <f t="shared" ca="1" si="6"/>
        <v>#N/A</v>
      </c>
      <c r="L68" s="32" t="e">
        <f t="shared" ca="1" si="30"/>
        <v>#N/A</v>
      </c>
      <c r="M68" s="32" t="e">
        <f t="shared" ca="1" si="8"/>
        <v>#N/A</v>
      </c>
      <c r="N68" s="32" t="e">
        <f t="shared" ca="1" si="31"/>
        <v>#N/A</v>
      </c>
      <c r="O68" s="67" t="e">
        <f ca="1">INDEX(RESULTADOS!$A:$BA,MATCH($A68,RESULTADOS!$A:$A,0),MATCH(O$1,RESULTADOS!$1:$1,0))</f>
        <v>#N/A</v>
      </c>
      <c r="P68" s="31" t="e">
        <f t="shared" ca="1" si="32"/>
        <v>#N/A</v>
      </c>
      <c r="Q68" s="12"/>
      <c r="R68" s="67" t="e">
        <f ca="1">INDEX(RESULTADOS!$A:$BA,MATCH($A68,RESULTADOS!$A:$A,0),MATCH(R$1,RESULTADOS!$1:$1,0))</f>
        <v>#N/A</v>
      </c>
      <c r="S68" s="31" t="e">
        <f t="shared" ca="1" si="33"/>
        <v>#N/A</v>
      </c>
      <c r="T68" s="67" t="e">
        <f ca="1">INDEX(RESULTADOS!$A:$BA,MATCH($A68,RESULTADOS!$A:$A,0),MATCH(T$1,RESULTADOS!$1:$1,0))</f>
        <v>#N/A</v>
      </c>
      <c r="U68" s="33" t="e">
        <f t="shared" ca="1" si="11"/>
        <v>#N/A</v>
      </c>
      <c r="V68" s="10" t="e">
        <f t="shared" ca="1" si="34"/>
        <v>#N/A</v>
      </c>
      <c r="W68" s="33" t="e">
        <f t="shared" ca="1" si="13"/>
        <v>#N/A</v>
      </c>
      <c r="X68" s="10" t="e">
        <f t="shared" ca="1" si="35"/>
        <v>#N/A</v>
      </c>
      <c r="Y68" s="33" t="e">
        <f t="shared" ca="1" si="15"/>
        <v>#N/A</v>
      </c>
      <c r="Z68" s="10" t="e">
        <f t="shared" ca="1" si="36"/>
        <v>#N/A</v>
      </c>
      <c r="AA68" s="12"/>
      <c r="AB68" s="33" t="e">
        <f t="shared" ca="1" si="17"/>
        <v>#N/A</v>
      </c>
      <c r="AC68" s="10" t="e">
        <f t="shared" ca="1" si="37"/>
        <v>#N/A</v>
      </c>
      <c r="AE68" s="208" t="e">
        <f ca="1">INDEX(RESULTADOS!$A:$BA,MATCH($A68,RESULTADOS!$A:$A,0),MATCH(AE$1,RESULTADOS!$1:$1,0))</f>
        <v>#N/A</v>
      </c>
      <c r="AF68" s="67" t="e">
        <f ca="1">INDEX(RESULTADOS!$A:$BA,MATCH($A68,RESULTADOS!$A:$A,0),MATCH(AF$1,RESULTADOS!$1:$1,0))</f>
        <v>#N/A</v>
      </c>
      <c r="AG68" s="121" t="e">
        <f t="shared" ca="1" si="19"/>
        <v>#N/A</v>
      </c>
      <c r="AH68" s="121" t="e">
        <f t="shared" ca="1" si="20"/>
        <v>#N/A</v>
      </c>
      <c r="AI68" s="98" t="e">
        <f t="shared" ca="1" si="21"/>
        <v>#N/A</v>
      </c>
      <c r="AJ68" s="98" t="e">
        <f t="shared" ca="1" si="22"/>
        <v>#N/A</v>
      </c>
    </row>
    <row r="69" spans="1:36" x14ac:dyDescent="0.2">
      <c r="A69" s="7">
        <f t="shared" ca="1" si="26"/>
        <v>43868</v>
      </c>
      <c r="B69" s="67" t="e">
        <f ca="1">INDEX(RESULTADOS!$A:$BA,MATCH($A69,RESULTADOS!$A:$A,0),MATCH(B$1,RESULTADOS!$1:$1,0))</f>
        <v>#N/A</v>
      </c>
      <c r="C69" s="31" t="e">
        <f t="shared" ca="1" si="27"/>
        <v>#N/A</v>
      </c>
      <c r="D69" s="67" t="e">
        <f ca="1">INDEX(RESULTADOS!$A:$BA,MATCH($A69,RESULTADOS!$A:$A,0),MATCH(D$1,RESULTADOS!$1:$1,0))</f>
        <v>#N/A</v>
      </c>
      <c r="E69" s="31" t="e">
        <f t="shared" ca="1" si="2"/>
        <v>#N/A</v>
      </c>
      <c r="F69" s="31" t="e">
        <f t="shared" ca="1" si="28"/>
        <v>#N/A</v>
      </c>
      <c r="G69" s="10" t="e">
        <f t="shared" ca="1" si="4"/>
        <v>#N/A</v>
      </c>
      <c r="H69" s="10" t="e">
        <f t="shared" ca="1" si="29"/>
        <v>#N/A</v>
      </c>
      <c r="I69" s="12"/>
      <c r="J69" s="67" t="e">
        <f ca="1">INDEX(RESULTADOS!$A:$BA,MATCH($A69,RESULTADOS!$A:$A,0),MATCH(J$1,RESULTADOS!$1:$1,0))</f>
        <v>#N/A</v>
      </c>
      <c r="K69" s="32" t="e">
        <f t="shared" ca="1" si="6"/>
        <v>#N/A</v>
      </c>
      <c r="L69" s="32" t="e">
        <f t="shared" ca="1" si="30"/>
        <v>#N/A</v>
      </c>
      <c r="M69" s="32" t="e">
        <f t="shared" ca="1" si="8"/>
        <v>#N/A</v>
      </c>
      <c r="N69" s="32" t="e">
        <f t="shared" ca="1" si="31"/>
        <v>#N/A</v>
      </c>
      <c r="O69" s="67" t="e">
        <f ca="1">INDEX(RESULTADOS!$A:$BA,MATCH($A69,RESULTADOS!$A:$A,0),MATCH(O$1,RESULTADOS!$1:$1,0))</f>
        <v>#N/A</v>
      </c>
      <c r="P69" s="31" t="e">
        <f t="shared" ca="1" si="32"/>
        <v>#N/A</v>
      </c>
      <c r="Q69" s="12"/>
      <c r="R69" s="67" t="e">
        <f ca="1">INDEX(RESULTADOS!$A:$BA,MATCH($A69,RESULTADOS!$A:$A,0),MATCH(R$1,RESULTADOS!$1:$1,0))</f>
        <v>#N/A</v>
      </c>
      <c r="S69" s="31" t="e">
        <f t="shared" ca="1" si="33"/>
        <v>#N/A</v>
      </c>
      <c r="T69" s="67" t="e">
        <f ca="1">INDEX(RESULTADOS!$A:$BA,MATCH($A69,RESULTADOS!$A:$A,0),MATCH(T$1,RESULTADOS!$1:$1,0))</f>
        <v>#N/A</v>
      </c>
      <c r="U69" s="33" t="e">
        <f t="shared" ca="1" si="11"/>
        <v>#N/A</v>
      </c>
      <c r="V69" s="10" t="e">
        <f t="shared" ca="1" si="34"/>
        <v>#N/A</v>
      </c>
      <c r="W69" s="33" t="e">
        <f t="shared" ca="1" si="13"/>
        <v>#N/A</v>
      </c>
      <c r="X69" s="10" t="e">
        <f t="shared" ca="1" si="35"/>
        <v>#N/A</v>
      </c>
      <c r="Y69" s="33" t="e">
        <f t="shared" ca="1" si="15"/>
        <v>#N/A</v>
      </c>
      <c r="Z69" s="10" t="e">
        <f t="shared" ca="1" si="36"/>
        <v>#N/A</v>
      </c>
      <c r="AA69" s="12"/>
      <c r="AB69" s="33" t="e">
        <f t="shared" ca="1" si="17"/>
        <v>#N/A</v>
      </c>
      <c r="AC69" s="10" t="e">
        <f t="shared" ca="1" si="37"/>
        <v>#N/A</v>
      </c>
      <c r="AE69" s="208" t="e">
        <f ca="1">INDEX(RESULTADOS!$A:$BA,MATCH($A69,RESULTADOS!$A:$A,0),MATCH(AE$1,RESULTADOS!$1:$1,0))</f>
        <v>#N/A</v>
      </c>
      <c r="AF69" s="67" t="e">
        <f ca="1">INDEX(RESULTADOS!$A:$BA,MATCH($A69,RESULTADOS!$A:$A,0),MATCH(AF$1,RESULTADOS!$1:$1,0))</f>
        <v>#N/A</v>
      </c>
      <c r="AG69" s="121" t="e">
        <f t="shared" ca="1" si="19"/>
        <v>#N/A</v>
      </c>
      <c r="AH69" s="121" t="e">
        <f t="shared" ca="1" si="20"/>
        <v>#N/A</v>
      </c>
      <c r="AI69" s="98" t="e">
        <f t="shared" ca="1" si="21"/>
        <v>#N/A</v>
      </c>
      <c r="AJ69" s="98" t="e">
        <f t="shared" ca="1" si="22"/>
        <v>#N/A</v>
      </c>
    </row>
    <row r="70" spans="1:36" s="121" customFormat="1" x14ac:dyDescent="0.2">
      <c r="A70" s="49">
        <f t="shared" ca="1" si="26"/>
        <v>43869</v>
      </c>
      <c r="B70" s="67" t="e">
        <f ca="1">INDEX(RESULTADOS!$A:$BA,MATCH($A70,RESULTADOS!$A:$A,0),MATCH(B$1,RESULTADOS!$1:$1,0))</f>
        <v>#N/A</v>
      </c>
      <c r="C70" s="31" t="e">
        <f t="shared" ref="C70:C80" ca="1" si="38">B70</f>
        <v>#N/A</v>
      </c>
      <c r="D70" s="67" t="e">
        <f ca="1">INDEX(RESULTADOS!$A:$BA,MATCH($A70,RESULTADOS!$A:$A,0),MATCH(D$1,RESULTADOS!$1:$1,0))</f>
        <v>#N/A</v>
      </c>
      <c r="E70" s="31" t="e">
        <f t="shared" ca="1" si="2"/>
        <v>#N/A</v>
      </c>
      <c r="F70" s="31" t="e">
        <f t="shared" ref="F70:F80" ca="1" si="39">((C70*(24-$C$3)+C69*$C$3)/24)+E70</f>
        <v>#N/A</v>
      </c>
      <c r="G70" s="52" t="e">
        <f t="shared" ca="1" si="4"/>
        <v>#N/A</v>
      </c>
      <c r="H70" s="52" t="e">
        <f t="shared" ref="H70:H80" ca="1" si="40">((F70*(24-$F$3)+F69*$F$3)/24)+G70</f>
        <v>#N/A</v>
      </c>
      <c r="I70" s="53"/>
      <c r="J70" s="67" t="e">
        <f ca="1">INDEX(RESULTADOS!$A:$BA,MATCH($A70,RESULTADOS!$A:$A,0),MATCH(J$1,RESULTADOS!$1:$1,0))</f>
        <v>#N/A</v>
      </c>
      <c r="K70" s="32" t="e">
        <f t="shared" ca="1" si="6"/>
        <v>#N/A</v>
      </c>
      <c r="L70" s="32" t="e">
        <f t="shared" ref="L70:L80" ca="1" si="41">K70</f>
        <v>#N/A</v>
      </c>
      <c r="M70" s="32" t="e">
        <f t="shared" ca="1" si="8"/>
        <v>#N/A</v>
      </c>
      <c r="N70" s="32" t="e">
        <f t="shared" ref="N70:N80" ca="1" si="42">((K70*(24-$K$3)+K69*$K$3)/24)+M70</f>
        <v>#N/A</v>
      </c>
      <c r="O70" s="67" t="e">
        <f ca="1">INDEX(RESULTADOS!$A:$BA,MATCH($A70,RESULTADOS!$A:$A,0),MATCH(O$1,RESULTADOS!$1:$1,0))</f>
        <v>#N/A</v>
      </c>
      <c r="P70" s="31" t="e">
        <f t="shared" ref="P70:P80" ca="1" si="43">((N70*(24-$N$3)+N69*$N$3)/24)+O70</f>
        <v>#N/A</v>
      </c>
      <c r="Q70" s="53"/>
      <c r="R70" s="67" t="e">
        <f ca="1">INDEX(RESULTADOS!$A:$BA,MATCH($A70,RESULTADOS!$A:$A,0),MATCH(R$1,RESULTADOS!$1:$1,0))</f>
        <v>#N/A</v>
      </c>
      <c r="S70" s="31" t="e">
        <f t="shared" ref="S70:S80" ca="1" si="44">R70</f>
        <v>#N/A</v>
      </c>
      <c r="T70" s="67" t="e">
        <f ca="1">INDEX(RESULTADOS!$A:$BA,MATCH($A70,RESULTADOS!$A:$A,0),MATCH(T$1,RESULTADOS!$1:$1,0))</f>
        <v>#N/A</v>
      </c>
      <c r="U70" s="33" t="e">
        <f t="shared" ca="1" si="11"/>
        <v>#N/A</v>
      </c>
      <c r="V70" s="52" t="e">
        <f t="shared" ref="V70:V80" ca="1" si="45">((S70*(24-$S$3)+S69*$S$3)/24)+U70</f>
        <v>#N/A</v>
      </c>
      <c r="W70" s="33" t="e">
        <f t="shared" ca="1" si="13"/>
        <v>#N/A</v>
      </c>
      <c r="X70" s="52" t="e">
        <f t="shared" ref="X70:X80" ca="1" si="46">((V70*(24-$V$3)+V69*$V$3)/24)+W70</f>
        <v>#N/A</v>
      </c>
      <c r="Y70" s="33" t="e">
        <f t="shared" ca="1" si="15"/>
        <v>#N/A</v>
      </c>
      <c r="Z70" s="52" t="e">
        <f t="shared" ref="Z70:Z80" ca="1" si="47">((X70*(24-$X$3)+X69*$X$3)/24)+Y70</f>
        <v>#N/A</v>
      </c>
      <c r="AA70" s="53"/>
      <c r="AB70" s="33" t="e">
        <f t="shared" ca="1" si="17"/>
        <v>#N/A</v>
      </c>
      <c r="AC70" s="52" t="e">
        <f t="shared" ref="AC70:AC80" ca="1" si="48">((Z70*(24-$Z$3)+Z69*$Z$3)/24)+((P70*(24-$P$3)+P69*$P$3)/24)+((H70*(24-$H$3)+H69*$H$3)/24)+AB70</f>
        <v>#N/A</v>
      </c>
      <c r="AE70" s="208" t="e">
        <f ca="1">INDEX(RESULTADOS!$A:$BA,MATCH($A70,RESULTADOS!$A:$A,0),MATCH(AE$1,RESULTADOS!$1:$1,0))</f>
        <v>#N/A</v>
      </c>
      <c r="AF70" s="67" t="e">
        <f ca="1">INDEX(RESULTADOS!$A:$BA,MATCH($A70,RESULTADOS!$A:$A,0),MATCH(AF$1,RESULTADOS!$1:$1,0))</f>
        <v>#N/A</v>
      </c>
      <c r="AG70" s="121" t="e">
        <f t="shared" ref="AG70:AG80" ca="1" si="49">AG$4*AF70</f>
        <v>#N/A</v>
      </c>
      <c r="AH70" s="121" t="e">
        <f t="shared" ca="1" si="20"/>
        <v>#N/A</v>
      </c>
      <c r="AI70" s="98" t="e">
        <f t="shared" ref="AI70:AI80" ca="1" si="50">AG70+AC70</f>
        <v>#N/A</v>
      </c>
      <c r="AJ70" s="98" t="e">
        <f t="shared" ca="1" si="22"/>
        <v>#N/A</v>
      </c>
    </row>
    <row r="71" spans="1:36" s="121" customFormat="1" x14ac:dyDescent="0.2">
      <c r="A71" s="49">
        <f t="shared" ca="1" si="26"/>
        <v>43870</v>
      </c>
      <c r="B71" s="67" t="e">
        <f ca="1">INDEX(RESULTADOS!$A:$BA,MATCH($A71,RESULTADOS!$A:$A,0),MATCH(B$1,RESULTADOS!$1:$1,0))</f>
        <v>#N/A</v>
      </c>
      <c r="C71" s="31" t="e">
        <f t="shared" ca="1" si="38"/>
        <v>#N/A</v>
      </c>
      <c r="D71" s="67" t="e">
        <f ca="1">INDEX(RESULTADOS!$A:$BA,MATCH($A71,RESULTADOS!$A:$A,0),MATCH(D$1,RESULTADOS!$1:$1,0))</f>
        <v>#N/A</v>
      </c>
      <c r="E71" s="31" t="e">
        <f t="shared" ca="1" si="2"/>
        <v>#N/A</v>
      </c>
      <c r="F71" s="31" t="e">
        <f t="shared" ca="1" si="39"/>
        <v>#N/A</v>
      </c>
      <c r="G71" s="52" t="e">
        <f t="shared" ca="1" si="4"/>
        <v>#N/A</v>
      </c>
      <c r="H71" s="52" t="e">
        <f t="shared" ca="1" si="40"/>
        <v>#N/A</v>
      </c>
      <c r="I71" s="53"/>
      <c r="J71" s="67" t="e">
        <f ca="1">INDEX(RESULTADOS!$A:$BA,MATCH($A71,RESULTADOS!$A:$A,0),MATCH(J$1,RESULTADOS!$1:$1,0))</f>
        <v>#N/A</v>
      </c>
      <c r="K71" s="32" t="e">
        <f t="shared" ca="1" si="6"/>
        <v>#N/A</v>
      </c>
      <c r="L71" s="32" t="e">
        <f t="shared" ca="1" si="41"/>
        <v>#N/A</v>
      </c>
      <c r="M71" s="32" t="e">
        <f t="shared" ref="M71:M110" ca="1" si="51">$M$4*$J71</f>
        <v>#N/A</v>
      </c>
      <c r="N71" s="32" t="e">
        <f t="shared" ca="1" si="42"/>
        <v>#N/A</v>
      </c>
      <c r="O71" s="67" t="e">
        <f ca="1">INDEX(RESULTADOS!$A:$BA,MATCH($A71,RESULTADOS!$A:$A,0),MATCH(O$1,RESULTADOS!$1:$1,0))</f>
        <v>#N/A</v>
      </c>
      <c r="P71" s="31" t="e">
        <f t="shared" ca="1" si="43"/>
        <v>#N/A</v>
      </c>
      <c r="Q71" s="53"/>
      <c r="R71" s="67" t="e">
        <f ca="1">INDEX(RESULTADOS!$A:$BA,MATCH($A71,RESULTADOS!$A:$A,0),MATCH(R$1,RESULTADOS!$1:$1,0))</f>
        <v>#N/A</v>
      </c>
      <c r="S71" s="31" t="e">
        <f t="shared" ca="1" si="44"/>
        <v>#N/A</v>
      </c>
      <c r="T71" s="67" t="e">
        <f ca="1">INDEX(RESULTADOS!$A:$BA,MATCH($A71,RESULTADOS!$A:$A,0),MATCH(T$1,RESULTADOS!$1:$1,0))</f>
        <v>#N/A</v>
      </c>
      <c r="U71" s="33" t="e">
        <f t="shared" ref="U71:U110" ca="1" si="52">$U$4*$T71</f>
        <v>#N/A</v>
      </c>
      <c r="V71" s="52" t="e">
        <f t="shared" ca="1" si="45"/>
        <v>#N/A</v>
      </c>
      <c r="W71" s="33" t="e">
        <f t="shared" ref="W71:W110" ca="1" si="53">$W$4*$T71</f>
        <v>#N/A</v>
      </c>
      <c r="X71" s="52" t="e">
        <f t="shared" ca="1" si="46"/>
        <v>#N/A</v>
      </c>
      <c r="Y71" s="33" t="e">
        <f t="shared" ref="Y71:Y110" ca="1" si="54">$Y$4*$T71</f>
        <v>#N/A</v>
      </c>
      <c r="Z71" s="52" t="e">
        <f t="shared" ca="1" si="47"/>
        <v>#N/A</v>
      </c>
      <c r="AA71" s="53"/>
      <c r="AB71" s="33" t="e">
        <f t="shared" ref="AB71:AB110" ca="1" si="55">$AB$4*$T71</f>
        <v>#N/A</v>
      </c>
      <c r="AC71" s="52" t="e">
        <f t="shared" ca="1" si="48"/>
        <v>#N/A</v>
      </c>
      <c r="AE71" s="208" t="e">
        <f ca="1">INDEX(RESULTADOS!$A:$BA,MATCH($A71,RESULTADOS!$A:$A,0),MATCH(AE$1,RESULTADOS!$1:$1,0))</f>
        <v>#N/A</v>
      </c>
      <c r="AF71" s="67" t="e">
        <f ca="1">INDEX(RESULTADOS!$A:$BA,MATCH($A71,RESULTADOS!$A:$A,0),MATCH(AF$1,RESULTADOS!$1:$1,0))</f>
        <v>#N/A</v>
      </c>
      <c r="AG71" s="121" t="e">
        <f t="shared" ca="1" si="49"/>
        <v>#N/A</v>
      </c>
      <c r="AH71" s="121" t="e">
        <f t="shared" ca="1" si="20"/>
        <v>#N/A</v>
      </c>
      <c r="AI71" s="98" t="e">
        <f t="shared" ca="1" si="50"/>
        <v>#N/A</v>
      </c>
      <c r="AJ71" s="98" t="e">
        <f t="shared" ca="1" si="22"/>
        <v>#N/A</v>
      </c>
    </row>
    <row r="72" spans="1:36" s="121" customFormat="1" x14ac:dyDescent="0.2">
      <c r="A72" s="49">
        <f t="shared" ca="1" si="26"/>
        <v>43871</v>
      </c>
      <c r="B72" s="67" t="e">
        <f ca="1">INDEX(RESULTADOS!$A:$BA,MATCH($A72,RESULTADOS!$A:$A,0),MATCH(B$1,RESULTADOS!$1:$1,0))</f>
        <v>#N/A</v>
      </c>
      <c r="C72" s="31" t="e">
        <f t="shared" ca="1" si="38"/>
        <v>#N/A</v>
      </c>
      <c r="D72" s="67" t="e">
        <f ca="1">INDEX(RESULTADOS!$A:$BA,MATCH($A72,RESULTADOS!$A:$A,0),MATCH(D$1,RESULTADOS!$1:$1,0))</f>
        <v>#N/A</v>
      </c>
      <c r="E72" s="31" t="e">
        <f t="shared" ca="1" si="2"/>
        <v>#N/A</v>
      </c>
      <c r="F72" s="31" t="e">
        <f t="shared" ca="1" si="39"/>
        <v>#N/A</v>
      </c>
      <c r="G72" s="52" t="e">
        <f t="shared" ref="G72:G110" ca="1" si="56">$G$4*$D72</f>
        <v>#N/A</v>
      </c>
      <c r="H72" s="52" t="e">
        <f t="shared" ca="1" si="40"/>
        <v>#N/A</v>
      </c>
      <c r="I72" s="53"/>
      <c r="J72" s="67" t="e">
        <f ca="1">INDEX(RESULTADOS!$A:$BA,MATCH($A72,RESULTADOS!$A:$A,0),MATCH(J$1,RESULTADOS!$1:$1,0))</f>
        <v>#N/A</v>
      </c>
      <c r="K72" s="32" t="e">
        <f t="shared" ca="1" si="6"/>
        <v>#N/A</v>
      </c>
      <c r="L72" s="32" t="e">
        <f t="shared" ca="1" si="41"/>
        <v>#N/A</v>
      </c>
      <c r="M72" s="32" t="e">
        <f t="shared" ca="1" si="51"/>
        <v>#N/A</v>
      </c>
      <c r="N72" s="32" t="e">
        <f t="shared" ca="1" si="42"/>
        <v>#N/A</v>
      </c>
      <c r="O72" s="67" t="e">
        <f ca="1">INDEX(RESULTADOS!$A:$BA,MATCH($A72,RESULTADOS!$A:$A,0),MATCH(O$1,RESULTADOS!$1:$1,0))</f>
        <v>#N/A</v>
      </c>
      <c r="P72" s="31" t="e">
        <f t="shared" ca="1" si="43"/>
        <v>#N/A</v>
      </c>
      <c r="Q72" s="53"/>
      <c r="R72" s="67" t="e">
        <f ca="1">INDEX(RESULTADOS!$A:$BA,MATCH($A72,RESULTADOS!$A:$A,0),MATCH(R$1,RESULTADOS!$1:$1,0))</f>
        <v>#N/A</v>
      </c>
      <c r="S72" s="31" t="e">
        <f t="shared" ca="1" si="44"/>
        <v>#N/A</v>
      </c>
      <c r="T72" s="67" t="e">
        <f ca="1">INDEX(RESULTADOS!$A:$BA,MATCH($A72,RESULTADOS!$A:$A,0),MATCH(T$1,RESULTADOS!$1:$1,0))</f>
        <v>#N/A</v>
      </c>
      <c r="U72" s="33" t="e">
        <f t="shared" ca="1" si="52"/>
        <v>#N/A</v>
      </c>
      <c r="V72" s="52" t="e">
        <f t="shared" ca="1" si="45"/>
        <v>#N/A</v>
      </c>
      <c r="W72" s="33" t="e">
        <f t="shared" ca="1" si="53"/>
        <v>#N/A</v>
      </c>
      <c r="X72" s="52" t="e">
        <f t="shared" ca="1" si="46"/>
        <v>#N/A</v>
      </c>
      <c r="Y72" s="33" t="e">
        <f t="shared" ca="1" si="54"/>
        <v>#N/A</v>
      </c>
      <c r="Z72" s="52" t="e">
        <f t="shared" ca="1" si="47"/>
        <v>#N/A</v>
      </c>
      <c r="AA72" s="53"/>
      <c r="AB72" s="33" t="e">
        <f t="shared" ca="1" si="55"/>
        <v>#N/A</v>
      </c>
      <c r="AC72" s="52" t="e">
        <f t="shared" ca="1" si="48"/>
        <v>#N/A</v>
      </c>
      <c r="AE72" s="208" t="e">
        <f ca="1">INDEX(RESULTADOS!$A:$BA,MATCH($A72,RESULTADOS!$A:$A,0),MATCH(AE$1,RESULTADOS!$1:$1,0))</f>
        <v>#N/A</v>
      </c>
      <c r="AF72" s="67" t="e">
        <f ca="1">INDEX(RESULTADOS!$A:$BA,MATCH($A72,RESULTADOS!$A:$A,0),MATCH(AF$1,RESULTADOS!$1:$1,0))</f>
        <v>#N/A</v>
      </c>
      <c r="AG72" s="121" t="e">
        <f t="shared" ca="1" si="49"/>
        <v>#N/A</v>
      </c>
      <c r="AH72" s="121" t="e">
        <f t="shared" ca="1" si="20"/>
        <v>#N/A</v>
      </c>
      <c r="AI72" s="98" t="e">
        <f t="shared" ca="1" si="50"/>
        <v>#N/A</v>
      </c>
      <c r="AJ72" s="98" t="e">
        <f t="shared" ca="1" si="22"/>
        <v>#N/A</v>
      </c>
    </row>
    <row r="73" spans="1:36" s="121" customFormat="1" x14ac:dyDescent="0.2">
      <c r="A73" s="49">
        <f t="shared" ca="1" si="26"/>
        <v>43872</v>
      </c>
      <c r="B73" s="67" t="e">
        <f ca="1">INDEX(RESULTADOS!$A:$BA,MATCH($A73,RESULTADOS!$A:$A,0),MATCH(B$1,RESULTADOS!$1:$1,0))</f>
        <v>#N/A</v>
      </c>
      <c r="C73" s="31" t="e">
        <f t="shared" ca="1" si="38"/>
        <v>#N/A</v>
      </c>
      <c r="D73" s="67" t="e">
        <f ca="1">INDEX(RESULTADOS!$A:$BA,MATCH($A73,RESULTADOS!$A:$A,0),MATCH(D$1,RESULTADOS!$1:$1,0))</f>
        <v>#N/A</v>
      </c>
      <c r="E73" s="31" t="e">
        <f t="shared" ref="E73:E110" ca="1" si="57">$E$4*$D73</f>
        <v>#N/A</v>
      </c>
      <c r="F73" s="31" t="e">
        <f t="shared" ca="1" si="39"/>
        <v>#N/A</v>
      </c>
      <c r="G73" s="52" t="e">
        <f t="shared" ca="1" si="56"/>
        <v>#N/A</v>
      </c>
      <c r="H73" s="52" t="e">
        <f t="shared" ca="1" si="40"/>
        <v>#N/A</v>
      </c>
      <c r="I73" s="53"/>
      <c r="J73" s="67" t="e">
        <f ca="1">INDEX(RESULTADOS!$A:$BA,MATCH($A73,RESULTADOS!$A:$A,0),MATCH(J$1,RESULTADOS!$1:$1,0))</f>
        <v>#N/A</v>
      </c>
      <c r="K73" s="32" t="e">
        <f t="shared" ca="1" si="6"/>
        <v>#N/A</v>
      </c>
      <c r="L73" s="32" t="e">
        <f t="shared" ca="1" si="41"/>
        <v>#N/A</v>
      </c>
      <c r="M73" s="32" t="e">
        <f t="shared" ca="1" si="51"/>
        <v>#N/A</v>
      </c>
      <c r="N73" s="32" t="e">
        <f t="shared" ca="1" si="42"/>
        <v>#N/A</v>
      </c>
      <c r="O73" s="67" t="e">
        <f ca="1">INDEX(RESULTADOS!$A:$BA,MATCH($A73,RESULTADOS!$A:$A,0),MATCH(O$1,RESULTADOS!$1:$1,0))</f>
        <v>#N/A</v>
      </c>
      <c r="P73" s="31" t="e">
        <f t="shared" ca="1" si="43"/>
        <v>#N/A</v>
      </c>
      <c r="Q73" s="53"/>
      <c r="R73" s="67" t="e">
        <f ca="1">INDEX(RESULTADOS!$A:$BA,MATCH($A73,RESULTADOS!$A:$A,0),MATCH(R$1,RESULTADOS!$1:$1,0))</f>
        <v>#N/A</v>
      </c>
      <c r="S73" s="31" t="e">
        <f t="shared" ca="1" si="44"/>
        <v>#N/A</v>
      </c>
      <c r="T73" s="67" t="e">
        <f ca="1">INDEX(RESULTADOS!$A:$BA,MATCH($A73,RESULTADOS!$A:$A,0),MATCH(T$1,RESULTADOS!$1:$1,0))</f>
        <v>#N/A</v>
      </c>
      <c r="U73" s="33" t="e">
        <f t="shared" ca="1" si="52"/>
        <v>#N/A</v>
      </c>
      <c r="V73" s="52" t="e">
        <f t="shared" ca="1" si="45"/>
        <v>#N/A</v>
      </c>
      <c r="W73" s="33" t="e">
        <f t="shared" ca="1" si="53"/>
        <v>#N/A</v>
      </c>
      <c r="X73" s="52" t="e">
        <f t="shared" ca="1" si="46"/>
        <v>#N/A</v>
      </c>
      <c r="Y73" s="33" t="e">
        <f t="shared" ca="1" si="54"/>
        <v>#N/A</v>
      </c>
      <c r="Z73" s="52" t="e">
        <f t="shared" ca="1" si="47"/>
        <v>#N/A</v>
      </c>
      <c r="AA73" s="53"/>
      <c r="AB73" s="33" t="e">
        <f t="shared" ca="1" si="55"/>
        <v>#N/A</v>
      </c>
      <c r="AC73" s="52" t="e">
        <f t="shared" ca="1" si="48"/>
        <v>#N/A</v>
      </c>
      <c r="AE73" s="208" t="e">
        <f ca="1">INDEX(RESULTADOS!$A:$BA,MATCH($A73,RESULTADOS!$A:$A,0),MATCH(AE$1,RESULTADOS!$1:$1,0))</f>
        <v>#N/A</v>
      </c>
      <c r="AF73" s="67" t="e">
        <f ca="1">INDEX(RESULTADOS!$A:$BA,MATCH($A73,RESULTADOS!$A:$A,0),MATCH(AF$1,RESULTADOS!$1:$1,0))</f>
        <v>#N/A</v>
      </c>
      <c r="AG73" s="121" t="e">
        <f t="shared" ca="1" si="49"/>
        <v>#N/A</v>
      </c>
      <c r="AH73" s="121" t="e">
        <f t="shared" ca="1" si="20"/>
        <v>#N/A</v>
      </c>
      <c r="AI73" s="98" t="e">
        <f t="shared" ca="1" si="50"/>
        <v>#N/A</v>
      </c>
      <c r="AJ73" s="98" t="e">
        <f t="shared" ref="AJ73:AJ80" ca="1" si="58">AH73+AI73</f>
        <v>#N/A</v>
      </c>
    </row>
    <row r="74" spans="1:36" s="121" customFormat="1" x14ac:dyDescent="0.2">
      <c r="A74" s="49">
        <f t="shared" ca="1" si="26"/>
        <v>43873</v>
      </c>
      <c r="B74" s="67" t="e">
        <f ca="1">INDEX(RESULTADOS!$A:$BA,MATCH($A74,RESULTADOS!$A:$A,0),MATCH(B$1,RESULTADOS!$1:$1,0))</f>
        <v>#N/A</v>
      </c>
      <c r="C74" s="31" t="e">
        <f t="shared" ca="1" si="38"/>
        <v>#N/A</v>
      </c>
      <c r="D74" s="67" t="e">
        <f ca="1">INDEX(RESULTADOS!$A:$BA,MATCH($A74,RESULTADOS!$A:$A,0),MATCH(D$1,RESULTADOS!$1:$1,0))</f>
        <v>#N/A</v>
      </c>
      <c r="E74" s="31" t="e">
        <f t="shared" ca="1" si="57"/>
        <v>#N/A</v>
      </c>
      <c r="F74" s="31" t="e">
        <f t="shared" ca="1" si="39"/>
        <v>#N/A</v>
      </c>
      <c r="G74" s="52" t="e">
        <f t="shared" ca="1" si="56"/>
        <v>#N/A</v>
      </c>
      <c r="H74" s="52" t="e">
        <f t="shared" ca="1" si="40"/>
        <v>#N/A</v>
      </c>
      <c r="I74" s="53"/>
      <c r="J74" s="67" t="e">
        <f ca="1">INDEX(RESULTADOS!$A:$BA,MATCH($A74,RESULTADOS!$A:$A,0),MATCH(J$1,RESULTADOS!$1:$1,0))</f>
        <v>#N/A</v>
      </c>
      <c r="K74" s="32" t="e">
        <f t="shared" ca="1" si="6"/>
        <v>#N/A</v>
      </c>
      <c r="L74" s="32" t="e">
        <f t="shared" ca="1" si="41"/>
        <v>#N/A</v>
      </c>
      <c r="M74" s="32" t="e">
        <f t="shared" ca="1" si="51"/>
        <v>#N/A</v>
      </c>
      <c r="N74" s="32" t="e">
        <f t="shared" ca="1" si="42"/>
        <v>#N/A</v>
      </c>
      <c r="O74" s="67" t="e">
        <f ca="1">INDEX(RESULTADOS!$A:$BA,MATCH($A74,RESULTADOS!$A:$A,0),MATCH(O$1,RESULTADOS!$1:$1,0))</f>
        <v>#N/A</v>
      </c>
      <c r="P74" s="31" t="e">
        <f t="shared" ca="1" si="43"/>
        <v>#N/A</v>
      </c>
      <c r="Q74" s="53"/>
      <c r="R74" s="67" t="e">
        <f ca="1">INDEX(RESULTADOS!$A:$BA,MATCH($A74,RESULTADOS!$A:$A,0),MATCH(R$1,RESULTADOS!$1:$1,0))</f>
        <v>#N/A</v>
      </c>
      <c r="S74" s="31" t="e">
        <f t="shared" ca="1" si="44"/>
        <v>#N/A</v>
      </c>
      <c r="T74" s="67" t="e">
        <f ca="1">INDEX(RESULTADOS!$A:$BA,MATCH($A74,RESULTADOS!$A:$A,0),MATCH(T$1,RESULTADOS!$1:$1,0))</f>
        <v>#N/A</v>
      </c>
      <c r="U74" s="33" t="e">
        <f t="shared" ca="1" si="52"/>
        <v>#N/A</v>
      </c>
      <c r="V74" s="52" t="e">
        <f t="shared" ca="1" si="45"/>
        <v>#N/A</v>
      </c>
      <c r="W74" s="33" t="e">
        <f t="shared" ca="1" si="53"/>
        <v>#N/A</v>
      </c>
      <c r="X74" s="52" t="e">
        <f t="shared" ca="1" si="46"/>
        <v>#N/A</v>
      </c>
      <c r="Y74" s="33" t="e">
        <f t="shared" ca="1" si="54"/>
        <v>#N/A</v>
      </c>
      <c r="Z74" s="52" t="e">
        <f t="shared" ca="1" si="47"/>
        <v>#N/A</v>
      </c>
      <c r="AA74" s="53"/>
      <c r="AB74" s="33" t="e">
        <f t="shared" ca="1" si="55"/>
        <v>#N/A</v>
      </c>
      <c r="AC74" s="52" t="e">
        <f t="shared" ca="1" si="48"/>
        <v>#N/A</v>
      </c>
      <c r="AE74" s="208" t="e">
        <f ca="1">INDEX(RESULTADOS!$A:$BA,MATCH($A74,RESULTADOS!$A:$A,0),MATCH(AE$1,RESULTADOS!$1:$1,0))</f>
        <v>#N/A</v>
      </c>
      <c r="AF74" s="67" t="e">
        <f ca="1">INDEX(RESULTADOS!$A:$BA,MATCH($A74,RESULTADOS!$A:$A,0),MATCH(AF$1,RESULTADOS!$1:$1,0))</f>
        <v>#N/A</v>
      </c>
      <c r="AG74" s="121" t="e">
        <f t="shared" ca="1" si="49"/>
        <v>#N/A</v>
      </c>
      <c r="AH74" s="121" t="e">
        <f t="shared" ref="AH74:AH80" ca="1" si="59">AH$4*AF74+((AE74*(24-$AE$3)+AE73*$AE$3)/24)</f>
        <v>#N/A</v>
      </c>
      <c r="AI74" s="98" t="e">
        <f t="shared" ca="1" si="50"/>
        <v>#N/A</v>
      </c>
      <c r="AJ74" s="98" t="e">
        <f t="shared" ca="1" si="58"/>
        <v>#N/A</v>
      </c>
    </row>
    <row r="75" spans="1:36" s="121" customFormat="1" x14ac:dyDescent="0.2">
      <c r="A75" s="49">
        <f t="shared" ca="1" si="26"/>
        <v>43874</v>
      </c>
      <c r="B75" s="67" t="e">
        <f ca="1">INDEX(RESULTADOS!$A:$BA,MATCH($A75,RESULTADOS!$A:$A,0),MATCH(B$1,RESULTADOS!$1:$1,0))</f>
        <v>#N/A</v>
      </c>
      <c r="C75" s="31" t="e">
        <f t="shared" ca="1" si="38"/>
        <v>#N/A</v>
      </c>
      <c r="D75" s="67" t="e">
        <f ca="1">INDEX(RESULTADOS!$A:$BA,MATCH($A75,RESULTADOS!$A:$A,0),MATCH(D$1,RESULTADOS!$1:$1,0))</f>
        <v>#N/A</v>
      </c>
      <c r="E75" s="31" t="e">
        <f t="shared" ca="1" si="57"/>
        <v>#N/A</v>
      </c>
      <c r="F75" s="31" t="e">
        <f t="shared" ca="1" si="39"/>
        <v>#N/A</v>
      </c>
      <c r="G75" s="52" t="e">
        <f t="shared" ca="1" si="56"/>
        <v>#N/A</v>
      </c>
      <c r="H75" s="52" t="e">
        <f t="shared" ca="1" si="40"/>
        <v>#N/A</v>
      </c>
      <c r="I75" s="53"/>
      <c r="J75" s="67" t="e">
        <f ca="1">INDEX(RESULTADOS!$A:$BA,MATCH($A75,RESULTADOS!$A:$A,0),MATCH(J$1,RESULTADOS!$1:$1,0))</f>
        <v>#N/A</v>
      </c>
      <c r="K75" s="32" t="e">
        <f t="shared" ref="K75:K110" ca="1" si="60">$K$4*$J75</f>
        <v>#N/A</v>
      </c>
      <c r="L75" s="32" t="e">
        <f t="shared" ca="1" si="41"/>
        <v>#N/A</v>
      </c>
      <c r="M75" s="32" t="e">
        <f t="shared" ca="1" si="51"/>
        <v>#N/A</v>
      </c>
      <c r="N75" s="32" t="e">
        <f t="shared" ca="1" si="42"/>
        <v>#N/A</v>
      </c>
      <c r="O75" s="67" t="e">
        <f ca="1">INDEX(RESULTADOS!$A:$BA,MATCH($A75,RESULTADOS!$A:$A,0),MATCH(O$1,RESULTADOS!$1:$1,0))</f>
        <v>#N/A</v>
      </c>
      <c r="P75" s="31" t="e">
        <f t="shared" ca="1" si="43"/>
        <v>#N/A</v>
      </c>
      <c r="Q75" s="53"/>
      <c r="R75" s="67" t="e">
        <f ca="1">INDEX(RESULTADOS!$A:$BA,MATCH($A75,RESULTADOS!$A:$A,0),MATCH(R$1,RESULTADOS!$1:$1,0))</f>
        <v>#N/A</v>
      </c>
      <c r="S75" s="31" t="e">
        <f t="shared" ca="1" si="44"/>
        <v>#N/A</v>
      </c>
      <c r="T75" s="67" t="e">
        <f ca="1">INDEX(RESULTADOS!$A:$BA,MATCH($A75,RESULTADOS!$A:$A,0),MATCH(T$1,RESULTADOS!$1:$1,0))</f>
        <v>#N/A</v>
      </c>
      <c r="U75" s="33" t="e">
        <f t="shared" ca="1" si="52"/>
        <v>#N/A</v>
      </c>
      <c r="V75" s="52" t="e">
        <f t="shared" ca="1" si="45"/>
        <v>#N/A</v>
      </c>
      <c r="W75" s="33" t="e">
        <f t="shared" ca="1" si="53"/>
        <v>#N/A</v>
      </c>
      <c r="X75" s="52" t="e">
        <f t="shared" ca="1" si="46"/>
        <v>#N/A</v>
      </c>
      <c r="Y75" s="33" t="e">
        <f t="shared" ca="1" si="54"/>
        <v>#N/A</v>
      </c>
      <c r="Z75" s="52" t="e">
        <f t="shared" ca="1" si="47"/>
        <v>#N/A</v>
      </c>
      <c r="AA75" s="53"/>
      <c r="AB75" s="33" t="e">
        <f t="shared" ca="1" si="55"/>
        <v>#N/A</v>
      </c>
      <c r="AC75" s="52" t="e">
        <f t="shared" ca="1" si="48"/>
        <v>#N/A</v>
      </c>
      <c r="AE75" s="208" t="e">
        <f ca="1">INDEX(RESULTADOS!$A:$BA,MATCH($A75,RESULTADOS!$A:$A,0),MATCH(AE$1,RESULTADOS!$1:$1,0))</f>
        <v>#N/A</v>
      </c>
      <c r="AF75" s="67" t="e">
        <f ca="1">INDEX(RESULTADOS!$A:$BA,MATCH($A75,RESULTADOS!$A:$A,0),MATCH(AF$1,RESULTADOS!$1:$1,0))</f>
        <v>#N/A</v>
      </c>
      <c r="AG75" s="121" t="e">
        <f t="shared" ca="1" si="49"/>
        <v>#N/A</v>
      </c>
      <c r="AH75" s="121" t="e">
        <f t="shared" ca="1" si="59"/>
        <v>#N/A</v>
      </c>
      <c r="AI75" s="98" t="e">
        <f t="shared" ca="1" si="50"/>
        <v>#N/A</v>
      </c>
      <c r="AJ75" s="98" t="e">
        <f t="shared" ca="1" si="58"/>
        <v>#N/A</v>
      </c>
    </row>
    <row r="76" spans="1:36" s="121" customFormat="1" x14ac:dyDescent="0.2">
      <c r="A76" s="49">
        <f t="shared" ca="1" si="26"/>
        <v>43875</v>
      </c>
      <c r="B76" s="67" t="e">
        <f ca="1">INDEX(RESULTADOS!$A:$BA,MATCH($A76,RESULTADOS!$A:$A,0),MATCH(B$1,RESULTADOS!$1:$1,0))</f>
        <v>#N/A</v>
      </c>
      <c r="C76" s="31" t="e">
        <f t="shared" ca="1" si="38"/>
        <v>#N/A</v>
      </c>
      <c r="D76" s="67" t="e">
        <f ca="1">INDEX(RESULTADOS!$A:$BA,MATCH($A76,RESULTADOS!$A:$A,0),MATCH(D$1,RESULTADOS!$1:$1,0))</f>
        <v>#N/A</v>
      </c>
      <c r="E76" s="31" t="e">
        <f t="shared" ca="1" si="57"/>
        <v>#N/A</v>
      </c>
      <c r="F76" s="31" t="e">
        <f t="shared" ca="1" si="39"/>
        <v>#N/A</v>
      </c>
      <c r="G76" s="52" t="e">
        <f t="shared" ca="1" si="56"/>
        <v>#N/A</v>
      </c>
      <c r="H76" s="52" t="e">
        <f t="shared" ca="1" si="40"/>
        <v>#N/A</v>
      </c>
      <c r="I76" s="53"/>
      <c r="J76" s="67" t="e">
        <f ca="1">INDEX(RESULTADOS!$A:$BA,MATCH($A76,RESULTADOS!$A:$A,0),MATCH(J$1,RESULTADOS!$1:$1,0))</f>
        <v>#N/A</v>
      </c>
      <c r="K76" s="32" t="e">
        <f t="shared" ca="1" si="60"/>
        <v>#N/A</v>
      </c>
      <c r="L76" s="32" t="e">
        <f t="shared" ca="1" si="41"/>
        <v>#N/A</v>
      </c>
      <c r="M76" s="32" t="e">
        <f t="shared" ca="1" si="51"/>
        <v>#N/A</v>
      </c>
      <c r="N76" s="32" t="e">
        <f t="shared" ca="1" si="42"/>
        <v>#N/A</v>
      </c>
      <c r="O76" s="67" t="e">
        <f ca="1">INDEX(RESULTADOS!$A:$BA,MATCH($A76,RESULTADOS!$A:$A,0),MATCH(O$1,RESULTADOS!$1:$1,0))</f>
        <v>#N/A</v>
      </c>
      <c r="P76" s="31" t="e">
        <f t="shared" ca="1" si="43"/>
        <v>#N/A</v>
      </c>
      <c r="Q76" s="53"/>
      <c r="R76" s="67" t="e">
        <f ca="1">INDEX(RESULTADOS!$A:$BA,MATCH($A76,RESULTADOS!$A:$A,0),MATCH(R$1,RESULTADOS!$1:$1,0))</f>
        <v>#N/A</v>
      </c>
      <c r="S76" s="31" t="e">
        <f t="shared" ca="1" si="44"/>
        <v>#N/A</v>
      </c>
      <c r="T76" s="67" t="e">
        <f ca="1">INDEX(RESULTADOS!$A:$BA,MATCH($A76,RESULTADOS!$A:$A,0),MATCH(T$1,RESULTADOS!$1:$1,0))</f>
        <v>#N/A</v>
      </c>
      <c r="U76" s="33" t="e">
        <f t="shared" ca="1" si="52"/>
        <v>#N/A</v>
      </c>
      <c r="V76" s="52" t="e">
        <f t="shared" ca="1" si="45"/>
        <v>#N/A</v>
      </c>
      <c r="W76" s="33" t="e">
        <f t="shared" ca="1" si="53"/>
        <v>#N/A</v>
      </c>
      <c r="X76" s="52" t="e">
        <f t="shared" ca="1" si="46"/>
        <v>#N/A</v>
      </c>
      <c r="Y76" s="33" t="e">
        <f t="shared" ca="1" si="54"/>
        <v>#N/A</v>
      </c>
      <c r="Z76" s="52" t="e">
        <f t="shared" ca="1" si="47"/>
        <v>#N/A</v>
      </c>
      <c r="AA76" s="53"/>
      <c r="AB76" s="33" t="e">
        <f t="shared" ca="1" si="55"/>
        <v>#N/A</v>
      </c>
      <c r="AC76" s="52" t="e">
        <f t="shared" ca="1" si="48"/>
        <v>#N/A</v>
      </c>
      <c r="AE76" s="208" t="e">
        <f ca="1">INDEX(RESULTADOS!$A:$BA,MATCH($A76,RESULTADOS!$A:$A,0),MATCH(AE$1,RESULTADOS!$1:$1,0))</f>
        <v>#N/A</v>
      </c>
      <c r="AF76" s="67" t="e">
        <f ca="1">INDEX(RESULTADOS!$A:$BA,MATCH($A76,RESULTADOS!$A:$A,0),MATCH(AF$1,RESULTADOS!$1:$1,0))</f>
        <v>#N/A</v>
      </c>
      <c r="AG76" s="121" t="e">
        <f t="shared" ca="1" si="49"/>
        <v>#N/A</v>
      </c>
      <c r="AH76" s="121" t="e">
        <f t="shared" ca="1" si="59"/>
        <v>#N/A</v>
      </c>
      <c r="AI76" s="98" t="e">
        <f t="shared" ca="1" si="50"/>
        <v>#N/A</v>
      </c>
      <c r="AJ76" s="98" t="e">
        <f t="shared" ca="1" si="58"/>
        <v>#N/A</v>
      </c>
    </row>
    <row r="77" spans="1:36" s="121" customFormat="1" x14ac:dyDescent="0.2">
      <c r="A77" s="49">
        <f t="shared" ca="1" si="26"/>
        <v>43876</v>
      </c>
      <c r="B77" s="67" t="e">
        <f ca="1">INDEX(RESULTADOS!$A:$BA,MATCH($A77,RESULTADOS!$A:$A,0),MATCH(B$1,RESULTADOS!$1:$1,0))</f>
        <v>#N/A</v>
      </c>
      <c r="C77" s="31" t="e">
        <f t="shared" ca="1" si="38"/>
        <v>#N/A</v>
      </c>
      <c r="D77" s="67" t="e">
        <f ca="1">INDEX(RESULTADOS!$A:$BA,MATCH($A77,RESULTADOS!$A:$A,0),MATCH(D$1,RESULTADOS!$1:$1,0))</f>
        <v>#N/A</v>
      </c>
      <c r="E77" s="31" t="e">
        <f t="shared" ca="1" si="57"/>
        <v>#N/A</v>
      </c>
      <c r="F77" s="31" t="e">
        <f t="shared" ca="1" si="39"/>
        <v>#N/A</v>
      </c>
      <c r="G77" s="52" t="e">
        <f t="shared" ca="1" si="56"/>
        <v>#N/A</v>
      </c>
      <c r="H77" s="52" t="e">
        <f t="shared" ca="1" si="40"/>
        <v>#N/A</v>
      </c>
      <c r="I77" s="53"/>
      <c r="J77" s="67" t="e">
        <f ca="1">INDEX(RESULTADOS!$A:$BA,MATCH($A77,RESULTADOS!$A:$A,0),MATCH(J$1,RESULTADOS!$1:$1,0))</f>
        <v>#N/A</v>
      </c>
      <c r="K77" s="32" t="e">
        <f t="shared" ca="1" si="60"/>
        <v>#N/A</v>
      </c>
      <c r="L77" s="32" t="e">
        <f t="shared" ca="1" si="41"/>
        <v>#N/A</v>
      </c>
      <c r="M77" s="32" t="e">
        <f t="shared" ca="1" si="51"/>
        <v>#N/A</v>
      </c>
      <c r="N77" s="32" t="e">
        <f t="shared" ca="1" si="42"/>
        <v>#N/A</v>
      </c>
      <c r="O77" s="67" t="e">
        <f ca="1">INDEX(RESULTADOS!$A:$BA,MATCH($A77,RESULTADOS!$A:$A,0),MATCH(O$1,RESULTADOS!$1:$1,0))</f>
        <v>#N/A</v>
      </c>
      <c r="P77" s="31" t="e">
        <f t="shared" ca="1" si="43"/>
        <v>#N/A</v>
      </c>
      <c r="Q77" s="53"/>
      <c r="R77" s="67" t="e">
        <f ca="1">INDEX(RESULTADOS!$A:$BA,MATCH($A77,RESULTADOS!$A:$A,0),MATCH(R$1,RESULTADOS!$1:$1,0))</f>
        <v>#N/A</v>
      </c>
      <c r="S77" s="31" t="e">
        <f t="shared" ca="1" si="44"/>
        <v>#N/A</v>
      </c>
      <c r="T77" s="67" t="e">
        <f ca="1">INDEX(RESULTADOS!$A:$BA,MATCH($A77,RESULTADOS!$A:$A,0),MATCH(T$1,RESULTADOS!$1:$1,0))</f>
        <v>#N/A</v>
      </c>
      <c r="U77" s="33" t="e">
        <f t="shared" ca="1" si="52"/>
        <v>#N/A</v>
      </c>
      <c r="V77" s="52" t="e">
        <f t="shared" ca="1" si="45"/>
        <v>#N/A</v>
      </c>
      <c r="W77" s="33" t="e">
        <f t="shared" ca="1" si="53"/>
        <v>#N/A</v>
      </c>
      <c r="X77" s="52" t="e">
        <f t="shared" ca="1" si="46"/>
        <v>#N/A</v>
      </c>
      <c r="Y77" s="33" t="e">
        <f t="shared" ca="1" si="54"/>
        <v>#N/A</v>
      </c>
      <c r="Z77" s="52" t="e">
        <f t="shared" ca="1" si="47"/>
        <v>#N/A</v>
      </c>
      <c r="AA77" s="53"/>
      <c r="AB77" s="33" t="e">
        <f t="shared" ca="1" si="55"/>
        <v>#N/A</v>
      </c>
      <c r="AC77" s="52" t="e">
        <f t="shared" ca="1" si="48"/>
        <v>#N/A</v>
      </c>
      <c r="AE77" s="208" t="e">
        <f ca="1">INDEX(RESULTADOS!$A:$BA,MATCH($A77,RESULTADOS!$A:$A,0),MATCH(AE$1,RESULTADOS!$1:$1,0))</f>
        <v>#N/A</v>
      </c>
      <c r="AF77" s="67" t="e">
        <f ca="1">INDEX(RESULTADOS!$A:$BA,MATCH($A77,RESULTADOS!$A:$A,0),MATCH(AF$1,RESULTADOS!$1:$1,0))</f>
        <v>#N/A</v>
      </c>
      <c r="AG77" s="121" t="e">
        <f t="shared" ca="1" si="49"/>
        <v>#N/A</v>
      </c>
      <c r="AH77" s="121" t="e">
        <f t="shared" ca="1" si="59"/>
        <v>#N/A</v>
      </c>
      <c r="AI77" s="98" t="e">
        <f t="shared" ca="1" si="50"/>
        <v>#N/A</v>
      </c>
      <c r="AJ77" s="98" t="e">
        <f t="shared" ca="1" si="58"/>
        <v>#N/A</v>
      </c>
    </row>
    <row r="78" spans="1:36" s="121" customFormat="1" x14ac:dyDescent="0.2">
      <c r="A78" s="49">
        <f t="shared" ca="1" si="26"/>
        <v>43877</v>
      </c>
      <c r="B78" s="67" t="e">
        <f ca="1">INDEX(RESULTADOS!$A:$BA,MATCH($A78,RESULTADOS!$A:$A,0),MATCH(B$1,RESULTADOS!$1:$1,0))</f>
        <v>#N/A</v>
      </c>
      <c r="C78" s="31" t="e">
        <f t="shared" ca="1" si="38"/>
        <v>#N/A</v>
      </c>
      <c r="D78" s="67" t="e">
        <f ca="1">INDEX(RESULTADOS!$A:$BA,MATCH($A78,RESULTADOS!$A:$A,0),MATCH(D$1,RESULTADOS!$1:$1,0))</f>
        <v>#N/A</v>
      </c>
      <c r="E78" s="31" t="e">
        <f t="shared" ca="1" si="57"/>
        <v>#N/A</v>
      </c>
      <c r="F78" s="31" t="e">
        <f t="shared" ca="1" si="39"/>
        <v>#N/A</v>
      </c>
      <c r="G78" s="52" t="e">
        <f t="shared" ca="1" si="56"/>
        <v>#N/A</v>
      </c>
      <c r="H78" s="52" t="e">
        <f t="shared" ca="1" si="40"/>
        <v>#N/A</v>
      </c>
      <c r="I78" s="53"/>
      <c r="J78" s="67" t="e">
        <f ca="1">INDEX(RESULTADOS!$A:$BA,MATCH($A78,RESULTADOS!$A:$A,0),MATCH(J$1,RESULTADOS!$1:$1,0))</f>
        <v>#N/A</v>
      </c>
      <c r="K78" s="32" t="e">
        <f t="shared" ca="1" si="60"/>
        <v>#N/A</v>
      </c>
      <c r="L78" s="32" t="e">
        <f t="shared" ca="1" si="41"/>
        <v>#N/A</v>
      </c>
      <c r="M78" s="32" t="e">
        <f t="shared" ca="1" si="51"/>
        <v>#N/A</v>
      </c>
      <c r="N78" s="32" t="e">
        <f t="shared" ca="1" si="42"/>
        <v>#N/A</v>
      </c>
      <c r="O78" s="67" t="e">
        <f ca="1">INDEX(RESULTADOS!$A:$BA,MATCH($A78,RESULTADOS!$A:$A,0),MATCH(O$1,RESULTADOS!$1:$1,0))</f>
        <v>#N/A</v>
      </c>
      <c r="P78" s="31" t="e">
        <f t="shared" ca="1" si="43"/>
        <v>#N/A</v>
      </c>
      <c r="Q78" s="53"/>
      <c r="R78" s="67" t="e">
        <f ca="1">INDEX(RESULTADOS!$A:$BA,MATCH($A78,RESULTADOS!$A:$A,0),MATCH(R$1,RESULTADOS!$1:$1,0))</f>
        <v>#N/A</v>
      </c>
      <c r="S78" s="31" t="e">
        <f t="shared" ca="1" si="44"/>
        <v>#N/A</v>
      </c>
      <c r="T78" s="67" t="e">
        <f ca="1">INDEX(RESULTADOS!$A:$BA,MATCH($A78,RESULTADOS!$A:$A,0),MATCH(T$1,RESULTADOS!$1:$1,0))</f>
        <v>#N/A</v>
      </c>
      <c r="U78" s="33" t="e">
        <f t="shared" ca="1" si="52"/>
        <v>#N/A</v>
      </c>
      <c r="V78" s="52" t="e">
        <f t="shared" ca="1" si="45"/>
        <v>#N/A</v>
      </c>
      <c r="W78" s="33" t="e">
        <f t="shared" ca="1" si="53"/>
        <v>#N/A</v>
      </c>
      <c r="X78" s="52" t="e">
        <f t="shared" ca="1" si="46"/>
        <v>#N/A</v>
      </c>
      <c r="Y78" s="33" t="e">
        <f t="shared" ca="1" si="54"/>
        <v>#N/A</v>
      </c>
      <c r="Z78" s="52" t="e">
        <f t="shared" ca="1" si="47"/>
        <v>#N/A</v>
      </c>
      <c r="AA78" s="53"/>
      <c r="AB78" s="33" t="e">
        <f t="shared" ca="1" si="55"/>
        <v>#N/A</v>
      </c>
      <c r="AC78" s="52" t="e">
        <f t="shared" ca="1" si="48"/>
        <v>#N/A</v>
      </c>
      <c r="AE78" s="208" t="e">
        <f ca="1">INDEX(RESULTADOS!$A:$BA,MATCH($A78,RESULTADOS!$A:$A,0),MATCH(AE$1,RESULTADOS!$1:$1,0))</f>
        <v>#N/A</v>
      </c>
      <c r="AF78" s="67" t="e">
        <f ca="1">INDEX(RESULTADOS!$A:$BA,MATCH($A78,RESULTADOS!$A:$A,0),MATCH(AF$1,RESULTADOS!$1:$1,0))</f>
        <v>#N/A</v>
      </c>
      <c r="AG78" s="121" t="e">
        <f t="shared" ca="1" si="49"/>
        <v>#N/A</v>
      </c>
      <c r="AH78" s="121" t="e">
        <f t="shared" ca="1" si="59"/>
        <v>#N/A</v>
      </c>
      <c r="AI78" s="98" t="e">
        <f t="shared" ca="1" si="50"/>
        <v>#N/A</v>
      </c>
      <c r="AJ78" s="98" t="e">
        <f t="shared" ca="1" si="58"/>
        <v>#N/A</v>
      </c>
    </row>
    <row r="79" spans="1:36" s="121" customFormat="1" x14ac:dyDescent="0.2">
      <c r="A79" s="49">
        <f t="shared" ca="1" si="26"/>
        <v>43878</v>
      </c>
      <c r="B79" s="67" t="e">
        <f ca="1">INDEX(RESULTADOS!$A:$BA,MATCH($A79,RESULTADOS!$A:$A,0),MATCH(B$1,RESULTADOS!$1:$1,0))</f>
        <v>#N/A</v>
      </c>
      <c r="C79" s="31" t="e">
        <f t="shared" ca="1" si="38"/>
        <v>#N/A</v>
      </c>
      <c r="D79" s="67" t="e">
        <f ca="1">INDEX(RESULTADOS!$A:$BA,MATCH($A79,RESULTADOS!$A:$A,0),MATCH(D$1,RESULTADOS!$1:$1,0))</f>
        <v>#N/A</v>
      </c>
      <c r="E79" s="31" t="e">
        <f t="shared" ca="1" si="57"/>
        <v>#N/A</v>
      </c>
      <c r="F79" s="31" t="e">
        <f t="shared" ca="1" si="39"/>
        <v>#N/A</v>
      </c>
      <c r="G79" s="52" t="e">
        <f t="shared" ca="1" si="56"/>
        <v>#N/A</v>
      </c>
      <c r="H79" s="52" t="e">
        <f t="shared" ca="1" si="40"/>
        <v>#N/A</v>
      </c>
      <c r="I79" s="53"/>
      <c r="J79" s="67" t="e">
        <f ca="1">INDEX(RESULTADOS!$A:$BA,MATCH($A79,RESULTADOS!$A:$A,0),MATCH(J$1,RESULTADOS!$1:$1,0))</f>
        <v>#N/A</v>
      </c>
      <c r="K79" s="32" t="e">
        <f t="shared" ca="1" si="60"/>
        <v>#N/A</v>
      </c>
      <c r="L79" s="32" t="e">
        <f t="shared" ca="1" si="41"/>
        <v>#N/A</v>
      </c>
      <c r="M79" s="32" t="e">
        <f t="shared" ca="1" si="51"/>
        <v>#N/A</v>
      </c>
      <c r="N79" s="32" t="e">
        <f t="shared" ca="1" si="42"/>
        <v>#N/A</v>
      </c>
      <c r="O79" s="67" t="e">
        <f ca="1">INDEX(RESULTADOS!$A:$BA,MATCH($A79,RESULTADOS!$A:$A,0),MATCH(O$1,RESULTADOS!$1:$1,0))</f>
        <v>#N/A</v>
      </c>
      <c r="P79" s="31" t="e">
        <f t="shared" ca="1" si="43"/>
        <v>#N/A</v>
      </c>
      <c r="Q79" s="53"/>
      <c r="R79" s="67" t="e">
        <f ca="1">INDEX(RESULTADOS!$A:$BA,MATCH($A79,RESULTADOS!$A:$A,0),MATCH(R$1,RESULTADOS!$1:$1,0))</f>
        <v>#N/A</v>
      </c>
      <c r="S79" s="31" t="e">
        <f t="shared" ca="1" si="44"/>
        <v>#N/A</v>
      </c>
      <c r="T79" s="67" t="e">
        <f ca="1">INDEX(RESULTADOS!$A:$BA,MATCH($A79,RESULTADOS!$A:$A,0),MATCH(T$1,RESULTADOS!$1:$1,0))</f>
        <v>#N/A</v>
      </c>
      <c r="U79" s="33" t="e">
        <f t="shared" ca="1" si="52"/>
        <v>#N/A</v>
      </c>
      <c r="V79" s="52" t="e">
        <f t="shared" ca="1" si="45"/>
        <v>#N/A</v>
      </c>
      <c r="W79" s="33" t="e">
        <f t="shared" ca="1" si="53"/>
        <v>#N/A</v>
      </c>
      <c r="X79" s="52" t="e">
        <f t="shared" ca="1" si="46"/>
        <v>#N/A</v>
      </c>
      <c r="Y79" s="33" t="e">
        <f t="shared" ca="1" si="54"/>
        <v>#N/A</v>
      </c>
      <c r="Z79" s="52" t="e">
        <f t="shared" ca="1" si="47"/>
        <v>#N/A</v>
      </c>
      <c r="AA79" s="53"/>
      <c r="AB79" s="33" t="e">
        <f t="shared" ca="1" si="55"/>
        <v>#N/A</v>
      </c>
      <c r="AC79" s="52" t="e">
        <f t="shared" ca="1" si="48"/>
        <v>#N/A</v>
      </c>
      <c r="AE79" s="208" t="e">
        <f ca="1">INDEX(RESULTADOS!$A:$BA,MATCH($A79,RESULTADOS!$A:$A,0),MATCH(AE$1,RESULTADOS!$1:$1,0))</f>
        <v>#N/A</v>
      </c>
      <c r="AF79" s="67" t="e">
        <f ca="1">INDEX(RESULTADOS!$A:$BA,MATCH($A79,RESULTADOS!$A:$A,0),MATCH(AF$1,RESULTADOS!$1:$1,0))</f>
        <v>#N/A</v>
      </c>
      <c r="AG79" s="121" t="e">
        <f t="shared" ca="1" si="49"/>
        <v>#N/A</v>
      </c>
      <c r="AH79" s="121" t="e">
        <f t="shared" ca="1" si="59"/>
        <v>#N/A</v>
      </c>
      <c r="AI79" s="98" t="e">
        <f t="shared" ca="1" si="50"/>
        <v>#N/A</v>
      </c>
      <c r="AJ79" s="98" t="e">
        <f t="shared" ca="1" si="58"/>
        <v>#N/A</v>
      </c>
    </row>
    <row r="80" spans="1:36" s="121" customFormat="1" x14ac:dyDescent="0.2">
      <c r="A80" s="49">
        <f t="shared" ca="1" si="26"/>
        <v>43879</v>
      </c>
      <c r="B80" s="67" t="e">
        <f ca="1">INDEX(RESULTADOS!$A:$BA,MATCH($A80,RESULTADOS!$A:$A,0),MATCH(B$1,RESULTADOS!$1:$1,0))</f>
        <v>#N/A</v>
      </c>
      <c r="C80" s="31" t="e">
        <f t="shared" ca="1" si="38"/>
        <v>#N/A</v>
      </c>
      <c r="D80" s="67" t="e">
        <f ca="1">INDEX(RESULTADOS!$A:$BA,MATCH($A80,RESULTADOS!$A:$A,0),MATCH(D$1,RESULTADOS!$1:$1,0))</f>
        <v>#N/A</v>
      </c>
      <c r="E80" s="31" t="e">
        <f t="shared" ca="1" si="57"/>
        <v>#N/A</v>
      </c>
      <c r="F80" s="31" t="e">
        <f t="shared" ca="1" si="39"/>
        <v>#N/A</v>
      </c>
      <c r="G80" s="52" t="e">
        <f t="shared" ca="1" si="56"/>
        <v>#N/A</v>
      </c>
      <c r="H80" s="52" t="e">
        <f t="shared" ca="1" si="40"/>
        <v>#N/A</v>
      </c>
      <c r="I80" s="53"/>
      <c r="J80" s="67" t="e">
        <f ca="1">INDEX(RESULTADOS!$A:$BA,MATCH($A80,RESULTADOS!$A:$A,0),MATCH(J$1,RESULTADOS!$1:$1,0))</f>
        <v>#N/A</v>
      </c>
      <c r="K80" s="32" t="e">
        <f t="shared" ca="1" si="60"/>
        <v>#N/A</v>
      </c>
      <c r="L80" s="32" t="e">
        <f t="shared" ca="1" si="41"/>
        <v>#N/A</v>
      </c>
      <c r="M80" s="32" t="e">
        <f t="shared" ca="1" si="51"/>
        <v>#N/A</v>
      </c>
      <c r="N80" s="32" t="e">
        <f t="shared" ca="1" si="42"/>
        <v>#N/A</v>
      </c>
      <c r="O80" s="67" t="e">
        <f ca="1">INDEX(RESULTADOS!$A:$BA,MATCH($A80,RESULTADOS!$A:$A,0),MATCH(O$1,RESULTADOS!$1:$1,0))</f>
        <v>#N/A</v>
      </c>
      <c r="P80" s="31" t="e">
        <f t="shared" ca="1" si="43"/>
        <v>#N/A</v>
      </c>
      <c r="Q80" s="53"/>
      <c r="R80" s="67" t="e">
        <f ca="1">INDEX(RESULTADOS!$A:$BA,MATCH($A80,RESULTADOS!$A:$A,0),MATCH(R$1,RESULTADOS!$1:$1,0))</f>
        <v>#N/A</v>
      </c>
      <c r="S80" s="31" t="e">
        <f t="shared" ca="1" si="44"/>
        <v>#N/A</v>
      </c>
      <c r="T80" s="67" t="e">
        <f ca="1">INDEX(RESULTADOS!$A:$BA,MATCH($A80,RESULTADOS!$A:$A,0),MATCH(T$1,RESULTADOS!$1:$1,0))</f>
        <v>#N/A</v>
      </c>
      <c r="U80" s="33" t="e">
        <f t="shared" ca="1" si="52"/>
        <v>#N/A</v>
      </c>
      <c r="V80" s="52" t="e">
        <f t="shared" ca="1" si="45"/>
        <v>#N/A</v>
      </c>
      <c r="W80" s="33" t="e">
        <f t="shared" ca="1" si="53"/>
        <v>#N/A</v>
      </c>
      <c r="X80" s="52" t="e">
        <f t="shared" ca="1" si="46"/>
        <v>#N/A</v>
      </c>
      <c r="Y80" s="33" t="e">
        <f t="shared" ca="1" si="54"/>
        <v>#N/A</v>
      </c>
      <c r="Z80" s="52" t="e">
        <f t="shared" ca="1" si="47"/>
        <v>#N/A</v>
      </c>
      <c r="AA80" s="53"/>
      <c r="AB80" s="33" t="e">
        <f t="shared" ca="1" si="55"/>
        <v>#N/A</v>
      </c>
      <c r="AC80" s="52" t="e">
        <f t="shared" ca="1" si="48"/>
        <v>#N/A</v>
      </c>
      <c r="AE80" s="208" t="e">
        <f ca="1">INDEX(RESULTADOS!$A:$BA,MATCH($A80,RESULTADOS!$A:$A,0),MATCH(AE$1,RESULTADOS!$1:$1,0))</f>
        <v>#N/A</v>
      </c>
      <c r="AF80" s="67" t="e">
        <f ca="1">INDEX(RESULTADOS!$A:$BA,MATCH($A80,RESULTADOS!$A:$A,0),MATCH(AF$1,RESULTADOS!$1:$1,0))</f>
        <v>#N/A</v>
      </c>
      <c r="AG80" s="121" t="e">
        <f t="shared" ca="1" si="49"/>
        <v>#N/A</v>
      </c>
      <c r="AH80" s="121" t="e">
        <f t="shared" ca="1" si="59"/>
        <v>#N/A</v>
      </c>
      <c r="AI80" s="98" t="e">
        <f t="shared" ca="1" si="50"/>
        <v>#N/A</v>
      </c>
      <c r="AJ80" s="98" t="e">
        <f t="shared" ca="1" si="58"/>
        <v>#N/A</v>
      </c>
    </row>
    <row r="81" spans="1:36" s="272" customFormat="1" x14ac:dyDescent="0.2">
      <c r="A81" s="273">
        <f t="shared" ca="1" si="26"/>
        <v>43880</v>
      </c>
      <c r="B81" s="279" t="e">
        <f ca="1">INDEX(RESULTADOS!$A:$BA,MATCH($A81,RESULTADOS!$A:$A,0),MATCH(B$1,RESULTADOS!$1:$1,0))</f>
        <v>#N/A</v>
      </c>
      <c r="C81" s="31" t="e">
        <f t="shared" ref="C81:C110" ca="1" si="61">B81</f>
        <v>#N/A</v>
      </c>
      <c r="D81" s="279" t="e">
        <f ca="1">INDEX(RESULTADOS!$A:$BA,MATCH($A81,RESULTADOS!$A:$A,0),MATCH(D$1,RESULTADOS!$1:$1,0))</f>
        <v>#N/A</v>
      </c>
      <c r="E81" s="31" t="e">
        <f t="shared" ca="1" si="57"/>
        <v>#N/A</v>
      </c>
      <c r="F81" s="31" t="e">
        <f t="shared" ref="F81:F110" ca="1" si="62">((C81*(24-$C$3)+C80*$C$3)/24)+E81</f>
        <v>#N/A</v>
      </c>
      <c r="G81" s="52" t="e">
        <f t="shared" ca="1" si="56"/>
        <v>#N/A</v>
      </c>
      <c r="H81" s="52" t="e">
        <f t="shared" ref="H81:H110" ca="1" si="63">((F81*(24-$F$3)+F80*$F$3)/24)+G81</f>
        <v>#N/A</v>
      </c>
      <c r="I81" s="53"/>
      <c r="J81" s="279" t="e">
        <f ca="1">INDEX(RESULTADOS!$A:$BA,MATCH($A81,RESULTADOS!$A:$A,0),MATCH(J$1,RESULTADOS!$1:$1,0))</f>
        <v>#N/A</v>
      </c>
      <c r="K81" s="32" t="e">
        <f t="shared" ca="1" si="60"/>
        <v>#N/A</v>
      </c>
      <c r="L81" s="32" t="e">
        <f t="shared" ref="L81:L110" ca="1" si="64">K81</f>
        <v>#N/A</v>
      </c>
      <c r="M81" s="32" t="e">
        <f t="shared" ca="1" si="51"/>
        <v>#N/A</v>
      </c>
      <c r="N81" s="32" t="e">
        <f t="shared" ref="N81:N110" ca="1" si="65">((K81*(24-$K$3)+K80*$K$3)/24)+M81</f>
        <v>#N/A</v>
      </c>
      <c r="O81" s="279" t="e">
        <f ca="1">INDEX(RESULTADOS!$A:$BA,MATCH($A81,RESULTADOS!$A:$A,0),MATCH(O$1,RESULTADOS!$1:$1,0))</f>
        <v>#N/A</v>
      </c>
      <c r="P81" s="31" t="e">
        <f t="shared" ref="P81:P110" ca="1" si="66">((N81*(24-$N$3)+N80*$N$3)/24)+O81</f>
        <v>#N/A</v>
      </c>
      <c r="Q81" s="53"/>
      <c r="R81" s="279" t="e">
        <f ca="1">INDEX(RESULTADOS!$A:$BA,MATCH($A81,RESULTADOS!$A:$A,0),MATCH(R$1,RESULTADOS!$1:$1,0))</f>
        <v>#N/A</v>
      </c>
      <c r="S81" s="31" t="e">
        <f t="shared" ref="S81:S110" ca="1" si="67">R81</f>
        <v>#N/A</v>
      </c>
      <c r="T81" s="279" t="e">
        <f ca="1">INDEX(RESULTADOS!$A:$BA,MATCH($A81,RESULTADOS!$A:$A,0),MATCH(T$1,RESULTADOS!$1:$1,0))</f>
        <v>#N/A</v>
      </c>
      <c r="U81" s="33" t="e">
        <f t="shared" ca="1" si="52"/>
        <v>#N/A</v>
      </c>
      <c r="V81" s="52" t="e">
        <f t="shared" ref="V81:V110" ca="1" si="68">((S81*(24-$S$3)+S80*$S$3)/24)+U81</f>
        <v>#N/A</v>
      </c>
      <c r="W81" s="33" t="e">
        <f t="shared" ca="1" si="53"/>
        <v>#N/A</v>
      </c>
      <c r="X81" s="52" t="e">
        <f t="shared" ref="X81:X110" ca="1" si="69">((V81*(24-$V$3)+V80*$V$3)/24)+W81</f>
        <v>#N/A</v>
      </c>
      <c r="Y81" s="33" t="e">
        <f t="shared" ca="1" si="54"/>
        <v>#N/A</v>
      </c>
      <c r="Z81" s="52" t="e">
        <f t="shared" ref="Z81:Z110" ca="1" si="70">((X81*(24-$X$3)+X80*$X$3)/24)+Y81</f>
        <v>#N/A</v>
      </c>
      <c r="AA81" s="53"/>
      <c r="AB81" s="33" t="e">
        <f t="shared" ca="1" si="55"/>
        <v>#N/A</v>
      </c>
      <c r="AC81" s="52" t="e">
        <f t="shared" ref="AC81:AC110" ca="1" si="71">((Z81*(24-$Z$3)+Z80*$Z$3)/24)+((P81*(24-$P$3)+P80*$P$3)/24)+((H81*(24-$H$3)+H80*$H$3)/24)+AB81</f>
        <v>#N/A</v>
      </c>
      <c r="AE81" s="279" t="e">
        <f ca="1">INDEX(RESULTADOS!$A:$BA,MATCH($A81,RESULTADOS!$A:$A,0),MATCH(AE$1,RESULTADOS!$1:$1,0))</f>
        <v>#N/A</v>
      </c>
      <c r="AF81" s="279" t="e">
        <f ca="1">INDEX(RESULTADOS!$A:$BA,MATCH($A81,RESULTADOS!$A:$A,0),MATCH(AF$1,RESULTADOS!$1:$1,0))</f>
        <v>#N/A</v>
      </c>
      <c r="AG81" s="272" t="e">
        <f t="shared" ref="AG81:AG110" ca="1" si="72">AG$4*AF81</f>
        <v>#N/A</v>
      </c>
      <c r="AH81" s="272" t="e">
        <f t="shared" ref="AH81:AH110" ca="1" si="73">AH$4*AF81+((AE81*(24-$AE$3)+AE80*$AE$3)/24)</f>
        <v>#N/A</v>
      </c>
      <c r="AI81" s="278" t="e">
        <f t="shared" ref="AI81:AI110" ca="1" si="74">AG81+AC81</f>
        <v>#N/A</v>
      </c>
      <c r="AJ81" s="278" t="e">
        <f t="shared" ref="AJ81:AJ110" ca="1" si="75">AH81+AI81</f>
        <v>#N/A</v>
      </c>
    </row>
    <row r="82" spans="1:36" s="272" customFormat="1" x14ac:dyDescent="0.2">
      <c r="A82" s="273">
        <f t="shared" ca="1" si="26"/>
        <v>43881</v>
      </c>
      <c r="B82" s="279" t="e">
        <f ca="1">INDEX(RESULTADOS!$A:$BA,MATCH($A82,RESULTADOS!$A:$A,0),MATCH(B$1,RESULTADOS!$1:$1,0))</f>
        <v>#N/A</v>
      </c>
      <c r="C82" s="31" t="e">
        <f t="shared" ca="1" si="61"/>
        <v>#N/A</v>
      </c>
      <c r="D82" s="279" t="e">
        <f ca="1">INDEX(RESULTADOS!$A:$BA,MATCH($A82,RESULTADOS!$A:$A,0),MATCH(D$1,RESULTADOS!$1:$1,0))</f>
        <v>#N/A</v>
      </c>
      <c r="E82" s="31" t="e">
        <f t="shared" ca="1" si="57"/>
        <v>#N/A</v>
      </c>
      <c r="F82" s="31" t="e">
        <f t="shared" ca="1" si="62"/>
        <v>#N/A</v>
      </c>
      <c r="G82" s="52" t="e">
        <f t="shared" ca="1" si="56"/>
        <v>#N/A</v>
      </c>
      <c r="H82" s="52" t="e">
        <f t="shared" ca="1" si="63"/>
        <v>#N/A</v>
      </c>
      <c r="I82" s="53"/>
      <c r="J82" s="279" t="e">
        <f ca="1">INDEX(RESULTADOS!$A:$BA,MATCH($A82,RESULTADOS!$A:$A,0),MATCH(J$1,RESULTADOS!$1:$1,0))</f>
        <v>#N/A</v>
      </c>
      <c r="K82" s="32" t="e">
        <f t="shared" ca="1" si="60"/>
        <v>#N/A</v>
      </c>
      <c r="L82" s="32" t="e">
        <f t="shared" ca="1" si="64"/>
        <v>#N/A</v>
      </c>
      <c r="M82" s="32" t="e">
        <f t="shared" ca="1" si="51"/>
        <v>#N/A</v>
      </c>
      <c r="N82" s="32" t="e">
        <f t="shared" ca="1" si="65"/>
        <v>#N/A</v>
      </c>
      <c r="O82" s="279" t="e">
        <f ca="1">INDEX(RESULTADOS!$A:$BA,MATCH($A82,RESULTADOS!$A:$A,0),MATCH(O$1,RESULTADOS!$1:$1,0))</f>
        <v>#N/A</v>
      </c>
      <c r="P82" s="31" t="e">
        <f t="shared" ca="1" si="66"/>
        <v>#N/A</v>
      </c>
      <c r="Q82" s="53"/>
      <c r="R82" s="279" t="e">
        <f ca="1">INDEX(RESULTADOS!$A:$BA,MATCH($A82,RESULTADOS!$A:$A,0),MATCH(R$1,RESULTADOS!$1:$1,0))</f>
        <v>#N/A</v>
      </c>
      <c r="S82" s="31" t="e">
        <f t="shared" ca="1" si="67"/>
        <v>#N/A</v>
      </c>
      <c r="T82" s="279" t="e">
        <f ca="1">INDEX(RESULTADOS!$A:$BA,MATCH($A82,RESULTADOS!$A:$A,0),MATCH(T$1,RESULTADOS!$1:$1,0))</f>
        <v>#N/A</v>
      </c>
      <c r="U82" s="33" t="e">
        <f t="shared" ca="1" si="52"/>
        <v>#N/A</v>
      </c>
      <c r="V82" s="52" t="e">
        <f t="shared" ca="1" si="68"/>
        <v>#N/A</v>
      </c>
      <c r="W82" s="33" t="e">
        <f t="shared" ca="1" si="53"/>
        <v>#N/A</v>
      </c>
      <c r="X82" s="52" t="e">
        <f t="shared" ca="1" si="69"/>
        <v>#N/A</v>
      </c>
      <c r="Y82" s="33" t="e">
        <f t="shared" ca="1" si="54"/>
        <v>#N/A</v>
      </c>
      <c r="Z82" s="52" t="e">
        <f t="shared" ca="1" si="70"/>
        <v>#N/A</v>
      </c>
      <c r="AA82" s="53"/>
      <c r="AB82" s="33" t="e">
        <f t="shared" ca="1" si="55"/>
        <v>#N/A</v>
      </c>
      <c r="AC82" s="52" t="e">
        <f t="shared" ca="1" si="71"/>
        <v>#N/A</v>
      </c>
      <c r="AE82" s="279" t="e">
        <f ca="1">INDEX(RESULTADOS!$A:$BA,MATCH($A82,RESULTADOS!$A:$A,0),MATCH(AE$1,RESULTADOS!$1:$1,0))</f>
        <v>#N/A</v>
      </c>
      <c r="AF82" s="279" t="e">
        <f ca="1">INDEX(RESULTADOS!$A:$BA,MATCH($A82,RESULTADOS!$A:$A,0),MATCH(AF$1,RESULTADOS!$1:$1,0))</f>
        <v>#N/A</v>
      </c>
      <c r="AG82" s="272" t="e">
        <f t="shared" ca="1" si="72"/>
        <v>#N/A</v>
      </c>
      <c r="AH82" s="272" t="e">
        <f t="shared" ca="1" si="73"/>
        <v>#N/A</v>
      </c>
      <c r="AI82" s="278" t="e">
        <f t="shared" ca="1" si="74"/>
        <v>#N/A</v>
      </c>
      <c r="AJ82" s="278" t="e">
        <f t="shared" ca="1" si="75"/>
        <v>#N/A</v>
      </c>
    </row>
    <row r="83" spans="1:36" s="272" customFormat="1" x14ac:dyDescent="0.2">
      <c r="A83" s="273">
        <f t="shared" ca="1" si="26"/>
        <v>43882</v>
      </c>
      <c r="B83" s="279" t="e">
        <f ca="1">INDEX(RESULTADOS!$A:$BA,MATCH($A83,RESULTADOS!$A:$A,0),MATCH(B$1,RESULTADOS!$1:$1,0))</f>
        <v>#N/A</v>
      </c>
      <c r="C83" s="31" t="e">
        <f t="shared" ca="1" si="61"/>
        <v>#N/A</v>
      </c>
      <c r="D83" s="279" t="e">
        <f ca="1">INDEX(RESULTADOS!$A:$BA,MATCH($A83,RESULTADOS!$A:$A,0),MATCH(D$1,RESULTADOS!$1:$1,0))</f>
        <v>#N/A</v>
      </c>
      <c r="E83" s="31" t="e">
        <f t="shared" ca="1" si="57"/>
        <v>#N/A</v>
      </c>
      <c r="F83" s="31" t="e">
        <f t="shared" ca="1" si="62"/>
        <v>#N/A</v>
      </c>
      <c r="G83" s="52" t="e">
        <f t="shared" ca="1" si="56"/>
        <v>#N/A</v>
      </c>
      <c r="H83" s="52" t="e">
        <f t="shared" ca="1" si="63"/>
        <v>#N/A</v>
      </c>
      <c r="I83" s="53"/>
      <c r="J83" s="279" t="e">
        <f ca="1">INDEX(RESULTADOS!$A:$BA,MATCH($A83,RESULTADOS!$A:$A,0),MATCH(J$1,RESULTADOS!$1:$1,0))</f>
        <v>#N/A</v>
      </c>
      <c r="K83" s="32" t="e">
        <f t="shared" ca="1" si="60"/>
        <v>#N/A</v>
      </c>
      <c r="L83" s="32" t="e">
        <f t="shared" ca="1" si="64"/>
        <v>#N/A</v>
      </c>
      <c r="M83" s="32" t="e">
        <f t="shared" ca="1" si="51"/>
        <v>#N/A</v>
      </c>
      <c r="N83" s="32" t="e">
        <f t="shared" ca="1" si="65"/>
        <v>#N/A</v>
      </c>
      <c r="O83" s="279" t="e">
        <f ca="1">INDEX(RESULTADOS!$A:$BA,MATCH($A83,RESULTADOS!$A:$A,0),MATCH(O$1,RESULTADOS!$1:$1,0))</f>
        <v>#N/A</v>
      </c>
      <c r="P83" s="31" t="e">
        <f t="shared" ca="1" si="66"/>
        <v>#N/A</v>
      </c>
      <c r="Q83" s="53"/>
      <c r="R83" s="279" t="e">
        <f ca="1">INDEX(RESULTADOS!$A:$BA,MATCH($A83,RESULTADOS!$A:$A,0),MATCH(R$1,RESULTADOS!$1:$1,0))</f>
        <v>#N/A</v>
      </c>
      <c r="S83" s="31" t="e">
        <f t="shared" ca="1" si="67"/>
        <v>#N/A</v>
      </c>
      <c r="T83" s="279" t="e">
        <f ca="1">INDEX(RESULTADOS!$A:$BA,MATCH($A83,RESULTADOS!$A:$A,0),MATCH(T$1,RESULTADOS!$1:$1,0))</f>
        <v>#N/A</v>
      </c>
      <c r="U83" s="33" t="e">
        <f t="shared" ca="1" si="52"/>
        <v>#N/A</v>
      </c>
      <c r="V83" s="52" t="e">
        <f t="shared" ca="1" si="68"/>
        <v>#N/A</v>
      </c>
      <c r="W83" s="33" t="e">
        <f t="shared" ca="1" si="53"/>
        <v>#N/A</v>
      </c>
      <c r="X83" s="52" t="e">
        <f t="shared" ca="1" si="69"/>
        <v>#N/A</v>
      </c>
      <c r="Y83" s="33" t="e">
        <f t="shared" ca="1" si="54"/>
        <v>#N/A</v>
      </c>
      <c r="Z83" s="52" t="e">
        <f t="shared" ca="1" si="70"/>
        <v>#N/A</v>
      </c>
      <c r="AA83" s="53"/>
      <c r="AB83" s="33" t="e">
        <f t="shared" ca="1" si="55"/>
        <v>#N/A</v>
      </c>
      <c r="AC83" s="52" t="e">
        <f t="shared" ca="1" si="71"/>
        <v>#N/A</v>
      </c>
      <c r="AE83" s="279" t="e">
        <f ca="1">INDEX(RESULTADOS!$A:$BA,MATCH($A83,RESULTADOS!$A:$A,0),MATCH(AE$1,RESULTADOS!$1:$1,0))</f>
        <v>#N/A</v>
      </c>
      <c r="AF83" s="279" t="e">
        <f ca="1">INDEX(RESULTADOS!$A:$BA,MATCH($A83,RESULTADOS!$A:$A,0),MATCH(AF$1,RESULTADOS!$1:$1,0))</f>
        <v>#N/A</v>
      </c>
      <c r="AG83" s="272" t="e">
        <f t="shared" ca="1" si="72"/>
        <v>#N/A</v>
      </c>
      <c r="AH83" s="272" t="e">
        <f t="shared" ca="1" si="73"/>
        <v>#N/A</v>
      </c>
      <c r="AI83" s="278" t="e">
        <f t="shared" ca="1" si="74"/>
        <v>#N/A</v>
      </c>
      <c r="AJ83" s="278" t="e">
        <f t="shared" ca="1" si="75"/>
        <v>#N/A</v>
      </c>
    </row>
    <row r="84" spans="1:36" s="272" customFormat="1" x14ac:dyDescent="0.2">
      <c r="A84" s="273">
        <f t="shared" ca="1" si="26"/>
        <v>43883</v>
      </c>
      <c r="B84" s="279" t="e">
        <f ca="1">INDEX(RESULTADOS!$A:$BA,MATCH($A84,RESULTADOS!$A:$A,0),MATCH(B$1,RESULTADOS!$1:$1,0))</f>
        <v>#N/A</v>
      </c>
      <c r="C84" s="31" t="e">
        <f t="shared" ca="1" si="61"/>
        <v>#N/A</v>
      </c>
      <c r="D84" s="279" t="e">
        <f ca="1">INDEX(RESULTADOS!$A:$BA,MATCH($A84,RESULTADOS!$A:$A,0),MATCH(D$1,RESULTADOS!$1:$1,0))</f>
        <v>#N/A</v>
      </c>
      <c r="E84" s="31" t="e">
        <f t="shared" ca="1" si="57"/>
        <v>#N/A</v>
      </c>
      <c r="F84" s="31" t="e">
        <f t="shared" ca="1" si="62"/>
        <v>#N/A</v>
      </c>
      <c r="G84" s="52" t="e">
        <f t="shared" ca="1" si="56"/>
        <v>#N/A</v>
      </c>
      <c r="H84" s="52" t="e">
        <f t="shared" ca="1" si="63"/>
        <v>#N/A</v>
      </c>
      <c r="I84" s="53"/>
      <c r="J84" s="279" t="e">
        <f ca="1">INDEX(RESULTADOS!$A:$BA,MATCH($A84,RESULTADOS!$A:$A,0),MATCH(J$1,RESULTADOS!$1:$1,0))</f>
        <v>#N/A</v>
      </c>
      <c r="K84" s="32" t="e">
        <f t="shared" ca="1" si="60"/>
        <v>#N/A</v>
      </c>
      <c r="L84" s="32" t="e">
        <f t="shared" ca="1" si="64"/>
        <v>#N/A</v>
      </c>
      <c r="M84" s="32" t="e">
        <f t="shared" ca="1" si="51"/>
        <v>#N/A</v>
      </c>
      <c r="N84" s="32" t="e">
        <f t="shared" ca="1" si="65"/>
        <v>#N/A</v>
      </c>
      <c r="O84" s="279" t="e">
        <f ca="1">INDEX(RESULTADOS!$A:$BA,MATCH($A84,RESULTADOS!$A:$A,0),MATCH(O$1,RESULTADOS!$1:$1,0))</f>
        <v>#N/A</v>
      </c>
      <c r="P84" s="31" t="e">
        <f t="shared" ca="1" si="66"/>
        <v>#N/A</v>
      </c>
      <c r="Q84" s="53"/>
      <c r="R84" s="279" t="e">
        <f ca="1">INDEX(RESULTADOS!$A:$BA,MATCH($A84,RESULTADOS!$A:$A,0),MATCH(R$1,RESULTADOS!$1:$1,0))</f>
        <v>#N/A</v>
      </c>
      <c r="S84" s="31" t="e">
        <f t="shared" ca="1" si="67"/>
        <v>#N/A</v>
      </c>
      <c r="T84" s="279" t="e">
        <f ca="1">INDEX(RESULTADOS!$A:$BA,MATCH($A84,RESULTADOS!$A:$A,0),MATCH(T$1,RESULTADOS!$1:$1,0))</f>
        <v>#N/A</v>
      </c>
      <c r="U84" s="33" t="e">
        <f t="shared" ca="1" si="52"/>
        <v>#N/A</v>
      </c>
      <c r="V84" s="52" t="e">
        <f t="shared" ca="1" si="68"/>
        <v>#N/A</v>
      </c>
      <c r="W84" s="33" t="e">
        <f t="shared" ca="1" si="53"/>
        <v>#N/A</v>
      </c>
      <c r="X84" s="52" t="e">
        <f t="shared" ca="1" si="69"/>
        <v>#N/A</v>
      </c>
      <c r="Y84" s="33" t="e">
        <f t="shared" ca="1" si="54"/>
        <v>#N/A</v>
      </c>
      <c r="Z84" s="52" t="e">
        <f t="shared" ca="1" si="70"/>
        <v>#N/A</v>
      </c>
      <c r="AA84" s="53"/>
      <c r="AB84" s="33" t="e">
        <f t="shared" ca="1" si="55"/>
        <v>#N/A</v>
      </c>
      <c r="AC84" s="52" t="e">
        <f t="shared" ca="1" si="71"/>
        <v>#N/A</v>
      </c>
      <c r="AE84" s="279" t="e">
        <f ca="1">INDEX(RESULTADOS!$A:$BA,MATCH($A84,RESULTADOS!$A:$A,0),MATCH(AE$1,RESULTADOS!$1:$1,0))</f>
        <v>#N/A</v>
      </c>
      <c r="AF84" s="279" t="e">
        <f ca="1">INDEX(RESULTADOS!$A:$BA,MATCH($A84,RESULTADOS!$A:$A,0),MATCH(AF$1,RESULTADOS!$1:$1,0))</f>
        <v>#N/A</v>
      </c>
      <c r="AG84" s="272" t="e">
        <f t="shared" ca="1" si="72"/>
        <v>#N/A</v>
      </c>
      <c r="AH84" s="272" t="e">
        <f t="shared" ca="1" si="73"/>
        <v>#N/A</v>
      </c>
      <c r="AI84" s="278" t="e">
        <f t="shared" ca="1" si="74"/>
        <v>#N/A</v>
      </c>
      <c r="AJ84" s="278" t="e">
        <f t="shared" ca="1" si="75"/>
        <v>#N/A</v>
      </c>
    </row>
    <row r="85" spans="1:36" s="272" customFormat="1" x14ac:dyDescent="0.2">
      <c r="A85" s="273">
        <f t="shared" ca="1" si="26"/>
        <v>43884</v>
      </c>
      <c r="B85" s="279" t="e">
        <f ca="1">INDEX(RESULTADOS!$A:$BA,MATCH($A85,RESULTADOS!$A:$A,0),MATCH(B$1,RESULTADOS!$1:$1,0))</f>
        <v>#N/A</v>
      </c>
      <c r="C85" s="31" t="e">
        <f t="shared" ca="1" si="61"/>
        <v>#N/A</v>
      </c>
      <c r="D85" s="279" t="e">
        <f ca="1">INDEX(RESULTADOS!$A:$BA,MATCH($A85,RESULTADOS!$A:$A,0),MATCH(D$1,RESULTADOS!$1:$1,0))</f>
        <v>#N/A</v>
      </c>
      <c r="E85" s="31" t="e">
        <f t="shared" ca="1" si="57"/>
        <v>#N/A</v>
      </c>
      <c r="F85" s="31" t="e">
        <f t="shared" ca="1" si="62"/>
        <v>#N/A</v>
      </c>
      <c r="G85" s="52" t="e">
        <f t="shared" ca="1" si="56"/>
        <v>#N/A</v>
      </c>
      <c r="H85" s="52" t="e">
        <f t="shared" ca="1" si="63"/>
        <v>#N/A</v>
      </c>
      <c r="I85" s="53"/>
      <c r="J85" s="279" t="e">
        <f ca="1">INDEX(RESULTADOS!$A:$BA,MATCH($A85,RESULTADOS!$A:$A,0),MATCH(J$1,RESULTADOS!$1:$1,0))</f>
        <v>#N/A</v>
      </c>
      <c r="K85" s="32" t="e">
        <f t="shared" ca="1" si="60"/>
        <v>#N/A</v>
      </c>
      <c r="L85" s="32" t="e">
        <f t="shared" ca="1" si="64"/>
        <v>#N/A</v>
      </c>
      <c r="M85" s="32" t="e">
        <f t="shared" ca="1" si="51"/>
        <v>#N/A</v>
      </c>
      <c r="N85" s="32" t="e">
        <f t="shared" ca="1" si="65"/>
        <v>#N/A</v>
      </c>
      <c r="O85" s="279" t="e">
        <f ca="1">INDEX(RESULTADOS!$A:$BA,MATCH($A85,RESULTADOS!$A:$A,0),MATCH(O$1,RESULTADOS!$1:$1,0))</f>
        <v>#N/A</v>
      </c>
      <c r="P85" s="31" t="e">
        <f t="shared" ca="1" si="66"/>
        <v>#N/A</v>
      </c>
      <c r="Q85" s="53"/>
      <c r="R85" s="279" t="e">
        <f ca="1">INDEX(RESULTADOS!$A:$BA,MATCH($A85,RESULTADOS!$A:$A,0),MATCH(R$1,RESULTADOS!$1:$1,0))</f>
        <v>#N/A</v>
      </c>
      <c r="S85" s="31" t="e">
        <f t="shared" ca="1" si="67"/>
        <v>#N/A</v>
      </c>
      <c r="T85" s="279" t="e">
        <f ca="1">INDEX(RESULTADOS!$A:$BA,MATCH($A85,RESULTADOS!$A:$A,0),MATCH(T$1,RESULTADOS!$1:$1,0))</f>
        <v>#N/A</v>
      </c>
      <c r="U85" s="33" t="e">
        <f t="shared" ca="1" si="52"/>
        <v>#N/A</v>
      </c>
      <c r="V85" s="52" t="e">
        <f t="shared" ca="1" si="68"/>
        <v>#N/A</v>
      </c>
      <c r="W85" s="33" t="e">
        <f t="shared" ca="1" si="53"/>
        <v>#N/A</v>
      </c>
      <c r="X85" s="52" t="e">
        <f t="shared" ca="1" si="69"/>
        <v>#N/A</v>
      </c>
      <c r="Y85" s="33" t="e">
        <f t="shared" ca="1" si="54"/>
        <v>#N/A</v>
      </c>
      <c r="Z85" s="52" t="e">
        <f t="shared" ca="1" si="70"/>
        <v>#N/A</v>
      </c>
      <c r="AA85" s="53"/>
      <c r="AB85" s="33" t="e">
        <f t="shared" ca="1" si="55"/>
        <v>#N/A</v>
      </c>
      <c r="AC85" s="52" t="e">
        <f t="shared" ca="1" si="71"/>
        <v>#N/A</v>
      </c>
      <c r="AE85" s="279" t="e">
        <f ca="1">INDEX(RESULTADOS!$A:$BA,MATCH($A85,RESULTADOS!$A:$A,0),MATCH(AE$1,RESULTADOS!$1:$1,0))</f>
        <v>#N/A</v>
      </c>
      <c r="AF85" s="279" t="e">
        <f ca="1">INDEX(RESULTADOS!$A:$BA,MATCH($A85,RESULTADOS!$A:$A,0),MATCH(AF$1,RESULTADOS!$1:$1,0))</f>
        <v>#N/A</v>
      </c>
      <c r="AG85" s="272" t="e">
        <f t="shared" ca="1" si="72"/>
        <v>#N/A</v>
      </c>
      <c r="AH85" s="272" t="e">
        <f t="shared" ca="1" si="73"/>
        <v>#N/A</v>
      </c>
      <c r="AI85" s="278" t="e">
        <f t="shared" ca="1" si="74"/>
        <v>#N/A</v>
      </c>
      <c r="AJ85" s="278" t="e">
        <f t="shared" ca="1" si="75"/>
        <v>#N/A</v>
      </c>
    </row>
    <row r="86" spans="1:36" s="272" customFormat="1" x14ac:dyDescent="0.2">
      <c r="A86" s="273">
        <f t="shared" ca="1" si="26"/>
        <v>43885</v>
      </c>
      <c r="B86" s="279" t="e">
        <f ca="1">INDEX(RESULTADOS!$A:$BA,MATCH($A86,RESULTADOS!$A:$A,0),MATCH(B$1,RESULTADOS!$1:$1,0))</f>
        <v>#N/A</v>
      </c>
      <c r="C86" s="31" t="e">
        <f t="shared" ca="1" si="61"/>
        <v>#N/A</v>
      </c>
      <c r="D86" s="279" t="e">
        <f ca="1">INDEX(RESULTADOS!$A:$BA,MATCH($A86,RESULTADOS!$A:$A,0),MATCH(D$1,RESULTADOS!$1:$1,0))</f>
        <v>#N/A</v>
      </c>
      <c r="E86" s="31" t="e">
        <f t="shared" ca="1" si="57"/>
        <v>#N/A</v>
      </c>
      <c r="F86" s="31" t="e">
        <f t="shared" ca="1" si="62"/>
        <v>#N/A</v>
      </c>
      <c r="G86" s="52" t="e">
        <f t="shared" ca="1" si="56"/>
        <v>#N/A</v>
      </c>
      <c r="H86" s="52" t="e">
        <f t="shared" ca="1" si="63"/>
        <v>#N/A</v>
      </c>
      <c r="I86" s="53"/>
      <c r="J86" s="279" t="e">
        <f ca="1">INDEX(RESULTADOS!$A:$BA,MATCH($A86,RESULTADOS!$A:$A,0),MATCH(J$1,RESULTADOS!$1:$1,0))</f>
        <v>#N/A</v>
      </c>
      <c r="K86" s="32" t="e">
        <f t="shared" ca="1" si="60"/>
        <v>#N/A</v>
      </c>
      <c r="L86" s="32" t="e">
        <f t="shared" ca="1" si="64"/>
        <v>#N/A</v>
      </c>
      <c r="M86" s="32" t="e">
        <f t="shared" ca="1" si="51"/>
        <v>#N/A</v>
      </c>
      <c r="N86" s="32" t="e">
        <f t="shared" ca="1" si="65"/>
        <v>#N/A</v>
      </c>
      <c r="O86" s="279" t="e">
        <f ca="1">INDEX(RESULTADOS!$A:$BA,MATCH($A86,RESULTADOS!$A:$A,0),MATCH(O$1,RESULTADOS!$1:$1,0))</f>
        <v>#N/A</v>
      </c>
      <c r="P86" s="31" t="e">
        <f t="shared" ca="1" si="66"/>
        <v>#N/A</v>
      </c>
      <c r="Q86" s="53"/>
      <c r="R86" s="279" t="e">
        <f ca="1">INDEX(RESULTADOS!$A:$BA,MATCH($A86,RESULTADOS!$A:$A,0),MATCH(R$1,RESULTADOS!$1:$1,0))</f>
        <v>#N/A</v>
      </c>
      <c r="S86" s="31" t="e">
        <f t="shared" ca="1" si="67"/>
        <v>#N/A</v>
      </c>
      <c r="T86" s="279" t="e">
        <f ca="1">INDEX(RESULTADOS!$A:$BA,MATCH($A86,RESULTADOS!$A:$A,0),MATCH(T$1,RESULTADOS!$1:$1,0))</f>
        <v>#N/A</v>
      </c>
      <c r="U86" s="33" t="e">
        <f t="shared" ca="1" si="52"/>
        <v>#N/A</v>
      </c>
      <c r="V86" s="52" t="e">
        <f t="shared" ca="1" si="68"/>
        <v>#N/A</v>
      </c>
      <c r="W86" s="33" t="e">
        <f t="shared" ca="1" si="53"/>
        <v>#N/A</v>
      </c>
      <c r="X86" s="52" t="e">
        <f t="shared" ca="1" si="69"/>
        <v>#N/A</v>
      </c>
      <c r="Y86" s="33" t="e">
        <f t="shared" ca="1" si="54"/>
        <v>#N/A</v>
      </c>
      <c r="Z86" s="52" t="e">
        <f t="shared" ca="1" si="70"/>
        <v>#N/A</v>
      </c>
      <c r="AA86" s="53"/>
      <c r="AB86" s="33" t="e">
        <f t="shared" ca="1" si="55"/>
        <v>#N/A</v>
      </c>
      <c r="AC86" s="52" t="e">
        <f t="shared" ca="1" si="71"/>
        <v>#N/A</v>
      </c>
      <c r="AE86" s="279" t="e">
        <f ca="1">INDEX(RESULTADOS!$A:$BA,MATCH($A86,RESULTADOS!$A:$A,0),MATCH(AE$1,RESULTADOS!$1:$1,0))</f>
        <v>#N/A</v>
      </c>
      <c r="AF86" s="279" t="e">
        <f ca="1">INDEX(RESULTADOS!$A:$BA,MATCH($A86,RESULTADOS!$A:$A,0),MATCH(AF$1,RESULTADOS!$1:$1,0))</f>
        <v>#N/A</v>
      </c>
      <c r="AG86" s="272" t="e">
        <f t="shared" ca="1" si="72"/>
        <v>#N/A</v>
      </c>
      <c r="AH86" s="272" t="e">
        <f t="shared" ca="1" si="73"/>
        <v>#N/A</v>
      </c>
      <c r="AI86" s="278" t="e">
        <f t="shared" ca="1" si="74"/>
        <v>#N/A</v>
      </c>
      <c r="AJ86" s="278" t="e">
        <f t="shared" ca="1" si="75"/>
        <v>#N/A</v>
      </c>
    </row>
    <row r="87" spans="1:36" s="272" customFormat="1" x14ac:dyDescent="0.2">
      <c r="A87" s="273">
        <f t="shared" ca="1" si="26"/>
        <v>43886</v>
      </c>
      <c r="B87" s="279" t="e">
        <f ca="1">INDEX(RESULTADOS!$A:$BA,MATCH($A87,RESULTADOS!$A:$A,0),MATCH(B$1,RESULTADOS!$1:$1,0))</f>
        <v>#N/A</v>
      </c>
      <c r="C87" s="31" t="e">
        <f t="shared" ca="1" si="61"/>
        <v>#N/A</v>
      </c>
      <c r="D87" s="279" t="e">
        <f ca="1">INDEX(RESULTADOS!$A:$BA,MATCH($A87,RESULTADOS!$A:$A,0),MATCH(D$1,RESULTADOS!$1:$1,0))</f>
        <v>#N/A</v>
      </c>
      <c r="E87" s="31" t="e">
        <f t="shared" ca="1" si="57"/>
        <v>#N/A</v>
      </c>
      <c r="F87" s="31" t="e">
        <f t="shared" ca="1" si="62"/>
        <v>#N/A</v>
      </c>
      <c r="G87" s="52" t="e">
        <f t="shared" ca="1" si="56"/>
        <v>#N/A</v>
      </c>
      <c r="H87" s="52" t="e">
        <f t="shared" ca="1" si="63"/>
        <v>#N/A</v>
      </c>
      <c r="I87" s="53"/>
      <c r="J87" s="279" t="e">
        <f ca="1">INDEX(RESULTADOS!$A:$BA,MATCH($A87,RESULTADOS!$A:$A,0),MATCH(J$1,RESULTADOS!$1:$1,0))</f>
        <v>#N/A</v>
      </c>
      <c r="K87" s="32" t="e">
        <f t="shared" ca="1" si="60"/>
        <v>#N/A</v>
      </c>
      <c r="L87" s="32" t="e">
        <f t="shared" ca="1" si="64"/>
        <v>#N/A</v>
      </c>
      <c r="M87" s="32" t="e">
        <f t="shared" ca="1" si="51"/>
        <v>#N/A</v>
      </c>
      <c r="N87" s="32" t="e">
        <f t="shared" ca="1" si="65"/>
        <v>#N/A</v>
      </c>
      <c r="O87" s="279" t="e">
        <f ca="1">INDEX(RESULTADOS!$A:$BA,MATCH($A87,RESULTADOS!$A:$A,0),MATCH(O$1,RESULTADOS!$1:$1,0))</f>
        <v>#N/A</v>
      </c>
      <c r="P87" s="31" t="e">
        <f t="shared" ca="1" si="66"/>
        <v>#N/A</v>
      </c>
      <c r="Q87" s="53"/>
      <c r="R87" s="279" t="e">
        <f ca="1">INDEX(RESULTADOS!$A:$BA,MATCH($A87,RESULTADOS!$A:$A,0),MATCH(R$1,RESULTADOS!$1:$1,0))</f>
        <v>#N/A</v>
      </c>
      <c r="S87" s="31" t="e">
        <f t="shared" ca="1" si="67"/>
        <v>#N/A</v>
      </c>
      <c r="T87" s="279" t="e">
        <f ca="1">INDEX(RESULTADOS!$A:$BA,MATCH($A87,RESULTADOS!$A:$A,0),MATCH(T$1,RESULTADOS!$1:$1,0))</f>
        <v>#N/A</v>
      </c>
      <c r="U87" s="33" t="e">
        <f t="shared" ca="1" si="52"/>
        <v>#N/A</v>
      </c>
      <c r="V87" s="52" t="e">
        <f t="shared" ca="1" si="68"/>
        <v>#N/A</v>
      </c>
      <c r="W87" s="33" t="e">
        <f t="shared" ca="1" si="53"/>
        <v>#N/A</v>
      </c>
      <c r="X87" s="52" t="e">
        <f t="shared" ca="1" si="69"/>
        <v>#N/A</v>
      </c>
      <c r="Y87" s="33" t="e">
        <f t="shared" ca="1" si="54"/>
        <v>#N/A</v>
      </c>
      <c r="Z87" s="52" t="e">
        <f t="shared" ca="1" si="70"/>
        <v>#N/A</v>
      </c>
      <c r="AA87" s="53"/>
      <c r="AB87" s="33" t="e">
        <f t="shared" ca="1" si="55"/>
        <v>#N/A</v>
      </c>
      <c r="AC87" s="52" t="e">
        <f t="shared" ca="1" si="71"/>
        <v>#N/A</v>
      </c>
      <c r="AE87" s="279" t="e">
        <f ca="1">INDEX(RESULTADOS!$A:$BA,MATCH($A87,RESULTADOS!$A:$A,0),MATCH(AE$1,RESULTADOS!$1:$1,0))</f>
        <v>#N/A</v>
      </c>
      <c r="AF87" s="279" t="e">
        <f ca="1">INDEX(RESULTADOS!$A:$BA,MATCH($A87,RESULTADOS!$A:$A,0),MATCH(AF$1,RESULTADOS!$1:$1,0))</f>
        <v>#N/A</v>
      </c>
      <c r="AG87" s="272" t="e">
        <f t="shared" ca="1" si="72"/>
        <v>#N/A</v>
      </c>
      <c r="AH87" s="272" t="e">
        <f t="shared" ca="1" si="73"/>
        <v>#N/A</v>
      </c>
      <c r="AI87" s="278" t="e">
        <f t="shared" ca="1" si="74"/>
        <v>#N/A</v>
      </c>
      <c r="AJ87" s="278" t="e">
        <f t="shared" ca="1" si="75"/>
        <v>#N/A</v>
      </c>
    </row>
    <row r="88" spans="1:36" s="272" customFormat="1" x14ac:dyDescent="0.2">
      <c r="A88" s="273">
        <f t="shared" ca="1" si="26"/>
        <v>43887</v>
      </c>
      <c r="B88" s="279" t="e">
        <f ca="1">INDEX(RESULTADOS!$A:$BA,MATCH($A88,RESULTADOS!$A:$A,0),MATCH(B$1,RESULTADOS!$1:$1,0))</f>
        <v>#N/A</v>
      </c>
      <c r="C88" s="31" t="e">
        <f t="shared" ca="1" si="61"/>
        <v>#N/A</v>
      </c>
      <c r="D88" s="279" t="e">
        <f ca="1">INDEX(RESULTADOS!$A:$BA,MATCH($A88,RESULTADOS!$A:$A,0),MATCH(D$1,RESULTADOS!$1:$1,0))</f>
        <v>#N/A</v>
      </c>
      <c r="E88" s="31" t="e">
        <f t="shared" ca="1" si="57"/>
        <v>#N/A</v>
      </c>
      <c r="F88" s="31" t="e">
        <f t="shared" ca="1" si="62"/>
        <v>#N/A</v>
      </c>
      <c r="G88" s="52" t="e">
        <f t="shared" ca="1" si="56"/>
        <v>#N/A</v>
      </c>
      <c r="H88" s="52" t="e">
        <f t="shared" ca="1" si="63"/>
        <v>#N/A</v>
      </c>
      <c r="I88" s="53"/>
      <c r="J88" s="279" t="e">
        <f ca="1">INDEX(RESULTADOS!$A:$BA,MATCH($A88,RESULTADOS!$A:$A,0),MATCH(J$1,RESULTADOS!$1:$1,0))</f>
        <v>#N/A</v>
      </c>
      <c r="K88" s="32" t="e">
        <f t="shared" ca="1" si="60"/>
        <v>#N/A</v>
      </c>
      <c r="L88" s="32" t="e">
        <f t="shared" ca="1" si="64"/>
        <v>#N/A</v>
      </c>
      <c r="M88" s="32" t="e">
        <f t="shared" ca="1" si="51"/>
        <v>#N/A</v>
      </c>
      <c r="N88" s="32" t="e">
        <f t="shared" ca="1" si="65"/>
        <v>#N/A</v>
      </c>
      <c r="O88" s="279" t="e">
        <f ca="1">INDEX(RESULTADOS!$A:$BA,MATCH($A88,RESULTADOS!$A:$A,0),MATCH(O$1,RESULTADOS!$1:$1,0))</f>
        <v>#N/A</v>
      </c>
      <c r="P88" s="31" t="e">
        <f t="shared" ca="1" si="66"/>
        <v>#N/A</v>
      </c>
      <c r="Q88" s="53"/>
      <c r="R88" s="279" t="e">
        <f ca="1">INDEX(RESULTADOS!$A:$BA,MATCH($A88,RESULTADOS!$A:$A,0),MATCH(R$1,RESULTADOS!$1:$1,0))</f>
        <v>#N/A</v>
      </c>
      <c r="S88" s="31" t="e">
        <f t="shared" ca="1" si="67"/>
        <v>#N/A</v>
      </c>
      <c r="T88" s="279" t="e">
        <f ca="1">INDEX(RESULTADOS!$A:$BA,MATCH($A88,RESULTADOS!$A:$A,0),MATCH(T$1,RESULTADOS!$1:$1,0))</f>
        <v>#N/A</v>
      </c>
      <c r="U88" s="33" t="e">
        <f t="shared" ca="1" si="52"/>
        <v>#N/A</v>
      </c>
      <c r="V88" s="52" t="e">
        <f t="shared" ca="1" si="68"/>
        <v>#N/A</v>
      </c>
      <c r="W88" s="33" t="e">
        <f t="shared" ca="1" si="53"/>
        <v>#N/A</v>
      </c>
      <c r="X88" s="52" t="e">
        <f t="shared" ca="1" si="69"/>
        <v>#N/A</v>
      </c>
      <c r="Y88" s="33" t="e">
        <f t="shared" ca="1" si="54"/>
        <v>#N/A</v>
      </c>
      <c r="Z88" s="52" t="e">
        <f t="shared" ca="1" si="70"/>
        <v>#N/A</v>
      </c>
      <c r="AA88" s="53"/>
      <c r="AB88" s="33" t="e">
        <f t="shared" ca="1" si="55"/>
        <v>#N/A</v>
      </c>
      <c r="AC88" s="52" t="e">
        <f t="shared" ca="1" si="71"/>
        <v>#N/A</v>
      </c>
      <c r="AE88" s="279" t="e">
        <f ca="1">INDEX(RESULTADOS!$A:$BA,MATCH($A88,RESULTADOS!$A:$A,0),MATCH(AE$1,RESULTADOS!$1:$1,0))</f>
        <v>#N/A</v>
      </c>
      <c r="AF88" s="279" t="e">
        <f ca="1">INDEX(RESULTADOS!$A:$BA,MATCH($A88,RESULTADOS!$A:$A,0),MATCH(AF$1,RESULTADOS!$1:$1,0))</f>
        <v>#N/A</v>
      </c>
      <c r="AG88" s="272" t="e">
        <f t="shared" ca="1" si="72"/>
        <v>#N/A</v>
      </c>
      <c r="AH88" s="272" t="e">
        <f t="shared" ca="1" si="73"/>
        <v>#N/A</v>
      </c>
      <c r="AI88" s="278" t="e">
        <f t="shared" ca="1" si="74"/>
        <v>#N/A</v>
      </c>
      <c r="AJ88" s="278" t="e">
        <f t="shared" ca="1" si="75"/>
        <v>#N/A</v>
      </c>
    </row>
    <row r="89" spans="1:36" s="272" customFormat="1" x14ac:dyDescent="0.2">
      <c r="A89" s="273">
        <f t="shared" ca="1" si="26"/>
        <v>43888</v>
      </c>
      <c r="B89" s="279" t="e">
        <f ca="1">INDEX(RESULTADOS!$A:$BA,MATCH($A89,RESULTADOS!$A:$A,0),MATCH(B$1,RESULTADOS!$1:$1,0))</f>
        <v>#N/A</v>
      </c>
      <c r="C89" s="31" t="e">
        <f t="shared" ca="1" si="61"/>
        <v>#N/A</v>
      </c>
      <c r="D89" s="279" t="e">
        <f ca="1">INDEX(RESULTADOS!$A:$BA,MATCH($A89,RESULTADOS!$A:$A,0),MATCH(D$1,RESULTADOS!$1:$1,0))</f>
        <v>#N/A</v>
      </c>
      <c r="E89" s="31" t="e">
        <f t="shared" ca="1" si="57"/>
        <v>#N/A</v>
      </c>
      <c r="F89" s="31" t="e">
        <f t="shared" ca="1" si="62"/>
        <v>#N/A</v>
      </c>
      <c r="G89" s="52" t="e">
        <f t="shared" ca="1" si="56"/>
        <v>#N/A</v>
      </c>
      <c r="H89" s="52" t="e">
        <f t="shared" ca="1" si="63"/>
        <v>#N/A</v>
      </c>
      <c r="I89" s="53"/>
      <c r="J89" s="279" t="e">
        <f ca="1">INDEX(RESULTADOS!$A:$BA,MATCH($A89,RESULTADOS!$A:$A,0),MATCH(J$1,RESULTADOS!$1:$1,0))</f>
        <v>#N/A</v>
      </c>
      <c r="K89" s="32" t="e">
        <f t="shared" ca="1" si="60"/>
        <v>#N/A</v>
      </c>
      <c r="L89" s="32" t="e">
        <f t="shared" ca="1" si="64"/>
        <v>#N/A</v>
      </c>
      <c r="M89" s="32" t="e">
        <f t="shared" ca="1" si="51"/>
        <v>#N/A</v>
      </c>
      <c r="N89" s="32" t="e">
        <f t="shared" ca="1" si="65"/>
        <v>#N/A</v>
      </c>
      <c r="O89" s="279" t="e">
        <f ca="1">INDEX(RESULTADOS!$A:$BA,MATCH($A89,RESULTADOS!$A:$A,0),MATCH(O$1,RESULTADOS!$1:$1,0))</f>
        <v>#N/A</v>
      </c>
      <c r="P89" s="31" t="e">
        <f t="shared" ca="1" si="66"/>
        <v>#N/A</v>
      </c>
      <c r="Q89" s="53"/>
      <c r="R89" s="279" t="e">
        <f ca="1">INDEX(RESULTADOS!$A:$BA,MATCH($A89,RESULTADOS!$A:$A,0),MATCH(R$1,RESULTADOS!$1:$1,0))</f>
        <v>#N/A</v>
      </c>
      <c r="S89" s="31" t="e">
        <f t="shared" ca="1" si="67"/>
        <v>#N/A</v>
      </c>
      <c r="T89" s="279" t="e">
        <f ca="1">INDEX(RESULTADOS!$A:$BA,MATCH($A89,RESULTADOS!$A:$A,0),MATCH(T$1,RESULTADOS!$1:$1,0))</f>
        <v>#N/A</v>
      </c>
      <c r="U89" s="33" t="e">
        <f t="shared" ca="1" si="52"/>
        <v>#N/A</v>
      </c>
      <c r="V89" s="52" t="e">
        <f t="shared" ca="1" si="68"/>
        <v>#N/A</v>
      </c>
      <c r="W89" s="33" t="e">
        <f t="shared" ca="1" si="53"/>
        <v>#N/A</v>
      </c>
      <c r="X89" s="52" t="e">
        <f t="shared" ca="1" si="69"/>
        <v>#N/A</v>
      </c>
      <c r="Y89" s="33" t="e">
        <f t="shared" ca="1" si="54"/>
        <v>#N/A</v>
      </c>
      <c r="Z89" s="52" t="e">
        <f t="shared" ca="1" si="70"/>
        <v>#N/A</v>
      </c>
      <c r="AA89" s="53"/>
      <c r="AB89" s="33" t="e">
        <f t="shared" ca="1" si="55"/>
        <v>#N/A</v>
      </c>
      <c r="AC89" s="52" t="e">
        <f t="shared" ca="1" si="71"/>
        <v>#N/A</v>
      </c>
      <c r="AE89" s="279" t="e">
        <f ca="1">INDEX(RESULTADOS!$A:$BA,MATCH($A89,RESULTADOS!$A:$A,0),MATCH(AE$1,RESULTADOS!$1:$1,0))</f>
        <v>#N/A</v>
      </c>
      <c r="AF89" s="279" t="e">
        <f ca="1">INDEX(RESULTADOS!$A:$BA,MATCH($A89,RESULTADOS!$A:$A,0),MATCH(AF$1,RESULTADOS!$1:$1,0))</f>
        <v>#N/A</v>
      </c>
      <c r="AG89" s="272" t="e">
        <f t="shared" ca="1" si="72"/>
        <v>#N/A</v>
      </c>
      <c r="AH89" s="272" t="e">
        <f t="shared" ca="1" si="73"/>
        <v>#N/A</v>
      </c>
      <c r="AI89" s="278" t="e">
        <f t="shared" ca="1" si="74"/>
        <v>#N/A</v>
      </c>
      <c r="AJ89" s="278" t="e">
        <f t="shared" ca="1" si="75"/>
        <v>#N/A</v>
      </c>
    </row>
    <row r="90" spans="1:36" s="272" customFormat="1" x14ac:dyDescent="0.2">
      <c r="A90" s="273">
        <f t="shared" ca="1" si="26"/>
        <v>43889</v>
      </c>
      <c r="B90" s="279" t="e">
        <f ca="1">INDEX(RESULTADOS!$A:$BA,MATCH($A90,RESULTADOS!$A:$A,0),MATCH(B$1,RESULTADOS!$1:$1,0))</f>
        <v>#N/A</v>
      </c>
      <c r="C90" s="31" t="e">
        <f t="shared" ca="1" si="61"/>
        <v>#N/A</v>
      </c>
      <c r="D90" s="279" t="e">
        <f ca="1">INDEX(RESULTADOS!$A:$BA,MATCH($A90,RESULTADOS!$A:$A,0),MATCH(D$1,RESULTADOS!$1:$1,0))</f>
        <v>#N/A</v>
      </c>
      <c r="E90" s="31" t="e">
        <f t="shared" ca="1" si="57"/>
        <v>#N/A</v>
      </c>
      <c r="F90" s="31" t="e">
        <f t="shared" ca="1" si="62"/>
        <v>#N/A</v>
      </c>
      <c r="G90" s="52" t="e">
        <f t="shared" ca="1" si="56"/>
        <v>#N/A</v>
      </c>
      <c r="H90" s="52" t="e">
        <f t="shared" ca="1" si="63"/>
        <v>#N/A</v>
      </c>
      <c r="I90" s="53"/>
      <c r="J90" s="279" t="e">
        <f ca="1">INDEX(RESULTADOS!$A:$BA,MATCH($A90,RESULTADOS!$A:$A,0),MATCH(J$1,RESULTADOS!$1:$1,0))</f>
        <v>#N/A</v>
      </c>
      <c r="K90" s="32" t="e">
        <f t="shared" ca="1" si="60"/>
        <v>#N/A</v>
      </c>
      <c r="L90" s="32" t="e">
        <f t="shared" ca="1" si="64"/>
        <v>#N/A</v>
      </c>
      <c r="M90" s="32" t="e">
        <f t="shared" ca="1" si="51"/>
        <v>#N/A</v>
      </c>
      <c r="N90" s="32" t="e">
        <f t="shared" ca="1" si="65"/>
        <v>#N/A</v>
      </c>
      <c r="O90" s="279" t="e">
        <f ca="1">INDEX(RESULTADOS!$A:$BA,MATCH($A90,RESULTADOS!$A:$A,0),MATCH(O$1,RESULTADOS!$1:$1,0))</f>
        <v>#N/A</v>
      </c>
      <c r="P90" s="31" t="e">
        <f t="shared" ca="1" si="66"/>
        <v>#N/A</v>
      </c>
      <c r="Q90" s="53"/>
      <c r="R90" s="279" t="e">
        <f ca="1">INDEX(RESULTADOS!$A:$BA,MATCH($A90,RESULTADOS!$A:$A,0),MATCH(R$1,RESULTADOS!$1:$1,0))</f>
        <v>#N/A</v>
      </c>
      <c r="S90" s="31" t="e">
        <f t="shared" ca="1" si="67"/>
        <v>#N/A</v>
      </c>
      <c r="T90" s="279" t="e">
        <f ca="1">INDEX(RESULTADOS!$A:$BA,MATCH($A90,RESULTADOS!$A:$A,0),MATCH(T$1,RESULTADOS!$1:$1,0))</f>
        <v>#N/A</v>
      </c>
      <c r="U90" s="33" t="e">
        <f t="shared" ca="1" si="52"/>
        <v>#N/A</v>
      </c>
      <c r="V90" s="52" t="e">
        <f t="shared" ca="1" si="68"/>
        <v>#N/A</v>
      </c>
      <c r="W90" s="33" t="e">
        <f t="shared" ca="1" si="53"/>
        <v>#N/A</v>
      </c>
      <c r="X90" s="52" t="e">
        <f t="shared" ca="1" si="69"/>
        <v>#N/A</v>
      </c>
      <c r="Y90" s="33" t="e">
        <f t="shared" ca="1" si="54"/>
        <v>#N/A</v>
      </c>
      <c r="Z90" s="52" t="e">
        <f t="shared" ca="1" si="70"/>
        <v>#N/A</v>
      </c>
      <c r="AA90" s="53"/>
      <c r="AB90" s="33" t="e">
        <f t="shared" ca="1" si="55"/>
        <v>#N/A</v>
      </c>
      <c r="AC90" s="52" t="e">
        <f t="shared" ca="1" si="71"/>
        <v>#N/A</v>
      </c>
      <c r="AE90" s="279" t="e">
        <f ca="1">INDEX(RESULTADOS!$A:$BA,MATCH($A90,RESULTADOS!$A:$A,0),MATCH(AE$1,RESULTADOS!$1:$1,0))</f>
        <v>#N/A</v>
      </c>
      <c r="AF90" s="279" t="e">
        <f ca="1">INDEX(RESULTADOS!$A:$BA,MATCH($A90,RESULTADOS!$A:$A,0),MATCH(AF$1,RESULTADOS!$1:$1,0))</f>
        <v>#N/A</v>
      </c>
      <c r="AG90" s="272" t="e">
        <f t="shared" ca="1" si="72"/>
        <v>#N/A</v>
      </c>
      <c r="AH90" s="272" t="e">
        <f t="shared" ca="1" si="73"/>
        <v>#N/A</v>
      </c>
      <c r="AI90" s="278" t="e">
        <f t="shared" ca="1" si="74"/>
        <v>#N/A</v>
      </c>
      <c r="AJ90" s="278" t="e">
        <f t="shared" ca="1" si="75"/>
        <v>#N/A</v>
      </c>
    </row>
    <row r="91" spans="1:36" s="272" customFormat="1" x14ac:dyDescent="0.2">
      <c r="A91" s="273">
        <f t="shared" ca="1" si="26"/>
        <v>43890</v>
      </c>
      <c r="B91" s="279" t="e">
        <f ca="1">INDEX(RESULTADOS!$A:$BA,MATCH($A91,RESULTADOS!$A:$A,0),MATCH(B$1,RESULTADOS!$1:$1,0))</f>
        <v>#N/A</v>
      </c>
      <c r="C91" s="31" t="e">
        <f t="shared" ca="1" si="61"/>
        <v>#N/A</v>
      </c>
      <c r="D91" s="279" t="e">
        <f ca="1">INDEX(RESULTADOS!$A:$BA,MATCH($A91,RESULTADOS!$A:$A,0),MATCH(D$1,RESULTADOS!$1:$1,0))</f>
        <v>#N/A</v>
      </c>
      <c r="E91" s="31" t="e">
        <f t="shared" ca="1" si="57"/>
        <v>#N/A</v>
      </c>
      <c r="F91" s="31" t="e">
        <f t="shared" ca="1" si="62"/>
        <v>#N/A</v>
      </c>
      <c r="G91" s="52" t="e">
        <f t="shared" ca="1" si="56"/>
        <v>#N/A</v>
      </c>
      <c r="H91" s="52" t="e">
        <f t="shared" ca="1" si="63"/>
        <v>#N/A</v>
      </c>
      <c r="I91" s="53"/>
      <c r="J91" s="279" t="e">
        <f ca="1">INDEX(RESULTADOS!$A:$BA,MATCH($A91,RESULTADOS!$A:$A,0),MATCH(J$1,RESULTADOS!$1:$1,0))</f>
        <v>#N/A</v>
      </c>
      <c r="K91" s="32" t="e">
        <f t="shared" ca="1" si="60"/>
        <v>#N/A</v>
      </c>
      <c r="L91" s="32" t="e">
        <f t="shared" ca="1" si="64"/>
        <v>#N/A</v>
      </c>
      <c r="M91" s="32" t="e">
        <f t="shared" ca="1" si="51"/>
        <v>#N/A</v>
      </c>
      <c r="N91" s="32" t="e">
        <f t="shared" ca="1" si="65"/>
        <v>#N/A</v>
      </c>
      <c r="O91" s="279" t="e">
        <f ca="1">INDEX(RESULTADOS!$A:$BA,MATCH($A91,RESULTADOS!$A:$A,0),MATCH(O$1,RESULTADOS!$1:$1,0))</f>
        <v>#N/A</v>
      </c>
      <c r="P91" s="31" t="e">
        <f t="shared" ca="1" si="66"/>
        <v>#N/A</v>
      </c>
      <c r="Q91" s="53"/>
      <c r="R91" s="279" t="e">
        <f ca="1">INDEX(RESULTADOS!$A:$BA,MATCH($A91,RESULTADOS!$A:$A,0),MATCH(R$1,RESULTADOS!$1:$1,0))</f>
        <v>#N/A</v>
      </c>
      <c r="S91" s="31" t="e">
        <f t="shared" ca="1" si="67"/>
        <v>#N/A</v>
      </c>
      <c r="T91" s="279" t="e">
        <f ca="1">INDEX(RESULTADOS!$A:$BA,MATCH($A91,RESULTADOS!$A:$A,0),MATCH(T$1,RESULTADOS!$1:$1,0))</f>
        <v>#N/A</v>
      </c>
      <c r="U91" s="33" t="e">
        <f t="shared" ca="1" si="52"/>
        <v>#N/A</v>
      </c>
      <c r="V91" s="52" t="e">
        <f t="shared" ca="1" si="68"/>
        <v>#N/A</v>
      </c>
      <c r="W91" s="33" t="e">
        <f t="shared" ca="1" si="53"/>
        <v>#N/A</v>
      </c>
      <c r="X91" s="52" t="e">
        <f t="shared" ca="1" si="69"/>
        <v>#N/A</v>
      </c>
      <c r="Y91" s="33" t="e">
        <f t="shared" ca="1" si="54"/>
        <v>#N/A</v>
      </c>
      <c r="Z91" s="52" t="e">
        <f t="shared" ca="1" si="70"/>
        <v>#N/A</v>
      </c>
      <c r="AA91" s="53"/>
      <c r="AB91" s="33" t="e">
        <f t="shared" ca="1" si="55"/>
        <v>#N/A</v>
      </c>
      <c r="AC91" s="52" t="e">
        <f t="shared" ca="1" si="71"/>
        <v>#N/A</v>
      </c>
      <c r="AE91" s="279" t="e">
        <f ca="1">INDEX(RESULTADOS!$A:$BA,MATCH($A91,RESULTADOS!$A:$A,0),MATCH(AE$1,RESULTADOS!$1:$1,0))</f>
        <v>#N/A</v>
      </c>
      <c r="AF91" s="279" t="e">
        <f ca="1">INDEX(RESULTADOS!$A:$BA,MATCH($A91,RESULTADOS!$A:$A,0),MATCH(AF$1,RESULTADOS!$1:$1,0))</f>
        <v>#N/A</v>
      </c>
      <c r="AG91" s="272" t="e">
        <f t="shared" ca="1" si="72"/>
        <v>#N/A</v>
      </c>
      <c r="AH91" s="272" t="e">
        <f t="shared" ca="1" si="73"/>
        <v>#N/A</v>
      </c>
      <c r="AI91" s="278" t="e">
        <f t="shared" ca="1" si="74"/>
        <v>#N/A</v>
      </c>
      <c r="AJ91" s="278" t="e">
        <f t="shared" ca="1" si="75"/>
        <v>#N/A</v>
      </c>
    </row>
    <row r="92" spans="1:36" s="272" customFormat="1" x14ac:dyDescent="0.2">
      <c r="A92" s="273">
        <f t="shared" ca="1" si="26"/>
        <v>43891</v>
      </c>
      <c r="B92" s="279" t="e">
        <f ca="1">INDEX(RESULTADOS!$A:$BA,MATCH($A92,RESULTADOS!$A:$A,0),MATCH(B$1,RESULTADOS!$1:$1,0))</f>
        <v>#N/A</v>
      </c>
      <c r="C92" s="31" t="e">
        <f t="shared" ca="1" si="61"/>
        <v>#N/A</v>
      </c>
      <c r="D92" s="279" t="e">
        <f ca="1">INDEX(RESULTADOS!$A:$BA,MATCH($A92,RESULTADOS!$A:$A,0),MATCH(D$1,RESULTADOS!$1:$1,0))</f>
        <v>#N/A</v>
      </c>
      <c r="E92" s="31" t="e">
        <f t="shared" ca="1" si="57"/>
        <v>#N/A</v>
      </c>
      <c r="F92" s="31" t="e">
        <f t="shared" ca="1" si="62"/>
        <v>#N/A</v>
      </c>
      <c r="G92" s="52" t="e">
        <f t="shared" ca="1" si="56"/>
        <v>#N/A</v>
      </c>
      <c r="H92" s="52" t="e">
        <f t="shared" ca="1" si="63"/>
        <v>#N/A</v>
      </c>
      <c r="I92" s="53"/>
      <c r="J92" s="279" t="e">
        <f ca="1">INDEX(RESULTADOS!$A:$BA,MATCH($A92,RESULTADOS!$A:$A,0),MATCH(J$1,RESULTADOS!$1:$1,0))</f>
        <v>#N/A</v>
      </c>
      <c r="K92" s="32" t="e">
        <f t="shared" ca="1" si="60"/>
        <v>#N/A</v>
      </c>
      <c r="L92" s="32" t="e">
        <f t="shared" ca="1" si="64"/>
        <v>#N/A</v>
      </c>
      <c r="M92" s="32" t="e">
        <f t="shared" ca="1" si="51"/>
        <v>#N/A</v>
      </c>
      <c r="N92" s="32" t="e">
        <f t="shared" ca="1" si="65"/>
        <v>#N/A</v>
      </c>
      <c r="O92" s="279" t="e">
        <f ca="1">INDEX(RESULTADOS!$A:$BA,MATCH($A92,RESULTADOS!$A:$A,0),MATCH(O$1,RESULTADOS!$1:$1,0))</f>
        <v>#N/A</v>
      </c>
      <c r="P92" s="31" t="e">
        <f t="shared" ca="1" si="66"/>
        <v>#N/A</v>
      </c>
      <c r="Q92" s="53"/>
      <c r="R92" s="279" t="e">
        <f ca="1">INDEX(RESULTADOS!$A:$BA,MATCH($A92,RESULTADOS!$A:$A,0),MATCH(R$1,RESULTADOS!$1:$1,0))</f>
        <v>#N/A</v>
      </c>
      <c r="S92" s="31" t="e">
        <f t="shared" ca="1" si="67"/>
        <v>#N/A</v>
      </c>
      <c r="T92" s="279" t="e">
        <f ca="1">INDEX(RESULTADOS!$A:$BA,MATCH($A92,RESULTADOS!$A:$A,0),MATCH(T$1,RESULTADOS!$1:$1,0))</f>
        <v>#N/A</v>
      </c>
      <c r="U92" s="33" t="e">
        <f t="shared" ca="1" si="52"/>
        <v>#N/A</v>
      </c>
      <c r="V92" s="52" t="e">
        <f t="shared" ca="1" si="68"/>
        <v>#N/A</v>
      </c>
      <c r="W92" s="33" t="e">
        <f t="shared" ca="1" si="53"/>
        <v>#N/A</v>
      </c>
      <c r="X92" s="52" t="e">
        <f t="shared" ca="1" si="69"/>
        <v>#N/A</v>
      </c>
      <c r="Y92" s="33" t="e">
        <f t="shared" ca="1" si="54"/>
        <v>#N/A</v>
      </c>
      <c r="Z92" s="52" t="e">
        <f t="shared" ca="1" si="70"/>
        <v>#N/A</v>
      </c>
      <c r="AA92" s="53"/>
      <c r="AB92" s="33" t="e">
        <f t="shared" ca="1" si="55"/>
        <v>#N/A</v>
      </c>
      <c r="AC92" s="52" t="e">
        <f t="shared" ca="1" si="71"/>
        <v>#N/A</v>
      </c>
      <c r="AE92" s="279" t="e">
        <f ca="1">INDEX(RESULTADOS!$A:$BA,MATCH($A92,RESULTADOS!$A:$A,0),MATCH(AE$1,RESULTADOS!$1:$1,0))</f>
        <v>#N/A</v>
      </c>
      <c r="AF92" s="279" t="e">
        <f ca="1">INDEX(RESULTADOS!$A:$BA,MATCH($A92,RESULTADOS!$A:$A,0),MATCH(AF$1,RESULTADOS!$1:$1,0))</f>
        <v>#N/A</v>
      </c>
      <c r="AG92" s="272" t="e">
        <f t="shared" ca="1" si="72"/>
        <v>#N/A</v>
      </c>
      <c r="AH92" s="272" t="e">
        <f t="shared" ca="1" si="73"/>
        <v>#N/A</v>
      </c>
      <c r="AI92" s="278" t="e">
        <f t="shared" ca="1" si="74"/>
        <v>#N/A</v>
      </c>
      <c r="AJ92" s="278" t="e">
        <f t="shared" ca="1" si="75"/>
        <v>#N/A</v>
      </c>
    </row>
    <row r="93" spans="1:36" s="272" customFormat="1" x14ac:dyDescent="0.2">
      <c r="A93" s="273">
        <f t="shared" ca="1" si="26"/>
        <v>43892</v>
      </c>
      <c r="B93" s="279" t="e">
        <f ca="1">INDEX(RESULTADOS!$A:$BA,MATCH($A93,RESULTADOS!$A:$A,0),MATCH(B$1,RESULTADOS!$1:$1,0))</f>
        <v>#N/A</v>
      </c>
      <c r="C93" s="31" t="e">
        <f t="shared" ca="1" si="61"/>
        <v>#N/A</v>
      </c>
      <c r="D93" s="279" t="e">
        <f ca="1">INDEX(RESULTADOS!$A:$BA,MATCH($A93,RESULTADOS!$A:$A,0),MATCH(D$1,RESULTADOS!$1:$1,0))</f>
        <v>#N/A</v>
      </c>
      <c r="E93" s="31" t="e">
        <f t="shared" ca="1" si="57"/>
        <v>#N/A</v>
      </c>
      <c r="F93" s="31" t="e">
        <f t="shared" ca="1" si="62"/>
        <v>#N/A</v>
      </c>
      <c r="G93" s="52" t="e">
        <f t="shared" ca="1" si="56"/>
        <v>#N/A</v>
      </c>
      <c r="H93" s="52" t="e">
        <f t="shared" ca="1" si="63"/>
        <v>#N/A</v>
      </c>
      <c r="I93" s="53"/>
      <c r="J93" s="279" t="e">
        <f ca="1">INDEX(RESULTADOS!$A:$BA,MATCH($A93,RESULTADOS!$A:$A,0),MATCH(J$1,RESULTADOS!$1:$1,0))</f>
        <v>#N/A</v>
      </c>
      <c r="K93" s="32" t="e">
        <f t="shared" ca="1" si="60"/>
        <v>#N/A</v>
      </c>
      <c r="L93" s="32" t="e">
        <f t="shared" ca="1" si="64"/>
        <v>#N/A</v>
      </c>
      <c r="M93" s="32" t="e">
        <f t="shared" ca="1" si="51"/>
        <v>#N/A</v>
      </c>
      <c r="N93" s="32" t="e">
        <f t="shared" ca="1" si="65"/>
        <v>#N/A</v>
      </c>
      <c r="O93" s="279" t="e">
        <f ca="1">INDEX(RESULTADOS!$A:$BA,MATCH($A93,RESULTADOS!$A:$A,0),MATCH(O$1,RESULTADOS!$1:$1,0))</f>
        <v>#N/A</v>
      </c>
      <c r="P93" s="31" t="e">
        <f t="shared" ca="1" si="66"/>
        <v>#N/A</v>
      </c>
      <c r="Q93" s="53"/>
      <c r="R93" s="279" t="e">
        <f ca="1">INDEX(RESULTADOS!$A:$BA,MATCH($A93,RESULTADOS!$A:$A,0),MATCH(R$1,RESULTADOS!$1:$1,0))</f>
        <v>#N/A</v>
      </c>
      <c r="S93" s="31" t="e">
        <f t="shared" ca="1" si="67"/>
        <v>#N/A</v>
      </c>
      <c r="T93" s="279" t="e">
        <f ca="1">INDEX(RESULTADOS!$A:$BA,MATCH($A93,RESULTADOS!$A:$A,0),MATCH(T$1,RESULTADOS!$1:$1,0))</f>
        <v>#N/A</v>
      </c>
      <c r="U93" s="33" t="e">
        <f t="shared" ca="1" si="52"/>
        <v>#N/A</v>
      </c>
      <c r="V93" s="52" t="e">
        <f t="shared" ca="1" si="68"/>
        <v>#N/A</v>
      </c>
      <c r="W93" s="33" t="e">
        <f t="shared" ca="1" si="53"/>
        <v>#N/A</v>
      </c>
      <c r="X93" s="52" t="e">
        <f t="shared" ca="1" si="69"/>
        <v>#N/A</v>
      </c>
      <c r="Y93" s="33" t="e">
        <f t="shared" ca="1" si="54"/>
        <v>#N/A</v>
      </c>
      <c r="Z93" s="52" t="e">
        <f t="shared" ca="1" si="70"/>
        <v>#N/A</v>
      </c>
      <c r="AA93" s="53"/>
      <c r="AB93" s="33" t="e">
        <f t="shared" ca="1" si="55"/>
        <v>#N/A</v>
      </c>
      <c r="AC93" s="52" t="e">
        <f t="shared" ca="1" si="71"/>
        <v>#N/A</v>
      </c>
      <c r="AE93" s="279" t="e">
        <f ca="1">INDEX(RESULTADOS!$A:$BA,MATCH($A93,RESULTADOS!$A:$A,0),MATCH(AE$1,RESULTADOS!$1:$1,0))</f>
        <v>#N/A</v>
      </c>
      <c r="AF93" s="279" t="e">
        <f ca="1">INDEX(RESULTADOS!$A:$BA,MATCH($A93,RESULTADOS!$A:$A,0),MATCH(AF$1,RESULTADOS!$1:$1,0))</f>
        <v>#N/A</v>
      </c>
      <c r="AG93" s="272" t="e">
        <f t="shared" ca="1" si="72"/>
        <v>#N/A</v>
      </c>
      <c r="AH93" s="272" t="e">
        <f t="shared" ca="1" si="73"/>
        <v>#N/A</v>
      </c>
      <c r="AI93" s="278" t="e">
        <f t="shared" ca="1" si="74"/>
        <v>#N/A</v>
      </c>
      <c r="AJ93" s="278" t="e">
        <f t="shared" ca="1" si="75"/>
        <v>#N/A</v>
      </c>
    </row>
    <row r="94" spans="1:36" s="272" customFormat="1" x14ac:dyDescent="0.2">
      <c r="A94" s="273">
        <f t="shared" ca="1" si="26"/>
        <v>43893</v>
      </c>
      <c r="B94" s="279" t="e">
        <f ca="1">INDEX(RESULTADOS!$A:$BA,MATCH($A94,RESULTADOS!$A:$A,0),MATCH(B$1,RESULTADOS!$1:$1,0))</f>
        <v>#N/A</v>
      </c>
      <c r="C94" s="31" t="e">
        <f t="shared" ca="1" si="61"/>
        <v>#N/A</v>
      </c>
      <c r="D94" s="279" t="e">
        <f ca="1">INDEX(RESULTADOS!$A:$BA,MATCH($A94,RESULTADOS!$A:$A,0),MATCH(D$1,RESULTADOS!$1:$1,0))</f>
        <v>#N/A</v>
      </c>
      <c r="E94" s="31" t="e">
        <f t="shared" ca="1" si="57"/>
        <v>#N/A</v>
      </c>
      <c r="F94" s="31" t="e">
        <f t="shared" ca="1" si="62"/>
        <v>#N/A</v>
      </c>
      <c r="G94" s="52" t="e">
        <f t="shared" ca="1" si="56"/>
        <v>#N/A</v>
      </c>
      <c r="H94" s="52" t="e">
        <f t="shared" ca="1" si="63"/>
        <v>#N/A</v>
      </c>
      <c r="I94" s="53"/>
      <c r="J94" s="279" t="e">
        <f ca="1">INDEX(RESULTADOS!$A:$BA,MATCH($A94,RESULTADOS!$A:$A,0),MATCH(J$1,RESULTADOS!$1:$1,0))</f>
        <v>#N/A</v>
      </c>
      <c r="K94" s="32" t="e">
        <f t="shared" ca="1" si="60"/>
        <v>#N/A</v>
      </c>
      <c r="L94" s="32" t="e">
        <f t="shared" ca="1" si="64"/>
        <v>#N/A</v>
      </c>
      <c r="M94" s="32" t="e">
        <f t="shared" ca="1" si="51"/>
        <v>#N/A</v>
      </c>
      <c r="N94" s="32" t="e">
        <f t="shared" ca="1" si="65"/>
        <v>#N/A</v>
      </c>
      <c r="O94" s="279" t="e">
        <f ca="1">INDEX(RESULTADOS!$A:$BA,MATCH($A94,RESULTADOS!$A:$A,0),MATCH(O$1,RESULTADOS!$1:$1,0))</f>
        <v>#N/A</v>
      </c>
      <c r="P94" s="31" t="e">
        <f t="shared" ca="1" si="66"/>
        <v>#N/A</v>
      </c>
      <c r="Q94" s="53"/>
      <c r="R94" s="279" t="e">
        <f ca="1">INDEX(RESULTADOS!$A:$BA,MATCH($A94,RESULTADOS!$A:$A,0),MATCH(R$1,RESULTADOS!$1:$1,0))</f>
        <v>#N/A</v>
      </c>
      <c r="S94" s="31" t="e">
        <f t="shared" ca="1" si="67"/>
        <v>#N/A</v>
      </c>
      <c r="T94" s="279" t="e">
        <f ca="1">INDEX(RESULTADOS!$A:$BA,MATCH($A94,RESULTADOS!$A:$A,0),MATCH(T$1,RESULTADOS!$1:$1,0))</f>
        <v>#N/A</v>
      </c>
      <c r="U94" s="33" t="e">
        <f t="shared" ca="1" si="52"/>
        <v>#N/A</v>
      </c>
      <c r="V94" s="52" t="e">
        <f t="shared" ca="1" si="68"/>
        <v>#N/A</v>
      </c>
      <c r="W94" s="33" t="e">
        <f t="shared" ca="1" si="53"/>
        <v>#N/A</v>
      </c>
      <c r="X94" s="52" t="e">
        <f t="shared" ca="1" si="69"/>
        <v>#N/A</v>
      </c>
      <c r="Y94" s="33" t="e">
        <f t="shared" ca="1" si="54"/>
        <v>#N/A</v>
      </c>
      <c r="Z94" s="52" t="e">
        <f t="shared" ca="1" si="70"/>
        <v>#N/A</v>
      </c>
      <c r="AA94" s="53"/>
      <c r="AB94" s="33" t="e">
        <f t="shared" ca="1" si="55"/>
        <v>#N/A</v>
      </c>
      <c r="AC94" s="52" t="e">
        <f t="shared" ca="1" si="71"/>
        <v>#N/A</v>
      </c>
      <c r="AE94" s="279" t="e">
        <f ca="1">INDEX(RESULTADOS!$A:$BA,MATCH($A94,RESULTADOS!$A:$A,0),MATCH(AE$1,RESULTADOS!$1:$1,0))</f>
        <v>#N/A</v>
      </c>
      <c r="AF94" s="279" t="e">
        <f ca="1">INDEX(RESULTADOS!$A:$BA,MATCH($A94,RESULTADOS!$A:$A,0),MATCH(AF$1,RESULTADOS!$1:$1,0))</f>
        <v>#N/A</v>
      </c>
      <c r="AG94" s="272" t="e">
        <f t="shared" ca="1" si="72"/>
        <v>#N/A</v>
      </c>
      <c r="AH94" s="272" t="e">
        <f t="shared" ca="1" si="73"/>
        <v>#N/A</v>
      </c>
      <c r="AI94" s="278" t="e">
        <f t="shared" ca="1" si="74"/>
        <v>#N/A</v>
      </c>
      <c r="AJ94" s="278" t="e">
        <f t="shared" ca="1" si="75"/>
        <v>#N/A</v>
      </c>
    </row>
    <row r="95" spans="1:36" s="272" customFormat="1" x14ac:dyDescent="0.2">
      <c r="A95" s="273">
        <f t="shared" ca="1" si="26"/>
        <v>43894</v>
      </c>
      <c r="B95" s="279" t="e">
        <f ca="1">INDEX(RESULTADOS!$A:$BA,MATCH($A95,RESULTADOS!$A:$A,0),MATCH(B$1,RESULTADOS!$1:$1,0))</f>
        <v>#N/A</v>
      </c>
      <c r="C95" s="31" t="e">
        <f t="shared" ca="1" si="61"/>
        <v>#N/A</v>
      </c>
      <c r="D95" s="279" t="e">
        <f ca="1">INDEX(RESULTADOS!$A:$BA,MATCH($A95,RESULTADOS!$A:$A,0),MATCH(D$1,RESULTADOS!$1:$1,0))</f>
        <v>#N/A</v>
      </c>
      <c r="E95" s="31" t="e">
        <f t="shared" ca="1" si="57"/>
        <v>#N/A</v>
      </c>
      <c r="F95" s="31" t="e">
        <f t="shared" ca="1" si="62"/>
        <v>#N/A</v>
      </c>
      <c r="G95" s="52" t="e">
        <f t="shared" ca="1" si="56"/>
        <v>#N/A</v>
      </c>
      <c r="H95" s="52" t="e">
        <f t="shared" ca="1" si="63"/>
        <v>#N/A</v>
      </c>
      <c r="I95" s="53"/>
      <c r="J95" s="279" t="e">
        <f ca="1">INDEX(RESULTADOS!$A:$BA,MATCH($A95,RESULTADOS!$A:$A,0),MATCH(J$1,RESULTADOS!$1:$1,0))</f>
        <v>#N/A</v>
      </c>
      <c r="K95" s="32" t="e">
        <f t="shared" ca="1" si="60"/>
        <v>#N/A</v>
      </c>
      <c r="L95" s="32" t="e">
        <f t="shared" ca="1" si="64"/>
        <v>#N/A</v>
      </c>
      <c r="M95" s="32" t="e">
        <f t="shared" ca="1" si="51"/>
        <v>#N/A</v>
      </c>
      <c r="N95" s="32" t="e">
        <f t="shared" ca="1" si="65"/>
        <v>#N/A</v>
      </c>
      <c r="O95" s="279" t="e">
        <f ca="1">INDEX(RESULTADOS!$A:$BA,MATCH($A95,RESULTADOS!$A:$A,0),MATCH(O$1,RESULTADOS!$1:$1,0))</f>
        <v>#N/A</v>
      </c>
      <c r="P95" s="31" t="e">
        <f t="shared" ca="1" si="66"/>
        <v>#N/A</v>
      </c>
      <c r="Q95" s="53"/>
      <c r="R95" s="279" t="e">
        <f ca="1">INDEX(RESULTADOS!$A:$BA,MATCH($A95,RESULTADOS!$A:$A,0),MATCH(R$1,RESULTADOS!$1:$1,0))</f>
        <v>#N/A</v>
      </c>
      <c r="S95" s="31" t="e">
        <f t="shared" ca="1" si="67"/>
        <v>#N/A</v>
      </c>
      <c r="T95" s="279" t="e">
        <f ca="1">INDEX(RESULTADOS!$A:$BA,MATCH($A95,RESULTADOS!$A:$A,0),MATCH(T$1,RESULTADOS!$1:$1,0))</f>
        <v>#N/A</v>
      </c>
      <c r="U95" s="33" t="e">
        <f t="shared" ca="1" si="52"/>
        <v>#N/A</v>
      </c>
      <c r="V95" s="52" t="e">
        <f t="shared" ca="1" si="68"/>
        <v>#N/A</v>
      </c>
      <c r="W95" s="33" t="e">
        <f t="shared" ca="1" si="53"/>
        <v>#N/A</v>
      </c>
      <c r="X95" s="52" t="e">
        <f t="shared" ca="1" si="69"/>
        <v>#N/A</v>
      </c>
      <c r="Y95" s="33" t="e">
        <f t="shared" ca="1" si="54"/>
        <v>#N/A</v>
      </c>
      <c r="Z95" s="52" t="e">
        <f t="shared" ca="1" si="70"/>
        <v>#N/A</v>
      </c>
      <c r="AA95" s="53"/>
      <c r="AB95" s="33" t="e">
        <f t="shared" ca="1" si="55"/>
        <v>#N/A</v>
      </c>
      <c r="AC95" s="52" t="e">
        <f t="shared" ca="1" si="71"/>
        <v>#N/A</v>
      </c>
      <c r="AE95" s="279" t="e">
        <f ca="1">INDEX(RESULTADOS!$A:$BA,MATCH($A95,RESULTADOS!$A:$A,0),MATCH(AE$1,RESULTADOS!$1:$1,0))</f>
        <v>#N/A</v>
      </c>
      <c r="AF95" s="279" t="e">
        <f ca="1">INDEX(RESULTADOS!$A:$BA,MATCH($A95,RESULTADOS!$A:$A,0),MATCH(AF$1,RESULTADOS!$1:$1,0))</f>
        <v>#N/A</v>
      </c>
      <c r="AG95" s="272" t="e">
        <f t="shared" ca="1" si="72"/>
        <v>#N/A</v>
      </c>
      <c r="AH95" s="272" t="e">
        <f t="shared" ca="1" si="73"/>
        <v>#N/A</v>
      </c>
      <c r="AI95" s="278" t="e">
        <f t="shared" ca="1" si="74"/>
        <v>#N/A</v>
      </c>
      <c r="AJ95" s="278" t="e">
        <f t="shared" ca="1" si="75"/>
        <v>#N/A</v>
      </c>
    </row>
    <row r="96" spans="1:36" s="272" customFormat="1" x14ac:dyDescent="0.2">
      <c r="A96" s="273">
        <f t="shared" ca="1" si="26"/>
        <v>43895</v>
      </c>
      <c r="B96" s="279" t="e">
        <f ca="1">INDEX(RESULTADOS!$A:$BA,MATCH($A96,RESULTADOS!$A:$A,0),MATCH(B$1,RESULTADOS!$1:$1,0))</f>
        <v>#N/A</v>
      </c>
      <c r="C96" s="31" t="e">
        <f t="shared" ca="1" si="61"/>
        <v>#N/A</v>
      </c>
      <c r="D96" s="279" t="e">
        <f ca="1">INDEX(RESULTADOS!$A:$BA,MATCH($A96,RESULTADOS!$A:$A,0),MATCH(D$1,RESULTADOS!$1:$1,0))</f>
        <v>#N/A</v>
      </c>
      <c r="E96" s="31" t="e">
        <f t="shared" ca="1" si="57"/>
        <v>#N/A</v>
      </c>
      <c r="F96" s="31" t="e">
        <f t="shared" ca="1" si="62"/>
        <v>#N/A</v>
      </c>
      <c r="G96" s="52" t="e">
        <f t="shared" ca="1" si="56"/>
        <v>#N/A</v>
      </c>
      <c r="H96" s="52" t="e">
        <f t="shared" ca="1" si="63"/>
        <v>#N/A</v>
      </c>
      <c r="I96" s="53"/>
      <c r="J96" s="279" t="e">
        <f ca="1">INDEX(RESULTADOS!$A:$BA,MATCH($A96,RESULTADOS!$A:$A,0),MATCH(J$1,RESULTADOS!$1:$1,0))</f>
        <v>#N/A</v>
      </c>
      <c r="K96" s="32" t="e">
        <f t="shared" ca="1" si="60"/>
        <v>#N/A</v>
      </c>
      <c r="L96" s="32" t="e">
        <f t="shared" ca="1" si="64"/>
        <v>#N/A</v>
      </c>
      <c r="M96" s="32" t="e">
        <f t="shared" ca="1" si="51"/>
        <v>#N/A</v>
      </c>
      <c r="N96" s="32" t="e">
        <f t="shared" ca="1" si="65"/>
        <v>#N/A</v>
      </c>
      <c r="O96" s="279" t="e">
        <f ca="1">INDEX(RESULTADOS!$A:$BA,MATCH($A96,RESULTADOS!$A:$A,0),MATCH(O$1,RESULTADOS!$1:$1,0))</f>
        <v>#N/A</v>
      </c>
      <c r="P96" s="31" t="e">
        <f t="shared" ca="1" si="66"/>
        <v>#N/A</v>
      </c>
      <c r="Q96" s="53"/>
      <c r="R96" s="279" t="e">
        <f ca="1">INDEX(RESULTADOS!$A:$BA,MATCH($A96,RESULTADOS!$A:$A,0),MATCH(R$1,RESULTADOS!$1:$1,0))</f>
        <v>#N/A</v>
      </c>
      <c r="S96" s="31" t="e">
        <f t="shared" ca="1" si="67"/>
        <v>#N/A</v>
      </c>
      <c r="T96" s="279" t="e">
        <f ca="1">INDEX(RESULTADOS!$A:$BA,MATCH($A96,RESULTADOS!$A:$A,0),MATCH(T$1,RESULTADOS!$1:$1,0))</f>
        <v>#N/A</v>
      </c>
      <c r="U96" s="33" t="e">
        <f t="shared" ca="1" si="52"/>
        <v>#N/A</v>
      </c>
      <c r="V96" s="52" t="e">
        <f t="shared" ca="1" si="68"/>
        <v>#N/A</v>
      </c>
      <c r="W96" s="33" t="e">
        <f t="shared" ca="1" si="53"/>
        <v>#N/A</v>
      </c>
      <c r="X96" s="52" t="e">
        <f t="shared" ca="1" si="69"/>
        <v>#N/A</v>
      </c>
      <c r="Y96" s="33" t="e">
        <f t="shared" ca="1" si="54"/>
        <v>#N/A</v>
      </c>
      <c r="Z96" s="52" t="e">
        <f t="shared" ca="1" si="70"/>
        <v>#N/A</v>
      </c>
      <c r="AA96" s="53"/>
      <c r="AB96" s="33" t="e">
        <f t="shared" ca="1" si="55"/>
        <v>#N/A</v>
      </c>
      <c r="AC96" s="52" t="e">
        <f t="shared" ca="1" si="71"/>
        <v>#N/A</v>
      </c>
      <c r="AE96" s="279" t="e">
        <f ca="1">INDEX(RESULTADOS!$A:$BA,MATCH($A96,RESULTADOS!$A:$A,0),MATCH(AE$1,RESULTADOS!$1:$1,0))</f>
        <v>#N/A</v>
      </c>
      <c r="AF96" s="279" t="e">
        <f ca="1">INDEX(RESULTADOS!$A:$BA,MATCH($A96,RESULTADOS!$A:$A,0),MATCH(AF$1,RESULTADOS!$1:$1,0))</f>
        <v>#N/A</v>
      </c>
      <c r="AG96" s="272" t="e">
        <f t="shared" ca="1" si="72"/>
        <v>#N/A</v>
      </c>
      <c r="AH96" s="272" t="e">
        <f t="shared" ca="1" si="73"/>
        <v>#N/A</v>
      </c>
      <c r="AI96" s="278" t="e">
        <f t="shared" ca="1" si="74"/>
        <v>#N/A</v>
      </c>
      <c r="AJ96" s="278" t="e">
        <f t="shared" ca="1" si="75"/>
        <v>#N/A</v>
      </c>
    </row>
    <row r="97" spans="1:36" s="272" customFormat="1" x14ac:dyDescent="0.2">
      <c r="A97" s="273">
        <f t="shared" ca="1" si="26"/>
        <v>43896</v>
      </c>
      <c r="B97" s="279" t="e">
        <f ca="1">INDEX(RESULTADOS!$A:$BA,MATCH($A97,RESULTADOS!$A:$A,0),MATCH(B$1,RESULTADOS!$1:$1,0))</f>
        <v>#N/A</v>
      </c>
      <c r="C97" s="31" t="e">
        <f t="shared" ca="1" si="61"/>
        <v>#N/A</v>
      </c>
      <c r="D97" s="279" t="e">
        <f ca="1">INDEX(RESULTADOS!$A:$BA,MATCH($A97,RESULTADOS!$A:$A,0),MATCH(D$1,RESULTADOS!$1:$1,0))</f>
        <v>#N/A</v>
      </c>
      <c r="E97" s="31" t="e">
        <f t="shared" ca="1" si="57"/>
        <v>#N/A</v>
      </c>
      <c r="F97" s="31" t="e">
        <f t="shared" ca="1" si="62"/>
        <v>#N/A</v>
      </c>
      <c r="G97" s="52" t="e">
        <f t="shared" ca="1" si="56"/>
        <v>#N/A</v>
      </c>
      <c r="H97" s="52" t="e">
        <f t="shared" ca="1" si="63"/>
        <v>#N/A</v>
      </c>
      <c r="I97" s="53"/>
      <c r="J97" s="279" t="e">
        <f ca="1">INDEX(RESULTADOS!$A:$BA,MATCH($A97,RESULTADOS!$A:$A,0),MATCH(J$1,RESULTADOS!$1:$1,0))</f>
        <v>#N/A</v>
      </c>
      <c r="K97" s="32" t="e">
        <f t="shared" ca="1" si="60"/>
        <v>#N/A</v>
      </c>
      <c r="L97" s="32" t="e">
        <f t="shared" ca="1" si="64"/>
        <v>#N/A</v>
      </c>
      <c r="M97" s="32" t="e">
        <f t="shared" ca="1" si="51"/>
        <v>#N/A</v>
      </c>
      <c r="N97" s="32" t="e">
        <f t="shared" ca="1" si="65"/>
        <v>#N/A</v>
      </c>
      <c r="O97" s="279" t="e">
        <f ca="1">INDEX(RESULTADOS!$A:$BA,MATCH($A97,RESULTADOS!$A:$A,0),MATCH(O$1,RESULTADOS!$1:$1,0))</f>
        <v>#N/A</v>
      </c>
      <c r="P97" s="31" t="e">
        <f t="shared" ca="1" si="66"/>
        <v>#N/A</v>
      </c>
      <c r="Q97" s="53"/>
      <c r="R97" s="279" t="e">
        <f ca="1">INDEX(RESULTADOS!$A:$BA,MATCH($A97,RESULTADOS!$A:$A,0),MATCH(R$1,RESULTADOS!$1:$1,0))</f>
        <v>#N/A</v>
      </c>
      <c r="S97" s="31" t="e">
        <f t="shared" ca="1" si="67"/>
        <v>#N/A</v>
      </c>
      <c r="T97" s="279" t="e">
        <f ca="1">INDEX(RESULTADOS!$A:$BA,MATCH($A97,RESULTADOS!$A:$A,0),MATCH(T$1,RESULTADOS!$1:$1,0))</f>
        <v>#N/A</v>
      </c>
      <c r="U97" s="33" t="e">
        <f t="shared" ca="1" si="52"/>
        <v>#N/A</v>
      </c>
      <c r="V97" s="52" t="e">
        <f t="shared" ca="1" si="68"/>
        <v>#N/A</v>
      </c>
      <c r="W97" s="33" t="e">
        <f t="shared" ca="1" si="53"/>
        <v>#N/A</v>
      </c>
      <c r="X97" s="52" t="e">
        <f t="shared" ca="1" si="69"/>
        <v>#N/A</v>
      </c>
      <c r="Y97" s="33" t="e">
        <f t="shared" ca="1" si="54"/>
        <v>#N/A</v>
      </c>
      <c r="Z97" s="52" t="e">
        <f t="shared" ca="1" si="70"/>
        <v>#N/A</v>
      </c>
      <c r="AA97" s="53"/>
      <c r="AB97" s="33" t="e">
        <f t="shared" ca="1" si="55"/>
        <v>#N/A</v>
      </c>
      <c r="AC97" s="52" t="e">
        <f t="shared" ca="1" si="71"/>
        <v>#N/A</v>
      </c>
      <c r="AE97" s="279" t="e">
        <f ca="1">INDEX(RESULTADOS!$A:$BA,MATCH($A97,RESULTADOS!$A:$A,0),MATCH(AE$1,RESULTADOS!$1:$1,0))</f>
        <v>#N/A</v>
      </c>
      <c r="AF97" s="279" t="e">
        <f ca="1">INDEX(RESULTADOS!$A:$BA,MATCH($A97,RESULTADOS!$A:$A,0),MATCH(AF$1,RESULTADOS!$1:$1,0))</f>
        <v>#N/A</v>
      </c>
      <c r="AG97" s="272" t="e">
        <f t="shared" ca="1" si="72"/>
        <v>#N/A</v>
      </c>
      <c r="AH97" s="272" t="e">
        <f t="shared" ca="1" si="73"/>
        <v>#N/A</v>
      </c>
      <c r="AI97" s="278" t="e">
        <f t="shared" ca="1" si="74"/>
        <v>#N/A</v>
      </c>
      <c r="AJ97" s="278" t="e">
        <f t="shared" ca="1" si="75"/>
        <v>#N/A</v>
      </c>
    </row>
    <row r="98" spans="1:36" s="272" customFormat="1" x14ac:dyDescent="0.2">
      <c r="A98" s="273">
        <f t="shared" ca="1" si="26"/>
        <v>43897</v>
      </c>
      <c r="B98" s="279" t="e">
        <f ca="1">INDEX(RESULTADOS!$A:$BA,MATCH($A98,RESULTADOS!$A:$A,0),MATCH(B$1,RESULTADOS!$1:$1,0))</f>
        <v>#N/A</v>
      </c>
      <c r="C98" s="31" t="e">
        <f t="shared" ca="1" si="61"/>
        <v>#N/A</v>
      </c>
      <c r="D98" s="279" t="e">
        <f ca="1">INDEX(RESULTADOS!$A:$BA,MATCH($A98,RESULTADOS!$A:$A,0),MATCH(D$1,RESULTADOS!$1:$1,0))</f>
        <v>#N/A</v>
      </c>
      <c r="E98" s="31" t="e">
        <f t="shared" ca="1" si="57"/>
        <v>#N/A</v>
      </c>
      <c r="F98" s="31" t="e">
        <f t="shared" ca="1" si="62"/>
        <v>#N/A</v>
      </c>
      <c r="G98" s="52" t="e">
        <f t="shared" ca="1" si="56"/>
        <v>#N/A</v>
      </c>
      <c r="H98" s="52" t="e">
        <f t="shared" ca="1" si="63"/>
        <v>#N/A</v>
      </c>
      <c r="I98" s="53"/>
      <c r="J98" s="279" t="e">
        <f ca="1">INDEX(RESULTADOS!$A:$BA,MATCH($A98,RESULTADOS!$A:$A,0),MATCH(J$1,RESULTADOS!$1:$1,0))</f>
        <v>#N/A</v>
      </c>
      <c r="K98" s="32" t="e">
        <f t="shared" ca="1" si="60"/>
        <v>#N/A</v>
      </c>
      <c r="L98" s="32" t="e">
        <f t="shared" ca="1" si="64"/>
        <v>#N/A</v>
      </c>
      <c r="M98" s="32" t="e">
        <f t="shared" ca="1" si="51"/>
        <v>#N/A</v>
      </c>
      <c r="N98" s="32" t="e">
        <f t="shared" ca="1" si="65"/>
        <v>#N/A</v>
      </c>
      <c r="O98" s="279" t="e">
        <f ca="1">INDEX(RESULTADOS!$A:$BA,MATCH($A98,RESULTADOS!$A:$A,0),MATCH(O$1,RESULTADOS!$1:$1,0))</f>
        <v>#N/A</v>
      </c>
      <c r="P98" s="31" t="e">
        <f t="shared" ca="1" si="66"/>
        <v>#N/A</v>
      </c>
      <c r="Q98" s="53"/>
      <c r="R98" s="279" t="e">
        <f ca="1">INDEX(RESULTADOS!$A:$BA,MATCH($A98,RESULTADOS!$A:$A,0),MATCH(R$1,RESULTADOS!$1:$1,0))</f>
        <v>#N/A</v>
      </c>
      <c r="S98" s="31" t="e">
        <f t="shared" ca="1" si="67"/>
        <v>#N/A</v>
      </c>
      <c r="T98" s="279" t="e">
        <f ca="1">INDEX(RESULTADOS!$A:$BA,MATCH($A98,RESULTADOS!$A:$A,0),MATCH(T$1,RESULTADOS!$1:$1,0))</f>
        <v>#N/A</v>
      </c>
      <c r="U98" s="33" t="e">
        <f t="shared" ca="1" si="52"/>
        <v>#N/A</v>
      </c>
      <c r="V98" s="52" t="e">
        <f t="shared" ca="1" si="68"/>
        <v>#N/A</v>
      </c>
      <c r="W98" s="33" t="e">
        <f t="shared" ca="1" si="53"/>
        <v>#N/A</v>
      </c>
      <c r="X98" s="52" t="e">
        <f t="shared" ca="1" si="69"/>
        <v>#N/A</v>
      </c>
      <c r="Y98" s="33" t="e">
        <f t="shared" ca="1" si="54"/>
        <v>#N/A</v>
      </c>
      <c r="Z98" s="52" t="e">
        <f t="shared" ca="1" si="70"/>
        <v>#N/A</v>
      </c>
      <c r="AA98" s="53"/>
      <c r="AB98" s="33" t="e">
        <f t="shared" ca="1" si="55"/>
        <v>#N/A</v>
      </c>
      <c r="AC98" s="52" t="e">
        <f t="shared" ca="1" si="71"/>
        <v>#N/A</v>
      </c>
      <c r="AE98" s="279" t="e">
        <f ca="1">INDEX(RESULTADOS!$A:$BA,MATCH($A98,RESULTADOS!$A:$A,0),MATCH(AE$1,RESULTADOS!$1:$1,0))</f>
        <v>#N/A</v>
      </c>
      <c r="AF98" s="279" t="e">
        <f ca="1">INDEX(RESULTADOS!$A:$BA,MATCH($A98,RESULTADOS!$A:$A,0),MATCH(AF$1,RESULTADOS!$1:$1,0))</f>
        <v>#N/A</v>
      </c>
      <c r="AG98" s="272" t="e">
        <f t="shared" ca="1" si="72"/>
        <v>#N/A</v>
      </c>
      <c r="AH98" s="272" t="e">
        <f t="shared" ca="1" si="73"/>
        <v>#N/A</v>
      </c>
      <c r="AI98" s="278" t="e">
        <f t="shared" ca="1" si="74"/>
        <v>#N/A</v>
      </c>
      <c r="AJ98" s="278" t="e">
        <f t="shared" ca="1" si="75"/>
        <v>#N/A</v>
      </c>
    </row>
    <row r="99" spans="1:36" s="272" customFormat="1" x14ac:dyDescent="0.2">
      <c r="A99" s="273">
        <f t="shared" ca="1" si="26"/>
        <v>43898</v>
      </c>
      <c r="B99" s="279" t="e">
        <f ca="1">INDEX(RESULTADOS!$A:$BA,MATCH($A99,RESULTADOS!$A:$A,0),MATCH(B$1,RESULTADOS!$1:$1,0))</f>
        <v>#N/A</v>
      </c>
      <c r="C99" s="31" t="e">
        <f t="shared" ca="1" si="61"/>
        <v>#N/A</v>
      </c>
      <c r="D99" s="279" t="e">
        <f ca="1">INDEX(RESULTADOS!$A:$BA,MATCH($A99,RESULTADOS!$A:$A,0),MATCH(D$1,RESULTADOS!$1:$1,0))</f>
        <v>#N/A</v>
      </c>
      <c r="E99" s="31" t="e">
        <f t="shared" ca="1" si="57"/>
        <v>#N/A</v>
      </c>
      <c r="F99" s="31" t="e">
        <f t="shared" ca="1" si="62"/>
        <v>#N/A</v>
      </c>
      <c r="G99" s="52" t="e">
        <f t="shared" ca="1" si="56"/>
        <v>#N/A</v>
      </c>
      <c r="H99" s="52" t="e">
        <f t="shared" ca="1" si="63"/>
        <v>#N/A</v>
      </c>
      <c r="I99" s="53"/>
      <c r="J99" s="279" t="e">
        <f ca="1">INDEX(RESULTADOS!$A:$BA,MATCH($A99,RESULTADOS!$A:$A,0),MATCH(J$1,RESULTADOS!$1:$1,0))</f>
        <v>#N/A</v>
      </c>
      <c r="K99" s="32" t="e">
        <f t="shared" ca="1" si="60"/>
        <v>#N/A</v>
      </c>
      <c r="L99" s="32" t="e">
        <f t="shared" ca="1" si="64"/>
        <v>#N/A</v>
      </c>
      <c r="M99" s="32" t="e">
        <f t="shared" ca="1" si="51"/>
        <v>#N/A</v>
      </c>
      <c r="N99" s="32" t="e">
        <f t="shared" ca="1" si="65"/>
        <v>#N/A</v>
      </c>
      <c r="O99" s="279" t="e">
        <f ca="1">INDEX(RESULTADOS!$A:$BA,MATCH($A99,RESULTADOS!$A:$A,0),MATCH(O$1,RESULTADOS!$1:$1,0))</f>
        <v>#N/A</v>
      </c>
      <c r="P99" s="31" t="e">
        <f t="shared" ca="1" si="66"/>
        <v>#N/A</v>
      </c>
      <c r="Q99" s="53"/>
      <c r="R99" s="279" t="e">
        <f ca="1">INDEX(RESULTADOS!$A:$BA,MATCH($A99,RESULTADOS!$A:$A,0),MATCH(R$1,RESULTADOS!$1:$1,0))</f>
        <v>#N/A</v>
      </c>
      <c r="S99" s="31" t="e">
        <f t="shared" ca="1" si="67"/>
        <v>#N/A</v>
      </c>
      <c r="T99" s="279" t="e">
        <f ca="1">INDEX(RESULTADOS!$A:$BA,MATCH($A99,RESULTADOS!$A:$A,0),MATCH(T$1,RESULTADOS!$1:$1,0))</f>
        <v>#N/A</v>
      </c>
      <c r="U99" s="33" t="e">
        <f t="shared" ca="1" si="52"/>
        <v>#N/A</v>
      </c>
      <c r="V99" s="52" t="e">
        <f t="shared" ca="1" si="68"/>
        <v>#N/A</v>
      </c>
      <c r="W99" s="33" t="e">
        <f t="shared" ca="1" si="53"/>
        <v>#N/A</v>
      </c>
      <c r="X99" s="52" t="e">
        <f t="shared" ca="1" si="69"/>
        <v>#N/A</v>
      </c>
      <c r="Y99" s="33" t="e">
        <f t="shared" ca="1" si="54"/>
        <v>#N/A</v>
      </c>
      <c r="Z99" s="52" t="e">
        <f t="shared" ca="1" si="70"/>
        <v>#N/A</v>
      </c>
      <c r="AA99" s="53"/>
      <c r="AB99" s="33" t="e">
        <f t="shared" ca="1" si="55"/>
        <v>#N/A</v>
      </c>
      <c r="AC99" s="52" t="e">
        <f t="shared" ca="1" si="71"/>
        <v>#N/A</v>
      </c>
      <c r="AE99" s="279" t="e">
        <f ca="1">INDEX(RESULTADOS!$A:$BA,MATCH($A99,RESULTADOS!$A:$A,0),MATCH(AE$1,RESULTADOS!$1:$1,0))</f>
        <v>#N/A</v>
      </c>
      <c r="AF99" s="279" t="e">
        <f ca="1">INDEX(RESULTADOS!$A:$BA,MATCH($A99,RESULTADOS!$A:$A,0),MATCH(AF$1,RESULTADOS!$1:$1,0))</f>
        <v>#N/A</v>
      </c>
      <c r="AG99" s="272" t="e">
        <f t="shared" ca="1" si="72"/>
        <v>#N/A</v>
      </c>
      <c r="AH99" s="272" t="e">
        <f t="shared" ca="1" si="73"/>
        <v>#N/A</v>
      </c>
      <c r="AI99" s="278" t="e">
        <f t="shared" ca="1" si="74"/>
        <v>#N/A</v>
      </c>
      <c r="AJ99" s="278" t="e">
        <f t="shared" ca="1" si="75"/>
        <v>#N/A</v>
      </c>
    </row>
    <row r="100" spans="1:36" s="272" customFormat="1" x14ac:dyDescent="0.2">
      <c r="A100" s="273">
        <f t="shared" ca="1" si="26"/>
        <v>43899</v>
      </c>
      <c r="B100" s="279" t="e">
        <f ca="1">INDEX(RESULTADOS!$A:$BA,MATCH($A100,RESULTADOS!$A:$A,0),MATCH(B$1,RESULTADOS!$1:$1,0))</f>
        <v>#N/A</v>
      </c>
      <c r="C100" s="31" t="e">
        <f t="shared" ca="1" si="61"/>
        <v>#N/A</v>
      </c>
      <c r="D100" s="279" t="e">
        <f ca="1">INDEX(RESULTADOS!$A:$BA,MATCH($A100,RESULTADOS!$A:$A,0),MATCH(D$1,RESULTADOS!$1:$1,0))</f>
        <v>#N/A</v>
      </c>
      <c r="E100" s="31" t="e">
        <f t="shared" ca="1" si="57"/>
        <v>#N/A</v>
      </c>
      <c r="F100" s="31" t="e">
        <f t="shared" ca="1" si="62"/>
        <v>#N/A</v>
      </c>
      <c r="G100" s="52" t="e">
        <f t="shared" ca="1" si="56"/>
        <v>#N/A</v>
      </c>
      <c r="H100" s="52" t="e">
        <f t="shared" ca="1" si="63"/>
        <v>#N/A</v>
      </c>
      <c r="I100" s="53"/>
      <c r="J100" s="279" t="e">
        <f ca="1">INDEX(RESULTADOS!$A:$BA,MATCH($A100,RESULTADOS!$A:$A,0),MATCH(J$1,RESULTADOS!$1:$1,0))</f>
        <v>#N/A</v>
      </c>
      <c r="K100" s="32" t="e">
        <f t="shared" ca="1" si="60"/>
        <v>#N/A</v>
      </c>
      <c r="L100" s="32" t="e">
        <f t="shared" ca="1" si="64"/>
        <v>#N/A</v>
      </c>
      <c r="M100" s="32" t="e">
        <f t="shared" ca="1" si="51"/>
        <v>#N/A</v>
      </c>
      <c r="N100" s="32" t="e">
        <f t="shared" ca="1" si="65"/>
        <v>#N/A</v>
      </c>
      <c r="O100" s="279" t="e">
        <f ca="1">INDEX(RESULTADOS!$A:$BA,MATCH($A100,RESULTADOS!$A:$A,0),MATCH(O$1,RESULTADOS!$1:$1,0))</f>
        <v>#N/A</v>
      </c>
      <c r="P100" s="31" t="e">
        <f t="shared" ca="1" si="66"/>
        <v>#N/A</v>
      </c>
      <c r="Q100" s="53"/>
      <c r="R100" s="279" t="e">
        <f ca="1">INDEX(RESULTADOS!$A:$BA,MATCH($A100,RESULTADOS!$A:$A,0),MATCH(R$1,RESULTADOS!$1:$1,0))</f>
        <v>#N/A</v>
      </c>
      <c r="S100" s="31" t="e">
        <f t="shared" ca="1" si="67"/>
        <v>#N/A</v>
      </c>
      <c r="T100" s="279" t="e">
        <f ca="1">INDEX(RESULTADOS!$A:$BA,MATCH($A100,RESULTADOS!$A:$A,0),MATCH(T$1,RESULTADOS!$1:$1,0))</f>
        <v>#N/A</v>
      </c>
      <c r="U100" s="33" t="e">
        <f t="shared" ca="1" si="52"/>
        <v>#N/A</v>
      </c>
      <c r="V100" s="52" t="e">
        <f t="shared" ca="1" si="68"/>
        <v>#N/A</v>
      </c>
      <c r="W100" s="33" t="e">
        <f t="shared" ca="1" si="53"/>
        <v>#N/A</v>
      </c>
      <c r="X100" s="52" t="e">
        <f t="shared" ca="1" si="69"/>
        <v>#N/A</v>
      </c>
      <c r="Y100" s="33" t="e">
        <f t="shared" ca="1" si="54"/>
        <v>#N/A</v>
      </c>
      <c r="Z100" s="52" t="e">
        <f t="shared" ca="1" si="70"/>
        <v>#N/A</v>
      </c>
      <c r="AA100" s="53"/>
      <c r="AB100" s="33" t="e">
        <f t="shared" ca="1" si="55"/>
        <v>#N/A</v>
      </c>
      <c r="AC100" s="52" t="e">
        <f t="shared" ca="1" si="71"/>
        <v>#N/A</v>
      </c>
      <c r="AE100" s="279" t="e">
        <f ca="1">INDEX(RESULTADOS!$A:$BA,MATCH($A100,RESULTADOS!$A:$A,0),MATCH(AE$1,RESULTADOS!$1:$1,0))</f>
        <v>#N/A</v>
      </c>
      <c r="AF100" s="279" t="e">
        <f ca="1">INDEX(RESULTADOS!$A:$BA,MATCH($A100,RESULTADOS!$A:$A,0),MATCH(AF$1,RESULTADOS!$1:$1,0))</f>
        <v>#N/A</v>
      </c>
      <c r="AG100" s="272" t="e">
        <f t="shared" ca="1" si="72"/>
        <v>#N/A</v>
      </c>
      <c r="AH100" s="272" t="e">
        <f t="shared" ca="1" si="73"/>
        <v>#N/A</v>
      </c>
      <c r="AI100" s="278" t="e">
        <f t="shared" ca="1" si="74"/>
        <v>#N/A</v>
      </c>
      <c r="AJ100" s="278" t="e">
        <f t="shared" ca="1" si="75"/>
        <v>#N/A</v>
      </c>
    </row>
    <row r="101" spans="1:36" s="272" customFormat="1" x14ac:dyDescent="0.2">
      <c r="A101" s="273">
        <f t="shared" ca="1" si="26"/>
        <v>43900</v>
      </c>
      <c r="B101" s="279" t="e">
        <f ca="1">INDEX(RESULTADOS!$A:$BA,MATCH($A101,RESULTADOS!$A:$A,0),MATCH(B$1,RESULTADOS!$1:$1,0))</f>
        <v>#N/A</v>
      </c>
      <c r="C101" s="31" t="e">
        <f t="shared" ca="1" si="61"/>
        <v>#N/A</v>
      </c>
      <c r="D101" s="279" t="e">
        <f ca="1">INDEX(RESULTADOS!$A:$BA,MATCH($A101,RESULTADOS!$A:$A,0),MATCH(D$1,RESULTADOS!$1:$1,0))</f>
        <v>#N/A</v>
      </c>
      <c r="E101" s="31" t="e">
        <f t="shared" ca="1" si="57"/>
        <v>#N/A</v>
      </c>
      <c r="F101" s="31" t="e">
        <f t="shared" ca="1" si="62"/>
        <v>#N/A</v>
      </c>
      <c r="G101" s="52" t="e">
        <f t="shared" ca="1" si="56"/>
        <v>#N/A</v>
      </c>
      <c r="H101" s="52" t="e">
        <f t="shared" ca="1" si="63"/>
        <v>#N/A</v>
      </c>
      <c r="I101" s="53"/>
      <c r="J101" s="279" t="e">
        <f ca="1">INDEX(RESULTADOS!$A:$BA,MATCH($A101,RESULTADOS!$A:$A,0),MATCH(J$1,RESULTADOS!$1:$1,0))</f>
        <v>#N/A</v>
      </c>
      <c r="K101" s="32" t="e">
        <f t="shared" ca="1" si="60"/>
        <v>#N/A</v>
      </c>
      <c r="L101" s="32" t="e">
        <f t="shared" ca="1" si="64"/>
        <v>#N/A</v>
      </c>
      <c r="M101" s="32" t="e">
        <f t="shared" ca="1" si="51"/>
        <v>#N/A</v>
      </c>
      <c r="N101" s="32" t="e">
        <f t="shared" ca="1" si="65"/>
        <v>#N/A</v>
      </c>
      <c r="O101" s="279" t="e">
        <f ca="1">INDEX(RESULTADOS!$A:$BA,MATCH($A101,RESULTADOS!$A:$A,0),MATCH(O$1,RESULTADOS!$1:$1,0))</f>
        <v>#N/A</v>
      </c>
      <c r="P101" s="31" t="e">
        <f t="shared" ca="1" si="66"/>
        <v>#N/A</v>
      </c>
      <c r="Q101" s="53"/>
      <c r="R101" s="279" t="e">
        <f ca="1">INDEX(RESULTADOS!$A:$BA,MATCH($A101,RESULTADOS!$A:$A,0),MATCH(R$1,RESULTADOS!$1:$1,0))</f>
        <v>#N/A</v>
      </c>
      <c r="S101" s="31" t="e">
        <f t="shared" ca="1" si="67"/>
        <v>#N/A</v>
      </c>
      <c r="T101" s="279" t="e">
        <f ca="1">INDEX(RESULTADOS!$A:$BA,MATCH($A101,RESULTADOS!$A:$A,0),MATCH(T$1,RESULTADOS!$1:$1,0))</f>
        <v>#N/A</v>
      </c>
      <c r="U101" s="33" t="e">
        <f t="shared" ca="1" si="52"/>
        <v>#N/A</v>
      </c>
      <c r="V101" s="52" t="e">
        <f t="shared" ca="1" si="68"/>
        <v>#N/A</v>
      </c>
      <c r="W101" s="33" t="e">
        <f t="shared" ca="1" si="53"/>
        <v>#N/A</v>
      </c>
      <c r="X101" s="52" t="e">
        <f t="shared" ca="1" si="69"/>
        <v>#N/A</v>
      </c>
      <c r="Y101" s="33" t="e">
        <f t="shared" ca="1" si="54"/>
        <v>#N/A</v>
      </c>
      <c r="Z101" s="52" t="e">
        <f t="shared" ca="1" si="70"/>
        <v>#N/A</v>
      </c>
      <c r="AA101" s="53"/>
      <c r="AB101" s="33" t="e">
        <f t="shared" ca="1" si="55"/>
        <v>#N/A</v>
      </c>
      <c r="AC101" s="52" t="e">
        <f t="shared" ca="1" si="71"/>
        <v>#N/A</v>
      </c>
      <c r="AE101" s="279" t="e">
        <f ca="1">INDEX(RESULTADOS!$A:$BA,MATCH($A101,RESULTADOS!$A:$A,0),MATCH(AE$1,RESULTADOS!$1:$1,0))</f>
        <v>#N/A</v>
      </c>
      <c r="AF101" s="279" t="e">
        <f ca="1">INDEX(RESULTADOS!$A:$BA,MATCH($A101,RESULTADOS!$A:$A,0),MATCH(AF$1,RESULTADOS!$1:$1,0))</f>
        <v>#N/A</v>
      </c>
      <c r="AG101" s="272" t="e">
        <f t="shared" ca="1" si="72"/>
        <v>#N/A</v>
      </c>
      <c r="AH101" s="272" t="e">
        <f t="shared" ca="1" si="73"/>
        <v>#N/A</v>
      </c>
      <c r="AI101" s="278" t="e">
        <f t="shared" ca="1" si="74"/>
        <v>#N/A</v>
      </c>
      <c r="AJ101" s="278" t="e">
        <f t="shared" ca="1" si="75"/>
        <v>#N/A</v>
      </c>
    </row>
    <row r="102" spans="1:36" s="272" customFormat="1" x14ac:dyDescent="0.2">
      <c r="A102" s="273">
        <f t="shared" ca="1" si="26"/>
        <v>43901</v>
      </c>
      <c r="B102" s="279" t="e">
        <f ca="1">INDEX(RESULTADOS!$A:$BA,MATCH($A102,RESULTADOS!$A:$A,0),MATCH(B$1,RESULTADOS!$1:$1,0))</f>
        <v>#N/A</v>
      </c>
      <c r="C102" s="31" t="e">
        <f t="shared" ca="1" si="61"/>
        <v>#N/A</v>
      </c>
      <c r="D102" s="279" t="e">
        <f ca="1">INDEX(RESULTADOS!$A:$BA,MATCH($A102,RESULTADOS!$A:$A,0),MATCH(D$1,RESULTADOS!$1:$1,0))</f>
        <v>#N/A</v>
      </c>
      <c r="E102" s="31" t="e">
        <f t="shared" ca="1" si="57"/>
        <v>#N/A</v>
      </c>
      <c r="F102" s="31" t="e">
        <f t="shared" ca="1" si="62"/>
        <v>#N/A</v>
      </c>
      <c r="G102" s="52" t="e">
        <f t="shared" ca="1" si="56"/>
        <v>#N/A</v>
      </c>
      <c r="H102" s="52" t="e">
        <f t="shared" ca="1" si="63"/>
        <v>#N/A</v>
      </c>
      <c r="I102" s="53"/>
      <c r="J102" s="279" t="e">
        <f ca="1">INDEX(RESULTADOS!$A:$BA,MATCH($A102,RESULTADOS!$A:$A,0),MATCH(J$1,RESULTADOS!$1:$1,0))</f>
        <v>#N/A</v>
      </c>
      <c r="K102" s="32" t="e">
        <f t="shared" ca="1" si="60"/>
        <v>#N/A</v>
      </c>
      <c r="L102" s="32" t="e">
        <f t="shared" ca="1" si="64"/>
        <v>#N/A</v>
      </c>
      <c r="M102" s="32" t="e">
        <f t="shared" ca="1" si="51"/>
        <v>#N/A</v>
      </c>
      <c r="N102" s="32" t="e">
        <f t="shared" ca="1" si="65"/>
        <v>#N/A</v>
      </c>
      <c r="O102" s="279" t="e">
        <f ca="1">INDEX(RESULTADOS!$A:$BA,MATCH($A102,RESULTADOS!$A:$A,0),MATCH(O$1,RESULTADOS!$1:$1,0))</f>
        <v>#N/A</v>
      </c>
      <c r="P102" s="31" t="e">
        <f t="shared" ca="1" si="66"/>
        <v>#N/A</v>
      </c>
      <c r="Q102" s="53"/>
      <c r="R102" s="279" t="e">
        <f ca="1">INDEX(RESULTADOS!$A:$BA,MATCH($A102,RESULTADOS!$A:$A,0),MATCH(R$1,RESULTADOS!$1:$1,0))</f>
        <v>#N/A</v>
      </c>
      <c r="S102" s="31" t="e">
        <f t="shared" ca="1" si="67"/>
        <v>#N/A</v>
      </c>
      <c r="T102" s="279" t="e">
        <f ca="1">INDEX(RESULTADOS!$A:$BA,MATCH($A102,RESULTADOS!$A:$A,0),MATCH(T$1,RESULTADOS!$1:$1,0))</f>
        <v>#N/A</v>
      </c>
      <c r="U102" s="33" t="e">
        <f t="shared" ca="1" si="52"/>
        <v>#N/A</v>
      </c>
      <c r="V102" s="52" t="e">
        <f t="shared" ca="1" si="68"/>
        <v>#N/A</v>
      </c>
      <c r="W102" s="33" t="e">
        <f t="shared" ca="1" si="53"/>
        <v>#N/A</v>
      </c>
      <c r="X102" s="52" t="e">
        <f t="shared" ca="1" si="69"/>
        <v>#N/A</v>
      </c>
      <c r="Y102" s="33" t="e">
        <f t="shared" ca="1" si="54"/>
        <v>#N/A</v>
      </c>
      <c r="Z102" s="52" t="e">
        <f t="shared" ca="1" si="70"/>
        <v>#N/A</v>
      </c>
      <c r="AA102" s="53"/>
      <c r="AB102" s="33" t="e">
        <f t="shared" ca="1" si="55"/>
        <v>#N/A</v>
      </c>
      <c r="AC102" s="52" t="e">
        <f t="shared" ca="1" si="71"/>
        <v>#N/A</v>
      </c>
      <c r="AE102" s="279" t="e">
        <f ca="1">INDEX(RESULTADOS!$A:$BA,MATCH($A102,RESULTADOS!$A:$A,0),MATCH(AE$1,RESULTADOS!$1:$1,0))</f>
        <v>#N/A</v>
      </c>
      <c r="AF102" s="279" t="e">
        <f ca="1">INDEX(RESULTADOS!$A:$BA,MATCH($A102,RESULTADOS!$A:$A,0),MATCH(AF$1,RESULTADOS!$1:$1,0))</f>
        <v>#N/A</v>
      </c>
      <c r="AG102" s="272" t="e">
        <f t="shared" ca="1" si="72"/>
        <v>#N/A</v>
      </c>
      <c r="AH102" s="272" t="e">
        <f t="shared" ca="1" si="73"/>
        <v>#N/A</v>
      </c>
      <c r="AI102" s="278" t="e">
        <f t="shared" ca="1" si="74"/>
        <v>#N/A</v>
      </c>
      <c r="AJ102" s="278" t="e">
        <f t="shared" ca="1" si="75"/>
        <v>#N/A</v>
      </c>
    </row>
    <row r="103" spans="1:36" s="272" customFormat="1" x14ac:dyDescent="0.2">
      <c r="A103" s="273">
        <f t="shared" ca="1" si="26"/>
        <v>43902</v>
      </c>
      <c r="B103" s="279" t="e">
        <f ca="1">INDEX(RESULTADOS!$A:$BA,MATCH($A103,RESULTADOS!$A:$A,0),MATCH(B$1,RESULTADOS!$1:$1,0))</f>
        <v>#N/A</v>
      </c>
      <c r="C103" s="31" t="e">
        <f t="shared" ca="1" si="61"/>
        <v>#N/A</v>
      </c>
      <c r="D103" s="279" t="e">
        <f ca="1">INDEX(RESULTADOS!$A:$BA,MATCH($A103,RESULTADOS!$A:$A,0),MATCH(D$1,RESULTADOS!$1:$1,0))</f>
        <v>#N/A</v>
      </c>
      <c r="E103" s="31" t="e">
        <f t="shared" ca="1" si="57"/>
        <v>#N/A</v>
      </c>
      <c r="F103" s="31" t="e">
        <f t="shared" ca="1" si="62"/>
        <v>#N/A</v>
      </c>
      <c r="G103" s="52" t="e">
        <f t="shared" ca="1" si="56"/>
        <v>#N/A</v>
      </c>
      <c r="H103" s="52" t="e">
        <f t="shared" ca="1" si="63"/>
        <v>#N/A</v>
      </c>
      <c r="I103" s="53"/>
      <c r="J103" s="279" t="e">
        <f ca="1">INDEX(RESULTADOS!$A:$BA,MATCH($A103,RESULTADOS!$A:$A,0),MATCH(J$1,RESULTADOS!$1:$1,0))</f>
        <v>#N/A</v>
      </c>
      <c r="K103" s="32" t="e">
        <f t="shared" ca="1" si="60"/>
        <v>#N/A</v>
      </c>
      <c r="L103" s="32" t="e">
        <f t="shared" ca="1" si="64"/>
        <v>#N/A</v>
      </c>
      <c r="M103" s="32" t="e">
        <f t="shared" ca="1" si="51"/>
        <v>#N/A</v>
      </c>
      <c r="N103" s="32" t="e">
        <f t="shared" ca="1" si="65"/>
        <v>#N/A</v>
      </c>
      <c r="O103" s="279" t="e">
        <f ca="1">INDEX(RESULTADOS!$A:$BA,MATCH($A103,RESULTADOS!$A:$A,0),MATCH(O$1,RESULTADOS!$1:$1,0))</f>
        <v>#N/A</v>
      </c>
      <c r="P103" s="31" t="e">
        <f t="shared" ca="1" si="66"/>
        <v>#N/A</v>
      </c>
      <c r="Q103" s="53"/>
      <c r="R103" s="279" t="e">
        <f ca="1">INDEX(RESULTADOS!$A:$BA,MATCH($A103,RESULTADOS!$A:$A,0),MATCH(R$1,RESULTADOS!$1:$1,0))</f>
        <v>#N/A</v>
      </c>
      <c r="S103" s="31" t="e">
        <f t="shared" ca="1" si="67"/>
        <v>#N/A</v>
      </c>
      <c r="T103" s="279" t="e">
        <f ca="1">INDEX(RESULTADOS!$A:$BA,MATCH($A103,RESULTADOS!$A:$A,0),MATCH(T$1,RESULTADOS!$1:$1,0))</f>
        <v>#N/A</v>
      </c>
      <c r="U103" s="33" t="e">
        <f t="shared" ca="1" si="52"/>
        <v>#N/A</v>
      </c>
      <c r="V103" s="52" t="e">
        <f t="shared" ca="1" si="68"/>
        <v>#N/A</v>
      </c>
      <c r="W103" s="33" t="e">
        <f t="shared" ca="1" si="53"/>
        <v>#N/A</v>
      </c>
      <c r="X103" s="52" t="e">
        <f t="shared" ca="1" si="69"/>
        <v>#N/A</v>
      </c>
      <c r="Y103" s="33" t="e">
        <f t="shared" ca="1" si="54"/>
        <v>#N/A</v>
      </c>
      <c r="Z103" s="52" t="e">
        <f t="shared" ca="1" si="70"/>
        <v>#N/A</v>
      </c>
      <c r="AA103" s="53"/>
      <c r="AB103" s="33" t="e">
        <f t="shared" ca="1" si="55"/>
        <v>#N/A</v>
      </c>
      <c r="AC103" s="52" t="e">
        <f t="shared" ca="1" si="71"/>
        <v>#N/A</v>
      </c>
      <c r="AE103" s="279" t="e">
        <f ca="1">INDEX(RESULTADOS!$A:$BA,MATCH($A103,RESULTADOS!$A:$A,0),MATCH(AE$1,RESULTADOS!$1:$1,0))</f>
        <v>#N/A</v>
      </c>
      <c r="AF103" s="279" t="e">
        <f ca="1">INDEX(RESULTADOS!$A:$BA,MATCH($A103,RESULTADOS!$A:$A,0),MATCH(AF$1,RESULTADOS!$1:$1,0))</f>
        <v>#N/A</v>
      </c>
      <c r="AG103" s="272" t="e">
        <f t="shared" ca="1" si="72"/>
        <v>#N/A</v>
      </c>
      <c r="AH103" s="272" t="e">
        <f t="shared" ca="1" si="73"/>
        <v>#N/A</v>
      </c>
      <c r="AI103" s="278" t="e">
        <f t="shared" ca="1" si="74"/>
        <v>#N/A</v>
      </c>
      <c r="AJ103" s="278" t="e">
        <f t="shared" ca="1" si="75"/>
        <v>#N/A</v>
      </c>
    </row>
    <row r="104" spans="1:36" s="272" customFormat="1" x14ac:dyDescent="0.2">
      <c r="A104" s="273">
        <f t="shared" ca="1" si="26"/>
        <v>43903</v>
      </c>
      <c r="B104" s="279" t="e">
        <f ca="1">INDEX(RESULTADOS!$A:$BA,MATCH($A104,RESULTADOS!$A:$A,0),MATCH(B$1,RESULTADOS!$1:$1,0))</f>
        <v>#N/A</v>
      </c>
      <c r="C104" s="31" t="e">
        <f t="shared" ca="1" si="61"/>
        <v>#N/A</v>
      </c>
      <c r="D104" s="279" t="e">
        <f ca="1">INDEX(RESULTADOS!$A:$BA,MATCH($A104,RESULTADOS!$A:$A,0),MATCH(D$1,RESULTADOS!$1:$1,0))</f>
        <v>#N/A</v>
      </c>
      <c r="E104" s="31" t="e">
        <f t="shared" ca="1" si="57"/>
        <v>#N/A</v>
      </c>
      <c r="F104" s="31" t="e">
        <f t="shared" ca="1" si="62"/>
        <v>#N/A</v>
      </c>
      <c r="G104" s="52" t="e">
        <f t="shared" ca="1" si="56"/>
        <v>#N/A</v>
      </c>
      <c r="H104" s="52" t="e">
        <f t="shared" ca="1" si="63"/>
        <v>#N/A</v>
      </c>
      <c r="I104" s="53"/>
      <c r="J104" s="279" t="e">
        <f ca="1">INDEX(RESULTADOS!$A:$BA,MATCH($A104,RESULTADOS!$A:$A,0),MATCH(J$1,RESULTADOS!$1:$1,0))</f>
        <v>#N/A</v>
      </c>
      <c r="K104" s="32" t="e">
        <f t="shared" ca="1" si="60"/>
        <v>#N/A</v>
      </c>
      <c r="L104" s="32" t="e">
        <f t="shared" ca="1" si="64"/>
        <v>#N/A</v>
      </c>
      <c r="M104" s="32" t="e">
        <f t="shared" ca="1" si="51"/>
        <v>#N/A</v>
      </c>
      <c r="N104" s="32" t="e">
        <f t="shared" ca="1" si="65"/>
        <v>#N/A</v>
      </c>
      <c r="O104" s="279" t="e">
        <f ca="1">INDEX(RESULTADOS!$A:$BA,MATCH($A104,RESULTADOS!$A:$A,0),MATCH(O$1,RESULTADOS!$1:$1,0))</f>
        <v>#N/A</v>
      </c>
      <c r="P104" s="31" t="e">
        <f t="shared" ca="1" si="66"/>
        <v>#N/A</v>
      </c>
      <c r="Q104" s="53"/>
      <c r="R104" s="279" t="e">
        <f ca="1">INDEX(RESULTADOS!$A:$BA,MATCH($A104,RESULTADOS!$A:$A,0),MATCH(R$1,RESULTADOS!$1:$1,0))</f>
        <v>#N/A</v>
      </c>
      <c r="S104" s="31" t="e">
        <f t="shared" ca="1" si="67"/>
        <v>#N/A</v>
      </c>
      <c r="T104" s="279" t="e">
        <f ca="1">INDEX(RESULTADOS!$A:$BA,MATCH($A104,RESULTADOS!$A:$A,0),MATCH(T$1,RESULTADOS!$1:$1,0))</f>
        <v>#N/A</v>
      </c>
      <c r="U104" s="33" t="e">
        <f t="shared" ca="1" si="52"/>
        <v>#N/A</v>
      </c>
      <c r="V104" s="52" t="e">
        <f t="shared" ca="1" si="68"/>
        <v>#N/A</v>
      </c>
      <c r="W104" s="33" t="e">
        <f t="shared" ca="1" si="53"/>
        <v>#N/A</v>
      </c>
      <c r="X104" s="52" t="e">
        <f t="shared" ca="1" si="69"/>
        <v>#N/A</v>
      </c>
      <c r="Y104" s="33" t="e">
        <f t="shared" ca="1" si="54"/>
        <v>#N/A</v>
      </c>
      <c r="Z104" s="52" t="e">
        <f t="shared" ca="1" si="70"/>
        <v>#N/A</v>
      </c>
      <c r="AA104" s="53"/>
      <c r="AB104" s="33" t="e">
        <f t="shared" ca="1" si="55"/>
        <v>#N/A</v>
      </c>
      <c r="AC104" s="52" t="e">
        <f t="shared" ca="1" si="71"/>
        <v>#N/A</v>
      </c>
      <c r="AE104" s="279" t="e">
        <f ca="1">INDEX(RESULTADOS!$A:$BA,MATCH($A104,RESULTADOS!$A:$A,0),MATCH(AE$1,RESULTADOS!$1:$1,0))</f>
        <v>#N/A</v>
      </c>
      <c r="AF104" s="279" t="e">
        <f ca="1">INDEX(RESULTADOS!$A:$BA,MATCH($A104,RESULTADOS!$A:$A,0),MATCH(AF$1,RESULTADOS!$1:$1,0))</f>
        <v>#N/A</v>
      </c>
      <c r="AG104" s="272" t="e">
        <f t="shared" ca="1" si="72"/>
        <v>#N/A</v>
      </c>
      <c r="AH104" s="272" t="e">
        <f t="shared" ca="1" si="73"/>
        <v>#N/A</v>
      </c>
      <c r="AI104" s="278" t="e">
        <f t="shared" ca="1" si="74"/>
        <v>#N/A</v>
      </c>
      <c r="AJ104" s="278" t="e">
        <f t="shared" ca="1" si="75"/>
        <v>#N/A</v>
      </c>
    </row>
    <row r="105" spans="1:36" s="272" customFormat="1" x14ac:dyDescent="0.2">
      <c r="A105" s="273">
        <f t="shared" ca="1" si="26"/>
        <v>43904</v>
      </c>
      <c r="B105" s="279" t="e">
        <f ca="1">INDEX(RESULTADOS!$A:$BA,MATCH($A105,RESULTADOS!$A:$A,0),MATCH(B$1,RESULTADOS!$1:$1,0))</f>
        <v>#N/A</v>
      </c>
      <c r="C105" s="31" t="e">
        <f t="shared" ca="1" si="61"/>
        <v>#N/A</v>
      </c>
      <c r="D105" s="279" t="e">
        <f ca="1">INDEX(RESULTADOS!$A:$BA,MATCH($A105,RESULTADOS!$A:$A,0),MATCH(D$1,RESULTADOS!$1:$1,0))</f>
        <v>#N/A</v>
      </c>
      <c r="E105" s="31" t="e">
        <f t="shared" ca="1" si="57"/>
        <v>#N/A</v>
      </c>
      <c r="F105" s="31" t="e">
        <f t="shared" ca="1" si="62"/>
        <v>#N/A</v>
      </c>
      <c r="G105" s="52" t="e">
        <f t="shared" ca="1" si="56"/>
        <v>#N/A</v>
      </c>
      <c r="H105" s="52" t="e">
        <f t="shared" ca="1" si="63"/>
        <v>#N/A</v>
      </c>
      <c r="I105" s="53"/>
      <c r="J105" s="279" t="e">
        <f ca="1">INDEX(RESULTADOS!$A:$BA,MATCH($A105,RESULTADOS!$A:$A,0),MATCH(J$1,RESULTADOS!$1:$1,0))</f>
        <v>#N/A</v>
      </c>
      <c r="K105" s="32" t="e">
        <f t="shared" ca="1" si="60"/>
        <v>#N/A</v>
      </c>
      <c r="L105" s="32" t="e">
        <f t="shared" ca="1" si="64"/>
        <v>#N/A</v>
      </c>
      <c r="M105" s="32" t="e">
        <f t="shared" ca="1" si="51"/>
        <v>#N/A</v>
      </c>
      <c r="N105" s="32" t="e">
        <f t="shared" ca="1" si="65"/>
        <v>#N/A</v>
      </c>
      <c r="O105" s="279" t="e">
        <f ca="1">INDEX(RESULTADOS!$A:$BA,MATCH($A105,RESULTADOS!$A:$A,0),MATCH(O$1,RESULTADOS!$1:$1,0))</f>
        <v>#N/A</v>
      </c>
      <c r="P105" s="31" t="e">
        <f t="shared" ca="1" si="66"/>
        <v>#N/A</v>
      </c>
      <c r="Q105" s="53"/>
      <c r="R105" s="279" t="e">
        <f ca="1">INDEX(RESULTADOS!$A:$BA,MATCH($A105,RESULTADOS!$A:$A,0),MATCH(R$1,RESULTADOS!$1:$1,0))</f>
        <v>#N/A</v>
      </c>
      <c r="S105" s="31" t="e">
        <f t="shared" ca="1" si="67"/>
        <v>#N/A</v>
      </c>
      <c r="T105" s="279" t="e">
        <f ca="1">INDEX(RESULTADOS!$A:$BA,MATCH($A105,RESULTADOS!$A:$A,0),MATCH(T$1,RESULTADOS!$1:$1,0))</f>
        <v>#N/A</v>
      </c>
      <c r="U105" s="33" t="e">
        <f t="shared" ca="1" si="52"/>
        <v>#N/A</v>
      </c>
      <c r="V105" s="52" t="e">
        <f t="shared" ca="1" si="68"/>
        <v>#N/A</v>
      </c>
      <c r="W105" s="33" t="e">
        <f t="shared" ca="1" si="53"/>
        <v>#N/A</v>
      </c>
      <c r="X105" s="52" t="e">
        <f t="shared" ca="1" si="69"/>
        <v>#N/A</v>
      </c>
      <c r="Y105" s="33" t="e">
        <f t="shared" ca="1" si="54"/>
        <v>#N/A</v>
      </c>
      <c r="Z105" s="52" t="e">
        <f t="shared" ca="1" si="70"/>
        <v>#N/A</v>
      </c>
      <c r="AA105" s="53"/>
      <c r="AB105" s="33" t="e">
        <f t="shared" ca="1" si="55"/>
        <v>#N/A</v>
      </c>
      <c r="AC105" s="52" t="e">
        <f t="shared" ca="1" si="71"/>
        <v>#N/A</v>
      </c>
      <c r="AE105" s="279" t="e">
        <f ca="1">INDEX(RESULTADOS!$A:$BA,MATCH($A105,RESULTADOS!$A:$A,0),MATCH(AE$1,RESULTADOS!$1:$1,0))</f>
        <v>#N/A</v>
      </c>
      <c r="AF105" s="279" t="e">
        <f ca="1">INDEX(RESULTADOS!$A:$BA,MATCH($A105,RESULTADOS!$A:$A,0),MATCH(AF$1,RESULTADOS!$1:$1,0))</f>
        <v>#N/A</v>
      </c>
      <c r="AG105" s="272" t="e">
        <f t="shared" ca="1" si="72"/>
        <v>#N/A</v>
      </c>
      <c r="AH105" s="272" t="e">
        <f t="shared" ca="1" si="73"/>
        <v>#N/A</v>
      </c>
      <c r="AI105" s="278" t="e">
        <f t="shared" ca="1" si="74"/>
        <v>#N/A</v>
      </c>
      <c r="AJ105" s="278" t="e">
        <f t="shared" ca="1" si="75"/>
        <v>#N/A</v>
      </c>
    </row>
    <row r="106" spans="1:36" s="272" customFormat="1" x14ac:dyDescent="0.2">
      <c r="A106" s="273">
        <f t="shared" ca="1" si="26"/>
        <v>43905</v>
      </c>
      <c r="B106" s="279" t="e">
        <f ca="1">INDEX(RESULTADOS!$A:$BA,MATCH($A106,RESULTADOS!$A:$A,0),MATCH(B$1,RESULTADOS!$1:$1,0))</f>
        <v>#N/A</v>
      </c>
      <c r="C106" s="31" t="e">
        <f t="shared" ca="1" si="61"/>
        <v>#N/A</v>
      </c>
      <c r="D106" s="279" t="e">
        <f ca="1">INDEX(RESULTADOS!$A:$BA,MATCH($A106,RESULTADOS!$A:$A,0),MATCH(D$1,RESULTADOS!$1:$1,0))</f>
        <v>#N/A</v>
      </c>
      <c r="E106" s="31" t="e">
        <f t="shared" ca="1" si="57"/>
        <v>#N/A</v>
      </c>
      <c r="F106" s="31" t="e">
        <f t="shared" ca="1" si="62"/>
        <v>#N/A</v>
      </c>
      <c r="G106" s="52" t="e">
        <f t="shared" ca="1" si="56"/>
        <v>#N/A</v>
      </c>
      <c r="H106" s="52" t="e">
        <f t="shared" ca="1" si="63"/>
        <v>#N/A</v>
      </c>
      <c r="I106" s="53"/>
      <c r="J106" s="279" t="e">
        <f ca="1">INDEX(RESULTADOS!$A:$BA,MATCH($A106,RESULTADOS!$A:$A,0),MATCH(J$1,RESULTADOS!$1:$1,0))</f>
        <v>#N/A</v>
      </c>
      <c r="K106" s="32" t="e">
        <f t="shared" ca="1" si="60"/>
        <v>#N/A</v>
      </c>
      <c r="L106" s="32" t="e">
        <f t="shared" ca="1" si="64"/>
        <v>#N/A</v>
      </c>
      <c r="M106" s="32" t="e">
        <f t="shared" ca="1" si="51"/>
        <v>#N/A</v>
      </c>
      <c r="N106" s="32" t="e">
        <f t="shared" ca="1" si="65"/>
        <v>#N/A</v>
      </c>
      <c r="O106" s="279" t="e">
        <f ca="1">INDEX(RESULTADOS!$A:$BA,MATCH($A106,RESULTADOS!$A:$A,0),MATCH(O$1,RESULTADOS!$1:$1,0))</f>
        <v>#N/A</v>
      </c>
      <c r="P106" s="31" t="e">
        <f t="shared" ca="1" si="66"/>
        <v>#N/A</v>
      </c>
      <c r="Q106" s="53"/>
      <c r="R106" s="279" t="e">
        <f ca="1">INDEX(RESULTADOS!$A:$BA,MATCH($A106,RESULTADOS!$A:$A,0),MATCH(R$1,RESULTADOS!$1:$1,0))</f>
        <v>#N/A</v>
      </c>
      <c r="S106" s="31" t="e">
        <f t="shared" ca="1" si="67"/>
        <v>#N/A</v>
      </c>
      <c r="T106" s="279" t="e">
        <f ca="1">INDEX(RESULTADOS!$A:$BA,MATCH($A106,RESULTADOS!$A:$A,0),MATCH(T$1,RESULTADOS!$1:$1,0))</f>
        <v>#N/A</v>
      </c>
      <c r="U106" s="33" t="e">
        <f t="shared" ca="1" si="52"/>
        <v>#N/A</v>
      </c>
      <c r="V106" s="52" t="e">
        <f t="shared" ca="1" si="68"/>
        <v>#N/A</v>
      </c>
      <c r="W106" s="33" t="e">
        <f t="shared" ca="1" si="53"/>
        <v>#N/A</v>
      </c>
      <c r="X106" s="52" t="e">
        <f t="shared" ca="1" si="69"/>
        <v>#N/A</v>
      </c>
      <c r="Y106" s="33" t="e">
        <f t="shared" ca="1" si="54"/>
        <v>#N/A</v>
      </c>
      <c r="Z106" s="52" t="e">
        <f t="shared" ca="1" si="70"/>
        <v>#N/A</v>
      </c>
      <c r="AA106" s="53"/>
      <c r="AB106" s="33" t="e">
        <f t="shared" ca="1" si="55"/>
        <v>#N/A</v>
      </c>
      <c r="AC106" s="52" t="e">
        <f t="shared" ca="1" si="71"/>
        <v>#N/A</v>
      </c>
      <c r="AE106" s="279" t="e">
        <f ca="1">INDEX(RESULTADOS!$A:$BA,MATCH($A106,RESULTADOS!$A:$A,0),MATCH(AE$1,RESULTADOS!$1:$1,0))</f>
        <v>#N/A</v>
      </c>
      <c r="AF106" s="279" t="e">
        <f ca="1">INDEX(RESULTADOS!$A:$BA,MATCH($A106,RESULTADOS!$A:$A,0),MATCH(AF$1,RESULTADOS!$1:$1,0))</f>
        <v>#N/A</v>
      </c>
      <c r="AG106" s="272" t="e">
        <f t="shared" ca="1" si="72"/>
        <v>#N/A</v>
      </c>
      <c r="AH106" s="272" t="e">
        <f t="shared" ca="1" si="73"/>
        <v>#N/A</v>
      </c>
      <c r="AI106" s="278" t="e">
        <f t="shared" ca="1" si="74"/>
        <v>#N/A</v>
      </c>
      <c r="AJ106" s="278" t="e">
        <f t="shared" ca="1" si="75"/>
        <v>#N/A</v>
      </c>
    </row>
    <row r="107" spans="1:36" s="272" customFormat="1" x14ac:dyDescent="0.2">
      <c r="A107" s="273">
        <f t="shared" ca="1" si="26"/>
        <v>43906</v>
      </c>
      <c r="B107" s="279" t="e">
        <f ca="1">INDEX(RESULTADOS!$A:$BA,MATCH($A107,RESULTADOS!$A:$A,0),MATCH(B$1,RESULTADOS!$1:$1,0))</f>
        <v>#N/A</v>
      </c>
      <c r="C107" s="31" t="e">
        <f t="shared" ca="1" si="61"/>
        <v>#N/A</v>
      </c>
      <c r="D107" s="279" t="e">
        <f ca="1">INDEX(RESULTADOS!$A:$BA,MATCH($A107,RESULTADOS!$A:$A,0),MATCH(D$1,RESULTADOS!$1:$1,0))</f>
        <v>#N/A</v>
      </c>
      <c r="E107" s="31" t="e">
        <f t="shared" ca="1" si="57"/>
        <v>#N/A</v>
      </c>
      <c r="F107" s="31" t="e">
        <f t="shared" ca="1" si="62"/>
        <v>#N/A</v>
      </c>
      <c r="G107" s="52" t="e">
        <f t="shared" ca="1" si="56"/>
        <v>#N/A</v>
      </c>
      <c r="H107" s="52" t="e">
        <f t="shared" ca="1" si="63"/>
        <v>#N/A</v>
      </c>
      <c r="I107" s="53"/>
      <c r="J107" s="279" t="e">
        <f ca="1">INDEX(RESULTADOS!$A:$BA,MATCH($A107,RESULTADOS!$A:$A,0),MATCH(J$1,RESULTADOS!$1:$1,0))</f>
        <v>#N/A</v>
      </c>
      <c r="K107" s="32" t="e">
        <f t="shared" ca="1" si="60"/>
        <v>#N/A</v>
      </c>
      <c r="L107" s="32" t="e">
        <f t="shared" ca="1" si="64"/>
        <v>#N/A</v>
      </c>
      <c r="M107" s="32" t="e">
        <f t="shared" ca="1" si="51"/>
        <v>#N/A</v>
      </c>
      <c r="N107" s="32" t="e">
        <f t="shared" ca="1" si="65"/>
        <v>#N/A</v>
      </c>
      <c r="O107" s="279" t="e">
        <f ca="1">INDEX(RESULTADOS!$A:$BA,MATCH($A107,RESULTADOS!$A:$A,0),MATCH(O$1,RESULTADOS!$1:$1,0))</f>
        <v>#N/A</v>
      </c>
      <c r="P107" s="31" t="e">
        <f t="shared" ca="1" si="66"/>
        <v>#N/A</v>
      </c>
      <c r="Q107" s="53"/>
      <c r="R107" s="279" t="e">
        <f ca="1">INDEX(RESULTADOS!$A:$BA,MATCH($A107,RESULTADOS!$A:$A,0),MATCH(R$1,RESULTADOS!$1:$1,0))</f>
        <v>#N/A</v>
      </c>
      <c r="S107" s="31" t="e">
        <f t="shared" ca="1" si="67"/>
        <v>#N/A</v>
      </c>
      <c r="T107" s="279" t="e">
        <f ca="1">INDEX(RESULTADOS!$A:$BA,MATCH($A107,RESULTADOS!$A:$A,0),MATCH(T$1,RESULTADOS!$1:$1,0))</f>
        <v>#N/A</v>
      </c>
      <c r="U107" s="33" t="e">
        <f t="shared" ca="1" si="52"/>
        <v>#N/A</v>
      </c>
      <c r="V107" s="52" t="e">
        <f t="shared" ca="1" si="68"/>
        <v>#N/A</v>
      </c>
      <c r="W107" s="33" t="e">
        <f t="shared" ca="1" si="53"/>
        <v>#N/A</v>
      </c>
      <c r="X107" s="52" t="e">
        <f t="shared" ca="1" si="69"/>
        <v>#N/A</v>
      </c>
      <c r="Y107" s="33" t="e">
        <f t="shared" ca="1" si="54"/>
        <v>#N/A</v>
      </c>
      <c r="Z107" s="52" t="e">
        <f t="shared" ca="1" si="70"/>
        <v>#N/A</v>
      </c>
      <c r="AA107" s="53"/>
      <c r="AB107" s="33" t="e">
        <f t="shared" ca="1" si="55"/>
        <v>#N/A</v>
      </c>
      <c r="AC107" s="52" t="e">
        <f t="shared" ca="1" si="71"/>
        <v>#N/A</v>
      </c>
      <c r="AE107" s="279" t="e">
        <f ca="1">INDEX(RESULTADOS!$A:$BA,MATCH($A107,RESULTADOS!$A:$A,0),MATCH(AE$1,RESULTADOS!$1:$1,0))</f>
        <v>#N/A</v>
      </c>
      <c r="AF107" s="279" t="e">
        <f ca="1">INDEX(RESULTADOS!$A:$BA,MATCH($A107,RESULTADOS!$A:$A,0),MATCH(AF$1,RESULTADOS!$1:$1,0))</f>
        <v>#N/A</v>
      </c>
      <c r="AG107" s="272" t="e">
        <f t="shared" ca="1" si="72"/>
        <v>#N/A</v>
      </c>
      <c r="AH107" s="272" t="e">
        <f t="shared" ca="1" si="73"/>
        <v>#N/A</v>
      </c>
      <c r="AI107" s="278" t="e">
        <f t="shared" ca="1" si="74"/>
        <v>#N/A</v>
      </c>
      <c r="AJ107" s="278" t="e">
        <f t="shared" ca="1" si="75"/>
        <v>#N/A</v>
      </c>
    </row>
    <row r="108" spans="1:36" s="272" customFormat="1" x14ac:dyDescent="0.2">
      <c r="A108" s="273">
        <f t="shared" ca="1" si="26"/>
        <v>43907</v>
      </c>
      <c r="B108" s="279" t="e">
        <f ca="1">INDEX(RESULTADOS!$A:$BA,MATCH($A108,RESULTADOS!$A:$A,0),MATCH(B$1,RESULTADOS!$1:$1,0))</f>
        <v>#N/A</v>
      </c>
      <c r="C108" s="31" t="e">
        <f t="shared" ca="1" si="61"/>
        <v>#N/A</v>
      </c>
      <c r="D108" s="279" t="e">
        <f ca="1">INDEX(RESULTADOS!$A:$BA,MATCH($A108,RESULTADOS!$A:$A,0),MATCH(D$1,RESULTADOS!$1:$1,0))</f>
        <v>#N/A</v>
      </c>
      <c r="E108" s="31" t="e">
        <f t="shared" ca="1" si="57"/>
        <v>#N/A</v>
      </c>
      <c r="F108" s="31" t="e">
        <f t="shared" ca="1" si="62"/>
        <v>#N/A</v>
      </c>
      <c r="G108" s="52" t="e">
        <f t="shared" ca="1" si="56"/>
        <v>#N/A</v>
      </c>
      <c r="H108" s="52" t="e">
        <f t="shared" ca="1" si="63"/>
        <v>#N/A</v>
      </c>
      <c r="I108" s="53"/>
      <c r="J108" s="279" t="e">
        <f ca="1">INDEX(RESULTADOS!$A:$BA,MATCH($A108,RESULTADOS!$A:$A,0),MATCH(J$1,RESULTADOS!$1:$1,0))</f>
        <v>#N/A</v>
      </c>
      <c r="K108" s="32" t="e">
        <f t="shared" ca="1" si="60"/>
        <v>#N/A</v>
      </c>
      <c r="L108" s="32" t="e">
        <f t="shared" ca="1" si="64"/>
        <v>#N/A</v>
      </c>
      <c r="M108" s="32" t="e">
        <f t="shared" ca="1" si="51"/>
        <v>#N/A</v>
      </c>
      <c r="N108" s="32" t="e">
        <f t="shared" ca="1" si="65"/>
        <v>#N/A</v>
      </c>
      <c r="O108" s="279" t="e">
        <f ca="1">INDEX(RESULTADOS!$A:$BA,MATCH($A108,RESULTADOS!$A:$A,0),MATCH(O$1,RESULTADOS!$1:$1,0))</f>
        <v>#N/A</v>
      </c>
      <c r="P108" s="31" t="e">
        <f t="shared" ca="1" si="66"/>
        <v>#N/A</v>
      </c>
      <c r="Q108" s="53"/>
      <c r="R108" s="279" t="e">
        <f ca="1">INDEX(RESULTADOS!$A:$BA,MATCH($A108,RESULTADOS!$A:$A,0),MATCH(R$1,RESULTADOS!$1:$1,0))</f>
        <v>#N/A</v>
      </c>
      <c r="S108" s="31" t="e">
        <f t="shared" ca="1" si="67"/>
        <v>#N/A</v>
      </c>
      <c r="T108" s="279" t="e">
        <f ca="1">INDEX(RESULTADOS!$A:$BA,MATCH($A108,RESULTADOS!$A:$A,0),MATCH(T$1,RESULTADOS!$1:$1,0))</f>
        <v>#N/A</v>
      </c>
      <c r="U108" s="33" t="e">
        <f t="shared" ca="1" si="52"/>
        <v>#N/A</v>
      </c>
      <c r="V108" s="52" t="e">
        <f t="shared" ca="1" si="68"/>
        <v>#N/A</v>
      </c>
      <c r="W108" s="33" t="e">
        <f t="shared" ca="1" si="53"/>
        <v>#N/A</v>
      </c>
      <c r="X108" s="52" t="e">
        <f t="shared" ca="1" si="69"/>
        <v>#N/A</v>
      </c>
      <c r="Y108" s="33" t="e">
        <f t="shared" ca="1" si="54"/>
        <v>#N/A</v>
      </c>
      <c r="Z108" s="52" t="e">
        <f t="shared" ca="1" si="70"/>
        <v>#N/A</v>
      </c>
      <c r="AA108" s="53"/>
      <c r="AB108" s="33" t="e">
        <f t="shared" ca="1" si="55"/>
        <v>#N/A</v>
      </c>
      <c r="AC108" s="52" t="e">
        <f t="shared" ca="1" si="71"/>
        <v>#N/A</v>
      </c>
      <c r="AE108" s="279" t="e">
        <f ca="1">INDEX(RESULTADOS!$A:$BA,MATCH($A108,RESULTADOS!$A:$A,0),MATCH(AE$1,RESULTADOS!$1:$1,0))</f>
        <v>#N/A</v>
      </c>
      <c r="AF108" s="279" t="e">
        <f ca="1">INDEX(RESULTADOS!$A:$BA,MATCH($A108,RESULTADOS!$A:$A,0),MATCH(AF$1,RESULTADOS!$1:$1,0))</f>
        <v>#N/A</v>
      </c>
      <c r="AG108" s="272" t="e">
        <f t="shared" ca="1" si="72"/>
        <v>#N/A</v>
      </c>
      <c r="AH108" s="272" t="e">
        <f t="shared" ca="1" si="73"/>
        <v>#N/A</v>
      </c>
      <c r="AI108" s="278" t="e">
        <f t="shared" ca="1" si="74"/>
        <v>#N/A</v>
      </c>
      <c r="AJ108" s="278" t="e">
        <f t="shared" ca="1" si="75"/>
        <v>#N/A</v>
      </c>
    </row>
    <row r="109" spans="1:36" s="272" customFormat="1" x14ac:dyDescent="0.2">
      <c r="A109" s="273">
        <f t="shared" ca="1" si="26"/>
        <v>43908</v>
      </c>
      <c r="B109" s="279" t="e">
        <f ca="1">INDEX(RESULTADOS!$A:$BA,MATCH($A109,RESULTADOS!$A:$A,0),MATCH(B$1,RESULTADOS!$1:$1,0))</f>
        <v>#N/A</v>
      </c>
      <c r="C109" s="31" t="e">
        <f t="shared" ca="1" si="61"/>
        <v>#N/A</v>
      </c>
      <c r="D109" s="279" t="e">
        <f ca="1">INDEX(RESULTADOS!$A:$BA,MATCH($A109,RESULTADOS!$A:$A,0),MATCH(D$1,RESULTADOS!$1:$1,0))</f>
        <v>#N/A</v>
      </c>
      <c r="E109" s="31" t="e">
        <f t="shared" ca="1" si="57"/>
        <v>#N/A</v>
      </c>
      <c r="F109" s="31" t="e">
        <f t="shared" ca="1" si="62"/>
        <v>#N/A</v>
      </c>
      <c r="G109" s="52" t="e">
        <f t="shared" ca="1" si="56"/>
        <v>#N/A</v>
      </c>
      <c r="H109" s="52" t="e">
        <f t="shared" ca="1" si="63"/>
        <v>#N/A</v>
      </c>
      <c r="I109" s="53"/>
      <c r="J109" s="279" t="e">
        <f ca="1">INDEX(RESULTADOS!$A:$BA,MATCH($A109,RESULTADOS!$A:$A,0),MATCH(J$1,RESULTADOS!$1:$1,0))</f>
        <v>#N/A</v>
      </c>
      <c r="K109" s="32" t="e">
        <f t="shared" ca="1" si="60"/>
        <v>#N/A</v>
      </c>
      <c r="L109" s="32" t="e">
        <f t="shared" ca="1" si="64"/>
        <v>#N/A</v>
      </c>
      <c r="M109" s="32" t="e">
        <f t="shared" ca="1" si="51"/>
        <v>#N/A</v>
      </c>
      <c r="N109" s="32" t="e">
        <f t="shared" ca="1" si="65"/>
        <v>#N/A</v>
      </c>
      <c r="O109" s="279" t="e">
        <f ca="1">INDEX(RESULTADOS!$A:$BA,MATCH($A109,RESULTADOS!$A:$A,0),MATCH(O$1,RESULTADOS!$1:$1,0))</f>
        <v>#N/A</v>
      </c>
      <c r="P109" s="31" t="e">
        <f t="shared" ca="1" si="66"/>
        <v>#N/A</v>
      </c>
      <c r="Q109" s="53"/>
      <c r="R109" s="279" t="e">
        <f ca="1">INDEX(RESULTADOS!$A:$BA,MATCH($A109,RESULTADOS!$A:$A,0),MATCH(R$1,RESULTADOS!$1:$1,0))</f>
        <v>#N/A</v>
      </c>
      <c r="S109" s="31" t="e">
        <f t="shared" ca="1" si="67"/>
        <v>#N/A</v>
      </c>
      <c r="T109" s="279" t="e">
        <f ca="1">INDEX(RESULTADOS!$A:$BA,MATCH($A109,RESULTADOS!$A:$A,0),MATCH(T$1,RESULTADOS!$1:$1,0))</f>
        <v>#N/A</v>
      </c>
      <c r="U109" s="33" t="e">
        <f t="shared" ca="1" si="52"/>
        <v>#N/A</v>
      </c>
      <c r="V109" s="52" t="e">
        <f t="shared" ca="1" si="68"/>
        <v>#N/A</v>
      </c>
      <c r="W109" s="33" t="e">
        <f t="shared" ca="1" si="53"/>
        <v>#N/A</v>
      </c>
      <c r="X109" s="52" t="e">
        <f t="shared" ca="1" si="69"/>
        <v>#N/A</v>
      </c>
      <c r="Y109" s="33" t="e">
        <f t="shared" ca="1" si="54"/>
        <v>#N/A</v>
      </c>
      <c r="Z109" s="52" t="e">
        <f t="shared" ca="1" si="70"/>
        <v>#N/A</v>
      </c>
      <c r="AA109" s="53"/>
      <c r="AB109" s="33" t="e">
        <f t="shared" ca="1" si="55"/>
        <v>#N/A</v>
      </c>
      <c r="AC109" s="52" t="e">
        <f t="shared" ca="1" si="71"/>
        <v>#N/A</v>
      </c>
      <c r="AE109" s="279" t="e">
        <f ca="1">INDEX(RESULTADOS!$A:$BA,MATCH($A109,RESULTADOS!$A:$A,0),MATCH(AE$1,RESULTADOS!$1:$1,0))</f>
        <v>#N/A</v>
      </c>
      <c r="AF109" s="279" t="e">
        <f ca="1">INDEX(RESULTADOS!$A:$BA,MATCH($A109,RESULTADOS!$A:$A,0),MATCH(AF$1,RESULTADOS!$1:$1,0))</f>
        <v>#N/A</v>
      </c>
      <c r="AG109" s="272" t="e">
        <f t="shared" ca="1" si="72"/>
        <v>#N/A</v>
      </c>
      <c r="AH109" s="272" t="e">
        <f t="shared" ca="1" si="73"/>
        <v>#N/A</v>
      </c>
      <c r="AI109" s="278" t="e">
        <f t="shared" ca="1" si="74"/>
        <v>#N/A</v>
      </c>
      <c r="AJ109" s="278" t="e">
        <f t="shared" ca="1" si="75"/>
        <v>#N/A</v>
      </c>
    </row>
    <row r="110" spans="1:36" s="272" customFormat="1" x14ac:dyDescent="0.2">
      <c r="A110" s="273">
        <f t="shared" ca="1" si="26"/>
        <v>43909</v>
      </c>
      <c r="B110" s="279" t="e">
        <f ca="1">INDEX(RESULTADOS!$A:$BA,MATCH($A110,RESULTADOS!$A:$A,0),MATCH(B$1,RESULTADOS!$1:$1,0))</f>
        <v>#N/A</v>
      </c>
      <c r="C110" s="31" t="e">
        <f t="shared" ca="1" si="61"/>
        <v>#N/A</v>
      </c>
      <c r="D110" s="279" t="e">
        <f ca="1">INDEX(RESULTADOS!$A:$BA,MATCH($A110,RESULTADOS!$A:$A,0),MATCH(D$1,RESULTADOS!$1:$1,0))</f>
        <v>#N/A</v>
      </c>
      <c r="E110" s="31" t="e">
        <f t="shared" ca="1" si="57"/>
        <v>#N/A</v>
      </c>
      <c r="F110" s="31" t="e">
        <f t="shared" ca="1" si="62"/>
        <v>#N/A</v>
      </c>
      <c r="G110" s="52" t="e">
        <f t="shared" ca="1" si="56"/>
        <v>#N/A</v>
      </c>
      <c r="H110" s="52" t="e">
        <f t="shared" ca="1" si="63"/>
        <v>#N/A</v>
      </c>
      <c r="I110" s="53"/>
      <c r="J110" s="279" t="e">
        <f ca="1">INDEX(RESULTADOS!$A:$BA,MATCH($A110,RESULTADOS!$A:$A,0),MATCH(J$1,RESULTADOS!$1:$1,0))</f>
        <v>#N/A</v>
      </c>
      <c r="K110" s="32" t="e">
        <f t="shared" ca="1" si="60"/>
        <v>#N/A</v>
      </c>
      <c r="L110" s="32" t="e">
        <f t="shared" ca="1" si="64"/>
        <v>#N/A</v>
      </c>
      <c r="M110" s="32" t="e">
        <f t="shared" ca="1" si="51"/>
        <v>#N/A</v>
      </c>
      <c r="N110" s="32" t="e">
        <f t="shared" ca="1" si="65"/>
        <v>#N/A</v>
      </c>
      <c r="O110" s="279" t="e">
        <f ca="1">INDEX(RESULTADOS!$A:$BA,MATCH($A110,RESULTADOS!$A:$A,0),MATCH(O$1,RESULTADOS!$1:$1,0))</f>
        <v>#N/A</v>
      </c>
      <c r="P110" s="31" t="e">
        <f t="shared" ca="1" si="66"/>
        <v>#N/A</v>
      </c>
      <c r="Q110" s="53"/>
      <c r="R110" s="279" t="e">
        <f ca="1">INDEX(RESULTADOS!$A:$BA,MATCH($A110,RESULTADOS!$A:$A,0),MATCH(R$1,RESULTADOS!$1:$1,0))</f>
        <v>#N/A</v>
      </c>
      <c r="S110" s="31" t="e">
        <f t="shared" ca="1" si="67"/>
        <v>#N/A</v>
      </c>
      <c r="T110" s="279" t="e">
        <f ca="1">INDEX(RESULTADOS!$A:$BA,MATCH($A110,RESULTADOS!$A:$A,0),MATCH(T$1,RESULTADOS!$1:$1,0))</f>
        <v>#N/A</v>
      </c>
      <c r="U110" s="33" t="e">
        <f t="shared" ca="1" si="52"/>
        <v>#N/A</v>
      </c>
      <c r="V110" s="52" t="e">
        <f t="shared" ca="1" si="68"/>
        <v>#N/A</v>
      </c>
      <c r="W110" s="33" t="e">
        <f t="shared" ca="1" si="53"/>
        <v>#N/A</v>
      </c>
      <c r="X110" s="52" t="e">
        <f t="shared" ca="1" si="69"/>
        <v>#N/A</v>
      </c>
      <c r="Y110" s="33" t="e">
        <f t="shared" ca="1" si="54"/>
        <v>#N/A</v>
      </c>
      <c r="Z110" s="52" t="e">
        <f t="shared" ca="1" si="70"/>
        <v>#N/A</v>
      </c>
      <c r="AA110" s="53"/>
      <c r="AB110" s="33" t="e">
        <f t="shared" ca="1" si="55"/>
        <v>#N/A</v>
      </c>
      <c r="AC110" s="52" t="e">
        <f t="shared" ca="1" si="71"/>
        <v>#N/A</v>
      </c>
      <c r="AE110" s="279" t="e">
        <f ca="1">INDEX(RESULTADOS!$A:$BA,MATCH($A110,RESULTADOS!$A:$A,0),MATCH(AE$1,RESULTADOS!$1:$1,0))</f>
        <v>#N/A</v>
      </c>
      <c r="AF110" s="279" t="e">
        <f ca="1">INDEX(RESULTADOS!$A:$BA,MATCH($A110,RESULTADOS!$A:$A,0),MATCH(AF$1,RESULTADOS!$1:$1,0))</f>
        <v>#N/A</v>
      </c>
      <c r="AG110" s="272" t="e">
        <f t="shared" ca="1" si="72"/>
        <v>#N/A</v>
      </c>
      <c r="AH110" s="272" t="e">
        <f t="shared" ca="1" si="73"/>
        <v>#N/A</v>
      </c>
      <c r="AI110" s="278" t="e">
        <f t="shared" ca="1" si="74"/>
        <v>#N/A</v>
      </c>
      <c r="AJ110" s="278" t="e">
        <f t="shared" ca="1" si="75"/>
        <v>#N/A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theme="6"/>
  </sheetPr>
  <dimension ref="A1:AB110"/>
  <sheetViews>
    <sheetView topLeftCell="G58" zoomScale="85" zoomScaleNormal="85" workbookViewId="0">
      <selection activeCell="G80" sqref="A80:XFD110"/>
    </sheetView>
  </sheetViews>
  <sheetFormatPr defaultRowHeight="12.75" x14ac:dyDescent="0.2"/>
  <cols>
    <col min="1" max="1" width="10.85546875" style="43" bestFit="1" customWidth="1"/>
    <col min="2" max="2" width="10.5703125" style="63" customWidth="1"/>
    <col min="3" max="3" width="13.7109375" style="43" bestFit="1" customWidth="1"/>
    <col min="4" max="4" width="11" style="43" bestFit="1" customWidth="1"/>
    <col min="5" max="5" width="11.85546875" style="63" bestFit="1" customWidth="1"/>
    <col min="6" max="6" width="19.7109375" style="43" bestFit="1" customWidth="1"/>
    <col min="7" max="7" width="9.140625" style="63"/>
    <col min="8" max="10" width="9.140625" style="43"/>
    <col min="11" max="11" width="19.85546875" style="43" bestFit="1" customWidth="1"/>
    <col min="12" max="12" width="12.85546875" style="43" bestFit="1" customWidth="1"/>
    <col min="13" max="13" width="9.140625" style="63"/>
    <col min="14" max="14" width="9.140625" style="43"/>
    <col min="15" max="15" width="9.140625" style="63"/>
    <col min="16" max="16" width="9.140625" style="43"/>
    <col min="17" max="17" width="9.140625" style="63"/>
    <col min="18" max="18" width="9.140625" style="43"/>
    <col min="19" max="19" width="9.140625" style="63"/>
    <col min="20" max="21" width="9.140625" style="43"/>
    <col min="22" max="22" width="9.140625" style="63"/>
    <col min="23" max="24" width="9.140625" style="43"/>
    <col min="25" max="25" width="9.140625" style="63"/>
    <col min="26" max="26" width="9.140625" style="43"/>
    <col min="27" max="27" width="14" style="43" bestFit="1" customWidth="1"/>
    <col min="28" max="28" width="13.85546875" style="63" bestFit="1" customWidth="1"/>
    <col min="29" max="16384" width="9.140625" style="43"/>
  </cols>
  <sheetData>
    <row r="1" spans="1:28" x14ac:dyDescent="0.2">
      <c r="B1" s="63" t="s">
        <v>34</v>
      </c>
      <c r="C1" s="43" t="s">
        <v>33</v>
      </c>
      <c r="D1" s="44" t="s">
        <v>73</v>
      </c>
      <c r="E1" s="61" t="s">
        <v>73</v>
      </c>
      <c r="F1" s="46" t="s">
        <v>107</v>
      </c>
      <c r="G1" s="61" t="s">
        <v>107</v>
      </c>
      <c r="H1" s="45" t="s">
        <v>31</v>
      </c>
      <c r="I1" s="44" t="s">
        <v>74</v>
      </c>
      <c r="J1" s="44" t="s">
        <v>74</v>
      </c>
      <c r="K1" s="46" t="s">
        <v>75</v>
      </c>
      <c r="L1" s="44" t="s">
        <v>75</v>
      </c>
      <c r="M1" s="61" t="s">
        <v>75</v>
      </c>
      <c r="N1" s="44" t="s">
        <v>76</v>
      </c>
      <c r="O1" s="61" t="s">
        <v>76</v>
      </c>
      <c r="P1" s="44" t="s">
        <v>77</v>
      </c>
      <c r="Q1" s="61" t="s">
        <v>77</v>
      </c>
      <c r="R1" s="66" t="s">
        <v>106</v>
      </c>
      <c r="S1" s="65" t="s">
        <v>78</v>
      </c>
      <c r="T1" s="43" t="s">
        <v>32</v>
      </c>
      <c r="U1" s="44" t="s">
        <v>79</v>
      </c>
      <c r="V1" s="61" t="s">
        <v>79</v>
      </c>
      <c r="W1" s="43" t="s">
        <v>35</v>
      </c>
      <c r="X1" s="44" t="s">
        <v>81</v>
      </c>
      <c r="Y1" s="61" t="str">
        <f>X1</f>
        <v>Taquaruçu</v>
      </c>
      <c r="Z1" s="46" t="str">
        <f>AA1</f>
        <v>Rosana</v>
      </c>
      <c r="AA1" s="44" t="s">
        <v>80</v>
      </c>
      <c r="AB1" s="61" t="str">
        <f>Z1</f>
        <v>Rosana</v>
      </c>
    </row>
    <row r="2" spans="1:28" x14ac:dyDescent="0.2">
      <c r="A2" s="43" t="s">
        <v>1</v>
      </c>
      <c r="B2" s="61">
        <v>47</v>
      </c>
      <c r="C2" s="58" t="s">
        <v>63</v>
      </c>
      <c r="D2" s="44">
        <v>48</v>
      </c>
      <c r="E2" s="61">
        <v>48</v>
      </c>
      <c r="F2" s="46">
        <v>49</v>
      </c>
      <c r="G2" s="61">
        <v>49</v>
      </c>
      <c r="H2" s="58" t="s">
        <v>68</v>
      </c>
      <c r="I2" s="44">
        <v>249</v>
      </c>
      <c r="J2" s="44">
        <v>249</v>
      </c>
      <c r="K2" s="46" t="s">
        <v>65</v>
      </c>
      <c r="L2" s="44">
        <v>50</v>
      </c>
      <c r="M2" s="61">
        <v>50</v>
      </c>
      <c r="N2" s="44">
        <v>51</v>
      </c>
      <c r="O2" s="61">
        <v>51</v>
      </c>
      <c r="P2" s="44">
        <v>52</v>
      </c>
      <c r="Q2" s="61">
        <v>52</v>
      </c>
      <c r="R2" s="59">
        <v>57</v>
      </c>
      <c r="S2" s="65">
        <v>57</v>
      </c>
      <c r="T2" s="54" t="s">
        <v>70</v>
      </c>
      <c r="U2" s="44">
        <v>61</v>
      </c>
      <c r="V2" s="61">
        <v>61</v>
      </c>
      <c r="W2" s="54" t="s">
        <v>72</v>
      </c>
      <c r="X2" s="44">
        <v>62</v>
      </c>
      <c r="Y2" s="61">
        <v>62</v>
      </c>
      <c r="Z2" s="46" t="s">
        <v>72</v>
      </c>
      <c r="AA2" s="44">
        <v>63</v>
      </c>
      <c r="AB2" s="61">
        <v>63</v>
      </c>
    </row>
    <row r="3" spans="1:28" x14ac:dyDescent="0.2">
      <c r="A3" s="48" t="s">
        <v>2</v>
      </c>
      <c r="B3" s="61">
        <v>5.0999999999999996</v>
      </c>
      <c r="C3" s="54" t="s">
        <v>3</v>
      </c>
      <c r="D3" s="44"/>
      <c r="E3" s="61">
        <v>10.52</v>
      </c>
      <c r="F3" s="46"/>
      <c r="G3" s="61">
        <v>3</v>
      </c>
      <c r="H3" s="54" t="s">
        <v>3</v>
      </c>
      <c r="I3" s="44"/>
      <c r="J3" s="44">
        <v>3</v>
      </c>
      <c r="K3" s="46"/>
      <c r="L3" s="44"/>
      <c r="M3" s="61">
        <v>2.8</v>
      </c>
      <c r="N3" s="44"/>
      <c r="O3" s="61">
        <v>2.8</v>
      </c>
      <c r="P3" s="44"/>
      <c r="Q3" s="61">
        <v>17.2</v>
      </c>
      <c r="R3" s="60"/>
      <c r="S3" s="61">
        <v>31</v>
      </c>
      <c r="T3" s="54" t="s">
        <v>3</v>
      </c>
      <c r="U3" s="44"/>
      <c r="V3" s="61">
        <v>9.3000000000000007</v>
      </c>
      <c r="W3" s="54" t="s">
        <v>3</v>
      </c>
      <c r="X3" s="44"/>
      <c r="Y3" s="61">
        <v>13.9</v>
      </c>
      <c r="Z3" s="46"/>
      <c r="AA3" s="44"/>
      <c r="AB3" s="61"/>
    </row>
    <row r="4" spans="1:28" x14ac:dyDescent="0.2">
      <c r="A4" s="121" t="s">
        <v>4</v>
      </c>
      <c r="B4" s="127"/>
      <c r="C4" s="124"/>
      <c r="D4" s="129">
        <v>4.5999999999999999E-2</v>
      </c>
      <c r="E4" s="128"/>
      <c r="F4" s="130">
        <v>0.95399999999999996</v>
      </c>
      <c r="G4" s="127"/>
      <c r="H4" s="124"/>
      <c r="I4" s="123">
        <v>3.1E-2</v>
      </c>
      <c r="J4" s="123"/>
      <c r="K4" s="125">
        <v>0.77800000000000002</v>
      </c>
      <c r="L4" s="123">
        <v>0.22199999999999998</v>
      </c>
      <c r="M4" s="128"/>
      <c r="N4" s="123">
        <v>6.0999999999999999E-2</v>
      </c>
      <c r="O4" s="128"/>
      <c r="P4" s="123">
        <v>0.13000000000000003</v>
      </c>
      <c r="Q4" s="128"/>
      <c r="R4" s="126"/>
      <c r="S4" s="127"/>
      <c r="T4" s="124"/>
      <c r="U4" s="122"/>
      <c r="V4" s="127"/>
      <c r="W4" s="124"/>
      <c r="X4" s="123">
        <v>0.29899999999999999</v>
      </c>
      <c r="Y4" s="128"/>
      <c r="Z4" s="125">
        <v>0.70100000000000007</v>
      </c>
      <c r="AA4" s="122"/>
      <c r="AB4" s="127"/>
    </row>
    <row r="5" spans="1:28" x14ac:dyDescent="0.2">
      <c r="B5" s="61" t="s">
        <v>6</v>
      </c>
      <c r="C5" s="54" t="s">
        <v>9</v>
      </c>
      <c r="D5" s="44" t="s">
        <v>7</v>
      </c>
      <c r="E5" s="61" t="s">
        <v>6</v>
      </c>
      <c r="F5" s="122" t="s">
        <v>7</v>
      </c>
      <c r="G5" s="61" t="s">
        <v>6</v>
      </c>
      <c r="H5" s="54" t="s">
        <v>9</v>
      </c>
      <c r="I5" s="44" t="s">
        <v>7</v>
      </c>
      <c r="J5" s="44" t="s">
        <v>6</v>
      </c>
      <c r="K5" s="47" t="s">
        <v>12</v>
      </c>
      <c r="L5" s="44" t="s">
        <v>7</v>
      </c>
      <c r="M5" s="61" t="s">
        <v>6</v>
      </c>
      <c r="N5" s="44" t="s">
        <v>7</v>
      </c>
      <c r="O5" s="61" t="s">
        <v>6</v>
      </c>
      <c r="P5" s="44" t="s">
        <v>7</v>
      </c>
      <c r="Q5" s="61" t="s">
        <v>6</v>
      </c>
      <c r="R5" s="60" t="s">
        <v>7</v>
      </c>
      <c r="S5" s="61" t="s">
        <v>6</v>
      </c>
      <c r="T5" s="54" t="s">
        <v>9</v>
      </c>
      <c r="U5" s="44" t="s">
        <v>7</v>
      </c>
      <c r="V5" s="61" t="s">
        <v>6</v>
      </c>
      <c r="W5" s="54" t="s">
        <v>9</v>
      </c>
      <c r="X5" s="44" t="s">
        <v>7</v>
      </c>
      <c r="Y5" s="61" t="s">
        <v>6</v>
      </c>
      <c r="Z5" s="47" t="s">
        <v>12</v>
      </c>
      <c r="AA5" s="44" t="s">
        <v>7</v>
      </c>
      <c r="AB5" s="61" t="s">
        <v>6</v>
      </c>
    </row>
    <row r="6" spans="1:28" x14ac:dyDescent="0.2">
      <c r="B6" s="274" t="str">
        <f t="shared" ref="B6:AB6" si="0">B2&amp;"_"&amp;B5</f>
        <v>47_VNA</v>
      </c>
      <c r="C6" s="274" t="str">
        <f t="shared" si="0"/>
        <v>PPCHAV_VNS</v>
      </c>
      <c r="D6" s="274" t="str">
        <f t="shared" si="0"/>
        <v>48_VNI</v>
      </c>
      <c r="E6" s="274" t="str">
        <f t="shared" si="0"/>
        <v>48_VNA</v>
      </c>
      <c r="F6" s="274" t="str">
        <f t="shared" si="0"/>
        <v>49_VNI</v>
      </c>
      <c r="G6" s="274" t="str">
        <f t="shared" si="0"/>
        <v>49_VNA</v>
      </c>
      <c r="H6" s="274" t="str">
        <f t="shared" si="0"/>
        <v>PPCNO1_VNS</v>
      </c>
      <c r="I6" s="274" t="str">
        <f t="shared" si="0"/>
        <v>249_VNI</v>
      </c>
      <c r="J6" s="274" t="str">
        <f t="shared" si="0"/>
        <v>249_VNA</v>
      </c>
      <c r="K6" s="274" t="str">
        <f t="shared" si="0"/>
        <v>PPSGCS_VNI_Parcial</v>
      </c>
      <c r="L6" s="274" t="str">
        <f t="shared" si="0"/>
        <v>50_VNI</v>
      </c>
      <c r="M6" s="274" t="str">
        <f t="shared" si="0"/>
        <v>50_VNA</v>
      </c>
      <c r="N6" s="274" t="str">
        <f t="shared" si="0"/>
        <v>51_VNI</v>
      </c>
      <c r="O6" s="274" t="str">
        <f t="shared" si="0"/>
        <v>51_VNA</v>
      </c>
      <c r="P6" s="274" t="str">
        <f t="shared" si="0"/>
        <v>52_VNI</v>
      </c>
      <c r="Q6" s="274" t="str">
        <f t="shared" si="0"/>
        <v>52_VNA</v>
      </c>
      <c r="R6" s="274" t="str">
        <f t="shared" si="0"/>
        <v>57_VNI</v>
      </c>
      <c r="S6" s="274" t="str">
        <f t="shared" si="0"/>
        <v>57_VNA</v>
      </c>
      <c r="T6" s="274" t="str">
        <f t="shared" si="0"/>
        <v>PPCAPI_VNS</v>
      </c>
      <c r="U6" s="274" t="str">
        <f t="shared" si="0"/>
        <v>61_VNI</v>
      </c>
      <c r="V6" s="274" t="str">
        <f t="shared" si="0"/>
        <v>61_VNA</v>
      </c>
      <c r="W6" s="274" t="str">
        <f t="shared" si="0"/>
        <v>PPROSA_VNS</v>
      </c>
      <c r="X6" s="274" t="str">
        <f t="shared" si="0"/>
        <v>62_VNI</v>
      </c>
      <c r="Y6" s="274" t="str">
        <f t="shared" si="0"/>
        <v>62_VNA</v>
      </c>
      <c r="Z6" s="274" t="str">
        <f t="shared" si="0"/>
        <v>PPROSA_VNI_Parcial</v>
      </c>
      <c r="AA6" s="274" t="str">
        <f t="shared" si="0"/>
        <v>63_VNI</v>
      </c>
      <c r="AB6" s="274" t="str">
        <f t="shared" si="0"/>
        <v>63_VNA</v>
      </c>
    </row>
    <row r="7" spans="1:28" x14ac:dyDescent="0.2">
      <c r="A7" s="49">
        <f t="shared" ref="A7:A36" ca="1" si="1">A8-1</f>
        <v>43806</v>
      </c>
      <c r="B7" s="288">
        <f ca="1">SUMPRODUCT((TABELA_VAZAO[Posto]=B$2)*1,(TABELA_VAZAO[Data]=$A7)*1,TABELA_VAZAO[qnat])</f>
        <v>0</v>
      </c>
      <c r="C7" s="67" t="e">
        <f ca="1">INDEX(RESULTADOS!$A:$BA,MATCH($A7,RESULTADOS!$A:$A,0),MATCH(C$1,RESULTADOS!$1:$1,0))</f>
        <v>#N/A</v>
      </c>
      <c r="D7" s="250">
        <f ca="1">SUMPRODUCT((TABELA_VAZAO[Posto]=D$2)*1,(TABELA_VAZAO[Data]=$A7)*1,TABELA_VAZAO[qinc])</f>
        <v>0</v>
      </c>
      <c r="E7" s="288">
        <f ca="1">SUMPRODUCT((TABELA_VAZAO[Posto]=E$2)*1,(TABELA_VAZAO[Data]=$A7)*1,TABELA_VAZAO[qnat])</f>
        <v>0</v>
      </c>
      <c r="F7" s="250">
        <f ca="1">SUMPRODUCT((TABELA_VAZAO[Posto]=F$2)*1,(TABELA_VAZAO[Data]=$A7)*1,TABELA_VAZAO[qinc])</f>
        <v>0</v>
      </c>
      <c r="G7" s="288">
        <f ca="1">SUMPRODUCT((TABELA_VAZAO[Posto]=G$2)*1,(TABELA_VAZAO[Data]=$A7)*1,TABELA_VAZAO[qnat])</f>
        <v>0</v>
      </c>
      <c r="H7" s="67" t="e">
        <f ca="1">INDEX(RESULTADOS!$A:$BA,MATCH($A7,RESULTADOS!$A:$A,0),MATCH(H$1,RESULTADOS!$1:$1,0))</f>
        <v>#N/A</v>
      </c>
      <c r="I7" s="250">
        <f ca="1">SUMPRODUCT((TABELA_VAZAO[Posto]=I$2)*1,(TABELA_VAZAO[Data]=$A7)*1,TABELA_VAZAO[qinc])</f>
        <v>0</v>
      </c>
      <c r="J7" s="288">
        <f ca="1">SUMPRODUCT((TABELA_VAZAO[Posto]=J$2)*1,(TABELA_VAZAO[Data]=$A7)*1,TABELA_VAZAO[qnat])</f>
        <v>0</v>
      </c>
      <c r="K7" s="57" t="e">
        <f ca="1">$K$4*$H7</f>
        <v>#N/A</v>
      </c>
      <c r="L7" s="250">
        <f ca="1">SUMPRODUCT((TABELA_VAZAO[Posto]=L$2)*1,(TABELA_VAZAO[Data]=$A7)*1,TABELA_VAZAO[qinc])</f>
        <v>0</v>
      </c>
      <c r="M7" s="288">
        <f ca="1">SUMPRODUCT((TABELA_VAZAO[Posto]=M$2)*1,(TABELA_VAZAO[Data]=$A7)*1,TABELA_VAZAO[qnat])</f>
        <v>0</v>
      </c>
      <c r="N7" s="250">
        <f ca="1">SUMPRODUCT((TABELA_VAZAO[Posto]=N$2)*1,(TABELA_VAZAO[Data]=$A7)*1,TABELA_VAZAO[qinc])</f>
        <v>0</v>
      </c>
      <c r="O7" s="288">
        <f ca="1">SUMPRODUCT((TABELA_VAZAO[Posto]=O$2)*1,(TABELA_VAZAO[Data]=$A7)*1,TABELA_VAZAO[qnat])</f>
        <v>0</v>
      </c>
      <c r="P7" s="250">
        <f ca="1">SUMPRODUCT((TABELA_VAZAO[Posto]=P$2)*1,(TABELA_VAZAO[Data]=$A7)*1,TABELA_VAZAO[qinc])</f>
        <v>0</v>
      </c>
      <c r="Q7" s="288">
        <f ca="1">SUMPRODUCT((TABELA_VAZAO[Posto]=Q$2)*1,(TABELA_VAZAO[Data]=$A7)*1,TABELA_VAZAO[qnat])</f>
        <v>0</v>
      </c>
      <c r="R7" s="250">
        <f ca="1">SUMPRODUCT((TABELA_VAZAO[Posto]=R$2)*1,(TABELA_VAZAO[Data]=$A7)*1,TABELA_VAZAO[qinc])</f>
        <v>0</v>
      </c>
      <c r="S7" s="288">
        <f ca="1">SUMPRODUCT((TABELA_VAZAO[Posto]=S$2)*1,(TABELA_VAZAO[Data]=$A7)*1,TABELA_VAZAO[qnat])</f>
        <v>0</v>
      </c>
      <c r="T7" s="67" t="e">
        <f ca="1">INDEX(RESULTADOS!$A:$BA,MATCH($A7,RESULTADOS!$A:$A,0),MATCH(T$1,RESULTADOS!$1:$1,0))</f>
        <v>#N/A</v>
      </c>
      <c r="U7" s="250">
        <f ca="1">SUMPRODUCT((TABELA_VAZAO[Posto]=U$2)*1,(TABELA_VAZAO[Data]=$A7)*1,TABELA_VAZAO[qinc])</f>
        <v>0</v>
      </c>
      <c r="V7" s="288">
        <f ca="1">SUMPRODUCT((TABELA_VAZAO[Posto]=V$2)*1,(TABELA_VAZAO[Data]=$A7)*1,TABELA_VAZAO[qnat])</f>
        <v>0</v>
      </c>
      <c r="W7" s="67" t="e">
        <f ca="1">INDEX(RESULTADOS!$A:$BA,MATCH($A7,RESULTADOS!$A:$A,0),MATCH(W$1,RESULTADOS!$1:$1,0))</f>
        <v>#N/A</v>
      </c>
      <c r="X7" s="250">
        <f ca="1">SUMPRODUCT((TABELA_VAZAO[Posto]=X$2)*1,(TABELA_VAZAO[Data]=$A7)*1,TABELA_VAZAO[qinc])</f>
        <v>0</v>
      </c>
      <c r="Y7" s="288">
        <f ca="1">SUMPRODUCT((TABELA_VAZAO[Posto]=Y$2)*1,(TABELA_VAZAO[Data]=$A7)*1,TABELA_VAZAO[qnat])</f>
        <v>0</v>
      </c>
      <c r="Z7" s="57" t="e">
        <f ca="1">$Z$4*$W7</f>
        <v>#N/A</v>
      </c>
      <c r="AA7" s="250">
        <f ca="1">SUMPRODUCT((TABELA_VAZAO[Posto]=AA$2)*1,(TABELA_VAZAO[Data]=$A7)*1,TABELA_VAZAO[qinc])</f>
        <v>0</v>
      </c>
      <c r="AB7" s="288">
        <f ca="1">SUMPRODUCT((TABELA_VAZAO[Posto]=AB$2)*1,(TABELA_VAZAO[Data]=$A7)*1,TABELA_VAZAO[qnat])</f>
        <v>0</v>
      </c>
    </row>
    <row r="8" spans="1:28" x14ac:dyDescent="0.2">
      <c r="A8" s="49">
        <f t="shared" ca="1" si="1"/>
        <v>43807</v>
      </c>
      <c r="B8" s="288">
        <f ca="1">SUMPRODUCT((TABELA_VAZAO[Posto]=B$2)*1,(TABELA_VAZAO[Data]=$A8)*1,TABELA_VAZAO[qnat])</f>
        <v>0</v>
      </c>
      <c r="C8" s="67" t="e">
        <f ca="1">INDEX(RESULTADOS!$A:$BA,MATCH($A8,RESULTADOS!$A:$A,0),MATCH(C$1,RESULTADOS!$1:$1,0))</f>
        <v>#N/A</v>
      </c>
      <c r="D8" s="250">
        <f ca="1">SUMPRODUCT((TABELA_VAZAO[Posto]=D$2)*1,(TABELA_VAZAO[Data]=$A8)*1,TABELA_VAZAO[qinc])</f>
        <v>0</v>
      </c>
      <c r="E8" s="288">
        <f ca="1">SUMPRODUCT((TABELA_VAZAO[Posto]=E$2)*1,(TABELA_VAZAO[Data]=$A8)*1,TABELA_VAZAO[qnat])</f>
        <v>0</v>
      </c>
      <c r="F8" s="250">
        <f ca="1">SUMPRODUCT((TABELA_VAZAO[Posto]=F$2)*1,(TABELA_VAZAO[Data]=$A8)*1,TABELA_VAZAO[qinc])</f>
        <v>0</v>
      </c>
      <c r="G8" s="288">
        <f ca="1">SUMPRODUCT((TABELA_VAZAO[Posto]=G$2)*1,(TABELA_VAZAO[Data]=$A8)*1,TABELA_VAZAO[qnat])</f>
        <v>0</v>
      </c>
      <c r="H8" s="67" t="e">
        <f ca="1">INDEX(RESULTADOS!$A:$BA,MATCH($A8,RESULTADOS!$A:$A,0),MATCH(H$1,RESULTADOS!$1:$1,0))</f>
        <v>#N/A</v>
      </c>
      <c r="I8" s="250">
        <f ca="1">SUMPRODUCT((TABELA_VAZAO[Posto]=I$2)*1,(TABELA_VAZAO[Data]=$A8)*1,TABELA_VAZAO[qinc])</f>
        <v>0</v>
      </c>
      <c r="J8" s="288">
        <f ca="1">SUMPRODUCT((TABELA_VAZAO[Posto]=J$2)*1,(TABELA_VAZAO[Data]=$A8)*1,TABELA_VAZAO[qnat])</f>
        <v>0</v>
      </c>
      <c r="K8" s="57" t="e">
        <f t="shared" ref="K8:K71" ca="1" si="2">$K$4*$H8</f>
        <v>#N/A</v>
      </c>
      <c r="L8" s="250">
        <f ca="1">SUMPRODUCT((TABELA_VAZAO[Posto]=L$2)*1,(TABELA_VAZAO[Data]=$A8)*1,TABELA_VAZAO[qinc])</f>
        <v>0</v>
      </c>
      <c r="M8" s="288">
        <f ca="1">SUMPRODUCT((TABELA_VAZAO[Posto]=M$2)*1,(TABELA_VAZAO[Data]=$A8)*1,TABELA_VAZAO[qnat])</f>
        <v>0</v>
      </c>
      <c r="N8" s="250">
        <f ca="1">SUMPRODUCT((TABELA_VAZAO[Posto]=N$2)*1,(TABELA_VAZAO[Data]=$A8)*1,TABELA_VAZAO[qinc])</f>
        <v>0</v>
      </c>
      <c r="O8" s="288">
        <f ca="1">SUMPRODUCT((TABELA_VAZAO[Posto]=O$2)*1,(TABELA_VAZAO[Data]=$A8)*1,TABELA_VAZAO[qnat])</f>
        <v>0</v>
      </c>
      <c r="P8" s="250">
        <f ca="1">SUMPRODUCT((TABELA_VAZAO[Posto]=P$2)*1,(TABELA_VAZAO[Data]=$A8)*1,TABELA_VAZAO[qinc])</f>
        <v>0</v>
      </c>
      <c r="Q8" s="288">
        <f ca="1">SUMPRODUCT((TABELA_VAZAO[Posto]=Q$2)*1,(TABELA_VAZAO[Data]=$A8)*1,TABELA_VAZAO[qnat])</f>
        <v>0</v>
      </c>
      <c r="R8" s="250">
        <f ca="1">SUMPRODUCT((TABELA_VAZAO[Posto]=R$2)*1,(TABELA_VAZAO[Data]=$A8)*1,TABELA_VAZAO[qinc])</f>
        <v>0</v>
      </c>
      <c r="S8" s="288">
        <f ca="1">SUMPRODUCT((TABELA_VAZAO[Posto]=S$2)*1,(TABELA_VAZAO[Data]=$A8)*1,TABELA_VAZAO[qnat])</f>
        <v>0</v>
      </c>
      <c r="T8" s="67" t="e">
        <f ca="1">INDEX(RESULTADOS!$A:$BA,MATCH($A8,RESULTADOS!$A:$A,0),MATCH(T$1,RESULTADOS!$1:$1,0))</f>
        <v>#N/A</v>
      </c>
      <c r="U8" s="250">
        <f ca="1">SUMPRODUCT((TABELA_VAZAO[Posto]=U$2)*1,(TABELA_VAZAO[Data]=$A8)*1,TABELA_VAZAO[qinc])</f>
        <v>0</v>
      </c>
      <c r="V8" s="288">
        <f ca="1">SUMPRODUCT((TABELA_VAZAO[Posto]=V$2)*1,(TABELA_VAZAO[Data]=$A8)*1,TABELA_VAZAO[qnat])</f>
        <v>0</v>
      </c>
      <c r="W8" s="67" t="e">
        <f ca="1">INDEX(RESULTADOS!$A:$BA,MATCH($A8,RESULTADOS!$A:$A,0),MATCH(W$1,RESULTADOS!$1:$1,0))</f>
        <v>#N/A</v>
      </c>
      <c r="X8" s="250">
        <f ca="1">SUMPRODUCT((TABELA_VAZAO[Posto]=X$2)*1,(TABELA_VAZAO[Data]=$A8)*1,TABELA_VAZAO[qinc])</f>
        <v>0</v>
      </c>
      <c r="Y8" s="288">
        <f ca="1">SUMPRODUCT((TABELA_VAZAO[Posto]=Y$2)*1,(TABELA_VAZAO[Data]=$A8)*1,TABELA_VAZAO[qnat])</f>
        <v>0</v>
      </c>
      <c r="Z8" s="57" t="e">
        <f t="shared" ref="Z8:Z71" ca="1" si="3">$Z$4*$W8</f>
        <v>#N/A</v>
      </c>
      <c r="AA8" s="250">
        <f ca="1">SUMPRODUCT((TABELA_VAZAO[Posto]=AA$2)*1,(TABELA_VAZAO[Data]=$A8)*1,TABELA_VAZAO[qinc])</f>
        <v>0</v>
      </c>
      <c r="AB8" s="288">
        <f ca="1">SUMPRODUCT((TABELA_VAZAO[Posto]=AB$2)*1,(TABELA_VAZAO[Data]=$A8)*1,TABELA_VAZAO[qnat])</f>
        <v>0</v>
      </c>
    </row>
    <row r="9" spans="1:28" x14ac:dyDescent="0.2">
      <c r="A9" s="49">
        <f t="shared" ca="1" si="1"/>
        <v>43808</v>
      </c>
      <c r="B9" s="288">
        <f ca="1">SUMPRODUCT((TABELA_VAZAO[Posto]=B$2)*1,(TABELA_VAZAO[Data]=$A9)*1,TABELA_VAZAO[qnat])</f>
        <v>0</v>
      </c>
      <c r="C9" s="67" t="e">
        <f ca="1">INDEX(RESULTADOS!$A:$BA,MATCH($A9,RESULTADOS!$A:$A,0),MATCH(C$1,RESULTADOS!$1:$1,0))</f>
        <v>#N/A</v>
      </c>
      <c r="D9" s="250">
        <f ca="1">SUMPRODUCT((TABELA_VAZAO[Posto]=D$2)*1,(TABELA_VAZAO[Data]=$A9)*1,TABELA_VAZAO[qinc])</f>
        <v>0</v>
      </c>
      <c r="E9" s="288">
        <f ca="1">SUMPRODUCT((TABELA_VAZAO[Posto]=E$2)*1,(TABELA_VAZAO[Data]=$A9)*1,TABELA_VAZAO[qnat])</f>
        <v>0</v>
      </c>
      <c r="F9" s="250">
        <f ca="1">SUMPRODUCT((TABELA_VAZAO[Posto]=F$2)*1,(TABELA_VAZAO[Data]=$A9)*1,TABELA_VAZAO[qinc])</f>
        <v>0</v>
      </c>
      <c r="G9" s="288">
        <f ca="1">SUMPRODUCT((TABELA_VAZAO[Posto]=G$2)*1,(TABELA_VAZAO[Data]=$A9)*1,TABELA_VAZAO[qnat])</f>
        <v>0</v>
      </c>
      <c r="H9" s="67" t="e">
        <f ca="1">INDEX(RESULTADOS!$A:$BA,MATCH($A9,RESULTADOS!$A:$A,0),MATCH(H$1,RESULTADOS!$1:$1,0))</f>
        <v>#N/A</v>
      </c>
      <c r="I9" s="250">
        <f ca="1">SUMPRODUCT((TABELA_VAZAO[Posto]=I$2)*1,(TABELA_VAZAO[Data]=$A9)*1,TABELA_VAZAO[qinc])</f>
        <v>0</v>
      </c>
      <c r="J9" s="288">
        <f ca="1">SUMPRODUCT((TABELA_VAZAO[Posto]=J$2)*1,(TABELA_VAZAO[Data]=$A9)*1,TABELA_VAZAO[qnat])</f>
        <v>0</v>
      </c>
      <c r="K9" s="57" t="e">
        <f t="shared" ca="1" si="2"/>
        <v>#N/A</v>
      </c>
      <c r="L9" s="250">
        <f ca="1">SUMPRODUCT((TABELA_VAZAO[Posto]=L$2)*1,(TABELA_VAZAO[Data]=$A9)*1,TABELA_VAZAO[qinc])</f>
        <v>0</v>
      </c>
      <c r="M9" s="288">
        <f ca="1">SUMPRODUCT((TABELA_VAZAO[Posto]=M$2)*1,(TABELA_VAZAO[Data]=$A9)*1,TABELA_VAZAO[qnat])</f>
        <v>0</v>
      </c>
      <c r="N9" s="250">
        <f ca="1">SUMPRODUCT((TABELA_VAZAO[Posto]=N$2)*1,(TABELA_VAZAO[Data]=$A9)*1,TABELA_VAZAO[qinc])</f>
        <v>0</v>
      </c>
      <c r="O9" s="288">
        <f ca="1">SUMPRODUCT((TABELA_VAZAO[Posto]=O$2)*1,(TABELA_VAZAO[Data]=$A9)*1,TABELA_VAZAO[qnat])</f>
        <v>0</v>
      </c>
      <c r="P9" s="250">
        <f ca="1">SUMPRODUCT((TABELA_VAZAO[Posto]=P$2)*1,(TABELA_VAZAO[Data]=$A9)*1,TABELA_VAZAO[qinc])</f>
        <v>0</v>
      </c>
      <c r="Q9" s="288">
        <f ca="1">SUMPRODUCT((TABELA_VAZAO[Posto]=Q$2)*1,(TABELA_VAZAO[Data]=$A9)*1,TABELA_VAZAO[qnat])</f>
        <v>0</v>
      </c>
      <c r="R9" s="250">
        <f ca="1">SUMPRODUCT((TABELA_VAZAO[Posto]=R$2)*1,(TABELA_VAZAO[Data]=$A9)*1,TABELA_VAZAO[qinc])</f>
        <v>0</v>
      </c>
      <c r="S9" s="288">
        <f ca="1">SUMPRODUCT((TABELA_VAZAO[Posto]=S$2)*1,(TABELA_VAZAO[Data]=$A9)*1,TABELA_VAZAO[qnat])</f>
        <v>0</v>
      </c>
      <c r="T9" s="67" t="e">
        <f ca="1">INDEX(RESULTADOS!$A:$BA,MATCH($A9,RESULTADOS!$A:$A,0),MATCH(T$1,RESULTADOS!$1:$1,0))</f>
        <v>#N/A</v>
      </c>
      <c r="U9" s="250">
        <f ca="1">SUMPRODUCT((TABELA_VAZAO[Posto]=U$2)*1,(TABELA_VAZAO[Data]=$A9)*1,TABELA_VAZAO[qinc])</f>
        <v>0</v>
      </c>
      <c r="V9" s="288">
        <f ca="1">SUMPRODUCT((TABELA_VAZAO[Posto]=V$2)*1,(TABELA_VAZAO[Data]=$A9)*1,TABELA_VAZAO[qnat])</f>
        <v>0</v>
      </c>
      <c r="W9" s="67" t="e">
        <f ca="1">INDEX(RESULTADOS!$A:$BA,MATCH($A9,RESULTADOS!$A:$A,0),MATCH(W$1,RESULTADOS!$1:$1,0))</f>
        <v>#N/A</v>
      </c>
      <c r="X9" s="250">
        <f ca="1">SUMPRODUCT((TABELA_VAZAO[Posto]=X$2)*1,(TABELA_VAZAO[Data]=$A9)*1,TABELA_VAZAO[qinc])</f>
        <v>0</v>
      </c>
      <c r="Y9" s="288">
        <f ca="1">SUMPRODUCT((TABELA_VAZAO[Posto]=Y$2)*1,(TABELA_VAZAO[Data]=$A9)*1,TABELA_VAZAO[qnat])</f>
        <v>0</v>
      </c>
      <c r="Z9" s="57" t="e">
        <f t="shared" ca="1" si="3"/>
        <v>#N/A</v>
      </c>
      <c r="AA9" s="250">
        <f ca="1">SUMPRODUCT((TABELA_VAZAO[Posto]=AA$2)*1,(TABELA_VAZAO[Data]=$A9)*1,TABELA_VAZAO[qinc])</f>
        <v>0</v>
      </c>
      <c r="AB9" s="288">
        <f ca="1">SUMPRODUCT((TABELA_VAZAO[Posto]=AB$2)*1,(TABELA_VAZAO[Data]=$A9)*1,TABELA_VAZAO[qnat])</f>
        <v>0</v>
      </c>
    </row>
    <row r="10" spans="1:28" x14ac:dyDescent="0.2">
      <c r="A10" s="49">
        <f t="shared" ca="1" si="1"/>
        <v>43809</v>
      </c>
      <c r="B10" s="288">
        <f ca="1">SUMPRODUCT((TABELA_VAZAO[Posto]=B$2)*1,(TABELA_VAZAO[Data]=$A10)*1,TABELA_VAZAO[qnat])</f>
        <v>0</v>
      </c>
      <c r="C10" s="67" t="e">
        <f ca="1">INDEX(RESULTADOS!$A:$BA,MATCH($A10,RESULTADOS!$A:$A,0),MATCH(C$1,RESULTADOS!$1:$1,0))</f>
        <v>#N/A</v>
      </c>
      <c r="D10" s="250">
        <f ca="1">SUMPRODUCT((TABELA_VAZAO[Posto]=D$2)*1,(TABELA_VAZAO[Data]=$A10)*1,TABELA_VAZAO[qinc])</f>
        <v>0</v>
      </c>
      <c r="E10" s="288">
        <f ca="1">SUMPRODUCT((TABELA_VAZAO[Posto]=E$2)*1,(TABELA_VAZAO[Data]=$A10)*1,TABELA_VAZAO[qnat])</f>
        <v>0</v>
      </c>
      <c r="F10" s="250">
        <f ca="1">SUMPRODUCT((TABELA_VAZAO[Posto]=F$2)*1,(TABELA_VAZAO[Data]=$A10)*1,TABELA_VAZAO[qinc])</f>
        <v>0</v>
      </c>
      <c r="G10" s="288">
        <f ca="1">SUMPRODUCT((TABELA_VAZAO[Posto]=G$2)*1,(TABELA_VAZAO[Data]=$A10)*1,TABELA_VAZAO[qnat])</f>
        <v>0</v>
      </c>
      <c r="H10" s="67" t="e">
        <f ca="1">INDEX(RESULTADOS!$A:$BA,MATCH($A10,RESULTADOS!$A:$A,0),MATCH(H$1,RESULTADOS!$1:$1,0))</f>
        <v>#N/A</v>
      </c>
      <c r="I10" s="250">
        <f ca="1">SUMPRODUCT((TABELA_VAZAO[Posto]=I$2)*1,(TABELA_VAZAO[Data]=$A10)*1,TABELA_VAZAO[qinc])</f>
        <v>0</v>
      </c>
      <c r="J10" s="288">
        <f ca="1">SUMPRODUCT((TABELA_VAZAO[Posto]=J$2)*1,(TABELA_VAZAO[Data]=$A10)*1,TABELA_VAZAO[qnat])</f>
        <v>0</v>
      </c>
      <c r="K10" s="57" t="e">
        <f t="shared" ca="1" si="2"/>
        <v>#N/A</v>
      </c>
      <c r="L10" s="250">
        <f ca="1">SUMPRODUCT((TABELA_VAZAO[Posto]=L$2)*1,(TABELA_VAZAO[Data]=$A10)*1,TABELA_VAZAO[qinc])</f>
        <v>0</v>
      </c>
      <c r="M10" s="288">
        <f ca="1">SUMPRODUCT((TABELA_VAZAO[Posto]=M$2)*1,(TABELA_VAZAO[Data]=$A10)*1,TABELA_VAZAO[qnat])</f>
        <v>0</v>
      </c>
      <c r="N10" s="250">
        <f ca="1">SUMPRODUCT((TABELA_VAZAO[Posto]=N$2)*1,(TABELA_VAZAO[Data]=$A10)*1,TABELA_VAZAO[qinc])</f>
        <v>0</v>
      </c>
      <c r="O10" s="288">
        <f ca="1">SUMPRODUCT((TABELA_VAZAO[Posto]=O$2)*1,(TABELA_VAZAO[Data]=$A10)*1,TABELA_VAZAO[qnat])</f>
        <v>0</v>
      </c>
      <c r="P10" s="250">
        <f ca="1">SUMPRODUCT((TABELA_VAZAO[Posto]=P$2)*1,(TABELA_VAZAO[Data]=$A10)*1,TABELA_VAZAO[qinc])</f>
        <v>0</v>
      </c>
      <c r="Q10" s="288">
        <f ca="1">SUMPRODUCT((TABELA_VAZAO[Posto]=Q$2)*1,(TABELA_VAZAO[Data]=$A10)*1,TABELA_VAZAO[qnat])</f>
        <v>0</v>
      </c>
      <c r="R10" s="250">
        <f ca="1">SUMPRODUCT((TABELA_VAZAO[Posto]=R$2)*1,(TABELA_VAZAO[Data]=$A10)*1,TABELA_VAZAO[qinc])</f>
        <v>0</v>
      </c>
      <c r="S10" s="288">
        <f ca="1">SUMPRODUCT((TABELA_VAZAO[Posto]=S$2)*1,(TABELA_VAZAO[Data]=$A10)*1,TABELA_VAZAO[qnat])</f>
        <v>0</v>
      </c>
      <c r="T10" s="67" t="e">
        <f ca="1">INDEX(RESULTADOS!$A:$BA,MATCH($A10,RESULTADOS!$A:$A,0),MATCH(T$1,RESULTADOS!$1:$1,0))</f>
        <v>#N/A</v>
      </c>
      <c r="U10" s="250">
        <f ca="1">SUMPRODUCT((TABELA_VAZAO[Posto]=U$2)*1,(TABELA_VAZAO[Data]=$A10)*1,TABELA_VAZAO[qinc])</f>
        <v>0</v>
      </c>
      <c r="V10" s="288">
        <f ca="1">SUMPRODUCT((TABELA_VAZAO[Posto]=V$2)*1,(TABELA_VAZAO[Data]=$A10)*1,TABELA_VAZAO[qnat])</f>
        <v>0</v>
      </c>
      <c r="W10" s="67" t="e">
        <f ca="1">INDEX(RESULTADOS!$A:$BA,MATCH($A10,RESULTADOS!$A:$A,0),MATCH(W$1,RESULTADOS!$1:$1,0))</f>
        <v>#N/A</v>
      </c>
      <c r="X10" s="250">
        <f ca="1">SUMPRODUCT((TABELA_VAZAO[Posto]=X$2)*1,(TABELA_VAZAO[Data]=$A10)*1,TABELA_VAZAO[qinc])</f>
        <v>0</v>
      </c>
      <c r="Y10" s="288">
        <f ca="1">SUMPRODUCT((TABELA_VAZAO[Posto]=Y$2)*1,(TABELA_VAZAO[Data]=$A10)*1,TABELA_VAZAO[qnat])</f>
        <v>0</v>
      </c>
      <c r="Z10" s="57" t="e">
        <f t="shared" ca="1" si="3"/>
        <v>#N/A</v>
      </c>
      <c r="AA10" s="250">
        <f ca="1">SUMPRODUCT((TABELA_VAZAO[Posto]=AA$2)*1,(TABELA_VAZAO[Data]=$A10)*1,TABELA_VAZAO[qinc])</f>
        <v>0</v>
      </c>
      <c r="AB10" s="288">
        <f ca="1">SUMPRODUCT((TABELA_VAZAO[Posto]=AB$2)*1,(TABELA_VAZAO[Data]=$A10)*1,TABELA_VAZAO[qnat])</f>
        <v>0</v>
      </c>
    </row>
    <row r="11" spans="1:28" x14ac:dyDescent="0.2">
      <c r="A11" s="49">
        <f t="shared" ca="1" si="1"/>
        <v>43810</v>
      </c>
      <c r="B11" s="288">
        <f ca="1">SUMPRODUCT((TABELA_VAZAO[Posto]=B$2)*1,(TABELA_VAZAO[Data]=$A11)*1,TABELA_VAZAO[qnat])</f>
        <v>0</v>
      </c>
      <c r="C11" s="67" t="e">
        <f ca="1">INDEX(RESULTADOS!$A:$BA,MATCH($A11,RESULTADOS!$A:$A,0),MATCH(C$1,RESULTADOS!$1:$1,0))</f>
        <v>#N/A</v>
      </c>
      <c r="D11" s="250">
        <f ca="1">SUMPRODUCT((TABELA_VAZAO[Posto]=D$2)*1,(TABELA_VAZAO[Data]=$A11)*1,TABELA_VAZAO[qinc])</f>
        <v>0</v>
      </c>
      <c r="E11" s="288">
        <f ca="1">SUMPRODUCT((TABELA_VAZAO[Posto]=E$2)*1,(TABELA_VAZAO[Data]=$A11)*1,TABELA_VAZAO[qnat])</f>
        <v>0</v>
      </c>
      <c r="F11" s="250">
        <f ca="1">SUMPRODUCT((TABELA_VAZAO[Posto]=F$2)*1,(TABELA_VAZAO[Data]=$A11)*1,TABELA_VAZAO[qinc])</f>
        <v>0</v>
      </c>
      <c r="G11" s="288">
        <f ca="1">SUMPRODUCT((TABELA_VAZAO[Posto]=G$2)*1,(TABELA_VAZAO[Data]=$A11)*1,TABELA_VAZAO[qnat])</f>
        <v>0</v>
      </c>
      <c r="H11" s="67" t="e">
        <f ca="1">INDEX(RESULTADOS!$A:$BA,MATCH($A11,RESULTADOS!$A:$A,0),MATCH(H$1,RESULTADOS!$1:$1,0))</f>
        <v>#N/A</v>
      </c>
      <c r="I11" s="250">
        <f ca="1">SUMPRODUCT((TABELA_VAZAO[Posto]=I$2)*1,(TABELA_VAZAO[Data]=$A11)*1,TABELA_VAZAO[qinc])</f>
        <v>0</v>
      </c>
      <c r="J11" s="288">
        <f ca="1">SUMPRODUCT((TABELA_VAZAO[Posto]=J$2)*1,(TABELA_VAZAO[Data]=$A11)*1,TABELA_VAZAO[qnat])</f>
        <v>0</v>
      </c>
      <c r="K11" s="57" t="e">
        <f t="shared" ca="1" si="2"/>
        <v>#N/A</v>
      </c>
      <c r="L11" s="250">
        <f ca="1">SUMPRODUCT((TABELA_VAZAO[Posto]=L$2)*1,(TABELA_VAZAO[Data]=$A11)*1,TABELA_VAZAO[qinc])</f>
        <v>0</v>
      </c>
      <c r="M11" s="288">
        <f ca="1">SUMPRODUCT((TABELA_VAZAO[Posto]=M$2)*1,(TABELA_VAZAO[Data]=$A11)*1,TABELA_VAZAO[qnat])</f>
        <v>0</v>
      </c>
      <c r="N11" s="250">
        <f ca="1">SUMPRODUCT((TABELA_VAZAO[Posto]=N$2)*1,(TABELA_VAZAO[Data]=$A11)*1,TABELA_VAZAO[qinc])</f>
        <v>0</v>
      </c>
      <c r="O11" s="288">
        <f ca="1">SUMPRODUCT((TABELA_VAZAO[Posto]=O$2)*1,(TABELA_VAZAO[Data]=$A11)*1,TABELA_VAZAO[qnat])</f>
        <v>0</v>
      </c>
      <c r="P11" s="250">
        <f ca="1">SUMPRODUCT((TABELA_VAZAO[Posto]=P$2)*1,(TABELA_VAZAO[Data]=$A11)*1,TABELA_VAZAO[qinc])</f>
        <v>0</v>
      </c>
      <c r="Q11" s="288">
        <f ca="1">SUMPRODUCT((TABELA_VAZAO[Posto]=Q$2)*1,(TABELA_VAZAO[Data]=$A11)*1,TABELA_VAZAO[qnat])</f>
        <v>0</v>
      </c>
      <c r="R11" s="250">
        <f ca="1">SUMPRODUCT((TABELA_VAZAO[Posto]=R$2)*1,(TABELA_VAZAO[Data]=$A11)*1,TABELA_VAZAO[qinc])</f>
        <v>0</v>
      </c>
      <c r="S11" s="288">
        <f ca="1">SUMPRODUCT((TABELA_VAZAO[Posto]=S$2)*1,(TABELA_VAZAO[Data]=$A11)*1,TABELA_VAZAO[qnat])</f>
        <v>0</v>
      </c>
      <c r="T11" s="67" t="e">
        <f ca="1">INDEX(RESULTADOS!$A:$BA,MATCH($A11,RESULTADOS!$A:$A,0),MATCH(T$1,RESULTADOS!$1:$1,0))</f>
        <v>#N/A</v>
      </c>
      <c r="U11" s="250">
        <f ca="1">SUMPRODUCT((TABELA_VAZAO[Posto]=U$2)*1,(TABELA_VAZAO[Data]=$A11)*1,TABELA_VAZAO[qinc])</f>
        <v>0</v>
      </c>
      <c r="V11" s="288">
        <f ca="1">SUMPRODUCT((TABELA_VAZAO[Posto]=V$2)*1,(TABELA_VAZAO[Data]=$A11)*1,TABELA_VAZAO[qnat])</f>
        <v>0</v>
      </c>
      <c r="W11" s="67" t="e">
        <f ca="1">INDEX(RESULTADOS!$A:$BA,MATCH($A11,RESULTADOS!$A:$A,0),MATCH(W$1,RESULTADOS!$1:$1,0))</f>
        <v>#N/A</v>
      </c>
      <c r="X11" s="250">
        <f ca="1">SUMPRODUCT((TABELA_VAZAO[Posto]=X$2)*1,(TABELA_VAZAO[Data]=$A11)*1,TABELA_VAZAO[qinc])</f>
        <v>0</v>
      </c>
      <c r="Y11" s="288">
        <f ca="1">SUMPRODUCT((TABELA_VAZAO[Posto]=Y$2)*1,(TABELA_VAZAO[Data]=$A11)*1,TABELA_VAZAO[qnat])</f>
        <v>0</v>
      </c>
      <c r="Z11" s="57" t="e">
        <f t="shared" ca="1" si="3"/>
        <v>#N/A</v>
      </c>
      <c r="AA11" s="250">
        <f ca="1">SUMPRODUCT((TABELA_VAZAO[Posto]=AA$2)*1,(TABELA_VAZAO[Data]=$A11)*1,TABELA_VAZAO[qinc])</f>
        <v>0</v>
      </c>
      <c r="AB11" s="288">
        <f ca="1">SUMPRODUCT((TABELA_VAZAO[Posto]=AB$2)*1,(TABELA_VAZAO[Data]=$A11)*1,TABELA_VAZAO[qnat])</f>
        <v>0</v>
      </c>
    </row>
    <row r="12" spans="1:28" x14ac:dyDescent="0.2">
      <c r="A12" s="49">
        <f t="shared" ca="1" si="1"/>
        <v>43811</v>
      </c>
      <c r="B12" s="288">
        <f ca="1">SUMPRODUCT((TABELA_VAZAO[Posto]=B$2)*1,(TABELA_VAZAO[Data]=$A12)*1,TABELA_VAZAO[qnat])</f>
        <v>0</v>
      </c>
      <c r="C12" s="67" t="e">
        <f ca="1">INDEX(RESULTADOS!$A:$BA,MATCH($A12,RESULTADOS!$A:$A,0),MATCH(C$1,RESULTADOS!$1:$1,0))</f>
        <v>#N/A</v>
      </c>
      <c r="D12" s="250">
        <f ca="1">SUMPRODUCT((TABELA_VAZAO[Posto]=D$2)*1,(TABELA_VAZAO[Data]=$A12)*1,TABELA_VAZAO[qinc])</f>
        <v>0</v>
      </c>
      <c r="E12" s="288">
        <f ca="1">SUMPRODUCT((TABELA_VAZAO[Posto]=E$2)*1,(TABELA_VAZAO[Data]=$A12)*1,TABELA_VAZAO[qnat])</f>
        <v>0</v>
      </c>
      <c r="F12" s="250">
        <f ca="1">SUMPRODUCT((TABELA_VAZAO[Posto]=F$2)*1,(TABELA_VAZAO[Data]=$A12)*1,TABELA_VAZAO[qinc])</f>
        <v>0</v>
      </c>
      <c r="G12" s="288">
        <f ca="1">SUMPRODUCT((TABELA_VAZAO[Posto]=G$2)*1,(TABELA_VAZAO[Data]=$A12)*1,TABELA_VAZAO[qnat])</f>
        <v>0</v>
      </c>
      <c r="H12" s="67" t="e">
        <f ca="1">INDEX(RESULTADOS!$A:$BA,MATCH($A12,RESULTADOS!$A:$A,0),MATCH(H$1,RESULTADOS!$1:$1,0))</f>
        <v>#N/A</v>
      </c>
      <c r="I12" s="250">
        <f ca="1">SUMPRODUCT((TABELA_VAZAO[Posto]=I$2)*1,(TABELA_VAZAO[Data]=$A12)*1,TABELA_VAZAO[qinc])</f>
        <v>0</v>
      </c>
      <c r="J12" s="288">
        <f ca="1">SUMPRODUCT((TABELA_VAZAO[Posto]=J$2)*1,(TABELA_VAZAO[Data]=$A12)*1,TABELA_VAZAO[qnat])</f>
        <v>0</v>
      </c>
      <c r="K12" s="57" t="e">
        <f t="shared" ca="1" si="2"/>
        <v>#N/A</v>
      </c>
      <c r="L12" s="250">
        <f ca="1">SUMPRODUCT((TABELA_VAZAO[Posto]=L$2)*1,(TABELA_VAZAO[Data]=$A12)*1,TABELA_VAZAO[qinc])</f>
        <v>0</v>
      </c>
      <c r="M12" s="288">
        <f ca="1">SUMPRODUCT((TABELA_VAZAO[Posto]=M$2)*1,(TABELA_VAZAO[Data]=$A12)*1,TABELA_VAZAO[qnat])</f>
        <v>0</v>
      </c>
      <c r="N12" s="250">
        <f ca="1">SUMPRODUCT((TABELA_VAZAO[Posto]=N$2)*1,(TABELA_VAZAO[Data]=$A12)*1,TABELA_VAZAO[qinc])</f>
        <v>0</v>
      </c>
      <c r="O12" s="288">
        <f ca="1">SUMPRODUCT((TABELA_VAZAO[Posto]=O$2)*1,(TABELA_VAZAO[Data]=$A12)*1,TABELA_VAZAO[qnat])</f>
        <v>0</v>
      </c>
      <c r="P12" s="250">
        <f ca="1">SUMPRODUCT((TABELA_VAZAO[Posto]=P$2)*1,(TABELA_VAZAO[Data]=$A12)*1,TABELA_VAZAO[qinc])</f>
        <v>0</v>
      </c>
      <c r="Q12" s="288">
        <f ca="1">SUMPRODUCT((TABELA_VAZAO[Posto]=Q$2)*1,(TABELA_VAZAO[Data]=$A12)*1,TABELA_VAZAO[qnat])</f>
        <v>0</v>
      </c>
      <c r="R12" s="250">
        <f ca="1">SUMPRODUCT((TABELA_VAZAO[Posto]=R$2)*1,(TABELA_VAZAO[Data]=$A12)*1,TABELA_VAZAO[qinc])</f>
        <v>0</v>
      </c>
      <c r="S12" s="288">
        <f ca="1">SUMPRODUCT((TABELA_VAZAO[Posto]=S$2)*1,(TABELA_VAZAO[Data]=$A12)*1,TABELA_VAZAO[qnat])</f>
        <v>0</v>
      </c>
      <c r="T12" s="67" t="e">
        <f ca="1">INDEX(RESULTADOS!$A:$BA,MATCH($A12,RESULTADOS!$A:$A,0),MATCH(T$1,RESULTADOS!$1:$1,0))</f>
        <v>#N/A</v>
      </c>
      <c r="U12" s="250">
        <f ca="1">SUMPRODUCT((TABELA_VAZAO[Posto]=U$2)*1,(TABELA_VAZAO[Data]=$A12)*1,TABELA_VAZAO[qinc])</f>
        <v>0</v>
      </c>
      <c r="V12" s="288">
        <f ca="1">SUMPRODUCT((TABELA_VAZAO[Posto]=V$2)*1,(TABELA_VAZAO[Data]=$A12)*1,TABELA_VAZAO[qnat])</f>
        <v>0</v>
      </c>
      <c r="W12" s="67" t="e">
        <f ca="1">INDEX(RESULTADOS!$A:$BA,MATCH($A12,RESULTADOS!$A:$A,0),MATCH(W$1,RESULTADOS!$1:$1,0))</f>
        <v>#N/A</v>
      </c>
      <c r="X12" s="250">
        <f ca="1">SUMPRODUCT((TABELA_VAZAO[Posto]=X$2)*1,(TABELA_VAZAO[Data]=$A12)*1,TABELA_VAZAO[qinc])</f>
        <v>0</v>
      </c>
      <c r="Y12" s="288">
        <f ca="1">SUMPRODUCT((TABELA_VAZAO[Posto]=Y$2)*1,(TABELA_VAZAO[Data]=$A12)*1,TABELA_VAZAO[qnat])</f>
        <v>0</v>
      </c>
      <c r="Z12" s="57" t="e">
        <f t="shared" ca="1" si="3"/>
        <v>#N/A</v>
      </c>
      <c r="AA12" s="250">
        <f ca="1">SUMPRODUCT((TABELA_VAZAO[Posto]=AA$2)*1,(TABELA_VAZAO[Data]=$A12)*1,TABELA_VAZAO[qinc])</f>
        <v>0</v>
      </c>
      <c r="AB12" s="288">
        <f ca="1">SUMPRODUCT((TABELA_VAZAO[Posto]=AB$2)*1,(TABELA_VAZAO[Data]=$A12)*1,TABELA_VAZAO[qnat])</f>
        <v>0</v>
      </c>
    </row>
    <row r="13" spans="1:28" x14ac:dyDescent="0.2">
      <c r="A13" s="49">
        <f t="shared" ca="1" si="1"/>
        <v>43812</v>
      </c>
      <c r="B13" s="288">
        <f ca="1">SUMPRODUCT((TABELA_VAZAO[Posto]=B$2)*1,(TABELA_VAZAO[Data]=$A13)*1,TABELA_VAZAO[qnat])</f>
        <v>0</v>
      </c>
      <c r="C13" s="67" t="e">
        <f ca="1">INDEX(RESULTADOS!$A:$BA,MATCH($A13,RESULTADOS!$A:$A,0),MATCH(C$1,RESULTADOS!$1:$1,0))</f>
        <v>#N/A</v>
      </c>
      <c r="D13" s="250">
        <f ca="1">SUMPRODUCT((TABELA_VAZAO[Posto]=D$2)*1,(TABELA_VAZAO[Data]=$A13)*1,TABELA_VAZAO[qinc])</f>
        <v>0</v>
      </c>
      <c r="E13" s="288">
        <f ca="1">SUMPRODUCT((TABELA_VAZAO[Posto]=E$2)*1,(TABELA_VAZAO[Data]=$A13)*1,TABELA_VAZAO[qnat])</f>
        <v>0</v>
      </c>
      <c r="F13" s="250">
        <f ca="1">SUMPRODUCT((TABELA_VAZAO[Posto]=F$2)*1,(TABELA_VAZAO[Data]=$A13)*1,TABELA_VAZAO[qinc])</f>
        <v>0</v>
      </c>
      <c r="G13" s="288">
        <f ca="1">SUMPRODUCT((TABELA_VAZAO[Posto]=G$2)*1,(TABELA_VAZAO[Data]=$A13)*1,TABELA_VAZAO[qnat])</f>
        <v>0</v>
      </c>
      <c r="H13" s="67" t="e">
        <f ca="1">INDEX(RESULTADOS!$A:$BA,MATCH($A13,RESULTADOS!$A:$A,0),MATCH(H$1,RESULTADOS!$1:$1,0))</f>
        <v>#N/A</v>
      </c>
      <c r="I13" s="250">
        <f ca="1">SUMPRODUCT((TABELA_VAZAO[Posto]=I$2)*1,(TABELA_VAZAO[Data]=$A13)*1,TABELA_VAZAO[qinc])</f>
        <v>0</v>
      </c>
      <c r="J13" s="288">
        <f ca="1">SUMPRODUCT((TABELA_VAZAO[Posto]=J$2)*1,(TABELA_VAZAO[Data]=$A13)*1,TABELA_VAZAO[qnat])</f>
        <v>0</v>
      </c>
      <c r="K13" s="57" t="e">
        <f t="shared" ca="1" si="2"/>
        <v>#N/A</v>
      </c>
      <c r="L13" s="250">
        <f ca="1">SUMPRODUCT((TABELA_VAZAO[Posto]=L$2)*1,(TABELA_VAZAO[Data]=$A13)*1,TABELA_VAZAO[qinc])</f>
        <v>0</v>
      </c>
      <c r="M13" s="288">
        <f ca="1">SUMPRODUCT((TABELA_VAZAO[Posto]=M$2)*1,(TABELA_VAZAO[Data]=$A13)*1,TABELA_VAZAO[qnat])</f>
        <v>0</v>
      </c>
      <c r="N13" s="250">
        <f ca="1">SUMPRODUCT((TABELA_VAZAO[Posto]=N$2)*1,(TABELA_VAZAO[Data]=$A13)*1,TABELA_VAZAO[qinc])</f>
        <v>0</v>
      </c>
      <c r="O13" s="288">
        <f ca="1">SUMPRODUCT((TABELA_VAZAO[Posto]=O$2)*1,(TABELA_VAZAO[Data]=$A13)*1,TABELA_VAZAO[qnat])</f>
        <v>0</v>
      </c>
      <c r="P13" s="250">
        <f ca="1">SUMPRODUCT((TABELA_VAZAO[Posto]=P$2)*1,(TABELA_VAZAO[Data]=$A13)*1,TABELA_VAZAO[qinc])</f>
        <v>0</v>
      </c>
      <c r="Q13" s="288">
        <f ca="1">SUMPRODUCT((TABELA_VAZAO[Posto]=Q$2)*1,(TABELA_VAZAO[Data]=$A13)*1,TABELA_VAZAO[qnat])</f>
        <v>0</v>
      </c>
      <c r="R13" s="250">
        <f ca="1">SUMPRODUCT((TABELA_VAZAO[Posto]=R$2)*1,(TABELA_VAZAO[Data]=$A13)*1,TABELA_VAZAO[qinc])</f>
        <v>0</v>
      </c>
      <c r="S13" s="288">
        <f ca="1">SUMPRODUCT((TABELA_VAZAO[Posto]=S$2)*1,(TABELA_VAZAO[Data]=$A13)*1,TABELA_VAZAO[qnat])</f>
        <v>0</v>
      </c>
      <c r="T13" s="67" t="e">
        <f ca="1">INDEX(RESULTADOS!$A:$BA,MATCH($A13,RESULTADOS!$A:$A,0),MATCH(T$1,RESULTADOS!$1:$1,0))</f>
        <v>#N/A</v>
      </c>
      <c r="U13" s="250">
        <f ca="1">SUMPRODUCT((TABELA_VAZAO[Posto]=U$2)*1,(TABELA_VAZAO[Data]=$A13)*1,TABELA_VAZAO[qinc])</f>
        <v>0</v>
      </c>
      <c r="V13" s="288">
        <f ca="1">SUMPRODUCT((TABELA_VAZAO[Posto]=V$2)*1,(TABELA_VAZAO[Data]=$A13)*1,TABELA_VAZAO[qnat])</f>
        <v>0</v>
      </c>
      <c r="W13" s="67" t="e">
        <f ca="1">INDEX(RESULTADOS!$A:$BA,MATCH($A13,RESULTADOS!$A:$A,0),MATCH(W$1,RESULTADOS!$1:$1,0))</f>
        <v>#N/A</v>
      </c>
      <c r="X13" s="250">
        <f ca="1">SUMPRODUCT((TABELA_VAZAO[Posto]=X$2)*1,(TABELA_VAZAO[Data]=$A13)*1,TABELA_VAZAO[qinc])</f>
        <v>0</v>
      </c>
      <c r="Y13" s="288">
        <f ca="1">SUMPRODUCT((TABELA_VAZAO[Posto]=Y$2)*1,(TABELA_VAZAO[Data]=$A13)*1,TABELA_VAZAO[qnat])</f>
        <v>0</v>
      </c>
      <c r="Z13" s="57" t="e">
        <f t="shared" ca="1" si="3"/>
        <v>#N/A</v>
      </c>
      <c r="AA13" s="250">
        <f ca="1">SUMPRODUCT((TABELA_VAZAO[Posto]=AA$2)*1,(TABELA_VAZAO[Data]=$A13)*1,TABELA_VAZAO[qinc])</f>
        <v>0</v>
      </c>
      <c r="AB13" s="288">
        <f ca="1">SUMPRODUCT((TABELA_VAZAO[Posto]=AB$2)*1,(TABELA_VAZAO[Data]=$A13)*1,TABELA_VAZAO[qnat])</f>
        <v>0</v>
      </c>
    </row>
    <row r="14" spans="1:28" x14ac:dyDescent="0.2">
      <c r="A14" s="49">
        <f t="shared" ca="1" si="1"/>
        <v>43813</v>
      </c>
      <c r="B14" s="288">
        <f ca="1">SUMPRODUCT((TABELA_VAZAO[Posto]=B$2)*1,(TABELA_VAZAO[Data]=$A14)*1,TABELA_VAZAO[qnat])</f>
        <v>0</v>
      </c>
      <c r="C14" s="67" t="e">
        <f ca="1">INDEX(RESULTADOS!$A:$BA,MATCH($A14,RESULTADOS!$A:$A,0),MATCH(C$1,RESULTADOS!$1:$1,0))</f>
        <v>#N/A</v>
      </c>
      <c r="D14" s="250">
        <f ca="1">SUMPRODUCT((TABELA_VAZAO[Posto]=D$2)*1,(TABELA_VAZAO[Data]=$A14)*1,TABELA_VAZAO[qinc])</f>
        <v>0</v>
      </c>
      <c r="E14" s="288">
        <f ca="1">SUMPRODUCT((TABELA_VAZAO[Posto]=E$2)*1,(TABELA_VAZAO[Data]=$A14)*1,TABELA_VAZAO[qnat])</f>
        <v>0</v>
      </c>
      <c r="F14" s="250">
        <f ca="1">SUMPRODUCT((TABELA_VAZAO[Posto]=F$2)*1,(TABELA_VAZAO[Data]=$A14)*1,TABELA_VAZAO[qinc])</f>
        <v>0</v>
      </c>
      <c r="G14" s="288">
        <f ca="1">SUMPRODUCT((TABELA_VAZAO[Posto]=G$2)*1,(TABELA_VAZAO[Data]=$A14)*1,TABELA_VAZAO[qnat])</f>
        <v>0</v>
      </c>
      <c r="H14" s="67" t="e">
        <f ca="1">INDEX(RESULTADOS!$A:$BA,MATCH($A14,RESULTADOS!$A:$A,0),MATCH(H$1,RESULTADOS!$1:$1,0))</f>
        <v>#N/A</v>
      </c>
      <c r="I14" s="250">
        <f ca="1">SUMPRODUCT((TABELA_VAZAO[Posto]=I$2)*1,(TABELA_VAZAO[Data]=$A14)*1,TABELA_VAZAO[qinc])</f>
        <v>0</v>
      </c>
      <c r="J14" s="288">
        <f ca="1">SUMPRODUCT((TABELA_VAZAO[Posto]=J$2)*1,(TABELA_VAZAO[Data]=$A14)*1,TABELA_VAZAO[qnat])</f>
        <v>0</v>
      </c>
      <c r="K14" s="57" t="e">
        <f t="shared" ca="1" si="2"/>
        <v>#N/A</v>
      </c>
      <c r="L14" s="250">
        <f ca="1">SUMPRODUCT((TABELA_VAZAO[Posto]=L$2)*1,(TABELA_VAZAO[Data]=$A14)*1,TABELA_VAZAO[qinc])</f>
        <v>0</v>
      </c>
      <c r="M14" s="288">
        <f ca="1">SUMPRODUCT((TABELA_VAZAO[Posto]=M$2)*1,(TABELA_VAZAO[Data]=$A14)*1,TABELA_VAZAO[qnat])</f>
        <v>0</v>
      </c>
      <c r="N14" s="250">
        <f ca="1">SUMPRODUCT((TABELA_VAZAO[Posto]=N$2)*1,(TABELA_VAZAO[Data]=$A14)*1,TABELA_VAZAO[qinc])</f>
        <v>0</v>
      </c>
      <c r="O14" s="288">
        <f ca="1">SUMPRODUCT((TABELA_VAZAO[Posto]=O$2)*1,(TABELA_VAZAO[Data]=$A14)*1,TABELA_VAZAO[qnat])</f>
        <v>0</v>
      </c>
      <c r="P14" s="250">
        <f ca="1">SUMPRODUCT((TABELA_VAZAO[Posto]=P$2)*1,(TABELA_VAZAO[Data]=$A14)*1,TABELA_VAZAO[qinc])</f>
        <v>0</v>
      </c>
      <c r="Q14" s="288">
        <f ca="1">SUMPRODUCT((TABELA_VAZAO[Posto]=Q$2)*1,(TABELA_VAZAO[Data]=$A14)*1,TABELA_VAZAO[qnat])</f>
        <v>0</v>
      </c>
      <c r="R14" s="250">
        <f ca="1">SUMPRODUCT((TABELA_VAZAO[Posto]=R$2)*1,(TABELA_VAZAO[Data]=$A14)*1,TABELA_VAZAO[qinc])</f>
        <v>0</v>
      </c>
      <c r="S14" s="288">
        <f ca="1">SUMPRODUCT((TABELA_VAZAO[Posto]=S$2)*1,(TABELA_VAZAO[Data]=$A14)*1,TABELA_VAZAO[qnat])</f>
        <v>0</v>
      </c>
      <c r="T14" s="67" t="e">
        <f ca="1">INDEX(RESULTADOS!$A:$BA,MATCH($A14,RESULTADOS!$A:$A,0),MATCH(T$1,RESULTADOS!$1:$1,0))</f>
        <v>#N/A</v>
      </c>
      <c r="U14" s="250">
        <f ca="1">SUMPRODUCT((TABELA_VAZAO[Posto]=U$2)*1,(TABELA_VAZAO[Data]=$A14)*1,TABELA_VAZAO[qinc])</f>
        <v>0</v>
      </c>
      <c r="V14" s="288">
        <f ca="1">SUMPRODUCT((TABELA_VAZAO[Posto]=V$2)*1,(TABELA_VAZAO[Data]=$A14)*1,TABELA_VAZAO[qnat])</f>
        <v>0</v>
      </c>
      <c r="W14" s="67" t="e">
        <f ca="1">INDEX(RESULTADOS!$A:$BA,MATCH($A14,RESULTADOS!$A:$A,0),MATCH(W$1,RESULTADOS!$1:$1,0))</f>
        <v>#N/A</v>
      </c>
      <c r="X14" s="250">
        <f ca="1">SUMPRODUCT((TABELA_VAZAO[Posto]=X$2)*1,(TABELA_VAZAO[Data]=$A14)*1,TABELA_VAZAO[qinc])</f>
        <v>0</v>
      </c>
      <c r="Y14" s="288">
        <f ca="1">SUMPRODUCT((TABELA_VAZAO[Posto]=Y$2)*1,(TABELA_VAZAO[Data]=$A14)*1,TABELA_VAZAO[qnat])</f>
        <v>0</v>
      </c>
      <c r="Z14" s="57" t="e">
        <f t="shared" ca="1" si="3"/>
        <v>#N/A</v>
      </c>
      <c r="AA14" s="250">
        <f ca="1">SUMPRODUCT((TABELA_VAZAO[Posto]=AA$2)*1,(TABELA_VAZAO[Data]=$A14)*1,TABELA_VAZAO[qinc])</f>
        <v>0</v>
      </c>
      <c r="AB14" s="288">
        <f ca="1">SUMPRODUCT((TABELA_VAZAO[Posto]=AB$2)*1,(TABELA_VAZAO[Data]=$A14)*1,TABELA_VAZAO[qnat])</f>
        <v>0</v>
      </c>
    </row>
    <row r="15" spans="1:28" x14ac:dyDescent="0.2">
      <c r="A15" s="49">
        <f t="shared" ca="1" si="1"/>
        <v>43814</v>
      </c>
      <c r="B15" s="288">
        <f ca="1">SUMPRODUCT((TABELA_VAZAO[Posto]=B$2)*1,(TABELA_VAZAO[Data]=$A15)*1,TABELA_VAZAO[qnat])</f>
        <v>0</v>
      </c>
      <c r="C15" s="67" t="e">
        <f ca="1">INDEX(RESULTADOS!$A:$BA,MATCH($A15,RESULTADOS!$A:$A,0),MATCH(C$1,RESULTADOS!$1:$1,0))</f>
        <v>#N/A</v>
      </c>
      <c r="D15" s="250">
        <f ca="1">SUMPRODUCT((TABELA_VAZAO[Posto]=D$2)*1,(TABELA_VAZAO[Data]=$A15)*1,TABELA_VAZAO[qinc])</f>
        <v>0</v>
      </c>
      <c r="E15" s="288">
        <f ca="1">SUMPRODUCT((TABELA_VAZAO[Posto]=E$2)*1,(TABELA_VAZAO[Data]=$A15)*1,TABELA_VAZAO[qnat])</f>
        <v>0</v>
      </c>
      <c r="F15" s="250">
        <f ca="1">SUMPRODUCT((TABELA_VAZAO[Posto]=F$2)*1,(TABELA_VAZAO[Data]=$A15)*1,TABELA_VAZAO[qinc])</f>
        <v>0</v>
      </c>
      <c r="G15" s="288">
        <f ca="1">SUMPRODUCT((TABELA_VAZAO[Posto]=G$2)*1,(TABELA_VAZAO[Data]=$A15)*1,TABELA_VAZAO[qnat])</f>
        <v>0</v>
      </c>
      <c r="H15" s="67" t="e">
        <f ca="1">INDEX(RESULTADOS!$A:$BA,MATCH($A15,RESULTADOS!$A:$A,0),MATCH(H$1,RESULTADOS!$1:$1,0))</f>
        <v>#N/A</v>
      </c>
      <c r="I15" s="250">
        <f ca="1">SUMPRODUCT((TABELA_VAZAO[Posto]=I$2)*1,(TABELA_VAZAO[Data]=$A15)*1,TABELA_VAZAO[qinc])</f>
        <v>0</v>
      </c>
      <c r="J15" s="288">
        <f ca="1">SUMPRODUCT((TABELA_VAZAO[Posto]=J$2)*1,(TABELA_VAZAO[Data]=$A15)*1,TABELA_VAZAO[qnat])</f>
        <v>0</v>
      </c>
      <c r="K15" s="57" t="e">
        <f t="shared" ca="1" si="2"/>
        <v>#N/A</v>
      </c>
      <c r="L15" s="250">
        <f ca="1">SUMPRODUCT((TABELA_VAZAO[Posto]=L$2)*1,(TABELA_VAZAO[Data]=$A15)*1,TABELA_VAZAO[qinc])</f>
        <v>0</v>
      </c>
      <c r="M15" s="288">
        <f ca="1">SUMPRODUCT((TABELA_VAZAO[Posto]=M$2)*1,(TABELA_VAZAO[Data]=$A15)*1,TABELA_VAZAO[qnat])</f>
        <v>0</v>
      </c>
      <c r="N15" s="250">
        <f ca="1">SUMPRODUCT((TABELA_VAZAO[Posto]=N$2)*1,(TABELA_VAZAO[Data]=$A15)*1,TABELA_VAZAO[qinc])</f>
        <v>0</v>
      </c>
      <c r="O15" s="288">
        <f ca="1">SUMPRODUCT((TABELA_VAZAO[Posto]=O$2)*1,(TABELA_VAZAO[Data]=$A15)*1,TABELA_VAZAO[qnat])</f>
        <v>0</v>
      </c>
      <c r="P15" s="250">
        <f ca="1">SUMPRODUCT((TABELA_VAZAO[Posto]=P$2)*1,(TABELA_VAZAO[Data]=$A15)*1,TABELA_VAZAO[qinc])</f>
        <v>0</v>
      </c>
      <c r="Q15" s="288">
        <f ca="1">SUMPRODUCT((TABELA_VAZAO[Posto]=Q$2)*1,(TABELA_VAZAO[Data]=$A15)*1,TABELA_VAZAO[qnat])</f>
        <v>0</v>
      </c>
      <c r="R15" s="250">
        <f ca="1">SUMPRODUCT((TABELA_VAZAO[Posto]=R$2)*1,(TABELA_VAZAO[Data]=$A15)*1,TABELA_VAZAO[qinc])</f>
        <v>0</v>
      </c>
      <c r="S15" s="288">
        <f ca="1">SUMPRODUCT((TABELA_VAZAO[Posto]=S$2)*1,(TABELA_VAZAO[Data]=$A15)*1,TABELA_VAZAO[qnat])</f>
        <v>0</v>
      </c>
      <c r="T15" s="67" t="e">
        <f ca="1">INDEX(RESULTADOS!$A:$BA,MATCH($A15,RESULTADOS!$A:$A,0),MATCH(T$1,RESULTADOS!$1:$1,0))</f>
        <v>#N/A</v>
      </c>
      <c r="U15" s="250">
        <f ca="1">SUMPRODUCT((TABELA_VAZAO[Posto]=U$2)*1,(TABELA_VAZAO[Data]=$A15)*1,TABELA_VAZAO[qinc])</f>
        <v>0</v>
      </c>
      <c r="V15" s="288">
        <f ca="1">SUMPRODUCT((TABELA_VAZAO[Posto]=V$2)*1,(TABELA_VAZAO[Data]=$A15)*1,TABELA_VAZAO[qnat])</f>
        <v>0</v>
      </c>
      <c r="W15" s="67" t="e">
        <f ca="1">INDEX(RESULTADOS!$A:$BA,MATCH($A15,RESULTADOS!$A:$A,0),MATCH(W$1,RESULTADOS!$1:$1,0))</f>
        <v>#N/A</v>
      </c>
      <c r="X15" s="250">
        <f ca="1">SUMPRODUCT((TABELA_VAZAO[Posto]=X$2)*1,(TABELA_VAZAO[Data]=$A15)*1,TABELA_VAZAO[qinc])</f>
        <v>0</v>
      </c>
      <c r="Y15" s="288">
        <f ca="1">SUMPRODUCT((TABELA_VAZAO[Posto]=Y$2)*1,(TABELA_VAZAO[Data]=$A15)*1,TABELA_VAZAO[qnat])</f>
        <v>0</v>
      </c>
      <c r="Z15" s="57" t="e">
        <f t="shared" ca="1" si="3"/>
        <v>#N/A</v>
      </c>
      <c r="AA15" s="250">
        <f ca="1">SUMPRODUCT((TABELA_VAZAO[Posto]=AA$2)*1,(TABELA_VAZAO[Data]=$A15)*1,TABELA_VAZAO[qinc])</f>
        <v>0</v>
      </c>
      <c r="AB15" s="288">
        <f ca="1">SUMPRODUCT((TABELA_VAZAO[Posto]=AB$2)*1,(TABELA_VAZAO[Data]=$A15)*1,TABELA_VAZAO[qnat])</f>
        <v>0</v>
      </c>
    </row>
    <row r="16" spans="1:28" x14ac:dyDescent="0.2">
      <c r="A16" s="49">
        <f t="shared" ca="1" si="1"/>
        <v>43815</v>
      </c>
      <c r="B16" s="288">
        <f ca="1">SUMPRODUCT((TABELA_VAZAO[Posto]=B$2)*1,(TABELA_VAZAO[Data]=$A16)*1,TABELA_VAZAO[qnat])</f>
        <v>0</v>
      </c>
      <c r="C16" s="67" t="e">
        <f ca="1">INDEX(RESULTADOS!$A:$BA,MATCH($A16,RESULTADOS!$A:$A,0),MATCH(C$1,RESULTADOS!$1:$1,0))</f>
        <v>#N/A</v>
      </c>
      <c r="D16" s="250">
        <f ca="1">SUMPRODUCT((TABELA_VAZAO[Posto]=D$2)*1,(TABELA_VAZAO[Data]=$A16)*1,TABELA_VAZAO[qinc])</f>
        <v>0</v>
      </c>
      <c r="E16" s="288">
        <f ca="1">SUMPRODUCT((TABELA_VAZAO[Posto]=E$2)*1,(TABELA_VAZAO[Data]=$A16)*1,TABELA_VAZAO[qnat])</f>
        <v>0</v>
      </c>
      <c r="F16" s="250">
        <f ca="1">SUMPRODUCT((TABELA_VAZAO[Posto]=F$2)*1,(TABELA_VAZAO[Data]=$A16)*1,TABELA_VAZAO[qinc])</f>
        <v>0</v>
      </c>
      <c r="G16" s="288">
        <f ca="1">SUMPRODUCT((TABELA_VAZAO[Posto]=G$2)*1,(TABELA_VAZAO[Data]=$A16)*1,TABELA_VAZAO[qnat])</f>
        <v>0</v>
      </c>
      <c r="H16" s="67" t="e">
        <f ca="1">INDEX(RESULTADOS!$A:$BA,MATCH($A16,RESULTADOS!$A:$A,0),MATCH(H$1,RESULTADOS!$1:$1,0))</f>
        <v>#N/A</v>
      </c>
      <c r="I16" s="250">
        <f ca="1">SUMPRODUCT((TABELA_VAZAO[Posto]=I$2)*1,(TABELA_VAZAO[Data]=$A16)*1,TABELA_VAZAO[qinc])</f>
        <v>0</v>
      </c>
      <c r="J16" s="288">
        <f ca="1">SUMPRODUCT((TABELA_VAZAO[Posto]=J$2)*1,(TABELA_VAZAO[Data]=$A16)*1,TABELA_VAZAO[qnat])</f>
        <v>0</v>
      </c>
      <c r="K16" s="57" t="e">
        <f t="shared" ca="1" si="2"/>
        <v>#N/A</v>
      </c>
      <c r="L16" s="250">
        <f ca="1">SUMPRODUCT((TABELA_VAZAO[Posto]=L$2)*1,(TABELA_VAZAO[Data]=$A16)*1,TABELA_VAZAO[qinc])</f>
        <v>0</v>
      </c>
      <c r="M16" s="288">
        <f ca="1">SUMPRODUCT((TABELA_VAZAO[Posto]=M$2)*1,(TABELA_VAZAO[Data]=$A16)*1,TABELA_VAZAO[qnat])</f>
        <v>0</v>
      </c>
      <c r="N16" s="250">
        <f ca="1">SUMPRODUCT((TABELA_VAZAO[Posto]=N$2)*1,(TABELA_VAZAO[Data]=$A16)*1,TABELA_VAZAO[qinc])</f>
        <v>0</v>
      </c>
      <c r="O16" s="288">
        <f ca="1">SUMPRODUCT((TABELA_VAZAO[Posto]=O$2)*1,(TABELA_VAZAO[Data]=$A16)*1,TABELA_VAZAO[qnat])</f>
        <v>0</v>
      </c>
      <c r="P16" s="250">
        <f ca="1">SUMPRODUCT((TABELA_VAZAO[Posto]=P$2)*1,(TABELA_VAZAO[Data]=$A16)*1,TABELA_VAZAO[qinc])</f>
        <v>0</v>
      </c>
      <c r="Q16" s="288">
        <f ca="1">SUMPRODUCT((TABELA_VAZAO[Posto]=Q$2)*1,(TABELA_VAZAO[Data]=$A16)*1,TABELA_VAZAO[qnat])</f>
        <v>0</v>
      </c>
      <c r="R16" s="250">
        <f ca="1">SUMPRODUCT((TABELA_VAZAO[Posto]=R$2)*1,(TABELA_VAZAO[Data]=$A16)*1,TABELA_VAZAO[qinc])</f>
        <v>0</v>
      </c>
      <c r="S16" s="288">
        <f ca="1">SUMPRODUCT((TABELA_VAZAO[Posto]=S$2)*1,(TABELA_VAZAO[Data]=$A16)*1,TABELA_VAZAO[qnat])</f>
        <v>0</v>
      </c>
      <c r="T16" s="67" t="e">
        <f ca="1">INDEX(RESULTADOS!$A:$BA,MATCH($A16,RESULTADOS!$A:$A,0),MATCH(T$1,RESULTADOS!$1:$1,0))</f>
        <v>#N/A</v>
      </c>
      <c r="U16" s="250">
        <f ca="1">SUMPRODUCT((TABELA_VAZAO[Posto]=U$2)*1,(TABELA_VAZAO[Data]=$A16)*1,TABELA_VAZAO[qinc])</f>
        <v>0</v>
      </c>
      <c r="V16" s="288">
        <f ca="1">SUMPRODUCT((TABELA_VAZAO[Posto]=V$2)*1,(TABELA_VAZAO[Data]=$A16)*1,TABELA_VAZAO[qnat])</f>
        <v>0</v>
      </c>
      <c r="W16" s="67" t="e">
        <f ca="1">INDEX(RESULTADOS!$A:$BA,MATCH($A16,RESULTADOS!$A:$A,0),MATCH(W$1,RESULTADOS!$1:$1,0))</f>
        <v>#N/A</v>
      </c>
      <c r="X16" s="250">
        <f ca="1">SUMPRODUCT((TABELA_VAZAO[Posto]=X$2)*1,(TABELA_VAZAO[Data]=$A16)*1,TABELA_VAZAO[qinc])</f>
        <v>0</v>
      </c>
      <c r="Y16" s="288">
        <f ca="1">SUMPRODUCT((TABELA_VAZAO[Posto]=Y$2)*1,(TABELA_VAZAO[Data]=$A16)*1,TABELA_VAZAO[qnat])</f>
        <v>0</v>
      </c>
      <c r="Z16" s="57" t="e">
        <f t="shared" ca="1" si="3"/>
        <v>#N/A</v>
      </c>
      <c r="AA16" s="250">
        <f ca="1">SUMPRODUCT((TABELA_VAZAO[Posto]=AA$2)*1,(TABELA_VAZAO[Data]=$A16)*1,TABELA_VAZAO[qinc])</f>
        <v>0</v>
      </c>
      <c r="AB16" s="288">
        <f ca="1">SUMPRODUCT((TABELA_VAZAO[Posto]=AB$2)*1,(TABELA_VAZAO[Data]=$A16)*1,TABELA_VAZAO[qnat])</f>
        <v>0</v>
      </c>
    </row>
    <row r="17" spans="1:28" x14ac:dyDescent="0.2">
      <c r="A17" s="49">
        <f t="shared" ca="1" si="1"/>
        <v>43816</v>
      </c>
      <c r="B17" s="288">
        <f ca="1">SUMPRODUCT((TABELA_VAZAO[Posto]=B$2)*1,(TABELA_VAZAO[Data]=$A17)*1,TABELA_VAZAO[qnat])</f>
        <v>0</v>
      </c>
      <c r="C17" s="67" t="e">
        <f ca="1">INDEX(RESULTADOS!$A:$BA,MATCH($A17,RESULTADOS!$A:$A,0),MATCH(C$1,RESULTADOS!$1:$1,0))</f>
        <v>#N/A</v>
      </c>
      <c r="D17" s="250">
        <f ca="1">SUMPRODUCT((TABELA_VAZAO[Posto]=D$2)*1,(TABELA_VAZAO[Data]=$A17)*1,TABELA_VAZAO[qinc])</f>
        <v>0</v>
      </c>
      <c r="E17" s="288">
        <f ca="1">SUMPRODUCT((TABELA_VAZAO[Posto]=E$2)*1,(TABELA_VAZAO[Data]=$A17)*1,TABELA_VAZAO[qnat])</f>
        <v>0</v>
      </c>
      <c r="F17" s="250">
        <f ca="1">SUMPRODUCT((TABELA_VAZAO[Posto]=F$2)*1,(TABELA_VAZAO[Data]=$A17)*1,TABELA_VAZAO[qinc])</f>
        <v>0</v>
      </c>
      <c r="G17" s="288">
        <f ca="1">SUMPRODUCT((TABELA_VAZAO[Posto]=G$2)*1,(TABELA_VAZAO[Data]=$A17)*1,TABELA_VAZAO[qnat])</f>
        <v>0</v>
      </c>
      <c r="H17" s="67" t="e">
        <f ca="1">INDEX(RESULTADOS!$A:$BA,MATCH($A17,RESULTADOS!$A:$A,0),MATCH(H$1,RESULTADOS!$1:$1,0))</f>
        <v>#N/A</v>
      </c>
      <c r="I17" s="250">
        <f ca="1">SUMPRODUCT((TABELA_VAZAO[Posto]=I$2)*1,(TABELA_VAZAO[Data]=$A17)*1,TABELA_VAZAO[qinc])</f>
        <v>0</v>
      </c>
      <c r="J17" s="288">
        <f ca="1">SUMPRODUCT((TABELA_VAZAO[Posto]=J$2)*1,(TABELA_VAZAO[Data]=$A17)*1,TABELA_VAZAO[qnat])</f>
        <v>0</v>
      </c>
      <c r="K17" s="57" t="e">
        <f t="shared" ca="1" si="2"/>
        <v>#N/A</v>
      </c>
      <c r="L17" s="250">
        <f ca="1">SUMPRODUCT((TABELA_VAZAO[Posto]=L$2)*1,(TABELA_VAZAO[Data]=$A17)*1,TABELA_VAZAO[qinc])</f>
        <v>0</v>
      </c>
      <c r="M17" s="288">
        <f ca="1">SUMPRODUCT((TABELA_VAZAO[Posto]=M$2)*1,(TABELA_VAZAO[Data]=$A17)*1,TABELA_VAZAO[qnat])</f>
        <v>0</v>
      </c>
      <c r="N17" s="250">
        <f ca="1">SUMPRODUCT((TABELA_VAZAO[Posto]=N$2)*1,(TABELA_VAZAO[Data]=$A17)*1,TABELA_VAZAO[qinc])</f>
        <v>0</v>
      </c>
      <c r="O17" s="288">
        <f ca="1">SUMPRODUCT((TABELA_VAZAO[Posto]=O$2)*1,(TABELA_VAZAO[Data]=$A17)*1,TABELA_VAZAO[qnat])</f>
        <v>0</v>
      </c>
      <c r="P17" s="250">
        <f ca="1">SUMPRODUCT((TABELA_VAZAO[Posto]=P$2)*1,(TABELA_VAZAO[Data]=$A17)*1,TABELA_VAZAO[qinc])</f>
        <v>0</v>
      </c>
      <c r="Q17" s="288">
        <f ca="1">SUMPRODUCT((TABELA_VAZAO[Posto]=Q$2)*1,(TABELA_VAZAO[Data]=$A17)*1,TABELA_VAZAO[qnat])</f>
        <v>0</v>
      </c>
      <c r="R17" s="250">
        <f ca="1">SUMPRODUCT((TABELA_VAZAO[Posto]=R$2)*1,(TABELA_VAZAO[Data]=$A17)*1,TABELA_VAZAO[qinc])</f>
        <v>0</v>
      </c>
      <c r="S17" s="288">
        <f ca="1">SUMPRODUCT((TABELA_VAZAO[Posto]=S$2)*1,(TABELA_VAZAO[Data]=$A17)*1,TABELA_VAZAO[qnat])</f>
        <v>0</v>
      </c>
      <c r="T17" s="67" t="e">
        <f ca="1">INDEX(RESULTADOS!$A:$BA,MATCH($A17,RESULTADOS!$A:$A,0),MATCH(T$1,RESULTADOS!$1:$1,0))</f>
        <v>#N/A</v>
      </c>
      <c r="U17" s="250">
        <f ca="1">SUMPRODUCT((TABELA_VAZAO[Posto]=U$2)*1,(TABELA_VAZAO[Data]=$A17)*1,TABELA_VAZAO[qinc])</f>
        <v>0</v>
      </c>
      <c r="V17" s="288">
        <f ca="1">SUMPRODUCT((TABELA_VAZAO[Posto]=V$2)*1,(TABELA_VAZAO[Data]=$A17)*1,TABELA_VAZAO[qnat])</f>
        <v>0</v>
      </c>
      <c r="W17" s="67" t="e">
        <f ca="1">INDEX(RESULTADOS!$A:$BA,MATCH($A17,RESULTADOS!$A:$A,0),MATCH(W$1,RESULTADOS!$1:$1,0))</f>
        <v>#N/A</v>
      </c>
      <c r="X17" s="250">
        <f ca="1">SUMPRODUCT((TABELA_VAZAO[Posto]=X$2)*1,(TABELA_VAZAO[Data]=$A17)*1,TABELA_VAZAO[qinc])</f>
        <v>0</v>
      </c>
      <c r="Y17" s="288">
        <f ca="1">SUMPRODUCT((TABELA_VAZAO[Posto]=Y$2)*1,(TABELA_VAZAO[Data]=$A17)*1,TABELA_VAZAO[qnat])</f>
        <v>0</v>
      </c>
      <c r="Z17" s="57" t="e">
        <f t="shared" ca="1" si="3"/>
        <v>#N/A</v>
      </c>
      <c r="AA17" s="250">
        <f ca="1">SUMPRODUCT((TABELA_VAZAO[Posto]=AA$2)*1,(TABELA_VAZAO[Data]=$A17)*1,TABELA_VAZAO[qinc])</f>
        <v>0</v>
      </c>
      <c r="AB17" s="288">
        <f ca="1">SUMPRODUCT((TABELA_VAZAO[Posto]=AB$2)*1,(TABELA_VAZAO[Data]=$A17)*1,TABELA_VAZAO[qnat])</f>
        <v>0</v>
      </c>
    </row>
    <row r="18" spans="1:28" x14ac:dyDescent="0.2">
      <c r="A18" s="49">
        <f t="shared" ca="1" si="1"/>
        <v>43817</v>
      </c>
      <c r="B18" s="288">
        <f ca="1">SUMPRODUCT((TABELA_VAZAO[Posto]=B$2)*1,(TABELA_VAZAO[Data]=$A18)*1,TABELA_VAZAO[qnat])</f>
        <v>0</v>
      </c>
      <c r="C18" s="67" t="e">
        <f ca="1">INDEX(RESULTADOS!$A:$BA,MATCH($A18,RESULTADOS!$A:$A,0),MATCH(C$1,RESULTADOS!$1:$1,0))</f>
        <v>#N/A</v>
      </c>
      <c r="D18" s="250">
        <f ca="1">SUMPRODUCT((TABELA_VAZAO[Posto]=D$2)*1,(TABELA_VAZAO[Data]=$A18)*1,TABELA_VAZAO[qinc])</f>
        <v>0</v>
      </c>
      <c r="E18" s="288">
        <f ca="1">SUMPRODUCT((TABELA_VAZAO[Posto]=E$2)*1,(TABELA_VAZAO[Data]=$A18)*1,TABELA_VAZAO[qnat])</f>
        <v>0</v>
      </c>
      <c r="F18" s="250">
        <f ca="1">SUMPRODUCT((TABELA_VAZAO[Posto]=F$2)*1,(TABELA_VAZAO[Data]=$A18)*1,TABELA_VAZAO[qinc])</f>
        <v>0</v>
      </c>
      <c r="G18" s="288">
        <f ca="1">SUMPRODUCT((TABELA_VAZAO[Posto]=G$2)*1,(TABELA_VAZAO[Data]=$A18)*1,TABELA_VAZAO[qnat])</f>
        <v>0</v>
      </c>
      <c r="H18" s="67" t="e">
        <f ca="1">INDEX(RESULTADOS!$A:$BA,MATCH($A18,RESULTADOS!$A:$A,0),MATCH(H$1,RESULTADOS!$1:$1,0))</f>
        <v>#N/A</v>
      </c>
      <c r="I18" s="250">
        <f ca="1">SUMPRODUCT((TABELA_VAZAO[Posto]=I$2)*1,(TABELA_VAZAO[Data]=$A18)*1,TABELA_VAZAO[qinc])</f>
        <v>0</v>
      </c>
      <c r="J18" s="288">
        <f ca="1">SUMPRODUCT((TABELA_VAZAO[Posto]=J$2)*1,(TABELA_VAZAO[Data]=$A18)*1,TABELA_VAZAO[qnat])</f>
        <v>0</v>
      </c>
      <c r="K18" s="57" t="e">
        <f t="shared" ca="1" si="2"/>
        <v>#N/A</v>
      </c>
      <c r="L18" s="250">
        <f ca="1">SUMPRODUCT((TABELA_VAZAO[Posto]=L$2)*1,(TABELA_VAZAO[Data]=$A18)*1,TABELA_VAZAO[qinc])</f>
        <v>0</v>
      </c>
      <c r="M18" s="288">
        <f ca="1">SUMPRODUCT((TABELA_VAZAO[Posto]=M$2)*1,(TABELA_VAZAO[Data]=$A18)*1,TABELA_VAZAO[qnat])</f>
        <v>0</v>
      </c>
      <c r="N18" s="250">
        <f ca="1">SUMPRODUCT((TABELA_VAZAO[Posto]=N$2)*1,(TABELA_VAZAO[Data]=$A18)*1,TABELA_VAZAO[qinc])</f>
        <v>0</v>
      </c>
      <c r="O18" s="288">
        <f ca="1">SUMPRODUCT((TABELA_VAZAO[Posto]=O$2)*1,(TABELA_VAZAO[Data]=$A18)*1,TABELA_VAZAO[qnat])</f>
        <v>0</v>
      </c>
      <c r="P18" s="250">
        <f ca="1">SUMPRODUCT((TABELA_VAZAO[Posto]=P$2)*1,(TABELA_VAZAO[Data]=$A18)*1,TABELA_VAZAO[qinc])</f>
        <v>0</v>
      </c>
      <c r="Q18" s="288">
        <f ca="1">SUMPRODUCT((TABELA_VAZAO[Posto]=Q$2)*1,(TABELA_VAZAO[Data]=$A18)*1,TABELA_VAZAO[qnat])</f>
        <v>0</v>
      </c>
      <c r="R18" s="250">
        <f ca="1">SUMPRODUCT((TABELA_VAZAO[Posto]=R$2)*1,(TABELA_VAZAO[Data]=$A18)*1,TABELA_VAZAO[qinc])</f>
        <v>0</v>
      </c>
      <c r="S18" s="288">
        <f ca="1">SUMPRODUCT((TABELA_VAZAO[Posto]=S$2)*1,(TABELA_VAZAO[Data]=$A18)*1,TABELA_VAZAO[qnat])</f>
        <v>0</v>
      </c>
      <c r="T18" s="67" t="e">
        <f ca="1">INDEX(RESULTADOS!$A:$BA,MATCH($A18,RESULTADOS!$A:$A,0),MATCH(T$1,RESULTADOS!$1:$1,0))</f>
        <v>#N/A</v>
      </c>
      <c r="U18" s="250">
        <f ca="1">SUMPRODUCT((TABELA_VAZAO[Posto]=U$2)*1,(TABELA_VAZAO[Data]=$A18)*1,TABELA_VAZAO[qinc])</f>
        <v>0</v>
      </c>
      <c r="V18" s="288">
        <f ca="1">SUMPRODUCT((TABELA_VAZAO[Posto]=V$2)*1,(TABELA_VAZAO[Data]=$A18)*1,TABELA_VAZAO[qnat])</f>
        <v>0</v>
      </c>
      <c r="W18" s="67" t="e">
        <f ca="1">INDEX(RESULTADOS!$A:$BA,MATCH($A18,RESULTADOS!$A:$A,0),MATCH(W$1,RESULTADOS!$1:$1,0))</f>
        <v>#N/A</v>
      </c>
      <c r="X18" s="250">
        <f ca="1">SUMPRODUCT((TABELA_VAZAO[Posto]=X$2)*1,(TABELA_VAZAO[Data]=$A18)*1,TABELA_VAZAO[qinc])</f>
        <v>0</v>
      </c>
      <c r="Y18" s="288">
        <f ca="1">SUMPRODUCT((TABELA_VAZAO[Posto]=Y$2)*1,(TABELA_VAZAO[Data]=$A18)*1,TABELA_VAZAO[qnat])</f>
        <v>0</v>
      </c>
      <c r="Z18" s="57" t="e">
        <f t="shared" ca="1" si="3"/>
        <v>#N/A</v>
      </c>
      <c r="AA18" s="250">
        <f ca="1">SUMPRODUCT((TABELA_VAZAO[Posto]=AA$2)*1,(TABELA_VAZAO[Data]=$A18)*1,TABELA_VAZAO[qinc])</f>
        <v>0</v>
      </c>
      <c r="AB18" s="288">
        <f ca="1">SUMPRODUCT((TABELA_VAZAO[Posto]=AB$2)*1,(TABELA_VAZAO[Data]=$A18)*1,TABELA_VAZAO[qnat])</f>
        <v>0</v>
      </c>
    </row>
    <row r="19" spans="1:28" x14ac:dyDescent="0.2">
      <c r="A19" s="49">
        <f t="shared" ca="1" si="1"/>
        <v>43818</v>
      </c>
      <c r="B19" s="288">
        <f ca="1">SUMPRODUCT((TABELA_VAZAO[Posto]=B$2)*1,(TABELA_VAZAO[Data]=$A19)*1,TABELA_VAZAO[qnat])</f>
        <v>0</v>
      </c>
      <c r="C19" s="67" t="e">
        <f ca="1">INDEX(RESULTADOS!$A:$BA,MATCH($A19,RESULTADOS!$A:$A,0),MATCH(C$1,RESULTADOS!$1:$1,0))</f>
        <v>#N/A</v>
      </c>
      <c r="D19" s="250">
        <f ca="1">SUMPRODUCT((TABELA_VAZAO[Posto]=D$2)*1,(TABELA_VAZAO[Data]=$A19)*1,TABELA_VAZAO[qinc])</f>
        <v>0</v>
      </c>
      <c r="E19" s="288">
        <f ca="1">SUMPRODUCT((TABELA_VAZAO[Posto]=E$2)*1,(TABELA_VAZAO[Data]=$A19)*1,TABELA_VAZAO[qnat])</f>
        <v>0</v>
      </c>
      <c r="F19" s="250">
        <f ca="1">SUMPRODUCT((TABELA_VAZAO[Posto]=F$2)*1,(TABELA_VAZAO[Data]=$A19)*1,TABELA_VAZAO[qinc])</f>
        <v>0</v>
      </c>
      <c r="G19" s="288">
        <f ca="1">SUMPRODUCT((TABELA_VAZAO[Posto]=G$2)*1,(TABELA_VAZAO[Data]=$A19)*1,TABELA_VAZAO[qnat])</f>
        <v>0</v>
      </c>
      <c r="H19" s="67" t="e">
        <f ca="1">INDEX(RESULTADOS!$A:$BA,MATCH($A19,RESULTADOS!$A:$A,0),MATCH(H$1,RESULTADOS!$1:$1,0))</f>
        <v>#N/A</v>
      </c>
      <c r="I19" s="250">
        <f ca="1">SUMPRODUCT((TABELA_VAZAO[Posto]=I$2)*1,(TABELA_VAZAO[Data]=$A19)*1,TABELA_VAZAO[qinc])</f>
        <v>0</v>
      </c>
      <c r="J19" s="288">
        <f ca="1">SUMPRODUCT((TABELA_VAZAO[Posto]=J$2)*1,(TABELA_VAZAO[Data]=$A19)*1,TABELA_VAZAO[qnat])</f>
        <v>0</v>
      </c>
      <c r="K19" s="57" t="e">
        <f t="shared" ca="1" si="2"/>
        <v>#N/A</v>
      </c>
      <c r="L19" s="250">
        <f ca="1">SUMPRODUCT((TABELA_VAZAO[Posto]=L$2)*1,(TABELA_VAZAO[Data]=$A19)*1,TABELA_VAZAO[qinc])</f>
        <v>0</v>
      </c>
      <c r="M19" s="288">
        <f ca="1">SUMPRODUCT((TABELA_VAZAO[Posto]=M$2)*1,(TABELA_VAZAO[Data]=$A19)*1,TABELA_VAZAO[qnat])</f>
        <v>0</v>
      </c>
      <c r="N19" s="250">
        <f ca="1">SUMPRODUCT((TABELA_VAZAO[Posto]=N$2)*1,(TABELA_VAZAO[Data]=$A19)*1,TABELA_VAZAO[qinc])</f>
        <v>0</v>
      </c>
      <c r="O19" s="288">
        <f ca="1">SUMPRODUCT((TABELA_VAZAO[Posto]=O$2)*1,(TABELA_VAZAO[Data]=$A19)*1,TABELA_VAZAO[qnat])</f>
        <v>0</v>
      </c>
      <c r="P19" s="250">
        <f ca="1">SUMPRODUCT((TABELA_VAZAO[Posto]=P$2)*1,(TABELA_VAZAO[Data]=$A19)*1,TABELA_VAZAO[qinc])</f>
        <v>0</v>
      </c>
      <c r="Q19" s="288">
        <f ca="1">SUMPRODUCT((TABELA_VAZAO[Posto]=Q$2)*1,(TABELA_VAZAO[Data]=$A19)*1,TABELA_VAZAO[qnat])</f>
        <v>0</v>
      </c>
      <c r="R19" s="250">
        <f ca="1">SUMPRODUCT((TABELA_VAZAO[Posto]=R$2)*1,(TABELA_VAZAO[Data]=$A19)*1,TABELA_VAZAO[qinc])</f>
        <v>0</v>
      </c>
      <c r="S19" s="288">
        <f ca="1">SUMPRODUCT((TABELA_VAZAO[Posto]=S$2)*1,(TABELA_VAZAO[Data]=$A19)*1,TABELA_VAZAO[qnat])</f>
        <v>0</v>
      </c>
      <c r="T19" s="67" t="e">
        <f ca="1">INDEX(RESULTADOS!$A:$BA,MATCH($A19,RESULTADOS!$A:$A,0),MATCH(T$1,RESULTADOS!$1:$1,0))</f>
        <v>#N/A</v>
      </c>
      <c r="U19" s="250">
        <f ca="1">SUMPRODUCT((TABELA_VAZAO[Posto]=U$2)*1,(TABELA_VAZAO[Data]=$A19)*1,TABELA_VAZAO[qinc])</f>
        <v>0</v>
      </c>
      <c r="V19" s="288">
        <f ca="1">SUMPRODUCT((TABELA_VAZAO[Posto]=V$2)*1,(TABELA_VAZAO[Data]=$A19)*1,TABELA_VAZAO[qnat])</f>
        <v>0</v>
      </c>
      <c r="W19" s="67" t="e">
        <f ca="1">INDEX(RESULTADOS!$A:$BA,MATCH($A19,RESULTADOS!$A:$A,0),MATCH(W$1,RESULTADOS!$1:$1,0))</f>
        <v>#N/A</v>
      </c>
      <c r="X19" s="250">
        <f ca="1">SUMPRODUCT((TABELA_VAZAO[Posto]=X$2)*1,(TABELA_VAZAO[Data]=$A19)*1,TABELA_VAZAO[qinc])</f>
        <v>0</v>
      </c>
      <c r="Y19" s="288">
        <f ca="1">SUMPRODUCT((TABELA_VAZAO[Posto]=Y$2)*1,(TABELA_VAZAO[Data]=$A19)*1,TABELA_VAZAO[qnat])</f>
        <v>0</v>
      </c>
      <c r="Z19" s="57" t="e">
        <f t="shared" ca="1" si="3"/>
        <v>#N/A</v>
      </c>
      <c r="AA19" s="250">
        <f ca="1">SUMPRODUCT((TABELA_VAZAO[Posto]=AA$2)*1,(TABELA_VAZAO[Data]=$A19)*1,TABELA_VAZAO[qinc])</f>
        <v>0</v>
      </c>
      <c r="AB19" s="288">
        <f ca="1">SUMPRODUCT((TABELA_VAZAO[Posto]=AB$2)*1,(TABELA_VAZAO[Data]=$A19)*1,TABELA_VAZAO[qnat])</f>
        <v>0</v>
      </c>
    </row>
    <row r="20" spans="1:28" x14ac:dyDescent="0.2">
      <c r="A20" s="49">
        <f t="shared" ca="1" si="1"/>
        <v>43819</v>
      </c>
      <c r="B20" s="288">
        <f ca="1">SUMPRODUCT((TABELA_VAZAO[Posto]=B$2)*1,(TABELA_VAZAO[Data]=$A20)*1,TABELA_VAZAO[qnat])</f>
        <v>0</v>
      </c>
      <c r="C20" s="67" t="e">
        <f ca="1">INDEX(RESULTADOS!$A:$BA,MATCH($A20,RESULTADOS!$A:$A,0),MATCH(C$1,RESULTADOS!$1:$1,0))</f>
        <v>#N/A</v>
      </c>
      <c r="D20" s="250">
        <f ca="1">SUMPRODUCT((TABELA_VAZAO[Posto]=D$2)*1,(TABELA_VAZAO[Data]=$A20)*1,TABELA_VAZAO[qinc])</f>
        <v>0</v>
      </c>
      <c r="E20" s="288">
        <f ca="1">SUMPRODUCT((TABELA_VAZAO[Posto]=E$2)*1,(TABELA_VAZAO[Data]=$A20)*1,TABELA_VAZAO[qnat])</f>
        <v>0</v>
      </c>
      <c r="F20" s="250">
        <f ca="1">SUMPRODUCT((TABELA_VAZAO[Posto]=F$2)*1,(TABELA_VAZAO[Data]=$A20)*1,TABELA_VAZAO[qinc])</f>
        <v>0</v>
      </c>
      <c r="G20" s="288">
        <f ca="1">SUMPRODUCT((TABELA_VAZAO[Posto]=G$2)*1,(TABELA_VAZAO[Data]=$A20)*1,TABELA_VAZAO[qnat])</f>
        <v>0</v>
      </c>
      <c r="H20" s="67" t="e">
        <f ca="1">INDEX(RESULTADOS!$A:$BA,MATCH($A20,RESULTADOS!$A:$A,0),MATCH(H$1,RESULTADOS!$1:$1,0))</f>
        <v>#N/A</v>
      </c>
      <c r="I20" s="250">
        <f ca="1">SUMPRODUCT((TABELA_VAZAO[Posto]=I$2)*1,(TABELA_VAZAO[Data]=$A20)*1,TABELA_VAZAO[qinc])</f>
        <v>0</v>
      </c>
      <c r="J20" s="288">
        <f ca="1">SUMPRODUCT((TABELA_VAZAO[Posto]=J$2)*1,(TABELA_VAZAO[Data]=$A20)*1,TABELA_VAZAO[qnat])</f>
        <v>0</v>
      </c>
      <c r="K20" s="57" t="e">
        <f t="shared" ca="1" si="2"/>
        <v>#N/A</v>
      </c>
      <c r="L20" s="250">
        <f ca="1">SUMPRODUCT((TABELA_VAZAO[Posto]=L$2)*1,(TABELA_VAZAO[Data]=$A20)*1,TABELA_VAZAO[qinc])</f>
        <v>0</v>
      </c>
      <c r="M20" s="288">
        <f ca="1">SUMPRODUCT((TABELA_VAZAO[Posto]=M$2)*1,(TABELA_VAZAO[Data]=$A20)*1,TABELA_VAZAO[qnat])</f>
        <v>0</v>
      </c>
      <c r="N20" s="250">
        <f ca="1">SUMPRODUCT((TABELA_VAZAO[Posto]=N$2)*1,(TABELA_VAZAO[Data]=$A20)*1,TABELA_VAZAO[qinc])</f>
        <v>0</v>
      </c>
      <c r="O20" s="288">
        <f ca="1">SUMPRODUCT((TABELA_VAZAO[Posto]=O$2)*1,(TABELA_VAZAO[Data]=$A20)*1,TABELA_VAZAO[qnat])</f>
        <v>0</v>
      </c>
      <c r="P20" s="250">
        <f ca="1">SUMPRODUCT((TABELA_VAZAO[Posto]=P$2)*1,(TABELA_VAZAO[Data]=$A20)*1,TABELA_VAZAO[qinc])</f>
        <v>0</v>
      </c>
      <c r="Q20" s="288">
        <f ca="1">SUMPRODUCT((TABELA_VAZAO[Posto]=Q$2)*1,(TABELA_VAZAO[Data]=$A20)*1,TABELA_VAZAO[qnat])</f>
        <v>0</v>
      </c>
      <c r="R20" s="250">
        <f ca="1">SUMPRODUCT((TABELA_VAZAO[Posto]=R$2)*1,(TABELA_VAZAO[Data]=$A20)*1,TABELA_VAZAO[qinc])</f>
        <v>0</v>
      </c>
      <c r="S20" s="288">
        <f ca="1">SUMPRODUCT((TABELA_VAZAO[Posto]=S$2)*1,(TABELA_VAZAO[Data]=$A20)*1,TABELA_VAZAO[qnat])</f>
        <v>0</v>
      </c>
      <c r="T20" s="67" t="e">
        <f ca="1">INDEX(RESULTADOS!$A:$BA,MATCH($A20,RESULTADOS!$A:$A,0),MATCH(T$1,RESULTADOS!$1:$1,0))</f>
        <v>#N/A</v>
      </c>
      <c r="U20" s="250">
        <f ca="1">SUMPRODUCT((TABELA_VAZAO[Posto]=U$2)*1,(TABELA_VAZAO[Data]=$A20)*1,TABELA_VAZAO[qinc])</f>
        <v>0</v>
      </c>
      <c r="V20" s="288">
        <f ca="1">SUMPRODUCT((TABELA_VAZAO[Posto]=V$2)*1,(TABELA_VAZAO[Data]=$A20)*1,TABELA_VAZAO[qnat])</f>
        <v>0</v>
      </c>
      <c r="W20" s="67" t="e">
        <f ca="1">INDEX(RESULTADOS!$A:$BA,MATCH($A20,RESULTADOS!$A:$A,0),MATCH(W$1,RESULTADOS!$1:$1,0))</f>
        <v>#N/A</v>
      </c>
      <c r="X20" s="250">
        <f ca="1">SUMPRODUCT((TABELA_VAZAO[Posto]=X$2)*1,(TABELA_VAZAO[Data]=$A20)*1,TABELA_VAZAO[qinc])</f>
        <v>0</v>
      </c>
      <c r="Y20" s="288">
        <f ca="1">SUMPRODUCT((TABELA_VAZAO[Posto]=Y$2)*1,(TABELA_VAZAO[Data]=$A20)*1,TABELA_VAZAO[qnat])</f>
        <v>0</v>
      </c>
      <c r="Z20" s="57" t="e">
        <f t="shared" ca="1" si="3"/>
        <v>#N/A</v>
      </c>
      <c r="AA20" s="250">
        <f ca="1">SUMPRODUCT((TABELA_VAZAO[Posto]=AA$2)*1,(TABELA_VAZAO[Data]=$A20)*1,TABELA_VAZAO[qinc])</f>
        <v>0</v>
      </c>
      <c r="AB20" s="288">
        <f ca="1">SUMPRODUCT((TABELA_VAZAO[Posto]=AB$2)*1,(TABELA_VAZAO[Data]=$A20)*1,TABELA_VAZAO[qnat])</f>
        <v>0</v>
      </c>
    </row>
    <row r="21" spans="1:28" x14ac:dyDescent="0.2">
      <c r="A21" s="49">
        <f t="shared" ca="1" si="1"/>
        <v>43820</v>
      </c>
      <c r="B21" s="288">
        <f ca="1">SUMPRODUCT((TABELA_VAZAO[Posto]=B$2)*1,(TABELA_VAZAO[Data]=$A21)*1,TABELA_VAZAO[qnat])</f>
        <v>0</v>
      </c>
      <c r="C21" s="67" t="e">
        <f ca="1">INDEX(RESULTADOS!$A:$BA,MATCH($A21,RESULTADOS!$A:$A,0),MATCH(C$1,RESULTADOS!$1:$1,0))</f>
        <v>#N/A</v>
      </c>
      <c r="D21" s="250">
        <f ca="1">SUMPRODUCT((TABELA_VAZAO[Posto]=D$2)*1,(TABELA_VAZAO[Data]=$A21)*1,TABELA_VAZAO[qinc])</f>
        <v>0</v>
      </c>
      <c r="E21" s="288">
        <f ca="1">SUMPRODUCT((TABELA_VAZAO[Posto]=E$2)*1,(TABELA_VAZAO[Data]=$A21)*1,TABELA_VAZAO[qnat])</f>
        <v>0</v>
      </c>
      <c r="F21" s="250">
        <f ca="1">SUMPRODUCT((TABELA_VAZAO[Posto]=F$2)*1,(TABELA_VAZAO[Data]=$A21)*1,TABELA_VAZAO[qinc])</f>
        <v>0</v>
      </c>
      <c r="G21" s="288">
        <f ca="1">SUMPRODUCT((TABELA_VAZAO[Posto]=G$2)*1,(TABELA_VAZAO[Data]=$A21)*1,TABELA_VAZAO[qnat])</f>
        <v>0</v>
      </c>
      <c r="H21" s="67" t="e">
        <f ca="1">INDEX(RESULTADOS!$A:$BA,MATCH($A21,RESULTADOS!$A:$A,0),MATCH(H$1,RESULTADOS!$1:$1,0))</f>
        <v>#N/A</v>
      </c>
      <c r="I21" s="250">
        <f ca="1">SUMPRODUCT((TABELA_VAZAO[Posto]=I$2)*1,(TABELA_VAZAO[Data]=$A21)*1,TABELA_VAZAO[qinc])</f>
        <v>0</v>
      </c>
      <c r="J21" s="288">
        <f ca="1">SUMPRODUCT((TABELA_VAZAO[Posto]=J$2)*1,(TABELA_VAZAO[Data]=$A21)*1,TABELA_VAZAO[qnat])</f>
        <v>0</v>
      </c>
      <c r="K21" s="57" t="e">
        <f t="shared" ca="1" si="2"/>
        <v>#N/A</v>
      </c>
      <c r="L21" s="250">
        <f ca="1">SUMPRODUCT((TABELA_VAZAO[Posto]=L$2)*1,(TABELA_VAZAO[Data]=$A21)*1,TABELA_VAZAO[qinc])</f>
        <v>0</v>
      </c>
      <c r="M21" s="288">
        <f ca="1">SUMPRODUCT((TABELA_VAZAO[Posto]=M$2)*1,(TABELA_VAZAO[Data]=$A21)*1,TABELA_VAZAO[qnat])</f>
        <v>0</v>
      </c>
      <c r="N21" s="250">
        <f ca="1">SUMPRODUCT((TABELA_VAZAO[Posto]=N$2)*1,(TABELA_VAZAO[Data]=$A21)*1,TABELA_VAZAO[qinc])</f>
        <v>0</v>
      </c>
      <c r="O21" s="288">
        <f ca="1">SUMPRODUCT((TABELA_VAZAO[Posto]=O$2)*1,(TABELA_VAZAO[Data]=$A21)*1,TABELA_VAZAO[qnat])</f>
        <v>0</v>
      </c>
      <c r="P21" s="250">
        <f ca="1">SUMPRODUCT((TABELA_VAZAO[Posto]=P$2)*1,(TABELA_VAZAO[Data]=$A21)*1,TABELA_VAZAO[qinc])</f>
        <v>0</v>
      </c>
      <c r="Q21" s="288">
        <f ca="1">SUMPRODUCT((TABELA_VAZAO[Posto]=Q$2)*1,(TABELA_VAZAO[Data]=$A21)*1,TABELA_VAZAO[qnat])</f>
        <v>0</v>
      </c>
      <c r="R21" s="250">
        <f ca="1">SUMPRODUCT((TABELA_VAZAO[Posto]=R$2)*1,(TABELA_VAZAO[Data]=$A21)*1,TABELA_VAZAO[qinc])</f>
        <v>0</v>
      </c>
      <c r="S21" s="288">
        <f ca="1">SUMPRODUCT((TABELA_VAZAO[Posto]=S$2)*1,(TABELA_VAZAO[Data]=$A21)*1,TABELA_VAZAO[qnat])</f>
        <v>0</v>
      </c>
      <c r="T21" s="67" t="e">
        <f ca="1">INDEX(RESULTADOS!$A:$BA,MATCH($A21,RESULTADOS!$A:$A,0),MATCH(T$1,RESULTADOS!$1:$1,0))</f>
        <v>#N/A</v>
      </c>
      <c r="U21" s="250">
        <f ca="1">SUMPRODUCT((TABELA_VAZAO[Posto]=U$2)*1,(TABELA_VAZAO[Data]=$A21)*1,TABELA_VAZAO[qinc])</f>
        <v>0</v>
      </c>
      <c r="V21" s="288">
        <f ca="1">SUMPRODUCT((TABELA_VAZAO[Posto]=V$2)*1,(TABELA_VAZAO[Data]=$A21)*1,TABELA_VAZAO[qnat])</f>
        <v>0</v>
      </c>
      <c r="W21" s="67" t="e">
        <f ca="1">INDEX(RESULTADOS!$A:$BA,MATCH($A21,RESULTADOS!$A:$A,0),MATCH(W$1,RESULTADOS!$1:$1,0))</f>
        <v>#N/A</v>
      </c>
      <c r="X21" s="250">
        <f ca="1">SUMPRODUCT((TABELA_VAZAO[Posto]=X$2)*1,(TABELA_VAZAO[Data]=$A21)*1,TABELA_VAZAO[qinc])</f>
        <v>0</v>
      </c>
      <c r="Y21" s="288">
        <f ca="1">SUMPRODUCT((TABELA_VAZAO[Posto]=Y$2)*1,(TABELA_VAZAO[Data]=$A21)*1,TABELA_VAZAO[qnat])</f>
        <v>0</v>
      </c>
      <c r="Z21" s="57" t="e">
        <f t="shared" ca="1" si="3"/>
        <v>#N/A</v>
      </c>
      <c r="AA21" s="250">
        <f ca="1">SUMPRODUCT((TABELA_VAZAO[Posto]=AA$2)*1,(TABELA_VAZAO[Data]=$A21)*1,TABELA_VAZAO[qinc])</f>
        <v>0</v>
      </c>
      <c r="AB21" s="288">
        <f ca="1">SUMPRODUCT((TABELA_VAZAO[Posto]=AB$2)*1,(TABELA_VAZAO[Data]=$A21)*1,TABELA_VAZAO[qnat])</f>
        <v>0</v>
      </c>
    </row>
    <row r="22" spans="1:28" x14ac:dyDescent="0.2">
      <c r="A22" s="49">
        <f t="shared" ca="1" si="1"/>
        <v>43821</v>
      </c>
      <c r="B22" s="288">
        <f ca="1">SUMPRODUCT((TABELA_VAZAO[Posto]=B$2)*1,(TABELA_VAZAO[Data]=$A22)*1,TABELA_VAZAO[qnat])</f>
        <v>0</v>
      </c>
      <c r="C22" s="67" t="e">
        <f ca="1">INDEX(RESULTADOS!$A:$BA,MATCH($A22,RESULTADOS!$A:$A,0),MATCH(C$1,RESULTADOS!$1:$1,0))</f>
        <v>#N/A</v>
      </c>
      <c r="D22" s="250">
        <f ca="1">SUMPRODUCT((TABELA_VAZAO[Posto]=D$2)*1,(TABELA_VAZAO[Data]=$A22)*1,TABELA_VAZAO[qinc])</f>
        <v>0</v>
      </c>
      <c r="E22" s="288">
        <f ca="1">SUMPRODUCT((TABELA_VAZAO[Posto]=E$2)*1,(TABELA_VAZAO[Data]=$A22)*1,TABELA_VAZAO[qnat])</f>
        <v>0</v>
      </c>
      <c r="F22" s="250">
        <f ca="1">SUMPRODUCT((TABELA_VAZAO[Posto]=F$2)*1,(TABELA_VAZAO[Data]=$A22)*1,TABELA_VAZAO[qinc])</f>
        <v>0</v>
      </c>
      <c r="G22" s="288">
        <f ca="1">SUMPRODUCT((TABELA_VAZAO[Posto]=G$2)*1,(TABELA_VAZAO[Data]=$A22)*1,TABELA_VAZAO[qnat])</f>
        <v>0</v>
      </c>
      <c r="H22" s="67" t="e">
        <f ca="1">INDEX(RESULTADOS!$A:$BA,MATCH($A22,RESULTADOS!$A:$A,0),MATCH(H$1,RESULTADOS!$1:$1,0))</f>
        <v>#N/A</v>
      </c>
      <c r="I22" s="250">
        <f ca="1">SUMPRODUCT((TABELA_VAZAO[Posto]=I$2)*1,(TABELA_VAZAO[Data]=$A22)*1,TABELA_VAZAO[qinc])</f>
        <v>0</v>
      </c>
      <c r="J22" s="288">
        <f ca="1">SUMPRODUCT((TABELA_VAZAO[Posto]=J$2)*1,(TABELA_VAZAO[Data]=$A22)*1,TABELA_VAZAO[qnat])</f>
        <v>0</v>
      </c>
      <c r="K22" s="57" t="e">
        <f t="shared" ca="1" si="2"/>
        <v>#N/A</v>
      </c>
      <c r="L22" s="250">
        <f ca="1">SUMPRODUCT((TABELA_VAZAO[Posto]=L$2)*1,(TABELA_VAZAO[Data]=$A22)*1,TABELA_VAZAO[qinc])</f>
        <v>0</v>
      </c>
      <c r="M22" s="288">
        <f ca="1">SUMPRODUCT((TABELA_VAZAO[Posto]=M$2)*1,(TABELA_VAZAO[Data]=$A22)*1,TABELA_VAZAO[qnat])</f>
        <v>0</v>
      </c>
      <c r="N22" s="250">
        <f ca="1">SUMPRODUCT((TABELA_VAZAO[Posto]=N$2)*1,(TABELA_VAZAO[Data]=$A22)*1,TABELA_VAZAO[qinc])</f>
        <v>0</v>
      </c>
      <c r="O22" s="288">
        <f ca="1">SUMPRODUCT((TABELA_VAZAO[Posto]=O$2)*1,(TABELA_VAZAO[Data]=$A22)*1,TABELA_VAZAO[qnat])</f>
        <v>0</v>
      </c>
      <c r="P22" s="250">
        <f ca="1">SUMPRODUCT((TABELA_VAZAO[Posto]=P$2)*1,(TABELA_VAZAO[Data]=$A22)*1,TABELA_VAZAO[qinc])</f>
        <v>0</v>
      </c>
      <c r="Q22" s="288">
        <f ca="1">SUMPRODUCT((TABELA_VAZAO[Posto]=Q$2)*1,(TABELA_VAZAO[Data]=$A22)*1,TABELA_VAZAO[qnat])</f>
        <v>0</v>
      </c>
      <c r="R22" s="250">
        <f ca="1">SUMPRODUCT((TABELA_VAZAO[Posto]=R$2)*1,(TABELA_VAZAO[Data]=$A22)*1,TABELA_VAZAO[qinc])</f>
        <v>0</v>
      </c>
      <c r="S22" s="288">
        <f ca="1">SUMPRODUCT((TABELA_VAZAO[Posto]=S$2)*1,(TABELA_VAZAO[Data]=$A22)*1,TABELA_VAZAO[qnat])</f>
        <v>0</v>
      </c>
      <c r="T22" s="67" t="e">
        <f ca="1">INDEX(RESULTADOS!$A:$BA,MATCH($A22,RESULTADOS!$A:$A,0),MATCH(T$1,RESULTADOS!$1:$1,0))</f>
        <v>#N/A</v>
      </c>
      <c r="U22" s="250">
        <f ca="1">SUMPRODUCT((TABELA_VAZAO[Posto]=U$2)*1,(TABELA_VAZAO[Data]=$A22)*1,TABELA_VAZAO[qinc])</f>
        <v>0</v>
      </c>
      <c r="V22" s="288">
        <f ca="1">SUMPRODUCT((TABELA_VAZAO[Posto]=V$2)*1,(TABELA_VAZAO[Data]=$A22)*1,TABELA_VAZAO[qnat])</f>
        <v>0</v>
      </c>
      <c r="W22" s="67" t="e">
        <f ca="1">INDEX(RESULTADOS!$A:$BA,MATCH($A22,RESULTADOS!$A:$A,0),MATCH(W$1,RESULTADOS!$1:$1,0))</f>
        <v>#N/A</v>
      </c>
      <c r="X22" s="250">
        <f ca="1">SUMPRODUCT((TABELA_VAZAO[Posto]=X$2)*1,(TABELA_VAZAO[Data]=$A22)*1,TABELA_VAZAO[qinc])</f>
        <v>0</v>
      </c>
      <c r="Y22" s="288">
        <f ca="1">SUMPRODUCT((TABELA_VAZAO[Posto]=Y$2)*1,(TABELA_VAZAO[Data]=$A22)*1,TABELA_VAZAO[qnat])</f>
        <v>0</v>
      </c>
      <c r="Z22" s="57" t="e">
        <f t="shared" ca="1" si="3"/>
        <v>#N/A</v>
      </c>
      <c r="AA22" s="250">
        <f ca="1">SUMPRODUCT((TABELA_VAZAO[Posto]=AA$2)*1,(TABELA_VAZAO[Data]=$A22)*1,TABELA_VAZAO[qinc])</f>
        <v>0</v>
      </c>
      <c r="AB22" s="288">
        <f ca="1">SUMPRODUCT((TABELA_VAZAO[Posto]=AB$2)*1,(TABELA_VAZAO[Data]=$A22)*1,TABELA_VAZAO[qnat])</f>
        <v>0</v>
      </c>
    </row>
    <row r="23" spans="1:28" x14ac:dyDescent="0.2">
      <c r="A23" s="49">
        <f t="shared" ca="1" si="1"/>
        <v>43822</v>
      </c>
      <c r="B23" s="288">
        <f ca="1">SUMPRODUCT((TABELA_VAZAO[Posto]=B$2)*1,(TABELA_VAZAO[Data]=$A23)*1,TABELA_VAZAO[qnat])</f>
        <v>0</v>
      </c>
      <c r="C23" s="67" t="e">
        <f ca="1">INDEX(RESULTADOS!$A:$BA,MATCH($A23,RESULTADOS!$A:$A,0),MATCH(C$1,RESULTADOS!$1:$1,0))</f>
        <v>#N/A</v>
      </c>
      <c r="D23" s="250">
        <f ca="1">SUMPRODUCT((TABELA_VAZAO[Posto]=D$2)*1,(TABELA_VAZAO[Data]=$A23)*1,TABELA_VAZAO[qinc])</f>
        <v>0</v>
      </c>
      <c r="E23" s="288">
        <f ca="1">SUMPRODUCT((TABELA_VAZAO[Posto]=E$2)*1,(TABELA_VAZAO[Data]=$A23)*1,TABELA_VAZAO[qnat])</f>
        <v>0</v>
      </c>
      <c r="F23" s="250">
        <f ca="1">SUMPRODUCT((TABELA_VAZAO[Posto]=F$2)*1,(TABELA_VAZAO[Data]=$A23)*1,TABELA_VAZAO[qinc])</f>
        <v>0</v>
      </c>
      <c r="G23" s="288">
        <f ca="1">SUMPRODUCT((TABELA_VAZAO[Posto]=G$2)*1,(TABELA_VAZAO[Data]=$A23)*1,TABELA_VAZAO[qnat])</f>
        <v>0</v>
      </c>
      <c r="H23" s="67" t="e">
        <f ca="1">INDEX(RESULTADOS!$A:$BA,MATCH($A23,RESULTADOS!$A:$A,0),MATCH(H$1,RESULTADOS!$1:$1,0))</f>
        <v>#N/A</v>
      </c>
      <c r="I23" s="250">
        <f ca="1">SUMPRODUCT((TABELA_VAZAO[Posto]=I$2)*1,(TABELA_VAZAO[Data]=$A23)*1,TABELA_VAZAO[qinc])</f>
        <v>0</v>
      </c>
      <c r="J23" s="288">
        <f ca="1">SUMPRODUCT((TABELA_VAZAO[Posto]=J$2)*1,(TABELA_VAZAO[Data]=$A23)*1,TABELA_VAZAO[qnat])</f>
        <v>0</v>
      </c>
      <c r="K23" s="57" t="e">
        <f t="shared" ca="1" si="2"/>
        <v>#N/A</v>
      </c>
      <c r="L23" s="250">
        <f ca="1">SUMPRODUCT((TABELA_VAZAO[Posto]=L$2)*1,(TABELA_VAZAO[Data]=$A23)*1,TABELA_VAZAO[qinc])</f>
        <v>0</v>
      </c>
      <c r="M23" s="288">
        <f ca="1">SUMPRODUCT((TABELA_VAZAO[Posto]=M$2)*1,(TABELA_VAZAO[Data]=$A23)*1,TABELA_VAZAO[qnat])</f>
        <v>0</v>
      </c>
      <c r="N23" s="250">
        <f ca="1">SUMPRODUCT((TABELA_VAZAO[Posto]=N$2)*1,(TABELA_VAZAO[Data]=$A23)*1,TABELA_VAZAO[qinc])</f>
        <v>0</v>
      </c>
      <c r="O23" s="288">
        <f ca="1">SUMPRODUCT((TABELA_VAZAO[Posto]=O$2)*1,(TABELA_VAZAO[Data]=$A23)*1,TABELA_VAZAO[qnat])</f>
        <v>0</v>
      </c>
      <c r="P23" s="250">
        <f ca="1">SUMPRODUCT((TABELA_VAZAO[Posto]=P$2)*1,(TABELA_VAZAO[Data]=$A23)*1,TABELA_VAZAO[qinc])</f>
        <v>0</v>
      </c>
      <c r="Q23" s="288">
        <f ca="1">SUMPRODUCT((TABELA_VAZAO[Posto]=Q$2)*1,(TABELA_VAZAO[Data]=$A23)*1,TABELA_VAZAO[qnat])</f>
        <v>0</v>
      </c>
      <c r="R23" s="250">
        <f ca="1">SUMPRODUCT((TABELA_VAZAO[Posto]=R$2)*1,(TABELA_VAZAO[Data]=$A23)*1,TABELA_VAZAO[qinc])</f>
        <v>0</v>
      </c>
      <c r="S23" s="288">
        <f ca="1">SUMPRODUCT((TABELA_VAZAO[Posto]=S$2)*1,(TABELA_VAZAO[Data]=$A23)*1,TABELA_VAZAO[qnat])</f>
        <v>0</v>
      </c>
      <c r="T23" s="67" t="e">
        <f ca="1">INDEX(RESULTADOS!$A:$BA,MATCH($A23,RESULTADOS!$A:$A,0),MATCH(T$1,RESULTADOS!$1:$1,0))</f>
        <v>#N/A</v>
      </c>
      <c r="U23" s="250">
        <f ca="1">SUMPRODUCT((TABELA_VAZAO[Posto]=U$2)*1,(TABELA_VAZAO[Data]=$A23)*1,TABELA_VAZAO[qinc])</f>
        <v>0</v>
      </c>
      <c r="V23" s="288">
        <f ca="1">SUMPRODUCT((TABELA_VAZAO[Posto]=V$2)*1,(TABELA_VAZAO[Data]=$A23)*1,TABELA_VAZAO[qnat])</f>
        <v>0</v>
      </c>
      <c r="W23" s="67" t="e">
        <f ca="1">INDEX(RESULTADOS!$A:$BA,MATCH($A23,RESULTADOS!$A:$A,0),MATCH(W$1,RESULTADOS!$1:$1,0))</f>
        <v>#N/A</v>
      </c>
      <c r="X23" s="250">
        <f ca="1">SUMPRODUCT((TABELA_VAZAO[Posto]=X$2)*1,(TABELA_VAZAO[Data]=$A23)*1,TABELA_VAZAO[qinc])</f>
        <v>0</v>
      </c>
      <c r="Y23" s="288">
        <f ca="1">SUMPRODUCT((TABELA_VAZAO[Posto]=Y$2)*1,(TABELA_VAZAO[Data]=$A23)*1,TABELA_VAZAO[qnat])</f>
        <v>0</v>
      </c>
      <c r="Z23" s="57" t="e">
        <f t="shared" ca="1" si="3"/>
        <v>#N/A</v>
      </c>
      <c r="AA23" s="250">
        <f ca="1">SUMPRODUCT((TABELA_VAZAO[Posto]=AA$2)*1,(TABELA_VAZAO[Data]=$A23)*1,TABELA_VAZAO[qinc])</f>
        <v>0</v>
      </c>
      <c r="AB23" s="288">
        <f ca="1">SUMPRODUCT((TABELA_VAZAO[Posto]=AB$2)*1,(TABELA_VAZAO[Data]=$A23)*1,TABELA_VAZAO[qnat])</f>
        <v>0</v>
      </c>
    </row>
    <row r="24" spans="1:28" x14ac:dyDescent="0.2">
      <c r="A24" s="49">
        <f t="shared" ca="1" si="1"/>
        <v>43823</v>
      </c>
      <c r="B24" s="288">
        <f ca="1">SUMPRODUCT((TABELA_VAZAO[Posto]=B$2)*1,(TABELA_VAZAO[Data]=$A24)*1,TABELA_VAZAO[qnat])</f>
        <v>0</v>
      </c>
      <c r="C24" s="67" t="e">
        <f ca="1">INDEX(RESULTADOS!$A:$BA,MATCH($A24,RESULTADOS!$A:$A,0),MATCH(C$1,RESULTADOS!$1:$1,0))</f>
        <v>#N/A</v>
      </c>
      <c r="D24" s="250">
        <f ca="1">SUMPRODUCT((TABELA_VAZAO[Posto]=D$2)*1,(TABELA_VAZAO[Data]=$A24)*1,TABELA_VAZAO[qinc])</f>
        <v>0</v>
      </c>
      <c r="E24" s="288">
        <f ca="1">SUMPRODUCT((TABELA_VAZAO[Posto]=E$2)*1,(TABELA_VAZAO[Data]=$A24)*1,TABELA_VAZAO[qnat])</f>
        <v>0</v>
      </c>
      <c r="F24" s="250">
        <f ca="1">SUMPRODUCT((TABELA_VAZAO[Posto]=F$2)*1,(TABELA_VAZAO[Data]=$A24)*1,TABELA_VAZAO[qinc])</f>
        <v>0</v>
      </c>
      <c r="G24" s="288">
        <f ca="1">SUMPRODUCT((TABELA_VAZAO[Posto]=G$2)*1,(TABELA_VAZAO[Data]=$A24)*1,TABELA_VAZAO[qnat])</f>
        <v>0</v>
      </c>
      <c r="H24" s="67" t="e">
        <f ca="1">INDEX(RESULTADOS!$A:$BA,MATCH($A24,RESULTADOS!$A:$A,0),MATCH(H$1,RESULTADOS!$1:$1,0))</f>
        <v>#N/A</v>
      </c>
      <c r="I24" s="250">
        <f ca="1">SUMPRODUCT((TABELA_VAZAO[Posto]=I$2)*1,(TABELA_VAZAO[Data]=$A24)*1,TABELA_VAZAO[qinc])</f>
        <v>0</v>
      </c>
      <c r="J24" s="288">
        <f ca="1">SUMPRODUCT((TABELA_VAZAO[Posto]=J$2)*1,(TABELA_VAZAO[Data]=$A24)*1,TABELA_VAZAO[qnat])</f>
        <v>0</v>
      </c>
      <c r="K24" s="57" t="e">
        <f t="shared" ca="1" si="2"/>
        <v>#N/A</v>
      </c>
      <c r="L24" s="250">
        <f ca="1">SUMPRODUCT((TABELA_VAZAO[Posto]=L$2)*1,(TABELA_VAZAO[Data]=$A24)*1,TABELA_VAZAO[qinc])</f>
        <v>0</v>
      </c>
      <c r="M24" s="288">
        <f ca="1">SUMPRODUCT((TABELA_VAZAO[Posto]=M$2)*1,(TABELA_VAZAO[Data]=$A24)*1,TABELA_VAZAO[qnat])</f>
        <v>0</v>
      </c>
      <c r="N24" s="250">
        <f ca="1">SUMPRODUCT((TABELA_VAZAO[Posto]=N$2)*1,(TABELA_VAZAO[Data]=$A24)*1,TABELA_VAZAO[qinc])</f>
        <v>0</v>
      </c>
      <c r="O24" s="288">
        <f ca="1">SUMPRODUCT((TABELA_VAZAO[Posto]=O$2)*1,(TABELA_VAZAO[Data]=$A24)*1,TABELA_VAZAO[qnat])</f>
        <v>0</v>
      </c>
      <c r="P24" s="250">
        <f ca="1">SUMPRODUCT((TABELA_VAZAO[Posto]=P$2)*1,(TABELA_VAZAO[Data]=$A24)*1,TABELA_VAZAO[qinc])</f>
        <v>0</v>
      </c>
      <c r="Q24" s="288">
        <f ca="1">SUMPRODUCT((TABELA_VAZAO[Posto]=Q$2)*1,(TABELA_VAZAO[Data]=$A24)*1,TABELA_VAZAO[qnat])</f>
        <v>0</v>
      </c>
      <c r="R24" s="250">
        <f ca="1">SUMPRODUCT((TABELA_VAZAO[Posto]=R$2)*1,(TABELA_VAZAO[Data]=$A24)*1,TABELA_VAZAO[qinc])</f>
        <v>0</v>
      </c>
      <c r="S24" s="288">
        <f ca="1">SUMPRODUCT((TABELA_VAZAO[Posto]=S$2)*1,(TABELA_VAZAO[Data]=$A24)*1,TABELA_VAZAO[qnat])</f>
        <v>0</v>
      </c>
      <c r="T24" s="67" t="e">
        <f ca="1">INDEX(RESULTADOS!$A:$BA,MATCH($A24,RESULTADOS!$A:$A,0),MATCH(T$1,RESULTADOS!$1:$1,0))</f>
        <v>#N/A</v>
      </c>
      <c r="U24" s="250">
        <f ca="1">SUMPRODUCT((TABELA_VAZAO[Posto]=U$2)*1,(TABELA_VAZAO[Data]=$A24)*1,TABELA_VAZAO[qinc])</f>
        <v>0</v>
      </c>
      <c r="V24" s="288">
        <f ca="1">SUMPRODUCT((TABELA_VAZAO[Posto]=V$2)*1,(TABELA_VAZAO[Data]=$A24)*1,TABELA_VAZAO[qnat])</f>
        <v>0</v>
      </c>
      <c r="W24" s="67" t="e">
        <f ca="1">INDEX(RESULTADOS!$A:$BA,MATCH($A24,RESULTADOS!$A:$A,0),MATCH(W$1,RESULTADOS!$1:$1,0))</f>
        <v>#N/A</v>
      </c>
      <c r="X24" s="250">
        <f ca="1">SUMPRODUCT((TABELA_VAZAO[Posto]=X$2)*1,(TABELA_VAZAO[Data]=$A24)*1,TABELA_VAZAO[qinc])</f>
        <v>0</v>
      </c>
      <c r="Y24" s="288">
        <f ca="1">SUMPRODUCT((TABELA_VAZAO[Posto]=Y$2)*1,(TABELA_VAZAO[Data]=$A24)*1,TABELA_VAZAO[qnat])</f>
        <v>0</v>
      </c>
      <c r="Z24" s="57" t="e">
        <f t="shared" ca="1" si="3"/>
        <v>#N/A</v>
      </c>
      <c r="AA24" s="250">
        <f ca="1">SUMPRODUCT((TABELA_VAZAO[Posto]=AA$2)*1,(TABELA_VAZAO[Data]=$A24)*1,TABELA_VAZAO[qinc])</f>
        <v>0</v>
      </c>
      <c r="AB24" s="288">
        <f ca="1">SUMPRODUCT((TABELA_VAZAO[Posto]=AB$2)*1,(TABELA_VAZAO[Data]=$A24)*1,TABELA_VAZAO[qnat])</f>
        <v>0</v>
      </c>
    </row>
    <row r="25" spans="1:28" x14ac:dyDescent="0.2">
      <c r="A25" s="49">
        <f t="shared" ca="1" si="1"/>
        <v>43824</v>
      </c>
      <c r="B25" s="288">
        <f ca="1">SUMPRODUCT((TABELA_VAZAO[Posto]=B$2)*1,(TABELA_VAZAO[Data]=$A25)*1,TABELA_VAZAO[qnat])</f>
        <v>0</v>
      </c>
      <c r="C25" s="67" t="e">
        <f ca="1">INDEX(RESULTADOS!$A:$BA,MATCH($A25,RESULTADOS!$A:$A,0),MATCH(C$1,RESULTADOS!$1:$1,0))</f>
        <v>#N/A</v>
      </c>
      <c r="D25" s="250">
        <f ca="1">SUMPRODUCT((TABELA_VAZAO[Posto]=D$2)*1,(TABELA_VAZAO[Data]=$A25)*1,TABELA_VAZAO[qinc])</f>
        <v>0</v>
      </c>
      <c r="E25" s="288">
        <f ca="1">SUMPRODUCT((TABELA_VAZAO[Posto]=E$2)*1,(TABELA_VAZAO[Data]=$A25)*1,TABELA_VAZAO[qnat])</f>
        <v>0</v>
      </c>
      <c r="F25" s="250">
        <f ca="1">SUMPRODUCT((TABELA_VAZAO[Posto]=F$2)*1,(TABELA_VAZAO[Data]=$A25)*1,TABELA_VAZAO[qinc])</f>
        <v>0</v>
      </c>
      <c r="G25" s="288">
        <f ca="1">SUMPRODUCT((TABELA_VAZAO[Posto]=G$2)*1,(TABELA_VAZAO[Data]=$A25)*1,TABELA_VAZAO[qnat])</f>
        <v>0</v>
      </c>
      <c r="H25" s="67" t="e">
        <f ca="1">INDEX(RESULTADOS!$A:$BA,MATCH($A25,RESULTADOS!$A:$A,0),MATCH(H$1,RESULTADOS!$1:$1,0))</f>
        <v>#N/A</v>
      </c>
      <c r="I25" s="250">
        <f ca="1">SUMPRODUCT((TABELA_VAZAO[Posto]=I$2)*1,(TABELA_VAZAO[Data]=$A25)*1,TABELA_VAZAO[qinc])</f>
        <v>0</v>
      </c>
      <c r="J25" s="288">
        <f ca="1">SUMPRODUCT((TABELA_VAZAO[Posto]=J$2)*1,(TABELA_VAZAO[Data]=$A25)*1,TABELA_VAZAO[qnat])</f>
        <v>0</v>
      </c>
      <c r="K25" s="57" t="e">
        <f t="shared" ca="1" si="2"/>
        <v>#N/A</v>
      </c>
      <c r="L25" s="250">
        <f ca="1">SUMPRODUCT((TABELA_VAZAO[Posto]=L$2)*1,(TABELA_VAZAO[Data]=$A25)*1,TABELA_VAZAO[qinc])</f>
        <v>0</v>
      </c>
      <c r="M25" s="288">
        <f ca="1">SUMPRODUCT((TABELA_VAZAO[Posto]=M$2)*1,(TABELA_VAZAO[Data]=$A25)*1,TABELA_VAZAO[qnat])</f>
        <v>0</v>
      </c>
      <c r="N25" s="250">
        <f ca="1">SUMPRODUCT((TABELA_VAZAO[Posto]=N$2)*1,(TABELA_VAZAO[Data]=$A25)*1,TABELA_VAZAO[qinc])</f>
        <v>0</v>
      </c>
      <c r="O25" s="288">
        <f ca="1">SUMPRODUCT((TABELA_VAZAO[Posto]=O$2)*1,(TABELA_VAZAO[Data]=$A25)*1,TABELA_VAZAO[qnat])</f>
        <v>0</v>
      </c>
      <c r="P25" s="250">
        <f ca="1">SUMPRODUCT((TABELA_VAZAO[Posto]=P$2)*1,(TABELA_VAZAO[Data]=$A25)*1,TABELA_VAZAO[qinc])</f>
        <v>0</v>
      </c>
      <c r="Q25" s="288">
        <f ca="1">SUMPRODUCT((TABELA_VAZAO[Posto]=Q$2)*1,(TABELA_VAZAO[Data]=$A25)*1,TABELA_VAZAO[qnat])</f>
        <v>0</v>
      </c>
      <c r="R25" s="250">
        <f ca="1">SUMPRODUCT((TABELA_VAZAO[Posto]=R$2)*1,(TABELA_VAZAO[Data]=$A25)*1,TABELA_VAZAO[qinc])</f>
        <v>0</v>
      </c>
      <c r="S25" s="288">
        <f ca="1">SUMPRODUCT((TABELA_VAZAO[Posto]=S$2)*1,(TABELA_VAZAO[Data]=$A25)*1,TABELA_VAZAO[qnat])</f>
        <v>0</v>
      </c>
      <c r="T25" s="67" t="e">
        <f ca="1">INDEX(RESULTADOS!$A:$BA,MATCH($A25,RESULTADOS!$A:$A,0),MATCH(T$1,RESULTADOS!$1:$1,0))</f>
        <v>#N/A</v>
      </c>
      <c r="U25" s="250">
        <f ca="1">SUMPRODUCT((TABELA_VAZAO[Posto]=U$2)*1,(TABELA_VAZAO[Data]=$A25)*1,TABELA_VAZAO[qinc])</f>
        <v>0</v>
      </c>
      <c r="V25" s="288">
        <f ca="1">SUMPRODUCT((TABELA_VAZAO[Posto]=V$2)*1,(TABELA_VAZAO[Data]=$A25)*1,TABELA_VAZAO[qnat])</f>
        <v>0</v>
      </c>
      <c r="W25" s="67" t="e">
        <f ca="1">INDEX(RESULTADOS!$A:$BA,MATCH($A25,RESULTADOS!$A:$A,0),MATCH(W$1,RESULTADOS!$1:$1,0))</f>
        <v>#N/A</v>
      </c>
      <c r="X25" s="250">
        <f ca="1">SUMPRODUCT((TABELA_VAZAO[Posto]=X$2)*1,(TABELA_VAZAO[Data]=$A25)*1,TABELA_VAZAO[qinc])</f>
        <v>0</v>
      </c>
      <c r="Y25" s="288">
        <f ca="1">SUMPRODUCT((TABELA_VAZAO[Posto]=Y$2)*1,(TABELA_VAZAO[Data]=$A25)*1,TABELA_VAZAO[qnat])</f>
        <v>0</v>
      </c>
      <c r="Z25" s="57" t="e">
        <f t="shared" ca="1" si="3"/>
        <v>#N/A</v>
      </c>
      <c r="AA25" s="250">
        <f ca="1">SUMPRODUCT((TABELA_VAZAO[Posto]=AA$2)*1,(TABELA_VAZAO[Data]=$A25)*1,TABELA_VAZAO[qinc])</f>
        <v>0</v>
      </c>
      <c r="AB25" s="288">
        <f ca="1">SUMPRODUCT((TABELA_VAZAO[Posto]=AB$2)*1,(TABELA_VAZAO[Data]=$A25)*1,TABELA_VAZAO[qnat])</f>
        <v>0</v>
      </c>
    </row>
    <row r="26" spans="1:28" x14ac:dyDescent="0.2">
      <c r="A26" s="49">
        <f t="shared" ca="1" si="1"/>
        <v>43825</v>
      </c>
      <c r="B26" s="288">
        <f ca="1">SUMPRODUCT((TABELA_VAZAO[Posto]=B$2)*1,(TABELA_VAZAO[Data]=$A26)*1,TABELA_VAZAO[qnat])</f>
        <v>0</v>
      </c>
      <c r="C26" s="67" t="e">
        <f ca="1">INDEX(RESULTADOS!$A:$BA,MATCH($A26,RESULTADOS!$A:$A,0),MATCH(C$1,RESULTADOS!$1:$1,0))</f>
        <v>#N/A</v>
      </c>
      <c r="D26" s="250">
        <f ca="1">SUMPRODUCT((TABELA_VAZAO[Posto]=D$2)*1,(TABELA_VAZAO[Data]=$A26)*1,TABELA_VAZAO[qinc])</f>
        <v>0</v>
      </c>
      <c r="E26" s="288">
        <f ca="1">SUMPRODUCT((TABELA_VAZAO[Posto]=E$2)*1,(TABELA_VAZAO[Data]=$A26)*1,TABELA_VAZAO[qnat])</f>
        <v>0</v>
      </c>
      <c r="F26" s="250">
        <f ca="1">SUMPRODUCT((TABELA_VAZAO[Posto]=F$2)*1,(TABELA_VAZAO[Data]=$A26)*1,TABELA_VAZAO[qinc])</f>
        <v>0</v>
      </c>
      <c r="G26" s="288">
        <f ca="1">SUMPRODUCT((TABELA_VAZAO[Posto]=G$2)*1,(TABELA_VAZAO[Data]=$A26)*1,TABELA_VAZAO[qnat])</f>
        <v>0</v>
      </c>
      <c r="H26" s="67" t="e">
        <f ca="1">INDEX(RESULTADOS!$A:$BA,MATCH($A26,RESULTADOS!$A:$A,0),MATCH(H$1,RESULTADOS!$1:$1,0))</f>
        <v>#N/A</v>
      </c>
      <c r="I26" s="250">
        <f ca="1">SUMPRODUCT((TABELA_VAZAO[Posto]=I$2)*1,(TABELA_VAZAO[Data]=$A26)*1,TABELA_VAZAO[qinc])</f>
        <v>0</v>
      </c>
      <c r="J26" s="288">
        <f ca="1">SUMPRODUCT((TABELA_VAZAO[Posto]=J$2)*1,(TABELA_VAZAO[Data]=$A26)*1,TABELA_VAZAO[qnat])</f>
        <v>0</v>
      </c>
      <c r="K26" s="57" t="e">
        <f t="shared" ca="1" si="2"/>
        <v>#N/A</v>
      </c>
      <c r="L26" s="250">
        <f ca="1">SUMPRODUCT((TABELA_VAZAO[Posto]=L$2)*1,(TABELA_VAZAO[Data]=$A26)*1,TABELA_VAZAO[qinc])</f>
        <v>0</v>
      </c>
      <c r="M26" s="288">
        <f ca="1">SUMPRODUCT((TABELA_VAZAO[Posto]=M$2)*1,(TABELA_VAZAO[Data]=$A26)*1,TABELA_VAZAO[qnat])</f>
        <v>0</v>
      </c>
      <c r="N26" s="250">
        <f ca="1">SUMPRODUCT((TABELA_VAZAO[Posto]=N$2)*1,(TABELA_VAZAO[Data]=$A26)*1,TABELA_VAZAO[qinc])</f>
        <v>0</v>
      </c>
      <c r="O26" s="288">
        <f ca="1">SUMPRODUCT((TABELA_VAZAO[Posto]=O$2)*1,(TABELA_VAZAO[Data]=$A26)*1,TABELA_VAZAO[qnat])</f>
        <v>0</v>
      </c>
      <c r="P26" s="250">
        <f ca="1">SUMPRODUCT((TABELA_VAZAO[Posto]=P$2)*1,(TABELA_VAZAO[Data]=$A26)*1,TABELA_VAZAO[qinc])</f>
        <v>0</v>
      </c>
      <c r="Q26" s="288">
        <f ca="1">SUMPRODUCT((TABELA_VAZAO[Posto]=Q$2)*1,(TABELA_VAZAO[Data]=$A26)*1,TABELA_VAZAO[qnat])</f>
        <v>0</v>
      </c>
      <c r="R26" s="250">
        <f ca="1">SUMPRODUCT((TABELA_VAZAO[Posto]=R$2)*1,(TABELA_VAZAO[Data]=$A26)*1,TABELA_VAZAO[qinc])</f>
        <v>0</v>
      </c>
      <c r="S26" s="288">
        <f ca="1">SUMPRODUCT((TABELA_VAZAO[Posto]=S$2)*1,(TABELA_VAZAO[Data]=$A26)*1,TABELA_VAZAO[qnat])</f>
        <v>0</v>
      </c>
      <c r="T26" s="67" t="e">
        <f ca="1">INDEX(RESULTADOS!$A:$BA,MATCH($A26,RESULTADOS!$A:$A,0),MATCH(T$1,RESULTADOS!$1:$1,0))</f>
        <v>#N/A</v>
      </c>
      <c r="U26" s="250">
        <f ca="1">SUMPRODUCT((TABELA_VAZAO[Posto]=U$2)*1,(TABELA_VAZAO[Data]=$A26)*1,TABELA_VAZAO[qinc])</f>
        <v>0</v>
      </c>
      <c r="V26" s="288">
        <f ca="1">SUMPRODUCT((TABELA_VAZAO[Posto]=V$2)*1,(TABELA_VAZAO[Data]=$A26)*1,TABELA_VAZAO[qnat])</f>
        <v>0</v>
      </c>
      <c r="W26" s="67" t="e">
        <f ca="1">INDEX(RESULTADOS!$A:$BA,MATCH($A26,RESULTADOS!$A:$A,0),MATCH(W$1,RESULTADOS!$1:$1,0))</f>
        <v>#N/A</v>
      </c>
      <c r="X26" s="250">
        <f ca="1">SUMPRODUCT((TABELA_VAZAO[Posto]=X$2)*1,(TABELA_VAZAO[Data]=$A26)*1,TABELA_VAZAO[qinc])</f>
        <v>0</v>
      </c>
      <c r="Y26" s="288">
        <f ca="1">SUMPRODUCT((TABELA_VAZAO[Posto]=Y$2)*1,(TABELA_VAZAO[Data]=$A26)*1,TABELA_VAZAO[qnat])</f>
        <v>0</v>
      </c>
      <c r="Z26" s="57" t="e">
        <f t="shared" ca="1" si="3"/>
        <v>#N/A</v>
      </c>
      <c r="AA26" s="250">
        <f ca="1">SUMPRODUCT((TABELA_VAZAO[Posto]=AA$2)*1,(TABELA_VAZAO[Data]=$A26)*1,TABELA_VAZAO[qinc])</f>
        <v>0</v>
      </c>
      <c r="AB26" s="288">
        <f ca="1">SUMPRODUCT((TABELA_VAZAO[Posto]=AB$2)*1,(TABELA_VAZAO[Data]=$A26)*1,TABELA_VAZAO[qnat])</f>
        <v>0</v>
      </c>
    </row>
    <row r="27" spans="1:28" x14ac:dyDescent="0.2">
      <c r="A27" s="49">
        <f t="shared" ca="1" si="1"/>
        <v>43826</v>
      </c>
      <c r="B27" s="288">
        <f ca="1">SUMPRODUCT((TABELA_VAZAO[Posto]=B$2)*1,(TABELA_VAZAO[Data]=$A27)*1,TABELA_VAZAO[qnat])</f>
        <v>0</v>
      </c>
      <c r="C27" s="67" t="e">
        <f ca="1">INDEX(RESULTADOS!$A:$BA,MATCH($A27,RESULTADOS!$A:$A,0),MATCH(C$1,RESULTADOS!$1:$1,0))</f>
        <v>#N/A</v>
      </c>
      <c r="D27" s="250">
        <f ca="1">SUMPRODUCT((TABELA_VAZAO[Posto]=D$2)*1,(TABELA_VAZAO[Data]=$A27)*1,TABELA_VAZAO[qinc])</f>
        <v>0</v>
      </c>
      <c r="E27" s="288">
        <f ca="1">SUMPRODUCT((TABELA_VAZAO[Posto]=E$2)*1,(TABELA_VAZAO[Data]=$A27)*1,TABELA_VAZAO[qnat])</f>
        <v>0</v>
      </c>
      <c r="F27" s="250">
        <f ca="1">SUMPRODUCT((TABELA_VAZAO[Posto]=F$2)*1,(TABELA_VAZAO[Data]=$A27)*1,TABELA_VAZAO[qinc])</f>
        <v>0</v>
      </c>
      <c r="G27" s="288">
        <f ca="1">SUMPRODUCT((TABELA_VAZAO[Posto]=G$2)*1,(TABELA_VAZAO[Data]=$A27)*1,TABELA_VAZAO[qnat])</f>
        <v>0</v>
      </c>
      <c r="H27" s="67" t="e">
        <f ca="1">INDEX(RESULTADOS!$A:$BA,MATCH($A27,RESULTADOS!$A:$A,0),MATCH(H$1,RESULTADOS!$1:$1,0))</f>
        <v>#N/A</v>
      </c>
      <c r="I27" s="250">
        <f ca="1">SUMPRODUCT((TABELA_VAZAO[Posto]=I$2)*1,(TABELA_VAZAO[Data]=$A27)*1,TABELA_VAZAO[qinc])</f>
        <v>0</v>
      </c>
      <c r="J27" s="288">
        <f ca="1">SUMPRODUCT((TABELA_VAZAO[Posto]=J$2)*1,(TABELA_VAZAO[Data]=$A27)*1,TABELA_VAZAO[qnat])</f>
        <v>0</v>
      </c>
      <c r="K27" s="57" t="e">
        <f t="shared" ca="1" si="2"/>
        <v>#N/A</v>
      </c>
      <c r="L27" s="250">
        <f ca="1">SUMPRODUCT((TABELA_VAZAO[Posto]=L$2)*1,(TABELA_VAZAO[Data]=$A27)*1,TABELA_VAZAO[qinc])</f>
        <v>0</v>
      </c>
      <c r="M27" s="288">
        <f ca="1">SUMPRODUCT((TABELA_VAZAO[Posto]=M$2)*1,(TABELA_VAZAO[Data]=$A27)*1,TABELA_VAZAO[qnat])</f>
        <v>0</v>
      </c>
      <c r="N27" s="250">
        <f ca="1">SUMPRODUCT((TABELA_VAZAO[Posto]=N$2)*1,(TABELA_VAZAO[Data]=$A27)*1,TABELA_VAZAO[qinc])</f>
        <v>0</v>
      </c>
      <c r="O27" s="288">
        <f ca="1">SUMPRODUCT((TABELA_VAZAO[Posto]=O$2)*1,(TABELA_VAZAO[Data]=$A27)*1,TABELA_VAZAO[qnat])</f>
        <v>0</v>
      </c>
      <c r="P27" s="250">
        <f ca="1">SUMPRODUCT((TABELA_VAZAO[Posto]=P$2)*1,(TABELA_VAZAO[Data]=$A27)*1,TABELA_VAZAO[qinc])</f>
        <v>0</v>
      </c>
      <c r="Q27" s="288">
        <f ca="1">SUMPRODUCT((TABELA_VAZAO[Posto]=Q$2)*1,(TABELA_VAZAO[Data]=$A27)*1,TABELA_VAZAO[qnat])</f>
        <v>0</v>
      </c>
      <c r="R27" s="250">
        <f ca="1">SUMPRODUCT((TABELA_VAZAO[Posto]=R$2)*1,(TABELA_VAZAO[Data]=$A27)*1,TABELA_VAZAO[qinc])</f>
        <v>0</v>
      </c>
      <c r="S27" s="288">
        <f ca="1">SUMPRODUCT((TABELA_VAZAO[Posto]=S$2)*1,(TABELA_VAZAO[Data]=$A27)*1,TABELA_VAZAO[qnat])</f>
        <v>0</v>
      </c>
      <c r="T27" s="67" t="e">
        <f ca="1">INDEX(RESULTADOS!$A:$BA,MATCH($A27,RESULTADOS!$A:$A,0),MATCH(T$1,RESULTADOS!$1:$1,0))</f>
        <v>#N/A</v>
      </c>
      <c r="U27" s="250">
        <f ca="1">SUMPRODUCT((TABELA_VAZAO[Posto]=U$2)*1,(TABELA_VAZAO[Data]=$A27)*1,TABELA_VAZAO[qinc])</f>
        <v>0</v>
      </c>
      <c r="V27" s="288">
        <f ca="1">SUMPRODUCT((TABELA_VAZAO[Posto]=V$2)*1,(TABELA_VAZAO[Data]=$A27)*1,TABELA_VAZAO[qnat])</f>
        <v>0</v>
      </c>
      <c r="W27" s="67" t="e">
        <f ca="1">INDEX(RESULTADOS!$A:$BA,MATCH($A27,RESULTADOS!$A:$A,0),MATCH(W$1,RESULTADOS!$1:$1,0))</f>
        <v>#N/A</v>
      </c>
      <c r="X27" s="250">
        <f ca="1">SUMPRODUCT((TABELA_VAZAO[Posto]=X$2)*1,(TABELA_VAZAO[Data]=$A27)*1,TABELA_VAZAO[qinc])</f>
        <v>0</v>
      </c>
      <c r="Y27" s="288">
        <f ca="1">SUMPRODUCT((TABELA_VAZAO[Posto]=Y$2)*1,(TABELA_VAZAO[Data]=$A27)*1,TABELA_VAZAO[qnat])</f>
        <v>0</v>
      </c>
      <c r="Z27" s="57" t="e">
        <f t="shared" ca="1" si="3"/>
        <v>#N/A</v>
      </c>
      <c r="AA27" s="250">
        <f ca="1">SUMPRODUCT((TABELA_VAZAO[Posto]=AA$2)*1,(TABELA_VAZAO[Data]=$A27)*1,TABELA_VAZAO[qinc])</f>
        <v>0</v>
      </c>
      <c r="AB27" s="288">
        <f ca="1">SUMPRODUCT((TABELA_VAZAO[Posto]=AB$2)*1,(TABELA_VAZAO[Data]=$A27)*1,TABELA_VAZAO[qnat])</f>
        <v>0</v>
      </c>
    </row>
    <row r="28" spans="1:28" x14ac:dyDescent="0.2">
      <c r="A28" s="49">
        <f t="shared" ca="1" si="1"/>
        <v>43827</v>
      </c>
      <c r="B28" s="288">
        <f ca="1">SUMPRODUCT((TABELA_VAZAO[Posto]=B$2)*1,(TABELA_VAZAO[Data]=$A28)*1,TABELA_VAZAO[qnat])</f>
        <v>183</v>
      </c>
      <c r="C28" s="67" t="e">
        <f ca="1">INDEX(RESULTADOS!$A:$BA,MATCH($A28,RESULTADOS!$A:$A,0),MATCH(C$1,RESULTADOS!$1:$1,0))</f>
        <v>#N/A</v>
      </c>
      <c r="D28" s="250">
        <f ca="1">SUMPRODUCT((TABELA_VAZAO[Posto]=D$2)*1,(TABELA_VAZAO[Data]=$A28)*1,TABELA_VAZAO[qinc])</f>
        <v>3</v>
      </c>
      <c r="E28" s="288">
        <f ca="1">SUMPRODUCT((TABELA_VAZAO[Posto]=E$2)*1,(TABELA_VAZAO[Data]=$A28)*1,TABELA_VAZAO[qnat])</f>
        <v>192</v>
      </c>
      <c r="F28" s="250">
        <f ca="1">SUMPRODUCT((TABELA_VAZAO[Posto]=F$2)*1,(TABELA_VAZAO[Data]=$A28)*1,TABELA_VAZAO[qinc])</f>
        <v>66</v>
      </c>
      <c r="G28" s="288">
        <f ca="1">SUMPRODUCT((TABELA_VAZAO[Posto]=G$2)*1,(TABELA_VAZAO[Data]=$A28)*1,TABELA_VAZAO[qnat])</f>
        <v>270</v>
      </c>
      <c r="H28" s="67" t="e">
        <f ca="1">INDEX(RESULTADOS!$A:$BA,MATCH($A28,RESULTADOS!$A:$A,0),MATCH(H$1,RESULTADOS!$1:$1,0))</f>
        <v>#N/A</v>
      </c>
      <c r="I28" s="250">
        <f ca="1">SUMPRODUCT((TABELA_VAZAO[Posto]=I$2)*1,(TABELA_VAZAO[Data]=$A28)*1,TABELA_VAZAO[qinc])</f>
        <v>2</v>
      </c>
      <c r="J28" s="288">
        <f ca="1">SUMPRODUCT((TABELA_VAZAO[Posto]=J$2)*1,(TABELA_VAZAO[Data]=$A28)*1,TABELA_VAZAO[qnat])</f>
        <v>277</v>
      </c>
      <c r="K28" s="57" t="e">
        <f t="shared" ca="1" si="2"/>
        <v>#N/A</v>
      </c>
      <c r="L28" s="250">
        <f ca="1">SUMPRODUCT((TABELA_VAZAO[Posto]=L$2)*1,(TABELA_VAZAO[Data]=$A28)*1,TABELA_VAZAO[qinc])</f>
        <v>59</v>
      </c>
      <c r="M28" s="288">
        <f ca="1">SUMPRODUCT((TABELA_VAZAO[Posto]=M$2)*1,(TABELA_VAZAO[Data]=$A28)*1,TABELA_VAZAO[qnat])</f>
        <v>341</v>
      </c>
      <c r="N28" s="250">
        <f ca="1">SUMPRODUCT((TABELA_VAZAO[Posto]=N$2)*1,(TABELA_VAZAO[Data]=$A28)*1,TABELA_VAZAO[qinc])</f>
        <v>5</v>
      </c>
      <c r="O28" s="288">
        <f ca="1">SUMPRODUCT((TABELA_VAZAO[Posto]=O$2)*1,(TABELA_VAZAO[Data]=$A28)*1,TABELA_VAZAO[qnat])</f>
        <v>351</v>
      </c>
      <c r="P28" s="250">
        <f ca="1">SUMPRODUCT((TABELA_VAZAO[Posto]=P$2)*1,(TABELA_VAZAO[Data]=$A28)*1,TABELA_VAZAO[qinc])</f>
        <v>10</v>
      </c>
      <c r="Q28" s="288">
        <f ca="1">SUMPRODUCT((TABELA_VAZAO[Posto]=Q$2)*1,(TABELA_VAZAO[Data]=$A28)*1,TABELA_VAZAO[qnat])</f>
        <v>367</v>
      </c>
      <c r="R28" s="250">
        <f ca="1">SUMPRODUCT((TABELA_VAZAO[Posto]=R$2)*1,(TABELA_VAZAO[Data]=$A28)*1,TABELA_VAZAO[qinc])</f>
        <v>187</v>
      </c>
      <c r="S28" s="288">
        <f ca="1">SUMPRODUCT((TABELA_VAZAO[Posto]=S$2)*1,(TABELA_VAZAO[Data]=$A28)*1,TABELA_VAZAO[qnat])</f>
        <v>187</v>
      </c>
      <c r="T28" s="67" t="e">
        <f ca="1">INDEX(RESULTADOS!$A:$BA,MATCH($A28,RESULTADOS!$A:$A,0),MATCH(T$1,RESULTADOS!$1:$1,0))</f>
        <v>#N/A</v>
      </c>
      <c r="U28" s="250">
        <f ca="1">SUMPRODUCT((TABELA_VAZAO[Posto]=U$2)*1,(TABELA_VAZAO[Data]=$A28)*1,TABELA_VAZAO[qinc])</f>
        <v>194</v>
      </c>
      <c r="V28" s="288">
        <f ca="1">SUMPRODUCT((TABELA_VAZAO[Posto]=V$2)*1,(TABELA_VAZAO[Data]=$A28)*1,TABELA_VAZAO[qnat])</f>
        <v>807</v>
      </c>
      <c r="W28" s="67" t="e">
        <f ca="1">INDEX(RESULTADOS!$A:$BA,MATCH($A28,RESULTADOS!$A:$A,0),MATCH(W$1,RESULTADOS!$1:$1,0))</f>
        <v>#N/A</v>
      </c>
      <c r="X28" s="250">
        <f ca="1">SUMPRODUCT((TABELA_VAZAO[Posto]=X$2)*1,(TABELA_VAZAO[Data]=$A28)*1,TABELA_VAZAO[qinc])</f>
        <v>57</v>
      </c>
      <c r="Y28" s="288">
        <f ca="1">SUMPRODUCT((TABELA_VAZAO[Posto]=Y$2)*1,(TABELA_VAZAO[Data]=$A28)*1,TABELA_VAZAO[qnat])</f>
        <v>915</v>
      </c>
      <c r="Z28" s="57" t="e">
        <f t="shared" ca="1" si="3"/>
        <v>#N/A</v>
      </c>
      <c r="AA28" s="250">
        <f ca="1">SUMPRODUCT((TABELA_VAZAO[Posto]=AA$2)*1,(TABELA_VAZAO[Data]=$A28)*1,TABELA_VAZAO[qinc])</f>
        <v>134</v>
      </c>
      <c r="AB28" s="288">
        <f ca="1">SUMPRODUCT((TABELA_VAZAO[Posto]=AB$2)*1,(TABELA_VAZAO[Data]=$A28)*1,TABELA_VAZAO[qnat])</f>
        <v>1128</v>
      </c>
    </row>
    <row r="29" spans="1:28" x14ac:dyDescent="0.2">
      <c r="A29" s="49">
        <f t="shared" ca="1" si="1"/>
        <v>43828</v>
      </c>
      <c r="B29" s="288">
        <f ca="1">SUMPRODUCT((TABELA_VAZAO[Posto]=B$2)*1,(TABELA_VAZAO[Data]=$A29)*1,TABELA_VAZAO[qnat])</f>
        <v>150</v>
      </c>
      <c r="C29" s="67" t="e">
        <f ca="1">INDEX(RESULTADOS!$A:$BA,MATCH($A29,RESULTADOS!$A:$A,0),MATCH(C$1,RESULTADOS!$1:$1,0))</f>
        <v>#N/A</v>
      </c>
      <c r="D29" s="250">
        <f ca="1">SUMPRODUCT((TABELA_VAZAO[Posto]=D$2)*1,(TABELA_VAZAO[Data]=$A29)*1,TABELA_VAZAO[qinc])</f>
        <v>3</v>
      </c>
      <c r="E29" s="288">
        <f ca="1">SUMPRODUCT((TABELA_VAZAO[Posto]=E$2)*1,(TABELA_VAZAO[Data]=$A29)*1,TABELA_VAZAO[qnat])</f>
        <v>160</v>
      </c>
      <c r="F29" s="250">
        <f ca="1">SUMPRODUCT((TABELA_VAZAO[Posto]=F$2)*1,(TABELA_VAZAO[Data]=$A29)*1,TABELA_VAZAO[qinc])</f>
        <v>61</v>
      </c>
      <c r="G29" s="288">
        <f ca="1">SUMPRODUCT((TABELA_VAZAO[Posto]=G$2)*1,(TABELA_VAZAO[Data]=$A29)*1,TABELA_VAZAO[qnat])</f>
        <v>235</v>
      </c>
      <c r="H29" s="67" t="e">
        <f ca="1">INDEX(RESULTADOS!$A:$BA,MATCH($A29,RESULTADOS!$A:$A,0),MATCH(H$1,RESULTADOS!$1:$1,0))</f>
        <v>#N/A</v>
      </c>
      <c r="I29" s="250">
        <f ca="1">SUMPRODUCT((TABELA_VAZAO[Posto]=I$2)*1,(TABELA_VAZAO[Data]=$A29)*1,TABELA_VAZAO[qinc])</f>
        <v>2</v>
      </c>
      <c r="J29" s="288">
        <f ca="1">SUMPRODUCT((TABELA_VAZAO[Posto]=J$2)*1,(TABELA_VAZAO[Data]=$A29)*1,TABELA_VAZAO[qnat])</f>
        <v>242</v>
      </c>
      <c r="K29" s="57" t="e">
        <f t="shared" ca="1" si="2"/>
        <v>#N/A</v>
      </c>
      <c r="L29" s="250">
        <f ca="1">SUMPRODUCT((TABELA_VAZAO[Posto]=L$2)*1,(TABELA_VAZAO[Data]=$A29)*1,TABELA_VAZAO[qinc])</f>
        <v>54</v>
      </c>
      <c r="M29" s="288">
        <f ca="1">SUMPRODUCT((TABELA_VAZAO[Posto]=M$2)*1,(TABELA_VAZAO[Data]=$A29)*1,TABELA_VAZAO[qnat])</f>
        <v>300</v>
      </c>
      <c r="N29" s="250">
        <f ca="1">SUMPRODUCT((TABELA_VAZAO[Posto]=N$2)*1,(TABELA_VAZAO[Data]=$A29)*1,TABELA_VAZAO[qinc])</f>
        <v>4</v>
      </c>
      <c r="O29" s="288">
        <f ca="1">SUMPRODUCT((TABELA_VAZAO[Posto]=O$2)*1,(TABELA_VAZAO[Data]=$A29)*1,TABELA_VAZAO[qnat])</f>
        <v>309</v>
      </c>
      <c r="P29" s="250">
        <f ca="1">SUMPRODUCT((TABELA_VAZAO[Posto]=P$2)*1,(TABELA_VAZAO[Data]=$A29)*1,TABELA_VAZAO[qinc])</f>
        <v>9</v>
      </c>
      <c r="Q29" s="288">
        <f ca="1">SUMPRODUCT((TABELA_VAZAO[Posto]=Q$2)*1,(TABELA_VAZAO[Data]=$A29)*1,TABELA_VAZAO[qnat])</f>
        <v>323</v>
      </c>
      <c r="R29" s="250">
        <f ca="1">SUMPRODUCT((TABELA_VAZAO[Posto]=R$2)*1,(TABELA_VAZAO[Data]=$A29)*1,TABELA_VAZAO[qinc])</f>
        <v>174</v>
      </c>
      <c r="S29" s="288">
        <f ca="1">SUMPRODUCT((TABELA_VAZAO[Posto]=S$2)*1,(TABELA_VAZAO[Data]=$A29)*1,TABELA_VAZAO[qnat])</f>
        <v>174</v>
      </c>
      <c r="T29" s="67" t="e">
        <f ca="1">INDEX(RESULTADOS!$A:$BA,MATCH($A29,RESULTADOS!$A:$A,0),MATCH(T$1,RESULTADOS!$1:$1,0))</f>
        <v>#N/A</v>
      </c>
      <c r="U29" s="250">
        <f ca="1">SUMPRODUCT((TABELA_VAZAO[Posto]=U$2)*1,(TABELA_VAZAO[Data]=$A29)*1,TABELA_VAZAO[qinc])</f>
        <v>178</v>
      </c>
      <c r="V29" s="288">
        <f ca="1">SUMPRODUCT((TABELA_VAZAO[Posto]=V$2)*1,(TABELA_VAZAO[Data]=$A29)*1,TABELA_VAZAO[qnat])</f>
        <v>723</v>
      </c>
      <c r="W29" s="67" t="e">
        <f ca="1">INDEX(RESULTADOS!$A:$BA,MATCH($A29,RESULTADOS!$A:$A,0),MATCH(W$1,RESULTADOS!$1:$1,0))</f>
        <v>#N/A</v>
      </c>
      <c r="X29" s="250">
        <f ca="1">SUMPRODUCT((TABELA_VAZAO[Posto]=X$2)*1,(TABELA_VAZAO[Data]=$A29)*1,TABELA_VAZAO[qinc])</f>
        <v>53</v>
      </c>
      <c r="Y29" s="288">
        <f ca="1">SUMPRODUCT((TABELA_VAZAO[Posto]=Y$2)*1,(TABELA_VAZAO[Data]=$A29)*1,TABELA_VAZAO[qnat])</f>
        <v>809</v>
      </c>
      <c r="Z29" s="57" t="e">
        <f t="shared" ca="1" si="3"/>
        <v>#N/A</v>
      </c>
      <c r="AA29" s="250">
        <f ca="1">SUMPRODUCT((TABELA_VAZAO[Posto]=AA$2)*1,(TABELA_VAZAO[Data]=$A29)*1,TABELA_VAZAO[qinc])</f>
        <v>125</v>
      </c>
      <c r="AB29" s="288">
        <f ca="1">SUMPRODUCT((TABELA_VAZAO[Posto]=AB$2)*1,(TABELA_VAZAO[Data]=$A29)*1,TABELA_VAZAO[qnat])</f>
        <v>996</v>
      </c>
    </row>
    <row r="30" spans="1:28" x14ac:dyDescent="0.2">
      <c r="A30" s="49">
        <f t="shared" ca="1" si="1"/>
        <v>43829</v>
      </c>
      <c r="B30" s="288">
        <f ca="1">SUMPRODUCT((TABELA_VAZAO[Posto]=B$2)*1,(TABELA_VAZAO[Data]=$A30)*1,TABELA_VAZAO[qnat])</f>
        <v>125</v>
      </c>
      <c r="C30" s="67" t="e">
        <f ca="1">INDEX(RESULTADOS!$A:$BA,MATCH($A30,RESULTADOS!$A:$A,0),MATCH(C$1,RESULTADOS!$1:$1,0))</f>
        <v>#N/A</v>
      </c>
      <c r="D30" s="250">
        <f ca="1">SUMPRODUCT((TABELA_VAZAO[Posto]=D$2)*1,(TABELA_VAZAO[Data]=$A30)*1,TABELA_VAZAO[qinc])</f>
        <v>3</v>
      </c>
      <c r="E30" s="288">
        <f ca="1">SUMPRODUCT((TABELA_VAZAO[Posto]=E$2)*1,(TABELA_VAZAO[Data]=$A30)*1,TABELA_VAZAO[qnat])</f>
        <v>133</v>
      </c>
      <c r="F30" s="250">
        <f ca="1">SUMPRODUCT((TABELA_VAZAO[Posto]=F$2)*1,(TABELA_VAZAO[Data]=$A30)*1,TABELA_VAZAO[qinc])</f>
        <v>60</v>
      </c>
      <c r="G30" s="288">
        <f ca="1">SUMPRODUCT((TABELA_VAZAO[Posto]=G$2)*1,(TABELA_VAZAO[Data]=$A30)*1,TABELA_VAZAO[qnat])</f>
        <v>205</v>
      </c>
      <c r="H30" s="67" t="e">
        <f ca="1">INDEX(RESULTADOS!$A:$BA,MATCH($A30,RESULTADOS!$A:$A,0),MATCH(H$1,RESULTADOS!$1:$1,0))</f>
        <v>#N/A</v>
      </c>
      <c r="I30" s="250">
        <f ca="1">SUMPRODUCT((TABELA_VAZAO[Posto]=I$2)*1,(TABELA_VAZAO[Data]=$A30)*1,TABELA_VAZAO[qinc])</f>
        <v>2</v>
      </c>
      <c r="J30" s="288">
        <f ca="1">SUMPRODUCT((TABELA_VAZAO[Posto]=J$2)*1,(TABELA_VAZAO[Data]=$A30)*1,TABELA_VAZAO[qnat])</f>
        <v>211</v>
      </c>
      <c r="K30" s="57" t="e">
        <f t="shared" ca="1" si="2"/>
        <v>#N/A</v>
      </c>
      <c r="L30" s="250">
        <f ca="1">SUMPRODUCT((TABELA_VAZAO[Posto]=L$2)*1,(TABELA_VAZAO[Data]=$A30)*1,TABELA_VAZAO[qinc])</f>
        <v>50</v>
      </c>
      <c r="M30" s="288">
        <f ca="1">SUMPRODUCT((TABELA_VAZAO[Posto]=M$2)*1,(TABELA_VAZAO[Data]=$A30)*1,TABELA_VAZAO[qnat])</f>
        <v>265</v>
      </c>
      <c r="N30" s="250">
        <f ca="1">SUMPRODUCT((TABELA_VAZAO[Posto]=N$2)*1,(TABELA_VAZAO[Data]=$A30)*1,TABELA_VAZAO[qinc])</f>
        <v>4</v>
      </c>
      <c r="O30" s="288">
        <f ca="1">SUMPRODUCT((TABELA_VAZAO[Posto]=O$2)*1,(TABELA_VAZAO[Data]=$A30)*1,TABELA_VAZAO[qnat])</f>
        <v>273</v>
      </c>
      <c r="P30" s="250">
        <f ca="1">SUMPRODUCT((TABELA_VAZAO[Posto]=P$2)*1,(TABELA_VAZAO[Data]=$A30)*1,TABELA_VAZAO[qinc])</f>
        <v>8</v>
      </c>
      <c r="Q30" s="288">
        <f ca="1">SUMPRODUCT((TABELA_VAZAO[Posto]=Q$2)*1,(TABELA_VAZAO[Data]=$A30)*1,TABELA_VAZAO[qnat])</f>
        <v>286</v>
      </c>
      <c r="R30" s="250">
        <f ca="1">SUMPRODUCT((TABELA_VAZAO[Posto]=R$2)*1,(TABELA_VAZAO[Data]=$A30)*1,TABELA_VAZAO[qinc])</f>
        <v>171</v>
      </c>
      <c r="S30" s="288">
        <f ca="1">SUMPRODUCT((TABELA_VAZAO[Posto]=S$2)*1,(TABELA_VAZAO[Data]=$A30)*1,TABELA_VAZAO[qnat])</f>
        <v>171</v>
      </c>
      <c r="T30" s="67" t="e">
        <f ca="1">INDEX(RESULTADOS!$A:$BA,MATCH($A30,RESULTADOS!$A:$A,0),MATCH(T$1,RESULTADOS!$1:$1,0))</f>
        <v>#N/A</v>
      </c>
      <c r="U30" s="250">
        <f ca="1">SUMPRODUCT((TABELA_VAZAO[Posto]=U$2)*1,(TABELA_VAZAO[Data]=$A30)*1,TABELA_VAZAO[qinc])</f>
        <v>177</v>
      </c>
      <c r="V30" s="288">
        <f ca="1">SUMPRODUCT((TABELA_VAZAO[Posto]=V$2)*1,(TABELA_VAZAO[Data]=$A30)*1,TABELA_VAZAO[qnat])</f>
        <v>667</v>
      </c>
      <c r="W30" s="67" t="e">
        <f ca="1">INDEX(RESULTADOS!$A:$BA,MATCH($A30,RESULTADOS!$A:$A,0),MATCH(W$1,RESULTADOS!$1:$1,0))</f>
        <v>#N/A</v>
      </c>
      <c r="X30" s="250">
        <f ca="1">SUMPRODUCT((TABELA_VAZAO[Posto]=X$2)*1,(TABELA_VAZAO[Data]=$A30)*1,TABELA_VAZAO[qinc])</f>
        <v>51</v>
      </c>
      <c r="Y30" s="288">
        <f ca="1">SUMPRODUCT((TABELA_VAZAO[Posto]=Y$2)*1,(TABELA_VAZAO[Data]=$A30)*1,TABELA_VAZAO[qnat])</f>
        <v>740</v>
      </c>
      <c r="Z30" s="57" t="e">
        <f t="shared" ca="1" si="3"/>
        <v>#N/A</v>
      </c>
      <c r="AA30" s="250">
        <f ca="1">SUMPRODUCT((TABELA_VAZAO[Posto]=AA$2)*1,(TABELA_VAZAO[Data]=$A30)*1,TABELA_VAZAO[qinc])</f>
        <v>121</v>
      </c>
      <c r="AB30" s="288">
        <f ca="1">SUMPRODUCT((TABELA_VAZAO[Posto]=AB$2)*1,(TABELA_VAZAO[Data]=$A30)*1,TABELA_VAZAO[qnat])</f>
        <v>901</v>
      </c>
    </row>
    <row r="31" spans="1:28" x14ac:dyDescent="0.2">
      <c r="A31" s="49">
        <f t="shared" ca="1" si="1"/>
        <v>43830</v>
      </c>
      <c r="B31" s="288">
        <f ca="1">SUMPRODUCT((TABELA_VAZAO[Posto]=B$2)*1,(TABELA_VAZAO[Data]=$A31)*1,TABELA_VAZAO[qnat])</f>
        <v>112</v>
      </c>
      <c r="C31" s="67" t="e">
        <f ca="1">INDEX(RESULTADOS!$A:$BA,MATCH($A31,RESULTADOS!$A:$A,0),MATCH(C$1,RESULTADOS!$1:$1,0))</f>
        <v>#N/A</v>
      </c>
      <c r="D31" s="250">
        <f ca="1">SUMPRODUCT((TABELA_VAZAO[Posto]=D$2)*1,(TABELA_VAZAO[Data]=$A31)*1,TABELA_VAZAO[qinc])</f>
        <v>3</v>
      </c>
      <c r="E31" s="288">
        <f ca="1">SUMPRODUCT((TABELA_VAZAO[Posto]=E$2)*1,(TABELA_VAZAO[Data]=$A31)*1,TABELA_VAZAO[qnat])</f>
        <v>117</v>
      </c>
      <c r="F31" s="250">
        <f ca="1">SUMPRODUCT((TABELA_VAZAO[Posto]=F$2)*1,(TABELA_VAZAO[Data]=$A31)*1,TABELA_VAZAO[qinc])</f>
        <v>57</v>
      </c>
      <c r="G31" s="288">
        <f ca="1">SUMPRODUCT((TABELA_VAZAO[Posto]=G$2)*1,(TABELA_VAZAO[Data]=$A31)*1,TABELA_VAZAO[qnat])</f>
        <v>181</v>
      </c>
      <c r="H31" s="67" t="e">
        <f ca="1">INDEX(RESULTADOS!$A:$BA,MATCH($A31,RESULTADOS!$A:$A,0),MATCH(H$1,RESULTADOS!$1:$1,0))</f>
        <v>#N/A</v>
      </c>
      <c r="I31" s="250">
        <f ca="1">SUMPRODUCT((TABELA_VAZAO[Posto]=I$2)*1,(TABELA_VAZAO[Data]=$A31)*1,TABELA_VAZAO[qinc])</f>
        <v>2</v>
      </c>
      <c r="J31" s="288">
        <f ca="1">SUMPRODUCT((TABELA_VAZAO[Posto]=J$2)*1,(TABELA_VAZAO[Data]=$A31)*1,TABELA_VAZAO[qnat])</f>
        <v>186</v>
      </c>
      <c r="K31" s="57" t="e">
        <f t="shared" ca="1" si="2"/>
        <v>#N/A</v>
      </c>
      <c r="L31" s="250">
        <f ca="1">SUMPRODUCT((TABELA_VAZAO[Posto]=L$2)*1,(TABELA_VAZAO[Data]=$A31)*1,TABELA_VAZAO[qinc])</f>
        <v>48</v>
      </c>
      <c r="M31" s="288">
        <f ca="1">SUMPRODUCT((TABELA_VAZAO[Posto]=M$2)*1,(TABELA_VAZAO[Data]=$A31)*1,TABELA_VAZAO[qnat])</f>
        <v>237</v>
      </c>
      <c r="N31" s="250">
        <f ca="1">SUMPRODUCT((TABELA_VAZAO[Posto]=N$2)*1,(TABELA_VAZAO[Data]=$A31)*1,TABELA_VAZAO[qinc])</f>
        <v>4</v>
      </c>
      <c r="O31" s="288">
        <f ca="1">SUMPRODUCT((TABELA_VAZAO[Posto]=O$2)*1,(TABELA_VAZAO[Data]=$A31)*1,TABELA_VAZAO[qnat])</f>
        <v>244</v>
      </c>
      <c r="P31" s="250">
        <f ca="1">SUMPRODUCT((TABELA_VAZAO[Posto]=P$2)*1,(TABELA_VAZAO[Data]=$A31)*1,TABELA_VAZAO[qinc])</f>
        <v>8</v>
      </c>
      <c r="Q31" s="288">
        <f ca="1">SUMPRODUCT((TABELA_VAZAO[Posto]=Q$2)*1,(TABELA_VAZAO[Data]=$A31)*1,TABELA_VAZAO[qnat])</f>
        <v>256</v>
      </c>
      <c r="R31" s="250">
        <f ca="1">SUMPRODUCT((TABELA_VAZAO[Posto]=R$2)*1,(TABELA_VAZAO[Data]=$A31)*1,TABELA_VAZAO[qinc])</f>
        <v>167</v>
      </c>
      <c r="S31" s="288">
        <f ca="1">SUMPRODUCT((TABELA_VAZAO[Posto]=S$2)*1,(TABELA_VAZAO[Data]=$A31)*1,TABELA_VAZAO[qnat])</f>
        <v>167</v>
      </c>
      <c r="T31" s="67" t="e">
        <f ca="1">INDEX(RESULTADOS!$A:$BA,MATCH($A31,RESULTADOS!$A:$A,0),MATCH(T$1,RESULTADOS!$1:$1,0))</f>
        <v>#N/A</v>
      </c>
      <c r="U31" s="250">
        <f ca="1">SUMPRODUCT((TABELA_VAZAO[Posto]=U$2)*1,(TABELA_VAZAO[Data]=$A31)*1,TABELA_VAZAO[qinc])</f>
        <v>167</v>
      </c>
      <c r="V31" s="288">
        <f ca="1">SUMPRODUCT((TABELA_VAZAO[Posto]=V$2)*1,(TABELA_VAZAO[Data]=$A31)*1,TABELA_VAZAO[qnat])</f>
        <v>616</v>
      </c>
      <c r="W31" s="67" t="e">
        <f ca="1">INDEX(RESULTADOS!$A:$BA,MATCH($A31,RESULTADOS!$A:$A,0),MATCH(W$1,RESULTADOS!$1:$1,0))</f>
        <v>#N/A</v>
      </c>
      <c r="X31" s="250">
        <f ca="1">SUMPRODUCT((TABELA_VAZAO[Posto]=X$2)*1,(TABELA_VAZAO[Data]=$A31)*1,TABELA_VAZAO[qinc])</f>
        <v>52</v>
      </c>
      <c r="Y31" s="288">
        <f ca="1">SUMPRODUCT((TABELA_VAZAO[Posto]=Y$2)*1,(TABELA_VAZAO[Data]=$A31)*1,TABELA_VAZAO[qnat])</f>
        <v>688</v>
      </c>
      <c r="Z31" s="57" t="e">
        <f t="shared" ca="1" si="3"/>
        <v>#N/A</v>
      </c>
      <c r="AA31" s="250">
        <f ca="1">SUMPRODUCT((TABELA_VAZAO[Posto]=AA$2)*1,(TABELA_VAZAO[Data]=$A31)*1,TABELA_VAZAO[qinc])</f>
        <v>121</v>
      </c>
      <c r="AB31" s="288">
        <f ca="1">SUMPRODUCT((TABELA_VAZAO[Posto]=AB$2)*1,(TABELA_VAZAO[Data]=$A31)*1,TABELA_VAZAO[qnat])</f>
        <v>840</v>
      </c>
    </row>
    <row r="32" spans="1:28" x14ac:dyDescent="0.2">
      <c r="A32" s="49">
        <f t="shared" ca="1" si="1"/>
        <v>43831</v>
      </c>
      <c r="B32" s="288">
        <f ca="1">SUMPRODUCT((TABELA_VAZAO[Posto]=B$2)*1,(TABELA_VAZAO[Data]=$A32)*1,TABELA_VAZAO[qnat])</f>
        <v>107</v>
      </c>
      <c r="C32" s="67" t="e">
        <f ca="1">INDEX(RESULTADOS!$A:$BA,MATCH($A32,RESULTADOS!$A:$A,0),MATCH(C$1,RESULTADOS!$1:$1,0))</f>
        <v>#N/A</v>
      </c>
      <c r="D32" s="250">
        <f ca="1">SUMPRODUCT((TABELA_VAZAO[Posto]=D$2)*1,(TABELA_VAZAO[Data]=$A32)*1,TABELA_VAZAO[qinc])</f>
        <v>3</v>
      </c>
      <c r="E32" s="288">
        <f ca="1">SUMPRODUCT((TABELA_VAZAO[Posto]=E$2)*1,(TABELA_VAZAO[Data]=$A32)*1,TABELA_VAZAO[qnat])</f>
        <v>110</v>
      </c>
      <c r="F32" s="250">
        <f ca="1">SUMPRODUCT((TABELA_VAZAO[Posto]=F$2)*1,(TABELA_VAZAO[Data]=$A32)*1,TABELA_VAZAO[qinc])</f>
        <v>56</v>
      </c>
      <c r="G32" s="288">
        <f ca="1">SUMPRODUCT((TABELA_VAZAO[Posto]=G$2)*1,(TABELA_VAZAO[Data]=$A32)*1,TABELA_VAZAO[qnat])</f>
        <v>169</v>
      </c>
      <c r="H32" s="67" t="e">
        <f ca="1">INDEX(RESULTADOS!$A:$BA,MATCH($A32,RESULTADOS!$A:$A,0),MATCH(H$1,RESULTADOS!$1:$1,0))</f>
        <v>#N/A</v>
      </c>
      <c r="I32" s="250">
        <f ca="1">SUMPRODUCT((TABELA_VAZAO[Posto]=I$2)*1,(TABELA_VAZAO[Data]=$A32)*1,TABELA_VAZAO[qinc])</f>
        <v>2</v>
      </c>
      <c r="J32" s="288">
        <f ca="1">SUMPRODUCT((TABELA_VAZAO[Posto]=J$2)*1,(TABELA_VAZAO[Data]=$A32)*1,TABELA_VAZAO[qnat])</f>
        <v>173</v>
      </c>
      <c r="K32" s="57" t="e">
        <f t="shared" ca="1" si="2"/>
        <v>#N/A</v>
      </c>
      <c r="L32" s="250">
        <f ca="1">SUMPRODUCT((TABELA_VAZAO[Posto]=L$2)*1,(TABELA_VAZAO[Data]=$A32)*1,TABELA_VAZAO[qinc])</f>
        <v>47</v>
      </c>
      <c r="M32" s="288">
        <f ca="1">SUMPRODUCT((TABELA_VAZAO[Posto]=M$2)*1,(TABELA_VAZAO[Data]=$A32)*1,TABELA_VAZAO[qnat])</f>
        <v>221</v>
      </c>
      <c r="N32" s="250">
        <f ca="1">SUMPRODUCT((TABELA_VAZAO[Posto]=N$2)*1,(TABELA_VAZAO[Data]=$A32)*1,TABELA_VAZAO[qinc])</f>
        <v>4</v>
      </c>
      <c r="O32" s="288">
        <f ca="1">SUMPRODUCT((TABELA_VAZAO[Posto]=O$2)*1,(TABELA_VAZAO[Data]=$A32)*1,TABELA_VAZAO[qnat])</f>
        <v>227</v>
      </c>
      <c r="P32" s="250">
        <f ca="1">SUMPRODUCT((TABELA_VAZAO[Posto]=P$2)*1,(TABELA_VAZAO[Data]=$A32)*1,TABELA_VAZAO[qinc])</f>
        <v>8</v>
      </c>
      <c r="Q32" s="288">
        <f ca="1">SUMPRODUCT((TABELA_VAZAO[Posto]=Q$2)*1,(TABELA_VAZAO[Data]=$A32)*1,TABELA_VAZAO[qnat])</f>
        <v>236</v>
      </c>
      <c r="R32" s="250">
        <f ca="1">SUMPRODUCT((TABELA_VAZAO[Posto]=R$2)*1,(TABELA_VAZAO[Data]=$A32)*1,TABELA_VAZAO[qinc])</f>
        <v>166</v>
      </c>
      <c r="S32" s="288">
        <f ca="1">SUMPRODUCT((TABELA_VAZAO[Posto]=S$2)*1,(TABELA_VAZAO[Data]=$A32)*1,TABELA_VAZAO[qnat])</f>
        <v>166</v>
      </c>
      <c r="T32" s="67" t="e">
        <f ca="1">INDEX(RESULTADOS!$A:$BA,MATCH($A32,RESULTADOS!$A:$A,0),MATCH(T$1,RESULTADOS!$1:$1,0))</f>
        <v>#N/A</v>
      </c>
      <c r="U32" s="250">
        <f ca="1">SUMPRODUCT((TABELA_VAZAO[Posto]=U$2)*1,(TABELA_VAZAO[Data]=$A32)*1,TABELA_VAZAO[qinc])</f>
        <v>174</v>
      </c>
      <c r="V32" s="288">
        <f ca="1">SUMPRODUCT((TABELA_VAZAO[Posto]=V$2)*1,(TABELA_VAZAO[Data]=$A32)*1,TABELA_VAZAO[qnat])</f>
        <v>592</v>
      </c>
      <c r="W32" s="67" t="e">
        <f ca="1">INDEX(RESULTADOS!$A:$BA,MATCH($A32,RESULTADOS!$A:$A,0),MATCH(W$1,RESULTADOS!$1:$1,0))</f>
        <v>#N/A</v>
      </c>
      <c r="X32" s="250">
        <f ca="1">SUMPRODUCT((TABELA_VAZAO[Posto]=X$2)*1,(TABELA_VAZAO[Data]=$A32)*1,TABELA_VAZAO[qinc])</f>
        <v>48</v>
      </c>
      <c r="Y32" s="288">
        <f ca="1">SUMPRODUCT((TABELA_VAZAO[Posto]=Y$2)*1,(TABELA_VAZAO[Data]=$A32)*1,TABELA_VAZAO[qnat])</f>
        <v>650</v>
      </c>
      <c r="Z32" s="57" t="e">
        <f t="shared" ca="1" si="3"/>
        <v>#N/A</v>
      </c>
      <c r="AA32" s="250">
        <f ca="1">SUMPRODUCT((TABELA_VAZAO[Posto]=AA$2)*1,(TABELA_VAZAO[Data]=$A32)*1,TABELA_VAZAO[qinc])</f>
        <v>113</v>
      </c>
      <c r="AB32" s="288">
        <f ca="1">SUMPRODUCT((TABELA_VAZAO[Posto]=AB$2)*1,(TABELA_VAZAO[Data]=$A32)*1,TABELA_VAZAO[qnat])</f>
        <v>785</v>
      </c>
    </row>
    <row r="33" spans="1:28" x14ac:dyDescent="0.2">
      <c r="A33" s="49">
        <f t="shared" ca="1" si="1"/>
        <v>43832</v>
      </c>
      <c r="B33" s="288">
        <f ca="1">SUMPRODUCT((TABELA_VAZAO[Posto]=B$2)*1,(TABELA_VAZAO[Data]=$A33)*1,TABELA_VAZAO[qnat])</f>
        <v>101</v>
      </c>
      <c r="C33" s="67" t="e">
        <f ca="1">INDEX(RESULTADOS!$A:$BA,MATCH($A33,RESULTADOS!$A:$A,0),MATCH(C$1,RESULTADOS!$1:$1,0))</f>
        <v>#N/A</v>
      </c>
      <c r="D33" s="250">
        <f ca="1">SUMPRODUCT((TABELA_VAZAO[Posto]=D$2)*1,(TABELA_VAZAO[Data]=$A33)*1,TABELA_VAZAO[qinc])</f>
        <v>3</v>
      </c>
      <c r="E33" s="288">
        <f ca="1">SUMPRODUCT((TABELA_VAZAO[Posto]=E$2)*1,(TABELA_VAZAO[Data]=$A33)*1,TABELA_VAZAO[qnat])</f>
        <v>105</v>
      </c>
      <c r="F33" s="250">
        <f ca="1">SUMPRODUCT((TABELA_VAZAO[Posto]=F$2)*1,(TABELA_VAZAO[Data]=$A33)*1,TABELA_VAZAO[qinc])</f>
        <v>55</v>
      </c>
      <c r="G33" s="288">
        <f ca="1">SUMPRODUCT((TABELA_VAZAO[Posto]=G$2)*1,(TABELA_VAZAO[Data]=$A33)*1,TABELA_VAZAO[qnat])</f>
        <v>162</v>
      </c>
      <c r="H33" s="67" t="e">
        <f ca="1">INDEX(RESULTADOS!$A:$BA,MATCH($A33,RESULTADOS!$A:$A,0),MATCH(H$1,RESULTADOS!$1:$1,0))</f>
        <v>#N/A</v>
      </c>
      <c r="I33" s="250">
        <f ca="1">SUMPRODUCT((TABELA_VAZAO[Posto]=I$2)*1,(TABELA_VAZAO[Data]=$A33)*1,TABELA_VAZAO[qinc])</f>
        <v>2</v>
      </c>
      <c r="J33" s="288">
        <f ca="1">SUMPRODUCT((TABELA_VAZAO[Posto]=J$2)*1,(TABELA_VAZAO[Data]=$A33)*1,TABELA_VAZAO[qnat])</f>
        <v>165</v>
      </c>
      <c r="K33" s="57" t="e">
        <f t="shared" ca="1" si="2"/>
        <v>#N/A</v>
      </c>
      <c r="L33" s="250">
        <f ca="1">SUMPRODUCT((TABELA_VAZAO[Posto]=L$2)*1,(TABELA_VAZAO[Data]=$A33)*1,TABELA_VAZAO[qinc])</f>
        <v>45</v>
      </c>
      <c r="M33" s="288">
        <f ca="1">SUMPRODUCT((TABELA_VAZAO[Posto]=M$2)*1,(TABELA_VAZAO[Data]=$A33)*1,TABELA_VAZAO[qnat])</f>
        <v>211</v>
      </c>
      <c r="N33" s="250">
        <f ca="1">SUMPRODUCT((TABELA_VAZAO[Posto]=N$2)*1,(TABELA_VAZAO[Data]=$A33)*1,TABELA_VAZAO[qinc])</f>
        <v>3</v>
      </c>
      <c r="O33" s="288">
        <f ca="1">SUMPRODUCT((TABELA_VAZAO[Posto]=O$2)*1,(TABELA_VAZAO[Data]=$A33)*1,TABELA_VAZAO[qnat])</f>
        <v>215</v>
      </c>
      <c r="P33" s="250">
        <f ca="1">SUMPRODUCT((TABELA_VAZAO[Posto]=P$2)*1,(TABELA_VAZAO[Data]=$A33)*1,TABELA_VAZAO[qinc])</f>
        <v>7</v>
      </c>
      <c r="Q33" s="288">
        <f ca="1">SUMPRODUCT((TABELA_VAZAO[Posto]=Q$2)*1,(TABELA_VAZAO[Data]=$A33)*1,TABELA_VAZAO[qnat])</f>
        <v>224</v>
      </c>
      <c r="R33" s="250">
        <f ca="1">SUMPRODUCT((TABELA_VAZAO[Posto]=R$2)*1,(TABELA_VAZAO[Data]=$A33)*1,TABELA_VAZAO[qinc])</f>
        <v>166</v>
      </c>
      <c r="S33" s="288">
        <f ca="1">SUMPRODUCT((TABELA_VAZAO[Posto]=S$2)*1,(TABELA_VAZAO[Data]=$A33)*1,TABELA_VAZAO[qnat])</f>
        <v>166</v>
      </c>
      <c r="T33" s="67" t="e">
        <f ca="1">INDEX(RESULTADOS!$A:$BA,MATCH($A33,RESULTADOS!$A:$A,0),MATCH(T$1,RESULTADOS!$1:$1,0))</f>
        <v>#N/A</v>
      </c>
      <c r="U33" s="250">
        <f ca="1">SUMPRODUCT((TABELA_VAZAO[Posto]=U$2)*1,(TABELA_VAZAO[Data]=$A33)*1,TABELA_VAZAO[qinc])</f>
        <v>175</v>
      </c>
      <c r="V33" s="288">
        <f ca="1">SUMPRODUCT((TABELA_VAZAO[Posto]=V$2)*1,(TABELA_VAZAO[Data]=$A33)*1,TABELA_VAZAO[qnat])</f>
        <v>575</v>
      </c>
      <c r="W33" s="67" t="e">
        <f ca="1">INDEX(RESULTADOS!$A:$BA,MATCH($A33,RESULTADOS!$A:$A,0),MATCH(W$1,RESULTADOS!$1:$1,0))</f>
        <v>#N/A</v>
      </c>
      <c r="X33" s="250">
        <f ca="1">SUMPRODUCT((TABELA_VAZAO[Posto]=X$2)*1,(TABELA_VAZAO[Data]=$A33)*1,TABELA_VAZAO[qinc])</f>
        <v>52</v>
      </c>
      <c r="Y33" s="288">
        <f ca="1">SUMPRODUCT((TABELA_VAZAO[Posto]=Y$2)*1,(TABELA_VAZAO[Data]=$A33)*1,TABELA_VAZAO[qnat])</f>
        <v>633</v>
      </c>
      <c r="Z33" s="57" t="e">
        <f t="shared" ca="1" si="3"/>
        <v>#N/A</v>
      </c>
      <c r="AA33" s="250">
        <f ca="1">SUMPRODUCT((TABELA_VAZAO[Posto]=AA$2)*1,(TABELA_VAZAO[Data]=$A33)*1,TABELA_VAZAO[qinc])</f>
        <v>121</v>
      </c>
      <c r="AB33" s="288">
        <f ca="1">SUMPRODUCT((TABELA_VAZAO[Posto]=AB$2)*1,(TABELA_VAZAO[Data]=$A33)*1,TABELA_VAZAO[qnat])</f>
        <v>764</v>
      </c>
    </row>
    <row r="34" spans="1:28" x14ac:dyDescent="0.2">
      <c r="A34" s="49">
        <f t="shared" ca="1" si="1"/>
        <v>43833</v>
      </c>
      <c r="B34" s="288">
        <f ca="1">SUMPRODUCT((TABELA_VAZAO[Posto]=B$2)*1,(TABELA_VAZAO[Data]=$A34)*1,TABELA_VAZAO[qnat])</f>
        <v>97</v>
      </c>
      <c r="C34" s="67" t="e">
        <f ca="1">INDEX(RESULTADOS!$A:$BA,MATCH($A34,RESULTADOS!$A:$A,0),MATCH(C$1,RESULTADOS!$1:$1,0))</f>
        <v>#N/A</v>
      </c>
      <c r="D34" s="250">
        <f ca="1">SUMPRODUCT((TABELA_VAZAO[Posto]=D$2)*1,(TABELA_VAZAO[Data]=$A34)*1,TABELA_VAZAO[qinc])</f>
        <v>3</v>
      </c>
      <c r="E34" s="288">
        <f ca="1">SUMPRODUCT((TABELA_VAZAO[Posto]=E$2)*1,(TABELA_VAZAO[Data]=$A34)*1,TABELA_VAZAO[qnat])</f>
        <v>101</v>
      </c>
      <c r="F34" s="250">
        <f ca="1">SUMPRODUCT((TABELA_VAZAO[Posto]=F$2)*1,(TABELA_VAZAO[Data]=$A34)*1,TABELA_VAZAO[qinc])</f>
        <v>60</v>
      </c>
      <c r="G34" s="288">
        <f ca="1">SUMPRODUCT((TABELA_VAZAO[Posto]=G$2)*1,(TABELA_VAZAO[Data]=$A34)*1,TABELA_VAZAO[qnat])</f>
        <v>163</v>
      </c>
      <c r="H34" s="67" t="e">
        <f ca="1">INDEX(RESULTADOS!$A:$BA,MATCH($A34,RESULTADOS!$A:$A,0),MATCH(H$1,RESULTADOS!$1:$1,0))</f>
        <v>#N/A</v>
      </c>
      <c r="I34" s="250">
        <f ca="1">SUMPRODUCT((TABELA_VAZAO[Posto]=I$2)*1,(TABELA_VAZAO[Data]=$A34)*1,TABELA_VAZAO[qinc])</f>
        <v>2</v>
      </c>
      <c r="J34" s="288">
        <f ca="1">SUMPRODUCT((TABELA_VAZAO[Posto]=J$2)*1,(TABELA_VAZAO[Data]=$A34)*1,TABELA_VAZAO[qnat])</f>
        <v>164</v>
      </c>
      <c r="K34" s="57" t="e">
        <f t="shared" ca="1" si="2"/>
        <v>#N/A</v>
      </c>
      <c r="L34" s="250">
        <f ca="1">SUMPRODUCT((TABELA_VAZAO[Posto]=L$2)*1,(TABELA_VAZAO[Data]=$A34)*1,TABELA_VAZAO[qinc])</f>
        <v>50</v>
      </c>
      <c r="M34" s="288">
        <f ca="1">SUMPRODUCT((TABELA_VAZAO[Posto]=M$2)*1,(TABELA_VAZAO[Data]=$A34)*1,TABELA_VAZAO[qnat])</f>
        <v>214</v>
      </c>
      <c r="N34" s="250">
        <f ca="1">SUMPRODUCT((TABELA_VAZAO[Posto]=N$2)*1,(TABELA_VAZAO[Data]=$A34)*1,TABELA_VAZAO[qinc])</f>
        <v>4</v>
      </c>
      <c r="O34" s="288">
        <f ca="1">SUMPRODUCT((TABELA_VAZAO[Posto]=O$2)*1,(TABELA_VAZAO[Data]=$A34)*1,TABELA_VAZAO[qnat])</f>
        <v>218</v>
      </c>
      <c r="P34" s="250">
        <f ca="1">SUMPRODUCT((TABELA_VAZAO[Posto]=P$2)*1,(TABELA_VAZAO[Data]=$A34)*1,TABELA_VAZAO[qinc])</f>
        <v>8</v>
      </c>
      <c r="Q34" s="288">
        <f ca="1">SUMPRODUCT((TABELA_VAZAO[Posto]=Q$2)*1,(TABELA_VAZAO[Data]=$A34)*1,TABELA_VAZAO[qnat])</f>
        <v>226</v>
      </c>
      <c r="R34" s="250">
        <f ca="1">SUMPRODUCT((TABELA_VAZAO[Posto]=R$2)*1,(TABELA_VAZAO[Data]=$A34)*1,TABELA_VAZAO[qinc])</f>
        <v>176</v>
      </c>
      <c r="S34" s="288">
        <f ca="1">SUMPRODUCT((TABELA_VAZAO[Posto]=S$2)*1,(TABELA_VAZAO[Data]=$A34)*1,TABELA_VAZAO[qnat])</f>
        <v>176</v>
      </c>
      <c r="T34" s="67" t="e">
        <f ca="1">INDEX(RESULTADOS!$A:$BA,MATCH($A34,RESULTADOS!$A:$A,0),MATCH(T$1,RESULTADOS!$1:$1,0))</f>
        <v>#N/A</v>
      </c>
      <c r="U34" s="250">
        <f ca="1">SUMPRODUCT((TABELA_VAZAO[Posto]=U$2)*1,(TABELA_VAZAO[Data]=$A34)*1,TABELA_VAZAO[qinc])</f>
        <v>161</v>
      </c>
      <c r="V34" s="288">
        <f ca="1">SUMPRODUCT((TABELA_VAZAO[Posto]=V$2)*1,(TABELA_VAZAO[Data]=$A34)*1,TABELA_VAZAO[qnat])</f>
        <v>551</v>
      </c>
      <c r="W34" s="67" t="e">
        <f ca="1">INDEX(RESULTADOS!$A:$BA,MATCH($A34,RESULTADOS!$A:$A,0),MATCH(W$1,RESULTADOS!$1:$1,0))</f>
        <v>#N/A</v>
      </c>
      <c r="X34" s="250">
        <f ca="1">SUMPRODUCT((TABELA_VAZAO[Posto]=X$2)*1,(TABELA_VAZAO[Data]=$A34)*1,TABELA_VAZAO[qinc])</f>
        <v>64</v>
      </c>
      <c r="Y34" s="288">
        <f ca="1">SUMPRODUCT((TABELA_VAZAO[Posto]=Y$2)*1,(TABELA_VAZAO[Data]=$A34)*1,TABELA_VAZAO[qnat])</f>
        <v>624</v>
      </c>
      <c r="Z34" s="57" t="e">
        <f t="shared" ca="1" si="3"/>
        <v>#N/A</v>
      </c>
      <c r="AA34" s="250">
        <f ca="1">SUMPRODUCT((TABELA_VAZAO[Posto]=AA$2)*1,(TABELA_VAZAO[Data]=$A34)*1,TABELA_VAZAO[qinc])</f>
        <v>149</v>
      </c>
      <c r="AB34" s="288">
        <f ca="1">SUMPRODUCT((TABELA_VAZAO[Posto]=AB$2)*1,(TABELA_VAZAO[Data]=$A34)*1,TABELA_VAZAO[qnat])</f>
        <v>779</v>
      </c>
    </row>
    <row r="35" spans="1:28" x14ac:dyDescent="0.2">
      <c r="A35" s="49">
        <f t="shared" ca="1" si="1"/>
        <v>43834</v>
      </c>
      <c r="B35" s="288">
        <f ca="1">SUMPRODUCT((TABELA_VAZAO[Posto]=B$2)*1,(TABELA_VAZAO[Data]=$A35)*1,TABELA_VAZAO[qnat])</f>
        <v>106</v>
      </c>
      <c r="C35" s="67" t="e">
        <f ca="1">INDEX(RESULTADOS!$A:$BA,MATCH($A35,RESULTADOS!$A:$A,0),MATCH(C$1,RESULTADOS!$1:$1,0))</f>
        <v>#N/A</v>
      </c>
      <c r="D35" s="250">
        <f ca="1">SUMPRODUCT((TABELA_VAZAO[Posto]=D$2)*1,(TABELA_VAZAO[Data]=$A35)*1,TABELA_VAZAO[qinc])</f>
        <v>4</v>
      </c>
      <c r="E35" s="288">
        <f ca="1">SUMPRODUCT((TABELA_VAZAO[Posto]=E$2)*1,(TABELA_VAZAO[Data]=$A35)*1,TABELA_VAZAO[qnat])</f>
        <v>108</v>
      </c>
      <c r="F35" s="250">
        <f ca="1">SUMPRODUCT((TABELA_VAZAO[Posto]=F$2)*1,(TABELA_VAZAO[Data]=$A35)*1,TABELA_VAZAO[qinc])</f>
        <v>91</v>
      </c>
      <c r="G35" s="288">
        <f ca="1">SUMPRODUCT((TABELA_VAZAO[Posto]=G$2)*1,(TABELA_VAZAO[Data]=$A35)*1,TABELA_VAZAO[qnat])</f>
        <v>196</v>
      </c>
      <c r="H35" s="67" t="e">
        <f ca="1">INDEX(RESULTADOS!$A:$BA,MATCH($A35,RESULTADOS!$A:$A,0),MATCH(H$1,RESULTADOS!$1:$1,0))</f>
        <v>#N/A</v>
      </c>
      <c r="I35" s="250">
        <f ca="1">SUMPRODUCT((TABELA_VAZAO[Posto]=I$2)*1,(TABELA_VAZAO[Data]=$A35)*1,TABELA_VAZAO[qinc])</f>
        <v>2</v>
      </c>
      <c r="J35" s="288">
        <f ca="1">SUMPRODUCT((TABELA_VAZAO[Posto]=J$2)*1,(TABELA_VAZAO[Data]=$A35)*1,TABELA_VAZAO[qnat])</f>
        <v>194</v>
      </c>
      <c r="K35" s="57" t="e">
        <f t="shared" ca="1" si="2"/>
        <v>#N/A</v>
      </c>
      <c r="L35" s="250">
        <f ca="1">SUMPRODUCT((TABELA_VAZAO[Posto]=L$2)*1,(TABELA_VAZAO[Data]=$A35)*1,TABELA_VAZAO[qinc])</f>
        <v>58</v>
      </c>
      <c r="M35" s="288">
        <f ca="1">SUMPRODUCT((TABELA_VAZAO[Posto]=M$2)*1,(TABELA_VAZAO[Data]=$A35)*1,TABELA_VAZAO[qnat])</f>
        <v>248</v>
      </c>
      <c r="N35" s="250">
        <f ca="1">SUMPRODUCT((TABELA_VAZAO[Posto]=N$2)*1,(TABELA_VAZAO[Data]=$A35)*1,TABELA_VAZAO[qinc])</f>
        <v>5</v>
      </c>
      <c r="O35" s="288">
        <f ca="1">SUMPRODUCT((TABELA_VAZAO[Posto]=O$2)*1,(TABELA_VAZAO[Data]=$A35)*1,TABELA_VAZAO[qnat])</f>
        <v>249</v>
      </c>
      <c r="P35" s="250">
        <f ca="1">SUMPRODUCT((TABELA_VAZAO[Posto]=P$2)*1,(TABELA_VAZAO[Data]=$A35)*1,TABELA_VAZAO[qinc])</f>
        <v>10</v>
      </c>
      <c r="Q35" s="288">
        <f ca="1">SUMPRODUCT((TABELA_VAZAO[Posto]=Q$2)*1,(TABELA_VAZAO[Data]=$A35)*1,TABELA_VAZAO[qnat])</f>
        <v>255</v>
      </c>
      <c r="R35" s="250">
        <f ca="1">SUMPRODUCT((TABELA_VAZAO[Posto]=R$2)*1,(TABELA_VAZAO[Data]=$A35)*1,TABELA_VAZAO[qinc])</f>
        <v>186</v>
      </c>
      <c r="S35" s="288">
        <f ca="1">SUMPRODUCT((TABELA_VAZAO[Posto]=S$2)*1,(TABELA_VAZAO[Data]=$A35)*1,TABELA_VAZAO[qnat])</f>
        <v>186</v>
      </c>
      <c r="T35" s="67" t="e">
        <f ca="1">INDEX(RESULTADOS!$A:$BA,MATCH($A35,RESULTADOS!$A:$A,0),MATCH(T$1,RESULTADOS!$1:$1,0))</f>
        <v>#N/A</v>
      </c>
      <c r="U35" s="250">
        <f ca="1">SUMPRODUCT((TABELA_VAZAO[Posto]=U$2)*1,(TABELA_VAZAO[Data]=$A35)*1,TABELA_VAZAO[qinc])</f>
        <v>170</v>
      </c>
      <c r="V35" s="288">
        <f ca="1">SUMPRODUCT((TABELA_VAZAO[Posto]=V$2)*1,(TABELA_VAZAO[Data]=$A35)*1,TABELA_VAZAO[qnat])</f>
        <v>577</v>
      </c>
      <c r="W35" s="67" t="e">
        <f ca="1">INDEX(RESULTADOS!$A:$BA,MATCH($A35,RESULTADOS!$A:$A,0),MATCH(W$1,RESULTADOS!$1:$1,0))</f>
        <v>#N/A</v>
      </c>
      <c r="X35" s="250">
        <f ca="1">SUMPRODUCT((TABELA_VAZAO[Posto]=X$2)*1,(TABELA_VAZAO[Data]=$A35)*1,TABELA_VAZAO[qinc])</f>
        <v>69</v>
      </c>
      <c r="Y35" s="288">
        <f ca="1">SUMPRODUCT((TABELA_VAZAO[Posto]=Y$2)*1,(TABELA_VAZAO[Data]=$A35)*1,TABELA_VAZAO[qnat])</f>
        <v>636</v>
      </c>
      <c r="Z35" s="57" t="e">
        <f t="shared" ca="1" si="3"/>
        <v>#N/A</v>
      </c>
      <c r="AA35" s="250">
        <f ca="1">SUMPRODUCT((TABELA_VAZAO[Posto]=AA$2)*1,(TABELA_VAZAO[Data]=$A35)*1,TABELA_VAZAO[qinc])</f>
        <v>161</v>
      </c>
      <c r="AB35" s="288">
        <f ca="1">SUMPRODUCT((TABELA_VAZAO[Posto]=AB$2)*1,(TABELA_VAZAO[Data]=$A35)*1,TABELA_VAZAO[qnat])</f>
        <v>790</v>
      </c>
    </row>
    <row r="36" spans="1:28" x14ac:dyDescent="0.2">
      <c r="A36" s="49">
        <f t="shared" ca="1" si="1"/>
        <v>43835</v>
      </c>
      <c r="B36" s="288">
        <f ca="1">SUMPRODUCT((TABELA_VAZAO[Posto]=B$2)*1,(TABELA_VAZAO[Data]=$A36)*1,TABELA_VAZAO[qnat])</f>
        <v>128</v>
      </c>
      <c r="C36" s="67" t="e">
        <f ca="1">INDEX(RESULTADOS!$A:$BA,MATCH($A36,RESULTADOS!$A:$A,0),MATCH(C$1,RESULTADOS!$1:$1,0))</f>
        <v>#N/A</v>
      </c>
      <c r="D36" s="250">
        <f ca="1">SUMPRODUCT((TABELA_VAZAO[Posto]=D$2)*1,(TABELA_VAZAO[Data]=$A36)*1,TABELA_VAZAO[qinc])</f>
        <v>4</v>
      </c>
      <c r="E36" s="288">
        <f ca="1">SUMPRODUCT((TABELA_VAZAO[Posto]=E$2)*1,(TABELA_VAZAO[Data]=$A36)*1,TABELA_VAZAO[qnat])</f>
        <v>128</v>
      </c>
      <c r="F36" s="250">
        <f ca="1">SUMPRODUCT((TABELA_VAZAO[Posto]=F$2)*1,(TABELA_VAZAO[Data]=$A36)*1,TABELA_VAZAO[qinc])</f>
        <v>91</v>
      </c>
      <c r="G36" s="288">
        <f ca="1">SUMPRODUCT((TABELA_VAZAO[Posto]=G$2)*1,(TABELA_VAZAO[Data]=$A36)*1,TABELA_VAZAO[qnat])</f>
        <v>211</v>
      </c>
      <c r="H36" s="67" t="e">
        <f ca="1">INDEX(RESULTADOS!$A:$BA,MATCH($A36,RESULTADOS!$A:$A,0),MATCH(H$1,RESULTADOS!$1:$1,0))</f>
        <v>#N/A</v>
      </c>
      <c r="I36" s="250">
        <f ca="1">SUMPRODUCT((TABELA_VAZAO[Posto]=I$2)*1,(TABELA_VAZAO[Data]=$A36)*1,TABELA_VAZAO[qinc])</f>
        <v>3</v>
      </c>
      <c r="J36" s="288">
        <f ca="1">SUMPRODUCT((TABELA_VAZAO[Posto]=J$2)*1,(TABELA_VAZAO[Data]=$A36)*1,TABELA_VAZAO[qnat])</f>
        <v>211</v>
      </c>
      <c r="K36" s="57" t="e">
        <f t="shared" ca="1" si="2"/>
        <v>#N/A</v>
      </c>
      <c r="L36" s="250">
        <f ca="1">SUMPRODUCT((TABELA_VAZAO[Posto]=L$2)*1,(TABELA_VAZAO[Data]=$A36)*1,TABELA_VAZAO[qinc])</f>
        <v>64</v>
      </c>
      <c r="M36" s="288">
        <f ca="1">SUMPRODUCT((TABELA_VAZAO[Posto]=M$2)*1,(TABELA_VAZAO[Data]=$A36)*1,TABELA_VAZAO[qnat])</f>
        <v>274</v>
      </c>
      <c r="N36" s="250">
        <f ca="1">SUMPRODUCT((TABELA_VAZAO[Posto]=N$2)*1,(TABELA_VAZAO[Data]=$A36)*1,TABELA_VAZAO[qinc])</f>
        <v>5</v>
      </c>
      <c r="O36" s="288">
        <f ca="1">SUMPRODUCT((TABELA_VAZAO[Posto]=O$2)*1,(TABELA_VAZAO[Data]=$A36)*1,TABELA_VAZAO[qnat])</f>
        <v>276</v>
      </c>
      <c r="P36" s="250">
        <f ca="1">SUMPRODUCT((TABELA_VAZAO[Posto]=P$2)*1,(TABELA_VAZAO[Data]=$A36)*1,TABELA_VAZAO[qinc])</f>
        <v>11</v>
      </c>
      <c r="Q36" s="288">
        <f ca="1">SUMPRODUCT((TABELA_VAZAO[Posto]=Q$2)*1,(TABELA_VAZAO[Data]=$A36)*1,TABELA_VAZAO[qnat])</f>
        <v>283</v>
      </c>
      <c r="R36" s="250">
        <f ca="1">SUMPRODUCT((TABELA_VAZAO[Posto]=R$2)*1,(TABELA_VAZAO[Data]=$A36)*1,TABELA_VAZAO[qinc])</f>
        <v>178</v>
      </c>
      <c r="S36" s="288">
        <f ca="1">SUMPRODUCT((TABELA_VAZAO[Posto]=S$2)*1,(TABELA_VAZAO[Data]=$A36)*1,TABELA_VAZAO[qnat])</f>
        <v>178</v>
      </c>
      <c r="T36" s="67" t="e">
        <f ca="1">INDEX(RESULTADOS!$A:$BA,MATCH($A36,RESULTADOS!$A:$A,0),MATCH(T$1,RESULTADOS!$1:$1,0))</f>
        <v>#N/A</v>
      </c>
      <c r="U36" s="250">
        <f ca="1">SUMPRODUCT((TABELA_VAZAO[Posto]=U$2)*1,(TABELA_VAZAO[Data]=$A36)*1,TABELA_VAZAO[qinc])</f>
        <v>201</v>
      </c>
      <c r="V36" s="288">
        <f ca="1">SUMPRODUCT((TABELA_VAZAO[Posto]=V$2)*1,(TABELA_VAZAO[Data]=$A36)*1,TABELA_VAZAO[qnat])</f>
        <v>647</v>
      </c>
      <c r="W36" s="67" t="e">
        <f ca="1">INDEX(RESULTADOS!$A:$BA,MATCH($A36,RESULTADOS!$A:$A,0),MATCH(W$1,RESULTADOS!$1:$1,0))</f>
        <v>#N/A</v>
      </c>
      <c r="X36" s="250">
        <f ca="1">SUMPRODUCT((TABELA_VAZAO[Posto]=X$2)*1,(TABELA_VAZAO[Data]=$A36)*1,TABELA_VAZAO[qinc])</f>
        <v>72</v>
      </c>
      <c r="Y36" s="288">
        <f ca="1">SUMPRODUCT((TABELA_VAZAO[Posto]=Y$2)*1,(TABELA_VAZAO[Data]=$A36)*1,TABELA_VAZAO[qnat])</f>
        <v>692</v>
      </c>
      <c r="Z36" s="57" t="e">
        <f t="shared" ca="1" si="3"/>
        <v>#N/A</v>
      </c>
      <c r="AA36" s="250">
        <f ca="1">SUMPRODUCT((TABELA_VAZAO[Posto]=AA$2)*1,(TABELA_VAZAO[Data]=$A36)*1,TABELA_VAZAO[qinc])</f>
        <v>169</v>
      </c>
      <c r="AB36" s="288">
        <f ca="1">SUMPRODUCT((TABELA_VAZAO[Posto]=AB$2)*1,(TABELA_VAZAO[Data]=$A36)*1,TABELA_VAZAO[qnat])</f>
        <v>829</v>
      </c>
    </row>
    <row r="37" spans="1:28" ht="13.5" thickBot="1" x14ac:dyDescent="0.25">
      <c r="A37" s="49">
        <f ca="1">A38-1</f>
        <v>43836</v>
      </c>
      <c r="B37" s="288">
        <f ca="1">SUMPRODUCT((TABELA_VAZAO[Posto]=B$2)*1,(TABELA_VAZAO[Data]=$A37)*1,TABELA_VAZAO[qnat])</f>
        <v>161</v>
      </c>
      <c r="C37" s="67" t="e">
        <f ca="1">INDEX(RESULTADOS!$A:$BA,MATCH($A37,RESULTADOS!$A:$A,0),MATCH(C$1,RESULTADOS!$1:$1,0))</f>
        <v>#N/A</v>
      </c>
      <c r="D37" s="250">
        <f ca="1">SUMPRODUCT((TABELA_VAZAO[Posto]=D$2)*1,(TABELA_VAZAO[Data]=$A37)*1,TABELA_VAZAO[qinc])</f>
        <v>3</v>
      </c>
      <c r="E37" s="288">
        <f ca="1">SUMPRODUCT((TABELA_VAZAO[Posto]=E$2)*1,(TABELA_VAZAO[Data]=$A37)*1,TABELA_VAZAO[qnat])</f>
        <v>157</v>
      </c>
      <c r="F37" s="250">
        <f ca="1">SUMPRODUCT((TABELA_VAZAO[Posto]=F$2)*1,(TABELA_VAZAO[Data]=$A37)*1,TABELA_VAZAO[qinc])</f>
        <v>71</v>
      </c>
      <c r="G37" s="288">
        <f ca="1">SUMPRODUCT((TABELA_VAZAO[Posto]=G$2)*1,(TABELA_VAZAO[Data]=$A37)*1,TABELA_VAZAO[qnat])</f>
        <v>215</v>
      </c>
      <c r="H37" s="67" t="e">
        <f ca="1">INDEX(RESULTADOS!$A:$BA,MATCH($A37,RESULTADOS!$A:$A,0),MATCH(H$1,RESULTADOS!$1:$1,0))</f>
        <v>#N/A</v>
      </c>
      <c r="I37" s="250">
        <f ca="1">SUMPRODUCT((TABELA_VAZAO[Posto]=I$2)*1,(TABELA_VAZAO[Data]=$A37)*1,TABELA_VAZAO[qinc])</f>
        <v>3</v>
      </c>
      <c r="J37" s="288">
        <f ca="1">SUMPRODUCT((TABELA_VAZAO[Posto]=J$2)*1,(TABELA_VAZAO[Data]=$A37)*1,TABELA_VAZAO[qnat])</f>
        <v>217</v>
      </c>
      <c r="K37" s="57" t="e">
        <f t="shared" ca="1" si="2"/>
        <v>#N/A</v>
      </c>
      <c r="L37" s="250">
        <f ca="1">SUMPRODUCT((TABELA_VAZAO[Posto]=L$2)*1,(TABELA_VAZAO[Data]=$A37)*1,TABELA_VAZAO[qinc])</f>
        <v>71</v>
      </c>
      <c r="M37" s="288">
        <f ca="1">SUMPRODUCT((TABELA_VAZAO[Posto]=M$2)*1,(TABELA_VAZAO[Data]=$A37)*1,TABELA_VAZAO[qnat])</f>
        <v>288</v>
      </c>
      <c r="N37" s="250">
        <f ca="1">SUMPRODUCT((TABELA_VAZAO[Posto]=N$2)*1,(TABELA_VAZAO[Data]=$A37)*1,TABELA_VAZAO[qinc])</f>
        <v>6</v>
      </c>
      <c r="O37" s="288">
        <f ca="1">SUMPRODUCT((TABELA_VAZAO[Posto]=O$2)*1,(TABELA_VAZAO[Data]=$A37)*1,TABELA_VAZAO[qnat])</f>
        <v>292</v>
      </c>
      <c r="P37" s="250">
        <f ca="1">SUMPRODUCT((TABELA_VAZAO[Posto]=P$2)*1,(TABELA_VAZAO[Data]=$A37)*1,TABELA_VAZAO[qinc])</f>
        <v>12</v>
      </c>
      <c r="Q37" s="288">
        <f ca="1">SUMPRODUCT((TABELA_VAZAO[Posto]=Q$2)*1,(TABELA_VAZAO[Data]=$A37)*1,TABELA_VAZAO[qnat])</f>
        <v>302</v>
      </c>
      <c r="R37" s="250">
        <f ca="1">SUMPRODUCT((TABELA_VAZAO[Posto]=R$2)*1,(TABELA_VAZAO[Data]=$A37)*1,TABELA_VAZAO[qinc])</f>
        <v>171</v>
      </c>
      <c r="S37" s="288">
        <f ca="1">SUMPRODUCT((TABELA_VAZAO[Posto]=S$2)*1,(TABELA_VAZAO[Data]=$A37)*1,TABELA_VAZAO[qnat])</f>
        <v>171</v>
      </c>
      <c r="T37" s="67" t="e">
        <f ca="1">INDEX(RESULTADOS!$A:$BA,MATCH($A37,RESULTADOS!$A:$A,0),MATCH(T$1,RESULTADOS!$1:$1,0))</f>
        <v>#N/A</v>
      </c>
      <c r="U37" s="250">
        <f ca="1">SUMPRODUCT((TABELA_VAZAO[Posto]=U$2)*1,(TABELA_VAZAO[Data]=$A37)*1,TABELA_VAZAO[qinc])</f>
        <v>208</v>
      </c>
      <c r="V37" s="288">
        <f ca="1">SUMPRODUCT((TABELA_VAZAO[Posto]=V$2)*1,(TABELA_VAZAO[Data]=$A37)*1,TABELA_VAZAO[qnat])</f>
        <v>677</v>
      </c>
      <c r="W37" s="67" t="e">
        <f ca="1">INDEX(RESULTADOS!$A:$BA,MATCH($A37,RESULTADOS!$A:$A,0),MATCH(W$1,RESULTADOS!$1:$1,0))</f>
        <v>#N/A</v>
      </c>
      <c r="X37" s="250">
        <f ca="1">SUMPRODUCT((TABELA_VAZAO[Posto]=X$2)*1,(TABELA_VAZAO[Data]=$A37)*1,TABELA_VAZAO[qinc])</f>
        <v>81</v>
      </c>
      <c r="Y37" s="288">
        <f ca="1">SUMPRODUCT((TABELA_VAZAO[Posto]=Y$2)*1,(TABELA_VAZAO[Data]=$A37)*1,TABELA_VAZAO[qnat])</f>
        <v>747</v>
      </c>
      <c r="Z37" s="57" t="e">
        <f t="shared" ca="1" si="3"/>
        <v>#N/A</v>
      </c>
      <c r="AA37" s="250">
        <f ca="1">SUMPRODUCT((TABELA_VAZAO[Posto]=AA$2)*1,(TABELA_VAZAO[Data]=$A37)*1,TABELA_VAZAO[qinc])</f>
        <v>190</v>
      </c>
      <c r="AB37" s="288">
        <f ca="1">SUMPRODUCT((TABELA_VAZAO[Posto]=AB$2)*1,(TABELA_VAZAO[Data]=$A37)*1,TABELA_VAZAO[qnat])</f>
        <v>906</v>
      </c>
    </row>
    <row r="38" spans="1:28" ht="13.5" thickBot="1" x14ac:dyDescent="0.25">
      <c r="A38" s="55">
        <f ca="1">_data</f>
        <v>43837</v>
      </c>
      <c r="B38" s="67" t="e">
        <f ca="1">INDEX(RESULTADOS!$A:$BA,MATCH($A38,RESULTADOS!$A:$A,0),MATCH(B$1,RESULTADOS!$1:$1,0))</f>
        <v>#N/A</v>
      </c>
      <c r="C38" s="67" t="e">
        <f ca="1">INDEX(RESULTADOS!$A:$BA,MATCH($A38,RESULTADOS!$A:$A,0),MATCH(C$1,RESULTADOS!$1:$1,0))</f>
        <v>#N/A</v>
      </c>
      <c r="D38" s="56" t="e">
        <f t="shared" ref="D38:D71" ca="1" si="4">$D$4*$C38</f>
        <v>#N/A</v>
      </c>
      <c r="E38" s="62" t="e">
        <f t="shared" ref="E38:E80" ca="1" si="5">((B38*(24-$B$3)+B37*$B$3)/24)+D38</f>
        <v>#N/A</v>
      </c>
      <c r="F38" s="57" t="e">
        <f t="shared" ref="F38:F71" ca="1" si="6">$F$4*$C38</f>
        <v>#N/A</v>
      </c>
      <c r="G38" s="62" t="e">
        <f t="shared" ref="G38:G80" ca="1" si="7">((E38*(24-$E$3)+E37*$E$3)/24)+F38</f>
        <v>#N/A</v>
      </c>
      <c r="H38" s="67" t="e">
        <f ca="1">INDEX(RESULTADOS!$A:$BA,MATCH($A38,RESULTADOS!$A:$A,0),MATCH(H$1,RESULTADOS!$1:$1,0))</f>
        <v>#N/A</v>
      </c>
      <c r="I38" s="56" t="e">
        <f t="shared" ref="I38:I71" ca="1" si="8">$I$4*$H38</f>
        <v>#N/A</v>
      </c>
      <c r="J38" s="50" t="e">
        <f t="shared" ref="J38:J80" ca="1" si="9">((G38*(24-$G$3)+G37*$G$3)/24)+I38</f>
        <v>#N/A</v>
      </c>
      <c r="K38" s="57" t="e">
        <f t="shared" ca="1" si="2"/>
        <v>#N/A</v>
      </c>
      <c r="L38" s="56" t="e">
        <f t="shared" ref="L38:L69" ca="1" si="10">K38</f>
        <v>#N/A</v>
      </c>
      <c r="M38" s="62" t="e">
        <f t="shared" ref="M38:M69" ca="1" si="11">((J38*(24-$J$3)+J37*$J$3)/24)+L38</f>
        <v>#N/A</v>
      </c>
      <c r="N38" s="56" t="e">
        <f t="shared" ref="N38:N71" ca="1" si="12">$N$4*$H38</f>
        <v>#N/A</v>
      </c>
      <c r="O38" s="62" t="e">
        <f t="shared" ref="O38:O69" ca="1" si="13">((M38*(24-$M$3)+M37*$M$3)/24)+N38</f>
        <v>#N/A</v>
      </c>
      <c r="P38" s="56" t="e">
        <f t="shared" ref="P38:P72" ca="1" si="14">$P$4*$H38</f>
        <v>#N/A</v>
      </c>
      <c r="Q38" s="62" t="e">
        <f t="shared" ref="Q38:Q69" ca="1" si="15">((O38*(24-$O$3)+O37*$O$3)/24)+P38</f>
        <v>#N/A</v>
      </c>
      <c r="R38" s="67" t="e">
        <f ca="1">INDEX(RESULTADOS!$A:$BA,MATCH($A38,RESULTADOS!$A:$A,0),MATCH(R$1,RESULTADOS!$1:$1,0))</f>
        <v>#N/A</v>
      </c>
      <c r="S38" s="64" t="e">
        <f t="shared" ref="S38:S69" ca="1" si="16">R38</f>
        <v>#N/A</v>
      </c>
      <c r="T38" s="67" t="e">
        <f ca="1">INDEX(RESULTADOS!$A:$BA,MATCH($A38,RESULTADOS!$A:$A,0),MATCH(T$1,RESULTADOS!$1:$1,0))</f>
        <v>#N/A</v>
      </c>
      <c r="U38" s="50" t="e">
        <f t="shared" ref="U38:U80" ca="1" si="17">T38</f>
        <v>#N/A</v>
      </c>
      <c r="V38" s="62" t="e">
        <f t="shared" ref="V38:V80" ca="1" si="18">((Q38*(24-$Q$3)+Q37*$Q$3)/24)+((S37*(48-$S$3)+S36*($S$3-24))/24)+U38</f>
        <v>#N/A</v>
      </c>
      <c r="W38" s="67" t="e">
        <f ca="1">INDEX(RESULTADOS!$A:$BA,MATCH($A38,RESULTADOS!$A:$A,0),MATCH(W$1,RESULTADOS!$1:$1,0))</f>
        <v>#N/A</v>
      </c>
      <c r="X38" s="56" t="e">
        <f t="shared" ref="X38:X72" ca="1" si="19">$X$4*$W38</f>
        <v>#N/A</v>
      </c>
      <c r="Y38" s="62" t="e">
        <f t="shared" ref="Y38:Y80" ca="1" si="20">((V38*(24-$V$3)+V37*$V$3)/24)+X38</f>
        <v>#N/A</v>
      </c>
      <c r="Z38" s="57" t="e">
        <f t="shared" ca="1" si="3"/>
        <v>#N/A</v>
      </c>
      <c r="AA38" s="50" t="e">
        <f ca="1">+Z38</f>
        <v>#N/A</v>
      </c>
      <c r="AB38" s="62" t="e">
        <f t="shared" ref="AB38:AB69" ca="1" si="21">((Y38*(24-$Y$3)+Y37*$Y$3)/24)+AA38</f>
        <v>#N/A</v>
      </c>
    </row>
    <row r="39" spans="1:28" ht="13.5" thickBot="1" x14ac:dyDescent="0.25">
      <c r="A39" s="49">
        <f ca="1">A38+1</f>
        <v>43838</v>
      </c>
      <c r="B39" s="67" t="e">
        <f ca="1">INDEX(RESULTADOS!$A:$BA,MATCH($A39,RESULTADOS!$A:$A,0),MATCH(B$1,RESULTADOS!$1:$1,0))</f>
        <v>#N/A</v>
      </c>
      <c r="C39" s="67" t="e">
        <f ca="1">INDEX(RESULTADOS!$A:$BA,MATCH($A39,RESULTADOS!$A:$A,0),MATCH(C$1,RESULTADOS!$1:$1,0))</f>
        <v>#N/A</v>
      </c>
      <c r="D39" s="56" t="e">
        <f t="shared" ca="1" si="4"/>
        <v>#N/A</v>
      </c>
      <c r="E39" s="62" t="e">
        <f t="shared" ca="1" si="5"/>
        <v>#N/A</v>
      </c>
      <c r="F39" s="57" t="e">
        <f t="shared" ca="1" si="6"/>
        <v>#N/A</v>
      </c>
      <c r="G39" s="62" t="e">
        <f t="shared" ca="1" si="7"/>
        <v>#N/A</v>
      </c>
      <c r="H39" s="67" t="e">
        <f ca="1">INDEX(RESULTADOS!$A:$BA,MATCH($A39,RESULTADOS!$A:$A,0),MATCH(H$1,RESULTADOS!$1:$1,0))</f>
        <v>#N/A</v>
      </c>
      <c r="I39" s="56" t="e">
        <f t="shared" ca="1" si="8"/>
        <v>#N/A</v>
      </c>
      <c r="J39" s="50" t="e">
        <f t="shared" ca="1" si="9"/>
        <v>#N/A</v>
      </c>
      <c r="K39" s="57" t="e">
        <f t="shared" ca="1" si="2"/>
        <v>#N/A</v>
      </c>
      <c r="L39" s="56" t="e">
        <f t="shared" ca="1" si="10"/>
        <v>#N/A</v>
      </c>
      <c r="M39" s="62" t="e">
        <f t="shared" ca="1" si="11"/>
        <v>#N/A</v>
      </c>
      <c r="N39" s="56" t="e">
        <f t="shared" ca="1" si="12"/>
        <v>#N/A</v>
      </c>
      <c r="O39" s="62" t="e">
        <f t="shared" ca="1" si="13"/>
        <v>#N/A</v>
      </c>
      <c r="P39" s="56" t="e">
        <f t="shared" ca="1" si="14"/>
        <v>#N/A</v>
      </c>
      <c r="Q39" s="62" t="e">
        <f t="shared" ca="1" si="15"/>
        <v>#N/A</v>
      </c>
      <c r="R39" s="67" t="e">
        <f ca="1">INDEX(RESULTADOS!$A:$BA,MATCH($A39,RESULTADOS!$A:$A,0),MATCH(R$1,RESULTADOS!$1:$1,0))</f>
        <v>#N/A</v>
      </c>
      <c r="S39" s="64" t="e">
        <f t="shared" ca="1" si="16"/>
        <v>#N/A</v>
      </c>
      <c r="T39" s="67" t="e">
        <f ca="1">INDEX(RESULTADOS!$A:$BA,MATCH($A39,RESULTADOS!$A:$A,0),MATCH(T$1,RESULTADOS!$1:$1,0))</f>
        <v>#N/A</v>
      </c>
      <c r="U39" s="50" t="e">
        <f t="shared" ca="1" si="17"/>
        <v>#N/A</v>
      </c>
      <c r="V39" s="62" t="e">
        <f t="shared" ca="1" si="18"/>
        <v>#N/A</v>
      </c>
      <c r="W39" s="67" t="e">
        <f ca="1">INDEX(RESULTADOS!$A:$BA,MATCH($A39,RESULTADOS!$A:$A,0),MATCH(W$1,RESULTADOS!$1:$1,0))</f>
        <v>#N/A</v>
      </c>
      <c r="X39" s="56" t="e">
        <f t="shared" ca="1" si="19"/>
        <v>#N/A</v>
      </c>
      <c r="Y39" s="62" t="e">
        <f t="shared" ca="1" si="20"/>
        <v>#N/A</v>
      </c>
      <c r="Z39" s="57" t="e">
        <f t="shared" ca="1" si="3"/>
        <v>#N/A</v>
      </c>
      <c r="AA39" s="110" t="e">
        <f t="shared" ref="AA39:AA80" ca="1" si="22">+Z39</f>
        <v>#N/A</v>
      </c>
      <c r="AB39" s="62" t="e">
        <f t="shared" ca="1" si="21"/>
        <v>#N/A</v>
      </c>
    </row>
    <row r="40" spans="1:28" s="35" customFormat="1" x14ac:dyDescent="0.2">
      <c r="A40" s="49">
        <f t="shared" ref="A40:A103" ca="1" si="23">A39+1</f>
        <v>43839</v>
      </c>
      <c r="B40" s="67" t="e">
        <f ca="1">INDEX(RESULTADOS!$A:$BA,MATCH($A40,RESULTADOS!$A:$A,0),MATCH(B$1,RESULTADOS!$1:$1,0))</f>
        <v>#N/A</v>
      </c>
      <c r="C40" s="67" t="e">
        <f ca="1">INDEX(RESULTADOS!$A:$BA,MATCH($A40,RESULTADOS!$A:$A,0),MATCH(C$1,RESULTADOS!$1:$1,0))</f>
        <v>#N/A</v>
      </c>
      <c r="D40" s="56" t="e">
        <f t="shared" ca="1" si="4"/>
        <v>#N/A</v>
      </c>
      <c r="E40" s="62" t="e">
        <f t="shared" ca="1" si="5"/>
        <v>#N/A</v>
      </c>
      <c r="F40" s="57" t="e">
        <f t="shared" ca="1" si="6"/>
        <v>#N/A</v>
      </c>
      <c r="G40" s="62" t="e">
        <f t="shared" ca="1" si="7"/>
        <v>#N/A</v>
      </c>
      <c r="H40" s="67" t="e">
        <f ca="1">INDEX(RESULTADOS!$A:$BA,MATCH($A40,RESULTADOS!$A:$A,0),MATCH(H$1,RESULTADOS!$1:$1,0))</f>
        <v>#N/A</v>
      </c>
      <c r="I40" s="56" t="e">
        <f t="shared" ca="1" si="8"/>
        <v>#N/A</v>
      </c>
      <c r="J40" s="50" t="e">
        <f t="shared" ca="1" si="9"/>
        <v>#N/A</v>
      </c>
      <c r="K40" s="57" t="e">
        <f t="shared" ca="1" si="2"/>
        <v>#N/A</v>
      </c>
      <c r="L40" s="56" t="e">
        <f t="shared" ca="1" si="10"/>
        <v>#N/A</v>
      </c>
      <c r="M40" s="62" t="e">
        <f t="shared" ca="1" si="11"/>
        <v>#N/A</v>
      </c>
      <c r="N40" s="56" t="e">
        <f t="shared" ca="1" si="12"/>
        <v>#N/A</v>
      </c>
      <c r="O40" s="62" t="e">
        <f t="shared" ca="1" si="13"/>
        <v>#N/A</v>
      </c>
      <c r="P40" s="56" t="e">
        <f t="shared" ca="1" si="14"/>
        <v>#N/A</v>
      </c>
      <c r="Q40" s="62" t="e">
        <f t="shared" ca="1" si="15"/>
        <v>#N/A</v>
      </c>
      <c r="R40" s="67" t="e">
        <f ca="1">INDEX(RESULTADOS!$A:$BA,MATCH($A40,RESULTADOS!$A:$A,0),MATCH(R$1,RESULTADOS!$1:$1,0))</f>
        <v>#N/A</v>
      </c>
      <c r="S40" s="64" t="e">
        <f t="shared" ca="1" si="16"/>
        <v>#N/A</v>
      </c>
      <c r="T40" s="67" t="e">
        <f ca="1">INDEX(RESULTADOS!$A:$BA,MATCH($A40,RESULTADOS!$A:$A,0),MATCH(T$1,RESULTADOS!$1:$1,0))</f>
        <v>#N/A</v>
      </c>
      <c r="U40" s="50" t="e">
        <f t="shared" ca="1" si="17"/>
        <v>#N/A</v>
      </c>
      <c r="V40" s="62" t="e">
        <f t="shared" ca="1" si="18"/>
        <v>#N/A</v>
      </c>
      <c r="W40" s="67" t="e">
        <f ca="1">INDEX(RESULTADOS!$A:$BA,MATCH($A40,RESULTADOS!$A:$A,0),MATCH(W$1,RESULTADOS!$1:$1,0))</f>
        <v>#N/A</v>
      </c>
      <c r="X40" s="56" t="e">
        <f t="shared" ca="1" si="19"/>
        <v>#N/A</v>
      </c>
      <c r="Y40" s="62" t="e">
        <f t="shared" ca="1" si="20"/>
        <v>#N/A</v>
      </c>
      <c r="Z40" s="57" t="e">
        <f t="shared" ca="1" si="3"/>
        <v>#N/A</v>
      </c>
      <c r="AA40" s="110" t="e">
        <f t="shared" ca="1" si="22"/>
        <v>#N/A</v>
      </c>
      <c r="AB40" s="62" t="e">
        <f t="shared" ca="1" si="21"/>
        <v>#N/A</v>
      </c>
    </row>
    <row r="41" spans="1:28" s="36" customFormat="1" x14ac:dyDescent="0.2">
      <c r="A41" s="49">
        <f t="shared" ca="1" si="23"/>
        <v>43840</v>
      </c>
      <c r="B41" s="67" t="e">
        <f ca="1">INDEX(RESULTADOS!$A:$BA,MATCH($A41,RESULTADOS!$A:$A,0),MATCH(B$1,RESULTADOS!$1:$1,0))</f>
        <v>#N/A</v>
      </c>
      <c r="C41" s="67" t="e">
        <f ca="1">INDEX(RESULTADOS!$A:$BA,MATCH($A41,RESULTADOS!$A:$A,0),MATCH(C$1,RESULTADOS!$1:$1,0))</f>
        <v>#N/A</v>
      </c>
      <c r="D41" s="56" t="e">
        <f t="shared" ca="1" si="4"/>
        <v>#N/A</v>
      </c>
      <c r="E41" s="62" t="e">
        <f t="shared" ca="1" si="5"/>
        <v>#N/A</v>
      </c>
      <c r="F41" s="57" t="e">
        <f t="shared" ca="1" si="6"/>
        <v>#N/A</v>
      </c>
      <c r="G41" s="62" t="e">
        <f t="shared" ca="1" si="7"/>
        <v>#N/A</v>
      </c>
      <c r="H41" s="67" t="e">
        <f ca="1">INDEX(RESULTADOS!$A:$BA,MATCH($A41,RESULTADOS!$A:$A,0),MATCH(H$1,RESULTADOS!$1:$1,0))</f>
        <v>#N/A</v>
      </c>
      <c r="I41" s="56" t="e">
        <f t="shared" ca="1" si="8"/>
        <v>#N/A</v>
      </c>
      <c r="J41" s="50" t="e">
        <f t="shared" ca="1" si="9"/>
        <v>#N/A</v>
      </c>
      <c r="K41" s="57" t="e">
        <f t="shared" ca="1" si="2"/>
        <v>#N/A</v>
      </c>
      <c r="L41" s="56" t="e">
        <f t="shared" ca="1" si="10"/>
        <v>#N/A</v>
      </c>
      <c r="M41" s="62" t="e">
        <f t="shared" ca="1" si="11"/>
        <v>#N/A</v>
      </c>
      <c r="N41" s="56" t="e">
        <f t="shared" ca="1" si="12"/>
        <v>#N/A</v>
      </c>
      <c r="O41" s="62" t="e">
        <f t="shared" ca="1" si="13"/>
        <v>#N/A</v>
      </c>
      <c r="P41" s="56" t="e">
        <f t="shared" ca="1" si="14"/>
        <v>#N/A</v>
      </c>
      <c r="Q41" s="62" t="e">
        <f t="shared" ca="1" si="15"/>
        <v>#N/A</v>
      </c>
      <c r="R41" s="67" t="e">
        <f ca="1">INDEX(RESULTADOS!$A:$BA,MATCH($A41,RESULTADOS!$A:$A,0),MATCH(R$1,RESULTADOS!$1:$1,0))</f>
        <v>#N/A</v>
      </c>
      <c r="S41" s="64" t="e">
        <f t="shared" ca="1" si="16"/>
        <v>#N/A</v>
      </c>
      <c r="T41" s="67" t="e">
        <f ca="1">INDEX(RESULTADOS!$A:$BA,MATCH($A41,RESULTADOS!$A:$A,0),MATCH(T$1,RESULTADOS!$1:$1,0))</f>
        <v>#N/A</v>
      </c>
      <c r="U41" s="50" t="e">
        <f t="shared" ca="1" si="17"/>
        <v>#N/A</v>
      </c>
      <c r="V41" s="62" t="e">
        <f t="shared" ca="1" si="18"/>
        <v>#N/A</v>
      </c>
      <c r="W41" s="67" t="e">
        <f ca="1">INDEX(RESULTADOS!$A:$BA,MATCH($A41,RESULTADOS!$A:$A,0),MATCH(W$1,RESULTADOS!$1:$1,0))</f>
        <v>#N/A</v>
      </c>
      <c r="X41" s="56" t="e">
        <f t="shared" ca="1" si="19"/>
        <v>#N/A</v>
      </c>
      <c r="Y41" s="62" t="e">
        <f t="shared" ca="1" si="20"/>
        <v>#N/A</v>
      </c>
      <c r="Z41" s="57" t="e">
        <f t="shared" ca="1" si="3"/>
        <v>#N/A</v>
      </c>
      <c r="AA41" s="110" t="e">
        <f t="shared" ca="1" si="22"/>
        <v>#N/A</v>
      </c>
      <c r="AB41" s="62" t="e">
        <f t="shared" ca="1" si="21"/>
        <v>#N/A</v>
      </c>
    </row>
    <row r="42" spans="1:28" s="36" customFormat="1" x14ac:dyDescent="0.2">
      <c r="A42" s="49">
        <f t="shared" ca="1" si="23"/>
        <v>43841</v>
      </c>
      <c r="B42" s="67" t="e">
        <f ca="1">INDEX(RESULTADOS!$A:$BA,MATCH($A42,RESULTADOS!$A:$A,0),MATCH(B$1,RESULTADOS!$1:$1,0))</f>
        <v>#N/A</v>
      </c>
      <c r="C42" s="67" t="e">
        <f ca="1">INDEX(RESULTADOS!$A:$BA,MATCH($A42,RESULTADOS!$A:$A,0),MATCH(C$1,RESULTADOS!$1:$1,0))</f>
        <v>#N/A</v>
      </c>
      <c r="D42" s="56" t="e">
        <f t="shared" ca="1" si="4"/>
        <v>#N/A</v>
      </c>
      <c r="E42" s="62" t="e">
        <f t="shared" ca="1" si="5"/>
        <v>#N/A</v>
      </c>
      <c r="F42" s="57" t="e">
        <f t="shared" ca="1" si="6"/>
        <v>#N/A</v>
      </c>
      <c r="G42" s="62" t="e">
        <f t="shared" ca="1" si="7"/>
        <v>#N/A</v>
      </c>
      <c r="H42" s="67" t="e">
        <f ca="1">INDEX(RESULTADOS!$A:$BA,MATCH($A42,RESULTADOS!$A:$A,0),MATCH(H$1,RESULTADOS!$1:$1,0))</f>
        <v>#N/A</v>
      </c>
      <c r="I42" s="56" t="e">
        <f t="shared" ca="1" si="8"/>
        <v>#N/A</v>
      </c>
      <c r="J42" s="50" t="e">
        <f t="shared" ca="1" si="9"/>
        <v>#N/A</v>
      </c>
      <c r="K42" s="57" t="e">
        <f t="shared" ca="1" si="2"/>
        <v>#N/A</v>
      </c>
      <c r="L42" s="56" t="e">
        <f t="shared" ca="1" si="10"/>
        <v>#N/A</v>
      </c>
      <c r="M42" s="62" t="e">
        <f t="shared" ca="1" si="11"/>
        <v>#N/A</v>
      </c>
      <c r="N42" s="56" t="e">
        <f t="shared" ca="1" si="12"/>
        <v>#N/A</v>
      </c>
      <c r="O42" s="62" t="e">
        <f t="shared" ca="1" si="13"/>
        <v>#N/A</v>
      </c>
      <c r="P42" s="56" t="e">
        <f t="shared" ca="1" si="14"/>
        <v>#N/A</v>
      </c>
      <c r="Q42" s="62" t="e">
        <f t="shared" ca="1" si="15"/>
        <v>#N/A</v>
      </c>
      <c r="R42" s="67" t="e">
        <f ca="1">INDEX(RESULTADOS!$A:$BA,MATCH($A42,RESULTADOS!$A:$A,0),MATCH(R$1,RESULTADOS!$1:$1,0))</f>
        <v>#N/A</v>
      </c>
      <c r="S42" s="64" t="e">
        <f t="shared" ca="1" si="16"/>
        <v>#N/A</v>
      </c>
      <c r="T42" s="67" t="e">
        <f ca="1">INDEX(RESULTADOS!$A:$BA,MATCH($A42,RESULTADOS!$A:$A,0),MATCH(T$1,RESULTADOS!$1:$1,0))</f>
        <v>#N/A</v>
      </c>
      <c r="U42" s="50" t="e">
        <f t="shared" ca="1" si="17"/>
        <v>#N/A</v>
      </c>
      <c r="V42" s="62" t="e">
        <f t="shared" ca="1" si="18"/>
        <v>#N/A</v>
      </c>
      <c r="W42" s="67" t="e">
        <f ca="1">INDEX(RESULTADOS!$A:$BA,MATCH($A42,RESULTADOS!$A:$A,0),MATCH(W$1,RESULTADOS!$1:$1,0))</f>
        <v>#N/A</v>
      </c>
      <c r="X42" s="56" t="e">
        <f t="shared" ca="1" si="19"/>
        <v>#N/A</v>
      </c>
      <c r="Y42" s="62" t="e">
        <f t="shared" ca="1" si="20"/>
        <v>#N/A</v>
      </c>
      <c r="Z42" s="57" t="e">
        <f t="shared" ca="1" si="3"/>
        <v>#N/A</v>
      </c>
      <c r="AA42" s="110" t="e">
        <f t="shared" ca="1" si="22"/>
        <v>#N/A</v>
      </c>
      <c r="AB42" s="62" t="e">
        <f t="shared" ca="1" si="21"/>
        <v>#N/A</v>
      </c>
    </row>
    <row r="43" spans="1:28" s="36" customFormat="1" x14ac:dyDescent="0.2">
      <c r="A43" s="49">
        <f t="shared" ca="1" si="23"/>
        <v>43842</v>
      </c>
      <c r="B43" s="67" t="e">
        <f ca="1">INDEX(RESULTADOS!$A:$BA,MATCH($A43,RESULTADOS!$A:$A,0),MATCH(B$1,RESULTADOS!$1:$1,0))</f>
        <v>#N/A</v>
      </c>
      <c r="C43" s="67" t="e">
        <f ca="1">INDEX(RESULTADOS!$A:$BA,MATCH($A43,RESULTADOS!$A:$A,0),MATCH(C$1,RESULTADOS!$1:$1,0))</f>
        <v>#N/A</v>
      </c>
      <c r="D43" s="56" t="e">
        <f t="shared" ca="1" si="4"/>
        <v>#N/A</v>
      </c>
      <c r="E43" s="62" t="e">
        <f t="shared" ca="1" si="5"/>
        <v>#N/A</v>
      </c>
      <c r="F43" s="57" t="e">
        <f t="shared" ca="1" si="6"/>
        <v>#N/A</v>
      </c>
      <c r="G43" s="62" t="e">
        <f t="shared" ca="1" si="7"/>
        <v>#N/A</v>
      </c>
      <c r="H43" s="67" t="e">
        <f ca="1">INDEX(RESULTADOS!$A:$BA,MATCH($A43,RESULTADOS!$A:$A,0),MATCH(H$1,RESULTADOS!$1:$1,0))</f>
        <v>#N/A</v>
      </c>
      <c r="I43" s="56" t="e">
        <f t="shared" ca="1" si="8"/>
        <v>#N/A</v>
      </c>
      <c r="J43" s="50" t="e">
        <f t="shared" ca="1" si="9"/>
        <v>#N/A</v>
      </c>
      <c r="K43" s="57" t="e">
        <f t="shared" ca="1" si="2"/>
        <v>#N/A</v>
      </c>
      <c r="L43" s="56" t="e">
        <f t="shared" ca="1" si="10"/>
        <v>#N/A</v>
      </c>
      <c r="M43" s="62" t="e">
        <f t="shared" ca="1" si="11"/>
        <v>#N/A</v>
      </c>
      <c r="N43" s="56" t="e">
        <f t="shared" ca="1" si="12"/>
        <v>#N/A</v>
      </c>
      <c r="O43" s="62" t="e">
        <f t="shared" ca="1" si="13"/>
        <v>#N/A</v>
      </c>
      <c r="P43" s="56" t="e">
        <f t="shared" ca="1" si="14"/>
        <v>#N/A</v>
      </c>
      <c r="Q43" s="62" t="e">
        <f t="shared" ca="1" si="15"/>
        <v>#N/A</v>
      </c>
      <c r="R43" s="67" t="e">
        <f ca="1">INDEX(RESULTADOS!$A:$BA,MATCH($A43,RESULTADOS!$A:$A,0),MATCH(R$1,RESULTADOS!$1:$1,0))</f>
        <v>#N/A</v>
      </c>
      <c r="S43" s="64" t="e">
        <f t="shared" ca="1" si="16"/>
        <v>#N/A</v>
      </c>
      <c r="T43" s="67" t="e">
        <f ca="1">INDEX(RESULTADOS!$A:$BA,MATCH($A43,RESULTADOS!$A:$A,0),MATCH(T$1,RESULTADOS!$1:$1,0))</f>
        <v>#N/A</v>
      </c>
      <c r="U43" s="50" t="e">
        <f t="shared" ca="1" si="17"/>
        <v>#N/A</v>
      </c>
      <c r="V43" s="62" t="e">
        <f t="shared" ca="1" si="18"/>
        <v>#N/A</v>
      </c>
      <c r="W43" s="67" t="e">
        <f ca="1">INDEX(RESULTADOS!$A:$BA,MATCH($A43,RESULTADOS!$A:$A,0),MATCH(W$1,RESULTADOS!$1:$1,0))</f>
        <v>#N/A</v>
      </c>
      <c r="X43" s="56" t="e">
        <f t="shared" ca="1" si="19"/>
        <v>#N/A</v>
      </c>
      <c r="Y43" s="62" t="e">
        <f t="shared" ca="1" si="20"/>
        <v>#N/A</v>
      </c>
      <c r="Z43" s="57" t="e">
        <f t="shared" ca="1" si="3"/>
        <v>#N/A</v>
      </c>
      <c r="AA43" s="110" t="e">
        <f t="shared" ca="1" si="22"/>
        <v>#N/A</v>
      </c>
      <c r="AB43" s="62" t="e">
        <f t="shared" ca="1" si="21"/>
        <v>#N/A</v>
      </c>
    </row>
    <row r="44" spans="1:28" s="36" customFormat="1" x14ac:dyDescent="0.2">
      <c r="A44" s="49">
        <f t="shared" ca="1" si="23"/>
        <v>43843</v>
      </c>
      <c r="B44" s="67" t="e">
        <f ca="1">INDEX(RESULTADOS!$A:$BA,MATCH($A44,RESULTADOS!$A:$A,0),MATCH(B$1,RESULTADOS!$1:$1,0))</f>
        <v>#N/A</v>
      </c>
      <c r="C44" s="67" t="e">
        <f ca="1">INDEX(RESULTADOS!$A:$BA,MATCH($A44,RESULTADOS!$A:$A,0),MATCH(C$1,RESULTADOS!$1:$1,0))</f>
        <v>#N/A</v>
      </c>
      <c r="D44" s="56" t="e">
        <f t="shared" ca="1" si="4"/>
        <v>#N/A</v>
      </c>
      <c r="E44" s="62" t="e">
        <f t="shared" ca="1" si="5"/>
        <v>#N/A</v>
      </c>
      <c r="F44" s="57" t="e">
        <f t="shared" ca="1" si="6"/>
        <v>#N/A</v>
      </c>
      <c r="G44" s="62" t="e">
        <f t="shared" ca="1" si="7"/>
        <v>#N/A</v>
      </c>
      <c r="H44" s="67" t="e">
        <f ca="1">INDEX(RESULTADOS!$A:$BA,MATCH($A44,RESULTADOS!$A:$A,0),MATCH(H$1,RESULTADOS!$1:$1,0))</f>
        <v>#N/A</v>
      </c>
      <c r="I44" s="56" t="e">
        <f t="shared" ca="1" si="8"/>
        <v>#N/A</v>
      </c>
      <c r="J44" s="50" t="e">
        <f t="shared" ca="1" si="9"/>
        <v>#N/A</v>
      </c>
      <c r="K44" s="57" t="e">
        <f t="shared" ca="1" si="2"/>
        <v>#N/A</v>
      </c>
      <c r="L44" s="56" t="e">
        <f t="shared" ca="1" si="10"/>
        <v>#N/A</v>
      </c>
      <c r="M44" s="62" t="e">
        <f t="shared" ca="1" si="11"/>
        <v>#N/A</v>
      </c>
      <c r="N44" s="56" t="e">
        <f t="shared" ca="1" si="12"/>
        <v>#N/A</v>
      </c>
      <c r="O44" s="62" t="e">
        <f t="shared" ca="1" si="13"/>
        <v>#N/A</v>
      </c>
      <c r="P44" s="56" t="e">
        <f t="shared" ca="1" si="14"/>
        <v>#N/A</v>
      </c>
      <c r="Q44" s="62" t="e">
        <f t="shared" ca="1" si="15"/>
        <v>#N/A</v>
      </c>
      <c r="R44" s="67" t="e">
        <f ca="1">INDEX(RESULTADOS!$A:$BA,MATCH($A44,RESULTADOS!$A:$A,0),MATCH(R$1,RESULTADOS!$1:$1,0))</f>
        <v>#N/A</v>
      </c>
      <c r="S44" s="64" t="e">
        <f t="shared" ca="1" si="16"/>
        <v>#N/A</v>
      </c>
      <c r="T44" s="67" t="e">
        <f ca="1">INDEX(RESULTADOS!$A:$BA,MATCH($A44,RESULTADOS!$A:$A,0),MATCH(T$1,RESULTADOS!$1:$1,0))</f>
        <v>#N/A</v>
      </c>
      <c r="U44" s="50" t="e">
        <f t="shared" ca="1" si="17"/>
        <v>#N/A</v>
      </c>
      <c r="V44" s="62" t="e">
        <f t="shared" ca="1" si="18"/>
        <v>#N/A</v>
      </c>
      <c r="W44" s="67" t="e">
        <f ca="1">INDEX(RESULTADOS!$A:$BA,MATCH($A44,RESULTADOS!$A:$A,0),MATCH(W$1,RESULTADOS!$1:$1,0))</f>
        <v>#N/A</v>
      </c>
      <c r="X44" s="56" t="e">
        <f t="shared" ca="1" si="19"/>
        <v>#N/A</v>
      </c>
      <c r="Y44" s="62" t="e">
        <f t="shared" ca="1" si="20"/>
        <v>#N/A</v>
      </c>
      <c r="Z44" s="57" t="e">
        <f t="shared" ca="1" si="3"/>
        <v>#N/A</v>
      </c>
      <c r="AA44" s="110" t="e">
        <f t="shared" ca="1" si="22"/>
        <v>#N/A</v>
      </c>
      <c r="AB44" s="62" t="e">
        <f t="shared" ca="1" si="21"/>
        <v>#N/A</v>
      </c>
    </row>
    <row r="45" spans="1:28" s="36" customFormat="1" x14ac:dyDescent="0.2">
      <c r="A45" s="49">
        <f t="shared" ca="1" si="23"/>
        <v>43844</v>
      </c>
      <c r="B45" s="67" t="e">
        <f ca="1">INDEX(RESULTADOS!$A:$BA,MATCH($A45,RESULTADOS!$A:$A,0),MATCH(B$1,RESULTADOS!$1:$1,0))</f>
        <v>#N/A</v>
      </c>
      <c r="C45" s="67" t="e">
        <f ca="1">INDEX(RESULTADOS!$A:$BA,MATCH($A45,RESULTADOS!$A:$A,0),MATCH(C$1,RESULTADOS!$1:$1,0))</f>
        <v>#N/A</v>
      </c>
      <c r="D45" s="56" t="e">
        <f t="shared" ca="1" si="4"/>
        <v>#N/A</v>
      </c>
      <c r="E45" s="62" t="e">
        <f t="shared" ca="1" si="5"/>
        <v>#N/A</v>
      </c>
      <c r="F45" s="57" t="e">
        <f t="shared" ca="1" si="6"/>
        <v>#N/A</v>
      </c>
      <c r="G45" s="62" t="e">
        <f t="shared" ca="1" si="7"/>
        <v>#N/A</v>
      </c>
      <c r="H45" s="67" t="e">
        <f ca="1">INDEX(RESULTADOS!$A:$BA,MATCH($A45,RESULTADOS!$A:$A,0),MATCH(H$1,RESULTADOS!$1:$1,0))</f>
        <v>#N/A</v>
      </c>
      <c r="I45" s="56" t="e">
        <f t="shared" ca="1" si="8"/>
        <v>#N/A</v>
      </c>
      <c r="J45" s="50" t="e">
        <f t="shared" ca="1" si="9"/>
        <v>#N/A</v>
      </c>
      <c r="K45" s="57" t="e">
        <f t="shared" ca="1" si="2"/>
        <v>#N/A</v>
      </c>
      <c r="L45" s="56" t="e">
        <f t="shared" ca="1" si="10"/>
        <v>#N/A</v>
      </c>
      <c r="M45" s="62" t="e">
        <f t="shared" ca="1" si="11"/>
        <v>#N/A</v>
      </c>
      <c r="N45" s="56" t="e">
        <f t="shared" ca="1" si="12"/>
        <v>#N/A</v>
      </c>
      <c r="O45" s="62" t="e">
        <f t="shared" ca="1" si="13"/>
        <v>#N/A</v>
      </c>
      <c r="P45" s="56" t="e">
        <f t="shared" ca="1" si="14"/>
        <v>#N/A</v>
      </c>
      <c r="Q45" s="62" t="e">
        <f t="shared" ca="1" si="15"/>
        <v>#N/A</v>
      </c>
      <c r="R45" s="67" t="e">
        <f ca="1">INDEX(RESULTADOS!$A:$BA,MATCH($A45,RESULTADOS!$A:$A,0),MATCH(R$1,RESULTADOS!$1:$1,0))</f>
        <v>#N/A</v>
      </c>
      <c r="S45" s="64" t="e">
        <f t="shared" ca="1" si="16"/>
        <v>#N/A</v>
      </c>
      <c r="T45" s="67" t="e">
        <f ca="1">INDEX(RESULTADOS!$A:$BA,MATCH($A45,RESULTADOS!$A:$A,0),MATCH(T$1,RESULTADOS!$1:$1,0))</f>
        <v>#N/A</v>
      </c>
      <c r="U45" s="50" t="e">
        <f t="shared" ca="1" si="17"/>
        <v>#N/A</v>
      </c>
      <c r="V45" s="62" t="e">
        <f t="shared" ca="1" si="18"/>
        <v>#N/A</v>
      </c>
      <c r="W45" s="67" t="e">
        <f ca="1">INDEX(RESULTADOS!$A:$BA,MATCH($A45,RESULTADOS!$A:$A,0),MATCH(W$1,RESULTADOS!$1:$1,0))</f>
        <v>#N/A</v>
      </c>
      <c r="X45" s="56" t="e">
        <f t="shared" ca="1" si="19"/>
        <v>#N/A</v>
      </c>
      <c r="Y45" s="62" t="e">
        <f t="shared" ca="1" si="20"/>
        <v>#N/A</v>
      </c>
      <c r="Z45" s="57" t="e">
        <f t="shared" ca="1" si="3"/>
        <v>#N/A</v>
      </c>
      <c r="AA45" s="110" t="e">
        <f t="shared" ca="1" si="22"/>
        <v>#N/A</v>
      </c>
      <c r="AB45" s="62" t="e">
        <f t="shared" ca="1" si="21"/>
        <v>#N/A</v>
      </c>
    </row>
    <row r="46" spans="1:28" s="37" customFormat="1" ht="13.5" thickBot="1" x14ac:dyDescent="0.25">
      <c r="A46" s="49">
        <f t="shared" ca="1" si="23"/>
        <v>43845</v>
      </c>
      <c r="B46" s="67" t="e">
        <f ca="1">INDEX(RESULTADOS!$A:$BA,MATCH($A46,RESULTADOS!$A:$A,0),MATCH(B$1,RESULTADOS!$1:$1,0))</f>
        <v>#N/A</v>
      </c>
      <c r="C46" s="67" t="e">
        <f ca="1">INDEX(RESULTADOS!$A:$BA,MATCH($A46,RESULTADOS!$A:$A,0),MATCH(C$1,RESULTADOS!$1:$1,0))</f>
        <v>#N/A</v>
      </c>
      <c r="D46" s="56" t="e">
        <f t="shared" ca="1" si="4"/>
        <v>#N/A</v>
      </c>
      <c r="E46" s="62" t="e">
        <f t="shared" ca="1" si="5"/>
        <v>#N/A</v>
      </c>
      <c r="F46" s="57" t="e">
        <f t="shared" ca="1" si="6"/>
        <v>#N/A</v>
      </c>
      <c r="G46" s="62" t="e">
        <f t="shared" ca="1" si="7"/>
        <v>#N/A</v>
      </c>
      <c r="H46" s="67" t="e">
        <f ca="1">INDEX(RESULTADOS!$A:$BA,MATCH($A46,RESULTADOS!$A:$A,0),MATCH(H$1,RESULTADOS!$1:$1,0))</f>
        <v>#N/A</v>
      </c>
      <c r="I46" s="56" t="e">
        <f t="shared" ca="1" si="8"/>
        <v>#N/A</v>
      </c>
      <c r="J46" s="50" t="e">
        <f t="shared" ca="1" si="9"/>
        <v>#N/A</v>
      </c>
      <c r="K46" s="57" t="e">
        <f t="shared" ca="1" si="2"/>
        <v>#N/A</v>
      </c>
      <c r="L46" s="56" t="e">
        <f t="shared" ca="1" si="10"/>
        <v>#N/A</v>
      </c>
      <c r="M46" s="62" t="e">
        <f t="shared" ca="1" si="11"/>
        <v>#N/A</v>
      </c>
      <c r="N46" s="56" t="e">
        <f t="shared" ca="1" si="12"/>
        <v>#N/A</v>
      </c>
      <c r="O46" s="62" t="e">
        <f t="shared" ca="1" si="13"/>
        <v>#N/A</v>
      </c>
      <c r="P46" s="56" t="e">
        <f t="shared" ca="1" si="14"/>
        <v>#N/A</v>
      </c>
      <c r="Q46" s="62" t="e">
        <f t="shared" ca="1" si="15"/>
        <v>#N/A</v>
      </c>
      <c r="R46" s="67" t="e">
        <f ca="1">INDEX(RESULTADOS!$A:$BA,MATCH($A46,RESULTADOS!$A:$A,0),MATCH(R$1,RESULTADOS!$1:$1,0))</f>
        <v>#N/A</v>
      </c>
      <c r="S46" s="64" t="e">
        <f t="shared" ca="1" si="16"/>
        <v>#N/A</v>
      </c>
      <c r="T46" s="67" t="e">
        <f ca="1">INDEX(RESULTADOS!$A:$BA,MATCH($A46,RESULTADOS!$A:$A,0),MATCH(T$1,RESULTADOS!$1:$1,0))</f>
        <v>#N/A</v>
      </c>
      <c r="U46" s="50" t="e">
        <f t="shared" ca="1" si="17"/>
        <v>#N/A</v>
      </c>
      <c r="V46" s="62" t="e">
        <f t="shared" ca="1" si="18"/>
        <v>#N/A</v>
      </c>
      <c r="W46" s="67" t="e">
        <f ca="1">INDEX(RESULTADOS!$A:$BA,MATCH($A46,RESULTADOS!$A:$A,0),MATCH(W$1,RESULTADOS!$1:$1,0))</f>
        <v>#N/A</v>
      </c>
      <c r="X46" s="56" t="e">
        <f t="shared" ca="1" si="19"/>
        <v>#N/A</v>
      </c>
      <c r="Y46" s="62" t="e">
        <f t="shared" ca="1" si="20"/>
        <v>#N/A</v>
      </c>
      <c r="Z46" s="57" t="e">
        <f t="shared" ca="1" si="3"/>
        <v>#N/A</v>
      </c>
      <c r="AA46" s="110" t="e">
        <f t="shared" ca="1" si="22"/>
        <v>#N/A</v>
      </c>
      <c r="AB46" s="62" t="e">
        <f t="shared" ca="1" si="21"/>
        <v>#N/A</v>
      </c>
    </row>
    <row r="47" spans="1:28" x14ac:dyDescent="0.2">
      <c r="A47" s="49">
        <f t="shared" ca="1" si="23"/>
        <v>43846</v>
      </c>
      <c r="B47" s="67" t="e">
        <f ca="1">INDEX(RESULTADOS!$A:$BA,MATCH($A47,RESULTADOS!$A:$A,0),MATCH(B$1,RESULTADOS!$1:$1,0))</f>
        <v>#N/A</v>
      </c>
      <c r="C47" s="67" t="e">
        <f ca="1">INDEX(RESULTADOS!$A:$BA,MATCH($A47,RESULTADOS!$A:$A,0),MATCH(C$1,RESULTADOS!$1:$1,0))</f>
        <v>#N/A</v>
      </c>
      <c r="D47" s="56" t="e">
        <f t="shared" ca="1" si="4"/>
        <v>#N/A</v>
      </c>
      <c r="E47" s="62" t="e">
        <f t="shared" ca="1" si="5"/>
        <v>#N/A</v>
      </c>
      <c r="F47" s="57" t="e">
        <f t="shared" ca="1" si="6"/>
        <v>#N/A</v>
      </c>
      <c r="G47" s="62" t="e">
        <f t="shared" ca="1" si="7"/>
        <v>#N/A</v>
      </c>
      <c r="H47" s="67" t="e">
        <f ca="1">INDEX(RESULTADOS!$A:$BA,MATCH($A47,RESULTADOS!$A:$A,0),MATCH(H$1,RESULTADOS!$1:$1,0))</f>
        <v>#N/A</v>
      </c>
      <c r="I47" s="56" t="e">
        <f t="shared" ca="1" si="8"/>
        <v>#N/A</v>
      </c>
      <c r="J47" s="50" t="e">
        <f t="shared" ca="1" si="9"/>
        <v>#N/A</v>
      </c>
      <c r="K47" s="57" t="e">
        <f t="shared" ca="1" si="2"/>
        <v>#N/A</v>
      </c>
      <c r="L47" s="56" t="e">
        <f t="shared" ca="1" si="10"/>
        <v>#N/A</v>
      </c>
      <c r="M47" s="62" t="e">
        <f t="shared" ca="1" si="11"/>
        <v>#N/A</v>
      </c>
      <c r="N47" s="56" t="e">
        <f t="shared" ca="1" si="12"/>
        <v>#N/A</v>
      </c>
      <c r="O47" s="62" t="e">
        <f t="shared" ca="1" si="13"/>
        <v>#N/A</v>
      </c>
      <c r="P47" s="56" t="e">
        <f t="shared" ca="1" si="14"/>
        <v>#N/A</v>
      </c>
      <c r="Q47" s="62" t="e">
        <f t="shared" ca="1" si="15"/>
        <v>#N/A</v>
      </c>
      <c r="R47" s="67" t="e">
        <f ca="1">INDEX(RESULTADOS!$A:$BA,MATCH($A47,RESULTADOS!$A:$A,0),MATCH(R$1,RESULTADOS!$1:$1,0))</f>
        <v>#N/A</v>
      </c>
      <c r="S47" s="64" t="e">
        <f t="shared" ca="1" si="16"/>
        <v>#N/A</v>
      </c>
      <c r="T47" s="67" t="e">
        <f ca="1">INDEX(RESULTADOS!$A:$BA,MATCH($A47,RESULTADOS!$A:$A,0),MATCH(T$1,RESULTADOS!$1:$1,0))</f>
        <v>#N/A</v>
      </c>
      <c r="U47" s="50" t="e">
        <f t="shared" ca="1" si="17"/>
        <v>#N/A</v>
      </c>
      <c r="V47" s="62" t="e">
        <f t="shared" ca="1" si="18"/>
        <v>#N/A</v>
      </c>
      <c r="W47" s="67" t="e">
        <f ca="1">INDEX(RESULTADOS!$A:$BA,MATCH($A47,RESULTADOS!$A:$A,0),MATCH(W$1,RESULTADOS!$1:$1,0))</f>
        <v>#N/A</v>
      </c>
      <c r="X47" s="56" t="e">
        <f t="shared" ca="1" si="19"/>
        <v>#N/A</v>
      </c>
      <c r="Y47" s="62" t="e">
        <f t="shared" ca="1" si="20"/>
        <v>#N/A</v>
      </c>
      <c r="Z47" s="57" t="e">
        <f t="shared" ca="1" si="3"/>
        <v>#N/A</v>
      </c>
      <c r="AA47" s="110" t="e">
        <f t="shared" ca="1" si="22"/>
        <v>#N/A</v>
      </c>
      <c r="AB47" s="62" t="e">
        <f t="shared" ca="1" si="21"/>
        <v>#N/A</v>
      </c>
    </row>
    <row r="48" spans="1:28" x14ac:dyDescent="0.2">
      <c r="A48" s="49">
        <f t="shared" ca="1" si="23"/>
        <v>43847</v>
      </c>
      <c r="B48" s="67" t="e">
        <f ca="1">INDEX(RESULTADOS!$A:$BA,MATCH($A48,RESULTADOS!$A:$A,0),MATCH(B$1,RESULTADOS!$1:$1,0))</f>
        <v>#N/A</v>
      </c>
      <c r="C48" s="67" t="e">
        <f ca="1">INDEX(RESULTADOS!$A:$BA,MATCH($A48,RESULTADOS!$A:$A,0),MATCH(C$1,RESULTADOS!$1:$1,0))</f>
        <v>#N/A</v>
      </c>
      <c r="D48" s="56" t="e">
        <f t="shared" ca="1" si="4"/>
        <v>#N/A</v>
      </c>
      <c r="E48" s="62" t="e">
        <f t="shared" ca="1" si="5"/>
        <v>#N/A</v>
      </c>
      <c r="F48" s="57" t="e">
        <f t="shared" ca="1" si="6"/>
        <v>#N/A</v>
      </c>
      <c r="G48" s="62" t="e">
        <f t="shared" ca="1" si="7"/>
        <v>#N/A</v>
      </c>
      <c r="H48" s="67" t="e">
        <f ca="1">INDEX(RESULTADOS!$A:$BA,MATCH($A48,RESULTADOS!$A:$A,0),MATCH(H$1,RESULTADOS!$1:$1,0))</f>
        <v>#N/A</v>
      </c>
      <c r="I48" s="56" t="e">
        <f t="shared" ca="1" si="8"/>
        <v>#N/A</v>
      </c>
      <c r="J48" s="50" t="e">
        <f t="shared" ca="1" si="9"/>
        <v>#N/A</v>
      </c>
      <c r="K48" s="57" t="e">
        <f t="shared" ca="1" si="2"/>
        <v>#N/A</v>
      </c>
      <c r="L48" s="56" t="e">
        <f t="shared" ca="1" si="10"/>
        <v>#N/A</v>
      </c>
      <c r="M48" s="62" t="e">
        <f t="shared" ca="1" si="11"/>
        <v>#N/A</v>
      </c>
      <c r="N48" s="56" t="e">
        <f t="shared" ca="1" si="12"/>
        <v>#N/A</v>
      </c>
      <c r="O48" s="62" t="e">
        <f t="shared" ca="1" si="13"/>
        <v>#N/A</v>
      </c>
      <c r="P48" s="56" t="e">
        <f t="shared" ca="1" si="14"/>
        <v>#N/A</v>
      </c>
      <c r="Q48" s="62" t="e">
        <f t="shared" ca="1" si="15"/>
        <v>#N/A</v>
      </c>
      <c r="R48" s="67" t="e">
        <f ca="1">INDEX(RESULTADOS!$A:$BA,MATCH($A48,RESULTADOS!$A:$A,0),MATCH(R$1,RESULTADOS!$1:$1,0))</f>
        <v>#N/A</v>
      </c>
      <c r="S48" s="64" t="e">
        <f t="shared" ca="1" si="16"/>
        <v>#N/A</v>
      </c>
      <c r="T48" s="67" t="e">
        <f ca="1">INDEX(RESULTADOS!$A:$BA,MATCH($A48,RESULTADOS!$A:$A,0),MATCH(T$1,RESULTADOS!$1:$1,0))</f>
        <v>#N/A</v>
      </c>
      <c r="U48" s="50" t="e">
        <f t="shared" ca="1" si="17"/>
        <v>#N/A</v>
      </c>
      <c r="V48" s="62" t="e">
        <f t="shared" ca="1" si="18"/>
        <v>#N/A</v>
      </c>
      <c r="W48" s="67" t="e">
        <f ca="1">INDEX(RESULTADOS!$A:$BA,MATCH($A48,RESULTADOS!$A:$A,0),MATCH(W$1,RESULTADOS!$1:$1,0))</f>
        <v>#N/A</v>
      </c>
      <c r="X48" s="56" t="e">
        <f t="shared" ca="1" si="19"/>
        <v>#N/A</v>
      </c>
      <c r="Y48" s="62" t="e">
        <f t="shared" ca="1" si="20"/>
        <v>#N/A</v>
      </c>
      <c r="Z48" s="57" t="e">
        <f t="shared" ca="1" si="3"/>
        <v>#N/A</v>
      </c>
      <c r="AA48" s="110" t="e">
        <f t="shared" ca="1" si="22"/>
        <v>#N/A</v>
      </c>
      <c r="AB48" s="62" t="e">
        <f t="shared" ca="1" si="21"/>
        <v>#N/A</v>
      </c>
    </row>
    <row r="49" spans="1:28" x14ac:dyDescent="0.2">
      <c r="A49" s="49">
        <f t="shared" ca="1" si="23"/>
        <v>43848</v>
      </c>
      <c r="B49" s="67" t="e">
        <f ca="1">INDEX(RESULTADOS!$A:$BA,MATCH($A49,RESULTADOS!$A:$A,0),MATCH(B$1,RESULTADOS!$1:$1,0))</f>
        <v>#N/A</v>
      </c>
      <c r="C49" s="67" t="e">
        <f ca="1">INDEX(RESULTADOS!$A:$BA,MATCH($A49,RESULTADOS!$A:$A,0),MATCH(C$1,RESULTADOS!$1:$1,0))</f>
        <v>#N/A</v>
      </c>
      <c r="D49" s="56" t="e">
        <f t="shared" ca="1" si="4"/>
        <v>#N/A</v>
      </c>
      <c r="E49" s="62" t="e">
        <f t="shared" ca="1" si="5"/>
        <v>#N/A</v>
      </c>
      <c r="F49" s="57" t="e">
        <f t="shared" ca="1" si="6"/>
        <v>#N/A</v>
      </c>
      <c r="G49" s="62" t="e">
        <f t="shared" ca="1" si="7"/>
        <v>#N/A</v>
      </c>
      <c r="H49" s="67" t="e">
        <f ca="1">INDEX(RESULTADOS!$A:$BA,MATCH($A49,RESULTADOS!$A:$A,0),MATCH(H$1,RESULTADOS!$1:$1,0))</f>
        <v>#N/A</v>
      </c>
      <c r="I49" s="56" t="e">
        <f t="shared" ca="1" si="8"/>
        <v>#N/A</v>
      </c>
      <c r="J49" s="50" t="e">
        <f t="shared" ca="1" si="9"/>
        <v>#N/A</v>
      </c>
      <c r="K49" s="57" t="e">
        <f t="shared" ca="1" si="2"/>
        <v>#N/A</v>
      </c>
      <c r="L49" s="56" t="e">
        <f t="shared" ca="1" si="10"/>
        <v>#N/A</v>
      </c>
      <c r="M49" s="62" t="e">
        <f t="shared" ca="1" si="11"/>
        <v>#N/A</v>
      </c>
      <c r="N49" s="56" t="e">
        <f t="shared" ca="1" si="12"/>
        <v>#N/A</v>
      </c>
      <c r="O49" s="62" t="e">
        <f t="shared" ca="1" si="13"/>
        <v>#N/A</v>
      </c>
      <c r="P49" s="56" t="e">
        <f t="shared" ca="1" si="14"/>
        <v>#N/A</v>
      </c>
      <c r="Q49" s="62" t="e">
        <f t="shared" ca="1" si="15"/>
        <v>#N/A</v>
      </c>
      <c r="R49" s="67" t="e">
        <f ca="1">INDEX(RESULTADOS!$A:$BA,MATCH($A49,RESULTADOS!$A:$A,0),MATCH(R$1,RESULTADOS!$1:$1,0))</f>
        <v>#N/A</v>
      </c>
      <c r="S49" s="64" t="e">
        <f t="shared" ca="1" si="16"/>
        <v>#N/A</v>
      </c>
      <c r="T49" s="67" t="e">
        <f ca="1">INDEX(RESULTADOS!$A:$BA,MATCH($A49,RESULTADOS!$A:$A,0),MATCH(T$1,RESULTADOS!$1:$1,0))</f>
        <v>#N/A</v>
      </c>
      <c r="U49" s="50" t="e">
        <f t="shared" ca="1" si="17"/>
        <v>#N/A</v>
      </c>
      <c r="V49" s="62" t="e">
        <f t="shared" ca="1" si="18"/>
        <v>#N/A</v>
      </c>
      <c r="W49" s="67" t="e">
        <f ca="1">INDEX(RESULTADOS!$A:$BA,MATCH($A49,RESULTADOS!$A:$A,0),MATCH(W$1,RESULTADOS!$1:$1,0))</f>
        <v>#N/A</v>
      </c>
      <c r="X49" s="56" t="e">
        <f t="shared" ca="1" si="19"/>
        <v>#N/A</v>
      </c>
      <c r="Y49" s="62" t="e">
        <f t="shared" ca="1" si="20"/>
        <v>#N/A</v>
      </c>
      <c r="Z49" s="57" t="e">
        <f t="shared" ca="1" si="3"/>
        <v>#N/A</v>
      </c>
      <c r="AA49" s="110" t="e">
        <f t="shared" ca="1" si="22"/>
        <v>#N/A</v>
      </c>
      <c r="AB49" s="62" t="e">
        <f t="shared" ca="1" si="21"/>
        <v>#N/A</v>
      </c>
    </row>
    <row r="50" spans="1:28" x14ac:dyDescent="0.2">
      <c r="A50" s="49">
        <f t="shared" ca="1" si="23"/>
        <v>43849</v>
      </c>
      <c r="B50" s="67" t="e">
        <f ca="1">INDEX(RESULTADOS!$A:$BA,MATCH($A50,RESULTADOS!$A:$A,0),MATCH(B$1,RESULTADOS!$1:$1,0))</f>
        <v>#N/A</v>
      </c>
      <c r="C50" s="67" t="e">
        <f ca="1">INDEX(RESULTADOS!$A:$BA,MATCH($A50,RESULTADOS!$A:$A,0),MATCH(C$1,RESULTADOS!$1:$1,0))</f>
        <v>#N/A</v>
      </c>
      <c r="D50" s="56" t="e">
        <f t="shared" ca="1" si="4"/>
        <v>#N/A</v>
      </c>
      <c r="E50" s="62" t="e">
        <f t="shared" ca="1" si="5"/>
        <v>#N/A</v>
      </c>
      <c r="F50" s="57" t="e">
        <f t="shared" ca="1" si="6"/>
        <v>#N/A</v>
      </c>
      <c r="G50" s="62" t="e">
        <f t="shared" ca="1" si="7"/>
        <v>#N/A</v>
      </c>
      <c r="H50" s="67" t="e">
        <f ca="1">INDEX(RESULTADOS!$A:$BA,MATCH($A50,RESULTADOS!$A:$A,0),MATCH(H$1,RESULTADOS!$1:$1,0))</f>
        <v>#N/A</v>
      </c>
      <c r="I50" s="56" t="e">
        <f t="shared" ca="1" si="8"/>
        <v>#N/A</v>
      </c>
      <c r="J50" s="50" t="e">
        <f t="shared" ca="1" si="9"/>
        <v>#N/A</v>
      </c>
      <c r="K50" s="57" t="e">
        <f t="shared" ca="1" si="2"/>
        <v>#N/A</v>
      </c>
      <c r="L50" s="56" t="e">
        <f t="shared" ca="1" si="10"/>
        <v>#N/A</v>
      </c>
      <c r="M50" s="62" t="e">
        <f t="shared" ca="1" si="11"/>
        <v>#N/A</v>
      </c>
      <c r="N50" s="56" t="e">
        <f t="shared" ca="1" si="12"/>
        <v>#N/A</v>
      </c>
      <c r="O50" s="62" t="e">
        <f t="shared" ca="1" si="13"/>
        <v>#N/A</v>
      </c>
      <c r="P50" s="56" t="e">
        <f t="shared" ca="1" si="14"/>
        <v>#N/A</v>
      </c>
      <c r="Q50" s="62" t="e">
        <f t="shared" ca="1" si="15"/>
        <v>#N/A</v>
      </c>
      <c r="R50" s="67" t="e">
        <f ca="1">INDEX(RESULTADOS!$A:$BA,MATCH($A50,RESULTADOS!$A:$A,0),MATCH(R$1,RESULTADOS!$1:$1,0))</f>
        <v>#N/A</v>
      </c>
      <c r="S50" s="64" t="e">
        <f t="shared" ca="1" si="16"/>
        <v>#N/A</v>
      </c>
      <c r="T50" s="67" t="e">
        <f ca="1">INDEX(RESULTADOS!$A:$BA,MATCH($A50,RESULTADOS!$A:$A,0),MATCH(T$1,RESULTADOS!$1:$1,0))</f>
        <v>#N/A</v>
      </c>
      <c r="U50" s="50" t="e">
        <f t="shared" ca="1" si="17"/>
        <v>#N/A</v>
      </c>
      <c r="V50" s="62" t="e">
        <f t="shared" ca="1" si="18"/>
        <v>#N/A</v>
      </c>
      <c r="W50" s="67" t="e">
        <f ca="1">INDEX(RESULTADOS!$A:$BA,MATCH($A50,RESULTADOS!$A:$A,0),MATCH(W$1,RESULTADOS!$1:$1,0))</f>
        <v>#N/A</v>
      </c>
      <c r="X50" s="56" t="e">
        <f t="shared" ca="1" si="19"/>
        <v>#N/A</v>
      </c>
      <c r="Y50" s="62" t="e">
        <f t="shared" ca="1" si="20"/>
        <v>#N/A</v>
      </c>
      <c r="Z50" s="57" t="e">
        <f t="shared" ca="1" si="3"/>
        <v>#N/A</v>
      </c>
      <c r="AA50" s="110" t="e">
        <f t="shared" ca="1" si="22"/>
        <v>#N/A</v>
      </c>
      <c r="AB50" s="62" t="e">
        <f t="shared" ca="1" si="21"/>
        <v>#N/A</v>
      </c>
    </row>
    <row r="51" spans="1:28" s="70" customFormat="1" x14ac:dyDescent="0.2">
      <c r="A51" s="49">
        <f t="shared" ca="1" si="23"/>
        <v>43850</v>
      </c>
      <c r="B51" s="73" t="e">
        <f ca="1">INDEX(RESULTADOS!$A:$BA,MATCH($A51,RESULTADOS!$A:$A,0),MATCH(B$1,RESULTADOS!$1:$1,0))</f>
        <v>#N/A</v>
      </c>
      <c r="C51" s="73" t="e">
        <f ca="1">INDEX(RESULTADOS!$A:$BA,MATCH($A51,RESULTADOS!$A:$A,0),MATCH(C$1,RESULTADOS!$1:$1,0))</f>
        <v>#N/A</v>
      </c>
      <c r="D51" s="77" t="e">
        <f t="shared" ca="1" si="4"/>
        <v>#N/A</v>
      </c>
      <c r="E51" s="73" t="e">
        <f t="shared" ca="1" si="5"/>
        <v>#N/A</v>
      </c>
      <c r="F51" s="77" t="e">
        <f t="shared" ca="1" si="6"/>
        <v>#N/A</v>
      </c>
      <c r="G51" s="73" t="e">
        <f t="shared" ca="1" si="7"/>
        <v>#N/A</v>
      </c>
      <c r="H51" s="73" t="e">
        <f ca="1">INDEX(RESULTADOS!$A:$BA,MATCH($A51,RESULTADOS!$A:$A,0),MATCH(H$1,RESULTADOS!$1:$1,0))</f>
        <v>#N/A</v>
      </c>
      <c r="I51" s="78" t="e">
        <f t="shared" ca="1" si="8"/>
        <v>#N/A</v>
      </c>
      <c r="J51" s="73" t="e">
        <f t="shared" ca="1" si="9"/>
        <v>#N/A</v>
      </c>
      <c r="K51" s="78" t="e">
        <f t="shared" ca="1" si="2"/>
        <v>#N/A</v>
      </c>
      <c r="L51" s="77" t="e">
        <f t="shared" ca="1" si="10"/>
        <v>#N/A</v>
      </c>
      <c r="M51" s="73" t="e">
        <f t="shared" ca="1" si="11"/>
        <v>#N/A</v>
      </c>
      <c r="N51" s="78" t="e">
        <f t="shared" ca="1" si="12"/>
        <v>#N/A</v>
      </c>
      <c r="O51" s="73" t="e">
        <f t="shared" ca="1" si="13"/>
        <v>#N/A</v>
      </c>
      <c r="P51" s="78" t="e">
        <f t="shared" ca="1" si="14"/>
        <v>#N/A</v>
      </c>
      <c r="Q51" s="73" t="e">
        <f t="shared" ca="1" si="15"/>
        <v>#N/A</v>
      </c>
      <c r="R51" s="73" t="e">
        <f ca="1">INDEX(RESULTADOS!$A:$BA,MATCH($A51,RESULTADOS!$A:$A,0),MATCH(R$1,RESULTADOS!$1:$1,0))</f>
        <v>#N/A</v>
      </c>
      <c r="S51" s="77" t="e">
        <f t="shared" ca="1" si="16"/>
        <v>#N/A</v>
      </c>
      <c r="T51" s="73" t="e">
        <f ca="1">INDEX(RESULTADOS!$A:$BA,MATCH($A51,RESULTADOS!$A:$A,0),MATCH(T$1,RESULTADOS!$1:$1,0))</f>
        <v>#N/A</v>
      </c>
      <c r="U51" s="73" t="e">
        <f t="shared" ca="1" si="17"/>
        <v>#N/A</v>
      </c>
      <c r="V51" s="73" t="e">
        <f t="shared" ca="1" si="18"/>
        <v>#N/A</v>
      </c>
      <c r="W51" s="73" t="e">
        <f ca="1">INDEX(RESULTADOS!$A:$BA,MATCH($A51,RESULTADOS!$A:$A,0),MATCH(W$1,RESULTADOS!$1:$1,0))</f>
        <v>#N/A</v>
      </c>
      <c r="X51" s="78" t="e">
        <f t="shared" ca="1" si="19"/>
        <v>#N/A</v>
      </c>
      <c r="Y51" s="73" t="e">
        <f t="shared" ca="1" si="20"/>
        <v>#N/A</v>
      </c>
      <c r="Z51" s="78" t="e">
        <f t="shared" ca="1" si="3"/>
        <v>#N/A</v>
      </c>
      <c r="AA51" s="110" t="e">
        <f t="shared" ca="1" si="22"/>
        <v>#N/A</v>
      </c>
      <c r="AB51" s="73" t="e">
        <f t="shared" ca="1" si="21"/>
        <v>#N/A</v>
      </c>
    </row>
    <row r="52" spans="1:28" x14ac:dyDescent="0.2">
      <c r="A52" s="49">
        <f t="shared" ca="1" si="23"/>
        <v>43851</v>
      </c>
      <c r="B52" s="67" t="e">
        <f ca="1">INDEX(RESULTADOS!$A:$BA,MATCH($A52,RESULTADOS!$A:$A,0),MATCH(B$1,RESULTADOS!$1:$1,0))</f>
        <v>#N/A</v>
      </c>
      <c r="C52" s="67" t="e">
        <f ca="1">INDEX(RESULTADOS!$A:$BA,MATCH($A52,RESULTADOS!$A:$A,0),MATCH(C$1,RESULTADOS!$1:$1,0))</f>
        <v>#N/A</v>
      </c>
      <c r="D52" s="56" t="e">
        <f t="shared" ca="1" si="4"/>
        <v>#N/A</v>
      </c>
      <c r="E52" s="62" t="e">
        <f t="shared" ca="1" si="5"/>
        <v>#N/A</v>
      </c>
      <c r="F52" s="57" t="e">
        <f t="shared" ca="1" si="6"/>
        <v>#N/A</v>
      </c>
      <c r="G52" s="62" t="e">
        <f t="shared" ca="1" si="7"/>
        <v>#N/A</v>
      </c>
      <c r="H52" s="67" t="e">
        <f ca="1">INDEX(RESULTADOS!$A:$BA,MATCH($A52,RESULTADOS!$A:$A,0),MATCH(H$1,RESULTADOS!$1:$1,0))</f>
        <v>#N/A</v>
      </c>
      <c r="I52" s="79" t="e">
        <f t="shared" ca="1" si="8"/>
        <v>#N/A</v>
      </c>
      <c r="J52" s="50" t="e">
        <f t="shared" ca="1" si="9"/>
        <v>#N/A</v>
      </c>
      <c r="K52" s="80" t="e">
        <f t="shared" ca="1" si="2"/>
        <v>#N/A</v>
      </c>
      <c r="L52" s="56" t="e">
        <f t="shared" ca="1" si="10"/>
        <v>#N/A</v>
      </c>
      <c r="M52" s="62" t="e">
        <f t="shared" ca="1" si="11"/>
        <v>#N/A</v>
      </c>
      <c r="N52" s="79" t="e">
        <f t="shared" ca="1" si="12"/>
        <v>#N/A</v>
      </c>
      <c r="O52" s="62" t="e">
        <f t="shared" ca="1" si="13"/>
        <v>#N/A</v>
      </c>
      <c r="P52" s="79" t="e">
        <f t="shared" ca="1" si="14"/>
        <v>#N/A</v>
      </c>
      <c r="Q52" s="62" t="e">
        <f t="shared" ca="1" si="15"/>
        <v>#N/A</v>
      </c>
      <c r="R52" s="67" t="e">
        <f ca="1">INDEX(RESULTADOS!$A:$BA,MATCH($A52,RESULTADOS!$A:$A,0),MATCH(R$1,RESULTADOS!$1:$1,0))</f>
        <v>#N/A</v>
      </c>
      <c r="S52" s="64" t="e">
        <f t="shared" ca="1" si="16"/>
        <v>#N/A</v>
      </c>
      <c r="T52" s="67" t="e">
        <f ca="1">INDEX(RESULTADOS!$A:$BA,MATCH($A52,RESULTADOS!$A:$A,0),MATCH(T$1,RESULTADOS!$1:$1,0))</f>
        <v>#N/A</v>
      </c>
      <c r="U52" s="50" t="e">
        <f t="shared" ca="1" si="17"/>
        <v>#N/A</v>
      </c>
      <c r="V52" s="62" t="e">
        <f t="shared" ca="1" si="18"/>
        <v>#N/A</v>
      </c>
      <c r="W52" s="67" t="e">
        <f ca="1">INDEX(RESULTADOS!$A:$BA,MATCH($A52,RESULTADOS!$A:$A,0),MATCH(W$1,RESULTADOS!$1:$1,0))</f>
        <v>#N/A</v>
      </c>
      <c r="X52" s="79" t="e">
        <f t="shared" ca="1" si="19"/>
        <v>#N/A</v>
      </c>
      <c r="Y52" s="62" t="e">
        <f t="shared" ca="1" si="20"/>
        <v>#N/A</v>
      </c>
      <c r="Z52" s="80" t="e">
        <f t="shared" ca="1" si="3"/>
        <v>#N/A</v>
      </c>
      <c r="AA52" s="110" t="e">
        <f t="shared" ca="1" si="22"/>
        <v>#N/A</v>
      </c>
      <c r="AB52" s="62" t="e">
        <f t="shared" ca="1" si="21"/>
        <v>#N/A</v>
      </c>
    </row>
    <row r="53" spans="1:28" x14ac:dyDescent="0.2">
      <c r="A53" s="49">
        <f t="shared" ca="1" si="23"/>
        <v>43852</v>
      </c>
      <c r="B53" s="67" t="e">
        <f ca="1">INDEX(RESULTADOS!$A:$BA,MATCH($A53,RESULTADOS!$A:$A,0),MATCH(B$1,RESULTADOS!$1:$1,0))</f>
        <v>#N/A</v>
      </c>
      <c r="C53" s="67" t="e">
        <f ca="1">INDEX(RESULTADOS!$A:$BA,MATCH($A53,RESULTADOS!$A:$A,0),MATCH(C$1,RESULTADOS!$1:$1,0))</f>
        <v>#N/A</v>
      </c>
      <c r="D53" s="56" t="e">
        <f t="shared" ca="1" si="4"/>
        <v>#N/A</v>
      </c>
      <c r="E53" s="62" t="e">
        <f t="shared" ca="1" si="5"/>
        <v>#N/A</v>
      </c>
      <c r="F53" s="57" t="e">
        <f t="shared" ca="1" si="6"/>
        <v>#N/A</v>
      </c>
      <c r="G53" s="62" t="e">
        <f t="shared" ca="1" si="7"/>
        <v>#N/A</v>
      </c>
      <c r="H53" s="67" t="e">
        <f ca="1">INDEX(RESULTADOS!$A:$BA,MATCH($A53,RESULTADOS!$A:$A,0),MATCH(H$1,RESULTADOS!$1:$1,0))</f>
        <v>#N/A</v>
      </c>
      <c r="I53" s="79" t="e">
        <f t="shared" ca="1" si="8"/>
        <v>#N/A</v>
      </c>
      <c r="J53" s="50" t="e">
        <f t="shared" ca="1" si="9"/>
        <v>#N/A</v>
      </c>
      <c r="K53" s="80" t="e">
        <f t="shared" ca="1" si="2"/>
        <v>#N/A</v>
      </c>
      <c r="L53" s="56" t="e">
        <f t="shared" ca="1" si="10"/>
        <v>#N/A</v>
      </c>
      <c r="M53" s="62" t="e">
        <f t="shared" ca="1" si="11"/>
        <v>#N/A</v>
      </c>
      <c r="N53" s="79" t="e">
        <f t="shared" ca="1" si="12"/>
        <v>#N/A</v>
      </c>
      <c r="O53" s="62" t="e">
        <f t="shared" ca="1" si="13"/>
        <v>#N/A</v>
      </c>
      <c r="P53" s="79" t="e">
        <f t="shared" ca="1" si="14"/>
        <v>#N/A</v>
      </c>
      <c r="Q53" s="62" t="e">
        <f t="shared" ca="1" si="15"/>
        <v>#N/A</v>
      </c>
      <c r="R53" s="67" t="e">
        <f ca="1">INDEX(RESULTADOS!$A:$BA,MATCH($A53,RESULTADOS!$A:$A,0),MATCH(R$1,RESULTADOS!$1:$1,0))</f>
        <v>#N/A</v>
      </c>
      <c r="S53" s="64" t="e">
        <f t="shared" ca="1" si="16"/>
        <v>#N/A</v>
      </c>
      <c r="T53" s="67" t="e">
        <f ca="1">INDEX(RESULTADOS!$A:$BA,MATCH($A53,RESULTADOS!$A:$A,0),MATCH(T$1,RESULTADOS!$1:$1,0))</f>
        <v>#N/A</v>
      </c>
      <c r="U53" s="50" t="e">
        <f t="shared" ca="1" si="17"/>
        <v>#N/A</v>
      </c>
      <c r="V53" s="62" t="e">
        <f t="shared" ca="1" si="18"/>
        <v>#N/A</v>
      </c>
      <c r="W53" s="67" t="e">
        <f ca="1">INDEX(RESULTADOS!$A:$BA,MATCH($A53,RESULTADOS!$A:$A,0),MATCH(W$1,RESULTADOS!$1:$1,0))</f>
        <v>#N/A</v>
      </c>
      <c r="X53" s="79" t="e">
        <f t="shared" ca="1" si="19"/>
        <v>#N/A</v>
      </c>
      <c r="Y53" s="62" t="e">
        <f t="shared" ca="1" si="20"/>
        <v>#N/A</v>
      </c>
      <c r="Z53" s="80" t="e">
        <f t="shared" ca="1" si="3"/>
        <v>#N/A</v>
      </c>
      <c r="AA53" s="110" t="e">
        <f t="shared" ca="1" si="22"/>
        <v>#N/A</v>
      </c>
      <c r="AB53" s="62" t="e">
        <f t="shared" ca="1" si="21"/>
        <v>#N/A</v>
      </c>
    </row>
    <row r="54" spans="1:28" s="70" customFormat="1" x14ac:dyDescent="0.2">
      <c r="A54" s="49">
        <f t="shared" ca="1" si="23"/>
        <v>43853</v>
      </c>
      <c r="B54" s="73" t="e">
        <f ca="1">INDEX(RESULTADOS!$A:$BA,MATCH($A54,RESULTADOS!$A:$A,0),MATCH(B$1,RESULTADOS!$1:$1,0))</f>
        <v>#N/A</v>
      </c>
      <c r="C54" s="73" t="e">
        <f ca="1">INDEX(RESULTADOS!$A:$BA,MATCH($A54,RESULTADOS!$A:$A,0),MATCH(C$1,RESULTADOS!$1:$1,0))</f>
        <v>#N/A</v>
      </c>
      <c r="D54" s="77" t="e">
        <f t="shared" ca="1" si="4"/>
        <v>#N/A</v>
      </c>
      <c r="E54" s="73" t="e">
        <f t="shared" ca="1" si="5"/>
        <v>#N/A</v>
      </c>
      <c r="F54" s="77" t="e">
        <f t="shared" ca="1" si="6"/>
        <v>#N/A</v>
      </c>
      <c r="G54" s="73" t="e">
        <f t="shared" ca="1" si="7"/>
        <v>#N/A</v>
      </c>
      <c r="H54" s="73" t="e">
        <f ca="1">INDEX(RESULTADOS!$A:$BA,MATCH($A54,RESULTADOS!$A:$A,0),MATCH(H$1,RESULTADOS!$1:$1,0))</f>
        <v>#N/A</v>
      </c>
      <c r="I54" s="78" t="e">
        <f t="shared" ca="1" si="8"/>
        <v>#N/A</v>
      </c>
      <c r="J54" s="73" t="e">
        <f t="shared" ca="1" si="9"/>
        <v>#N/A</v>
      </c>
      <c r="K54" s="78" t="e">
        <f t="shared" ca="1" si="2"/>
        <v>#N/A</v>
      </c>
      <c r="L54" s="77" t="e">
        <f t="shared" ca="1" si="10"/>
        <v>#N/A</v>
      </c>
      <c r="M54" s="73" t="e">
        <f t="shared" ca="1" si="11"/>
        <v>#N/A</v>
      </c>
      <c r="N54" s="78" t="e">
        <f t="shared" ca="1" si="12"/>
        <v>#N/A</v>
      </c>
      <c r="O54" s="73" t="e">
        <f t="shared" ca="1" si="13"/>
        <v>#N/A</v>
      </c>
      <c r="P54" s="78" t="e">
        <f t="shared" ca="1" si="14"/>
        <v>#N/A</v>
      </c>
      <c r="Q54" s="73" t="e">
        <f t="shared" ca="1" si="15"/>
        <v>#N/A</v>
      </c>
      <c r="R54" s="73" t="e">
        <f ca="1">INDEX(RESULTADOS!$A:$BA,MATCH($A54,RESULTADOS!$A:$A,0),MATCH(R$1,RESULTADOS!$1:$1,0))</f>
        <v>#N/A</v>
      </c>
      <c r="S54" s="77" t="e">
        <f t="shared" ca="1" si="16"/>
        <v>#N/A</v>
      </c>
      <c r="T54" s="73" t="e">
        <f ca="1">INDEX(RESULTADOS!$A:$BA,MATCH($A54,RESULTADOS!$A:$A,0),MATCH(T$1,RESULTADOS!$1:$1,0))</f>
        <v>#N/A</v>
      </c>
      <c r="U54" s="73" t="e">
        <f t="shared" ca="1" si="17"/>
        <v>#N/A</v>
      </c>
      <c r="V54" s="73" t="e">
        <f t="shared" ca="1" si="18"/>
        <v>#N/A</v>
      </c>
      <c r="W54" s="73" t="e">
        <f ca="1">INDEX(RESULTADOS!$A:$BA,MATCH($A54,RESULTADOS!$A:$A,0),MATCH(W$1,RESULTADOS!$1:$1,0))</f>
        <v>#N/A</v>
      </c>
      <c r="X54" s="78" t="e">
        <f t="shared" ca="1" si="19"/>
        <v>#N/A</v>
      </c>
      <c r="Y54" s="73" t="e">
        <f t="shared" ca="1" si="20"/>
        <v>#N/A</v>
      </c>
      <c r="Z54" s="78" t="e">
        <f t="shared" ca="1" si="3"/>
        <v>#N/A</v>
      </c>
      <c r="AA54" s="110" t="e">
        <f t="shared" ca="1" si="22"/>
        <v>#N/A</v>
      </c>
      <c r="AB54" s="73" t="e">
        <f t="shared" ca="1" si="21"/>
        <v>#N/A</v>
      </c>
    </row>
    <row r="55" spans="1:28" x14ac:dyDescent="0.2">
      <c r="A55" s="49">
        <f t="shared" ca="1" si="23"/>
        <v>43854</v>
      </c>
      <c r="B55" s="67" t="e">
        <f ca="1">INDEX(RESULTADOS!$A:$BA,MATCH($A55,RESULTADOS!$A:$A,0),MATCH(B$1,RESULTADOS!$1:$1,0))</f>
        <v>#N/A</v>
      </c>
      <c r="C55" s="67" t="e">
        <f ca="1">INDEX(RESULTADOS!$A:$BA,MATCH($A55,RESULTADOS!$A:$A,0),MATCH(C$1,RESULTADOS!$1:$1,0))</f>
        <v>#N/A</v>
      </c>
      <c r="D55" s="56" t="e">
        <f t="shared" ca="1" si="4"/>
        <v>#N/A</v>
      </c>
      <c r="E55" s="62" t="e">
        <f t="shared" ca="1" si="5"/>
        <v>#N/A</v>
      </c>
      <c r="F55" s="57" t="e">
        <f t="shared" ca="1" si="6"/>
        <v>#N/A</v>
      </c>
      <c r="G55" s="62" t="e">
        <f t="shared" ca="1" si="7"/>
        <v>#N/A</v>
      </c>
      <c r="H55" s="67" t="e">
        <f ca="1">INDEX(RESULTADOS!$A:$BA,MATCH($A55,RESULTADOS!$A:$A,0),MATCH(H$1,RESULTADOS!$1:$1,0))</f>
        <v>#N/A</v>
      </c>
      <c r="I55" s="79" t="e">
        <f t="shared" ca="1" si="8"/>
        <v>#N/A</v>
      </c>
      <c r="J55" s="50" t="e">
        <f t="shared" ca="1" si="9"/>
        <v>#N/A</v>
      </c>
      <c r="K55" s="80" t="e">
        <f t="shared" ca="1" si="2"/>
        <v>#N/A</v>
      </c>
      <c r="L55" s="56" t="e">
        <f t="shared" ca="1" si="10"/>
        <v>#N/A</v>
      </c>
      <c r="M55" s="62" t="e">
        <f t="shared" ca="1" si="11"/>
        <v>#N/A</v>
      </c>
      <c r="N55" s="79" t="e">
        <f t="shared" ca="1" si="12"/>
        <v>#N/A</v>
      </c>
      <c r="O55" s="62" t="e">
        <f t="shared" ca="1" si="13"/>
        <v>#N/A</v>
      </c>
      <c r="P55" s="79" t="e">
        <f t="shared" ca="1" si="14"/>
        <v>#N/A</v>
      </c>
      <c r="Q55" s="62" t="e">
        <f t="shared" ca="1" si="15"/>
        <v>#N/A</v>
      </c>
      <c r="R55" s="67" t="e">
        <f ca="1">INDEX(RESULTADOS!$A:$BA,MATCH($A55,RESULTADOS!$A:$A,0),MATCH(R$1,RESULTADOS!$1:$1,0))</f>
        <v>#N/A</v>
      </c>
      <c r="S55" s="64" t="e">
        <f t="shared" ca="1" si="16"/>
        <v>#N/A</v>
      </c>
      <c r="T55" s="67" t="e">
        <f ca="1">INDEX(RESULTADOS!$A:$BA,MATCH($A55,RESULTADOS!$A:$A,0),MATCH(T$1,RESULTADOS!$1:$1,0))</f>
        <v>#N/A</v>
      </c>
      <c r="U55" s="50" t="e">
        <f t="shared" ca="1" si="17"/>
        <v>#N/A</v>
      </c>
      <c r="V55" s="62" t="e">
        <f t="shared" ca="1" si="18"/>
        <v>#N/A</v>
      </c>
      <c r="W55" s="67" t="e">
        <f ca="1">INDEX(RESULTADOS!$A:$BA,MATCH($A55,RESULTADOS!$A:$A,0),MATCH(W$1,RESULTADOS!$1:$1,0))</f>
        <v>#N/A</v>
      </c>
      <c r="X55" s="79" t="e">
        <f t="shared" ca="1" si="19"/>
        <v>#N/A</v>
      </c>
      <c r="Y55" s="62" t="e">
        <f t="shared" ca="1" si="20"/>
        <v>#N/A</v>
      </c>
      <c r="Z55" s="80" t="e">
        <f t="shared" ca="1" si="3"/>
        <v>#N/A</v>
      </c>
      <c r="AA55" s="110" t="e">
        <f t="shared" ca="1" si="22"/>
        <v>#N/A</v>
      </c>
      <c r="AB55" s="62" t="e">
        <f t="shared" ca="1" si="21"/>
        <v>#N/A</v>
      </c>
    </row>
    <row r="56" spans="1:28" x14ac:dyDescent="0.2">
      <c r="A56" s="49">
        <f t="shared" ca="1" si="23"/>
        <v>43855</v>
      </c>
      <c r="B56" s="67" t="e">
        <f ca="1">INDEX(RESULTADOS!$A:$BA,MATCH($A56,RESULTADOS!$A:$A,0),MATCH(B$1,RESULTADOS!$1:$1,0))</f>
        <v>#N/A</v>
      </c>
      <c r="C56" s="67" t="e">
        <f ca="1">INDEX(RESULTADOS!$A:$BA,MATCH($A56,RESULTADOS!$A:$A,0),MATCH(C$1,RESULTADOS!$1:$1,0))</f>
        <v>#N/A</v>
      </c>
      <c r="D56" s="56" t="e">
        <f t="shared" ca="1" si="4"/>
        <v>#N/A</v>
      </c>
      <c r="E56" s="62" t="e">
        <f t="shared" ca="1" si="5"/>
        <v>#N/A</v>
      </c>
      <c r="F56" s="57" t="e">
        <f t="shared" ca="1" si="6"/>
        <v>#N/A</v>
      </c>
      <c r="G56" s="62" t="e">
        <f t="shared" ca="1" si="7"/>
        <v>#N/A</v>
      </c>
      <c r="H56" s="67" t="e">
        <f ca="1">INDEX(RESULTADOS!$A:$BA,MATCH($A56,RESULTADOS!$A:$A,0),MATCH(H$1,RESULTADOS!$1:$1,0))</f>
        <v>#N/A</v>
      </c>
      <c r="I56" s="79" t="e">
        <f t="shared" ca="1" si="8"/>
        <v>#N/A</v>
      </c>
      <c r="J56" s="50" t="e">
        <f t="shared" ca="1" si="9"/>
        <v>#N/A</v>
      </c>
      <c r="K56" s="80" t="e">
        <f t="shared" ca="1" si="2"/>
        <v>#N/A</v>
      </c>
      <c r="L56" s="56" t="e">
        <f t="shared" ca="1" si="10"/>
        <v>#N/A</v>
      </c>
      <c r="M56" s="62" t="e">
        <f t="shared" ca="1" si="11"/>
        <v>#N/A</v>
      </c>
      <c r="N56" s="79" t="e">
        <f t="shared" ca="1" si="12"/>
        <v>#N/A</v>
      </c>
      <c r="O56" s="62" t="e">
        <f t="shared" ca="1" si="13"/>
        <v>#N/A</v>
      </c>
      <c r="P56" s="79" t="e">
        <f t="shared" ca="1" si="14"/>
        <v>#N/A</v>
      </c>
      <c r="Q56" s="62" t="e">
        <f t="shared" ca="1" si="15"/>
        <v>#N/A</v>
      </c>
      <c r="R56" s="67" t="e">
        <f ca="1">INDEX(RESULTADOS!$A:$BA,MATCH($A56,RESULTADOS!$A:$A,0),MATCH(R$1,RESULTADOS!$1:$1,0))</f>
        <v>#N/A</v>
      </c>
      <c r="S56" s="64" t="e">
        <f t="shared" ca="1" si="16"/>
        <v>#N/A</v>
      </c>
      <c r="T56" s="67" t="e">
        <f ca="1">INDEX(RESULTADOS!$A:$BA,MATCH($A56,RESULTADOS!$A:$A,0),MATCH(T$1,RESULTADOS!$1:$1,0))</f>
        <v>#N/A</v>
      </c>
      <c r="U56" s="50" t="e">
        <f t="shared" ca="1" si="17"/>
        <v>#N/A</v>
      </c>
      <c r="V56" s="62" t="e">
        <f t="shared" ca="1" si="18"/>
        <v>#N/A</v>
      </c>
      <c r="W56" s="67" t="e">
        <f ca="1">INDEX(RESULTADOS!$A:$BA,MATCH($A56,RESULTADOS!$A:$A,0),MATCH(W$1,RESULTADOS!$1:$1,0))</f>
        <v>#N/A</v>
      </c>
      <c r="X56" s="79" t="e">
        <f t="shared" ca="1" si="19"/>
        <v>#N/A</v>
      </c>
      <c r="Y56" s="62" t="e">
        <f t="shared" ca="1" si="20"/>
        <v>#N/A</v>
      </c>
      <c r="Z56" s="80" t="e">
        <f t="shared" ca="1" si="3"/>
        <v>#N/A</v>
      </c>
      <c r="AA56" s="110" t="e">
        <f t="shared" ca="1" si="22"/>
        <v>#N/A</v>
      </c>
      <c r="AB56" s="62" t="e">
        <f t="shared" ca="1" si="21"/>
        <v>#N/A</v>
      </c>
    </row>
    <row r="57" spans="1:28" x14ac:dyDescent="0.2">
      <c r="A57" s="49">
        <f t="shared" ca="1" si="23"/>
        <v>43856</v>
      </c>
      <c r="B57" s="67" t="e">
        <f ca="1">INDEX(RESULTADOS!$A:$BA,MATCH($A57,RESULTADOS!$A:$A,0),MATCH(B$1,RESULTADOS!$1:$1,0))</f>
        <v>#N/A</v>
      </c>
      <c r="C57" s="67" t="e">
        <f ca="1">INDEX(RESULTADOS!$A:$BA,MATCH($A57,RESULTADOS!$A:$A,0),MATCH(C$1,RESULTADOS!$1:$1,0))</f>
        <v>#N/A</v>
      </c>
      <c r="D57" s="56" t="e">
        <f t="shared" ca="1" si="4"/>
        <v>#N/A</v>
      </c>
      <c r="E57" s="62" t="e">
        <f t="shared" ca="1" si="5"/>
        <v>#N/A</v>
      </c>
      <c r="F57" s="57" t="e">
        <f t="shared" ca="1" si="6"/>
        <v>#N/A</v>
      </c>
      <c r="G57" s="62" t="e">
        <f t="shared" ca="1" si="7"/>
        <v>#N/A</v>
      </c>
      <c r="H57" s="67" t="e">
        <f ca="1">INDEX(RESULTADOS!$A:$BA,MATCH($A57,RESULTADOS!$A:$A,0),MATCH(H$1,RESULTADOS!$1:$1,0))</f>
        <v>#N/A</v>
      </c>
      <c r="I57" s="79" t="e">
        <f t="shared" ca="1" si="8"/>
        <v>#N/A</v>
      </c>
      <c r="J57" s="50" t="e">
        <f t="shared" ca="1" si="9"/>
        <v>#N/A</v>
      </c>
      <c r="K57" s="80" t="e">
        <f t="shared" ca="1" si="2"/>
        <v>#N/A</v>
      </c>
      <c r="L57" s="56" t="e">
        <f t="shared" ca="1" si="10"/>
        <v>#N/A</v>
      </c>
      <c r="M57" s="62" t="e">
        <f t="shared" ca="1" si="11"/>
        <v>#N/A</v>
      </c>
      <c r="N57" s="79" t="e">
        <f t="shared" ca="1" si="12"/>
        <v>#N/A</v>
      </c>
      <c r="O57" s="62" t="e">
        <f t="shared" ca="1" si="13"/>
        <v>#N/A</v>
      </c>
      <c r="P57" s="79" t="e">
        <f t="shared" ca="1" si="14"/>
        <v>#N/A</v>
      </c>
      <c r="Q57" s="62" t="e">
        <f t="shared" ca="1" si="15"/>
        <v>#N/A</v>
      </c>
      <c r="R57" s="67" t="e">
        <f ca="1">INDEX(RESULTADOS!$A:$BA,MATCH($A57,RESULTADOS!$A:$A,0),MATCH(R$1,RESULTADOS!$1:$1,0))</f>
        <v>#N/A</v>
      </c>
      <c r="S57" s="64" t="e">
        <f t="shared" ca="1" si="16"/>
        <v>#N/A</v>
      </c>
      <c r="T57" s="67" t="e">
        <f ca="1">INDEX(RESULTADOS!$A:$BA,MATCH($A57,RESULTADOS!$A:$A,0),MATCH(T$1,RESULTADOS!$1:$1,0))</f>
        <v>#N/A</v>
      </c>
      <c r="U57" s="50" t="e">
        <f t="shared" ca="1" si="17"/>
        <v>#N/A</v>
      </c>
      <c r="V57" s="62" t="e">
        <f t="shared" ca="1" si="18"/>
        <v>#N/A</v>
      </c>
      <c r="W57" s="67" t="e">
        <f ca="1">INDEX(RESULTADOS!$A:$BA,MATCH($A57,RESULTADOS!$A:$A,0),MATCH(W$1,RESULTADOS!$1:$1,0))</f>
        <v>#N/A</v>
      </c>
      <c r="X57" s="79" t="e">
        <f t="shared" ca="1" si="19"/>
        <v>#N/A</v>
      </c>
      <c r="Y57" s="62" t="e">
        <f t="shared" ca="1" si="20"/>
        <v>#N/A</v>
      </c>
      <c r="Z57" s="80" t="e">
        <f t="shared" ca="1" si="3"/>
        <v>#N/A</v>
      </c>
      <c r="AA57" s="110" t="e">
        <f t="shared" ca="1" si="22"/>
        <v>#N/A</v>
      </c>
      <c r="AB57" s="62" t="e">
        <f t="shared" ca="1" si="21"/>
        <v>#N/A</v>
      </c>
    </row>
    <row r="58" spans="1:28" x14ac:dyDescent="0.2">
      <c r="A58" s="49">
        <f t="shared" ca="1" si="23"/>
        <v>43857</v>
      </c>
      <c r="B58" s="67" t="e">
        <f ca="1">INDEX(RESULTADOS!$A:$BA,MATCH($A58,RESULTADOS!$A:$A,0),MATCH(B$1,RESULTADOS!$1:$1,0))</f>
        <v>#N/A</v>
      </c>
      <c r="C58" s="67" t="e">
        <f ca="1">INDEX(RESULTADOS!$A:$BA,MATCH($A58,RESULTADOS!$A:$A,0),MATCH(C$1,RESULTADOS!$1:$1,0))</f>
        <v>#N/A</v>
      </c>
      <c r="D58" s="56" t="e">
        <f t="shared" ca="1" si="4"/>
        <v>#N/A</v>
      </c>
      <c r="E58" s="62" t="e">
        <f t="shared" ca="1" si="5"/>
        <v>#N/A</v>
      </c>
      <c r="F58" s="57" t="e">
        <f t="shared" ca="1" si="6"/>
        <v>#N/A</v>
      </c>
      <c r="G58" s="62" t="e">
        <f t="shared" ca="1" si="7"/>
        <v>#N/A</v>
      </c>
      <c r="H58" s="67" t="e">
        <f ca="1">INDEX(RESULTADOS!$A:$BA,MATCH($A58,RESULTADOS!$A:$A,0),MATCH(H$1,RESULTADOS!$1:$1,0))</f>
        <v>#N/A</v>
      </c>
      <c r="I58" s="79" t="e">
        <f t="shared" ca="1" si="8"/>
        <v>#N/A</v>
      </c>
      <c r="J58" s="50" t="e">
        <f t="shared" ca="1" si="9"/>
        <v>#N/A</v>
      </c>
      <c r="K58" s="80" t="e">
        <f t="shared" ca="1" si="2"/>
        <v>#N/A</v>
      </c>
      <c r="L58" s="56" t="e">
        <f t="shared" ca="1" si="10"/>
        <v>#N/A</v>
      </c>
      <c r="M58" s="62" t="e">
        <f t="shared" ca="1" si="11"/>
        <v>#N/A</v>
      </c>
      <c r="N58" s="79" t="e">
        <f t="shared" ca="1" si="12"/>
        <v>#N/A</v>
      </c>
      <c r="O58" s="62" t="e">
        <f t="shared" ca="1" si="13"/>
        <v>#N/A</v>
      </c>
      <c r="P58" s="79" t="e">
        <f t="shared" ca="1" si="14"/>
        <v>#N/A</v>
      </c>
      <c r="Q58" s="62" t="e">
        <f t="shared" ca="1" si="15"/>
        <v>#N/A</v>
      </c>
      <c r="R58" s="67" t="e">
        <f ca="1">INDEX(RESULTADOS!$A:$BA,MATCH($A58,RESULTADOS!$A:$A,0),MATCH(R$1,RESULTADOS!$1:$1,0))</f>
        <v>#N/A</v>
      </c>
      <c r="S58" s="64" t="e">
        <f t="shared" ca="1" si="16"/>
        <v>#N/A</v>
      </c>
      <c r="T58" s="67" t="e">
        <f ca="1">INDEX(RESULTADOS!$A:$BA,MATCH($A58,RESULTADOS!$A:$A,0),MATCH(T$1,RESULTADOS!$1:$1,0))</f>
        <v>#N/A</v>
      </c>
      <c r="U58" s="50" t="e">
        <f t="shared" ca="1" si="17"/>
        <v>#N/A</v>
      </c>
      <c r="V58" s="62" t="e">
        <f t="shared" ca="1" si="18"/>
        <v>#N/A</v>
      </c>
      <c r="W58" s="67" t="e">
        <f ca="1">INDEX(RESULTADOS!$A:$BA,MATCH($A58,RESULTADOS!$A:$A,0),MATCH(W$1,RESULTADOS!$1:$1,0))</f>
        <v>#N/A</v>
      </c>
      <c r="X58" s="79" t="e">
        <f t="shared" ca="1" si="19"/>
        <v>#N/A</v>
      </c>
      <c r="Y58" s="62" t="e">
        <f t="shared" ca="1" si="20"/>
        <v>#N/A</v>
      </c>
      <c r="Z58" s="80" t="e">
        <f t="shared" ca="1" si="3"/>
        <v>#N/A</v>
      </c>
      <c r="AA58" s="110" t="e">
        <f t="shared" ca="1" si="22"/>
        <v>#N/A</v>
      </c>
      <c r="AB58" s="62" t="e">
        <f t="shared" ca="1" si="21"/>
        <v>#N/A</v>
      </c>
    </row>
    <row r="59" spans="1:28" x14ac:dyDescent="0.2">
      <c r="A59" s="49">
        <f t="shared" ca="1" si="23"/>
        <v>43858</v>
      </c>
      <c r="B59" s="67" t="e">
        <f ca="1">INDEX(RESULTADOS!$A:$BA,MATCH($A59,RESULTADOS!$A:$A,0),MATCH(B$1,RESULTADOS!$1:$1,0))</f>
        <v>#N/A</v>
      </c>
      <c r="C59" s="67" t="e">
        <f ca="1">INDEX(RESULTADOS!$A:$BA,MATCH($A59,RESULTADOS!$A:$A,0),MATCH(C$1,RESULTADOS!$1:$1,0))</f>
        <v>#N/A</v>
      </c>
      <c r="D59" s="56" t="e">
        <f t="shared" ca="1" si="4"/>
        <v>#N/A</v>
      </c>
      <c r="E59" s="62" t="e">
        <f t="shared" ca="1" si="5"/>
        <v>#N/A</v>
      </c>
      <c r="F59" s="57" t="e">
        <f t="shared" ca="1" si="6"/>
        <v>#N/A</v>
      </c>
      <c r="G59" s="62" t="e">
        <f t="shared" ca="1" si="7"/>
        <v>#N/A</v>
      </c>
      <c r="H59" s="67" t="e">
        <f ca="1">INDEX(RESULTADOS!$A:$BA,MATCH($A59,RESULTADOS!$A:$A,0),MATCH(H$1,RESULTADOS!$1:$1,0))</f>
        <v>#N/A</v>
      </c>
      <c r="I59" s="79" t="e">
        <f t="shared" ca="1" si="8"/>
        <v>#N/A</v>
      </c>
      <c r="J59" s="50" t="e">
        <f t="shared" ca="1" si="9"/>
        <v>#N/A</v>
      </c>
      <c r="K59" s="80" t="e">
        <f t="shared" ca="1" si="2"/>
        <v>#N/A</v>
      </c>
      <c r="L59" s="56" t="e">
        <f t="shared" ca="1" si="10"/>
        <v>#N/A</v>
      </c>
      <c r="M59" s="62" t="e">
        <f t="shared" ca="1" si="11"/>
        <v>#N/A</v>
      </c>
      <c r="N59" s="79" t="e">
        <f t="shared" ca="1" si="12"/>
        <v>#N/A</v>
      </c>
      <c r="O59" s="62" t="e">
        <f t="shared" ca="1" si="13"/>
        <v>#N/A</v>
      </c>
      <c r="P59" s="79" t="e">
        <f t="shared" ca="1" si="14"/>
        <v>#N/A</v>
      </c>
      <c r="Q59" s="62" t="e">
        <f t="shared" ca="1" si="15"/>
        <v>#N/A</v>
      </c>
      <c r="R59" s="67" t="e">
        <f ca="1">INDEX(RESULTADOS!$A:$BA,MATCH($A59,RESULTADOS!$A:$A,0),MATCH(R$1,RESULTADOS!$1:$1,0))</f>
        <v>#N/A</v>
      </c>
      <c r="S59" s="64" t="e">
        <f t="shared" ca="1" si="16"/>
        <v>#N/A</v>
      </c>
      <c r="T59" s="67" t="e">
        <f ca="1">INDEX(RESULTADOS!$A:$BA,MATCH($A59,RESULTADOS!$A:$A,0),MATCH(T$1,RESULTADOS!$1:$1,0))</f>
        <v>#N/A</v>
      </c>
      <c r="U59" s="50" t="e">
        <f t="shared" ca="1" si="17"/>
        <v>#N/A</v>
      </c>
      <c r="V59" s="62" t="e">
        <f t="shared" ca="1" si="18"/>
        <v>#N/A</v>
      </c>
      <c r="W59" s="67" t="e">
        <f ca="1">INDEX(RESULTADOS!$A:$BA,MATCH($A59,RESULTADOS!$A:$A,0),MATCH(W$1,RESULTADOS!$1:$1,0))</f>
        <v>#N/A</v>
      </c>
      <c r="X59" s="79" t="e">
        <f t="shared" ca="1" si="19"/>
        <v>#N/A</v>
      </c>
      <c r="Y59" s="62" t="e">
        <f t="shared" ca="1" si="20"/>
        <v>#N/A</v>
      </c>
      <c r="Z59" s="80" t="e">
        <f t="shared" ca="1" si="3"/>
        <v>#N/A</v>
      </c>
      <c r="AA59" s="110" t="e">
        <f t="shared" ca="1" si="22"/>
        <v>#N/A</v>
      </c>
      <c r="AB59" s="62" t="e">
        <f t="shared" ca="1" si="21"/>
        <v>#N/A</v>
      </c>
    </row>
    <row r="60" spans="1:28" x14ac:dyDescent="0.2">
      <c r="A60" s="49">
        <f t="shared" ca="1" si="23"/>
        <v>43859</v>
      </c>
      <c r="B60" s="67" t="e">
        <f ca="1">INDEX(RESULTADOS!$A:$BA,MATCH($A60,RESULTADOS!$A:$A,0),MATCH(B$1,RESULTADOS!$1:$1,0))</f>
        <v>#N/A</v>
      </c>
      <c r="C60" s="67" t="e">
        <f ca="1">INDEX(RESULTADOS!$A:$BA,MATCH($A60,RESULTADOS!$A:$A,0),MATCH(C$1,RESULTADOS!$1:$1,0))</f>
        <v>#N/A</v>
      </c>
      <c r="D60" s="56" t="e">
        <f t="shared" ca="1" si="4"/>
        <v>#N/A</v>
      </c>
      <c r="E60" s="62" t="e">
        <f t="shared" ca="1" si="5"/>
        <v>#N/A</v>
      </c>
      <c r="F60" s="57" t="e">
        <f t="shared" ca="1" si="6"/>
        <v>#N/A</v>
      </c>
      <c r="G60" s="62" t="e">
        <f t="shared" ca="1" si="7"/>
        <v>#N/A</v>
      </c>
      <c r="H60" s="67" t="e">
        <f ca="1">INDEX(RESULTADOS!$A:$BA,MATCH($A60,RESULTADOS!$A:$A,0),MATCH(H$1,RESULTADOS!$1:$1,0))</f>
        <v>#N/A</v>
      </c>
      <c r="I60" s="79" t="e">
        <f t="shared" ca="1" si="8"/>
        <v>#N/A</v>
      </c>
      <c r="J60" s="50" t="e">
        <f t="shared" ca="1" si="9"/>
        <v>#N/A</v>
      </c>
      <c r="K60" s="80" t="e">
        <f t="shared" ca="1" si="2"/>
        <v>#N/A</v>
      </c>
      <c r="L60" s="56" t="e">
        <f t="shared" ca="1" si="10"/>
        <v>#N/A</v>
      </c>
      <c r="M60" s="62" t="e">
        <f t="shared" ca="1" si="11"/>
        <v>#N/A</v>
      </c>
      <c r="N60" s="79" t="e">
        <f t="shared" ca="1" si="12"/>
        <v>#N/A</v>
      </c>
      <c r="O60" s="62" t="e">
        <f t="shared" ca="1" si="13"/>
        <v>#N/A</v>
      </c>
      <c r="P60" s="79" t="e">
        <f t="shared" ca="1" si="14"/>
        <v>#N/A</v>
      </c>
      <c r="Q60" s="62" t="e">
        <f t="shared" ca="1" si="15"/>
        <v>#N/A</v>
      </c>
      <c r="R60" s="67" t="e">
        <f ca="1">INDEX(RESULTADOS!$A:$BA,MATCH($A60,RESULTADOS!$A:$A,0),MATCH(R$1,RESULTADOS!$1:$1,0))</f>
        <v>#N/A</v>
      </c>
      <c r="S60" s="64" t="e">
        <f t="shared" ca="1" si="16"/>
        <v>#N/A</v>
      </c>
      <c r="T60" s="67" t="e">
        <f ca="1">INDEX(RESULTADOS!$A:$BA,MATCH($A60,RESULTADOS!$A:$A,0),MATCH(T$1,RESULTADOS!$1:$1,0))</f>
        <v>#N/A</v>
      </c>
      <c r="U60" s="50" t="e">
        <f t="shared" ca="1" si="17"/>
        <v>#N/A</v>
      </c>
      <c r="V60" s="62" t="e">
        <f t="shared" ca="1" si="18"/>
        <v>#N/A</v>
      </c>
      <c r="W60" s="67" t="e">
        <f ca="1">INDEX(RESULTADOS!$A:$BA,MATCH($A60,RESULTADOS!$A:$A,0),MATCH(W$1,RESULTADOS!$1:$1,0))</f>
        <v>#N/A</v>
      </c>
      <c r="X60" s="79" t="e">
        <f t="shared" ca="1" si="19"/>
        <v>#N/A</v>
      </c>
      <c r="Y60" s="62" t="e">
        <f t="shared" ca="1" si="20"/>
        <v>#N/A</v>
      </c>
      <c r="Z60" s="80" t="e">
        <f t="shared" ca="1" si="3"/>
        <v>#N/A</v>
      </c>
      <c r="AA60" s="110" t="e">
        <f t="shared" ca="1" si="22"/>
        <v>#N/A</v>
      </c>
      <c r="AB60" s="62" t="e">
        <f t="shared" ca="1" si="21"/>
        <v>#N/A</v>
      </c>
    </row>
    <row r="61" spans="1:28" x14ac:dyDescent="0.2">
      <c r="A61" s="49">
        <f t="shared" ca="1" si="23"/>
        <v>43860</v>
      </c>
      <c r="B61" s="67" t="e">
        <f ca="1">INDEX(RESULTADOS!$A:$BA,MATCH($A61,RESULTADOS!$A:$A,0),MATCH(B$1,RESULTADOS!$1:$1,0))</f>
        <v>#N/A</v>
      </c>
      <c r="C61" s="67" t="e">
        <f ca="1">INDEX(RESULTADOS!$A:$BA,MATCH($A61,RESULTADOS!$A:$A,0),MATCH(C$1,RESULTADOS!$1:$1,0))</f>
        <v>#N/A</v>
      </c>
      <c r="D61" s="56" t="e">
        <f t="shared" ca="1" si="4"/>
        <v>#N/A</v>
      </c>
      <c r="E61" s="62" t="e">
        <f t="shared" ca="1" si="5"/>
        <v>#N/A</v>
      </c>
      <c r="F61" s="57" t="e">
        <f t="shared" ca="1" si="6"/>
        <v>#N/A</v>
      </c>
      <c r="G61" s="62" t="e">
        <f t="shared" ca="1" si="7"/>
        <v>#N/A</v>
      </c>
      <c r="H61" s="67" t="e">
        <f ca="1">INDEX(RESULTADOS!$A:$BA,MATCH($A61,RESULTADOS!$A:$A,0),MATCH(H$1,RESULTADOS!$1:$1,0))</f>
        <v>#N/A</v>
      </c>
      <c r="I61" s="79" t="e">
        <f t="shared" ca="1" si="8"/>
        <v>#N/A</v>
      </c>
      <c r="J61" s="50" t="e">
        <f t="shared" ca="1" si="9"/>
        <v>#N/A</v>
      </c>
      <c r="K61" s="80" t="e">
        <f t="shared" ca="1" si="2"/>
        <v>#N/A</v>
      </c>
      <c r="L61" s="56" t="e">
        <f t="shared" ca="1" si="10"/>
        <v>#N/A</v>
      </c>
      <c r="M61" s="62" t="e">
        <f t="shared" ca="1" si="11"/>
        <v>#N/A</v>
      </c>
      <c r="N61" s="79" t="e">
        <f t="shared" ca="1" si="12"/>
        <v>#N/A</v>
      </c>
      <c r="O61" s="62" t="e">
        <f t="shared" ca="1" si="13"/>
        <v>#N/A</v>
      </c>
      <c r="P61" s="79" t="e">
        <f t="shared" ca="1" si="14"/>
        <v>#N/A</v>
      </c>
      <c r="Q61" s="62" t="e">
        <f t="shared" ca="1" si="15"/>
        <v>#N/A</v>
      </c>
      <c r="R61" s="67" t="e">
        <f ca="1">INDEX(RESULTADOS!$A:$BA,MATCH($A61,RESULTADOS!$A:$A,0),MATCH(R$1,RESULTADOS!$1:$1,0))</f>
        <v>#N/A</v>
      </c>
      <c r="S61" s="64" t="e">
        <f t="shared" ca="1" si="16"/>
        <v>#N/A</v>
      </c>
      <c r="T61" s="67" t="e">
        <f ca="1">INDEX(RESULTADOS!$A:$BA,MATCH($A61,RESULTADOS!$A:$A,0),MATCH(T$1,RESULTADOS!$1:$1,0))</f>
        <v>#N/A</v>
      </c>
      <c r="U61" s="50" t="e">
        <f t="shared" ca="1" si="17"/>
        <v>#N/A</v>
      </c>
      <c r="V61" s="62" t="e">
        <f t="shared" ca="1" si="18"/>
        <v>#N/A</v>
      </c>
      <c r="W61" s="67" t="e">
        <f ca="1">INDEX(RESULTADOS!$A:$BA,MATCH($A61,RESULTADOS!$A:$A,0),MATCH(W$1,RESULTADOS!$1:$1,0))</f>
        <v>#N/A</v>
      </c>
      <c r="X61" s="79" t="e">
        <f t="shared" ca="1" si="19"/>
        <v>#N/A</v>
      </c>
      <c r="Y61" s="62" t="e">
        <f t="shared" ca="1" si="20"/>
        <v>#N/A</v>
      </c>
      <c r="Z61" s="80" t="e">
        <f t="shared" ca="1" si="3"/>
        <v>#N/A</v>
      </c>
      <c r="AA61" s="110" t="e">
        <f t="shared" ca="1" si="22"/>
        <v>#N/A</v>
      </c>
      <c r="AB61" s="62" t="e">
        <f t="shared" ca="1" si="21"/>
        <v>#N/A</v>
      </c>
    </row>
    <row r="62" spans="1:28" x14ac:dyDescent="0.2">
      <c r="A62" s="49">
        <f t="shared" ca="1" si="23"/>
        <v>43861</v>
      </c>
      <c r="B62" s="67" t="e">
        <f ca="1">INDEX(RESULTADOS!$A:$BA,MATCH($A62,RESULTADOS!$A:$A,0),MATCH(B$1,RESULTADOS!$1:$1,0))</f>
        <v>#N/A</v>
      </c>
      <c r="C62" s="67" t="e">
        <f ca="1">INDEX(RESULTADOS!$A:$BA,MATCH($A62,RESULTADOS!$A:$A,0),MATCH(C$1,RESULTADOS!$1:$1,0))</f>
        <v>#N/A</v>
      </c>
      <c r="D62" s="56" t="e">
        <f t="shared" ca="1" si="4"/>
        <v>#N/A</v>
      </c>
      <c r="E62" s="62" t="e">
        <f t="shared" ca="1" si="5"/>
        <v>#N/A</v>
      </c>
      <c r="F62" s="57" t="e">
        <f t="shared" ca="1" si="6"/>
        <v>#N/A</v>
      </c>
      <c r="G62" s="62" t="e">
        <f t="shared" ca="1" si="7"/>
        <v>#N/A</v>
      </c>
      <c r="H62" s="67" t="e">
        <f ca="1">INDEX(RESULTADOS!$A:$BA,MATCH($A62,RESULTADOS!$A:$A,0),MATCH(H$1,RESULTADOS!$1:$1,0))</f>
        <v>#N/A</v>
      </c>
      <c r="I62" s="79" t="e">
        <f t="shared" ca="1" si="8"/>
        <v>#N/A</v>
      </c>
      <c r="J62" s="50" t="e">
        <f t="shared" ca="1" si="9"/>
        <v>#N/A</v>
      </c>
      <c r="K62" s="80" t="e">
        <f t="shared" ca="1" si="2"/>
        <v>#N/A</v>
      </c>
      <c r="L62" s="56" t="e">
        <f t="shared" ca="1" si="10"/>
        <v>#N/A</v>
      </c>
      <c r="M62" s="62" t="e">
        <f t="shared" ca="1" si="11"/>
        <v>#N/A</v>
      </c>
      <c r="N62" s="79" t="e">
        <f t="shared" ca="1" si="12"/>
        <v>#N/A</v>
      </c>
      <c r="O62" s="62" t="e">
        <f t="shared" ca="1" si="13"/>
        <v>#N/A</v>
      </c>
      <c r="P62" s="79" t="e">
        <f t="shared" ca="1" si="14"/>
        <v>#N/A</v>
      </c>
      <c r="Q62" s="62" t="e">
        <f t="shared" ca="1" si="15"/>
        <v>#N/A</v>
      </c>
      <c r="R62" s="67" t="e">
        <f ca="1">INDEX(RESULTADOS!$A:$BA,MATCH($A62,RESULTADOS!$A:$A,0),MATCH(R$1,RESULTADOS!$1:$1,0))</f>
        <v>#N/A</v>
      </c>
      <c r="S62" s="64" t="e">
        <f t="shared" ca="1" si="16"/>
        <v>#N/A</v>
      </c>
      <c r="T62" s="67" t="e">
        <f ca="1">INDEX(RESULTADOS!$A:$BA,MATCH($A62,RESULTADOS!$A:$A,0),MATCH(T$1,RESULTADOS!$1:$1,0))</f>
        <v>#N/A</v>
      </c>
      <c r="U62" s="50" t="e">
        <f t="shared" ca="1" si="17"/>
        <v>#N/A</v>
      </c>
      <c r="V62" s="62" t="e">
        <f t="shared" ca="1" si="18"/>
        <v>#N/A</v>
      </c>
      <c r="W62" s="67" t="e">
        <f ca="1">INDEX(RESULTADOS!$A:$BA,MATCH($A62,RESULTADOS!$A:$A,0),MATCH(W$1,RESULTADOS!$1:$1,0))</f>
        <v>#N/A</v>
      </c>
      <c r="X62" s="79" t="e">
        <f t="shared" ca="1" si="19"/>
        <v>#N/A</v>
      </c>
      <c r="Y62" s="62" t="e">
        <f t="shared" ca="1" si="20"/>
        <v>#N/A</v>
      </c>
      <c r="Z62" s="80" t="e">
        <f t="shared" ca="1" si="3"/>
        <v>#N/A</v>
      </c>
      <c r="AA62" s="110" t="e">
        <f t="shared" ca="1" si="22"/>
        <v>#N/A</v>
      </c>
      <c r="AB62" s="62" t="e">
        <f t="shared" ca="1" si="21"/>
        <v>#N/A</v>
      </c>
    </row>
    <row r="63" spans="1:28" x14ac:dyDescent="0.2">
      <c r="A63" s="49">
        <f t="shared" ca="1" si="23"/>
        <v>43862</v>
      </c>
      <c r="B63" s="67" t="e">
        <f ca="1">INDEX(RESULTADOS!$A:$BA,MATCH($A63,RESULTADOS!$A:$A,0),MATCH(B$1,RESULTADOS!$1:$1,0))</f>
        <v>#N/A</v>
      </c>
      <c r="C63" s="67" t="e">
        <f ca="1">INDEX(RESULTADOS!$A:$BA,MATCH($A63,RESULTADOS!$A:$A,0),MATCH(C$1,RESULTADOS!$1:$1,0))</f>
        <v>#N/A</v>
      </c>
      <c r="D63" s="56" t="e">
        <f t="shared" ca="1" si="4"/>
        <v>#N/A</v>
      </c>
      <c r="E63" s="62" t="e">
        <f t="shared" ca="1" si="5"/>
        <v>#N/A</v>
      </c>
      <c r="F63" s="57" t="e">
        <f t="shared" ca="1" si="6"/>
        <v>#N/A</v>
      </c>
      <c r="G63" s="62" t="e">
        <f t="shared" ca="1" si="7"/>
        <v>#N/A</v>
      </c>
      <c r="H63" s="67" t="e">
        <f ca="1">INDEX(RESULTADOS!$A:$BA,MATCH($A63,RESULTADOS!$A:$A,0),MATCH(H$1,RESULTADOS!$1:$1,0))</f>
        <v>#N/A</v>
      </c>
      <c r="I63" s="56" t="e">
        <f t="shared" ca="1" si="8"/>
        <v>#N/A</v>
      </c>
      <c r="J63" s="50" t="e">
        <f t="shared" ca="1" si="9"/>
        <v>#N/A</v>
      </c>
      <c r="K63" s="57" t="e">
        <f t="shared" ca="1" si="2"/>
        <v>#N/A</v>
      </c>
      <c r="L63" s="56" t="e">
        <f t="shared" ca="1" si="10"/>
        <v>#N/A</v>
      </c>
      <c r="M63" s="62" t="e">
        <f t="shared" ca="1" si="11"/>
        <v>#N/A</v>
      </c>
      <c r="N63" s="56" t="e">
        <f t="shared" ca="1" si="12"/>
        <v>#N/A</v>
      </c>
      <c r="O63" s="62" t="e">
        <f t="shared" ca="1" si="13"/>
        <v>#N/A</v>
      </c>
      <c r="P63" s="56" t="e">
        <f t="shared" ca="1" si="14"/>
        <v>#N/A</v>
      </c>
      <c r="Q63" s="62" t="e">
        <f t="shared" ca="1" si="15"/>
        <v>#N/A</v>
      </c>
      <c r="R63" s="67" t="e">
        <f ca="1">INDEX(RESULTADOS!$A:$BA,MATCH($A63,RESULTADOS!$A:$A,0),MATCH(R$1,RESULTADOS!$1:$1,0))</f>
        <v>#N/A</v>
      </c>
      <c r="S63" s="64" t="e">
        <f t="shared" ca="1" si="16"/>
        <v>#N/A</v>
      </c>
      <c r="T63" s="67" t="e">
        <f ca="1">INDEX(RESULTADOS!$A:$BA,MATCH($A63,RESULTADOS!$A:$A,0),MATCH(T$1,RESULTADOS!$1:$1,0))</f>
        <v>#N/A</v>
      </c>
      <c r="U63" s="50" t="e">
        <f t="shared" ca="1" si="17"/>
        <v>#N/A</v>
      </c>
      <c r="V63" s="62" t="e">
        <f t="shared" ca="1" si="18"/>
        <v>#N/A</v>
      </c>
      <c r="W63" s="67" t="e">
        <f ca="1">INDEX(RESULTADOS!$A:$BA,MATCH($A63,RESULTADOS!$A:$A,0),MATCH(W$1,RESULTADOS!$1:$1,0))</f>
        <v>#N/A</v>
      </c>
      <c r="X63" s="56" t="e">
        <f t="shared" ca="1" si="19"/>
        <v>#N/A</v>
      </c>
      <c r="Y63" s="62" t="e">
        <f t="shared" ca="1" si="20"/>
        <v>#N/A</v>
      </c>
      <c r="Z63" s="57" t="e">
        <f t="shared" ca="1" si="3"/>
        <v>#N/A</v>
      </c>
      <c r="AA63" s="110" t="e">
        <f t="shared" ca="1" si="22"/>
        <v>#N/A</v>
      </c>
      <c r="AB63" s="62" t="e">
        <f t="shared" ca="1" si="21"/>
        <v>#N/A</v>
      </c>
    </row>
    <row r="64" spans="1:28" x14ac:dyDescent="0.2">
      <c r="A64" s="49">
        <f t="shared" ca="1" si="23"/>
        <v>43863</v>
      </c>
      <c r="B64" s="67" t="e">
        <f ca="1">INDEX(RESULTADOS!$A:$BA,MATCH($A64,RESULTADOS!$A:$A,0),MATCH(B$1,RESULTADOS!$1:$1,0))</f>
        <v>#N/A</v>
      </c>
      <c r="C64" s="67" t="e">
        <f ca="1">INDEX(RESULTADOS!$A:$BA,MATCH($A64,RESULTADOS!$A:$A,0),MATCH(C$1,RESULTADOS!$1:$1,0))</f>
        <v>#N/A</v>
      </c>
      <c r="D64" s="56" t="e">
        <f t="shared" ca="1" si="4"/>
        <v>#N/A</v>
      </c>
      <c r="E64" s="62" t="e">
        <f t="shared" ca="1" si="5"/>
        <v>#N/A</v>
      </c>
      <c r="F64" s="57" t="e">
        <f t="shared" ca="1" si="6"/>
        <v>#N/A</v>
      </c>
      <c r="G64" s="62" t="e">
        <f t="shared" ca="1" si="7"/>
        <v>#N/A</v>
      </c>
      <c r="H64" s="67" t="e">
        <f ca="1">INDEX(RESULTADOS!$A:$BA,MATCH($A64,RESULTADOS!$A:$A,0),MATCH(H$1,RESULTADOS!$1:$1,0))</f>
        <v>#N/A</v>
      </c>
      <c r="I64" s="56" t="e">
        <f t="shared" ca="1" si="8"/>
        <v>#N/A</v>
      </c>
      <c r="J64" s="50" t="e">
        <f t="shared" ca="1" si="9"/>
        <v>#N/A</v>
      </c>
      <c r="K64" s="57" t="e">
        <f t="shared" ca="1" si="2"/>
        <v>#N/A</v>
      </c>
      <c r="L64" s="56" t="e">
        <f t="shared" ca="1" si="10"/>
        <v>#N/A</v>
      </c>
      <c r="M64" s="62" t="e">
        <f t="shared" ca="1" si="11"/>
        <v>#N/A</v>
      </c>
      <c r="N64" s="56" t="e">
        <f t="shared" ca="1" si="12"/>
        <v>#N/A</v>
      </c>
      <c r="O64" s="62" t="e">
        <f t="shared" ca="1" si="13"/>
        <v>#N/A</v>
      </c>
      <c r="P64" s="56" t="e">
        <f t="shared" ca="1" si="14"/>
        <v>#N/A</v>
      </c>
      <c r="Q64" s="62" t="e">
        <f t="shared" ca="1" si="15"/>
        <v>#N/A</v>
      </c>
      <c r="R64" s="67" t="e">
        <f ca="1">INDEX(RESULTADOS!$A:$BA,MATCH($A64,RESULTADOS!$A:$A,0),MATCH(R$1,RESULTADOS!$1:$1,0))</f>
        <v>#N/A</v>
      </c>
      <c r="S64" s="64" t="e">
        <f t="shared" ca="1" si="16"/>
        <v>#N/A</v>
      </c>
      <c r="T64" s="67" t="e">
        <f ca="1">INDEX(RESULTADOS!$A:$BA,MATCH($A64,RESULTADOS!$A:$A,0),MATCH(T$1,RESULTADOS!$1:$1,0))</f>
        <v>#N/A</v>
      </c>
      <c r="U64" s="50" t="e">
        <f t="shared" ca="1" si="17"/>
        <v>#N/A</v>
      </c>
      <c r="V64" s="62" t="e">
        <f t="shared" ca="1" si="18"/>
        <v>#N/A</v>
      </c>
      <c r="W64" s="67" t="e">
        <f ca="1">INDEX(RESULTADOS!$A:$BA,MATCH($A64,RESULTADOS!$A:$A,0),MATCH(W$1,RESULTADOS!$1:$1,0))</f>
        <v>#N/A</v>
      </c>
      <c r="X64" s="56" t="e">
        <f t="shared" ca="1" si="19"/>
        <v>#N/A</v>
      </c>
      <c r="Y64" s="62" t="e">
        <f t="shared" ca="1" si="20"/>
        <v>#N/A</v>
      </c>
      <c r="Z64" s="57" t="e">
        <f t="shared" ca="1" si="3"/>
        <v>#N/A</v>
      </c>
      <c r="AA64" s="110" t="e">
        <f t="shared" ca="1" si="22"/>
        <v>#N/A</v>
      </c>
      <c r="AB64" s="62" t="e">
        <f t="shared" ca="1" si="21"/>
        <v>#N/A</v>
      </c>
    </row>
    <row r="65" spans="1:28" x14ac:dyDescent="0.2">
      <c r="A65" s="49">
        <f t="shared" ca="1" si="23"/>
        <v>43864</v>
      </c>
      <c r="B65" s="67" t="e">
        <f ca="1">INDEX(RESULTADOS!$A:$BA,MATCH($A65,RESULTADOS!$A:$A,0),MATCH(B$1,RESULTADOS!$1:$1,0))</f>
        <v>#N/A</v>
      </c>
      <c r="C65" s="67" t="e">
        <f ca="1">INDEX(RESULTADOS!$A:$BA,MATCH($A65,RESULTADOS!$A:$A,0),MATCH(C$1,RESULTADOS!$1:$1,0))</f>
        <v>#N/A</v>
      </c>
      <c r="D65" s="56" t="e">
        <f t="shared" ca="1" si="4"/>
        <v>#N/A</v>
      </c>
      <c r="E65" s="62" t="e">
        <f t="shared" ca="1" si="5"/>
        <v>#N/A</v>
      </c>
      <c r="F65" s="57" t="e">
        <f t="shared" ca="1" si="6"/>
        <v>#N/A</v>
      </c>
      <c r="G65" s="62" t="e">
        <f t="shared" ca="1" si="7"/>
        <v>#N/A</v>
      </c>
      <c r="H65" s="67" t="e">
        <f ca="1">INDEX(RESULTADOS!$A:$BA,MATCH($A65,RESULTADOS!$A:$A,0),MATCH(H$1,RESULTADOS!$1:$1,0))</f>
        <v>#N/A</v>
      </c>
      <c r="I65" s="56" t="e">
        <f t="shared" ca="1" si="8"/>
        <v>#N/A</v>
      </c>
      <c r="J65" s="50" t="e">
        <f t="shared" ca="1" si="9"/>
        <v>#N/A</v>
      </c>
      <c r="K65" s="57" t="e">
        <f t="shared" ca="1" si="2"/>
        <v>#N/A</v>
      </c>
      <c r="L65" s="56" t="e">
        <f t="shared" ca="1" si="10"/>
        <v>#N/A</v>
      </c>
      <c r="M65" s="62" t="e">
        <f t="shared" ca="1" si="11"/>
        <v>#N/A</v>
      </c>
      <c r="N65" s="56" t="e">
        <f t="shared" ca="1" si="12"/>
        <v>#N/A</v>
      </c>
      <c r="O65" s="62" t="e">
        <f t="shared" ca="1" si="13"/>
        <v>#N/A</v>
      </c>
      <c r="P65" s="56" t="e">
        <f t="shared" ca="1" si="14"/>
        <v>#N/A</v>
      </c>
      <c r="Q65" s="62" t="e">
        <f t="shared" ca="1" si="15"/>
        <v>#N/A</v>
      </c>
      <c r="R65" s="67" t="e">
        <f ca="1">INDEX(RESULTADOS!$A:$BA,MATCH($A65,RESULTADOS!$A:$A,0),MATCH(R$1,RESULTADOS!$1:$1,0))</f>
        <v>#N/A</v>
      </c>
      <c r="S65" s="64" t="e">
        <f t="shared" ca="1" si="16"/>
        <v>#N/A</v>
      </c>
      <c r="T65" s="67" t="e">
        <f ca="1">INDEX(RESULTADOS!$A:$BA,MATCH($A65,RESULTADOS!$A:$A,0),MATCH(T$1,RESULTADOS!$1:$1,0))</f>
        <v>#N/A</v>
      </c>
      <c r="U65" s="50" t="e">
        <f t="shared" ca="1" si="17"/>
        <v>#N/A</v>
      </c>
      <c r="V65" s="62" t="e">
        <f t="shared" ca="1" si="18"/>
        <v>#N/A</v>
      </c>
      <c r="W65" s="67" t="e">
        <f ca="1">INDEX(RESULTADOS!$A:$BA,MATCH($A65,RESULTADOS!$A:$A,0),MATCH(W$1,RESULTADOS!$1:$1,0))</f>
        <v>#N/A</v>
      </c>
      <c r="X65" s="56" t="e">
        <f t="shared" ca="1" si="19"/>
        <v>#N/A</v>
      </c>
      <c r="Y65" s="62" t="e">
        <f t="shared" ca="1" si="20"/>
        <v>#N/A</v>
      </c>
      <c r="Z65" s="57" t="e">
        <f t="shared" ca="1" si="3"/>
        <v>#N/A</v>
      </c>
      <c r="AA65" s="110" t="e">
        <f t="shared" ca="1" si="22"/>
        <v>#N/A</v>
      </c>
      <c r="AB65" s="62" t="e">
        <f t="shared" ca="1" si="21"/>
        <v>#N/A</v>
      </c>
    </row>
    <row r="66" spans="1:28" x14ac:dyDescent="0.2">
      <c r="A66" s="49">
        <f t="shared" ca="1" si="23"/>
        <v>43865</v>
      </c>
      <c r="B66" s="67" t="e">
        <f ca="1">INDEX(RESULTADOS!$A:$BA,MATCH($A66,RESULTADOS!$A:$A,0),MATCH(B$1,RESULTADOS!$1:$1,0))</f>
        <v>#N/A</v>
      </c>
      <c r="C66" s="67" t="e">
        <f ca="1">INDEX(RESULTADOS!$A:$BA,MATCH($A66,RESULTADOS!$A:$A,0),MATCH(C$1,RESULTADOS!$1:$1,0))</f>
        <v>#N/A</v>
      </c>
      <c r="D66" s="56" t="e">
        <f t="shared" ca="1" si="4"/>
        <v>#N/A</v>
      </c>
      <c r="E66" s="62" t="e">
        <f t="shared" ca="1" si="5"/>
        <v>#N/A</v>
      </c>
      <c r="F66" s="57" t="e">
        <f t="shared" ca="1" si="6"/>
        <v>#N/A</v>
      </c>
      <c r="G66" s="62" t="e">
        <f t="shared" ca="1" si="7"/>
        <v>#N/A</v>
      </c>
      <c r="H66" s="67" t="e">
        <f ca="1">INDEX(RESULTADOS!$A:$BA,MATCH($A66,RESULTADOS!$A:$A,0),MATCH(H$1,RESULTADOS!$1:$1,0))</f>
        <v>#N/A</v>
      </c>
      <c r="I66" s="56" t="e">
        <f t="shared" ca="1" si="8"/>
        <v>#N/A</v>
      </c>
      <c r="J66" s="50" t="e">
        <f t="shared" ca="1" si="9"/>
        <v>#N/A</v>
      </c>
      <c r="K66" s="57" t="e">
        <f t="shared" ca="1" si="2"/>
        <v>#N/A</v>
      </c>
      <c r="L66" s="56" t="e">
        <f t="shared" ca="1" si="10"/>
        <v>#N/A</v>
      </c>
      <c r="M66" s="62" t="e">
        <f t="shared" ca="1" si="11"/>
        <v>#N/A</v>
      </c>
      <c r="N66" s="56" t="e">
        <f t="shared" ca="1" si="12"/>
        <v>#N/A</v>
      </c>
      <c r="O66" s="62" t="e">
        <f t="shared" ca="1" si="13"/>
        <v>#N/A</v>
      </c>
      <c r="P66" s="56" t="e">
        <f t="shared" ca="1" si="14"/>
        <v>#N/A</v>
      </c>
      <c r="Q66" s="62" t="e">
        <f t="shared" ca="1" si="15"/>
        <v>#N/A</v>
      </c>
      <c r="R66" s="67" t="e">
        <f ca="1">INDEX(RESULTADOS!$A:$BA,MATCH($A66,RESULTADOS!$A:$A,0),MATCH(R$1,RESULTADOS!$1:$1,0))</f>
        <v>#N/A</v>
      </c>
      <c r="S66" s="64" t="e">
        <f t="shared" ca="1" si="16"/>
        <v>#N/A</v>
      </c>
      <c r="T66" s="67" t="e">
        <f ca="1">INDEX(RESULTADOS!$A:$BA,MATCH($A66,RESULTADOS!$A:$A,0),MATCH(T$1,RESULTADOS!$1:$1,0))</f>
        <v>#N/A</v>
      </c>
      <c r="U66" s="50" t="e">
        <f t="shared" ca="1" si="17"/>
        <v>#N/A</v>
      </c>
      <c r="V66" s="62" t="e">
        <f t="shared" ca="1" si="18"/>
        <v>#N/A</v>
      </c>
      <c r="W66" s="67" t="e">
        <f ca="1">INDEX(RESULTADOS!$A:$BA,MATCH($A66,RESULTADOS!$A:$A,0),MATCH(W$1,RESULTADOS!$1:$1,0))</f>
        <v>#N/A</v>
      </c>
      <c r="X66" s="56" t="e">
        <f t="shared" ca="1" si="19"/>
        <v>#N/A</v>
      </c>
      <c r="Y66" s="62" t="e">
        <f t="shared" ca="1" si="20"/>
        <v>#N/A</v>
      </c>
      <c r="Z66" s="57" t="e">
        <f t="shared" ca="1" si="3"/>
        <v>#N/A</v>
      </c>
      <c r="AA66" s="110" t="e">
        <f t="shared" ca="1" si="22"/>
        <v>#N/A</v>
      </c>
      <c r="AB66" s="62" t="e">
        <f t="shared" ca="1" si="21"/>
        <v>#N/A</v>
      </c>
    </row>
    <row r="67" spans="1:28" x14ac:dyDescent="0.2">
      <c r="A67" s="49">
        <f t="shared" ca="1" si="23"/>
        <v>43866</v>
      </c>
      <c r="B67" s="67" t="e">
        <f ca="1">INDEX(RESULTADOS!$A:$BA,MATCH($A67,RESULTADOS!$A:$A,0),MATCH(B$1,RESULTADOS!$1:$1,0))</f>
        <v>#N/A</v>
      </c>
      <c r="C67" s="67" t="e">
        <f ca="1">INDEX(RESULTADOS!$A:$BA,MATCH($A67,RESULTADOS!$A:$A,0),MATCH(C$1,RESULTADOS!$1:$1,0))</f>
        <v>#N/A</v>
      </c>
      <c r="D67" s="56" t="e">
        <f t="shared" ca="1" si="4"/>
        <v>#N/A</v>
      </c>
      <c r="E67" s="62" t="e">
        <f t="shared" ca="1" si="5"/>
        <v>#N/A</v>
      </c>
      <c r="F67" s="57" t="e">
        <f t="shared" ca="1" si="6"/>
        <v>#N/A</v>
      </c>
      <c r="G67" s="62" t="e">
        <f t="shared" ca="1" si="7"/>
        <v>#N/A</v>
      </c>
      <c r="H67" s="67" t="e">
        <f ca="1">INDEX(RESULTADOS!$A:$BA,MATCH($A67,RESULTADOS!$A:$A,0),MATCH(H$1,RESULTADOS!$1:$1,0))</f>
        <v>#N/A</v>
      </c>
      <c r="I67" s="56" t="e">
        <f t="shared" ca="1" si="8"/>
        <v>#N/A</v>
      </c>
      <c r="J67" s="50" t="e">
        <f t="shared" ca="1" si="9"/>
        <v>#N/A</v>
      </c>
      <c r="K67" s="57" t="e">
        <f t="shared" ca="1" si="2"/>
        <v>#N/A</v>
      </c>
      <c r="L67" s="56" t="e">
        <f t="shared" ca="1" si="10"/>
        <v>#N/A</v>
      </c>
      <c r="M67" s="62" t="e">
        <f t="shared" ca="1" si="11"/>
        <v>#N/A</v>
      </c>
      <c r="N67" s="56" t="e">
        <f t="shared" ca="1" si="12"/>
        <v>#N/A</v>
      </c>
      <c r="O67" s="62" t="e">
        <f t="shared" ca="1" si="13"/>
        <v>#N/A</v>
      </c>
      <c r="P67" s="56" t="e">
        <f t="shared" ca="1" si="14"/>
        <v>#N/A</v>
      </c>
      <c r="Q67" s="62" t="e">
        <f t="shared" ca="1" si="15"/>
        <v>#N/A</v>
      </c>
      <c r="R67" s="67" t="e">
        <f ca="1">INDEX(RESULTADOS!$A:$BA,MATCH($A67,RESULTADOS!$A:$A,0),MATCH(R$1,RESULTADOS!$1:$1,0))</f>
        <v>#N/A</v>
      </c>
      <c r="S67" s="64" t="e">
        <f t="shared" ca="1" si="16"/>
        <v>#N/A</v>
      </c>
      <c r="T67" s="67" t="e">
        <f ca="1">INDEX(RESULTADOS!$A:$BA,MATCH($A67,RESULTADOS!$A:$A,0),MATCH(T$1,RESULTADOS!$1:$1,0))</f>
        <v>#N/A</v>
      </c>
      <c r="U67" s="50" t="e">
        <f t="shared" ca="1" si="17"/>
        <v>#N/A</v>
      </c>
      <c r="V67" s="62" t="e">
        <f t="shared" ca="1" si="18"/>
        <v>#N/A</v>
      </c>
      <c r="W67" s="67" t="e">
        <f ca="1">INDEX(RESULTADOS!$A:$BA,MATCH($A67,RESULTADOS!$A:$A,0),MATCH(W$1,RESULTADOS!$1:$1,0))</f>
        <v>#N/A</v>
      </c>
      <c r="X67" s="56" t="e">
        <f t="shared" ca="1" si="19"/>
        <v>#N/A</v>
      </c>
      <c r="Y67" s="62" t="e">
        <f t="shared" ca="1" si="20"/>
        <v>#N/A</v>
      </c>
      <c r="Z67" s="57" t="e">
        <f t="shared" ca="1" si="3"/>
        <v>#N/A</v>
      </c>
      <c r="AA67" s="110" t="e">
        <f t="shared" ca="1" si="22"/>
        <v>#N/A</v>
      </c>
      <c r="AB67" s="62" t="e">
        <f t="shared" ca="1" si="21"/>
        <v>#N/A</v>
      </c>
    </row>
    <row r="68" spans="1:28" x14ac:dyDescent="0.2">
      <c r="A68" s="49">
        <f t="shared" ca="1" si="23"/>
        <v>43867</v>
      </c>
      <c r="B68" s="67" t="e">
        <f ca="1">INDEX(RESULTADOS!$A:$BA,MATCH($A68,RESULTADOS!$A:$A,0),MATCH(B$1,RESULTADOS!$1:$1,0))</f>
        <v>#N/A</v>
      </c>
      <c r="C68" s="67" t="e">
        <f ca="1">INDEX(RESULTADOS!$A:$BA,MATCH($A68,RESULTADOS!$A:$A,0),MATCH(C$1,RESULTADOS!$1:$1,0))</f>
        <v>#N/A</v>
      </c>
      <c r="D68" s="56" t="e">
        <f t="shared" ca="1" si="4"/>
        <v>#N/A</v>
      </c>
      <c r="E68" s="62" t="e">
        <f t="shared" ca="1" si="5"/>
        <v>#N/A</v>
      </c>
      <c r="F68" s="57" t="e">
        <f t="shared" ca="1" si="6"/>
        <v>#N/A</v>
      </c>
      <c r="G68" s="62" t="e">
        <f t="shared" ca="1" si="7"/>
        <v>#N/A</v>
      </c>
      <c r="H68" s="67" t="e">
        <f ca="1">INDEX(RESULTADOS!$A:$BA,MATCH($A68,RESULTADOS!$A:$A,0),MATCH(H$1,RESULTADOS!$1:$1,0))</f>
        <v>#N/A</v>
      </c>
      <c r="I68" s="56" t="e">
        <f t="shared" ca="1" si="8"/>
        <v>#N/A</v>
      </c>
      <c r="J68" s="50" t="e">
        <f t="shared" ca="1" si="9"/>
        <v>#N/A</v>
      </c>
      <c r="K68" s="57" t="e">
        <f t="shared" ca="1" si="2"/>
        <v>#N/A</v>
      </c>
      <c r="L68" s="56" t="e">
        <f t="shared" ca="1" si="10"/>
        <v>#N/A</v>
      </c>
      <c r="M68" s="62" t="e">
        <f t="shared" ca="1" si="11"/>
        <v>#N/A</v>
      </c>
      <c r="N68" s="56" t="e">
        <f t="shared" ca="1" si="12"/>
        <v>#N/A</v>
      </c>
      <c r="O68" s="62" t="e">
        <f t="shared" ca="1" si="13"/>
        <v>#N/A</v>
      </c>
      <c r="P68" s="56" t="e">
        <f t="shared" ca="1" si="14"/>
        <v>#N/A</v>
      </c>
      <c r="Q68" s="62" t="e">
        <f t="shared" ca="1" si="15"/>
        <v>#N/A</v>
      </c>
      <c r="R68" s="67" t="e">
        <f ca="1">INDEX(RESULTADOS!$A:$BA,MATCH($A68,RESULTADOS!$A:$A,0),MATCH(R$1,RESULTADOS!$1:$1,0))</f>
        <v>#N/A</v>
      </c>
      <c r="S68" s="64" t="e">
        <f t="shared" ca="1" si="16"/>
        <v>#N/A</v>
      </c>
      <c r="T68" s="67" t="e">
        <f ca="1">INDEX(RESULTADOS!$A:$BA,MATCH($A68,RESULTADOS!$A:$A,0),MATCH(T$1,RESULTADOS!$1:$1,0))</f>
        <v>#N/A</v>
      </c>
      <c r="U68" s="50" t="e">
        <f t="shared" ca="1" si="17"/>
        <v>#N/A</v>
      </c>
      <c r="V68" s="62" t="e">
        <f t="shared" ca="1" si="18"/>
        <v>#N/A</v>
      </c>
      <c r="W68" s="67" t="e">
        <f ca="1">INDEX(RESULTADOS!$A:$BA,MATCH($A68,RESULTADOS!$A:$A,0),MATCH(W$1,RESULTADOS!$1:$1,0))</f>
        <v>#N/A</v>
      </c>
      <c r="X68" s="56" t="e">
        <f t="shared" ca="1" si="19"/>
        <v>#N/A</v>
      </c>
      <c r="Y68" s="62" t="e">
        <f t="shared" ca="1" si="20"/>
        <v>#N/A</v>
      </c>
      <c r="Z68" s="57" t="e">
        <f t="shared" ca="1" si="3"/>
        <v>#N/A</v>
      </c>
      <c r="AA68" s="110" t="e">
        <f t="shared" ca="1" si="22"/>
        <v>#N/A</v>
      </c>
      <c r="AB68" s="62" t="e">
        <f t="shared" ca="1" si="21"/>
        <v>#N/A</v>
      </c>
    </row>
    <row r="69" spans="1:28" x14ac:dyDescent="0.2">
      <c r="A69" s="49">
        <f t="shared" ca="1" si="23"/>
        <v>43868</v>
      </c>
      <c r="B69" s="67" t="e">
        <f ca="1">INDEX(RESULTADOS!$A:$BA,MATCH($A69,RESULTADOS!$A:$A,0),MATCH(B$1,RESULTADOS!$1:$1,0))</f>
        <v>#N/A</v>
      </c>
      <c r="C69" s="67" t="e">
        <f ca="1">INDEX(RESULTADOS!$A:$BA,MATCH($A69,RESULTADOS!$A:$A,0),MATCH(C$1,RESULTADOS!$1:$1,0))</f>
        <v>#N/A</v>
      </c>
      <c r="D69" s="56" t="e">
        <f t="shared" ca="1" si="4"/>
        <v>#N/A</v>
      </c>
      <c r="E69" s="62" t="e">
        <f t="shared" ca="1" si="5"/>
        <v>#N/A</v>
      </c>
      <c r="F69" s="57" t="e">
        <f t="shared" ca="1" si="6"/>
        <v>#N/A</v>
      </c>
      <c r="G69" s="62" t="e">
        <f t="shared" ca="1" si="7"/>
        <v>#N/A</v>
      </c>
      <c r="H69" s="67" t="e">
        <f ca="1">INDEX(RESULTADOS!$A:$BA,MATCH($A69,RESULTADOS!$A:$A,0),MATCH(H$1,RESULTADOS!$1:$1,0))</f>
        <v>#N/A</v>
      </c>
      <c r="I69" s="56" t="e">
        <f t="shared" ca="1" si="8"/>
        <v>#N/A</v>
      </c>
      <c r="J69" s="50" t="e">
        <f t="shared" ca="1" si="9"/>
        <v>#N/A</v>
      </c>
      <c r="K69" s="57" t="e">
        <f t="shared" ca="1" si="2"/>
        <v>#N/A</v>
      </c>
      <c r="L69" s="56" t="e">
        <f t="shared" ca="1" si="10"/>
        <v>#N/A</v>
      </c>
      <c r="M69" s="62" t="e">
        <f t="shared" ca="1" si="11"/>
        <v>#N/A</v>
      </c>
      <c r="N69" s="56" t="e">
        <f t="shared" ca="1" si="12"/>
        <v>#N/A</v>
      </c>
      <c r="O69" s="62" t="e">
        <f t="shared" ca="1" si="13"/>
        <v>#N/A</v>
      </c>
      <c r="P69" s="56" t="e">
        <f t="shared" ca="1" si="14"/>
        <v>#N/A</v>
      </c>
      <c r="Q69" s="62" t="e">
        <f t="shared" ca="1" si="15"/>
        <v>#N/A</v>
      </c>
      <c r="R69" s="67" t="e">
        <f ca="1">INDEX(RESULTADOS!$A:$BA,MATCH($A69,RESULTADOS!$A:$A,0),MATCH(R$1,RESULTADOS!$1:$1,0))</f>
        <v>#N/A</v>
      </c>
      <c r="S69" s="64" t="e">
        <f t="shared" ca="1" si="16"/>
        <v>#N/A</v>
      </c>
      <c r="T69" s="67" t="e">
        <f ca="1">INDEX(RESULTADOS!$A:$BA,MATCH($A69,RESULTADOS!$A:$A,0),MATCH(T$1,RESULTADOS!$1:$1,0))</f>
        <v>#N/A</v>
      </c>
      <c r="U69" s="50" t="e">
        <f t="shared" ca="1" si="17"/>
        <v>#N/A</v>
      </c>
      <c r="V69" s="62" t="e">
        <f t="shared" ca="1" si="18"/>
        <v>#N/A</v>
      </c>
      <c r="W69" s="67" t="e">
        <f ca="1">INDEX(RESULTADOS!$A:$BA,MATCH($A69,RESULTADOS!$A:$A,0),MATCH(W$1,RESULTADOS!$1:$1,0))</f>
        <v>#N/A</v>
      </c>
      <c r="X69" s="56" t="e">
        <f t="shared" ca="1" si="19"/>
        <v>#N/A</v>
      </c>
      <c r="Y69" s="62" t="e">
        <f t="shared" ca="1" si="20"/>
        <v>#N/A</v>
      </c>
      <c r="Z69" s="57" t="e">
        <f t="shared" ca="1" si="3"/>
        <v>#N/A</v>
      </c>
      <c r="AA69" s="110" t="e">
        <f t="shared" ca="1" si="22"/>
        <v>#N/A</v>
      </c>
      <c r="AB69" s="62" t="e">
        <f t="shared" ca="1" si="21"/>
        <v>#N/A</v>
      </c>
    </row>
    <row r="70" spans="1:28" s="121" customFormat="1" x14ac:dyDescent="0.2">
      <c r="A70" s="49">
        <f t="shared" ca="1" si="23"/>
        <v>43869</v>
      </c>
      <c r="B70" s="67" t="e">
        <f ca="1">INDEX(RESULTADOS!$A:$BA,MATCH($A70,RESULTADOS!$A:$A,0),MATCH(B$1,RESULTADOS!$1:$1,0))</f>
        <v>#N/A</v>
      </c>
      <c r="C70" s="67" t="e">
        <f ca="1">INDEX(RESULTADOS!$A:$BA,MATCH($A70,RESULTADOS!$A:$A,0),MATCH(C$1,RESULTADOS!$1:$1,0))</f>
        <v>#N/A</v>
      </c>
      <c r="D70" s="56" t="e">
        <f t="shared" ca="1" si="4"/>
        <v>#N/A</v>
      </c>
      <c r="E70" s="62" t="e">
        <f t="shared" ca="1" si="5"/>
        <v>#N/A</v>
      </c>
      <c r="F70" s="57" t="e">
        <f t="shared" ca="1" si="6"/>
        <v>#N/A</v>
      </c>
      <c r="G70" s="62" t="e">
        <f t="shared" ca="1" si="7"/>
        <v>#N/A</v>
      </c>
      <c r="H70" s="67" t="e">
        <f ca="1">INDEX(RESULTADOS!$A:$BA,MATCH($A70,RESULTADOS!$A:$A,0),MATCH(H$1,RESULTADOS!$1:$1,0))</f>
        <v>#N/A</v>
      </c>
      <c r="I70" s="56" t="e">
        <f t="shared" ca="1" si="8"/>
        <v>#N/A</v>
      </c>
      <c r="J70" s="110" t="e">
        <f t="shared" ca="1" si="9"/>
        <v>#N/A</v>
      </c>
      <c r="K70" s="57" t="e">
        <f t="shared" ca="1" si="2"/>
        <v>#N/A</v>
      </c>
      <c r="L70" s="56" t="e">
        <f t="shared" ref="L70:L80" ca="1" si="24">K70</f>
        <v>#N/A</v>
      </c>
      <c r="M70" s="62" t="e">
        <f t="shared" ref="M70:M80" ca="1" si="25">((J70*(24-$J$3)+J69*$J$3)/24)+L70</f>
        <v>#N/A</v>
      </c>
      <c r="N70" s="56" t="e">
        <f t="shared" ca="1" si="12"/>
        <v>#N/A</v>
      </c>
      <c r="O70" s="62" t="e">
        <f t="shared" ref="O70:O80" ca="1" si="26">((M70*(24-$M$3)+M69*$M$3)/24)+N70</f>
        <v>#N/A</v>
      </c>
      <c r="P70" s="56" t="e">
        <f t="shared" ca="1" si="14"/>
        <v>#N/A</v>
      </c>
      <c r="Q70" s="62" t="e">
        <f t="shared" ref="Q70:Q80" ca="1" si="27">((O70*(24-$O$3)+O69*$O$3)/24)+P70</f>
        <v>#N/A</v>
      </c>
      <c r="R70" s="67" t="e">
        <f ca="1">INDEX(RESULTADOS!$A:$BA,MATCH($A70,RESULTADOS!$A:$A,0),MATCH(R$1,RESULTADOS!$1:$1,0))</f>
        <v>#N/A</v>
      </c>
      <c r="S70" s="64" t="e">
        <f t="shared" ref="S70:S80" ca="1" si="28">R70</f>
        <v>#N/A</v>
      </c>
      <c r="T70" s="67" t="e">
        <f ca="1">INDEX(RESULTADOS!$A:$BA,MATCH($A70,RESULTADOS!$A:$A,0),MATCH(T$1,RESULTADOS!$1:$1,0))</f>
        <v>#N/A</v>
      </c>
      <c r="U70" s="110" t="e">
        <f t="shared" ca="1" si="17"/>
        <v>#N/A</v>
      </c>
      <c r="V70" s="62" t="e">
        <f t="shared" ca="1" si="18"/>
        <v>#N/A</v>
      </c>
      <c r="W70" s="67" t="e">
        <f ca="1">INDEX(RESULTADOS!$A:$BA,MATCH($A70,RESULTADOS!$A:$A,0),MATCH(W$1,RESULTADOS!$1:$1,0))</f>
        <v>#N/A</v>
      </c>
      <c r="X70" s="56" t="e">
        <f t="shared" ca="1" si="19"/>
        <v>#N/A</v>
      </c>
      <c r="Y70" s="62" t="e">
        <f t="shared" ca="1" si="20"/>
        <v>#N/A</v>
      </c>
      <c r="Z70" s="57" t="e">
        <f t="shared" ca="1" si="3"/>
        <v>#N/A</v>
      </c>
      <c r="AA70" s="110" t="e">
        <f t="shared" ca="1" si="22"/>
        <v>#N/A</v>
      </c>
      <c r="AB70" s="62" t="e">
        <f t="shared" ref="AB70:AB80" ca="1" si="29">((Y70*(24-$Y$3)+Y69*$Y$3)/24)+AA70</f>
        <v>#N/A</v>
      </c>
    </row>
    <row r="71" spans="1:28" s="121" customFormat="1" x14ac:dyDescent="0.2">
      <c r="A71" s="49">
        <f t="shared" ca="1" si="23"/>
        <v>43870</v>
      </c>
      <c r="B71" s="67" t="e">
        <f ca="1">INDEX(RESULTADOS!$A:$BA,MATCH($A71,RESULTADOS!$A:$A,0),MATCH(B$1,RESULTADOS!$1:$1,0))</f>
        <v>#N/A</v>
      </c>
      <c r="C71" s="67" t="e">
        <f ca="1">INDEX(RESULTADOS!$A:$BA,MATCH($A71,RESULTADOS!$A:$A,0),MATCH(C$1,RESULTADOS!$1:$1,0))</f>
        <v>#N/A</v>
      </c>
      <c r="D71" s="56" t="e">
        <f t="shared" ca="1" si="4"/>
        <v>#N/A</v>
      </c>
      <c r="E71" s="62" t="e">
        <f t="shared" ca="1" si="5"/>
        <v>#N/A</v>
      </c>
      <c r="F71" s="57" t="e">
        <f t="shared" ca="1" si="6"/>
        <v>#N/A</v>
      </c>
      <c r="G71" s="62" t="e">
        <f t="shared" ca="1" si="7"/>
        <v>#N/A</v>
      </c>
      <c r="H71" s="67" t="e">
        <f ca="1">INDEX(RESULTADOS!$A:$BA,MATCH($A71,RESULTADOS!$A:$A,0),MATCH(H$1,RESULTADOS!$1:$1,0))</f>
        <v>#N/A</v>
      </c>
      <c r="I71" s="56" t="e">
        <f t="shared" ca="1" si="8"/>
        <v>#N/A</v>
      </c>
      <c r="J71" s="110" t="e">
        <f t="shared" ca="1" si="9"/>
        <v>#N/A</v>
      </c>
      <c r="K71" s="57" t="e">
        <f t="shared" ca="1" si="2"/>
        <v>#N/A</v>
      </c>
      <c r="L71" s="56" t="e">
        <f t="shared" ca="1" si="24"/>
        <v>#N/A</v>
      </c>
      <c r="M71" s="62" t="e">
        <f t="shared" ca="1" si="25"/>
        <v>#N/A</v>
      </c>
      <c r="N71" s="56" t="e">
        <f t="shared" ca="1" si="12"/>
        <v>#N/A</v>
      </c>
      <c r="O71" s="62" t="e">
        <f t="shared" ca="1" si="26"/>
        <v>#N/A</v>
      </c>
      <c r="P71" s="56" t="e">
        <f t="shared" ca="1" si="14"/>
        <v>#N/A</v>
      </c>
      <c r="Q71" s="62" t="e">
        <f t="shared" ca="1" si="27"/>
        <v>#N/A</v>
      </c>
      <c r="R71" s="67" t="e">
        <f ca="1">INDEX(RESULTADOS!$A:$BA,MATCH($A71,RESULTADOS!$A:$A,0),MATCH(R$1,RESULTADOS!$1:$1,0))</f>
        <v>#N/A</v>
      </c>
      <c r="S71" s="64" t="e">
        <f t="shared" ca="1" si="28"/>
        <v>#N/A</v>
      </c>
      <c r="T71" s="67" t="e">
        <f ca="1">INDEX(RESULTADOS!$A:$BA,MATCH($A71,RESULTADOS!$A:$A,0),MATCH(T$1,RESULTADOS!$1:$1,0))</f>
        <v>#N/A</v>
      </c>
      <c r="U71" s="110" t="e">
        <f t="shared" ca="1" si="17"/>
        <v>#N/A</v>
      </c>
      <c r="V71" s="62" t="e">
        <f t="shared" ca="1" si="18"/>
        <v>#N/A</v>
      </c>
      <c r="W71" s="67" t="e">
        <f ca="1">INDEX(RESULTADOS!$A:$BA,MATCH($A71,RESULTADOS!$A:$A,0),MATCH(W$1,RESULTADOS!$1:$1,0))</f>
        <v>#N/A</v>
      </c>
      <c r="X71" s="56" t="e">
        <f t="shared" ca="1" si="19"/>
        <v>#N/A</v>
      </c>
      <c r="Y71" s="62" t="e">
        <f t="shared" ca="1" si="20"/>
        <v>#N/A</v>
      </c>
      <c r="Z71" s="57" t="e">
        <f t="shared" ca="1" si="3"/>
        <v>#N/A</v>
      </c>
      <c r="AA71" s="110" t="e">
        <f t="shared" ca="1" si="22"/>
        <v>#N/A</v>
      </c>
      <c r="AB71" s="62" t="e">
        <f t="shared" ca="1" si="29"/>
        <v>#N/A</v>
      </c>
    </row>
    <row r="72" spans="1:28" s="121" customFormat="1" x14ac:dyDescent="0.2">
      <c r="A72" s="49">
        <f t="shared" ca="1" si="23"/>
        <v>43871</v>
      </c>
      <c r="B72" s="67" t="e">
        <f ca="1">INDEX(RESULTADOS!$A:$BA,MATCH($A72,RESULTADOS!$A:$A,0),MATCH(B$1,RESULTADOS!$1:$1,0))</f>
        <v>#N/A</v>
      </c>
      <c r="C72" s="67" t="e">
        <f ca="1">INDEX(RESULTADOS!$A:$BA,MATCH($A72,RESULTADOS!$A:$A,0),MATCH(C$1,RESULTADOS!$1:$1,0))</f>
        <v>#N/A</v>
      </c>
      <c r="D72" s="56" t="e">
        <f t="shared" ref="D72:D110" ca="1" si="30">$D$4*$C72</f>
        <v>#N/A</v>
      </c>
      <c r="E72" s="62" t="e">
        <f t="shared" ca="1" si="5"/>
        <v>#N/A</v>
      </c>
      <c r="F72" s="57" t="e">
        <f t="shared" ref="F72:F110" ca="1" si="31">$F$4*$C72</f>
        <v>#N/A</v>
      </c>
      <c r="G72" s="62" t="e">
        <f t="shared" ca="1" si="7"/>
        <v>#N/A</v>
      </c>
      <c r="H72" s="67" t="e">
        <f ca="1">INDEX(RESULTADOS!$A:$BA,MATCH($A72,RESULTADOS!$A:$A,0),MATCH(H$1,RESULTADOS!$1:$1,0))</f>
        <v>#N/A</v>
      </c>
      <c r="I72" s="56" t="e">
        <f t="shared" ref="I72:I110" ca="1" si="32">$I$4*$H72</f>
        <v>#N/A</v>
      </c>
      <c r="J72" s="110" t="e">
        <f t="shared" ca="1" si="9"/>
        <v>#N/A</v>
      </c>
      <c r="K72" s="57" t="e">
        <f t="shared" ref="K72:K110" ca="1" si="33">$K$4*$H72</f>
        <v>#N/A</v>
      </c>
      <c r="L72" s="56" t="e">
        <f t="shared" ca="1" si="24"/>
        <v>#N/A</v>
      </c>
      <c r="M72" s="62" t="e">
        <f t="shared" ca="1" si="25"/>
        <v>#N/A</v>
      </c>
      <c r="N72" s="56" t="e">
        <f t="shared" ref="N72:N110" ca="1" si="34">$N$4*$H72</f>
        <v>#N/A</v>
      </c>
      <c r="O72" s="62" t="e">
        <f t="shared" ca="1" si="26"/>
        <v>#N/A</v>
      </c>
      <c r="P72" s="56" t="e">
        <f t="shared" ca="1" si="14"/>
        <v>#N/A</v>
      </c>
      <c r="Q72" s="62" t="e">
        <f t="shared" ca="1" si="27"/>
        <v>#N/A</v>
      </c>
      <c r="R72" s="67" t="e">
        <f ca="1">INDEX(RESULTADOS!$A:$BA,MATCH($A72,RESULTADOS!$A:$A,0),MATCH(R$1,RESULTADOS!$1:$1,0))</f>
        <v>#N/A</v>
      </c>
      <c r="S72" s="64" t="e">
        <f t="shared" ca="1" si="28"/>
        <v>#N/A</v>
      </c>
      <c r="T72" s="67" t="e">
        <f ca="1">INDEX(RESULTADOS!$A:$BA,MATCH($A72,RESULTADOS!$A:$A,0),MATCH(T$1,RESULTADOS!$1:$1,0))</f>
        <v>#N/A</v>
      </c>
      <c r="U72" s="110" t="e">
        <f t="shared" ca="1" si="17"/>
        <v>#N/A</v>
      </c>
      <c r="V72" s="62" t="e">
        <f t="shared" ca="1" si="18"/>
        <v>#N/A</v>
      </c>
      <c r="W72" s="67" t="e">
        <f ca="1">INDEX(RESULTADOS!$A:$BA,MATCH($A72,RESULTADOS!$A:$A,0),MATCH(W$1,RESULTADOS!$1:$1,0))</f>
        <v>#N/A</v>
      </c>
      <c r="X72" s="56" t="e">
        <f t="shared" ca="1" si="19"/>
        <v>#N/A</v>
      </c>
      <c r="Y72" s="62" t="e">
        <f t="shared" ca="1" si="20"/>
        <v>#N/A</v>
      </c>
      <c r="Z72" s="57" t="e">
        <f t="shared" ref="Z72:Z110" ca="1" si="35">$Z$4*$W72</f>
        <v>#N/A</v>
      </c>
      <c r="AA72" s="110" t="e">
        <f t="shared" ca="1" si="22"/>
        <v>#N/A</v>
      </c>
      <c r="AB72" s="62" t="e">
        <f t="shared" ca="1" si="29"/>
        <v>#N/A</v>
      </c>
    </row>
    <row r="73" spans="1:28" s="121" customFormat="1" x14ac:dyDescent="0.2">
      <c r="A73" s="49">
        <f t="shared" ca="1" si="23"/>
        <v>43872</v>
      </c>
      <c r="B73" s="67" t="e">
        <f ca="1">INDEX(RESULTADOS!$A:$BA,MATCH($A73,RESULTADOS!$A:$A,0),MATCH(B$1,RESULTADOS!$1:$1,0))</f>
        <v>#N/A</v>
      </c>
      <c r="C73" s="67" t="e">
        <f ca="1">INDEX(RESULTADOS!$A:$BA,MATCH($A73,RESULTADOS!$A:$A,0),MATCH(C$1,RESULTADOS!$1:$1,0))</f>
        <v>#N/A</v>
      </c>
      <c r="D73" s="56" t="e">
        <f t="shared" ca="1" si="30"/>
        <v>#N/A</v>
      </c>
      <c r="E73" s="62" t="e">
        <f t="shared" ca="1" si="5"/>
        <v>#N/A</v>
      </c>
      <c r="F73" s="57" t="e">
        <f t="shared" ca="1" si="31"/>
        <v>#N/A</v>
      </c>
      <c r="G73" s="62" t="e">
        <f t="shared" ca="1" si="7"/>
        <v>#N/A</v>
      </c>
      <c r="H73" s="67" t="e">
        <f ca="1">INDEX(RESULTADOS!$A:$BA,MATCH($A73,RESULTADOS!$A:$A,0),MATCH(H$1,RESULTADOS!$1:$1,0))</f>
        <v>#N/A</v>
      </c>
      <c r="I73" s="56" t="e">
        <f t="shared" ca="1" si="32"/>
        <v>#N/A</v>
      </c>
      <c r="J73" s="110" t="e">
        <f t="shared" ca="1" si="9"/>
        <v>#N/A</v>
      </c>
      <c r="K73" s="57" t="e">
        <f t="shared" ca="1" si="33"/>
        <v>#N/A</v>
      </c>
      <c r="L73" s="56" t="e">
        <f t="shared" ca="1" si="24"/>
        <v>#N/A</v>
      </c>
      <c r="M73" s="62" t="e">
        <f t="shared" ca="1" si="25"/>
        <v>#N/A</v>
      </c>
      <c r="N73" s="56" t="e">
        <f t="shared" ca="1" si="34"/>
        <v>#N/A</v>
      </c>
      <c r="O73" s="62" t="e">
        <f t="shared" ca="1" si="26"/>
        <v>#N/A</v>
      </c>
      <c r="P73" s="56" t="e">
        <f t="shared" ref="P73:P110" ca="1" si="36">$P$4*$H73</f>
        <v>#N/A</v>
      </c>
      <c r="Q73" s="62" t="e">
        <f t="shared" ca="1" si="27"/>
        <v>#N/A</v>
      </c>
      <c r="R73" s="67" t="e">
        <f ca="1">INDEX(RESULTADOS!$A:$BA,MATCH($A73,RESULTADOS!$A:$A,0),MATCH(R$1,RESULTADOS!$1:$1,0))</f>
        <v>#N/A</v>
      </c>
      <c r="S73" s="64" t="e">
        <f t="shared" ca="1" si="28"/>
        <v>#N/A</v>
      </c>
      <c r="T73" s="67" t="e">
        <f ca="1">INDEX(RESULTADOS!$A:$BA,MATCH($A73,RESULTADOS!$A:$A,0),MATCH(T$1,RESULTADOS!$1:$1,0))</f>
        <v>#N/A</v>
      </c>
      <c r="U73" s="110" t="e">
        <f t="shared" ca="1" si="17"/>
        <v>#N/A</v>
      </c>
      <c r="V73" s="62" t="e">
        <f t="shared" ca="1" si="18"/>
        <v>#N/A</v>
      </c>
      <c r="W73" s="67" t="e">
        <f ca="1">INDEX(RESULTADOS!$A:$BA,MATCH($A73,RESULTADOS!$A:$A,0),MATCH(W$1,RESULTADOS!$1:$1,0))</f>
        <v>#N/A</v>
      </c>
      <c r="X73" s="56" t="e">
        <f t="shared" ref="X73:X110" ca="1" si="37">$X$4*$W73</f>
        <v>#N/A</v>
      </c>
      <c r="Y73" s="62" t="e">
        <f t="shared" ca="1" si="20"/>
        <v>#N/A</v>
      </c>
      <c r="Z73" s="57" t="e">
        <f t="shared" ca="1" si="35"/>
        <v>#N/A</v>
      </c>
      <c r="AA73" s="110" t="e">
        <f t="shared" ca="1" si="22"/>
        <v>#N/A</v>
      </c>
      <c r="AB73" s="62" t="e">
        <f t="shared" ca="1" si="29"/>
        <v>#N/A</v>
      </c>
    </row>
    <row r="74" spans="1:28" s="121" customFormat="1" x14ac:dyDescent="0.2">
      <c r="A74" s="49">
        <f t="shared" ca="1" si="23"/>
        <v>43873</v>
      </c>
      <c r="B74" s="67" t="e">
        <f ca="1">INDEX(RESULTADOS!$A:$BA,MATCH($A74,RESULTADOS!$A:$A,0),MATCH(B$1,RESULTADOS!$1:$1,0))</f>
        <v>#N/A</v>
      </c>
      <c r="C74" s="67" t="e">
        <f ca="1">INDEX(RESULTADOS!$A:$BA,MATCH($A74,RESULTADOS!$A:$A,0),MATCH(C$1,RESULTADOS!$1:$1,0))</f>
        <v>#N/A</v>
      </c>
      <c r="D74" s="56" t="e">
        <f t="shared" ca="1" si="30"/>
        <v>#N/A</v>
      </c>
      <c r="E74" s="62" t="e">
        <f t="shared" ca="1" si="5"/>
        <v>#N/A</v>
      </c>
      <c r="F74" s="57" t="e">
        <f t="shared" ca="1" si="31"/>
        <v>#N/A</v>
      </c>
      <c r="G74" s="62" t="e">
        <f t="shared" ca="1" si="7"/>
        <v>#N/A</v>
      </c>
      <c r="H74" s="67" t="e">
        <f ca="1">INDEX(RESULTADOS!$A:$BA,MATCH($A74,RESULTADOS!$A:$A,0),MATCH(H$1,RESULTADOS!$1:$1,0))</f>
        <v>#N/A</v>
      </c>
      <c r="I74" s="56" t="e">
        <f t="shared" ca="1" si="32"/>
        <v>#N/A</v>
      </c>
      <c r="J74" s="110" t="e">
        <f t="shared" ca="1" si="9"/>
        <v>#N/A</v>
      </c>
      <c r="K74" s="57" t="e">
        <f t="shared" ca="1" si="33"/>
        <v>#N/A</v>
      </c>
      <c r="L74" s="56" t="e">
        <f t="shared" ca="1" si="24"/>
        <v>#N/A</v>
      </c>
      <c r="M74" s="62" t="e">
        <f t="shared" ca="1" si="25"/>
        <v>#N/A</v>
      </c>
      <c r="N74" s="56" t="e">
        <f t="shared" ca="1" si="34"/>
        <v>#N/A</v>
      </c>
      <c r="O74" s="62" t="e">
        <f t="shared" ca="1" si="26"/>
        <v>#N/A</v>
      </c>
      <c r="P74" s="56" t="e">
        <f t="shared" ca="1" si="36"/>
        <v>#N/A</v>
      </c>
      <c r="Q74" s="62" t="e">
        <f t="shared" ca="1" si="27"/>
        <v>#N/A</v>
      </c>
      <c r="R74" s="67" t="e">
        <f ca="1">INDEX(RESULTADOS!$A:$BA,MATCH($A74,RESULTADOS!$A:$A,0),MATCH(R$1,RESULTADOS!$1:$1,0))</f>
        <v>#N/A</v>
      </c>
      <c r="S74" s="64" t="e">
        <f t="shared" ca="1" si="28"/>
        <v>#N/A</v>
      </c>
      <c r="T74" s="67" t="e">
        <f ca="1">INDEX(RESULTADOS!$A:$BA,MATCH($A74,RESULTADOS!$A:$A,0),MATCH(T$1,RESULTADOS!$1:$1,0))</f>
        <v>#N/A</v>
      </c>
      <c r="U74" s="110" t="e">
        <f t="shared" ca="1" si="17"/>
        <v>#N/A</v>
      </c>
      <c r="V74" s="62" t="e">
        <f t="shared" ca="1" si="18"/>
        <v>#N/A</v>
      </c>
      <c r="W74" s="67" t="e">
        <f ca="1">INDEX(RESULTADOS!$A:$BA,MATCH($A74,RESULTADOS!$A:$A,0),MATCH(W$1,RESULTADOS!$1:$1,0))</f>
        <v>#N/A</v>
      </c>
      <c r="X74" s="56" t="e">
        <f t="shared" ca="1" si="37"/>
        <v>#N/A</v>
      </c>
      <c r="Y74" s="62" t="e">
        <f t="shared" ca="1" si="20"/>
        <v>#N/A</v>
      </c>
      <c r="Z74" s="57" t="e">
        <f t="shared" ca="1" si="35"/>
        <v>#N/A</v>
      </c>
      <c r="AA74" s="110" t="e">
        <f t="shared" ca="1" si="22"/>
        <v>#N/A</v>
      </c>
      <c r="AB74" s="62" t="e">
        <f t="shared" ca="1" si="29"/>
        <v>#N/A</v>
      </c>
    </row>
    <row r="75" spans="1:28" s="121" customFormat="1" x14ac:dyDescent="0.2">
      <c r="A75" s="49">
        <f t="shared" ca="1" si="23"/>
        <v>43874</v>
      </c>
      <c r="B75" s="67" t="e">
        <f ca="1">INDEX(RESULTADOS!$A:$BA,MATCH($A75,RESULTADOS!$A:$A,0),MATCH(B$1,RESULTADOS!$1:$1,0))</f>
        <v>#N/A</v>
      </c>
      <c r="C75" s="67" t="e">
        <f ca="1">INDEX(RESULTADOS!$A:$BA,MATCH($A75,RESULTADOS!$A:$A,0),MATCH(C$1,RESULTADOS!$1:$1,0))</f>
        <v>#N/A</v>
      </c>
      <c r="D75" s="56" t="e">
        <f t="shared" ca="1" si="30"/>
        <v>#N/A</v>
      </c>
      <c r="E75" s="62" t="e">
        <f t="shared" ca="1" si="5"/>
        <v>#N/A</v>
      </c>
      <c r="F75" s="57" t="e">
        <f t="shared" ca="1" si="31"/>
        <v>#N/A</v>
      </c>
      <c r="G75" s="62" t="e">
        <f t="shared" ca="1" si="7"/>
        <v>#N/A</v>
      </c>
      <c r="H75" s="67" t="e">
        <f ca="1">INDEX(RESULTADOS!$A:$BA,MATCH($A75,RESULTADOS!$A:$A,0),MATCH(H$1,RESULTADOS!$1:$1,0))</f>
        <v>#N/A</v>
      </c>
      <c r="I75" s="56" t="e">
        <f t="shared" ca="1" si="32"/>
        <v>#N/A</v>
      </c>
      <c r="J75" s="110" t="e">
        <f t="shared" ca="1" si="9"/>
        <v>#N/A</v>
      </c>
      <c r="K75" s="57" t="e">
        <f t="shared" ca="1" si="33"/>
        <v>#N/A</v>
      </c>
      <c r="L75" s="56" t="e">
        <f t="shared" ca="1" si="24"/>
        <v>#N/A</v>
      </c>
      <c r="M75" s="62" t="e">
        <f t="shared" ca="1" si="25"/>
        <v>#N/A</v>
      </c>
      <c r="N75" s="56" t="e">
        <f t="shared" ca="1" si="34"/>
        <v>#N/A</v>
      </c>
      <c r="O75" s="62" t="e">
        <f t="shared" ca="1" si="26"/>
        <v>#N/A</v>
      </c>
      <c r="P75" s="56" t="e">
        <f t="shared" ca="1" si="36"/>
        <v>#N/A</v>
      </c>
      <c r="Q75" s="62" t="e">
        <f t="shared" ca="1" si="27"/>
        <v>#N/A</v>
      </c>
      <c r="R75" s="67" t="e">
        <f ca="1">INDEX(RESULTADOS!$A:$BA,MATCH($A75,RESULTADOS!$A:$A,0),MATCH(R$1,RESULTADOS!$1:$1,0))</f>
        <v>#N/A</v>
      </c>
      <c r="S75" s="64" t="e">
        <f t="shared" ca="1" si="28"/>
        <v>#N/A</v>
      </c>
      <c r="T75" s="67" t="e">
        <f ca="1">INDEX(RESULTADOS!$A:$BA,MATCH($A75,RESULTADOS!$A:$A,0),MATCH(T$1,RESULTADOS!$1:$1,0))</f>
        <v>#N/A</v>
      </c>
      <c r="U75" s="110" t="e">
        <f t="shared" ca="1" si="17"/>
        <v>#N/A</v>
      </c>
      <c r="V75" s="62" t="e">
        <f t="shared" ca="1" si="18"/>
        <v>#N/A</v>
      </c>
      <c r="W75" s="67" t="e">
        <f ca="1">INDEX(RESULTADOS!$A:$BA,MATCH($A75,RESULTADOS!$A:$A,0),MATCH(W$1,RESULTADOS!$1:$1,0))</f>
        <v>#N/A</v>
      </c>
      <c r="X75" s="56" t="e">
        <f t="shared" ca="1" si="37"/>
        <v>#N/A</v>
      </c>
      <c r="Y75" s="62" t="e">
        <f t="shared" ca="1" si="20"/>
        <v>#N/A</v>
      </c>
      <c r="Z75" s="57" t="e">
        <f t="shared" ca="1" si="35"/>
        <v>#N/A</v>
      </c>
      <c r="AA75" s="110" t="e">
        <f t="shared" ca="1" si="22"/>
        <v>#N/A</v>
      </c>
      <c r="AB75" s="62" t="e">
        <f t="shared" ca="1" si="29"/>
        <v>#N/A</v>
      </c>
    </row>
    <row r="76" spans="1:28" s="121" customFormat="1" x14ac:dyDescent="0.2">
      <c r="A76" s="49">
        <f t="shared" ca="1" si="23"/>
        <v>43875</v>
      </c>
      <c r="B76" s="67" t="e">
        <f ca="1">INDEX(RESULTADOS!$A:$BA,MATCH($A76,RESULTADOS!$A:$A,0),MATCH(B$1,RESULTADOS!$1:$1,0))</f>
        <v>#N/A</v>
      </c>
      <c r="C76" s="67" t="e">
        <f ca="1">INDEX(RESULTADOS!$A:$BA,MATCH($A76,RESULTADOS!$A:$A,0),MATCH(C$1,RESULTADOS!$1:$1,0))</f>
        <v>#N/A</v>
      </c>
      <c r="D76" s="56" t="e">
        <f t="shared" ca="1" si="30"/>
        <v>#N/A</v>
      </c>
      <c r="E76" s="62" t="e">
        <f t="shared" ca="1" si="5"/>
        <v>#N/A</v>
      </c>
      <c r="F76" s="57" t="e">
        <f t="shared" ca="1" si="31"/>
        <v>#N/A</v>
      </c>
      <c r="G76" s="62" t="e">
        <f t="shared" ca="1" si="7"/>
        <v>#N/A</v>
      </c>
      <c r="H76" s="67" t="e">
        <f ca="1">INDEX(RESULTADOS!$A:$BA,MATCH($A76,RESULTADOS!$A:$A,0),MATCH(H$1,RESULTADOS!$1:$1,0))</f>
        <v>#N/A</v>
      </c>
      <c r="I76" s="56" t="e">
        <f t="shared" ca="1" si="32"/>
        <v>#N/A</v>
      </c>
      <c r="J76" s="110" t="e">
        <f t="shared" ca="1" si="9"/>
        <v>#N/A</v>
      </c>
      <c r="K76" s="57" t="e">
        <f t="shared" ca="1" si="33"/>
        <v>#N/A</v>
      </c>
      <c r="L76" s="56" t="e">
        <f t="shared" ca="1" si="24"/>
        <v>#N/A</v>
      </c>
      <c r="M76" s="62" t="e">
        <f t="shared" ca="1" si="25"/>
        <v>#N/A</v>
      </c>
      <c r="N76" s="56" t="e">
        <f t="shared" ca="1" si="34"/>
        <v>#N/A</v>
      </c>
      <c r="O76" s="62" t="e">
        <f t="shared" ca="1" si="26"/>
        <v>#N/A</v>
      </c>
      <c r="P76" s="56" t="e">
        <f t="shared" ca="1" si="36"/>
        <v>#N/A</v>
      </c>
      <c r="Q76" s="62" t="e">
        <f t="shared" ca="1" si="27"/>
        <v>#N/A</v>
      </c>
      <c r="R76" s="67" t="e">
        <f ca="1">INDEX(RESULTADOS!$A:$BA,MATCH($A76,RESULTADOS!$A:$A,0),MATCH(R$1,RESULTADOS!$1:$1,0))</f>
        <v>#N/A</v>
      </c>
      <c r="S76" s="64" t="e">
        <f t="shared" ca="1" si="28"/>
        <v>#N/A</v>
      </c>
      <c r="T76" s="67" t="e">
        <f ca="1">INDEX(RESULTADOS!$A:$BA,MATCH($A76,RESULTADOS!$A:$A,0),MATCH(T$1,RESULTADOS!$1:$1,0))</f>
        <v>#N/A</v>
      </c>
      <c r="U76" s="110" t="e">
        <f t="shared" ca="1" si="17"/>
        <v>#N/A</v>
      </c>
      <c r="V76" s="62" t="e">
        <f t="shared" ca="1" si="18"/>
        <v>#N/A</v>
      </c>
      <c r="W76" s="67" t="e">
        <f ca="1">INDEX(RESULTADOS!$A:$BA,MATCH($A76,RESULTADOS!$A:$A,0),MATCH(W$1,RESULTADOS!$1:$1,0))</f>
        <v>#N/A</v>
      </c>
      <c r="X76" s="56" t="e">
        <f t="shared" ca="1" si="37"/>
        <v>#N/A</v>
      </c>
      <c r="Y76" s="62" t="e">
        <f t="shared" ca="1" si="20"/>
        <v>#N/A</v>
      </c>
      <c r="Z76" s="57" t="e">
        <f t="shared" ca="1" si="35"/>
        <v>#N/A</v>
      </c>
      <c r="AA76" s="110" t="e">
        <f t="shared" ca="1" si="22"/>
        <v>#N/A</v>
      </c>
      <c r="AB76" s="62" t="e">
        <f t="shared" ca="1" si="29"/>
        <v>#N/A</v>
      </c>
    </row>
    <row r="77" spans="1:28" s="121" customFormat="1" x14ac:dyDescent="0.2">
      <c r="A77" s="49">
        <f t="shared" ca="1" si="23"/>
        <v>43876</v>
      </c>
      <c r="B77" s="67" t="e">
        <f ca="1">INDEX(RESULTADOS!$A:$BA,MATCH($A77,RESULTADOS!$A:$A,0),MATCH(B$1,RESULTADOS!$1:$1,0))</f>
        <v>#N/A</v>
      </c>
      <c r="C77" s="67" t="e">
        <f ca="1">INDEX(RESULTADOS!$A:$BA,MATCH($A77,RESULTADOS!$A:$A,0),MATCH(C$1,RESULTADOS!$1:$1,0))</f>
        <v>#N/A</v>
      </c>
      <c r="D77" s="56" t="e">
        <f t="shared" ca="1" si="30"/>
        <v>#N/A</v>
      </c>
      <c r="E77" s="62" t="e">
        <f t="shared" ca="1" si="5"/>
        <v>#N/A</v>
      </c>
      <c r="F77" s="57" t="e">
        <f t="shared" ca="1" si="31"/>
        <v>#N/A</v>
      </c>
      <c r="G77" s="62" t="e">
        <f t="shared" ca="1" si="7"/>
        <v>#N/A</v>
      </c>
      <c r="H77" s="67" t="e">
        <f ca="1">INDEX(RESULTADOS!$A:$BA,MATCH($A77,RESULTADOS!$A:$A,0),MATCH(H$1,RESULTADOS!$1:$1,0))</f>
        <v>#N/A</v>
      </c>
      <c r="I77" s="56" t="e">
        <f t="shared" ca="1" si="32"/>
        <v>#N/A</v>
      </c>
      <c r="J77" s="110" t="e">
        <f t="shared" ca="1" si="9"/>
        <v>#N/A</v>
      </c>
      <c r="K77" s="57" t="e">
        <f t="shared" ca="1" si="33"/>
        <v>#N/A</v>
      </c>
      <c r="L77" s="56" t="e">
        <f t="shared" ca="1" si="24"/>
        <v>#N/A</v>
      </c>
      <c r="M77" s="62" t="e">
        <f t="shared" ca="1" si="25"/>
        <v>#N/A</v>
      </c>
      <c r="N77" s="56" t="e">
        <f t="shared" ca="1" si="34"/>
        <v>#N/A</v>
      </c>
      <c r="O77" s="62" t="e">
        <f t="shared" ca="1" si="26"/>
        <v>#N/A</v>
      </c>
      <c r="P77" s="56" t="e">
        <f t="shared" ca="1" si="36"/>
        <v>#N/A</v>
      </c>
      <c r="Q77" s="62" t="e">
        <f t="shared" ca="1" si="27"/>
        <v>#N/A</v>
      </c>
      <c r="R77" s="67" t="e">
        <f ca="1">INDEX(RESULTADOS!$A:$BA,MATCH($A77,RESULTADOS!$A:$A,0),MATCH(R$1,RESULTADOS!$1:$1,0))</f>
        <v>#N/A</v>
      </c>
      <c r="S77" s="64" t="e">
        <f t="shared" ca="1" si="28"/>
        <v>#N/A</v>
      </c>
      <c r="T77" s="67" t="e">
        <f ca="1">INDEX(RESULTADOS!$A:$BA,MATCH($A77,RESULTADOS!$A:$A,0),MATCH(T$1,RESULTADOS!$1:$1,0))</f>
        <v>#N/A</v>
      </c>
      <c r="U77" s="110" t="e">
        <f t="shared" ca="1" si="17"/>
        <v>#N/A</v>
      </c>
      <c r="V77" s="62" t="e">
        <f t="shared" ca="1" si="18"/>
        <v>#N/A</v>
      </c>
      <c r="W77" s="67" t="e">
        <f ca="1">INDEX(RESULTADOS!$A:$BA,MATCH($A77,RESULTADOS!$A:$A,0),MATCH(W$1,RESULTADOS!$1:$1,0))</f>
        <v>#N/A</v>
      </c>
      <c r="X77" s="56" t="e">
        <f t="shared" ca="1" si="37"/>
        <v>#N/A</v>
      </c>
      <c r="Y77" s="62" t="e">
        <f t="shared" ca="1" si="20"/>
        <v>#N/A</v>
      </c>
      <c r="Z77" s="57" t="e">
        <f t="shared" ca="1" si="35"/>
        <v>#N/A</v>
      </c>
      <c r="AA77" s="110" t="e">
        <f t="shared" ca="1" si="22"/>
        <v>#N/A</v>
      </c>
      <c r="AB77" s="62" t="e">
        <f t="shared" ca="1" si="29"/>
        <v>#N/A</v>
      </c>
    </row>
    <row r="78" spans="1:28" s="121" customFormat="1" x14ac:dyDescent="0.2">
      <c r="A78" s="49">
        <f t="shared" ca="1" si="23"/>
        <v>43877</v>
      </c>
      <c r="B78" s="67" t="e">
        <f ca="1">INDEX(RESULTADOS!$A:$BA,MATCH($A78,RESULTADOS!$A:$A,0),MATCH(B$1,RESULTADOS!$1:$1,0))</f>
        <v>#N/A</v>
      </c>
      <c r="C78" s="67" t="e">
        <f ca="1">INDEX(RESULTADOS!$A:$BA,MATCH($A78,RESULTADOS!$A:$A,0),MATCH(C$1,RESULTADOS!$1:$1,0))</f>
        <v>#N/A</v>
      </c>
      <c r="D78" s="56" t="e">
        <f t="shared" ca="1" si="30"/>
        <v>#N/A</v>
      </c>
      <c r="E78" s="62" t="e">
        <f t="shared" ca="1" si="5"/>
        <v>#N/A</v>
      </c>
      <c r="F78" s="57" t="e">
        <f t="shared" ca="1" si="31"/>
        <v>#N/A</v>
      </c>
      <c r="G78" s="62" t="e">
        <f t="shared" ca="1" si="7"/>
        <v>#N/A</v>
      </c>
      <c r="H78" s="67" t="e">
        <f ca="1">INDEX(RESULTADOS!$A:$BA,MATCH($A78,RESULTADOS!$A:$A,0),MATCH(H$1,RESULTADOS!$1:$1,0))</f>
        <v>#N/A</v>
      </c>
      <c r="I78" s="56" t="e">
        <f t="shared" ca="1" si="32"/>
        <v>#N/A</v>
      </c>
      <c r="J78" s="110" t="e">
        <f t="shared" ca="1" si="9"/>
        <v>#N/A</v>
      </c>
      <c r="K78" s="57" t="e">
        <f t="shared" ca="1" si="33"/>
        <v>#N/A</v>
      </c>
      <c r="L78" s="56" t="e">
        <f t="shared" ca="1" si="24"/>
        <v>#N/A</v>
      </c>
      <c r="M78" s="62" t="e">
        <f t="shared" ca="1" si="25"/>
        <v>#N/A</v>
      </c>
      <c r="N78" s="56" t="e">
        <f t="shared" ca="1" si="34"/>
        <v>#N/A</v>
      </c>
      <c r="O78" s="62" t="e">
        <f t="shared" ca="1" si="26"/>
        <v>#N/A</v>
      </c>
      <c r="P78" s="56" t="e">
        <f t="shared" ca="1" si="36"/>
        <v>#N/A</v>
      </c>
      <c r="Q78" s="62" t="e">
        <f t="shared" ca="1" si="27"/>
        <v>#N/A</v>
      </c>
      <c r="R78" s="67" t="e">
        <f ca="1">INDEX(RESULTADOS!$A:$BA,MATCH($A78,RESULTADOS!$A:$A,0),MATCH(R$1,RESULTADOS!$1:$1,0))</f>
        <v>#N/A</v>
      </c>
      <c r="S78" s="64" t="e">
        <f t="shared" ca="1" si="28"/>
        <v>#N/A</v>
      </c>
      <c r="T78" s="67" t="e">
        <f ca="1">INDEX(RESULTADOS!$A:$BA,MATCH($A78,RESULTADOS!$A:$A,0),MATCH(T$1,RESULTADOS!$1:$1,0))</f>
        <v>#N/A</v>
      </c>
      <c r="U78" s="110" t="e">
        <f t="shared" ca="1" si="17"/>
        <v>#N/A</v>
      </c>
      <c r="V78" s="62" t="e">
        <f t="shared" ca="1" si="18"/>
        <v>#N/A</v>
      </c>
      <c r="W78" s="67" t="e">
        <f ca="1">INDEX(RESULTADOS!$A:$BA,MATCH($A78,RESULTADOS!$A:$A,0),MATCH(W$1,RESULTADOS!$1:$1,0))</f>
        <v>#N/A</v>
      </c>
      <c r="X78" s="56" t="e">
        <f t="shared" ca="1" si="37"/>
        <v>#N/A</v>
      </c>
      <c r="Y78" s="62" t="e">
        <f t="shared" ca="1" si="20"/>
        <v>#N/A</v>
      </c>
      <c r="Z78" s="57" t="e">
        <f t="shared" ca="1" si="35"/>
        <v>#N/A</v>
      </c>
      <c r="AA78" s="110" t="e">
        <f t="shared" ca="1" si="22"/>
        <v>#N/A</v>
      </c>
      <c r="AB78" s="62" t="e">
        <f t="shared" ca="1" si="29"/>
        <v>#N/A</v>
      </c>
    </row>
    <row r="79" spans="1:28" s="121" customFormat="1" x14ac:dyDescent="0.2">
      <c r="A79" s="49">
        <f t="shared" ca="1" si="23"/>
        <v>43878</v>
      </c>
      <c r="B79" s="67" t="e">
        <f ca="1">INDEX(RESULTADOS!$A:$BA,MATCH($A79,RESULTADOS!$A:$A,0),MATCH(B$1,RESULTADOS!$1:$1,0))</f>
        <v>#N/A</v>
      </c>
      <c r="C79" s="67" t="e">
        <f ca="1">INDEX(RESULTADOS!$A:$BA,MATCH($A79,RESULTADOS!$A:$A,0),MATCH(C$1,RESULTADOS!$1:$1,0))</f>
        <v>#N/A</v>
      </c>
      <c r="D79" s="56" t="e">
        <f t="shared" ca="1" si="30"/>
        <v>#N/A</v>
      </c>
      <c r="E79" s="62" t="e">
        <f t="shared" ca="1" si="5"/>
        <v>#N/A</v>
      </c>
      <c r="F79" s="57" t="e">
        <f t="shared" ca="1" si="31"/>
        <v>#N/A</v>
      </c>
      <c r="G79" s="62" t="e">
        <f t="shared" ca="1" si="7"/>
        <v>#N/A</v>
      </c>
      <c r="H79" s="67" t="e">
        <f ca="1">INDEX(RESULTADOS!$A:$BA,MATCH($A79,RESULTADOS!$A:$A,0),MATCH(H$1,RESULTADOS!$1:$1,0))</f>
        <v>#N/A</v>
      </c>
      <c r="I79" s="56" t="e">
        <f t="shared" ca="1" si="32"/>
        <v>#N/A</v>
      </c>
      <c r="J79" s="110" t="e">
        <f t="shared" ca="1" si="9"/>
        <v>#N/A</v>
      </c>
      <c r="K79" s="57" t="e">
        <f t="shared" ca="1" si="33"/>
        <v>#N/A</v>
      </c>
      <c r="L79" s="56" t="e">
        <f t="shared" ca="1" si="24"/>
        <v>#N/A</v>
      </c>
      <c r="M79" s="62" t="e">
        <f t="shared" ca="1" si="25"/>
        <v>#N/A</v>
      </c>
      <c r="N79" s="56" t="e">
        <f t="shared" ca="1" si="34"/>
        <v>#N/A</v>
      </c>
      <c r="O79" s="62" t="e">
        <f t="shared" ca="1" si="26"/>
        <v>#N/A</v>
      </c>
      <c r="P79" s="56" t="e">
        <f t="shared" ca="1" si="36"/>
        <v>#N/A</v>
      </c>
      <c r="Q79" s="62" t="e">
        <f t="shared" ca="1" si="27"/>
        <v>#N/A</v>
      </c>
      <c r="R79" s="67" t="e">
        <f ca="1">INDEX(RESULTADOS!$A:$BA,MATCH($A79,RESULTADOS!$A:$A,0),MATCH(R$1,RESULTADOS!$1:$1,0))</f>
        <v>#N/A</v>
      </c>
      <c r="S79" s="64" t="e">
        <f t="shared" ca="1" si="28"/>
        <v>#N/A</v>
      </c>
      <c r="T79" s="67" t="e">
        <f ca="1">INDEX(RESULTADOS!$A:$BA,MATCH($A79,RESULTADOS!$A:$A,0),MATCH(T$1,RESULTADOS!$1:$1,0))</f>
        <v>#N/A</v>
      </c>
      <c r="U79" s="110" t="e">
        <f t="shared" ca="1" si="17"/>
        <v>#N/A</v>
      </c>
      <c r="V79" s="62" t="e">
        <f t="shared" ca="1" si="18"/>
        <v>#N/A</v>
      </c>
      <c r="W79" s="67" t="e">
        <f ca="1">INDEX(RESULTADOS!$A:$BA,MATCH($A79,RESULTADOS!$A:$A,0),MATCH(W$1,RESULTADOS!$1:$1,0))</f>
        <v>#N/A</v>
      </c>
      <c r="X79" s="56" t="e">
        <f t="shared" ca="1" si="37"/>
        <v>#N/A</v>
      </c>
      <c r="Y79" s="62" t="e">
        <f t="shared" ca="1" si="20"/>
        <v>#N/A</v>
      </c>
      <c r="Z79" s="57" t="e">
        <f t="shared" ca="1" si="35"/>
        <v>#N/A</v>
      </c>
      <c r="AA79" s="110" t="e">
        <f t="shared" ca="1" si="22"/>
        <v>#N/A</v>
      </c>
      <c r="AB79" s="62" t="e">
        <f t="shared" ca="1" si="29"/>
        <v>#N/A</v>
      </c>
    </row>
    <row r="80" spans="1:28" s="121" customFormat="1" x14ac:dyDescent="0.2">
      <c r="A80" s="49">
        <f t="shared" ca="1" si="23"/>
        <v>43879</v>
      </c>
      <c r="B80" s="67" t="e">
        <f ca="1">INDEX(RESULTADOS!$A:$BA,MATCH($A80,RESULTADOS!$A:$A,0),MATCH(B$1,RESULTADOS!$1:$1,0))</f>
        <v>#N/A</v>
      </c>
      <c r="C80" s="67" t="e">
        <f ca="1">INDEX(RESULTADOS!$A:$BA,MATCH($A80,RESULTADOS!$A:$A,0),MATCH(C$1,RESULTADOS!$1:$1,0))</f>
        <v>#N/A</v>
      </c>
      <c r="D80" s="56" t="e">
        <f t="shared" ca="1" si="30"/>
        <v>#N/A</v>
      </c>
      <c r="E80" s="62" t="e">
        <f t="shared" ca="1" si="5"/>
        <v>#N/A</v>
      </c>
      <c r="F80" s="57" t="e">
        <f t="shared" ca="1" si="31"/>
        <v>#N/A</v>
      </c>
      <c r="G80" s="62" t="e">
        <f t="shared" ca="1" si="7"/>
        <v>#N/A</v>
      </c>
      <c r="H80" s="67" t="e">
        <f ca="1">INDEX(RESULTADOS!$A:$BA,MATCH($A80,RESULTADOS!$A:$A,0),MATCH(H$1,RESULTADOS!$1:$1,0))</f>
        <v>#N/A</v>
      </c>
      <c r="I80" s="56" t="e">
        <f t="shared" ca="1" si="32"/>
        <v>#N/A</v>
      </c>
      <c r="J80" s="110" t="e">
        <f t="shared" ca="1" si="9"/>
        <v>#N/A</v>
      </c>
      <c r="K80" s="57" t="e">
        <f t="shared" ca="1" si="33"/>
        <v>#N/A</v>
      </c>
      <c r="L80" s="56" t="e">
        <f t="shared" ca="1" si="24"/>
        <v>#N/A</v>
      </c>
      <c r="M80" s="62" t="e">
        <f t="shared" ca="1" si="25"/>
        <v>#N/A</v>
      </c>
      <c r="N80" s="56" t="e">
        <f t="shared" ca="1" si="34"/>
        <v>#N/A</v>
      </c>
      <c r="O80" s="62" t="e">
        <f t="shared" ca="1" si="26"/>
        <v>#N/A</v>
      </c>
      <c r="P80" s="56" t="e">
        <f t="shared" ca="1" si="36"/>
        <v>#N/A</v>
      </c>
      <c r="Q80" s="62" t="e">
        <f t="shared" ca="1" si="27"/>
        <v>#N/A</v>
      </c>
      <c r="R80" s="67" t="e">
        <f ca="1">INDEX(RESULTADOS!$A:$BA,MATCH($A80,RESULTADOS!$A:$A,0),MATCH(R$1,RESULTADOS!$1:$1,0))</f>
        <v>#N/A</v>
      </c>
      <c r="S80" s="64" t="e">
        <f t="shared" ca="1" si="28"/>
        <v>#N/A</v>
      </c>
      <c r="T80" s="67" t="e">
        <f ca="1">INDEX(RESULTADOS!$A:$BA,MATCH($A80,RESULTADOS!$A:$A,0),MATCH(T$1,RESULTADOS!$1:$1,0))</f>
        <v>#N/A</v>
      </c>
      <c r="U80" s="110" t="e">
        <f t="shared" ca="1" si="17"/>
        <v>#N/A</v>
      </c>
      <c r="V80" s="62" t="e">
        <f t="shared" ca="1" si="18"/>
        <v>#N/A</v>
      </c>
      <c r="W80" s="67" t="e">
        <f ca="1">INDEX(RESULTADOS!$A:$BA,MATCH($A80,RESULTADOS!$A:$A,0),MATCH(W$1,RESULTADOS!$1:$1,0))</f>
        <v>#N/A</v>
      </c>
      <c r="X80" s="56" t="e">
        <f t="shared" ca="1" si="37"/>
        <v>#N/A</v>
      </c>
      <c r="Y80" s="62" t="e">
        <f t="shared" ca="1" si="20"/>
        <v>#N/A</v>
      </c>
      <c r="Z80" s="57" t="e">
        <f t="shared" ca="1" si="35"/>
        <v>#N/A</v>
      </c>
      <c r="AA80" s="110" t="e">
        <f t="shared" ca="1" si="22"/>
        <v>#N/A</v>
      </c>
      <c r="AB80" s="62" t="e">
        <f t="shared" ca="1" si="29"/>
        <v>#N/A</v>
      </c>
    </row>
    <row r="81" spans="1:28" s="272" customFormat="1" x14ac:dyDescent="0.2">
      <c r="A81" s="273">
        <f t="shared" ca="1" si="23"/>
        <v>43880</v>
      </c>
      <c r="B81" s="279" t="e">
        <f ca="1">INDEX(RESULTADOS!$A:$BA,MATCH($A81,RESULTADOS!$A:$A,0),MATCH(B$1,RESULTADOS!$1:$1,0))</f>
        <v>#N/A</v>
      </c>
      <c r="C81" s="279" t="e">
        <f ca="1">INDEX(RESULTADOS!$A:$BA,MATCH($A81,RESULTADOS!$A:$A,0),MATCH(C$1,RESULTADOS!$1:$1,0))</f>
        <v>#N/A</v>
      </c>
      <c r="D81" s="56" t="e">
        <f t="shared" ca="1" si="30"/>
        <v>#N/A</v>
      </c>
      <c r="E81" s="62" t="e">
        <f t="shared" ref="E81:E110" ca="1" si="38">((B81*(24-$B$3)+B80*$B$3)/24)+D81</f>
        <v>#N/A</v>
      </c>
      <c r="F81" s="57" t="e">
        <f t="shared" ca="1" si="31"/>
        <v>#N/A</v>
      </c>
      <c r="G81" s="62" t="e">
        <f t="shared" ref="G81:G110" ca="1" si="39">((E81*(24-$E$3)+E80*$E$3)/24)+F81</f>
        <v>#N/A</v>
      </c>
      <c r="H81" s="279" t="e">
        <f ca="1">INDEX(RESULTADOS!$A:$BA,MATCH($A81,RESULTADOS!$A:$A,0),MATCH(H$1,RESULTADOS!$1:$1,0))</f>
        <v>#N/A</v>
      </c>
      <c r="I81" s="56" t="e">
        <f t="shared" ca="1" si="32"/>
        <v>#N/A</v>
      </c>
      <c r="J81" s="110" t="e">
        <f t="shared" ref="J81:J110" ca="1" si="40">((G81*(24-$G$3)+G80*$G$3)/24)+I81</f>
        <v>#N/A</v>
      </c>
      <c r="K81" s="57" t="e">
        <f t="shared" ca="1" si="33"/>
        <v>#N/A</v>
      </c>
      <c r="L81" s="56" t="e">
        <f t="shared" ref="L81:L110" ca="1" si="41">K81</f>
        <v>#N/A</v>
      </c>
      <c r="M81" s="62" t="e">
        <f t="shared" ref="M81:M110" ca="1" si="42">((J81*(24-$J$3)+J80*$J$3)/24)+L81</f>
        <v>#N/A</v>
      </c>
      <c r="N81" s="56" t="e">
        <f t="shared" ca="1" si="34"/>
        <v>#N/A</v>
      </c>
      <c r="O81" s="62" t="e">
        <f t="shared" ref="O81:O110" ca="1" si="43">((M81*(24-$M$3)+M80*$M$3)/24)+N81</f>
        <v>#N/A</v>
      </c>
      <c r="P81" s="56" t="e">
        <f t="shared" ca="1" si="36"/>
        <v>#N/A</v>
      </c>
      <c r="Q81" s="62" t="e">
        <f t="shared" ref="Q81:Q110" ca="1" si="44">((O81*(24-$O$3)+O80*$O$3)/24)+P81</f>
        <v>#N/A</v>
      </c>
      <c r="R81" s="279" t="e">
        <f ca="1">INDEX(RESULTADOS!$A:$BA,MATCH($A81,RESULTADOS!$A:$A,0),MATCH(R$1,RESULTADOS!$1:$1,0))</f>
        <v>#N/A</v>
      </c>
      <c r="S81" s="64" t="e">
        <f t="shared" ref="S81:S110" ca="1" si="45">R81</f>
        <v>#N/A</v>
      </c>
      <c r="T81" s="279" t="e">
        <f ca="1">INDEX(RESULTADOS!$A:$BA,MATCH($A81,RESULTADOS!$A:$A,0),MATCH(T$1,RESULTADOS!$1:$1,0))</f>
        <v>#N/A</v>
      </c>
      <c r="U81" s="110" t="e">
        <f t="shared" ref="U81:U110" ca="1" si="46">T81</f>
        <v>#N/A</v>
      </c>
      <c r="V81" s="62" t="e">
        <f t="shared" ref="V81:V110" ca="1" si="47">((Q81*(24-$Q$3)+Q80*$Q$3)/24)+((S80*(48-$S$3)+S79*($S$3-24))/24)+U81</f>
        <v>#N/A</v>
      </c>
      <c r="W81" s="279" t="e">
        <f ca="1">INDEX(RESULTADOS!$A:$BA,MATCH($A81,RESULTADOS!$A:$A,0),MATCH(W$1,RESULTADOS!$1:$1,0))</f>
        <v>#N/A</v>
      </c>
      <c r="X81" s="56" t="e">
        <f t="shared" ca="1" si="37"/>
        <v>#N/A</v>
      </c>
      <c r="Y81" s="62" t="e">
        <f t="shared" ref="Y81:Y110" ca="1" si="48">((V81*(24-$V$3)+V80*$V$3)/24)+X81</f>
        <v>#N/A</v>
      </c>
      <c r="Z81" s="57" t="e">
        <f t="shared" ca="1" si="35"/>
        <v>#N/A</v>
      </c>
      <c r="AA81" s="110" t="e">
        <f t="shared" ref="AA81:AA110" ca="1" si="49">+Z81</f>
        <v>#N/A</v>
      </c>
      <c r="AB81" s="62" t="e">
        <f t="shared" ref="AB81:AB110" ca="1" si="50">((Y81*(24-$Y$3)+Y80*$Y$3)/24)+AA81</f>
        <v>#N/A</v>
      </c>
    </row>
    <row r="82" spans="1:28" s="272" customFormat="1" x14ac:dyDescent="0.2">
      <c r="A82" s="273">
        <f t="shared" ca="1" si="23"/>
        <v>43881</v>
      </c>
      <c r="B82" s="279" t="e">
        <f ca="1">INDEX(RESULTADOS!$A:$BA,MATCH($A82,RESULTADOS!$A:$A,0),MATCH(B$1,RESULTADOS!$1:$1,0))</f>
        <v>#N/A</v>
      </c>
      <c r="C82" s="279" t="e">
        <f ca="1">INDEX(RESULTADOS!$A:$BA,MATCH($A82,RESULTADOS!$A:$A,0),MATCH(C$1,RESULTADOS!$1:$1,0))</f>
        <v>#N/A</v>
      </c>
      <c r="D82" s="56" t="e">
        <f t="shared" ca="1" si="30"/>
        <v>#N/A</v>
      </c>
      <c r="E82" s="62" t="e">
        <f t="shared" ca="1" si="38"/>
        <v>#N/A</v>
      </c>
      <c r="F82" s="57" t="e">
        <f t="shared" ca="1" si="31"/>
        <v>#N/A</v>
      </c>
      <c r="G82" s="62" t="e">
        <f t="shared" ca="1" si="39"/>
        <v>#N/A</v>
      </c>
      <c r="H82" s="279" t="e">
        <f ca="1">INDEX(RESULTADOS!$A:$BA,MATCH($A82,RESULTADOS!$A:$A,0),MATCH(H$1,RESULTADOS!$1:$1,0))</f>
        <v>#N/A</v>
      </c>
      <c r="I82" s="56" t="e">
        <f t="shared" ca="1" si="32"/>
        <v>#N/A</v>
      </c>
      <c r="J82" s="110" t="e">
        <f t="shared" ca="1" si="40"/>
        <v>#N/A</v>
      </c>
      <c r="K82" s="57" t="e">
        <f t="shared" ca="1" si="33"/>
        <v>#N/A</v>
      </c>
      <c r="L82" s="56" t="e">
        <f t="shared" ca="1" si="41"/>
        <v>#N/A</v>
      </c>
      <c r="M82" s="62" t="e">
        <f t="shared" ca="1" si="42"/>
        <v>#N/A</v>
      </c>
      <c r="N82" s="56" t="e">
        <f t="shared" ca="1" si="34"/>
        <v>#N/A</v>
      </c>
      <c r="O82" s="62" t="e">
        <f t="shared" ca="1" si="43"/>
        <v>#N/A</v>
      </c>
      <c r="P82" s="56" t="e">
        <f t="shared" ca="1" si="36"/>
        <v>#N/A</v>
      </c>
      <c r="Q82" s="62" t="e">
        <f t="shared" ca="1" si="44"/>
        <v>#N/A</v>
      </c>
      <c r="R82" s="279" t="e">
        <f ca="1">INDEX(RESULTADOS!$A:$BA,MATCH($A82,RESULTADOS!$A:$A,0),MATCH(R$1,RESULTADOS!$1:$1,0))</f>
        <v>#N/A</v>
      </c>
      <c r="S82" s="64" t="e">
        <f t="shared" ca="1" si="45"/>
        <v>#N/A</v>
      </c>
      <c r="T82" s="279" t="e">
        <f ca="1">INDEX(RESULTADOS!$A:$BA,MATCH($A82,RESULTADOS!$A:$A,0),MATCH(T$1,RESULTADOS!$1:$1,0))</f>
        <v>#N/A</v>
      </c>
      <c r="U82" s="110" t="e">
        <f t="shared" ca="1" si="46"/>
        <v>#N/A</v>
      </c>
      <c r="V82" s="62" t="e">
        <f t="shared" ca="1" si="47"/>
        <v>#N/A</v>
      </c>
      <c r="W82" s="279" t="e">
        <f ca="1">INDEX(RESULTADOS!$A:$BA,MATCH($A82,RESULTADOS!$A:$A,0),MATCH(W$1,RESULTADOS!$1:$1,0))</f>
        <v>#N/A</v>
      </c>
      <c r="X82" s="56" t="e">
        <f t="shared" ca="1" si="37"/>
        <v>#N/A</v>
      </c>
      <c r="Y82" s="62" t="e">
        <f t="shared" ca="1" si="48"/>
        <v>#N/A</v>
      </c>
      <c r="Z82" s="57" t="e">
        <f t="shared" ca="1" si="35"/>
        <v>#N/A</v>
      </c>
      <c r="AA82" s="110" t="e">
        <f t="shared" ca="1" si="49"/>
        <v>#N/A</v>
      </c>
      <c r="AB82" s="62" t="e">
        <f t="shared" ca="1" si="50"/>
        <v>#N/A</v>
      </c>
    </row>
    <row r="83" spans="1:28" s="272" customFormat="1" x14ac:dyDescent="0.2">
      <c r="A83" s="273">
        <f t="shared" ca="1" si="23"/>
        <v>43882</v>
      </c>
      <c r="B83" s="279" t="e">
        <f ca="1">INDEX(RESULTADOS!$A:$BA,MATCH($A83,RESULTADOS!$A:$A,0),MATCH(B$1,RESULTADOS!$1:$1,0))</f>
        <v>#N/A</v>
      </c>
      <c r="C83" s="279" t="e">
        <f ca="1">INDEX(RESULTADOS!$A:$BA,MATCH($A83,RESULTADOS!$A:$A,0),MATCH(C$1,RESULTADOS!$1:$1,0))</f>
        <v>#N/A</v>
      </c>
      <c r="D83" s="56" t="e">
        <f t="shared" ca="1" si="30"/>
        <v>#N/A</v>
      </c>
      <c r="E83" s="62" t="e">
        <f t="shared" ca="1" si="38"/>
        <v>#N/A</v>
      </c>
      <c r="F83" s="57" t="e">
        <f t="shared" ca="1" si="31"/>
        <v>#N/A</v>
      </c>
      <c r="G83" s="62" t="e">
        <f t="shared" ca="1" si="39"/>
        <v>#N/A</v>
      </c>
      <c r="H83" s="279" t="e">
        <f ca="1">INDEX(RESULTADOS!$A:$BA,MATCH($A83,RESULTADOS!$A:$A,0),MATCH(H$1,RESULTADOS!$1:$1,0))</f>
        <v>#N/A</v>
      </c>
      <c r="I83" s="56" t="e">
        <f t="shared" ca="1" si="32"/>
        <v>#N/A</v>
      </c>
      <c r="J83" s="110" t="e">
        <f t="shared" ca="1" si="40"/>
        <v>#N/A</v>
      </c>
      <c r="K83" s="57" t="e">
        <f t="shared" ca="1" si="33"/>
        <v>#N/A</v>
      </c>
      <c r="L83" s="56" t="e">
        <f t="shared" ca="1" si="41"/>
        <v>#N/A</v>
      </c>
      <c r="M83" s="62" t="e">
        <f t="shared" ca="1" si="42"/>
        <v>#N/A</v>
      </c>
      <c r="N83" s="56" t="e">
        <f t="shared" ca="1" si="34"/>
        <v>#N/A</v>
      </c>
      <c r="O83" s="62" t="e">
        <f t="shared" ca="1" si="43"/>
        <v>#N/A</v>
      </c>
      <c r="P83" s="56" t="e">
        <f t="shared" ca="1" si="36"/>
        <v>#N/A</v>
      </c>
      <c r="Q83" s="62" t="e">
        <f t="shared" ca="1" si="44"/>
        <v>#N/A</v>
      </c>
      <c r="R83" s="279" t="e">
        <f ca="1">INDEX(RESULTADOS!$A:$BA,MATCH($A83,RESULTADOS!$A:$A,0),MATCH(R$1,RESULTADOS!$1:$1,0))</f>
        <v>#N/A</v>
      </c>
      <c r="S83" s="64" t="e">
        <f t="shared" ca="1" si="45"/>
        <v>#N/A</v>
      </c>
      <c r="T83" s="279" t="e">
        <f ca="1">INDEX(RESULTADOS!$A:$BA,MATCH($A83,RESULTADOS!$A:$A,0),MATCH(T$1,RESULTADOS!$1:$1,0))</f>
        <v>#N/A</v>
      </c>
      <c r="U83" s="110" t="e">
        <f t="shared" ca="1" si="46"/>
        <v>#N/A</v>
      </c>
      <c r="V83" s="62" t="e">
        <f t="shared" ca="1" si="47"/>
        <v>#N/A</v>
      </c>
      <c r="W83" s="279" t="e">
        <f ca="1">INDEX(RESULTADOS!$A:$BA,MATCH($A83,RESULTADOS!$A:$A,0),MATCH(W$1,RESULTADOS!$1:$1,0))</f>
        <v>#N/A</v>
      </c>
      <c r="X83" s="56" t="e">
        <f t="shared" ca="1" si="37"/>
        <v>#N/A</v>
      </c>
      <c r="Y83" s="62" t="e">
        <f t="shared" ca="1" si="48"/>
        <v>#N/A</v>
      </c>
      <c r="Z83" s="57" t="e">
        <f t="shared" ca="1" si="35"/>
        <v>#N/A</v>
      </c>
      <c r="AA83" s="110" t="e">
        <f t="shared" ca="1" si="49"/>
        <v>#N/A</v>
      </c>
      <c r="AB83" s="62" t="e">
        <f t="shared" ca="1" si="50"/>
        <v>#N/A</v>
      </c>
    </row>
    <row r="84" spans="1:28" s="272" customFormat="1" x14ac:dyDescent="0.2">
      <c r="A84" s="273">
        <f t="shared" ca="1" si="23"/>
        <v>43883</v>
      </c>
      <c r="B84" s="279" t="e">
        <f ca="1">INDEX(RESULTADOS!$A:$BA,MATCH($A84,RESULTADOS!$A:$A,0),MATCH(B$1,RESULTADOS!$1:$1,0))</f>
        <v>#N/A</v>
      </c>
      <c r="C84" s="279" t="e">
        <f ca="1">INDEX(RESULTADOS!$A:$BA,MATCH($A84,RESULTADOS!$A:$A,0),MATCH(C$1,RESULTADOS!$1:$1,0))</f>
        <v>#N/A</v>
      </c>
      <c r="D84" s="56" t="e">
        <f t="shared" ca="1" si="30"/>
        <v>#N/A</v>
      </c>
      <c r="E84" s="62" t="e">
        <f t="shared" ca="1" si="38"/>
        <v>#N/A</v>
      </c>
      <c r="F84" s="57" t="e">
        <f t="shared" ca="1" si="31"/>
        <v>#N/A</v>
      </c>
      <c r="G84" s="62" t="e">
        <f t="shared" ca="1" si="39"/>
        <v>#N/A</v>
      </c>
      <c r="H84" s="279" t="e">
        <f ca="1">INDEX(RESULTADOS!$A:$BA,MATCH($A84,RESULTADOS!$A:$A,0),MATCH(H$1,RESULTADOS!$1:$1,0))</f>
        <v>#N/A</v>
      </c>
      <c r="I84" s="56" t="e">
        <f t="shared" ca="1" si="32"/>
        <v>#N/A</v>
      </c>
      <c r="J84" s="110" t="e">
        <f t="shared" ca="1" si="40"/>
        <v>#N/A</v>
      </c>
      <c r="K84" s="57" t="e">
        <f t="shared" ca="1" si="33"/>
        <v>#N/A</v>
      </c>
      <c r="L84" s="56" t="e">
        <f t="shared" ca="1" si="41"/>
        <v>#N/A</v>
      </c>
      <c r="M84" s="62" t="e">
        <f t="shared" ca="1" si="42"/>
        <v>#N/A</v>
      </c>
      <c r="N84" s="56" t="e">
        <f t="shared" ca="1" si="34"/>
        <v>#N/A</v>
      </c>
      <c r="O84" s="62" t="e">
        <f t="shared" ca="1" si="43"/>
        <v>#N/A</v>
      </c>
      <c r="P84" s="56" t="e">
        <f t="shared" ca="1" si="36"/>
        <v>#N/A</v>
      </c>
      <c r="Q84" s="62" t="e">
        <f t="shared" ca="1" si="44"/>
        <v>#N/A</v>
      </c>
      <c r="R84" s="279" t="e">
        <f ca="1">INDEX(RESULTADOS!$A:$BA,MATCH($A84,RESULTADOS!$A:$A,0),MATCH(R$1,RESULTADOS!$1:$1,0))</f>
        <v>#N/A</v>
      </c>
      <c r="S84" s="64" t="e">
        <f t="shared" ca="1" si="45"/>
        <v>#N/A</v>
      </c>
      <c r="T84" s="279" t="e">
        <f ca="1">INDEX(RESULTADOS!$A:$BA,MATCH($A84,RESULTADOS!$A:$A,0),MATCH(T$1,RESULTADOS!$1:$1,0))</f>
        <v>#N/A</v>
      </c>
      <c r="U84" s="110" t="e">
        <f t="shared" ca="1" si="46"/>
        <v>#N/A</v>
      </c>
      <c r="V84" s="62" t="e">
        <f t="shared" ca="1" si="47"/>
        <v>#N/A</v>
      </c>
      <c r="W84" s="279" t="e">
        <f ca="1">INDEX(RESULTADOS!$A:$BA,MATCH($A84,RESULTADOS!$A:$A,0),MATCH(W$1,RESULTADOS!$1:$1,0))</f>
        <v>#N/A</v>
      </c>
      <c r="X84" s="56" t="e">
        <f t="shared" ca="1" si="37"/>
        <v>#N/A</v>
      </c>
      <c r="Y84" s="62" t="e">
        <f t="shared" ca="1" si="48"/>
        <v>#N/A</v>
      </c>
      <c r="Z84" s="57" t="e">
        <f t="shared" ca="1" si="35"/>
        <v>#N/A</v>
      </c>
      <c r="AA84" s="110" t="e">
        <f t="shared" ca="1" si="49"/>
        <v>#N/A</v>
      </c>
      <c r="AB84" s="62" t="e">
        <f t="shared" ca="1" si="50"/>
        <v>#N/A</v>
      </c>
    </row>
    <row r="85" spans="1:28" s="272" customFormat="1" x14ac:dyDescent="0.2">
      <c r="A85" s="273">
        <f t="shared" ca="1" si="23"/>
        <v>43884</v>
      </c>
      <c r="B85" s="279" t="e">
        <f ca="1">INDEX(RESULTADOS!$A:$BA,MATCH($A85,RESULTADOS!$A:$A,0),MATCH(B$1,RESULTADOS!$1:$1,0))</f>
        <v>#N/A</v>
      </c>
      <c r="C85" s="279" t="e">
        <f ca="1">INDEX(RESULTADOS!$A:$BA,MATCH($A85,RESULTADOS!$A:$A,0),MATCH(C$1,RESULTADOS!$1:$1,0))</f>
        <v>#N/A</v>
      </c>
      <c r="D85" s="56" t="e">
        <f t="shared" ca="1" si="30"/>
        <v>#N/A</v>
      </c>
      <c r="E85" s="62" t="e">
        <f t="shared" ca="1" si="38"/>
        <v>#N/A</v>
      </c>
      <c r="F85" s="57" t="e">
        <f t="shared" ca="1" si="31"/>
        <v>#N/A</v>
      </c>
      <c r="G85" s="62" t="e">
        <f t="shared" ca="1" si="39"/>
        <v>#N/A</v>
      </c>
      <c r="H85" s="279" t="e">
        <f ca="1">INDEX(RESULTADOS!$A:$BA,MATCH($A85,RESULTADOS!$A:$A,0),MATCH(H$1,RESULTADOS!$1:$1,0))</f>
        <v>#N/A</v>
      </c>
      <c r="I85" s="56" t="e">
        <f t="shared" ca="1" si="32"/>
        <v>#N/A</v>
      </c>
      <c r="J85" s="110" t="e">
        <f t="shared" ca="1" si="40"/>
        <v>#N/A</v>
      </c>
      <c r="K85" s="57" t="e">
        <f t="shared" ca="1" si="33"/>
        <v>#N/A</v>
      </c>
      <c r="L85" s="56" t="e">
        <f t="shared" ca="1" si="41"/>
        <v>#N/A</v>
      </c>
      <c r="M85" s="62" t="e">
        <f t="shared" ca="1" si="42"/>
        <v>#N/A</v>
      </c>
      <c r="N85" s="56" t="e">
        <f t="shared" ca="1" si="34"/>
        <v>#N/A</v>
      </c>
      <c r="O85" s="62" t="e">
        <f t="shared" ca="1" si="43"/>
        <v>#N/A</v>
      </c>
      <c r="P85" s="56" t="e">
        <f t="shared" ca="1" si="36"/>
        <v>#N/A</v>
      </c>
      <c r="Q85" s="62" t="e">
        <f t="shared" ca="1" si="44"/>
        <v>#N/A</v>
      </c>
      <c r="R85" s="279" t="e">
        <f ca="1">INDEX(RESULTADOS!$A:$BA,MATCH($A85,RESULTADOS!$A:$A,0),MATCH(R$1,RESULTADOS!$1:$1,0))</f>
        <v>#N/A</v>
      </c>
      <c r="S85" s="64" t="e">
        <f t="shared" ca="1" si="45"/>
        <v>#N/A</v>
      </c>
      <c r="T85" s="279" t="e">
        <f ca="1">INDEX(RESULTADOS!$A:$BA,MATCH($A85,RESULTADOS!$A:$A,0),MATCH(T$1,RESULTADOS!$1:$1,0))</f>
        <v>#N/A</v>
      </c>
      <c r="U85" s="110" t="e">
        <f t="shared" ca="1" si="46"/>
        <v>#N/A</v>
      </c>
      <c r="V85" s="62" t="e">
        <f t="shared" ca="1" si="47"/>
        <v>#N/A</v>
      </c>
      <c r="W85" s="279" t="e">
        <f ca="1">INDEX(RESULTADOS!$A:$BA,MATCH($A85,RESULTADOS!$A:$A,0),MATCH(W$1,RESULTADOS!$1:$1,0))</f>
        <v>#N/A</v>
      </c>
      <c r="X85" s="56" t="e">
        <f t="shared" ca="1" si="37"/>
        <v>#N/A</v>
      </c>
      <c r="Y85" s="62" t="e">
        <f t="shared" ca="1" si="48"/>
        <v>#N/A</v>
      </c>
      <c r="Z85" s="57" t="e">
        <f t="shared" ca="1" si="35"/>
        <v>#N/A</v>
      </c>
      <c r="AA85" s="110" t="e">
        <f t="shared" ca="1" si="49"/>
        <v>#N/A</v>
      </c>
      <c r="AB85" s="62" t="e">
        <f t="shared" ca="1" si="50"/>
        <v>#N/A</v>
      </c>
    </row>
    <row r="86" spans="1:28" s="272" customFormat="1" x14ac:dyDescent="0.2">
      <c r="A86" s="273">
        <f t="shared" ca="1" si="23"/>
        <v>43885</v>
      </c>
      <c r="B86" s="279" t="e">
        <f ca="1">INDEX(RESULTADOS!$A:$BA,MATCH($A86,RESULTADOS!$A:$A,0),MATCH(B$1,RESULTADOS!$1:$1,0))</f>
        <v>#N/A</v>
      </c>
      <c r="C86" s="279" t="e">
        <f ca="1">INDEX(RESULTADOS!$A:$BA,MATCH($A86,RESULTADOS!$A:$A,0),MATCH(C$1,RESULTADOS!$1:$1,0))</f>
        <v>#N/A</v>
      </c>
      <c r="D86" s="56" t="e">
        <f t="shared" ca="1" si="30"/>
        <v>#N/A</v>
      </c>
      <c r="E86" s="62" t="e">
        <f t="shared" ca="1" si="38"/>
        <v>#N/A</v>
      </c>
      <c r="F86" s="57" t="e">
        <f t="shared" ca="1" si="31"/>
        <v>#N/A</v>
      </c>
      <c r="G86" s="62" t="e">
        <f t="shared" ca="1" si="39"/>
        <v>#N/A</v>
      </c>
      <c r="H86" s="279" t="e">
        <f ca="1">INDEX(RESULTADOS!$A:$BA,MATCH($A86,RESULTADOS!$A:$A,0),MATCH(H$1,RESULTADOS!$1:$1,0))</f>
        <v>#N/A</v>
      </c>
      <c r="I86" s="56" t="e">
        <f t="shared" ca="1" si="32"/>
        <v>#N/A</v>
      </c>
      <c r="J86" s="110" t="e">
        <f t="shared" ca="1" si="40"/>
        <v>#N/A</v>
      </c>
      <c r="K86" s="57" t="e">
        <f t="shared" ca="1" si="33"/>
        <v>#N/A</v>
      </c>
      <c r="L86" s="56" t="e">
        <f t="shared" ca="1" si="41"/>
        <v>#N/A</v>
      </c>
      <c r="M86" s="62" t="e">
        <f t="shared" ca="1" si="42"/>
        <v>#N/A</v>
      </c>
      <c r="N86" s="56" t="e">
        <f t="shared" ca="1" si="34"/>
        <v>#N/A</v>
      </c>
      <c r="O86" s="62" t="e">
        <f t="shared" ca="1" si="43"/>
        <v>#N/A</v>
      </c>
      <c r="P86" s="56" t="e">
        <f t="shared" ca="1" si="36"/>
        <v>#N/A</v>
      </c>
      <c r="Q86" s="62" t="e">
        <f t="shared" ca="1" si="44"/>
        <v>#N/A</v>
      </c>
      <c r="R86" s="279" t="e">
        <f ca="1">INDEX(RESULTADOS!$A:$BA,MATCH($A86,RESULTADOS!$A:$A,0),MATCH(R$1,RESULTADOS!$1:$1,0))</f>
        <v>#N/A</v>
      </c>
      <c r="S86" s="64" t="e">
        <f t="shared" ca="1" si="45"/>
        <v>#N/A</v>
      </c>
      <c r="T86" s="279" t="e">
        <f ca="1">INDEX(RESULTADOS!$A:$BA,MATCH($A86,RESULTADOS!$A:$A,0),MATCH(T$1,RESULTADOS!$1:$1,0))</f>
        <v>#N/A</v>
      </c>
      <c r="U86" s="110" t="e">
        <f t="shared" ca="1" si="46"/>
        <v>#N/A</v>
      </c>
      <c r="V86" s="62" t="e">
        <f t="shared" ca="1" si="47"/>
        <v>#N/A</v>
      </c>
      <c r="W86" s="279" t="e">
        <f ca="1">INDEX(RESULTADOS!$A:$BA,MATCH($A86,RESULTADOS!$A:$A,0),MATCH(W$1,RESULTADOS!$1:$1,0))</f>
        <v>#N/A</v>
      </c>
      <c r="X86" s="56" t="e">
        <f t="shared" ca="1" si="37"/>
        <v>#N/A</v>
      </c>
      <c r="Y86" s="62" t="e">
        <f t="shared" ca="1" si="48"/>
        <v>#N/A</v>
      </c>
      <c r="Z86" s="57" t="e">
        <f t="shared" ca="1" si="35"/>
        <v>#N/A</v>
      </c>
      <c r="AA86" s="110" t="e">
        <f t="shared" ca="1" si="49"/>
        <v>#N/A</v>
      </c>
      <c r="AB86" s="62" t="e">
        <f t="shared" ca="1" si="50"/>
        <v>#N/A</v>
      </c>
    </row>
    <row r="87" spans="1:28" s="272" customFormat="1" x14ac:dyDescent="0.2">
      <c r="A87" s="273">
        <f t="shared" ca="1" si="23"/>
        <v>43886</v>
      </c>
      <c r="B87" s="279" t="e">
        <f ca="1">INDEX(RESULTADOS!$A:$BA,MATCH($A87,RESULTADOS!$A:$A,0),MATCH(B$1,RESULTADOS!$1:$1,0))</f>
        <v>#N/A</v>
      </c>
      <c r="C87" s="279" t="e">
        <f ca="1">INDEX(RESULTADOS!$A:$BA,MATCH($A87,RESULTADOS!$A:$A,0),MATCH(C$1,RESULTADOS!$1:$1,0))</f>
        <v>#N/A</v>
      </c>
      <c r="D87" s="56" t="e">
        <f t="shared" ca="1" si="30"/>
        <v>#N/A</v>
      </c>
      <c r="E87" s="62" t="e">
        <f t="shared" ca="1" si="38"/>
        <v>#N/A</v>
      </c>
      <c r="F87" s="57" t="e">
        <f t="shared" ca="1" si="31"/>
        <v>#N/A</v>
      </c>
      <c r="G87" s="62" t="e">
        <f t="shared" ca="1" si="39"/>
        <v>#N/A</v>
      </c>
      <c r="H87" s="279" t="e">
        <f ca="1">INDEX(RESULTADOS!$A:$BA,MATCH($A87,RESULTADOS!$A:$A,0),MATCH(H$1,RESULTADOS!$1:$1,0))</f>
        <v>#N/A</v>
      </c>
      <c r="I87" s="56" t="e">
        <f t="shared" ca="1" si="32"/>
        <v>#N/A</v>
      </c>
      <c r="J87" s="110" t="e">
        <f t="shared" ca="1" si="40"/>
        <v>#N/A</v>
      </c>
      <c r="K87" s="57" t="e">
        <f t="shared" ca="1" si="33"/>
        <v>#N/A</v>
      </c>
      <c r="L87" s="56" t="e">
        <f t="shared" ca="1" si="41"/>
        <v>#N/A</v>
      </c>
      <c r="M87" s="62" t="e">
        <f t="shared" ca="1" si="42"/>
        <v>#N/A</v>
      </c>
      <c r="N87" s="56" t="e">
        <f t="shared" ca="1" si="34"/>
        <v>#N/A</v>
      </c>
      <c r="O87" s="62" t="e">
        <f t="shared" ca="1" si="43"/>
        <v>#N/A</v>
      </c>
      <c r="P87" s="56" t="e">
        <f t="shared" ca="1" si="36"/>
        <v>#N/A</v>
      </c>
      <c r="Q87" s="62" t="e">
        <f t="shared" ca="1" si="44"/>
        <v>#N/A</v>
      </c>
      <c r="R87" s="279" t="e">
        <f ca="1">INDEX(RESULTADOS!$A:$BA,MATCH($A87,RESULTADOS!$A:$A,0),MATCH(R$1,RESULTADOS!$1:$1,0))</f>
        <v>#N/A</v>
      </c>
      <c r="S87" s="64" t="e">
        <f t="shared" ca="1" si="45"/>
        <v>#N/A</v>
      </c>
      <c r="T87" s="279" t="e">
        <f ca="1">INDEX(RESULTADOS!$A:$BA,MATCH($A87,RESULTADOS!$A:$A,0),MATCH(T$1,RESULTADOS!$1:$1,0))</f>
        <v>#N/A</v>
      </c>
      <c r="U87" s="110" t="e">
        <f t="shared" ca="1" si="46"/>
        <v>#N/A</v>
      </c>
      <c r="V87" s="62" t="e">
        <f t="shared" ca="1" si="47"/>
        <v>#N/A</v>
      </c>
      <c r="W87" s="279" t="e">
        <f ca="1">INDEX(RESULTADOS!$A:$BA,MATCH($A87,RESULTADOS!$A:$A,0),MATCH(W$1,RESULTADOS!$1:$1,0))</f>
        <v>#N/A</v>
      </c>
      <c r="X87" s="56" t="e">
        <f t="shared" ca="1" si="37"/>
        <v>#N/A</v>
      </c>
      <c r="Y87" s="62" t="e">
        <f t="shared" ca="1" si="48"/>
        <v>#N/A</v>
      </c>
      <c r="Z87" s="57" t="e">
        <f t="shared" ca="1" si="35"/>
        <v>#N/A</v>
      </c>
      <c r="AA87" s="110" t="e">
        <f t="shared" ca="1" si="49"/>
        <v>#N/A</v>
      </c>
      <c r="AB87" s="62" t="e">
        <f t="shared" ca="1" si="50"/>
        <v>#N/A</v>
      </c>
    </row>
    <row r="88" spans="1:28" s="272" customFormat="1" x14ac:dyDescent="0.2">
      <c r="A88" s="273">
        <f t="shared" ca="1" si="23"/>
        <v>43887</v>
      </c>
      <c r="B88" s="279" t="e">
        <f ca="1">INDEX(RESULTADOS!$A:$BA,MATCH($A88,RESULTADOS!$A:$A,0),MATCH(B$1,RESULTADOS!$1:$1,0))</f>
        <v>#N/A</v>
      </c>
      <c r="C88" s="279" t="e">
        <f ca="1">INDEX(RESULTADOS!$A:$BA,MATCH($A88,RESULTADOS!$A:$A,0),MATCH(C$1,RESULTADOS!$1:$1,0))</f>
        <v>#N/A</v>
      </c>
      <c r="D88" s="56" t="e">
        <f t="shared" ca="1" si="30"/>
        <v>#N/A</v>
      </c>
      <c r="E88" s="62" t="e">
        <f t="shared" ca="1" si="38"/>
        <v>#N/A</v>
      </c>
      <c r="F88" s="57" t="e">
        <f t="shared" ca="1" si="31"/>
        <v>#N/A</v>
      </c>
      <c r="G88" s="62" t="e">
        <f t="shared" ca="1" si="39"/>
        <v>#N/A</v>
      </c>
      <c r="H88" s="279" t="e">
        <f ca="1">INDEX(RESULTADOS!$A:$BA,MATCH($A88,RESULTADOS!$A:$A,0),MATCH(H$1,RESULTADOS!$1:$1,0))</f>
        <v>#N/A</v>
      </c>
      <c r="I88" s="56" t="e">
        <f t="shared" ca="1" si="32"/>
        <v>#N/A</v>
      </c>
      <c r="J88" s="110" t="e">
        <f t="shared" ca="1" si="40"/>
        <v>#N/A</v>
      </c>
      <c r="K88" s="57" t="e">
        <f t="shared" ca="1" si="33"/>
        <v>#N/A</v>
      </c>
      <c r="L88" s="56" t="e">
        <f t="shared" ca="1" si="41"/>
        <v>#N/A</v>
      </c>
      <c r="M88" s="62" t="e">
        <f t="shared" ca="1" si="42"/>
        <v>#N/A</v>
      </c>
      <c r="N88" s="56" t="e">
        <f t="shared" ca="1" si="34"/>
        <v>#N/A</v>
      </c>
      <c r="O88" s="62" t="e">
        <f t="shared" ca="1" si="43"/>
        <v>#N/A</v>
      </c>
      <c r="P88" s="56" t="e">
        <f t="shared" ca="1" si="36"/>
        <v>#N/A</v>
      </c>
      <c r="Q88" s="62" t="e">
        <f t="shared" ca="1" si="44"/>
        <v>#N/A</v>
      </c>
      <c r="R88" s="279" t="e">
        <f ca="1">INDEX(RESULTADOS!$A:$BA,MATCH($A88,RESULTADOS!$A:$A,0),MATCH(R$1,RESULTADOS!$1:$1,0))</f>
        <v>#N/A</v>
      </c>
      <c r="S88" s="64" t="e">
        <f t="shared" ca="1" si="45"/>
        <v>#N/A</v>
      </c>
      <c r="T88" s="279" t="e">
        <f ca="1">INDEX(RESULTADOS!$A:$BA,MATCH($A88,RESULTADOS!$A:$A,0),MATCH(T$1,RESULTADOS!$1:$1,0))</f>
        <v>#N/A</v>
      </c>
      <c r="U88" s="110" t="e">
        <f t="shared" ca="1" si="46"/>
        <v>#N/A</v>
      </c>
      <c r="V88" s="62" t="e">
        <f t="shared" ca="1" si="47"/>
        <v>#N/A</v>
      </c>
      <c r="W88" s="279" t="e">
        <f ca="1">INDEX(RESULTADOS!$A:$BA,MATCH($A88,RESULTADOS!$A:$A,0),MATCH(W$1,RESULTADOS!$1:$1,0))</f>
        <v>#N/A</v>
      </c>
      <c r="X88" s="56" t="e">
        <f t="shared" ca="1" si="37"/>
        <v>#N/A</v>
      </c>
      <c r="Y88" s="62" t="e">
        <f t="shared" ca="1" si="48"/>
        <v>#N/A</v>
      </c>
      <c r="Z88" s="57" t="e">
        <f t="shared" ca="1" si="35"/>
        <v>#N/A</v>
      </c>
      <c r="AA88" s="110" t="e">
        <f t="shared" ca="1" si="49"/>
        <v>#N/A</v>
      </c>
      <c r="AB88" s="62" t="e">
        <f t="shared" ca="1" si="50"/>
        <v>#N/A</v>
      </c>
    </row>
    <row r="89" spans="1:28" s="272" customFormat="1" x14ac:dyDescent="0.2">
      <c r="A89" s="273">
        <f t="shared" ca="1" si="23"/>
        <v>43888</v>
      </c>
      <c r="B89" s="279" t="e">
        <f ca="1">INDEX(RESULTADOS!$A:$BA,MATCH($A89,RESULTADOS!$A:$A,0),MATCH(B$1,RESULTADOS!$1:$1,0))</f>
        <v>#N/A</v>
      </c>
      <c r="C89" s="279" t="e">
        <f ca="1">INDEX(RESULTADOS!$A:$BA,MATCH($A89,RESULTADOS!$A:$A,0),MATCH(C$1,RESULTADOS!$1:$1,0))</f>
        <v>#N/A</v>
      </c>
      <c r="D89" s="56" t="e">
        <f t="shared" ca="1" si="30"/>
        <v>#N/A</v>
      </c>
      <c r="E89" s="62" t="e">
        <f t="shared" ca="1" si="38"/>
        <v>#N/A</v>
      </c>
      <c r="F89" s="57" t="e">
        <f t="shared" ca="1" si="31"/>
        <v>#N/A</v>
      </c>
      <c r="G89" s="62" t="e">
        <f t="shared" ca="1" si="39"/>
        <v>#N/A</v>
      </c>
      <c r="H89" s="279" t="e">
        <f ca="1">INDEX(RESULTADOS!$A:$BA,MATCH($A89,RESULTADOS!$A:$A,0),MATCH(H$1,RESULTADOS!$1:$1,0))</f>
        <v>#N/A</v>
      </c>
      <c r="I89" s="56" t="e">
        <f t="shared" ca="1" si="32"/>
        <v>#N/A</v>
      </c>
      <c r="J89" s="110" t="e">
        <f t="shared" ca="1" si="40"/>
        <v>#N/A</v>
      </c>
      <c r="K89" s="57" t="e">
        <f t="shared" ca="1" si="33"/>
        <v>#N/A</v>
      </c>
      <c r="L89" s="56" t="e">
        <f t="shared" ca="1" si="41"/>
        <v>#N/A</v>
      </c>
      <c r="M89" s="62" t="e">
        <f t="shared" ca="1" si="42"/>
        <v>#N/A</v>
      </c>
      <c r="N89" s="56" t="e">
        <f t="shared" ca="1" si="34"/>
        <v>#N/A</v>
      </c>
      <c r="O89" s="62" t="e">
        <f t="shared" ca="1" si="43"/>
        <v>#N/A</v>
      </c>
      <c r="P89" s="56" t="e">
        <f t="shared" ca="1" si="36"/>
        <v>#N/A</v>
      </c>
      <c r="Q89" s="62" t="e">
        <f t="shared" ca="1" si="44"/>
        <v>#N/A</v>
      </c>
      <c r="R89" s="279" t="e">
        <f ca="1">INDEX(RESULTADOS!$A:$BA,MATCH($A89,RESULTADOS!$A:$A,0),MATCH(R$1,RESULTADOS!$1:$1,0))</f>
        <v>#N/A</v>
      </c>
      <c r="S89" s="64" t="e">
        <f t="shared" ca="1" si="45"/>
        <v>#N/A</v>
      </c>
      <c r="T89" s="279" t="e">
        <f ca="1">INDEX(RESULTADOS!$A:$BA,MATCH($A89,RESULTADOS!$A:$A,0),MATCH(T$1,RESULTADOS!$1:$1,0))</f>
        <v>#N/A</v>
      </c>
      <c r="U89" s="110" t="e">
        <f t="shared" ca="1" si="46"/>
        <v>#N/A</v>
      </c>
      <c r="V89" s="62" t="e">
        <f t="shared" ca="1" si="47"/>
        <v>#N/A</v>
      </c>
      <c r="W89" s="279" t="e">
        <f ca="1">INDEX(RESULTADOS!$A:$BA,MATCH($A89,RESULTADOS!$A:$A,0),MATCH(W$1,RESULTADOS!$1:$1,0))</f>
        <v>#N/A</v>
      </c>
      <c r="X89" s="56" t="e">
        <f t="shared" ca="1" si="37"/>
        <v>#N/A</v>
      </c>
      <c r="Y89" s="62" t="e">
        <f t="shared" ca="1" si="48"/>
        <v>#N/A</v>
      </c>
      <c r="Z89" s="57" t="e">
        <f t="shared" ca="1" si="35"/>
        <v>#N/A</v>
      </c>
      <c r="AA89" s="110" t="e">
        <f t="shared" ca="1" si="49"/>
        <v>#N/A</v>
      </c>
      <c r="AB89" s="62" t="e">
        <f t="shared" ca="1" si="50"/>
        <v>#N/A</v>
      </c>
    </row>
    <row r="90" spans="1:28" s="272" customFormat="1" x14ac:dyDescent="0.2">
      <c r="A90" s="273">
        <f t="shared" ca="1" si="23"/>
        <v>43889</v>
      </c>
      <c r="B90" s="279" t="e">
        <f ca="1">INDEX(RESULTADOS!$A:$BA,MATCH($A90,RESULTADOS!$A:$A,0),MATCH(B$1,RESULTADOS!$1:$1,0))</f>
        <v>#N/A</v>
      </c>
      <c r="C90" s="279" t="e">
        <f ca="1">INDEX(RESULTADOS!$A:$BA,MATCH($A90,RESULTADOS!$A:$A,0),MATCH(C$1,RESULTADOS!$1:$1,0))</f>
        <v>#N/A</v>
      </c>
      <c r="D90" s="56" t="e">
        <f t="shared" ca="1" si="30"/>
        <v>#N/A</v>
      </c>
      <c r="E90" s="62" t="e">
        <f t="shared" ca="1" si="38"/>
        <v>#N/A</v>
      </c>
      <c r="F90" s="57" t="e">
        <f t="shared" ca="1" si="31"/>
        <v>#N/A</v>
      </c>
      <c r="G90" s="62" t="e">
        <f t="shared" ca="1" si="39"/>
        <v>#N/A</v>
      </c>
      <c r="H90" s="279" t="e">
        <f ca="1">INDEX(RESULTADOS!$A:$BA,MATCH($A90,RESULTADOS!$A:$A,0),MATCH(H$1,RESULTADOS!$1:$1,0))</f>
        <v>#N/A</v>
      </c>
      <c r="I90" s="56" t="e">
        <f t="shared" ca="1" si="32"/>
        <v>#N/A</v>
      </c>
      <c r="J90" s="110" t="e">
        <f t="shared" ca="1" si="40"/>
        <v>#N/A</v>
      </c>
      <c r="K90" s="57" t="e">
        <f t="shared" ca="1" si="33"/>
        <v>#N/A</v>
      </c>
      <c r="L90" s="56" t="e">
        <f t="shared" ca="1" si="41"/>
        <v>#N/A</v>
      </c>
      <c r="M90" s="62" t="e">
        <f t="shared" ca="1" si="42"/>
        <v>#N/A</v>
      </c>
      <c r="N90" s="56" t="e">
        <f t="shared" ca="1" si="34"/>
        <v>#N/A</v>
      </c>
      <c r="O90" s="62" t="e">
        <f t="shared" ca="1" si="43"/>
        <v>#N/A</v>
      </c>
      <c r="P90" s="56" t="e">
        <f t="shared" ca="1" si="36"/>
        <v>#N/A</v>
      </c>
      <c r="Q90" s="62" t="e">
        <f t="shared" ca="1" si="44"/>
        <v>#N/A</v>
      </c>
      <c r="R90" s="279" t="e">
        <f ca="1">INDEX(RESULTADOS!$A:$BA,MATCH($A90,RESULTADOS!$A:$A,0),MATCH(R$1,RESULTADOS!$1:$1,0))</f>
        <v>#N/A</v>
      </c>
      <c r="S90" s="64" t="e">
        <f t="shared" ca="1" si="45"/>
        <v>#N/A</v>
      </c>
      <c r="T90" s="279" t="e">
        <f ca="1">INDEX(RESULTADOS!$A:$BA,MATCH($A90,RESULTADOS!$A:$A,0),MATCH(T$1,RESULTADOS!$1:$1,0))</f>
        <v>#N/A</v>
      </c>
      <c r="U90" s="110" t="e">
        <f t="shared" ca="1" si="46"/>
        <v>#N/A</v>
      </c>
      <c r="V90" s="62" t="e">
        <f t="shared" ca="1" si="47"/>
        <v>#N/A</v>
      </c>
      <c r="W90" s="279" t="e">
        <f ca="1">INDEX(RESULTADOS!$A:$BA,MATCH($A90,RESULTADOS!$A:$A,0),MATCH(W$1,RESULTADOS!$1:$1,0))</f>
        <v>#N/A</v>
      </c>
      <c r="X90" s="56" t="e">
        <f t="shared" ca="1" si="37"/>
        <v>#N/A</v>
      </c>
      <c r="Y90" s="62" t="e">
        <f t="shared" ca="1" si="48"/>
        <v>#N/A</v>
      </c>
      <c r="Z90" s="57" t="e">
        <f t="shared" ca="1" si="35"/>
        <v>#N/A</v>
      </c>
      <c r="AA90" s="110" t="e">
        <f t="shared" ca="1" si="49"/>
        <v>#N/A</v>
      </c>
      <c r="AB90" s="62" t="e">
        <f t="shared" ca="1" si="50"/>
        <v>#N/A</v>
      </c>
    </row>
    <row r="91" spans="1:28" s="272" customFormat="1" x14ac:dyDescent="0.2">
      <c r="A91" s="273">
        <f t="shared" ca="1" si="23"/>
        <v>43890</v>
      </c>
      <c r="B91" s="279" t="e">
        <f ca="1">INDEX(RESULTADOS!$A:$BA,MATCH($A91,RESULTADOS!$A:$A,0),MATCH(B$1,RESULTADOS!$1:$1,0))</f>
        <v>#N/A</v>
      </c>
      <c r="C91" s="279" t="e">
        <f ca="1">INDEX(RESULTADOS!$A:$BA,MATCH($A91,RESULTADOS!$A:$A,0),MATCH(C$1,RESULTADOS!$1:$1,0))</f>
        <v>#N/A</v>
      </c>
      <c r="D91" s="56" t="e">
        <f t="shared" ca="1" si="30"/>
        <v>#N/A</v>
      </c>
      <c r="E91" s="62" t="e">
        <f t="shared" ca="1" si="38"/>
        <v>#N/A</v>
      </c>
      <c r="F91" s="57" t="e">
        <f t="shared" ca="1" si="31"/>
        <v>#N/A</v>
      </c>
      <c r="G91" s="62" t="e">
        <f t="shared" ca="1" si="39"/>
        <v>#N/A</v>
      </c>
      <c r="H91" s="279" t="e">
        <f ca="1">INDEX(RESULTADOS!$A:$BA,MATCH($A91,RESULTADOS!$A:$A,0),MATCH(H$1,RESULTADOS!$1:$1,0))</f>
        <v>#N/A</v>
      </c>
      <c r="I91" s="56" t="e">
        <f t="shared" ca="1" si="32"/>
        <v>#N/A</v>
      </c>
      <c r="J91" s="110" t="e">
        <f t="shared" ca="1" si="40"/>
        <v>#N/A</v>
      </c>
      <c r="K91" s="57" t="e">
        <f t="shared" ca="1" si="33"/>
        <v>#N/A</v>
      </c>
      <c r="L91" s="56" t="e">
        <f t="shared" ca="1" si="41"/>
        <v>#N/A</v>
      </c>
      <c r="M91" s="62" t="e">
        <f t="shared" ca="1" si="42"/>
        <v>#N/A</v>
      </c>
      <c r="N91" s="56" t="e">
        <f t="shared" ca="1" si="34"/>
        <v>#N/A</v>
      </c>
      <c r="O91" s="62" t="e">
        <f t="shared" ca="1" si="43"/>
        <v>#N/A</v>
      </c>
      <c r="P91" s="56" t="e">
        <f t="shared" ca="1" si="36"/>
        <v>#N/A</v>
      </c>
      <c r="Q91" s="62" t="e">
        <f t="shared" ca="1" si="44"/>
        <v>#N/A</v>
      </c>
      <c r="R91" s="279" t="e">
        <f ca="1">INDEX(RESULTADOS!$A:$BA,MATCH($A91,RESULTADOS!$A:$A,0),MATCH(R$1,RESULTADOS!$1:$1,0))</f>
        <v>#N/A</v>
      </c>
      <c r="S91" s="64" t="e">
        <f t="shared" ca="1" si="45"/>
        <v>#N/A</v>
      </c>
      <c r="T91" s="279" t="e">
        <f ca="1">INDEX(RESULTADOS!$A:$BA,MATCH($A91,RESULTADOS!$A:$A,0),MATCH(T$1,RESULTADOS!$1:$1,0))</f>
        <v>#N/A</v>
      </c>
      <c r="U91" s="110" t="e">
        <f t="shared" ca="1" si="46"/>
        <v>#N/A</v>
      </c>
      <c r="V91" s="62" t="e">
        <f t="shared" ca="1" si="47"/>
        <v>#N/A</v>
      </c>
      <c r="W91" s="279" t="e">
        <f ca="1">INDEX(RESULTADOS!$A:$BA,MATCH($A91,RESULTADOS!$A:$A,0),MATCH(W$1,RESULTADOS!$1:$1,0))</f>
        <v>#N/A</v>
      </c>
      <c r="X91" s="56" t="e">
        <f t="shared" ca="1" si="37"/>
        <v>#N/A</v>
      </c>
      <c r="Y91" s="62" t="e">
        <f t="shared" ca="1" si="48"/>
        <v>#N/A</v>
      </c>
      <c r="Z91" s="57" t="e">
        <f t="shared" ca="1" si="35"/>
        <v>#N/A</v>
      </c>
      <c r="AA91" s="110" t="e">
        <f t="shared" ca="1" si="49"/>
        <v>#N/A</v>
      </c>
      <c r="AB91" s="62" t="e">
        <f t="shared" ca="1" si="50"/>
        <v>#N/A</v>
      </c>
    </row>
    <row r="92" spans="1:28" s="272" customFormat="1" x14ac:dyDescent="0.2">
      <c r="A92" s="273">
        <f t="shared" ca="1" si="23"/>
        <v>43891</v>
      </c>
      <c r="B92" s="279" t="e">
        <f ca="1">INDEX(RESULTADOS!$A:$BA,MATCH($A92,RESULTADOS!$A:$A,0),MATCH(B$1,RESULTADOS!$1:$1,0))</f>
        <v>#N/A</v>
      </c>
      <c r="C92" s="279" t="e">
        <f ca="1">INDEX(RESULTADOS!$A:$BA,MATCH($A92,RESULTADOS!$A:$A,0),MATCH(C$1,RESULTADOS!$1:$1,0))</f>
        <v>#N/A</v>
      </c>
      <c r="D92" s="56" t="e">
        <f t="shared" ca="1" si="30"/>
        <v>#N/A</v>
      </c>
      <c r="E92" s="62" t="e">
        <f t="shared" ca="1" si="38"/>
        <v>#N/A</v>
      </c>
      <c r="F92" s="57" t="e">
        <f t="shared" ca="1" si="31"/>
        <v>#N/A</v>
      </c>
      <c r="G92" s="62" t="e">
        <f t="shared" ca="1" si="39"/>
        <v>#N/A</v>
      </c>
      <c r="H92" s="279" t="e">
        <f ca="1">INDEX(RESULTADOS!$A:$BA,MATCH($A92,RESULTADOS!$A:$A,0),MATCH(H$1,RESULTADOS!$1:$1,0))</f>
        <v>#N/A</v>
      </c>
      <c r="I92" s="56" t="e">
        <f t="shared" ca="1" si="32"/>
        <v>#N/A</v>
      </c>
      <c r="J92" s="110" t="e">
        <f t="shared" ca="1" si="40"/>
        <v>#N/A</v>
      </c>
      <c r="K92" s="57" t="e">
        <f t="shared" ca="1" si="33"/>
        <v>#N/A</v>
      </c>
      <c r="L92" s="56" t="e">
        <f t="shared" ca="1" si="41"/>
        <v>#N/A</v>
      </c>
      <c r="M92" s="62" t="e">
        <f t="shared" ca="1" si="42"/>
        <v>#N/A</v>
      </c>
      <c r="N92" s="56" t="e">
        <f t="shared" ca="1" si="34"/>
        <v>#N/A</v>
      </c>
      <c r="O92" s="62" t="e">
        <f t="shared" ca="1" si="43"/>
        <v>#N/A</v>
      </c>
      <c r="P92" s="56" t="e">
        <f t="shared" ca="1" si="36"/>
        <v>#N/A</v>
      </c>
      <c r="Q92" s="62" t="e">
        <f t="shared" ca="1" si="44"/>
        <v>#N/A</v>
      </c>
      <c r="R92" s="279" t="e">
        <f ca="1">INDEX(RESULTADOS!$A:$BA,MATCH($A92,RESULTADOS!$A:$A,0),MATCH(R$1,RESULTADOS!$1:$1,0))</f>
        <v>#N/A</v>
      </c>
      <c r="S92" s="64" t="e">
        <f t="shared" ca="1" si="45"/>
        <v>#N/A</v>
      </c>
      <c r="T92" s="279" t="e">
        <f ca="1">INDEX(RESULTADOS!$A:$BA,MATCH($A92,RESULTADOS!$A:$A,0),MATCH(T$1,RESULTADOS!$1:$1,0))</f>
        <v>#N/A</v>
      </c>
      <c r="U92" s="110" t="e">
        <f t="shared" ca="1" si="46"/>
        <v>#N/A</v>
      </c>
      <c r="V92" s="62" t="e">
        <f t="shared" ca="1" si="47"/>
        <v>#N/A</v>
      </c>
      <c r="W92" s="279" t="e">
        <f ca="1">INDEX(RESULTADOS!$A:$BA,MATCH($A92,RESULTADOS!$A:$A,0),MATCH(W$1,RESULTADOS!$1:$1,0))</f>
        <v>#N/A</v>
      </c>
      <c r="X92" s="56" t="e">
        <f t="shared" ca="1" si="37"/>
        <v>#N/A</v>
      </c>
      <c r="Y92" s="62" t="e">
        <f t="shared" ca="1" si="48"/>
        <v>#N/A</v>
      </c>
      <c r="Z92" s="57" t="e">
        <f t="shared" ca="1" si="35"/>
        <v>#N/A</v>
      </c>
      <c r="AA92" s="110" t="e">
        <f t="shared" ca="1" si="49"/>
        <v>#N/A</v>
      </c>
      <c r="AB92" s="62" t="e">
        <f t="shared" ca="1" si="50"/>
        <v>#N/A</v>
      </c>
    </row>
    <row r="93" spans="1:28" s="272" customFormat="1" x14ac:dyDescent="0.2">
      <c r="A93" s="273">
        <f t="shared" ca="1" si="23"/>
        <v>43892</v>
      </c>
      <c r="B93" s="279" t="e">
        <f ca="1">INDEX(RESULTADOS!$A:$BA,MATCH($A93,RESULTADOS!$A:$A,0),MATCH(B$1,RESULTADOS!$1:$1,0))</f>
        <v>#N/A</v>
      </c>
      <c r="C93" s="279" t="e">
        <f ca="1">INDEX(RESULTADOS!$A:$BA,MATCH($A93,RESULTADOS!$A:$A,0),MATCH(C$1,RESULTADOS!$1:$1,0))</f>
        <v>#N/A</v>
      </c>
      <c r="D93" s="56" t="e">
        <f t="shared" ca="1" si="30"/>
        <v>#N/A</v>
      </c>
      <c r="E93" s="62" t="e">
        <f t="shared" ca="1" si="38"/>
        <v>#N/A</v>
      </c>
      <c r="F93" s="57" t="e">
        <f t="shared" ca="1" si="31"/>
        <v>#N/A</v>
      </c>
      <c r="G93" s="62" t="e">
        <f t="shared" ca="1" si="39"/>
        <v>#N/A</v>
      </c>
      <c r="H93" s="279" t="e">
        <f ca="1">INDEX(RESULTADOS!$A:$BA,MATCH($A93,RESULTADOS!$A:$A,0),MATCH(H$1,RESULTADOS!$1:$1,0))</f>
        <v>#N/A</v>
      </c>
      <c r="I93" s="56" t="e">
        <f t="shared" ca="1" si="32"/>
        <v>#N/A</v>
      </c>
      <c r="J93" s="110" t="e">
        <f t="shared" ca="1" si="40"/>
        <v>#N/A</v>
      </c>
      <c r="K93" s="57" t="e">
        <f t="shared" ca="1" si="33"/>
        <v>#N/A</v>
      </c>
      <c r="L93" s="56" t="e">
        <f t="shared" ca="1" si="41"/>
        <v>#N/A</v>
      </c>
      <c r="M93" s="62" t="e">
        <f t="shared" ca="1" si="42"/>
        <v>#N/A</v>
      </c>
      <c r="N93" s="56" t="e">
        <f t="shared" ca="1" si="34"/>
        <v>#N/A</v>
      </c>
      <c r="O93" s="62" t="e">
        <f t="shared" ca="1" si="43"/>
        <v>#N/A</v>
      </c>
      <c r="P93" s="56" t="e">
        <f t="shared" ca="1" si="36"/>
        <v>#N/A</v>
      </c>
      <c r="Q93" s="62" t="e">
        <f t="shared" ca="1" si="44"/>
        <v>#N/A</v>
      </c>
      <c r="R93" s="279" t="e">
        <f ca="1">INDEX(RESULTADOS!$A:$BA,MATCH($A93,RESULTADOS!$A:$A,0),MATCH(R$1,RESULTADOS!$1:$1,0))</f>
        <v>#N/A</v>
      </c>
      <c r="S93" s="64" t="e">
        <f t="shared" ca="1" si="45"/>
        <v>#N/A</v>
      </c>
      <c r="T93" s="279" t="e">
        <f ca="1">INDEX(RESULTADOS!$A:$BA,MATCH($A93,RESULTADOS!$A:$A,0),MATCH(T$1,RESULTADOS!$1:$1,0))</f>
        <v>#N/A</v>
      </c>
      <c r="U93" s="110" t="e">
        <f t="shared" ca="1" si="46"/>
        <v>#N/A</v>
      </c>
      <c r="V93" s="62" t="e">
        <f t="shared" ca="1" si="47"/>
        <v>#N/A</v>
      </c>
      <c r="W93" s="279" t="e">
        <f ca="1">INDEX(RESULTADOS!$A:$BA,MATCH($A93,RESULTADOS!$A:$A,0),MATCH(W$1,RESULTADOS!$1:$1,0))</f>
        <v>#N/A</v>
      </c>
      <c r="X93" s="56" t="e">
        <f t="shared" ca="1" si="37"/>
        <v>#N/A</v>
      </c>
      <c r="Y93" s="62" t="e">
        <f t="shared" ca="1" si="48"/>
        <v>#N/A</v>
      </c>
      <c r="Z93" s="57" t="e">
        <f t="shared" ca="1" si="35"/>
        <v>#N/A</v>
      </c>
      <c r="AA93" s="110" t="e">
        <f t="shared" ca="1" si="49"/>
        <v>#N/A</v>
      </c>
      <c r="AB93" s="62" t="e">
        <f t="shared" ca="1" si="50"/>
        <v>#N/A</v>
      </c>
    </row>
    <row r="94" spans="1:28" s="272" customFormat="1" x14ac:dyDescent="0.2">
      <c r="A94" s="273">
        <f t="shared" ca="1" si="23"/>
        <v>43893</v>
      </c>
      <c r="B94" s="279" t="e">
        <f ca="1">INDEX(RESULTADOS!$A:$BA,MATCH($A94,RESULTADOS!$A:$A,0),MATCH(B$1,RESULTADOS!$1:$1,0))</f>
        <v>#N/A</v>
      </c>
      <c r="C94" s="279" t="e">
        <f ca="1">INDEX(RESULTADOS!$A:$BA,MATCH($A94,RESULTADOS!$A:$A,0),MATCH(C$1,RESULTADOS!$1:$1,0))</f>
        <v>#N/A</v>
      </c>
      <c r="D94" s="56" t="e">
        <f t="shared" ca="1" si="30"/>
        <v>#N/A</v>
      </c>
      <c r="E94" s="62" t="e">
        <f t="shared" ca="1" si="38"/>
        <v>#N/A</v>
      </c>
      <c r="F94" s="57" t="e">
        <f t="shared" ca="1" si="31"/>
        <v>#N/A</v>
      </c>
      <c r="G94" s="62" t="e">
        <f t="shared" ca="1" si="39"/>
        <v>#N/A</v>
      </c>
      <c r="H94" s="279" t="e">
        <f ca="1">INDEX(RESULTADOS!$A:$BA,MATCH($A94,RESULTADOS!$A:$A,0),MATCH(H$1,RESULTADOS!$1:$1,0))</f>
        <v>#N/A</v>
      </c>
      <c r="I94" s="56" t="e">
        <f t="shared" ca="1" si="32"/>
        <v>#N/A</v>
      </c>
      <c r="J94" s="110" t="e">
        <f t="shared" ca="1" si="40"/>
        <v>#N/A</v>
      </c>
      <c r="K94" s="57" t="e">
        <f t="shared" ca="1" si="33"/>
        <v>#N/A</v>
      </c>
      <c r="L94" s="56" t="e">
        <f t="shared" ca="1" si="41"/>
        <v>#N/A</v>
      </c>
      <c r="M94" s="62" t="e">
        <f t="shared" ca="1" si="42"/>
        <v>#N/A</v>
      </c>
      <c r="N94" s="56" t="e">
        <f t="shared" ca="1" si="34"/>
        <v>#N/A</v>
      </c>
      <c r="O94" s="62" t="e">
        <f t="shared" ca="1" si="43"/>
        <v>#N/A</v>
      </c>
      <c r="P94" s="56" t="e">
        <f t="shared" ca="1" si="36"/>
        <v>#N/A</v>
      </c>
      <c r="Q94" s="62" t="e">
        <f t="shared" ca="1" si="44"/>
        <v>#N/A</v>
      </c>
      <c r="R94" s="279" t="e">
        <f ca="1">INDEX(RESULTADOS!$A:$BA,MATCH($A94,RESULTADOS!$A:$A,0),MATCH(R$1,RESULTADOS!$1:$1,0))</f>
        <v>#N/A</v>
      </c>
      <c r="S94" s="64" t="e">
        <f t="shared" ca="1" si="45"/>
        <v>#N/A</v>
      </c>
      <c r="T94" s="279" t="e">
        <f ca="1">INDEX(RESULTADOS!$A:$BA,MATCH($A94,RESULTADOS!$A:$A,0),MATCH(T$1,RESULTADOS!$1:$1,0))</f>
        <v>#N/A</v>
      </c>
      <c r="U94" s="110" t="e">
        <f t="shared" ca="1" si="46"/>
        <v>#N/A</v>
      </c>
      <c r="V94" s="62" t="e">
        <f t="shared" ca="1" si="47"/>
        <v>#N/A</v>
      </c>
      <c r="W94" s="279" t="e">
        <f ca="1">INDEX(RESULTADOS!$A:$BA,MATCH($A94,RESULTADOS!$A:$A,0),MATCH(W$1,RESULTADOS!$1:$1,0))</f>
        <v>#N/A</v>
      </c>
      <c r="X94" s="56" t="e">
        <f t="shared" ca="1" si="37"/>
        <v>#N/A</v>
      </c>
      <c r="Y94" s="62" t="e">
        <f t="shared" ca="1" si="48"/>
        <v>#N/A</v>
      </c>
      <c r="Z94" s="57" t="e">
        <f t="shared" ca="1" si="35"/>
        <v>#N/A</v>
      </c>
      <c r="AA94" s="110" t="e">
        <f t="shared" ca="1" si="49"/>
        <v>#N/A</v>
      </c>
      <c r="AB94" s="62" t="e">
        <f t="shared" ca="1" si="50"/>
        <v>#N/A</v>
      </c>
    </row>
    <row r="95" spans="1:28" s="272" customFormat="1" x14ac:dyDescent="0.2">
      <c r="A95" s="273">
        <f t="shared" ca="1" si="23"/>
        <v>43894</v>
      </c>
      <c r="B95" s="279" t="e">
        <f ca="1">INDEX(RESULTADOS!$A:$BA,MATCH($A95,RESULTADOS!$A:$A,0),MATCH(B$1,RESULTADOS!$1:$1,0))</f>
        <v>#N/A</v>
      </c>
      <c r="C95" s="279" t="e">
        <f ca="1">INDEX(RESULTADOS!$A:$BA,MATCH($A95,RESULTADOS!$A:$A,0),MATCH(C$1,RESULTADOS!$1:$1,0))</f>
        <v>#N/A</v>
      </c>
      <c r="D95" s="56" t="e">
        <f t="shared" ca="1" si="30"/>
        <v>#N/A</v>
      </c>
      <c r="E95" s="62" t="e">
        <f t="shared" ca="1" si="38"/>
        <v>#N/A</v>
      </c>
      <c r="F95" s="57" t="e">
        <f t="shared" ca="1" si="31"/>
        <v>#N/A</v>
      </c>
      <c r="G95" s="62" t="e">
        <f t="shared" ca="1" si="39"/>
        <v>#N/A</v>
      </c>
      <c r="H95" s="279" t="e">
        <f ca="1">INDEX(RESULTADOS!$A:$BA,MATCH($A95,RESULTADOS!$A:$A,0),MATCH(H$1,RESULTADOS!$1:$1,0))</f>
        <v>#N/A</v>
      </c>
      <c r="I95" s="56" t="e">
        <f t="shared" ca="1" si="32"/>
        <v>#N/A</v>
      </c>
      <c r="J95" s="110" t="e">
        <f t="shared" ca="1" si="40"/>
        <v>#N/A</v>
      </c>
      <c r="K95" s="57" t="e">
        <f t="shared" ca="1" si="33"/>
        <v>#N/A</v>
      </c>
      <c r="L95" s="56" t="e">
        <f t="shared" ca="1" si="41"/>
        <v>#N/A</v>
      </c>
      <c r="M95" s="62" t="e">
        <f t="shared" ca="1" si="42"/>
        <v>#N/A</v>
      </c>
      <c r="N95" s="56" t="e">
        <f t="shared" ca="1" si="34"/>
        <v>#N/A</v>
      </c>
      <c r="O95" s="62" t="e">
        <f t="shared" ca="1" si="43"/>
        <v>#N/A</v>
      </c>
      <c r="P95" s="56" t="e">
        <f t="shared" ca="1" si="36"/>
        <v>#N/A</v>
      </c>
      <c r="Q95" s="62" t="e">
        <f t="shared" ca="1" si="44"/>
        <v>#N/A</v>
      </c>
      <c r="R95" s="279" t="e">
        <f ca="1">INDEX(RESULTADOS!$A:$BA,MATCH($A95,RESULTADOS!$A:$A,0),MATCH(R$1,RESULTADOS!$1:$1,0))</f>
        <v>#N/A</v>
      </c>
      <c r="S95" s="64" t="e">
        <f t="shared" ca="1" si="45"/>
        <v>#N/A</v>
      </c>
      <c r="T95" s="279" t="e">
        <f ca="1">INDEX(RESULTADOS!$A:$BA,MATCH($A95,RESULTADOS!$A:$A,0),MATCH(T$1,RESULTADOS!$1:$1,0))</f>
        <v>#N/A</v>
      </c>
      <c r="U95" s="110" t="e">
        <f t="shared" ca="1" si="46"/>
        <v>#N/A</v>
      </c>
      <c r="V95" s="62" t="e">
        <f t="shared" ca="1" si="47"/>
        <v>#N/A</v>
      </c>
      <c r="W95" s="279" t="e">
        <f ca="1">INDEX(RESULTADOS!$A:$BA,MATCH($A95,RESULTADOS!$A:$A,0),MATCH(W$1,RESULTADOS!$1:$1,0))</f>
        <v>#N/A</v>
      </c>
      <c r="X95" s="56" t="e">
        <f t="shared" ca="1" si="37"/>
        <v>#N/A</v>
      </c>
      <c r="Y95" s="62" t="e">
        <f t="shared" ca="1" si="48"/>
        <v>#N/A</v>
      </c>
      <c r="Z95" s="57" t="e">
        <f t="shared" ca="1" si="35"/>
        <v>#N/A</v>
      </c>
      <c r="AA95" s="110" t="e">
        <f t="shared" ca="1" si="49"/>
        <v>#N/A</v>
      </c>
      <c r="AB95" s="62" t="e">
        <f t="shared" ca="1" si="50"/>
        <v>#N/A</v>
      </c>
    </row>
    <row r="96" spans="1:28" s="272" customFormat="1" x14ac:dyDescent="0.2">
      <c r="A96" s="273">
        <f t="shared" ca="1" si="23"/>
        <v>43895</v>
      </c>
      <c r="B96" s="279" t="e">
        <f ca="1">INDEX(RESULTADOS!$A:$BA,MATCH($A96,RESULTADOS!$A:$A,0),MATCH(B$1,RESULTADOS!$1:$1,0))</f>
        <v>#N/A</v>
      </c>
      <c r="C96" s="279" t="e">
        <f ca="1">INDEX(RESULTADOS!$A:$BA,MATCH($A96,RESULTADOS!$A:$A,0),MATCH(C$1,RESULTADOS!$1:$1,0))</f>
        <v>#N/A</v>
      </c>
      <c r="D96" s="56" t="e">
        <f t="shared" ca="1" si="30"/>
        <v>#N/A</v>
      </c>
      <c r="E96" s="62" t="e">
        <f t="shared" ca="1" si="38"/>
        <v>#N/A</v>
      </c>
      <c r="F96" s="57" t="e">
        <f t="shared" ca="1" si="31"/>
        <v>#N/A</v>
      </c>
      <c r="G96" s="62" t="e">
        <f t="shared" ca="1" si="39"/>
        <v>#N/A</v>
      </c>
      <c r="H96" s="279" t="e">
        <f ca="1">INDEX(RESULTADOS!$A:$BA,MATCH($A96,RESULTADOS!$A:$A,0),MATCH(H$1,RESULTADOS!$1:$1,0))</f>
        <v>#N/A</v>
      </c>
      <c r="I96" s="56" t="e">
        <f t="shared" ca="1" si="32"/>
        <v>#N/A</v>
      </c>
      <c r="J96" s="110" t="e">
        <f t="shared" ca="1" si="40"/>
        <v>#N/A</v>
      </c>
      <c r="K96" s="57" t="e">
        <f t="shared" ca="1" si="33"/>
        <v>#N/A</v>
      </c>
      <c r="L96" s="56" t="e">
        <f t="shared" ca="1" si="41"/>
        <v>#N/A</v>
      </c>
      <c r="M96" s="62" t="e">
        <f t="shared" ca="1" si="42"/>
        <v>#N/A</v>
      </c>
      <c r="N96" s="56" t="e">
        <f t="shared" ca="1" si="34"/>
        <v>#N/A</v>
      </c>
      <c r="O96" s="62" t="e">
        <f t="shared" ca="1" si="43"/>
        <v>#N/A</v>
      </c>
      <c r="P96" s="56" t="e">
        <f t="shared" ca="1" si="36"/>
        <v>#N/A</v>
      </c>
      <c r="Q96" s="62" t="e">
        <f t="shared" ca="1" si="44"/>
        <v>#N/A</v>
      </c>
      <c r="R96" s="279" t="e">
        <f ca="1">INDEX(RESULTADOS!$A:$BA,MATCH($A96,RESULTADOS!$A:$A,0),MATCH(R$1,RESULTADOS!$1:$1,0))</f>
        <v>#N/A</v>
      </c>
      <c r="S96" s="64" t="e">
        <f t="shared" ca="1" si="45"/>
        <v>#N/A</v>
      </c>
      <c r="T96" s="279" t="e">
        <f ca="1">INDEX(RESULTADOS!$A:$BA,MATCH($A96,RESULTADOS!$A:$A,0),MATCH(T$1,RESULTADOS!$1:$1,0))</f>
        <v>#N/A</v>
      </c>
      <c r="U96" s="110" t="e">
        <f t="shared" ca="1" si="46"/>
        <v>#N/A</v>
      </c>
      <c r="V96" s="62" t="e">
        <f t="shared" ca="1" si="47"/>
        <v>#N/A</v>
      </c>
      <c r="W96" s="279" t="e">
        <f ca="1">INDEX(RESULTADOS!$A:$BA,MATCH($A96,RESULTADOS!$A:$A,0),MATCH(W$1,RESULTADOS!$1:$1,0))</f>
        <v>#N/A</v>
      </c>
      <c r="X96" s="56" t="e">
        <f t="shared" ca="1" si="37"/>
        <v>#N/A</v>
      </c>
      <c r="Y96" s="62" t="e">
        <f t="shared" ca="1" si="48"/>
        <v>#N/A</v>
      </c>
      <c r="Z96" s="57" t="e">
        <f t="shared" ca="1" si="35"/>
        <v>#N/A</v>
      </c>
      <c r="AA96" s="110" t="e">
        <f t="shared" ca="1" si="49"/>
        <v>#N/A</v>
      </c>
      <c r="AB96" s="62" t="e">
        <f t="shared" ca="1" si="50"/>
        <v>#N/A</v>
      </c>
    </row>
    <row r="97" spans="1:28" s="272" customFormat="1" x14ac:dyDescent="0.2">
      <c r="A97" s="273">
        <f t="shared" ca="1" si="23"/>
        <v>43896</v>
      </c>
      <c r="B97" s="279" t="e">
        <f ca="1">INDEX(RESULTADOS!$A:$BA,MATCH($A97,RESULTADOS!$A:$A,0),MATCH(B$1,RESULTADOS!$1:$1,0))</f>
        <v>#N/A</v>
      </c>
      <c r="C97" s="279" t="e">
        <f ca="1">INDEX(RESULTADOS!$A:$BA,MATCH($A97,RESULTADOS!$A:$A,0),MATCH(C$1,RESULTADOS!$1:$1,0))</f>
        <v>#N/A</v>
      </c>
      <c r="D97" s="56" t="e">
        <f t="shared" ca="1" si="30"/>
        <v>#N/A</v>
      </c>
      <c r="E97" s="62" t="e">
        <f t="shared" ca="1" si="38"/>
        <v>#N/A</v>
      </c>
      <c r="F97" s="57" t="e">
        <f t="shared" ca="1" si="31"/>
        <v>#N/A</v>
      </c>
      <c r="G97" s="62" t="e">
        <f t="shared" ca="1" si="39"/>
        <v>#N/A</v>
      </c>
      <c r="H97" s="279" t="e">
        <f ca="1">INDEX(RESULTADOS!$A:$BA,MATCH($A97,RESULTADOS!$A:$A,0),MATCH(H$1,RESULTADOS!$1:$1,0))</f>
        <v>#N/A</v>
      </c>
      <c r="I97" s="56" t="e">
        <f t="shared" ca="1" si="32"/>
        <v>#N/A</v>
      </c>
      <c r="J97" s="110" t="e">
        <f t="shared" ca="1" si="40"/>
        <v>#N/A</v>
      </c>
      <c r="K97" s="57" t="e">
        <f t="shared" ca="1" si="33"/>
        <v>#N/A</v>
      </c>
      <c r="L97" s="56" t="e">
        <f t="shared" ca="1" si="41"/>
        <v>#N/A</v>
      </c>
      <c r="M97" s="62" t="e">
        <f t="shared" ca="1" si="42"/>
        <v>#N/A</v>
      </c>
      <c r="N97" s="56" t="e">
        <f t="shared" ca="1" si="34"/>
        <v>#N/A</v>
      </c>
      <c r="O97" s="62" t="e">
        <f t="shared" ca="1" si="43"/>
        <v>#N/A</v>
      </c>
      <c r="P97" s="56" t="e">
        <f t="shared" ca="1" si="36"/>
        <v>#N/A</v>
      </c>
      <c r="Q97" s="62" t="e">
        <f t="shared" ca="1" si="44"/>
        <v>#N/A</v>
      </c>
      <c r="R97" s="279" t="e">
        <f ca="1">INDEX(RESULTADOS!$A:$BA,MATCH($A97,RESULTADOS!$A:$A,0),MATCH(R$1,RESULTADOS!$1:$1,0))</f>
        <v>#N/A</v>
      </c>
      <c r="S97" s="64" t="e">
        <f t="shared" ca="1" si="45"/>
        <v>#N/A</v>
      </c>
      <c r="T97" s="279" t="e">
        <f ca="1">INDEX(RESULTADOS!$A:$BA,MATCH($A97,RESULTADOS!$A:$A,0),MATCH(T$1,RESULTADOS!$1:$1,0))</f>
        <v>#N/A</v>
      </c>
      <c r="U97" s="110" t="e">
        <f t="shared" ca="1" si="46"/>
        <v>#N/A</v>
      </c>
      <c r="V97" s="62" t="e">
        <f t="shared" ca="1" si="47"/>
        <v>#N/A</v>
      </c>
      <c r="W97" s="279" t="e">
        <f ca="1">INDEX(RESULTADOS!$A:$BA,MATCH($A97,RESULTADOS!$A:$A,0),MATCH(W$1,RESULTADOS!$1:$1,0))</f>
        <v>#N/A</v>
      </c>
      <c r="X97" s="56" t="e">
        <f t="shared" ca="1" si="37"/>
        <v>#N/A</v>
      </c>
      <c r="Y97" s="62" t="e">
        <f t="shared" ca="1" si="48"/>
        <v>#N/A</v>
      </c>
      <c r="Z97" s="57" t="e">
        <f t="shared" ca="1" si="35"/>
        <v>#N/A</v>
      </c>
      <c r="AA97" s="110" t="e">
        <f t="shared" ca="1" si="49"/>
        <v>#N/A</v>
      </c>
      <c r="AB97" s="62" t="e">
        <f t="shared" ca="1" si="50"/>
        <v>#N/A</v>
      </c>
    </row>
    <row r="98" spans="1:28" s="272" customFormat="1" x14ac:dyDescent="0.2">
      <c r="A98" s="273">
        <f t="shared" ca="1" si="23"/>
        <v>43897</v>
      </c>
      <c r="B98" s="279" t="e">
        <f ca="1">INDEX(RESULTADOS!$A:$BA,MATCH($A98,RESULTADOS!$A:$A,0),MATCH(B$1,RESULTADOS!$1:$1,0))</f>
        <v>#N/A</v>
      </c>
      <c r="C98" s="279" t="e">
        <f ca="1">INDEX(RESULTADOS!$A:$BA,MATCH($A98,RESULTADOS!$A:$A,0),MATCH(C$1,RESULTADOS!$1:$1,0))</f>
        <v>#N/A</v>
      </c>
      <c r="D98" s="56" t="e">
        <f t="shared" ca="1" si="30"/>
        <v>#N/A</v>
      </c>
      <c r="E98" s="62" t="e">
        <f t="shared" ca="1" si="38"/>
        <v>#N/A</v>
      </c>
      <c r="F98" s="57" t="e">
        <f t="shared" ca="1" si="31"/>
        <v>#N/A</v>
      </c>
      <c r="G98" s="62" t="e">
        <f t="shared" ca="1" si="39"/>
        <v>#N/A</v>
      </c>
      <c r="H98" s="279" t="e">
        <f ca="1">INDEX(RESULTADOS!$A:$BA,MATCH($A98,RESULTADOS!$A:$A,0),MATCH(H$1,RESULTADOS!$1:$1,0))</f>
        <v>#N/A</v>
      </c>
      <c r="I98" s="56" t="e">
        <f t="shared" ca="1" si="32"/>
        <v>#N/A</v>
      </c>
      <c r="J98" s="110" t="e">
        <f t="shared" ca="1" si="40"/>
        <v>#N/A</v>
      </c>
      <c r="K98" s="57" t="e">
        <f t="shared" ca="1" si="33"/>
        <v>#N/A</v>
      </c>
      <c r="L98" s="56" t="e">
        <f t="shared" ca="1" si="41"/>
        <v>#N/A</v>
      </c>
      <c r="M98" s="62" t="e">
        <f t="shared" ca="1" si="42"/>
        <v>#N/A</v>
      </c>
      <c r="N98" s="56" t="e">
        <f t="shared" ca="1" si="34"/>
        <v>#N/A</v>
      </c>
      <c r="O98" s="62" t="e">
        <f t="shared" ca="1" si="43"/>
        <v>#N/A</v>
      </c>
      <c r="P98" s="56" t="e">
        <f t="shared" ca="1" si="36"/>
        <v>#N/A</v>
      </c>
      <c r="Q98" s="62" t="e">
        <f t="shared" ca="1" si="44"/>
        <v>#N/A</v>
      </c>
      <c r="R98" s="279" t="e">
        <f ca="1">INDEX(RESULTADOS!$A:$BA,MATCH($A98,RESULTADOS!$A:$A,0),MATCH(R$1,RESULTADOS!$1:$1,0))</f>
        <v>#N/A</v>
      </c>
      <c r="S98" s="64" t="e">
        <f t="shared" ca="1" si="45"/>
        <v>#N/A</v>
      </c>
      <c r="T98" s="279" t="e">
        <f ca="1">INDEX(RESULTADOS!$A:$BA,MATCH($A98,RESULTADOS!$A:$A,0),MATCH(T$1,RESULTADOS!$1:$1,0))</f>
        <v>#N/A</v>
      </c>
      <c r="U98" s="110" t="e">
        <f t="shared" ca="1" si="46"/>
        <v>#N/A</v>
      </c>
      <c r="V98" s="62" t="e">
        <f t="shared" ca="1" si="47"/>
        <v>#N/A</v>
      </c>
      <c r="W98" s="279" t="e">
        <f ca="1">INDEX(RESULTADOS!$A:$BA,MATCH($A98,RESULTADOS!$A:$A,0),MATCH(W$1,RESULTADOS!$1:$1,0))</f>
        <v>#N/A</v>
      </c>
      <c r="X98" s="56" t="e">
        <f t="shared" ca="1" si="37"/>
        <v>#N/A</v>
      </c>
      <c r="Y98" s="62" t="e">
        <f t="shared" ca="1" si="48"/>
        <v>#N/A</v>
      </c>
      <c r="Z98" s="57" t="e">
        <f t="shared" ca="1" si="35"/>
        <v>#N/A</v>
      </c>
      <c r="AA98" s="110" t="e">
        <f t="shared" ca="1" si="49"/>
        <v>#N/A</v>
      </c>
      <c r="AB98" s="62" t="e">
        <f t="shared" ca="1" si="50"/>
        <v>#N/A</v>
      </c>
    </row>
    <row r="99" spans="1:28" s="272" customFormat="1" x14ac:dyDescent="0.2">
      <c r="A99" s="273">
        <f t="shared" ca="1" si="23"/>
        <v>43898</v>
      </c>
      <c r="B99" s="279" t="e">
        <f ca="1">INDEX(RESULTADOS!$A:$BA,MATCH($A99,RESULTADOS!$A:$A,0),MATCH(B$1,RESULTADOS!$1:$1,0))</f>
        <v>#N/A</v>
      </c>
      <c r="C99" s="279" t="e">
        <f ca="1">INDEX(RESULTADOS!$A:$BA,MATCH($A99,RESULTADOS!$A:$A,0),MATCH(C$1,RESULTADOS!$1:$1,0))</f>
        <v>#N/A</v>
      </c>
      <c r="D99" s="56" t="e">
        <f t="shared" ca="1" si="30"/>
        <v>#N/A</v>
      </c>
      <c r="E99" s="62" t="e">
        <f t="shared" ca="1" si="38"/>
        <v>#N/A</v>
      </c>
      <c r="F99" s="57" t="e">
        <f t="shared" ca="1" si="31"/>
        <v>#N/A</v>
      </c>
      <c r="G99" s="62" t="e">
        <f t="shared" ca="1" si="39"/>
        <v>#N/A</v>
      </c>
      <c r="H99" s="279" t="e">
        <f ca="1">INDEX(RESULTADOS!$A:$BA,MATCH($A99,RESULTADOS!$A:$A,0),MATCH(H$1,RESULTADOS!$1:$1,0))</f>
        <v>#N/A</v>
      </c>
      <c r="I99" s="56" t="e">
        <f t="shared" ca="1" si="32"/>
        <v>#N/A</v>
      </c>
      <c r="J99" s="110" t="e">
        <f t="shared" ca="1" si="40"/>
        <v>#N/A</v>
      </c>
      <c r="K99" s="57" t="e">
        <f t="shared" ca="1" si="33"/>
        <v>#N/A</v>
      </c>
      <c r="L99" s="56" t="e">
        <f t="shared" ca="1" si="41"/>
        <v>#N/A</v>
      </c>
      <c r="M99" s="62" t="e">
        <f t="shared" ca="1" si="42"/>
        <v>#N/A</v>
      </c>
      <c r="N99" s="56" t="e">
        <f t="shared" ca="1" si="34"/>
        <v>#N/A</v>
      </c>
      <c r="O99" s="62" t="e">
        <f t="shared" ca="1" si="43"/>
        <v>#N/A</v>
      </c>
      <c r="P99" s="56" t="e">
        <f t="shared" ca="1" si="36"/>
        <v>#N/A</v>
      </c>
      <c r="Q99" s="62" t="e">
        <f t="shared" ca="1" si="44"/>
        <v>#N/A</v>
      </c>
      <c r="R99" s="279" t="e">
        <f ca="1">INDEX(RESULTADOS!$A:$BA,MATCH($A99,RESULTADOS!$A:$A,0),MATCH(R$1,RESULTADOS!$1:$1,0))</f>
        <v>#N/A</v>
      </c>
      <c r="S99" s="64" t="e">
        <f t="shared" ca="1" si="45"/>
        <v>#N/A</v>
      </c>
      <c r="T99" s="279" t="e">
        <f ca="1">INDEX(RESULTADOS!$A:$BA,MATCH($A99,RESULTADOS!$A:$A,0),MATCH(T$1,RESULTADOS!$1:$1,0))</f>
        <v>#N/A</v>
      </c>
      <c r="U99" s="110" t="e">
        <f t="shared" ca="1" si="46"/>
        <v>#N/A</v>
      </c>
      <c r="V99" s="62" t="e">
        <f t="shared" ca="1" si="47"/>
        <v>#N/A</v>
      </c>
      <c r="W99" s="279" t="e">
        <f ca="1">INDEX(RESULTADOS!$A:$BA,MATCH($A99,RESULTADOS!$A:$A,0),MATCH(W$1,RESULTADOS!$1:$1,0))</f>
        <v>#N/A</v>
      </c>
      <c r="X99" s="56" t="e">
        <f t="shared" ca="1" si="37"/>
        <v>#N/A</v>
      </c>
      <c r="Y99" s="62" t="e">
        <f t="shared" ca="1" si="48"/>
        <v>#N/A</v>
      </c>
      <c r="Z99" s="57" t="e">
        <f t="shared" ca="1" si="35"/>
        <v>#N/A</v>
      </c>
      <c r="AA99" s="110" t="e">
        <f t="shared" ca="1" si="49"/>
        <v>#N/A</v>
      </c>
      <c r="AB99" s="62" t="e">
        <f t="shared" ca="1" si="50"/>
        <v>#N/A</v>
      </c>
    </row>
    <row r="100" spans="1:28" s="272" customFormat="1" x14ac:dyDescent="0.2">
      <c r="A100" s="273">
        <f t="shared" ca="1" si="23"/>
        <v>43899</v>
      </c>
      <c r="B100" s="279" t="e">
        <f ca="1">INDEX(RESULTADOS!$A:$BA,MATCH($A100,RESULTADOS!$A:$A,0),MATCH(B$1,RESULTADOS!$1:$1,0))</f>
        <v>#N/A</v>
      </c>
      <c r="C100" s="279" t="e">
        <f ca="1">INDEX(RESULTADOS!$A:$BA,MATCH($A100,RESULTADOS!$A:$A,0),MATCH(C$1,RESULTADOS!$1:$1,0))</f>
        <v>#N/A</v>
      </c>
      <c r="D100" s="56" t="e">
        <f t="shared" ca="1" si="30"/>
        <v>#N/A</v>
      </c>
      <c r="E100" s="62" t="e">
        <f t="shared" ca="1" si="38"/>
        <v>#N/A</v>
      </c>
      <c r="F100" s="57" t="e">
        <f t="shared" ca="1" si="31"/>
        <v>#N/A</v>
      </c>
      <c r="G100" s="62" t="e">
        <f t="shared" ca="1" si="39"/>
        <v>#N/A</v>
      </c>
      <c r="H100" s="279" t="e">
        <f ca="1">INDEX(RESULTADOS!$A:$BA,MATCH($A100,RESULTADOS!$A:$A,0),MATCH(H$1,RESULTADOS!$1:$1,0))</f>
        <v>#N/A</v>
      </c>
      <c r="I100" s="56" t="e">
        <f t="shared" ca="1" si="32"/>
        <v>#N/A</v>
      </c>
      <c r="J100" s="110" t="e">
        <f t="shared" ca="1" si="40"/>
        <v>#N/A</v>
      </c>
      <c r="K100" s="57" t="e">
        <f t="shared" ca="1" si="33"/>
        <v>#N/A</v>
      </c>
      <c r="L100" s="56" t="e">
        <f t="shared" ca="1" si="41"/>
        <v>#N/A</v>
      </c>
      <c r="M100" s="62" t="e">
        <f t="shared" ca="1" si="42"/>
        <v>#N/A</v>
      </c>
      <c r="N100" s="56" t="e">
        <f t="shared" ca="1" si="34"/>
        <v>#N/A</v>
      </c>
      <c r="O100" s="62" t="e">
        <f t="shared" ca="1" si="43"/>
        <v>#N/A</v>
      </c>
      <c r="P100" s="56" t="e">
        <f t="shared" ca="1" si="36"/>
        <v>#N/A</v>
      </c>
      <c r="Q100" s="62" t="e">
        <f t="shared" ca="1" si="44"/>
        <v>#N/A</v>
      </c>
      <c r="R100" s="279" t="e">
        <f ca="1">INDEX(RESULTADOS!$A:$BA,MATCH($A100,RESULTADOS!$A:$A,0),MATCH(R$1,RESULTADOS!$1:$1,0))</f>
        <v>#N/A</v>
      </c>
      <c r="S100" s="64" t="e">
        <f t="shared" ca="1" si="45"/>
        <v>#N/A</v>
      </c>
      <c r="T100" s="279" t="e">
        <f ca="1">INDEX(RESULTADOS!$A:$BA,MATCH($A100,RESULTADOS!$A:$A,0),MATCH(T$1,RESULTADOS!$1:$1,0))</f>
        <v>#N/A</v>
      </c>
      <c r="U100" s="110" t="e">
        <f t="shared" ca="1" si="46"/>
        <v>#N/A</v>
      </c>
      <c r="V100" s="62" t="e">
        <f t="shared" ca="1" si="47"/>
        <v>#N/A</v>
      </c>
      <c r="W100" s="279" t="e">
        <f ca="1">INDEX(RESULTADOS!$A:$BA,MATCH($A100,RESULTADOS!$A:$A,0),MATCH(W$1,RESULTADOS!$1:$1,0))</f>
        <v>#N/A</v>
      </c>
      <c r="X100" s="56" t="e">
        <f t="shared" ca="1" si="37"/>
        <v>#N/A</v>
      </c>
      <c r="Y100" s="62" t="e">
        <f t="shared" ca="1" si="48"/>
        <v>#N/A</v>
      </c>
      <c r="Z100" s="57" t="e">
        <f t="shared" ca="1" si="35"/>
        <v>#N/A</v>
      </c>
      <c r="AA100" s="110" t="e">
        <f t="shared" ca="1" si="49"/>
        <v>#N/A</v>
      </c>
      <c r="AB100" s="62" t="e">
        <f t="shared" ca="1" si="50"/>
        <v>#N/A</v>
      </c>
    </row>
    <row r="101" spans="1:28" s="272" customFormat="1" x14ac:dyDescent="0.2">
      <c r="A101" s="273">
        <f t="shared" ca="1" si="23"/>
        <v>43900</v>
      </c>
      <c r="B101" s="279" t="e">
        <f ca="1">INDEX(RESULTADOS!$A:$BA,MATCH($A101,RESULTADOS!$A:$A,0),MATCH(B$1,RESULTADOS!$1:$1,0))</f>
        <v>#N/A</v>
      </c>
      <c r="C101" s="279" t="e">
        <f ca="1">INDEX(RESULTADOS!$A:$BA,MATCH($A101,RESULTADOS!$A:$A,0),MATCH(C$1,RESULTADOS!$1:$1,0))</f>
        <v>#N/A</v>
      </c>
      <c r="D101" s="56" t="e">
        <f t="shared" ca="1" si="30"/>
        <v>#N/A</v>
      </c>
      <c r="E101" s="62" t="e">
        <f t="shared" ca="1" si="38"/>
        <v>#N/A</v>
      </c>
      <c r="F101" s="57" t="e">
        <f t="shared" ca="1" si="31"/>
        <v>#N/A</v>
      </c>
      <c r="G101" s="62" t="e">
        <f t="shared" ca="1" si="39"/>
        <v>#N/A</v>
      </c>
      <c r="H101" s="279" t="e">
        <f ca="1">INDEX(RESULTADOS!$A:$BA,MATCH($A101,RESULTADOS!$A:$A,0),MATCH(H$1,RESULTADOS!$1:$1,0))</f>
        <v>#N/A</v>
      </c>
      <c r="I101" s="56" t="e">
        <f t="shared" ca="1" si="32"/>
        <v>#N/A</v>
      </c>
      <c r="J101" s="110" t="e">
        <f t="shared" ca="1" si="40"/>
        <v>#N/A</v>
      </c>
      <c r="K101" s="57" t="e">
        <f t="shared" ca="1" si="33"/>
        <v>#N/A</v>
      </c>
      <c r="L101" s="56" t="e">
        <f t="shared" ca="1" si="41"/>
        <v>#N/A</v>
      </c>
      <c r="M101" s="62" t="e">
        <f t="shared" ca="1" si="42"/>
        <v>#N/A</v>
      </c>
      <c r="N101" s="56" t="e">
        <f t="shared" ca="1" si="34"/>
        <v>#N/A</v>
      </c>
      <c r="O101" s="62" t="e">
        <f t="shared" ca="1" si="43"/>
        <v>#N/A</v>
      </c>
      <c r="P101" s="56" t="e">
        <f t="shared" ca="1" si="36"/>
        <v>#N/A</v>
      </c>
      <c r="Q101" s="62" t="e">
        <f t="shared" ca="1" si="44"/>
        <v>#N/A</v>
      </c>
      <c r="R101" s="279" t="e">
        <f ca="1">INDEX(RESULTADOS!$A:$BA,MATCH($A101,RESULTADOS!$A:$A,0),MATCH(R$1,RESULTADOS!$1:$1,0))</f>
        <v>#N/A</v>
      </c>
      <c r="S101" s="64" t="e">
        <f t="shared" ca="1" si="45"/>
        <v>#N/A</v>
      </c>
      <c r="T101" s="279" t="e">
        <f ca="1">INDEX(RESULTADOS!$A:$BA,MATCH($A101,RESULTADOS!$A:$A,0),MATCH(T$1,RESULTADOS!$1:$1,0))</f>
        <v>#N/A</v>
      </c>
      <c r="U101" s="110" t="e">
        <f t="shared" ca="1" si="46"/>
        <v>#N/A</v>
      </c>
      <c r="V101" s="62" t="e">
        <f t="shared" ca="1" si="47"/>
        <v>#N/A</v>
      </c>
      <c r="W101" s="279" t="e">
        <f ca="1">INDEX(RESULTADOS!$A:$BA,MATCH($A101,RESULTADOS!$A:$A,0),MATCH(W$1,RESULTADOS!$1:$1,0))</f>
        <v>#N/A</v>
      </c>
      <c r="X101" s="56" t="e">
        <f t="shared" ca="1" si="37"/>
        <v>#N/A</v>
      </c>
      <c r="Y101" s="62" t="e">
        <f t="shared" ca="1" si="48"/>
        <v>#N/A</v>
      </c>
      <c r="Z101" s="57" t="e">
        <f t="shared" ca="1" si="35"/>
        <v>#N/A</v>
      </c>
      <c r="AA101" s="110" t="e">
        <f t="shared" ca="1" si="49"/>
        <v>#N/A</v>
      </c>
      <c r="AB101" s="62" t="e">
        <f t="shared" ca="1" si="50"/>
        <v>#N/A</v>
      </c>
    </row>
    <row r="102" spans="1:28" s="272" customFormat="1" x14ac:dyDescent="0.2">
      <c r="A102" s="273">
        <f t="shared" ca="1" si="23"/>
        <v>43901</v>
      </c>
      <c r="B102" s="279" t="e">
        <f ca="1">INDEX(RESULTADOS!$A:$BA,MATCH($A102,RESULTADOS!$A:$A,0),MATCH(B$1,RESULTADOS!$1:$1,0))</f>
        <v>#N/A</v>
      </c>
      <c r="C102" s="279" t="e">
        <f ca="1">INDEX(RESULTADOS!$A:$BA,MATCH($A102,RESULTADOS!$A:$A,0),MATCH(C$1,RESULTADOS!$1:$1,0))</f>
        <v>#N/A</v>
      </c>
      <c r="D102" s="56" t="e">
        <f t="shared" ca="1" si="30"/>
        <v>#N/A</v>
      </c>
      <c r="E102" s="62" t="e">
        <f t="shared" ca="1" si="38"/>
        <v>#N/A</v>
      </c>
      <c r="F102" s="57" t="e">
        <f t="shared" ca="1" si="31"/>
        <v>#N/A</v>
      </c>
      <c r="G102" s="62" t="e">
        <f t="shared" ca="1" si="39"/>
        <v>#N/A</v>
      </c>
      <c r="H102" s="279" t="e">
        <f ca="1">INDEX(RESULTADOS!$A:$BA,MATCH($A102,RESULTADOS!$A:$A,0),MATCH(H$1,RESULTADOS!$1:$1,0))</f>
        <v>#N/A</v>
      </c>
      <c r="I102" s="56" t="e">
        <f t="shared" ca="1" si="32"/>
        <v>#N/A</v>
      </c>
      <c r="J102" s="110" t="e">
        <f t="shared" ca="1" si="40"/>
        <v>#N/A</v>
      </c>
      <c r="K102" s="57" t="e">
        <f t="shared" ca="1" si="33"/>
        <v>#N/A</v>
      </c>
      <c r="L102" s="56" t="e">
        <f t="shared" ca="1" si="41"/>
        <v>#N/A</v>
      </c>
      <c r="M102" s="62" t="e">
        <f t="shared" ca="1" si="42"/>
        <v>#N/A</v>
      </c>
      <c r="N102" s="56" t="e">
        <f t="shared" ca="1" si="34"/>
        <v>#N/A</v>
      </c>
      <c r="O102" s="62" t="e">
        <f t="shared" ca="1" si="43"/>
        <v>#N/A</v>
      </c>
      <c r="P102" s="56" t="e">
        <f t="shared" ca="1" si="36"/>
        <v>#N/A</v>
      </c>
      <c r="Q102" s="62" t="e">
        <f t="shared" ca="1" si="44"/>
        <v>#N/A</v>
      </c>
      <c r="R102" s="279" t="e">
        <f ca="1">INDEX(RESULTADOS!$A:$BA,MATCH($A102,RESULTADOS!$A:$A,0),MATCH(R$1,RESULTADOS!$1:$1,0))</f>
        <v>#N/A</v>
      </c>
      <c r="S102" s="64" t="e">
        <f t="shared" ca="1" si="45"/>
        <v>#N/A</v>
      </c>
      <c r="T102" s="279" t="e">
        <f ca="1">INDEX(RESULTADOS!$A:$BA,MATCH($A102,RESULTADOS!$A:$A,0),MATCH(T$1,RESULTADOS!$1:$1,0))</f>
        <v>#N/A</v>
      </c>
      <c r="U102" s="110" t="e">
        <f t="shared" ca="1" si="46"/>
        <v>#N/A</v>
      </c>
      <c r="V102" s="62" t="e">
        <f t="shared" ca="1" si="47"/>
        <v>#N/A</v>
      </c>
      <c r="W102" s="279" t="e">
        <f ca="1">INDEX(RESULTADOS!$A:$BA,MATCH($A102,RESULTADOS!$A:$A,0),MATCH(W$1,RESULTADOS!$1:$1,0))</f>
        <v>#N/A</v>
      </c>
      <c r="X102" s="56" t="e">
        <f t="shared" ca="1" si="37"/>
        <v>#N/A</v>
      </c>
      <c r="Y102" s="62" t="e">
        <f t="shared" ca="1" si="48"/>
        <v>#N/A</v>
      </c>
      <c r="Z102" s="57" t="e">
        <f t="shared" ca="1" si="35"/>
        <v>#N/A</v>
      </c>
      <c r="AA102" s="110" t="e">
        <f t="shared" ca="1" si="49"/>
        <v>#N/A</v>
      </c>
      <c r="AB102" s="62" t="e">
        <f t="shared" ca="1" si="50"/>
        <v>#N/A</v>
      </c>
    </row>
    <row r="103" spans="1:28" s="272" customFormat="1" x14ac:dyDescent="0.2">
      <c r="A103" s="273">
        <f t="shared" ca="1" si="23"/>
        <v>43902</v>
      </c>
      <c r="B103" s="279" t="e">
        <f ca="1">INDEX(RESULTADOS!$A:$BA,MATCH($A103,RESULTADOS!$A:$A,0),MATCH(B$1,RESULTADOS!$1:$1,0))</f>
        <v>#N/A</v>
      </c>
      <c r="C103" s="279" t="e">
        <f ca="1">INDEX(RESULTADOS!$A:$BA,MATCH($A103,RESULTADOS!$A:$A,0),MATCH(C$1,RESULTADOS!$1:$1,0))</f>
        <v>#N/A</v>
      </c>
      <c r="D103" s="56" t="e">
        <f t="shared" ca="1" si="30"/>
        <v>#N/A</v>
      </c>
      <c r="E103" s="62" t="e">
        <f t="shared" ca="1" si="38"/>
        <v>#N/A</v>
      </c>
      <c r="F103" s="57" t="e">
        <f t="shared" ca="1" si="31"/>
        <v>#N/A</v>
      </c>
      <c r="G103" s="62" t="e">
        <f t="shared" ca="1" si="39"/>
        <v>#N/A</v>
      </c>
      <c r="H103" s="279" t="e">
        <f ca="1">INDEX(RESULTADOS!$A:$BA,MATCH($A103,RESULTADOS!$A:$A,0),MATCH(H$1,RESULTADOS!$1:$1,0))</f>
        <v>#N/A</v>
      </c>
      <c r="I103" s="56" t="e">
        <f t="shared" ca="1" si="32"/>
        <v>#N/A</v>
      </c>
      <c r="J103" s="110" t="e">
        <f t="shared" ca="1" si="40"/>
        <v>#N/A</v>
      </c>
      <c r="K103" s="57" t="e">
        <f t="shared" ca="1" si="33"/>
        <v>#N/A</v>
      </c>
      <c r="L103" s="56" t="e">
        <f t="shared" ca="1" si="41"/>
        <v>#N/A</v>
      </c>
      <c r="M103" s="62" t="e">
        <f t="shared" ca="1" si="42"/>
        <v>#N/A</v>
      </c>
      <c r="N103" s="56" t="e">
        <f t="shared" ca="1" si="34"/>
        <v>#N/A</v>
      </c>
      <c r="O103" s="62" t="e">
        <f t="shared" ca="1" si="43"/>
        <v>#N/A</v>
      </c>
      <c r="P103" s="56" t="e">
        <f t="shared" ca="1" si="36"/>
        <v>#N/A</v>
      </c>
      <c r="Q103" s="62" t="e">
        <f t="shared" ca="1" si="44"/>
        <v>#N/A</v>
      </c>
      <c r="R103" s="279" t="e">
        <f ca="1">INDEX(RESULTADOS!$A:$BA,MATCH($A103,RESULTADOS!$A:$A,0),MATCH(R$1,RESULTADOS!$1:$1,0))</f>
        <v>#N/A</v>
      </c>
      <c r="S103" s="64" t="e">
        <f t="shared" ca="1" si="45"/>
        <v>#N/A</v>
      </c>
      <c r="T103" s="279" t="e">
        <f ca="1">INDEX(RESULTADOS!$A:$BA,MATCH($A103,RESULTADOS!$A:$A,0),MATCH(T$1,RESULTADOS!$1:$1,0))</f>
        <v>#N/A</v>
      </c>
      <c r="U103" s="110" t="e">
        <f t="shared" ca="1" si="46"/>
        <v>#N/A</v>
      </c>
      <c r="V103" s="62" t="e">
        <f t="shared" ca="1" si="47"/>
        <v>#N/A</v>
      </c>
      <c r="W103" s="279" t="e">
        <f ca="1">INDEX(RESULTADOS!$A:$BA,MATCH($A103,RESULTADOS!$A:$A,0),MATCH(W$1,RESULTADOS!$1:$1,0))</f>
        <v>#N/A</v>
      </c>
      <c r="X103" s="56" t="e">
        <f t="shared" ca="1" si="37"/>
        <v>#N/A</v>
      </c>
      <c r="Y103" s="62" t="e">
        <f t="shared" ca="1" si="48"/>
        <v>#N/A</v>
      </c>
      <c r="Z103" s="57" t="e">
        <f t="shared" ca="1" si="35"/>
        <v>#N/A</v>
      </c>
      <c r="AA103" s="110" t="e">
        <f t="shared" ca="1" si="49"/>
        <v>#N/A</v>
      </c>
      <c r="AB103" s="62" t="e">
        <f t="shared" ca="1" si="50"/>
        <v>#N/A</v>
      </c>
    </row>
    <row r="104" spans="1:28" s="272" customFormat="1" x14ac:dyDescent="0.2">
      <c r="A104" s="273">
        <f t="shared" ref="A104:A110" ca="1" si="51">A103+1</f>
        <v>43903</v>
      </c>
      <c r="B104" s="279" t="e">
        <f ca="1">INDEX(RESULTADOS!$A:$BA,MATCH($A104,RESULTADOS!$A:$A,0),MATCH(B$1,RESULTADOS!$1:$1,0))</f>
        <v>#N/A</v>
      </c>
      <c r="C104" s="279" t="e">
        <f ca="1">INDEX(RESULTADOS!$A:$BA,MATCH($A104,RESULTADOS!$A:$A,0),MATCH(C$1,RESULTADOS!$1:$1,0))</f>
        <v>#N/A</v>
      </c>
      <c r="D104" s="56" t="e">
        <f t="shared" ca="1" si="30"/>
        <v>#N/A</v>
      </c>
      <c r="E104" s="62" t="e">
        <f t="shared" ca="1" si="38"/>
        <v>#N/A</v>
      </c>
      <c r="F104" s="57" t="e">
        <f t="shared" ca="1" si="31"/>
        <v>#N/A</v>
      </c>
      <c r="G104" s="62" t="e">
        <f t="shared" ca="1" si="39"/>
        <v>#N/A</v>
      </c>
      <c r="H104" s="279" t="e">
        <f ca="1">INDEX(RESULTADOS!$A:$BA,MATCH($A104,RESULTADOS!$A:$A,0),MATCH(H$1,RESULTADOS!$1:$1,0))</f>
        <v>#N/A</v>
      </c>
      <c r="I104" s="56" t="e">
        <f t="shared" ca="1" si="32"/>
        <v>#N/A</v>
      </c>
      <c r="J104" s="110" t="e">
        <f t="shared" ca="1" si="40"/>
        <v>#N/A</v>
      </c>
      <c r="K104" s="57" t="e">
        <f t="shared" ca="1" si="33"/>
        <v>#N/A</v>
      </c>
      <c r="L104" s="56" t="e">
        <f t="shared" ca="1" si="41"/>
        <v>#N/A</v>
      </c>
      <c r="M104" s="62" t="e">
        <f t="shared" ca="1" si="42"/>
        <v>#N/A</v>
      </c>
      <c r="N104" s="56" t="e">
        <f t="shared" ca="1" si="34"/>
        <v>#N/A</v>
      </c>
      <c r="O104" s="62" t="e">
        <f t="shared" ca="1" si="43"/>
        <v>#N/A</v>
      </c>
      <c r="P104" s="56" t="e">
        <f t="shared" ca="1" si="36"/>
        <v>#N/A</v>
      </c>
      <c r="Q104" s="62" t="e">
        <f t="shared" ca="1" si="44"/>
        <v>#N/A</v>
      </c>
      <c r="R104" s="279" t="e">
        <f ca="1">INDEX(RESULTADOS!$A:$BA,MATCH($A104,RESULTADOS!$A:$A,0),MATCH(R$1,RESULTADOS!$1:$1,0))</f>
        <v>#N/A</v>
      </c>
      <c r="S104" s="64" t="e">
        <f t="shared" ca="1" si="45"/>
        <v>#N/A</v>
      </c>
      <c r="T104" s="279" t="e">
        <f ca="1">INDEX(RESULTADOS!$A:$BA,MATCH($A104,RESULTADOS!$A:$A,0),MATCH(T$1,RESULTADOS!$1:$1,0))</f>
        <v>#N/A</v>
      </c>
      <c r="U104" s="110" t="e">
        <f t="shared" ca="1" si="46"/>
        <v>#N/A</v>
      </c>
      <c r="V104" s="62" t="e">
        <f t="shared" ca="1" si="47"/>
        <v>#N/A</v>
      </c>
      <c r="W104" s="279" t="e">
        <f ca="1">INDEX(RESULTADOS!$A:$BA,MATCH($A104,RESULTADOS!$A:$A,0),MATCH(W$1,RESULTADOS!$1:$1,0))</f>
        <v>#N/A</v>
      </c>
      <c r="X104" s="56" t="e">
        <f t="shared" ca="1" si="37"/>
        <v>#N/A</v>
      </c>
      <c r="Y104" s="62" t="e">
        <f t="shared" ca="1" si="48"/>
        <v>#N/A</v>
      </c>
      <c r="Z104" s="57" t="e">
        <f t="shared" ca="1" si="35"/>
        <v>#N/A</v>
      </c>
      <c r="AA104" s="110" t="e">
        <f t="shared" ca="1" si="49"/>
        <v>#N/A</v>
      </c>
      <c r="AB104" s="62" t="e">
        <f t="shared" ca="1" si="50"/>
        <v>#N/A</v>
      </c>
    </row>
    <row r="105" spans="1:28" s="272" customFormat="1" x14ac:dyDescent="0.2">
      <c r="A105" s="273">
        <f t="shared" ca="1" si="51"/>
        <v>43904</v>
      </c>
      <c r="B105" s="279" t="e">
        <f ca="1">INDEX(RESULTADOS!$A:$BA,MATCH($A105,RESULTADOS!$A:$A,0),MATCH(B$1,RESULTADOS!$1:$1,0))</f>
        <v>#N/A</v>
      </c>
      <c r="C105" s="279" t="e">
        <f ca="1">INDEX(RESULTADOS!$A:$BA,MATCH($A105,RESULTADOS!$A:$A,0),MATCH(C$1,RESULTADOS!$1:$1,0))</f>
        <v>#N/A</v>
      </c>
      <c r="D105" s="56" t="e">
        <f t="shared" ca="1" si="30"/>
        <v>#N/A</v>
      </c>
      <c r="E105" s="62" t="e">
        <f t="shared" ca="1" si="38"/>
        <v>#N/A</v>
      </c>
      <c r="F105" s="57" t="e">
        <f t="shared" ca="1" si="31"/>
        <v>#N/A</v>
      </c>
      <c r="G105" s="62" t="e">
        <f t="shared" ca="1" si="39"/>
        <v>#N/A</v>
      </c>
      <c r="H105" s="279" t="e">
        <f ca="1">INDEX(RESULTADOS!$A:$BA,MATCH($A105,RESULTADOS!$A:$A,0),MATCH(H$1,RESULTADOS!$1:$1,0))</f>
        <v>#N/A</v>
      </c>
      <c r="I105" s="56" t="e">
        <f t="shared" ca="1" si="32"/>
        <v>#N/A</v>
      </c>
      <c r="J105" s="110" t="e">
        <f t="shared" ca="1" si="40"/>
        <v>#N/A</v>
      </c>
      <c r="K105" s="57" t="e">
        <f t="shared" ca="1" si="33"/>
        <v>#N/A</v>
      </c>
      <c r="L105" s="56" t="e">
        <f t="shared" ca="1" si="41"/>
        <v>#N/A</v>
      </c>
      <c r="M105" s="62" t="e">
        <f t="shared" ca="1" si="42"/>
        <v>#N/A</v>
      </c>
      <c r="N105" s="56" t="e">
        <f t="shared" ca="1" si="34"/>
        <v>#N/A</v>
      </c>
      <c r="O105" s="62" t="e">
        <f t="shared" ca="1" si="43"/>
        <v>#N/A</v>
      </c>
      <c r="P105" s="56" t="e">
        <f t="shared" ca="1" si="36"/>
        <v>#N/A</v>
      </c>
      <c r="Q105" s="62" t="e">
        <f t="shared" ca="1" si="44"/>
        <v>#N/A</v>
      </c>
      <c r="R105" s="279" t="e">
        <f ca="1">INDEX(RESULTADOS!$A:$BA,MATCH($A105,RESULTADOS!$A:$A,0),MATCH(R$1,RESULTADOS!$1:$1,0))</f>
        <v>#N/A</v>
      </c>
      <c r="S105" s="64" t="e">
        <f t="shared" ca="1" si="45"/>
        <v>#N/A</v>
      </c>
      <c r="T105" s="279" t="e">
        <f ca="1">INDEX(RESULTADOS!$A:$BA,MATCH($A105,RESULTADOS!$A:$A,0),MATCH(T$1,RESULTADOS!$1:$1,0))</f>
        <v>#N/A</v>
      </c>
      <c r="U105" s="110" t="e">
        <f t="shared" ca="1" si="46"/>
        <v>#N/A</v>
      </c>
      <c r="V105" s="62" t="e">
        <f t="shared" ca="1" si="47"/>
        <v>#N/A</v>
      </c>
      <c r="W105" s="279" t="e">
        <f ca="1">INDEX(RESULTADOS!$A:$BA,MATCH($A105,RESULTADOS!$A:$A,0),MATCH(W$1,RESULTADOS!$1:$1,0))</f>
        <v>#N/A</v>
      </c>
      <c r="X105" s="56" t="e">
        <f t="shared" ca="1" si="37"/>
        <v>#N/A</v>
      </c>
      <c r="Y105" s="62" t="e">
        <f t="shared" ca="1" si="48"/>
        <v>#N/A</v>
      </c>
      <c r="Z105" s="57" t="e">
        <f t="shared" ca="1" si="35"/>
        <v>#N/A</v>
      </c>
      <c r="AA105" s="110" t="e">
        <f t="shared" ca="1" si="49"/>
        <v>#N/A</v>
      </c>
      <c r="AB105" s="62" t="e">
        <f t="shared" ca="1" si="50"/>
        <v>#N/A</v>
      </c>
    </row>
    <row r="106" spans="1:28" s="272" customFormat="1" x14ac:dyDescent="0.2">
      <c r="A106" s="273">
        <f t="shared" ca="1" si="51"/>
        <v>43905</v>
      </c>
      <c r="B106" s="279" t="e">
        <f ca="1">INDEX(RESULTADOS!$A:$BA,MATCH($A106,RESULTADOS!$A:$A,0),MATCH(B$1,RESULTADOS!$1:$1,0))</f>
        <v>#N/A</v>
      </c>
      <c r="C106" s="279" t="e">
        <f ca="1">INDEX(RESULTADOS!$A:$BA,MATCH($A106,RESULTADOS!$A:$A,0),MATCH(C$1,RESULTADOS!$1:$1,0))</f>
        <v>#N/A</v>
      </c>
      <c r="D106" s="56" t="e">
        <f t="shared" ca="1" si="30"/>
        <v>#N/A</v>
      </c>
      <c r="E106" s="62" t="e">
        <f t="shared" ca="1" si="38"/>
        <v>#N/A</v>
      </c>
      <c r="F106" s="57" t="e">
        <f t="shared" ca="1" si="31"/>
        <v>#N/A</v>
      </c>
      <c r="G106" s="62" t="e">
        <f t="shared" ca="1" si="39"/>
        <v>#N/A</v>
      </c>
      <c r="H106" s="279" t="e">
        <f ca="1">INDEX(RESULTADOS!$A:$BA,MATCH($A106,RESULTADOS!$A:$A,0),MATCH(H$1,RESULTADOS!$1:$1,0))</f>
        <v>#N/A</v>
      </c>
      <c r="I106" s="56" t="e">
        <f t="shared" ca="1" si="32"/>
        <v>#N/A</v>
      </c>
      <c r="J106" s="110" t="e">
        <f t="shared" ca="1" si="40"/>
        <v>#N/A</v>
      </c>
      <c r="K106" s="57" t="e">
        <f t="shared" ca="1" si="33"/>
        <v>#N/A</v>
      </c>
      <c r="L106" s="56" t="e">
        <f t="shared" ca="1" si="41"/>
        <v>#N/A</v>
      </c>
      <c r="M106" s="62" t="e">
        <f t="shared" ca="1" si="42"/>
        <v>#N/A</v>
      </c>
      <c r="N106" s="56" t="e">
        <f t="shared" ca="1" si="34"/>
        <v>#N/A</v>
      </c>
      <c r="O106" s="62" t="e">
        <f t="shared" ca="1" si="43"/>
        <v>#N/A</v>
      </c>
      <c r="P106" s="56" t="e">
        <f t="shared" ca="1" si="36"/>
        <v>#N/A</v>
      </c>
      <c r="Q106" s="62" t="e">
        <f t="shared" ca="1" si="44"/>
        <v>#N/A</v>
      </c>
      <c r="R106" s="279" t="e">
        <f ca="1">INDEX(RESULTADOS!$A:$BA,MATCH($A106,RESULTADOS!$A:$A,0),MATCH(R$1,RESULTADOS!$1:$1,0))</f>
        <v>#N/A</v>
      </c>
      <c r="S106" s="64" t="e">
        <f t="shared" ca="1" si="45"/>
        <v>#N/A</v>
      </c>
      <c r="T106" s="279" t="e">
        <f ca="1">INDEX(RESULTADOS!$A:$BA,MATCH($A106,RESULTADOS!$A:$A,0),MATCH(T$1,RESULTADOS!$1:$1,0))</f>
        <v>#N/A</v>
      </c>
      <c r="U106" s="110" t="e">
        <f t="shared" ca="1" si="46"/>
        <v>#N/A</v>
      </c>
      <c r="V106" s="62" t="e">
        <f t="shared" ca="1" si="47"/>
        <v>#N/A</v>
      </c>
      <c r="W106" s="279" t="e">
        <f ca="1">INDEX(RESULTADOS!$A:$BA,MATCH($A106,RESULTADOS!$A:$A,0),MATCH(W$1,RESULTADOS!$1:$1,0))</f>
        <v>#N/A</v>
      </c>
      <c r="X106" s="56" t="e">
        <f t="shared" ca="1" si="37"/>
        <v>#N/A</v>
      </c>
      <c r="Y106" s="62" t="e">
        <f t="shared" ca="1" si="48"/>
        <v>#N/A</v>
      </c>
      <c r="Z106" s="57" t="e">
        <f t="shared" ca="1" si="35"/>
        <v>#N/A</v>
      </c>
      <c r="AA106" s="110" t="e">
        <f t="shared" ca="1" si="49"/>
        <v>#N/A</v>
      </c>
      <c r="AB106" s="62" t="e">
        <f t="shared" ca="1" si="50"/>
        <v>#N/A</v>
      </c>
    </row>
    <row r="107" spans="1:28" s="272" customFormat="1" x14ac:dyDescent="0.2">
      <c r="A107" s="273">
        <f t="shared" ca="1" si="51"/>
        <v>43906</v>
      </c>
      <c r="B107" s="279" t="e">
        <f ca="1">INDEX(RESULTADOS!$A:$BA,MATCH($A107,RESULTADOS!$A:$A,0),MATCH(B$1,RESULTADOS!$1:$1,0))</f>
        <v>#N/A</v>
      </c>
      <c r="C107" s="279" t="e">
        <f ca="1">INDEX(RESULTADOS!$A:$BA,MATCH($A107,RESULTADOS!$A:$A,0),MATCH(C$1,RESULTADOS!$1:$1,0))</f>
        <v>#N/A</v>
      </c>
      <c r="D107" s="56" t="e">
        <f t="shared" ca="1" si="30"/>
        <v>#N/A</v>
      </c>
      <c r="E107" s="62" t="e">
        <f t="shared" ca="1" si="38"/>
        <v>#N/A</v>
      </c>
      <c r="F107" s="57" t="e">
        <f t="shared" ca="1" si="31"/>
        <v>#N/A</v>
      </c>
      <c r="G107" s="62" t="e">
        <f t="shared" ca="1" si="39"/>
        <v>#N/A</v>
      </c>
      <c r="H107" s="279" t="e">
        <f ca="1">INDEX(RESULTADOS!$A:$BA,MATCH($A107,RESULTADOS!$A:$A,0),MATCH(H$1,RESULTADOS!$1:$1,0))</f>
        <v>#N/A</v>
      </c>
      <c r="I107" s="56" t="e">
        <f t="shared" ca="1" si="32"/>
        <v>#N/A</v>
      </c>
      <c r="J107" s="110" t="e">
        <f t="shared" ca="1" si="40"/>
        <v>#N/A</v>
      </c>
      <c r="K107" s="57" t="e">
        <f t="shared" ca="1" si="33"/>
        <v>#N/A</v>
      </c>
      <c r="L107" s="56" t="e">
        <f t="shared" ca="1" si="41"/>
        <v>#N/A</v>
      </c>
      <c r="M107" s="62" t="e">
        <f t="shared" ca="1" si="42"/>
        <v>#N/A</v>
      </c>
      <c r="N107" s="56" t="e">
        <f t="shared" ca="1" si="34"/>
        <v>#N/A</v>
      </c>
      <c r="O107" s="62" t="e">
        <f t="shared" ca="1" si="43"/>
        <v>#N/A</v>
      </c>
      <c r="P107" s="56" t="e">
        <f t="shared" ca="1" si="36"/>
        <v>#N/A</v>
      </c>
      <c r="Q107" s="62" t="e">
        <f t="shared" ca="1" si="44"/>
        <v>#N/A</v>
      </c>
      <c r="R107" s="279" t="e">
        <f ca="1">INDEX(RESULTADOS!$A:$BA,MATCH($A107,RESULTADOS!$A:$A,0),MATCH(R$1,RESULTADOS!$1:$1,0))</f>
        <v>#N/A</v>
      </c>
      <c r="S107" s="64" t="e">
        <f t="shared" ca="1" si="45"/>
        <v>#N/A</v>
      </c>
      <c r="T107" s="279" t="e">
        <f ca="1">INDEX(RESULTADOS!$A:$BA,MATCH($A107,RESULTADOS!$A:$A,0),MATCH(T$1,RESULTADOS!$1:$1,0))</f>
        <v>#N/A</v>
      </c>
      <c r="U107" s="110" t="e">
        <f t="shared" ca="1" si="46"/>
        <v>#N/A</v>
      </c>
      <c r="V107" s="62" t="e">
        <f t="shared" ca="1" si="47"/>
        <v>#N/A</v>
      </c>
      <c r="W107" s="279" t="e">
        <f ca="1">INDEX(RESULTADOS!$A:$BA,MATCH($A107,RESULTADOS!$A:$A,0),MATCH(W$1,RESULTADOS!$1:$1,0))</f>
        <v>#N/A</v>
      </c>
      <c r="X107" s="56" t="e">
        <f t="shared" ca="1" si="37"/>
        <v>#N/A</v>
      </c>
      <c r="Y107" s="62" t="e">
        <f t="shared" ca="1" si="48"/>
        <v>#N/A</v>
      </c>
      <c r="Z107" s="57" t="e">
        <f t="shared" ca="1" si="35"/>
        <v>#N/A</v>
      </c>
      <c r="AA107" s="110" t="e">
        <f t="shared" ca="1" si="49"/>
        <v>#N/A</v>
      </c>
      <c r="AB107" s="62" t="e">
        <f t="shared" ca="1" si="50"/>
        <v>#N/A</v>
      </c>
    </row>
    <row r="108" spans="1:28" s="272" customFormat="1" x14ac:dyDescent="0.2">
      <c r="A108" s="273">
        <f t="shared" ca="1" si="51"/>
        <v>43907</v>
      </c>
      <c r="B108" s="279" t="e">
        <f ca="1">INDEX(RESULTADOS!$A:$BA,MATCH($A108,RESULTADOS!$A:$A,0),MATCH(B$1,RESULTADOS!$1:$1,0))</f>
        <v>#N/A</v>
      </c>
      <c r="C108" s="279" t="e">
        <f ca="1">INDEX(RESULTADOS!$A:$BA,MATCH($A108,RESULTADOS!$A:$A,0),MATCH(C$1,RESULTADOS!$1:$1,0))</f>
        <v>#N/A</v>
      </c>
      <c r="D108" s="56" t="e">
        <f t="shared" ca="1" si="30"/>
        <v>#N/A</v>
      </c>
      <c r="E108" s="62" t="e">
        <f t="shared" ca="1" si="38"/>
        <v>#N/A</v>
      </c>
      <c r="F108" s="57" t="e">
        <f t="shared" ca="1" si="31"/>
        <v>#N/A</v>
      </c>
      <c r="G108" s="62" t="e">
        <f t="shared" ca="1" si="39"/>
        <v>#N/A</v>
      </c>
      <c r="H108" s="279" t="e">
        <f ca="1">INDEX(RESULTADOS!$A:$BA,MATCH($A108,RESULTADOS!$A:$A,0),MATCH(H$1,RESULTADOS!$1:$1,0))</f>
        <v>#N/A</v>
      </c>
      <c r="I108" s="56" t="e">
        <f t="shared" ca="1" si="32"/>
        <v>#N/A</v>
      </c>
      <c r="J108" s="110" t="e">
        <f t="shared" ca="1" si="40"/>
        <v>#N/A</v>
      </c>
      <c r="K108" s="57" t="e">
        <f t="shared" ca="1" si="33"/>
        <v>#N/A</v>
      </c>
      <c r="L108" s="56" t="e">
        <f t="shared" ca="1" si="41"/>
        <v>#N/A</v>
      </c>
      <c r="M108" s="62" t="e">
        <f t="shared" ca="1" si="42"/>
        <v>#N/A</v>
      </c>
      <c r="N108" s="56" t="e">
        <f t="shared" ca="1" si="34"/>
        <v>#N/A</v>
      </c>
      <c r="O108" s="62" t="e">
        <f t="shared" ca="1" si="43"/>
        <v>#N/A</v>
      </c>
      <c r="P108" s="56" t="e">
        <f t="shared" ca="1" si="36"/>
        <v>#N/A</v>
      </c>
      <c r="Q108" s="62" t="e">
        <f t="shared" ca="1" si="44"/>
        <v>#N/A</v>
      </c>
      <c r="R108" s="279" t="e">
        <f ca="1">INDEX(RESULTADOS!$A:$BA,MATCH($A108,RESULTADOS!$A:$A,0),MATCH(R$1,RESULTADOS!$1:$1,0))</f>
        <v>#N/A</v>
      </c>
      <c r="S108" s="64" t="e">
        <f t="shared" ca="1" si="45"/>
        <v>#N/A</v>
      </c>
      <c r="T108" s="279" t="e">
        <f ca="1">INDEX(RESULTADOS!$A:$BA,MATCH($A108,RESULTADOS!$A:$A,0),MATCH(T$1,RESULTADOS!$1:$1,0))</f>
        <v>#N/A</v>
      </c>
      <c r="U108" s="110" t="e">
        <f t="shared" ca="1" si="46"/>
        <v>#N/A</v>
      </c>
      <c r="V108" s="62" t="e">
        <f t="shared" ca="1" si="47"/>
        <v>#N/A</v>
      </c>
      <c r="W108" s="279" t="e">
        <f ca="1">INDEX(RESULTADOS!$A:$BA,MATCH($A108,RESULTADOS!$A:$A,0),MATCH(W$1,RESULTADOS!$1:$1,0))</f>
        <v>#N/A</v>
      </c>
      <c r="X108" s="56" t="e">
        <f t="shared" ca="1" si="37"/>
        <v>#N/A</v>
      </c>
      <c r="Y108" s="62" t="e">
        <f t="shared" ca="1" si="48"/>
        <v>#N/A</v>
      </c>
      <c r="Z108" s="57" t="e">
        <f t="shared" ca="1" si="35"/>
        <v>#N/A</v>
      </c>
      <c r="AA108" s="110" t="e">
        <f t="shared" ca="1" si="49"/>
        <v>#N/A</v>
      </c>
      <c r="AB108" s="62" t="e">
        <f t="shared" ca="1" si="50"/>
        <v>#N/A</v>
      </c>
    </row>
    <row r="109" spans="1:28" s="272" customFormat="1" x14ac:dyDescent="0.2">
      <c r="A109" s="273">
        <f t="shared" ca="1" si="51"/>
        <v>43908</v>
      </c>
      <c r="B109" s="279" t="e">
        <f ca="1">INDEX(RESULTADOS!$A:$BA,MATCH($A109,RESULTADOS!$A:$A,0),MATCH(B$1,RESULTADOS!$1:$1,0))</f>
        <v>#N/A</v>
      </c>
      <c r="C109" s="279" t="e">
        <f ca="1">INDEX(RESULTADOS!$A:$BA,MATCH($A109,RESULTADOS!$A:$A,0),MATCH(C$1,RESULTADOS!$1:$1,0))</f>
        <v>#N/A</v>
      </c>
      <c r="D109" s="56" t="e">
        <f t="shared" ca="1" si="30"/>
        <v>#N/A</v>
      </c>
      <c r="E109" s="62" t="e">
        <f t="shared" ca="1" si="38"/>
        <v>#N/A</v>
      </c>
      <c r="F109" s="57" t="e">
        <f t="shared" ca="1" si="31"/>
        <v>#N/A</v>
      </c>
      <c r="G109" s="62" t="e">
        <f t="shared" ca="1" si="39"/>
        <v>#N/A</v>
      </c>
      <c r="H109" s="279" t="e">
        <f ca="1">INDEX(RESULTADOS!$A:$BA,MATCH($A109,RESULTADOS!$A:$A,0),MATCH(H$1,RESULTADOS!$1:$1,0))</f>
        <v>#N/A</v>
      </c>
      <c r="I109" s="56" t="e">
        <f t="shared" ca="1" si="32"/>
        <v>#N/A</v>
      </c>
      <c r="J109" s="110" t="e">
        <f t="shared" ca="1" si="40"/>
        <v>#N/A</v>
      </c>
      <c r="K109" s="57" t="e">
        <f t="shared" ca="1" si="33"/>
        <v>#N/A</v>
      </c>
      <c r="L109" s="56" t="e">
        <f t="shared" ca="1" si="41"/>
        <v>#N/A</v>
      </c>
      <c r="M109" s="62" t="e">
        <f t="shared" ca="1" si="42"/>
        <v>#N/A</v>
      </c>
      <c r="N109" s="56" t="e">
        <f t="shared" ca="1" si="34"/>
        <v>#N/A</v>
      </c>
      <c r="O109" s="62" t="e">
        <f t="shared" ca="1" si="43"/>
        <v>#N/A</v>
      </c>
      <c r="P109" s="56" t="e">
        <f t="shared" ca="1" si="36"/>
        <v>#N/A</v>
      </c>
      <c r="Q109" s="62" t="e">
        <f t="shared" ca="1" si="44"/>
        <v>#N/A</v>
      </c>
      <c r="R109" s="279" t="e">
        <f ca="1">INDEX(RESULTADOS!$A:$BA,MATCH($A109,RESULTADOS!$A:$A,0),MATCH(R$1,RESULTADOS!$1:$1,0))</f>
        <v>#N/A</v>
      </c>
      <c r="S109" s="64" t="e">
        <f t="shared" ca="1" si="45"/>
        <v>#N/A</v>
      </c>
      <c r="T109" s="279" t="e">
        <f ca="1">INDEX(RESULTADOS!$A:$BA,MATCH($A109,RESULTADOS!$A:$A,0),MATCH(T$1,RESULTADOS!$1:$1,0))</f>
        <v>#N/A</v>
      </c>
      <c r="U109" s="110" t="e">
        <f t="shared" ca="1" si="46"/>
        <v>#N/A</v>
      </c>
      <c r="V109" s="62" t="e">
        <f t="shared" ca="1" si="47"/>
        <v>#N/A</v>
      </c>
      <c r="W109" s="279" t="e">
        <f ca="1">INDEX(RESULTADOS!$A:$BA,MATCH($A109,RESULTADOS!$A:$A,0),MATCH(W$1,RESULTADOS!$1:$1,0))</f>
        <v>#N/A</v>
      </c>
      <c r="X109" s="56" t="e">
        <f t="shared" ca="1" si="37"/>
        <v>#N/A</v>
      </c>
      <c r="Y109" s="62" t="e">
        <f t="shared" ca="1" si="48"/>
        <v>#N/A</v>
      </c>
      <c r="Z109" s="57" t="e">
        <f t="shared" ca="1" si="35"/>
        <v>#N/A</v>
      </c>
      <c r="AA109" s="110" t="e">
        <f t="shared" ca="1" si="49"/>
        <v>#N/A</v>
      </c>
      <c r="AB109" s="62" t="e">
        <f t="shared" ca="1" si="50"/>
        <v>#N/A</v>
      </c>
    </row>
    <row r="110" spans="1:28" s="272" customFormat="1" x14ac:dyDescent="0.2">
      <c r="A110" s="273">
        <f t="shared" ca="1" si="51"/>
        <v>43909</v>
      </c>
      <c r="B110" s="279" t="e">
        <f ca="1">INDEX(RESULTADOS!$A:$BA,MATCH($A110,RESULTADOS!$A:$A,0),MATCH(B$1,RESULTADOS!$1:$1,0))</f>
        <v>#N/A</v>
      </c>
      <c r="C110" s="279" t="e">
        <f ca="1">INDEX(RESULTADOS!$A:$BA,MATCH($A110,RESULTADOS!$A:$A,0),MATCH(C$1,RESULTADOS!$1:$1,0))</f>
        <v>#N/A</v>
      </c>
      <c r="D110" s="56" t="e">
        <f t="shared" ca="1" si="30"/>
        <v>#N/A</v>
      </c>
      <c r="E110" s="62" t="e">
        <f t="shared" ca="1" si="38"/>
        <v>#N/A</v>
      </c>
      <c r="F110" s="57" t="e">
        <f t="shared" ca="1" si="31"/>
        <v>#N/A</v>
      </c>
      <c r="G110" s="62" t="e">
        <f t="shared" ca="1" si="39"/>
        <v>#N/A</v>
      </c>
      <c r="H110" s="279" t="e">
        <f ca="1">INDEX(RESULTADOS!$A:$BA,MATCH($A110,RESULTADOS!$A:$A,0),MATCH(H$1,RESULTADOS!$1:$1,0))</f>
        <v>#N/A</v>
      </c>
      <c r="I110" s="56" t="e">
        <f t="shared" ca="1" si="32"/>
        <v>#N/A</v>
      </c>
      <c r="J110" s="110" t="e">
        <f t="shared" ca="1" si="40"/>
        <v>#N/A</v>
      </c>
      <c r="K110" s="57" t="e">
        <f t="shared" ca="1" si="33"/>
        <v>#N/A</v>
      </c>
      <c r="L110" s="56" t="e">
        <f t="shared" ca="1" si="41"/>
        <v>#N/A</v>
      </c>
      <c r="M110" s="62" t="e">
        <f t="shared" ca="1" si="42"/>
        <v>#N/A</v>
      </c>
      <c r="N110" s="56" t="e">
        <f t="shared" ca="1" si="34"/>
        <v>#N/A</v>
      </c>
      <c r="O110" s="62" t="e">
        <f t="shared" ca="1" si="43"/>
        <v>#N/A</v>
      </c>
      <c r="P110" s="56" t="e">
        <f t="shared" ca="1" si="36"/>
        <v>#N/A</v>
      </c>
      <c r="Q110" s="62" t="e">
        <f t="shared" ca="1" si="44"/>
        <v>#N/A</v>
      </c>
      <c r="R110" s="279" t="e">
        <f ca="1">INDEX(RESULTADOS!$A:$BA,MATCH($A110,RESULTADOS!$A:$A,0),MATCH(R$1,RESULTADOS!$1:$1,0))</f>
        <v>#N/A</v>
      </c>
      <c r="S110" s="64" t="e">
        <f t="shared" ca="1" si="45"/>
        <v>#N/A</v>
      </c>
      <c r="T110" s="279" t="e">
        <f ca="1">INDEX(RESULTADOS!$A:$BA,MATCH($A110,RESULTADOS!$A:$A,0),MATCH(T$1,RESULTADOS!$1:$1,0))</f>
        <v>#N/A</v>
      </c>
      <c r="U110" s="110" t="e">
        <f t="shared" ca="1" si="46"/>
        <v>#N/A</v>
      </c>
      <c r="V110" s="62" t="e">
        <f t="shared" ca="1" si="47"/>
        <v>#N/A</v>
      </c>
      <c r="W110" s="279" t="e">
        <f ca="1">INDEX(RESULTADOS!$A:$BA,MATCH($A110,RESULTADOS!$A:$A,0),MATCH(W$1,RESULTADOS!$1:$1,0))</f>
        <v>#N/A</v>
      </c>
      <c r="X110" s="56" t="e">
        <f t="shared" ca="1" si="37"/>
        <v>#N/A</v>
      </c>
      <c r="Y110" s="62" t="e">
        <f t="shared" ca="1" si="48"/>
        <v>#N/A</v>
      </c>
      <c r="Z110" s="57" t="e">
        <f t="shared" ca="1" si="35"/>
        <v>#N/A</v>
      </c>
      <c r="AA110" s="110" t="e">
        <f t="shared" ca="1" si="49"/>
        <v>#N/A</v>
      </c>
      <c r="AB110" s="62" t="e">
        <f t="shared" ca="1" si="50"/>
        <v>#N/A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B2D50-8BA4-4742-84E7-87BB5A4EA95C}">
  <sheetPr codeName="Plan11">
    <tabColor theme="6"/>
  </sheetPr>
  <dimension ref="A1:L110"/>
  <sheetViews>
    <sheetView workbookViewId="0">
      <pane xSplit="1" ySplit="6" topLeftCell="B76" activePane="bottomRight" state="frozen"/>
      <selection pane="topRight" activeCell="B1" sqref="B1"/>
      <selection pane="bottomLeft" activeCell="A7" sqref="A7"/>
      <selection pane="bottomRight" activeCell="A80" sqref="A80:XFD110"/>
    </sheetView>
  </sheetViews>
  <sheetFormatPr defaultRowHeight="12.75" x14ac:dyDescent="0.2"/>
  <cols>
    <col min="1" max="1" width="10.85546875" style="229" bestFit="1" customWidth="1"/>
    <col min="2" max="4" width="9.140625" style="229"/>
    <col min="5" max="6" width="13.7109375" style="229" bestFit="1" customWidth="1"/>
    <col min="7" max="8" width="14.5703125" style="229" bestFit="1" customWidth="1"/>
    <col min="9" max="11" width="9.140625" style="229"/>
    <col min="12" max="12" width="14.5703125" style="272" bestFit="1" customWidth="1"/>
    <col min="13" max="16384" width="9.140625" style="229"/>
  </cols>
  <sheetData>
    <row r="1" spans="1:12" x14ac:dyDescent="0.2">
      <c r="D1" s="122"/>
      <c r="E1" s="229" t="s">
        <v>159</v>
      </c>
      <c r="F1" s="229" t="s">
        <v>160</v>
      </c>
      <c r="G1" s="272" t="s">
        <v>159</v>
      </c>
      <c r="H1" s="272" t="s">
        <v>160</v>
      </c>
      <c r="I1" s="272" t="s">
        <v>192</v>
      </c>
      <c r="J1" s="272" t="s">
        <v>193</v>
      </c>
      <c r="K1" s="272" t="s">
        <v>194</v>
      </c>
      <c r="L1" s="272" t="s">
        <v>159</v>
      </c>
    </row>
    <row r="2" spans="1:12" x14ac:dyDescent="0.2">
      <c r="A2" s="229" t="s">
        <v>1</v>
      </c>
      <c r="B2" s="205"/>
      <c r="C2" s="205"/>
      <c r="D2" s="122"/>
      <c r="E2" s="229" t="s">
        <v>159</v>
      </c>
      <c r="F2" s="229" t="s">
        <v>160</v>
      </c>
      <c r="G2" s="229">
        <v>155</v>
      </c>
      <c r="H2" s="229">
        <v>156</v>
      </c>
      <c r="I2" s="272" t="s">
        <v>192</v>
      </c>
      <c r="K2" s="272" t="s">
        <v>194</v>
      </c>
      <c r="L2" s="272">
        <v>158</v>
      </c>
    </row>
    <row r="3" spans="1:12" x14ac:dyDescent="0.2">
      <c r="A3" s="48" t="s">
        <v>2</v>
      </c>
      <c r="B3" s="205"/>
      <c r="C3" s="205"/>
      <c r="D3" s="122"/>
      <c r="E3" s="127"/>
      <c r="F3" s="127"/>
      <c r="G3" s="127"/>
      <c r="H3" s="127"/>
      <c r="I3" s="238"/>
      <c r="J3" s="238"/>
      <c r="K3" s="238"/>
      <c r="L3" s="238"/>
    </row>
    <row r="4" spans="1:12" x14ac:dyDescent="0.2">
      <c r="A4" s="229" t="s">
        <v>4</v>
      </c>
      <c r="B4" s="205"/>
      <c r="C4" s="205"/>
      <c r="D4" s="122"/>
      <c r="E4" s="127"/>
      <c r="F4" s="127"/>
      <c r="G4" s="127"/>
      <c r="H4" s="127"/>
      <c r="I4" s="238"/>
      <c r="J4" s="238"/>
      <c r="K4" s="238"/>
      <c r="L4" s="238"/>
    </row>
    <row r="5" spans="1:12" x14ac:dyDescent="0.2">
      <c r="B5" s="205"/>
      <c r="C5" s="205"/>
      <c r="D5" s="122"/>
      <c r="E5" s="127" t="s">
        <v>7</v>
      </c>
      <c r="F5" s="127" t="s">
        <v>7</v>
      </c>
      <c r="G5" s="127" t="s">
        <v>6</v>
      </c>
      <c r="H5" s="127" t="s">
        <v>6</v>
      </c>
      <c r="I5" s="238" t="s">
        <v>7</v>
      </c>
      <c r="J5" s="238" t="s">
        <v>7</v>
      </c>
      <c r="K5" s="238" t="s">
        <v>7</v>
      </c>
      <c r="L5" s="238" t="s">
        <v>6</v>
      </c>
    </row>
    <row r="6" spans="1:12" x14ac:dyDescent="0.2">
      <c r="B6" s="205"/>
      <c r="C6" s="205"/>
      <c r="D6" s="205"/>
      <c r="E6" s="127" t="str">
        <f t="shared" ref="E6:F6" si="0">CONCATENATE(E2,"_",E5)</f>
        <v>RB-SMAP_VNI</v>
      </c>
      <c r="F6" s="127" t="str">
        <f t="shared" si="0"/>
        <v>TM-SMAP_VNI</v>
      </c>
      <c r="G6" s="127" t="str">
        <f t="shared" ref="G6:I6" si="1">CONCATENATE(G2,"_",G5)</f>
        <v>155_VNA</v>
      </c>
      <c r="H6" s="127" t="str">
        <f t="shared" si="1"/>
        <v>156_VNA</v>
      </c>
      <c r="I6" s="238" t="str">
        <f t="shared" si="1"/>
        <v>QM_VNI</v>
      </c>
      <c r="J6" s="238" t="str">
        <f t="shared" ref="J6:K6" si="2">CONCATENATE(J2,"_",J5)</f>
        <v>_VNI</v>
      </c>
      <c r="K6" s="238" t="str">
        <f t="shared" si="2"/>
        <v>SRM2_VNI</v>
      </c>
      <c r="L6" s="238" t="str">
        <f t="shared" ref="L6" si="3">CONCATENATE(L2,"_",L5)</f>
        <v>158_VNA</v>
      </c>
    </row>
    <row r="7" spans="1:12" x14ac:dyDescent="0.2">
      <c r="A7" s="49">
        <f t="shared" ref="A7:A36" ca="1" si="4">A8-1</f>
        <v>43806</v>
      </c>
      <c r="B7" s="110"/>
      <c r="C7" s="51"/>
      <c r="D7" s="110"/>
      <c r="E7" s="208" t="e">
        <f ca="1">INDEX(RESULTADOS!$A:$BA,MATCH($A7,RESULTADOS!$A:$A,0),MATCH(E$1,RESULTADOS!$1:$1,0))</f>
        <v>#N/A</v>
      </c>
      <c r="F7" s="208" t="e">
        <f ca="1">INDEX(RESULTADOS!$A:$BA,MATCH($A7,RESULTADOS!$A:$A,0),MATCH(F$1,RESULTADOS!$1:$1,0))</f>
        <v>#N/A</v>
      </c>
      <c r="G7" s="288">
        <f ca="1">SUMPRODUCT((TABELA_VAZAO[Posto]=G$2)*1,(TABELA_VAZAO[Data]=$A7)*1,TABELA_VAZAO[qnat])</f>
        <v>0</v>
      </c>
      <c r="H7" s="288">
        <f ca="1">SUMPRODUCT((TABELA_VAZAO[Posto]=H$2)*1,(TABELA_VAZAO[Data]=$A7)*1,TABELA_VAZAO[qnat])</f>
        <v>0</v>
      </c>
      <c r="I7" s="279" t="e">
        <f ca="1">INDEX(RESULTADOS!$A:$BA,MATCH($A7,RESULTADOS!$A:$A,0),MATCH(I$1,RESULTADOS!$1:$1,0))</f>
        <v>#N/A</v>
      </c>
      <c r="J7" s="279" t="e">
        <f ca="1">INDEX(RESULTADOS!$A:$BA,MATCH($A7,RESULTADOS!$A:$A,0),MATCH(J$1,RESULTADOS!$1:$1,0))</f>
        <v>#N/A</v>
      </c>
      <c r="K7" s="279" t="e">
        <f ca="1">INDEX(RESULTADOS!$A:$BA,MATCH($A7,RESULTADOS!$A:$A,0),MATCH(K$1,RESULTADOS!$1:$1,0))</f>
        <v>#N/A</v>
      </c>
      <c r="L7" s="288">
        <f ca="1">SUMPRODUCT((TABELA_VAZAO[Posto]=L$2)*1,(TABELA_VAZAO[Data]=$A7)*1,TABELA_VAZAO[qnat])</f>
        <v>0</v>
      </c>
    </row>
    <row r="8" spans="1:12" x14ac:dyDescent="0.2">
      <c r="A8" s="49">
        <f t="shared" ca="1" si="4"/>
        <v>43807</v>
      </c>
      <c r="B8" s="51"/>
      <c r="C8" s="51"/>
      <c r="D8" s="110"/>
      <c r="E8" s="208" t="e">
        <f ca="1">INDEX(RESULTADOS!$A:$BA,MATCH($A8,RESULTADOS!$A:$A,0),MATCH(E$1,RESULTADOS!$1:$1,0))</f>
        <v>#N/A</v>
      </c>
      <c r="F8" s="208" t="e">
        <f ca="1">INDEX(RESULTADOS!$A:$BA,MATCH($A8,RESULTADOS!$A:$A,0),MATCH(F$1,RESULTADOS!$1:$1,0))</f>
        <v>#N/A</v>
      </c>
      <c r="G8" s="288">
        <f ca="1">SUMPRODUCT((TABELA_VAZAO[Posto]=G$2)*1,(TABELA_VAZAO[Data]=$A8)*1,TABELA_VAZAO[qnat])</f>
        <v>0</v>
      </c>
      <c r="H8" s="288">
        <f ca="1">SUMPRODUCT((TABELA_VAZAO[Posto]=H$2)*1,(TABELA_VAZAO[Data]=$A8)*1,TABELA_VAZAO[qnat])</f>
        <v>0</v>
      </c>
      <c r="I8" s="279" t="e">
        <f ca="1">INDEX(RESULTADOS!$A:$BA,MATCH($A8,RESULTADOS!$A:$A,0),MATCH(I$1,RESULTADOS!$1:$1,0))</f>
        <v>#N/A</v>
      </c>
      <c r="J8" s="279" t="e">
        <f ca="1">INDEX(RESULTADOS!$A:$BA,MATCH($A8,RESULTADOS!$A:$A,0),MATCH(J$1,RESULTADOS!$1:$1,0))</f>
        <v>#N/A</v>
      </c>
      <c r="K8" s="279" t="e">
        <f ca="1">INDEX(RESULTADOS!$A:$BA,MATCH($A8,RESULTADOS!$A:$A,0),MATCH(K$1,RESULTADOS!$1:$1,0))</f>
        <v>#N/A</v>
      </c>
      <c r="L8" s="288">
        <f ca="1">SUMPRODUCT((TABELA_VAZAO[Posto]=L$2)*1,(TABELA_VAZAO[Data]=$A8)*1,TABELA_VAZAO[qnat])</f>
        <v>0</v>
      </c>
    </row>
    <row r="9" spans="1:12" x14ac:dyDescent="0.2">
      <c r="A9" s="49">
        <f t="shared" ca="1" si="4"/>
        <v>43808</v>
      </c>
      <c r="B9" s="51"/>
      <c r="C9" s="51"/>
      <c r="D9" s="110"/>
      <c r="E9" s="208" t="e">
        <f ca="1">INDEX(RESULTADOS!$A:$BA,MATCH($A9,RESULTADOS!$A:$A,0),MATCH(E$1,RESULTADOS!$1:$1,0))</f>
        <v>#N/A</v>
      </c>
      <c r="F9" s="208" t="e">
        <f ca="1">INDEX(RESULTADOS!$A:$BA,MATCH($A9,RESULTADOS!$A:$A,0),MATCH(F$1,RESULTADOS!$1:$1,0))</f>
        <v>#N/A</v>
      </c>
      <c r="G9" s="288">
        <f ca="1">SUMPRODUCT((TABELA_VAZAO[Posto]=G$2)*1,(TABELA_VAZAO[Data]=$A9)*1,TABELA_VAZAO[qnat])</f>
        <v>0</v>
      </c>
      <c r="H9" s="288">
        <f ca="1">SUMPRODUCT((TABELA_VAZAO[Posto]=H$2)*1,(TABELA_VAZAO[Data]=$A9)*1,TABELA_VAZAO[qnat])</f>
        <v>0</v>
      </c>
      <c r="I9" s="279" t="e">
        <f ca="1">INDEX(RESULTADOS!$A:$BA,MATCH($A9,RESULTADOS!$A:$A,0),MATCH(I$1,RESULTADOS!$1:$1,0))</f>
        <v>#N/A</v>
      </c>
      <c r="J9" s="279" t="e">
        <f ca="1">INDEX(RESULTADOS!$A:$BA,MATCH($A9,RESULTADOS!$A:$A,0),MATCH(J$1,RESULTADOS!$1:$1,0))</f>
        <v>#N/A</v>
      </c>
      <c r="K9" s="279" t="e">
        <f ca="1">INDEX(RESULTADOS!$A:$BA,MATCH($A9,RESULTADOS!$A:$A,0),MATCH(K$1,RESULTADOS!$1:$1,0))</f>
        <v>#N/A</v>
      </c>
      <c r="L9" s="288">
        <f ca="1">SUMPRODUCT((TABELA_VAZAO[Posto]=L$2)*1,(TABELA_VAZAO[Data]=$A9)*1,TABELA_VAZAO[qnat])</f>
        <v>0</v>
      </c>
    </row>
    <row r="10" spans="1:12" x14ac:dyDescent="0.2">
      <c r="A10" s="49">
        <f t="shared" ca="1" si="4"/>
        <v>43809</v>
      </c>
      <c r="B10" s="51"/>
      <c r="C10" s="51"/>
      <c r="D10" s="110"/>
      <c r="E10" s="208" t="e">
        <f ca="1">INDEX(RESULTADOS!$A:$BA,MATCH($A10,RESULTADOS!$A:$A,0),MATCH(E$1,RESULTADOS!$1:$1,0))</f>
        <v>#N/A</v>
      </c>
      <c r="F10" s="208" t="e">
        <f ca="1">INDEX(RESULTADOS!$A:$BA,MATCH($A10,RESULTADOS!$A:$A,0),MATCH(F$1,RESULTADOS!$1:$1,0))</f>
        <v>#N/A</v>
      </c>
      <c r="G10" s="288">
        <f ca="1">SUMPRODUCT((TABELA_VAZAO[Posto]=G$2)*1,(TABELA_VAZAO[Data]=$A10)*1,TABELA_VAZAO[qnat])</f>
        <v>0</v>
      </c>
      <c r="H10" s="288">
        <f ca="1">SUMPRODUCT((TABELA_VAZAO[Posto]=H$2)*1,(TABELA_VAZAO[Data]=$A10)*1,TABELA_VAZAO[qnat])</f>
        <v>0</v>
      </c>
      <c r="I10" s="279" t="e">
        <f ca="1">INDEX(RESULTADOS!$A:$BA,MATCH($A10,RESULTADOS!$A:$A,0),MATCH(I$1,RESULTADOS!$1:$1,0))</f>
        <v>#N/A</v>
      </c>
      <c r="J10" s="279" t="e">
        <f ca="1">INDEX(RESULTADOS!$A:$BA,MATCH($A10,RESULTADOS!$A:$A,0),MATCH(J$1,RESULTADOS!$1:$1,0))</f>
        <v>#N/A</v>
      </c>
      <c r="K10" s="279" t="e">
        <f ca="1">INDEX(RESULTADOS!$A:$BA,MATCH($A10,RESULTADOS!$A:$A,0),MATCH(K$1,RESULTADOS!$1:$1,0))</f>
        <v>#N/A</v>
      </c>
      <c r="L10" s="288">
        <f ca="1">SUMPRODUCT((TABELA_VAZAO[Posto]=L$2)*1,(TABELA_VAZAO[Data]=$A10)*1,TABELA_VAZAO[qnat])</f>
        <v>0</v>
      </c>
    </row>
    <row r="11" spans="1:12" x14ac:dyDescent="0.2">
      <c r="A11" s="49">
        <f t="shared" ca="1" si="4"/>
        <v>43810</v>
      </c>
      <c r="B11" s="51"/>
      <c r="C11" s="51"/>
      <c r="D11" s="110"/>
      <c r="E11" s="208" t="e">
        <f ca="1">INDEX(RESULTADOS!$A:$BA,MATCH($A11,RESULTADOS!$A:$A,0),MATCH(E$1,RESULTADOS!$1:$1,0))</f>
        <v>#N/A</v>
      </c>
      <c r="F11" s="208" t="e">
        <f ca="1">INDEX(RESULTADOS!$A:$BA,MATCH($A11,RESULTADOS!$A:$A,0),MATCH(F$1,RESULTADOS!$1:$1,0))</f>
        <v>#N/A</v>
      </c>
      <c r="G11" s="288">
        <f ca="1">SUMPRODUCT((TABELA_VAZAO[Posto]=G$2)*1,(TABELA_VAZAO[Data]=$A11)*1,TABELA_VAZAO[qnat])</f>
        <v>0</v>
      </c>
      <c r="H11" s="288">
        <f ca="1">SUMPRODUCT((TABELA_VAZAO[Posto]=H$2)*1,(TABELA_VAZAO[Data]=$A11)*1,TABELA_VAZAO[qnat])</f>
        <v>0</v>
      </c>
      <c r="I11" s="279" t="e">
        <f ca="1">INDEX(RESULTADOS!$A:$BA,MATCH($A11,RESULTADOS!$A:$A,0),MATCH(I$1,RESULTADOS!$1:$1,0))</f>
        <v>#N/A</v>
      </c>
      <c r="J11" s="279" t="e">
        <f ca="1">INDEX(RESULTADOS!$A:$BA,MATCH($A11,RESULTADOS!$A:$A,0),MATCH(J$1,RESULTADOS!$1:$1,0))</f>
        <v>#N/A</v>
      </c>
      <c r="K11" s="279" t="e">
        <f ca="1">INDEX(RESULTADOS!$A:$BA,MATCH($A11,RESULTADOS!$A:$A,0),MATCH(K$1,RESULTADOS!$1:$1,0))</f>
        <v>#N/A</v>
      </c>
      <c r="L11" s="288">
        <f ca="1">SUMPRODUCT((TABELA_VAZAO[Posto]=L$2)*1,(TABELA_VAZAO[Data]=$A11)*1,TABELA_VAZAO[qnat])</f>
        <v>0</v>
      </c>
    </row>
    <row r="12" spans="1:12" x14ac:dyDescent="0.2">
      <c r="A12" s="82">
        <f t="shared" ca="1" si="4"/>
        <v>43811</v>
      </c>
      <c r="B12" s="83"/>
      <c r="C12" s="83"/>
      <c r="D12" s="84"/>
      <c r="E12" s="208" t="e">
        <f ca="1">INDEX(RESULTADOS!$A:$BA,MATCH($A12,RESULTADOS!$A:$A,0),MATCH(E$1,RESULTADOS!$1:$1,0))</f>
        <v>#N/A</v>
      </c>
      <c r="F12" s="208" t="e">
        <f ca="1">INDEX(RESULTADOS!$A:$BA,MATCH($A12,RESULTADOS!$A:$A,0),MATCH(F$1,RESULTADOS!$1:$1,0))</f>
        <v>#N/A</v>
      </c>
      <c r="G12" s="288">
        <f ca="1">SUMPRODUCT((TABELA_VAZAO[Posto]=G$2)*1,(TABELA_VAZAO[Data]=$A12)*1,TABELA_VAZAO[qnat])</f>
        <v>0</v>
      </c>
      <c r="H12" s="288">
        <f ca="1">SUMPRODUCT((TABELA_VAZAO[Posto]=H$2)*1,(TABELA_VAZAO[Data]=$A12)*1,TABELA_VAZAO[qnat])</f>
        <v>0</v>
      </c>
      <c r="I12" s="279" t="e">
        <f ca="1">INDEX(RESULTADOS!$A:$BA,MATCH($A12,RESULTADOS!$A:$A,0),MATCH(I$1,RESULTADOS!$1:$1,0))</f>
        <v>#N/A</v>
      </c>
      <c r="J12" s="279" t="e">
        <f ca="1">INDEX(RESULTADOS!$A:$BA,MATCH($A12,RESULTADOS!$A:$A,0),MATCH(J$1,RESULTADOS!$1:$1,0))</f>
        <v>#N/A</v>
      </c>
      <c r="K12" s="279" t="e">
        <f ca="1">INDEX(RESULTADOS!$A:$BA,MATCH($A12,RESULTADOS!$A:$A,0),MATCH(K$1,RESULTADOS!$1:$1,0))</f>
        <v>#N/A</v>
      </c>
      <c r="L12" s="288">
        <f ca="1">SUMPRODUCT((TABELA_VAZAO[Posto]=L$2)*1,(TABELA_VAZAO[Data]=$A12)*1,TABELA_VAZAO[qnat])</f>
        <v>0</v>
      </c>
    </row>
    <row r="13" spans="1:12" x14ac:dyDescent="0.2">
      <c r="A13" s="49">
        <f t="shared" ca="1" si="4"/>
        <v>43812</v>
      </c>
      <c r="B13" s="51"/>
      <c r="C13" s="51"/>
      <c r="D13" s="110"/>
      <c r="E13" s="208" t="e">
        <f ca="1">INDEX(RESULTADOS!$A:$BA,MATCH($A13,RESULTADOS!$A:$A,0),MATCH(E$1,RESULTADOS!$1:$1,0))</f>
        <v>#N/A</v>
      </c>
      <c r="F13" s="208" t="e">
        <f ca="1">INDEX(RESULTADOS!$A:$BA,MATCH($A13,RESULTADOS!$A:$A,0),MATCH(F$1,RESULTADOS!$1:$1,0))</f>
        <v>#N/A</v>
      </c>
      <c r="G13" s="288">
        <f ca="1">SUMPRODUCT((TABELA_VAZAO[Posto]=G$2)*1,(TABELA_VAZAO[Data]=$A13)*1,TABELA_VAZAO[qnat])</f>
        <v>0</v>
      </c>
      <c r="H13" s="288">
        <f ca="1">SUMPRODUCT((TABELA_VAZAO[Posto]=H$2)*1,(TABELA_VAZAO[Data]=$A13)*1,TABELA_VAZAO[qnat])</f>
        <v>0</v>
      </c>
      <c r="I13" s="279" t="e">
        <f ca="1">INDEX(RESULTADOS!$A:$BA,MATCH($A13,RESULTADOS!$A:$A,0),MATCH(I$1,RESULTADOS!$1:$1,0))</f>
        <v>#N/A</v>
      </c>
      <c r="J13" s="279" t="e">
        <f ca="1">INDEX(RESULTADOS!$A:$BA,MATCH($A13,RESULTADOS!$A:$A,0),MATCH(J$1,RESULTADOS!$1:$1,0))</f>
        <v>#N/A</v>
      </c>
      <c r="K13" s="279" t="e">
        <f ca="1">INDEX(RESULTADOS!$A:$BA,MATCH($A13,RESULTADOS!$A:$A,0),MATCH(K$1,RESULTADOS!$1:$1,0))</f>
        <v>#N/A</v>
      </c>
      <c r="L13" s="288">
        <f ca="1">SUMPRODUCT((TABELA_VAZAO[Posto]=L$2)*1,(TABELA_VAZAO[Data]=$A13)*1,TABELA_VAZAO[qnat])</f>
        <v>0</v>
      </c>
    </row>
    <row r="14" spans="1:12" x14ac:dyDescent="0.2">
      <c r="A14" s="49">
        <f t="shared" ca="1" si="4"/>
        <v>43813</v>
      </c>
      <c r="B14" s="51"/>
      <c r="C14" s="51"/>
      <c r="D14" s="110"/>
      <c r="E14" s="208" t="e">
        <f ca="1">INDEX(RESULTADOS!$A:$BA,MATCH($A14,RESULTADOS!$A:$A,0),MATCH(E$1,RESULTADOS!$1:$1,0))</f>
        <v>#N/A</v>
      </c>
      <c r="F14" s="208" t="e">
        <f ca="1">INDEX(RESULTADOS!$A:$BA,MATCH($A14,RESULTADOS!$A:$A,0),MATCH(F$1,RESULTADOS!$1:$1,0))</f>
        <v>#N/A</v>
      </c>
      <c r="G14" s="288">
        <f ca="1">SUMPRODUCT((TABELA_VAZAO[Posto]=G$2)*1,(TABELA_VAZAO[Data]=$A14)*1,TABELA_VAZAO[qnat])</f>
        <v>0</v>
      </c>
      <c r="H14" s="288">
        <f ca="1">SUMPRODUCT((TABELA_VAZAO[Posto]=H$2)*1,(TABELA_VAZAO[Data]=$A14)*1,TABELA_VAZAO[qnat])</f>
        <v>0</v>
      </c>
      <c r="I14" s="279" t="e">
        <f ca="1">INDEX(RESULTADOS!$A:$BA,MATCH($A14,RESULTADOS!$A:$A,0),MATCH(I$1,RESULTADOS!$1:$1,0))</f>
        <v>#N/A</v>
      </c>
      <c r="J14" s="279" t="e">
        <f ca="1">INDEX(RESULTADOS!$A:$BA,MATCH($A14,RESULTADOS!$A:$A,0),MATCH(J$1,RESULTADOS!$1:$1,0))</f>
        <v>#N/A</v>
      </c>
      <c r="K14" s="279" t="e">
        <f ca="1">INDEX(RESULTADOS!$A:$BA,MATCH($A14,RESULTADOS!$A:$A,0),MATCH(K$1,RESULTADOS!$1:$1,0))</f>
        <v>#N/A</v>
      </c>
      <c r="L14" s="288">
        <f ca="1">SUMPRODUCT((TABELA_VAZAO[Posto]=L$2)*1,(TABELA_VAZAO[Data]=$A14)*1,TABELA_VAZAO[qnat])</f>
        <v>0</v>
      </c>
    </row>
    <row r="15" spans="1:12" x14ac:dyDescent="0.2">
      <c r="A15" s="49">
        <f t="shared" ca="1" si="4"/>
        <v>43814</v>
      </c>
      <c r="B15" s="51"/>
      <c r="C15" s="51"/>
      <c r="D15" s="110"/>
      <c r="E15" s="208" t="e">
        <f ca="1">INDEX(RESULTADOS!$A:$BA,MATCH($A15,RESULTADOS!$A:$A,0),MATCH(E$1,RESULTADOS!$1:$1,0))</f>
        <v>#N/A</v>
      </c>
      <c r="F15" s="208" t="e">
        <f ca="1">INDEX(RESULTADOS!$A:$BA,MATCH($A15,RESULTADOS!$A:$A,0),MATCH(F$1,RESULTADOS!$1:$1,0))</f>
        <v>#N/A</v>
      </c>
      <c r="G15" s="288">
        <f ca="1">SUMPRODUCT((TABELA_VAZAO[Posto]=G$2)*1,(TABELA_VAZAO[Data]=$A15)*1,TABELA_VAZAO[qnat])</f>
        <v>0</v>
      </c>
      <c r="H15" s="288">
        <f ca="1">SUMPRODUCT((TABELA_VAZAO[Posto]=H$2)*1,(TABELA_VAZAO[Data]=$A15)*1,TABELA_VAZAO[qnat])</f>
        <v>0</v>
      </c>
      <c r="I15" s="279" t="e">
        <f ca="1">INDEX(RESULTADOS!$A:$BA,MATCH($A15,RESULTADOS!$A:$A,0),MATCH(I$1,RESULTADOS!$1:$1,0))</f>
        <v>#N/A</v>
      </c>
      <c r="J15" s="279" t="e">
        <f ca="1">INDEX(RESULTADOS!$A:$BA,MATCH($A15,RESULTADOS!$A:$A,0),MATCH(J$1,RESULTADOS!$1:$1,0))</f>
        <v>#N/A</v>
      </c>
      <c r="K15" s="279" t="e">
        <f ca="1">INDEX(RESULTADOS!$A:$BA,MATCH($A15,RESULTADOS!$A:$A,0),MATCH(K$1,RESULTADOS!$1:$1,0))</f>
        <v>#N/A</v>
      </c>
      <c r="L15" s="288">
        <f ca="1">SUMPRODUCT((TABELA_VAZAO[Posto]=L$2)*1,(TABELA_VAZAO[Data]=$A15)*1,TABELA_VAZAO[qnat])</f>
        <v>0</v>
      </c>
    </row>
    <row r="16" spans="1:12" x14ac:dyDescent="0.2">
      <c r="A16" s="49">
        <f t="shared" ca="1" si="4"/>
        <v>43815</v>
      </c>
      <c r="B16" s="51"/>
      <c r="C16" s="51"/>
      <c r="D16" s="110"/>
      <c r="E16" s="208" t="e">
        <f ca="1">INDEX(RESULTADOS!$A:$BA,MATCH($A16,RESULTADOS!$A:$A,0),MATCH(E$1,RESULTADOS!$1:$1,0))</f>
        <v>#N/A</v>
      </c>
      <c r="F16" s="208" t="e">
        <f ca="1">INDEX(RESULTADOS!$A:$BA,MATCH($A16,RESULTADOS!$A:$A,0),MATCH(F$1,RESULTADOS!$1:$1,0))</f>
        <v>#N/A</v>
      </c>
      <c r="G16" s="288">
        <f ca="1">SUMPRODUCT((TABELA_VAZAO[Posto]=G$2)*1,(TABELA_VAZAO[Data]=$A16)*1,TABELA_VAZAO[qnat])</f>
        <v>0</v>
      </c>
      <c r="H16" s="288">
        <f ca="1">SUMPRODUCT((TABELA_VAZAO[Posto]=H$2)*1,(TABELA_VAZAO[Data]=$A16)*1,TABELA_VAZAO[qnat])</f>
        <v>0</v>
      </c>
      <c r="I16" s="279" t="e">
        <f ca="1">INDEX(RESULTADOS!$A:$BA,MATCH($A16,RESULTADOS!$A:$A,0),MATCH(I$1,RESULTADOS!$1:$1,0))</f>
        <v>#N/A</v>
      </c>
      <c r="J16" s="279" t="e">
        <f ca="1">INDEX(RESULTADOS!$A:$BA,MATCH($A16,RESULTADOS!$A:$A,0),MATCH(J$1,RESULTADOS!$1:$1,0))</f>
        <v>#N/A</v>
      </c>
      <c r="K16" s="279" t="e">
        <f ca="1">INDEX(RESULTADOS!$A:$BA,MATCH($A16,RESULTADOS!$A:$A,0),MATCH(K$1,RESULTADOS!$1:$1,0))</f>
        <v>#N/A</v>
      </c>
      <c r="L16" s="288">
        <f ca="1">SUMPRODUCT((TABELA_VAZAO[Posto]=L$2)*1,(TABELA_VAZAO[Data]=$A16)*1,TABELA_VAZAO[qnat])</f>
        <v>0</v>
      </c>
    </row>
    <row r="17" spans="1:12" x14ac:dyDescent="0.2">
      <c r="A17" s="49">
        <f t="shared" ca="1" si="4"/>
        <v>43816</v>
      </c>
      <c r="B17" s="51"/>
      <c r="C17" s="51"/>
      <c r="D17" s="110"/>
      <c r="E17" s="208" t="e">
        <f ca="1">INDEX(RESULTADOS!$A:$BA,MATCH($A17,RESULTADOS!$A:$A,0),MATCH(E$1,RESULTADOS!$1:$1,0))</f>
        <v>#N/A</v>
      </c>
      <c r="F17" s="208" t="e">
        <f ca="1">INDEX(RESULTADOS!$A:$BA,MATCH($A17,RESULTADOS!$A:$A,0),MATCH(F$1,RESULTADOS!$1:$1,0))</f>
        <v>#N/A</v>
      </c>
      <c r="G17" s="288">
        <f ca="1">SUMPRODUCT((TABELA_VAZAO[Posto]=G$2)*1,(TABELA_VAZAO[Data]=$A17)*1,TABELA_VAZAO[qnat])</f>
        <v>0</v>
      </c>
      <c r="H17" s="288">
        <f ca="1">SUMPRODUCT((TABELA_VAZAO[Posto]=H$2)*1,(TABELA_VAZAO[Data]=$A17)*1,TABELA_VAZAO[qnat])</f>
        <v>0</v>
      </c>
      <c r="I17" s="279" t="e">
        <f ca="1">INDEX(RESULTADOS!$A:$BA,MATCH($A17,RESULTADOS!$A:$A,0),MATCH(I$1,RESULTADOS!$1:$1,0))</f>
        <v>#N/A</v>
      </c>
      <c r="J17" s="279" t="e">
        <f ca="1">INDEX(RESULTADOS!$A:$BA,MATCH($A17,RESULTADOS!$A:$A,0),MATCH(J$1,RESULTADOS!$1:$1,0))</f>
        <v>#N/A</v>
      </c>
      <c r="K17" s="279" t="e">
        <f ca="1">INDEX(RESULTADOS!$A:$BA,MATCH($A17,RESULTADOS!$A:$A,0),MATCH(K$1,RESULTADOS!$1:$1,0))</f>
        <v>#N/A</v>
      </c>
      <c r="L17" s="288">
        <f ca="1">SUMPRODUCT((TABELA_VAZAO[Posto]=L$2)*1,(TABELA_VAZAO[Data]=$A17)*1,TABELA_VAZAO[qnat])</f>
        <v>0</v>
      </c>
    </row>
    <row r="18" spans="1:12" x14ac:dyDescent="0.2">
      <c r="A18" s="49">
        <f t="shared" ca="1" si="4"/>
        <v>43817</v>
      </c>
      <c r="B18" s="51"/>
      <c r="C18" s="51"/>
      <c r="D18" s="110"/>
      <c r="E18" s="208" t="e">
        <f ca="1">INDEX(RESULTADOS!$A:$BA,MATCH($A18,RESULTADOS!$A:$A,0),MATCH(E$1,RESULTADOS!$1:$1,0))</f>
        <v>#N/A</v>
      </c>
      <c r="F18" s="208" t="e">
        <f ca="1">INDEX(RESULTADOS!$A:$BA,MATCH($A18,RESULTADOS!$A:$A,0),MATCH(F$1,RESULTADOS!$1:$1,0))</f>
        <v>#N/A</v>
      </c>
      <c r="G18" s="288">
        <f ca="1">SUMPRODUCT((TABELA_VAZAO[Posto]=G$2)*1,(TABELA_VAZAO[Data]=$A18)*1,TABELA_VAZAO[qnat])</f>
        <v>0</v>
      </c>
      <c r="H18" s="288">
        <f ca="1">SUMPRODUCT((TABELA_VAZAO[Posto]=H$2)*1,(TABELA_VAZAO[Data]=$A18)*1,TABELA_VAZAO[qnat])</f>
        <v>0</v>
      </c>
      <c r="I18" s="279" t="e">
        <f ca="1">INDEX(RESULTADOS!$A:$BA,MATCH($A18,RESULTADOS!$A:$A,0),MATCH(I$1,RESULTADOS!$1:$1,0))</f>
        <v>#N/A</v>
      </c>
      <c r="J18" s="279" t="e">
        <f ca="1">INDEX(RESULTADOS!$A:$BA,MATCH($A18,RESULTADOS!$A:$A,0),MATCH(J$1,RESULTADOS!$1:$1,0))</f>
        <v>#N/A</v>
      </c>
      <c r="K18" s="279" t="e">
        <f ca="1">INDEX(RESULTADOS!$A:$BA,MATCH($A18,RESULTADOS!$A:$A,0),MATCH(K$1,RESULTADOS!$1:$1,0))</f>
        <v>#N/A</v>
      </c>
      <c r="L18" s="288">
        <f ca="1">SUMPRODUCT((TABELA_VAZAO[Posto]=L$2)*1,(TABELA_VAZAO[Data]=$A18)*1,TABELA_VAZAO[qnat])</f>
        <v>0</v>
      </c>
    </row>
    <row r="19" spans="1:12" x14ac:dyDescent="0.2">
      <c r="A19" s="82">
        <f t="shared" ca="1" si="4"/>
        <v>43818</v>
      </c>
      <c r="B19" s="83"/>
      <c r="C19" s="83"/>
      <c r="D19" s="84"/>
      <c r="E19" s="208" t="e">
        <f ca="1">INDEX(RESULTADOS!$A:$BA,MATCH($A19,RESULTADOS!$A:$A,0),MATCH(E$1,RESULTADOS!$1:$1,0))</f>
        <v>#N/A</v>
      </c>
      <c r="F19" s="208" t="e">
        <f ca="1">INDEX(RESULTADOS!$A:$BA,MATCH($A19,RESULTADOS!$A:$A,0),MATCH(F$1,RESULTADOS!$1:$1,0))</f>
        <v>#N/A</v>
      </c>
      <c r="G19" s="288">
        <f ca="1">SUMPRODUCT((TABELA_VAZAO[Posto]=G$2)*1,(TABELA_VAZAO[Data]=$A19)*1,TABELA_VAZAO[qnat])</f>
        <v>0</v>
      </c>
      <c r="H19" s="288">
        <f ca="1">SUMPRODUCT((TABELA_VAZAO[Posto]=H$2)*1,(TABELA_VAZAO[Data]=$A19)*1,TABELA_VAZAO[qnat])</f>
        <v>0</v>
      </c>
      <c r="I19" s="279" t="e">
        <f ca="1">INDEX(RESULTADOS!$A:$BA,MATCH($A19,RESULTADOS!$A:$A,0),MATCH(I$1,RESULTADOS!$1:$1,0))</f>
        <v>#N/A</v>
      </c>
      <c r="J19" s="279" t="e">
        <f ca="1">INDEX(RESULTADOS!$A:$BA,MATCH($A19,RESULTADOS!$A:$A,0),MATCH(J$1,RESULTADOS!$1:$1,0))</f>
        <v>#N/A</v>
      </c>
      <c r="K19" s="279" t="e">
        <f ca="1">INDEX(RESULTADOS!$A:$BA,MATCH($A19,RESULTADOS!$A:$A,0),MATCH(K$1,RESULTADOS!$1:$1,0))</f>
        <v>#N/A</v>
      </c>
      <c r="L19" s="288">
        <f ca="1">SUMPRODUCT((TABELA_VAZAO[Posto]=L$2)*1,(TABELA_VAZAO[Data]=$A19)*1,TABELA_VAZAO[qnat])</f>
        <v>0</v>
      </c>
    </row>
    <row r="20" spans="1:12" x14ac:dyDescent="0.2">
      <c r="A20" s="49">
        <f t="shared" ca="1" si="4"/>
        <v>43819</v>
      </c>
      <c r="B20" s="51"/>
      <c r="C20" s="51"/>
      <c r="D20" s="110"/>
      <c r="E20" s="208" t="e">
        <f ca="1">INDEX(RESULTADOS!$A:$BA,MATCH($A20,RESULTADOS!$A:$A,0),MATCH(E$1,RESULTADOS!$1:$1,0))</f>
        <v>#N/A</v>
      </c>
      <c r="F20" s="208" t="e">
        <f ca="1">INDEX(RESULTADOS!$A:$BA,MATCH($A20,RESULTADOS!$A:$A,0),MATCH(F$1,RESULTADOS!$1:$1,0))</f>
        <v>#N/A</v>
      </c>
      <c r="G20" s="288">
        <f ca="1">SUMPRODUCT((TABELA_VAZAO[Posto]=G$2)*1,(TABELA_VAZAO[Data]=$A20)*1,TABELA_VAZAO[qnat])</f>
        <v>0</v>
      </c>
      <c r="H20" s="288">
        <f ca="1">SUMPRODUCT((TABELA_VAZAO[Posto]=H$2)*1,(TABELA_VAZAO[Data]=$A20)*1,TABELA_VAZAO[qnat])</f>
        <v>0</v>
      </c>
      <c r="I20" s="279" t="e">
        <f ca="1">INDEX(RESULTADOS!$A:$BA,MATCH($A20,RESULTADOS!$A:$A,0),MATCH(I$1,RESULTADOS!$1:$1,0))</f>
        <v>#N/A</v>
      </c>
      <c r="J20" s="279" t="e">
        <f ca="1">INDEX(RESULTADOS!$A:$BA,MATCH($A20,RESULTADOS!$A:$A,0),MATCH(J$1,RESULTADOS!$1:$1,0))</f>
        <v>#N/A</v>
      </c>
      <c r="K20" s="279" t="e">
        <f ca="1">INDEX(RESULTADOS!$A:$BA,MATCH($A20,RESULTADOS!$A:$A,0),MATCH(K$1,RESULTADOS!$1:$1,0))</f>
        <v>#N/A</v>
      </c>
      <c r="L20" s="288">
        <f ca="1">SUMPRODUCT((TABELA_VAZAO[Posto]=L$2)*1,(TABELA_VAZAO[Data]=$A20)*1,TABELA_VAZAO[qnat])</f>
        <v>0</v>
      </c>
    </row>
    <row r="21" spans="1:12" x14ac:dyDescent="0.2">
      <c r="A21" s="49">
        <f t="shared" ca="1" si="4"/>
        <v>43820</v>
      </c>
      <c r="B21" s="51"/>
      <c r="C21" s="51"/>
      <c r="D21" s="110"/>
      <c r="E21" s="208" t="e">
        <f ca="1">INDEX(RESULTADOS!$A:$BA,MATCH($A21,RESULTADOS!$A:$A,0),MATCH(E$1,RESULTADOS!$1:$1,0))</f>
        <v>#N/A</v>
      </c>
      <c r="F21" s="208" t="e">
        <f ca="1">INDEX(RESULTADOS!$A:$BA,MATCH($A21,RESULTADOS!$A:$A,0),MATCH(F$1,RESULTADOS!$1:$1,0))</f>
        <v>#N/A</v>
      </c>
      <c r="G21" s="288">
        <f ca="1">SUMPRODUCT((TABELA_VAZAO[Posto]=G$2)*1,(TABELA_VAZAO[Data]=$A21)*1,TABELA_VAZAO[qnat])</f>
        <v>0</v>
      </c>
      <c r="H21" s="288">
        <f ca="1">SUMPRODUCT((TABELA_VAZAO[Posto]=H$2)*1,(TABELA_VAZAO[Data]=$A21)*1,TABELA_VAZAO[qnat])</f>
        <v>0</v>
      </c>
      <c r="I21" s="279" t="e">
        <f ca="1">INDEX(RESULTADOS!$A:$BA,MATCH($A21,RESULTADOS!$A:$A,0),MATCH(I$1,RESULTADOS!$1:$1,0))</f>
        <v>#N/A</v>
      </c>
      <c r="J21" s="279" t="e">
        <f ca="1">INDEX(RESULTADOS!$A:$BA,MATCH($A21,RESULTADOS!$A:$A,0),MATCH(J$1,RESULTADOS!$1:$1,0))</f>
        <v>#N/A</v>
      </c>
      <c r="K21" s="279" t="e">
        <f ca="1">INDEX(RESULTADOS!$A:$BA,MATCH($A21,RESULTADOS!$A:$A,0),MATCH(K$1,RESULTADOS!$1:$1,0))</f>
        <v>#N/A</v>
      </c>
      <c r="L21" s="288">
        <f ca="1">SUMPRODUCT((TABELA_VAZAO[Posto]=L$2)*1,(TABELA_VAZAO[Data]=$A21)*1,TABELA_VAZAO[qnat])</f>
        <v>0</v>
      </c>
    </row>
    <row r="22" spans="1:12" x14ac:dyDescent="0.2">
      <c r="A22" s="49">
        <f t="shared" ca="1" si="4"/>
        <v>43821</v>
      </c>
      <c r="B22" s="51"/>
      <c r="C22" s="51"/>
      <c r="D22" s="110"/>
      <c r="E22" s="208" t="e">
        <f ca="1">INDEX(RESULTADOS!$A:$BA,MATCH($A22,RESULTADOS!$A:$A,0),MATCH(E$1,RESULTADOS!$1:$1,0))</f>
        <v>#N/A</v>
      </c>
      <c r="F22" s="208" t="e">
        <f ca="1">INDEX(RESULTADOS!$A:$BA,MATCH($A22,RESULTADOS!$A:$A,0),MATCH(F$1,RESULTADOS!$1:$1,0))</f>
        <v>#N/A</v>
      </c>
      <c r="G22" s="288">
        <f ca="1">SUMPRODUCT((TABELA_VAZAO[Posto]=G$2)*1,(TABELA_VAZAO[Data]=$A22)*1,TABELA_VAZAO[qnat])</f>
        <v>0</v>
      </c>
      <c r="H22" s="288">
        <f ca="1">SUMPRODUCT((TABELA_VAZAO[Posto]=H$2)*1,(TABELA_VAZAO[Data]=$A22)*1,TABELA_VAZAO[qnat])</f>
        <v>0</v>
      </c>
      <c r="I22" s="279" t="e">
        <f ca="1">INDEX(RESULTADOS!$A:$BA,MATCH($A22,RESULTADOS!$A:$A,0),MATCH(I$1,RESULTADOS!$1:$1,0))</f>
        <v>#N/A</v>
      </c>
      <c r="J22" s="279" t="e">
        <f ca="1">INDEX(RESULTADOS!$A:$BA,MATCH($A22,RESULTADOS!$A:$A,0),MATCH(J$1,RESULTADOS!$1:$1,0))</f>
        <v>#N/A</v>
      </c>
      <c r="K22" s="279" t="e">
        <f ca="1">INDEX(RESULTADOS!$A:$BA,MATCH($A22,RESULTADOS!$A:$A,0),MATCH(K$1,RESULTADOS!$1:$1,0))</f>
        <v>#N/A</v>
      </c>
      <c r="L22" s="288">
        <f ca="1">SUMPRODUCT((TABELA_VAZAO[Posto]=L$2)*1,(TABELA_VAZAO[Data]=$A22)*1,TABELA_VAZAO[qnat])</f>
        <v>0</v>
      </c>
    </row>
    <row r="23" spans="1:12" x14ac:dyDescent="0.2">
      <c r="A23" s="49">
        <f t="shared" ca="1" si="4"/>
        <v>43822</v>
      </c>
      <c r="B23" s="51"/>
      <c r="C23" s="51"/>
      <c r="D23" s="110"/>
      <c r="E23" s="208" t="e">
        <f ca="1">INDEX(RESULTADOS!$A:$BA,MATCH($A23,RESULTADOS!$A:$A,0),MATCH(E$1,RESULTADOS!$1:$1,0))</f>
        <v>#N/A</v>
      </c>
      <c r="F23" s="208" t="e">
        <f ca="1">INDEX(RESULTADOS!$A:$BA,MATCH($A23,RESULTADOS!$A:$A,0),MATCH(F$1,RESULTADOS!$1:$1,0))</f>
        <v>#N/A</v>
      </c>
      <c r="G23" s="288">
        <f ca="1">SUMPRODUCT((TABELA_VAZAO[Posto]=G$2)*1,(TABELA_VAZAO[Data]=$A23)*1,TABELA_VAZAO[qnat])</f>
        <v>0</v>
      </c>
      <c r="H23" s="288">
        <f ca="1">SUMPRODUCT((TABELA_VAZAO[Posto]=H$2)*1,(TABELA_VAZAO[Data]=$A23)*1,TABELA_VAZAO[qnat])</f>
        <v>0</v>
      </c>
      <c r="I23" s="279" t="e">
        <f ca="1">INDEX(RESULTADOS!$A:$BA,MATCH($A23,RESULTADOS!$A:$A,0),MATCH(I$1,RESULTADOS!$1:$1,0))</f>
        <v>#N/A</v>
      </c>
      <c r="J23" s="279" t="e">
        <f ca="1">INDEX(RESULTADOS!$A:$BA,MATCH($A23,RESULTADOS!$A:$A,0),MATCH(J$1,RESULTADOS!$1:$1,0))</f>
        <v>#N/A</v>
      </c>
      <c r="K23" s="279" t="e">
        <f ca="1">INDEX(RESULTADOS!$A:$BA,MATCH($A23,RESULTADOS!$A:$A,0),MATCH(K$1,RESULTADOS!$1:$1,0))</f>
        <v>#N/A</v>
      </c>
      <c r="L23" s="288">
        <f ca="1">SUMPRODUCT((TABELA_VAZAO[Posto]=L$2)*1,(TABELA_VAZAO[Data]=$A23)*1,TABELA_VAZAO[qnat])</f>
        <v>0</v>
      </c>
    </row>
    <row r="24" spans="1:12" x14ac:dyDescent="0.2">
      <c r="A24" s="49">
        <f t="shared" ca="1" si="4"/>
        <v>43823</v>
      </c>
      <c r="B24" s="51"/>
      <c r="C24" s="51"/>
      <c r="D24" s="110"/>
      <c r="E24" s="208" t="e">
        <f ca="1">INDEX(RESULTADOS!$A:$BA,MATCH($A24,RESULTADOS!$A:$A,0),MATCH(E$1,RESULTADOS!$1:$1,0))</f>
        <v>#N/A</v>
      </c>
      <c r="F24" s="208" t="e">
        <f ca="1">INDEX(RESULTADOS!$A:$BA,MATCH($A24,RESULTADOS!$A:$A,0),MATCH(F$1,RESULTADOS!$1:$1,0))</f>
        <v>#N/A</v>
      </c>
      <c r="G24" s="288">
        <f ca="1">SUMPRODUCT((TABELA_VAZAO[Posto]=G$2)*1,(TABELA_VAZAO[Data]=$A24)*1,TABELA_VAZAO[qnat])</f>
        <v>0</v>
      </c>
      <c r="H24" s="288">
        <f ca="1">SUMPRODUCT((TABELA_VAZAO[Posto]=H$2)*1,(TABELA_VAZAO[Data]=$A24)*1,TABELA_VAZAO[qnat])</f>
        <v>0</v>
      </c>
      <c r="I24" s="279" t="e">
        <f ca="1">INDEX(RESULTADOS!$A:$BA,MATCH($A24,RESULTADOS!$A:$A,0),MATCH(I$1,RESULTADOS!$1:$1,0))</f>
        <v>#N/A</v>
      </c>
      <c r="J24" s="279" t="e">
        <f ca="1">INDEX(RESULTADOS!$A:$BA,MATCH($A24,RESULTADOS!$A:$A,0),MATCH(J$1,RESULTADOS!$1:$1,0))</f>
        <v>#N/A</v>
      </c>
      <c r="K24" s="279" t="e">
        <f ca="1">INDEX(RESULTADOS!$A:$BA,MATCH($A24,RESULTADOS!$A:$A,0),MATCH(K$1,RESULTADOS!$1:$1,0))</f>
        <v>#N/A</v>
      </c>
      <c r="L24" s="288">
        <f ca="1">SUMPRODUCT((TABELA_VAZAO[Posto]=L$2)*1,(TABELA_VAZAO[Data]=$A24)*1,TABELA_VAZAO[qnat])</f>
        <v>0</v>
      </c>
    </row>
    <row r="25" spans="1:12" x14ac:dyDescent="0.2">
      <c r="A25" s="49">
        <f t="shared" ca="1" si="4"/>
        <v>43824</v>
      </c>
      <c r="B25" s="51"/>
      <c r="C25" s="51"/>
      <c r="D25" s="110"/>
      <c r="E25" s="208" t="e">
        <f ca="1">INDEX(RESULTADOS!$A:$BA,MATCH($A25,RESULTADOS!$A:$A,0),MATCH(E$1,RESULTADOS!$1:$1,0))</f>
        <v>#N/A</v>
      </c>
      <c r="F25" s="208" t="e">
        <f ca="1">INDEX(RESULTADOS!$A:$BA,MATCH($A25,RESULTADOS!$A:$A,0),MATCH(F$1,RESULTADOS!$1:$1,0))</f>
        <v>#N/A</v>
      </c>
      <c r="G25" s="288">
        <f ca="1">SUMPRODUCT((TABELA_VAZAO[Posto]=G$2)*1,(TABELA_VAZAO[Data]=$A25)*1,TABELA_VAZAO[qnat])</f>
        <v>0</v>
      </c>
      <c r="H25" s="288">
        <f ca="1">SUMPRODUCT((TABELA_VAZAO[Posto]=H$2)*1,(TABELA_VAZAO[Data]=$A25)*1,TABELA_VAZAO[qnat])</f>
        <v>0</v>
      </c>
      <c r="I25" s="279" t="e">
        <f ca="1">INDEX(RESULTADOS!$A:$BA,MATCH($A25,RESULTADOS!$A:$A,0),MATCH(I$1,RESULTADOS!$1:$1,0))</f>
        <v>#N/A</v>
      </c>
      <c r="J25" s="279" t="e">
        <f ca="1">INDEX(RESULTADOS!$A:$BA,MATCH($A25,RESULTADOS!$A:$A,0),MATCH(J$1,RESULTADOS!$1:$1,0))</f>
        <v>#N/A</v>
      </c>
      <c r="K25" s="279" t="e">
        <f ca="1">INDEX(RESULTADOS!$A:$BA,MATCH($A25,RESULTADOS!$A:$A,0),MATCH(K$1,RESULTADOS!$1:$1,0))</f>
        <v>#N/A</v>
      </c>
      <c r="L25" s="288">
        <f ca="1">SUMPRODUCT((TABELA_VAZAO[Posto]=L$2)*1,(TABELA_VAZAO[Data]=$A25)*1,TABELA_VAZAO[qnat])</f>
        <v>0</v>
      </c>
    </row>
    <row r="26" spans="1:12" x14ac:dyDescent="0.2">
      <c r="A26" s="82">
        <f t="shared" ca="1" si="4"/>
        <v>43825</v>
      </c>
      <c r="B26" s="83"/>
      <c r="C26" s="83"/>
      <c r="D26" s="84"/>
      <c r="E26" s="208" t="e">
        <f ca="1">INDEX(RESULTADOS!$A:$BA,MATCH($A26,RESULTADOS!$A:$A,0),MATCH(E$1,RESULTADOS!$1:$1,0))</f>
        <v>#N/A</v>
      </c>
      <c r="F26" s="208" t="e">
        <f ca="1">INDEX(RESULTADOS!$A:$BA,MATCH($A26,RESULTADOS!$A:$A,0),MATCH(F$1,RESULTADOS!$1:$1,0))</f>
        <v>#N/A</v>
      </c>
      <c r="G26" s="288">
        <f ca="1">SUMPRODUCT((TABELA_VAZAO[Posto]=G$2)*1,(TABELA_VAZAO[Data]=$A26)*1,TABELA_VAZAO[qnat])</f>
        <v>0</v>
      </c>
      <c r="H26" s="288">
        <f ca="1">SUMPRODUCT((TABELA_VAZAO[Posto]=H$2)*1,(TABELA_VAZAO[Data]=$A26)*1,TABELA_VAZAO[qnat])</f>
        <v>0</v>
      </c>
      <c r="I26" s="279" t="e">
        <f ca="1">INDEX(RESULTADOS!$A:$BA,MATCH($A26,RESULTADOS!$A:$A,0),MATCH(I$1,RESULTADOS!$1:$1,0))</f>
        <v>#N/A</v>
      </c>
      <c r="J26" s="279" t="e">
        <f ca="1">INDEX(RESULTADOS!$A:$BA,MATCH($A26,RESULTADOS!$A:$A,0),MATCH(J$1,RESULTADOS!$1:$1,0))</f>
        <v>#N/A</v>
      </c>
      <c r="K26" s="279" t="e">
        <f ca="1">INDEX(RESULTADOS!$A:$BA,MATCH($A26,RESULTADOS!$A:$A,0),MATCH(K$1,RESULTADOS!$1:$1,0))</f>
        <v>#N/A</v>
      </c>
      <c r="L26" s="288">
        <f ca="1">SUMPRODUCT((TABELA_VAZAO[Posto]=L$2)*1,(TABELA_VAZAO[Data]=$A26)*1,TABELA_VAZAO[qnat])</f>
        <v>0</v>
      </c>
    </row>
    <row r="27" spans="1:12" x14ac:dyDescent="0.2">
      <c r="A27" s="49">
        <f t="shared" ca="1" si="4"/>
        <v>43826</v>
      </c>
      <c r="B27" s="51"/>
      <c r="C27" s="51"/>
      <c r="D27" s="110"/>
      <c r="E27" s="208" t="e">
        <f ca="1">INDEX(RESULTADOS!$A:$BA,MATCH($A27,RESULTADOS!$A:$A,0),MATCH(E$1,RESULTADOS!$1:$1,0))</f>
        <v>#N/A</v>
      </c>
      <c r="F27" s="208" t="e">
        <f ca="1">INDEX(RESULTADOS!$A:$BA,MATCH($A27,RESULTADOS!$A:$A,0),MATCH(F$1,RESULTADOS!$1:$1,0))</f>
        <v>#N/A</v>
      </c>
      <c r="G27" s="281">
        <f ca="1">SUMPRODUCT((TABELA_VAZAO[Posto]=G$2)*1,(TABELA_VAZAO[Data]=$A27)*1,TABELA_VAZAO[qnat])</f>
        <v>0</v>
      </c>
      <c r="H27" s="281">
        <f ca="1">SUMPRODUCT((TABELA_VAZAO[Posto]=H$2)*1,(TABELA_VAZAO[Data]=$A27)*1,TABELA_VAZAO[qnat])</f>
        <v>0</v>
      </c>
      <c r="I27" s="279" t="e">
        <f ca="1">INDEX(RESULTADOS!$A:$BA,MATCH($A27,RESULTADOS!$A:$A,0),MATCH(I$1,RESULTADOS!$1:$1,0))</f>
        <v>#N/A</v>
      </c>
      <c r="J27" s="279" t="e">
        <f ca="1">INDEX(RESULTADOS!$A:$BA,MATCH($A27,RESULTADOS!$A:$A,0),MATCH(J$1,RESULTADOS!$1:$1,0))</f>
        <v>#N/A</v>
      </c>
      <c r="K27" s="279" t="e">
        <f ca="1">INDEX(RESULTADOS!$A:$BA,MATCH($A27,RESULTADOS!$A:$A,0),MATCH(K$1,RESULTADOS!$1:$1,0))</f>
        <v>#N/A</v>
      </c>
      <c r="L27" s="281">
        <f ca="1">SUMPRODUCT((TABELA_VAZAO[Posto]=L$2)*1,(TABELA_VAZAO[Data]=$A27)*1,TABELA_VAZAO[qnat])</f>
        <v>0</v>
      </c>
    </row>
    <row r="28" spans="1:12" x14ac:dyDescent="0.2">
      <c r="A28" s="49">
        <f t="shared" ca="1" si="4"/>
        <v>43827</v>
      </c>
      <c r="B28" s="51"/>
      <c r="C28" s="51"/>
      <c r="D28" s="110"/>
      <c r="E28" s="208" t="e">
        <f ca="1">INDEX(RESULTADOS!$A:$BA,MATCH($A28,RESULTADOS!$A:$A,0),MATCH(E$1,RESULTADOS!$1:$1,0))</f>
        <v>#N/A</v>
      </c>
      <c r="F28" s="208" t="e">
        <f ca="1">INDEX(RESULTADOS!$A:$BA,MATCH($A28,RESULTADOS!$A:$A,0),MATCH(F$1,RESULTADOS!$1:$1,0))</f>
        <v>#N/A</v>
      </c>
      <c r="G28" s="281">
        <f ca="1">SUMPRODUCT((TABELA_VAZAO[Posto]=G$2)*1,(TABELA_VAZAO[Data]=$A28)*1,TABELA_VAZAO[qnat])</f>
        <v>110</v>
      </c>
      <c r="H28" s="281">
        <f ca="1">SUMPRODUCT((TABELA_VAZAO[Posto]=H$2)*1,(TABELA_VAZAO[Data]=$A28)*1,TABELA_VAZAO[qnat])</f>
        <v>682</v>
      </c>
      <c r="I28" s="279" t="e">
        <f ca="1">INDEX(RESULTADOS!$A:$BA,MATCH($A28,RESULTADOS!$A:$A,0),MATCH(I$1,RESULTADOS!$1:$1,0))</f>
        <v>#N/A</v>
      </c>
      <c r="J28" s="279" t="e">
        <f ca="1">INDEX(RESULTADOS!$A:$BA,MATCH($A28,RESULTADOS!$A:$A,0),MATCH(J$1,RESULTADOS!$1:$1,0))</f>
        <v>#N/A</v>
      </c>
      <c r="K28" s="279" t="e">
        <f ca="1">INDEX(RESULTADOS!$A:$BA,MATCH($A28,RESULTADOS!$A:$A,0),MATCH(K$1,RESULTADOS!$1:$1,0))</f>
        <v>#N/A</v>
      </c>
      <c r="L28" s="281">
        <f ca="1">SUMPRODUCT((TABELA_VAZAO[Posto]=L$2)*1,(TABELA_VAZAO[Data]=$A28)*1,TABELA_VAZAO[qnat])</f>
        <v>19</v>
      </c>
    </row>
    <row r="29" spans="1:12" x14ac:dyDescent="0.2">
      <c r="A29" s="49">
        <f t="shared" ca="1" si="4"/>
        <v>43828</v>
      </c>
      <c r="B29" s="51"/>
      <c r="C29" s="51"/>
      <c r="D29" s="110"/>
      <c r="E29" s="208" t="e">
        <f ca="1">INDEX(RESULTADOS!$A:$BA,MATCH($A29,RESULTADOS!$A:$A,0),MATCH(E$1,RESULTADOS!$1:$1,0))</f>
        <v>#N/A</v>
      </c>
      <c r="F29" s="208" t="e">
        <f ca="1">INDEX(RESULTADOS!$A:$BA,MATCH($A29,RESULTADOS!$A:$A,0),MATCH(F$1,RESULTADOS!$1:$1,0))</f>
        <v>#N/A</v>
      </c>
      <c r="G29" s="281">
        <f ca="1">SUMPRODUCT((TABELA_VAZAO[Posto]=G$2)*1,(TABELA_VAZAO[Data]=$A29)*1,TABELA_VAZAO[qnat])</f>
        <v>87</v>
      </c>
      <c r="H29" s="281">
        <f ca="1">SUMPRODUCT((TABELA_VAZAO[Posto]=H$2)*1,(TABELA_VAZAO[Data]=$A29)*1,TABELA_VAZAO[qnat])</f>
        <v>636</v>
      </c>
      <c r="I29" s="279" t="e">
        <f ca="1">INDEX(RESULTADOS!$A:$BA,MATCH($A29,RESULTADOS!$A:$A,0),MATCH(I$1,RESULTADOS!$1:$1,0))</f>
        <v>#N/A</v>
      </c>
      <c r="J29" s="279" t="e">
        <f ca="1">INDEX(RESULTADOS!$A:$BA,MATCH($A29,RESULTADOS!$A:$A,0),MATCH(J$1,RESULTADOS!$1:$1,0))</f>
        <v>#N/A</v>
      </c>
      <c r="K29" s="279" t="e">
        <f ca="1">INDEX(RESULTADOS!$A:$BA,MATCH($A29,RESULTADOS!$A:$A,0),MATCH(K$1,RESULTADOS!$1:$1,0))</f>
        <v>#N/A</v>
      </c>
      <c r="L29" s="281">
        <f ca="1">SUMPRODUCT((TABELA_VAZAO[Posto]=L$2)*1,(TABELA_VAZAO[Data]=$A29)*1,TABELA_VAZAO[qnat])</f>
        <v>18</v>
      </c>
    </row>
    <row r="30" spans="1:12" x14ac:dyDescent="0.2">
      <c r="A30" s="49">
        <f t="shared" ca="1" si="4"/>
        <v>43829</v>
      </c>
      <c r="B30" s="51"/>
      <c r="C30" s="51"/>
      <c r="D30" s="110"/>
      <c r="E30" s="208" t="e">
        <f ca="1">INDEX(RESULTADOS!$A:$BA,MATCH($A30,RESULTADOS!$A:$A,0),MATCH(E$1,RESULTADOS!$1:$1,0))</f>
        <v>#N/A</v>
      </c>
      <c r="F30" s="208" t="e">
        <f ca="1">INDEX(RESULTADOS!$A:$BA,MATCH($A30,RESULTADOS!$A:$A,0),MATCH(F$1,RESULTADOS!$1:$1,0))</f>
        <v>#N/A</v>
      </c>
      <c r="G30" s="281">
        <f ca="1">SUMPRODUCT((TABELA_VAZAO[Posto]=G$2)*1,(TABELA_VAZAO[Data]=$A30)*1,TABELA_VAZAO[qnat])</f>
        <v>72</v>
      </c>
      <c r="H30" s="281">
        <f ca="1">SUMPRODUCT((TABELA_VAZAO[Posto]=H$2)*1,(TABELA_VAZAO[Data]=$A30)*1,TABELA_VAZAO[qnat])</f>
        <v>579</v>
      </c>
      <c r="I30" s="279" t="e">
        <f ca="1">INDEX(RESULTADOS!$A:$BA,MATCH($A30,RESULTADOS!$A:$A,0),MATCH(I$1,RESULTADOS!$1:$1,0))</f>
        <v>#N/A</v>
      </c>
      <c r="J30" s="279" t="e">
        <f ca="1">INDEX(RESULTADOS!$A:$BA,MATCH($A30,RESULTADOS!$A:$A,0),MATCH(J$1,RESULTADOS!$1:$1,0))</f>
        <v>#N/A</v>
      </c>
      <c r="K30" s="279" t="e">
        <f ca="1">INDEX(RESULTADOS!$A:$BA,MATCH($A30,RESULTADOS!$A:$A,0),MATCH(K$1,RESULTADOS!$1:$1,0))</f>
        <v>#N/A</v>
      </c>
      <c r="L30" s="281">
        <f ca="1">SUMPRODUCT((TABELA_VAZAO[Posto]=L$2)*1,(TABELA_VAZAO[Data]=$A30)*1,TABELA_VAZAO[qnat])</f>
        <v>16</v>
      </c>
    </row>
    <row r="31" spans="1:12" x14ac:dyDescent="0.2">
      <c r="A31" s="49">
        <f t="shared" ca="1" si="4"/>
        <v>43830</v>
      </c>
      <c r="B31" s="51"/>
      <c r="C31" s="51"/>
      <c r="D31" s="110"/>
      <c r="E31" s="208" t="e">
        <f ca="1">INDEX(RESULTADOS!$A:$BA,MATCH($A31,RESULTADOS!$A:$A,0),MATCH(E$1,RESULTADOS!$1:$1,0))</f>
        <v>#N/A</v>
      </c>
      <c r="F31" s="208" t="e">
        <f ca="1">INDEX(RESULTADOS!$A:$BA,MATCH($A31,RESULTADOS!$A:$A,0),MATCH(F$1,RESULTADOS!$1:$1,0))</f>
        <v>#N/A</v>
      </c>
      <c r="G31" s="281">
        <f ca="1">SUMPRODUCT((TABELA_VAZAO[Posto]=G$2)*1,(TABELA_VAZAO[Data]=$A31)*1,TABELA_VAZAO[qnat])</f>
        <v>64</v>
      </c>
      <c r="H31" s="281">
        <f ca="1">SUMPRODUCT((TABELA_VAZAO[Posto]=H$2)*1,(TABELA_VAZAO[Data]=$A31)*1,TABELA_VAZAO[qnat])</f>
        <v>537</v>
      </c>
      <c r="I31" s="279" t="e">
        <f ca="1">INDEX(RESULTADOS!$A:$BA,MATCH($A31,RESULTADOS!$A:$A,0),MATCH(I$1,RESULTADOS!$1:$1,0))</f>
        <v>#N/A</v>
      </c>
      <c r="J31" s="279" t="e">
        <f ca="1">INDEX(RESULTADOS!$A:$BA,MATCH($A31,RESULTADOS!$A:$A,0),MATCH(J$1,RESULTADOS!$1:$1,0))</f>
        <v>#N/A</v>
      </c>
      <c r="K31" s="279" t="e">
        <f ca="1">INDEX(RESULTADOS!$A:$BA,MATCH($A31,RESULTADOS!$A:$A,0),MATCH(K$1,RESULTADOS!$1:$1,0))</f>
        <v>#N/A</v>
      </c>
      <c r="L31" s="281">
        <f ca="1">SUMPRODUCT((TABELA_VAZAO[Posto]=L$2)*1,(TABELA_VAZAO[Data]=$A31)*1,TABELA_VAZAO[qnat])</f>
        <v>15</v>
      </c>
    </row>
    <row r="32" spans="1:12" x14ac:dyDescent="0.2">
      <c r="A32" s="49">
        <f t="shared" ca="1" si="4"/>
        <v>43831</v>
      </c>
      <c r="B32" s="51"/>
      <c r="C32" s="51"/>
      <c r="D32" s="110"/>
      <c r="E32" s="208" t="e">
        <f ca="1">INDEX(RESULTADOS!$A:$BA,MATCH($A32,RESULTADOS!$A:$A,0),MATCH(E$1,RESULTADOS!$1:$1,0))</f>
        <v>#N/A</v>
      </c>
      <c r="F32" s="208" t="e">
        <f ca="1">INDEX(RESULTADOS!$A:$BA,MATCH($A32,RESULTADOS!$A:$A,0),MATCH(F$1,RESULTADOS!$1:$1,0))</f>
        <v>#N/A</v>
      </c>
      <c r="G32" s="281">
        <f ca="1">SUMPRODUCT((TABELA_VAZAO[Posto]=G$2)*1,(TABELA_VAZAO[Data]=$A32)*1,TABELA_VAZAO[qnat])</f>
        <v>58</v>
      </c>
      <c r="H32" s="281">
        <f ca="1">SUMPRODUCT((TABELA_VAZAO[Posto]=H$2)*1,(TABELA_VAZAO[Data]=$A32)*1,TABELA_VAZAO[qnat])</f>
        <v>508</v>
      </c>
      <c r="I32" s="279" t="e">
        <f ca="1">INDEX(RESULTADOS!$A:$BA,MATCH($A32,RESULTADOS!$A:$A,0),MATCH(I$1,RESULTADOS!$1:$1,0))</f>
        <v>#N/A</v>
      </c>
      <c r="J32" s="279" t="e">
        <f ca="1">INDEX(RESULTADOS!$A:$BA,MATCH($A32,RESULTADOS!$A:$A,0),MATCH(J$1,RESULTADOS!$1:$1,0))</f>
        <v>#N/A</v>
      </c>
      <c r="K32" s="279" t="e">
        <f ca="1">INDEX(RESULTADOS!$A:$BA,MATCH($A32,RESULTADOS!$A:$A,0),MATCH(K$1,RESULTADOS!$1:$1,0))</f>
        <v>#N/A</v>
      </c>
      <c r="L32" s="281">
        <f ca="1">SUMPRODUCT((TABELA_VAZAO[Posto]=L$2)*1,(TABELA_VAZAO[Data]=$A32)*1,TABELA_VAZAO[qnat])</f>
        <v>14</v>
      </c>
    </row>
    <row r="33" spans="1:12" x14ac:dyDescent="0.2">
      <c r="A33" s="82">
        <f t="shared" ca="1" si="4"/>
        <v>43832</v>
      </c>
      <c r="B33" s="83"/>
      <c r="C33" s="83"/>
      <c r="D33" s="84"/>
      <c r="E33" s="208" t="e">
        <f ca="1">INDEX(RESULTADOS!$A:$BA,MATCH($A33,RESULTADOS!$A:$A,0),MATCH(E$1,RESULTADOS!$1:$1,0))</f>
        <v>#N/A</v>
      </c>
      <c r="F33" s="208" t="e">
        <f ca="1">INDEX(RESULTADOS!$A:$BA,MATCH($A33,RESULTADOS!$A:$A,0),MATCH(F$1,RESULTADOS!$1:$1,0))</f>
        <v>#N/A</v>
      </c>
      <c r="G33" s="281">
        <f ca="1">SUMPRODUCT((TABELA_VAZAO[Posto]=G$2)*1,(TABELA_VAZAO[Data]=$A33)*1,TABELA_VAZAO[qnat])</f>
        <v>54</v>
      </c>
      <c r="H33" s="281">
        <f ca="1">SUMPRODUCT((TABELA_VAZAO[Posto]=H$2)*1,(TABELA_VAZAO[Data]=$A33)*1,TABELA_VAZAO[qnat])</f>
        <v>456</v>
      </c>
      <c r="I33" s="279" t="e">
        <f ca="1">INDEX(RESULTADOS!$A:$BA,MATCH($A33,RESULTADOS!$A:$A,0),MATCH(I$1,RESULTADOS!$1:$1,0))</f>
        <v>#N/A</v>
      </c>
      <c r="J33" s="279" t="e">
        <f ca="1">INDEX(RESULTADOS!$A:$BA,MATCH($A33,RESULTADOS!$A:$A,0),MATCH(J$1,RESULTADOS!$1:$1,0))</f>
        <v>#N/A</v>
      </c>
      <c r="K33" s="279" t="e">
        <f ca="1">INDEX(RESULTADOS!$A:$BA,MATCH($A33,RESULTADOS!$A:$A,0),MATCH(K$1,RESULTADOS!$1:$1,0))</f>
        <v>#N/A</v>
      </c>
      <c r="L33" s="281">
        <f ca="1">SUMPRODUCT((TABELA_VAZAO[Posto]=L$2)*1,(TABELA_VAZAO[Data]=$A33)*1,TABELA_VAZAO[qnat])</f>
        <v>16</v>
      </c>
    </row>
    <row r="34" spans="1:12" x14ac:dyDescent="0.2">
      <c r="A34" s="49">
        <f t="shared" ca="1" si="4"/>
        <v>43833</v>
      </c>
      <c r="B34" s="51"/>
      <c r="C34" s="51"/>
      <c r="D34" s="110"/>
      <c r="E34" s="208" t="e">
        <f ca="1">INDEX(RESULTADOS!$A:$BA,MATCH($A34,RESULTADOS!$A:$A,0),MATCH(E$1,RESULTADOS!$1:$1,0))</f>
        <v>#N/A</v>
      </c>
      <c r="F34" s="208" t="e">
        <f ca="1">INDEX(RESULTADOS!$A:$BA,MATCH($A34,RESULTADOS!$A:$A,0),MATCH(F$1,RESULTADOS!$1:$1,0))</f>
        <v>#N/A</v>
      </c>
      <c r="G34" s="288">
        <f ca="1">SUMPRODUCT((TABELA_VAZAO[Posto]=G$2)*1,(TABELA_VAZAO[Data]=$A34)*1,TABELA_VAZAO[qnat])</f>
        <v>51</v>
      </c>
      <c r="H34" s="288">
        <f ca="1">SUMPRODUCT((TABELA_VAZAO[Posto]=H$2)*1,(TABELA_VAZAO[Data]=$A34)*1,TABELA_VAZAO[qnat])</f>
        <v>420</v>
      </c>
      <c r="I34" s="279" t="e">
        <f ca="1">INDEX(RESULTADOS!$A:$BA,MATCH($A34,RESULTADOS!$A:$A,0),MATCH(I$1,RESULTADOS!$1:$1,0))</f>
        <v>#N/A</v>
      </c>
      <c r="J34" s="279" t="e">
        <f ca="1">INDEX(RESULTADOS!$A:$BA,MATCH($A34,RESULTADOS!$A:$A,0),MATCH(J$1,RESULTADOS!$1:$1,0))</f>
        <v>#N/A</v>
      </c>
      <c r="K34" s="279" t="e">
        <f ca="1">INDEX(RESULTADOS!$A:$BA,MATCH($A34,RESULTADOS!$A:$A,0),MATCH(K$1,RESULTADOS!$1:$1,0))</f>
        <v>#N/A</v>
      </c>
      <c r="L34" s="288">
        <f ca="1">SUMPRODUCT((TABELA_VAZAO[Posto]=L$2)*1,(TABELA_VAZAO[Data]=$A34)*1,TABELA_VAZAO[qnat])</f>
        <v>21</v>
      </c>
    </row>
    <row r="35" spans="1:12" x14ac:dyDescent="0.2">
      <c r="A35" s="49">
        <f t="shared" ca="1" si="4"/>
        <v>43834</v>
      </c>
      <c r="B35" s="51"/>
      <c r="C35" s="51"/>
      <c r="D35" s="110"/>
      <c r="E35" s="208" t="e">
        <f ca="1">INDEX(RESULTADOS!$A:$BA,MATCH($A35,RESULTADOS!$A:$A,0),MATCH(E$1,RESULTADOS!$1:$1,0))</f>
        <v>#N/A</v>
      </c>
      <c r="F35" s="208" t="e">
        <f ca="1">INDEX(RESULTADOS!$A:$BA,MATCH($A35,RESULTADOS!$A:$A,0),MATCH(F$1,RESULTADOS!$1:$1,0))</f>
        <v>#N/A</v>
      </c>
      <c r="G35" s="288">
        <f ca="1">SUMPRODUCT((TABELA_VAZAO[Posto]=G$2)*1,(TABELA_VAZAO[Data]=$A35)*1,TABELA_VAZAO[qnat])</f>
        <v>77</v>
      </c>
      <c r="H35" s="288">
        <f ca="1">SUMPRODUCT((TABELA_VAZAO[Posto]=H$2)*1,(TABELA_VAZAO[Data]=$A35)*1,TABELA_VAZAO[qnat])</f>
        <v>432</v>
      </c>
      <c r="I35" s="279" t="e">
        <f ca="1">INDEX(RESULTADOS!$A:$BA,MATCH($A35,RESULTADOS!$A:$A,0),MATCH(I$1,RESULTADOS!$1:$1,0))</f>
        <v>#N/A</v>
      </c>
      <c r="J35" s="279" t="e">
        <f ca="1">INDEX(RESULTADOS!$A:$BA,MATCH($A35,RESULTADOS!$A:$A,0),MATCH(J$1,RESULTADOS!$1:$1,0))</f>
        <v>#N/A</v>
      </c>
      <c r="K35" s="279" t="e">
        <f ca="1">INDEX(RESULTADOS!$A:$BA,MATCH($A35,RESULTADOS!$A:$A,0),MATCH(K$1,RESULTADOS!$1:$1,0))</f>
        <v>#N/A</v>
      </c>
      <c r="L35" s="288">
        <f ca="1">SUMPRODUCT((TABELA_VAZAO[Posto]=L$2)*1,(TABELA_VAZAO[Data]=$A35)*1,TABELA_VAZAO[qnat])</f>
        <v>28</v>
      </c>
    </row>
    <row r="36" spans="1:12" x14ac:dyDescent="0.2">
      <c r="A36" s="49">
        <f t="shared" ca="1" si="4"/>
        <v>43835</v>
      </c>
      <c r="B36" s="51"/>
      <c r="C36" s="51"/>
      <c r="D36" s="110"/>
      <c r="E36" s="208" t="e">
        <f ca="1">INDEX(RESULTADOS!$A:$BA,MATCH($A36,RESULTADOS!$A:$A,0),MATCH(E$1,RESULTADOS!$1:$1,0))</f>
        <v>#N/A</v>
      </c>
      <c r="F36" s="208" t="e">
        <f ca="1">INDEX(RESULTADOS!$A:$BA,MATCH($A36,RESULTADOS!$A:$A,0),MATCH(F$1,RESULTADOS!$1:$1,0))</f>
        <v>#N/A</v>
      </c>
      <c r="G36" s="288">
        <f ca="1">SUMPRODUCT((TABELA_VAZAO[Posto]=G$2)*1,(TABELA_VAZAO[Data]=$A36)*1,TABELA_VAZAO[qnat])</f>
        <v>90</v>
      </c>
      <c r="H36" s="288">
        <f ca="1">SUMPRODUCT((TABELA_VAZAO[Posto]=H$2)*1,(TABELA_VAZAO[Data]=$A36)*1,TABELA_VAZAO[qnat])</f>
        <v>514</v>
      </c>
      <c r="I36" s="279" t="e">
        <f ca="1">INDEX(RESULTADOS!$A:$BA,MATCH($A36,RESULTADOS!$A:$A,0),MATCH(I$1,RESULTADOS!$1:$1,0))</f>
        <v>#N/A</v>
      </c>
      <c r="J36" s="279" t="e">
        <f ca="1">INDEX(RESULTADOS!$A:$BA,MATCH($A36,RESULTADOS!$A:$A,0),MATCH(J$1,RESULTADOS!$1:$1,0))</f>
        <v>#N/A</v>
      </c>
      <c r="K36" s="279" t="e">
        <f ca="1">INDEX(RESULTADOS!$A:$BA,MATCH($A36,RESULTADOS!$A:$A,0),MATCH(K$1,RESULTADOS!$1:$1,0))</f>
        <v>#N/A</v>
      </c>
      <c r="L36" s="288">
        <f ca="1">SUMPRODUCT((TABELA_VAZAO[Posto]=L$2)*1,(TABELA_VAZAO[Data]=$A36)*1,TABELA_VAZAO[qnat])</f>
        <v>34</v>
      </c>
    </row>
    <row r="37" spans="1:12" ht="13.5" thickBot="1" x14ac:dyDescent="0.25">
      <c r="A37" s="49">
        <f ca="1">A38-1</f>
        <v>43836</v>
      </c>
      <c r="B37" s="51"/>
      <c r="C37" s="51"/>
      <c r="D37" s="110"/>
      <c r="E37" s="208" t="e">
        <f ca="1">INDEX(RESULTADOS!$A:$BA,MATCH($A37,RESULTADOS!$A:$A,0),MATCH(E$1,RESULTADOS!$1:$1,0))</f>
        <v>#N/A</v>
      </c>
      <c r="F37" s="208" t="e">
        <f ca="1">INDEX(RESULTADOS!$A:$BA,MATCH($A37,RESULTADOS!$A:$A,0),MATCH(F$1,RESULTADOS!$1:$1,0))</f>
        <v>#N/A</v>
      </c>
      <c r="G37" s="288">
        <f ca="1">SUMPRODUCT((TABELA_VAZAO[Posto]=G$2)*1,(TABELA_VAZAO[Data]=$A37)*1,TABELA_VAZAO[qnat])</f>
        <v>85</v>
      </c>
      <c r="H37" s="288">
        <f ca="1">SUMPRODUCT((TABELA_VAZAO[Posto]=H$2)*1,(TABELA_VAZAO[Data]=$A37)*1,TABELA_VAZAO[qnat])</f>
        <v>539</v>
      </c>
      <c r="I37" s="279" t="e">
        <f ca="1">INDEX(RESULTADOS!$A:$BA,MATCH($A37,RESULTADOS!$A:$A,0),MATCH(I$1,RESULTADOS!$1:$1,0))</f>
        <v>#N/A</v>
      </c>
      <c r="J37" s="279" t="e">
        <f ca="1">INDEX(RESULTADOS!$A:$BA,MATCH($A37,RESULTADOS!$A:$A,0),MATCH(J$1,RESULTADOS!$1:$1,0))</f>
        <v>#N/A</v>
      </c>
      <c r="K37" s="279" t="e">
        <f ca="1">INDEX(RESULTADOS!$A:$BA,MATCH($A37,RESULTADOS!$A:$A,0),MATCH(K$1,RESULTADOS!$1:$1,0))</f>
        <v>#N/A</v>
      </c>
      <c r="L37" s="288">
        <f ca="1">SUMPRODUCT((TABELA_VAZAO[Posto]=L$2)*1,(TABELA_VAZAO[Data]=$A37)*1,TABELA_VAZAO[qnat])</f>
        <v>38</v>
      </c>
    </row>
    <row r="38" spans="1:12" ht="13.5" thickBot="1" x14ac:dyDescent="0.25">
      <c r="A38" s="55">
        <f ca="1">_data</f>
        <v>43837</v>
      </c>
      <c r="B38" s="53"/>
      <c r="C38" s="53"/>
      <c r="D38" s="52"/>
      <c r="E38" s="208" t="e">
        <f ca="1">INDEX(RESULTADOS!$A:$BA,MATCH($A38,RESULTADOS!$A:$A,0),MATCH(E$1,RESULTADOS!$1:$1,0))</f>
        <v>#N/A</v>
      </c>
      <c r="F38" s="208" t="e">
        <f ca="1">INDEX(RESULTADOS!$A:$BA,MATCH($A38,RESULTADOS!$A:$A,0),MATCH(F$1,RESULTADOS!$1:$1,0))</f>
        <v>#N/A</v>
      </c>
      <c r="G38" s="230" t="e">
        <f t="shared" ref="G38:G71" ca="1" si="5">E38</f>
        <v>#N/A</v>
      </c>
      <c r="H38" s="230" t="e">
        <f t="shared" ref="H38:H71" ca="1" si="6">G38+F38</f>
        <v>#N/A</v>
      </c>
      <c r="I38" s="279" t="e">
        <f ca="1">INDEX(RESULTADOS!$A:$BA,MATCH($A38,RESULTADOS!$A:$A,0),MATCH(I$1,RESULTADOS!$1:$1,0))</f>
        <v>#N/A</v>
      </c>
      <c r="J38" s="279" t="e">
        <f ca="1">INDEX(RESULTADOS!$A:$BA,MATCH($A38,RESULTADOS!$A:$A,0),MATCH(J$1,RESULTADOS!$1:$1,0))</f>
        <v>#N/A</v>
      </c>
      <c r="K38" s="279" t="e">
        <f ca="1">INDEX(RESULTADOS!$A:$BA,MATCH($A38,RESULTADOS!$A:$A,0),MATCH(K$1,RESULTADOS!$1:$1,0))</f>
        <v>#N/A</v>
      </c>
      <c r="L38" s="278" t="e">
        <f ca="1">I38</f>
        <v>#N/A</v>
      </c>
    </row>
    <row r="39" spans="1:12" x14ac:dyDescent="0.2">
      <c r="A39" s="49">
        <f ca="1">A38+1</f>
        <v>43838</v>
      </c>
      <c r="B39" s="53"/>
      <c r="C39" s="53"/>
      <c r="D39" s="52"/>
      <c r="E39" s="208" t="e">
        <f ca="1">INDEX(RESULTADOS!$A:$BA,MATCH($A39,RESULTADOS!$A:$A,0),MATCH(E$1,RESULTADOS!$1:$1,0))</f>
        <v>#N/A</v>
      </c>
      <c r="F39" s="208" t="e">
        <f ca="1">INDEX(RESULTADOS!$A:$BA,MATCH($A39,RESULTADOS!$A:$A,0),MATCH(F$1,RESULTADOS!$1:$1,0))</f>
        <v>#N/A</v>
      </c>
      <c r="G39" s="230" t="e">
        <f t="shared" ca="1" si="5"/>
        <v>#N/A</v>
      </c>
      <c r="H39" s="230" t="e">
        <f t="shared" ca="1" si="6"/>
        <v>#N/A</v>
      </c>
      <c r="I39" s="279" t="e">
        <f ca="1">INDEX(RESULTADOS!$A:$BA,MATCH($A39,RESULTADOS!$A:$A,0),MATCH(I$1,RESULTADOS!$1:$1,0))</f>
        <v>#N/A</v>
      </c>
      <c r="J39" s="279" t="e">
        <f ca="1">INDEX(RESULTADOS!$A:$BA,MATCH($A39,RESULTADOS!$A:$A,0),MATCH(J$1,RESULTADOS!$1:$1,0))</f>
        <v>#N/A</v>
      </c>
      <c r="K39" s="279" t="e">
        <f ca="1">INDEX(RESULTADOS!$A:$BA,MATCH($A39,RESULTADOS!$A:$A,0),MATCH(K$1,RESULTADOS!$1:$1,0))</f>
        <v>#N/A</v>
      </c>
      <c r="L39" s="278" t="e">
        <f t="shared" ref="L39:L80" ca="1" si="7">I39</f>
        <v>#N/A</v>
      </c>
    </row>
    <row r="40" spans="1:12" x14ac:dyDescent="0.2">
      <c r="A40" s="82">
        <f t="shared" ref="A40:A103" ca="1" si="8">A39+1</f>
        <v>43839</v>
      </c>
      <c r="B40" s="87"/>
      <c r="C40" s="87"/>
      <c r="D40" s="88"/>
      <c r="E40" s="208" t="e">
        <f ca="1">INDEX(RESULTADOS!$A:$BA,MATCH($A40,RESULTADOS!$A:$A,0),MATCH(E$1,RESULTADOS!$1:$1,0))</f>
        <v>#N/A</v>
      </c>
      <c r="F40" s="208" t="e">
        <f ca="1">INDEX(RESULTADOS!$A:$BA,MATCH($A40,RESULTADOS!$A:$A,0),MATCH(F$1,RESULTADOS!$1:$1,0))</f>
        <v>#N/A</v>
      </c>
      <c r="G40" s="230" t="e">
        <f t="shared" ca="1" si="5"/>
        <v>#N/A</v>
      </c>
      <c r="H40" s="230" t="e">
        <f t="shared" ca="1" si="6"/>
        <v>#N/A</v>
      </c>
      <c r="I40" s="279" t="e">
        <f ca="1">INDEX(RESULTADOS!$A:$BA,MATCH($A40,RESULTADOS!$A:$A,0),MATCH(I$1,RESULTADOS!$1:$1,0))</f>
        <v>#N/A</v>
      </c>
      <c r="J40" s="279" t="e">
        <f ca="1">INDEX(RESULTADOS!$A:$BA,MATCH($A40,RESULTADOS!$A:$A,0),MATCH(J$1,RESULTADOS!$1:$1,0))</f>
        <v>#N/A</v>
      </c>
      <c r="K40" s="279" t="e">
        <f ca="1">INDEX(RESULTADOS!$A:$BA,MATCH($A40,RESULTADOS!$A:$A,0),MATCH(K$1,RESULTADOS!$1:$1,0))</f>
        <v>#N/A</v>
      </c>
      <c r="L40" s="278" t="e">
        <f t="shared" ca="1" si="7"/>
        <v>#N/A</v>
      </c>
    </row>
    <row r="41" spans="1:12" x14ac:dyDescent="0.2">
      <c r="A41" s="49">
        <f t="shared" ca="1" si="8"/>
        <v>43840</v>
      </c>
      <c r="B41" s="68"/>
      <c r="C41" s="68"/>
      <c r="D41" s="33"/>
      <c r="E41" s="208" t="e">
        <f ca="1">INDEX(RESULTADOS!$A:$BA,MATCH($A41,RESULTADOS!$A:$A,0),MATCH(E$1,RESULTADOS!$1:$1,0))</f>
        <v>#N/A</v>
      </c>
      <c r="F41" s="208" t="e">
        <f ca="1">INDEX(RESULTADOS!$A:$BA,MATCH($A41,RESULTADOS!$A:$A,0),MATCH(F$1,RESULTADOS!$1:$1,0))</f>
        <v>#N/A</v>
      </c>
      <c r="G41" s="230" t="e">
        <f t="shared" ca="1" si="5"/>
        <v>#N/A</v>
      </c>
      <c r="H41" s="230" t="e">
        <f t="shared" ca="1" si="6"/>
        <v>#N/A</v>
      </c>
      <c r="I41" s="279" t="e">
        <f ca="1">INDEX(RESULTADOS!$A:$BA,MATCH($A41,RESULTADOS!$A:$A,0),MATCH(I$1,RESULTADOS!$1:$1,0))</f>
        <v>#N/A</v>
      </c>
      <c r="J41" s="279" t="e">
        <f ca="1">INDEX(RESULTADOS!$A:$BA,MATCH($A41,RESULTADOS!$A:$A,0),MATCH(J$1,RESULTADOS!$1:$1,0))</f>
        <v>#N/A</v>
      </c>
      <c r="K41" s="279" t="e">
        <f ca="1">INDEX(RESULTADOS!$A:$BA,MATCH($A41,RESULTADOS!$A:$A,0),MATCH(K$1,RESULTADOS!$1:$1,0))</f>
        <v>#N/A</v>
      </c>
      <c r="L41" s="278" t="e">
        <f t="shared" ca="1" si="7"/>
        <v>#N/A</v>
      </c>
    </row>
    <row r="42" spans="1:12" x14ac:dyDescent="0.2">
      <c r="A42" s="49">
        <f t="shared" ca="1" si="8"/>
        <v>43841</v>
      </c>
      <c r="B42" s="68"/>
      <c r="C42" s="68"/>
      <c r="D42" s="33"/>
      <c r="E42" s="208" t="e">
        <f ca="1">INDEX(RESULTADOS!$A:$BA,MATCH($A42,RESULTADOS!$A:$A,0),MATCH(E$1,RESULTADOS!$1:$1,0))</f>
        <v>#N/A</v>
      </c>
      <c r="F42" s="208" t="e">
        <f ca="1">INDEX(RESULTADOS!$A:$BA,MATCH($A42,RESULTADOS!$A:$A,0),MATCH(F$1,RESULTADOS!$1:$1,0))</f>
        <v>#N/A</v>
      </c>
      <c r="G42" s="230" t="e">
        <f t="shared" ca="1" si="5"/>
        <v>#N/A</v>
      </c>
      <c r="H42" s="230" t="e">
        <f t="shared" ca="1" si="6"/>
        <v>#N/A</v>
      </c>
      <c r="I42" s="279" t="e">
        <f ca="1">INDEX(RESULTADOS!$A:$BA,MATCH($A42,RESULTADOS!$A:$A,0),MATCH(I$1,RESULTADOS!$1:$1,0))</f>
        <v>#N/A</v>
      </c>
      <c r="J42" s="279" t="e">
        <f ca="1">INDEX(RESULTADOS!$A:$BA,MATCH($A42,RESULTADOS!$A:$A,0),MATCH(J$1,RESULTADOS!$1:$1,0))</f>
        <v>#N/A</v>
      </c>
      <c r="K42" s="279" t="e">
        <f ca="1">INDEX(RESULTADOS!$A:$BA,MATCH($A42,RESULTADOS!$A:$A,0),MATCH(K$1,RESULTADOS!$1:$1,0))</f>
        <v>#N/A</v>
      </c>
      <c r="L42" s="278" t="e">
        <f t="shared" ca="1" si="7"/>
        <v>#N/A</v>
      </c>
    </row>
    <row r="43" spans="1:12" x14ac:dyDescent="0.2">
      <c r="A43" s="49">
        <f t="shared" ca="1" si="8"/>
        <v>43842</v>
      </c>
      <c r="B43" s="68"/>
      <c r="C43" s="68"/>
      <c r="D43" s="33"/>
      <c r="E43" s="208" t="e">
        <f ca="1">INDEX(RESULTADOS!$A:$BA,MATCH($A43,RESULTADOS!$A:$A,0),MATCH(E$1,RESULTADOS!$1:$1,0))</f>
        <v>#N/A</v>
      </c>
      <c r="F43" s="208" t="e">
        <f ca="1">INDEX(RESULTADOS!$A:$BA,MATCH($A43,RESULTADOS!$A:$A,0),MATCH(F$1,RESULTADOS!$1:$1,0))</f>
        <v>#N/A</v>
      </c>
      <c r="G43" s="230" t="e">
        <f t="shared" ca="1" si="5"/>
        <v>#N/A</v>
      </c>
      <c r="H43" s="230" t="e">
        <f t="shared" ca="1" si="6"/>
        <v>#N/A</v>
      </c>
      <c r="I43" s="279" t="e">
        <f ca="1">INDEX(RESULTADOS!$A:$BA,MATCH($A43,RESULTADOS!$A:$A,0),MATCH(I$1,RESULTADOS!$1:$1,0))</f>
        <v>#N/A</v>
      </c>
      <c r="J43" s="279" t="e">
        <f ca="1">INDEX(RESULTADOS!$A:$BA,MATCH($A43,RESULTADOS!$A:$A,0),MATCH(J$1,RESULTADOS!$1:$1,0))</f>
        <v>#N/A</v>
      </c>
      <c r="K43" s="279" t="e">
        <f ca="1">INDEX(RESULTADOS!$A:$BA,MATCH($A43,RESULTADOS!$A:$A,0),MATCH(K$1,RESULTADOS!$1:$1,0))</f>
        <v>#N/A</v>
      </c>
      <c r="L43" s="278" t="e">
        <f t="shared" ca="1" si="7"/>
        <v>#N/A</v>
      </c>
    </row>
    <row r="44" spans="1:12" x14ac:dyDescent="0.2">
      <c r="A44" s="49">
        <f t="shared" ca="1" si="8"/>
        <v>43843</v>
      </c>
      <c r="B44" s="68"/>
      <c r="C44" s="68"/>
      <c r="D44" s="33"/>
      <c r="E44" s="208" t="e">
        <f ca="1">INDEX(RESULTADOS!$A:$BA,MATCH($A44,RESULTADOS!$A:$A,0),MATCH(E$1,RESULTADOS!$1:$1,0))</f>
        <v>#N/A</v>
      </c>
      <c r="F44" s="208" t="e">
        <f ca="1">INDEX(RESULTADOS!$A:$BA,MATCH($A44,RESULTADOS!$A:$A,0),MATCH(F$1,RESULTADOS!$1:$1,0))</f>
        <v>#N/A</v>
      </c>
      <c r="G44" s="230" t="e">
        <f t="shared" ca="1" si="5"/>
        <v>#N/A</v>
      </c>
      <c r="H44" s="230" t="e">
        <f t="shared" ca="1" si="6"/>
        <v>#N/A</v>
      </c>
      <c r="I44" s="279" t="e">
        <f ca="1">INDEX(RESULTADOS!$A:$BA,MATCH($A44,RESULTADOS!$A:$A,0),MATCH(I$1,RESULTADOS!$1:$1,0))</f>
        <v>#N/A</v>
      </c>
      <c r="J44" s="279" t="e">
        <f ca="1">INDEX(RESULTADOS!$A:$BA,MATCH($A44,RESULTADOS!$A:$A,0),MATCH(J$1,RESULTADOS!$1:$1,0))</f>
        <v>#N/A</v>
      </c>
      <c r="K44" s="279" t="e">
        <f ca="1">INDEX(RESULTADOS!$A:$BA,MATCH($A44,RESULTADOS!$A:$A,0),MATCH(K$1,RESULTADOS!$1:$1,0))</f>
        <v>#N/A</v>
      </c>
      <c r="L44" s="278" t="e">
        <f t="shared" ca="1" si="7"/>
        <v>#N/A</v>
      </c>
    </row>
    <row r="45" spans="1:12" x14ac:dyDescent="0.2">
      <c r="A45" s="49">
        <f t="shared" ca="1" si="8"/>
        <v>43844</v>
      </c>
      <c r="B45" s="68"/>
      <c r="C45" s="68"/>
      <c r="D45" s="33"/>
      <c r="E45" s="208" t="e">
        <f ca="1">INDEX(RESULTADOS!$A:$BA,MATCH($A45,RESULTADOS!$A:$A,0),MATCH(E$1,RESULTADOS!$1:$1,0))</f>
        <v>#N/A</v>
      </c>
      <c r="F45" s="208" t="e">
        <f ca="1">INDEX(RESULTADOS!$A:$BA,MATCH($A45,RESULTADOS!$A:$A,0),MATCH(F$1,RESULTADOS!$1:$1,0))</f>
        <v>#N/A</v>
      </c>
      <c r="G45" s="230" t="e">
        <f t="shared" ca="1" si="5"/>
        <v>#N/A</v>
      </c>
      <c r="H45" s="230" t="e">
        <f t="shared" ca="1" si="6"/>
        <v>#N/A</v>
      </c>
      <c r="I45" s="279" t="e">
        <f ca="1">INDEX(RESULTADOS!$A:$BA,MATCH($A45,RESULTADOS!$A:$A,0),MATCH(I$1,RESULTADOS!$1:$1,0))</f>
        <v>#N/A</v>
      </c>
      <c r="J45" s="279" t="e">
        <f ca="1">INDEX(RESULTADOS!$A:$BA,MATCH($A45,RESULTADOS!$A:$A,0),MATCH(J$1,RESULTADOS!$1:$1,0))</f>
        <v>#N/A</v>
      </c>
      <c r="K45" s="279" t="e">
        <f ca="1">INDEX(RESULTADOS!$A:$BA,MATCH($A45,RESULTADOS!$A:$A,0),MATCH(K$1,RESULTADOS!$1:$1,0))</f>
        <v>#N/A</v>
      </c>
      <c r="L45" s="278" t="e">
        <f t="shared" ca="1" si="7"/>
        <v>#N/A</v>
      </c>
    </row>
    <row r="46" spans="1:12" x14ac:dyDescent="0.2">
      <c r="A46" s="49">
        <f t="shared" ca="1" si="8"/>
        <v>43845</v>
      </c>
      <c r="B46" s="68"/>
      <c r="C46" s="68"/>
      <c r="D46" s="33"/>
      <c r="E46" s="208" t="e">
        <f ca="1">INDEX(RESULTADOS!$A:$BA,MATCH($A46,RESULTADOS!$A:$A,0),MATCH(E$1,RESULTADOS!$1:$1,0))</f>
        <v>#N/A</v>
      </c>
      <c r="F46" s="208" t="e">
        <f ca="1">INDEX(RESULTADOS!$A:$BA,MATCH($A46,RESULTADOS!$A:$A,0),MATCH(F$1,RESULTADOS!$1:$1,0))</f>
        <v>#N/A</v>
      </c>
      <c r="G46" s="230" t="e">
        <f t="shared" ca="1" si="5"/>
        <v>#N/A</v>
      </c>
      <c r="H46" s="230" t="e">
        <f t="shared" ca="1" si="6"/>
        <v>#N/A</v>
      </c>
      <c r="I46" s="279" t="e">
        <f ca="1">INDEX(RESULTADOS!$A:$BA,MATCH($A46,RESULTADOS!$A:$A,0),MATCH(I$1,RESULTADOS!$1:$1,0))</f>
        <v>#N/A</v>
      </c>
      <c r="J46" s="279" t="e">
        <f ca="1">INDEX(RESULTADOS!$A:$BA,MATCH($A46,RESULTADOS!$A:$A,0),MATCH(J$1,RESULTADOS!$1:$1,0))</f>
        <v>#N/A</v>
      </c>
      <c r="K46" s="279" t="e">
        <f ca="1">INDEX(RESULTADOS!$A:$BA,MATCH($A46,RESULTADOS!$A:$A,0),MATCH(K$1,RESULTADOS!$1:$1,0))</f>
        <v>#N/A</v>
      </c>
      <c r="L46" s="278" t="e">
        <f t="shared" ca="1" si="7"/>
        <v>#N/A</v>
      </c>
    </row>
    <row r="47" spans="1:12" x14ac:dyDescent="0.2">
      <c r="A47" s="82">
        <f t="shared" ca="1" si="8"/>
        <v>43846</v>
      </c>
      <c r="B47" s="87"/>
      <c r="C47" s="87"/>
      <c r="D47" s="88"/>
      <c r="E47" s="208" t="e">
        <f ca="1">INDEX(RESULTADOS!$A:$BA,MATCH($A47,RESULTADOS!$A:$A,0),MATCH(E$1,RESULTADOS!$1:$1,0))</f>
        <v>#N/A</v>
      </c>
      <c r="F47" s="208" t="e">
        <f ca="1">INDEX(RESULTADOS!$A:$BA,MATCH($A47,RESULTADOS!$A:$A,0),MATCH(F$1,RESULTADOS!$1:$1,0))</f>
        <v>#N/A</v>
      </c>
      <c r="G47" s="230" t="e">
        <f t="shared" ca="1" si="5"/>
        <v>#N/A</v>
      </c>
      <c r="H47" s="230" t="e">
        <f t="shared" ca="1" si="6"/>
        <v>#N/A</v>
      </c>
      <c r="I47" s="279" t="e">
        <f ca="1">INDEX(RESULTADOS!$A:$BA,MATCH($A47,RESULTADOS!$A:$A,0),MATCH(I$1,RESULTADOS!$1:$1,0))</f>
        <v>#N/A</v>
      </c>
      <c r="J47" s="279" t="e">
        <f ca="1">INDEX(RESULTADOS!$A:$BA,MATCH($A47,RESULTADOS!$A:$A,0),MATCH(J$1,RESULTADOS!$1:$1,0))</f>
        <v>#N/A</v>
      </c>
      <c r="K47" s="279" t="e">
        <f ca="1">INDEX(RESULTADOS!$A:$BA,MATCH($A47,RESULTADOS!$A:$A,0),MATCH(K$1,RESULTADOS!$1:$1,0))</f>
        <v>#N/A</v>
      </c>
      <c r="L47" s="278" t="e">
        <f t="shared" ca="1" si="7"/>
        <v>#N/A</v>
      </c>
    </row>
    <row r="48" spans="1:12" x14ac:dyDescent="0.2">
      <c r="A48" s="49">
        <f t="shared" ca="1" si="8"/>
        <v>43847</v>
      </c>
      <c r="B48" s="53"/>
      <c r="C48" s="53"/>
      <c r="D48" s="52"/>
      <c r="E48" s="208" t="e">
        <f ca="1">INDEX(RESULTADOS!$A:$BA,MATCH($A48,RESULTADOS!$A:$A,0),MATCH(E$1,RESULTADOS!$1:$1,0))</f>
        <v>#N/A</v>
      </c>
      <c r="F48" s="208" t="e">
        <f ca="1">INDEX(RESULTADOS!$A:$BA,MATCH($A48,RESULTADOS!$A:$A,0),MATCH(F$1,RESULTADOS!$1:$1,0))</f>
        <v>#N/A</v>
      </c>
      <c r="G48" s="230" t="e">
        <f t="shared" ca="1" si="5"/>
        <v>#N/A</v>
      </c>
      <c r="H48" s="230" t="e">
        <f t="shared" ca="1" si="6"/>
        <v>#N/A</v>
      </c>
      <c r="I48" s="279" t="e">
        <f ca="1">INDEX(RESULTADOS!$A:$BA,MATCH($A48,RESULTADOS!$A:$A,0),MATCH(I$1,RESULTADOS!$1:$1,0))</f>
        <v>#N/A</v>
      </c>
      <c r="J48" s="279" t="e">
        <f ca="1">INDEX(RESULTADOS!$A:$BA,MATCH($A48,RESULTADOS!$A:$A,0),MATCH(J$1,RESULTADOS!$1:$1,0))</f>
        <v>#N/A</v>
      </c>
      <c r="K48" s="279" t="e">
        <f ca="1">INDEX(RESULTADOS!$A:$BA,MATCH($A48,RESULTADOS!$A:$A,0),MATCH(K$1,RESULTADOS!$1:$1,0))</f>
        <v>#N/A</v>
      </c>
      <c r="L48" s="278" t="e">
        <f t="shared" ca="1" si="7"/>
        <v>#N/A</v>
      </c>
    </row>
    <row r="49" spans="1:12" x14ac:dyDescent="0.2">
      <c r="A49" s="49">
        <f t="shared" ca="1" si="8"/>
        <v>43848</v>
      </c>
      <c r="B49" s="53"/>
      <c r="C49" s="53"/>
      <c r="D49" s="52"/>
      <c r="E49" s="208" t="e">
        <f ca="1">INDEX(RESULTADOS!$A:$BA,MATCH($A49,RESULTADOS!$A:$A,0),MATCH(E$1,RESULTADOS!$1:$1,0))</f>
        <v>#N/A</v>
      </c>
      <c r="F49" s="208" t="e">
        <f ca="1">INDEX(RESULTADOS!$A:$BA,MATCH($A49,RESULTADOS!$A:$A,0),MATCH(F$1,RESULTADOS!$1:$1,0))</f>
        <v>#N/A</v>
      </c>
      <c r="G49" s="230" t="e">
        <f t="shared" ca="1" si="5"/>
        <v>#N/A</v>
      </c>
      <c r="H49" s="230" t="e">
        <f t="shared" ca="1" si="6"/>
        <v>#N/A</v>
      </c>
      <c r="I49" s="279" t="e">
        <f ca="1">INDEX(RESULTADOS!$A:$BA,MATCH($A49,RESULTADOS!$A:$A,0),MATCH(I$1,RESULTADOS!$1:$1,0))</f>
        <v>#N/A</v>
      </c>
      <c r="J49" s="279" t="e">
        <f ca="1">INDEX(RESULTADOS!$A:$BA,MATCH($A49,RESULTADOS!$A:$A,0),MATCH(J$1,RESULTADOS!$1:$1,0))</f>
        <v>#N/A</v>
      </c>
      <c r="K49" s="279" t="e">
        <f ca="1">INDEX(RESULTADOS!$A:$BA,MATCH($A49,RESULTADOS!$A:$A,0),MATCH(K$1,RESULTADOS!$1:$1,0))</f>
        <v>#N/A</v>
      </c>
      <c r="L49" s="278" t="e">
        <f t="shared" ca="1" si="7"/>
        <v>#N/A</v>
      </c>
    </row>
    <row r="50" spans="1:12" x14ac:dyDescent="0.2">
      <c r="A50" s="49">
        <f t="shared" ca="1" si="8"/>
        <v>43849</v>
      </c>
      <c r="B50" s="53"/>
      <c r="C50" s="53"/>
      <c r="D50" s="52"/>
      <c r="E50" s="208" t="e">
        <f ca="1">INDEX(RESULTADOS!$A:$BA,MATCH($A50,RESULTADOS!$A:$A,0),MATCH(E$1,RESULTADOS!$1:$1,0))</f>
        <v>#N/A</v>
      </c>
      <c r="F50" s="208" t="e">
        <f ca="1">INDEX(RESULTADOS!$A:$BA,MATCH($A50,RESULTADOS!$A:$A,0),MATCH(F$1,RESULTADOS!$1:$1,0))</f>
        <v>#N/A</v>
      </c>
      <c r="G50" s="230" t="e">
        <f t="shared" ca="1" si="5"/>
        <v>#N/A</v>
      </c>
      <c r="H50" s="230" t="e">
        <f t="shared" ca="1" si="6"/>
        <v>#N/A</v>
      </c>
      <c r="I50" s="279" t="e">
        <f ca="1">INDEX(RESULTADOS!$A:$BA,MATCH($A50,RESULTADOS!$A:$A,0),MATCH(I$1,RESULTADOS!$1:$1,0))</f>
        <v>#N/A</v>
      </c>
      <c r="J50" s="279" t="e">
        <f ca="1">INDEX(RESULTADOS!$A:$BA,MATCH($A50,RESULTADOS!$A:$A,0),MATCH(J$1,RESULTADOS!$1:$1,0))</f>
        <v>#N/A</v>
      </c>
      <c r="K50" s="279" t="e">
        <f ca="1">INDEX(RESULTADOS!$A:$BA,MATCH($A50,RESULTADOS!$A:$A,0),MATCH(K$1,RESULTADOS!$1:$1,0))</f>
        <v>#N/A</v>
      </c>
      <c r="L50" s="278" t="e">
        <f t="shared" ca="1" si="7"/>
        <v>#N/A</v>
      </c>
    </row>
    <row r="51" spans="1:12" x14ac:dyDescent="0.2">
      <c r="A51" s="49">
        <f t="shared" ca="1" si="8"/>
        <v>43850</v>
      </c>
      <c r="B51" s="72"/>
      <c r="C51" s="72"/>
      <c r="D51" s="72"/>
      <c r="E51" s="208" t="e">
        <f ca="1">INDEX(RESULTADOS!$A:$BA,MATCH($A51,RESULTADOS!$A:$A,0),MATCH(E$1,RESULTADOS!$1:$1,0))</f>
        <v>#N/A</v>
      </c>
      <c r="F51" s="208" t="e">
        <f ca="1">INDEX(RESULTADOS!$A:$BA,MATCH($A51,RESULTADOS!$A:$A,0),MATCH(F$1,RESULTADOS!$1:$1,0))</f>
        <v>#N/A</v>
      </c>
      <c r="G51" s="230" t="e">
        <f t="shared" ca="1" si="5"/>
        <v>#N/A</v>
      </c>
      <c r="H51" s="230" t="e">
        <f t="shared" ca="1" si="6"/>
        <v>#N/A</v>
      </c>
      <c r="I51" s="279" t="e">
        <f ca="1">INDEX(RESULTADOS!$A:$BA,MATCH($A51,RESULTADOS!$A:$A,0),MATCH(I$1,RESULTADOS!$1:$1,0))</f>
        <v>#N/A</v>
      </c>
      <c r="J51" s="279" t="e">
        <f ca="1">INDEX(RESULTADOS!$A:$BA,MATCH($A51,RESULTADOS!$A:$A,0),MATCH(J$1,RESULTADOS!$1:$1,0))</f>
        <v>#N/A</v>
      </c>
      <c r="K51" s="279" t="e">
        <f ca="1">INDEX(RESULTADOS!$A:$BA,MATCH($A51,RESULTADOS!$A:$A,0),MATCH(K$1,RESULTADOS!$1:$1,0))</f>
        <v>#N/A</v>
      </c>
      <c r="L51" s="278" t="e">
        <f t="shared" ca="1" si="7"/>
        <v>#N/A</v>
      </c>
    </row>
    <row r="52" spans="1:12" x14ac:dyDescent="0.2">
      <c r="A52" s="49">
        <f t="shared" ca="1" si="8"/>
        <v>43851</v>
      </c>
      <c r="B52" s="53"/>
      <c r="C52" s="53"/>
      <c r="D52" s="52"/>
      <c r="E52" s="208" t="e">
        <f ca="1">INDEX(RESULTADOS!$A:$BA,MATCH($A52,RESULTADOS!$A:$A,0),MATCH(E$1,RESULTADOS!$1:$1,0))</f>
        <v>#N/A</v>
      </c>
      <c r="F52" s="208" t="e">
        <f ca="1">INDEX(RESULTADOS!$A:$BA,MATCH($A52,RESULTADOS!$A:$A,0),MATCH(F$1,RESULTADOS!$1:$1,0))</f>
        <v>#N/A</v>
      </c>
      <c r="G52" s="230" t="e">
        <f t="shared" ca="1" si="5"/>
        <v>#N/A</v>
      </c>
      <c r="H52" s="230" t="e">
        <f t="shared" ca="1" si="6"/>
        <v>#N/A</v>
      </c>
      <c r="I52" s="279" t="e">
        <f ca="1">INDEX(RESULTADOS!$A:$BA,MATCH($A52,RESULTADOS!$A:$A,0),MATCH(I$1,RESULTADOS!$1:$1,0))</f>
        <v>#N/A</v>
      </c>
      <c r="J52" s="279" t="e">
        <f ca="1">INDEX(RESULTADOS!$A:$BA,MATCH($A52,RESULTADOS!$A:$A,0),MATCH(J$1,RESULTADOS!$1:$1,0))</f>
        <v>#N/A</v>
      </c>
      <c r="K52" s="279" t="e">
        <f ca="1">INDEX(RESULTADOS!$A:$BA,MATCH($A52,RESULTADOS!$A:$A,0),MATCH(K$1,RESULTADOS!$1:$1,0))</f>
        <v>#N/A</v>
      </c>
      <c r="L52" s="278" t="e">
        <f t="shared" ca="1" si="7"/>
        <v>#N/A</v>
      </c>
    </row>
    <row r="53" spans="1:12" x14ac:dyDescent="0.2">
      <c r="A53" s="49">
        <f t="shared" ca="1" si="8"/>
        <v>43852</v>
      </c>
      <c r="B53" s="53"/>
      <c r="C53" s="53"/>
      <c r="D53" s="52"/>
      <c r="E53" s="208" t="e">
        <f ca="1">INDEX(RESULTADOS!$A:$BA,MATCH($A53,RESULTADOS!$A:$A,0),MATCH(E$1,RESULTADOS!$1:$1,0))</f>
        <v>#N/A</v>
      </c>
      <c r="F53" s="208" t="e">
        <f ca="1">INDEX(RESULTADOS!$A:$BA,MATCH($A53,RESULTADOS!$A:$A,0),MATCH(F$1,RESULTADOS!$1:$1,0))</f>
        <v>#N/A</v>
      </c>
      <c r="G53" s="230" t="e">
        <f t="shared" ca="1" si="5"/>
        <v>#N/A</v>
      </c>
      <c r="H53" s="230" t="e">
        <f t="shared" ca="1" si="6"/>
        <v>#N/A</v>
      </c>
      <c r="I53" s="279" t="e">
        <f ca="1">INDEX(RESULTADOS!$A:$BA,MATCH($A53,RESULTADOS!$A:$A,0),MATCH(I$1,RESULTADOS!$1:$1,0))</f>
        <v>#N/A</v>
      </c>
      <c r="J53" s="279" t="e">
        <f ca="1">INDEX(RESULTADOS!$A:$BA,MATCH($A53,RESULTADOS!$A:$A,0),MATCH(J$1,RESULTADOS!$1:$1,0))</f>
        <v>#N/A</v>
      </c>
      <c r="K53" s="279" t="e">
        <f ca="1">INDEX(RESULTADOS!$A:$BA,MATCH($A53,RESULTADOS!$A:$A,0),MATCH(K$1,RESULTADOS!$1:$1,0))</f>
        <v>#N/A</v>
      </c>
      <c r="L53" s="278" t="e">
        <f t="shared" ca="1" si="7"/>
        <v>#N/A</v>
      </c>
    </row>
    <row r="54" spans="1:12" x14ac:dyDescent="0.2">
      <c r="A54" s="82">
        <f t="shared" ca="1" si="8"/>
        <v>43853</v>
      </c>
      <c r="B54" s="89"/>
      <c r="C54" s="89"/>
      <c r="D54" s="89"/>
      <c r="E54" s="208" t="e">
        <f ca="1">INDEX(RESULTADOS!$A:$BA,MATCH($A54,RESULTADOS!$A:$A,0),MATCH(E$1,RESULTADOS!$1:$1,0))</f>
        <v>#N/A</v>
      </c>
      <c r="F54" s="208" t="e">
        <f ca="1">INDEX(RESULTADOS!$A:$BA,MATCH($A54,RESULTADOS!$A:$A,0),MATCH(F$1,RESULTADOS!$1:$1,0))</f>
        <v>#N/A</v>
      </c>
      <c r="G54" s="230" t="e">
        <f t="shared" ca="1" si="5"/>
        <v>#N/A</v>
      </c>
      <c r="H54" s="230" t="e">
        <f t="shared" ca="1" si="6"/>
        <v>#N/A</v>
      </c>
      <c r="I54" s="279" t="e">
        <f ca="1">INDEX(RESULTADOS!$A:$BA,MATCH($A54,RESULTADOS!$A:$A,0),MATCH(I$1,RESULTADOS!$1:$1,0))</f>
        <v>#N/A</v>
      </c>
      <c r="J54" s="279" t="e">
        <f ca="1">INDEX(RESULTADOS!$A:$BA,MATCH($A54,RESULTADOS!$A:$A,0),MATCH(J$1,RESULTADOS!$1:$1,0))</f>
        <v>#N/A</v>
      </c>
      <c r="K54" s="279" t="e">
        <f ca="1">INDEX(RESULTADOS!$A:$BA,MATCH($A54,RESULTADOS!$A:$A,0),MATCH(K$1,RESULTADOS!$1:$1,0))</f>
        <v>#N/A</v>
      </c>
      <c r="L54" s="278" t="e">
        <f t="shared" ca="1" si="7"/>
        <v>#N/A</v>
      </c>
    </row>
    <row r="55" spans="1:12" x14ac:dyDescent="0.2">
      <c r="A55" s="49">
        <f t="shared" ca="1" si="8"/>
        <v>43854</v>
      </c>
      <c r="B55" s="53"/>
      <c r="C55" s="53"/>
      <c r="D55" s="52"/>
      <c r="E55" s="208" t="e">
        <f ca="1">INDEX(RESULTADOS!$A:$BA,MATCH($A55,RESULTADOS!$A:$A,0),MATCH(E$1,RESULTADOS!$1:$1,0))</f>
        <v>#N/A</v>
      </c>
      <c r="F55" s="208" t="e">
        <f ca="1">INDEX(RESULTADOS!$A:$BA,MATCH($A55,RESULTADOS!$A:$A,0),MATCH(F$1,RESULTADOS!$1:$1,0))</f>
        <v>#N/A</v>
      </c>
      <c r="G55" s="230" t="e">
        <f t="shared" ca="1" si="5"/>
        <v>#N/A</v>
      </c>
      <c r="H55" s="230" t="e">
        <f t="shared" ca="1" si="6"/>
        <v>#N/A</v>
      </c>
      <c r="I55" s="279" t="e">
        <f ca="1">INDEX(RESULTADOS!$A:$BA,MATCH($A55,RESULTADOS!$A:$A,0),MATCH(I$1,RESULTADOS!$1:$1,0))</f>
        <v>#N/A</v>
      </c>
      <c r="J55" s="279" t="e">
        <f ca="1">INDEX(RESULTADOS!$A:$BA,MATCH($A55,RESULTADOS!$A:$A,0),MATCH(J$1,RESULTADOS!$1:$1,0))</f>
        <v>#N/A</v>
      </c>
      <c r="K55" s="279" t="e">
        <f ca="1">INDEX(RESULTADOS!$A:$BA,MATCH($A55,RESULTADOS!$A:$A,0),MATCH(K$1,RESULTADOS!$1:$1,0))</f>
        <v>#N/A</v>
      </c>
      <c r="L55" s="278" t="e">
        <f t="shared" ca="1" si="7"/>
        <v>#N/A</v>
      </c>
    </row>
    <row r="56" spans="1:12" x14ac:dyDescent="0.2">
      <c r="A56" s="49">
        <f t="shared" ca="1" si="8"/>
        <v>43855</v>
      </c>
      <c r="B56" s="53"/>
      <c r="C56" s="53"/>
      <c r="D56" s="52"/>
      <c r="E56" s="208" t="e">
        <f ca="1">INDEX(RESULTADOS!$A:$BA,MATCH($A56,RESULTADOS!$A:$A,0),MATCH(E$1,RESULTADOS!$1:$1,0))</f>
        <v>#N/A</v>
      </c>
      <c r="F56" s="208" t="e">
        <f ca="1">INDEX(RESULTADOS!$A:$BA,MATCH($A56,RESULTADOS!$A:$A,0),MATCH(F$1,RESULTADOS!$1:$1,0))</f>
        <v>#N/A</v>
      </c>
      <c r="G56" s="230" t="e">
        <f t="shared" ca="1" si="5"/>
        <v>#N/A</v>
      </c>
      <c r="H56" s="230" t="e">
        <f t="shared" ca="1" si="6"/>
        <v>#N/A</v>
      </c>
      <c r="I56" s="279" t="e">
        <f ca="1">INDEX(RESULTADOS!$A:$BA,MATCH($A56,RESULTADOS!$A:$A,0),MATCH(I$1,RESULTADOS!$1:$1,0))</f>
        <v>#N/A</v>
      </c>
      <c r="J56" s="279" t="e">
        <f ca="1">INDEX(RESULTADOS!$A:$BA,MATCH($A56,RESULTADOS!$A:$A,0),MATCH(J$1,RESULTADOS!$1:$1,0))</f>
        <v>#N/A</v>
      </c>
      <c r="K56" s="279" t="e">
        <f ca="1">INDEX(RESULTADOS!$A:$BA,MATCH($A56,RESULTADOS!$A:$A,0),MATCH(K$1,RESULTADOS!$1:$1,0))</f>
        <v>#N/A</v>
      </c>
      <c r="L56" s="278" t="e">
        <f t="shared" ca="1" si="7"/>
        <v>#N/A</v>
      </c>
    </row>
    <row r="57" spans="1:12" x14ac:dyDescent="0.2">
      <c r="A57" s="49">
        <f t="shared" ca="1" si="8"/>
        <v>43856</v>
      </c>
      <c r="B57" s="53"/>
      <c r="C57" s="53"/>
      <c r="D57" s="52"/>
      <c r="E57" s="208" t="e">
        <f ca="1">INDEX(RESULTADOS!$A:$BA,MATCH($A57,RESULTADOS!$A:$A,0),MATCH(E$1,RESULTADOS!$1:$1,0))</f>
        <v>#N/A</v>
      </c>
      <c r="F57" s="208" t="e">
        <f ca="1">INDEX(RESULTADOS!$A:$BA,MATCH($A57,RESULTADOS!$A:$A,0),MATCH(F$1,RESULTADOS!$1:$1,0))</f>
        <v>#N/A</v>
      </c>
      <c r="G57" s="230" t="e">
        <f t="shared" ca="1" si="5"/>
        <v>#N/A</v>
      </c>
      <c r="H57" s="230" t="e">
        <f t="shared" ca="1" si="6"/>
        <v>#N/A</v>
      </c>
      <c r="I57" s="279" t="e">
        <f ca="1">INDEX(RESULTADOS!$A:$BA,MATCH($A57,RESULTADOS!$A:$A,0),MATCH(I$1,RESULTADOS!$1:$1,0))</f>
        <v>#N/A</v>
      </c>
      <c r="J57" s="279" t="e">
        <f ca="1">INDEX(RESULTADOS!$A:$BA,MATCH($A57,RESULTADOS!$A:$A,0),MATCH(J$1,RESULTADOS!$1:$1,0))</f>
        <v>#N/A</v>
      </c>
      <c r="K57" s="279" t="e">
        <f ca="1">INDEX(RESULTADOS!$A:$BA,MATCH($A57,RESULTADOS!$A:$A,0),MATCH(K$1,RESULTADOS!$1:$1,0))</f>
        <v>#N/A</v>
      </c>
      <c r="L57" s="278" t="e">
        <f t="shared" ca="1" si="7"/>
        <v>#N/A</v>
      </c>
    </row>
    <row r="58" spans="1:12" x14ac:dyDescent="0.2">
      <c r="A58" s="49">
        <f t="shared" ca="1" si="8"/>
        <v>43857</v>
      </c>
      <c r="B58" s="53"/>
      <c r="C58" s="53"/>
      <c r="D58" s="52"/>
      <c r="E58" s="208" t="e">
        <f ca="1">INDEX(RESULTADOS!$A:$BA,MATCH($A58,RESULTADOS!$A:$A,0),MATCH(E$1,RESULTADOS!$1:$1,0))</f>
        <v>#N/A</v>
      </c>
      <c r="F58" s="208" t="e">
        <f ca="1">INDEX(RESULTADOS!$A:$BA,MATCH($A58,RESULTADOS!$A:$A,0),MATCH(F$1,RESULTADOS!$1:$1,0))</f>
        <v>#N/A</v>
      </c>
      <c r="G58" s="230" t="e">
        <f t="shared" ca="1" si="5"/>
        <v>#N/A</v>
      </c>
      <c r="H58" s="230" t="e">
        <f t="shared" ca="1" si="6"/>
        <v>#N/A</v>
      </c>
      <c r="I58" s="279" t="e">
        <f ca="1">INDEX(RESULTADOS!$A:$BA,MATCH($A58,RESULTADOS!$A:$A,0),MATCH(I$1,RESULTADOS!$1:$1,0))</f>
        <v>#N/A</v>
      </c>
      <c r="J58" s="279" t="e">
        <f ca="1">INDEX(RESULTADOS!$A:$BA,MATCH($A58,RESULTADOS!$A:$A,0),MATCH(J$1,RESULTADOS!$1:$1,0))</f>
        <v>#N/A</v>
      </c>
      <c r="K58" s="279" t="e">
        <f ca="1">INDEX(RESULTADOS!$A:$BA,MATCH($A58,RESULTADOS!$A:$A,0),MATCH(K$1,RESULTADOS!$1:$1,0))</f>
        <v>#N/A</v>
      </c>
      <c r="L58" s="278" t="e">
        <f t="shared" ca="1" si="7"/>
        <v>#N/A</v>
      </c>
    </row>
    <row r="59" spans="1:12" x14ac:dyDescent="0.2">
      <c r="A59" s="49">
        <f t="shared" ca="1" si="8"/>
        <v>43858</v>
      </c>
      <c r="B59" s="53"/>
      <c r="C59" s="53"/>
      <c r="D59" s="52"/>
      <c r="E59" s="208" t="e">
        <f ca="1">INDEX(RESULTADOS!$A:$BA,MATCH($A59,RESULTADOS!$A:$A,0),MATCH(E$1,RESULTADOS!$1:$1,0))</f>
        <v>#N/A</v>
      </c>
      <c r="F59" s="208" t="e">
        <f ca="1">INDEX(RESULTADOS!$A:$BA,MATCH($A59,RESULTADOS!$A:$A,0),MATCH(F$1,RESULTADOS!$1:$1,0))</f>
        <v>#N/A</v>
      </c>
      <c r="G59" s="230" t="e">
        <f t="shared" ca="1" si="5"/>
        <v>#N/A</v>
      </c>
      <c r="H59" s="230" t="e">
        <f t="shared" ca="1" si="6"/>
        <v>#N/A</v>
      </c>
      <c r="I59" s="279" t="e">
        <f ca="1">INDEX(RESULTADOS!$A:$BA,MATCH($A59,RESULTADOS!$A:$A,0),MATCH(I$1,RESULTADOS!$1:$1,0))</f>
        <v>#N/A</v>
      </c>
      <c r="J59" s="279" t="e">
        <f ca="1">INDEX(RESULTADOS!$A:$BA,MATCH($A59,RESULTADOS!$A:$A,0),MATCH(J$1,RESULTADOS!$1:$1,0))</f>
        <v>#N/A</v>
      </c>
      <c r="K59" s="279" t="e">
        <f ca="1">INDEX(RESULTADOS!$A:$BA,MATCH($A59,RESULTADOS!$A:$A,0),MATCH(K$1,RESULTADOS!$1:$1,0))</f>
        <v>#N/A</v>
      </c>
      <c r="L59" s="278" t="e">
        <f t="shared" ca="1" si="7"/>
        <v>#N/A</v>
      </c>
    </row>
    <row r="60" spans="1:12" x14ac:dyDescent="0.2">
      <c r="A60" s="49">
        <f t="shared" ca="1" si="8"/>
        <v>43859</v>
      </c>
      <c r="B60" s="53"/>
      <c r="C60" s="53"/>
      <c r="D60" s="52"/>
      <c r="E60" s="208" t="e">
        <f ca="1">INDEX(RESULTADOS!$A:$BA,MATCH($A60,RESULTADOS!$A:$A,0),MATCH(E$1,RESULTADOS!$1:$1,0))</f>
        <v>#N/A</v>
      </c>
      <c r="F60" s="208" t="e">
        <f ca="1">INDEX(RESULTADOS!$A:$BA,MATCH($A60,RESULTADOS!$A:$A,0),MATCH(F$1,RESULTADOS!$1:$1,0))</f>
        <v>#N/A</v>
      </c>
      <c r="G60" s="230" t="e">
        <f t="shared" ca="1" si="5"/>
        <v>#N/A</v>
      </c>
      <c r="H60" s="230" t="e">
        <f t="shared" ca="1" si="6"/>
        <v>#N/A</v>
      </c>
      <c r="I60" s="279" t="e">
        <f ca="1">INDEX(RESULTADOS!$A:$BA,MATCH($A60,RESULTADOS!$A:$A,0),MATCH(I$1,RESULTADOS!$1:$1,0))</f>
        <v>#N/A</v>
      </c>
      <c r="J60" s="279" t="e">
        <f ca="1">INDEX(RESULTADOS!$A:$BA,MATCH($A60,RESULTADOS!$A:$A,0),MATCH(J$1,RESULTADOS!$1:$1,0))</f>
        <v>#N/A</v>
      </c>
      <c r="K60" s="279" t="e">
        <f ca="1">INDEX(RESULTADOS!$A:$BA,MATCH($A60,RESULTADOS!$A:$A,0),MATCH(K$1,RESULTADOS!$1:$1,0))</f>
        <v>#N/A</v>
      </c>
      <c r="L60" s="278" t="e">
        <f t="shared" ca="1" si="7"/>
        <v>#N/A</v>
      </c>
    </row>
    <row r="61" spans="1:12" x14ac:dyDescent="0.2">
      <c r="A61" s="82">
        <f t="shared" ca="1" si="8"/>
        <v>43860</v>
      </c>
      <c r="B61" s="87"/>
      <c r="C61" s="87"/>
      <c r="D61" s="88"/>
      <c r="E61" s="208" t="e">
        <f ca="1">INDEX(RESULTADOS!$A:$BA,MATCH($A61,RESULTADOS!$A:$A,0),MATCH(E$1,RESULTADOS!$1:$1,0))</f>
        <v>#N/A</v>
      </c>
      <c r="F61" s="208" t="e">
        <f ca="1">INDEX(RESULTADOS!$A:$BA,MATCH($A61,RESULTADOS!$A:$A,0),MATCH(F$1,RESULTADOS!$1:$1,0))</f>
        <v>#N/A</v>
      </c>
      <c r="G61" s="230" t="e">
        <f t="shared" ca="1" si="5"/>
        <v>#N/A</v>
      </c>
      <c r="H61" s="230" t="e">
        <f t="shared" ca="1" si="6"/>
        <v>#N/A</v>
      </c>
      <c r="I61" s="279" t="e">
        <f ca="1">INDEX(RESULTADOS!$A:$BA,MATCH($A61,RESULTADOS!$A:$A,0),MATCH(I$1,RESULTADOS!$1:$1,0))</f>
        <v>#N/A</v>
      </c>
      <c r="J61" s="279" t="e">
        <f ca="1">INDEX(RESULTADOS!$A:$BA,MATCH($A61,RESULTADOS!$A:$A,0),MATCH(J$1,RESULTADOS!$1:$1,0))</f>
        <v>#N/A</v>
      </c>
      <c r="K61" s="279" t="e">
        <f ca="1">INDEX(RESULTADOS!$A:$BA,MATCH($A61,RESULTADOS!$A:$A,0),MATCH(K$1,RESULTADOS!$1:$1,0))</f>
        <v>#N/A</v>
      </c>
      <c r="L61" s="278" t="e">
        <f t="shared" ca="1" si="7"/>
        <v>#N/A</v>
      </c>
    </row>
    <row r="62" spans="1:12" x14ac:dyDescent="0.2">
      <c r="A62" s="49">
        <f t="shared" ca="1" si="8"/>
        <v>43861</v>
      </c>
      <c r="B62" s="53"/>
      <c r="C62" s="53"/>
      <c r="D62" s="52"/>
      <c r="E62" s="208" t="e">
        <f ca="1">INDEX(RESULTADOS!$A:$BA,MATCH($A62,RESULTADOS!$A:$A,0),MATCH(E$1,RESULTADOS!$1:$1,0))</f>
        <v>#N/A</v>
      </c>
      <c r="F62" s="208" t="e">
        <f ca="1">INDEX(RESULTADOS!$A:$BA,MATCH($A62,RESULTADOS!$A:$A,0),MATCH(F$1,RESULTADOS!$1:$1,0))</f>
        <v>#N/A</v>
      </c>
      <c r="G62" s="230" t="e">
        <f t="shared" ca="1" si="5"/>
        <v>#N/A</v>
      </c>
      <c r="H62" s="230" t="e">
        <f t="shared" ca="1" si="6"/>
        <v>#N/A</v>
      </c>
      <c r="I62" s="279" t="e">
        <f ca="1">INDEX(RESULTADOS!$A:$BA,MATCH($A62,RESULTADOS!$A:$A,0),MATCH(I$1,RESULTADOS!$1:$1,0))</f>
        <v>#N/A</v>
      </c>
      <c r="J62" s="279" t="e">
        <f ca="1">INDEX(RESULTADOS!$A:$BA,MATCH($A62,RESULTADOS!$A:$A,0),MATCH(J$1,RESULTADOS!$1:$1,0))</f>
        <v>#N/A</v>
      </c>
      <c r="K62" s="279" t="e">
        <f ca="1">INDEX(RESULTADOS!$A:$BA,MATCH($A62,RESULTADOS!$A:$A,0),MATCH(K$1,RESULTADOS!$1:$1,0))</f>
        <v>#N/A</v>
      </c>
      <c r="L62" s="278" t="e">
        <f t="shared" ca="1" si="7"/>
        <v>#N/A</v>
      </c>
    </row>
    <row r="63" spans="1:12" x14ac:dyDescent="0.2">
      <c r="A63" s="49">
        <f t="shared" ca="1" si="8"/>
        <v>43862</v>
      </c>
      <c r="B63" s="53"/>
      <c r="C63" s="53"/>
      <c r="D63" s="52"/>
      <c r="E63" s="208" t="e">
        <f ca="1">INDEX(RESULTADOS!$A:$BA,MATCH($A63,RESULTADOS!$A:$A,0),MATCH(E$1,RESULTADOS!$1:$1,0))</f>
        <v>#N/A</v>
      </c>
      <c r="F63" s="208" t="e">
        <f ca="1">INDEX(RESULTADOS!$A:$BA,MATCH($A63,RESULTADOS!$A:$A,0),MATCH(F$1,RESULTADOS!$1:$1,0))</f>
        <v>#N/A</v>
      </c>
      <c r="G63" s="230" t="e">
        <f t="shared" ca="1" si="5"/>
        <v>#N/A</v>
      </c>
      <c r="H63" s="230" t="e">
        <f t="shared" ca="1" si="6"/>
        <v>#N/A</v>
      </c>
      <c r="I63" s="279" t="e">
        <f ca="1">INDEX(RESULTADOS!$A:$BA,MATCH($A63,RESULTADOS!$A:$A,0),MATCH(I$1,RESULTADOS!$1:$1,0))</f>
        <v>#N/A</v>
      </c>
      <c r="J63" s="279" t="e">
        <f ca="1">INDEX(RESULTADOS!$A:$BA,MATCH($A63,RESULTADOS!$A:$A,0),MATCH(J$1,RESULTADOS!$1:$1,0))</f>
        <v>#N/A</v>
      </c>
      <c r="K63" s="279" t="e">
        <f ca="1">INDEX(RESULTADOS!$A:$BA,MATCH($A63,RESULTADOS!$A:$A,0),MATCH(K$1,RESULTADOS!$1:$1,0))</f>
        <v>#N/A</v>
      </c>
      <c r="L63" s="278" t="e">
        <f t="shared" ca="1" si="7"/>
        <v>#N/A</v>
      </c>
    </row>
    <row r="64" spans="1:12" x14ac:dyDescent="0.2">
      <c r="A64" s="49">
        <f t="shared" ca="1" si="8"/>
        <v>43863</v>
      </c>
      <c r="B64" s="53"/>
      <c r="C64" s="53"/>
      <c r="D64" s="52"/>
      <c r="E64" s="208" t="e">
        <f ca="1">INDEX(RESULTADOS!$A:$BA,MATCH($A64,RESULTADOS!$A:$A,0),MATCH(E$1,RESULTADOS!$1:$1,0))</f>
        <v>#N/A</v>
      </c>
      <c r="F64" s="208" t="e">
        <f ca="1">INDEX(RESULTADOS!$A:$BA,MATCH($A64,RESULTADOS!$A:$A,0),MATCH(F$1,RESULTADOS!$1:$1,0))</f>
        <v>#N/A</v>
      </c>
      <c r="G64" s="230" t="e">
        <f t="shared" ca="1" si="5"/>
        <v>#N/A</v>
      </c>
      <c r="H64" s="230" t="e">
        <f t="shared" ca="1" si="6"/>
        <v>#N/A</v>
      </c>
      <c r="I64" s="279" t="e">
        <f ca="1">INDEX(RESULTADOS!$A:$BA,MATCH($A64,RESULTADOS!$A:$A,0),MATCH(I$1,RESULTADOS!$1:$1,0))</f>
        <v>#N/A</v>
      </c>
      <c r="J64" s="279" t="e">
        <f ca="1">INDEX(RESULTADOS!$A:$BA,MATCH($A64,RESULTADOS!$A:$A,0),MATCH(J$1,RESULTADOS!$1:$1,0))</f>
        <v>#N/A</v>
      </c>
      <c r="K64" s="279" t="e">
        <f ca="1">INDEX(RESULTADOS!$A:$BA,MATCH($A64,RESULTADOS!$A:$A,0),MATCH(K$1,RESULTADOS!$1:$1,0))</f>
        <v>#N/A</v>
      </c>
      <c r="L64" s="278" t="e">
        <f t="shared" ca="1" si="7"/>
        <v>#N/A</v>
      </c>
    </row>
    <row r="65" spans="1:12" x14ac:dyDescent="0.2">
      <c r="A65" s="49">
        <f t="shared" ca="1" si="8"/>
        <v>43864</v>
      </c>
      <c r="B65" s="53"/>
      <c r="C65" s="53"/>
      <c r="D65" s="52"/>
      <c r="E65" s="208" t="e">
        <f ca="1">INDEX(RESULTADOS!$A:$BA,MATCH($A65,RESULTADOS!$A:$A,0),MATCH(E$1,RESULTADOS!$1:$1,0))</f>
        <v>#N/A</v>
      </c>
      <c r="F65" s="208" t="e">
        <f ca="1">INDEX(RESULTADOS!$A:$BA,MATCH($A65,RESULTADOS!$A:$A,0),MATCH(F$1,RESULTADOS!$1:$1,0))</f>
        <v>#N/A</v>
      </c>
      <c r="G65" s="230" t="e">
        <f t="shared" ca="1" si="5"/>
        <v>#N/A</v>
      </c>
      <c r="H65" s="230" t="e">
        <f t="shared" ca="1" si="6"/>
        <v>#N/A</v>
      </c>
      <c r="I65" s="279" t="e">
        <f ca="1">INDEX(RESULTADOS!$A:$BA,MATCH($A65,RESULTADOS!$A:$A,0),MATCH(I$1,RESULTADOS!$1:$1,0))</f>
        <v>#N/A</v>
      </c>
      <c r="J65" s="279" t="e">
        <f ca="1">INDEX(RESULTADOS!$A:$BA,MATCH($A65,RESULTADOS!$A:$A,0),MATCH(J$1,RESULTADOS!$1:$1,0))</f>
        <v>#N/A</v>
      </c>
      <c r="K65" s="279" t="e">
        <f ca="1">INDEX(RESULTADOS!$A:$BA,MATCH($A65,RESULTADOS!$A:$A,0),MATCH(K$1,RESULTADOS!$1:$1,0))</f>
        <v>#N/A</v>
      </c>
      <c r="L65" s="278" t="e">
        <f t="shared" ca="1" si="7"/>
        <v>#N/A</v>
      </c>
    </row>
    <row r="66" spans="1:12" x14ac:dyDescent="0.2">
      <c r="A66" s="49">
        <f t="shared" ca="1" si="8"/>
        <v>43865</v>
      </c>
      <c r="B66" s="53"/>
      <c r="C66" s="53"/>
      <c r="D66" s="52"/>
      <c r="E66" s="208" t="e">
        <f ca="1">INDEX(RESULTADOS!$A:$BA,MATCH($A66,RESULTADOS!$A:$A,0),MATCH(E$1,RESULTADOS!$1:$1,0))</f>
        <v>#N/A</v>
      </c>
      <c r="F66" s="208" t="e">
        <f ca="1">INDEX(RESULTADOS!$A:$BA,MATCH($A66,RESULTADOS!$A:$A,0),MATCH(F$1,RESULTADOS!$1:$1,0))</f>
        <v>#N/A</v>
      </c>
      <c r="G66" s="230" t="e">
        <f t="shared" ca="1" si="5"/>
        <v>#N/A</v>
      </c>
      <c r="H66" s="230" t="e">
        <f t="shared" ca="1" si="6"/>
        <v>#N/A</v>
      </c>
      <c r="I66" s="279" t="e">
        <f ca="1">INDEX(RESULTADOS!$A:$BA,MATCH($A66,RESULTADOS!$A:$A,0),MATCH(I$1,RESULTADOS!$1:$1,0))</f>
        <v>#N/A</v>
      </c>
      <c r="J66" s="279" t="e">
        <f ca="1">INDEX(RESULTADOS!$A:$BA,MATCH($A66,RESULTADOS!$A:$A,0),MATCH(J$1,RESULTADOS!$1:$1,0))</f>
        <v>#N/A</v>
      </c>
      <c r="K66" s="279" t="e">
        <f ca="1">INDEX(RESULTADOS!$A:$BA,MATCH($A66,RESULTADOS!$A:$A,0),MATCH(K$1,RESULTADOS!$1:$1,0))</f>
        <v>#N/A</v>
      </c>
      <c r="L66" s="278" t="e">
        <f t="shared" ca="1" si="7"/>
        <v>#N/A</v>
      </c>
    </row>
    <row r="67" spans="1:12" x14ac:dyDescent="0.2">
      <c r="A67" s="49">
        <f t="shared" ca="1" si="8"/>
        <v>43866</v>
      </c>
      <c r="B67" s="53"/>
      <c r="C67" s="53"/>
      <c r="D67" s="52"/>
      <c r="E67" s="208" t="e">
        <f ca="1">INDEX(RESULTADOS!$A:$BA,MATCH($A67,RESULTADOS!$A:$A,0),MATCH(E$1,RESULTADOS!$1:$1,0))</f>
        <v>#N/A</v>
      </c>
      <c r="F67" s="208" t="e">
        <f ca="1">INDEX(RESULTADOS!$A:$BA,MATCH($A67,RESULTADOS!$A:$A,0),MATCH(F$1,RESULTADOS!$1:$1,0))</f>
        <v>#N/A</v>
      </c>
      <c r="G67" s="230" t="e">
        <f t="shared" ca="1" si="5"/>
        <v>#N/A</v>
      </c>
      <c r="H67" s="230" t="e">
        <f t="shared" ca="1" si="6"/>
        <v>#N/A</v>
      </c>
      <c r="I67" s="279" t="e">
        <f ca="1">INDEX(RESULTADOS!$A:$BA,MATCH($A67,RESULTADOS!$A:$A,0),MATCH(I$1,RESULTADOS!$1:$1,0))</f>
        <v>#N/A</v>
      </c>
      <c r="J67" s="279" t="e">
        <f ca="1">INDEX(RESULTADOS!$A:$BA,MATCH($A67,RESULTADOS!$A:$A,0),MATCH(J$1,RESULTADOS!$1:$1,0))</f>
        <v>#N/A</v>
      </c>
      <c r="K67" s="279" t="e">
        <f ca="1">INDEX(RESULTADOS!$A:$BA,MATCH($A67,RESULTADOS!$A:$A,0),MATCH(K$1,RESULTADOS!$1:$1,0))</f>
        <v>#N/A</v>
      </c>
      <c r="L67" s="278" t="e">
        <f t="shared" ca="1" si="7"/>
        <v>#N/A</v>
      </c>
    </row>
    <row r="68" spans="1:12" x14ac:dyDescent="0.2">
      <c r="A68" s="82">
        <f t="shared" ca="1" si="8"/>
        <v>43867</v>
      </c>
      <c r="B68" s="87"/>
      <c r="C68" s="87"/>
      <c r="D68" s="88"/>
      <c r="E68" s="208" t="e">
        <f ca="1">INDEX(RESULTADOS!$A:$BA,MATCH($A68,RESULTADOS!$A:$A,0),MATCH(E$1,RESULTADOS!$1:$1,0))</f>
        <v>#N/A</v>
      </c>
      <c r="F68" s="208" t="e">
        <f ca="1">INDEX(RESULTADOS!$A:$BA,MATCH($A68,RESULTADOS!$A:$A,0),MATCH(F$1,RESULTADOS!$1:$1,0))</f>
        <v>#N/A</v>
      </c>
      <c r="G68" s="230" t="e">
        <f t="shared" ca="1" si="5"/>
        <v>#N/A</v>
      </c>
      <c r="H68" s="230" t="e">
        <f t="shared" ca="1" si="6"/>
        <v>#N/A</v>
      </c>
      <c r="I68" s="279" t="e">
        <f ca="1">INDEX(RESULTADOS!$A:$BA,MATCH($A68,RESULTADOS!$A:$A,0),MATCH(I$1,RESULTADOS!$1:$1,0))</f>
        <v>#N/A</v>
      </c>
      <c r="J68" s="279" t="e">
        <f ca="1">INDEX(RESULTADOS!$A:$BA,MATCH($A68,RESULTADOS!$A:$A,0),MATCH(J$1,RESULTADOS!$1:$1,0))</f>
        <v>#N/A</v>
      </c>
      <c r="K68" s="279" t="e">
        <f ca="1">INDEX(RESULTADOS!$A:$BA,MATCH($A68,RESULTADOS!$A:$A,0),MATCH(K$1,RESULTADOS!$1:$1,0))</f>
        <v>#N/A</v>
      </c>
      <c r="L68" s="278" t="e">
        <f t="shared" ca="1" si="7"/>
        <v>#N/A</v>
      </c>
    </row>
    <row r="69" spans="1:12" x14ac:dyDescent="0.2">
      <c r="A69" s="49">
        <f t="shared" ca="1" si="8"/>
        <v>43868</v>
      </c>
      <c r="B69" s="53"/>
      <c r="C69" s="53"/>
      <c r="D69" s="52"/>
      <c r="E69" s="208" t="e">
        <f ca="1">INDEX(RESULTADOS!$A:$BA,MATCH($A69,RESULTADOS!$A:$A,0),MATCH(E$1,RESULTADOS!$1:$1,0))</f>
        <v>#N/A</v>
      </c>
      <c r="F69" s="208" t="e">
        <f ca="1">INDEX(RESULTADOS!$A:$BA,MATCH($A69,RESULTADOS!$A:$A,0),MATCH(F$1,RESULTADOS!$1:$1,0))</f>
        <v>#N/A</v>
      </c>
      <c r="G69" s="230" t="e">
        <f t="shared" ca="1" si="5"/>
        <v>#N/A</v>
      </c>
      <c r="H69" s="230" t="e">
        <f t="shared" ca="1" si="6"/>
        <v>#N/A</v>
      </c>
      <c r="I69" s="279" t="e">
        <f ca="1">INDEX(RESULTADOS!$A:$BA,MATCH($A69,RESULTADOS!$A:$A,0),MATCH(I$1,RESULTADOS!$1:$1,0))</f>
        <v>#N/A</v>
      </c>
      <c r="J69" s="279" t="e">
        <f ca="1">INDEX(RESULTADOS!$A:$BA,MATCH($A69,RESULTADOS!$A:$A,0),MATCH(J$1,RESULTADOS!$1:$1,0))</f>
        <v>#N/A</v>
      </c>
      <c r="K69" s="279" t="e">
        <f ca="1">INDEX(RESULTADOS!$A:$BA,MATCH($A69,RESULTADOS!$A:$A,0),MATCH(K$1,RESULTADOS!$1:$1,0))</f>
        <v>#N/A</v>
      </c>
      <c r="L69" s="278" t="e">
        <f t="shared" ca="1" si="7"/>
        <v>#N/A</v>
      </c>
    </row>
    <row r="70" spans="1:12" x14ac:dyDescent="0.2">
      <c r="A70" s="49">
        <f t="shared" ca="1" si="8"/>
        <v>43869</v>
      </c>
      <c r="B70" s="53"/>
      <c r="C70" s="53"/>
      <c r="D70" s="52"/>
      <c r="E70" s="208" t="e">
        <f ca="1">INDEX(RESULTADOS!$A:$BA,MATCH($A70,RESULTADOS!$A:$A,0),MATCH(E$1,RESULTADOS!$1:$1,0))</f>
        <v>#N/A</v>
      </c>
      <c r="F70" s="208" t="e">
        <f ca="1">INDEX(RESULTADOS!$A:$BA,MATCH($A70,RESULTADOS!$A:$A,0),MATCH(F$1,RESULTADOS!$1:$1,0))</f>
        <v>#N/A</v>
      </c>
      <c r="G70" s="230" t="e">
        <f t="shared" ca="1" si="5"/>
        <v>#N/A</v>
      </c>
      <c r="H70" s="230" t="e">
        <f t="shared" ca="1" si="6"/>
        <v>#N/A</v>
      </c>
      <c r="I70" s="279" t="e">
        <f ca="1">INDEX(RESULTADOS!$A:$BA,MATCH($A70,RESULTADOS!$A:$A,0),MATCH(I$1,RESULTADOS!$1:$1,0))</f>
        <v>#N/A</v>
      </c>
      <c r="J70" s="279" t="e">
        <f ca="1">INDEX(RESULTADOS!$A:$BA,MATCH($A70,RESULTADOS!$A:$A,0),MATCH(J$1,RESULTADOS!$1:$1,0))</f>
        <v>#N/A</v>
      </c>
      <c r="K70" s="279" t="e">
        <f ca="1">INDEX(RESULTADOS!$A:$BA,MATCH($A70,RESULTADOS!$A:$A,0),MATCH(K$1,RESULTADOS!$1:$1,0))</f>
        <v>#N/A</v>
      </c>
      <c r="L70" s="278" t="e">
        <f t="shared" ca="1" si="7"/>
        <v>#N/A</v>
      </c>
    </row>
    <row r="71" spans="1:12" x14ac:dyDescent="0.2">
      <c r="A71" s="49">
        <f t="shared" ca="1" si="8"/>
        <v>43870</v>
      </c>
      <c r="B71" s="53"/>
      <c r="C71" s="53"/>
      <c r="D71" s="52"/>
      <c r="E71" s="208" t="e">
        <f ca="1">INDEX(RESULTADOS!$A:$BA,MATCH($A71,RESULTADOS!$A:$A,0),MATCH(E$1,RESULTADOS!$1:$1,0))</f>
        <v>#N/A</v>
      </c>
      <c r="F71" s="208" t="e">
        <f ca="1">INDEX(RESULTADOS!$A:$BA,MATCH($A71,RESULTADOS!$A:$A,0),MATCH(F$1,RESULTADOS!$1:$1,0))</f>
        <v>#N/A</v>
      </c>
      <c r="G71" s="230" t="e">
        <f t="shared" ca="1" si="5"/>
        <v>#N/A</v>
      </c>
      <c r="H71" s="230" t="e">
        <f t="shared" ca="1" si="6"/>
        <v>#N/A</v>
      </c>
      <c r="I71" s="279" t="e">
        <f ca="1">INDEX(RESULTADOS!$A:$BA,MATCH($A71,RESULTADOS!$A:$A,0),MATCH(I$1,RESULTADOS!$1:$1,0))</f>
        <v>#N/A</v>
      </c>
      <c r="J71" s="279" t="e">
        <f ca="1">INDEX(RESULTADOS!$A:$BA,MATCH($A71,RESULTADOS!$A:$A,0),MATCH(J$1,RESULTADOS!$1:$1,0))</f>
        <v>#N/A</v>
      </c>
      <c r="K71" s="279" t="e">
        <f ca="1">INDEX(RESULTADOS!$A:$BA,MATCH($A71,RESULTADOS!$A:$A,0),MATCH(K$1,RESULTADOS!$1:$1,0))</f>
        <v>#N/A</v>
      </c>
      <c r="L71" s="278" t="e">
        <f t="shared" ca="1" si="7"/>
        <v>#N/A</v>
      </c>
    </row>
    <row r="72" spans="1:12" x14ac:dyDescent="0.2">
      <c r="A72" s="49">
        <f t="shared" ca="1" si="8"/>
        <v>43871</v>
      </c>
      <c r="B72" s="53"/>
      <c r="C72" s="53"/>
      <c r="D72" s="52"/>
      <c r="E72" s="208" t="e">
        <f ca="1">INDEX(RESULTADOS!$A:$BA,MATCH($A72,RESULTADOS!$A:$A,0),MATCH(E$1,RESULTADOS!$1:$1,0))</f>
        <v>#N/A</v>
      </c>
      <c r="F72" s="208" t="e">
        <f ca="1">INDEX(RESULTADOS!$A:$BA,MATCH($A72,RESULTADOS!$A:$A,0),MATCH(F$1,RESULTADOS!$1:$1,0))</f>
        <v>#N/A</v>
      </c>
      <c r="G72" s="230" t="e">
        <f t="shared" ref="G72:G80" ca="1" si="9">E72</f>
        <v>#N/A</v>
      </c>
      <c r="H72" s="230" t="e">
        <f t="shared" ref="H72:H80" ca="1" si="10">G72+F72</f>
        <v>#N/A</v>
      </c>
      <c r="I72" s="279" t="e">
        <f ca="1">INDEX(RESULTADOS!$A:$BA,MATCH($A72,RESULTADOS!$A:$A,0),MATCH(I$1,RESULTADOS!$1:$1,0))</f>
        <v>#N/A</v>
      </c>
      <c r="J72" s="279" t="e">
        <f ca="1">INDEX(RESULTADOS!$A:$BA,MATCH($A72,RESULTADOS!$A:$A,0),MATCH(J$1,RESULTADOS!$1:$1,0))</f>
        <v>#N/A</v>
      </c>
      <c r="K72" s="279" t="e">
        <f ca="1">INDEX(RESULTADOS!$A:$BA,MATCH($A72,RESULTADOS!$A:$A,0),MATCH(K$1,RESULTADOS!$1:$1,0))</f>
        <v>#N/A</v>
      </c>
      <c r="L72" s="278" t="e">
        <f t="shared" ca="1" si="7"/>
        <v>#N/A</v>
      </c>
    </row>
    <row r="73" spans="1:12" x14ac:dyDescent="0.2">
      <c r="A73" s="49">
        <f t="shared" ca="1" si="8"/>
        <v>43872</v>
      </c>
      <c r="B73" s="53"/>
      <c r="C73" s="53"/>
      <c r="D73" s="52"/>
      <c r="E73" s="208" t="e">
        <f ca="1">INDEX(RESULTADOS!$A:$BA,MATCH($A73,RESULTADOS!$A:$A,0),MATCH(E$1,RESULTADOS!$1:$1,0))</f>
        <v>#N/A</v>
      </c>
      <c r="F73" s="208" t="e">
        <f ca="1">INDEX(RESULTADOS!$A:$BA,MATCH($A73,RESULTADOS!$A:$A,0),MATCH(F$1,RESULTADOS!$1:$1,0))</f>
        <v>#N/A</v>
      </c>
      <c r="G73" s="230" t="e">
        <f t="shared" ca="1" si="9"/>
        <v>#N/A</v>
      </c>
      <c r="H73" s="230" t="e">
        <f t="shared" ca="1" si="10"/>
        <v>#N/A</v>
      </c>
      <c r="I73" s="279" t="e">
        <f ca="1">INDEX(RESULTADOS!$A:$BA,MATCH($A73,RESULTADOS!$A:$A,0),MATCH(I$1,RESULTADOS!$1:$1,0))</f>
        <v>#N/A</v>
      </c>
      <c r="J73" s="279" t="e">
        <f ca="1">INDEX(RESULTADOS!$A:$BA,MATCH($A73,RESULTADOS!$A:$A,0),MATCH(J$1,RESULTADOS!$1:$1,0))</f>
        <v>#N/A</v>
      </c>
      <c r="K73" s="279" t="e">
        <f ca="1">INDEX(RESULTADOS!$A:$BA,MATCH($A73,RESULTADOS!$A:$A,0),MATCH(K$1,RESULTADOS!$1:$1,0))</f>
        <v>#N/A</v>
      </c>
      <c r="L73" s="278" t="e">
        <f t="shared" ca="1" si="7"/>
        <v>#N/A</v>
      </c>
    </row>
    <row r="74" spans="1:12" x14ac:dyDescent="0.2">
      <c r="A74" s="91">
        <f t="shared" ca="1" si="8"/>
        <v>43873</v>
      </c>
      <c r="B74" s="92"/>
      <c r="C74" s="92"/>
      <c r="D74" s="93"/>
      <c r="E74" s="208" t="e">
        <f ca="1">INDEX(RESULTADOS!$A:$BA,MATCH($A74,RESULTADOS!$A:$A,0),MATCH(E$1,RESULTADOS!$1:$1,0))</f>
        <v>#N/A</v>
      </c>
      <c r="F74" s="208" t="e">
        <f ca="1">INDEX(RESULTADOS!$A:$BA,MATCH($A74,RESULTADOS!$A:$A,0),MATCH(F$1,RESULTADOS!$1:$1,0))</f>
        <v>#N/A</v>
      </c>
      <c r="G74" s="230" t="e">
        <f t="shared" ca="1" si="9"/>
        <v>#N/A</v>
      </c>
      <c r="H74" s="230" t="e">
        <f t="shared" ca="1" si="10"/>
        <v>#N/A</v>
      </c>
      <c r="I74" s="279" t="e">
        <f ca="1">INDEX(RESULTADOS!$A:$BA,MATCH($A74,RESULTADOS!$A:$A,0),MATCH(I$1,RESULTADOS!$1:$1,0))</f>
        <v>#N/A</v>
      </c>
      <c r="J74" s="279" t="e">
        <f ca="1">INDEX(RESULTADOS!$A:$BA,MATCH($A74,RESULTADOS!$A:$A,0),MATCH(J$1,RESULTADOS!$1:$1,0))</f>
        <v>#N/A</v>
      </c>
      <c r="K74" s="279" t="e">
        <f ca="1">INDEX(RESULTADOS!$A:$BA,MATCH($A74,RESULTADOS!$A:$A,0),MATCH(K$1,RESULTADOS!$1:$1,0))</f>
        <v>#N/A</v>
      </c>
      <c r="L74" s="278" t="e">
        <f t="shared" ca="1" si="7"/>
        <v>#N/A</v>
      </c>
    </row>
    <row r="75" spans="1:12" x14ac:dyDescent="0.2">
      <c r="A75" s="49">
        <f t="shared" ca="1" si="8"/>
        <v>43874</v>
      </c>
      <c r="B75" s="53"/>
      <c r="C75" s="53"/>
      <c r="D75" s="52"/>
      <c r="E75" s="208" t="e">
        <f ca="1">INDEX(RESULTADOS!$A:$BA,MATCH($A75,RESULTADOS!$A:$A,0),MATCH(E$1,RESULTADOS!$1:$1,0))</f>
        <v>#N/A</v>
      </c>
      <c r="F75" s="208" t="e">
        <f ca="1">INDEX(RESULTADOS!$A:$BA,MATCH($A75,RESULTADOS!$A:$A,0),MATCH(F$1,RESULTADOS!$1:$1,0))</f>
        <v>#N/A</v>
      </c>
      <c r="G75" s="230" t="e">
        <f t="shared" ca="1" si="9"/>
        <v>#N/A</v>
      </c>
      <c r="H75" s="230" t="e">
        <f t="shared" ca="1" si="10"/>
        <v>#N/A</v>
      </c>
      <c r="I75" s="279" t="e">
        <f ca="1">INDEX(RESULTADOS!$A:$BA,MATCH($A75,RESULTADOS!$A:$A,0),MATCH(I$1,RESULTADOS!$1:$1,0))</f>
        <v>#N/A</v>
      </c>
      <c r="J75" s="279" t="e">
        <f ca="1">INDEX(RESULTADOS!$A:$BA,MATCH($A75,RESULTADOS!$A:$A,0),MATCH(J$1,RESULTADOS!$1:$1,0))</f>
        <v>#N/A</v>
      </c>
      <c r="K75" s="279" t="e">
        <f ca="1">INDEX(RESULTADOS!$A:$BA,MATCH($A75,RESULTADOS!$A:$A,0),MATCH(K$1,RESULTADOS!$1:$1,0))</f>
        <v>#N/A</v>
      </c>
      <c r="L75" s="278" t="e">
        <f t="shared" ca="1" si="7"/>
        <v>#N/A</v>
      </c>
    </row>
    <row r="76" spans="1:12" x14ac:dyDescent="0.2">
      <c r="A76" s="49">
        <f t="shared" ca="1" si="8"/>
        <v>43875</v>
      </c>
      <c r="B76" s="53"/>
      <c r="C76" s="53"/>
      <c r="D76" s="52"/>
      <c r="E76" s="208" t="e">
        <f ca="1">INDEX(RESULTADOS!$A:$BA,MATCH($A76,RESULTADOS!$A:$A,0),MATCH(E$1,RESULTADOS!$1:$1,0))</f>
        <v>#N/A</v>
      </c>
      <c r="F76" s="208" t="e">
        <f ca="1">INDEX(RESULTADOS!$A:$BA,MATCH($A76,RESULTADOS!$A:$A,0),MATCH(F$1,RESULTADOS!$1:$1,0))</f>
        <v>#N/A</v>
      </c>
      <c r="G76" s="230" t="e">
        <f t="shared" ca="1" si="9"/>
        <v>#N/A</v>
      </c>
      <c r="H76" s="230" t="e">
        <f t="shared" ca="1" si="10"/>
        <v>#N/A</v>
      </c>
      <c r="I76" s="279" t="e">
        <f ca="1">INDEX(RESULTADOS!$A:$BA,MATCH($A76,RESULTADOS!$A:$A,0),MATCH(I$1,RESULTADOS!$1:$1,0))</f>
        <v>#N/A</v>
      </c>
      <c r="J76" s="279" t="e">
        <f ca="1">INDEX(RESULTADOS!$A:$BA,MATCH($A76,RESULTADOS!$A:$A,0),MATCH(J$1,RESULTADOS!$1:$1,0))</f>
        <v>#N/A</v>
      </c>
      <c r="K76" s="279" t="e">
        <f ca="1">INDEX(RESULTADOS!$A:$BA,MATCH($A76,RESULTADOS!$A:$A,0),MATCH(K$1,RESULTADOS!$1:$1,0))</f>
        <v>#N/A</v>
      </c>
      <c r="L76" s="278" t="e">
        <f t="shared" ca="1" si="7"/>
        <v>#N/A</v>
      </c>
    </row>
    <row r="77" spans="1:12" x14ac:dyDescent="0.2">
      <c r="A77" s="49">
        <f t="shared" ca="1" si="8"/>
        <v>43876</v>
      </c>
      <c r="B77" s="53"/>
      <c r="C77" s="53"/>
      <c r="D77" s="52"/>
      <c r="E77" s="208" t="e">
        <f ca="1">INDEX(RESULTADOS!$A:$BA,MATCH($A77,RESULTADOS!$A:$A,0),MATCH(E$1,RESULTADOS!$1:$1,0))</f>
        <v>#N/A</v>
      </c>
      <c r="F77" s="208" t="e">
        <f ca="1">INDEX(RESULTADOS!$A:$BA,MATCH($A77,RESULTADOS!$A:$A,0),MATCH(F$1,RESULTADOS!$1:$1,0))</f>
        <v>#N/A</v>
      </c>
      <c r="G77" s="230" t="e">
        <f t="shared" ca="1" si="9"/>
        <v>#N/A</v>
      </c>
      <c r="H77" s="230" t="e">
        <f t="shared" ca="1" si="10"/>
        <v>#N/A</v>
      </c>
      <c r="I77" s="279" t="e">
        <f ca="1">INDEX(RESULTADOS!$A:$BA,MATCH($A77,RESULTADOS!$A:$A,0),MATCH(I$1,RESULTADOS!$1:$1,0))</f>
        <v>#N/A</v>
      </c>
      <c r="J77" s="279" t="e">
        <f ca="1">INDEX(RESULTADOS!$A:$BA,MATCH($A77,RESULTADOS!$A:$A,0),MATCH(J$1,RESULTADOS!$1:$1,0))</f>
        <v>#N/A</v>
      </c>
      <c r="K77" s="279" t="e">
        <f ca="1">INDEX(RESULTADOS!$A:$BA,MATCH($A77,RESULTADOS!$A:$A,0),MATCH(K$1,RESULTADOS!$1:$1,0))</f>
        <v>#N/A</v>
      </c>
      <c r="L77" s="278" t="e">
        <f t="shared" ca="1" si="7"/>
        <v>#N/A</v>
      </c>
    </row>
    <row r="78" spans="1:12" x14ac:dyDescent="0.2">
      <c r="A78" s="49">
        <f t="shared" ca="1" si="8"/>
        <v>43877</v>
      </c>
      <c r="B78" s="53"/>
      <c r="C78" s="53"/>
      <c r="D78" s="52"/>
      <c r="E78" s="208" t="e">
        <f ca="1">INDEX(RESULTADOS!$A:$BA,MATCH($A78,RESULTADOS!$A:$A,0),MATCH(E$1,RESULTADOS!$1:$1,0))</f>
        <v>#N/A</v>
      </c>
      <c r="F78" s="208" t="e">
        <f ca="1">INDEX(RESULTADOS!$A:$BA,MATCH($A78,RESULTADOS!$A:$A,0),MATCH(F$1,RESULTADOS!$1:$1,0))</f>
        <v>#N/A</v>
      </c>
      <c r="G78" s="230" t="e">
        <f t="shared" ca="1" si="9"/>
        <v>#N/A</v>
      </c>
      <c r="H78" s="230" t="e">
        <f t="shared" ca="1" si="10"/>
        <v>#N/A</v>
      </c>
      <c r="I78" s="279" t="e">
        <f ca="1">INDEX(RESULTADOS!$A:$BA,MATCH($A78,RESULTADOS!$A:$A,0),MATCH(I$1,RESULTADOS!$1:$1,0))</f>
        <v>#N/A</v>
      </c>
      <c r="J78" s="279" t="e">
        <f ca="1">INDEX(RESULTADOS!$A:$BA,MATCH($A78,RESULTADOS!$A:$A,0),MATCH(J$1,RESULTADOS!$1:$1,0))</f>
        <v>#N/A</v>
      </c>
      <c r="K78" s="279" t="e">
        <f ca="1">INDEX(RESULTADOS!$A:$BA,MATCH($A78,RESULTADOS!$A:$A,0),MATCH(K$1,RESULTADOS!$1:$1,0))</f>
        <v>#N/A</v>
      </c>
      <c r="L78" s="278" t="e">
        <f t="shared" ca="1" si="7"/>
        <v>#N/A</v>
      </c>
    </row>
    <row r="79" spans="1:12" x14ac:dyDescent="0.2">
      <c r="A79" s="49">
        <f t="shared" ca="1" si="8"/>
        <v>43878</v>
      </c>
      <c r="B79" s="53"/>
      <c r="C79" s="53"/>
      <c r="D79" s="52"/>
      <c r="E79" s="208" t="e">
        <f ca="1">INDEX(RESULTADOS!$A:$BA,MATCH($A79,RESULTADOS!$A:$A,0),MATCH(E$1,RESULTADOS!$1:$1,0))</f>
        <v>#N/A</v>
      </c>
      <c r="F79" s="208" t="e">
        <f ca="1">INDEX(RESULTADOS!$A:$BA,MATCH($A79,RESULTADOS!$A:$A,0),MATCH(F$1,RESULTADOS!$1:$1,0))</f>
        <v>#N/A</v>
      </c>
      <c r="G79" s="230" t="e">
        <f t="shared" ca="1" si="9"/>
        <v>#N/A</v>
      </c>
      <c r="H79" s="230" t="e">
        <f t="shared" ca="1" si="10"/>
        <v>#N/A</v>
      </c>
      <c r="I79" s="279" t="e">
        <f ca="1">INDEX(RESULTADOS!$A:$BA,MATCH($A79,RESULTADOS!$A:$A,0),MATCH(I$1,RESULTADOS!$1:$1,0))</f>
        <v>#N/A</v>
      </c>
      <c r="J79" s="279" t="e">
        <f ca="1">INDEX(RESULTADOS!$A:$BA,MATCH($A79,RESULTADOS!$A:$A,0),MATCH(J$1,RESULTADOS!$1:$1,0))</f>
        <v>#N/A</v>
      </c>
      <c r="K79" s="279" t="e">
        <f ca="1">INDEX(RESULTADOS!$A:$BA,MATCH($A79,RESULTADOS!$A:$A,0),MATCH(K$1,RESULTADOS!$1:$1,0))</f>
        <v>#N/A</v>
      </c>
      <c r="L79" s="278" t="e">
        <f t="shared" ca="1" si="7"/>
        <v>#N/A</v>
      </c>
    </row>
    <row r="80" spans="1:12" x14ac:dyDescent="0.2">
      <c r="A80" s="49">
        <f t="shared" ca="1" si="8"/>
        <v>43879</v>
      </c>
      <c r="B80" s="53"/>
      <c r="C80" s="53"/>
      <c r="D80" s="52"/>
      <c r="E80" s="208" t="e">
        <f ca="1">INDEX(RESULTADOS!$A:$BA,MATCH($A80,RESULTADOS!$A:$A,0),MATCH(E$1,RESULTADOS!$1:$1,0))</f>
        <v>#N/A</v>
      </c>
      <c r="F80" s="208" t="e">
        <f ca="1">INDEX(RESULTADOS!$A:$BA,MATCH($A80,RESULTADOS!$A:$A,0),MATCH(F$1,RESULTADOS!$1:$1,0))</f>
        <v>#N/A</v>
      </c>
      <c r="G80" s="230" t="e">
        <f t="shared" ca="1" si="9"/>
        <v>#N/A</v>
      </c>
      <c r="H80" s="230" t="e">
        <f t="shared" ca="1" si="10"/>
        <v>#N/A</v>
      </c>
      <c r="I80" s="279" t="e">
        <f ca="1">INDEX(RESULTADOS!$A:$BA,MATCH($A80,RESULTADOS!$A:$A,0),MATCH(I$1,RESULTADOS!$1:$1,0))</f>
        <v>#N/A</v>
      </c>
      <c r="J80" s="279" t="e">
        <f ca="1">INDEX(RESULTADOS!$A:$BA,MATCH($A80,RESULTADOS!$A:$A,0),MATCH(J$1,RESULTADOS!$1:$1,0))</f>
        <v>#N/A</v>
      </c>
      <c r="K80" s="279" t="e">
        <f ca="1">INDEX(RESULTADOS!$A:$BA,MATCH($A80,RESULTADOS!$A:$A,0),MATCH(K$1,RESULTADOS!$1:$1,0))</f>
        <v>#N/A</v>
      </c>
      <c r="L80" s="278" t="e">
        <f t="shared" ca="1" si="7"/>
        <v>#N/A</v>
      </c>
    </row>
    <row r="81" spans="1:12" s="272" customFormat="1" x14ac:dyDescent="0.2">
      <c r="A81" s="273">
        <f t="shared" ca="1" si="8"/>
        <v>43880</v>
      </c>
      <c r="B81" s="53"/>
      <c r="C81" s="53"/>
      <c r="D81" s="52"/>
      <c r="E81" s="279" t="e">
        <f ca="1">INDEX(RESULTADOS!$A:$BA,MATCH($A81,RESULTADOS!$A:$A,0),MATCH(E$1,RESULTADOS!$1:$1,0))</f>
        <v>#N/A</v>
      </c>
      <c r="F81" s="279" t="e">
        <f ca="1">INDEX(RESULTADOS!$A:$BA,MATCH($A81,RESULTADOS!$A:$A,0),MATCH(F$1,RESULTADOS!$1:$1,0))</f>
        <v>#N/A</v>
      </c>
      <c r="G81" s="278" t="e">
        <f t="shared" ref="G81:G110" ca="1" si="11">E81</f>
        <v>#N/A</v>
      </c>
      <c r="H81" s="278" t="e">
        <f t="shared" ref="H81:H110" ca="1" si="12">G81+F81</f>
        <v>#N/A</v>
      </c>
      <c r="I81" s="279" t="e">
        <f ca="1">INDEX(RESULTADOS!$A:$BA,MATCH($A81,RESULTADOS!$A:$A,0),MATCH(I$1,RESULTADOS!$1:$1,0))</f>
        <v>#N/A</v>
      </c>
      <c r="J81" s="279" t="e">
        <f ca="1">INDEX(RESULTADOS!$A:$BA,MATCH($A81,RESULTADOS!$A:$A,0),MATCH(J$1,RESULTADOS!$1:$1,0))</f>
        <v>#N/A</v>
      </c>
      <c r="K81" s="279" t="e">
        <f ca="1">INDEX(RESULTADOS!$A:$BA,MATCH($A81,RESULTADOS!$A:$A,0),MATCH(K$1,RESULTADOS!$1:$1,0))</f>
        <v>#N/A</v>
      </c>
      <c r="L81" s="278" t="e">
        <f t="shared" ref="L81:L110" ca="1" si="13">I81</f>
        <v>#N/A</v>
      </c>
    </row>
    <row r="82" spans="1:12" s="272" customFormat="1" x14ac:dyDescent="0.2">
      <c r="A82" s="273">
        <f t="shared" ca="1" si="8"/>
        <v>43881</v>
      </c>
      <c r="B82" s="53"/>
      <c r="C82" s="53"/>
      <c r="D82" s="52"/>
      <c r="E82" s="279" t="e">
        <f ca="1">INDEX(RESULTADOS!$A:$BA,MATCH($A82,RESULTADOS!$A:$A,0),MATCH(E$1,RESULTADOS!$1:$1,0))</f>
        <v>#N/A</v>
      </c>
      <c r="F82" s="279" t="e">
        <f ca="1">INDEX(RESULTADOS!$A:$BA,MATCH($A82,RESULTADOS!$A:$A,0),MATCH(F$1,RESULTADOS!$1:$1,0))</f>
        <v>#N/A</v>
      </c>
      <c r="G82" s="278" t="e">
        <f t="shared" ca="1" si="11"/>
        <v>#N/A</v>
      </c>
      <c r="H82" s="278" t="e">
        <f t="shared" ca="1" si="12"/>
        <v>#N/A</v>
      </c>
      <c r="I82" s="279" t="e">
        <f ca="1">INDEX(RESULTADOS!$A:$BA,MATCH($A82,RESULTADOS!$A:$A,0),MATCH(I$1,RESULTADOS!$1:$1,0))</f>
        <v>#N/A</v>
      </c>
      <c r="J82" s="279" t="e">
        <f ca="1">INDEX(RESULTADOS!$A:$BA,MATCH($A82,RESULTADOS!$A:$A,0),MATCH(J$1,RESULTADOS!$1:$1,0))</f>
        <v>#N/A</v>
      </c>
      <c r="K82" s="279" t="e">
        <f ca="1">INDEX(RESULTADOS!$A:$BA,MATCH($A82,RESULTADOS!$A:$A,0),MATCH(K$1,RESULTADOS!$1:$1,0))</f>
        <v>#N/A</v>
      </c>
      <c r="L82" s="278" t="e">
        <f t="shared" ca="1" si="13"/>
        <v>#N/A</v>
      </c>
    </row>
    <row r="83" spans="1:12" s="272" customFormat="1" x14ac:dyDescent="0.2">
      <c r="A83" s="273">
        <f t="shared" ca="1" si="8"/>
        <v>43882</v>
      </c>
      <c r="B83" s="53"/>
      <c r="C83" s="53"/>
      <c r="D83" s="52"/>
      <c r="E83" s="279" t="e">
        <f ca="1">INDEX(RESULTADOS!$A:$BA,MATCH($A83,RESULTADOS!$A:$A,0),MATCH(E$1,RESULTADOS!$1:$1,0))</f>
        <v>#N/A</v>
      </c>
      <c r="F83" s="279" t="e">
        <f ca="1">INDEX(RESULTADOS!$A:$BA,MATCH($A83,RESULTADOS!$A:$A,0),MATCH(F$1,RESULTADOS!$1:$1,0))</f>
        <v>#N/A</v>
      </c>
      <c r="G83" s="278" t="e">
        <f t="shared" ca="1" si="11"/>
        <v>#N/A</v>
      </c>
      <c r="H83" s="278" t="e">
        <f t="shared" ca="1" si="12"/>
        <v>#N/A</v>
      </c>
      <c r="I83" s="279" t="e">
        <f ca="1">INDEX(RESULTADOS!$A:$BA,MATCH($A83,RESULTADOS!$A:$A,0),MATCH(I$1,RESULTADOS!$1:$1,0))</f>
        <v>#N/A</v>
      </c>
      <c r="J83" s="279" t="e">
        <f ca="1">INDEX(RESULTADOS!$A:$BA,MATCH($A83,RESULTADOS!$A:$A,0),MATCH(J$1,RESULTADOS!$1:$1,0))</f>
        <v>#N/A</v>
      </c>
      <c r="K83" s="279" t="e">
        <f ca="1">INDEX(RESULTADOS!$A:$BA,MATCH($A83,RESULTADOS!$A:$A,0),MATCH(K$1,RESULTADOS!$1:$1,0))</f>
        <v>#N/A</v>
      </c>
      <c r="L83" s="278" t="e">
        <f t="shared" ca="1" si="13"/>
        <v>#N/A</v>
      </c>
    </row>
    <row r="84" spans="1:12" s="272" customFormat="1" x14ac:dyDescent="0.2">
      <c r="A84" s="273">
        <f t="shared" ca="1" si="8"/>
        <v>43883</v>
      </c>
      <c r="B84" s="53"/>
      <c r="C84" s="53"/>
      <c r="D84" s="52"/>
      <c r="E84" s="279" t="e">
        <f ca="1">INDEX(RESULTADOS!$A:$BA,MATCH($A84,RESULTADOS!$A:$A,0),MATCH(E$1,RESULTADOS!$1:$1,0))</f>
        <v>#N/A</v>
      </c>
      <c r="F84" s="279" t="e">
        <f ca="1">INDEX(RESULTADOS!$A:$BA,MATCH($A84,RESULTADOS!$A:$A,0),MATCH(F$1,RESULTADOS!$1:$1,0))</f>
        <v>#N/A</v>
      </c>
      <c r="G84" s="278" t="e">
        <f t="shared" ca="1" si="11"/>
        <v>#N/A</v>
      </c>
      <c r="H84" s="278" t="e">
        <f t="shared" ca="1" si="12"/>
        <v>#N/A</v>
      </c>
      <c r="I84" s="279" t="e">
        <f ca="1">INDEX(RESULTADOS!$A:$BA,MATCH($A84,RESULTADOS!$A:$A,0),MATCH(I$1,RESULTADOS!$1:$1,0))</f>
        <v>#N/A</v>
      </c>
      <c r="J84" s="279" t="e">
        <f ca="1">INDEX(RESULTADOS!$A:$BA,MATCH($A84,RESULTADOS!$A:$A,0),MATCH(J$1,RESULTADOS!$1:$1,0))</f>
        <v>#N/A</v>
      </c>
      <c r="K84" s="279" t="e">
        <f ca="1">INDEX(RESULTADOS!$A:$BA,MATCH($A84,RESULTADOS!$A:$A,0),MATCH(K$1,RESULTADOS!$1:$1,0))</f>
        <v>#N/A</v>
      </c>
      <c r="L84" s="278" t="e">
        <f t="shared" ca="1" si="13"/>
        <v>#N/A</v>
      </c>
    </row>
    <row r="85" spans="1:12" s="272" customFormat="1" x14ac:dyDescent="0.2">
      <c r="A85" s="273">
        <f t="shared" ca="1" si="8"/>
        <v>43884</v>
      </c>
      <c r="B85" s="53"/>
      <c r="C85" s="53"/>
      <c r="D85" s="52"/>
      <c r="E85" s="279" t="e">
        <f ca="1">INDEX(RESULTADOS!$A:$BA,MATCH($A85,RESULTADOS!$A:$A,0),MATCH(E$1,RESULTADOS!$1:$1,0))</f>
        <v>#N/A</v>
      </c>
      <c r="F85" s="279" t="e">
        <f ca="1">INDEX(RESULTADOS!$A:$BA,MATCH($A85,RESULTADOS!$A:$A,0),MATCH(F$1,RESULTADOS!$1:$1,0))</f>
        <v>#N/A</v>
      </c>
      <c r="G85" s="278" t="e">
        <f t="shared" ca="1" si="11"/>
        <v>#N/A</v>
      </c>
      <c r="H85" s="278" t="e">
        <f t="shared" ca="1" si="12"/>
        <v>#N/A</v>
      </c>
      <c r="I85" s="279" t="e">
        <f ca="1">INDEX(RESULTADOS!$A:$BA,MATCH($A85,RESULTADOS!$A:$A,0),MATCH(I$1,RESULTADOS!$1:$1,0))</f>
        <v>#N/A</v>
      </c>
      <c r="J85" s="279" t="e">
        <f ca="1">INDEX(RESULTADOS!$A:$BA,MATCH($A85,RESULTADOS!$A:$A,0),MATCH(J$1,RESULTADOS!$1:$1,0))</f>
        <v>#N/A</v>
      </c>
      <c r="K85" s="279" t="e">
        <f ca="1">INDEX(RESULTADOS!$A:$BA,MATCH($A85,RESULTADOS!$A:$A,0),MATCH(K$1,RESULTADOS!$1:$1,0))</f>
        <v>#N/A</v>
      </c>
      <c r="L85" s="278" t="e">
        <f t="shared" ca="1" si="13"/>
        <v>#N/A</v>
      </c>
    </row>
    <row r="86" spans="1:12" s="272" customFormat="1" x14ac:dyDescent="0.2">
      <c r="A86" s="273">
        <f t="shared" ca="1" si="8"/>
        <v>43885</v>
      </c>
      <c r="B86" s="53"/>
      <c r="C86" s="53"/>
      <c r="D86" s="52"/>
      <c r="E86" s="279" t="e">
        <f ca="1">INDEX(RESULTADOS!$A:$BA,MATCH($A86,RESULTADOS!$A:$A,0),MATCH(E$1,RESULTADOS!$1:$1,0))</f>
        <v>#N/A</v>
      </c>
      <c r="F86" s="279" t="e">
        <f ca="1">INDEX(RESULTADOS!$A:$BA,MATCH($A86,RESULTADOS!$A:$A,0),MATCH(F$1,RESULTADOS!$1:$1,0))</f>
        <v>#N/A</v>
      </c>
      <c r="G86" s="278" t="e">
        <f t="shared" ca="1" si="11"/>
        <v>#N/A</v>
      </c>
      <c r="H86" s="278" t="e">
        <f t="shared" ca="1" si="12"/>
        <v>#N/A</v>
      </c>
      <c r="I86" s="279" t="e">
        <f ca="1">INDEX(RESULTADOS!$A:$BA,MATCH($A86,RESULTADOS!$A:$A,0),MATCH(I$1,RESULTADOS!$1:$1,0))</f>
        <v>#N/A</v>
      </c>
      <c r="J86" s="279" t="e">
        <f ca="1">INDEX(RESULTADOS!$A:$BA,MATCH($A86,RESULTADOS!$A:$A,0),MATCH(J$1,RESULTADOS!$1:$1,0))</f>
        <v>#N/A</v>
      </c>
      <c r="K86" s="279" t="e">
        <f ca="1">INDEX(RESULTADOS!$A:$BA,MATCH($A86,RESULTADOS!$A:$A,0),MATCH(K$1,RESULTADOS!$1:$1,0))</f>
        <v>#N/A</v>
      </c>
      <c r="L86" s="278" t="e">
        <f t="shared" ca="1" si="13"/>
        <v>#N/A</v>
      </c>
    </row>
    <row r="87" spans="1:12" s="272" customFormat="1" x14ac:dyDescent="0.2">
      <c r="A87" s="273">
        <f t="shared" ca="1" si="8"/>
        <v>43886</v>
      </c>
      <c r="B87" s="53"/>
      <c r="C87" s="53"/>
      <c r="D87" s="52"/>
      <c r="E87" s="279" t="e">
        <f ca="1">INDEX(RESULTADOS!$A:$BA,MATCH($A87,RESULTADOS!$A:$A,0),MATCH(E$1,RESULTADOS!$1:$1,0))</f>
        <v>#N/A</v>
      </c>
      <c r="F87" s="279" t="e">
        <f ca="1">INDEX(RESULTADOS!$A:$BA,MATCH($A87,RESULTADOS!$A:$A,0),MATCH(F$1,RESULTADOS!$1:$1,0))</f>
        <v>#N/A</v>
      </c>
      <c r="G87" s="278" t="e">
        <f t="shared" ca="1" si="11"/>
        <v>#N/A</v>
      </c>
      <c r="H87" s="278" t="e">
        <f t="shared" ca="1" si="12"/>
        <v>#N/A</v>
      </c>
      <c r="I87" s="279" t="e">
        <f ca="1">INDEX(RESULTADOS!$A:$BA,MATCH($A87,RESULTADOS!$A:$A,0),MATCH(I$1,RESULTADOS!$1:$1,0))</f>
        <v>#N/A</v>
      </c>
      <c r="J87" s="279" t="e">
        <f ca="1">INDEX(RESULTADOS!$A:$BA,MATCH($A87,RESULTADOS!$A:$A,0),MATCH(J$1,RESULTADOS!$1:$1,0))</f>
        <v>#N/A</v>
      </c>
      <c r="K87" s="279" t="e">
        <f ca="1">INDEX(RESULTADOS!$A:$BA,MATCH($A87,RESULTADOS!$A:$A,0),MATCH(K$1,RESULTADOS!$1:$1,0))</f>
        <v>#N/A</v>
      </c>
      <c r="L87" s="278" t="e">
        <f t="shared" ca="1" si="13"/>
        <v>#N/A</v>
      </c>
    </row>
    <row r="88" spans="1:12" s="272" customFormat="1" x14ac:dyDescent="0.2">
      <c r="A88" s="273">
        <f t="shared" ca="1" si="8"/>
        <v>43887</v>
      </c>
      <c r="B88" s="53"/>
      <c r="C88" s="53"/>
      <c r="D88" s="52"/>
      <c r="E88" s="279" t="e">
        <f ca="1">INDEX(RESULTADOS!$A:$BA,MATCH($A88,RESULTADOS!$A:$A,0),MATCH(E$1,RESULTADOS!$1:$1,0))</f>
        <v>#N/A</v>
      </c>
      <c r="F88" s="279" t="e">
        <f ca="1">INDEX(RESULTADOS!$A:$BA,MATCH($A88,RESULTADOS!$A:$A,0),MATCH(F$1,RESULTADOS!$1:$1,0))</f>
        <v>#N/A</v>
      </c>
      <c r="G88" s="278" t="e">
        <f t="shared" ca="1" si="11"/>
        <v>#N/A</v>
      </c>
      <c r="H88" s="278" t="e">
        <f t="shared" ca="1" si="12"/>
        <v>#N/A</v>
      </c>
      <c r="I88" s="279" t="e">
        <f ca="1">INDEX(RESULTADOS!$A:$BA,MATCH($A88,RESULTADOS!$A:$A,0),MATCH(I$1,RESULTADOS!$1:$1,0))</f>
        <v>#N/A</v>
      </c>
      <c r="J88" s="279" t="e">
        <f ca="1">INDEX(RESULTADOS!$A:$BA,MATCH($A88,RESULTADOS!$A:$A,0),MATCH(J$1,RESULTADOS!$1:$1,0))</f>
        <v>#N/A</v>
      </c>
      <c r="K88" s="279" t="e">
        <f ca="1">INDEX(RESULTADOS!$A:$BA,MATCH($A88,RESULTADOS!$A:$A,0),MATCH(K$1,RESULTADOS!$1:$1,0))</f>
        <v>#N/A</v>
      </c>
      <c r="L88" s="278" t="e">
        <f t="shared" ca="1" si="13"/>
        <v>#N/A</v>
      </c>
    </row>
    <row r="89" spans="1:12" s="272" customFormat="1" x14ac:dyDescent="0.2">
      <c r="A89" s="273">
        <f t="shared" ca="1" si="8"/>
        <v>43888</v>
      </c>
      <c r="B89" s="53"/>
      <c r="C89" s="53"/>
      <c r="D89" s="52"/>
      <c r="E89" s="279" t="e">
        <f ca="1">INDEX(RESULTADOS!$A:$BA,MATCH($A89,RESULTADOS!$A:$A,0),MATCH(E$1,RESULTADOS!$1:$1,0))</f>
        <v>#N/A</v>
      </c>
      <c r="F89" s="279" t="e">
        <f ca="1">INDEX(RESULTADOS!$A:$BA,MATCH($A89,RESULTADOS!$A:$A,0),MATCH(F$1,RESULTADOS!$1:$1,0))</f>
        <v>#N/A</v>
      </c>
      <c r="G89" s="278" t="e">
        <f t="shared" ca="1" si="11"/>
        <v>#N/A</v>
      </c>
      <c r="H89" s="278" t="e">
        <f t="shared" ca="1" si="12"/>
        <v>#N/A</v>
      </c>
      <c r="I89" s="279" t="e">
        <f ca="1">INDEX(RESULTADOS!$A:$BA,MATCH($A89,RESULTADOS!$A:$A,0),MATCH(I$1,RESULTADOS!$1:$1,0))</f>
        <v>#N/A</v>
      </c>
      <c r="J89" s="279" t="e">
        <f ca="1">INDEX(RESULTADOS!$A:$BA,MATCH($A89,RESULTADOS!$A:$A,0),MATCH(J$1,RESULTADOS!$1:$1,0))</f>
        <v>#N/A</v>
      </c>
      <c r="K89" s="279" t="e">
        <f ca="1">INDEX(RESULTADOS!$A:$BA,MATCH($A89,RESULTADOS!$A:$A,0),MATCH(K$1,RESULTADOS!$1:$1,0))</f>
        <v>#N/A</v>
      </c>
      <c r="L89" s="278" t="e">
        <f t="shared" ca="1" si="13"/>
        <v>#N/A</v>
      </c>
    </row>
    <row r="90" spans="1:12" s="272" customFormat="1" x14ac:dyDescent="0.2">
      <c r="A90" s="273">
        <f t="shared" ca="1" si="8"/>
        <v>43889</v>
      </c>
      <c r="B90" s="53"/>
      <c r="C90" s="53"/>
      <c r="D90" s="52"/>
      <c r="E90" s="279" t="e">
        <f ca="1">INDEX(RESULTADOS!$A:$BA,MATCH($A90,RESULTADOS!$A:$A,0),MATCH(E$1,RESULTADOS!$1:$1,0))</f>
        <v>#N/A</v>
      </c>
      <c r="F90" s="279" t="e">
        <f ca="1">INDEX(RESULTADOS!$A:$BA,MATCH($A90,RESULTADOS!$A:$A,0),MATCH(F$1,RESULTADOS!$1:$1,0))</f>
        <v>#N/A</v>
      </c>
      <c r="G90" s="278" t="e">
        <f t="shared" ca="1" si="11"/>
        <v>#N/A</v>
      </c>
      <c r="H90" s="278" t="e">
        <f t="shared" ca="1" si="12"/>
        <v>#N/A</v>
      </c>
      <c r="I90" s="279" t="e">
        <f ca="1">INDEX(RESULTADOS!$A:$BA,MATCH($A90,RESULTADOS!$A:$A,0),MATCH(I$1,RESULTADOS!$1:$1,0))</f>
        <v>#N/A</v>
      </c>
      <c r="J90" s="279" t="e">
        <f ca="1">INDEX(RESULTADOS!$A:$BA,MATCH($A90,RESULTADOS!$A:$A,0),MATCH(J$1,RESULTADOS!$1:$1,0))</f>
        <v>#N/A</v>
      </c>
      <c r="K90" s="279" t="e">
        <f ca="1">INDEX(RESULTADOS!$A:$BA,MATCH($A90,RESULTADOS!$A:$A,0),MATCH(K$1,RESULTADOS!$1:$1,0))</f>
        <v>#N/A</v>
      </c>
      <c r="L90" s="278" t="e">
        <f t="shared" ca="1" si="13"/>
        <v>#N/A</v>
      </c>
    </row>
    <row r="91" spans="1:12" s="272" customFormat="1" x14ac:dyDescent="0.2">
      <c r="A91" s="273">
        <f t="shared" ca="1" si="8"/>
        <v>43890</v>
      </c>
      <c r="B91" s="53"/>
      <c r="C91" s="53"/>
      <c r="D91" s="52"/>
      <c r="E91" s="279" t="e">
        <f ca="1">INDEX(RESULTADOS!$A:$BA,MATCH($A91,RESULTADOS!$A:$A,0),MATCH(E$1,RESULTADOS!$1:$1,0))</f>
        <v>#N/A</v>
      </c>
      <c r="F91" s="279" t="e">
        <f ca="1">INDEX(RESULTADOS!$A:$BA,MATCH($A91,RESULTADOS!$A:$A,0),MATCH(F$1,RESULTADOS!$1:$1,0))</f>
        <v>#N/A</v>
      </c>
      <c r="G91" s="278" t="e">
        <f t="shared" ca="1" si="11"/>
        <v>#N/A</v>
      </c>
      <c r="H91" s="278" t="e">
        <f t="shared" ca="1" si="12"/>
        <v>#N/A</v>
      </c>
      <c r="I91" s="279" t="e">
        <f ca="1">INDEX(RESULTADOS!$A:$BA,MATCH($A91,RESULTADOS!$A:$A,0),MATCH(I$1,RESULTADOS!$1:$1,0))</f>
        <v>#N/A</v>
      </c>
      <c r="J91" s="279" t="e">
        <f ca="1">INDEX(RESULTADOS!$A:$BA,MATCH($A91,RESULTADOS!$A:$A,0),MATCH(J$1,RESULTADOS!$1:$1,0))</f>
        <v>#N/A</v>
      </c>
      <c r="K91" s="279" t="e">
        <f ca="1">INDEX(RESULTADOS!$A:$BA,MATCH($A91,RESULTADOS!$A:$A,0),MATCH(K$1,RESULTADOS!$1:$1,0))</f>
        <v>#N/A</v>
      </c>
      <c r="L91" s="278" t="e">
        <f t="shared" ca="1" si="13"/>
        <v>#N/A</v>
      </c>
    </row>
    <row r="92" spans="1:12" s="272" customFormat="1" x14ac:dyDescent="0.2">
      <c r="A92" s="273">
        <f t="shared" ca="1" si="8"/>
        <v>43891</v>
      </c>
      <c r="B92" s="53"/>
      <c r="C92" s="53"/>
      <c r="D92" s="52"/>
      <c r="E92" s="279" t="e">
        <f ca="1">INDEX(RESULTADOS!$A:$BA,MATCH($A92,RESULTADOS!$A:$A,0),MATCH(E$1,RESULTADOS!$1:$1,0))</f>
        <v>#N/A</v>
      </c>
      <c r="F92" s="279" t="e">
        <f ca="1">INDEX(RESULTADOS!$A:$BA,MATCH($A92,RESULTADOS!$A:$A,0),MATCH(F$1,RESULTADOS!$1:$1,0))</f>
        <v>#N/A</v>
      </c>
      <c r="G92" s="278" t="e">
        <f t="shared" ca="1" si="11"/>
        <v>#N/A</v>
      </c>
      <c r="H92" s="278" t="e">
        <f t="shared" ca="1" si="12"/>
        <v>#N/A</v>
      </c>
      <c r="I92" s="279" t="e">
        <f ca="1">INDEX(RESULTADOS!$A:$BA,MATCH($A92,RESULTADOS!$A:$A,0),MATCH(I$1,RESULTADOS!$1:$1,0))</f>
        <v>#N/A</v>
      </c>
      <c r="J92" s="279" t="e">
        <f ca="1">INDEX(RESULTADOS!$A:$BA,MATCH($A92,RESULTADOS!$A:$A,0),MATCH(J$1,RESULTADOS!$1:$1,0))</f>
        <v>#N/A</v>
      </c>
      <c r="K92" s="279" t="e">
        <f ca="1">INDEX(RESULTADOS!$A:$BA,MATCH($A92,RESULTADOS!$A:$A,0),MATCH(K$1,RESULTADOS!$1:$1,0))</f>
        <v>#N/A</v>
      </c>
      <c r="L92" s="278" t="e">
        <f t="shared" ca="1" si="13"/>
        <v>#N/A</v>
      </c>
    </row>
    <row r="93" spans="1:12" s="272" customFormat="1" x14ac:dyDescent="0.2">
      <c r="A93" s="273">
        <f t="shared" ca="1" si="8"/>
        <v>43892</v>
      </c>
      <c r="B93" s="53"/>
      <c r="C93" s="53"/>
      <c r="D93" s="52"/>
      <c r="E93" s="279" t="e">
        <f ca="1">INDEX(RESULTADOS!$A:$BA,MATCH($A93,RESULTADOS!$A:$A,0),MATCH(E$1,RESULTADOS!$1:$1,0))</f>
        <v>#N/A</v>
      </c>
      <c r="F93" s="279" t="e">
        <f ca="1">INDEX(RESULTADOS!$A:$BA,MATCH($A93,RESULTADOS!$A:$A,0),MATCH(F$1,RESULTADOS!$1:$1,0))</f>
        <v>#N/A</v>
      </c>
      <c r="G93" s="278" t="e">
        <f t="shared" ca="1" si="11"/>
        <v>#N/A</v>
      </c>
      <c r="H93" s="278" t="e">
        <f t="shared" ca="1" si="12"/>
        <v>#N/A</v>
      </c>
      <c r="I93" s="279" t="e">
        <f ca="1">INDEX(RESULTADOS!$A:$BA,MATCH($A93,RESULTADOS!$A:$A,0),MATCH(I$1,RESULTADOS!$1:$1,0))</f>
        <v>#N/A</v>
      </c>
      <c r="J93" s="279" t="e">
        <f ca="1">INDEX(RESULTADOS!$A:$BA,MATCH($A93,RESULTADOS!$A:$A,0),MATCH(J$1,RESULTADOS!$1:$1,0))</f>
        <v>#N/A</v>
      </c>
      <c r="K93" s="279" t="e">
        <f ca="1">INDEX(RESULTADOS!$A:$BA,MATCH($A93,RESULTADOS!$A:$A,0),MATCH(K$1,RESULTADOS!$1:$1,0))</f>
        <v>#N/A</v>
      </c>
      <c r="L93" s="278" t="e">
        <f t="shared" ca="1" si="13"/>
        <v>#N/A</v>
      </c>
    </row>
    <row r="94" spans="1:12" s="272" customFormat="1" x14ac:dyDescent="0.2">
      <c r="A94" s="273">
        <f t="shared" ca="1" si="8"/>
        <v>43893</v>
      </c>
      <c r="B94" s="53"/>
      <c r="C94" s="53"/>
      <c r="D94" s="52"/>
      <c r="E94" s="279" t="e">
        <f ca="1">INDEX(RESULTADOS!$A:$BA,MATCH($A94,RESULTADOS!$A:$A,0),MATCH(E$1,RESULTADOS!$1:$1,0))</f>
        <v>#N/A</v>
      </c>
      <c r="F94" s="279" t="e">
        <f ca="1">INDEX(RESULTADOS!$A:$BA,MATCH($A94,RESULTADOS!$A:$A,0),MATCH(F$1,RESULTADOS!$1:$1,0))</f>
        <v>#N/A</v>
      </c>
      <c r="G94" s="278" t="e">
        <f t="shared" ca="1" si="11"/>
        <v>#N/A</v>
      </c>
      <c r="H94" s="278" t="e">
        <f t="shared" ca="1" si="12"/>
        <v>#N/A</v>
      </c>
      <c r="I94" s="279" t="e">
        <f ca="1">INDEX(RESULTADOS!$A:$BA,MATCH($A94,RESULTADOS!$A:$A,0),MATCH(I$1,RESULTADOS!$1:$1,0))</f>
        <v>#N/A</v>
      </c>
      <c r="J94" s="279" t="e">
        <f ca="1">INDEX(RESULTADOS!$A:$BA,MATCH($A94,RESULTADOS!$A:$A,0),MATCH(J$1,RESULTADOS!$1:$1,0))</f>
        <v>#N/A</v>
      </c>
      <c r="K94" s="279" t="e">
        <f ca="1">INDEX(RESULTADOS!$A:$BA,MATCH($A94,RESULTADOS!$A:$A,0),MATCH(K$1,RESULTADOS!$1:$1,0))</f>
        <v>#N/A</v>
      </c>
      <c r="L94" s="278" t="e">
        <f t="shared" ca="1" si="13"/>
        <v>#N/A</v>
      </c>
    </row>
    <row r="95" spans="1:12" s="272" customFormat="1" x14ac:dyDescent="0.2">
      <c r="A95" s="273">
        <f t="shared" ca="1" si="8"/>
        <v>43894</v>
      </c>
      <c r="B95" s="53"/>
      <c r="C95" s="53"/>
      <c r="D95" s="52"/>
      <c r="E95" s="279" t="e">
        <f ca="1">INDEX(RESULTADOS!$A:$BA,MATCH($A95,RESULTADOS!$A:$A,0),MATCH(E$1,RESULTADOS!$1:$1,0))</f>
        <v>#N/A</v>
      </c>
      <c r="F95" s="279" t="e">
        <f ca="1">INDEX(RESULTADOS!$A:$BA,MATCH($A95,RESULTADOS!$A:$A,0),MATCH(F$1,RESULTADOS!$1:$1,0))</f>
        <v>#N/A</v>
      </c>
      <c r="G95" s="278" t="e">
        <f t="shared" ca="1" si="11"/>
        <v>#N/A</v>
      </c>
      <c r="H95" s="278" t="e">
        <f t="shared" ca="1" si="12"/>
        <v>#N/A</v>
      </c>
      <c r="I95" s="279" t="e">
        <f ca="1">INDEX(RESULTADOS!$A:$BA,MATCH($A95,RESULTADOS!$A:$A,0),MATCH(I$1,RESULTADOS!$1:$1,0))</f>
        <v>#N/A</v>
      </c>
      <c r="J95" s="279" t="e">
        <f ca="1">INDEX(RESULTADOS!$A:$BA,MATCH($A95,RESULTADOS!$A:$A,0),MATCH(J$1,RESULTADOS!$1:$1,0))</f>
        <v>#N/A</v>
      </c>
      <c r="K95" s="279" t="e">
        <f ca="1">INDEX(RESULTADOS!$A:$BA,MATCH($A95,RESULTADOS!$A:$A,0),MATCH(K$1,RESULTADOS!$1:$1,0))</f>
        <v>#N/A</v>
      </c>
      <c r="L95" s="278" t="e">
        <f t="shared" ca="1" si="13"/>
        <v>#N/A</v>
      </c>
    </row>
    <row r="96" spans="1:12" s="272" customFormat="1" x14ac:dyDescent="0.2">
      <c r="A96" s="273">
        <f t="shared" ca="1" si="8"/>
        <v>43895</v>
      </c>
      <c r="B96" s="53"/>
      <c r="C96" s="53"/>
      <c r="D96" s="52"/>
      <c r="E96" s="279" t="e">
        <f ca="1">INDEX(RESULTADOS!$A:$BA,MATCH($A96,RESULTADOS!$A:$A,0),MATCH(E$1,RESULTADOS!$1:$1,0))</f>
        <v>#N/A</v>
      </c>
      <c r="F96" s="279" t="e">
        <f ca="1">INDEX(RESULTADOS!$A:$BA,MATCH($A96,RESULTADOS!$A:$A,0),MATCH(F$1,RESULTADOS!$1:$1,0))</f>
        <v>#N/A</v>
      </c>
      <c r="G96" s="278" t="e">
        <f t="shared" ca="1" si="11"/>
        <v>#N/A</v>
      </c>
      <c r="H96" s="278" t="e">
        <f t="shared" ca="1" si="12"/>
        <v>#N/A</v>
      </c>
      <c r="I96" s="279" t="e">
        <f ca="1">INDEX(RESULTADOS!$A:$BA,MATCH($A96,RESULTADOS!$A:$A,0),MATCH(I$1,RESULTADOS!$1:$1,0))</f>
        <v>#N/A</v>
      </c>
      <c r="J96" s="279" t="e">
        <f ca="1">INDEX(RESULTADOS!$A:$BA,MATCH($A96,RESULTADOS!$A:$A,0),MATCH(J$1,RESULTADOS!$1:$1,0))</f>
        <v>#N/A</v>
      </c>
      <c r="K96" s="279" t="e">
        <f ca="1">INDEX(RESULTADOS!$A:$BA,MATCH($A96,RESULTADOS!$A:$A,0),MATCH(K$1,RESULTADOS!$1:$1,0))</f>
        <v>#N/A</v>
      </c>
      <c r="L96" s="278" t="e">
        <f t="shared" ca="1" si="13"/>
        <v>#N/A</v>
      </c>
    </row>
    <row r="97" spans="1:12" s="272" customFormat="1" x14ac:dyDescent="0.2">
      <c r="A97" s="273">
        <f t="shared" ca="1" si="8"/>
        <v>43896</v>
      </c>
      <c r="B97" s="53"/>
      <c r="C97" s="53"/>
      <c r="D97" s="52"/>
      <c r="E97" s="279" t="e">
        <f ca="1">INDEX(RESULTADOS!$A:$BA,MATCH($A97,RESULTADOS!$A:$A,0),MATCH(E$1,RESULTADOS!$1:$1,0))</f>
        <v>#N/A</v>
      </c>
      <c r="F97" s="279" t="e">
        <f ca="1">INDEX(RESULTADOS!$A:$BA,MATCH($A97,RESULTADOS!$A:$A,0),MATCH(F$1,RESULTADOS!$1:$1,0))</f>
        <v>#N/A</v>
      </c>
      <c r="G97" s="278" t="e">
        <f t="shared" ca="1" si="11"/>
        <v>#N/A</v>
      </c>
      <c r="H97" s="278" t="e">
        <f t="shared" ca="1" si="12"/>
        <v>#N/A</v>
      </c>
      <c r="I97" s="279" t="e">
        <f ca="1">INDEX(RESULTADOS!$A:$BA,MATCH($A97,RESULTADOS!$A:$A,0),MATCH(I$1,RESULTADOS!$1:$1,0))</f>
        <v>#N/A</v>
      </c>
      <c r="J97" s="279" t="e">
        <f ca="1">INDEX(RESULTADOS!$A:$BA,MATCH($A97,RESULTADOS!$A:$A,0),MATCH(J$1,RESULTADOS!$1:$1,0))</f>
        <v>#N/A</v>
      </c>
      <c r="K97" s="279" t="e">
        <f ca="1">INDEX(RESULTADOS!$A:$BA,MATCH($A97,RESULTADOS!$A:$A,0),MATCH(K$1,RESULTADOS!$1:$1,0))</f>
        <v>#N/A</v>
      </c>
      <c r="L97" s="278" t="e">
        <f t="shared" ca="1" si="13"/>
        <v>#N/A</v>
      </c>
    </row>
    <row r="98" spans="1:12" s="272" customFormat="1" x14ac:dyDescent="0.2">
      <c r="A98" s="273">
        <f t="shared" ca="1" si="8"/>
        <v>43897</v>
      </c>
      <c r="B98" s="53"/>
      <c r="C98" s="53"/>
      <c r="D98" s="52"/>
      <c r="E98" s="279" t="e">
        <f ca="1">INDEX(RESULTADOS!$A:$BA,MATCH($A98,RESULTADOS!$A:$A,0),MATCH(E$1,RESULTADOS!$1:$1,0))</f>
        <v>#N/A</v>
      </c>
      <c r="F98" s="279" t="e">
        <f ca="1">INDEX(RESULTADOS!$A:$BA,MATCH($A98,RESULTADOS!$A:$A,0),MATCH(F$1,RESULTADOS!$1:$1,0))</f>
        <v>#N/A</v>
      </c>
      <c r="G98" s="278" t="e">
        <f t="shared" ca="1" si="11"/>
        <v>#N/A</v>
      </c>
      <c r="H98" s="278" t="e">
        <f t="shared" ca="1" si="12"/>
        <v>#N/A</v>
      </c>
      <c r="I98" s="279" t="e">
        <f ca="1">INDEX(RESULTADOS!$A:$BA,MATCH($A98,RESULTADOS!$A:$A,0),MATCH(I$1,RESULTADOS!$1:$1,0))</f>
        <v>#N/A</v>
      </c>
      <c r="J98" s="279" t="e">
        <f ca="1">INDEX(RESULTADOS!$A:$BA,MATCH($A98,RESULTADOS!$A:$A,0),MATCH(J$1,RESULTADOS!$1:$1,0))</f>
        <v>#N/A</v>
      </c>
      <c r="K98" s="279" t="e">
        <f ca="1">INDEX(RESULTADOS!$A:$BA,MATCH($A98,RESULTADOS!$A:$A,0),MATCH(K$1,RESULTADOS!$1:$1,0))</f>
        <v>#N/A</v>
      </c>
      <c r="L98" s="278" t="e">
        <f t="shared" ca="1" si="13"/>
        <v>#N/A</v>
      </c>
    </row>
    <row r="99" spans="1:12" s="272" customFormat="1" x14ac:dyDescent="0.2">
      <c r="A99" s="273">
        <f t="shared" ca="1" si="8"/>
        <v>43898</v>
      </c>
      <c r="B99" s="53"/>
      <c r="C99" s="53"/>
      <c r="D99" s="52"/>
      <c r="E99" s="279" t="e">
        <f ca="1">INDEX(RESULTADOS!$A:$BA,MATCH($A99,RESULTADOS!$A:$A,0),MATCH(E$1,RESULTADOS!$1:$1,0))</f>
        <v>#N/A</v>
      </c>
      <c r="F99" s="279" t="e">
        <f ca="1">INDEX(RESULTADOS!$A:$BA,MATCH($A99,RESULTADOS!$A:$A,0),MATCH(F$1,RESULTADOS!$1:$1,0))</f>
        <v>#N/A</v>
      </c>
      <c r="G99" s="278" t="e">
        <f t="shared" ca="1" si="11"/>
        <v>#N/A</v>
      </c>
      <c r="H99" s="278" t="e">
        <f t="shared" ca="1" si="12"/>
        <v>#N/A</v>
      </c>
      <c r="I99" s="279" t="e">
        <f ca="1">INDEX(RESULTADOS!$A:$BA,MATCH($A99,RESULTADOS!$A:$A,0),MATCH(I$1,RESULTADOS!$1:$1,0))</f>
        <v>#N/A</v>
      </c>
      <c r="J99" s="279" t="e">
        <f ca="1">INDEX(RESULTADOS!$A:$BA,MATCH($A99,RESULTADOS!$A:$A,0),MATCH(J$1,RESULTADOS!$1:$1,0))</f>
        <v>#N/A</v>
      </c>
      <c r="K99" s="279" t="e">
        <f ca="1">INDEX(RESULTADOS!$A:$BA,MATCH($A99,RESULTADOS!$A:$A,0),MATCH(K$1,RESULTADOS!$1:$1,0))</f>
        <v>#N/A</v>
      </c>
      <c r="L99" s="278" t="e">
        <f t="shared" ca="1" si="13"/>
        <v>#N/A</v>
      </c>
    </row>
    <row r="100" spans="1:12" s="272" customFormat="1" x14ac:dyDescent="0.2">
      <c r="A100" s="273">
        <f t="shared" ca="1" si="8"/>
        <v>43899</v>
      </c>
      <c r="B100" s="53"/>
      <c r="C100" s="53"/>
      <c r="D100" s="52"/>
      <c r="E100" s="279" t="e">
        <f ca="1">INDEX(RESULTADOS!$A:$BA,MATCH($A100,RESULTADOS!$A:$A,0),MATCH(E$1,RESULTADOS!$1:$1,0))</f>
        <v>#N/A</v>
      </c>
      <c r="F100" s="279" t="e">
        <f ca="1">INDEX(RESULTADOS!$A:$BA,MATCH($A100,RESULTADOS!$A:$A,0),MATCH(F$1,RESULTADOS!$1:$1,0))</f>
        <v>#N/A</v>
      </c>
      <c r="G100" s="278" t="e">
        <f t="shared" ca="1" si="11"/>
        <v>#N/A</v>
      </c>
      <c r="H100" s="278" t="e">
        <f t="shared" ca="1" si="12"/>
        <v>#N/A</v>
      </c>
      <c r="I100" s="279" t="e">
        <f ca="1">INDEX(RESULTADOS!$A:$BA,MATCH($A100,RESULTADOS!$A:$A,0),MATCH(I$1,RESULTADOS!$1:$1,0))</f>
        <v>#N/A</v>
      </c>
      <c r="J100" s="279" t="e">
        <f ca="1">INDEX(RESULTADOS!$A:$BA,MATCH($A100,RESULTADOS!$A:$A,0),MATCH(J$1,RESULTADOS!$1:$1,0))</f>
        <v>#N/A</v>
      </c>
      <c r="K100" s="279" t="e">
        <f ca="1">INDEX(RESULTADOS!$A:$BA,MATCH($A100,RESULTADOS!$A:$A,0),MATCH(K$1,RESULTADOS!$1:$1,0))</f>
        <v>#N/A</v>
      </c>
      <c r="L100" s="278" t="e">
        <f t="shared" ca="1" si="13"/>
        <v>#N/A</v>
      </c>
    </row>
    <row r="101" spans="1:12" s="272" customFormat="1" x14ac:dyDescent="0.2">
      <c r="A101" s="273">
        <f t="shared" ca="1" si="8"/>
        <v>43900</v>
      </c>
      <c r="B101" s="53"/>
      <c r="C101" s="53"/>
      <c r="D101" s="52"/>
      <c r="E101" s="279" t="e">
        <f ca="1">INDEX(RESULTADOS!$A:$BA,MATCH($A101,RESULTADOS!$A:$A,0),MATCH(E$1,RESULTADOS!$1:$1,0))</f>
        <v>#N/A</v>
      </c>
      <c r="F101" s="279" t="e">
        <f ca="1">INDEX(RESULTADOS!$A:$BA,MATCH($A101,RESULTADOS!$A:$A,0),MATCH(F$1,RESULTADOS!$1:$1,0))</f>
        <v>#N/A</v>
      </c>
      <c r="G101" s="278" t="e">
        <f t="shared" ca="1" si="11"/>
        <v>#N/A</v>
      </c>
      <c r="H101" s="278" t="e">
        <f t="shared" ca="1" si="12"/>
        <v>#N/A</v>
      </c>
      <c r="I101" s="279" t="e">
        <f ca="1">INDEX(RESULTADOS!$A:$BA,MATCH($A101,RESULTADOS!$A:$A,0),MATCH(I$1,RESULTADOS!$1:$1,0))</f>
        <v>#N/A</v>
      </c>
      <c r="J101" s="279" t="e">
        <f ca="1">INDEX(RESULTADOS!$A:$BA,MATCH($A101,RESULTADOS!$A:$A,0),MATCH(J$1,RESULTADOS!$1:$1,0))</f>
        <v>#N/A</v>
      </c>
      <c r="K101" s="279" t="e">
        <f ca="1">INDEX(RESULTADOS!$A:$BA,MATCH($A101,RESULTADOS!$A:$A,0),MATCH(K$1,RESULTADOS!$1:$1,0))</f>
        <v>#N/A</v>
      </c>
      <c r="L101" s="278" t="e">
        <f t="shared" ca="1" si="13"/>
        <v>#N/A</v>
      </c>
    </row>
    <row r="102" spans="1:12" s="272" customFormat="1" x14ac:dyDescent="0.2">
      <c r="A102" s="273">
        <f t="shared" ca="1" si="8"/>
        <v>43901</v>
      </c>
      <c r="B102" s="53"/>
      <c r="C102" s="53"/>
      <c r="D102" s="52"/>
      <c r="E102" s="279" t="e">
        <f ca="1">INDEX(RESULTADOS!$A:$BA,MATCH($A102,RESULTADOS!$A:$A,0),MATCH(E$1,RESULTADOS!$1:$1,0))</f>
        <v>#N/A</v>
      </c>
      <c r="F102" s="279" t="e">
        <f ca="1">INDEX(RESULTADOS!$A:$BA,MATCH($A102,RESULTADOS!$A:$A,0),MATCH(F$1,RESULTADOS!$1:$1,0))</f>
        <v>#N/A</v>
      </c>
      <c r="G102" s="278" t="e">
        <f t="shared" ca="1" si="11"/>
        <v>#N/A</v>
      </c>
      <c r="H102" s="278" t="e">
        <f t="shared" ca="1" si="12"/>
        <v>#N/A</v>
      </c>
      <c r="I102" s="279" t="e">
        <f ca="1">INDEX(RESULTADOS!$A:$BA,MATCH($A102,RESULTADOS!$A:$A,0),MATCH(I$1,RESULTADOS!$1:$1,0))</f>
        <v>#N/A</v>
      </c>
      <c r="J102" s="279" t="e">
        <f ca="1">INDEX(RESULTADOS!$A:$BA,MATCH($A102,RESULTADOS!$A:$A,0),MATCH(J$1,RESULTADOS!$1:$1,0))</f>
        <v>#N/A</v>
      </c>
      <c r="K102" s="279" t="e">
        <f ca="1">INDEX(RESULTADOS!$A:$BA,MATCH($A102,RESULTADOS!$A:$A,0),MATCH(K$1,RESULTADOS!$1:$1,0))</f>
        <v>#N/A</v>
      </c>
      <c r="L102" s="278" t="e">
        <f t="shared" ca="1" si="13"/>
        <v>#N/A</v>
      </c>
    </row>
    <row r="103" spans="1:12" s="272" customFormat="1" x14ac:dyDescent="0.2">
      <c r="A103" s="273">
        <f t="shared" ca="1" si="8"/>
        <v>43902</v>
      </c>
      <c r="B103" s="53"/>
      <c r="C103" s="53"/>
      <c r="D103" s="52"/>
      <c r="E103" s="279" t="e">
        <f ca="1">INDEX(RESULTADOS!$A:$BA,MATCH($A103,RESULTADOS!$A:$A,0),MATCH(E$1,RESULTADOS!$1:$1,0))</f>
        <v>#N/A</v>
      </c>
      <c r="F103" s="279" t="e">
        <f ca="1">INDEX(RESULTADOS!$A:$BA,MATCH($A103,RESULTADOS!$A:$A,0),MATCH(F$1,RESULTADOS!$1:$1,0))</f>
        <v>#N/A</v>
      </c>
      <c r="G103" s="278" t="e">
        <f t="shared" ca="1" si="11"/>
        <v>#N/A</v>
      </c>
      <c r="H103" s="278" t="e">
        <f t="shared" ca="1" si="12"/>
        <v>#N/A</v>
      </c>
      <c r="I103" s="279" t="e">
        <f ca="1">INDEX(RESULTADOS!$A:$BA,MATCH($A103,RESULTADOS!$A:$A,0),MATCH(I$1,RESULTADOS!$1:$1,0))</f>
        <v>#N/A</v>
      </c>
      <c r="J103" s="279" t="e">
        <f ca="1">INDEX(RESULTADOS!$A:$BA,MATCH($A103,RESULTADOS!$A:$A,0),MATCH(J$1,RESULTADOS!$1:$1,0))</f>
        <v>#N/A</v>
      </c>
      <c r="K103" s="279" t="e">
        <f ca="1">INDEX(RESULTADOS!$A:$BA,MATCH($A103,RESULTADOS!$A:$A,0),MATCH(K$1,RESULTADOS!$1:$1,0))</f>
        <v>#N/A</v>
      </c>
      <c r="L103" s="278" t="e">
        <f t="shared" ca="1" si="13"/>
        <v>#N/A</v>
      </c>
    </row>
    <row r="104" spans="1:12" s="272" customFormat="1" x14ac:dyDescent="0.2">
      <c r="A104" s="273">
        <f t="shared" ref="A104:A110" ca="1" si="14">A103+1</f>
        <v>43903</v>
      </c>
      <c r="B104" s="53"/>
      <c r="C104" s="53"/>
      <c r="D104" s="52"/>
      <c r="E104" s="279" t="e">
        <f ca="1">INDEX(RESULTADOS!$A:$BA,MATCH($A104,RESULTADOS!$A:$A,0),MATCH(E$1,RESULTADOS!$1:$1,0))</f>
        <v>#N/A</v>
      </c>
      <c r="F104" s="279" t="e">
        <f ca="1">INDEX(RESULTADOS!$A:$BA,MATCH($A104,RESULTADOS!$A:$A,0),MATCH(F$1,RESULTADOS!$1:$1,0))</f>
        <v>#N/A</v>
      </c>
      <c r="G104" s="278" t="e">
        <f t="shared" ca="1" si="11"/>
        <v>#N/A</v>
      </c>
      <c r="H104" s="278" t="e">
        <f t="shared" ca="1" si="12"/>
        <v>#N/A</v>
      </c>
      <c r="I104" s="279" t="e">
        <f ca="1">INDEX(RESULTADOS!$A:$BA,MATCH($A104,RESULTADOS!$A:$A,0),MATCH(I$1,RESULTADOS!$1:$1,0))</f>
        <v>#N/A</v>
      </c>
      <c r="J104" s="279" t="e">
        <f ca="1">INDEX(RESULTADOS!$A:$BA,MATCH($A104,RESULTADOS!$A:$A,0),MATCH(J$1,RESULTADOS!$1:$1,0))</f>
        <v>#N/A</v>
      </c>
      <c r="K104" s="279" t="e">
        <f ca="1">INDEX(RESULTADOS!$A:$BA,MATCH($A104,RESULTADOS!$A:$A,0),MATCH(K$1,RESULTADOS!$1:$1,0))</f>
        <v>#N/A</v>
      </c>
      <c r="L104" s="278" t="e">
        <f t="shared" ca="1" si="13"/>
        <v>#N/A</v>
      </c>
    </row>
    <row r="105" spans="1:12" s="272" customFormat="1" x14ac:dyDescent="0.2">
      <c r="A105" s="273">
        <f t="shared" ca="1" si="14"/>
        <v>43904</v>
      </c>
      <c r="B105" s="53"/>
      <c r="C105" s="53"/>
      <c r="D105" s="52"/>
      <c r="E105" s="279" t="e">
        <f ca="1">INDEX(RESULTADOS!$A:$BA,MATCH($A105,RESULTADOS!$A:$A,0),MATCH(E$1,RESULTADOS!$1:$1,0))</f>
        <v>#N/A</v>
      </c>
      <c r="F105" s="279" t="e">
        <f ca="1">INDEX(RESULTADOS!$A:$BA,MATCH($A105,RESULTADOS!$A:$A,0),MATCH(F$1,RESULTADOS!$1:$1,0))</f>
        <v>#N/A</v>
      </c>
      <c r="G105" s="278" t="e">
        <f t="shared" ca="1" si="11"/>
        <v>#N/A</v>
      </c>
      <c r="H105" s="278" t="e">
        <f t="shared" ca="1" si="12"/>
        <v>#N/A</v>
      </c>
      <c r="I105" s="279" t="e">
        <f ca="1">INDEX(RESULTADOS!$A:$BA,MATCH($A105,RESULTADOS!$A:$A,0),MATCH(I$1,RESULTADOS!$1:$1,0))</f>
        <v>#N/A</v>
      </c>
      <c r="J105" s="279" t="e">
        <f ca="1">INDEX(RESULTADOS!$A:$BA,MATCH($A105,RESULTADOS!$A:$A,0),MATCH(J$1,RESULTADOS!$1:$1,0))</f>
        <v>#N/A</v>
      </c>
      <c r="K105" s="279" t="e">
        <f ca="1">INDEX(RESULTADOS!$A:$BA,MATCH($A105,RESULTADOS!$A:$A,0),MATCH(K$1,RESULTADOS!$1:$1,0))</f>
        <v>#N/A</v>
      </c>
      <c r="L105" s="278" t="e">
        <f t="shared" ca="1" si="13"/>
        <v>#N/A</v>
      </c>
    </row>
    <row r="106" spans="1:12" s="272" customFormat="1" x14ac:dyDescent="0.2">
      <c r="A106" s="273">
        <f t="shared" ca="1" si="14"/>
        <v>43905</v>
      </c>
      <c r="B106" s="53"/>
      <c r="C106" s="53"/>
      <c r="D106" s="52"/>
      <c r="E106" s="279" t="e">
        <f ca="1">INDEX(RESULTADOS!$A:$BA,MATCH($A106,RESULTADOS!$A:$A,0),MATCH(E$1,RESULTADOS!$1:$1,0))</f>
        <v>#N/A</v>
      </c>
      <c r="F106" s="279" t="e">
        <f ca="1">INDEX(RESULTADOS!$A:$BA,MATCH($A106,RESULTADOS!$A:$A,0),MATCH(F$1,RESULTADOS!$1:$1,0))</f>
        <v>#N/A</v>
      </c>
      <c r="G106" s="278" t="e">
        <f t="shared" ca="1" si="11"/>
        <v>#N/A</v>
      </c>
      <c r="H106" s="278" t="e">
        <f t="shared" ca="1" si="12"/>
        <v>#N/A</v>
      </c>
      <c r="I106" s="279" t="e">
        <f ca="1">INDEX(RESULTADOS!$A:$BA,MATCH($A106,RESULTADOS!$A:$A,0),MATCH(I$1,RESULTADOS!$1:$1,0))</f>
        <v>#N/A</v>
      </c>
      <c r="J106" s="279" t="e">
        <f ca="1">INDEX(RESULTADOS!$A:$BA,MATCH($A106,RESULTADOS!$A:$A,0),MATCH(J$1,RESULTADOS!$1:$1,0))</f>
        <v>#N/A</v>
      </c>
      <c r="K106" s="279" t="e">
        <f ca="1">INDEX(RESULTADOS!$A:$BA,MATCH($A106,RESULTADOS!$A:$A,0),MATCH(K$1,RESULTADOS!$1:$1,0))</f>
        <v>#N/A</v>
      </c>
      <c r="L106" s="278" t="e">
        <f t="shared" ca="1" si="13"/>
        <v>#N/A</v>
      </c>
    </row>
    <row r="107" spans="1:12" s="272" customFormat="1" x14ac:dyDescent="0.2">
      <c r="A107" s="273">
        <f t="shared" ca="1" si="14"/>
        <v>43906</v>
      </c>
      <c r="B107" s="53"/>
      <c r="C107" s="53"/>
      <c r="D107" s="52"/>
      <c r="E107" s="279" t="e">
        <f ca="1">INDEX(RESULTADOS!$A:$BA,MATCH($A107,RESULTADOS!$A:$A,0),MATCH(E$1,RESULTADOS!$1:$1,0))</f>
        <v>#N/A</v>
      </c>
      <c r="F107" s="279" t="e">
        <f ca="1">INDEX(RESULTADOS!$A:$BA,MATCH($A107,RESULTADOS!$A:$A,0),MATCH(F$1,RESULTADOS!$1:$1,0))</f>
        <v>#N/A</v>
      </c>
      <c r="G107" s="278" t="e">
        <f t="shared" ca="1" si="11"/>
        <v>#N/A</v>
      </c>
      <c r="H107" s="278" t="e">
        <f t="shared" ca="1" si="12"/>
        <v>#N/A</v>
      </c>
      <c r="I107" s="279" t="e">
        <f ca="1">INDEX(RESULTADOS!$A:$BA,MATCH($A107,RESULTADOS!$A:$A,0),MATCH(I$1,RESULTADOS!$1:$1,0))</f>
        <v>#N/A</v>
      </c>
      <c r="J107" s="279" t="e">
        <f ca="1">INDEX(RESULTADOS!$A:$BA,MATCH($A107,RESULTADOS!$A:$A,0),MATCH(J$1,RESULTADOS!$1:$1,0))</f>
        <v>#N/A</v>
      </c>
      <c r="K107" s="279" t="e">
        <f ca="1">INDEX(RESULTADOS!$A:$BA,MATCH($A107,RESULTADOS!$A:$A,0),MATCH(K$1,RESULTADOS!$1:$1,0))</f>
        <v>#N/A</v>
      </c>
      <c r="L107" s="278" t="e">
        <f t="shared" ca="1" si="13"/>
        <v>#N/A</v>
      </c>
    </row>
    <row r="108" spans="1:12" s="272" customFormat="1" x14ac:dyDescent="0.2">
      <c r="A108" s="273">
        <f t="shared" ca="1" si="14"/>
        <v>43907</v>
      </c>
      <c r="B108" s="53"/>
      <c r="C108" s="53"/>
      <c r="D108" s="52"/>
      <c r="E108" s="279" t="e">
        <f ca="1">INDEX(RESULTADOS!$A:$BA,MATCH($A108,RESULTADOS!$A:$A,0),MATCH(E$1,RESULTADOS!$1:$1,0))</f>
        <v>#N/A</v>
      </c>
      <c r="F108" s="279" t="e">
        <f ca="1">INDEX(RESULTADOS!$A:$BA,MATCH($A108,RESULTADOS!$A:$A,0),MATCH(F$1,RESULTADOS!$1:$1,0))</f>
        <v>#N/A</v>
      </c>
      <c r="G108" s="278" t="e">
        <f t="shared" ca="1" si="11"/>
        <v>#N/A</v>
      </c>
      <c r="H108" s="278" t="e">
        <f t="shared" ca="1" si="12"/>
        <v>#N/A</v>
      </c>
      <c r="I108" s="279" t="e">
        <f ca="1">INDEX(RESULTADOS!$A:$BA,MATCH($A108,RESULTADOS!$A:$A,0),MATCH(I$1,RESULTADOS!$1:$1,0))</f>
        <v>#N/A</v>
      </c>
      <c r="J108" s="279" t="e">
        <f ca="1">INDEX(RESULTADOS!$A:$BA,MATCH($A108,RESULTADOS!$A:$A,0),MATCH(J$1,RESULTADOS!$1:$1,0))</f>
        <v>#N/A</v>
      </c>
      <c r="K108" s="279" t="e">
        <f ca="1">INDEX(RESULTADOS!$A:$BA,MATCH($A108,RESULTADOS!$A:$A,0),MATCH(K$1,RESULTADOS!$1:$1,0))</f>
        <v>#N/A</v>
      </c>
      <c r="L108" s="278" t="e">
        <f t="shared" ca="1" si="13"/>
        <v>#N/A</v>
      </c>
    </row>
    <row r="109" spans="1:12" s="272" customFormat="1" x14ac:dyDescent="0.2">
      <c r="A109" s="273">
        <f t="shared" ca="1" si="14"/>
        <v>43908</v>
      </c>
      <c r="B109" s="53"/>
      <c r="C109" s="53"/>
      <c r="D109" s="52"/>
      <c r="E109" s="279" t="e">
        <f ca="1">INDEX(RESULTADOS!$A:$BA,MATCH($A109,RESULTADOS!$A:$A,0),MATCH(E$1,RESULTADOS!$1:$1,0))</f>
        <v>#N/A</v>
      </c>
      <c r="F109" s="279" t="e">
        <f ca="1">INDEX(RESULTADOS!$A:$BA,MATCH($A109,RESULTADOS!$A:$A,0),MATCH(F$1,RESULTADOS!$1:$1,0))</f>
        <v>#N/A</v>
      </c>
      <c r="G109" s="278" t="e">
        <f t="shared" ca="1" si="11"/>
        <v>#N/A</v>
      </c>
      <c r="H109" s="278" t="e">
        <f t="shared" ca="1" si="12"/>
        <v>#N/A</v>
      </c>
      <c r="I109" s="279" t="e">
        <f ca="1">INDEX(RESULTADOS!$A:$BA,MATCH($A109,RESULTADOS!$A:$A,0),MATCH(I$1,RESULTADOS!$1:$1,0))</f>
        <v>#N/A</v>
      </c>
      <c r="J109" s="279" t="e">
        <f ca="1">INDEX(RESULTADOS!$A:$BA,MATCH($A109,RESULTADOS!$A:$A,0),MATCH(J$1,RESULTADOS!$1:$1,0))</f>
        <v>#N/A</v>
      </c>
      <c r="K109" s="279" t="e">
        <f ca="1">INDEX(RESULTADOS!$A:$BA,MATCH($A109,RESULTADOS!$A:$A,0),MATCH(K$1,RESULTADOS!$1:$1,0))</f>
        <v>#N/A</v>
      </c>
      <c r="L109" s="278" t="e">
        <f t="shared" ca="1" si="13"/>
        <v>#N/A</v>
      </c>
    </row>
    <row r="110" spans="1:12" s="272" customFormat="1" x14ac:dyDescent="0.2">
      <c r="A110" s="273">
        <f t="shared" ca="1" si="14"/>
        <v>43909</v>
      </c>
      <c r="B110" s="53"/>
      <c r="C110" s="53"/>
      <c r="D110" s="52"/>
      <c r="E110" s="279" t="e">
        <f ca="1">INDEX(RESULTADOS!$A:$BA,MATCH($A110,RESULTADOS!$A:$A,0),MATCH(E$1,RESULTADOS!$1:$1,0))</f>
        <v>#N/A</v>
      </c>
      <c r="F110" s="279" t="e">
        <f ca="1">INDEX(RESULTADOS!$A:$BA,MATCH($A110,RESULTADOS!$A:$A,0),MATCH(F$1,RESULTADOS!$1:$1,0))</f>
        <v>#N/A</v>
      </c>
      <c r="G110" s="278" t="e">
        <f t="shared" ca="1" si="11"/>
        <v>#N/A</v>
      </c>
      <c r="H110" s="278" t="e">
        <f t="shared" ca="1" si="12"/>
        <v>#N/A</v>
      </c>
      <c r="I110" s="279" t="e">
        <f ca="1">INDEX(RESULTADOS!$A:$BA,MATCH($A110,RESULTADOS!$A:$A,0),MATCH(I$1,RESULTADOS!$1:$1,0))</f>
        <v>#N/A</v>
      </c>
      <c r="J110" s="279" t="e">
        <f ca="1">INDEX(RESULTADOS!$A:$BA,MATCH($A110,RESULTADOS!$A:$A,0),MATCH(J$1,RESULTADOS!$1:$1,0))</f>
        <v>#N/A</v>
      </c>
      <c r="K110" s="279" t="e">
        <f ca="1">INDEX(RESULTADOS!$A:$BA,MATCH($A110,RESULTADOS!$A:$A,0),MATCH(K$1,RESULTADOS!$1:$1,0))</f>
        <v>#N/A</v>
      </c>
      <c r="L110" s="278" t="e">
        <f t="shared" ca="1" si="13"/>
        <v>#N/A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9CCD-7440-431A-99F3-43478744E2FC}">
  <sheetPr codeName="Plan10">
    <tabColor theme="6"/>
  </sheetPr>
  <dimension ref="A1:C110"/>
  <sheetViews>
    <sheetView workbookViewId="0">
      <pane xSplit="1" ySplit="6" topLeftCell="B81" activePane="bottomRight" state="frozen"/>
      <selection pane="topRight" activeCell="B1" sqref="B1"/>
      <selection pane="bottomLeft" activeCell="A7" sqref="A7"/>
      <selection pane="bottomRight" activeCell="A80" sqref="A80:XFD110"/>
    </sheetView>
  </sheetViews>
  <sheetFormatPr defaultRowHeight="12.75" x14ac:dyDescent="0.2"/>
  <cols>
    <col min="1" max="1" width="10.85546875" style="229" bestFit="1" customWidth="1"/>
    <col min="2" max="2" width="13.28515625" style="229" bestFit="1" customWidth="1"/>
    <col min="3" max="16384" width="9.140625" style="229"/>
  </cols>
  <sheetData>
    <row r="1" spans="1:3" x14ac:dyDescent="0.2">
      <c r="B1" s="229" t="s">
        <v>161</v>
      </c>
    </row>
    <row r="2" spans="1:3" x14ac:dyDescent="0.2">
      <c r="A2" s="229" t="s">
        <v>1</v>
      </c>
      <c r="B2" s="229">
        <v>270</v>
      </c>
    </row>
    <row r="3" spans="1:3" x14ac:dyDescent="0.2">
      <c r="A3" s="48" t="s">
        <v>2</v>
      </c>
      <c r="B3" s="127"/>
    </row>
    <row r="4" spans="1:3" x14ac:dyDescent="0.2">
      <c r="A4" s="229" t="s">
        <v>4</v>
      </c>
      <c r="B4" s="127"/>
    </row>
    <row r="5" spans="1:3" x14ac:dyDescent="0.2">
      <c r="B5" s="127" t="s">
        <v>6</v>
      </c>
    </row>
    <row r="6" spans="1:3" x14ac:dyDescent="0.2">
      <c r="B6" s="127" t="str">
        <f t="shared" ref="B6" si="0">CONCATENATE(B2,"_",B5)</f>
        <v>270_VNA</v>
      </c>
    </row>
    <row r="7" spans="1:3" x14ac:dyDescent="0.2">
      <c r="A7" s="49">
        <f t="shared" ref="A7:A36" ca="1" si="1">A8-1</f>
        <v>43806</v>
      </c>
      <c r="B7" s="288">
        <f ca="1">SUMPRODUCT((TABELA_VAZAO[Posto]=B$2)*1,(TABELA_VAZAO[Data]=$A7)*1,TABELA_VAZAO[qnat])</f>
        <v>0</v>
      </c>
    </row>
    <row r="8" spans="1:3" x14ac:dyDescent="0.2">
      <c r="A8" s="49">
        <f t="shared" ca="1" si="1"/>
        <v>43807</v>
      </c>
      <c r="B8" s="288">
        <f ca="1">SUMPRODUCT((TABELA_VAZAO[Posto]=B$2)*1,(TABELA_VAZAO[Data]=$A8)*1,TABELA_VAZAO[qnat])</f>
        <v>0</v>
      </c>
    </row>
    <row r="9" spans="1:3" x14ac:dyDescent="0.2">
      <c r="A9" s="49">
        <f t="shared" ca="1" si="1"/>
        <v>43808</v>
      </c>
      <c r="B9" s="288">
        <f ca="1">SUMPRODUCT((TABELA_VAZAO[Posto]=B$2)*1,(TABELA_VAZAO[Data]=$A9)*1,TABELA_VAZAO[qnat])</f>
        <v>0</v>
      </c>
    </row>
    <row r="10" spans="1:3" x14ac:dyDescent="0.2">
      <c r="A10" s="49">
        <f t="shared" ca="1" si="1"/>
        <v>43809</v>
      </c>
      <c r="B10" s="288">
        <f ca="1">SUMPRODUCT((TABELA_VAZAO[Posto]=B$2)*1,(TABELA_VAZAO[Data]=$A10)*1,TABELA_VAZAO[qnat])</f>
        <v>0</v>
      </c>
    </row>
    <row r="11" spans="1:3" x14ac:dyDescent="0.2">
      <c r="A11" s="49">
        <f t="shared" ca="1" si="1"/>
        <v>43810</v>
      </c>
      <c r="B11" s="288">
        <f ca="1">SUMPRODUCT((TABELA_VAZAO[Posto]=B$2)*1,(TABELA_VAZAO[Data]=$A11)*1,TABELA_VAZAO[qnat])</f>
        <v>0</v>
      </c>
    </row>
    <row r="12" spans="1:3" x14ac:dyDescent="0.2">
      <c r="A12" s="82">
        <f t="shared" ca="1" si="1"/>
        <v>43811</v>
      </c>
      <c r="B12" s="288">
        <f ca="1">SUMPRODUCT((TABELA_VAZAO[Posto]=B$2)*1,(TABELA_VAZAO[Data]=$A12)*1,TABELA_VAZAO[qnat])</f>
        <v>0</v>
      </c>
      <c r="C12" s="85"/>
    </row>
    <row r="13" spans="1:3" x14ac:dyDescent="0.2">
      <c r="A13" s="49">
        <f t="shared" ca="1" si="1"/>
        <v>43812</v>
      </c>
      <c r="B13" s="288">
        <f ca="1">SUMPRODUCT((TABELA_VAZAO[Posto]=B$2)*1,(TABELA_VAZAO[Data]=$A13)*1,TABELA_VAZAO[qnat])</f>
        <v>0</v>
      </c>
    </row>
    <row r="14" spans="1:3" x14ac:dyDescent="0.2">
      <c r="A14" s="49">
        <f t="shared" ca="1" si="1"/>
        <v>43813</v>
      </c>
      <c r="B14" s="288">
        <f ca="1">SUMPRODUCT((TABELA_VAZAO[Posto]=B$2)*1,(TABELA_VAZAO[Data]=$A14)*1,TABELA_VAZAO[qnat])</f>
        <v>0</v>
      </c>
    </row>
    <row r="15" spans="1:3" x14ac:dyDescent="0.2">
      <c r="A15" s="49">
        <f t="shared" ca="1" si="1"/>
        <v>43814</v>
      </c>
      <c r="B15" s="288">
        <f ca="1">SUMPRODUCT((TABELA_VAZAO[Posto]=B$2)*1,(TABELA_VAZAO[Data]=$A15)*1,TABELA_VAZAO[qnat])</f>
        <v>0</v>
      </c>
    </row>
    <row r="16" spans="1:3" x14ac:dyDescent="0.2">
      <c r="A16" s="49">
        <f t="shared" ca="1" si="1"/>
        <v>43815</v>
      </c>
      <c r="B16" s="288">
        <f ca="1">SUMPRODUCT((TABELA_VAZAO[Posto]=B$2)*1,(TABELA_VAZAO[Data]=$A16)*1,TABELA_VAZAO[qnat])</f>
        <v>0</v>
      </c>
    </row>
    <row r="17" spans="1:3" x14ac:dyDescent="0.2">
      <c r="A17" s="49">
        <f t="shared" ca="1" si="1"/>
        <v>43816</v>
      </c>
      <c r="B17" s="288">
        <f ca="1">SUMPRODUCT((TABELA_VAZAO[Posto]=B$2)*1,(TABELA_VAZAO[Data]=$A17)*1,TABELA_VAZAO[qnat])</f>
        <v>0</v>
      </c>
    </row>
    <row r="18" spans="1:3" x14ac:dyDescent="0.2">
      <c r="A18" s="49">
        <f t="shared" ca="1" si="1"/>
        <v>43817</v>
      </c>
      <c r="B18" s="288">
        <f ca="1">SUMPRODUCT((TABELA_VAZAO[Posto]=B$2)*1,(TABELA_VAZAO[Data]=$A18)*1,TABELA_VAZAO[qnat])</f>
        <v>0</v>
      </c>
    </row>
    <row r="19" spans="1:3" x14ac:dyDescent="0.2">
      <c r="A19" s="82">
        <f t="shared" ca="1" si="1"/>
        <v>43818</v>
      </c>
      <c r="B19" s="288">
        <f ca="1">SUMPRODUCT((TABELA_VAZAO[Posto]=B$2)*1,(TABELA_VAZAO[Data]=$A19)*1,TABELA_VAZAO[qnat])</f>
        <v>0</v>
      </c>
      <c r="C19" s="85"/>
    </row>
    <row r="20" spans="1:3" x14ac:dyDescent="0.2">
      <c r="A20" s="49">
        <f t="shared" ca="1" si="1"/>
        <v>43819</v>
      </c>
      <c r="B20" s="288">
        <f ca="1">SUMPRODUCT((TABELA_VAZAO[Posto]=B$2)*1,(TABELA_VAZAO[Data]=$A20)*1,TABELA_VAZAO[qnat])</f>
        <v>0</v>
      </c>
    </row>
    <row r="21" spans="1:3" x14ac:dyDescent="0.2">
      <c r="A21" s="49">
        <f t="shared" ca="1" si="1"/>
        <v>43820</v>
      </c>
      <c r="B21" s="288">
        <f ca="1">SUMPRODUCT((TABELA_VAZAO[Posto]=B$2)*1,(TABELA_VAZAO[Data]=$A21)*1,TABELA_VAZAO[qnat])</f>
        <v>0</v>
      </c>
    </row>
    <row r="22" spans="1:3" x14ac:dyDescent="0.2">
      <c r="A22" s="49">
        <f t="shared" ca="1" si="1"/>
        <v>43821</v>
      </c>
      <c r="B22" s="288">
        <f ca="1">SUMPRODUCT((TABELA_VAZAO[Posto]=B$2)*1,(TABELA_VAZAO[Data]=$A22)*1,TABELA_VAZAO[qnat])</f>
        <v>0</v>
      </c>
    </row>
    <row r="23" spans="1:3" x14ac:dyDescent="0.2">
      <c r="A23" s="49">
        <f t="shared" ca="1" si="1"/>
        <v>43822</v>
      </c>
      <c r="B23" s="288">
        <f ca="1">SUMPRODUCT((TABELA_VAZAO[Posto]=B$2)*1,(TABELA_VAZAO[Data]=$A23)*1,TABELA_VAZAO[qnat])</f>
        <v>0</v>
      </c>
    </row>
    <row r="24" spans="1:3" x14ac:dyDescent="0.2">
      <c r="A24" s="49">
        <f t="shared" ca="1" si="1"/>
        <v>43823</v>
      </c>
      <c r="B24" s="288">
        <f ca="1">SUMPRODUCT((TABELA_VAZAO[Posto]=B$2)*1,(TABELA_VAZAO[Data]=$A24)*1,TABELA_VAZAO[qnat])</f>
        <v>0</v>
      </c>
    </row>
    <row r="25" spans="1:3" x14ac:dyDescent="0.2">
      <c r="A25" s="49">
        <f t="shared" ca="1" si="1"/>
        <v>43824</v>
      </c>
      <c r="B25" s="288">
        <f ca="1">SUMPRODUCT((TABELA_VAZAO[Posto]=B$2)*1,(TABELA_VAZAO[Data]=$A25)*1,TABELA_VAZAO[qnat])</f>
        <v>0</v>
      </c>
    </row>
    <row r="26" spans="1:3" x14ac:dyDescent="0.2">
      <c r="A26" s="82">
        <f t="shared" ca="1" si="1"/>
        <v>43825</v>
      </c>
      <c r="B26" s="288">
        <f ca="1">SUMPRODUCT((TABELA_VAZAO[Posto]=B$2)*1,(TABELA_VAZAO[Data]=$A26)*1,TABELA_VAZAO[qnat])</f>
        <v>0</v>
      </c>
      <c r="C26" s="85"/>
    </row>
    <row r="27" spans="1:3" x14ac:dyDescent="0.2">
      <c r="A27" s="49">
        <f t="shared" ca="1" si="1"/>
        <v>43826</v>
      </c>
      <c r="B27" s="281">
        <f ca="1">SUMPRODUCT((TABELA_VAZAO[Posto]=B$2)*1,(TABELA_VAZAO[Data]=$A27)*1,TABELA_VAZAO[qnat])</f>
        <v>0</v>
      </c>
    </row>
    <row r="28" spans="1:3" x14ac:dyDescent="0.2">
      <c r="A28" s="49">
        <f t="shared" ca="1" si="1"/>
        <v>43827</v>
      </c>
      <c r="B28" s="281">
        <f ca="1">SUMPRODUCT((TABELA_VAZAO[Posto]=B$2)*1,(TABELA_VAZAO[Data]=$A28)*1,TABELA_VAZAO[qnat])</f>
        <v>233</v>
      </c>
    </row>
    <row r="29" spans="1:3" x14ac:dyDescent="0.2">
      <c r="A29" s="49">
        <f t="shared" ca="1" si="1"/>
        <v>43828</v>
      </c>
      <c r="B29" s="281">
        <f ca="1">SUMPRODUCT((TABELA_VAZAO[Posto]=B$2)*1,(TABELA_VAZAO[Data]=$A29)*1,TABELA_VAZAO[qnat])</f>
        <v>219</v>
      </c>
    </row>
    <row r="30" spans="1:3" x14ac:dyDescent="0.2">
      <c r="A30" s="49">
        <f t="shared" ca="1" si="1"/>
        <v>43829</v>
      </c>
      <c r="B30" s="281">
        <f ca="1">SUMPRODUCT((TABELA_VAZAO[Posto]=B$2)*1,(TABELA_VAZAO[Data]=$A30)*1,TABELA_VAZAO[qnat])</f>
        <v>205</v>
      </c>
    </row>
    <row r="31" spans="1:3" x14ac:dyDescent="0.2">
      <c r="A31" s="49">
        <f t="shared" ca="1" si="1"/>
        <v>43830</v>
      </c>
      <c r="B31" s="281">
        <f ca="1">SUMPRODUCT((TABELA_VAZAO[Posto]=B$2)*1,(TABELA_VAZAO[Data]=$A31)*1,TABELA_VAZAO[qnat])</f>
        <v>230</v>
      </c>
    </row>
    <row r="32" spans="1:3" x14ac:dyDescent="0.2">
      <c r="A32" s="49">
        <f t="shared" ca="1" si="1"/>
        <v>43831</v>
      </c>
      <c r="B32" s="281">
        <f ca="1">SUMPRODUCT((TABELA_VAZAO[Posto]=B$2)*1,(TABELA_VAZAO[Data]=$A32)*1,TABELA_VAZAO[qnat])</f>
        <v>246</v>
      </c>
    </row>
    <row r="33" spans="1:3" x14ac:dyDescent="0.2">
      <c r="A33" s="82">
        <f t="shared" ca="1" si="1"/>
        <v>43832</v>
      </c>
      <c r="B33" s="281">
        <f ca="1">SUMPRODUCT((TABELA_VAZAO[Posto]=B$2)*1,(TABELA_VAZAO[Data]=$A33)*1,TABELA_VAZAO[qnat])</f>
        <v>242</v>
      </c>
      <c r="C33" s="85"/>
    </row>
    <row r="34" spans="1:3" x14ac:dyDescent="0.2">
      <c r="A34" s="49">
        <f t="shared" ca="1" si="1"/>
        <v>43833</v>
      </c>
      <c r="B34" s="288">
        <f ca="1">SUMPRODUCT((TABELA_VAZAO[Posto]=B$2)*1,(TABELA_VAZAO[Data]=$A34)*1,TABELA_VAZAO[qnat])</f>
        <v>284</v>
      </c>
    </row>
    <row r="35" spans="1:3" x14ac:dyDescent="0.2">
      <c r="A35" s="49">
        <f t="shared" ca="1" si="1"/>
        <v>43834</v>
      </c>
      <c r="B35" s="288">
        <f ca="1">SUMPRODUCT((TABELA_VAZAO[Posto]=B$2)*1,(TABELA_VAZAO[Data]=$A35)*1,TABELA_VAZAO[qnat])</f>
        <v>339</v>
      </c>
    </row>
    <row r="36" spans="1:3" x14ac:dyDescent="0.2">
      <c r="A36" s="49">
        <f t="shared" ca="1" si="1"/>
        <v>43835</v>
      </c>
      <c r="B36" s="288">
        <f ca="1">SUMPRODUCT((TABELA_VAZAO[Posto]=B$2)*1,(TABELA_VAZAO[Data]=$A36)*1,TABELA_VAZAO[qnat])</f>
        <v>381</v>
      </c>
    </row>
    <row r="37" spans="1:3" ht="13.5" thickBot="1" x14ac:dyDescent="0.25">
      <c r="A37" s="49">
        <f ca="1">A38-1</f>
        <v>43836</v>
      </c>
      <c r="B37" s="288">
        <f ca="1">SUMPRODUCT((TABELA_VAZAO[Posto]=B$2)*1,(TABELA_VAZAO[Data]=$A37)*1,TABELA_VAZAO[qnat])</f>
        <v>538</v>
      </c>
    </row>
    <row r="38" spans="1:3" ht="13.5" thickBot="1" x14ac:dyDescent="0.25">
      <c r="A38" s="55">
        <f ca="1">_data</f>
        <v>43837</v>
      </c>
      <c r="B38" s="208" t="e">
        <f ca="1">INDEX(RESULTADOS!$A:$BA,MATCH($A38,RESULTADOS!$A:$A,0),MATCH(B$1,RESULTADOS!$1:$1,0))</f>
        <v>#N/A</v>
      </c>
    </row>
    <row r="39" spans="1:3" x14ac:dyDescent="0.2">
      <c r="A39" s="49">
        <f ca="1">A38+1</f>
        <v>43838</v>
      </c>
      <c r="B39" s="208" t="e">
        <f ca="1">INDEX(RESULTADOS!$A:$BA,MATCH($A39,RESULTADOS!$A:$A,0),MATCH(B$1,RESULTADOS!$1:$1,0))</f>
        <v>#N/A</v>
      </c>
    </row>
    <row r="40" spans="1:3" x14ac:dyDescent="0.2">
      <c r="A40" s="82">
        <f t="shared" ref="A40:A103" ca="1" si="2">A39+1</f>
        <v>43839</v>
      </c>
      <c r="B40" s="208" t="e">
        <f ca="1">INDEX(RESULTADOS!$A:$BA,MATCH($A40,RESULTADOS!$A:$A,0),MATCH(B$1,RESULTADOS!$1:$1,0))</f>
        <v>#N/A</v>
      </c>
      <c r="C40" s="85"/>
    </row>
    <row r="41" spans="1:3" x14ac:dyDescent="0.2">
      <c r="A41" s="49">
        <f t="shared" ca="1" si="2"/>
        <v>43840</v>
      </c>
      <c r="B41" s="208" t="e">
        <f ca="1">INDEX(RESULTADOS!$A:$BA,MATCH($A41,RESULTADOS!$A:$A,0),MATCH(B$1,RESULTADOS!$1:$1,0))</f>
        <v>#N/A</v>
      </c>
    </row>
    <row r="42" spans="1:3" x14ac:dyDescent="0.2">
      <c r="A42" s="49">
        <f t="shared" ca="1" si="2"/>
        <v>43841</v>
      </c>
      <c r="B42" s="208" t="e">
        <f ca="1">INDEX(RESULTADOS!$A:$BA,MATCH($A42,RESULTADOS!$A:$A,0),MATCH(B$1,RESULTADOS!$1:$1,0))</f>
        <v>#N/A</v>
      </c>
    </row>
    <row r="43" spans="1:3" x14ac:dyDescent="0.2">
      <c r="A43" s="49">
        <f t="shared" ca="1" si="2"/>
        <v>43842</v>
      </c>
      <c r="B43" s="208" t="e">
        <f ca="1">INDEX(RESULTADOS!$A:$BA,MATCH($A43,RESULTADOS!$A:$A,0),MATCH(B$1,RESULTADOS!$1:$1,0))</f>
        <v>#N/A</v>
      </c>
    </row>
    <row r="44" spans="1:3" x14ac:dyDescent="0.2">
      <c r="A44" s="49">
        <f t="shared" ca="1" si="2"/>
        <v>43843</v>
      </c>
      <c r="B44" s="208" t="e">
        <f ca="1">INDEX(RESULTADOS!$A:$BA,MATCH($A44,RESULTADOS!$A:$A,0),MATCH(B$1,RESULTADOS!$1:$1,0))</f>
        <v>#N/A</v>
      </c>
    </row>
    <row r="45" spans="1:3" x14ac:dyDescent="0.2">
      <c r="A45" s="49">
        <f t="shared" ca="1" si="2"/>
        <v>43844</v>
      </c>
      <c r="B45" s="208" t="e">
        <f ca="1">INDEX(RESULTADOS!$A:$BA,MATCH($A45,RESULTADOS!$A:$A,0),MATCH(B$1,RESULTADOS!$1:$1,0))</f>
        <v>#N/A</v>
      </c>
    </row>
    <row r="46" spans="1:3" x14ac:dyDescent="0.2">
      <c r="A46" s="49">
        <f t="shared" ca="1" si="2"/>
        <v>43845</v>
      </c>
      <c r="B46" s="208" t="e">
        <f ca="1">INDEX(RESULTADOS!$A:$BA,MATCH($A46,RESULTADOS!$A:$A,0),MATCH(B$1,RESULTADOS!$1:$1,0))</f>
        <v>#N/A</v>
      </c>
    </row>
    <row r="47" spans="1:3" x14ac:dyDescent="0.2">
      <c r="A47" s="82">
        <f t="shared" ca="1" si="2"/>
        <v>43846</v>
      </c>
      <c r="B47" s="208" t="e">
        <f ca="1">INDEX(RESULTADOS!$A:$BA,MATCH($A47,RESULTADOS!$A:$A,0),MATCH(B$1,RESULTADOS!$1:$1,0))</f>
        <v>#N/A</v>
      </c>
      <c r="C47" s="85"/>
    </row>
    <row r="48" spans="1:3" x14ac:dyDescent="0.2">
      <c r="A48" s="49">
        <f t="shared" ca="1" si="2"/>
        <v>43847</v>
      </c>
      <c r="B48" s="208" t="e">
        <f ca="1">INDEX(RESULTADOS!$A:$BA,MATCH($A48,RESULTADOS!$A:$A,0),MATCH(B$1,RESULTADOS!$1:$1,0))</f>
        <v>#N/A</v>
      </c>
    </row>
    <row r="49" spans="1:3" x14ac:dyDescent="0.2">
      <c r="A49" s="49">
        <f t="shared" ca="1" si="2"/>
        <v>43848</v>
      </c>
      <c r="B49" s="208" t="e">
        <f ca="1">INDEX(RESULTADOS!$A:$BA,MATCH($A49,RESULTADOS!$A:$A,0),MATCH(B$1,RESULTADOS!$1:$1,0))</f>
        <v>#N/A</v>
      </c>
    </row>
    <row r="50" spans="1:3" x14ac:dyDescent="0.2">
      <c r="A50" s="49">
        <f t="shared" ca="1" si="2"/>
        <v>43849</v>
      </c>
      <c r="B50" s="208" t="e">
        <f ca="1">INDEX(RESULTADOS!$A:$BA,MATCH($A50,RESULTADOS!$A:$A,0),MATCH(B$1,RESULTADOS!$1:$1,0))</f>
        <v>#N/A</v>
      </c>
    </row>
    <row r="51" spans="1:3" x14ac:dyDescent="0.2">
      <c r="A51" s="49">
        <f t="shared" ca="1" si="2"/>
        <v>43850</v>
      </c>
      <c r="B51" s="208" t="e">
        <f ca="1">INDEX(RESULTADOS!$A:$BA,MATCH($A51,RESULTADOS!$A:$A,0),MATCH(B$1,RESULTADOS!$1:$1,0))</f>
        <v>#N/A</v>
      </c>
    </row>
    <row r="52" spans="1:3" x14ac:dyDescent="0.2">
      <c r="A52" s="49">
        <f t="shared" ca="1" si="2"/>
        <v>43851</v>
      </c>
      <c r="B52" s="208" t="e">
        <f ca="1">INDEX(RESULTADOS!$A:$BA,MATCH($A52,RESULTADOS!$A:$A,0),MATCH(B$1,RESULTADOS!$1:$1,0))</f>
        <v>#N/A</v>
      </c>
    </row>
    <row r="53" spans="1:3" x14ac:dyDescent="0.2">
      <c r="A53" s="49">
        <f t="shared" ca="1" si="2"/>
        <v>43852</v>
      </c>
      <c r="B53" s="208" t="e">
        <f ca="1">INDEX(RESULTADOS!$A:$BA,MATCH($A53,RESULTADOS!$A:$A,0),MATCH(B$1,RESULTADOS!$1:$1,0))</f>
        <v>#N/A</v>
      </c>
    </row>
    <row r="54" spans="1:3" x14ac:dyDescent="0.2">
      <c r="A54" s="82">
        <f t="shared" ca="1" si="2"/>
        <v>43853</v>
      </c>
      <c r="B54" s="208" t="e">
        <f ca="1">INDEX(RESULTADOS!$A:$BA,MATCH($A54,RESULTADOS!$A:$A,0),MATCH(B$1,RESULTADOS!$1:$1,0))</f>
        <v>#N/A</v>
      </c>
      <c r="C54" s="85"/>
    </row>
    <row r="55" spans="1:3" x14ac:dyDescent="0.2">
      <c r="A55" s="49">
        <f t="shared" ca="1" si="2"/>
        <v>43854</v>
      </c>
      <c r="B55" s="208" t="e">
        <f ca="1">INDEX(RESULTADOS!$A:$BA,MATCH($A55,RESULTADOS!$A:$A,0),MATCH(B$1,RESULTADOS!$1:$1,0))</f>
        <v>#N/A</v>
      </c>
    </row>
    <row r="56" spans="1:3" x14ac:dyDescent="0.2">
      <c r="A56" s="49">
        <f t="shared" ca="1" si="2"/>
        <v>43855</v>
      </c>
      <c r="B56" s="208" t="e">
        <f ca="1">INDEX(RESULTADOS!$A:$BA,MATCH($A56,RESULTADOS!$A:$A,0),MATCH(B$1,RESULTADOS!$1:$1,0))</f>
        <v>#N/A</v>
      </c>
    </row>
    <row r="57" spans="1:3" x14ac:dyDescent="0.2">
      <c r="A57" s="49">
        <f t="shared" ca="1" si="2"/>
        <v>43856</v>
      </c>
      <c r="B57" s="208" t="e">
        <f ca="1">INDEX(RESULTADOS!$A:$BA,MATCH($A57,RESULTADOS!$A:$A,0),MATCH(B$1,RESULTADOS!$1:$1,0))</f>
        <v>#N/A</v>
      </c>
    </row>
    <row r="58" spans="1:3" x14ac:dyDescent="0.2">
      <c r="A58" s="49">
        <f t="shared" ca="1" si="2"/>
        <v>43857</v>
      </c>
      <c r="B58" s="208" t="e">
        <f ca="1">INDEX(RESULTADOS!$A:$BA,MATCH($A58,RESULTADOS!$A:$A,0),MATCH(B$1,RESULTADOS!$1:$1,0))</f>
        <v>#N/A</v>
      </c>
    </row>
    <row r="59" spans="1:3" x14ac:dyDescent="0.2">
      <c r="A59" s="49">
        <f t="shared" ca="1" si="2"/>
        <v>43858</v>
      </c>
      <c r="B59" s="208" t="e">
        <f ca="1">INDEX(RESULTADOS!$A:$BA,MATCH($A59,RESULTADOS!$A:$A,0),MATCH(B$1,RESULTADOS!$1:$1,0))</f>
        <v>#N/A</v>
      </c>
    </row>
    <row r="60" spans="1:3" x14ac:dyDescent="0.2">
      <c r="A60" s="49">
        <f t="shared" ca="1" si="2"/>
        <v>43859</v>
      </c>
      <c r="B60" s="208" t="e">
        <f ca="1">INDEX(RESULTADOS!$A:$BA,MATCH($A60,RESULTADOS!$A:$A,0),MATCH(B$1,RESULTADOS!$1:$1,0))</f>
        <v>#N/A</v>
      </c>
    </row>
    <row r="61" spans="1:3" x14ac:dyDescent="0.2">
      <c r="A61" s="82">
        <f t="shared" ca="1" si="2"/>
        <v>43860</v>
      </c>
      <c r="B61" s="208" t="e">
        <f ca="1">INDEX(RESULTADOS!$A:$BA,MATCH($A61,RESULTADOS!$A:$A,0),MATCH(B$1,RESULTADOS!$1:$1,0))</f>
        <v>#N/A</v>
      </c>
      <c r="C61" s="85"/>
    </row>
    <row r="62" spans="1:3" x14ac:dyDescent="0.2">
      <c r="A62" s="49">
        <f t="shared" ca="1" si="2"/>
        <v>43861</v>
      </c>
      <c r="B62" s="208" t="e">
        <f ca="1">INDEX(RESULTADOS!$A:$BA,MATCH($A62,RESULTADOS!$A:$A,0),MATCH(B$1,RESULTADOS!$1:$1,0))</f>
        <v>#N/A</v>
      </c>
    </row>
    <row r="63" spans="1:3" x14ac:dyDescent="0.2">
      <c r="A63" s="49">
        <f t="shared" ca="1" si="2"/>
        <v>43862</v>
      </c>
      <c r="B63" s="208" t="e">
        <f ca="1">INDEX(RESULTADOS!$A:$BA,MATCH($A63,RESULTADOS!$A:$A,0),MATCH(B$1,RESULTADOS!$1:$1,0))</f>
        <v>#N/A</v>
      </c>
    </row>
    <row r="64" spans="1:3" x14ac:dyDescent="0.2">
      <c r="A64" s="49">
        <f t="shared" ca="1" si="2"/>
        <v>43863</v>
      </c>
      <c r="B64" s="208" t="e">
        <f ca="1">INDEX(RESULTADOS!$A:$BA,MATCH($A64,RESULTADOS!$A:$A,0),MATCH(B$1,RESULTADOS!$1:$1,0))</f>
        <v>#N/A</v>
      </c>
    </row>
    <row r="65" spans="1:3" x14ac:dyDescent="0.2">
      <c r="A65" s="49">
        <f t="shared" ca="1" si="2"/>
        <v>43864</v>
      </c>
      <c r="B65" s="208" t="e">
        <f ca="1">INDEX(RESULTADOS!$A:$BA,MATCH($A65,RESULTADOS!$A:$A,0),MATCH(B$1,RESULTADOS!$1:$1,0))</f>
        <v>#N/A</v>
      </c>
      <c r="C65" s="230"/>
    </row>
    <row r="66" spans="1:3" x14ac:dyDescent="0.2">
      <c r="A66" s="49">
        <f t="shared" ca="1" si="2"/>
        <v>43865</v>
      </c>
      <c r="B66" s="208" t="e">
        <f ca="1">INDEX(RESULTADOS!$A:$BA,MATCH($A66,RESULTADOS!$A:$A,0),MATCH(B$1,RESULTADOS!$1:$1,0))</f>
        <v>#N/A</v>
      </c>
      <c r="C66" s="230"/>
    </row>
    <row r="67" spans="1:3" x14ac:dyDescent="0.2">
      <c r="A67" s="49">
        <f t="shared" ca="1" si="2"/>
        <v>43866</v>
      </c>
      <c r="B67" s="208" t="e">
        <f ca="1">INDEX(RESULTADOS!$A:$BA,MATCH($A67,RESULTADOS!$A:$A,0),MATCH(B$1,RESULTADOS!$1:$1,0))</f>
        <v>#N/A</v>
      </c>
      <c r="C67" s="230"/>
    </row>
    <row r="68" spans="1:3" x14ac:dyDescent="0.2">
      <c r="A68" s="82">
        <f t="shared" ca="1" si="2"/>
        <v>43867</v>
      </c>
      <c r="B68" s="208" t="e">
        <f ca="1">INDEX(RESULTADOS!$A:$BA,MATCH($A68,RESULTADOS!$A:$A,0),MATCH(B$1,RESULTADOS!$1:$1,0))</f>
        <v>#N/A</v>
      </c>
      <c r="C68" s="85"/>
    </row>
    <row r="69" spans="1:3" x14ac:dyDescent="0.2">
      <c r="A69" s="49">
        <f t="shared" ca="1" si="2"/>
        <v>43868</v>
      </c>
      <c r="B69" s="208" t="e">
        <f ca="1">INDEX(RESULTADOS!$A:$BA,MATCH($A69,RESULTADOS!$A:$A,0),MATCH(B$1,RESULTADOS!$1:$1,0))</f>
        <v>#N/A</v>
      </c>
    </row>
    <row r="70" spans="1:3" x14ac:dyDescent="0.2">
      <c r="A70" s="49">
        <f t="shared" ca="1" si="2"/>
        <v>43869</v>
      </c>
      <c r="B70" s="208" t="e">
        <f ca="1">INDEX(RESULTADOS!$A:$BA,MATCH($A70,RESULTADOS!$A:$A,0),MATCH(B$1,RESULTADOS!$1:$1,0))</f>
        <v>#N/A</v>
      </c>
    </row>
    <row r="71" spans="1:3" x14ac:dyDescent="0.2">
      <c r="A71" s="49">
        <f t="shared" ca="1" si="2"/>
        <v>43870</v>
      </c>
      <c r="B71" s="208" t="e">
        <f ca="1">INDEX(RESULTADOS!$A:$BA,MATCH($A71,RESULTADOS!$A:$A,0),MATCH(B$1,RESULTADOS!$1:$1,0))</f>
        <v>#N/A</v>
      </c>
    </row>
    <row r="72" spans="1:3" x14ac:dyDescent="0.2">
      <c r="A72" s="49">
        <f t="shared" ca="1" si="2"/>
        <v>43871</v>
      </c>
      <c r="B72" s="208" t="e">
        <f ca="1">INDEX(RESULTADOS!$A:$BA,MATCH($A72,RESULTADOS!$A:$A,0),MATCH(B$1,RESULTADOS!$1:$1,0))</f>
        <v>#N/A</v>
      </c>
    </row>
    <row r="73" spans="1:3" x14ac:dyDescent="0.2">
      <c r="A73" s="49">
        <f t="shared" ca="1" si="2"/>
        <v>43872</v>
      </c>
      <c r="B73" s="208" t="e">
        <f ca="1">INDEX(RESULTADOS!$A:$BA,MATCH($A73,RESULTADOS!$A:$A,0),MATCH(B$1,RESULTADOS!$1:$1,0))</f>
        <v>#N/A</v>
      </c>
    </row>
    <row r="74" spans="1:3" x14ac:dyDescent="0.2">
      <c r="A74" s="91">
        <f t="shared" ca="1" si="2"/>
        <v>43873</v>
      </c>
      <c r="B74" s="208" t="e">
        <f ca="1">INDEX(RESULTADOS!$A:$BA,MATCH($A74,RESULTADOS!$A:$A,0),MATCH(B$1,RESULTADOS!$1:$1,0))</f>
        <v>#N/A</v>
      </c>
      <c r="C74" s="95"/>
    </row>
    <row r="75" spans="1:3" x14ac:dyDescent="0.2">
      <c r="A75" s="49">
        <f t="shared" ca="1" si="2"/>
        <v>43874</v>
      </c>
      <c r="B75" s="208" t="e">
        <f ca="1">INDEX(RESULTADOS!$A:$BA,MATCH($A75,RESULTADOS!$A:$A,0),MATCH(B$1,RESULTADOS!$1:$1,0))</f>
        <v>#N/A</v>
      </c>
    </row>
    <row r="76" spans="1:3" x14ac:dyDescent="0.2">
      <c r="A76" s="49">
        <f t="shared" ca="1" si="2"/>
        <v>43875</v>
      </c>
      <c r="B76" s="208" t="e">
        <f ca="1">INDEX(RESULTADOS!$A:$BA,MATCH($A76,RESULTADOS!$A:$A,0),MATCH(B$1,RESULTADOS!$1:$1,0))</f>
        <v>#N/A</v>
      </c>
    </row>
    <row r="77" spans="1:3" x14ac:dyDescent="0.2">
      <c r="A77" s="49">
        <f t="shared" ca="1" si="2"/>
        <v>43876</v>
      </c>
      <c r="B77" s="208" t="e">
        <f ca="1">INDEX(RESULTADOS!$A:$BA,MATCH($A77,RESULTADOS!$A:$A,0),MATCH(B$1,RESULTADOS!$1:$1,0))</f>
        <v>#N/A</v>
      </c>
    </row>
    <row r="78" spans="1:3" x14ac:dyDescent="0.2">
      <c r="A78" s="49">
        <f t="shared" ca="1" si="2"/>
        <v>43877</v>
      </c>
      <c r="B78" s="208" t="e">
        <f ca="1">INDEX(RESULTADOS!$A:$BA,MATCH($A78,RESULTADOS!$A:$A,0),MATCH(B$1,RESULTADOS!$1:$1,0))</f>
        <v>#N/A</v>
      </c>
    </row>
    <row r="79" spans="1:3" x14ac:dyDescent="0.2">
      <c r="A79" s="49">
        <f t="shared" ca="1" si="2"/>
        <v>43878</v>
      </c>
      <c r="B79" s="208" t="e">
        <f ca="1">INDEX(RESULTADOS!$A:$BA,MATCH($A79,RESULTADOS!$A:$A,0),MATCH(B$1,RESULTADOS!$1:$1,0))</f>
        <v>#N/A</v>
      </c>
    </row>
    <row r="80" spans="1:3" x14ac:dyDescent="0.2">
      <c r="A80" s="49">
        <f t="shared" ca="1" si="2"/>
        <v>43879</v>
      </c>
      <c r="B80" s="208" t="e">
        <f ca="1">INDEX(RESULTADOS!$A:$BA,MATCH($A80,RESULTADOS!$A:$A,0),MATCH(B$1,RESULTADOS!$1:$1,0))</f>
        <v>#N/A</v>
      </c>
    </row>
    <row r="81" spans="1:2" s="272" customFormat="1" x14ac:dyDescent="0.2">
      <c r="A81" s="273">
        <f t="shared" ca="1" si="2"/>
        <v>43880</v>
      </c>
      <c r="B81" s="279" t="e">
        <f ca="1">INDEX(RESULTADOS!$A:$BA,MATCH($A81,RESULTADOS!$A:$A,0),MATCH(B$1,RESULTADOS!$1:$1,0))</f>
        <v>#N/A</v>
      </c>
    </row>
    <row r="82" spans="1:2" s="272" customFormat="1" x14ac:dyDescent="0.2">
      <c r="A82" s="273">
        <f t="shared" ca="1" si="2"/>
        <v>43881</v>
      </c>
      <c r="B82" s="279" t="e">
        <f ca="1">INDEX(RESULTADOS!$A:$BA,MATCH($A82,RESULTADOS!$A:$A,0),MATCH(B$1,RESULTADOS!$1:$1,0))</f>
        <v>#N/A</v>
      </c>
    </row>
    <row r="83" spans="1:2" s="272" customFormat="1" x14ac:dyDescent="0.2">
      <c r="A83" s="273">
        <f t="shared" ca="1" si="2"/>
        <v>43882</v>
      </c>
      <c r="B83" s="279" t="e">
        <f ca="1">INDEX(RESULTADOS!$A:$BA,MATCH($A83,RESULTADOS!$A:$A,0),MATCH(B$1,RESULTADOS!$1:$1,0))</f>
        <v>#N/A</v>
      </c>
    </row>
    <row r="84" spans="1:2" s="272" customFormat="1" x14ac:dyDescent="0.2">
      <c r="A84" s="273">
        <f t="shared" ca="1" si="2"/>
        <v>43883</v>
      </c>
      <c r="B84" s="279" t="e">
        <f ca="1">INDEX(RESULTADOS!$A:$BA,MATCH($A84,RESULTADOS!$A:$A,0),MATCH(B$1,RESULTADOS!$1:$1,0))</f>
        <v>#N/A</v>
      </c>
    </row>
    <row r="85" spans="1:2" s="272" customFormat="1" x14ac:dyDescent="0.2">
      <c r="A85" s="273">
        <f t="shared" ca="1" si="2"/>
        <v>43884</v>
      </c>
      <c r="B85" s="279" t="e">
        <f ca="1">INDEX(RESULTADOS!$A:$BA,MATCH($A85,RESULTADOS!$A:$A,0),MATCH(B$1,RESULTADOS!$1:$1,0))</f>
        <v>#N/A</v>
      </c>
    </row>
    <row r="86" spans="1:2" s="272" customFormat="1" x14ac:dyDescent="0.2">
      <c r="A86" s="273">
        <f t="shared" ca="1" si="2"/>
        <v>43885</v>
      </c>
      <c r="B86" s="279" t="e">
        <f ca="1">INDEX(RESULTADOS!$A:$BA,MATCH($A86,RESULTADOS!$A:$A,0),MATCH(B$1,RESULTADOS!$1:$1,0))</f>
        <v>#N/A</v>
      </c>
    </row>
    <row r="87" spans="1:2" s="272" customFormat="1" x14ac:dyDescent="0.2">
      <c r="A87" s="273">
        <f t="shared" ca="1" si="2"/>
        <v>43886</v>
      </c>
      <c r="B87" s="279" t="e">
        <f ca="1">INDEX(RESULTADOS!$A:$BA,MATCH($A87,RESULTADOS!$A:$A,0),MATCH(B$1,RESULTADOS!$1:$1,0))</f>
        <v>#N/A</v>
      </c>
    </row>
    <row r="88" spans="1:2" s="272" customFormat="1" x14ac:dyDescent="0.2">
      <c r="A88" s="273">
        <f t="shared" ca="1" si="2"/>
        <v>43887</v>
      </c>
      <c r="B88" s="279" t="e">
        <f ca="1">INDEX(RESULTADOS!$A:$BA,MATCH($A88,RESULTADOS!$A:$A,0),MATCH(B$1,RESULTADOS!$1:$1,0))</f>
        <v>#N/A</v>
      </c>
    </row>
    <row r="89" spans="1:2" s="272" customFormat="1" x14ac:dyDescent="0.2">
      <c r="A89" s="273">
        <f t="shared" ca="1" si="2"/>
        <v>43888</v>
      </c>
      <c r="B89" s="279" t="e">
        <f ca="1">INDEX(RESULTADOS!$A:$BA,MATCH($A89,RESULTADOS!$A:$A,0),MATCH(B$1,RESULTADOS!$1:$1,0))</f>
        <v>#N/A</v>
      </c>
    </row>
    <row r="90" spans="1:2" s="272" customFormat="1" x14ac:dyDescent="0.2">
      <c r="A90" s="273">
        <f t="shared" ca="1" si="2"/>
        <v>43889</v>
      </c>
      <c r="B90" s="279" t="e">
        <f ca="1">INDEX(RESULTADOS!$A:$BA,MATCH($A90,RESULTADOS!$A:$A,0),MATCH(B$1,RESULTADOS!$1:$1,0))</f>
        <v>#N/A</v>
      </c>
    </row>
    <row r="91" spans="1:2" s="272" customFormat="1" x14ac:dyDescent="0.2">
      <c r="A91" s="273">
        <f t="shared" ca="1" si="2"/>
        <v>43890</v>
      </c>
      <c r="B91" s="279" t="e">
        <f ca="1">INDEX(RESULTADOS!$A:$BA,MATCH($A91,RESULTADOS!$A:$A,0),MATCH(B$1,RESULTADOS!$1:$1,0))</f>
        <v>#N/A</v>
      </c>
    </row>
    <row r="92" spans="1:2" s="272" customFormat="1" x14ac:dyDescent="0.2">
      <c r="A92" s="273">
        <f t="shared" ca="1" si="2"/>
        <v>43891</v>
      </c>
      <c r="B92" s="279" t="e">
        <f ca="1">INDEX(RESULTADOS!$A:$BA,MATCH($A92,RESULTADOS!$A:$A,0),MATCH(B$1,RESULTADOS!$1:$1,0))</f>
        <v>#N/A</v>
      </c>
    </row>
    <row r="93" spans="1:2" s="272" customFormat="1" x14ac:dyDescent="0.2">
      <c r="A93" s="273">
        <f t="shared" ca="1" si="2"/>
        <v>43892</v>
      </c>
      <c r="B93" s="279" t="e">
        <f ca="1">INDEX(RESULTADOS!$A:$BA,MATCH($A93,RESULTADOS!$A:$A,0),MATCH(B$1,RESULTADOS!$1:$1,0))</f>
        <v>#N/A</v>
      </c>
    </row>
    <row r="94" spans="1:2" s="272" customFormat="1" x14ac:dyDescent="0.2">
      <c r="A94" s="273">
        <f t="shared" ca="1" si="2"/>
        <v>43893</v>
      </c>
      <c r="B94" s="279" t="e">
        <f ca="1">INDEX(RESULTADOS!$A:$BA,MATCH($A94,RESULTADOS!$A:$A,0),MATCH(B$1,RESULTADOS!$1:$1,0))</f>
        <v>#N/A</v>
      </c>
    </row>
    <row r="95" spans="1:2" s="272" customFormat="1" x14ac:dyDescent="0.2">
      <c r="A95" s="273">
        <f t="shared" ca="1" si="2"/>
        <v>43894</v>
      </c>
      <c r="B95" s="279" t="e">
        <f ca="1">INDEX(RESULTADOS!$A:$BA,MATCH($A95,RESULTADOS!$A:$A,0),MATCH(B$1,RESULTADOS!$1:$1,0))</f>
        <v>#N/A</v>
      </c>
    </row>
    <row r="96" spans="1:2" s="272" customFormat="1" x14ac:dyDescent="0.2">
      <c r="A96" s="273">
        <f t="shared" ca="1" si="2"/>
        <v>43895</v>
      </c>
      <c r="B96" s="279" t="e">
        <f ca="1">INDEX(RESULTADOS!$A:$BA,MATCH($A96,RESULTADOS!$A:$A,0),MATCH(B$1,RESULTADOS!$1:$1,0))</f>
        <v>#N/A</v>
      </c>
    </row>
    <row r="97" spans="1:2" s="272" customFormat="1" x14ac:dyDescent="0.2">
      <c r="A97" s="273">
        <f t="shared" ca="1" si="2"/>
        <v>43896</v>
      </c>
      <c r="B97" s="279" t="e">
        <f ca="1">INDEX(RESULTADOS!$A:$BA,MATCH($A97,RESULTADOS!$A:$A,0),MATCH(B$1,RESULTADOS!$1:$1,0))</f>
        <v>#N/A</v>
      </c>
    </row>
    <row r="98" spans="1:2" s="272" customFormat="1" x14ac:dyDescent="0.2">
      <c r="A98" s="273">
        <f t="shared" ca="1" si="2"/>
        <v>43897</v>
      </c>
      <c r="B98" s="279" t="e">
        <f ca="1">INDEX(RESULTADOS!$A:$BA,MATCH($A98,RESULTADOS!$A:$A,0),MATCH(B$1,RESULTADOS!$1:$1,0))</f>
        <v>#N/A</v>
      </c>
    </row>
    <row r="99" spans="1:2" s="272" customFormat="1" x14ac:dyDescent="0.2">
      <c r="A99" s="273">
        <f t="shared" ca="1" si="2"/>
        <v>43898</v>
      </c>
      <c r="B99" s="279" t="e">
        <f ca="1">INDEX(RESULTADOS!$A:$BA,MATCH($A99,RESULTADOS!$A:$A,0),MATCH(B$1,RESULTADOS!$1:$1,0))</f>
        <v>#N/A</v>
      </c>
    </row>
    <row r="100" spans="1:2" s="272" customFormat="1" x14ac:dyDescent="0.2">
      <c r="A100" s="273">
        <f t="shared" ca="1" si="2"/>
        <v>43899</v>
      </c>
      <c r="B100" s="279" t="e">
        <f ca="1">INDEX(RESULTADOS!$A:$BA,MATCH($A100,RESULTADOS!$A:$A,0),MATCH(B$1,RESULTADOS!$1:$1,0))</f>
        <v>#N/A</v>
      </c>
    </row>
    <row r="101" spans="1:2" s="272" customFormat="1" x14ac:dyDescent="0.2">
      <c r="A101" s="273">
        <f t="shared" ca="1" si="2"/>
        <v>43900</v>
      </c>
      <c r="B101" s="279" t="e">
        <f ca="1">INDEX(RESULTADOS!$A:$BA,MATCH($A101,RESULTADOS!$A:$A,0),MATCH(B$1,RESULTADOS!$1:$1,0))</f>
        <v>#N/A</v>
      </c>
    </row>
    <row r="102" spans="1:2" s="272" customFormat="1" x14ac:dyDescent="0.2">
      <c r="A102" s="273">
        <f t="shared" ca="1" si="2"/>
        <v>43901</v>
      </c>
      <c r="B102" s="279" t="e">
        <f ca="1">INDEX(RESULTADOS!$A:$BA,MATCH($A102,RESULTADOS!$A:$A,0),MATCH(B$1,RESULTADOS!$1:$1,0))</f>
        <v>#N/A</v>
      </c>
    </row>
    <row r="103" spans="1:2" s="272" customFormat="1" x14ac:dyDescent="0.2">
      <c r="A103" s="273">
        <f t="shared" ca="1" si="2"/>
        <v>43902</v>
      </c>
      <c r="B103" s="279" t="e">
        <f ca="1">INDEX(RESULTADOS!$A:$BA,MATCH($A103,RESULTADOS!$A:$A,0),MATCH(B$1,RESULTADOS!$1:$1,0))</f>
        <v>#N/A</v>
      </c>
    </row>
    <row r="104" spans="1:2" s="272" customFormat="1" x14ac:dyDescent="0.2">
      <c r="A104" s="273">
        <f t="shared" ref="A104:A110" ca="1" si="3">A103+1</f>
        <v>43903</v>
      </c>
      <c r="B104" s="279" t="e">
        <f ca="1">INDEX(RESULTADOS!$A:$BA,MATCH($A104,RESULTADOS!$A:$A,0),MATCH(B$1,RESULTADOS!$1:$1,0))</f>
        <v>#N/A</v>
      </c>
    </row>
    <row r="105" spans="1:2" s="272" customFormat="1" x14ac:dyDescent="0.2">
      <c r="A105" s="273">
        <f t="shared" ca="1" si="3"/>
        <v>43904</v>
      </c>
      <c r="B105" s="279" t="e">
        <f ca="1">INDEX(RESULTADOS!$A:$BA,MATCH($A105,RESULTADOS!$A:$A,0),MATCH(B$1,RESULTADOS!$1:$1,0))</f>
        <v>#N/A</v>
      </c>
    </row>
    <row r="106" spans="1:2" s="272" customFormat="1" x14ac:dyDescent="0.2">
      <c r="A106" s="273">
        <f t="shared" ca="1" si="3"/>
        <v>43905</v>
      </c>
      <c r="B106" s="279" t="e">
        <f ca="1">INDEX(RESULTADOS!$A:$BA,MATCH($A106,RESULTADOS!$A:$A,0),MATCH(B$1,RESULTADOS!$1:$1,0))</f>
        <v>#N/A</v>
      </c>
    </row>
    <row r="107" spans="1:2" s="272" customFormat="1" x14ac:dyDescent="0.2">
      <c r="A107" s="273">
        <f t="shared" ca="1" si="3"/>
        <v>43906</v>
      </c>
      <c r="B107" s="279" t="e">
        <f ca="1">INDEX(RESULTADOS!$A:$BA,MATCH($A107,RESULTADOS!$A:$A,0),MATCH(B$1,RESULTADOS!$1:$1,0))</f>
        <v>#N/A</v>
      </c>
    </row>
    <row r="108" spans="1:2" s="272" customFormat="1" x14ac:dyDescent="0.2">
      <c r="A108" s="273">
        <f t="shared" ca="1" si="3"/>
        <v>43907</v>
      </c>
      <c r="B108" s="279" t="e">
        <f ca="1">INDEX(RESULTADOS!$A:$BA,MATCH($A108,RESULTADOS!$A:$A,0),MATCH(B$1,RESULTADOS!$1:$1,0))</f>
        <v>#N/A</v>
      </c>
    </row>
    <row r="109" spans="1:2" s="272" customFormat="1" x14ac:dyDescent="0.2">
      <c r="A109" s="273">
        <f t="shared" ca="1" si="3"/>
        <v>43908</v>
      </c>
      <c r="B109" s="279" t="e">
        <f ca="1">INDEX(RESULTADOS!$A:$BA,MATCH($A109,RESULTADOS!$A:$A,0),MATCH(B$1,RESULTADOS!$1:$1,0))</f>
        <v>#N/A</v>
      </c>
    </row>
    <row r="110" spans="1:2" s="272" customFormat="1" x14ac:dyDescent="0.2">
      <c r="A110" s="273">
        <f t="shared" ca="1" si="3"/>
        <v>43909</v>
      </c>
      <c r="B110" s="279" t="e">
        <f ca="1">INDEX(RESULTADOS!$A:$BA,MATCH($A110,RESULTADOS!$A:$A,0),MATCH(B$1,RESULTADOS!$1:$1,0))</f>
        <v>#N/A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G1663"/>
  <sheetViews>
    <sheetView workbookViewId="0">
      <selection activeCell="A11" sqref="A11"/>
    </sheetView>
  </sheetViews>
  <sheetFormatPr defaultRowHeight="12.75" x14ac:dyDescent="0.2"/>
  <cols>
    <col min="1" max="1" width="7.42578125" bestFit="1" customWidth="1"/>
    <col min="2" max="2" width="10.140625" bestFit="1" customWidth="1"/>
    <col min="3" max="3" width="7.28515625" bestFit="1" customWidth="1"/>
    <col min="4" max="4" width="7.140625" bestFit="1" customWidth="1"/>
    <col min="5" max="5" width="9.140625" bestFit="1" customWidth="1"/>
    <col min="7" max="7" width="10.140625" bestFit="1" customWidth="1"/>
  </cols>
  <sheetData>
    <row r="1" spans="1:2" x14ac:dyDescent="0.2">
      <c r="A1" t="s">
        <v>223</v>
      </c>
      <c r="B1" s="273">
        <f ca="1">_data</f>
        <v>43837</v>
      </c>
    </row>
    <row r="2" spans="1:2" x14ac:dyDescent="0.2">
      <c r="A2" s="39" t="s">
        <v>97</v>
      </c>
      <c r="B2" s="34" t="s">
        <v>227</v>
      </c>
    </row>
    <row r="3" spans="1:2" x14ac:dyDescent="0.2">
      <c r="A3" s="39" t="s">
        <v>98</v>
      </c>
      <c r="B3" s="245" t="s">
        <v>224</v>
      </c>
    </row>
    <row r="4" spans="1:2" x14ac:dyDescent="0.2">
      <c r="A4" s="39" t="s">
        <v>99</v>
      </c>
      <c r="B4" s="245" t="s">
        <v>225</v>
      </c>
    </row>
    <row r="6" spans="1:2" x14ac:dyDescent="0.2">
      <c r="A6" t="b">
        <v>1</v>
      </c>
    </row>
    <row r="7" spans="1:2" x14ac:dyDescent="0.2">
      <c r="A7" t="b">
        <v>0</v>
      </c>
    </row>
    <row r="22" spans="1:7" x14ac:dyDescent="0.2">
      <c r="A22" t="str">
        <f ca="1">TEXT(_dataSemPrevisao-7, "aaaa-mm-dd")</f>
        <v>2019-12-28</v>
      </c>
      <c r="B22" s="43" t="str">
        <f ca="1">TEXT(PREVS_SMAP!F27, "aaaa-mm-dd")</f>
        <v>2020-01-10</v>
      </c>
      <c r="E22" s="121"/>
    </row>
    <row r="23" spans="1:7" x14ac:dyDescent="0.2">
      <c r="A23" s="229"/>
      <c r="B23" s="229"/>
      <c r="C23" s="229"/>
      <c r="D23" s="229"/>
      <c r="E23" s="229"/>
    </row>
    <row r="24" spans="1:7" x14ac:dyDescent="0.2">
      <c r="A24" s="272"/>
      <c r="B24" s="272"/>
      <c r="C24" s="272"/>
      <c r="D24" s="272"/>
      <c r="E24" s="272"/>
      <c r="G24" s="273">
        <f>TABELA_VAZAO[[#This Row],[Data]]</f>
        <v>43827</v>
      </c>
    </row>
    <row r="25" spans="1:7" x14ac:dyDescent="0.2">
      <c r="A25" s="272"/>
      <c r="B25" s="272"/>
      <c r="C25" s="272"/>
      <c r="D25" s="272"/>
      <c r="E25" s="272"/>
      <c r="G25" s="273">
        <f>TABELA_VAZAO[[#This Row],[Data]]</f>
        <v>43828</v>
      </c>
    </row>
    <row r="26" spans="1:7" x14ac:dyDescent="0.2">
      <c r="A26" s="272"/>
      <c r="B26" s="272"/>
      <c r="C26" s="272"/>
      <c r="D26" s="272"/>
      <c r="E26" s="272"/>
      <c r="G26" s="273">
        <f>TABELA_VAZAO[[#This Row],[Data]]</f>
        <v>43829</v>
      </c>
    </row>
    <row r="27" spans="1:7" x14ac:dyDescent="0.2">
      <c r="A27" s="272"/>
      <c r="B27" s="272"/>
      <c r="C27" s="272"/>
      <c r="D27" s="272"/>
      <c r="E27" s="272"/>
      <c r="G27" s="273">
        <f>TABELA_VAZAO[[#This Row],[Data]]</f>
        <v>43830</v>
      </c>
    </row>
    <row r="28" spans="1:7" x14ac:dyDescent="0.2">
      <c r="A28" s="272"/>
      <c r="B28" s="272"/>
      <c r="C28" s="272"/>
      <c r="D28" s="272"/>
      <c r="E28" s="272"/>
      <c r="G28" s="273">
        <f>TABELA_VAZAO[[#This Row],[Data]]</f>
        <v>43831</v>
      </c>
    </row>
    <row r="29" spans="1:7" x14ac:dyDescent="0.2">
      <c r="A29" s="272"/>
      <c r="B29" s="272"/>
      <c r="C29" s="272"/>
      <c r="D29" s="272"/>
      <c r="E29" s="272"/>
      <c r="G29" s="273">
        <f>TABELA_VAZAO[[#This Row],[Data]]</f>
        <v>43832</v>
      </c>
    </row>
    <row r="30" spans="1:7" x14ac:dyDescent="0.2">
      <c r="A30" s="272"/>
      <c r="B30" s="272"/>
      <c r="C30" s="272"/>
      <c r="D30" s="272"/>
      <c r="E30" s="272"/>
      <c r="G30" s="273">
        <f>TABELA_VAZAO[[#This Row],[Data]]</f>
        <v>43833</v>
      </c>
    </row>
    <row r="31" spans="1:7" x14ac:dyDescent="0.2">
      <c r="A31" s="272"/>
      <c r="B31" s="272"/>
      <c r="C31" s="272"/>
      <c r="D31" s="272"/>
      <c r="E31" s="272"/>
      <c r="G31" s="273">
        <f>TABELA_VAZAO[[#This Row],[Data]]</f>
        <v>43834</v>
      </c>
    </row>
    <row r="32" spans="1:7" x14ac:dyDescent="0.2">
      <c r="A32" s="272"/>
      <c r="B32" s="272"/>
      <c r="C32" s="272"/>
      <c r="D32" s="272"/>
      <c r="E32" s="272"/>
      <c r="G32" s="273">
        <f>TABELA_VAZAO[[#This Row],[Data]]</f>
        <v>43835</v>
      </c>
    </row>
    <row r="33" spans="1:7" x14ac:dyDescent="0.2">
      <c r="A33" s="272"/>
      <c r="B33" s="272"/>
      <c r="C33" s="272"/>
      <c r="D33" s="272"/>
      <c r="E33" s="272"/>
      <c r="G33" s="273"/>
    </row>
    <row r="34" spans="1:7" x14ac:dyDescent="0.2">
      <c r="A34" s="272"/>
      <c r="B34" s="272"/>
      <c r="C34" s="272"/>
      <c r="D34" s="272"/>
      <c r="E34" s="272"/>
      <c r="G34" s="273"/>
    </row>
    <row r="35" spans="1:7" x14ac:dyDescent="0.2">
      <c r="A35" s="272"/>
      <c r="B35" s="272"/>
      <c r="C35" s="272"/>
      <c r="D35" s="272"/>
      <c r="E35" s="272"/>
      <c r="G35" s="273"/>
    </row>
    <row r="36" spans="1:7" x14ac:dyDescent="0.2">
      <c r="A36" s="272"/>
      <c r="B36" s="272"/>
      <c r="C36" s="272"/>
      <c r="D36" s="272"/>
      <c r="E36" s="272"/>
      <c r="G36" s="273"/>
    </row>
    <row r="37" spans="1:7" x14ac:dyDescent="0.2">
      <c r="A37" s="272"/>
      <c r="B37" s="272"/>
      <c r="C37" s="272"/>
      <c r="D37" s="272"/>
      <c r="E37" s="272"/>
    </row>
    <row r="38" spans="1:7" x14ac:dyDescent="0.2">
      <c r="A38" s="272"/>
      <c r="B38" s="272"/>
      <c r="C38" s="272"/>
      <c r="D38" s="272"/>
      <c r="E38" s="272"/>
    </row>
    <row r="39" spans="1:7" x14ac:dyDescent="0.2">
      <c r="A39" s="272"/>
      <c r="B39" s="272"/>
      <c r="C39" s="272"/>
      <c r="D39" s="272"/>
      <c r="E39" s="272"/>
    </row>
    <row r="40" spans="1:7" x14ac:dyDescent="0.2">
      <c r="A40" s="272"/>
      <c r="B40" s="272"/>
      <c r="C40" s="272"/>
      <c r="D40" s="272"/>
      <c r="E40" s="272"/>
    </row>
    <row r="41" spans="1:7" x14ac:dyDescent="0.2">
      <c r="A41" s="272"/>
      <c r="B41" s="272"/>
      <c r="C41" s="272"/>
      <c r="D41" s="272"/>
      <c r="E41" s="272"/>
    </row>
    <row r="42" spans="1:7" x14ac:dyDescent="0.2">
      <c r="A42" s="272"/>
      <c r="B42" s="272"/>
      <c r="C42" s="272"/>
      <c r="D42" s="272"/>
      <c r="E42" s="272"/>
    </row>
    <row r="43" spans="1:7" x14ac:dyDescent="0.2">
      <c r="A43" s="272"/>
      <c r="B43" s="272"/>
      <c r="C43" s="272"/>
      <c r="D43" s="272"/>
      <c r="E43" s="272"/>
    </row>
    <row r="44" spans="1:7" x14ac:dyDescent="0.2">
      <c r="A44" s="272"/>
      <c r="B44" s="272"/>
      <c r="C44" s="272"/>
      <c r="D44" s="272"/>
      <c r="E44" s="272"/>
    </row>
    <row r="45" spans="1:7" x14ac:dyDescent="0.2">
      <c r="A45" s="272"/>
      <c r="B45" s="272"/>
      <c r="C45" s="272"/>
      <c r="D45" s="272"/>
      <c r="E45" s="272"/>
    </row>
    <row r="46" spans="1:7" x14ac:dyDescent="0.2">
      <c r="A46" s="272"/>
      <c r="B46" s="272"/>
      <c r="C46" s="272"/>
      <c r="D46" s="272"/>
      <c r="E46" s="272"/>
    </row>
    <row r="47" spans="1:7" x14ac:dyDescent="0.2">
      <c r="A47" s="272"/>
      <c r="B47" s="272"/>
      <c r="C47" s="272"/>
      <c r="D47" s="272"/>
      <c r="E47" s="272"/>
    </row>
    <row r="48" spans="1:7" x14ac:dyDescent="0.2">
      <c r="A48" s="272"/>
      <c r="B48" s="272"/>
      <c r="C48" s="272"/>
      <c r="D48" s="272"/>
      <c r="E48" s="272"/>
    </row>
    <row r="49" spans="1:5" x14ac:dyDescent="0.2">
      <c r="A49" s="272"/>
      <c r="B49" s="272"/>
      <c r="C49" s="272"/>
      <c r="D49" s="272"/>
      <c r="E49" s="272"/>
    </row>
    <row r="50" spans="1:5" x14ac:dyDescent="0.2">
      <c r="A50" s="272"/>
      <c r="B50" s="272"/>
      <c r="C50" s="272"/>
      <c r="D50" s="272"/>
      <c r="E50" s="272"/>
    </row>
    <row r="51" spans="1:5" x14ac:dyDescent="0.2">
      <c r="A51" s="272"/>
      <c r="B51" s="272"/>
      <c r="C51" s="272"/>
      <c r="D51" s="272"/>
      <c r="E51" s="272"/>
    </row>
    <row r="52" spans="1:5" x14ac:dyDescent="0.2">
      <c r="A52" s="272"/>
      <c r="B52" s="272"/>
      <c r="C52" s="272"/>
      <c r="D52" s="272"/>
      <c r="E52" s="272"/>
    </row>
    <row r="53" spans="1:5" x14ac:dyDescent="0.2">
      <c r="A53" s="272"/>
      <c r="B53" s="272"/>
      <c r="C53" s="272"/>
      <c r="D53" s="272"/>
      <c r="E53" s="272"/>
    </row>
    <row r="54" spans="1:5" x14ac:dyDescent="0.2">
      <c r="A54" s="272"/>
      <c r="B54" s="272"/>
      <c r="C54" s="272"/>
      <c r="D54" s="272"/>
      <c r="E54" s="272"/>
    </row>
    <row r="55" spans="1:5" x14ac:dyDescent="0.2">
      <c r="A55" s="272"/>
      <c r="B55" s="272"/>
      <c r="C55" s="272"/>
      <c r="D55" s="272"/>
      <c r="E55" s="272"/>
    </row>
    <row r="56" spans="1:5" x14ac:dyDescent="0.2">
      <c r="A56" s="272"/>
      <c r="B56" s="272"/>
      <c r="C56" s="272"/>
      <c r="D56" s="272"/>
      <c r="E56" s="272"/>
    </row>
    <row r="57" spans="1:5" x14ac:dyDescent="0.2">
      <c r="A57" s="272"/>
      <c r="B57" s="272"/>
      <c r="C57" s="272"/>
      <c r="D57" s="272"/>
      <c r="E57" s="272"/>
    </row>
    <row r="58" spans="1:5" x14ac:dyDescent="0.2">
      <c r="A58" s="272"/>
      <c r="B58" s="272"/>
      <c r="C58" s="272"/>
      <c r="D58" s="272"/>
      <c r="E58" s="272"/>
    </row>
    <row r="59" spans="1:5" x14ac:dyDescent="0.2">
      <c r="A59" s="272"/>
      <c r="B59" s="272"/>
      <c r="C59" s="272"/>
      <c r="D59" s="272"/>
      <c r="E59" s="272"/>
    </row>
    <row r="60" spans="1:5" x14ac:dyDescent="0.2">
      <c r="A60" s="272"/>
      <c r="B60" s="272"/>
      <c r="C60" s="272"/>
      <c r="D60" s="272"/>
      <c r="E60" s="272"/>
    </row>
    <row r="61" spans="1:5" x14ac:dyDescent="0.2">
      <c r="A61" s="272"/>
      <c r="B61" s="272"/>
      <c r="C61" s="272"/>
      <c r="D61" s="272"/>
      <c r="E61" s="272"/>
    </row>
    <row r="62" spans="1:5" x14ac:dyDescent="0.2">
      <c r="A62" s="272"/>
      <c r="B62" s="272"/>
      <c r="C62" s="272"/>
      <c r="D62" s="272"/>
      <c r="E62" s="272"/>
    </row>
    <row r="63" spans="1:5" x14ac:dyDescent="0.2">
      <c r="A63" s="272"/>
      <c r="B63" s="272"/>
      <c r="C63" s="272"/>
      <c r="D63" s="272"/>
      <c r="E63" s="272"/>
    </row>
    <row r="64" spans="1:5" x14ac:dyDescent="0.2">
      <c r="A64" s="272"/>
      <c r="B64" s="272"/>
      <c r="C64" s="272"/>
      <c r="D64" s="272"/>
      <c r="E64" s="272"/>
    </row>
    <row r="65" spans="1:5" x14ac:dyDescent="0.2">
      <c r="A65" s="272"/>
      <c r="B65" s="272"/>
      <c r="C65" s="272"/>
      <c r="D65" s="272"/>
      <c r="E65" s="272"/>
    </row>
    <row r="66" spans="1:5" x14ac:dyDescent="0.2">
      <c r="A66" s="272"/>
      <c r="B66" s="272"/>
      <c r="C66" s="272"/>
      <c r="D66" s="272"/>
      <c r="E66" s="272"/>
    </row>
    <row r="67" spans="1:5" x14ac:dyDescent="0.2">
      <c r="A67" s="272"/>
      <c r="B67" s="272"/>
      <c r="C67" s="272"/>
      <c r="D67" s="272"/>
      <c r="E67" s="272"/>
    </row>
    <row r="68" spans="1:5" x14ac:dyDescent="0.2">
      <c r="A68" s="272"/>
      <c r="B68" s="272"/>
      <c r="C68" s="272"/>
      <c r="D68" s="272"/>
      <c r="E68" s="272"/>
    </row>
    <row r="69" spans="1:5" x14ac:dyDescent="0.2">
      <c r="A69" s="272"/>
      <c r="B69" s="272"/>
      <c r="C69" s="272"/>
      <c r="D69" s="272"/>
      <c r="E69" s="272"/>
    </row>
    <row r="70" spans="1:5" x14ac:dyDescent="0.2">
      <c r="A70" s="272"/>
      <c r="B70" s="272"/>
      <c r="C70" s="272"/>
      <c r="D70" s="272"/>
      <c r="E70" s="272"/>
    </row>
    <row r="71" spans="1:5" x14ac:dyDescent="0.2">
      <c r="A71" s="272"/>
      <c r="B71" s="272"/>
      <c r="C71" s="272"/>
      <c r="D71" s="272"/>
      <c r="E71" s="272"/>
    </row>
    <row r="72" spans="1:5" x14ac:dyDescent="0.2">
      <c r="A72" s="272"/>
      <c r="B72" s="272"/>
      <c r="C72" s="272"/>
      <c r="D72" s="272"/>
      <c r="E72" s="272"/>
    </row>
    <row r="73" spans="1:5" x14ac:dyDescent="0.2">
      <c r="A73" s="272"/>
      <c r="B73" s="272"/>
      <c r="C73" s="272"/>
      <c r="D73" s="272"/>
      <c r="E73" s="272"/>
    </row>
    <row r="74" spans="1:5" x14ac:dyDescent="0.2">
      <c r="A74" s="272"/>
      <c r="B74" s="272"/>
      <c r="C74" s="272"/>
      <c r="D74" s="272"/>
      <c r="E74" s="272"/>
    </row>
    <row r="75" spans="1:5" x14ac:dyDescent="0.2">
      <c r="A75" s="272"/>
      <c r="B75" s="272"/>
      <c r="C75" s="272"/>
      <c r="D75" s="272"/>
      <c r="E75" s="272"/>
    </row>
    <row r="76" spans="1:5" x14ac:dyDescent="0.2">
      <c r="A76" s="272"/>
      <c r="B76" s="272"/>
      <c r="C76" s="272"/>
      <c r="D76" s="272"/>
      <c r="E76" s="272"/>
    </row>
    <row r="77" spans="1:5" x14ac:dyDescent="0.2">
      <c r="A77" s="272"/>
      <c r="B77" s="272"/>
      <c r="C77" s="272"/>
      <c r="D77" s="272"/>
      <c r="E77" s="272"/>
    </row>
    <row r="78" spans="1:5" x14ac:dyDescent="0.2">
      <c r="A78" s="272"/>
      <c r="B78" s="272"/>
      <c r="C78" s="272"/>
      <c r="D78" s="272"/>
      <c r="E78" s="272"/>
    </row>
    <row r="79" spans="1:5" x14ac:dyDescent="0.2">
      <c r="A79" s="272"/>
      <c r="B79" s="272"/>
      <c r="C79" s="272"/>
      <c r="D79" s="272"/>
      <c r="E79" s="272"/>
    </row>
    <row r="80" spans="1:5" x14ac:dyDescent="0.2">
      <c r="A80" s="272"/>
      <c r="B80" s="272"/>
      <c r="C80" s="272"/>
      <c r="D80" s="272"/>
      <c r="E80" s="272"/>
    </row>
    <row r="81" spans="1:5" x14ac:dyDescent="0.2">
      <c r="A81" s="272"/>
      <c r="B81" s="272"/>
      <c r="C81" s="272"/>
      <c r="D81" s="272"/>
      <c r="E81" s="272"/>
    </row>
    <row r="82" spans="1:5" x14ac:dyDescent="0.2">
      <c r="A82" s="272"/>
      <c r="B82" s="272"/>
      <c r="C82" s="272"/>
      <c r="D82" s="272"/>
      <c r="E82" s="272"/>
    </row>
    <row r="83" spans="1:5" x14ac:dyDescent="0.2">
      <c r="A83" s="272"/>
      <c r="B83" s="272"/>
      <c r="C83" s="272"/>
      <c r="D83" s="272"/>
      <c r="E83" s="272"/>
    </row>
    <row r="84" spans="1:5" x14ac:dyDescent="0.2">
      <c r="A84" s="272"/>
      <c r="B84" s="272"/>
      <c r="C84" s="272"/>
      <c r="D84" s="272"/>
      <c r="E84" s="272"/>
    </row>
    <row r="85" spans="1:5" x14ac:dyDescent="0.2">
      <c r="A85" s="272"/>
      <c r="B85" s="272"/>
      <c r="C85" s="272"/>
      <c r="D85" s="272"/>
      <c r="E85" s="272"/>
    </row>
    <row r="86" spans="1:5" x14ac:dyDescent="0.2">
      <c r="A86" s="272"/>
      <c r="B86" s="272"/>
      <c r="C86" s="272"/>
      <c r="D86" s="272"/>
      <c r="E86" s="272"/>
    </row>
    <row r="87" spans="1:5" x14ac:dyDescent="0.2">
      <c r="A87" s="272"/>
      <c r="B87" s="272"/>
      <c r="C87" s="272"/>
      <c r="D87" s="272"/>
      <c r="E87" s="272"/>
    </row>
    <row r="88" spans="1:5" x14ac:dyDescent="0.2">
      <c r="A88" s="272"/>
      <c r="B88" s="272"/>
      <c r="C88" s="272"/>
      <c r="D88" s="272"/>
      <c r="E88" s="272"/>
    </row>
    <row r="89" spans="1:5" x14ac:dyDescent="0.2">
      <c r="A89" s="272"/>
      <c r="B89" s="272"/>
      <c r="C89" s="272"/>
      <c r="D89" s="272"/>
      <c r="E89" s="272"/>
    </row>
    <row r="90" spans="1:5" x14ac:dyDescent="0.2">
      <c r="A90" s="272"/>
      <c r="B90" s="272"/>
      <c r="C90" s="272"/>
      <c r="D90" s="272"/>
      <c r="E90" s="272"/>
    </row>
    <row r="91" spans="1:5" x14ac:dyDescent="0.2">
      <c r="A91" s="272"/>
      <c r="B91" s="272"/>
      <c r="C91" s="272"/>
      <c r="D91" s="272"/>
      <c r="E91" s="272"/>
    </row>
    <row r="92" spans="1:5" x14ac:dyDescent="0.2">
      <c r="A92" s="272"/>
      <c r="B92" s="272"/>
      <c r="C92" s="272"/>
      <c r="D92" s="272"/>
      <c r="E92" s="272"/>
    </row>
    <row r="93" spans="1:5" x14ac:dyDescent="0.2">
      <c r="A93" s="272"/>
      <c r="B93" s="272"/>
      <c r="C93" s="272"/>
      <c r="D93" s="272"/>
      <c r="E93" s="272"/>
    </row>
    <row r="94" spans="1:5" x14ac:dyDescent="0.2">
      <c r="A94" s="272"/>
      <c r="B94" s="272"/>
      <c r="C94" s="272"/>
      <c r="D94" s="272"/>
      <c r="E94" s="272"/>
    </row>
    <row r="95" spans="1:5" x14ac:dyDescent="0.2">
      <c r="A95" s="272"/>
      <c r="B95" s="272"/>
      <c r="C95" s="272"/>
      <c r="D95" s="272"/>
      <c r="E95" s="272"/>
    </row>
    <row r="96" spans="1:5" x14ac:dyDescent="0.2">
      <c r="A96" s="272"/>
      <c r="B96" s="272"/>
      <c r="C96" s="272"/>
      <c r="D96" s="272"/>
      <c r="E96" s="272"/>
    </row>
    <row r="97" spans="1:5" x14ac:dyDescent="0.2">
      <c r="A97" s="272"/>
      <c r="B97" s="272"/>
      <c r="C97" s="272"/>
      <c r="D97" s="272"/>
      <c r="E97" s="272"/>
    </row>
    <row r="98" spans="1:5" x14ac:dyDescent="0.2">
      <c r="A98" s="272"/>
      <c r="B98" s="272"/>
      <c r="C98" s="272"/>
      <c r="D98" s="272"/>
      <c r="E98" s="272"/>
    </row>
    <row r="99" spans="1:5" x14ac:dyDescent="0.2">
      <c r="A99" s="272"/>
      <c r="B99" s="272"/>
      <c r="C99" s="272"/>
      <c r="D99" s="272"/>
      <c r="E99" s="272"/>
    </row>
    <row r="100" spans="1:5" x14ac:dyDescent="0.2">
      <c r="A100" s="272"/>
      <c r="B100" s="272"/>
      <c r="C100" s="272"/>
      <c r="D100" s="272"/>
      <c r="E100" s="272"/>
    </row>
    <row r="101" spans="1:5" x14ac:dyDescent="0.2">
      <c r="A101" s="272"/>
      <c r="B101" s="272"/>
      <c r="C101" s="272"/>
      <c r="D101" s="272"/>
      <c r="E101" s="272"/>
    </row>
    <row r="102" spans="1:5" x14ac:dyDescent="0.2">
      <c r="A102" s="272"/>
      <c r="B102" s="272"/>
      <c r="C102" s="272"/>
      <c r="D102" s="272"/>
      <c r="E102" s="272"/>
    </row>
    <row r="103" spans="1:5" x14ac:dyDescent="0.2">
      <c r="A103" s="272"/>
      <c r="B103" s="272"/>
      <c r="C103" s="272"/>
      <c r="D103" s="272"/>
      <c r="E103" s="272"/>
    </row>
    <row r="104" spans="1:5" x14ac:dyDescent="0.2">
      <c r="A104" s="272"/>
      <c r="B104" s="272"/>
      <c r="C104" s="272"/>
      <c r="D104" s="272"/>
      <c r="E104" s="272"/>
    </row>
    <row r="105" spans="1:5" x14ac:dyDescent="0.2">
      <c r="A105" s="272"/>
      <c r="B105" s="272"/>
      <c r="C105" s="272"/>
      <c r="D105" s="272"/>
      <c r="E105" s="272"/>
    </row>
    <row r="106" spans="1:5" x14ac:dyDescent="0.2">
      <c r="A106" s="272"/>
      <c r="B106" s="272"/>
      <c r="C106" s="272"/>
      <c r="D106" s="272"/>
      <c r="E106" s="272"/>
    </row>
    <row r="107" spans="1:5" x14ac:dyDescent="0.2">
      <c r="A107" s="272"/>
      <c r="B107" s="272"/>
      <c r="C107" s="272"/>
      <c r="D107" s="272"/>
      <c r="E107" s="272"/>
    </row>
    <row r="108" spans="1:5" x14ac:dyDescent="0.2">
      <c r="A108" s="272"/>
      <c r="B108" s="272"/>
      <c r="C108" s="272"/>
      <c r="D108" s="272"/>
      <c r="E108" s="272"/>
    </row>
    <row r="109" spans="1:5" x14ac:dyDescent="0.2">
      <c r="A109" s="272"/>
      <c r="B109" s="272"/>
      <c r="C109" s="272"/>
      <c r="D109" s="272"/>
      <c r="E109" s="272"/>
    </row>
    <row r="110" spans="1:5" x14ac:dyDescent="0.2">
      <c r="A110" s="272"/>
      <c r="B110" s="272"/>
      <c r="C110" s="272"/>
      <c r="D110" s="272"/>
      <c r="E110" s="272"/>
    </row>
    <row r="111" spans="1:5" x14ac:dyDescent="0.2">
      <c r="A111" s="272"/>
      <c r="B111" s="272"/>
      <c r="C111" s="272"/>
      <c r="D111" s="272"/>
      <c r="E111" s="272"/>
    </row>
    <row r="112" spans="1:5" x14ac:dyDescent="0.2">
      <c r="A112" s="272"/>
      <c r="B112" s="272"/>
      <c r="C112" s="272"/>
      <c r="D112" s="272"/>
      <c r="E112" s="272"/>
    </row>
    <row r="113" spans="1:5" x14ac:dyDescent="0.2">
      <c r="A113" s="272"/>
      <c r="B113" s="272"/>
      <c r="C113" s="272"/>
      <c r="D113" s="272"/>
      <c r="E113" s="272"/>
    </row>
    <row r="114" spans="1:5" x14ac:dyDescent="0.2">
      <c r="A114" s="272"/>
      <c r="B114" s="272"/>
      <c r="C114" s="272"/>
      <c r="D114" s="272"/>
      <c r="E114" s="272"/>
    </row>
    <row r="115" spans="1:5" x14ac:dyDescent="0.2">
      <c r="A115" s="272"/>
      <c r="B115" s="272"/>
      <c r="C115" s="272"/>
      <c r="D115" s="272"/>
      <c r="E115" s="272"/>
    </row>
    <row r="116" spans="1:5" x14ac:dyDescent="0.2">
      <c r="A116" s="272"/>
      <c r="B116" s="272"/>
      <c r="C116" s="272"/>
      <c r="D116" s="272"/>
      <c r="E116" s="272"/>
    </row>
    <row r="117" spans="1:5" x14ac:dyDescent="0.2">
      <c r="A117" s="272"/>
      <c r="B117" s="272"/>
      <c r="C117" s="272"/>
      <c r="D117" s="272"/>
      <c r="E117" s="272"/>
    </row>
    <row r="118" spans="1:5" x14ac:dyDescent="0.2">
      <c r="A118" s="272"/>
      <c r="B118" s="272"/>
      <c r="C118" s="272"/>
      <c r="D118" s="272"/>
      <c r="E118" s="272"/>
    </row>
    <row r="119" spans="1:5" x14ac:dyDescent="0.2">
      <c r="A119" s="272"/>
      <c r="B119" s="272"/>
      <c r="C119" s="272"/>
      <c r="D119" s="272"/>
      <c r="E119" s="272"/>
    </row>
    <row r="120" spans="1:5" x14ac:dyDescent="0.2">
      <c r="A120" s="272"/>
      <c r="B120" s="272"/>
      <c r="C120" s="272"/>
      <c r="D120" s="272"/>
      <c r="E120" s="272"/>
    </row>
    <row r="121" spans="1:5" x14ac:dyDescent="0.2">
      <c r="A121" s="272"/>
      <c r="B121" s="272"/>
      <c r="C121" s="272"/>
      <c r="D121" s="272"/>
      <c r="E121" s="272"/>
    </row>
    <row r="122" spans="1:5" x14ac:dyDescent="0.2">
      <c r="A122" s="272"/>
      <c r="B122" s="272"/>
      <c r="C122" s="272"/>
      <c r="D122" s="272"/>
      <c r="E122" s="272"/>
    </row>
    <row r="123" spans="1:5" x14ac:dyDescent="0.2">
      <c r="A123" s="272"/>
      <c r="B123" s="272"/>
      <c r="C123" s="272"/>
      <c r="D123" s="272"/>
      <c r="E123" s="272"/>
    </row>
    <row r="124" spans="1:5" x14ac:dyDescent="0.2">
      <c r="A124" s="272"/>
      <c r="B124" s="272"/>
      <c r="C124" s="272"/>
      <c r="D124" s="272"/>
      <c r="E124" s="272"/>
    </row>
    <row r="125" spans="1:5" x14ac:dyDescent="0.2">
      <c r="A125" s="272"/>
      <c r="B125" s="272"/>
      <c r="C125" s="272"/>
      <c r="D125" s="272"/>
      <c r="E125" s="272"/>
    </row>
    <row r="126" spans="1:5" x14ac:dyDescent="0.2">
      <c r="A126" s="272"/>
      <c r="B126" s="272"/>
      <c r="C126" s="272"/>
      <c r="D126" s="272"/>
      <c r="E126" s="272"/>
    </row>
    <row r="127" spans="1:5" x14ac:dyDescent="0.2">
      <c r="A127" s="272"/>
      <c r="B127" s="272"/>
      <c r="C127" s="272"/>
      <c r="D127" s="272"/>
      <c r="E127" s="272"/>
    </row>
    <row r="128" spans="1:5" x14ac:dyDescent="0.2">
      <c r="A128" s="272"/>
      <c r="B128" s="272"/>
      <c r="C128" s="272"/>
      <c r="D128" s="272"/>
      <c r="E128" s="272"/>
    </row>
    <row r="129" spans="1:5" x14ac:dyDescent="0.2">
      <c r="A129" s="272"/>
      <c r="B129" s="272"/>
      <c r="C129" s="272"/>
      <c r="D129" s="272"/>
      <c r="E129" s="272"/>
    </row>
    <row r="130" spans="1:5" x14ac:dyDescent="0.2">
      <c r="A130" s="272"/>
      <c r="B130" s="272"/>
      <c r="C130" s="272"/>
      <c r="D130" s="272"/>
      <c r="E130" s="272"/>
    </row>
    <row r="131" spans="1:5" x14ac:dyDescent="0.2">
      <c r="A131" s="272"/>
      <c r="B131" s="272"/>
      <c r="C131" s="272"/>
      <c r="D131" s="272"/>
      <c r="E131" s="272"/>
    </row>
    <row r="132" spans="1:5" x14ac:dyDescent="0.2">
      <c r="A132" s="272"/>
      <c r="B132" s="272"/>
      <c r="C132" s="272"/>
      <c r="D132" s="272"/>
      <c r="E132" s="272"/>
    </row>
    <row r="133" spans="1:5" x14ac:dyDescent="0.2">
      <c r="A133" s="272"/>
      <c r="B133" s="272"/>
      <c r="C133" s="272"/>
      <c r="D133" s="272"/>
      <c r="E133" s="272"/>
    </row>
    <row r="134" spans="1:5" x14ac:dyDescent="0.2">
      <c r="A134" s="272"/>
      <c r="B134" s="272"/>
      <c r="C134" s="272"/>
      <c r="D134" s="272"/>
      <c r="E134" s="272"/>
    </row>
    <row r="135" spans="1:5" x14ac:dyDescent="0.2">
      <c r="A135" s="272"/>
      <c r="B135" s="272"/>
      <c r="C135" s="272"/>
      <c r="D135" s="272"/>
      <c r="E135" s="272"/>
    </row>
    <row r="136" spans="1:5" x14ac:dyDescent="0.2">
      <c r="A136" s="272"/>
      <c r="B136" s="272"/>
      <c r="C136" s="272"/>
      <c r="D136" s="272"/>
      <c r="E136" s="272"/>
    </row>
    <row r="137" spans="1:5" x14ac:dyDescent="0.2">
      <c r="A137" s="272"/>
      <c r="B137" s="272"/>
      <c r="C137" s="272"/>
      <c r="D137" s="272"/>
      <c r="E137" s="272"/>
    </row>
    <row r="138" spans="1:5" x14ac:dyDescent="0.2">
      <c r="A138" s="272"/>
      <c r="B138" s="272"/>
      <c r="C138" s="272"/>
      <c r="D138" s="272"/>
      <c r="E138" s="272"/>
    </row>
    <row r="139" spans="1:5" x14ac:dyDescent="0.2">
      <c r="A139" s="272"/>
      <c r="B139" s="272"/>
      <c r="C139" s="272"/>
      <c r="D139" s="272"/>
      <c r="E139" s="272"/>
    </row>
    <row r="140" spans="1:5" x14ac:dyDescent="0.2">
      <c r="A140" s="272"/>
      <c r="B140" s="272"/>
      <c r="C140" s="272"/>
      <c r="D140" s="272"/>
      <c r="E140" s="272"/>
    </row>
    <row r="141" spans="1:5" x14ac:dyDescent="0.2">
      <c r="A141" s="272"/>
      <c r="B141" s="272"/>
      <c r="C141" s="272"/>
      <c r="D141" s="272"/>
      <c r="E141" s="272"/>
    </row>
    <row r="142" spans="1:5" x14ac:dyDescent="0.2">
      <c r="A142" s="272"/>
      <c r="B142" s="272"/>
      <c r="C142" s="272"/>
      <c r="D142" s="272"/>
      <c r="E142" s="272"/>
    </row>
    <row r="143" spans="1:5" x14ac:dyDescent="0.2">
      <c r="A143" s="272"/>
      <c r="B143" s="272"/>
      <c r="C143" s="272"/>
      <c r="D143" s="272"/>
      <c r="E143" s="272"/>
    </row>
    <row r="144" spans="1:5" x14ac:dyDescent="0.2">
      <c r="A144" s="272"/>
      <c r="B144" s="272"/>
      <c r="C144" s="272"/>
      <c r="D144" s="272"/>
      <c r="E144" s="272"/>
    </row>
    <row r="145" spans="1:5" x14ac:dyDescent="0.2">
      <c r="A145" s="272"/>
      <c r="B145" s="272"/>
      <c r="C145" s="272"/>
      <c r="D145" s="272"/>
      <c r="E145" s="272"/>
    </row>
    <row r="146" spans="1:5" x14ac:dyDescent="0.2">
      <c r="A146" s="272"/>
      <c r="B146" s="272"/>
      <c r="C146" s="272"/>
      <c r="D146" s="272"/>
      <c r="E146" s="272"/>
    </row>
    <row r="147" spans="1:5" x14ac:dyDescent="0.2">
      <c r="A147" s="272"/>
      <c r="B147" s="272"/>
      <c r="C147" s="272"/>
      <c r="D147" s="272"/>
      <c r="E147" s="272"/>
    </row>
    <row r="148" spans="1:5" x14ac:dyDescent="0.2">
      <c r="A148" s="272"/>
      <c r="B148" s="272"/>
      <c r="C148" s="272"/>
      <c r="D148" s="272"/>
      <c r="E148" s="272"/>
    </row>
    <row r="149" spans="1:5" x14ac:dyDescent="0.2">
      <c r="A149" s="272"/>
      <c r="B149" s="272"/>
      <c r="C149" s="272"/>
      <c r="D149" s="272"/>
      <c r="E149" s="272"/>
    </row>
    <row r="150" spans="1:5" x14ac:dyDescent="0.2">
      <c r="A150" s="272"/>
      <c r="B150" s="272"/>
      <c r="C150" s="272"/>
      <c r="D150" s="272"/>
      <c r="E150" s="272"/>
    </row>
    <row r="151" spans="1:5" x14ac:dyDescent="0.2">
      <c r="A151" s="272"/>
      <c r="B151" s="272"/>
      <c r="C151" s="272"/>
      <c r="D151" s="272"/>
      <c r="E151" s="272"/>
    </row>
    <row r="152" spans="1:5" x14ac:dyDescent="0.2">
      <c r="A152" s="272"/>
      <c r="B152" s="272"/>
      <c r="C152" s="272"/>
      <c r="D152" s="272"/>
      <c r="E152" s="272"/>
    </row>
    <row r="153" spans="1:5" x14ac:dyDescent="0.2">
      <c r="A153" s="272"/>
      <c r="B153" s="272"/>
      <c r="C153" s="272"/>
      <c r="D153" s="272"/>
      <c r="E153" s="272"/>
    </row>
    <row r="154" spans="1:5" x14ac:dyDescent="0.2">
      <c r="A154" s="272"/>
      <c r="B154" s="272"/>
      <c r="C154" s="272"/>
      <c r="D154" s="272"/>
      <c r="E154" s="272"/>
    </row>
    <row r="155" spans="1:5" x14ac:dyDescent="0.2">
      <c r="A155" s="272"/>
      <c r="B155" s="272"/>
      <c r="C155" s="272"/>
      <c r="D155" s="272"/>
      <c r="E155" s="272"/>
    </row>
    <row r="156" spans="1:5" x14ac:dyDescent="0.2">
      <c r="A156" s="272"/>
      <c r="B156" s="272"/>
      <c r="C156" s="272"/>
      <c r="D156" s="272"/>
      <c r="E156" s="272"/>
    </row>
    <row r="157" spans="1:5" x14ac:dyDescent="0.2">
      <c r="A157" s="272"/>
      <c r="B157" s="272"/>
      <c r="C157" s="272"/>
      <c r="D157" s="272"/>
      <c r="E157" s="272"/>
    </row>
    <row r="158" spans="1:5" x14ac:dyDescent="0.2">
      <c r="A158" s="272"/>
      <c r="B158" s="272"/>
      <c r="C158" s="272"/>
      <c r="D158" s="272"/>
      <c r="E158" s="272"/>
    </row>
    <row r="159" spans="1:5" x14ac:dyDescent="0.2">
      <c r="A159" s="272"/>
      <c r="B159" s="272"/>
      <c r="C159" s="272"/>
      <c r="D159" s="272"/>
      <c r="E159" s="272"/>
    </row>
    <row r="160" spans="1:5" x14ac:dyDescent="0.2">
      <c r="A160" s="272"/>
      <c r="B160" s="272"/>
      <c r="C160" s="272"/>
      <c r="D160" s="272"/>
      <c r="E160" s="272"/>
    </row>
    <row r="161" spans="1:5" x14ac:dyDescent="0.2">
      <c r="A161" s="272"/>
      <c r="B161" s="272"/>
      <c r="C161" s="272"/>
      <c r="D161" s="272"/>
      <c r="E161" s="272"/>
    </row>
    <row r="162" spans="1:5" x14ac:dyDescent="0.2">
      <c r="A162" s="272"/>
      <c r="B162" s="272"/>
      <c r="C162" s="272"/>
      <c r="D162" s="272"/>
      <c r="E162" s="272"/>
    </row>
    <row r="163" spans="1:5" x14ac:dyDescent="0.2">
      <c r="A163" s="272"/>
      <c r="B163" s="272"/>
      <c r="C163" s="272"/>
      <c r="D163" s="272"/>
      <c r="E163" s="272"/>
    </row>
    <row r="164" spans="1:5" x14ac:dyDescent="0.2">
      <c r="A164" s="272"/>
      <c r="B164" s="272"/>
      <c r="C164" s="272"/>
      <c r="D164" s="272"/>
      <c r="E164" s="272"/>
    </row>
    <row r="165" spans="1:5" x14ac:dyDescent="0.2">
      <c r="A165" s="272"/>
      <c r="B165" s="272"/>
      <c r="C165" s="272"/>
      <c r="D165" s="272"/>
      <c r="E165" s="272"/>
    </row>
    <row r="166" spans="1:5" x14ac:dyDescent="0.2">
      <c r="A166" s="272"/>
      <c r="B166" s="272"/>
      <c r="C166" s="272"/>
      <c r="D166" s="272"/>
      <c r="E166" s="272"/>
    </row>
    <row r="167" spans="1:5" x14ac:dyDescent="0.2">
      <c r="A167" s="272"/>
      <c r="B167" s="272"/>
      <c r="C167" s="272"/>
      <c r="D167" s="272"/>
      <c r="E167" s="272"/>
    </row>
    <row r="168" spans="1:5" x14ac:dyDescent="0.2">
      <c r="A168" s="272"/>
      <c r="B168" s="272"/>
      <c r="C168" s="272"/>
      <c r="D168" s="272"/>
      <c r="E168" s="272"/>
    </row>
    <row r="169" spans="1:5" x14ac:dyDescent="0.2">
      <c r="A169" s="272"/>
      <c r="B169" s="272"/>
      <c r="C169" s="272"/>
      <c r="D169" s="272"/>
      <c r="E169" s="272"/>
    </row>
    <row r="170" spans="1:5" x14ac:dyDescent="0.2">
      <c r="A170" s="272"/>
      <c r="B170" s="272"/>
      <c r="C170" s="272"/>
      <c r="D170" s="272"/>
      <c r="E170" s="272"/>
    </row>
    <row r="171" spans="1:5" x14ac:dyDescent="0.2">
      <c r="A171" s="272"/>
      <c r="B171" s="272"/>
      <c r="C171" s="272"/>
      <c r="D171" s="272"/>
      <c r="E171" s="272"/>
    </row>
    <row r="172" spans="1:5" x14ac:dyDescent="0.2">
      <c r="A172" s="272"/>
      <c r="B172" s="272"/>
      <c r="C172" s="272"/>
      <c r="D172" s="272"/>
      <c r="E172" s="272"/>
    </row>
    <row r="173" spans="1:5" x14ac:dyDescent="0.2">
      <c r="A173" s="272"/>
      <c r="B173" s="272"/>
      <c r="C173" s="272"/>
      <c r="D173" s="272"/>
      <c r="E173" s="272"/>
    </row>
    <row r="174" spans="1:5" x14ac:dyDescent="0.2">
      <c r="A174" s="272"/>
      <c r="B174" s="272"/>
      <c r="C174" s="272"/>
      <c r="D174" s="272"/>
      <c r="E174" s="272"/>
    </row>
    <row r="175" spans="1:5" x14ac:dyDescent="0.2">
      <c r="A175" s="272"/>
      <c r="B175" s="272"/>
      <c r="C175" s="272"/>
      <c r="D175" s="272"/>
      <c r="E175" s="272"/>
    </row>
    <row r="176" spans="1:5" x14ac:dyDescent="0.2">
      <c r="A176" s="272"/>
      <c r="B176" s="272"/>
      <c r="C176" s="272"/>
      <c r="D176" s="272"/>
      <c r="E176" s="272"/>
    </row>
    <row r="177" spans="1:5" x14ac:dyDescent="0.2">
      <c r="A177" s="272"/>
      <c r="B177" s="272"/>
      <c r="C177" s="272"/>
      <c r="D177" s="272"/>
      <c r="E177" s="272"/>
    </row>
    <row r="178" spans="1:5" x14ac:dyDescent="0.2">
      <c r="A178" s="272"/>
      <c r="B178" s="272"/>
      <c r="C178" s="272"/>
      <c r="D178" s="272"/>
      <c r="E178" s="272"/>
    </row>
    <row r="179" spans="1:5" x14ac:dyDescent="0.2">
      <c r="A179" s="272"/>
      <c r="B179" s="272"/>
      <c r="C179" s="272"/>
      <c r="D179" s="272"/>
      <c r="E179" s="272"/>
    </row>
    <row r="180" spans="1:5" x14ac:dyDescent="0.2">
      <c r="A180" s="272"/>
      <c r="B180" s="272"/>
      <c r="C180" s="272"/>
      <c r="D180" s="272"/>
      <c r="E180" s="272"/>
    </row>
    <row r="181" spans="1:5" x14ac:dyDescent="0.2">
      <c r="A181" s="272"/>
      <c r="B181" s="272"/>
      <c r="C181" s="272"/>
      <c r="D181" s="272"/>
      <c r="E181" s="272"/>
    </row>
    <row r="182" spans="1:5" x14ac:dyDescent="0.2">
      <c r="A182" s="272"/>
      <c r="B182" s="272"/>
      <c r="C182" s="272"/>
      <c r="D182" s="272"/>
      <c r="E182" s="272"/>
    </row>
    <row r="183" spans="1:5" x14ac:dyDescent="0.2">
      <c r="A183" s="272"/>
      <c r="B183" s="272"/>
      <c r="C183" s="272"/>
      <c r="D183" s="272"/>
      <c r="E183" s="272"/>
    </row>
    <row r="184" spans="1:5" x14ac:dyDescent="0.2">
      <c r="A184" s="272"/>
      <c r="B184" s="272"/>
      <c r="C184" s="272"/>
      <c r="D184" s="272"/>
      <c r="E184" s="272"/>
    </row>
    <row r="185" spans="1:5" x14ac:dyDescent="0.2">
      <c r="A185" s="272"/>
      <c r="B185" s="272"/>
      <c r="C185" s="272"/>
      <c r="D185" s="272"/>
      <c r="E185" s="272"/>
    </row>
    <row r="186" spans="1:5" x14ac:dyDescent="0.2">
      <c r="A186" s="272"/>
      <c r="B186" s="272"/>
      <c r="C186" s="272"/>
      <c r="D186" s="272"/>
      <c r="E186" s="272"/>
    </row>
    <row r="187" spans="1:5" x14ac:dyDescent="0.2">
      <c r="A187" s="272"/>
      <c r="B187" s="272"/>
      <c r="C187" s="272"/>
      <c r="D187" s="272"/>
      <c r="E187" s="272"/>
    </row>
    <row r="188" spans="1:5" x14ac:dyDescent="0.2">
      <c r="A188" s="272"/>
      <c r="B188" s="272"/>
      <c r="C188" s="272"/>
      <c r="D188" s="272"/>
      <c r="E188" s="272"/>
    </row>
    <row r="189" spans="1:5" x14ac:dyDescent="0.2">
      <c r="A189" s="272"/>
      <c r="B189" s="272"/>
      <c r="C189" s="272"/>
      <c r="D189" s="272"/>
      <c r="E189" s="272"/>
    </row>
    <row r="190" spans="1:5" x14ac:dyDescent="0.2">
      <c r="A190" s="272"/>
      <c r="B190" s="272"/>
      <c r="C190" s="272"/>
      <c r="D190" s="272"/>
      <c r="E190" s="272"/>
    </row>
    <row r="191" spans="1:5" x14ac:dyDescent="0.2">
      <c r="A191" s="272"/>
      <c r="B191" s="272"/>
      <c r="C191" s="272"/>
      <c r="D191" s="272"/>
      <c r="E191" s="272"/>
    </row>
    <row r="192" spans="1:5" x14ac:dyDescent="0.2">
      <c r="A192" s="272"/>
      <c r="B192" s="272"/>
      <c r="C192" s="272"/>
      <c r="D192" s="272"/>
      <c r="E192" s="272"/>
    </row>
    <row r="193" spans="1:5" x14ac:dyDescent="0.2">
      <c r="A193" s="272"/>
      <c r="B193" s="272"/>
      <c r="C193" s="272"/>
      <c r="D193" s="272"/>
      <c r="E193" s="272"/>
    </row>
    <row r="194" spans="1:5" x14ac:dyDescent="0.2">
      <c r="A194" s="272"/>
      <c r="B194" s="272"/>
      <c r="C194" s="272"/>
      <c r="D194" s="272"/>
      <c r="E194" s="272"/>
    </row>
    <row r="195" spans="1:5" x14ac:dyDescent="0.2">
      <c r="A195" s="272"/>
      <c r="B195" s="272"/>
      <c r="C195" s="272"/>
      <c r="D195" s="272"/>
      <c r="E195" s="272"/>
    </row>
    <row r="196" spans="1:5" x14ac:dyDescent="0.2">
      <c r="A196" s="272"/>
      <c r="B196" s="272"/>
      <c r="C196" s="272"/>
      <c r="D196" s="272"/>
      <c r="E196" s="272"/>
    </row>
    <row r="197" spans="1:5" x14ac:dyDescent="0.2">
      <c r="A197" s="272"/>
      <c r="B197" s="272"/>
      <c r="C197" s="272"/>
      <c r="D197" s="272"/>
      <c r="E197" s="272"/>
    </row>
    <row r="198" spans="1:5" x14ac:dyDescent="0.2">
      <c r="A198" s="272"/>
      <c r="B198" s="272"/>
      <c r="C198" s="272"/>
      <c r="D198" s="272"/>
      <c r="E198" s="272"/>
    </row>
    <row r="199" spans="1:5" x14ac:dyDescent="0.2">
      <c r="A199" s="272"/>
      <c r="B199" s="272"/>
      <c r="C199" s="272"/>
      <c r="D199" s="272"/>
      <c r="E199" s="272"/>
    </row>
    <row r="200" spans="1:5" x14ac:dyDescent="0.2">
      <c r="A200" s="272"/>
      <c r="B200" s="272"/>
      <c r="C200" s="272"/>
      <c r="D200" s="272"/>
      <c r="E200" s="272"/>
    </row>
    <row r="201" spans="1:5" x14ac:dyDescent="0.2">
      <c r="A201" s="272"/>
      <c r="B201" s="272"/>
      <c r="C201" s="272"/>
      <c r="D201" s="272"/>
      <c r="E201" s="272"/>
    </row>
    <row r="202" spans="1:5" x14ac:dyDescent="0.2">
      <c r="A202" s="272"/>
      <c r="B202" s="272"/>
      <c r="C202" s="272"/>
      <c r="D202" s="272"/>
      <c r="E202" s="272"/>
    </row>
    <row r="203" spans="1:5" x14ac:dyDescent="0.2">
      <c r="A203" s="272"/>
      <c r="B203" s="272"/>
      <c r="C203" s="272"/>
      <c r="D203" s="272"/>
      <c r="E203" s="272"/>
    </row>
    <row r="204" spans="1:5" x14ac:dyDescent="0.2">
      <c r="A204" s="272"/>
      <c r="B204" s="272"/>
      <c r="C204" s="272"/>
      <c r="D204" s="272"/>
      <c r="E204" s="272"/>
    </row>
    <row r="205" spans="1:5" x14ac:dyDescent="0.2">
      <c r="A205" s="272"/>
      <c r="B205" s="272"/>
      <c r="C205" s="272"/>
      <c r="D205" s="272"/>
      <c r="E205" s="272"/>
    </row>
    <row r="206" spans="1:5" x14ac:dyDescent="0.2">
      <c r="A206" s="272"/>
      <c r="B206" s="272"/>
      <c r="C206" s="272"/>
      <c r="D206" s="272"/>
      <c r="E206" s="272"/>
    </row>
    <row r="207" spans="1:5" x14ac:dyDescent="0.2">
      <c r="A207" s="272"/>
      <c r="B207" s="272"/>
      <c r="C207" s="272"/>
      <c r="D207" s="272"/>
      <c r="E207" s="272"/>
    </row>
    <row r="208" spans="1:5" x14ac:dyDescent="0.2">
      <c r="A208" s="272"/>
      <c r="B208" s="272"/>
      <c r="C208" s="272"/>
      <c r="D208" s="272"/>
      <c r="E208" s="272"/>
    </row>
    <row r="209" spans="1:5" x14ac:dyDescent="0.2">
      <c r="A209" s="272"/>
      <c r="B209" s="272"/>
      <c r="C209" s="272"/>
      <c r="D209" s="272"/>
      <c r="E209" s="272"/>
    </row>
    <row r="210" spans="1:5" x14ac:dyDescent="0.2">
      <c r="A210" s="272"/>
      <c r="B210" s="272"/>
      <c r="C210" s="272"/>
      <c r="D210" s="272"/>
      <c r="E210" s="272"/>
    </row>
    <row r="211" spans="1:5" x14ac:dyDescent="0.2">
      <c r="A211" s="272"/>
      <c r="B211" s="272"/>
      <c r="C211" s="272"/>
      <c r="D211" s="272"/>
      <c r="E211" s="272"/>
    </row>
    <row r="212" spans="1:5" x14ac:dyDescent="0.2">
      <c r="A212" s="272"/>
      <c r="B212" s="272"/>
      <c r="C212" s="272"/>
      <c r="D212" s="272"/>
      <c r="E212" s="272"/>
    </row>
    <row r="213" spans="1:5" x14ac:dyDescent="0.2">
      <c r="A213" s="272"/>
      <c r="B213" s="272"/>
      <c r="C213" s="272"/>
      <c r="D213" s="272"/>
      <c r="E213" s="272"/>
    </row>
    <row r="214" spans="1:5" x14ac:dyDescent="0.2">
      <c r="A214" s="272"/>
      <c r="B214" s="272"/>
      <c r="C214" s="272"/>
      <c r="D214" s="272"/>
      <c r="E214" s="272"/>
    </row>
    <row r="215" spans="1:5" x14ac:dyDescent="0.2">
      <c r="A215" s="272"/>
      <c r="B215" s="272"/>
      <c r="C215" s="272"/>
      <c r="D215" s="272"/>
      <c r="E215" s="272"/>
    </row>
    <row r="216" spans="1:5" x14ac:dyDescent="0.2">
      <c r="A216" s="272"/>
      <c r="B216" s="272"/>
      <c r="C216" s="272"/>
      <c r="D216" s="272"/>
      <c r="E216" s="272"/>
    </row>
    <row r="217" spans="1:5" x14ac:dyDescent="0.2">
      <c r="A217" s="272"/>
      <c r="B217" s="272"/>
      <c r="C217" s="272"/>
      <c r="D217" s="272"/>
      <c r="E217" s="272"/>
    </row>
    <row r="218" spans="1:5" x14ac:dyDescent="0.2">
      <c r="A218" s="272"/>
      <c r="B218" s="272"/>
      <c r="C218" s="272"/>
      <c r="D218" s="272"/>
      <c r="E218" s="272"/>
    </row>
    <row r="219" spans="1:5" x14ac:dyDescent="0.2">
      <c r="A219" s="272"/>
      <c r="B219" s="272"/>
      <c r="C219" s="272"/>
      <c r="D219" s="272"/>
      <c r="E219" s="272"/>
    </row>
    <row r="220" spans="1:5" x14ac:dyDescent="0.2">
      <c r="A220" s="272"/>
      <c r="B220" s="272"/>
      <c r="C220" s="272"/>
      <c r="D220" s="272"/>
      <c r="E220" s="272"/>
    </row>
    <row r="221" spans="1:5" x14ac:dyDescent="0.2">
      <c r="A221" s="272"/>
      <c r="B221" s="272"/>
      <c r="C221" s="272"/>
      <c r="D221" s="272"/>
      <c r="E221" s="272"/>
    </row>
    <row r="222" spans="1:5" x14ac:dyDescent="0.2">
      <c r="A222" s="272"/>
      <c r="B222" s="272"/>
      <c r="C222" s="272"/>
      <c r="D222" s="272"/>
      <c r="E222" s="272"/>
    </row>
    <row r="223" spans="1:5" x14ac:dyDescent="0.2">
      <c r="A223" s="272"/>
      <c r="B223" s="272"/>
      <c r="C223" s="272"/>
      <c r="D223" s="272"/>
      <c r="E223" s="272"/>
    </row>
    <row r="224" spans="1:5" x14ac:dyDescent="0.2">
      <c r="A224" s="272"/>
      <c r="B224" s="272"/>
      <c r="C224" s="272"/>
      <c r="D224" s="272"/>
      <c r="E224" s="272"/>
    </row>
    <row r="225" spans="1:5" x14ac:dyDescent="0.2">
      <c r="A225" s="272"/>
      <c r="B225" s="272"/>
      <c r="C225" s="272"/>
      <c r="D225" s="272"/>
      <c r="E225" s="272"/>
    </row>
    <row r="226" spans="1:5" x14ac:dyDescent="0.2">
      <c r="A226" s="272"/>
      <c r="B226" s="272"/>
      <c r="C226" s="272"/>
      <c r="D226" s="272"/>
      <c r="E226" s="272"/>
    </row>
    <row r="227" spans="1:5" x14ac:dyDescent="0.2">
      <c r="A227" s="272"/>
      <c r="B227" s="272"/>
      <c r="C227" s="272"/>
      <c r="D227" s="272"/>
      <c r="E227" s="272"/>
    </row>
    <row r="228" spans="1:5" x14ac:dyDescent="0.2">
      <c r="A228" s="272"/>
      <c r="B228" s="272"/>
      <c r="C228" s="272"/>
      <c r="D228" s="272"/>
      <c r="E228" s="272"/>
    </row>
    <row r="229" spans="1:5" x14ac:dyDescent="0.2">
      <c r="A229" s="272"/>
      <c r="B229" s="272"/>
      <c r="C229" s="272"/>
      <c r="D229" s="272"/>
      <c r="E229" s="272"/>
    </row>
    <row r="230" spans="1:5" x14ac:dyDescent="0.2">
      <c r="A230" s="272"/>
      <c r="B230" s="272"/>
      <c r="C230" s="272"/>
      <c r="D230" s="272"/>
      <c r="E230" s="272"/>
    </row>
    <row r="231" spans="1:5" x14ac:dyDescent="0.2">
      <c r="A231" s="272"/>
      <c r="B231" s="272"/>
      <c r="C231" s="272"/>
      <c r="D231" s="272"/>
      <c r="E231" s="272"/>
    </row>
    <row r="232" spans="1:5" x14ac:dyDescent="0.2">
      <c r="A232" s="272"/>
      <c r="B232" s="272"/>
      <c r="C232" s="272"/>
      <c r="D232" s="272"/>
      <c r="E232" s="272"/>
    </row>
    <row r="233" spans="1:5" x14ac:dyDescent="0.2">
      <c r="A233" s="272"/>
      <c r="B233" s="272"/>
      <c r="C233" s="272"/>
      <c r="D233" s="272"/>
      <c r="E233" s="272"/>
    </row>
    <row r="234" spans="1:5" x14ac:dyDescent="0.2">
      <c r="A234" s="272"/>
      <c r="B234" s="272"/>
      <c r="C234" s="272"/>
      <c r="D234" s="272"/>
      <c r="E234" s="272"/>
    </row>
    <row r="235" spans="1:5" x14ac:dyDescent="0.2">
      <c r="A235" s="272"/>
      <c r="B235" s="272"/>
      <c r="C235" s="272"/>
      <c r="D235" s="272"/>
      <c r="E235" s="272"/>
    </row>
    <row r="236" spans="1:5" x14ac:dyDescent="0.2">
      <c r="A236" s="272"/>
      <c r="B236" s="272"/>
      <c r="C236" s="272"/>
      <c r="D236" s="272"/>
      <c r="E236" s="272"/>
    </row>
    <row r="237" spans="1:5" x14ac:dyDescent="0.2">
      <c r="A237" s="272"/>
      <c r="B237" s="272"/>
      <c r="C237" s="272"/>
      <c r="D237" s="272"/>
      <c r="E237" s="272"/>
    </row>
    <row r="238" spans="1:5" x14ac:dyDescent="0.2">
      <c r="A238" s="272"/>
      <c r="B238" s="272"/>
      <c r="C238" s="272"/>
      <c r="D238" s="272"/>
      <c r="E238" s="272"/>
    </row>
    <row r="239" spans="1:5" x14ac:dyDescent="0.2">
      <c r="A239" s="272"/>
      <c r="B239" s="272"/>
      <c r="C239" s="272"/>
      <c r="D239" s="272"/>
      <c r="E239" s="272"/>
    </row>
    <row r="240" spans="1:5" x14ac:dyDescent="0.2">
      <c r="A240" s="272"/>
      <c r="B240" s="272"/>
      <c r="C240" s="272"/>
      <c r="D240" s="272"/>
      <c r="E240" s="272"/>
    </row>
    <row r="241" spans="1:5" x14ac:dyDescent="0.2">
      <c r="A241" s="272"/>
      <c r="B241" s="272"/>
      <c r="C241" s="272"/>
      <c r="D241" s="272"/>
      <c r="E241" s="272"/>
    </row>
    <row r="242" spans="1:5" x14ac:dyDescent="0.2">
      <c r="A242" s="272"/>
      <c r="B242" s="272"/>
      <c r="C242" s="272"/>
      <c r="D242" s="272"/>
      <c r="E242" s="272"/>
    </row>
    <row r="243" spans="1:5" x14ac:dyDescent="0.2">
      <c r="A243" s="272"/>
      <c r="B243" s="272"/>
      <c r="C243" s="272"/>
      <c r="D243" s="272"/>
      <c r="E243" s="272"/>
    </row>
    <row r="244" spans="1:5" x14ac:dyDescent="0.2">
      <c r="A244" s="272"/>
      <c r="B244" s="272"/>
      <c r="C244" s="272"/>
      <c r="D244" s="272"/>
      <c r="E244" s="272"/>
    </row>
    <row r="245" spans="1:5" x14ac:dyDescent="0.2">
      <c r="A245" s="272"/>
      <c r="B245" s="272"/>
      <c r="C245" s="272"/>
      <c r="D245" s="272"/>
      <c r="E245" s="272"/>
    </row>
    <row r="246" spans="1:5" x14ac:dyDescent="0.2">
      <c r="A246" s="272"/>
      <c r="B246" s="272"/>
      <c r="C246" s="272"/>
      <c r="D246" s="272"/>
      <c r="E246" s="272"/>
    </row>
    <row r="247" spans="1:5" x14ac:dyDescent="0.2">
      <c r="A247" s="272"/>
      <c r="B247" s="272"/>
      <c r="C247" s="272"/>
      <c r="D247" s="272"/>
      <c r="E247" s="272"/>
    </row>
    <row r="248" spans="1:5" x14ac:dyDescent="0.2">
      <c r="A248" s="272"/>
      <c r="B248" s="272"/>
      <c r="C248" s="272"/>
      <c r="D248" s="272"/>
      <c r="E248" s="272"/>
    </row>
    <row r="249" spans="1:5" x14ac:dyDescent="0.2">
      <c r="A249" s="272"/>
      <c r="B249" s="272"/>
      <c r="C249" s="272"/>
      <c r="D249" s="272"/>
      <c r="E249" s="272"/>
    </row>
    <row r="250" spans="1:5" x14ac:dyDescent="0.2">
      <c r="A250" s="272"/>
      <c r="B250" s="272"/>
      <c r="C250" s="272"/>
      <c r="D250" s="272"/>
      <c r="E250" s="272"/>
    </row>
    <row r="251" spans="1:5" x14ac:dyDescent="0.2">
      <c r="A251" s="272"/>
      <c r="B251" s="272"/>
      <c r="C251" s="272"/>
      <c r="D251" s="272"/>
      <c r="E251" s="272"/>
    </row>
    <row r="252" spans="1:5" x14ac:dyDescent="0.2">
      <c r="A252" s="272"/>
      <c r="B252" s="272"/>
      <c r="C252" s="272"/>
      <c r="D252" s="272"/>
      <c r="E252" s="272"/>
    </row>
    <row r="253" spans="1:5" x14ac:dyDescent="0.2">
      <c r="A253" s="272"/>
      <c r="B253" s="272"/>
      <c r="C253" s="272"/>
      <c r="D253" s="272"/>
      <c r="E253" s="272"/>
    </row>
    <row r="254" spans="1:5" x14ac:dyDescent="0.2">
      <c r="A254" s="272"/>
      <c r="B254" s="272"/>
      <c r="C254" s="272"/>
      <c r="D254" s="272"/>
      <c r="E254" s="272"/>
    </row>
    <row r="255" spans="1:5" x14ac:dyDescent="0.2">
      <c r="A255" s="272"/>
      <c r="B255" s="272"/>
      <c r="C255" s="272"/>
      <c r="D255" s="272"/>
      <c r="E255" s="272"/>
    </row>
    <row r="256" spans="1:5" x14ac:dyDescent="0.2">
      <c r="A256" s="272"/>
      <c r="B256" s="272"/>
      <c r="C256" s="272"/>
      <c r="D256" s="272"/>
      <c r="E256" s="272"/>
    </row>
    <row r="257" spans="1:5" x14ac:dyDescent="0.2">
      <c r="A257" s="272"/>
      <c r="B257" s="272"/>
      <c r="C257" s="272"/>
      <c r="D257" s="272"/>
      <c r="E257" s="272"/>
    </row>
    <row r="258" spans="1:5" x14ac:dyDescent="0.2">
      <c r="A258" s="272"/>
      <c r="B258" s="272"/>
      <c r="C258" s="272"/>
      <c r="D258" s="272"/>
      <c r="E258" s="272"/>
    </row>
    <row r="259" spans="1:5" x14ac:dyDescent="0.2">
      <c r="A259" s="272"/>
      <c r="B259" s="272"/>
      <c r="C259" s="272"/>
      <c r="D259" s="272"/>
      <c r="E259" s="272"/>
    </row>
    <row r="260" spans="1:5" x14ac:dyDescent="0.2">
      <c r="A260" s="272"/>
      <c r="B260" s="272"/>
      <c r="C260" s="272"/>
      <c r="D260" s="272"/>
      <c r="E260" s="272"/>
    </row>
    <row r="261" spans="1:5" x14ac:dyDescent="0.2">
      <c r="A261" s="272"/>
      <c r="B261" s="272"/>
      <c r="C261" s="272"/>
      <c r="D261" s="272"/>
      <c r="E261" s="272"/>
    </row>
    <row r="262" spans="1:5" x14ac:dyDescent="0.2">
      <c r="A262" s="272"/>
      <c r="B262" s="272"/>
      <c r="C262" s="272"/>
      <c r="D262" s="272"/>
      <c r="E262" s="272"/>
    </row>
    <row r="263" spans="1:5" x14ac:dyDescent="0.2">
      <c r="A263" s="272"/>
      <c r="B263" s="272"/>
      <c r="C263" s="272"/>
      <c r="D263" s="272"/>
      <c r="E263" s="272"/>
    </row>
    <row r="264" spans="1:5" x14ac:dyDescent="0.2">
      <c r="A264" s="272"/>
      <c r="B264" s="272"/>
      <c r="C264" s="272"/>
      <c r="D264" s="272"/>
      <c r="E264" s="272"/>
    </row>
    <row r="265" spans="1:5" x14ac:dyDescent="0.2">
      <c r="A265" s="272"/>
      <c r="B265" s="272"/>
      <c r="C265" s="272"/>
      <c r="D265" s="272"/>
      <c r="E265" s="272"/>
    </row>
    <row r="266" spans="1:5" x14ac:dyDescent="0.2">
      <c r="A266" s="272"/>
      <c r="B266" s="272"/>
      <c r="C266" s="272"/>
      <c r="D266" s="272"/>
      <c r="E266" s="272"/>
    </row>
    <row r="267" spans="1:5" x14ac:dyDescent="0.2">
      <c r="A267" s="272"/>
      <c r="B267" s="272"/>
      <c r="C267" s="272"/>
      <c r="D267" s="272"/>
      <c r="E267" s="272"/>
    </row>
    <row r="268" spans="1:5" x14ac:dyDescent="0.2">
      <c r="A268" s="272"/>
      <c r="B268" s="272"/>
      <c r="C268" s="272"/>
      <c r="D268" s="272"/>
      <c r="E268" s="272"/>
    </row>
    <row r="269" spans="1:5" x14ac:dyDescent="0.2">
      <c r="A269" s="272"/>
      <c r="B269" s="272"/>
      <c r="C269" s="272"/>
      <c r="D269" s="272"/>
      <c r="E269" s="272"/>
    </row>
    <row r="270" spans="1:5" x14ac:dyDescent="0.2">
      <c r="A270" s="272"/>
      <c r="B270" s="272"/>
      <c r="C270" s="272"/>
      <c r="D270" s="272"/>
      <c r="E270" s="272"/>
    </row>
    <row r="271" spans="1:5" x14ac:dyDescent="0.2">
      <c r="A271" s="272"/>
      <c r="B271" s="272"/>
      <c r="C271" s="272"/>
      <c r="D271" s="272"/>
      <c r="E271" s="272"/>
    </row>
    <row r="272" spans="1:5" x14ac:dyDescent="0.2">
      <c r="A272" s="272"/>
      <c r="B272" s="272"/>
      <c r="C272" s="272"/>
      <c r="D272" s="272"/>
      <c r="E272" s="272"/>
    </row>
    <row r="273" spans="1:5" x14ac:dyDescent="0.2">
      <c r="A273" s="272"/>
      <c r="B273" s="272"/>
      <c r="C273" s="272"/>
      <c r="D273" s="272"/>
      <c r="E273" s="272"/>
    </row>
    <row r="274" spans="1:5" x14ac:dyDescent="0.2">
      <c r="A274" s="272"/>
      <c r="B274" s="272"/>
      <c r="C274" s="272"/>
      <c r="D274" s="272"/>
      <c r="E274" s="272"/>
    </row>
    <row r="275" spans="1:5" x14ac:dyDescent="0.2">
      <c r="A275" s="272"/>
      <c r="B275" s="272"/>
      <c r="C275" s="272"/>
      <c r="D275" s="272"/>
      <c r="E275" s="272"/>
    </row>
    <row r="276" spans="1:5" x14ac:dyDescent="0.2">
      <c r="A276" s="272"/>
      <c r="B276" s="272"/>
      <c r="C276" s="272"/>
      <c r="D276" s="272"/>
      <c r="E276" s="272"/>
    </row>
    <row r="277" spans="1:5" x14ac:dyDescent="0.2">
      <c r="A277" s="272"/>
      <c r="B277" s="272"/>
      <c r="C277" s="272"/>
      <c r="D277" s="272"/>
      <c r="E277" s="272"/>
    </row>
    <row r="278" spans="1:5" x14ac:dyDescent="0.2">
      <c r="A278" s="272"/>
      <c r="B278" s="272"/>
      <c r="C278" s="272"/>
      <c r="D278" s="272"/>
      <c r="E278" s="272"/>
    </row>
    <row r="279" spans="1:5" x14ac:dyDescent="0.2">
      <c r="A279" s="272"/>
      <c r="B279" s="272"/>
      <c r="C279" s="272"/>
      <c r="D279" s="272"/>
      <c r="E279" s="272"/>
    </row>
    <row r="280" spans="1:5" x14ac:dyDescent="0.2">
      <c r="A280" s="272"/>
      <c r="B280" s="272"/>
      <c r="C280" s="272"/>
      <c r="D280" s="272"/>
      <c r="E280" s="272"/>
    </row>
    <row r="281" spans="1:5" x14ac:dyDescent="0.2">
      <c r="A281" s="272"/>
      <c r="B281" s="272"/>
      <c r="C281" s="272"/>
      <c r="D281" s="272"/>
      <c r="E281" s="272"/>
    </row>
    <row r="282" spans="1:5" x14ac:dyDescent="0.2">
      <c r="A282" s="272"/>
      <c r="B282" s="272"/>
      <c r="C282" s="272"/>
      <c r="D282" s="272"/>
      <c r="E282" s="272"/>
    </row>
    <row r="283" spans="1:5" x14ac:dyDescent="0.2">
      <c r="A283" s="272"/>
      <c r="B283" s="272"/>
      <c r="C283" s="272"/>
      <c r="D283" s="272"/>
      <c r="E283" s="272"/>
    </row>
    <row r="284" spans="1:5" x14ac:dyDescent="0.2">
      <c r="A284" s="272"/>
      <c r="B284" s="272"/>
      <c r="C284" s="272"/>
      <c r="D284" s="272"/>
      <c r="E284" s="272"/>
    </row>
    <row r="285" spans="1:5" x14ac:dyDescent="0.2">
      <c r="A285" s="272"/>
      <c r="B285" s="272"/>
      <c r="C285" s="272"/>
      <c r="D285" s="272"/>
      <c r="E285" s="272"/>
    </row>
    <row r="286" spans="1:5" x14ac:dyDescent="0.2">
      <c r="A286" s="272"/>
      <c r="B286" s="272"/>
      <c r="C286" s="272"/>
      <c r="D286" s="272"/>
      <c r="E286" s="272"/>
    </row>
    <row r="287" spans="1:5" x14ac:dyDescent="0.2">
      <c r="A287" s="272"/>
      <c r="B287" s="272"/>
      <c r="C287" s="272"/>
      <c r="D287" s="272"/>
      <c r="E287" s="272"/>
    </row>
    <row r="288" spans="1:5" x14ac:dyDescent="0.2">
      <c r="A288" s="272"/>
      <c r="B288" s="272"/>
      <c r="C288" s="272"/>
      <c r="D288" s="272"/>
      <c r="E288" s="272"/>
    </row>
    <row r="289" spans="1:5" x14ac:dyDescent="0.2">
      <c r="A289" s="272"/>
      <c r="B289" s="272"/>
      <c r="C289" s="272"/>
      <c r="D289" s="272"/>
      <c r="E289" s="272"/>
    </row>
    <row r="290" spans="1:5" x14ac:dyDescent="0.2">
      <c r="A290" s="272"/>
      <c r="B290" s="272"/>
      <c r="C290" s="272"/>
      <c r="D290" s="272"/>
      <c r="E290" s="272"/>
    </row>
    <row r="291" spans="1:5" x14ac:dyDescent="0.2">
      <c r="A291" s="272"/>
      <c r="B291" s="272"/>
      <c r="C291" s="272"/>
      <c r="D291" s="272"/>
      <c r="E291" s="272"/>
    </row>
    <row r="292" spans="1:5" x14ac:dyDescent="0.2">
      <c r="A292" s="272"/>
      <c r="B292" s="272"/>
      <c r="C292" s="272"/>
      <c r="D292" s="272"/>
      <c r="E292" s="272"/>
    </row>
    <row r="293" spans="1:5" x14ac:dyDescent="0.2">
      <c r="A293" s="272"/>
      <c r="B293" s="272"/>
      <c r="C293" s="272"/>
      <c r="D293" s="272"/>
      <c r="E293" s="272"/>
    </row>
    <row r="294" spans="1:5" x14ac:dyDescent="0.2">
      <c r="A294" s="272"/>
      <c r="B294" s="272"/>
      <c r="C294" s="272"/>
      <c r="D294" s="272"/>
      <c r="E294" s="272"/>
    </row>
    <row r="295" spans="1:5" x14ac:dyDescent="0.2">
      <c r="A295" s="272"/>
      <c r="B295" s="272"/>
      <c r="C295" s="272"/>
      <c r="D295" s="272"/>
      <c r="E295" s="272"/>
    </row>
    <row r="296" spans="1:5" x14ac:dyDescent="0.2">
      <c r="A296" s="272"/>
      <c r="B296" s="272"/>
      <c r="C296" s="272"/>
      <c r="D296" s="272"/>
      <c r="E296" s="272"/>
    </row>
    <row r="297" spans="1:5" x14ac:dyDescent="0.2">
      <c r="A297" s="272"/>
      <c r="B297" s="272"/>
      <c r="C297" s="272"/>
      <c r="D297" s="272"/>
      <c r="E297" s="272"/>
    </row>
    <row r="298" spans="1:5" x14ac:dyDescent="0.2">
      <c r="A298" s="272"/>
      <c r="B298" s="272"/>
      <c r="C298" s="272"/>
      <c r="D298" s="272"/>
      <c r="E298" s="272"/>
    </row>
    <row r="299" spans="1:5" x14ac:dyDescent="0.2">
      <c r="A299" s="272"/>
      <c r="B299" s="272"/>
      <c r="C299" s="272"/>
      <c r="D299" s="272"/>
      <c r="E299" s="272"/>
    </row>
    <row r="300" spans="1:5" x14ac:dyDescent="0.2">
      <c r="A300" s="272"/>
      <c r="B300" s="272"/>
      <c r="C300" s="272"/>
      <c r="D300" s="272"/>
      <c r="E300" s="272"/>
    </row>
    <row r="301" spans="1:5" x14ac:dyDescent="0.2">
      <c r="A301" s="272"/>
      <c r="B301" s="272"/>
      <c r="C301" s="272"/>
      <c r="D301" s="272"/>
      <c r="E301" s="272"/>
    </row>
    <row r="302" spans="1:5" x14ac:dyDescent="0.2">
      <c r="A302" s="272"/>
      <c r="B302" s="272"/>
      <c r="C302" s="272"/>
      <c r="D302" s="272"/>
      <c r="E302" s="272"/>
    </row>
    <row r="303" spans="1:5" x14ac:dyDescent="0.2">
      <c r="A303" s="272"/>
      <c r="B303" s="272"/>
      <c r="C303" s="272"/>
      <c r="D303" s="272"/>
      <c r="E303" s="272"/>
    </row>
    <row r="304" spans="1:5" x14ac:dyDescent="0.2">
      <c r="A304" s="272"/>
      <c r="B304" s="272"/>
      <c r="C304" s="272"/>
      <c r="D304" s="272"/>
      <c r="E304" s="272"/>
    </row>
    <row r="305" spans="1:5" x14ac:dyDescent="0.2">
      <c r="A305" s="272"/>
      <c r="B305" s="272"/>
      <c r="C305" s="272"/>
      <c r="D305" s="272"/>
      <c r="E305" s="272"/>
    </row>
    <row r="306" spans="1:5" x14ac:dyDescent="0.2">
      <c r="A306" s="272"/>
      <c r="B306" s="272"/>
      <c r="C306" s="272"/>
      <c r="D306" s="272"/>
      <c r="E306" s="272"/>
    </row>
    <row r="307" spans="1:5" x14ac:dyDescent="0.2">
      <c r="A307" s="272"/>
      <c r="B307" s="272"/>
      <c r="C307" s="272"/>
      <c r="D307" s="272"/>
      <c r="E307" s="272"/>
    </row>
    <row r="308" spans="1:5" x14ac:dyDescent="0.2">
      <c r="A308" s="272"/>
      <c r="B308" s="272"/>
      <c r="C308" s="272"/>
      <c r="D308" s="272"/>
      <c r="E308" s="272"/>
    </row>
    <row r="309" spans="1:5" x14ac:dyDescent="0.2">
      <c r="A309" s="272"/>
      <c r="B309" s="272"/>
      <c r="C309" s="272"/>
      <c r="D309" s="272"/>
      <c r="E309" s="272"/>
    </row>
    <row r="310" spans="1:5" x14ac:dyDescent="0.2">
      <c r="A310" s="272"/>
      <c r="B310" s="272"/>
      <c r="C310" s="272"/>
      <c r="D310" s="272"/>
      <c r="E310" s="272"/>
    </row>
    <row r="311" spans="1:5" x14ac:dyDescent="0.2">
      <c r="A311" s="272"/>
      <c r="B311" s="272"/>
      <c r="C311" s="272"/>
      <c r="D311" s="272"/>
      <c r="E311" s="272"/>
    </row>
    <row r="312" spans="1:5" x14ac:dyDescent="0.2">
      <c r="A312" s="272"/>
      <c r="B312" s="272"/>
      <c r="C312" s="272"/>
      <c r="D312" s="272"/>
      <c r="E312" s="272"/>
    </row>
    <row r="313" spans="1:5" x14ac:dyDescent="0.2">
      <c r="A313" s="272"/>
      <c r="B313" s="272"/>
      <c r="C313" s="272"/>
      <c r="D313" s="272"/>
      <c r="E313" s="272"/>
    </row>
    <row r="314" spans="1:5" x14ac:dyDescent="0.2">
      <c r="A314" s="272"/>
      <c r="B314" s="272"/>
      <c r="C314" s="272"/>
      <c r="D314" s="272"/>
      <c r="E314" s="272"/>
    </row>
    <row r="315" spans="1:5" x14ac:dyDescent="0.2">
      <c r="A315" s="272"/>
      <c r="B315" s="272"/>
      <c r="C315" s="272"/>
      <c r="D315" s="272"/>
      <c r="E315" s="272"/>
    </row>
    <row r="316" spans="1:5" x14ac:dyDescent="0.2">
      <c r="A316" s="272"/>
      <c r="B316" s="272"/>
      <c r="C316" s="272"/>
      <c r="D316" s="272"/>
      <c r="E316" s="272"/>
    </row>
    <row r="317" spans="1:5" x14ac:dyDescent="0.2">
      <c r="A317" s="272"/>
      <c r="B317" s="272"/>
      <c r="C317" s="272"/>
      <c r="D317" s="272"/>
      <c r="E317" s="272"/>
    </row>
    <row r="318" spans="1:5" x14ac:dyDescent="0.2">
      <c r="A318" s="272"/>
      <c r="B318" s="272"/>
      <c r="C318" s="272"/>
      <c r="D318" s="272"/>
      <c r="E318" s="272"/>
    </row>
    <row r="319" spans="1:5" x14ac:dyDescent="0.2">
      <c r="A319" s="272"/>
      <c r="B319" s="272"/>
      <c r="C319" s="272"/>
      <c r="D319" s="272"/>
      <c r="E319" s="272"/>
    </row>
    <row r="320" spans="1:5" x14ac:dyDescent="0.2">
      <c r="A320" s="272"/>
      <c r="B320" s="272"/>
      <c r="C320" s="272"/>
      <c r="D320" s="272"/>
      <c r="E320" s="272"/>
    </row>
    <row r="321" spans="1:5" x14ac:dyDescent="0.2">
      <c r="A321" s="272"/>
      <c r="B321" s="272"/>
      <c r="C321" s="272"/>
      <c r="D321" s="272"/>
      <c r="E321" s="272"/>
    </row>
    <row r="322" spans="1:5" x14ac:dyDescent="0.2">
      <c r="A322" s="272"/>
      <c r="B322" s="272"/>
      <c r="C322" s="272"/>
      <c r="D322" s="272"/>
      <c r="E322" s="272"/>
    </row>
    <row r="323" spans="1:5" x14ac:dyDescent="0.2">
      <c r="A323" s="272"/>
      <c r="B323" s="272"/>
      <c r="C323" s="272"/>
      <c r="D323" s="272"/>
      <c r="E323" s="272"/>
    </row>
    <row r="324" spans="1:5" x14ac:dyDescent="0.2">
      <c r="A324" s="272"/>
      <c r="B324" s="272"/>
      <c r="C324" s="272"/>
      <c r="D324" s="272"/>
      <c r="E324" s="272"/>
    </row>
    <row r="325" spans="1:5" x14ac:dyDescent="0.2">
      <c r="A325" s="272"/>
      <c r="B325" s="272"/>
      <c r="C325" s="272"/>
      <c r="D325" s="272"/>
      <c r="E325" s="272"/>
    </row>
    <row r="326" spans="1:5" x14ac:dyDescent="0.2">
      <c r="A326" s="272"/>
      <c r="B326" s="272"/>
      <c r="C326" s="272"/>
      <c r="D326" s="272"/>
      <c r="E326" s="272"/>
    </row>
    <row r="327" spans="1:5" x14ac:dyDescent="0.2">
      <c r="A327" s="272"/>
      <c r="B327" s="272"/>
      <c r="C327" s="272"/>
      <c r="D327" s="272"/>
      <c r="E327" s="272"/>
    </row>
    <row r="328" spans="1:5" x14ac:dyDescent="0.2">
      <c r="A328" s="272"/>
      <c r="B328" s="272"/>
      <c r="C328" s="272"/>
      <c r="D328" s="272"/>
      <c r="E328" s="272"/>
    </row>
    <row r="329" spans="1:5" x14ac:dyDescent="0.2">
      <c r="A329" s="272"/>
      <c r="B329" s="272"/>
      <c r="C329" s="272"/>
      <c r="D329" s="272"/>
      <c r="E329" s="272"/>
    </row>
    <row r="330" spans="1:5" x14ac:dyDescent="0.2">
      <c r="A330" s="272"/>
      <c r="B330" s="272"/>
      <c r="C330" s="272"/>
      <c r="D330" s="272"/>
      <c r="E330" s="272"/>
    </row>
    <row r="331" spans="1:5" x14ac:dyDescent="0.2">
      <c r="A331" s="272"/>
      <c r="B331" s="272"/>
      <c r="C331" s="272"/>
      <c r="D331" s="272"/>
      <c r="E331" s="272"/>
    </row>
    <row r="332" spans="1:5" x14ac:dyDescent="0.2">
      <c r="A332" s="272"/>
      <c r="B332" s="272"/>
      <c r="C332" s="272"/>
      <c r="D332" s="272"/>
      <c r="E332" s="272"/>
    </row>
    <row r="333" spans="1:5" x14ac:dyDescent="0.2">
      <c r="A333" s="272"/>
      <c r="B333" s="272"/>
      <c r="C333" s="272"/>
      <c r="D333" s="272"/>
      <c r="E333" s="272"/>
    </row>
    <row r="334" spans="1:5" x14ac:dyDescent="0.2">
      <c r="A334" s="272"/>
      <c r="B334" s="272"/>
      <c r="C334" s="272"/>
      <c r="D334" s="272"/>
      <c r="E334" s="272"/>
    </row>
    <row r="335" spans="1:5" x14ac:dyDescent="0.2">
      <c r="A335" s="272"/>
      <c r="B335" s="272"/>
      <c r="C335" s="272"/>
      <c r="D335" s="272"/>
      <c r="E335" s="272"/>
    </row>
    <row r="336" spans="1:5" x14ac:dyDescent="0.2">
      <c r="A336" s="272"/>
      <c r="B336" s="272"/>
      <c r="C336" s="272"/>
      <c r="D336" s="272"/>
      <c r="E336" s="272"/>
    </row>
    <row r="337" spans="1:5" x14ac:dyDescent="0.2">
      <c r="A337" s="272"/>
      <c r="B337" s="272"/>
      <c r="C337" s="272"/>
      <c r="D337" s="272"/>
      <c r="E337" s="272"/>
    </row>
    <row r="338" spans="1:5" x14ac:dyDescent="0.2">
      <c r="A338" s="272"/>
      <c r="B338" s="272"/>
      <c r="C338" s="272"/>
      <c r="D338" s="272"/>
      <c r="E338" s="272"/>
    </row>
    <row r="339" spans="1:5" x14ac:dyDescent="0.2">
      <c r="A339" s="272"/>
      <c r="B339" s="272"/>
      <c r="C339" s="272"/>
      <c r="D339" s="272"/>
      <c r="E339" s="272"/>
    </row>
    <row r="340" spans="1:5" x14ac:dyDescent="0.2">
      <c r="A340" s="272"/>
      <c r="B340" s="272"/>
      <c r="C340" s="272"/>
      <c r="D340" s="272"/>
      <c r="E340" s="272"/>
    </row>
    <row r="341" spans="1:5" x14ac:dyDescent="0.2">
      <c r="A341" s="272"/>
      <c r="B341" s="272"/>
      <c r="C341" s="272"/>
      <c r="D341" s="272"/>
      <c r="E341" s="272"/>
    </row>
    <row r="342" spans="1:5" x14ac:dyDescent="0.2">
      <c r="A342" s="272"/>
      <c r="B342" s="272"/>
      <c r="C342" s="272"/>
      <c r="D342" s="272"/>
      <c r="E342" s="272"/>
    </row>
    <row r="343" spans="1:5" x14ac:dyDescent="0.2">
      <c r="A343" s="272"/>
      <c r="B343" s="272"/>
      <c r="C343" s="272"/>
      <c r="D343" s="272"/>
      <c r="E343" s="272"/>
    </row>
    <row r="344" spans="1:5" x14ac:dyDescent="0.2">
      <c r="A344" s="272"/>
      <c r="B344" s="272"/>
      <c r="C344" s="272"/>
      <c r="D344" s="272"/>
      <c r="E344" s="272"/>
    </row>
    <row r="345" spans="1:5" x14ac:dyDescent="0.2">
      <c r="A345" s="272"/>
      <c r="B345" s="272"/>
      <c r="C345" s="272"/>
      <c r="D345" s="272"/>
      <c r="E345" s="272"/>
    </row>
    <row r="346" spans="1:5" x14ac:dyDescent="0.2">
      <c r="A346" s="272"/>
      <c r="B346" s="272"/>
      <c r="C346" s="272"/>
      <c r="D346" s="272"/>
      <c r="E346" s="272"/>
    </row>
    <row r="347" spans="1:5" x14ac:dyDescent="0.2">
      <c r="A347" s="272"/>
      <c r="B347" s="272"/>
      <c r="C347" s="272"/>
      <c r="D347" s="272"/>
      <c r="E347" s="272"/>
    </row>
    <row r="348" spans="1:5" x14ac:dyDescent="0.2">
      <c r="A348" s="272"/>
      <c r="B348" s="272"/>
      <c r="C348" s="272"/>
      <c r="D348" s="272"/>
      <c r="E348" s="272"/>
    </row>
    <row r="349" spans="1:5" x14ac:dyDescent="0.2">
      <c r="A349" s="272"/>
      <c r="B349" s="272"/>
      <c r="C349" s="272"/>
      <c r="D349" s="272"/>
      <c r="E349" s="272"/>
    </row>
    <row r="350" spans="1:5" x14ac:dyDescent="0.2">
      <c r="A350" s="272"/>
      <c r="B350" s="272"/>
      <c r="C350" s="272"/>
      <c r="D350" s="272"/>
      <c r="E350" s="272"/>
    </row>
    <row r="351" spans="1:5" x14ac:dyDescent="0.2">
      <c r="A351" s="272"/>
      <c r="B351" s="272"/>
      <c r="C351" s="272"/>
      <c r="D351" s="272"/>
      <c r="E351" s="272"/>
    </row>
    <row r="352" spans="1:5" x14ac:dyDescent="0.2">
      <c r="A352" s="272"/>
      <c r="B352" s="272"/>
      <c r="C352" s="272"/>
      <c r="D352" s="272"/>
      <c r="E352" s="272"/>
    </row>
    <row r="353" spans="1:5" x14ac:dyDescent="0.2">
      <c r="A353" s="272"/>
      <c r="B353" s="272"/>
      <c r="C353" s="272"/>
      <c r="D353" s="272"/>
      <c r="E353" s="272"/>
    </row>
    <row r="354" spans="1:5" x14ac:dyDescent="0.2">
      <c r="A354" s="272"/>
      <c r="B354" s="272"/>
      <c r="C354" s="272"/>
      <c r="D354" s="272"/>
      <c r="E354" s="272"/>
    </row>
    <row r="355" spans="1:5" x14ac:dyDescent="0.2">
      <c r="A355" s="272"/>
      <c r="B355" s="272"/>
      <c r="C355" s="272"/>
      <c r="D355" s="272"/>
      <c r="E355" s="272"/>
    </row>
    <row r="356" spans="1:5" x14ac:dyDescent="0.2">
      <c r="A356" s="272"/>
      <c r="B356" s="272"/>
      <c r="C356" s="272"/>
      <c r="D356" s="272"/>
      <c r="E356" s="272"/>
    </row>
    <row r="357" spans="1:5" x14ac:dyDescent="0.2">
      <c r="A357" s="272"/>
      <c r="B357" s="272"/>
      <c r="C357" s="272"/>
      <c r="D357" s="272"/>
      <c r="E357" s="272"/>
    </row>
    <row r="358" spans="1:5" x14ac:dyDescent="0.2">
      <c r="A358" s="272"/>
      <c r="B358" s="272"/>
      <c r="C358" s="272"/>
      <c r="D358" s="272"/>
      <c r="E358" s="272"/>
    </row>
    <row r="359" spans="1:5" x14ac:dyDescent="0.2">
      <c r="A359" s="272"/>
      <c r="B359" s="272"/>
      <c r="C359" s="272"/>
      <c r="D359" s="272"/>
      <c r="E359" s="272"/>
    </row>
    <row r="360" spans="1:5" x14ac:dyDescent="0.2">
      <c r="A360" s="272"/>
      <c r="B360" s="272"/>
      <c r="C360" s="272"/>
      <c r="D360" s="272"/>
      <c r="E360" s="272"/>
    </row>
    <row r="361" spans="1:5" x14ac:dyDescent="0.2">
      <c r="A361" s="272"/>
      <c r="B361" s="272"/>
      <c r="C361" s="272"/>
      <c r="D361" s="272"/>
      <c r="E361" s="272"/>
    </row>
    <row r="362" spans="1:5" x14ac:dyDescent="0.2">
      <c r="A362" s="272"/>
      <c r="B362" s="272"/>
      <c r="C362" s="272"/>
      <c r="D362" s="272"/>
      <c r="E362" s="272"/>
    </row>
    <row r="363" spans="1:5" x14ac:dyDescent="0.2">
      <c r="A363" s="272"/>
      <c r="B363" s="272"/>
      <c r="C363" s="272"/>
      <c r="D363" s="272"/>
      <c r="E363" s="272"/>
    </row>
    <row r="364" spans="1:5" x14ac:dyDescent="0.2">
      <c r="A364" s="272"/>
      <c r="B364" s="272"/>
      <c r="C364" s="272"/>
      <c r="D364" s="272"/>
      <c r="E364" s="272"/>
    </row>
    <row r="365" spans="1:5" x14ac:dyDescent="0.2">
      <c r="A365" s="272"/>
      <c r="B365" s="272"/>
      <c r="C365" s="272"/>
      <c r="D365" s="272"/>
      <c r="E365" s="272"/>
    </row>
    <row r="366" spans="1:5" x14ac:dyDescent="0.2">
      <c r="A366" s="272"/>
      <c r="B366" s="272"/>
      <c r="C366" s="272"/>
      <c r="D366" s="272"/>
      <c r="E366" s="272"/>
    </row>
    <row r="367" spans="1:5" x14ac:dyDescent="0.2">
      <c r="A367" s="272"/>
      <c r="B367" s="272"/>
      <c r="C367" s="272"/>
      <c r="D367" s="272"/>
      <c r="E367" s="272"/>
    </row>
    <row r="368" spans="1:5" x14ac:dyDescent="0.2">
      <c r="A368" s="272"/>
      <c r="B368" s="272"/>
      <c r="C368" s="272"/>
      <c r="D368" s="272"/>
      <c r="E368" s="272"/>
    </row>
    <row r="369" spans="1:5" x14ac:dyDescent="0.2">
      <c r="A369" s="272"/>
      <c r="B369" s="272"/>
      <c r="C369" s="272"/>
      <c r="D369" s="272"/>
      <c r="E369" s="272"/>
    </row>
    <row r="370" spans="1:5" x14ac:dyDescent="0.2">
      <c r="A370" s="272"/>
      <c r="B370" s="272"/>
      <c r="C370" s="272"/>
      <c r="D370" s="272"/>
      <c r="E370" s="272"/>
    </row>
    <row r="371" spans="1:5" x14ac:dyDescent="0.2">
      <c r="A371" s="272"/>
      <c r="B371" s="272"/>
      <c r="C371" s="272"/>
      <c r="D371" s="272"/>
      <c r="E371" s="272"/>
    </row>
    <row r="372" spans="1:5" x14ac:dyDescent="0.2">
      <c r="A372" s="272"/>
      <c r="B372" s="272"/>
      <c r="C372" s="272"/>
      <c r="D372" s="272"/>
      <c r="E372" s="272"/>
    </row>
    <row r="373" spans="1:5" x14ac:dyDescent="0.2">
      <c r="A373" s="272"/>
      <c r="B373" s="272"/>
      <c r="C373" s="272"/>
      <c r="D373" s="272"/>
      <c r="E373" s="272"/>
    </row>
    <row r="374" spans="1:5" x14ac:dyDescent="0.2">
      <c r="A374" s="272"/>
      <c r="B374" s="272"/>
      <c r="C374" s="272"/>
      <c r="D374" s="272"/>
      <c r="E374" s="272"/>
    </row>
    <row r="375" spans="1:5" x14ac:dyDescent="0.2">
      <c r="A375" s="272"/>
      <c r="B375" s="272"/>
      <c r="C375" s="272"/>
      <c r="D375" s="272"/>
      <c r="E375" s="272"/>
    </row>
    <row r="376" spans="1:5" x14ac:dyDescent="0.2">
      <c r="A376" s="272"/>
      <c r="B376" s="272"/>
      <c r="C376" s="272"/>
      <c r="D376" s="272"/>
      <c r="E376" s="272"/>
    </row>
    <row r="377" spans="1:5" x14ac:dyDescent="0.2">
      <c r="A377" s="272"/>
      <c r="B377" s="272"/>
      <c r="C377" s="272"/>
      <c r="D377" s="272"/>
      <c r="E377" s="272"/>
    </row>
    <row r="378" spans="1:5" x14ac:dyDescent="0.2">
      <c r="A378" s="272"/>
      <c r="B378" s="272"/>
      <c r="C378" s="272"/>
      <c r="D378" s="272"/>
      <c r="E378" s="272"/>
    </row>
    <row r="379" spans="1:5" x14ac:dyDescent="0.2">
      <c r="A379" s="272"/>
      <c r="B379" s="272"/>
      <c r="C379" s="272"/>
      <c r="D379" s="272"/>
      <c r="E379" s="272"/>
    </row>
    <row r="380" spans="1:5" x14ac:dyDescent="0.2">
      <c r="A380" s="272"/>
      <c r="B380" s="272"/>
      <c r="C380" s="272"/>
      <c r="D380" s="272"/>
      <c r="E380" s="272"/>
    </row>
    <row r="381" spans="1:5" x14ac:dyDescent="0.2">
      <c r="A381" s="272"/>
      <c r="B381" s="272"/>
      <c r="C381" s="272"/>
      <c r="D381" s="272"/>
      <c r="E381" s="272"/>
    </row>
    <row r="382" spans="1:5" x14ac:dyDescent="0.2">
      <c r="A382" s="272"/>
      <c r="B382" s="272"/>
      <c r="C382" s="272"/>
      <c r="D382" s="272"/>
      <c r="E382" s="272"/>
    </row>
    <row r="383" spans="1:5" x14ac:dyDescent="0.2">
      <c r="A383" s="272"/>
      <c r="B383" s="272"/>
      <c r="C383" s="272"/>
      <c r="D383" s="272"/>
      <c r="E383" s="272"/>
    </row>
    <row r="384" spans="1:5" x14ac:dyDescent="0.2">
      <c r="A384" s="272"/>
      <c r="B384" s="272"/>
      <c r="C384" s="272"/>
      <c r="D384" s="272"/>
      <c r="E384" s="272"/>
    </row>
    <row r="385" spans="1:5" x14ac:dyDescent="0.2">
      <c r="A385" s="272"/>
      <c r="B385" s="272"/>
      <c r="C385" s="272"/>
      <c r="D385" s="272"/>
      <c r="E385" s="272"/>
    </row>
    <row r="386" spans="1:5" x14ac:dyDescent="0.2">
      <c r="A386" s="272"/>
      <c r="B386" s="272"/>
      <c r="C386" s="272"/>
      <c r="D386" s="272"/>
      <c r="E386" s="272"/>
    </row>
    <row r="387" spans="1:5" x14ac:dyDescent="0.2">
      <c r="A387" s="272"/>
      <c r="B387" s="272"/>
      <c r="C387" s="272"/>
      <c r="D387" s="272"/>
      <c r="E387" s="272"/>
    </row>
    <row r="388" spans="1:5" x14ac:dyDescent="0.2">
      <c r="A388" s="272"/>
      <c r="B388" s="272"/>
      <c r="C388" s="272"/>
      <c r="D388" s="272"/>
      <c r="E388" s="272"/>
    </row>
    <row r="389" spans="1:5" x14ac:dyDescent="0.2">
      <c r="A389" s="272"/>
      <c r="B389" s="272"/>
      <c r="C389" s="272"/>
      <c r="D389" s="272"/>
      <c r="E389" s="272"/>
    </row>
    <row r="390" spans="1:5" x14ac:dyDescent="0.2">
      <c r="A390" s="272"/>
      <c r="B390" s="272"/>
      <c r="C390" s="272"/>
      <c r="D390" s="272"/>
      <c r="E390" s="272"/>
    </row>
    <row r="391" spans="1:5" x14ac:dyDescent="0.2">
      <c r="A391" s="272"/>
      <c r="B391" s="272"/>
      <c r="C391" s="272"/>
      <c r="D391" s="272"/>
      <c r="E391" s="272"/>
    </row>
    <row r="392" spans="1:5" x14ac:dyDescent="0.2">
      <c r="A392" s="272"/>
      <c r="B392" s="272"/>
      <c r="C392" s="272"/>
      <c r="D392" s="272"/>
      <c r="E392" s="272"/>
    </row>
    <row r="393" spans="1:5" x14ac:dyDescent="0.2">
      <c r="A393" s="272"/>
      <c r="B393" s="272"/>
      <c r="C393" s="272"/>
      <c r="D393" s="272"/>
      <c r="E393" s="272"/>
    </row>
    <row r="394" spans="1:5" x14ac:dyDescent="0.2">
      <c r="A394" s="272"/>
      <c r="B394" s="272"/>
      <c r="C394" s="272"/>
      <c r="D394" s="272"/>
      <c r="E394" s="272"/>
    </row>
    <row r="395" spans="1:5" x14ac:dyDescent="0.2">
      <c r="A395" s="272"/>
      <c r="B395" s="272"/>
      <c r="C395" s="272"/>
      <c r="D395" s="272"/>
      <c r="E395" s="272"/>
    </row>
    <row r="396" spans="1:5" x14ac:dyDescent="0.2">
      <c r="A396" s="272"/>
      <c r="B396" s="272"/>
      <c r="C396" s="272"/>
      <c r="D396" s="272"/>
      <c r="E396" s="272"/>
    </row>
    <row r="397" spans="1:5" x14ac:dyDescent="0.2">
      <c r="A397" s="272"/>
      <c r="B397" s="272"/>
      <c r="C397" s="272"/>
      <c r="D397" s="272"/>
      <c r="E397" s="272"/>
    </row>
    <row r="398" spans="1:5" x14ac:dyDescent="0.2">
      <c r="A398" s="272"/>
      <c r="B398" s="272"/>
      <c r="C398" s="272"/>
      <c r="D398" s="272"/>
      <c r="E398" s="272"/>
    </row>
    <row r="399" spans="1:5" x14ac:dyDescent="0.2">
      <c r="A399" s="272"/>
      <c r="B399" s="272"/>
      <c r="C399" s="272"/>
      <c r="D399" s="272"/>
      <c r="E399" s="272"/>
    </row>
    <row r="400" spans="1:5" x14ac:dyDescent="0.2">
      <c r="A400" s="272"/>
      <c r="B400" s="272"/>
      <c r="C400" s="272"/>
      <c r="D400" s="272"/>
      <c r="E400" s="272"/>
    </row>
    <row r="401" spans="1:5" x14ac:dyDescent="0.2">
      <c r="A401" s="272"/>
      <c r="B401" s="272"/>
      <c r="C401" s="272"/>
      <c r="D401" s="272"/>
      <c r="E401" s="272"/>
    </row>
    <row r="402" spans="1:5" x14ac:dyDescent="0.2">
      <c r="A402" s="272"/>
      <c r="B402" s="272"/>
      <c r="C402" s="272"/>
      <c r="D402" s="272"/>
      <c r="E402" s="272"/>
    </row>
    <row r="403" spans="1:5" x14ac:dyDescent="0.2">
      <c r="A403" s="272"/>
      <c r="B403" s="272"/>
      <c r="C403" s="272"/>
      <c r="D403" s="272"/>
      <c r="E403" s="272"/>
    </row>
    <row r="404" spans="1:5" x14ac:dyDescent="0.2">
      <c r="A404" s="272"/>
      <c r="B404" s="272"/>
      <c r="C404" s="272"/>
      <c r="D404" s="272"/>
      <c r="E404" s="272"/>
    </row>
    <row r="405" spans="1:5" x14ac:dyDescent="0.2">
      <c r="A405" s="272"/>
      <c r="B405" s="272"/>
      <c r="C405" s="272"/>
      <c r="D405" s="272"/>
      <c r="E405" s="272"/>
    </row>
    <row r="406" spans="1:5" x14ac:dyDescent="0.2">
      <c r="A406" s="272"/>
      <c r="B406" s="272"/>
      <c r="C406" s="272"/>
      <c r="D406" s="272"/>
      <c r="E406" s="272"/>
    </row>
    <row r="407" spans="1:5" x14ac:dyDescent="0.2">
      <c r="A407" s="272"/>
      <c r="B407" s="272"/>
      <c r="C407" s="272"/>
      <c r="D407" s="272"/>
      <c r="E407" s="272"/>
    </row>
    <row r="408" spans="1:5" x14ac:dyDescent="0.2">
      <c r="A408" s="272"/>
      <c r="B408" s="272"/>
      <c r="C408" s="272"/>
      <c r="D408" s="272"/>
      <c r="E408" s="272"/>
    </row>
    <row r="409" spans="1:5" x14ac:dyDescent="0.2">
      <c r="A409" s="272"/>
      <c r="B409" s="272"/>
      <c r="C409" s="272"/>
      <c r="D409" s="272"/>
      <c r="E409" s="272"/>
    </row>
    <row r="410" spans="1:5" x14ac:dyDescent="0.2">
      <c r="A410" s="272"/>
      <c r="B410" s="272"/>
      <c r="C410" s="272"/>
      <c r="D410" s="272"/>
      <c r="E410" s="272"/>
    </row>
    <row r="411" spans="1:5" x14ac:dyDescent="0.2">
      <c r="A411" s="272"/>
      <c r="B411" s="272"/>
      <c r="C411" s="272"/>
      <c r="D411" s="272"/>
      <c r="E411" s="272"/>
    </row>
    <row r="412" spans="1:5" x14ac:dyDescent="0.2">
      <c r="A412" s="272"/>
      <c r="B412" s="272"/>
      <c r="C412" s="272"/>
      <c r="D412" s="272"/>
      <c r="E412" s="272"/>
    </row>
    <row r="413" spans="1:5" x14ac:dyDescent="0.2">
      <c r="A413" s="272"/>
      <c r="B413" s="272"/>
      <c r="C413" s="272"/>
      <c r="D413" s="272"/>
      <c r="E413" s="272"/>
    </row>
    <row r="414" spans="1:5" x14ac:dyDescent="0.2">
      <c r="A414" s="272"/>
      <c r="B414" s="272"/>
      <c r="C414" s="272"/>
      <c r="D414" s="272"/>
      <c r="E414" s="272"/>
    </row>
    <row r="415" spans="1:5" x14ac:dyDescent="0.2">
      <c r="A415" s="272"/>
      <c r="B415" s="272"/>
      <c r="C415" s="272"/>
      <c r="D415" s="272"/>
      <c r="E415" s="272"/>
    </row>
    <row r="416" spans="1:5" x14ac:dyDescent="0.2">
      <c r="A416" s="272"/>
      <c r="B416" s="272"/>
      <c r="C416" s="272"/>
      <c r="D416" s="272"/>
      <c r="E416" s="272"/>
    </row>
    <row r="417" spans="1:5" x14ac:dyDescent="0.2">
      <c r="A417" s="272"/>
      <c r="B417" s="272"/>
      <c r="C417" s="272"/>
      <c r="D417" s="272"/>
      <c r="E417" s="272"/>
    </row>
    <row r="418" spans="1:5" x14ac:dyDescent="0.2">
      <c r="A418" s="272"/>
      <c r="B418" s="272"/>
      <c r="C418" s="272"/>
      <c r="D418" s="272"/>
      <c r="E418" s="272"/>
    </row>
    <row r="419" spans="1:5" x14ac:dyDescent="0.2">
      <c r="A419" s="272"/>
      <c r="B419" s="272"/>
      <c r="C419" s="272"/>
      <c r="D419" s="272"/>
      <c r="E419" s="272"/>
    </row>
    <row r="420" spans="1:5" x14ac:dyDescent="0.2">
      <c r="A420" s="272"/>
      <c r="B420" s="272"/>
      <c r="C420" s="272"/>
      <c r="D420" s="272"/>
      <c r="E420" s="272"/>
    </row>
    <row r="421" spans="1:5" x14ac:dyDescent="0.2">
      <c r="A421" s="272"/>
      <c r="B421" s="272"/>
      <c r="C421" s="272"/>
      <c r="D421" s="272"/>
      <c r="E421" s="272"/>
    </row>
    <row r="422" spans="1:5" x14ac:dyDescent="0.2">
      <c r="A422" s="272"/>
      <c r="B422" s="272"/>
      <c r="C422" s="272"/>
      <c r="D422" s="272"/>
      <c r="E422" s="272"/>
    </row>
    <row r="423" spans="1:5" x14ac:dyDescent="0.2">
      <c r="A423" s="272"/>
      <c r="B423" s="272"/>
      <c r="C423" s="272"/>
      <c r="D423" s="272"/>
      <c r="E423" s="272"/>
    </row>
    <row r="424" spans="1:5" x14ac:dyDescent="0.2">
      <c r="A424" s="272"/>
      <c r="B424" s="272"/>
      <c r="C424" s="272"/>
      <c r="D424" s="272"/>
      <c r="E424" s="272"/>
    </row>
    <row r="425" spans="1:5" x14ac:dyDescent="0.2">
      <c r="A425" s="272"/>
      <c r="B425" s="272"/>
      <c r="C425" s="272"/>
      <c r="D425" s="272"/>
      <c r="E425" s="272"/>
    </row>
    <row r="426" spans="1:5" x14ac:dyDescent="0.2">
      <c r="A426" s="272"/>
      <c r="B426" s="272"/>
      <c r="C426" s="272"/>
      <c r="D426" s="272"/>
      <c r="E426" s="272"/>
    </row>
    <row r="427" spans="1:5" x14ac:dyDescent="0.2">
      <c r="A427" s="272"/>
      <c r="B427" s="272"/>
      <c r="C427" s="272"/>
      <c r="D427" s="272"/>
      <c r="E427" s="272"/>
    </row>
    <row r="428" spans="1:5" x14ac:dyDescent="0.2">
      <c r="A428" s="272"/>
      <c r="B428" s="272"/>
      <c r="C428" s="272"/>
      <c r="D428" s="272"/>
      <c r="E428" s="272"/>
    </row>
    <row r="429" spans="1:5" x14ac:dyDescent="0.2">
      <c r="A429" s="272"/>
      <c r="B429" s="272"/>
      <c r="C429" s="272"/>
      <c r="D429" s="272"/>
      <c r="E429" s="272"/>
    </row>
    <row r="430" spans="1:5" x14ac:dyDescent="0.2">
      <c r="A430" s="272"/>
      <c r="B430" s="272"/>
      <c r="C430" s="272"/>
      <c r="D430" s="272"/>
      <c r="E430" s="272"/>
    </row>
    <row r="431" spans="1:5" x14ac:dyDescent="0.2">
      <c r="A431" s="272"/>
      <c r="B431" s="272"/>
      <c r="C431" s="272"/>
      <c r="D431" s="272"/>
      <c r="E431" s="272"/>
    </row>
    <row r="432" spans="1:5" x14ac:dyDescent="0.2">
      <c r="A432" s="272"/>
      <c r="B432" s="272"/>
      <c r="C432" s="272"/>
      <c r="D432" s="272"/>
      <c r="E432" s="272"/>
    </row>
    <row r="433" spans="1:5" x14ac:dyDescent="0.2">
      <c r="A433" s="272"/>
      <c r="B433" s="272"/>
      <c r="C433" s="272"/>
      <c r="D433" s="272"/>
      <c r="E433" s="272"/>
    </row>
    <row r="434" spans="1:5" x14ac:dyDescent="0.2">
      <c r="A434" s="272"/>
      <c r="B434" s="272"/>
      <c r="C434" s="272"/>
      <c r="D434" s="272"/>
      <c r="E434" s="272"/>
    </row>
    <row r="435" spans="1:5" x14ac:dyDescent="0.2">
      <c r="A435" s="272"/>
      <c r="B435" s="272"/>
      <c r="C435" s="272"/>
      <c r="D435" s="272"/>
      <c r="E435" s="272"/>
    </row>
    <row r="436" spans="1:5" x14ac:dyDescent="0.2">
      <c r="A436" s="272"/>
      <c r="B436" s="272"/>
      <c r="C436" s="272"/>
      <c r="D436" s="272"/>
      <c r="E436" s="272"/>
    </row>
    <row r="437" spans="1:5" x14ac:dyDescent="0.2">
      <c r="A437" s="272"/>
      <c r="B437" s="272"/>
      <c r="C437" s="272"/>
      <c r="D437" s="272"/>
      <c r="E437" s="272"/>
    </row>
    <row r="438" spans="1:5" x14ac:dyDescent="0.2">
      <c r="A438" s="272"/>
      <c r="B438" s="272"/>
      <c r="C438" s="272"/>
      <c r="D438" s="272"/>
      <c r="E438" s="272"/>
    </row>
    <row r="439" spans="1:5" x14ac:dyDescent="0.2">
      <c r="A439" s="272"/>
      <c r="B439" s="272"/>
      <c r="C439" s="272"/>
      <c r="D439" s="272"/>
      <c r="E439" s="272"/>
    </row>
    <row r="440" spans="1:5" x14ac:dyDescent="0.2">
      <c r="A440" s="272"/>
      <c r="B440" s="272"/>
      <c r="C440" s="272"/>
      <c r="D440" s="272"/>
      <c r="E440" s="272"/>
    </row>
    <row r="441" spans="1:5" x14ac:dyDescent="0.2">
      <c r="A441" s="272"/>
      <c r="B441" s="272"/>
      <c r="C441" s="272"/>
      <c r="D441" s="272"/>
      <c r="E441" s="272"/>
    </row>
    <row r="442" spans="1:5" x14ac:dyDescent="0.2">
      <c r="A442" s="272"/>
      <c r="B442" s="272"/>
      <c r="C442" s="272"/>
      <c r="D442" s="272"/>
      <c r="E442" s="272"/>
    </row>
    <row r="443" spans="1:5" x14ac:dyDescent="0.2">
      <c r="A443" s="272"/>
      <c r="B443" s="272"/>
      <c r="C443" s="272"/>
      <c r="D443" s="272"/>
      <c r="E443" s="272"/>
    </row>
    <row r="444" spans="1:5" x14ac:dyDescent="0.2">
      <c r="A444" s="272"/>
      <c r="B444" s="272"/>
      <c r="C444" s="272"/>
      <c r="D444" s="272"/>
      <c r="E444" s="272"/>
    </row>
    <row r="445" spans="1:5" x14ac:dyDescent="0.2">
      <c r="A445" s="272"/>
      <c r="B445" s="272"/>
      <c r="C445" s="272"/>
      <c r="D445" s="272"/>
      <c r="E445" s="272"/>
    </row>
    <row r="446" spans="1:5" x14ac:dyDescent="0.2">
      <c r="A446" s="272"/>
      <c r="B446" s="272"/>
      <c r="C446" s="272"/>
      <c r="D446" s="272"/>
      <c r="E446" s="272"/>
    </row>
    <row r="447" spans="1:5" x14ac:dyDescent="0.2">
      <c r="A447" s="272"/>
      <c r="B447" s="272"/>
      <c r="C447" s="272"/>
      <c r="D447" s="272"/>
      <c r="E447" s="272"/>
    </row>
    <row r="448" spans="1:5" x14ac:dyDescent="0.2">
      <c r="A448" s="272"/>
      <c r="B448" s="272"/>
      <c r="C448" s="272"/>
      <c r="D448" s="272"/>
      <c r="E448" s="272"/>
    </row>
    <row r="449" spans="1:5" x14ac:dyDescent="0.2">
      <c r="A449" s="272"/>
      <c r="B449" s="272"/>
      <c r="C449" s="272"/>
      <c r="D449" s="272"/>
      <c r="E449" s="272"/>
    </row>
    <row r="450" spans="1:5" x14ac:dyDescent="0.2">
      <c r="A450" s="272"/>
      <c r="B450" s="272"/>
      <c r="C450" s="272"/>
      <c r="D450" s="272"/>
      <c r="E450" s="272"/>
    </row>
    <row r="451" spans="1:5" x14ac:dyDescent="0.2">
      <c r="A451" s="272"/>
      <c r="B451" s="272"/>
      <c r="C451" s="272"/>
      <c r="D451" s="272"/>
      <c r="E451" s="272"/>
    </row>
    <row r="452" spans="1:5" x14ac:dyDescent="0.2">
      <c r="A452" s="272"/>
      <c r="B452" s="272"/>
      <c r="C452" s="272"/>
      <c r="D452" s="272"/>
      <c r="E452" s="272"/>
    </row>
    <row r="453" spans="1:5" x14ac:dyDescent="0.2">
      <c r="A453" s="272"/>
      <c r="B453" s="272"/>
      <c r="C453" s="272"/>
      <c r="D453" s="272"/>
      <c r="E453" s="272"/>
    </row>
    <row r="454" spans="1:5" x14ac:dyDescent="0.2">
      <c r="A454" s="272"/>
      <c r="B454" s="272"/>
      <c r="C454" s="272"/>
      <c r="D454" s="272"/>
      <c r="E454" s="272"/>
    </row>
    <row r="455" spans="1:5" x14ac:dyDescent="0.2">
      <c r="A455" s="272"/>
      <c r="B455" s="272"/>
      <c r="C455" s="272"/>
      <c r="D455" s="272"/>
      <c r="E455" s="272"/>
    </row>
    <row r="456" spans="1:5" x14ac:dyDescent="0.2">
      <c r="A456" s="272"/>
      <c r="B456" s="272"/>
      <c r="C456" s="272"/>
      <c r="D456" s="272"/>
      <c r="E456" s="272"/>
    </row>
    <row r="457" spans="1:5" x14ac:dyDescent="0.2">
      <c r="A457" s="272"/>
      <c r="B457" s="272"/>
      <c r="C457" s="272"/>
      <c r="D457" s="272"/>
      <c r="E457" s="272"/>
    </row>
    <row r="458" spans="1:5" x14ac:dyDescent="0.2">
      <c r="A458" s="272"/>
      <c r="B458" s="272"/>
      <c r="C458" s="272"/>
      <c r="D458" s="272"/>
      <c r="E458" s="272"/>
    </row>
    <row r="459" spans="1:5" x14ac:dyDescent="0.2">
      <c r="A459" s="272"/>
      <c r="B459" s="272"/>
      <c r="C459" s="272"/>
      <c r="D459" s="272"/>
      <c r="E459" s="272"/>
    </row>
    <row r="460" spans="1:5" x14ac:dyDescent="0.2">
      <c r="A460" s="272"/>
      <c r="B460" s="272"/>
      <c r="C460" s="272"/>
      <c r="D460" s="272"/>
      <c r="E460" s="272"/>
    </row>
    <row r="461" spans="1:5" x14ac:dyDescent="0.2">
      <c r="A461" s="272"/>
      <c r="B461" s="272"/>
      <c r="C461" s="272"/>
      <c r="D461" s="272"/>
      <c r="E461" s="272"/>
    </row>
    <row r="462" spans="1:5" x14ac:dyDescent="0.2">
      <c r="A462" s="272"/>
      <c r="B462" s="272"/>
      <c r="C462" s="272"/>
      <c r="D462" s="272"/>
      <c r="E462" s="272"/>
    </row>
    <row r="463" spans="1:5" x14ac:dyDescent="0.2">
      <c r="A463" s="272"/>
      <c r="B463" s="272"/>
      <c r="C463" s="272"/>
      <c r="D463" s="272"/>
      <c r="E463" s="272"/>
    </row>
    <row r="464" spans="1:5" x14ac:dyDescent="0.2">
      <c r="A464" s="272"/>
      <c r="B464" s="272"/>
      <c r="C464" s="272"/>
      <c r="D464" s="272"/>
      <c r="E464" s="272"/>
    </row>
    <row r="465" spans="1:5" x14ac:dyDescent="0.2">
      <c r="A465" s="272"/>
      <c r="B465" s="272"/>
      <c r="C465" s="272"/>
      <c r="D465" s="272"/>
      <c r="E465" s="272"/>
    </row>
    <row r="466" spans="1:5" x14ac:dyDescent="0.2">
      <c r="A466" s="272"/>
      <c r="B466" s="272"/>
      <c r="C466" s="272"/>
      <c r="D466" s="272"/>
      <c r="E466" s="272"/>
    </row>
    <row r="467" spans="1:5" x14ac:dyDescent="0.2">
      <c r="A467" s="272"/>
      <c r="B467" s="272"/>
      <c r="C467" s="272"/>
      <c r="D467" s="272"/>
      <c r="E467" s="272"/>
    </row>
    <row r="468" spans="1:5" x14ac:dyDescent="0.2">
      <c r="A468" s="272"/>
      <c r="B468" s="272"/>
      <c r="C468" s="272"/>
      <c r="D468" s="272"/>
      <c r="E468" s="272"/>
    </row>
    <row r="469" spans="1:5" x14ac:dyDescent="0.2">
      <c r="A469" s="272"/>
      <c r="B469" s="272"/>
      <c r="C469" s="272"/>
      <c r="D469" s="272"/>
      <c r="E469" s="272"/>
    </row>
    <row r="470" spans="1:5" x14ac:dyDescent="0.2">
      <c r="A470" s="272"/>
      <c r="B470" s="272"/>
      <c r="C470" s="272"/>
      <c r="D470" s="272"/>
      <c r="E470" s="272"/>
    </row>
    <row r="471" spans="1:5" x14ac:dyDescent="0.2">
      <c r="A471" s="272"/>
      <c r="B471" s="272"/>
      <c r="C471" s="272"/>
      <c r="D471" s="272"/>
      <c r="E471" s="272"/>
    </row>
    <row r="472" spans="1:5" x14ac:dyDescent="0.2">
      <c r="A472" s="272"/>
      <c r="B472" s="272"/>
      <c r="C472" s="272"/>
      <c r="D472" s="272"/>
      <c r="E472" s="272"/>
    </row>
    <row r="473" spans="1:5" x14ac:dyDescent="0.2">
      <c r="A473" s="272"/>
      <c r="B473" s="272"/>
      <c r="C473" s="272"/>
      <c r="D473" s="272"/>
      <c r="E473" s="272"/>
    </row>
    <row r="474" spans="1:5" x14ac:dyDescent="0.2">
      <c r="A474" s="272"/>
      <c r="B474" s="272"/>
      <c r="C474" s="272"/>
      <c r="D474" s="272"/>
      <c r="E474" s="272"/>
    </row>
    <row r="475" spans="1:5" x14ac:dyDescent="0.2">
      <c r="A475" s="272"/>
      <c r="B475" s="272"/>
      <c r="C475" s="272"/>
      <c r="D475" s="272"/>
      <c r="E475" s="272"/>
    </row>
    <row r="476" spans="1:5" x14ac:dyDescent="0.2">
      <c r="A476" s="272"/>
      <c r="B476" s="272"/>
      <c r="C476" s="272"/>
      <c r="D476" s="272"/>
      <c r="E476" s="272"/>
    </row>
    <row r="477" spans="1:5" x14ac:dyDescent="0.2">
      <c r="A477" s="272"/>
      <c r="B477" s="272"/>
      <c r="C477" s="272"/>
      <c r="D477" s="272"/>
      <c r="E477" s="272"/>
    </row>
    <row r="478" spans="1:5" x14ac:dyDescent="0.2">
      <c r="A478" s="272"/>
      <c r="B478" s="272"/>
      <c r="C478" s="272"/>
      <c r="D478" s="272"/>
      <c r="E478" s="272"/>
    </row>
    <row r="479" spans="1:5" x14ac:dyDescent="0.2">
      <c r="A479" s="272"/>
      <c r="B479" s="272"/>
      <c r="C479" s="272"/>
      <c r="D479" s="272"/>
      <c r="E479" s="272"/>
    </row>
    <row r="480" spans="1:5" x14ac:dyDescent="0.2">
      <c r="A480" s="272"/>
      <c r="B480" s="272"/>
      <c r="C480" s="272"/>
      <c r="D480" s="272"/>
      <c r="E480" s="272"/>
    </row>
    <row r="481" spans="1:5" x14ac:dyDescent="0.2">
      <c r="A481" s="272"/>
      <c r="B481" s="272"/>
      <c r="C481" s="272"/>
      <c r="D481" s="272"/>
      <c r="E481" s="272"/>
    </row>
    <row r="482" spans="1:5" x14ac:dyDescent="0.2">
      <c r="A482" s="272"/>
      <c r="B482" s="272"/>
      <c r="C482" s="272"/>
      <c r="D482" s="272"/>
      <c r="E482" s="272"/>
    </row>
    <row r="483" spans="1:5" x14ac:dyDescent="0.2">
      <c r="A483" s="272"/>
      <c r="B483" s="272"/>
      <c r="C483" s="272"/>
      <c r="D483" s="272"/>
      <c r="E483" s="272"/>
    </row>
    <row r="484" spans="1:5" x14ac:dyDescent="0.2">
      <c r="A484" s="272"/>
      <c r="B484" s="272"/>
      <c r="C484" s="272"/>
      <c r="D484" s="272"/>
      <c r="E484" s="272"/>
    </row>
    <row r="485" spans="1:5" x14ac:dyDescent="0.2">
      <c r="A485" s="272"/>
      <c r="B485" s="272"/>
      <c r="C485" s="272"/>
      <c r="D485" s="272"/>
      <c r="E485" s="272"/>
    </row>
    <row r="486" spans="1:5" x14ac:dyDescent="0.2">
      <c r="A486" s="272"/>
      <c r="B486" s="272"/>
      <c r="C486" s="272"/>
      <c r="D486" s="272"/>
      <c r="E486" s="272"/>
    </row>
    <row r="487" spans="1:5" x14ac:dyDescent="0.2">
      <c r="A487" s="272"/>
      <c r="B487" s="272"/>
      <c r="C487" s="272"/>
      <c r="D487" s="272"/>
      <c r="E487" s="272"/>
    </row>
    <row r="488" spans="1:5" x14ac:dyDescent="0.2">
      <c r="A488" s="272"/>
      <c r="B488" s="272"/>
      <c r="C488" s="272"/>
      <c r="D488" s="272"/>
      <c r="E488" s="272"/>
    </row>
    <row r="489" spans="1:5" x14ac:dyDescent="0.2">
      <c r="A489" s="272"/>
      <c r="B489" s="272"/>
      <c r="C489" s="272"/>
      <c r="D489" s="272"/>
      <c r="E489" s="272"/>
    </row>
    <row r="490" spans="1:5" x14ac:dyDescent="0.2">
      <c r="A490" s="272"/>
      <c r="B490" s="272"/>
      <c r="C490" s="272"/>
      <c r="D490" s="272"/>
      <c r="E490" s="272"/>
    </row>
    <row r="491" spans="1:5" x14ac:dyDescent="0.2">
      <c r="A491" s="272"/>
      <c r="B491" s="272"/>
      <c r="C491" s="272"/>
      <c r="D491" s="272"/>
      <c r="E491" s="272"/>
    </row>
    <row r="492" spans="1:5" x14ac:dyDescent="0.2">
      <c r="A492" s="272"/>
      <c r="B492" s="272"/>
      <c r="C492" s="272"/>
      <c r="D492" s="272"/>
      <c r="E492" s="272"/>
    </row>
    <row r="493" spans="1:5" x14ac:dyDescent="0.2">
      <c r="A493" s="272"/>
      <c r="B493" s="272"/>
      <c r="C493" s="272"/>
      <c r="D493" s="272"/>
      <c r="E493" s="272"/>
    </row>
    <row r="494" spans="1:5" x14ac:dyDescent="0.2">
      <c r="A494" s="272"/>
      <c r="B494" s="272"/>
      <c r="C494" s="272"/>
      <c r="D494" s="272"/>
      <c r="E494" s="272"/>
    </row>
    <row r="495" spans="1:5" x14ac:dyDescent="0.2">
      <c r="A495" s="272"/>
      <c r="B495" s="272"/>
      <c r="C495" s="272"/>
      <c r="D495" s="272"/>
      <c r="E495" s="272"/>
    </row>
    <row r="496" spans="1:5" x14ac:dyDescent="0.2">
      <c r="A496" s="272"/>
      <c r="B496" s="272"/>
      <c r="C496" s="272"/>
      <c r="D496" s="272"/>
      <c r="E496" s="272"/>
    </row>
    <row r="497" spans="1:5" x14ac:dyDescent="0.2">
      <c r="A497" s="272"/>
      <c r="B497" s="272"/>
      <c r="C497" s="272"/>
      <c r="D497" s="272"/>
      <c r="E497" s="272"/>
    </row>
    <row r="498" spans="1:5" x14ac:dyDescent="0.2">
      <c r="A498" s="272"/>
      <c r="B498" s="272"/>
      <c r="C498" s="272"/>
      <c r="D498" s="272"/>
      <c r="E498" s="272"/>
    </row>
    <row r="499" spans="1:5" x14ac:dyDescent="0.2">
      <c r="A499" s="272"/>
      <c r="B499" s="272"/>
      <c r="C499" s="272"/>
      <c r="D499" s="272"/>
      <c r="E499" s="272"/>
    </row>
    <row r="500" spans="1:5" x14ac:dyDescent="0.2">
      <c r="A500" s="272"/>
      <c r="B500" s="272"/>
      <c r="C500" s="272"/>
      <c r="D500" s="272"/>
      <c r="E500" s="272"/>
    </row>
    <row r="501" spans="1:5" x14ac:dyDescent="0.2">
      <c r="A501" s="272"/>
      <c r="B501" s="272"/>
      <c r="C501" s="272"/>
      <c r="D501" s="272"/>
      <c r="E501" s="272"/>
    </row>
    <row r="502" spans="1:5" x14ac:dyDescent="0.2">
      <c r="A502" s="272"/>
      <c r="B502" s="272"/>
      <c r="C502" s="272"/>
      <c r="D502" s="272"/>
      <c r="E502" s="272"/>
    </row>
    <row r="503" spans="1:5" x14ac:dyDescent="0.2">
      <c r="A503" s="272"/>
      <c r="B503" s="272"/>
      <c r="C503" s="272"/>
      <c r="D503" s="272"/>
      <c r="E503" s="272"/>
    </row>
    <row r="504" spans="1:5" x14ac:dyDescent="0.2">
      <c r="A504" s="272"/>
      <c r="B504" s="272"/>
      <c r="C504" s="272"/>
      <c r="D504" s="272"/>
      <c r="E504" s="272"/>
    </row>
    <row r="505" spans="1:5" x14ac:dyDescent="0.2">
      <c r="A505" s="272"/>
      <c r="B505" s="272"/>
      <c r="C505" s="272"/>
      <c r="D505" s="272"/>
      <c r="E505" s="272"/>
    </row>
    <row r="506" spans="1:5" x14ac:dyDescent="0.2">
      <c r="A506" s="272"/>
      <c r="B506" s="272"/>
      <c r="C506" s="272"/>
      <c r="D506" s="272"/>
      <c r="E506" s="272"/>
    </row>
    <row r="507" spans="1:5" x14ac:dyDescent="0.2">
      <c r="A507" s="272"/>
      <c r="B507" s="272"/>
      <c r="C507" s="272"/>
      <c r="D507" s="272"/>
      <c r="E507" s="272"/>
    </row>
    <row r="508" spans="1:5" x14ac:dyDescent="0.2">
      <c r="A508" s="272"/>
      <c r="B508" s="272"/>
      <c r="C508" s="272"/>
      <c r="D508" s="272"/>
      <c r="E508" s="272"/>
    </row>
    <row r="509" spans="1:5" x14ac:dyDescent="0.2">
      <c r="A509" s="272"/>
      <c r="B509" s="272"/>
      <c r="C509" s="272"/>
      <c r="D509" s="272"/>
      <c r="E509" s="272"/>
    </row>
    <row r="510" spans="1:5" x14ac:dyDescent="0.2">
      <c r="A510" s="272"/>
      <c r="B510" s="272"/>
      <c r="C510" s="272"/>
      <c r="D510" s="272"/>
      <c r="E510" s="272"/>
    </row>
    <row r="511" spans="1:5" x14ac:dyDescent="0.2">
      <c r="A511" s="272"/>
      <c r="B511" s="272"/>
      <c r="C511" s="272"/>
      <c r="D511" s="272"/>
      <c r="E511" s="272"/>
    </row>
    <row r="512" spans="1:5" x14ac:dyDescent="0.2">
      <c r="A512" s="272"/>
      <c r="B512" s="272"/>
      <c r="C512" s="272"/>
      <c r="D512" s="272"/>
      <c r="E512" s="272"/>
    </row>
    <row r="513" spans="1:5" x14ac:dyDescent="0.2">
      <c r="A513" s="272"/>
      <c r="B513" s="272"/>
      <c r="C513" s="272"/>
      <c r="D513" s="272"/>
      <c r="E513" s="272"/>
    </row>
    <row r="514" spans="1:5" x14ac:dyDescent="0.2">
      <c r="A514" s="272"/>
      <c r="B514" s="272"/>
      <c r="C514" s="272"/>
      <c r="D514" s="272"/>
      <c r="E514" s="272"/>
    </row>
    <row r="515" spans="1:5" x14ac:dyDescent="0.2">
      <c r="A515" s="272"/>
      <c r="B515" s="272"/>
      <c r="C515" s="272"/>
      <c r="D515" s="272"/>
      <c r="E515" s="272"/>
    </row>
    <row r="516" spans="1:5" x14ac:dyDescent="0.2">
      <c r="A516" s="272"/>
      <c r="B516" s="272"/>
      <c r="C516" s="272"/>
      <c r="D516" s="272"/>
      <c r="E516" s="272"/>
    </row>
    <row r="517" spans="1:5" x14ac:dyDescent="0.2">
      <c r="A517" s="272"/>
      <c r="B517" s="272"/>
      <c r="C517" s="272"/>
      <c r="D517" s="272"/>
      <c r="E517" s="272"/>
    </row>
    <row r="518" spans="1:5" x14ac:dyDescent="0.2">
      <c r="A518" s="272"/>
      <c r="B518" s="272"/>
      <c r="C518" s="272"/>
      <c r="D518" s="272"/>
      <c r="E518" s="272"/>
    </row>
    <row r="519" spans="1:5" x14ac:dyDescent="0.2">
      <c r="A519" s="272"/>
      <c r="B519" s="272"/>
      <c r="C519" s="272"/>
      <c r="D519" s="272"/>
      <c r="E519" s="272"/>
    </row>
    <row r="520" spans="1:5" x14ac:dyDescent="0.2">
      <c r="A520" s="272"/>
      <c r="B520" s="272"/>
      <c r="C520" s="272"/>
      <c r="D520" s="272"/>
      <c r="E520" s="272"/>
    </row>
    <row r="521" spans="1:5" x14ac:dyDescent="0.2">
      <c r="A521" s="272"/>
      <c r="B521" s="272"/>
      <c r="C521" s="272"/>
      <c r="D521" s="272"/>
      <c r="E521" s="272"/>
    </row>
    <row r="522" spans="1:5" x14ac:dyDescent="0.2">
      <c r="A522" s="272"/>
      <c r="B522" s="272"/>
      <c r="C522" s="272"/>
      <c r="D522" s="272"/>
      <c r="E522" s="272"/>
    </row>
    <row r="523" spans="1:5" x14ac:dyDescent="0.2">
      <c r="A523" s="272"/>
      <c r="B523" s="272"/>
      <c r="C523" s="272"/>
      <c r="D523" s="272"/>
      <c r="E523" s="272"/>
    </row>
    <row r="524" spans="1:5" x14ac:dyDescent="0.2">
      <c r="A524" s="272"/>
      <c r="B524" s="272"/>
      <c r="C524" s="272"/>
      <c r="D524" s="272"/>
      <c r="E524" s="272"/>
    </row>
    <row r="525" spans="1:5" x14ac:dyDescent="0.2">
      <c r="A525" s="272"/>
      <c r="B525" s="272"/>
      <c r="C525" s="272"/>
      <c r="D525" s="272"/>
      <c r="E525" s="272"/>
    </row>
    <row r="526" spans="1:5" x14ac:dyDescent="0.2">
      <c r="A526" s="272"/>
      <c r="B526" s="272"/>
      <c r="C526" s="272"/>
      <c r="D526" s="272"/>
      <c r="E526" s="272"/>
    </row>
    <row r="527" spans="1:5" x14ac:dyDescent="0.2">
      <c r="A527" s="272"/>
      <c r="B527" s="272"/>
      <c r="C527" s="272"/>
      <c r="D527" s="272"/>
      <c r="E527" s="272"/>
    </row>
    <row r="528" spans="1:5" x14ac:dyDescent="0.2">
      <c r="A528" s="272"/>
      <c r="B528" s="272"/>
      <c r="C528" s="272"/>
      <c r="D528" s="272"/>
      <c r="E528" s="272"/>
    </row>
    <row r="529" spans="1:5" x14ac:dyDescent="0.2">
      <c r="A529" s="272"/>
      <c r="B529" s="272"/>
      <c r="C529" s="272"/>
      <c r="D529" s="272"/>
      <c r="E529" s="272"/>
    </row>
    <row r="530" spans="1:5" x14ac:dyDescent="0.2">
      <c r="A530" s="272"/>
      <c r="B530" s="272"/>
      <c r="C530" s="272"/>
      <c r="D530" s="272"/>
      <c r="E530" s="272"/>
    </row>
    <row r="531" spans="1:5" x14ac:dyDescent="0.2">
      <c r="A531" s="272"/>
      <c r="B531" s="272"/>
      <c r="C531" s="272"/>
      <c r="D531" s="272"/>
      <c r="E531" s="272"/>
    </row>
    <row r="532" spans="1:5" x14ac:dyDescent="0.2">
      <c r="A532" s="272"/>
      <c r="B532" s="272"/>
      <c r="C532" s="272"/>
      <c r="D532" s="272"/>
      <c r="E532" s="272"/>
    </row>
    <row r="533" spans="1:5" x14ac:dyDescent="0.2">
      <c r="A533" s="272"/>
      <c r="B533" s="272"/>
      <c r="C533" s="272"/>
      <c r="D533" s="272"/>
      <c r="E533" s="272"/>
    </row>
    <row r="534" spans="1:5" x14ac:dyDescent="0.2">
      <c r="A534" s="272"/>
      <c r="B534" s="272"/>
      <c r="C534" s="272"/>
      <c r="D534" s="272"/>
      <c r="E534" s="272"/>
    </row>
    <row r="535" spans="1:5" x14ac:dyDescent="0.2">
      <c r="A535" s="272"/>
      <c r="B535" s="272"/>
      <c r="C535" s="272"/>
      <c r="D535" s="272"/>
      <c r="E535" s="272"/>
    </row>
    <row r="536" spans="1:5" x14ac:dyDescent="0.2">
      <c r="A536" s="272"/>
      <c r="B536" s="272"/>
      <c r="C536" s="272"/>
      <c r="D536" s="272"/>
      <c r="E536" s="272"/>
    </row>
    <row r="537" spans="1:5" x14ac:dyDescent="0.2">
      <c r="A537" s="272"/>
      <c r="B537" s="272"/>
      <c r="C537" s="272"/>
      <c r="D537" s="272"/>
      <c r="E537" s="272"/>
    </row>
    <row r="538" spans="1:5" x14ac:dyDescent="0.2">
      <c r="A538" s="272"/>
      <c r="B538" s="272"/>
      <c r="C538" s="272"/>
      <c r="D538" s="272"/>
      <c r="E538" s="272"/>
    </row>
    <row r="539" spans="1:5" x14ac:dyDescent="0.2">
      <c r="A539" s="272"/>
      <c r="B539" s="272"/>
      <c r="C539" s="272"/>
      <c r="D539" s="272"/>
      <c r="E539" s="272"/>
    </row>
    <row r="540" spans="1:5" x14ac:dyDescent="0.2">
      <c r="A540" s="272"/>
      <c r="B540" s="272"/>
      <c r="C540" s="272"/>
      <c r="D540" s="272"/>
      <c r="E540" s="272"/>
    </row>
    <row r="541" spans="1:5" x14ac:dyDescent="0.2">
      <c r="A541" s="272"/>
      <c r="B541" s="272"/>
      <c r="C541" s="272"/>
      <c r="D541" s="272"/>
      <c r="E541" s="272"/>
    </row>
    <row r="542" spans="1:5" x14ac:dyDescent="0.2">
      <c r="A542" s="272"/>
      <c r="B542" s="272"/>
      <c r="C542" s="272"/>
      <c r="D542" s="272"/>
      <c r="E542" s="272"/>
    </row>
    <row r="543" spans="1:5" x14ac:dyDescent="0.2">
      <c r="A543" s="272"/>
      <c r="B543" s="272"/>
      <c r="C543" s="272"/>
      <c r="D543" s="272"/>
      <c r="E543" s="272"/>
    </row>
    <row r="544" spans="1:5" x14ac:dyDescent="0.2">
      <c r="A544" s="272"/>
      <c r="B544" s="272"/>
      <c r="C544" s="272"/>
      <c r="D544" s="272"/>
      <c r="E544" s="272"/>
    </row>
    <row r="545" spans="1:5" x14ac:dyDescent="0.2">
      <c r="A545" s="272"/>
      <c r="B545" s="272"/>
      <c r="C545" s="272"/>
      <c r="D545" s="272"/>
      <c r="E545" s="272"/>
    </row>
    <row r="546" spans="1:5" x14ac:dyDescent="0.2">
      <c r="A546" s="272"/>
      <c r="B546" s="272"/>
      <c r="C546" s="272"/>
      <c r="D546" s="272"/>
      <c r="E546" s="272"/>
    </row>
    <row r="547" spans="1:5" x14ac:dyDescent="0.2">
      <c r="A547" s="272"/>
      <c r="B547" s="272"/>
      <c r="C547" s="272"/>
      <c r="D547" s="272"/>
      <c r="E547" s="272"/>
    </row>
    <row r="548" spans="1:5" x14ac:dyDescent="0.2">
      <c r="A548" s="272"/>
      <c r="B548" s="272"/>
      <c r="C548" s="272"/>
      <c r="D548" s="272"/>
      <c r="E548" s="272"/>
    </row>
    <row r="549" spans="1:5" x14ac:dyDescent="0.2">
      <c r="A549" s="272"/>
      <c r="B549" s="272"/>
      <c r="C549" s="272"/>
      <c r="D549" s="272"/>
      <c r="E549" s="272"/>
    </row>
    <row r="550" spans="1:5" x14ac:dyDescent="0.2">
      <c r="A550" s="272"/>
      <c r="B550" s="272"/>
      <c r="C550" s="272"/>
      <c r="D550" s="272"/>
      <c r="E550" s="272"/>
    </row>
    <row r="551" spans="1:5" x14ac:dyDescent="0.2">
      <c r="A551" s="272"/>
      <c r="B551" s="272"/>
      <c r="C551" s="272"/>
      <c r="D551" s="272"/>
      <c r="E551" s="272"/>
    </row>
    <row r="552" spans="1:5" x14ac:dyDescent="0.2">
      <c r="A552" s="272"/>
      <c r="B552" s="272"/>
      <c r="C552" s="272"/>
      <c r="D552" s="272"/>
      <c r="E552" s="272"/>
    </row>
    <row r="553" spans="1:5" x14ac:dyDescent="0.2">
      <c r="A553" s="272"/>
      <c r="B553" s="272"/>
      <c r="C553" s="272"/>
      <c r="D553" s="272"/>
      <c r="E553" s="272"/>
    </row>
    <row r="554" spans="1:5" x14ac:dyDescent="0.2">
      <c r="A554" s="272"/>
      <c r="B554" s="272"/>
      <c r="C554" s="272"/>
      <c r="D554" s="272"/>
      <c r="E554" s="272"/>
    </row>
    <row r="555" spans="1:5" x14ac:dyDescent="0.2">
      <c r="A555" s="272"/>
      <c r="B555" s="272"/>
      <c r="C555" s="272"/>
      <c r="D555" s="272"/>
      <c r="E555" s="272"/>
    </row>
    <row r="556" spans="1:5" x14ac:dyDescent="0.2">
      <c r="A556" s="272"/>
      <c r="B556" s="272"/>
      <c r="C556" s="272"/>
      <c r="D556" s="272"/>
      <c r="E556" s="272"/>
    </row>
    <row r="557" spans="1:5" x14ac:dyDescent="0.2">
      <c r="A557" s="272"/>
      <c r="B557" s="272"/>
      <c r="C557" s="272"/>
      <c r="D557" s="272"/>
      <c r="E557" s="272"/>
    </row>
    <row r="558" spans="1:5" x14ac:dyDescent="0.2">
      <c r="A558" s="272"/>
      <c r="B558" s="272"/>
      <c r="C558" s="272"/>
      <c r="D558" s="272"/>
      <c r="E558" s="272"/>
    </row>
    <row r="559" spans="1:5" x14ac:dyDescent="0.2">
      <c r="A559" s="272"/>
      <c r="B559" s="272"/>
      <c r="C559" s="272"/>
      <c r="D559" s="272"/>
      <c r="E559" s="272"/>
    </row>
    <row r="560" spans="1:5" x14ac:dyDescent="0.2">
      <c r="A560" s="272"/>
      <c r="B560" s="272"/>
      <c r="C560" s="272"/>
      <c r="D560" s="272"/>
      <c r="E560" s="272"/>
    </row>
    <row r="561" spans="1:5" x14ac:dyDescent="0.2">
      <c r="A561" s="272"/>
      <c r="B561" s="272"/>
      <c r="C561" s="272"/>
      <c r="D561" s="272"/>
      <c r="E561" s="272"/>
    </row>
    <row r="562" spans="1:5" x14ac:dyDescent="0.2">
      <c r="A562" s="272"/>
      <c r="B562" s="272"/>
      <c r="C562" s="272"/>
      <c r="D562" s="272"/>
      <c r="E562" s="272"/>
    </row>
    <row r="563" spans="1:5" x14ac:dyDescent="0.2">
      <c r="A563" s="272"/>
      <c r="B563" s="272"/>
      <c r="C563" s="272"/>
      <c r="D563" s="272"/>
      <c r="E563" s="272"/>
    </row>
    <row r="564" spans="1:5" x14ac:dyDescent="0.2">
      <c r="A564" s="272"/>
      <c r="B564" s="272"/>
      <c r="C564" s="272"/>
      <c r="D564" s="272"/>
      <c r="E564" s="272"/>
    </row>
    <row r="565" spans="1:5" x14ac:dyDescent="0.2">
      <c r="A565" s="272"/>
      <c r="B565" s="272"/>
      <c r="C565" s="272"/>
      <c r="D565" s="272"/>
      <c r="E565" s="272"/>
    </row>
    <row r="566" spans="1:5" x14ac:dyDescent="0.2">
      <c r="A566" s="272"/>
      <c r="B566" s="272"/>
      <c r="C566" s="272"/>
      <c r="D566" s="272"/>
      <c r="E566" s="272"/>
    </row>
    <row r="567" spans="1:5" x14ac:dyDescent="0.2">
      <c r="A567" s="272"/>
      <c r="B567" s="272"/>
      <c r="C567" s="272"/>
      <c r="D567" s="272"/>
      <c r="E567" s="272"/>
    </row>
    <row r="568" spans="1:5" x14ac:dyDescent="0.2">
      <c r="A568" s="272"/>
      <c r="B568" s="272"/>
      <c r="C568" s="272"/>
      <c r="D568" s="272"/>
      <c r="E568" s="272"/>
    </row>
    <row r="569" spans="1:5" x14ac:dyDescent="0.2">
      <c r="A569" s="272"/>
      <c r="B569" s="272"/>
      <c r="C569" s="272"/>
      <c r="D569" s="272"/>
      <c r="E569" s="272"/>
    </row>
    <row r="570" spans="1:5" x14ac:dyDescent="0.2">
      <c r="A570" s="272"/>
      <c r="B570" s="272"/>
      <c r="C570" s="272"/>
      <c r="D570" s="272"/>
      <c r="E570" s="272"/>
    </row>
    <row r="571" spans="1:5" x14ac:dyDescent="0.2">
      <c r="A571" s="272"/>
      <c r="B571" s="272"/>
      <c r="C571" s="272"/>
      <c r="D571" s="272"/>
      <c r="E571" s="272"/>
    </row>
    <row r="572" spans="1:5" x14ac:dyDescent="0.2">
      <c r="A572" s="272"/>
      <c r="B572" s="272"/>
      <c r="C572" s="272"/>
      <c r="D572" s="272"/>
      <c r="E572" s="272"/>
    </row>
    <row r="573" spans="1:5" x14ac:dyDescent="0.2">
      <c r="A573" s="272"/>
      <c r="B573" s="272"/>
      <c r="C573" s="272"/>
      <c r="D573" s="272"/>
      <c r="E573" s="272"/>
    </row>
    <row r="574" spans="1:5" x14ac:dyDescent="0.2">
      <c r="A574" s="272"/>
      <c r="B574" s="272"/>
      <c r="C574" s="272"/>
      <c r="D574" s="272"/>
      <c r="E574" s="272"/>
    </row>
    <row r="575" spans="1:5" x14ac:dyDescent="0.2">
      <c r="A575" s="272"/>
      <c r="B575" s="272"/>
      <c r="C575" s="272"/>
      <c r="D575" s="272"/>
      <c r="E575" s="272"/>
    </row>
    <row r="576" spans="1:5" x14ac:dyDescent="0.2">
      <c r="A576" s="272"/>
      <c r="B576" s="272"/>
      <c r="C576" s="272"/>
      <c r="D576" s="272"/>
      <c r="E576" s="272"/>
    </row>
    <row r="577" spans="1:5" x14ac:dyDescent="0.2">
      <c r="A577" s="272"/>
      <c r="B577" s="272"/>
      <c r="C577" s="272"/>
      <c r="D577" s="272"/>
      <c r="E577" s="272"/>
    </row>
    <row r="578" spans="1:5" x14ac:dyDescent="0.2">
      <c r="A578" s="272"/>
      <c r="B578" s="272"/>
      <c r="C578" s="272"/>
      <c r="D578" s="272"/>
      <c r="E578" s="272"/>
    </row>
    <row r="579" spans="1:5" x14ac:dyDescent="0.2">
      <c r="A579" s="272"/>
      <c r="B579" s="272"/>
      <c r="C579" s="272"/>
      <c r="D579" s="272"/>
      <c r="E579" s="272"/>
    </row>
    <row r="580" spans="1:5" x14ac:dyDescent="0.2">
      <c r="A580" s="272"/>
      <c r="B580" s="272"/>
      <c r="C580" s="272"/>
      <c r="D580" s="272"/>
      <c r="E580" s="272"/>
    </row>
    <row r="581" spans="1:5" x14ac:dyDescent="0.2">
      <c r="A581" s="272"/>
      <c r="B581" s="272"/>
      <c r="C581" s="272"/>
      <c r="D581" s="272"/>
      <c r="E581" s="272"/>
    </row>
    <row r="582" spans="1:5" x14ac:dyDescent="0.2">
      <c r="A582" s="272"/>
      <c r="B582" s="272"/>
      <c r="C582" s="272"/>
      <c r="D582" s="272"/>
      <c r="E582" s="272"/>
    </row>
    <row r="583" spans="1:5" x14ac:dyDescent="0.2">
      <c r="A583" s="272"/>
      <c r="B583" s="272"/>
      <c r="C583" s="272"/>
      <c r="D583" s="272"/>
      <c r="E583" s="272"/>
    </row>
    <row r="584" spans="1:5" x14ac:dyDescent="0.2">
      <c r="A584" s="272"/>
      <c r="B584" s="272"/>
      <c r="C584" s="272"/>
      <c r="D584" s="272"/>
      <c r="E584" s="272"/>
    </row>
    <row r="585" spans="1:5" x14ac:dyDescent="0.2">
      <c r="A585" s="272"/>
      <c r="B585" s="272"/>
      <c r="C585" s="272"/>
      <c r="D585" s="272"/>
      <c r="E585" s="272"/>
    </row>
    <row r="586" spans="1:5" x14ac:dyDescent="0.2">
      <c r="A586" s="272"/>
      <c r="B586" s="272"/>
      <c r="C586" s="272"/>
      <c r="D586" s="272"/>
      <c r="E586" s="272"/>
    </row>
    <row r="587" spans="1:5" x14ac:dyDescent="0.2">
      <c r="A587" s="272"/>
      <c r="B587" s="272"/>
      <c r="C587" s="272"/>
      <c r="D587" s="272"/>
      <c r="E587" s="272"/>
    </row>
    <row r="588" spans="1:5" x14ac:dyDescent="0.2">
      <c r="A588" s="272"/>
      <c r="B588" s="272"/>
      <c r="C588" s="272"/>
      <c r="D588" s="272"/>
      <c r="E588" s="272"/>
    </row>
    <row r="589" spans="1:5" x14ac:dyDescent="0.2">
      <c r="A589" s="272"/>
      <c r="B589" s="272"/>
      <c r="C589" s="272"/>
      <c r="D589" s="272"/>
      <c r="E589" s="272"/>
    </row>
    <row r="590" spans="1:5" x14ac:dyDescent="0.2">
      <c r="A590" s="272"/>
      <c r="B590" s="272"/>
      <c r="C590" s="272"/>
      <c r="D590" s="272"/>
      <c r="E590" s="272"/>
    </row>
    <row r="591" spans="1:5" x14ac:dyDescent="0.2">
      <c r="A591" s="272"/>
      <c r="B591" s="272"/>
      <c r="C591" s="272"/>
      <c r="D591" s="272"/>
      <c r="E591" s="272"/>
    </row>
    <row r="592" spans="1:5" x14ac:dyDescent="0.2">
      <c r="A592" s="272"/>
      <c r="B592" s="272"/>
      <c r="C592" s="272"/>
      <c r="D592" s="272"/>
      <c r="E592" s="272"/>
    </row>
    <row r="593" spans="1:5" x14ac:dyDescent="0.2">
      <c r="A593" s="272"/>
      <c r="B593" s="272"/>
      <c r="C593" s="272"/>
      <c r="D593" s="272"/>
      <c r="E593" s="272"/>
    </row>
    <row r="594" spans="1:5" x14ac:dyDescent="0.2">
      <c r="A594" s="272"/>
      <c r="B594" s="272"/>
      <c r="C594" s="272"/>
      <c r="D594" s="272"/>
      <c r="E594" s="272"/>
    </row>
    <row r="595" spans="1:5" x14ac:dyDescent="0.2">
      <c r="A595" s="272"/>
      <c r="B595" s="272"/>
      <c r="C595" s="272"/>
      <c r="D595" s="272"/>
      <c r="E595" s="272"/>
    </row>
    <row r="596" spans="1:5" x14ac:dyDescent="0.2">
      <c r="A596" s="272"/>
      <c r="B596" s="272"/>
      <c r="C596" s="272"/>
      <c r="D596" s="272"/>
      <c r="E596" s="272"/>
    </row>
    <row r="597" spans="1:5" x14ac:dyDescent="0.2">
      <c r="A597" s="272"/>
      <c r="B597" s="272"/>
      <c r="C597" s="272"/>
      <c r="D597" s="272"/>
      <c r="E597" s="272"/>
    </row>
    <row r="598" spans="1:5" x14ac:dyDescent="0.2">
      <c r="A598" s="272"/>
      <c r="B598" s="272"/>
      <c r="C598" s="272"/>
      <c r="D598" s="272"/>
      <c r="E598" s="272"/>
    </row>
    <row r="599" spans="1:5" x14ac:dyDescent="0.2">
      <c r="A599" s="272"/>
      <c r="B599" s="272"/>
      <c r="C599" s="272"/>
      <c r="D599" s="272"/>
      <c r="E599" s="272"/>
    </row>
    <row r="600" spans="1:5" x14ac:dyDescent="0.2">
      <c r="A600" s="272"/>
      <c r="B600" s="272"/>
      <c r="C600" s="272"/>
      <c r="D600" s="272"/>
      <c r="E600" s="272"/>
    </row>
    <row r="601" spans="1:5" x14ac:dyDescent="0.2">
      <c r="A601" s="272"/>
      <c r="B601" s="272"/>
      <c r="C601" s="272"/>
      <c r="D601" s="272"/>
      <c r="E601" s="272"/>
    </row>
    <row r="602" spans="1:5" x14ac:dyDescent="0.2">
      <c r="A602" s="272"/>
      <c r="B602" s="272"/>
      <c r="C602" s="272"/>
      <c r="D602" s="272"/>
      <c r="E602" s="272"/>
    </row>
    <row r="603" spans="1:5" x14ac:dyDescent="0.2">
      <c r="A603" s="272"/>
      <c r="B603" s="272"/>
      <c r="C603" s="272"/>
      <c r="D603" s="272"/>
      <c r="E603" s="272"/>
    </row>
    <row r="604" spans="1:5" x14ac:dyDescent="0.2">
      <c r="A604" s="272"/>
      <c r="B604" s="272"/>
      <c r="C604" s="272"/>
      <c r="D604" s="272"/>
      <c r="E604" s="272"/>
    </row>
    <row r="605" spans="1:5" x14ac:dyDescent="0.2">
      <c r="A605" s="272"/>
      <c r="B605" s="272"/>
      <c r="C605" s="272"/>
      <c r="D605" s="272"/>
      <c r="E605" s="272"/>
    </row>
    <row r="606" spans="1:5" x14ac:dyDescent="0.2">
      <c r="A606" s="272"/>
      <c r="B606" s="272"/>
      <c r="C606" s="272"/>
      <c r="D606" s="272"/>
      <c r="E606" s="272"/>
    </row>
    <row r="607" spans="1:5" x14ac:dyDescent="0.2">
      <c r="A607" s="272"/>
      <c r="B607" s="272"/>
      <c r="C607" s="272"/>
      <c r="D607" s="272"/>
      <c r="E607" s="272"/>
    </row>
    <row r="608" spans="1:5" x14ac:dyDescent="0.2">
      <c r="A608" s="272"/>
      <c r="B608" s="272"/>
      <c r="C608" s="272"/>
      <c r="D608" s="272"/>
      <c r="E608" s="272"/>
    </row>
    <row r="609" spans="1:5" x14ac:dyDescent="0.2">
      <c r="A609" s="272"/>
      <c r="B609" s="272"/>
      <c r="C609" s="272"/>
      <c r="D609" s="272"/>
      <c r="E609" s="272"/>
    </row>
    <row r="610" spans="1:5" x14ac:dyDescent="0.2">
      <c r="A610" s="272"/>
      <c r="B610" s="272"/>
      <c r="C610" s="272"/>
      <c r="D610" s="272"/>
      <c r="E610" s="272"/>
    </row>
    <row r="611" spans="1:5" x14ac:dyDescent="0.2">
      <c r="A611" s="272"/>
      <c r="B611" s="272"/>
      <c r="C611" s="272"/>
      <c r="D611" s="272"/>
      <c r="E611" s="272"/>
    </row>
    <row r="612" spans="1:5" x14ac:dyDescent="0.2">
      <c r="A612" s="272"/>
      <c r="B612" s="272"/>
      <c r="C612" s="272"/>
      <c r="D612" s="272"/>
      <c r="E612" s="272"/>
    </row>
    <row r="613" spans="1:5" x14ac:dyDescent="0.2">
      <c r="A613" s="272"/>
      <c r="B613" s="272"/>
      <c r="C613" s="272"/>
      <c r="D613" s="272"/>
      <c r="E613" s="272"/>
    </row>
    <row r="614" spans="1:5" x14ac:dyDescent="0.2">
      <c r="A614" s="272"/>
      <c r="B614" s="272"/>
      <c r="C614" s="272"/>
      <c r="D614" s="272"/>
      <c r="E614" s="272"/>
    </row>
    <row r="615" spans="1:5" x14ac:dyDescent="0.2">
      <c r="A615" s="272"/>
      <c r="B615" s="272"/>
      <c r="C615" s="272"/>
      <c r="D615" s="272"/>
      <c r="E615" s="272"/>
    </row>
    <row r="616" spans="1:5" x14ac:dyDescent="0.2">
      <c r="A616" s="272"/>
      <c r="B616" s="272"/>
      <c r="C616" s="272"/>
      <c r="D616" s="272"/>
      <c r="E616" s="272"/>
    </row>
    <row r="617" spans="1:5" x14ac:dyDescent="0.2">
      <c r="A617" s="272"/>
      <c r="B617" s="272"/>
      <c r="C617" s="272"/>
      <c r="D617" s="272"/>
      <c r="E617" s="272"/>
    </row>
    <row r="618" spans="1:5" x14ac:dyDescent="0.2">
      <c r="A618" s="272"/>
      <c r="B618" s="272"/>
      <c r="C618" s="272"/>
      <c r="D618" s="272"/>
      <c r="E618" s="272"/>
    </row>
    <row r="619" spans="1:5" x14ac:dyDescent="0.2">
      <c r="A619" s="272"/>
      <c r="B619" s="272"/>
      <c r="C619" s="272"/>
      <c r="D619" s="272"/>
      <c r="E619" s="272"/>
    </row>
    <row r="620" spans="1:5" x14ac:dyDescent="0.2">
      <c r="A620" s="272"/>
      <c r="B620" s="272"/>
      <c r="C620" s="272"/>
      <c r="D620" s="272"/>
      <c r="E620" s="272"/>
    </row>
    <row r="621" spans="1:5" x14ac:dyDescent="0.2">
      <c r="A621" s="272"/>
      <c r="B621" s="272"/>
      <c r="C621" s="272"/>
      <c r="D621" s="272"/>
      <c r="E621" s="272"/>
    </row>
    <row r="622" spans="1:5" x14ac:dyDescent="0.2">
      <c r="A622" s="272"/>
      <c r="B622" s="272"/>
      <c r="C622" s="272"/>
      <c r="D622" s="272"/>
      <c r="E622" s="272"/>
    </row>
    <row r="623" spans="1:5" x14ac:dyDescent="0.2">
      <c r="A623" s="272"/>
      <c r="B623" s="272"/>
      <c r="C623" s="272"/>
      <c r="D623" s="272"/>
      <c r="E623" s="272"/>
    </row>
    <row r="624" spans="1:5" x14ac:dyDescent="0.2">
      <c r="A624" s="272"/>
      <c r="B624" s="272"/>
      <c r="C624" s="272"/>
      <c r="D624" s="272"/>
      <c r="E624" s="272"/>
    </row>
    <row r="625" spans="1:5" x14ac:dyDescent="0.2">
      <c r="A625" s="272"/>
      <c r="B625" s="272"/>
      <c r="C625" s="272"/>
      <c r="D625" s="272"/>
      <c r="E625" s="272"/>
    </row>
    <row r="626" spans="1:5" x14ac:dyDescent="0.2">
      <c r="A626" s="272"/>
      <c r="B626" s="272"/>
      <c r="C626" s="272"/>
      <c r="D626" s="272"/>
      <c r="E626" s="272"/>
    </row>
    <row r="627" spans="1:5" x14ac:dyDescent="0.2">
      <c r="A627" s="272"/>
      <c r="B627" s="272"/>
      <c r="C627" s="272"/>
      <c r="D627" s="272"/>
      <c r="E627" s="272"/>
    </row>
    <row r="628" spans="1:5" x14ac:dyDescent="0.2">
      <c r="A628" s="272"/>
      <c r="B628" s="272"/>
      <c r="C628" s="272"/>
      <c r="D628" s="272"/>
      <c r="E628" s="272"/>
    </row>
    <row r="629" spans="1:5" x14ac:dyDescent="0.2">
      <c r="A629" s="272"/>
      <c r="B629" s="272"/>
      <c r="C629" s="272"/>
      <c r="D629" s="272"/>
      <c r="E629" s="272"/>
    </row>
    <row r="630" spans="1:5" x14ac:dyDescent="0.2">
      <c r="A630" s="272"/>
      <c r="B630" s="272"/>
      <c r="C630" s="272"/>
      <c r="D630" s="272"/>
      <c r="E630" s="272"/>
    </row>
    <row r="631" spans="1:5" x14ac:dyDescent="0.2">
      <c r="A631" s="272"/>
      <c r="B631" s="272"/>
      <c r="C631" s="272"/>
      <c r="D631" s="272"/>
      <c r="E631" s="272"/>
    </row>
    <row r="632" spans="1:5" x14ac:dyDescent="0.2">
      <c r="A632" s="272"/>
      <c r="B632" s="272"/>
      <c r="C632" s="272"/>
      <c r="D632" s="272"/>
      <c r="E632" s="272"/>
    </row>
    <row r="633" spans="1:5" x14ac:dyDescent="0.2">
      <c r="A633" s="272"/>
      <c r="B633" s="272"/>
      <c r="C633" s="272"/>
      <c r="D633" s="272"/>
      <c r="E633" s="272"/>
    </row>
    <row r="634" spans="1:5" x14ac:dyDescent="0.2">
      <c r="A634" s="272"/>
      <c r="B634" s="272"/>
      <c r="C634" s="272"/>
      <c r="D634" s="272"/>
      <c r="E634" s="272"/>
    </row>
    <row r="635" spans="1:5" x14ac:dyDescent="0.2">
      <c r="A635" s="272"/>
      <c r="B635" s="272"/>
      <c r="C635" s="272"/>
      <c r="D635" s="272"/>
      <c r="E635" s="272"/>
    </row>
    <row r="636" spans="1:5" x14ac:dyDescent="0.2">
      <c r="A636" s="272"/>
      <c r="B636" s="272"/>
      <c r="C636" s="272"/>
      <c r="D636" s="272"/>
      <c r="E636" s="272"/>
    </row>
    <row r="637" spans="1:5" x14ac:dyDescent="0.2">
      <c r="A637" s="272"/>
      <c r="B637" s="272"/>
      <c r="C637" s="272"/>
      <c r="D637" s="272"/>
      <c r="E637" s="272"/>
    </row>
    <row r="638" spans="1:5" x14ac:dyDescent="0.2">
      <c r="A638" s="272"/>
      <c r="B638" s="272"/>
      <c r="C638" s="272"/>
      <c r="D638" s="272"/>
      <c r="E638" s="272"/>
    </row>
    <row r="639" spans="1:5" x14ac:dyDescent="0.2">
      <c r="A639" s="272"/>
      <c r="B639" s="272"/>
      <c r="C639" s="272"/>
      <c r="D639" s="272"/>
      <c r="E639" s="272"/>
    </row>
    <row r="640" spans="1:5" x14ac:dyDescent="0.2">
      <c r="A640" s="272"/>
      <c r="B640" s="272"/>
      <c r="C640" s="272"/>
      <c r="D640" s="272"/>
      <c r="E640" s="272"/>
    </row>
    <row r="641" spans="1:5" x14ac:dyDescent="0.2">
      <c r="A641" s="272"/>
      <c r="B641" s="272"/>
      <c r="C641" s="272"/>
      <c r="D641" s="272"/>
      <c r="E641" s="272"/>
    </row>
    <row r="642" spans="1:5" x14ac:dyDescent="0.2">
      <c r="A642" s="272"/>
      <c r="B642" s="272"/>
      <c r="C642" s="272"/>
      <c r="D642" s="272"/>
      <c r="E642" s="272"/>
    </row>
    <row r="643" spans="1:5" x14ac:dyDescent="0.2">
      <c r="A643" s="272"/>
      <c r="B643" s="272"/>
      <c r="C643" s="272"/>
      <c r="D643" s="272"/>
      <c r="E643" s="272"/>
    </row>
    <row r="644" spans="1:5" x14ac:dyDescent="0.2">
      <c r="A644" s="272"/>
      <c r="B644" s="272"/>
      <c r="C644" s="272"/>
      <c r="D644" s="272"/>
      <c r="E644" s="272"/>
    </row>
    <row r="645" spans="1:5" x14ac:dyDescent="0.2">
      <c r="A645" s="272"/>
      <c r="B645" s="272"/>
      <c r="C645" s="272"/>
      <c r="D645" s="272"/>
      <c r="E645" s="272"/>
    </row>
    <row r="646" spans="1:5" x14ac:dyDescent="0.2">
      <c r="A646" s="272"/>
      <c r="B646" s="272"/>
      <c r="C646" s="272"/>
      <c r="D646" s="272"/>
      <c r="E646" s="272"/>
    </row>
    <row r="647" spans="1:5" x14ac:dyDescent="0.2">
      <c r="A647" s="272"/>
      <c r="B647" s="272"/>
      <c r="C647" s="272"/>
      <c r="D647" s="272"/>
      <c r="E647" s="272"/>
    </row>
    <row r="648" spans="1:5" x14ac:dyDescent="0.2">
      <c r="A648" s="272"/>
      <c r="B648" s="272"/>
      <c r="C648" s="272"/>
      <c r="D648" s="272"/>
      <c r="E648" s="272"/>
    </row>
    <row r="649" spans="1:5" x14ac:dyDescent="0.2">
      <c r="A649" s="272"/>
      <c r="B649" s="272"/>
      <c r="C649" s="272"/>
      <c r="D649" s="272"/>
      <c r="E649" s="272"/>
    </row>
    <row r="650" spans="1:5" x14ac:dyDescent="0.2">
      <c r="A650" s="272"/>
      <c r="B650" s="272"/>
      <c r="C650" s="272"/>
      <c r="D650" s="272"/>
      <c r="E650" s="272"/>
    </row>
    <row r="651" spans="1:5" x14ac:dyDescent="0.2">
      <c r="A651" s="272"/>
      <c r="B651" s="272"/>
      <c r="C651" s="272"/>
      <c r="D651" s="272"/>
      <c r="E651" s="272"/>
    </row>
    <row r="652" spans="1:5" x14ac:dyDescent="0.2">
      <c r="A652" s="272"/>
      <c r="B652" s="272"/>
      <c r="C652" s="272"/>
      <c r="D652" s="272"/>
      <c r="E652" s="272"/>
    </row>
    <row r="653" spans="1:5" x14ac:dyDescent="0.2">
      <c r="A653" s="272"/>
      <c r="B653" s="272"/>
      <c r="C653" s="272"/>
      <c r="D653" s="272"/>
      <c r="E653" s="272"/>
    </row>
    <row r="654" spans="1:5" x14ac:dyDescent="0.2">
      <c r="A654" s="272"/>
      <c r="B654" s="272"/>
      <c r="C654" s="272"/>
      <c r="D654" s="272"/>
      <c r="E654" s="272"/>
    </row>
    <row r="655" spans="1:5" x14ac:dyDescent="0.2">
      <c r="A655" s="272"/>
      <c r="B655" s="272"/>
      <c r="C655" s="272"/>
      <c r="D655" s="272"/>
      <c r="E655" s="272"/>
    </row>
    <row r="656" spans="1:5" x14ac:dyDescent="0.2">
      <c r="A656" s="272"/>
      <c r="B656" s="272"/>
      <c r="C656" s="272"/>
      <c r="D656" s="272"/>
      <c r="E656" s="272"/>
    </row>
    <row r="657" spans="1:5" x14ac:dyDescent="0.2">
      <c r="A657" s="272"/>
      <c r="B657" s="272"/>
      <c r="C657" s="272"/>
      <c r="D657" s="272"/>
      <c r="E657" s="272"/>
    </row>
    <row r="658" spans="1:5" x14ac:dyDescent="0.2">
      <c r="A658" s="272"/>
      <c r="B658" s="272"/>
      <c r="C658" s="272"/>
      <c r="D658" s="272"/>
      <c r="E658" s="272"/>
    </row>
    <row r="659" spans="1:5" x14ac:dyDescent="0.2">
      <c r="A659" s="272"/>
      <c r="B659" s="272"/>
      <c r="C659" s="272"/>
      <c r="D659" s="272"/>
      <c r="E659" s="272"/>
    </row>
    <row r="660" spans="1:5" x14ac:dyDescent="0.2">
      <c r="A660" s="272"/>
      <c r="B660" s="272"/>
      <c r="C660" s="272"/>
      <c r="D660" s="272"/>
      <c r="E660" s="272"/>
    </row>
    <row r="661" spans="1:5" x14ac:dyDescent="0.2">
      <c r="A661" s="272"/>
      <c r="B661" s="272"/>
      <c r="C661" s="272"/>
      <c r="D661" s="272"/>
      <c r="E661" s="272"/>
    </row>
    <row r="662" spans="1:5" x14ac:dyDescent="0.2">
      <c r="A662" s="272"/>
      <c r="B662" s="272"/>
      <c r="C662" s="272"/>
      <c r="D662" s="272"/>
      <c r="E662" s="272"/>
    </row>
    <row r="663" spans="1:5" x14ac:dyDescent="0.2">
      <c r="A663" s="272"/>
      <c r="B663" s="272"/>
      <c r="C663" s="272"/>
      <c r="D663" s="272"/>
      <c r="E663" s="272"/>
    </row>
    <row r="664" spans="1:5" x14ac:dyDescent="0.2">
      <c r="A664" s="272"/>
      <c r="B664" s="272"/>
      <c r="C664" s="272"/>
      <c r="D664" s="272"/>
      <c r="E664" s="272"/>
    </row>
    <row r="665" spans="1:5" x14ac:dyDescent="0.2">
      <c r="A665" s="272"/>
      <c r="B665" s="272"/>
      <c r="C665" s="272"/>
      <c r="D665" s="272"/>
      <c r="E665" s="272"/>
    </row>
    <row r="666" spans="1:5" x14ac:dyDescent="0.2">
      <c r="A666" s="272"/>
      <c r="B666" s="272"/>
      <c r="C666" s="272"/>
      <c r="D666" s="272"/>
      <c r="E666" s="272"/>
    </row>
    <row r="667" spans="1:5" x14ac:dyDescent="0.2">
      <c r="A667" s="272"/>
      <c r="B667" s="272"/>
      <c r="C667" s="272"/>
      <c r="D667" s="272"/>
      <c r="E667" s="272"/>
    </row>
    <row r="668" spans="1:5" x14ac:dyDescent="0.2">
      <c r="A668" s="272"/>
      <c r="B668" s="272"/>
      <c r="C668" s="272"/>
      <c r="D668" s="272"/>
      <c r="E668" s="272"/>
    </row>
    <row r="669" spans="1:5" x14ac:dyDescent="0.2">
      <c r="A669" s="272"/>
      <c r="B669" s="272"/>
      <c r="C669" s="272"/>
      <c r="D669" s="272"/>
      <c r="E669" s="272"/>
    </row>
    <row r="670" spans="1:5" x14ac:dyDescent="0.2">
      <c r="A670" s="272"/>
      <c r="B670" s="272"/>
      <c r="C670" s="272"/>
      <c r="D670" s="272"/>
      <c r="E670" s="272"/>
    </row>
    <row r="671" spans="1:5" x14ac:dyDescent="0.2">
      <c r="A671" s="272"/>
      <c r="B671" s="272"/>
      <c r="C671" s="272"/>
      <c r="D671" s="272"/>
      <c r="E671" s="272"/>
    </row>
    <row r="672" spans="1:5" x14ac:dyDescent="0.2">
      <c r="A672" s="272"/>
      <c r="B672" s="272"/>
      <c r="C672" s="272"/>
      <c r="D672" s="272"/>
      <c r="E672" s="272"/>
    </row>
    <row r="673" spans="1:5" x14ac:dyDescent="0.2">
      <c r="A673" s="272"/>
      <c r="B673" s="272"/>
      <c r="C673" s="272"/>
      <c r="D673" s="272"/>
      <c r="E673" s="272"/>
    </row>
    <row r="674" spans="1:5" x14ac:dyDescent="0.2">
      <c r="A674" s="272"/>
      <c r="B674" s="272"/>
      <c r="C674" s="272"/>
      <c r="D674" s="272"/>
      <c r="E674" s="272"/>
    </row>
    <row r="675" spans="1:5" x14ac:dyDescent="0.2">
      <c r="A675" s="272"/>
      <c r="B675" s="272"/>
      <c r="C675" s="272"/>
      <c r="D675" s="272"/>
      <c r="E675" s="272"/>
    </row>
    <row r="676" spans="1:5" x14ac:dyDescent="0.2">
      <c r="A676" s="272"/>
      <c r="B676" s="272"/>
      <c r="C676" s="272"/>
      <c r="D676" s="272"/>
      <c r="E676" s="272"/>
    </row>
    <row r="677" spans="1:5" x14ac:dyDescent="0.2">
      <c r="A677" s="272"/>
      <c r="B677" s="272"/>
      <c r="C677" s="272"/>
      <c r="D677" s="272"/>
      <c r="E677" s="272"/>
    </row>
    <row r="678" spans="1:5" x14ac:dyDescent="0.2">
      <c r="A678" s="272"/>
      <c r="B678" s="272"/>
      <c r="C678" s="272"/>
      <c r="D678" s="272"/>
      <c r="E678" s="272"/>
    </row>
    <row r="679" spans="1:5" x14ac:dyDescent="0.2">
      <c r="A679" s="272"/>
      <c r="B679" s="272"/>
      <c r="C679" s="272"/>
      <c r="D679" s="272"/>
      <c r="E679" s="272"/>
    </row>
    <row r="680" spans="1:5" x14ac:dyDescent="0.2">
      <c r="A680" s="272"/>
      <c r="B680" s="272"/>
      <c r="C680" s="272"/>
      <c r="D680" s="272"/>
      <c r="E680" s="272"/>
    </row>
    <row r="681" spans="1:5" x14ac:dyDescent="0.2">
      <c r="A681" s="272"/>
      <c r="B681" s="272"/>
      <c r="C681" s="272"/>
      <c r="D681" s="272"/>
      <c r="E681" s="272"/>
    </row>
    <row r="682" spans="1:5" x14ac:dyDescent="0.2">
      <c r="A682" s="272"/>
      <c r="B682" s="272"/>
      <c r="C682" s="272"/>
      <c r="D682" s="272"/>
      <c r="E682" s="272"/>
    </row>
    <row r="683" spans="1:5" x14ac:dyDescent="0.2">
      <c r="A683" s="272"/>
      <c r="B683" s="272"/>
      <c r="C683" s="272"/>
      <c r="D683" s="272"/>
      <c r="E683" s="272"/>
    </row>
    <row r="684" spans="1:5" x14ac:dyDescent="0.2">
      <c r="A684" s="272"/>
      <c r="B684" s="272"/>
      <c r="C684" s="272"/>
      <c r="D684" s="272"/>
      <c r="E684" s="272"/>
    </row>
    <row r="685" spans="1:5" x14ac:dyDescent="0.2">
      <c r="A685" s="272"/>
      <c r="B685" s="272"/>
      <c r="C685" s="272"/>
      <c r="D685" s="272"/>
      <c r="E685" s="272"/>
    </row>
    <row r="686" spans="1:5" x14ac:dyDescent="0.2">
      <c r="A686" s="272"/>
      <c r="B686" s="272"/>
      <c r="C686" s="272"/>
      <c r="D686" s="272"/>
      <c r="E686" s="272"/>
    </row>
    <row r="687" spans="1:5" x14ac:dyDescent="0.2">
      <c r="A687" s="272"/>
      <c r="B687" s="272"/>
      <c r="C687" s="272"/>
      <c r="D687" s="272"/>
      <c r="E687" s="272"/>
    </row>
    <row r="688" spans="1:5" x14ac:dyDescent="0.2">
      <c r="A688" s="272"/>
      <c r="B688" s="272"/>
      <c r="C688" s="272"/>
      <c r="D688" s="272"/>
      <c r="E688" s="272"/>
    </row>
    <row r="689" spans="1:5" x14ac:dyDescent="0.2">
      <c r="A689" s="272"/>
      <c r="B689" s="272"/>
      <c r="C689" s="272"/>
      <c r="D689" s="272"/>
      <c r="E689" s="272"/>
    </row>
    <row r="690" spans="1:5" x14ac:dyDescent="0.2">
      <c r="A690" s="272"/>
      <c r="B690" s="272"/>
      <c r="C690" s="272"/>
      <c r="D690" s="272"/>
      <c r="E690" s="272"/>
    </row>
    <row r="691" spans="1:5" x14ac:dyDescent="0.2">
      <c r="A691" s="272"/>
      <c r="B691" s="272"/>
      <c r="C691" s="272"/>
      <c r="D691" s="272"/>
      <c r="E691" s="272"/>
    </row>
    <row r="692" spans="1:5" x14ac:dyDescent="0.2">
      <c r="A692" s="272"/>
      <c r="B692" s="272"/>
      <c r="C692" s="272"/>
      <c r="D692" s="272"/>
      <c r="E692" s="272"/>
    </row>
    <row r="693" spans="1:5" x14ac:dyDescent="0.2">
      <c r="A693" s="272"/>
      <c r="B693" s="272"/>
      <c r="C693" s="272"/>
      <c r="D693" s="272"/>
      <c r="E693" s="272"/>
    </row>
    <row r="694" spans="1:5" x14ac:dyDescent="0.2">
      <c r="A694" s="272"/>
      <c r="B694" s="272"/>
      <c r="C694" s="272"/>
      <c r="D694" s="272"/>
      <c r="E694" s="272"/>
    </row>
    <row r="695" spans="1:5" x14ac:dyDescent="0.2">
      <c r="A695" s="272"/>
      <c r="B695" s="272"/>
      <c r="C695" s="272"/>
      <c r="D695" s="272"/>
      <c r="E695" s="272"/>
    </row>
    <row r="696" spans="1:5" x14ac:dyDescent="0.2">
      <c r="A696" s="272"/>
      <c r="B696" s="272"/>
      <c r="C696" s="272"/>
      <c r="D696" s="272"/>
      <c r="E696" s="272"/>
    </row>
    <row r="697" spans="1:5" x14ac:dyDescent="0.2">
      <c r="A697" s="272"/>
      <c r="B697" s="272"/>
      <c r="C697" s="272"/>
      <c r="D697" s="272"/>
      <c r="E697" s="272"/>
    </row>
    <row r="698" spans="1:5" x14ac:dyDescent="0.2">
      <c r="A698" s="272"/>
      <c r="B698" s="272"/>
      <c r="C698" s="272"/>
      <c r="D698" s="272"/>
      <c r="E698" s="272"/>
    </row>
    <row r="699" spans="1:5" x14ac:dyDescent="0.2">
      <c r="A699" s="272"/>
      <c r="B699" s="272"/>
      <c r="C699" s="272"/>
      <c r="D699" s="272"/>
      <c r="E699" s="272"/>
    </row>
    <row r="700" spans="1:5" x14ac:dyDescent="0.2">
      <c r="A700" s="272"/>
      <c r="B700" s="272"/>
      <c r="C700" s="272"/>
      <c r="D700" s="272"/>
      <c r="E700" s="272"/>
    </row>
    <row r="701" spans="1:5" x14ac:dyDescent="0.2">
      <c r="A701" s="272"/>
      <c r="B701" s="272"/>
      <c r="C701" s="272"/>
      <c r="D701" s="272"/>
      <c r="E701" s="272"/>
    </row>
    <row r="702" spans="1:5" x14ac:dyDescent="0.2">
      <c r="A702" s="272"/>
      <c r="B702" s="272"/>
      <c r="C702" s="272"/>
      <c r="D702" s="272"/>
      <c r="E702" s="272"/>
    </row>
    <row r="703" spans="1:5" x14ac:dyDescent="0.2">
      <c r="A703" s="272"/>
      <c r="B703" s="272"/>
      <c r="C703" s="272"/>
      <c r="D703" s="272"/>
      <c r="E703" s="272"/>
    </row>
    <row r="704" spans="1:5" x14ac:dyDescent="0.2">
      <c r="A704" s="272"/>
      <c r="B704" s="272"/>
      <c r="C704" s="272"/>
      <c r="D704" s="272"/>
      <c r="E704" s="272"/>
    </row>
    <row r="705" spans="1:5" x14ac:dyDescent="0.2">
      <c r="A705" s="272"/>
      <c r="B705" s="272"/>
      <c r="C705" s="272"/>
      <c r="D705" s="272"/>
      <c r="E705" s="272"/>
    </row>
    <row r="706" spans="1:5" x14ac:dyDescent="0.2">
      <c r="A706" s="272"/>
      <c r="B706" s="272"/>
      <c r="C706" s="272"/>
      <c r="D706" s="272"/>
      <c r="E706" s="272"/>
    </row>
    <row r="707" spans="1:5" x14ac:dyDescent="0.2">
      <c r="A707" s="272"/>
      <c r="B707" s="272"/>
      <c r="C707" s="272"/>
      <c r="D707" s="272"/>
      <c r="E707" s="272"/>
    </row>
    <row r="708" spans="1:5" x14ac:dyDescent="0.2">
      <c r="A708" s="272"/>
      <c r="B708" s="272"/>
      <c r="C708" s="272"/>
      <c r="D708" s="272"/>
      <c r="E708" s="272"/>
    </row>
    <row r="709" spans="1:5" x14ac:dyDescent="0.2">
      <c r="A709" s="272"/>
      <c r="B709" s="272"/>
      <c r="C709" s="272"/>
      <c r="D709" s="272"/>
      <c r="E709" s="272"/>
    </row>
    <row r="710" spans="1:5" x14ac:dyDescent="0.2">
      <c r="A710" s="272"/>
      <c r="B710" s="272"/>
      <c r="C710" s="272"/>
      <c r="D710" s="272"/>
      <c r="E710" s="272"/>
    </row>
    <row r="711" spans="1:5" x14ac:dyDescent="0.2">
      <c r="A711" s="272"/>
      <c r="B711" s="272"/>
      <c r="C711" s="272"/>
      <c r="D711" s="272"/>
      <c r="E711" s="272"/>
    </row>
    <row r="712" spans="1:5" x14ac:dyDescent="0.2">
      <c r="A712" s="272"/>
      <c r="B712" s="272"/>
      <c r="C712" s="272"/>
      <c r="D712" s="272"/>
      <c r="E712" s="272"/>
    </row>
    <row r="713" spans="1:5" x14ac:dyDescent="0.2">
      <c r="A713" s="272"/>
      <c r="B713" s="272"/>
      <c r="C713" s="272"/>
      <c r="D713" s="272"/>
      <c r="E713" s="272"/>
    </row>
    <row r="714" spans="1:5" x14ac:dyDescent="0.2">
      <c r="A714" s="272"/>
      <c r="B714" s="272"/>
      <c r="C714" s="272"/>
      <c r="D714" s="272"/>
      <c r="E714" s="272"/>
    </row>
    <row r="715" spans="1:5" x14ac:dyDescent="0.2">
      <c r="A715" s="272"/>
      <c r="B715" s="272"/>
      <c r="C715" s="272"/>
      <c r="D715" s="272"/>
      <c r="E715" s="272"/>
    </row>
    <row r="716" spans="1:5" x14ac:dyDescent="0.2">
      <c r="A716" s="272"/>
      <c r="B716" s="272"/>
      <c r="C716" s="272"/>
      <c r="D716" s="272"/>
      <c r="E716" s="272"/>
    </row>
    <row r="717" spans="1:5" x14ac:dyDescent="0.2">
      <c r="A717" s="272"/>
      <c r="B717" s="272"/>
      <c r="C717" s="272"/>
      <c r="D717" s="272"/>
      <c r="E717" s="272"/>
    </row>
    <row r="718" spans="1:5" x14ac:dyDescent="0.2">
      <c r="A718" s="272"/>
      <c r="B718" s="272"/>
      <c r="C718" s="272"/>
      <c r="D718" s="272"/>
      <c r="E718" s="272"/>
    </row>
    <row r="719" spans="1:5" x14ac:dyDescent="0.2">
      <c r="A719" s="272"/>
      <c r="B719" s="272"/>
      <c r="C719" s="272"/>
      <c r="D719" s="272"/>
      <c r="E719" s="272"/>
    </row>
    <row r="720" spans="1:5" x14ac:dyDescent="0.2">
      <c r="A720" s="272"/>
      <c r="B720" s="272"/>
      <c r="C720" s="272"/>
      <c r="D720" s="272"/>
      <c r="E720" s="272"/>
    </row>
    <row r="721" spans="1:5" x14ac:dyDescent="0.2">
      <c r="A721" s="272"/>
      <c r="B721" s="272"/>
      <c r="C721" s="272"/>
      <c r="D721" s="272"/>
      <c r="E721" s="272"/>
    </row>
    <row r="722" spans="1:5" x14ac:dyDescent="0.2">
      <c r="A722" s="272"/>
      <c r="B722" s="272"/>
      <c r="C722" s="272"/>
      <c r="D722" s="272"/>
      <c r="E722" s="272"/>
    </row>
    <row r="723" spans="1:5" x14ac:dyDescent="0.2">
      <c r="A723" s="272"/>
      <c r="B723" s="272"/>
      <c r="C723" s="272"/>
      <c r="D723" s="272"/>
      <c r="E723" s="272"/>
    </row>
    <row r="724" spans="1:5" x14ac:dyDescent="0.2">
      <c r="A724" s="272"/>
      <c r="B724" s="272"/>
      <c r="C724" s="272"/>
      <c r="D724" s="272"/>
      <c r="E724" s="272"/>
    </row>
    <row r="725" spans="1:5" x14ac:dyDescent="0.2">
      <c r="A725" s="272"/>
      <c r="B725" s="272"/>
      <c r="C725" s="272"/>
      <c r="D725" s="272"/>
      <c r="E725" s="272"/>
    </row>
    <row r="726" spans="1:5" x14ac:dyDescent="0.2">
      <c r="A726" s="272"/>
      <c r="B726" s="272"/>
      <c r="C726" s="272"/>
      <c r="D726" s="272"/>
      <c r="E726" s="272"/>
    </row>
    <row r="727" spans="1:5" x14ac:dyDescent="0.2">
      <c r="A727" s="272"/>
      <c r="B727" s="272"/>
      <c r="C727" s="272"/>
      <c r="D727" s="272"/>
      <c r="E727" s="272"/>
    </row>
    <row r="728" spans="1:5" x14ac:dyDescent="0.2">
      <c r="A728" s="272"/>
      <c r="B728" s="272"/>
      <c r="C728" s="272"/>
      <c r="D728" s="272"/>
      <c r="E728" s="272"/>
    </row>
    <row r="729" spans="1:5" x14ac:dyDescent="0.2">
      <c r="A729" s="272"/>
      <c r="B729" s="272"/>
      <c r="C729" s="272"/>
      <c r="D729" s="272"/>
      <c r="E729" s="272"/>
    </row>
    <row r="730" spans="1:5" x14ac:dyDescent="0.2">
      <c r="A730" s="272"/>
      <c r="B730" s="272"/>
      <c r="C730" s="272"/>
      <c r="D730" s="272"/>
      <c r="E730" s="272"/>
    </row>
    <row r="731" spans="1:5" x14ac:dyDescent="0.2">
      <c r="A731" s="272"/>
      <c r="B731" s="272"/>
      <c r="C731" s="272"/>
      <c r="D731" s="272"/>
      <c r="E731" s="272"/>
    </row>
    <row r="732" spans="1:5" x14ac:dyDescent="0.2">
      <c r="A732" s="272"/>
      <c r="B732" s="272"/>
      <c r="C732" s="272"/>
      <c r="D732" s="272"/>
      <c r="E732" s="272"/>
    </row>
    <row r="733" spans="1:5" x14ac:dyDescent="0.2">
      <c r="A733" s="272"/>
      <c r="B733" s="272"/>
      <c r="C733" s="272"/>
      <c r="D733" s="272"/>
      <c r="E733" s="272"/>
    </row>
    <row r="734" spans="1:5" x14ac:dyDescent="0.2">
      <c r="A734" s="272"/>
      <c r="B734" s="272"/>
      <c r="C734" s="272"/>
      <c r="D734" s="272"/>
      <c r="E734" s="272"/>
    </row>
    <row r="735" spans="1:5" x14ac:dyDescent="0.2">
      <c r="A735" s="272"/>
      <c r="B735" s="272"/>
      <c r="C735" s="272"/>
      <c r="D735" s="272"/>
      <c r="E735" s="272"/>
    </row>
    <row r="736" spans="1:5" x14ac:dyDescent="0.2">
      <c r="A736" s="272"/>
      <c r="B736" s="272"/>
      <c r="C736" s="272"/>
      <c r="D736" s="272"/>
      <c r="E736" s="272"/>
    </row>
    <row r="737" spans="1:5" x14ac:dyDescent="0.2">
      <c r="A737" s="272"/>
      <c r="B737" s="272"/>
      <c r="C737" s="272"/>
      <c r="D737" s="272"/>
      <c r="E737" s="272"/>
    </row>
    <row r="738" spans="1:5" x14ac:dyDescent="0.2">
      <c r="A738" s="272"/>
      <c r="B738" s="272"/>
      <c r="C738" s="272"/>
      <c r="D738" s="272"/>
      <c r="E738" s="272"/>
    </row>
    <row r="739" spans="1:5" x14ac:dyDescent="0.2">
      <c r="A739" s="272"/>
      <c r="B739" s="272"/>
      <c r="C739" s="272"/>
      <c r="D739" s="272"/>
      <c r="E739" s="272"/>
    </row>
    <row r="740" spans="1:5" x14ac:dyDescent="0.2">
      <c r="A740" s="272"/>
      <c r="B740" s="272"/>
      <c r="C740" s="272"/>
      <c r="D740" s="272"/>
      <c r="E740" s="272"/>
    </row>
    <row r="741" spans="1:5" x14ac:dyDescent="0.2">
      <c r="A741" s="272"/>
      <c r="B741" s="272"/>
      <c r="C741" s="272"/>
      <c r="D741" s="272"/>
      <c r="E741" s="272"/>
    </row>
    <row r="742" spans="1:5" x14ac:dyDescent="0.2">
      <c r="A742" s="272"/>
      <c r="B742" s="272"/>
      <c r="C742" s="272"/>
      <c r="D742" s="272"/>
      <c r="E742" s="272"/>
    </row>
    <row r="743" spans="1:5" x14ac:dyDescent="0.2">
      <c r="A743" s="272"/>
      <c r="B743" s="272"/>
      <c r="C743" s="272"/>
      <c r="D743" s="272"/>
      <c r="E743" s="272"/>
    </row>
    <row r="744" spans="1:5" x14ac:dyDescent="0.2">
      <c r="A744" s="272"/>
      <c r="B744" s="272"/>
      <c r="C744" s="272"/>
      <c r="D744" s="272"/>
      <c r="E744" s="272"/>
    </row>
    <row r="745" spans="1:5" x14ac:dyDescent="0.2">
      <c r="A745" s="272"/>
      <c r="B745" s="272"/>
      <c r="C745" s="272"/>
      <c r="D745" s="272"/>
      <c r="E745" s="272"/>
    </row>
    <row r="746" spans="1:5" x14ac:dyDescent="0.2">
      <c r="A746" s="272"/>
      <c r="B746" s="272"/>
      <c r="C746" s="272"/>
      <c r="D746" s="272"/>
      <c r="E746" s="272"/>
    </row>
    <row r="747" spans="1:5" x14ac:dyDescent="0.2">
      <c r="A747" s="272"/>
      <c r="B747" s="272"/>
      <c r="C747" s="272"/>
      <c r="D747" s="272"/>
      <c r="E747" s="272"/>
    </row>
    <row r="748" spans="1:5" x14ac:dyDescent="0.2">
      <c r="A748" s="272"/>
      <c r="B748" s="272"/>
      <c r="C748" s="272"/>
      <c r="D748" s="272"/>
      <c r="E748" s="272"/>
    </row>
    <row r="749" spans="1:5" x14ac:dyDescent="0.2">
      <c r="A749" s="272"/>
      <c r="B749" s="272"/>
      <c r="C749" s="272"/>
      <c r="D749" s="272"/>
      <c r="E749" s="272"/>
    </row>
    <row r="750" spans="1:5" x14ac:dyDescent="0.2">
      <c r="A750" s="272"/>
      <c r="B750" s="272"/>
      <c r="C750" s="272"/>
      <c r="D750" s="272"/>
      <c r="E750" s="272"/>
    </row>
    <row r="751" spans="1:5" x14ac:dyDescent="0.2">
      <c r="A751" s="272"/>
      <c r="B751" s="272"/>
      <c r="C751" s="272"/>
      <c r="D751" s="272"/>
      <c r="E751" s="272"/>
    </row>
    <row r="752" spans="1:5" x14ac:dyDescent="0.2">
      <c r="A752" s="272"/>
      <c r="B752" s="272"/>
      <c r="C752" s="272"/>
      <c r="D752" s="272"/>
      <c r="E752" s="272"/>
    </row>
    <row r="753" spans="1:5" x14ac:dyDescent="0.2">
      <c r="A753" s="272"/>
      <c r="B753" s="272"/>
      <c r="C753" s="272"/>
      <c r="D753" s="272"/>
      <c r="E753" s="272"/>
    </row>
    <row r="754" spans="1:5" x14ac:dyDescent="0.2">
      <c r="A754" s="272"/>
      <c r="B754" s="272"/>
      <c r="C754" s="272"/>
      <c r="D754" s="272"/>
      <c r="E754" s="272"/>
    </row>
    <row r="755" spans="1:5" x14ac:dyDescent="0.2">
      <c r="A755" s="272"/>
      <c r="B755" s="272"/>
      <c r="C755" s="272"/>
      <c r="D755" s="272"/>
      <c r="E755" s="272"/>
    </row>
    <row r="756" spans="1:5" x14ac:dyDescent="0.2">
      <c r="A756" s="272"/>
      <c r="B756" s="272"/>
      <c r="C756" s="272"/>
      <c r="D756" s="272"/>
      <c r="E756" s="272"/>
    </row>
    <row r="757" spans="1:5" x14ac:dyDescent="0.2">
      <c r="A757" s="272"/>
      <c r="B757" s="272"/>
      <c r="C757" s="272"/>
      <c r="D757" s="272"/>
      <c r="E757" s="272"/>
    </row>
    <row r="758" spans="1:5" x14ac:dyDescent="0.2">
      <c r="A758" s="272"/>
      <c r="B758" s="272"/>
      <c r="C758" s="272"/>
      <c r="D758" s="272"/>
      <c r="E758" s="272"/>
    </row>
    <row r="759" spans="1:5" x14ac:dyDescent="0.2">
      <c r="A759" s="272"/>
      <c r="B759" s="272"/>
      <c r="C759" s="272"/>
      <c r="D759" s="272"/>
      <c r="E759" s="272"/>
    </row>
    <row r="760" spans="1:5" x14ac:dyDescent="0.2">
      <c r="A760" s="272"/>
      <c r="B760" s="272"/>
      <c r="C760" s="272"/>
      <c r="D760" s="272"/>
      <c r="E760" s="272"/>
    </row>
    <row r="761" spans="1:5" x14ac:dyDescent="0.2">
      <c r="A761" s="272"/>
      <c r="B761" s="272"/>
      <c r="C761" s="272"/>
      <c r="D761" s="272"/>
      <c r="E761" s="272"/>
    </row>
    <row r="762" spans="1:5" x14ac:dyDescent="0.2">
      <c r="A762" s="272"/>
      <c r="B762" s="272"/>
      <c r="C762" s="272"/>
      <c r="D762" s="272"/>
      <c r="E762" s="272"/>
    </row>
    <row r="763" spans="1:5" x14ac:dyDescent="0.2">
      <c r="A763" s="272"/>
      <c r="B763" s="272"/>
      <c r="C763" s="272"/>
      <c r="D763" s="272"/>
      <c r="E763" s="272"/>
    </row>
    <row r="764" spans="1:5" x14ac:dyDescent="0.2">
      <c r="A764" s="272"/>
      <c r="B764" s="272"/>
      <c r="C764" s="272"/>
      <c r="D764" s="272"/>
      <c r="E764" s="272"/>
    </row>
    <row r="765" spans="1:5" x14ac:dyDescent="0.2">
      <c r="A765" s="272"/>
      <c r="B765" s="272"/>
      <c r="C765" s="272"/>
      <c r="D765" s="272"/>
      <c r="E765" s="272"/>
    </row>
    <row r="766" spans="1:5" x14ac:dyDescent="0.2">
      <c r="A766" s="272"/>
      <c r="B766" s="272"/>
      <c r="C766" s="272"/>
      <c r="D766" s="272"/>
      <c r="E766" s="272"/>
    </row>
    <row r="767" spans="1:5" x14ac:dyDescent="0.2">
      <c r="A767" s="272"/>
      <c r="B767" s="272"/>
      <c r="C767" s="272"/>
      <c r="D767" s="272"/>
      <c r="E767" s="272"/>
    </row>
    <row r="768" spans="1:5" x14ac:dyDescent="0.2">
      <c r="A768" s="272"/>
      <c r="B768" s="272"/>
      <c r="C768" s="272"/>
      <c r="D768" s="272"/>
      <c r="E768" s="272"/>
    </row>
    <row r="769" spans="1:5" x14ac:dyDescent="0.2">
      <c r="A769" s="272"/>
      <c r="B769" s="272"/>
      <c r="C769" s="272"/>
      <c r="D769" s="272"/>
      <c r="E769" s="272"/>
    </row>
    <row r="770" spans="1:5" x14ac:dyDescent="0.2">
      <c r="A770" s="272"/>
      <c r="B770" s="272"/>
      <c r="C770" s="272"/>
      <c r="D770" s="272"/>
      <c r="E770" s="272"/>
    </row>
    <row r="771" spans="1:5" x14ac:dyDescent="0.2">
      <c r="A771" s="272"/>
      <c r="B771" s="272"/>
      <c r="C771" s="272"/>
      <c r="D771" s="272"/>
      <c r="E771" s="272"/>
    </row>
    <row r="772" spans="1:5" x14ac:dyDescent="0.2">
      <c r="A772" s="272"/>
      <c r="B772" s="272"/>
      <c r="C772" s="272"/>
      <c r="D772" s="272"/>
      <c r="E772" s="272"/>
    </row>
    <row r="773" spans="1:5" x14ac:dyDescent="0.2">
      <c r="A773" s="272"/>
      <c r="B773" s="272"/>
      <c r="C773" s="272"/>
      <c r="D773" s="272"/>
      <c r="E773" s="272"/>
    </row>
    <row r="774" spans="1:5" x14ac:dyDescent="0.2">
      <c r="A774" s="272"/>
      <c r="B774" s="272"/>
      <c r="C774" s="272"/>
      <c r="D774" s="272"/>
      <c r="E774" s="272"/>
    </row>
    <row r="775" spans="1:5" x14ac:dyDescent="0.2">
      <c r="A775" s="272"/>
      <c r="B775" s="272"/>
      <c r="C775" s="272"/>
      <c r="D775" s="272"/>
      <c r="E775" s="272"/>
    </row>
    <row r="776" spans="1:5" x14ac:dyDescent="0.2">
      <c r="A776" s="272"/>
      <c r="B776" s="272"/>
      <c r="C776" s="272"/>
      <c r="D776" s="272"/>
      <c r="E776" s="272"/>
    </row>
    <row r="777" spans="1:5" x14ac:dyDescent="0.2">
      <c r="A777" s="272"/>
      <c r="B777" s="272"/>
      <c r="C777" s="272"/>
      <c r="D777" s="272"/>
      <c r="E777" s="272"/>
    </row>
    <row r="778" spans="1:5" x14ac:dyDescent="0.2">
      <c r="A778" s="272"/>
      <c r="B778" s="272"/>
      <c r="C778" s="272"/>
      <c r="D778" s="272"/>
      <c r="E778" s="272"/>
    </row>
    <row r="779" spans="1:5" x14ac:dyDescent="0.2">
      <c r="A779" s="272"/>
      <c r="B779" s="272"/>
      <c r="C779" s="272"/>
      <c r="D779" s="272"/>
      <c r="E779" s="272"/>
    </row>
    <row r="780" spans="1:5" x14ac:dyDescent="0.2">
      <c r="A780" s="272"/>
      <c r="B780" s="272"/>
      <c r="C780" s="272"/>
      <c r="D780" s="272"/>
      <c r="E780" s="272"/>
    </row>
    <row r="781" spans="1:5" x14ac:dyDescent="0.2">
      <c r="A781" s="272"/>
      <c r="B781" s="272"/>
      <c r="C781" s="272"/>
      <c r="D781" s="272"/>
      <c r="E781" s="272"/>
    </row>
    <row r="782" spans="1:5" x14ac:dyDescent="0.2">
      <c r="A782" s="272"/>
      <c r="B782" s="272"/>
      <c r="C782" s="272"/>
      <c r="D782" s="272"/>
      <c r="E782" s="272"/>
    </row>
    <row r="783" spans="1:5" x14ac:dyDescent="0.2">
      <c r="A783" s="272"/>
      <c r="B783" s="272"/>
      <c r="C783" s="272"/>
      <c r="D783" s="272"/>
      <c r="E783" s="272"/>
    </row>
    <row r="784" spans="1:5" x14ac:dyDescent="0.2">
      <c r="A784" s="272"/>
      <c r="B784" s="272"/>
      <c r="C784" s="272"/>
      <c r="D784" s="272"/>
      <c r="E784" s="272"/>
    </row>
    <row r="785" spans="1:5" x14ac:dyDescent="0.2">
      <c r="A785" s="272"/>
      <c r="B785" s="272"/>
      <c r="C785" s="272"/>
      <c r="D785" s="272"/>
      <c r="E785" s="272"/>
    </row>
    <row r="786" spans="1:5" x14ac:dyDescent="0.2">
      <c r="A786" s="272"/>
      <c r="B786" s="272"/>
      <c r="C786" s="272"/>
      <c r="D786" s="272"/>
      <c r="E786" s="272"/>
    </row>
    <row r="787" spans="1:5" x14ac:dyDescent="0.2">
      <c r="A787" s="272"/>
      <c r="B787" s="272"/>
      <c r="C787" s="272"/>
      <c r="D787" s="272"/>
      <c r="E787" s="272"/>
    </row>
    <row r="788" spans="1:5" x14ac:dyDescent="0.2">
      <c r="A788" s="272"/>
      <c r="B788" s="272"/>
      <c r="C788" s="272"/>
      <c r="D788" s="272"/>
      <c r="E788" s="272"/>
    </row>
    <row r="789" spans="1:5" x14ac:dyDescent="0.2">
      <c r="A789" s="272"/>
      <c r="B789" s="272"/>
      <c r="C789" s="272"/>
      <c r="D789" s="272"/>
      <c r="E789" s="272"/>
    </row>
    <row r="790" spans="1:5" x14ac:dyDescent="0.2">
      <c r="A790" s="272"/>
      <c r="B790" s="272"/>
      <c r="C790" s="272"/>
      <c r="D790" s="272"/>
      <c r="E790" s="272"/>
    </row>
    <row r="791" spans="1:5" x14ac:dyDescent="0.2">
      <c r="A791" s="272"/>
      <c r="B791" s="272"/>
      <c r="C791" s="272"/>
      <c r="D791" s="272"/>
      <c r="E791" s="272"/>
    </row>
    <row r="792" spans="1:5" x14ac:dyDescent="0.2">
      <c r="A792" s="272"/>
      <c r="B792" s="272"/>
      <c r="C792" s="272"/>
      <c r="D792" s="272"/>
      <c r="E792" s="272"/>
    </row>
    <row r="793" spans="1:5" x14ac:dyDescent="0.2">
      <c r="A793" s="272"/>
      <c r="B793" s="272"/>
      <c r="C793" s="272"/>
      <c r="D793" s="272"/>
      <c r="E793" s="272"/>
    </row>
    <row r="794" spans="1:5" x14ac:dyDescent="0.2">
      <c r="A794" s="272"/>
      <c r="B794" s="272"/>
      <c r="C794" s="272"/>
      <c r="D794" s="272"/>
      <c r="E794" s="272"/>
    </row>
    <row r="795" spans="1:5" x14ac:dyDescent="0.2">
      <c r="A795" s="272"/>
      <c r="B795" s="272"/>
      <c r="C795" s="272"/>
      <c r="D795" s="272"/>
      <c r="E795" s="272"/>
    </row>
    <row r="796" spans="1:5" x14ac:dyDescent="0.2">
      <c r="A796" s="272"/>
      <c r="B796" s="272"/>
      <c r="C796" s="272"/>
      <c r="D796" s="272"/>
      <c r="E796" s="272"/>
    </row>
    <row r="797" spans="1:5" x14ac:dyDescent="0.2">
      <c r="A797" s="272"/>
      <c r="B797" s="272"/>
      <c r="C797" s="272"/>
      <c r="D797" s="272"/>
      <c r="E797" s="272"/>
    </row>
    <row r="798" spans="1:5" x14ac:dyDescent="0.2">
      <c r="A798" s="272"/>
      <c r="B798" s="272"/>
      <c r="C798" s="272"/>
      <c r="D798" s="272"/>
      <c r="E798" s="272"/>
    </row>
    <row r="799" spans="1:5" x14ac:dyDescent="0.2">
      <c r="A799" s="272"/>
      <c r="B799" s="272"/>
      <c r="C799" s="272"/>
      <c r="D799" s="272"/>
      <c r="E799" s="272"/>
    </row>
    <row r="800" spans="1:5" x14ac:dyDescent="0.2">
      <c r="A800" s="272"/>
      <c r="B800" s="272"/>
      <c r="C800" s="272"/>
      <c r="D800" s="272"/>
      <c r="E800" s="272"/>
    </row>
    <row r="801" spans="1:5" x14ac:dyDescent="0.2">
      <c r="A801" s="272"/>
      <c r="B801" s="272"/>
      <c r="C801" s="272"/>
      <c r="D801" s="272"/>
      <c r="E801" s="272"/>
    </row>
    <row r="802" spans="1:5" x14ac:dyDescent="0.2">
      <c r="A802" s="272"/>
      <c r="B802" s="272"/>
      <c r="C802" s="272"/>
      <c r="D802" s="272"/>
      <c r="E802" s="272"/>
    </row>
    <row r="803" spans="1:5" x14ac:dyDescent="0.2">
      <c r="A803" s="272"/>
      <c r="B803" s="272"/>
      <c r="C803" s="272"/>
      <c r="D803" s="272"/>
      <c r="E803" s="272"/>
    </row>
    <row r="804" spans="1:5" x14ac:dyDescent="0.2">
      <c r="A804" s="272"/>
      <c r="B804" s="272"/>
      <c r="C804" s="272"/>
      <c r="D804" s="272"/>
      <c r="E804" s="272"/>
    </row>
    <row r="805" spans="1:5" x14ac:dyDescent="0.2">
      <c r="A805" s="272"/>
      <c r="B805" s="272"/>
      <c r="C805" s="272"/>
      <c r="D805" s="272"/>
      <c r="E805" s="272"/>
    </row>
    <row r="806" spans="1:5" x14ac:dyDescent="0.2">
      <c r="A806" s="272"/>
      <c r="B806" s="272"/>
      <c r="C806" s="272"/>
      <c r="D806" s="272"/>
      <c r="E806" s="272"/>
    </row>
    <row r="807" spans="1:5" x14ac:dyDescent="0.2">
      <c r="A807" s="272"/>
      <c r="B807" s="272"/>
      <c r="C807" s="272"/>
      <c r="D807" s="272"/>
      <c r="E807" s="272"/>
    </row>
    <row r="808" spans="1:5" x14ac:dyDescent="0.2">
      <c r="A808" s="272"/>
      <c r="B808" s="272"/>
      <c r="C808" s="272"/>
      <c r="D808" s="272"/>
      <c r="E808" s="272"/>
    </row>
    <row r="809" spans="1:5" x14ac:dyDescent="0.2">
      <c r="A809" s="272"/>
      <c r="B809" s="272"/>
      <c r="C809" s="272"/>
      <c r="D809" s="272"/>
      <c r="E809" s="272"/>
    </row>
    <row r="810" spans="1:5" x14ac:dyDescent="0.2">
      <c r="A810" s="272"/>
      <c r="B810" s="272"/>
      <c r="C810" s="272"/>
      <c r="D810" s="272"/>
      <c r="E810" s="272"/>
    </row>
    <row r="811" spans="1:5" x14ac:dyDescent="0.2">
      <c r="A811" s="272"/>
      <c r="B811" s="272"/>
      <c r="C811" s="272"/>
      <c r="D811" s="272"/>
      <c r="E811" s="272"/>
    </row>
    <row r="812" spans="1:5" x14ac:dyDescent="0.2">
      <c r="A812" s="272"/>
      <c r="B812" s="272"/>
      <c r="C812" s="272"/>
      <c r="D812" s="272"/>
      <c r="E812" s="272"/>
    </row>
    <row r="813" spans="1:5" x14ac:dyDescent="0.2">
      <c r="A813" s="272"/>
      <c r="B813" s="272"/>
      <c r="C813" s="272"/>
      <c r="D813" s="272"/>
      <c r="E813" s="272"/>
    </row>
    <row r="814" spans="1:5" x14ac:dyDescent="0.2">
      <c r="A814" s="272"/>
      <c r="B814" s="272"/>
      <c r="C814" s="272"/>
      <c r="D814" s="272"/>
      <c r="E814" s="272"/>
    </row>
    <row r="815" spans="1:5" x14ac:dyDescent="0.2">
      <c r="A815" s="272"/>
      <c r="B815" s="272"/>
      <c r="C815" s="272"/>
      <c r="D815" s="272"/>
      <c r="E815" s="272"/>
    </row>
    <row r="816" spans="1:5" x14ac:dyDescent="0.2">
      <c r="A816" s="272"/>
      <c r="B816" s="272"/>
      <c r="C816" s="272"/>
      <c r="D816" s="272"/>
      <c r="E816" s="272"/>
    </row>
    <row r="817" spans="1:5" x14ac:dyDescent="0.2">
      <c r="A817" s="272"/>
      <c r="B817" s="272"/>
      <c r="C817" s="272"/>
      <c r="D817" s="272"/>
      <c r="E817" s="272"/>
    </row>
    <row r="818" spans="1:5" x14ac:dyDescent="0.2">
      <c r="A818" s="272"/>
      <c r="B818" s="272"/>
      <c r="C818" s="272"/>
      <c r="D818" s="272"/>
      <c r="E818" s="272"/>
    </row>
    <row r="819" spans="1:5" x14ac:dyDescent="0.2">
      <c r="A819" s="272"/>
      <c r="B819" s="272"/>
      <c r="C819" s="272"/>
      <c r="D819" s="272"/>
      <c r="E819" s="272"/>
    </row>
    <row r="820" spans="1:5" x14ac:dyDescent="0.2">
      <c r="A820" s="272"/>
      <c r="B820" s="272"/>
      <c r="C820" s="272"/>
      <c r="D820" s="272"/>
      <c r="E820" s="272"/>
    </row>
    <row r="821" spans="1:5" x14ac:dyDescent="0.2">
      <c r="A821" s="272"/>
      <c r="B821" s="272"/>
      <c r="C821" s="272"/>
      <c r="D821" s="272"/>
      <c r="E821" s="272"/>
    </row>
    <row r="822" spans="1:5" x14ac:dyDescent="0.2">
      <c r="A822" s="272"/>
      <c r="B822" s="272"/>
      <c r="C822" s="272"/>
      <c r="D822" s="272"/>
      <c r="E822" s="272"/>
    </row>
    <row r="823" spans="1:5" x14ac:dyDescent="0.2">
      <c r="A823" s="272"/>
      <c r="B823" s="272"/>
      <c r="C823" s="272"/>
      <c r="D823" s="272"/>
      <c r="E823" s="272"/>
    </row>
    <row r="824" spans="1:5" x14ac:dyDescent="0.2">
      <c r="A824" s="272"/>
      <c r="B824" s="272"/>
      <c r="C824" s="272"/>
      <c r="D824" s="272"/>
      <c r="E824" s="272"/>
    </row>
    <row r="825" spans="1:5" x14ac:dyDescent="0.2">
      <c r="A825" s="272"/>
      <c r="B825" s="272"/>
      <c r="C825" s="272"/>
      <c r="D825" s="272"/>
      <c r="E825" s="272"/>
    </row>
    <row r="826" spans="1:5" x14ac:dyDescent="0.2">
      <c r="A826" s="272"/>
      <c r="B826" s="272"/>
      <c r="C826" s="272"/>
      <c r="D826" s="272"/>
      <c r="E826" s="272"/>
    </row>
    <row r="827" spans="1:5" x14ac:dyDescent="0.2">
      <c r="A827" s="272"/>
      <c r="B827" s="272"/>
      <c r="C827" s="272"/>
      <c r="D827" s="272"/>
      <c r="E827" s="272"/>
    </row>
    <row r="828" spans="1:5" x14ac:dyDescent="0.2">
      <c r="A828" s="272"/>
      <c r="B828" s="272"/>
      <c r="C828" s="272"/>
      <c r="D828" s="272"/>
      <c r="E828" s="272"/>
    </row>
    <row r="829" spans="1:5" x14ac:dyDescent="0.2">
      <c r="A829" s="272"/>
      <c r="B829" s="272"/>
      <c r="C829" s="272"/>
      <c r="D829" s="272"/>
      <c r="E829" s="272"/>
    </row>
    <row r="830" spans="1:5" x14ac:dyDescent="0.2">
      <c r="A830" s="272"/>
      <c r="B830" s="272"/>
      <c r="C830" s="272"/>
      <c r="D830" s="272"/>
      <c r="E830" s="272"/>
    </row>
    <row r="831" spans="1:5" x14ac:dyDescent="0.2">
      <c r="A831" s="272"/>
      <c r="B831" s="272"/>
      <c r="C831" s="272"/>
      <c r="D831" s="272"/>
      <c r="E831" s="272"/>
    </row>
    <row r="832" spans="1:5" x14ac:dyDescent="0.2">
      <c r="A832" s="272"/>
      <c r="B832" s="272"/>
      <c r="C832" s="272"/>
      <c r="D832" s="272"/>
      <c r="E832" s="272"/>
    </row>
    <row r="833" spans="1:5" x14ac:dyDescent="0.2">
      <c r="A833" s="272"/>
      <c r="B833" s="272"/>
      <c r="C833" s="272"/>
      <c r="D833" s="272"/>
      <c r="E833" s="272"/>
    </row>
    <row r="834" spans="1:5" x14ac:dyDescent="0.2">
      <c r="A834" s="272"/>
      <c r="B834" s="272"/>
      <c r="C834" s="272"/>
      <c r="D834" s="272"/>
      <c r="E834" s="272"/>
    </row>
    <row r="835" spans="1:5" x14ac:dyDescent="0.2">
      <c r="A835" s="272"/>
      <c r="B835" s="272"/>
      <c r="C835" s="272"/>
      <c r="D835" s="272"/>
      <c r="E835" s="272"/>
    </row>
    <row r="836" spans="1:5" x14ac:dyDescent="0.2">
      <c r="A836" s="272"/>
      <c r="B836" s="272"/>
      <c r="C836" s="272"/>
      <c r="D836" s="272"/>
      <c r="E836" s="272"/>
    </row>
    <row r="837" spans="1:5" x14ac:dyDescent="0.2">
      <c r="A837" s="272"/>
      <c r="B837" s="272"/>
      <c r="C837" s="272"/>
      <c r="D837" s="272"/>
      <c r="E837" s="272"/>
    </row>
    <row r="838" spans="1:5" x14ac:dyDescent="0.2">
      <c r="A838" s="272"/>
      <c r="B838" s="272"/>
      <c r="C838" s="272"/>
      <c r="D838" s="272"/>
      <c r="E838" s="272"/>
    </row>
    <row r="839" spans="1:5" x14ac:dyDescent="0.2">
      <c r="A839" s="272"/>
      <c r="B839" s="272"/>
      <c r="C839" s="272"/>
      <c r="D839" s="272"/>
      <c r="E839" s="272"/>
    </row>
    <row r="840" spans="1:5" x14ac:dyDescent="0.2">
      <c r="A840" s="272"/>
      <c r="B840" s="272"/>
      <c r="C840" s="272"/>
      <c r="D840" s="272"/>
      <c r="E840" s="272"/>
    </row>
    <row r="841" spans="1:5" x14ac:dyDescent="0.2">
      <c r="A841" s="272"/>
      <c r="B841" s="272"/>
      <c r="C841" s="272"/>
      <c r="D841" s="272"/>
      <c r="E841" s="272"/>
    </row>
    <row r="842" spans="1:5" x14ac:dyDescent="0.2">
      <c r="A842" s="272"/>
      <c r="B842" s="272"/>
      <c r="C842" s="272"/>
      <c r="D842" s="272"/>
      <c r="E842" s="272"/>
    </row>
    <row r="843" spans="1:5" x14ac:dyDescent="0.2">
      <c r="A843" s="272"/>
      <c r="B843" s="272"/>
      <c r="C843" s="272"/>
      <c r="D843" s="272"/>
      <c r="E843" s="272"/>
    </row>
    <row r="844" spans="1:5" x14ac:dyDescent="0.2">
      <c r="A844" s="272"/>
      <c r="B844" s="272"/>
      <c r="C844" s="272"/>
      <c r="D844" s="272"/>
      <c r="E844" s="272"/>
    </row>
    <row r="845" spans="1:5" x14ac:dyDescent="0.2">
      <c r="A845" s="272"/>
      <c r="B845" s="272"/>
      <c r="C845" s="272"/>
      <c r="D845" s="272"/>
      <c r="E845" s="272"/>
    </row>
    <row r="846" spans="1:5" x14ac:dyDescent="0.2">
      <c r="A846" s="272"/>
      <c r="B846" s="272"/>
      <c r="C846" s="272"/>
      <c r="D846" s="272"/>
      <c r="E846" s="272"/>
    </row>
    <row r="847" spans="1:5" x14ac:dyDescent="0.2">
      <c r="A847" s="272"/>
      <c r="B847" s="272"/>
      <c r="C847" s="272"/>
      <c r="D847" s="272"/>
      <c r="E847" s="272"/>
    </row>
    <row r="848" spans="1:5" x14ac:dyDescent="0.2">
      <c r="A848" s="272"/>
      <c r="B848" s="272"/>
      <c r="C848" s="272"/>
      <c r="D848" s="272"/>
      <c r="E848" s="272"/>
    </row>
    <row r="849" spans="1:5" x14ac:dyDescent="0.2">
      <c r="A849" s="272"/>
      <c r="B849" s="272"/>
      <c r="C849" s="272"/>
      <c r="D849" s="272"/>
      <c r="E849" s="272"/>
    </row>
    <row r="850" spans="1:5" x14ac:dyDescent="0.2">
      <c r="A850" s="272"/>
      <c r="B850" s="272"/>
      <c r="C850" s="272"/>
      <c r="D850" s="272"/>
      <c r="E850" s="272"/>
    </row>
    <row r="851" spans="1:5" x14ac:dyDescent="0.2">
      <c r="A851" s="272"/>
      <c r="B851" s="272"/>
      <c r="C851" s="272"/>
      <c r="D851" s="272"/>
      <c r="E851" s="272"/>
    </row>
    <row r="852" spans="1:5" x14ac:dyDescent="0.2">
      <c r="A852" s="272"/>
      <c r="B852" s="272"/>
      <c r="C852" s="272"/>
      <c r="D852" s="272"/>
      <c r="E852" s="272"/>
    </row>
    <row r="853" spans="1:5" x14ac:dyDescent="0.2">
      <c r="A853" s="272"/>
      <c r="B853" s="272"/>
      <c r="C853" s="272"/>
      <c r="D853" s="272"/>
      <c r="E853" s="272"/>
    </row>
    <row r="854" spans="1:5" x14ac:dyDescent="0.2">
      <c r="A854" s="272"/>
      <c r="B854" s="272"/>
      <c r="C854" s="272"/>
      <c r="D854" s="272"/>
      <c r="E854" s="272"/>
    </row>
    <row r="855" spans="1:5" x14ac:dyDescent="0.2">
      <c r="A855" s="272"/>
      <c r="B855" s="272"/>
      <c r="C855" s="272"/>
      <c r="D855" s="272"/>
      <c r="E855" s="272"/>
    </row>
    <row r="856" spans="1:5" x14ac:dyDescent="0.2">
      <c r="A856" s="272"/>
      <c r="B856" s="272"/>
      <c r="C856" s="272"/>
      <c r="D856" s="272"/>
      <c r="E856" s="272"/>
    </row>
    <row r="857" spans="1:5" x14ac:dyDescent="0.2">
      <c r="A857" s="272"/>
      <c r="B857" s="272"/>
      <c r="C857" s="272"/>
      <c r="D857" s="272"/>
      <c r="E857" s="272"/>
    </row>
    <row r="858" spans="1:5" x14ac:dyDescent="0.2">
      <c r="A858" s="272"/>
      <c r="B858" s="272"/>
      <c r="C858" s="272"/>
      <c r="D858" s="272"/>
      <c r="E858" s="272"/>
    </row>
    <row r="859" spans="1:5" x14ac:dyDescent="0.2">
      <c r="A859" s="272"/>
      <c r="B859" s="272"/>
      <c r="C859" s="272"/>
      <c r="D859" s="272"/>
      <c r="E859" s="272"/>
    </row>
    <row r="860" spans="1:5" x14ac:dyDescent="0.2">
      <c r="A860" s="272"/>
      <c r="B860" s="272"/>
      <c r="C860" s="272"/>
      <c r="D860" s="272"/>
      <c r="E860" s="272"/>
    </row>
    <row r="861" spans="1:5" x14ac:dyDescent="0.2">
      <c r="A861" s="272"/>
      <c r="B861" s="272"/>
      <c r="C861" s="272"/>
      <c r="D861" s="272"/>
      <c r="E861" s="272"/>
    </row>
    <row r="862" spans="1:5" x14ac:dyDescent="0.2">
      <c r="A862" s="272"/>
      <c r="B862" s="272"/>
      <c r="C862" s="272"/>
      <c r="D862" s="272"/>
      <c r="E862" s="272"/>
    </row>
    <row r="863" spans="1:5" x14ac:dyDescent="0.2">
      <c r="A863" s="272"/>
      <c r="B863" s="272"/>
      <c r="C863" s="272"/>
      <c r="D863" s="272"/>
      <c r="E863" s="272"/>
    </row>
    <row r="864" spans="1:5" x14ac:dyDescent="0.2">
      <c r="A864" s="272"/>
      <c r="B864" s="272"/>
      <c r="C864" s="272"/>
      <c r="D864" s="272"/>
      <c r="E864" s="272"/>
    </row>
    <row r="865" spans="1:5" x14ac:dyDescent="0.2">
      <c r="A865" s="272"/>
      <c r="B865" s="272"/>
      <c r="C865" s="272"/>
      <c r="D865" s="272"/>
      <c r="E865" s="272"/>
    </row>
    <row r="866" spans="1:5" x14ac:dyDescent="0.2">
      <c r="A866" s="272"/>
      <c r="B866" s="272"/>
      <c r="C866" s="272"/>
      <c r="D866" s="272"/>
      <c r="E866" s="272"/>
    </row>
    <row r="867" spans="1:5" x14ac:dyDescent="0.2">
      <c r="A867" s="272"/>
      <c r="B867" s="272"/>
      <c r="C867" s="272"/>
      <c r="D867" s="272"/>
      <c r="E867" s="272"/>
    </row>
    <row r="868" spans="1:5" x14ac:dyDescent="0.2">
      <c r="A868" s="272"/>
      <c r="B868" s="272"/>
      <c r="C868" s="272"/>
      <c r="D868" s="272"/>
      <c r="E868" s="272"/>
    </row>
    <row r="869" spans="1:5" x14ac:dyDescent="0.2">
      <c r="A869" s="272"/>
      <c r="B869" s="272"/>
      <c r="C869" s="272"/>
      <c r="D869" s="272"/>
      <c r="E869" s="272"/>
    </row>
    <row r="870" spans="1:5" x14ac:dyDescent="0.2">
      <c r="A870" s="272"/>
      <c r="B870" s="272"/>
      <c r="C870" s="272"/>
      <c r="D870" s="272"/>
      <c r="E870" s="272"/>
    </row>
    <row r="871" spans="1:5" x14ac:dyDescent="0.2">
      <c r="A871" s="272"/>
      <c r="B871" s="272"/>
      <c r="C871" s="272"/>
      <c r="D871" s="272"/>
      <c r="E871" s="272"/>
    </row>
    <row r="872" spans="1:5" x14ac:dyDescent="0.2">
      <c r="A872" s="272"/>
      <c r="B872" s="272"/>
      <c r="C872" s="272"/>
      <c r="D872" s="272"/>
      <c r="E872" s="272"/>
    </row>
    <row r="873" spans="1:5" x14ac:dyDescent="0.2">
      <c r="A873" s="272"/>
      <c r="B873" s="272"/>
      <c r="C873" s="272"/>
      <c r="D873" s="272"/>
      <c r="E873" s="272"/>
    </row>
    <row r="874" spans="1:5" x14ac:dyDescent="0.2">
      <c r="A874" s="272"/>
      <c r="B874" s="272"/>
      <c r="C874" s="272"/>
      <c r="D874" s="272"/>
      <c r="E874" s="272"/>
    </row>
    <row r="875" spans="1:5" x14ac:dyDescent="0.2">
      <c r="A875" s="272"/>
      <c r="B875" s="272"/>
      <c r="C875" s="272"/>
      <c r="D875" s="272"/>
      <c r="E875" s="272"/>
    </row>
    <row r="876" spans="1:5" x14ac:dyDescent="0.2">
      <c r="A876" s="272"/>
      <c r="B876" s="272"/>
      <c r="C876" s="272"/>
      <c r="D876" s="272"/>
      <c r="E876" s="272"/>
    </row>
    <row r="877" spans="1:5" x14ac:dyDescent="0.2">
      <c r="A877" s="272"/>
      <c r="B877" s="272"/>
      <c r="C877" s="272"/>
      <c r="D877" s="272"/>
      <c r="E877" s="272"/>
    </row>
    <row r="878" spans="1:5" x14ac:dyDescent="0.2">
      <c r="A878" s="272"/>
      <c r="B878" s="272"/>
      <c r="C878" s="272"/>
      <c r="D878" s="272"/>
      <c r="E878" s="272"/>
    </row>
    <row r="879" spans="1:5" x14ac:dyDescent="0.2">
      <c r="A879" s="272"/>
      <c r="B879" s="272"/>
      <c r="C879" s="272"/>
      <c r="D879" s="272"/>
      <c r="E879" s="272"/>
    </row>
    <row r="880" spans="1:5" x14ac:dyDescent="0.2">
      <c r="A880" s="272"/>
      <c r="B880" s="272"/>
      <c r="C880" s="272"/>
      <c r="D880" s="272"/>
      <c r="E880" s="272"/>
    </row>
    <row r="881" spans="1:5" x14ac:dyDescent="0.2">
      <c r="A881" s="272"/>
      <c r="B881" s="272"/>
      <c r="C881" s="272"/>
      <c r="D881" s="272"/>
      <c r="E881" s="272"/>
    </row>
    <row r="882" spans="1:5" x14ac:dyDescent="0.2">
      <c r="A882" s="272"/>
      <c r="B882" s="272"/>
      <c r="C882" s="272"/>
      <c r="D882" s="272"/>
      <c r="E882" s="272"/>
    </row>
    <row r="883" spans="1:5" x14ac:dyDescent="0.2">
      <c r="A883" s="272"/>
      <c r="B883" s="272"/>
      <c r="C883" s="272"/>
      <c r="D883" s="272"/>
      <c r="E883" s="272"/>
    </row>
    <row r="884" spans="1:5" x14ac:dyDescent="0.2">
      <c r="A884" s="272"/>
      <c r="B884" s="272"/>
      <c r="C884" s="272"/>
      <c r="D884" s="272"/>
      <c r="E884" s="272"/>
    </row>
    <row r="885" spans="1:5" x14ac:dyDescent="0.2">
      <c r="A885" s="272"/>
      <c r="B885" s="272"/>
      <c r="C885" s="272"/>
      <c r="D885" s="272"/>
      <c r="E885" s="272"/>
    </row>
    <row r="886" spans="1:5" x14ac:dyDescent="0.2">
      <c r="A886" s="272"/>
      <c r="B886" s="272"/>
      <c r="C886" s="272"/>
      <c r="D886" s="272"/>
      <c r="E886" s="272"/>
    </row>
    <row r="887" spans="1:5" x14ac:dyDescent="0.2">
      <c r="A887" s="272"/>
      <c r="B887" s="272"/>
      <c r="C887" s="272"/>
      <c r="D887" s="272"/>
      <c r="E887" s="272"/>
    </row>
    <row r="888" spans="1:5" x14ac:dyDescent="0.2">
      <c r="A888" s="272"/>
      <c r="B888" s="272"/>
      <c r="C888" s="272"/>
      <c r="D888" s="272"/>
      <c r="E888" s="272"/>
    </row>
    <row r="889" spans="1:5" x14ac:dyDescent="0.2">
      <c r="A889" s="272"/>
      <c r="B889" s="272"/>
      <c r="C889" s="272"/>
      <c r="D889" s="272"/>
      <c r="E889" s="272"/>
    </row>
    <row r="890" spans="1:5" x14ac:dyDescent="0.2">
      <c r="A890" s="272"/>
      <c r="B890" s="272"/>
      <c r="C890" s="272"/>
      <c r="D890" s="272"/>
      <c r="E890" s="272"/>
    </row>
    <row r="891" spans="1:5" x14ac:dyDescent="0.2">
      <c r="A891" s="272"/>
      <c r="B891" s="272"/>
      <c r="C891" s="272"/>
      <c r="D891" s="272"/>
      <c r="E891" s="272"/>
    </row>
    <row r="892" spans="1:5" x14ac:dyDescent="0.2">
      <c r="A892" s="272"/>
      <c r="B892" s="272"/>
      <c r="C892" s="272"/>
      <c r="D892" s="272"/>
      <c r="E892" s="272"/>
    </row>
    <row r="893" spans="1:5" x14ac:dyDescent="0.2">
      <c r="A893" s="272"/>
      <c r="B893" s="272"/>
      <c r="C893" s="272"/>
      <c r="D893" s="272"/>
      <c r="E893" s="272"/>
    </row>
    <row r="894" spans="1:5" x14ac:dyDescent="0.2">
      <c r="A894" s="272"/>
      <c r="B894" s="272"/>
      <c r="C894" s="272"/>
      <c r="D894" s="272"/>
      <c r="E894" s="272"/>
    </row>
    <row r="895" spans="1:5" x14ac:dyDescent="0.2">
      <c r="A895" s="272"/>
      <c r="B895" s="272"/>
      <c r="C895" s="272"/>
      <c r="D895" s="272"/>
      <c r="E895" s="272"/>
    </row>
    <row r="896" spans="1:5" x14ac:dyDescent="0.2">
      <c r="A896" s="272"/>
      <c r="B896" s="272"/>
      <c r="C896" s="272"/>
      <c r="D896" s="272"/>
      <c r="E896" s="272"/>
    </row>
    <row r="897" spans="1:5" x14ac:dyDescent="0.2">
      <c r="A897" s="272"/>
      <c r="B897" s="272"/>
      <c r="C897" s="272"/>
      <c r="D897" s="272"/>
      <c r="E897" s="272"/>
    </row>
    <row r="898" spans="1:5" x14ac:dyDescent="0.2">
      <c r="A898" s="272"/>
      <c r="B898" s="272"/>
      <c r="C898" s="272"/>
      <c r="D898" s="272"/>
      <c r="E898" s="272"/>
    </row>
    <row r="899" spans="1:5" x14ac:dyDescent="0.2">
      <c r="A899" s="272"/>
      <c r="B899" s="272"/>
      <c r="C899" s="272"/>
      <c r="D899" s="272"/>
      <c r="E899" s="272"/>
    </row>
    <row r="900" spans="1:5" x14ac:dyDescent="0.2">
      <c r="A900" s="272"/>
      <c r="B900" s="272"/>
      <c r="C900" s="272"/>
      <c r="D900" s="272"/>
      <c r="E900" s="272"/>
    </row>
    <row r="901" spans="1:5" x14ac:dyDescent="0.2">
      <c r="A901" s="272"/>
      <c r="B901" s="272"/>
      <c r="C901" s="272"/>
      <c r="D901" s="272"/>
      <c r="E901" s="272"/>
    </row>
    <row r="902" spans="1:5" x14ac:dyDescent="0.2">
      <c r="A902" s="272"/>
      <c r="B902" s="272"/>
      <c r="C902" s="272"/>
      <c r="D902" s="272"/>
      <c r="E902" s="272"/>
    </row>
    <row r="903" spans="1:5" x14ac:dyDescent="0.2">
      <c r="A903" s="272"/>
      <c r="B903" s="272"/>
      <c r="C903" s="272"/>
      <c r="D903" s="272"/>
      <c r="E903" s="272"/>
    </row>
    <row r="904" spans="1:5" x14ac:dyDescent="0.2">
      <c r="A904" s="272"/>
      <c r="B904" s="272"/>
      <c r="C904" s="272"/>
      <c r="D904" s="272"/>
      <c r="E904" s="272"/>
    </row>
    <row r="905" spans="1:5" x14ac:dyDescent="0.2">
      <c r="A905" s="272"/>
      <c r="B905" s="272"/>
      <c r="C905" s="272"/>
      <c r="D905" s="272"/>
      <c r="E905" s="272"/>
    </row>
    <row r="906" spans="1:5" x14ac:dyDescent="0.2">
      <c r="A906" s="272"/>
      <c r="B906" s="272"/>
      <c r="C906" s="272"/>
      <c r="D906" s="272"/>
      <c r="E906" s="272"/>
    </row>
    <row r="907" spans="1:5" x14ac:dyDescent="0.2">
      <c r="A907" s="272"/>
      <c r="B907" s="272"/>
      <c r="C907" s="272"/>
      <c r="D907" s="272"/>
      <c r="E907" s="272"/>
    </row>
    <row r="908" spans="1:5" x14ac:dyDescent="0.2">
      <c r="A908" s="272"/>
      <c r="B908" s="272"/>
      <c r="C908" s="272"/>
      <c r="D908" s="272"/>
      <c r="E908" s="272"/>
    </row>
    <row r="909" spans="1:5" x14ac:dyDescent="0.2">
      <c r="A909" s="272"/>
      <c r="B909" s="272"/>
      <c r="C909" s="272"/>
      <c r="D909" s="272"/>
      <c r="E909" s="272"/>
    </row>
    <row r="910" spans="1:5" x14ac:dyDescent="0.2">
      <c r="A910" s="272"/>
      <c r="B910" s="272"/>
      <c r="C910" s="272"/>
      <c r="D910" s="272"/>
      <c r="E910" s="272"/>
    </row>
    <row r="911" spans="1:5" x14ac:dyDescent="0.2">
      <c r="A911" s="272"/>
      <c r="B911" s="272"/>
      <c r="C911" s="272"/>
      <c r="D911" s="272"/>
      <c r="E911" s="272"/>
    </row>
    <row r="912" spans="1:5" x14ac:dyDescent="0.2">
      <c r="A912" s="272"/>
      <c r="B912" s="272"/>
      <c r="C912" s="272"/>
      <c r="D912" s="272"/>
      <c r="E912" s="272"/>
    </row>
    <row r="913" spans="1:5" x14ac:dyDescent="0.2">
      <c r="A913" s="272"/>
      <c r="B913" s="272"/>
      <c r="C913" s="272"/>
      <c r="D913" s="272"/>
      <c r="E913" s="272"/>
    </row>
    <row r="914" spans="1:5" x14ac:dyDescent="0.2">
      <c r="A914" s="272"/>
      <c r="B914" s="272"/>
      <c r="C914" s="272"/>
      <c r="D914" s="272"/>
      <c r="E914" s="272"/>
    </row>
    <row r="915" spans="1:5" x14ac:dyDescent="0.2">
      <c r="A915" s="272"/>
      <c r="B915" s="272"/>
      <c r="C915" s="272"/>
      <c r="D915" s="272"/>
      <c r="E915" s="272"/>
    </row>
    <row r="916" spans="1:5" x14ac:dyDescent="0.2">
      <c r="A916" s="272"/>
      <c r="B916" s="272"/>
      <c r="C916" s="272"/>
      <c r="D916" s="272"/>
      <c r="E916" s="272"/>
    </row>
    <row r="917" spans="1:5" x14ac:dyDescent="0.2">
      <c r="A917" s="272"/>
      <c r="B917" s="272"/>
      <c r="C917" s="272"/>
      <c r="D917" s="272"/>
      <c r="E917" s="272"/>
    </row>
    <row r="918" spans="1:5" x14ac:dyDescent="0.2">
      <c r="A918" s="272"/>
      <c r="B918" s="272"/>
      <c r="C918" s="272"/>
      <c r="D918" s="272"/>
      <c r="E918" s="272"/>
    </row>
    <row r="919" spans="1:5" x14ac:dyDescent="0.2">
      <c r="A919" s="272"/>
      <c r="B919" s="272"/>
      <c r="C919" s="272"/>
      <c r="D919" s="272"/>
      <c r="E919" s="272"/>
    </row>
    <row r="920" spans="1:5" x14ac:dyDescent="0.2">
      <c r="A920" s="272"/>
      <c r="B920" s="272"/>
      <c r="C920" s="272"/>
      <c r="D920" s="272"/>
      <c r="E920" s="272"/>
    </row>
    <row r="921" spans="1:5" x14ac:dyDescent="0.2">
      <c r="A921" s="272"/>
      <c r="B921" s="272"/>
      <c r="C921" s="272"/>
      <c r="D921" s="272"/>
      <c r="E921" s="272"/>
    </row>
    <row r="922" spans="1:5" x14ac:dyDescent="0.2">
      <c r="A922" s="272"/>
      <c r="B922" s="272"/>
      <c r="C922" s="272"/>
      <c r="D922" s="272"/>
      <c r="E922" s="272"/>
    </row>
    <row r="923" spans="1:5" x14ac:dyDescent="0.2">
      <c r="A923" s="272"/>
      <c r="B923" s="272"/>
      <c r="C923" s="272"/>
      <c r="D923" s="272"/>
      <c r="E923" s="272"/>
    </row>
    <row r="924" spans="1:5" x14ac:dyDescent="0.2">
      <c r="A924" s="272"/>
      <c r="B924" s="272"/>
      <c r="C924" s="272"/>
      <c r="D924" s="272"/>
      <c r="E924" s="272"/>
    </row>
    <row r="925" spans="1:5" x14ac:dyDescent="0.2">
      <c r="A925" s="272"/>
      <c r="B925" s="272"/>
      <c r="C925" s="272"/>
      <c r="D925" s="272"/>
      <c r="E925" s="272"/>
    </row>
    <row r="926" spans="1:5" x14ac:dyDescent="0.2">
      <c r="A926" s="272"/>
      <c r="B926" s="272"/>
      <c r="C926" s="272"/>
      <c r="D926" s="272"/>
      <c r="E926" s="272"/>
    </row>
    <row r="927" spans="1:5" x14ac:dyDescent="0.2">
      <c r="A927" s="272"/>
      <c r="B927" s="272"/>
      <c r="C927" s="272"/>
      <c r="D927" s="272"/>
      <c r="E927" s="272"/>
    </row>
    <row r="928" spans="1:5" x14ac:dyDescent="0.2">
      <c r="A928" s="272"/>
      <c r="B928" s="272"/>
      <c r="C928" s="272"/>
      <c r="D928" s="272"/>
      <c r="E928" s="272"/>
    </row>
    <row r="929" spans="1:5" x14ac:dyDescent="0.2">
      <c r="A929" s="272"/>
      <c r="B929" s="272"/>
      <c r="C929" s="272"/>
      <c r="D929" s="272"/>
      <c r="E929" s="272"/>
    </row>
    <row r="930" spans="1:5" x14ac:dyDescent="0.2">
      <c r="A930" s="272"/>
      <c r="B930" s="272"/>
      <c r="C930" s="272"/>
      <c r="D930" s="272"/>
      <c r="E930" s="272"/>
    </row>
    <row r="931" spans="1:5" x14ac:dyDescent="0.2">
      <c r="A931" s="272"/>
      <c r="B931" s="272"/>
      <c r="C931" s="272"/>
      <c r="D931" s="272"/>
      <c r="E931" s="272"/>
    </row>
    <row r="932" spans="1:5" x14ac:dyDescent="0.2">
      <c r="A932" s="272"/>
      <c r="B932" s="272"/>
      <c r="C932" s="272"/>
      <c r="D932" s="272"/>
      <c r="E932" s="272"/>
    </row>
    <row r="933" spans="1:5" x14ac:dyDescent="0.2">
      <c r="A933" s="272"/>
      <c r="B933" s="272"/>
      <c r="C933" s="272"/>
      <c r="D933" s="272"/>
      <c r="E933" s="272"/>
    </row>
    <row r="934" spans="1:5" x14ac:dyDescent="0.2">
      <c r="A934" s="272"/>
      <c r="B934" s="272"/>
      <c r="C934" s="272"/>
      <c r="D934" s="272"/>
      <c r="E934" s="272"/>
    </row>
    <row r="935" spans="1:5" x14ac:dyDescent="0.2">
      <c r="A935" s="272"/>
      <c r="B935" s="272"/>
      <c r="C935" s="272"/>
      <c r="D935" s="272"/>
      <c r="E935" s="272"/>
    </row>
    <row r="936" spans="1:5" x14ac:dyDescent="0.2">
      <c r="A936" s="272"/>
      <c r="B936" s="272"/>
      <c r="C936" s="272"/>
      <c r="D936" s="272"/>
      <c r="E936" s="272"/>
    </row>
    <row r="937" spans="1:5" x14ac:dyDescent="0.2">
      <c r="A937" s="272"/>
      <c r="B937" s="272"/>
      <c r="C937" s="272"/>
      <c r="D937" s="272"/>
      <c r="E937" s="272"/>
    </row>
    <row r="938" spans="1:5" x14ac:dyDescent="0.2">
      <c r="A938" s="272"/>
      <c r="B938" s="272"/>
      <c r="C938" s="272"/>
      <c r="D938" s="272"/>
      <c r="E938" s="272"/>
    </row>
    <row r="939" spans="1:5" x14ac:dyDescent="0.2">
      <c r="A939" s="272"/>
      <c r="B939" s="272"/>
      <c r="C939" s="272"/>
      <c r="D939" s="272"/>
      <c r="E939" s="272"/>
    </row>
    <row r="940" spans="1:5" x14ac:dyDescent="0.2">
      <c r="A940" s="272"/>
      <c r="B940" s="272"/>
      <c r="C940" s="272"/>
      <c r="D940" s="272"/>
      <c r="E940" s="272"/>
    </row>
    <row r="941" spans="1:5" x14ac:dyDescent="0.2">
      <c r="A941" s="272"/>
      <c r="B941" s="272"/>
      <c r="C941" s="272"/>
      <c r="D941" s="272"/>
      <c r="E941" s="272"/>
    </row>
    <row r="942" spans="1:5" x14ac:dyDescent="0.2">
      <c r="A942" s="272"/>
      <c r="B942" s="272"/>
      <c r="C942" s="272"/>
      <c r="D942" s="272"/>
      <c r="E942" s="272"/>
    </row>
    <row r="943" spans="1:5" x14ac:dyDescent="0.2">
      <c r="A943" s="272"/>
      <c r="B943" s="272"/>
      <c r="C943" s="272"/>
      <c r="D943" s="272"/>
      <c r="E943" s="272"/>
    </row>
    <row r="944" spans="1:5" x14ac:dyDescent="0.2">
      <c r="A944" s="272"/>
      <c r="B944" s="272"/>
      <c r="C944" s="272"/>
      <c r="D944" s="272"/>
      <c r="E944" s="272"/>
    </row>
    <row r="945" spans="1:5" x14ac:dyDescent="0.2">
      <c r="A945" s="272"/>
      <c r="B945" s="272"/>
      <c r="C945" s="272"/>
      <c r="D945" s="272"/>
      <c r="E945" s="272"/>
    </row>
    <row r="946" spans="1:5" x14ac:dyDescent="0.2">
      <c r="A946" s="272"/>
      <c r="B946" s="272"/>
      <c r="C946" s="272"/>
      <c r="D946" s="272"/>
      <c r="E946" s="272"/>
    </row>
    <row r="947" spans="1:5" x14ac:dyDescent="0.2">
      <c r="A947" s="272"/>
      <c r="B947" s="272"/>
      <c r="C947" s="272"/>
      <c r="D947" s="272"/>
      <c r="E947" s="272"/>
    </row>
    <row r="948" spans="1:5" x14ac:dyDescent="0.2">
      <c r="A948" s="272"/>
      <c r="B948" s="272"/>
      <c r="C948" s="272"/>
      <c r="D948" s="272"/>
      <c r="E948" s="272"/>
    </row>
    <row r="949" spans="1:5" x14ac:dyDescent="0.2">
      <c r="A949" s="272"/>
      <c r="B949" s="272"/>
      <c r="C949" s="272"/>
      <c r="D949" s="272"/>
      <c r="E949" s="272"/>
    </row>
    <row r="950" spans="1:5" x14ac:dyDescent="0.2">
      <c r="A950" s="272"/>
      <c r="B950" s="272"/>
      <c r="C950" s="272"/>
      <c r="D950" s="272"/>
      <c r="E950" s="272"/>
    </row>
    <row r="951" spans="1:5" x14ac:dyDescent="0.2">
      <c r="A951" s="272"/>
      <c r="B951" s="272"/>
      <c r="C951" s="272"/>
      <c r="D951" s="272"/>
      <c r="E951" s="272"/>
    </row>
    <row r="952" spans="1:5" x14ac:dyDescent="0.2">
      <c r="A952" s="272"/>
      <c r="B952" s="272"/>
      <c r="C952" s="272"/>
      <c r="D952" s="272"/>
      <c r="E952" s="272"/>
    </row>
    <row r="953" spans="1:5" x14ac:dyDescent="0.2">
      <c r="A953" s="272"/>
      <c r="B953" s="272"/>
      <c r="C953" s="272"/>
      <c r="D953" s="272"/>
      <c r="E953" s="272"/>
    </row>
    <row r="954" spans="1:5" x14ac:dyDescent="0.2">
      <c r="A954" s="272"/>
      <c r="B954" s="272"/>
      <c r="C954" s="272"/>
      <c r="D954" s="272"/>
      <c r="E954" s="272"/>
    </row>
    <row r="955" spans="1:5" x14ac:dyDescent="0.2">
      <c r="A955" s="272"/>
      <c r="B955" s="272"/>
      <c r="C955" s="272"/>
      <c r="D955" s="272"/>
      <c r="E955" s="272"/>
    </row>
    <row r="956" spans="1:5" x14ac:dyDescent="0.2">
      <c r="A956" s="272"/>
      <c r="B956" s="272"/>
      <c r="C956" s="272"/>
      <c r="D956" s="272"/>
      <c r="E956" s="272"/>
    </row>
    <row r="957" spans="1:5" x14ac:dyDescent="0.2">
      <c r="A957" s="272"/>
      <c r="B957" s="272"/>
      <c r="C957" s="272"/>
      <c r="D957" s="272"/>
      <c r="E957" s="272"/>
    </row>
    <row r="958" spans="1:5" x14ac:dyDescent="0.2">
      <c r="A958" s="272"/>
      <c r="B958" s="272"/>
      <c r="C958" s="272"/>
      <c r="D958" s="272"/>
      <c r="E958" s="272"/>
    </row>
    <row r="959" spans="1:5" x14ac:dyDescent="0.2">
      <c r="A959" s="272"/>
      <c r="B959" s="272"/>
      <c r="C959" s="272"/>
      <c r="D959" s="272"/>
      <c r="E959" s="272"/>
    </row>
    <row r="960" spans="1:5" x14ac:dyDescent="0.2">
      <c r="A960" s="272"/>
      <c r="B960" s="272"/>
      <c r="C960" s="272"/>
      <c r="D960" s="272"/>
      <c r="E960" s="272"/>
    </row>
    <row r="961" spans="1:5" x14ac:dyDescent="0.2">
      <c r="A961" s="272"/>
      <c r="B961" s="272"/>
      <c r="C961" s="272"/>
      <c r="D961" s="272"/>
      <c r="E961" s="272"/>
    </row>
    <row r="962" spans="1:5" x14ac:dyDescent="0.2">
      <c r="A962" s="272"/>
      <c r="B962" s="272"/>
      <c r="C962" s="272"/>
      <c r="D962" s="272"/>
      <c r="E962" s="272"/>
    </row>
    <row r="963" spans="1:5" x14ac:dyDescent="0.2">
      <c r="A963" s="272"/>
      <c r="B963" s="272"/>
      <c r="C963" s="272"/>
      <c r="D963" s="272"/>
      <c r="E963" s="272"/>
    </row>
    <row r="964" spans="1:5" x14ac:dyDescent="0.2">
      <c r="A964" s="272"/>
      <c r="B964" s="272"/>
      <c r="C964" s="272"/>
      <c r="D964" s="272"/>
      <c r="E964" s="272"/>
    </row>
    <row r="965" spans="1:5" x14ac:dyDescent="0.2">
      <c r="A965" s="272"/>
      <c r="B965" s="272"/>
      <c r="C965" s="272"/>
      <c r="D965" s="272"/>
      <c r="E965" s="272"/>
    </row>
    <row r="966" spans="1:5" x14ac:dyDescent="0.2">
      <c r="A966" s="272"/>
      <c r="B966" s="272"/>
      <c r="C966" s="272"/>
      <c r="D966" s="272"/>
      <c r="E966" s="272"/>
    </row>
    <row r="967" spans="1:5" x14ac:dyDescent="0.2">
      <c r="A967" s="272"/>
      <c r="B967" s="272"/>
      <c r="C967" s="272"/>
      <c r="D967" s="272"/>
      <c r="E967" s="272"/>
    </row>
    <row r="968" spans="1:5" x14ac:dyDescent="0.2">
      <c r="A968" s="272"/>
      <c r="B968" s="272"/>
      <c r="C968" s="272"/>
      <c r="D968" s="272"/>
      <c r="E968" s="272"/>
    </row>
    <row r="969" spans="1:5" x14ac:dyDescent="0.2">
      <c r="A969" s="272"/>
      <c r="B969" s="272"/>
      <c r="C969" s="272"/>
      <c r="D969" s="272"/>
      <c r="E969" s="272"/>
    </row>
    <row r="970" spans="1:5" x14ac:dyDescent="0.2">
      <c r="A970" s="272"/>
      <c r="B970" s="272"/>
      <c r="C970" s="272"/>
      <c r="D970" s="272"/>
      <c r="E970" s="272"/>
    </row>
    <row r="971" spans="1:5" x14ac:dyDescent="0.2">
      <c r="A971" s="272"/>
      <c r="B971" s="272"/>
      <c r="C971" s="272"/>
      <c r="D971" s="272"/>
      <c r="E971" s="272"/>
    </row>
    <row r="972" spans="1:5" x14ac:dyDescent="0.2">
      <c r="A972" s="272"/>
      <c r="B972" s="272"/>
      <c r="C972" s="272"/>
      <c r="D972" s="272"/>
      <c r="E972" s="272"/>
    </row>
    <row r="973" spans="1:5" x14ac:dyDescent="0.2">
      <c r="A973" s="272"/>
      <c r="B973" s="272"/>
      <c r="C973" s="272"/>
      <c r="D973" s="272"/>
      <c r="E973" s="272"/>
    </row>
    <row r="974" spans="1:5" x14ac:dyDescent="0.2">
      <c r="A974" s="272"/>
      <c r="B974" s="272"/>
      <c r="C974" s="272"/>
      <c r="D974" s="272"/>
      <c r="E974" s="272"/>
    </row>
    <row r="975" spans="1:5" x14ac:dyDescent="0.2">
      <c r="A975" s="272"/>
      <c r="B975" s="272"/>
      <c r="C975" s="272"/>
      <c r="D975" s="272"/>
      <c r="E975" s="272"/>
    </row>
    <row r="976" spans="1:5" x14ac:dyDescent="0.2">
      <c r="A976" s="272"/>
      <c r="B976" s="272"/>
      <c r="C976" s="272"/>
      <c r="D976" s="272"/>
      <c r="E976" s="272"/>
    </row>
    <row r="977" spans="1:5" x14ac:dyDescent="0.2">
      <c r="A977" s="272"/>
      <c r="B977" s="272"/>
      <c r="C977" s="272"/>
      <c r="D977" s="272"/>
      <c r="E977" s="272"/>
    </row>
    <row r="978" spans="1:5" x14ac:dyDescent="0.2">
      <c r="A978" s="272"/>
      <c r="B978" s="272"/>
      <c r="C978" s="272"/>
      <c r="D978" s="272"/>
      <c r="E978" s="272"/>
    </row>
    <row r="979" spans="1:5" x14ac:dyDescent="0.2">
      <c r="A979" s="272"/>
      <c r="B979" s="272"/>
      <c r="C979" s="272"/>
      <c r="D979" s="272"/>
      <c r="E979" s="272"/>
    </row>
    <row r="980" spans="1:5" x14ac:dyDescent="0.2">
      <c r="A980" s="272"/>
      <c r="B980" s="272"/>
      <c r="C980" s="272"/>
      <c r="D980" s="272"/>
      <c r="E980" s="272"/>
    </row>
    <row r="981" spans="1:5" x14ac:dyDescent="0.2">
      <c r="A981" s="272"/>
      <c r="B981" s="272"/>
      <c r="C981" s="272"/>
      <c r="D981" s="272"/>
      <c r="E981" s="272"/>
    </row>
    <row r="982" spans="1:5" x14ac:dyDescent="0.2">
      <c r="A982" s="272"/>
      <c r="B982" s="272"/>
      <c r="C982" s="272"/>
      <c r="D982" s="272"/>
      <c r="E982" s="272"/>
    </row>
    <row r="983" spans="1:5" x14ac:dyDescent="0.2">
      <c r="A983" s="272"/>
      <c r="B983" s="272"/>
      <c r="C983" s="272"/>
      <c r="D983" s="272"/>
      <c r="E983" s="272"/>
    </row>
    <row r="984" spans="1:5" x14ac:dyDescent="0.2">
      <c r="A984" s="272"/>
      <c r="B984" s="272"/>
      <c r="C984" s="272"/>
      <c r="D984" s="272"/>
      <c r="E984" s="272"/>
    </row>
    <row r="985" spans="1:5" x14ac:dyDescent="0.2">
      <c r="A985" s="272"/>
      <c r="B985" s="272"/>
      <c r="C985" s="272"/>
      <c r="D985" s="272"/>
      <c r="E985" s="272"/>
    </row>
    <row r="986" spans="1:5" x14ac:dyDescent="0.2">
      <c r="A986" s="272"/>
      <c r="B986" s="272"/>
      <c r="C986" s="272"/>
      <c r="D986" s="272"/>
      <c r="E986" s="272"/>
    </row>
    <row r="987" spans="1:5" x14ac:dyDescent="0.2">
      <c r="A987" s="272"/>
      <c r="B987" s="272"/>
      <c r="C987" s="272"/>
      <c r="D987" s="272"/>
      <c r="E987" s="272"/>
    </row>
    <row r="988" spans="1:5" x14ac:dyDescent="0.2">
      <c r="A988" s="272"/>
      <c r="B988" s="272"/>
      <c r="C988" s="272"/>
      <c r="D988" s="272"/>
      <c r="E988" s="272"/>
    </row>
    <row r="989" spans="1:5" x14ac:dyDescent="0.2">
      <c r="A989" s="272"/>
      <c r="B989" s="272"/>
      <c r="C989" s="272"/>
      <c r="D989" s="272"/>
      <c r="E989" s="272"/>
    </row>
    <row r="990" spans="1:5" x14ac:dyDescent="0.2">
      <c r="A990" s="272"/>
      <c r="B990" s="272"/>
      <c r="C990" s="272"/>
      <c r="D990" s="272"/>
      <c r="E990" s="272"/>
    </row>
    <row r="991" spans="1:5" x14ac:dyDescent="0.2">
      <c r="A991" s="272"/>
      <c r="B991" s="272"/>
      <c r="C991" s="272"/>
      <c r="D991" s="272"/>
      <c r="E991" s="272"/>
    </row>
    <row r="992" spans="1:5" x14ac:dyDescent="0.2">
      <c r="A992" s="272"/>
      <c r="B992" s="272"/>
      <c r="C992" s="272"/>
      <c r="D992" s="272"/>
      <c r="E992" s="272"/>
    </row>
    <row r="993" spans="1:5" x14ac:dyDescent="0.2">
      <c r="A993" s="272"/>
      <c r="B993" s="272"/>
      <c r="C993" s="272"/>
      <c r="D993" s="272"/>
      <c r="E993" s="272"/>
    </row>
    <row r="994" spans="1:5" x14ac:dyDescent="0.2">
      <c r="A994" s="272"/>
      <c r="B994" s="272"/>
      <c r="C994" s="272"/>
      <c r="D994" s="272"/>
      <c r="E994" s="272"/>
    </row>
    <row r="995" spans="1:5" x14ac:dyDescent="0.2">
      <c r="A995" s="272"/>
      <c r="B995" s="272"/>
      <c r="C995" s="272"/>
      <c r="D995" s="272"/>
      <c r="E995" s="272"/>
    </row>
    <row r="996" spans="1:5" x14ac:dyDescent="0.2">
      <c r="A996" s="272"/>
      <c r="B996" s="272"/>
      <c r="C996" s="272"/>
      <c r="D996" s="272"/>
      <c r="E996" s="272"/>
    </row>
    <row r="997" spans="1:5" x14ac:dyDescent="0.2">
      <c r="A997" s="272"/>
      <c r="B997" s="272"/>
      <c r="C997" s="272"/>
      <c r="D997" s="272"/>
      <c r="E997" s="272"/>
    </row>
    <row r="998" spans="1:5" x14ac:dyDescent="0.2">
      <c r="A998" s="272"/>
      <c r="B998" s="272"/>
      <c r="C998" s="272"/>
      <c r="D998" s="272"/>
      <c r="E998" s="272"/>
    </row>
    <row r="999" spans="1:5" x14ac:dyDescent="0.2">
      <c r="A999" s="272"/>
      <c r="B999" s="272"/>
      <c r="C999" s="272"/>
      <c r="D999" s="272"/>
      <c r="E999" s="272"/>
    </row>
    <row r="1000" spans="1:5" x14ac:dyDescent="0.2">
      <c r="A1000" s="272"/>
      <c r="B1000" s="272"/>
      <c r="C1000" s="272"/>
      <c r="D1000" s="272"/>
      <c r="E1000" s="272"/>
    </row>
    <row r="1001" spans="1:5" x14ac:dyDescent="0.2">
      <c r="A1001" s="272"/>
      <c r="B1001" s="272"/>
      <c r="C1001" s="272"/>
      <c r="D1001" s="272"/>
      <c r="E1001" s="272"/>
    </row>
    <row r="1002" spans="1:5" x14ac:dyDescent="0.2">
      <c r="A1002" s="272"/>
      <c r="B1002" s="272"/>
      <c r="C1002" s="272"/>
      <c r="D1002" s="272"/>
      <c r="E1002" s="272"/>
    </row>
    <row r="1003" spans="1:5" x14ac:dyDescent="0.2">
      <c r="A1003" s="272"/>
      <c r="B1003" s="272"/>
      <c r="C1003" s="272"/>
      <c r="D1003" s="272"/>
      <c r="E1003" s="272"/>
    </row>
    <row r="1004" spans="1:5" x14ac:dyDescent="0.2">
      <c r="A1004" s="272"/>
      <c r="B1004" s="272"/>
      <c r="C1004" s="272"/>
      <c r="D1004" s="272"/>
      <c r="E1004" s="272"/>
    </row>
    <row r="1005" spans="1:5" x14ac:dyDescent="0.2">
      <c r="A1005" s="272"/>
      <c r="B1005" s="272"/>
      <c r="C1005" s="272"/>
      <c r="D1005" s="272"/>
      <c r="E1005" s="272"/>
    </row>
    <row r="1006" spans="1:5" x14ac:dyDescent="0.2">
      <c r="A1006" s="272"/>
      <c r="B1006" s="272"/>
      <c r="C1006" s="272"/>
      <c r="D1006" s="272"/>
      <c r="E1006" s="272"/>
    </row>
    <row r="1007" spans="1:5" x14ac:dyDescent="0.2">
      <c r="A1007" s="272"/>
      <c r="B1007" s="272"/>
      <c r="C1007" s="272"/>
      <c r="D1007" s="272"/>
      <c r="E1007" s="272"/>
    </row>
    <row r="1008" spans="1:5" x14ac:dyDescent="0.2">
      <c r="A1008" s="272"/>
      <c r="B1008" s="272"/>
      <c r="C1008" s="272"/>
      <c r="D1008" s="272"/>
      <c r="E1008" s="272"/>
    </row>
    <row r="1009" spans="1:5" x14ac:dyDescent="0.2">
      <c r="A1009" s="272"/>
      <c r="B1009" s="272"/>
      <c r="C1009" s="272"/>
      <c r="D1009" s="272"/>
      <c r="E1009" s="272"/>
    </row>
    <row r="1010" spans="1:5" x14ac:dyDescent="0.2">
      <c r="A1010" s="272"/>
      <c r="B1010" s="272"/>
      <c r="C1010" s="272"/>
      <c r="D1010" s="272"/>
      <c r="E1010" s="272"/>
    </row>
    <row r="1011" spans="1:5" x14ac:dyDescent="0.2">
      <c r="A1011" s="272"/>
      <c r="B1011" s="272"/>
      <c r="C1011" s="272"/>
      <c r="D1011" s="272"/>
      <c r="E1011" s="272"/>
    </row>
    <row r="1012" spans="1:5" x14ac:dyDescent="0.2">
      <c r="A1012" s="272"/>
      <c r="B1012" s="272"/>
      <c r="C1012" s="272"/>
      <c r="D1012" s="272"/>
      <c r="E1012" s="272"/>
    </row>
    <row r="1013" spans="1:5" x14ac:dyDescent="0.2">
      <c r="A1013" s="272"/>
      <c r="B1013" s="272"/>
      <c r="C1013" s="272"/>
      <c r="D1013" s="272"/>
      <c r="E1013" s="272"/>
    </row>
    <row r="1014" spans="1:5" x14ac:dyDescent="0.2">
      <c r="A1014" s="272"/>
      <c r="B1014" s="272"/>
      <c r="C1014" s="272"/>
      <c r="D1014" s="272"/>
      <c r="E1014" s="272"/>
    </row>
    <row r="1015" spans="1:5" x14ac:dyDescent="0.2">
      <c r="A1015" s="272"/>
      <c r="B1015" s="272"/>
      <c r="C1015" s="272"/>
      <c r="D1015" s="272"/>
      <c r="E1015" s="272"/>
    </row>
    <row r="1016" spans="1:5" x14ac:dyDescent="0.2">
      <c r="A1016" s="272"/>
      <c r="B1016" s="272"/>
      <c r="C1016" s="272"/>
      <c r="D1016" s="272"/>
      <c r="E1016" s="272"/>
    </row>
    <row r="1017" spans="1:5" x14ac:dyDescent="0.2">
      <c r="A1017" s="272"/>
      <c r="B1017" s="272"/>
      <c r="C1017" s="272"/>
      <c r="D1017" s="272"/>
      <c r="E1017" s="272"/>
    </row>
    <row r="1018" spans="1:5" x14ac:dyDescent="0.2">
      <c r="A1018" s="272"/>
      <c r="B1018" s="272"/>
      <c r="C1018" s="272"/>
      <c r="D1018" s="272"/>
      <c r="E1018" s="272"/>
    </row>
    <row r="1019" spans="1:5" x14ac:dyDescent="0.2">
      <c r="A1019" s="272"/>
      <c r="B1019" s="272"/>
      <c r="C1019" s="272"/>
      <c r="D1019" s="272"/>
      <c r="E1019" s="272"/>
    </row>
    <row r="1020" spans="1:5" x14ac:dyDescent="0.2">
      <c r="A1020" s="272"/>
      <c r="B1020" s="272"/>
      <c r="C1020" s="272"/>
      <c r="D1020" s="272"/>
      <c r="E1020" s="272"/>
    </row>
    <row r="1021" spans="1:5" x14ac:dyDescent="0.2">
      <c r="A1021" s="272"/>
      <c r="B1021" s="272"/>
      <c r="C1021" s="272"/>
      <c r="D1021" s="272"/>
      <c r="E1021" s="272"/>
    </row>
    <row r="1022" spans="1:5" x14ac:dyDescent="0.2">
      <c r="A1022" s="272"/>
      <c r="B1022" s="272"/>
      <c r="C1022" s="272"/>
      <c r="D1022" s="272"/>
      <c r="E1022" s="272"/>
    </row>
    <row r="1023" spans="1:5" x14ac:dyDescent="0.2">
      <c r="A1023" s="272"/>
      <c r="B1023" s="272"/>
      <c r="C1023" s="272"/>
      <c r="D1023" s="272"/>
      <c r="E1023" s="272"/>
    </row>
    <row r="1024" spans="1:5" x14ac:dyDescent="0.2">
      <c r="A1024" s="272"/>
      <c r="B1024" s="272"/>
      <c r="C1024" s="272"/>
      <c r="D1024" s="272"/>
      <c r="E1024" s="272"/>
    </row>
    <row r="1025" spans="1:5" x14ac:dyDescent="0.2">
      <c r="A1025" s="272"/>
      <c r="B1025" s="272"/>
      <c r="C1025" s="272"/>
      <c r="D1025" s="272"/>
      <c r="E1025" s="272"/>
    </row>
    <row r="1026" spans="1:5" x14ac:dyDescent="0.2">
      <c r="A1026" s="272"/>
      <c r="B1026" s="272"/>
      <c r="C1026" s="272"/>
      <c r="D1026" s="272"/>
      <c r="E1026" s="272"/>
    </row>
    <row r="1027" spans="1:5" x14ac:dyDescent="0.2">
      <c r="A1027" s="272"/>
      <c r="B1027" s="272"/>
      <c r="C1027" s="272"/>
      <c r="D1027" s="272"/>
      <c r="E1027" s="272"/>
    </row>
    <row r="1028" spans="1:5" x14ac:dyDescent="0.2">
      <c r="A1028" s="272"/>
      <c r="B1028" s="272"/>
      <c r="C1028" s="272"/>
      <c r="D1028" s="272"/>
      <c r="E1028" s="272"/>
    </row>
    <row r="1029" spans="1:5" x14ac:dyDescent="0.2">
      <c r="A1029" s="272"/>
      <c r="B1029" s="272"/>
      <c r="C1029" s="272"/>
      <c r="D1029" s="272"/>
      <c r="E1029" s="272"/>
    </row>
    <row r="1030" spans="1:5" x14ac:dyDescent="0.2">
      <c r="A1030" s="272"/>
      <c r="B1030" s="272"/>
      <c r="C1030" s="272"/>
      <c r="D1030" s="272"/>
      <c r="E1030" s="272"/>
    </row>
    <row r="1031" spans="1:5" x14ac:dyDescent="0.2">
      <c r="A1031" s="272"/>
      <c r="B1031" s="272"/>
      <c r="C1031" s="272"/>
      <c r="D1031" s="272"/>
      <c r="E1031" s="272"/>
    </row>
    <row r="1032" spans="1:5" x14ac:dyDescent="0.2">
      <c r="A1032" s="272"/>
      <c r="B1032" s="272"/>
      <c r="C1032" s="272"/>
      <c r="D1032" s="272"/>
      <c r="E1032" s="272"/>
    </row>
    <row r="1033" spans="1:5" x14ac:dyDescent="0.2">
      <c r="A1033" s="272"/>
      <c r="B1033" s="272"/>
      <c r="C1033" s="272"/>
      <c r="D1033" s="272"/>
      <c r="E1033" s="272"/>
    </row>
    <row r="1034" spans="1:5" x14ac:dyDescent="0.2">
      <c r="A1034" s="272"/>
      <c r="B1034" s="272"/>
      <c r="C1034" s="272"/>
      <c r="D1034" s="272"/>
      <c r="E1034" s="272"/>
    </row>
    <row r="1035" spans="1:5" x14ac:dyDescent="0.2">
      <c r="A1035" s="272"/>
      <c r="B1035" s="272"/>
      <c r="C1035" s="272"/>
      <c r="D1035" s="272"/>
      <c r="E1035" s="272"/>
    </row>
    <row r="1036" spans="1:5" x14ac:dyDescent="0.2">
      <c r="A1036" s="272"/>
      <c r="B1036" s="272"/>
      <c r="C1036" s="272"/>
      <c r="D1036" s="272"/>
      <c r="E1036" s="272"/>
    </row>
    <row r="1037" spans="1:5" x14ac:dyDescent="0.2">
      <c r="A1037" s="272"/>
      <c r="B1037" s="272"/>
      <c r="C1037" s="272"/>
      <c r="D1037" s="272"/>
      <c r="E1037" s="272"/>
    </row>
    <row r="1038" spans="1:5" x14ac:dyDescent="0.2">
      <c r="A1038" s="272"/>
      <c r="B1038" s="272"/>
      <c r="C1038" s="272"/>
      <c r="D1038" s="272"/>
      <c r="E1038" s="272"/>
    </row>
    <row r="1039" spans="1:5" x14ac:dyDescent="0.2">
      <c r="A1039" s="272"/>
      <c r="B1039" s="272"/>
      <c r="C1039" s="272"/>
      <c r="D1039" s="272"/>
      <c r="E1039" s="272"/>
    </row>
    <row r="1040" spans="1:5" x14ac:dyDescent="0.2">
      <c r="A1040" s="272"/>
      <c r="B1040" s="272"/>
      <c r="C1040" s="272"/>
      <c r="D1040" s="272"/>
      <c r="E1040" s="272"/>
    </row>
    <row r="1041" spans="1:5" x14ac:dyDescent="0.2">
      <c r="A1041" s="272"/>
      <c r="B1041" s="272"/>
      <c r="C1041" s="272"/>
      <c r="D1041" s="272"/>
      <c r="E1041" s="272"/>
    </row>
    <row r="1042" spans="1:5" x14ac:dyDescent="0.2">
      <c r="A1042" s="272"/>
      <c r="B1042" s="272"/>
      <c r="C1042" s="272"/>
      <c r="D1042" s="272"/>
      <c r="E1042" s="272"/>
    </row>
    <row r="1043" spans="1:5" x14ac:dyDescent="0.2">
      <c r="A1043" s="272"/>
      <c r="B1043" s="272"/>
      <c r="C1043" s="272"/>
      <c r="D1043" s="272"/>
      <c r="E1043" s="272"/>
    </row>
    <row r="1044" spans="1:5" x14ac:dyDescent="0.2">
      <c r="A1044" s="272"/>
      <c r="B1044" s="272"/>
      <c r="C1044" s="272"/>
      <c r="D1044" s="272"/>
      <c r="E1044" s="272"/>
    </row>
    <row r="1045" spans="1:5" x14ac:dyDescent="0.2">
      <c r="A1045" s="272"/>
      <c r="B1045" s="272"/>
      <c r="C1045" s="272"/>
      <c r="D1045" s="272"/>
      <c r="E1045" s="272"/>
    </row>
    <row r="1046" spans="1:5" x14ac:dyDescent="0.2">
      <c r="A1046" s="272"/>
      <c r="B1046" s="272"/>
      <c r="C1046" s="272"/>
      <c r="D1046" s="272"/>
      <c r="E1046" s="272"/>
    </row>
    <row r="1047" spans="1:5" x14ac:dyDescent="0.2">
      <c r="A1047" s="272"/>
      <c r="B1047" s="272"/>
      <c r="C1047" s="272"/>
      <c r="D1047" s="272"/>
      <c r="E1047" s="272"/>
    </row>
    <row r="1048" spans="1:5" x14ac:dyDescent="0.2">
      <c r="A1048" s="272"/>
      <c r="B1048" s="272"/>
      <c r="C1048" s="272"/>
      <c r="D1048" s="272"/>
      <c r="E1048" s="272"/>
    </row>
    <row r="1049" spans="1:5" x14ac:dyDescent="0.2">
      <c r="A1049" s="272"/>
      <c r="B1049" s="272"/>
      <c r="C1049" s="272"/>
      <c r="D1049" s="272"/>
      <c r="E1049" s="272"/>
    </row>
    <row r="1050" spans="1:5" x14ac:dyDescent="0.2">
      <c r="A1050" s="272"/>
      <c r="B1050" s="272"/>
      <c r="C1050" s="272"/>
      <c r="D1050" s="272"/>
      <c r="E1050" s="272"/>
    </row>
    <row r="1051" spans="1:5" x14ac:dyDescent="0.2">
      <c r="A1051" s="272"/>
      <c r="B1051" s="272"/>
      <c r="C1051" s="272"/>
      <c r="D1051" s="272"/>
      <c r="E1051" s="272"/>
    </row>
    <row r="1052" spans="1:5" x14ac:dyDescent="0.2">
      <c r="A1052" s="272"/>
      <c r="B1052" s="272"/>
      <c r="C1052" s="272"/>
      <c r="D1052" s="272"/>
      <c r="E1052" s="272"/>
    </row>
    <row r="1053" spans="1:5" x14ac:dyDescent="0.2">
      <c r="A1053" s="272"/>
      <c r="B1053" s="272"/>
      <c r="C1053" s="272"/>
      <c r="D1053" s="272"/>
      <c r="E1053" s="272"/>
    </row>
    <row r="1054" spans="1:5" x14ac:dyDescent="0.2">
      <c r="A1054" s="272"/>
      <c r="B1054" s="272"/>
      <c r="C1054" s="272"/>
      <c r="D1054" s="272"/>
      <c r="E1054" s="272"/>
    </row>
    <row r="1055" spans="1:5" x14ac:dyDescent="0.2">
      <c r="A1055" s="272"/>
      <c r="B1055" s="272"/>
      <c r="C1055" s="272"/>
      <c r="D1055" s="272"/>
      <c r="E1055" s="272"/>
    </row>
    <row r="1056" spans="1:5" x14ac:dyDescent="0.2">
      <c r="A1056" s="272"/>
      <c r="B1056" s="272"/>
      <c r="C1056" s="272"/>
      <c r="D1056" s="272"/>
      <c r="E1056" s="272"/>
    </row>
    <row r="1057" spans="1:5" x14ac:dyDescent="0.2">
      <c r="A1057" s="272"/>
      <c r="B1057" s="272"/>
      <c r="C1057" s="272"/>
      <c r="D1057" s="272"/>
      <c r="E1057" s="272"/>
    </row>
    <row r="1058" spans="1:5" x14ac:dyDescent="0.2">
      <c r="A1058" s="272"/>
      <c r="B1058" s="272"/>
      <c r="C1058" s="272"/>
      <c r="D1058" s="272"/>
      <c r="E1058" s="272"/>
    </row>
    <row r="1059" spans="1:5" x14ac:dyDescent="0.2">
      <c r="A1059" s="272"/>
      <c r="B1059" s="272"/>
      <c r="C1059" s="272"/>
      <c r="D1059" s="272"/>
      <c r="E1059" s="272"/>
    </row>
    <row r="1060" spans="1:5" x14ac:dyDescent="0.2">
      <c r="A1060" s="272"/>
      <c r="B1060" s="272"/>
      <c r="C1060" s="272"/>
      <c r="D1060" s="272"/>
      <c r="E1060" s="272"/>
    </row>
    <row r="1061" spans="1:5" x14ac:dyDescent="0.2">
      <c r="A1061" s="272"/>
      <c r="B1061" s="272"/>
      <c r="C1061" s="272"/>
      <c r="D1061" s="272"/>
      <c r="E1061" s="272"/>
    </row>
    <row r="1062" spans="1:5" x14ac:dyDescent="0.2">
      <c r="A1062" s="272"/>
      <c r="B1062" s="272"/>
      <c r="C1062" s="272"/>
      <c r="D1062" s="272"/>
      <c r="E1062" s="272"/>
    </row>
    <row r="1063" spans="1:5" x14ac:dyDescent="0.2">
      <c r="A1063" s="272"/>
      <c r="B1063" s="272"/>
      <c r="C1063" s="272"/>
      <c r="D1063" s="272"/>
      <c r="E1063" s="272"/>
    </row>
    <row r="1064" spans="1:5" x14ac:dyDescent="0.2">
      <c r="A1064" s="272"/>
      <c r="B1064" s="272"/>
      <c r="C1064" s="272"/>
      <c r="D1064" s="272"/>
      <c r="E1064" s="272"/>
    </row>
    <row r="1065" spans="1:5" x14ac:dyDescent="0.2">
      <c r="A1065" s="272"/>
      <c r="B1065" s="272"/>
      <c r="C1065" s="272"/>
      <c r="D1065" s="272"/>
      <c r="E1065" s="272"/>
    </row>
    <row r="1066" spans="1:5" x14ac:dyDescent="0.2">
      <c r="A1066" s="272"/>
      <c r="B1066" s="272"/>
      <c r="C1066" s="272"/>
      <c r="D1066" s="272"/>
      <c r="E1066" s="272"/>
    </row>
    <row r="1067" spans="1:5" x14ac:dyDescent="0.2">
      <c r="A1067" s="272"/>
      <c r="B1067" s="272"/>
      <c r="C1067" s="272"/>
      <c r="D1067" s="272"/>
      <c r="E1067" s="272"/>
    </row>
    <row r="1068" spans="1:5" x14ac:dyDescent="0.2">
      <c r="A1068" s="272"/>
      <c r="B1068" s="272"/>
      <c r="C1068" s="272"/>
      <c r="D1068" s="272"/>
      <c r="E1068" s="272"/>
    </row>
    <row r="1069" spans="1:5" x14ac:dyDescent="0.2">
      <c r="A1069" s="272"/>
      <c r="B1069" s="272"/>
      <c r="C1069" s="272"/>
      <c r="D1069" s="272"/>
      <c r="E1069" s="272"/>
    </row>
    <row r="1070" spans="1:5" x14ac:dyDescent="0.2">
      <c r="A1070" s="272"/>
      <c r="B1070" s="272"/>
      <c r="C1070" s="272"/>
      <c r="D1070" s="272"/>
      <c r="E1070" s="272"/>
    </row>
    <row r="1071" spans="1:5" x14ac:dyDescent="0.2">
      <c r="A1071" s="272"/>
      <c r="B1071" s="272"/>
      <c r="C1071" s="272"/>
      <c r="D1071" s="272"/>
      <c r="E1071" s="272"/>
    </row>
    <row r="1072" spans="1:5" x14ac:dyDescent="0.2">
      <c r="A1072" s="272"/>
      <c r="B1072" s="272"/>
      <c r="C1072" s="272"/>
      <c r="D1072" s="272"/>
      <c r="E1072" s="272"/>
    </row>
    <row r="1073" spans="1:5" x14ac:dyDescent="0.2">
      <c r="A1073" s="272"/>
      <c r="B1073" s="272"/>
      <c r="C1073" s="272"/>
      <c r="D1073" s="272"/>
      <c r="E1073" s="272"/>
    </row>
    <row r="1074" spans="1:5" x14ac:dyDescent="0.2">
      <c r="A1074" s="272"/>
      <c r="B1074" s="272"/>
      <c r="C1074" s="272"/>
      <c r="D1074" s="272"/>
      <c r="E1074" s="272"/>
    </row>
    <row r="1075" spans="1:5" x14ac:dyDescent="0.2">
      <c r="A1075" s="272"/>
      <c r="B1075" s="272"/>
      <c r="C1075" s="272"/>
      <c r="D1075" s="272"/>
      <c r="E1075" s="272"/>
    </row>
    <row r="1076" spans="1:5" x14ac:dyDescent="0.2">
      <c r="A1076" s="272"/>
      <c r="B1076" s="272"/>
      <c r="C1076" s="272"/>
      <c r="D1076" s="272"/>
      <c r="E1076" s="272"/>
    </row>
    <row r="1077" spans="1:5" x14ac:dyDescent="0.2">
      <c r="A1077" s="272"/>
      <c r="B1077" s="272"/>
      <c r="C1077" s="272"/>
      <c r="D1077" s="272"/>
      <c r="E1077" s="272"/>
    </row>
    <row r="1078" spans="1:5" x14ac:dyDescent="0.2">
      <c r="A1078" s="272"/>
      <c r="B1078" s="272"/>
      <c r="C1078" s="272"/>
      <c r="D1078" s="272"/>
      <c r="E1078" s="272"/>
    </row>
    <row r="1079" spans="1:5" x14ac:dyDescent="0.2">
      <c r="A1079" s="272"/>
      <c r="B1079" s="272"/>
      <c r="C1079" s="272"/>
      <c r="D1079" s="272"/>
      <c r="E1079" s="272"/>
    </row>
    <row r="1080" spans="1:5" x14ac:dyDescent="0.2">
      <c r="A1080" s="272"/>
      <c r="B1080" s="272"/>
      <c r="C1080" s="272"/>
      <c r="D1080" s="272"/>
      <c r="E1080" s="272"/>
    </row>
    <row r="1081" spans="1:5" x14ac:dyDescent="0.2">
      <c r="A1081" s="272"/>
      <c r="B1081" s="272"/>
      <c r="C1081" s="272"/>
      <c r="D1081" s="272"/>
      <c r="E1081" s="272"/>
    </row>
    <row r="1082" spans="1:5" x14ac:dyDescent="0.2">
      <c r="A1082" s="272"/>
      <c r="B1082" s="272"/>
      <c r="C1082" s="272"/>
      <c r="D1082" s="272"/>
      <c r="E1082" s="272"/>
    </row>
    <row r="1083" spans="1:5" x14ac:dyDescent="0.2">
      <c r="A1083" s="272"/>
      <c r="B1083" s="272"/>
      <c r="C1083" s="272"/>
      <c r="D1083" s="272"/>
      <c r="E1083" s="272"/>
    </row>
    <row r="1084" spans="1:5" x14ac:dyDescent="0.2">
      <c r="A1084" s="272"/>
      <c r="B1084" s="272"/>
      <c r="C1084" s="272"/>
      <c r="D1084" s="272"/>
      <c r="E1084" s="272"/>
    </row>
    <row r="1085" spans="1:5" x14ac:dyDescent="0.2">
      <c r="A1085" s="272"/>
      <c r="B1085" s="272"/>
      <c r="C1085" s="272"/>
      <c r="D1085" s="272"/>
      <c r="E1085" s="272"/>
    </row>
    <row r="1086" spans="1:5" x14ac:dyDescent="0.2">
      <c r="A1086" s="272"/>
      <c r="B1086" s="272"/>
      <c r="C1086" s="272"/>
      <c r="D1086" s="272"/>
      <c r="E1086" s="272"/>
    </row>
    <row r="1087" spans="1:5" x14ac:dyDescent="0.2">
      <c r="A1087" s="272"/>
      <c r="B1087" s="272"/>
      <c r="C1087" s="272"/>
      <c r="D1087" s="272"/>
      <c r="E1087" s="272"/>
    </row>
    <row r="1088" spans="1:5" x14ac:dyDescent="0.2">
      <c r="A1088" s="272"/>
      <c r="B1088" s="272"/>
      <c r="C1088" s="272"/>
      <c r="D1088" s="272"/>
      <c r="E1088" s="272"/>
    </row>
    <row r="1089" spans="1:5" x14ac:dyDescent="0.2">
      <c r="A1089" s="272"/>
      <c r="B1089" s="272"/>
      <c r="C1089" s="272"/>
      <c r="D1089" s="272"/>
      <c r="E1089" s="272"/>
    </row>
    <row r="1090" spans="1:5" x14ac:dyDescent="0.2">
      <c r="A1090" s="272"/>
      <c r="B1090" s="272"/>
      <c r="C1090" s="272"/>
      <c r="D1090" s="272"/>
      <c r="E1090" s="272"/>
    </row>
    <row r="1091" spans="1:5" x14ac:dyDescent="0.2">
      <c r="A1091" s="272"/>
      <c r="B1091" s="272"/>
      <c r="C1091" s="272"/>
      <c r="D1091" s="272"/>
      <c r="E1091" s="272"/>
    </row>
    <row r="1092" spans="1:5" x14ac:dyDescent="0.2">
      <c r="A1092" s="272"/>
      <c r="B1092" s="272"/>
      <c r="C1092" s="272"/>
      <c r="D1092" s="272"/>
      <c r="E1092" s="272"/>
    </row>
    <row r="1093" spans="1:5" x14ac:dyDescent="0.2">
      <c r="A1093" s="272"/>
      <c r="B1093" s="272"/>
      <c r="C1093" s="272"/>
      <c r="D1093" s="272"/>
      <c r="E1093" s="272"/>
    </row>
    <row r="1094" spans="1:5" x14ac:dyDescent="0.2">
      <c r="A1094" s="272"/>
      <c r="B1094" s="272"/>
      <c r="C1094" s="272"/>
      <c r="D1094" s="272"/>
      <c r="E1094" s="272"/>
    </row>
    <row r="1095" spans="1:5" x14ac:dyDescent="0.2">
      <c r="A1095" s="272"/>
      <c r="B1095" s="272"/>
      <c r="C1095" s="272"/>
      <c r="D1095" s="272"/>
      <c r="E1095" s="272"/>
    </row>
    <row r="1096" spans="1:5" x14ac:dyDescent="0.2">
      <c r="A1096" s="272"/>
      <c r="B1096" s="272"/>
      <c r="C1096" s="272"/>
      <c r="D1096" s="272"/>
      <c r="E1096" s="272"/>
    </row>
    <row r="1097" spans="1:5" x14ac:dyDescent="0.2">
      <c r="A1097" s="272"/>
      <c r="B1097" s="272"/>
      <c r="C1097" s="272"/>
      <c r="D1097" s="272"/>
      <c r="E1097" s="272"/>
    </row>
    <row r="1098" spans="1:5" x14ac:dyDescent="0.2">
      <c r="A1098" s="272"/>
      <c r="B1098" s="272"/>
      <c r="C1098" s="272"/>
      <c r="D1098" s="272"/>
      <c r="E1098" s="272"/>
    </row>
    <row r="1099" spans="1:5" x14ac:dyDescent="0.2">
      <c r="A1099" s="272"/>
      <c r="B1099" s="272"/>
      <c r="C1099" s="272"/>
      <c r="D1099" s="272"/>
      <c r="E1099" s="272"/>
    </row>
    <row r="1100" spans="1:5" x14ac:dyDescent="0.2">
      <c r="A1100" s="272"/>
      <c r="B1100" s="272"/>
      <c r="C1100" s="272"/>
      <c r="D1100" s="272"/>
      <c r="E1100" s="272"/>
    </row>
    <row r="1101" spans="1:5" x14ac:dyDescent="0.2">
      <c r="A1101" s="272"/>
      <c r="B1101" s="272"/>
      <c r="C1101" s="272"/>
      <c r="D1101" s="272"/>
      <c r="E1101" s="272"/>
    </row>
    <row r="1102" spans="1:5" x14ac:dyDescent="0.2">
      <c r="A1102" s="272"/>
      <c r="B1102" s="272"/>
      <c r="C1102" s="272"/>
      <c r="D1102" s="272"/>
      <c r="E1102" s="272"/>
    </row>
    <row r="1103" spans="1:5" x14ac:dyDescent="0.2">
      <c r="A1103" s="272"/>
      <c r="B1103" s="272"/>
      <c r="C1103" s="272"/>
      <c r="D1103" s="272"/>
      <c r="E1103" s="272"/>
    </row>
    <row r="1104" spans="1:5" x14ac:dyDescent="0.2">
      <c r="A1104" s="272"/>
      <c r="B1104" s="272"/>
      <c r="C1104" s="272"/>
      <c r="D1104" s="272"/>
      <c r="E1104" s="272"/>
    </row>
    <row r="1105" spans="1:5" x14ac:dyDescent="0.2">
      <c r="A1105" s="272"/>
      <c r="B1105" s="272"/>
      <c r="C1105" s="272"/>
      <c r="D1105" s="272"/>
      <c r="E1105" s="272"/>
    </row>
    <row r="1106" spans="1:5" x14ac:dyDescent="0.2">
      <c r="A1106" s="272"/>
      <c r="B1106" s="272"/>
      <c r="C1106" s="272"/>
      <c r="D1106" s="272"/>
      <c r="E1106" s="272"/>
    </row>
    <row r="1107" spans="1:5" x14ac:dyDescent="0.2">
      <c r="A1107" s="272"/>
      <c r="B1107" s="272"/>
      <c r="C1107" s="272"/>
      <c r="D1107" s="272"/>
      <c r="E1107" s="272"/>
    </row>
    <row r="1108" spans="1:5" x14ac:dyDescent="0.2">
      <c r="A1108" s="272"/>
      <c r="B1108" s="272"/>
      <c r="C1108" s="272"/>
      <c r="D1108" s="272"/>
      <c r="E1108" s="272"/>
    </row>
    <row r="1109" spans="1:5" x14ac:dyDescent="0.2">
      <c r="A1109" s="272"/>
      <c r="B1109" s="272"/>
      <c r="C1109" s="272"/>
      <c r="D1109" s="272"/>
      <c r="E1109" s="272"/>
    </row>
    <row r="1110" spans="1:5" x14ac:dyDescent="0.2">
      <c r="A1110" s="272"/>
      <c r="B1110" s="272"/>
      <c r="C1110" s="272"/>
      <c r="D1110" s="272"/>
      <c r="E1110" s="272"/>
    </row>
    <row r="1111" spans="1:5" x14ac:dyDescent="0.2">
      <c r="A1111" s="272"/>
      <c r="B1111" s="272"/>
      <c r="C1111" s="272"/>
      <c r="D1111" s="272"/>
      <c r="E1111" s="272"/>
    </row>
    <row r="1112" spans="1:5" x14ac:dyDescent="0.2">
      <c r="A1112" s="272"/>
      <c r="B1112" s="272"/>
      <c r="C1112" s="272"/>
      <c r="D1112" s="272"/>
      <c r="E1112" s="272"/>
    </row>
    <row r="1113" spans="1:5" x14ac:dyDescent="0.2">
      <c r="A1113" s="272"/>
      <c r="B1113" s="272"/>
      <c r="C1113" s="272"/>
      <c r="D1113" s="272"/>
      <c r="E1113" s="272"/>
    </row>
    <row r="1114" spans="1:5" x14ac:dyDescent="0.2">
      <c r="A1114" s="272"/>
      <c r="B1114" s="272"/>
      <c r="C1114" s="272"/>
      <c r="D1114" s="272"/>
      <c r="E1114" s="272"/>
    </row>
    <row r="1115" spans="1:5" x14ac:dyDescent="0.2">
      <c r="A1115" s="272"/>
      <c r="B1115" s="272"/>
      <c r="C1115" s="272"/>
      <c r="D1115" s="272"/>
      <c r="E1115" s="272"/>
    </row>
    <row r="1116" spans="1:5" x14ac:dyDescent="0.2">
      <c r="A1116" s="272"/>
      <c r="B1116" s="272"/>
      <c r="C1116" s="272"/>
      <c r="D1116" s="272"/>
      <c r="E1116" s="272"/>
    </row>
    <row r="1117" spans="1:5" x14ac:dyDescent="0.2">
      <c r="A1117" s="272"/>
      <c r="B1117" s="272"/>
      <c r="C1117" s="272"/>
      <c r="D1117" s="272"/>
      <c r="E1117" s="272"/>
    </row>
    <row r="1118" spans="1:5" x14ac:dyDescent="0.2">
      <c r="A1118" s="272"/>
      <c r="B1118" s="272"/>
      <c r="C1118" s="272"/>
      <c r="D1118" s="272"/>
      <c r="E1118" s="272"/>
    </row>
    <row r="1119" spans="1:5" x14ac:dyDescent="0.2">
      <c r="A1119" s="272"/>
      <c r="B1119" s="272"/>
      <c r="C1119" s="272"/>
      <c r="D1119" s="272"/>
      <c r="E1119" s="272"/>
    </row>
    <row r="1120" spans="1:5" x14ac:dyDescent="0.2">
      <c r="A1120" s="272"/>
      <c r="B1120" s="272"/>
      <c r="C1120" s="272"/>
      <c r="D1120" s="272"/>
      <c r="E1120" s="272"/>
    </row>
    <row r="1121" spans="1:5" x14ac:dyDescent="0.2">
      <c r="A1121" s="272"/>
      <c r="B1121" s="272"/>
      <c r="C1121" s="272"/>
      <c r="D1121" s="272"/>
      <c r="E1121" s="272"/>
    </row>
    <row r="1122" spans="1:5" x14ac:dyDescent="0.2">
      <c r="A1122" s="272"/>
      <c r="B1122" s="272"/>
      <c r="C1122" s="272"/>
      <c r="D1122" s="272"/>
      <c r="E1122" s="272"/>
    </row>
    <row r="1123" spans="1:5" x14ac:dyDescent="0.2">
      <c r="A1123" s="272"/>
      <c r="B1123" s="272"/>
      <c r="C1123" s="272"/>
      <c r="D1123" s="272"/>
      <c r="E1123" s="272"/>
    </row>
    <row r="1124" spans="1:5" x14ac:dyDescent="0.2">
      <c r="A1124" s="272"/>
      <c r="B1124" s="272"/>
      <c r="C1124" s="272"/>
      <c r="D1124" s="272"/>
      <c r="E1124" s="272"/>
    </row>
    <row r="1125" spans="1:5" x14ac:dyDescent="0.2">
      <c r="A1125" s="272"/>
      <c r="B1125" s="272"/>
      <c r="C1125" s="272"/>
      <c r="D1125" s="272"/>
      <c r="E1125" s="272"/>
    </row>
    <row r="1126" spans="1:5" x14ac:dyDescent="0.2">
      <c r="A1126" s="272"/>
      <c r="B1126" s="272"/>
      <c r="C1126" s="272"/>
      <c r="D1126" s="272"/>
      <c r="E1126" s="272"/>
    </row>
    <row r="1127" spans="1:5" x14ac:dyDescent="0.2">
      <c r="A1127" s="272"/>
      <c r="B1127" s="272"/>
      <c r="C1127" s="272"/>
      <c r="D1127" s="272"/>
      <c r="E1127" s="272"/>
    </row>
    <row r="1128" spans="1:5" x14ac:dyDescent="0.2">
      <c r="A1128" s="272"/>
      <c r="B1128" s="272"/>
      <c r="C1128" s="272"/>
      <c r="D1128" s="272"/>
      <c r="E1128" s="272"/>
    </row>
    <row r="1129" spans="1:5" x14ac:dyDescent="0.2">
      <c r="A1129" s="272"/>
      <c r="B1129" s="272"/>
      <c r="C1129" s="272"/>
      <c r="D1129" s="272"/>
      <c r="E1129" s="272"/>
    </row>
    <row r="1130" spans="1:5" x14ac:dyDescent="0.2">
      <c r="A1130" s="272"/>
      <c r="B1130" s="272"/>
      <c r="C1130" s="272"/>
      <c r="D1130" s="272"/>
      <c r="E1130" s="272"/>
    </row>
    <row r="1131" spans="1:5" x14ac:dyDescent="0.2">
      <c r="A1131" s="272"/>
      <c r="B1131" s="272"/>
      <c r="C1131" s="272"/>
      <c r="D1131" s="272"/>
      <c r="E1131" s="272"/>
    </row>
    <row r="1132" spans="1:5" x14ac:dyDescent="0.2">
      <c r="A1132" s="272"/>
      <c r="B1132" s="272"/>
      <c r="C1132" s="272"/>
      <c r="D1132" s="272"/>
      <c r="E1132" s="272"/>
    </row>
    <row r="1133" spans="1:5" x14ac:dyDescent="0.2">
      <c r="A1133" s="272"/>
      <c r="B1133" s="272"/>
      <c r="C1133" s="272"/>
      <c r="D1133" s="272"/>
      <c r="E1133" s="272"/>
    </row>
    <row r="1134" spans="1:5" x14ac:dyDescent="0.2">
      <c r="A1134" s="272"/>
      <c r="B1134" s="272"/>
      <c r="C1134" s="272"/>
      <c r="D1134" s="272"/>
      <c r="E1134" s="272"/>
    </row>
    <row r="1135" spans="1:5" x14ac:dyDescent="0.2">
      <c r="A1135" s="272"/>
      <c r="B1135" s="272"/>
      <c r="C1135" s="272"/>
      <c r="D1135" s="272"/>
      <c r="E1135" s="272"/>
    </row>
    <row r="1136" spans="1:5" x14ac:dyDescent="0.2">
      <c r="A1136" s="272"/>
      <c r="B1136" s="272"/>
      <c r="C1136" s="272"/>
      <c r="D1136" s="272"/>
      <c r="E1136" s="272"/>
    </row>
    <row r="1137" spans="1:5" x14ac:dyDescent="0.2">
      <c r="A1137" s="272"/>
      <c r="B1137" s="272"/>
      <c r="C1137" s="272"/>
      <c r="D1137" s="272"/>
      <c r="E1137" s="272"/>
    </row>
    <row r="1138" spans="1:5" x14ac:dyDescent="0.2">
      <c r="A1138" s="272"/>
      <c r="B1138" s="272"/>
      <c r="C1138" s="272"/>
      <c r="D1138" s="272"/>
      <c r="E1138" s="272"/>
    </row>
    <row r="1139" spans="1:5" x14ac:dyDescent="0.2">
      <c r="A1139" s="272"/>
      <c r="B1139" s="272"/>
      <c r="C1139" s="272"/>
      <c r="D1139" s="272"/>
      <c r="E1139" s="272"/>
    </row>
    <row r="1140" spans="1:5" x14ac:dyDescent="0.2">
      <c r="A1140" s="272"/>
      <c r="B1140" s="272"/>
      <c r="C1140" s="272"/>
      <c r="D1140" s="272"/>
      <c r="E1140" s="272"/>
    </row>
    <row r="1141" spans="1:5" x14ac:dyDescent="0.2">
      <c r="A1141" s="272"/>
      <c r="B1141" s="272"/>
      <c r="C1141" s="272"/>
      <c r="D1141" s="272"/>
      <c r="E1141" s="272"/>
    </row>
    <row r="1142" spans="1:5" x14ac:dyDescent="0.2">
      <c r="A1142" s="272"/>
      <c r="B1142" s="272"/>
      <c r="C1142" s="272"/>
      <c r="D1142" s="272"/>
      <c r="E1142" s="272"/>
    </row>
    <row r="1143" spans="1:5" x14ac:dyDescent="0.2">
      <c r="A1143" s="272"/>
      <c r="B1143" s="272"/>
      <c r="C1143" s="272"/>
      <c r="D1143" s="272"/>
      <c r="E1143" s="272"/>
    </row>
    <row r="1144" spans="1:5" x14ac:dyDescent="0.2">
      <c r="A1144" s="272"/>
      <c r="B1144" s="272"/>
      <c r="C1144" s="272"/>
      <c r="D1144" s="272"/>
      <c r="E1144" s="272"/>
    </row>
    <row r="1145" spans="1:5" x14ac:dyDescent="0.2">
      <c r="A1145" s="272"/>
      <c r="B1145" s="272"/>
      <c r="C1145" s="272"/>
      <c r="D1145" s="272"/>
      <c r="E1145" s="272"/>
    </row>
    <row r="1146" spans="1:5" x14ac:dyDescent="0.2">
      <c r="A1146" s="272"/>
      <c r="B1146" s="272"/>
      <c r="C1146" s="272"/>
      <c r="D1146" s="272"/>
      <c r="E1146" s="272"/>
    </row>
    <row r="1147" spans="1:5" x14ac:dyDescent="0.2">
      <c r="A1147" s="272"/>
      <c r="B1147" s="272"/>
      <c r="C1147" s="272"/>
      <c r="D1147" s="272"/>
      <c r="E1147" s="272"/>
    </row>
    <row r="1148" spans="1:5" x14ac:dyDescent="0.2">
      <c r="A1148" s="272"/>
      <c r="B1148" s="272"/>
      <c r="C1148" s="272"/>
      <c r="D1148" s="272"/>
      <c r="E1148" s="272"/>
    </row>
    <row r="1149" spans="1:5" x14ac:dyDescent="0.2">
      <c r="A1149" s="272"/>
      <c r="B1149" s="272"/>
      <c r="C1149" s="272"/>
      <c r="D1149" s="272"/>
      <c r="E1149" s="272"/>
    </row>
    <row r="1150" spans="1:5" x14ac:dyDescent="0.2">
      <c r="A1150" s="272"/>
      <c r="B1150" s="272"/>
      <c r="C1150" s="272"/>
      <c r="D1150" s="272"/>
      <c r="E1150" s="272"/>
    </row>
    <row r="1151" spans="1:5" x14ac:dyDescent="0.2">
      <c r="A1151" s="272"/>
      <c r="B1151" s="272"/>
      <c r="C1151" s="272"/>
      <c r="D1151" s="272"/>
      <c r="E1151" s="272"/>
    </row>
    <row r="1152" spans="1:5" x14ac:dyDescent="0.2">
      <c r="A1152" s="272"/>
      <c r="B1152" s="272"/>
      <c r="C1152" s="272"/>
      <c r="D1152" s="272"/>
      <c r="E1152" s="272"/>
    </row>
    <row r="1153" spans="1:5" x14ac:dyDescent="0.2">
      <c r="A1153" s="272"/>
      <c r="B1153" s="272"/>
      <c r="C1153" s="272"/>
      <c r="D1153" s="272"/>
      <c r="E1153" s="272"/>
    </row>
    <row r="1154" spans="1:5" x14ac:dyDescent="0.2">
      <c r="A1154" s="272"/>
      <c r="B1154" s="272"/>
      <c r="C1154" s="272"/>
      <c r="D1154" s="272"/>
      <c r="E1154" s="272"/>
    </row>
    <row r="1155" spans="1:5" x14ac:dyDescent="0.2">
      <c r="A1155" s="272"/>
      <c r="B1155" s="272"/>
      <c r="C1155" s="272"/>
      <c r="D1155" s="272"/>
      <c r="E1155" s="272"/>
    </row>
    <row r="1156" spans="1:5" x14ac:dyDescent="0.2">
      <c r="A1156" s="272"/>
      <c r="B1156" s="272"/>
      <c r="C1156" s="272"/>
      <c r="D1156" s="272"/>
      <c r="E1156" s="272"/>
    </row>
    <row r="1157" spans="1:5" x14ac:dyDescent="0.2">
      <c r="A1157" s="272"/>
      <c r="B1157" s="272"/>
      <c r="C1157" s="272"/>
      <c r="D1157" s="272"/>
      <c r="E1157" s="272"/>
    </row>
    <row r="1158" spans="1:5" x14ac:dyDescent="0.2">
      <c r="A1158" s="272"/>
      <c r="B1158" s="272"/>
      <c r="C1158" s="272"/>
      <c r="D1158" s="272"/>
      <c r="E1158" s="272"/>
    </row>
    <row r="1159" spans="1:5" x14ac:dyDescent="0.2">
      <c r="A1159" s="272"/>
      <c r="B1159" s="272"/>
      <c r="C1159" s="272"/>
      <c r="D1159" s="272"/>
      <c r="E1159" s="272"/>
    </row>
    <row r="1160" spans="1:5" x14ac:dyDescent="0.2">
      <c r="A1160" s="272"/>
      <c r="B1160" s="272"/>
      <c r="C1160" s="272"/>
      <c r="D1160" s="272"/>
      <c r="E1160" s="272"/>
    </row>
    <row r="1161" spans="1:5" x14ac:dyDescent="0.2">
      <c r="A1161" s="272"/>
      <c r="B1161" s="272"/>
      <c r="C1161" s="272"/>
      <c r="D1161" s="272"/>
      <c r="E1161" s="272"/>
    </row>
    <row r="1162" spans="1:5" x14ac:dyDescent="0.2">
      <c r="A1162" s="272"/>
      <c r="B1162" s="272"/>
      <c r="C1162" s="272"/>
      <c r="D1162" s="272"/>
      <c r="E1162" s="272"/>
    </row>
    <row r="1163" spans="1:5" x14ac:dyDescent="0.2">
      <c r="A1163" s="272"/>
      <c r="B1163" s="272"/>
      <c r="C1163" s="272"/>
      <c r="D1163" s="272"/>
      <c r="E1163" s="272"/>
    </row>
    <row r="1164" spans="1:5" x14ac:dyDescent="0.2">
      <c r="A1164" s="272"/>
      <c r="B1164" s="272"/>
      <c r="C1164" s="272"/>
      <c r="D1164" s="272"/>
      <c r="E1164" s="272"/>
    </row>
    <row r="1165" spans="1:5" x14ac:dyDescent="0.2">
      <c r="A1165" s="272"/>
      <c r="B1165" s="272"/>
      <c r="C1165" s="272"/>
      <c r="D1165" s="272"/>
      <c r="E1165" s="272"/>
    </row>
    <row r="1166" spans="1:5" x14ac:dyDescent="0.2">
      <c r="A1166" s="272"/>
      <c r="B1166" s="272"/>
      <c r="C1166" s="272"/>
      <c r="D1166" s="272"/>
      <c r="E1166" s="272"/>
    </row>
    <row r="1167" spans="1:5" x14ac:dyDescent="0.2">
      <c r="A1167" s="272"/>
      <c r="B1167" s="272"/>
      <c r="C1167" s="272"/>
      <c r="D1167" s="272"/>
      <c r="E1167" s="272"/>
    </row>
    <row r="1168" spans="1:5" x14ac:dyDescent="0.2">
      <c r="A1168" s="272"/>
      <c r="B1168" s="272"/>
      <c r="C1168" s="272"/>
      <c r="D1168" s="272"/>
      <c r="E1168" s="272"/>
    </row>
    <row r="1169" spans="1:5" x14ac:dyDescent="0.2">
      <c r="A1169" s="272"/>
      <c r="B1169" s="272"/>
      <c r="C1169" s="272"/>
      <c r="D1169" s="272"/>
      <c r="E1169" s="272"/>
    </row>
    <row r="1170" spans="1:5" x14ac:dyDescent="0.2">
      <c r="A1170" s="272"/>
      <c r="B1170" s="272"/>
      <c r="C1170" s="272"/>
      <c r="D1170" s="272"/>
      <c r="E1170" s="272"/>
    </row>
    <row r="1171" spans="1:5" x14ac:dyDescent="0.2">
      <c r="A1171" s="272"/>
      <c r="B1171" s="272"/>
      <c r="C1171" s="272"/>
      <c r="D1171" s="272"/>
      <c r="E1171" s="272"/>
    </row>
    <row r="1172" spans="1:5" x14ac:dyDescent="0.2">
      <c r="A1172" s="272"/>
      <c r="B1172" s="272"/>
      <c r="C1172" s="272"/>
      <c r="D1172" s="272"/>
      <c r="E1172" s="272"/>
    </row>
    <row r="1173" spans="1:5" x14ac:dyDescent="0.2">
      <c r="A1173" s="272"/>
      <c r="B1173" s="272"/>
      <c r="C1173" s="272"/>
      <c r="D1173" s="272"/>
      <c r="E1173" s="272"/>
    </row>
    <row r="1174" spans="1:5" x14ac:dyDescent="0.2">
      <c r="A1174" s="272"/>
      <c r="B1174" s="272"/>
      <c r="C1174" s="272"/>
      <c r="D1174" s="272"/>
      <c r="E1174" s="272"/>
    </row>
    <row r="1175" spans="1:5" x14ac:dyDescent="0.2">
      <c r="A1175" s="272"/>
      <c r="B1175" s="272"/>
      <c r="C1175" s="272"/>
      <c r="D1175" s="272"/>
      <c r="E1175" s="272"/>
    </row>
    <row r="1176" spans="1:5" x14ac:dyDescent="0.2">
      <c r="A1176" s="272"/>
      <c r="B1176" s="272"/>
      <c r="C1176" s="272"/>
      <c r="D1176" s="272"/>
      <c r="E1176" s="272"/>
    </row>
    <row r="1177" spans="1:5" x14ac:dyDescent="0.2">
      <c r="A1177" s="272"/>
      <c r="B1177" s="272"/>
      <c r="C1177" s="272"/>
      <c r="D1177" s="272"/>
      <c r="E1177" s="272"/>
    </row>
    <row r="1178" spans="1:5" x14ac:dyDescent="0.2">
      <c r="A1178" s="272"/>
      <c r="B1178" s="272"/>
      <c r="C1178" s="272"/>
      <c r="D1178" s="272"/>
      <c r="E1178" s="272"/>
    </row>
    <row r="1179" spans="1:5" x14ac:dyDescent="0.2">
      <c r="A1179" s="272"/>
      <c r="B1179" s="272"/>
      <c r="C1179" s="272"/>
      <c r="D1179" s="272"/>
      <c r="E1179" s="272"/>
    </row>
    <row r="1180" spans="1:5" x14ac:dyDescent="0.2">
      <c r="A1180" s="272"/>
      <c r="B1180" s="272"/>
      <c r="C1180" s="272"/>
      <c r="D1180" s="272"/>
      <c r="E1180" s="272"/>
    </row>
    <row r="1181" spans="1:5" x14ac:dyDescent="0.2">
      <c r="A1181" s="272"/>
      <c r="B1181" s="272"/>
      <c r="C1181" s="272"/>
      <c r="D1181" s="272"/>
      <c r="E1181" s="272"/>
    </row>
    <row r="1182" spans="1:5" x14ac:dyDescent="0.2">
      <c r="A1182" s="272"/>
      <c r="B1182" s="272"/>
      <c r="C1182" s="272"/>
      <c r="D1182" s="272"/>
      <c r="E1182" s="272"/>
    </row>
    <row r="1183" spans="1:5" x14ac:dyDescent="0.2">
      <c r="A1183" s="272"/>
      <c r="B1183" s="272"/>
      <c r="C1183" s="272"/>
      <c r="D1183" s="272"/>
      <c r="E1183" s="272"/>
    </row>
    <row r="1184" spans="1:5" x14ac:dyDescent="0.2">
      <c r="A1184" s="272"/>
      <c r="B1184" s="272"/>
      <c r="C1184" s="272"/>
      <c r="D1184" s="272"/>
      <c r="E1184" s="272"/>
    </row>
    <row r="1185" spans="1:5" x14ac:dyDescent="0.2">
      <c r="A1185" s="272"/>
      <c r="B1185" s="272"/>
      <c r="C1185" s="272"/>
      <c r="D1185" s="272"/>
      <c r="E1185" s="272"/>
    </row>
    <row r="1186" spans="1:5" x14ac:dyDescent="0.2">
      <c r="A1186" s="272"/>
      <c r="B1186" s="272"/>
      <c r="C1186" s="272"/>
      <c r="D1186" s="272"/>
      <c r="E1186" s="272"/>
    </row>
    <row r="1187" spans="1:5" x14ac:dyDescent="0.2">
      <c r="A1187" s="272"/>
      <c r="B1187" s="272"/>
      <c r="C1187" s="272"/>
      <c r="D1187" s="272"/>
      <c r="E1187" s="272"/>
    </row>
    <row r="1188" spans="1:5" x14ac:dyDescent="0.2">
      <c r="A1188" s="272"/>
      <c r="B1188" s="272"/>
      <c r="C1188" s="272"/>
      <c r="D1188" s="272"/>
      <c r="E1188" s="272"/>
    </row>
    <row r="1189" spans="1:5" x14ac:dyDescent="0.2">
      <c r="A1189" s="272"/>
      <c r="B1189" s="272"/>
      <c r="C1189" s="272"/>
      <c r="D1189" s="272"/>
      <c r="E1189" s="272"/>
    </row>
    <row r="1190" spans="1:5" x14ac:dyDescent="0.2">
      <c r="A1190" s="272"/>
      <c r="B1190" s="272"/>
      <c r="C1190" s="272"/>
      <c r="D1190" s="272"/>
      <c r="E1190" s="272"/>
    </row>
    <row r="1191" spans="1:5" x14ac:dyDescent="0.2">
      <c r="A1191" s="272"/>
      <c r="B1191" s="272"/>
      <c r="C1191" s="272"/>
      <c r="D1191" s="272"/>
      <c r="E1191" s="272"/>
    </row>
    <row r="1192" spans="1:5" x14ac:dyDescent="0.2">
      <c r="A1192" s="272"/>
      <c r="B1192" s="272"/>
      <c r="C1192" s="272"/>
      <c r="D1192" s="272"/>
      <c r="E1192" s="272"/>
    </row>
    <row r="1193" spans="1:5" x14ac:dyDescent="0.2">
      <c r="A1193" s="272"/>
      <c r="B1193" s="272"/>
      <c r="C1193" s="272"/>
      <c r="D1193" s="272"/>
      <c r="E1193" s="272"/>
    </row>
    <row r="1194" spans="1:5" x14ac:dyDescent="0.2">
      <c r="A1194" s="272"/>
      <c r="B1194" s="272"/>
      <c r="C1194" s="272"/>
      <c r="D1194" s="272"/>
      <c r="E1194" s="272"/>
    </row>
    <row r="1195" spans="1:5" x14ac:dyDescent="0.2">
      <c r="A1195" s="272"/>
      <c r="B1195" s="272"/>
      <c r="C1195" s="272"/>
      <c r="D1195" s="272"/>
      <c r="E1195" s="272"/>
    </row>
    <row r="1196" spans="1:5" x14ac:dyDescent="0.2">
      <c r="A1196" s="272"/>
      <c r="B1196" s="272"/>
      <c r="C1196" s="272"/>
      <c r="D1196" s="272"/>
      <c r="E1196" s="272"/>
    </row>
    <row r="1197" spans="1:5" x14ac:dyDescent="0.2">
      <c r="A1197" s="272"/>
      <c r="B1197" s="272"/>
      <c r="C1197" s="272"/>
      <c r="D1197" s="272"/>
      <c r="E1197" s="272"/>
    </row>
    <row r="1198" spans="1:5" x14ac:dyDescent="0.2">
      <c r="A1198" s="272"/>
      <c r="B1198" s="272"/>
      <c r="C1198" s="272"/>
      <c r="D1198" s="272"/>
      <c r="E1198" s="272"/>
    </row>
    <row r="1199" spans="1:5" x14ac:dyDescent="0.2">
      <c r="A1199" s="272"/>
      <c r="B1199" s="272"/>
      <c r="C1199" s="272"/>
      <c r="D1199" s="272"/>
      <c r="E1199" s="272"/>
    </row>
    <row r="1200" spans="1:5" x14ac:dyDescent="0.2">
      <c r="A1200" s="272"/>
      <c r="B1200" s="272"/>
      <c r="C1200" s="272"/>
      <c r="D1200" s="272"/>
      <c r="E1200" s="272"/>
    </row>
    <row r="1201" spans="1:5" x14ac:dyDescent="0.2">
      <c r="A1201" s="272"/>
      <c r="B1201" s="272"/>
      <c r="C1201" s="272"/>
      <c r="D1201" s="272"/>
      <c r="E1201" s="272"/>
    </row>
    <row r="1202" spans="1:5" x14ac:dyDescent="0.2">
      <c r="A1202" s="272"/>
      <c r="B1202" s="272"/>
      <c r="C1202" s="272"/>
      <c r="D1202" s="272"/>
      <c r="E1202" s="272"/>
    </row>
    <row r="1203" spans="1:5" x14ac:dyDescent="0.2">
      <c r="A1203" s="272"/>
      <c r="B1203" s="272"/>
      <c r="C1203" s="272"/>
      <c r="D1203" s="272"/>
      <c r="E1203" s="272"/>
    </row>
    <row r="1204" spans="1:5" x14ac:dyDescent="0.2">
      <c r="A1204" s="272"/>
      <c r="B1204" s="272"/>
      <c r="C1204" s="272"/>
      <c r="D1204" s="272"/>
      <c r="E1204" s="272"/>
    </row>
    <row r="1205" spans="1:5" x14ac:dyDescent="0.2">
      <c r="A1205" s="272"/>
      <c r="B1205" s="272"/>
      <c r="C1205" s="272"/>
      <c r="D1205" s="272"/>
      <c r="E1205" s="272"/>
    </row>
    <row r="1206" spans="1:5" x14ac:dyDescent="0.2">
      <c r="A1206" s="272"/>
      <c r="B1206" s="272"/>
      <c r="C1206" s="272"/>
      <c r="D1206" s="272"/>
      <c r="E1206" s="272"/>
    </row>
    <row r="1207" spans="1:5" x14ac:dyDescent="0.2">
      <c r="A1207" s="272"/>
      <c r="B1207" s="272"/>
      <c r="C1207" s="272"/>
      <c r="D1207" s="272"/>
      <c r="E1207" s="272"/>
    </row>
    <row r="1208" spans="1:5" x14ac:dyDescent="0.2">
      <c r="A1208" s="272"/>
      <c r="B1208" s="272"/>
      <c r="C1208" s="272"/>
      <c r="D1208" s="272"/>
      <c r="E1208" s="272"/>
    </row>
    <row r="1209" spans="1:5" x14ac:dyDescent="0.2">
      <c r="A1209" s="272"/>
      <c r="B1209" s="272"/>
      <c r="C1209" s="272"/>
      <c r="D1209" s="272"/>
      <c r="E1209" s="272"/>
    </row>
    <row r="1210" spans="1:5" x14ac:dyDescent="0.2">
      <c r="A1210" s="272"/>
      <c r="B1210" s="272"/>
      <c r="C1210" s="272"/>
      <c r="D1210" s="272"/>
      <c r="E1210" s="272"/>
    </row>
    <row r="1211" spans="1:5" x14ac:dyDescent="0.2">
      <c r="A1211" s="272"/>
      <c r="B1211" s="272"/>
      <c r="C1211" s="272"/>
      <c r="D1211" s="272"/>
      <c r="E1211" s="272"/>
    </row>
    <row r="1212" spans="1:5" x14ac:dyDescent="0.2">
      <c r="A1212" s="272"/>
      <c r="B1212" s="272"/>
      <c r="C1212" s="272"/>
      <c r="D1212" s="272"/>
      <c r="E1212" s="272"/>
    </row>
    <row r="1213" spans="1:5" x14ac:dyDescent="0.2">
      <c r="A1213" s="272"/>
      <c r="B1213" s="272"/>
      <c r="C1213" s="272"/>
      <c r="D1213" s="272"/>
      <c r="E1213" s="272"/>
    </row>
    <row r="1214" spans="1:5" x14ac:dyDescent="0.2">
      <c r="A1214" s="272"/>
      <c r="B1214" s="272"/>
      <c r="C1214" s="272"/>
      <c r="D1214" s="272"/>
      <c r="E1214" s="272"/>
    </row>
    <row r="1215" spans="1:5" x14ac:dyDescent="0.2">
      <c r="A1215" s="272"/>
      <c r="B1215" s="272"/>
      <c r="C1215" s="272"/>
      <c r="D1215" s="272"/>
      <c r="E1215" s="272"/>
    </row>
    <row r="1216" spans="1:5" x14ac:dyDescent="0.2">
      <c r="A1216" s="272"/>
      <c r="B1216" s="272"/>
      <c r="C1216" s="272"/>
      <c r="D1216" s="272"/>
      <c r="E1216" s="272"/>
    </row>
    <row r="1217" spans="1:5" x14ac:dyDescent="0.2">
      <c r="A1217" s="272"/>
      <c r="B1217" s="272"/>
      <c r="C1217" s="272"/>
      <c r="D1217" s="272"/>
      <c r="E1217" s="272"/>
    </row>
    <row r="1218" spans="1:5" x14ac:dyDescent="0.2">
      <c r="A1218" s="272"/>
      <c r="B1218" s="272"/>
      <c r="C1218" s="272"/>
      <c r="D1218" s="272"/>
      <c r="E1218" s="272"/>
    </row>
    <row r="1219" spans="1:5" x14ac:dyDescent="0.2">
      <c r="A1219" s="272"/>
      <c r="B1219" s="272"/>
      <c r="C1219" s="272"/>
      <c r="D1219" s="272"/>
      <c r="E1219" s="272"/>
    </row>
    <row r="1220" spans="1:5" x14ac:dyDescent="0.2">
      <c r="A1220" s="272"/>
      <c r="B1220" s="272"/>
      <c r="C1220" s="272"/>
      <c r="D1220" s="272"/>
      <c r="E1220" s="272"/>
    </row>
    <row r="1221" spans="1:5" x14ac:dyDescent="0.2">
      <c r="A1221" s="272"/>
      <c r="B1221" s="272"/>
      <c r="C1221" s="272"/>
      <c r="D1221" s="272"/>
      <c r="E1221" s="272"/>
    </row>
    <row r="1222" spans="1:5" x14ac:dyDescent="0.2">
      <c r="A1222" s="272"/>
      <c r="B1222" s="272"/>
      <c r="C1222" s="272"/>
      <c r="D1222" s="272"/>
      <c r="E1222" s="272"/>
    </row>
    <row r="1223" spans="1:5" x14ac:dyDescent="0.2">
      <c r="A1223" s="272"/>
      <c r="B1223" s="272"/>
      <c r="C1223" s="272"/>
      <c r="D1223" s="272"/>
      <c r="E1223" s="272"/>
    </row>
    <row r="1224" spans="1:5" x14ac:dyDescent="0.2">
      <c r="A1224" s="272"/>
      <c r="B1224" s="272"/>
      <c r="C1224" s="272"/>
      <c r="D1224" s="272"/>
      <c r="E1224" s="272"/>
    </row>
    <row r="1225" spans="1:5" x14ac:dyDescent="0.2">
      <c r="A1225" s="272"/>
      <c r="B1225" s="272"/>
      <c r="C1225" s="272"/>
      <c r="D1225" s="272"/>
      <c r="E1225" s="272"/>
    </row>
    <row r="1226" spans="1:5" x14ac:dyDescent="0.2">
      <c r="A1226" s="272"/>
      <c r="B1226" s="272"/>
      <c r="C1226" s="272"/>
      <c r="D1226" s="272"/>
      <c r="E1226" s="272"/>
    </row>
    <row r="1227" spans="1:5" x14ac:dyDescent="0.2">
      <c r="A1227" s="272"/>
      <c r="B1227" s="272"/>
      <c r="C1227" s="272"/>
      <c r="D1227" s="272"/>
      <c r="E1227" s="272"/>
    </row>
    <row r="1228" spans="1:5" x14ac:dyDescent="0.2">
      <c r="A1228" s="272"/>
      <c r="B1228" s="272"/>
      <c r="C1228" s="272"/>
      <c r="D1228" s="272"/>
      <c r="E1228" s="272"/>
    </row>
    <row r="1229" spans="1:5" x14ac:dyDescent="0.2">
      <c r="A1229" s="272"/>
      <c r="B1229" s="272"/>
      <c r="C1229" s="272"/>
      <c r="D1229" s="272"/>
      <c r="E1229" s="272"/>
    </row>
    <row r="1230" spans="1:5" x14ac:dyDescent="0.2">
      <c r="A1230" s="272"/>
      <c r="B1230" s="272"/>
      <c r="C1230" s="272"/>
      <c r="D1230" s="272"/>
      <c r="E1230" s="272"/>
    </row>
    <row r="1231" spans="1:5" x14ac:dyDescent="0.2">
      <c r="A1231" s="272"/>
      <c r="B1231" s="272"/>
      <c r="C1231" s="272"/>
      <c r="D1231" s="272"/>
      <c r="E1231" s="272"/>
    </row>
    <row r="1232" spans="1:5" x14ac:dyDescent="0.2">
      <c r="A1232" s="272"/>
      <c r="B1232" s="272"/>
      <c r="C1232" s="272"/>
      <c r="D1232" s="272"/>
      <c r="E1232" s="272"/>
    </row>
    <row r="1233" spans="1:5" x14ac:dyDescent="0.2">
      <c r="A1233" s="272"/>
      <c r="B1233" s="272"/>
      <c r="C1233" s="272"/>
      <c r="D1233" s="272"/>
      <c r="E1233" s="272"/>
    </row>
    <row r="1234" spans="1:5" x14ac:dyDescent="0.2">
      <c r="A1234" s="272"/>
      <c r="B1234" s="272"/>
      <c r="C1234" s="272"/>
      <c r="D1234" s="272"/>
      <c r="E1234" s="272"/>
    </row>
    <row r="1235" spans="1:5" x14ac:dyDescent="0.2">
      <c r="A1235" s="272"/>
      <c r="B1235" s="272"/>
      <c r="C1235" s="272"/>
      <c r="D1235" s="272"/>
      <c r="E1235" s="272"/>
    </row>
    <row r="1236" spans="1:5" x14ac:dyDescent="0.2">
      <c r="A1236" s="272"/>
      <c r="B1236" s="272"/>
      <c r="C1236" s="272"/>
      <c r="D1236" s="272"/>
      <c r="E1236" s="272"/>
    </row>
    <row r="1237" spans="1:5" x14ac:dyDescent="0.2">
      <c r="A1237" s="272"/>
      <c r="B1237" s="272"/>
      <c r="C1237" s="272"/>
      <c r="D1237" s="272"/>
      <c r="E1237" s="272"/>
    </row>
    <row r="1238" spans="1:5" x14ac:dyDescent="0.2">
      <c r="A1238" s="272"/>
      <c r="B1238" s="272"/>
      <c r="C1238" s="272"/>
      <c r="D1238" s="272"/>
      <c r="E1238" s="272"/>
    </row>
    <row r="1239" spans="1:5" x14ac:dyDescent="0.2">
      <c r="A1239" s="272"/>
      <c r="B1239" s="272"/>
      <c r="C1239" s="272"/>
      <c r="D1239" s="272"/>
      <c r="E1239" s="272"/>
    </row>
    <row r="1240" spans="1:5" x14ac:dyDescent="0.2">
      <c r="A1240" s="272"/>
      <c r="B1240" s="272"/>
      <c r="C1240" s="272"/>
      <c r="D1240" s="272"/>
      <c r="E1240" s="272"/>
    </row>
    <row r="1241" spans="1:5" x14ac:dyDescent="0.2">
      <c r="A1241" s="272"/>
      <c r="B1241" s="272"/>
      <c r="C1241" s="272"/>
      <c r="D1241" s="272"/>
      <c r="E1241" s="272"/>
    </row>
    <row r="1242" spans="1:5" x14ac:dyDescent="0.2">
      <c r="A1242" s="272"/>
      <c r="B1242" s="272"/>
      <c r="C1242" s="272"/>
      <c r="D1242" s="272"/>
      <c r="E1242" s="272"/>
    </row>
    <row r="1243" spans="1:5" x14ac:dyDescent="0.2">
      <c r="A1243" s="272"/>
      <c r="B1243" s="272"/>
      <c r="C1243" s="272"/>
      <c r="D1243" s="272"/>
      <c r="E1243" s="272"/>
    </row>
    <row r="1244" spans="1:5" x14ac:dyDescent="0.2">
      <c r="A1244" s="272"/>
      <c r="B1244" s="272"/>
      <c r="C1244" s="272"/>
      <c r="D1244" s="272"/>
      <c r="E1244" s="272"/>
    </row>
    <row r="1245" spans="1:5" x14ac:dyDescent="0.2">
      <c r="A1245" s="272"/>
      <c r="B1245" s="272"/>
      <c r="C1245" s="272"/>
      <c r="D1245" s="272"/>
      <c r="E1245" s="272"/>
    </row>
    <row r="1246" spans="1:5" x14ac:dyDescent="0.2">
      <c r="A1246" s="272"/>
      <c r="B1246" s="272"/>
      <c r="C1246" s="272"/>
      <c r="D1246" s="272"/>
      <c r="E1246" s="272"/>
    </row>
    <row r="1247" spans="1:5" x14ac:dyDescent="0.2">
      <c r="A1247" s="272"/>
      <c r="B1247" s="272"/>
      <c r="C1247" s="272"/>
      <c r="D1247" s="272"/>
      <c r="E1247" s="272"/>
    </row>
    <row r="1248" spans="1:5" x14ac:dyDescent="0.2">
      <c r="A1248" s="272"/>
      <c r="B1248" s="272"/>
      <c r="C1248" s="272"/>
      <c r="D1248" s="272"/>
      <c r="E1248" s="272"/>
    </row>
    <row r="1249" spans="1:5" x14ac:dyDescent="0.2">
      <c r="A1249" s="272"/>
      <c r="B1249" s="272"/>
      <c r="C1249" s="272"/>
      <c r="D1249" s="272"/>
      <c r="E1249" s="272"/>
    </row>
    <row r="1250" spans="1:5" x14ac:dyDescent="0.2">
      <c r="A1250" s="272"/>
      <c r="B1250" s="272"/>
      <c r="C1250" s="272"/>
      <c r="D1250" s="272"/>
      <c r="E1250" s="272"/>
    </row>
    <row r="1251" spans="1:5" x14ac:dyDescent="0.2">
      <c r="A1251" s="272"/>
      <c r="B1251" s="272"/>
      <c r="C1251" s="272"/>
      <c r="D1251" s="272"/>
      <c r="E1251" s="272"/>
    </row>
    <row r="1252" spans="1:5" x14ac:dyDescent="0.2">
      <c r="A1252" s="272"/>
      <c r="B1252" s="272"/>
      <c r="C1252" s="272"/>
      <c r="D1252" s="272"/>
      <c r="E1252" s="272"/>
    </row>
    <row r="1253" spans="1:5" x14ac:dyDescent="0.2">
      <c r="A1253" s="272"/>
      <c r="B1253" s="272"/>
      <c r="C1253" s="272"/>
      <c r="D1253" s="272"/>
      <c r="E1253" s="272"/>
    </row>
    <row r="1254" spans="1:5" x14ac:dyDescent="0.2">
      <c r="A1254" s="272"/>
      <c r="B1254" s="272"/>
      <c r="C1254" s="272"/>
      <c r="D1254" s="272"/>
      <c r="E1254" s="272"/>
    </row>
    <row r="1255" spans="1:5" x14ac:dyDescent="0.2">
      <c r="A1255" s="272"/>
      <c r="B1255" s="272"/>
      <c r="C1255" s="272"/>
      <c r="D1255" s="272"/>
      <c r="E1255" s="272"/>
    </row>
    <row r="1256" spans="1:5" x14ac:dyDescent="0.2">
      <c r="A1256" s="272"/>
      <c r="B1256" s="272"/>
      <c r="C1256" s="272"/>
      <c r="D1256" s="272"/>
      <c r="E1256" s="272"/>
    </row>
    <row r="1257" spans="1:5" x14ac:dyDescent="0.2">
      <c r="A1257" s="272"/>
      <c r="B1257" s="272"/>
      <c r="C1257" s="272"/>
      <c r="D1257" s="272"/>
      <c r="E1257" s="272"/>
    </row>
    <row r="1258" spans="1:5" x14ac:dyDescent="0.2">
      <c r="A1258" s="272"/>
      <c r="B1258" s="272"/>
      <c r="C1258" s="272"/>
      <c r="D1258" s="272"/>
      <c r="E1258" s="272"/>
    </row>
    <row r="1259" spans="1:5" x14ac:dyDescent="0.2">
      <c r="A1259" s="272"/>
      <c r="B1259" s="272"/>
      <c r="C1259" s="272"/>
      <c r="D1259" s="272"/>
      <c r="E1259" s="272"/>
    </row>
    <row r="1260" spans="1:5" x14ac:dyDescent="0.2">
      <c r="A1260" s="272"/>
      <c r="B1260" s="272"/>
      <c r="C1260" s="272"/>
      <c r="D1260" s="272"/>
      <c r="E1260" s="272"/>
    </row>
    <row r="1261" spans="1:5" x14ac:dyDescent="0.2">
      <c r="A1261" s="272"/>
      <c r="B1261" s="272"/>
      <c r="C1261" s="272"/>
      <c r="D1261" s="272"/>
      <c r="E1261" s="272"/>
    </row>
    <row r="1262" spans="1:5" x14ac:dyDescent="0.2">
      <c r="A1262" s="272"/>
      <c r="B1262" s="272"/>
      <c r="C1262" s="272"/>
      <c r="D1262" s="272"/>
      <c r="E1262" s="272"/>
    </row>
    <row r="1263" spans="1:5" x14ac:dyDescent="0.2">
      <c r="A1263" s="272"/>
      <c r="B1263" s="272"/>
      <c r="C1263" s="272"/>
      <c r="D1263" s="272"/>
      <c r="E1263" s="272"/>
    </row>
    <row r="1264" spans="1:5" x14ac:dyDescent="0.2">
      <c r="A1264" s="272"/>
      <c r="B1264" s="272"/>
      <c r="C1264" s="272"/>
      <c r="D1264" s="272"/>
      <c r="E1264" s="272"/>
    </row>
    <row r="1265" spans="1:5" x14ac:dyDescent="0.2">
      <c r="A1265" s="272"/>
      <c r="B1265" s="272"/>
      <c r="C1265" s="272"/>
      <c r="D1265" s="272"/>
      <c r="E1265" s="272"/>
    </row>
    <row r="1266" spans="1:5" x14ac:dyDescent="0.2">
      <c r="A1266" s="272"/>
      <c r="B1266" s="272"/>
      <c r="C1266" s="272"/>
      <c r="D1266" s="272"/>
      <c r="E1266" s="272"/>
    </row>
    <row r="1267" spans="1:5" x14ac:dyDescent="0.2">
      <c r="A1267" s="272"/>
      <c r="B1267" s="272"/>
      <c r="C1267" s="272"/>
      <c r="D1267" s="272"/>
      <c r="E1267" s="272"/>
    </row>
    <row r="1268" spans="1:5" x14ac:dyDescent="0.2">
      <c r="A1268" s="272"/>
      <c r="B1268" s="272"/>
      <c r="C1268" s="272"/>
      <c r="D1268" s="272"/>
      <c r="E1268" s="272"/>
    </row>
    <row r="1269" spans="1:5" x14ac:dyDescent="0.2">
      <c r="A1269" s="272"/>
      <c r="B1269" s="272"/>
      <c r="C1269" s="272"/>
      <c r="D1269" s="272"/>
      <c r="E1269" s="272"/>
    </row>
    <row r="1270" spans="1:5" x14ac:dyDescent="0.2">
      <c r="A1270" s="272"/>
      <c r="B1270" s="272"/>
      <c r="C1270" s="272"/>
      <c r="D1270" s="272"/>
      <c r="E1270" s="272"/>
    </row>
    <row r="1271" spans="1:5" x14ac:dyDescent="0.2">
      <c r="A1271" s="272"/>
      <c r="B1271" s="272"/>
      <c r="C1271" s="272"/>
      <c r="D1271" s="272"/>
      <c r="E1271" s="272"/>
    </row>
    <row r="1272" spans="1:5" x14ac:dyDescent="0.2">
      <c r="A1272" s="272"/>
      <c r="B1272" s="272"/>
      <c r="C1272" s="272"/>
      <c r="D1272" s="272"/>
      <c r="E1272" s="272"/>
    </row>
    <row r="1273" spans="1:5" x14ac:dyDescent="0.2">
      <c r="A1273" s="272"/>
      <c r="B1273" s="272"/>
      <c r="C1273" s="272"/>
      <c r="D1273" s="272"/>
      <c r="E1273" s="272"/>
    </row>
    <row r="1274" spans="1:5" x14ac:dyDescent="0.2">
      <c r="A1274" s="272"/>
      <c r="B1274" s="272"/>
      <c r="C1274" s="272"/>
      <c r="D1274" s="272"/>
      <c r="E1274" s="272"/>
    </row>
    <row r="1275" spans="1:5" x14ac:dyDescent="0.2">
      <c r="A1275" s="272"/>
      <c r="B1275" s="272"/>
      <c r="C1275" s="272"/>
      <c r="D1275" s="272"/>
      <c r="E1275" s="272"/>
    </row>
    <row r="1276" spans="1:5" x14ac:dyDescent="0.2">
      <c r="A1276" s="272"/>
      <c r="B1276" s="272"/>
      <c r="C1276" s="272"/>
      <c r="D1276" s="272"/>
      <c r="E1276" s="272"/>
    </row>
    <row r="1277" spans="1:5" x14ac:dyDescent="0.2">
      <c r="A1277" s="272"/>
      <c r="B1277" s="272"/>
      <c r="C1277" s="272"/>
      <c r="D1277" s="272"/>
      <c r="E1277" s="272"/>
    </row>
    <row r="1278" spans="1:5" x14ac:dyDescent="0.2">
      <c r="A1278" s="272"/>
      <c r="B1278" s="272"/>
      <c r="C1278" s="272"/>
      <c r="D1278" s="272"/>
      <c r="E1278" s="272"/>
    </row>
    <row r="1279" spans="1:5" x14ac:dyDescent="0.2">
      <c r="A1279" s="272"/>
      <c r="B1279" s="272"/>
      <c r="C1279" s="272"/>
      <c r="D1279" s="272"/>
      <c r="E1279" s="272"/>
    </row>
    <row r="1280" spans="1:5" x14ac:dyDescent="0.2">
      <c r="A1280" s="272"/>
      <c r="B1280" s="272"/>
      <c r="C1280" s="272"/>
      <c r="D1280" s="272"/>
      <c r="E1280" s="272"/>
    </row>
    <row r="1281" spans="1:5" x14ac:dyDescent="0.2">
      <c r="A1281" s="272"/>
      <c r="B1281" s="272"/>
      <c r="C1281" s="272"/>
      <c r="D1281" s="272"/>
      <c r="E1281" s="272"/>
    </row>
    <row r="1282" spans="1:5" x14ac:dyDescent="0.2">
      <c r="A1282" s="272"/>
      <c r="B1282" s="272"/>
      <c r="C1282" s="272"/>
      <c r="D1282" s="272"/>
      <c r="E1282" s="272"/>
    </row>
    <row r="1283" spans="1:5" x14ac:dyDescent="0.2">
      <c r="A1283" s="272"/>
      <c r="B1283" s="272"/>
      <c r="C1283" s="272"/>
      <c r="D1283" s="272"/>
      <c r="E1283" s="272"/>
    </row>
    <row r="1284" spans="1:5" x14ac:dyDescent="0.2">
      <c r="A1284" s="272"/>
      <c r="B1284" s="272"/>
      <c r="C1284" s="272"/>
      <c r="D1284" s="272"/>
      <c r="E1284" s="272"/>
    </row>
    <row r="1285" spans="1:5" x14ac:dyDescent="0.2">
      <c r="A1285" s="272"/>
      <c r="B1285" s="272"/>
      <c r="C1285" s="272"/>
      <c r="D1285" s="272"/>
      <c r="E1285" s="272"/>
    </row>
    <row r="1286" spans="1:5" x14ac:dyDescent="0.2">
      <c r="A1286" s="272"/>
      <c r="B1286" s="272"/>
      <c r="C1286" s="272"/>
      <c r="D1286" s="272"/>
      <c r="E1286" s="272"/>
    </row>
    <row r="1287" spans="1:5" x14ac:dyDescent="0.2">
      <c r="A1287" s="272"/>
      <c r="B1287" s="272"/>
      <c r="C1287" s="272"/>
      <c r="D1287" s="272"/>
      <c r="E1287" s="272"/>
    </row>
    <row r="1288" spans="1:5" x14ac:dyDescent="0.2">
      <c r="A1288" s="272"/>
      <c r="B1288" s="272"/>
      <c r="C1288" s="272"/>
      <c r="D1288" s="272"/>
      <c r="E1288" s="272"/>
    </row>
    <row r="1289" spans="1:5" x14ac:dyDescent="0.2">
      <c r="A1289" s="272"/>
      <c r="B1289" s="272"/>
      <c r="C1289" s="272"/>
      <c r="D1289" s="272"/>
      <c r="E1289" s="272"/>
    </row>
    <row r="1290" spans="1:5" x14ac:dyDescent="0.2">
      <c r="A1290" s="272"/>
      <c r="B1290" s="272"/>
      <c r="C1290" s="272"/>
      <c r="D1290" s="272"/>
      <c r="E1290" s="272"/>
    </row>
    <row r="1291" spans="1:5" x14ac:dyDescent="0.2">
      <c r="A1291" s="272"/>
      <c r="B1291" s="272"/>
      <c r="C1291" s="272"/>
      <c r="D1291" s="272"/>
      <c r="E1291" s="272"/>
    </row>
    <row r="1292" spans="1:5" x14ac:dyDescent="0.2">
      <c r="A1292" s="272"/>
      <c r="B1292" s="272"/>
      <c r="C1292" s="272"/>
      <c r="D1292" s="272"/>
      <c r="E1292" s="272"/>
    </row>
    <row r="1293" spans="1:5" x14ac:dyDescent="0.2">
      <c r="A1293" s="272"/>
      <c r="B1293" s="272"/>
      <c r="C1293" s="272"/>
      <c r="D1293" s="272"/>
      <c r="E1293" s="272"/>
    </row>
    <row r="1294" spans="1:5" x14ac:dyDescent="0.2">
      <c r="A1294" s="272"/>
      <c r="B1294" s="272"/>
      <c r="C1294" s="272"/>
      <c r="D1294" s="272"/>
      <c r="E1294" s="272"/>
    </row>
    <row r="1295" spans="1:5" x14ac:dyDescent="0.2">
      <c r="A1295" s="272"/>
      <c r="B1295" s="272"/>
      <c r="C1295" s="272"/>
      <c r="D1295" s="272"/>
      <c r="E1295" s="272"/>
    </row>
    <row r="1296" spans="1:5" x14ac:dyDescent="0.2">
      <c r="A1296" s="272"/>
      <c r="B1296" s="272"/>
      <c r="C1296" s="272"/>
      <c r="D1296" s="272"/>
      <c r="E1296" s="272"/>
    </row>
    <row r="1297" spans="1:5" x14ac:dyDescent="0.2">
      <c r="A1297" s="272"/>
      <c r="B1297" s="272"/>
      <c r="C1297" s="272"/>
      <c r="D1297" s="272"/>
      <c r="E1297" s="272"/>
    </row>
    <row r="1298" spans="1:5" x14ac:dyDescent="0.2">
      <c r="A1298" s="272"/>
      <c r="B1298" s="272"/>
      <c r="C1298" s="272"/>
      <c r="D1298" s="272"/>
      <c r="E1298" s="272"/>
    </row>
    <row r="1299" spans="1:5" x14ac:dyDescent="0.2">
      <c r="A1299" s="272"/>
      <c r="B1299" s="272"/>
      <c r="C1299" s="272"/>
      <c r="D1299" s="272"/>
      <c r="E1299" s="272"/>
    </row>
    <row r="1300" spans="1:5" x14ac:dyDescent="0.2">
      <c r="A1300" s="272"/>
      <c r="B1300" s="272"/>
      <c r="C1300" s="272"/>
      <c r="D1300" s="272"/>
      <c r="E1300" s="272"/>
    </row>
    <row r="1301" spans="1:5" x14ac:dyDescent="0.2">
      <c r="A1301" s="272"/>
      <c r="B1301" s="272"/>
      <c r="C1301" s="272"/>
      <c r="D1301" s="272"/>
      <c r="E1301" s="272"/>
    </row>
    <row r="1302" spans="1:5" x14ac:dyDescent="0.2">
      <c r="A1302" s="272"/>
      <c r="B1302" s="272"/>
      <c r="C1302" s="272"/>
      <c r="D1302" s="272"/>
      <c r="E1302" s="272"/>
    </row>
    <row r="1303" spans="1:5" x14ac:dyDescent="0.2">
      <c r="A1303" s="272"/>
      <c r="B1303" s="272"/>
      <c r="C1303" s="272"/>
      <c r="D1303" s="272"/>
      <c r="E1303" s="272"/>
    </row>
    <row r="1304" spans="1:5" x14ac:dyDescent="0.2">
      <c r="A1304" s="272"/>
      <c r="B1304" s="272"/>
      <c r="C1304" s="272"/>
      <c r="D1304" s="272"/>
      <c r="E1304" s="272"/>
    </row>
    <row r="1305" spans="1:5" x14ac:dyDescent="0.2">
      <c r="A1305" s="272"/>
      <c r="B1305" s="272"/>
      <c r="C1305" s="272"/>
      <c r="D1305" s="272"/>
      <c r="E1305" s="272"/>
    </row>
    <row r="1306" spans="1:5" x14ac:dyDescent="0.2">
      <c r="A1306" s="272"/>
      <c r="B1306" s="272"/>
      <c r="C1306" s="272"/>
      <c r="D1306" s="272"/>
      <c r="E1306" s="272"/>
    </row>
    <row r="1307" spans="1:5" x14ac:dyDescent="0.2">
      <c r="A1307" s="272"/>
      <c r="B1307" s="272"/>
      <c r="C1307" s="272"/>
      <c r="D1307" s="272"/>
      <c r="E1307" s="272"/>
    </row>
    <row r="1308" spans="1:5" x14ac:dyDescent="0.2">
      <c r="A1308" s="272"/>
      <c r="B1308" s="272"/>
      <c r="C1308" s="272"/>
      <c r="D1308" s="272"/>
      <c r="E1308" s="272"/>
    </row>
    <row r="1309" spans="1:5" x14ac:dyDescent="0.2">
      <c r="A1309" s="272"/>
      <c r="B1309" s="272"/>
      <c r="C1309" s="272"/>
      <c r="D1309" s="272"/>
      <c r="E1309" s="272"/>
    </row>
    <row r="1310" spans="1:5" x14ac:dyDescent="0.2">
      <c r="A1310" s="272"/>
      <c r="B1310" s="272"/>
      <c r="C1310" s="272"/>
      <c r="D1310" s="272"/>
      <c r="E1310" s="272"/>
    </row>
    <row r="1311" spans="1:5" x14ac:dyDescent="0.2">
      <c r="A1311" s="272"/>
      <c r="B1311" s="272"/>
      <c r="C1311" s="272"/>
      <c r="D1311" s="272"/>
      <c r="E1311" s="272"/>
    </row>
    <row r="1312" spans="1:5" x14ac:dyDescent="0.2">
      <c r="A1312" s="272"/>
      <c r="B1312" s="272"/>
      <c r="C1312" s="272"/>
      <c r="D1312" s="272"/>
      <c r="E1312" s="272"/>
    </row>
    <row r="1313" spans="1:5" x14ac:dyDescent="0.2">
      <c r="A1313" s="272"/>
      <c r="B1313" s="272"/>
      <c r="C1313" s="272"/>
      <c r="D1313" s="272"/>
      <c r="E1313" s="272"/>
    </row>
    <row r="1314" spans="1:5" x14ac:dyDescent="0.2">
      <c r="A1314" s="272"/>
      <c r="B1314" s="272"/>
      <c r="C1314" s="272"/>
      <c r="D1314" s="272"/>
      <c r="E1314" s="272"/>
    </row>
    <row r="1315" spans="1:5" x14ac:dyDescent="0.2">
      <c r="A1315" s="272"/>
      <c r="B1315" s="272"/>
      <c r="C1315" s="272"/>
      <c r="D1315" s="272"/>
      <c r="E1315" s="272"/>
    </row>
    <row r="1316" spans="1:5" x14ac:dyDescent="0.2">
      <c r="A1316" s="272"/>
      <c r="B1316" s="272"/>
      <c r="C1316" s="272"/>
      <c r="D1316" s="272"/>
      <c r="E1316" s="272"/>
    </row>
    <row r="1317" spans="1:5" x14ac:dyDescent="0.2">
      <c r="A1317" s="272"/>
      <c r="B1317" s="272"/>
      <c r="C1317" s="272"/>
      <c r="D1317" s="272"/>
      <c r="E1317" s="272"/>
    </row>
    <row r="1318" spans="1:5" x14ac:dyDescent="0.2">
      <c r="A1318" s="272"/>
      <c r="B1318" s="272"/>
      <c r="C1318" s="272"/>
      <c r="D1318" s="272"/>
      <c r="E1318" s="272"/>
    </row>
    <row r="1319" spans="1:5" x14ac:dyDescent="0.2">
      <c r="A1319" s="272"/>
      <c r="B1319" s="272"/>
      <c r="C1319" s="272"/>
      <c r="D1319" s="272"/>
      <c r="E1319" s="272"/>
    </row>
    <row r="1320" spans="1:5" x14ac:dyDescent="0.2">
      <c r="A1320" s="272"/>
      <c r="B1320" s="272"/>
      <c r="C1320" s="272"/>
      <c r="D1320" s="272"/>
      <c r="E1320" s="272"/>
    </row>
    <row r="1321" spans="1:5" x14ac:dyDescent="0.2">
      <c r="A1321" s="272"/>
      <c r="B1321" s="272"/>
      <c r="C1321" s="272"/>
      <c r="D1321" s="272"/>
      <c r="E1321" s="272"/>
    </row>
    <row r="1322" spans="1:5" x14ac:dyDescent="0.2">
      <c r="A1322" s="272"/>
      <c r="B1322" s="272"/>
      <c r="C1322" s="272"/>
      <c r="D1322" s="272"/>
      <c r="E1322" s="272"/>
    </row>
    <row r="1323" spans="1:5" x14ac:dyDescent="0.2">
      <c r="A1323" s="272"/>
      <c r="B1323" s="272"/>
      <c r="C1323" s="272"/>
      <c r="D1323" s="272"/>
      <c r="E1323" s="272"/>
    </row>
    <row r="1324" spans="1:5" x14ac:dyDescent="0.2">
      <c r="A1324" s="272"/>
      <c r="B1324" s="272"/>
      <c r="C1324" s="272"/>
      <c r="D1324" s="272"/>
      <c r="E1324" s="272"/>
    </row>
    <row r="1325" spans="1:5" x14ac:dyDescent="0.2">
      <c r="A1325" s="272"/>
      <c r="B1325" s="272"/>
      <c r="C1325" s="272"/>
      <c r="D1325" s="272"/>
      <c r="E1325" s="272"/>
    </row>
    <row r="1326" spans="1:5" x14ac:dyDescent="0.2">
      <c r="A1326" s="272"/>
      <c r="B1326" s="272"/>
      <c r="C1326" s="272"/>
      <c r="D1326" s="272"/>
      <c r="E1326" s="272"/>
    </row>
    <row r="1327" spans="1:5" x14ac:dyDescent="0.2">
      <c r="A1327" s="272"/>
      <c r="B1327" s="272"/>
      <c r="C1327" s="272"/>
      <c r="D1327" s="272"/>
      <c r="E1327" s="272"/>
    </row>
    <row r="1328" spans="1:5" x14ac:dyDescent="0.2">
      <c r="A1328" s="272"/>
      <c r="B1328" s="272"/>
      <c r="C1328" s="272"/>
      <c r="D1328" s="272"/>
      <c r="E1328" s="272"/>
    </row>
    <row r="1329" spans="1:5" x14ac:dyDescent="0.2">
      <c r="A1329" s="272"/>
      <c r="B1329" s="272"/>
      <c r="C1329" s="272"/>
      <c r="D1329" s="272"/>
      <c r="E1329" s="272"/>
    </row>
    <row r="1330" spans="1:5" x14ac:dyDescent="0.2">
      <c r="A1330" s="272"/>
      <c r="B1330" s="272"/>
      <c r="C1330" s="272"/>
      <c r="D1330" s="272"/>
      <c r="E1330" s="272"/>
    </row>
    <row r="1331" spans="1:5" x14ac:dyDescent="0.2">
      <c r="A1331" s="272"/>
      <c r="B1331" s="272"/>
      <c r="C1331" s="272"/>
      <c r="D1331" s="272"/>
      <c r="E1331" s="272"/>
    </row>
    <row r="1332" spans="1:5" x14ac:dyDescent="0.2">
      <c r="A1332" s="272"/>
      <c r="B1332" s="272"/>
      <c r="C1332" s="272"/>
      <c r="D1332" s="272"/>
      <c r="E1332" s="272"/>
    </row>
    <row r="1333" spans="1:5" x14ac:dyDescent="0.2">
      <c r="A1333" s="272"/>
      <c r="B1333" s="272"/>
      <c r="C1333" s="272"/>
      <c r="D1333" s="272"/>
      <c r="E1333" s="272"/>
    </row>
    <row r="1334" spans="1:5" x14ac:dyDescent="0.2">
      <c r="A1334" s="272"/>
      <c r="B1334" s="272"/>
      <c r="C1334" s="272"/>
      <c r="D1334" s="272"/>
      <c r="E1334" s="272"/>
    </row>
    <row r="1335" spans="1:5" x14ac:dyDescent="0.2">
      <c r="A1335" s="272"/>
      <c r="B1335" s="272"/>
      <c r="C1335" s="272"/>
      <c r="D1335" s="272"/>
      <c r="E1335" s="272"/>
    </row>
    <row r="1336" spans="1:5" x14ac:dyDescent="0.2">
      <c r="A1336" s="272"/>
      <c r="B1336" s="272"/>
      <c r="C1336" s="272"/>
      <c r="D1336" s="272"/>
      <c r="E1336" s="272"/>
    </row>
    <row r="1337" spans="1:5" x14ac:dyDescent="0.2">
      <c r="A1337" s="272"/>
      <c r="B1337" s="272"/>
      <c r="C1337" s="272"/>
      <c r="D1337" s="272"/>
      <c r="E1337" s="272"/>
    </row>
    <row r="1338" spans="1:5" x14ac:dyDescent="0.2">
      <c r="A1338" s="272"/>
      <c r="B1338" s="272"/>
      <c r="C1338" s="272"/>
      <c r="D1338" s="272"/>
      <c r="E1338" s="272"/>
    </row>
    <row r="1339" spans="1:5" x14ac:dyDescent="0.2">
      <c r="A1339" s="272"/>
      <c r="B1339" s="272"/>
      <c r="C1339" s="272"/>
      <c r="D1339" s="272"/>
      <c r="E1339" s="272"/>
    </row>
    <row r="1340" spans="1:5" x14ac:dyDescent="0.2">
      <c r="A1340" s="272"/>
      <c r="B1340" s="272"/>
      <c r="C1340" s="272"/>
      <c r="D1340" s="272"/>
      <c r="E1340" s="272"/>
    </row>
    <row r="1341" spans="1:5" x14ac:dyDescent="0.2">
      <c r="A1341" s="272"/>
      <c r="B1341" s="272"/>
      <c r="C1341" s="272"/>
      <c r="D1341" s="272"/>
      <c r="E1341" s="272"/>
    </row>
    <row r="1342" spans="1:5" x14ac:dyDescent="0.2">
      <c r="A1342" s="272"/>
      <c r="B1342" s="272"/>
      <c r="C1342" s="272"/>
      <c r="D1342" s="272"/>
      <c r="E1342" s="272"/>
    </row>
    <row r="1343" spans="1:5" x14ac:dyDescent="0.2">
      <c r="A1343" s="272"/>
      <c r="B1343" s="272"/>
      <c r="C1343" s="272"/>
      <c r="D1343" s="272"/>
      <c r="E1343" s="272"/>
    </row>
    <row r="1344" spans="1:5" x14ac:dyDescent="0.2">
      <c r="A1344" s="272"/>
      <c r="B1344" s="272"/>
      <c r="C1344" s="272"/>
      <c r="D1344" s="272"/>
      <c r="E1344" s="272"/>
    </row>
    <row r="1345" spans="1:5" x14ac:dyDescent="0.2">
      <c r="A1345" s="272"/>
      <c r="B1345" s="272"/>
      <c r="C1345" s="272"/>
      <c r="D1345" s="272"/>
      <c r="E1345" s="272"/>
    </row>
    <row r="1346" spans="1:5" x14ac:dyDescent="0.2">
      <c r="A1346" s="272"/>
      <c r="B1346" s="272"/>
      <c r="C1346" s="272"/>
      <c r="D1346" s="272"/>
      <c r="E1346" s="272"/>
    </row>
    <row r="1347" spans="1:5" x14ac:dyDescent="0.2">
      <c r="A1347" s="272"/>
      <c r="B1347" s="272"/>
      <c r="C1347" s="272"/>
      <c r="D1347" s="272"/>
      <c r="E1347" s="272"/>
    </row>
    <row r="1348" spans="1:5" x14ac:dyDescent="0.2">
      <c r="A1348" s="272"/>
      <c r="B1348" s="272"/>
      <c r="C1348" s="272"/>
      <c r="D1348" s="272"/>
      <c r="E1348" s="272"/>
    </row>
    <row r="1349" spans="1:5" x14ac:dyDescent="0.2">
      <c r="A1349" s="272"/>
      <c r="B1349" s="272"/>
      <c r="C1349" s="272"/>
      <c r="D1349" s="272"/>
      <c r="E1349" s="272"/>
    </row>
    <row r="1350" spans="1:5" x14ac:dyDescent="0.2">
      <c r="A1350" s="272"/>
      <c r="B1350" s="272"/>
      <c r="C1350" s="272"/>
      <c r="D1350" s="272"/>
      <c r="E1350" s="272"/>
    </row>
    <row r="1351" spans="1:5" x14ac:dyDescent="0.2">
      <c r="A1351" s="272"/>
      <c r="B1351" s="272"/>
      <c r="C1351" s="272"/>
      <c r="D1351" s="272"/>
      <c r="E1351" s="272"/>
    </row>
    <row r="1352" spans="1:5" x14ac:dyDescent="0.2">
      <c r="A1352" s="272"/>
      <c r="B1352" s="272"/>
      <c r="C1352" s="272"/>
      <c r="D1352" s="272"/>
      <c r="E1352" s="272"/>
    </row>
    <row r="1353" spans="1:5" x14ac:dyDescent="0.2">
      <c r="A1353" s="272"/>
      <c r="B1353" s="272"/>
      <c r="C1353" s="272"/>
      <c r="D1353" s="272"/>
      <c r="E1353" s="272"/>
    </row>
    <row r="1354" spans="1:5" x14ac:dyDescent="0.2">
      <c r="A1354" s="272"/>
      <c r="B1354" s="272"/>
      <c r="C1354" s="272"/>
      <c r="D1354" s="272"/>
      <c r="E1354" s="272"/>
    </row>
    <row r="1355" spans="1:5" x14ac:dyDescent="0.2">
      <c r="A1355" s="272"/>
      <c r="B1355" s="272"/>
      <c r="C1355" s="272"/>
      <c r="D1355" s="272"/>
      <c r="E1355" s="272"/>
    </row>
    <row r="1356" spans="1:5" x14ac:dyDescent="0.2">
      <c r="A1356" s="272"/>
      <c r="B1356" s="272"/>
      <c r="C1356" s="272"/>
      <c r="D1356" s="272"/>
      <c r="E1356" s="272"/>
    </row>
    <row r="1357" spans="1:5" x14ac:dyDescent="0.2">
      <c r="A1357" s="272"/>
      <c r="B1357" s="272"/>
      <c r="C1357" s="272"/>
      <c r="D1357" s="272"/>
      <c r="E1357" s="272"/>
    </row>
    <row r="1358" spans="1:5" x14ac:dyDescent="0.2">
      <c r="A1358" s="272"/>
      <c r="B1358" s="272"/>
      <c r="C1358" s="272"/>
      <c r="D1358" s="272"/>
      <c r="E1358" s="272"/>
    </row>
    <row r="1359" spans="1:5" x14ac:dyDescent="0.2">
      <c r="A1359" s="272"/>
      <c r="B1359" s="272"/>
      <c r="C1359" s="272"/>
      <c r="D1359" s="272"/>
      <c r="E1359" s="272"/>
    </row>
    <row r="1360" spans="1:5" x14ac:dyDescent="0.2">
      <c r="A1360" s="272"/>
      <c r="B1360" s="272"/>
      <c r="C1360" s="272"/>
      <c r="D1360" s="272"/>
      <c r="E1360" s="272"/>
    </row>
    <row r="1361" spans="1:5" x14ac:dyDescent="0.2">
      <c r="A1361" s="272"/>
      <c r="B1361" s="272"/>
      <c r="C1361" s="272"/>
      <c r="D1361" s="272"/>
      <c r="E1361" s="272"/>
    </row>
    <row r="1362" spans="1:5" x14ac:dyDescent="0.2">
      <c r="A1362" s="272"/>
      <c r="B1362" s="272"/>
      <c r="C1362" s="272"/>
      <c r="D1362" s="272"/>
      <c r="E1362" s="272"/>
    </row>
    <row r="1363" spans="1:5" x14ac:dyDescent="0.2">
      <c r="A1363" s="272"/>
      <c r="B1363" s="272"/>
      <c r="C1363" s="272"/>
      <c r="D1363" s="272"/>
      <c r="E1363" s="272"/>
    </row>
    <row r="1364" spans="1:5" x14ac:dyDescent="0.2">
      <c r="A1364" s="272"/>
      <c r="B1364" s="272"/>
      <c r="C1364" s="272"/>
      <c r="D1364" s="272"/>
      <c r="E1364" s="272"/>
    </row>
    <row r="1365" spans="1:5" x14ac:dyDescent="0.2">
      <c r="A1365" s="272"/>
      <c r="B1365" s="272"/>
      <c r="C1365" s="272"/>
      <c r="D1365" s="272"/>
      <c r="E1365" s="272"/>
    </row>
    <row r="1366" spans="1:5" x14ac:dyDescent="0.2">
      <c r="A1366" s="272"/>
      <c r="B1366" s="272"/>
      <c r="C1366" s="272"/>
      <c r="D1366" s="272"/>
      <c r="E1366" s="272"/>
    </row>
    <row r="1367" spans="1:5" x14ac:dyDescent="0.2">
      <c r="A1367" s="272"/>
      <c r="B1367" s="272"/>
      <c r="C1367" s="272"/>
      <c r="D1367" s="272"/>
      <c r="E1367" s="272"/>
    </row>
    <row r="1368" spans="1:5" x14ac:dyDescent="0.2">
      <c r="A1368" s="272"/>
      <c r="B1368" s="272"/>
      <c r="C1368" s="272"/>
      <c r="D1368" s="272"/>
      <c r="E1368" s="272"/>
    </row>
    <row r="1369" spans="1:5" x14ac:dyDescent="0.2">
      <c r="A1369" s="272"/>
      <c r="B1369" s="272"/>
      <c r="C1369" s="272"/>
      <c r="D1369" s="272"/>
      <c r="E1369" s="272"/>
    </row>
    <row r="1370" spans="1:5" x14ac:dyDescent="0.2">
      <c r="A1370" s="272"/>
      <c r="B1370" s="272"/>
      <c r="C1370" s="272"/>
      <c r="D1370" s="272"/>
      <c r="E1370" s="272"/>
    </row>
    <row r="1371" spans="1:5" x14ac:dyDescent="0.2">
      <c r="A1371" s="272"/>
      <c r="B1371" s="272"/>
      <c r="C1371" s="272"/>
      <c r="D1371" s="272"/>
      <c r="E1371" s="272"/>
    </row>
    <row r="1372" spans="1:5" x14ac:dyDescent="0.2">
      <c r="A1372" s="272"/>
      <c r="B1372" s="272"/>
      <c r="C1372" s="272"/>
      <c r="D1372" s="272"/>
      <c r="E1372" s="272"/>
    </row>
    <row r="1373" spans="1:5" x14ac:dyDescent="0.2">
      <c r="A1373" s="272"/>
      <c r="B1373" s="272"/>
      <c r="C1373" s="272"/>
      <c r="D1373" s="272"/>
      <c r="E1373" s="272"/>
    </row>
    <row r="1374" spans="1:5" x14ac:dyDescent="0.2">
      <c r="A1374" s="272"/>
      <c r="B1374" s="272"/>
      <c r="C1374" s="272"/>
      <c r="D1374" s="272"/>
      <c r="E1374" s="272"/>
    </row>
    <row r="1375" spans="1:5" x14ac:dyDescent="0.2">
      <c r="A1375" s="272"/>
      <c r="B1375" s="272"/>
      <c r="C1375" s="272"/>
      <c r="D1375" s="272"/>
      <c r="E1375" s="272"/>
    </row>
    <row r="1376" spans="1:5" x14ac:dyDescent="0.2">
      <c r="A1376" s="272"/>
      <c r="B1376" s="272"/>
      <c r="C1376" s="272"/>
      <c r="D1376" s="272"/>
      <c r="E1376" s="272"/>
    </row>
    <row r="1377" spans="1:5" x14ac:dyDescent="0.2">
      <c r="A1377" s="272"/>
      <c r="B1377" s="272"/>
      <c r="C1377" s="272"/>
      <c r="D1377" s="272"/>
      <c r="E1377" s="272"/>
    </row>
    <row r="1378" spans="1:5" x14ac:dyDescent="0.2">
      <c r="A1378" s="272"/>
      <c r="B1378" s="272"/>
      <c r="C1378" s="272"/>
      <c r="D1378" s="272"/>
      <c r="E1378" s="272"/>
    </row>
    <row r="1379" spans="1:5" x14ac:dyDescent="0.2">
      <c r="A1379" s="272"/>
      <c r="B1379" s="272"/>
      <c r="C1379" s="272"/>
      <c r="D1379" s="272"/>
      <c r="E1379" s="272"/>
    </row>
    <row r="1380" spans="1:5" x14ac:dyDescent="0.2">
      <c r="A1380" s="272"/>
      <c r="B1380" s="272"/>
      <c r="C1380" s="272"/>
      <c r="D1380" s="272"/>
      <c r="E1380" s="272"/>
    </row>
    <row r="1381" spans="1:5" x14ac:dyDescent="0.2">
      <c r="A1381" s="272"/>
      <c r="B1381" s="272"/>
      <c r="C1381" s="272"/>
      <c r="D1381" s="272"/>
      <c r="E1381" s="272"/>
    </row>
    <row r="1382" spans="1:5" x14ac:dyDescent="0.2">
      <c r="A1382" s="272"/>
      <c r="B1382" s="272"/>
      <c r="C1382" s="272"/>
      <c r="D1382" s="272"/>
      <c r="E1382" s="272"/>
    </row>
    <row r="1383" spans="1:5" x14ac:dyDescent="0.2">
      <c r="A1383" s="272"/>
      <c r="B1383" s="272"/>
      <c r="C1383" s="272"/>
      <c r="D1383" s="272"/>
      <c r="E1383" s="272"/>
    </row>
    <row r="1384" spans="1:5" x14ac:dyDescent="0.2">
      <c r="A1384" s="272"/>
      <c r="B1384" s="272"/>
      <c r="C1384" s="272"/>
      <c r="D1384" s="272"/>
      <c r="E1384" s="272"/>
    </row>
    <row r="1385" spans="1:5" x14ac:dyDescent="0.2">
      <c r="A1385" s="272"/>
      <c r="B1385" s="272"/>
      <c r="C1385" s="272"/>
      <c r="D1385" s="272"/>
      <c r="E1385" s="272"/>
    </row>
    <row r="1386" spans="1:5" x14ac:dyDescent="0.2">
      <c r="A1386" s="272"/>
      <c r="B1386" s="272"/>
      <c r="C1386" s="272"/>
      <c r="D1386" s="272"/>
      <c r="E1386" s="272"/>
    </row>
    <row r="1387" spans="1:5" x14ac:dyDescent="0.2">
      <c r="A1387" s="272"/>
      <c r="B1387" s="272"/>
      <c r="C1387" s="272"/>
      <c r="D1387" s="272"/>
      <c r="E1387" s="272"/>
    </row>
    <row r="1388" spans="1:5" x14ac:dyDescent="0.2">
      <c r="A1388" s="272"/>
      <c r="B1388" s="272"/>
      <c r="C1388" s="272"/>
      <c r="D1388" s="272"/>
      <c r="E1388" s="272"/>
    </row>
    <row r="1389" spans="1:5" x14ac:dyDescent="0.2">
      <c r="A1389" s="272"/>
      <c r="B1389" s="272"/>
      <c r="C1389" s="272"/>
      <c r="D1389" s="272"/>
      <c r="E1389" s="272"/>
    </row>
    <row r="1390" spans="1:5" x14ac:dyDescent="0.2">
      <c r="A1390" s="272"/>
      <c r="B1390" s="272"/>
      <c r="C1390" s="272"/>
      <c r="D1390" s="272"/>
      <c r="E1390" s="272"/>
    </row>
    <row r="1391" spans="1:5" x14ac:dyDescent="0.2">
      <c r="A1391" s="272"/>
      <c r="B1391" s="272"/>
      <c r="C1391" s="272"/>
      <c r="D1391" s="272"/>
      <c r="E1391" s="272"/>
    </row>
    <row r="1392" spans="1:5" x14ac:dyDescent="0.2">
      <c r="A1392" s="272"/>
      <c r="B1392" s="272"/>
      <c r="C1392" s="272"/>
      <c r="D1392" s="272"/>
      <c r="E1392" s="272"/>
    </row>
    <row r="1393" spans="1:5" x14ac:dyDescent="0.2">
      <c r="A1393" s="272"/>
      <c r="B1393" s="272"/>
      <c r="C1393" s="272"/>
      <c r="D1393" s="272"/>
      <c r="E1393" s="272"/>
    </row>
    <row r="1394" spans="1:5" x14ac:dyDescent="0.2">
      <c r="A1394" s="272"/>
      <c r="B1394" s="272"/>
      <c r="C1394" s="272"/>
      <c r="D1394" s="272"/>
      <c r="E1394" s="272"/>
    </row>
    <row r="1395" spans="1:5" x14ac:dyDescent="0.2">
      <c r="A1395" s="272"/>
      <c r="B1395" s="272"/>
      <c r="C1395" s="272"/>
      <c r="D1395" s="272"/>
      <c r="E1395" s="272"/>
    </row>
    <row r="1396" spans="1:5" x14ac:dyDescent="0.2">
      <c r="A1396" s="272"/>
      <c r="B1396" s="272"/>
      <c r="C1396" s="272"/>
      <c r="D1396" s="272"/>
      <c r="E1396" s="272"/>
    </row>
    <row r="1397" spans="1:5" x14ac:dyDescent="0.2">
      <c r="A1397" s="272"/>
      <c r="B1397" s="272"/>
      <c r="C1397" s="272"/>
      <c r="D1397" s="272"/>
      <c r="E1397" s="272"/>
    </row>
    <row r="1398" spans="1:5" x14ac:dyDescent="0.2">
      <c r="A1398" s="272"/>
      <c r="B1398" s="272"/>
      <c r="C1398" s="272"/>
      <c r="D1398" s="272"/>
      <c r="E1398" s="272"/>
    </row>
    <row r="1399" spans="1:5" x14ac:dyDescent="0.2">
      <c r="A1399" s="272"/>
      <c r="B1399" s="272"/>
      <c r="C1399" s="272"/>
      <c r="D1399" s="272"/>
      <c r="E1399" s="272"/>
    </row>
    <row r="1400" spans="1:5" x14ac:dyDescent="0.2">
      <c r="A1400" s="272"/>
      <c r="B1400" s="272"/>
      <c r="C1400" s="272"/>
      <c r="D1400" s="272"/>
      <c r="E1400" s="272"/>
    </row>
    <row r="1401" spans="1:5" x14ac:dyDescent="0.2">
      <c r="A1401" s="272"/>
      <c r="B1401" s="272"/>
      <c r="C1401" s="272"/>
      <c r="D1401" s="272"/>
      <c r="E1401" s="272"/>
    </row>
    <row r="1402" spans="1:5" x14ac:dyDescent="0.2">
      <c r="A1402" s="272"/>
      <c r="B1402" s="272"/>
      <c r="C1402" s="272"/>
      <c r="D1402" s="272"/>
      <c r="E1402" s="272"/>
    </row>
    <row r="1403" spans="1:5" x14ac:dyDescent="0.2">
      <c r="A1403" s="272"/>
      <c r="B1403" s="272"/>
      <c r="C1403" s="272"/>
      <c r="D1403" s="272"/>
      <c r="E1403" s="272"/>
    </row>
    <row r="1404" spans="1:5" x14ac:dyDescent="0.2">
      <c r="A1404" s="272"/>
      <c r="B1404" s="272"/>
      <c r="C1404" s="272"/>
      <c r="D1404" s="272"/>
      <c r="E1404" s="272"/>
    </row>
    <row r="1405" spans="1:5" x14ac:dyDescent="0.2">
      <c r="A1405" s="272"/>
      <c r="B1405" s="272"/>
      <c r="C1405" s="272"/>
      <c r="D1405" s="272"/>
      <c r="E1405" s="272"/>
    </row>
    <row r="1406" spans="1:5" x14ac:dyDescent="0.2">
      <c r="A1406" s="272"/>
      <c r="B1406" s="272"/>
      <c r="C1406" s="272"/>
      <c r="D1406" s="272"/>
      <c r="E1406" s="272"/>
    </row>
    <row r="1407" spans="1:5" x14ac:dyDescent="0.2">
      <c r="A1407" s="272"/>
      <c r="B1407" s="272"/>
      <c r="C1407" s="272"/>
      <c r="D1407" s="272"/>
      <c r="E1407" s="272"/>
    </row>
    <row r="1408" spans="1:5" x14ac:dyDescent="0.2">
      <c r="A1408" s="272"/>
      <c r="B1408" s="272"/>
      <c r="C1408" s="272"/>
      <c r="D1408" s="272"/>
      <c r="E1408" s="272"/>
    </row>
    <row r="1409" spans="1:5" x14ac:dyDescent="0.2">
      <c r="A1409" s="272"/>
      <c r="B1409" s="272"/>
      <c r="C1409" s="272"/>
      <c r="D1409" s="272"/>
      <c r="E1409" s="272"/>
    </row>
    <row r="1410" spans="1:5" x14ac:dyDescent="0.2">
      <c r="A1410" s="272"/>
      <c r="B1410" s="272"/>
      <c r="C1410" s="272"/>
      <c r="D1410" s="272"/>
      <c r="E1410" s="272"/>
    </row>
    <row r="1411" spans="1:5" x14ac:dyDescent="0.2">
      <c r="A1411" s="272"/>
      <c r="B1411" s="272"/>
      <c r="C1411" s="272"/>
      <c r="D1411" s="272"/>
      <c r="E1411" s="272"/>
    </row>
    <row r="1412" spans="1:5" x14ac:dyDescent="0.2">
      <c r="A1412" s="272"/>
      <c r="B1412" s="272"/>
      <c r="C1412" s="272"/>
      <c r="D1412" s="272"/>
      <c r="E1412" s="272"/>
    </row>
    <row r="1413" spans="1:5" x14ac:dyDescent="0.2">
      <c r="A1413" s="272"/>
      <c r="B1413" s="272"/>
      <c r="C1413" s="272"/>
      <c r="D1413" s="272"/>
      <c r="E1413" s="272"/>
    </row>
    <row r="1414" spans="1:5" x14ac:dyDescent="0.2">
      <c r="A1414" s="272"/>
      <c r="B1414" s="272"/>
      <c r="C1414" s="272"/>
      <c r="D1414" s="272"/>
      <c r="E1414" s="272"/>
    </row>
    <row r="1415" spans="1:5" x14ac:dyDescent="0.2">
      <c r="A1415" s="272"/>
      <c r="B1415" s="272"/>
      <c r="C1415" s="272"/>
      <c r="D1415" s="272"/>
      <c r="E1415" s="272"/>
    </row>
    <row r="1416" spans="1:5" x14ac:dyDescent="0.2">
      <c r="A1416" s="272"/>
      <c r="B1416" s="272"/>
      <c r="C1416" s="272"/>
      <c r="D1416" s="272"/>
      <c r="E1416" s="272"/>
    </row>
    <row r="1417" spans="1:5" x14ac:dyDescent="0.2">
      <c r="A1417" s="272"/>
      <c r="B1417" s="272"/>
      <c r="C1417" s="272"/>
      <c r="D1417" s="272"/>
      <c r="E1417" s="272"/>
    </row>
    <row r="1418" spans="1:5" x14ac:dyDescent="0.2">
      <c r="A1418" s="272"/>
      <c r="B1418" s="272"/>
      <c r="C1418" s="272"/>
      <c r="D1418" s="272"/>
      <c r="E1418" s="272"/>
    </row>
    <row r="1419" spans="1:5" x14ac:dyDescent="0.2">
      <c r="A1419" s="272"/>
      <c r="B1419" s="272"/>
      <c r="C1419" s="272"/>
      <c r="D1419" s="272"/>
      <c r="E1419" s="272"/>
    </row>
    <row r="1420" spans="1:5" x14ac:dyDescent="0.2">
      <c r="A1420" s="272"/>
      <c r="B1420" s="272"/>
      <c r="C1420" s="272"/>
      <c r="D1420" s="272"/>
      <c r="E1420" s="272"/>
    </row>
    <row r="1421" spans="1:5" x14ac:dyDescent="0.2">
      <c r="A1421" s="272"/>
      <c r="B1421" s="272"/>
      <c r="C1421" s="272"/>
      <c r="D1421" s="272"/>
      <c r="E1421" s="272"/>
    </row>
    <row r="1422" spans="1:5" x14ac:dyDescent="0.2">
      <c r="A1422" s="272"/>
      <c r="B1422" s="272"/>
      <c r="C1422" s="272"/>
      <c r="D1422" s="272"/>
      <c r="E1422" s="272"/>
    </row>
    <row r="1423" spans="1:5" x14ac:dyDescent="0.2">
      <c r="A1423" s="272"/>
      <c r="B1423" s="272"/>
      <c r="C1423" s="272"/>
      <c r="D1423" s="272"/>
      <c r="E1423" s="272"/>
    </row>
    <row r="1424" spans="1:5" x14ac:dyDescent="0.2">
      <c r="A1424" s="272"/>
      <c r="B1424" s="272"/>
      <c r="C1424" s="272"/>
      <c r="D1424" s="272"/>
      <c r="E1424" s="272"/>
    </row>
    <row r="1425" spans="1:5" x14ac:dyDescent="0.2">
      <c r="A1425" s="272"/>
      <c r="B1425" s="272"/>
      <c r="C1425" s="272"/>
      <c r="D1425" s="272"/>
      <c r="E1425" s="272"/>
    </row>
    <row r="1426" spans="1:5" x14ac:dyDescent="0.2">
      <c r="A1426" s="272"/>
      <c r="B1426" s="272"/>
      <c r="C1426" s="272"/>
      <c r="D1426" s="272"/>
      <c r="E1426" s="272"/>
    </row>
    <row r="1427" spans="1:5" x14ac:dyDescent="0.2">
      <c r="A1427" s="272"/>
      <c r="B1427" s="272"/>
      <c r="C1427" s="272"/>
      <c r="D1427" s="272"/>
      <c r="E1427" s="272"/>
    </row>
    <row r="1428" spans="1:5" x14ac:dyDescent="0.2">
      <c r="A1428" s="272"/>
      <c r="B1428" s="272"/>
      <c r="C1428" s="272"/>
      <c r="D1428" s="272"/>
      <c r="E1428" s="272"/>
    </row>
    <row r="1429" spans="1:5" x14ac:dyDescent="0.2">
      <c r="A1429" s="272"/>
      <c r="B1429" s="272"/>
      <c r="C1429" s="272"/>
      <c r="D1429" s="272"/>
      <c r="E1429" s="272"/>
    </row>
    <row r="1430" spans="1:5" x14ac:dyDescent="0.2">
      <c r="A1430" s="272"/>
      <c r="B1430" s="272"/>
      <c r="C1430" s="272"/>
      <c r="D1430" s="272"/>
      <c r="E1430" s="272"/>
    </row>
    <row r="1431" spans="1:5" x14ac:dyDescent="0.2">
      <c r="A1431" s="272"/>
      <c r="B1431" s="272"/>
      <c r="C1431" s="272"/>
      <c r="D1431" s="272"/>
      <c r="E1431" s="272"/>
    </row>
    <row r="1432" spans="1:5" x14ac:dyDescent="0.2">
      <c r="A1432" s="272"/>
      <c r="B1432" s="272"/>
      <c r="C1432" s="272"/>
      <c r="D1432" s="272"/>
      <c r="E1432" s="272"/>
    </row>
    <row r="1433" spans="1:5" x14ac:dyDescent="0.2">
      <c r="A1433" s="272"/>
      <c r="B1433" s="272"/>
      <c r="C1433" s="272"/>
      <c r="D1433" s="272"/>
      <c r="E1433" s="272"/>
    </row>
    <row r="1434" spans="1:5" x14ac:dyDescent="0.2">
      <c r="A1434" s="272"/>
      <c r="B1434" s="272"/>
      <c r="C1434" s="272"/>
      <c r="D1434" s="272"/>
      <c r="E1434" s="272"/>
    </row>
    <row r="1435" spans="1:5" x14ac:dyDescent="0.2">
      <c r="A1435" s="272"/>
      <c r="B1435" s="272"/>
      <c r="C1435" s="272"/>
      <c r="D1435" s="272"/>
      <c r="E1435" s="272"/>
    </row>
    <row r="1436" spans="1:5" x14ac:dyDescent="0.2">
      <c r="A1436" s="272"/>
      <c r="B1436" s="272"/>
      <c r="C1436" s="272"/>
      <c r="D1436" s="272"/>
      <c r="E1436" s="272"/>
    </row>
    <row r="1437" spans="1:5" x14ac:dyDescent="0.2">
      <c r="A1437" s="272"/>
      <c r="B1437" s="272"/>
      <c r="C1437" s="272"/>
      <c r="D1437" s="272"/>
      <c r="E1437" s="272"/>
    </row>
    <row r="1438" spans="1:5" x14ac:dyDescent="0.2">
      <c r="A1438" s="272"/>
      <c r="B1438" s="272"/>
      <c r="C1438" s="272"/>
      <c r="D1438" s="272"/>
      <c r="E1438" s="272"/>
    </row>
    <row r="1439" spans="1:5" x14ac:dyDescent="0.2">
      <c r="A1439" s="272"/>
      <c r="B1439" s="272"/>
      <c r="C1439" s="272"/>
      <c r="D1439" s="272"/>
      <c r="E1439" s="272"/>
    </row>
    <row r="1440" spans="1:5" x14ac:dyDescent="0.2">
      <c r="A1440" s="272"/>
      <c r="B1440" s="272"/>
      <c r="C1440" s="272"/>
      <c r="D1440" s="272"/>
      <c r="E1440" s="272"/>
    </row>
    <row r="1441" spans="1:5" x14ac:dyDescent="0.2">
      <c r="A1441" s="272"/>
      <c r="B1441" s="272"/>
      <c r="C1441" s="272"/>
      <c r="D1441" s="272"/>
      <c r="E1441" s="272"/>
    </row>
    <row r="1442" spans="1:5" x14ac:dyDescent="0.2">
      <c r="A1442" s="272"/>
      <c r="B1442" s="272"/>
      <c r="C1442" s="272"/>
      <c r="D1442" s="272"/>
      <c r="E1442" s="272"/>
    </row>
    <row r="1443" spans="1:5" x14ac:dyDescent="0.2">
      <c r="A1443" s="272"/>
      <c r="B1443" s="272"/>
      <c r="C1443" s="272"/>
      <c r="D1443" s="272"/>
      <c r="E1443" s="272"/>
    </row>
    <row r="1444" spans="1:5" x14ac:dyDescent="0.2">
      <c r="A1444" s="272"/>
      <c r="B1444" s="272"/>
      <c r="C1444" s="272"/>
      <c r="D1444" s="272"/>
      <c r="E1444" s="272"/>
    </row>
    <row r="1445" spans="1:5" x14ac:dyDescent="0.2">
      <c r="A1445" s="272"/>
      <c r="B1445" s="272"/>
      <c r="C1445" s="272"/>
      <c r="D1445" s="272"/>
      <c r="E1445" s="272"/>
    </row>
    <row r="1446" spans="1:5" x14ac:dyDescent="0.2">
      <c r="A1446" s="272"/>
      <c r="B1446" s="272"/>
      <c r="C1446" s="272"/>
      <c r="D1446" s="272"/>
      <c r="E1446" s="272"/>
    </row>
    <row r="1447" spans="1:5" x14ac:dyDescent="0.2">
      <c r="A1447" s="272"/>
      <c r="B1447" s="272"/>
      <c r="C1447" s="272"/>
      <c r="D1447" s="272"/>
      <c r="E1447" s="272"/>
    </row>
    <row r="1448" spans="1:5" x14ac:dyDescent="0.2">
      <c r="A1448" s="272"/>
      <c r="B1448" s="272"/>
      <c r="C1448" s="272"/>
      <c r="D1448" s="272"/>
      <c r="E1448" s="272"/>
    </row>
    <row r="1449" spans="1:5" x14ac:dyDescent="0.2">
      <c r="A1449" s="272"/>
      <c r="B1449" s="272"/>
      <c r="C1449" s="272"/>
      <c r="D1449" s="272"/>
      <c r="E1449" s="272"/>
    </row>
    <row r="1450" spans="1:5" x14ac:dyDescent="0.2">
      <c r="A1450" s="272"/>
      <c r="B1450" s="272"/>
      <c r="C1450" s="272"/>
      <c r="D1450" s="272"/>
      <c r="E1450" s="272"/>
    </row>
    <row r="1451" spans="1:5" x14ac:dyDescent="0.2">
      <c r="A1451" s="272"/>
      <c r="B1451" s="272"/>
      <c r="C1451" s="272"/>
      <c r="D1451" s="272"/>
      <c r="E1451" s="272"/>
    </row>
    <row r="1452" spans="1:5" x14ac:dyDescent="0.2">
      <c r="A1452" s="272"/>
      <c r="B1452" s="272"/>
      <c r="C1452" s="272"/>
      <c r="D1452" s="272"/>
      <c r="E1452" s="272"/>
    </row>
    <row r="1453" spans="1:5" x14ac:dyDescent="0.2">
      <c r="A1453" s="272"/>
      <c r="B1453" s="272"/>
      <c r="C1453" s="272"/>
      <c r="D1453" s="272"/>
      <c r="E1453" s="272"/>
    </row>
    <row r="1454" spans="1:5" x14ac:dyDescent="0.2">
      <c r="A1454" s="272"/>
      <c r="B1454" s="272"/>
      <c r="C1454" s="272"/>
      <c r="D1454" s="272"/>
      <c r="E1454" s="272"/>
    </row>
    <row r="1455" spans="1:5" x14ac:dyDescent="0.2">
      <c r="A1455" s="272"/>
      <c r="B1455" s="272"/>
      <c r="C1455" s="272"/>
      <c r="D1455" s="272"/>
      <c r="E1455" s="272"/>
    </row>
    <row r="1456" spans="1:5" x14ac:dyDescent="0.2">
      <c r="A1456" s="272"/>
      <c r="B1456" s="272"/>
      <c r="C1456" s="272"/>
      <c r="D1456" s="272"/>
      <c r="E1456" s="272"/>
    </row>
    <row r="1457" spans="1:5" x14ac:dyDescent="0.2">
      <c r="A1457" s="272"/>
      <c r="B1457" s="272"/>
      <c r="C1457" s="272"/>
      <c r="D1457" s="272"/>
      <c r="E1457" s="272"/>
    </row>
    <row r="1458" spans="1:5" x14ac:dyDescent="0.2">
      <c r="A1458" s="272"/>
      <c r="B1458" s="272"/>
      <c r="C1458" s="272"/>
      <c r="D1458" s="272"/>
      <c r="E1458" s="272"/>
    </row>
    <row r="1459" spans="1:5" x14ac:dyDescent="0.2">
      <c r="A1459" s="272"/>
      <c r="B1459" s="272"/>
      <c r="C1459" s="272"/>
      <c r="D1459" s="272"/>
      <c r="E1459" s="272"/>
    </row>
    <row r="1460" spans="1:5" x14ac:dyDescent="0.2">
      <c r="A1460" s="272"/>
      <c r="B1460" s="272"/>
      <c r="C1460" s="272"/>
      <c r="D1460" s="272"/>
      <c r="E1460" s="272"/>
    </row>
    <row r="1461" spans="1:5" x14ac:dyDescent="0.2">
      <c r="A1461" s="272"/>
      <c r="B1461" s="272"/>
      <c r="C1461" s="272"/>
      <c r="D1461" s="272"/>
      <c r="E1461" s="272"/>
    </row>
    <row r="1462" spans="1:5" x14ac:dyDescent="0.2">
      <c r="A1462" s="272"/>
      <c r="B1462" s="272"/>
      <c r="C1462" s="272"/>
      <c r="D1462" s="272"/>
      <c r="E1462" s="272"/>
    </row>
    <row r="1463" spans="1:5" x14ac:dyDescent="0.2">
      <c r="A1463" s="272"/>
      <c r="B1463" s="272"/>
      <c r="C1463" s="272"/>
      <c r="D1463" s="272"/>
      <c r="E1463" s="272"/>
    </row>
    <row r="1464" spans="1:5" x14ac:dyDescent="0.2">
      <c r="A1464" s="272"/>
      <c r="B1464" s="272"/>
      <c r="C1464" s="272"/>
      <c r="D1464" s="272"/>
      <c r="E1464" s="272"/>
    </row>
    <row r="1465" spans="1:5" x14ac:dyDescent="0.2">
      <c r="A1465" s="272"/>
      <c r="B1465" s="272"/>
      <c r="C1465" s="272"/>
      <c r="D1465" s="272"/>
      <c r="E1465" s="272"/>
    </row>
    <row r="1466" spans="1:5" x14ac:dyDescent="0.2">
      <c r="A1466" s="272"/>
      <c r="B1466" s="272"/>
      <c r="C1466" s="272"/>
      <c r="D1466" s="272"/>
      <c r="E1466" s="272"/>
    </row>
    <row r="1467" spans="1:5" x14ac:dyDescent="0.2">
      <c r="A1467" s="272"/>
      <c r="B1467" s="272"/>
      <c r="C1467" s="272"/>
      <c r="D1467" s="272"/>
      <c r="E1467" s="272"/>
    </row>
    <row r="1468" spans="1:5" x14ac:dyDescent="0.2">
      <c r="A1468" s="272"/>
      <c r="B1468" s="272"/>
      <c r="C1468" s="272"/>
      <c r="D1468" s="272"/>
      <c r="E1468" s="272"/>
    </row>
    <row r="1469" spans="1:5" x14ac:dyDescent="0.2">
      <c r="A1469" s="272"/>
      <c r="B1469" s="272"/>
      <c r="C1469" s="272"/>
      <c r="D1469" s="272"/>
      <c r="E1469" s="272"/>
    </row>
    <row r="1470" spans="1:5" x14ac:dyDescent="0.2">
      <c r="A1470" s="272"/>
      <c r="B1470" s="272"/>
      <c r="C1470" s="272"/>
      <c r="D1470" s="272"/>
      <c r="E1470" s="272"/>
    </row>
    <row r="1471" spans="1:5" x14ac:dyDescent="0.2">
      <c r="A1471" s="272"/>
      <c r="B1471" s="272"/>
      <c r="C1471" s="272"/>
      <c r="D1471" s="272"/>
      <c r="E1471" s="272"/>
    </row>
    <row r="1472" spans="1:5" x14ac:dyDescent="0.2">
      <c r="A1472" s="272"/>
      <c r="B1472" s="272"/>
      <c r="C1472" s="272"/>
      <c r="D1472" s="272"/>
      <c r="E1472" s="272"/>
    </row>
    <row r="1473" spans="1:5" x14ac:dyDescent="0.2">
      <c r="A1473" s="272"/>
      <c r="B1473" s="272"/>
      <c r="C1473" s="272"/>
      <c r="D1473" s="272"/>
      <c r="E1473" s="272"/>
    </row>
    <row r="1474" spans="1:5" x14ac:dyDescent="0.2">
      <c r="A1474" s="272"/>
      <c r="B1474" s="272"/>
      <c r="C1474" s="272"/>
      <c r="D1474" s="272"/>
      <c r="E1474" s="272"/>
    </row>
    <row r="1475" spans="1:5" x14ac:dyDescent="0.2">
      <c r="A1475" s="272"/>
      <c r="B1475" s="272"/>
      <c r="C1475" s="272"/>
      <c r="D1475" s="272"/>
      <c r="E1475" s="272"/>
    </row>
    <row r="1476" spans="1:5" x14ac:dyDescent="0.2">
      <c r="A1476" s="272"/>
      <c r="B1476" s="272"/>
      <c r="C1476" s="272"/>
      <c r="D1476" s="272"/>
      <c r="E1476" s="272"/>
    </row>
    <row r="1477" spans="1:5" x14ac:dyDescent="0.2">
      <c r="A1477" s="272"/>
      <c r="B1477" s="272"/>
      <c r="C1477" s="272"/>
      <c r="D1477" s="272"/>
      <c r="E1477" s="272"/>
    </row>
    <row r="1478" spans="1:5" x14ac:dyDescent="0.2">
      <c r="A1478" s="272"/>
      <c r="B1478" s="272"/>
      <c r="C1478" s="272"/>
      <c r="D1478" s="272"/>
      <c r="E1478" s="272"/>
    </row>
    <row r="1479" spans="1:5" x14ac:dyDescent="0.2">
      <c r="A1479" s="272"/>
      <c r="B1479" s="272"/>
      <c r="C1479" s="272"/>
      <c r="D1479" s="272"/>
      <c r="E1479" s="272"/>
    </row>
    <row r="1480" spans="1:5" x14ac:dyDescent="0.2">
      <c r="A1480" s="272"/>
      <c r="B1480" s="272"/>
      <c r="C1480" s="272"/>
      <c r="D1480" s="272"/>
      <c r="E1480" s="272"/>
    </row>
    <row r="1481" spans="1:5" x14ac:dyDescent="0.2">
      <c r="A1481" s="272"/>
      <c r="B1481" s="272"/>
      <c r="C1481" s="272"/>
      <c r="D1481" s="272"/>
      <c r="E1481" s="272"/>
    </row>
    <row r="1482" spans="1:5" x14ac:dyDescent="0.2">
      <c r="A1482" s="272"/>
      <c r="B1482" s="272"/>
      <c r="C1482" s="272"/>
      <c r="D1482" s="272"/>
      <c r="E1482" s="272"/>
    </row>
    <row r="1483" spans="1:5" x14ac:dyDescent="0.2">
      <c r="A1483" s="272"/>
      <c r="B1483" s="272"/>
      <c r="C1483" s="272"/>
      <c r="D1483" s="272"/>
      <c r="E1483" s="272"/>
    </row>
    <row r="1484" spans="1:5" x14ac:dyDescent="0.2">
      <c r="A1484" s="272"/>
      <c r="B1484" s="272"/>
      <c r="C1484" s="272"/>
      <c r="D1484" s="272"/>
      <c r="E1484" s="272"/>
    </row>
    <row r="1485" spans="1:5" x14ac:dyDescent="0.2">
      <c r="A1485" s="272"/>
      <c r="B1485" s="272"/>
      <c r="C1485" s="272"/>
      <c r="D1485" s="272"/>
      <c r="E1485" s="272"/>
    </row>
    <row r="1486" spans="1:5" x14ac:dyDescent="0.2">
      <c r="A1486" s="272"/>
      <c r="B1486" s="272"/>
      <c r="C1486" s="272"/>
      <c r="D1486" s="272"/>
      <c r="E1486" s="272"/>
    </row>
    <row r="1487" spans="1:5" x14ac:dyDescent="0.2">
      <c r="A1487" s="272"/>
      <c r="B1487" s="272"/>
      <c r="C1487" s="272"/>
      <c r="D1487" s="272"/>
      <c r="E1487" s="272"/>
    </row>
    <row r="1488" spans="1:5" x14ac:dyDescent="0.2">
      <c r="A1488" s="272"/>
      <c r="B1488" s="272"/>
      <c r="C1488" s="272"/>
      <c r="D1488" s="272"/>
      <c r="E1488" s="272"/>
    </row>
    <row r="1489" spans="1:5" x14ac:dyDescent="0.2">
      <c r="A1489" s="272"/>
      <c r="B1489" s="272"/>
      <c r="C1489" s="272"/>
      <c r="D1489" s="272"/>
      <c r="E1489" s="272"/>
    </row>
    <row r="1490" spans="1:5" x14ac:dyDescent="0.2">
      <c r="A1490" s="272"/>
      <c r="B1490" s="272"/>
      <c r="C1490" s="272"/>
      <c r="D1490" s="272"/>
      <c r="E1490" s="272"/>
    </row>
    <row r="1491" spans="1:5" x14ac:dyDescent="0.2">
      <c r="A1491" s="272"/>
      <c r="B1491" s="272"/>
      <c r="C1491" s="272"/>
      <c r="D1491" s="272"/>
      <c r="E1491" s="272"/>
    </row>
    <row r="1492" spans="1:5" x14ac:dyDescent="0.2">
      <c r="A1492" s="272"/>
      <c r="B1492" s="272"/>
      <c r="C1492" s="272"/>
      <c r="D1492" s="272"/>
      <c r="E1492" s="272"/>
    </row>
    <row r="1493" spans="1:5" x14ac:dyDescent="0.2">
      <c r="A1493" s="272"/>
      <c r="B1493" s="272"/>
      <c r="C1493" s="272"/>
      <c r="D1493" s="272"/>
      <c r="E1493" s="272"/>
    </row>
    <row r="1494" spans="1:5" x14ac:dyDescent="0.2">
      <c r="A1494" s="272"/>
      <c r="B1494" s="272"/>
      <c r="C1494" s="272"/>
      <c r="D1494" s="272"/>
      <c r="E1494" s="272"/>
    </row>
    <row r="1495" spans="1:5" x14ac:dyDescent="0.2">
      <c r="A1495" s="272"/>
      <c r="B1495" s="272"/>
      <c r="C1495" s="272"/>
      <c r="D1495" s="272"/>
      <c r="E1495" s="272"/>
    </row>
    <row r="1496" spans="1:5" x14ac:dyDescent="0.2">
      <c r="A1496" s="272"/>
      <c r="B1496" s="272"/>
      <c r="C1496" s="272"/>
      <c r="D1496" s="272"/>
      <c r="E1496" s="272"/>
    </row>
    <row r="1497" spans="1:5" x14ac:dyDescent="0.2">
      <c r="A1497" s="272"/>
      <c r="B1497" s="272"/>
      <c r="C1497" s="272"/>
      <c r="D1497" s="272"/>
      <c r="E1497" s="272"/>
    </row>
    <row r="1498" spans="1:5" x14ac:dyDescent="0.2">
      <c r="A1498" s="272"/>
      <c r="B1498" s="272"/>
      <c r="C1498" s="272"/>
      <c r="D1498" s="272"/>
      <c r="E1498" s="272"/>
    </row>
    <row r="1499" spans="1:5" x14ac:dyDescent="0.2">
      <c r="A1499" s="272"/>
      <c r="B1499" s="272"/>
      <c r="C1499" s="272"/>
      <c r="D1499" s="272"/>
      <c r="E1499" s="272"/>
    </row>
    <row r="1500" spans="1:5" x14ac:dyDescent="0.2">
      <c r="A1500" s="272"/>
      <c r="B1500" s="272"/>
      <c r="C1500" s="272"/>
      <c r="D1500" s="272"/>
      <c r="E1500" s="272"/>
    </row>
    <row r="1501" spans="1:5" x14ac:dyDescent="0.2">
      <c r="A1501" s="272"/>
      <c r="B1501" s="272"/>
      <c r="C1501" s="272"/>
      <c r="D1501" s="272"/>
      <c r="E1501" s="272"/>
    </row>
    <row r="1502" spans="1:5" x14ac:dyDescent="0.2">
      <c r="A1502" s="272"/>
      <c r="B1502" s="272"/>
      <c r="C1502" s="272"/>
      <c r="D1502" s="272"/>
      <c r="E1502" s="272"/>
    </row>
    <row r="1503" spans="1:5" x14ac:dyDescent="0.2">
      <c r="A1503" s="272"/>
      <c r="B1503" s="272"/>
      <c r="C1503" s="272"/>
      <c r="D1503" s="272"/>
      <c r="E1503" s="272"/>
    </row>
    <row r="1504" spans="1:5" x14ac:dyDescent="0.2">
      <c r="A1504" s="272"/>
      <c r="B1504" s="272"/>
      <c r="C1504" s="272"/>
      <c r="D1504" s="272"/>
      <c r="E1504" s="272"/>
    </row>
    <row r="1505" spans="1:5" x14ac:dyDescent="0.2">
      <c r="A1505" s="272"/>
      <c r="B1505" s="272"/>
      <c r="C1505" s="272"/>
      <c r="D1505" s="272"/>
      <c r="E1505" s="272"/>
    </row>
    <row r="1506" spans="1:5" x14ac:dyDescent="0.2">
      <c r="A1506" s="272"/>
      <c r="B1506" s="272"/>
      <c r="C1506" s="272"/>
      <c r="D1506" s="272"/>
      <c r="E1506" s="272"/>
    </row>
    <row r="1507" spans="1:5" x14ac:dyDescent="0.2">
      <c r="A1507" s="272"/>
      <c r="B1507" s="272"/>
      <c r="C1507" s="272"/>
      <c r="D1507" s="272"/>
      <c r="E1507" s="272"/>
    </row>
    <row r="1508" spans="1:5" x14ac:dyDescent="0.2">
      <c r="A1508" s="272"/>
      <c r="B1508" s="272"/>
      <c r="C1508" s="272"/>
      <c r="D1508" s="272"/>
      <c r="E1508" s="272"/>
    </row>
    <row r="1509" spans="1:5" x14ac:dyDescent="0.2">
      <c r="A1509" s="272"/>
      <c r="B1509" s="272"/>
      <c r="C1509" s="272"/>
      <c r="D1509" s="272"/>
      <c r="E1509" s="272"/>
    </row>
    <row r="1510" spans="1:5" x14ac:dyDescent="0.2">
      <c r="A1510" s="272"/>
      <c r="B1510" s="272"/>
      <c r="C1510" s="272"/>
      <c r="D1510" s="272"/>
      <c r="E1510" s="272"/>
    </row>
    <row r="1511" spans="1:5" x14ac:dyDescent="0.2">
      <c r="A1511" s="272"/>
      <c r="B1511" s="272"/>
      <c r="C1511" s="272"/>
      <c r="D1511" s="272"/>
      <c r="E1511" s="272"/>
    </row>
    <row r="1512" spans="1:5" x14ac:dyDescent="0.2">
      <c r="A1512" s="272"/>
      <c r="B1512" s="272"/>
      <c r="C1512" s="272"/>
      <c r="D1512" s="272"/>
      <c r="E1512" s="272"/>
    </row>
    <row r="1513" spans="1:5" x14ac:dyDescent="0.2">
      <c r="A1513" s="272"/>
      <c r="B1513" s="272"/>
      <c r="C1513" s="272"/>
      <c r="D1513" s="272"/>
      <c r="E1513" s="272"/>
    </row>
    <row r="1514" spans="1:5" x14ac:dyDescent="0.2">
      <c r="A1514" s="272"/>
      <c r="B1514" s="272"/>
      <c r="C1514" s="272"/>
      <c r="D1514" s="272"/>
      <c r="E1514" s="272"/>
    </row>
    <row r="1515" spans="1:5" x14ac:dyDescent="0.2">
      <c r="A1515" s="272"/>
      <c r="B1515" s="272"/>
      <c r="C1515" s="272"/>
      <c r="D1515" s="272"/>
      <c r="E1515" s="272"/>
    </row>
    <row r="1516" spans="1:5" x14ac:dyDescent="0.2">
      <c r="A1516" s="272"/>
      <c r="B1516" s="272"/>
      <c r="C1516" s="272"/>
      <c r="D1516" s="272"/>
      <c r="E1516" s="272"/>
    </row>
    <row r="1517" spans="1:5" x14ac:dyDescent="0.2">
      <c r="A1517" s="272"/>
      <c r="B1517" s="272"/>
      <c r="C1517" s="272"/>
      <c r="D1517" s="272"/>
      <c r="E1517" s="272"/>
    </row>
    <row r="1518" spans="1:5" x14ac:dyDescent="0.2">
      <c r="A1518" s="272"/>
      <c r="B1518" s="272"/>
      <c r="C1518" s="272"/>
      <c r="D1518" s="272"/>
      <c r="E1518" s="272"/>
    </row>
    <row r="1519" spans="1:5" x14ac:dyDescent="0.2">
      <c r="A1519" s="272"/>
      <c r="B1519" s="272"/>
      <c r="C1519" s="272"/>
      <c r="D1519" s="272"/>
      <c r="E1519" s="272"/>
    </row>
    <row r="1520" spans="1:5" x14ac:dyDescent="0.2">
      <c r="A1520" s="272"/>
      <c r="B1520" s="272"/>
      <c r="C1520" s="272"/>
      <c r="D1520" s="272"/>
      <c r="E1520" s="272"/>
    </row>
    <row r="1521" spans="1:5" x14ac:dyDescent="0.2">
      <c r="A1521" s="272"/>
      <c r="B1521" s="272"/>
      <c r="C1521" s="272"/>
      <c r="D1521" s="272"/>
      <c r="E1521" s="272"/>
    </row>
    <row r="1522" spans="1:5" x14ac:dyDescent="0.2">
      <c r="A1522" s="272"/>
      <c r="B1522" s="272"/>
      <c r="C1522" s="272"/>
      <c r="D1522" s="272"/>
      <c r="E1522" s="272"/>
    </row>
    <row r="1523" spans="1:5" x14ac:dyDescent="0.2">
      <c r="A1523" s="272"/>
      <c r="B1523" s="272"/>
      <c r="C1523" s="272"/>
      <c r="D1523" s="272"/>
      <c r="E1523" s="272"/>
    </row>
    <row r="1524" spans="1:5" x14ac:dyDescent="0.2">
      <c r="A1524" s="272"/>
      <c r="B1524" s="272"/>
      <c r="C1524" s="272"/>
      <c r="D1524" s="272"/>
      <c r="E1524" s="272"/>
    </row>
    <row r="1525" spans="1:5" x14ac:dyDescent="0.2">
      <c r="A1525" s="272"/>
      <c r="B1525" s="272"/>
      <c r="C1525" s="272"/>
      <c r="D1525" s="272"/>
      <c r="E1525" s="272"/>
    </row>
    <row r="1526" spans="1:5" x14ac:dyDescent="0.2">
      <c r="A1526" s="272"/>
      <c r="B1526" s="272"/>
      <c r="C1526" s="272"/>
      <c r="D1526" s="272"/>
      <c r="E1526" s="272"/>
    </row>
    <row r="1527" spans="1:5" x14ac:dyDescent="0.2">
      <c r="A1527" s="272"/>
      <c r="B1527" s="272"/>
      <c r="C1527" s="272"/>
      <c r="D1527" s="272"/>
      <c r="E1527" s="272"/>
    </row>
    <row r="1528" spans="1:5" x14ac:dyDescent="0.2">
      <c r="A1528" s="272"/>
      <c r="B1528" s="272"/>
      <c r="C1528" s="272"/>
      <c r="D1528" s="272"/>
      <c r="E1528" s="272"/>
    </row>
    <row r="1529" spans="1:5" x14ac:dyDescent="0.2">
      <c r="A1529" s="272"/>
      <c r="B1529" s="272"/>
      <c r="C1529" s="272"/>
      <c r="D1529" s="272"/>
      <c r="E1529" s="272"/>
    </row>
    <row r="1530" spans="1:5" x14ac:dyDescent="0.2">
      <c r="A1530" s="272"/>
      <c r="B1530" s="272"/>
      <c r="C1530" s="272"/>
      <c r="D1530" s="272"/>
      <c r="E1530" s="272"/>
    </row>
    <row r="1531" spans="1:5" x14ac:dyDescent="0.2">
      <c r="A1531" s="272"/>
      <c r="B1531" s="272"/>
      <c r="C1531" s="272"/>
      <c r="D1531" s="272"/>
      <c r="E1531" s="272"/>
    </row>
    <row r="1532" spans="1:5" x14ac:dyDescent="0.2">
      <c r="A1532" s="272"/>
      <c r="B1532" s="272"/>
      <c r="C1532" s="272"/>
      <c r="D1532" s="272"/>
      <c r="E1532" s="272"/>
    </row>
    <row r="1533" spans="1:5" x14ac:dyDescent="0.2">
      <c r="A1533" s="272"/>
      <c r="B1533" s="272"/>
      <c r="C1533" s="272"/>
      <c r="D1533" s="272"/>
      <c r="E1533" s="272"/>
    </row>
    <row r="1534" spans="1:5" x14ac:dyDescent="0.2">
      <c r="A1534" s="272"/>
      <c r="B1534" s="272"/>
      <c r="C1534" s="272"/>
      <c r="D1534" s="272"/>
      <c r="E1534" s="272"/>
    </row>
    <row r="1535" spans="1:5" x14ac:dyDescent="0.2">
      <c r="A1535" s="272"/>
      <c r="B1535" s="272"/>
      <c r="C1535" s="272"/>
      <c r="D1535" s="272"/>
      <c r="E1535" s="272"/>
    </row>
    <row r="1536" spans="1:5" x14ac:dyDescent="0.2">
      <c r="A1536" s="272"/>
      <c r="B1536" s="272"/>
      <c r="C1536" s="272"/>
      <c r="D1536" s="272"/>
      <c r="E1536" s="272"/>
    </row>
    <row r="1537" spans="1:5" x14ac:dyDescent="0.2">
      <c r="A1537" s="272"/>
      <c r="B1537" s="272"/>
      <c r="C1537" s="272"/>
      <c r="D1537" s="272"/>
      <c r="E1537" s="272"/>
    </row>
    <row r="1538" spans="1:5" x14ac:dyDescent="0.2">
      <c r="A1538" s="272"/>
      <c r="B1538" s="272"/>
      <c r="C1538" s="272"/>
      <c r="D1538" s="272"/>
      <c r="E1538" s="272"/>
    </row>
    <row r="1539" spans="1:5" x14ac:dyDescent="0.2">
      <c r="A1539" s="272"/>
      <c r="B1539" s="272"/>
      <c r="C1539" s="272"/>
      <c r="D1539" s="272"/>
      <c r="E1539" s="272"/>
    </row>
    <row r="1540" spans="1:5" x14ac:dyDescent="0.2">
      <c r="A1540" s="272"/>
      <c r="B1540" s="272"/>
      <c r="C1540" s="272"/>
      <c r="D1540" s="272"/>
      <c r="E1540" s="272"/>
    </row>
    <row r="1541" spans="1:5" x14ac:dyDescent="0.2">
      <c r="A1541" s="272"/>
      <c r="B1541" s="272"/>
      <c r="C1541" s="272"/>
      <c r="D1541" s="272"/>
      <c r="E1541" s="272"/>
    </row>
    <row r="1542" spans="1:5" x14ac:dyDescent="0.2">
      <c r="A1542" s="272"/>
      <c r="B1542" s="272"/>
      <c r="C1542" s="272"/>
      <c r="D1542" s="272"/>
      <c r="E1542" s="272"/>
    </row>
    <row r="1543" spans="1:5" x14ac:dyDescent="0.2">
      <c r="A1543" s="272"/>
      <c r="B1543" s="272"/>
      <c r="C1543" s="272"/>
      <c r="D1543" s="272"/>
      <c r="E1543" s="272"/>
    </row>
    <row r="1544" spans="1:5" x14ac:dyDescent="0.2">
      <c r="A1544" s="272"/>
      <c r="B1544" s="272"/>
      <c r="C1544" s="272"/>
      <c r="D1544" s="272"/>
      <c r="E1544" s="272"/>
    </row>
    <row r="1545" spans="1:5" x14ac:dyDescent="0.2">
      <c r="A1545" s="272"/>
      <c r="B1545" s="272"/>
      <c r="C1545" s="272"/>
      <c r="D1545" s="272"/>
      <c r="E1545" s="272"/>
    </row>
    <row r="1546" spans="1:5" x14ac:dyDescent="0.2">
      <c r="A1546" s="272"/>
      <c r="B1546" s="272"/>
      <c r="C1546" s="272"/>
      <c r="D1546" s="272"/>
      <c r="E1546" s="272"/>
    </row>
    <row r="1547" spans="1:5" x14ac:dyDescent="0.2">
      <c r="A1547" s="272"/>
      <c r="B1547" s="272"/>
      <c r="C1547" s="272"/>
      <c r="D1547" s="272"/>
      <c r="E1547" s="272"/>
    </row>
    <row r="1548" spans="1:5" x14ac:dyDescent="0.2">
      <c r="A1548" s="272"/>
      <c r="B1548" s="272"/>
      <c r="C1548" s="272"/>
      <c r="D1548" s="272"/>
      <c r="E1548" s="272"/>
    </row>
    <row r="1549" spans="1:5" x14ac:dyDescent="0.2">
      <c r="A1549" s="272"/>
      <c r="B1549" s="272"/>
      <c r="C1549" s="272"/>
      <c r="D1549" s="272"/>
      <c r="E1549" s="272"/>
    </row>
    <row r="1550" spans="1:5" x14ac:dyDescent="0.2">
      <c r="A1550" s="272"/>
      <c r="B1550" s="272"/>
      <c r="C1550" s="272"/>
      <c r="D1550" s="272"/>
      <c r="E1550" s="272"/>
    </row>
    <row r="1551" spans="1:5" x14ac:dyDescent="0.2">
      <c r="A1551" s="272"/>
      <c r="B1551" s="272"/>
      <c r="C1551" s="272"/>
      <c r="D1551" s="272"/>
      <c r="E1551" s="272"/>
    </row>
    <row r="1552" spans="1:5" x14ac:dyDescent="0.2">
      <c r="A1552" s="272"/>
      <c r="B1552" s="272"/>
      <c r="C1552" s="272"/>
      <c r="D1552" s="272"/>
      <c r="E1552" s="272"/>
    </row>
    <row r="1553" spans="1:5" x14ac:dyDescent="0.2">
      <c r="A1553" s="272"/>
      <c r="B1553" s="272"/>
      <c r="C1553" s="272"/>
      <c r="D1553" s="272"/>
      <c r="E1553" s="272"/>
    </row>
    <row r="1554" spans="1:5" x14ac:dyDescent="0.2">
      <c r="A1554" s="272"/>
      <c r="B1554" s="272"/>
      <c r="C1554" s="272"/>
      <c r="D1554" s="272"/>
      <c r="E1554" s="272"/>
    </row>
    <row r="1555" spans="1:5" x14ac:dyDescent="0.2">
      <c r="A1555" s="272"/>
      <c r="B1555" s="272"/>
      <c r="C1555" s="272"/>
      <c r="D1555" s="272"/>
      <c r="E1555" s="272"/>
    </row>
    <row r="1556" spans="1:5" x14ac:dyDescent="0.2">
      <c r="A1556" s="272"/>
      <c r="B1556" s="272"/>
      <c r="C1556" s="272"/>
      <c r="D1556" s="272"/>
      <c r="E1556" s="272"/>
    </row>
    <row r="1557" spans="1:5" x14ac:dyDescent="0.2">
      <c r="A1557" s="272"/>
      <c r="B1557" s="272"/>
      <c r="C1557" s="272"/>
      <c r="D1557" s="272"/>
      <c r="E1557" s="272"/>
    </row>
    <row r="1558" spans="1:5" x14ac:dyDescent="0.2">
      <c r="A1558" s="272"/>
      <c r="B1558" s="272"/>
      <c r="C1558" s="272"/>
      <c r="D1558" s="272"/>
      <c r="E1558" s="272"/>
    </row>
    <row r="1559" spans="1:5" x14ac:dyDescent="0.2">
      <c r="A1559" s="272"/>
      <c r="B1559" s="272"/>
      <c r="C1559" s="272"/>
      <c r="D1559" s="272"/>
      <c r="E1559" s="272"/>
    </row>
    <row r="1560" spans="1:5" x14ac:dyDescent="0.2">
      <c r="A1560" s="272"/>
      <c r="B1560" s="272"/>
      <c r="C1560" s="272"/>
      <c r="D1560" s="272"/>
      <c r="E1560" s="272"/>
    </row>
    <row r="1561" spans="1:5" x14ac:dyDescent="0.2">
      <c r="A1561" s="272"/>
      <c r="B1561" s="272"/>
      <c r="C1561" s="272"/>
      <c r="D1561" s="272"/>
      <c r="E1561" s="272"/>
    </row>
    <row r="1562" spans="1:5" x14ac:dyDescent="0.2">
      <c r="A1562" s="272"/>
      <c r="B1562" s="272"/>
      <c r="C1562" s="272"/>
      <c r="D1562" s="272"/>
      <c r="E1562" s="272"/>
    </row>
    <row r="1563" spans="1:5" x14ac:dyDescent="0.2">
      <c r="A1563" s="272"/>
      <c r="B1563" s="272"/>
      <c r="C1563" s="272"/>
      <c r="D1563" s="272"/>
      <c r="E1563" s="272"/>
    </row>
    <row r="1564" spans="1:5" x14ac:dyDescent="0.2">
      <c r="A1564" s="272"/>
      <c r="B1564" s="272"/>
      <c r="C1564" s="272"/>
      <c r="D1564" s="272"/>
      <c r="E1564" s="272"/>
    </row>
    <row r="1565" spans="1:5" x14ac:dyDescent="0.2">
      <c r="A1565" s="272"/>
      <c r="B1565" s="272"/>
      <c r="C1565" s="272"/>
      <c r="D1565" s="272"/>
      <c r="E1565" s="272"/>
    </row>
    <row r="1566" spans="1:5" x14ac:dyDescent="0.2">
      <c r="A1566" s="272"/>
      <c r="B1566" s="272"/>
      <c r="C1566" s="272"/>
      <c r="D1566" s="272"/>
      <c r="E1566" s="272"/>
    </row>
    <row r="1567" spans="1:5" x14ac:dyDescent="0.2">
      <c r="A1567" s="272"/>
      <c r="B1567" s="272"/>
      <c r="C1567" s="272"/>
      <c r="D1567" s="272"/>
      <c r="E1567" s="272"/>
    </row>
    <row r="1568" spans="1:5" x14ac:dyDescent="0.2">
      <c r="A1568" s="272"/>
      <c r="B1568" s="272"/>
      <c r="C1568" s="272"/>
      <c r="D1568" s="272"/>
      <c r="E1568" s="272"/>
    </row>
    <row r="1569" spans="1:5" x14ac:dyDescent="0.2">
      <c r="A1569" s="272"/>
      <c r="B1569" s="272"/>
      <c r="C1569" s="272"/>
      <c r="D1569" s="272"/>
      <c r="E1569" s="272"/>
    </row>
    <row r="1570" spans="1:5" x14ac:dyDescent="0.2">
      <c r="A1570" s="272"/>
      <c r="B1570" s="272"/>
      <c r="C1570" s="272"/>
      <c r="D1570" s="272"/>
      <c r="E1570" s="272"/>
    </row>
    <row r="1571" spans="1:5" x14ac:dyDescent="0.2">
      <c r="A1571" s="272"/>
      <c r="B1571" s="272"/>
      <c r="C1571" s="272"/>
      <c r="D1571" s="272"/>
      <c r="E1571" s="272"/>
    </row>
    <row r="1572" spans="1:5" x14ac:dyDescent="0.2">
      <c r="A1572" s="272"/>
      <c r="B1572" s="272"/>
      <c r="C1572" s="272"/>
      <c r="D1572" s="272"/>
      <c r="E1572" s="272"/>
    </row>
    <row r="1573" spans="1:5" x14ac:dyDescent="0.2">
      <c r="A1573" s="272"/>
      <c r="B1573" s="272"/>
      <c r="C1573" s="272"/>
      <c r="D1573" s="272"/>
      <c r="E1573" s="272"/>
    </row>
    <row r="1574" spans="1:5" x14ac:dyDescent="0.2">
      <c r="A1574" s="272"/>
      <c r="B1574" s="272"/>
      <c r="C1574" s="272"/>
      <c r="D1574" s="272"/>
      <c r="E1574" s="272"/>
    </row>
    <row r="1575" spans="1:5" x14ac:dyDescent="0.2">
      <c r="A1575" s="272"/>
      <c r="B1575" s="272"/>
      <c r="C1575" s="272"/>
      <c r="D1575" s="272"/>
      <c r="E1575" s="272"/>
    </row>
    <row r="1576" spans="1:5" x14ac:dyDescent="0.2">
      <c r="A1576" s="272"/>
      <c r="B1576" s="272"/>
      <c r="C1576" s="272"/>
      <c r="D1576" s="272"/>
      <c r="E1576" s="272"/>
    </row>
    <row r="1577" spans="1:5" x14ac:dyDescent="0.2">
      <c r="A1577" s="272"/>
      <c r="B1577" s="272"/>
      <c r="C1577" s="272"/>
      <c r="D1577" s="272"/>
      <c r="E1577" s="272"/>
    </row>
    <row r="1578" spans="1:5" x14ac:dyDescent="0.2">
      <c r="A1578" s="272"/>
      <c r="B1578" s="272"/>
      <c r="C1578" s="272"/>
      <c r="D1578" s="272"/>
      <c r="E1578" s="272"/>
    </row>
    <row r="1579" spans="1:5" x14ac:dyDescent="0.2">
      <c r="A1579" s="272"/>
      <c r="B1579" s="272"/>
      <c r="C1579" s="272"/>
      <c r="D1579" s="272"/>
      <c r="E1579" s="272"/>
    </row>
    <row r="1580" spans="1:5" x14ac:dyDescent="0.2">
      <c r="A1580" s="272"/>
      <c r="B1580" s="272"/>
      <c r="C1580" s="272"/>
      <c r="D1580" s="272"/>
      <c r="E1580" s="272"/>
    </row>
    <row r="1581" spans="1:5" x14ac:dyDescent="0.2">
      <c r="A1581" s="272"/>
      <c r="B1581" s="272"/>
      <c r="C1581" s="272"/>
      <c r="D1581" s="272"/>
      <c r="E1581" s="272"/>
    </row>
    <row r="1582" spans="1:5" x14ac:dyDescent="0.2">
      <c r="A1582" s="272"/>
      <c r="B1582" s="272"/>
      <c r="C1582" s="272"/>
      <c r="D1582" s="272"/>
      <c r="E1582" s="272"/>
    </row>
    <row r="1583" spans="1:5" x14ac:dyDescent="0.2">
      <c r="A1583" s="272"/>
      <c r="B1583" s="272"/>
      <c r="C1583" s="272"/>
      <c r="D1583" s="272"/>
      <c r="E1583" s="272"/>
    </row>
    <row r="1584" spans="1:5" x14ac:dyDescent="0.2">
      <c r="A1584" s="272"/>
      <c r="B1584" s="272"/>
      <c r="C1584" s="272"/>
      <c r="D1584" s="272"/>
      <c r="E1584" s="272"/>
    </row>
    <row r="1585" spans="1:5" x14ac:dyDescent="0.2">
      <c r="A1585" s="272"/>
      <c r="B1585" s="272"/>
      <c r="C1585" s="272"/>
      <c r="D1585" s="272"/>
      <c r="E1585" s="272"/>
    </row>
    <row r="1586" spans="1:5" x14ac:dyDescent="0.2">
      <c r="A1586" s="272"/>
      <c r="B1586" s="272"/>
      <c r="C1586" s="272"/>
      <c r="D1586" s="272"/>
      <c r="E1586" s="272"/>
    </row>
    <row r="1587" spans="1:5" x14ac:dyDescent="0.2">
      <c r="A1587" s="272"/>
      <c r="B1587" s="272"/>
      <c r="C1587" s="272"/>
      <c r="D1587" s="272"/>
      <c r="E1587" s="272"/>
    </row>
    <row r="1588" spans="1:5" x14ac:dyDescent="0.2">
      <c r="A1588" s="272"/>
      <c r="B1588" s="272"/>
      <c r="C1588" s="272"/>
      <c r="D1588" s="272"/>
      <c r="E1588" s="272"/>
    </row>
    <row r="1589" spans="1:5" x14ac:dyDescent="0.2">
      <c r="A1589" s="272"/>
      <c r="B1589" s="272"/>
      <c r="C1589" s="272"/>
      <c r="D1589" s="272"/>
      <c r="E1589" s="272"/>
    </row>
    <row r="1590" spans="1:5" x14ac:dyDescent="0.2">
      <c r="A1590" s="272"/>
      <c r="B1590" s="272"/>
      <c r="C1590" s="272"/>
      <c r="D1590" s="272"/>
      <c r="E1590" s="272"/>
    </row>
    <row r="1591" spans="1:5" x14ac:dyDescent="0.2">
      <c r="A1591" s="272"/>
      <c r="B1591" s="272"/>
      <c r="C1591" s="272"/>
      <c r="D1591" s="272"/>
      <c r="E1591" s="272"/>
    </row>
    <row r="1592" spans="1:5" x14ac:dyDescent="0.2">
      <c r="A1592" s="272"/>
      <c r="B1592" s="272"/>
      <c r="C1592" s="272"/>
      <c r="D1592" s="272"/>
      <c r="E1592" s="272"/>
    </row>
    <row r="1593" spans="1:5" x14ac:dyDescent="0.2">
      <c r="A1593" s="272"/>
      <c r="B1593" s="272"/>
      <c r="C1593" s="272"/>
      <c r="D1593" s="272"/>
      <c r="E1593" s="272"/>
    </row>
    <row r="1594" spans="1:5" x14ac:dyDescent="0.2">
      <c r="A1594" s="272"/>
      <c r="B1594" s="272"/>
      <c r="C1594" s="272"/>
      <c r="D1594" s="272"/>
      <c r="E1594" s="272"/>
    </row>
    <row r="1595" spans="1:5" x14ac:dyDescent="0.2">
      <c r="A1595" s="272"/>
      <c r="B1595" s="272"/>
      <c r="C1595" s="272"/>
      <c r="D1595" s="272"/>
      <c r="E1595" s="272"/>
    </row>
    <row r="1596" spans="1:5" x14ac:dyDescent="0.2">
      <c r="A1596" s="272"/>
      <c r="B1596" s="272"/>
      <c r="C1596" s="272"/>
      <c r="D1596" s="272"/>
      <c r="E1596" s="272"/>
    </row>
    <row r="1597" spans="1:5" x14ac:dyDescent="0.2">
      <c r="A1597" s="272"/>
      <c r="B1597" s="272"/>
      <c r="C1597" s="272"/>
      <c r="D1597" s="272"/>
      <c r="E1597" s="272"/>
    </row>
    <row r="1598" spans="1:5" x14ac:dyDescent="0.2">
      <c r="A1598" s="272"/>
      <c r="B1598" s="272"/>
      <c r="C1598" s="272"/>
      <c r="D1598" s="272"/>
      <c r="E1598" s="272"/>
    </row>
    <row r="1599" spans="1:5" x14ac:dyDescent="0.2">
      <c r="A1599" s="272"/>
      <c r="B1599" s="272"/>
      <c r="C1599" s="272"/>
      <c r="D1599" s="272"/>
      <c r="E1599" s="272"/>
    </row>
    <row r="1600" spans="1:5" x14ac:dyDescent="0.2">
      <c r="A1600" s="272"/>
      <c r="B1600" s="272"/>
      <c r="C1600" s="272"/>
      <c r="D1600" s="272"/>
      <c r="E1600" s="272"/>
    </row>
    <row r="1601" spans="1:5" x14ac:dyDescent="0.2">
      <c r="A1601" s="272"/>
      <c r="B1601" s="272"/>
      <c r="C1601" s="272"/>
      <c r="D1601" s="272"/>
      <c r="E1601" s="272"/>
    </row>
    <row r="1602" spans="1:5" x14ac:dyDescent="0.2">
      <c r="A1602" s="272"/>
      <c r="B1602" s="272"/>
      <c r="C1602" s="272"/>
      <c r="D1602" s="272"/>
      <c r="E1602" s="272"/>
    </row>
    <row r="1603" spans="1:5" x14ac:dyDescent="0.2">
      <c r="A1603" s="272"/>
      <c r="B1603" s="272"/>
      <c r="C1603" s="272"/>
      <c r="D1603" s="272"/>
      <c r="E1603" s="272"/>
    </row>
    <row r="1604" spans="1:5" x14ac:dyDescent="0.2">
      <c r="A1604" s="272"/>
      <c r="B1604" s="272"/>
      <c r="C1604" s="272"/>
      <c r="D1604" s="272"/>
      <c r="E1604" s="272"/>
    </row>
    <row r="1605" spans="1:5" x14ac:dyDescent="0.2">
      <c r="A1605" s="272"/>
      <c r="B1605" s="272"/>
      <c r="C1605" s="272"/>
      <c r="D1605" s="272"/>
      <c r="E1605" s="272"/>
    </row>
    <row r="1606" spans="1:5" x14ac:dyDescent="0.2">
      <c r="A1606" s="272"/>
      <c r="B1606" s="272"/>
      <c r="C1606" s="272"/>
      <c r="D1606" s="272"/>
      <c r="E1606" s="272"/>
    </row>
    <row r="1607" spans="1:5" x14ac:dyDescent="0.2">
      <c r="A1607" s="272"/>
      <c r="B1607" s="272"/>
      <c r="C1607" s="272"/>
      <c r="D1607" s="272"/>
      <c r="E1607" s="272"/>
    </row>
    <row r="1608" spans="1:5" x14ac:dyDescent="0.2">
      <c r="A1608" s="272"/>
      <c r="B1608" s="272"/>
      <c r="C1608" s="272"/>
      <c r="D1608" s="272"/>
      <c r="E1608" s="272"/>
    </row>
    <row r="1609" spans="1:5" x14ac:dyDescent="0.2">
      <c r="A1609" s="272"/>
      <c r="B1609" s="272"/>
      <c r="C1609" s="272"/>
      <c r="D1609" s="272"/>
      <c r="E1609" s="272"/>
    </row>
    <row r="1610" spans="1:5" x14ac:dyDescent="0.2">
      <c r="A1610" s="272"/>
      <c r="B1610" s="272"/>
      <c r="C1610" s="272"/>
      <c r="D1610" s="272"/>
      <c r="E1610" s="272"/>
    </row>
    <row r="1611" spans="1:5" x14ac:dyDescent="0.2">
      <c r="A1611" s="272"/>
      <c r="B1611" s="272"/>
      <c r="C1611" s="272"/>
      <c r="D1611" s="272"/>
      <c r="E1611" s="272"/>
    </row>
    <row r="1612" spans="1:5" x14ac:dyDescent="0.2">
      <c r="A1612" s="272"/>
      <c r="B1612" s="272"/>
      <c r="C1612" s="272"/>
      <c r="D1612" s="272"/>
      <c r="E1612" s="272"/>
    </row>
    <row r="1613" spans="1:5" x14ac:dyDescent="0.2">
      <c r="A1613" s="272"/>
      <c r="B1613" s="272"/>
      <c r="C1613" s="272"/>
      <c r="D1613" s="272"/>
      <c r="E1613" s="272"/>
    </row>
    <row r="1614" spans="1:5" x14ac:dyDescent="0.2">
      <c r="A1614" s="272"/>
      <c r="B1614" s="272"/>
      <c r="C1614" s="272"/>
      <c r="D1614" s="272"/>
      <c r="E1614" s="272"/>
    </row>
    <row r="1615" spans="1:5" x14ac:dyDescent="0.2">
      <c r="A1615" s="272"/>
      <c r="B1615" s="272"/>
      <c r="C1615" s="272"/>
      <c r="D1615" s="272"/>
      <c r="E1615" s="272"/>
    </row>
    <row r="1616" spans="1:5" x14ac:dyDescent="0.2">
      <c r="A1616" s="272"/>
      <c r="B1616" s="272"/>
      <c r="C1616" s="272"/>
      <c r="D1616" s="272"/>
      <c r="E1616" s="272"/>
    </row>
    <row r="1617" spans="1:5" x14ac:dyDescent="0.2">
      <c r="A1617" s="272"/>
      <c r="B1617" s="272"/>
      <c r="C1617" s="272"/>
      <c r="D1617" s="272"/>
      <c r="E1617" s="272"/>
    </row>
    <row r="1618" spans="1:5" x14ac:dyDescent="0.2">
      <c r="A1618" s="272"/>
      <c r="B1618" s="272"/>
      <c r="C1618" s="272"/>
      <c r="D1618" s="272"/>
      <c r="E1618" s="272"/>
    </row>
    <row r="1619" spans="1:5" x14ac:dyDescent="0.2">
      <c r="A1619" s="272"/>
      <c r="B1619" s="272"/>
      <c r="C1619" s="272"/>
      <c r="D1619" s="272"/>
      <c r="E1619" s="272"/>
    </row>
    <row r="1620" spans="1:5" x14ac:dyDescent="0.2">
      <c r="A1620" s="272"/>
      <c r="B1620" s="272"/>
      <c r="C1620" s="272"/>
      <c r="D1620" s="272"/>
      <c r="E1620" s="272"/>
    </row>
    <row r="1621" spans="1:5" x14ac:dyDescent="0.2">
      <c r="A1621" s="272"/>
      <c r="B1621" s="272"/>
      <c r="C1621" s="272"/>
      <c r="D1621" s="272"/>
      <c r="E1621" s="272"/>
    </row>
    <row r="1622" spans="1:5" x14ac:dyDescent="0.2">
      <c r="A1622" s="272"/>
      <c r="B1622" s="272"/>
      <c r="C1622" s="272"/>
      <c r="D1622" s="272"/>
      <c r="E1622" s="272"/>
    </row>
    <row r="1623" spans="1:5" x14ac:dyDescent="0.2">
      <c r="A1623" s="272"/>
      <c r="B1623" s="272"/>
      <c r="C1623" s="272"/>
      <c r="D1623" s="272"/>
      <c r="E1623" s="272"/>
    </row>
    <row r="1624" spans="1:5" x14ac:dyDescent="0.2">
      <c r="A1624" s="272"/>
      <c r="B1624" s="272"/>
      <c r="C1624" s="272"/>
      <c r="D1624" s="272"/>
      <c r="E1624" s="272"/>
    </row>
    <row r="1625" spans="1:5" x14ac:dyDescent="0.2">
      <c r="A1625" s="272"/>
      <c r="B1625" s="272"/>
      <c r="C1625" s="272"/>
      <c r="D1625" s="272"/>
      <c r="E1625" s="272"/>
    </row>
    <row r="1626" spans="1:5" x14ac:dyDescent="0.2">
      <c r="A1626" s="272"/>
      <c r="B1626" s="272"/>
      <c r="C1626" s="272"/>
      <c r="D1626" s="272"/>
      <c r="E1626" s="272"/>
    </row>
    <row r="1627" spans="1:5" x14ac:dyDescent="0.2">
      <c r="A1627" s="272"/>
      <c r="B1627" s="272"/>
      <c r="C1627" s="272"/>
      <c r="D1627" s="272"/>
      <c r="E1627" s="272"/>
    </row>
    <row r="1628" spans="1:5" x14ac:dyDescent="0.2">
      <c r="A1628" s="272"/>
      <c r="B1628" s="272"/>
      <c r="C1628" s="272"/>
      <c r="D1628" s="272"/>
      <c r="E1628" s="272"/>
    </row>
    <row r="1629" spans="1:5" x14ac:dyDescent="0.2">
      <c r="A1629" s="272"/>
      <c r="B1629" s="272"/>
      <c r="C1629" s="272"/>
      <c r="D1629" s="272"/>
      <c r="E1629" s="272"/>
    </row>
    <row r="1630" spans="1:5" x14ac:dyDescent="0.2">
      <c r="A1630" s="272"/>
      <c r="B1630" s="272"/>
      <c r="C1630" s="272"/>
      <c r="D1630" s="272"/>
      <c r="E1630" s="272"/>
    </row>
    <row r="1631" spans="1:5" x14ac:dyDescent="0.2">
      <c r="A1631" s="272"/>
      <c r="B1631" s="272"/>
      <c r="C1631" s="272"/>
      <c r="D1631" s="272"/>
      <c r="E1631" s="272"/>
    </row>
    <row r="1632" spans="1:5" x14ac:dyDescent="0.2">
      <c r="A1632" s="272"/>
      <c r="B1632" s="272"/>
      <c r="C1632" s="272"/>
      <c r="D1632" s="272"/>
      <c r="E1632" s="272"/>
    </row>
    <row r="1633" spans="1:5" x14ac:dyDescent="0.2">
      <c r="A1633" s="272"/>
      <c r="B1633" s="272"/>
      <c r="C1633" s="272"/>
      <c r="D1633" s="272"/>
      <c r="E1633" s="272"/>
    </row>
    <row r="1634" spans="1:5" x14ac:dyDescent="0.2">
      <c r="A1634" s="272"/>
      <c r="B1634" s="272"/>
      <c r="C1634" s="272"/>
      <c r="D1634" s="272"/>
      <c r="E1634" s="272"/>
    </row>
    <row r="1635" spans="1:5" x14ac:dyDescent="0.2">
      <c r="A1635" s="272"/>
      <c r="B1635" s="272"/>
      <c r="C1635" s="272"/>
      <c r="D1635" s="272"/>
      <c r="E1635" s="272"/>
    </row>
    <row r="1636" spans="1:5" x14ac:dyDescent="0.2">
      <c r="A1636" s="272"/>
      <c r="B1636" s="272"/>
      <c r="C1636" s="272"/>
      <c r="D1636" s="272"/>
      <c r="E1636" s="272"/>
    </row>
    <row r="1637" spans="1:5" x14ac:dyDescent="0.2">
      <c r="A1637" s="272"/>
      <c r="B1637" s="272"/>
      <c r="C1637" s="272"/>
      <c r="D1637" s="272"/>
      <c r="E1637" s="272"/>
    </row>
    <row r="1638" spans="1:5" x14ac:dyDescent="0.2">
      <c r="A1638" s="272"/>
      <c r="B1638" s="272"/>
      <c r="C1638" s="272"/>
      <c r="D1638" s="272"/>
      <c r="E1638" s="272"/>
    </row>
    <row r="1639" spans="1:5" x14ac:dyDescent="0.2">
      <c r="A1639" s="272"/>
      <c r="B1639" s="272"/>
      <c r="C1639" s="272"/>
      <c r="D1639" s="272"/>
      <c r="E1639" s="272"/>
    </row>
    <row r="1640" spans="1:5" x14ac:dyDescent="0.2">
      <c r="A1640" s="272"/>
      <c r="B1640" s="272"/>
      <c r="C1640" s="272"/>
      <c r="D1640" s="272"/>
      <c r="E1640" s="272"/>
    </row>
    <row r="1641" spans="1:5" x14ac:dyDescent="0.2">
      <c r="A1641" s="272"/>
      <c r="B1641" s="272"/>
      <c r="C1641" s="272"/>
      <c r="D1641" s="272"/>
      <c r="E1641" s="272"/>
    </row>
    <row r="1642" spans="1:5" x14ac:dyDescent="0.2">
      <c r="A1642" s="272"/>
      <c r="B1642" s="272"/>
      <c r="C1642" s="272"/>
      <c r="D1642" s="272"/>
      <c r="E1642" s="272"/>
    </row>
    <row r="1643" spans="1:5" x14ac:dyDescent="0.2">
      <c r="A1643" s="272"/>
      <c r="B1643" s="272"/>
      <c r="C1643" s="272"/>
      <c r="D1643" s="272"/>
      <c r="E1643" s="272"/>
    </row>
    <row r="1644" spans="1:5" x14ac:dyDescent="0.2">
      <c r="A1644" s="272"/>
      <c r="B1644" s="272"/>
      <c r="C1644" s="272"/>
      <c r="D1644" s="272"/>
      <c r="E1644" s="272"/>
    </row>
    <row r="1645" spans="1:5" x14ac:dyDescent="0.2">
      <c r="A1645" s="272"/>
      <c r="B1645" s="272"/>
      <c r="C1645" s="272"/>
      <c r="D1645" s="272"/>
      <c r="E1645" s="272"/>
    </row>
    <row r="1646" spans="1:5" x14ac:dyDescent="0.2">
      <c r="A1646" s="272"/>
      <c r="B1646" s="272"/>
      <c r="C1646" s="272"/>
      <c r="D1646" s="272"/>
      <c r="E1646" s="272"/>
    </row>
    <row r="1647" spans="1:5" x14ac:dyDescent="0.2">
      <c r="A1647" s="272"/>
      <c r="B1647" s="272"/>
      <c r="C1647" s="272"/>
      <c r="D1647" s="272"/>
      <c r="E1647" s="272"/>
    </row>
    <row r="1648" spans="1:5" x14ac:dyDescent="0.2">
      <c r="A1648" s="272"/>
      <c r="B1648" s="272"/>
      <c r="C1648" s="272"/>
      <c r="D1648" s="272"/>
      <c r="E1648" s="272"/>
    </row>
    <row r="1649" spans="1:5" x14ac:dyDescent="0.2">
      <c r="A1649" s="272"/>
      <c r="B1649" s="272"/>
      <c r="C1649" s="272"/>
      <c r="D1649" s="272"/>
      <c r="E1649" s="272"/>
    </row>
    <row r="1650" spans="1:5" x14ac:dyDescent="0.2">
      <c r="A1650" s="272"/>
      <c r="B1650" s="272"/>
      <c r="C1650" s="272"/>
      <c r="D1650" s="272"/>
      <c r="E1650" s="272"/>
    </row>
    <row r="1651" spans="1:5" x14ac:dyDescent="0.2">
      <c r="A1651" s="272"/>
      <c r="B1651" s="272"/>
      <c r="C1651" s="272"/>
      <c r="D1651" s="272"/>
      <c r="E1651" s="272"/>
    </row>
    <row r="1652" spans="1:5" x14ac:dyDescent="0.2">
      <c r="A1652" s="272"/>
      <c r="B1652" s="272"/>
      <c r="C1652" s="272"/>
      <c r="D1652" s="272"/>
      <c r="E1652" s="272"/>
    </row>
    <row r="1653" spans="1:5" x14ac:dyDescent="0.2">
      <c r="A1653" s="272"/>
      <c r="B1653" s="272"/>
      <c r="C1653" s="272"/>
      <c r="D1653" s="272"/>
      <c r="E1653" s="272"/>
    </row>
    <row r="1654" spans="1:5" x14ac:dyDescent="0.2">
      <c r="A1654" s="272"/>
      <c r="B1654" s="272"/>
      <c r="C1654" s="272"/>
      <c r="D1654" s="272"/>
      <c r="E1654" s="272"/>
    </row>
    <row r="1655" spans="1:5" x14ac:dyDescent="0.2">
      <c r="A1655" s="272"/>
      <c r="B1655" s="272"/>
      <c r="C1655" s="272"/>
      <c r="D1655" s="272"/>
      <c r="E1655" s="272"/>
    </row>
    <row r="1656" spans="1:5" x14ac:dyDescent="0.2">
      <c r="A1656" s="272"/>
      <c r="B1656" s="272"/>
      <c r="C1656" s="272"/>
      <c r="D1656" s="272"/>
      <c r="E1656" s="272"/>
    </row>
    <row r="1657" spans="1:5" x14ac:dyDescent="0.2">
      <c r="A1657" s="272"/>
      <c r="B1657" s="272"/>
      <c r="C1657" s="272"/>
      <c r="D1657" s="272"/>
      <c r="E1657" s="272"/>
    </row>
    <row r="1658" spans="1:5" x14ac:dyDescent="0.2">
      <c r="A1658" s="272"/>
      <c r="B1658" s="272"/>
      <c r="C1658" s="272"/>
      <c r="D1658" s="272"/>
      <c r="E1658" s="272"/>
    </row>
    <row r="1659" spans="1:5" x14ac:dyDescent="0.2">
      <c r="A1659" s="272"/>
      <c r="B1659" s="272"/>
      <c r="C1659" s="272"/>
      <c r="D1659" s="272"/>
      <c r="E1659" s="272"/>
    </row>
    <row r="1660" spans="1:5" x14ac:dyDescent="0.2">
      <c r="A1660" s="272"/>
      <c r="B1660" s="272"/>
      <c r="C1660" s="272"/>
      <c r="D1660" s="272"/>
      <c r="E1660" s="272"/>
    </row>
    <row r="1661" spans="1:5" x14ac:dyDescent="0.2">
      <c r="A1661" s="272"/>
      <c r="B1661" s="272"/>
      <c r="C1661" s="272"/>
      <c r="D1661" s="272"/>
      <c r="E1661" s="272"/>
    </row>
    <row r="1662" spans="1:5" x14ac:dyDescent="0.2">
      <c r="A1662" s="272"/>
      <c r="B1662" s="272"/>
      <c r="C1662" s="272"/>
      <c r="D1662" s="272"/>
      <c r="E1662" s="272"/>
    </row>
    <row r="1663" spans="1:5" x14ac:dyDescent="0.2">
      <c r="A1663" s="272"/>
      <c r="B1663" s="272"/>
      <c r="C1663" s="272"/>
      <c r="D1663" s="272"/>
      <c r="E1663" s="27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8</vt:i4>
      </vt:variant>
    </vt:vector>
  </HeadingPairs>
  <TitlesOfParts>
    <vt:vector size="22" baseType="lpstr">
      <vt:lpstr>RESULTADOS</vt:lpstr>
      <vt:lpstr>PREVS_SMAP</vt:lpstr>
      <vt:lpstr>PREVS_SMAP_DIARIO</vt:lpstr>
      <vt:lpstr>PREVIVAZ</vt:lpstr>
      <vt:lpstr>Propagações_TOT_ITAIPU</vt:lpstr>
      <vt:lpstr>Propagações_TOT_IGUACU</vt:lpstr>
      <vt:lpstr>Propagações_TOT_URUGUAI</vt:lpstr>
      <vt:lpstr>Propagações_TOT_TIETE</vt:lpstr>
      <vt:lpstr>Propagações_TOT_GRANDE</vt:lpstr>
      <vt:lpstr>Propagações_TOT_PARANAIBA</vt:lpstr>
      <vt:lpstr>Propagações_TOT_PARANAPANEMA</vt:lpstr>
      <vt:lpstr>Propagações_TOT_SAOFRAN</vt:lpstr>
      <vt:lpstr>Propagações_TOT_TOCANTINS</vt:lpstr>
      <vt:lpstr>Aux</vt:lpstr>
      <vt:lpstr>_arqPrevivaz</vt:lpstr>
      <vt:lpstr>_arqPrevs</vt:lpstr>
      <vt:lpstr>_data</vt:lpstr>
      <vt:lpstr>_dataPrevs</vt:lpstr>
      <vt:lpstr>_dataSemPrevisao</vt:lpstr>
      <vt:lpstr>PREVS_SMAP_DIARIO!_TO_STR</vt:lpstr>
      <vt:lpstr>_TO_STR</vt:lpstr>
      <vt:lpstr>_wbCen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Araujo</dc:creator>
  <cp:lastModifiedBy>Douglas Canducci</cp:lastModifiedBy>
  <dcterms:created xsi:type="dcterms:W3CDTF">2017-08-16T14:40:11Z</dcterms:created>
  <dcterms:modified xsi:type="dcterms:W3CDTF">2020-01-07T20:17:54Z</dcterms:modified>
</cp:coreProperties>
</file>